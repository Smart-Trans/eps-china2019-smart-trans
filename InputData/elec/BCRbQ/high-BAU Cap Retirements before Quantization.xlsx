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1805" tabRatio="846" firstSheet="16" activeTab="27"/>
  </bookViews>
  <sheets>
    <sheet name="About" sheetId="38" r:id="rId1"/>
    <sheet name="Province Selector" sheetId="39" r:id="rId2"/>
    <sheet name="93-07workbook" sheetId="27" r:id="rId3"/>
    <sheet name="08-21addition" sheetId="13" r:id="rId4"/>
    <sheet name="06-23Closure" sheetId="14" r:id="rId5"/>
    <sheet name="Solar10-12" sheetId="5" r:id="rId6"/>
    <sheet name="Solar12-13" sheetId="1" r:id="rId7"/>
    <sheet name="Solar14-16" sheetId="2" r:id="rId8"/>
    <sheet name="Solar17-22" sheetId="3" r:id="rId9"/>
    <sheet name="Solar Station Addition" sheetId="4" r:id="rId10"/>
    <sheet name="Solar Thermal" sheetId="25" r:id="rId11"/>
    <sheet name="NG2012" sheetId="16" r:id="rId12"/>
    <sheet name="NG09-21" sheetId="17" r:id="rId13"/>
    <sheet name="NG pre2009" sheetId="18" r:id="rId14"/>
    <sheet name="NG Pivot" sheetId="19" r:id="rId15"/>
    <sheet name="NG Stock Track" sheetId="20" r:id="rId16"/>
    <sheet name="NG Result" sheetId="21" r:id="rId17"/>
    <sheet name="Diesel Worksheet" sheetId="15" r:id="rId18"/>
    <sheet name="Biomass&amp;MSW" sheetId="29" r:id="rId19"/>
    <sheet name="Offshore Wind" sheetId="22" r:id="rId20"/>
    <sheet name="Nuclear" sheetId="26" r:id="rId21"/>
    <sheet name="Pumped Hydro Worksheet" sheetId="28" r:id="rId22"/>
    <sheet name="Geothermal" sheetId="32" r:id="rId23"/>
    <sheet name="Gangue" sheetId="23" r:id="rId24"/>
    <sheet name="Survival Rate" sheetId="37" r:id="rId25"/>
    <sheet name="project vs stock" sheetId="34" r:id="rId26"/>
    <sheet name="Summary" sheetId="24" r:id="rId27"/>
    <sheet name="Extrapoliation" sheetId="33" r:id="rId28"/>
    <sheet name="BCRbQ" sheetId="35" r:id="rId29"/>
    <sheet name="CRbQ" sheetId="36" r:id="rId30"/>
  </sheets>
  <externalReferences>
    <externalReference r:id="rId33"/>
    <externalReference r:id="rId34"/>
  </externalReferences>
  <definedNames>
    <definedName name="_xlnm._FilterDatabase" localSheetId="3" hidden="1">'08-21addition'!$A$2:$Q$436</definedName>
    <definedName name="_xlnm._FilterDatabase" localSheetId="10" hidden="1">'Solar Thermal'!$A$1:$K$22</definedName>
    <definedName name="_xlnm._FilterDatabase" localSheetId="12" hidden="1">'NG09-21'!$A$1:$N$238</definedName>
    <definedName name="_xlnm._FilterDatabase" localSheetId="13" hidden="1">'NG pre2009'!$A$1:$L$82</definedName>
    <definedName name="_xlnm._FilterDatabase" localSheetId="19" hidden="1">'Offshore Wind'!$A$1:$H$233</definedName>
    <definedName name="_xlnm._FilterDatabase" localSheetId="20" hidden="1">Nuclear!$A$1:$R$92</definedName>
    <definedName name="billion_kw_to_MW" localSheetId="22">#REF!</definedName>
    <definedName name="billion_kw_to_MW" localSheetId="20">#REF!</definedName>
    <definedName name="billion_kw_to_MW" localSheetId="19">#REF!</definedName>
    <definedName name="billion_kw_to_MW" localSheetId="1">#REF!</definedName>
    <definedName name="billion_kw_to_MW" localSheetId="21">#REF!</definedName>
    <definedName name="billion_kw_to_MW" localSheetId="10">#REF!</definedName>
    <definedName name="billion_kw_to_MW">#REF!</definedName>
    <definedName name="gigwatt_to_megawatt" localSheetId="22">#REF!</definedName>
    <definedName name="gigwatt_to_megawatt" localSheetId="20">#REF!</definedName>
    <definedName name="gigwatt_to_megawatt" localSheetId="19">#REF!</definedName>
    <definedName name="gigwatt_to_megawatt" localSheetId="1">#REF!</definedName>
    <definedName name="gigwatt_to_megawatt" localSheetId="21">#REF!</definedName>
    <definedName name="gigwatt_to_megawatt" localSheetId="10">#REF!</definedName>
    <definedName name="gigwatt_to_megawat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ercent_rural">#REF!</definedName>
    <definedName name="Percent_Urban" localSheetId="22">#REF!</definedName>
    <definedName name="Percent_Urban" localSheetId="20">#REF!</definedName>
    <definedName name="Percent_Urban" localSheetId="19">#REF!</definedName>
    <definedName name="Percent_Urban" localSheetId="1">#REF!</definedName>
    <definedName name="Percent_Urban" localSheetId="21">#REF!</definedName>
    <definedName name="Percent_Urban" localSheetId="10">#REF!</definedName>
    <definedName name="Percent_Urban">#REF!</definedName>
  </definedNames>
  <calcPr calcId="191029"/>
  <pivotCaches>
    <pivotCache cacheId="0" r:id="rId31"/>
    <pivotCache cacheId="1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tc={61404222-9730-42C9-B5C2-78D77B2FF67B}</author>
    <author>tc={3C6146BA-26E2-45F1-B4D9-2070A950497E}</author>
    <author>tc={5CD5BE73-0B9C-4DDD-A6F9-C298BCE2569E}</author>
    <author>tc={E4ECDF02-3361-4B13-B9BF-EAF629A9747A}</author>
    <author>tc={4773E228-BEAB-447F-8273-7CCF1A8639F8}</author>
    <author>tc={79D326CF-5910-4563-8A39-F73D81A29A9B}</author>
    <author>tc={B9449FC8-F518-48F3-A120-64FF5EC42DA8}</author>
    <author>tc={BCB2EA8C-960C-4814-A55F-930F88DA3E66}</author>
    <author>tc={98FD72CD-CBA3-4791-AFA9-2532E8DF298C}</author>
  </authors>
  <commentList>
    <comment ref="F110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十三陵抽水蓄能电站</t>
        </r>
      </text>
    </comment>
    <comment ref="Q112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张河湾抽水蓄能</t>
        </r>
      </text>
    </comment>
    <comment ref="P116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白山抽水蓄能电站</t>
        </r>
      </text>
    </comment>
    <comment ref="H120" authorId="3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天荒坪抽水蓄能电站</t>
        </r>
      </text>
    </comment>
    <comment ref="P120" authorId="4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桐庐抽水蓄能电站</t>
        </r>
      </text>
    </comment>
    <comment ref="P121" authorId="5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琅琊山抽水蓄能电站</t>
        </r>
      </text>
    </comment>
    <comment ref="P124" authorId="6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泰安抽水蓄能电站</t>
        </r>
      </text>
    </comment>
    <comment ref="C128" authorId="7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广州抽水蓄能一期</t>
        </r>
      </text>
    </comment>
    <comment ref="I128" authorId="8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广州抽水蓄能二期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<sst xmlns="http://schemas.openxmlformats.org/spreadsheetml/2006/main" count="9770" uniqueCount="2406">
  <si>
    <t>BCRbQ BAU Capacity Retirements before Quantization</t>
  </si>
  <si>
    <t>CRbQ Capacity Retirements before Quantization</t>
  </si>
  <si>
    <t>Source:</t>
  </si>
  <si>
    <t>Project Based Data Source</t>
  </si>
  <si>
    <t>Statsitics Based Data Source</t>
  </si>
  <si>
    <t>Other Data Source</t>
  </si>
  <si>
    <t>historic generation capacity and annual increase 2008-2001</t>
  </si>
  <si>
    <t>Fossil Fuel Survival Rate</t>
  </si>
  <si>
    <t>China Electricity Council</t>
  </si>
  <si>
    <t>Global Energy Monitor</t>
  </si>
  <si>
    <r>
      <rPr>
        <sz val="11"/>
        <rFont val="等线"/>
        <charset val="134"/>
      </rPr>
      <t>中国电力工业统计资料汇编</t>
    </r>
    <r>
      <rPr>
        <sz val="11"/>
        <rFont val="Arial"/>
        <charset val="134"/>
      </rPr>
      <t xml:space="preserve"> </t>
    </r>
    <r>
      <rPr>
        <sz val="11"/>
        <rFont val="等线"/>
        <charset val="134"/>
      </rPr>
      <t>（</t>
    </r>
    <r>
      <rPr>
        <sz val="11"/>
        <rFont val="Arial"/>
        <charset val="134"/>
      </rPr>
      <t>Compilation of China Power Sector Statistics)</t>
    </r>
  </si>
  <si>
    <t>Tracker for Coal Plants, Natural Gas</t>
  </si>
  <si>
    <t>2008-2021</t>
  </si>
  <si>
    <t>Chapter 6 (List of Completed Construction Projects)</t>
  </si>
  <si>
    <t>Chapter 2 (Power Generation)</t>
  </si>
  <si>
    <t>https://globalenergymonitor.org/projects/global-coal-plant-tracker/</t>
  </si>
  <si>
    <t>https://globalenergymonitor.org/projects/global-oil-gas-plant-tracker/</t>
  </si>
  <si>
    <t>Offshore Wind</t>
  </si>
  <si>
    <t>historic generation capacity and annual increase 1993-2007</t>
  </si>
  <si>
    <t>Annual Plant Shutdown</t>
  </si>
  <si>
    <t>Tracker for Offshore Plants</t>
  </si>
  <si>
    <r>
      <rPr>
        <sz val="11"/>
        <rFont val="等线"/>
        <charset val="134"/>
      </rPr>
      <t>中国电力年鉴（</t>
    </r>
    <r>
      <rPr>
        <sz val="11"/>
        <rFont val="Arial"/>
        <charset val="134"/>
      </rPr>
      <t>Statistical Yearbook of China Electricity Sector)</t>
    </r>
  </si>
  <si>
    <t>1993-2007</t>
  </si>
  <si>
    <t>https://globalenergymonitor.org/projects/global-wind-power-tracker/</t>
  </si>
  <si>
    <t>Statistics and Resources</t>
  </si>
  <si>
    <t>2005-2021</t>
  </si>
  <si>
    <t xml:space="preserve">Solar Projects </t>
  </si>
  <si>
    <t>Solar Capacity</t>
  </si>
  <si>
    <t>National Energy Administation</t>
  </si>
  <si>
    <t>Annual Solar Generation and Cosntruction Statistics</t>
  </si>
  <si>
    <t>2010-2012</t>
  </si>
  <si>
    <t>2013年光伏发电统计数据---国家能源局 (nea.gov.cn)</t>
  </si>
  <si>
    <t>Production Status of Major Solar Stations</t>
  </si>
  <si>
    <t>2014年光伏发电统计信息---国家能源局 (nea.gov.cn)</t>
  </si>
  <si>
    <t>2015年光伏发电相关统计数据---国家能源局 (nea.gov.cn)</t>
  </si>
  <si>
    <t>Solar Thermal</t>
  </si>
  <si>
    <t>2016年光伏发电统计信息---国家能源局 (nea.gov.cn)</t>
  </si>
  <si>
    <t>China Solar Thermal Allaince (CNSTE)</t>
  </si>
  <si>
    <t>https://www.nea.gov.cn/2020-02/28/c_138827923.htm</t>
  </si>
  <si>
    <t>中国太阳能热发电行业蓝皮书</t>
  </si>
  <si>
    <t>https://www.nea.gov.cn/2022-03/09/c_1310508114.htm</t>
  </si>
  <si>
    <t>Blue Book of Concentrating Solar Power Industry (Chinese)</t>
  </si>
  <si>
    <t>https://www.nea.gov.cn/2023-02/17/c_1310698128.htm</t>
  </si>
  <si>
    <t>2021-2022</t>
  </si>
  <si>
    <t>http://www.cnste.org/uploads/soft/230131/1_0841264311.pdf</t>
  </si>
  <si>
    <t>Geothermal Development</t>
  </si>
  <si>
    <t>http://mediacdn.mengliaoba.cn/download/2021%E4%B8%AD%E5%9B%BD%E5%A4%AA%E9%98%B3%E8%83%BD%E7%83%AD%E5%8F%91%E7%94%B5%E8%A1%8C%E4%B8%9A%E8%93%9D%E7%9A%AE%E4%B9%A6.pdf</t>
  </si>
  <si>
    <t>National Energy Adminstration</t>
  </si>
  <si>
    <t>地热能开发利用“十三五”规划</t>
  </si>
  <si>
    <t>Pumped Hydro, Nuclear, and Natural Gas Projects</t>
  </si>
  <si>
    <t>13 FYP Geothermal Development Plan</t>
  </si>
  <si>
    <t>Compiled Database from various online sources and statistics</t>
  </si>
  <si>
    <t>https://www.gov.cn/xinwen/2017-02/06/5165321/files/19f10bae3ba5463f833c954de2d06a8f.pdf</t>
  </si>
  <si>
    <t>Notes:</t>
  </si>
  <si>
    <t xml:space="preserve">This file is used for calculating the values for BCRbQ (BAU Capacity Retirements before Quantization) , and CRbQ (Capacity Retirements before Quantization) </t>
  </si>
  <si>
    <t>The file backtraces generation installation, and provide a method that dissembles Start Year Capacity (SYC) into annual additions between 1990-2019.</t>
  </si>
  <si>
    <t>The using the lifetime data provided in BGCL (BAU Generation Capacity Lifetime), the expected year of retirement is calculated.</t>
  </si>
  <si>
    <t xml:space="preserve">For fossil fuel plants BAU retirement, instead of BGCL, a weibull survival curve is calculated using data from Global Energy Monitor Database, and is used to track </t>
  </si>
  <si>
    <t>retirement.</t>
  </si>
  <si>
    <t>For BCRbQ and CRbQ, future constructions listed in BPMCCS and PMCCS and considered to calculate the corresponding retirement schedule. Therefore, when the</t>
  </si>
  <si>
    <t>alternative installation schedule is used for a type of generation, the alternative retirement shedule should also be used.</t>
  </si>
  <si>
    <t>Due to either unannounced projects, or unannounced capacity expansions, using a bottom up project based tally of generation capaicty addition often doesn’t</t>
  </si>
  <si>
    <t>match up with the annual changes in capaicty (including closure), for fossil projects, it is about 20% lower than the acutal net increase. Therefore a hybrid approach</t>
  </si>
  <si>
    <t>is used to backtraces capacity installation. First, the bottom up approach to track all the projects that could be found. Then calculate additional increase from the</t>
  </si>
  <si>
    <t>changes in existing capacity that were not accounted for.</t>
  </si>
  <si>
    <t>Since there could be delays in statistics, which could cause many fluctuation. This calculation isn’t done annually, but over 3 periods, 1993-2007, 2008-2016, and 2016-2019</t>
  </si>
  <si>
    <t>The time periods were selected because the change in data source at 2008, project based capacity can no longer be systematically obtained. For 2016, the statistics for</t>
  </si>
  <si>
    <t>exisitng capacity were given with more detailed categories (see tab project vs stock)</t>
  </si>
  <si>
    <t>Region Selector</t>
  </si>
  <si>
    <t>This excel file includes data required for all Chinese provinces (excluding Taiwan, Hong Kong, Macau,</t>
  </si>
  <si>
    <t xml:space="preserve">and sometimes Tibet). You can use the selector below to choose which province/region you would </t>
  </si>
  <si>
    <t>like to calculate for:</t>
  </si>
  <si>
    <t>Province Selector</t>
  </si>
  <si>
    <t>全国 National</t>
  </si>
  <si>
    <t>In addition to Region Selector, Data from SYC, PMCCS, BPMCCS, BGCL and MPPS is requried for calculation, you can copy the data to the "Extrapolation" Spread Sheet</t>
  </si>
  <si>
    <t>Example</t>
  </si>
  <si>
    <t>Code</t>
  </si>
  <si>
    <t>Name</t>
  </si>
  <si>
    <t>Name Chinese</t>
  </si>
  <si>
    <t>00</t>
  </si>
  <si>
    <t>全国</t>
  </si>
  <si>
    <t>北京市 Beijing</t>
  </si>
  <si>
    <t>北京市</t>
  </si>
  <si>
    <t>天津市 Tianjin</t>
  </si>
  <si>
    <t>天津市</t>
  </si>
  <si>
    <t>河北省 Hebei</t>
  </si>
  <si>
    <t>河北省</t>
  </si>
  <si>
    <t>山西省 Shanxi</t>
  </si>
  <si>
    <t>山西省</t>
  </si>
  <si>
    <t>内蒙古自治区 Inner Mongolia</t>
  </si>
  <si>
    <t>内蒙古自治区</t>
  </si>
  <si>
    <t>辽宁省 Liaoning</t>
  </si>
  <si>
    <t>辽宁省</t>
  </si>
  <si>
    <t>吉林省 Jilin</t>
  </si>
  <si>
    <t>吉林省</t>
  </si>
  <si>
    <t>黑龙江省 Heilongjiang</t>
  </si>
  <si>
    <t>黑龙江省</t>
  </si>
  <si>
    <t>上海市 Shanghai</t>
  </si>
  <si>
    <t>上海市</t>
  </si>
  <si>
    <t>江苏省 Jiangsu</t>
  </si>
  <si>
    <t>江苏省</t>
  </si>
  <si>
    <t>浙江省 Zhejiang</t>
  </si>
  <si>
    <t>浙江省</t>
  </si>
  <si>
    <t>安徽省 Anhui</t>
  </si>
  <si>
    <t>安徽省</t>
  </si>
  <si>
    <t>福建省 Fujian</t>
  </si>
  <si>
    <t>福建省</t>
  </si>
  <si>
    <t>江西省 Jiangxi</t>
  </si>
  <si>
    <t>江西省</t>
  </si>
  <si>
    <t>山东省 Shandong</t>
  </si>
  <si>
    <t>山东省</t>
  </si>
  <si>
    <t>河南省 Henan</t>
  </si>
  <si>
    <t>河南省</t>
  </si>
  <si>
    <t>湖北省 Hubei</t>
  </si>
  <si>
    <t>湖北省</t>
  </si>
  <si>
    <t>湖南省 Hunan</t>
  </si>
  <si>
    <t>湖南省</t>
  </si>
  <si>
    <t>广东省 Guangdong</t>
  </si>
  <si>
    <t>广东省</t>
  </si>
  <si>
    <t>广西壮族自治区 Guangxi</t>
  </si>
  <si>
    <t>广西壮族自治区</t>
  </si>
  <si>
    <t>海南省 Hainan</t>
  </si>
  <si>
    <t>海南省</t>
  </si>
  <si>
    <t>重庆市 Chongqing</t>
  </si>
  <si>
    <t>重庆市</t>
  </si>
  <si>
    <t>四川省 Sichuan</t>
  </si>
  <si>
    <t>四川省</t>
  </si>
  <si>
    <t>贵州省 Guizhou</t>
  </si>
  <si>
    <t>贵州省</t>
  </si>
  <si>
    <t>云南省 Yunnan</t>
  </si>
  <si>
    <t>云南省</t>
  </si>
  <si>
    <t>西藏自治区 Tibet</t>
  </si>
  <si>
    <t>西藏自治区</t>
  </si>
  <si>
    <t>陕西省 Shaanxi</t>
  </si>
  <si>
    <t>陕西省</t>
  </si>
  <si>
    <t>甘肃省 Gansu</t>
  </si>
  <si>
    <t>甘肃省</t>
  </si>
  <si>
    <t>青海省 Qinghai</t>
  </si>
  <si>
    <t>青海省</t>
  </si>
  <si>
    <t>宁夏回族自治区 Ningxia</t>
  </si>
  <si>
    <t>宁夏回族自治区</t>
  </si>
  <si>
    <t>新疆维吾尔自治区 Xijiang</t>
  </si>
  <si>
    <t>新疆维吾尔自治区</t>
  </si>
  <si>
    <t>Gen Type</t>
  </si>
  <si>
    <t>Region</t>
  </si>
  <si>
    <t>总计</t>
  </si>
  <si>
    <t>水电</t>
  </si>
  <si>
    <t>火电</t>
  </si>
  <si>
    <t>核电</t>
  </si>
  <si>
    <t>其他</t>
  </si>
  <si>
    <t>风电</t>
  </si>
  <si>
    <t>Total Capacity Tally (10000KW)</t>
  </si>
  <si>
    <t>合计</t>
  </si>
  <si>
    <t>Annual Capaicty Addition (10000KW)</t>
  </si>
  <si>
    <t>Annual Addition (MW)</t>
  </si>
  <si>
    <t>Cumulative Capacity (MW)</t>
  </si>
  <si>
    <t>Total Hydro</t>
  </si>
  <si>
    <t>Hydro</t>
  </si>
  <si>
    <t>Combustion</t>
  </si>
  <si>
    <t>Wind</t>
  </si>
  <si>
    <t>Year</t>
  </si>
  <si>
    <t>Nuclear</t>
  </si>
  <si>
    <t>Biomass</t>
  </si>
  <si>
    <t>Municipal Solid Waste</t>
  </si>
  <si>
    <t>Waste Heat</t>
  </si>
  <si>
    <t>Hard Coal</t>
  </si>
  <si>
    <t>Lignite</t>
  </si>
  <si>
    <t>Natural Gas</t>
  </si>
  <si>
    <t>Oil</t>
  </si>
  <si>
    <t>Energy Storage</t>
  </si>
  <si>
    <t>Pumped Hydro</t>
  </si>
  <si>
    <t>Solar</t>
  </si>
  <si>
    <t>地区</t>
  </si>
  <si>
    <t>年份</t>
  </si>
  <si>
    <t>火电-其他火电-秸杆、蔗渣、林木质发电</t>
  </si>
  <si>
    <t>火电-其他火电-垃圾焚烧发电</t>
  </si>
  <si>
    <t>火电-其他火电-余温、余压、余气发电</t>
  </si>
  <si>
    <t>火电-燃煤-常规燃煤</t>
  </si>
  <si>
    <t>火电-燃煤-煤矸石发电</t>
  </si>
  <si>
    <t>火电-燃气-常规燃气</t>
  </si>
  <si>
    <t>火电-燃气-煤层气发电</t>
  </si>
  <si>
    <t>火电-燃气-沼气发电</t>
  </si>
  <si>
    <t>火电-燃油</t>
  </si>
  <si>
    <t>其他-其他</t>
  </si>
  <si>
    <t>水电-常规水电</t>
  </si>
  <si>
    <t>水电-抽水蓄能</t>
  </si>
  <si>
    <t>太阳能</t>
  </si>
  <si>
    <t>6地方淘汰超30台煤电机组，汇总名单来了！-北极星火力发电网 (bjx.com.cn)</t>
  </si>
  <si>
    <t>山东省能源局 通知公告 关于山东省2022年淘汰关停燃煤机组的公示 (shandong.gov.cn)</t>
  </si>
  <si>
    <t>山东省公示2023年已淘汰关停燃煤机组名单-北极星电力新闻网 (bjx.com.cn)</t>
  </si>
  <si>
    <t>2010年主要全国太阳能电站生产情况</t>
  </si>
  <si>
    <t>2011年全国主要太阳能电站生产情况</t>
  </si>
  <si>
    <t>2012年全国主要太阳能电站生产情况</t>
  </si>
  <si>
    <t>名称</t>
  </si>
  <si>
    <t>装机容量
(千瓦)</t>
  </si>
  <si>
    <t>发电量
(万千瓦时)</t>
  </si>
  <si>
    <r>
      <rPr>
        <sz val="10"/>
        <rFont val="Arial"/>
        <charset val="134"/>
      </rPr>
      <t>2010</t>
    </r>
    <r>
      <rPr>
        <sz val="10"/>
        <rFont val="宋体"/>
        <charset val="134"/>
      </rPr>
      <t>装机容量（千瓦）</t>
    </r>
  </si>
  <si>
    <r>
      <rPr>
        <sz val="10"/>
        <rFont val="Arial"/>
        <charset val="134"/>
      </rPr>
      <t>2011</t>
    </r>
    <r>
      <rPr>
        <sz val="10"/>
        <rFont val="宋体"/>
        <charset val="134"/>
      </rPr>
      <t>装机容量（千瓦）</t>
    </r>
  </si>
  <si>
    <r>
      <rPr>
        <sz val="10"/>
        <rFont val="Arial"/>
        <charset val="134"/>
      </rPr>
      <t>2012</t>
    </r>
    <r>
      <rPr>
        <sz val="10"/>
        <rFont val="宋体"/>
        <charset val="134"/>
      </rPr>
      <t>装机容量（千瓦）</t>
    </r>
  </si>
  <si>
    <t xml:space="preserve">              合计</t>
  </si>
  <si>
    <r>
      <rPr>
        <sz val="10"/>
        <rFont val="宋体"/>
        <charset val="134"/>
      </rPr>
      <t>全国</t>
    </r>
  </si>
  <si>
    <t>甘肃</t>
  </si>
  <si>
    <t xml:space="preserve">              上海市</t>
  </si>
  <si>
    <t>山西</t>
  </si>
  <si>
    <t>青海</t>
  </si>
  <si>
    <t>中国节能投资公司(虹桥客站)</t>
  </si>
  <si>
    <t>右卫光伏发电站</t>
  </si>
  <si>
    <t>平鲁阻虎发电站</t>
  </si>
  <si>
    <t>内蒙古</t>
  </si>
  <si>
    <t>新疆</t>
  </si>
  <si>
    <t xml:space="preserve">              江苏省</t>
  </si>
  <si>
    <t>阻虎发电站</t>
  </si>
  <si>
    <t>辽宁</t>
  </si>
  <si>
    <r>
      <rPr>
        <sz val="10"/>
        <rFont val="SimHei"/>
        <charset val="134"/>
      </rPr>
      <t>宁夏</t>
    </r>
  </si>
  <si>
    <t>徐州光伏协鑫发电公司</t>
  </si>
  <si>
    <t>上海</t>
  </si>
  <si>
    <t>中节能太阳能射阳发电有限公司</t>
  </si>
  <si>
    <t>国电四子王旗光伏发电有限公司</t>
  </si>
  <si>
    <t>后旗盾安光伏电站</t>
  </si>
  <si>
    <t>江苏</t>
  </si>
  <si>
    <t>中电投大丰光伏发电有限公司</t>
  </si>
  <si>
    <t>锡盟华电二连光伏发电厂</t>
  </si>
  <si>
    <t>磴口光伏电站</t>
  </si>
  <si>
    <t>安徽</t>
  </si>
  <si>
    <t>新疆建设兵团</t>
  </si>
  <si>
    <t>华电尚德东台太阳能发电有限公司</t>
  </si>
  <si>
    <t>国电光伏</t>
  </si>
  <si>
    <t>山东</t>
  </si>
  <si>
    <r>
      <rPr>
        <sz val="10"/>
        <rFont val="SimHei"/>
        <charset val="134"/>
      </rPr>
      <t>河北</t>
    </r>
  </si>
  <si>
    <t xml:space="preserve">                山东省</t>
  </si>
  <si>
    <t>中节节能光伏</t>
  </si>
  <si>
    <t>湖北</t>
  </si>
  <si>
    <r>
      <rPr>
        <sz val="10"/>
        <rFont val="SimHei"/>
        <charset val="134"/>
      </rPr>
      <t>山西</t>
    </r>
  </si>
  <si>
    <t>华翰十里营光伏电站</t>
  </si>
  <si>
    <t>国电光伏电站</t>
  </si>
  <si>
    <t>广东</t>
  </si>
  <si>
    <r>
      <rPr>
        <sz val="10"/>
        <rFont val="SimHei"/>
        <charset val="134"/>
      </rPr>
      <t>陕西</t>
    </r>
  </si>
  <si>
    <t xml:space="preserve">                云南省</t>
  </si>
  <si>
    <t>中节节能光伏电站</t>
  </si>
  <si>
    <t>海南</t>
  </si>
  <si>
    <r>
      <rPr>
        <sz val="10"/>
        <rFont val="SimHei"/>
        <charset val="134"/>
      </rPr>
      <t>云南</t>
    </r>
  </si>
  <si>
    <t>云南电投新能源开发有限公司石林光伏发电站</t>
  </si>
  <si>
    <t>云南</t>
  </si>
  <si>
    <r>
      <rPr>
        <sz val="10"/>
        <rFont val="SimHei"/>
        <charset val="134"/>
      </rPr>
      <t>山东</t>
    </r>
  </si>
  <si>
    <t>云南华能澜沧江水电有限公司石林光伏发电示范项目</t>
  </si>
  <si>
    <t>徐州协鑫光伏电力有限公司</t>
  </si>
  <si>
    <t>锦州阳光能源10兆瓦地面光伏发电站</t>
  </si>
  <si>
    <t>西藏</t>
  </si>
  <si>
    <r>
      <rPr>
        <sz val="10"/>
        <rFont val="SimHei"/>
        <charset val="134"/>
      </rPr>
      <t>西藏</t>
    </r>
  </si>
  <si>
    <t xml:space="preserve">                宁夏区</t>
  </si>
  <si>
    <t>陕西</t>
  </si>
  <si>
    <t>平罗光伏电站国电阿特斯一期</t>
  </si>
  <si>
    <t>中国节能投资公司虹桥客站光伏电站</t>
  </si>
  <si>
    <t>石嘴山光伏电站正泰一期</t>
  </si>
  <si>
    <t>四川</t>
  </si>
  <si>
    <t>宁夏发电集团太阳能试验电站</t>
  </si>
  <si>
    <t>中电投洪泽光伏发电有限公司</t>
  </si>
  <si>
    <t>宁夏</t>
  </si>
  <si>
    <t>江西</t>
  </si>
  <si>
    <t>宁夏发电集团太阳山光伏发电厂</t>
  </si>
  <si>
    <t>大唐新能源沭阳光伏电厂</t>
  </si>
  <si>
    <r>
      <rPr>
        <sz val="10"/>
        <rFont val="SimHei"/>
        <charset val="134"/>
      </rPr>
      <t>上海</t>
    </r>
  </si>
  <si>
    <t>华电宁夏宁东光伏电站</t>
  </si>
  <si>
    <t>南站光伏发电有限公司</t>
  </si>
  <si>
    <r>
      <rPr>
        <sz val="10"/>
        <rFont val="SimHei"/>
        <charset val="134"/>
      </rPr>
      <t>吉林</t>
    </r>
  </si>
  <si>
    <t>宁夏电力投资集团太阳山光伏电站</t>
  </si>
  <si>
    <t>国信泗阳光伏发电厂(2期)</t>
  </si>
  <si>
    <r>
      <rPr>
        <sz val="10"/>
        <rFont val="SimHei"/>
        <charset val="134"/>
      </rPr>
      <t>黑龙江</t>
    </r>
  </si>
  <si>
    <t>中节能太阳山光伏电站</t>
  </si>
  <si>
    <t>中电投建湖光伏发电有限公司</t>
  </si>
  <si>
    <r>
      <rPr>
        <sz val="10"/>
        <rFont val="SimHei"/>
        <charset val="134"/>
      </rPr>
      <t>河南</t>
    </r>
  </si>
  <si>
    <t>中节能石嘴山光伏电站</t>
  </si>
  <si>
    <t>宿迁光大洋河光伏发电厂(2期)</t>
  </si>
  <si>
    <r>
      <rPr>
        <sz val="10"/>
        <rFont val="SimHei"/>
        <charset val="134"/>
      </rPr>
      <t>安徽</t>
    </r>
  </si>
  <si>
    <t>青铜峡光伏电站大唐国际一期</t>
  </si>
  <si>
    <t>宿迁协合新能源电厂</t>
  </si>
  <si>
    <t>中卫光伏电站国电一期</t>
  </si>
  <si>
    <t>中电投常熟光伏发电有限公司</t>
  </si>
  <si>
    <t>国信泗阳光伏发电厂（2期）</t>
  </si>
  <si>
    <t>江苏吉阳电力有限公司光伏电站</t>
  </si>
  <si>
    <t>丰县晖泽光伏能源有限公司</t>
  </si>
  <si>
    <t>宿迁光大洋河光伏发电厂（2期）</t>
  </si>
  <si>
    <t>国华(江苏)风电有限公司光伏电站</t>
  </si>
  <si>
    <t>中节能东台太阳能发电有限公司</t>
  </si>
  <si>
    <t>江苏金宇新能源科技有限公司</t>
  </si>
  <si>
    <t>光大光伏能源(镇江)有限公司(二期)</t>
  </si>
  <si>
    <t>丰县阵泽光伏能源有限公司</t>
  </si>
  <si>
    <t>国华（江苏）风电有限公司光伏电站</t>
  </si>
  <si>
    <t>东营泰和光伏太阳能有限公司</t>
  </si>
  <si>
    <t>中节能太阳能发电(德州)</t>
  </si>
  <si>
    <t>光大光伏能源（镇江）有限公司（二期）</t>
  </si>
  <si>
    <t>汉能却州市太阳能发电有限公司</t>
  </si>
  <si>
    <t>广东国华太阳能光伏发电站</t>
  </si>
  <si>
    <t>“金太阳”光伏电站</t>
  </si>
  <si>
    <t>临高光伏电厂</t>
  </si>
  <si>
    <t>中节能太阳能发电（德州）</t>
  </si>
  <si>
    <t>华餘郭里光伏电站</t>
  </si>
  <si>
    <t>羊八井光伏电站</t>
  </si>
  <si>
    <t>力诺科技园光伏电站</t>
  </si>
  <si>
    <t>山南桑日光伏电站</t>
  </si>
  <si>
    <t>S城赛维太阳能生态园公司</t>
  </si>
  <si>
    <t>中广核桑日光伏电站</t>
  </si>
  <si>
    <t>力诺日喀则光伏电站</t>
  </si>
  <si>
    <t>光博光伏电站</t>
  </si>
  <si>
    <t>九里滩光伏电站</t>
  </si>
  <si>
    <t>省电投辰旭金塔光伏电站</t>
  </si>
  <si>
    <t>华电嘉峪关光伏电站</t>
  </si>
  <si>
    <t>国电金塔红柳洼光伏电站</t>
  </si>
  <si>
    <t>云南华电维的太阳能发电有限公司</t>
  </si>
  <si>
    <t>强生金塔光伏电站</t>
  </si>
  <si>
    <t>华电民勤光伏电站一期</t>
  </si>
  <si>
    <t>国电龙源张掖光伏电站</t>
  </si>
  <si>
    <t>国投敦煌光伏发电站</t>
  </si>
  <si>
    <t>中广核敦煌光伏发电站</t>
  </si>
  <si>
    <t>省投武威辰旭光伏电站</t>
  </si>
  <si>
    <t>中节能武威光伏电站</t>
  </si>
  <si>
    <t>山南保利协鑫光伏电站</t>
  </si>
  <si>
    <t>中节能光伏电厂</t>
  </si>
  <si>
    <t>山南无锡尚德光伏电站</t>
  </si>
  <si>
    <t>铜普乌兰光伏电厂</t>
  </si>
  <si>
    <t>龙源光羊八井伏电站二期</t>
  </si>
  <si>
    <t>神光光伏电厂</t>
  </si>
  <si>
    <t>国投光伏电厂</t>
  </si>
  <si>
    <t>龙源光伏电厂</t>
  </si>
  <si>
    <t>中广核光伏电厂</t>
  </si>
  <si>
    <t>华能格尔木光伏电厂</t>
  </si>
  <si>
    <t>黄河公司格尔木200MW光伏电站330</t>
  </si>
  <si>
    <t>黄河公司乌兰50WM光伏电站110</t>
  </si>
  <si>
    <t>海西格尔木北控20MWp</t>
  </si>
  <si>
    <t>中电投景泰光伏电站</t>
  </si>
  <si>
    <t>海西格尔木浙江正泰20MWp</t>
  </si>
  <si>
    <t>海西格尔木华电新能源10MWp</t>
  </si>
  <si>
    <t>海西格尔木国电电力10MWp</t>
  </si>
  <si>
    <t>中节能武威南大滩光伏电站</t>
  </si>
  <si>
    <t>海西格尔木大唐国际20MWp</t>
  </si>
  <si>
    <t>中节能玉门光伏电站</t>
  </si>
  <si>
    <t>海西格尔木三峡新能源10MWp</t>
  </si>
  <si>
    <t>中广核金塔红柳光伏电站</t>
  </si>
  <si>
    <t>海西格尔木大唐山东20MWp</t>
  </si>
  <si>
    <t>正泰金塔红柳光伏电站</t>
  </si>
  <si>
    <t>海西格尔木青海山一中氚(中海阳)10MWp</t>
  </si>
  <si>
    <t>国投鸣沙敦煌光伏电站</t>
  </si>
  <si>
    <t>海西格尔木青发投5MWp</t>
  </si>
  <si>
    <t>中广核鸣沙敦煌光伏电站一期</t>
  </si>
  <si>
    <t>海西格尔木青海钧石能源lOMWp</t>
  </si>
  <si>
    <t>中广核鸣沙敦煌光伏电站二期</t>
  </si>
  <si>
    <t>海西格尔木青海新能源(赛维)lOMWp</t>
  </si>
  <si>
    <t>正泰鸣沙敦煌光伏电站</t>
  </si>
  <si>
    <t>海西格尔木阳光能源20MWp</t>
  </si>
  <si>
    <t>中电投金塔光伏电站</t>
  </si>
  <si>
    <t>海西格尔木青海水电集团20MWp</t>
  </si>
  <si>
    <t>迪盛敦煌光伏电站</t>
  </si>
  <si>
    <t>海西格尔木京能10MWp</t>
  </si>
  <si>
    <t>国电电力敦煌光伏电站</t>
  </si>
  <si>
    <t>海西格尔木百科20MWp</t>
  </si>
  <si>
    <t>中科恒源武威民勤红柳洼光伏电站</t>
  </si>
  <si>
    <t>海西乌兰昱辉20MWp</t>
  </si>
  <si>
    <t>黑河水电张掖光伏电站</t>
  </si>
  <si>
    <t>海西乌兰尚德10MWp</t>
  </si>
  <si>
    <t>酒泉知行光伏电站</t>
  </si>
  <si>
    <t>海西德令哈华炜10MWp</t>
  </si>
  <si>
    <t>国廳煌光伏发电站</t>
  </si>
  <si>
    <t>海西德令哈力诺齐哈30MWp</t>
  </si>
  <si>
    <r>
      <rPr>
        <vertAlign val="subscript"/>
        <sz val="10"/>
        <rFont val="宋体"/>
        <charset val="134"/>
      </rPr>
      <t>(</t>
    </r>
    <r>
      <rPr>
        <sz val="10"/>
        <rFont val="宋体"/>
        <charset val="134"/>
      </rPr>
      <t>中广核敦煌光伏发电站</t>
    </r>
  </si>
  <si>
    <t>海西德令哈协和30MWp</t>
  </si>
  <si>
    <t>I省投武威辰旭光伏电站</t>
  </si>
  <si>
    <t>海西德令哈大唐lOMWp</t>
  </si>
  <si>
    <t>海西德令哈国电集团20MWp</t>
  </si>
  <si>
    <t>海西德令哈北京瑞启达lOMWp</t>
  </si>
  <si>
    <t>海南共和青海蓓翔光伏电站</t>
  </si>
  <si>
    <t>海南共和青海恒基光伏电站</t>
  </si>
  <si>
    <t>海西格尔木北控光伏电站</t>
  </si>
  <si>
    <t>海西格尔木浙江正泰光伏电站</t>
  </si>
  <si>
    <t>海西格尔木华电新能源光伏电站</t>
  </si>
  <si>
    <t>红寺堡光伏电站宁夏发电集团一期</t>
  </si>
  <si>
    <t>海西格尔木国电电力光伏电站</t>
  </si>
  <si>
    <t>海西格尔木大唐国际光伏电站</t>
  </si>
  <si>
    <t>盐池高沙窝光伏电站意科一期</t>
  </si>
  <si>
    <t>海西格尔木三峡新能源光伏电站</t>
  </si>
  <si>
    <t>石嘴山惠农光伏电站国投华靖一期</t>
  </si>
  <si>
    <t>海西格尔木大唐山东光伏电站</t>
  </si>
  <si>
    <t>中卫宣和光伏电站国电阿特斯一期</t>
  </si>
  <si>
    <r>
      <rPr>
        <sz val="10"/>
        <rFont val="宋体"/>
        <charset val="134"/>
      </rPr>
      <t>海西格尔木青海山</t>
    </r>
    <r>
      <rPr>
        <vertAlign val="subscript"/>
        <sz val="10"/>
        <rFont val="宋体"/>
        <charset val="134"/>
      </rPr>
      <t>7</t>
    </r>
    <r>
      <rPr>
        <sz val="10"/>
        <rFont val="宋体"/>
        <charset val="134"/>
      </rPr>
      <t>—中氚（中海阳）光伏电站</t>
    </r>
  </si>
  <si>
    <t>青铜峡光伏电站中广核一期</t>
  </si>
  <si>
    <t>海西格尔木青发投光伏电站</t>
  </si>
  <si>
    <t>青铜峡井沟光伏电站大唐新能源</t>
  </si>
  <si>
    <t>海西格尔木青海钓石能源光伏电站</t>
  </si>
  <si>
    <t>太阳山光伏电站中电投项目</t>
  </si>
  <si>
    <t>海西格尔木青海新能源（赛维）光伏电站</t>
  </si>
  <si>
    <t>太阳山光伏电站宁发电集团二期</t>
  </si>
  <si>
    <t>海西格尔木阳光能源光伏电站</t>
  </si>
  <si>
    <t>灵武光伏电站昂立项目</t>
  </si>
  <si>
    <t>海西格尔木青海水电集团光伏电站</t>
  </si>
  <si>
    <t>盐池高沙窝光伏电站意科二期</t>
  </si>
  <si>
    <t>海西格尔木京能光伏电站</t>
  </si>
  <si>
    <t>平罗光伏电站国电阿特斯二期</t>
  </si>
  <si>
    <t>海西格尔木百科光伏电站</t>
  </si>
  <si>
    <t>石嘴山光伏电站正泰二期</t>
  </si>
  <si>
    <t>海西乌兰昱辉光伏电站</t>
  </si>
  <si>
    <t>太阳山光伏电站中节能项目</t>
  </si>
  <si>
    <t>海西乌兰尚德光伏电站</t>
  </si>
  <si>
    <t>太阳山光伏电站中节能二期</t>
  </si>
  <si>
    <t>海西德令哈华炜光伏电站</t>
  </si>
  <si>
    <t>中卫马场湖光伏电站金阳项目</t>
  </si>
  <si>
    <t>海西德令哈力诺齐哈光伏电站</t>
  </si>
  <si>
    <t>中卫光伏电站恩菲项目</t>
  </si>
  <si>
    <t>海西德令哈协和光伏电站</t>
  </si>
  <si>
    <t>太阳山光伏电站京能项目</t>
  </si>
  <si>
    <t>海西德令哈大唐光休电站</t>
  </si>
  <si>
    <t>青铜峡光伏电站大唐国际二期</t>
  </si>
  <si>
    <t>海西德令哈国电集团光伏电站</t>
  </si>
  <si>
    <t>大武口光伏电站国电阿特斯一期</t>
  </si>
  <si>
    <t>海西德令哈北京瑞启达光伏电站</t>
  </si>
  <si>
    <t>中卫宣和光伏电站国电阿特斯二期</t>
  </si>
  <si>
    <t>中卫农村屋顶光伏宁发电项目</t>
  </si>
  <si>
    <t>分布式光伏电站</t>
  </si>
  <si>
    <t>海西格尔木力腾光伏电站光伏电站</t>
  </si>
  <si>
    <t>黄河水电共和30Mwp特许光伏电站</t>
  </si>
  <si>
    <t>110千伏托叶玛光伏电站</t>
  </si>
  <si>
    <t>海西格尔木黄河格尔木II期光伏电站</t>
  </si>
  <si>
    <t>海西格尔木浙江正泰II期光伏电站</t>
  </si>
  <si>
    <t>海西格尔木北控II期光伏电站</t>
  </si>
  <si>
    <t>海西格尔木大唐国际II期光伏电站</t>
  </si>
  <si>
    <t>.海西格尔木国电电力II期光伏电站</t>
  </si>
  <si>
    <t>海西格尔木青海水电集团（水电新光）II期光伏电站</t>
  </si>
  <si>
    <t>海西格尔木三峡新能源（华电华盈）II期光伏电站</t>
  </si>
  <si>
    <t>海西格尔木三峡新能源II期光伏电站</t>
  </si>
  <si>
    <t>海西德令哈大唐II期光伏电站</t>
  </si>
  <si>
    <t>海西德令哈华炜华炜II期光伏电站</t>
  </si>
  <si>
    <t>国电阿特斯平罗光伏电站一期</t>
  </si>
  <si>
    <t>中广核青铜峡光伏电站一期</t>
  </si>
  <si>
    <t>宁夏发电固原头营光伏电站项目</t>
  </si>
  <si>
    <t>正泰石嘴山光伏电站一期</t>
  </si>
  <si>
    <t>宁夏发电红寺堡光伏电站</t>
  </si>
  <si>
    <t>大唐国际青铜峡光伏电站一期</t>
  </si>
  <si>
    <t>国电阿特斯中卫宣和光伏电站一期</t>
  </si>
  <si>
    <t>国投华靖石嘴山惠农光伏电站一期</t>
  </si>
  <si>
    <t>大唐新能源青铜峡井沟光伏电站</t>
  </si>
  <si>
    <t>国电阿特斯中卫宣和光伏电站二期</t>
  </si>
  <si>
    <t>宁夏发电中卫农村屋顶光伏电站</t>
  </si>
  <si>
    <t>国电阿特斯大武口光伏电站一期</t>
  </si>
  <si>
    <t>意科盐池高沙窝光伏电站二期</t>
  </si>
  <si>
    <t>正泰石嘴山光伏电站二期</t>
  </si>
  <si>
    <t>国电阿特斯平罗光伏电站二期</t>
  </si>
  <si>
    <t>国投石嘴山光伏电站二期</t>
  </si>
  <si>
    <t>正泰太阳山光伏电站项目</t>
  </si>
  <si>
    <t>中节能太阳山光伏电站二期</t>
  </si>
  <si>
    <t>中电投太阳山光伏电站项目</t>
  </si>
  <si>
    <t>中节能太阳山光伏电站项目</t>
  </si>
  <si>
    <t>宁夏发电太阳山光伏电站二期</t>
  </si>
  <si>
    <t>京能太阳山光伏电站</t>
  </si>
  <si>
    <t>大唐国际青铜峡光伏电站二期</t>
  </si>
  <si>
    <t>阿克苏舒奇蒙光伏电站</t>
  </si>
  <si>
    <t>中电投新疆能源和田有限公司光伏电站</t>
  </si>
  <si>
    <t>中电投新疆能源哈密有限公司光伏电站</t>
  </si>
  <si>
    <t>中电投新疆能源吐鲁番有限公司光伏电站</t>
  </si>
  <si>
    <t>中广核太阳能哈密有限公司光伏电站</t>
  </si>
  <si>
    <t>中广核太阳能英吉沙有限公司光伏电站</t>
  </si>
  <si>
    <t>中广核青河太阳能有限公司光伏电站</t>
  </si>
  <si>
    <t>中节能太阳能鄯善有限公司光伏电站</t>
  </si>
  <si>
    <t>其它光伏项目</t>
  </si>
  <si>
    <t>各省（区、市）并网光伏电站统计表</t>
  </si>
  <si>
    <t>各省（区、市）分布式光伏发电统计表</t>
  </si>
  <si>
    <r>
      <rPr>
        <sz val="10"/>
        <rFont val="SimHei"/>
        <charset val="134"/>
      </rPr>
      <t>序号</t>
    </r>
  </si>
  <si>
    <r>
      <rPr>
        <sz val="10"/>
        <rFont val="SimHei"/>
        <charset val="134"/>
      </rPr>
      <t>省份</t>
    </r>
  </si>
  <si>
    <r>
      <rPr>
        <sz val="10"/>
        <rFont val="Arial"/>
        <charset val="134"/>
      </rPr>
      <t>2012</t>
    </r>
    <r>
      <rPr>
        <sz val="10"/>
        <rFont val="SimSun"/>
        <charset val="134"/>
      </rPr>
      <t>年底累计</t>
    </r>
  </si>
  <si>
    <r>
      <rPr>
        <sz val="10"/>
        <rFont val="Arial"/>
        <charset val="134"/>
      </rPr>
      <t>2013</t>
    </r>
    <r>
      <rPr>
        <sz val="10"/>
        <rFont val="SimHei"/>
        <charset val="134"/>
      </rPr>
      <t>年新增</t>
    </r>
  </si>
  <si>
    <r>
      <rPr>
        <sz val="10"/>
        <rFont val="Arial"/>
        <charset val="134"/>
      </rPr>
      <t>2013</t>
    </r>
    <r>
      <rPr>
        <sz val="10"/>
        <rFont val="SimHei"/>
        <charset val="134"/>
      </rPr>
      <t>年底累计</t>
    </r>
  </si>
  <si>
    <r>
      <rPr>
        <sz val="10"/>
        <rFont val="SimHei"/>
        <charset val="134"/>
      </rPr>
      <t>省</t>
    </r>
    <r>
      <rPr>
        <sz val="10"/>
        <rFont val="Arial"/>
        <charset val="134"/>
      </rPr>
      <t xml:space="preserve"> </t>
    </r>
    <r>
      <rPr>
        <sz val="10"/>
        <rFont val="SimHei"/>
        <charset val="134"/>
      </rPr>
      <t>（区、市）</t>
    </r>
  </si>
  <si>
    <r>
      <rPr>
        <sz val="10"/>
        <rFont val="Arial"/>
        <charset val="134"/>
      </rPr>
      <t>2012</t>
    </r>
    <r>
      <rPr>
        <sz val="10"/>
        <rFont val="SimHei"/>
        <charset val="134"/>
      </rPr>
      <t>年底累计</t>
    </r>
    <r>
      <rPr>
        <sz val="10"/>
        <rFont val="SimSun"/>
        <charset val="134"/>
      </rPr>
      <t>（</t>
    </r>
    <r>
      <rPr>
        <sz val="10"/>
        <rFont val="Arial"/>
        <charset val="134"/>
      </rPr>
      <t>MWp)</t>
    </r>
  </si>
  <si>
    <r>
      <rPr>
        <sz val="10"/>
        <rFont val="Arial"/>
        <charset val="134"/>
      </rPr>
      <t>2</t>
    </r>
    <r>
      <rPr>
        <sz val="10"/>
        <rFont val="SimHei"/>
        <charset val="134"/>
      </rPr>
      <t>0</t>
    </r>
    <r>
      <rPr>
        <sz val="10"/>
        <rFont val="Arial"/>
        <charset val="134"/>
      </rPr>
      <t>13</t>
    </r>
    <r>
      <rPr>
        <sz val="10"/>
        <rFont val="SimHei"/>
        <charset val="134"/>
      </rPr>
      <t>年底累计</t>
    </r>
  </si>
  <si>
    <r>
      <rPr>
        <sz val="10"/>
        <rFont val="宋体"/>
        <charset val="134"/>
      </rPr>
      <t>并网容量（</t>
    </r>
    <r>
      <rPr>
        <sz val="10"/>
        <rFont val="Arial"/>
        <charset val="134"/>
      </rPr>
      <t>MWp)</t>
    </r>
  </si>
  <si>
    <r>
      <rPr>
        <sz val="10"/>
        <rFont val="宋体"/>
        <charset val="134"/>
      </rPr>
      <t>电站个数</t>
    </r>
  </si>
  <si>
    <r>
      <rPr>
        <sz val="10"/>
        <rFont val="SimHei"/>
        <charset val="134"/>
      </rPr>
      <t>市场份额</t>
    </r>
  </si>
  <si>
    <r>
      <rPr>
        <sz val="10"/>
        <rFont val="SimHei"/>
        <charset val="134"/>
      </rPr>
      <t>浙江</t>
    </r>
  </si>
  <si>
    <r>
      <rPr>
        <sz val="10"/>
        <rFont val="SimHei"/>
        <charset val="134"/>
      </rPr>
      <t>湖南</t>
    </r>
  </si>
  <si>
    <r>
      <rPr>
        <sz val="10"/>
        <rFont val="SimHei"/>
        <charset val="134"/>
      </rPr>
      <t>广东</t>
    </r>
  </si>
  <si>
    <r>
      <rPr>
        <sz val="10"/>
        <rFont val="SimHei"/>
        <charset val="134"/>
      </rPr>
      <t>江苏</t>
    </r>
  </si>
  <si>
    <r>
      <rPr>
        <sz val="10"/>
        <rFont val="SimHei"/>
        <charset val="134"/>
      </rPr>
      <t>江西</t>
    </r>
  </si>
  <si>
    <r>
      <rPr>
        <sz val="10"/>
        <rFont val="SimHei"/>
        <charset val="134"/>
      </rPr>
      <t>湖北</t>
    </r>
  </si>
  <si>
    <r>
      <rPr>
        <sz val="10"/>
        <rFont val="SimHei"/>
        <charset val="134"/>
      </rPr>
      <t>北京</t>
    </r>
  </si>
  <si>
    <r>
      <rPr>
        <sz val="10"/>
        <rFont val="SimHei"/>
        <charset val="134"/>
      </rPr>
      <t>海南</t>
    </r>
  </si>
  <si>
    <r>
      <rPr>
        <sz val="10"/>
        <rFont val="SimHei"/>
        <charset val="134"/>
      </rPr>
      <t>福建</t>
    </r>
  </si>
  <si>
    <r>
      <rPr>
        <sz val="10"/>
        <rFont val="SimHei"/>
        <charset val="134"/>
      </rPr>
      <t>辽宁</t>
    </r>
  </si>
  <si>
    <t>广西</t>
  </si>
  <si>
    <r>
      <rPr>
        <sz val="10"/>
        <rFont val="SimHei"/>
        <charset val="134"/>
      </rPr>
      <t>天津</t>
    </r>
  </si>
  <si>
    <r>
      <rPr>
        <sz val="10"/>
        <rFont val="SimHei"/>
        <charset val="134"/>
      </rPr>
      <t>合计</t>
    </r>
  </si>
  <si>
    <r>
      <rPr>
        <sz val="10"/>
        <rFont val="SimHei"/>
        <charset val="134"/>
      </rPr>
      <t>甘肃</t>
    </r>
  </si>
  <si>
    <t>Source</t>
  </si>
  <si>
    <r>
      <rPr>
        <sz val="10"/>
        <rFont val="SimHei"/>
        <charset val="134"/>
      </rPr>
      <t>四川</t>
    </r>
  </si>
  <si>
    <r>
      <rPr>
        <sz val="10"/>
        <rFont val="SimHei"/>
        <charset val="134"/>
      </rPr>
      <t>重庆</t>
    </r>
  </si>
  <si>
    <r>
      <rPr>
        <sz val="10"/>
        <rFont val="SimHei"/>
        <charset val="134"/>
      </rPr>
      <t>注：西藏、吉林等部分省份统计不完全。</t>
    </r>
  </si>
  <si>
    <r>
      <rPr>
        <sz val="10"/>
        <rFont val="Arial"/>
        <charset val="134"/>
      </rPr>
      <t>2014</t>
    </r>
    <r>
      <rPr>
        <sz val="10"/>
        <rFont val="宋体"/>
        <charset val="134"/>
      </rPr>
      <t>年光伏发电统计信息</t>
    </r>
  </si>
  <si>
    <r>
      <rPr>
        <sz val="10"/>
        <rFont val="Arial"/>
        <charset val="134"/>
      </rPr>
      <t>2015</t>
    </r>
    <r>
      <rPr>
        <sz val="10"/>
        <rFont val="宋体"/>
        <charset val="134"/>
      </rPr>
      <t>年光伏发电统计信息</t>
    </r>
  </si>
  <si>
    <r>
      <rPr>
        <sz val="10"/>
        <rFont val="Arial"/>
        <charset val="134"/>
      </rPr>
      <t>2016</t>
    </r>
    <r>
      <rPr>
        <sz val="10"/>
        <rFont val="宋体"/>
        <charset val="134"/>
      </rPr>
      <t>年光伏发电统计信息</t>
    </r>
  </si>
  <si>
    <r>
      <rPr>
        <sz val="10"/>
        <color rgb="FF000000"/>
        <rFont val="宋体"/>
        <charset val="134"/>
      </rPr>
      <t>省（区、市）</t>
    </r>
  </si>
  <si>
    <r>
      <rPr>
        <sz val="10"/>
        <color rgb="FF000000"/>
        <rFont val="宋体"/>
        <charset val="134"/>
      </rPr>
      <t>累计装机容量</t>
    </r>
  </si>
  <si>
    <r>
      <rPr>
        <sz val="10"/>
        <color rgb="FF000000"/>
        <rFont val="宋体"/>
        <charset val="134"/>
      </rPr>
      <t>新增装机容量</t>
    </r>
  </si>
  <si>
    <t>累计装机容量</t>
  </si>
  <si>
    <t>新增装机容量</t>
  </si>
  <si>
    <r>
      <rPr>
        <sz val="10"/>
        <color rgb="FF000000"/>
        <rFont val="宋体"/>
        <charset val="134"/>
      </rPr>
      <t>其中：分布式光伏</t>
    </r>
  </si>
  <si>
    <r>
      <rPr>
        <sz val="10"/>
        <color rgb="FF000000"/>
        <rFont val="宋体"/>
        <charset val="134"/>
      </rPr>
      <t>其中：光伏电站</t>
    </r>
  </si>
  <si>
    <r>
      <rPr>
        <sz val="10"/>
        <color rgb="FF000000"/>
        <rFont val="宋体"/>
        <charset val="134"/>
      </rPr>
      <t>总计</t>
    </r>
  </si>
  <si>
    <r>
      <rPr>
        <sz val="10"/>
        <color rgb="FF000000"/>
        <rFont val="宋体"/>
        <charset val="134"/>
      </rPr>
      <t>北京</t>
    </r>
  </si>
  <si>
    <r>
      <rPr>
        <sz val="10"/>
        <color rgb="FF000000"/>
        <rFont val="宋体"/>
        <charset val="134"/>
      </rPr>
      <t>天津</t>
    </r>
  </si>
  <si>
    <r>
      <rPr>
        <sz val="10"/>
        <color rgb="FF000000"/>
        <rFont val="宋体"/>
        <charset val="134"/>
      </rPr>
      <t>河北</t>
    </r>
  </si>
  <si>
    <r>
      <rPr>
        <sz val="10"/>
        <color rgb="FF000000"/>
        <rFont val="宋体"/>
        <charset val="134"/>
      </rPr>
      <t>山西</t>
    </r>
  </si>
  <si>
    <r>
      <rPr>
        <sz val="10"/>
        <color rgb="FF000000"/>
        <rFont val="宋体"/>
        <charset val="134"/>
      </rPr>
      <t>内蒙古</t>
    </r>
  </si>
  <si>
    <r>
      <rPr>
        <sz val="10"/>
        <color rgb="FF000000"/>
        <rFont val="宋体"/>
        <charset val="134"/>
      </rPr>
      <t>辽宁</t>
    </r>
  </si>
  <si>
    <r>
      <rPr>
        <sz val="10"/>
        <color rgb="FF000000"/>
        <rFont val="宋体"/>
        <charset val="134"/>
      </rPr>
      <t>吉林</t>
    </r>
  </si>
  <si>
    <r>
      <rPr>
        <sz val="10"/>
        <color rgb="FF000000"/>
        <rFont val="宋体"/>
        <charset val="134"/>
      </rPr>
      <t>黑龙江</t>
    </r>
  </si>
  <si>
    <r>
      <rPr>
        <sz val="10"/>
        <color rgb="FF000000"/>
        <rFont val="宋体"/>
        <charset val="134"/>
      </rPr>
      <t>上海</t>
    </r>
  </si>
  <si>
    <r>
      <rPr>
        <sz val="10"/>
        <color rgb="FF000000"/>
        <rFont val="宋体"/>
        <charset val="134"/>
      </rPr>
      <t>江苏</t>
    </r>
  </si>
  <si>
    <r>
      <rPr>
        <sz val="10"/>
        <color rgb="FF000000"/>
        <rFont val="宋体"/>
        <charset val="134"/>
      </rPr>
      <t>浙江</t>
    </r>
  </si>
  <si>
    <r>
      <rPr>
        <sz val="10"/>
        <color rgb="FF000000"/>
        <rFont val="宋体"/>
        <charset val="134"/>
      </rPr>
      <t>安徽</t>
    </r>
  </si>
  <si>
    <r>
      <rPr>
        <sz val="10"/>
        <color rgb="FF000000"/>
        <rFont val="宋体"/>
        <charset val="134"/>
      </rPr>
      <t>福建</t>
    </r>
  </si>
  <si>
    <r>
      <rPr>
        <sz val="10"/>
        <color rgb="FF000000"/>
        <rFont val="宋体"/>
        <charset val="134"/>
      </rPr>
      <t>江西</t>
    </r>
  </si>
  <si>
    <r>
      <rPr>
        <sz val="10"/>
        <color rgb="FF000000"/>
        <rFont val="宋体"/>
        <charset val="134"/>
      </rPr>
      <t>山东</t>
    </r>
  </si>
  <si>
    <r>
      <rPr>
        <sz val="10"/>
        <color rgb="FF000000"/>
        <rFont val="宋体"/>
        <charset val="134"/>
      </rPr>
      <t>河南</t>
    </r>
  </si>
  <si>
    <r>
      <rPr>
        <sz val="10"/>
        <color rgb="FF000000"/>
        <rFont val="宋体"/>
        <charset val="134"/>
      </rPr>
      <t>湖北</t>
    </r>
  </si>
  <si>
    <r>
      <rPr>
        <sz val="10"/>
        <color rgb="FF000000"/>
        <rFont val="宋体"/>
        <charset val="134"/>
      </rPr>
      <t>湖南</t>
    </r>
  </si>
  <si>
    <r>
      <rPr>
        <sz val="10"/>
        <color rgb="FF000000"/>
        <rFont val="宋体"/>
        <charset val="134"/>
      </rPr>
      <t>广东</t>
    </r>
  </si>
  <si>
    <r>
      <rPr>
        <sz val="10"/>
        <color rgb="FF000000"/>
        <rFont val="宋体"/>
        <charset val="134"/>
      </rPr>
      <t>广西</t>
    </r>
  </si>
  <si>
    <r>
      <rPr>
        <sz val="10"/>
        <color rgb="FF000000"/>
        <rFont val="宋体"/>
        <charset val="134"/>
      </rPr>
      <t>海南</t>
    </r>
  </si>
  <si>
    <r>
      <rPr>
        <sz val="10"/>
        <color rgb="FF000000"/>
        <rFont val="宋体"/>
        <charset val="134"/>
      </rPr>
      <t>重庆</t>
    </r>
  </si>
  <si>
    <r>
      <rPr>
        <sz val="10"/>
        <color rgb="FF000000"/>
        <rFont val="宋体"/>
        <charset val="134"/>
      </rPr>
      <t>四川</t>
    </r>
  </si>
  <si>
    <r>
      <rPr>
        <sz val="10"/>
        <color rgb="FF000000"/>
        <rFont val="宋体"/>
        <charset val="134"/>
      </rPr>
      <t>贵州</t>
    </r>
  </si>
  <si>
    <r>
      <rPr>
        <sz val="10"/>
        <color rgb="FF000000"/>
        <rFont val="宋体"/>
        <charset val="134"/>
      </rPr>
      <t>云南</t>
    </r>
  </si>
  <si>
    <r>
      <rPr>
        <sz val="10"/>
        <color rgb="FF000000"/>
        <rFont val="宋体"/>
        <charset val="134"/>
      </rPr>
      <t>西藏</t>
    </r>
  </si>
  <si>
    <r>
      <rPr>
        <sz val="10"/>
        <color rgb="FF000000"/>
        <rFont val="宋体"/>
        <charset val="134"/>
      </rPr>
      <t>陕西</t>
    </r>
  </si>
  <si>
    <r>
      <rPr>
        <sz val="10"/>
        <color rgb="FF000000"/>
        <rFont val="宋体"/>
        <charset val="134"/>
      </rPr>
      <t>甘肃</t>
    </r>
  </si>
  <si>
    <r>
      <rPr>
        <sz val="10"/>
        <color rgb="FF000000"/>
        <rFont val="宋体"/>
        <charset val="134"/>
      </rPr>
      <t>青海</t>
    </r>
  </si>
  <si>
    <r>
      <rPr>
        <sz val="10"/>
        <color rgb="FF000000"/>
        <rFont val="宋体"/>
        <charset val="134"/>
      </rPr>
      <t>宁夏</t>
    </r>
  </si>
  <si>
    <r>
      <rPr>
        <sz val="10"/>
        <color rgb="FF000000"/>
        <rFont val="宋体"/>
        <charset val="134"/>
      </rPr>
      <t>新疆</t>
    </r>
  </si>
  <si>
    <r>
      <rPr>
        <sz val="10"/>
        <color rgb="FF000000"/>
        <rFont val="Arial"/>
        <charset val="134"/>
      </rPr>
      <t>*</t>
    </r>
    <r>
      <rPr>
        <sz val="10"/>
        <color rgb="FF000000"/>
        <rFont val="宋体"/>
        <charset val="134"/>
      </rPr>
      <t>注：</t>
    </r>
    <r>
      <rPr>
        <sz val="10"/>
        <color rgb="FF000000"/>
        <rFont val="Arial"/>
        <charset val="134"/>
      </rPr>
      <t>2015</t>
    </r>
    <r>
      <rPr>
        <sz val="10"/>
        <color rgb="FF000000"/>
        <rFont val="Times New Roman"/>
        <charset val="134"/>
      </rPr>
      <t>年内蒙古、新疆、云南的分布式发电统计数据存在误差，分别为</t>
    </r>
    <r>
      <rPr>
        <sz val="10"/>
        <color rgb="FF000000"/>
        <rFont val="Arial"/>
        <charset val="134"/>
      </rPr>
      <t>18</t>
    </r>
    <r>
      <rPr>
        <sz val="10"/>
        <color rgb="FF000000"/>
        <rFont val="Times New Roman"/>
        <charset val="134"/>
      </rPr>
      <t>万、</t>
    </r>
    <r>
      <rPr>
        <sz val="10"/>
        <color rgb="FF000000"/>
        <rFont val="Arial"/>
        <charset val="134"/>
      </rPr>
      <t>4</t>
    </r>
    <r>
      <rPr>
        <sz val="10"/>
        <color rgb="FF000000"/>
        <rFont val="Times New Roman"/>
        <charset val="134"/>
      </rPr>
      <t>万、</t>
    </r>
    <r>
      <rPr>
        <sz val="10"/>
        <color rgb="FF000000"/>
        <rFont val="Arial"/>
        <charset val="134"/>
      </rPr>
      <t>1</t>
    </r>
    <r>
      <rPr>
        <sz val="10"/>
        <color rgb="FF000000"/>
        <rFont val="Times New Roman"/>
        <charset val="134"/>
      </rPr>
      <t>万千瓦，在本表数据中进行了相应核减，故三省新增装机容量小于其光伏电站装机容量。</t>
    </r>
  </si>
  <si>
    <t>户用分布式</t>
  </si>
  <si>
    <t>光伏电站</t>
  </si>
  <si>
    <t>分布式光伏</t>
  </si>
  <si>
    <t>北京</t>
  </si>
  <si>
    <t>天津</t>
  </si>
  <si>
    <t>河北</t>
  </si>
  <si>
    <t>其中：河北南网</t>
  </si>
  <si>
    <t>冀北电网</t>
  </si>
  <si>
    <t>其中：蒙西</t>
  </si>
  <si>
    <t>蒙东</t>
  </si>
  <si>
    <t>吉林</t>
  </si>
  <si>
    <t>黑龙江</t>
  </si>
  <si>
    <t>浙江</t>
  </si>
  <si>
    <t>福建</t>
  </si>
  <si>
    <t>河南</t>
  </si>
  <si>
    <t>湖南</t>
  </si>
  <si>
    <t>重庆</t>
  </si>
  <si>
    <t>新疆自治区（含兵团）</t>
  </si>
  <si>
    <t>贵州</t>
  </si>
  <si>
    <t>历年光伏电站装机容量（MW）</t>
  </si>
  <si>
    <t>历年光伏电站新增装机容量（MW）</t>
  </si>
  <si>
    <r>
      <rPr>
        <sz val="11"/>
        <color theme="1"/>
        <rFont val="等线"/>
        <charset val="134"/>
      </rPr>
      <t>全国</t>
    </r>
  </si>
  <si>
    <r>
      <rPr>
        <sz val="11"/>
        <color theme="1"/>
        <rFont val="等线"/>
        <charset val="134"/>
      </rPr>
      <t>北京市</t>
    </r>
  </si>
  <si>
    <r>
      <rPr>
        <sz val="11"/>
        <color theme="1"/>
        <rFont val="等线"/>
        <charset val="134"/>
      </rPr>
      <t>天津市</t>
    </r>
  </si>
  <si>
    <r>
      <rPr>
        <sz val="11"/>
        <color theme="1"/>
        <rFont val="等线"/>
        <charset val="134"/>
      </rPr>
      <t>河北省</t>
    </r>
  </si>
  <si>
    <r>
      <rPr>
        <sz val="11"/>
        <color theme="1"/>
        <rFont val="等线"/>
        <charset val="134"/>
      </rPr>
      <t>山西省</t>
    </r>
  </si>
  <si>
    <r>
      <rPr>
        <sz val="11"/>
        <color theme="1"/>
        <rFont val="等线"/>
        <charset val="134"/>
      </rPr>
      <t>内蒙古自治区</t>
    </r>
  </si>
  <si>
    <r>
      <rPr>
        <sz val="11"/>
        <color theme="1"/>
        <rFont val="等线"/>
        <charset val="134"/>
      </rPr>
      <t>辽宁省</t>
    </r>
  </si>
  <si>
    <r>
      <rPr>
        <sz val="11"/>
        <color theme="1"/>
        <rFont val="等线"/>
        <charset val="134"/>
      </rPr>
      <t>吉林省</t>
    </r>
  </si>
  <si>
    <r>
      <rPr>
        <sz val="11"/>
        <color theme="1"/>
        <rFont val="等线"/>
        <charset val="134"/>
      </rPr>
      <t>黑龙江省</t>
    </r>
  </si>
  <si>
    <r>
      <rPr>
        <sz val="11"/>
        <color theme="1"/>
        <rFont val="等线"/>
        <charset val="134"/>
      </rPr>
      <t>上海市</t>
    </r>
  </si>
  <si>
    <r>
      <rPr>
        <sz val="11"/>
        <color theme="1"/>
        <rFont val="等线"/>
        <charset val="134"/>
      </rPr>
      <t>江苏省</t>
    </r>
  </si>
  <si>
    <r>
      <rPr>
        <sz val="11"/>
        <color theme="1"/>
        <rFont val="等线"/>
        <charset val="134"/>
      </rPr>
      <t>浙江省</t>
    </r>
  </si>
  <si>
    <r>
      <rPr>
        <sz val="11"/>
        <color theme="1"/>
        <rFont val="等线"/>
        <charset val="134"/>
      </rPr>
      <t>安徽省</t>
    </r>
  </si>
  <si>
    <r>
      <rPr>
        <sz val="11"/>
        <color theme="1"/>
        <rFont val="等线"/>
        <charset val="134"/>
      </rPr>
      <t>福建省</t>
    </r>
  </si>
  <si>
    <r>
      <rPr>
        <sz val="11"/>
        <color theme="1"/>
        <rFont val="等线"/>
        <charset val="134"/>
      </rPr>
      <t>江西省</t>
    </r>
  </si>
  <si>
    <r>
      <rPr>
        <sz val="11"/>
        <color theme="1"/>
        <rFont val="等线"/>
        <charset val="134"/>
      </rPr>
      <t>山东省</t>
    </r>
  </si>
  <si>
    <r>
      <rPr>
        <sz val="11"/>
        <color theme="1"/>
        <rFont val="等线"/>
        <charset val="134"/>
      </rPr>
      <t>河南省</t>
    </r>
  </si>
  <si>
    <r>
      <rPr>
        <sz val="11"/>
        <color theme="1"/>
        <rFont val="等线"/>
        <charset val="134"/>
      </rPr>
      <t>湖北省</t>
    </r>
  </si>
  <si>
    <r>
      <rPr>
        <sz val="11"/>
        <color theme="1"/>
        <rFont val="等线"/>
        <charset val="134"/>
      </rPr>
      <t>湖南省</t>
    </r>
  </si>
  <si>
    <r>
      <rPr>
        <sz val="11"/>
        <color theme="1"/>
        <rFont val="等线"/>
        <charset val="134"/>
      </rPr>
      <t>广东省</t>
    </r>
  </si>
  <si>
    <r>
      <rPr>
        <sz val="11"/>
        <color theme="1"/>
        <rFont val="等线"/>
        <charset val="134"/>
      </rPr>
      <t>广西壮族自治区</t>
    </r>
  </si>
  <si>
    <r>
      <rPr>
        <sz val="11"/>
        <color theme="1"/>
        <rFont val="等线"/>
        <charset val="134"/>
      </rPr>
      <t>海南省</t>
    </r>
  </si>
  <si>
    <r>
      <rPr>
        <sz val="11"/>
        <color theme="1"/>
        <rFont val="等线"/>
        <charset val="134"/>
      </rPr>
      <t>重庆市</t>
    </r>
  </si>
  <si>
    <r>
      <rPr>
        <sz val="11"/>
        <color theme="1"/>
        <rFont val="等线"/>
        <charset val="134"/>
      </rPr>
      <t>四川省</t>
    </r>
  </si>
  <si>
    <r>
      <rPr>
        <sz val="11"/>
        <color theme="1"/>
        <rFont val="等线"/>
        <charset val="134"/>
      </rPr>
      <t>贵州省</t>
    </r>
  </si>
  <si>
    <r>
      <rPr>
        <sz val="11"/>
        <color theme="1"/>
        <rFont val="等线"/>
        <charset val="134"/>
      </rPr>
      <t>云南省</t>
    </r>
  </si>
  <si>
    <r>
      <rPr>
        <sz val="11"/>
        <color theme="1"/>
        <rFont val="等线"/>
        <charset val="134"/>
      </rPr>
      <t>西藏自治区</t>
    </r>
  </si>
  <si>
    <r>
      <rPr>
        <sz val="11"/>
        <color theme="1"/>
        <rFont val="等线"/>
        <charset val="134"/>
      </rPr>
      <t>陕西省</t>
    </r>
  </si>
  <si>
    <r>
      <rPr>
        <sz val="11"/>
        <color theme="1"/>
        <rFont val="等线"/>
        <charset val="134"/>
      </rPr>
      <t>甘肃省</t>
    </r>
  </si>
  <si>
    <r>
      <rPr>
        <sz val="11"/>
        <color theme="1"/>
        <rFont val="等线"/>
        <charset val="134"/>
      </rPr>
      <t>青海省</t>
    </r>
  </si>
  <si>
    <r>
      <rPr>
        <sz val="11"/>
        <color theme="1"/>
        <rFont val="等线"/>
        <charset val="134"/>
      </rPr>
      <t>宁夏回族自治区</t>
    </r>
  </si>
  <si>
    <r>
      <rPr>
        <sz val="11"/>
        <color theme="1"/>
        <rFont val="等线"/>
        <charset val="134"/>
      </rPr>
      <t>新疆维吾尔自治区</t>
    </r>
  </si>
  <si>
    <t>项目名称</t>
  </si>
  <si>
    <t>项目状态</t>
  </si>
  <si>
    <t>建成时间</t>
  </si>
  <si>
    <t>省份</t>
  </si>
  <si>
    <t>装机容量（MW）</t>
  </si>
  <si>
    <t>年设计发电量（亿千瓦时）</t>
  </si>
  <si>
    <t>塔/线/槽式</t>
  </si>
  <si>
    <t>建成时间（预计）</t>
  </si>
  <si>
    <t>建设状态</t>
  </si>
  <si>
    <t>开工时间</t>
  </si>
  <si>
    <t>中广核太阳能德令哈有限公司导热油槽式5万千瓦光热发电项目</t>
  </si>
  <si>
    <t>投运</t>
  </si>
  <si>
    <t>青海省德令哈市西出口光伏（热）产业园区</t>
  </si>
  <si>
    <t>槽式</t>
  </si>
  <si>
    <t>2018年6月30日并网</t>
  </si>
  <si>
    <t>建成投运</t>
  </si>
  <si>
    <t>首航高科能源技术股份有限公司（原北京首航艾启威节能技术股份有限公司）敦煌熔盐塔式10万千瓦光热发电示范项目</t>
  </si>
  <si>
    <t>甘肃省敦煌市七 里镇西光电产业园</t>
  </si>
  <si>
    <t>塔式</t>
  </si>
  <si>
    <t>2019 年 6 月</t>
  </si>
  <si>
    <t>青海中控太阳能发电有限公司德令哈熔盐塔式5万千万光热发电项目</t>
  </si>
  <si>
    <t>青海省德令哈 市西出口光伏（热）产业园区</t>
  </si>
  <si>
    <t>2018 年 12 月 30 日并网发电，2019 年 4 月 17 日实现了满
负荷运行</t>
  </si>
  <si>
    <t>中国电建西北勘测设计研究院有限公司共和熔盐塔式5万千瓦光热发电项目（中电建青海共和 50MW 塔式项目）</t>
  </si>
  <si>
    <t>青海省海南州共和县生态太阳能发电园区</t>
  </si>
  <si>
    <t>2020 年 11 月 6 日实现满负荷运行 2021 年 4 月通过国家光热
发电项目示范性验收</t>
  </si>
  <si>
    <t>中国电力工程顾问集团西北电力设计院有限公司哈密熔盐塔式5万千瓦光热发电项目（中能建哈密 50MW 塔式项目）</t>
  </si>
  <si>
    <t>新疆哈密市伊吾县</t>
  </si>
  <si>
    <t>2019 年 12 月 29 日实现首次并网。2021 年 6 月 18 日凌
晨 01 时 26 分并网发电，9 月 6 日实现全容量发电。</t>
  </si>
  <si>
    <t>2017 年 10 月 19 日</t>
  </si>
  <si>
    <t>兰州大成科技股份有限公司敦煌熔盐线性菲涅尔式5万千瓦光热发电示范项目（兰州大成敦煌 50MW 线菲项目）</t>
  </si>
  <si>
    <t>甘肃省敦煌市七里镇光电产业园区</t>
  </si>
  <si>
    <t>线性
菲涅耳式</t>
  </si>
  <si>
    <t>2019 年 12 月 31 日实现并网发电。2020年 6 月 18 日太阳能集热场系统整体并网发电投运 [17</t>
  </si>
  <si>
    <t>内蒙古中核龙腾新能源有限公司乌拉特中旗导热油槽式10万千瓦光热发电项目（中船新能乌拉特中旗 100MW 槽式项目）</t>
  </si>
  <si>
    <t>内蒙古巴彦淖尔市乌拉特中旗</t>
  </si>
  <si>
    <t>2020 年 1 月 8 日首次
实现并网发电，2020 年 12 月 16 日实现满负荷发电，2021 年 10 月 20 日通过国家示范性验收。</t>
  </si>
  <si>
    <t>2018 年 6 月</t>
  </si>
  <si>
    <t>鲁能格尔木多能互补 50MW 塔式项目</t>
  </si>
  <si>
    <t>青海省海西州多能互补基地</t>
  </si>
  <si>
    <t xml:space="preserve"> 2019年 9 月 19 日成功一次并网， 2020 年 8 月 27 日完成了 120 小时可靠性运行， 2021 年 5 月 14 日，光热电站完成涉网联合试验。</t>
  </si>
  <si>
    <t>玉门鑫能光热第一电力有限公司熔盐塔式5万千瓦光热发电项目</t>
  </si>
  <si>
    <t>玉门市</t>
  </si>
  <si>
    <t>2017年8月31 日，常规动力岛正式开工建设</t>
  </si>
  <si>
    <t>深圳市金钒能源科技有限公司阿克塞5万千瓦熔盐槽式光热发电项目</t>
  </si>
  <si>
    <t>在建</t>
  </si>
  <si>
    <t>主体工程2017年6月份开工建设</t>
  </si>
  <si>
    <t>国电投黄河上游水电开发有限责任公司德令哈水工质塔式13.5万千瓦光热发电项目（现由中控太阳能接续开发）</t>
  </si>
  <si>
    <t>2021年3月25日项目正式开建。</t>
  </si>
  <si>
    <t>中国三峡新能源有限公司金塔熔盐塔式10万千瓦光热发电项目（现由中控太阳能接续开发）</t>
  </si>
  <si>
    <t>计划于2023年底实现全容量并网发电</t>
  </si>
  <si>
    <t>达华工程管理（集团）有限公司尚义水工质塔式5万千瓦光热发电项目</t>
  </si>
  <si>
    <t>北京国华电力有限责任公司玉门熔盐塔式10万千瓦光热发电项目（现由首航高科接续开发）</t>
  </si>
  <si>
    <t>退出首批</t>
  </si>
  <si>
    <t>常州龙腾太阳能热电设备有限公司玉门东镇导热油槽式5万千瓦光热发电项目</t>
  </si>
  <si>
    <t>2018年6月19日奠基</t>
  </si>
  <si>
    <t>中海阳能源集团股份有限公司玉门东镇导热油槽式5万千瓦光热发电项目</t>
  </si>
  <si>
    <t>2017年8月12日，前期场平工程正式启动，项目正式进入全面建设阶段。</t>
  </si>
  <si>
    <t>中节能甘肃武威太阳能发电有限公司古浪导热油槽式10万千瓦光热发电项目</t>
  </si>
  <si>
    <t>中阳张家口察北能源有限公司熔盐槽式6.4万千瓦光热发电项目</t>
  </si>
  <si>
    <t>2017年4月17日（2014年7月举行开工仪式。）</t>
  </si>
  <si>
    <t>北方联合电力有限责任公司乌拉特旗导热油菲涅尔式5万千瓦光热发电项目</t>
  </si>
  <si>
    <t>中信张北新能源开发有限公司水工质类菲涅尔式5万千瓦光热发电项目</t>
  </si>
  <si>
    <t>张北华强兆阳能源有限公司张家口水工质类菲涅尔式5万千瓦太阳能热发电项目</t>
  </si>
  <si>
    <r>
      <rPr>
        <b/>
        <sz val="11"/>
        <color rgb="FF000000"/>
        <rFont val="宋体"/>
        <charset val="134"/>
      </rPr>
      <t>全国并网燃气发电机组情况表（截至</t>
    </r>
    <r>
      <rPr>
        <b/>
        <sz val="11"/>
        <color rgb="FF000000"/>
        <rFont val="Times New Roman"/>
        <charset val="134"/>
      </rPr>
      <t xml:space="preserve"> 2012 </t>
    </r>
    <r>
      <rPr>
        <b/>
        <sz val="11"/>
        <color rgb="FF000000"/>
        <rFont val="宋体"/>
        <charset val="134"/>
      </rPr>
      <t>年底）</t>
    </r>
  </si>
  <si>
    <r>
      <rPr>
        <sz val="11"/>
        <rFont val="黑体"/>
        <charset val="134"/>
      </rPr>
      <t>地区</t>
    </r>
  </si>
  <si>
    <r>
      <rPr>
        <sz val="11"/>
        <rFont val="黑体"/>
        <charset val="134"/>
      </rPr>
      <t xml:space="preserve">机组数量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台（套</t>
    </r>
    <r>
      <rPr>
        <sz val="11"/>
        <rFont val="Times New Roman"/>
        <charset val="134"/>
      </rPr>
      <t>)</t>
    </r>
  </si>
  <si>
    <r>
      <rPr>
        <sz val="11"/>
        <rFont val="黑体"/>
        <charset val="134"/>
      </rPr>
      <t xml:space="preserve">容量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万千瓦</t>
    </r>
  </si>
  <si>
    <r>
      <rPr>
        <sz val="11"/>
        <rFont val="黑体"/>
        <charset val="134"/>
      </rPr>
      <t>占全国比例</t>
    </r>
  </si>
  <si>
    <r>
      <rPr>
        <sz val="11"/>
        <rFont val="Times New Roman"/>
        <charset val="134"/>
      </rPr>
      <t xml:space="preserve">F </t>
    </r>
    <r>
      <rPr>
        <sz val="11"/>
        <rFont val="黑体"/>
        <charset val="134"/>
      </rPr>
      <t>级</t>
    </r>
  </si>
  <si>
    <r>
      <rPr>
        <sz val="11"/>
        <rFont val="Times New Roman"/>
        <charset val="134"/>
      </rPr>
      <t xml:space="preserve">E </t>
    </r>
    <r>
      <rPr>
        <sz val="11"/>
        <rFont val="黑体"/>
        <charset val="134"/>
      </rPr>
      <t>级</t>
    </r>
  </si>
  <si>
    <r>
      <rPr>
        <sz val="11"/>
        <rFont val="Times New Roman"/>
        <charset val="134"/>
      </rPr>
      <t xml:space="preserve">E </t>
    </r>
    <r>
      <rPr>
        <sz val="11"/>
        <rFont val="黑体"/>
        <charset val="134"/>
      </rPr>
      <t>级以下</t>
    </r>
  </si>
  <si>
    <r>
      <rPr>
        <sz val="11"/>
        <rFont val="黑体"/>
        <charset val="134"/>
      </rPr>
      <t xml:space="preserve">数量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台（套</t>
    </r>
    <r>
      <rPr>
        <sz val="11"/>
        <rFont val="Times New Roman"/>
        <charset val="134"/>
      </rPr>
      <t>)</t>
    </r>
  </si>
  <si>
    <r>
      <rPr>
        <sz val="11"/>
        <rFont val="黑体"/>
        <charset val="134"/>
      </rPr>
      <t xml:space="preserve">机组容量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万千瓦</t>
    </r>
  </si>
  <si>
    <r>
      <rPr>
        <sz val="11"/>
        <color theme="1"/>
        <rFont val="宋体"/>
        <charset val="134"/>
      </rPr>
      <t>广东省</t>
    </r>
  </si>
  <si>
    <r>
      <rPr>
        <sz val="11"/>
        <color theme="1"/>
        <rFont val="宋体"/>
        <charset val="134"/>
      </rPr>
      <t>江苏省</t>
    </r>
  </si>
  <si>
    <t>/</t>
  </si>
  <si>
    <r>
      <rPr>
        <sz val="11"/>
        <color theme="1"/>
        <rFont val="宋体"/>
        <charset val="134"/>
      </rPr>
      <t>上海市</t>
    </r>
  </si>
  <si>
    <r>
      <rPr>
        <sz val="11"/>
        <color theme="1"/>
        <rFont val="宋体"/>
        <charset val="134"/>
      </rPr>
      <t>浙江省</t>
    </r>
  </si>
  <si>
    <r>
      <rPr>
        <sz val="11"/>
        <color theme="1"/>
        <rFont val="宋体"/>
        <charset val="134"/>
      </rPr>
      <t>福建省</t>
    </r>
  </si>
  <si>
    <r>
      <rPr>
        <sz val="11"/>
        <color theme="1"/>
        <rFont val="宋体"/>
        <charset val="134"/>
      </rPr>
      <t>北京市</t>
    </r>
  </si>
  <si>
    <r>
      <rPr>
        <sz val="11"/>
        <color theme="1"/>
        <rFont val="宋体"/>
        <charset val="134"/>
      </rPr>
      <t>河南省</t>
    </r>
  </si>
  <si>
    <r>
      <rPr>
        <sz val="11"/>
        <color theme="1"/>
        <rFont val="宋体"/>
        <charset val="134"/>
      </rPr>
      <t>山西省</t>
    </r>
  </si>
  <si>
    <r>
      <rPr>
        <sz val="11"/>
        <color theme="1"/>
        <rFont val="宋体"/>
        <charset val="134"/>
      </rPr>
      <t>海南省</t>
    </r>
  </si>
  <si>
    <r>
      <rPr>
        <sz val="11"/>
        <color theme="1"/>
        <rFont val="宋体"/>
        <charset val="134"/>
      </rPr>
      <t>山东省</t>
    </r>
  </si>
  <si>
    <r>
      <rPr>
        <sz val="11"/>
        <color theme="1"/>
        <rFont val="宋体"/>
        <charset val="134"/>
      </rPr>
      <t>内蒙古自治区</t>
    </r>
  </si>
  <si>
    <r>
      <rPr>
        <sz val="11"/>
        <color theme="1"/>
        <rFont val="宋体"/>
        <charset val="134"/>
      </rPr>
      <t>青海省</t>
    </r>
  </si>
  <si>
    <r>
      <rPr>
        <sz val="11"/>
        <color theme="1"/>
        <rFont val="宋体"/>
        <charset val="134"/>
      </rPr>
      <t>湖北省</t>
    </r>
  </si>
  <si>
    <r>
      <rPr>
        <sz val="11"/>
        <color theme="1"/>
        <rFont val="宋体"/>
        <charset val="134"/>
      </rPr>
      <t>辽宁省</t>
    </r>
  </si>
  <si>
    <r>
      <rPr>
        <sz val="11"/>
        <color theme="1"/>
        <rFont val="宋体"/>
        <charset val="134"/>
      </rPr>
      <t>陕西省</t>
    </r>
  </si>
  <si>
    <r>
      <rPr>
        <sz val="11"/>
        <color theme="1"/>
        <rFont val="宋体"/>
        <charset val="134"/>
      </rPr>
      <t>天津市</t>
    </r>
  </si>
  <si>
    <r>
      <rPr>
        <sz val="11"/>
        <color theme="1"/>
        <rFont val="宋体"/>
        <charset val="134"/>
      </rPr>
      <t>四川省</t>
    </r>
  </si>
  <si>
    <r>
      <rPr>
        <sz val="11"/>
        <color theme="1"/>
        <rFont val="宋体"/>
        <charset val="134"/>
      </rPr>
      <t>新疆维吾尔自治区</t>
    </r>
  </si>
  <si>
    <r>
      <rPr>
        <sz val="11"/>
        <color theme="1"/>
        <rFont val="宋体"/>
        <charset val="134"/>
      </rPr>
      <t>西藏自治区</t>
    </r>
  </si>
  <si>
    <r>
      <rPr>
        <sz val="11"/>
        <color theme="1"/>
        <rFont val="宋体"/>
        <charset val="134"/>
      </rPr>
      <t>宁夏回族自治区</t>
    </r>
  </si>
  <si>
    <r>
      <rPr>
        <sz val="11"/>
        <color theme="1"/>
        <rFont val="宋体"/>
        <charset val="134"/>
      </rPr>
      <t>吉林省</t>
    </r>
  </si>
  <si>
    <r>
      <rPr>
        <sz val="11"/>
        <rFont val="宋体"/>
        <charset val="134"/>
      </rPr>
      <t>总计</t>
    </r>
  </si>
  <si>
    <t>Order</t>
  </si>
  <si>
    <t>Project.ID</t>
  </si>
  <si>
    <t>Type</t>
  </si>
  <si>
    <t>Gen.Type1</t>
  </si>
  <si>
    <t>Gen.Type2</t>
  </si>
  <si>
    <t>Project.Name</t>
  </si>
  <si>
    <t>Project.Address</t>
  </si>
  <si>
    <t>Unit</t>
  </si>
  <si>
    <t>Capacity</t>
  </si>
  <si>
    <t>Date</t>
  </si>
  <si>
    <t>Page</t>
  </si>
  <si>
    <t>Row</t>
  </si>
  <si>
    <t>Projects</t>
  </si>
  <si>
    <t>火电-燃气-分布式燃气</t>
  </si>
  <si>
    <t>横门电厂#3、#4</t>
  </si>
  <si>
    <t>广东省中山市</t>
  </si>
  <si>
    <t>福建晋江LNG电厂(#1机) 2008年8月投运</t>
  </si>
  <si>
    <t>福建省泉州市晋江市</t>
  </si>
  <si>
    <t>2009年5月27日</t>
  </si>
  <si>
    <t>福建晋江LNG电厂(#2机)</t>
  </si>
  <si>
    <t>福建莆田LNG电厂(#1机) 2008年12月投运</t>
  </si>
  <si>
    <t>福建省莆田市</t>
  </si>
  <si>
    <t>2009年3月13日</t>
  </si>
  <si>
    <t>福建莆田LNG电厂(#2机)</t>
  </si>
  <si>
    <t>福建厦门LNG电厂(#1机)</t>
  </si>
  <si>
    <t>福建省厦门市</t>
  </si>
  <si>
    <t>2009年3月7日</t>
  </si>
  <si>
    <t>福建厦门LNG电厂(#2机)</t>
  </si>
  <si>
    <t>2009年8月15日</t>
  </si>
  <si>
    <t>广州大学城</t>
  </si>
  <si>
    <t>广东省广州市番禺区南村镇</t>
  </si>
  <si>
    <t>乌恰胜动燃气发电厂</t>
  </si>
  <si>
    <t>盛民瓦斯发电</t>
  </si>
  <si>
    <t>四川省广安市</t>
  </si>
  <si>
    <t>2009年3月3日</t>
  </si>
  <si>
    <t>昆明东郊垃圾填埋沼气发电厂#2</t>
  </si>
  <si>
    <t>广东惠州热电电厂一期项目</t>
  </si>
  <si>
    <t>广东省惠州市大亚湾开发区</t>
  </si>
  <si>
    <t>福建晋江LNG电厂(#3机)</t>
  </si>
  <si>
    <t>2010年3月</t>
  </si>
  <si>
    <t>福建晋江LNG电厂(#4机)</t>
  </si>
  <si>
    <t>2010年9月</t>
  </si>
  <si>
    <t>福建莆田LNG电厂(#3机)</t>
  </si>
  <si>
    <t>2010年2月</t>
  </si>
  <si>
    <t>福建莆田LNG电厂(#4机)</t>
  </si>
  <si>
    <t>2010年5月</t>
  </si>
  <si>
    <t>东嘎电厂</t>
  </si>
  <si>
    <t>西藏拉萨市堆龙德庆县</t>
  </si>
  <si>
    <t>2010年1月</t>
  </si>
  <si>
    <t>湖北武昌燃机</t>
  </si>
  <si>
    <t>湖北省武汉市武昌区</t>
  </si>
  <si>
    <t>2010年4月</t>
  </si>
  <si>
    <t>南山电厂</t>
  </si>
  <si>
    <t>山东省龙口市</t>
  </si>
  <si>
    <t>江环亿碳(陈家冲沼气发电)</t>
  </si>
  <si>
    <t>湖北省武汉市</t>
  </si>
  <si>
    <t>2010年10月</t>
  </si>
  <si>
    <t>上海申能临港燃机发电有限公司</t>
  </si>
  <si>
    <t>#1：2011年1月19日
#2：2011年5月19日
#3：2011年12月22日</t>
  </si>
  <si>
    <t>北京热电厂燃气热电联产</t>
  </si>
  <si>
    <t>北京朝阳区</t>
  </si>
  <si>
    <t>2011年12月26日</t>
  </si>
  <si>
    <t>江苏戚墅堰燃机电厂</t>
  </si>
  <si>
    <t>江苏省常州市</t>
  </si>
  <si>
    <t>2011年11月23日</t>
  </si>
  <si>
    <t>克旗煤制气自备电站1号</t>
  </si>
  <si>
    <t>内蒙古克什克腾</t>
  </si>
  <si>
    <t>2011年12月</t>
  </si>
  <si>
    <t>晋城兰花集团大宁煤层气电厂</t>
  </si>
  <si>
    <t>山西省晋城市</t>
  </si>
  <si>
    <t>2011年3月13日</t>
  </si>
  <si>
    <t>青岛胶南绿茵环保公司垃圾厌氧发酵沼气发电项目</t>
  </si>
  <si>
    <t>山东省青岛市</t>
  </si>
  <si>
    <t>2011年6月25日</t>
  </si>
  <si>
    <t>江苏仪征燃机电厂</t>
  </si>
  <si>
    <t>江苏省仪征市</t>
  </si>
  <si>
    <t>2012-09-22</t>
  </si>
  <si>
    <t>浙江绍兴燃机项目</t>
  </si>
  <si>
    <t>浙江省绍兴市</t>
  </si>
  <si>
    <t>2012/12/31</t>
  </si>
  <si>
    <t>浙江杭州半山燃机项目</t>
  </si>
  <si>
    <t>浙江省杭州市</t>
  </si>
  <si>
    <t>2012-09-071</t>
  </si>
  <si>
    <t>萧山天然气热电联产工程</t>
  </si>
  <si>
    <t>2012-06-30</t>
  </si>
  <si>
    <t>2012-09-01</t>
  </si>
  <si>
    <t>江苏国信淮安燃气发电有限公司</t>
  </si>
  <si>
    <t>江苏省淮安市</t>
  </si>
  <si>
    <t>2012-04-01</t>
  </si>
  <si>
    <t>黑龙江桦川生物质电厂</t>
  </si>
  <si>
    <t>黑龙江省佳木斯市</t>
  </si>
  <si>
    <t>2012-07-27 2012-08-17</t>
  </si>
  <si>
    <t>马军峪煤矿瓦斯发电工程</t>
  </si>
  <si>
    <t>山西省长治市</t>
  </si>
  <si>
    <t>2012-12-12</t>
  </si>
  <si>
    <t>南京丰尚新能源科技有限公司（沼气发电项目）</t>
  </si>
  <si>
    <t>江苏省南京市</t>
  </si>
  <si>
    <t>2012-01-01</t>
  </si>
  <si>
    <t>龙口振龙化工沼气发电项目</t>
  </si>
  <si>
    <t>山东省烟台市</t>
  </si>
  <si>
    <t>2012-04-03</t>
  </si>
  <si>
    <t>中粮肉食（江苏）沼气发电有限公司</t>
  </si>
  <si>
    <t>2012-10-014</t>
  </si>
  <si>
    <t>宜昌百川畅银垃圾沼气发电</t>
  </si>
  <si>
    <t>湖北省宜昌市</t>
  </si>
  <si>
    <t>2012-06-01</t>
  </si>
  <si>
    <t>北京京桥热电有限责任公司联合循环热电厂二期</t>
  </si>
  <si>
    <t>2013-02-07</t>
  </si>
  <si>
    <t>浙江杭州半山燃机</t>
  </si>
  <si>
    <t>2013-07-27; 2013-12-31</t>
  </si>
  <si>
    <t>长兴天然气热电联产工程</t>
  </si>
  <si>
    <t>浙江省湖州市</t>
  </si>
  <si>
    <t>2013-07-25; 2013-12-30</t>
  </si>
  <si>
    <t>2013-09-29</t>
  </si>
  <si>
    <t>金陵燃机电厂</t>
  </si>
  <si>
    <t>1#-2#2013-04-06; 3#-4#2013-05-28</t>
  </si>
  <si>
    <t>江苏吴江燃机电厂</t>
  </si>
  <si>
    <t>江苏省吴江市</t>
  </si>
  <si>
    <t>2013-03-07; 2013-03-21</t>
  </si>
  <si>
    <t>大唐吴江汾湖燃机热电联产工程</t>
  </si>
  <si>
    <t>江苏省苏州市</t>
  </si>
  <si>
    <t>2013-03-27; 2013-05-27</t>
  </si>
  <si>
    <t>浙江江山新城天然气热电联产项目</t>
  </si>
  <si>
    <t>浙江省衢州市</t>
  </si>
  <si>
    <t>2013-05-14</t>
  </si>
  <si>
    <t>徐州天裕燃气发电有限公司</t>
  </si>
  <si>
    <t>江苏省徐州市</t>
  </si>
  <si>
    <t>2013-07-01</t>
  </si>
  <si>
    <t>老港垃圾填埋（沼）气发电厂</t>
  </si>
  <si>
    <t>2013-01-01</t>
  </si>
  <si>
    <t>江苏苏港清能生物能源有限公司</t>
  </si>
  <si>
    <t>江苏省盐城市</t>
  </si>
  <si>
    <t>2013-09-01</t>
  </si>
  <si>
    <t>立冲沟沼气发电厂1-3号机组</t>
  </si>
  <si>
    <t>广西区</t>
  </si>
  <si>
    <t>2013-03-11</t>
  </si>
  <si>
    <t>北京高井燃气热电联产项目</t>
  </si>
  <si>
    <t>北京市石景山区</t>
  </si>
  <si>
    <t>2014-11-01</t>
  </si>
  <si>
    <t>西北热电中心-京能燃气热电项目</t>
  </si>
  <si>
    <t>2014-08-22; 2014-10-27</t>
  </si>
  <si>
    <t>重庆两江新区天然气冷热电三联供项目</t>
  </si>
  <si>
    <t>重庆市北碚区</t>
  </si>
  <si>
    <t>2014-10-30; 2014-12-28</t>
  </si>
  <si>
    <t>山西国际嘉节燃气热电联产项目</t>
  </si>
  <si>
    <t>山西省太原市</t>
  </si>
  <si>
    <t>2014-12-01</t>
  </si>
  <si>
    <t>北京京能高安屯燃气热电有限公司东北热电中心</t>
  </si>
  <si>
    <t>北京市朝阳区</t>
  </si>
  <si>
    <t>2014-12-16</t>
  </si>
  <si>
    <t>广东珠海横琴岛燃气热电项目</t>
  </si>
  <si>
    <t>广东省珠海市</t>
  </si>
  <si>
    <t>2014-11-23</t>
  </si>
  <si>
    <t>宁波镇海动力中心一期工程</t>
  </si>
  <si>
    <t>浙江省宁波市</t>
  </si>
  <si>
    <t>2014-05-25; 2014-09-30</t>
  </si>
  <si>
    <t>天津临港经济区燃气热电联产工程</t>
  </si>
  <si>
    <t>天津市滨海新区</t>
  </si>
  <si>
    <t>2014-12-30</t>
  </si>
  <si>
    <t>桐乡天然气热电联产工程</t>
  </si>
  <si>
    <t>浙江省嘉兴市</t>
  </si>
  <si>
    <t>2014-09-23; 2014-09-30</t>
  </si>
  <si>
    <t>常山天然气热电联产工程</t>
  </si>
  <si>
    <t>2014-07-22</t>
  </si>
  <si>
    <t>天津武清分布式能源</t>
  </si>
  <si>
    <t>2014-09-02; 2014-11-09</t>
  </si>
  <si>
    <t>未来科技城热电冷联供项目</t>
  </si>
  <si>
    <t>北京市昌平区</t>
  </si>
  <si>
    <t>2014-07-03</t>
  </si>
  <si>
    <t>杭州下沙天然气热电联产</t>
  </si>
  <si>
    <t>2014-01-11</t>
  </si>
  <si>
    <t>广西南宁华南城分布式</t>
  </si>
  <si>
    <t>广西区南宁市</t>
  </si>
  <si>
    <t>2014-11-01; 2014-11-03</t>
  </si>
  <si>
    <t>江西九江分布式</t>
  </si>
  <si>
    <t>江西省九江市</t>
  </si>
  <si>
    <t>2014-12-31</t>
  </si>
  <si>
    <t>淮南煤层气机组扩容</t>
  </si>
  <si>
    <t>2014-06-01</t>
  </si>
  <si>
    <t>淮南国投新集煤层气</t>
  </si>
  <si>
    <t>2014-08-01</t>
  </si>
  <si>
    <t>贵州盘县苞谷山老洼地煤层气项目</t>
  </si>
  <si>
    <t>贵州省六盘水市</t>
  </si>
  <si>
    <t>江苏泰州楼宇型分布式</t>
  </si>
  <si>
    <t>江苏省泰州市</t>
  </si>
  <si>
    <t>2014-05-15; 2014-05-19</t>
  </si>
  <si>
    <t>浙江江东燃机</t>
  </si>
  <si>
    <t>2015/09/22; 2015/12/05</t>
  </si>
  <si>
    <t>神华国华（北京）燃气热电工程</t>
  </si>
  <si>
    <t>2015/08/01</t>
  </si>
  <si>
    <t>2015/09/25; 2015/11/16</t>
  </si>
  <si>
    <t>上海奉贤南桥燃机</t>
  </si>
  <si>
    <t>上海市奉贤区</t>
  </si>
  <si>
    <t>2015/08/19; 2015/11/19</t>
  </si>
  <si>
    <t>太原东山燃机</t>
  </si>
  <si>
    <t>2015/10/28</t>
  </si>
  <si>
    <t>协联燃气热电有限公司宜兴燃机热电联产工程</t>
  </si>
  <si>
    <t>江苏省无锡市</t>
  </si>
  <si>
    <t>2015/06/13; 2015/08/08</t>
  </si>
  <si>
    <t>浙江龙游燃机</t>
  </si>
  <si>
    <t>2015/12/01</t>
  </si>
  <si>
    <t>无锡蓝天燃机热电有限公司</t>
  </si>
  <si>
    <t/>
  </si>
  <si>
    <t>浙江浙能金华燃机发电有限责任公司（新气机）</t>
  </si>
  <si>
    <t>湖北能源东湖燃机热电有限公司 燃机热电联产项目</t>
  </si>
  <si>
    <t>2015/12/22</t>
  </si>
  <si>
    <t>湖北武昌燃机扩建</t>
  </si>
  <si>
    <t>2015/04/21</t>
  </si>
  <si>
    <t>上海莘庄一期分布式</t>
  </si>
  <si>
    <t>2015/02/10</t>
  </si>
  <si>
    <t>上海国际旅游度假区分布式</t>
  </si>
  <si>
    <t>2015/12/21</t>
  </si>
  <si>
    <t>山西凯嘉煤层气发电有限公司</t>
  </si>
  <si>
    <t>2015/01/01</t>
  </si>
  <si>
    <t>润宏武甲瓦斯电站</t>
  </si>
  <si>
    <t>2015/07/01</t>
  </si>
  <si>
    <t>上海科技大学能源中心</t>
  </si>
  <si>
    <t>上海市浦东区</t>
  </si>
  <si>
    <t>2015/12/09; 2015/12/14</t>
  </si>
  <si>
    <t>兰能钰城瓦斯电站</t>
  </si>
  <si>
    <t>分布式燃气</t>
  </si>
  <si>
    <t>天津城南燃气</t>
  </si>
  <si>
    <t>江苏通州燃机</t>
  </si>
  <si>
    <t>江苏省南通市</t>
  </si>
  <si>
    <t>2016-12-14; 2016-12-18</t>
  </si>
  <si>
    <t>无锡西区燃气热电有限公司</t>
  </si>
  <si>
    <t>五星2×150MW热电联产项目</t>
  </si>
  <si>
    <t>新疆区博尔塔拉州</t>
  </si>
  <si>
    <t>2016-10-30</t>
  </si>
  <si>
    <t>上海中博会分布式</t>
  </si>
  <si>
    <t>2016-08-05</t>
  </si>
  <si>
    <t>北京燃气能源发展有限公司</t>
  </si>
  <si>
    <t>乌怡胜动燃气电厂</t>
  </si>
  <si>
    <t>新疆区</t>
  </si>
  <si>
    <t>2016-05-01</t>
  </si>
  <si>
    <t>2016-01-14</t>
  </si>
  <si>
    <t>贵州盘县中纸厂低浓度瓦斯发电项目</t>
  </si>
  <si>
    <t>2016-03-31</t>
  </si>
  <si>
    <t>济南分布式电源（天然气）</t>
  </si>
  <si>
    <t>北京热电厂三期</t>
  </si>
  <si>
    <t>2017-11-12</t>
  </si>
  <si>
    <t>江苏国信淮安第二燃气发电有限责任公司</t>
  </si>
  <si>
    <t>江苏扬州燃机</t>
  </si>
  <si>
    <t>江苏省扬州市</t>
  </si>
  <si>
    <t>2017-03-31; 2017-05-24</t>
  </si>
  <si>
    <t>江苏昆山燃机</t>
  </si>
  <si>
    <t>2017-09-26; 2017-10-12</t>
  </si>
  <si>
    <t>苏州燃机热电联产项目</t>
  </si>
  <si>
    <t>2017-7-30#1; 2017-9-20:#2</t>
  </si>
  <si>
    <t>大唐姜堰燃机热电联产项目</t>
  </si>
  <si>
    <t>2017-08-10</t>
  </si>
  <si>
    <t>江苏国信高邮2×100MW级燃机热电联产工程</t>
  </si>
  <si>
    <t>桂林分布式能源项目</t>
  </si>
  <si>
    <t>广西区桂林市</t>
  </si>
  <si>
    <t>2017-12-09</t>
  </si>
  <si>
    <t>关山热电厂燃气-蒸汽联合循环热电联产扩建工程</t>
  </si>
  <si>
    <t>2017-07-15</t>
  </si>
  <si>
    <t>上海电力哈密宣力燃气发电有限公司</t>
  </si>
  <si>
    <t>2017-08-01</t>
  </si>
  <si>
    <t>宁波科丰热电公司</t>
  </si>
  <si>
    <t>2017-06-01</t>
  </si>
  <si>
    <t>绿源天然气电力有限公司宁波鄞州热电分公司火电</t>
  </si>
  <si>
    <t>中聚天冠生物能源有限公司</t>
  </si>
  <si>
    <t>2017-03-01</t>
  </si>
  <si>
    <t>福建厦门集美分布式</t>
  </si>
  <si>
    <t>2017-12-12</t>
  </si>
  <si>
    <t>上海大众汽车有限公司</t>
  </si>
  <si>
    <t>2017-07-01</t>
  </si>
  <si>
    <t>杭州天子岭发电有限公司</t>
  </si>
  <si>
    <t>2017-04-01</t>
  </si>
  <si>
    <t>高邮市林源科技开发有限公司</t>
  </si>
  <si>
    <t>2017-09-01</t>
  </si>
  <si>
    <t>武汉国博天然气三联供（自备）</t>
  </si>
  <si>
    <t>天津武清燃气电厂</t>
  </si>
  <si>
    <t>四川省川南煤业有限责任公司（自购电）</t>
  </si>
  <si>
    <t>随州百川畅银沼气发电</t>
  </si>
  <si>
    <t>2017-06-30</t>
  </si>
  <si>
    <t>江苏国信仪征热电有限公司</t>
  </si>
  <si>
    <t>2018-01-13</t>
  </si>
  <si>
    <t>惠州LNG电厂二期热电联产项目</t>
  </si>
  <si>
    <t>广东省惠州市</t>
  </si>
  <si>
    <t>2018-10-22</t>
  </si>
  <si>
    <t>新会电厂天然气热电联产项目</t>
  </si>
  <si>
    <t>广东省江门市</t>
  </si>
  <si>
    <t>2018-12-21</t>
  </si>
  <si>
    <t>崇明燃气电厂一期工程</t>
  </si>
  <si>
    <t>2018-04-28</t>
  </si>
  <si>
    <t>广东四会燃气热电冷联产项目</t>
  </si>
  <si>
    <t>广东省肇庆市</t>
  </si>
  <si>
    <t>2018-06-30</t>
  </si>
  <si>
    <t>大唐国际高要金淘天然气热电冷联产项目</t>
  </si>
  <si>
    <t>广东省高要市</t>
  </si>
  <si>
    <t>2018-12-30</t>
  </si>
  <si>
    <t>中山三角天然气热电冷联产项目</t>
  </si>
  <si>
    <t>2018-12-06</t>
  </si>
  <si>
    <t>江苏金坛燃机热电联产项目</t>
  </si>
  <si>
    <t>2018-12-31</t>
  </si>
  <si>
    <t>南京协鑫燃机热电有限公司（协鑫1-2机）</t>
  </si>
  <si>
    <t>洛阳万众吉利热电有限公司</t>
  </si>
  <si>
    <t>北京海淀北部区域能源中心（燃气热电联产）266MW项目</t>
  </si>
  <si>
    <t>北京市海淀区</t>
  </si>
  <si>
    <t>2018-09-28</t>
  </si>
  <si>
    <t>浙江南得天然气热电</t>
  </si>
  <si>
    <t>2018-02-01</t>
  </si>
  <si>
    <t>广东江门蓬江江沙热电冷三联</t>
  </si>
  <si>
    <t>2018-08-16： 2018-09-23</t>
  </si>
  <si>
    <t>广东三水分布式</t>
  </si>
  <si>
    <t>广东省佛山市</t>
  </si>
  <si>
    <t>2018-12-12; 2018-12-20; 2018-12-31</t>
  </si>
  <si>
    <t>风电园燃气热电厂</t>
  </si>
  <si>
    <t>昆山协鑫蓝天燃机（昆山蓝天燃机）</t>
  </si>
  <si>
    <t>深圳坪山分布式</t>
  </si>
  <si>
    <t>广东省深圳市</t>
  </si>
  <si>
    <t>天津北辰分布式</t>
  </si>
  <si>
    <t>2018-05-02; 2018-05-30</t>
  </si>
  <si>
    <t>北京通州分布式</t>
  </si>
  <si>
    <t>北京市通州区</t>
  </si>
  <si>
    <t>2018-12-19</t>
  </si>
  <si>
    <t>广东顺德分布式一期</t>
  </si>
  <si>
    <t>2018-12-26</t>
  </si>
  <si>
    <t>上海东冠纸业有限公司</t>
  </si>
  <si>
    <t>2018-11-01</t>
  </si>
  <si>
    <t>都尉燃机电厂</t>
  </si>
  <si>
    <t>2018-06-01</t>
  </si>
  <si>
    <t>宿州市埔桥区芦岭瓦斯电厂</t>
  </si>
  <si>
    <t>2018-01-01</t>
  </si>
  <si>
    <t>南通联海生物热电有限公司（新）</t>
  </si>
  <si>
    <t>乌恰胜动燃气电厂</t>
  </si>
  <si>
    <t>长沙新奥热力有限公司</t>
  </si>
  <si>
    <t>长安沼气电厂</t>
  </si>
  <si>
    <t>2018-11-14</t>
  </si>
  <si>
    <t>上海世博B片区央企总部能源中心</t>
  </si>
  <si>
    <t>重庆松藻瓦斯开发有限公司</t>
  </si>
  <si>
    <t>上海前滩新能源发展有限公司</t>
  </si>
  <si>
    <t>2018-10-01</t>
  </si>
  <si>
    <t>龙游中机新奥智慧能源有限公司</t>
  </si>
  <si>
    <t>2018-09-01</t>
  </si>
  <si>
    <t>分布式燃气连云港市区</t>
  </si>
  <si>
    <t>临沂金锣湖南爱德节能科技有限公司（沼气）</t>
  </si>
  <si>
    <t>2018-08-01</t>
  </si>
  <si>
    <t>天府瓦斯发电厂</t>
  </si>
  <si>
    <t>新都华润雪花啤酒分布式能源站</t>
  </si>
  <si>
    <t>天津南疆燃机</t>
  </si>
  <si>
    <t>2019-04-28</t>
  </si>
  <si>
    <t>上海申能奉贤热电工程项</t>
  </si>
  <si>
    <t>2019-06-01</t>
  </si>
  <si>
    <t>2019-06-21</t>
  </si>
  <si>
    <t>东亚电力有限公司（东亚无锡燃机）</t>
  </si>
  <si>
    <t>2019-04-22</t>
  </si>
  <si>
    <t>2019-01-15</t>
  </si>
  <si>
    <t>海南文昌2×460MW级燃气-蒸汽联合循环电厂</t>
  </si>
  <si>
    <t>海南省文昌市</t>
  </si>
  <si>
    <t>2019-05-20</t>
  </si>
  <si>
    <t>河北石家庄燃机</t>
  </si>
  <si>
    <t>河北省石家庄市</t>
  </si>
  <si>
    <t>2019-01-09</t>
  </si>
  <si>
    <t>2019-01-01</t>
  </si>
  <si>
    <t>2019-03-27</t>
  </si>
  <si>
    <t>华润（常州）有限公司（华润常州燃机）</t>
  </si>
  <si>
    <t>华热电厂</t>
  </si>
  <si>
    <t>2019-08-09</t>
  </si>
  <si>
    <t>江苏金湖天然气分布式</t>
  </si>
  <si>
    <t>2019-05-26</t>
  </si>
  <si>
    <t>上海莘庄二期</t>
  </si>
  <si>
    <t>2019-09-01</t>
  </si>
  <si>
    <t>建龙轧钢电厂</t>
  </si>
  <si>
    <t>浙能德清天然气分布式能源项目</t>
  </si>
  <si>
    <t>2019-08-16</t>
  </si>
  <si>
    <t>科迪沼气电厂</t>
  </si>
  <si>
    <t>费县正义奥德圣凯天然气发电厂</t>
  </si>
  <si>
    <t xml:space="preserve"> 2019-11-01</t>
  </si>
  <si>
    <t>福山沼气电站</t>
  </si>
  <si>
    <t>厦门瑞科际电厂</t>
  </si>
  <si>
    <t>2019-02-01</t>
  </si>
  <si>
    <t>广东广州增城燃机工程项目</t>
  </si>
  <si>
    <t>广东省广州市</t>
  </si>
  <si>
    <t>2020-06-14; 2020-09-30</t>
  </si>
  <si>
    <t>东莞燃机工程项目</t>
  </si>
  <si>
    <t>广东省东莞市</t>
  </si>
  <si>
    <t>2020-06-09; 2020-08-26</t>
  </si>
  <si>
    <t>珠海市钰海（燃气热电联产）930MW项目</t>
  </si>
  <si>
    <t>2020-07-03; 2020-10-20</t>
  </si>
  <si>
    <t>江阴燃机项目</t>
  </si>
  <si>
    <t>2020-12-122020-11-30</t>
  </si>
  <si>
    <t>黄埔电厂天然气热电联产项目</t>
  </si>
  <si>
    <t>2020-02-26</t>
  </si>
  <si>
    <t>天津军粮城六期燃机项目</t>
  </si>
  <si>
    <t>2020-12-31</t>
  </si>
  <si>
    <t>文昌电厂</t>
  </si>
  <si>
    <t>2020-03-01</t>
  </si>
  <si>
    <t>2020-06-24</t>
  </si>
  <si>
    <t>2020-12-19</t>
  </si>
  <si>
    <t>东莞立沙岛燃机工程项目</t>
  </si>
  <si>
    <t>2020-02-25; 2020-09-09</t>
  </si>
  <si>
    <t>荆门市国家高新技术产业开发区天然气多联供项目</t>
  </si>
  <si>
    <t>湖北省荆门市</t>
  </si>
  <si>
    <t>2020-04-30</t>
  </si>
  <si>
    <t>广西协鑫中马分布式能源有限公司</t>
  </si>
  <si>
    <t>广西区钦州市</t>
  </si>
  <si>
    <t>2020-09-01</t>
  </si>
  <si>
    <t>辽宁大唐国际阜新煤制天燃气有限责任公司</t>
  </si>
  <si>
    <t>广州发展太平分布式能源站项目</t>
  </si>
  <si>
    <t>2020-12-18</t>
  </si>
  <si>
    <t>北京通州分布式电厂</t>
  </si>
  <si>
    <t>2020-01-14</t>
  </si>
  <si>
    <t>广东省江门市2X60MW分布式能源站项目</t>
  </si>
  <si>
    <t>2020-12-22</t>
  </si>
  <si>
    <t>哈密燃机新建二期项目第二台燃气锅炉工程项目</t>
  </si>
  <si>
    <t>新疆区哈密地区</t>
  </si>
  <si>
    <t>晋城沁水丰汇电场</t>
  </si>
  <si>
    <t>广东番禺万博中央商务区分布式项目</t>
  </si>
  <si>
    <t>2020-11-18; 2020-11-26; 2020-12-02</t>
  </si>
  <si>
    <t>晋城沁水溪兰电厂</t>
  </si>
  <si>
    <t>中国石油四川石化有限责任公司</t>
  </si>
  <si>
    <t>2020-06-01</t>
  </si>
  <si>
    <t>昌北区-中兰沼气电站</t>
  </si>
  <si>
    <t>山西君祥通新能源科技有限公司</t>
  </si>
  <si>
    <t>山西兰能小西新能源有限公司</t>
  </si>
  <si>
    <t>2020-02-01</t>
  </si>
  <si>
    <t>河北石家庄东南智汇城分布式能源站</t>
  </si>
  <si>
    <t>2020-12-08; 2020-12-15</t>
  </si>
  <si>
    <t>山西胜动清天新能源有限公司</t>
  </si>
  <si>
    <t>2020-01-01</t>
  </si>
  <si>
    <t>孟县固庄煤层气电厂</t>
  </si>
  <si>
    <t>黑龙江畅峰焦化有限公司</t>
  </si>
  <si>
    <t>2020-11-04</t>
  </si>
  <si>
    <t>河北第一医院分布式能源站</t>
  </si>
  <si>
    <t>2020-07-26; 2020-08-11</t>
  </si>
  <si>
    <t>广东清远英德燃机热电联产</t>
  </si>
  <si>
    <t>广东省清远市</t>
  </si>
  <si>
    <t>樟洋B电厂</t>
  </si>
  <si>
    <t>江苏镇江燃气热电（镇江燃机电厂#1机）</t>
  </si>
  <si>
    <t>2021-03-01; 2021-05-01</t>
  </si>
  <si>
    <t>张家港华兴金城电力有限公司（华兴电厂）</t>
  </si>
  <si>
    <t>2021-03-06; 2021-03-02</t>
  </si>
  <si>
    <t>悦湾电厂</t>
  </si>
  <si>
    <t>万宁燃机项目</t>
  </si>
  <si>
    <t>2021-10-22</t>
  </si>
  <si>
    <t>上海闵行电厂燃机项目</t>
  </si>
  <si>
    <t>上海市闵行区</t>
  </si>
  <si>
    <t>2021-12-27</t>
  </si>
  <si>
    <t>新疆石油管理局燃气电厂</t>
  </si>
  <si>
    <t>2021-01-01</t>
  </si>
  <si>
    <t>湖北襄阳樊城燃机·-期</t>
  </si>
  <si>
    <t>湖北省襄樊市</t>
  </si>
  <si>
    <t>江苏滦水燃机热电项目</t>
  </si>
  <si>
    <t>2021-01-19</t>
  </si>
  <si>
    <t>6000千瓦以下电厂</t>
  </si>
  <si>
    <t>华润电力（泰州）有限公司（华润泰兴燃机）</t>
  </si>
  <si>
    <t>6000千瓦及以下燃气</t>
  </si>
  <si>
    <t>扬子巴斯夫门备电厂（扬巴热电#1-4）</t>
  </si>
  <si>
    <t>中泰石化一号电厂</t>
  </si>
  <si>
    <t>2021-06-01</t>
  </si>
  <si>
    <t>百川畅银沼气发电厂</t>
  </si>
  <si>
    <t>日照金禾博源生化有限公司</t>
  </si>
  <si>
    <t>2021-07-01</t>
  </si>
  <si>
    <t>昔阳县鼎丰瓦斯发电有限公司</t>
  </si>
  <si>
    <t>山东浮来春生物化工有限公司</t>
  </si>
  <si>
    <t>金红叶纸」</t>
  </si>
  <si>
    <t>董村沼气发电厂</t>
  </si>
  <si>
    <t>侨绿固废电厂</t>
  </si>
  <si>
    <t>上海环云再生能源有限公司</t>
  </si>
  <si>
    <t>德润（五常）生物质开发有限公司</t>
  </si>
  <si>
    <t>2021-09-01</t>
  </si>
  <si>
    <t>河北宁生物质涩气综合利用</t>
  </si>
  <si>
    <t>河北省承德市</t>
  </si>
  <si>
    <t>序号</t>
  </si>
  <si>
    <t>项目类型</t>
  </si>
  <si>
    <t>投运年份</t>
  </si>
  <si>
    <t>发电量（万千瓦时）</t>
  </si>
  <si>
    <t>利用小时（小时）</t>
  </si>
  <si>
    <t>厂用电率（%）</t>
  </si>
  <si>
    <t>发电煤耗（g/千瓦时）</t>
  </si>
  <si>
    <t>拱电煤耗（g/千瓦时）</t>
  </si>
  <si>
    <t>发电耗用原煤（吨）</t>
  </si>
  <si>
    <t>义马煤气化自备电厂</t>
  </si>
  <si>
    <t>重庆中梁山煤电气有限公司发电厂</t>
  </si>
  <si>
    <t>L405737</t>
  </si>
  <si>
    <t>华能南山燃气发电厂</t>
  </si>
  <si>
    <t>L405628</t>
  </si>
  <si>
    <t>大唐宝昌燃气发电站</t>
  </si>
  <si>
    <t>L405810</t>
  </si>
  <si>
    <t>深圳钰湖燃气发电厂</t>
  </si>
  <si>
    <t>L405804</t>
  </si>
  <si>
    <t>深能丰达天然气热电厂</t>
  </si>
  <si>
    <t>L405853</t>
  </si>
  <si>
    <t>中山南朗燃气电厂</t>
  </si>
  <si>
    <t>L405614</t>
  </si>
  <si>
    <t>中海油海南洋浦电厂</t>
  </si>
  <si>
    <t>L405617</t>
  </si>
  <si>
    <t>中海油中山嘉明电厂</t>
  </si>
  <si>
    <t>温州燃机发电公司</t>
  </si>
  <si>
    <t>L405800</t>
  </si>
  <si>
    <t>深南电南山热电厂</t>
  </si>
  <si>
    <t>L405616</t>
  </si>
  <si>
    <t>中海油深圳电厂</t>
  </si>
  <si>
    <t>L405657</t>
  </si>
  <si>
    <t>佛山市福能发电厂</t>
  </si>
  <si>
    <t>L405808</t>
  </si>
  <si>
    <t>深能东莞樟洋燃机电厂</t>
  </si>
  <si>
    <t>L405806</t>
  </si>
  <si>
    <t>深能洪湾燃机电厂</t>
  </si>
  <si>
    <t>L405649</t>
  </si>
  <si>
    <t>东莞虎门电厂</t>
  </si>
  <si>
    <t>L405854</t>
  </si>
  <si>
    <t>中山永安热电厂</t>
  </si>
  <si>
    <t>L405815</t>
  </si>
  <si>
    <t>南方电网海南清澜电厂</t>
  </si>
  <si>
    <t>江苏华电戚墅堰发电有限公司燃机</t>
  </si>
  <si>
    <t>张家港华兴电力有限公司(燃机)</t>
  </si>
  <si>
    <t>江苏华电集团望亭发电厂(燃机)</t>
  </si>
  <si>
    <t>蓝天燃机热电有限公司</t>
  </si>
  <si>
    <t>上海奉贤燃机发电有限公司</t>
  </si>
  <si>
    <t>杭州华电半山发电有限公司(气电)</t>
  </si>
  <si>
    <t>金华燃机发电有限公司</t>
  </si>
  <si>
    <t>浙江德能天然气发电有限公司</t>
  </si>
  <si>
    <t>北京京丰燃气发电有限公司</t>
  </si>
  <si>
    <t>华润协鑫燃气热电厂</t>
  </si>
  <si>
    <t>L405673</t>
  </si>
  <si>
    <t>广州珠江LNG电厂</t>
  </si>
  <si>
    <t>L405803</t>
  </si>
  <si>
    <t>深圳能源东部电厂</t>
  </si>
  <si>
    <t>L405840</t>
  </si>
  <si>
    <t>粤电深圳前湾燃机电厂</t>
  </si>
  <si>
    <t>L405651</t>
  </si>
  <si>
    <t>东莞中电新能源热电厂</t>
  </si>
  <si>
    <t>L405653</t>
  </si>
  <si>
    <t>东莞众明燃气发电厂</t>
  </si>
  <si>
    <t>L405799</t>
  </si>
  <si>
    <t>深南电东莞高埗天然气电厂, 东莞深燃天然气热电有限公司高埗电厂燃气热电联产改扩建项目</t>
  </si>
  <si>
    <t>内蒙古苏里格燃气发电厂</t>
  </si>
  <si>
    <t>上海漕泾热电有限责任公司</t>
  </si>
  <si>
    <t>浙江蓝天天然气发电有限公司</t>
  </si>
  <si>
    <t>浙江京兴天然气发电有限公司</t>
  </si>
  <si>
    <t>L405809</t>
  </si>
  <si>
    <t>深圳美视燃气电厂</t>
  </si>
  <si>
    <t>L405839</t>
  </si>
  <si>
    <t>广东惠州天然气发电厂</t>
  </si>
  <si>
    <t>华能南京金陵发电有限公司</t>
  </si>
  <si>
    <t>浙江浙能镇海然气发电有限公司</t>
  </si>
  <si>
    <t>国华余姚然气发电有限责任公司</t>
  </si>
  <si>
    <t>郑州燃气电厂</t>
  </si>
  <si>
    <t>中原燃气电厂</t>
  </si>
  <si>
    <t>新奥新能源电厂</t>
  </si>
  <si>
    <t>太阳宫燃气电厂</t>
  </si>
  <si>
    <t>萧山发电厂(气电)</t>
  </si>
  <si>
    <t>北京正东电子动力集团有限公司(燃气)</t>
  </si>
  <si>
    <t>准格尔旗国资燃气热力有限责任公司</t>
  </si>
  <si>
    <t>武安新金煤气自备厂</t>
  </si>
  <si>
    <t>吴淞煤气厂</t>
  </si>
  <si>
    <t>邯郸金鹏煤气发电有限责任公司</t>
  </si>
  <si>
    <t>天津天铁炼焦化工有限公司(三煤气)</t>
  </si>
  <si>
    <t>信达(邯郸)煤气发电有限公司</t>
  </si>
  <si>
    <t>晋城寺河煤层气电厂</t>
  </si>
  <si>
    <t>阳煤煤层气(神堂嘴)</t>
  </si>
  <si>
    <t>阳煤煤层气(贵石沟)</t>
  </si>
  <si>
    <t>中能煤层气(16×500KW)</t>
  </si>
  <si>
    <t>闸电燃机</t>
  </si>
  <si>
    <t>煤气化公司自备电厂</t>
  </si>
  <si>
    <t>武安市鑫普煤气发电有限公司</t>
  </si>
  <si>
    <t>武安元宝山煤气自备电厂</t>
  </si>
  <si>
    <t>英惠江油燃气电厂</t>
  </si>
  <si>
    <t>邯郸钢铁燃气自备电厂</t>
  </si>
  <si>
    <t>汉能沌口电厂(燃气)</t>
  </si>
  <si>
    <t>宁夏哈纳斯天然气热电有限公司</t>
  </si>
  <si>
    <t>青岛燃气集团</t>
  </si>
  <si>
    <t>塔石化燃气电厂</t>
  </si>
  <si>
    <t>格尔木燃气电站</t>
  </si>
  <si>
    <t>青岛经济开发区热电燃气总公司</t>
  </si>
  <si>
    <t>英惠五通燃气电厂</t>
  </si>
  <si>
    <t>武昌发电公司(燃气)</t>
  </si>
  <si>
    <t>济钢燃气机组</t>
  </si>
  <si>
    <t>源洲煤气层发电公司</t>
  </si>
  <si>
    <t>成都爱依斯凯华燃机发电有限公司</t>
  </si>
  <si>
    <t>汕头特区燃机电厂</t>
  </si>
  <si>
    <t>华能上海燃机电厂</t>
  </si>
  <si>
    <t>燃机电厂</t>
  </si>
  <si>
    <t>求和项:Capacity</t>
  </si>
  <si>
    <t>列标签</t>
  </si>
  <si>
    <t>(空白)</t>
  </si>
  <si>
    <t>行标签</t>
  </si>
  <si>
    <t>求和项:装机容量（MW）</t>
  </si>
  <si>
    <t>常规煤气新增（MW）</t>
  </si>
  <si>
    <r>
      <rPr>
        <b/>
        <sz val="10"/>
        <color theme="1"/>
        <rFont val="宋体"/>
        <charset val="134"/>
      </rPr>
      <t>省级行政区</t>
    </r>
  </si>
  <si>
    <r>
      <rPr>
        <sz val="10"/>
        <color theme="1"/>
        <rFont val="宋体"/>
        <charset val="134"/>
      </rPr>
      <t>北京市</t>
    </r>
  </si>
  <si>
    <r>
      <rPr>
        <sz val="10"/>
        <color theme="1"/>
        <rFont val="宋体"/>
        <charset val="134"/>
      </rPr>
      <t>天津市</t>
    </r>
  </si>
  <si>
    <r>
      <rPr>
        <sz val="10"/>
        <color theme="1"/>
        <rFont val="宋体"/>
        <charset val="134"/>
      </rPr>
      <t>河北省</t>
    </r>
  </si>
  <si>
    <r>
      <rPr>
        <sz val="10"/>
        <color theme="1"/>
        <rFont val="宋体"/>
        <charset val="134"/>
      </rPr>
      <t>山西省</t>
    </r>
  </si>
  <si>
    <r>
      <rPr>
        <sz val="10"/>
        <color theme="1"/>
        <rFont val="宋体"/>
        <charset val="134"/>
      </rPr>
      <t>内蒙古自治区</t>
    </r>
  </si>
  <si>
    <r>
      <rPr>
        <sz val="10"/>
        <color theme="1"/>
        <rFont val="宋体"/>
        <charset val="134"/>
      </rPr>
      <t>辽宁省</t>
    </r>
  </si>
  <si>
    <r>
      <rPr>
        <sz val="10"/>
        <color theme="1"/>
        <rFont val="宋体"/>
        <charset val="134"/>
      </rPr>
      <t>吉林省</t>
    </r>
  </si>
  <si>
    <r>
      <rPr>
        <sz val="10"/>
        <color theme="1"/>
        <rFont val="宋体"/>
        <charset val="134"/>
      </rPr>
      <t>黑龙江省</t>
    </r>
  </si>
  <si>
    <r>
      <rPr>
        <sz val="10"/>
        <color theme="1"/>
        <rFont val="宋体"/>
        <charset val="134"/>
      </rPr>
      <t>上海市</t>
    </r>
  </si>
  <si>
    <r>
      <rPr>
        <sz val="10"/>
        <color theme="1"/>
        <rFont val="宋体"/>
        <charset val="134"/>
      </rPr>
      <t>江苏省</t>
    </r>
  </si>
  <si>
    <r>
      <rPr>
        <sz val="10"/>
        <color theme="1"/>
        <rFont val="宋体"/>
        <charset val="134"/>
      </rPr>
      <t>浙江省</t>
    </r>
  </si>
  <si>
    <r>
      <rPr>
        <sz val="10"/>
        <color theme="1"/>
        <rFont val="宋体"/>
        <charset val="134"/>
      </rPr>
      <t>安徽省</t>
    </r>
  </si>
  <si>
    <r>
      <rPr>
        <sz val="10"/>
        <color theme="1"/>
        <rFont val="宋体"/>
        <charset val="134"/>
      </rPr>
      <t>福建省</t>
    </r>
  </si>
  <si>
    <r>
      <rPr>
        <sz val="10"/>
        <color theme="1"/>
        <rFont val="宋体"/>
        <charset val="134"/>
      </rPr>
      <t>江西省</t>
    </r>
  </si>
  <si>
    <r>
      <rPr>
        <sz val="10"/>
        <color theme="1"/>
        <rFont val="宋体"/>
        <charset val="134"/>
      </rPr>
      <t>山东省</t>
    </r>
  </si>
  <si>
    <r>
      <rPr>
        <sz val="10"/>
        <color theme="1"/>
        <rFont val="宋体"/>
        <charset val="134"/>
      </rPr>
      <t>河南省</t>
    </r>
  </si>
  <si>
    <r>
      <rPr>
        <sz val="10"/>
        <color theme="1"/>
        <rFont val="宋体"/>
        <charset val="134"/>
      </rPr>
      <t>湖北省</t>
    </r>
  </si>
  <si>
    <r>
      <rPr>
        <sz val="10"/>
        <color theme="1"/>
        <rFont val="宋体"/>
        <charset val="134"/>
      </rPr>
      <t>湖南省</t>
    </r>
  </si>
  <si>
    <r>
      <rPr>
        <sz val="10"/>
        <color theme="1"/>
        <rFont val="宋体"/>
        <charset val="134"/>
      </rPr>
      <t>广东省</t>
    </r>
  </si>
  <si>
    <r>
      <rPr>
        <sz val="10"/>
        <color theme="1"/>
        <rFont val="宋体"/>
        <charset val="134"/>
      </rPr>
      <t>广西壮族自治区</t>
    </r>
  </si>
  <si>
    <r>
      <rPr>
        <sz val="10"/>
        <color theme="1"/>
        <rFont val="宋体"/>
        <charset val="134"/>
      </rPr>
      <t>海南省</t>
    </r>
  </si>
  <si>
    <r>
      <rPr>
        <sz val="10"/>
        <color theme="1"/>
        <rFont val="宋体"/>
        <charset val="134"/>
      </rPr>
      <t>重庆市</t>
    </r>
  </si>
  <si>
    <r>
      <rPr>
        <sz val="10"/>
        <color theme="1"/>
        <rFont val="宋体"/>
        <charset val="134"/>
      </rPr>
      <t>四川省</t>
    </r>
  </si>
  <si>
    <r>
      <rPr>
        <sz val="10"/>
        <color theme="1"/>
        <rFont val="宋体"/>
        <charset val="134"/>
      </rPr>
      <t>贵州省</t>
    </r>
  </si>
  <si>
    <r>
      <rPr>
        <sz val="10"/>
        <color theme="1"/>
        <rFont val="宋体"/>
        <charset val="134"/>
      </rPr>
      <t>云南省</t>
    </r>
  </si>
  <si>
    <r>
      <rPr>
        <sz val="10"/>
        <color theme="1"/>
        <rFont val="宋体"/>
        <charset val="134"/>
      </rPr>
      <t>西藏自治区</t>
    </r>
  </si>
  <si>
    <r>
      <rPr>
        <sz val="10"/>
        <color theme="1"/>
        <rFont val="宋体"/>
        <charset val="134"/>
      </rPr>
      <t>陕西省</t>
    </r>
  </si>
  <si>
    <r>
      <rPr>
        <sz val="10"/>
        <color theme="1"/>
        <rFont val="宋体"/>
        <charset val="134"/>
      </rPr>
      <t>甘肃省</t>
    </r>
  </si>
  <si>
    <r>
      <rPr>
        <sz val="10"/>
        <color theme="1"/>
        <rFont val="宋体"/>
        <charset val="134"/>
      </rPr>
      <t>青海省</t>
    </r>
  </si>
  <si>
    <r>
      <rPr>
        <sz val="10"/>
        <color theme="1"/>
        <rFont val="宋体"/>
        <charset val="134"/>
      </rPr>
      <t>宁夏回族自治区</t>
    </r>
  </si>
  <si>
    <r>
      <rPr>
        <sz val="10"/>
        <color theme="1"/>
        <rFont val="宋体"/>
        <charset val="134"/>
      </rPr>
      <t>新疆维吾尔自治区</t>
    </r>
  </si>
  <si>
    <t>煤层气发电新增（MW）</t>
  </si>
  <si>
    <t>分布式燃气新增（MW）</t>
  </si>
  <si>
    <t>沼气发电新增（MW）</t>
  </si>
  <si>
    <r>
      <rPr>
        <sz val="10"/>
        <color rgb="FF000000"/>
        <rFont val="宋体"/>
        <charset val="134"/>
      </rPr>
      <t>自下而上2012年前燃气新增机组（</t>
    </r>
    <r>
      <rPr>
        <sz val="10"/>
        <color rgb="FF000000"/>
        <rFont val="Times New Roman"/>
        <charset val="134"/>
      </rPr>
      <t>MW</t>
    </r>
    <r>
      <rPr>
        <sz val="10"/>
        <color rgb="FF000000"/>
        <rFont val="宋体"/>
        <charset val="134"/>
      </rPr>
      <t>）不含沼气</t>
    </r>
  </si>
  <si>
    <t>自上而下01-07年燃气轮机组数据</t>
  </si>
  <si>
    <t>燃气轮机组</t>
  </si>
  <si>
    <t>燃气装机</t>
  </si>
  <si>
    <t>沼气装机</t>
  </si>
  <si>
    <t>万千瓦</t>
  </si>
  <si>
    <t>MW</t>
  </si>
  <si>
    <t>全 国</t>
  </si>
  <si>
    <t>宁夏区</t>
  </si>
  <si>
    <t>自下而上与自上而下统计差距</t>
  </si>
  <si>
    <r>
      <rPr>
        <sz val="11"/>
        <rFont val="黑体"/>
        <charset val="134"/>
      </rPr>
      <t>01</t>
    </r>
    <r>
      <rPr>
        <sz val="10"/>
        <color rgb="FF000000"/>
        <rFont val="宋体"/>
        <charset val="134"/>
      </rPr>
      <t>年前差距</t>
    </r>
  </si>
  <si>
    <r>
      <rPr>
        <sz val="11"/>
        <rFont val="黑体"/>
        <charset val="134"/>
      </rPr>
      <t>07-12</t>
    </r>
    <r>
      <rPr>
        <sz val="10"/>
        <color rgb="FF000000"/>
        <rFont val="宋体"/>
        <charset val="134"/>
      </rPr>
      <t>年差距</t>
    </r>
  </si>
  <si>
    <r>
      <rPr>
        <sz val="11"/>
        <rFont val="黑体"/>
        <charset val="134"/>
      </rPr>
      <t>16-12</t>
    </r>
    <r>
      <rPr>
        <sz val="10"/>
        <color rgb="FF000000"/>
        <rFont val="宋体"/>
        <charset val="134"/>
      </rPr>
      <t>年差距</t>
    </r>
  </si>
  <si>
    <t>Distributed Natural Gas</t>
  </si>
  <si>
    <t>Existing Natural Gas</t>
  </si>
  <si>
    <t>沼气发电机组(MW)</t>
  </si>
  <si>
    <t>燃气发电机组(MW)</t>
  </si>
  <si>
    <t>Natural Gas Retro Capacity</t>
  </si>
  <si>
    <t>Natural Gas Retro Installation</t>
  </si>
  <si>
    <t>6MW以上机组分布</t>
  </si>
  <si>
    <t>新增</t>
  </si>
  <si>
    <t>存量</t>
  </si>
  <si>
    <t>全部机组</t>
  </si>
  <si>
    <t>6000千瓦以下机组</t>
  </si>
  <si>
    <t>柴油机组</t>
  </si>
  <si>
    <t>台</t>
  </si>
  <si>
    <t>西藏区</t>
  </si>
  <si>
    <t>6000千瓦以上存余容量</t>
  </si>
  <si>
    <t>6000千瓦以上新增容量</t>
  </si>
  <si>
    <t>6000千瓦以上淘汰容量</t>
  </si>
  <si>
    <t>6000千瓦以下存余容量</t>
  </si>
  <si>
    <t>6000千瓦以下新增容量</t>
  </si>
  <si>
    <t>6000千瓦以下淘汰容量</t>
  </si>
  <si>
    <t>存余容量</t>
  </si>
  <si>
    <t>新增容量</t>
  </si>
  <si>
    <t>淘汰容量</t>
  </si>
  <si>
    <t>2021年现存6MW柴油机组年龄分布（万千瓦）</t>
  </si>
  <si>
    <t>2021年现存6MW以下柴油机组年龄分布（万千瓦）</t>
  </si>
  <si>
    <t>Start Year</t>
  </si>
  <si>
    <t>2021年现存柴油机组年龄分布(万千瓦)</t>
  </si>
  <si>
    <t>2016 Capacity (KW)</t>
  </si>
  <si>
    <t>Annual Additioh (10000KW)</t>
  </si>
  <si>
    <t>Share of Existing</t>
  </si>
  <si>
    <t>Biomass Generation Account for</t>
  </si>
  <si>
    <r>
      <rPr>
        <sz val="10"/>
        <rFont val="宋体"/>
        <charset val="134"/>
      </rPr>
      <t>地区</t>
    </r>
  </si>
  <si>
    <r>
      <rPr>
        <sz val="10"/>
        <rFont val="宋体"/>
        <charset val="134"/>
      </rPr>
      <t>装机容量（万千瓦）</t>
    </r>
  </si>
  <si>
    <r>
      <rPr>
        <sz val="10"/>
        <rFont val="宋体"/>
        <charset val="134"/>
      </rPr>
      <t>合计</t>
    </r>
  </si>
  <si>
    <r>
      <rPr>
        <sz val="10"/>
        <rFont val="宋体"/>
        <charset val="134"/>
      </rPr>
      <t>沼气发电</t>
    </r>
  </si>
  <si>
    <r>
      <rPr>
        <sz val="10"/>
        <rFont val="宋体"/>
        <charset val="134"/>
      </rPr>
      <t>垃圾焚烧发电</t>
    </r>
  </si>
  <si>
    <r>
      <rPr>
        <sz val="10"/>
        <rFont val="宋体"/>
        <charset val="134"/>
      </rPr>
      <t>秸秆、蔗渣、林木质发电</t>
    </r>
  </si>
  <si>
    <t>Biomass Generation Capacity Constructed (refered and actual, MW)</t>
  </si>
  <si>
    <t>MSW Generation Capacity Constructed (refered and actual, MW)</t>
  </si>
  <si>
    <t>Country</t>
  </si>
  <si>
    <t>Project Name</t>
  </si>
  <si>
    <t>Project Name in Local Language / Script</t>
  </si>
  <si>
    <t>Capacity (MW)</t>
  </si>
  <si>
    <t>Installation Type</t>
  </si>
  <si>
    <t>Status</t>
  </si>
  <si>
    <t>Start year</t>
  </si>
  <si>
    <t>State/Province</t>
  </si>
  <si>
    <t>China</t>
  </si>
  <si>
    <t>Shanghai Donghai Bridge Offshore wind farm</t>
  </si>
  <si>
    <t>上海浦东海风力发电浦东东海大桥海上风电项目一期102.2MW发电工程</t>
  </si>
  <si>
    <t>offshore hard mount</t>
  </si>
  <si>
    <t>operating</t>
  </si>
  <si>
    <t>Shanghai</t>
  </si>
  <si>
    <t>Provincial Offshore wind project by status and (expected) year of operation</t>
  </si>
  <si>
    <t>Jiangsu Rudong Intertidal Zone Experimental wind farm</t>
  </si>
  <si>
    <t>通如东潮间带风电场30MW发电工程</t>
  </si>
  <si>
    <t>Jiangsu</t>
  </si>
  <si>
    <t>construction</t>
  </si>
  <si>
    <t>pre-construction</t>
  </si>
  <si>
    <t>Jiangsu Rudong (Longyuan) Intertidal Zone Demonstration wind farm</t>
  </si>
  <si>
    <t>龙源南通如东潮间带示范风电场150MW发电工程</t>
  </si>
  <si>
    <t>龙源南通如东潮间带示范风电场50MW扩建发电工程</t>
  </si>
  <si>
    <t>Fujian</t>
  </si>
  <si>
    <t>Shanghai Fengxian Haiwan Expansion wind farm</t>
  </si>
  <si>
    <t>上海奉贤海湾风电场扩容</t>
  </si>
  <si>
    <t>Hainan</t>
  </si>
  <si>
    <t>上海浦东海风力发电浦东东海大桥海上风电项目二期102.2MW发电工程</t>
  </si>
  <si>
    <t>Guangdong</t>
  </si>
  <si>
    <t>Jiangsu Xiangshui C1 wind farm</t>
  </si>
  <si>
    <t>响水长江风力发电盐城C1#12.5MW发电工程</t>
  </si>
  <si>
    <t>offshore mount unknown</t>
  </si>
  <si>
    <t>Liaoning</t>
  </si>
  <si>
    <t>Fujian Putian Pinghaiwan Offshore wind farm</t>
  </si>
  <si>
    <t>福建莆田平海湾海上风电场一期</t>
  </si>
  <si>
    <t>Shandong</t>
  </si>
  <si>
    <t>Jiangsu Binhai North Area H1 Offshore wind farm</t>
  </si>
  <si>
    <t>江苏滨海北区H1#海上风电场</t>
  </si>
  <si>
    <t>Zhejiang</t>
  </si>
  <si>
    <t>Jiangsu Rudong C4 Offshore wind farm</t>
  </si>
  <si>
    <t>龙源黄海如东海上风力发电南通C4#200MW发电工程</t>
  </si>
  <si>
    <t>广西省</t>
  </si>
  <si>
    <t>Guangxi</t>
  </si>
  <si>
    <t>Jiangsu Rudong (China Guangdong Nuclear) Offshore wind farm</t>
  </si>
  <si>
    <t>中广核如东海上风电项目</t>
  </si>
  <si>
    <t>Hebei</t>
  </si>
  <si>
    <t>Jiangsu Rudong (Sinohydro) Intertidal Zone Demonstration wind farm</t>
  </si>
  <si>
    <t>中国水电南通如东潮间带示范风电场50MW扩建发电工程</t>
  </si>
  <si>
    <t>Jiangsu Xiangshui Near-Ocean Ofshore wind farm</t>
  </si>
  <si>
    <t>中国长江三峡集团公司江苏响水近海风电场</t>
  </si>
  <si>
    <t>Jiangsu Rudong Baxianjiao Offshore wind farm</t>
  </si>
  <si>
    <t>华能如东八仙角300MW海上风电场工程</t>
  </si>
  <si>
    <t>Tianjin</t>
  </si>
  <si>
    <t>Jiangsu Dongtai (Jiangsu Guangheng) Offshore wind farm</t>
  </si>
  <si>
    <t>江苏东台200兆瓦海上风电项目 (江苏广恒)</t>
  </si>
  <si>
    <t>National</t>
  </si>
  <si>
    <t>Shanghai Lingang Offshore wind farm</t>
  </si>
  <si>
    <t>上海临港海上风电场二期</t>
  </si>
  <si>
    <t>Fujian Fuqing Xinghuawan Experimental Offshore wind farm</t>
  </si>
  <si>
    <t>福清兴化湾海上风电试验场一期</t>
  </si>
  <si>
    <t>Provincial offshore wind project by expected year of operation</t>
  </si>
  <si>
    <t>Jiangsu Binhai North Area H2 Offshore wind farm</t>
  </si>
  <si>
    <t>国家电投江苏滨海北H2#400MW海上风电项目</t>
  </si>
  <si>
    <t>Jiangsu Dafeng H12 Offshore wind farm</t>
  </si>
  <si>
    <t>江苏大丰H12海上风电项目</t>
  </si>
  <si>
    <t>Jiangsu Jiangjiasha H1 Offshore wind farm</t>
  </si>
  <si>
    <t>蒋家沙(H1) 海上风电项目</t>
  </si>
  <si>
    <t>Jiangsu Dongtai H2 Offshore wind farm</t>
  </si>
  <si>
    <t>东台四期（H2）300MW海上风电场</t>
  </si>
  <si>
    <t>Guangdong Zhanjiang Wailuo Offshore wind farm</t>
  </si>
  <si>
    <t>广东湛江外罗海上风电场</t>
  </si>
  <si>
    <t>Jiangsu Binhai (Datang) Offshore wind farm</t>
  </si>
  <si>
    <t>江苏滨海300MW海上风电项目</t>
  </si>
  <si>
    <t>Jiangsu Dafeng H11 Offshore wind farm</t>
  </si>
  <si>
    <t>江苏大丰H11海上风电场</t>
  </si>
  <si>
    <t>Jiangsu Dafeng (Huaneng) Offshore wind farm</t>
  </si>
  <si>
    <t>江苏大丰H13海上风电项目</t>
  </si>
  <si>
    <t>Jiangsu Dafeng H3 Offshore wind farm</t>
  </si>
  <si>
    <t>江苏大丰H3#海上风电场</t>
  </si>
  <si>
    <t>Jiangsu Dafeng H7 Offshore wind farm</t>
  </si>
  <si>
    <t>龙源江苏大丰 H7 海上风电项目</t>
  </si>
  <si>
    <t>上海临港海上风电场一期</t>
  </si>
  <si>
    <t>Tianjin Nangang Offshore wind farm</t>
  </si>
  <si>
    <t>天津南港海上风电场一期</t>
  </si>
  <si>
    <t>Zhejiang Putuo 6 Offshore wind farm</t>
  </si>
  <si>
    <t>浙江普陀6号海上风电场</t>
  </si>
  <si>
    <t>Fujian Fuqing Xinghuawan Offshore wind farm</t>
  </si>
  <si>
    <t>福清兴化湾海上风电试验场二期</t>
  </si>
  <si>
    <t>Guangdong Yangjiang Nanpengdao (China Guangdong Nuclear) Offshore wind farm</t>
  </si>
  <si>
    <t>广东阳江南鹏岛海上风电项目 (中广核)</t>
  </si>
  <si>
    <t>Cumulative offshore wind project by expected year of operation</t>
  </si>
  <si>
    <t>Hebei Tangshan Leting Putidao Offshore wind farm</t>
  </si>
  <si>
    <t>河北唐山乐亭菩提岛海上风电场</t>
  </si>
  <si>
    <t>华能江苏大丰扩建 100MW 海上风电项目</t>
  </si>
  <si>
    <t>Jiangsu Jiangjiasha H2 wind farm</t>
  </si>
  <si>
    <t>江苏蒋家沙（H2#）300MW海上风电场项目</t>
  </si>
  <si>
    <t>Jiangsu Rudong H14 Offshore wind farm</t>
  </si>
  <si>
    <t>江苏如东 H14#海上风电场项目</t>
  </si>
  <si>
    <t>Fujian Putian Nanridao Offshore wind farm</t>
  </si>
  <si>
    <t>莆田南日岛海上风电场一期项目A区</t>
  </si>
  <si>
    <t>Liaoning Dalian Zhuanghe 3 Offshore wind farm</t>
  </si>
  <si>
    <t>三峡新能大连庄河Ⅲ海上风电场</t>
  </si>
  <si>
    <t>Jiangsu Sheyang Southern Area H1 Offshore wind farm</t>
  </si>
  <si>
    <t>射阳海上南区H1#30 万千瓦风电场</t>
  </si>
  <si>
    <t>Zhejiang Daishan 4 Offshore wind farm</t>
  </si>
  <si>
    <t>浙江岱山4 #海上风电场 （ 一 期 ）</t>
  </si>
  <si>
    <t>Jiangsu Dafeng H5 Offshore wind farm</t>
  </si>
  <si>
    <t>​盐城国能大丰H5#200MW海上风电场</t>
  </si>
  <si>
    <t>Fujian Pingtan Dalian Offshore wind farm</t>
  </si>
  <si>
    <t>福建平潭大练海上风电场</t>
  </si>
  <si>
    <t>Fujian Pingtan Straits Road/Railroad Bridge Illumination Project Offshore Distributed wind farm</t>
  </si>
  <si>
    <t>福建平潭海峡公铁两用大桥照明工程分散式风电场</t>
  </si>
  <si>
    <t>福建莆田平海湾海上风电场F区</t>
  </si>
  <si>
    <t>福建莆田平海湾海上风电场二期</t>
  </si>
  <si>
    <t>Fujian Shicheng Offshore wind farm</t>
  </si>
  <si>
    <t>福建莆田石城海上风电场</t>
  </si>
  <si>
    <t>Fujian Changle 'Outer Ocean' Area A Offshore wind farm</t>
  </si>
  <si>
    <t>福建长乐外海海上风电场A区</t>
  </si>
  <si>
    <t>Fujian Changle 'Outer Ocean' Area C Offshore wind farm</t>
  </si>
  <si>
    <t>福建长乐外海海上风电场C区</t>
  </si>
  <si>
    <t>Fujian Fuqing Haitan Straits Offshore wind farm</t>
  </si>
  <si>
    <t>福清海坛海峡海上风电场</t>
  </si>
  <si>
    <t>Guangdong Huizhou Gangkou 1 Offshore wind farm</t>
  </si>
  <si>
    <t>广东惠州港口—海上风电场</t>
  </si>
  <si>
    <t>Guangdong Jieyang Shenquan 1 Offshore wind farm</t>
  </si>
  <si>
    <t>广东揭阳神泉一海上风电场</t>
  </si>
  <si>
    <t>Guangdong Nan'ao Lemen 1 Offshore wind farm</t>
  </si>
  <si>
    <t>广东南澳勒门Ⅰ海上风电场</t>
  </si>
  <si>
    <t>Guangdong Shanwei Houhu Offshore wind farm</t>
  </si>
  <si>
    <t>广东汕尾后湖海上风电场</t>
  </si>
  <si>
    <t>Guangdong Yangjiang Nanpengdao (China Energy Conservation) Offshore wind farm</t>
  </si>
  <si>
    <t>广东阳江南鹏岛海上风电项目 (中节能)</t>
  </si>
  <si>
    <t>Guangdong Yangjiang Shaba (Guangdong Energy) Offshore wind farm</t>
  </si>
  <si>
    <t>广东阳江沙扒海上风电场</t>
  </si>
  <si>
    <t>Guangdong Yangjiang Offshore Wind Farm R&amp;D Demonstration Project</t>
  </si>
  <si>
    <t>广东阳江沙扒海上风电科研示范项目</t>
  </si>
  <si>
    <t>Guangdong Yangjiang Shaba (Three Gorges) Offshore wind farm</t>
  </si>
  <si>
    <t>广东阳江阳西沙扒二期 400MW海上风电场</t>
  </si>
  <si>
    <t>广东阳江阳西沙扒三期 400MW海上风电场</t>
  </si>
  <si>
    <t>广东阳江阳西沙扒四期海上风电场</t>
  </si>
  <si>
    <t>广东阳江阳西沙扒五期 300MW 海上风电场项目</t>
  </si>
  <si>
    <t>广东阳江阳西沙扒一期海上风电场</t>
  </si>
  <si>
    <t>广东湛江外罗海上风电场二期</t>
  </si>
  <si>
    <t>Guangdong Zhanjiang Xinliao Offshore wind farm</t>
  </si>
  <si>
    <t>广东湛江新寮海上风电场</t>
  </si>
  <si>
    <t>Guangdong Zhuhai Guishan Offshore Wind Demonstration Project Phase Ii</t>
  </si>
  <si>
    <t>广东珠海桂山海上风电场示范项目二期</t>
  </si>
  <si>
    <t>Guangdong Zhuhai Guishan Offshore Wind Demonstration Project</t>
  </si>
  <si>
    <t>广东珠海桂山海上风电场示范项目一期</t>
  </si>
  <si>
    <t>Guangdong Zhuhai Jinwan Offshore wind farm</t>
  </si>
  <si>
    <t>广东珠海金湾海上风电场项目</t>
  </si>
  <si>
    <t>Liaoning Dalian Zhuanghe 4 Area I Offshore wind farm</t>
  </si>
  <si>
    <t>华能大连庄河Ⅳ海上风电场1场址</t>
  </si>
  <si>
    <t>Liaoning Dalian Zhuanghe 2 Offshore wind farm</t>
  </si>
  <si>
    <t>华能大连庄河II海上风电场</t>
  </si>
  <si>
    <t>Jiangsu Binhai South Area H3 Offshore wind farm</t>
  </si>
  <si>
    <t>江苏滨海南区H3#300MW 海上风电场</t>
  </si>
  <si>
    <t>Jiangsu Dafeng H10 Offshore wind farm</t>
  </si>
  <si>
    <t>江苏大丰H10海上风电场</t>
  </si>
  <si>
    <t>Jiangsu Dafeng H8-2 Offshore wind farm</t>
  </si>
  <si>
    <t>江苏大丰H8-2号海上风电场</t>
  </si>
  <si>
    <t>Jiangsu Qidong offshore wind farm</t>
  </si>
  <si>
    <t>江苏启东 H2#海上风电场项目</t>
  </si>
  <si>
    <t>江苏启东H1#海上风电场项目</t>
  </si>
  <si>
    <t>江苏启东H3#海上风电场项目</t>
  </si>
  <si>
    <t>Jiangsu Rudong H15 Offshore wind farm</t>
  </si>
  <si>
    <t>江苏如东 H15#海上风电场</t>
  </si>
  <si>
    <t>Jiangsu Rudong H2 Offshore wind farm</t>
  </si>
  <si>
    <t>江苏如东H2#海上风电场工程</t>
  </si>
  <si>
    <t>Jiangsu Rudong H3 Offshore wind farm</t>
  </si>
  <si>
    <t>江苏如东H3海上风电场工程</t>
  </si>
  <si>
    <t>Jiangsu Rudong H4 Offshore wind farm</t>
  </si>
  <si>
    <t>江苏如东H4#海上风电场</t>
  </si>
  <si>
    <t>Jiangsu Rudong H5 Offshore wind farm</t>
  </si>
  <si>
    <t>江苏如东H5#海上风电场</t>
  </si>
  <si>
    <t>Jiangsu Rudong H7 Offshore wind farm</t>
  </si>
  <si>
    <t>江苏如东H7#海上风电场</t>
  </si>
  <si>
    <t>Jiangsu Dongtai Zhugensha H2 Offshore wind farm</t>
  </si>
  <si>
    <t>江苏竹根沙（H2#）300MW 海上风电场项目</t>
  </si>
  <si>
    <t>Jiangsu Dongtai Zhugensha H1 Offshore wind farm</t>
  </si>
  <si>
    <t>江苏竹根沙H1#海上风电场</t>
  </si>
  <si>
    <t>Jiangsu Dafeng H6 Offshore wind farm</t>
  </si>
  <si>
    <t>龙源江苏大丰 H6#300MW 海上风电项目</t>
  </si>
  <si>
    <t>Jiangsu Dafeng H4 Offshore wind farm</t>
  </si>
  <si>
    <t>龙源江苏大丰H4#300MW海上风电项目</t>
  </si>
  <si>
    <t>Jiangsu Sheyang Southern Area H2-1 Offshore wind farm</t>
  </si>
  <si>
    <t>龙源江苏射阳海上南区H2-1#100MW 风电场</t>
  </si>
  <si>
    <t>Jiangsu Sheyang Souithern Area H2 Offshore wind farm</t>
  </si>
  <si>
    <t>龙源射阳H2#30万千瓦海上风电场</t>
  </si>
  <si>
    <t>Jiangsu Rudong H13 Offshore wind farm</t>
  </si>
  <si>
    <t>如东 H13 海上风电项目</t>
  </si>
  <si>
    <t>Jiangsu Rudong H6 Offshore wind farm</t>
  </si>
  <si>
    <t>三峡新能源江苏如东 H6（400MW）海上风电项目</t>
  </si>
  <si>
    <t>Jiangsu Rudong H10 Offshore wind farm</t>
  </si>
  <si>
    <t>三峡新能源江苏如东H10(400MW)海上风电项目</t>
  </si>
  <si>
    <t>Shandong Bandaonan 3 Offshore wind farm</t>
  </si>
  <si>
    <t>山东半岛南 3 号海上风电项目</t>
  </si>
  <si>
    <t>Shandong Bandaonan 4 Offshore wind farm</t>
  </si>
  <si>
    <t>山东半岛南 4 号海上风电项目</t>
  </si>
  <si>
    <t>上海东海大桥海上风电扩建项目</t>
  </si>
  <si>
    <t>Shanghai Fengxian Offshore wind farm</t>
  </si>
  <si>
    <t>上海奉贤海上风电场</t>
  </si>
  <si>
    <t>Fujian Changle offshore wind farm</t>
  </si>
  <si>
    <t>长乐外海海上风电场C区项目</t>
  </si>
  <si>
    <t>Zhejiang Jiaxing 1 Offshore wind farm</t>
  </si>
  <si>
    <t>浙江嘉兴1号海上风电场</t>
  </si>
  <si>
    <t>Zhejiang Jiaxing 2 Offshore wind farm</t>
  </si>
  <si>
    <t>浙江嘉兴2号海上风电场</t>
  </si>
  <si>
    <t>Zhejiang Shengsi 2 Offshore wind farm</t>
  </si>
  <si>
    <t>浙江嵊泗2#海上风电场</t>
  </si>
  <si>
    <t>Zhejiang Shengsi 5, 6 Offshore wind farm</t>
  </si>
  <si>
    <t>浙江嵊泗5#, 6#海上风电</t>
  </si>
  <si>
    <t>Zhejiang Xiangshan 1 Offshore wind farm</t>
  </si>
  <si>
    <t>浙江象山1#海上风电场一期</t>
  </si>
  <si>
    <t>Jiangsu Rudong H8 Offshore wind farm</t>
  </si>
  <si>
    <t>中广核江苏如东H8#（300MW）海上风电项目</t>
  </si>
  <si>
    <t>Shandong Bozhong B Offshore wind farm</t>
  </si>
  <si>
    <t>渤中B场址海上风电项目</t>
  </si>
  <si>
    <t>福建莆田平海湾海上风电场三期C区</t>
  </si>
  <si>
    <t>Jiangsu Guanyun Offshore wind farm</t>
  </si>
  <si>
    <t>灌云300MW海上风电场</t>
  </si>
  <si>
    <t>Guangdong Jieyang Huilai 2 Offshore wind farm</t>
  </si>
  <si>
    <t>广东揭阳惠来二海上风电场项目</t>
  </si>
  <si>
    <t>Guangdong Shanwei Jiazi 2 Offshore wind farm</t>
  </si>
  <si>
    <t>广东汕尾甲子二海上风电场</t>
  </si>
  <si>
    <t>Guangdong Shanwei Jiazi 1 Offshore wind farm</t>
  </si>
  <si>
    <t>广东汕尾甲子一海上风电场</t>
  </si>
  <si>
    <t>Guangdong Yangjiang Qingzhou Iii Offshore wind farm</t>
  </si>
  <si>
    <t>广东阳江青洲三海上风电场项目</t>
  </si>
  <si>
    <t>Guangdong Zhanjiang Xuwen Offshore wind farm</t>
  </si>
  <si>
    <t>广东湛江徐闻海上风电场</t>
  </si>
  <si>
    <t>Shandong Bandaonan V Offshore wind farm</t>
  </si>
  <si>
    <t>山东半岛南海上风电基地V场址</t>
  </si>
  <si>
    <t>Shandong Bozhong A Offshore wind farm</t>
  </si>
  <si>
    <t>山东渤中A海上风电项目</t>
  </si>
  <si>
    <t>Shandong Changyi Laizhouwan Offshore wind farm</t>
  </si>
  <si>
    <t>山东昌邑莱州湾海上风电场一期</t>
  </si>
  <si>
    <t>Shandong Laizhou Offshore Wind Farm And Acquaculture Integrated Project</t>
  </si>
  <si>
    <t>山东莱州市海上风电与海洋牧场融合发展研究试验项目</t>
  </si>
  <si>
    <t>Shangdong Bozhong (Yankuang GroupOffshore) wind farm</t>
  </si>
  <si>
    <t>山东能源集团渤中海上风电项目</t>
  </si>
  <si>
    <t>Zhejiang Cangnan 1 Offshore wind farm</t>
  </si>
  <si>
    <t>浙江苍南1号海上风电场</t>
  </si>
  <si>
    <t>Zhejiang Cangnan 4 Offshore wind farm</t>
  </si>
  <si>
    <t>浙江苍南4号海上风电场</t>
  </si>
  <si>
    <t>Zhejiang Yuhuan 1 Offshore wind farm</t>
  </si>
  <si>
    <t>浙江玉环海上风电场</t>
  </si>
  <si>
    <t>Fujian Ningde Xiapu Offshore wind farm</t>
  </si>
  <si>
    <t>福建宁德霞浦海上风电B区</t>
  </si>
  <si>
    <t>Fujian Pingtan Waihai Offshore wind farm</t>
  </si>
  <si>
    <t>福建平潭外海海上风电场</t>
  </si>
  <si>
    <t>Fujian Zhangpu Liu'Ao Offshore wind farm</t>
  </si>
  <si>
    <t>福建漳浦六鳌海上风电场D区</t>
  </si>
  <si>
    <t>Guangdong Huizhou Gangkou 2 Offshore wind farm</t>
  </si>
  <si>
    <t>广东惠州港口二 PA 海上风电场</t>
  </si>
  <si>
    <t>广东惠州港口二 PB 海上风电场</t>
  </si>
  <si>
    <t>Guangdong Jieyang Shenquan 2 Offshore wind farm</t>
  </si>
  <si>
    <t>广东揭阳神泉二海上风电场</t>
  </si>
  <si>
    <t>Guangdong Nan'ao Lemen 2 Offshore wind farm</t>
  </si>
  <si>
    <t>广东汕头勒门（二）海上风电场</t>
  </si>
  <si>
    <t>Guangdong Yangjiang Qingzhou Iv Offshore wind farm</t>
  </si>
  <si>
    <t>广东阳江青洲四海上风电场项目</t>
  </si>
  <si>
    <t>Guangdong Yangjiang Qingzhou I Offshore wind farm</t>
  </si>
  <si>
    <t>广东阳江青洲一海上风电场项目</t>
  </si>
  <si>
    <t>Shandong Bozhong B2 Offshore wind farm</t>
  </si>
  <si>
    <t>国华渤中B2场址海上风电项目</t>
  </si>
  <si>
    <t>Liaoning Dalian Zhuanghe 4 Area II Offshore wind farm</t>
  </si>
  <si>
    <t>华能大连庄河海上风电IV2场</t>
  </si>
  <si>
    <t>Jiangsu Dafeng H16 Offshore wind farm</t>
  </si>
  <si>
    <t>江苏大丰H16海上风电项目</t>
  </si>
  <si>
    <t>莆田南日岛海上风电场一期项目B 区</t>
  </si>
  <si>
    <t>Shandong Muping (Three Gorges) Offshore wind farm</t>
  </si>
  <si>
    <t>三峡山东牟平BDB6#一期（300MW）海上风电项目</t>
  </si>
  <si>
    <t>Shandong Bandaobei 6 Offshore wind farm</t>
  </si>
  <si>
    <t>山东牟平半岛北6#海上风电场一期</t>
  </si>
  <si>
    <t>Zhejiang Cangnan 2 wind farm</t>
  </si>
  <si>
    <t>浙江苍南2号海上风电场</t>
  </si>
  <si>
    <t>Zhejiang Xiangshan Tuci Offshore wind farm</t>
  </si>
  <si>
    <t>浙江核象山涂茨海上风电场</t>
  </si>
  <si>
    <t>浙江象山1#海上风电场二期</t>
  </si>
  <si>
    <t>福建漳浦六鳌海上风电场E区</t>
  </si>
  <si>
    <t>Guangdong Jieyang Jinghai Offshore wind farm</t>
  </si>
  <si>
    <t>广东揭阳靖海海上风电场</t>
  </si>
  <si>
    <t>Guangdong Shantou Haimen Areas 2 and 3 Offshore wind farm</t>
  </si>
  <si>
    <t>广东汕头海门（场址二、场址三）海上风电场</t>
  </si>
  <si>
    <t>Guangdong Shantou Haimen Area 1 Offshore wind farm</t>
  </si>
  <si>
    <t>广东汕头海门（场址一）海上风电场</t>
  </si>
  <si>
    <t>Guangdong Shantou Nan'Ao Yangdong Offshore wind farm</t>
  </si>
  <si>
    <t>广东汕头市南澳洋东海上风电项目</t>
  </si>
  <si>
    <t>Guangdong Shantou Zhongpeng Offshore Area 2 wind farm</t>
  </si>
  <si>
    <t>广东汕头中澎二海上风电场</t>
  </si>
  <si>
    <t>Guangdong Yangjiang Fanshi Offshore wind farm</t>
  </si>
  <si>
    <t>广东阳江帆石二海上风电场</t>
  </si>
  <si>
    <t>广东阳江帆石一海上风电场</t>
  </si>
  <si>
    <t>Guangdong Yangjiang Qingzhou Ii Offshore wind farm</t>
  </si>
  <si>
    <t>广东阳江青洲二海上风电场项目</t>
  </si>
  <si>
    <t>Guangdong Yangjiang Qingzhou Vi Offshore wind farm</t>
  </si>
  <si>
    <t>广东阳江青洲六海上风电场项目</t>
  </si>
  <si>
    <t>Guangdong Yangjiang Qingzhou Vii Offshore wind farm</t>
  </si>
  <si>
    <t>广东阳江青洲七海上风电场项目</t>
  </si>
  <si>
    <t>Guangdong Yangjiang Qingzhou V Offshore wind farm</t>
  </si>
  <si>
    <t>广东阳江青洲五海上风电场项目</t>
  </si>
  <si>
    <t>国家电投广东湛江徐闻海上风电场增容项目</t>
  </si>
  <si>
    <t>Shandong Bandaobei BW Offshore wind farm</t>
  </si>
  <si>
    <t>华能山东半岛北BW场址海上风电项目</t>
  </si>
  <si>
    <t>Zhejiang Yuhuan (Huaneng) wind farm</t>
  </si>
  <si>
    <t>华能玉环2号海上风电项目</t>
  </si>
  <si>
    <t>Jiangsu Dafeng H17 Offshore wind farm</t>
  </si>
  <si>
    <t>江苏大丰H17号海上风电场</t>
  </si>
  <si>
    <t>Jiangsu Dafeng H8-1 Offshore wind farm</t>
  </si>
  <si>
    <t>江苏大丰H8-1号海上风电场</t>
  </si>
  <si>
    <t>Jiangsu Dafeng H9 Offshore wind farm</t>
  </si>
  <si>
    <t>江苏大丰H9号海上风电场</t>
  </si>
  <si>
    <t>南澳勒门Ⅰ海上风电扩建项目</t>
  </si>
  <si>
    <t>Fujian Zhangpu Liu'ao offshore wind farm</t>
  </si>
  <si>
    <t>三峡福建漳浦六鳌海上风电场二期项目</t>
  </si>
  <si>
    <t>Guangdong Shanwei Jiazi 3 Offshore wind farm</t>
  </si>
  <si>
    <t>汕尾甲子三海上风电场</t>
  </si>
  <si>
    <t>Jiangsu Sheyang Southern Area H4 Offshore wind farm</t>
  </si>
  <si>
    <t>射阳海上南区H4#30万千瓦风电场</t>
  </si>
  <si>
    <t>Jiangsu Sheyang Southern Area H5 Offshore wind farm</t>
  </si>
  <si>
    <t>射阳海上南区H5#风电场</t>
  </si>
  <si>
    <t>Zhejiang Taizhou 1 Offshore wind farm</t>
  </si>
  <si>
    <t>浙江台州1#海上风电场</t>
  </si>
  <si>
    <t>福建宁德霞浦海上风电A区</t>
  </si>
  <si>
    <t>福建漳浦六鳌海上风电场F区</t>
  </si>
  <si>
    <t>Guangdong Shantou Zhongpeng Area 1 Offshore wind farm</t>
  </si>
  <si>
    <t>广东汕头中澎一海上风电场</t>
  </si>
  <si>
    <t>Guangdong Shanwei Jieshi Offshore wind farm</t>
  </si>
  <si>
    <t>广东汕尾碣石海上风电场</t>
  </si>
  <si>
    <t>Guangdong Yangjiang Sanshandao Offshore wind farm</t>
  </si>
  <si>
    <t>广东阳江三山岛海上风电场</t>
  </si>
  <si>
    <t>Hainan Wanning Offshore Floating wind farm</t>
  </si>
  <si>
    <t>海南万宁漂浮式海上风电项目一期</t>
  </si>
  <si>
    <t>offshore floating</t>
  </si>
  <si>
    <t>Zhejiang Yuhuan No.2 offshore wind farm</t>
  </si>
  <si>
    <t>Liaoning Dalian Huayuankou Offshore wind farm</t>
  </si>
  <si>
    <t>辽宁大连花园口海上风电场</t>
  </si>
  <si>
    <t>福建宁德霞浦海上风电C区</t>
  </si>
  <si>
    <t>福建宁德霞浦海上风电D区</t>
  </si>
  <si>
    <t>announced</t>
  </si>
  <si>
    <t>Hainan CZ7 Demonstration Offshore wind farm</t>
  </si>
  <si>
    <t>海南CZ7海上示范风电场</t>
  </si>
  <si>
    <t>Hainan CZ9 Demonstration Offshore wind farm</t>
  </si>
  <si>
    <t>海南CZ9海上示范风电场</t>
  </si>
  <si>
    <t>Jiangsu Dafeng H1 Offshore wind farm</t>
  </si>
  <si>
    <t>江苏大丰H1#海上风电场</t>
  </si>
  <si>
    <t>海南万宁漂浮式海上风电项目二期</t>
  </si>
  <si>
    <t>Guangdong Shanwei Mingyang New Technology Demonstration wind farm</t>
  </si>
  <si>
    <t>广东汕尾海洋能源立体化创新开发示范建设项目 (明阳)</t>
  </si>
  <si>
    <t>Liaoning Zhuanghe (Taopingwan) wind farm</t>
  </si>
  <si>
    <t>大连市庄河海上风电场址V项目</t>
  </si>
  <si>
    <t>Hainan Danzhou CZ3 (Datang) Offshore wind farm</t>
  </si>
  <si>
    <t>大唐海南儋州120万千瓦海上风电项目</t>
  </si>
  <si>
    <t>东海大桥海上风电三期项目</t>
  </si>
  <si>
    <t>奉贤海上风电二期项目</t>
  </si>
  <si>
    <t>奉贤海上风电四期项目</t>
  </si>
  <si>
    <t>Fujian Pingtan Changjiang'Ao Offshore wind farm</t>
  </si>
  <si>
    <t>福建平潭长江澳185MW 海上风电场</t>
  </si>
  <si>
    <t>Fujian Changle 'Outer Ocean' Area B Offshore wind farm</t>
  </si>
  <si>
    <t>福建长乐外海海上风电场B区</t>
  </si>
  <si>
    <t>Guangdong Jieyang Huilai 3 Offshore wind farm</t>
  </si>
  <si>
    <t>广东揭阳惠来三海上风电场项目</t>
  </si>
  <si>
    <t>Guangdong Jieyang Huilai 4 Offshore wind farm</t>
  </si>
  <si>
    <t>广东揭阳惠来四海上风电场项目</t>
  </si>
  <si>
    <t>Guangdong Jieyang Huilai 5 Offshore wind farm</t>
  </si>
  <si>
    <t>广东揭阳惠来五海上风电场项目</t>
  </si>
  <si>
    <t>Guangdong Jieyang Huilai 1 Offshore wind farm</t>
  </si>
  <si>
    <t>广东揭阳惠来一海上风电场项目</t>
  </si>
  <si>
    <t>Guangdong Jieyang Qianzhan 3 Offshore wind farm</t>
  </si>
  <si>
    <t>广东揭阳前詹三海上风电场项目</t>
  </si>
  <si>
    <t>Guangdong Jieyang Qianzhan 1 Offshore wind farm</t>
  </si>
  <si>
    <t>广东揭阳前詹一海上风电场项目</t>
  </si>
  <si>
    <t>Guangxi Fangchenggang Pilot Offshore wind farm</t>
  </si>
  <si>
    <t>广西防城港海上风电示范项目A场址工程项目</t>
  </si>
  <si>
    <t>Shandong Weihai Bandaonan offshore wind farm</t>
  </si>
  <si>
    <t>国华半岛南U2场址600MW海上风电项目</t>
  </si>
  <si>
    <t>Shandong Bandaonan (Guohua) Offshore wind farm</t>
  </si>
  <si>
    <t>国华半岛南地区600MW海上风电项</t>
  </si>
  <si>
    <t>国华半岛南地区600mw海上风电项目</t>
  </si>
  <si>
    <t>Shandong Bozhong G Offshore wind farm</t>
  </si>
  <si>
    <t>国华渤中G场址海上风电项目</t>
  </si>
  <si>
    <t>国家电投揭阳靖海150MW海上风电项目增容项目</t>
  </si>
  <si>
    <t>Hainan CZ2 Demonstration Offshore wind farm</t>
  </si>
  <si>
    <t>海南CZ2海上示范风电场</t>
  </si>
  <si>
    <t>Liaoning Liaodong Bay (Huaneng) Offshore wind farm</t>
  </si>
  <si>
    <t>华能辽宁公司辽东湾海上风电项目</t>
  </si>
  <si>
    <t>Shandong Huaneng Offshore K Area wind farm</t>
  </si>
  <si>
    <t>华能山东半岛北K场址海上风电项目</t>
  </si>
  <si>
    <t>Shandong Huaneng Offshore L Area wind farm</t>
  </si>
  <si>
    <t>华能山东半岛北L场址海上风电项目</t>
  </si>
  <si>
    <t>Fujian Lianjiang Outer Ocean (China Resources) Offshore wind farm</t>
  </si>
  <si>
    <t>华润电力连江外海70万千瓦海上风电场项目</t>
  </si>
  <si>
    <t>Jiangsu Dafeng H15 Offshore wind farm</t>
  </si>
  <si>
    <t>江苏大丰H15号海上风电场</t>
  </si>
  <si>
    <t>Jiangsu Dafeng H2 Offshore wind farm</t>
  </si>
  <si>
    <t>江苏大丰H2#海上风电场</t>
  </si>
  <si>
    <t>Jiangsu Sheyang Southern Area H3 Offshore wind farm</t>
  </si>
  <si>
    <t>江苏射阳海上南区H3风电场</t>
  </si>
  <si>
    <t>Shanghai Jinshan Offshore wind farm</t>
  </si>
  <si>
    <t>金山海上风电场二期项目</t>
  </si>
  <si>
    <t>Hainan Dongfang CZ8 Offshore wind farm</t>
  </si>
  <si>
    <t>龙源海南东方CZ8场址50万千瓦海上风电项目</t>
  </si>
  <si>
    <t>Fujian Mazu Island Offshore wind farm</t>
  </si>
  <si>
    <t>马祖岛外海上风电项目</t>
  </si>
  <si>
    <t>Fujian Pingtan offshore area A wind farm</t>
  </si>
  <si>
    <t>平潭A区海上风电场项目</t>
  </si>
  <si>
    <t>Fujian Pingtan offshore area B and Caoyu wind farm</t>
  </si>
  <si>
    <t>平潭B区及平潭草屿海上风电开发项目</t>
  </si>
  <si>
    <t>Fujian Meizhou Bay 'Outer Ocean' Offshore wind farm</t>
  </si>
  <si>
    <t>莆田湄洲湾外海40万千瓦海上风电项目</t>
  </si>
  <si>
    <t>Fujian Putian Pinghai Bay offshore wind farm</t>
  </si>
  <si>
    <t>莆田平海湾DE区（40万千瓦）项目</t>
  </si>
  <si>
    <t>Liaoning Dalian Zhuanghe 5 Offshore wind farm</t>
  </si>
  <si>
    <t>三峡能源大连市庄河V(250MW)海上风电场项目</t>
  </si>
  <si>
    <t>Tianjin Nanhaigang Demonstration Offshore wind farm</t>
  </si>
  <si>
    <t>三峡天津南港海上风电示范项目</t>
  </si>
  <si>
    <t>Shandong Bandaonan U2 Offshore wind farm</t>
  </si>
  <si>
    <t>山东半岛南海上风电U2场址项目（一期）</t>
  </si>
  <si>
    <t>Shandong Bandaonan U Offshore wind farm</t>
  </si>
  <si>
    <t>山东半岛南海上风电基地U场</t>
  </si>
  <si>
    <t>Shandong Haiwei Peninsular South U Area Offshore wind farm</t>
  </si>
  <si>
    <t>山东海卫半岛南U场址450MW海上风电项目</t>
  </si>
  <si>
    <t>Hebei Shanhaiguan Offshore wind farm</t>
  </si>
  <si>
    <t>山海关海上风电一期500兆瓦平价示范项目</t>
  </si>
  <si>
    <t>Guangdong Shantou Nanpeng Offshore wind farm</t>
  </si>
  <si>
    <t>汕头南澎二海上风电场项目</t>
  </si>
  <si>
    <t>汕头南澎三海上风电场项目</t>
  </si>
  <si>
    <t>汕头南澎一海上风电场项目</t>
  </si>
  <si>
    <t>Guangdong Shantou Qinpeng Offshore wind farm</t>
  </si>
  <si>
    <t>汕头芹澎海上风电场二</t>
  </si>
  <si>
    <t>汕头芹澎海上风电场三</t>
  </si>
  <si>
    <t>汕头芹澎海上风电场四</t>
  </si>
  <si>
    <t>汕头芹澎海上风电场一</t>
  </si>
  <si>
    <t>上海金山海上风电场一期</t>
  </si>
  <si>
    <t>Jiangsu Rudong H1-2 wind farm</t>
  </si>
  <si>
    <t>协鑫如东H1-2#海上风电场</t>
  </si>
  <si>
    <t>Fujian Changle 'Outer Ocean' Area I Offshore wind farm</t>
  </si>
  <si>
    <t>长乐外海I区（南）30万千瓦海上风电项目</t>
  </si>
  <si>
    <t>Fujian Changle 'Outer Ocean' Area J Offshore wind farm</t>
  </si>
  <si>
    <t>长乐外海J区65万千瓦海上风电项目</t>
  </si>
  <si>
    <t>Fujian Changle 'Outer Ocean' Area K Offshore wind farm</t>
  </si>
  <si>
    <t>长乐外海K区55万千瓦海上风电项目</t>
  </si>
  <si>
    <t>Zhejiang Daishan 1 Offshore wind farm</t>
  </si>
  <si>
    <t>浙江岱山1#海上风电场</t>
  </si>
  <si>
    <t>Zhejiang Dongtou 1 Offshore wind farm</t>
  </si>
  <si>
    <t>浙江洞头1#海上风电场</t>
  </si>
  <si>
    <t>Zhejiang Pingyang 1 Offshore wind farm</t>
  </si>
  <si>
    <t>浙江平阳1#海上风电场</t>
  </si>
  <si>
    <t>Zhejiang Rui'An 1 Offshore wind farm</t>
  </si>
  <si>
    <t>浙江瑞安1号海上风电场</t>
  </si>
  <si>
    <t>Zhejiang Rui'an 2 Offshore wind farm</t>
  </si>
  <si>
    <t>浙江瑞安2#海上风电场</t>
  </si>
  <si>
    <t>Shandong Penglai Oilfield Offshore wind farm</t>
  </si>
  <si>
    <t>中海油蓬莱油田海上风电示范项目(一期）</t>
  </si>
  <si>
    <t>机组名称</t>
  </si>
  <si>
    <t>电厂名称</t>
  </si>
  <si>
    <t>电厂期数</t>
  </si>
  <si>
    <t>机组编号</t>
  </si>
  <si>
    <t>堆型</t>
  </si>
  <si>
    <t>状态</t>
  </si>
  <si>
    <t>城市</t>
  </si>
  <si>
    <t>县</t>
  </si>
  <si>
    <t>经度</t>
  </si>
  <si>
    <t>纬度</t>
  </si>
  <si>
    <t>装机容量(MW)</t>
  </si>
  <si>
    <t>业主单位</t>
  </si>
  <si>
    <t>开工日期</t>
  </si>
  <si>
    <t>首次并网</t>
  </si>
  <si>
    <t>商业运行</t>
  </si>
  <si>
    <t>预计投运</t>
  </si>
  <si>
    <t>福清1号</t>
  </si>
  <si>
    <t>福清核电厂</t>
  </si>
  <si>
    <t>1期</t>
  </si>
  <si>
    <t>1号机组</t>
  </si>
  <si>
    <t>M310 / CNP1000</t>
  </si>
  <si>
    <t>在运</t>
  </si>
  <si>
    <t>福州市</t>
  </si>
  <si>
    <t>福清市</t>
  </si>
  <si>
    <t>中核集团 </t>
  </si>
  <si>
    <t>福清2号</t>
  </si>
  <si>
    <t>2号机组</t>
  </si>
  <si>
    <t>福清3号</t>
  </si>
  <si>
    <t>3号机组</t>
  </si>
  <si>
    <t>福清4号</t>
  </si>
  <si>
    <t>4号机组</t>
  </si>
  <si>
    <t>福清5号</t>
  </si>
  <si>
    <t>5号机组</t>
  </si>
  <si>
    <t>华龙一号 </t>
  </si>
  <si>
    <t>福清6号</t>
  </si>
  <si>
    <t>6号机组</t>
  </si>
  <si>
    <t>宁德1号</t>
  </si>
  <si>
    <t>宁德核电厂</t>
  </si>
  <si>
    <t>CPR1000 </t>
  </si>
  <si>
    <t>宁德市</t>
  </si>
  <si>
    <t>福鼎市</t>
  </si>
  <si>
    <t>中国广核集团 </t>
  </si>
  <si>
    <t>宁德2号</t>
  </si>
  <si>
    <t>宁德3号</t>
  </si>
  <si>
    <t>宁德4号</t>
  </si>
  <si>
    <t>霞浦示范快堆1号</t>
  </si>
  <si>
    <t>霞浦示范快堆</t>
  </si>
  <si>
    <t>CFR600 </t>
  </si>
  <si>
    <t>霞浦县</t>
  </si>
  <si>
    <t>霞浦示范快堆2号</t>
  </si>
  <si>
    <t>漳州1号</t>
  </si>
  <si>
    <t>漳州核电厂</t>
  </si>
  <si>
    <t>漳州市</t>
  </si>
  <si>
    <t>东山县</t>
  </si>
  <si>
    <t>漳州2号</t>
  </si>
  <si>
    <t>漳州3号</t>
  </si>
  <si>
    <t>2期</t>
  </si>
  <si>
    <t>核准</t>
  </si>
  <si>
    <t>2022-09-13 核准</t>
  </si>
  <si>
    <t>漳州4号</t>
  </si>
  <si>
    <t>大亚湾1号</t>
  </si>
  <si>
    <t>大亚湾核电厂</t>
  </si>
  <si>
    <t>M310 </t>
  </si>
  <si>
    <t>深圳市</t>
  </si>
  <si>
    <t>宝安区</t>
  </si>
  <si>
    <t>大亚湾2号</t>
  </si>
  <si>
    <t>岭澳1号</t>
  </si>
  <si>
    <t>岭澳核电厂</t>
  </si>
  <si>
    <t>岭澳2号</t>
  </si>
  <si>
    <t>岭澳3号</t>
  </si>
  <si>
    <t>岭澳4号</t>
  </si>
  <si>
    <t>台山1号</t>
  </si>
  <si>
    <t>台山核电厂</t>
  </si>
  <si>
    <t>EPR </t>
  </si>
  <si>
    <t>江门市</t>
  </si>
  <si>
    <t>台山市</t>
  </si>
  <si>
    <t>台山2号</t>
  </si>
  <si>
    <t>太平岭1号</t>
  </si>
  <si>
    <t>太平岭核电厂</t>
  </si>
  <si>
    <t>惠州市</t>
  </si>
  <si>
    <t>惠东县</t>
  </si>
  <si>
    <t>太平岭2号</t>
  </si>
  <si>
    <t>阳江1号</t>
  </si>
  <si>
    <t>阳江核电厂</t>
  </si>
  <si>
    <t>2008/12/16 </t>
  </si>
  <si>
    <t>2013/12/31 </t>
  </si>
  <si>
    <t>2014/03/25 </t>
  </si>
  <si>
    <t>阳江2号</t>
  </si>
  <si>
    <t>2009/06/04 </t>
  </si>
  <si>
    <t>2015/03/10 </t>
  </si>
  <si>
    <t>2015/06/05 </t>
  </si>
  <si>
    <t>阳江3号</t>
  </si>
  <si>
    <t>2010/11/15 </t>
  </si>
  <si>
    <t>2015/10/18 </t>
  </si>
  <si>
    <t>2016/01/01 </t>
  </si>
  <si>
    <t>阳江4号</t>
  </si>
  <si>
    <t>2012/11/17 </t>
  </si>
  <si>
    <t>2017/01/08 </t>
  </si>
  <si>
    <t>2017/03/15 </t>
  </si>
  <si>
    <t>阳江5号</t>
  </si>
  <si>
    <t>ACPR1000 </t>
  </si>
  <si>
    <t>2013/09/27 </t>
  </si>
  <si>
    <t>2018/05/23 </t>
  </si>
  <si>
    <t>2018/07/12 </t>
  </si>
  <si>
    <t>阳江6号</t>
  </si>
  <si>
    <t>2013/12/23 </t>
  </si>
  <si>
    <t>2019/06/29 </t>
  </si>
  <si>
    <t>2019/07/24 </t>
  </si>
  <si>
    <t>2019/10/16 </t>
  </si>
  <si>
    <t>2020/09/04 </t>
  </si>
  <si>
    <t>2022/09/13 核准</t>
  </si>
  <si>
    <t>防城港1号</t>
  </si>
  <si>
    <t>防城港核电厂</t>
  </si>
  <si>
    <t>防城港市</t>
  </si>
  <si>
    <t>防城区</t>
  </si>
  <si>
    <t>防城港2号</t>
  </si>
  <si>
    <t>防城港3号</t>
  </si>
  <si>
    <r>
      <rPr>
        <sz val="10"/>
        <rFont val="宋体"/>
        <charset val="134"/>
      </rPr>
      <t>3号机组</t>
    </r>
  </si>
  <si>
    <t>防城港4号</t>
  </si>
  <si>
    <r>
      <rPr>
        <sz val="10"/>
        <rFont val="宋体"/>
        <charset val="134"/>
      </rPr>
      <t>4号机组</t>
    </r>
  </si>
  <si>
    <t>昌江1号</t>
  </si>
  <si>
    <t>昌江核电厂</t>
  </si>
  <si>
    <t>CNP600 </t>
  </si>
  <si>
    <t>昌江黎族自治县</t>
  </si>
  <si>
    <t>昌江2号</t>
  </si>
  <si>
    <t>昌江3号</t>
  </si>
  <si>
    <t>华能集团 </t>
  </si>
  <si>
    <t>昌江4号</t>
  </si>
  <si>
    <t>昌江小堆示范工程</t>
  </si>
  <si>
    <t>小堆示范工程</t>
  </si>
  <si>
    <t>玲珑一号 ACP100 </t>
  </si>
  <si>
    <t>田湾1号</t>
  </si>
  <si>
    <t>田湾核电站</t>
  </si>
  <si>
    <t>AES-91</t>
  </si>
  <si>
    <t>连云港市</t>
  </si>
  <si>
    <t>连云区</t>
  </si>
  <si>
    <t>中核集团</t>
  </si>
  <si>
    <t>田湾2号</t>
  </si>
  <si>
    <t>田湾3号</t>
  </si>
  <si>
    <t>VVER-1000/428</t>
  </si>
  <si>
    <t>田湾4号</t>
  </si>
  <si>
    <t>田湾5号</t>
  </si>
  <si>
    <t>3期</t>
  </si>
  <si>
    <t>CNP1000</t>
  </si>
  <si>
    <t>田湾6号</t>
  </si>
  <si>
    <t>田湾7号</t>
  </si>
  <si>
    <t>4期</t>
  </si>
  <si>
    <r>
      <rPr>
        <sz val="10"/>
        <rFont val="宋体"/>
        <charset val="134"/>
      </rPr>
      <t>7号机组</t>
    </r>
  </si>
  <si>
    <t>VVER-1200</t>
  </si>
  <si>
    <t>田湾8号</t>
  </si>
  <si>
    <r>
      <rPr>
        <sz val="10"/>
        <rFont val="宋体"/>
        <charset val="134"/>
      </rPr>
      <t>8号机组</t>
    </r>
  </si>
  <si>
    <t>红沿河1号</t>
  </si>
  <si>
    <t>红沿河核电厂</t>
  </si>
  <si>
    <t>CPR1000</t>
  </si>
  <si>
    <t>大连市</t>
  </si>
  <si>
    <t>瓦房店市</t>
  </si>
  <si>
    <t>中国广核集团</t>
  </si>
  <si>
    <t>红沿河2号</t>
  </si>
  <si>
    <t>红沿河3号</t>
  </si>
  <si>
    <t>红沿河4号</t>
  </si>
  <si>
    <t>红沿河5号</t>
  </si>
  <si>
    <t>ACPR1000</t>
  </si>
  <si>
    <t>红沿河6号</t>
  </si>
  <si>
    <t>徐大堡3号</t>
  </si>
  <si>
    <t>徐大堡核电站</t>
  </si>
  <si>
    <t>葫芦岛市</t>
  </si>
  <si>
    <t>兴城市</t>
  </si>
  <si>
    <t>徐大堡4号</t>
  </si>
  <si>
    <t>国核示范工程1号</t>
  </si>
  <si>
    <t>国和一号示范工程</t>
  </si>
  <si>
    <t>CAP1400</t>
  </si>
  <si>
    <t>威海市</t>
  </si>
  <si>
    <t>任城区</t>
  </si>
  <si>
    <t>国家电投集团</t>
  </si>
  <si>
    <t>国核示范工程2号</t>
  </si>
  <si>
    <t>海阳1号</t>
  </si>
  <si>
    <t>海阳核电厂</t>
  </si>
  <si>
    <t>AP1000</t>
  </si>
  <si>
    <t>烟台市</t>
  </si>
  <si>
    <t>海阳市</t>
  </si>
  <si>
    <t>海阳2号</t>
  </si>
  <si>
    <t>海阳3号</t>
  </si>
  <si>
    <t>CAP1000</t>
  </si>
  <si>
    <t>海阳4号</t>
  </si>
  <si>
    <t>石岛湾1号</t>
  </si>
  <si>
    <t>石岛湾核电厂</t>
  </si>
  <si>
    <t>HTR-PM 高温气冷堆</t>
  </si>
  <si>
    <t>华能集团</t>
  </si>
  <si>
    <t>方家山1号</t>
  </si>
  <si>
    <t>方家山核电厂</t>
  </si>
  <si>
    <t>嘉兴市</t>
  </si>
  <si>
    <t>海盐县</t>
  </si>
  <si>
    <t>方家山2号</t>
  </si>
  <si>
    <t>秦山二期1号</t>
  </si>
  <si>
    <t>秦山第二核电厂</t>
  </si>
  <si>
    <t>CNP600</t>
  </si>
  <si>
    <t>秦山二期2号</t>
  </si>
  <si>
    <t>秦山二期3号</t>
  </si>
  <si>
    <t>秦山二期4号</t>
  </si>
  <si>
    <t>秦山三期1号</t>
  </si>
  <si>
    <t>秦山第三核电厂</t>
  </si>
  <si>
    <t>CANDU6</t>
  </si>
  <si>
    <t>秦山三期2号</t>
  </si>
  <si>
    <t>秦山一期</t>
  </si>
  <si>
    <t>秦山核电厂</t>
  </si>
  <si>
    <t>CNP300</t>
  </si>
  <si>
    <t>三澳1号</t>
  </si>
  <si>
    <t>三澳核电厂</t>
  </si>
  <si>
    <t>华龙一号</t>
  </si>
  <si>
    <t>温州市</t>
  </si>
  <si>
    <t>苍南县</t>
  </si>
  <si>
    <t>三澳2号</t>
  </si>
  <si>
    <t>三门1号</t>
  </si>
  <si>
    <t>三门核电厂</t>
  </si>
  <si>
    <t>台州市</t>
  </si>
  <si>
    <t>三门县</t>
  </si>
  <si>
    <t>三门2号</t>
  </si>
  <si>
    <t>三门3号</t>
  </si>
  <si>
    <t>三门4号</t>
  </si>
  <si>
    <t>2022-04-20 核准</t>
  </si>
  <si>
    <t>金山1号 Chinshan 1</t>
  </si>
  <si>
    <t>第一核电厂（金山）</t>
  </si>
  <si>
    <t>BWR-4</t>
  </si>
  <si>
    <t>退役</t>
  </si>
  <si>
    <t>台湾省</t>
  </si>
  <si>
    <t>新北市</t>
  </si>
  <si>
    <t>石门区</t>
  </si>
  <si>
    <t>国圣2号 Kuosheng 2</t>
  </si>
  <si>
    <t>第二核电厂（国圣）</t>
  </si>
  <si>
    <t>BWR-6</t>
  </si>
  <si>
    <t>万里区</t>
  </si>
  <si>
    <t>马鞍山1号 Maanshan 1</t>
  </si>
  <si>
    <t>第三核电厂（马鞍山）</t>
  </si>
  <si>
    <t>WE 312 (3 loop-12 foot)</t>
  </si>
  <si>
    <t>屏东县</t>
  </si>
  <si>
    <t>马鞍山2号 Maanshan 2</t>
  </si>
  <si>
    <t>金山2号 Chinshan 2</t>
  </si>
  <si>
    <t>国圣1号 Kuosheng 1</t>
  </si>
  <si>
    <t>龙门1号 Lungmen 1</t>
  </si>
  <si>
    <t>第四核电厂（龙门）</t>
  </si>
  <si>
    <t>ABWR</t>
  </si>
  <si>
    <t>取消</t>
  </si>
  <si>
    <t>贡寮区</t>
  </si>
  <si>
    <t>龙门2号 Lungmen 2</t>
  </si>
  <si>
    <t>Installed Pumped Hydro (MW)</t>
  </si>
  <si>
    <t>Pumped Hydro Planned Station List</t>
  </si>
  <si>
    <t>编号</t>
  </si>
  <si>
    <t>电站名称</t>
  </si>
  <si>
    <t>电站简称</t>
  </si>
  <si>
    <t>行政区划</t>
  </si>
  <si>
    <t>地级市</t>
  </si>
  <si>
    <t>机组数量及容量</t>
  </si>
  <si>
    <t>工程投资（亿元）</t>
  </si>
  <si>
    <t>建设成本（元/W）</t>
  </si>
  <si>
    <t>年发电量/设计年发电量（亿千瓦时）</t>
  </si>
  <si>
    <t>核准年份</t>
  </si>
  <si>
    <t>预计投产时间</t>
  </si>
  <si>
    <t>投产年份</t>
  </si>
  <si>
    <t>序列</t>
  </si>
  <si>
    <t>归属企业</t>
  </si>
  <si>
    <t>国网新源投资比例</t>
  </si>
  <si>
    <t>更新时间</t>
  </si>
  <si>
    <t>相关信息</t>
  </si>
  <si>
    <t>假定建成日期（+6）</t>
  </si>
  <si>
    <t>岗南抽水蓄能电站</t>
  </si>
  <si>
    <t>岗南</t>
  </si>
  <si>
    <t>石家庄市</t>
  </si>
  <si>
    <t>1*11MW</t>
  </si>
  <si>
    <t>岗南抽水蓄能电站-知识服务助手 (shuizhishi.cn)</t>
  </si>
  <si>
    <t>密云抽水蓄能电站</t>
  </si>
  <si>
    <t>密云</t>
  </si>
  <si>
    <t>2*11MW</t>
  </si>
  <si>
    <t>密云抽水蓄能电站-知识服务助手 (shuizhishi.cn)</t>
  </si>
  <si>
    <t>潘家口抽水蓄电站</t>
  </si>
  <si>
    <t>潘家口</t>
  </si>
  <si>
    <t>唐山市</t>
  </si>
  <si>
    <t>蓬溪寸塘口抽水蓄能电站</t>
  </si>
  <si>
    <t>寸塘口</t>
  </si>
  <si>
    <t>遂宁县</t>
  </si>
  <si>
    <t>寸塘口电站抽水蓄能发电机组概述.pdf文档全文免费阅读、在线看 (book118.com)</t>
  </si>
  <si>
    <t>广州抽水蓄能电站一期</t>
  </si>
  <si>
    <t>广州一期</t>
  </si>
  <si>
    <t>广州市</t>
  </si>
  <si>
    <t>4*300MW</t>
  </si>
  <si>
    <t>南方电网调峰调频发电有限公司</t>
  </si>
  <si>
    <t>第一座大型抽水蓄能电站―广州抽水蓄能电站一期工程完工-1994年事件 - 族谱网 (zupu.cn)</t>
  </si>
  <si>
    <t>十三陵抽水蓄能电站</t>
  </si>
  <si>
    <t>十三陵</t>
  </si>
  <si>
    <t>十三陵抽水蓄能电站_百度百科 (baidu.com)</t>
  </si>
  <si>
    <t>羊卓雍措湖抽水蓄能电站</t>
  </si>
  <si>
    <t>羊卓雍湖</t>
  </si>
  <si>
    <t>拉萨市</t>
  </si>
  <si>
    <t>【经典水电工程18】羊卓雍湖抽水蓄能电站-北极星水力发电网 (bjx.com.cn)</t>
  </si>
  <si>
    <t>天荒坪抽水蓄能电站（一期）</t>
  </si>
  <si>
    <t>天荒坪一期</t>
  </si>
  <si>
    <t>湖州市</t>
  </si>
  <si>
    <t>6*300MW</t>
  </si>
  <si>
    <t>华东天荒坪抽水蓄能有限责任公司</t>
  </si>
  <si>
    <t>溪口抽水蓄能电站</t>
  </si>
  <si>
    <t>溪口</t>
  </si>
  <si>
    <t>宁波市</t>
  </si>
  <si>
    <t>溪口抽水蓄能电站_百度百科 (baidu.com)</t>
  </si>
  <si>
    <t>广州抽水蓄能电站二期</t>
  </si>
  <si>
    <t>广州二期</t>
  </si>
  <si>
    <t>中国土木工程学会</t>
  </si>
  <si>
    <t>响洪甸抽水蓄能电站</t>
  </si>
  <si>
    <t>响洪甸</t>
  </si>
  <si>
    <t>六安市</t>
  </si>
  <si>
    <t>2*40MW+4*10MW</t>
  </si>
  <si>
    <t>安徽省响洪甸蓄能发电有限责任公司</t>
  </si>
  <si>
    <t>响洪甸水库_百度百科 (baidu.com)</t>
  </si>
  <si>
    <t>湖北天堂抽水蓄能电站</t>
  </si>
  <si>
    <t>天堂</t>
  </si>
  <si>
    <t>黄冈市</t>
  </si>
  <si>
    <t>中南院设计抽水蓄能项目情况-北极星水力发电网 (bjx.com.cn)</t>
  </si>
  <si>
    <t>江苏沙河抽水蓄能电站</t>
  </si>
  <si>
    <t>沙河</t>
  </si>
  <si>
    <t>常州市</t>
  </si>
  <si>
    <t>江苏省首座抽水蓄能电站正式投运 (sohu.com)</t>
  </si>
  <si>
    <t>桐柏抽水蓄能电站</t>
  </si>
  <si>
    <t>桐柏</t>
  </si>
  <si>
    <t>华东桐柏抽水蓄能发电有限责任公司</t>
  </si>
  <si>
    <t>河南回龙抽水蓄能电站</t>
  </si>
  <si>
    <t>回龙</t>
  </si>
  <si>
    <t>南阳市</t>
  </si>
  <si>
    <t>山东泰安抽水蓄能电站（一期）</t>
  </si>
  <si>
    <t>泰安一期</t>
  </si>
  <si>
    <t>泰安市</t>
  </si>
  <si>
    <t>4*250MW</t>
  </si>
  <si>
    <t>山东泰山抽水蓄能电站有限责任公司</t>
  </si>
  <si>
    <t>水电建设集团承建泰安抽水蓄能电站4号机组并网 (www.gov.cn)</t>
  </si>
  <si>
    <t>琅琊山抽水蓄能电站</t>
  </si>
  <si>
    <t>琅琊山</t>
  </si>
  <si>
    <t>滁州市</t>
  </si>
  <si>
    <t>4*150MW</t>
  </si>
  <si>
    <t>华东琅琊山抽水蓄能有限责任公司</t>
  </si>
  <si>
    <t>滁州琅琊山抽水蓄能电站首台机组启动 (www.gov.cn)</t>
  </si>
  <si>
    <t>白山抽水蓄能电站</t>
  </si>
  <si>
    <t>白山</t>
  </si>
  <si>
    <t>白山市</t>
  </si>
  <si>
    <t>白山抽水蓄能电站１号机组完成试运行 (jlcity.gov.cn)</t>
  </si>
  <si>
    <t>河北张河湾抽水蓄能电站</t>
  </si>
  <si>
    <t>张河湾</t>
  </si>
  <si>
    <t>河北张河湾蓄能发电有限责任公司</t>
  </si>
  <si>
    <t>西龙池抽水蓄能电站</t>
  </si>
  <si>
    <t>西龙池</t>
  </si>
  <si>
    <t>忻州市</t>
  </si>
  <si>
    <t>山西西龙池抽水蓄能电站有限责任公司</t>
  </si>
  <si>
    <t>宜兴铜官山抽水蓄能电站</t>
  </si>
  <si>
    <t>宜兴</t>
  </si>
  <si>
    <t>无锡市</t>
  </si>
  <si>
    <t>华东宜兴抽水蓄能有限公司</t>
  </si>
  <si>
    <t>湖南黑麋峰抽水蓄能电站</t>
  </si>
  <si>
    <t>黑麋峰</t>
  </si>
  <si>
    <t>长沙市</t>
  </si>
  <si>
    <t>湖南黑麋峰抽水蓄能有限公司</t>
  </si>
  <si>
    <t>湖北白莲河抽水蓄能电站</t>
  </si>
  <si>
    <t>白莲河</t>
  </si>
  <si>
    <t>湖北白莲河抽水蓄能有限公司</t>
  </si>
  <si>
    <t>河南国网宝泉抽水蓄能电站</t>
  </si>
  <si>
    <t>宝泉</t>
  </si>
  <si>
    <t>新乡市</t>
  </si>
  <si>
    <t>河南国网宝泉抽水蓄能有限公司</t>
  </si>
  <si>
    <t>惠州抽水蓄能电站</t>
  </si>
  <si>
    <t>惠州</t>
  </si>
  <si>
    <t>8*300MW</t>
  </si>
  <si>
    <t>惠州抽水蓄能电站全面竣工投产-北极星水力发电网 (bjx.com.cn)</t>
  </si>
  <si>
    <t>丹东蒲石河抽水蓄能电站</t>
  </si>
  <si>
    <t>蒲石河</t>
  </si>
  <si>
    <t>丹东市</t>
  </si>
  <si>
    <t>辽宁蒲石河抽水蓄能有限公司</t>
  </si>
  <si>
    <t>安徽响水涧抽水蓄能电站</t>
  </si>
  <si>
    <t>响水涧</t>
  </si>
  <si>
    <t>芜湖市</t>
  </si>
  <si>
    <t>安徽响水涧抽水蓄能有限公司</t>
  </si>
  <si>
    <t>安徽响水涧抽水蓄能电站四机组全部投产发电（图）-北极星农电网 (bjx.com.cn)</t>
  </si>
  <si>
    <t>福建仙游一期抽水蓄能电站</t>
  </si>
  <si>
    <t>仙游</t>
  </si>
  <si>
    <t>莆田市</t>
  </si>
  <si>
    <t>福建仙游抽水蓄能有限公司</t>
  </si>
  <si>
    <t>老家的第二座抽水蓄能电站投资60亿元，仙游木兰抽水蓄能电站核准开工 $国投电力(SH600886)$ $川投能源(SH6... - 雪球 (xueqiu.com)</t>
  </si>
  <si>
    <t>呼和浩特抽水蓄能电站</t>
  </si>
  <si>
    <t>呼和浩特</t>
  </si>
  <si>
    <t>呼和浩特市</t>
  </si>
  <si>
    <t>三峡集团呼蓄电站全部投产发电-北极星水力发电网 (bjx.com.cn)</t>
  </si>
  <si>
    <t>仙居抽水蓄能电站</t>
  </si>
  <si>
    <t>仙居</t>
  </si>
  <si>
    <t>4*375MW</t>
  </si>
  <si>
    <t>浙江仙居抽水蓄能有限公司</t>
  </si>
  <si>
    <t>清远抽水蓄能电站</t>
  </si>
  <si>
    <t>清远</t>
  </si>
  <si>
    <t>清远市</t>
  </si>
  <si>
    <t>4*320MW</t>
  </si>
  <si>
    <t>国家重点工程清远抽水蓄能电站全面投产发电 - 北极星智能电网在线 (chinasmartgrid.com.cn)</t>
  </si>
  <si>
    <t>江西洪屏抽水蓄能电站（一期）</t>
  </si>
  <si>
    <t>洪屏</t>
  </si>
  <si>
    <t>宜春市</t>
  </si>
  <si>
    <t>江西洪屏抽水蓄能有限公司</t>
  </si>
  <si>
    <t>溧阳抽水蓄能电站</t>
  </si>
  <si>
    <t>溧阳</t>
  </si>
  <si>
    <t>溧阳抽水蓄能电站投产发电 规模为江苏最大 (sohu.com)</t>
  </si>
  <si>
    <t>built in stages reflected below</t>
  </si>
  <si>
    <t>深圳抽水蓄能电站</t>
  </si>
  <si>
    <t>深圳</t>
  </si>
  <si>
    <t>深圳抽水蓄能电站全面投产 支撑粤港澳大湾区绿色发展--生态--人民网 (people.com.cn)</t>
  </si>
  <si>
    <t>海南琼中抽水蓄能电站</t>
  </si>
  <si>
    <t>琼中</t>
  </si>
  <si>
    <t>琼中黎族苗族自治县</t>
  </si>
  <si>
    <t>3*200MW</t>
  </si>
  <si>
    <t>全国首个海岛抽蓄电站——海南琼中抽水蓄能电站全面投产发电-北极星水力发电网 (bjx.com.cn)</t>
  </si>
  <si>
    <t>安徽绩溪抽水蓄能电站</t>
  </si>
  <si>
    <t>绩溪</t>
  </si>
  <si>
    <t>宣城市</t>
  </si>
  <si>
    <t>安徽绩溪抽水蓄能有限公司</t>
  </si>
  <si>
    <t>并网成功！绩溪抽水蓄能电站将全面投产_安徽 (sohu.com)</t>
  </si>
  <si>
    <t>敦化抽水蓄能电站</t>
  </si>
  <si>
    <t>敦化</t>
  </si>
  <si>
    <t>延边朝鲜族自治州</t>
  </si>
  <si>
    <t>4*350MW</t>
  </si>
  <si>
    <t>吉林敦化抽水蓄能有限公司</t>
  </si>
  <si>
    <t>Recently Installed Pumped Hydro by Unit</t>
  </si>
  <si>
    <t>Capacity (万千瓦)</t>
  </si>
  <si>
    <t>安徽省宣城市</t>
  </si>
  <si>
    <t>河北丰宁抽水蓄能电站</t>
  </si>
  <si>
    <t>吉林敦化抽水蓄能电站</t>
  </si>
  <si>
    <t>吉林省延边州</t>
  </si>
  <si>
    <t>黑龙江牡丹江抽水蓄能电站</t>
  </si>
  <si>
    <t>黑龙江省牡丹江市</t>
  </si>
  <si>
    <t>长龙山抽水蓄能电站</t>
  </si>
  <si>
    <t>福建周宁抽蓄</t>
  </si>
  <si>
    <t>福建省宁德市</t>
  </si>
  <si>
    <t>山东沂蒙抽水蓄能电站</t>
  </si>
  <si>
    <t>山东省临沂市</t>
  </si>
  <si>
    <t>梅州拙水蓄能电站</t>
  </si>
  <si>
    <t>广东省梅州市</t>
  </si>
  <si>
    <t>阳江抽水蓄能电站</t>
  </si>
  <si>
    <t>广东省阳江市</t>
  </si>
  <si>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表</t>
    </r>
    <r>
      <rPr>
        <sz val="11"/>
        <color rgb="FF000000"/>
        <rFont val="Arial"/>
        <charset val="134"/>
      </rPr>
      <t xml:space="preserve"> 3  </t>
    </r>
    <r>
      <rPr>
        <sz val="11"/>
        <color rgb="FF000000"/>
        <rFont val="宋体"/>
        <charset val="134"/>
      </rPr>
      <t>我国地热能开发目标</t>
    </r>
  </si>
  <si>
    <r>
      <rPr>
        <sz val="11"/>
        <rFont val="Arial"/>
        <charset val="134"/>
      </rPr>
      <t xml:space="preserve"> (</t>
    </r>
    <r>
      <rPr>
        <sz val="11"/>
        <rFont val="Microsoft YaHei"/>
        <charset val="134"/>
      </rPr>
      <t>三</t>
    </r>
    <r>
      <rPr>
        <sz val="11"/>
        <rFont val="Arial"/>
        <charset val="134"/>
      </rPr>
      <t>)</t>
    </r>
    <r>
      <rPr>
        <sz val="11"/>
        <rFont val="Microsoft YaHei"/>
        <charset val="134"/>
      </rPr>
      <t>发展目标</t>
    </r>
    <r>
      <rPr>
        <sz val="11"/>
        <rFont val="Arial"/>
        <charset val="134"/>
      </rPr>
      <t xml:space="preserve">
</t>
    </r>
    <r>
      <rPr>
        <sz val="11"/>
        <rFont val="FangSong"/>
        <charset val="134"/>
      </rPr>
      <t>在</t>
    </r>
    <r>
      <rPr>
        <sz val="11"/>
        <rFont val="等线"/>
        <charset val="134"/>
      </rPr>
      <t>“</t>
    </r>
    <r>
      <rPr>
        <sz val="11"/>
        <rFont val="FangSong"/>
        <charset val="134"/>
      </rPr>
      <t>十三五</t>
    </r>
    <r>
      <rPr>
        <sz val="11"/>
        <rFont val="等线"/>
        <charset val="134"/>
      </rPr>
      <t>”</t>
    </r>
    <r>
      <rPr>
        <sz val="11"/>
        <rFont val="FangSong"/>
        <charset val="134"/>
      </rPr>
      <t>时期，新增地热能供暖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>)</t>
    </r>
    <r>
      <rPr>
        <sz val="11"/>
        <rFont val="FangSong"/>
        <charset val="134"/>
      </rPr>
      <t>面积</t>
    </r>
    <r>
      <rPr>
        <sz val="11"/>
        <rFont val="Arial"/>
        <charset val="134"/>
      </rPr>
      <t xml:space="preserve"> 11</t>
    </r>
    <r>
      <rPr>
        <sz val="11"/>
        <rFont val="FangSong"/>
        <charset val="134"/>
      </rPr>
      <t>亿平方米，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其中：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新增浅层地热能供暖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 xml:space="preserve">) </t>
    </r>
    <r>
      <rPr>
        <sz val="11"/>
        <rFont val="FangSong"/>
        <charset val="134"/>
      </rPr>
      <t>面积</t>
    </r>
    <r>
      <rPr>
        <sz val="11"/>
        <rFont val="Arial"/>
        <charset val="134"/>
      </rPr>
      <t xml:space="preserve"> 7 </t>
    </r>
    <r>
      <rPr>
        <sz val="11"/>
        <rFont val="FangSong"/>
        <charset val="134"/>
      </rPr>
      <t>亿平方米；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新增水热型地热供暖面积</t>
    </r>
    <r>
      <rPr>
        <sz val="11"/>
        <rFont val="Arial"/>
        <charset val="134"/>
      </rPr>
      <t xml:space="preserve"> 4 </t>
    </r>
    <r>
      <rPr>
        <sz val="11"/>
        <rFont val="FangSong"/>
        <charset val="134"/>
      </rPr>
      <t>亿平方米。新增地热发电装机容量</t>
    </r>
    <r>
      <rPr>
        <sz val="11"/>
        <rFont val="Arial"/>
        <charset val="134"/>
      </rPr>
      <t xml:space="preserve"> 500MW</t>
    </r>
    <r>
      <rPr>
        <sz val="11"/>
        <rFont val="FangSong"/>
        <charset val="134"/>
      </rPr>
      <t>。到</t>
    </r>
    <r>
      <rPr>
        <sz val="11"/>
        <rFont val="Arial"/>
        <charset val="134"/>
      </rPr>
      <t xml:space="preserve"> 2020 </t>
    </r>
    <r>
      <rPr>
        <sz val="11"/>
        <rFont val="FangSong"/>
        <charset val="134"/>
      </rPr>
      <t>年，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地热供暖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 xml:space="preserve">) </t>
    </r>
    <r>
      <rPr>
        <sz val="11"/>
        <rFont val="FangSong"/>
        <charset val="134"/>
      </rPr>
      <t>面积累计达到</t>
    </r>
    <r>
      <rPr>
        <sz val="11"/>
        <rFont val="Arial"/>
        <charset val="134"/>
      </rPr>
      <t xml:space="preserve"> 16 </t>
    </r>
    <r>
      <rPr>
        <sz val="11"/>
        <rFont val="FangSong"/>
        <charset val="134"/>
      </rPr>
      <t>亿平方米，地热发电装机容量约</t>
    </r>
    <r>
      <rPr>
        <sz val="11"/>
        <rFont val="Arial"/>
        <charset val="134"/>
      </rPr>
      <t xml:space="preserve"> 530MW</t>
    </r>
    <r>
      <rPr>
        <sz val="11"/>
        <rFont val="FangSong"/>
        <charset val="134"/>
      </rPr>
      <t>。</t>
    </r>
    <r>
      <rPr>
        <sz val="11"/>
        <rFont val="Arial"/>
        <charset val="134"/>
      </rPr>
      <t xml:space="preserve">2020 </t>
    </r>
    <r>
      <rPr>
        <sz val="11"/>
        <rFont val="FangSong"/>
        <charset val="134"/>
      </rPr>
      <t>年地热能年利用量</t>
    </r>
    <r>
      <rPr>
        <sz val="11"/>
        <rFont val="Arial"/>
        <charset val="134"/>
      </rPr>
      <t xml:space="preserve"> 7000  </t>
    </r>
    <r>
      <rPr>
        <sz val="11"/>
        <rFont val="FangSong"/>
        <charset val="134"/>
      </rPr>
      <t>万吨标准煤，地热能供暖年利用量</t>
    </r>
    <r>
      <rPr>
        <sz val="11"/>
        <rFont val="Arial"/>
        <charset val="134"/>
      </rPr>
      <t xml:space="preserve">4000 </t>
    </r>
    <r>
      <rPr>
        <sz val="11"/>
        <rFont val="FangSong"/>
        <charset val="134"/>
      </rPr>
      <t>万吨标准煤。京津冀地区地热能年利用量达到约</t>
    </r>
    <r>
      <rPr>
        <sz val="11"/>
        <rFont val="Arial"/>
        <charset val="134"/>
      </rPr>
      <t xml:space="preserve"> 2000</t>
    </r>
    <r>
      <rPr>
        <sz val="11"/>
        <rFont val="FangSong"/>
        <charset val="134"/>
      </rPr>
      <t>万吨标准煤。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                    </t>
    </r>
  </si>
  <si>
    <r>
      <rPr>
        <sz val="10"/>
        <rFont val="Times New Roman"/>
        <charset val="134"/>
      </rPr>
      <t>“</t>
    </r>
    <r>
      <rPr>
        <sz val="10"/>
        <rFont val="SimSun"/>
        <charset val="134"/>
      </rPr>
      <t>十三五</t>
    </r>
    <r>
      <rPr>
        <sz val="10"/>
        <rFont val="Times New Roman"/>
        <charset val="134"/>
      </rPr>
      <t>”</t>
    </r>
    <r>
      <rPr>
        <sz val="10"/>
        <rFont val="SimSun"/>
        <charset val="134"/>
      </rPr>
      <t>新增</t>
    </r>
  </si>
  <si>
    <r>
      <rPr>
        <sz val="10"/>
        <rFont val="Times New Roman"/>
        <charset val="134"/>
      </rPr>
      <t xml:space="preserve">2020 </t>
    </r>
    <r>
      <rPr>
        <sz val="10"/>
        <rFont val="SimSun"/>
        <charset val="134"/>
      </rPr>
      <t>年累计</t>
    </r>
  </si>
  <si>
    <r>
      <rPr>
        <sz val="10"/>
        <rFont val="SimSun"/>
        <charset val="134"/>
      </rPr>
      <t xml:space="preserve">浅层地热能
</t>
    </r>
    <r>
      <rPr>
        <sz val="10"/>
        <rFont val="SimSun"/>
        <charset val="134"/>
      </rPr>
      <t>供暖</t>
    </r>
    <r>
      <rPr>
        <sz val="10"/>
        <rFont val="Times New Roman"/>
        <charset val="134"/>
      </rPr>
      <t>/</t>
    </r>
    <r>
      <rPr>
        <sz val="10"/>
        <rFont val="SimSun"/>
        <charset val="134"/>
      </rPr>
      <t xml:space="preserve">制冷
</t>
    </r>
    <r>
      <rPr>
        <sz val="10"/>
        <rFont val="SimSun"/>
        <charset val="134"/>
      </rPr>
      <t xml:space="preserve">面积
</t>
    </r>
    <r>
      <rPr>
        <sz val="10"/>
        <rFont val="SimSun"/>
        <charset val="134"/>
      </rPr>
      <t>(</t>
    </r>
    <r>
      <rPr>
        <sz val="10"/>
        <rFont val="Times New Roman"/>
        <charset val="134"/>
      </rPr>
      <t>10</t>
    </r>
    <r>
      <rPr>
        <sz val="7"/>
        <rFont val="Times New Roman"/>
        <charset val="134"/>
      </rPr>
      <t>4</t>
    </r>
    <r>
      <rPr>
        <sz val="10"/>
        <rFont val="Times New Roman"/>
        <charset val="134"/>
      </rPr>
      <t>m</t>
    </r>
    <r>
      <rPr>
        <sz val="7"/>
        <rFont val="Times New Roman"/>
        <charset val="134"/>
      </rPr>
      <t xml:space="preserve">2 </t>
    </r>
    <r>
      <rPr>
        <sz val="10"/>
        <rFont val="SimSun"/>
        <charset val="134"/>
      </rPr>
      <t>)</t>
    </r>
  </si>
  <si>
    <r>
      <rPr>
        <sz val="10"/>
        <rFont val="SimSun"/>
        <charset val="134"/>
      </rPr>
      <t xml:space="preserve">水热型地热
</t>
    </r>
    <r>
      <rPr>
        <sz val="10"/>
        <rFont val="SimSun"/>
        <charset val="134"/>
      </rPr>
      <t xml:space="preserve">能供暖面积
</t>
    </r>
    <r>
      <rPr>
        <sz val="10"/>
        <rFont val="Times New Roman"/>
        <charset val="134"/>
      </rPr>
      <t>(10</t>
    </r>
    <r>
      <rPr>
        <sz val="7"/>
        <rFont val="Times New Roman"/>
        <charset val="134"/>
      </rPr>
      <t>4</t>
    </r>
    <r>
      <rPr>
        <sz val="10"/>
        <rFont val="Times New Roman"/>
        <charset val="134"/>
      </rPr>
      <t>m</t>
    </r>
    <r>
      <rPr>
        <sz val="7"/>
        <rFont val="Times New Roman"/>
        <charset val="134"/>
      </rPr>
      <t>2</t>
    </r>
    <r>
      <rPr>
        <sz val="10"/>
        <rFont val="Times New Roman"/>
        <charset val="134"/>
      </rPr>
      <t>)</t>
    </r>
  </si>
  <si>
    <r>
      <rPr>
        <sz val="10"/>
        <rFont val="SimSun"/>
        <charset val="134"/>
      </rPr>
      <t xml:space="preserve">发电装
</t>
    </r>
    <r>
      <rPr>
        <sz val="10"/>
        <rFont val="SimSun"/>
        <charset val="134"/>
      </rPr>
      <t xml:space="preserve">机容量
</t>
    </r>
    <r>
      <rPr>
        <sz val="10"/>
        <rFont val="Times New Roman"/>
        <charset val="134"/>
      </rPr>
      <t>(MW)</t>
    </r>
  </si>
  <si>
    <t>Gangue Installation</t>
  </si>
  <si>
    <t>pre2009</t>
  </si>
  <si>
    <t>Infered Gangue Generation Capacity by Year (10000KW)</t>
  </si>
  <si>
    <t>Additional Gangue by Province by Year (10000KW)</t>
  </si>
  <si>
    <t>Pre-existing Gangue Power Plants in 2009</t>
  </si>
  <si>
    <t>Pre-existing Gangue</t>
  </si>
  <si>
    <t>装机容量（千瓦）</t>
  </si>
  <si>
    <t>Capacity (10000KW)</t>
  </si>
  <si>
    <t>Distribution</t>
  </si>
  <si>
    <t>京能赤峰煤矸石电厂</t>
  </si>
  <si>
    <t>准能矸石发电公司</t>
  </si>
  <si>
    <t>双欣矸石发电公司</t>
  </si>
  <si>
    <t>扎赉诺尔煤业公司矸石热电厂</t>
  </si>
  <si>
    <t>北京吴煜工贸有限责任公司煤矸石热电厂</t>
  </si>
  <si>
    <t>攀煤矸石发电有限公司</t>
  </si>
  <si>
    <t>(攀煤)煤矸石电厂</t>
  </si>
  <si>
    <t>煤矸石电厂</t>
  </si>
  <si>
    <t>淮北烈山万里煤矸石电厂</t>
  </si>
  <si>
    <t>淮北张庄煤矸石电厂</t>
  </si>
  <si>
    <t>淮北临涣煤矸石电厂</t>
  </si>
  <si>
    <t>淮北任楼煤矸石电厂</t>
  </si>
  <si>
    <t>淮北杨庄矸石电厂</t>
  </si>
  <si>
    <t>晋城成庄煤矸石电厂</t>
  </si>
  <si>
    <t>阳煤集团矸石发电厂</t>
  </si>
  <si>
    <t>西山煤电矸石电厂</t>
  </si>
  <si>
    <t>仁化华粤煤矸石电力公司</t>
  </si>
  <si>
    <t>矿务局煤矸石电厂</t>
  </si>
  <si>
    <t>徐州天能姚庄煤矸石热电有限公司</t>
  </si>
  <si>
    <t>萍乡煤矸石发电有限公司</t>
  </si>
  <si>
    <t>邯郸云宁矸石热电有限责任公司</t>
  </si>
  <si>
    <t>峰峰薛村矿矸石热电厂</t>
  </si>
  <si>
    <t>东庞煤矿矸石电厂</t>
  </si>
  <si>
    <t>丰南钱家营矸石发电公司</t>
  </si>
  <si>
    <t>峰峰九龙口矸石自备电厂</t>
  </si>
  <si>
    <t>峰峰孙庄矿矸石热电厂</t>
  </si>
  <si>
    <t>峰峰五矿煤矸石电厂</t>
  </si>
  <si>
    <t>河北中达集团矸石热电厂</t>
  </si>
  <si>
    <t>磁县观台矸石发电厂</t>
  </si>
  <si>
    <t>申家庄煤矿矸石发电厂</t>
  </si>
  <si>
    <t>显德汪矸石发电厂</t>
  </si>
  <si>
    <t>兴隆煤电总公司矸石热电厂</t>
  </si>
  <si>
    <t>邢矿集团矸石热电厂</t>
  </si>
  <si>
    <t>章村煤矿矸石发电厂</t>
  </si>
  <si>
    <t>国投能源矸石热电厂</t>
  </si>
  <si>
    <t>观音堂煤矸石电厂</t>
  </si>
  <si>
    <t>当阳矸石电厂</t>
  </si>
  <si>
    <t>秭归矸石电厂</t>
  </si>
  <si>
    <t>荆门矸石电厂</t>
  </si>
  <si>
    <t>资兴煤矸石发电有限责任公司</t>
  </si>
  <si>
    <t>安溪煤矸石电厂</t>
  </si>
  <si>
    <t>盘江矿老屋基矸石自备电厂</t>
  </si>
  <si>
    <t>汪家寨煤矿矸石自备电厂</t>
  </si>
  <si>
    <t>阜新金山煤矸石热电有限公司</t>
  </si>
  <si>
    <t>辽宁调兵山煤矸石发电厂</t>
  </si>
  <si>
    <t>北票和尚沟煤矸石发电公司</t>
  </si>
  <si>
    <t>阜新煤矸厂</t>
  </si>
  <si>
    <t>澄合矸石电厂</t>
  </si>
  <si>
    <t>蒲白矸石电厂</t>
  </si>
  <si>
    <t>韩城煤矿矸石厂</t>
  </si>
  <si>
    <t>黑龙江省滴道矸石电厂</t>
  </si>
  <si>
    <t>双鸭山矿务局矸石热电厂</t>
  </si>
  <si>
    <t>age</t>
  </si>
  <si>
    <t>survival rate</t>
  </si>
  <si>
    <t>next year surv rate</t>
  </si>
  <si>
    <t>retirement rate</t>
  </si>
  <si>
    <t>Combust</t>
  </si>
  <si>
    <t>Gas</t>
  </si>
  <si>
    <t>Diesel</t>
  </si>
  <si>
    <t>Biogas</t>
  </si>
  <si>
    <t>MSW</t>
  </si>
  <si>
    <t>Corp</t>
  </si>
  <si>
    <t>Process Heat</t>
  </si>
  <si>
    <t>存量装机容量</t>
  </si>
  <si>
    <t>太阳能发电</t>
  </si>
  <si>
    <t>燃煤</t>
  </si>
  <si>
    <t>燃气</t>
  </si>
  <si>
    <t>燃油</t>
  </si>
  <si>
    <t>生物质合计</t>
  </si>
  <si>
    <t>沼气发电</t>
  </si>
  <si>
    <t>垃圾焚烧发电</t>
  </si>
  <si>
    <t>秸秆、蔗渣、林木质发电</t>
  </si>
  <si>
    <t>余温余压余热发电</t>
  </si>
  <si>
    <t>常规燃气、煤层气发电</t>
  </si>
  <si>
    <t>16-21年存量净差+16-21年关停火电
net difference in stock counting the closed combustion generation 2016-21</t>
  </si>
  <si>
    <t>07-16年存量净差+07-16年关停火电
net difference in stock counting the closed combustion generation 2007-2016)</t>
  </si>
  <si>
    <t>2021 年</t>
  </si>
  <si>
    <t>2021年</t>
  </si>
  <si>
    <t>17-21年项目净和
 sum of construction projects between 2017 and 2021</t>
  </si>
  <si>
    <t>2008-16年项目净和
sum of construction projects between 08 and 16</t>
  </si>
  <si>
    <t>2016年</t>
  </si>
  <si>
    <t>未被项目表统计的装机容量增加 (MW)
difference between project tally and changes in stock</t>
  </si>
  <si>
    <t>2009年</t>
  </si>
  <si>
    <t>Generation Consturcted (MW)</t>
  </si>
  <si>
    <t>Solar PV</t>
  </si>
  <si>
    <t>Wind Total</t>
  </si>
  <si>
    <t>Onshore Wind</t>
  </si>
  <si>
    <t>Gangue</t>
  </si>
  <si>
    <t>Geothermal</t>
  </si>
  <si>
    <t>Selected Province</t>
  </si>
  <si>
    <t>&lt;- this changes according to the About Tab Province Selector, so no need to adjust manually.</t>
  </si>
  <si>
    <t>从EPS电力模块的其他变量中复制的数据，用以辅助计算。在计算其他省退役口径时需要更新 Data from other files Need to be updated when calculating for other provinces</t>
  </si>
  <si>
    <t>SYC</t>
  </si>
  <si>
    <t>BPMCCS</t>
  </si>
  <si>
    <t>PMCCS</t>
  </si>
  <si>
    <t>MPPC</t>
  </si>
  <si>
    <t>BGCL</t>
  </si>
  <si>
    <t>Start Year Capacities (MW)</t>
  </si>
  <si>
    <t>preexisting</t>
  </si>
  <si>
    <t>preexisting nonretiring</t>
  </si>
  <si>
    <t>newly built</t>
  </si>
  <si>
    <t>Mandated Construction (MW)</t>
  </si>
  <si>
    <t>Minimum Capacity (MW)</t>
  </si>
  <si>
    <t>Electricity Source</t>
  </si>
  <si>
    <t>Lifetime (years)</t>
  </si>
  <si>
    <t>alternative lifetime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</si>
  <si>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</si>
  <si>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</si>
  <si>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</si>
  <si>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</si>
  <si>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</si>
  <si>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</si>
  <si>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</si>
  <si>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</si>
  <si>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</si>
  <si>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</si>
  <si>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</si>
  <si>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</si>
  <si>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</si>
  <si>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</si>
  <si>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</si>
  <si>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</si>
  <si>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从Summary工作表种汇总的本省机组建设年份数据 Data from Summary Tab calculated to match the EPS generation type</t>
  </si>
  <si>
    <t>Lookup capacity installation schedule from Summary tab</t>
  </si>
  <si>
    <t>process heat</t>
  </si>
  <si>
    <t>diesel</t>
  </si>
  <si>
    <t>natural gas</t>
  </si>
  <si>
    <t>Backtracing capacity installation so it doesn't exceed SYC</t>
  </si>
  <si>
    <t>remaining capacity not assigned</t>
  </si>
  <si>
    <t>Assign remaining capacity (frontloaded for grey technology, backloaded for green technology)</t>
  </si>
  <si>
    <t>计算BAU情景退役时间表 Calculation for BPMCCS</t>
  </si>
  <si>
    <t>Adding BPMCCS schedule to the existing installation</t>
  </si>
  <si>
    <t>Generation Type</t>
  </si>
  <si>
    <t>Using BGCL data to calculate retirement schedule</t>
  </si>
  <si>
    <t>Adding already happened coal retirement (2020-2023)</t>
  </si>
  <si>
    <t>Use moving average method to smooth out the curve (time window: 5 years)</t>
  </si>
  <si>
    <t>Use MPPC to quantize the retirement</t>
  </si>
  <si>
    <t>计算政策情景退役时间表 Calculation for PMMCS</t>
  </si>
  <si>
    <t>Adding PMCCS schedule to the existing installation</t>
  </si>
  <si>
    <t>Adding already happed coal retirement (2020-2023)</t>
  </si>
  <si>
    <t>BAU Capacity Retirements (MW)</t>
  </si>
  <si>
    <t>solar pv</t>
  </si>
  <si>
    <t>Capacity Retirements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</si>
</sst>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);[Red]\(0.0\)"/>
    <numFmt numFmtId="178" formatCode="0.0_ "/>
    <numFmt numFmtId="179" formatCode="0.0"/>
    <numFmt numFmtId="180" formatCode="0.00_ "/>
    <numFmt numFmtId="181" formatCode="[$-409]mmm\-yy;@"/>
    <numFmt numFmtId="182" formatCode="0.0000_);[Red]\(0.0000\)"/>
    <numFmt numFmtId="183" formatCode="yyyy\-mm\-dd;@"/>
    <numFmt numFmtId="184" formatCode="0.0000_ "/>
    <numFmt numFmtId="185" formatCode="0_);[Red]\(0\)"/>
    <numFmt numFmtId="186" formatCode="0.000"/>
    <numFmt numFmtId="187" formatCode="0.00_);[Red]\(0.00\)"/>
  </numFmts>
  <fonts count="75">
    <font>
      <sz val="10"/>
      <name val="Arial"/>
      <charset val="134"/>
    </font>
    <font>
      <b/>
      <sz val="10"/>
      <name val="Arial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rgb="FFFF0000"/>
      <name val="Arial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name val="宋体"/>
      <charset val="134"/>
    </font>
    <font>
      <sz val="10"/>
      <color rgb="FF000000"/>
      <name val="等线"/>
      <charset val="134"/>
      <scheme val="minor"/>
    </font>
    <font>
      <sz val="10"/>
      <name val="宋体"/>
      <charset val="134"/>
    </font>
    <font>
      <sz val="11"/>
      <color rgb="FF000000"/>
      <name val="等线"/>
      <charset val="134"/>
      <scheme val="minor"/>
    </font>
    <font>
      <sz val="11"/>
      <color rgb="FF000000"/>
      <name val="Arial"/>
      <charset val="134"/>
    </font>
    <font>
      <sz val="11"/>
      <name val="Arial"/>
      <charset val="134"/>
    </font>
    <font>
      <sz val="10"/>
      <color rgb="FF000000"/>
      <name val="Times New Roman"/>
      <charset val="134"/>
    </font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FF0000"/>
      <name val="等线"/>
      <charset val="134"/>
      <scheme val="minor"/>
    </font>
    <font>
      <sz val="10"/>
      <color rgb="FFFF0000"/>
      <name val="宋体"/>
      <charset val="134"/>
    </font>
    <font>
      <b/>
      <sz val="11"/>
      <color theme="1"/>
      <name val="Calibri"/>
      <charset val="134"/>
    </font>
    <font>
      <sz val="11"/>
      <name val="黑体"/>
      <charset val="134"/>
    </font>
    <font>
      <sz val="10"/>
      <color rgb="FF000000"/>
      <name val="Arial"/>
      <charset val="134"/>
    </font>
    <font>
      <sz val="11"/>
      <name val="宋体"/>
      <charset val="134"/>
    </font>
    <font>
      <b/>
      <sz val="10"/>
      <color theme="1"/>
      <name val="Times New Roman"/>
      <charset val="134"/>
    </font>
    <font>
      <b/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等线"/>
      <charset val="134"/>
      <scheme val="minor"/>
    </font>
    <font>
      <sz val="12"/>
      <color rgb="FF231F20"/>
      <name val="等线"/>
      <charset val="134"/>
      <scheme val="minor"/>
    </font>
    <font>
      <sz val="12"/>
      <name val="等线"/>
      <charset val="134"/>
      <scheme val="minor"/>
    </font>
    <font>
      <sz val="12"/>
      <color rgb="FF333333"/>
      <name val="等线"/>
      <charset val="134"/>
      <scheme val="minor"/>
    </font>
    <font>
      <sz val="11"/>
      <color theme="1"/>
      <name val="Arial"/>
      <charset val="134"/>
    </font>
    <font>
      <u/>
      <sz val="10"/>
      <color theme="10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u/>
      <sz val="11"/>
      <color theme="10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SimHei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0"/>
      <color theme="1"/>
      <name val="宋体"/>
      <charset val="134"/>
    </font>
    <font>
      <sz val="10"/>
      <name val="SimSun"/>
      <charset val="134"/>
    </font>
    <font>
      <sz val="10"/>
      <name val="Times New Roman"/>
      <charset val="134"/>
    </font>
    <font>
      <sz val="7"/>
      <name val="Times New Roman"/>
      <charset val="134"/>
    </font>
    <font>
      <vertAlign val="subscript"/>
      <sz val="10"/>
      <name val="宋体"/>
      <charset val="134"/>
    </font>
    <font>
      <sz val="11"/>
      <name val="Microsoft YaHei"/>
      <charset val="134"/>
    </font>
    <font>
      <sz val="11"/>
      <name val="FangSong"/>
      <charset val="134"/>
    </font>
    <font>
      <sz val="11"/>
      <name val="等线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E1ECF4"/>
        <bgColor indexed="64"/>
      </patternFill>
    </fill>
    <fill>
      <patternFill patternType="solid">
        <fgColor rgb="FFF7FBF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CF8"/>
        <bgColor indexed="64"/>
      </patternFill>
    </fill>
    <fill>
      <patternFill patternType="solid">
        <fgColor rgb="FF90CCD7"/>
        <bgColor indexed="64"/>
      </patternFill>
    </fill>
    <fill>
      <patternFill patternType="solid">
        <fgColor rgb="FF91CCD9"/>
        <bgColor indexed="64"/>
      </patternFill>
    </fill>
    <fill>
      <patternFill patternType="solid">
        <fgColor rgb="FF91CCD6"/>
        <bgColor indexed="64"/>
      </patternFill>
    </fill>
    <fill>
      <patternFill patternType="solid">
        <fgColor rgb="FF91CCD7"/>
        <bgColor indexed="64"/>
      </patternFill>
    </fill>
    <fill>
      <patternFill patternType="solid">
        <fgColor rgb="FFF7FDF7"/>
        <bgColor indexed="64"/>
      </patternFill>
    </fill>
    <fill>
      <patternFill patternType="solid">
        <fgColor rgb="FFFAFDF9"/>
        <bgColor indexed="64"/>
      </patternFill>
    </fill>
    <fill>
      <patternFill patternType="solid">
        <fgColor rgb="FFFAFDFC"/>
        <bgColor indexed="64"/>
      </patternFill>
    </fill>
    <fill>
      <patternFill patternType="solid">
        <fgColor rgb="FFF7FFF8"/>
        <bgColor indexed="64"/>
      </patternFill>
    </fill>
    <fill>
      <patternFill patternType="solid">
        <fgColor rgb="FFF9FBF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27" borderId="34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6" fillId="0" borderId="35" applyNumberFormat="0" applyFill="0" applyAlignment="0" applyProtection="0">
      <alignment vertical="center"/>
    </xf>
    <xf numFmtId="0" fontId="47" fillId="0" borderId="3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8" borderId="37" applyNumberFormat="0" applyAlignment="0" applyProtection="0">
      <alignment vertical="center"/>
    </xf>
    <xf numFmtId="0" fontId="49" fillId="29" borderId="38" applyNumberFormat="0" applyAlignment="0" applyProtection="0">
      <alignment vertical="center"/>
    </xf>
    <xf numFmtId="0" fontId="50" fillId="29" borderId="37" applyNumberFormat="0" applyAlignment="0" applyProtection="0">
      <alignment vertical="center"/>
    </xf>
    <xf numFmtId="0" fontId="51" fillId="30" borderId="39" applyNumberFormat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3" fillId="0" borderId="41" applyNumberFormat="0" applyFill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0" fillId="0" borderId="0">
      <alignment vertical="center"/>
    </xf>
    <xf numFmtId="0" fontId="11" fillId="0" borderId="0"/>
    <xf numFmtId="0" fontId="13" fillId="0" borderId="0"/>
    <xf numFmtId="0" fontId="14" fillId="0" borderId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</cellStyleXfs>
  <cellXfs count="46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2" fillId="0" borderId="1" xfId="50" applyFont="1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2" xfId="50" applyBorder="1">
      <alignment vertical="center"/>
    </xf>
    <xf numFmtId="0" fontId="0" fillId="0" borderId="0" xfId="0" applyBorder="1">
      <alignment vertical="center"/>
    </xf>
    <xf numFmtId="0" fontId="2" fillId="3" borderId="3" xfId="50" applyFont="1" applyFill="1" applyBorder="1" applyAlignment="1">
      <alignment horizontal="center" vertical="center"/>
    </xf>
    <xf numFmtId="0" fontId="2" fillId="3" borderId="4" xfId="50" applyFont="1" applyFill="1" applyBorder="1" applyAlignment="1">
      <alignment horizontal="center" vertical="center"/>
    </xf>
    <xf numFmtId="0" fontId="2" fillId="3" borderId="5" xfId="50" applyFont="1" applyFill="1" applyBorder="1" applyAlignment="1">
      <alignment horizontal="center" vertical="center"/>
    </xf>
    <xf numFmtId="0" fontId="2" fillId="2" borderId="6" xfId="5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2" borderId="0" xfId="50" applyFont="1" applyFill="1" applyAlignment="1">
      <alignment horizontal="left" vertical="center"/>
    </xf>
    <xf numFmtId="0" fontId="2" fillId="0" borderId="0" xfId="50" applyFont="1" applyAlignment="1">
      <alignment horizontal="center" vertical="center"/>
    </xf>
    <xf numFmtId="0" fontId="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6" xfId="0" applyFont="1" applyBorder="1">
      <alignment vertical="center"/>
    </xf>
    <xf numFmtId="176" fontId="0" fillId="0" borderId="0" xfId="0" applyNumberFormat="1" applyBorder="1">
      <alignment vertical="center"/>
    </xf>
    <xf numFmtId="0" fontId="4" fillId="0" borderId="1" xfId="0" applyFont="1" applyBorder="1">
      <alignment vertical="center"/>
    </xf>
    <xf numFmtId="176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5" borderId="1" xfId="0" applyFont="1" applyFill="1" applyBorder="1">
      <alignment vertical="center"/>
    </xf>
    <xf numFmtId="0" fontId="1" fillId="2" borderId="0" xfId="0" applyFont="1" applyFill="1" applyBorder="1">
      <alignment vertical="center"/>
    </xf>
    <xf numFmtId="176" fontId="0" fillId="6" borderId="0" xfId="0" applyNumberFormat="1" applyFill="1">
      <alignment vertical="center"/>
    </xf>
    <xf numFmtId="176" fontId="0" fillId="0" borderId="1" xfId="0" applyNumberFormat="1" applyBorder="1">
      <alignment vertical="center"/>
    </xf>
    <xf numFmtId="0" fontId="0" fillId="7" borderId="1" xfId="0" applyFill="1" applyBorder="1">
      <alignment vertical="center"/>
    </xf>
    <xf numFmtId="176" fontId="0" fillId="7" borderId="0" xfId="0" applyNumberFormat="1" applyFill="1">
      <alignment vertical="center"/>
    </xf>
    <xf numFmtId="0" fontId="0" fillId="0" borderId="6" xfId="0" applyBorder="1">
      <alignment vertical="center"/>
    </xf>
    <xf numFmtId="176" fontId="0" fillId="4" borderId="0" xfId="0" applyNumberFormat="1" applyFill="1" applyBorder="1">
      <alignment vertical="center"/>
    </xf>
    <xf numFmtId="176" fontId="0" fillId="4" borderId="0" xfId="0" applyNumberFormat="1" applyFill="1">
      <alignment vertical="center"/>
    </xf>
    <xf numFmtId="176" fontId="4" fillId="8" borderId="0" xfId="0" applyNumberFormat="1" applyFont="1" applyFill="1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9" borderId="1" xfId="50" applyFill="1" applyBorder="1">
      <alignment vertical="center"/>
    </xf>
    <xf numFmtId="177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0" fontId="3" fillId="0" borderId="1" xfId="50" applyBorder="1">
      <alignment vertical="center"/>
    </xf>
    <xf numFmtId="177" fontId="3" fillId="0" borderId="0" xfId="50" applyNumberFormat="1">
      <alignment vertical="center"/>
    </xf>
    <xf numFmtId="0" fontId="0" fillId="2" borderId="1" xfId="0" applyFill="1" applyBorder="1">
      <alignment vertical="center"/>
    </xf>
    <xf numFmtId="177" fontId="0" fillId="2" borderId="0" xfId="0" applyNumberFormat="1" applyFill="1" applyBorder="1">
      <alignment vertical="center"/>
    </xf>
    <xf numFmtId="0" fontId="5" fillId="0" borderId="0" xfId="50" applyFont="1" applyAlignment="1">
      <alignment horizontal="left" vertical="center"/>
    </xf>
    <xf numFmtId="0" fontId="5" fillId="0" borderId="0" xfId="50" applyFont="1" applyAlignment="1">
      <alignment vertical="center" wrapText="1"/>
    </xf>
    <xf numFmtId="0" fontId="5" fillId="0" borderId="0" xfId="50" applyFont="1">
      <alignment vertical="center"/>
    </xf>
    <xf numFmtId="0" fontId="5" fillId="0" borderId="1" xfId="50" applyFont="1" applyBorder="1" applyAlignment="1">
      <alignment horizontal="left" vertical="center"/>
    </xf>
    <xf numFmtId="0" fontId="6" fillId="0" borderId="3" xfId="50" applyFont="1" applyBorder="1" applyAlignment="1">
      <alignment horizontal="center" vertical="center"/>
    </xf>
    <xf numFmtId="0" fontId="6" fillId="0" borderId="4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2" xfId="50" applyFont="1" applyBorder="1" applyAlignment="1">
      <alignment horizontal="center" vertical="center"/>
    </xf>
    <xf numFmtId="0" fontId="6" fillId="2" borderId="3" xfId="50" applyFont="1" applyFill="1" applyBorder="1" applyAlignment="1">
      <alignment horizontal="center" vertical="center" wrapText="1"/>
    </xf>
    <xf numFmtId="0" fontId="6" fillId="2" borderId="4" xfId="50" applyFont="1" applyFill="1" applyBorder="1" applyAlignment="1">
      <alignment horizontal="center" vertical="center"/>
    </xf>
    <xf numFmtId="0" fontId="6" fillId="2" borderId="5" xfId="50" applyFont="1" applyFill="1" applyBorder="1" applyAlignment="1">
      <alignment horizontal="center" vertical="center"/>
    </xf>
    <xf numFmtId="0" fontId="5" fillId="0" borderId="6" xfId="50" applyFont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left" vertical="center"/>
      <protection locked="0"/>
    </xf>
    <xf numFmtId="176" fontId="5" fillId="0" borderId="1" xfId="50" applyNumberFormat="1" applyFont="1" applyBorder="1">
      <alignment vertical="center"/>
    </xf>
    <xf numFmtId="1" fontId="8" fillId="0" borderId="1" xfId="50" applyNumberFormat="1" applyFont="1" applyBorder="1" applyAlignment="1">
      <alignment horizontal="center" vertical="center" shrinkToFit="1"/>
    </xf>
    <xf numFmtId="177" fontId="8" fillId="0" borderId="1" xfId="50" applyNumberFormat="1" applyFont="1" applyBorder="1" applyAlignment="1">
      <alignment horizontal="center" vertical="center" shrinkToFit="1"/>
    </xf>
    <xf numFmtId="1" fontId="5" fillId="0" borderId="1" xfId="50" applyNumberFormat="1" applyFont="1" applyBorder="1" applyAlignment="1">
      <alignment horizontal="center" vertical="center"/>
    </xf>
    <xf numFmtId="178" fontId="5" fillId="0" borderId="1" xfId="50" applyNumberFormat="1" applyFont="1" applyBorder="1" applyAlignment="1">
      <alignment horizontal="center" vertical="center"/>
    </xf>
    <xf numFmtId="49" fontId="9" fillId="0" borderId="1" xfId="50" applyNumberFormat="1" applyFont="1" applyBorder="1" applyAlignment="1" applyProtection="1">
      <alignment horizontal="left" vertical="center"/>
      <protection locked="0"/>
    </xf>
    <xf numFmtId="0" fontId="8" fillId="0" borderId="1" xfId="50" applyFont="1" applyBorder="1" applyAlignment="1">
      <alignment horizontal="center" vertical="center" wrapText="1"/>
    </xf>
    <xf numFmtId="177" fontId="8" fillId="0" borderId="1" xfId="50" applyNumberFormat="1" applyFont="1" applyBorder="1" applyAlignment="1">
      <alignment horizontal="center" vertical="center" wrapText="1"/>
    </xf>
    <xf numFmtId="179" fontId="8" fillId="0" borderId="1" xfId="50" applyNumberFormat="1" applyFont="1" applyBorder="1" applyAlignment="1">
      <alignment horizontal="center" vertical="center" shrinkToFit="1"/>
    </xf>
    <xf numFmtId="176" fontId="5" fillId="0" borderId="0" xfId="50" applyNumberFormat="1" applyFont="1">
      <alignment vertical="center"/>
    </xf>
    <xf numFmtId="0" fontId="5" fillId="0" borderId="1" xfId="50" applyFont="1" applyBorder="1">
      <alignment vertical="center"/>
    </xf>
    <xf numFmtId="176" fontId="6" fillId="2" borderId="1" xfId="50" applyNumberFormat="1" applyFont="1" applyFill="1" applyBorder="1" applyAlignment="1">
      <alignment horizontal="center" vertical="center" wrapText="1"/>
    </xf>
    <xf numFmtId="176" fontId="6" fillId="2" borderId="1" xfId="50" applyNumberFormat="1" applyFont="1" applyFill="1" applyBorder="1" applyAlignment="1">
      <alignment horizontal="center" vertical="center"/>
    </xf>
    <xf numFmtId="0" fontId="5" fillId="0" borderId="1" xfId="54" applyFont="1" applyBorder="1" applyAlignment="1">
      <alignment horizontal="center" vertical="center"/>
    </xf>
    <xf numFmtId="0" fontId="8" fillId="0" borderId="1" xfId="50" applyFont="1" applyBorder="1" applyAlignment="1">
      <alignment horizontal="center" vertical="top" shrinkToFit="1"/>
    </xf>
    <xf numFmtId="0" fontId="5" fillId="0" borderId="1" xfId="50" applyFont="1" applyBorder="1" applyAlignment="1">
      <alignment horizontal="center" vertical="top"/>
    </xf>
    <xf numFmtId="0" fontId="5" fillId="0" borderId="1" xfId="54" applyFont="1" applyBorder="1" applyAlignment="1">
      <alignment horizontal="center" vertical="top"/>
    </xf>
    <xf numFmtId="0" fontId="5" fillId="0" borderId="1" xfId="54" applyFont="1" applyBorder="1" applyAlignment="1">
      <alignment horizontal="center"/>
    </xf>
    <xf numFmtId="0" fontId="5" fillId="0" borderId="1" xfId="50" applyFont="1" applyBorder="1" applyAlignment="1">
      <alignment horizontal="center"/>
    </xf>
    <xf numFmtId="0" fontId="9" fillId="0" borderId="1" xfId="50" applyFont="1" applyBorder="1" applyAlignment="1" applyProtection="1">
      <alignment horizontal="left" vertical="center"/>
      <protection locked="0"/>
    </xf>
    <xf numFmtId="49" fontId="7" fillId="0" borderId="2" xfId="50" applyNumberFormat="1" applyFont="1" applyBorder="1" applyAlignment="1" applyProtection="1">
      <alignment horizontal="left" vertical="center"/>
      <protection locked="0"/>
    </xf>
    <xf numFmtId="49" fontId="9" fillId="0" borderId="9" xfId="50" applyNumberFormat="1" applyFont="1" applyBorder="1" applyAlignment="1" applyProtection="1">
      <alignment horizontal="left" vertical="center"/>
      <protection locked="0"/>
    </xf>
    <xf numFmtId="49" fontId="9" fillId="0" borderId="6" xfId="50" applyNumberFormat="1" applyFont="1" applyBorder="1" applyAlignment="1" applyProtection="1">
      <alignment horizontal="left" vertical="center"/>
      <protection locked="0"/>
    </xf>
    <xf numFmtId="0" fontId="3" fillId="0" borderId="0" xfId="56">
      <alignment vertical="center"/>
    </xf>
    <xf numFmtId="0" fontId="10" fillId="10" borderId="0" xfId="56" applyFont="1" applyFill="1" applyAlignment="1"/>
    <xf numFmtId="9" fontId="10" fillId="10" borderId="0" xfId="56" applyNumberFormat="1" applyFont="1" applyFill="1" applyAlignment="1"/>
    <xf numFmtId="9" fontId="3" fillId="0" borderId="0" xfId="56" applyNumberFormat="1">
      <alignment vertical="center"/>
    </xf>
    <xf numFmtId="0" fontId="10" fillId="0" borderId="0" xfId="56" applyFont="1" applyAlignment="1"/>
    <xf numFmtId="9" fontId="10" fillId="0" borderId="0" xfId="56" applyNumberFormat="1" applyFont="1" applyAlignment="1"/>
    <xf numFmtId="0" fontId="3" fillId="0" borderId="0" xfId="50">
      <alignment vertical="center"/>
    </xf>
    <xf numFmtId="0" fontId="3" fillId="0" borderId="2" xfId="50" applyBorder="1" applyAlignment="1">
      <alignment horizontal="center" vertical="center"/>
    </xf>
    <xf numFmtId="0" fontId="3" fillId="0" borderId="3" xfId="50" applyBorder="1" applyAlignment="1">
      <alignment horizontal="center" vertical="center"/>
    </xf>
    <xf numFmtId="0" fontId="3" fillId="0" borderId="4" xfId="50" applyBorder="1" applyAlignment="1">
      <alignment horizontal="center" vertical="center"/>
    </xf>
    <xf numFmtId="0" fontId="3" fillId="0" borderId="5" xfId="50" applyBorder="1" applyAlignment="1">
      <alignment horizontal="center" vertical="center"/>
    </xf>
    <xf numFmtId="0" fontId="3" fillId="0" borderId="0" xfId="50" applyAlignment="1">
      <alignment horizontal="center" vertical="center"/>
    </xf>
    <xf numFmtId="0" fontId="3" fillId="0" borderId="6" xfId="50" applyBorder="1" applyAlignment="1">
      <alignment horizontal="center" vertical="center"/>
    </xf>
    <xf numFmtId="176" fontId="3" fillId="0" borderId="1" xfId="50" applyNumberFormat="1" applyBorder="1">
      <alignment vertical="center"/>
    </xf>
    <xf numFmtId="9" fontId="3" fillId="0" borderId="0" xfId="50" applyNumberFormat="1">
      <alignment vertical="center"/>
    </xf>
    <xf numFmtId="49" fontId="11" fillId="0" borderId="0" xfId="59" applyNumberFormat="1" applyAlignment="1">
      <alignment horizontal="left" vertical="top" wrapText="1"/>
    </xf>
    <xf numFmtId="49" fontId="11" fillId="0" borderId="0" xfId="59" applyNumberFormat="1" applyAlignment="1">
      <alignment horizontal="left" vertical="top"/>
    </xf>
    <xf numFmtId="49" fontId="12" fillId="0" borderId="0" xfId="59" applyNumberFormat="1" applyFont="1" applyAlignment="1">
      <alignment horizontal="left" vertical="top" wrapText="1"/>
    </xf>
    <xf numFmtId="49" fontId="11" fillId="0" borderId="0" xfId="59" applyNumberFormat="1" applyAlignment="1">
      <alignment vertical="top" wrapText="1"/>
    </xf>
    <xf numFmtId="49" fontId="11" fillId="0" borderId="10" xfId="59" applyNumberFormat="1" applyBorder="1" applyAlignment="1">
      <alignment horizontal="center" vertical="top" wrapText="1"/>
    </xf>
    <xf numFmtId="49" fontId="11" fillId="0" borderId="11" xfId="59" applyNumberFormat="1" applyBorder="1" applyAlignment="1">
      <alignment horizontal="center" vertical="center" wrapText="1"/>
    </xf>
    <xf numFmtId="49" fontId="11" fillId="0" borderId="11" xfId="59" applyNumberFormat="1" applyBorder="1" applyAlignment="1">
      <alignment horizontal="left" vertical="top" wrapText="1"/>
    </xf>
    <xf numFmtId="49" fontId="11" fillId="2" borderId="11" xfId="59" applyNumberFormat="1" applyFill="1" applyBorder="1" applyAlignment="1">
      <alignment horizontal="center" vertical="center" wrapText="1"/>
    </xf>
    <xf numFmtId="49" fontId="11" fillId="2" borderId="11" xfId="59" applyNumberFormat="1" applyFill="1" applyBorder="1" applyAlignment="1">
      <alignment horizontal="left" vertical="top" wrapText="1"/>
    </xf>
    <xf numFmtId="49" fontId="11" fillId="0" borderId="12" xfId="59" applyNumberFormat="1" applyBorder="1" applyAlignment="1">
      <alignment horizontal="center" vertical="top" wrapText="1"/>
    </xf>
    <xf numFmtId="0" fontId="11" fillId="0" borderId="11" xfId="59" applyBorder="1" applyAlignment="1">
      <alignment horizontal="left" vertical="center" wrapText="1"/>
    </xf>
    <xf numFmtId="1" fontId="13" fillId="0" borderId="11" xfId="59" applyNumberFormat="1" applyFont="1" applyBorder="1" applyAlignment="1">
      <alignment horizontal="center" vertical="center" wrapText="1"/>
    </xf>
    <xf numFmtId="1" fontId="13" fillId="2" borderId="11" xfId="59" applyNumberFormat="1" applyFont="1" applyFill="1" applyBorder="1" applyAlignment="1">
      <alignment horizontal="center" vertical="center" wrapText="1"/>
    </xf>
    <xf numFmtId="179" fontId="13" fillId="2" borderId="11" xfId="59" applyNumberFormat="1" applyFont="1" applyFill="1" applyBorder="1" applyAlignment="1">
      <alignment horizontal="center" vertical="center" wrapText="1"/>
    </xf>
    <xf numFmtId="2" fontId="13" fillId="2" borderId="11" xfId="59" applyNumberFormat="1" applyFont="1" applyFill="1" applyBorder="1" applyAlignment="1">
      <alignment horizontal="center" vertical="center" wrapText="1"/>
    </xf>
    <xf numFmtId="0" fontId="3" fillId="0" borderId="0" xfId="56" applyAlignment="1">
      <alignment horizontal="left" vertical="center"/>
    </xf>
    <xf numFmtId="0" fontId="14" fillId="0" borderId="0" xfId="61" applyAlignment="1">
      <alignment vertical="center" wrapText="1"/>
    </xf>
    <xf numFmtId="0" fontId="14" fillId="0" borderId="0" xfId="61">
      <alignment vertical="center"/>
    </xf>
    <xf numFmtId="0" fontId="15" fillId="0" borderId="0" xfId="61" applyFont="1">
      <alignment vertical="center"/>
    </xf>
    <xf numFmtId="0" fontId="14" fillId="0" borderId="0" xfId="52" applyFont="1">
      <alignment vertical="center"/>
    </xf>
    <xf numFmtId="0" fontId="3" fillId="0" borderId="1" xfId="50" applyBorder="1" applyAlignment="1">
      <alignment horizontal="center" vertical="center"/>
    </xf>
    <xf numFmtId="0" fontId="3" fillId="0" borderId="7" xfId="50" applyBorder="1" applyAlignment="1">
      <alignment horizontal="center" vertical="center"/>
    </xf>
    <xf numFmtId="0" fontId="3" fillId="0" borderId="13" xfId="50" applyBorder="1" applyAlignment="1">
      <alignment horizontal="center" vertical="center"/>
    </xf>
    <xf numFmtId="0" fontId="0" fillId="0" borderId="1" xfId="50" applyFont="1" applyBorder="1" applyAlignment="1">
      <alignment horizontal="center" vertical="center"/>
    </xf>
    <xf numFmtId="0" fontId="0" fillId="0" borderId="0" xfId="50" applyFont="1" applyAlignment="1">
      <alignment horizontal="center" vertical="center"/>
    </xf>
    <xf numFmtId="0" fontId="16" fillId="0" borderId="1" xfId="61" applyFont="1" applyBorder="1" applyAlignment="1">
      <alignment horizontal="center" vertical="center" wrapText="1"/>
    </xf>
    <xf numFmtId="0" fontId="14" fillId="0" borderId="1" xfId="61" applyBorder="1" applyAlignment="1">
      <alignment horizontal="center" vertical="center" wrapText="1"/>
    </xf>
    <xf numFmtId="180" fontId="14" fillId="0" borderId="1" xfId="61" applyNumberFormat="1" applyBorder="1" applyAlignment="1">
      <alignment horizontal="center" vertical="center" wrapText="1"/>
    </xf>
    <xf numFmtId="181" fontId="14" fillId="0" borderId="1" xfId="61" applyNumberFormat="1" applyBorder="1" applyAlignment="1">
      <alignment horizontal="center" vertical="center" wrapText="1"/>
    </xf>
    <xf numFmtId="9" fontId="14" fillId="0" borderId="1" xfId="61" applyNumberFormat="1" applyBorder="1" applyAlignment="1">
      <alignment horizontal="center" vertical="center" wrapText="1"/>
    </xf>
    <xf numFmtId="0" fontId="14" fillId="0" borderId="1" xfId="61" applyBorder="1" applyAlignment="1">
      <alignment vertical="center" wrapText="1"/>
    </xf>
    <xf numFmtId="0" fontId="15" fillId="2" borderId="1" xfId="61" applyFont="1" applyFill="1" applyBorder="1" applyAlignment="1">
      <alignment horizontal="center" vertical="center" wrapText="1"/>
    </xf>
    <xf numFmtId="0" fontId="16" fillId="0" borderId="1" xfId="64" applyFont="1" applyBorder="1" applyAlignment="1">
      <alignment horizontal="center" vertical="center"/>
    </xf>
    <xf numFmtId="0" fontId="14" fillId="0" borderId="1" xfId="61" applyBorder="1" applyAlignment="1">
      <alignment horizontal="center" vertical="center"/>
    </xf>
    <xf numFmtId="0" fontId="16" fillId="0" borderId="1" xfId="61" applyFont="1" applyBorder="1" applyAlignment="1">
      <alignment horizontal="center" vertical="center"/>
    </xf>
    <xf numFmtId="180" fontId="14" fillId="0" borderId="1" xfId="61" applyNumberFormat="1" applyBorder="1" applyAlignment="1">
      <alignment horizontal="center" vertical="center"/>
    </xf>
    <xf numFmtId="181" fontId="14" fillId="0" borderId="1" xfId="61" applyNumberFormat="1" applyBorder="1" applyAlignment="1">
      <alignment horizontal="center" vertical="center"/>
    </xf>
    <xf numFmtId="9" fontId="14" fillId="0" borderId="1" xfId="61" applyNumberFormat="1" applyBorder="1" applyAlignment="1">
      <alignment horizontal="center" vertical="center"/>
    </xf>
    <xf numFmtId="14" fontId="16" fillId="0" borderId="1" xfId="61" applyNumberFormat="1" applyFont="1" applyBorder="1" applyAlignment="1">
      <alignment horizontal="center" vertical="center"/>
    </xf>
    <xf numFmtId="0" fontId="17" fillId="0" borderId="1" xfId="64" applyBorder="1">
      <alignment vertical="center"/>
    </xf>
    <xf numFmtId="0" fontId="14" fillId="0" borderId="1" xfId="61" applyBorder="1">
      <alignment vertical="center"/>
    </xf>
    <xf numFmtId="180" fontId="16" fillId="0" borderId="1" xfId="61" applyNumberFormat="1" applyFont="1" applyBorder="1" applyAlignment="1">
      <alignment horizontal="center" vertical="center"/>
    </xf>
    <xf numFmtId="181" fontId="15" fillId="0" borderId="1" xfId="61" applyNumberFormat="1" applyFont="1" applyBorder="1" applyAlignment="1">
      <alignment horizontal="center" vertical="center"/>
    </xf>
    <xf numFmtId="9" fontId="16" fillId="0" borderId="1" xfId="61" applyNumberFormat="1" applyFont="1" applyBorder="1" applyAlignment="1">
      <alignment horizontal="center" vertical="center"/>
    </xf>
    <xf numFmtId="17" fontId="14" fillId="0" borderId="1" xfId="61" applyNumberFormat="1" applyBorder="1">
      <alignment vertical="center"/>
    </xf>
    <xf numFmtId="0" fontId="3" fillId="0" borderId="1" xfId="53" applyBorder="1" applyAlignment="1">
      <alignment horizontal="center" vertical="center"/>
    </xf>
    <xf numFmtId="180" fontId="3" fillId="0" borderId="1" xfId="53" applyNumberFormat="1" applyBorder="1" applyAlignment="1">
      <alignment horizontal="center" vertical="center"/>
    </xf>
    <xf numFmtId="9" fontId="3" fillId="0" borderId="1" xfId="53" applyNumberFormat="1" applyBorder="1" applyAlignment="1">
      <alignment horizontal="center" vertical="center"/>
    </xf>
    <xf numFmtId="0" fontId="15" fillId="0" borderId="1" xfId="64" applyFont="1" applyBorder="1" applyAlignment="1">
      <alignment horizontal="center" vertical="center"/>
    </xf>
    <xf numFmtId="0" fontId="15" fillId="0" borderId="0" xfId="52" applyFont="1" applyAlignment="1">
      <alignment horizontal="center" vertical="center"/>
    </xf>
    <xf numFmtId="0" fontId="15" fillId="0" borderId="1" xfId="61" applyFont="1" applyBorder="1" applyAlignment="1">
      <alignment horizontal="center" vertical="center"/>
    </xf>
    <xf numFmtId="180" fontId="15" fillId="0" borderId="1" xfId="61" applyNumberFormat="1" applyFont="1" applyBorder="1" applyAlignment="1">
      <alignment horizontal="center" vertical="center"/>
    </xf>
    <xf numFmtId="9" fontId="15" fillId="0" borderId="1" xfId="61" applyNumberFormat="1" applyFont="1" applyBorder="1" applyAlignment="1">
      <alignment horizontal="center" vertical="center"/>
    </xf>
    <xf numFmtId="14" fontId="15" fillId="0" borderId="1" xfId="61" applyNumberFormat="1" applyFont="1" applyBorder="1" applyAlignment="1">
      <alignment horizontal="center" vertical="center"/>
    </xf>
    <xf numFmtId="0" fontId="18" fillId="0" borderId="1" xfId="64" applyFont="1" applyBorder="1">
      <alignment vertical="center"/>
    </xf>
    <xf numFmtId="0" fontId="15" fillId="0" borderId="1" xfId="61" applyFont="1" applyBorder="1">
      <alignment vertical="center"/>
    </xf>
    <xf numFmtId="0" fontId="15" fillId="0" borderId="14" xfId="61" applyFont="1" applyBorder="1" applyAlignment="1">
      <alignment horizontal="center" vertical="center" wrapText="1"/>
    </xf>
    <xf numFmtId="0" fontId="14" fillId="0" borderId="1" xfId="52" applyFont="1" applyBorder="1" applyAlignment="1">
      <alignment horizontal="center" vertical="center"/>
    </xf>
    <xf numFmtId="0" fontId="14" fillId="0" borderId="1" xfId="52" applyFont="1" applyBorder="1">
      <alignment vertical="center"/>
    </xf>
    <xf numFmtId="49" fontId="14" fillId="0" borderId="1" xfId="52" applyNumberFormat="1" applyFont="1" applyBorder="1">
      <alignment vertical="center"/>
    </xf>
    <xf numFmtId="0" fontId="9" fillId="0" borderId="0" xfId="54" applyFont="1" applyAlignment="1">
      <alignment horizontal="center" vertical="center"/>
    </xf>
    <xf numFmtId="182" fontId="9" fillId="0" borderId="0" xfId="54" applyNumberFormat="1" applyFont="1" applyAlignment="1">
      <alignment horizontal="center" vertical="center"/>
    </xf>
    <xf numFmtId="49" fontId="9" fillId="0" borderId="0" xfId="54" applyNumberFormat="1" applyFont="1" applyAlignment="1">
      <alignment horizontal="center" vertical="center"/>
    </xf>
    <xf numFmtId="0" fontId="7" fillId="11" borderId="1" xfId="54" applyFont="1" applyFill="1" applyBorder="1" applyAlignment="1">
      <alignment horizontal="center" vertical="center" wrapText="1"/>
    </xf>
    <xf numFmtId="0" fontId="9" fillId="0" borderId="1" xfId="54" applyFont="1" applyBorder="1" applyAlignment="1">
      <alignment horizontal="center" vertical="center"/>
    </xf>
    <xf numFmtId="182" fontId="9" fillId="0" borderId="1" xfId="54" applyNumberFormat="1" applyFont="1" applyBorder="1" applyAlignment="1">
      <alignment horizontal="center" vertical="center"/>
    </xf>
    <xf numFmtId="49" fontId="7" fillId="11" borderId="1" xfId="54" applyNumberFormat="1" applyFont="1" applyFill="1" applyBorder="1" applyAlignment="1">
      <alignment horizontal="center" vertical="center" wrapText="1"/>
    </xf>
    <xf numFmtId="0" fontId="9" fillId="11" borderId="1" xfId="54" applyFont="1" applyFill="1" applyBorder="1" applyAlignment="1">
      <alignment horizontal="center" vertical="center" wrapText="1"/>
    </xf>
    <xf numFmtId="0" fontId="9" fillId="0" borderId="1" xfId="54" applyFont="1" applyBorder="1" applyAlignment="1">
      <alignment horizontal="center" vertical="center" wrapText="1"/>
    </xf>
    <xf numFmtId="0" fontId="9" fillId="12" borderId="1" xfId="54" applyFont="1" applyFill="1" applyBorder="1" applyAlignment="1">
      <alignment horizontal="center" vertical="center" wrapText="1"/>
    </xf>
    <xf numFmtId="183" fontId="9" fillId="11" borderId="1" xfId="54" applyNumberFormat="1" applyFont="1" applyFill="1" applyBorder="1" applyAlignment="1">
      <alignment horizontal="center" vertical="center" wrapText="1"/>
    </xf>
    <xf numFmtId="183" fontId="9" fillId="12" borderId="1" xfId="54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4" fontId="9" fillId="0" borderId="1" xfId="54" applyNumberFormat="1" applyFont="1" applyBorder="1" applyAlignment="1">
      <alignment horizontal="center" vertical="center"/>
    </xf>
    <xf numFmtId="14" fontId="9" fillId="12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4" fontId="9" fillId="11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9" fillId="0" borderId="1" xfId="54" applyFont="1" applyBorder="1" applyAlignment="1">
      <alignment horizontal="center" vertical="center"/>
    </xf>
    <xf numFmtId="183" fontId="9" fillId="0" borderId="1" xfId="54" applyNumberFormat="1" applyFont="1" applyBorder="1" applyAlignment="1">
      <alignment horizontal="center" vertical="center"/>
    </xf>
    <xf numFmtId="182" fontId="0" fillId="0" borderId="1" xfId="54" applyNumberFormat="1" applyBorder="1" applyAlignment="1">
      <alignment horizontal="center" vertical="center"/>
    </xf>
    <xf numFmtId="0" fontId="20" fillId="0" borderId="11" xfId="50" applyFont="1" applyBorder="1" applyAlignment="1">
      <alignment horizontal="center" vertical="top"/>
    </xf>
    <xf numFmtId="0" fontId="3" fillId="0" borderId="0" xfId="50" applyFont="1" applyAlignment="1"/>
    <xf numFmtId="0" fontId="2" fillId="0" borderId="0" xfId="50" applyFont="1" applyAlignment="1"/>
    <xf numFmtId="0" fontId="20" fillId="0" borderId="0" xfId="50" applyFont="1" applyAlignment="1">
      <alignment horizontal="center" vertical="top"/>
    </xf>
    <xf numFmtId="0" fontId="20" fillId="0" borderId="15" xfId="50" applyFont="1" applyBorder="1" applyAlignment="1">
      <alignment horizontal="center" vertical="top"/>
    </xf>
    <xf numFmtId="0" fontId="3" fillId="0" borderId="0" xfId="50" applyAlignment="1"/>
    <xf numFmtId="185" fontId="3" fillId="0" borderId="0" xfId="50" applyNumberFormat="1">
      <alignment vertical="center"/>
    </xf>
    <xf numFmtId="0" fontId="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1" xfId="54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0" fillId="0" borderId="1" xfId="54" applyBorder="1" applyAlignment="1">
      <alignment horizontal="center" vertical="top"/>
    </xf>
    <xf numFmtId="0" fontId="0" fillId="0" borderId="1" xfId="54" applyBorder="1" applyAlignment="1">
      <alignment horizontal="center"/>
    </xf>
    <xf numFmtId="0" fontId="1" fillId="0" borderId="0" xfId="0" applyFont="1">
      <alignment vertical="center"/>
    </xf>
    <xf numFmtId="185" fontId="0" fillId="0" borderId="1" xfId="0" applyNumberFormat="1" applyBorder="1">
      <alignment vertical="center"/>
    </xf>
    <xf numFmtId="185" fontId="0" fillId="4" borderId="1" xfId="0" applyNumberFormat="1" applyFill="1" applyBorder="1">
      <alignment vertical="center"/>
    </xf>
    <xf numFmtId="0" fontId="21" fillId="0" borderId="1" xfId="50" applyFont="1" applyBorder="1" applyAlignment="1">
      <alignment horizontal="center" vertical="center" wrapText="1"/>
    </xf>
    <xf numFmtId="0" fontId="21" fillId="0" borderId="1" xfId="50" applyFont="1" applyBorder="1" applyAlignment="1">
      <alignment horizontal="center" vertical="center"/>
    </xf>
    <xf numFmtId="178" fontId="3" fillId="0" borderId="0" xfId="50" applyNumberFormat="1">
      <alignment vertical="center"/>
    </xf>
    <xf numFmtId="178" fontId="21" fillId="0" borderId="1" xfId="50" applyNumberFormat="1" applyFont="1" applyBorder="1" applyAlignment="1">
      <alignment horizontal="center" vertical="center"/>
    </xf>
    <xf numFmtId="0" fontId="22" fillId="0" borderId="1" xfId="50" applyFont="1" applyBorder="1" applyAlignment="1">
      <alignment horizontal="center" vertical="top" shrinkToFit="1"/>
    </xf>
    <xf numFmtId="1" fontId="22" fillId="0" borderId="1" xfId="50" applyNumberFormat="1" applyFont="1" applyBorder="1" applyAlignment="1">
      <alignment horizontal="center" vertical="top" shrinkToFit="1"/>
    </xf>
    <xf numFmtId="0" fontId="23" fillId="0" borderId="1" xfId="50" applyFont="1" applyBorder="1" applyAlignment="1">
      <alignment horizontal="center" vertical="center"/>
    </xf>
    <xf numFmtId="178" fontId="12" fillId="0" borderId="1" xfId="50" applyNumberFormat="1" applyFont="1" applyBorder="1" applyAlignment="1">
      <alignment horizontal="center" vertical="center"/>
    </xf>
    <xf numFmtId="0" fontId="22" fillId="0" borderId="1" xfId="50" applyFont="1" applyBorder="1" applyAlignment="1">
      <alignment horizontal="center" wrapText="1"/>
    </xf>
    <xf numFmtId="178" fontId="21" fillId="0" borderId="1" xfId="50" applyNumberFormat="1" applyFont="1" applyBorder="1" applyAlignment="1">
      <alignment horizontal="center" vertical="center" wrapText="1"/>
    </xf>
    <xf numFmtId="0" fontId="12" fillId="0" borderId="1" xfId="50" applyFont="1" applyBorder="1" applyAlignment="1">
      <alignment horizontal="center" vertical="center"/>
    </xf>
    <xf numFmtId="0" fontId="22" fillId="0" borderId="1" xfId="50" applyFont="1" applyBorder="1" applyAlignment="1">
      <alignment horizontal="center" vertical="top" wrapText="1"/>
    </xf>
    <xf numFmtId="0" fontId="13" fillId="0" borderId="0" xfId="60" applyAlignment="1">
      <alignment horizontal="left" vertical="top"/>
    </xf>
    <xf numFmtId="0" fontId="24" fillId="0" borderId="0" xfId="60" applyFont="1" applyAlignment="1">
      <alignment horizontal="center"/>
    </xf>
    <xf numFmtId="0" fontId="25" fillId="0" borderId="0" xfId="60" applyFont="1" applyAlignment="1">
      <alignment horizontal="center"/>
    </xf>
    <xf numFmtId="0" fontId="26" fillId="0" borderId="0" xfId="60" applyFont="1" applyAlignment="1">
      <alignment horizontal="left"/>
    </xf>
    <xf numFmtId="0" fontId="27" fillId="0" borderId="0" xfId="60" applyFont="1" applyAlignment="1">
      <alignment horizontal="center" vertical="top"/>
    </xf>
    <xf numFmtId="0" fontId="13" fillId="0" borderId="0" xfId="60" applyAlignment="1">
      <alignment horizontal="center" vertical="top"/>
    </xf>
    <xf numFmtId="176" fontId="13" fillId="0" borderId="0" xfId="60" applyNumberFormat="1" applyAlignment="1">
      <alignment horizontal="left" vertical="top"/>
    </xf>
    <xf numFmtId="0" fontId="13" fillId="0" borderId="0" xfId="60" applyAlignment="1">
      <alignment horizontal="left" vertical="top" wrapText="1"/>
    </xf>
    <xf numFmtId="0" fontId="27" fillId="0" borderId="0" xfId="60" applyFont="1" applyAlignment="1">
      <alignment horizontal="left" vertical="top"/>
    </xf>
    <xf numFmtId="0" fontId="13" fillId="0" borderId="0" xfId="60" applyFont="1" applyAlignment="1">
      <alignment horizontal="left" vertical="top"/>
    </xf>
    <xf numFmtId="0" fontId="24" fillId="0" borderId="0" xfId="60" applyFont="1" applyAlignment="1">
      <alignment horizontal="center" wrapText="1"/>
    </xf>
    <xf numFmtId="0" fontId="27" fillId="0" borderId="0" xfId="60" applyFont="1" applyAlignment="1">
      <alignment horizontal="left" vertical="top" wrapText="1"/>
    </xf>
    <xf numFmtId="176" fontId="21" fillId="0" borderId="1" xfId="50" applyNumberFormat="1" applyFont="1" applyBorder="1" applyAlignment="1">
      <alignment horizontal="center" vertical="center"/>
    </xf>
    <xf numFmtId="0" fontId="13" fillId="0" borderId="0" xfId="60" applyAlignment="1">
      <alignment vertical="center"/>
    </xf>
    <xf numFmtId="0" fontId="14" fillId="0" borderId="0" xfId="52">
      <alignment vertical="center"/>
    </xf>
    <xf numFmtId="0" fontId="27" fillId="0" borderId="0" xfId="60" applyFont="1" applyAlignment="1">
      <alignment vertical="center"/>
    </xf>
    <xf numFmtId="0" fontId="3" fillId="0" borderId="0" xfId="50" applyFont="1">
      <alignment vertical="center"/>
    </xf>
    <xf numFmtId="0" fontId="13" fillId="13" borderId="0" xfId="60" applyFill="1" applyAlignment="1">
      <alignment vertical="center"/>
    </xf>
    <xf numFmtId="0" fontId="13" fillId="9" borderId="0" xfId="60" applyFill="1" applyAlignment="1">
      <alignment vertical="center"/>
    </xf>
    <xf numFmtId="0" fontId="3" fillId="0" borderId="0" xfId="50" applyFont="1" applyAlignment="1">
      <alignment horizontal="center" vertical="center"/>
    </xf>
    <xf numFmtId="49" fontId="3" fillId="0" borderId="0" xfId="50" applyNumberFormat="1" applyFont="1">
      <alignment vertical="center"/>
    </xf>
    <xf numFmtId="0" fontId="16" fillId="0" borderId="0" xfId="60" applyFont="1" applyAlignment="1">
      <alignment vertical="center"/>
    </xf>
    <xf numFmtId="0" fontId="10" fillId="0" borderId="0" xfId="60" applyFont="1" applyAlignment="1">
      <alignment vertical="center"/>
    </xf>
    <xf numFmtId="49" fontId="16" fillId="0" borderId="0" xfId="60" applyNumberFormat="1" applyFont="1" applyAlignment="1" applyProtection="1">
      <alignment horizontal="left" vertical="center"/>
      <protection locked="0"/>
    </xf>
    <xf numFmtId="0" fontId="16" fillId="0" borderId="0" xfId="60" applyFont="1" applyAlignment="1" applyProtection="1">
      <alignment horizontal="center" vertical="center"/>
      <protection locked="0"/>
    </xf>
    <xf numFmtId="0" fontId="10" fillId="0" borderId="0" xfId="60" applyFont="1" applyAlignment="1">
      <alignment horizontal="left" vertical="top"/>
    </xf>
    <xf numFmtId="49" fontId="16" fillId="0" borderId="0" xfId="52" applyNumberFormat="1" applyFont="1" applyAlignment="1" applyProtection="1">
      <alignment horizontal="left" vertical="center"/>
      <protection locked="0"/>
    </xf>
    <xf numFmtId="0" fontId="16" fillId="0" borderId="0" xfId="60" applyFont="1" applyAlignment="1">
      <alignment horizontal="center" vertical="center"/>
    </xf>
    <xf numFmtId="0" fontId="10" fillId="13" borderId="0" xfId="60" applyFont="1" applyFill="1" applyAlignment="1">
      <alignment vertical="center"/>
    </xf>
    <xf numFmtId="0" fontId="3" fillId="13" borderId="0" xfId="50" applyFont="1" applyFill="1">
      <alignment vertical="center"/>
    </xf>
    <xf numFmtId="0" fontId="14" fillId="0" borderId="0" xfId="52" applyFont="1" applyAlignment="1">
      <alignment horizontal="center" vertical="center"/>
    </xf>
    <xf numFmtId="49" fontId="14" fillId="0" borderId="0" xfId="52" applyNumberFormat="1" applyFont="1">
      <alignment vertical="center"/>
    </xf>
    <xf numFmtId="0" fontId="14" fillId="13" borderId="0" xfId="52" applyFont="1" applyFill="1">
      <alignment vertical="center"/>
    </xf>
    <xf numFmtId="0" fontId="14" fillId="14" borderId="0" xfId="52" applyFont="1" applyFill="1">
      <alignment vertical="center"/>
    </xf>
    <xf numFmtId="0" fontId="14" fillId="0" borderId="2" xfId="52" applyFont="1" applyBorder="1">
      <alignment vertical="center"/>
    </xf>
    <xf numFmtId="0" fontId="14" fillId="0" borderId="9" xfId="52" applyFont="1" applyBorder="1">
      <alignment vertical="center"/>
    </xf>
    <xf numFmtId="0" fontId="28" fillId="0" borderId="15" xfId="60" applyFont="1" applyBorder="1" applyAlignment="1">
      <alignment horizontal="center" vertical="top"/>
    </xf>
    <xf numFmtId="0" fontId="29" fillId="0" borderId="10" xfId="60" applyFont="1" applyBorder="1" applyAlignment="1">
      <alignment horizontal="left" vertical="center" wrapText="1" indent="2"/>
    </xf>
    <xf numFmtId="0" fontId="29" fillId="0" borderId="10" xfId="60" applyFont="1" applyBorder="1" applyAlignment="1">
      <alignment horizontal="left" vertical="top" wrapText="1" indent="1"/>
    </xf>
    <xf numFmtId="0" fontId="30" fillId="0" borderId="16" xfId="60" applyFont="1" applyBorder="1" applyAlignment="1">
      <alignment horizontal="center" vertical="top" wrapText="1"/>
    </xf>
    <xf numFmtId="0" fontId="30" fillId="0" borderId="17" xfId="60" applyFont="1" applyBorder="1" applyAlignment="1">
      <alignment horizontal="center" vertical="top" wrapText="1"/>
    </xf>
    <xf numFmtId="0" fontId="29" fillId="0" borderId="10" xfId="60" applyFont="1" applyBorder="1" applyAlignment="1">
      <alignment horizontal="left" vertical="center" wrapText="1"/>
    </xf>
    <xf numFmtId="0" fontId="30" fillId="0" borderId="18" xfId="60" applyFont="1" applyBorder="1" applyAlignment="1">
      <alignment horizontal="center" vertical="top" wrapText="1"/>
    </xf>
    <xf numFmtId="0" fontId="30" fillId="0" borderId="19" xfId="60" applyFont="1" applyBorder="1" applyAlignment="1">
      <alignment horizontal="center" vertical="top" wrapText="1"/>
    </xf>
    <xf numFmtId="0" fontId="29" fillId="0" borderId="20" xfId="60" applyFont="1" applyBorder="1" applyAlignment="1">
      <alignment horizontal="left" vertical="center" wrapText="1" indent="2"/>
    </xf>
    <xf numFmtId="0" fontId="30" fillId="0" borderId="12" xfId="60" applyFont="1" applyBorder="1" applyAlignment="1">
      <alignment horizontal="left" vertical="top" wrapText="1" indent="1"/>
    </xf>
    <xf numFmtId="0" fontId="30" fillId="0" borderId="21" xfId="60" applyFont="1" applyBorder="1" applyAlignment="1">
      <alignment horizontal="center" vertical="top" wrapText="1"/>
    </xf>
    <xf numFmtId="0" fontId="30" fillId="0" borderId="22" xfId="60" applyFont="1" applyBorder="1" applyAlignment="1">
      <alignment horizontal="center" vertical="top" wrapText="1"/>
    </xf>
    <xf numFmtId="0" fontId="29" fillId="0" borderId="12" xfId="60" applyFont="1" applyBorder="1" applyAlignment="1">
      <alignment horizontal="left" vertical="center" wrapText="1"/>
    </xf>
    <xf numFmtId="0" fontId="29" fillId="0" borderId="11" xfId="60" applyFont="1" applyBorder="1" applyAlignment="1">
      <alignment horizontal="left" vertical="top" wrapText="1" indent="1"/>
    </xf>
    <xf numFmtId="0" fontId="30" fillId="0" borderId="11" xfId="60" applyFont="1" applyBorder="1" applyAlignment="1">
      <alignment horizontal="center" vertical="top" wrapText="1"/>
    </xf>
    <xf numFmtId="0" fontId="30" fillId="0" borderId="11" xfId="60" applyFont="1" applyBorder="1" applyAlignment="1">
      <alignment horizontal="left" vertical="top" wrapText="1" indent="1"/>
    </xf>
    <xf numFmtId="0" fontId="31" fillId="0" borderId="1" xfId="60" applyFont="1" applyBorder="1" applyAlignment="1">
      <alignment horizontal="left"/>
    </xf>
    <xf numFmtId="1" fontId="30" fillId="0" borderId="19" xfId="60" applyNumberFormat="1" applyFont="1" applyBorder="1" applyAlignment="1">
      <alignment horizontal="center" vertical="top" shrinkToFit="1"/>
    </xf>
    <xf numFmtId="2" fontId="30" fillId="0" borderId="18" xfId="60" applyNumberFormat="1" applyFont="1" applyBorder="1" applyAlignment="1">
      <alignment horizontal="center" vertical="top" shrinkToFit="1"/>
    </xf>
    <xf numFmtId="2" fontId="30" fillId="0" borderId="19" xfId="60" applyNumberFormat="1" applyFont="1" applyBorder="1" applyAlignment="1">
      <alignment horizontal="center" vertical="top" shrinkToFit="1"/>
    </xf>
    <xf numFmtId="10" fontId="30" fillId="0" borderId="11" xfId="60" applyNumberFormat="1" applyFont="1" applyBorder="1" applyAlignment="1">
      <alignment horizontal="center" vertical="top" shrinkToFit="1"/>
    </xf>
    <xf numFmtId="1" fontId="30" fillId="0" borderId="11" xfId="60" applyNumberFormat="1" applyFont="1" applyBorder="1" applyAlignment="1">
      <alignment horizontal="center" vertical="top" shrinkToFit="1"/>
    </xf>
    <xf numFmtId="2" fontId="30" fillId="0" borderId="11" xfId="60" applyNumberFormat="1" applyFont="1" applyBorder="1" applyAlignment="1">
      <alignment horizontal="center" vertical="top" shrinkToFit="1"/>
    </xf>
    <xf numFmtId="179" fontId="30" fillId="0" borderId="11" xfId="60" applyNumberFormat="1" applyFont="1" applyBorder="1" applyAlignment="1">
      <alignment horizontal="center" vertical="top" shrinkToFit="1"/>
    </xf>
    <xf numFmtId="179" fontId="30" fillId="0" borderId="18" xfId="60" applyNumberFormat="1" applyFont="1" applyBorder="1" applyAlignment="1">
      <alignment horizontal="center" vertical="top" shrinkToFit="1"/>
    </xf>
    <xf numFmtId="179" fontId="30" fillId="0" borderId="19" xfId="60" applyNumberFormat="1" applyFont="1" applyBorder="1" applyAlignment="1">
      <alignment horizontal="center" vertical="top" shrinkToFit="1"/>
    </xf>
    <xf numFmtId="0" fontId="29" fillId="0" borderId="11" xfId="60" applyFont="1" applyBorder="1" applyAlignment="1">
      <alignment horizontal="center" vertical="top" wrapText="1"/>
    </xf>
    <xf numFmtId="1" fontId="30" fillId="0" borderId="18" xfId="60" applyNumberFormat="1" applyFont="1" applyBorder="1" applyAlignment="1">
      <alignment horizontal="center" vertical="top" shrinkToFit="1"/>
    </xf>
    <xf numFmtId="186" fontId="30" fillId="0" borderId="11" xfId="60" applyNumberFormat="1" applyFont="1" applyBorder="1" applyAlignment="1">
      <alignment horizontal="center" vertical="top" shrinkToFit="1"/>
    </xf>
    <xf numFmtId="0" fontId="29" fillId="0" borderId="12" xfId="60" applyFont="1" applyBorder="1" applyAlignment="1">
      <alignment horizontal="center" vertical="top" wrapText="1"/>
    </xf>
    <xf numFmtId="0" fontId="32" fillId="0" borderId="0" xfId="49" applyFont="1" applyAlignment="1">
      <alignment horizontal="left" vertical="center"/>
    </xf>
    <xf numFmtId="0" fontId="32" fillId="0" borderId="0" xfId="49" applyFont="1">
      <alignment vertical="center"/>
    </xf>
    <xf numFmtId="0" fontId="33" fillId="7" borderId="0" xfId="49" applyFont="1" applyFill="1" applyAlignment="1">
      <alignment horizontal="left" vertical="center" wrapText="1"/>
    </xf>
    <xf numFmtId="0" fontId="34" fillId="0" borderId="0" xfId="62" applyFont="1">
      <alignment vertical="center"/>
    </xf>
    <xf numFmtId="0" fontId="32" fillId="7" borderId="0" xfId="49" applyFont="1" applyFill="1" applyAlignment="1">
      <alignment horizontal="left" vertical="center" wrapText="1"/>
    </xf>
    <xf numFmtId="0" fontId="32" fillId="0" borderId="0" xfId="49" applyFont="1" applyAlignment="1">
      <alignment vertical="center" wrapText="1"/>
    </xf>
    <xf numFmtId="14" fontId="32" fillId="0" borderId="0" xfId="49" applyNumberFormat="1" applyFont="1" applyAlignment="1">
      <alignment horizontal="left" vertical="center"/>
    </xf>
    <xf numFmtId="0" fontId="32" fillId="0" borderId="0" xfId="49" applyFont="1" applyAlignment="1">
      <alignment horizontal="left" vertical="center" wrapText="1"/>
    </xf>
    <xf numFmtId="0" fontId="35" fillId="0" borderId="0" xfId="49" applyFont="1" applyAlignment="1">
      <alignment horizontal="left" vertical="center" wrapText="1"/>
    </xf>
    <xf numFmtId="0" fontId="35" fillId="0" borderId="0" xfId="49" applyFont="1" applyAlignment="1">
      <alignment horizontal="left" vertical="center"/>
    </xf>
    <xf numFmtId="0" fontId="32" fillId="0" borderId="0" xfId="49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23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6" fillId="0" borderId="1" xfId="56" applyFont="1" applyBorder="1">
      <alignment vertical="center"/>
    </xf>
    <xf numFmtId="176" fontId="36" fillId="0" borderId="1" xfId="56" applyNumberFormat="1" applyFon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0" xfId="0" applyNumberFormat="1" applyFont="1">
      <alignment vertical="center"/>
    </xf>
    <xf numFmtId="0" fontId="3" fillId="0" borderId="1" xfId="56" applyBorder="1">
      <alignment vertical="center"/>
    </xf>
    <xf numFmtId="0" fontId="3" fillId="0" borderId="1" xfId="56" applyBorder="1" applyAlignment="1">
      <alignment horizontal="center" vertical="center"/>
    </xf>
    <xf numFmtId="176" fontId="3" fillId="0" borderId="1" xfId="56" applyNumberFormat="1" applyBorder="1">
      <alignment vertical="center"/>
    </xf>
    <xf numFmtId="187" fontId="3" fillId="0" borderId="1" xfId="56" applyNumberFormat="1" applyBorder="1">
      <alignment vertical="center"/>
    </xf>
    <xf numFmtId="176" fontId="3" fillId="0" borderId="0" xfId="56" applyNumberFormat="1">
      <alignment vertical="center"/>
    </xf>
    <xf numFmtId="0" fontId="0" fillId="0" borderId="0" xfId="0" applyFont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Font="1">
      <alignment vertical="center"/>
    </xf>
    <xf numFmtId="0" fontId="22" fillId="9" borderId="1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37" fillId="0" borderId="0" xfId="6">
      <alignment vertical="center"/>
    </xf>
    <xf numFmtId="0" fontId="0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7" fillId="16" borderId="24" xfId="0" applyFont="1" applyFill="1" applyBorder="1" applyAlignment="1">
      <alignment horizontal="center" vertical="center"/>
    </xf>
    <xf numFmtId="0" fontId="1" fillId="16" borderId="25" xfId="0" applyFont="1" applyFill="1" applyBorder="1" applyAlignment="1">
      <alignment horizontal="center" vertical="center"/>
    </xf>
    <xf numFmtId="0" fontId="1" fillId="16" borderId="26" xfId="0" applyFont="1" applyFill="1" applyBorder="1" applyAlignment="1">
      <alignment horizontal="center" vertical="center"/>
    </xf>
    <xf numFmtId="0" fontId="0" fillId="17" borderId="27" xfId="0" applyFont="1" applyFill="1" applyBorder="1" applyAlignment="1">
      <alignment horizontal="center" vertical="center"/>
    </xf>
    <xf numFmtId="0" fontId="0" fillId="18" borderId="24" xfId="0" applyFont="1" applyFill="1" applyBorder="1" applyAlignment="1">
      <alignment horizontal="center" vertical="center"/>
    </xf>
    <xf numFmtId="0" fontId="0" fillId="18" borderId="25" xfId="0" applyFont="1" applyFill="1" applyBorder="1" applyAlignment="1">
      <alignment horizontal="center" vertical="center"/>
    </xf>
    <xf numFmtId="0" fontId="0" fillId="18" borderId="26" xfId="0" applyFont="1" applyFill="1" applyBorder="1" applyAlignment="1">
      <alignment horizontal="center" vertical="center"/>
    </xf>
    <xf numFmtId="0" fontId="0" fillId="17" borderId="27" xfId="0" applyFont="1" applyFill="1" applyBorder="1" applyAlignment="1">
      <alignment horizontal="center" vertical="center" wrapText="1"/>
    </xf>
    <xf numFmtId="0" fontId="0" fillId="19" borderId="24" xfId="0" applyFont="1" applyFill="1" applyBorder="1" applyAlignment="1">
      <alignment horizontal="center" vertical="center"/>
    </xf>
    <xf numFmtId="0" fontId="0" fillId="19" borderId="26" xfId="0" applyFont="1" applyFill="1" applyBorder="1" applyAlignment="1">
      <alignment horizontal="center" vertical="center"/>
    </xf>
    <xf numFmtId="0" fontId="0" fillId="17" borderId="28" xfId="0" applyFont="1" applyFill="1" applyBorder="1" applyAlignment="1">
      <alignment horizontal="center" vertical="center"/>
    </xf>
    <xf numFmtId="0" fontId="0" fillId="17" borderId="29" xfId="0" applyFont="1" applyFill="1" applyBorder="1" applyAlignment="1">
      <alignment horizontal="center" vertical="center" wrapText="1"/>
    </xf>
    <xf numFmtId="0" fontId="0" fillId="18" borderId="29" xfId="0" applyFont="1" applyFill="1" applyBorder="1" applyAlignment="1">
      <alignment horizontal="center" vertical="center" wrapText="1"/>
    </xf>
    <xf numFmtId="0" fontId="0" fillId="20" borderId="29" xfId="0" applyFont="1" applyFill="1" applyBorder="1" applyAlignment="1">
      <alignment horizontal="center" vertical="center" wrapText="1"/>
    </xf>
    <xf numFmtId="0" fontId="0" fillId="17" borderId="28" xfId="0" applyFont="1" applyFill="1" applyBorder="1" applyAlignment="1">
      <alignment horizontal="center" vertical="center" wrapText="1"/>
    </xf>
    <xf numFmtId="0" fontId="0" fillId="16" borderId="29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/>
    </xf>
    <xf numFmtId="10" fontId="0" fillId="21" borderId="29" xfId="0" applyNumberFormat="1" applyFont="1" applyFill="1" applyBorder="1" applyAlignment="1">
      <alignment horizontal="center" vertical="center"/>
    </xf>
    <xf numFmtId="10" fontId="0" fillId="22" borderId="29" xfId="0" applyNumberFormat="1" applyFont="1" applyFill="1" applyBorder="1" applyAlignment="1">
      <alignment horizontal="center" vertical="center"/>
    </xf>
    <xf numFmtId="10" fontId="0" fillId="23" borderId="29" xfId="0" applyNumberFormat="1" applyFont="1" applyFill="1" applyBorder="1" applyAlignment="1">
      <alignment horizontal="center" vertical="center"/>
    </xf>
    <xf numFmtId="10" fontId="0" fillId="16" borderId="29" xfId="0" applyNumberFormat="1" applyFont="1" applyFill="1" applyBorder="1" applyAlignment="1">
      <alignment horizontal="center" vertical="center"/>
    </xf>
    <xf numFmtId="10" fontId="0" fillId="24" borderId="29" xfId="0" applyNumberFormat="1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 wrapText="1"/>
    </xf>
    <xf numFmtId="0" fontId="0" fillId="24" borderId="29" xfId="0" applyFont="1" applyFill="1" applyBorder="1" applyAlignment="1">
      <alignment horizontal="center" vertical="center"/>
    </xf>
    <xf numFmtId="0" fontId="0" fillId="25" borderId="29" xfId="0" applyFont="1" applyFill="1" applyBorder="1" applyAlignment="1">
      <alignment horizontal="center" vertical="center"/>
    </xf>
    <xf numFmtId="0" fontId="0" fillId="16" borderId="24" xfId="0" applyFont="1" applyFill="1" applyBorder="1" applyAlignment="1">
      <alignment horizontal="center" vertical="center"/>
    </xf>
    <xf numFmtId="0" fontId="0" fillId="16" borderId="26" xfId="0" applyFont="1" applyFill="1" applyBorder="1" applyAlignment="1">
      <alignment horizontal="center" vertical="center"/>
    </xf>
    <xf numFmtId="9" fontId="0" fillId="16" borderId="29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0" fillId="0" borderId="0" xfId="0" applyAlignment="1">
      <alignment vertical="top"/>
    </xf>
    <xf numFmtId="185" fontId="9" fillId="0" borderId="1" xfId="50" applyNumberFormat="1" applyFont="1" applyBorder="1" applyAlignment="1">
      <alignment horizontal="center" vertical="center"/>
    </xf>
    <xf numFmtId="185" fontId="9" fillId="0" borderId="3" xfId="50" applyNumberFormat="1" applyFont="1" applyBorder="1" applyAlignment="1">
      <alignment horizontal="center" vertical="center"/>
    </xf>
    <xf numFmtId="185" fontId="9" fillId="0" borderId="4" xfId="50" applyNumberFormat="1" applyFont="1" applyBorder="1" applyAlignment="1">
      <alignment horizontal="center" vertical="center"/>
    </xf>
    <xf numFmtId="185" fontId="9" fillId="0" borderId="5" xfId="50" applyNumberFormat="1" applyFont="1" applyBorder="1" applyAlignment="1">
      <alignment horizontal="center" vertical="center"/>
    </xf>
    <xf numFmtId="185" fontId="9" fillId="0" borderId="1" xfId="50" applyNumberFormat="1" applyFont="1" applyBorder="1" applyAlignment="1">
      <alignment horizontal="center" vertical="center" wrapText="1"/>
    </xf>
    <xf numFmtId="185" fontId="9" fillId="0" borderId="2" xfId="5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/>
    </xf>
    <xf numFmtId="0" fontId="0" fillId="0" borderId="1" xfId="50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center" vertical="center" wrapText="1"/>
    </xf>
    <xf numFmtId="185" fontId="7" fillId="0" borderId="2" xfId="51" applyNumberFormat="1" applyFont="1" applyBorder="1" applyAlignment="1" applyProtection="1">
      <alignment horizontal="left" vertical="center"/>
      <protection locked="0"/>
    </xf>
    <xf numFmtId="185" fontId="9" fillId="0" borderId="2" xfId="51" applyNumberFormat="1" applyFont="1" applyBorder="1" applyAlignment="1" applyProtection="1">
      <alignment horizontal="right" vertical="center"/>
      <protection locked="0"/>
    </xf>
    <xf numFmtId="185" fontId="9" fillId="0" borderId="2" xfId="50" applyNumberFormat="1" applyFont="1" applyBorder="1" applyAlignment="1">
      <alignment horizontal="center" vertical="center"/>
    </xf>
    <xf numFmtId="185" fontId="9" fillId="0" borderId="2" xfId="50" applyNumberFormat="1" applyFont="1" applyBorder="1" applyAlignment="1">
      <alignment horizontal="right" vertical="center"/>
    </xf>
    <xf numFmtId="185" fontId="9" fillId="0" borderId="30" xfId="50" applyNumberFormat="1" applyFont="1" applyBorder="1" applyAlignment="1">
      <alignment horizontal="right" vertical="center"/>
    </xf>
    <xf numFmtId="185" fontId="9" fillId="0" borderId="31" xfId="0" applyNumberFormat="1" applyFont="1" applyBorder="1" applyAlignment="1">
      <alignment horizontal="center" vertical="top"/>
    </xf>
    <xf numFmtId="185" fontId="9" fillId="0" borderId="2" xfId="0" applyNumberFormat="1" applyFont="1" applyBorder="1" applyAlignment="1">
      <alignment horizontal="right" vertical="top"/>
    </xf>
    <xf numFmtId="185" fontId="7" fillId="0" borderId="9" xfId="51" applyNumberFormat="1" applyFont="1" applyBorder="1" applyAlignment="1" applyProtection="1">
      <alignment horizontal="left" vertical="center"/>
      <protection locked="0"/>
    </xf>
    <xf numFmtId="185" fontId="9" fillId="0" borderId="9" xfId="51" applyNumberFormat="1" applyFont="1" applyBorder="1" applyAlignment="1" applyProtection="1">
      <alignment horizontal="right" vertical="center"/>
      <protection locked="0"/>
    </xf>
    <xf numFmtId="185" fontId="9" fillId="0" borderId="9" xfId="50" applyNumberFormat="1" applyFont="1" applyBorder="1" applyAlignment="1">
      <alignment horizontal="center" vertical="center"/>
    </xf>
    <xf numFmtId="185" fontId="9" fillId="0" borderId="9" xfId="50" applyNumberFormat="1" applyFont="1" applyBorder="1" applyAlignment="1">
      <alignment horizontal="right" vertical="center"/>
    </xf>
    <xf numFmtId="185" fontId="9" fillId="0" borderId="32" xfId="50" applyNumberFormat="1" applyFont="1" applyBorder="1" applyAlignment="1">
      <alignment horizontal="right" vertical="center"/>
    </xf>
    <xf numFmtId="185" fontId="9" fillId="9" borderId="14" xfId="0" applyNumberFormat="1" applyFont="1" applyFill="1" applyBorder="1" applyAlignment="1">
      <alignment horizontal="center" vertical="top"/>
    </xf>
    <xf numFmtId="185" fontId="9" fillId="0" borderId="9" xfId="0" applyNumberFormat="1" applyFont="1" applyBorder="1" applyAlignment="1">
      <alignment horizontal="right" vertical="top"/>
    </xf>
    <xf numFmtId="185" fontId="9" fillId="0" borderId="9" xfId="51" applyNumberFormat="1" applyFont="1" applyBorder="1" applyAlignment="1" applyProtection="1">
      <alignment horizontal="left" vertical="center"/>
      <protection locked="0"/>
    </xf>
    <xf numFmtId="185" fontId="9" fillId="0" borderId="9" xfId="50" applyNumberFormat="1" applyFont="1" applyBorder="1">
      <alignment vertical="center"/>
    </xf>
    <xf numFmtId="185" fontId="9" fillId="0" borderId="14" xfId="0" applyNumberFormat="1" applyFont="1" applyBorder="1" applyAlignment="1">
      <alignment horizontal="left" vertical="top"/>
    </xf>
    <xf numFmtId="185" fontId="0" fillId="0" borderId="1" xfId="50" applyNumberFormat="1" applyFont="1" applyBorder="1" applyAlignment="1">
      <alignment horizontal="center" vertical="center"/>
    </xf>
    <xf numFmtId="185" fontId="9" fillId="0" borderId="6" xfId="51" applyNumberFormat="1" applyFont="1" applyBorder="1" applyAlignment="1" applyProtection="1">
      <alignment horizontal="left" vertical="center"/>
      <protection locked="0"/>
    </xf>
    <xf numFmtId="185" fontId="9" fillId="0" borderId="6" xfId="51" applyNumberFormat="1" applyFont="1" applyBorder="1" applyAlignment="1" applyProtection="1">
      <alignment horizontal="right" vertical="center"/>
      <protection locked="0"/>
    </xf>
    <xf numFmtId="185" fontId="9" fillId="0" borderId="7" xfId="0" applyNumberFormat="1" applyFont="1" applyBorder="1" applyAlignment="1">
      <alignment horizontal="left" vertical="top"/>
    </xf>
    <xf numFmtId="185" fontId="9" fillId="0" borderId="6" xfId="0" applyNumberFormat="1" applyFont="1" applyBorder="1" applyAlignment="1">
      <alignment horizontal="right" vertical="top"/>
    </xf>
    <xf numFmtId="185" fontId="9" fillId="0" borderId="31" xfId="0" applyNumberFormat="1" applyFont="1" applyBorder="1" applyAlignment="1">
      <alignment horizontal="left" vertical="top"/>
    </xf>
    <xf numFmtId="185" fontId="9" fillId="0" borderId="6" xfId="50" applyNumberFormat="1" applyFont="1" applyBorder="1" applyAlignment="1">
      <alignment horizontal="center" vertical="center"/>
    </xf>
    <xf numFmtId="185" fontId="9" fillId="0" borderId="6" xfId="50" applyNumberFormat="1" applyFont="1" applyBorder="1" applyAlignment="1">
      <alignment horizontal="right" vertical="center"/>
    </xf>
    <xf numFmtId="185" fontId="9" fillId="0" borderId="2" xfId="50" applyNumberFormat="1" applyFont="1" applyBorder="1">
      <alignment vertical="center"/>
    </xf>
    <xf numFmtId="185" fontId="9" fillId="9" borderId="31" xfId="0" applyNumberFormat="1" applyFont="1" applyFill="1" applyBorder="1" applyAlignment="1">
      <alignment horizontal="center" vertical="top"/>
    </xf>
    <xf numFmtId="185" fontId="9" fillId="0" borderId="6" xfId="50" applyNumberFormat="1" applyFont="1" applyBorder="1">
      <alignment vertical="center"/>
    </xf>
    <xf numFmtId="185" fontId="9" fillId="0" borderId="31" xfId="0" applyNumberFormat="1" applyFont="1" applyBorder="1" applyAlignment="1">
      <alignment vertical="top"/>
    </xf>
    <xf numFmtId="185" fontId="9" fillId="0" borderId="14" xfId="0" applyNumberFormat="1" applyFont="1" applyBorder="1" applyAlignment="1">
      <alignment vertical="top"/>
    </xf>
    <xf numFmtId="185" fontId="9" fillId="0" borderId="7" xfId="0" applyNumberFormat="1" applyFont="1" applyBorder="1" applyAlignment="1">
      <alignment vertical="top"/>
    </xf>
    <xf numFmtId="0" fontId="2" fillId="0" borderId="3" xfId="50" applyFont="1" applyBorder="1" applyAlignment="1">
      <alignment horizontal="center" vertical="center"/>
    </xf>
    <xf numFmtId="178" fontId="16" fillId="0" borderId="1" xfId="50" applyNumberFormat="1" applyFont="1" applyBorder="1">
      <alignment vertical="center"/>
    </xf>
    <xf numFmtId="178" fontId="3" fillId="0" borderId="1" xfId="50" applyNumberFormat="1" applyBorder="1" applyAlignment="1">
      <alignment horizontal="right" vertical="center"/>
    </xf>
    <xf numFmtId="178" fontId="15" fillId="0" borderId="1" xfId="50" applyNumberFormat="1" applyFont="1" applyBorder="1" applyAlignment="1">
      <alignment horizontal="right" vertical="center"/>
    </xf>
    <xf numFmtId="178" fontId="3" fillId="0" borderId="1" xfId="50" applyNumberFormat="1" applyFont="1" applyBorder="1" applyAlignment="1">
      <alignment horizontal="right" vertical="center"/>
    </xf>
    <xf numFmtId="178" fontId="3" fillId="0" borderId="1" xfId="50" applyNumberFormat="1" applyFont="1" applyBorder="1" applyAlignment="1">
      <alignment horizontal="right" vertical="top"/>
    </xf>
    <xf numFmtId="178" fontId="3" fillId="0" borderId="1" xfId="50" applyNumberFormat="1" applyFont="1" applyBorder="1">
      <alignment vertical="center"/>
    </xf>
    <xf numFmtId="178" fontId="15" fillId="0" borderId="1" xfId="50" applyNumberFormat="1" applyFont="1" applyBorder="1">
      <alignment vertical="center"/>
    </xf>
    <xf numFmtId="178" fontId="3" fillId="0" borderId="1" xfId="50" applyNumberFormat="1" applyFont="1" applyBorder="1" applyAlignment="1">
      <alignment horizontal="right"/>
    </xf>
    <xf numFmtId="0" fontId="3" fillId="0" borderId="0" xfId="50" applyAlignment="1">
      <alignment vertical="center" wrapText="1"/>
    </xf>
    <xf numFmtId="0" fontId="2" fillId="0" borderId="0" xfId="50" applyFont="1" applyAlignment="1">
      <alignment horizontal="center" vertical="center" wrapText="1"/>
    </xf>
    <xf numFmtId="0" fontId="2" fillId="0" borderId="0" xfId="50" applyFont="1" applyAlignment="1">
      <alignment vertical="center" wrapText="1"/>
    </xf>
    <xf numFmtId="0" fontId="3" fillId="0" borderId="0" xfId="50" applyAlignment="1">
      <alignment horizontal="center" vertical="center" wrapText="1"/>
    </xf>
    <xf numFmtId="176" fontId="3" fillId="0" borderId="0" xfId="50" applyNumberForma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31" xfId="0" applyFont="1" applyFill="1" applyBorder="1" applyAlignment="1">
      <alignment horizontal="center" vertical="center"/>
    </xf>
    <xf numFmtId="0" fontId="38" fillId="4" borderId="33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0" fontId="38" fillId="4" borderId="30" xfId="0" applyFont="1" applyFill="1" applyBorder="1" applyAlignment="1">
      <alignment horizontal="center" vertical="center"/>
    </xf>
    <xf numFmtId="0" fontId="38" fillId="4" borderId="7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center" vertical="center"/>
    </xf>
    <xf numFmtId="0" fontId="38" fillId="4" borderId="8" xfId="0" applyFont="1" applyFill="1" applyBorder="1" applyAlignment="1">
      <alignment horizontal="center" vertical="center"/>
    </xf>
    <xf numFmtId="176" fontId="0" fillId="0" borderId="14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32" xfId="0" applyNumberFormat="1" applyBorder="1">
      <alignment vertical="center"/>
    </xf>
    <xf numFmtId="0" fontId="0" fillId="0" borderId="32" xfId="0" applyBorder="1">
      <alignment vertical="center"/>
    </xf>
    <xf numFmtId="176" fontId="0" fillId="0" borderId="7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8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0" fontId="38" fillId="0" borderId="0" xfId="0" applyFon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4" fillId="3" borderId="1" xfId="0" applyNumberFormat="1" applyFont="1" applyFill="1" applyBorder="1">
      <alignment vertical="center"/>
    </xf>
    <xf numFmtId="185" fontId="0" fillId="0" borderId="1" xfId="0" applyNumberFormat="1" applyBorder="1" applyAlignment="1">
      <alignment horizontal="center" vertical="center"/>
    </xf>
    <xf numFmtId="0" fontId="2" fillId="0" borderId="0" xfId="55" applyFont="1" applyAlignment="1">
      <alignment horizontal="center"/>
    </xf>
    <xf numFmtId="0" fontId="3" fillId="0" borderId="0" xfId="55" applyAlignment="1">
      <alignment horizontal="center"/>
    </xf>
    <xf numFmtId="0" fontId="3" fillId="0" borderId="0" xfId="55"/>
    <xf numFmtId="0" fontId="12" fillId="0" borderId="0" xfId="0" applyFont="1" applyAlignment="1"/>
    <xf numFmtId="0" fontId="12" fillId="0" borderId="0" xfId="0" applyFont="1" applyAlignment="1">
      <alignment vertical="top"/>
    </xf>
    <xf numFmtId="0" fontId="38" fillId="0" borderId="0" xfId="0" applyFont="1">
      <alignment vertical="center"/>
    </xf>
    <xf numFmtId="0" fontId="39" fillId="0" borderId="0" xfId="0" applyFont="1" applyAlignment="1"/>
    <xf numFmtId="0" fontId="38" fillId="0" borderId="0" xfId="0" applyFont="1" applyAlignment="1">
      <alignment horizontal="center" vertical="top" wrapText="1"/>
    </xf>
    <xf numFmtId="0" fontId="39" fillId="26" borderId="0" xfId="0" applyFont="1" applyFill="1" applyAlignment="1"/>
    <xf numFmtId="0" fontId="39" fillId="26" borderId="0" xfId="0" applyFont="1" applyFill="1" applyAlignment="1">
      <alignment vertical="top" wrapText="1"/>
    </xf>
    <xf numFmtId="0" fontId="36" fillId="0" borderId="0" xfId="0" applyFont="1" applyAlignme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40" fillId="0" borderId="0" xfId="6" applyFont="1">
      <alignment vertical="center"/>
    </xf>
    <xf numFmtId="0" fontId="38" fillId="6" borderId="0" xfId="0" applyFont="1" applyFill="1" applyAlignment="1">
      <alignment horizontal="left" vertical="top" wrapText="1"/>
    </xf>
    <xf numFmtId="0" fontId="2" fillId="0" borderId="1" xfId="50" applyFont="1" applyBorder="1" applyAlignment="1">
      <alignment horizontal="center"/>
    </xf>
    <xf numFmtId="0" fontId="3" fillId="2" borderId="1" xfId="50" applyFill="1" applyBorder="1" applyAlignment="1">
      <alignment horizontal="center"/>
    </xf>
    <xf numFmtId="0" fontId="3" fillId="0" borderId="0" xfId="55" applyAlignment="1" quotePrefix="1">
      <alignment horizont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2 2" xfId="51"/>
    <cellStyle name="常规 2 2 2" xfId="52"/>
    <cellStyle name="常规 2 2 3" xfId="53"/>
    <cellStyle name="常规 2 3" xfId="54"/>
    <cellStyle name="常规 2 4" xfId="55"/>
    <cellStyle name="常规 3" xfId="56"/>
    <cellStyle name="常规 3 2" xfId="57"/>
    <cellStyle name="常规 4" xfId="58"/>
    <cellStyle name="常规 4 2" xfId="59"/>
    <cellStyle name="常规 5" xfId="60"/>
    <cellStyle name="常规 5 2" xfId="61"/>
    <cellStyle name="常规 6" xfId="62"/>
    <cellStyle name="超链接 2" xfId="63"/>
    <cellStyle name="超链接 3" xfId="64"/>
  </cellStyles>
  <dxfs count="63"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eetMetadata" Target="metadata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.xml"/><Relationship Id="rId32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BPMCCS</a:t>
            </a:r>
            <a:r>
              <a:rPr lang="en-US" altLang="zh-CN" sz="1600" b="1" baseline="0"/>
              <a:t> retirement schedule</a:t>
            </a:r>
            <a:endParaRPr lang="zh-CN" alt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Extrapoliation!$A$163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Extrapoliation!$B$163:$AP$163</c:f>
              <c:numCache>
                <c:formatCode>0_ </c:formatCode>
                <c:ptCount val="41"/>
                <c:pt idx="0">
                  <c:v>4512</c:v>
                </c:pt>
                <c:pt idx="1">
                  <c:v>5442</c:v>
                </c:pt>
                <c:pt idx="2">
                  <c:v>6390</c:v>
                </c:pt>
                <c:pt idx="3">
                  <c:v>7314</c:v>
                </c:pt>
                <c:pt idx="4">
                  <c:v>8214</c:v>
                </c:pt>
                <c:pt idx="5">
                  <c:v>9138</c:v>
                </c:pt>
                <c:pt idx="6">
                  <c:v>10122</c:v>
                </c:pt>
                <c:pt idx="7">
                  <c:v>11214</c:v>
                </c:pt>
                <c:pt idx="8">
                  <c:v>12390</c:v>
                </c:pt>
                <c:pt idx="9">
                  <c:v>13632</c:v>
                </c:pt>
                <c:pt idx="10">
                  <c:v>14994</c:v>
                </c:pt>
                <c:pt idx="11">
                  <c:v>16494</c:v>
                </c:pt>
                <c:pt idx="12">
                  <c:v>18042</c:v>
                </c:pt>
                <c:pt idx="13">
                  <c:v>19656</c:v>
                </c:pt>
                <c:pt idx="14">
                  <c:v>21288</c:v>
                </c:pt>
                <c:pt idx="15">
                  <c:v>23064</c:v>
                </c:pt>
                <c:pt idx="16">
                  <c:v>24984</c:v>
                </c:pt>
                <c:pt idx="17">
                  <c:v>26934</c:v>
                </c:pt>
                <c:pt idx="18">
                  <c:v>28896</c:v>
                </c:pt>
                <c:pt idx="19">
                  <c:v>30810</c:v>
                </c:pt>
                <c:pt idx="20">
                  <c:v>32712</c:v>
                </c:pt>
                <c:pt idx="21">
                  <c:v>34560</c:v>
                </c:pt>
                <c:pt idx="22">
                  <c:v>36024</c:v>
                </c:pt>
                <c:pt idx="23">
                  <c:v>37176</c:v>
                </c:pt>
                <c:pt idx="24">
                  <c:v>38154</c:v>
                </c:pt>
                <c:pt idx="25">
                  <c:v>39096</c:v>
                </c:pt>
                <c:pt idx="26">
                  <c:v>40044</c:v>
                </c:pt>
                <c:pt idx="27">
                  <c:v>40920</c:v>
                </c:pt>
                <c:pt idx="28">
                  <c:v>41694</c:v>
                </c:pt>
                <c:pt idx="29">
                  <c:v>42384</c:v>
                </c:pt>
                <c:pt idx="30">
                  <c:v>42864</c:v>
                </c:pt>
                <c:pt idx="31">
                  <c:v>43032</c:v>
                </c:pt>
                <c:pt idx="32">
                  <c:v>43050</c:v>
                </c:pt>
                <c:pt idx="33">
                  <c:v>42828</c:v>
                </c:pt>
                <c:pt idx="34">
                  <c:v>42426</c:v>
                </c:pt>
                <c:pt idx="35">
                  <c:v>41898</c:v>
                </c:pt>
                <c:pt idx="36">
                  <c:v>40938</c:v>
                </c:pt>
                <c:pt idx="37">
                  <c:v>39744</c:v>
                </c:pt>
                <c:pt idx="38">
                  <c:v>38520</c:v>
                </c:pt>
                <c:pt idx="39">
                  <c:v>37008</c:v>
                </c:pt>
                <c:pt idx="40">
                  <c:v>35316</c:v>
                </c:pt>
              </c:numCache>
            </c:numRef>
          </c:val>
        </c:ser>
        <c:ser>
          <c:idx val="1"/>
          <c:order val="1"/>
          <c:tx>
            <c:strRef>
              <c:f>Extrapoliation!$A$164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Extrapoliation!$B$164:$AP$164</c:f>
              <c:numCache>
                <c:formatCode>0_ </c:formatCode>
                <c:ptCount val="41"/>
                <c:pt idx="0">
                  <c:v>0</c:v>
                </c:pt>
                <c:pt idx="1">
                  <c:v>275</c:v>
                </c:pt>
                <c:pt idx="2">
                  <c:v>190</c:v>
                </c:pt>
                <c:pt idx="3">
                  <c:v>230</c:v>
                </c:pt>
                <c:pt idx="4">
                  <c:v>275</c:v>
                </c:pt>
                <c:pt idx="5">
                  <c:v>325</c:v>
                </c:pt>
                <c:pt idx="6">
                  <c:v>385</c:v>
                </c:pt>
                <c:pt idx="7">
                  <c:v>465</c:v>
                </c:pt>
                <c:pt idx="8">
                  <c:v>545</c:v>
                </c:pt>
                <c:pt idx="9">
                  <c:v>630</c:v>
                </c:pt>
                <c:pt idx="10">
                  <c:v>720</c:v>
                </c:pt>
                <c:pt idx="11">
                  <c:v>800</c:v>
                </c:pt>
                <c:pt idx="12">
                  <c:v>870</c:v>
                </c:pt>
                <c:pt idx="13">
                  <c:v>930</c:v>
                </c:pt>
                <c:pt idx="14">
                  <c:v>990</c:v>
                </c:pt>
                <c:pt idx="15">
                  <c:v>1060</c:v>
                </c:pt>
                <c:pt idx="16">
                  <c:v>1125</c:v>
                </c:pt>
                <c:pt idx="17">
                  <c:v>1195</c:v>
                </c:pt>
                <c:pt idx="18">
                  <c:v>1270</c:v>
                </c:pt>
                <c:pt idx="19">
                  <c:v>1355</c:v>
                </c:pt>
                <c:pt idx="20">
                  <c:v>1450</c:v>
                </c:pt>
                <c:pt idx="21">
                  <c:v>1545</c:v>
                </c:pt>
                <c:pt idx="22">
                  <c:v>1625</c:v>
                </c:pt>
                <c:pt idx="23">
                  <c:v>1710</c:v>
                </c:pt>
                <c:pt idx="24">
                  <c:v>1790</c:v>
                </c:pt>
                <c:pt idx="25">
                  <c:v>1865</c:v>
                </c:pt>
                <c:pt idx="26">
                  <c:v>1915</c:v>
                </c:pt>
                <c:pt idx="27">
                  <c:v>1965</c:v>
                </c:pt>
                <c:pt idx="28">
                  <c:v>2035</c:v>
                </c:pt>
                <c:pt idx="29">
                  <c:v>2095</c:v>
                </c:pt>
                <c:pt idx="30">
                  <c:v>2115</c:v>
                </c:pt>
                <c:pt idx="31">
                  <c:v>2100</c:v>
                </c:pt>
                <c:pt idx="32">
                  <c:v>2080</c:v>
                </c:pt>
                <c:pt idx="33">
                  <c:v>2060</c:v>
                </c:pt>
                <c:pt idx="34">
                  <c:v>2015</c:v>
                </c:pt>
                <c:pt idx="35">
                  <c:v>1980</c:v>
                </c:pt>
                <c:pt idx="36">
                  <c:v>1930</c:v>
                </c:pt>
                <c:pt idx="37">
                  <c:v>1870</c:v>
                </c:pt>
                <c:pt idx="38">
                  <c:v>1810</c:v>
                </c:pt>
                <c:pt idx="39">
                  <c:v>1725</c:v>
                </c:pt>
                <c:pt idx="40">
                  <c:v>1625</c:v>
                </c:pt>
              </c:numCache>
            </c:numRef>
          </c:val>
        </c:ser>
        <c:ser>
          <c:idx val="2"/>
          <c:order val="2"/>
          <c:tx>
            <c:strRef>
              <c:f>Extrapoliation!$A$165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Extrapoliation!$B$165:$AP$165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Extrapoliation!$A$166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Extrapoliation!$B$166:$AP$166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Extrapoliation!$A$167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Extrapoliation!$B$167:$AP$167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27038</c:v>
                </c:pt>
                <c:pt idx="25">
                  <c:v>23498</c:v>
                </c:pt>
                <c:pt idx="26">
                  <c:v>19140</c:v>
                </c:pt>
                <c:pt idx="27">
                  <c:v>13894</c:v>
                </c:pt>
                <c:pt idx="28">
                  <c:v>1.73194444441469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Extrapoliation!$A$168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Extrapoliation!$B$168:$AP$168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27233</c:v>
                </c:pt>
                <c:pt idx="24">
                  <c:v>21177</c:v>
                </c:pt>
                <c:pt idx="25">
                  <c:v>15057</c:v>
                </c:pt>
                <c:pt idx="26">
                  <c:v>9718</c:v>
                </c:pt>
                <c:pt idx="27">
                  <c:v>6242</c:v>
                </c:pt>
                <c:pt idx="28">
                  <c:v>0.700000000011642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Extrapoliation!$A$169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Extrapoliation!$B$169:$AP$169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Extrapoliation!$A$170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Extrapoliation!$B$170:$AP$170</c:f>
              <c:numCache>
                <c:formatCode>0_ </c:formatCode>
                <c:ptCount val="41"/>
                <c:pt idx="0">
                  <c:v>0</c:v>
                </c:pt>
                <c:pt idx="1">
                  <c:v>114</c:v>
                </c:pt>
                <c:pt idx="2">
                  <c:v>72</c:v>
                </c:pt>
                <c:pt idx="3">
                  <c:v>78</c:v>
                </c:pt>
                <c:pt idx="4">
                  <c:v>90</c:v>
                </c:pt>
                <c:pt idx="5">
                  <c:v>102</c:v>
                </c:pt>
                <c:pt idx="6">
                  <c:v>114</c:v>
                </c:pt>
                <c:pt idx="7">
                  <c:v>126</c:v>
                </c:pt>
                <c:pt idx="8">
                  <c:v>144</c:v>
                </c:pt>
                <c:pt idx="9">
                  <c:v>162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282</c:v>
                </c:pt>
                <c:pt idx="17">
                  <c:v>300</c:v>
                </c:pt>
                <c:pt idx="18">
                  <c:v>306</c:v>
                </c:pt>
                <c:pt idx="19">
                  <c:v>324</c:v>
                </c:pt>
                <c:pt idx="20">
                  <c:v>336</c:v>
                </c:pt>
                <c:pt idx="21">
                  <c:v>354</c:v>
                </c:pt>
                <c:pt idx="22">
                  <c:v>360</c:v>
                </c:pt>
                <c:pt idx="23">
                  <c:v>378</c:v>
                </c:pt>
                <c:pt idx="24">
                  <c:v>396</c:v>
                </c:pt>
                <c:pt idx="25">
                  <c:v>402</c:v>
                </c:pt>
                <c:pt idx="26">
                  <c:v>414</c:v>
                </c:pt>
                <c:pt idx="27">
                  <c:v>420</c:v>
                </c:pt>
                <c:pt idx="28">
                  <c:v>426</c:v>
                </c:pt>
                <c:pt idx="29">
                  <c:v>432</c:v>
                </c:pt>
                <c:pt idx="30">
                  <c:v>432</c:v>
                </c:pt>
                <c:pt idx="31">
                  <c:v>432</c:v>
                </c:pt>
                <c:pt idx="32">
                  <c:v>420</c:v>
                </c:pt>
                <c:pt idx="33">
                  <c:v>420</c:v>
                </c:pt>
                <c:pt idx="34">
                  <c:v>414</c:v>
                </c:pt>
                <c:pt idx="35">
                  <c:v>408</c:v>
                </c:pt>
                <c:pt idx="36">
                  <c:v>390</c:v>
                </c:pt>
                <c:pt idx="37">
                  <c:v>360</c:v>
                </c:pt>
                <c:pt idx="38">
                  <c:v>342</c:v>
                </c:pt>
                <c:pt idx="39">
                  <c:v>324</c:v>
                </c:pt>
                <c:pt idx="40">
                  <c:v>306</c:v>
                </c:pt>
              </c:numCache>
            </c:numRef>
          </c:val>
        </c:ser>
        <c:ser>
          <c:idx val="8"/>
          <c:order val="8"/>
          <c:tx>
            <c:strRef>
              <c:f>Extrapoliation!$A$171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Extrapoliation!$B$171:$AP$171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Extrapoliation!$A$172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Extrapoliation!$B$172:$AP$172</c:f>
              <c:numCache>
                <c:formatCode>0_ 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10</c:v>
                </c:pt>
                <c:pt idx="14">
                  <c:v>15</c:v>
                </c:pt>
                <c:pt idx="15">
                  <c:v>10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15</c:v>
                </c:pt>
                <c:pt idx="21">
                  <c:v>10</c:v>
                </c:pt>
                <c:pt idx="22">
                  <c:v>10</c:v>
                </c:pt>
                <c:pt idx="23">
                  <c:v>15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5</c:v>
                </c:pt>
                <c:pt idx="28">
                  <c:v>10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Extrapoliation!$A$173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Extrapoliation!$B$173:$AP$173</c:f>
              <c:numCache>
                <c:formatCode>0_ </c:formatCode>
                <c:ptCount val="41"/>
                <c:pt idx="0">
                  <c:v>0</c:v>
                </c:pt>
                <c:pt idx="1">
                  <c:v>117.8</c:v>
                </c:pt>
                <c:pt idx="2">
                  <c:v>81.7</c:v>
                </c:pt>
                <c:pt idx="3">
                  <c:v>99.75</c:v>
                </c:pt>
                <c:pt idx="4">
                  <c:v>117.8</c:v>
                </c:pt>
                <c:pt idx="5">
                  <c:v>142.5</c:v>
                </c:pt>
                <c:pt idx="6">
                  <c:v>174.8</c:v>
                </c:pt>
                <c:pt idx="7">
                  <c:v>215.65</c:v>
                </c:pt>
                <c:pt idx="8">
                  <c:v>265.05</c:v>
                </c:pt>
                <c:pt idx="9">
                  <c:v>323</c:v>
                </c:pt>
                <c:pt idx="10">
                  <c:v>394.25</c:v>
                </c:pt>
                <c:pt idx="11">
                  <c:v>475.95</c:v>
                </c:pt>
                <c:pt idx="12">
                  <c:v>575.7</c:v>
                </c:pt>
                <c:pt idx="13">
                  <c:v>697.3</c:v>
                </c:pt>
                <c:pt idx="14">
                  <c:v>843.6</c:v>
                </c:pt>
                <c:pt idx="15">
                  <c:v>1020.3</c:v>
                </c:pt>
                <c:pt idx="16">
                  <c:v>1240.7</c:v>
                </c:pt>
                <c:pt idx="17">
                  <c:v>1483.9</c:v>
                </c:pt>
                <c:pt idx="18">
                  <c:v>1732.8</c:v>
                </c:pt>
                <c:pt idx="19">
                  <c:v>1976</c:v>
                </c:pt>
                <c:pt idx="20">
                  <c:v>2223.95</c:v>
                </c:pt>
                <c:pt idx="21">
                  <c:v>2446.25</c:v>
                </c:pt>
                <c:pt idx="22">
                  <c:v>2636.25</c:v>
                </c:pt>
                <c:pt idx="23">
                  <c:v>2801.55</c:v>
                </c:pt>
                <c:pt idx="24">
                  <c:v>2966.85</c:v>
                </c:pt>
                <c:pt idx="25">
                  <c:v>3153.05</c:v>
                </c:pt>
                <c:pt idx="26">
                  <c:v>3353.5</c:v>
                </c:pt>
                <c:pt idx="27">
                  <c:v>3560.6</c:v>
                </c:pt>
                <c:pt idx="28">
                  <c:v>3784.8</c:v>
                </c:pt>
                <c:pt idx="29">
                  <c:v>4026.1</c:v>
                </c:pt>
                <c:pt idx="30">
                  <c:v>4286.4</c:v>
                </c:pt>
                <c:pt idx="31">
                  <c:v>4557.15</c:v>
                </c:pt>
                <c:pt idx="32">
                  <c:v>4788</c:v>
                </c:pt>
                <c:pt idx="33">
                  <c:v>5002.7</c:v>
                </c:pt>
                <c:pt idx="34">
                  <c:v>5251.6</c:v>
                </c:pt>
                <c:pt idx="35">
                  <c:v>5506.2</c:v>
                </c:pt>
                <c:pt idx="36">
                  <c:v>5706.65</c:v>
                </c:pt>
                <c:pt idx="37">
                  <c:v>5847.25</c:v>
                </c:pt>
                <c:pt idx="38">
                  <c:v>5965.05</c:v>
                </c:pt>
                <c:pt idx="39">
                  <c:v>6099.95</c:v>
                </c:pt>
                <c:pt idx="40">
                  <c:v>6169.3</c:v>
                </c:pt>
              </c:numCache>
            </c:numRef>
          </c:val>
        </c:ser>
        <c:ser>
          <c:idx val="11"/>
          <c:order val="11"/>
          <c:tx>
            <c:strRef>
              <c:f>Extrapoliation!$A$174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Extrapoliation!$B$174:$AP$174</c:f>
              <c:numCache>
                <c:formatCode>0_ </c:formatCode>
                <c:ptCount val="41"/>
                <c:pt idx="0">
                  <c:v>0</c:v>
                </c:pt>
                <c:pt idx="1">
                  <c:v>1055</c:v>
                </c:pt>
                <c:pt idx="2">
                  <c:v>595</c:v>
                </c:pt>
                <c:pt idx="3">
                  <c:v>640</c:v>
                </c:pt>
                <c:pt idx="4">
                  <c:v>685</c:v>
                </c:pt>
                <c:pt idx="5">
                  <c:v>740</c:v>
                </c:pt>
                <c:pt idx="6">
                  <c:v>785</c:v>
                </c:pt>
                <c:pt idx="7">
                  <c:v>825</c:v>
                </c:pt>
                <c:pt idx="8">
                  <c:v>850</c:v>
                </c:pt>
                <c:pt idx="9">
                  <c:v>885</c:v>
                </c:pt>
                <c:pt idx="10">
                  <c:v>905</c:v>
                </c:pt>
                <c:pt idx="11">
                  <c:v>930</c:v>
                </c:pt>
                <c:pt idx="12">
                  <c:v>960</c:v>
                </c:pt>
                <c:pt idx="13">
                  <c:v>990</c:v>
                </c:pt>
                <c:pt idx="14">
                  <c:v>1010</c:v>
                </c:pt>
                <c:pt idx="15">
                  <c:v>1025</c:v>
                </c:pt>
                <c:pt idx="16">
                  <c:v>1035</c:v>
                </c:pt>
                <c:pt idx="17">
                  <c:v>1030</c:v>
                </c:pt>
                <c:pt idx="18">
                  <c:v>1025</c:v>
                </c:pt>
                <c:pt idx="19">
                  <c:v>1025</c:v>
                </c:pt>
                <c:pt idx="20">
                  <c:v>1015</c:v>
                </c:pt>
                <c:pt idx="21">
                  <c:v>1000</c:v>
                </c:pt>
                <c:pt idx="22">
                  <c:v>980</c:v>
                </c:pt>
                <c:pt idx="23">
                  <c:v>960</c:v>
                </c:pt>
                <c:pt idx="24">
                  <c:v>925</c:v>
                </c:pt>
                <c:pt idx="25">
                  <c:v>880</c:v>
                </c:pt>
                <c:pt idx="26">
                  <c:v>835</c:v>
                </c:pt>
                <c:pt idx="27">
                  <c:v>785</c:v>
                </c:pt>
                <c:pt idx="28">
                  <c:v>730</c:v>
                </c:pt>
                <c:pt idx="29">
                  <c:v>685</c:v>
                </c:pt>
                <c:pt idx="30">
                  <c:v>635</c:v>
                </c:pt>
                <c:pt idx="31">
                  <c:v>595</c:v>
                </c:pt>
                <c:pt idx="32">
                  <c:v>555</c:v>
                </c:pt>
                <c:pt idx="33">
                  <c:v>515</c:v>
                </c:pt>
                <c:pt idx="34">
                  <c:v>480</c:v>
                </c:pt>
                <c:pt idx="35">
                  <c:v>440</c:v>
                </c:pt>
                <c:pt idx="36">
                  <c:v>410</c:v>
                </c:pt>
                <c:pt idx="37">
                  <c:v>380</c:v>
                </c:pt>
                <c:pt idx="38">
                  <c:v>345</c:v>
                </c:pt>
                <c:pt idx="39">
                  <c:v>315</c:v>
                </c:pt>
                <c:pt idx="40">
                  <c:v>285</c:v>
                </c:pt>
              </c:numCache>
            </c:numRef>
          </c:val>
        </c:ser>
        <c:ser>
          <c:idx val="12"/>
          <c:order val="12"/>
          <c:tx>
            <c:strRef>
              <c:f>Extrapoliation!$A$175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Extrapoliation!$B$175:$AP$175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Extrapoliation!$A$176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Extrapoliation!$B$176:$AP$176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Extrapoliation!$A$177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Extrapoliation!$B$177:$AP$177</c:f>
              <c:numCache>
                <c:formatCode>0_ </c:formatCode>
                <c:ptCount val="41"/>
                <c:pt idx="0">
                  <c:v>0</c:v>
                </c:pt>
                <c:pt idx="1">
                  <c:v>40</c:v>
                </c:pt>
                <c:pt idx="2">
                  <c:v>25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35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40</c:v>
                </c:pt>
                <c:pt idx="12">
                  <c:v>40</c:v>
                </c:pt>
                <c:pt idx="13">
                  <c:v>35</c:v>
                </c:pt>
                <c:pt idx="14">
                  <c:v>40</c:v>
                </c:pt>
                <c:pt idx="15">
                  <c:v>40</c:v>
                </c:pt>
                <c:pt idx="16">
                  <c:v>45</c:v>
                </c:pt>
                <c:pt idx="17">
                  <c:v>40</c:v>
                </c:pt>
                <c:pt idx="18">
                  <c:v>40</c:v>
                </c:pt>
                <c:pt idx="19">
                  <c:v>35</c:v>
                </c:pt>
                <c:pt idx="20">
                  <c:v>40</c:v>
                </c:pt>
                <c:pt idx="21">
                  <c:v>40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30</c:v>
                </c:pt>
                <c:pt idx="26">
                  <c:v>30</c:v>
                </c:pt>
                <c:pt idx="27">
                  <c:v>25</c:v>
                </c:pt>
                <c:pt idx="28">
                  <c:v>25</c:v>
                </c:pt>
                <c:pt idx="29">
                  <c:v>20</c:v>
                </c:pt>
                <c:pt idx="30">
                  <c:v>20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10</c:v>
                </c:pt>
                <c:pt idx="35">
                  <c:v>5</c:v>
                </c:pt>
                <c:pt idx="36">
                  <c:v>10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Extrapoliation!$A$178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Extrapoliation!$B$178:$AP$178</c:f>
              <c:numCache>
                <c:formatCode>0_ </c:formatCode>
                <c:ptCount val="41"/>
                <c:pt idx="0">
                  <c:v>0</c:v>
                </c:pt>
                <c:pt idx="1">
                  <c:v>108</c:v>
                </c:pt>
                <c:pt idx="2">
                  <c:v>66</c:v>
                </c:pt>
                <c:pt idx="3">
                  <c:v>78</c:v>
                </c:pt>
                <c:pt idx="4">
                  <c:v>84</c:v>
                </c:pt>
                <c:pt idx="5">
                  <c:v>96</c:v>
                </c:pt>
                <c:pt idx="6">
                  <c:v>108</c:v>
                </c:pt>
                <c:pt idx="7">
                  <c:v>126</c:v>
                </c:pt>
                <c:pt idx="8">
                  <c:v>138</c:v>
                </c:pt>
                <c:pt idx="9">
                  <c:v>156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288</c:v>
                </c:pt>
                <c:pt idx="17">
                  <c:v>306</c:v>
                </c:pt>
                <c:pt idx="18">
                  <c:v>318</c:v>
                </c:pt>
                <c:pt idx="19">
                  <c:v>324</c:v>
                </c:pt>
                <c:pt idx="20">
                  <c:v>342</c:v>
                </c:pt>
                <c:pt idx="21">
                  <c:v>360</c:v>
                </c:pt>
                <c:pt idx="22">
                  <c:v>372</c:v>
                </c:pt>
                <c:pt idx="23">
                  <c:v>390</c:v>
                </c:pt>
                <c:pt idx="24">
                  <c:v>402</c:v>
                </c:pt>
                <c:pt idx="25">
                  <c:v>414</c:v>
                </c:pt>
                <c:pt idx="26">
                  <c:v>432</c:v>
                </c:pt>
                <c:pt idx="27">
                  <c:v>438</c:v>
                </c:pt>
                <c:pt idx="28">
                  <c:v>444</c:v>
                </c:pt>
                <c:pt idx="29">
                  <c:v>450</c:v>
                </c:pt>
                <c:pt idx="30">
                  <c:v>456</c:v>
                </c:pt>
                <c:pt idx="31">
                  <c:v>450</c:v>
                </c:pt>
                <c:pt idx="32">
                  <c:v>450</c:v>
                </c:pt>
                <c:pt idx="33">
                  <c:v>438</c:v>
                </c:pt>
                <c:pt idx="34">
                  <c:v>444</c:v>
                </c:pt>
                <c:pt idx="35">
                  <c:v>438</c:v>
                </c:pt>
                <c:pt idx="36">
                  <c:v>414</c:v>
                </c:pt>
                <c:pt idx="37">
                  <c:v>390</c:v>
                </c:pt>
                <c:pt idx="38">
                  <c:v>366</c:v>
                </c:pt>
                <c:pt idx="39">
                  <c:v>348</c:v>
                </c:pt>
                <c:pt idx="40">
                  <c:v>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95085c3-0bd2-49b5-8f73-c0dadf676529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PMCCS retirement schedule</a:t>
            </a:r>
            <a:endParaRPr lang="en-US" alt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Extrapoliation!$A$259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Extrapoliation!$B$259:$AP$259</c:f>
              <c:numCache>
                <c:formatCode>0_ </c:formatCode>
                <c:ptCount val="41"/>
                <c:pt idx="0">
                  <c:v>14693</c:v>
                </c:pt>
                <c:pt idx="1">
                  <c:v>4993</c:v>
                </c:pt>
                <c:pt idx="2">
                  <c:v>7040</c:v>
                </c:pt>
                <c:pt idx="3">
                  <c:v>7270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4044</c:v>
                </c:pt>
                <c:pt idx="12">
                  <c:v>13236</c:v>
                </c:pt>
                <c:pt idx="13">
                  <c:v>25302</c:v>
                </c:pt>
                <c:pt idx="14">
                  <c:v>43842</c:v>
                </c:pt>
                <c:pt idx="15">
                  <c:v>61668</c:v>
                </c:pt>
                <c:pt idx="16">
                  <c:v>71814</c:v>
                </c:pt>
                <c:pt idx="17">
                  <c:v>77118</c:v>
                </c:pt>
                <c:pt idx="18">
                  <c:v>78018</c:v>
                </c:pt>
                <c:pt idx="19">
                  <c:v>72906</c:v>
                </c:pt>
                <c:pt idx="20">
                  <c:v>66450</c:v>
                </c:pt>
                <c:pt idx="21">
                  <c:v>61146</c:v>
                </c:pt>
                <c:pt idx="22">
                  <c:v>55704</c:v>
                </c:pt>
                <c:pt idx="23">
                  <c:v>55656</c:v>
                </c:pt>
                <c:pt idx="24">
                  <c:v>52278</c:v>
                </c:pt>
                <c:pt idx="25">
                  <c:v>49920</c:v>
                </c:pt>
                <c:pt idx="26">
                  <c:v>49164</c:v>
                </c:pt>
                <c:pt idx="27">
                  <c:v>48318</c:v>
                </c:pt>
                <c:pt idx="28">
                  <c:v>43116</c:v>
                </c:pt>
                <c:pt idx="29">
                  <c:v>38688</c:v>
                </c:pt>
                <c:pt idx="30">
                  <c:v>35322</c:v>
                </c:pt>
                <c:pt idx="31">
                  <c:v>36810</c:v>
                </c:pt>
                <c:pt idx="32">
                  <c:v>37506</c:v>
                </c:pt>
                <c:pt idx="33">
                  <c:v>45600</c:v>
                </c:pt>
                <c:pt idx="34">
                  <c:v>46644</c:v>
                </c:pt>
                <c:pt idx="35">
                  <c:v>43812</c:v>
                </c:pt>
                <c:pt idx="36">
                  <c:v>36738</c:v>
                </c:pt>
                <c:pt idx="37">
                  <c:v>30402</c:v>
                </c:pt>
                <c:pt idx="38">
                  <c:v>14580</c:v>
                </c:pt>
                <c:pt idx="39">
                  <c:v>9900</c:v>
                </c:pt>
                <c:pt idx="40">
                  <c:v>8508</c:v>
                </c:pt>
              </c:numCache>
            </c:numRef>
          </c:val>
        </c:ser>
        <c:ser>
          <c:idx val="1"/>
          <c:order val="1"/>
          <c:tx>
            <c:strRef>
              <c:f>Extrapoliation!$A$260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Extrapoliation!$B$260:$AP$260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</c:v>
                </c:pt>
                <c:pt idx="14">
                  <c:v>65</c:v>
                </c:pt>
                <c:pt idx="15">
                  <c:v>120</c:v>
                </c:pt>
                <c:pt idx="16">
                  <c:v>175</c:v>
                </c:pt>
                <c:pt idx="17">
                  <c:v>175</c:v>
                </c:pt>
                <c:pt idx="18">
                  <c:v>575</c:v>
                </c:pt>
                <c:pt idx="19">
                  <c:v>1155</c:v>
                </c:pt>
                <c:pt idx="20">
                  <c:v>1665</c:v>
                </c:pt>
                <c:pt idx="21">
                  <c:v>1810</c:v>
                </c:pt>
                <c:pt idx="22">
                  <c:v>2330</c:v>
                </c:pt>
                <c:pt idx="23">
                  <c:v>2325</c:v>
                </c:pt>
                <c:pt idx="24">
                  <c:v>2030</c:v>
                </c:pt>
                <c:pt idx="25">
                  <c:v>1905</c:v>
                </c:pt>
                <c:pt idx="26">
                  <c:v>2700</c:v>
                </c:pt>
                <c:pt idx="27">
                  <c:v>4005</c:v>
                </c:pt>
                <c:pt idx="28">
                  <c:v>5310</c:v>
                </c:pt>
                <c:pt idx="29">
                  <c:v>6020</c:v>
                </c:pt>
                <c:pt idx="30">
                  <c:v>6530</c:v>
                </c:pt>
                <c:pt idx="31">
                  <c:v>6940</c:v>
                </c:pt>
                <c:pt idx="32">
                  <c:v>6090</c:v>
                </c:pt>
                <c:pt idx="33">
                  <c:v>4380</c:v>
                </c:pt>
                <c:pt idx="34">
                  <c:v>3335</c:v>
                </c:pt>
                <c:pt idx="35">
                  <c:v>2375</c:v>
                </c:pt>
                <c:pt idx="36">
                  <c:v>980</c:v>
                </c:pt>
                <c:pt idx="37">
                  <c:v>0.444000000024971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2"/>
          <c:order val="2"/>
          <c:tx>
            <c:strRef>
              <c:f>Extrapoliation!$A$261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Extrapoliation!$B$261:$AP$261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Extrapoliation!$A$262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Extrapoliation!$B$262:$AP$262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Extrapoliation!$A$263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Extrapoliation!$B$263:$AP$263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33102</c:v>
                </c:pt>
                <c:pt idx="25">
                  <c:v>35936</c:v>
                </c:pt>
                <c:pt idx="26">
                  <c:v>45394</c:v>
                </c:pt>
                <c:pt idx="27">
                  <c:v>40146</c:v>
                </c:pt>
                <c:pt idx="28">
                  <c:v>26252</c:v>
                </c:pt>
                <c:pt idx="29">
                  <c:v>20188</c:v>
                </c:pt>
                <c:pt idx="30">
                  <c:v>13812</c:v>
                </c:pt>
                <c:pt idx="31">
                  <c:v>0.931944444426335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Extrapoliation!$A$264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Extrapoliation!$B$264:$AP$264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27213</c:v>
                </c:pt>
                <c:pt idx="24">
                  <c:v>26267</c:v>
                </c:pt>
                <c:pt idx="25">
                  <c:v>27307</c:v>
                </c:pt>
                <c:pt idx="26">
                  <c:v>45978</c:v>
                </c:pt>
                <c:pt idx="27">
                  <c:v>42502</c:v>
                </c:pt>
                <c:pt idx="28">
                  <c:v>36281</c:v>
                </c:pt>
                <c:pt idx="29">
                  <c:v>31170</c:v>
                </c:pt>
                <c:pt idx="30">
                  <c:v>24012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Extrapoliation!$A$265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Extrapoliation!$B$265:$AP$265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50</c:v>
                </c:pt>
                <c:pt idx="27">
                  <c:v>500</c:v>
                </c:pt>
                <c:pt idx="28">
                  <c:v>900</c:v>
                </c:pt>
                <c:pt idx="29">
                  <c:v>950</c:v>
                </c:pt>
                <c:pt idx="30">
                  <c:v>850</c:v>
                </c:pt>
                <c:pt idx="31">
                  <c:v>900</c:v>
                </c:pt>
                <c:pt idx="32">
                  <c:v>450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Extrapoliation!$A$266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Extrapoliation!$B$266:$AP$266</c:f>
              <c:numCache>
                <c:formatCode>0_ </c:formatCode>
                <c:ptCount val="41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24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126</c:v>
                </c:pt>
                <c:pt idx="10">
                  <c:v>222</c:v>
                </c:pt>
                <c:pt idx="11">
                  <c:v>318</c:v>
                </c:pt>
                <c:pt idx="12">
                  <c:v>420</c:v>
                </c:pt>
                <c:pt idx="13">
                  <c:v>516</c:v>
                </c:pt>
                <c:pt idx="14">
                  <c:v>516</c:v>
                </c:pt>
                <c:pt idx="15">
                  <c:v>510</c:v>
                </c:pt>
                <c:pt idx="16">
                  <c:v>516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534</c:v>
                </c:pt>
                <c:pt idx="22">
                  <c:v>630</c:v>
                </c:pt>
                <c:pt idx="23">
                  <c:v>642</c:v>
                </c:pt>
                <c:pt idx="24">
                  <c:v>636</c:v>
                </c:pt>
                <c:pt idx="25">
                  <c:v>636</c:v>
                </c:pt>
                <c:pt idx="26">
                  <c:v>720</c:v>
                </c:pt>
                <c:pt idx="27">
                  <c:v>810</c:v>
                </c:pt>
                <c:pt idx="28">
                  <c:v>1164</c:v>
                </c:pt>
                <c:pt idx="29">
                  <c:v>1488</c:v>
                </c:pt>
                <c:pt idx="30">
                  <c:v>1548</c:v>
                </c:pt>
                <c:pt idx="31">
                  <c:v>1596</c:v>
                </c:pt>
                <c:pt idx="32">
                  <c:v>1362</c:v>
                </c:pt>
                <c:pt idx="33">
                  <c:v>912</c:v>
                </c:pt>
                <c:pt idx="34">
                  <c:v>456</c:v>
                </c:pt>
                <c:pt idx="35">
                  <c:v>234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8"/>
          <c:order val="8"/>
          <c:tx>
            <c:strRef>
              <c:f>Extrapoliation!$A$267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Extrapoliation!$B$267:$AP$267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Extrapoliation!$A$268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Extrapoliation!$B$268:$AP$268</c:f>
              <c:numCache>
                <c:formatCode>0_ </c:formatCode>
                <c:ptCount val="4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5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10</c:v>
                </c:pt>
                <c:pt idx="21">
                  <c:v>5</c:v>
                </c:pt>
                <c:pt idx="22">
                  <c:v>0</c:v>
                </c:pt>
                <c:pt idx="23">
                  <c:v>5</c:v>
                </c:pt>
                <c:pt idx="24">
                  <c:v>4.08569436521498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Extrapoliation!$A$269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Extrapoliation!$B$269:$AP$269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5.7</c:v>
                </c:pt>
                <c:pt idx="14">
                  <c:v>28.5</c:v>
                </c:pt>
                <c:pt idx="15">
                  <c:v>51.3</c:v>
                </c:pt>
                <c:pt idx="16">
                  <c:v>75.05</c:v>
                </c:pt>
                <c:pt idx="17">
                  <c:v>76</c:v>
                </c:pt>
                <c:pt idx="18">
                  <c:v>246.05</c:v>
                </c:pt>
                <c:pt idx="19">
                  <c:v>494</c:v>
                </c:pt>
                <c:pt idx="20">
                  <c:v>715.35</c:v>
                </c:pt>
                <c:pt idx="21">
                  <c:v>775.2</c:v>
                </c:pt>
                <c:pt idx="22">
                  <c:v>998.45</c:v>
                </c:pt>
                <c:pt idx="23">
                  <c:v>995.6</c:v>
                </c:pt>
                <c:pt idx="24">
                  <c:v>870.2</c:v>
                </c:pt>
                <c:pt idx="25">
                  <c:v>817</c:v>
                </c:pt>
                <c:pt idx="26">
                  <c:v>1157.1</c:v>
                </c:pt>
                <c:pt idx="27">
                  <c:v>1716.65</c:v>
                </c:pt>
                <c:pt idx="28">
                  <c:v>2274.3</c:v>
                </c:pt>
                <c:pt idx="29">
                  <c:v>2581.15</c:v>
                </c:pt>
                <c:pt idx="30">
                  <c:v>2799.65</c:v>
                </c:pt>
                <c:pt idx="31">
                  <c:v>2972.55</c:v>
                </c:pt>
                <c:pt idx="32">
                  <c:v>2611.55</c:v>
                </c:pt>
                <c:pt idx="33">
                  <c:v>3521.65</c:v>
                </c:pt>
                <c:pt idx="34">
                  <c:v>4326.3</c:v>
                </c:pt>
                <c:pt idx="35">
                  <c:v>6156</c:v>
                </c:pt>
                <c:pt idx="36">
                  <c:v>7805.2</c:v>
                </c:pt>
                <c:pt idx="37">
                  <c:v>12377.55</c:v>
                </c:pt>
                <c:pt idx="38">
                  <c:v>14821.9</c:v>
                </c:pt>
                <c:pt idx="39">
                  <c:v>16961.3</c:v>
                </c:pt>
                <c:pt idx="40">
                  <c:v>18882.2</c:v>
                </c:pt>
              </c:numCache>
            </c:numRef>
          </c:val>
        </c:ser>
        <c:ser>
          <c:idx val="11"/>
          <c:order val="11"/>
          <c:tx>
            <c:strRef>
              <c:f>Extrapoliation!$A$270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Extrapoliation!$B$270:$AP$270</c:f>
              <c:numCache>
                <c:formatCode>0_ </c:formatCode>
                <c:ptCount val="41"/>
                <c:pt idx="0">
                  <c:v>0</c:v>
                </c:pt>
                <c:pt idx="1">
                  <c:v>2635</c:v>
                </c:pt>
                <c:pt idx="2">
                  <c:v>1880</c:v>
                </c:pt>
                <c:pt idx="3">
                  <c:v>1880</c:v>
                </c:pt>
                <c:pt idx="4">
                  <c:v>1885</c:v>
                </c:pt>
                <c:pt idx="5">
                  <c:v>1880</c:v>
                </c:pt>
                <c:pt idx="6">
                  <c:v>1885</c:v>
                </c:pt>
                <c:pt idx="7">
                  <c:v>1880</c:v>
                </c:pt>
                <c:pt idx="8">
                  <c:v>1885</c:v>
                </c:pt>
                <c:pt idx="9">
                  <c:v>1635</c:v>
                </c:pt>
                <c:pt idx="10">
                  <c:v>1390</c:v>
                </c:pt>
                <c:pt idx="11">
                  <c:v>1140</c:v>
                </c:pt>
                <c:pt idx="12">
                  <c:v>895</c:v>
                </c:pt>
                <c:pt idx="13">
                  <c:v>650</c:v>
                </c:pt>
                <c:pt idx="14">
                  <c:v>650</c:v>
                </c:pt>
                <c:pt idx="15">
                  <c:v>645</c:v>
                </c:pt>
                <c:pt idx="16">
                  <c:v>650</c:v>
                </c:pt>
                <c:pt idx="17">
                  <c:v>830</c:v>
                </c:pt>
                <c:pt idx="18">
                  <c:v>1080</c:v>
                </c:pt>
                <c:pt idx="19">
                  <c:v>1195</c:v>
                </c:pt>
                <c:pt idx="20">
                  <c:v>1375</c:v>
                </c:pt>
                <c:pt idx="21">
                  <c:v>1370</c:v>
                </c:pt>
                <c:pt idx="22">
                  <c:v>1120</c:v>
                </c:pt>
                <c:pt idx="23">
                  <c:v>740</c:v>
                </c:pt>
                <c:pt idx="24">
                  <c:v>555</c:v>
                </c:pt>
                <c:pt idx="25">
                  <c:v>245</c:v>
                </c:pt>
                <c:pt idx="26">
                  <c:v>125</c:v>
                </c:pt>
                <c:pt idx="27">
                  <c:v>345</c:v>
                </c:pt>
                <c:pt idx="28">
                  <c:v>680</c:v>
                </c:pt>
                <c:pt idx="29">
                  <c:v>620</c:v>
                </c:pt>
                <c:pt idx="30">
                  <c:v>615</c:v>
                </c:pt>
                <c:pt idx="31">
                  <c:v>620</c:v>
                </c:pt>
                <c:pt idx="32">
                  <c:v>335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2"/>
          <c:order val="12"/>
          <c:tx>
            <c:strRef>
              <c:f>Extrapoliation!$A$271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Extrapoliation!$B$271:$AP$271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Extrapoliation!$A$272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Extrapoliation!$B$272:$AP$272</c:f>
              <c:numCache>
                <c:formatCode>0_ 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3655</c:v>
                </c:pt>
                <c:pt idx="29">
                  <c:v>6640</c:v>
                </c:pt>
                <c:pt idx="30">
                  <c:v>6645</c:v>
                </c:pt>
                <c:pt idx="31">
                  <c:v>6640</c:v>
                </c:pt>
                <c:pt idx="32">
                  <c:v>6640</c:v>
                </c:pt>
                <c:pt idx="33">
                  <c:v>2985</c:v>
                </c:pt>
                <c:pt idx="34">
                  <c:v>2.55026304113562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Extrapoliation!$A$273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Extrapoliation!$B$273:$AP$273</c:f>
              <c:numCache>
                <c:formatCode>0_ </c:formatCode>
                <c:ptCount val="41"/>
                <c:pt idx="0">
                  <c:v>0</c:v>
                </c:pt>
                <c:pt idx="1">
                  <c:v>70</c:v>
                </c:pt>
                <c:pt idx="2">
                  <c:v>65</c:v>
                </c:pt>
                <c:pt idx="3">
                  <c:v>80</c:v>
                </c:pt>
                <c:pt idx="4">
                  <c:v>90</c:v>
                </c:pt>
                <c:pt idx="5">
                  <c:v>85</c:v>
                </c:pt>
                <c:pt idx="6">
                  <c:v>90</c:v>
                </c:pt>
                <c:pt idx="7">
                  <c:v>85</c:v>
                </c:pt>
                <c:pt idx="8">
                  <c:v>90</c:v>
                </c:pt>
                <c:pt idx="9">
                  <c:v>90</c:v>
                </c:pt>
                <c:pt idx="10">
                  <c:v>75</c:v>
                </c:pt>
                <c:pt idx="11">
                  <c:v>65</c:v>
                </c:pt>
                <c:pt idx="12">
                  <c:v>50</c:v>
                </c:pt>
                <c:pt idx="13">
                  <c:v>45</c:v>
                </c:pt>
                <c:pt idx="14">
                  <c:v>30</c:v>
                </c:pt>
                <c:pt idx="15">
                  <c:v>30</c:v>
                </c:pt>
                <c:pt idx="16">
                  <c:v>40</c:v>
                </c:pt>
                <c:pt idx="17">
                  <c:v>40</c:v>
                </c:pt>
                <c:pt idx="18">
                  <c:v>30</c:v>
                </c:pt>
                <c:pt idx="19">
                  <c:v>35</c:v>
                </c:pt>
                <c:pt idx="20">
                  <c:v>30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Extrapoliation!$A$274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Extrapoliation!$B$274:$AP$274</c:f>
              <c:numCache>
                <c:formatCode>0_ </c:formatCode>
                <c:ptCount val="41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12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12</c:v>
                </c:pt>
                <c:pt idx="8">
                  <c:v>18</c:v>
                </c:pt>
                <c:pt idx="9">
                  <c:v>114</c:v>
                </c:pt>
                <c:pt idx="10">
                  <c:v>216</c:v>
                </c:pt>
                <c:pt idx="11">
                  <c:v>312</c:v>
                </c:pt>
                <c:pt idx="12">
                  <c:v>414</c:v>
                </c:pt>
                <c:pt idx="13">
                  <c:v>516</c:v>
                </c:pt>
                <c:pt idx="14">
                  <c:v>516</c:v>
                </c:pt>
                <c:pt idx="15">
                  <c:v>516</c:v>
                </c:pt>
                <c:pt idx="16">
                  <c:v>510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540</c:v>
                </c:pt>
                <c:pt idx="22">
                  <c:v>630</c:v>
                </c:pt>
                <c:pt idx="23">
                  <c:v>636</c:v>
                </c:pt>
                <c:pt idx="24">
                  <c:v>636</c:v>
                </c:pt>
                <c:pt idx="25">
                  <c:v>642</c:v>
                </c:pt>
                <c:pt idx="26">
                  <c:v>714</c:v>
                </c:pt>
                <c:pt idx="27">
                  <c:v>810</c:v>
                </c:pt>
                <c:pt idx="28">
                  <c:v>1320</c:v>
                </c:pt>
                <c:pt idx="29">
                  <c:v>2448</c:v>
                </c:pt>
                <c:pt idx="30">
                  <c:v>2862</c:v>
                </c:pt>
                <c:pt idx="31">
                  <c:v>2994</c:v>
                </c:pt>
                <c:pt idx="32">
                  <c:v>2760</c:v>
                </c:pt>
                <c:pt idx="33">
                  <c:v>2154</c:v>
                </c:pt>
                <c:pt idx="34">
                  <c:v>894</c:v>
                </c:pt>
                <c:pt idx="35">
                  <c:v>324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318d464-b418-470c-8644-4030ddde8fdd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'Offshore Wind'!$K$35</c:f>
              <c:strCache>
                <c:ptCount val="1"/>
                <c:pt idx="0">
                  <c:v>Fujian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Wind'!$L$35:$W$35</c:f>
              <c:numCache>
                <c:formatCode>0_);[Red]\(0\)</c:formatCode>
                <c:ptCount val="12"/>
                <c:pt idx="0">
                  <c:v>127</c:v>
                </c:pt>
                <c:pt idx="1">
                  <c:v>627</c:v>
                </c:pt>
                <c:pt idx="2">
                  <c:v>3144</c:v>
                </c:pt>
                <c:pt idx="3">
                  <c:v>3452</c:v>
                </c:pt>
                <c:pt idx="4">
                  <c:v>4445</c:v>
                </c:pt>
                <c:pt idx="5">
                  <c:v>5249</c:v>
                </c:pt>
                <c:pt idx="6">
                  <c:v>5650</c:v>
                </c:pt>
                <c:pt idx="7">
                  <c:v>6050</c:v>
                </c:pt>
                <c:pt idx="8">
                  <c:v>6050</c:v>
                </c:pt>
                <c:pt idx="9">
                  <c:v>6050</c:v>
                </c:pt>
                <c:pt idx="10">
                  <c:v>6050</c:v>
                </c:pt>
                <c:pt idx="11">
                  <c:v>6050</c:v>
                </c:pt>
              </c:numCache>
            </c:numRef>
          </c:val>
        </c:ser>
        <c:ser>
          <c:idx val="1"/>
          <c:order val="1"/>
          <c:tx>
            <c:strRef>
              <c:f>'Offshore Wind'!$K$36</c:f>
              <c:strCache>
                <c:ptCount val="1"/>
                <c:pt idx="0">
                  <c:v>Hainan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Wind'!$L$36:$W$36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  <c:pt idx="7">
                  <c:v>3200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</c:ser>
        <c:ser>
          <c:idx val="2"/>
          <c:order val="2"/>
          <c:tx>
            <c:strRef>
              <c:f>'Offshore Wind'!$K$37</c:f>
              <c:strCache>
                <c:ptCount val="1"/>
                <c:pt idx="0">
                  <c:v>Guangdong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Wind'!$L$37:$W$37</c:f>
              <c:numCache>
                <c:formatCode>0_);[Red]\(0\)</c:formatCode>
                <c:ptCount val="12"/>
                <c:pt idx="0">
                  <c:v>198</c:v>
                </c:pt>
                <c:pt idx="1">
                  <c:v>600</c:v>
                </c:pt>
                <c:pt idx="2">
                  <c:v>5433</c:v>
                </c:pt>
                <c:pt idx="3">
                  <c:v>7945</c:v>
                </c:pt>
                <c:pt idx="4">
                  <c:v>10508</c:v>
                </c:pt>
                <c:pt idx="5">
                  <c:v>20065</c:v>
                </c:pt>
                <c:pt idx="6">
                  <c:v>25065</c:v>
                </c:pt>
                <c:pt idx="7">
                  <c:v>25065</c:v>
                </c:pt>
                <c:pt idx="8">
                  <c:v>25065</c:v>
                </c:pt>
                <c:pt idx="9">
                  <c:v>26065</c:v>
                </c:pt>
                <c:pt idx="10">
                  <c:v>26065</c:v>
                </c:pt>
                <c:pt idx="11">
                  <c:v>26065</c:v>
                </c:pt>
              </c:numCache>
            </c:numRef>
          </c:val>
        </c:ser>
        <c:ser>
          <c:idx val="3"/>
          <c:order val="3"/>
          <c:tx>
            <c:strRef>
              <c:f>'Offshore Wind'!$K$38</c:f>
              <c:strCache>
                <c:ptCount val="1"/>
                <c:pt idx="0">
                  <c:v>Liaoning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Wind'!$L$38:$W$38</c:f>
              <c:numCache>
                <c:formatCode>0_);[Red]\(0\)</c:formatCode>
                <c:ptCount val="12"/>
                <c:pt idx="0">
                  <c:v>0</c:v>
                </c:pt>
                <c:pt idx="1">
                  <c:v>299</c:v>
                </c:pt>
                <c:pt idx="2">
                  <c:v>949</c:v>
                </c:pt>
                <c:pt idx="3">
                  <c:v>949</c:v>
                </c:pt>
                <c:pt idx="4">
                  <c:v>1149</c:v>
                </c:pt>
                <c:pt idx="5">
                  <c:v>1149</c:v>
                </c:pt>
                <c:pt idx="6">
                  <c:v>1549</c:v>
                </c:pt>
                <c:pt idx="7">
                  <c:v>1549</c:v>
                </c:pt>
                <c:pt idx="8">
                  <c:v>1549</c:v>
                </c:pt>
                <c:pt idx="9">
                  <c:v>1549</c:v>
                </c:pt>
                <c:pt idx="10">
                  <c:v>1549</c:v>
                </c:pt>
                <c:pt idx="11">
                  <c:v>1549</c:v>
                </c:pt>
              </c:numCache>
            </c:numRef>
          </c:val>
        </c:ser>
        <c:ser>
          <c:idx val="4"/>
          <c:order val="4"/>
          <c:tx>
            <c:strRef>
              <c:f>'Offshore Wind'!$K$39</c:f>
              <c:strCache>
                <c:ptCount val="1"/>
                <c:pt idx="0">
                  <c:v>Shandong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Wind'!$L$39:$W$39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604</c:v>
                </c:pt>
                <c:pt idx="3">
                  <c:v>3107.5</c:v>
                </c:pt>
                <c:pt idx="4">
                  <c:v>4210</c:v>
                </c:pt>
                <c:pt idx="5">
                  <c:v>4720</c:v>
                </c:pt>
                <c:pt idx="6">
                  <c:v>4720</c:v>
                </c:pt>
                <c:pt idx="7">
                  <c:v>4720</c:v>
                </c:pt>
                <c:pt idx="8">
                  <c:v>4720</c:v>
                </c:pt>
                <c:pt idx="9">
                  <c:v>4720</c:v>
                </c:pt>
                <c:pt idx="10">
                  <c:v>4720</c:v>
                </c:pt>
                <c:pt idx="11">
                  <c:v>4720</c:v>
                </c:pt>
              </c:numCache>
            </c:numRef>
          </c:val>
        </c:ser>
        <c:ser>
          <c:idx val="5"/>
          <c:order val="5"/>
          <c:tx>
            <c:strRef>
              <c:f>'Offshore Wind'!$K$40</c:f>
              <c:strCache>
                <c:ptCount val="1"/>
                <c:pt idx="0">
                  <c:v>Zhejiang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Wind'!$L$40:$W$40</c:f>
              <c:numCache>
                <c:formatCode>0_);[Red]\(0\)</c:formatCode>
                <c:ptCount val="12"/>
                <c:pt idx="0">
                  <c:v>252</c:v>
                </c:pt>
                <c:pt idx="1">
                  <c:v>486</c:v>
                </c:pt>
                <c:pt idx="2">
                  <c:v>2021</c:v>
                </c:pt>
                <c:pt idx="3">
                  <c:v>3122</c:v>
                </c:pt>
                <c:pt idx="4">
                  <c:v>4227</c:v>
                </c:pt>
                <c:pt idx="5">
                  <c:v>5031</c:v>
                </c:pt>
                <c:pt idx="6">
                  <c:v>5535</c:v>
                </c:pt>
                <c:pt idx="7">
                  <c:v>5535</c:v>
                </c:pt>
                <c:pt idx="8">
                  <c:v>5535</c:v>
                </c:pt>
                <c:pt idx="9">
                  <c:v>5535</c:v>
                </c:pt>
                <c:pt idx="10">
                  <c:v>5535</c:v>
                </c:pt>
                <c:pt idx="11">
                  <c:v>5535</c:v>
                </c:pt>
              </c:numCache>
            </c:numRef>
          </c:val>
        </c:ser>
        <c:ser>
          <c:idx val="6"/>
          <c:order val="6"/>
          <c:tx>
            <c:strRef>
              <c:f>'Offshore Wind'!$K$41</c:f>
              <c:strCache>
                <c:ptCount val="1"/>
                <c:pt idx="0">
                  <c:v>Guangxi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Wind'!$L$41:$W$41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'Offshore Wind'!$K$42</c:f>
              <c:strCache>
                <c:ptCount val="1"/>
                <c:pt idx="0">
                  <c:v>Hebei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Wind'!$L$42:$W$42</c:f>
              <c:numCache>
                <c:formatCode>0_);[Red]\(0\)</c:formatCode>
                <c:ptCount val="12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</c:ser>
        <c:ser>
          <c:idx val="8"/>
          <c:order val="8"/>
          <c:tx>
            <c:strRef>
              <c:f>'Offshore Wind'!$K$43</c:f>
              <c:strCache>
                <c:ptCount val="1"/>
                <c:pt idx="0">
                  <c:v>Jiangsu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Wind'!$L$43:$W$43</c:f>
              <c:numCache>
                <c:formatCode>0_);[Red]\(0\)</c:formatCode>
                <c:ptCount val="12"/>
                <c:pt idx="0">
                  <c:v>4104</c:v>
                </c:pt>
                <c:pt idx="1">
                  <c:v>5012</c:v>
                </c:pt>
                <c:pt idx="2">
                  <c:v>11643</c:v>
                </c:pt>
                <c:pt idx="3">
                  <c:v>11946</c:v>
                </c:pt>
                <c:pt idx="4">
                  <c:v>12152</c:v>
                </c:pt>
                <c:pt idx="5">
                  <c:v>13452</c:v>
                </c:pt>
                <c:pt idx="6">
                  <c:v>13452</c:v>
                </c:pt>
                <c:pt idx="7">
                  <c:v>13652</c:v>
                </c:pt>
                <c:pt idx="8">
                  <c:v>13652</c:v>
                </c:pt>
                <c:pt idx="9">
                  <c:v>13652</c:v>
                </c:pt>
                <c:pt idx="10">
                  <c:v>13652</c:v>
                </c:pt>
                <c:pt idx="11">
                  <c:v>13652</c:v>
                </c:pt>
              </c:numCache>
            </c:numRef>
          </c:val>
        </c:ser>
        <c:ser>
          <c:idx val="9"/>
          <c:order val="9"/>
          <c:tx>
            <c:strRef>
              <c:f>'Offshore Wind'!$K$44</c:f>
              <c:strCache>
                <c:ptCount val="1"/>
                <c:pt idx="0">
                  <c:v>Shanghai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Wind'!$L$44:$W$44</c:f>
              <c:numCache>
                <c:formatCode>0_);[Red]\(0\)</c:formatCode>
                <c:ptCount val="12"/>
                <c:pt idx="0">
                  <c:v>426</c:v>
                </c:pt>
                <c:pt idx="1">
                  <c:v>426</c:v>
                </c:pt>
                <c:pt idx="2">
                  <c:v>677.5</c:v>
                </c:pt>
                <c:pt idx="3">
                  <c:v>677.5</c:v>
                </c:pt>
                <c:pt idx="4">
                  <c:v>677.5</c:v>
                </c:pt>
                <c:pt idx="5">
                  <c:v>677.5</c:v>
                </c:pt>
                <c:pt idx="6">
                  <c:v>677.5</c:v>
                </c:pt>
                <c:pt idx="7">
                  <c:v>677.5</c:v>
                </c:pt>
                <c:pt idx="8">
                  <c:v>677.5</c:v>
                </c:pt>
                <c:pt idx="9">
                  <c:v>677.5</c:v>
                </c:pt>
                <c:pt idx="10">
                  <c:v>677.5</c:v>
                </c:pt>
                <c:pt idx="11">
                  <c:v>677.5</c:v>
                </c:pt>
              </c:numCache>
            </c:numRef>
          </c:val>
        </c:ser>
        <c:ser>
          <c:idx val="10"/>
          <c:order val="10"/>
          <c:tx>
            <c:strRef>
              <c:f>'Offshore Wind'!$K$45</c:f>
              <c:strCache>
                <c:ptCount val="1"/>
                <c:pt idx="0">
                  <c:v>Tianjin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Wind'!$L$45:$W$45</c:f>
              <c:numCache>
                <c:formatCode>0_);[Red]\(0\)</c:formatCode>
                <c:ptCount val="12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7528655"/>
        <c:axId val="2060471263"/>
      </c:barChart>
      <c:catAx>
        <c:axId val="193752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0471263"/>
        <c:crosses val="autoZero"/>
        <c:auto val="1"/>
        <c:lblAlgn val="ctr"/>
        <c:lblOffset val="100"/>
        <c:noMultiLvlLbl val="0"/>
      </c:catAx>
      <c:valAx>
        <c:axId val="206047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752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f5b570-98df-478c-9ff7-d5aa9ec48a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89975940507437"/>
          <c:y val="0.0740740740740741"/>
          <c:w val="0.883891294838145"/>
          <c:h val="0.841674686497521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'Survival Rate'!$D$1</c:f>
              <c:strCache>
                <c:ptCount val="1"/>
                <c:pt idx="0">
                  <c:v>retirement 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'Survival Rate'!$A$2:$A$54</c:f>
              <c:numCache>
                <c:formatCode>General</c:formatCode>
                <c:ptCount val="5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</c:numCache>
            </c:numRef>
          </c:xVal>
          <c:yVal>
            <c:numRef>
              <c:f>'Survival Rate'!$D$2:$D$54</c:f>
              <c:numCache>
                <c:formatCode>0%</c:formatCode>
                <c:ptCount val="53"/>
                <c:pt idx="0">
                  <c:v>3.1994880818953e-5</c:v>
                </c:pt>
                <c:pt idx="1">
                  <c:v>8.5180503699054e-5</c:v>
                </c:pt>
                <c:pt idx="2">
                  <c:v>0.000272730026898024</c:v>
                </c:pt>
                <c:pt idx="3">
                  <c:v>0.000505924791405966</c:v>
                </c:pt>
                <c:pt idx="4">
                  <c:v>0.000814146732596932</c:v>
                </c:pt>
                <c:pt idx="5">
                  <c:v>0.00127948488554113</c:v>
                </c:pt>
                <c:pt idx="6">
                  <c:v>0.00174124966644592</c:v>
                </c:pt>
                <c:pt idx="7">
                  <c:v>0.00245693873418191</c:v>
                </c:pt>
                <c:pt idx="8">
                  <c:v>0.00356780434864204</c:v>
                </c:pt>
                <c:pt idx="9">
                  <c:v>0.00544013808926407</c:v>
                </c:pt>
                <c:pt idx="10">
                  <c:v>0.00744522288787295</c:v>
                </c:pt>
                <c:pt idx="11">
                  <c:v>0.00917603542594706</c:v>
                </c:pt>
                <c:pt idx="12">
                  <c:v>0.010763564456577</c:v>
                </c:pt>
                <c:pt idx="13">
                  <c:v>0.012628402893572</c:v>
                </c:pt>
                <c:pt idx="14">
                  <c:v>0.0127846069272499</c:v>
                </c:pt>
                <c:pt idx="15">
                  <c:v>0.012964581941772</c:v>
                </c:pt>
                <c:pt idx="16">
                  <c:v>0.012838999957683</c:v>
                </c:pt>
                <c:pt idx="17">
                  <c:v>0.013586644034541</c:v>
                </c:pt>
                <c:pt idx="18">
                  <c:v>0.015017599715369</c:v>
                </c:pt>
                <c:pt idx="19">
                  <c:v>0.016337806027386</c:v>
                </c:pt>
                <c:pt idx="20">
                  <c:v>0.01751185209492</c:v>
                </c:pt>
                <c:pt idx="21">
                  <c:v>0.0190677445910689</c:v>
                </c:pt>
                <c:pt idx="22">
                  <c:v>0.020602132744343</c:v>
                </c:pt>
                <c:pt idx="23">
                  <c:v>0.0225866028836861</c:v>
                </c:pt>
                <c:pt idx="24">
                  <c:v>0.0246539644296129</c:v>
                </c:pt>
                <c:pt idx="25">
                  <c:v>0.0249438631318599</c:v>
                </c:pt>
                <c:pt idx="26">
                  <c:v>0.0270780122284291</c:v>
                </c:pt>
                <c:pt idx="27">
                  <c:v>0.0298198728190839</c:v>
                </c:pt>
                <c:pt idx="28">
                  <c:v>0.0314186801959329</c:v>
                </c:pt>
                <c:pt idx="29">
                  <c:v>0.031170792282441</c:v>
                </c:pt>
                <c:pt idx="30">
                  <c:v>0.031631513952476</c:v>
                </c:pt>
                <c:pt idx="31">
                  <c:v>0.033835727918574</c:v>
                </c:pt>
                <c:pt idx="32">
                  <c:v>0.036486101392582</c:v>
                </c:pt>
                <c:pt idx="33">
                  <c:v>0.036075874062109</c:v>
                </c:pt>
                <c:pt idx="34">
                  <c:v>0.035760547646653</c:v>
                </c:pt>
                <c:pt idx="35">
                  <c:v>0.033493736690512</c:v>
                </c:pt>
                <c:pt idx="36">
                  <c:v>0.032203898665014</c:v>
                </c:pt>
                <c:pt idx="37">
                  <c:v>0.03208082089949</c:v>
                </c:pt>
                <c:pt idx="38">
                  <c:v>0.032972271213947</c:v>
                </c:pt>
                <c:pt idx="39">
                  <c:v>0.034375276346699</c:v>
                </c:pt>
                <c:pt idx="40">
                  <c:v>0.034705997055708</c:v>
                </c:pt>
                <c:pt idx="41">
                  <c:v>0.03213869482697</c:v>
                </c:pt>
                <c:pt idx="42">
                  <c:v>0.028660868977679</c:v>
                </c:pt>
                <c:pt idx="43">
                  <c:v>0.027012529918001</c:v>
                </c:pt>
                <c:pt idx="44">
                  <c:v>0.026111469098594</c:v>
                </c:pt>
                <c:pt idx="45">
                  <c:v>0.023625548132655</c:v>
                </c:pt>
                <c:pt idx="46">
                  <c:v>0.022641667510248</c:v>
                </c:pt>
                <c:pt idx="47">
                  <c:v>0.0190965595878396</c:v>
                </c:pt>
                <c:pt idx="48">
                  <c:v>0.0165375002487438</c:v>
                </c:pt>
                <c:pt idx="49">
                  <c:v>0.0156721140641756</c:v>
                </c:pt>
                <c:pt idx="50">
                  <c:v>0.0134072408058689</c:v>
                </c:pt>
                <c:pt idx="51">
                  <c:v>0.0126131027679395</c:v>
                </c:pt>
                <c:pt idx="52">
                  <c:v>0.000268363888679565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852863"/>
        <c:axId val="957106192"/>
      </c:scatterChart>
      <c:scatterChart>
        <c:scatterStyle val="smoothMarker"/>
        <c:varyColors val="0"/>
        <c:ser>
          <c:idx val="0"/>
          <c:order val="0"/>
          <c:tx>
            <c:strRef>
              <c:f>'Survival Rate'!$B$1</c:f>
              <c:strCache>
                <c:ptCount val="1"/>
                <c:pt idx="0">
                  <c:v>survival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'Survival Rate'!$A$3:$A$54</c:f>
              <c:numCache>
                <c:formatCode>General</c:formatCode>
                <c:ptCount val="5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</c:numCache>
            </c:numRef>
          </c:xVal>
          <c:yVal>
            <c:numRef>
              <c:f>'Survival Rate'!$B$3:$B$54</c:f>
              <c:numCache>
                <c:formatCode>0%</c:formatCode>
                <c:ptCount val="52"/>
                <c:pt idx="0">
                  <c:v>0.999968005119181</c:v>
                </c:pt>
                <c:pt idx="1">
                  <c:v>0.999882824615482</c:v>
                </c:pt>
                <c:pt idx="2">
                  <c:v>0.999610094588584</c:v>
                </c:pt>
                <c:pt idx="3">
                  <c:v>0.999104169797178</c:v>
                </c:pt>
                <c:pt idx="4">
                  <c:v>0.998290023064581</c:v>
                </c:pt>
                <c:pt idx="5">
                  <c:v>0.99701053817904</c:v>
                </c:pt>
                <c:pt idx="6">
                  <c:v>0.995269288512594</c:v>
                </c:pt>
                <c:pt idx="7">
                  <c:v>0.992812349778412</c:v>
                </c:pt>
                <c:pt idx="8">
                  <c:v>0.98924454542977</c:v>
                </c:pt>
                <c:pt idx="9">
                  <c:v>0.983804407340506</c:v>
                </c:pt>
                <c:pt idx="10">
                  <c:v>0.976359184452633</c:v>
                </c:pt>
                <c:pt idx="11">
                  <c:v>0.967183149026686</c:v>
                </c:pt>
                <c:pt idx="12">
                  <c:v>0.956419584570109</c:v>
                </c:pt>
                <c:pt idx="13">
                  <c:v>0.943791181676537</c:v>
                </c:pt>
                <c:pt idx="14">
                  <c:v>0.931006574749287</c:v>
                </c:pt>
                <c:pt idx="15">
                  <c:v>0.918041992807515</c:v>
                </c:pt>
                <c:pt idx="16">
                  <c:v>0.905202992849832</c:v>
                </c:pt>
                <c:pt idx="17">
                  <c:v>0.891616348815291</c:v>
                </c:pt>
                <c:pt idx="18">
                  <c:v>0.876598749099922</c:v>
                </c:pt>
                <c:pt idx="19">
                  <c:v>0.860260943072536</c:v>
                </c:pt>
                <c:pt idx="20">
                  <c:v>0.842749090977616</c:v>
                </c:pt>
                <c:pt idx="21">
                  <c:v>0.823681346386547</c:v>
                </c:pt>
                <c:pt idx="22">
                  <c:v>0.803079213642204</c:v>
                </c:pt>
                <c:pt idx="23">
                  <c:v>0.780492610758518</c:v>
                </c:pt>
                <c:pt idx="24">
                  <c:v>0.755838646328905</c:v>
                </c:pt>
                <c:pt idx="25">
                  <c:v>0.730894783197045</c:v>
                </c:pt>
                <c:pt idx="26">
                  <c:v>0.703816770968616</c:v>
                </c:pt>
                <c:pt idx="27">
                  <c:v>0.673996898149532</c:v>
                </c:pt>
                <c:pt idx="28">
                  <c:v>0.642578217953599</c:v>
                </c:pt>
                <c:pt idx="29">
                  <c:v>0.611407425671158</c:v>
                </c:pt>
                <c:pt idx="30">
                  <c:v>0.579775911718682</c:v>
                </c:pt>
                <c:pt idx="31">
                  <c:v>0.545940183800108</c:v>
                </c:pt>
                <c:pt idx="32">
                  <c:v>0.509454082407526</c:v>
                </c:pt>
                <c:pt idx="33">
                  <c:v>0.473378208345417</c:v>
                </c:pt>
                <c:pt idx="34">
                  <c:v>0.437617660698764</c:v>
                </c:pt>
                <c:pt idx="35">
                  <c:v>0.404123924008252</c:v>
                </c:pt>
                <c:pt idx="36">
                  <c:v>0.371920025343238</c:v>
                </c:pt>
                <c:pt idx="37">
                  <c:v>0.339839204443748</c:v>
                </c:pt>
                <c:pt idx="38">
                  <c:v>0.306866933229801</c:v>
                </c:pt>
                <c:pt idx="39">
                  <c:v>0.272491656883102</c:v>
                </c:pt>
                <c:pt idx="40">
                  <c:v>0.237785659827394</c:v>
                </c:pt>
                <c:pt idx="41">
                  <c:v>0.205646965000424</c:v>
                </c:pt>
                <c:pt idx="42">
                  <c:v>0.176986096022745</c:v>
                </c:pt>
                <c:pt idx="43">
                  <c:v>0.149973566104744</c:v>
                </c:pt>
                <c:pt idx="44">
                  <c:v>0.12386209700615</c:v>
                </c:pt>
                <c:pt idx="45">
                  <c:v>0.100236548873495</c:v>
                </c:pt>
                <c:pt idx="46">
                  <c:v>0.077594881363247</c:v>
                </c:pt>
                <c:pt idx="47">
                  <c:v>0.0584983217754074</c:v>
                </c:pt>
                <c:pt idx="48">
                  <c:v>0.0419608215266636</c:v>
                </c:pt>
                <c:pt idx="49">
                  <c:v>0.026288707462488</c:v>
                </c:pt>
                <c:pt idx="50">
                  <c:v>0.0128814666566191</c:v>
                </c:pt>
                <c:pt idx="51">
                  <c:v>0.000268363888679565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59551"/>
        <c:axId val="1504150623"/>
      </c:scatterChart>
      <c:valAx>
        <c:axId val="9538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106192"/>
        <c:crosses val="autoZero"/>
        <c:crossBetween val="midCat"/>
      </c:valAx>
      <c:valAx>
        <c:axId val="9571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852863"/>
        <c:crosses val="autoZero"/>
        <c:crossBetween val="midCat"/>
      </c:valAx>
      <c:valAx>
        <c:axId val="1504159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4150623"/>
        <c:crosses val="autoZero"/>
        <c:crossBetween val="midCat"/>
      </c:valAx>
      <c:valAx>
        <c:axId val="15041506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4159551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8c5445-3b4c-49ae-9107-53ccfd2c05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BPMCCS</a:t>
            </a:r>
            <a:r>
              <a:rPr lang="en-US" altLang="zh-CN" sz="1600" b="1" baseline="0"/>
              <a:t> retirement schedule</a:t>
            </a:r>
            <a:endParaRPr lang="zh-CN" alt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Extrapoliation!$A$163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Extrapoliation!$B$163:$AP$163</c:f>
              <c:numCache>
                <c:formatCode>0_ </c:formatCode>
                <c:ptCount val="41"/>
                <c:pt idx="0">
                  <c:v>4512</c:v>
                </c:pt>
                <c:pt idx="1">
                  <c:v>5442</c:v>
                </c:pt>
                <c:pt idx="2">
                  <c:v>6390</c:v>
                </c:pt>
                <c:pt idx="3">
                  <c:v>7314</c:v>
                </c:pt>
                <c:pt idx="4">
                  <c:v>8214</c:v>
                </c:pt>
                <c:pt idx="5">
                  <c:v>9138</c:v>
                </c:pt>
                <c:pt idx="6">
                  <c:v>10122</c:v>
                </c:pt>
                <c:pt idx="7">
                  <c:v>11214</c:v>
                </c:pt>
                <c:pt idx="8">
                  <c:v>12390</c:v>
                </c:pt>
                <c:pt idx="9">
                  <c:v>13632</c:v>
                </c:pt>
                <c:pt idx="10">
                  <c:v>14994</c:v>
                </c:pt>
                <c:pt idx="11">
                  <c:v>16494</c:v>
                </c:pt>
                <c:pt idx="12">
                  <c:v>18042</c:v>
                </c:pt>
                <c:pt idx="13">
                  <c:v>19656</c:v>
                </c:pt>
                <c:pt idx="14">
                  <c:v>21288</c:v>
                </c:pt>
                <c:pt idx="15">
                  <c:v>23064</c:v>
                </c:pt>
                <c:pt idx="16">
                  <c:v>24984</c:v>
                </c:pt>
                <c:pt idx="17">
                  <c:v>26934</c:v>
                </c:pt>
                <c:pt idx="18">
                  <c:v>28896</c:v>
                </c:pt>
                <c:pt idx="19">
                  <c:v>30810</c:v>
                </c:pt>
                <c:pt idx="20">
                  <c:v>32712</c:v>
                </c:pt>
                <c:pt idx="21">
                  <c:v>34560</c:v>
                </c:pt>
                <c:pt idx="22">
                  <c:v>36024</c:v>
                </c:pt>
                <c:pt idx="23">
                  <c:v>37176</c:v>
                </c:pt>
                <c:pt idx="24">
                  <c:v>38154</c:v>
                </c:pt>
                <c:pt idx="25">
                  <c:v>39096</c:v>
                </c:pt>
                <c:pt idx="26">
                  <c:v>40044</c:v>
                </c:pt>
                <c:pt idx="27">
                  <c:v>40920</c:v>
                </c:pt>
                <c:pt idx="28">
                  <c:v>41694</c:v>
                </c:pt>
                <c:pt idx="29">
                  <c:v>42384</c:v>
                </c:pt>
                <c:pt idx="30">
                  <c:v>42864</c:v>
                </c:pt>
                <c:pt idx="31">
                  <c:v>43032</c:v>
                </c:pt>
                <c:pt idx="32">
                  <c:v>43050</c:v>
                </c:pt>
                <c:pt idx="33">
                  <c:v>42828</c:v>
                </c:pt>
                <c:pt idx="34">
                  <c:v>42426</c:v>
                </c:pt>
                <c:pt idx="35">
                  <c:v>41898</c:v>
                </c:pt>
                <c:pt idx="36">
                  <c:v>40938</c:v>
                </c:pt>
                <c:pt idx="37">
                  <c:v>39744</c:v>
                </c:pt>
                <c:pt idx="38">
                  <c:v>38520</c:v>
                </c:pt>
                <c:pt idx="39">
                  <c:v>37008</c:v>
                </c:pt>
                <c:pt idx="40">
                  <c:v>35316</c:v>
                </c:pt>
              </c:numCache>
            </c:numRef>
          </c:val>
        </c:ser>
        <c:ser>
          <c:idx val="1"/>
          <c:order val="1"/>
          <c:tx>
            <c:strRef>
              <c:f>Extrapoliation!$A$164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Extrapoliation!$B$164:$AP$164</c:f>
              <c:numCache>
                <c:formatCode>0_ </c:formatCode>
                <c:ptCount val="41"/>
                <c:pt idx="0">
                  <c:v>0</c:v>
                </c:pt>
                <c:pt idx="1">
                  <c:v>275</c:v>
                </c:pt>
                <c:pt idx="2">
                  <c:v>190</c:v>
                </c:pt>
                <c:pt idx="3">
                  <c:v>230</c:v>
                </c:pt>
                <c:pt idx="4">
                  <c:v>275</c:v>
                </c:pt>
                <c:pt idx="5">
                  <c:v>325</c:v>
                </c:pt>
                <c:pt idx="6">
                  <c:v>385</c:v>
                </c:pt>
                <c:pt idx="7">
                  <c:v>465</c:v>
                </c:pt>
                <c:pt idx="8">
                  <c:v>545</c:v>
                </c:pt>
                <c:pt idx="9">
                  <c:v>630</c:v>
                </c:pt>
                <c:pt idx="10">
                  <c:v>720</c:v>
                </c:pt>
                <c:pt idx="11">
                  <c:v>800</c:v>
                </c:pt>
                <c:pt idx="12">
                  <c:v>870</c:v>
                </c:pt>
                <c:pt idx="13">
                  <c:v>930</c:v>
                </c:pt>
                <c:pt idx="14">
                  <c:v>990</c:v>
                </c:pt>
                <c:pt idx="15">
                  <c:v>1060</c:v>
                </c:pt>
                <c:pt idx="16">
                  <c:v>1125</c:v>
                </c:pt>
                <c:pt idx="17">
                  <c:v>1195</c:v>
                </c:pt>
                <c:pt idx="18">
                  <c:v>1270</c:v>
                </c:pt>
                <c:pt idx="19">
                  <c:v>1355</c:v>
                </c:pt>
                <c:pt idx="20">
                  <c:v>1450</c:v>
                </c:pt>
                <c:pt idx="21">
                  <c:v>1545</c:v>
                </c:pt>
                <c:pt idx="22">
                  <c:v>1625</c:v>
                </c:pt>
                <c:pt idx="23">
                  <c:v>1710</c:v>
                </c:pt>
                <c:pt idx="24">
                  <c:v>1790</c:v>
                </c:pt>
                <c:pt idx="25">
                  <c:v>1865</c:v>
                </c:pt>
                <c:pt idx="26">
                  <c:v>1915</c:v>
                </c:pt>
                <c:pt idx="27">
                  <c:v>1965</c:v>
                </c:pt>
                <c:pt idx="28">
                  <c:v>2035</c:v>
                </c:pt>
                <c:pt idx="29">
                  <c:v>2095</c:v>
                </c:pt>
                <c:pt idx="30">
                  <c:v>2115</c:v>
                </c:pt>
                <c:pt idx="31">
                  <c:v>2100</c:v>
                </c:pt>
                <c:pt idx="32">
                  <c:v>2080</c:v>
                </c:pt>
                <c:pt idx="33">
                  <c:v>2060</c:v>
                </c:pt>
                <c:pt idx="34">
                  <c:v>2015</c:v>
                </c:pt>
                <c:pt idx="35">
                  <c:v>1980</c:v>
                </c:pt>
                <c:pt idx="36">
                  <c:v>1930</c:v>
                </c:pt>
                <c:pt idx="37">
                  <c:v>1870</c:v>
                </c:pt>
                <c:pt idx="38">
                  <c:v>1810</c:v>
                </c:pt>
                <c:pt idx="39">
                  <c:v>1725</c:v>
                </c:pt>
                <c:pt idx="40">
                  <c:v>1625</c:v>
                </c:pt>
              </c:numCache>
            </c:numRef>
          </c:val>
        </c:ser>
        <c:ser>
          <c:idx val="2"/>
          <c:order val="2"/>
          <c:tx>
            <c:strRef>
              <c:f>Extrapoliation!$A$165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Extrapoliation!$B$165:$AP$165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Extrapoliation!$A$166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Extrapoliation!$B$166:$AP$166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Extrapoliation!$A$167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Extrapoliation!$B$167:$AP$167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27038</c:v>
                </c:pt>
                <c:pt idx="25">
                  <c:v>23498</c:v>
                </c:pt>
                <c:pt idx="26">
                  <c:v>19140</c:v>
                </c:pt>
                <c:pt idx="27">
                  <c:v>13894</c:v>
                </c:pt>
                <c:pt idx="28">
                  <c:v>1.73194444441469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Extrapoliation!$A$168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Extrapoliation!$B$168:$AP$168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27233</c:v>
                </c:pt>
                <c:pt idx="24">
                  <c:v>21177</c:v>
                </c:pt>
                <c:pt idx="25">
                  <c:v>15057</c:v>
                </c:pt>
                <c:pt idx="26">
                  <c:v>9718</c:v>
                </c:pt>
                <c:pt idx="27">
                  <c:v>6242</c:v>
                </c:pt>
                <c:pt idx="28">
                  <c:v>0.700000000011642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Extrapoliation!$A$169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Extrapoliation!$B$169:$AP$169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Extrapoliation!$A$170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Extrapoliation!$B$170:$AP$170</c:f>
              <c:numCache>
                <c:formatCode>0_ </c:formatCode>
                <c:ptCount val="41"/>
                <c:pt idx="0">
                  <c:v>0</c:v>
                </c:pt>
                <c:pt idx="1">
                  <c:v>114</c:v>
                </c:pt>
                <c:pt idx="2">
                  <c:v>72</c:v>
                </c:pt>
                <c:pt idx="3">
                  <c:v>78</c:v>
                </c:pt>
                <c:pt idx="4">
                  <c:v>90</c:v>
                </c:pt>
                <c:pt idx="5">
                  <c:v>102</c:v>
                </c:pt>
                <c:pt idx="6">
                  <c:v>114</c:v>
                </c:pt>
                <c:pt idx="7">
                  <c:v>126</c:v>
                </c:pt>
                <c:pt idx="8">
                  <c:v>144</c:v>
                </c:pt>
                <c:pt idx="9">
                  <c:v>162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282</c:v>
                </c:pt>
                <c:pt idx="17">
                  <c:v>300</c:v>
                </c:pt>
                <c:pt idx="18">
                  <c:v>306</c:v>
                </c:pt>
                <c:pt idx="19">
                  <c:v>324</c:v>
                </c:pt>
                <c:pt idx="20">
                  <c:v>336</c:v>
                </c:pt>
                <c:pt idx="21">
                  <c:v>354</c:v>
                </c:pt>
                <c:pt idx="22">
                  <c:v>360</c:v>
                </c:pt>
                <c:pt idx="23">
                  <c:v>378</c:v>
                </c:pt>
                <c:pt idx="24">
                  <c:v>396</c:v>
                </c:pt>
                <c:pt idx="25">
                  <c:v>402</c:v>
                </c:pt>
                <c:pt idx="26">
                  <c:v>414</c:v>
                </c:pt>
                <c:pt idx="27">
                  <c:v>420</c:v>
                </c:pt>
                <c:pt idx="28">
                  <c:v>426</c:v>
                </c:pt>
                <c:pt idx="29">
                  <c:v>432</c:v>
                </c:pt>
                <c:pt idx="30">
                  <c:v>432</c:v>
                </c:pt>
                <c:pt idx="31">
                  <c:v>432</c:v>
                </c:pt>
                <c:pt idx="32">
                  <c:v>420</c:v>
                </c:pt>
                <c:pt idx="33">
                  <c:v>420</c:v>
                </c:pt>
                <c:pt idx="34">
                  <c:v>414</c:v>
                </c:pt>
                <c:pt idx="35">
                  <c:v>408</c:v>
                </c:pt>
                <c:pt idx="36">
                  <c:v>390</c:v>
                </c:pt>
                <c:pt idx="37">
                  <c:v>360</c:v>
                </c:pt>
                <c:pt idx="38">
                  <c:v>342</c:v>
                </c:pt>
                <c:pt idx="39">
                  <c:v>324</c:v>
                </c:pt>
                <c:pt idx="40">
                  <c:v>306</c:v>
                </c:pt>
              </c:numCache>
            </c:numRef>
          </c:val>
        </c:ser>
        <c:ser>
          <c:idx val="8"/>
          <c:order val="8"/>
          <c:tx>
            <c:strRef>
              <c:f>Extrapoliation!$A$171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Extrapoliation!$B$171:$AP$171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Extrapoliation!$A$172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Extrapoliation!$B$172:$AP$172</c:f>
              <c:numCache>
                <c:formatCode>0_ 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10</c:v>
                </c:pt>
                <c:pt idx="14">
                  <c:v>15</c:v>
                </c:pt>
                <c:pt idx="15">
                  <c:v>10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15</c:v>
                </c:pt>
                <c:pt idx="21">
                  <c:v>10</c:v>
                </c:pt>
                <c:pt idx="22">
                  <c:v>10</c:v>
                </c:pt>
                <c:pt idx="23">
                  <c:v>15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5</c:v>
                </c:pt>
                <c:pt idx="28">
                  <c:v>10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Extrapoliation!$A$173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Extrapoliation!$B$173:$AP$173</c:f>
              <c:numCache>
                <c:formatCode>0_ </c:formatCode>
                <c:ptCount val="41"/>
                <c:pt idx="0">
                  <c:v>0</c:v>
                </c:pt>
                <c:pt idx="1">
                  <c:v>117.8</c:v>
                </c:pt>
                <c:pt idx="2">
                  <c:v>81.7</c:v>
                </c:pt>
                <c:pt idx="3">
                  <c:v>99.75</c:v>
                </c:pt>
                <c:pt idx="4">
                  <c:v>117.8</c:v>
                </c:pt>
                <c:pt idx="5">
                  <c:v>142.5</c:v>
                </c:pt>
                <c:pt idx="6">
                  <c:v>174.8</c:v>
                </c:pt>
                <c:pt idx="7">
                  <c:v>215.65</c:v>
                </c:pt>
                <c:pt idx="8">
                  <c:v>265.05</c:v>
                </c:pt>
                <c:pt idx="9">
                  <c:v>323</c:v>
                </c:pt>
                <c:pt idx="10">
                  <c:v>394.25</c:v>
                </c:pt>
                <c:pt idx="11">
                  <c:v>475.95</c:v>
                </c:pt>
                <c:pt idx="12">
                  <c:v>575.7</c:v>
                </c:pt>
                <c:pt idx="13">
                  <c:v>697.3</c:v>
                </c:pt>
                <c:pt idx="14">
                  <c:v>843.6</c:v>
                </c:pt>
                <c:pt idx="15">
                  <c:v>1020.3</c:v>
                </c:pt>
                <c:pt idx="16">
                  <c:v>1240.7</c:v>
                </c:pt>
                <c:pt idx="17">
                  <c:v>1483.9</c:v>
                </c:pt>
                <c:pt idx="18">
                  <c:v>1732.8</c:v>
                </c:pt>
                <c:pt idx="19">
                  <c:v>1976</c:v>
                </c:pt>
                <c:pt idx="20">
                  <c:v>2223.95</c:v>
                </c:pt>
                <c:pt idx="21">
                  <c:v>2446.25</c:v>
                </c:pt>
                <c:pt idx="22">
                  <c:v>2636.25</c:v>
                </c:pt>
                <c:pt idx="23">
                  <c:v>2801.55</c:v>
                </c:pt>
                <c:pt idx="24">
                  <c:v>2966.85</c:v>
                </c:pt>
                <c:pt idx="25">
                  <c:v>3153.05</c:v>
                </c:pt>
                <c:pt idx="26">
                  <c:v>3353.5</c:v>
                </c:pt>
                <c:pt idx="27">
                  <c:v>3560.6</c:v>
                </c:pt>
                <c:pt idx="28">
                  <c:v>3784.8</c:v>
                </c:pt>
                <c:pt idx="29">
                  <c:v>4026.1</c:v>
                </c:pt>
                <c:pt idx="30">
                  <c:v>4286.4</c:v>
                </c:pt>
                <c:pt idx="31">
                  <c:v>4557.15</c:v>
                </c:pt>
                <c:pt idx="32">
                  <c:v>4788</c:v>
                </c:pt>
                <c:pt idx="33">
                  <c:v>5002.7</c:v>
                </c:pt>
                <c:pt idx="34">
                  <c:v>5251.6</c:v>
                </c:pt>
                <c:pt idx="35">
                  <c:v>5506.2</c:v>
                </c:pt>
                <c:pt idx="36">
                  <c:v>5706.65</c:v>
                </c:pt>
                <c:pt idx="37">
                  <c:v>5847.25</c:v>
                </c:pt>
                <c:pt idx="38">
                  <c:v>5965.05</c:v>
                </c:pt>
                <c:pt idx="39">
                  <c:v>6099.95</c:v>
                </c:pt>
                <c:pt idx="40">
                  <c:v>6169.3</c:v>
                </c:pt>
              </c:numCache>
            </c:numRef>
          </c:val>
        </c:ser>
        <c:ser>
          <c:idx val="11"/>
          <c:order val="11"/>
          <c:tx>
            <c:strRef>
              <c:f>Extrapoliation!$A$174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Extrapoliation!$B$174:$AP$174</c:f>
              <c:numCache>
                <c:formatCode>0_ </c:formatCode>
                <c:ptCount val="41"/>
                <c:pt idx="0">
                  <c:v>0</c:v>
                </c:pt>
                <c:pt idx="1">
                  <c:v>1055</c:v>
                </c:pt>
                <c:pt idx="2">
                  <c:v>595</c:v>
                </c:pt>
                <c:pt idx="3">
                  <c:v>640</c:v>
                </c:pt>
                <c:pt idx="4">
                  <c:v>685</c:v>
                </c:pt>
                <c:pt idx="5">
                  <c:v>740</c:v>
                </c:pt>
                <c:pt idx="6">
                  <c:v>785</c:v>
                </c:pt>
                <c:pt idx="7">
                  <c:v>825</c:v>
                </c:pt>
                <c:pt idx="8">
                  <c:v>850</c:v>
                </c:pt>
                <c:pt idx="9">
                  <c:v>885</c:v>
                </c:pt>
                <c:pt idx="10">
                  <c:v>905</c:v>
                </c:pt>
                <c:pt idx="11">
                  <c:v>930</c:v>
                </c:pt>
                <c:pt idx="12">
                  <c:v>960</c:v>
                </c:pt>
                <c:pt idx="13">
                  <c:v>990</c:v>
                </c:pt>
                <c:pt idx="14">
                  <c:v>1010</c:v>
                </c:pt>
                <c:pt idx="15">
                  <c:v>1025</c:v>
                </c:pt>
                <c:pt idx="16">
                  <c:v>1035</c:v>
                </c:pt>
                <c:pt idx="17">
                  <c:v>1030</c:v>
                </c:pt>
                <c:pt idx="18">
                  <c:v>1025</c:v>
                </c:pt>
                <c:pt idx="19">
                  <c:v>1025</c:v>
                </c:pt>
                <c:pt idx="20">
                  <c:v>1015</c:v>
                </c:pt>
                <c:pt idx="21">
                  <c:v>1000</c:v>
                </c:pt>
                <c:pt idx="22">
                  <c:v>980</c:v>
                </c:pt>
                <c:pt idx="23">
                  <c:v>960</c:v>
                </c:pt>
                <c:pt idx="24">
                  <c:v>925</c:v>
                </c:pt>
                <c:pt idx="25">
                  <c:v>880</c:v>
                </c:pt>
                <c:pt idx="26">
                  <c:v>835</c:v>
                </c:pt>
                <c:pt idx="27">
                  <c:v>785</c:v>
                </c:pt>
                <c:pt idx="28">
                  <c:v>730</c:v>
                </c:pt>
                <c:pt idx="29">
                  <c:v>685</c:v>
                </c:pt>
                <c:pt idx="30">
                  <c:v>635</c:v>
                </c:pt>
                <c:pt idx="31">
                  <c:v>595</c:v>
                </c:pt>
                <c:pt idx="32">
                  <c:v>555</c:v>
                </c:pt>
                <c:pt idx="33">
                  <c:v>515</c:v>
                </c:pt>
                <c:pt idx="34">
                  <c:v>480</c:v>
                </c:pt>
                <c:pt idx="35">
                  <c:v>440</c:v>
                </c:pt>
                <c:pt idx="36">
                  <c:v>410</c:v>
                </c:pt>
                <c:pt idx="37">
                  <c:v>380</c:v>
                </c:pt>
                <c:pt idx="38">
                  <c:v>345</c:v>
                </c:pt>
                <c:pt idx="39">
                  <c:v>315</c:v>
                </c:pt>
                <c:pt idx="40">
                  <c:v>285</c:v>
                </c:pt>
              </c:numCache>
            </c:numRef>
          </c:val>
        </c:ser>
        <c:ser>
          <c:idx val="12"/>
          <c:order val="12"/>
          <c:tx>
            <c:strRef>
              <c:f>Extrapoliation!$A$175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Extrapoliation!$B$175:$AP$175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Extrapoliation!$A$176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Extrapoliation!$B$176:$AP$176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Extrapoliation!$A$177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Extrapoliation!$B$177:$AP$177</c:f>
              <c:numCache>
                <c:formatCode>0_ </c:formatCode>
                <c:ptCount val="41"/>
                <c:pt idx="0">
                  <c:v>0</c:v>
                </c:pt>
                <c:pt idx="1">
                  <c:v>40</c:v>
                </c:pt>
                <c:pt idx="2">
                  <c:v>25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35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40</c:v>
                </c:pt>
                <c:pt idx="12">
                  <c:v>40</c:v>
                </c:pt>
                <c:pt idx="13">
                  <c:v>35</c:v>
                </c:pt>
                <c:pt idx="14">
                  <c:v>40</c:v>
                </c:pt>
                <c:pt idx="15">
                  <c:v>40</c:v>
                </c:pt>
                <c:pt idx="16">
                  <c:v>45</c:v>
                </c:pt>
                <c:pt idx="17">
                  <c:v>40</c:v>
                </c:pt>
                <c:pt idx="18">
                  <c:v>40</c:v>
                </c:pt>
                <c:pt idx="19">
                  <c:v>35</c:v>
                </c:pt>
                <c:pt idx="20">
                  <c:v>40</c:v>
                </c:pt>
                <c:pt idx="21">
                  <c:v>40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30</c:v>
                </c:pt>
                <c:pt idx="26">
                  <c:v>30</c:v>
                </c:pt>
                <c:pt idx="27">
                  <c:v>25</c:v>
                </c:pt>
                <c:pt idx="28">
                  <c:v>25</c:v>
                </c:pt>
                <c:pt idx="29">
                  <c:v>20</c:v>
                </c:pt>
                <c:pt idx="30">
                  <c:v>20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10</c:v>
                </c:pt>
                <c:pt idx="35">
                  <c:v>5</c:v>
                </c:pt>
                <c:pt idx="36">
                  <c:v>10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Extrapoliation!$A$178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Extrapoliation!$B$178:$AP$178</c:f>
              <c:numCache>
                <c:formatCode>0_ </c:formatCode>
                <c:ptCount val="41"/>
                <c:pt idx="0">
                  <c:v>0</c:v>
                </c:pt>
                <c:pt idx="1">
                  <c:v>108</c:v>
                </c:pt>
                <c:pt idx="2">
                  <c:v>66</c:v>
                </c:pt>
                <c:pt idx="3">
                  <c:v>78</c:v>
                </c:pt>
                <c:pt idx="4">
                  <c:v>84</c:v>
                </c:pt>
                <c:pt idx="5">
                  <c:v>96</c:v>
                </c:pt>
                <c:pt idx="6">
                  <c:v>108</c:v>
                </c:pt>
                <c:pt idx="7">
                  <c:v>126</c:v>
                </c:pt>
                <c:pt idx="8">
                  <c:v>138</c:v>
                </c:pt>
                <c:pt idx="9">
                  <c:v>156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288</c:v>
                </c:pt>
                <c:pt idx="17">
                  <c:v>306</c:v>
                </c:pt>
                <c:pt idx="18">
                  <c:v>318</c:v>
                </c:pt>
                <c:pt idx="19">
                  <c:v>324</c:v>
                </c:pt>
                <c:pt idx="20">
                  <c:v>342</c:v>
                </c:pt>
                <c:pt idx="21">
                  <c:v>360</c:v>
                </c:pt>
                <c:pt idx="22">
                  <c:v>372</c:v>
                </c:pt>
                <c:pt idx="23">
                  <c:v>390</c:v>
                </c:pt>
                <c:pt idx="24">
                  <c:v>402</c:v>
                </c:pt>
                <c:pt idx="25">
                  <c:v>414</c:v>
                </c:pt>
                <c:pt idx="26">
                  <c:v>432</c:v>
                </c:pt>
                <c:pt idx="27">
                  <c:v>438</c:v>
                </c:pt>
                <c:pt idx="28">
                  <c:v>444</c:v>
                </c:pt>
                <c:pt idx="29">
                  <c:v>450</c:v>
                </c:pt>
                <c:pt idx="30">
                  <c:v>456</c:v>
                </c:pt>
                <c:pt idx="31">
                  <c:v>450</c:v>
                </c:pt>
                <c:pt idx="32">
                  <c:v>450</c:v>
                </c:pt>
                <c:pt idx="33">
                  <c:v>438</c:v>
                </c:pt>
                <c:pt idx="34">
                  <c:v>444</c:v>
                </c:pt>
                <c:pt idx="35">
                  <c:v>438</c:v>
                </c:pt>
                <c:pt idx="36">
                  <c:v>414</c:v>
                </c:pt>
                <c:pt idx="37">
                  <c:v>390</c:v>
                </c:pt>
                <c:pt idx="38">
                  <c:v>366</c:v>
                </c:pt>
                <c:pt idx="39">
                  <c:v>348</c:v>
                </c:pt>
                <c:pt idx="40">
                  <c:v>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671121d-0761-4972-8e42-35b36a2e6f04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PMCCS retirement schedule</a:t>
            </a:r>
            <a:endParaRPr lang="en-US" alt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Extrapoliation!$A$259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Extrapoliation!$B$259:$AP$259</c:f>
              <c:numCache>
                <c:formatCode>0_ </c:formatCode>
                <c:ptCount val="41"/>
                <c:pt idx="0">
                  <c:v>14693</c:v>
                </c:pt>
                <c:pt idx="1">
                  <c:v>4993</c:v>
                </c:pt>
                <c:pt idx="2">
                  <c:v>7040</c:v>
                </c:pt>
                <c:pt idx="3">
                  <c:v>7270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4044</c:v>
                </c:pt>
                <c:pt idx="12">
                  <c:v>13236</c:v>
                </c:pt>
                <c:pt idx="13">
                  <c:v>25302</c:v>
                </c:pt>
                <c:pt idx="14">
                  <c:v>43842</c:v>
                </c:pt>
                <c:pt idx="15">
                  <c:v>61668</c:v>
                </c:pt>
                <c:pt idx="16">
                  <c:v>71814</c:v>
                </c:pt>
                <c:pt idx="17">
                  <c:v>77118</c:v>
                </c:pt>
                <c:pt idx="18">
                  <c:v>78018</c:v>
                </c:pt>
                <c:pt idx="19">
                  <c:v>72906</c:v>
                </c:pt>
                <c:pt idx="20">
                  <c:v>66450</c:v>
                </c:pt>
                <c:pt idx="21">
                  <c:v>61146</c:v>
                </c:pt>
                <c:pt idx="22">
                  <c:v>55704</c:v>
                </c:pt>
                <c:pt idx="23">
                  <c:v>55656</c:v>
                </c:pt>
                <c:pt idx="24">
                  <c:v>52278</c:v>
                </c:pt>
                <c:pt idx="25">
                  <c:v>49920</c:v>
                </c:pt>
                <c:pt idx="26">
                  <c:v>49164</c:v>
                </c:pt>
                <c:pt idx="27">
                  <c:v>48318</c:v>
                </c:pt>
                <c:pt idx="28">
                  <c:v>43116</c:v>
                </c:pt>
                <c:pt idx="29">
                  <c:v>38688</c:v>
                </c:pt>
                <c:pt idx="30">
                  <c:v>35322</c:v>
                </c:pt>
                <c:pt idx="31">
                  <c:v>36810</c:v>
                </c:pt>
                <c:pt idx="32">
                  <c:v>37506</c:v>
                </c:pt>
                <c:pt idx="33">
                  <c:v>45600</c:v>
                </c:pt>
                <c:pt idx="34">
                  <c:v>46644</c:v>
                </c:pt>
                <c:pt idx="35">
                  <c:v>43812</c:v>
                </c:pt>
                <c:pt idx="36">
                  <c:v>36738</c:v>
                </c:pt>
                <c:pt idx="37">
                  <c:v>30402</c:v>
                </c:pt>
                <c:pt idx="38">
                  <c:v>14580</c:v>
                </c:pt>
                <c:pt idx="39">
                  <c:v>9900</c:v>
                </c:pt>
                <c:pt idx="40">
                  <c:v>8508</c:v>
                </c:pt>
              </c:numCache>
            </c:numRef>
          </c:val>
        </c:ser>
        <c:ser>
          <c:idx val="1"/>
          <c:order val="1"/>
          <c:tx>
            <c:strRef>
              <c:f>Extrapoliation!$A$260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Extrapoliation!$B$260:$AP$260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</c:v>
                </c:pt>
                <c:pt idx="14">
                  <c:v>65</c:v>
                </c:pt>
                <c:pt idx="15">
                  <c:v>120</c:v>
                </c:pt>
                <c:pt idx="16">
                  <c:v>175</c:v>
                </c:pt>
                <c:pt idx="17">
                  <c:v>175</c:v>
                </c:pt>
                <c:pt idx="18">
                  <c:v>575</c:v>
                </c:pt>
                <c:pt idx="19">
                  <c:v>1155</c:v>
                </c:pt>
                <c:pt idx="20">
                  <c:v>1665</c:v>
                </c:pt>
                <c:pt idx="21">
                  <c:v>1810</c:v>
                </c:pt>
                <c:pt idx="22">
                  <c:v>2330</c:v>
                </c:pt>
                <c:pt idx="23">
                  <c:v>2325</c:v>
                </c:pt>
                <c:pt idx="24">
                  <c:v>2030</c:v>
                </c:pt>
                <c:pt idx="25">
                  <c:v>1905</c:v>
                </c:pt>
                <c:pt idx="26">
                  <c:v>2700</c:v>
                </c:pt>
                <c:pt idx="27">
                  <c:v>4005</c:v>
                </c:pt>
                <c:pt idx="28">
                  <c:v>5310</c:v>
                </c:pt>
                <c:pt idx="29">
                  <c:v>6020</c:v>
                </c:pt>
                <c:pt idx="30">
                  <c:v>6530</c:v>
                </c:pt>
                <c:pt idx="31">
                  <c:v>6940</c:v>
                </c:pt>
                <c:pt idx="32">
                  <c:v>6090</c:v>
                </c:pt>
                <c:pt idx="33">
                  <c:v>4380</c:v>
                </c:pt>
                <c:pt idx="34">
                  <c:v>3335</c:v>
                </c:pt>
                <c:pt idx="35">
                  <c:v>2375</c:v>
                </c:pt>
                <c:pt idx="36">
                  <c:v>980</c:v>
                </c:pt>
                <c:pt idx="37">
                  <c:v>0.444000000024971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2"/>
          <c:order val="2"/>
          <c:tx>
            <c:strRef>
              <c:f>Extrapoliation!$A$261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Extrapoliation!$B$261:$AP$261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Extrapoliation!$A$262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Extrapoliation!$B$262:$AP$262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Extrapoliation!$A$263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Extrapoliation!$B$263:$AP$263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33102</c:v>
                </c:pt>
                <c:pt idx="25">
                  <c:v>35936</c:v>
                </c:pt>
                <c:pt idx="26">
                  <c:v>45394</c:v>
                </c:pt>
                <c:pt idx="27">
                  <c:v>40146</c:v>
                </c:pt>
                <c:pt idx="28">
                  <c:v>26252</c:v>
                </c:pt>
                <c:pt idx="29">
                  <c:v>20188</c:v>
                </c:pt>
                <c:pt idx="30">
                  <c:v>13812</c:v>
                </c:pt>
                <c:pt idx="31">
                  <c:v>0.931944444426335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Extrapoliation!$A$264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Extrapoliation!$B$264:$AP$264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27213</c:v>
                </c:pt>
                <c:pt idx="24">
                  <c:v>26267</c:v>
                </c:pt>
                <c:pt idx="25">
                  <c:v>27307</c:v>
                </c:pt>
                <c:pt idx="26">
                  <c:v>45978</c:v>
                </c:pt>
                <c:pt idx="27">
                  <c:v>42502</c:v>
                </c:pt>
                <c:pt idx="28">
                  <c:v>36281</c:v>
                </c:pt>
                <c:pt idx="29">
                  <c:v>31170</c:v>
                </c:pt>
                <c:pt idx="30">
                  <c:v>24012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Extrapoliation!$A$265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Extrapoliation!$B$265:$AP$265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50</c:v>
                </c:pt>
                <c:pt idx="27">
                  <c:v>500</c:v>
                </c:pt>
                <c:pt idx="28">
                  <c:v>900</c:v>
                </c:pt>
                <c:pt idx="29">
                  <c:v>950</c:v>
                </c:pt>
                <c:pt idx="30">
                  <c:v>850</c:v>
                </c:pt>
                <c:pt idx="31">
                  <c:v>900</c:v>
                </c:pt>
                <c:pt idx="32">
                  <c:v>450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Extrapoliation!$A$266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Extrapoliation!$B$266:$AP$266</c:f>
              <c:numCache>
                <c:formatCode>0_ </c:formatCode>
                <c:ptCount val="41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24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126</c:v>
                </c:pt>
                <c:pt idx="10">
                  <c:v>222</c:v>
                </c:pt>
                <c:pt idx="11">
                  <c:v>318</c:v>
                </c:pt>
                <c:pt idx="12">
                  <c:v>420</c:v>
                </c:pt>
                <c:pt idx="13">
                  <c:v>516</c:v>
                </c:pt>
                <c:pt idx="14">
                  <c:v>516</c:v>
                </c:pt>
                <c:pt idx="15">
                  <c:v>510</c:v>
                </c:pt>
                <c:pt idx="16">
                  <c:v>516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534</c:v>
                </c:pt>
                <c:pt idx="22">
                  <c:v>630</c:v>
                </c:pt>
                <c:pt idx="23">
                  <c:v>642</c:v>
                </c:pt>
                <c:pt idx="24">
                  <c:v>636</c:v>
                </c:pt>
                <c:pt idx="25">
                  <c:v>636</c:v>
                </c:pt>
                <c:pt idx="26">
                  <c:v>720</c:v>
                </c:pt>
                <c:pt idx="27">
                  <c:v>810</c:v>
                </c:pt>
                <c:pt idx="28">
                  <c:v>1164</c:v>
                </c:pt>
                <c:pt idx="29">
                  <c:v>1488</c:v>
                </c:pt>
                <c:pt idx="30">
                  <c:v>1548</c:v>
                </c:pt>
                <c:pt idx="31">
                  <c:v>1596</c:v>
                </c:pt>
                <c:pt idx="32">
                  <c:v>1362</c:v>
                </c:pt>
                <c:pt idx="33">
                  <c:v>912</c:v>
                </c:pt>
                <c:pt idx="34">
                  <c:v>456</c:v>
                </c:pt>
                <c:pt idx="35">
                  <c:v>234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8"/>
          <c:order val="8"/>
          <c:tx>
            <c:strRef>
              <c:f>Extrapoliation!$A$267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Extrapoliation!$B$267:$AP$267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Extrapoliation!$A$268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Extrapoliation!$B$268:$AP$268</c:f>
              <c:numCache>
                <c:formatCode>0_ </c:formatCode>
                <c:ptCount val="4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5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10</c:v>
                </c:pt>
                <c:pt idx="21">
                  <c:v>5</c:v>
                </c:pt>
                <c:pt idx="22">
                  <c:v>0</c:v>
                </c:pt>
                <c:pt idx="23">
                  <c:v>5</c:v>
                </c:pt>
                <c:pt idx="24">
                  <c:v>4.08569436521498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Extrapoliation!$A$269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Extrapoliation!$B$269:$AP$269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5.7</c:v>
                </c:pt>
                <c:pt idx="14">
                  <c:v>28.5</c:v>
                </c:pt>
                <c:pt idx="15">
                  <c:v>51.3</c:v>
                </c:pt>
                <c:pt idx="16">
                  <c:v>75.05</c:v>
                </c:pt>
                <c:pt idx="17">
                  <c:v>76</c:v>
                </c:pt>
                <c:pt idx="18">
                  <c:v>246.05</c:v>
                </c:pt>
                <c:pt idx="19">
                  <c:v>494</c:v>
                </c:pt>
                <c:pt idx="20">
                  <c:v>715.35</c:v>
                </c:pt>
                <c:pt idx="21">
                  <c:v>775.2</c:v>
                </c:pt>
                <c:pt idx="22">
                  <c:v>998.45</c:v>
                </c:pt>
                <c:pt idx="23">
                  <c:v>995.6</c:v>
                </c:pt>
                <c:pt idx="24">
                  <c:v>870.2</c:v>
                </c:pt>
                <c:pt idx="25">
                  <c:v>817</c:v>
                </c:pt>
                <c:pt idx="26">
                  <c:v>1157.1</c:v>
                </c:pt>
                <c:pt idx="27">
                  <c:v>1716.65</c:v>
                </c:pt>
                <c:pt idx="28">
                  <c:v>2274.3</c:v>
                </c:pt>
                <c:pt idx="29">
                  <c:v>2581.15</c:v>
                </c:pt>
                <c:pt idx="30">
                  <c:v>2799.65</c:v>
                </c:pt>
                <c:pt idx="31">
                  <c:v>2972.55</c:v>
                </c:pt>
                <c:pt idx="32">
                  <c:v>2611.55</c:v>
                </c:pt>
                <c:pt idx="33">
                  <c:v>3521.65</c:v>
                </c:pt>
                <c:pt idx="34">
                  <c:v>4326.3</c:v>
                </c:pt>
                <c:pt idx="35">
                  <c:v>6156</c:v>
                </c:pt>
                <c:pt idx="36">
                  <c:v>7805.2</c:v>
                </c:pt>
                <c:pt idx="37">
                  <c:v>12377.55</c:v>
                </c:pt>
                <c:pt idx="38">
                  <c:v>14821.9</c:v>
                </c:pt>
                <c:pt idx="39">
                  <c:v>16961.3</c:v>
                </c:pt>
                <c:pt idx="40">
                  <c:v>18882.2</c:v>
                </c:pt>
              </c:numCache>
            </c:numRef>
          </c:val>
        </c:ser>
        <c:ser>
          <c:idx val="11"/>
          <c:order val="11"/>
          <c:tx>
            <c:strRef>
              <c:f>Extrapoliation!$A$270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Extrapoliation!$B$270:$AP$270</c:f>
              <c:numCache>
                <c:formatCode>0_ </c:formatCode>
                <c:ptCount val="41"/>
                <c:pt idx="0">
                  <c:v>0</c:v>
                </c:pt>
                <c:pt idx="1">
                  <c:v>2635</c:v>
                </c:pt>
                <c:pt idx="2">
                  <c:v>1880</c:v>
                </c:pt>
                <c:pt idx="3">
                  <c:v>1880</c:v>
                </c:pt>
                <c:pt idx="4">
                  <c:v>1885</c:v>
                </c:pt>
                <c:pt idx="5">
                  <c:v>1880</c:v>
                </c:pt>
                <c:pt idx="6">
                  <c:v>1885</c:v>
                </c:pt>
                <c:pt idx="7">
                  <c:v>1880</c:v>
                </c:pt>
                <c:pt idx="8">
                  <c:v>1885</c:v>
                </c:pt>
                <c:pt idx="9">
                  <c:v>1635</c:v>
                </c:pt>
                <c:pt idx="10">
                  <c:v>1390</c:v>
                </c:pt>
                <c:pt idx="11">
                  <c:v>1140</c:v>
                </c:pt>
                <c:pt idx="12">
                  <c:v>895</c:v>
                </c:pt>
                <c:pt idx="13">
                  <c:v>650</c:v>
                </c:pt>
                <c:pt idx="14">
                  <c:v>650</c:v>
                </c:pt>
                <c:pt idx="15">
                  <c:v>645</c:v>
                </c:pt>
                <c:pt idx="16">
                  <c:v>650</c:v>
                </c:pt>
                <c:pt idx="17">
                  <c:v>830</c:v>
                </c:pt>
                <c:pt idx="18">
                  <c:v>1080</c:v>
                </c:pt>
                <c:pt idx="19">
                  <c:v>1195</c:v>
                </c:pt>
                <c:pt idx="20">
                  <c:v>1375</c:v>
                </c:pt>
                <c:pt idx="21">
                  <c:v>1370</c:v>
                </c:pt>
                <c:pt idx="22">
                  <c:v>1120</c:v>
                </c:pt>
                <c:pt idx="23">
                  <c:v>740</c:v>
                </c:pt>
                <c:pt idx="24">
                  <c:v>555</c:v>
                </c:pt>
                <c:pt idx="25">
                  <c:v>245</c:v>
                </c:pt>
                <c:pt idx="26">
                  <c:v>125</c:v>
                </c:pt>
                <c:pt idx="27">
                  <c:v>345</c:v>
                </c:pt>
                <c:pt idx="28">
                  <c:v>680</c:v>
                </c:pt>
                <c:pt idx="29">
                  <c:v>620</c:v>
                </c:pt>
                <c:pt idx="30">
                  <c:v>615</c:v>
                </c:pt>
                <c:pt idx="31">
                  <c:v>620</c:v>
                </c:pt>
                <c:pt idx="32">
                  <c:v>335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2"/>
          <c:order val="12"/>
          <c:tx>
            <c:strRef>
              <c:f>Extrapoliation!$A$271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Extrapoliation!$B$271:$AP$271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Extrapoliation!$A$272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Extrapoliation!$B$272:$AP$272</c:f>
              <c:numCache>
                <c:formatCode>0_ 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3655</c:v>
                </c:pt>
                <c:pt idx="29">
                  <c:v>6640</c:v>
                </c:pt>
                <c:pt idx="30">
                  <c:v>6645</c:v>
                </c:pt>
                <c:pt idx="31">
                  <c:v>6640</c:v>
                </c:pt>
                <c:pt idx="32">
                  <c:v>6640</c:v>
                </c:pt>
                <c:pt idx="33">
                  <c:v>2985</c:v>
                </c:pt>
                <c:pt idx="34">
                  <c:v>2.55026304113562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Extrapoliation!$A$273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Extrapoliation!$B$273:$AP$273</c:f>
              <c:numCache>
                <c:formatCode>0_ </c:formatCode>
                <c:ptCount val="41"/>
                <c:pt idx="0">
                  <c:v>0</c:v>
                </c:pt>
                <c:pt idx="1">
                  <c:v>70</c:v>
                </c:pt>
                <c:pt idx="2">
                  <c:v>65</c:v>
                </c:pt>
                <c:pt idx="3">
                  <c:v>80</c:v>
                </c:pt>
                <c:pt idx="4">
                  <c:v>90</c:v>
                </c:pt>
                <c:pt idx="5">
                  <c:v>85</c:v>
                </c:pt>
                <c:pt idx="6">
                  <c:v>90</c:v>
                </c:pt>
                <c:pt idx="7">
                  <c:v>85</c:v>
                </c:pt>
                <c:pt idx="8">
                  <c:v>90</c:v>
                </c:pt>
                <c:pt idx="9">
                  <c:v>90</c:v>
                </c:pt>
                <c:pt idx="10">
                  <c:v>75</c:v>
                </c:pt>
                <c:pt idx="11">
                  <c:v>65</c:v>
                </c:pt>
                <c:pt idx="12">
                  <c:v>50</c:v>
                </c:pt>
                <c:pt idx="13">
                  <c:v>45</c:v>
                </c:pt>
                <c:pt idx="14">
                  <c:v>30</c:v>
                </c:pt>
                <c:pt idx="15">
                  <c:v>30</c:v>
                </c:pt>
                <c:pt idx="16">
                  <c:v>40</c:v>
                </c:pt>
                <c:pt idx="17">
                  <c:v>40</c:v>
                </c:pt>
                <c:pt idx="18">
                  <c:v>30</c:v>
                </c:pt>
                <c:pt idx="19">
                  <c:v>35</c:v>
                </c:pt>
                <c:pt idx="20">
                  <c:v>30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Extrapoliation!$A$274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Extrapoliation!$B$274:$AP$274</c:f>
              <c:numCache>
                <c:formatCode>0_ </c:formatCode>
                <c:ptCount val="41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12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12</c:v>
                </c:pt>
                <c:pt idx="8">
                  <c:v>18</c:v>
                </c:pt>
                <c:pt idx="9">
                  <c:v>114</c:v>
                </c:pt>
                <c:pt idx="10">
                  <c:v>216</c:v>
                </c:pt>
                <c:pt idx="11">
                  <c:v>312</c:v>
                </c:pt>
                <c:pt idx="12">
                  <c:v>414</c:v>
                </c:pt>
                <c:pt idx="13">
                  <c:v>516</c:v>
                </c:pt>
                <c:pt idx="14">
                  <c:v>516</c:v>
                </c:pt>
                <c:pt idx="15">
                  <c:v>516</c:v>
                </c:pt>
                <c:pt idx="16">
                  <c:v>510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540</c:v>
                </c:pt>
                <c:pt idx="22">
                  <c:v>630</c:v>
                </c:pt>
                <c:pt idx="23">
                  <c:v>636</c:v>
                </c:pt>
                <c:pt idx="24">
                  <c:v>636</c:v>
                </c:pt>
                <c:pt idx="25">
                  <c:v>642</c:v>
                </c:pt>
                <c:pt idx="26">
                  <c:v>714</c:v>
                </c:pt>
                <c:pt idx="27">
                  <c:v>810</c:v>
                </c:pt>
                <c:pt idx="28">
                  <c:v>1320</c:v>
                </c:pt>
                <c:pt idx="29">
                  <c:v>2448</c:v>
                </c:pt>
                <c:pt idx="30">
                  <c:v>2862</c:v>
                </c:pt>
                <c:pt idx="31">
                  <c:v>2994</c:v>
                </c:pt>
                <c:pt idx="32">
                  <c:v>2760</c:v>
                </c:pt>
                <c:pt idx="33">
                  <c:v>2154</c:v>
                </c:pt>
                <c:pt idx="34">
                  <c:v>894</c:v>
                </c:pt>
                <c:pt idx="35">
                  <c:v>324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c98076d-b525-482b-b564-ca6c3f26116d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7</xdr:col>
      <xdr:colOff>304800</xdr:colOff>
      <xdr:row>74</xdr:row>
      <xdr:rowOff>33972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5320" y="10458450"/>
          <a:ext cx="14970760" cy="22625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1362</xdr:rowOff>
    </xdr:from>
    <xdr:to>
      <xdr:col>3</xdr:col>
      <xdr:colOff>1177018</xdr:colOff>
      <xdr:row>95</xdr:row>
      <xdr:rowOff>164647</xdr:rowOff>
    </xdr:to>
    <xdr:graphicFrame>
      <xdr:nvGraphicFramePr>
        <xdr:cNvPr id="7" name="图表 6"/>
        <xdr:cNvGraphicFramePr/>
      </xdr:nvGraphicFramePr>
      <xdr:xfrm>
        <a:off x="655320" y="12860020"/>
        <a:ext cx="635254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1552575</xdr:colOff>
      <xdr:row>75</xdr:row>
      <xdr:rowOff>9525</xdr:rowOff>
    </xdr:from>
    <xdr:to>
      <xdr:col>5</xdr:col>
      <xdr:colOff>2748642</xdr:colOff>
      <xdr:row>96</xdr:row>
      <xdr:rowOff>2722</xdr:rowOff>
    </xdr:to>
    <xdr:graphicFrame>
      <xdr:nvGraphicFramePr>
        <xdr:cNvPr id="9" name="图表 8"/>
        <xdr:cNvGraphicFramePr/>
      </xdr:nvGraphicFramePr>
      <xdr:xfrm>
        <a:off x="7383780" y="12868275"/>
        <a:ext cx="6350635" cy="359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14287</xdr:colOff>
      <xdr:row>33</xdr:row>
      <xdr:rowOff>28575</xdr:rowOff>
    </xdr:from>
    <xdr:to>
      <xdr:col>30</xdr:col>
      <xdr:colOff>471487</xdr:colOff>
      <xdr:row>48</xdr:row>
      <xdr:rowOff>57150</xdr:rowOff>
    </xdr:to>
    <xdr:graphicFrame>
      <xdr:nvGraphicFramePr>
        <xdr:cNvPr id="2" name="图表 1"/>
        <xdr:cNvGraphicFramePr/>
      </xdr:nvGraphicFramePr>
      <xdr:xfrm>
        <a:off x="23043515" y="5852795"/>
        <a:ext cx="438912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4762</xdr:colOff>
      <xdr:row>1</xdr:row>
      <xdr:rowOff>19050</xdr:rowOff>
    </xdr:from>
    <xdr:to>
      <xdr:col>11</xdr:col>
      <xdr:colOff>519112</xdr:colOff>
      <xdr:row>16</xdr:row>
      <xdr:rowOff>47625</xdr:rowOff>
    </xdr:to>
    <xdr:graphicFrame>
      <xdr:nvGraphicFramePr>
        <xdr:cNvPr id="2" name="图表 1"/>
        <xdr:cNvGraphicFramePr/>
      </xdr:nvGraphicFramePr>
      <xdr:xfrm>
        <a:off x="4328160" y="194945"/>
        <a:ext cx="487680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275</xdr:row>
      <xdr:rowOff>0</xdr:rowOff>
    </xdr:from>
    <xdr:to>
      <xdr:col>12</xdr:col>
      <xdr:colOff>0</xdr:colOff>
      <xdr:row>297</xdr:row>
      <xdr:rowOff>0</xdr:rowOff>
    </xdr:to>
    <xdr:graphicFrame>
      <xdr:nvGraphicFramePr>
        <xdr:cNvPr id="9" name="图表 8"/>
        <xdr:cNvGraphicFramePr/>
      </xdr:nvGraphicFramePr>
      <xdr:xfrm>
        <a:off x="2409190" y="45180250"/>
        <a:ext cx="6457950" cy="356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274</xdr:row>
      <xdr:rowOff>161924</xdr:rowOff>
    </xdr:from>
    <xdr:to>
      <xdr:col>23</xdr:col>
      <xdr:colOff>0</xdr:colOff>
      <xdr:row>297</xdr:row>
      <xdr:rowOff>0</xdr:rowOff>
    </xdr:to>
    <xdr:graphicFrame>
      <xdr:nvGraphicFramePr>
        <xdr:cNvPr id="11" name="图表 10"/>
        <xdr:cNvGraphicFramePr/>
      </xdr:nvGraphicFramePr>
      <xdr:xfrm>
        <a:off x="9512935" y="45179615"/>
        <a:ext cx="6457950" cy="3562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d.docs.live.net\Rui%20Wang\2021%20&#26234;&#27719;&#32511;&#34892;\&#30005;&#21147;&#31995;&#32479;&#27169;&#22411;\&#35013;&#26426;&#23481;&#37327;&#19982;&#21457;&#30005;&#37327;&#21464;&#21270;\00-07&#28779;&#30005;&#24314;&#3577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d.docs.live.net\Rui%20Wang\Inventory\Energy%20Project%20Database\&#26680;&#30005;&#26426;&#32452;\100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2006"/>
      <sheetName val="2007"/>
      <sheetName val="燃气轮机"/>
      <sheetName val="柴油机组"/>
      <sheetName val="Sheet1"/>
    </sheetNames>
    <sheetDataSet>
      <sheetData sheetId="0">
        <row r="3">
          <cell r="I3">
            <v>521.364</v>
          </cell>
        </row>
        <row r="3">
          <cell r="O3">
            <v>497</v>
          </cell>
        </row>
        <row r="14">
          <cell r="I14">
            <v>14.349</v>
          </cell>
        </row>
        <row r="14">
          <cell r="O14">
            <v>16</v>
          </cell>
        </row>
        <row r="16">
          <cell r="I16">
            <v>13.824</v>
          </cell>
        </row>
        <row r="16">
          <cell r="O16">
            <v>12</v>
          </cell>
        </row>
        <row r="22">
          <cell r="I22">
            <v>489.401</v>
          </cell>
        </row>
        <row r="22">
          <cell r="O22">
            <v>466</v>
          </cell>
        </row>
        <row r="23">
          <cell r="I23">
            <v>3.79</v>
          </cell>
        </row>
        <row r="23">
          <cell r="O23">
            <v>3</v>
          </cell>
        </row>
      </sheetData>
      <sheetData sheetId="1">
        <row r="3">
          <cell r="I3">
            <v>569.58</v>
          </cell>
        </row>
        <row r="3">
          <cell r="O3">
            <v>520</v>
          </cell>
        </row>
        <row r="8">
          <cell r="I8">
            <v>1.2</v>
          </cell>
        </row>
        <row r="8">
          <cell r="O8">
            <v>1</v>
          </cell>
        </row>
        <row r="11">
          <cell r="I11">
            <v>0.6</v>
          </cell>
        </row>
        <row r="11">
          <cell r="O11">
            <v>1</v>
          </cell>
        </row>
        <row r="14">
          <cell r="I14">
            <v>12.29</v>
          </cell>
        </row>
        <row r="14">
          <cell r="O14">
            <v>15</v>
          </cell>
        </row>
        <row r="16">
          <cell r="I16">
            <v>18.4</v>
          </cell>
        </row>
        <row r="16">
          <cell r="O16">
            <v>16</v>
          </cell>
        </row>
        <row r="19">
          <cell r="I19">
            <v>1.8</v>
          </cell>
        </row>
        <row r="19">
          <cell r="O19">
            <v>3</v>
          </cell>
        </row>
        <row r="22">
          <cell r="I22">
            <v>499.64</v>
          </cell>
        </row>
        <row r="22">
          <cell r="O22">
            <v>475</v>
          </cell>
        </row>
        <row r="23">
          <cell r="I23">
            <v>4.28</v>
          </cell>
        </row>
        <row r="23">
          <cell r="O23">
            <v>4</v>
          </cell>
        </row>
        <row r="24">
          <cell r="I24">
            <v>31.37</v>
          </cell>
        </row>
        <row r="24">
          <cell r="O24">
            <v>5</v>
          </cell>
        </row>
      </sheetData>
      <sheetData sheetId="2">
        <row r="3">
          <cell r="I3">
            <v>570.18</v>
          </cell>
        </row>
        <row r="3">
          <cell r="O3">
            <v>521</v>
          </cell>
        </row>
        <row r="6">
          <cell r="I6">
            <v>0.6</v>
          </cell>
        </row>
        <row r="6">
          <cell r="O6">
            <v>1</v>
          </cell>
        </row>
        <row r="8">
          <cell r="I8">
            <v>1.2</v>
          </cell>
        </row>
        <row r="8">
          <cell r="O8">
            <v>1</v>
          </cell>
        </row>
        <row r="11">
          <cell r="I11">
            <v>0.6</v>
          </cell>
        </row>
        <row r="11">
          <cell r="O11">
            <v>1</v>
          </cell>
        </row>
        <row r="14">
          <cell r="I14">
            <v>12.29</v>
          </cell>
        </row>
        <row r="14">
          <cell r="O14">
            <v>15</v>
          </cell>
        </row>
        <row r="16">
          <cell r="I16">
            <v>18.4</v>
          </cell>
        </row>
        <row r="16">
          <cell r="O16">
            <v>16</v>
          </cell>
        </row>
        <row r="19">
          <cell r="I19">
            <v>1.8</v>
          </cell>
        </row>
        <row r="19">
          <cell r="O19">
            <v>3</v>
          </cell>
        </row>
        <row r="22">
          <cell r="I22">
            <v>499.64</v>
          </cell>
        </row>
        <row r="22">
          <cell r="O22">
            <v>475</v>
          </cell>
        </row>
        <row r="23">
          <cell r="I23">
            <v>4.28</v>
          </cell>
        </row>
        <row r="23">
          <cell r="O23">
            <v>4</v>
          </cell>
        </row>
        <row r="24">
          <cell r="I24">
            <v>31.37</v>
          </cell>
        </row>
        <row r="24">
          <cell r="O24">
            <v>5</v>
          </cell>
        </row>
      </sheetData>
      <sheetData sheetId="3">
        <row r="3">
          <cell r="I3">
            <v>573.98</v>
          </cell>
        </row>
        <row r="3">
          <cell r="O3">
            <v>525</v>
          </cell>
        </row>
        <row r="6">
          <cell r="I6">
            <v>0.6</v>
          </cell>
        </row>
        <row r="6">
          <cell r="O6">
            <v>1</v>
          </cell>
        </row>
        <row r="8">
          <cell r="I8">
            <v>1.2</v>
          </cell>
        </row>
        <row r="8">
          <cell r="O8">
            <v>1</v>
          </cell>
        </row>
        <row r="11">
          <cell r="I11">
            <v>0.6</v>
          </cell>
        </row>
        <row r="11">
          <cell r="O11">
            <v>1</v>
          </cell>
        </row>
        <row r="14">
          <cell r="I14">
            <v>12.29</v>
          </cell>
        </row>
        <row r="14">
          <cell r="O14">
            <v>15</v>
          </cell>
        </row>
        <row r="16">
          <cell r="I16">
            <v>18.4</v>
          </cell>
        </row>
        <row r="16">
          <cell r="O16">
            <v>16</v>
          </cell>
        </row>
        <row r="19">
          <cell r="I19">
            <v>1.8</v>
          </cell>
        </row>
        <row r="19">
          <cell r="O19">
            <v>3</v>
          </cell>
        </row>
        <row r="22">
          <cell r="I22">
            <v>499.64</v>
          </cell>
        </row>
        <row r="22">
          <cell r="O22">
            <v>475</v>
          </cell>
        </row>
        <row r="23">
          <cell r="I23">
            <v>4.28</v>
          </cell>
        </row>
        <row r="23">
          <cell r="O23">
            <v>4</v>
          </cell>
        </row>
        <row r="24">
          <cell r="I24">
            <v>31.37</v>
          </cell>
        </row>
        <row r="24">
          <cell r="O24">
            <v>5</v>
          </cell>
        </row>
      </sheetData>
      <sheetData sheetId="4">
        <row r="3">
          <cell r="I3">
            <v>570.75</v>
          </cell>
        </row>
        <row r="3">
          <cell r="O3">
            <v>539</v>
          </cell>
        </row>
        <row r="7">
          <cell r="I7">
            <v>5.8</v>
          </cell>
        </row>
        <row r="7">
          <cell r="O7">
            <v>4</v>
          </cell>
        </row>
        <row r="8">
          <cell r="I8">
            <v>1.2</v>
          </cell>
        </row>
        <row r="8">
          <cell r="O8">
            <v>1</v>
          </cell>
        </row>
        <row r="13">
          <cell r="I13">
            <v>14.65</v>
          </cell>
        </row>
        <row r="13">
          <cell r="O13">
            <v>15</v>
          </cell>
        </row>
        <row r="14">
          <cell r="I14">
            <v>25.13</v>
          </cell>
        </row>
        <row r="14">
          <cell r="O14">
            <v>23</v>
          </cell>
        </row>
        <row r="16">
          <cell r="I16">
            <v>18.43</v>
          </cell>
        </row>
        <row r="16">
          <cell r="O16">
            <v>16</v>
          </cell>
        </row>
        <row r="21">
          <cell r="I21">
            <v>8</v>
          </cell>
        </row>
        <row r="21">
          <cell r="O21">
            <v>7</v>
          </cell>
        </row>
        <row r="22">
          <cell r="I22">
            <v>497.54</v>
          </cell>
        </row>
        <row r="22">
          <cell r="O22">
            <v>473</v>
          </cell>
        </row>
      </sheetData>
      <sheetData sheetId="5">
        <row r="3">
          <cell r="O3">
            <v>535</v>
          </cell>
        </row>
        <row r="7">
          <cell r="O7">
            <v>5</v>
          </cell>
        </row>
        <row r="13">
          <cell r="O13">
            <v>12</v>
          </cell>
        </row>
        <row r="14">
          <cell r="O14">
            <v>13</v>
          </cell>
        </row>
        <row r="16">
          <cell r="O16">
            <v>16</v>
          </cell>
        </row>
        <row r="20">
          <cell r="O20">
            <v>3</v>
          </cell>
        </row>
        <row r="21">
          <cell r="O21">
            <v>2</v>
          </cell>
        </row>
        <row r="22">
          <cell r="O22">
            <v>483</v>
          </cell>
        </row>
        <row r="25">
          <cell r="O25">
            <v>1</v>
          </cell>
        </row>
      </sheetData>
      <sheetData sheetId="6">
        <row r="3">
          <cell r="I3">
            <v>365.73</v>
          </cell>
        </row>
        <row r="3">
          <cell r="O3">
            <v>304</v>
          </cell>
        </row>
        <row r="7">
          <cell r="I7">
            <v>5.2</v>
          </cell>
        </row>
        <row r="7">
          <cell r="O7">
            <v>5</v>
          </cell>
        </row>
        <row r="13">
          <cell r="I13">
            <v>13.99</v>
          </cell>
        </row>
        <row r="13">
          <cell r="O13">
            <v>12</v>
          </cell>
        </row>
        <row r="14">
          <cell r="I14">
            <v>8.73</v>
          </cell>
        </row>
        <row r="14">
          <cell r="O14">
            <v>5</v>
          </cell>
        </row>
        <row r="15">
          <cell r="I15">
            <v>0</v>
          </cell>
        </row>
        <row r="15">
          <cell r="O15">
            <v>0</v>
          </cell>
        </row>
        <row r="16">
          <cell r="I16">
            <v>11.52</v>
          </cell>
        </row>
        <row r="16">
          <cell r="O16">
            <v>10</v>
          </cell>
        </row>
        <row r="20">
          <cell r="I20">
            <v>3.6</v>
          </cell>
        </row>
        <row r="20">
          <cell r="O20">
            <v>3</v>
          </cell>
        </row>
        <row r="21">
          <cell r="I21">
            <v>1.2</v>
          </cell>
        </row>
        <row r="21">
          <cell r="O21">
            <v>2</v>
          </cell>
        </row>
        <row r="22">
          <cell r="I22">
            <v>320.89</v>
          </cell>
        </row>
        <row r="22">
          <cell r="O22">
            <v>266</v>
          </cell>
        </row>
        <row r="25">
          <cell r="I25">
            <v>0.6</v>
          </cell>
        </row>
        <row r="25">
          <cell r="O25">
            <v>1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机组名单"/>
      <sheetName val="电厂名单"/>
    </sheetNames>
    <sheetDataSet>
      <sheetData sheetId="0"/>
      <sheetData sheetId="1">
        <row r="2">
          <cell r="A2" t="str">
            <v>福清核电厂</v>
          </cell>
          <cell r="B2" t="str">
            <v>福建省</v>
          </cell>
          <cell r="C2" t="str">
            <v>福州市</v>
          </cell>
          <cell r="D2" t="str">
            <v>福清市</v>
          </cell>
          <cell r="E2" t="str">
            <v>福州市福清市三山镇三山镇前薛村</v>
          </cell>
          <cell r="F2">
            <v>119.44923877716</v>
          </cell>
          <cell r="G2">
            <v>25.4407750158799</v>
          </cell>
        </row>
        <row r="3">
          <cell r="A3" t="str">
            <v>宁德核电厂</v>
          </cell>
          <cell r="B3" t="str">
            <v>福建省</v>
          </cell>
          <cell r="C3" t="str">
            <v>宁德市</v>
          </cell>
          <cell r="D3" t="str">
            <v>福鼎市</v>
          </cell>
          <cell r="E3" t="str">
            <v>中国福建省宁德市福鼎市秦屿镇备湾村</v>
          </cell>
          <cell r="F3">
            <v>120.2846006</v>
          </cell>
          <cell r="G3">
            <v>27.0425839</v>
          </cell>
        </row>
        <row r="4">
          <cell r="A4" t="str">
            <v>霞浦示范快堆</v>
          </cell>
          <cell r="B4" t="str">
            <v>福建省</v>
          </cell>
          <cell r="C4" t="str">
            <v>宁德市</v>
          </cell>
          <cell r="D4" t="str">
            <v>霞浦县</v>
          </cell>
          <cell r="E4" t="str">
            <v>中国福建省宁德市霞浦县长春镇长表岛</v>
          </cell>
          <cell r="F4">
            <v>120.1526911</v>
          </cell>
          <cell r="G4">
            <v>26.80127</v>
          </cell>
        </row>
        <row r="5">
          <cell r="A5" t="str">
            <v>漳州核电厂</v>
          </cell>
          <cell r="B5" t="str">
            <v>福建省</v>
          </cell>
          <cell r="C5" t="str">
            <v>漳州市</v>
          </cell>
          <cell r="D5" t="str">
            <v>东山县</v>
          </cell>
          <cell r="E5" t="str">
            <v>福建省漳州市云霄县列屿镇刺仔尾</v>
          </cell>
          <cell r="F5">
            <v>117.4913999</v>
          </cell>
          <cell r="G5">
            <v>23.8307232</v>
          </cell>
        </row>
        <row r="6">
          <cell r="A6" t="str">
            <v>大亚湾核电厂</v>
          </cell>
          <cell r="B6" t="str">
            <v>广东省</v>
          </cell>
          <cell r="C6" t="str">
            <v>深圳市</v>
          </cell>
          <cell r="D6" t="str">
            <v>宝安区</v>
          </cell>
          <cell r="E6" t="str">
            <v>广东省深圳市大鹏新区大鹏半岛排牙山下</v>
          </cell>
          <cell r="F6">
            <v>114.5446691</v>
          </cell>
          <cell r="G6">
            <v>22.5967728</v>
          </cell>
        </row>
        <row r="7">
          <cell r="A7" t="str">
            <v>岭澳核电厂</v>
          </cell>
          <cell r="B7" t="str">
            <v>广东省</v>
          </cell>
          <cell r="C7" t="str">
            <v>深圳市</v>
          </cell>
          <cell r="D7" t="str">
            <v>宝安区</v>
          </cell>
          <cell r="E7" t="str">
            <v>广东省深圳市大鹏新区大鹏半岛东南侧</v>
          </cell>
          <cell r="F7">
            <v>114.5530613</v>
          </cell>
          <cell r="G7">
            <v>22.6061383</v>
          </cell>
        </row>
        <row r="8">
          <cell r="A8" t="str">
            <v>台山核电厂</v>
          </cell>
          <cell r="B8" t="str">
            <v>广东省</v>
          </cell>
          <cell r="C8" t="str">
            <v>江门市</v>
          </cell>
          <cell r="D8" t="str">
            <v>台山市</v>
          </cell>
          <cell r="E8" t="str">
            <v>广东省台山市赤溪镇</v>
          </cell>
          <cell r="F8">
            <v>112.9820519</v>
          </cell>
          <cell r="G8">
            <v>21.9178825</v>
          </cell>
        </row>
        <row r="9">
          <cell r="A9" t="str">
            <v>太平岭核电厂</v>
          </cell>
          <cell r="B9" t="str">
            <v>广东省</v>
          </cell>
          <cell r="C9" t="str">
            <v>惠州市</v>
          </cell>
          <cell r="D9" t="str">
            <v>惠东县</v>
          </cell>
          <cell r="E9" t="str">
            <v>广东省惠州市惠东县黄埠镇</v>
          </cell>
          <cell r="F9">
            <v>114.9844541</v>
          </cell>
          <cell r="G9">
            <v>22.6929774</v>
          </cell>
        </row>
        <row r="10">
          <cell r="A10" t="str">
            <v>阳江核电厂</v>
          </cell>
          <cell r="B10" t="str">
            <v>广东省</v>
          </cell>
          <cell r="C10" t="str">
            <v>阳江市</v>
          </cell>
          <cell r="D10" t="str">
            <v>阳东县</v>
          </cell>
          <cell r="E10" t="str">
            <v>广东省阳江市阳东县东平镇沙环村</v>
          </cell>
          <cell r="F10">
            <v>112.2595573</v>
          </cell>
          <cell r="G10">
            <v>21.7075933</v>
          </cell>
        </row>
        <row r="11">
          <cell r="A11" t="str">
            <v>陆丰核电厂</v>
          </cell>
          <cell r="B11" t="str">
            <v>广东省</v>
          </cell>
          <cell r="C11" t="str">
            <v>汕尾市</v>
          </cell>
          <cell r="D11" t="str">
            <v>陆丰市</v>
          </cell>
          <cell r="E11" t="str">
            <v>广东省陆丰市碣石镇田尾山</v>
          </cell>
          <cell r="F11">
            <v>115.814458</v>
          </cell>
          <cell r="G11">
            <v>22.746666</v>
          </cell>
        </row>
        <row r="12">
          <cell r="A12" t="str">
            <v>廉江核电厂</v>
          </cell>
          <cell r="B12" t="str">
            <v>广东省</v>
          </cell>
          <cell r="C12" t="str">
            <v>湛江市</v>
          </cell>
          <cell r="D12" t="str">
            <v>廉江市</v>
          </cell>
          <cell r="E12" t="str">
            <v>广东省市辖廉江市车板镇田螺岭</v>
          </cell>
          <cell r="F12">
            <v>109.7938262</v>
          </cell>
          <cell r="G12">
            <v>21.4747158</v>
          </cell>
        </row>
        <row r="13">
          <cell r="A13" t="str">
            <v>防城港核电厂</v>
          </cell>
          <cell r="B13" t="str">
            <v>广西壮族自治区</v>
          </cell>
          <cell r="C13" t="str">
            <v>防城港市</v>
          </cell>
          <cell r="D13" t="str">
            <v>防城区</v>
          </cell>
          <cell r="E13" t="str">
            <v>广西省防城港市企沙半岛东侧光坡镇红沙村</v>
          </cell>
          <cell r="F13">
            <v>108.5629969</v>
          </cell>
          <cell r="G13">
            <v>21.6667467</v>
          </cell>
        </row>
        <row r="14">
          <cell r="A14" t="str">
            <v>昌江核电厂</v>
          </cell>
          <cell r="B14" t="str">
            <v>海南省</v>
          </cell>
          <cell r="C14" t="str">
            <v>海南</v>
          </cell>
          <cell r="D14" t="str">
            <v>昌江黎族自治县</v>
          </cell>
          <cell r="E14" t="str">
            <v>海南省昌江县海尾镇唐兴村</v>
          </cell>
          <cell r="F14">
            <v>108.8987239</v>
          </cell>
          <cell r="G14">
            <v>19.4599337</v>
          </cell>
        </row>
        <row r="15">
          <cell r="A15" t="str">
            <v>田湾核电站</v>
          </cell>
          <cell r="B15" t="str">
            <v>江苏省</v>
          </cell>
          <cell r="C15" t="str">
            <v>连云港市</v>
          </cell>
          <cell r="D15" t="str">
            <v>连云区</v>
          </cell>
          <cell r="E15" t="str">
            <v>江苏省连云港市云台山景区高公岛乡柳河村</v>
          </cell>
          <cell r="F15">
            <v>119.4581987</v>
          </cell>
          <cell r="G15">
            <v>34.6880666</v>
          </cell>
        </row>
        <row r="16">
          <cell r="A16" t="str">
            <v>红沿河核电厂</v>
          </cell>
          <cell r="B16" t="str">
            <v>辽宁省</v>
          </cell>
          <cell r="C16" t="str">
            <v>大连市</v>
          </cell>
          <cell r="D16" t="str">
            <v>瓦房店市</v>
          </cell>
          <cell r="E16" t="str">
            <v>辽宁省大连市瓦房店市红沿河镇</v>
          </cell>
          <cell r="F16">
            <v>121.4766563</v>
          </cell>
          <cell r="G16">
            <v>39.7970864</v>
          </cell>
        </row>
        <row r="17">
          <cell r="A17" t="str">
            <v>徐大堡核电站</v>
          </cell>
          <cell r="B17" t="str">
            <v>辽宁省</v>
          </cell>
          <cell r="C17" t="str">
            <v>葫芦岛市</v>
          </cell>
          <cell r="D17" t="str">
            <v>兴城市</v>
          </cell>
          <cell r="E17" t="str">
            <v>辽宁省葫芦岛市兴城市徐大堡村</v>
          </cell>
          <cell r="F17">
            <v>120.5466135</v>
          </cell>
          <cell r="G17">
            <v>40.3498397</v>
          </cell>
        </row>
        <row r="18">
          <cell r="A18" t="str">
            <v>国和一号示范工程</v>
          </cell>
          <cell r="B18" t="str">
            <v>山东省</v>
          </cell>
          <cell r="C18" t="str">
            <v>威海市</v>
          </cell>
          <cell r="D18" t="str">
            <v>任城区</v>
          </cell>
          <cell r="E18" t="str">
            <v>山东省威海市荣成市宁津街道东墩村</v>
          </cell>
          <cell r="F18">
            <v>122.5189394</v>
          </cell>
          <cell r="G18">
            <v>36.9656812</v>
          </cell>
        </row>
        <row r="19">
          <cell r="A19" t="str">
            <v>海阳核电厂</v>
          </cell>
          <cell r="B19" t="str">
            <v>山东省</v>
          </cell>
          <cell r="C19" t="str">
            <v>烟台市</v>
          </cell>
          <cell r="D19" t="str">
            <v>海阳市</v>
          </cell>
          <cell r="E19" t="str">
            <v>山东省烟台室海阳市辛家港</v>
          </cell>
          <cell r="F19">
            <v>121.3812616</v>
          </cell>
          <cell r="G19">
            <v>36.7091849</v>
          </cell>
        </row>
        <row r="20">
          <cell r="A20" t="str">
            <v>石岛湾核电厂</v>
          </cell>
          <cell r="B20" t="str">
            <v>山东省</v>
          </cell>
          <cell r="C20" t="str">
            <v>威海市</v>
          </cell>
          <cell r="D20" t="str">
            <v>任城区</v>
          </cell>
          <cell r="E20" t="str">
            <v>山东省威海市荣成市宁津街道东墩村</v>
          </cell>
          <cell r="F20">
            <v>122.5189394</v>
          </cell>
          <cell r="G20">
            <v>36.9656812</v>
          </cell>
        </row>
        <row r="21">
          <cell r="A21" t="str">
            <v>方家山核电厂</v>
          </cell>
          <cell r="B21" t="str">
            <v>浙江省</v>
          </cell>
          <cell r="C21" t="str">
            <v>嘉兴市</v>
          </cell>
          <cell r="D21" t="str">
            <v>海盐县</v>
          </cell>
          <cell r="E21" t="str">
            <v>浙江省嘉兴市海盐县秦山镇西麓</v>
          </cell>
          <cell r="F21">
            <v>120.9417771</v>
          </cell>
          <cell r="G21">
            <v>30.4404042</v>
          </cell>
        </row>
        <row r="22">
          <cell r="A22" t="str">
            <v>秦山第二核电厂</v>
          </cell>
          <cell r="B22" t="str">
            <v>浙江省</v>
          </cell>
          <cell r="C22" t="str">
            <v>嘉兴市</v>
          </cell>
          <cell r="D22" t="str">
            <v>海盐县</v>
          </cell>
          <cell r="E22" t="str">
            <v>浙江省嘉兴市海盐县秦山镇南麓</v>
          </cell>
          <cell r="F22">
            <v>120.950559</v>
          </cell>
          <cell r="G22">
            <v>30.4412792</v>
          </cell>
        </row>
        <row r="23">
          <cell r="A23" t="str">
            <v>秦山第三核电厂</v>
          </cell>
          <cell r="B23" t="str">
            <v>浙江省</v>
          </cell>
          <cell r="C23" t="str">
            <v>嘉兴市</v>
          </cell>
          <cell r="D23" t="str">
            <v>海盐县</v>
          </cell>
          <cell r="E23" t="str">
            <v>浙江省嘉兴市海盐县秦山镇东麓</v>
          </cell>
          <cell r="F23">
            <v>120.9584601</v>
          </cell>
          <cell r="G23">
            <v>30.4361652</v>
          </cell>
        </row>
        <row r="24">
          <cell r="A24" t="str">
            <v>秦山核电厂</v>
          </cell>
          <cell r="B24" t="str">
            <v>浙江省</v>
          </cell>
          <cell r="C24" t="str">
            <v>嘉兴市</v>
          </cell>
          <cell r="D24" t="str">
            <v>海盐县</v>
          </cell>
          <cell r="E24" t="str">
            <v>浙江省嘉兴市海盐县秦山镇北麓</v>
          </cell>
          <cell r="F24">
            <v>120.9424173</v>
          </cell>
          <cell r="G24">
            <v>30.4203734</v>
          </cell>
        </row>
        <row r="25">
          <cell r="A25" t="str">
            <v>三澳核电厂</v>
          </cell>
          <cell r="B25" t="str">
            <v>浙江省</v>
          </cell>
          <cell r="C25" t="str">
            <v>温州市</v>
          </cell>
          <cell r="D25" t="str">
            <v>苍南县</v>
          </cell>
          <cell r="E25" t="str">
            <v>浙江省温州市苍南县霞关镇三澳村</v>
          </cell>
          <cell r="F25">
            <v>120.5150979</v>
          </cell>
          <cell r="G25">
            <v>27.2012966</v>
          </cell>
        </row>
        <row r="26">
          <cell r="A26" t="str">
            <v>三门核电厂</v>
          </cell>
          <cell r="B26" t="str">
            <v>浙江省</v>
          </cell>
          <cell r="C26" t="str">
            <v>台州市</v>
          </cell>
          <cell r="D26" t="str">
            <v>三门县</v>
          </cell>
          <cell r="E26" t="str">
            <v>台州市三门县健跳镇猫头山半岛上</v>
          </cell>
          <cell r="F26">
            <v>121.638018</v>
          </cell>
          <cell r="G26">
            <v>29.1018862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_veQmw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_veQmw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75.4951127315" refreshedBy="admin" recordCount="238">
  <cacheSource type="worksheet">
    <worksheetSource ref="C1:N1048576" sheet="09-21Gas Generation" r:id="rId2"/>
  </cacheSource>
  <cacheFields count="12">
    <cacheField name="Region" numFmtId="0">
      <sharedItems containsBlank="1" count="27">
        <s v="广东省"/>
        <s v="福建省"/>
        <s v="新疆维吾尔自治区"/>
        <s v="四川省"/>
        <s v="云南省"/>
        <s v="西藏自治区"/>
        <s v="湖北省"/>
        <s v="山东省"/>
        <s v="上海市"/>
        <s v="北京市"/>
        <s v="江苏省"/>
        <s v="内蒙古自治区"/>
        <s v="山西省"/>
        <s v="浙江省"/>
        <s v="黑龙江省"/>
        <s v="广西壮族自治区"/>
        <s v="重庆市"/>
        <s v="天津市"/>
        <s v="江西省"/>
        <s v="安徽省"/>
        <s v="贵州省"/>
        <s v="河南省"/>
        <s v="湖南省"/>
        <s v="海南省"/>
        <s v="河北省"/>
        <s v="辽宁省"/>
        <m/>
      </sharedItems>
    </cacheField>
    <cacheField name="Year" numFmtId="0">
      <sharedItems containsString="0" containsBlank="1" containsNumber="1" containsInteger="1" minValue="0" maxValue="2021" count="14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m/>
      </sharedItems>
    </cacheField>
    <cacheField name="Type" numFmtId="0"/>
    <cacheField name="Gen.Type1" numFmtId="0">
      <sharedItems containsBlank="1" count="5">
        <s v="火电-燃气-分布式燃气"/>
        <s v="火电-燃气-常规燃气"/>
        <s v="火电-燃气-煤层气发电"/>
        <s v="火电-燃气-沼气发电"/>
        <m/>
      </sharedItems>
    </cacheField>
    <cacheField name="Gen.Type2" numFmtId="0">
      <sharedItems containsBlank="1" count="2">
        <s v="火电"/>
        <m/>
      </sharedItems>
    </cacheField>
    <cacheField name="Project.Name" numFmtId="0"/>
    <cacheField name="Project.Address" numFmtId="0"/>
    <cacheField name="Unit" numFmtId="0"/>
    <cacheField name="Capacity" numFmtId="0"/>
    <cacheField name="Date" numFmtId="0"/>
    <cacheField name="Page" numFmtId="0"/>
    <cacheField name="Row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75.5883934028" refreshedBy="admin" recordCount="81">
  <cacheSource type="worksheet">
    <worksheetSource ref="A1:L82" sheet="Bottom Up pre 2009" r:id="rId2"/>
  </cacheSource>
  <cacheFields count="12">
    <cacheField name="序号" numFmtId="0"/>
    <cacheField name="项目名称" numFmtId="0"/>
    <cacheField name="项目类型" numFmtId="0">
      <sharedItems count="2">
        <s v="火电-燃气-煤层气发电"/>
        <s v="火电-燃气-常规燃气"/>
      </sharedItems>
    </cacheField>
    <cacheField name="投运年份" numFmtId="0">
      <sharedItems containsSemiMixedTypes="0" containsString="0" containsNumber="1" containsInteger="1" minValue="0" maxValue="2009" count="15">
        <n v="2001"/>
        <n v="2002"/>
        <n v="1994"/>
        <n v="1995"/>
        <n v="2003"/>
        <n v="2004"/>
        <n v="2005"/>
        <n v="1993"/>
        <n v="1997"/>
        <n v="1998"/>
        <n v="1999"/>
        <n v="2006"/>
        <n v="2007"/>
        <n v="2008"/>
        <n v="2009"/>
      </sharedItems>
    </cacheField>
    <cacheField name="装机容量（MW）" numFmtId="0"/>
    <cacheField name="发电量（万千瓦时）" numFmtId="0"/>
    <cacheField name="利用小时（小时）" numFmtId="0"/>
    <cacheField name="厂用电率（%）" numFmtId="0"/>
    <cacheField name="发电煤耗（g/千瓦时）" numFmtId="0"/>
    <cacheField name="拱电煤耗（g/千瓦时）" numFmtId="0"/>
    <cacheField name="发电耗用原煤（吨）" numFmtId="0"/>
    <cacheField name="Region" numFmtId="0">
      <sharedItems count="9">
        <s v="河南省"/>
        <s v="重庆市"/>
        <s v="海南省"/>
        <s v="广东省"/>
        <s v="浙江省"/>
        <s v="江苏省"/>
        <s v="上海市"/>
        <s v="北京市"/>
        <s v="内蒙古自治区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8"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"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1:AP31" firstHeaderRow="1" firstDataRow="3" firstDataCol="1"/>
  <pivotFields count="12">
    <pivotField axis="axisRow" showAll="0">
      <items count="28">
        <item x="19"/>
        <item x="9"/>
        <item x="1"/>
        <item x="0"/>
        <item x="15"/>
        <item x="20"/>
        <item x="23"/>
        <item x="24"/>
        <item x="21"/>
        <item x="14"/>
        <item x="6"/>
        <item x="22"/>
        <item x="10"/>
        <item x="18"/>
        <item x="25"/>
        <item x="11"/>
        <item x="7"/>
        <item x="12"/>
        <item x="8"/>
        <item x="3"/>
        <item x="17"/>
        <item x="5"/>
        <item x="2"/>
        <item x="4"/>
        <item x="13"/>
        <item x="16"/>
        <item x="26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defaultSubtotal="0" showAll="0">
      <items count="5">
        <item x="1"/>
        <item x="0"/>
        <item x="2"/>
        <item x="3"/>
        <item x="4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3"/>
    <field x="1"/>
  </colFields>
  <colItems count="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/>
    </i>
    <i r="1">
      <x v="2"/>
    </i>
    <i r="1">
      <x v="3"/>
    </i>
    <i r="1">
      <x v="5"/>
    </i>
    <i r="1">
      <x v="6"/>
    </i>
    <i r="1">
      <x v="7"/>
    </i>
    <i r="1">
      <x v="9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>
      <x v="4"/>
      <x v="13"/>
    </i>
    <i t="grand">
      <x/>
    </i>
  </colItems>
  <dataFields count="1">
    <dataField name="求和项:Capacity" fld="8" baseField="0" baseItem="0"/>
  </dataFields>
  <formats count="32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3" type="button" dataOnly="0" labelOnly="1" outline="0" fieldPosition="0"/>
    </format>
    <format dxfId="4">
      <pivotArea field="1" type="button" dataOnly="0" labelOnly="1" outline="0" fieldPosition="0"/>
    </format>
    <format dxfId="5">
      <pivotArea type="topRight" dataOnly="0" labelOnly="1" outline="0" fieldPosition="0"/>
    </format>
    <format dxfId="6">
      <pivotArea field="0" type="button" dataOnly="0" labelOnly="1" outline="0" fieldPosition="0"/>
    </format>
    <format dxfId="7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11">
      <pivotArea dataOnly="0" labelOnly="1" fieldPosition="0">
        <references count="2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0"/>
          </reference>
        </references>
      </pivotArea>
    </format>
    <format dxfId="12">
      <pivotArea dataOnly="0" labelOnly="1" fieldPosition="0">
        <references count="2">
          <reference field="1" count="9">
            <x v="0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1"/>
          </reference>
        </references>
      </pivotArea>
    </format>
    <format dxfId="13">
      <pivotArea dataOnly="0" labelOnly="1" fieldPosition="0">
        <references count="2">
          <reference field="1" count="8">
            <x v="0"/>
            <x v="2"/>
            <x v="3"/>
            <x v="5"/>
            <x v="6"/>
            <x v="7"/>
            <x v="9"/>
            <x v="11"/>
          </reference>
          <reference field="3" count="1" selected="0">
            <x v="2"/>
          </reference>
        </references>
      </pivotArea>
    </format>
    <format dxfId="14">
      <pivotArea dataOnly="0" labelOnly="1" fieldPosition="0">
        <references count="2">
          <reference field="1" count="9">
            <x v="0"/>
            <x v="1"/>
            <x v="2"/>
            <x v="3"/>
            <x v="4"/>
            <x v="9"/>
            <x v="10"/>
            <x v="11"/>
            <x v="12"/>
          </reference>
          <reference field="3" count="1" selected="0">
            <x v="3"/>
          </reference>
        </references>
      </pivotArea>
    </format>
    <format dxfId="15">
      <pivotArea dataOnly="0" labelOnly="1" fieldPosition="0">
        <references count="2">
          <reference field="1" count="1">
            <x v="13"/>
          </reference>
          <reference field="3" count="1" selected="0">
            <x v="4"/>
          </reference>
        </references>
      </pivotArea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3" type="button" dataOnly="0" labelOnly="1" outline="0" fieldPosition="0"/>
    </format>
    <format dxfId="20">
      <pivotArea field="1" type="button" dataOnly="0" labelOnly="1" outline="0" fieldPosition="0"/>
    </format>
    <format dxfId="21">
      <pivotArea type="topRight" dataOnly="0" labelOnly="1" outline="0" fieldPosition="0"/>
    </format>
    <format dxfId="22">
      <pivotArea field="0" type="button" dataOnly="0" labelOnly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5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7">
      <pivotArea dataOnly="0" labelOnly="1" fieldPosition="0">
        <references count="2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0"/>
          </reference>
        </references>
      </pivotArea>
    </format>
    <format dxfId="28">
      <pivotArea dataOnly="0" labelOnly="1" fieldPosition="0">
        <references count="2">
          <reference field="1" count="9">
            <x v="0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1"/>
          </reference>
        </references>
      </pivotArea>
    </format>
    <format dxfId="29">
      <pivotArea dataOnly="0" labelOnly="1" fieldPosition="0">
        <references count="2">
          <reference field="1" count="8">
            <x v="0"/>
            <x v="2"/>
            <x v="3"/>
            <x v="5"/>
            <x v="6"/>
            <x v="7"/>
            <x v="9"/>
            <x v="11"/>
          </reference>
          <reference field="3" count="1" selected="0">
            <x v="2"/>
          </reference>
        </references>
      </pivotArea>
    </format>
    <format dxfId="30">
      <pivotArea dataOnly="0" labelOnly="1" fieldPosition="0">
        <references count="2">
          <reference field="1" count="9">
            <x v="0"/>
            <x v="1"/>
            <x v="2"/>
            <x v="3"/>
            <x v="4"/>
            <x v="9"/>
            <x v="10"/>
            <x v="11"/>
            <x v="12"/>
          </reference>
          <reference field="3" count="1" selected="0">
            <x v="3"/>
          </reference>
        </references>
      </pivotArea>
    </format>
    <format dxfId="31">
      <pivotArea dataOnly="0" labelOnly="1" fieldPosition="0">
        <references count="2">
          <reference field="1" count="1">
            <x v="13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34:Q46" firstHeaderRow="1" firstDataRow="3" firstDataCol="1"/>
  <pivotFields count="12">
    <pivotField showAll="0"/>
    <pivotField showAll="0"/>
    <pivotField axis="axisCol" defaultSubtotal="0" showAll="0">
      <items count="2">
        <item x="1"/>
        <item x="0"/>
      </items>
    </pivotField>
    <pivotField axis="axisCol" showAll="0">
      <items count="16">
        <item x="7"/>
        <item x="2"/>
        <item x="3"/>
        <item x="8"/>
        <item x="9"/>
        <item x="10"/>
        <item x="0"/>
        <item x="1"/>
        <item x="4"/>
        <item x="5"/>
        <item x="6"/>
        <item x="11"/>
        <item x="12"/>
        <item x="13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3"/>
        <item x="2"/>
        <item x="0"/>
        <item x="5"/>
        <item x="8"/>
        <item x="6"/>
        <item x="4"/>
        <item x="1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"/>
    <field x="3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  <x v="6"/>
    </i>
    <i r="1">
      <x v="7"/>
    </i>
    <i t="grand">
      <x/>
    </i>
  </colItems>
  <dataFields count="1">
    <dataField name="求和项:装机容量（MW）" fld="4" baseField="0" baseItem="0"/>
  </dataFields>
  <formats count="26">
    <format dxfId="32">
      <pivotArea type="all" dataOnly="0" outline="0" fieldPosition="0"/>
    </format>
    <format dxfId="33">
      <pivotArea outline="0" collapsedLevelsAreSubtotals="1" fieldPosition="0"/>
    </format>
    <format dxfId="34">
      <pivotArea type="origin" dataOnly="0" labelOnly="1" outline="0" fieldPosition="0"/>
    </format>
    <format dxfId="35">
      <pivotArea field="2" type="button" dataOnly="0" labelOnly="1" outline="0" fieldPosition="0"/>
    </format>
    <format dxfId="36">
      <pivotArea field="3" type="button" dataOnly="0" labelOnly="1" outline="0" fieldPosition="0"/>
    </format>
    <format dxfId="37">
      <pivotArea type="topRight" dataOnly="0" labelOnly="1" outline="0" fieldPosition="0"/>
    </format>
    <format dxfId="38">
      <pivotArea field="11" type="button" dataOnly="0" labelOnly="1" outline="0" fieldPosition="0"/>
    </format>
    <format dxfId="39">
      <pivotArea dataOnly="0" labelOnly="1" fieldPosition="0">
        <references count="1">
          <reference field="11" count="0"/>
        </references>
      </pivotArea>
    </format>
    <format dxfId="40">
      <pivotArea dataOnly="0" labelOnly="1" grandRow="1" outline="0" fieldPosition="0"/>
    </format>
    <format dxfId="41">
      <pivotArea dataOnly="0" labelOnly="1" fieldPosition="0">
        <references count="1">
          <reference field="2" count="0"/>
        </references>
      </pivotArea>
    </format>
    <format dxfId="42">
      <pivotArea dataOnly="0" labelOnly="1" grandCol="1" outline="0" fieldPosition="0"/>
    </format>
    <format dxfId="43">
      <pivotArea dataOnly="0" labelOnly="1" fieldPosition="0">
        <references count="2">
          <reference field="2" count="1" selected="0">
            <x v="0"/>
          </reference>
          <reference field="3" count="13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</reference>
        </references>
      </pivotArea>
    </format>
    <format dxfId="44">
      <pivotArea dataOnly="0" labelOnly="1" fieldPosition="0">
        <references count="2">
          <reference field="2" count="1" selected="0">
            <x v="1"/>
          </reference>
          <reference field="3" count="2">
            <x v="6"/>
            <x v="7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type="origin" dataOnly="0" labelOnly="1" outline="0" fieldPosition="0"/>
    </format>
    <format dxfId="48">
      <pivotArea field="2" type="button" dataOnly="0" labelOnly="1" outline="0" fieldPosition="0"/>
    </format>
    <format dxfId="49">
      <pivotArea field="3" type="button" dataOnly="0" labelOnly="1" outline="0" fieldPosition="0"/>
    </format>
    <format dxfId="50">
      <pivotArea type="topRight" dataOnly="0" labelOnly="1" outline="0" fieldPosition="0"/>
    </format>
    <format dxfId="51">
      <pivotArea field="11" type="button" dataOnly="0" labelOnly="1" outline="0" fieldPosition="0"/>
    </format>
    <format dxfId="52">
      <pivotArea dataOnly="0" labelOnly="1" fieldPosition="0">
        <references count="1">
          <reference field="11" count="0"/>
        </references>
      </pivotArea>
    </format>
    <format dxfId="53">
      <pivotArea dataOnly="0" labelOnly="1" grandRow="1" outline="0" fieldPosition="0"/>
    </format>
    <format dxfId="54">
      <pivotArea dataOnly="0" labelOnly="1" fieldPosition="0">
        <references count="1">
          <reference field="2" count="0"/>
        </references>
      </pivotArea>
    </format>
    <format dxfId="55">
      <pivotArea dataOnly="0" labelOnly="1" grandCol="1" outline="0" fieldPosition="0"/>
    </format>
    <format dxfId="56">
      <pivotArea dataOnly="0" labelOnly="1" fieldPosition="0">
        <references count="2">
          <reference field="2" count="1" selected="0">
            <x v="0"/>
          </reference>
          <reference field="3" count="13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</reference>
        </references>
      </pivotArea>
    </format>
    <format dxfId="57">
      <pivotArea dataOnly="0" labelOnly="1" fieldPosition="0">
        <references count="2">
          <reference field="2" count="1" selected="0">
            <x v="1"/>
          </reference>
          <reference field="3" count="2">
            <x v="6"/>
            <x v="7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nea.gov.cn/2015-03/09/c_134049519.htm" TargetMode="External"/><Relationship Id="rId4" Type="http://schemas.openxmlformats.org/officeDocument/2006/relationships/hyperlink" Target="https://www.nea.gov.cn/2016-02/05/c_135076636.htm" TargetMode="External"/><Relationship Id="rId3" Type="http://schemas.openxmlformats.org/officeDocument/2006/relationships/hyperlink" Target="https://www.nea.gov.cn/2017-02/04/c_136030860.htm" TargetMode="External"/><Relationship Id="rId2" Type="http://schemas.openxmlformats.org/officeDocument/2006/relationships/hyperlink" Target="https://www.nea.gov.cn/2014-04/28/c_133296165.htm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nyj.shandong.gov.cn/art/2023/1/18/art_59960_10295853.html" TargetMode="External"/><Relationship Id="rId2" Type="http://schemas.openxmlformats.org/officeDocument/2006/relationships/hyperlink" Target="https://news.bjx.com.cn/html/20230106/1281537.shtml" TargetMode="External"/><Relationship Id="rId1" Type="http://schemas.openxmlformats.org/officeDocument/2006/relationships/hyperlink" Target="https://m.bjx.com.cn/mnews/20231106/1341390.s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a.gov.cn/2014-04/28/c_133296165.ht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a.gov.cn/2015-03/09/c_134049519.htm" TargetMode="External"/><Relationship Id="rId2" Type="http://schemas.openxmlformats.org/officeDocument/2006/relationships/hyperlink" Target="https://www.nea.gov.cn/2016-02/05/c_135076636.htm" TargetMode="External"/><Relationship Id="rId1" Type="http://schemas.openxmlformats.org/officeDocument/2006/relationships/hyperlink" Target="https://www.nea.gov.cn/2017-02/04/c_136030860.ht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ov.cn/jrzg/2006-09/27/content_400817.htm" TargetMode="External"/><Relationship Id="rId8" Type="http://schemas.openxmlformats.org/officeDocument/2006/relationships/hyperlink" Target="https://xueqiu.com/3127815635/216414573" TargetMode="External"/><Relationship Id="rId7" Type="http://schemas.openxmlformats.org/officeDocument/2006/relationships/hyperlink" Target="https://news.sohu.com/70/62/news201746270.shtml" TargetMode="External"/><Relationship Id="rId6" Type="http://schemas.openxmlformats.org/officeDocument/2006/relationships/hyperlink" Target="https://news.bjx.com.cn/html/20150629/635661.shtml" TargetMode="External"/><Relationship Id="rId5" Type="http://schemas.openxmlformats.org/officeDocument/2006/relationships/hyperlink" Target="https://max.book118.com/html/2016/0203/34599954.shtm" TargetMode="External"/><Relationship Id="rId4" Type="http://schemas.openxmlformats.org/officeDocument/2006/relationships/hyperlink" Target="https://news.bjx.com.cn/html/20140910/544907.shtml" TargetMode="External"/><Relationship Id="rId3" Type="http://schemas.openxmlformats.org/officeDocument/2006/relationships/hyperlink" Target="https://baike.baidu.com/item/%E6%BA%AA%E5%8F%A3%E6%8A%BD%E6%B0%B4%E8%93%84%E8%83%BD%E7%94%B5%E7%AB%99/1880161" TargetMode="External"/><Relationship Id="rId23" Type="http://schemas.openxmlformats.org/officeDocument/2006/relationships/hyperlink" Target="https://www.sohu.com/a/134905385_124732" TargetMode="External"/><Relationship Id="rId22" Type="http://schemas.openxmlformats.org/officeDocument/2006/relationships/hyperlink" Target="http://www.chinasmartgrid.com.cn/news/20160830/618394.shtml" TargetMode="External"/><Relationship Id="rId21" Type="http://schemas.openxmlformats.org/officeDocument/2006/relationships/hyperlink" Target="http://www.jlcity.gov.cn/yw/jcyw/201706/t20170621_172807.html" TargetMode="External"/><Relationship Id="rId20" Type="http://schemas.openxmlformats.org/officeDocument/2006/relationships/hyperlink" Target="https://www.zupu.cn/dashiji/3_12/6119.html" TargetMode="External"/><Relationship Id="rId2" Type="http://schemas.openxmlformats.org/officeDocument/2006/relationships/hyperlink" Target="https://www.shuizhishi.cn/c/2020-04-09/520225.shtml" TargetMode="External"/><Relationship Id="rId19" Type="http://schemas.openxmlformats.org/officeDocument/2006/relationships/hyperlink" Target="http://123.57.212.98/html/tm/29/38/69/content/980.html" TargetMode="External"/><Relationship Id="rId18" Type="http://schemas.openxmlformats.org/officeDocument/2006/relationships/hyperlink" Target="http://www.gov.cn/jrzg/2006-12/22/content_476186.htm" TargetMode="External"/><Relationship Id="rId17" Type="http://schemas.openxmlformats.org/officeDocument/2006/relationships/hyperlink" Target="https://news.bjx.com.cn/html/20110615/287955.shtml" TargetMode="External"/><Relationship Id="rId16" Type="http://schemas.openxmlformats.org/officeDocument/2006/relationships/hyperlink" Target="http://env.people.com.cn/n1/2018/0926/c1010-30313057.html" TargetMode="External"/><Relationship Id="rId15" Type="http://schemas.openxmlformats.org/officeDocument/2006/relationships/hyperlink" Target="https://news.bjx.com.cn/html/20180731/917014.shtml" TargetMode="External"/><Relationship Id="rId14" Type="http://schemas.openxmlformats.org/officeDocument/2006/relationships/hyperlink" Target="https://baike.baidu.com/item/%E5%8D%81%E4%B8%89%E9%99%B5%E6%8A%BD%E6%B0%B4%E8%93%84%E8%83%BD%E7%94%B5%E7%AB%99/10975352" TargetMode="External"/><Relationship Id="rId13" Type="http://schemas.openxmlformats.org/officeDocument/2006/relationships/hyperlink" Target="https://news.bjx.com.cn/html/20181121/943343.shtml" TargetMode="External"/><Relationship Id="rId12" Type="http://schemas.openxmlformats.org/officeDocument/2006/relationships/hyperlink" Target="https://news.bjx.com.cn/html/20121118/402339.shtml" TargetMode="External"/><Relationship Id="rId11" Type="http://schemas.openxmlformats.org/officeDocument/2006/relationships/hyperlink" Target="https://www.sohu.com/a/439696259_261083" TargetMode="External"/><Relationship Id="rId10" Type="http://schemas.openxmlformats.org/officeDocument/2006/relationships/hyperlink" Target="https://baike.baidu.com/item/%E5%93%8D%E6%B4%AA%E7%94%B8%E6%B0%B4%E5%BA%93/3027159" TargetMode="External"/><Relationship Id="rId1" Type="http://schemas.openxmlformats.org/officeDocument/2006/relationships/hyperlink" Target="https://www.shuizhishi.cn/c/2020-04-09/521677.shtml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opLeftCell="A58" workbookViewId="0">
      <selection activeCell="G83" sqref="G83"/>
    </sheetView>
  </sheetViews>
  <sheetFormatPr defaultColWidth="9" defaultRowHeight="13.5" customHeight="1" outlineLevelCol="5"/>
  <cols>
    <col min="1" max="1" width="9.13274336283186" style="298"/>
    <col min="2" max="2" width="62.7079646017699" style="298" customWidth="1"/>
    <col min="3" max="3" width="9.42477876106195" style="298" customWidth="1"/>
    <col min="4" max="4" width="62.7079646017699" style="298" customWidth="1"/>
    <col min="5" max="5" width="9.13274336283186" style="298"/>
    <col min="6" max="6" width="51.283185840708" style="298" customWidth="1"/>
    <col min="7" max="16384" width="9.13274336283186" style="298"/>
  </cols>
  <sheetData>
    <row r="1" customHeight="1" spans="1:6">
      <c r="A1" s="450" t="s">
        <v>0</v>
      </c>
    </row>
    <row r="2" s="448" customFormat="1" customHeight="1" spans="1:6">
      <c r="A2" s="451" t="s">
        <v>1</v>
      </c>
    </row>
    <row r="4" customHeight="1" spans="1:6">
      <c r="A4" s="451" t="s">
        <v>2</v>
      </c>
      <c r="B4" s="452" t="s">
        <v>3</v>
      </c>
      <c r="D4" s="414" t="s">
        <v>4</v>
      </c>
      <c r="F4" s="414" t="s">
        <v>5</v>
      </c>
    </row>
    <row r="5" customHeight="1" spans="1:6">
      <c r="B5" s="453" t="s">
        <v>6</v>
      </c>
      <c r="D5" s="453" t="s">
        <v>6</v>
      </c>
      <c r="F5" s="454" t="s">
        <v>7</v>
      </c>
    </row>
    <row r="6" customHeight="1" spans="1:6">
      <c r="B6" s="455" t="s">
        <v>8</v>
      </c>
      <c r="D6" s="455" t="s">
        <v>8</v>
      </c>
      <c r="F6" s="456" t="s">
        <v>9</v>
      </c>
    </row>
    <row r="7" customHeight="1" spans="1:6">
      <c r="B7" s="298" t="s">
        <v>10</v>
      </c>
      <c r="D7" s="298" t="s">
        <v>10</v>
      </c>
      <c r="F7" s="456" t="s">
        <v>11</v>
      </c>
    </row>
    <row r="8" customHeight="1" spans="1:6">
      <c r="B8" s="298" t="s">
        <v>12</v>
      </c>
      <c r="D8" s="298" t="s">
        <v>12</v>
      </c>
      <c r="F8" s="457">
        <v>2023</v>
      </c>
    </row>
    <row r="9" customHeight="1" spans="1:6">
      <c r="B9" s="298" t="s">
        <v>13</v>
      </c>
      <c r="D9" s="298" t="s">
        <v>14</v>
      </c>
      <c r="F9" s="456" t="s">
        <v>15</v>
      </c>
    </row>
    <row r="10" customHeight="1" spans="1:6">
      <c r="F10" s="456" t="s">
        <v>16</v>
      </c>
    </row>
    <row r="11" customHeight="1" spans="1:6">
      <c r="B11" s="454" t="s">
        <v>17</v>
      </c>
      <c r="D11" s="453" t="s">
        <v>18</v>
      </c>
    </row>
    <row r="12" customHeight="1" spans="1:6">
      <c r="B12" s="456" t="s">
        <v>9</v>
      </c>
      <c r="D12" s="455" t="s">
        <v>8</v>
      </c>
      <c r="F12" s="454" t="s">
        <v>19</v>
      </c>
    </row>
    <row r="13" customHeight="1" spans="1:6">
      <c r="B13" s="456" t="s">
        <v>20</v>
      </c>
      <c r="D13" s="298" t="s">
        <v>21</v>
      </c>
      <c r="F13" s="455" t="s">
        <v>8</v>
      </c>
    </row>
    <row r="14" customHeight="1" spans="1:6">
      <c r="B14" s="457">
        <v>2023</v>
      </c>
      <c r="D14" s="298" t="s">
        <v>22</v>
      </c>
      <c r="F14" s="298" t="s">
        <v>10</v>
      </c>
    </row>
    <row r="15" customHeight="1" spans="1:6">
      <c r="B15" s="456" t="s">
        <v>23</v>
      </c>
      <c r="D15" s="298" t="s">
        <v>24</v>
      </c>
      <c r="F15" s="298" t="s">
        <v>25</v>
      </c>
    </row>
    <row r="16" customHeight="1" spans="1:6">
      <c r="F16" s="298" t="s">
        <v>14</v>
      </c>
    </row>
    <row r="17" customHeight="1" spans="2:6">
      <c r="B17" s="453" t="s">
        <v>26</v>
      </c>
      <c r="D17" s="453" t="s">
        <v>27</v>
      </c>
      <c r="F17" s="456"/>
    </row>
    <row r="18" customHeight="1" spans="2:6">
      <c r="B18" s="455" t="s">
        <v>8</v>
      </c>
      <c r="D18" s="298" t="s">
        <v>28</v>
      </c>
    </row>
    <row r="19" customHeight="1" spans="2:6">
      <c r="B19" s="298" t="s">
        <v>10</v>
      </c>
      <c r="D19" s="298" t="s">
        <v>29</v>
      </c>
    </row>
    <row r="20" customHeight="1" spans="2:6">
      <c r="B20" s="298" t="s">
        <v>30</v>
      </c>
      <c r="D20" s="458" t="s">
        <v>31</v>
      </c>
    </row>
    <row r="21" customHeight="1" spans="2:6">
      <c r="B21" s="298" t="s">
        <v>32</v>
      </c>
      <c r="D21" s="458" t="s">
        <v>33</v>
      </c>
    </row>
    <row r="22" customHeight="1" spans="2:6">
      <c r="D22" s="458" t="s">
        <v>34</v>
      </c>
    </row>
    <row r="23" customHeight="1" spans="2:6">
      <c r="B23" s="459" t="s">
        <v>35</v>
      </c>
      <c r="D23" s="458" t="s">
        <v>36</v>
      </c>
    </row>
    <row r="24" customHeight="1" spans="2:6">
      <c r="B24" s="456" t="s">
        <v>37</v>
      </c>
      <c r="D24" s="456" t="s">
        <v>38</v>
      </c>
    </row>
    <row r="25" customHeight="1" spans="2:6">
      <c r="B25" s="456" t="s">
        <v>39</v>
      </c>
      <c r="D25" s="456" t="s">
        <v>40</v>
      </c>
    </row>
    <row r="26" customHeight="1" spans="2:6">
      <c r="B26" s="456" t="s">
        <v>41</v>
      </c>
      <c r="D26" s="456" t="s">
        <v>42</v>
      </c>
    </row>
    <row r="27" customHeight="1" spans="2:6">
      <c r="B27" s="456" t="s">
        <v>43</v>
      </c>
    </row>
    <row r="28" customHeight="1" spans="2:6">
      <c r="B28" s="456" t="s">
        <v>44</v>
      </c>
      <c r="D28" s="454" t="s">
        <v>45</v>
      </c>
    </row>
    <row r="29" customHeight="1" spans="2:6">
      <c r="B29" s="456" t="s">
        <v>46</v>
      </c>
      <c r="D29" s="456" t="s">
        <v>47</v>
      </c>
    </row>
    <row r="30" customHeight="1" spans="2:6">
      <c r="D30" s="456" t="s">
        <v>48</v>
      </c>
    </row>
    <row r="31" customHeight="1" spans="2:6">
      <c r="B31" s="454" t="s">
        <v>49</v>
      </c>
      <c r="D31" s="456" t="s">
        <v>50</v>
      </c>
    </row>
    <row r="32" customHeight="1" spans="2:6">
      <c r="B32" s="456" t="s">
        <v>51</v>
      </c>
      <c r="D32" s="457">
        <v>2017</v>
      </c>
    </row>
    <row r="33" customHeight="1" spans="1:4">
      <c r="D33" s="456" t="s">
        <v>52</v>
      </c>
    </row>
    <row r="35" s="449" customFormat="1" customHeight="1" spans="1:4">
      <c r="A35" s="451" t="s">
        <v>53</v>
      </c>
      <c r="B35" s="449" t="s">
        <v>54</v>
      </c>
      <c r="D35" s="456"/>
    </row>
    <row r="36" s="449" customFormat="1" customHeight="1" spans="1:4">
      <c r="A36" s="298"/>
      <c r="B36" s="449" t="s">
        <v>55</v>
      </c>
      <c r="D36" s="456"/>
    </row>
    <row r="37" customHeight="1" spans="1:4">
      <c r="B37" s="298" t="s">
        <v>56</v>
      </c>
    </row>
    <row r="39" customHeight="1" spans="1:4">
      <c r="B39" s="298" t="s">
        <v>57</v>
      </c>
    </row>
    <row r="40" customHeight="1" spans="1:4">
      <c r="B40" s="298" t="s">
        <v>58</v>
      </c>
    </row>
    <row r="42" customHeight="1" spans="1:4">
      <c r="B42" s="298" t="s">
        <v>59</v>
      </c>
    </row>
    <row r="43" customHeight="1" spans="1:4">
      <c r="B43" s="298" t="s">
        <v>60</v>
      </c>
    </row>
    <row r="45" customHeight="1" spans="1:4">
      <c r="B45" s="449" t="s">
        <v>61</v>
      </c>
    </row>
    <row r="46" customHeight="1" spans="1:4">
      <c r="B46" s="298" t="s">
        <v>62</v>
      </c>
    </row>
    <row r="47" customHeight="1" spans="1:4">
      <c r="B47" s="298" t="s">
        <v>63</v>
      </c>
    </row>
    <row r="48" customHeight="1" spans="1:4">
      <c r="B48" s="298" t="s">
        <v>64</v>
      </c>
    </row>
    <row r="50" customHeight="1" spans="1:3">
      <c r="B50" s="298" t="s">
        <v>65</v>
      </c>
    </row>
    <row r="51" customHeight="1" spans="1:3">
      <c r="B51" s="298" t="s">
        <v>66</v>
      </c>
    </row>
    <row r="52" customHeight="1" spans="1:3">
      <c r="B52" s="298" t="s">
        <v>67</v>
      </c>
    </row>
    <row r="54" customFormat="1" customHeight="1" spans="1:3">
      <c r="A54" s="185" t="s">
        <v>68</v>
      </c>
      <c r="B54" s="188"/>
    </row>
    <row r="55" customFormat="1" customHeight="1" spans="1:3">
      <c r="A55" s="188" t="s">
        <v>69</v>
      </c>
      <c r="B55" s="188"/>
    </row>
    <row r="56" customFormat="1" customHeight="1" spans="1:3">
      <c r="A56" s="188" t="s">
        <v>70</v>
      </c>
      <c r="B56" s="188"/>
    </row>
    <row r="57" customFormat="1" customHeight="1" spans="1:3">
      <c r="A57" s="188" t="s">
        <v>71</v>
      </c>
      <c r="B57" s="188"/>
    </row>
    <row r="58" customFormat="1" customHeight="1" spans="1:3">
      <c r="A58" s="188"/>
      <c r="B58" s="460" t="s">
        <v>72</v>
      </c>
      <c r="C58" s="298"/>
    </row>
    <row r="59" customFormat="1" customHeight="1" spans="1:3">
      <c r="A59" s="188"/>
      <c r="B59" s="461" t="s">
        <v>73</v>
      </c>
      <c r="C59" s="298"/>
    </row>
    <row r="60" customHeight="1" spans="1:3">
      <c r="A60" s="298" t="s">
        <v>74</v>
      </c>
    </row>
    <row r="61" customHeight="1" spans="1:3">
      <c r="A61" s="450" t="s">
        <v>75</v>
      </c>
    </row>
  </sheetData>
  <dataValidations count="1">
    <dataValidation type="list" allowBlank="1" showInputMessage="1" showErrorMessage="1" sqref="B59">
      <formula1>'Province Selector'!$B$2:$B$33</formula1>
    </dataValidation>
  </dataValidations>
  <hyperlinks>
    <hyperlink ref="D20" r:id="rId2" display="2013年光伏发电统计数据---国家能源局 (nea.gov.cn)"/>
    <hyperlink ref="D23" r:id="rId3" location=":~:text=2016%E5%B9%B4%E5%85%89%E4%BC%8F%E5%8F%91%E7%94%B5%E7%BB%9F%E8%AE%A1%E4%BF%A1%E6%81%AF%20%E5%8F%91%E5%B8%83%E6%97%B6%E9%97%B4%EF%BC%9A2017-02-04%20%E6%9D%A5%E6%BA%90%EF%BC%9A%E5%9B%BD%E5%AE%B6%E8%83%BD%E6%BA%90%E5%B1%80%20%E5%A4%A7,%E4%B8%AD%20%E5%B0%8F%20%E6%88%AA%E8%87%B32016%E5%B9%B4%E5%BA%95%EF%BC%8C%E6%88%91%E5%9B%BD%E5%85%89%E4%BC%8F%E5%8F%91%E7%94%B5%E6%96%B0%E5%A2%9E%E8%A3%85%E6%9C%BA%E5%AE%B9%E9%87%8F3454%E4%B8%87%E5%8D%83%E7%93%A6%EF%BC%8C%E7%B4%AF%E8%AE%A1%E8%A3%85%E6%9C%BA%E5%AE%B9%E9%87%8F7742%E4%B8%87%E5%8D%83%E7%93%A6%EF%BC%8C%E6%96%B0%E5%A2%9E%E5%92%8C%E7%B4%AF%E8%AE%A1%E8%A3%85%E6%9C%BA%E5%AE%B9%E9%87%8F%E5%9D%87%E4%B8%BA%E5%85%A8%E7%90%83%E7%AC%AC%E4%B8%80%E3%80%82%20%E5%85%B6%E4%B8%AD%EF%BC%8C%E5%85%89%E4%BC%8F%E7%94%B5%E7%AB%99%E7%B4%AF%E8%AE%A1%E8%A3%85%E6%9C%BA%E5%AE%B9%E9%87%8F6710%E4%B8%87%E5%8D%83%E7%93%A6%EF%BC%8C%E5%88%86%E5%B8%83%E5%BC%8F%E7%B4%AF%E8%AE%A1%E8%A3%85%E6%9C%BA%E5%AE%B9%E9%87%8F1032%E4%B8%87%E5%8D%83%E7%93%A6%E3%80%82%20%E5%85%A8%E5%B9%B4" display="2016年光伏发电统计信息---国家能源局 (nea.gov.cn)"/>
    <hyperlink ref="D22" r:id="rId4" display="2015年光伏发电相关统计数据---国家能源局 (nea.gov.cn)"/>
    <hyperlink ref="D21" r:id="rId5" display="2014年光伏发电统计信息---国家能源局 (nea.gov.cn)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P13" sqref="P13"/>
    </sheetView>
  </sheetViews>
  <sheetFormatPr defaultColWidth="9" defaultRowHeight="13.85" outlineLevelCol="2"/>
  <cols>
    <col min="1" max="1" width="6.70796460176991" style="92" customWidth="1"/>
    <col min="2" max="2" width="31.283185840708" style="92" customWidth="1"/>
    <col min="3" max="3" width="19.7079646017699" style="92" customWidth="1"/>
    <col min="4" max="16384" width="9.13274336283186" style="92"/>
  </cols>
  <sheetData>
    <row r="1" spans="1:3">
      <c r="A1" s="445" t="s">
        <v>76</v>
      </c>
      <c r="B1" s="445" t="s">
        <v>77</v>
      </c>
      <c r="C1" s="92" t="s">
        <v>78</v>
      </c>
    </row>
    <row r="2" spans="1:3">
      <c r="A2" s="462" t="s">
        <v>79</v>
      </c>
      <c r="B2" s="447" t="s">
        <v>73</v>
      </c>
      <c r="C2" s="447" t="s">
        <v>80</v>
      </c>
    </row>
    <row r="3" spans="1:3">
      <c r="A3" s="446">
        <v>11</v>
      </c>
      <c r="B3" s="447" t="s">
        <v>81</v>
      </c>
      <c r="C3" s="447" t="s">
        <v>82</v>
      </c>
    </row>
    <row r="4" spans="1:3">
      <c r="A4" s="446">
        <v>12</v>
      </c>
      <c r="B4" s="447" t="s">
        <v>83</v>
      </c>
      <c r="C4" s="447" t="s">
        <v>84</v>
      </c>
    </row>
    <row r="5" spans="1:3">
      <c r="A5" s="446">
        <v>13</v>
      </c>
      <c r="B5" s="447" t="s">
        <v>85</v>
      </c>
      <c r="C5" s="447" t="s">
        <v>86</v>
      </c>
    </row>
    <row r="6" spans="1:3">
      <c r="A6" s="446">
        <v>14</v>
      </c>
      <c r="B6" s="447" t="s">
        <v>87</v>
      </c>
      <c r="C6" s="447" t="s">
        <v>88</v>
      </c>
    </row>
    <row r="7" spans="1:3">
      <c r="A7" s="446">
        <v>15</v>
      </c>
      <c r="B7" s="447" t="s">
        <v>89</v>
      </c>
      <c r="C7" s="447" t="s">
        <v>90</v>
      </c>
    </row>
    <row r="8" spans="1:3">
      <c r="A8" s="446">
        <v>21</v>
      </c>
      <c r="B8" s="447" t="s">
        <v>91</v>
      </c>
      <c r="C8" s="447" t="s">
        <v>92</v>
      </c>
    </row>
    <row r="9" spans="1:3">
      <c r="A9" s="446">
        <v>22</v>
      </c>
      <c r="B9" s="447" t="s">
        <v>93</v>
      </c>
      <c r="C9" s="447" t="s">
        <v>94</v>
      </c>
    </row>
    <row r="10" spans="1:3">
      <c r="A10" s="446">
        <v>23</v>
      </c>
      <c r="B10" s="447" t="s">
        <v>95</v>
      </c>
      <c r="C10" s="447" t="s">
        <v>96</v>
      </c>
    </row>
    <row r="11" spans="1:3">
      <c r="A11" s="446">
        <v>31</v>
      </c>
      <c r="B11" s="447" t="s">
        <v>97</v>
      </c>
      <c r="C11" s="447" t="s">
        <v>98</v>
      </c>
    </row>
    <row r="12" spans="1:3">
      <c r="A12" s="446">
        <v>32</v>
      </c>
      <c r="B12" s="447" t="s">
        <v>99</v>
      </c>
      <c r="C12" s="447" t="s">
        <v>100</v>
      </c>
    </row>
    <row r="13" spans="1:3">
      <c r="A13" s="446">
        <v>33</v>
      </c>
      <c r="B13" s="447" t="s">
        <v>101</v>
      </c>
      <c r="C13" s="447" t="s">
        <v>102</v>
      </c>
    </row>
    <row r="14" spans="1:3">
      <c r="A14" s="446">
        <v>34</v>
      </c>
      <c r="B14" s="447" t="s">
        <v>103</v>
      </c>
      <c r="C14" s="447" t="s">
        <v>104</v>
      </c>
    </row>
    <row r="15" spans="1:3">
      <c r="A15" s="446">
        <v>35</v>
      </c>
      <c r="B15" s="447" t="s">
        <v>105</v>
      </c>
      <c r="C15" s="447" t="s">
        <v>106</v>
      </c>
    </row>
    <row r="16" spans="1:3">
      <c r="A16" s="446">
        <v>36</v>
      </c>
      <c r="B16" s="447" t="s">
        <v>107</v>
      </c>
      <c r="C16" s="447" t="s">
        <v>108</v>
      </c>
    </row>
    <row r="17" spans="1:3">
      <c r="A17" s="446">
        <v>37</v>
      </c>
      <c r="B17" s="447" t="s">
        <v>109</v>
      </c>
      <c r="C17" s="447" t="s">
        <v>110</v>
      </c>
    </row>
    <row r="18" spans="1:3">
      <c r="A18" s="446">
        <v>41</v>
      </c>
      <c r="B18" s="447" t="s">
        <v>111</v>
      </c>
      <c r="C18" s="447" t="s">
        <v>112</v>
      </c>
    </row>
    <row r="19" spans="1:3">
      <c r="A19" s="446">
        <v>42</v>
      </c>
      <c r="B19" s="447" t="s">
        <v>113</v>
      </c>
      <c r="C19" s="447" t="s">
        <v>114</v>
      </c>
    </row>
    <row r="20" spans="1:3">
      <c r="A20" s="446">
        <v>43</v>
      </c>
      <c r="B20" s="447" t="s">
        <v>115</v>
      </c>
      <c r="C20" s="447" t="s">
        <v>116</v>
      </c>
    </row>
    <row r="21" spans="1:3">
      <c r="A21" s="446">
        <v>44</v>
      </c>
      <c r="B21" s="447" t="s">
        <v>117</v>
      </c>
      <c r="C21" s="447" t="s">
        <v>118</v>
      </c>
    </row>
    <row r="22" spans="1:3">
      <c r="A22" s="446">
        <v>45</v>
      </c>
      <c r="B22" s="447" t="s">
        <v>119</v>
      </c>
      <c r="C22" s="447" t="s">
        <v>120</v>
      </c>
    </row>
    <row r="23" spans="1:3">
      <c r="A23" s="446">
        <v>46</v>
      </c>
      <c r="B23" s="447" t="s">
        <v>121</v>
      </c>
      <c r="C23" s="447" t="s">
        <v>122</v>
      </c>
    </row>
    <row r="24" spans="1:3">
      <c r="A24" s="446">
        <v>50</v>
      </c>
      <c r="B24" s="447" t="s">
        <v>123</v>
      </c>
      <c r="C24" s="447" t="s">
        <v>124</v>
      </c>
    </row>
    <row r="25" spans="1:3">
      <c r="A25" s="446">
        <v>51</v>
      </c>
      <c r="B25" s="447" t="s">
        <v>125</v>
      </c>
      <c r="C25" s="447" t="s">
        <v>126</v>
      </c>
    </row>
    <row r="26" spans="1:3">
      <c r="A26" s="446">
        <v>52</v>
      </c>
      <c r="B26" s="447" t="s">
        <v>127</v>
      </c>
      <c r="C26" s="447" t="s">
        <v>128</v>
      </c>
    </row>
    <row r="27" spans="1:3">
      <c r="A27" s="446">
        <v>53</v>
      </c>
      <c r="B27" s="447" t="s">
        <v>129</v>
      </c>
      <c r="C27" s="447" t="s">
        <v>130</v>
      </c>
    </row>
    <row r="28" spans="1:3">
      <c r="A28" s="446">
        <v>54</v>
      </c>
      <c r="B28" s="447" t="s">
        <v>131</v>
      </c>
      <c r="C28" s="447" t="s">
        <v>132</v>
      </c>
    </row>
    <row r="29" spans="1:3">
      <c r="A29" s="446">
        <v>61</v>
      </c>
      <c r="B29" s="447" t="s">
        <v>133</v>
      </c>
      <c r="C29" s="447" t="s">
        <v>134</v>
      </c>
    </row>
    <row r="30" spans="1:3">
      <c r="A30" s="446">
        <v>62</v>
      </c>
      <c r="B30" s="447" t="s">
        <v>135</v>
      </c>
      <c r="C30" s="447" t="s">
        <v>136</v>
      </c>
    </row>
    <row r="31" spans="1:3">
      <c r="A31" s="446">
        <v>63</v>
      </c>
      <c r="B31" s="447" t="s">
        <v>137</v>
      </c>
      <c r="C31" s="447" t="s">
        <v>138</v>
      </c>
    </row>
    <row r="32" spans="1:3">
      <c r="A32" s="446">
        <v>64</v>
      </c>
      <c r="B32" s="447" t="s">
        <v>139</v>
      </c>
      <c r="C32" s="447" t="s">
        <v>140</v>
      </c>
    </row>
    <row r="33" spans="1:3">
      <c r="A33" s="446">
        <v>65</v>
      </c>
      <c r="B33" s="447" t="s">
        <v>141</v>
      </c>
      <c r="C33" s="447" t="s">
        <v>142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X210"/>
  <sheetViews>
    <sheetView topLeftCell="A106" workbookViewId="0">
      <pane xSplit="2" topLeftCell="C1" activePane="topRight" state="frozen"/>
      <selection/>
      <selection pane="topRight" activeCell="O126" sqref="O126"/>
    </sheetView>
  </sheetViews>
  <sheetFormatPr defaultColWidth="9" defaultRowHeight="12.75"/>
  <cols>
    <col min="1" max="1" width="13.858407079646" customWidth="1"/>
    <col min="2" max="2" width="17.4247787610619" customWidth="1"/>
    <col min="3" max="75" width="9.70796460176991" customWidth="1"/>
  </cols>
  <sheetData>
    <row r="2" s="414" customFormat="1" ht="13.5" customHeight="1" spans="1:75">
      <c r="A2" s="416" t="s">
        <v>143</v>
      </c>
      <c r="B2" s="416" t="s">
        <v>144</v>
      </c>
      <c r="C2" s="417">
        <v>1993</v>
      </c>
      <c r="D2" s="418">
        <v>1994</v>
      </c>
      <c r="E2" s="418">
        <v>1995</v>
      </c>
      <c r="F2" s="418">
        <v>1996</v>
      </c>
      <c r="G2" s="418">
        <v>1997</v>
      </c>
      <c r="H2" s="418">
        <v>1998</v>
      </c>
      <c r="I2" s="418">
        <v>1999</v>
      </c>
      <c r="J2" s="418">
        <v>2000</v>
      </c>
      <c r="K2" s="418">
        <v>2001</v>
      </c>
      <c r="L2" s="418">
        <v>2002</v>
      </c>
      <c r="M2" s="418">
        <v>2003</v>
      </c>
      <c r="N2" s="418">
        <v>2004</v>
      </c>
      <c r="O2" s="418">
        <v>2005</v>
      </c>
      <c r="P2" s="418">
        <v>2006</v>
      </c>
      <c r="Q2" s="419">
        <v>2007</v>
      </c>
      <c r="R2" s="418">
        <v>1993</v>
      </c>
      <c r="S2" s="418">
        <v>1994</v>
      </c>
      <c r="T2" s="418">
        <v>1995</v>
      </c>
      <c r="U2" s="418">
        <v>1996</v>
      </c>
      <c r="V2" s="418">
        <v>1997</v>
      </c>
      <c r="W2" s="418">
        <v>1998</v>
      </c>
      <c r="X2" s="418">
        <v>1999</v>
      </c>
      <c r="Y2" s="418">
        <v>2000</v>
      </c>
      <c r="Z2" s="418">
        <v>2001</v>
      </c>
      <c r="AA2" s="418">
        <v>2002</v>
      </c>
      <c r="AB2" s="418">
        <v>2003</v>
      </c>
      <c r="AC2" s="418">
        <v>2004</v>
      </c>
      <c r="AD2" s="418">
        <v>2005</v>
      </c>
      <c r="AE2" s="418">
        <v>2006</v>
      </c>
      <c r="AF2" s="419">
        <v>2007</v>
      </c>
      <c r="AG2" s="418">
        <v>1993</v>
      </c>
      <c r="AH2" s="418">
        <v>1994</v>
      </c>
      <c r="AI2" s="418">
        <v>1995</v>
      </c>
      <c r="AJ2" s="418">
        <v>1996</v>
      </c>
      <c r="AK2" s="418">
        <v>1997</v>
      </c>
      <c r="AL2" s="418">
        <v>1998</v>
      </c>
      <c r="AM2" s="418">
        <v>1999</v>
      </c>
      <c r="AN2" s="418">
        <v>2000</v>
      </c>
      <c r="AO2" s="418">
        <v>2001</v>
      </c>
      <c r="AP2" s="418">
        <v>2002</v>
      </c>
      <c r="AQ2" s="418">
        <v>2003</v>
      </c>
      <c r="AR2" s="418">
        <v>2004</v>
      </c>
      <c r="AS2" s="418">
        <v>2005</v>
      </c>
      <c r="AT2" s="420">
        <v>2006</v>
      </c>
      <c r="AU2" s="419">
        <v>2007</v>
      </c>
      <c r="AV2" s="417">
        <v>1993</v>
      </c>
      <c r="AW2" s="418">
        <v>1994</v>
      </c>
      <c r="AX2" s="418">
        <v>1995</v>
      </c>
      <c r="AY2" s="418">
        <v>1996</v>
      </c>
      <c r="AZ2" s="418">
        <v>1997</v>
      </c>
      <c r="BA2" s="418">
        <v>1998</v>
      </c>
      <c r="BB2" s="418">
        <v>1999</v>
      </c>
      <c r="BC2" s="418">
        <v>2000</v>
      </c>
      <c r="BD2" s="418">
        <v>2001</v>
      </c>
      <c r="BE2" s="418">
        <v>2002</v>
      </c>
      <c r="BF2" s="418">
        <v>2003</v>
      </c>
      <c r="BG2" s="418">
        <v>2004</v>
      </c>
      <c r="BH2" s="418">
        <v>2005</v>
      </c>
      <c r="BI2" s="420">
        <v>2006</v>
      </c>
      <c r="BJ2" s="417">
        <v>2007</v>
      </c>
      <c r="BK2" s="417">
        <v>1998</v>
      </c>
      <c r="BL2" s="418">
        <v>1999</v>
      </c>
      <c r="BM2" s="418">
        <v>2000</v>
      </c>
      <c r="BN2" s="418">
        <v>2001</v>
      </c>
      <c r="BO2" s="418">
        <v>2002</v>
      </c>
      <c r="BP2" s="418">
        <v>2003</v>
      </c>
      <c r="BQ2" s="418">
        <v>2004</v>
      </c>
      <c r="BR2" s="418">
        <v>2005</v>
      </c>
      <c r="BS2" s="418">
        <v>2006</v>
      </c>
      <c r="BT2" s="418">
        <v>2007</v>
      </c>
      <c r="BU2" s="418">
        <v>2005</v>
      </c>
      <c r="BV2" s="418">
        <v>2006</v>
      </c>
      <c r="BW2" s="420">
        <v>2007</v>
      </c>
    </row>
    <row r="3" s="414" customFormat="1" ht="13.5" customHeight="1" spans="1:75">
      <c r="A3" s="416"/>
      <c r="B3" s="416"/>
      <c r="C3" s="421" t="s">
        <v>145</v>
      </c>
      <c r="D3" s="422" t="s">
        <v>145</v>
      </c>
      <c r="E3" s="422" t="s">
        <v>145</v>
      </c>
      <c r="F3" s="422" t="s">
        <v>145</v>
      </c>
      <c r="G3" s="422" t="s">
        <v>145</v>
      </c>
      <c r="H3" s="422" t="s">
        <v>145</v>
      </c>
      <c r="I3" s="422" t="s">
        <v>145</v>
      </c>
      <c r="J3" s="422" t="s">
        <v>145</v>
      </c>
      <c r="K3" s="422" t="s">
        <v>145</v>
      </c>
      <c r="L3" s="422" t="s">
        <v>145</v>
      </c>
      <c r="M3" s="422" t="s">
        <v>145</v>
      </c>
      <c r="N3" s="422" t="s">
        <v>145</v>
      </c>
      <c r="O3" s="422" t="s">
        <v>145</v>
      </c>
      <c r="P3" s="422" t="s">
        <v>145</v>
      </c>
      <c r="Q3" s="422" t="s">
        <v>145</v>
      </c>
      <c r="R3" s="422" t="s">
        <v>146</v>
      </c>
      <c r="S3" s="422" t="s">
        <v>146</v>
      </c>
      <c r="T3" s="422" t="s">
        <v>146</v>
      </c>
      <c r="U3" s="422" t="s">
        <v>146</v>
      </c>
      <c r="V3" s="422" t="s">
        <v>146</v>
      </c>
      <c r="W3" s="422" t="s">
        <v>146</v>
      </c>
      <c r="X3" s="422" t="s">
        <v>146</v>
      </c>
      <c r="Y3" s="422" t="s">
        <v>146</v>
      </c>
      <c r="Z3" s="422" t="s">
        <v>146</v>
      </c>
      <c r="AA3" s="422" t="s">
        <v>146</v>
      </c>
      <c r="AB3" s="422" t="s">
        <v>146</v>
      </c>
      <c r="AC3" s="422" t="s">
        <v>146</v>
      </c>
      <c r="AD3" s="422" t="s">
        <v>146</v>
      </c>
      <c r="AE3" s="422" t="s">
        <v>146</v>
      </c>
      <c r="AF3" s="423" t="s">
        <v>146</v>
      </c>
      <c r="AG3" s="422" t="s">
        <v>147</v>
      </c>
      <c r="AH3" s="422" t="s">
        <v>147</v>
      </c>
      <c r="AI3" s="422" t="s">
        <v>147</v>
      </c>
      <c r="AJ3" s="422" t="s">
        <v>147</v>
      </c>
      <c r="AK3" s="422" t="s">
        <v>147</v>
      </c>
      <c r="AL3" s="422" t="s">
        <v>147</v>
      </c>
      <c r="AM3" s="422" t="s">
        <v>147</v>
      </c>
      <c r="AN3" s="422" t="s">
        <v>147</v>
      </c>
      <c r="AO3" s="422" t="s">
        <v>147</v>
      </c>
      <c r="AP3" s="422" t="s">
        <v>147</v>
      </c>
      <c r="AQ3" s="422" t="s">
        <v>147</v>
      </c>
      <c r="AR3" s="422" t="s">
        <v>147</v>
      </c>
      <c r="AS3" s="422" t="s">
        <v>147</v>
      </c>
      <c r="AT3" s="424" t="s">
        <v>147</v>
      </c>
      <c r="AU3" s="423" t="s">
        <v>147</v>
      </c>
      <c r="AV3" s="421" t="s">
        <v>148</v>
      </c>
      <c r="AW3" s="422" t="s">
        <v>148</v>
      </c>
      <c r="AX3" s="422" t="s">
        <v>148</v>
      </c>
      <c r="AY3" s="422" t="s">
        <v>148</v>
      </c>
      <c r="AZ3" s="422" t="s">
        <v>148</v>
      </c>
      <c r="BA3" s="422" t="s">
        <v>148</v>
      </c>
      <c r="BB3" s="422" t="s">
        <v>148</v>
      </c>
      <c r="BC3" s="422" t="s">
        <v>148</v>
      </c>
      <c r="BD3" s="422" t="s">
        <v>148</v>
      </c>
      <c r="BE3" s="422" t="s">
        <v>148</v>
      </c>
      <c r="BF3" s="422" t="s">
        <v>148</v>
      </c>
      <c r="BG3" s="422" t="s">
        <v>148</v>
      </c>
      <c r="BH3" s="422" t="s">
        <v>148</v>
      </c>
      <c r="BI3" s="424" t="s">
        <v>148</v>
      </c>
      <c r="BJ3" s="421" t="s">
        <v>148</v>
      </c>
      <c r="BK3" s="421" t="s">
        <v>149</v>
      </c>
      <c r="BL3" s="422" t="s">
        <v>149</v>
      </c>
      <c r="BM3" s="422" t="s">
        <v>149</v>
      </c>
      <c r="BN3" s="422" t="s">
        <v>149</v>
      </c>
      <c r="BO3" s="422" t="s">
        <v>149</v>
      </c>
      <c r="BP3" s="422" t="s">
        <v>149</v>
      </c>
      <c r="BQ3" s="422" t="s">
        <v>149</v>
      </c>
      <c r="BR3" s="422" t="s">
        <v>149</v>
      </c>
      <c r="BS3" s="422" t="s">
        <v>149</v>
      </c>
      <c r="BT3" s="422" t="s">
        <v>149</v>
      </c>
      <c r="BU3" s="422" t="s">
        <v>150</v>
      </c>
      <c r="BV3" s="422" t="s">
        <v>150</v>
      </c>
      <c r="BW3" s="424" t="s">
        <v>150</v>
      </c>
    </row>
    <row r="4" ht="13.5" customHeight="1" spans="1:75">
      <c r="A4" s="194" t="s">
        <v>151</v>
      </c>
      <c r="B4" s="22" t="s">
        <v>80</v>
      </c>
      <c r="C4" s="425">
        <v>18321.07</v>
      </c>
      <c r="D4" s="26">
        <v>19989.72</v>
      </c>
      <c r="E4" s="26">
        <v>21722.42</v>
      </c>
      <c r="F4" s="26">
        <v>23654.16</v>
      </c>
      <c r="G4" s="26">
        <v>25423.82</v>
      </c>
      <c r="H4" s="26">
        <v>27728.9</v>
      </c>
      <c r="I4" s="26">
        <v>29876.79</v>
      </c>
      <c r="J4" s="26">
        <v>31932.09</v>
      </c>
      <c r="K4" s="26">
        <v>33861.19</v>
      </c>
      <c r="L4" s="26">
        <v>35657.09</v>
      </c>
      <c r="M4" s="26">
        <v>39140.78</v>
      </c>
      <c r="N4" s="26">
        <v>44238.73</v>
      </c>
      <c r="O4" s="26">
        <v>51718.5</v>
      </c>
      <c r="P4" s="26">
        <v>62369.8</v>
      </c>
      <c r="Q4" s="426">
        <v>71822</v>
      </c>
      <c r="R4" s="26">
        <v>4459.25</v>
      </c>
      <c r="S4" s="26">
        <v>4906.08</v>
      </c>
      <c r="T4" s="26">
        <v>5218.36</v>
      </c>
      <c r="U4" s="26">
        <v>5557.79</v>
      </c>
      <c r="V4" s="26">
        <v>5973.02</v>
      </c>
      <c r="W4" s="26">
        <v>6506.5</v>
      </c>
      <c r="X4" s="26">
        <v>7297.08</v>
      </c>
      <c r="Y4" s="26">
        <v>7935.22</v>
      </c>
      <c r="Z4" s="26">
        <v>8300.64</v>
      </c>
      <c r="AA4" s="26">
        <v>8607.46</v>
      </c>
      <c r="AB4" s="26">
        <v>9489.62</v>
      </c>
      <c r="AC4" s="26">
        <v>10524.16</v>
      </c>
      <c r="AD4" s="26">
        <v>11738.8</v>
      </c>
      <c r="AE4" s="26">
        <v>13029.2</v>
      </c>
      <c r="AF4" s="426">
        <v>14823</v>
      </c>
      <c r="AG4" s="26">
        <v>13831.82</v>
      </c>
      <c r="AH4" s="26">
        <v>14873.64</v>
      </c>
      <c r="AI4" s="26">
        <v>16294.06</v>
      </c>
      <c r="AJ4" s="26">
        <v>17886.37</v>
      </c>
      <c r="AK4" s="26">
        <v>19240.8</v>
      </c>
      <c r="AL4" s="26">
        <v>20988.35</v>
      </c>
      <c r="AM4" s="26">
        <v>22343.4</v>
      </c>
      <c r="AN4" s="26">
        <v>23754.02</v>
      </c>
      <c r="AO4" s="26">
        <v>25313.7</v>
      </c>
      <c r="AP4" s="26">
        <v>26554.67</v>
      </c>
      <c r="AQ4" s="26">
        <v>28977.09</v>
      </c>
      <c r="AR4" s="26">
        <v>32948.3</v>
      </c>
      <c r="AS4" s="26">
        <v>39137.6</v>
      </c>
      <c r="AT4" s="427">
        <v>48382.2</v>
      </c>
      <c r="AU4" s="426">
        <v>55607</v>
      </c>
      <c r="AV4" s="425">
        <v>30</v>
      </c>
      <c r="AW4" s="26">
        <v>210.000000000002</v>
      </c>
      <c r="AX4" s="26">
        <v>209.999999999998</v>
      </c>
      <c r="AY4" s="26">
        <v>210</v>
      </c>
      <c r="AZ4" s="26">
        <v>210</v>
      </c>
      <c r="BA4" s="26">
        <v>210</v>
      </c>
      <c r="BB4" s="26">
        <v>210</v>
      </c>
      <c r="BC4" s="26">
        <v>210</v>
      </c>
      <c r="BD4" s="26">
        <v>210</v>
      </c>
      <c r="BE4" s="26">
        <v>446.8</v>
      </c>
      <c r="BF4" s="26">
        <v>618.6</v>
      </c>
      <c r="BG4" s="26">
        <v>683.6</v>
      </c>
      <c r="BH4" s="26">
        <v>684.6</v>
      </c>
      <c r="BI4" s="427">
        <v>684.6</v>
      </c>
      <c r="BJ4" s="425">
        <v>885</v>
      </c>
      <c r="BK4" s="425">
        <v>24.0500000000029</v>
      </c>
      <c r="BL4" s="24">
        <v>26.3099999999977</v>
      </c>
      <c r="BM4" s="24">
        <v>32.8499999999985</v>
      </c>
      <c r="BN4" s="24">
        <v>36.86</v>
      </c>
      <c r="BO4" s="24">
        <v>48.18</v>
      </c>
      <c r="BP4" s="24">
        <v>55.45</v>
      </c>
      <c r="BQ4" s="24">
        <v>81.97</v>
      </c>
      <c r="BR4" s="24">
        <v>51.9</v>
      </c>
      <c r="BS4" s="24">
        <v>66.5</v>
      </c>
      <c r="BT4" s="7">
        <v>86.53</v>
      </c>
      <c r="BU4" s="24">
        <v>105.6</v>
      </c>
      <c r="BV4" s="24">
        <v>207.2</v>
      </c>
      <c r="BW4" s="428">
        <v>420</v>
      </c>
    </row>
    <row r="5" ht="13.5" customHeight="1" spans="1:75">
      <c r="A5" s="198"/>
      <c r="B5" s="22" t="s">
        <v>82</v>
      </c>
      <c r="C5" s="425">
        <v>275.25</v>
      </c>
      <c r="D5" s="26">
        <v>270.52</v>
      </c>
      <c r="E5" s="26">
        <v>299.92</v>
      </c>
      <c r="F5" s="26">
        <v>339.52</v>
      </c>
      <c r="G5" s="26">
        <v>379.79</v>
      </c>
      <c r="H5" s="26">
        <v>407.89</v>
      </c>
      <c r="I5" s="26">
        <v>491.57</v>
      </c>
      <c r="J5" s="26">
        <v>445.16</v>
      </c>
      <c r="K5" s="26">
        <v>447.06</v>
      </c>
      <c r="L5" s="26">
        <v>444.6</v>
      </c>
      <c r="M5" s="26">
        <v>440.56</v>
      </c>
      <c r="N5" s="26">
        <v>451.44</v>
      </c>
      <c r="O5" s="26">
        <v>491.1</v>
      </c>
      <c r="P5" s="26">
        <v>506.1</v>
      </c>
      <c r="Q5" s="426">
        <v>495</v>
      </c>
      <c r="R5" s="26">
        <v>27.09</v>
      </c>
      <c r="S5" s="26">
        <v>27.09</v>
      </c>
      <c r="T5" s="26">
        <v>27.09</v>
      </c>
      <c r="U5" s="26">
        <v>66.69</v>
      </c>
      <c r="V5" s="26">
        <v>106.96</v>
      </c>
      <c r="W5" s="26">
        <v>106.96</v>
      </c>
      <c r="X5" s="26">
        <v>105.81</v>
      </c>
      <c r="Y5" s="26">
        <v>105.81</v>
      </c>
      <c r="Z5" s="26">
        <v>105.81</v>
      </c>
      <c r="AA5" s="26">
        <v>103.85</v>
      </c>
      <c r="AB5" s="26">
        <v>105.81</v>
      </c>
      <c r="AC5" s="26">
        <v>105.59</v>
      </c>
      <c r="AD5" s="26">
        <v>105.3</v>
      </c>
      <c r="AE5" s="26">
        <v>105.3</v>
      </c>
      <c r="AF5" s="426">
        <v>105</v>
      </c>
      <c r="AG5" s="26">
        <v>248.16</v>
      </c>
      <c r="AH5" s="26">
        <v>243.43</v>
      </c>
      <c r="AI5" s="26">
        <v>272.83</v>
      </c>
      <c r="AJ5" s="26">
        <v>272.83</v>
      </c>
      <c r="AK5" s="26">
        <v>272.83</v>
      </c>
      <c r="AL5" s="26">
        <v>300.93</v>
      </c>
      <c r="AM5" s="26">
        <v>385.76</v>
      </c>
      <c r="AN5" s="26">
        <v>339.35</v>
      </c>
      <c r="AO5" s="26">
        <v>341.25</v>
      </c>
      <c r="AP5" s="26">
        <v>340.75</v>
      </c>
      <c r="AQ5" s="26">
        <v>334.75</v>
      </c>
      <c r="AR5" s="26">
        <v>345.85</v>
      </c>
      <c r="AS5" s="26">
        <v>383.4</v>
      </c>
      <c r="AT5" s="427">
        <v>398.4</v>
      </c>
      <c r="AU5" s="426">
        <v>390</v>
      </c>
      <c r="AV5" s="425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427"/>
      <c r="BJ5" s="425"/>
      <c r="BK5" s="425"/>
      <c r="BL5" s="24"/>
      <c r="BM5" s="24"/>
      <c r="BN5" s="24"/>
      <c r="BO5" s="24"/>
      <c r="BP5" s="24"/>
      <c r="BQ5" s="24"/>
      <c r="BR5" s="24">
        <v>2.4</v>
      </c>
      <c r="BS5" s="24">
        <v>2.4</v>
      </c>
      <c r="BT5" s="7">
        <v>0.27</v>
      </c>
      <c r="BU5" s="24"/>
      <c r="BV5" s="24"/>
      <c r="BW5" s="428"/>
    </row>
    <row r="6" ht="13.5" customHeight="1" spans="1:75">
      <c r="A6" s="198"/>
      <c r="B6" s="22" t="s">
        <v>84</v>
      </c>
      <c r="C6" s="425">
        <v>319.6</v>
      </c>
      <c r="D6" s="26">
        <v>332.9</v>
      </c>
      <c r="E6" s="26">
        <v>338.65</v>
      </c>
      <c r="F6" s="26">
        <v>447.93</v>
      </c>
      <c r="G6" s="26">
        <v>447.68</v>
      </c>
      <c r="H6" s="26">
        <v>477.28</v>
      </c>
      <c r="I6" s="26">
        <v>504.75</v>
      </c>
      <c r="J6" s="26">
        <v>503.6</v>
      </c>
      <c r="K6" s="26">
        <v>563.7</v>
      </c>
      <c r="L6" s="26">
        <v>625.05</v>
      </c>
      <c r="M6" s="26">
        <v>601.35</v>
      </c>
      <c r="N6" s="26">
        <v>601.35</v>
      </c>
      <c r="O6" s="26">
        <v>617.9</v>
      </c>
      <c r="P6" s="26">
        <v>654.1</v>
      </c>
      <c r="Q6" s="426">
        <v>693</v>
      </c>
      <c r="R6" s="26">
        <v>0.5</v>
      </c>
      <c r="S6" s="26">
        <v>0.05</v>
      </c>
      <c r="T6" s="26">
        <v>0.5</v>
      </c>
      <c r="U6" s="26">
        <v>0.58</v>
      </c>
      <c r="V6" s="26">
        <v>0.58</v>
      </c>
      <c r="W6" s="26">
        <v>0.58</v>
      </c>
      <c r="X6" s="26">
        <v>0.5</v>
      </c>
      <c r="Y6" s="26">
        <v>0.5</v>
      </c>
      <c r="Z6" s="26">
        <v>0.5</v>
      </c>
      <c r="AA6" s="26">
        <v>0.5</v>
      </c>
      <c r="AB6" s="26">
        <v>0.5</v>
      </c>
      <c r="AC6" s="26">
        <v>0.5</v>
      </c>
      <c r="AD6" s="26">
        <v>0.5</v>
      </c>
      <c r="AE6" s="26">
        <v>0.5</v>
      </c>
      <c r="AF6" s="426">
        <v>1</v>
      </c>
      <c r="AG6" s="26">
        <v>319.1</v>
      </c>
      <c r="AH6" s="26">
        <v>332.85</v>
      </c>
      <c r="AI6" s="26">
        <v>338.15</v>
      </c>
      <c r="AJ6" s="26">
        <v>447.35</v>
      </c>
      <c r="AK6" s="26">
        <v>447.1</v>
      </c>
      <c r="AL6" s="26">
        <v>476.7</v>
      </c>
      <c r="AM6" s="26">
        <v>503.95</v>
      </c>
      <c r="AN6" s="26">
        <v>502.8</v>
      </c>
      <c r="AO6" s="26">
        <v>563.2</v>
      </c>
      <c r="AP6" s="26">
        <v>624.55</v>
      </c>
      <c r="AQ6" s="26">
        <v>600.85</v>
      </c>
      <c r="AR6" s="26">
        <v>600.85</v>
      </c>
      <c r="AS6" s="26">
        <v>617.4</v>
      </c>
      <c r="AT6" s="427">
        <v>651.2</v>
      </c>
      <c r="AU6" s="426">
        <v>692</v>
      </c>
      <c r="AV6" s="425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427"/>
      <c r="BJ6" s="425"/>
      <c r="BK6" s="425"/>
      <c r="BL6" s="24">
        <v>0.300000000000011</v>
      </c>
      <c r="BM6" s="24">
        <v>0.300000000000011</v>
      </c>
      <c r="BN6" s="24"/>
      <c r="BO6" s="24"/>
      <c r="BP6" s="24"/>
      <c r="BQ6" s="24"/>
      <c r="BR6" s="24"/>
      <c r="BS6" s="24">
        <v>2.4</v>
      </c>
      <c r="BT6" s="7"/>
      <c r="BU6" s="24"/>
      <c r="BV6" s="24"/>
      <c r="BW6" s="428"/>
    </row>
    <row r="7" ht="13.5" customHeight="1" spans="1:75">
      <c r="A7" s="198"/>
      <c r="B7" s="22" t="s">
        <v>86</v>
      </c>
      <c r="C7" s="425">
        <v>911.3</v>
      </c>
      <c r="D7" s="26">
        <v>979.2</v>
      </c>
      <c r="E7" s="26">
        <v>1103.57</v>
      </c>
      <c r="F7" s="26">
        <v>1176.44</v>
      </c>
      <c r="G7" s="26">
        <v>1257.53</v>
      </c>
      <c r="H7" s="26">
        <v>1328.41</v>
      </c>
      <c r="I7" s="26">
        <v>1458.9</v>
      </c>
      <c r="J7" s="26">
        <v>1583.07</v>
      </c>
      <c r="K7" s="26">
        <v>1722.74</v>
      </c>
      <c r="L7" s="26">
        <v>1753.51</v>
      </c>
      <c r="M7" s="26">
        <v>1847.64</v>
      </c>
      <c r="N7" s="26">
        <v>2073</v>
      </c>
      <c r="O7" s="26">
        <v>2316.6</v>
      </c>
      <c r="P7" s="26">
        <v>2709</v>
      </c>
      <c r="Q7" s="426">
        <v>3021</v>
      </c>
      <c r="R7" s="26">
        <v>67.37</v>
      </c>
      <c r="S7" s="26">
        <v>68.82</v>
      </c>
      <c r="T7" s="26">
        <v>66.19</v>
      </c>
      <c r="U7" s="26">
        <v>67.22</v>
      </c>
      <c r="V7" s="26">
        <v>68.33</v>
      </c>
      <c r="W7" s="26">
        <v>69.5</v>
      </c>
      <c r="X7" s="26">
        <v>71.99</v>
      </c>
      <c r="Y7" s="26">
        <v>72.72</v>
      </c>
      <c r="Z7" s="26">
        <v>74.26</v>
      </c>
      <c r="AA7" s="26">
        <v>77.59</v>
      </c>
      <c r="AB7" s="26">
        <v>76.43</v>
      </c>
      <c r="AC7" s="26">
        <v>78.38</v>
      </c>
      <c r="AD7" s="26">
        <v>78.5</v>
      </c>
      <c r="AE7" s="26">
        <v>78.5</v>
      </c>
      <c r="AF7" s="426">
        <v>78</v>
      </c>
      <c r="AG7" s="26">
        <v>843.93</v>
      </c>
      <c r="AH7" s="26">
        <v>910.38</v>
      </c>
      <c r="AI7" s="26">
        <v>1037.38</v>
      </c>
      <c r="AJ7" s="26">
        <v>1109.22</v>
      </c>
      <c r="AK7" s="26">
        <v>1189.2</v>
      </c>
      <c r="AL7" s="26">
        <v>1258.91</v>
      </c>
      <c r="AM7" s="26">
        <v>1385.92</v>
      </c>
      <c r="AN7" s="26">
        <v>1509.37</v>
      </c>
      <c r="AO7" s="26">
        <v>1647.49</v>
      </c>
      <c r="AP7" s="26">
        <v>1674.57</v>
      </c>
      <c r="AQ7" s="26">
        <v>1769.87</v>
      </c>
      <c r="AR7" s="26">
        <v>1993.27</v>
      </c>
      <c r="AS7" s="26">
        <v>2233.3</v>
      </c>
      <c r="AT7" s="427">
        <v>2608.7</v>
      </c>
      <c r="AU7" s="426">
        <v>2902</v>
      </c>
      <c r="AV7" s="425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427"/>
      <c r="BJ7" s="425"/>
      <c r="BK7" s="425"/>
      <c r="BL7" s="24">
        <v>0.990000000000009</v>
      </c>
      <c r="BM7" s="24">
        <v>0.980000000000018</v>
      </c>
      <c r="BN7" s="24">
        <v>0.99</v>
      </c>
      <c r="BO7" s="24">
        <v>1.35</v>
      </c>
      <c r="BP7" s="24">
        <v>1.35</v>
      </c>
      <c r="BQ7" s="24">
        <v>1.35</v>
      </c>
      <c r="BR7" s="24"/>
      <c r="BS7" s="24"/>
      <c r="BT7" s="7"/>
      <c r="BU7" s="24">
        <v>4.8</v>
      </c>
      <c r="BV7" s="24">
        <v>21.8</v>
      </c>
      <c r="BW7" s="428">
        <v>41</v>
      </c>
    </row>
    <row r="8" ht="13.5" customHeight="1" spans="1:75">
      <c r="A8" s="198"/>
      <c r="B8" s="22" t="s">
        <v>88</v>
      </c>
      <c r="C8" s="425">
        <v>852.23</v>
      </c>
      <c r="D8" s="26">
        <v>896.95</v>
      </c>
      <c r="E8" s="26">
        <v>916.02</v>
      </c>
      <c r="F8" s="26">
        <v>960.68</v>
      </c>
      <c r="G8" s="26">
        <v>994.32</v>
      </c>
      <c r="H8" s="26">
        <v>1096.61</v>
      </c>
      <c r="I8" s="26">
        <v>1164.7</v>
      </c>
      <c r="J8" s="26">
        <v>1274.85</v>
      </c>
      <c r="K8" s="26">
        <v>1421.18</v>
      </c>
      <c r="L8" s="26">
        <v>1512.31</v>
      </c>
      <c r="M8" s="26">
        <v>1583.15</v>
      </c>
      <c r="N8" s="26">
        <v>1848.05</v>
      </c>
      <c r="O8" s="26">
        <v>2307.5</v>
      </c>
      <c r="P8" s="26">
        <v>2745.1</v>
      </c>
      <c r="Q8" s="426">
        <v>3174</v>
      </c>
      <c r="R8" s="26">
        <v>27.4</v>
      </c>
      <c r="S8" s="26">
        <v>25.84</v>
      </c>
      <c r="T8" s="26">
        <v>25.84</v>
      </c>
      <c r="U8" s="26">
        <v>25.91</v>
      </c>
      <c r="V8" s="26">
        <v>25.9</v>
      </c>
      <c r="W8" s="26">
        <v>43.79</v>
      </c>
      <c r="X8" s="26">
        <v>61.78</v>
      </c>
      <c r="Y8" s="26">
        <v>97.77</v>
      </c>
      <c r="Z8" s="26">
        <v>79.59</v>
      </c>
      <c r="AA8" s="26">
        <v>79.53</v>
      </c>
      <c r="AB8" s="26">
        <v>79.57</v>
      </c>
      <c r="AC8" s="26">
        <v>78.73</v>
      </c>
      <c r="AD8" s="26">
        <v>78.3</v>
      </c>
      <c r="AE8" s="26">
        <v>79</v>
      </c>
      <c r="AF8" s="426">
        <v>79</v>
      </c>
      <c r="AG8" s="26">
        <v>824.83</v>
      </c>
      <c r="AH8" s="26">
        <v>871.11</v>
      </c>
      <c r="AI8" s="26">
        <v>890.18</v>
      </c>
      <c r="AJ8" s="26">
        <v>934.77</v>
      </c>
      <c r="AK8" s="26">
        <v>968.42</v>
      </c>
      <c r="AL8" s="26">
        <v>1052.81</v>
      </c>
      <c r="AM8" s="26">
        <v>1102.91</v>
      </c>
      <c r="AN8" s="26">
        <v>1177.08</v>
      </c>
      <c r="AO8" s="26">
        <v>1341.59</v>
      </c>
      <c r="AP8" s="26">
        <v>1432.78</v>
      </c>
      <c r="AQ8" s="26">
        <v>1503.58</v>
      </c>
      <c r="AR8" s="26">
        <v>1769.33</v>
      </c>
      <c r="AS8" s="26">
        <v>2229.2</v>
      </c>
      <c r="AT8" s="427">
        <v>2666.1</v>
      </c>
      <c r="AU8" s="426">
        <v>3095</v>
      </c>
      <c r="AV8" s="425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427"/>
      <c r="BJ8" s="425"/>
      <c r="BK8" s="425"/>
      <c r="BL8" s="24"/>
      <c r="BM8" s="24"/>
      <c r="BN8" s="24"/>
      <c r="BO8" s="24"/>
      <c r="BP8" s="24"/>
      <c r="BQ8" s="24"/>
      <c r="BR8" s="24"/>
      <c r="BS8" s="24"/>
      <c r="BT8" s="7"/>
      <c r="BU8" s="24"/>
      <c r="BV8" s="24"/>
      <c r="BW8" s="428"/>
    </row>
    <row r="9" ht="13.5" customHeight="1" spans="1:75">
      <c r="A9" s="198"/>
      <c r="B9" s="22" t="s">
        <v>90</v>
      </c>
      <c r="C9" s="425">
        <v>476.76</v>
      </c>
      <c r="D9" s="26">
        <v>505.99</v>
      </c>
      <c r="E9" s="26">
        <v>588.79</v>
      </c>
      <c r="F9" s="26">
        <v>625.2</v>
      </c>
      <c r="G9" s="26">
        <v>632.25</v>
      </c>
      <c r="H9" s="26">
        <v>780.34</v>
      </c>
      <c r="I9" s="26">
        <v>881.37</v>
      </c>
      <c r="J9" s="26">
        <v>895.9</v>
      </c>
      <c r="K9" s="26">
        <v>951.12</v>
      </c>
      <c r="L9" s="26">
        <v>1044.74</v>
      </c>
      <c r="M9" s="26">
        <v>1209.04</v>
      </c>
      <c r="N9" s="26">
        <v>1432.12</v>
      </c>
      <c r="O9" s="26">
        <v>1995</v>
      </c>
      <c r="P9" s="26">
        <v>3028.1</v>
      </c>
      <c r="Q9" s="426">
        <v>4179</v>
      </c>
      <c r="R9" s="26">
        <v>4.37</v>
      </c>
      <c r="S9" s="26">
        <v>4.36</v>
      </c>
      <c r="T9" s="26">
        <v>4.36</v>
      </c>
      <c r="U9" s="26">
        <v>4.9</v>
      </c>
      <c r="V9" s="26">
        <v>4.67</v>
      </c>
      <c r="W9" s="26">
        <v>5.02</v>
      </c>
      <c r="X9" s="26">
        <v>23.02</v>
      </c>
      <c r="Y9" s="26">
        <v>41.06</v>
      </c>
      <c r="Z9" s="26">
        <v>56.62</v>
      </c>
      <c r="AA9" s="26">
        <v>59.21</v>
      </c>
      <c r="AB9" s="26">
        <v>59.21</v>
      </c>
      <c r="AC9" s="26">
        <v>56.79</v>
      </c>
      <c r="AD9" s="26">
        <v>56.8</v>
      </c>
      <c r="AE9" s="26">
        <v>81.8</v>
      </c>
      <c r="AF9" s="426">
        <v>83</v>
      </c>
      <c r="AG9" s="26">
        <v>472.39</v>
      </c>
      <c r="AH9" s="26">
        <v>501.63</v>
      </c>
      <c r="AI9" s="26">
        <v>584.43</v>
      </c>
      <c r="AJ9" s="26">
        <v>620.3</v>
      </c>
      <c r="AK9" s="26">
        <v>627.58</v>
      </c>
      <c r="AL9" s="26">
        <v>771.33</v>
      </c>
      <c r="AM9" s="26">
        <v>854.33</v>
      </c>
      <c r="AN9" s="26">
        <v>850.29</v>
      </c>
      <c r="AO9" s="26">
        <v>889.83</v>
      </c>
      <c r="AP9" s="26">
        <v>977.87</v>
      </c>
      <c r="AQ9" s="26">
        <v>1142.17</v>
      </c>
      <c r="AR9" s="26">
        <v>1364.15</v>
      </c>
      <c r="AS9" s="26">
        <v>1917.3</v>
      </c>
      <c r="AT9" s="427">
        <v>2889.9</v>
      </c>
      <c r="AU9" s="426">
        <v>3987</v>
      </c>
      <c r="AV9" s="425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427"/>
      <c r="BJ9" s="425"/>
      <c r="BK9" s="425">
        <v>3.99000000000001</v>
      </c>
      <c r="BL9" s="24">
        <v>4.01999999999998</v>
      </c>
      <c r="BM9" s="24">
        <v>4.55000000000007</v>
      </c>
      <c r="BN9" s="24">
        <v>4.67</v>
      </c>
      <c r="BO9" s="24">
        <v>7.66</v>
      </c>
      <c r="BP9" s="24">
        <v>7.66</v>
      </c>
      <c r="BQ9" s="24">
        <v>11.17</v>
      </c>
      <c r="BR9" s="24"/>
      <c r="BS9" s="24">
        <v>1.7</v>
      </c>
      <c r="BT9" s="7">
        <v>1.65</v>
      </c>
      <c r="BU9" s="24">
        <v>20.9</v>
      </c>
      <c r="BV9" s="24">
        <v>54.8</v>
      </c>
      <c r="BW9" s="428">
        <v>108</v>
      </c>
    </row>
    <row r="10" ht="13.5" customHeight="1" spans="1:75">
      <c r="A10" s="198"/>
      <c r="B10" s="22" t="s">
        <v>92</v>
      </c>
      <c r="C10" s="425">
        <v>1021.49</v>
      </c>
      <c r="D10" s="26">
        <v>1069.4</v>
      </c>
      <c r="E10" s="26">
        <v>1087.62</v>
      </c>
      <c r="F10" s="26">
        <v>1228.09</v>
      </c>
      <c r="G10" s="26">
        <v>1241.19</v>
      </c>
      <c r="H10" s="26">
        <v>1380.04</v>
      </c>
      <c r="I10" s="26">
        <v>1368.86</v>
      </c>
      <c r="J10" s="26">
        <v>1523.03</v>
      </c>
      <c r="K10" s="26">
        <v>1540.38</v>
      </c>
      <c r="L10" s="26">
        <v>1572.98</v>
      </c>
      <c r="M10" s="26">
        <v>1635.01</v>
      </c>
      <c r="N10" s="26">
        <v>1650.64</v>
      </c>
      <c r="O10" s="26">
        <v>1753.8</v>
      </c>
      <c r="P10" s="26">
        <v>1833.8</v>
      </c>
      <c r="Q10" s="426">
        <v>2150</v>
      </c>
      <c r="R10" s="26">
        <v>118.37</v>
      </c>
      <c r="S10" s="26">
        <v>119.25</v>
      </c>
      <c r="T10" s="26">
        <v>123.25</v>
      </c>
      <c r="U10" s="26">
        <v>122.09</v>
      </c>
      <c r="V10" s="26">
        <v>122.09</v>
      </c>
      <c r="W10" s="26">
        <v>122.31</v>
      </c>
      <c r="X10" s="26">
        <v>124</v>
      </c>
      <c r="Y10" s="26">
        <v>124.85</v>
      </c>
      <c r="Z10" s="26">
        <v>126.18</v>
      </c>
      <c r="AA10" s="26">
        <v>126.14</v>
      </c>
      <c r="AB10" s="26">
        <v>139.62</v>
      </c>
      <c r="AC10" s="26">
        <v>140.41</v>
      </c>
      <c r="AD10" s="26">
        <v>140.4</v>
      </c>
      <c r="AE10" s="26">
        <v>140.1</v>
      </c>
      <c r="AF10" s="426">
        <v>141</v>
      </c>
      <c r="AG10" s="26">
        <v>903.12</v>
      </c>
      <c r="AH10" s="26">
        <v>950.15</v>
      </c>
      <c r="AI10" s="26">
        <v>964.37</v>
      </c>
      <c r="AJ10" s="26">
        <v>1106</v>
      </c>
      <c r="AK10" s="26">
        <v>1119.1</v>
      </c>
      <c r="AL10" s="26">
        <v>1256.03</v>
      </c>
      <c r="AM10" s="26">
        <v>1242.57</v>
      </c>
      <c r="AN10" s="26">
        <v>1393.79</v>
      </c>
      <c r="AO10" s="26">
        <v>1407.8</v>
      </c>
      <c r="AP10" s="26">
        <v>1438.99</v>
      </c>
      <c r="AQ10" s="26">
        <v>1481.64</v>
      </c>
      <c r="AR10" s="26">
        <v>1496.03</v>
      </c>
      <c r="AS10" s="26">
        <v>1599.9</v>
      </c>
      <c r="AT10" s="427">
        <v>1672.1</v>
      </c>
      <c r="AU10" s="426">
        <v>1972</v>
      </c>
      <c r="AV10" s="425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427"/>
      <c r="BJ10" s="425"/>
      <c r="BK10" s="425">
        <v>1.70000000000005</v>
      </c>
      <c r="BL10" s="24">
        <v>2.28999999999996</v>
      </c>
      <c r="BM10" s="24">
        <v>4.3900000000001</v>
      </c>
      <c r="BN10" s="24">
        <v>6.4</v>
      </c>
      <c r="BO10" s="24">
        <v>7.85</v>
      </c>
      <c r="BP10" s="24">
        <v>13.75</v>
      </c>
      <c r="BQ10" s="24">
        <v>14.2</v>
      </c>
      <c r="BR10" s="24">
        <v>0.9</v>
      </c>
      <c r="BS10" s="24">
        <v>0.9</v>
      </c>
      <c r="BT10" s="7">
        <v>0.9</v>
      </c>
      <c r="BU10" s="24">
        <v>12.6</v>
      </c>
      <c r="BV10" s="24">
        <v>20.7</v>
      </c>
      <c r="BW10" s="428">
        <v>35</v>
      </c>
    </row>
    <row r="11" ht="13.5" customHeight="1" spans="1:75">
      <c r="A11" s="198"/>
      <c r="B11" s="22" t="s">
        <v>94</v>
      </c>
      <c r="C11" s="425">
        <v>632.22</v>
      </c>
      <c r="D11" s="26">
        <v>666.5</v>
      </c>
      <c r="E11" s="26">
        <v>700.49</v>
      </c>
      <c r="F11" s="26">
        <v>701.52</v>
      </c>
      <c r="G11" s="26">
        <v>749.92</v>
      </c>
      <c r="H11" s="26">
        <v>790.33</v>
      </c>
      <c r="I11" s="26">
        <v>809.13</v>
      </c>
      <c r="J11" s="26">
        <v>846.13</v>
      </c>
      <c r="K11" s="26">
        <v>887.53</v>
      </c>
      <c r="L11" s="26">
        <v>893.91</v>
      </c>
      <c r="M11" s="26">
        <v>940.85</v>
      </c>
      <c r="N11" s="26">
        <v>959.59</v>
      </c>
      <c r="O11" s="26">
        <v>1016.6</v>
      </c>
      <c r="P11" s="26">
        <v>1113.1</v>
      </c>
      <c r="Q11" s="426">
        <v>1198</v>
      </c>
      <c r="R11" s="26">
        <v>298.56</v>
      </c>
      <c r="S11" s="26">
        <v>299.89</v>
      </c>
      <c r="T11" s="26">
        <v>300.48</v>
      </c>
      <c r="U11" s="26">
        <v>301.51</v>
      </c>
      <c r="V11" s="26">
        <v>324.61</v>
      </c>
      <c r="W11" s="26">
        <v>347.47</v>
      </c>
      <c r="X11" s="26">
        <v>350.82</v>
      </c>
      <c r="Y11" s="26">
        <v>353.67</v>
      </c>
      <c r="Z11" s="26">
        <v>357.56</v>
      </c>
      <c r="AA11" s="26">
        <v>357.39</v>
      </c>
      <c r="AB11" s="26">
        <v>358.58</v>
      </c>
      <c r="AC11" s="26">
        <v>360.12</v>
      </c>
      <c r="AD11" s="26">
        <v>372.1</v>
      </c>
      <c r="AE11" s="26">
        <v>387.2</v>
      </c>
      <c r="AF11" s="426">
        <v>389</v>
      </c>
      <c r="AG11" s="26">
        <v>333.66</v>
      </c>
      <c r="AH11" s="26">
        <v>366.61</v>
      </c>
      <c r="AI11" s="26">
        <v>400.01</v>
      </c>
      <c r="AJ11" s="26">
        <v>400.01</v>
      </c>
      <c r="AK11" s="26">
        <v>425.31</v>
      </c>
      <c r="AL11" s="26">
        <v>442.86</v>
      </c>
      <c r="AM11" s="26">
        <v>458.31</v>
      </c>
      <c r="AN11" s="26">
        <v>492.47</v>
      </c>
      <c r="AO11" s="26">
        <v>529.97</v>
      </c>
      <c r="AP11" s="26">
        <v>533.52</v>
      </c>
      <c r="AQ11" s="26">
        <v>579.26</v>
      </c>
      <c r="AR11" s="26">
        <v>595.87</v>
      </c>
      <c r="AS11" s="26">
        <v>635.9</v>
      </c>
      <c r="AT11" s="427">
        <v>703.9</v>
      </c>
      <c r="AU11" s="426">
        <v>758</v>
      </c>
      <c r="AV11" s="425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427"/>
      <c r="BJ11" s="425"/>
      <c r="BK11" s="425"/>
      <c r="BL11" s="24"/>
      <c r="BM11" s="24"/>
      <c r="BN11" s="24"/>
      <c r="BO11" s="24">
        <v>3.01</v>
      </c>
      <c r="BP11" s="24">
        <v>3.01</v>
      </c>
      <c r="BQ11" s="24">
        <v>3.61</v>
      </c>
      <c r="BR11" s="24">
        <v>0.6</v>
      </c>
      <c r="BS11" s="24">
        <v>1.3</v>
      </c>
      <c r="BT11" s="7">
        <v>4.4</v>
      </c>
      <c r="BU11" s="24">
        <v>7.9</v>
      </c>
      <c r="BV11" s="24">
        <v>20.8</v>
      </c>
      <c r="BW11" s="428">
        <v>47</v>
      </c>
    </row>
    <row r="12" ht="13.5" customHeight="1" spans="1:75">
      <c r="A12" s="198"/>
      <c r="B12" s="22" t="s">
        <v>96</v>
      </c>
      <c r="C12" s="425">
        <v>776.02</v>
      </c>
      <c r="D12" s="26">
        <v>780.74</v>
      </c>
      <c r="E12" s="26">
        <v>786.47</v>
      </c>
      <c r="F12" s="26">
        <v>870.73</v>
      </c>
      <c r="G12" s="26">
        <v>943.2</v>
      </c>
      <c r="H12" s="26">
        <v>990.05</v>
      </c>
      <c r="I12" s="26">
        <v>1090.25</v>
      </c>
      <c r="J12" s="26">
        <v>1088.47</v>
      </c>
      <c r="K12" s="26">
        <v>1127.67</v>
      </c>
      <c r="L12" s="26">
        <v>1162.09</v>
      </c>
      <c r="M12" s="26">
        <v>1188.9</v>
      </c>
      <c r="N12" s="26">
        <v>1214.3</v>
      </c>
      <c r="O12" s="26">
        <v>1247.5</v>
      </c>
      <c r="P12" s="26">
        <v>1342.5</v>
      </c>
      <c r="Q12" s="426">
        <v>1518</v>
      </c>
      <c r="R12" s="26">
        <v>21.03</v>
      </c>
      <c r="S12" s="26">
        <v>21.03</v>
      </c>
      <c r="T12" s="26">
        <v>21.03</v>
      </c>
      <c r="U12" s="26">
        <v>33.93</v>
      </c>
      <c r="V12" s="26">
        <v>63.79</v>
      </c>
      <c r="W12" s="26">
        <v>78.45</v>
      </c>
      <c r="X12" s="26">
        <v>77.45</v>
      </c>
      <c r="Y12" s="26">
        <v>81.48</v>
      </c>
      <c r="Z12" s="26">
        <v>81.48</v>
      </c>
      <c r="AA12" s="26">
        <v>81.49</v>
      </c>
      <c r="AB12" s="26">
        <v>83.46</v>
      </c>
      <c r="AC12" s="26">
        <v>84.46</v>
      </c>
      <c r="AD12" s="26">
        <v>84.7</v>
      </c>
      <c r="AE12" s="26">
        <v>85.3</v>
      </c>
      <c r="AF12" s="426">
        <v>87</v>
      </c>
      <c r="AG12" s="26">
        <v>754.99</v>
      </c>
      <c r="AH12" s="26">
        <v>759.71</v>
      </c>
      <c r="AI12" s="26">
        <v>765.44</v>
      </c>
      <c r="AJ12" s="26">
        <v>836.8</v>
      </c>
      <c r="AK12" s="26">
        <v>879.41</v>
      </c>
      <c r="AL12" s="26">
        <v>911.6</v>
      </c>
      <c r="AM12" s="26">
        <v>1012.81</v>
      </c>
      <c r="AN12" s="26">
        <v>1006.99</v>
      </c>
      <c r="AO12" s="26">
        <v>1046.2</v>
      </c>
      <c r="AP12" s="26">
        <v>1080.6</v>
      </c>
      <c r="AQ12" s="26">
        <v>1105.44</v>
      </c>
      <c r="AR12" s="26">
        <v>1125.91</v>
      </c>
      <c r="AS12" s="26">
        <v>1157.6</v>
      </c>
      <c r="AT12" s="427">
        <v>1245.6</v>
      </c>
      <c r="AU12" s="426">
        <v>1408</v>
      </c>
      <c r="AV12" s="425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427"/>
      <c r="BJ12" s="425"/>
      <c r="BK12" s="425"/>
      <c r="BL12" s="24"/>
      <c r="BM12" s="24"/>
      <c r="BN12" s="24"/>
      <c r="BO12" s="24"/>
      <c r="BP12" s="24"/>
      <c r="BQ12" s="24">
        <v>3.93</v>
      </c>
      <c r="BR12" s="24"/>
      <c r="BS12" s="24"/>
      <c r="BT12" s="7"/>
      <c r="BU12" s="24">
        <v>5.2</v>
      </c>
      <c r="BV12" s="24">
        <v>11.5</v>
      </c>
      <c r="BW12" s="428">
        <v>23</v>
      </c>
    </row>
    <row r="13" ht="13.5" customHeight="1" spans="1:75">
      <c r="A13" s="198"/>
      <c r="B13" s="22" t="s">
        <v>98</v>
      </c>
      <c r="C13" s="425">
        <v>764.74</v>
      </c>
      <c r="D13" s="26">
        <v>758.79</v>
      </c>
      <c r="E13" s="26">
        <v>806.4</v>
      </c>
      <c r="F13" s="26">
        <v>882.08</v>
      </c>
      <c r="G13" s="26">
        <v>956.77</v>
      </c>
      <c r="H13" s="26">
        <v>952.65</v>
      </c>
      <c r="I13" s="26">
        <v>996.43</v>
      </c>
      <c r="J13" s="26">
        <v>1060.43</v>
      </c>
      <c r="K13" s="26">
        <v>1123.27</v>
      </c>
      <c r="L13" s="26">
        <v>1138.26</v>
      </c>
      <c r="M13" s="26">
        <v>1109.26</v>
      </c>
      <c r="N13" s="26">
        <v>1201.83</v>
      </c>
      <c r="O13" s="26">
        <v>1336.7</v>
      </c>
      <c r="P13" s="26">
        <v>1478</v>
      </c>
      <c r="Q13" s="426">
        <v>1442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>
        <v>0</v>
      </c>
      <c r="AD13" s="26"/>
      <c r="AE13" s="26">
        <v>0</v>
      </c>
      <c r="AF13" s="426"/>
      <c r="AG13" s="26">
        <v>764.74</v>
      </c>
      <c r="AH13" s="26">
        <v>758.79</v>
      </c>
      <c r="AI13" s="26">
        <v>806.4</v>
      </c>
      <c r="AJ13" s="26">
        <v>882.08</v>
      </c>
      <c r="AK13" s="26">
        <v>956.77</v>
      </c>
      <c r="AL13" s="26">
        <v>952.65</v>
      </c>
      <c r="AM13" s="26">
        <v>996.43</v>
      </c>
      <c r="AN13" s="26">
        <v>1060.43</v>
      </c>
      <c r="AO13" s="26">
        <v>1123.27</v>
      </c>
      <c r="AP13" s="26">
        <v>1138.26</v>
      </c>
      <c r="AQ13" s="26">
        <v>1109.26</v>
      </c>
      <c r="AR13" s="26">
        <v>1201.49</v>
      </c>
      <c r="AS13" s="26">
        <v>1311.4</v>
      </c>
      <c r="AT13" s="427">
        <v>1452.6</v>
      </c>
      <c r="AU13" s="426">
        <v>1415</v>
      </c>
      <c r="AV13" s="425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427"/>
      <c r="BJ13" s="425"/>
      <c r="BK13" s="425"/>
      <c r="BL13" s="24"/>
      <c r="BM13" s="24"/>
      <c r="BN13" s="24"/>
      <c r="BO13" s="24"/>
      <c r="BP13" s="24"/>
      <c r="BQ13" s="24">
        <v>0.34</v>
      </c>
      <c r="BR13" s="24">
        <v>22.9</v>
      </c>
      <c r="BS13" s="24">
        <v>22.9</v>
      </c>
      <c r="BT13" s="7">
        <v>24.88</v>
      </c>
      <c r="BU13" s="24">
        <v>2.4</v>
      </c>
      <c r="BV13" s="24">
        <v>2.4</v>
      </c>
      <c r="BW13" s="428">
        <v>2</v>
      </c>
    </row>
    <row r="14" ht="13.5" customHeight="1" spans="1:75">
      <c r="A14" s="198"/>
      <c r="B14" s="22" t="s">
        <v>100</v>
      </c>
      <c r="C14" s="425">
        <v>1249.04</v>
      </c>
      <c r="D14" s="26">
        <v>1396.2</v>
      </c>
      <c r="E14" s="26">
        <v>1500.23</v>
      </c>
      <c r="F14" s="26">
        <v>1388.43</v>
      </c>
      <c r="G14" s="26">
        <v>1465.33</v>
      </c>
      <c r="H14" s="26">
        <v>1627.42</v>
      </c>
      <c r="I14" s="26">
        <v>1845.73</v>
      </c>
      <c r="J14" s="26">
        <v>1925.22</v>
      </c>
      <c r="K14" s="26">
        <v>1970.15</v>
      </c>
      <c r="L14" s="26">
        <v>2073.62</v>
      </c>
      <c r="M14" s="26">
        <v>2238.27</v>
      </c>
      <c r="N14" s="26">
        <v>2843.36</v>
      </c>
      <c r="O14" s="26">
        <v>4270.8</v>
      </c>
      <c r="P14" s="26">
        <v>5207.3</v>
      </c>
      <c r="Q14" s="426">
        <v>5599</v>
      </c>
      <c r="R14" s="26">
        <v>2.9</v>
      </c>
      <c r="S14" s="26">
        <v>2.82</v>
      </c>
      <c r="T14" s="26">
        <v>2.79</v>
      </c>
      <c r="U14" s="26">
        <v>2.79</v>
      </c>
      <c r="V14" s="26">
        <v>2.86</v>
      </c>
      <c r="W14" s="26">
        <v>2.97</v>
      </c>
      <c r="X14" s="26">
        <v>3.06</v>
      </c>
      <c r="Y14" s="26">
        <v>3.36</v>
      </c>
      <c r="Z14" s="26">
        <v>3.37</v>
      </c>
      <c r="AA14" s="26">
        <v>13.72</v>
      </c>
      <c r="AB14" s="26">
        <v>13.78</v>
      </c>
      <c r="AC14" s="26">
        <v>12.65</v>
      </c>
      <c r="AD14" s="26">
        <v>14.3</v>
      </c>
      <c r="AE14" s="26">
        <v>13.6</v>
      </c>
      <c r="AF14" s="426">
        <v>14</v>
      </c>
      <c r="AG14" s="26">
        <v>1246.14</v>
      </c>
      <c r="AH14" s="26">
        <v>1393.38</v>
      </c>
      <c r="AI14" s="26">
        <v>1497.44</v>
      </c>
      <c r="AJ14" s="26">
        <v>1385.64</v>
      </c>
      <c r="AK14" s="26">
        <v>1462.47</v>
      </c>
      <c r="AL14" s="26">
        <v>1624.45</v>
      </c>
      <c r="AM14" s="26">
        <v>1842.67</v>
      </c>
      <c r="AN14" s="26">
        <v>1921.86</v>
      </c>
      <c r="AO14" s="26">
        <v>1966.78</v>
      </c>
      <c r="AP14" s="26">
        <v>2059.9</v>
      </c>
      <c r="AQ14" s="26">
        <v>2224.5</v>
      </c>
      <c r="AR14" s="26">
        <v>2828.95</v>
      </c>
      <c r="AS14" s="26">
        <v>4250.6</v>
      </c>
      <c r="AT14" s="427">
        <v>5177.6</v>
      </c>
      <c r="AU14" s="426">
        <v>5334</v>
      </c>
      <c r="AV14" s="425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427"/>
      <c r="BJ14" s="425">
        <v>200</v>
      </c>
      <c r="BK14" s="425"/>
      <c r="BL14" s="24"/>
      <c r="BM14" s="24"/>
      <c r="BN14" s="24"/>
      <c r="BO14" s="24"/>
      <c r="BP14" s="24"/>
      <c r="BQ14" s="24">
        <v>1.75</v>
      </c>
      <c r="BR14" s="24">
        <v>5.9</v>
      </c>
      <c r="BS14" s="24">
        <v>14.7</v>
      </c>
      <c r="BT14" s="7">
        <v>26.78</v>
      </c>
      <c r="BU14" s="24"/>
      <c r="BV14" s="24">
        <v>1.5</v>
      </c>
      <c r="BW14" s="428">
        <v>25</v>
      </c>
    </row>
    <row r="15" ht="13.5" customHeight="1" spans="1:75">
      <c r="A15" s="198"/>
      <c r="B15" s="22" t="s">
        <v>102</v>
      </c>
      <c r="C15" s="425">
        <v>802.54</v>
      </c>
      <c r="D15" s="26">
        <v>903.19</v>
      </c>
      <c r="E15" s="26">
        <v>1012.93</v>
      </c>
      <c r="F15" s="26">
        <v>1101.15</v>
      </c>
      <c r="G15" s="26">
        <v>1258.32</v>
      </c>
      <c r="H15" s="26">
        <v>1433.88</v>
      </c>
      <c r="I15" s="26">
        <v>1556.42</v>
      </c>
      <c r="J15" s="26">
        <v>1808.44</v>
      </c>
      <c r="K15" s="26">
        <v>1881.89</v>
      </c>
      <c r="L15" s="26">
        <v>2067.74</v>
      </c>
      <c r="M15" s="26">
        <v>2382.14</v>
      </c>
      <c r="N15" s="26">
        <v>3095.39</v>
      </c>
      <c r="O15" s="26">
        <v>3774.3</v>
      </c>
      <c r="P15" s="26">
        <v>4687</v>
      </c>
      <c r="Q15" s="426">
        <v>5112</v>
      </c>
      <c r="R15" s="26">
        <v>244.03</v>
      </c>
      <c r="S15" s="26">
        <v>250.15</v>
      </c>
      <c r="T15" s="26">
        <v>258.18</v>
      </c>
      <c r="U15" s="26">
        <v>279.16</v>
      </c>
      <c r="V15" s="26">
        <v>296.24</v>
      </c>
      <c r="W15" s="26">
        <v>382.91</v>
      </c>
      <c r="X15" s="26">
        <v>457.95</v>
      </c>
      <c r="Y15" s="26">
        <v>542.03</v>
      </c>
      <c r="Z15" s="26">
        <v>573.25</v>
      </c>
      <c r="AA15" s="26">
        <v>586.68</v>
      </c>
      <c r="AB15" s="26">
        <v>605.45</v>
      </c>
      <c r="AC15" s="26">
        <v>641.84</v>
      </c>
      <c r="AD15" s="26">
        <v>695.2</v>
      </c>
      <c r="AE15" s="26">
        <v>836.9</v>
      </c>
      <c r="AF15" s="426">
        <v>852</v>
      </c>
      <c r="AG15" s="26">
        <v>528.51</v>
      </c>
      <c r="AH15" s="26">
        <v>623.04</v>
      </c>
      <c r="AI15" s="26">
        <v>724.75</v>
      </c>
      <c r="AJ15" s="26">
        <v>791.99</v>
      </c>
      <c r="AK15" s="26">
        <v>932.08</v>
      </c>
      <c r="AL15" s="26">
        <v>1017.3</v>
      </c>
      <c r="AM15" s="26">
        <v>1064.8</v>
      </c>
      <c r="AN15" s="26">
        <v>1232.59</v>
      </c>
      <c r="AO15" s="26">
        <v>1273.62</v>
      </c>
      <c r="AP15" s="26">
        <v>1308.24</v>
      </c>
      <c r="AQ15" s="26">
        <v>1532.12</v>
      </c>
      <c r="AR15" s="26">
        <v>2143.98</v>
      </c>
      <c r="AS15" s="26">
        <v>2768.2</v>
      </c>
      <c r="AT15" s="427">
        <v>3539.1</v>
      </c>
      <c r="AU15" s="426">
        <v>3949</v>
      </c>
      <c r="AV15" s="425">
        <v>30</v>
      </c>
      <c r="AW15" s="26">
        <v>30</v>
      </c>
      <c r="AX15" s="26">
        <v>30</v>
      </c>
      <c r="AY15" s="26">
        <v>30</v>
      </c>
      <c r="AZ15" s="26">
        <v>30</v>
      </c>
      <c r="BA15" s="26">
        <v>30</v>
      </c>
      <c r="BB15" s="26">
        <v>30</v>
      </c>
      <c r="BC15" s="26">
        <v>30</v>
      </c>
      <c r="BD15" s="26">
        <v>30</v>
      </c>
      <c r="BE15" s="26">
        <v>167.8</v>
      </c>
      <c r="BF15" s="26">
        <v>240.6</v>
      </c>
      <c r="BG15" s="26">
        <v>305.6</v>
      </c>
      <c r="BH15" s="26">
        <v>306.6</v>
      </c>
      <c r="BI15" s="427">
        <v>306.6</v>
      </c>
      <c r="BJ15" s="425">
        <v>307</v>
      </c>
      <c r="BK15" s="425">
        <v>3.67000000000007</v>
      </c>
      <c r="BL15" s="24">
        <v>3.67000000000007</v>
      </c>
      <c r="BM15" s="24">
        <v>3.82000000000016</v>
      </c>
      <c r="BN15" s="24">
        <v>5.02</v>
      </c>
      <c r="BO15" s="24">
        <v>5.02</v>
      </c>
      <c r="BP15" s="24">
        <v>3.97</v>
      </c>
      <c r="BQ15" s="24">
        <v>3.97</v>
      </c>
      <c r="BR15" s="24">
        <v>0.6</v>
      </c>
      <c r="BS15" s="24">
        <v>0.6</v>
      </c>
      <c r="BT15" s="7"/>
      <c r="BU15" s="24">
        <v>3.7</v>
      </c>
      <c r="BV15" s="24">
        <v>3.7</v>
      </c>
      <c r="BW15" s="428">
        <v>4</v>
      </c>
    </row>
    <row r="16" ht="13.5" customHeight="1" spans="1:75">
      <c r="A16" s="198"/>
      <c r="B16" s="22" t="s">
        <v>104</v>
      </c>
      <c r="C16" s="425">
        <v>529.21</v>
      </c>
      <c r="D16" s="26">
        <v>557.6</v>
      </c>
      <c r="E16" s="26">
        <v>593.1</v>
      </c>
      <c r="F16" s="26">
        <v>674.16</v>
      </c>
      <c r="G16" s="26">
        <v>712.81</v>
      </c>
      <c r="H16" s="26">
        <v>743.91</v>
      </c>
      <c r="I16" s="26">
        <v>800.06</v>
      </c>
      <c r="J16" s="26">
        <v>872.24</v>
      </c>
      <c r="K16" s="26">
        <v>956.91</v>
      </c>
      <c r="L16" s="26">
        <v>970.54</v>
      </c>
      <c r="M16" s="26">
        <v>993.4</v>
      </c>
      <c r="N16" s="26">
        <v>1005.73</v>
      </c>
      <c r="O16" s="26">
        <v>1224.8</v>
      </c>
      <c r="P16" s="26">
        <v>1513.5</v>
      </c>
      <c r="Q16" s="426">
        <v>1927</v>
      </c>
      <c r="R16" s="26">
        <v>49.81</v>
      </c>
      <c r="S16" s="26">
        <v>55.08</v>
      </c>
      <c r="T16" s="26">
        <v>55.58</v>
      </c>
      <c r="U16" s="26">
        <v>56.14</v>
      </c>
      <c r="V16" s="26">
        <v>56.75</v>
      </c>
      <c r="W16" s="26">
        <v>57.9</v>
      </c>
      <c r="X16" s="26">
        <v>45.5</v>
      </c>
      <c r="Y16" s="26">
        <v>54.63</v>
      </c>
      <c r="Z16" s="26">
        <v>60.88</v>
      </c>
      <c r="AA16" s="26">
        <v>64.91</v>
      </c>
      <c r="AB16" s="26">
        <v>64.91</v>
      </c>
      <c r="AC16" s="26">
        <v>69.28</v>
      </c>
      <c r="AD16" s="26">
        <v>74</v>
      </c>
      <c r="AE16" s="26">
        <v>100.1</v>
      </c>
      <c r="AF16" s="426">
        <v>151</v>
      </c>
      <c r="AG16" s="26">
        <v>479.4</v>
      </c>
      <c r="AH16" s="26">
        <v>502.52</v>
      </c>
      <c r="AI16" s="26">
        <v>537.52</v>
      </c>
      <c r="AJ16" s="26">
        <v>618.02</v>
      </c>
      <c r="AK16" s="26">
        <v>656.06</v>
      </c>
      <c r="AL16" s="26">
        <v>686.01</v>
      </c>
      <c r="AM16" s="26">
        <v>754.56</v>
      </c>
      <c r="AN16" s="26">
        <v>817.61</v>
      </c>
      <c r="AO16" s="26">
        <v>896.03</v>
      </c>
      <c r="AP16" s="26">
        <v>905.63</v>
      </c>
      <c r="AQ16" s="26">
        <v>928.49</v>
      </c>
      <c r="AR16" s="26">
        <v>936.45</v>
      </c>
      <c r="AS16" s="26">
        <v>1150.8</v>
      </c>
      <c r="AT16" s="427">
        <v>1413.4</v>
      </c>
      <c r="AU16" s="426">
        <v>1776</v>
      </c>
      <c r="AV16" s="425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427"/>
      <c r="BJ16" s="425"/>
      <c r="BK16" s="425"/>
      <c r="BL16" s="24"/>
      <c r="BM16" s="24"/>
      <c r="BN16" s="24"/>
      <c r="BO16" s="24"/>
      <c r="BP16" s="24"/>
      <c r="BQ16" s="24"/>
      <c r="BR16" s="24"/>
      <c r="BS16" s="24"/>
      <c r="BT16" s="7"/>
      <c r="BU16" s="24"/>
      <c r="BV16" s="24"/>
      <c r="BW16" s="428"/>
    </row>
    <row r="17" ht="13.5" customHeight="1" spans="1:75">
      <c r="A17" s="198"/>
      <c r="B17" s="22" t="s">
        <v>106</v>
      </c>
      <c r="C17" s="425">
        <v>427.78</v>
      </c>
      <c r="D17" s="26">
        <v>538.07</v>
      </c>
      <c r="E17" s="26">
        <v>646.96</v>
      </c>
      <c r="F17" s="26">
        <v>737.39</v>
      </c>
      <c r="G17" s="26">
        <v>765.33</v>
      </c>
      <c r="H17" s="26">
        <v>810.27</v>
      </c>
      <c r="I17" s="26">
        <v>968.42</v>
      </c>
      <c r="J17" s="26">
        <v>1043.66</v>
      </c>
      <c r="K17" s="26">
        <v>1261.69</v>
      </c>
      <c r="L17" s="26">
        <v>1352.39</v>
      </c>
      <c r="M17" s="26">
        <v>1386.58</v>
      </c>
      <c r="N17" s="26">
        <v>1550.75</v>
      </c>
      <c r="O17" s="26">
        <v>1762.2</v>
      </c>
      <c r="P17" s="26">
        <v>2204.7</v>
      </c>
      <c r="Q17" s="426">
        <v>2398</v>
      </c>
      <c r="R17" s="26">
        <v>254.52</v>
      </c>
      <c r="S17" s="26">
        <v>336.21</v>
      </c>
      <c r="T17" s="26">
        <v>398.58</v>
      </c>
      <c r="U17" s="26">
        <v>437.65</v>
      </c>
      <c r="V17" s="26">
        <v>455.82</v>
      </c>
      <c r="W17" s="26">
        <v>475.82</v>
      </c>
      <c r="X17" s="26">
        <v>506.99</v>
      </c>
      <c r="Y17" s="26">
        <v>532.49</v>
      </c>
      <c r="Z17" s="26">
        <v>618</v>
      </c>
      <c r="AA17" s="26">
        <v>651.2</v>
      </c>
      <c r="AB17" s="26">
        <v>676.11</v>
      </c>
      <c r="AC17" s="26">
        <v>718.01</v>
      </c>
      <c r="AD17" s="26">
        <v>822.5</v>
      </c>
      <c r="AE17" s="26">
        <v>895.7</v>
      </c>
      <c r="AF17" s="426">
        <v>980</v>
      </c>
      <c r="AG17" s="26">
        <v>173.26</v>
      </c>
      <c r="AH17" s="26">
        <v>201.86</v>
      </c>
      <c r="AI17" s="26">
        <v>248.38</v>
      </c>
      <c r="AJ17" s="26">
        <v>299.74</v>
      </c>
      <c r="AK17" s="26">
        <v>309.51</v>
      </c>
      <c r="AL17" s="26">
        <v>334.45</v>
      </c>
      <c r="AM17" s="26">
        <v>461.43</v>
      </c>
      <c r="AN17" s="26">
        <v>509.88</v>
      </c>
      <c r="AO17" s="26">
        <v>642.4</v>
      </c>
      <c r="AP17" s="26">
        <v>699.99</v>
      </c>
      <c r="AQ17" s="26">
        <v>709.28</v>
      </c>
      <c r="AR17" s="26">
        <v>831.54</v>
      </c>
      <c r="AS17" s="26">
        <v>934.5</v>
      </c>
      <c r="AT17" s="427">
        <v>1300.1</v>
      </c>
      <c r="AU17" s="426">
        <v>1391</v>
      </c>
      <c r="AV17" s="425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427"/>
      <c r="BJ17" s="425"/>
      <c r="BK17" s="425"/>
      <c r="BL17" s="24"/>
      <c r="BM17" s="24">
        <v>1.29000000000019</v>
      </c>
      <c r="BN17" s="24">
        <v>1.29</v>
      </c>
      <c r="BO17" s="24">
        <v>1.2</v>
      </c>
      <c r="BP17" s="24">
        <v>1.2</v>
      </c>
      <c r="BQ17" s="24">
        <v>1.2</v>
      </c>
      <c r="BR17" s="24"/>
      <c r="BS17" s="24"/>
      <c r="BT17" s="7">
        <v>3.9</v>
      </c>
      <c r="BU17" s="24">
        <v>5.2</v>
      </c>
      <c r="BV17" s="24">
        <v>8.9</v>
      </c>
      <c r="BW17" s="428">
        <v>23</v>
      </c>
    </row>
    <row r="18" ht="13.5" customHeight="1" spans="1:75">
      <c r="A18" s="198"/>
      <c r="B18" s="22" t="s">
        <v>108</v>
      </c>
      <c r="C18" s="425">
        <v>384.58</v>
      </c>
      <c r="D18" s="26">
        <v>410.37</v>
      </c>
      <c r="E18" s="26">
        <v>451.37</v>
      </c>
      <c r="F18" s="26">
        <v>478.89</v>
      </c>
      <c r="G18" s="26">
        <v>542.58</v>
      </c>
      <c r="H18" s="26">
        <v>572.64</v>
      </c>
      <c r="I18" s="26">
        <v>555.63</v>
      </c>
      <c r="J18" s="26">
        <v>632.03</v>
      </c>
      <c r="K18" s="26">
        <v>693.76</v>
      </c>
      <c r="L18" s="26">
        <v>732.62</v>
      </c>
      <c r="M18" s="26">
        <v>771.52</v>
      </c>
      <c r="N18" s="26">
        <v>804.59</v>
      </c>
      <c r="O18" s="26">
        <v>892.5</v>
      </c>
      <c r="P18" s="26">
        <v>985.6</v>
      </c>
      <c r="Q18" s="426">
        <v>1284</v>
      </c>
      <c r="R18" s="26">
        <v>148.84</v>
      </c>
      <c r="S18" s="26">
        <v>149.44</v>
      </c>
      <c r="T18" s="26">
        <v>156.89</v>
      </c>
      <c r="U18" s="26">
        <v>162.91</v>
      </c>
      <c r="V18" s="26">
        <v>166.6</v>
      </c>
      <c r="W18" s="26">
        <v>170.95</v>
      </c>
      <c r="X18" s="26">
        <v>173.45</v>
      </c>
      <c r="Y18" s="26">
        <v>184.6</v>
      </c>
      <c r="Z18" s="26">
        <v>206.78</v>
      </c>
      <c r="AA18" s="26">
        <v>219.74</v>
      </c>
      <c r="AB18" s="26">
        <v>230.74</v>
      </c>
      <c r="AC18" s="26">
        <v>254.99</v>
      </c>
      <c r="AD18" s="26">
        <v>301.9</v>
      </c>
      <c r="AE18" s="26">
        <v>328.8</v>
      </c>
      <c r="AF18" s="426">
        <v>357</v>
      </c>
      <c r="AG18" s="26">
        <v>235.74</v>
      </c>
      <c r="AH18" s="26">
        <v>260.93</v>
      </c>
      <c r="AI18" s="26">
        <v>294.48</v>
      </c>
      <c r="AJ18" s="26">
        <v>315.98</v>
      </c>
      <c r="AK18" s="26">
        <v>375.98</v>
      </c>
      <c r="AL18" s="26">
        <v>401.69</v>
      </c>
      <c r="AM18" s="26">
        <v>382.18</v>
      </c>
      <c r="AN18" s="26">
        <v>447.43</v>
      </c>
      <c r="AO18" s="26">
        <v>486.98</v>
      </c>
      <c r="AP18" s="26">
        <v>512.88</v>
      </c>
      <c r="AQ18" s="26">
        <v>540.78</v>
      </c>
      <c r="AR18" s="26">
        <v>549.6</v>
      </c>
      <c r="AS18" s="26">
        <v>590.6</v>
      </c>
      <c r="AT18" s="427">
        <v>656.8</v>
      </c>
      <c r="AU18" s="426">
        <v>927</v>
      </c>
      <c r="AV18" s="425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427"/>
      <c r="BJ18" s="425"/>
      <c r="BK18" s="425"/>
      <c r="BL18" s="24"/>
      <c r="BM18" s="24"/>
      <c r="BN18" s="24"/>
      <c r="BO18" s="24"/>
      <c r="BP18" s="24"/>
      <c r="BQ18" s="24"/>
      <c r="BR18" s="24"/>
      <c r="BS18" s="24"/>
      <c r="BT18" s="7"/>
      <c r="BU18" s="24"/>
      <c r="BV18" s="24"/>
      <c r="BW18" s="428"/>
    </row>
    <row r="19" ht="13.5" customHeight="1" spans="1:75">
      <c r="A19" s="198"/>
      <c r="B19" s="22" t="s">
        <v>110</v>
      </c>
      <c r="C19" s="425">
        <v>1124.93</v>
      </c>
      <c r="D19" s="26">
        <v>1205.63</v>
      </c>
      <c r="E19" s="26">
        <v>1281.2</v>
      </c>
      <c r="F19" s="26">
        <v>1416.88</v>
      </c>
      <c r="G19" s="26">
        <v>1687.27</v>
      </c>
      <c r="H19" s="26">
        <v>1789.64</v>
      </c>
      <c r="I19" s="26">
        <v>1807.03</v>
      </c>
      <c r="J19" s="26">
        <v>2001</v>
      </c>
      <c r="K19" s="26">
        <v>2101.39</v>
      </c>
      <c r="L19" s="26">
        <v>2515.31</v>
      </c>
      <c r="M19" s="26">
        <v>3054.52</v>
      </c>
      <c r="N19" s="26">
        <v>3292.36</v>
      </c>
      <c r="O19" s="26">
        <v>3742.7</v>
      </c>
      <c r="P19" s="26">
        <v>5005.5</v>
      </c>
      <c r="Q19" s="426">
        <v>5540</v>
      </c>
      <c r="R19" s="26">
        <v>7.55</v>
      </c>
      <c r="S19" s="26">
        <v>7.58</v>
      </c>
      <c r="T19" s="26">
        <v>7.87</v>
      </c>
      <c r="U19" s="26">
        <v>6.96</v>
      </c>
      <c r="V19" s="26">
        <v>6.75</v>
      </c>
      <c r="W19" s="26">
        <v>6.62</v>
      </c>
      <c r="X19" s="26">
        <v>4.99</v>
      </c>
      <c r="Y19" s="26">
        <v>8.41</v>
      </c>
      <c r="Z19" s="26">
        <v>5.62</v>
      </c>
      <c r="AA19" s="26">
        <v>5.08</v>
      </c>
      <c r="AB19" s="26">
        <v>5.08</v>
      </c>
      <c r="AC19" s="26">
        <v>5.08</v>
      </c>
      <c r="AD19" s="26">
        <v>5.2</v>
      </c>
      <c r="AE19" s="26">
        <v>55.3</v>
      </c>
      <c r="AF19" s="426">
        <v>105</v>
      </c>
      <c r="AG19" s="26">
        <v>1117.38</v>
      </c>
      <c r="AH19" s="26">
        <v>1198.05</v>
      </c>
      <c r="AI19" s="26">
        <v>1273.33</v>
      </c>
      <c r="AJ19" s="26">
        <v>1409.92</v>
      </c>
      <c r="AK19" s="26">
        <v>1680.52</v>
      </c>
      <c r="AL19" s="26">
        <v>1783.02</v>
      </c>
      <c r="AM19" s="26">
        <v>1802.04</v>
      </c>
      <c r="AN19" s="26">
        <v>1992.6</v>
      </c>
      <c r="AO19" s="26">
        <v>2095.77</v>
      </c>
      <c r="AP19" s="26">
        <v>2510.24</v>
      </c>
      <c r="AQ19" s="26">
        <v>3049.44</v>
      </c>
      <c r="AR19" s="26">
        <v>3286.04</v>
      </c>
      <c r="AS19" s="26">
        <v>3733.8</v>
      </c>
      <c r="AT19" s="427">
        <v>4939.5</v>
      </c>
      <c r="AU19" s="426">
        <v>5414</v>
      </c>
      <c r="AV19" s="425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427"/>
      <c r="BJ19" s="425"/>
      <c r="BK19" s="425"/>
      <c r="BL19" s="24"/>
      <c r="BM19" s="24"/>
      <c r="BN19" s="24"/>
      <c r="BO19" s="24"/>
      <c r="BP19" s="24"/>
      <c r="BQ19" s="24">
        <v>1.23</v>
      </c>
      <c r="BR19" s="24"/>
      <c r="BS19" s="24"/>
      <c r="BT19" s="7"/>
      <c r="BU19" s="24">
        <v>3.7</v>
      </c>
      <c r="BV19" s="24">
        <v>10.6</v>
      </c>
      <c r="BW19" s="428">
        <v>21</v>
      </c>
    </row>
    <row r="20" ht="13.5" customHeight="1" spans="1:75">
      <c r="A20" s="198"/>
      <c r="B20" s="22" t="s">
        <v>112</v>
      </c>
      <c r="C20" s="425">
        <v>830.85</v>
      </c>
      <c r="D20" s="26">
        <v>847.36</v>
      </c>
      <c r="E20" s="26">
        <v>1006.96</v>
      </c>
      <c r="F20" s="26">
        <v>1106.97</v>
      </c>
      <c r="G20" s="26">
        <v>1173.97</v>
      </c>
      <c r="H20" s="26">
        <v>1378.44</v>
      </c>
      <c r="I20" s="26">
        <v>1477.36</v>
      </c>
      <c r="J20" s="26">
        <v>1531.7</v>
      </c>
      <c r="K20" s="26">
        <v>1778.7</v>
      </c>
      <c r="L20" s="26">
        <v>1834.25</v>
      </c>
      <c r="M20" s="26">
        <v>2007.35</v>
      </c>
      <c r="N20" s="26">
        <v>2422.65</v>
      </c>
      <c r="O20" s="26">
        <v>2880.8</v>
      </c>
      <c r="P20" s="26">
        <v>3515.6</v>
      </c>
      <c r="Q20" s="426">
        <v>4129</v>
      </c>
      <c r="R20" s="26">
        <v>57.27</v>
      </c>
      <c r="S20" s="26">
        <v>54.52</v>
      </c>
      <c r="T20" s="26">
        <v>54.52</v>
      </c>
      <c r="U20" s="26">
        <v>55.48</v>
      </c>
      <c r="V20" s="26">
        <v>63.58</v>
      </c>
      <c r="W20" s="26">
        <v>62.8</v>
      </c>
      <c r="X20" s="26">
        <v>92.8</v>
      </c>
      <c r="Y20" s="26">
        <v>152.8</v>
      </c>
      <c r="Z20" s="26">
        <v>243.8</v>
      </c>
      <c r="AA20" s="26">
        <v>243.8</v>
      </c>
      <c r="AB20" s="26">
        <v>243.8</v>
      </c>
      <c r="AC20" s="26">
        <v>243.8</v>
      </c>
      <c r="AD20" s="26">
        <v>254</v>
      </c>
      <c r="AE20" s="26">
        <v>255.3</v>
      </c>
      <c r="AF20" s="426">
        <v>274</v>
      </c>
      <c r="AG20" s="26">
        <v>773.58</v>
      </c>
      <c r="AH20" s="26">
        <v>792.84</v>
      </c>
      <c r="AI20" s="26">
        <v>952.44</v>
      </c>
      <c r="AJ20" s="26">
        <v>1051.49</v>
      </c>
      <c r="AK20" s="26">
        <v>1110.39</v>
      </c>
      <c r="AL20" s="26">
        <v>1315.64</v>
      </c>
      <c r="AM20" s="26">
        <v>1384.56</v>
      </c>
      <c r="AN20" s="26">
        <v>1378.9</v>
      </c>
      <c r="AO20" s="26">
        <v>1534.9</v>
      </c>
      <c r="AP20" s="26">
        <v>1590.45</v>
      </c>
      <c r="AQ20" s="26">
        <v>1763.55</v>
      </c>
      <c r="AR20" s="26">
        <v>2178.85</v>
      </c>
      <c r="AS20" s="26">
        <v>2626.8</v>
      </c>
      <c r="AT20" s="427">
        <v>3260.3</v>
      </c>
      <c r="AU20" s="426">
        <v>3854</v>
      </c>
      <c r="AV20" s="425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427"/>
      <c r="BJ20" s="425"/>
      <c r="BK20" s="425"/>
      <c r="BL20" s="24"/>
      <c r="BM20" s="24"/>
      <c r="BN20" s="24"/>
      <c r="BO20" s="24"/>
      <c r="BP20" s="24"/>
      <c r="BQ20" s="24"/>
      <c r="BR20" s="24"/>
      <c r="BS20" s="24"/>
      <c r="BT20" s="7"/>
      <c r="BU20" s="24"/>
      <c r="BV20" s="24"/>
      <c r="BW20" s="428"/>
    </row>
    <row r="21" ht="13.5" customHeight="1" spans="1:75">
      <c r="A21" s="198"/>
      <c r="B21" s="22" t="s">
        <v>114</v>
      </c>
      <c r="C21" s="425">
        <v>904.75</v>
      </c>
      <c r="D21" s="26">
        <v>981.36</v>
      </c>
      <c r="E21" s="26">
        <v>1000.01</v>
      </c>
      <c r="F21" s="26">
        <v>1077.49</v>
      </c>
      <c r="G21" s="26">
        <v>1178.1</v>
      </c>
      <c r="H21" s="26">
        <v>1317.23</v>
      </c>
      <c r="I21" s="26">
        <v>1449.32</v>
      </c>
      <c r="J21" s="26">
        <v>1510.93</v>
      </c>
      <c r="K21" s="26">
        <v>1520.29</v>
      </c>
      <c r="L21" s="26">
        <v>1536.17</v>
      </c>
      <c r="M21" s="26">
        <v>1971.05</v>
      </c>
      <c r="N21" s="26">
        <v>2462.44</v>
      </c>
      <c r="O21" s="26">
        <v>2741.5</v>
      </c>
      <c r="P21" s="26">
        <v>2994.4</v>
      </c>
      <c r="Q21" s="426">
        <v>3708</v>
      </c>
      <c r="R21" s="26">
        <v>548.09</v>
      </c>
      <c r="S21" s="26">
        <v>621.15</v>
      </c>
      <c r="T21" s="26">
        <v>628.75</v>
      </c>
      <c r="U21" s="26">
        <v>634.43</v>
      </c>
      <c r="V21" s="26">
        <v>639.89</v>
      </c>
      <c r="W21" s="26">
        <v>653.17</v>
      </c>
      <c r="X21" s="26">
        <v>657.72</v>
      </c>
      <c r="Y21" s="26">
        <v>707.05</v>
      </c>
      <c r="Z21" s="26">
        <v>712.56</v>
      </c>
      <c r="AA21" s="26">
        <v>721.39</v>
      </c>
      <c r="AB21" s="26">
        <v>1153.72</v>
      </c>
      <c r="AC21" s="26">
        <v>1511.51</v>
      </c>
      <c r="AD21" s="26">
        <v>1788.9</v>
      </c>
      <c r="AE21" s="26">
        <v>1832.1</v>
      </c>
      <c r="AF21" s="426">
        <v>2402</v>
      </c>
      <c r="AG21" s="26">
        <v>356.66</v>
      </c>
      <c r="AH21" s="26">
        <v>360.21</v>
      </c>
      <c r="AI21" s="26">
        <v>371.26</v>
      </c>
      <c r="AJ21" s="26">
        <v>443.06</v>
      </c>
      <c r="AK21" s="26">
        <v>538.21</v>
      </c>
      <c r="AL21" s="26">
        <v>664.06</v>
      </c>
      <c r="AM21" s="26">
        <v>791.6</v>
      </c>
      <c r="AN21" s="26">
        <v>803.88</v>
      </c>
      <c r="AO21" s="26">
        <v>807.73</v>
      </c>
      <c r="AP21" s="26">
        <v>814.78</v>
      </c>
      <c r="AQ21" s="26">
        <v>817.33</v>
      </c>
      <c r="AR21" s="26">
        <v>950.93</v>
      </c>
      <c r="AS21" s="26">
        <v>952.6</v>
      </c>
      <c r="AT21" s="427">
        <v>1162.3</v>
      </c>
      <c r="AU21" s="426">
        <v>1304</v>
      </c>
      <c r="AV21" s="425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427"/>
      <c r="BJ21" s="425"/>
      <c r="BK21" s="425"/>
      <c r="BL21" s="24"/>
      <c r="BM21" s="24"/>
      <c r="BN21" s="24"/>
      <c r="BO21" s="24"/>
      <c r="BP21" s="24"/>
      <c r="BQ21" s="24"/>
      <c r="BR21" s="24"/>
      <c r="BS21" s="24"/>
      <c r="BT21" s="7"/>
      <c r="BU21" s="24"/>
      <c r="BV21" s="24"/>
      <c r="BW21" s="428">
        <v>1</v>
      </c>
    </row>
    <row r="22" ht="13.5" customHeight="1" spans="1:75">
      <c r="A22" s="198"/>
      <c r="B22" s="22" t="s">
        <v>116</v>
      </c>
      <c r="C22" s="425">
        <v>665.77</v>
      </c>
      <c r="D22" s="26">
        <v>711.09</v>
      </c>
      <c r="E22" s="26">
        <v>775.55</v>
      </c>
      <c r="F22" s="26">
        <v>889.89</v>
      </c>
      <c r="G22" s="26">
        <v>909.77</v>
      </c>
      <c r="H22" s="26">
        <v>992.03</v>
      </c>
      <c r="I22" s="26">
        <v>1026.41</v>
      </c>
      <c r="J22" s="26">
        <v>1033.54</v>
      </c>
      <c r="K22" s="26">
        <v>1096.38</v>
      </c>
      <c r="L22" s="26">
        <v>1111.09</v>
      </c>
      <c r="M22" s="26">
        <v>1304.99</v>
      </c>
      <c r="N22" s="26">
        <v>1422.78</v>
      </c>
      <c r="O22" s="26">
        <v>1506</v>
      </c>
      <c r="P22" s="26">
        <v>1938</v>
      </c>
      <c r="Q22" s="426">
        <v>2260</v>
      </c>
      <c r="R22" s="26">
        <v>329.6</v>
      </c>
      <c r="S22" s="26">
        <v>367.86</v>
      </c>
      <c r="T22" s="26">
        <v>421.13</v>
      </c>
      <c r="U22" s="26">
        <v>481.82</v>
      </c>
      <c r="V22" s="26">
        <v>500.99</v>
      </c>
      <c r="W22" s="26">
        <v>510.32</v>
      </c>
      <c r="X22" s="26">
        <v>571.47</v>
      </c>
      <c r="Y22" s="26">
        <v>585.8</v>
      </c>
      <c r="Z22" s="26">
        <v>596.61</v>
      </c>
      <c r="AA22" s="26">
        <v>613.53</v>
      </c>
      <c r="AB22" s="26">
        <v>660.31</v>
      </c>
      <c r="AC22" s="26">
        <v>744.82</v>
      </c>
      <c r="AD22" s="26">
        <v>784.9</v>
      </c>
      <c r="AE22" s="26">
        <v>864.8</v>
      </c>
      <c r="AF22" s="426">
        <v>922</v>
      </c>
      <c r="AG22" s="26">
        <v>336.17</v>
      </c>
      <c r="AH22" s="26">
        <v>343.23</v>
      </c>
      <c r="AI22" s="26">
        <v>354.42</v>
      </c>
      <c r="AJ22" s="26">
        <v>408.07</v>
      </c>
      <c r="AK22" s="26">
        <v>408.78</v>
      </c>
      <c r="AL22" s="26">
        <v>481.71</v>
      </c>
      <c r="AM22" s="26">
        <v>454.94</v>
      </c>
      <c r="AN22" s="26">
        <v>447.74</v>
      </c>
      <c r="AO22" s="26">
        <v>499.78</v>
      </c>
      <c r="AP22" s="26">
        <v>497.56</v>
      </c>
      <c r="AQ22" s="26">
        <v>644.67</v>
      </c>
      <c r="AR22" s="26">
        <v>677.95</v>
      </c>
      <c r="AS22" s="26">
        <v>721.2</v>
      </c>
      <c r="AT22" s="427">
        <v>1071.5</v>
      </c>
      <c r="AU22" s="426">
        <v>1336</v>
      </c>
      <c r="AV22" s="425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427"/>
      <c r="BJ22" s="425"/>
      <c r="BK22" s="425"/>
      <c r="BL22" s="24"/>
      <c r="BM22" s="24"/>
      <c r="BN22" s="24"/>
      <c r="BO22" s="24"/>
      <c r="BP22" s="24"/>
      <c r="BQ22" s="24"/>
      <c r="BR22" s="24"/>
      <c r="BS22" s="24">
        <v>1.7</v>
      </c>
      <c r="BT22" s="7">
        <v>1.7</v>
      </c>
      <c r="BU22" s="24"/>
      <c r="BV22" s="24"/>
      <c r="BW22" s="428"/>
    </row>
    <row r="23" ht="13.5" customHeight="1" spans="1:75">
      <c r="A23" s="198"/>
      <c r="B23" s="22" t="s">
        <v>118</v>
      </c>
      <c r="C23" s="425">
        <v>1475.89</v>
      </c>
      <c r="D23" s="26">
        <v>1981.62</v>
      </c>
      <c r="E23" s="26">
        <v>2271.75</v>
      </c>
      <c r="F23" s="26">
        <v>2630.83</v>
      </c>
      <c r="G23" s="26">
        <v>2812.63</v>
      </c>
      <c r="H23" s="26">
        <v>2906.95</v>
      </c>
      <c r="I23" s="26">
        <v>3033.37</v>
      </c>
      <c r="J23" s="26">
        <v>3189.56</v>
      </c>
      <c r="K23" s="26">
        <v>3360.07</v>
      </c>
      <c r="L23" s="26">
        <v>3587.99</v>
      </c>
      <c r="M23" s="26">
        <v>3920.2</v>
      </c>
      <c r="N23" s="26">
        <v>4262.1</v>
      </c>
      <c r="O23" s="26">
        <v>4808.2</v>
      </c>
      <c r="P23" s="26">
        <v>5389.9</v>
      </c>
      <c r="Q23" s="426">
        <v>5886</v>
      </c>
      <c r="R23" s="26">
        <v>402.08</v>
      </c>
      <c r="S23" s="26">
        <v>454.34</v>
      </c>
      <c r="T23" s="26">
        <v>465.71</v>
      </c>
      <c r="U23" s="26">
        <v>478.5</v>
      </c>
      <c r="V23" s="26">
        <v>498.87</v>
      </c>
      <c r="W23" s="26">
        <v>551.2</v>
      </c>
      <c r="X23" s="26">
        <v>655.4</v>
      </c>
      <c r="Y23" s="26">
        <v>701.55</v>
      </c>
      <c r="Z23" s="26">
        <v>730.28</v>
      </c>
      <c r="AA23" s="26">
        <v>777.53</v>
      </c>
      <c r="AB23" s="26">
        <v>810.72</v>
      </c>
      <c r="AC23" s="26">
        <v>858.46</v>
      </c>
      <c r="AD23" s="26">
        <v>903.6</v>
      </c>
      <c r="AE23" s="26">
        <v>932</v>
      </c>
      <c r="AF23" s="426">
        <v>1011</v>
      </c>
      <c r="AG23" s="26">
        <v>1073.81</v>
      </c>
      <c r="AH23" s="26">
        <v>1347.28</v>
      </c>
      <c r="AI23" s="26">
        <v>1626.04</v>
      </c>
      <c r="AJ23" s="26">
        <v>1972.33</v>
      </c>
      <c r="AK23" s="26">
        <v>2133.75</v>
      </c>
      <c r="AL23" s="26">
        <v>2171.57</v>
      </c>
      <c r="AM23" s="26">
        <v>2193.71</v>
      </c>
      <c r="AN23" s="26">
        <v>2301.32</v>
      </c>
      <c r="AO23" s="26">
        <v>2443.1</v>
      </c>
      <c r="AP23" s="26">
        <v>2523.78</v>
      </c>
      <c r="AQ23" s="26">
        <v>2723.14</v>
      </c>
      <c r="AR23" s="26">
        <v>3017.29</v>
      </c>
      <c r="AS23" s="26">
        <v>3518.3</v>
      </c>
      <c r="AT23" s="427">
        <v>4061.5</v>
      </c>
      <c r="AU23" s="426">
        <v>471</v>
      </c>
      <c r="AV23" s="425"/>
      <c r="AW23" s="26">
        <v>180</v>
      </c>
      <c r="AX23" s="26">
        <v>180</v>
      </c>
      <c r="AY23" s="26">
        <v>180</v>
      </c>
      <c r="AZ23" s="26">
        <v>180</v>
      </c>
      <c r="BA23" s="26">
        <v>180</v>
      </c>
      <c r="BB23" s="26">
        <v>180</v>
      </c>
      <c r="BC23" s="26">
        <v>180</v>
      </c>
      <c r="BD23" s="26">
        <v>180</v>
      </c>
      <c r="BE23" s="26">
        <v>279</v>
      </c>
      <c r="BF23" s="26">
        <v>378</v>
      </c>
      <c r="BG23" s="26">
        <v>378</v>
      </c>
      <c r="BH23" s="26">
        <v>378</v>
      </c>
      <c r="BI23" s="427">
        <v>378</v>
      </c>
      <c r="BJ23" s="425">
        <v>378</v>
      </c>
      <c r="BK23" s="425">
        <v>4.17999999999938</v>
      </c>
      <c r="BL23" s="24">
        <v>4.25999999999976</v>
      </c>
      <c r="BM23" s="24">
        <v>6.69000000000005</v>
      </c>
      <c r="BN23" s="24">
        <v>6.69000000000005</v>
      </c>
      <c r="BO23" s="24">
        <v>7.68</v>
      </c>
      <c r="BP23" s="24">
        <v>8.34</v>
      </c>
      <c r="BQ23" s="24">
        <v>8.34</v>
      </c>
      <c r="BR23" s="24"/>
      <c r="BS23" s="24"/>
      <c r="BT23" s="7"/>
      <c r="BU23" s="24">
        <v>8.3</v>
      </c>
      <c r="BV23" s="24">
        <v>18.3</v>
      </c>
      <c r="BW23" s="428">
        <v>25</v>
      </c>
    </row>
    <row r="24" ht="13.5" customHeight="1" spans="1:75">
      <c r="A24" s="198"/>
      <c r="B24" s="22" t="s">
        <v>120</v>
      </c>
      <c r="C24" s="425">
        <v>480.1</v>
      </c>
      <c r="D24" s="26">
        <v>546.25</v>
      </c>
      <c r="E24" s="26">
        <v>602.36</v>
      </c>
      <c r="F24" s="26">
        <v>626.57</v>
      </c>
      <c r="G24" s="26">
        <v>687.92</v>
      </c>
      <c r="H24" s="26">
        <v>728.56</v>
      </c>
      <c r="I24" s="26">
        <v>782.67</v>
      </c>
      <c r="J24" s="26">
        <v>993.82</v>
      </c>
      <c r="K24" s="26">
        <v>986.18</v>
      </c>
      <c r="L24" s="26">
        <v>1003.95</v>
      </c>
      <c r="M24" s="26">
        <v>1023.53</v>
      </c>
      <c r="N24" s="26">
        <v>941.85</v>
      </c>
      <c r="O24" s="26">
        <v>1101.7</v>
      </c>
      <c r="P24" s="26">
        <v>1305.8</v>
      </c>
      <c r="Q24" s="426">
        <v>1975</v>
      </c>
      <c r="R24" s="26">
        <v>309.88</v>
      </c>
      <c r="S24" s="26">
        <v>346.83</v>
      </c>
      <c r="T24" s="26">
        <v>382.92</v>
      </c>
      <c r="U24" s="26">
        <v>402.41</v>
      </c>
      <c r="V24" s="26">
        <v>456.82</v>
      </c>
      <c r="W24" s="26">
        <v>493.27</v>
      </c>
      <c r="X24" s="26">
        <v>550.42</v>
      </c>
      <c r="Y24" s="26">
        <v>668.32</v>
      </c>
      <c r="Z24" s="26">
        <v>676.37</v>
      </c>
      <c r="AA24" s="26">
        <v>688.33</v>
      </c>
      <c r="AB24" s="26">
        <v>704.52</v>
      </c>
      <c r="AC24" s="26">
        <v>504.04</v>
      </c>
      <c r="AD24" s="26">
        <v>608.5</v>
      </c>
      <c r="AE24" s="26">
        <v>762.4</v>
      </c>
      <c r="AF24" s="426">
        <v>1044</v>
      </c>
      <c r="AG24" s="26">
        <v>170.22</v>
      </c>
      <c r="AH24" s="26">
        <v>199.42</v>
      </c>
      <c r="AI24" s="26">
        <v>219.44</v>
      </c>
      <c r="AJ24" s="26">
        <v>224.16</v>
      </c>
      <c r="AK24" s="26">
        <v>231.1</v>
      </c>
      <c r="AL24" s="26">
        <v>235.28</v>
      </c>
      <c r="AM24" s="26">
        <v>232.25</v>
      </c>
      <c r="AN24" s="26">
        <v>325.5</v>
      </c>
      <c r="AO24" s="26">
        <v>309.81</v>
      </c>
      <c r="AP24" s="26">
        <v>315.62</v>
      </c>
      <c r="AQ24" s="26">
        <v>319.01</v>
      </c>
      <c r="AR24" s="26">
        <v>437.81</v>
      </c>
      <c r="AS24" s="26">
        <v>493.1</v>
      </c>
      <c r="AT24" s="427">
        <v>543.4</v>
      </c>
      <c r="AU24" s="426">
        <v>931</v>
      </c>
      <c r="AV24" s="425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427"/>
      <c r="BJ24" s="425"/>
      <c r="BK24" s="425"/>
      <c r="BL24" s="24"/>
      <c r="BM24" s="24"/>
      <c r="BN24" s="24"/>
      <c r="BO24" s="24"/>
      <c r="BP24" s="24"/>
      <c r="BQ24" s="24"/>
      <c r="BR24" s="24"/>
      <c r="BS24" s="24"/>
      <c r="BT24" s="7"/>
      <c r="BU24" s="24"/>
      <c r="BV24" s="24"/>
      <c r="BW24" s="428"/>
    </row>
    <row r="25" ht="13.5" customHeight="1" spans="1:75">
      <c r="A25" s="198"/>
      <c r="B25" s="22" t="s">
        <v>122</v>
      </c>
      <c r="C25" s="425">
        <v>89.72</v>
      </c>
      <c r="D25" s="26">
        <v>105.73</v>
      </c>
      <c r="E25" s="26">
        <v>151.85</v>
      </c>
      <c r="F25" s="26">
        <v>156.05</v>
      </c>
      <c r="G25" s="26">
        <v>156.07</v>
      </c>
      <c r="H25" s="26">
        <v>153.67</v>
      </c>
      <c r="I25" s="26">
        <v>166.36</v>
      </c>
      <c r="J25" s="26">
        <v>179.13</v>
      </c>
      <c r="K25" s="26">
        <v>191.76</v>
      </c>
      <c r="L25" s="26">
        <v>178.04</v>
      </c>
      <c r="M25" s="26">
        <v>175.96</v>
      </c>
      <c r="N25" s="26">
        <v>217.04</v>
      </c>
      <c r="O25" s="26">
        <v>211.5</v>
      </c>
      <c r="P25" s="26">
        <v>258</v>
      </c>
      <c r="Q25" s="426">
        <v>302</v>
      </c>
      <c r="R25" s="26">
        <v>35.99</v>
      </c>
      <c r="S25" s="26">
        <v>47.35</v>
      </c>
      <c r="T25" s="26">
        <v>50.73</v>
      </c>
      <c r="U25" s="26">
        <v>50.93</v>
      </c>
      <c r="V25" s="26">
        <v>50.74</v>
      </c>
      <c r="W25" s="26">
        <v>53.34</v>
      </c>
      <c r="X25" s="26">
        <v>53.5</v>
      </c>
      <c r="Y25" s="26">
        <v>53.69</v>
      </c>
      <c r="Z25" s="26">
        <v>53.82</v>
      </c>
      <c r="AA25" s="26">
        <v>54.75</v>
      </c>
      <c r="AB25" s="26">
        <v>55.14</v>
      </c>
      <c r="AC25" s="26">
        <v>56.22</v>
      </c>
      <c r="AD25" s="26">
        <v>57.4</v>
      </c>
      <c r="AE25" s="26">
        <v>58.9</v>
      </c>
      <c r="AF25" s="426">
        <v>59</v>
      </c>
      <c r="AG25" s="26">
        <v>53.73</v>
      </c>
      <c r="AH25" s="26">
        <v>58.38</v>
      </c>
      <c r="AI25" s="26">
        <v>101.12</v>
      </c>
      <c r="AJ25" s="26">
        <v>105.12</v>
      </c>
      <c r="AK25" s="26">
        <v>105.32</v>
      </c>
      <c r="AL25" s="26">
        <v>99.47</v>
      </c>
      <c r="AM25" s="26">
        <v>111.98</v>
      </c>
      <c r="AN25" s="26">
        <v>124.56</v>
      </c>
      <c r="AO25" s="26">
        <v>137.06</v>
      </c>
      <c r="AP25" s="26">
        <v>122.41</v>
      </c>
      <c r="AQ25" s="26">
        <v>119.95</v>
      </c>
      <c r="AR25" s="26">
        <v>159.95</v>
      </c>
      <c r="AS25" s="26">
        <v>153.2</v>
      </c>
      <c r="AT25" s="427">
        <v>198.2</v>
      </c>
      <c r="AU25" s="426">
        <v>240</v>
      </c>
      <c r="AV25" s="425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427"/>
      <c r="BJ25" s="425"/>
      <c r="BK25" s="425">
        <v>0.859999999999985</v>
      </c>
      <c r="BL25" s="24">
        <v>0.879999999999995</v>
      </c>
      <c r="BM25" s="24">
        <v>0.879999999999995</v>
      </c>
      <c r="BN25" s="24">
        <v>0.88</v>
      </c>
      <c r="BO25" s="24">
        <v>0.88</v>
      </c>
      <c r="BP25" s="24">
        <v>0.87</v>
      </c>
      <c r="BQ25" s="24">
        <v>0.87</v>
      </c>
      <c r="BR25" s="24"/>
      <c r="BS25" s="24"/>
      <c r="BT25" s="7">
        <v>1.4</v>
      </c>
      <c r="BU25" s="24">
        <v>0.9</v>
      </c>
      <c r="BV25" s="24">
        <v>0.9</v>
      </c>
      <c r="BW25" s="428">
        <v>1</v>
      </c>
    </row>
    <row r="26" ht="13.5" customHeight="1" spans="1:75">
      <c r="A26" s="198"/>
      <c r="B26" s="22" t="s">
        <v>124</v>
      </c>
      <c r="C26" s="425"/>
      <c r="D26" s="26"/>
      <c r="E26" s="26"/>
      <c r="F26" s="26"/>
      <c r="G26" s="26">
        <v>310.89</v>
      </c>
      <c r="H26" s="26">
        <v>390.52</v>
      </c>
      <c r="I26" s="26">
        <v>425.34</v>
      </c>
      <c r="J26" s="26">
        <v>432.2</v>
      </c>
      <c r="K26" s="26">
        <v>416.63</v>
      </c>
      <c r="L26" s="26">
        <v>420</v>
      </c>
      <c r="M26" s="26">
        <v>445.6</v>
      </c>
      <c r="N26" s="26">
        <v>467.9</v>
      </c>
      <c r="O26" s="26">
        <v>567.6</v>
      </c>
      <c r="P26" s="26">
        <v>759.7</v>
      </c>
      <c r="Q26" s="426">
        <v>863</v>
      </c>
      <c r="R26" s="26"/>
      <c r="S26" s="26"/>
      <c r="T26" s="26"/>
      <c r="U26" s="26"/>
      <c r="V26" s="26">
        <v>83.56</v>
      </c>
      <c r="W26" s="26">
        <v>83.64</v>
      </c>
      <c r="X26" s="26">
        <v>107.03</v>
      </c>
      <c r="Y26" s="26">
        <v>132.7</v>
      </c>
      <c r="Z26" s="26">
        <v>126.8</v>
      </c>
      <c r="AA26" s="26">
        <v>119.55</v>
      </c>
      <c r="AB26" s="26">
        <v>132.98</v>
      </c>
      <c r="AC26" s="26">
        <v>140.79</v>
      </c>
      <c r="AD26" s="26">
        <v>191.2</v>
      </c>
      <c r="AE26" s="26">
        <v>197.9</v>
      </c>
      <c r="AF26" s="426">
        <v>224</v>
      </c>
      <c r="AG26" s="26"/>
      <c r="AH26" s="26"/>
      <c r="AI26" s="26"/>
      <c r="AJ26" s="26"/>
      <c r="AK26" s="26">
        <v>227.33</v>
      </c>
      <c r="AL26" s="26">
        <v>306.88</v>
      </c>
      <c r="AM26" s="26">
        <v>318.31</v>
      </c>
      <c r="AN26" s="26">
        <v>299.5</v>
      </c>
      <c r="AO26" s="26">
        <v>289.83</v>
      </c>
      <c r="AP26" s="26">
        <v>300.45</v>
      </c>
      <c r="AQ26" s="26">
        <v>312.62</v>
      </c>
      <c r="AR26" s="26">
        <v>327.11</v>
      </c>
      <c r="AS26" s="26">
        <v>374.1</v>
      </c>
      <c r="AT26" s="427">
        <v>559.4</v>
      </c>
      <c r="AU26" s="426">
        <v>637</v>
      </c>
      <c r="AV26" s="425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427"/>
      <c r="BJ26" s="425"/>
      <c r="BK26" s="425"/>
      <c r="BL26" s="24"/>
      <c r="BM26" s="24"/>
      <c r="BN26" s="24"/>
      <c r="BO26" s="24"/>
      <c r="BP26" s="24"/>
      <c r="BQ26" s="24"/>
      <c r="BR26" s="24">
        <v>2.4</v>
      </c>
      <c r="BS26" s="24">
        <v>2.4</v>
      </c>
      <c r="BT26" s="7">
        <v>2.4</v>
      </c>
      <c r="BU26" s="24"/>
      <c r="BV26" s="24"/>
      <c r="BW26" s="428"/>
    </row>
    <row r="27" ht="13.5" customHeight="1" spans="1:75">
      <c r="A27" s="198"/>
      <c r="B27" s="22" t="s">
        <v>126</v>
      </c>
      <c r="C27" s="425">
        <v>1052.71</v>
      </c>
      <c r="D27" s="26">
        <v>1137.59</v>
      </c>
      <c r="E27" s="26">
        <v>1215.16</v>
      </c>
      <c r="F27" s="26">
        <v>1356.94</v>
      </c>
      <c r="G27" s="26">
        <v>1110.74</v>
      </c>
      <c r="H27" s="26">
        <v>1284.1</v>
      </c>
      <c r="I27" s="26">
        <v>1584.49</v>
      </c>
      <c r="J27" s="26">
        <v>1709.84</v>
      </c>
      <c r="K27" s="26">
        <v>1790.85</v>
      </c>
      <c r="L27" s="26">
        <v>1799.66</v>
      </c>
      <c r="M27" s="26">
        <v>1844.54</v>
      </c>
      <c r="N27" s="26">
        <v>2028.32</v>
      </c>
      <c r="O27" s="26">
        <v>2245.6</v>
      </c>
      <c r="P27" s="26">
        <v>2728.5</v>
      </c>
      <c r="Q27" s="426">
        <v>3186</v>
      </c>
      <c r="R27" s="26">
        <v>455.89</v>
      </c>
      <c r="S27" s="26">
        <v>505.43</v>
      </c>
      <c r="T27" s="26">
        <v>559.04</v>
      </c>
      <c r="U27" s="26">
        <v>642.42</v>
      </c>
      <c r="V27" s="26">
        <v>608.24</v>
      </c>
      <c r="W27" s="26">
        <v>770.59</v>
      </c>
      <c r="X27" s="26">
        <v>1041.69</v>
      </c>
      <c r="Y27" s="26">
        <v>1100.83</v>
      </c>
      <c r="Z27" s="26">
        <v>1153.15</v>
      </c>
      <c r="AA27" s="26">
        <v>1185.46</v>
      </c>
      <c r="AB27" s="26">
        <v>1234.15</v>
      </c>
      <c r="AC27" s="26">
        <v>1338.29</v>
      </c>
      <c r="AD27" s="26">
        <v>1496</v>
      </c>
      <c r="AE27" s="26">
        <v>1773</v>
      </c>
      <c r="AF27" s="426">
        <v>1986</v>
      </c>
      <c r="AG27" s="26">
        <v>596.82</v>
      </c>
      <c r="AH27" s="26">
        <v>632.16</v>
      </c>
      <c r="AI27" s="26">
        <v>656.12</v>
      </c>
      <c r="AJ27" s="26">
        <v>714.52</v>
      </c>
      <c r="AK27" s="26">
        <v>502.5</v>
      </c>
      <c r="AL27" s="26">
        <v>513.51</v>
      </c>
      <c r="AM27" s="26">
        <v>542.8</v>
      </c>
      <c r="AN27" s="26">
        <v>609.01</v>
      </c>
      <c r="AO27" s="26">
        <v>637.7</v>
      </c>
      <c r="AP27" s="26">
        <v>614.2</v>
      </c>
      <c r="AQ27" s="26">
        <v>610.4</v>
      </c>
      <c r="AR27" s="26">
        <v>690.03</v>
      </c>
      <c r="AS27" s="26">
        <v>749.6</v>
      </c>
      <c r="AT27" s="427">
        <v>955.5</v>
      </c>
      <c r="AU27" s="426">
        <v>1200</v>
      </c>
      <c r="AV27" s="425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427"/>
      <c r="BJ27" s="425"/>
      <c r="BK27" s="425"/>
      <c r="BL27" s="24"/>
      <c r="BM27" s="24"/>
      <c r="BN27" s="24"/>
      <c r="BO27" s="24"/>
      <c r="BP27" s="24"/>
      <c r="BQ27" s="24"/>
      <c r="BR27" s="24"/>
      <c r="BS27" s="24"/>
      <c r="BT27" s="7"/>
      <c r="BU27" s="24"/>
      <c r="BV27" s="24"/>
      <c r="BW27" s="428"/>
    </row>
    <row r="28" ht="13.5" customHeight="1" spans="1:75">
      <c r="A28" s="198"/>
      <c r="B28" s="22" t="s">
        <v>128</v>
      </c>
      <c r="C28" s="425">
        <v>317.08</v>
      </c>
      <c r="D28" s="26">
        <v>385.05</v>
      </c>
      <c r="E28" s="26">
        <v>427.05</v>
      </c>
      <c r="F28" s="26">
        <v>464.74</v>
      </c>
      <c r="G28" s="26">
        <v>479.31</v>
      </c>
      <c r="H28" s="26">
        <v>528.09</v>
      </c>
      <c r="I28" s="26">
        <v>602.86</v>
      </c>
      <c r="J28" s="26">
        <v>606.36</v>
      </c>
      <c r="K28" s="26">
        <v>665.01</v>
      </c>
      <c r="L28" s="26">
        <v>706.86</v>
      </c>
      <c r="M28" s="26">
        <v>1017.95</v>
      </c>
      <c r="N28" s="26">
        <v>1469.83</v>
      </c>
      <c r="O28" s="26">
        <v>1686.8</v>
      </c>
      <c r="P28" s="26">
        <v>2188.3</v>
      </c>
      <c r="Q28" s="426">
        <v>2417</v>
      </c>
      <c r="R28" s="26">
        <v>139.41</v>
      </c>
      <c r="S28" s="26">
        <v>183.99</v>
      </c>
      <c r="T28" s="26">
        <v>205.87</v>
      </c>
      <c r="U28" s="26">
        <v>220.9</v>
      </c>
      <c r="V28" s="26">
        <v>217.98</v>
      </c>
      <c r="W28" s="26">
        <v>223.51</v>
      </c>
      <c r="X28" s="26">
        <v>231.01</v>
      </c>
      <c r="Y28" s="26">
        <v>235.81</v>
      </c>
      <c r="Z28" s="26">
        <v>240.96</v>
      </c>
      <c r="AA28" s="26">
        <v>242.61</v>
      </c>
      <c r="AB28" s="26">
        <v>371.37</v>
      </c>
      <c r="AC28" s="26">
        <v>689.65</v>
      </c>
      <c r="AD28" s="26">
        <v>723.3</v>
      </c>
      <c r="AE28" s="26">
        <v>753.4</v>
      </c>
      <c r="AF28" s="426">
        <v>821</v>
      </c>
      <c r="AG28" s="26">
        <v>177.67</v>
      </c>
      <c r="AH28" s="26">
        <v>201.06</v>
      </c>
      <c r="AI28" s="26">
        <v>221.18</v>
      </c>
      <c r="AJ28" s="26">
        <v>243.84</v>
      </c>
      <c r="AK28" s="26">
        <v>261.33</v>
      </c>
      <c r="AL28" s="26">
        <v>304.58</v>
      </c>
      <c r="AM28" s="26">
        <v>371.85</v>
      </c>
      <c r="AN28" s="26">
        <v>370.55</v>
      </c>
      <c r="AO28" s="26">
        <v>424.05</v>
      </c>
      <c r="AP28" s="26">
        <v>464.25</v>
      </c>
      <c r="AQ28" s="26">
        <v>646.58</v>
      </c>
      <c r="AR28" s="26">
        <v>780.18</v>
      </c>
      <c r="AS28" s="26">
        <v>963.5</v>
      </c>
      <c r="AT28" s="427">
        <v>1435</v>
      </c>
      <c r="AU28" s="426">
        <v>1596</v>
      </c>
      <c r="AV28" s="425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427"/>
      <c r="BJ28" s="425"/>
      <c r="BK28" s="425"/>
      <c r="BL28" s="24"/>
      <c r="BM28" s="24"/>
      <c r="BN28" s="24"/>
      <c r="BO28" s="24"/>
      <c r="BP28" s="24"/>
      <c r="BQ28" s="24"/>
      <c r="BR28" s="24"/>
      <c r="BS28" s="24"/>
      <c r="BT28" s="7"/>
      <c r="BU28" s="24"/>
      <c r="BV28" s="24"/>
      <c r="BW28" s="428"/>
    </row>
    <row r="29" ht="13.5" customHeight="1" spans="1:75">
      <c r="A29" s="198"/>
      <c r="B29" s="22" t="s">
        <v>130</v>
      </c>
      <c r="C29" s="425">
        <v>451.61</v>
      </c>
      <c r="D29" s="26">
        <v>495.13</v>
      </c>
      <c r="E29" s="26">
        <v>530.01</v>
      </c>
      <c r="F29" s="26">
        <v>551.64</v>
      </c>
      <c r="G29" s="26">
        <v>574.16</v>
      </c>
      <c r="H29" s="26">
        <v>661.09</v>
      </c>
      <c r="I29" s="26">
        <v>712.2</v>
      </c>
      <c r="J29" s="26">
        <v>741.41</v>
      </c>
      <c r="K29" s="26">
        <v>794.19</v>
      </c>
      <c r="L29" s="26">
        <v>876.91</v>
      </c>
      <c r="M29" s="26">
        <v>1010</v>
      </c>
      <c r="N29" s="26">
        <v>1136.55</v>
      </c>
      <c r="O29" s="26">
        <v>1275.2</v>
      </c>
      <c r="P29" s="26">
        <v>1826.1</v>
      </c>
      <c r="Q29" s="426">
        <v>2221</v>
      </c>
      <c r="R29" s="26">
        <v>310.15</v>
      </c>
      <c r="S29" s="26">
        <v>361.51</v>
      </c>
      <c r="T29" s="26">
        <v>396.08</v>
      </c>
      <c r="U29" s="26">
        <v>397.36</v>
      </c>
      <c r="V29" s="26">
        <v>407.48</v>
      </c>
      <c r="W29" s="26">
        <v>427.91</v>
      </c>
      <c r="X29" s="26">
        <v>467.69</v>
      </c>
      <c r="Y29" s="26">
        <v>494.72</v>
      </c>
      <c r="Z29" s="26">
        <v>499.56</v>
      </c>
      <c r="AA29" s="26">
        <v>583.63</v>
      </c>
      <c r="AB29" s="26">
        <v>654.32</v>
      </c>
      <c r="AC29" s="26">
        <v>705.86</v>
      </c>
      <c r="AD29" s="26">
        <v>799.9</v>
      </c>
      <c r="AE29" s="26">
        <v>969.8</v>
      </c>
      <c r="AF29" s="426">
        <v>1158</v>
      </c>
      <c r="AG29" s="26">
        <v>141.46</v>
      </c>
      <c r="AH29" s="26">
        <v>133.62</v>
      </c>
      <c r="AI29" s="26">
        <v>133.93</v>
      </c>
      <c r="AJ29" s="26">
        <v>154.28</v>
      </c>
      <c r="AK29" s="26">
        <v>166.68</v>
      </c>
      <c r="AL29" s="26">
        <v>233.18</v>
      </c>
      <c r="AM29" s="26">
        <v>244.52</v>
      </c>
      <c r="AN29" s="26">
        <v>246.69</v>
      </c>
      <c r="AO29" s="26">
        <v>294.63</v>
      </c>
      <c r="AP29" s="26">
        <v>293.27</v>
      </c>
      <c r="AQ29" s="26">
        <v>355.68</v>
      </c>
      <c r="AR29" s="26">
        <v>430.69</v>
      </c>
      <c r="AS29" s="26">
        <v>475.2</v>
      </c>
      <c r="AT29" s="427">
        <v>856.4</v>
      </c>
      <c r="AU29" s="426">
        <v>1063</v>
      </c>
      <c r="AV29" s="425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427"/>
      <c r="BJ29" s="425"/>
      <c r="BK29" s="425"/>
      <c r="BL29" s="24"/>
      <c r="BM29" s="24"/>
      <c r="BN29" s="24"/>
      <c r="BO29" s="24"/>
      <c r="BP29" s="24"/>
      <c r="BQ29" s="24"/>
      <c r="BR29" s="24"/>
      <c r="BS29" s="24"/>
      <c r="BT29" s="7"/>
      <c r="BU29" s="24"/>
      <c r="BV29" s="24"/>
      <c r="BW29" s="428"/>
    </row>
    <row r="30" ht="13.5" customHeight="1" spans="1:75">
      <c r="A30" s="198"/>
      <c r="B30" s="22" t="s">
        <v>132</v>
      </c>
      <c r="C30" s="425">
        <v>16.66</v>
      </c>
      <c r="D30" s="26">
        <v>17.66</v>
      </c>
      <c r="E30" s="26">
        <v>17.66</v>
      </c>
      <c r="F30" s="26">
        <v>18.51</v>
      </c>
      <c r="G30" s="26">
        <v>29.38</v>
      </c>
      <c r="H30" s="26">
        <v>30.14</v>
      </c>
      <c r="I30" s="26">
        <v>33.16</v>
      </c>
      <c r="J30" s="26">
        <v>35.72</v>
      </c>
      <c r="K30" s="26">
        <v>36.08</v>
      </c>
      <c r="L30" s="26">
        <v>36.33</v>
      </c>
      <c r="M30" s="26">
        <v>37.62</v>
      </c>
      <c r="N30" s="26">
        <v>46.92</v>
      </c>
      <c r="O30" s="26">
        <v>48.2</v>
      </c>
      <c r="P30" s="26">
        <v>37.9</v>
      </c>
      <c r="Q30" s="426">
        <v>42</v>
      </c>
      <c r="R30" s="26">
        <v>12.09</v>
      </c>
      <c r="S30" s="26">
        <v>12.95</v>
      </c>
      <c r="T30" s="26">
        <v>12.95</v>
      </c>
      <c r="U30" s="26">
        <v>12.94</v>
      </c>
      <c r="V30" s="26">
        <v>23.76</v>
      </c>
      <c r="W30" s="26">
        <v>24.25</v>
      </c>
      <c r="X30" s="26">
        <v>27.25</v>
      </c>
      <c r="Y30" s="26">
        <v>29.48</v>
      </c>
      <c r="Z30" s="26">
        <v>29.6</v>
      </c>
      <c r="AA30" s="26">
        <v>29.85</v>
      </c>
      <c r="AB30" s="26">
        <v>31.14</v>
      </c>
      <c r="AC30" s="26">
        <v>40.35</v>
      </c>
      <c r="AD30" s="26">
        <v>41.9</v>
      </c>
      <c r="AE30" s="26">
        <v>34.3</v>
      </c>
      <c r="AF30" s="426">
        <v>39</v>
      </c>
      <c r="AG30" s="26">
        <v>4.57</v>
      </c>
      <c r="AH30" s="26">
        <v>4.71</v>
      </c>
      <c r="AI30" s="26">
        <v>4.71</v>
      </c>
      <c r="AJ30" s="26">
        <v>5.57</v>
      </c>
      <c r="AK30" s="26">
        <v>5.62</v>
      </c>
      <c r="AL30" s="26">
        <v>5.89</v>
      </c>
      <c r="AM30" s="26">
        <v>3.15</v>
      </c>
      <c r="AN30" s="26">
        <v>3.48</v>
      </c>
      <c r="AO30" s="26">
        <v>3.46</v>
      </c>
      <c r="AP30" s="26">
        <v>3.46</v>
      </c>
      <c r="AQ30" s="26">
        <v>3.46</v>
      </c>
      <c r="AR30" s="26">
        <v>3.46</v>
      </c>
      <c r="AS30" s="26">
        <v>3.2</v>
      </c>
      <c r="AT30" s="427">
        <v>1.2</v>
      </c>
      <c r="AU30" s="426">
        <v>1</v>
      </c>
      <c r="AV30" s="425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427"/>
      <c r="BJ30" s="425"/>
      <c r="BK30" s="425"/>
      <c r="BL30" s="24">
        <v>2.76</v>
      </c>
      <c r="BM30" s="24">
        <v>2.76</v>
      </c>
      <c r="BN30" s="24">
        <v>3.02</v>
      </c>
      <c r="BO30" s="24">
        <v>3.02</v>
      </c>
      <c r="BP30" s="24">
        <v>3.02</v>
      </c>
      <c r="BQ30" s="24">
        <v>2.42</v>
      </c>
      <c r="BR30" s="24">
        <v>3</v>
      </c>
      <c r="BS30" s="24">
        <v>2.4</v>
      </c>
      <c r="BT30" s="7">
        <v>2.4</v>
      </c>
      <c r="BU30" s="24"/>
      <c r="BV30" s="24"/>
      <c r="BW30" s="428"/>
    </row>
    <row r="31" ht="13.5" customHeight="1" spans="1:75">
      <c r="A31" s="198"/>
      <c r="B31" s="22" t="s">
        <v>134</v>
      </c>
      <c r="C31" s="425">
        <v>443.07</v>
      </c>
      <c r="D31" s="26">
        <v>431.25</v>
      </c>
      <c r="E31" s="26">
        <v>498.74</v>
      </c>
      <c r="F31" s="26">
        <v>545.96</v>
      </c>
      <c r="G31" s="26">
        <v>547.76</v>
      </c>
      <c r="H31" s="26">
        <v>635.31</v>
      </c>
      <c r="I31" s="26">
        <v>667.45</v>
      </c>
      <c r="J31" s="26">
        <v>737.56</v>
      </c>
      <c r="K31" s="26">
        <v>775.31</v>
      </c>
      <c r="L31" s="26">
        <v>819.77</v>
      </c>
      <c r="M31" s="26">
        <v>878.87</v>
      </c>
      <c r="N31" s="26">
        <v>951.69</v>
      </c>
      <c r="O31" s="26">
        <v>1166.4</v>
      </c>
      <c r="P31" s="26">
        <v>1193.4</v>
      </c>
      <c r="Q31" s="426">
        <v>1416</v>
      </c>
      <c r="R31" s="26">
        <v>119.8</v>
      </c>
      <c r="S31" s="26">
        <v>116.8</v>
      </c>
      <c r="T31" s="26">
        <v>118.19</v>
      </c>
      <c r="U31" s="26">
        <v>123.36</v>
      </c>
      <c r="V31" s="26">
        <v>123.36</v>
      </c>
      <c r="W31" s="26">
        <v>124.91</v>
      </c>
      <c r="X31" s="26">
        <v>129.2</v>
      </c>
      <c r="Y31" s="26">
        <v>145.12</v>
      </c>
      <c r="Z31" s="26">
        <v>145.07</v>
      </c>
      <c r="AA31" s="26">
        <v>146.23</v>
      </c>
      <c r="AB31" s="26">
        <v>146.23</v>
      </c>
      <c r="AC31" s="26">
        <v>187.65</v>
      </c>
      <c r="AD31" s="26">
        <v>197.8</v>
      </c>
      <c r="AE31" s="26">
        <v>216.5</v>
      </c>
      <c r="AF31" s="426">
        <v>179</v>
      </c>
      <c r="AG31" s="26">
        <v>323.27</v>
      </c>
      <c r="AH31" s="26">
        <v>314.45</v>
      </c>
      <c r="AI31" s="26">
        <v>380.55</v>
      </c>
      <c r="AJ31" s="26">
        <v>422.6</v>
      </c>
      <c r="AK31" s="26">
        <v>424.4</v>
      </c>
      <c r="AL31" s="26">
        <v>510.4</v>
      </c>
      <c r="AM31" s="26">
        <v>538.25</v>
      </c>
      <c r="AN31" s="26">
        <v>592.44</v>
      </c>
      <c r="AO31" s="26">
        <v>630.24</v>
      </c>
      <c r="AP31" s="26">
        <v>673.54</v>
      </c>
      <c r="AQ31" s="26">
        <v>732.64</v>
      </c>
      <c r="AR31" s="26">
        <v>764.04</v>
      </c>
      <c r="AS31" s="26">
        <v>964</v>
      </c>
      <c r="AT31" s="427">
        <v>972.3</v>
      </c>
      <c r="AU31" s="426">
        <v>1229</v>
      </c>
      <c r="AV31" s="425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427"/>
      <c r="BJ31" s="425"/>
      <c r="BK31" s="425"/>
      <c r="BL31" s="24"/>
      <c r="BM31" s="24"/>
      <c r="BN31" s="24"/>
      <c r="BO31" s="24"/>
      <c r="BP31" s="24"/>
      <c r="BQ31" s="24"/>
      <c r="BR31" s="24">
        <v>4.6</v>
      </c>
      <c r="BS31" s="24">
        <v>4.6</v>
      </c>
      <c r="BT31" s="7">
        <v>7.25</v>
      </c>
      <c r="BU31" s="24"/>
      <c r="BV31" s="24"/>
      <c r="BW31" s="428"/>
    </row>
    <row r="32" ht="13.5" customHeight="1" spans="1:75">
      <c r="A32" s="198"/>
      <c r="B32" s="22" t="s">
        <v>136</v>
      </c>
      <c r="C32" s="425">
        <v>453.25</v>
      </c>
      <c r="D32" s="26">
        <v>451.67</v>
      </c>
      <c r="E32" s="26">
        <v>455.24</v>
      </c>
      <c r="F32" s="26">
        <v>498.6</v>
      </c>
      <c r="G32" s="26">
        <v>556.3</v>
      </c>
      <c r="H32" s="26">
        <v>591.35</v>
      </c>
      <c r="I32" s="26">
        <v>612.82</v>
      </c>
      <c r="J32" s="26">
        <v>655.22</v>
      </c>
      <c r="K32" s="26">
        <v>700.15</v>
      </c>
      <c r="L32" s="26">
        <v>712.88</v>
      </c>
      <c r="M32" s="26">
        <v>804.72</v>
      </c>
      <c r="N32" s="26">
        <v>867.99</v>
      </c>
      <c r="O32" s="26">
        <v>985.7</v>
      </c>
      <c r="P32" s="26">
        <v>1093.9</v>
      </c>
      <c r="Q32" s="426">
        <v>1259</v>
      </c>
      <c r="R32" s="26">
        <v>235.77</v>
      </c>
      <c r="S32" s="26">
        <v>230.69</v>
      </c>
      <c r="T32" s="26">
        <v>232.32</v>
      </c>
      <c r="U32" s="26">
        <v>244.67</v>
      </c>
      <c r="V32" s="26">
        <v>265.16</v>
      </c>
      <c r="W32" s="26">
        <v>281.02</v>
      </c>
      <c r="X32" s="26">
        <v>286.8</v>
      </c>
      <c r="Y32" s="26">
        <v>295.15</v>
      </c>
      <c r="Z32" s="26">
        <v>311.83</v>
      </c>
      <c r="AA32" s="26">
        <v>323.86</v>
      </c>
      <c r="AB32" s="26">
        <v>328.06</v>
      </c>
      <c r="AC32" s="26">
        <v>356.61</v>
      </c>
      <c r="AD32" s="26">
        <v>400.6</v>
      </c>
      <c r="AE32" s="26">
        <v>429.1</v>
      </c>
      <c r="AF32" s="426">
        <v>440</v>
      </c>
      <c r="AG32" s="26">
        <v>217.48</v>
      </c>
      <c r="AH32" s="26">
        <v>220.98</v>
      </c>
      <c r="AI32" s="26">
        <v>222.92</v>
      </c>
      <c r="AJ32" s="26">
        <v>253.93</v>
      </c>
      <c r="AK32" s="26">
        <v>291.15</v>
      </c>
      <c r="AL32" s="26">
        <v>310.21</v>
      </c>
      <c r="AM32" s="26">
        <v>325.9</v>
      </c>
      <c r="AN32" s="26">
        <v>359.95</v>
      </c>
      <c r="AO32" s="26">
        <v>387.48</v>
      </c>
      <c r="AP32" s="26">
        <v>388.18</v>
      </c>
      <c r="AQ32" s="26">
        <v>474.5</v>
      </c>
      <c r="AR32" s="26">
        <v>497.56</v>
      </c>
      <c r="AS32" s="26">
        <v>571.3</v>
      </c>
      <c r="AT32" s="427">
        <v>644.8</v>
      </c>
      <c r="AU32" s="426">
        <v>784</v>
      </c>
      <c r="AV32" s="425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427"/>
      <c r="BJ32" s="425"/>
      <c r="BK32" s="425">
        <v>0.120000000000005</v>
      </c>
      <c r="BL32" s="24">
        <v>0.120000000000005</v>
      </c>
      <c r="BM32" s="24">
        <v>0.120000000000118</v>
      </c>
      <c r="BN32" s="24">
        <v>0.84</v>
      </c>
      <c r="BO32" s="24">
        <v>0.84</v>
      </c>
      <c r="BP32" s="24">
        <v>2.16</v>
      </c>
      <c r="BQ32" s="24">
        <v>13.82</v>
      </c>
      <c r="BR32" s="24">
        <v>8.6</v>
      </c>
      <c r="BS32" s="24">
        <v>8.6</v>
      </c>
      <c r="BT32" s="7">
        <v>8.6</v>
      </c>
      <c r="BU32" s="24">
        <v>5.2</v>
      </c>
      <c r="BV32" s="24">
        <v>11.3</v>
      </c>
      <c r="BW32" s="428">
        <v>26</v>
      </c>
    </row>
    <row r="33" ht="13.5" customHeight="1" spans="1:76">
      <c r="A33" s="198"/>
      <c r="B33" s="22" t="s">
        <v>138</v>
      </c>
      <c r="C33" s="425">
        <v>172.36</v>
      </c>
      <c r="D33" s="26">
        <v>173.53</v>
      </c>
      <c r="E33" s="26">
        <v>186.88</v>
      </c>
      <c r="F33" s="26">
        <v>199.83</v>
      </c>
      <c r="G33" s="26">
        <v>281.91</v>
      </c>
      <c r="H33" s="26">
        <v>324.12</v>
      </c>
      <c r="I33" s="26">
        <v>379.6</v>
      </c>
      <c r="J33" s="26">
        <v>395.37</v>
      </c>
      <c r="K33" s="26">
        <v>389.41</v>
      </c>
      <c r="L33" s="26">
        <v>401</v>
      </c>
      <c r="M33" s="26">
        <v>424.69</v>
      </c>
      <c r="N33" s="26">
        <v>494.32</v>
      </c>
      <c r="O33" s="26">
        <v>571.2</v>
      </c>
      <c r="P33" s="26">
        <v>694</v>
      </c>
      <c r="Q33" s="426">
        <v>774</v>
      </c>
      <c r="R33" s="26">
        <v>138.51</v>
      </c>
      <c r="S33" s="26">
        <v>139.38</v>
      </c>
      <c r="T33" s="26">
        <v>140.23</v>
      </c>
      <c r="U33" s="26">
        <v>140.97</v>
      </c>
      <c r="V33" s="26">
        <v>223.78</v>
      </c>
      <c r="W33" s="26">
        <v>265.85</v>
      </c>
      <c r="X33" s="26">
        <v>307.52</v>
      </c>
      <c r="Y33" s="26">
        <v>311.39</v>
      </c>
      <c r="Z33" s="26">
        <v>312.74</v>
      </c>
      <c r="AA33" s="26">
        <v>320.63</v>
      </c>
      <c r="AB33" s="26">
        <v>334.11</v>
      </c>
      <c r="AC33" s="26">
        <v>405.34</v>
      </c>
      <c r="AD33" s="26">
        <v>482.5</v>
      </c>
      <c r="AE33" s="26">
        <v>542.3</v>
      </c>
      <c r="AF33" s="426">
        <v>583</v>
      </c>
      <c r="AG33" s="26">
        <v>33.85</v>
      </c>
      <c r="AH33" s="26">
        <v>34.15</v>
      </c>
      <c r="AI33" s="26">
        <v>46.65</v>
      </c>
      <c r="AJ33" s="26">
        <v>58.86</v>
      </c>
      <c r="AK33" s="26">
        <v>58.14</v>
      </c>
      <c r="AL33" s="26">
        <v>58.27</v>
      </c>
      <c r="AM33" s="26">
        <v>72.08</v>
      </c>
      <c r="AN33" s="26">
        <v>83.98</v>
      </c>
      <c r="AO33" s="26">
        <v>76.68</v>
      </c>
      <c r="AP33" s="26">
        <v>80.38</v>
      </c>
      <c r="AQ33" s="26">
        <v>90.58</v>
      </c>
      <c r="AR33" s="26">
        <v>88.98</v>
      </c>
      <c r="AS33" s="26">
        <v>88.7</v>
      </c>
      <c r="AT33" s="427">
        <v>151.7</v>
      </c>
      <c r="AU33" s="426">
        <v>190</v>
      </c>
      <c r="AV33" s="425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427"/>
      <c r="BJ33" s="425"/>
      <c r="BK33" s="425"/>
      <c r="BL33" s="24"/>
      <c r="BM33" s="24"/>
      <c r="BN33" s="24"/>
      <c r="BO33" s="24"/>
      <c r="BP33" s="24"/>
      <c r="BQ33" s="24"/>
      <c r="BR33" s="24"/>
      <c r="BS33" s="24"/>
      <c r="BT33" s="7"/>
      <c r="BU33" s="24"/>
      <c r="BV33" s="24"/>
      <c r="BW33" s="428"/>
    </row>
    <row r="34" ht="13.5" customHeight="1" spans="1:76">
      <c r="A34" s="198"/>
      <c r="B34" s="22" t="s">
        <v>140</v>
      </c>
      <c r="C34" s="425">
        <v>164.23</v>
      </c>
      <c r="D34" s="26">
        <v>165.43</v>
      </c>
      <c r="E34" s="26">
        <v>168.73</v>
      </c>
      <c r="F34" s="26">
        <v>169.93</v>
      </c>
      <c r="G34" s="26">
        <v>230.23</v>
      </c>
      <c r="H34" s="26">
        <v>230.23</v>
      </c>
      <c r="I34" s="26">
        <v>227.23</v>
      </c>
      <c r="J34" s="26">
        <v>230.63</v>
      </c>
      <c r="K34" s="26">
        <v>235.39</v>
      </c>
      <c r="L34" s="26">
        <v>269.39</v>
      </c>
      <c r="M34" s="26">
        <v>342.02</v>
      </c>
      <c r="N34" s="26">
        <v>419.07</v>
      </c>
      <c r="O34" s="26">
        <v>518.3</v>
      </c>
      <c r="P34" s="26">
        <v>644.1</v>
      </c>
      <c r="Q34" s="426">
        <v>751</v>
      </c>
      <c r="R34" s="26">
        <v>27.63</v>
      </c>
      <c r="S34" s="26">
        <v>27.63</v>
      </c>
      <c r="T34" s="26">
        <v>30.63</v>
      </c>
      <c r="U34" s="26">
        <v>30.63</v>
      </c>
      <c r="V34" s="26">
        <v>30.63</v>
      </c>
      <c r="W34" s="26">
        <v>30.63</v>
      </c>
      <c r="X34" s="26">
        <v>30.63</v>
      </c>
      <c r="Y34" s="26">
        <v>30.63</v>
      </c>
      <c r="Z34" s="26">
        <v>30.79</v>
      </c>
      <c r="AA34" s="26">
        <v>30.79</v>
      </c>
      <c r="AB34" s="26">
        <v>30.82</v>
      </c>
      <c r="AC34" s="26">
        <v>36.62</v>
      </c>
      <c r="AD34" s="26">
        <v>42.9</v>
      </c>
      <c r="AE34" s="26">
        <v>42.9</v>
      </c>
      <c r="AF34" s="426">
        <v>43</v>
      </c>
      <c r="AG34" s="26">
        <v>136.6</v>
      </c>
      <c r="AH34" s="26">
        <v>137.8</v>
      </c>
      <c r="AI34" s="26">
        <v>138.1</v>
      </c>
      <c r="AJ34" s="26">
        <v>139.3</v>
      </c>
      <c r="AK34" s="26">
        <v>199.6</v>
      </c>
      <c r="AL34" s="26">
        <v>199.6</v>
      </c>
      <c r="AM34" s="26">
        <v>196.6</v>
      </c>
      <c r="AN34" s="26">
        <v>200</v>
      </c>
      <c r="AO34" s="26">
        <v>204.6</v>
      </c>
      <c r="AP34" s="26">
        <v>238.6</v>
      </c>
      <c r="AQ34" s="26">
        <v>310.2</v>
      </c>
      <c r="AR34" s="26">
        <v>378.2</v>
      </c>
      <c r="AS34" s="26">
        <v>464.2</v>
      </c>
      <c r="AT34" s="427">
        <v>600.2</v>
      </c>
      <c r="AU34" s="426">
        <v>703</v>
      </c>
      <c r="AV34" s="425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427"/>
      <c r="BJ34" s="425"/>
      <c r="BK34" s="425"/>
      <c r="BL34" s="24"/>
      <c r="BM34" s="24"/>
      <c r="BN34" s="24"/>
      <c r="BO34" s="24"/>
      <c r="BP34" s="24">
        <v>1</v>
      </c>
      <c r="BQ34" s="24">
        <v>4.25</v>
      </c>
      <c r="BR34" s="24"/>
      <c r="BS34" s="24"/>
      <c r="BT34" s="7"/>
      <c r="BU34" s="24">
        <v>11.2</v>
      </c>
      <c r="BV34" s="24">
        <v>1.1</v>
      </c>
      <c r="BW34" s="428">
        <v>5</v>
      </c>
    </row>
    <row r="35" ht="13.5" customHeight="1" spans="1:76">
      <c r="A35" s="198"/>
      <c r="B35" s="22" t="s">
        <v>142</v>
      </c>
      <c r="C35" s="429">
        <v>255.33</v>
      </c>
      <c r="D35" s="430">
        <v>286.51</v>
      </c>
      <c r="E35" s="430">
        <v>300.75</v>
      </c>
      <c r="F35" s="430">
        <v>330.84</v>
      </c>
      <c r="G35" s="430">
        <v>350.38</v>
      </c>
      <c r="H35" s="430">
        <v>395.73</v>
      </c>
      <c r="I35" s="430">
        <v>396.9</v>
      </c>
      <c r="J35" s="430">
        <v>445.86</v>
      </c>
      <c r="K35" s="430">
        <v>474.36</v>
      </c>
      <c r="L35" s="430">
        <v>503.14</v>
      </c>
      <c r="M35" s="430">
        <v>549.5</v>
      </c>
      <c r="N35" s="430">
        <v>602.8</v>
      </c>
      <c r="O35" s="430">
        <v>654</v>
      </c>
      <c r="P35" s="430">
        <v>789.2</v>
      </c>
      <c r="Q35" s="431">
        <v>903</v>
      </c>
      <c r="R35" s="430">
        <v>64.75</v>
      </c>
      <c r="S35" s="430">
        <v>67.59</v>
      </c>
      <c r="T35" s="430">
        <v>70.66</v>
      </c>
      <c r="U35" s="430">
        <v>72.26</v>
      </c>
      <c r="V35" s="430">
        <v>76.22</v>
      </c>
      <c r="W35" s="430">
        <v>78.85</v>
      </c>
      <c r="X35" s="430">
        <v>79.65</v>
      </c>
      <c r="Y35" s="430">
        <v>86.81</v>
      </c>
      <c r="Z35" s="430">
        <v>86.81</v>
      </c>
      <c r="AA35" s="430">
        <v>98.48</v>
      </c>
      <c r="AB35" s="430">
        <v>98.98</v>
      </c>
      <c r="AC35" s="430">
        <v>97.3</v>
      </c>
      <c r="AD35" s="430">
        <v>136</v>
      </c>
      <c r="AE35" s="430">
        <v>176.6</v>
      </c>
      <c r="AF35" s="431">
        <v>214</v>
      </c>
      <c r="AG35" s="430">
        <v>190.58</v>
      </c>
      <c r="AH35" s="430">
        <v>218.92</v>
      </c>
      <c r="AI35" s="430">
        <v>230.09</v>
      </c>
      <c r="AJ35" s="430">
        <v>258.58</v>
      </c>
      <c r="AK35" s="430">
        <v>274.16</v>
      </c>
      <c r="AL35" s="430">
        <v>310.11</v>
      </c>
      <c r="AM35" s="430">
        <v>310.24</v>
      </c>
      <c r="AN35" s="430">
        <v>351.99</v>
      </c>
      <c r="AO35" s="430">
        <v>380.49</v>
      </c>
      <c r="AP35" s="430">
        <v>394.99</v>
      </c>
      <c r="AQ35" s="430">
        <v>441.35</v>
      </c>
      <c r="AR35" s="430">
        <v>495.97</v>
      </c>
      <c r="AS35" s="430">
        <v>504.7</v>
      </c>
      <c r="AT35" s="432">
        <v>593.7</v>
      </c>
      <c r="AU35" s="431">
        <v>656</v>
      </c>
      <c r="AV35" s="429"/>
      <c r="AW35" s="430"/>
      <c r="AX35" s="430"/>
      <c r="AY35" s="430"/>
      <c r="AZ35" s="430"/>
      <c r="BA35" s="430"/>
      <c r="BB35" s="430"/>
      <c r="BC35" s="430"/>
      <c r="BD35" s="430"/>
      <c r="BE35" s="430"/>
      <c r="BF35" s="430"/>
      <c r="BG35" s="430"/>
      <c r="BH35" s="430"/>
      <c r="BI35" s="432"/>
      <c r="BJ35" s="429"/>
      <c r="BK35" s="429">
        <v>6.76999999999998</v>
      </c>
      <c r="BL35" s="430">
        <v>6.76999999999998</v>
      </c>
      <c r="BM35" s="430">
        <v>7.06</v>
      </c>
      <c r="BN35" s="430">
        <v>7.06</v>
      </c>
      <c r="BO35" s="430">
        <v>9.67</v>
      </c>
      <c r="BP35" s="430">
        <v>9.13</v>
      </c>
      <c r="BQ35" s="430">
        <v>9.53</v>
      </c>
      <c r="BR35" s="430"/>
      <c r="BS35" s="430"/>
      <c r="BT35" s="433"/>
      <c r="BU35" s="430">
        <v>13.4</v>
      </c>
      <c r="BV35" s="430">
        <v>18.9</v>
      </c>
      <c r="BW35" s="434">
        <v>33</v>
      </c>
    </row>
    <row r="36" ht="13.5" customHeight="1"/>
    <row r="37" s="414" customFormat="1" ht="13.5" customHeight="1" spans="1:76">
      <c r="A37" s="416" t="s">
        <v>143</v>
      </c>
      <c r="B37" s="416" t="s">
        <v>144</v>
      </c>
      <c r="C37" s="417">
        <v>1993</v>
      </c>
      <c r="D37" s="418">
        <v>1994</v>
      </c>
      <c r="E37" s="418">
        <v>1995</v>
      </c>
      <c r="F37" s="418">
        <v>1996</v>
      </c>
      <c r="G37" s="418">
        <v>1997</v>
      </c>
      <c r="H37" s="418">
        <v>1998</v>
      </c>
      <c r="I37" s="418">
        <v>1999</v>
      </c>
      <c r="J37" s="418">
        <v>2000</v>
      </c>
      <c r="K37" s="418">
        <v>2001</v>
      </c>
      <c r="L37" s="418">
        <v>2002</v>
      </c>
      <c r="M37" s="418">
        <v>2003</v>
      </c>
      <c r="N37" s="418">
        <v>2004</v>
      </c>
      <c r="O37" s="418">
        <v>2005</v>
      </c>
      <c r="P37" s="418">
        <v>2006</v>
      </c>
      <c r="Q37" s="419">
        <v>2007</v>
      </c>
      <c r="R37" s="418">
        <v>1993</v>
      </c>
      <c r="S37" s="418">
        <v>1994</v>
      </c>
      <c r="T37" s="418">
        <v>1995</v>
      </c>
      <c r="U37" s="418">
        <v>1996</v>
      </c>
      <c r="V37" s="418">
        <v>1997</v>
      </c>
      <c r="W37" s="418">
        <v>1998</v>
      </c>
      <c r="X37" s="418">
        <v>1999</v>
      </c>
      <c r="Y37" s="418">
        <v>2000</v>
      </c>
      <c r="Z37" s="418">
        <v>2001</v>
      </c>
      <c r="AA37" s="418">
        <v>2002</v>
      </c>
      <c r="AB37" s="418">
        <v>2003</v>
      </c>
      <c r="AC37" s="418">
        <v>2004</v>
      </c>
      <c r="AD37" s="418">
        <v>2005</v>
      </c>
      <c r="AE37" s="418">
        <v>2006</v>
      </c>
      <c r="AF37" s="419">
        <v>2007</v>
      </c>
      <c r="AG37" s="418">
        <v>1993</v>
      </c>
      <c r="AH37" s="418">
        <v>1994</v>
      </c>
      <c r="AI37" s="418">
        <v>1995</v>
      </c>
      <c r="AJ37" s="418">
        <v>1996</v>
      </c>
      <c r="AK37" s="418">
        <v>1997</v>
      </c>
      <c r="AL37" s="418">
        <v>1998</v>
      </c>
      <c r="AM37" s="418">
        <v>1999</v>
      </c>
      <c r="AN37" s="418">
        <v>2000</v>
      </c>
      <c r="AO37" s="418">
        <v>2001</v>
      </c>
      <c r="AP37" s="418">
        <v>2002</v>
      </c>
      <c r="AQ37" s="418">
        <v>2003</v>
      </c>
      <c r="AR37" s="418">
        <v>2004</v>
      </c>
      <c r="AS37" s="418">
        <v>2005</v>
      </c>
      <c r="AT37" s="420">
        <v>2006</v>
      </c>
      <c r="AU37" s="417">
        <v>2007</v>
      </c>
      <c r="AV37" s="417">
        <v>1993</v>
      </c>
      <c r="AW37" s="418">
        <v>1994</v>
      </c>
      <c r="AX37" s="418">
        <v>1995</v>
      </c>
      <c r="AY37" s="418">
        <v>1996</v>
      </c>
      <c r="AZ37" s="418">
        <v>1997</v>
      </c>
      <c r="BA37" s="418">
        <v>1998</v>
      </c>
      <c r="BB37" s="418">
        <v>1999</v>
      </c>
      <c r="BC37" s="418">
        <v>2000</v>
      </c>
      <c r="BD37" s="418">
        <v>2001</v>
      </c>
      <c r="BE37" s="418">
        <v>2002</v>
      </c>
      <c r="BF37" s="418">
        <v>2003</v>
      </c>
      <c r="BG37" s="418">
        <v>2004</v>
      </c>
      <c r="BH37" s="418">
        <v>2005</v>
      </c>
      <c r="BI37" s="418">
        <v>2006</v>
      </c>
      <c r="BJ37" s="418">
        <v>2007</v>
      </c>
      <c r="BK37" s="417">
        <v>1998</v>
      </c>
      <c r="BL37" s="418">
        <v>1999</v>
      </c>
      <c r="BM37" s="418">
        <v>2000</v>
      </c>
      <c r="BN37" s="418">
        <v>2001</v>
      </c>
      <c r="BO37" s="418">
        <v>2002</v>
      </c>
      <c r="BP37" s="418">
        <v>2003</v>
      </c>
      <c r="BQ37" s="418">
        <v>2004</v>
      </c>
      <c r="BR37" s="418">
        <v>2005</v>
      </c>
      <c r="BS37" s="418">
        <v>2006</v>
      </c>
      <c r="BT37" s="418">
        <v>2007</v>
      </c>
      <c r="BU37" s="417">
        <v>2005</v>
      </c>
      <c r="BV37" s="418">
        <v>2006</v>
      </c>
      <c r="BW37" s="420">
        <v>2007</v>
      </c>
      <c r="BX37" s="435"/>
    </row>
    <row r="38" s="414" customFormat="1" ht="13.5" customHeight="1" spans="1:76">
      <c r="A38" s="416"/>
      <c r="B38" s="416"/>
      <c r="C38" s="421" t="s">
        <v>145</v>
      </c>
      <c r="D38" s="422" t="s">
        <v>145</v>
      </c>
      <c r="E38" s="422" t="s">
        <v>145</v>
      </c>
      <c r="F38" s="422" t="s">
        <v>145</v>
      </c>
      <c r="G38" s="422" t="s">
        <v>145</v>
      </c>
      <c r="H38" s="422" t="s">
        <v>145</v>
      </c>
      <c r="I38" s="422" t="s">
        <v>145</v>
      </c>
      <c r="J38" s="422" t="s">
        <v>145</v>
      </c>
      <c r="K38" s="422" t="s">
        <v>145</v>
      </c>
      <c r="L38" s="422" t="s">
        <v>145</v>
      </c>
      <c r="M38" s="422" t="s">
        <v>145</v>
      </c>
      <c r="N38" s="422" t="s">
        <v>145</v>
      </c>
      <c r="O38" s="422" t="s">
        <v>145</v>
      </c>
      <c r="P38" s="422" t="s">
        <v>145</v>
      </c>
      <c r="Q38" s="423" t="s">
        <v>152</v>
      </c>
      <c r="R38" s="422" t="s">
        <v>146</v>
      </c>
      <c r="S38" s="422" t="s">
        <v>146</v>
      </c>
      <c r="T38" s="422" t="s">
        <v>146</v>
      </c>
      <c r="U38" s="422" t="s">
        <v>146</v>
      </c>
      <c r="V38" s="422" t="s">
        <v>146</v>
      </c>
      <c r="W38" s="422" t="s">
        <v>146</v>
      </c>
      <c r="X38" s="422" t="s">
        <v>146</v>
      </c>
      <c r="Y38" s="422" t="s">
        <v>146</v>
      </c>
      <c r="Z38" s="422" t="s">
        <v>146</v>
      </c>
      <c r="AA38" s="422" t="s">
        <v>146</v>
      </c>
      <c r="AB38" s="422" t="s">
        <v>146</v>
      </c>
      <c r="AC38" s="422" t="s">
        <v>146</v>
      </c>
      <c r="AD38" s="422" t="s">
        <v>146</v>
      </c>
      <c r="AE38" s="422" t="s">
        <v>146</v>
      </c>
      <c r="AF38" s="423" t="s">
        <v>146</v>
      </c>
      <c r="AG38" s="422" t="s">
        <v>147</v>
      </c>
      <c r="AH38" s="422" t="s">
        <v>147</v>
      </c>
      <c r="AI38" s="422" t="s">
        <v>147</v>
      </c>
      <c r="AJ38" s="422" t="s">
        <v>147</v>
      </c>
      <c r="AK38" s="422" t="s">
        <v>147</v>
      </c>
      <c r="AL38" s="422" t="s">
        <v>147</v>
      </c>
      <c r="AM38" s="422" t="s">
        <v>147</v>
      </c>
      <c r="AN38" s="422" t="s">
        <v>147</v>
      </c>
      <c r="AO38" s="422" t="s">
        <v>147</v>
      </c>
      <c r="AP38" s="422" t="s">
        <v>147</v>
      </c>
      <c r="AQ38" s="422" t="s">
        <v>147</v>
      </c>
      <c r="AR38" s="422" t="s">
        <v>147</v>
      </c>
      <c r="AS38" s="422" t="s">
        <v>147</v>
      </c>
      <c r="AT38" s="424" t="s">
        <v>147</v>
      </c>
      <c r="AU38" s="421" t="s">
        <v>147</v>
      </c>
      <c r="AV38" s="421" t="s">
        <v>148</v>
      </c>
      <c r="AW38" s="422" t="s">
        <v>148</v>
      </c>
      <c r="AX38" s="422" t="s">
        <v>148</v>
      </c>
      <c r="AY38" s="422" t="s">
        <v>148</v>
      </c>
      <c r="AZ38" s="422" t="s">
        <v>148</v>
      </c>
      <c r="BA38" s="422" t="s">
        <v>148</v>
      </c>
      <c r="BB38" s="422" t="s">
        <v>148</v>
      </c>
      <c r="BC38" s="422" t="s">
        <v>148</v>
      </c>
      <c r="BD38" s="422" t="s">
        <v>148</v>
      </c>
      <c r="BE38" s="422" t="s">
        <v>148</v>
      </c>
      <c r="BF38" s="422" t="s">
        <v>148</v>
      </c>
      <c r="BG38" s="422" t="s">
        <v>148</v>
      </c>
      <c r="BH38" s="422" t="s">
        <v>148</v>
      </c>
      <c r="BI38" s="422" t="s">
        <v>148</v>
      </c>
      <c r="BJ38" s="422" t="s">
        <v>148</v>
      </c>
      <c r="BK38" s="421" t="s">
        <v>149</v>
      </c>
      <c r="BL38" s="422" t="s">
        <v>149</v>
      </c>
      <c r="BM38" s="422" t="s">
        <v>149</v>
      </c>
      <c r="BN38" s="422" t="s">
        <v>149</v>
      </c>
      <c r="BO38" s="422" t="s">
        <v>149</v>
      </c>
      <c r="BP38" s="422" t="s">
        <v>149</v>
      </c>
      <c r="BQ38" s="422" t="s">
        <v>149</v>
      </c>
      <c r="BR38" s="422" t="s">
        <v>149</v>
      </c>
      <c r="BS38" s="422" t="s">
        <v>149</v>
      </c>
      <c r="BT38" s="422" t="s">
        <v>149</v>
      </c>
      <c r="BU38" s="421" t="s">
        <v>150</v>
      </c>
      <c r="BV38" s="422" t="s">
        <v>150</v>
      </c>
      <c r="BW38" s="424" t="s">
        <v>150</v>
      </c>
      <c r="BX38" s="435"/>
    </row>
    <row r="39" s="415" customFormat="1" spans="1:76">
      <c r="A39" s="194" t="s">
        <v>153</v>
      </c>
      <c r="B39" s="22" t="s">
        <v>80</v>
      </c>
      <c r="C39" s="425">
        <v>1499.22</v>
      </c>
      <c r="D39" s="26">
        <v>1643.71</v>
      </c>
      <c r="E39" s="26">
        <v>1528.96</v>
      </c>
      <c r="F39" s="26">
        <v>1682.42</v>
      </c>
      <c r="G39" s="26">
        <v>1490.09</v>
      </c>
      <c r="H39" s="26">
        <v>1999.55</v>
      </c>
      <c r="I39" s="26">
        <v>2052.3</v>
      </c>
      <c r="J39" s="26">
        <v>2012.04</v>
      </c>
      <c r="K39" s="26">
        <v>1586.87</v>
      </c>
      <c r="L39" s="26">
        <v>1193.01</v>
      </c>
      <c r="M39" s="26"/>
      <c r="N39" s="26">
        <v>5322.54</v>
      </c>
      <c r="O39" s="26">
        <v>7128.6</v>
      </c>
      <c r="P39" s="26">
        <v>10424</v>
      </c>
      <c r="Q39" s="426">
        <v>10190</v>
      </c>
      <c r="R39" s="26">
        <v>368.42</v>
      </c>
      <c r="S39" s="26">
        <v>397.15</v>
      </c>
      <c r="T39" s="26">
        <v>257.3</v>
      </c>
      <c r="U39" s="26">
        <v>269.35</v>
      </c>
      <c r="V39" s="26">
        <v>340.33</v>
      </c>
      <c r="W39" s="26">
        <v>450.24</v>
      </c>
      <c r="X39" s="26">
        <v>628.66</v>
      </c>
      <c r="Y39" s="26">
        <v>452.41</v>
      </c>
      <c r="Z39" s="26">
        <v>289.55</v>
      </c>
      <c r="AA39" s="26">
        <v>148.22</v>
      </c>
      <c r="AB39" s="26"/>
      <c r="AC39" s="26">
        <v>1150.08</v>
      </c>
      <c r="AD39" s="26">
        <v>1226.89</v>
      </c>
      <c r="AE39" s="26">
        <v>1100</v>
      </c>
      <c r="AF39" s="426">
        <v>1307</v>
      </c>
      <c r="AG39" s="26">
        <v>1130.8</v>
      </c>
      <c r="AH39" s="26">
        <v>1036.56</v>
      </c>
      <c r="AI39" s="26">
        <v>1271.66</v>
      </c>
      <c r="AJ39" s="26">
        <v>1413.07</v>
      </c>
      <c r="AK39" s="26">
        <v>1149.76</v>
      </c>
      <c r="AL39" s="26">
        <v>1549.31</v>
      </c>
      <c r="AM39" s="26">
        <v>1423.64</v>
      </c>
      <c r="AN39" s="26">
        <v>1559.63</v>
      </c>
      <c r="AO39" s="26">
        <v>1297.32</v>
      </c>
      <c r="AP39" s="26">
        <v>1044.79</v>
      </c>
      <c r="AQ39" s="26"/>
      <c r="AR39" s="26">
        <v>4026.49</v>
      </c>
      <c r="AS39" s="26">
        <v>5774.24</v>
      </c>
      <c r="AT39" s="427">
        <v>9207</v>
      </c>
      <c r="AU39" s="425">
        <v>8360</v>
      </c>
      <c r="AV39" s="425"/>
      <c r="AW39" s="24">
        <v>210</v>
      </c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>
        <v>200</v>
      </c>
      <c r="BK39" s="436"/>
      <c r="BL39" s="437"/>
      <c r="BM39" s="437"/>
      <c r="BN39" s="437"/>
      <c r="BO39" s="437"/>
      <c r="BP39" s="437"/>
      <c r="BQ39" s="437"/>
      <c r="BR39" s="437"/>
      <c r="BS39" s="437">
        <v>6</v>
      </c>
      <c r="BT39" s="438">
        <v>18</v>
      </c>
      <c r="BU39" s="436"/>
      <c r="BV39" s="437">
        <v>110</v>
      </c>
      <c r="BW39" s="439">
        <v>304</v>
      </c>
      <c r="BX39" s="438"/>
    </row>
    <row r="40" s="415" customFormat="1" spans="1:76">
      <c r="A40" s="198"/>
      <c r="B40" s="22" t="s">
        <v>82</v>
      </c>
      <c r="C40" s="425"/>
      <c r="D40" s="26"/>
      <c r="E40" s="26">
        <v>40</v>
      </c>
      <c r="F40" s="26">
        <v>40</v>
      </c>
      <c r="G40" s="26">
        <v>20</v>
      </c>
      <c r="H40" s="26">
        <v>46.5</v>
      </c>
      <c r="I40" s="26">
        <v>18.5</v>
      </c>
      <c r="J40" s="26"/>
      <c r="K40" s="26"/>
      <c r="L40" s="26"/>
      <c r="M40" s="26"/>
      <c r="N40" s="26"/>
      <c r="O40" s="26">
        <v>56</v>
      </c>
      <c r="P40" s="26"/>
      <c r="Q40" s="426"/>
      <c r="R40" s="26"/>
      <c r="S40" s="26"/>
      <c r="T40" s="26">
        <v>20</v>
      </c>
      <c r="U40" s="26">
        <v>40</v>
      </c>
      <c r="V40" s="26">
        <v>20</v>
      </c>
      <c r="W40" s="26"/>
      <c r="X40" s="26"/>
      <c r="Y40" s="26"/>
      <c r="Z40" s="26"/>
      <c r="AA40" s="26"/>
      <c r="AB40" s="26"/>
      <c r="AC40" s="26"/>
      <c r="AD40" s="26"/>
      <c r="AE40" s="26"/>
      <c r="AF40" s="426"/>
      <c r="AG40" s="26"/>
      <c r="AH40" s="26"/>
      <c r="AI40" s="26">
        <v>20</v>
      </c>
      <c r="AJ40" s="26"/>
      <c r="AK40" s="26"/>
      <c r="AL40" s="26">
        <v>46.5</v>
      </c>
      <c r="AM40" s="26">
        <v>18.5</v>
      </c>
      <c r="AN40" s="26"/>
      <c r="AO40" s="26"/>
      <c r="AP40" s="26"/>
      <c r="AQ40" s="26"/>
      <c r="AR40" s="26"/>
      <c r="AS40" s="26">
        <v>56</v>
      </c>
      <c r="AT40" s="427"/>
      <c r="AU40" s="425"/>
      <c r="AV40" s="425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436"/>
      <c r="BL40" s="437"/>
      <c r="BM40" s="437"/>
      <c r="BN40" s="437"/>
      <c r="BO40" s="437"/>
      <c r="BP40" s="437"/>
      <c r="BQ40" s="437"/>
      <c r="BR40" s="437"/>
      <c r="BS40" s="437"/>
      <c r="BT40" s="438"/>
      <c r="BU40" s="436"/>
      <c r="BV40" s="437"/>
      <c r="BW40" s="439"/>
      <c r="BX40" s="438"/>
    </row>
    <row r="41" s="415" customFormat="1" spans="1:76">
      <c r="A41" s="198"/>
      <c r="B41" s="22" t="s">
        <v>84</v>
      </c>
      <c r="C41" s="425">
        <v>25</v>
      </c>
      <c r="D41" s="26">
        <v>2.5</v>
      </c>
      <c r="E41" s="26">
        <v>52.5</v>
      </c>
      <c r="F41" s="26">
        <v>50</v>
      </c>
      <c r="G41" s="26"/>
      <c r="H41" s="26">
        <v>30</v>
      </c>
      <c r="I41" s="26">
        <v>30</v>
      </c>
      <c r="J41" s="26"/>
      <c r="K41" s="26">
        <v>60</v>
      </c>
      <c r="L41" s="26">
        <v>60</v>
      </c>
      <c r="M41" s="26"/>
      <c r="N41" s="26"/>
      <c r="O41" s="26">
        <v>40.4</v>
      </c>
      <c r="P41" s="26">
        <v>30</v>
      </c>
      <c r="Q41" s="426">
        <v>30</v>
      </c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426"/>
      <c r="AG41" s="26">
        <v>25</v>
      </c>
      <c r="AH41" s="26">
        <v>2.5</v>
      </c>
      <c r="AI41" s="26">
        <v>52.5</v>
      </c>
      <c r="AJ41" s="26">
        <v>50</v>
      </c>
      <c r="AK41" s="26"/>
      <c r="AL41" s="26">
        <v>30</v>
      </c>
      <c r="AM41" s="26">
        <v>30</v>
      </c>
      <c r="AN41" s="26"/>
      <c r="AO41" s="26">
        <v>60</v>
      </c>
      <c r="AP41" s="26">
        <v>60</v>
      </c>
      <c r="AQ41" s="26"/>
      <c r="AR41" s="26"/>
      <c r="AS41" s="26">
        <v>38</v>
      </c>
      <c r="AT41" s="427">
        <v>30</v>
      </c>
      <c r="AU41" s="425">
        <v>30</v>
      </c>
      <c r="AV41" s="425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436"/>
      <c r="BL41" s="437"/>
      <c r="BM41" s="437"/>
      <c r="BN41" s="437"/>
      <c r="BO41" s="437"/>
      <c r="BP41" s="437"/>
      <c r="BQ41" s="437"/>
      <c r="BR41" s="437"/>
      <c r="BS41" s="437"/>
      <c r="BT41" s="438"/>
      <c r="BU41" s="436"/>
      <c r="BV41" s="437"/>
      <c r="BW41" s="439"/>
      <c r="BX41" s="438"/>
    </row>
    <row r="42" s="415" customFormat="1" spans="1:76">
      <c r="A42" s="198"/>
      <c r="B42" s="22" t="s">
        <v>86</v>
      </c>
      <c r="C42" s="425">
        <v>62.5</v>
      </c>
      <c r="D42" s="26">
        <v>62.5</v>
      </c>
      <c r="E42" s="26">
        <v>90</v>
      </c>
      <c r="F42" s="26">
        <v>60</v>
      </c>
      <c r="G42" s="26">
        <v>60</v>
      </c>
      <c r="H42" s="26">
        <v>30</v>
      </c>
      <c r="I42" s="26">
        <v>125</v>
      </c>
      <c r="J42" s="26">
        <v>131</v>
      </c>
      <c r="K42" s="26">
        <v>101.38</v>
      </c>
      <c r="L42" s="26"/>
      <c r="M42" s="26"/>
      <c r="N42" s="26">
        <v>269.98</v>
      </c>
      <c r="O42" s="26">
        <v>250.2</v>
      </c>
      <c r="P42" s="26">
        <v>386</v>
      </c>
      <c r="Q42" s="426">
        <v>395</v>
      </c>
      <c r="R42" s="26"/>
      <c r="S42" s="26"/>
      <c r="T42" s="26"/>
      <c r="U42" s="26"/>
      <c r="V42" s="26"/>
      <c r="W42" s="26"/>
      <c r="X42" s="26"/>
      <c r="Y42" s="26"/>
      <c r="Z42" s="26">
        <v>5.38</v>
      </c>
      <c r="AA42" s="26"/>
      <c r="AB42" s="26"/>
      <c r="AC42" s="26">
        <v>0.88</v>
      </c>
      <c r="AD42" s="26"/>
      <c r="AE42" s="26">
        <v>19</v>
      </c>
      <c r="AF42" s="426"/>
      <c r="AG42" s="26">
        <v>62.5</v>
      </c>
      <c r="AH42" s="26">
        <v>62.5</v>
      </c>
      <c r="AI42" s="26">
        <v>90</v>
      </c>
      <c r="AJ42" s="26">
        <v>60</v>
      </c>
      <c r="AK42" s="26">
        <v>60</v>
      </c>
      <c r="AL42" s="26">
        <v>30</v>
      </c>
      <c r="AM42" s="26">
        <v>125</v>
      </c>
      <c r="AN42" s="26">
        <v>131</v>
      </c>
      <c r="AO42" s="26">
        <v>96</v>
      </c>
      <c r="AP42" s="26"/>
      <c r="AQ42" s="26"/>
      <c r="AR42" s="26">
        <v>269.1</v>
      </c>
      <c r="AS42" s="26">
        <v>241.9</v>
      </c>
      <c r="AT42" s="427">
        <v>352</v>
      </c>
      <c r="AU42" s="425">
        <v>382</v>
      </c>
      <c r="AV42" s="425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436"/>
      <c r="BL42" s="437"/>
      <c r="BM42" s="437"/>
      <c r="BN42" s="437"/>
      <c r="BO42" s="437"/>
      <c r="BP42" s="437"/>
      <c r="BQ42" s="437"/>
      <c r="BR42" s="437"/>
      <c r="BS42" s="437">
        <v>1</v>
      </c>
      <c r="BT42" s="438">
        <v>5</v>
      </c>
      <c r="BU42" s="436"/>
      <c r="BV42" s="437">
        <v>14</v>
      </c>
      <c r="BW42" s="439">
        <v>8</v>
      </c>
      <c r="BX42" s="438"/>
    </row>
    <row r="43" s="415" customFormat="1" spans="1:76">
      <c r="A43" s="198"/>
      <c r="B43" s="22" t="s">
        <v>88</v>
      </c>
      <c r="C43" s="425">
        <v>80</v>
      </c>
      <c r="D43" s="26">
        <v>40</v>
      </c>
      <c r="E43" s="26">
        <v>10</v>
      </c>
      <c r="F43" s="26">
        <v>40</v>
      </c>
      <c r="G43" s="26">
        <v>30</v>
      </c>
      <c r="H43" s="26">
        <v>60</v>
      </c>
      <c r="I43" s="26">
        <v>60</v>
      </c>
      <c r="J43" s="26">
        <v>70</v>
      </c>
      <c r="K43" s="26">
        <v>147.5</v>
      </c>
      <c r="L43" s="26">
        <v>75</v>
      </c>
      <c r="M43" s="26"/>
      <c r="N43" s="26">
        <v>295</v>
      </c>
      <c r="O43" s="26">
        <v>488.55</v>
      </c>
      <c r="P43" s="26">
        <v>386</v>
      </c>
      <c r="Q43" s="426">
        <v>376</v>
      </c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426"/>
      <c r="AG43" s="26">
        <v>80</v>
      </c>
      <c r="AH43" s="26">
        <v>40</v>
      </c>
      <c r="AI43" s="26">
        <v>10</v>
      </c>
      <c r="AJ43" s="26">
        <v>40</v>
      </c>
      <c r="AK43" s="26">
        <v>30</v>
      </c>
      <c r="AL43" s="26">
        <v>60</v>
      </c>
      <c r="AM43" s="26">
        <v>60</v>
      </c>
      <c r="AN43" s="26">
        <v>70</v>
      </c>
      <c r="AO43" s="26">
        <v>147.5</v>
      </c>
      <c r="AP43" s="26">
        <v>75</v>
      </c>
      <c r="AQ43" s="26"/>
      <c r="AR43" s="26">
        <v>295</v>
      </c>
      <c r="AS43" s="26">
        <v>486.15</v>
      </c>
      <c r="AT43" s="427">
        <v>386</v>
      </c>
      <c r="AU43" s="425">
        <v>376</v>
      </c>
      <c r="AV43" s="425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436"/>
      <c r="BL43" s="437"/>
      <c r="BM43" s="437"/>
      <c r="BN43" s="437"/>
      <c r="BO43" s="437"/>
      <c r="BP43" s="437"/>
      <c r="BQ43" s="437"/>
      <c r="BR43" s="437"/>
      <c r="BS43" s="437"/>
      <c r="BT43" s="438"/>
      <c r="BU43" s="436"/>
      <c r="BV43" s="437"/>
      <c r="BW43" s="439"/>
      <c r="BX43" s="438"/>
    </row>
    <row r="44" s="415" customFormat="1" spans="1:76">
      <c r="A44" s="198"/>
      <c r="B44" s="22" t="s">
        <v>90</v>
      </c>
      <c r="C44" s="425">
        <v>57.4</v>
      </c>
      <c r="D44" s="26">
        <v>22.5</v>
      </c>
      <c r="E44" s="26">
        <v>73</v>
      </c>
      <c r="F44" s="26">
        <v>33</v>
      </c>
      <c r="G44" s="26">
        <v>2.4</v>
      </c>
      <c r="H44" s="26">
        <v>144.15</v>
      </c>
      <c r="I44" s="26">
        <v>83</v>
      </c>
      <c r="J44" s="26">
        <v>0.53</v>
      </c>
      <c r="K44" s="26">
        <v>21.74</v>
      </c>
      <c r="L44" s="26">
        <v>127.2</v>
      </c>
      <c r="M44" s="26"/>
      <c r="N44" s="26">
        <v>236.36</v>
      </c>
      <c r="O44" s="26">
        <v>502.59</v>
      </c>
      <c r="P44" s="26">
        <v>1004</v>
      </c>
      <c r="Q44" s="426">
        <v>1055</v>
      </c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426"/>
      <c r="AG44" s="26">
        <v>57.4</v>
      </c>
      <c r="AH44" s="26">
        <v>22.5</v>
      </c>
      <c r="AI44" s="26">
        <v>73</v>
      </c>
      <c r="AJ44" s="26">
        <v>33</v>
      </c>
      <c r="AK44" s="26">
        <v>2.4</v>
      </c>
      <c r="AL44" s="26">
        <v>144.15</v>
      </c>
      <c r="AM44" s="26">
        <v>83</v>
      </c>
      <c r="AN44" s="26">
        <v>0.53</v>
      </c>
      <c r="AO44" s="26">
        <v>21.74</v>
      </c>
      <c r="AP44" s="26">
        <v>127.2</v>
      </c>
      <c r="AQ44" s="26"/>
      <c r="AR44" s="26">
        <v>229.7</v>
      </c>
      <c r="AS44" s="26">
        <v>492.1</v>
      </c>
      <c r="AT44" s="427">
        <v>971</v>
      </c>
      <c r="AU44" s="425">
        <v>960</v>
      </c>
      <c r="AV44" s="425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436"/>
      <c r="BL44" s="437"/>
      <c r="BM44" s="437"/>
      <c r="BN44" s="437"/>
      <c r="BO44" s="437"/>
      <c r="BP44" s="437"/>
      <c r="BQ44" s="437"/>
      <c r="BR44" s="437"/>
      <c r="BS44" s="437"/>
      <c r="BT44" s="438"/>
      <c r="BU44" s="436"/>
      <c r="BV44" s="437">
        <v>32</v>
      </c>
      <c r="BW44" s="439">
        <v>95</v>
      </c>
      <c r="BX44" s="438"/>
    </row>
    <row r="45" s="415" customFormat="1" spans="1:76">
      <c r="A45" s="198"/>
      <c r="B45" s="22" t="s">
        <v>92</v>
      </c>
      <c r="C45" s="425">
        <v>71.85</v>
      </c>
      <c r="D45" s="26">
        <v>45.2</v>
      </c>
      <c r="E45" s="26">
        <v>7.2</v>
      </c>
      <c r="F45" s="26">
        <v>100</v>
      </c>
      <c r="G45" s="26">
        <v>1.2</v>
      </c>
      <c r="H45" s="26">
        <v>146.2</v>
      </c>
      <c r="I45" s="26">
        <v>2.5</v>
      </c>
      <c r="J45" s="26">
        <v>169.2</v>
      </c>
      <c r="K45" s="26">
        <v>12.67</v>
      </c>
      <c r="L45" s="26">
        <v>8.55</v>
      </c>
      <c r="M45" s="26"/>
      <c r="N45" s="26">
        <v>3.6</v>
      </c>
      <c r="O45" s="26">
        <v>100.7</v>
      </c>
      <c r="P45" s="26">
        <v>81</v>
      </c>
      <c r="Q45" s="426">
        <v>386</v>
      </c>
      <c r="R45" s="26"/>
      <c r="S45" s="26"/>
      <c r="T45" s="26"/>
      <c r="U45" s="26"/>
      <c r="V45" s="26"/>
      <c r="W45" s="26"/>
      <c r="X45" s="26"/>
      <c r="Y45" s="26"/>
      <c r="Z45" s="26">
        <v>0.24</v>
      </c>
      <c r="AA45" s="26"/>
      <c r="AB45" s="26"/>
      <c r="AC45" s="26"/>
      <c r="AD45" s="26"/>
      <c r="AE45" s="26"/>
      <c r="AF45" s="426"/>
      <c r="AG45" s="26">
        <v>71.85</v>
      </c>
      <c r="AH45" s="26">
        <v>45.2</v>
      </c>
      <c r="AI45" s="26">
        <v>7.2</v>
      </c>
      <c r="AJ45" s="26">
        <v>100</v>
      </c>
      <c r="AK45" s="26">
        <v>1.2</v>
      </c>
      <c r="AL45" s="26">
        <v>146.2</v>
      </c>
      <c r="AM45" s="26">
        <v>2.5</v>
      </c>
      <c r="AN45" s="26">
        <v>169.2</v>
      </c>
      <c r="AO45" s="26">
        <v>12.43</v>
      </c>
      <c r="AP45" s="26">
        <v>8.55</v>
      </c>
      <c r="AQ45" s="26"/>
      <c r="AR45" s="26">
        <v>3.6</v>
      </c>
      <c r="AS45" s="26">
        <v>100.7</v>
      </c>
      <c r="AT45" s="427">
        <v>70</v>
      </c>
      <c r="AU45" s="425">
        <v>364</v>
      </c>
      <c r="AV45" s="425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436"/>
      <c r="BL45" s="437"/>
      <c r="BM45" s="437"/>
      <c r="BN45" s="437"/>
      <c r="BO45" s="437"/>
      <c r="BP45" s="437"/>
      <c r="BQ45" s="437"/>
      <c r="BR45" s="437"/>
      <c r="BS45" s="437"/>
      <c r="BT45" s="438"/>
      <c r="BU45" s="436"/>
      <c r="BV45" s="437">
        <v>11</v>
      </c>
      <c r="BW45" s="439">
        <v>22</v>
      </c>
      <c r="BX45" s="438"/>
    </row>
    <row r="46" s="415" customFormat="1" spans="1:76">
      <c r="A46" s="198"/>
      <c r="B46" s="22" t="s">
        <v>94</v>
      </c>
      <c r="C46" s="425">
        <v>5</v>
      </c>
      <c r="D46" s="26">
        <v>30</v>
      </c>
      <c r="E46" s="26">
        <v>32.5</v>
      </c>
      <c r="F46" s="26"/>
      <c r="G46" s="26">
        <v>47</v>
      </c>
      <c r="H46" s="26">
        <v>32</v>
      </c>
      <c r="I46" s="26">
        <v>17.73</v>
      </c>
      <c r="J46" s="26">
        <v>74.28</v>
      </c>
      <c r="K46" s="26">
        <v>8.2</v>
      </c>
      <c r="L46" s="26"/>
      <c r="M46" s="26"/>
      <c r="N46" s="26">
        <v>8.2</v>
      </c>
      <c r="O46" s="26">
        <v>117.08</v>
      </c>
      <c r="P46" s="26">
        <v>93</v>
      </c>
      <c r="Q46" s="426">
        <v>179</v>
      </c>
      <c r="R46" s="26"/>
      <c r="S46" s="26"/>
      <c r="T46" s="26"/>
      <c r="U46" s="26"/>
      <c r="V46" s="26">
        <v>22</v>
      </c>
      <c r="W46" s="26">
        <v>22</v>
      </c>
      <c r="X46" s="26">
        <v>2</v>
      </c>
      <c r="Y46" s="26">
        <v>2</v>
      </c>
      <c r="Z46" s="26">
        <v>2</v>
      </c>
      <c r="AA46" s="26"/>
      <c r="AB46" s="26"/>
      <c r="AC46" s="26">
        <v>2</v>
      </c>
      <c r="AD46" s="26">
        <v>37</v>
      </c>
      <c r="AE46" s="26">
        <v>15</v>
      </c>
      <c r="AF46" s="426">
        <v>1</v>
      </c>
      <c r="AG46" s="26">
        <v>5</v>
      </c>
      <c r="AH46" s="26">
        <v>30</v>
      </c>
      <c r="AI46" s="26">
        <v>32.5</v>
      </c>
      <c r="AJ46" s="26"/>
      <c r="AK46" s="26">
        <v>25</v>
      </c>
      <c r="AL46" s="26">
        <v>10</v>
      </c>
      <c r="AM46" s="26">
        <v>15.73</v>
      </c>
      <c r="AN46" s="26">
        <v>72.28</v>
      </c>
      <c r="AO46" s="26">
        <v>6.2</v>
      </c>
      <c r="AP46" s="26"/>
      <c r="AQ46" s="26"/>
      <c r="AR46" s="26">
        <v>1.2</v>
      </c>
      <c r="AS46" s="26">
        <v>68.2</v>
      </c>
      <c r="AT46" s="427">
        <v>69</v>
      </c>
      <c r="AU46" s="425">
        <v>123</v>
      </c>
      <c r="AV46" s="425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436"/>
      <c r="BL46" s="437"/>
      <c r="BM46" s="437"/>
      <c r="BN46" s="437"/>
      <c r="BO46" s="437"/>
      <c r="BP46" s="437"/>
      <c r="BQ46" s="437"/>
      <c r="BR46" s="437"/>
      <c r="BS46" s="437"/>
      <c r="BT46" s="438"/>
      <c r="BU46" s="436"/>
      <c r="BV46" s="437">
        <v>9</v>
      </c>
      <c r="BW46" s="439">
        <v>55</v>
      </c>
      <c r="BX46" s="438"/>
    </row>
    <row r="47" s="415" customFormat="1" spans="1:76">
      <c r="A47" s="198"/>
      <c r="B47" s="22" t="s">
        <v>96</v>
      </c>
      <c r="C47" s="425">
        <v>30.05</v>
      </c>
      <c r="D47" s="26">
        <v>4.9</v>
      </c>
      <c r="E47" s="26">
        <v>11.2</v>
      </c>
      <c r="F47" s="26">
        <v>85.75</v>
      </c>
      <c r="G47" s="26">
        <v>57.3</v>
      </c>
      <c r="H47" s="26">
        <v>46.45</v>
      </c>
      <c r="I47" s="26">
        <v>104.2</v>
      </c>
      <c r="J47" s="26"/>
      <c r="K47" s="26">
        <v>38.3</v>
      </c>
      <c r="L47" s="26">
        <v>36.2</v>
      </c>
      <c r="M47" s="26"/>
      <c r="N47" s="26">
        <v>5.83</v>
      </c>
      <c r="O47" s="26">
        <v>45.68</v>
      </c>
      <c r="P47" s="26">
        <v>114</v>
      </c>
      <c r="Q47" s="426">
        <v>212</v>
      </c>
      <c r="R47" s="26"/>
      <c r="S47" s="26"/>
      <c r="T47" s="26"/>
      <c r="U47" s="26">
        <v>13.75</v>
      </c>
      <c r="V47" s="26">
        <v>27.5</v>
      </c>
      <c r="W47" s="26">
        <v>13.75</v>
      </c>
      <c r="X47" s="26">
        <v>3</v>
      </c>
      <c r="Y47" s="26"/>
      <c r="Z47" s="26"/>
      <c r="AA47" s="26"/>
      <c r="AB47" s="26"/>
      <c r="AC47" s="26">
        <v>3.4</v>
      </c>
      <c r="AD47" s="26">
        <v>0.65</v>
      </c>
      <c r="AE47" s="26"/>
      <c r="AF47" s="426">
        <v>1</v>
      </c>
      <c r="AG47" s="26">
        <v>30.05</v>
      </c>
      <c r="AH47" s="26">
        <v>4.9</v>
      </c>
      <c r="AI47" s="26">
        <v>11.2</v>
      </c>
      <c r="AJ47" s="26">
        <v>72</v>
      </c>
      <c r="AK47" s="26">
        <v>29.8</v>
      </c>
      <c r="AL47" s="26">
        <v>32.7</v>
      </c>
      <c r="AM47" s="26">
        <v>101.2</v>
      </c>
      <c r="AN47" s="26"/>
      <c r="AO47" s="26">
        <v>38.3</v>
      </c>
      <c r="AP47" s="26">
        <v>36.2</v>
      </c>
      <c r="AQ47" s="26"/>
      <c r="AR47" s="26"/>
      <c r="AS47" s="26">
        <v>41.4</v>
      </c>
      <c r="AT47" s="427">
        <v>111</v>
      </c>
      <c r="AU47" s="425">
        <v>186</v>
      </c>
      <c r="AV47" s="425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436"/>
      <c r="BL47" s="437"/>
      <c r="BM47" s="437"/>
      <c r="BN47" s="437"/>
      <c r="BO47" s="437"/>
      <c r="BP47" s="437"/>
      <c r="BQ47" s="437"/>
      <c r="BR47" s="437"/>
      <c r="BS47" s="437"/>
      <c r="BT47" s="438">
        <v>2</v>
      </c>
      <c r="BU47" s="436"/>
      <c r="BV47" s="437">
        <v>4</v>
      </c>
      <c r="BW47" s="439">
        <v>24</v>
      </c>
      <c r="BX47" s="438"/>
    </row>
    <row r="48" s="415" customFormat="1" spans="1:76">
      <c r="A48" s="198"/>
      <c r="B48" s="22" t="s">
        <v>98</v>
      </c>
      <c r="C48" s="425">
        <v>11.2</v>
      </c>
      <c r="D48" s="26"/>
      <c r="E48" s="26">
        <v>60</v>
      </c>
      <c r="F48" s="26">
        <v>30</v>
      </c>
      <c r="G48" s="26">
        <v>30</v>
      </c>
      <c r="H48" s="26">
        <v>2.4</v>
      </c>
      <c r="I48" s="26">
        <v>35</v>
      </c>
      <c r="J48" s="26">
        <v>60</v>
      </c>
      <c r="K48" s="26">
        <v>60</v>
      </c>
      <c r="L48" s="26"/>
      <c r="M48" s="26"/>
      <c r="N48" s="26">
        <v>180</v>
      </c>
      <c r="O48" s="26">
        <v>139.7</v>
      </c>
      <c r="P48" s="26">
        <v>138</v>
      </c>
      <c r="Q48" s="426">
        <v>2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426"/>
      <c r="AG48" s="26">
        <v>11.2</v>
      </c>
      <c r="AH48" s="26"/>
      <c r="AI48" s="26">
        <v>60</v>
      </c>
      <c r="AJ48" s="26">
        <v>30</v>
      </c>
      <c r="AK48" s="26">
        <v>30</v>
      </c>
      <c r="AL48" s="26">
        <v>2.4</v>
      </c>
      <c r="AM48" s="26">
        <v>35</v>
      </c>
      <c r="AN48" s="26">
        <v>60</v>
      </c>
      <c r="AO48" s="26">
        <v>60</v>
      </c>
      <c r="AP48" s="26"/>
      <c r="AQ48" s="26"/>
      <c r="AR48" s="26">
        <v>180</v>
      </c>
      <c r="AS48" s="26">
        <v>137.6</v>
      </c>
      <c r="AT48" s="427">
        <v>138</v>
      </c>
      <c r="AU48" s="425">
        <v>2</v>
      </c>
      <c r="AV48" s="425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436"/>
      <c r="BL48" s="437"/>
      <c r="BM48" s="437"/>
      <c r="BN48" s="437"/>
      <c r="BO48" s="437"/>
      <c r="BP48" s="437"/>
      <c r="BQ48" s="437"/>
      <c r="BR48" s="437"/>
      <c r="BS48" s="437"/>
      <c r="BT48" s="438"/>
      <c r="BU48" s="436"/>
      <c r="BV48" s="437"/>
      <c r="BW48" s="439"/>
      <c r="BX48" s="438"/>
    </row>
    <row r="49" s="415" customFormat="1" spans="1:76">
      <c r="A49" s="198"/>
      <c r="B49" s="22" t="s">
        <v>100</v>
      </c>
      <c r="C49" s="425">
        <v>178.25</v>
      </c>
      <c r="D49" s="26">
        <v>157.08</v>
      </c>
      <c r="E49" s="26">
        <v>78.2</v>
      </c>
      <c r="F49" s="26">
        <v>95.35</v>
      </c>
      <c r="G49" s="26">
        <v>76.3</v>
      </c>
      <c r="H49" s="26">
        <v>158.6</v>
      </c>
      <c r="I49" s="26">
        <v>221.48</v>
      </c>
      <c r="J49" s="26">
        <v>82.65</v>
      </c>
      <c r="K49" s="26">
        <v>21.62</v>
      </c>
      <c r="L49" s="26">
        <v>37.02</v>
      </c>
      <c r="M49" s="26"/>
      <c r="N49" s="26">
        <v>584</v>
      </c>
      <c r="O49" s="26">
        <v>1463.08</v>
      </c>
      <c r="P49" s="26">
        <v>868</v>
      </c>
      <c r="Q49" s="426">
        <v>551</v>
      </c>
      <c r="R49" s="26"/>
      <c r="S49" s="26"/>
      <c r="T49" s="26"/>
      <c r="U49" s="26"/>
      <c r="V49" s="26"/>
      <c r="W49" s="26"/>
      <c r="X49" s="26"/>
      <c r="Y49" s="26"/>
      <c r="Z49" s="26"/>
      <c r="AA49" s="26">
        <v>10</v>
      </c>
      <c r="AB49" s="26"/>
      <c r="AC49" s="26"/>
      <c r="AD49" s="26"/>
      <c r="AE49" s="26"/>
      <c r="AF49" s="426"/>
      <c r="AG49" s="26">
        <v>178.25</v>
      </c>
      <c r="AH49" s="26">
        <v>157.08</v>
      </c>
      <c r="AI49" s="26">
        <v>78.2</v>
      </c>
      <c r="AJ49" s="26">
        <v>95.35</v>
      </c>
      <c r="AK49" s="26">
        <v>76.3</v>
      </c>
      <c r="AL49" s="26">
        <v>158.6</v>
      </c>
      <c r="AM49" s="26">
        <v>221.48</v>
      </c>
      <c r="AN49" s="26">
        <v>82.65</v>
      </c>
      <c r="AO49" s="26">
        <v>21.62</v>
      </c>
      <c r="AP49" s="26">
        <v>27.02</v>
      </c>
      <c r="AQ49" s="26"/>
      <c r="AR49" s="26">
        <v>584</v>
      </c>
      <c r="AS49" s="26">
        <v>1463.08</v>
      </c>
      <c r="AT49" s="427">
        <v>855</v>
      </c>
      <c r="AU49" s="425">
        <v>323</v>
      </c>
      <c r="AV49" s="425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>
        <v>200</v>
      </c>
      <c r="BK49" s="436"/>
      <c r="BL49" s="437"/>
      <c r="BM49" s="437"/>
      <c r="BN49" s="437"/>
      <c r="BO49" s="437"/>
      <c r="BP49" s="437"/>
      <c r="BQ49" s="437"/>
      <c r="BR49" s="437"/>
      <c r="BS49" s="437">
        <v>5</v>
      </c>
      <c r="BT49" s="438">
        <v>7</v>
      </c>
      <c r="BU49" s="436"/>
      <c r="BV49" s="437">
        <v>8</v>
      </c>
      <c r="BW49" s="439">
        <v>21</v>
      </c>
      <c r="BX49" s="438"/>
    </row>
    <row r="50" s="415" customFormat="1" spans="1:76">
      <c r="A50" s="198"/>
      <c r="B50" s="22" t="s">
        <v>102</v>
      </c>
      <c r="C50" s="425">
        <v>22.73</v>
      </c>
      <c r="D50" s="26">
        <v>115.2</v>
      </c>
      <c r="E50" s="26">
        <v>101.78</v>
      </c>
      <c r="F50" s="26">
        <v>72.17</v>
      </c>
      <c r="G50" s="26">
        <v>112.87</v>
      </c>
      <c r="H50" s="26">
        <v>143.88</v>
      </c>
      <c r="I50" s="26">
        <v>117.44</v>
      </c>
      <c r="J50" s="26">
        <v>256.08</v>
      </c>
      <c r="K50" s="26">
        <v>94.16</v>
      </c>
      <c r="L50" s="26">
        <v>160.85</v>
      </c>
      <c r="M50" s="26"/>
      <c r="N50" s="26">
        <v>303.11</v>
      </c>
      <c r="O50" s="26">
        <v>496.37</v>
      </c>
      <c r="P50" s="26">
        <v>1010</v>
      </c>
      <c r="Q50" s="426">
        <v>297</v>
      </c>
      <c r="R50" s="26">
        <v>1.26</v>
      </c>
      <c r="S50" s="26">
        <v>1.46</v>
      </c>
      <c r="T50" s="26">
        <v>2.6</v>
      </c>
      <c r="U50" s="26">
        <v>14.24</v>
      </c>
      <c r="V50" s="26">
        <v>9.31</v>
      </c>
      <c r="W50" s="26">
        <v>80.31</v>
      </c>
      <c r="X50" s="26">
        <v>64.74</v>
      </c>
      <c r="Y50" s="26">
        <v>74.88</v>
      </c>
      <c r="Z50" s="26">
        <v>23.06</v>
      </c>
      <c r="AA50" s="26">
        <v>6.8</v>
      </c>
      <c r="AB50" s="26"/>
      <c r="AC50" s="26">
        <v>33.12</v>
      </c>
      <c r="AD50" s="26">
        <v>15.68</v>
      </c>
      <c r="AE50" s="26">
        <v>120</v>
      </c>
      <c r="AF50" s="426"/>
      <c r="AG50" s="26">
        <v>21.47</v>
      </c>
      <c r="AH50" s="26">
        <v>83.74</v>
      </c>
      <c r="AI50" s="26">
        <v>99.18</v>
      </c>
      <c r="AJ50" s="26">
        <v>57.93</v>
      </c>
      <c r="AK50" s="26">
        <v>103.56</v>
      </c>
      <c r="AL50" s="26">
        <v>63.57</v>
      </c>
      <c r="AM50" s="26">
        <v>52.7</v>
      </c>
      <c r="AN50" s="26">
        <v>181.2</v>
      </c>
      <c r="AO50" s="26">
        <v>71.1</v>
      </c>
      <c r="AP50" s="26">
        <v>154.05</v>
      </c>
      <c r="AQ50" s="26"/>
      <c r="AR50" s="26">
        <v>204.99</v>
      </c>
      <c r="AS50" s="26">
        <v>480.09</v>
      </c>
      <c r="AT50" s="427">
        <v>890</v>
      </c>
      <c r="AU50" s="425">
        <v>296</v>
      </c>
      <c r="AV50" s="425"/>
      <c r="AW50" s="24">
        <v>30</v>
      </c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436"/>
      <c r="BL50" s="437"/>
      <c r="BM50" s="437"/>
      <c r="BN50" s="437"/>
      <c r="BO50" s="437"/>
      <c r="BP50" s="437"/>
      <c r="BQ50" s="437"/>
      <c r="BR50" s="437"/>
      <c r="BS50" s="437"/>
      <c r="BT50" s="438"/>
      <c r="BU50" s="436"/>
      <c r="BV50" s="437"/>
      <c r="BW50" s="439">
        <v>1</v>
      </c>
      <c r="BX50" s="438"/>
    </row>
    <row r="51" s="415" customFormat="1" spans="1:76">
      <c r="A51" s="198"/>
      <c r="B51" s="22" t="s">
        <v>104</v>
      </c>
      <c r="C51" s="425">
        <v>45</v>
      </c>
      <c r="D51" s="26">
        <v>12.5</v>
      </c>
      <c r="E51" s="26">
        <v>30</v>
      </c>
      <c r="F51" s="26">
        <v>42.5</v>
      </c>
      <c r="G51" s="26">
        <v>35</v>
      </c>
      <c r="H51" s="26">
        <v>33.9</v>
      </c>
      <c r="I51" s="26">
        <v>60</v>
      </c>
      <c r="J51" s="26">
        <v>68</v>
      </c>
      <c r="K51" s="26">
        <v>83.47</v>
      </c>
      <c r="L51" s="26"/>
      <c r="M51" s="26"/>
      <c r="N51" s="26">
        <v>34.45</v>
      </c>
      <c r="O51" s="26">
        <v>186.07</v>
      </c>
      <c r="P51" s="26">
        <v>264</v>
      </c>
      <c r="Q51" s="426">
        <v>618</v>
      </c>
      <c r="R51" s="26"/>
      <c r="S51" s="26"/>
      <c r="T51" s="26"/>
      <c r="U51" s="26"/>
      <c r="V51" s="26"/>
      <c r="W51" s="26"/>
      <c r="X51" s="26"/>
      <c r="Y51" s="26">
        <v>8</v>
      </c>
      <c r="Z51" s="26">
        <v>6.15</v>
      </c>
      <c r="AA51" s="26"/>
      <c r="AB51" s="26"/>
      <c r="AC51" s="26">
        <v>3</v>
      </c>
      <c r="AD51" s="26">
        <v>4.32</v>
      </c>
      <c r="AE51" s="26">
        <v>24</v>
      </c>
      <c r="AF51" s="426">
        <v>45</v>
      </c>
      <c r="AG51" s="26">
        <v>45</v>
      </c>
      <c r="AH51" s="26">
        <v>12.5</v>
      </c>
      <c r="AI51" s="26">
        <v>30</v>
      </c>
      <c r="AJ51" s="26">
        <v>42.5</v>
      </c>
      <c r="AK51" s="26">
        <v>35</v>
      </c>
      <c r="AL51" s="26">
        <v>33.9</v>
      </c>
      <c r="AM51" s="26">
        <v>60</v>
      </c>
      <c r="AN51" s="26">
        <v>60</v>
      </c>
      <c r="AO51" s="26">
        <v>77.32</v>
      </c>
      <c r="AP51" s="26"/>
      <c r="AQ51" s="26"/>
      <c r="AR51" s="26">
        <v>31.45</v>
      </c>
      <c r="AS51" s="26">
        <v>181.75</v>
      </c>
      <c r="AT51" s="427">
        <v>240</v>
      </c>
      <c r="AU51" s="425">
        <v>573</v>
      </c>
      <c r="AV51" s="425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436"/>
      <c r="BL51" s="437"/>
      <c r="BM51" s="437"/>
      <c r="BN51" s="437"/>
      <c r="BO51" s="437"/>
      <c r="BP51" s="437"/>
      <c r="BQ51" s="437"/>
      <c r="BR51" s="437"/>
      <c r="BS51" s="437"/>
      <c r="BT51" s="438"/>
      <c r="BU51" s="436"/>
      <c r="BV51" s="437"/>
      <c r="BW51" s="439"/>
      <c r="BX51" s="438"/>
    </row>
    <row r="52" s="415" customFormat="1" spans="1:76">
      <c r="A52" s="198"/>
      <c r="B52" s="22" t="s">
        <v>106</v>
      </c>
      <c r="C52" s="425">
        <v>20</v>
      </c>
      <c r="D52" s="26">
        <v>80.5</v>
      </c>
      <c r="E52" s="26">
        <v>53.25</v>
      </c>
      <c r="F52" s="26">
        <v>75</v>
      </c>
      <c r="G52" s="26">
        <v>1.5</v>
      </c>
      <c r="H52" s="26">
        <v>19.35</v>
      </c>
      <c r="I52" s="26">
        <v>140.3</v>
      </c>
      <c r="J52" s="26">
        <v>69.7</v>
      </c>
      <c r="K52" s="26">
        <v>212.46</v>
      </c>
      <c r="L52" s="26">
        <v>2.92</v>
      </c>
      <c r="M52" s="26"/>
      <c r="N52" s="26">
        <v>159.57</v>
      </c>
      <c r="O52" s="26">
        <v>176.4</v>
      </c>
      <c r="P52" s="26">
        <v>410</v>
      </c>
      <c r="Q52" s="426">
        <v>162</v>
      </c>
      <c r="R52" s="26">
        <v>20</v>
      </c>
      <c r="S52" s="26">
        <v>70.5</v>
      </c>
      <c r="T52" s="26">
        <v>23.25</v>
      </c>
      <c r="U52" s="26">
        <v>45</v>
      </c>
      <c r="V52" s="26">
        <v>1.5</v>
      </c>
      <c r="W52" s="26">
        <v>6.85</v>
      </c>
      <c r="X52" s="26">
        <v>10.3</v>
      </c>
      <c r="Y52" s="26">
        <v>8.5</v>
      </c>
      <c r="Z52" s="26">
        <v>73.26</v>
      </c>
      <c r="AA52" s="26">
        <v>2.92</v>
      </c>
      <c r="AB52" s="26"/>
      <c r="AC52" s="26">
        <v>39.57</v>
      </c>
      <c r="AD52" s="26">
        <v>78.06</v>
      </c>
      <c r="AE52" s="26">
        <v>18</v>
      </c>
      <c r="AF52" s="426">
        <v>22</v>
      </c>
      <c r="AG52" s="26"/>
      <c r="AH52" s="26">
        <v>10</v>
      </c>
      <c r="AI52" s="26">
        <v>30</v>
      </c>
      <c r="AJ52" s="26">
        <v>30</v>
      </c>
      <c r="AK52" s="26"/>
      <c r="AL52" s="26">
        <v>12.5</v>
      </c>
      <c r="AM52" s="26">
        <v>130</v>
      </c>
      <c r="AN52" s="26">
        <v>61.2</v>
      </c>
      <c r="AO52" s="26">
        <v>139.2</v>
      </c>
      <c r="AP52" s="26"/>
      <c r="AQ52" s="26"/>
      <c r="AR52" s="26">
        <v>120</v>
      </c>
      <c r="AS52" s="26">
        <v>88.2</v>
      </c>
      <c r="AT52" s="427">
        <v>383</v>
      </c>
      <c r="AU52" s="425">
        <v>125</v>
      </c>
      <c r="AV52" s="425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436"/>
      <c r="BL52" s="437"/>
      <c r="BM52" s="437"/>
      <c r="BN52" s="437"/>
      <c r="BO52" s="437"/>
      <c r="BP52" s="437"/>
      <c r="BQ52" s="437"/>
      <c r="BR52" s="437"/>
      <c r="BS52" s="437"/>
      <c r="BT52" s="438"/>
      <c r="BU52" s="436"/>
      <c r="BV52" s="437">
        <v>9</v>
      </c>
      <c r="BW52" s="439">
        <v>15</v>
      </c>
      <c r="BX52" s="438"/>
    </row>
    <row r="53" s="415" customFormat="1" spans="1:76">
      <c r="A53" s="198"/>
      <c r="B53" s="22" t="s">
        <v>108</v>
      </c>
      <c r="C53" s="425">
        <v>13.1</v>
      </c>
      <c r="D53" s="26">
        <v>12.8</v>
      </c>
      <c r="E53" s="26">
        <v>26</v>
      </c>
      <c r="F53" s="26">
        <v>24</v>
      </c>
      <c r="G53" s="26">
        <v>60</v>
      </c>
      <c r="H53" s="26">
        <v>30</v>
      </c>
      <c r="I53" s="26"/>
      <c r="J53" s="26">
        <v>60</v>
      </c>
      <c r="K53" s="26">
        <v>42</v>
      </c>
      <c r="L53" s="26">
        <v>47</v>
      </c>
      <c r="M53" s="26"/>
      <c r="N53" s="26">
        <v>41</v>
      </c>
      <c r="O53" s="26">
        <v>36.35</v>
      </c>
      <c r="P53" s="26">
        <v>61</v>
      </c>
      <c r="Q53" s="426">
        <v>252</v>
      </c>
      <c r="R53" s="26">
        <v>0.6</v>
      </c>
      <c r="S53" s="26">
        <v>0.3</v>
      </c>
      <c r="T53" s="26">
        <v>6</v>
      </c>
      <c r="U53" s="26">
        <v>4</v>
      </c>
      <c r="V53" s="26"/>
      <c r="W53" s="26"/>
      <c r="X53" s="26"/>
      <c r="Y53" s="26"/>
      <c r="Z53" s="26">
        <v>12</v>
      </c>
      <c r="AA53" s="26">
        <v>12</v>
      </c>
      <c r="AB53" s="26"/>
      <c r="AC53" s="26">
        <v>11</v>
      </c>
      <c r="AD53" s="26">
        <v>6.35</v>
      </c>
      <c r="AE53" s="26">
        <v>5</v>
      </c>
      <c r="AF53" s="426"/>
      <c r="AG53" s="26">
        <v>12.5</v>
      </c>
      <c r="AH53" s="26">
        <v>12.5</v>
      </c>
      <c r="AI53" s="26">
        <v>20</v>
      </c>
      <c r="AJ53" s="26">
        <v>20</v>
      </c>
      <c r="AK53" s="26">
        <v>60</v>
      </c>
      <c r="AL53" s="26">
        <v>30</v>
      </c>
      <c r="AM53" s="26"/>
      <c r="AN53" s="26">
        <v>60</v>
      </c>
      <c r="AO53" s="26">
        <v>30</v>
      </c>
      <c r="AP53" s="26">
        <v>35</v>
      </c>
      <c r="AQ53" s="26"/>
      <c r="AR53" s="26">
        <v>30</v>
      </c>
      <c r="AS53" s="26">
        <v>30</v>
      </c>
      <c r="AT53" s="427">
        <v>56</v>
      </c>
      <c r="AU53" s="425">
        <v>252</v>
      </c>
      <c r="AV53" s="425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436"/>
      <c r="BL53" s="437"/>
      <c r="BM53" s="437"/>
      <c r="BN53" s="437"/>
      <c r="BO53" s="437"/>
      <c r="BP53" s="437"/>
      <c r="BQ53" s="437"/>
      <c r="BR53" s="437"/>
      <c r="BS53" s="437"/>
      <c r="BT53" s="438"/>
      <c r="BU53" s="436"/>
      <c r="BV53" s="437"/>
      <c r="BW53" s="439"/>
      <c r="BX53" s="438"/>
    </row>
    <row r="54" s="415" customFormat="1" spans="1:76">
      <c r="A54" s="198"/>
      <c r="B54" s="22" t="s">
        <v>110</v>
      </c>
      <c r="C54" s="425">
        <v>107.3</v>
      </c>
      <c r="D54" s="26">
        <v>85.35</v>
      </c>
      <c r="E54" s="26">
        <v>77.83</v>
      </c>
      <c r="F54" s="26">
        <v>117.25</v>
      </c>
      <c r="G54" s="26">
        <v>244.65</v>
      </c>
      <c r="H54" s="26">
        <v>101</v>
      </c>
      <c r="I54" s="26">
        <v>83.08</v>
      </c>
      <c r="J54" s="26">
        <v>146.85</v>
      </c>
      <c r="K54" s="26">
        <v>43.5</v>
      </c>
      <c r="L54" s="26">
        <v>252</v>
      </c>
      <c r="M54" s="26"/>
      <c r="N54" s="26">
        <v>281.74</v>
      </c>
      <c r="O54" s="26">
        <v>434.37</v>
      </c>
      <c r="P54" s="26">
        <v>1207</v>
      </c>
      <c r="Q54" s="426">
        <v>586</v>
      </c>
      <c r="R54" s="26"/>
      <c r="S54" s="26"/>
      <c r="T54" s="26">
        <v>0.08</v>
      </c>
      <c r="U54" s="26"/>
      <c r="V54" s="26"/>
      <c r="W54" s="26"/>
      <c r="X54" s="26"/>
      <c r="Y54" s="26"/>
      <c r="Z54" s="26"/>
      <c r="AA54" s="26"/>
      <c r="AB54" s="26"/>
      <c r="AC54" s="26">
        <v>1.2</v>
      </c>
      <c r="AD54" s="26"/>
      <c r="AE54" s="26">
        <v>75</v>
      </c>
      <c r="AF54" s="426">
        <v>25</v>
      </c>
      <c r="AG54" s="26">
        <v>107.3</v>
      </c>
      <c r="AH54" s="26">
        <v>85.35</v>
      </c>
      <c r="AI54" s="26">
        <v>77.75</v>
      </c>
      <c r="AJ54" s="26">
        <v>117.25</v>
      </c>
      <c r="AK54" s="26">
        <v>244.65</v>
      </c>
      <c r="AL54" s="26">
        <v>101</v>
      </c>
      <c r="AM54" s="26">
        <v>83.08</v>
      </c>
      <c r="AN54" s="26">
        <v>146.85</v>
      </c>
      <c r="AO54" s="26">
        <v>43.5</v>
      </c>
      <c r="AP54" s="26">
        <v>252</v>
      </c>
      <c r="AQ54" s="26"/>
      <c r="AR54" s="26">
        <v>277.4</v>
      </c>
      <c r="AS54" s="26">
        <v>433.62</v>
      </c>
      <c r="AT54" s="427">
        <v>1128</v>
      </c>
      <c r="AU54" s="425">
        <v>542</v>
      </c>
      <c r="AV54" s="425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436"/>
      <c r="BL54" s="437"/>
      <c r="BM54" s="437"/>
      <c r="BN54" s="437"/>
      <c r="BO54" s="437"/>
      <c r="BP54" s="437"/>
      <c r="BQ54" s="437"/>
      <c r="BR54" s="437"/>
      <c r="BS54" s="437"/>
      <c r="BT54" s="438">
        <v>5</v>
      </c>
      <c r="BU54" s="436"/>
      <c r="BV54" s="437">
        <v>3</v>
      </c>
      <c r="BW54" s="439">
        <v>14</v>
      </c>
      <c r="BX54" s="438"/>
    </row>
    <row r="55" s="415" customFormat="1" spans="1:76">
      <c r="A55" s="198"/>
      <c r="B55" s="22" t="s">
        <v>112</v>
      </c>
      <c r="C55" s="425">
        <v>64.92</v>
      </c>
      <c r="D55" s="26">
        <v>27.4</v>
      </c>
      <c r="E55" s="26">
        <v>139.6</v>
      </c>
      <c r="F55" s="26">
        <v>100.26</v>
      </c>
      <c r="G55" s="26">
        <v>76.8</v>
      </c>
      <c r="H55" s="26">
        <v>181.2</v>
      </c>
      <c r="I55" s="26">
        <v>95.95</v>
      </c>
      <c r="J55" s="26">
        <v>99.2</v>
      </c>
      <c r="K55" s="26">
        <v>226.2</v>
      </c>
      <c r="L55" s="26">
        <v>22.55</v>
      </c>
      <c r="M55" s="26"/>
      <c r="N55" s="26">
        <v>686.12</v>
      </c>
      <c r="O55" s="26">
        <v>439.9</v>
      </c>
      <c r="P55" s="26">
        <v>580</v>
      </c>
      <c r="Q55" s="426">
        <v>931</v>
      </c>
      <c r="R55" s="26">
        <v>1.74</v>
      </c>
      <c r="S55" s="26">
        <v>7.5</v>
      </c>
      <c r="T55" s="26"/>
      <c r="U55" s="26">
        <v>0.96</v>
      </c>
      <c r="V55" s="26">
        <v>8.1</v>
      </c>
      <c r="W55" s="26"/>
      <c r="X55" s="26">
        <v>30</v>
      </c>
      <c r="Y55" s="26">
        <v>60</v>
      </c>
      <c r="Z55" s="26">
        <v>90</v>
      </c>
      <c r="AA55" s="26"/>
      <c r="AB55" s="26"/>
      <c r="AC55" s="26">
        <v>12.6</v>
      </c>
      <c r="AD55" s="26">
        <v>126.9</v>
      </c>
      <c r="AE55" s="26"/>
      <c r="AF55" s="426">
        <v>4</v>
      </c>
      <c r="AG55" s="26">
        <v>63.18</v>
      </c>
      <c r="AH55" s="26">
        <v>19.9</v>
      </c>
      <c r="AI55" s="26">
        <v>139.6</v>
      </c>
      <c r="AJ55" s="26">
        <v>99.3</v>
      </c>
      <c r="AK55" s="26">
        <v>68.7</v>
      </c>
      <c r="AL55" s="26">
        <v>181.2</v>
      </c>
      <c r="AM55" s="26">
        <v>65.95</v>
      </c>
      <c r="AN55" s="26">
        <v>39.2</v>
      </c>
      <c r="AO55" s="26">
        <v>136.2</v>
      </c>
      <c r="AP55" s="26">
        <v>22.55</v>
      </c>
      <c r="AQ55" s="26"/>
      <c r="AR55" s="26">
        <v>673.52</v>
      </c>
      <c r="AS55" s="26">
        <v>311.8</v>
      </c>
      <c r="AT55" s="427">
        <v>580</v>
      </c>
      <c r="AU55" s="425">
        <v>925</v>
      </c>
      <c r="AV55" s="425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436"/>
      <c r="BL55" s="437"/>
      <c r="BM55" s="437"/>
      <c r="BN55" s="437"/>
      <c r="BO55" s="437"/>
      <c r="BP55" s="437"/>
      <c r="BQ55" s="437"/>
      <c r="BR55" s="437"/>
      <c r="BS55" s="437"/>
      <c r="BT55" s="438"/>
      <c r="BU55" s="436"/>
      <c r="BV55" s="437"/>
      <c r="BW55" s="439">
        <v>3</v>
      </c>
      <c r="BX55" s="438"/>
    </row>
    <row r="56" s="415" customFormat="1" spans="1:76">
      <c r="A56" s="198"/>
      <c r="B56" s="22" t="s">
        <v>114</v>
      </c>
      <c r="C56" s="425">
        <v>113.64</v>
      </c>
      <c r="D56" s="26">
        <v>94.85</v>
      </c>
      <c r="E56" s="26">
        <v>10.6</v>
      </c>
      <c r="F56" s="26">
        <v>38.18</v>
      </c>
      <c r="G56" s="26">
        <v>125.65</v>
      </c>
      <c r="H56" s="26">
        <v>99</v>
      </c>
      <c r="I56" s="26">
        <v>138.8</v>
      </c>
      <c r="J56" s="26">
        <v>53.94</v>
      </c>
      <c r="K56" s="26">
        <v>10.53</v>
      </c>
      <c r="L56" s="26">
        <v>14.63</v>
      </c>
      <c r="M56" s="26"/>
      <c r="N56" s="26">
        <v>571.43</v>
      </c>
      <c r="O56" s="26">
        <v>321.79</v>
      </c>
      <c r="P56" s="26">
        <v>237</v>
      </c>
      <c r="Q56" s="426">
        <v>741</v>
      </c>
      <c r="R56" s="26">
        <v>63.64</v>
      </c>
      <c r="S56" s="26">
        <v>64.85</v>
      </c>
      <c r="T56" s="26">
        <v>2.6</v>
      </c>
      <c r="U56" s="26">
        <v>5.18</v>
      </c>
      <c r="V56" s="26">
        <v>3</v>
      </c>
      <c r="W56" s="26">
        <v>4</v>
      </c>
      <c r="X56" s="26">
        <v>8.9</v>
      </c>
      <c r="Y56" s="26">
        <v>37.14</v>
      </c>
      <c r="Z56" s="26">
        <v>5.03</v>
      </c>
      <c r="AA56" s="26">
        <v>9.65</v>
      </c>
      <c r="AB56" s="26"/>
      <c r="AC56" s="26">
        <v>408</v>
      </c>
      <c r="AD56" s="26">
        <v>298.04</v>
      </c>
      <c r="AE56" s="26">
        <v>39</v>
      </c>
      <c r="AF56" s="426">
        <v>554</v>
      </c>
      <c r="AG56" s="26">
        <v>50</v>
      </c>
      <c r="AH56" s="26">
        <v>30</v>
      </c>
      <c r="AI56" s="26">
        <v>8</v>
      </c>
      <c r="AJ56" s="26">
        <v>33</v>
      </c>
      <c r="AK56" s="26">
        <v>122.65</v>
      </c>
      <c r="AL56" s="26">
        <v>95</v>
      </c>
      <c r="AM56" s="26">
        <v>129.9</v>
      </c>
      <c r="AN56" s="26">
        <v>16.8</v>
      </c>
      <c r="AO56" s="26">
        <v>5.5</v>
      </c>
      <c r="AP56" s="26">
        <v>4.98</v>
      </c>
      <c r="AQ56" s="26"/>
      <c r="AR56" s="26">
        <v>163.43</v>
      </c>
      <c r="AS56" s="26">
        <v>1.75</v>
      </c>
      <c r="AT56" s="427">
        <v>199</v>
      </c>
      <c r="AU56" s="425">
        <v>186</v>
      </c>
      <c r="AV56" s="425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436"/>
      <c r="BL56" s="437"/>
      <c r="BM56" s="437"/>
      <c r="BN56" s="437"/>
      <c r="BO56" s="437"/>
      <c r="BP56" s="437"/>
      <c r="BQ56" s="437"/>
      <c r="BR56" s="437"/>
      <c r="BS56" s="437"/>
      <c r="BT56" s="438"/>
      <c r="BU56" s="436"/>
      <c r="BV56" s="437"/>
      <c r="BW56" s="439">
        <v>1</v>
      </c>
      <c r="BX56" s="438"/>
    </row>
    <row r="57" s="415" customFormat="1" spans="1:76">
      <c r="A57" s="198"/>
      <c r="B57" s="22" t="s">
        <v>116</v>
      </c>
      <c r="C57" s="425">
        <v>11.76</v>
      </c>
      <c r="D57" s="26">
        <v>33.52</v>
      </c>
      <c r="E57" s="26">
        <v>52.88</v>
      </c>
      <c r="F57" s="26">
        <v>114.26</v>
      </c>
      <c r="G57" s="26">
        <v>17.06</v>
      </c>
      <c r="H57" s="26">
        <v>86.25</v>
      </c>
      <c r="I57" s="26">
        <v>32</v>
      </c>
      <c r="J57" s="26">
        <v>12</v>
      </c>
      <c r="K57" s="26">
        <v>74.59</v>
      </c>
      <c r="L57" s="26">
        <v>13.51</v>
      </c>
      <c r="M57" s="26"/>
      <c r="N57" s="26">
        <v>115.27</v>
      </c>
      <c r="O57" s="26">
        <v>45.05</v>
      </c>
      <c r="P57" s="26">
        <v>343</v>
      </c>
      <c r="Q57" s="426">
        <v>345</v>
      </c>
      <c r="R57" s="26">
        <v>6.51</v>
      </c>
      <c r="S57" s="26">
        <v>31.97</v>
      </c>
      <c r="T57" s="26">
        <v>52.58</v>
      </c>
      <c r="U57" s="26">
        <v>50.66</v>
      </c>
      <c r="V57" s="26">
        <v>14.76</v>
      </c>
      <c r="W57" s="26">
        <v>19.55</v>
      </c>
      <c r="X57" s="26">
        <v>32</v>
      </c>
      <c r="Y57" s="26">
        <v>12</v>
      </c>
      <c r="Z57" s="26">
        <v>8.59</v>
      </c>
      <c r="AA57" s="26">
        <v>8.51</v>
      </c>
      <c r="AB57" s="26"/>
      <c r="AC57" s="26">
        <v>85.27</v>
      </c>
      <c r="AD57" s="26">
        <v>12.55</v>
      </c>
      <c r="AE57" s="26">
        <v>13</v>
      </c>
      <c r="AF57" s="426">
        <v>28</v>
      </c>
      <c r="AG57" s="26">
        <v>5.25</v>
      </c>
      <c r="AH57" s="26">
        <v>1.55</v>
      </c>
      <c r="AI57" s="26">
        <v>0.3</v>
      </c>
      <c r="AJ57" s="26">
        <v>63.6</v>
      </c>
      <c r="AK57" s="26">
        <v>2.3</v>
      </c>
      <c r="AL57" s="26">
        <v>66.7</v>
      </c>
      <c r="AM57" s="26"/>
      <c r="AN57" s="26"/>
      <c r="AO57" s="26">
        <v>66</v>
      </c>
      <c r="AP57" s="26">
        <v>5</v>
      </c>
      <c r="AQ57" s="26"/>
      <c r="AR57" s="26">
        <v>30</v>
      </c>
      <c r="AS57" s="26">
        <v>30</v>
      </c>
      <c r="AT57" s="427">
        <v>330</v>
      </c>
      <c r="AU57" s="425">
        <v>317</v>
      </c>
      <c r="AV57" s="425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436"/>
      <c r="BL57" s="437"/>
      <c r="BM57" s="437"/>
      <c r="BN57" s="437"/>
      <c r="BO57" s="437"/>
      <c r="BP57" s="437"/>
      <c r="BQ57" s="437"/>
      <c r="BR57" s="437"/>
      <c r="BS57" s="437"/>
      <c r="BT57" s="438"/>
      <c r="BU57" s="436"/>
      <c r="BV57" s="437"/>
      <c r="BW57" s="439"/>
      <c r="BX57" s="438"/>
    </row>
    <row r="58" s="415" customFormat="1" spans="1:76">
      <c r="A58" s="198"/>
      <c r="B58" s="22" t="s">
        <v>118</v>
      </c>
      <c r="C58" s="425">
        <v>353.55</v>
      </c>
      <c r="D58" s="26">
        <v>514.58</v>
      </c>
      <c r="E58" s="26">
        <v>304.64</v>
      </c>
      <c r="F58" s="26">
        <v>336.52</v>
      </c>
      <c r="G58" s="26">
        <v>172.91</v>
      </c>
      <c r="H58" s="26">
        <v>107.39</v>
      </c>
      <c r="I58" s="26">
        <v>149.09</v>
      </c>
      <c r="J58" s="26">
        <v>200.36</v>
      </c>
      <c r="K58" s="26">
        <v>112.55</v>
      </c>
      <c r="L58" s="26">
        <v>157.04</v>
      </c>
      <c r="M58" s="26"/>
      <c r="N58" s="26">
        <v>379.31</v>
      </c>
      <c r="O58" s="26">
        <v>381.27</v>
      </c>
      <c r="P58" s="26">
        <v>646</v>
      </c>
      <c r="Q58" s="426">
        <v>705</v>
      </c>
      <c r="R58" s="26">
        <v>104.8</v>
      </c>
      <c r="S58" s="26">
        <v>39.76</v>
      </c>
      <c r="T58" s="26">
        <v>8.2</v>
      </c>
      <c r="U58" s="26">
        <v>3.79</v>
      </c>
      <c r="V58" s="26">
        <v>15.61</v>
      </c>
      <c r="W58" s="26">
        <v>51.92</v>
      </c>
      <c r="X58" s="26">
        <v>97.89</v>
      </c>
      <c r="Y58" s="26">
        <v>42.56</v>
      </c>
      <c r="Z58" s="26">
        <v>4.44</v>
      </c>
      <c r="AA58" s="26">
        <v>10.5</v>
      </c>
      <c r="AB58" s="26"/>
      <c r="AC58" s="26">
        <v>66.81</v>
      </c>
      <c r="AD58" s="26">
        <v>12.39</v>
      </c>
      <c r="AE58" s="26">
        <v>36</v>
      </c>
      <c r="AF58" s="426"/>
      <c r="AG58" s="26">
        <v>248.75</v>
      </c>
      <c r="AH58" s="26">
        <v>294.82</v>
      </c>
      <c r="AI58" s="26">
        <v>296.44</v>
      </c>
      <c r="AJ58" s="26">
        <v>332.73</v>
      </c>
      <c r="AK58" s="26">
        <v>157.3</v>
      </c>
      <c r="AL58" s="26">
        <v>55.47</v>
      </c>
      <c r="AM58" s="26">
        <v>51.2</v>
      </c>
      <c r="AN58" s="26">
        <v>157.8</v>
      </c>
      <c r="AO58" s="26">
        <v>108.11</v>
      </c>
      <c r="AP58" s="26">
        <v>146.54</v>
      </c>
      <c r="AQ58" s="26"/>
      <c r="AR58" s="26">
        <v>264.5</v>
      </c>
      <c r="AS58" s="26">
        <v>343</v>
      </c>
      <c r="AT58" s="427">
        <v>604</v>
      </c>
      <c r="AU58" s="425">
        <v>697</v>
      </c>
      <c r="AV58" s="425"/>
      <c r="AW58" s="24">
        <v>180</v>
      </c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436"/>
      <c r="BL58" s="437"/>
      <c r="BM58" s="437"/>
      <c r="BN58" s="437"/>
      <c r="BO58" s="437"/>
      <c r="BP58" s="437"/>
      <c r="BQ58" s="437"/>
      <c r="BR58" s="437"/>
      <c r="BS58" s="437"/>
      <c r="BT58" s="438"/>
      <c r="BU58" s="436"/>
      <c r="BV58" s="437">
        <v>6</v>
      </c>
      <c r="BW58" s="439">
        <v>8</v>
      </c>
      <c r="BX58" s="438"/>
    </row>
    <row r="59" s="415" customFormat="1" spans="1:76">
      <c r="A59" s="198"/>
      <c r="B59" s="22" t="s">
        <v>120</v>
      </c>
      <c r="C59" s="425">
        <v>57.4</v>
      </c>
      <c r="D59" s="26">
        <v>63.76</v>
      </c>
      <c r="E59" s="26">
        <v>56.51</v>
      </c>
      <c r="F59" s="26">
        <v>16.54</v>
      </c>
      <c r="G59" s="26">
        <v>54.19</v>
      </c>
      <c r="H59" s="26">
        <v>53.31</v>
      </c>
      <c r="I59" s="26">
        <v>89.6</v>
      </c>
      <c r="J59" s="26">
        <v>241.23</v>
      </c>
      <c r="K59" s="26">
        <v>4.7</v>
      </c>
      <c r="L59" s="26">
        <v>3.94</v>
      </c>
      <c r="M59" s="26"/>
      <c r="N59" s="26">
        <v>151.13</v>
      </c>
      <c r="O59" s="26">
        <v>145.22</v>
      </c>
      <c r="P59" s="26">
        <v>175</v>
      </c>
      <c r="Q59" s="426">
        <v>566</v>
      </c>
      <c r="R59" s="26">
        <v>54.6</v>
      </c>
      <c r="S59" s="26">
        <v>37.17</v>
      </c>
      <c r="T59" s="26">
        <v>35.67</v>
      </c>
      <c r="U59" s="26">
        <v>15.79</v>
      </c>
      <c r="V59" s="26">
        <v>53.29</v>
      </c>
      <c r="W59" s="26">
        <v>53.31</v>
      </c>
      <c r="X59" s="26">
        <v>89.6</v>
      </c>
      <c r="Y59" s="26">
        <v>166.73</v>
      </c>
      <c r="Z59" s="26">
        <v>4.7</v>
      </c>
      <c r="AA59" s="26">
        <v>3.94</v>
      </c>
      <c r="AB59" s="26"/>
      <c r="AC59" s="26">
        <v>41.63</v>
      </c>
      <c r="AD59" s="26">
        <v>101.72</v>
      </c>
      <c r="AE59" s="26">
        <v>145</v>
      </c>
      <c r="AF59" s="426">
        <v>260</v>
      </c>
      <c r="AG59" s="26">
        <v>2.8</v>
      </c>
      <c r="AH59" s="26">
        <v>26.59</v>
      </c>
      <c r="AI59" s="26">
        <v>20.84</v>
      </c>
      <c r="AJ59" s="26">
        <v>0.75</v>
      </c>
      <c r="AK59" s="26">
        <v>0.9</v>
      </c>
      <c r="AL59" s="26">
        <v>0</v>
      </c>
      <c r="AM59" s="26">
        <v>0</v>
      </c>
      <c r="AN59" s="26">
        <v>74.5</v>
      </c>
      <c r="AO59" s="26">
        <v>0</v>
      </c>
      <c r="AP59" s="26">
        <v>0</v>
      </c>
      <c r="AQ59" s="26"/>
      <c r="AR59" s="26">
        <v>109.5</v>
      </c>
      <c r="AS59" s="26">
        <v>43.5</v>
      </c>
      <c r="AT59" s="427">
        <v>30</v>
      </c>
      <c r="AU59" s="425">
        <v>300</v>
      </c>
      <c r="AV59" s="425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436"/>
      <c r="BL59" s="437"/>
      <c r="BM59" s="437"/>
      <c r="BN59" s="437"/>
      <c r="BO59" s="437"/>
      <c r="BP59" s="437"/>
      <c r="BQ59" s="437"/>
      <c r="BR59" s="437"/>
      <c r="BS59" s="437"/>
      <c r="BT59" s="438"/>
      <c r="BU59" s="436"/>
      <c r="BV59" s="437"/>
      <c r="BW59" s="439"/>
      <c r="BX59" s="438"/>
    </row>
    <row r="60" s="415" customFormat="1" spans="1:76">
      <c r="A60" s="198"/>
      <c r="B60" s="22" t="s">
        <v>122</v>
      </c>
      <c r="C60" s="425">
        <v>6</v>
      </c>
      <c r="D60" s="26">
        <v>12</v>
      </c>
      <c r="E60" s="26">
        <v>37.55</v>
      </c>
      <c r="F60" s="26"/>
      <c r="G60" s="26"/>
      <c r="H60" s="26"/>
      <c r="I60" s="26"/>
      <c r="J60" s="26">
        <v>25</v>
      </c>
      <c r="K60" s="26"/>
      <c r="L60" s="26"/>
      <c r="M60" s="26"/>
      <c r="N60" s="26">
        <v>8</v>
      </c>
      <c r="O60" s="26"/>
      <c r="P60" s="26">
        <v>33</v>
      </c>
      <c r="Q60" s="426">
        <v>35</v>
      </c>
      <c r="R60" s="26">
        <v>6</v>
      </c>
      <c r="S60" s="26">
        <v>12</v>
      </c>
      <c r="T60" s="26">
        <v>6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426">
        <v>2</v>
      </c>
      <c r="AG60" s="26"/>
      <c r="AH60" s="26"/>
      <c r="AI60" s="26">
        <v>31.55</v>
      </c>
      <c r="AJ60" s="26"/>
      <c r="AK60" s="26"/>
      <c r="AL60" s="26"/>
      <c r="AM60" s="26"/>
      <c r="AN60" s="26">
        <v>25</v>
      </c>
      <c r="AO60" s="26"/>
      <c r="AP60" s="26"/>
      <c r="AQ60" s="26"/>
      <c r="AR60" s="26"/>
      <c r="AS60" s="26"/>
      <c r="AT60" s="427">
        <v>33</v>
      </c>
      <c r="AU60" s="425">
        <v>33</v>
      </c>
      <c r="AV60" s="425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436"/>
      <c r="BL60" s="437"/>
      <c r="BM60" s="437"/>
      <c r="BN60" s="437"/>
      <c r="BO60" s="437"/>
      <c r="BP60" s="437"/>
      <c r="BQ60" s="437"/>
      <c r="BR60" s="437"/>
      <c r="BS60" s="437"/>
      <c r="BT60" s="438"/>
      <c r="BU60" s="436"/>
      <c r="BV60" s="437"/>
      <c r="BW60" s="439"/>
      <c r="BX60" s="438"/>
    </row>
    <row r="61" s="415" customFormat="1" spans="1:76">
      <c r="A61" s="198"/>
      <c r="B61" s="22" t="s">
        <v>124</v>
      </c>
      <c r="C61" s="425"/>
      <c r="D61" s="26"/>
      <c r="E61" s="26"/>
      <c r="F61" s="26"/>
      <c r="G61" s="26">
        <v>67.5</v>
      </c>
      <c r="H61" s="26">
        <v>72</v>
      </c>
      <c r="I61" s="26">
        <v>9.12</v>
      </c>
      <c r="J61" s="26"/>
      <c r="K61" s="26"/>
      <c r="L61" s="26"/>
      <c r="M61" s="26"/>
      <c r="N61" s="26">
        <v>54.53</v>
      </c>
      <c r="O61" s="26">
        <v>59.4</v>
      </c>
      <c r="P61" s="26">
        <v>191</v>
      </c>
      <c r="Q61" s="426">
        <v>90</v>
      </c>
      <c r="R61" s="26"/>
      <c r="S61" s="26"/>
      <c r="T61" s="26"/>
      <c r="U61" s="26"/>
      <c r="V61" s="26">
        <v>60</v>
      </c>
      <c r="W61" s="26"/>
      <c r="X61" s="26">
        <v>8.67</v>
      </c>
      <c r="Y61" s="26"/>
      <c r="Z61" s="26"/>
      <c r="AA61" s="26"/>
      <c r="AB61" s="26"/>
      <c r="AC61" s="26">
        <v>20.33</v>
      </c>
      <c r="AD61" s="26">
        <v>10</v>
      </c>
      <c r="AE61" s="26">
        <v>2</v>
      </c>
      <c r="AF61" s="426"/>
      <c r="AG61" s="26"/>
      <c r="AH61" s="26"/>
      <c r="AI61" s="26"/>
      <c r="AJ61" s="26"/>
      <c r="AK61" s="26">
        <v>7.5</v>
      </c>
      <c r="AL61" s="26">
        <v>72</v>
      </c>
      <c r="AM61" s="26">
        <v>0.45</v>
      </c>
      <c r="AN61" s="26"/>
      <c r="AO61" s="26"/>
      <c r="AP61" s="26"/>
      <c r="AQ61" s="26"/>
      <c r="AR61" s="26">
        <v>34.2</v>
      </c>
      <c r="AS61" s="26">
        <v>47</v>
      </c>
      <c r="AT61" s="427">
        <v>189</v>
      </c>
      <c r="AU61" s="425">
        <v>90</v>
      </c>
      <c r="AV61" s="425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436"/>
      <c r="BL61" s="437"/>
      <c r="BM61" s="437"/>
      <c r="BN61" s="437"/>
      <c r="BO61" s="437"/>
      <c r="BP61" s="437"/>
      <c r="BQ61" s="437"/>
      <c r="BR61" s="437"/>
      <c r="BS61" s="437"/>
      <c r="BT61" s="438"/>
      <c r="BU61" s="436"/>
      <c r="BV61" s="437"/>
      <c r="BW61" s="439"/>
      <c r="BX61" s="438"/>
    </row>
    <row r="62" s="415" customFormat="1" spans="1:76">
      <c r="A62" s="198"/>
      <c r="B62" s="22" t="s">
        <v>126</v>
      </c>
      <c r="C62" s="425">
        <v>72.17</v>
      </c>
      <c r="D62" s="26">
        <v>84.46</v>
      </c>
      <c r="E62" s="26">
        <v>55.68</v>
      </c>
      <c r="F62" s="26">
        <v>81.49</v>
      </c>
      <c r="G62" s="26"/>
      <c r="H62" s="26">
        <v>146.05</v>
      </c>
      <c r="I62" s="26">
        <v>266.11</v>
      </c>
      <c r="J62" s="26">
        <v>54</v>
      </c>
      <c r="K62" s="26">
        <v>39.7</v>
      </c>
      <c r="L62" s="26">
        <v>16.4</v>
      </c>
      <c r="M62" s="26"/>
      <c r="N62" s="26">
        <v>207.23</v>
      </c>
      <c r="O62" s="26">
        <v>256.55</v>
      </c>
      <c r="P62" s="26">
        <v>505</v>
      </c>
      <c r="Q62" s="426">
        <v>443</v>
      </c>
      <c r="R62" s="26">
        <v>46.97</v>
      </c>
      <c r="S62" s="26">
        <v>39.36</v>
      </c>
      <c r="T62" s="26">
        <v>44.78</v>
      </c>
      <c r="U62" s="26">
        <v>65.49</v>
      </c>
      <c r="V62" s="26"/>
      <c r="W62" s="26">
        <v>146.05</v>
      </c>
      <c r="X62" s="26">
        <v>233.56</v>
      </c>
      <c r="Y62" s="26">
        <v>24</v>
      </c>
      <c r="Z62" s="26">
        <v>32.2</v>
      </c>
      <c r="AA62" s="26">
        <v>16.4</v>
      </c>
      <c r="AB62" s="26"/>
      <c r="AC62" s="26">
        <v>131.5335</v>
      </c>
      <c r="AD62" s="26">
        <v>197.15</v>
      </c>
      <c r="AE62" s="26">
        <v>262</v>
      </c>
      <c r="AF62" s="426">
        <v>139</v>
      </c>
      <c r="AG62" s="26">
        <v>25.2</v>
      </c>
      <c r="AH62" s="26">
        <v>45.1</v>
      </c>
      <c r="AI62" s="26">
        <v>10.9</v>
      </c>
      <c r="AJ62" s="26">
        <v>16</v>
      </c>
      <c r="AK62" s="26"/>
      <c r="AL62" s="26"/>
      <c r="AM62" s="26">
        <v>32.55</v>
      </c>
      <c r="AN62" s="26">
        <v>30</v>
      </c>
      <c r="AO62" s="26">
        <v>7.5</v>
      </c>
      <c r="AP62" s="26"/>
      <c r="AQ62" s="26"/>
      <c r="AR62" s="26">
        <v>75.7</v>
      </c>
      <c r="AS62" s="26">
        <v>59.4</v>
      </c>
      <c r="AT62" s="427">
        <v>243</v>
      </c>
      <c r="AU62" s="425">
        <v>304</v>
      </c>
      <c r="AV62" s="425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436"/>
      <c r="BL62" s="437"/>
      <c r="BM62" s="437"/>
      <c r="BN62" s="437"/>
      <c r="BO62" s="437"/>
      <c r="BP62" s="437"/>
      <c r="BQ62" s="437"/>
      <c r="BR62" s="437"/>
      <c r="BS62" s="437"/>
      <c r="BT62" s="438"/>
      <c r="BU62" s="436"/>
      <c r="BV62" s="437"/>
      <c r="BW62" s="439"/>
      <c r="BX62" s="438"/>
    </row>
    <row r="63" s="415" customFormat="1" spans="1:76">
      <c r="A63" s="198"/>
      <c r="B63" s="22" t="s">
        <v>128</v>
      </c>
      <c r="C63" s="425">
        <v>22.4</v>
      </c>
      <c r="D63" s="26">
        <v>59</v>
      </c>
      <c r="E63" s="26">
        <v>19.5</v>
      </c>
      <c r="F63" s="26">
        <v>20</v>
      </c>
      <c r="G63" s="26"/>
      <c r="H63" s="26">
        <v>42.5</v>
      </c>
      <c r="I63" s="26">
        <v>55</v>
      </c>
      <c r="J63" s="26">
        <v>12.5</v>
      </c>
      <c r="K63" s="26"/>
      <c r="L63" s="26"/>
      <c r="M63" s="26"/>
      <c r="N63" s="26">
        <v>215.48</v>
      </c>
      <c r="O63" s="26">
        <v>269.29</v>
      </c>
      <c r="P63" s="26">
        <v>594</v>
      </c>
      <c r="Q63" s="426">
        <v>221</v>
      </c>
      <c r="R63" s="26"/>
      <c r="S63" s="26">
        <v>39</v>
      </c>
      <c r="T63" s="26">
        <v>19.5</v>
      </c>
      <c r="U63" s="26"/>
      <c r="V63" s="26"/>
      <c r="W63" s="26"/>
      <c r="X63" s="26"/>
      <c r="Y63" s="26"/>
      <c r="Z63" s="26"/>
      <c r="AA63" s="26"/>
      <c r="AB63" s="26"/>
      <c r="AC63" s="26">
        <v>75.48</v>
      </c>
      <c r="AD63" s="26">
        <v>71.59</v>
      </c>
      <c r="AE63" s="26">
        <v>124</v>
      </c>
      <c r="AF63" s="426">
        <v>41</v>
      </c>
      <c r="AG63" s="26">
        <v>22.4</v>
      </c>
      <c r="AH63" s="26">
        <v>20</v>
      </c>
      <c r="AI63" s="26"/>
      <c r="AJ63" s="26">
        <v>20</v>
      </c>
      <c r="AK63" s="26"/>
      <c r="AL63" s="26">
        <v>42.5</v>
      </c>
      <c r="AM63" s="26">
        <v>55</v>
      </c>
      <c r="AN63" s="26">
        <v>12.5</v>
      </c>
      <c r="AO63" s="26"/>
      <c r="AP63" s="26"/>
      <c r="AQ63" s="26"/>
      <c r="AR63" s="26">
        <v>140</v>
      </c>
      <c r="AS63" s="26">
        <v>196.5</v>
      </c>
      <c r="AT63" s="427">
        <v>470</v>
      </c>
      <c r="AU63" s="425">
        <v>180</v>
      </c>
      <c r="AV63" s="425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436"/>
      <c r="BL63" s="437"/>
      <c r="BM63" s="437"/>
      <c r="BN63" s="437"/>
      <c r="BO63" s="437"/>
      <c r="BP63" s="437"/>
      <c r="BQ63" s="437"/>
      <c r="BR63" s="437"/>
      <c r="BS63" s="437"/>
      <c r="BT63" s="438"/>
      <c r="BU63" s="436"/>
      <c r="BV63" s="437"/>
      <c r="BW63" s="439"/>
      <c r="BX63" s="438"/>
    </row>
    <row r="64" s="415" customFormat="1" spans="1:76">
      <c r="A64" s="198"/>
      <c r="B64" s="22" t="s">
        <v>130</v>
      </c>
      <c r="C64" s="425">
        <v>57</v>
      </c>
      <c r="D64" s="26">
        <v>50</v>
      </c>
      <c r="E64" s="26">
        <v>35.5</v>
      </c>
      <c r="F64" s="26">
        <v>0.7</v>
      </c>
      <c r="G64" s="26"/>
      <c r="H64" s="26">
        <v>60</v>
      </c>
      <c r="I64" s="26">
        <v>6</v>
      </c>
      <c r="J64" s="26"/>
      <c r="K64" s="26">
        <v>82.5</v>
      </c>
      <c r="L64" s="26">
        <v>67.5</v>
      </c>
      <c r="M64" s="26"/>
      <c r="N64" s="26">
        <v>168.61</v>
      </c>
      <c r="O64" s="26">
        <v>107.03</v>
      </c>
      <c r="P64" s="26">
        <v>433</v>
      </c>
      <c r="Q64" s="426">
        <v>335</v>
      </c>
      <c r="R64" s="26">
        <v>57</v>
      </c>
      <c r="S64" s="26">
        <v>50</v>
      </c>
      <c r="T64" s="26">
        <v>35.5</v>
      </c>
      <c r="U64" s="26">
        <v>0.54</v>
      </c>
      <c r="V64" s="26"/>
      <c r="W64" s="26"/>
      <c r="X64" s="26">
        <v>6</v>
      </c>
      <c r="Y64" s="26"/>
      <c r="Z64" s="26">
        <v>22.5</v>
      </c>
      <c r="AA64" s="26">
        <v>67.5</v>
      </c>
      <c r="AB64" s="26"/>
      <c r="AC64" s="26">
        <v>46.11</v>
      </c>
      <c r="AD64" s="26">
        <v>77.03</v>
      </c>
      <c r="AE64" s="26">
        <v>73</v>
      </c>
      <c r="AF64" s="426">
        <v>125</v>
      </c>
      <c r="AG64" s="26"/>
      <c r="AH64" s="26"/>
      <c r="AI64" s="26"/>
      <c r="AJ64" s="26">
        <v>0.16</v>
      </c>
      <c r="AK64" s="26"/>
      <c r="AL64" s="26">
        <v>60</v>
      </c>
      <c r="AM64" s="26"/>
      <c r="AN64" s="26"/>
      <c r="AO64" s="26">
        <v>60</v>
      </c>
      <c r="AP64" s="26"/>
      <c r="AQ64" s="26"/>
      <c r="AR64" s="26">
        <v>121.5</v>
      </c>
      <c r="AS64" s="26">
        <v>30</v>
      </c>
      <c r="AT64" s="427">
        <v>360</v>
      </c>
      <c r="AU64" s="425">
        <v>210</v>
      </c>
      <c r="AV64" s="425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436"/>
      <c r="BL64" s="437"/>
      <c r="BM64" s="437"/>
      <c r="BN64" s="437"/>
      <c r="BO64" s="437"/>
      <c r="BP64" s="437"/>
      <c r="BQ64" s="437"/>
      <c r="BR64" s="437"/>
      <c r="BS64" s="437"/>
      <c r="BT64" s="438"/>
      <c r="BU64" s="436"/>
      <c r="BV64" s="437"/>
      <c r="BW64" s="439"/>
      <c r="BX64" s="438"/>
    </row>
    <row r="65" s="415" customFormat="1" spans="1:76">
      <c r="A65" s="198"/>
      <c r="B65" s="22" t="s">
        <v>132</v>
      </c>
      <c r="C65" s="425"/>
      <c r="D65" s="26"/>
      <c r="E65" s="26">
        <v>0.54</v>
      </c>
      <c r="F65" s="26">
        <v>33</v>
      </c>
      <c r="G65" s="26">
        <v>9</v>
      </c>
      <c r="H65" s="26"/>
      <c r="I65" s="26">
        <v>2</v>
      </c>
      <c r="J65" s="26"/>
      <c r="K65" s="26"/>
      <c r="L65" s="26"/>
      <c r="M65" s="26"/>
      <c r="N65" s="26">
        <v>23</v>
      </c>
      <c r="O65" s="26">
        <v>0.7</v>
      </c>
      <c r="P65" s="26">
        <v>6</v>
      </c>
      <c r="Q65" s="426">
        <v>6</v>
      </c>
      <c r="R65" s="26"/>
      <c r="S65" s="26"/>
      <c r="T65" s="26">
        <v>0.54</v>
      </c>
      <c r="U65" s="26"/>
      <c r="V65" s="26">
        <v>9</v>
      </c>
      <c r="W65" s="26"/>
      <c r="X65" s="26">
        <v>2</v>
      </c>
      <c r="Y65" s="26"/>
      <c r="Z65" s="26"/>
      <c r="AA65" s="26"/>
      <c r="AB65" s="26"/>
      <c r="AC65" s="26">
        <v>23</v>
      </c>
      <c r="AD65" s="26">
        <v>0.7</v>
      </c>
      <c r="AE65" s="26">
        <v>6</v>
      </c>
      <c r="AF65" s="426">
        <v>6</v>
      </c>
      <c r="AG65" s="26"/>
      <c r="AH65" s="26"/>
      <c r="AI65" s="26"/>
      <c r="AJ65" s="26">
        <v>33</v>
      </c>
      <c r="AK65" s="26"/>
      <c r="AL65" s="26"/>
      <c r="AM65" s="26"/>
      <c r="AN65" s="26"/>
      <c r="AO65" s="26"/>
      <c r="AP65" s="26"/>
      <c r="AQ65" s="26"/>
      <c r="AR65" s="26"/>
      <c r="AS65" s="26"/>
      <c r="AT65" s="427"/>
      <c r="AU65" s="425"/>
      <c r="AV65" s="425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436"/>
      <c r="BL65" s="437"/>
      <c r="BM65" s="437"/>
      <c r="BN65" s="437"/>
      <c r="BO65" s="437"/>
      <c r="BP65" s="437"/>
      <c r="BQ65" s="437"/>
      <c r="BR65" s="437"/>
      <c r="BS65" s="437"/>
      <c r="BT65" s="438"/>
      <c r="BU65" s="436"/>
      <c r="BV65" s="437"/>
      <c r="BW65" s="439"/>
      <c r="BX65" s="438"/>
    </row>
    <row r="66" s="415" customFormat="1" spans="1:76">
      <c r="A66" s="198"/>
      <c r="B66" s="22" t="s">
        <v>134</v>
      </c>
      <c r="C66" s="425"/>
      <c r="D66" s="26"/>
      <c r="E66" s="26">
        <v>60</v>
      </c>
      <c r="F66" s="26">
        <v>44.95</v>
      </c>
      <c r="G66" s="26"/>
      <c r="H66" s="26">
        <v>63</v>
      </c>
      <c r="I66" s="26">
        <v>40</v>
      </c>
      <c r="J66" s="26">
        <v>49</v>
      </c>
      <c r="K66" s="26">
        <v>30</v>
      </c>
      <c r="L66" s="26">
        <v>33</v>
      </c>
      <c r="M66" s="26"/>
      <c r="N66" s="26">
        <v>103.65</v>
      </c>
      <c r="O66" s="26">
        <v>245.2</v>
      </c>
      <c r="P66" s="26">
        <v>92</v>
      </c>
      <c r="Q66" s="426">
        <v>273</v>
      </c>
      <c r="R66" s="26"/>
      <c r="S66" s="26"/>
      <c r="T66" s="26"/>
      <c r="U66" s="26">
        <v>9.95</v>
      </c>
      <c r="V66" s="26"/>
      <c r="W66" s="26"/>
      <c r="X66" s="26"/>
      <c r="Y66" s="26">
        <v>9</v>
      </c>
      <c r="Z66" s="26"/>
      <c r="AA66" s="26"/>
      <c r="AB66" s="26"/>
      <c r="AC66" s="26">
        <v>12.45</v>
      </c>
      <c r="AD66" s="26">
        <v>49.2</v>
      </c>
      <c r="AE66" s="26">
        <v>18</v>
      </c>
      <c r="AF66" s="426"/>
      <c r="AG66" s="26"/>
      <c r="AH66" s="26"/>
      <c r="AI66" s="26">
        <v>60</v>
      </c>
      <c r="AJ66" s="26">
        <v>35</v>
      </c>
      <c r="AK66" s="26"/>
      <c r="AL66" s="26">
        <v>63</v>
      </c>
      <c r="AM66" s="26">
        <v>40</v>
      </c>
      <c r="AN66" s="26">
        <v>40</v>
      </c>
      <c r="AO66" s="26">
        <v>30</v>
      </c>
      <c r="AP66" s="26">
        <v>33</v>
      </c>
      <c r="AQ66" s="26"/>
      <c r="AR66" s="26">
        <v>91.2</v>
      </c>
      <c r="AS66" s="26">
        <v>196</v>
      </c>
      <c r="AT66" s="427">
        <v>74</v>
      </c>
      <c r="AU66" s="425">
        <v>273</v>
      </c>
      <c r="AV66" s="425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436"/>
      <c r="BL66" s="437"/>
      <c r="BM66" s="437"/>
      <c r="BN66" s="437"/>
      <c r="BO66" s="437"/>
      <c r="BP66" s="437"/>
      <c r="BQ66" s="437"/>
      <c r="BR66" s="437"/>
      <c r="BS66" s="437"/>
      <c r="BT66" s="438"/>
      <c r="BU66" s="436"/>
      <c r="BV66" s="437"/>
      <c r="BW66" s="439"/>
      <c r="BX66" s="438"/>
    </row>
    <row r="67" s="415" customFormat="1" spans="1:76">
      <c r="A67" s="198"/>
      <c r="B67" s="22" t="s">
        <v>136</v>
      </c>
      <c r="C67" s="425"/>
      <c r="D67" s="26"/>
      <c r="E67" s="26"/>
      <c r="F67" s="26">
        <v>12.5</v>
      </c>
      <c r="G67" s="26">
        <v>45</v>
      </c>
      <c r="H67" s="26">
        <v>13.22</v>
      </c>
      <c r="I67" s="26">
        <v>14.2</v>
      </c>
      <c r="J67" s="26">
        <v>42.82</v>
      </c>
      <c r="K67" s="26">
        <v>30</v>
      </c>
      <c r="L67" s="26">
        <v>1.2</v>
      </c>
      <c r="M67" s="26"/>
      <c r="N67" s="26">
        <v>87.02</v>
      </c>
      <c r="O67" s="26">
        <v>99.76</v>
      </c>
      <c r="P67" s="26">
        <v>106</v>
      </c>
      <c r="Q67" s="426">
        <v>157</v>
      </c>
      <c r="R67" s="26"/>
      <c r="S67" s="26"/>
      <c r="T67" s="26"/>
      <c r="U67" s="26"/>
      <c r="V67" s="26">
        <v>15</v>
      </c>
      <c r="W67" s="26">
        <v>12.5</v>
      </c>
      <c r="X67" s="26"/>
      <c r="Y67" s="26">
        <v>7.6</v>
      </c>
      <c r="Z67" s="26"/>
      <c r="AA67" s="26"/>
      <c r="AB67" s="26"/>
      <c r="AC67" s="26">
        <v>57.015</v>
      </c>
      <c r="AD67" s="26">
        <v>22.26</v>
      </c>
      <c r="AE67" s="26">
        <v>14</v>
      </c>
      <c r="AF67" s="426">
        <v>20</v>
      </c>
      <c r="AG67" s="26"/>
      <c r="AH67" s="26"/>
      <c r="AI67" s="26"/>
      <c r="AJ67" s="26">
        <v>12.5</v>
      </c>
      <c r="AK67" s="26">
        <v>30</v>
      </c>
      <c r="AL67" s="26">
        <v>0.72</v>
      </c>
      <c r="AM67" s="26">
        <v>14.2</v>
      </c>
      <c r="AN67" s="26">
        <v>35.22</v>
      </c>
      <c r="AO67" s="26">
        <v>30</v>
      </c>
      <c r="AP67" s="26">
        <v>1.2</v>
      </c>
      <c r="AQ67" s="26"/>
      <c r="AR67" s="26">
        <v>30</v>
      </c>
      <c r="AS67" s="26">
        <v>77.5</v>
      </c>
      <c r="AT67" s="427">
        <v>81</v>
      </c>
      <c r="AU67" s="425">
        <v>123</v>
      </c>
      <c r="AV67" s="425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436"/>
      <c r="BL67" s="437"/>
      <c r="BM67" s="437"/>
      <c r="BN67" s="437"/>
      <c r="BO67" s="437"/>
      <c r="BP67" s="437"/>
      <c r="BQ67" s="437"/>
      <c r="BR67" s="437"/>
      <c r="BS67" s="437"/>
      <c r="BT67" s="438"/>
      <c r="BU67" s="436"/>
      <c r="BV67" s="437">
        <v>11</v>
      </c>
      <c r="BW67" s="439">
        <v>15</v>
      </c>
      <c r="BX67" s="438"/>
    </row>
    <row r="68" s="415" customFormat="1" spans="1:76">
      <c r="A68" s="198"/>
      <c r="B68" s="22" t="s">
        <v>138</v>
      </c>
      <c r="C68" s="425"/>
      <c r="D68" s="26"/>
      <c r="E68" s="26">
        <v>12.5</v>
      </c>
      <c r="F68" s="26">
        <v>19</v>
      </c>
      <c r="G68" s="26">
        <v>80</v>
      </c>
      <c r="H68" s="26">
        <v>40</v>
      </c>
      <c r="I68" s="26">
        <v>52.5</v>
      </c>
      <c r="J68" s="26">
        <v>12.5</v>
      </c>
      <c r="K68" s="26"/>
      <c r="L68" s="26"/>
      <c r="M68" s="26"/>
      <c r="N68" s="26">
        <v>75.15</v>
      </c>
      <c r="O68" s="26">
        <v>78.6</v>
      </c>
      <c r="P68" s="26">
        <v>113</v>
      </c>
      <c r="Q68" s="426">
        <v>63</v>
      </c>
      <c r="R68" s="26"/>
      <c r="S68" s="26"/>
      <c r="T68" s="26"/>
      <c r="U68" s="26"/>
      <c r="V68" s="26">
        <v>80</v>
      </c>
      <c r="W68" s="26">
        <v>40</v>
      </c>
      <c r="X68" s="26">
        <v>40</v>
      </c>
      <c r="Y68" s="26"/>
      <c r="Z68" s="26"/>
      <c r="AA68" s="26"/>
      <c r="AB68" s="26"/>
      <c r="AC68" s="26">
        <v>74.25</v>
      </c>
      <c r="AD68" s="26">
        <v>78.6</v>
      </c>
      <c r="AE68" s="26">
        <v>53</v>
      </c>
      <c r="AF68" s="426">
        <v>26</v>
      </c>
      <c r="AG68" s="26"/>
      <c r="AH68" s="26"/>
      <c r="AI68" s="26">
        <v>12.5</v>
      </c>
      <c r="AJ68" s="26">
        <v>19</v>
      </c>
      <c r="AK68" s="26"/>
      <c r="AL68" s="26"/>
      <c r="AM68" s="26">
        <v>12.5</v>
      </c>
      <c r="AN68" s="26">
        <v>12.5</v>
      </c>
      <c r="AO68" s="26"/>
      <c r="AP68" s="26"/>
      <c r="AQ68" s="26"/>
      <c r="AR68" s="26">
        <v>0.9</v>
      </c>
      <c r="AS68" s="26"/>
      <c r="AT68" s="427">
        <v>60</v>
      </c>
      <c r="AU68" s="425">
        <v>38</v>
      </c>
      <c r="AV68" s="425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436"/>
      <c r="BL68" s="437"/>
      <c r="BM68" s="437"/>
      <c r="BN68" s="437"/>
      <c r="BO68" s="437"/>
      <c r="BP68" s="437"/>
      <c r="BQ68" s="437"/>
      <c r="BR68" s="437"/>
      <c r="BS68" s="437"/>
      <c r="BT68" s="438"/>
      <c r="BU68" s="436"/>
      <c r="BV68" s="437"/>
      <c r="BW68" s="439"/>
      <c r="BX68" s="438"/>
    </row>
    <row r="69" s="415" customFormat="1" spans="1:76">
      <c r="A69" s="198"/>
      <c r="B69" s="22" t="s">
        <v>140</v>
      </c>
      <c r="C69" s="425"/>
      <c r="D69" s="26"/>
      <c r="E69" s="26"/>
      <c r="F69" s="26"/>
      <c r="G69" s="26">
        <v>60</v>
      </c>
      <c r="H69" s="26"/>
      <c r="I69" s="26"/>
      <c r="J69" s="26"/>
      <c r="K69" s="26"/>
      <c r="L69" s="26">
        <v>33</v>
      </c>
      <c r="M69" s="26"/>
      <c r="N69" s="26">
        <v>35</v>
      </c>
      <c r="O69" s="26">
        <v>96.04</v>
      </c>
      <c r="P69" s="26">
        <v>189</v>
      </c>
      <c r="Q69" s="426">
        <v>135</v>
      </c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>
        <v>2.9</v>
      </c>
      <c r="AE69" s="26"/>
      <c r="AF69" s="426"/>
      <c r="AG69" s="26"/>
      <c r="AH69" s="26"/>
      <c r="AI69" s="26"/>
      <c r="AJ69" s="26"/>
      <c r="AK69" s="26">
        <v>60</v>
      </c>
      <c r="AL69" s="26"/>
      <c r="AM69" s="26"/>
      <c r="AN69" s="26"/>
      <c r="AO69" s="26"/>
      <c r="AP69" s="26">
        <v>33</v>
      </c>
      <c r="AQ69" s="26"/>
      <c r="AR69" s="26">
        <v>33</v>
      </c>
      <c r="AS69" s="26">
        <v>81</v>
      </c>
      <c r="AT69" s="427">
        <v>189</v>
      </c>
      <c r="AU69" s="425">
        <v>120</v>
      </c>
      <c r="AV69" s="425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436"/>
      <c r="BL69" s="437"/>
      <c r="BM69" s="437"/>
      <c r="BN69" s="437"/>
      <c r="BO69" s="437"/>
      <c r="BP69" s="437"/>
      <c r="BQ69" s="437"/>
      <c r="BR69" s="437"/>
      <c r="BS69" s="437"/>
      <c r="BT69" s="438"/>
      <c r="BU69" s="436"/>
      <c r="BV69" s="437"/>
      <c r="BW69" s="439">
        <v>15</v>
      </c>
      <c r="BX69" s="438"/>
    </row>
    <row r="70" s="415" customFormat="1" spans="1:76">
      <c r="A70" s="198"/>
      <c r="B70" s="22" t="s">
        <v>142</v>
      </c>
      <c r="C70" s="429">
        <v>11</v>
      </c>
      <c r="D70" s="430">
        <v>33.11</v>
      </c>
      <c r="E70" s="430"/>
      <c r="F70" s="430"/>
      <c r="G70" s="430">
        <v>3.76</v>
      </c>
      <c r="H70" s="430">
        <v>11.2</v>
      </c>
      <c r="I70" s="430">
        <v>3.7</v>
      </c>
      <c r="J70" s="430">
        <v>21.2</v>
      </c>
      <c r="K70" s="430">
        <v>29.1</v>
      </c>
      <c r="L70" s="430">
        <v>23.5</v>
      </c>
      <c r="M70" s="430"/>
      <c r="N70" s="430">
        <v>38.77</v>
      </c>
      <c r="O70" s="430">
        <v>49.26</v>
      </c>
      <c r="P70" s="430">
        <v>132</v>
      </c>
      <c r="Q70" s="431">
        <v>49</v>
      </c>
      <c r="R70" s="430">
        <v>5.3</v>
      </c>
      <c r="S70" s="430">
        <v>3.28</v>
      </c>
      <c r="T70" s="430"/>
      <c r="U70" s="430"/>
      <c r="V70" s="430">
        <v>1.26</v>
      </c>
      <c r="W70" s="430"/>
      <c r="X70" s="430"/>
      <c r="Y70" s="430"/>
      <c r="Z70" s="430"/>
      <c r="AA70" s="430"/>
      <c r="AB70" s="430"/>
      <c r="AC70" s="430">
        <v>1.43</v>
      </c>
      <c r="AD70" s="430">
        <v>23.8</v>
      </c>
      <c r="AE70" s="430">
        <v>41</v>
      </c>
      <c r="AF70" s="431">
        <v>10</v>
      </c>
      <c r="AG70" s="430">
        <v>5.7</v>
      </c>
      <c r="AH70" s="430">
        <v>29.83</v>
      </c>
      <c r="AI70" s="430"/>
      <c r="AJ70" s="430"/>
      <c r="AK70" s="430">
        <v>2.5</v>
      </c>
      <c r="AL70" s="430">
        <v>11.2</v>
      </c>
      <c r="AM70" s="430">
        <v>3.7</v>
      </c>
      <c r="AN70" s="430">
        <v>21.2</v>
      </c>
      <c r="AO70" s="430">
        <v>29.1</v>
      </c>
      <c r="AP70" s="430">
        <v>23.5</v>
      </c>
      <c r="AQ70" s="430"/>
      <c r="AR70" s="430">
        <v>32.6</v>
      </c>
      <c r="AS70" s="430">
        <v>18</v>
      </c>
      <c r="AT70" s="432">
        <v>89</v>
      </c>
      <c r="AU70" s="429">
        <v>30</v>
      </c>
      <c r="AV70" s="429"/>
      <c r="AW70" s="430"/>
      <c r="AX70" s="430"/>
      <c r="AY70" s="430"/>
      <c r="AZ70" s="430"/>
      <c r="BA70" s="430"/>
      <c r="BB70" s="430"/>
      <c r="BC70" s="430"/>
      <c r="BD70" s="430"/>
      <c r="BE70" s="430"/>
      <c r="BF70" s="430"/>
      <c r="BG70" s="430"/>
      <c r="BH70" s="430"/>
      <c r="BI70" s="430"/>
      <c r="BJ70" s="430"/>
      <c r="BK70" s="440"/>
      <c r="BL70" s="441"/>
      <c r="BM70" s="441"/>
      <c r="BN70" s="441"/>
      <c r="BO70" s="441"/>
      <c r="BP70" s="441"/>
      <c r="BQ70" s="441"/>
      <c r="BR70" s="441"/>
      <c r="BS70" s="441"/>
      <c r="BT70" s="191"/>
      <c r="BU70" s="440"/>
      <c r="BV70" s="441">
        <v>2</v>
      </c>
      <c r="BW70" s="442">
        <v>9</v>
      </c>
      <c r="BX70" s="438"/>
    </row>
    <row r="72" s="414" customFormat="1" ht="13.85" spans="1:76">
      <c r="A72" s="416" t="s">
        <v>143</v>
      </c>
      <c r="B72" s="416" t="s">
        <v>144</v>
      </c>
      <c r="C72" s="416" t="s">
        <v>154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S72" s="416" t="s">
        <v>155</v>
      </c>
      <c r="T72" s="416"/>
      <c r="U72" s="416"/>
      <c r="V72" s="416"/>
      <c r="W72" s="416"/>
      <c r="X72" s="416"/>
      <c r="Y72" s="416"/>
      <c r="Z72" s="416"/>
      <c r="AA72" s="416"/>
      <c r="AB72" s="416"/>
      <c r="AC72" s="416"/>
      <c r="AD72" s="416"/>
      <c r="AE72" s="416"/>
      <c r="AF72" s="416"/>
      <c r="AG72" s="416"/>
      <c r="AH72" s="416"/>
    </row>
    <row r="73" s="414" customFormat="1" ht="13.85" spans="1:76">
      <c r="A73" s="416"/>
      <c r="B73" s="416"/>
      <c r="C73" s="416">
        <v>1993</v>
      </c>
      <c r="D73" s="416">
        <v>1994</v>
      </c>
      <c r="E73" s="416">
        <v>1995</v>
      </c>
      <c r="F73" s="416">
        <v>1996</v>
      </c>
      <c r="G73" s="416">
        <v>1997</v>
      </c>
      <c r="H73" s="416">
        <v>1998</v>
      </c>
      <c r="I73" s="416">
        <v>1999</v>
      </c>
      <c r="J73" s="416">
        <v>2000</v>
      </c>
      <c r="K73" s="416">
        <v>2001</v>
      </c>
      <c r="L73" s="416">
        <v>2002</v>
      </c>
      <c r="M73" s="416">
        <v>2003</v>
      </c>
      <c r="N73" s="416">
        <v>2004</v>
      </c>
      <c r="O73" s="416">
        <v>2005</v>
      </c>
      <c r="P73" s="416">
        <v>2006</v>
      </c>
      <c r="Q73" s="416">
        <v>2007</v>
      </c>
      <c r="S73" s="416">
        <v>1992</v>
      </c>
      <c r="T73" s="416">
        <v>1993</v>
      </c>
      <c r="U73" s="416">
        <v>1994</v>
      </c>
      <c r="V73" s="416">
        <v>1995</v>
      </c>
      <c r="W73" s="416">
        <v>1996</v>
      </c>
      <c r="X73" s="416">
        <v>1997</v>
      </c>
      <c r="Y73" s="416">
        <v>1998</v>
      </c>
      <c r="Z73" s="416">
        <v>1999</v>
      </c>
      <c r="AA73" s="416">
        <v>2000</v>
      </c>
      <c r="AB73" s="416">
        <v>2001</v>
      </c>
      <c r="AC73" s="416">
        <v>2002</v>
      </c>
      <c r="AD73" s="416">
        <v>2003</v>
      </c>
      <c r="AE73" s="416">
        <v>2004</v>
      </c>
      <c r="AF73" s="416">
        <v>2005</v>
      </c>
      <c r="AG73" s="416">
        <v>2006</v>
      </c>
      <c r="AH73" s="416">
        <v>2007</v>
      </c>
    </row>
    <row r="74" spans="1:76">
      <c r="A74" s="27" t="s">
        <v>156</v>
      </c>
      <c r="B74" s="200" t="s">
        <v>80</v>
      </c>
      <c r="C74" s="31">
        <f>R39*10</f>
        <v>3684.2</v>
      </c>
      <c r="D74" s="31">
        <f>MAX(S4-R4,R39,0)*10</f>
        <v>4468.3</v>
      </c>
      <c r="E74" s="31">
        <f t="shared" ref="E74:O74" si="0">MAX(T4-S4,S39,0)*10</f>
        <v>3971.5</v>
      </c>
      <c r="F74" s="31">
        <f t="shared" si="0"/>
        <v>3394.3</v>
      </c>
      <c r="G74" s="31">
        <f t="shared" si="0"/>
        <v>4152.3</v>
      </c>
      <c r="H74" s="31">
        <f t="shared" si="0"/>
        <v>5334.8</v>
      </c>
      <c r="I74" s="31">
        <f t="shared" si="0"/>
        <v>7905.8</v>
      </c>
      <c r="J74" s="31">
        <f t="shared" si="0"/>
        <v>6381.4</v>
      </c>
      <c r="K74" s="31">
        <f t="shared" si="0"/>
        <v>4524.1</v>
      </c>
      <c r="L74" s="31">
        <f t="shared" si="0"/>
        <v>3068.2</v>
      </c>
      <c r="M74" s="31">
        <f t="shared" si="0"/>
        <v>8821.60000000002</v>
      </c>
      <c r="N74" s="31">
        <f t="shared" si="0"/>
        <v>10345.4</v>
      </c>
      <c r="O74" s="31">
        <f t="shared" si="0"/>
        <v>12146.4</v>
      </c>
      <c r="P74" s="31">
        <f>MAX(AE4-AD4+'06-23Closure'!B3,AE39,0)*10</f>
        <v>13642</v>
      </c>
      <c r="Q74" s="31">
        <f>MAX(AF4-AE4+'06-23Closure'!C3,AF39,0)*10</f>
        <v>20859.665</v>
      </c>
      <c r="S74" s="31">
        <f>(R4-R39)*10</f>
        <v>40908.3</v>
      </c>
      <c r="T74" s="31">
        <f>R4*10</f>
        <v>44592.5</v>
      </c>
      <c r="U74" s="31">
        <f t="shared" ref="U74:AH89" si="1">S4*10</f>
        <v>49060.8</v>
      </c>
      <c r="V74" s="31">
        <f t="shared" si="1"/>
        <v>52183.6</v>
      </c>
      <c r="W74" s="31">
        <f t="shared" si="1"/>
        <v>55577.9</v>
      </c>
      <c r="X74" s="31">
        <f t="shared" si="1"/>
        <v>59730.2</v>
      </c>
      <c r="Y74" s="31">
        <f t="shared" si="1"/>
        <v>65065</v>
      </c>
      <c r="Z74" s="31">
        <f t="shared" si="1"/>
        <v>72970.8</v>
      </c>
      <c r="AA74" s="31">
        <f t="shared" si="1"/>
        <v>79352.2</v>
      </c>
      <c r="AB74" s="31">
        <f t="shared" si="1"/>
        <v>83006.4</v>
      </c>
      <c r="AC74" s="31">
        <f t="shared" si="1"/>
        <v>86074.6</v>
      </c>
      <c r="AD74" s="31">
        <f t="shared" si="1"/>
        <v>94896.2</v>
      </c>
      <c r="AE74" s="31">
        <f t="shared" si="1"/>
        <v>105241.6</v>
      </c>
      <c r="AF74" s="31">
        <f t="shared" si="1"/>
        <v>117388</v>
      </c>
      <c r="AG74" s="31">
        <f t="shared" si="1"/>
        <v>130292</v>
      </c>
      <c r="AH74" s="31">
        <f t="shared" si="1"/>
        <v>148230</v>
      </c>
    </row>
    <row r="75" spans="1:76">
      <c r="A75" s="27" t="s">
        <v>156</v>
      </c>
      <c r="B75" s="200" t="s">
        <v>82</v>
      </c>
      <c r="C75" s="31">
        <f t="shared" ref="C75:C105" si="2">R40*10</f>
        <v>0</v>
      </c>
      <c r="D75" s="31">
        <f t="shared" ref="D75:D105" si="3">MAX(S5-R5,R40,0)*10</f>
        <v>0</v>
      </c>
      <c r="E75" s="31">
        <f t="shared" ref="E75:E105" si="4">MAX(T5-S5,S40,0)*10</f>
        <v>0</v>
      </c>
      <c r="F75" s="31">
        <f t="shared" ref="F75:F105" si="5">MAX(U5-T5,T40,0)*10</f>
        <v>396</v>
      </c>
      <c r="G75" s="31">
        <f t="shared" ref="G75:G105" si="6">MAX(V5-U5,U40,0)*10</f>
        <v>402.7</v>
      </c>
      <c r="H75" s="31">
        <f t="shared" ref="H75:H105" si="7">MAX(W5-V5,V40,0)*10</f>
        <v>200</v>
      </c>
      <c r="I75" s="31">
        <f t="shared" ref="I75:I105" si="8">MAX(X5-W5,W40,0)*10</f>
        <v>0</v>
      </c>
      <c r="J75" s="31">
        <f t="shared" ref="J75:J105" si="9">MAX(Y5-X5,X40,0)*10</f>
        <v>0</v>
      </c>
      <c r="K75" s="31">
        <f t="shared" ref="K75:K105" si="10">MAX(Z5-Y5,Y40,0)*10</f>
        <v>0</v>
      </c>
      <c r="L75" s="31">
        <f t="shared" ref="L75:L105" si="11">MAX(AA5-Z5,Z40,0)*10</f>
        <v>0</v>
      </c>
      <c r="M75" s="31">
        <f t="shared" ref="M75:M105" si="12">MAX(AB5-AA5,AA40,0)*10</f>
        <v>19.6000000000001</v>
      </c>
      <c r="N75" s="31">
        <f t="shared" ref="N75:N105" si="13">MAX(AC5-AB5,AB40,0)*10</f>
        <v>0</v>
      </c>
      <c r="O75" s="31">
        <f t="shared" ref="O75:O105" si="14">MAX(AD5-AC5,AC40,0)*10</f>
        <v>0</v>
      </c>
      <c r="P75" s="31">
        <f>MAX(AE5-AD5+'06-23Closure'!B4,AE40,0)*10</f>
        <v>1</v>
      </c>
      <c r="Q75" s="31">
        <f>MAX(AF5-AE5+'06-23Closure'!C4,AF40,0)*10</f>
        <v>0</v>
      </c>
      <c r="S75" s="31">
        <f t="shared" ref="S75:S105" si="15">(R5-R40)*10</f>
        <v>270.9</v>
      </c>
      <c r="T75" s="31">
        <f t="shared" ref="T75:T105" si="16">R5*10</f>
        <v>270.9</v>
      </c>
      <c r="U75" s="31">
        <f t="shared" si="1"/>
        <v>270.9</v>
      </c>
      <c r="V75" s="31">
        <f t="shared" si="1"/>
        <v>270.9</v>
      </c>
      <c r="W75" s="31">
        <f t="shared" si="1"/>
        <v>666.9</v>
      </c>
      <c r="X75" s="31">
        <f t="shared" si="1"/>
        <v>1069.6</v>
      </c>
      <c r="Y75" s="31">
        <f t="shared" si="1"/>
        <v>1069.6</v>
      </c>
      <c r="Z75" s="31">
        <f t="shared" si="1"/>
        <v>1058.1</v>
      </c>
      <c r="AA75" s="31">
        <f t="shared" si="1"/>
        <v>1058.1</v>
      </c>
      <c r="AB75" s="31">
        <f t="shared" si="1"/>
        <v>1058.1</v>
      </c>
      <c r="AC75" s="31">
        <f t="shared" si="1"/>
        <v>1038.5</v>
      </c>
      <c r="AD75" s="31">
        <f t="shared" si="1"/>
        <v>1058.1</v>
      </c>
      <c r="AE75" s="31">
        <f t="shared" si="1"/>
        <v>1055.9</v>
      </c>
      <c r="AF75" s="31">
        <f t="shared" si="1"/>
        <v>1053</v>
      </c>
      <c r="AG75" s="31">
        <f t="shared" si="1"/>
        <v>1053</v>
      </c>
      <c r="AH75" s="31">
        <f t="shared" si="1"/>
        <v>1050</v>
      </c>
    </row>
    <row r="76" spans="1:76">
      <c r="A76" s="27" t="s">
        <v>156</v>
      </c>
      <c r="B76" s="200" t="s">
        <v>84</v>
      </c>
      <c r="C76" s="31">
        <f t="shared" si="2"/>
        <v>0</v>
      </c>
      <c r="D76" s="31">
        <f t="shared" si="3"/>
        <v>0</v>
      </c>
      <c r="E76" s="31">
        <f t="shared" si="4"/>
        <v>4.5</v>
      </c>
      <c r="F76" s="31">
        <f t="shared" si="5"/>
        <v>0.8</v>
      </c>
      <c r="G76" s="31">
        <f t="shared" si="6"/>
        <v>0</v>
      </c>
      <c r="H76" s="31">
        <f t="shared" si="7"/>
        <v>0</v>
      </c>
      <c r="I76" s="31">
        <f t="shared" si="8"/>
        <v>0</v>
      </c>
      <c r="J76" s="31">
        <f t="shared" si="9"/>
        <v>0</v>
      </c>
      <c r="K76" s="31">
        <f t="shared" si="10"/>
        <v>0</v>
      </c>
      <c r="L76" s="31">
        <f t="shared" si="11"/>
        <v>0</v>
      </c>
      <c r="M76" s="31">
        <f t="shared" si="12"/>
        <v>0</v>
      </c>
      <c r="N76" s="31">
        <f t="shared" si="13"/>
        <v>0</v>
      </c>
      <c r="O76" s="31">
        <f t="shared" si="14"/>
        <v>0</v>
      </c>
      <c r="P76" s="31">
        <f>MAX(AE6-AD6+'06-23Closure'!B5,AE41,0)*10</f>
        <v>0</v>
      </c>
      <c r="Q76" s="31">
        <f>MAX(AF6-AE6+'06-23Closure'!C5,AF41,0)*10</f>
        <v>5</v>
      </c>
      <c r="S76" s="31">
        <f t="shared" si="15"/>
        <v>5</v>
      </c>
      <c r="T76" s="31">
        <f t="shared" si="16"/>
        <v>5</v>
      </c>
      <c r="U76" s="31">
        <f t="shared" si="1"/>
        <v>0.5</v>
      </c>
      <c r="V76" s="31">
        <f t="shared" si="1"/>
        <v>5</v>
      </c>
      <c r="W76" s="31">
        <f t="shared" si="1"/>
        <v>5.8</v>
      </c>
      <c r="X76" s="31">
        <f t="shared" si="1"/>
        <v>5.8</v>
      </c>
      <c r="Y76" s="31">
        <f t="shared" si="1"/>
        <v>5.8</v>
      </c>
      <c r="Z76" s="31">
        <f t="shared" si="1"/>
        <v>5</v>
      </c>
      <c r="AA76" s="31">
        <f t="shared" si="1"/>
        <v>5</v>
      </c>
      <c r="AB76" s="31">
        <f t="shared" si="1"/>
        <v>5</v>
      </c>
      <c r="AC76" s="31">
        <f t="shared" si="1"/>
        <v>5</v>
      </c>
      <c r="AD76" s="31">
        <f t="shared" si="1"/>
        <v>5</v>
      </c>
      <c r="AE76" s="31">
        <f t="shared" si="1"/>
        <v>5</v>
      </c>
      <c r="AF76" s="31">
        <f t="shared" si="1"/>
        <v>5</v>
      </c>
      <c r="AG76" s="31">
        <f t="shared" si="1"/>
        <v>5</v>
      </c>
      <c r="AH76" s="31">
        <f t="shared" si="1"/>
        <v>10</v>
      </c>
    </row>
    <row r="77" spans="1:76">
      <c r="A77" s="27" t="s">
        <v>156</v>
      </c>
      <c r="B77" s="200" t="s">
        <v>86</v>
      </c>
      <c r="C77" s="31">
        <f t="shared" si="2"/>
        <v>0</v>
      </c>
      <c r="D77" s="31">
        <f t="shared" si="3"/>
        <v>14.4999999999999</v>
      </c>
      <c r="E77" s="31">
        <f t="shared" si="4"/>
        <v>0</v>
      </c>
      <c r="F77" s="31">
        <f t="shared" si="5"/>
        <v>10.3</v>
      </c>
      <c r="G77" s="31">
        <f t="shared" si="6"/>
        <v>11.1</v>
      </c>
      <c r="H77" s="31">
        <f t="shared" si="7"/>
        <v>11.7</v>
      </c>
      <c r="I77" s="31">
        <f t="shared" si="8"/>
        <v>24.8999999999999</v>
      </c>
      <c r="J77" s="31">
        <f t="shared" si="9"/>
        <v>7.30000000000004</v>
      </c>
      <c r="K77" s="31">
        <f t="shared" si="10"/>
        <v>15.4000000000001</v>
      </c>
      <c r="L77" s="31">
        <f t="shared" si="11"/>
        <v>53.8</v>
      </c>
      <c r="M77" s="31">
        <f t="shared" si="12"/>
        <v>0</v>
      </c>
      <c r="N77" s="31">
        <f t="shared" si="13"/>
        <v>19.4999999999999</v>
      </c>
      <c r="O77" s="31">
        <f t="shared" si="14"/>
        <v>8.8</v>
      </c>
      <c r="P77" s="31">
        <f>MAX(AE7-AD7+'06-23Closure'!B6,AE42,0)*10</f>
        <v>190</v>
      </c>
      <c r="Q77" s="31">
        <f>MAX(AF7-AE7+'06-23Closure'!C6,AF42,0)*10</f>
        <v>0</v>
      </c>
      <c r="S77" s="31">
        <f t="shared" si="15"/>
        <v>673.7</v>
      </c>
      <c r="T77" s="31">
        <f t="shared" si="16"/>
        <v>673.7</v>
      </c>
      <c r="U77" s="31">
        <f t="shared" si="1"/>
        <v>688.2</v>
      </c>
      <c r="V77" s="31">
        <f t="shared" si="1"/>
        <v>661.9</v>
      </c>
      <c r="W77" s="31">
        <f t="shared" si="1"/>
        <v>672.2</v>
      </c>
      <c r="X77" s="31">
        <f t="shared" si="1"/>
        <v>683.3</v>
      </c>
      <c r="Y77" s="31">
        <f t="shared" si="1"/>
        <v>695</v>
      </c>
      <c r="Z77" s="31">
        <f t="shared" si="1"/>
        <v>719.9</v>
      </c>
      <c r="AA77" s="31">
        <f t="shared" si="1"/>
        <v>727.2</v>
      </c>
      <c r="AB77" s="31">
        <f t="shared" si="1"/>
        <v>742.6</v>
      </c>
      <c r="AC77" s="31">
        <f t="shared" si="1"/>
        <v>775.9</v>
      </c>
      <c r="AD77" s="31">
        <f t="shared" si="1"/>
        <v>764.3</v>
      </c>
      <c r="AE77" s="31">
        <f t="shared" si="1"/>
        <v>783.8</v>
      </c>
      <c r="AF77" s="31">
        <f t="shared" si="1"/>
        <v>785</v>
      </c>
      <c r="AG77" s="31">
        <f t="shared" si="1"/>
        <v>785</v>
      </c>
      <c r="AH77" s="31">
        <f t="shared" si="1"/>
        <v>780</v>
      </c>
    </row>
    <row r="78" spans="1:76">
      <c r="A78" s="27" t="s">
        <v>156</v>
      </c>
      <c r="B78" s="200" t="s">
        <v>88</v>
      </c>
      <c r="C78" s="31">
        <f t="shared" si="2"/>
        <v>0</v>
      </c>
      <c r="D78" s="31">
        <f t="shared" si="3"/>
        <v>0</v>
      </c>
      <c r="E78" s="31">
        <f t="shared" si="4"/>
        <v>0</v>
      </c>
      <c r="F78" s="31">
        <f t="shared" si="5"/>
        <v>0.700000000000003</v>
      </c>
      <c r="G78" s="31">
        <f t="shared" si="6"/>
        <v>0</v>
      </c>
      <c r="H78" s="31">
        <f t="shared" si="7"/>
        <v>178.9</v>
      </c>
      <c r="I78" s="31">
        <f t="shared" si="8"/>
        <v>179.9</v>
      </c>
      <c r="J78" s="31">
        <f t="shared" si="9"/>
        <v>359.9</v>
      </c>
      <c r="K78" s="31">
        <f t="shared" si="10"/>
        <v>0</v>
      </c>
      <c r="L78" s="31">
        <f t="shared" si="11"/>
        <v>0</v>
      </c>
      <c r="M78" s="31">
        <f t="shared" si="12"/>
        <v>0.39999999999992</v>
      </c>
      <c r="N78" s="31">
        <f t="shared" si="13"/>
        <v>0</v>
      </c>
      <c r="O78" s="31">
        <f t="shared" si="14"/>
        <v>0</v>
      </c>
      <c r="P78" s="31">
        <f>MAX(AE8-AD8+'06-23Closure'!B7,AE43,0)*10</f>
        <v>11</v>
      </c>
      <c r="Q78" s="31">
        <f>MAX(AF8-AE8+'06-23Closure'!C7,AF43,0)*10</f>
        <v>0</v>
      </c>
      <c r="S78" s="31">
        <f t="shared" si="15"/>
        <v>274</v>
      </c>
      <c r="T78" s="31">
        <f t="shared" si="16"/>
        <v>274</v>
      </c>
      <c r="U78" s="31">
        <f t="shared" si="1"/>
        <v>258.4</v>
      </c>
      <c r="V78" s="31">
        <f t="shared" si="1"/>
        <v>258.4</v>
      </c>
      <c r="W78" s="31">
        <f t="shared" si="1"/>
        <v>259.1</v>
      </c>
      <c r="X78" s="31">
        <f t="shared" si="1"/>
        <v>259</v>
      </c>
      <c r="Y78" s="31">
        <f t="shared" si="1"/>
        <v>437.9</v>
      </c>
      <c r="Z78" s="31">
        <f t="shared" si="1"/>
        <v>617.8</v>
      </c>
      <c r="AA78" s="31">
        <f t="shared" si="1"/>
        <v>977.7</v>
      </c>
      <c r="AB78" s="31">
        <f t="shared" si="1"/>
        <v>795.9</v>
      </c>
      <c r="AC78" s="31">
        <f t="shared" si="1"/>
        <v>795.3</v>
      </c>
      <c r="AD78" s="31">
        <f t="shared" si="1"/>
        <v>795.7</v>
      </c>
      <c r="AE78" s="31">
        <f t="shared" si="1"/>
        <v>787.3</v>
      </c>
      <c r="AF78" s="31">
        <f t="shared" si="1"/>
        <v>783</v>
      </c>
      <c r="AG78" s="31">
        <f t="shared" si="1"/>
        <v>790</v>
      </c>
      <c r="AH78" s="31">
        <f t="shared" si="1"/>
        <v>790</v>
      </c>
    </row>
    <row r="79" spans="1:76">
      <c r="A79" s="27" t="s">
        <v>156</v>
      </c>
      <c r="B79" s="200" t="s">
        <v>90</v>
      </c>
      <c r="C79" s="31">
        <f t="shared" si="2"/>
        <v>0</v>
      </c>
      <c r="D79" s="31">
        <f t="shared" si="3"/>
        <v>0</v>
      </c>
      <c r="E79" s="31">
        <f t="shared" si="4"/>
        <v>0</v>
      </c>
      <c r="F79" s="31">
        <f t="shared" si="5"/>
        <v>5.4</v>
      </c>
      <c r="G79" s="31">
        <f t="shared" si="6"/>
        <v>0</v>
      </c>
      <c r="H79" s="31">
        <f t="shared" si="7"/>
        <v>3.5</v>
      </c>
      <c r="I79" s="31">
        <f t="shared" si="8"/>
        <v>180</v>
      </c>
      <c r="J79" s="31">
        <f t="shared" si="9"/>
        <v>180.4</v>
      </c>
      <c r="K79" s="31">
        <f t="shared" si="10"/>
        <v>155.6</v>
      </c>
      <c r="L79" s="31">
        <f t="shared" si="11"/>
        <v>25.9</v>
      </c>
      <c r="M79" s="31">
        <f t="shared" si="12"/>
        <v>0</v>
      </c>
      <c r="N79" s="31">
        <f t="shared" si="13"/>
        <v>0</v>
      </c>
      <c r="O79" s="31">
        <f t="shared" si="14"/>
        <v>0.0999999999999801</v>
      </c>
      <c r="P79" s="31">
        <f>MAX(AE9-AD9+'06-23Closure'!B8,AE44,0)*10</f>
        <v>250</v>
      </c>
      <c r="Q79" s="31">
        <f>MAX(AF9-AE9+'06-23Closure'!C8,AF44,0)*10</f>
        <v>12</v>
      </c>
      <c r="S79" s="31">
        <f t="shared" si="15"/>
        <v>43.7</v>
      </c>
      <c r="T79" s="31">
        <f t="shared" si="16"/>
        <v>43.7</v>
      </c>
      <c r="U79" s="31">
        <f t="shared" si="1"/>
        <v>43.6</v>
      </c>
      <c r="V79" s="31">
        <f t="shared" si="1"/>
        <v>43.6</v>
      </c>
      <c r="W79" s="31">
        <f t="shared" si="1"/>
        <v>49</v>
      </c>
      <c r="X79" s="31">
        <f t="shared" si="1"/>
        <v>46.7</v>
      </c>
      <c r="Y79" s="31">
        <f t="shared" si="1"/>
        <v>50.2</v>
      </c>
      <c r="Z79" s="31">
        <f t="shared" si="1"/>
        <v>230.2</v>
      </c>
      <c r="AA79" s="31">
        <f t="shared" si="1"/>
        <v>410.6</v>
      </c>
      <c r="AB79" s="31">
        <f t="shared" si="1"/>
        <v>566.2</v>
      </c>
      <c r="AC79" s="31">
        <f t="shared" si="1"/>
        <v>592.1</v>
      </c>
      <c r="AD79" s="31">
        <f t="shared" si="1"/>
        <v>592.1</v>
      </c>
      <c r="AE79" s="31">
        <f t="shared" si="1"/>
        <v>567.9</v>
      </c>
      <c r="AF79" s="31">
        <f t="shared" si="1"/>
        <v>568</v>
      </c>
      <c r="AG79" s="31">
        <f t="shared" si="1"/>
        <v>818</v>
      </c>
      <c r="AH79" s="31">
        <f t="shared" si="1"/>
        <v>830</v>
      </c>
    </row>
    <row r="80" spans="1:76">
      <c r="A80" s="27" t="s">
        <v>156</v>
      </c>
      <c r="B80" s="200" t="s">
        <v>92</v>
      </c>
      <c r="C80" s="31">
        <f t="shared" si="2"/>
        <v>0</v>
      </c>
      <c r="D80" s="31">
        <f t="shared" si="3"/>
        <v>8.79999999999995</v>
      </c>
      <c r="E80" s="31">
        <f t="shared" si="4"/>
        <v>40</v>
      </c>
      <c r="F80" s="31">
        <f t="shared" si="5"/>
        <v>0</v>
      </c>
      <c r="G80" s="31">
        <f t="shared" si="6"/>
        <v>0</v>
      </c>
      <c r="H80" s="31">
        <f t="shared" si="7"/>
        <v>2.19999999999999</v>
      </c>
      <c r="I80" s="31">
        <f t="shared" si="8"/>
        <v>16.9</v>
      </c>
      <c r="J80" s="31">
        <f t="shared" si="9"/>
        <v>8.49999999999994</v>
      </c>
      <c r="K80" s="31">
        <f t="shared" si="10"/>
        <v>13.3000000000001</v>
      </c>
      <c r="L80" s="31">
        <f t="shared" si="11"/>
        <v>2.4</v>
      </c>
      <c r="M80" s="31">
        <f t="shared" si="12"/>
        <v>134.8</v>
      </c>
      <c r="N80" s="31">
        <f t="shared" si="13"/>
        <v>7.89999999999992</v>
      </c>
      <c r="O80" s="31">
        <f t="shared" si="14"/>
        <v>0</v>
      </c>
      <c r="P80" s="31">
        <f>MAX(AE10-AD10+'06-23Closure'!B9,AE45,0)*10</f>
        <v>0</v>
      </c>
      <c r="Q80" s="31">
        <f>MAX(AF10-AE10+'06-23Closure'!C9,AF45,0)*10</f>
        <v>9.00000000000006</v>
      </c>
      <c r="S80" s="31">
        <f t="shared" si="15"/>
        <v>1183.7</v>
      </c>
      <c r="T80" s="31">
        <f t="shared" si="16"/>
        <v>1183.7</v>
      </c>
      <c r="U80" s="31">
        <f t="shared" si="1"/>
        <v>1192.5</v>
      </c>
      <c r="V80" s="31">
        <f t="shared" si="1"/>
        <v>1232.5</v>
      </c>
      <c r="W80" s="31">
        <f t="shared" si="1"/>
        <v>1220.9</v>
      </c>
      <c r="X80" s="31">
        <f t="shared" si="1"/>
        <v>1220.9</v>
      </c>
      <c r="Y80" s="31">
        <f t="shared" si="1"/>
        <v>1223.1</v>
      </c>
      <c r="Z80" s="31">
        <f t="shared" si="1"/>
        <v>1240</v>
      </c>
      <c r="AA80" s="31">
        <f t="shared" si="1"/>
        <v>1248.5</v>
      </c>
      <c r="AB80" s="31">
        <f t="shared" si="1"/>
        <v>1261.8</v>
      </c>
      <c r="AC80" s="31">
        <f t="shared" si="1"/>
        <v>1261.4</v>
      </c>
      <c r="AD80" s="31">
        <f t="shared" si="1"/>
        <v>1396.2</v>
      </c>
      <c r="AE80" s="31">
        <f t="shared" si="1"/>
        <v>1404.1</v>
      </c>
      <c r="AF80" s="31">
        <f t="shared" si="1"/>
        <v>1404</v>
      </c>
      <c r="AG80" s="31">
        <f t="shared" si="1"/>
        <v>1401</v>
      </c>
      <c r="AH80" s="31">
        <f t="shared" si="1"/>
        <v>1410</v>
      </c>
    </row>
    <row r="81" spans="1:34">
      <c r="A81" s="27" t="s">
        <v>156</v>
      </c>
      <c r="B81" s="200" t="s">
        <v>94</v>
      </c>
      <c r="C81" s="31">
        <f t="shared" si="2"/>
        <v>0</v>
      </c>
      <c r="D81" s="31">
        <f t="shared" si="3"/>
        <v>13.2999999999998</v>
      </c>
      <c r="E81" s="31">
        <f t="shared" si="4"/>
        <v>5.90000000000032</v>
      </c>
      <c r="F81" s="31">
        <f t="shared" si="5"/>
        <v>10.2999999999997</v>
      </c>
      <c r="G81" s="31">
        <f t="shared" si="6"/>
        <v>231</v>
      </c>
      <c r="H81" s="31">
        <f t="shared" si="7"/>
        <v>228.6</v>
      </c>
      <c r="I81" s="31">
        <f t="shared" si="8"/>
        <v>220</v>
      </c>
      <c r="J81" s="31">
        <f t="shared" si="9"/>
        <v>28.5000000000002</v>
      </c>
      <c r="K81" s="31">
        <f t="shared" si="10"/>
        <v>38.8999999999999</v>
      </c>
      <c r="L81" s="31">
        <f t="shared" si="11"/>
        <v>20</v>
      </c>
      <c r="M81" s="31">
        <f t="shared" si="12"/>
        <v>11.9</v>
      </c>
      <c r="N81" s="31">
        <f t="shared" si="13"/>
        <v>15.4000000000002</v>
      </c>
      <c r="O81" s="31">
        <f t="shared" si="14"/>
        <v>119.8</v>
      </c>
      <c r="P81" s="31">
        <f>MAX(AE11-AD11+'06-23Closure'!B10,AE46,0)*10</f>
        <v>151</v>
      </c>
      <c r="Q81" s="31">
        <f>MAX(AF11-AE11+'06-23Closure'!C10,AF46,0)*10</f>
        <v>18.0000000000001</v>
      </c>
      <c r="S81" s="31">
        <f t="shared" si="15"/>
        <v>2985.6</v>
      </c>
      <c r="T81" s="31">
        <f t="shared" si="16"/>
        <v>2985.6</v>
      </c>
      <c r="U81" s="31">
        <f t="shared" si="1"/>
        <v>2998.9</v>
      </c>
      <c r="V81" s="31">
        <f t="shared" si="1"/>
        <v>3004.8</v>
      </c>
      <c r="W81" s="31">
        <f t="shared" si="1"/>
        <v>3015.1</v>
      </c>
      <c r="X81" s="31">
        <f t="shared" si="1"/>
        <v>3246.1</v>
      </c>
      <c r="Y81" s="31">
        <f t="shared" si="1"/>
        <v>3474.7</v>
      </c>
      <c r="Z81" s="31">
        <f t="shared" si="1"/>
        <v>3508.2</v>
      </c>
      <c r="AA81" s="31">
        <f t="shared" si="1"/>
        <v>3536.7</v>
      </c>
      <c r="AB81" s="31">
        <f t="shared" si="1"/>
        <v>3575.6</v>
      </c>
      <c r="AC81" s="31">
        <f t="shared" si="1"/>
        <v>3573.9</v>
      </c>
      <c r="AD81" s="31">
        <f t="shared" si="1"/>
        <v>3585.8</v>
      </c>
      <c r="AE81" s="31">
        <f t="shared" si="1"/>
        <v>3601.2</v>
      </c>
      <c r="AF81" s="31">
        <f t="shared" si="1"/>
        <v>3721</v>
      </c>
      <c r="AG81" s="31">
        <f t="shared" si="1"/>
        <v>3872</v>
      </c>
      <c r="AH81" s="31">
        <f t="shared" si="1"/>
        <v>3890</v>
      </c>
    </row>
    <row r="82" spans="1:34">
      <c r="A82" s="27" t="s">
        <v>156</v>
      </c>
      <c r="B82" s="200" t="s">
        <v>96</v>
      </c>
      <c r="C82" s="31">
        <f t="shared" si="2"/>
        <v>0</v>
      </c>
      <c r="D82" s="31">
        <f t="shared" si="3"/>
        <v>0</v>
      </c>
      <c r="E82" s="31">
        <f t="shared" si="4"/>
        <v>0</v>
      </c>
      <c r="F82" s="31">
        <f t="shared" si="5"/>
        <v>129</v>
      </c>
      <c r="G82" s="31">
        <f t="shared" si="6"/>
        <v>298.6</v>
      </c>
      <c r="H82" s="31">
        <f t="shared" si="7"/>
        <v>275</v>
      </c>
      <c r="I82" s="31">
        <f t="shared" si="8"/>
        <v>137.5</v>
      </c>
      <c r="J82" s="31">
        <f t="shared" si="9"/>
        <v>40.3</v>
      </c>
      <c r="K82" s="31">
        <f t="shared" si="10"/>
        <v>0</v>
      </c>
      <c r="L82" s="31">
        <f t="shared" si="11"/>
        <v>0.0999999999999091</v>
      </c>
      <c r="M82" s="31">
        <f t="shared" si="12"/>
        <v>19.7</v>
      </c>
      <c r="N82" s="31">
        <f t="shared" si="13"/>
        <v>10</v>
      </c>
      <c r="O82" s="31">
        <f t="shared" si="14"/>
        <v>34</v>
      </c>
      <c r="P82" s="31">
        <f>MAX(AE12-AD12+'06-23Closure'!B11,AE47,0)*10</f>
        <v>5.99999999999994</v>
      </c>
      <c r="Q82" s="31">
        <f>MAX(AF12-AE12+'06-23Closure'!C11,AF47,0)*10</f>
        <v>66.5</v>
      </c>
      <c r="S82" s="31">
        <f t="shared" si="15"/>
        <v>210.3</v>
      </c>
      <c r="T82" s="31">
        <f t="shared" si="16"/>
        <v>210.3</v>
      </c>
      <c r="U82" s="31">
        <f t="shared" si="1"/>
        <v>210.3</v>
      </c>
      <c r="V82" s="31">
        <f t="shared" si="1"/>
        <v>210.3</v>
      </c>
      <c r="W82" s="31">
        <f t="shared" si="1"/>
        <v>339.3</v>
      </c>
      <c r="X82" s="31">
        <f t="shared" si="1"/>
        <v>637.9</v>
      </c>
      <c r="Y82" s="31">
        <f t="shared" si="1"/>
        <v>784.5</v>
      </c>
      <c r="Z82" s="31">
        <f t="shared" si="1"/>
        <v>774.5</v>
      </c>
      <c r="AA82" s="31">
        <f t="shared" si="1"/>
        <v>814.8</v>
      </c>
      <c r="AB82" s="31">
        <f t="shared" si="1"/>
        <v>814.8</v>
      </c>
      <c r="AC82" s="31">
        <f t="shared" si="1"/>
        <v>814.9</v>
      </c>
      <c r="AD82" s="31">
        <f t="shared" si="1"/>
        <v>834.6</v>
      </c>
      <c r="AE82" s="31">
        <f t="shared" si="1"/>
        <v>844.6</v>
      </c>
      <c r="AF82" s="31">
        <f t="shared" si="1"/>
        <v>847</v>
      </c>
      <c r="AG82" s="31">
        <f t="shared" si="1"/>
        <v>853</v>
      </c>
      <c r="AH82" s="31">
        <f t="shared" si="1"/>
        <v>870</v>
      </c>
    </row>
    <row r="83" spans="1:34">
      <c r="A83" s="27" t="s">
        <v>156</v>
      </c>
      <c r="B83" s="200" t="s">
        <v>98</v>
      </c>
      <c r="C83" s="31">
        <f t="shared" si="2"/>
        <v>0</v>
      </c>
      <c r="D83" s="31">
        <f t="shared" si="3"/>
        <v>0</v>
      </c>
      <c r="E83" s="31">
        <f t="shared" si="4"/>
        <v>0</v>
      </c>
      <c r="F83" s="31">
        <f t="shared" si="5"/>
        <v>0</v>
      </c>
      <c r="G83" s="31">
        <f t="shared" si="6"/>
        <v>0</v>
      </c>
      <c r="H83" s="31">
        <f t="shared" si="7"/>
        <v>0</v>
      </c>
      <c r="I83" s="31">
        <f t="shared" si="8"/>
        <v>0</v>
      </c>
      <c r="J83" s="31">
        <f t="shared" si="9"/>
        <v>0</v>
      </c>
      <c r="K83" s="31">
        <f t="shared" si="10"/>
        <v>0</v>
      </c>
      <c r="L83" s="31">
        <f t="shared" si="11"/>
        <v>0</v>
      </c>
      <c r="M83" s="31">
        <f t="shared" si="12"/>
        <v>0</v>
      </c>
      <c r="N83" s="31">
        <f t="shared" si="13"/>
        <v>0</v>
      </c>
      <c r="O83" s="31">
        <f t="shared" si="14"/>
        <v>0</v>
      </c>
      <c r="P83" s="31">
        <f>MAX(AE13-AD13+'06-23Closure'!B12,AE48,0)*10</f>
        <v>0</v>
      </c>
      <c r="Q83" s="31">
        <f>MAX(AF13-AE13+'06-23Closure'!C12,AF48,0)*10</f>
        <v>0</v>
      </c>
      <c r="S83" s="31">
        <f t="shared" si="15"/>
        <v>0</v>
      </c>
      <c r="T83" s="31">
        <f t="shared" si="16"/>
        <v>0</v>
      </c>
      <c r="U83" s="31">
        <f t="shared" si="1"/>
        <v>0</v>
      </c>
      <c r="V83" s="31">
        <f t="shared" si="1"/>
        <v>0</v>
      </c>
      <c r="W83" s="31">
        <f t="shared" si="1"/>
        <v>0</v>
      </c>
      <c r="X83" s="31">
        <f t="shared" si="1"/>
        <v>0</v>
      </c>
      <c r="Y83" s="31">
        <f t="shared" si="1"/>
        <v>0</v>
      </c>
      <c r="Z83" s="31">
        <f t="shared" si="1"/>
        <v>0</v>
      </c>
      <c r="AA83" s="31">
        <f t="shared" si="1"/>
        <v>0</v>
      </c>
      <c r="AB83" s="31">
        <f t="shared" si="1"/>
        <v>0</v>
      </c>
      <c r="AC83" s="31">
        <f t="shared" si="1"/>
        <v>0</v>
      </c>
      <c r="AD83" s="31">
        <f t="shared" si="1"/>
        <v>0</v>
      </c>
      <c r="AE83" s="31">
        <f t="shared" si="1"/>
        <v>0</v>
      </c>
      <c r="AF83" s="31">
        <f t="shared" si="1"/>
        <v>0</v>
      </c>
      <c r="AG83" s="31">
        <f t="shared" si="1"/>
        <v>0</v>
      </c>
      <c r="AH83" s="31">
        <f t="shared" si="1"/>
        <v>0</v>
      </c>
    </row>
    <row r="84" spans="1:34">
      <c r="A84" s="27" t="s">
        <v>156</v>
      </c>
      <c r="B84" s="200" t="s">
        <v>100</v>
      </c>
      <c r="C84" s="31">
        <f t="shared" si="2"/>
        <v>0</v>
      </c>
      <c r="D84" s="31">
        <f t="shared" si="3"/>
        <v>0</v>
      </c>
      <c r="E84" s="31">
        <f t="shared" si="4"/>
        <v>0</v>
      </c>
      <c r="F84" s="31">
        <f t="shared" si="5"/>
        <v>0</v>
      </c>
      <c r="G84" s="31">
        <f t="shared" si="6"/>
        <v>0.699999999999998</v>
      </c>
      <c r="H84" s="31">
        <f t="shared" si="7"/>
        <v>1.1</v>
      </c>
      <c r="I84" s="31">
        <f t="shared" si="8"/>
        <v>0.899999999999999</v>
      </c>
      <c r="J84" s="31">
        <f t="shared" si="9"/>
        <v>3</v>
      </c>
      <c r="K84" s="31">
        <f t="shared" si="10"/>
        <v>0.100000000000002</v>
      </c>
      <c r="L84" s="31">
        <f t="shared" si="11"/>
        <v>103.5</v>
      </c>
      <c r="M84" s="31">
        <f t="shared" si="12"/>
        <v>100</v>
      </c>
      <c r="N84" s="31">
        <f t="shared" si="13"/>
        <v>0</v>
      </c>
      <c r="O84" s="31">
        <f t="shared" si="14"/>
        <v>16.5</v>
      </c>
      <c r="P84" s="31">
        <f>MAX(AE14-AD14+'06-23Closure'!B13,AE49,0)*10</f>
        <v>0</v>
      </c>
      <c r="Q84" s="31">
        <f>MAX(AF14-AE14+'06-23Closure'!C13,AF49,0)*10</f>
        <v>4</v>
      </c>
      <c r="S84" s="31">
        <f t="shared" si="15"/>
        <v>29</v>
      </c>
      <c r="T84" s="31">
        <f t="shared" si="16"/>
        <v>29</v>
      </c>
      <c r="U84" s="31">
        <f t="shared" si="1"/>
        <v>28.2</v>
      </c>
      <c r="V84" s="31">
        <f t="shared" si="1"/>
        <v>27.9</v>
      </c>
      <c r="W84" s="31">
        <f t="shared" si="1"/>
        <v>27.9</v>
      </c>
      <c r="X84" s="31">
        <f t="shared" si="1"/>
        <v>28.6</v>
      </c>
      <c r="Y84" s="31">
        <f t="shared" si="1"/>
        <v>29.7</v>
      </c>
      <c r="Z84" s="31">
        <f t="shared" si="1"/>
        <v>30.6</v>
      </c>
      <c r="AA84" s="31">
        <f t="shared" si="1"/>
        <v>33.6</v>
      </c>
      <c r="AB84" s="31">
        <f t="shared" si="1"/>
        <v>33.7</v>
      </c>
      <c r="AC84" s="31">
        <f t="shared" si="1"/>
        <v>137.2</v>
      </c>
      <c r="AD84" s="31">
        <f t="shared" si="1"/>
        <v>137.8</v>
      </c>
      <c r="AE84" s="31">
        <f t="shared" si="1"/>
        <v>126.5</v>
      </c>
      <c r="AF84" s="31">
        <f t="shared" si="1"/>
        <v>143</v>
      </c>
      <c r="AG84" s="31">
        <f t="shared" si="1"/>
        <v>136</v>
      </c>
      <c r="AH84" s="31">
        <f t="shared" si="1"/>
        <v>140</v>
      </c>
    </row>
    <row r="85" spans="1:34">
      <c r="A85" s="27" t="s">
        <v>156</v>
      </c>
      <c r="B85" s="200" t="s">
        <v>102</v>
      </c>
      <c r="C85" s="31">
        <f t="shared" si="2"/>
        <v>12.6</v>
      </c>
      <c r="D85" s="31">
        <f t="shared" si="3"/>
        <v>61.2</v>
      </c>
      <c r="E85" s="31">
        <f t="shared" si="4"/>
        <v>80.3</v>
      </c>
      <c r="F85" s="31">
        <f t="shared" si="5"/>
        <v>209.8</v>
      </c>
      <c r="G85" s="31">
        <f t="shared" si="6"/>
        <v>170.8</v>
      </c>
      <c r="H85" s="31">
        <f t="shared" si="7"/>
        <v>866.7</v>
      </c>
      <c r="I85" s="31">
        <f t="shared" si="8"/>
        <v>803.1</v>
      </c>
      <c r="J85" s="31">
        <f t="shared" si="9"/>
        <v>840.8</v>
      </c>
      <c r="K85" s="31">
        <f t="shared" si="10"/>
        <v>748.8</v>
      </c>
      <c r="L85" s="31">
        <f t="shared" si="11"/>
        <v>230.6</v>
      </c>
      <c r="M85" s="31">
        <f t="shared" si="12"/>
        <v>187.700000000001</v>
      </c>
      <c r="N85" s="31">
        <f t="shared" si="13"/>
        <v>363.9</v>
      </c>
      <c r="O85" s="31">
        <f t="shared" si="14"/>
        <v>533.6</v>
      </c>
      <c r="P85" s="31">
        <f>MAX(AE15-AD15+'06-23Closure'!B14,AE50,0)*10</f>
        <v>1476</v>
      </c>
      <c r="Q85" s="31">
        <f>MAX(AF15-AE15+'06-23Closure'!C14,AF50,0)*10</f>
        <v>191</v>
      </c>
      <c r="S85" s="31">
        <f t="shared" si="15"/>
        <v>2427.7</v>
      </c>
      <c r="T85" s="31">
        <f t="shared" si="16"/>
        <v>2440.3</v>
      </c>
      <c r="U85" s="31">
        <f t="shared" si="1"/>
        <v>2501.5</v>
      </c>
      <c r="V85" s="31">
        <f t="shared" si="1"/>
        <v>2581.8</v>
      </c>
      <c r="W85" s="31">
        <f t="shared" si="1"/>
        <v>2791.6</v>
      </c>
      <c r="X85" s="31">
        <f t="shared" si="1"/>
        <v>2962.4</v>
      </c>
      <c r="Y85" s="31">
        <f t="shared" si="1"/>
        <v>3829.1</v>
      </c>
      <c r="Z85" s="31">
        <f t="shared" si="1"/>
        <v>4579.5</v>
      </c>
      <c r="AA85" s="31">
        <f t="shared" si="1"/>
        <v>5420.3</v>
      </c>
      <c r="AB85" s="31">
        <f t="shared" si="1"/>
        <v>5732.5</v>
      </c>
      <c r="AC85" s="31">
        <f t="shared" si="1"/>
        <v>5866.8</v>
      </c>
      <c r="AD85" s="31">
        <f t="shared" si="1"/>
        <v>6054.5</v>
      </c>
      <c r="AE85" s="31">
        <f t="shared" si="1"/>
        <v>6418.4</v>
      </c>
      <c r="AF85" s="31">
        <f t="shared" si="1"/>
        <v>6952</v>
      </c>
      <c r="AG85" s="31">
        <f t="shared" si="1"/>
        <v>8369</v>
      </c>
      <c r="AH85" s="31">
        <f t="shared" si="1"/>
        <v>8520</v>
      </c>
    </row>
    <row r="86" spans="1:34">
      <c r="A86" s="27" t="s">
        <v>156</v>
      </c>
      <c r="B86" s="200" t="s">
        <v>104</v>
      </c>
      <c r="C86" s="31">
        <f t="shared" si="2"/>
        <v>0</v>
      </c>
      <c r="D86" s="31">
        <f t="shared" si="3"/>
        <v>52.7</v>
      </c>
      <c r="E86" s="31">
        <f t="shared" si="4"/>
        <v>5</v>
      </c>
      <c r="F86" s="31">
        <f t="shared" si="5"/>
        <v>5.60000000000002</v>
      </c>
      <c r="G86" s="31">
        <f t="shared" si="6"/>
        <v>6.09999999999999</v>
      </c>
      <c r="H86" s="31">
        <f t="shared" si="7"/>
        <v>11.5</v>
      </c>
      <c r="I86" s="31">
        <f t="shared" si="8"/>
        <v>0</v>
      </c>
      <c r="J86" s="31">
        <f t="shared" si="9"/>
        <v>91.3</v>
      </c>
      <c r="K86" s="31">
        <f t="shared" si="10"/>
        <v>80</v>
      </c>
      <c r="L86" s="31">
        <f t="shared" si="11"/>
        <v>61.5</v>
      </c>
      <c r="M86" s="31">
        <f t="shared" si="12"/>
        <v>0</v>
      </c>
      <c r="N86" s="31">
        <f t="shared" si="13"/>
        <v>43.7</v>
      </c>
      <c r="O86" s="31">
        <f t="shared" si="14"/>
        <v>47.2</v>
      </c>
      <c r="P86" s="31">
        <f>MAX(AE16-AD16+'06-23Closure'!B15,AE51,0)*10</f>
        <v>261</v>
      </c>
      <c r="Q86" s="31">
        <f>MAX(AF16-AE16+'06-23Closure'!C15,AF51,0)*10</f>
        <v>514</v>
      </c>
      <c r="S86" s="31">
        <f t="shared" si="15"/>
        <v>498.1</v>
      </c>
      <c r="T86" s="31">
        <f t="shared" si="16"/>
        <v>498.1</v>
      </c>
      <c r="U86" s="31">
        <f t="shared" si="1"/>
        <v>550.8</v>
      </c>
      <c r="V86" s="31">
        <f t="shared" si="1"/>
        <v>555.8</v>
      </c>
      <c r="W86" s="31">
        <f t="shared" si="1"/>
        <v>561.4</v>
      </c>
      <c r="X86" s="31">
        <f t="shared" si="1"/>
        <v>567.5</v>
      </c>
      <c r="Y86" s="31">
        <f t="shared" si="1"/>
        <v>579</v>
      </c>
      <c r="Z86" s="31">
        <f t="shared" si="1"/>
        <v>455</v>
      </c>
      <c r="AA86" s="31">
        <f t="shared" si="1"/>
        <v>546.3</v>
      </c>
      <c r="AB86" s="31">
        <f t="shared" si="1"/>
        <v>608.8</v>
      </c>
      <c r="AC86" s="31">
        <f t="shared" si="1"/>
        <v>649.1</v>
      </c>
      <c r="AD86" s="31">
        <f t="shared" si="1"/>
        <v>649.1</v>
      </c>
      <c r="AE86" s="31">
        <f t="shared" si="1"/>
        <v>692.8</v>
      </c>
      <c r="AF86" s="31">
        <f t="shared" si="1"/>
        <v>740</v>
      </c>
      <c r="AG86" s="31">
        <f t="shared" si="1"/>
        <v>1001</v>
      </c>
      <c r="AH86" s="31">
        <f t="shared" si="1"/>
        <v>1510</v>
      </c>
    </row>
    <row r="87" spans="1:34">
      <c r="A87" s="27" t="s">
        <v>156</v>
      </c>
      <c r="B87" s="200" t="s">
        <v>106</v>
      </c>
      <c r="C87" s="31">
        <f t="shared" si="2"/>
        <v>200</v>
      </c>
      <c r="D87" s="31">
        <f t="shared" si="3"/>
        <v>816.9</v>
      </c>
      <c r="E87" s="31">
        <f t="shared" si="4"/>
        <v>705</v>
      </c>
      <c r="F87" s="31">
        <f t="shared" si="5"/>
        <v>390.7</v>
      </c>
      <c r="G87" s="31">
        <f t="shared" si="6"/>
        <v>450</v>
      </c>
      <c r="H87" s="31">
        <f t="shared" si="7"/>
        <v>200</v>
      </c>
      <c r="I87" s="31">
        <f t="shared" si="8"/>
        <v>311.7</v>
      </c>
      <c r="J87" s="31">
        <f t="shared" si="9"/>
        <v>255</v>
      </c>
      <c r="K87" s="31">
        <f t="shared" si="10"/>
        <v>855.1</v>
      </c>
      <c r="L87" s="31">
        <f t="shared" si="11"/>
        <v>732.6</v>
      </c>
      <c r="M87" s="31">
        <f t="shared" si="12"/>
        <v>249.1</v>
      </c>
      <c r="N87" s="31">
        <f t="shared" si="13"/>
        <v>419</v>
      </c>
      <c r="O87" s="31">
        <f t="shared" si="14"/>
        <v>1044.9</v>
      </c>
      <c r="P87" s="31">
        <f>MAX(AE17-AD17+'06-23Closure'!B16,AE52,0)*10</f>
        <v>745</v>
      </c>
      <c r="Q87" s="31">
        <f>MAX(AF17-AE17+'06-23Closure'!C16,AF52,0)*10</f>
        <v>927.051</v>
      </c>
      <c r="S87" s="31">
        <f t="shared" si="15"/>
        <v>2345.2</v>
      </c>
      <c r="T87" s="31">
        <f t="shared" si="16"/>
        <v>2545.2</v>
      </c>
      <c r="U87" s="31">
        <f t="shared" si="1"/>
        <v>3362.1</v>
      </c>
      <c r="V87" s="31">
        <f t="shared" si="1"/>
        <v>3985.8</v>
      </c>
      <c r="W87" s="31">
        <f t="shared" si="1"/>
        <v>4376.5</v>
      </c>
      <c r="X87" s="31">
        <f t="shared" si="1"/>
        <v>4558.2</v>
      </c>
      <c r="Y87" s="31">
        <f t="shared" si="1"/>
        <v>4758.2</v>
      </c>
      <c r="Z87" s="31">
        <f t="shared" si="1"/>
        <v>5069.9</v>
      </c>
      <c r="AA87" s="31">
        <f t="shared" si="1"/>
        <v>5324.9</v>
      </c>
      <c r="AB87" s="31">
        <f t="shared" si="1"/>
        <v>6180</v>
      </c>
      <c r="AC87" s="31">
        <f t="shared" si="1"/>
        <v>6512</v>
      </c>
      <c r="AD87" s="31">
        <f t="shared" si="1"/>
        <v>6761.1</v>
      </c>
      <c r="AE87" s="31">
        <f t="shared" si="1"/>
        <v>7180.1</v>
      </c>
      <c r="AF87" s="31">
        <f t="shared" si="1"/>
        <v>8225</v>
      </c>
      <c r="AG87" s="31">
        <f t="shared" si="1"/>
        <v>8957</v>
      </c>
      <c r="AH87" s="31">
        <f t="shared" si="1"/>
        <v>9800</v>
      </c>
    </row>
    <row r="88" spans="1:34">
      <c r="A88" s="27" t="s">
        <v>156</v>
      </c>
      <c r="B88" s="200" t="s">
        <v>108</v>
      </c>
      <c r="C88" s="31">
        <f t="shared" si="2"/>
        <v>6</v>
      </c>
      <c r="D88" s="31">
        <f t="shared" si="3"/>
        <v>6</v>
      </c>
      <c r="E88" s="31">
        <f t="shared" si="4"/>
        <v>74.4999999999999</v>
      </c>
      <c r="F88" s="31">
        <f t="shared" si="5"/>
        <v>60.2000000000001</v>
      </c>
      <c r="G88" s="31">
        <f t="shared" si="6"/>
        <v>40</v>
      </c>
      <c r="H88" s="31">
        <f t="shared" si="7"/>
        <v>43.4999999999999</v>
      </c>
      <c r="I88" s="31">
        <f t="shared" si="8"/>
        <v>25</v>
      </c>
      <c r="J88" s="31">
        <f t="shared" si="9"/>
        <v>111.5</v>
      </c>
      <c r="K88" s="31">
        <f t="shared" si="10"/>
        <v>221.8</v>
      </c>
      <c r="L88" s="31">
        <f t="shared" si="11"/>
        <v>129.6</v>
      </c>
      <c r="M88" s="31">
        <f t="shared" si="12"/>
        <v>120</v>
      </c>
      <c r="N88" s="31">
        <f t="shared" si="13"/>
        <v>242.5</v>
      </c>
      <c r="O88" s="31">
        <f t="shared" si="14"/>
        <v>469.1</v>
      </c>
      <c r="P88" s="31">
        <f>MAX(AE18-AD18+'06-23Closure'!B17,AE53,0)*10</f>
        <v>530</v>
      </c>
      <c r="Q88" s="31">
        <f>MAX(AF18-AE18+'06-23Closure'!C17,AF53,0)*10</f>
        <v>354.112</v>
      </c>
      <c r="S88" s="31">
        <f t="shared" si="15"/>
        <v>1482.4</v>
      </c>
      <c r="T88" s="31">
        <f t="shared" si="16"/>
        <v>1488.4</v>
      </c>
      <c r="U88" s="31">
        <f t="shared" si="1"/>
        <v>1494.4</v>
      </c>
      <c r="V88" s="31">
        <f t="shared" si="1"/>
        <v>1568.9</v>
      </c>
      <c r="W88" s="31">
        <f t="shared" si="1"/>
        <v>1629.1</v>
      </c>
      <c r="X88" s="31">
        <f t="shared" si="1"/>
        <v>1666</v>
      </c>
      <c r="Y88" s="31">
        <f t="shared" si="1"/>
        <v>1709.5</v>
      </c>
      <c r="Z88" s="31">
        <f t="shared" si="1"/>
        <v>1734.5</v>
      </c>
      <c r="AA88" s="31">
        <f t="shared" si="1"/>
        <v>1846</v>
      </c>
      <c r="AB88" s="31">
        <f t="shared" si="1"/>
        <v>2067.8</v>
      </c>
      <c r="AC88" s="31">
        <f t="shared" si="1"/>
        <v>2197.4</v>
      </c>
      <c r="AD88" s="31">
        <f t="shared" si="1"/>
        <v>2307.4</v>
      </c>
      <c r="AE88" s="31">
        <f t="shared" si="1"/>
        <v>2549.9</v>
      </c>
      <c r="AF88" s="31">
        <f t="shared" si="1"/>
        <v>3019</v>
      </c>
      <c r="AG88" s="31">
        <f t="shared" si="1"/>
        <v>3288</v>
      </c>
      <c r="AH88" s="31">
        <f t="shared" si="1"/>
        <v>3570</v>
      </c>
    </row>
    <row r="89" spans="1:34">
      <c r="A89" s="27" t="s">
        <v>156</v>
      </c>
      <c r="B89" s="200" t="s">
        <v>110</v>
      </c>
      <c r="C89" s="31">
        <f t="shared" si="2"/>
        <v>0</v>
      </c>
      <c r="D89" s="31">
        <f t="shared" si="3"/>
        <v>0.300000000000002</v>
      </c>
      <c r="E89" s="31">
        <f t="shared" si="4"/>
        <v>2.9</v>
      </c>
      <c r="F89" s="31">
        <f t="shared" si="5"/>
        <v>0.8</v>
      </c>
      <c r="G89" s="31">
        <f t="shared" si="6"/>
        <v>0</v>
      </c>
      <c r="H89" s="31">
        <f t="shared" si="7"/>
        <v>0</v>
      </c>
      <c r="I89" s="31">
        <f t="shared" si="8"/>
        <v>0</v>
      </c>
      <c r="J89" s="31">
        <f t="shared" si="9"/>
        <v>34.2</v>
      </c>
      <c r="K89" s="31">
        <f t="shared" si="10"/>
        <v>0</v>
      </c>
      <c r="L89" s="31">
        <f t="shared" si="11"/>
        <v>0</v>
      </c>
      <c r="M89" s="31">
        <f t="shared" si="12"/>
        <v>0</v>
      </c>
      <c r="N89" s="31">
        <f t="shared" si="13"/>
        <v>0</v>
      </c>
      <c r="O89" s="31">
        <f t="shared" si="14"/>
        <v>12</v>
      </c>
      <c r="P89" s="31">
        <f>MAX(AE19-AD19+'06-23Closure'!B18,AE54,0)*10</f>
        <v>750</v>
      </c>
      <c r="Q89" s="31">
        <f>MAX(AF19-AE19+'06-23Closure'!C18,AF54,0)*10</f>
        <v>497</v>
      </c>
      <c r="S89" s="31">
        <f t="shared" si="15"/>
        <v>75.5</v>
      </c>
      <c r="T89" s="31">
        <f t="shared" si="16"/>
        <v>75.5</v>
      </c>
      <c r="U89" s="31">
        <f t="shared" si="1"/>
        <v>75.8</v>
      </c>
      <c r="V89" s="31">
        <f t="shared" si="1"/>
        <v>78.7</v>
      </c>
      <c r="W89" s="31">
        <f t="shared" si="1"/>
        <v>69.6</v>
      </c>
      <c r="X89" s="31">
        <f t="shared" si="1"/>
        <v>67.5</v>
      </c>
      <c r="Y89" s="31">
        <f t="shared" si="1"/>
        <v>66.2</v>
      </c>
      <c r="Z89" s="31">
        <f t="shared" si="1"/>
        <v>49.9</v>
      </c>
      <c r="AA89" s="31">
        <f t="shared" si="1"/>
        <v>84.1</v>
      </c>
      <c r="AB89" s="31">
        <f t="shared" si="1"/>
        <v>56.2</v>
      </c>
      <c r="AC89" s="31">
        <f t="shared" si="1"/>
        <v>50.8</v>
      </c>
      <c r="AD89" s="31">
        <f t="shared" si="1"/>
        <v>50.8</v>
      </c>
      <c r="AE89" s="31">
        <f t="shared" si="1"/>
        <v>50.8</v>
      </c>
      <c r="AF89" s="31">
        <f t="shared" si="1"/>
        <v>52</v>
      </c>
      <c r="AG89" s="31">
        <f t="shared" si="1"/>
        <v>553</v>
      </c>
      <c r="AH89" s="31">
        <f t="shared" si="1"/>
        <v>1050</v>
      </c>
    </row>
    <row r="90" spans="1:34">
      <c r="A90" s="27" t="s">
        <v>156</v>
      </c>
      <c r="B90" s="200" t="s">
        <v>112</v>
      </c>
      <c r="C90" s="31">
        <f t="shared" si="2"/>
        <v>17.4</v>
      </c>
      <c r="D90" s="31">
        <f t="shared" si="3"/>
        <v>17.4</v>
      </c>
      <c r="E90" s="31">
        <f t="shared" si="4"/>
        <v>75</v>
      </c>
      <c r="F90" s="31">
        <f t="shared" si="5"/>
        <v>9.59999999999994</v>
      </c>
      <c r="G90" s="31">
        <f t="shared" si="6"/>
        <v>81</v>
      </c>
      <c r="H90" s="31">
        <f t="shared" si="7"/>
        <v>81</v>
      </c>
      <c r="I90" s="31">
        <f t="shared" si="8"/>
        <v>300</v>
      </c>
      <c r="J90" s="31">
        <f t="shared" si="9"/>
        <v>600</v>
      </c>
      <c r="K90" s="31">
        <f t="shared" si="10"/>
        <v>910</v>
      </c>
      <c r="L90" s="31">
        <f t="shared" si="11"/>
        <v>900</v>
      </c>
      <c r="M90" s="31">
        <f t="shared" si="12"/>
        <v>0</v>
      </c>
      <c r="N90" s="31">
        <f t="shared" si="13"/>
        <v>0</v>
      </c>
      <c r="O90" s="31">
        <f t="shared" si="14"/>
        <v>126</v>
      </c>
      <c r="P90" s="31">
        <f>MAX(AE20-AD20+'06-23Closure'!B19,AE55,0)*10</f>
        <v>13.0000000000001</v>
      </c>
      <c r="Q90" s="31">
        <f>MAX(AF20-AE20+'06-23Closure'!C19,AF55,0)*10</f>
        <v>187</v>
      </c>
      <c r="S90" s="31">
        <f t="shared" si="15"/>
        <v>555.3</v>
      </c>
      <c r="T90" s="31">
        <f t="shared" si="16"/>
        <v>572.7</v>
      </c>
      <c r="U90" s="31">
        <f t="shared" ref="U90:U105" si="17">S20*10</f>
        <v>545.2</v>
      </c>
      <c r="V90" s="31">
        <f t="shared" ref="V90:V105" si="18">T20*10</f>
        <v>545.2</v>
      </c>
      <c r="W90" s="31">
        <f t="shared" ref="W90:W105" si="19">U20*10</f>
        <v>554.8</v>
      </c>
      <c r="X90" s="31">
        <f t="shared" ref="X90:X105" si="20">V20*10</f>
        <v>635.8</v>
      </c>
      <c r="Y90" s="31">
        <f t="shared" ref="Y90:Y105" si="21">W20*10</f>
        <v>628</v>
      </c>
      <c r="Z90" s="31">
        <f t="shared" ref="Z90:Z105" si="22">X20*10</f>
        <v>928</v>
      </c>
      <c r="AA90" s="31">
        <f t="shared" ref="AA90:AA105" si="23">Y20*10</f>
        <v>1528</v>
      </c>
      <c r="AB90" s="31">
        <f t="shared" ref="AB90:AB105" si="24">Z20*10</f>
        <v>2438</v>
      </c>
      <c r="AC90" s="31">
        <f t="shared" ref="AC90:AC105" si="25">AA20*10</f>
        <v>2438</v>
      </c>
      <c r="AD90" s="31">
        <f t="shared" ref="AD90:AD105" si="26">AB20*10</f>
        <v>2438</v>
      </c>
      <c r="AE90" s="31">
        <f t="shared" ref="AE90:AE105" si="27">AC20*10</f>
        <v>2438</v>
      </c>
      <c r="AF90" s="31">
        <f t="shared" ref="AF90:AF105" si="28">AD20*10</f>
        <v>2540</v>
      </c>
      <c r="AG90" s="31">
        <f t="shared" ref="AG90:AG105" si="29">AE20*10</f>
        <v>2553</v>
      </c>
      <c r="AH90" s="31">
        <f t="shared" ref="AH90:AH105" si="30">AF20*10</f>
        <v>2740</v>
      </c>
    </row>
    <row r="91" spans="1:34">
      <c r="A91" s="27" t="s">
        <v>156</v>
      </c>
      <c r="B91" s="200" t="s">
        <v>114</v>
      </c>
      <c r="C91" s="31">
        <f t="shared" si="2"/>
        <v>636.4</v>
      </c>
      <c r="D91" s="31">
        <f t="shared" si="3"/>
        <v>730.599999999999</v>
      </c>
      <c r="E91" s="31">
        <f t="shared" si="4"/>
        <v>648.5</v>
      </c>
      <c r="F91" s="31">
        <f t="shared" si="5"/>
        <v>56.7999999999995</v>
      </c>
      <c r="G91" s="31">
        <f t="shared" si="6"/>
        <v>54.6000000000004</v>
      </c>
      <c r="H91" s="31">
        <f t="shared" si="7"/>
        <v>132.8</v>
      </c>
      <c r="I91" s="31">
        <f t="shared" si="8"/>
        <v>45.5000000000007</v>
      </c>
      <c r="J91" s="31">
        <f t="shared" si="9"/>
        <v>493.299999999999</v>
      </c>
      <c r="K91" s="31">
        <f t="shared" si="10"/>
        <v>371.4</v>
      </c>
      <c r="L91" s="31">
        <f t="shared" si="11"/>
        <v>88.3000000000004</v>
      </c>
      <c r="M91" s="31">
        <f t="shared" si="12"/>
        <v>4323.3</v>
      </c>
      <c r="N91" s="31">
        <f t="shared" si="13"/>
        <v>3577.9</v>
      </c>
      <c r="O91" s="31">
        <f t="shared" si="14"/>
        <v>4080</v>
      </c>
      <c r="P91" s="31">
        <f>MAX(AE21-AD21+'06-23Closure'!B20,AE56,0)*10</f>
        <v>431.999999999998</v>
      </c>
      <c r="Q91" s="31">
        <f>MAX(AF21-AE21+'06-23Closure'!C20,AF56,0)*10</f>
        <v>5700.6</v>
      </c>
      <c r="S91" s="31">
        <f t="shared" si="15"/>
        <v>4844.5</v>
      </c>
      <c r="T91" s="31">
        <f t="shared" si="16"/>
        <v>5480.9</v>
      </c>
      <c r="U91" s="31">
        <f t="shared" si="17"/>
        <v>6211.5</v>
      </c>
      <c r="V91" s="31">
        <f t="shared" si="18"/>
        <v>6287.5</v>
      </c>
      <c r="W91" s="31">
        <f t="shared" si="19"/>
        <v>6344.3</v>
      </c>
      <c r="X91" s="31">
        <f t="shared" si="20"/>
        <v>6398.9</v>
      </c>
      <c r="Y91" s="31">
        <f t="shared" si="21"/>
        <v>6531.7</v>
      </c>
      <c r="Z91" s="31">
        <f t="shared" si="22"/>
        <v>6577.2</v>
      </c>
      <c r="AA91" s="31">
        <f t="shared" si="23"/>
        <v>7070.5</v>
      </c>
      <c r="AB91" s="31">
        <f t="shared" si="24"/>
        <v>7125.6</v>
      </c>
      <c r="AC91" s="31">
        <f t="shared" si="25"/>
        <v>7213.9</v>
      </c>
      <c r="AD91" s="31">
        <f t="shared" si="26"/>
        <v>11537.2</v>
      </c>
      <c r="AE91" s="31">
        <f t="shared" si="27"/>
        <v>15115.1</v>
      </c>
      <c r="AF91" s="31">
        <f t="shared" si="28"/>
        <v>17889</v>
      </c>
      <c r="AG91" s="31">
        <f t="shared" si="29"/>
        <v>18321</v>
      </c>
      <c r="AH91" s="31">
        <f t="shared" si="30"/>
        <v>24020</v>
      </c>
    </row>
    <row r="92" spans="1:34">
      <c r="A92" s="27" t="s">
        <v>156</v>
      </c>
      <c r="B92" s="200" t="s">
        <v>116</v>
      </c>
      <c r="C92" s="31">
        <f t="shared" si="2"/>
        <v>65.1</v>
      </c>
      <c r="D92" s="31">
        <f t="shared" si="3"/>
        <v>382.6</v>
      </c>
      <c r="E92" s="31">
        <f t="shared" si="4"/>
        <v>532.7</v>
      </c>
      <c r="F92" s="31">
        <f t="shared" si="5"/>
        <v>606.9</v>
      </c>
      <c r="G92" s="31">
        <f t="shared" si="6"/>
        <v>506.6</v>
      </c>
      <c r="H92" s="31">
        <f t="shared" si="7"/>
        <v>147.6</v>
      </c>
      <c r="I92" s="31">
        <f t="shared" si="8"/>
        <v>611.5</v>
      </c>
      <c r="J92" s="31">
        <f t="shared" si="9"/>
        <v>320</v>
      </c>
      <c r="K92" s="31">
        <f t="shared" si="10"/>
        <v>120</v>
      </c>
      <c r="L92" s="31">
        <f t="shared" si="11"/>
        <v>169.2</v>
      </c>
      <c r="M92" s="31">
        <f t="shared" si="12"/>
        <v>467.8</v>
      </c>
      <c r="N92" s="31">
        <f t="shared" si="13"/>
        <v>845.100000000001</v>
      </c>
      <c r="O92" s="31">
        <f t="shared" si="14"/>
        <v>852.7</v>
      </c>
      <c r="P92" s="31">
        <f>MAX(AE22-AD22+'06-23Closure'!B21,AE57,0)*10</f>
        <v>947</v>
      </c>
      <c r="Q92" s="31">
        <f>MAX(AF22-AE22+'06-23Closure'!C21,AF57,0)*10</f>
        <v>846.515</v>
      </c>
      <c r="S92" s="31">
        <f t="shared" si="15"/>
        <v>3230.9</v>
      </c>
      <c r="T92" s="31">
        <f t="shared" si="16"/>
        <v>3296</v>
      </c>
      <c r="U92" s="31">
        <f t="shared" si="17"/>
        <v>3678.6</v>
      </c>
      <c r="V92" s="31">
        <f t="shared" si="18"/>
        <v>4211.3</v>
      </c>
      <c r="W92" s="31">
        <f t="shared" si="19"/>
        <v>4818.2</v>
      </c>
      <c r="X92" s="31">
        <f t="shared" si="20"/>
        <v>5009.9</v>
      </c>
      <c r="Y92" s="31">
        <f t="shared" si="21"/>
        <v>5103.2</v>
      </c>
      <c r="Z92" s="31">
        <f t="shared" si="22"/>
        <v>5714.7</v>
      </c>
      <c r="AA92" s="31">
        <f t="shared" si="23"/>
        <v>5858</v>
      </c>
      <c r="AB92" s="31">
        <f t="shared" si="24"/>
        <v>5966.1</v>
      </c>
      <c r="AC92" s="31">
        <f t="shared" si="25"/>
        <v>6135.3</v>
      </c>
      <c r="AD92" s="31">
        <f t="shared" si="26"/>
        <v>6603.1</v>
      </c>
      <c r="AE92" s="31">
        <f t="shared" si="27"/>
        <v>7448.2</v>
      </c>
      <c r="AF92" s="31">
        <f t="shared" si="28"/>
        <v>7849</v>
      </c>
      <c r="AG92" s="31">
        <f t="shared" si="29"/>
        <v>8648</v>
      </c>
      <c r="AH92" s="31">
        <f t="shared" si="30"/>
        <v>9220</v>
      </c>
    </row>
    <row r="93" spans="1:34">
      <c r="A93" s="27" t="s">
        <v>156</v>
      </c>
      <c r="B93" s="200" t="s">
        <v>118</v>
      </c>
      <c r="C93" s="31">
        <f t="shared" si="2"/>
        <v>1048</v>
      </c>
      <c r="D93" s="31">
        <f t="shared" si="3"/>
        <v>1048</v>
      </c>
      <c r="E93" s="31">
        <f t="shared" si="4"/>
        <v>397.6</v>
      </c>
      <c r="F93" s="31">
        <f t="shared" si="5"/>
        <v>127.9</v>
      </c>
      <c r="G93" s="31">
        <f t="shared" si="6"/>
        <v>203.7</v>
      </c>
      <c r="H93" s="31">
        <f t="shared" si="7"/>
        <v>523.3</v>
      </c>
      <c r="I93" s="31">
        <f t="shared" si="8"/>
        <v>1042</v>
      </c>
      <c r="J93" s="31">
        <f t="shared" si="9"/>
        <v>978.9</v>
      </c>
      <c r="K93" s="31">
        <f t="shared" si="10"/>
        <v>425.6</v>
      </c>
      <c r="L93" s="31">
        <f t="shared" si="11"/>
        <v>472.5</v>
      </c>
      <c r="M93" s="31">
        <f t="shared" si="12"/>
        <v>331.900000000001</v>
      </c>
      <c r="N93" s="31">
        <f t="shared" si="13"/>
        <v>477.4</v>
      </c>
      <c r="O93" s="31">
        <f t="shared" si="14"/>
        <v>668.1</v>
      </c>
      <c r="P93" s="31">
        <f>MAX(AE23-AD23+'06-23Closure'!B22,AE58,0)*10</f>
        <v>381</v>
      </c>
      <c r="Q93" s="31">
        <f>MAX(AF23-AE23+'06-23Closure'!C22,AF58,0)*10</f>
        <v>855.291</v>
      </c>
      <c r="S93" s="31">
        <f t="shared" si="15"/>
        <v>2972.8</v>
      </c>
      <c r="T93" s="31">
        <f t="shared" si="16"/>
        <v>4020.8</v>
      </c>
      <c r="U93" s="31">
        <f t="shared" si="17"/>
        <v>4543.4</v>
      </c>
      <c r="V93" s="31">
        <f t="shared" si="18"/>
        <v>4657.1</v>
      </c>
      <c r="W93" s="31">
        <f t="shared" si="19"/>
        <v>4785</v>
      </c>
      <c r="X93" s="31">
        <f t="shared" si="20"/>
        <v>4988.7</v>
      </c>
      <c r="Y93" s="31">
        <f t="shared" si="21"/>
        <v>5512</v>
      </c>
      <c r="Z93" s="31">
        <f t="shared" si="22"/>
        <v>6554</v>
      </c>
      <c r="AA93" s="31">
        <f t="shared" si="23"/>
        <v>7015.5</v>
      </c>
      <c r="AB93" s="31">
        <f t="shared" si="24"/>
        <v>7302.8</v>
      </c>
      <c r="AC93" s="31">
        <f t="shared" si="25"/>
        <v>7775.3</v>
      </c>
      <c r="AD93" s="31">
        <f t="shared" si="26"/>
        <v>8107.2</v>
      </c>
      <c r="AE93" s="31">
        <f t="shared" si="27"/>
        <v>8584.6</v>
      </c>
      <c r="AF93" s="31">
        <f t="shared" si="28"/>
        <v>9036</v>
      </c>
      <c r="AG93" s="31">
        <f t="shared" si="29"/>
        <v>9320</v>
      </c>
      <c r="AH93" s="31">
        <f t="shared" si="30"/>
        <v>10110</v>
      </c>
    </row>
    <row r="94" spans="1:34">
      <c r="A94" s="27" t="s">
        <v>156</v>
      </c>
      <c r="B94" s="200" t="s">
        <v>120</v>
      </c>
      <c r="C94" s="31">
        <f t="shared" si="2"/>
        <v>546</v>
      </c>
      <c r="D94" s="31">
        <f t="shared" si="3"/>
        <v>546</v>
      </c>
      <c r="E94" s="31">
        <f t="shared" si="4"/>
        <v>371.7</v>
      </c>
      <c r="F94" s="31">
        <f t="shared" si="5"/>
        <v>356.7</v>
      </c>
      <c r="G94" s="31">
        <f t="shared" si="6"/>
        <v>544.1</v>
      </c>
      <c r="H94" s="31">
        <f t="shared" si="7"/>
        <v>532.9</v>
      </c>
      <c r="I94" s="31">
        <f t="shared" si="8"/>
        <v>571.500000000001</v>
      </c>
      <c r="J94" s="31">
        <f t="shared" si="9"/>
        <v>1179</v>
      </c>
      <c r="K94" s="31">
        <f t="shared" si="10"/>
        <v>1667.3</v>
      </c>
      <c r="L94" s="31">
        <f t="shared" si="11"/>
        <v>119.599999999999</v>
      </c>
      <c r="M94" s="31">
        <f t="shared" si="12"/>
        <v>161.900000000001</v>
      </c>
      <c r="N94" s="31">
        <f t="shared" si="13"/>
        <v>0</v>
      </c>
      <c r="O94" s="31">
        <f t="shared" si="14"/>
        <v>1044.6</v>
      </c>
      <c r="P94" s="31">
        <f>MAX(AE24-AD24+'06-23Closure'!B23,AE59,0)*10</f>
        <v>1576</v>
      </c>
      <c r="Q94" s="31">
        <f>MAX(AF24-AE24+'06-23Closure'!C23,AF59,0)*10</f>
        <v>2830.152</v>
      </c>
      <c r="S94" s="31">
        <f t="shared" si="15"/>
        <v>2552.8</v>
      </c>
      <c r="T94" s="31">
        <f t="shared" si="16"/>
        <v>3098.8</v>
      </c>
      <c r="U94" s="31">
        <f t="shared" si="17"/>
        <v>3468.3</v>
      </c>
      <c r="V94" s="31">
        <f t="shared" si="18"/>
        <v>3829.2</v>
      </c>
      <c r="W94" s="31">
        <f t="shared" si="19"/>
        <v>4024.1</v>
      </c>
      <c r="X94" s="31">
        <f t="shared" si="20"/>
        <v>4568.2</v>
      </c>
      <c r="Y94" s="31">
        <f t="shared" si="21"/>
        <v>4932.7</v>
      </c>
      <c r="Z94" s="31">
        <f t="shared" si="22"/>
        <v>5504.2</v>
      </c>
      <c r="AA94" s="31">
        <f t="shared" si="23"/>
        <v>6683.2</v>
      </c>
      <c r="AB94" s="31">
        <f t="shared" si="24"/>
        <v>6763.7</v>
      </c>
      <c r="AC94" s="31">
        <f t="shared" si="25"/>
        <v>6883.3</v>
      </c>
      <c r="AD94" s="31">
        <f t="shared" si="26"/>
        <v>7045.2</v>
      </c>
      <c r="AE94" s="31">
        <f t="shared" si="27"/>
        <v>5040.4</v>
      </c>
      <c r="AF94" s="31">
        <f t="shared" si="28"/>
        <v>6085</v>
      </c>
      <c r="AG94" s="31">
        <f t="shared" si="29"/>
        <v>7624</v>
      </c>
      <c r="AH94" s="31">
        <f t="shared" si="30"/>
        <v>10440</v>
      </c>
    </row>
    <row r="95" spans="1:34">
      <c r="A95" s="27" t="s">
        <v>156</v>
      </c>
      <c r="B95" s="200" t="s">
        <v>122</v>
      </c>
      <c r="C95" s="31">
        <f t="shared" si="2"/>
        <v>60</v>
      </c>
      <c r="D95" s="31">
        <f t="shared" si="3"/>
        <v>113.6</v>
      </c>
      <c r="E95" s="31">
        <f t="shared" si="4"/>
        <v>120</v>
      </c>
      <c r="F95" s="31">
        <f t="shared" si="5"/>
        <v>60</v>
      </c>
      <c r="G95" s="31">
        <f t="shared" si="6"/>
        <v>0</v>
      </c>
      <c r="H95" s="31">
        <f t="shared" si="7"/>
        <v>26</v>
      </c>
      <c r="I95" s="31">
        <f t="shared" si="8"/>
        <v>1.59999999999997</v>
      </c>
      <c r="J95" s="31">
        <f t="shared" si="9"/>
        <v>1.89999999999998</v>
      </c>
      <c r="K95" s="31">
        <f t="shared" si="10"/>
        <v>1.30000000000003</v>
      </c>
      <c r="L95" s="31">
        <f t="shared" si="11"/>
        <v>9.3</v>
      </c>
      <c r="M95" s="31">
        <f t="shared" si="12"/>
        <v>3.90000000000001</v>
      </c>
      <c r="N95" s="31">
        <f t="shared" si="13"/>
        <v>10.8</v>
      </c>
      <c r="O95" s="31">
        <f t="shared" si="14"/>
        <v>11.8</v>
      </c>
      <c r="P95" s="31">
        <f>MAX(AE25-AD25+'06-23Closure'!B24,AE60,0)*10</f>
        <v>15</v>
      </c>
      <c r="Q95" s="31">
        <f>MAX(AF25-AE25+'06-23Closure'!C24,AF60,0)*10</f>
        <v>20</v>
      </c>
      <c r="S95" s="31">
        <f t="shared" si="15"/>
        <v>299.9</v>
      </c>
      <c r="T95" s="31">
        <f t="shared" si="16"/>
        <v>359.9</v>
      </c>
      <c r="U95" s="31">
        <f t="shared" si="17"/>
        <v>473.5</v>
      </c>
      <c r="V95" s="31">
        <f t="shared" si="18"/>
        <v>507.3</v>
      </c>
      <c r="W95" s="31">
        <f t="shared" si="19"/>
        <v>509.3</v>
      </c>
      <c r="X95" s="31">
        <f t="shared" si="20"/>
        <v>507.4</v>
      </c>
      <c r="Y95" s="31">
        <f t="shared" si="21"/>
        <v>533.4</v>
      </c>
      <c r="Z95" s="31">
        <f t="shared" si="22"/>
        <v>535</v>
      </c>
      <c r="AA95" s="31">
        <f t="shared" si="23"/>
        <v>536.9</v>
      </c>
      <c r="AB95" s="31">
        <f t="shared" si="24"/>
        <v>538.2</v>
      </c>
      <c r="AC95" s="31">
        <f t="shared" si="25"/>
        <v>547.5</v>
      </c>
      <c r="AD95" s="31">
        <f t="shared" si="26"/>
        <v>551.4</v>
      </c>
      <c r="AE95" s="31">
        <f t="shared" si="27"/>
        <v>562.2</v>
      </c>
      <c r="AF95" s="31">
        <f t="shared" si="28"/>
        <v>574</v>
      </c>
      <c r="AG95" s="31">
        <f t="shared" si="29"/>
        <v>589</v>
      </c>
      <c r="AH95" s="31">
        <f t="shared" si="30"/>
        <v>590</v>
      </c>
    </row>
    <row r="96" spans="1:34">
      <c r="A96" s="27" t="s">
        <v>156</v>
      </c>
      <c r="B96" s="200" t="s">
        <v>124</v>
      </c>
      <c r="C96" s="31">
        <f t="shared" si="2"/>
        <v>0</v>
      </c>
      <c r="D96" s="31">
        <f t="shared" si="3"/>
        <v>0</v>
      </c>
      <c r="E96" s="31">
        <f t="shared" si="4"/>
        <v>0</v>
      </c>
      <c r="F96" s="31">
        <f t="shared" si="5"/>
        <v>0</v>
      </c>
      <c r="G96" s="31">
        <f t="shared" si="6"/>
        <v>835.6</v>
      </c>
      <c r="H96" s="31">
        <f t="shared" si="7"/>
        <v>600</v>
      </c>
      <c r="I96" s="31">
        <f t="shared" si="8"/>
        <v>233.9</v>
      </c>
      <c r="J96" s="31">
        <f t="shared" si="9"/>
        <v>256.7</v>
      </c>
      <c r="K96" s="31">
        <f t="shared" si="10"/>
        <v>0</v>
      </c>
      <c r="L96" s="31">
        <f t="shared" si="11"/>
        <v>0</v>
      </c>
      <c r="M96" s="31">
        <f t="shared" si="12"/>
        <v>134.3</v>
      </c>
      <c r="N96" s="31">
        <f t="shared" si="13"/>
        <v>78.1</v>
      </c>
      <c r="O96" s="31">
        <f t="shared" si="14"/>
        <v>504.1</v>
      </c>
      <c r="P96" s="31">
        <f>MAX(AE26-AD26+'06-23Closure'!B25,AE61,0)*10</f>
        <v>88.0000000000002</v>
      </c>
      <c r="Q96" s="31">
        <f>MAX(AF26-AE26+'06-23Closure'!C25,AF61,0)*10</f>
        <v>305.5</v>
      </c>
      <c r="S96" s="31">
        <f t="shared" si="15"/>
        <v>0</v>
      </c>
      <c r="T96" s="31">
        <f t="shared" si="16"/>
        <v>0</v>
      </c>
      <c r="U96" s="31">
        <f t="shared" si="17"/>
        <v>0</v>
      </c>
      <c r="V96" s="31">
        <f t="shared" si="18"/>
        <v>0</v>
      </c>
      <c r="W96" s="31">
        <f t="shared" si="19"/>
        <v>0</v>
      </c>
      <c r="X96" s="31">
        <f t="shared" si="20"/>
        <v>835.6</v>
      </c>
      <c r="Y96" s="31">
        <f t="shared" si="21"/>
        <v>836.4</v>
      </c>
      <c r="Z96" s="31">
        <f t="shared" si="22"/>
        <v>1070.3</v>
      </c>
      <c r="AA96" s="31">
        <f t="shared" si="23"/>
        <v>1327</v>
      </c>
      <c r="AB96" s="31">
        <f t="shared" si="24"/>
        <v>1268</v>
      </c>
      <c r="AC96" s="31">
        <f t="shared" si="25"/>
        <v>1195.5</v>
      </c>
      <c r="AD96" s="31">
        <f t="shared" si="26"/>
        <v>1329.8</v>
      </c>
      <c r="AE96" s="31">
        <f t="shared" si="27"/>
        <v>1407.9</v>
      </c>
      <c r="AF96" s="31">
        <f t="shared" si="28"/>
        <v>1912</v>
      </c>
      <c r="AG96" s="31">
        <f t="shared" si="29"/>
        <v>1979</v>
      </c>
      <c r="AH96" s="31">
        <f t="shared" si="30"/>
        <v>2240</v>
      </c>
    </row>
    <row r="97" spans="1:34">
      <c r="A97" s="27" t="s">
        <v>156</v>
      </c>
      <c r="B97" s="200" t="s">
        <v>126</v>
      </c>
      <c r="C97" s="31">
        <f t="shared" si="2"/>
        <v>469.7</v>
      </c>
      <c r="D97" s="31">
        <f t="shared" si="3"/>
        <v>495.4</v>
      </c>
      <c r="E97" s="31">
        <f t="shared" si="4"/>
        <v>536.1</v>
      </c>
      <c r="F97" s="31">
        <f t="shared" si="5"/>
        <v>833.8</v>
      </c>
      <c r="G97" s="31">
        <f t="shared" si="6"/>
        <v>654.9</v>
      </c>
      <c r="H97" s="31">
        <f t="shared" si="7"/>
        <v>1623.5</v>
      </c>
      <c r="I97" s="31">
        <f t="shared" si="8"/>
        <v>2711</v>
      </c>
      <c r="J97" s="31">
        <f t="shared" si="9"/>
        <v>2335.6</v>
      </c>
      <c r="K97" s="31">
        <f t="shared" si="10"/>
        <v>523.200000000002</v>
      </c>
      <c r="L97" s="31">
        <f t="shared" si="11"/>
        <v>323.099999999999</v>
      </c>
      <c r="M97" s="31">
        <f t="shared" si="12"/>
        <v>486.900000000001</v>
      </c>
      <c r="N97" s="31">
        <f t="shared" si="13"/>
        <v>1041.4</v>
      </c>
      <c r="O97" s="31">
        <f t="shared" si="14"/>
        <v>1577.1</v>
      </c>
      <c r="P97" s="31">
        <f>MAX(AE27-AD27+'06-23Closure'!B26,AE62,0)*10</f>
        <v>2855</v>
      </c>
      <c r="Q97" s="31">
        <f>MAX(AF27-AE27+'06-23Closure'!C26,AF62,0)*10</f>
        <v>4383.699</v>
      </c>
      <c r="S97" s="31">
        <f t="shared" si="15"/>
        <v>4089.2</v>
      </c>
      <c r="T97" s="31">
        <f t="shared" si="16"/>
        <v>4558.9</v>
      </c>
      <c r="U97" s="31">
        <f t="shared" si="17"/>
        <v>5054.3</v>
      </c>
      <c r="V97" s="31">
        <f t="shared" si="18"/>
        <v>5590.4</v>
      </c>
      <c r="W97" s="31">
        <f t="shared" si="19"/>
        <v>6424.2</v>
      </c>
      <c r="X97" s="31">
        <f t="shared" si="20"/>
        <v>6082.4</v>
      </c>
      <c r="Y97" s="31">
        <f t="shared" si="21"/>
        <v>7705.9</v>
      </c>
      <c r="Z97" s="31">
        <f t="shared" si="22"/>
        <v>10416.9</v>
      </c>
      <c r="AA97" s="31">
        <f t="shared" si="23"/>
        <v>11008.3</v>
      </c>
      <c r="AB97" s="31">
        <f t="shared" si="24"/>
        <v>11531.5</v>
      </c>
      <c r="AC97" s="31">
        <f t="shared" si="25"/>
        <v>11854.6</v>
      </c>
      <c r="AD97" s="31">
        <f t="shared" si="26"/>
        <v>12341.5</v>
      </c>
      <c r="AE97" s="31">
        <f t="shared" si="27"/>
        <v>13382.9</v>
      </c>
      <c r="AF97" s="31">
        <f t="shared" si="28"/>
        <v>14960</v>
      </c>
      <c r="AG97" s="31">
        <f t="shared" si="29"/>
        <v>17730</v>
      </c>
      <c r="AH97" s="31">
        <f t="shared" si="30"/>
        <v>19860</v>
      </c>
    </row>
    <row r="98" spans="1:34">
      <c r="A98" s="27" t="s">
        <v>156</v>
      </c>
      <c r="B98" s="200" t="s">
        <v>128</v>
      </c>
      <c r="C98" s="31">
        <f t="shared" si="2"/>
        <v>0</v>
      </c>
      <c r="D98" s="31">
        <f t="shared" si="3"/>
        <v>445.8</v>
      </c>
      <c r="E98" s="31">
        <f t="shared" si="4"/>
        <v>390</v>
      </c>
      <c r="F98" s="31">
        <f t="shared" si="5"/>
        <v>195</v>
      </c>
      <c r="G98" s="31">
        <f t="shared" si="6"/>
        <v>0</v>
      </c>
      <c r="H98" s="31">
        <f t="shared" si="7"/>
        <v>55.3</v>
      </c>
      <c r="I98" s="31">
        <f t="shared" si="8"/>
        <v>75</v>
      </c>
      <c r="J98" s="31">
        <f t="shared" si="9"/>
        <v>48.0000000000001</v>
      </c>
      <c r="K98" s="31">
        <f t="shared" si="10"/>
        <v>51.5000000000001</v>
      </c>
      <c r="L98" s="31">
        <f t="shared" si="11"/>
        <v>16.5000000000001</v>
      </c>
      <c r="M98" s="31">
        <f t="shared" si="12"/>
        <v>1287.6</v>
      </c>
      <c r="N98" s="31">
        <f t="shared" si="13"/>
        <v>3182.8</v>
      </c>
      <c r="O98" s="31">
        <f t="shared" si="14"/>
        <v>754.8</v>
      </c>
      <c r="P98" s="31">
        <f>MAX(AE28-AD28+'06-23Closure'!B27,AE63,0)*10</f>
        <v>1240</v>
      </c>
      <c r="Q98" s="31">
        <f>MAX(AF28-AE28+'06-23Closure'!C27,AF63,0)*10</f>
        <v>676</v>
      </c>
      <c r="S98" s="31">
        <f t="shared" si="15"/>
        <v>1394.1</v>
      </c>
      <c r="T98" s="31">
        <f t="shared" si="16"/>
        <v>1394.1</v>
      </c>
      <c r="U98" s="31">
        <f t="shared" si="17"/>
        <v>1839.9</v>
      </c>
      <c r="V98" s="31">
        <f t="shared" si="18"/>
        <v>2058.7</v>
      </c>
      <c r="W98" s="31">
        <f t="shared" si="19"/>
        <v>2209</v>
      </c>
      <c r="X98" s="31">
        <f t="shared" si="20"/>
        <v>2179.8</v>
      </c>
      <c r="Y98" s="31">
        <f t="shared" si="21"/>
        <v>2235.1</v>
      </c>
      <c r="Z98" s="31">
        <f t="shared" si="22"/>
        <v>2310.1</v>
      </c>
      <c r="AA98" s="31">
        <f t="shared" si="23"/>
        <v>2358.1</v>
      </c>
      <c r="AB98" s="31">
        <f t="shared" si="24"/>
        <v>2409.6</v>
      </c>
      <c r="AC98" s="31">
        <f t="shared" si="25"/>
        <v>2426.1</v>
      </c>
      <c r="AD98" s="31">
        <f t="shared" si="26"/>
        <v>3713.7</v>
      </c>
      <c r="AE98" s="31">
        <f t="shared" si="27"/>
        <v>6896.5</v>
      </c>
      <c r="AF98" s="31">
        <f t="shared" si="28"/>
        <v>7233</v>
      </c>
      <c r="AG98" s="31">
        <f t="shared" si="29"/>
        <v>7534</v>
      </c>
      <c r="AH98" s="31">
        <f t="shared" si="30"/>
        <v>8210</v>
      </c>
    </row>
    <row r="99" spans="1:34">
      <c r="A99" s="27" t="s">
        <v>156</v>
      </c>
      <c r="B99" s="200" t="s">
        <v>130</v>
      </c>
      <c r="C99" s="31">
        <f t="shared" si="2"/>
        <v>570</v>
      </c>
      <c r="D99" s="31">
        <f t="shared" si="3"/>
        <v>570</v>
      </c>
      <c r="E99" s="31">
        <f t="shared" si="4"/>
        <v>500</v>
      </c>
      <c r="F99" s="31">
        <f t="shared" si="5"/>
        <v>355</v>
      </c>
      <c r="G99" s="31">
        <f t="shared" si="6"/>
        <v>101.2</v>
      </c>
      <c r="H99" s="31">
        <f t="shared" si="7"/>
        <v>204.3</v>
      </c>
      <c r="I99" s="31">
        <f t="shared" si="8"/>
        <v>397.8</v>
      </c>
      <c r="J99" s="31">
        <f t="shared" si="9"/>
        <v>270.3</v>
      </c>
      <c r="K99" s="31">
        <f t="shared" si="10"/>
        <v>48.3999999999997</v>
      </c>
      <c r="L99" s="31">
        <f t="shared" si="11"/>
        <v>840.7</v>
      </c>
      <c r="M99" s="31">
        <f t="shared" si="12"/>
        <v>706.900000000001</v>
      </c>
      <c r="N99" s="31">
        <f t="shared" si="13"/>
        <v>515.4</v>
      </c>
      <c r="O99" s="31">
        <f t="shared" si="14"/>
        <v>940.4</v>
      </c>
      <c r="P99" s="31">
        <f>MAX(AE29-AD29+'06-23Closure'!B28,AE64,0)*10</f>
        <v>1704</v>
      </c>
      <c r="Q99" s="31">
        <f>MAX(AF29-AE29+'06-23Closure'!C28,AF64,0)*10</f>
        <v>1893.695</v>
      </c>
      <c r="S99" s="31">
        <f t="shared" si="15"/>
        <v>2531.5</v>
      </c>
      <c r="T99" s="31">
        <f t="shared" si="16"/>
        <v>3101.5</v>
      </c>
      <c r="U99" s="31">
        <f t="shared" si="17"/>
        <v>3615.1</v>
      </c>
      <c r="V99" s="31">
        <f t="shared" si="18"/>
        <v>3960.8</v>
      </c>
      <c r="W99" s="31">
        <f t="shared" si="19"/>
        <v>3973.6</v>
      </c>
      <c r="X99" s="31">
        <f t="shared" si="20"/>
        <v>4074.8</v>
      </c>
      <c r="Y99" s="31">
        <f t="shared" si="21"/>
        <v>4279.1</v>
      </c>
      <c r="Z99" s="31">
        <f t="shared" si="22"/>
        <v>4676.9</v>
      </c>
      <c r="AA99" s="31">
        <f t="shared" si="23"/>
        <v>4947.2</v>
      </c>
      <c r="AB99" s="31">
        <f t="shared" si="24"/>
        <v>4995.6</v>
      </c>
      <c r="AC99" s="31">
        <f t="shared" si="25"/>
        <v>5836.3</v>
      </c>
      <c r="AD99" s="31">
        <f t="shared" si="26"/>
        <v>6543.2</v>
      </c>
      <c r="AE99" s="31">
        <f t="shared" si="27"/>
        <v>7058.6</v>
      </c>
      <c r="AF99" s="31">
        <f t="shared" si="28"/>
        <v>7999</v>
      </c>
      <c r="AG99" s="31">
        <f t="shared" si="29"/>
        <v>9698</v>
      </c>
      <c r="AH99" s="31">
        <f t="shared" si="30"/>
        <v>11580</v>
      </c>
    </row>
    <row r="100" spans="1:34">
      <c r="A100" s="27" t="s">
        <v>156</v>
      </c>
      <c r="B100" s="200" t="s">
        <v>132</v>
      </c>
      <c r="C100" s="31">
        <f t="shared" si="2"/>
        <v>0</v>
      </c>
      <c r="D100" s="31">
        <f t="shared" si="3"/>
        <v>8.59999999999999</v>
      </c>
      <c r="E100" s="31">
        <f t="shared" si="4"/>
        <v>0</v>
      </c>
      <c r="F100" s="31">
        <f t="shared" si="5"/>
        <v>5.4</v>
      </c>
      <c r="G100" s="31">
        <f t="shared" si="6"/>
        <v>108.2</v>
      </c>
      <c r="H100" s="31">
        <f t="shared" si="7"/>
        <v>90</v>
      </c>
      <c r="I100" s="31">
        <f t="shared" si="8"/>
        <v>30</v>
      </c>
      <c r="J100" s="31">
        <f t="shared" si="9"/>
        <v>22.3</v>
      </c>
      <c r="K100" s="31">
        <f t="shared" si="10"/>
        <v>1.20000000000001</v>
      </c>
      <c r="L100" s="31">
        <f t="shared" si="11"/>
        <v>2.5</v>
      </c>
      <c r="M100" s="31">
        <f t="shared" si="12"/>
        <v>12.9</v>
      </c>
      <c r="N100" s="31">
        <f t="shared" si="13"/>
        <v>92.1</v>
      </c>
      <c r="O100" s="31">
        <f t="shared" si="14"/>
        <v>230</v>
      </c>
      <c r="P100" s="31">
        <f>MAX(AE30-AD30+'06-23Closure'!B29,AE65,0)*10</f>
        <v>60</v>
      </c>
      <c r="Q100" s="31">
        <f>MAX(AF30-AE30+'06-23Closure'!C29,AF65,0)*10</f>
        <v>60</v>
      </c>
      <c r="S100" s="31">
        <f t="shared" si="15"/>
        <v>120.9</v>
      </c>
      <c r="T100" s="31">
        <f t="shared" si="16"/>
        <v>120.9</v>
      </c>
      <c r="U100" s="31">
        <f t="shared" si="17"/>
        <v>129.5</v>
      </c>
      <c r="V100" s="31">
        <f t="shared" si="18"/>
        <v>129.5</v>
      </c>
      <c r="W100" s="31">
        <f t="shared" si="19"/>
        <v>129.4</v>
      </c>
      <c r="X100" s="31">
        <f t="shared" si="20"/>
        <v>237.6</v>
      </c>
      <c r="Y100" s="31">
        <f t="shared" si="21"/>
        <v>242.5</v>
      </c>
      <c r="Z100" s="31">
        <f t="shared" si="22"/>
        <v>272.5</v>
      </c>
      <c r="AA100" s="31">
        <f t="shared" si="23"/>
        <v>294.8</v>
      </c>
      <c r="AB100" s="31">
        <f t="shared" si="24"/>
        <v>296</v>
      </c>
      <c r="AC100" s="31">
        <f t="shared" si="25"/>
        <v>298.5</v>
      </c>
      <c r="AD100" s="31">
        <f t="shared" si="26"/>
        <v>311.4</v>
      </c>
      <c r="AE100" s="31">
        <f t="shared" si="27"/>
        <v>403.5</v>
      </c>
      <c r="AF100" s="31">
        <f t="shared" si="28"/>
        <v>419</v>
      </c>
      <c r="AG100" s="31">
        <f t="shared" si="29"/>
        <v>343</v>
      </c>
      <c r="AH100" s="31">
        <f t="shared" si="30"/>
        <v>390</v>
      </c>
    </row>
    <row r="101" spans="1:34">
      <c r="A101" s="27" t="s">
        <v>156</v>
      </c>
      <c r="B101" s="200" t="s">
        <v>134</v>
      </c>
      <c r="C101" s="31">
        <f t="shared" si="2"/>
        <v>0</v>
      </c>
      <c r="D101" s="31">
        <f t="shared" si="3"/>
        <v>0</v>
      </c>
      <c r="E101" s="31">
        <f t="shared" si="4"/>
        <v>13.9</v>
      </c>
      <c r="F101" s="31">
        <f t="shared" si="5"/>
        <v>51.7</v>
      </c>
      <c r="G101" s="31">
        <f t="shared" si="6"/>
        <v>99.5</v>
      </c>
      <c r="H101" s="31">
        <f t="shared" si="7"/>
        <v>15.5</v>
      </c>
      <c r="I101" s="31">
        <f t="shared" si="8"/>
        <v>42.8999999999999</v>
      </c>
      <c r="J101" s="31">
        <f t="shared" si="9"/>
        <v>159.2</v>
      </c>
      <c r="K101" s="31">
        <f t="shared" si="10"/>
        <v>90</v>
      </c>
      <c r="L101" s="31">
        <f t="shared" si="11"/>
        <v>11.6</v>
      </c>
      <c r="M101" s="31">
        <f t="shared" si="12"/>
        <v>0</v>
      </c>
      <c r="N101" s="31">
        <f t="shared" si="13"/>
        <v>414.2</v>
      </c>
      <c r="O101" s="31">
        <f t="shared" si="14"/>
        <v>124.5</v>
      </c>
      <c r="P101" s="31">
        <f>MAX(AE31-AD31+'06-23Closure'!B30,AE66,0)*10</f>
        <v>187</v>
      </c>
      <c r="Q101" s="31">
        <f>MAX(AF31-AE31+'06-23Closure'!C30,AF66,0)*10</f>
        <v>0</v>
      </c>
      <c r="S101" s="31">
        <f t="shared" si="15"/>
        <v>1198</v>
      </c>
      <c r="T101" s="31">
        <f t="shared" si="16"/>
        <v>1198</v>
      </c>
      <c r="U101" s="31">
        <f t="shared" si="17"/>
        <v>1168</v>
      </c>
      <c r="V101" s="31">
        <f t="shared" si="18"/>
        <v>1181.9</v>
      </c>
      <c r="W101" s="31">
        <f t="shared" si="19"/>
        <v>1233.6</v>
      </c>
      <c r="X101" s="31">
        <f t="shared" si="20"/>
        <v>1233.6</v>
      </c>
      <c r="Y101" s="31">
        <f t="shared" si="21"/>
        <v>1249.1</v>
      </c>
      <c r="Z101" s="31">
        <f t="shared" si="22"/>
        <v>1292</v>
      </c>
      <c r="AA101" s="31">
        <f t="shared" si="23"/>
        <v>1451.2</v>
      </c>
      <c r="AB101" s="31">
        <f t="shared" si="24"/>
        <v>1450.7</v>
      </c>
      <c r="AC101" s="31">
        <f t="shared" si="25"/>
        <v>1462.3</v>
      </c>
      <c r="AD101" s="31">
        <f t="shared" si="26"/>
        <v>1462.3</v>
      </c>
      <c r="AE101" s="31">
        <f t="shared" si="27"/>
        <v>1876.5</v>
      </c>
      <c r="AF101" s="31">
        <f t="shared" si="28"/>
        <v>1978</v>
      </c>
      <c r="AG101" s="31">
        <f t="shared" si="29"/>
        <v>2165</v>
      </c>
      <c r="AH101" s="31">
        <f t="shared" si="30"/>
        <v>1790</v>
      </c>
    </row>
    <row r="102" spans="1:34">
      <c r="A102" s="27" t="s">
        <v>156</v>
      </c>
      <c r="B102" s="200" t="s">
        <v>136</v>
      </c>
      <c r="C102" s="31">
        <f t="shared" si="2"/>
        <v>0</v>
      </c>
      <c r="D102" s="31">
        <f t="shared" si="3"/>
        <v>0</v>
      </c>
      <c r="E102" s="31">
        <f t="shared" si="4"/>
        <v>16.3</v>
      </c>
      <c r="F102" s="31">
        <f t="shared" si="5"/>
        <v>123.5</v>
      </c>
      <c r="G102" s="31">
        <f t="shared" si="6"/>
        <v>204.9</v>
      </c>
      <c r="H102" s="31">
        <f t="shared" si="7"/>
        <v>158.6</v>
      </c>
      <c r="I102" s="31">
        <f t="shared" si="8"/>
        <v>125</v>
      </c>
      <c r="J102" s="31">
        <f t="shared" si="9"/>
        <v>83.4999999999997</v>
      </c>
      <c r="K102" s="31">
        <f t="shared" si="10"/>
        <v>166.8</v>
      </c>
      <c r="L102" s="31">
        <f t="shared" si="11"/>
        <v>120.3</v>
      </c>
      <c r="M102" s="31">
        <f t="shared" si="12"/>
        <v>41.9999999999999</v>
      </c>
      <c r="N102" s="31">
        <f t="shared" si="13"/>
        <v>285.5</v>
      </c>
      <c r="O102" s="31">
        <f t="shared" si="14"/>
        <v>570.15</v>
      </c>
      <c r="P102" s="31">
        <f>MAX(AE32-AD32+'06-23Closure'!B31,AE67,0)*10</f>
        <v>285</v>
      </c>
      <c r="Q102" s="31">
        <f>MAX(AF32-AE32+'06-23Closure'!C31,AF67,0)*10</f>
        <v>200</v>
      </c>
      <c r="S102" s="31">
        <f t="shared" si="15"/>
        <v>2357.7</v>
      </c>
      <c r="T102" s="31">
        <f t="shared" si="16"/>
        <v>2357.7</v>
      </c>
      <c r="U102" s="31">
        <f t="shared" si="17"/>
        <v>2306.9</v>
      </c>
      <c r="V102" s="31">
        <f t="shared" si="18"/>
        <v>2323.2</v>
      </c>
      <c r="W102" s="31">
        <f t="shared" si="19"/>
        <v>2446.7</v>
      </c>
      <c r="X102" s="31">
        <f t="shared" si="20"/>
        <v>2651.6</v>
      </c>
      <c r="Y102" s="31">
        <f t="shared" si="21"/>
        <v>2810.2</v>
      </c>
      <c r="Z102" s="31">
        <f t="shared" si="22"/>
        <v>2868</v>
      </c>
      <c r="AA102" s="31">
        <f t="shared" si="23"/>
        <v>2951.5</v>
      </c>
      <c r="AB102" s="31">
        <f t="shared" si="24"/>
        <v>3118.3</v>
      </c>
      <c r="AC102" s="31">
        <f t="shared" si="25"/>
        <v>3238.6</v>
      </c>
      <c r="AD102" s="31">
        <f t="shared" si="26"/>
        <v>3280.6</v>
      </c>
      <c r="AE102" s="31">
        <f t="shared" si="27"/>
        <v>3566.1</v>
      </c>
      <c r="AF102" s="31">
        <f t="shared" si="28"/>
        <v>4006</v>
      </c>
      <c r="AG102" s="31">
        <f t="shared" si="29"/>
        <v>4291</v>
      </c>
      <c r="AH102" s="31">
        <f t="shared" si="30"/>
        <v>4400</v>
      </c>
    </row>
    <row r="103" spans="1:34">
      <c r="A103" s="27" t="s">
        <v>156</v>
      </c>
      <c r="B103" s="200" t="s">
        <v>138</v>
      </c>
      <c r="C103" s="31">
        <f t="shared" si="2"/>
        <v>0</v>
      </c>
      <c r="D103" s="31">
        <f t="shared" si="3"/>
        <v>8.70000000000005</v>
      </c>
      <c r="E103" s="31">
        <f t="shared" si="4"/>
        <v>8.49999999999994</v>
      </c>
      <c r="F103" s="31">
        <f t="shared" si="5"/>
        <v>7.40000000000009</v>
      </c>
      <c r="G103" s="31">
        <f t="shared" si="6"/>
        <v>828.1</v>
      </c>
      <c r="H103" s="31">
        <f t="shared" si="7"/>
        <v>800</v>
      </c>
      <c r="I103" s="31">
        <f t="shared" si="8"/>
        <v>416.7</v>
      </c>
      <c r="J103" s="31">
        <f t="shared" si="9"/>
        <v>400</v>
      </c>
      <c r="K103" s="31">
        <f t="shared" si="10"/>
        <v>13.5000000000002</v>
      </c>
      <c r="L103" s="31">
        <f t="shared" si="11"/>
        <v>78.8999999999999</v>
      </c>
      <c r="M103" s="31">
        <f t="shared" si="12"/>
        <v>134.8</v>
      </c>
      <c r="N103" s="31">
        <f t="shared" si="13"/>
        <v>712.3</v>
      </c>
      <c r="O103" s="31">
        <f t="shared" si="14"/>
        <v>771.6</v>
      </c>
      <c r="P103" s="31">
        <f>MAX(AE33-AD33+'06-23Closure'!B32,AE68,0)*10</f>
        <v>598</v>
      </c>
      <c r="Q103" s="31">
        <f>MAX(AF33-AE33+'06-23Closure'!C32,AF68,0)*10</f>
        <v>407</v>
      </c>
      <c r="S103" s="31">
        <f t="shared" si="15"/>
        <v>1385.1</v>
      </c>
      <c r="T103" s="31">
        <f t="shared" si="16"/>
        <v>1385.1</v>
      </c>
      <c r="U103" s="31">
        <f t="shared" si="17"/>
        <v>1393.8</v>
      </c>
      <c r="V103" s="31">
        <f t="shared" si="18"/>
        <v>1402.3</v>
      </c>
      <c r="W103" s="31">
        <f t="shared" si="19"/>
        <v>1409.7</v>
      </c>
      <c r="X103" s="31">
        <f t="shared" si="20"/>
        <v>2237.8</v>
      </c>
      <c r="Y103" s="31">
        <f t="shared" si="21"/>
        <v>2658.5</v>
      </c>
      <c r="Z103" s="31">
        <f t="shared" si="22"/>
        <v>3075.2</v>
      </c>
      <c r="AA103" s="31">
        <f t="shared" si="23"/>
        <v>3113.9</v>
      </c>
      <c r="AB103" s="31">
        <f t="shared" si="24"/>
        <v>3127.4</v>
      </c>
      <c r="AC103" s="31">
        <f t="shared" si="25"/>
        <v>3206.3</v>
      </c>
      <c r="AD103" s="31">
        <f t="shared" si="26"/>
        <v>3341.1</v>
      </c>
      <c r="AE103" s="31">
        <f t="shared" si="27"/>
        <v>4053.4</v>
      </c>
      <c r="AF103" s="31">
        <f t="shared" si="28"/>
        <v>4825</v>
      </c>
      <c r="AG103" s="31">
        <f t="shared" si="29"/>
        <v>5423</v>
      </c>
      <c r="AH103" s="31">
        <f t="shared" si="30"/>
        <v>5830</v>
      </c>
    </row>
    <row r="104" spans="1:34">
      <c r="A104" s="27" t="s">
        <v>156</v>
      </c>
      <c r="B104" s="200" t="s">
        <v>140</v>
      </c>
      <c r="C104" s="31">
        <f t="shared" si="2"/>
        <v>0</v>
      </c>
      <c r="D104" s="31">
        <f t="shared" si="3"/>
        <v>0</v>
      </c>
      <c r="E104" s="31">
        <f t="shared" si="4"/>
        <v>30</v>
      </c>
      <c r="F104" s="31">
        <f t="shared" si="5"/>
        <v>0</v>
      </c>
      <c r="G104" s="31">
        <f t="shared" si="6"/>
        <v>0</v>
      </c>
      <c r="H104" s="31">
        <f t="shared" si="7"/>
        <v>0</v>
      </c>
      <c r="I104" s="31">
        <f t="shared" si="8"/>
        <v>0</v>
      </c>
      <c r="J104" s="31">
        <f t="shared" si="9"/>
        <v>0</v>
      </c>
      <c r="K104" s="31">
        <f t="shared" si="10"/>
        <v>1.6</v>
      </c>
      <c r="L104" s="31">
        <f t="shared" si="11"/>
        <v>0</v>
      </c>
      <c r="M104" s="31">
        <f t="shared" si="12"/>
        <v>0.300000000000011</v>
      </c>
      <c r="N104" s="31">
        <f t="shared" si="13"/>
        <v>58</v>
      </c>
      <c r="O104" s="31">
        <f t="shared" si="14"/>
        <v>62.8</v>
      </c>
      <c r="P104" s="31">
        <f>MAX(AE34-AD34+'06-23Closure'!B33,AE69,0)*10</f>
        <v>0</v>
      </c>
      <c r="Q104" s="31">
        <f>MAX(AF34-AE34+'06-23Closure'!C33,AF69,0)*10</f>
        <v>1.00000000000001</v>
      </c>
      <c r="S104" s="31">
        <f t="shared" si="15"/>
        <v>276.3</v>
      </c>
      <c r="T104" s="31">
        <f t="shared" si="16"/>
        <v>276.3</v>
      </c>
      <c r="U104" s="31">
        <f t="shared" si="17"/>
        <v>276.3</v>
      </c>
      <c r="V104" s="31">
        <f t="shared" si="18"/>
        <v>306.3</v>
      </c>
      <c r="W104" s="31">
        <f t="shared" si="19"/>
        <v>306.3</v>
      </c>
      <c r="X104" s="31">
        <f t="shared" si="20"/>
        <v>306.3</v>
      </c>
      <c r="Y104" s="31">
        <f t="shared" si="21"/>
        <v>306.3</v>
      </c>
      <c r="Z104" s="31">
        <f t="shared" si="22"/>
        <v>306.3</v>
      </c>
      <c r="AA104" s="31">
        <f t="shared" si="23"/>
        <v>306.3</v>
      </c>
      <c r="AB104" s="31">
        <f t="shared" si="24"/>
        <v>307.9</v>
      </c>
      <c r="AC104" s="31">
        <f t="shared" si="25"/>
        <v>307.9</v>
      </c>
      <c r="AD104" s="31">
        <f t="shared" si="26"/>
        <v>308.2</v>
      </c>
      <c r="AE104" s="31">
        <f t="shared" si="27"/>
        <v>366.2</v>
      </c>
      <c r="AF104" s="31">
        <f t="shared" si="28"/>
        <v>429</v>
      </c>
      <c r="AG104" s="31">
        <f t="shared" si="29"/>
        <v>429</v>
      </c>
      <c r="AH104" s="31">
        <f t="shared" si="30"/>
        <v>430</v>
      </c>
    </row>
    <row r="105" spans="1:34">
      <c r="A105" s="27" t="s">
        <v>156</v>
      </c>
      <c r="B105" s="200" t="s">
        <v>142</v>
      </c>
      <c r="C105" s="31">
        <f t="shared" si="2"/>
        <v>53</v>
      </c>
      <c r="D105" s="31">
        <f t="shared" si="3"/>
        <v>53</v>
      </c>
      <c r="E105" s="31">
        <f t="shared" si="4"/>
        <v>32.8</v>
      </c>
      <c r="F105" s="31">
        <f t="shared" si="5"/>
        <v>16.0000000000001</v>
      </c>
      <c r="G105" s="31">
        <f t="shared" si="6"/>
        <v>39.5999999999999</v>
      </c>
      <c r="H105" s="31">
        <f t="shared" si="7"/>
        <v>26.3</v>
      </c>
      <c r="I105" s="31">
        <f t="shared" si="8"/>
        <v>8.00000000000011</v>
      </c>
      <c r="J105" s="31">
        <f t="shared" si="9"/>
        <v>71.6</v>
      </c>
      <c r="K105" s="31">
        <f t="shared" si="10"/>
        <v>0</v>
      </c>
      <c r="L105" s="31">
        <f t="shared" si="11"/>
        <v>116.7</v>
      </c>
      <c r="M105" s="31">
        <f t="shared" si="12"/>
        <v>5</v>
      </c>
      <c r="N105" s="31">
        <f t="shared" si="13"/>
        <v>0</v>
      </c>
      <c r="O105" s="31">
        <f t="shared" si="14"/>
        <v>387</v>
      </c>
      <c r="P105" s="31">
        <f>MAX(AE35-AD35+'06-23Closure'!B34,AE70,0)*10</f>
        <v>410</v>
      </c>
      <c r="Q105" s="31">
        <f>MAX(AF35-AE35+'06-23Closure'!C34,AF70,0)*10</f>
        <v>374</v>
      </c>
      <c r="S105" s="31">
        <f t="shared" si="15"/>
        <v>594.5</v>
      </c>
      <c r="T105" s="31">
        <f t="shared" si="16"/>
        <v>647.5</v>
      </c>
      <c r="U105" s="31">
        <f t="shared" si="17"/>
        <v>675.9</v>
      </c>
      <c r="V105" s="31">
        <f t="shared" si="18"/>
        <v>706.6</v>
      </c>
      <c r="W105" s="31">
        <f t="shared" si="19"/>
        <v>722.6</v>
      </c>
      <c r="X105" s="31">
        <f t="shared" si="20"/>
        <v>762.2</v>
      </c>
      <c r="Y105" s="31">
        <f t="shared" si="21"/>
        <v>788.5</v>
      </c>
      <c r="Z105" s="31">
        <f t="shared" si="22"/>
        <v>796.5</v>
      </c>
      <c r="AA105" s="31">
        <f t="shared" si="23"/>
        <v>868.1</v>
      </c>
      <c r="AB105" s="31">
        <f t="shared" si="24"/>
        <v>868.1</v>
      </c>
      <c r="AC105" s="31">
        <f t="shared" si="25"/>
        <v>984.8</v>
      </c>
      <c r="AD105" s="31">
        <f t="shared" si="26"/>
        <v>989.8</v>
      </c>
      <c r="AE105" s="31">
        <f t="shared" si="27"/>
        <v>973</v>
      </c>
      <c r="AF105" s="31">
        <f t="shared" si="28"/>
        <v>1360</v>
      </c>
      <c r="AG105" s="31">
        <f t="shared" si="29"/>
        <v>1766</v>
      </c>
      <c r="AH105" s="31">
        <f t="shared" si="30"/>
        <v>2140</v>
      </c>
    </row>
    <row r="107" s="414" customFormat="1" ht="13.85" spans="1:34">
      <c r="A107" s="416" t="s">
        <v>143</v>
      </c>
      <c r="B107" s="416" t="s">
        <v>144</v>
      </c>
      <c r="C107" s="416" t="s">
        <v>154</v>
      </c>
      <c r="D107" s="416"/>
      <c r="E107" s="416"/>
      <c r="F107" s="416"/>
      <c r="G107" s="416"/>
      <c r="H107" s="416"/>
      <c r="I107" s="416"/>
      <c r="J107" s="416"/>
      <c r="K107" s="416"/>
      <c r="L107" s="416"/>
      <c r="M107" s="416"/>
      <c r="N107" s="416"/>
      <c r="O107" s="416"/>
      <c r="P107" s="416"/>
      <c r="Q107" s="416"/>
      <c r="S107" s="416" t="s">
        <v>155</v>
      </c>
      <c r="T107" s="416"/>
      <c r="U107" s="416"/>
      <c r="V107" s="416"/>
      <c r="W107" s="416"/>
      <c r="X107" s="416"/>
      <c r="Y107" s="416"/>
      <c r="Z107" s="416"/>
      <c r="AA107" s="416"/>
      <c r="AB107" s="416"/>
      <c r="AC107" s="416"/>
      <c r="AD107" s="416"/>
      <c r="AE107" s="416"/>
      <c r="AF107" s="416"/>
      <c r="AG107" s="416"/>
      <c r="AH107" s="416"/>
    </row>
    <row r="108" s="414" customFormat="1" ht="13.85" spans="1:34">
      <c r="A108" s="416"/>
      <c r="B108" s="416"/>
      <c r="C108" s="416">
        <v>1993</v>
      </c>
      <c r="D108" s="416">
        <v>1994</v>
      </c>
      <c r="E108" s="416">
        <v>1995</v>
      </c>
      <c r="F108" s="416">
        <v>1996</v>
      </c>
      <c r="G108" s="416">
        <v>1997</v>
      </c>
      <c r="H108" s="416">
        <v>1998</v>
      </c>
      <c r="I108" s="416">
        <v>1999</v>
      </c>
      <c r="J108" s="416">
        <v>2000</v>
      </c>
      <c r="K108" s="416">
        <v>2001</v>
      </c>
      <c r="L108" s="416">
        <v>2002</v>
      </c>
      <c r="M108" s="416">
        <v>2003</v>
      </c>
      <c r="N108" s="416">
        <v>2004</v>
      </c>
      <c r="O108" s="416">
        <v>2005</v>
      </c>
      <c r="P108" s="416">
        <v>2006</v>
      </c>
      <c r="Q108" s="416">
        <v>2007</v>
      </c>
      <c r="S108" s="416">
        <v>1992</v>
      </c>
      <c r="T108" s="416">
        <v>1993</v>
      </c>
      <c r="U108" s="416">
        <v>1994</v>
      </c>
      <c r="V108" s="416">
        <v>1995</v>
      </c>
      <c r="W108" s="416">
        <v>1996</v>
      </c>
      <c r="X108" s="416">
        <v>1997</v>
      </c>
      <c r="Y108" s="416">
        <v>1998</v>
      </c>
      <c r="Z108" s="416">
        <v>1999</v>
      </c>
      <c r="AA108" s="416">
        <v>2000</v>
      </c>
      <c r="AB108" s="416">
        <v>2001</v>
      </c>
      <c r="AC108" s="416">
        <v>2002</v>
      </c>
      <c r="AD108" s="416">
        <v>2003</v>
      </c>
      <c r="AE108" s="416">
        <v>2004</v>
      </c>
      <c r="AF108" s="416">
        <v>2005</v>
      </c>
      <c r="AG108" s="416">
        <v>2006</v>
      </c>
      <c r="AH108" s="416">
        <v>2007</v>
      </c>
    </row>
    <row r="109" spans="1:34">
      <c r="A109" s="27" t="s">
        <v>157</v>
      </c>
      <c r="B109" s="200" t="s">
        <v>80</v>
      </c>
      <c r="C109" s="31">
        <f>C74-('Pumped Hydro Worksheet'!F3-'Pumped Hydro Worksheet'!E3)</f>
        <v>3634.2</v>
      </c>
      <c r="D109" s="31">
        <f>D74-('Pumped Hydro Worksheet'!G3-'Pumped Hydro Worksheet'!F3)</f>
        <v>3268.3</v>
      </c>
      <c r="E109" s="31">
        <f>E74-('Pumped Hydro Worksheet'!H3-'Pumped Hydro Worksheet'!G3)</f>
        <v>3971.5</v>
      </c>
      <c r="F109" s="31">
        <f>F74-('Pumped Hydro Worksheet'!I3-'Pumped Hydro Worksheet'!H3)</f>
        <v>3394.3</v>
      </c>
      <c r="G109" s="31">
        <f>G74-('Pumped Hydro Worksheet'!J3-'Pumped Hydro Worksheet'!I3)</f>
        <v>3262.3</v>
      </c>
      <c r="H109" s="31">
        <f>H74-('Pumped Hydro Worksheet'!K3-'Pumped Hydro Worksheet'!J3)</f>
        <v>3454.8</v>
      </c>
      <c r="I109" s="31">
        <f>I74-('Pumped Hydro Worksheet'!L3-'Pumped Hydro Worksheet'!K3)</f>
        <v>7905.8</v>
      </c>
      <c r="J109" s="31">
        <f>J74-('Pumped Hydro Worksheet'!M3-'Pumped Hydro Worksheet'!L3)</f>
        <v>5181.4</v>
      </c>
      <c r="K109" s="31">
        <f>K74-('Pumped Hydro Worksheet'!N3-'Pumped Hydro Worksheet'!M3)</f>
        <v>4374.1</v>
      </c>
      <c r="L109" s="31">
        <f>L74-('Pumped Hydro Worksheet'!O3-'Pumped Hydro Worksheet'!N3)</f>
        <v>2968.2</v>
      </c>
      <c r="M109" s="31">
        <f>M74-('Pumped Hydro Worksheet'!P3-'Pumped Hydro Worksheet'!O3)</f>
        <v>8821.60000000002</v>
      </c>
      <c r="N109" s="31">
        <f>N74-('Pumped Hydro Worksheet'!Q3-'Pumped Hydro Worksheet'!P3)</f>
        <v>10345.4</v>
      </c>
      <c r="O109" s="31">
        <f>O74-('Pumped Hydro Worksheet'!R3-'Pumped Hydro Worksheet'!Q3)</f>
        <v>10826.4</v>
      </c>
      <c r="P109" s="31">
        <f>P74-('Pumped Hydro Worksheet'!S3-'Pumped Hydro Worksheet'!R3)</f>
        <v>11742</v>
      </c>
      <c r="Q109" s="31">
        <f>Q74-('Pumped Hydro Worksheet'!T3-'Pumped Hydro Worksheet'!S3)</f>
        <v>19859.665</v>
      </c>
      <c r="S109" s="31">
        <f>S74-'Pumped Hydro Worksheet'!E3*0.1</f>
        <v>40863</v>
      </c>
      <c r="T109" s="31">
        <f>T74-'Pumped Hydro Worksheet'!F3*0.1</f>
        <v>44542.2</v>
      </c>
      <c r="U109" s="31">
        <f>U74-'Pumped Hydro Worksheet'!G3*0.1</f>
        <v>48890.5</v>
      </c>
      <c r="V109" s="31">
        <f>V74-'Pumped Hydro Worksheet'!H3*0.1</f>
        <v>52013.3</v>
      </c>
      <c r="W109" s="31">
        <f>W74-'Pumped Hydro Worksheet'!I3*0.1</f>
        <v>55407.6</v>
      </c>
      <c r="X109" s="31">
        <f>X74-'Pumped Hydro Worksheet'!J3*0.1</f>
        <v>59470.9</v>
      </c>
      <c r="Y109" s="31">
        <f>Y74-'Pumped Hydro Worksheet'!K3*0.1</f>
        <v>64617.7</v>
      </c>
      <c r="Z109" s="31">
        <f>Z74-'Pumped Hydro Worksheet'!L3*0.1</f>
        <v>72523.5</v>
      </c>
      <c r="AA109" s="31">
        <f>AA74-'Pumped Hydro Worksheet'!M3*0.1</f>
        <v>78784.9</v>
      </c>
      <c r="AB109" s="31">
        <f>AB74-'Pumped Hydro Worksheet'!N3*0.1</f>
        <v>82424.1</v>
      </c>
      <c r="AC109" s="31">
        <f>AC74-'Pumped Hydro Worksheet'!O3*0.1</f>
        <v>85482.3</v>
      </c>
      <c r="AD109" s="31">
        <f>AD74-'Pumped Hydro Worksheet'!P3*0.1</f>
        <v>94303.9</v>
      </c>
      <c r="AE109" s="31">
        <f>AE74-'Pumped Hydro Worksheet'!Q3*0.1</f>
        <v>104649.3</v>
      </c>
      <c r="AF109" s="31">
        <f>AF74-'Pumped Hydro Worksheet'!R3*0.1</f>
        <v>116663.7</v>
      </c>
      <c r="AG109" s="31">
        <f>AG74-'Pumped Hydro Worksheet'!S3*0.1</f>
        <v>129377.7</v>
      </c>
      <c r="AH109" s="31">
        <f>AH74-'Pumped Hydro Worksheet'!T3*0.1</f>
        <v>147215.7</v>
      </c>
    </row>
    <row r="110" spans="1:34">
      <c r="A110" s="27" t="s">
        <v>157</v>
      </c>
      <c r="B110" s="200" t="s">
        <v>82</v>
      </c>
      <c r="C110" s="31">
        <f>C75-('Pumped Hydro Worksheet'!F4-'Pumped Hydro Worksheet'!E4)</f>
        <v>0</v>
      </c>
      <c r="D110" s="31">
        <f>D75-('Pumped Hydro Worksheet'!G4-'Pumped Hydro Worksheet'!F4)</f>
        <v>0</v>
      </c>
      <c r="E110" s="31">
        <f>E75-('Pumped Hydro Worksheet'!H4-'Pumped Hydro Worksheet'!G4)</f>
        <v>0</v>
      </c>
      <c r="F110" s="443">
        <f>F75-('Pumped Hydro Worksheet'!I4-'Pumped Hydro Worksheet'!H4)-396</f>
        <v>0</v>
      </c>
      <c r="G110" s="443">
        <f>G75-('Pumped Hydro Worksheet'!J4-'Pumped Hydro Worksheet'!I4)+397.5</f>
        <v>0.199999999999932</v>
      </c>
      <c r="H110" s="31">
        <f>H75-('Pumped Hydro Worksheet'!K4-'Pumped Hydro Worksheet'!J4)</f>
        <v>200</v>
      </c>
      <c r="I110" s="31">
        <f>I75-('Pumped Hydro Worksheet'!L4-'Pumped Hydro Worksheet'!K4)</f>
        <v>0</v>
      </c>
      <c r="J110" s="31">
        <f>J75-('Pumped Hydro Worksheet'!M4-'Pumped Hydro Worksheet'!L4)</f>
        <v>0</v>
      </c>
      <c r="K110" s="31">
        <f>K75-('Pumped Hydro Worksheet'!N4-'Pumped Hydro Worksheet'!M4)</f>
        <v>0</v>
      </c>
      <c r="L110" s="31">
        <f>L75-('Pumped Hydro Worksheet'!O4-'Pumped Hydro Worksheet'!N4)</f>
        <v>0</v>
      </c>
      <c r="M110" s="31">
        <f>M75-('Pumped Hydro Worksheet'!P4-'Pumped Hydro Worksheet'!O4)</f>
        <v>19.6000000000001</v>
      </c>
      <c r="N110" s="31">
        <f>N75-('Pumped Hydro Worksheet'!Q4-'Pumped Hydro Worksheet'!P4)</f>
        <v>0</v>
      </c>
      <c r="O110" s="31">
        <f>O75-('Pumped Hydro Worksheet'!R4-'Pumped Hydro Worksheet'!Q4)</f>
        <v>0</v>
      </c>
      <c r="P110" s="31">
        <f>P75-('Pumped Hydro Worksheet'!S4-'Pumped Hydro Worksheet'!R4)</f>
        <v>1</v>
      </c>
      <c r="Q110" s="31">
        <f>Q75-('Pumped Hydro Worksheet'!T4-'Pumped Hydro Worksheet'!S4)</f>
        <v>0</v>
      </c>
      <c r="S110" s="31">
        <f>S75-'Pumped Hydro Worksheet'!E4*0.1</f>
        <v>268.7</v>
      </c>
      <c r="T110" s="31">
        <f>T75-'Pumped Hydro Worksheet'!F4*0.1</f>
        <v>268.7</v>
      </c>
      <c r="U110" s="31">
        <f>U75-'Pumped Hydro Worksheet'!G4*0.1</f>
        <v>268.7</v>
      </c>
      <c r="V110" s="31">
        <f>V75-'Pumped Hydro Worksheet'!H4*0.1</f>
        <v>268.7</v>
      </c>
      <c r="W110" s="31">
        <f>W75-'Pumped Hydro Worksheet'!I4*0.1</f>
        <v>664.7</v>
      </c>
      <c r="X110" s="31">
        <f>X75-'Pumped Hydro Worksheet'!J4*0.1</f>
        <v>987.4</v>
      </c>
      <c r="Y110" s="31">
        <f>Y75-'Pumped Hydro Worksheet'!K4*0.1</f>
        <v>987.4</v>
      </c>
      <c r="Z110" s="31">
        <f>Z75-'Pumped Hydro Worksheet'!L4*0.1</f>
        <v>975.9</v>
      </c>
      <c r="AA110" s="31">
        <f>AA75-'Pumped Hydro Worksheet'!M4*0.1</f>
        <v>975.9</v>
      </c>
      <c r="AB110" s="31">
        <f>AB75-'Pumped Hydro Worksheet'!N4*0.1</f>
        <v>975.9</v>
      </c>
      <c r="AC110" s="31">
        <f>AC75-'Pumped Hydro Worksheet'!O4*0.1</f>
        <v>956.3</v>
      </c>
      <c r="AD110" s="31">
        <f>AD75-'Pumped Hydro Worksheet'!P4*0.1</f>
        <v>975.9</v>
      </c>
      <c r="AE110" s="31">
        <f>AE75-'Pumped Hydro Worksheet'!Q4*0.1</f>
        <v>973.7</v>
      </c>
      <c r="AF110" s="31">
        <f>AF75-'Pumped Hydro Worksheet'!R4*0.1</f>
        <v>970.8</v>
      </c>
      <c r="AG110" s="31">
        <f>AG75-'Pumped Hydro Worksheet'!S4*0.1</f>
        <v>970.8</v>
      </c>
      <c r="AH110" s="31">
        <f>AH75-'Pumped Hydro Worksheet'!T4*0.1</f>
        <v>967.8</v>
      </c>
    </row>
    <row r="111" spans="1:34">
      <c r="A111" s="27" t="s">
        <v>157</v>
      </c>
      <c r="B111" s="200" t="s">
        <v>84</v>
      </c>
      <c r="C111" s="31">
        <f>C76-('Pumped Hydro Worksheet'!F5-'Pumped Hydro Worksheet'!E5)</f>
        <v>0</v>
      </c>
      <c r="D111" s="31">
        <f>D76-('Pumped Hydro Worksheet'!G5-'Pumped Hydro Worksheet'!F5)</f>
        <v>0</v>
      </c>
      <c r="E111" s="31">
        <f>E76-('Pumped Hydro Worksheet'!H5-'Pumped Hydro Worksheet'!G5)</f>
        <v>4.5</v>
      </c>
      <c r="F111" s="31">
        <f>F76-('Pumped Hydro Worksheet'!I5-'Pumped Hydro Worksheet'!H5)</f>
        <v>0.8</v>
      </c>
      <c r="G111" s="31">
        <f>G76-('Pumped Hydro Worksheet'!J5-'Pumped Hydro Worksheet'!I5)</f>
        <v>0</v>
      </c>
      <c r="H111" s="31">
        <f>H76-('Pumped Hydro Worksheet'!K5-'Pumped Hydro Worksheet'!J5)</f>
        <v>0</v>
      </c>
      <c r="I111" s="31">
        <f>I76-('Pumped Hydro Worksheet'!L5-'Pumped Hydro Worksheet'!K5)</f>
        <v>0</v>
      </c>
      <c r="J111" s="31">
        <f>J76-('Pumped Hydro Worksheet'!M5-'Pumped Hydro Worksheet'!L5)</f>
        <v>0</v>
      </c>
      <c r="K111" s="31">
        <f>K76-('Pumped Hydro Worksheet'!N5-'Pumped Hydro Worksheet'!M5)</f>
        <v>0</v>
      </c>
      <c r="L111" s="31">
        <f>L76-('Pumped Hydro Worksheet'!O5-'Pumped Hydro Worksheet'!N5)</f>
        <v>0</v>
      </c>
      <c r="M111" s="31">
        <f>M76-('Pumped Hydro Worksheet'!P5-'Pumped Hydro Worksheet'!O5)</f>
        <v>0</v>
      </c>
      <c r="N111" s="31">
        <f>N76-('Pumped Hydro Worksheet'!Q5-'Pumped Hydro Worksheet'!P5)</f>
        <v>0</v>
      </c>
      <c r="O111" s="31">
        <f>O76-('Pumped Hydro Worksheet'!R5-'Pumped Hydro Worksheet'!Q5)</f>
        <v>0</v>
      </c>
      <c r="P111" s="31">
        <f>P76-('Pumped Hydro Worksheet'!S5-'Pumped Hydro Worksheet'!R5)</f>
        <v>0</v>
      </c>
      <c r="Q111" s="31">
        <f>Q76-('Pumped Hydro Worksheet'!T5-'Pumped Hydro Worksheet'!S5)</f>
        <v>5</v>
      </c>
      <c r="S111" s="31">
        <f>S76-'Pumped Hydro Worksheet'!E5*0.1</f>
        <v>5</v>
      </c>
      <c r="T111" s="31">
        <f>T76-'Pumped Hydro Worksheet'!F5*0.1</f>
        <v>5</v>
      </c>
      <c r="U111" s="31">
        <f>U76-'Pumped Hydro Worksheet'!G5*0.1</f>
        <v>0.5</v>
      </c>
      <c r="V111" s="31">
        <f>V76-'Pumped Hydro Worksheet'!H5*0.1</f>
        <v>5</v>
      </c>
      <c r="W111" s="31">
        <f>W76-'Pumped Hydro Worksheet'!I5*0.1</f>
        <v>5.8</v>
      </c>
      <c r="X111" s="31">
        <f>X76-'Pumped Hydro Worksheet'!J5*0.1</f>
        <v>5.8</v>
      </c>
      <c r="Y111" s="31">
        <f>Y76-'Pumped Hydro Worksheet'!K5*0.1</f>
        <v>5.8</v>
      </c>
      <c r="Z111" s="31">
        <f>Z76-'Pumped Hydro Worksheet'!L5*0.1</f>
        <v>5</v>
      </c>
      <c r="AA111" s="31">
        <f>AA76-'Pumped Hydro Worksheet'!M5*0.1</f>
        <v>5</v>
      </c>
      <c r="AB111" s="31">
        <f>AB76-'Pumped Hydro Worksheet'!N5*0.1</f>
        <v>5</v>
      </c>
      <c r="AC111" s="31">
        <f>AC76-'Pumped Hydro Worksheet'!O5*0.1</f>
        <v>5</v>
      </c>
      <c r="AD111" s="31">
        <f>AD76-'Pumped Hydro Worksheet'!P5*0.1</f>
        <v>5</v>
      </c>
      <c r="AE111" s="31">
        <f>AE76-'Pumped Hydro Worksheet'!Q5*0.1</f>
        <v>5</v>
      </c>
      <c r="AF111" s="31">
        <f>AF76-'Pumped Hydro Worksheet'!R5*0.1</f>
        <v>5</v>
      </c>
      <c r="AG111" s="31">
        <f>AG76-'Pumped Hydro Worksheet'!S5*0.1</f>
        <v>5</v>
      </c>
      <c r="AH111" s="31">
        <f>AH76-'Pumped Hydro Worksheet'!T5*0.1</f>
        <v>10</v>
      </c>
    </row>
    <row r="112" spans="1:34">
      <c r="A112" s="27" t="s">
        <v>157</v>
      </c>
      <c r="B112" s="200" t="s">
        <v>86</v>
      </c>
      <c r="C112" s="31">
        <f>C77-('Pumped Hydro Worksheet'!F6-'Pumped Hydro Worksheet'!E6)</f>
        <v>0</v>
      </c>
      <c r="D112" s="31">
        <f>D77-('Pumped Hydro Worksheet'!G6-'Pumped Hydro Worksheet'!F6)</f>
        <v>14.4999999999999</v>
      </c>
      <c r="E112" s="31">
        <f>E77-('Pumped Hydro Worksheet'!H6-'Pumped Hydro Worksheet'!G6)</f>
        <v>0</v>
      </c>
      <c r="F112" s="31">
        <f>F77-('Pumped Hydro Worksheet'!I6-'Pumped Hydro Worksheet'!H6)</f>
        <v>10.3</v>
      </c>
      <c r="G112" s="31">
        <f>G77-('Pumped Hydro Worksheet'!J6-'Pumped Hydro Worksheet'!I6)</f>
        <v>11.1</v>
      </c>
      <c r="H112" s="31">
        <f>H77-('Pumped Hydro Worksheet'!K6-'Pumped Hydro Worksheet'!J6)</f>
        <v>11.7</v>
      </c>
      <c r="I112" s="31">
        <f>I77-('Pumped Hydro Worksheet'!L6-'Pumped Hydro Worksheet'!K6)</f>
        <v>24.8999999999999</v>
      </c>
      <c r="J112" s="31">
        <f>J77-('Pumped Hydro Worksheet'!M6-'Pumped Hydro Worksheet'!L6)</f>
        <v>7.30000000000004</v>
      </c>
      <c r="K112" s="31">
        <f>K77-('Pumped Hydro Worksheet'!N6-'Pumped Hydro Worksheet'!M6)</f>
        <v>15.4000000000001</v>
      </c>
      <c r="L112" s="31">
        <f>L77-('Pumped Hydro Worksheet'!O6-'Pumped Hydro Worksheet'!N6)</f>
        <v>53.8</v>
      </c>
      <c r="M112" s="31">
        <f>M77-('Pumped Hydro Worksheet'!P6-'Pumped Hydro Worksheet'!O6)</f>
        <v>0</v>
      </c>
      <c r="N112" s="31">
        <f>N77-('Pumped Hydro Worksheet'!Q6-'Pumped Hydro Worksheet'!P6)</f>
        <v>19.4999999999999</v>
      </c>
      <c r="O112" s="31">
        <f>O77-('Pumped Hydro Worksheet'!R6-'Pumped Hydro Worksheet'!Q6)</f>
        <v>8.8</v>
      </c>
      <c r="P112" s="31">
        <f>P77-('Pumped Hydro Worksheet'!S6-'Pumped Hydro Worksheet'!R6)</f>
        <v>190</v>
      </c>
      <c r="Q112" s="443">
        <v>0</v>
      </c>
      <c r="S112" s="31">
        <f>S77-'Pumped Hydro Worksheet'!E6*0.1</f>
        <v>630.6</v>
      </c>
      <c r="T112" s="31">
        <f>T77-'Pumped Hydro Worksheet'!F6*0.1</f>
        <v>630.6</v>
      </c>
      <c r="U112" s="31">
        <f>U77-'Pumped Hydro Worksheet'!G6*0.1</f>
        <v>645.1</v>
      </c>
      <c r="V112" s="31">
        <f>V77-'Pumped Hydro Worksheet'!H6*0.1</f>
        <v>618.8</v>
      </c>
      <c r="W112" s="31">
        <f>W77-'Pumped Hydro Worksheet'!I6*0.1</f>
        <v>629.1</v>
      </c>
      <c r="X112" s="31">
        <f>X77-'Pumped Hydro Worksheet'!J6*0.1</f>
        <v>640.2</v>
      </c>
      <c r="Y112" s="31">
        <f>Y77-'Pumped Hydro Worksheet'!K6*0.1</f>
        <v>651.9</v>
      </c>
      <c r="Z112" s="31">
        <f>Z77-'Pumped Hydro Worksheet'!L6*0.1</f>
        <v>676.8</v>
      </c>
      <c r="AA112" s="31">
        <f>AA77-'Pumped Hydro Worksheet'!M6*0.1</f>
        <v>684.1</v>
      </c>
      <c r="AB112" s="31">
        <f>AB77-'Pumped Hydro Worksheet'!N6*0.1</f>
        <v>699.5</v>
      </c>
      <c r="AC112" s="31">
        <f>AC77-'Pumped Hydro Worksheet'!O6*0.1</f>
        <v>732.8</v>
      </c>
      <c r="AD112" s="31">
        <f>AD77-'Pumped Hydro Worksheet'!P6*0.1</f>
        <v>721.2</v>
      </c>
      <c r="AE112" s="31">
        <f>AE77-'Pumped Hydro Worksheet'!Q6*0.1</f>
        <v>740.7</v>
      </c>
      <c r="AF112" s="31">
        <f>AF77-'Pumped Hydro Worksheet'!R6*0.1</f>
        <v>741.9</v>
      </c>
      <c r="AG112" s="31">
        <f>AG77-'Pumped Hydro Worksheet'!S6*0.1</f>
        <v>741.9</v>
      </c>
      <c r="AH112" s="31">
        <f>AH77-'Pumped Hydro Worksheet'!T6*0.1</f>
        <v>636.9</v>
      </c>
    </row>
    <row r="113" spans="1:34">
      <c r="A113" s="27" t="s">
        <v>157</v>
      </c>
      <c r="B113" s="200" t="s">
        <v>88</v>
      </c>
      <c r="C113" s="31">
        <f>C78-('Pumped Hydro Worksheet'!F7-'Pumped Hydro Worksheet'!E7)</f>
        <v>0</v>
      </c>
      <c r="D113" s="31">
        <f>D78-('Pumped Hydro Worksheet'!G7-'Pumped Hydro Worksheet'!F7)</f>
        <v>0</v>
      </c>
      <c r="E113" s="31">
        <f>E78-('Pumped Hydro Worksheet'!H7-'Pumped Hydro Worksheet'!G7)</f>
        <v>0</v>
      </c>
      <c r="F113" s="31">
        <f>F78-('Pumped Hydro Worksheet'!I7-'Pumped Hydro Worksheet'!H7)</f>
        <v>0.700000000000003</v>
      </c>
      <c r="G113" s="31">
        <f>G78-('Pumped Hydro Worksheet'!J7-'Pumped Hydro Worksheet'!I7)</f>
        <v>0</v>
      </c>
      <c r="H113" s="31">
        <f>H78-('Pumped Hydro Worksheet'!K7-'Pumped Hydro Worksheet'!J7)</f>
        <v>178.9</v>
      </c>
      <c r="I113" s="31">
        <f>I78-('Pumped Hydro Worksheet'!L7-'Pumped Hydro Worksheet'!K7)</f>
        <v>179.9</v>
      </c>
      <c r="J113" s="31">
        <f>J78-('Pumped Hydro Worksheet'!M7-'Pumped Hydro Worksheet'!L7)</f>
        <v>359.9</v>
      </c>
      <c r="K113" s="31">
        <f>K78-('Pumped Hydro Worksheet'!N7-'Pumped Hydro Worksheet'!M7)</f>
        <v>0</v>
      </c>
      <c r="L113" s="31">
        <f>L78-('Pumped Hydro Worksheet'!O7-'Pumped Hydro Worksheet'!N7)</f>
        <v>0</v>
      </c>
      <c r="M113" s="31">
        <f>M78-('Pumped Hydro Worksheet'!P7-'Pumped Hydro Worksheet'!O7)</f>
        <v>0.39999999999992</v>
      </c>
      <c r="N113" s="31">
        <f>N78-('Pumped Hydro Worksheet'!Q7-'Pumped Hydro Worksheet'!P7)</f>
        <v>0</v>
      </c>
      <c r="O113" s="31">
        <f>O78-('Pumped Hydro Worksheet'!R7-'Pumped Hydro Worksheet'!Q7)</f>
        <v>0</v>
      </c>
      <c r="P113" s="31">
        <f>P78-('Pumped Hydro Worksheet'!S7-'Pumped Hydro Worksheet'!R7)</f>
        <v>11</v>
      </c>
      <c r="Q113" s="31">
        <f>Q78-('Pumped Hydro Worksheet'!T7-'Pumped Hydro Worksheet'!S7)</f>
        <v>0</v>
      </c>
      <c r="S113" s="31">
        <f>S78-'Pumped Hydro Worksheet'!E7*0.1</f>
        <v>274</v>
      </c>
      <c r="T113" s="31">
        <f>T78-'Pumped Hydro Worksheet'!F7*0.1</f>
        <v>274</v>
      </c>
      <c r="U113" s="31">
        <f>U78-'Pumped Hydro Worksheet'!G7*0.1</f>
        <v>258.4</v>
      </c>
      <c r="V113" s="31">
        <f>V78-'Pumped Hydro Worksheet'!H7*0.1</f>
        <v>258.4</v>
      </c>
      <c r="W113" s="31">
        <f>W78-'Pumped Hydro Worksheet'!I7*0.1</f>
        <v>259.1</v>
      </c>
      <c r="X113" s="31">
        <f>X78-'Pumped Hydro Worksheet'!J7*0.1</f>
        <v>259</v>
      </c>
      <c r="Y113" s="31">
        <f>Y78-'Pumped Hydro Worksheet'!K7*0.1</f>
        <v>437.9</v>
      </c>
      <c r="Z113" s="31">
        <f>Z78-'Pumped Hydro Worksheet'!L7*0.1</f>
        <v>617.8</v>
      </c>
      <c r="AA113" s="31">
        <f>AA78-'Pumped Hydro Worksheet'!M7*0.1</f>
        <v>977.7</v>
      </c>
      <c r="AB113" s="31">
        <f>AB78-'Pumped Hydro Worksheet'!N7*0.1</f>
        <v>795.9</v>
      </c>
      <c r="AC113" s="31">
        <f>AC78-'Pumped Hydro Worksheet'!O7*0.1</f>
        <v>795.3</v>
      </c>
      <c r="AD113" s="31">
        <f>AD78-'Pumped Hydro Worksheet'!P7*0.1</f>
        <v>795.7</v>
      </c>
      <c r="AE113" s="31">
        <f>AE78-'Pumped Hydro Worksheet'!Q7*0.1</f>
        <v>787.3</v>
      </c>
      <c r="AF113" s="31">
        <f>AF78-'Pumped Hydro Worksheet'!R7*0.1</f>
        <v>783</v>
      </c>
      <c r="AG113" s="31">
        <f>AG78-'Pumped Hydro Worksheet'!S7*0.1</f>
        <v>790</v>
      </c>
      <c r="AH113" s="31">
        <f>AH78-'Pumped Hydro Worksheet'!T7*0.1</f>
        <v>790</v>
      </c>
    </row>
    <row r="114" spans="1:34">
      <c r="A114" s="27" t="s">
        <v>157</v>
      </c>
      <c r="B114" s="200" t="s">
        <v>90</v>
      </c>
      <c r="C114" s="31">
        <f>C79-('Pumped Hydro Worksheet'!F8-'Pumped Hydro Worksheet'!E8)</f>
        <v>0</v>
      </c>
      <c r="D114" s="31">
        <f>D79-('Pumped Hydro Worksheet'!G8-'Pumped Hydro Worksheet'!F8)</f>
        <v>0</v>
      </c>
      <c r="E114" s="31">
        <f>E79-('Pumped Hydro Worksheet'!H8-'Pumped Hydro Worksheet'!G8)</f>
        <v>0</v>
      </c>
      <c r="F114" s="31">
        <f>F79-('Pumped Hydro Worksheet'!I8-'Pumped Hydro Worksheet'!H8)</f>
        <v>5.4</v>
      </c>
      <c r="G114" s="31">
        <f>G79-('Pumped Hydro Worksheet'!J8-'Pumped Hydro Worksheet'!I8)</f>
        <v>0</v>
      </c>
      <c r="H114" s="31">
        <f>H79-('Pumped Hydro Worksheet'!K8-'Pumped Hydro Worksheet'!J8)</f>
        <v>3.5</v>
      </c>
      <c r="I114" s="31">
        <f>I79-('Pumped Hydro Worksheet'!L8-'Pumped Hydro Worksheet'!K8)</f>
        <v>180</v>
      </c>
      <c r="J114" s="31">
        <f>J79-('Pumped Hydro Worksheet'!M8-'Pumped Hydro Worksheet'!L8)</f>
        <v>180.4</v>
      </c>
      <c r="K114" s="31">
        <f>K79-('Pumped Hydro Worksheet'!N8-'Pumped Hydro Worksheet'!M8)</f>
        <v>155.6</v>
      </c>
      <c r="L114" s="31">
        <f>L79-('Pumped Hydro Worksheet'!O8-'Pumped Hydro Worksheet'!N8)</f>
        <v>25.9</v>
      </c>
      <c r="M114" s="31">
        <f>M79-('Pumped Hydro Worksheet'!P8-'Pumped Hydro Worksheet'!O8)</f>
        <v>0</v>
      </c>
      <c r="N114" s="31">
        <f>N79-('Pumped Hydro Worksheet'!Q8-'Pumped Hydro Worksheet'!P8)</f>
        <v>0</v>
      </c>
      <c r="O114" s="31">
        <f>O79-('Pumped Hydro Worksheet'!R8-'Pumped Hydro Worksheet'!Q8)</f>
        <v>0.0999999999999801</v>
      </c>
      <c r="P114" s="31">
        <f>P79-('Pumped Hydro Worksheet'!S8-'Pumped Hydro Worksheet'!R8)</f>
        <v>250</v>
      </c>
      <c r="Q114" s="31">
        <f>Q79-('Pumped Hydro Worksheet'!T8-'Pumped Hydro Worksheet'!S8)</f>
        <v>12</v>
      </c>
      <c r="S114" s="31">
        <f>S79-'Pumped Hydro Worksheet'!E8*0.1</f>
        <v>43.7</v>
      </c>
      <c r="T114" s="31">
        <f>T79-'Pumped Hydro Worksheet'!F8*0.1</f>
        <v>43.7</v>
      </c>
      <c r="U114" s="31">
        <f>U79-'Pumped Hydro Worksheet'!G8*0.1</f>
        <v>43.6</v>
      </c>
      <c r="V114" s="31">
        <f>V79-'Pumped Hydro Worksheet'!H8*0.1</f>
        <v>43.6</v>
      </c>
      <c r="W114" s="31">
        <f>W79-'Pumped Hydro Worksheet'!I8*0.1</f>
        <v>49</v>
      </c>
      <c r="X114" s="31">
        <f>X79-'Pumped Hydro Worksheet'!J8*0.1</f>
        <v>46.7</v>
      </c>
      <c r="Y114" s="31">
        <f>Y79-'Pumped Hydro Worksheet'!K8*0.1</f>
        <v>50.2</v>
      </c>
      <c r="Z114" s="31">
        <f>Z79-'Pumped Hydro Worksheet'!L8*0.1</f>
        <v>230.2</v>
      </c>
      <c r="AA114" s="31">
        <f>AA79-'Pumped Hydro Worksheet'!M8*0.1</f>
        <v>410.6</v>
      </c>
      <c r="AB114" s="31">
        <f>AB79-'Pumped Hydro Worksheet'!N8*0.1</f>
        <v>566.2</v>
      </c>
      <c r="AC114" s="31">
        <f>AC79-'Pumped Hydro Worksheet'!O8*0.1</f>
        <v>592.1</v>
      </c>
      <c r="AD114" s="31">
        <f>AD79-'Pumped Hydro Worksheet'!P8*0.1</f>
        <v>592.1</v>
      </c>
      <c r="AE114" s="31">
        <f>AE79-'Pumped Hydro Worksheet'!Q8*0.1</f>
        <v>567.9</v>
      </c>
      <c r="AF114" s="31">
        <f>AF79-'Pumped Hydro Worksheet'!R8*0.1</f>
        <v>568</v>
      </c>
      <c r="AG114" s="31">
        <f>AG79-'Pumped Hydro Worksheet'!S8*0.1</f>
        <v>818</v>
      </c>
      <c r="AH114" s="31">
        <f>AH79-'Pumped Hydro Worksheet'!T8*0.1</f>
        <v>830</v>
      </c>
    </row>
    <row r="115" spans="1:34">
      <c r="A115" s="27" t="s">
        <v>157</v>
      </c>
      <c r="B115" s="200" t="s">
        <v>92</v>
      </c>
      <c r="C115" s="31">
        <f>C80-('Pumped Hydro Worksheet'!F9-'Pumped Hydro Worksheet'!E9)</f>
        <v>0</v>
      </c>
      <c r="D115" s="31">
        <f>D80-('Pumped Hydro Worksheet'!G9-'Pumped Hydro Worksheet'!F9)</f>
        <v>8.79999999999995</v>
      </c>
      <c r="E115" s="31">
        <f>E80-('Pumped Hydro Worksheet'!H9-'Pumped Hydro Worksheet'!G9)</f>
        <v>40</v>
      </c>
      <c r="F115" s="31">
        <f>F80-('Pumped Hydro Worksheet'!I9-'Pumped Hydro Worksheet'!H9)</f>
        <v>0</v>
      </c>
      <c r="G115" s="31">
        <f>G80-('Pumped Hydro Worksheet'!J9-'Pumped Hydro Worksheet'!I9)</f>
        <v>0</v>
      </c>
      <c r="H115" s="31">
        <f>H80-('Pumped Hydro Worksheet'!K9-'Pumped Hydro Worksheet'!J9)</f>
        <v>2.19999999999999</v>
      </c>
      <c r="I115" s="31">
        <f>I80-('Pumped Hydro Worksheet'!L9-'Pumped Hydro Worksheet'!K9)</f>
        <v>16.9</v>
      </c>
      <c r="J115" s="31">
        <f>J80-('Pumped Hydro Worksheet'!M9-'Pumped Hydro Worksheet'!L9)</f>
        <v>8.49999999999994</v>
      </c>
      <c r="K115" s="31">
        <f>K80-('Pumped Hydro Worksheet'!N9-'Pumped Hydro Worksheet'!M9)</f>
        <v>13.3000000000001</v>
      </c>
      <c r="L115" s="31">
        <f>L80-('Pumped Hydro Worksheet'!O9-'Pumped Hydro Worksheet'!N9)</f>
        <v>2.4</v>
      </c>
      <c r="M115" s="31">
        <f>M80-('Pumped Hydro Worksheet'!P9-'Pumped Hydro Worksheet'!O9)</f>
        <v>134.8</v>
      </c>
      <c r="N115" s="31">
        <f>N80-('Pumped Hydro Worksheet'!Q9-'Pumped Hydro Worksheet'!P9)</f>
        <v>7.89999999999992</v>
      </c>
      <c r="O115" s="31">
        <f>O80-('Pumped Hydro Worksheet'!R9-'Pumped Hydro Worksheet'!Q9)</f>
        <v>0</v>
      </c>
      <c r="P115" s="31">
        <f>P80-('Pumped Hydro Worksheet'!S9-'Pumped Hydro Worksheet'!R9)</f>
        <v>0</v>
      </c>
      <c r="Q115" s="31">
        <f>Q80-('Pumped Hydro Worksheet'!T9-'Pumped Hydro Worksheet'!S9)</f>
        <v>9.00000000000006</v>
      </c>
      <c r="S115" s="31">
        <f>S80-'Pumped Hydro Worksheet'!E9*0.1</f>
        <v>1183.7</v>
      </c>
      <c r="T115" s="31">
        <f>T80-'Pumped Hydro Worksheet'!F9*0.1</f>
        <v>1183.7</v>
      </c>
      <c r="U115" s="31">
        <f>U80-'Pumped Hydro Worksheet'!G9*0.1</f>
        <v>1192.5</v>
      </c>
      <c r="V115" s="31">
        <f>V80-'Pumped Hydro Worksheet'!H9*0.1</f>
        <v>1232.5</v>
      </c>
      <c r="W115" s="31">
        <f>W80-'Pumped Hydro Worksheet'!I9*0.1</f>
        <v>1220.9</v>
      </c>
      <c r="X115" s="31">
        <f>X80-'Pumped Hydro Worksheet'!J9*0.1</f>
        <v>1220.9</v>
      </c>
      <c r="Y115" s="31">
        <f>Y80-'Pumped Hydro Worksheet'!K9*0.1</f>
        <v>1223.1</v>
      </c>
      <c r="Z115" s="31">
        <f>Z80-'Pumped Hydro Worksheet'!L9*0.1</f>
        <v>1240</v>
      </c>
      <c r="AA115" s="31">
        <f>AA80-'Pumped Hydro Worksheet'!M9*0.1</f>
        <v>1248.5</v>
      </c>
      <c r="AB115" s="31">
        <f>AB80-'Pumped Hydro Worksheet'!N9*0.1</f>
        <v>1261.8</v>
      </c>
      <c r="AC115" s="31">
        <f>AC80-'Pumped Hydro Worksheet'!O9*0.1</f>
        <v>1261.4</v>
      </c>
      <c r="AD115" s="31">
        <f>AD80-'Pumped Hydro Worksheet'!P9*0.1</f>
        <v>1396.2</v>
      </c>
      <c r="AE115" s="31">
        <f>AE80-'Pumped Hydro Worksheet'!Q9*0.1</f>
        <v>1404.1</v>
      </c>
      <c r="AF115" s="31">
        <f>AF80-'Pumped Hydro Worksheet'!R9*0.1</f>
        <v>1404</v>
      </c>
      <c r="AG115" s="31">
        <f>AG80-'Pumped Hydro Worksheet'!S9*0.1</f>
        <v>1401</v>
      </c>
      <c r="AH115" s="31">
        <f>AH80-'Pumped Hydro Worksheet'!T9*0.1</f>
        <v>1410</v>
      </c>
    </row>
    <row r="116" spans="1:34">
      <c r="A116" s="27" t="s">
        <v>157</v>
      </c>
      <c r="B116" s="200" t="s">
        <v>94</v>
      </c>
      <c r="C116" s="31">
        <f>C81-('Pumped Hydro Worksheet'!F10-'Pumped Hydro Worksheet'!E10)</f>
        <v>0</v>
      </c>
      <c r="D116" s="31">
        <f>D81-('Pumped Hydro Worksheet'!G10-'Pumped Hydro Worksheet'!F10)</f>
        <v>13.2999999999998</v>
      </c>
      <c r="E116" s="31">
        <f>E81-('Pumped Hydro Worksheet'!H10-'Pumped Hydro Worksheet'!G10)</f>
        <v>5.90000000000032</v>
      </c>
      <c r="F116" s="31">
        <f>F81-('Pumped Hydro Worksheet'!I10-'Pumped Hydro Worksheet'!H10)</f>
        <v>10.2999999999997</v>
      </c>
      <c r="G116" s="31">
        <f>G81-('Pumped Hydro Worksheet'!J10-'Pumped Hydro Worksheet'!I10)</f>
        <v>231</v>
      </c>
      <c r="H116" s="31">
        <f>H81-('Pumped Hydro Worksheet'!K10-'Pumped Hydro Worksheet'!J10)</f>
        <v>228.6</v>
      </c>
      <c r="I116" s="31">
        <f>I81-('Pumped Hydro Worksheet'!L10-'Pumped Hydro Worksheet'!K10)</f>
        <v>220</v>
      </c>
      <c r="J116" s="31">
        <f>J81-('Pumped Hydro Worksheet'!M10-'Pumped Hydro Worksheet'!L10)</f>
        <v>28.5000000000002</v>
      </c>
      <c r="K116" s="31">
        <f>K81-('Pumped Hydro Worksheet'!N10-'Pumped Hydro Worksheet'!M10)</f>
        <v>38.8999999999999</v>
      </c>
      <c r="L116" s="31">
        <f>L81-('Pumped Hydro Worksheet'!O10-'Pumped Hydro Worksheet'!N10)</f>
        <v>20</v>
      </c>
      <c r="M116" s="31">
        <f>M81-('Pumped Hydro Worksheet'!P10-'Pumped Hydro Worksheet'!O10)</f>
        <v>11.9</v>
      </c>
      <c r="N116" s="31">
        <f>N81-('Pumped Hydro Worksheet'!Q10-'Pumped Hydro Worksheet'!P10)</f>
        <v>15.4000000000002</v>
      </c>
      <c r="O116" s="443">
        <f>O81-('Pumped Hydro Worksheet'!R10-'Pumped Hydro Worksheet'!Q10)-('Pumped Hydro Worksheet'!S10-'Pumped Hydro Worksheet'!R10)*0.5+31</f>
        <v>0.800000000000182</v>
      </c>
      <c r="P116" s="443">
        <f>P81-('Pumped Hydro Worksheet'!S10-'Pumped Hydro Worksheet'!R10)*0.5</f>
        <v>0.999999999999659</v>
      </c>
      <c r="Q116" s="31">
        <f>Q81-('Pumped Hydro Worksheet'!T10-'Pumped Hydro Worksheet'!S10)</f>
        <v>18.0000000000001</v>
      </c>
      <c r="S116" s="31">
        <f>S81-'Pumped Hydro Worksheet'!E10*0.1</f>
        <v>2985.6</v>
      </c>
      <c r="T116" s="31">
        <f>T81-'Pumped Hydro Worksheet'!F10*0.1</f>
        <v>2985.6</v>
      </c>
      <c r="U116" s="31">
        <f>U81-'Pumped Hydro Worksheet'!G10*0.1</f>
        <v>2998.9</v>
      </c>
      <c r="V116" s="31">
        <f>V81-'Pumped Hydro Worksheet'!H10*0.1</f>
        <v>3004.8</v>
      </c>
      <c r="W116" s="31">
        <f>W81-'Pumped Hydro Worksheet'!I10*0.1</f>
        <v>3015.1</v>
      </c>
      <c r="X116" s="31">
        <f>X81-'Pumped Hydro Worksheet'!J10*0.1</f>
        <v>3246.1</v>
      </c>
      <c r="Y116" s="31">
        <f>Y81-'Pumped Hydro Worksheet'!K10*0.1</f>
        <v>3474.7</v>
      </c>
      <c r="Z116" s="31">
        <f>Z81-'Pumped Hydro Worksheet'!L10*0.1</f>
        <v>3508.2</v>
      </c>
      <c r="AA116" s="31">
        <f>AA81-'Pumped Hydro Worksheet'!M10*0.1</f>
        <v>3536.7</v>
      </c>
      <c r="AB116" s="31">
        <f>AB81-'Pumped Hydro Worksheet'!N10*0.1</f>
        <v>3575.6</v>
      </c>
      <c r="AC116" s="31">
        <f>AC81-'Pumped Hydro Worksheet'!O10*0.1</f>
        <v>3573.9</v>
      </c>
      <c r="AD116" s="31">
        <f>AD81-'Pumped Hydro Worksheet'!P10*0.1</f>
        <v>3585.8</v>
      </c>
      <c r="AE116" s="31">
        <f>AE81-'Pumped Hydro Worksheet'!Q10*0.1</f>
        <v>3601.2</v>
      </c>
      <c r="AF116" s="31">
        <f>AF81-'Pumped Hydro Worksheet'!R10*0.1</f>
        <v>3721</v>
      </c>
      <c r="AG116" s="31">
        <f>AG81-'Pumped Hydro Worksheet'!S10*0.1</f>
        <v>3842</v>
      </c>
      <c r="AH116" s="31">
        <f>AH81-'Pumped Hydro Worksheet'!T10*0.1</f>
        <v>3860</v>
      </c>
    </row>
    <row r="117" spans="1:34">
      <c r="A117" s="27" t="s">
        <v>157</v>
      </c>
      <c r="B117" s="200" t="s">
        <v>96</v>
      </c>
      <c r="C117" s="31">
        <f>C82-('Pumped Hydro Worksheet'!F11-'Pumped Hydro Worksheet'!E11)</f>
        <v>0</v>
      </c>
      <c r="D117" s="31">
        <f>D82-('Pumped Hydro Worksheet'!G11-'Pumped Hydro Worksheet'!F11)</f>
        <v>0</v>
      </c>
      <c r="E117" s="31">
        <f>E82-('Pumped Hydro Worksheet'!H11-'Pumped Hydro Worksheet'!G11)</f>
        <v>0</v>
      </c>
      <c r="F117" s="31">
        <f>F82-('Pumped Hydro Worksheet'!I11-'Pumped Hydro Worksheet'!H11)</f>
        <v>129</v>
      </c>
      <c r="G117" s="31">
        <f>G82-('Pumped Hydro Worksheet'!J11-'Pumped Hydro Worksheet'!I11)</f>
        <v>298.6</v>
      </c>
      <c r="H117" s="31">
        <f>H82-('Pumped Hydro Worksheet'!K11-'Pumped Hydro Worksheet'!J11)</f>
        <v>275</v>
      </c>
      <c r="I117" s="31">
        <f>I82-('Pumped Hydro Worksheet'!L11-'Pumped Hydro Worksheet'!K11)</f>
        <v>137.5</v>
      </c>
      <c r="J117" s="31">
        <f>J82-('Pumped Hydro Worksheet'!M11-'Pumped Hydro Worksheet'!L11)</f>
        <v>40.3</v>
      </c>
      <c r="K117" s="31">
        <f>K82-('Pumped Hydro Worksheet'!N11-'Pumped Hydro Worksheet'!M11)</f>
        <v>0</v>
      </c>
      <c r="L117" s="31">
        <f>L82-('Pumped Hydro Worksheet'!O11-'Pumped Hydro Worksheet'!N11)</f>
        <v>0.0999999999999091</v>
      </c>
      <c r="M117" s="31">
        <f>M82-('Pumped Hydro Worksheet'!P11-'Pumped Hydro Worksheet'!O11)</f>
        <v>19.7</v>
      </c>
      <c r="N117" s="31">
        <f>N82-('Pumped Hydro Worksheet'!Q11-'Pumped Hydro Worksheet'!P11)</f>
        <v>10</v>
      </c>
      <c r="O117" s="31">
        <f>O82-('Pumped Hydro Worksheet'!R11-'Pumped Hydro Worksheet'!Q11)</f>
        <v>34</v>
      </c>
      <c r="P117" s="31">
        <f>P82-('Pumped Hydro Worksheet'!S11-'Pumped Hydro Worksheet'!R11)</f>
        <v>5.99999999999994</v>
      </c>
      <c r="Q117" s="31">
        <f>Q82-('Pumped Hydro Worksheet'!T11-'Pumped Hydro Worksheet'!S11)</f>
        <v>66.5</v>
      </c>
      <c r="S117" s="31">
        <f>S82-'Pumped Hydro Worksheet'!E11*0.1</f>
        <v>210.3</v>
      </c>
      <c r="T117" s="31">
        <f>T82-'Pumped Hydro Worksheet'!F11*0.1</f>
        <v>210.3</v>
      </c>
      <c r="U117" s="31">
        <f>U82-'Pumped Hydro Worksheet'!G11*0.1</f>
        <v>210.3</v>
      </c>
      <c r="V117" s="31">
        <f>V82-'Pumped Hydro Worksheet'!H11*0.1</f>
        <v>210.3</v>
      </c>
      <c r="W117" s="31">
        <f>W82-'Pumped Hydro Worksheet'!I11*0.1</f>
        <v>339.3</v>
      </c>
      <c r="X117" s="31">
        <f>X82-'Pumped Hydro Worksheet'!J11*0.1</f>
        <v>637.9</v>
      </c>
      <c r="Y117" s="31">
        <f>Y82-'Pumped Hydro Worksheet'!K11*0.1</f>
        <v>784.5</v>
      </c>
      <c r="Z117" s="31">
        <f>Z82-'Pumped Hydro Worksheet'!L11*0.1</f>
        <v>774.5</v>
      </c>
      <c r="AA117" s="31">
        <f>AA82-'Pumped Hydro Worksheet'!M11*0.1</f>
        <v>814.8</v>
      </c>
      <c r="AB117" s="31">
        <f>AB82-'Pumped Hydro Worksheet'!N11*0.1</f>
        <v>814.8</v>
      </c>
      <c r="AC117" s="31">
        <f>AC82-'Pumped Hydro Worksheet'!O11*0.1</f>
        <v>814.9</v>
      </c>
      <c r="AD117" s="31">
        <f>AD82-'Pumped Hydro Worksheet'!P11*0.1</f>
        <v>834.6</v>
      </c>
      <c r="AE117" s="31">
        <f>AE82-'Pumped Hydro Worksheet'!Q11*0.1</f>
        <v>844.6</v>
      </c>
      <c r="AF117" s="31">
        <f>AF82-'Pumped Hydro Worksheet'!R11*0.1</f>
        <v>847</v>
      </c>
      <c r="AG117" s="31">
        <f>AG82-'Pumped Hydro Worksheet'!S11*0.1</f>
        <v>853</v>
      </c>
      <c r="AH117" s="31">
        <f>AH82-'Pumped Hydro Worksheet'!T11*0.1</f>
        <v>870</v>
      </c>
    </row>
    <row r="118" spans="1:34">
      <c r="A118" s="27" t="s">
        <v>157</v>
      </c>
      <c r="B118" s="200" t="s">
        <v>98</v>
      </c>
      <c r="C118" s="31">
        <f>C83-('Pumped Hydro Worksheet'!F12-'Pumped Hydro Worksheet'!E12)</f>
        <v>0</v>
      </c>
      <c r="D118" s="31">
        <f>D83-('Pumped Hydro Worksheet'!G12-'Pumped Hydro Worksheet'!F12)</f>
        <v>0</v>
      </c>
      <c r="E118" s="31">
        <f>E83-('Pumped Hydro Worksheet'!H12-'Pumped Hydro Worksheet'!G12)</f>
        <v>0</v>
      </c>
      <c r="F118" s="31">
        <f>F83-('Pumped Hydro Worksheet'!I12-'Pumped Hydro Worksheet'!H12)</f>
        <v>0</v>
      </c>
      <c r="G118" s="31">
        <f>G83-('Pumped Hydro Worksheet'!J12-'Pumped Hydro Worksheet'!I12)</f>
        <v>0</v>
      </c>
      <c r="H118" s="31">
        <f>H83-('Pumped Hydro Worksheet'!K12-'Pumped Hydro Worksheet'!J12)</f>
        <v>0</v>
      </c>
      <c r="I118" s="31">
        <f>I83-('Pumped Hydro Worksheet'!L12-'Pumped Hydro Worksheet'!K12)</f>
        <v>0</v>
      </c>
      <c r="J118" s="31">
        <f>J83-('Pumped Hydro Worksheet'!M12-'Pumped Hydro Worksheet'!L12)</f>
        <v>0</v>
      </c>
      <c r="K118" s="31">
        <f>K83-('Pumped Hydro Worksheet'!N12-'Pumped Hydro Worksheet'!M12)</f>
        <v>0</v>
      </c>
      <c r="L118" s="31">
        <f>L83-('Pumped Hydro Worksheet'!O12-'Pumped Hydro Worksheet'!N12)</f>
        <v>0</v>
      </c>
      <c r="M118" s="31">
        <f>M83-('Pumped Hydro Worksheet'!P12-'Pumped Hydro Worksheet'!O12)</f>
        <v>0</v>
      </c>
      <c r="N118" s="31">
        <f>N83-('Pumped Hydro Worksheet'!Q12-'Pumped Hydro Worksheet'!P12)</f>
        <v>0</v>
      </c>
      <c r="O118" s="31">
        <f>O83-('Pumped Hydro Worksheet'!R12-'Pumped Hydro Worksheet'!Q12)</f>
        <v>0</v>
      </c>
      <c r="P118" s="31">
        <f>P83-('Pumped Hydro Worksheet'!S12-'Pumped Hydro Worksheet'!R12)</f>
        <v>0</v>
      </c>
      <c r="Q118" s="31">
        <f>Q83-('Pumped Hydro Worksheet'!T12-'Pumped Hydro Worksheet'!S12)</f>
        <v>0</v>
      </c>
      <c r="S118" s="31">
        <f>S83-'Pumped Hydro Worksheet'!E12*0.1</f>
        <v>0</v>
      </c>
      <c r="T118" s="31">
        <f>T83-'Pumped Hydro Worksheet'!F12*0.1</f>
        <v>0</v>
      </c>
      <c r="U118" s="31">
        <f>U83-'Pumped Hydro Worksheet'!G12*0.1</f>
        <v>0</v>
      </c>
      <c r="V118" s="31">
        <f>V83-'Pumped Hydro Worksheet'!H12*0.1</f>
        <v>0</v>
      </c>
      <c r="W118" s="31">
        <f>W83-'Pumped Hydro Worksheet'!I12*0.1</f>
        <v>0</v>
      </c>
      <c r="X118" s="31">
        <f>X83-'Pumped Hydro Worksheet'!J12*0.1</f>
        <v>0</v>
      </c>
      <c r="Y118" s="31">
        <f>Y83-'Pumped Hydro Worksheet'!K12*0.1</f>
        <v>0</v>
      </c>
      <c r="Z118" s="31">
        <f>Z83-'Pumped Hydro Worksheet'!L12*0.1</f>
        <v>0</v>
      </c>
      <c r="AA118" s="31">
        <f>AA83-'Pumped Hydro Worksheet'!M12*0.1</f>
        <v>0</v>
      </c>
      <c r="AB118" s="31">
        <f>AB83-'Pumped Hydro Worksheet'!N12*0.1</f>
        <v>0</v>
      </c>
      <c r="AC118" s="31">
        <f>AC83-'Pumped Hydro Worksheet'!O12*0.1</f>
        <v>0</v>
      </c>
      <c r="AD118" s="31">
        <f>AD83-'Pumped Hydro Worksheet'!P12*0.1</f>
        <v>0</v>
      </c>
      <c r="AE118" s="31">
        <f>AE83-'Pumped Hydro Worksheet'!Q12*0.1</f>
        <v>0</v>
      </c>
      <c r="AF118" s="31">
        <f>AF83-'Pumped Hydro Worksheet'!R12*0.1</f>
        <v>0</v>
      </c>
      <c r="AG118" s="31">
        <f>AG83-'Pumped Hydro Worksheet'!S12*0.1</f>
        <v>0</v>
      </c>
      <c r="AH118" s="31">
        <f>AH83-'Pumped Hydro Worksheet'!T12*0.1</f>
        <v>0</v>
      </c>
    </row>
    <row r="119" spans="1:34">
      <c r="A119" s="27" t="s">
        <v>157</v>
      </c>
      <c r="B119" s="200" t="s">
        <v>100</v>
      </c>
      <c r="C119" s="31">
        <f>C84-('Pumped Hydro Worksheet'!F13-'Pumped Hydro Worksheet'!E13)</f>
        <v>0</v>
      </c>
      <c r="D119" s="31">
        <f>D84-('Pumped Hydro Worksheet'!G13-'Pumped Hydro Worksheet'!F13)</f>
        <v>0</v>
      </c>
      <c r="E119" s="31">
        <f>E84-('Pumped Hydro Worksheet'!H13-'Pumped Hydro Worksheet'!G13)</f>
        <v>0</v>
      </c>
      <c r="F119" s="31">
        <f>F84-('Pumped Hydro Worksheet'!I13-'Pumped Hydro Worksheet'!H13)</f>
        <v>0</v>
      </c>
      <c r="G119" s="31">
        <f>G84-('Pumped Hydro Worksheet'!J13-'Pumped Hydro Worksheet'!I13)</f>
        <v>0.699999999999998</v>
      </c>
      <c r="H119" s="31">
        <f>H84-('Pumped Hydro Worksheet'!K13-'Pumped Hydro Worksheet'!J13)</f>
        <v>1.1</v>
      </c>
      <c r="I119" s="31">
        <f>I84-('Pumped Hydro Worksheet'!L13-'Pumped Hydro Worksheet'!K13)</f>
        <v>0.899999999999999</v>
      </c>
      <c r="J119" s="31">
        <f>J84-('Pumped Hydro Worksheet'!M13-'Pumped Hydro Worksheet'!L13)</f>
        <v>3</v>
      </c>
      <c r="K119" s="31">
        <f>K84-('Pumped Hydro Worksheet'!N13-'Pumped Hydro Worksheet'!M13)</f>
        <v>0.100000000000002</v>
      </c>
      <c r="L119" s="31">
        <f>L84-('Pumped Hydro Worksheet'!O13-'Pumped Hydro Worksheet'!N13)</f>
        <v>3.50000000000001</v>
      </c>
      <c r="M119" s="31">
        <f>M84-('Pumped Hydro Worksheet'!P13-'Pumped Hydro Worksheet'!O13)</f>
        <v>100</v>
      </c>
      <c r="N119" s="31">
        <f>N84-('Pumped Hydro Worksheet'!Q13-'Pumped Hydro Worksheet'!P13)</f>
        <v>0</v>
      </c>
      <c r="O119" s="31">
        <f>O84-('Pumped Hydro Worksheet'!R13-'Pumped Hydro Worksheet'!Q13)</f>
        <v>16.5</v>
      </c>
      <c r="P119" s="31">
        <f>P84-('Pumped Hydro Worksheet'!S13-'Pumped Hydro Worksheet'!R13)</f>
        <v>0</v>
      </c>
      <c r="Q119" s="31">
        <f>Q84-('Pumped Hydro Worksheet'!T13-'Pumped Hydro Worksheet'!S13)</f>
        <v>4</v>
      </c>
      <c r="S119" s="31">
        <f>S84-'Pumped Hydro Worksheet'!E13*0.1</f>
        <v>29</v>
      </c>
      <c r="T119" s="31">
        <f>T84-'Pumped Hydro Worksheet'!F13*0.1</f>
        <v>29</v>
      </c>
      <c r="U119" s="31">
        <f>U84-'Pumped Hydro Worksheet'!G13*0.1</f>
        <v>28.2</v>
      </c>
      <c r="V119" s="31">
        <f>V84-'Pumped Hydro Worksheet'!H13*0.1</f>
        <v>27.9</v>
      </c>
      <c r="W119" s="31">
        <f>W84-'Pumped Hydro Worksheet'!I13*0.1</f>
        <v>27.9</v>
      </c>
      <c r="X119" s="31">
        <f>X84-'Pumped Hydro Worksheet'!J13*0.1</f>
        <v>28.6</v>
      </c>
      <c r="Y119" s="31">
        <f>Y84-'Pumped Hydro Worksheet'!K13*0.1</f>
        <v>29.7</v>
      </c>
      <c r="Z119" s="31">
        <f>Z84-'Pumped Hydro Worksheet'!L13*0.1</f>
        <v>30.6</v>
      </c>
      <c r="AA119" s="31">
        <f>AA84-'Pumped Hydro Worksheet'!M13*0.1</f>
        <v>33.6</v>
      </c>
      <c r="AB119" s="31">
        <f>AB84-'Pumped Hydro Worksheet'!N13*0.1</f>
        <v>33.7</v>
      </c>
      <c r="AC119" s="31">
        <f>AC84-'Pumped Hydro Worksheet'!O13*0.1</f>
        <v>127.2</v>
      </c>
      <c r="AD119" s="31">
        <f>AD84-'Pumped Hydro Worksheet'!P13*0.1</f>
        <v>127.8</v>
      </c>
      <c r="AE119" s="31">
        <f>AE84-'Pumped Hydro Worksheet'!Q13*0.1</f>
        <v>116.5</v>
      </c>
      <c r="AF119" s="31">
        <f>AF84-'Pumped Hydro Worksheet'!R13*0.1</f>
        <v>133</v>
      </c>
      <c r="AG119" s="31">
        <f>AG84-'Pumped Hydro Worksheet'!S13*0.1</f>
        <v>126</v>
      </c>
      <c r="AH119" s="31">
        <f>AH84-'Pumped Hydro Worksheet'!T13*0.1</f>
        <v>130</v>
      </c>
    </row>
    <row r="120" spans="1:34">
      <c r="A120" s="27" t="s">
        <v>157</v>
      </c>
      <c r="B120" s="200" t="s">
        <v>102</v>
      </c>
      <c r="C120" s="31">
        <f>C85-('Pumped Hydro Worksheet'!F14-'Pumped Hydro Worksheet'!E14)</f>
        <v>12.6</v>
      </c>
      <c r="D120" s="31">
        <f>D85-('Pumped Hydro Worksheet'!G14-'Pumped Hydro Worksheet'!F14)</f>
        <v>61.2</v>
      </c>
      <c r="E120" s="31">
        <f>E85-('Pumped Hydro Worksheet'!H14-'Pumped Hydro Worksheet'!G14)</f>
        <v>80.3</v>
      </c>
      <c r="F120" s="31">
        <f>F85-('Pumped Hydro Worksheet'!I14-'Pumped Hydro Worksheet'!H14)</f>
        <v>209.8</v>
      </c>
      <c r="G120" s="31">
        <f>G85-('Pumped Hydro Worksheet'!J14-'Pumped Hydro Worksheet'!I14)</f>
        <v>170.8</v>
      </c>
      <c r="H120" s="443">
        <f>H85-('Pumped Hydro Worksheet'!K14-'Pumped Hydro Worksheet'!J14)*1/3</f>
        <v>240.033333333334</v>
      </c>
      <c r="I120" s="443">
        <f>I85-('Pumped Hydro Worksheet'!L14-'Pumped Hydro Worksheet'!K14)-('Pumped Hydro Worksheet'!K14-'Pumped Hydro Worksheet'!J14)*1/3</f>
        <v>176.433333333333</v>
      </c>
      <c r="J120" s="443">
        <f>J85-('Pumped Hydro Worksheet'!M14-'Pumped Hydro Worksheet'!L14)-('Pumped Hydro Worksheet'!K14-'Pumped Hydro Worksheet'!J14)*1/3</f>
        <v>214.133333333333</v>
      </c>
      <c r="K120" s="31">
        <f>K85-('Pumped Hydro Worksheet'!N14-'Pumped Hydro Worksheet'!M14)</f>
        <v>748.8</v>
      </c>
      <c r="L120" s="31">
        <f>L85-('Pumped Hydro Worksheet'!O14-'Pumped Hydro Worksheet'!N14)</f>
        <v>230.6</v>
      </c>
      <c r="M120" s="31">
        <f>M85-('Pumped Hydro Worksheet'!P14-'Pumped Hydro Worksheet'!O14)</f>
        <v>187.700000000001</v>
      </c>
      <c r="N120" s="31">
        <f>N85-('Pumped Hydro Worksheet'!Q14-'Pumped Hydro Worksheet'!P14)</f>
        <v>363.9</v>
      </c>
      <c r="O120" s="443">
        <f>O85-('Pumped Hydro Worksheet'!R14-'Pumped Hydro Worksheet'!Q14)*0.4</f>
        <v>53.6000000000001</v>
      </c>
      <c r="P120" s="443">
        <f>P85-('Pumped Hydro Worksheet'!S14-'Pumped Hydro Worksheet'!R14)-('Pumped Hydro Worksheet'!R14-'Pumped Hydro Worksheet'!Q14)*0.6</f>
        <v>755.999999999999</v>
      </c>
      <c r="Q120" s="31">
        <f>Q85-('Pumped Hydro Worksheet'!T14-'Pumped Hydro Worksheet'!S14)</f>
        <v>191</v>
      </c>
      <c r="S120" s="31">
        <f>S85-'Pumped Hydro Worksheet'!E14*0.1</f>
        <v>2427.7</v>
      </c>
      <c r="T120" s="31">
        <f>T85-'Pumped Hydro Worksheet'!F14*0.1</f>
        <v>2440.3</v>
      </c>
      <c r="U120" s="31">
        <f>U85-'Pumped Hydro Worksheet'!G14*0.1</f>
        <v>2501.5</v>
      </c>
      <c r="V120" s="31">
        <f>V85-'Pumped Hydro Worksheet'!H14*0.1</f>
        <v>2581.8</v>
      </c>
      <c r="W120" s="31">
        <f>W85-'Pumped Hydro Worksheet'!I14*0.1</f>
        <v>2791.6</v>
      </c>
      <c r="X120" s="31">
        <f>X85-'Pumped Hydro Worksheet'!J14*0.1</f>
        <v>2962.4</v>
      </c>
      <c r="Y120" s="31">
        <f>Y85-'Pumped Hydro Worksheet'!K14*0.1</f>
        <v>3641.1</v>
      </c>
      <c r="Z120" s="31">
        <f>Z85-'Pumped Hydro Worksheet'!L14*0.1</f>
        <v>4391.5</v>
      </c>
      <c r="AA120" s="31">
        <f>AA85-'Pumped Hydro Worksheet'!M14*0.1</f>
        <v>5232.3</v>
      </c>
      <c r="AB120" s="31">
        <f>AB85-'Pumped Hydro Worksheet'!N14*0.1</f>
        <v>5544.5</v>
      </c>
      <c r="AC120" s="31">
        <f>AC85-'Pumped Hydro Worksheet'!O14*0.1</f>
        <v>5678.8</v>
      </c>
      <c r="AD120" s="31">
        <f>AD85-'Pumped Hydro Worksheet'!P14*0.1</f>
        <v>5866.5</v>
      </c>
      <c r="AE120" s="31">
        <f>AE85-'Pumped Hydro Worksheet'!Q14*0.1</f>
        <v>6230.4</v>
      </c>
      <c r="AF120" s="31">
        <f>AF85-'Pumped Hydro Worksheet'!R14*0.1</f>
        <v>6644</v>
      </c>
      <c r="AG120" s="31">
        <f>AG85-'Pumped Hydro Worksheet'!S14*0.1</f>
        <v>8061</v>
      </c>
      <c r="AH120" s="31">
        <f>AH85-'Pumped Hydro Worksheet'!T14*0.1</f>
        <v>8212</v>
      </c>
    </row>
    <row r="121" spans="1:34">
      <c r="A121" s="27" t="s">
        <v>157</v>
      </c>
      <c r="B121" s="200" t="s">
        <v>104</v>
      </c>
      <c r="C121" s="31">
        <f>C86-('Pumped Hydro Worksheet'!F15-'Pumped Hydro Worksheet'!E15)</f>
        <v>0</v>
      </c>
      <c r="D121" s="31">
        <f>D86-('Pumped Hydro Worksheet'!G15-'Pumped Hydro Worksheet'!F15)</f>
        <v>52.7</v>
      </c>
      <c r="E121" s="31">
        <f>E86-('Pumped Hydro Worksheet'!H15-'Pumped Hydro Worksheet'!G15)</f>
        <v>5</v>
      </c>
      <c r="F121" s="31">
        <f>F86-('Pumped Hydro Worksheet'!I15-'Pumped Hydro Worksheet'!H15)</f>
        <v>5.60000000000002</v>
      </c>
      <c r="G121" s="31">
        <f>G86-('Pumped Hydro Worksheet'!J15-'Pumped Hydro Worksheet'!I15)</f>
        <v>6.09999999999999</v>
      </c>
      <c r="H121" s="31">
        <f>H86-('Pumped Hydro Worksheet'!K15-'Pumped Hydro Worksheet'!J15)</f>
        <v>11.5</v>
      </c>
      <c r="I121" s="31">
        <f>I86-('Pumped Hydro Worksheet'!L15-'Pumped Hydro Worksheet'!K15)</f>
        <v>0</v>
      </c>
      <c r="J121" s="31">
        <f>J86-('Pumped Hydro Worksheet'!M15-'Pumped Hydro Worksheet'!L15)</f>
        <v>91.3</v>
      </c>
      <c r="K121" s="31">
        <f>K86-('Pumped Hydro Worksheet'!N15-'Pumped Hydro Worksheet'!M15)</f>
        <v>0</v>
      </c>
      <c r="L121" s="31">
        <f>L86-('Pumped Hydro Worksheet'!O15-'Pumped Hydro Worksheet'!N15)</f>
        <v>61.5</v>
      </c>
      <c r="M121" s="31">
        <f>M86-('Pumped Hydro Worksheet'!P15-'Pumped Hydro Worksheet'!O15)</f>
        <v>0</v>
      </c>
      <c r="N121" s="31">
        <f>N86-('Pumped Hydro Worksheet'!Q15-'Pumped Hydro Worksheet'!P15)</f>
        <v>43.7</v>
      </c>
      <c r="O121" s="31">
        <f>O86-('Pumped Hydro Worksheet'!R15-'Pumped Hydro Worksheet'!Q15)</f>
        <v>47.2</v>
      </c>
      <c r="P121" s="443">
        <f>P86-('Pumped Hydro Worksheet'!S15-'Pumped Hydro Worksheet'!R15)*0.4</f>
        <v>20.9999999999999</v>
      </c>
      <c r="Q121" s="443">
        <f>Q86-('Pumped Hydro Worksheet'!T15-'Pumped Hydro Worksheet'!S15)-('Pumped Hydro Worksheet'!S15-'Pumped Hydro Worksheet'!R15)*0.6</f>
        <v>154</v>
      </c>
      <c r="S121" s="31">
        <f>S86-'Pumped Hydro Worksheet'!E15*0.1</f>
        <v>498.1</v>
      </c>
      <c r="T121" s="31">
        <f>T86-'Pumped Hydro Worksheet'!F15*0.1</f>
        <v>498.1</v>
      </c>
      <c r="U121" s="31">
        <f>U86-'Pumped Hydro Worksheet'!G15*0.1</f>
        <v>550.8</v>
      </c>
      <c r="V121" s="31">
        <f>V86-'Pumped Hydro Worksheet'!H15*0.1</f>
        <v>555.8</v>
      </c>
      <c r="W121" s="31">
        <f>W86-'Pumped Hydro Worksheet'!I15*0.1</f>
        <v>561.4</v>
      </c>
      <c r="X121" s="31">
        <f>X86-'Pumped Hydro Worksheet'!J15*0.1</f>
        <v>567.5</v>
      </c>
      <c r="Y121" s="31">
        <f>Y86-'Pumped Hydro Worksheet'!K15*0.1</f>
        <v>579</v>
      </c>
      <c r="Z121" s="31">
        <f>Z86-'Pumped Hydro Worksheet'!L15*0.1</f>
        <v>455</v>
      </c>
      <c r="AA121" s="31">
        <f>AA86-'Pumped Hydro Worksheet'!M15*0.1</f>
        <v>546.3</v>
      </c>
      <c r="AB121" s="31">
        <f>AB86-'Pumped Hydro Worksheet'!N15*0.1</f>
        <v>600.8</v>
      </c>
      <c r="AC121" s="31">
        <f>AC86-'Pumped Hydro Worksheet'!O15*0.1</f>
        <v>641.1</v>
      </c>
      <c r="AD121" s="31">
        <f>AD86-'Pumped Hydro Worksheet'!P15*0.1</f>
        <v>641.1</v>
      </c>
      <c r="AE121" s="31">
        <f>AE86-'Pumped Hydro Worksheet'!Q15*0.1</f>
        <v>684.8</v>
      </c>
      <c r="AF121" s="31">
        <f>AF86-'Pumped Hydro Worksheet'!R15*0.1</f>
        <v>732</v>
      </c>
      <c r="AG121" s="31">
        <f>AG86-'Pumped Hydro Worksheet'!S15*0.1</f>
        <v>933</v>
      </c>
      <c r="AH121" s="31">
        <f>AH86-'Pumped Hydro Worksheet'!T15*0.1</f>
        <v>1442</v>
      </c>
    </row>
    <row r="122" spans="1:34">
      <c r="A122" s="27" t="s">
        <v>157</v>
      </c>
      <c r="B122" s="200" t="s">
        <v>106</v>
      </c>
      <c r="C122" s="31">
        <f>C87-('Pumped Hydro Worksheet'!F16-'Pumped Hydro Worksheet'!E16)</f>
        <v>200</v>
      </c>
      <c r="D122" s="31">
        <f>D87-('Pumped Hydro Worksheet'!G16-'Pumped Hydro Worksheet'!F16)</f>
        <v>816.9</v>
      </c>
      <c r="E122" s="31">
        <f>E87-('Pumped Hydro Worksheet'!H16-'Pumped Hydro Worksheet'!G16)</f>
        <v>705</v>
      </c>
      <c r="F122" s="31">
        <f>F87-('Pumped Hydro Worksheet'!I16-'Pumped Hydro Worksheet'!H16)</f>
        <v>390.7</v>
      </c>
      <c r="G122" s="31">
        <f>G87-('Pumped Hydro Worksheet'!J16-'Pumped Hydro Worksheet'!I16)</f>
        <v>450</v>
      </c>
      <c r="H122" s="31">
        <f>H87-('Pumped Hydro Worksheet'!K16-'Pumped Hydro Worksheet'!J16)</f>
        <v>200</v>
      </c>
      <c r="I122" s="31">
        <f>I87-('Pumped Hydro Worksheet'!L16-'Pumped Hydro Worksheet'!K16)</f>
        <v>311.7</v>
      </c>
      <c r="J122" s="31">
        <f>J87-('Pumped Hydro Worksheet'!M16-'Pumped Hydro Worksheet'!L16)</f>
        <v>255</v>
      </c>
      <c r="K122" s="31">
        <f>K87-('Pumped Hydro Worksheet'!N16-'Pumped Hydro Worksheet'!M16)</f>
        <v>855.1</v>
      </c>
      <c r="L122" s="31">
        <f>L87-('Pumped Hydro Worksheet'!O16-'Pumped Hydro Worksheet'!N16)</f>
        <v>732.6</v>
      </c>
      <c r="M122" s="31">
        <f>M87-('Pumped Hydro Worksheet'!P16-'Pumped Hydro Worksheet'!O16)</f>
        <v>249.1</v>
      </c>
      <c r="N122" s="31">
        <f>N87-('Pumped Hydro Worksheet'!Q16-'Pumped Hydro Worksheet'!P16)</f>
        <v>419</v>
      </c>
      <c r="O122" s="31">
        <f>O87-('Pumped Hydro Worksheet'!R16-'Pumped Hydro Worksheet'!Q16)</f>
        <v>1044.9</v>
      </c>
      <c r="P122" s="31">
        <f>P87-('Pumped Hydro Worksheet'!S16-'Pumped Hydro Worksheet'!R16)</f>
        <v>745</v>
      </c>
      <c r="Q122" s="31">
        <f>Q87-('Pumped Hydro Worksheet'!T16-'Pumped Hydro Worksheet'!S16)</f>
        <v>927.051</v>
      </c>
      <c r="S122" s="31">
        <f>S87-'Pumped Hydro Worksheet'!E16*0.1</f>
        <v>2345.2</v>
      </c>
      <c r="T122" s="31">
        <f>T87-'Pumped Hydro Worksheet'!F16*0.1</f>
        <v>2545.2</v>
      </c>
      <c r="U122" s="31">
        <f>U87-'Pumped Hydro Worksheet'!G16*0.1</f>
        <v>3362.1</v>
      </c>
      <c r="V122" s="31">
        <f>V87-'Pumped Hydro Worksheet'!H16*0.1</f>
        <v>3985.8</v>
      </c>
      <c r="W122" s="31">
        <f>W87-'Pumped Hydro Worksheet'!I16*0.1</f>
        <v>4376.5</v>
      </c>
      <c r="X122" s="31">
        <f>X87-'Pumped Hydro Worksheet'!J16*0.1</f>
        <v>4558.2</v>
      </c>
      <c r="Y122" s="31">
        <f>Y87-'Pumped Hydro Worksheet'!K16*0.1</f>
        <v>4758.2</v>
      </c>
      <c r="Z122" s="31">
        <f>Z87-'Pumped Hydro Worksheet'!L16*0.1</f>
        <v>5069.9</v>
      </c>
      <c r="AA122" s="31">
        <f>AA87-'Pumped Hydro Worksheet'!M16*0.1</f>
        <v>5324.9</v>
      </c>
      <c r="AB122" s="31">
        <f>AB87-'Pumped Hydro Worksheet'!N16*0.1</f>
        <v>6180</v>
      </c>
      <c r="AC122" s="31">
        <f>AC87-'Pumped Hydro Worksheet'!O16*0.1</f>
        <v>6512</v>
      </c>
      <c r="AD122" s="31">
        <f>AD87-'Pumped Hydro Worksheet'!P16*0.1</f>
        <v>6761.1</v>
      </c>
      <c r="AE122" s="31">
        <f>AE87-'Pumped Hydro Worksheet'!Q16*0.1</f>
        <v>7180.1</v>
      </c>
      <c r="AF122" s="31">
        <f>AF87-'Pumped Hydro Worksheet'!R16*0.1</f>
        <v>8225</v>
      </c>
      <c r="AG122" s="31">
        <f>AG87-'Pumped Hydro Worksheet'!S16*0.1</f>
        <v>8957</v>
      </c>
      <c r="AH122" s="31">
        <f>AH87-'Pumped Hydro Worksheet'!T16*0.1</f>
        <v>9800</v>
      </c>
    </row>
    <row r="123" spans="1:34">
      <c r="A123" s="27" t="s">
        <v>157</v>
      </c>
      <c r="B123" s="200" t="s">
        <v>108</v>
      </c>
      <c r="C123" s="31">
        <f>C88-('Pumped Hydro Worksheet'!F17-'Pumped Hydro Worksheet'!E17)</f>
        <v>6</v>
      </c>
      <c r="D123" s="31">
        <f>D88-('Pumped Hydro Worksheet'!G17-'Pumped Hydro Worksheet'!F17)</f>
        <v>6</v>
      </c>
      <c r="E123" s="31">
        <f>E88-('Pumped Hydro Worksheet'!H17-'Pumped Hydro Worksheet'!G17)</f>
        <v>74.4999999999999</v>
      </c>
      <c r="F123" s="31">
        <f>F88-('Pumped Hydro Worksheet'!I17-'Pumped Hydro Worksheet'!H17)</f>
        <v>60.2000000000001</v>
      </c>
      <c r="G123" s="31">
        <f>G88-('Pumped Hydro Worksheet'!J17-'Pumped Hydro Worksheet'!I17)</f>
        <v>40</v>
      </c>
      <c r="H123" s="31">
        <f>H88-('Pumped Hydro Worksheet'!K17-'Pumped Hydro Worksheet'!J17)</f>
        <v>43.4999999999999</v>
      </c>
      <c r="I123" s="31">
        <f>I88-('Pumped Hydro Worksheet'!L17-'Pumped Hydro Worksheet'!K17)</f>
        <v>25</v>
      </c>
      <c r="J123" s="31">
        <f>J88-('Pumped Hydro Worksheet'!M17-'Pumped Hydro Worksheet'!L17)</f>
        <v>111.5</v>
      </c>
      <c r="K123" s="31">
        <f>K88-('Pumped Hydro Worksheet'!N17-'Pumped Hydro Worksheet'!M17)</f>
        <v>221.8</v>
      </c>
      <c r="L123" s="31">
        <f>L88-('Pumped Hydro Worksheet'!O17-'Pumped Hydro Worksheet'!N17)</f>
        <v>129.6</v>
      </c>
      <c r="M123" s="31">
        <f>M88-('Pumped Hydro Worksheet'!P17-'Pumped Hydro Worksheet'!O17)</f>
        <v>120</v>
      </c>
      <c r="N123" s="31">
        <f>N88-('Pumped Hydro Worksheet'!Q17-'Pumped Hydro Worksheet'!P17)</f>
        <v>242.5</v>
      </c>
      <c r="O123" s="31">
        <f>O88-('Pumped Hydro Worksheet'!R17-'Pumped Hydro Worksheet'!Q17)</f>
        <v>469.1</v>
      </c>
      <c r="P123" s="31">
        <f>P88-('Pumped Hydro Worksheet'!S17-'Pumped Hydro Worksheet'!R17)</f>
        <v>530</v>
      </c>
      <c r="Q123" s="31">
        <f>Q88-('Pumped Hydro Worksheet'!T17-'Pumped Hydro Worksheet'!S17)</f>
        <v>354.112</v>
      </c>
      <c r="S123" s="31">
        <f>S88-'Pumped Hydro Worksheet'!E17*0.1</f>
        <v>1482.4</v>
      </c>
      <c r="T123" s="31">
        <f>T88-'Pumped Hydro Worksheet'!F17*0.1</f>
        <v>1488.4</v>
      </c>
      <c r="U123" s="31">
        <f>U88-'Pumped Hydro Worksheet'!G17*0.1</f>
        <v>1494.4</v>
      </c>
      <c r="V123" s="31">
        <f>V88-'Pumped Hydro Worksheet'!H17*0.1</f>
        <v>1568.9</v>
      </c>
      <c r="W123" s="31">
        <f>W88-'Pumped Hydro Worksheet'!I17*0.1</f>
        <v>1629.1</v>
      </c>
      <c r="X123" s="31">
        <f>X88-'Pumped Hydro Worksheet'!J17*0.1</f>
        <v>1666</v>
      </c>
      <c r="Y123" s="31">
        <f>Y88-'Pumped Hydro Worksheet'!K17*0.1</f>
        <v>1709.5</v>
      </c>
      <c r="Z123" s="31">
        <f>Z88-'Pumped Hydro Worksheet'!L17*0.1</f>
        <v>1734.5</v>
      </c>
      <c r="AA123" s="31">
        <f>AA88-'Pumped Hydro Worksheet'!M17*0.1</f>
        <v>1846</v>
      </c>
      <c r="AB123" s="31">
        <f>AB88-'Pumped Hydro Worksheet'!N17*0.1</f>
        <v>2067.8</v>
      </c>
      <c r="AC123" s="31">
        <f>AC88-'Pumped Hydro Worksheet'!O17*0.1</f>
        <v>2197.4</v>
      </c>
      <c r="AD123" s="31">
        <f>AD88-'Pumped Hydro Worksheet'!P17*0.1</f>
        <v>2307.4</v>
      </c>
      <c r="AE123" s="31">
        <f>AE88-'Pumped Hydro Worksheet'!Q17*0.1</f>
        <v>2549.9</v>
      </c>
      <c r="AF123" s="31">
        <f>AF88-'Pumped Hydro Worksheet'!R17*0.1</f>
        <v>3019</v>
      </c>
      <c r="AG123" s="31">
        <f>AG88-'Pumped Hydro Worksheet'!S17*0.1</f>
        <v>3288</v>
      </c>
      <c r="AH123" s="31">
        <f>AH88-'Pumped Hydro Worksheet'!T17*0.1</f>
        <v>3570</v>
      </c>
    </row>
    <row r="124" spans="1:34">
      <c r="A124" s="27" t="s">
        <v>157</v>
      </c>
      <c r="B124" s="200" t="s">
        <v>110</v>
      </c>
      <c r="C124" s="31">
        <f>C89-('Pumped Hydro Worksheet'!F18-'Pumped Hydro Worksheet'!E18)</f>
        <v>0</v>
      </c>
      <c r="D124" s="31">
        <f>D89-('Pumped Hydro Worksheet'!G18-'Pumped Hydro Worksheet'!F18)</f>
        <v>0.300000000000002</v>
      </c>
      <c r="E124" s="31">
        <f>E89-('Pumped Hydro Worksheet'!H18-'Pumped Hydro Worksheet'!G18)</f>
        <v>2.9</v>
      </c>
      <c r="F124" s="31">
        <f>F89-('Pumped Hydro Worksheet'!I18-'Pumped Hydro Worksheet'!H18)</f>
        <v>0.8</v>
      </c>
      <c r="G124" s="31">
        <f>G89-('Pumped Hydro Worksheet'!J18-'Pumped Hydro Worksheet'!I18)</f>
        <v>0</v>
      </c>
      <c r="H124" s="31">
        <f>H89-('Pumped Hydro Worksheet'!K18-'Pumped Hydro Worksheet'!J18)</f>
        <v>0</v>
      </c>
      <c r="I124" s="31">
        <f>I89-('Pumped Hydro Worksheet'!L18-'Pumped Hydro Worksheet'!K18)</f>
        <v>0</v>
      </c>
      <c r="J124" s="31">
        <f>J89-('Pumped Hydro Worksheet'!M18-'Pumped Hydro Worksheet'!L18)</f>
        <v>34.2</v>
      </c>
      <c r="K124" s="31">
        <f>K89-('Pumped Hydro Worksheet'!N18-'Pumped Hydro Worksheet'!M18)</f>
        <v>0</v>
      </c>
      <c r="L124" s="31">
        <f>L89-('Pumped Hydro Worksheet'!O18-'Pumped Hydro Worksheet'!N18)</f>
        <v>0</v>
      </c>
      <c r="M124" s="31">
        <f>M89-('Pumped Hydro Worksheet'!P18-'Pumped Hydro Worksheet'!O18)</f>
        <v>0</v>
      </c>
      <c r="N124" s="31">
        <f>N89-('Pumped Hydro Worksheet'!Q18-'Pumped Hydro Worksheet'!P18)</f>
        <v>0</v>
      </c>
      <c r="O124" s="31">
        <f>O89-('Pumped Hydro Worksheet'!R18-'Pumped Hydro Worksheet'!Q18)</f>
        <v>12</v>
      </c>
      <c r="P124" s="443">
        <f>P89-('Pumped Hydro Worksheet'!S18-'Pumped Hydro Worksheet'!R18)*0.5</f>
        <v>250</v>
      </c>
      <c r="Q124" s="443">
        <f>Q89-('Pumped Hydro Worksheet'!T18-'Pumped Hydro Worksheet'!S18)-('Pumped Hydro Worksheet'!S18-'Pumped Hydro Worksheet'!R18)*0.5+3</f>
        <v>0</v>
      </c>
      <c r="S124" s="31">
        <f>S89-'Pumped Hydro Worksheet'!E18*0.1</f>
        <v>75.5</v>
      </c>
      <c r="T124" s="31">
        <f>T89-'Pumped Hydro Worksheet'!F18*0.1</f>
        <v>75.5</v>
      </c>
      <c r="U124" s="31">
        <f>U89-'Pumped Hydro Worksheet'!G18*0.1</f>
        <v>75.8</v>
      </c>
      <c r="V124" s="31">
        <f>V89-'Pumped Hydro Worksheet'!H18*0.1</f>
        <v>78.7</v>
      </c>
      <c r="W124" s="31">
        <f>W89-'Pumped Hydro Worksheet'!I18*0.1</f>
        <v>69.6</v>
      </c>
      <c r="X124" s="31">
        <f>X89-'Pumped Hydro Worksheet'!J18*0.1</f>
        <v>67.5</v>
      </c>
      <c r="Y124" s="31">
        <f>Y89-'Pumped Hydro Worksheet'!K18*0.1</f>
        <v>66.2</v>
      </c>
      <c r="Z124" s="31">
        <f>Z89-'Pumped Hydro Worksheet'!L18*0.1</f>
        <v>49.9</v>
      </c>
      <c r="AA124" s="31">
        <f>AA89-'Pumped Hydro Worksheet'!M18*0.1</f>
        <v>84.1</v>
      </c>
      <c r="AB124" s="31">
        <f>AB89-'Pumped Hydro Worksheet'!N18*0.1</f>
        <v>56.2</v>
      </c>
      <c r="AC124" s="31">
        <f>AC89-'Pumped Hydro Worksheet'!O18*0.1</f>
        <v>50.8</v>
      </c>
      <c r="AD124" s="31">
        <f>AD89-'Pumped Hydro Worksheet'!P18*0.1</f>
        <v>50.8</v>
      </c>
      <c r="AE124" s="31">
        <f>AE89-'Pumped Hydro Worksheet'!Q18*0.1</f>
        <v>50.8</v>
      </c>
      <c r="AF124" s="31">
        <f>AF89-'Pumped Hydro Worksheet'!R18*0.1</f>
        <v>52</v>
      </c>
      <c r="AG124" s="31">
        <f>AG89-'Pumped Hydro Worksheet'!S18*0.1</f>
        <v>453</v>
      </c>
      <c r="AH124" s="31">
        <f>AH89-'Pumped Hydro Worksheet'!T18*0.1</f>
        <v>950</v>
      </c>
    </row>
    <row r="125" spans="1:34">
      <c r="A125" s="27" t="s">
        <v>157</v>
      </c>
      <c r="B125" s="200" t="s">
        <v>112</v>
      </c>
      <c r="C125" s="31">
        <f>C90-('Pumped Hydro Worksheet'!F19-'Pumped Hydro Worksheet'!E19)</f>
        <v>17.4</v>
      </c>
      <c r="D125" s="31">
        <f>D90-('Pumped Hydro Worksheet'!G19-'Pumped Hydro Worksheet'!F19)</f>
        <v>17.4</v>
      </c>
      <c r="E125" s="31">
        <f>E90-('Pumped Hydro Worksheet'!H19-'Pumped Hydro Worksheet'!G19)</f>
        <v>75</v>
      </c>
      <c r="F125" s="31">
        <f>F90-('Pumped Hydro Worksheet'!I19-'Pumped Hydro Worksheet'!H19)</f>
        <v>9.59999999999994</v>
      </c>
      <c r="G125" s="31">
        <f>G90-('Pumped Hydro Worksheet'!J19-'Pumped Hydro Worksheet'!I19)</f>
        <v>81</v>
      </c>
      <c r="H125" s="31">
        <f>H90-('Pumped Hydro Worksheet'!K19-'Pumped Hydro Worksheet'!J19)</f>
        <v>81</v>
      </c>
      <c r="I125" s="31">
        <f>I90-('Pumped Hydro Worksheet'!L19-'Pumped Hydro Worksheet'!K19)</f>
        <v>300</v>
      </c>
      <c r="J125" s="31">
        <f>J90-('Pumped Hydro Worksheet'!M19-'Pumped Hydro Worksheet'!L19)</f>
        <v>600</v>
      </c>
      <c r="K125" s="31">
        <f>K90-('Pumped Hydro Worksheet'!N19-'Pumped Hydro Worksheet'!M19)</f>
        <v>910</v>
      </c>
      <c r="L125" s="31">
        <f>L90-('Pumped Hydro Worksheet'!O19-'Pumped Hydro Worksheet'!N19)</f>
        <v>900</v>
      </c>
      <c r="M125" s="31">
        <f>M90-('Pumped Hydro Worksheet'!P19-'Pumped Hydro Worksheet'!O19)</f>
        <v>0</v>
      </c>
      <c r="N125" s="31">
        <f>N90-('Pumped Hydro Worksheet'!Q19-'Pumped Hydro Worksheet'!P19)</f>
        <v>0</v>
      </c>
      <c r="O125" s="31">
        <f>O90-('Pumped Hydro Worksheet'!R19-'Pumped Hydro Worksheet'!Q19)</f>
        <v>6</v>
      </c>
      <c r="P125" s="31">
        <f>P90-('Pumped Hydro Worksheet'!S19-'Pumped Hydro Worksheet'!R19)</f>
        <v>13.0000000000001</v>
      </c>
      <c r="Q125" s="31">
        <f>Q90-('Pumped Hydro Worksheet'!T19-'Pumped Hydro Worksheet'!S19)</f>
        <v>187</v>
      </c>
      <c r="S125" s="31">
        <f>S90-'Pumped Hydro Worksheet'!E19*0.1</f>
        <v>555.3</v>
      </c>
      <c r="T125" s="31">
        <f>T90-'Pumped Hydro Worksheet'!F19*0.1</f>
        <v>572.7</v>
      </c>
      <c r="U125" s="31">
        <f>U90-'Pumped Hydro Worksheet'!G19*0.1</f>
        <v>545.2</v>
      </c>
      <c r="V125" s="31">
        <f>V90-'Pumped Hydro Worksheet'!H19*0.1</f>
        <v>545.2</v>
      </c>
      <c r="W125" s="31">
        <f>W90-'Pumped Hydro Worksheet'!I19*0.1</f>
        <v>554.8</v>
      </c>
      <c r="X125" s="31">
        <f>X90-'Pumped Hydro Worksheet'!J19*0.1</f>
        <v>635.8</v>
      </c>
      <c r="Y125" s="31">
        <f>Y90-'Pumped Hydro Worksheet'!K19*0.1</f>
        <v>628</v>
      </c>
      <c r="Z125" s="31">
        <f>Z90-'Pumped Hydro Worksheet'!L19*0.1</f>
        <v>928</v>
      </c>
      <c r="AA125" s="31">
        <f>AA90-'Pumped Hydro Worksheet'!M19*0.1</f>
        <v>1528</v>
      </c>
      <c r="AB125" s="31">
        <f>AB90-'Pumped Hydro Worksheet'!N19*0.1</f>
        <v>2438</v>
      </c>
      <c r="AC125" s="31">
        <f>AC90-'Pumped Hydro Worksheet'!O19*0.1</f>
        <v>2438</v>
      </c>
      <c r="AD125" s="31">
        <f>AD90-'Pumped Hydro Worksheet'!P19*0.1</f>
        <v>2438</v>
      </c>
      <c r="AE125" s="31">
        <f>AE90-'Pumped Hydro Worksheet'!Q19*0.1</f>
        <v>2438</v>
      </c>
      <c r="AF125" s="31">
        <f>AF90-'Pumped Hydro Worksheet'!R19*0.1</f>
        <v>2528</v>
      </c>
      <c r="AG125" s="31">
        <f>AG90-'Pumped Hydro Worksheet'!S19*0.1</f>
        <v>2541</v>
      </c>
      <c r="AH125" s="31">
        <f>AH90-'Pumped Hydro Worksheet'!T19*0.1</f>
        <v>2728</v>
      </c>
    </row>
    <row r="126" spans="1:34">
      <c r="A126" s="27" t="s">
        <v>157</v>
      </c>
      <c r="B126" s="200" t="s">
        <v>114</v>
      </c>
      <c r="C126" s="31">
        <f>C91-('Pumped Hydro Worksheet'!F20-'Pumped Hydro Worksheet'!E20)</f>
        <v>636.4</v>
      </c>
      <c r="D126" s="31">
        <f>D91-('Pumped Hydro Worksheet'!G20-'Pumped Hydro Worksheet'!F20)</f>
        <v>730.599999999999</v>
      </c>
      <c r="E126" s="31">
        <f>E91-('Pumped Hydro Worksheet'!H20-'Pumped Hydro Worksheet'!G20)</f>
        <v>648.5</v>
      </c>
      <c r="F126" s="31">
        <f>F91-('Pumped Hydro Worksheet'!I20-'Pumped Hydro Worksheet'!H20)</f>
        <v>56.7999999999995</v>
      </c>
      <c r="G126" s="31">
        <f>G91-('Pumped Hydro Worksheet'!J20-'Pumped Hydro Worksheet'!I20)</f>
        <v>54.6000000000004</v>
      </c>
      <c r="H126" s="31">
        <f>H91-('Pumped Hydro Worksheet'!K20-'Pumped Hydro Worksheet'!J20)</f>
        <v>132.8</v>
      </c>
      <c r="I126" s="31">
        <f>I91-('Pumped Hydro Worksheet'!L20-'Pumped Hydro Worksheet'!K20)</f>
        <v>45.5000000000007</v>
      </c>
      <c r="J126" s="31">
        <f>J91-('Pumped Hydro Worksheet'!M20-'Pumped Hydro Worksheet'!L20)</f>
        <v>493.299999999999</v>
      </c>
      <c r="K126" s="31">
        <f>K91-('Pumped Hydro Worksheet'!N20-'Pumped Hydro Worksheet'!M20)</f>
        <v>301.4</v>
      </c>
      <c r="L126" s="31">
        <f>L91-('Pumped Hydro Worksheet'!O20-'Pumped Hydro Worksheet'!N20)</f>
        <v>88.3000000000004</v>
      </c>
      <c r="M126" s="31">
        <f>M91-('Pumped Hydro Worksheet'!P20-'Pumped Hydro Worksheet'!O20)</f>
        <v>4323.3</v>
      </c>
      <c r="N126" s="31">
        <f>N91-('Pumped Hydro Worksheet'!Q20-'Pumped Hydro Worksheet'!P20)</f>
        <v>3577.9</v>
      </c>
      <c r="O126" s="31">
        <f>O91-('Pumped Hydro Worksheet'!R20-'Pumped Hydro Worksheet'!Q20)</f>
        <v>4080</v>
      </c>
      <c r="P126" s="31">
        <f>P91-('Pumped Hydro Worksheet'!S20-'Pumped Hydro Worksheet'!R20)</f>
        <v>431.999999999998</v>
      </c>
      <c r="Q126" s="31">
        <f>Q91-('Pumped Hydro Worksheet'!T20-'Pumped Hydro Worksheet'!S20)</f>
        <v>5700.6</v>
      </c>
      <c r="S126" s="31">
        <f>S91-'Pumped Hydro Worksheet'!E20*0.1</f>
        <v>4844.5</v>
      </c>
      <c r="T126" s="31">
        <f>T91-'Pumped Hydro Worksheet'!F20*0.1</f>
        <v>5480.9</v>
      </c>
      <c r="U126" s="31">
        <f>U91-'Pumped Hydro Worksheet'!G20*0.1</f>
        <v>6211.5</v>
      </c>
      <c r="V126" s="31">
        <f>V91-'Pumped Hydro Worksheet'!H20*0.1</f>
        <v>6287.5</v>
      </c>
      <c r="W126" s="31">
        <f>W91-'Pumped Hydro Worksheet'!I20*0.1</f>
        <v>6344.3</v>
      </c>
      <c r="X126" s="31">
        <f>X91-'Pumped Hydro Worksheet'!J20*0.1</f>
        <v>6398.9</v>
      </c>
      <c r="Y126" s="31">
        <f>Y91-'Pumped Hydro Worksheet'!K20*0.1</f>
        <v>6531.7</v>
      </c>
      <c r="Z126" s="31">
        <f>Z91-'Pumped Hydro Worksheet'!L20*0.1</f>
        <v>6577.2</v>
      </c>
      <c r="AA126" s="31">
        <f>AA91-'Pumped Hydro Worksheet'!M20*0.1</f>
        <v>7070.5</v>
      </c>
      <c r="AB126" s="31">
        <f>AB91-'Pumped Hydro Worksheet'!N20*0.1</f>
        <v>7118.6</v>
      </c>
      <c r="AC126" s="31">
        <f>AC91-'Pumped Hydro Worksheet'!O20*0.1</f>
        <v>7206.9</v>
      </c>
      <c r="AD126" s="31">
        <f>AD91-'Pumped Hydro Worksheet'!P20*0.1</f>
        <v>11530.2</v>
      </c>
      <c r="AE126" s="31">
        <f>AE91-'Pumped Hydro Worksheet'!Q20*0.1</f>
        <v>15108.1</v>
      </c>
      <c r="AF126" s="31">
        <f>AF91-'Pumped Hydro Worksheet'!R20*0.1</f>
        <v>17882</v>
      </c>
      <c r="AG126" s="31">
        <f>AG91-'Pumped Hydro Worksheet'!S20*0.1</f>
        <v>18314</v>
      </c>
      <c r="AH126" s="31">
        <f>AH91-'Pumped Hydro Worksheet'!T20*0.1</f>
        <v>24013</v>
      </c>
    </row>
    <row r="127" spans="1:34">
      <c r="A127" s="27" t="s">
        <v>157</v>
      </c>
      <c r="B127" s="200" t="s">
        <v>116</v>
      </c>
      <c r="C127" s="31">
        <f>C92-('Pumped Hydro Worksheet'!F21-'Pumped Hydro Worksheet'!E21)</f>
        <v>65.1</v>
      </c>
      <c r="D127" s="31">
        <f>D92-('Pumped Hydro Worksheet'!G21-'Pumped Hydro Worksheet'!F21)</f>
        <v>382.6</v>
      </c>
      <c r="E127" s="31">
        <f>E92-('Pumped Hydro Worksheet'!H21-'Pumped Hydro Worksheet'!G21)</f>
        <v>532.7</v>
      </c>
      <c r="F127" s="31">
        <f>F92-('Pumped Hydro Worksheet'!I21-'Pumped Hydro Worksheet'!H21)</f>
        <v>606.9</v>
      </c>
      <c r="G127" s="31">
        <f>G92-('Pumped Hydro Worksheet'!J21-'Pumped Hydro Worksheet'!I21)</f>
        <v>506.6</v>
      </c>
      <c r="H127" s="31">
        <f>H92-('Pumped Hydro Worksheet'!K21-'Pumped Hydro Worksheet'!J21)</f>
        <v>147.6</v>
      </c>
      <c r="I127" s="31">
        <f>I92-('Pumped Hydro Worksheet'!L21-'Pumped Hydro Worksheet'!K21)</f>
        <v>611.5</v>
      </c>
      <c r="J127" s="31">
        <f>J92-('Pumped Hydro Worksheet'!M21-'Pumped Hydro Worksheet'!L21)</f>
        <v>320</v>
      </c>
      <c r="K127" s="31">
        <f>K92-('Pumped Hydro Worksheet'!N21-'Pumped Hydro Worksheet'!M21)</f>
        <v>120</v>
      </c>
      <c r="L127" s="31">
        <f>L92-('Pumped Hydro Worksheet'!O21-'Pumped Hydro Worksheet'!N21)</f>
        <v>169.2</v>
      </c>
      <c r="M127" s="31">
        <f>M92-('Pumped Hydro Worksheet'!P21-'Pumped Hydro Worksheet'!O21)</f>
        <v>467.8</v>
      </c>
      <c r="N127" s="31">
        <f>N92-('Pumped Hydro Worksheet'!Q21-'Pumped Hydro Worksheet'!P21)</f>
        <v>845.100000000001</v>
      </c>
      <c r="O127" s="31">
        <f>O92-('Pumped Hydro Worksheet'!R21-'Pumped Hydro Worksheet'!Q21)</f>
        <v>852.7</v>
      </c>
      <c r="P127" s="31">
        <f>P92-('Pumped Hydro Worksheet'!S21-'Pumped Hydro Worksheet'!R21)</f>
        <v>947</v>
      </c>
      <c r="Q127" s="31">
        <f>Q92-('Pumped Hydro Worksheet'!T21-'Pumped Hydro Worksheet'!S21)</f>
        <v>846.515</v>
      </c>
      <c r="S127" s="31">
        <f>S92-'Pumped Hydro Worksheet'!E21*0.1</f>
        <v>3230.9</v>
      </c>
      <c r="T127" s="31">
        <f>T92-'Pumped Hydro Worksheet'!F21*0.1</f>
        <v>3296</v>
      </c>
      <c r="U127" s="31">
        <f>U92-'Pumped Hydro Worksheet'!G21*0.1</f>
        <v>3678.6</v>
      </c>
      <c r="V127" s="31">
        <f>V92-'Pumped Hydro Worksheet'!H21*0.1</f>
        <v>4211.3</v>
      </c>
      <c r="W127" s="31">
        <f>W92-'Pumped Hydro Worksheet'!I21*0.1</f>
        <v>4818.2</v>
      </c>
      <c r="X127" s="31">
        <f>X92-'Pumped Hydro Worksheet'!J21*0.1</f>
        <v>5009.9</v>
      </c>
      <c r="Y127" s="31">
        <f>Y92-'Pumped Hydro Worksheet'!K21*0.1</f>
        <v>5103.2</v>
      </c>
      <c r="Z127" s="31">
        <f>Z92-'Pumped Hydro Worksheet'!L21*0.1</f>
        <v>5714.7</v>
      </c>
      <c r="AA127" s="31">
        <f>AA92-'Pumped Hydro Worksheet'!M21*0.1</f>
        <v>5858</v>
      </c>
      <c r="AB127" s="31">
        <f>AB92-'Pumped Hydro Worksheet'!N21*0.1</f>
        <v>5966.1</v>
      </c>
      <c r="AC127" s="31">
        <f>AC92-'Pumped Hydro Worksheet'!O21*0.1</f>
        <v>6135.3</v>
      </c>
      <c r="AD127" s="31">
        <f>AD92-'Pumped Hydro Worksheet'!P21*0.1</f>
        <v>6603.1</v>
      </c>
      <c r="AE127" s="31">
        <f>AE92-'Pumped Hydro Worksheet'!Q21*0.1</f>
        <v>7448.2</v>
      </c>
      <c r="AF127" s="31">
        <f>AF92-'Pumped Hydro Worksheet'!R21*0.1</f>
        <v>7849</v>
      </c>
      <c r="AG127" s="31">
        <f>AG92-'Pumped Hydro Worksheet'!S21*0.1</f>
        <v>8648</v>
      </c>
      <c r="AH127" s="31">
        <f>AH92-'Pumped Hydro Worksheet'!T21*0.1</f>
        <v>9220</v>
      </c>
    </row>
    <row r="128" spans="1:34">
      <c r="A128" s="27" t="s">
        <v>157</v>
      </c>
      <c r="B128" s="200" t="s">
        <v>118</v>
      </c>
      <c r="C128" s="443">
        <f>C93-('Pumped Hydro Worksheet'!F22-'Pumped Hydro Worksheet'!E22)-('Pumped Hydro Worksheet'!G22-'Pumped Hydro Worksheet'!F22)*0.5</f>
        <v>448</v>
      </c>
      <c r="D128" s="443">
        <f>D93-('Pumped Hydro Worksheet'!G22-'Pumped Hydro Worksheet'!F22)*0.5</f>
        <v>448</v>
      </c>
      <c r="E128" s="31">
        <f>E93-('Pumped Hydro Worksheet'!H22-'Pumped Hydro Worksheet'!G22)</f>
        <v>397.6</v>
      </c>
      <c r="F128" s="31">
        <f>F93-('Pumped Hydro Worksheet'!I22-'Pumped Hydro Worksheet'!H22)</f>
        <v>127.9</v>
      </c>
      <c r="G128" s="31">
        <f>G93-('Pumped Hydro Worksheet'!J22-'Pumped Hydro Worksheet'!I22)</f>
        <v>203.7</v>
      </c>
      <c r="H128" s="31">
        <f>H93-('Pumped Hydro Worksheet'!K22-'Pumped Hydro Worksheet'!J22)</f>
        <v>523.3</v>
      </c>
      <c r="I128" s="443">
        <f>I93-('Pumped Hydro Worksheet'!L22-'Pumped Hydro Worksheet'!K22)-('Pumped Hydro Worksheet'!M22-'Pumped Hydro Worksheet'!L22)*0.5</f>
        <v>441.999999999999</v>
      </c>
      <c r="J128" s="443">
        <f>J93-('Pumped Hydro Worksheet'!M22-'Pumped Hydro Worksheet'!L22)*0.5</f>
        <v>378.9</v>
      </c>
      <c r="K128" s="31">
        <f>K93-('Pumped Hydro Worksheet'!N22-'Pumped Hydro Worksheet'!M22)</f>
        <v>425.6</v>
      </c>
      <c r="L128" s="31">
        <f>L93-('Pumped Hydro Worksheet'!O22-'Pumped Hydro Worksheet'!N22)</f>
        <v>472.5</v>
      </c>
      <c r="M128" s="31">
        <f>M93-('Pumped Hydro Worksheet'!P22-'Pumped Hydro Worksheet'!O22)</f>
        <v>331.900000000001</v>
      </c>
      <c r="N128" s="31">
        <f>N93-('Pumped Hydro Worksheet'!Q22-'Pumped Hydro Worksheet'!P22)</f>
        <v>477.4</v>
      </c>
      <c r="O128" s="31">
        <f>O93-('Pumped Hydro Worksheet'!R22-'Pumped Hydro Worksheet'!Q22)</f>
        <v>668.1</v>
      </c>
      <c r="P128" s="31">
        <f>P93-('Pumped Hydro Worksheet'!S22-'Pumped Hydro Worksheet'!R22)</f>
        <v>381</v>
      </c>
      <c r="Q128" s="31">
        <f>Q93-('Pumped Hydro Worksheet'!T22-'Pumped Hydro Worksheet'!S22)</f>
        <v>855.291</v>
      </c>
      <c r="S128" s="31">
        <f>S93-'Pumped Hydro Worksheet'!E22*0.1</f>
        <v>2972.8</v>
      </c>
      <c r="T128" s="31">
        <f>T93-'Pumped Hydro Worksheet'!F22*0.1</f>
        <v>4020.8</v>
      </c>
      <c r="U128" s="31">
        <f>U93-'Pumped Hydro Worksheet'!G22*0.1</f>
        <v>4423.4</v>
      </c>
      <c r="V128" s="31">
        <f>V93-'Pumped Hydro Worksheet'!H22*0.1</f>
        <v>4537.1</v>
      </c>
      <c r="W128" s="31">
        <f>W93-'Pumped Hydro Worksheet'!I22*0.1</f>
        <v>4665</v>
      </c>
      <c r="X128" s="31">
        <f>X93-'Pumped Hydro Worksheet'!J22*0.1</f>
        <v>4868.7</v>
      </c>
      <c r="Y128" s="31">
        <f>Y93-'Pumped Hydro Worksheet'!K22*0.1</f>
        <v>5392</v>
      </c>
      <c r="Z128" s="31">
        <f>Z93-'Pumped Hydro Worksheet'!L22*0.1</f>
        <v>6434</v>
      </c>
      <c r="AA128" s="31">
        <f>AA93-'Pumped Hydro Worksheet'!M22*0.1</f>
        <v>6775.5</v>
      </c>
      <c r="AB128" s="31">
        <f>AB93-'Pumped Hydro Worksheet'!N22*0.1</f>
        <v>7062.8</v>
      </c>
      <c r="AC128" s="31">
        <f>AC93-'Pumped Hydro Worksheet'!O22*0.1</f>
        <v>7535.3</v>
      </c>
      <c r="AD128" s="31">
        <f>AD93-'Pumped Hydro Worksheet'!P22*0.1</f>
        <v>7867.2</v>
      </c>
      <c r="AE128" s="31">
        <f>AE93-'Pumped Hydro Worksheet'!Q22*0.1</f>
        <v>8344.6</v>
      </c>
      <c r="AF128" s="31">
        <f>AF93-'Pumped Hydro Worksheet'!R22*0.1</f>
        <v>8796</v>
      </c>
      <c r="AG128" s="31">
        <f>AG93-'Pumped Hydro Worksheet'!S22*0.1</f>
        <v>9080</v>
      </c>
      <c r="AH128" s="31">
        <f>AH93-'Pumped Hydro Worksheet'!T22*0.1</f>
        <v>9870</v>
      </c>
    </row>
    <row r="129" spans="1:34">
      <c r="A129" s="27" t="s">
        <v>157</v>
      </c>
      <c r="B129" s="200" t="s">
        <v>120</v>
      </c>
      <c r="C129" s="31">
        <f>C94-('Pumped Hydro Worksheet'!F23-'Pumped Hydro Worksheet'!E23)</f>
        <v>546</v>
      </c>
      <c r="D129" s="31">
        <f>D94-('Pumped Hydro Worksheet'!G23-'Pumped Hydro Worksheet'!F23)</f>
        <v>546</v>
      </c>
      <c r="E129" s="31">
        <f>E94-('Pumped Hydro Worksheet'!H23-'Pumped Hydro Worksheet'!G23)</f>
        <v>371.7</v>
      </c>
      <c r="F129" s="31">
        <f>F94-('Pumped Hydro Worksheet'!I23-'Pumped Hydro Worksheet'!H23)</f>
        <v>356.7</v>
      </c>
      <c r="G129" s="31">
        <f>G94-('Pumped Hydro Worksheet'!J23-'Pumped Hydro Worksheet'!I23)</f>
        <v>544.1</v>
      </c>
      <c r="H129" s="31">
        <f>H94-('Pumped Hydro Worksheet'!K23-'Pumped Hydro Worksheet'!J23)</f>
        <v>532.9</v>
      </c>
      <c r="I129" s="31">
        <f>I94-('Pumped Hydro Worksheet'!L23-'Pumped Hydro Worksheet'!K23)</f>
        <v>571.500000000001</v>
      </c>
      <c r="J129" s="31">
        <f>J94-('Pumped Hydro Worksheet'!M23-'Pumped Hydro Worksheet'!L23)</f>
        <v>1179</v>
      </c>
      <c r="K129" s="31">
        <f>K94-('Pumped Hydro Worksheet'!N23-'Pumped Hydro Worksheet'!M23)</f>
        <v>1667.3</v>
      </c>
      <c r="L129" s="31">
        <f>L94-('Pumped Hydro Worksheet'!O23-'Pumped Hydro Worksheet'!N23)</f>
        <v>119.599999999999</v>
      </c>
      <c r="M129" s="31">
        <f>M94-('Pumped Hydro Worksheet'!P23-'Pumped Hydro Worksheet'!O23)</f>
        <v>161.900000000001</v>
      </c>
      <c r="N129" s="31">
        <f>N94-('Pumped Hydro Worksheet'!Q23-'Pumped Hydro Worksheet'!P23)</f>
        <v>0</v>
      </c>
      <c r="O129" s="31">
        <f>O94-('Pumped Hydro Worksheet'!R23-'Pumped Hydro Worksheet'!Q23)</f>
        <v>1044.6</v>
      </c>
      <c r="P129" s="31">
        <f>P94-('Pumped Hydro Worksheet'!S23-'Pumped Hydro Worksheet'!R23)</f>
        <v>1576</v>
      </c>
      <c r="Q129" s="31">
        <f>Q94-('Pumped Hydro Worksheet'!T23-'Pumped Hydro Worksheet'!S23)</f>
        <v>2830.152</v>
      </c>
      <c r="S129" s="31">
        <f>S94-'Pumped Hydro Worksheet'!E23*0.1</f>
        <v>2552.8</v>
      </c>
      <c r="T129" s="31">
        <f>T94-'Pumped Hydro Worksheet'!F23*0.1</f>
        <v>3098.8</v>
      </c>
      <c r="U129" s="31">
        <f>U94-'Pumped Hydro Worksheet'!G23*0.1</f>
        <v>3468.3</v>
      </c>
      <c r="V129" s="31">
        <f>V94-'Pumped Hydro Worksheet'!H23*0.1</f>
        <v>3829.2</v>
      </c>
      <c r="W129" s="31">
        <f>W94-'Pumped Hydro Worksheet'!I23*0.1</f>
        <v>4024.1</v>
      </c>
      <c r="X129" s="31">
        <f>X94-'Pumped Hydro Worksheet'!J23*0.1</f>
        <v>4568.2</v>
      </c>
      <c r="Y129" s="31">
        <f>Y94-'Pumped Hydro Worksheet'!K23*0.1</f>
        <v>4932.7</v>
      </c>
      <c r="Z129" s="31">
        <f>Z94-'Pumped Hydro Worksheet'!L23*0.1</f>
        <v>5504.2</v>
      </c>
      <c r="AA129" s="31">
        <f>AA94-'Pumped Hydro Worksheet'!M23*0.1</f>
        <v>6683.2</v>
      </c>
      <c r="AB129" s="31">
        <f>AB94-'Pumped Hydro Worksheet'!N23*0.1</f>
        <v>6763.7</v>
      </c>
      <c r="AC129" s="31">
        <f>AC94-'Pumped Hydro Worksheet'!O23*0.1</f>
        <v>6883.3</v>
      </c>
      <c r="AD129" s="31">
        <f>AD94-'Pumped Hydro Worksheet'!P23*0.1</f>
        <v>7045.2</v>
      </c>
      <c r="AE129" s="31">
        <f>AE94-'Pumped Hydro Worksheet'!Q23*0.1</f>
        <v>5040.4</v>
      </c>
      <c r="AF129" s="31">
        <f>AF94-'Pumped Hydro Worksheet'!R23*0.1</f>
        <v>6085</v>
      </c>
      <c r="AG129" s="31">
        <f>AG94-'Pumped Hydro Worksheet'!S23*0.1</f>
        <v>7624</v>
      </c>
      <c r="AH129" s="31">
        <f>AH94-'Pumped Hydro Worksheet'!T23*0.1</f>
        <v>10440</v>
      </c>
    </row>
    <row r="130" spans="1:34">
      <c r="A130" s="27" t="s">
        <v>157</v>
      </c>
      <c r="B130" s="200" t="s">
        <v>122</v>
      </c>
      <c r="C130" s="31">
        <f>C95-('Pumped Hydro Worksheet'!F24-'Pumped Hydro Worksheet'!E24)</f>
        <v>60</v>
      </c>
      <c r="D130" s="31">
        <f>D95-('Pumped Hydro Worksheet'!G24-'Pumped Hydro Worksheet'!F24)</f>
        <v>113.6</v>
      </c>
      <c r="E130" s="31">
        <f>E95-('Pumped Hydro Worksheet'!H24-'Pumped Hydro Worksheet'!G24)</f>
        <v>120</v>
      </c>
      <c r="F130" s="31">
        <f>F95-('Pumped Hydro Worksheet'!I24-'Pumped Hydro Worksheet'!H24)</f>
        <v>60</v>
      </c>
      <c r="G130" s="31">
        <f>G95-('Pumped Hydro Worksheet'!J24-'Pumped Hydro Worksheet'!I24)</f>
        <v>0</v>
      </c>
      <c r="H130" s="31">
        <f>H95-('Pumped Hydro Worksheet'!K24-'Pumped Hydro Worksheet'!J24)</f>
        <v>26</v>
      </c>
      <c r="I130" s="31">
        <f>I95-('Pumped Hydro Worksheet'!L24-'Pumped Hydro Worksheet'!K24)</f>
        <v>1.59999999999997</v>
      </c>
      <c r="J130" s="31">
        <f>J95-('Pumped Hydro Worksheet'!M24-'Pumped Hydro Worksheet'!L24)</f>
        <v>1.89999999999998</v>
      </c>
      <c r="K130" s="31">
        <f>K95-('Pumped Hydro Worksheet'!N24-'Pumped Hydro Worksheet'!M24)</f>
        <v>1.30000000000003</v>
      </c>
      <c r="L130" s="31">
        <f>L95-('Pumped Hydro Worksheet'!O24-'Pumped Hydro Worksheet'!N24)</f>
        <v>9.3</v>
      </c>
      <c r="M130" s="31">
        <f>M95-('Pumped Hydro Worksheet'!P24-'Pumped Hydro Worksheet'!O24)</f>
        <v>3.90000000000001</v>
      </c>
      <c r="N130" s="31">
        <f>N95-('Pumped Hydro Worksheet'!Q24-'Pumped Hydro Worksheet'!P24)</f>
        <v>10.8</v>
      </c>
      <c r="O130" s="31">
        <f>O95-('Pumped Hydro Worksheet'!R24-'Pumped Hydro Worksheet'!Q24)</f>
        <v>11.8</v>
      </c>
      <c r="P130" s="31">
        <f>P95-('Pumped Hydro Worksheet'!S24-'Pumped Hydro Worksheet'!R24)</f>
        <v>15</v>
      </c>
      <c r="Q130" s="31">
        <f>Q95-('Pumped Hydro Worksheet'!T24-'Pumped Hydro Worksheet'!S24)</f>
        <v>20</v>
      </c>
      <c r="S130" s="31">
        <f>S95-'Pumped Hydro Worksheet'!E24*0.1</f>
        <v>299.9</v>
      </c>
      <c r="T130" s="31">
        <f>T95-'Pumped Hydro Worksheet'!F24*0.1</f>
        <v>359.9</v>
      </c>
      <c r="U130" s="31">
        <f>U95-'Pumped Hydro Worksheet'!G24*0.1</f>
        <v>473.5</v>
      </c>
      <c r="V130" s="31">
        <f>V95-'Pumped Hydro Worksheet'!H24*0.1</f>
        <v>507.3</v>
      </c>
      <c r="W130" s="31">
        <f>W95-'Pumped Hydro Worksheet'!I24*0.1</f>
        <v>509.3</v>
      </c>
      <c r="X130" s="31">
        <f>X95-'Pumped Hydro Worksheet'!J24*0.1</f>
        <v>507.4</v>
      </c>
      <c r="Y130" s="31">
        <f>Y95-'Pumped Hydro Worksheet'!K24*0.1</f>
        <v>533.4</v>
      </c>
      <c r="Z130" s="31">
        <f>Z95-'Pumped Hydro Worksheet'!L24*0.1</f>
        <v>535</v>
      </c>
      <c r="AA130" s="31">
        <f>AA95-'Pumped Hydro Worksheet'!M24*0.1</f>
        <v>536.9</v>
      </c>
      <c r="AB130" s="31">
        <f>AB95-'Pumped Hydro Worksheet'!N24*0.1</f>
        <v>538.2</v>
      </c>
      <c r="AC130" s="31">
        <f>AC95-'Pumped Hydro Worksheet'!O24*0.1</f>
        <v>547.5</v>
      </c>
      <c r="AD130" s="31">
        <f>AD95-'Pumped Hydro Worksheet'!P24*0.1</f>
        <v>551.4</v>
      </c>
      <c r="AE130" s="31">
        <f>AE95-'Pumped Hydro Worksheet'!Q24*0.1</f>
        <v>562.2</v>
      </c>
      <c r="AF130" s="31">
        <f>AF95-'Pumped Hydro Worksheet'!R24*0.1</f>
        <v>574</v>
      </c>
      <c r="AG130" s="31">
        <f>AG95-'Pumped Hydro Worksheet'!S24*0.1</f>
        <v>589</v>
      </c>
      <c r="AH130" s="31">
        <f>AH95-'Pumped Hydro Worksheet'!T24*0.1</f>
        <v>590</v>
      </c>
    </row>
    <row r="131" spans="1:34">
      <c r="A131" s="27" t="s">
        <v>157</v>
      </c>
      <c r="B131" s="200" t="s">
        <v>124</v>
      </c>
      <c r="C131" s="31">
        <f>C96-('Pumped Hydro Worksheet'!F25-'Pumped Hydro Worksheet'!E25)</f>
        <v>0</v>
      </c>
      <c r="D131" s="31">
        <f>D96-('Pumped Hydro Worksheet'!G25-'Pumped Hydro Worksheet'!F25)</f>
        <v>0</v>
      </c>
      <c r="E131" s="31">
        <f>E96-('Pumped Hydro Worksheet'!H25-'Pumped Hydro Worksheet'!G25)</f>
        <v>0</v>
      </c>
      <c r="F131" s="31">
        <f>F96-('Pumped Hydro Worksheet'!I25-'Pumped Hydro Worksheet'!H25)</f>
        <v>0</v>
      </c>
      <c r="G131" s="31">
        <f>G96-('Pumped Hydro Worksheet'!J25-'Pumped Hydro Worksheet'!I25)</f>
        <v>835.6</v>
      </c>
      <c r="H131" s="31">
        <f>H96-('Pumped Hydro Worksheet'!K25-'Pumped Hydro Worksheet'!J25)</f>
        <v>600</v>
      </c>
      <c r="I131" s="31">
        <f>I96-('Pumped Hydro Worksheet'!L25-'Pumped Hydro Worksheet'!K25)</f>
        <v>233.9</v>
      </c>
      <c r="J131" s="31">
        <f>J96-('Pumped Hydro Worksheet'!M25-'Pumped Hydro Worksheet'!L25)</f>
        <v>256.7</v>
      </c>
      <c r="K131" s="31">
        <f>K96-('Pumped Hydro Worksheet'!N25-'Pumped Hydro Worksheet'!M25)</f>
        <v>0</v>
      </c>
      <c r="L131" s="31">
        <f>L96-('Pumped Hydro Worksheet'!O25-'Pumped Hydro Worksheet'!N25)</f>
        <v>0</v>
      </c>
      <c r="M131" s="31">
        <f>M96-('Pumped Hydro Worksheet'!P25-'Pumped Hydro Worksheet'!O25)</f>
        <v>134.3</v>
      </c>
      <c r="N131" s="31">
        <f>N96-('Pumped Hydro Worksheet'!Q25-'Pumped Hydro Worksheet'!P25)</f>
        <v>78.1</v>
      </c>
      <c r="O131" s="31">
        <f>O96-('Pumped Hydro Worksheet'!R25-'Pumped Hydro Worksheet'!Q25)</f>
        <v>504.1</v>
      </c>
      <c r="P131" s="31">
        <f>P96-('Pumped Hydro Worksheet'!S25-'Pumped Hydro Worksheet'!R25)</f>
        <v>88.0000000000002</v>
      </c>
      <c r="Q131" s="31">
        <f>Q96-('Pumped Hydro Worksheet'!T25-'Pumped Hydro Worksheet'!S25)</f>
        <v>305.5</v>
      </c>
      <c r="S131" s="31">
        <f>S96-'Pumped Hydro Worksheet'!E25*0.1</f>
        <v>0</v>
      </c>
      <c r="T131" s="31">
        <f>T96-'Pumped Hydro Worksheet'!F25*0.1</f>
        <v>0</v>
      </c>
      <c r="U131" s="31">
        <f>U96-'Pumped Hydro Worksheet'!G25*0.1</f>
        <v>0</v>
      </c>
      <c r="V131" s="31">
        <f>V96-'Pumped Hydro Worksheet'!H25*0.1</f>
        <v>0</v>
      </c>
      <c r="W131" s="31">
        <f>W96-'Pumped Hydro Worksheet'!I25*0.1</f>
        <v>0</v>
      </c>
      <c r="X131" s="31">
        <f>X96-'Pumped Hydro Worksheet'!J25*0.1</f>
        <v>835.6</v>
      </c>
      <c r="Y131" s="31">
        <f>Y96-'Pumped Hydro Worksheet'!K25*0.1</f>
        <v>836.4</v>
      </c>
      <c r="Z131" s="31">
        <f>Z96-'Pumped Hydro Worksheet'!L25*0.1</f>
        <v>1070.3</v>
      </c>
      <c r="AA131" s="31">
        <f>AA96-'Pumped Hydro Worksheet'!M25*0.1</f>
        <v>1327</v>
      </c>
      <c r="AB131" s="31">
        <f>AB96-'Pumped Hydro Worksheet'!N25*0.1</f>
        <v>1268</v>
      </c>
      <c r="AC131" s="31">
        <f>AC96-'Pumped Hydro Worksheet'!O25*0.1</f>
        <v>1195.5</v>
      </c>
      <c r="AD131" s="31">
        <f>AD96-'Pumped Hydro Worksheet'!P25*0.1</f>
        <v>1329.8</v>
      </c>
      <c r="AE131" s="31">
        <f>AE96-'Pumped Hydro Worksheet'!Q25*0.1</f>
        <v>1407.9</v>
      </c>
      <c r="AF131" s="31">
        <f>AF96-'Pumped Hydro Worksheet'!R25*0.1</f>
        <v>1912</v>
      </c>
      <c r="AG131" s="31">
        <f>AG96-'Pumped Hydro Worksheet'!S25*0.1</f>
        <v>1979</v>
      </c>
      <c r="AH131" s="31">
        <f>AH96-'Pumped Hydro Worksheet'!T25*0.1</f>
        <v>2240</v>
      </c>
    </row>
    <row r="132" spans="1:34">
      <c r="A132" s="27" t="s">
        <v>157</v>
      </c>
      <c r="B132" s="200" t="s">
        <v>126</v>
      </c>
      <c r="C132" s="31">
        <f>C97-('Pumped Hydro Worksheet'!F26-'Pumped Hydro Worksheet'!E26)</f>
        <v>419.7</v>
      </c>
      <c r="D132" s="31">
        <f>D97-('Pumped Hydro Worksheet'!G26-'Pumped Hydro Worksheet'!F26)</f>
        <v>495.4</v>
      </c>
      <c r="E132" s="31">
        <f>E97-('Pumped Hydro Worksheet'!H26-'Pumped Hydro Worksheet'!G26)</f>
        <v>536.1</v>
      </c>
      <c r="F132" s="31">
        <f>F97-('Pumped Hydro Worksheet'!I26-'Pumped Hydro Worksheet'!H26)</f>
        <v>833.8</v>
      </c>
      <c r="G132" s="31">
        <f>G97-('Pumped Hydro Worksheet'!J26-'Pumped Hydro Worksheet'!I26)</f>
        <v>654.9</v>
      </c>
      <c r="H132" s="31">
        <f>H97-('Pumped Hydro Worksheet'!K26-'Pumped Hydro Worksheet'!J26)</f>
        <v>1623.5</v>
      </c>
      <c r="I132" s="31">
        <f>I97-('Pumped Hydro Worksheet'!L26-'Pumped Hydro Worksheet'!K26)</f>
        <v>2711</v>
      </c>
      <c r="J132" s="31">
        <f>J97-('Pumped Hydro Worksheet'!M26-'Pumped Hydro Worksheet'!L26)</f>
        <v>2335.6</v>
      </c>
      <c r="K132" s="31">
        <f>K97-('Pumped Hydro Worksheet'!N26-'Pumped Hydro Worksheet'!M26)</f>
        <v>523.200000000002</v>
      </c>
      <c r="L132" s="31">
        <f>L97-('Pumped Hydro Worksheet'!O26-'Pumped Hydro Worksheet'!N26)</f>
        <v>323.099999999999</v>
      </c>
      <c r="M132" s="31">
        <f>M97-('Pumped Hydro Worksheet'!P26-'Pumped Hydro Worksheet'!O26)</f>
        <v>486.900000000001</v>
      </c>
      <c r="N132" s="31">
        <f>N97-('Pumped Hydro Worksheet'!Q26-'Pumped Hydro Worksheet'!P26)</f>
        <v>1041.4</v>
      </c>
      <c r="O132" s="31">
        <f>O97-('Pumped Hydro Worksheet'!R26-'Pumped Hydro Worksheet'!Q26)</f>
        <v>1577.1</v>
      </c>
      <c r="P132" s="31">
        <f>P97-('Pumped Hydro Worksheet'!S26-'Pumped Hydro Worksheet'!R26)</f>
        <v>2855</v>
      </c>
      <c r="Q132" s="31">
        <f>Q97-('Pumped Hydro Worksheet'!T26-'Pumped Hydro Worksheet'!S26)</f>
        <v>4383.699</v>
      </c>
      <c r="S132" s="31">
        <f>S97-'Pumped Hydro Worksheet'!E26*0.1</f>
        <v>4089.2</v>
      </c>
      <c r="T132" s="31">
        <f>T97-'Pumped Hydro Worksheet'!F26*0.1</f>
        <v>4553.9</v>
      </c>
      <c r="U132" s="31">
        <f>U97-'Pumped Hydro Worksheet'!G26*0.1</f>
        <v>5049.3</v>
      </c>
      <c r="V132" s="31">
        <f>V97-'Pumped Hydro Worksheet'!H26*0.1</f>
        <v>5585.4</v>
      </c>
      <c r="W132" s="31">
        <f>W97-'Pumped Hydro Worksheet'!I26*0.1</f>
        <v>6419.2</v>
      </c>
      <c r="X132" s="31">
        <f>X97-'Pumped Hydro Worksheet'!J26*0.1</f>
        <v>6077.4</v>
      </c>
      <c r="Y132" s="31">
        <f>Y97-'Pumped Hydro Worksheet'!K26*0.1</f>
        <v>7700.9</v>
      </c>
      <c r="Z132" s="31">
        <f>Z97-'Pumped Hydro Worksheet'!L26*0.1</f>
        <v>10411.9</v>
      </c>
      <c r="AA132" s="31">
        <f>AA97-'Pumped Hydro Worksheet'!M26*0.1</f>
        <v>11003.3</v>
      </c>
      <c r="AB132" s="31">
        <f>AB97-'Pumped Hydro Worksheet'!N26*0.1</f>
        <v>11526.5</v>
      </c>
      <c r="AC132" s="31">
        <f>AC97-'Pumped Hydro Worksheet'!O26*0.1</f>
        <v>11849.6</v>
      </c>
      <c r="AD132" s="31">
        <f>AD97-'Pumped Hydro Worksheet'!P26*0.1</f>
        <v>12336.5</v>
      </c>
      <c r="AE132" s="31">
        <f>AE97-'Pumped Hydro Worksheet'!Q26*0.1</f>
        <v>13377.9</v>
      </c>
      <c r="AF132" s="31">
        <f>AF97-'Pumped Hydro Worksheet'!R26*0.1</f>
        <v>14955</v>
      </c>
      <c r="AG132" s="31">
        <f>AG97-'Pumped Hydro Worksheet'!S26*0.1</f>
        <v>17725</v>
      </c>
      <c r="AH132" s="31">
        <f>AH97-'Pumped Hydro Worksheet'!T26*0.1</f>
        <v>19855</v>
      </c>
    </row>
    <row r="133" spans="1:34">
      <c r="A133" s="27" t="s">
        <v>157</v>
      </c>
      <c r="B133" s="200" t="s">
        <v>128</v>
      </c>
      <c r="C133" s="31">
        <f>C98-('Pumped Hydro Worksheet'!F27-'Pumped Hydro Worksheet'!E27)</f>
        <v>0</v>
      </c>
      <c r="D133" s="31">
        <f>D98-('Pumped Hydro Worksheet'!G27-'Pumped Hydro Worksheet'!F27)</f>
        <v>445.8</v>
      </c>
      <c r="E133" s="31">
        <f>E98-('Pumped Hydro Worksheet'!H27-'Pumped Hydro Worksheet'!G27)</f>
        <v>390</v>
      </c>
      <c r="F133" s="31">
        <f>F98-('Pumped Hydro Worksheet'!I27-'Pumped Hydro Worksheet'!H27)</f>
        <v>195</v>
      </c>
      <c r="G133" s="31">
        <f>G98-('Pumped Hydro Worksheet'!J27-'Pumped Hydro Worksheet'!I27)</f>
        <v>0</v>
      </c>
      <c r="H133" s="31">
        <f>H98-('Pumped Hydro Worksheet'!K27-'Pumped Hydro Worksheet'!J27)</f>
        <v>55.3</v>
      </c>
      <c r="I133" s="31">
        <f>I98-('Pumped Hydro Worksheet'!L27-'Pumped Hydro Worksheet'!K27)</f>
        <v>75</v>
      </c>
      <c r="J133" s="31">
        <f>J98-('Pumped Hydro Worksheet'!M27-'Pumped Hydro Worksheet'!L27)</f>
        <v>48.0000000000001</v>
      </c>
      <c r="K133" s="31">
        <f>K98-('Pumped Hydro Worksheet'!N27-'Pumped Hydro Worksheet'!M27)</f>
        <v>51.5000000000001</v>
      </c>
      <c r="L133" s="31">
        <f>L98-('Pumped Hydro Worksheet'!O27-'Pumped Hydro Worksheet'!N27)</f>
        <v>16.5000000000001</v>
      </c>
      <c r="M133" s="31">
        <f>M98-('Pumped Hydro Worksheet'!P27-'Pumped Hydro Worksheet'!O27)</f>
        <v>1287.6</v>
      </c>
      <c r="N133" s="31">
        <f>N98-('Pumped Hydro Worksheet'!Q27-'Pumped Hydro Worksheet'!P27)</f>
        <v>3182.8</v>
      </c>
      <c r="O133" s="31">
        <f>O98-('Pumped Hydro Worksheet'!R27-'Pumped Hydro Worksheet'!Q27)</f>
        <v>754.8</v>
      </c>
      <c r="P133" s="31">
        <f>P98-('Pumped Hydro Worksheet'!S27-'Pumped Hydro Worksheet'!R27)</f>
        <v>1240</v>
      </c>
      <c r="Q133" s="31">
        <f>Q98-('Pumped Hydro Worksheet'!T27-'Pumped Hydro Worksheet'!S27)</f>
        <v>676</v>
      </c>
      <c r="S133" s="31">
        <f>S98-'Pumped Hydro Worksheet'!E27*0.1</f>
        <v>1394.1</v>
      </c>
      <c r="T133" s="31">
        <f>T98-'Pumped Hydro Worksheet'!F27*0.1</f>
        <v>1394.1</v>
      </c>
      <c r="U133" s="31">
        <f>U98-'Pumped Hydro Worksheet'!G27*0.1</f>
        <v>1839.9</v>
      </c>
      <c r="V133" s="31">
        <f>V98-'Pumped Hydro Worksheet'!H27*0.1</f>
        <v>2058.7</v>
      </c>
      <c r="W133" s="31">
        <f>W98-'Pumped Hydro Worksheet'!I27*0.1</f>
        <v>2209</v>
      </c>
      <c r="X133" s="31">
        <f>X98-'Pumped Hydro Worksheet'!J27*0.1</f>
        <v>2179.8</v>
      </c>
      <c r="Y133" s="31">
        <f>Y98-'Pumped Hydro Worksheet'!K27*0.1</f>
        <v>2235.1</v>
      </c>
      <c r="Z133" s="31">
        <f>Z98-'Pumped Hydro Worksheet'!L27*0.1</f>
        <v>2310.1</v>
      </c>
      <c r="AA133" s="31">
        <f>AA98-'Pumped Hydro Worksheet'!M27*0.1</f>
        <v>2358.1</v>
      </c>
      <c r="AB133" s="31">
        <f>AB98-'Pumped Hydro Worksheet'!N27*0.1</f>
        <v>2409.6</v>
      </c>
      <c r="AC133" s="31">
        <f>AC98-'Pumped Hydro Worksheet'!O27*0.1</f>
        <v>2426.1</v>
      </c>
      <c r="AD133" s="31">
        <f>AD98-'Pumped Hydro Worksheet'!P27*0.1</f>
        <v>3713.7</v>
      </c>
      <c r="AE133" s="31">
        <f>AE98-'Pumped Hydro Worksheet'!Q27*0.1</f>
        <v>6896.5</v>
      </c>
      <c r="AF133" s="31">
        <f>AF98-'Pumped Hydro Worksheet'!R27*0.1</f>
        <v>7233</v>
      </c>
      <c r="AG133" s="31">
        <f>AG98-'Pumped Hydro Worksheet'!S27*0.1</f>
        <v>7534</v>
      </c>
      <c r="AH133" s="31">
        <f>AH98-'Pumped Hydro Worksheet'!T27*0.1</f>
        <v>8210</v>
      </c>
    </row>
    <row r="134" spans="1:34">
      <c r="A134" s="27" t="s">
        <v>157</v>
      </c>
      <c r="B134" s="200" t="s">
        <v>130</v>
      </c>
      <c r="C134" s="31">
        <f>C99-('Pumped Hydro Worksheet'!F28-'Pumped Hydro Worksheet'!E28)</f>
        <v>570</v>
      </c>
      <c r="D134" s="31">
        <f>D99-('Pumped Hydro Worksheet'!G28-'Pumped Hydro Worksheet'!F28)</f>
        <v>570</v>
      </c>
      <c r="E134" s="31">
        <f>E99-('Pumped Hydro Worksheet'!H28-'Pumped Hydro Worksheet'!G28)</f>
        <v>500</v>
      </c>
      <c r="F134" s="31">
        <f>F99-('Pumped Hydro Worksheet'!I28-'Pumped Hydro Worksheet'!H28)</f>
        <v>355</v>
      </c>
      <c r="G134" s="31">
        <f>G99-('Pumped Hydro Worksheet'!J28-'Pumped Hydro Worksheet'!I28)</f>
        <v>101.2</v>
      </c>
      <c r="H134" s="31">
        <f>H99-('Pumped Hydro Worksheet'!K28-'Pumped Hydro Worksheet'!J28)</f>
        <v>204.3</v>
      </c>
      <c r="I134" s="31">
        <f>I99-('Pumped Hydro Worksheet'!L28-'Pumped Hydro Worksheet'!K28)</f>
        <v>397.8</v>
      </c>
      <c r="J134" s="31">
        <f>J99-('Pumped Hydro Worksheet'!M28-'Pumped Hydro Worksheet'!L28)</f>
        <v>270.3</v>
      </c>
      <c r="K134" s="31">
        <f>K99-('Pumped Hydro Worksheet'!N28-'Pumped Hydro Worksheet'!M28)</f>
        <v>48.3999999999997</v>
      </c>
      <c r="L134" s="31">
        <f>L99-('Pumped Hydro Worksheet'!O28-'Pumped Hydro Worksheet'!N28)</f>
        <v>840.7</v>
      </c>
      <c r="M134" s="31">
        <f>M99-('Pumped Hydro Worksheet'!P28-'Pumped Hydro Worksheet'!O28)</f>
        <v>706.900000000001</v>
      </c>
      <c r="N134" s="31">
        <f>N99-('Pumped Hydro Worksheet'!Q28-'Pumped Hydro Worksheet'!P28)</f>
        <v>515.4</v>
      </c>
      <c r="O134" s="31">
        <f>O99-('Pumped Hydro Worksheet'!R28-'Pumped Hydro Worksheet'!Q28)</f>
        <v>940.4</v>
      </c>
      <c r="P134" s="31">
        <f>P99-('Pumped Hydro Worksheet'!S28-'Pumped Hydro Worksheet'!R28)</f>
        <v>1704</v>
      </c>
      <c r="Q134" s="31">
        <f>Q99-('Pumped Hydro Worksheet'!T28-'Pumped Hydro Worksheet'!S28)</f>
        <v>1893.695</v>
      </c>
      <c r="S134" s="31">
        <f>S99-'Pumped Hydro Worksheet'!E28*0.1</f>
        <v>2531.5</v>
      </c>
      <c r="T134" s="31">
        <f>T99-'Pumped Hydro Worksheet'!F28*0.1</f>
        <v>3101.5</v>
      </c>
      <c r="U134" s="31">
        <f>U99-'Pumped Hydro Worksheet'!G28*0.1</f>
        <v>3615.1</v>
      </c>
      <c r="V134" s="31">
        <f>V99-'Pumped Hydro Worksheet'!H28*0.1</f>
        <v>3960.8</v>
      </c>
      <c r="W134" s="31">
        <f>W99-'Pumped Hydro Worksheet'!I28*0.1</f>
        <v>3973.6</v>
      </c>
      <c r="X134" s="31">
        <f>X99-'Pumped Hydro Worksheet'!J28*0.1</f>
        <v>4074.8</v>
      </c>
      <c r="Y134" s="31">
        <f>Y99-'Pumped Hydro Worksheet'!K28*0.1</f>
        <v>4279.1</v>
      </c>
      <c r="Z134" s="31">
        <f>Z99-'Pumped Hydro Worksheet'!L28*0.1</f>
        <v>4676.9</v>
      </c>
      <c r="AA134" s="31">
        <f>AA99-'Pumped Hydro Worksheet'!M28*0.1</f>
        <v>4947.2</v>
      </c>
      <c r="AB134" s="31">
        <f>AB99-'Pumped Hydro Worksheet'!N28*0.1</f>
        <v>4995.6</v>
      </c>
      <c r="AC134" s="31">
        <f>AC99-'Pumped Hydro Worksheet'!O28*0.1</f>
        <v>5836.3</v>
      </c>
      <c r="AD134" s="31">
        <f>AD99-'Pumped Hydro Worksheet'!P28*0.1</f>
        <v>6543.2</v>
      </c>
      <c r="AE134" s="31">
        <f>AE99-'Pumped Hydro Worksheet'!Q28*0.1</f>
        <v>7058.6</v>
      </c>
      <c r="AF134" s="31">
        <f>AF99-'Pumped Hydro Worksheet'!R28*0.1</f>
        <v>7999</v>
      </c>
      <c r="AG134" s="31">
        <f>AG99-'Pumped Hydro Worksheet'!S28*0.1</f>
        <v>9698</v>
      </c>
      <c r="AH134" s="31">
        <f>AH99-'Pumped Hydro Worksheet'!T28*0.1</f>
        <v>11580</v>
      </c>
    </row>
    <row r="135" spans="1:34">
      <c r="A135" s="27" t="s">
        <v>157</v>
      </c>
      <c r="B135" s="200" t="s">
        <v>132</v>
      </c>
      <c r="C135" s="31">
        <f>C100-('Pumped Hydro Worksheet'!F29-'Pumped Hydro Worksheet'!E29)</f>
        <v>0</v>
      </c>
      <c r="D135" s="31">
        <f>D100-('Pumped Hydro Worksheet'!G29-'Pumped Hydro Worksheet'!F29)</f>
        <v>8.59999999999999</v>
      </c>
      <c r="E135" s="31">
        <f>E100-('Pumped Hydro Worksheet'!H29-'Pumped Hydro Worksheet'!G29)</f>
        <v>0</v>
      </c>
      <c r="F135" s="31">
        <f>F100-('Pumped Hydro Worksheet'!I29-'Pumped Hydro Worksheet'!H29)</f>
        <v>5.4</v>
      </c>
      <c r="G135" s="31">
        <f>G100-('Pumped Hydro Worksheet'!J29-'Pumped Hydro Worksheet'!I29)</f>
        <v>18.2</v>
      </c>
      <c r="H135" s="31">
        <f>H100-('Pumped Hydro Worksheet'!K29-'Pumped Hydro Worksheet'!J29)</f>
        <v>90</v>
      </c>
      <c r="I135" s="31">
        <f>I100-('Pumped Hydro Worksheet'!L29-'Pumped Hydro Worksheet'!K29)</f>
        <v>30</v>
      </c>
      <c r="J135" s="31">
        <f>J100-('Pumped Hydro Worksheet'!M29-'Pumped Hydro Worksheet'!L29)</f>
        <v>22.3</v>
      </c>
      <c r="K135" s="31">
        <f>K100-('Pumped Hydro Worksheet'!N29-'Pumped Hydro Worksheet'!M29)</f>
        <v>1.20000000000001</v>
      </c>
      <c r="L135" s="31">
        <f>L100-('Pumped Hydro Worksheet'!O29-'Pumped Hydro Worksheet'!N29)</f>
        <v>2.5</v>
      </c>
      <c r="M135" s="31">
        <f>M100-('Pumped Hydro Worksheet'!P29-'Pumped Hydro Worksheet'!O29)</f>
        <v>12.9</v>
      </c>
      <c r="N135" s="31">
        <f>N100-('Pumped Hydro Worksheet'!Q29-'Pumped Hydro Worksheet'!P29)</f>
        <v>92.1</v>
      </c>
      <c r="O135" s="31">
        <f>O100-('Pumped Hydro Worksheet'!R29-'Pumped Hydro Worksheet'!Q29)</f>
        <v>230</v>
      </c>
      <c r="P135" s="31">
        <f>P100-('Pumped Hydro Worksheet'!S29-'Pumped Hydro Worksheet'!R29)</f>
        <v>60</v>
      </c>
      <c r="Q135" s="31">
        <f>Q100-('Pumped Hydro Worksheet'!T29-'Pumped Hydro Worksheet'!S29)</f>
        <v>60</v>
      </c>
      <c r="S135" s="31">
        <f>S100-'Pumped Hydro Worksheet'!E29*0.1</f>
        <v>120.9</v>
      </c>
      <c r="T135" s="31">
        <f>T100-'Pumped Hydro Worksheet'!F29*0.1</f>
        <v>120.9</v>
      </c>
      <c r="U135" s="31">
        <f>U100-'Pumped Hydro Worksheet'!G29*0.1</f>
        <v>129.5</v>
      </c>
      <c r="V135" s="31">
        <f>V100-'Pumped Hydro Worksheet'!H29*0.1</f>
        <v>129.5</v>
      </c>
      <c r="W135" s="31">
        <f>W100-'Pumped Hydro Worksheet'!I29*0.1</f>
        <v>129.4</v>
      </c>
      <c r="X135" s="31">
        <f>X100-'Pumped Hydro Worksheet'!J29*0.1</f>
        <v>228.6</v>
      </c>
      <c r="Y135" s="31">
        <f>Y100-'Pumped Hydro Worksheet'!K29*0.1</f>
        <v>233.5</v>
      </c>
      <c r="Z135" s="31">
        <f>Z100-'Pumped Hydro Worksheet'!L29*0.1</f>
        <v>263.5</v>
      </c>
      <c r="AA135" s="31">
        <f>AA100-'Pumped Hydro Worksheet'!M29*0.1</f>
        <v>285.8</v>
      </c>
      <c r="AB135" s="31">
        <f>AB100-'Pumped Hydro Worksheet'!N29*0.1</f>
        <v>287</v>
      </c>
      <c r="AC135" s="31">
        <f>AC100-'Pumped Hydro Worksheet'!O29*0.1</f>
        <v>289.5</v>
      </c>
      <c r="AD135" s="31">
        <f>AD100-'Pumped Hydro Worksheet'!P29*0.1</f>
        <v>302.4</v>
      </c>
      <c r="AE135" s="31">
        <f>AE100-'Pumped Hydro Worksheet'!Q29*0.1</f>
        <v>394.5</v>
      </c>
      <c r="AF135" s="31">
        <f>AF100-'Pumped Hydro Worksheet'!R29*0.1</f>
        <v>410</v>
      </c>
      <c r="AG135" s="31">
        <f>AG100-'Pumped Hydro Worksheet'!S29*0.1</f>
        <v>334</v>
      </c>
      <c r="AH135" s="31">
        <f>AH100-'Pumped Hydro Worksheet'!T29*0.1</f>
        <v>381</v>
      </c>
    </row>
    <row r="136" spans="1:34">
      <c r="A136" s="27" t="s">
        <v>157</v>
      </c>
      <c r="B136" s="200" t="s">
        <v>134</v>
      </c>
      <c r="C136" s="31">
        <f>C101-('Pumped Hydro Worksheet'!F30-'Pumped Hydro Worksheet'!E30)</f>
        <v>0</v>
      </c>
      <c r="D136" s="31">
        <f>D101-('Pumped Hydro Worksheet'!G30-'Pumped Hydro Worksheet'!F30)</f>
        <v>0</v>
      </c>
      <c r="E136" s="31">
        <f>E101-('Pumped Hydro Worksheet'!H30-'Pumped Hydro Worksheet'!G30)</f>
        <v>13.9</v>
      </c>
      <c r="F136" s="31">
        <f>F101-('Pumped Hydro Worksheet'!I30-'Pumped Hydro Worksheet'!H30)</f>
        <v>51.7</v>
      </c>
      <c r="G136" s="31">
        <f>G101-('Pumped Hydro Worksheet'!J30-'Pumped Hydro Worksheet'!I30)</f>
        <v>99.5</v>
      </c>
      <c r="H136" s="31">
        <f>H101-('Pumped Hydro Worksheet'!K30-'Pumped Hydro Worksheet'!J30)</f>
        <v>15.5</v>
      </c>
      <c r="I136" s="31">
        <f>I101-('Pumped Hydro Worksheet'!L30-'Pumped Hydro Worksheet'!K30)</f>
        <v>42.8999999999999</v>
      </c>
      <c r="J136" s="31">
        <f>J101-('Pumped Hydro Worksheet'!M30-'Pumped Hydro Worksheet'!L30)</f>
        <v>159.2</v>
      </c>
      <c r="K136" s="31">
        <f>K101-('Pumped Hydro Worksheet'!N30-'Pumped Hydro Worksheet'!M30)</f>
        <v>90</v>
      </c>
      <c r="L136" s="31">
        <f>L101-('Pumped Hydro Worksheet'!O30-'Pumped Hydro Worksheet'!N30)</f>
        <v>11.6</v>
      </c>
      <c r="M136" s="31">
        <f>M101-('Pumped Hydro Worksheet'!P30-'Pumped Hydro Worksheet'!O30)</f>
        <v>0</v>
      </c>
      <c r="N136" s="31">
        <f>N101-('Pumped Hydro Worksheet'!Q30-'Pumped Hydro Worksheet'!P30)</f>
        <v>414.2</v>
      </c>
      <c r="O136" s="31">
        <f>O101-('Pumped Hydro Worksheet'!R30-'Pumped Hydro Worksheet'!Q30)</f>
        <v>124.5</v>
      </c>
      <c r="P136" s="31">
        <f>P101-('Pumped Hydro Worksheet'!S30-'Pumped Hydro Worksheet'!R30)</f>
        <v>187</v>
      </c>
      <c r="Q136" s="31">
        <f>Q101-('Pumped Hydro Worksheet'!T30-'Pumped Hydro Worksheet'!S30)</f>
        <v>0</v>
      </c>
      <c r="S136" s="31">
        <f>S101-'Pumped Hydro Worksheet'!E30*0.1</f>
        <v>1198</v>
      </c>
      <c r="T136" s="31">
        <f>T101-'Pumped Hydro Worksheet'!F30*0.1</f>
        <v>1198</v>
      </c>
      <c r="U136" s="31">
        <f>U101-'Pumped Hydro Worksheet'!G30*0.1</f>
        <v>1168</v>
      </c>
      <c r="V136" s="31">
        <f>V101-'Pumped Hydro Worksheet'!H30*0.1</f>
        <v>1181.9</v>
      </c>
      <c r="W136" s="31">
        <f>W101-'Pumped Hydro Worksheet'!I30*0.1</f>
        <v>1233.6</v>
      </c>
      <c r="X136" s="31">
        <f>X101-'Pumped Hydro Worksheet'!J30*0.1</f>
        <v>1233.6</v>
      </c>
      <c r="Y136" s="31">
        <f>Y101-'Pumped Hydro Worksheet'!K30*0.1</f>
        <v>1249.1</v>
      </c>
      <c r="Z136" s="31">
        <f>Z101-'Pumped Hydro Worksheet'!L30*0.1</f>
        <v>1292</v>
      </c>
      <c r="AA136" s="31">
        <f>AA101-'Pumped Hydro Worksheet'!M30*0.1</f>
        <v>1451.2</v>
      </c>
      <c r="AB136" s="31">
        <f>AB101-'Pumped Hydro Worksheet'!N30*0.1</f>
        <v>1450.7</v>
      </c>
      <c r="AC136" s="31">
        <f>AC101-'Pumped Hydro Worksheet'!O30*0.1</f>
        <v>1462.3</v>
      </c>
      <c r="AD136" s="31">
        <f>AD101-'Pumped Hydro Worksheet'!P30*0.1</f>
        <v>1462.3</v>
      </c>
      <c r="AE136" s="31">
        <f>AE101-'Pumped Hydro Worksheet'!Q30*0.1</f>
        <v>1876.5</v>
      </c>
      <c r="AF136" s="31">
        <f>AF101-'Pumped Hydro Worksheet'!R30*0.1</f>
        <v>1978</v>
      </c>
      <c r="AG136" s="31">
        <f>AG101-'Pumped Hydro Worksheet'!S30*0.1</f>
        <v>2165</v>
      </c>
      <c r="AH136" s="31">
        <f>AH101-'Pumped Hydro Worksheet'!T30*0.1</f>
        <v>1790</v>
      </c>
    </row>
    <row r="137" spans="1:34">
      <c r="A137" s="27" t="s">
        <v>157</v>
      </c>
      <c r="B137" s="200" t="s">
        <v>136</v>
      </c>
      <c r="C137" s="31">
        <f>C102-('Pumped Hydro Worksheet'!F31-'Pumped Hydro Worksheet'!E31)</f>
        <v>0</v>
      </c>
      <c r="D137" s="31">
        <f>D102-('Pumped Hydro Worksheet'!G31-'Pumped Hydro Worksheet'!F31)</f>
        <v>0</v>
      </c>
      <c r="E137" s="31">
        <f>E102-('Pumped Hydro Worksheet'!H31-'Pumped Hydro Worksheet'!G31)</f>
        <v>16.3</v>
      </c>
      <c r="F137" s="31">
        <f>F102-('Pumped Hydro Worksheet'!I31-'Pumped Hydro Worksheet'!H31)</f>
        <v>123.5</v>
      </c>
      <c r="G137" s="31">
        <f>G102-('Pumped Hydro Worksheet'!J31-'Pumped Hydro Worksheet'!I31)</f>
        <v>204.9</v>
      </c>
      <c r="H137" s="31">
        <f>H102-('Pumped Hydro Worksheet'!K31-'Pumped Hydro Worksheet'!J31)</f>
        <v>158.6</v>
      </c>
      <c r="I137" s="31">
        <f>I102-('Pumped Hydro Worksheet'!L31-'Pumped Hydro Worksheet'!K31)</f>
        <v>125</v>
      </c>
      <c r="J137" s="31">
        <f>J102-('Pumped Hydro Worksheet'!M31-'Pumped Hydro Worksheet'!L31)</f>
        <v>83.4999999999997</v>
      </c>
      <c r="K137" s="31">
        <f>K102-('Pumped Hydro Worksheet'!N31-'Pumped Hydro Worksheet'!M31)</f>
        <v>166.8</v>
      </c>
      <c r="L137" s="31">
        <f>L102-('Pumped Hydro Worksheet'!O31-'Pumped Hydro Worksheet'!N31)</f>
        <v>120.3</v>
      </c>
      <c r="M137" s="31">
        <f>M102-('Pumped Hydro Worksheet'!P31-'Pumped Hydro Worksheet'!O31)</f>
        <v>41.9999999999999</v>
      </c>
      <c r="N137" s="31">
        <f>N102-('Pumped Hydro Worksheet'!Q31-'Pumped Hydro Worksheet'!P31)</f>
        <v>285.5</v>
      </c>
      <c r="O137" s="31">
        <f>O102-('Pumped Hydro Worksheet'!R31-'Pumped Hydro Worksheet'!Q31)</f>
        <v>570.15</v>
      </c>
      <c r="P137" s="31">
        <f>P102-('Pumped Hydro Worksheet'!S31-'Pumped Hydro Worksheet'!R31)</f>
        <v>285</v>
      </c>
      <c r="Q137" s="31">
        <f>Q102-('Pumped Hydro Worksheet'!T31-'Pumped Hydro Worksheet'!S31)</f>
        <v>200</v>
      </c>
      <c r="S137" s="31">
        <f>S102-'Pumped Hydro Worksheet'!E31*0.1</f>
        <v>2357.7</v>
      </c>
      <c r="T137" s="31">
        <f>T102-'Pumped Hydro Worksheet'!F31*0.1</f>
        <v>2357.7</v>
      </c>
      <c r="U137" s="31">
        <f>U102-'Pumped Hydro Worksheet'!G31*0.1</f>
        <v>2306.9</v>
      </c>
      <c r="V137" s="31">
        <f>V102-'Pumped Hydro Worksheet'!H31*0.1</f>
        <v>2323.2</v>
      </c>
      <c r="W137" s="31">
        <f>W102-'Pumped Hydro Worksheet'!I31*0.1</f>
        <v>2446.7</v>
      </c>
      <c r="X137" s="31">
        <f>X102-'Pumped Hydro Worksheet'!J31*0.1</f>
        <v>2651.6</v>
      </c>
      <c r="Y137" s="31">
        <f>Y102-'Pumped Hydro Worksheet'!K31*0.1</f>
        <v>2810.2</v>
      </c>
      <c r="Z137" s="31">
        <f>Z102-'Pumped Hydro Worksheet'!L31*0.1</f>
        <v>2868</v>
      </c>
      <c r="AA137" s="31">
        <f>AA102-'Pumped Hydro Worksheet'!M31*0.1</f>
        <v>2951.5</v>
      </c>
      <c r="AB137" s="31">
        <f>AB102-'Pumped Hydro Worksheet'!N31*0.1</f>
        <v>3118.3</v>
      </c>
      <c r="AC137" s="31">
        <f>AC102-'Pumped Hydro Worksheet'!O31*0.1</f>
        <v>3238.6</v>
      </c>
      <c r="AD137" s="31">
        <f>AD102-'Pumped Hydro Worksheet'!P31*0.1</f>
        <v>3280.6</v>
      </c>
      <c r="AE137" s="31">
        <f>AE102-'Pumped Hydro Worksheet'!Q31*0.1</f>
        <v>3566.1</v>
      </c>
      <c r="AF137" s="31">
        <f>AF102-'Pumped Hydro Worksheet'!R31*0.1</f>
        <v>4006</v>
      </c>
      <c r="AG137" s="31">
        <f>AG102-'Pumped Hydro Worksheet'!S31*0.1</f>
        <v>4291</v>
      </c>
      <c r="AH137" s="31">
        <f>AH102-'Pumped Hydro Worksheet'!T31*0.1</f>
        <v>4400</v>
      </c>
    </row>
    <row r="138" spans="1:34">
      <c r="A138" s="27" t="s">
        <v>157</v>
      </c>
      <c r="B138" s="200" t="s">
        <v>138</v>
      </c>
      <c r="C138" s="31">
        <f>C103-('Pumped Hydro Worksheet'!F32-'Pumped Hydro Worksheet'!E32)</f>
        <v>0</v>
      </c>
      <c r="D138" s="31">
        <f>D103-('Pumped Hydro Worksheet'!G32-'Pumped Hydro Worksheet'!F32)</f>
        <v>8.70000000000005</v>
      </c>
      <c r="E138" s="31">
        <f>E103-('Pumped Hydro Worksheet'!H32-'Pumped Hydro Worksheet'!G32)</f>
        <v>8.49999999999994</v>
      </c>
      <c r="F138" s="31">
        <f>F103-('Pumped Hydro Worksheet'!I32-'Pumped Hydro Worksheet'!H32)</f>
        <v>7.40000000000009</v>
      </c>
      <c r="G138" s="31">
        <f>G103-('Pumped Hydro Worksheet'!J32-'Pumped Hydro Worksheet'!I32)</f>
        <v>828.1</v>
      </c>
      <c r="H138" s="31">
        <f>H103-('Pumped Hydro Worksheet'!K32-'Pumped Hydro Worksheet'!J32)</f>
        <v>800</v>
      </c>
      <c r="I138" s="31">
        <f>I103-('Pumped Hydro Worksheet'!L32-'Pumped Hydro Worksheet'!K32)</f>
        <v>416.7</v>
      </c>
      <c r="J138" s="31">
        <f>J103-('Pumped Hydro Worksheet'!M32-'Pumped Hydro Worksheet'!L32)</f>
        <v>400</v>
      </c>
      <c r="K138" s="31">
        <f>K103-('Pumped Hydro Worksheet'!N32-'Pumped Hydro Worksheet'!M32)</f>
        <v>13.5000000000002</v>
      </c>
      <c r="L138" s="31">
        <f>L103-('Pumped Hydro Worksheet'!O32-'Pumped Hydro Worksheet'!N32)</f>
        <v>78.8999999999999</v>
      </c>
      <c r="M138" s="31">
        <f>M103-('Pumped Hydro Worksheet'!P32-'Pumped Hydro Worksheet'!O32)</f>
        <v>134.8</v>
      </c>
      <c r="N138" s="31">
        <f>N103-('Pumped Hydro Worksheet'!Q32-'Pumped Hydro Worksheet'!P32)</f>
        <v>712.3</v>
      </c>
      <c r="O138" s="31">
        <f>O103-('Pumped Hydro Worksheet'!R32-'Pumped Hydro Worksheet'!Q32)</f>
        <v>771.6</v>
      </c>
      <c r="P138" s="31">
        <f>P103-('Pumped Hydro Worksheet'!S32-'Pumped Hydro Worksheet'!R32)</f>
        <v>598</v>
      </c>
      <c r="Q138" s="31">
        <f>Q103-('Pumped Hydro Worksheet'!T32-'Pumped Hydro Worksheet'!S32)</f>
        <v>407</v>
      </c>
      <c r="S138" s="31">
        <f>S103-'Pumped Hydro Worksheet'!E32*0.1</f>
        <v>1385.1</v>
      </c>
      <c r="T138" s="31">
        <f>T103-'Pumped Hydro Worksheet'!F32*0.1</f>
        <v>1385.1</v>
      </c>
      <c r="U138" s="31">
        <f>U103-'Pumped Hydro Worksheet'!G32*0.1</f>
        <v>1393.8</v>
      </c>
      <c r="V138" s="31">
        <f>V103-'Pumped Hydro Worksheet'!H32*0.1</f>
        <v>1402.3</v>
      </c>
      <c r="W138" s="31">
        <f>W103-'Pumped Hydro Worksheet'!I32*0.1</f>
        <v>1409.7</v>
      </c>
      <c r="X138" s="31">
        <f>X103-'Pumped Hydro Worksheet'!J32*0.1</f>
        <v>2237.8</v>
      </c>
      <c r="Y138" s="31">
        <f>Y103-'Pumped Hydro Worksheet'!K32*0.1</f>
        <v>2658.5</v>
      </c>
      <c r="Z138" s="31">
        <f>Z103-'Pumped Hydro Worksheet'!L32*0.1</f>
        <v>3075.2</v>
      </c>
      <c r="AA138" s="31">
        <f>AA103-'Pumped Hydro Worksheet'!M32*0.1</f>
        <v>3113.9</v>
      </c>
      <c r="AB138" s="31">
        <f>AB103-'Pumped Hydro Worksheet'!N32*0.1</f>
        <v>3127.4</v>
      </c>
      <c r="AC138" s="31">
        <f>AC103-'Pumped Hydro Worksheet'!O32*0.1</f>
        <v>3206.3</v>
      </c>
      <c r="AD138" s="31">
        <f>AD103-'Pumped Hydro Worksheet'!P32*0.1</f>
        <v>3341.1</v>
      </c>
      <c r="AE138" s="31">
        <f>AE103-'Pumped Hydro Worksheet'!Q32*0.1</f>
        <v>4053.4</v>
      </c>
      <c r="AF138" s="31">
        <f>AF103-'Pumped Hydro Worksheet'!R32*0.1</f>
        <v>4825</v>
      </c>
      <c r="AG138" s="31">
        <f>AG103-'Pumped Hydro Worksheet'!S32*0.1</f>
        <v>5423</v>
      </c>
      <c r="AH138" s="31">
        <f>AH103-'Pumped Hydro Worksheet'!T32*0.1</f>
        <v>5830</v>
      </c>
    </row>
    <row r="139" spans="1:34">
      <c r="A139" s="27" t="s">
        <v>157</v>
      </c>
      <c r="B139" s="200" t="s">
        <v>140</v>
      </c>
      <c r="C139" s="31">
        <f>C104-('Pumped Hydro Worksheet'!F33-'Pumped Hydro Worksheet'!E33)</f>
        <v>0</v>
      </c>
      <c r="D139" s="31">
        <f>D104-('Pumped Hydro Worksheet'!G33-'Pumped Hydro Worksheet'!F33)</f>
        <v>0</v>
      </c>
      <c r="E139" s="31">
        <f>E104-('Pumped Hydro Worksheet'!H33-'Pumped Hydro Worksheet'!G33)</f>
        <v>30</v>
      </c>
      <c r="F139" s="31">
        <f>F104-('Pumped Hydro Worksheet'!I33-'Pumped Hydro Worksheet'!H33)</f>
        <v>0</v>
      </c>
      <c r="G139" s="31">
        <f>G104-('Pumped Hydro Worksheet'!J33-'Pumped Hydro Worksheet'!I33)</f>
        <v>0</v>
      </c>
      <c r="H139" s="31">
        <f>H104-('Pumped Hydro Worksheet'!K33-'Pumped Hydro Worksheet'!J33)</f>
        <v>0</v>
      </c>
      <c r="I139" s="31">
        <f>I104-('Pumped Hydro Worksheet'!L33-'Pumped Hydro Worksheet'!K33)</f>
        <v>0</v>
      </c>
      <c r="J139" s="31">
        <f>J104-('Pumped Hydro Worksheet'!M33-'Pumped Hydro Worksheet'!L33)</f>
        <v>0</v>
      </c>
      <c r="K139" s="31">
        <f>K104-('Pumped Hydro Worksheet'!N33-'Pumped Hydro Worksheet'!M33)</f>
        <v>1.6</v>
      </c>
      <c r="L139" s="31">
        <f>L104-('Pumped Hydro Worksheet'!O33-'Pumped Hydro Worksheet'!N33)</f>
        <v>0</v>
      </c>
      <c r="M139" s="31">
        <f>M104-('Pumped Hydro Worksheet'!P33-'Pumped Hydro Worksheet'!O33)</f>
        <v>0.300000000000011</v>
      </c>
      <c r="N139" s="31">
        <f>N104-('Pumped Hydro Worksheet'!Q33-'Pumped Hydro Worksheet'!P33)</f>
        <v>58</v>
      </c>
      <c r="O139" s="31">
        <f>O104-('Pumped Hydro Worksheet'!R33-'Pumped Hydro Worksheet'!Q33)</f>
        <v>62.8</v>
      </c>
      <c r="P139" s="31">
        <f>P104-('Pumped Hydro Worksheet'!S33-'Pumped Hydro Worksheet'!R33)</f>
        <v>0</v>
      </c>
      <c r="Q139" s="31">
        <f>Q104-('Pumped Hydro Worksheet'!T33-'Pumped Hydro Worksheet'!S33)</f>
        <v>1.00000000000001</v>
      </c>
      <c r="S139" s="31">
        <f>S104-'Pumped Hydro Worksheet'!E33*0.1</f>
        <v>276.3</v>
      </c>
      <c r="T139" s="31">
        <f>T104-'Pumped Hydro Worksheet'!F33*0.1</f>
        <v>276.3</v>
      </c>
      <c r="U139" s="31">
        <f>U104-'Pumped Hydro Worksheet'!G33*0.1</f>
        <v>276.3</v>
      </c>
      <c r="V139" s="31">
        <f>V104-'Pumped Hydro Worksheet'!H33*0.1</f>
        <v>306.3</v>
      </c>
      <c r="W139" s="31">
        <f>W104-'Pumped Hydro Worksheet'!I33*0.1</f>
        <v>306.3</v>
      </c>
      <c r="X139" s="31">
        <f>X104-'Pumped Hydro Worksheet'!J33*0.1</f>
        <v>306.3</v>
      </c>
      <c r="Y139" s="31">
        <f>Y104-'Pumped Hydro Worksheet'!K33*0.1</f>
        <v>306.3</v>
      </c>
      <c r="Z139" s="31">
        <f>Z104-'Pumped Hydro Worksheet'!L33*0.1</f>
        <v>306.3</v>
      </c>
      <c r="AA139" s="31">
        <f>AA104-'Pumped Hydro Worksheet'!M33*0.1</f>
        <v>306.3</v>
      </c>
      <c r="AB139" s="31">
        <f>AB104-'Pumped Hydro Worksheet'!N33*0.1</f>
        <v>307.9</v>
      </c>
      <c r="AC139" s="31">
        <f>AC104-'Pumped Hydro Worksheet'!O33*0.1</f>
        <v>307.9</v>
      </c>
      <c r="AD139" s="31">
        <f>AD104-'Pumped Hydro Worksheet'!P33*0.1</f>
        <v>308.2</v>
      </c>
      <c r="AE139" s="31">
        <f>AE104-'Pumped Hydro Worksheet'!Q33*0.1</f>
        <v>366.2</v>
      </c>
      <c r="AF139" s="31">
        <f>AF104-'Pumped Hydro Worksheet'!R33*0.1</f>
        <v>429</v>
      </c>
      <c r="AG139" s="31">
        <f>AG104-'Pumped Hydro Worksheet'!S33*0.1</f>
        <v>429</v>
      </c>
      <c r="AH139" s="31">
        <f>AH104-'Pumped Hydro Worksheet'!T33*0.1</f>
        <v>430</v>
      </c>
    </row>
    <row r="140" spans="1:34">
      <c r="A140" s="27" t="s">
        <v>157</v>
      </c>
      <c r="B140" s="200" t="s">
        <v>142</v>
      </c>
      <c r="C140" s="31">
        <f>C105-('Pumped Hydro Worksheet'!F34-'Pumped Hydro Worksheet'!E34)</f>
        <v>53</v>
      </c>
      <c r="D140" s="31">
        <f>D105-('Pumped Hydro Worksheet'!G34-'Pumped Hydro Worksheet'!F34)</f>
        <v>53</v>
      </c>
      <c r="E140" s="31">
        <f>E105-('Pumped Hydro Worksheet'!H34-'Pumped Hydro Worksheet'!G34)</f>
        <v>32.8</v>
      </c>
      <c r="F140" s="31">
        <f>F105-('Pumped Hydro Worksheet'!I34-'Pumped Hydro Worksheet'!H34)</f>
        <v>16.0000000000001</v>
      </c>
      <c r="G140" s="31">
        <f>G105-('Pumped Hydro Worksheet'!J34-'Pumped Hydro Worksheet'!I34)</f>
        <v>39.5999999999999</v>
      </c>
      <c r="H140" s="31">
        <f>H105-('Pumped Hydro Worksheet'!K34-'Pumped Hydro Worksheet'!J34)</f>
        <v>26.3</v>
      </c>
      <c r="I140" s="31">
        <f>I105-('Pumped Hydro Worksheet'!L34-'Pumped Hydro Worksheet'!K34)</f>
        <v>8.00000000000011</v>
      </c>
      <c r="J140" s="31">
        <f>J105-('Pumped Hydro Worksheet'!M34-'Pumped Hydro Worksheet'!L34)</f>
        <v>71.6</v>
      </c>
      <c r="K140" s="31">
        <f>K105-('Pumped Hydro Worksheet'!N34-'Pumped Hydro Worksheet'!M34)</f>
        <v>0</v>
      </c>
      <c r="L140" s="31">
        <f>L105-('Pumped Hydro Worksheet'!O34-'Pumped Hydro Worksheet'!N34)</f>
        <v>116.7</v>
      </c>
      <c r="M140" s="31">
        <f>M105-('Pumped Hydro Worksheet'!P34-'Pumped Hydro Worksheet'!O34)</f>
        <v>5</v>
      </c>
      <c r="N140" s="31">
        <f>N105-('Pumped Hydro Worksheet'!Q34-'Pumped Hydro Worksheet'!P34)</f>
        <v>0</v>
      </c>
      <c r="O140" s="31">
        <f>O105-('Pumped Hydro Worksheet'!R34-'Pumped Hydro Worksheet'!Q34)</f>
        <v>387</v>
      </c>
      <c r="P140" s="31">
        <f>P105-('Pumped Hydro Worksheet'!S34-'Pumped Hydro Worksheet'!R34)</f>
        <v>410</v>
      </c>
      <c r="Q140" s="31">
        <f>Q105-('Pumped Hydro Worksheet'!T34-'Pumped Hydro Worksheet'!S34)</f>
        <v>374</v>
      </c>
      <c r="S140" s="31">
        <f>S105-'Pumped Hydro Worksheet'!E34*0.1</f>
        <v>594.5</v>
      </c>
      <c r="T140" s="31">
        <f>T105-'Pumped Hydro Worksheet'!F34*0.1</f>
        <v>647.5</v>
      </c>
      <c r="U140" s="31">
        <f>U105-'Pumped Hydro Worksheet'!G34*0.1</f>
        <v>675.9</v>
      </c>
      <c r="V140" s="31">
        <f>V105-'Pumped Hydro Worksheet'!H34*0.1</f>
        <v>706.6</v>
      </c>
      <c r="W140" s="31">
        <f>W105-'Pumped Hydro Worksheet'!I34*0.1</f>
        <v>722.6</v>
      </c>
      <c r="X140" s="31">
        <f>X105-'Pumped Hydro Worksheet'!J34*0.1</f>
        <v>762.2</v>
      </c>
      <c r="Y140" s="31">
        <f>Y105-'Pumped Hydro Worksheet'!K34*0.1</f>
        <v>788.5</v>
      </c>
      <c r="Z140" s="31">
        <f>Z105-'Pumped Hydro Worksheet'!L34*0.1</f>
        <v>796.5</v>
      </c>
      <c r="AA140" s="31">
        <f>AA105-'Pumped Hydro Worksheet'!M34*0.1</f>
        <v>868.1</v>
      </c>
      <c r="AB140" s="31">
        <f>AB105-'Pumped Hydro Worksheet'!N34*0.1</f>
        <v>868.1</v>
      </c>
      <c r="AC140" s="31">
        <f>AC105-'Pumped Hydro Worksheet'!O34*0.1</f>
        <v>984.8</v>
      </c>
      <c r="AD140" s="31">
        <f>AD105-'Pumped Hydro Worksheet'!P34*0.1</f>
        <v>989.8</v>
      </c>
      <c r="AE140" s="31">
        <f>AE105-'Pumped Hydro Worksheet'!Q34*0.1</f>
        <v>973</v>
      </c>
      <c r="AF140" s="31">
        <f>AF105-'Pumped Hydro Worksheet'!R34*0.1</f>
        <v>1360</v>
      </c>
      <c r="AG140" s="31">
        <f>AG105-'Pumped Hydro Worksheet'!S34*0.1</f>
        <v>1766</v>
      </c>
      <c r="AH140" s="31">
        <f>AH105-'Pumped Hydro Worksheet'!T34*0.1</f>
        <v>2140</v>
      </c>
    </row>
    <row r="142" s="414" customFormat="1" ht="13.85" spans="1:34">
      <c r="A142" s="416" t="s">
        <v>143</v>
      </c>
      <c r="B142" s="416" t="s">
        <v>144</v>
      </c>
      <c r="C142" s="416" t="s">
        <v>154</v>
      </c>
      <c r="D142" s="416"/>
      <c r="E142" s="416"/>
      <c r="F142" s="416"/>
      <c r="G142" s="416"/>
      <c r="H142" s="416"/>
      <c r="I142" s="416"/>
      <c r="J142" s="416"/>
      <c r="K142" s="416"/>
      <c r="L142" s="416"/>
      <c r="M142" s="416"/>
      <c r="N142" s="416"/>
      <c r="O142" s="416"/>
      <c r="P142" s="416"/>
      <c r="Q142" s="416"/>
      <c r="S142" s="416" t="s">
        <v>155</v>
      </c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  <c r="AE142" s="416"/>
      <c r="AF142" s="416"/>
      <c r="AG142" s="416"/>
      <c r="AH142" s="416"/>
    </row>
    <row r="143" s="414" customFormat="1" ht="13.85" spans="1:34">
      <c r="A143" s="416"/>
      <c r="B143" s="416"/>
      <c r="C143" s="416">
        <v>1993</v>
      </c>
      <c r="D143" s="416">
        <v>1994</v>
      </c>
      <c r="E143" s="416">
        <v>1995</v>
      </c>
      <c r="F143" s="416">
        <v>1996</v>
      </c>
      <c r="G143" s="416">
        <v>1997</v>
      </c>
      <c r="H143" s="416">
        <v>1998</v>
      </c>
      <c r="I143" s="416">
        <v>1999</v>
      </c>
      <c r="J143" s="416">
        <v>2000</v>
      </c>
      <c r="K143" s="416">
        <v>2001</v>
      </c>
      <c r="L143" s="416">
        <v>2002</v>
      </c>
      <c r="M143" s="416">
        <v>2003</v>
      </c>
      <c r="N143" s="416">
        <v>2004</v>
      </c>
      <c r="O143" s="416">
        <v>2005</v>
      </c>
      <c r="P143" s="416">
        <v>2006</v>
      </c>
      <c r="Q143" s="416">
        <v>2007</v>
      </c>
      <c r="S143" s="416">
        <v>1992</v>
      </c>
      <c r="T143" s="416">
        <v>1993</v>
      </c>
      <c r="U143" s="416">
        <v>1994</v>
      </c>
      <c r="V143" s="416">
        <v>1995</v>
      </c>
      <c r="W143" s="416">
        <v>1996</v>
      </c>
      <c r="X143" s="416">
        <v>1997</v>
      </c>
      <c r="Y143" s="416">
        <v>1998</v>
      </c>
      <c r="Z143" s="416">
        <v>1999</v>
      </c>
      <c r="AA143" s="416">
        <v>2000</v>
      </c>
      <c r="AB143" s="416">
        <v>2001</v>
      </c>
      <c r="AC143" s="416">
        <v>2002</v>
      </c>
      <c r="AD143" s="416">
        <v>2003</v>
      </c>
      <c r="AE143" s="416">
        <v>2004</v>
      </c>
      <c r="AF143" s="416">
        <v>2005</v>
      </c>
      <c r="AG143" s="416">
        <v>2006</v>
      </c>
      <c r="AH143" s="416">
        <v>2007</v>
      </c>
    </row>
    <row r="144" spans="1:34">
      <c r="A144" s="27" t="s">
        <v>158</v>
      </c>
      <c r="B144" s="200" t="s">
        <v>80</v>
      </c>
      <c r="C144" s="31">
        <f t="shared" ref="C144:C175" si="31">AG39*10</f>
        <v>11308</v>
      </c>
      <c r="D144" s="31">
        <f t="shared" ref="D144:D175" si="32">MAX(AH4-AG4,AH39,0)*10</f>
        <v>10418.2</v>
      </c>
      <c r="E144" s="31">
        <f t="shared" ref="E144:E175" si="33">MAX(AI4-AH4,AI39,0)*10</f>
        <v>14204.2</v>
      </c>
      <c r="F144" s="31">
        <f t="shared" ref="F144:F175" si="34">MAX(AJ4-AI4,AJ39,0)*10</f>
        <v>15923.1</v>
      </c>
      <c r="G144" s="31">
        <f t="shared" ref="G144:G175" si="35">MAX(AK4-AJ4,AK39,0)*10</f>
        <v>13544.3</v>
      </c>
      <c r="H144" s="31">
        <f t="shared" ref="H144:H175" si="36">MAX(AL4-AK4,AL39,0)*10</f>
        <v>17475.5</v>
      </c>
      <c r="I144" s="31">
        <f t="shared" ref="I144:I175" si="37">MAX(AM4-AL4,AM39,0)*10</f>
        <v>14236.4</v>
      </c>
      <c r="J144" s="31">
        <f t="shared" ref="J144:J175" si="38">MAX(AN4-AM4,AN39,0)*10</f>
        <v>15596.3</v>
      </c>
      <c r="K144" s="31">
        <f t="shared" ref="K144:K175" si="39">MAX(AO4-AN4,AO39,0)*10</f>
        <v>15596.8</v>
      </c>
      <c r="L144" s="31">
        <f t="shared" ref="L144:L175" si="40">MAX(AP4-AO4,AP39,0)*10</f>
        <v>12409.7</v>
      </c>
      <c r="M144" s="31">
        <f t="shared" ref="M144:M175" si="41">MAX(AQ4-AP4,AQ39,0)*10</f>
        <v>24224.2</v>
      </c>
      <c r="N144" s="31">
        <f t="shared" ref="N144:N175" si="42">MAX(AR4-AQ4,AR39,0)*10</f>
        <v>40264.9</v>
      </c>
      <c r="O144" s="31">
        <f t="shared" ref="O144:O175" si="43">MAX(AS4-AR4,AS39,0)*10</f>
        <v>61893</v>
      </c>
      <c r="P144" s="31">
        <f>MAX(AT4-AS4+'06-23Closure'!E3,AT39,0)*10</f>
        <v>96124</v>
      </c>
      <c r="Q144" s="31">
        <f>MAX(AU4-AT4+'06-23Closure'!F3,AU39,0)*10</f>
        <v>92687.088</v>
      </c>
      <c r="S144" s="31">
        <f t="shared" ref="S144:S175" si="44">(AG4-AG39)*10</f>
        <v>127010.2</v>
      </c>
      <c r="T144" s="31">
        <f t="shared" ref="T144:T175" si="45">AG4*10</f>
        <v>138318.2</v>
      </c>
      <c r="U144" s="31">
        <f t="shared" ref="U144:U175" si="46">AH4*10</f>
        <v>148736.4</v>
      </c>
      <c r="V144" s="31">
        <f t="shared" ref="V144:V175" si="47">AI4*10</f>
        <v>162940.6</v>
      </c>
      <c r="W144" s="31">
        <f t="shared" ref="W144:W175" si="48">AJ4*10</f>
        <v>178863.7</v>
      </c>
      <c r="X144" s="31">
        <f t="shared" ref="X144:X175" si="49">AK4*10</f>
        <v>192408</v>
      </c>
      <c r="Y144" s="31">
        <f t="shared" ref="Y144:Y175" si="50">AL4*10</f>
        <v>209883.5</v>
      </c>
      <c r="Z144" s="31">
        <f t="shared" ref="Z144:Z175" si="51">AM4*10</f>
        <v>223434</v>
      </c>
      <c r="AA144" s="31">
        <f t="shared" ref="AA144:AA175" si="52">AN4*10</f>
        <v>237540.2</v>
      </c>
      <c r="AB144" s="31">
        <f t="shared" ref="AB144:AB175" si="53">AO4*10</f>
        <v>253137</v>
      </c>
      <c r="AC144" s="31">
        <f t="shared" ref="AC144:AC175" si="54">AP4*10</f>
        <v>265546.7</v>
      </c>
      <c r="AD144" s="31">
        <f t="shared" ref="AD144:AD175" si="55">AQ4*10</f>
        <v>289770.9</v>
      </c>
      <c r="AE144" s="31">
        <f t="shared" ref="AE144:AE175" si="56">AR4*10</f>
        <v>329483</v>
      </c>
      <c r="AF144" s="31">
        <f t="shared" ref="AF144:AF175" si="57">AS4*10</f>
        <v>391376</v>
      </c>
      <c r="AG144" s="31">
        <f t="shared" ref="AG144:AG175" si="58">AT4*10</f>
        <v>483822</v>
      </c>
      <c r="AH144" s="31">
        <f t="shared" ref="AH144:AH175" si="59">AU4*10</f>
        <v>556070</v>
      </c>
    </row>
    <row r="145" spans="1:34">
      <c r="A145" s="27" t="s">
        <v>158</v>
      </c>
      <c r="B145" s="200" t="s">
        <v>82</v>
      </c>
      <c r="C145" s="31">
        <f t="shared" si="31"/>
        <v>0</v>
      </c>
      <c r="D145" s="31">
        <f t="shared" si="32"/>
        <v>0</v>
      </c>
      <c r="E145" s="31">
        <f t="shared" si="33"/>
        <v>294</v>
      </c>
      <c r="F145" s="31">
        <f t="shared" si="34"/>
        <v>0</v>
      </c>
      <c r="G145" s="31">
        <f t="shared" si="35"/>
        <v>0</v>
      </c>
      <c r="H145" s="31">
        <f t="shared" si="36"/>
        <v>465</v>
      </c>
      <c r="I145" s="31">
        <f t="shared" si="37"/>
        <v>848.3</v>
      </c>
      <c r="J145" s="31">
        <f t="shared" si="38"/>
        <v>0</v>
      </c>
      <c r="K145" s="31">
        <f t="shared" si="39"/>
        <v>18.9999999999998</v>
      </c>
      <c r="L145" s="31">
        <f t="shared" si="40"/>
        <v>0</v>
      </c>
      <c r="M145" s="31">
        <f t="shared" si="41"/>
        <v>0</v>
      </c>
      <c r="N145" s="31">
        <f t="shared" si="42"/>
        <v>111</v>
      </c>
      <c r="O145" s="31">
        <f t="shared" si="43"/>
        <v>560</v>
      </c>
      <c r="P145" s="31">
        <f>MAX(AT5-AS5+'06-23Closure'!E4,AT40,0)*10</f>
        <v>150</v>
      </c>
      <c r="Q145" s="31">
        <f>MAX(AU5-AT5+'06-23Closure'!F4,AU40,0)*10</f>
        <v>122</v>
      </c>
      <c r="S145" s="31">
        <f t="shared" si="44"/>
        <v>2481.6</v>
      </c>
      <c r="T145" s="31">
        <f t="shared" si="45"/>
        <v>2481.6</v>
      </c>
      <c r="U145" s="31">
        <f t="shared" si="46"/>
        <v>2434.3</v>
      </c>
      <c r="V145" s="31">
        <f t="shared" si="47"/>
        <v>2728.3</v>
      </c>
      <c r="W145" s="31">
        <f t="shared" si="48"/>
        <v>2728.3</v>
      </c>
      <c r="X145" s="31">
        <f t="shared" si="49"/>
        <v>2728.3</v>
      </c>
      <c r="Y145" s="31">
        <f t="shared" si="50"/>
        <v>3009.3</v>
      </c>
      <c r="Z145" s="31">
        <f t="shared" si="51"/>
        <v>3857.6</v>
      </c>
      <c r="AA145" s="31">
        <f t="shared" si="52"/>
        <v>3393.5</v>
      </c>
      <c r="AB145" s="31">
        <f t="shared" si="53"/>
        <v>3412.5</v>
      </c>
      <c r="AC145" s="31">
        <f t="shared" si="54"/>
        <v>3407.5</v>
      </c>
      <c r="AD145" s="31">
        <f t="shared" si="55"/>
        <v>3347.5</v>
      </c>
      <c r="AE145" s="31">
        <f t="shared" si="56"/>
        <v>3458.5</v>
      </c>
      <c r="AF145" s="31">
        <f t="shared" si="57"/>
        <v>3834</v>
      </c>
      <c r="AG145" s="31">
        <f t="shared" si="58"/>
        <v>3984</v>
      </c>
      <c r="AH145" s="31">
        <f t="shared" si="59"/>
        <v>3900</v>
      </c>
    </row>
    <row r="146" spans="1:34">
      <c r="A146" s="27" t="s">
        <v>158</v>
      </c>
      <c r="B146" s="200" t="s">
        <v>84</v>
      </c>
      <c r="C146" s="31">
        <f t="shared" si="31"/>
        <v>250</v>
      </c>
      <c r="D146" s="31">
        <f t="shared" si="32"/>
        <v>137.5</v>
      </c>
      <c r="E146" s="31">
        <f t="shared" si="33"/>
        <v>525</v>
      </c>
      <c r="F146" s="31">
        <f t="shared" si="34"/>
        <v>1092</v>
      </c>
      <c r="G146" s="31">
        <f t="shared" si="35"/>
        <v>0</v>
      </c>
      <c r="H146" s="31">
        <f t="shared" si="36"/>
        <v>300</v>
      </c>
      <c r="I146" s="31">
        <f t="shared" si="37"/>
        <v>300</v>
      </c>
      <c r="J146" s="31">
        <f t="shared" si="38"/>
        <v>0</v>
      </c>
      <c r="K146" s="31">
        <f t="shared" si="39"/>
        <v>604</v>
      </c>
      <c r="L146" s="31">
        <f t="shared" si="40"/>
        <v>613.499999999999</v>
      </c>
      <c r="M146" s="31">
        <f t="shared" si="41"/>
        <v>0</v>
      </c>
      <c r="N146" s="31">
        <f t="shared" si="42"/>
        <v>0</v>
      </c>
      <c r="O146" s="31">
        <f t="shared" si="43"/>
        <v>380</v>
      </c>
      <c r="P146" s="31">
        <f>MAX(AT6-AS6+'06-23Closure'!E5,AT41,0)*10</f>
        <v>338.000000000001</v>
      </c>
      <c r="Q146" s="31">
        <f>MAX(AU6-AT6+'06-23Closure'!F5,AU41,0)*10</f>
        <v>408</v>
      </c>
      <c r="S146" s="31">
        <f t="shared" si="44"/>
        <v>2941</v>
      </c>
      <c r="T146" s="31">
        <f t="shared" si="45"/>
        <v>3191</v>
      </c>
      <c r="U146" s="31">
        <f t="shared" si="46"/>
        <v>3328.5</v>
      </c>
      <c r="V146" s="31">
        <f t="shared" si="47"/>
        <v>3381.5</v>
      </c>
      <c r="W146" s="31">
        <f t="shared" si="48"/>
        <v>4473.5</v>
      </c>
      <c r="X146" s="31">
        <f t="shared" si="49"/>
        <v>4471</v>
      </c>
      <c r="Y146" s="31">
        <f t="shared" si="50"/>
        <v>4767</v>
      </c>
      <c r="Z146" s="31">
        <f t="shared" si="51"/>
        <v>5039.5</v>
      </c>
      <c r="AA146" s="31">
        <f t="shared" si="52"/>
        <v>5028</v>
      </c>
      <c r="AB146" s="31">
        <f t="shared" si="53"/>
        <v>5632</v>
      </c>
      <c r="AC146" s="31">
        <f t="shared" si="54"/>
        <v>6245.5</v>
      </c>
      <c r="AD146" s="31">
        <f t="shared" si="55"/>
        <v>6008.5</v>
      </c>
      <c r="AE146" s="31">
        <f t="shared" si="56"/>
        <v>6008.5</v>
      </c>
      <c r="AF146" s="31">
        <f t="shared" si="57"/>
        <v>6174</v>
      </c>
      <c r="AG146" s="31">
        <f t="shared" si="58"/>
        <v>6512</v>
      </c>
      <c r="AH146" s="31">
        <f t="shared" si="59"/>
        <v>6920</v>
      </c>
    </row>
    <row r="147" spans="1:34">
      <c r="A147" s="27" t="s">
        <v>158</v>
      </c>
      <c r="B147" s="200" t="s">
        <v>86</v>
      </c>
      <c r="C147" s="31">
        <f t="shared" si="31"/>
        <v>625</v>
      </c>
      <c r="D147" s="31">
        <f t="shared" si="32"/>
        <v>664.5</v>
      </c>
      <c r="E147" s="31">
        <f t="shared" si="33"/>
        <v>1270</v>
      </c>
      <c r="F147" s="31">
        <f t="shared" si="34"/>
        <v>718.399999999999</v>
      </c>
      <c r="G147" s="31">
        <f t="shared" si="35"/>
        <v>799.8</v>
      </c>
      <c r="H147" s="31">
        <f t="shared" si="36"/>
        <v>697.1</v>
      </c>
      <c r="I147" s="31">
        <f t="shared" si="37"/>
        <v>1270.1</v>
      </c>
      <c r="J147" s="31">
        <f t="shared" si="38"/>
        <v>1310</v>
      </c>
      <c r="K147" s="31">
        <f t="shared" si="39"/>
        <v>1381.2</v>
      </c>
      <c r="L147" s="31">
        <f t="shared" si="40"/>
        <v>270.799999999999</v>
      </c>
      <c r="M147" s="31">
        <f t="shared" si="41"/>
        <v>953</v>
      </c>
      <c r="N147" s="31">
        <f t="shared" si="42"/>
        <v>2691</v>
      </c>
      <c r="O147" s="31">
        <f t="shared" si="43"/>
        <v>2419</v>
      </c>
      <c r="P147" s="31">
        <f>MAX(AT7-AS7+'06-23Closure'!E6,AT42,0)*10</f>
        <v>3871</v>
      </c>
      <c r="Q147" s="31">
        <f>MAX(AU7-AT7+'06-23Closure'!F6,AU42,0)*10</f>
        <v>3947.75</v>
      </c>
      <c r="S147" s="31">
        <f t="shared" si="44"/>
        <v>7814.3</v>
      </c>
      <c r="T147" s="31">
        <f t="shared" si="45"/>
        <v>8439.3</v>
      </c>
      <c r="U147" s="31">
        <f t="shared" si="46"/>
        <v>9103.8</v>
      </c>
      <c r="V147" s="31">
        <f t="shared" si="47"/>
        <v>10373.8</v>
      </c>
      <c r="W147" s="31">
        <f t="shared" si="48"/>
        <v>11092.2</v>
      </c>
      <c r="X147" s="31">
        <f t="shared" si="49"/>
        <v>11892</v>
      </c>
      <c r="Y147" s="31">
        <f t="shared" si="50"/>
        <v>12589.1</v>
      </c>
      <c r="Z147" s="31">
        <f t="shared" si="51"/>
        <v>13859.2</v>
      </c>
      <c r="AA147" s="31">
        <f t="shared" si="52"/>
        <v>15093.7</v>
      </c>
      <c r="AB147" s="31">
        <f t="shared" si="53"/>
        <v>16474.9</v>
      </c>
      <c r="AC147" s="31">
        <f t="shared" si="54"/>
        <v>16745.7</v>
      </c>
      <c r="AD147" s="31">
        <f t="shared" si="55"/>
        <v>17698.7</v>
      </c>
      <c r="AE147" s="31">
        <f t="shared" si="56"/>
        <v>19932.7</v>
      </c>
      <c r="AF147" s="31">
        <f t="shared" si="57"/>
        <v>22333</v>
      </c>
      <c r="AG147" s="31">
        <f t="shared" si="58"/>
        <v>26087</v>
      </c>
      <c r="AH147" s="31">
        <f t="shared" si="59"/>
        <v>29020</v>
      </c>
    </row>
    <row r="148" spans="1:34">
      <c r="A148" s="27" t="s">
        <v>158</v>
      </c>
      <c r="B148" s="200" t="s">
        <v>88</v>
      </c>
      <c r="C148" s="31">
        <f t="shared" si="31"/>
        <v>800</v>
      </c>
      <c r="D148" s="31">
        <f t="shared" si="32"/>
        <v>462.8</v>
      </c>
      <c r="E148" s="31">
        <f t="shared" si="33"/>
        <v>190.699999999999</v>
      </c>
      <c r="F148" s="31">
        <f t="shared" si="34"/>
        <v>445.9</v>
      </c>
      <c r="G148" s="31">
        <f t="shared" si="35"/>
        <v>336.5</v>
      </c>
      <c r="H148" s="31">
        <f t="shared" si="36"/>
        <v>843.9</v>
      </c>
      <c r="I148" s="31">
        <f t="shared" si="37"/>
        <v>600</v>
      </c>
      <c r="J148" s="31">
        <f t="shared" si="38"/>
        <v>741.699999999998</v>
      </c>
      <c r="K148" s="31">
        <f t="shared" si="39"/>
        <v>1645.1</v>
      </c>
      <c r="L148" s="31">
        <f t="shared" si="40"/>
        <v>911.900000000001</v>
      </c>
      <c r="M148" s="31">
        <f t="shared" si="41"/>
        <v>708</v>
      </c>
      <c r="N148" s="31">
        <f t="shared" si="42"/>
        <v>2950</v>
      </c>
      <c r="O148" s="31">
        <f t="shared" si="43"/>
        <v>4861.5</v>
      </c>
      <c r="P148" s="31">
        <f>MAX(AT8-AS8+'06-23Closure'!E7,AT43,0)*10</f>
        <v>4457</v>
      </c>
      <c r="Q148" s="31">
        <f>MAX(AU8-AT8+'06-23Closure'!F7,AU43,0)*10</f>
        <v>5583.5</v>
      </c>
      <c r="S148" s="31">
        <f t="shared" si="44"/>
        <v>7448.3</v>
      </c>
      <c r="T148" s="31">
        <f t="shared" si="45"/>
        <v>8248.3</v>
      </c>
      <c r="U148" s="31">
        <f t="shared" si="46"/>
        <v>8711.1</v>
      </c>
      <c r="V148" s="31">
        <f t="shared" si="47"/>
        <v>8901.8</v>
      </c>
      <c r="W148" s="31">
        <f t="shared" si="48"/>
        <v>9347.7</v>
      </c>
      <c r="X148" s="31">
        <f t="shared" si="49"/>
        <v>9684.2</v>
      </c>
      <c r="Y148" s="31">
        <f t="shared" si="50"/>
        <v>10528.1</v>
      </c>
      <c r="Z148" s="31">
        <f t="shared" si="51"/>
        <v>11029.1</v>
      </c>
      <c r="AA148" s="31">
        <f t="shared" si="52"/>
        <v>11770.8</v>
      </c>
      <c r="AB148" s="31">
        <f t="shared" si="53"/>
        <v>13415.9</v>
      </c>
      <c r="AC148" s="31">
        <f t="shared" si="54"/>
        <v>14327.8</v>
      </c>
      <c r="AD148" s="31">
        <f t="shared" si="55"/>
        <v>15035.8</v>
      </c>
      <c r="AE148" s="31">
        <f t="shared" si="56"/>
        <v>17693.3</v>
      </c>
      <c r="AF148" s="31">
        <f t="shared" si="57"/>
        <v>22292</v>
      </c>
      <c r="AG148" s="31">
        <f t="shared" si="58"/>
        <v>26661</v>
      </c>
      <c r="AH148" s="31">
        <f t="shared" si="59"/>
        <v>30950</v>
      </c>
    </row>
    <row r="149" spans="1:34">
      <c r="A149" s="27" t="s">
        <v>158</v>
      </c>
      <c r="B149" s="200" t="s">
        <v>90</v>
      </c>
      <c r="C149" s="31">
        <f t="shared" si="31"/>
        <v>574</v>
      </c>
      <c r="D149" s="31">
        <f t="shared" si="32"/>
        <v>292.4</v>
      </c>
      <c r="E149" s="31">
        <f t="shared" si="33"/>
        <v>828</v>
      </c>
      <c r="F149" s="31">
        <f t="shared" si="34"/>
        <v>358.7</v>
      </c>
      <c r="G149" s="31">
        <f t="shared" si="35"/>
        <v>72.8000000000009</v>
      </c>
      <c r="H149" s="31">
        <f t="shared" si="36"/>
        <v>1441.5</v>
      </c>
      <c r="I149" s="31">
        <f t="shared" si="37"/>
        <v>830</v>
      </c>
      <c r="J149" s="31">
        <f t="shared" si="38"/>
        <v>5.3</v>
      </c>
      <c r="K149" s="31">
        <f t="shared" si="39"/>
        <v>395.400000000001</v>
      </c>
      <c r="L149" s="31">
        <f t="shared" si="40"/>
        <v>1272</v>
      </c>
      <c r="M149" s="31">
        <f t="shared" si="41"/>
        <v>1643</v>
      </c>
      <c r="N149" s="31">
        <f t="shared" si="42"/>
        <v>2297</v>
      </c>
      <c r="O149" s="31">
        <f t="shared" si="43"/>
        <v>5531.5</v>
      </c>
      <c r="P149" s="31">
        <f>MAX(AT9-AS9+'06-23Closure'!E8,AT44,0)*10</f>
        <v>9826</v>
      </c>
      <c r="Q149" s="31">
        <f>MAX(AU9-AT9+'06-23Closure'!F8,AU44,0)*10</f>
        <v>11675.5</v>
      </c>
      <c r="S149" s="31">
        <f t="shared" si="44"/>
        <v>4149.9</v>
      </c>
      <c r="T149" s="31">
        <f t="shared" si="45"/>
        <v>4723.9</v>
      </c>
      <c r="U149" s="31">
        <f t="shared" si="46"/>
        <v>5016.3</v>
      </c>
      <c r="V149" s="31">
        <f t="shared" si="47"/>
        <v>5844.3</v>
      </c>
      <c r="W149" s="31">
        <f t="shared" si="48"/>
        <v>6203</v>
      </c>
      <c r="X149" s="31">
        <f t="shared" si="49"/>
        <v>6275.8</v>
      </c>
      <c r="Y149" s="31">
        <f t="shared" si="50"/>
        <v>7713.3</v>
      </c>
      <c r="Z149" s="31">
        <f t="shared" si="51"/>
        <v>8543.3</v>
      </c>
      <c r="AA149" s="31">
        <f t="shared" si="52"/>
        <v>8502.9</v>
      </c>
      <c r="AB149" s="31">
        <f t="shared" si="53"/>
        <v>8898.3</v>
      </c>
      <c r="AC149" s="31">
        <f t="shared" si="54"/>
        <v>9778.7</v>
      </c>
      <c r="AD149" s="31">
        <f t="shared" si="55"/>
        <v>11421.7</v>
      </c>
      <c r="AE149" s="31">
        <f t="shared" si="56"/>
        <v>13641.5</v>
      </c>
      <c r="AF149" s="31">
        <f t="shared" si="57"/>
        <v>19173</v>
      </c>
      <c r="AG149" s="31">
        <f t="shared" si="58"/>
        <v>28899</v>
      </c>
      <c r="AH149" s="31">
        <f t="shared" si="59"/>
        <v>39870</v>
      </c>
    </row>
    <row r="150" spans="1:34">
      <c r="A150" s="27" t="s">
        <v>158</v>
      </c>
      <c r="B150" s="200" t="s">
        <v>92</v>
      </c>
      <c r="C150" s="31">
        <f t="shared" si="31"/>
        <v>718.5</v>
      </c>
      <c r="D150" s="31">
        <f t="shared" si="32"/>
        <v>470.3</v>
      </c>
      <c r="E150" s="31">
        <f t="shared" si="33"/>
        <v>142.2</v>
      </c>
      <c r="F150" s="31">
        <f t="shared" si="34"/>
        <v>1416.3</v>
      </c>
      <c r="G150" s="31">
        <f t="shared" si="35"/>
        <v>130.999999999999</v>
      </c>
      <c r="H150" s="31">
        <f t="shared" si="36"/>
        <v>1462</v>
      </c>
      <c r="I150" s="31">
        <f t="shared" si="37"/>
        <v>25</v>
      </c>
      <c r="J150" s="31">
        <f t="shared" si="38"/>
        <v>1692</v>
      </c>
      <c r="K150" s="31">
        <f t="shared" si="39"/>
        <v>140.1</v>
      </c>
      <c r="L150" s="31">
        <f t="shared" si="40"/>
        <v>311.900000000001</v>
      </c>
      <c r="M150" s="31">
        <f t="shared" si="41"/>
        <v>426.500000000001</v>
      </c>
      <c r="N150" s="31">
        <f t="shared" si="42"/>
        <v>143.899999999999</v>
      </c>
      <c r="O150" s="31">
        <f t="shared" si="43"/>
        <v>1038.7</v>
      </c>
      <c r="P150" s="31">
        <f>MAX(AT10-AS10+'06-23Closure'!E9,AT45,0)*10</f>
        <v>730.999999999998</v>
      </c>
      <c r="Q150" s="31">
        <f>MAX(AU10-AT10+'06-23Closure'!F9,AU45,0)*10</f>
        <v>3640</v>
      </c>
      <c r="S150" s="31">
        <f t="shared" si="44"/>
        <v>8312.7</v>
      </c>
      <c r="T150" s="31">
        <f t="shared" si="45"/>
        <v>9031.2</v>
      </c>
      <c r="U150" s="31">
        <f t="shared" si="46"/>
        <v>9501.5</v>
      </c>
      <c r="V150" s="31">
        <f t="shared" si="47"/>
        <v>9643.7</v>
      </c>
      <c r="W150" s="31">
        <f t="shared" si="48"/>
        <v>11060</v>
      </c>
      <c r="X150" s="31">
        <f t="shared" si="49"/>
        <v>11191</v>
      </c>
      <c r="Y150" s="31">
        <f t="shared" si="50"/>
        <v>12560.3</v>
      </c>
      <c r="Z150" s="31">
        <f t="shared" si="51"/>
        <v>12425.7</v>
      </c>
      <c r="AA150" s="31">
        <f t="shared" si="52"/>
        <v>13937.9</v>
      </c>
      <c r="AB150" s="31">
        <f t="shared" si="53"/>
        <v>14078</v>
      </c>
      <c r="AC150" s="31">
        <f t="shared" si="54"/>
        <v>14389.9</v>
      </c>
      <c r="AD150" s="31">
        <f t="shared" si="55"/>
        <v>14816.4</v>
      </c>
      <c r="AE150" s="31">
        <f t="shared" si="56"/>
        <v>14960.3</v>
      </c>
      <c r="AF150" s="31">
        <f t="shared" si="57"/>
        <v>15999</v>
      </c>
      <c r="AG150" s="31">
        <f t="shared" si="58"/>
        <v>16721</v>
      </c>
      <c r="AH150" s="31">
        <f t="shared" si="59"/>
        <v>19720</v>
      </c>
    </row>
    <row r="151" spans="1:34">
      <c r="A151" s="27" t="s">
        <v>158</v>
      </c>
      <c r="B151" s="200" t="s">
        <v>94</v>
      </c>
      <c r="C151" s="31">
        <f t="shared" si="31"/>
        <v>50</v>
      </c>
      <c r="D151" s="31">
        <f t="shared" si="32"/>
        <v>329.5</v>
      </c>
      <c r="E151" s="31">
        <f t="shared" si="33"/>
        <v>334</v>
      </c>
      <c r="F151" s="31">
        <f t="shared" si="34"/>
        <v>0</v>
      </c>
      <c r="G151" s="31">
        <f t="shared" si="35"/>
        <v>253</v>
      </c>
      <c r="H151" s="31">
        <f t="shared" si="36"/>
        <v>175.5</v>
      </c>
      <c r="I151" s="31">
        <f t="shared" si="37"/>
        <v>157.3</v>
      </c>
      <c r="J151" s="31">
        <f t="shared" si="38"/>
        <v>722.8</v>
      </c>
      <c r="K151" s="31">
        <f t="shared" si="39"/>
        <v>375</v>
      </c>
      <c r="L151" s="31">
        <f t="shared" si="40"/>
        <v>35.4999999999995</v>
      </c>
      <c r="M151" s="31">
        <f t="shared" si="41"/>
        <v>457.4</v>
      </c>
      <c r="N151" s="31">
        <f t="shared" si="42"/>
        <v>166.1</v>
      </c>
      <c r="O151" s="31">
        <f t="shared" si="43"/>
        <v>682</v>
      </c>
      <c r="P151" s="31">
        <f>MAX(AT11-AS11+'06-23Closure'!E10,AT46,0)*10</f>
        <v>690</v>
      </c>
      <c r="Q151" s="31">
        <f>MAX(AU11-AT11+'06-23Closure'!F10,AU46,0)*10</f>
        <v>1231</v>
      </c>
      <c r="S151" s="31">
        <f t="shared" si="44"/>
        <v>3286.6</v>
      </c>
      <c r="T151" s="31">
        <f t="shared" si="45"/>
        <v>3336.6</v>
      </c>
      <c r="U151" s="31">
        <f t="shared" si="46"/>
        <v>3666.1</v>
      </c>
      <c r="V151" s="31">
        <f t="shared" si="47"/>
        <v>4000.1</v>
      </c>
      <c r="W151" s="31">
        <f t="shared" si="48"/>
        <v>4000.1</v>
      </c>
      <c r="X151" s="31">
        <f t="shared" si="49"/>
        <v>4253.1</v>
      </c>
      <c r="Y151" s="31">
        <f t="shared" si="50"/>
        <v>4428.6</v>
      </c>
      <c r="Z151" s="31">
        <f t="shared" si="51"/>
        <v>4583.1</v>
      </c>
      <c r="AA151" s="31">
        <f t="shared" si="52"/>
        <v>4924.7</v>
      </c>
      <c r="AB151" s="31">
        <f t="shared" si="53"/>
        <v>5299.7</v>
      </c>
      <c r="AC151" s="31">
        <f t="shared" si="54"/>
        <v>5335.2</v>
      </c>
      <c r="AD151" s="31">
        <f t="shared" si="55"/>
        <v>5792.6</v>
      </c>
      <c r="AE151" s="31">
        <f t="shared" si="56"/>
        <v>5958.7</v>
      </c>
      <c r="AF151" s="31">
        <f t="shared" si="57"/>
        <v>6359</v>
      </c>
      <c r="AG151" s="31">
        <f t="shared" si="58"/>
        <v>7039</v>
      </c>
      <c r="AH151" s="31">
        <f t="shared" si="59"/>
        <v>7580</v>
      </c>
    </row>
    <row r="152" spans="1:34">
      <c r="A152" s="27" t="s">
        <v>158</v>
      </c>
      <c r="B152" s="200" t="s">
        <v>96</v>
      </c>
      <c r="C152" s="31">
        <f t="shared" si="31"/>
        <v>300.5</v>
      </c>
      <c r="D152" s="31">
        <f t="shared" si="32"/>
        <v>49</v>
      </c>
      <c r="E152" s="31">
        <f t="shared" si="33"/>
        <v>112</v>
      </c>
      <c r="F152" s="31">
        <f t="shared" si="34"/>
        <v>720</v>
      </c>
      <c r="G152" s="31">
        <f t="shared" si="35"/>
        <v>426.1</v>
      </c>
      <c r="H152" s="31">
        <f t="shared" si="36"/>
        <v>327</v>
      </c>
      <c r="I152" s="31">
        <f t="shared" si="37"/>
        <v>1012.1</v>
      </c>
      <c r="J152" s="31">
        <f t="shared" si="38"/>
        <v>0</v>
      </c>
      <c r="K152" s="31">
        <f t="shared" si="39"/>
        <v>392.1</v>
      </c>
      <c r="L152" s="31">
        <f t="shared" si="40"/>
        <v>362</v>
      </c>
      <c r="M152" s="31">
        <f t="shared" si="41"/>
        <v>248.400000000001</v>
      </c>
      <c r="N152" s="31">
        <f t="shared" si="42"/>
        <v>204.7</v>
      </c>
      <c r="O152" s="31">
        <f t="shared" si="43"/>
        <v>414</v>
      </c>
      <c r="P152" s="31">
        <f>MAX(AT12-AS12+'06-23Closure'!E11,AT47,0)*10</f>
        <v>1166</v>
      </c>
      <c r="Q152" s="31">
        <f>MAX(AU12-AT12+'06-23Closure'!F11,AU47,0)*10</f>
        <v>1973</v>
      </c>
      <c r="S152" s="31">
        <f t="shared" si="44"/>
        <v>7249.4</v>
      </c>
      <c r="T152" s="31">
        <f t="shared" si="45"/>
        <v>7549.9</v>
      </c>
      <c r="U152" s="31">
        <f t="shared" si="46"/>
        <v>7597.1</v>
      </c>
      <c r="V152" s="31">
        <f t="shared" si="47"/>
        <v>7654.4</v>
      </c>
      <c r="W152" s="31">
        <f t="shared" si="48"/>
        <v>8368</v>
      </c>
      <c r="X152" s="31">
        <f t="shared" si="49"/>
        <v>8794.1</v>
      </c>
      <c r="Y152" s="31">
        <f t="shared" si="50"/>
        <v>9116</v>
      </c>
      <c r="Z152" s="31">
        <f t="shared" si="51"/>
        <v>10128.1</v>
      </c>
      <c r="AA152" s="31">
        <f t="shared" si="52"/>
        <v>10069.9</v>
      </c>
      <c r="AB152" s="31">
        <f t="shared" si="53"/>
        <v>10462</v>
      </c>
      <c r="AC152" s="31">
        <f t="shared" si="54"/>
        <v>10806</v>
      </c>
      <c r="AD152" s="31">
        <f t="shared" si="55"/>
        <v>11054.4</v>
      </c>
      <c r="AE152" s="31">
        <f t="shared" si="56"/>
        <v>11259.1</v>
      </c>
      <c r="AF152" s="31">
        <f t="shared" si="57"/>
        <v>11576</v>
      </c>
      <c r="AG152" s="31">
        <f t="shared" si="58"/>
        <v>12456</v>
      </c>
      <c r="AH152" s="31">
        <f t="shared" si="59"/>
        <v>14080</v>
      </c>
    </row>
    <row r="153" spans="1:34">
      <c r="A153" s="27" t="s">
        <v>158</v>
      </c>
      <c r="B153" s="200" t="s">
        <v>98</v>
      </c>
      <c r="C153" s="31">
        <f t="shared" si="31"/>
        <v>112</v>
      </c>
      <c r="D153" s="31">
        <f t="shared" si="32"/>
        <v>0</v>
      </c>
      <c r="E153" s="31">
        <f t="shared" si="33"/>
        <v>600</v>
      </c>
      <c r="F153" s="31">
        <f t="shared" si="34"/>
        <v>756.800000000001</v>
      </c>
      <c r="G153" s="31">
        <f t="shared" si="35"/>
        <v>746.899999999999</v>
      </c>
      <c r="H153" s="31">
        <f t="shared" si="36"/>
        <v>24</v>
      </c>
      <c r="I153" s="31">
        <f t="shared" si="37"/>
        <v>437.8</v>
      </c>
      <c r="J153" s="31">
        <f t="shared" si="38"/>
        <v>640.000000000001</v>
      </c>
      <c r="K153" s="31">
        <f t="shared" si="39"/>
        <v>628.399999999999</v>
      </c>
      <c r="L153" s="31">
        <f t="shared" si="40"/>
        <v>149.9</v>
      </c>
      <c r="M153" s="31">
        <f t="shared" si="41"/>
        <v>0</v>
      </c>
      <c r="N153" s="31">
        <f t="shared" si="42"/>
        <v>1800</v>
      </c>
      <c r="O153" s="31">
        <f t="shared" si="43"/>
        <v>1376</v>
      </c>
      <c r="P153" s="31">
        <f>MAX(AT13-AS13+'06-23Closure'!E12,AT48,0)*10</f>
        <v>1412</v>
      </c>
      <c r="Q153" s="31">
        <f>MAX(AU13-AT13+'06-23Closure'!F12,AU48,0)*10</f>
        <v>49.5000000000009</v>
      </c>
      <c r="S153" s="31">
        <f t="shared" si="44"/>
        <v>7535.4</v>
      </c>
      <c r="T153" s="31">
        <f t="shared" si="45"/>
        <v>7647.4</v>
      </c>
      <c r="U153" s="31">
        <f t="shared" si="46"/>
        <v>7587.9</v>
      </c>
      <c r="V153" s="31">
        <f t="shared" si="47"/>
        <v>8064</v>
      </c>
      <c r="W153" s="31">
        <f t="shared" si="48"/>
        <v>8820.8</v>
      </c>
      <c r="X153" s="31">
        <f t="shared" si="49"/>
        <v>9567.7</v>
      </c>
      <c r="Y153" s="31">
        <f t="shared" si="50"/>
        <v>9526.5</v>
      </c>
      <c r="Z153" s="31">
        <f t="shared" si="51"/>
        <v>9964.3</v>
      </c>
      <c r="AA153" s="31">
        <f t="shared" si="52"/>
        <v>10604.3</v>
      </c>
      <c r="AB153" s="31">
        <f t="shared" si="53"/>
        <v>11232.7</v>
      </c>
      <c r="AC153" s="31">
        <f t="shared" si="54"/>
        <v>11382.6</v>
      </c>
      <c r="AD153" s="31">
        <f t="shared" si="55"/>
        <v>11092.6</v>
      </c>
      <c r="AE153" s="31">
        <f t="shared" si="56"/>
        <v>12014.9</v>
      </c>
      <c r="AF153" s="31">
        <f t="shared" si="57"/>
        <v>13114</v>
      </c>
      <c r="AG153" s="31">
        <f t="shared" si="58"/>
        <v>14526</v>
      </c>
      <c r="AH153" s="31">
        <f t="shared" si="59"/>
        <v>14150</v>
      </c>
    </row>
    <row r="154" spans="1:34">
      <c r="A154" s="27" t="s">
        <v>158</v>
      </c>
      <c r="B154" s="200" t="s">
        <v>100</v>
      </c>
      <c r="C154" s="31">
        <f t="shared" si="31"/>
        <v>1782.5</v>
      </c>
      <c r="D154" s="31">
        <f t="shared" si="32"/>
        <v>1570.8</v>
      </c>
      <c r="E154" s="31">
        <f t="shared" si="33"/>
        <v>1040.6</v>
      </c>
      <c r="F154" s="31">
        <f t="shared" si="34"/>
        <v>953.5</v>
      </c>
      <c r="G154" s="31">
        <f t="shared" si="35"/>
        <v>768.299999999999</v>
      </c>
      <c r="H154" s="31">
        <f t="shared" si="36"/>
        <v>1619.8</v>
      </c>
      <c r="I154" s="31">
        <f t="shared" si="37"/>
        <v>2214.8</v>
      </c>
      <c r="J154" s="31">
        <f t="shared" si="38"/>
        <v>826.5</v>
      </c>
      <c r="K154" s="31">
        <f t="shared" si="39"/>
        <v>449.200000000001</v>
      </c>
      <c r="L154" s="31">
        <f t="shared" si="40"/>
        <v>931.200000000001</v>
      </c>
      <c r="M154" s="31">
        <f t="shared" si="41"/>
        <v>1646</v>
      </c>
      <c r="N154" s="31">
        <f t="shared" si="42"/>
        <v>6044.5</v>
      </c>
      <c r="O154" s="31">
        <f t="shared" si="43"/>
        <v>14630.8</v>
      </c>
      <c r="P154" s="31">
        <f>MAX(AT14-AS14+'06-23Closure'!E13,AT49,0)*10</f>
        <v>9276</v>
      </c>
      <c r="Q154" s="31">
        <f>MAX(AU14-AT14+'06-23Closure'!F13,AU49,0)*10</f>
        <v>3230</v>
      </c>
      <c r="S154" s="31">
        <f t="shared" si="44"/>
        <v>10678.9</v>
      </c>
      <c r="T154" s="31">
        <f t="shared" si="45"/>
        <v>12461.4</v>
      </c>
      <c r="U154" s="31">
        <f t="shared" si="46"/>
        <v>13933.8</v>
      </c>
      <c r="V154" s="31">
        <f t="shared" si="47"/>
        <v>14974.4</v>
      </c>
      <c r="W154" s="31">
        <f t="shared" si="48"/>
        <v>13856.4</v>
      </c>
      <c r="X154" s="31">
        <f t="shared" si="49"/>
        <v>14624.7</v>
      </c>
      <c r="Y154" s="31">
        <f t="shared" si="50"/>
        <v>16244.5</v>
      </c>
      <c r="Z154" s="31">
        <f t="shared" si="51"/>
        <v>18426.7</v>
      </c>
      <c r="AA154" s="31">
        <f t="shared" si="52"/>
        <v>19218.6</v>
      </c>
      <c r="AB154" s="31">
        <f t="shared" si="53"/>
        <v>19667.8</v>
      </c>
      <c r="AC154" s="31">
        <f t="shared" si="54"/>
        <v>20599</v>
      </c>
      <c r="AD154" s="31">
        <f t="shared" si="55"/>
        <v>22245</v>
      </c>
      <c r="AE154" s="31">
        <f t="shared" si="56"/>
        <v>28289.5</v>
      </c>
      <c r="AF154" s="31">
        <f t="shared" si="57"/>
        <v>42506</v>
      </c>
      <c r="AG154" s="31">
        <f t="shared" si="58"/>
        <v>51776</v>
      </c>
      <c r="AH154" s="31">
        <f t="shared" si="59"/>
        <v>53340</v>
      </c>
    </row>
    <row r="155" spans="1:34">
      <c r="A155" s="27" t="s">
        <v>158</v>
      </c>
      <c r="B155" s="200" t="s">
        <v>102</v>
      </c>
      <c r="C155" s="31">
        <f t="shared" si="31"/>
        <v>214.7</v>
      </c>
      <c r="D155" s="31">
        <f t="shared" si="32"/>
        <v>945.3</v>
      </c>
      <c r="E155" s="31">
        <f t="shared" si="33"/>
        <v>1017.1</v>
      </c>
      <c r="F155" s="31">
        <f t="shared" si="34"/>
        <v>672.4</v>
      </c>
      <c r="G155" s="31">
        <f t="shared" si="35"/>
        <v>1400.9</v>
      </c>
      <c r="H155" s="31">
        <f t="shared" si="36"/>
        <v>852.199999999999</v>
      </c>
      <c r="I155" s="31">
        <f t="shared" si="37"/>
        <v>527</v>
      </c>
      <c r="J155" s="31">
        <f t="shared" si="38"/>
        <v>1812</v>
      </c>
      <c r="K155" s="31">
        <f t="shared" si="39"/>
        <v>711</v>
      </c>
      <c r="L155" s="31">
        <f t="shared" si="40"/>
        <v>1540.5</v>
      </c>
      <c r="M155" s="31">
        <f t="shared" si="41"/>
        <v>2238.8</v>
      </c>
      <c r="N155" s="31">
        <f t="shared" si="42"/>
        <v>6118.6</v>
      </c>
      <c r="O155" s="31">
        <f t="shared" si="43"/>
        <v>6242.2</v>
      </c>
      <c r="P155" s="31">
        <f>MAX(AT15-AS15+'06-23Closure'!E14,AT50,0)*10</f>
        <v>8900</v>
      </c>
      <c r="Q155" s="31">
        <f>MAX(AU15-AT15+'06-23Closure'!F14,AU50,0)*10</f>
        <v>4498.56</v>
      </c>
      <c r="S155" s="31">
        <f t="shared" si="44"/>
        <v>5070.4</v>
      </c>
      <c r="T155" s="31">
        <f t="shared" si="45"/>
        <v>5285.1</v>
      </c>
      <c r="U155" s="31">
        <f t="shared" si="46"/>
        <v>6230.4</v>
      </c>
      <c r="V155" s="31">
        <f t="shared" si="47"/>
        <v>7247.5</v>
      </c>
      <c r="W155" s="31">
        <f t="shared" si="48"/>
        <v>7919.9</v>
      </c>
      <c r="X155" s="31">
        <f t="shared" si="49"/>
        <v>9320.8</v>
      </c>
      <c r="Y155" s="31">
        <f t="shared" si="50"/>
        <v>10173</v>
      </c>
      <c r="Z155" s="31">
        <f t="shared" si="51"/>
        <v>10648</v>
      </c>
      <c r="AA155" s="31">
        <f t="shared" si="52"/>
        <v>12325.9</v>
      </c>
      <c r="AB155" s="31">
        <f t="shared" si="53"/>
        <v>12736.2</v>
      </c>
      <c r="AC155" s="31">
        <f t="shared" si="54"/>
        <v>13082.4</v>
      </c>
      <c r="AD155" s="31">
        <f t="shared" si="55"/>
        <v>15321.2</v>
      </c>
      <c r="AE155" s="31">
        <f t="shared" si="56"/>
        <v>21439.8</v>
      </c>
      <c r="AF155" s="31">
        <f t="shared" si="57"/>
        <v>27682</v>
      </c>
      <c r="AG155" s="31">
        <f t="shared" si="58"/>
        <v>35391</v>
      </c>
      <c r="AH155" s="31">
        <f t="shared" si="59"/>
        <v>39490</v>
      </c>
    </row>
    <row r="156" spans="1:34">
      <c r="A156" s="27" t="s">
        <v>158</v>
      </c>
      <c r="B156" s="200" t="s">
        <v>104</v>
      </c>
      <c r="C156" s="31">
        <f t="shared" si="31"/>
        <v>450</v>
      </c>
      <c r="D156" s="31">
        <f t="shared" si="32"/>
        <v>231.2</v>
      </c>
      <c r="E156" s="31">
        <f t="shared" si="33"/>
        <v>350</v>
      </c>
      <c r="F156" s="31">
        <f t="shared" si="34"/>
        <v>805</v>
      </c>
      <c r="G156" s="31">
        <f t="shared" si="35"/>
        <v>380.4</v>
      </c>
      <c r="H156" s="31">
        <f t="shared" si="36"/>
        <v>339</v>
      </c>
      <c r="I156" s="31">
        <f t="shared" si="37"/>
        <v>685.5</v>
      </c>
      <c r="J156" s="31">
        <f t="shared" si="38"/>
        <v>630.500000000001</v>
      </c>
      <c r="K156" s="31">
        <f t="shared" si="39"/>
        <v>784.2</v>
      </c>
      <c r="L156" s="31">
        <f t="shared" si="40"/>
        <v>96.0000000000002</v>
      </c>
      <c r="M156" s="31">
        <f t="shared" si="41"/>
        <v>228.6</v>
      </c>
      <c r="N156" s="31">
        <f t="shared" si="42"/>
        <v>314.5</v>
      </c>
      <c r="O156" s="31">
        <f t="shared" si="43"/>
        <v>2143.5</v>
      </c>
      <c r="P156" s="31">
        <f>MAX(AT16-AS16+'06-23Closure'!E15,AT51,0)*10</f>
        <v>2653</v>
      </c>
      <c r="Q156" s="31">
        <f>MAX(AU16-AT16+'06-23Closure'!F15,AU51,0)*10</f>
        <v>5927</v>
      </c>
      <c r="S156" s="31">
        <f t="shared" si="44"/>
        <v>4344</v>
      </c>
      <c r="T156" s="31">
        <f t="shared" si="45"/>
        <v>4794</v>
      </c>
      <c r="U156" s="31">
        <f t="shared" si="46"/>
        <v>5025.2</v>
      </c>
      <c r="V156" s="31">
        <f t="shared" si="47"/>
        <v>5375.2</v>
      </c>
      <c r="W156" s="31">
        <f t="shared" si="48"/>
        <v>6180.2</v>
      </c>
      <c r="X156" s="31">
        <f t="shared" si="49"/>
        <v>6560.6</v>
      </c>
      <c r="Y156" s="31">
        <f t="shared" si="50"/>
        <v>6860.1</v>
      </c>
      <c r="Z156" s="31">
        <f t="shared" si="51"/>
        <v>7545.6</v>
      </c>
      <c r="AA156" s="31">
        <f t="shared" si="52"/>
        <v>8176.1</v>
      </c>
      <c r="AB156" s="31">
        <f t="shared" si="53"/>
        <v>8960.3</v>
      </c>
      <c r="AC156" s="31">
        <f t="shared" si="54"/>
        <v>9056.3</v>
      </c>
      <c r="AD156" s="31">
        <f t="shared" si="55"/>
        <v>9284.9</v>
      </c>
      <c r="AE156" s="31">
        <f t="shared" si="56"/>
        <v>9364.5</v>
      </c>
      <c r="AF156" s="31">
        <f t="shared" si="57"/>
        <v>11508</v>
      </c>
      <c r="AG156" s="31">
        <f t="shared" si="58"/>
        <v>14134</v>
      </c>
      <c r="AH156" s="31">
        <f t="shared" si="59"/>
        <v>17760</v>
      </c>
    </row>
    <row r="157" spans="1:34">
      <c r="A157" s="27" t="s">
        <v>158</v>
      </c>
      <c r="B157" s="200" t="s">
        <v>106</v>
      </c>
      <c r="C157" s="31">
        <f t="shared" si="31"/>
        <v>0</v>
      </c>
      <c r="D157" s="31">
        <f t="shared" si="32"/>
        <v>286</v>
      </c>
      <c r="E157" s="31">
        <f t="shared" si="33"/>
        <v>465.2</v>
      </c>
      <c r="F157" s="31">
        <f t="shared" si="34"/>
        <v>513.6</v>
      </c>
      <c r="G157" s="31">
        <f t="shared" si="35"/>
        <v>97.6999999999998</v>
      </c>
      <c r="H157" s="31">
        <f t="shared" si="36"/>
        <v>249.4</v>
      </c>
      <c r="I157" s="31">
        <f t="shared" si="37"/>
        <v>1300</v>
      </c>
      <c r="J157" s="31">
        <f t="shared" si="38"/>
        <v>612</v>
      </c>
      <c r="K157" s="31">
        <f t="shared" si="39"/>
        <v>1392</v>
      </c>
      <c r="L157" s="31">
        <f t="shared" si="40"/>
        <v>575.9</v>
      </c>
      <c r="M157" s="31">
        <f t="shared" si="41"/>
        <v>92.8999999999996</v>
      </c>
      <c r="N157" s="31">
        <f t="shared" si="42"/>
        <v>1222.6</v>
      </c>
      <c r="O157" s="31">
        <f t="shared" si="43"/>
        <v>1029.6</v>
      </c>
      <c r="P157" s="31">
        <f>MAX(AT17-AS17+'06-23Closure'!E16,AT52,0)*10</f>
        <v>3830</v>
      </c>
      <c r="Q157" s="31">
        <f>MAX(AU17-AT17+'06-23Closure'!F16,AU52,0)*10</f>
        <v>1345.55</v>
      </c>
      <c r="S157" s="31">
        <f t="shared" si="44"/>
        <v>1732.6</v>
      </c>
      <c r="T157" s="31">
        <f t="shared" si="45"/>
        <v>1732.6</v>
      </c>
      <c r="U157" s="31">
        <f t="shared" si="46"/>
        <v>2018.6</v>
      </c>
      <c r="V157" s="31">
        <f t="shared" si="47"/>
        <v>2483.8</v>
      </c>
      <c r="W157" s="31">
        <f t="shared" si="48"/>
        <v>2997.4</v>
      </c>
      <c r="X157" s="31">
        <f t="shared" si="49"/>
        <v>3095.1</v>
      </c>
      <c r="Y157" s="31">
        <f t="shared" si="50"/>
        <v>3344.5</v>
      </c>
      <c r="Z157" s="31">
        <f t="shared" si="51"/>
        <v>4614.3</v>
      </c>
      <c r="AA157" s="31">
        <f t="shared" si="52"/>
        <v>5098.8</v>
      </c>
      <c r="AB157" s="31">
        <f t="shared" si="53"/>
        <v>6424</v>
      </c>
      <c r="AC157" s="31">
        <f t="shared" si="54"/>
        <v>6999.9</v>
      </c>
      <c r="AD157" s="31">
        <f t="shared" si="55"/>
        <v>7092.8</v>
      </c>
      <c r="AE157" s="31">
        <f t="shared" si="56"/>
        <v>8315.4</v>
      </c>
      <c r="AF157" s="31">
        <f t="shared" si="57"/>
        <v>9345</v>
      </c>
      <c r="AG157" s="31">
        <f t="shared" si="58"/>
        <v>13001</v>
      </c>
      <c r="AH157" s="31">
        <f t="shared" si="59"/>
        <v>13910</v>
      </c>
    </row>
    <row r="158" spans="1:34">
      <c r="A158" s="27" t="s">
        <v>158</v>
      </c>
      <c r="B158" s="200" t="s">
        <v>108</v>
      </c>
      <c r="C158" s="31">
        <f t="shared" si="31"/>
        <v>125</v>
      </c>
      <c r="D158" s="31">
        <f t="shared" si="32"/>
        <v>251.9</v>
      </c>
      <c r="E158" s="31">
        <f t="shared" si="33"/>
        <v>335.5</v>
      </c>
      <c r="F158" s="31">
        <f t="shared" si="34"/>
        <v>215</v>
      </c>
      <c r="G158" s="31">
        <f t="shared" si="35"/>
        <v>600</v>
      </c>
      <c r="H158" s="31">
        <f t="shared" si="36"/>
        <v>300</v>
      </c>
      <c r="I158" s="31">
        <f t="shared" si="37"/>
        <v>0</v>
      </c>
      <c r="J158" s="31">
        <f t="shared" si="38"/>
        <v>652.5</v>
      </c>
      <c r="K158" s="31">
        <f t="shared" si="39"/>
        <v>395.5</v>
      </c>
      <c r="L158" s="31">
        <f t="shared" si="40"/>
        <v>350</v>
      </c>
      <c r="M158" s="31">
        <f t="shared" si="41"/>
        <v>279</v>
      </c>
      <c r="N158" s="31">
        <f t="shared" si="42"/>
        <v>300</v>
      </c>
      <c r="O158" s="31">
        <f t="shared" si="43"/>
        <v>410</v>
      </c>
      <c r="P158" s="31">
        <f>MAX(AT18-AS18+'06-23Closure'!E17,AT53,0)*10</f>
        <v>666.999999999999</v>
      </c>
      <c r="Q158" s="31">
        <f>MAX(AU18-AT18+'06-23Closure'!F17,AU53,0)*10</f>
        <v>2821.5</v>
      </c>
      <c r="S158" s="31">
        <f t="shared" si="44"/>
        <v>2232.4</v>
      </c>
      <c r="T158" s="31">
        <f t="shared" si="45"/>
        <v>2357.4</v>
      </c>
      <c r="U158" s="31">
        <f t="shared" si="46"/>
        <v>2609.3</v>
      </c>
      <c r="V158" s="31">
        <f t="shared" si="47"/>
        <v>2944.8</v>
      </c>
      <c r="W158" s="31">
        <f t="shared" si="48"/>
        <v>3159.8</v>
      </c>
      <c r="X158" s="31">
        <f t="shared" si="49"/>
        <v>3759.8</v>
      </c>
      <c r="Y158" s="31">
        <f t="shared" si="50"/>
        <v>4016.9</v>
      </c>
      <c r="Z158" s="31">
        <f t="shared" si="51"/>
        <v>3821.8</v>
      </c>
      <c r="AA158" s="31">
        <f t="shared" si="52"/>
        <v>4474.3</v>
      </c>
      <c r="AB158" s="31">
        <f t="shared" si="53"/>
        <v>4869.8</v>
      </c>
      <c r="AC158" s="31">
        <f t="shared" si="54"/>
        <v>5128.8</v>
      </c>
      <c r="AD158" s="31">
        <f t="shared" si="55"/>
        <v>5407.8</v>
      </c>
      <c r="AE158" s="31">
        <f t="shared" si="56"/>
        <v>5496</v>
      </c>
      <c r="AF158" s="31">
        <f t="shared" si="57"/>
        <v>5906</v>
      </c>
      <c r="AG158" s="31">
        <f t="shared" si="58"/>
        <v>6568</v>
      </c>
      <c r="AH158" s="31">
        <f t="shared" si="59"/>
        <v>9270</v>
      </c>
    </row>
    <row r="159" spans="1:34">
      <c r="A159" s="27" t="s">
        <v>158</v>
      </c>
      <c r="B159" s="200" t="s">
        <v>110</v>
      </c>
      <c r="C159" s="31">
        <f t="shared" si="31"/>
        <v>1073</v>
      </c>
      <c r="D159" s="31">
        <f t="shared" si="32"/>
        <v>853.5</v>
      </c>
      <c r="E159" s="31">
        <f t="shared" si="33"/>
        <v>777.5</v>
      </c>
      <c r="F159" s="31">
        <f t="shared" si="34"/>
        <v>1365.9</v>
      </c>
      <c r="G159" s="31">
        <f t="shared" si="35"/>
        <v>2706</v>
      </c>
      <c r="H159" s="31">
        <f t="shared" si="36"/>
        <v>1025</v>
      </c>
      <c r="I159" s="31">
        <f t="shared" si="37"/>
        <v>830.8</v>
      </c>
      <c r="J159" s="31">
        <f t="shared" si="38"/>
        <v>1905.6</v>
      </c>
      <c r="K159" s="31">
        <f t="shared" si="39"/>
        <v>1031.7</v>
      </c>
      <c r="L159" s="31">
        <f t="shared" si="40"/>
        <v>4144.7</v>
      </c>
      <c r="M159" s="31">
        <f t="shared" si="41"/>
        <v>5392</v>
      </c>
      <c r="N159" s="31">
        <f t="shared" si="42"/>
        <v>2774</v>
      </c>
      <c r="O159" s="31">
        <f t="shared" si="43"/>
        <v>4477.6</v>
      </c>
      <c r="P159" s="31">
        <f>MAX(AT19-AS19+'06-23Closure'!E18,AT54,0)*10</f>
        <v>12392</v>
      </c>
      <c r="Q159" s="31">
        <f>MAX(AU19-AT19+'06-23Closure'!F18,AU54,0)*10</f>
        <v>6527.2</v>
      </c>
      <c r="S159" s="31">
        <f t="shared" si="44"/>
        <v>10100.8</v>
      </c>
      <c r="T159" s="31">
        <f t="shared" si="45"/>
        <v>11173.8</v>
      </c>
      <c r="U159" s="31">
        <f t="shared" si="46"/>
        <v>11980.5</v>
      </c>
      <c r="V159" s="31">
        <f t="shared" si="47"/>
        <v>12733.3</v>
      </c>
      <c r="W159" s="31">
        <f t="shared" si="48"/>
        <v>14099.2</v>
      </c>
      <c r="X159" s="31">
        <f t="shared" si="49"/>
        <v>16805.2</v>
      </c>
      <c r="Y159" s="31">
        <f t="shared" si="50"/>
        <v>17830.2</v>
      </c>
      <c r="Z159" s="31">
        <f t="shared" si="51"/>
        <v>18020.4</v>
      </c>
      <c r="AA159" s="31">
        <f t="shared" si="52"/>
        <v>19926</v>
      </c>
      <c r="AB159" s="31">
        <f t="shared" si="53"/>
        <v>20957.7</v>
      </c>
      <c r="AC159" s="31">
        <f t="shared" si="54"/>
        <v>25102.4</v>
      </c>
      <c r="AD159" s="31">
        <f t="shared" si="55"/>
        <v>30494.4</v>
      </c>
      <c r="AE159" s="31">
        <f t="shared" si="56"/>
        <v>32860.4</v>
      </c>
      <c r="AF159" s="31">
        <f t="shared" si="57"/>
        <v>37338</v>
      </c>
      <c r="AG159" s="31">
        <f t="shared" si="58"/>
        <v>49395</v>
      </c>
      <c r="AH159" s="31">
        <f t="shared" si="59"/>
        <v>54140</v>
      </c>
    </row>
    <row r="160" spans="1:34">
      <c r="A160" s="27" t="s">
        <v>158</v>
      </c>
      <c r="B160" s="200" t="s">
        <v>112</v>
      </c>
      <c r="C160" s="31">
        <f t="shared" si="31"/>
        <v>631.8</v>
      </c>
      <c r="D160" s="31">
        <f t="shared" si="32"/>
        <v>199</v>
      </c>
      <c r="E160" s="31">
        <f t="shared" si="33"/>
        <v>1596</v>
      </c>
      <c r="F160" s="31">
        <f t="shared" si="34"/>
        <v>993</v>
      </c>
      <c r="G160" s="31">
        <f t="shared" si="35"/>
        <v>687</v>
      </c>
      <c r="H160" s="31">
        <f t="shared" si="36"/>
        <v>2052.5</v>
      </c>
      <c r="I160" s="31">
        <f t="shared" si="37"/>
        <v>689.199999999998</v>
      </c>
      <c r="J160" s="31">
        <f t="shared" si="38"/>
        <v>392</v>
      </c>
      <c r="K160" s="31">
        <f t="shared" si="39"/>
        <v>1560</v>
      </c>
      <c r="L160" s="31">
        <f t="shared" si="40"/>
        <v>555.5</v>
      </c>
      <c r="M160" s="31">
        <f t="shared" si="41"/>
        <v>1731</v>
      </c>
      <c r="N160" s="31">
        <f t="shared" si="42"/>
        <v>6735.2</v>
      </c>
      <c r="O160" s="31">
        <f t="shared" si="43"/>
        <v>4479.5</v>
      </c>
      <c r="P160" s="31">
        <f>MAX(AT20-AS20+'06-23Closure'!E19,AT55,0)*10</f>
        <v>6437</v>
      </c>
      <c r="Q160" s="31">
        <f>MAX(AU20-AT20+'06-23Closure'!F19,AU55,0)*10</f>
        <v>9250</v>
      </c>
      <c r="S160" s="31">
        <f t="shared" si="44"/>
        <v>7104</v>
      </c>
      <c r="T160" s="31">
        <f t="shared" si="45"/>
        <v>7735.8</v>
      </c>
      <c r="U160" s="31">
        <f t="shared" si="46"/>
        <v>7928.4</v>
      </c>
      <c r="V160" s="31">
        <f t="shared" si="47"/>
        <v>9524.4</v>
      </c>
      <c r="W160" s="31">
        <f t="shared" si="48"/>
        <v>10514.9</v>
      </c>
      <c r="X160" s="31">
        <f t="shared" si="49"/>
        <v>11103.9</v>
      </c>
      <c r="Y160" s="31">
        <f t="shared" si="50"/>
        <v>13156.4</v>
      </c>
      <c r="Z160" s="31">
        <f t="shared" si="51"/>
        <v>13845.6</v>
      </c>
      <c r="AA160" s="31">
        <f t="shared" si="52"/>
        <v>13789</v>
      </c>
      <c r="AB160" s="31">
        <f t="shared" si="53"/>
        <v>15349</v>
      </c>
      <c r="AC160" s="31">
        <f t="shared" si="54"/>
        <v>15904.5</v>
      </c>
      <c r="AD160" s="31">
        <f t="shared" si="55"/>
        <v>17635.5</v>
      </c>
      <c r="AE160" s="31">
        <f t="shared" si="56"/>
        <v>21788.5</v>
      </c>
      <c r="AF160" s="31">
        <f t="shared" si="57"/>
        <v>26268</v>
      </c>
      <c r="AG160" s="31">
        <f t="shared" si="58"/>
        <v>32603</v>
      </c>
      <c r="AH160" s="31">
        <f t="shared" si="59"/>
        <v>38540</v>
      </c>
    </row>
    <row r="161" spans="1:34">
      <c r="A161" s="27" t="s">
        <v>158</v>
      </c>
      <c r="B161" s="200" t="s">
        <v>114</v>
      </c>
      <c r="C161" s="31">
        <f t="shared" si="31"/>
        <v>500</v>
      </c>
      <c r="D161" s="31">
        <f t="shared" si="32"/>
        <v>300</v>
      </c>
      <c r="E161" s="31">
        <f t="shared" si="33"/>
        <v>110.5</v>
      </c>
      <c r="F161" s="31">
        <f t="shared" si="34"/>
        <v>718</v>
      </c>
      <c r="G161" s="31">
        <f t="shared" si="35"/>
        <v>1226.5</v>
      </c>
      <c r="H161" s="31">
        <f t="shared" si="36"/>
        <v>1258.5</v>
      </c>
      <c r="I161" s="31">
        <f t="shared" si="37"/>
        <v>1299</v>
      </c>
      <c r="J161" s="31">
        <f t="shared" si="38"/>
        <v>168</v>
      </c>
      <c r="K161" s="31">
        <f t="shared" si="39"/>
        <v>55</v>
      </c>
      <c r="L161" s="31">
        <f t="shared" si="40"/>
        <v>70.4999999999995</v>
      </c>
      <c r="M161" s="31">
        <f t="shared" si="41"/>
        <v>25.5000000000007</v>
      </c>
      <c r="N161" s="31">
        <f t="shared" si="42"/>
        <v>1634.3</v>
      </c>
      <c r="O161" s="31">
        <f t="shared" si="43"/>
        <v>17.5</v>
      </c>
      <c r="P161" s="31">
        <f>MAX(AT21-AS21+'06-23Closure'!E20,AT56,0)*10</f>
        <v>2333</v>
      </c>
      <c r="Q161" s="31">
        <f>MAX(AU21-AT21+'06-23Closure'!F20,AU56,0)*10</f>
        <v>1860</v>
      </c>
      <c r="S161" s="31">
        <f t="shared" si="44"/>
        <v>3066.6</v>
      </c>
      <c r="T161" s="31">
        <f t="shared" si="45"/>
        <v>3566.6</v>
      </c>
      <c r="U161" s="31">
        <f t="shared" si="46"/>
        <v>3602.1</v>
      </c>
      <c r="V161" s="31">
        <f t="shared" si="47"/>
        <v>3712.6</v>
      </c>
      <c r="W161" s="31">
        <f t="shared" si="48"/>
        <v>4430.6</v>
      </c>
      <c r="X161" s="31">
        <f t="shared" si="49"/>
        <v>5382.1</v>
      </c>
      <c r="Y161" s="31">
        <f t="shared" si="50"/>
        <v>6640.6</v>
      </c>
      <c r="Z161" s="31">
        <f t="shared" si="51"/>
        <v>7916</v>
      </c>
      <c r="AA161" s="31">
        <f t="shared" si="52"/>
        <v>8038.8</v>
      </c>
      <c r="AB161" s="31">
        <f t="shared" si="53"/>
        <v>8077.3</v>
      </c>
      <c r="AC161" s="31">
        <f t="shared" si="54"/>
        <v>8147.8</v>
      </c>
      <c r="AD161" s="31">
        <f t="shared" si="55"/>
        <v>8173.3</v>
      </c>
      <c r="AE161" s="31">
        <f t="shared" si="56"/>
        <v>9509.3</v>
      </c>
      <c r="AF161" s="31">
        <f t="shared" si="57"/>
        <v>9526</v>
      </c>
      <c r="AG161" s="31">
        <f t="shared" si="58"/>
        <v>11623</v>
      </c>
      <c r="AH161" s="31">
        <f t="shared" si="59"/>
        <v>13040</v>
      </c>
    </row>
    <row r="162" spans="1:34">
      <c r="A162" s="27" t="s">
        <v>158</v>
      </c>
      <c r="B162" s="200" t="s">
        <v>116</v>
      </c>
      <c r="C162" s="31">
        <f t="shared" si="31"/>
        <v>52.5</v>
      </c>
      <c r="D162" s="31">
        <f t="shared" si="32"/>
        <v>70.6</v>
      </c>
      <c r="E162" s="31">
        <f t="shared" si="33"/>
        <v>111.9</v>
      </c>
      <c r="F162" s="31">
        <f t="shared" si="34"/>
        <v>636</v>
      </c>
      <c r="G162" s="31">
        <f t="shared" si="35"/>
        <v>23</v>
      </c>
      <c r="H162" s="31">
        <f t="shared" si="36"/>
        <v>729.3</v>
      </c>
      <c r="I162" s="31">
        <f t="shared" si="37"/>
        <v>0</v>
      </c>
      <c r="J162" s="31">
        <f t="shared" si="38"/>
        <v>0</v>
      </c>
      <c r="K162" s="31">
        <f t="shared" si="39"/>
        <v>660</v>
      </c>
      <c r="L162" s="31">
        <f t="shared" si="40"/>
        <v>50</v>
      </c>
      <c r="M162" s="31">
        <f t="shared" si="41"/>
        <v>1471.1</v>
      </c>
      <c r="N162" s="31">
        <f t="shared" si="42"/>
        <v>332.800000000001</v>
      </c>
      <c r="O162" s="31">
        <f t="shared" si="43"/>
        <v>432.5</v>
      </c>
      <c r="P162" s="31">
        <f>MAX(AT22-AS22+'06-23Closure'!E21,AT57,0)*10</f>
        <v>3544</v>
      </c>
      <c r="Q162" s="31">
        <f>MAX(AU22-AT22+'06-23Closure'!F21,AU57,0)*10</f>
        <v>3170</v>
      </c>
      <c r="S162" s="31">
        <f t="shared" si="44"/>
        <v>3309.2</v>
      </c>
      <c r="T162" s="31">
        <f t="shared" si="45"/>
        <v>3361.7</v>
      </c>
      <c r="U162" s="31">
        <f t="shared" si="46"/>
        <v>3432.3</v>
      </c>
      <c r="V162" s="31">
        <f t="shared" si="47"/>
        <v>3544.2</v>
      </c>
      <c r="W162" s="31">
        <f t="shared" si="48"/>
        <v>4080.7</v>
      </c>
      <c r="X162" s="31">
        <f t="shared" si="49"/>
        <v>4087.8</v>
      </c>
      <c r="Y162" s="31">
        <f t="shared" si="50"/>
        <v>4817.1</v>
      </c>
      <c r="Z162" s="31">
        <f t="shared" si="51"/>
        <v>4549.4</v>
      </c>
      <c r="AA162" s="31">
        <f t="shared" si="52"/>
        <v>4477.4</v>
      </c>
      <c r="AB162" s="31">
        <f t="shared" si="53"/>
        <v>4997.8</v>
      </c>
      <c r="AC162" s="31">
        <f t="shared" si="54"/>
        <v>4975.6</v>
      </c>
      <c r="AD162" s="31">
        <f t="shared" si="55"/>
        <v>6446.7</v>
      </c>
      <c r="AE162" s="31">
        <f t="shared" si="56"/>
        <v>6779.5</v>
      </c>
      <c r="AF162" s="31">
        <f t="shared" si="57"/>
        <v>7212</v>
      </c>
      <c r="AG162" s="31">
        <f t="shared" si="58"/>
        <v>10715</v>
      </c>
      <c r="AH162" s="31">
        <f t="shared" si="59"/>
        <v>13360</v>
      </c>
    </row>
    <row r="163" spans="1:34">
      <c r="A163" s="27" t="s">
        <v>158</v>
      </c>
      <c r="B163" s="200" t="s">
        <v>118</v>
      </c>
      <c r="C163" s="31">
        <f t="shared" si="31"/>
        <v>2487.5</v>
      </c>
      <c r="D163" s="31">
        <f t="shared" si="32"/>
        <v>2948.2</v>
      </c>
      <c r="E163" s="31">
        <f t="shared" si="33"/>
        <v>2964.4</v>
      </c>
      <c r="F163" s="31">
        <f t="shared" si="34"/>
        <v>3462.9</v>
      </c>
      <c r="G163" s="31">
        <f t="shared" si="35"/>
        <v>1614.2</v>
      </c>
      <c r="H163" s="31">
        <f t="shared" si="36"/>
        <v>554.7</v>
      </c>
      <c r="I163" s="31">
        <f t="shared" si="37"/>
        <v>512</v>
      </c>
      <c r="J163" s="31">
        <f t="shared" si="38"/>
        <v>1578</v>
      </c>
      <c r="K163" s="31">
        <f t="shared" si="39"/>
        <v>1417.8</v>
      </c>
      <c r="L163" s="31">
        <f t="shared" si="40"/>
        <v>1465.4</v>
      </c>
      <c r="M163" s="31">
        <f t="shared" si="41"/>
        <v>1993.6</v>
      </c>
      <c r="N163" s="31">
        <f t="shared" si="42"/>
        <v>2941.5</v>
      </c>
      <c r="O163" s="31">
        <f t="shared" si="43"/>
        <v>5010.1</v>
      </c>
      <c r="P163" s="31">
        <f>MAX(AT23-AS23+'06-23Closure'!E22,AT58,0)*10</f>
        <v>6040</v>
      </c>
      <c r="Q163" s="31">
        <f>MAX(AU23-AT23+'06-23Closure'!F22,AU58,0)*10</f>
        <v>6970</v>
      </c>
      <c r="S163" s="31">
        <f t="shared" si="44"/>
        <v>8250.6</v>
      </c>
      <c r="T163" s="31">
        <f t="shared" si="45"/>
        <v>10738.1</v>
      </c>
      <c r="U163" s="31">
        <f t="shared" si="46"/>
        <v>13472.8</v>
      </c>
      <c r="V163" s="31">
        <f t="shared" si="47"/>
        <v>16260.4</v>
      </c>
      <c r="W163" s="31">
        <f t="shared" si="48"/>
        <v>19723.3</v>
      </c>
      <c r="X163" s="31">
        <f t="shared" si="49"/>
        <v>21337.5</v>
      </c>
      <c r="Y163" s="31">
        <f t="shared" si="50"/>
        <v>21715.7</v>
      </c>
      <c r="Z163" s="31">
        <f t="shared" si="51"/>
        <v>21937.1</v>
      </c>
      <c r="AA163" s="31">
        <f t="shared" si="52"/>
        <v>23013.2</v>
      </c>
      <c r="AB163" s="31">
        <f t="shared" si="53"/>
        <v>24431</v>
      </c>
      <c r="AC163" s="31">
        <f t="shared" si="54"/>
        <v>25237.8</v>
      </c>
      <c r="AD163" s="31">
        <f t="shared" si="55"/>
        <v>27231.4</v>
      </c>
      <c r="AE163" s="31">
        <f t="shared" si="56"/>
        <v>30172.9</v>
      </c>
      <c r="AF163" s="31">
        <f t="shared" si="57"/>
        <v>35183</v>
      </c>
      <c r="AG163" s="31">
        <f t="shared" si="58"/>
        <v>40615</v>
      </c>
      <c r="AH163" s="31">
        <f t="shared" si="59"/>
        <v>4710</v>
      </c>
    </row>
    <row r="164" spans="1:34">
      <c r="A164" s="27" t="s">
        <v>158</v>
      </c>
      <c r="B164" s="200" t="s">
        <v>120</v>
      </c>
      <c r="C164" s="31">
        <f t="shared" si="31"/>
        <v>28</v>
      </c>
      <c r="D164" s="31">
        <f t="shared" si="32"/>
        <v>292</v>
      </c>
      <c r="E164" s="31">
        <f t="shared" si="33"/>
        <v>208.4</v>
      </c>
      <c r="F164" s="31">
        <f t="shared" si="34"/>
        <v>47.2</v>
      </c>
      <c r="G164" s="31">
        <f t="shared" si="35"/>
        <v>69.4</v>
      </c>
      <c r="H164" s="31">
        <f t="shared" si="36"/>
        <v>41.8000000000001</v>
      </c>
      <c r="I164" s="31">
        <f t="shared" si="37"/>
        <v>0</v>
      </c>
      <c r="J164" s="31">
        <f t="shared" si="38"/>
        <v>932.5</v>
      </c>
      <c r="K164" s="31">
        <f t="shared" si="39"/>
        <v>0</v>
      </c>
      <c r="L164" s="31">
        <f t="shared" si="40"/>
        <v>58.1</v>
      </c>
      <c r="M164" s="31">
        <f t="shared" si="41"/>
        <v>33.8999999999999</v>
      </c>
      <c r="N164" s="31">
        <f t="shared" si="42"/>
        <v>1188</v>
      </c>
      <c r="O164" s="31">
        <f t="shared" si="43"/>
        <v>552.9</v>
      </c>
      <c r="P164" s="31">
        <f>MAX(AT24-AS24+'06-23Closure'!E23,AT59,0)*10</f>
        <v>535</v>
      </c>
      <c r="Q164" s="31">
        <f>MAX(AU24-AT24+'06-23Closure'!F23,AU59,0)*10</f>
        <v>4434.37</v>
      </c>
      <c r="S164" s="31">
        <f t="shared" si="44"/>
        <v>1674.2</v>
      </c>
      <c r="T164" s="31">
        <f t="shared" si="45"/>
        <v>1702.2</v>
      </c>
      <c r="U164" s="31">
        <f t="shared" si="46"/>
        <v>1994.2</v>
      </c>
      <c r="V164" s="31">
        <f t="shared" si="47"/>
        <v>2194.4</v>
      </c>
      <c r="W164" s="31">
        <f t="shared" si="48"/>
        <v>2241.6</v>
      </c>
      <c r="X164" s="31">
        <f t="shared" si="49"/>
        <v>2311</v>
      </c>
      <c r="Y164" s="31">
        <f t="shared" si="50"/>
        <v>2352.8</v>
      </c>
      <c r="Z164" s="31">
        <f t="shared" si="51"/>
        <v>2322.5</v>
      </c>
      <c r="AA164" s="31">
        <f t="shared" si="52"/>
        <v>3255</v>
      </c>
      <c r="AB164" s="31">
        <f t="shared" si="53"/>
        <v>3098.1</v>
      </c>
      <c r="AC164" s="31">
        <f t="shared" si="54"/>
        <v>3156.2</v>
      </c>
      <c r="AD164" s="31">
        <f t="shared" si="55"/>
        <v>3190.1</v>
      </c>
      <c r="AE164" s="31">
        <f t="shared" si="56"/>
        <v>4378.1</v>
      </c>
      <c r="AF164" s="31">
        <f t="shared" si="57"/>
        <v>4931</v>
      </c>
      <c r="AG164" s="31">
        <f t="shared" si="58"/>
        <v>5434</v>
      </c>
      <c r="AH164" s="31">
        <f t="shared" si="59"/>
        <v>9310</v>
      </c>
    </row>
    <row r="165" spans="1:34">
      <c r="A165" s="27" t="s">
        <v>158</v>
      </c>
      <c r="B165" s="200" t="s">
        <v>122</v>
      </c>
      <c r="C165" s="31">
        <f t="shared" si="31"/>
        <v>0</v>
      </c>
      <c r="D165" s="31">
        <f t="shared" si="32"/>
        <v>46.5000000000001</v>
      </c>
      <c r="E165" s="31">
        <f t="shared" si="33"/>
        <v>427.4</v>
      </c>
      <c r="F165" s="31">
        <f t="shared" si="34"/>
        <v>40</v>
      </c>
      <c r="G165" s="31">
        <f t="shared" si="35"/>
        <v>1.99999999999989</v>
      </c>
      <c r="H165" s="31">
        <f t="shared" si="36"/>
        <v>0</v>
      </c>
      <c r="I165" s="31">
        <f t="shared" si="37"/>
        <v>125.1</v>
      </c>
      <c r="J165" s="31">
        <f t="shared" si="38"/>
        <v>250</v>
      </c>
      <c r="K165" s="31">
        <f t="shared" si="39"/>
        <v>125</v>
      </c>
      <c r="L165" s="31">
        <f t="shared" si="40"/>
        <v>0</v>
      </c>
      <c r="M165" s="31">
        <f t="shared" si="41"/>
        <v>0</v>
      </c>
      <c r="N165" s="31">
        <f t="shared" si="42"/>
        <v>400</v>
      </c>
      <c r="O165" s="31">
        <f t="shared" si="43"/>
        <v>0</v>
      </c>
      <c r="P165" s="31">
        <f>MAX(AT25-AS25+'06-23Closure'!E24,AT60,0)*10</f>
        <v>450</v>
      </c>
      <c r="Q165" s="31">
        <f>MAX(AU25-AT25+'06-23Closure'!F24,AU60,0)*10</f>
        <v>418</v>
      </c>
      <c r="S165" s="31">
        <f t="shared" si="44"/>
        <v>537.3</v>
      </c>
      <c r="T165" s="31">
        <f t="shared" si="45"/>
        <v>537.3</v>
      </c>
      <c r="U165" s="31">
        <f t="shared" si="46"/>
        <v>583.8</v>
      </c>
      <c r="V165" s="31">
        <f t="shared" si="47"/>
        <v>1011.2</v>
      </c>
      <c r="W165" s="31">
        <f t="shared" si="48"/>
        <v>1051.2</v>
      </c>
      <c r="X165" s="31">
        <f t="shared" si="49"/>
        <v>1053.2</v>
      </c>
      <c r="Y165" s="31">
        <f t="shared" si="50"/>
        <v>994.7</v>
      </c>
      <c r="Z165" s="31">
        <f t="shared" si="51"/>
        <v>1119.8</v>
      </c>
      <c r="AA165" s="31">
        <f t="shared" si="52"/>
        <v>1245.6</v>
      </c>
      <c r="AB165" s="31">
        <f t="shared" si="53"/>
        <v>1370.6</v>
      </c>
      <c r="AC165" s="31">
        <f t="shared" si="54"/>
        <v>1224.1</v>
      </c>
      <c r="AD165" s="31">
        <f t="shared" si="55"/>
        <v>1199.5</v>
      </c>
      <c r="AE165" s="31">
        <f t="shared" si="56"/>
        <v>1599.5</v>
      </c>
      <c r="AF165" s="31">
        <f t="shared" si="57"/>
        <v>1532</v>
      </c>
      <c r="AG165" s="31">
        <f t="shared" si="58"/>
        <v>1982</v>
      </c>
      <c r="AH165" s="31">
        <f t="shared" si="59"/>
        <v>2400</v>
      </c>
    </row>
    <row r="166" spans="1:34">
      <c r="A166" s="27" t="s">
        <v>158</v>
      </c>
      <c r="B166" s="200" t="s">
        <v>124</v>
      </c>
      <c r="C166" s="31">
        <f t="shared" si="31"/>
        <v>0</v>
      </c>
      <c r="D166" s="31">
        <f t="shared" si="32"/>
        <v>0</v>
      </c>
      <c r="E166" s="31">
        <f t="shared" si="33"/>
        <v>0</v>
      </c>
      <c r="F166" s="31">
        <f t="shared" si="34"/>
        <v>0</v>
      </c>
      <c r="G166" s="31">
        <f t="shared" si="35"/>
        <v>2273.3</v>
      </c>
      <c r="H166" s="31">
        <f t="shared" si="36"/>
        <v>795.5</v>
      </c>
      <c r="I166" s="31">
        <f t="shared" si="37"/>
        <v>114.3</v>
      </c>
      <c r="J166" s="31">
        <f t="shared" si="38"/>
        <v>0</v>
      </c>
      <c r="K166" s="31">
        <f t="shared" si="39"/>
        <v>0</v>
      </c>
      <c r="L166" s="31">
        <f t="shared" si="40"/>
        <v>106.2</v>
      </c>
      <c r="M166" s="31">
        <f t="shared" si="41"/>
        <v>121.7</v>
      </c>
      <c r="N166" s="31">
        <f t="shared" si="42"/>
        <v>342</v>
      </c>
      <c r="O166" s="31">
        <f t="shared" si="43"/>
        <v>470</v>
      </c>
      <c r="P166" s="31">
        <f>MAX(AT26-AS26+'06-23Closure'!E25,AT61,0)*10</f>
        <v>2030</v>
      </c>
      <c r="Q166" s="31">
        <f>MAX(AU26-AT26+'06-23Closure'!F25,AU61,0)*10</f>
        <v>928.6</v>
      </c>
      <c r="S166" s="31">
        <f t="shared" si="44"/>
        <v>0</v>
      </c>
      <c r="T166" s="31">
        <f t="shared" si="45"/>
        <v>0</v>
      </c>
      <c r="U166" s="31">
        <f t="shared" si="46"/>
        <v>0</v>
      </c>
      <c r="V166" s="31">
        <f t="shared" si="47"/>
        <v>0</v>
      </c>
      <c r="W166" s="31">
        <f t="shared" si="48"/>
        <v>0</v>
      </c>
      <c r="X166" s="31">
        <f t="shared" si="49"/>
        <v>2273.3</v>
      </c>
      <c r="Y166" s="31">
        <f t="shared" si="50"/>
        <v>3068.8</v>
      </c>
      <c r="Z166" s="31">
        <f t="shared" si="51"/>
        <v>3183.1</v>
      </c>
      <c r="AA166" s="31">
        <f t="shared" si="52"/>
        <v>2995</v>
      </c>
      <c r="AB166" s="31">
        <f t="shared" si="53"/>
        <v>2898.3</v>
      </c>
      <c r="AC166" s="31">
        <f t="shared" si="54"/>
        <v>3004.5</v>
      </c>
      <c r="AD166" s="31">
        <f t="shared" si="55"/>
        <v>3126.2</v>
      </c>
      <c r="AE166" s="31">
        <f t="shared" si="56"/>
        <v>3271.1</v>
      </c>
      <c r="AF166" s="31">
        <f t="shared" si="57"/>
        <v>3741</v>
      </c>
      <c r="AG166" s="31">
        <f t="shared" si="58"/>
        <v>5594</v>
      </c>
      <c r="AH166" s="31">
        <f t="shared" si="59"/>
        <v>6370</v>
      </c>
    </row>
    <row r="167" spans="1:34">
      <c r="A167" s="27" t="s">
        <v>158</v>
      </c>
      <c r="B167" s="200" t="s">
        <v>126</v>
      </c>
      <c r="C167" s="31">
        <f t="shared" si="31"/>
        <v>252</v>
      </c>
      <c r="D167" s="31">
        <f t="shared" si="32"/>
        <v>451</v>
      </c>
      <c r="E167" s="31">
        <f t="shared" si="33"/>
        <v>239.6</v>
      </c>
      <c r="F167" s="31">
        <f t="shared" si="34"/>
        <v>584</v>
      </c>
      <c r="G167" s="31">
        <f t="shared" si="35"/>
        <v>0</v>
      </c>
      <c r="H167" s="31">
        <f t="shared" si="36"/>
        <v>110.1</v>
      </c>
      <c r="I167" s="31">
        <f t="shared" si="37"/>
        <v>325.5</v>
      </c>
      <c r="J167" s="31">
        <f t="shared" si="38"/>
        <v>662.1</v>
      </c>
      <c r="K167" s="31">
        <f t="shared" si="39"/>
        <v>286.900000000001</v>
      </c>
      <c r="L167" s="31">
        <f t="shared" si="40"/>
        <v>0</v>
      </c>
      <c r="M167" s="31">
        <f t="shared" si="41"/>
        <v>0</v>
      </c>
      <c r="N167" s="31">
        <f t="shared" si="42"/>
        <v>796.3</v>
      </c>
      <c r="O167" s="31">
        <f t="shared" si="43"/>
        <v>595.700000000001</v>
      </c>
      <c r="P167" s="31">
        <f>MAX(AT27-AS27+'06-23Closure'!E26,AT62,0)*10</f>
        <v>2584</v>
      </c>
      <c r="Q167" s="31">
        <f>MAX(AU27-AT27+'06-23Closure'!F26,AU62,0)*10</f>
        <v>3163.905</v>
      </c>
      <c r="S167" s="31">
        <f t="shared" si="44"/>
        <v>5716.2</v>
      </c>
      <c r="T167" s="31">
        <f t="shared" si="45"/>
        <v>5968.2</v>
      </c>
      <c r="U167" s="31">
        <f t="shared" si="46"/>
        <v>6321.6</v>
      </c>
      <c r="V167" s="31">
        <f t="shared" si="47"/>
        <v>6561.2</v>
      </c>
      <c r="W167" s="31">
        <f t="shared" si="48"/>
        <v>7145.2</v>
      </c>
      <c r="X167" s="31">
        <f t="shared" si="49"/>
        <v>5025</v>
      </c>
      <c r="Y167" s="31">
        <f t="shared" si="50"/>
        <v>5135.1</v>
      </c>
      <c r="Z167" s="31">
        <f t="shared" si="51"/>
        <v>5428</v>
      </c>
      <c r="AA167" s="31">
        <f t="shared" si="52"/>
        <v>6090.1</v>
      </c>
      <c r="AB167" s="31">
        <f t="shared" si="53"/>
        <v>6377</v>
      </c>
      <c r="AC167" s="31">
        <f t="shared" si="54"/>
        <v>6142</v>
      </c>
      <c r="AD167" s="31">
        <f t="shared" si="55"/>
        <v>6104</v>
      </c>
      <c r="AE167" s="31">
        <f t="shared" si="56"/>
        <v>6900.3</v>
      </c>
      <c r="AF167" s="31">
        <f t="shared" si="57"/>
        <v>7496</v>
      </c>
      <c r="AG167" s="31">
        <f t="shared" si="58"/>
        <v>9555</v>
      </c>
      <c r="AH167" s="31">
        <f t="shared" si="59"/>
        <v>12000</v>
      </c>
    </row>
    <row r="168" spans="1:34">
      <c r="A168" s="27" t="s">
        <v>158</v>
      </c>
      <c r="B168" s="200" t="s">
        <v>128</v>
      </c>
      <c r="C168" s="31">
        <f t="shared" si="31"/>
        <v>224</v>
      </c>
      <c r="D168" s="31">
        <f t="shared" si="32"/>
        <v>233.9</v>
      </c>
      <c r="E168" s="31">
        <f t="shared" si="33"/>
        <v>201.2</v>
      </c>
      <c r="F168" s="31">
        <f t="shared" si="34"/>
        <v>226.6</v>
      </c>
      <c r="G168" s="31">
        <f t="shared" si="35"/>
        <v>174.9</v>
      </c>
      <c r="H168" s="31">
        <f t="shared" si="36"/>
        <v>432.5</v>
      </c>
      <c r="I168" s="31">
        <f t="shared" si="37"/>
        <v>672.7</v>
      </c>
      <c r="J168" s="31">
        <f t="shared" si="38"/>
        <v>125</v>
      </c>
      <c r="K168" s="31">
        <f t="shared" si="39"/>
        <v>535</v>
      </c>
      <c r="L168" s="31">
        <f t="shared" si="40"/>
        <v>402</v>
      </c>
      <c r="M168" s="31">
        <f t="shared" si="41"/>
        <v>1823.3</v>
      </c>
      <c r="N168" s="31">
        <f t="shared" si="42"/>
        <v>1400</v>
      </c>
      <c r="O168" s="31">
        <f t="shared" si="43"/>
        <v>1965</v>
      </c>
      <c r="P168" s="31">
        <f>MAX(AT28-AS28+'06-23Closure'!E27,AT63,0)*10</f>
        <v>4739</v>
      </c>
      <c r="Q168" s="31">
        <f>MAX(AU28-AT28+'06-23Closure'!F27,AU63,0)*10</f>
        <v>1840</v>
      </c>
      <c r="S168" s="31">
        <f t="shared" si="44"/>
        <v>1552.7</v>
      </c>
      <c r="T168" s="31">
        <f t="shared" si="45"/>
        <v>1776.7</v>
      </c>
      <c r="U168" s="31">
        <f t="shared" si="46"/>
        <v>2010.6</v>
      </c>
      <c r="V168" s="31">
        <f t="shared" si="47"/>
        <v>2211.8</v>
      </c>
      <c r="W168" s="31">
        <f t="shared" si="48"/>
        <v>2438.4</v>
      </c>
      <c r="X168" s="31">
        <f t="shared" si="49"/>
        <v>2613.3</v>
      </c>
      <c r="Y168" s="31">
        <f t="shared" si="50"/>
        <v>3045.8</v>
      </c>
      <c r="Z168" s="31">
        <f t="shared" si="51"/>
        <v>3718.5</v>
      </c>
      <c r="AA168" s="31">
        <f t="shared" si="52"/>
        <v>3705.5</v>
      </c>
      <c r="AB168" s="31">
        <f t="shared" si="53"/>
        <v>4240.5</v>
      </c>
      <c r="AC168" s="31">
        <f t="shared" si="54"/>
        <v>4642.5</v>
      </c>
      <c r="AD168" s="31">
        <f t="shared" si="55"/>
        <v>6465.8</v>
      </c>
      <c r="AE168" s="31">
        <f t="shared" si="56"/>
        <v>7801.8</v>
      </c>
      <c r="AF168" s="31">
        <f t="shared" si="57"/>
        <v>9635</v>
      </c>
      <c r="AG168" s="31">
        <f t="shared" si="58"/>
        <v>14350</v>
      </c>
      <c r="AH168" s="31">
        <f t="shared" si="59"/>
        <v>15960</v>
      </c>
    </row>
    <row r="169" spans="1:34">
      <c r="A169" s="27" t="s">
        <v>158</v>
      </c>
      <c r="B169" s="200" t="s">
        <v>130</v>
      </c>
      <c r="C169" s="31">
        <f t="shared" si="31"/>
        <v>0</v>
      </c>
      <c r="D169" s="31">
        <f t="shared" si="32"/>
        <v>0</v>
      </c>
      <c r="E169" s="31">
        <f t="shared" si="33"/>
        <v>3.10000000000002</v>
      </c>
      <c r="F169" s="31">
        <f t="shared" si="34"/>
        <v>203.5</v>
      </c>
      <c r="G169" s="31">
        <f t="shared" si="35"/>
        <v>124</v>
      </c>
      <c r="H169" s="31">
        <f t="shared" si="36"/>
        <v>665</v>
      </c>
      <c r="I169" s="31">
        <f t="shared" si="37"/>
        <v>113.4</v>
      </c>
      <c r="J169" s="31">
        <f t="shared" si="38"/>
        <v>21.6999999999999</v>
      </c>
      <c r="K169" s="31">
        <f t="shared" si="39"/>
        <v>600</v>
      </c>
      <c r="L169" s="31">
        <f t="shared" si="40"/>
        <v>0</v>
      </c>
      <c r="M169" s="31">
        <f t="shared" si="41"/>
        <v>624.1</v>
      </c>
      <c r="N169" s="31">
        <f t="shared" si="42"/>
        <v>1215</v>
      </c>
      <c r="O169" s="31">
        <f t="shared" si="43"/>
        <v>445.1</v>
      </c>
      <c r="P169" s="31">
        <f>MAX(AT29-AS29+'06-23Closure'!E28,AT64,0)*10</f>
        <v>3814</v>
      </c>
      <c r="Q169" s="31">
        <f>MAX(AU29-AT29+'06-23Closure'!F28,AU64,0)*10</f>
        <v>2169</v>
      </c>
      <c r="S169" s="31">
        <f t="shared" si="44"/>
        <v>1414.6</v>
      </c>
      <c r="T169" s="31">
        <f t="shared" si="45"/>
        <v>1414.6</v>
      </c>
      <c r="U169" s="31">
        <f t="shared" si="46"/>
        <v>1336.2</v>
      </c>
      <c r="V169" s="31">
        <f t="shared" si="47"/>
        <v>1339.3</v>
      </c>
      <c r="W169" s="31">
        <f t="shared" si="48"/>
        <v>1542.8</v>
      </c>
      <c r="X169" s="31">
        <f t="shared" si="49"/>
        <v>1666.8</v>
      </c>
      <c r="Y169" s="31">
        <f t="shared" si="50"/>
        <v>2331.8</v>
      </c>
      <c r="Z169" s="31">
        <f t="shared" si="51"/>
        <v>2445.2</v>
      </c>
      <c r="AA169" s="31">
        <f t="shared" si="52"/>
        <v>2466.9</v>
      </c>
      <c r="AB169" s="31">
        <f t="shared" si="53"/>
        <v>2946.3</v>
      </c>
      <c r="AC169" s="31">
        <f t="shared" si="54"/>
        <v>2932.7</v>
      </c>
      <c r="AD169" s="31">
        <f t="shared" si="55"/>
        <v>3556.8</v>
      </c>
      <c r="AE169" s="31">
        <f t="shared" si="56"/>
        <v>4306.9</v>
      </c>
      <c r="AF169" s="31">
        <f t="shared" si="57"/>
        <v>4752</v>
      </c>
      <c r="AG169" s="31">
        <f t="shared" si="58"/>
        <v>8564</v>
      </c>
      <c r="AH169" s="31">
        <f t="shared" si="59"/>
        <v>10630</v>
      </c>
    </row>
    <row r="170" spans="1:34">
      <c r="A170" s="27" t="s">
        <v>158</v>
      </c>
      <c r="B170" s="200" t="s">
        <v>132</v>
      </c>
      <c r="C170" s="31">
        <f t="shared" si="31"/>
        <v>0</v>
      </c>
      <c r="D170" s="31">
        <f t="shared" si="32"/>
        <v>1.4</v>
      </c>
      <c r="E170" s="31">
        <f t="shared" si="33"/>
        <v>0</v>
      </c>
      <c r="F170" s="31">
        <f t="shared" si="34"/>
        <v>330</v>
      </c>
      <c r="G170" s="31">
        <f t="shared" si="35"/>
        <v>0.499999999999998</v>
      </c>
      <c r="H170" s="31">
        <f t="shared" si="36"/>
        <v>2.7</v>
      </c>
      <c r="I170" s="31">
        <f t="shared" si="37"/>
        <v>0</v>
      </c>
      <c r="J170" s="31">
        <f t="shared" si="38"/>
        <v>3.3</v>
      </c>
      <c r="K170" s="31">
        <f t="shared" si="39"/>
        <v>0</v>
      </c>
      <c r="L170" s="31">
        <f t="shared" si="40"/>
        <v>0</v>
      </c>
      <c r="M170" s="31">
        <f t="shared" si="41"/>
        <v>0</v>
      </c>
      <c r="N170" s="31">
        <f t="shared" si="42"/>
        <v>0</v>
      </c>
      <c r="O170" s="31">
        <f t="shared" si="43"/>
        <v>0</v>
      </c>
      <c r="P170" s="31">
        <f>MAX(AT30-AS30+'06-23Closure'!E29,AT65,0)*10</f>
        <v>0</v>
      </c>
      <c r="Q170" s="31">
        <f>MAX(AU30-AT30+'06-23Closure'!F29,AU65,0)*10</f>
        <v>0</v>
      </c>
      <c r="S170" s="31">
        <f t="shared" si="44"/>
        <v>45.7</v>
      </c>
      <c r="T170" s="31">
        <f t="shared" si="45"/>
        <v>45.7</v>
      </c>
      <c r="U170" s="31">
        <f t="shared" si="46"/>
        <v>47.1</v>
      </c>
      <c r="V170" s="31">
        <f t="shared" si="47"/>
        <v>47.1</v>
      </c>
      <c r="W170" s="31">
        <f t="shared" si="48"/>
        <v>55.7</v>
      </c>
      <c r="X170" s="31">
        <f t="shared" si="49"/>
        <v>56.2</v>
      </c>
      <c r="Y170" s="31">
        <f t="shared" si="50"/>
        <v>58.9</v>
      </c>
      <c r="Z170" s="31">
        <f t="shared" si="51"/>
        <v>31.5</v>
      </c>
      <c r="AA170" s="31">
        <f t="shared" si="52"/>
        <v>34.8</v>
      </c>
      <c r="AB170" s="31">
        <f t="shared" si="53"/>
        <v>34.6</v>
      </c>
      <c r="AC170" s="31">
        <f t="shared" si="54"/>
        <v>34.6</v>
      </c>
      <c r="AD170" s="31">
        <f t="shared" si="55"/>
        <v>34.6</v>
      </c>
      <c r="AE170" s="31">
        <f t="shared" si="56"/>
        <v>34.6</v>
      </c>
      <c r="AF170" s="31">
        <f t="shared" si="57"/>
        <v>32</v>
      </c>
      <c r="AG170" s="31">
        <f t="shared" si="58"/>
        <v>12</v>
      </c>
      <c r="AH170" s="31">
        <f t="shared" si="59"/>
        <v>10</v>
      </c>
    </row>
    <row r="171" spans="1:34">
      <c r="A171" s="27" t="s">
        <v>158</v>
      </c>
      <c r="B171" s="200" t="s">
        <v>134</v>
      </c>
      <c r="C171" s="31">
        <f t="shared" si="31"/>
        <v>0</v>
      </c>
      <c r="D171" s="31">
        <f t="shared" si="32"/>
        <v>0</v>
      </c>
      <c r="E171" s="31">
        <f t="shared" si="33"/>
        <v>661</v>
      </c>
      <c r="F171" s="31">
        <f t="shared" si="34"/>
        <v>420.5</v>
      </c>
      <c r="G171" s="31">
        <f t="shared" si="35"/>
        <v>17.9999999999995</v>
      </c>
      <c r="H171" s="31">
        <f t="shared" si="36"/>
        <v>860</v>
      </c>
      <c r="I171" s="31">
        <f t="shared" si="37"/>
        <v>400</v>
      </c>
      <c r="J171" s="31">
        <f t="shared" si="38"/>
        <v>541.900000000001</v>
      </c>
      <c r="K171" s="31">
        <f t="shared" si="39"/>
        <v>378</v>
      </c>
      <c r="L171" s="31">
        <f t="shared" si="40"/>
        <v>433</v>
      </c>
      <c r="M171" s="31">
        <f t="shared" si="41"/>
        <v>591</v>
      </c>
      <c r="N171" s="31">
        <f t="shared" si="42"/>
        <v>912</v>
      </c>
      <c r="O171" s="31">
        <f t="shared" si="43"/>
        <v>1999.6</v>
      </c>
      <c r="P171" s="31">
        <f>MAX(AT31-AS31+'06-23Closure'!E30,AT66,0)*10</f>
        <v>740</v>
      </c>
      <c r="Q171" s="31">
        <f>MAX(AU31-AT31+'06-23Closure'!F30,AU66,0)*10</f>
        <v>2943</v>
      </c>
      <c r="S171" s="31">
        <f t="shared" si="44"/>
        <v>3232.7</v>
      </c>
      <c r="T171" s="31">
        <f t="shared" si="45"/>
        <v>3232.7</v>
      </c>
      <c r="U171" s="31">
        <f t="shared" si="46"/>
        <v>3144.5</v>
      </c>
      <c r="V171" s="31">
        <f t="shared" si="47"/>
        <v>3805.5</v>
      </c>
      <c r="W171" s="31">
        <f t="shared" si="48"/>
        <v>4226</v>
      </c>
      <c r="X171" s="31">
        <f t="shared" si="49"/>
        <v>4244</v>
      </c>
      <c r="Y171" s="31">
        <f t="shared" si="50"/>
        <v>5104</v>
      </c>
      <c r="Z171" s="31">
        <f t="shared" si="51"/>
        <v>5382.5</v>
      </c>
      <c r="AA171" s="31">
        <f t="shared" si="52"/>
        <v>5924.4</v>
      </c>
      <c r="AB171" s="31">
        <f t="shared" si="53"/>
        <v>6302.4</v>
      </c>
      <c r="AC171" s="31">
        <f t="shared" si="54"/>
        <v>6735.4</v>
      </c>
      <c r="AD171" s="31">
        <f t="shared" si="55"/>
        <v>7326.4</v>
      </c>
      <c r="AE171" s="31">
        <f t="shared" si="56"/>
        <v>7640.4</v>
      </c>
      <c r="AF171" s="31">
        <f t="shared" si="57"/>
        <v>9640</v>
      </c>
      <c r="AG171" s="31">
        <f t="shared" si="58"/>
        <v>9723</v>
      </c>
      <c r="AH171" s="31">
        <f t="shared" si="59"/>
        <v>12290</v>
      </c>
    </row>
    <row r="172" spans="1:34">
      <c r="A172" s="27" t="s">
        <v>158</v>
      </c>
      <c r="B172" s="200" t="s">
        <v>136</v>
      </c>
      <c r="C172" s="31">
        <f t="shared" si="31"/>
        <v>0</v>
      </c>
      <c r="D172" s="31">
        <f t="shared" si="32"/>
        <v>35</v>
      </c>
      <c r="E172" s="31">
        <f t="shared" si="33"/>
        <v>19.4</v>
      </c>
      <c r="F172" s="31">
        <f t="shared" si="34"/>
        <v>310.1</v>
      </c>
      <c r="G172" s="31">
        <f t="shared" si="35"/>
        <v>372.2</v>
      </c>
      <c r="H172" s="31">
        <f t="shared" si="36"/>
        <v>190.6</v>
      </c>
      <c r="I172" s="31">
        <f t="shared" si="37"/>
        <v>156.9</v>
      </c>
      <c r="J172" s="31">
        <f t="shared" si="38"/>
        <v>352.2</v>
      </c>
      <c r="K172" s="31">
        <f t="shared" si="39"/>
        <v>300</v>
      </c>
      <c r="L172" s="31">
        <f t="shared" si="40"/>
        <v>12</v>
      </c>
      <c r="M172" s="31">
        <f t="shared" si="41"/>
        <v>863.2</v>
      </c>
      <c r="N172" s="31">
        <f t="shared" si="42"/>
        <v>300</v>
      </c>
      <c r="O172" s="31">
        <f t="shared" si="43"/>
        <v>775</v>
      </c>
      <c r="P172" s="31">
        <f>MAX(AT32-AS32+'06-23Closure'!E31,AT67,0)*10</f>
        <v>810</v>
      </c>
      <c r="Q172" s="31">
        <f>MAX(AU32-AT32+'06-23Closure'!F31,AU67,0)*10</f>
        <v>1530</v>
      </c>
      <c r="S172" s="31">
        <f t="shared" si="44"/>
        <v>2174.8</v>
      </c>
      <c r="T172" s="31">
        <f t="shared" si="45"/>
        <v>2174.8</v>
      </c>
      <c r="U172" s="31">
        <f t="shared" si="46"/>
        <v>2209.8</v>
      </c>
      <c r="V172" s="31">
        <f t="shared" si="47"/>
        <v>2229.2</v>
      </c>
      <c r="W172" s="31">
        <f t="shared" si="48"/>
        <v>2539.3</v>
      </c>
      <c r="X172" s="31">
        <f t="shared" si="49"/>
        <v>2911.5</v>
      </c>
      <c r="Y172" s="31">
        <f t="shared" si="50"/>
        <v>3102.1</v>
      </c>
      <c r="Z172" s="31">
        <f t="shared" si="51"/>
        <v>3259</v>
      </c>
      <c r="AA172" s="31">
        <f t="shared" si="52"/>
        <v>3599.5</v>
      </c>
      <c r="AB172" s="31">
        <f t="shared" si="53"/>
        <v>3874.8</v>
      </c>
      <c r="AC172" s="31">
        <f t="shared" si="54"/>
        <v>3881.8</v>
      </c>
      <c r="AD172" s="31">
        <f t="shared" si="55"/>
        <v>4745</v>
      </c>
      <c r="AE172" s="31">
        <f t="shared" si="56"/>
        <v>4975.6</v>
      </c>
      <c r="AF172" s="31">
        <f t="shared" si="57"/>
        <v>5713</v>
      </c>
      <c r="AG172" s="31">
        <f t="shared" si="58"/>
        <v>6448</v>
      </c>
      <c r="AH172" s="31">
        <f t="shared" si="59"/>
        <v>7840</v>
      </c>
    </row>
    <row r="173" spans="1:34">
      <c r="A173" s="27" t="s">
        <v>158</v>
      </c>
      <c r="B173" s="200" t="s">
        <v>138</v>
      </c>
      <c r="C173" s="31">
        <f t="shared" si="31"/>
        <v>0</v>
      </c>
      <c r="D173" s="31">
        <f t="shared" si="32"/>
        <v>2.99999999999997</v>
      </c>
      <c r="E173" s="31">
        <f t="shared" si="33"/>
        <v>125</v>
      </c>
      <c r="F173" s="31">
        <f t="shared" si="34"/>
        <v>190</v>
      </c>
      <c r="G173" s="31">
        <f t="shared" si="35"/>
        <v>0</v>
      </c>
      <c r="H173" s="31">
        <f t="shared" si="36"/>
        <v>1.30000000000003</v>
      </c>
      <c r="I173" s="31">
        <f t="shared" si="37"/>
        <v>138.1</v>
      </c>
      <c r="J173" s="31">
        <f t="shared" si="38"/>
        <v>125</v>
      </c>
      <c r="K173" s="31">
        <f t="shared" si="39"/>
        <v>0</v>
      </c>
      <c r="L173" s="31">
        <f t="shared" si="40"/>
        <v>36.9999999999999</v>
      </c>
      <c r="M173" s="31">
        <f t="shared" si="41"/>
        <v>102</v>
      </c>
      <c r="N173" s="31">
        <f t="shared" si="42"/>
        <v>9</v>
      </c>
      <c r="O173" s="31">
        <f t="shared" si="43"/>
        <v>0</v>
      </c>
      <c r="P173" s="31">
        <f>MAX(AT33-AS33+'06-23Closure'!E32,AT68,0)*10</f>
        <v>630</v>
      </c>
      <c r="Q173" s="31">
        <f>MAX(AU33-AT33+'06-23Closure'!F32,AU68,0)*10</f>
        <v>383</v>
      </c>
      <c r="S173" s="31">
        <f t="shared" si="44"/>
        <v>338.5</v>
      </c>
      <c r="T173" s="31">
        <f t="shared" si="45"/>
        <v>338.5</v>
      </c>
      <c r="U173" s="31">
        <f t="shared" si="46"/>
        <v>341.5</v>
      </c>
      <c r="V173" s="31">
        <f t="shared" si="47"/>
        <v>466.5</v>
      </c>
      <c r="W173" s="31">
        <f t="shared" si="48"/>
        <v>588.6</v>
      </c>
      <c r="X173" s="31">
        <f t="shared" si="49"/>
        <v>581.4</v>
      </c>
      <c r="Y173" s="31">
        <f t="shared" si="50"/>
        <v>582.7</v>
      </c>
      <c r="Z173" s="31">
        <f t="shared" si="51"/>
        <v>720.8</v>
      </c>
      <c r="AA173" s="31">
        <f t="shared" si="52"/>
        <v>839.8</v>
      </c>
      <c r="AB173" s="31">
        <f t="shared" si="53"/>
        <v>766.8</v>
      </c>
      <c r="AC173" s="31">
        <f t="shared" si="54"/>
        <v>803.8</v>
      </c>
      <c r="AD173" s="31">
        <f t="shared" si="55"/>
        <v>905.8</v>
      </c>
      <c r="AE173" s="31">
        <f t="shared" si="56"/>
        <v>889.8</v>
      </c>
      <c r="AF173" s="31">
        <f t="shared" si="57"/>
        <v>887</v>
      </c>
      <c r="AG173" s="31">
        <f t="shared" si="58"/>
        <v>1517</v>
      </c>
      <c r="AH173" s="31">
        <f t="shared" si="59"/>
        <v>1900</v>
      </c>
    </row>
    <row r="174" spans="1:34">
      <c r="A174" s="27" t="s">
        <v>158</v>
      </c>
      <c r="B174" s="200" t="s">
        <v>140</v>
      </c>
      <c r="C174" s="31">
        <f t="shared" si="31"/>
        <v>0</v>
      </c>
      <c r="D174" s="31">
        <f t="shared" si="32"/>
        <v>12.0000000000002</v>
      </c>
      <c r="E174" s="31">
        <f t="shared" si="33"/>
        <v>2.99999999999983</v>
      </c>
      <c r="F174" s="31">
        <f t="shared" si="34"/>
        <v>12.0000000000002</v>
      </c>
      <c r="G174" s="31">
        <f t="shared" si="35"/>
        <v>603</v>
      </c>
      <c r="H174" s="31">
        <f t="shared" si="36"/>
        <v>0</v>
      </c>
      <c r="I174" s="31">
        <f t="shared" si="37"/>
        <v>0</v>
      </c>
      <c r="J174" s="31">
        <f t="shared" si="38"/>
        <v>34.0000000000001</v>
      </c>
      <c r="K174" s="31">
        <f t="shared" si="39"/>
        <v>45.9999999999999</v>
      </c>
      <c r="L174" s="31">
        <f t="shared" si="40"/>
        <v>340</v>
      </c>
      <c r="M174" s="31">
        <f t="shared" si="41"/>
        <v>716</v>
      </c>
      <c r="N174" s="31">
        <f t="shared" si="42"/>
        <v>680</v>
      </c>
      <c r="O174" s="31">
        <f t="shared" si="43"/>
        <v>860</v>
      </c>
      <c r="P174" s="31">
        <f>MAX(AT34-AS34+'06-23Closure'!E33,AT69,0)*10</f>
        <v>1890</v>
      </c>
      <c r="Q174" s="31">
        <f>MAX(AU34-AT34+'06-23Closure'!F33,AU69,0)*10</f>
        <v>1200</v>
      </c>
      <c r="S174" s="31">
        <f t="shared" si="44"/>
        <v>1366</v>
      </c>
      <c r="T174" s="31">
        <f t="shared" si="45"/>
        <v>1366</v>
      </c>
      <c r="U174" s="31">
        <f t="shared" si="46"/>
        <v>1378</v>
      </c>
      <c r="V174" s="31">
        <f t="shared" si="47"/>
        <v>1381</v>
      </c>
      <c r="W174" s="31">
        <f t="shared" si="48"/>
        <v>1393</v>
      </c>
      <c r="X174" s="31">
        <f t="shared" si="49"/>
        <v>1996</v>
      </c>
      <c r="Y174" s="31">
        <f t="shared" si="50"/>
        <v>1996</v>
      </c>
      <c r="Z174" s="31">
        <f t="shared" si="51"/>
        <v>1966</v>
      </c>
      <c r="AA174" s="31">
        <f t="shared" si="52"/>
        <v>2000</v>
      </c>
      <c r="AB174" s="31">
        <f t="shared" si="53"/>
        <v>2046</v>
      </c>
      <c r="AC174" s="31">
        <f t="shared" si="54"/>
        <v>2386</v>
      </c>
      <c r="AD174" s="31">
        <f t="shared" si="55"/>
        <v>3102</v>
      </c>
      <c r="AE174" s="31">
        <f t="shared" si="56"/>
        <v>3782</v>
      </c>
      <c r="AF174" s="31">
        <f t="shared" si="57"/>
        <v>4642</v>
      </c>
      <c r="AG174" s="31">
        <f t="shared" si="58"/>
        <v>6002</v>
      </c>
      <c r="AH174" s="31">
        <f t="shared" si="59"/>
        <v>7030</v>
      </c>
    </row>
    <row r="175" spans="1:34">
      <c r="A175" s="27" t="s">
        <v>158</v>
      </c>
      <c r="B175" s="200" t="s">
        <v>142</v>
      </c>
      <c r="C175" s="31">
        <f t="shared" si="31"/>
        <v>57</v>
      </c>
      <c r="D175" s="31">
        <f t="shared" si="32"/>
        <v>298.3</v>
      </c>
      <c r="E175" s="31">
        <f t="shared" si="33"/>
        <v>111.7</v>
      </c>
      <c r="F175" s="31">
        <f t="shared" si="34"/>
        <v>284.9</v>
      </c>
      <c r="G175" s="31">
        <f t="shared" si="35"/>
        <v>155.8</v>
      </c>
      <c r="H175" s="31">
        <f t="shared" si="36"/>
        <v>359.5</v>
      </c>
      <c r="I175" s="31">
        <f t="shared" si="37"/>
        <v>37</v>
      </c>
      <c r="J175" s="31">
        <f t="shared" si="38"/>
        <v>417.5</v>
      </c>
      <c r="K175" s="31">
        <f t="shared" si="39"/>
        <v>291</v>
      </c>
      <c r="L175" s="31">
        <f t="shared" si="40"/>
        <v>235</v>
      </c>
      <c r="M175" s="31">
        <f t="shared" si="41"/>
        <v>463.6</v>
      </c>
      <c r="N175" s="31">
        <f t="shared" si="42"/>
        <v>546.2</v>
      </c>
      <c r="O175" s="31">
        <f t="shared" si="43"/>
        <v>180</v>
      </c>
      <c r="P175" s="31">
        <f>MAX(AT35-AS35+'06-23Closure'!E34,AT70,0)*10</f>
        <v>890.000000000001</v>
      </c>
      <c r="Q175" s="31">
        <f>MAX(AU35-AT35+'06-23Closure'!F34,AU70,0)*10</f>
        <v>623</v>
      </c>
      <c r="S175" s="31">
        <f t="shared" si="44"/>
        <v>1848.8</v>
      </c>
      <c r="T175" s="31">
        <f t="shared" si="45"/>
        <v>1905.8</v>
      </c>
      <c r="U175" s="31">
        <f t="shared" si="46"/>
        <v>2189.2</v>
      </c>
      <c r="V175" s="31">
        <f t="shared" si="47"/>
        <v>2300.9</v>
      </c>
      <c r="W175" s="31">
        <f t="shared" si="48"/>
        <v>2585.8</v>
      </c>
      <c r="X175" s="31">
        <f t="shared" si="49"/>
        <v>2741.6</v>
      </c>
      <c r="Y175" s="31">
        <f t="shared" si="50"/>
        <v>3101.1</v>
      </c>
      <c r="Z175" s="31">
        <f t="shared" si="51"/>
        <v>3102.4</v>
      </c>
      <c r="AA175" s="31">
        <f t="shared" si="52"/>
        <v>3519.9</v>
      </c>
      <c r="AB175" s="31">
        <f t="shared" si="53"/>
        <v>3804.9</v>
      </c>
      <c r="AC175" s="31">
        <f t="shared" si="54"/>
        <v>3949.9</v>
      </c>
      <c r="AD175" s="31">
        <f t="shared" si="55"/>
        <v>4413.5</v>
      </c>
      <c r="AE175" s="31">
        <f t="shared" si="56"/>
        <v>4959.7</v>
      </c>
      <c r="AF175" s="31">
        <f t="shared" si="57"/>
        <v>5047</v>
      </c>
      <c r="AG175" s="31">
        <f t="shared" si="58"/>
        <v>5937</v>
      </c>
      <c r="AH175" s="31">
        <f t="shared" si="59"/>
        <v>6560</v>
      </c>
    </row>
    <row r="177" s="414" customFormat="1" ht="13.85" spans="1:34">
      <c r="A177" s="416" t="s">
        <v>143</v>
      </c>
      <c r="B177" s="416" t="s">
        <v>144</v>
      </c>
      <c r="C177" s="416" t="s">
        <v>154</v>
      </c>
      <c r="D177" s="416"/>
      <c r="E177" s="416"/>
      <c r="F177" s="416"/>
      <c r="G177" s="416"/>
      <c r="H177" s="416"/>
      <c r="I177" s="416"/>
      <c r="J177" s="416"/>
      <c r="K177" s="416"/>
      <c r="L177" s="416"/>
      <c r="M177" s="416"/>
      <c r="N177" s="416"/>
      <c r="O177" s="416"/>
      <c r="P177" s="416"/>
      <c r="Q177" s="416"/>
      <c r="S177" s="416" t="s">
        <v>155</v>
      </c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  <c r="AE177" s="416"/>
      <c r="AF177" s="416"/>
      <c r="AG177" s="416"/>
      <c r="AH177" s="416"/>
    </row>
    <row r="178" s="414" customFormat="1" ht="13.85" spans="1:34">
      <c r="A178" s="416"/>
      <c r="B178" s="416"/>
      <c r="C178" s="416">
        <v>1993</v>
      </c>
      <c r="D178" s="416">
        <v>1994</v>
      </c>
      <c r="E178" s="416">
        <v>1995</v>
      </c>
      <c r="F178" s="416">
        <v>1996</v>
      </c>
      <c r="G178" s="416">
        <v>1997</v>
      </c>
      <c r="H178" s="416">
        <v>1998</v>
      </c>
      <c r="I178" s="416">
        <v>1999</v>
      </c>
      <c r="J178" s="416">
        <v>2000</v>
      </c>
      <c r="K178" s="416">
        <v>2001</v>
      </c>
      <c r="L178" s="416">
        <v>2002</v>
      </c>
      <c r="M178" s="416">
        <v>2003</v>
      </c>
      <c r="N178" s="416">
        <v>2004</v>
      </c>
      <c r="O178" s="416">
        <v>2005</v>
      </c>
      <c r="P178" s="416">
        <v>2006</v>
      </c>
      <c r="Q178" s="416">
        <v>2007</v>
      </c>
      <c r="S178" s="416">
        <v>1992</v>
      </c>
      <c r="T178" s="416">
        <v>1993</v>
      </c>
      <c r="U178" s="416">
        <v>1994</v>
      </c>
      <c r="V178" s="416">
        <v>1995</v>
      </c>
      <c r="W178" s="416">
        <v>1996</v>
      </c>
      <c r="X178" s="416">
        <v>1997</v>
      </c>
      <c r="Y178" s="416">
        <v>1998</v>
      </c>
      <c r="Z178" s="416">
        <v>1999</v>
      </c>
      <c r="AA178" s="416">
        <v>2000</v>
      </c>
      <c r="AB178" s="416">
        <v>2001</v>
      </c>
      <c r="AC178" s="416">
        <v>2002</v>
      </c>
      <c r="AD178" s="416">
        <v>2003</v>
      </c>
      <c r="AE178" s="416">
        <v>2004</v>
      </c>
      <c r="AF178" s="416">
        <v>2005</v>
      </c>
      <c r="AG178" s="416">
        <v>2006</v>
      </c>
      <c r="AH178" s="416">
        <v>2007</v>
      </c>
    </row>
    <row r="179" spans="1:34">
      <c r="A179" s="27" t="s">
        <v>159</v>
      </c>
      <c r="B179" s="200" t="s">
        <v>80</v>
      </c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06"/>
      <c r="N179" s="444">
        <f>SUM(N180:N210)</f>
        <v>529</v>
      </c>
      <c r="O179" s="31">
        <f t="shared" ref="O179:O210" si="60">BU4*10-N179</f>
        <v>527</v>
      </c>
      <c r="P179" s="31">
        <f t="shared" ref="P179:P210" si="61">BV39*10</f>
        <v>1100</v>
      </c>
      <c r="Q179" s="31">
        <f t="shared" ref="Q179:Q210" si="62">BW39*10</f>
        <v>3040</v>
      </c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>
        <f>N179</f>
        <v>529</v>
      </c>
      <c r="AF179" s="31">
        <f t="shared" ref="AF179:AF210" si="63">BU4*10</f>
        <v>1056</v>
      </c>
      <c r="AG179" s="31">
        <f t="shared" ref="AG179:AG210" si="64">BV4*10</f>
        <v>2072</v>
      </c>
      <c r="AH179" s="31">
        <f t="shared" ref="AH179:AH210" si="65">BW4*10</f>
        <v>4200</v>
      </c>
    </row>
    <row r="180" spans="1:34">
      <c r="A180" s="27" t="s">
        <v>159</v>
      </c>
      <c r="B180" s="200" t="s">
        <v>82</v>
      </c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06"/>
      <c r="N180" s="444">
        <v>0</v>
      </c>
      <c r="O180" s="31">
        <f t="shared" si="60"/>
        <v>0</v>
      </c>
      <c r="P180" s="31">
        <f t="shared" si="61"/>
        <v>0</v>
      </c>
      <c r="Q180" s="31">
        <f t="shared" si="62"/>
        <v>0</v>
      </c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>
        <f t="shared" ref="AE180:AE210" si="66">N180</f>
        <v>0</v>
      </c>
      <c r="AF180" s="31">
        <f t="shared" si="63"/>
        <v>0</v>
      </c>
      <c r="AG180" s="31">
        <f t="shared" si="64"/>
        <v>0</v>
      </c>
      <c r="AH180" s="31">
        <f t="shared" si="65"/>
        <v>0</v>
      </c>
    </row>
    <row r="181" spans="1:34">
      <c r="A181" s="27" t="s">
        <v>159</v>
      </c>
      <c r="B181" s="200" t="s">
        <v>84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06"/>
      <c r="N181" s="444">
        <v>0</v>
      </c>
      <c r="O181" s="31">
        <f t="shared" si="60"/>
        <v>0</v>
      </c>
      <c r="P181" s="31">
        <f t="shared" si="61"/>
        <v>0</v>
      </c>
      <c r="Q181" s="31">
        <f t="shared" si="62"/>
        <v>0</v>
      </c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>
        <f t="shared" si="66"/>
        <v>0</v>
      </c>
      <c r="AF181" s="31">
        <f t="shared" si="63"/>
        <v>0</v>
      </c>
      <c r="AG181" s="31">
        <f t="shared" si="64"/>
        <v>0</v>
      </c>
      <c r="AH181" s="31">
        <f t="shared" si="65"/>
        <v>0</v>
      </c>
    </row>
    <row r="182" spans="1:34">
      <c r="A182" s="27" t="s">
        <v>159</v>
      </c>
      <c r="B182" s="200" t="s">
        <v>86</v>
      </c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06"/>
      <c r="N182" s="444">
        <f>BQ7*10</f>
        <v>13.5</v>
      </c>
      <c r="O182" s="31">
        <f t="shared" si="60"/>
        <v>34.5</v>
      </c>
      <c r="P182" s="31">
        <f t="shared" si="61"/>
        <v>140</v>
      </c>
      <c r="Q182" s="31">
        <f t="shared" si="62"/>
        <v>80</v>
      </c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>
        <f t="shared" si="66"/>
        <v>13.5</v>
      </c>
      <c r="AF182" s="31">
        <f t="shared" si="63"/>
        <v>48</v>
      </c>
      <c r="AG182" s="31">
        <f t="shared" si="64"/>
        <v>218</v>
      </c>
      <c r="AH182" s="31">
        <f t="shared" si="65"/>
        <v>410</v>
      </c>
    </row>
    <row r="183" spans="1:34">
      <c r="A183" s="27" t="s">
        <v>159</v>
      </c>
      <c r="B183" s="200" t="s">
        <v>88</v>
      </c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06"/>
      <c r="N183" s="444">
        <v>0</v>
      </c>
      <c r="O183" s="31">
        <f t="shared" si="60"/>
        <v>0</v>
      </c>
      <c r="P183" s="31">
        <f t="shared" si="61"/>
        <v>0</v>
      </c>
      <c r="Q183" s="31">
        <f t="shared" si="62"/>
        <v>0</v>
      </c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>
        <f t="shared" si="66"/>
        <v>0</v>
      </c>
      <c r="AF183" s="31">
        <f t="shared" si="63"/>
        <v>0</v>
      </c>
      <c r="AG183" s="31">
        <f t="shared" si="64"/>
        <v>0</v>
      </c>
      <c r="AH183" s="31">
        <f t="shared" si="65"/>
        <v>0</v>
      </c>
    </row>
    <row r="184" spans="1:34">
      <c r="A184" s="27" t="s">
        <v>159</v>
      </c>
      <c r="B184" s="200" t="s">
        <v>90</v>
      </c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06"/>
      <c r="N184" s="444">
        <f>BQ9*10</f>
        <v>111.7</v>
      </c>
      <c r="O184" s="31">
        <f t="shared" si="60"/>
        <v>97.3</v>
      </c>
      <c r="P184" s="31">
        <f t="shared" si="61"/>
        <v>320</v>
      </c>
      <c r="Q184" s="31">
        <f t="shared" si="62"/>
        <v>950</v>
      </c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>
        <f t="shared" si="66"/>
        <v>111.7</v>
      </c>
      <c r="AF184" s="31">
        <f t="shared" si="63"/>
        <v>209</v>
      </c>
      <c r="AG184" s="31">
        <f t="shared" si="64"/>
        <v>548</v>
      </c>
      <c r="AH184" s="31">
        <f t="shared" si="65"/>
        <v>1080</v>
      </c>
    </row>
    <row r="185" spans="1:34">
      <c r="A185" s="27" t="s">
        <v>159</v>
      </c>
      <c r="B185" s="200" t="s">
        <v>92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06"/>
      <c r="N185" s="444">
        <f>BU10*10</f>
        <v>126</v>
      </c>
      <c r="O185" s="31">
        <f t="shared" si="60"/>
        <v>0</v>
      </c>
      <c r="P185" s="31">
        <f t="shared" si="61"/>
        <v>110</v>
      </c>
      <c r="Q185" s="31">
        <f t="shared" si="62"/>
        <v>220</v>
      </c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>
        <f t="shared" si="66"/>
        <v>126</v>
      </c>
      <c r="AF185" s="31">
        <f t="shared" si="63"/>
        <v>126</v>
      </c>
      <c r="AG185" s="31">
        <f t="shared" si="64"/>
        <v>207</v>
      </c>
      <c r="AH185" s="31">
        <f t="shared" si="65"/>
        <v>350</v>
      </c>
    </row>
    <row r="186" spans="1:34">
      <c r="A186" s="27" t="s">
        <v>159</v>
      </c>
      <c r="B186" s="200" t="s">
        <v>94</v>
      </c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06"/>
      <c r="N186" s="444">
        <f>(BQ11-BR11)*10</f>
        <v>30.1</v>
      </c>
      <c r="O186" s="31">
        <f t="shared" si="60"/>
        <v>48.9</v>
      </c>
      <c r="P186" s="31">
        <f t="shared" si="61"/>
        <v>90</v>
      </c>
      <c r="Q186" s="31">
        <f t="shared" si="62"/>
        <v>550</v>
      </c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>
        <f t="shared" si="66"/>
        <v>30.1</v>
      </c>
      <c r="AF186" s="31">
        <f t="shared" si="63"/>
        <v>79</v>
      </c>
      <c r="AG186" s="31">
        <f t="shared" si="64"/>
        <v>208</v>
      </c>
      <c r="AH186" s="31">
        <f t="shared" si="65"/>
        <v>470</v>
      </c>
    </row>
    <row r="187" spans="1:34">
      <c r="A187" s="27" t="s">
        <v>159</v>
      </c>
      <c r="B187" s="200" t="s">
        <v>96</v>
      </c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06"/>
      <c r="N187" s="444">
        <f>BQ12*10</f>
        <v>39.3</v>
      </c>
      <c r="O187" s="31">
        <f t="shared" si="60"/>
        <v>12.7</v>
      </c>
      <c r="P187" s="31">
        <f t="shared" si="61"/>
        <v>40</v>
      </c>
      <c r="Q187" s="31">
        <f t="shared" si="62"/>
        <v>240</v>
      </c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>
        <f t="shared" si="66"/>
        <v>39.3</v>
      </c>
      <c r="AF187" s="31">
        <f t="shared" si="63"/>
        <v>52</v>
      </c>
      <c r="AG187" s="31">
        <f t="shared" si="64"/>
        <v>115</v>
      </c>
      <c r="AH187" s="31">
        <f t="shared" si="65"/>
        <v>230</v>
      </c>
    </row>
    <row r="188" spans="1:34">
      <c r="A188" s="27" t="s">
        <v>159</v>
      </c>
      <c r="B188" s="200" t="s">
        <v>98</v>
      </c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06"/>
      <c r="N188" s="444">
        <f>BQ13*10</f>
        <v>3.4</v>
      </c>
      <c r="O188" s="31">
        <f t="shared" si="60"/>
        <v>20.6</v>
      </c>
      <c r="P188" s="31">
        <f t="shared" si="61"/>
        <v>0</v>
      </c>
      <c r="Q188" s="31">
        <f t="shared" si="62"/>
        <v>0</v>
      </c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>
        <f t="shared" si="66"/>
        <v>3.4</v>
      </c>
      <c r="AF188" s="31">
        <f t="shared" si="63"/>
        <v>24</v>
      </c>
      <c r="AG188" s="31">
        <f t="shared" si="64"/>
        <v>24</v>
      </c>
      <c r="AH188" s="31">
        <f t="shared" si="65"/>
        <v>20</v>
      </c>
    </row>
    <row r="189" spans="1:34">
      <c r="A189" s="27" t="s">
        <v>159</v>
      </c>
      <c r="B189" s="200" t="s">
        <v>100</v>
      </c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06"/>
      <c r="N189" s="444">
        <v>0</v>
      </c>
      <c r="O189" s="31">
        <f t="shared" si="60"/>
        <v>0</v>
      </c>
      <c r="P189" s="31">
        <f t="shared" si="61"/>
        <v>80</v>
      </c>
      <c r="Q189" s="31">
        <f t="shared" si="62"/>
        <v>210</v>
      </c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>
        <f t="shared" si="66"/>
        <v>0</v>
      </c>
      <c r="AF189" s="31">
        <f t="shared" si="63"/>
        <v>0</v>
      </c>
      <c r="AG189" s="31">
        <f t="shared" si="64"/>
        <v>15</v>
      </c>
      <c r="AH189" s="31">
        <f t="shared" si="65"/>
        <v>250</v>
      </c>
    </row>
    <row r="190" spans="1:34">
      <c r="A190" s="27" t="s">
        <v>159</v>
      </c>
      <c r="B190" s="200" t="s">
        <v>102</v>
      </c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06"/>
      <c r="N190" s="444">
        <f>BU15*10</f>
        <v>37</v>
      </c>
      <c r="O190" s="31">
        <f t="shared" si="60"/>
        <v>0</v>
      </c>
      <c r="P190" s="31">
        <f t="shared" si="61"/>
        <v>0</v>
      </c>
      <c r="Q190" s="31">
        <f t="shared" si="62"/>
        <v>10</v>
      </c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>
        <f t="shared" si="66"/>
        <v>37</v>
      </c>
      <c r="AF190" s="31">
        <f t="shared" si="63"/>
        <v>37</v>
      </c>
      <c r="AG190" s="31">
        <f t="shared" si="64"/>
        <v>37</v>
      </c>
      <c r="AH190" s="31">
        <f t="shared" si="65"/>
        <v>40</v>
      </c>
    </row>
    <row r="191" spans="1:34">
      <c r="A191" s="27" t="s">
        <v>159</v>
      </c>
      <c r="B191" s="200" t="s">
        <v>104</v>
      </c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06"/>
      <c r="N191" s="444">
        <v>0</v>
      </c>
      <c r="O191" s="31">
        <f t="shared" si="60"/>
        <v>0</v>
      </c>
      <c r="P191" s="31">
        <f t="shared" si="61"/>
        <v>0</v>
      </c>
      <c r="Q191" s="31">
        <f t="shared" si="62"/>
        <v>0</v>
      </c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>
        <f t="shared" si="66"/>
        <v>0</v>
      </c>
      <c r="AF191" s="31">
        <f t="shared" si="63"/>
        <v>0</v>
      </c>
      <c r="AG191" s="31">
        <f t="shared" si="64"/>
        <v>0</v>
      </c>
      <c r="AH191" s="31">
        <f t="shared" si="65"/>
        <v>0</v>
      </c>
    </row>
    <row r="192" spans="1:34">
      <c r="A192" s="27" t="s">
        <v>159</v>
      </c>
      <c r="B192" s="200" t="s">
        <v>106</v>
      </c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06"/>
      <c r="N192" s="444">
        <f>BQ17*10</f>
        <v>12</v>
      </c>
      <c r="O192" s="31">
        <f t="shared" si="60"/>
        <v>40</v>
      </c>
      <c r="P192" s="31">
        <f t="shared" si="61"/>
        <v>90</v>
      </c>
      <c r="Q192" s="31">
        <f t="shared" si="62"/>
        <v>150</v>
      </c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>
        <f t="shared" si="66"/>
        <v>12</v>
      </c>
      <c r="AF192" s="31">
        <f t="shared" si="63"/>
        <v>52</v>
      </c>
      <c r="AG192" s="31">
        <f t="shared" si="64"/>
        <v>89</v>
      </c>
      <c r="AH192" s="31">
        <f t="shared" si="65"/>
        <v>230</v>
      </c>
    </row>
    <row r="193" spans="1:34">
      <c r="A193" s="27" t="s">
        <v>159</v>
      </c>
      <c r="B193" s="200" t="s">
        <v>108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06"/>
      <c r="N193" s="444">
        <v>0</v>
      </c>
      <c r="O193" s="31">
        <f t="shared" si="60"/>
        <v>0</v>
      </c>
      <c r="P193" s="31">
        <f t="shared" si="61"/>
        <v>0</v>
      </c>
      <c r="Q193" s="31">
        <f t="shared" si="62"/>
        <v>0</v>
      </c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>
        <f t="shared" si="66"/>
        <v>0</v>
      </c>
      <c r="AF193" s="31">
        <f t="shared" si="63"/>
        <v>0</v>
      </c>
      <c r="AG193" s="31">
        <f t="shared" si="64"/>
        <v>0</v>
      </c>
      <c r="AH193" s="31">
        <f t="shared" si="65"/>
        <v>0</v>
      </c>
    </row>
    <row r="194" spans="1:34">
      <c r="A194" s="27" t="s">
        <v>159</v>
      </c>
      <c r="B194" s="200" t="s">
        <v>110</v>
      </c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06"/>
      <c r="N194" s="444">
        <f>BQ19*10</f>
        <v>12.3</v>
      </c>
      <c r="O194" s="31">
        <f t="shared" si="60"/>
        <v>24.7</v>
      </c>
      <c r="P194" s="31">
        <f t="shared" si="61"/>
        <v>30</v>
      </c>
      <c r="Q194" s="31">
        <f t="shared" si="62"/>
        <v>140</v>
      </c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>
        <f t="shared" si="66"/>
        <v>12.3</v>
      </c>
      <c r="AF194" s="31">
        <f t="shared" si="63"/>
        <v>37</v>
      </c>
      <c r="AG194" s="31">
        <f t="shared" si="64"/>
        <v>106</v>
      </c>
      <c r="AH194" s="31">
        <f t="shared" si="65"/>
        <v>210</v>
      </c>
    </row>
    <row r="195" spans="1:34">
      <c r="A195" s="27" t="s">
        <v>159</v>
      </c>
      <c r="B195" s="200" t="s">
        <v>112</v>
      </c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06"/>
      <c r="N195" s="444">
        <v>0</v>
      </c>
      <c r="O195" s="31">
        <f t="shared" si="60"/>
        <v>0</v>
      </c>
      <c r="P195" s="31">
        <f t="shared" si="61"/>
        <v>0</v>
      </c>
      <c r="Q195" s="31">
        <f t="shared" si="62"/>
        <v>30</v>
      </c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>
        <f t="shared" si="66"/>
        <v>0</v>
      </c>
      <c r="AF195" s="31">
        <f t="shared" si="63"/>
        <v>0</v>
      </c>
      <c r="AG195" s="31">
        <f t="shared" si="64"/>
        <v>0</v>
      </c>
      <c r="AH195" s="31">
        <f t="shared" si="65"/>
        <v>0</v>
      </c>
    </row>
    <row r="196" spans="1:34">
      <c r="A196" s="27" t="s">
        <v>159</v>
      </c>
      <c r="B196" s="200" t="s">
        <v>114</v>
      </c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06"/>
      <c r="N196" s="444">
        <v>0</v>
      </c>
      <c r="O196" s="31">
        <f t="shared" si="60"/>
        <v>0</v>
      </c>
      <c r="P196" s="31">
        <f t="shared" si="61"/>
        <v>0</v>
      </c>
      <c r="Q196" s="31">
        <f t="shared" si="62"/>
        <v>10</v>
      </c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>
        <f t="shared" si="66"/>
        <v>0</v>
      </c>
      <c r="AF196" s="31">
        <f t="shared" si="63"/>
        <v>0</v>
      </c>
      <c r="AG196" s="31">
        <f t="shared" si="64"/>
        <v>0</v>
      </c>
      <c r="AH196" s="31">
        <f t="shared" si="65"/>
        <v>10</v>
      </c>
    </row>
    <row r="197" spans="1:34">
      <c r="A197" s="27" t="s">
        <v>159</v>
      </c>
      <c r="B197" s="200" t="s">
        <v>116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06"/>
      <c r="N197" s="444">
        <v>0</v>
      </c>
      <c r="O197" s="31">
        <f t="shared" si="60"/>
        <v>0</v>
      </c>
      <c r="P197" s="31">
        <f t="shared" si="61"/>
        <v>0</v>
      </c>
      <c r="Q197" s="31">
        <f t="shared" si="62"/>
        <v>0</v>
      </c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>
        <f t="shared" si="66"/>
        <v>0</v>
      </c>
      <c r="AF197" s="31">
        <f t="shared" si="63"/>
        <v>0</v>
      </c>
      <c r="AG197" s="31">
        <f t="shared" si="64"/>
        <v>0</v>
      </c>
      <c r="AH197" s="31">
        <f t="shared" si="65"/>
        <v>0</v>
      </c>
    </row>
    <row r="198" spans="1:34">
      <c r="A198" s="27" t="s">
        <v>159</v>
      </c>
      <c r="B198" s="200" t="s">
        <v>118</v>
      </c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06"/>
      <c r="N198" s="444">
        <f>BU23*10</f>
        <v>83</v>
      </c>
      <c r="O198" s="31">
        <f t="shared" si="60"/>
        <v>0</v>
      </c>
      <c r="P198" s="31">
        <f t="shared" si="61"/>
        <v>60</v>
      </c>
      <c r="Q198" s="31">
        <f t="shared" si="62"/>
        <v>80</v>
      </c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>
        <f t="shared" si="66"/>
        <v>83</v>
      </c>
      <c r="AF198" s="31">
        <f t="shared" si="63"/>
        <v>83</v>
      </c>
      <c r="AG198" s="31">
        <f t="shared" si="64"/>
        <v>183</v>
      </c>
      <c r="AH198" s="31">
        <f t="shared" si="65"/>
        <v>250</v>
      </c>
    </row>
    <row r="199" spans="1:34">
      <c r="A199" s="27" t="s">
        <v>159</v>
      </c>
      <c r="B199" s="200" t="s">
        <v>120</v>
      </c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06"/>
      <c r="N199" s="444">
        <v>0</v>
      </c>
      <c r="O199" s="31">
        <f t="shared" si="60"/>
        <v>0</v>
      </c>
      <c r="P199" s="31">
        <f t="shared" si="61"/>
        <v>0</v>
      </c>
      <c r="Q199" s="31">
        <f t="shared" si="62"/>
        <v>0</v>
      </c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>
        <f t="shared" si="66"/>
        <v>0</v>
      </c>
      <c r="AF199" s="31">
        <f t="shared" si="63"/>
        <v>0</v>
      </c>
      <c r="AG199" s="31">
        <f t="shared" si="64"/>
        <v>0</v>
      </c>
      <c r="AH199" s="31">
        <f t="shared" si="65"/>
        <v>0</v>
      </c>
    </row>
    <row r="200" spans="1:34">
      <c r="A200" s="27" t="s">
        <v>159</v>
      </c>
      <c r="B200" s="200" t="s">
        <v>122</v>
      </c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06"/>
      <c r="N200" s="444">
        <f>BQ25*10</f>
        <v>8.7</v>
      </c>
      <c r="O200" s="31">
        <f t="shared" si="60"/>
        <v>0.300000000000001</v>
      </c>
      <c r="P200" s="31">
        <f t="shared" si="61"/>
        <v>0</v>
      </c>
      <c r="Q200" s="31">
        <f t="shared" si="62"/>
        <v>0</v>
      </c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>
        <f t="shared" si="66"/>
        <v>8.7</v>
      </c>
      <c r="AF200" s="31">
        <f t="shared" si="63"/>
        <v>9</v>
      </c>
      <c r="AG200" s="31">
        <f t="shared" si="64"/>
        <v>9</v>
      </c>
      <c r="AH200" s="31">
        <f t="shared" si="65"/>
        <v>10</v>
      </c>
    </row>
    <row r="201" spans="1:34">
      <c r="A201" s="27" t="s">
        <v>159</v>
      </c>
      <c r="B201" s="200" t="s">
        <v>124</v>
      </c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06"/>
      <c r="N201" s="444">
        <v>0</v>
      </c>
      <c r="O201" s="31">
        <f t="shared" si="60"/>
        <v>0</v>
      </c>
      <c r="P201" s="31">
        <f t="shared" si="61"/>
        <v>0</v>
      </c>
      <c r="Q201" s="31">
        <f t="shared" si="62"/>
        <v>0</v>
      </c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>
        <f t="shared" si="66"/>
        <v>0</v>
      </c>
      <c r="AF201" s="31">
        <f t="shared" si="63"/>
        <v>0</v>
      </c>
      <c r="AG201" s="31">
        <f t="shared" si="64"/>
        <v>0</v>
      </c>
      <c r="AH201" s="31">
        <f t="shared" si="65"/>
        <v>0</v>
      </c>
    </row>
    <row r="202" spans="1:34">
      <c r="A202" s="27" t="s">
        <v>159</v>
      </c>
      <c r="B202" s="200" t="s">
        <v>126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06"/>
      <c r="N202" s="444">
        <v>0</v>
      </c>
      <c r="O202" s="31">
        <f t="shared" si="60"/>
        <v>0</v>
      </c>
      <c r="P202" s="31">
        <f t="shared" si="61"/>
        <v>0</v>
      </c>
      <c r="Q202" s="31">
        <f t="shared" si="62"/>
        <v>0</v>
      </c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>
        <f t="shared" si="66"/>
        <v>0</v>
      </c>
      <c r="AF202" s="31">
        <f t="shared" si="63"/>
        <v>0</v>
      </c>
      <c r="AG202" s="31">
        <f t="shared" si="64"/>
        <v>0</v>
      </c>
      <c r="AH202" s="31">
        <f t="shared" si="65"/>
        <v>0</v>
      </c>
    </row>
    <row r="203" spans="1:34">
      <c r="A203" s="27" t="s">
        <v>159</v>
      </c>
      <c r="B203" s="200" t="s">
        <v>128</v>
      </c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06"/>
      <c r="N203" s="444">
        <v>0</v>
      </c>
      <c r="O203" s="31">
        <f t="shared" si="60"/>
        <v>0</v>
      </c>
      <c r="P203" s="31">
        <f t="shared" si="61"/>
        <v>0</v>
      </c>
      <c r="Q203" s="31">
        <f t="shared" si="62"/>
        <v>0</v>
      </c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>
        <f t="shared" si="66"/>
        <v>0</v>
      </c>
      <c r="AF203" s="31">
        <f t="shared" si="63"/>
        <v>0</v>
      </c>
      <c r="AG203" s="31">
        <f t="shared" si="64"/>
        <v>0</v>
      </c>
      <c r="AH203" s="31">
        <f t="shared" si="65"/>
        <v>0</v>
      </c>
    </row>
    <row r="204" spans="1:34">
      <c r="A204" s="27" t="s">
        <v>159</v>
      </c>
      <c r="B204" s="200" t="s">
        <v>130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06"/>
      <c r="N204" s="444">
        <v>0</v>
      </c>
      <c r="O204" s="31">
        <f t="shared" si="60"/>
        <v>0</v>
      </c>
      <c r="P204" s="31">
        <f t="shared" si="61"/>
        <v>0</v>
      </c>
      <c r="Q204" s="31">
        <f t="shared" si="62"/>
        <v>0</v>
      </c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>
        <f t="shared" si="66"/>
        <v>0</v>
      </c>
      <c r="AF204" s="31">
        <f t="shared" si="63"/>
        <v>0</v>
      </c>
      <c r="AG204" s="31">
        <f t="shared" si="64"/>
        <v>0</v>
      </c>
      <c r="AH204" s="31">
        <f t="shared" si="65"/>
        <v>0</v>
      </c>
    </row>
    <row r="205" spans="1:34">
      <c r="A205" s="27" t="s">
        <v>159</v>
      </c>
      <c r="B205" s="200" t="s">
        <v>132</v>
      </c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06"/>
      <c r="N205" s="444">
        <v>0</v>
      </c>
      <c r="O205" s="31">
        <f t="shared" si="60"/>
        <v>0</v>
      </c>
      <c r="P205" s="31">
        <f t="shared" si="61"/>
        <v>0</v>
      </c>
      <c r="Q205" s="31">
        <f t="shared" si="62"/>
        <v>0</v>
      </c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>
        <f t="shared" si="66"/>
        <v>0</v>
      </c>
      <c r="AF205" s="31">
        <f t="shared" si="63"/>
        <v>0</v>
      </c>
      <c r="AG205" s="31">
        <f t="shared" si="64"/>
        <v>0</v>
      </c>
      <c r="AH205" s="31">
        <f t="shared" si="65"/>
        <v>0</v>
      </c>
    </row>
    <row r="206" spans="1:34">
      <c r="A206" s="27" t="s">
        <v>159</v>
      </c>
      <c r="B206" s="200" t="s">
        <v>134</v>
      </c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06"/>
      <c r="N206" s="444">
        <v>0</v>
      </c>
      <c r="O206" s="31">
        <f t="shared" si="60"/>
        <v>0</v>
      </c>
      <c r="P206" s="31">
        <f t="shared" si="61"/>
        <v>0</v>
      </c>
      <c r="Q206" s="31">
        <f t="shared" si="62"/>
        <v>0</v>
      </c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>
        <f t="shared" si="66"/>
        <v>0</v>
      </c>
      <c r="AF206" s="31">
        <f t="shared" si="63"/>
        <v>0</v>
      </c>
      <c r="AG206" s="31">
        <f t="shared" si="64"/>
        <v>0</v>
      </c>
      <c r="AH206" s="31">
        <f t="shared" si="65"/>
        <v>0</v>
      </c>
    </row>
    <row r="207" spans="1:34">
      <c r="A207" s="27" t="s">
        <v>159</v>
      </c>
      <c r="B207" s="200" t="s">
        <v>136</v>
      </c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06"/>
      <c r="N207" s="444">
        <f>BU32*10</f>
        <v>52</v>
      </c>
      <c r="O207" s="31">
        <f t="shared" si="60"/>
        <v>0</v>
      </c>
      <c r="P207" s="31">
        <f t="shared" si="61"/>
        <v>110</v>
      </c>
      <c r="Q207" s="31">
        <f t="shared" si="62"/>
        <v>150</v>
      </c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>
        <f t="shared" si="66"/>
        <v>52</v>
      </c>
      <c r="AF207" s="31">
        <f t="shared" si="63"/>
        <v>52</v>
      </c>
      <c r="AG207" s="31">
        <f t="shared" si="64"/>
        <v>113</v>
      </c>
      <c r="AH207" s="31">
        <f t="shared" si="65"/>
        <v>260</v>
      </c>
    </row>
    <row r="208" spans="1:34">
      <c r="A208" s="27" t="s">
        <v>159</v>
      </c>
      <c r="B208" s="200" t="s">
        <v>138</v>
      </c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06"/>
      <c r="N208" s="444">
        <v>0</v>
      </c>
      <c r="O208" s="31">
        <f t="shared" si="60"/>
        <v>0</v>
      </c>
      <c r="P208" s="31">
        <f t="shared" si="61"/>
        <v>0</v>
      </c>
      <c r="Q208" s="31">
        <f t="shared" si="62"/>
        <v>0</v>
      </c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>
        <f t="shared" si="66"/>
        <v>0</v>
      </c>
      <c r="AF208" s="31">
        <f t="shared" si="63"/>
        <v>0</v>
      </c>
      <c r="AG208" s="31">
        <f t="shared" si="64"/>
        <v>0</v>
      </c>
      <c r="AH208" s="31">
        <f t="shared" si="65"/>
        <v>0</v>
      </c>
    </row>
    <row r="209" spans="1:34">
      <c r="A209" s="27" t="s">
        <v>159</v>
      </c>
      <c r="B209" s="200" t="s">
        <v>140</v>
      </c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06"/>
      <c r="N209" s="444">
        <v>0</v>
      </c>
      <c r="O209" s="31">
        <f t="shared" si="60"/>
        <v>112</v>
      </c>
      <c r="P209" s="31">
        <f t="shared" si="61"/>
        <v>0</v>
      </c>
      <c r="Q209" s="31">
        <f t="shared" si="62"/>
        <v>150</v>
      </c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>
        <f t="shared" si="66"/>
        <v>0</v>
      </c>
      <c r="AF209" s="31">
        <f t="shared" si="63"/>
        <v>112</v>
      </c>
      <c r="AG209" s="31">
        <f t="shared" si="64"/>
        <v>11</v>
      </c>
      <c r="AH209" s="31">
        <f t="shared" si="65"/>
        <v>50</v>
      </c>
    </row>
    <row r="210" spans="1:34">
      <c r="A210" s="27" t="s">
        <v>159</v>
      </c>
      <c r="B210" s="200" t="s">
        <v>142</v>
      </c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06"/>
      <c r="N210" s="444">
        <v>0</v>
      </c>
      <c r="O210" s="31">
        <f t="shared" si="60"/>
        <v>134</v>
      </c>
      <c r="P210" s="31">
        <f t="shared" si="61"/>
        <v>20</v>
      </c>
      <c r="Q210" s="31">
        <f t="shared" si="62"/>
        <v>90</v>
      </c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>
        <f t="shared" si="66"/>
        <v>0</v>
      </c>
      <c r="AF210" s="31">
        <f t="shared" si="63"/>
        <v>134</v>
      </c>
      <c r="AG210" s="31">
        <f t="shared" si="64"/>
        <v>189</v>
      </c>
      <c r="AH210" s="31">
        <f t="shared" si="65"/>
        <v>330</v>
      </c>
    </row>
  </sheetData>
  <mergeCells count="22">
    <mergeCell ref="C72:Q72"/>
    <mergeCell ref="S72:AH72"/>
    <mergeCell ref="C107:Q107"/>
    <mergeCell ref="S107:AH107"/>
    <mergeCell ref="C142:Q142"/>
    <mergeCell ref="S142:AH142"/>
    <mergeCell ref="C177:Q177"/>
    <mergeCell ref="S177:AH177"/>
    <mergeCell ref="A2:A3"/>
    <mergeCell ref="A4:A35"/>
    <mergeCell ref="A37:A38"/>
    <mergeCell ref="A39:A70"/>
    <mergeCell ref="A72:A73"/>
    <mergeCell ref="A107:A108"/>
    <mergeCell ref="A142:A143"/>
    <mergeCell ref="A177:A178"/>
    <mergeCell ref="B2:B3"/>
    <mergeCell ref="B37:B38"/>
    <mergeCell ref="B72:B73"/>
    <mergeCell ref="B107:B108"/>
    <mergeCell ref="B142:B143"/>
    <mergeCell ref="B177:B178"/>
  </mergeCells>
  <conditionalFormatting sqref="N4:P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9:Q140">
    <cfRule type="cellIs" dxfId="58" priority="1" operator="lessThan">
      <formula>0</formula>
    </cfRule>
  </conditionalFormatting>
  <conditionalFormatting sqref="N179:Q210">
    <cfRule type="cellIs" dxfId="58" priority="5" operator="lessThan">
      <formula>0</formula>
    </cfRule>
  </conditionalFormatting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6"/>
  <sheetViews>
    <sheetView workbookViewId="0">
      <pane xSplit="2" ySplit="2" topLeftCell="C177" activePane="bottomRight" state="frozen"/>
      <selection/>
      <selection pane="topRight"/>
      <selection pane="bottomLeft"/>
      <selection pane="bottomRight" activeCell="B185" sqref="B185:Q185"/>
    </sheetView>
  </sheetViews>
  <sheetFormatPr defaultColWidth="9" defaultRowHeight="13.85"/>
  <cols>
    <col min="1" max="1" width="20" style="97" customWidth="1"/>
    <col min="2" max="2" width="9.13274336283186" style="97"/>
    <col min="3" max="17" width="12.7079646017699" style="97" customWidth="1"/>
    <col min="18" max="16384" width="9.13274336283186" style="92"/>
  </cols>
  <sheetData>
    <row r="1" s="409" customFormat="1" ht="27.75" spans="1:18">
      <c r="A1" s="410" t="s">
        <v>144</v>
      </c>
      <c r="B1" s="410" t="s">
        <v>160</v>
      </c>
      <c r="C1" s="410" t="s">
        <v>159</v>
      </c>
      <c r="D1" s="410" t="s">
        <v>161</v>
      </c>
      <c r="E1" s="410" t="s">
        <v>162</v>
      </c>
      <c r="F1" s="410" t="s">
        <v>163</v>
      </c>
      <c r="G1" s="410" t="s">
        <v>164</v>
      </c>
      <c r="H1" s="410" t="s">
        <v>165</v>
      </c>
      <c r="I1" s="410" t="s">
        <v>166</v>
      </c>
      <c r="J1" s="410" t="s">
        <v>167</v>
      </c>
      <c r="K1" s="410" t="s">
        <v>167</v>
      </c>
      <c r="L1" s="410" t="s">
        <v>162</v>
      </c>
      <c r="M1" s="410" t="s">
        <v>168</v>
      </c>
      <c r="N1" s="410" t="s">
        <v>169</v>
      </c>
      <c r="O1" s="410" t="s">
        <v>157</v>
      </c>
      <c r="P1" s="410" t="s">
        <v>170</v>
      </c>
      <c r="Q1" s="410" t="s">
        <v>171</v>
      </c>
      <c r="R1" s="411"/>
    </row>
    <row r="2" s="409" customFormat="1" ht="55.5" spans="1:18">
      <c r="A2" s="410" t="s">
        <v>172</v>
      </c>
      <c r="B2" s="410" t="s">
        <v>173</v>
      </c>
      <c r="C2" s="410" t="s">
        <v>150</v>
      </c>
      <c r="D2" s="410" t="s">
        <v>148</v>
      </c>
      <c r="E2" s="410" t="s">
        <v>174</v>
      </c>
      <c r="F2" s="410" t="s">
        <v>175</v>
      </c>
      <c r="G2" s="410" t="s">
        <v>176</v>
      </c>
      <c r="H2" s="410" t="s">
        <v>177</v>
      </c>
      <c r="I2" s="410" t="s">
        <v>178</v>
      </c>
      <c r="J2" s="410" t="s">
        <v>179</v>
      </c>
      <c r="K2" s="410" t="s">
        <v>180</v>
      </c>
      <c r="L2" s="410" t="s">
        <v>181</v>
      </c>
      <c r="M2" s="410" t="s">
        <v>182</v>
      </c>
      <c r="N2" s="410" t="s">
        <v>183</v>
      </c>
      <c r="O2" s="410" t="s">
        <v>184</v>
      </c>
      <c r="P2" s="410" t="s">
        <v>185</v>
      </c>
      <c r="Q2" s="410" t="s">
        <v>186</v>
      </c>
      <c r="R2" s="411"/>
    </row>
    <row r="3" spans="1:18">
      <c r="A3" s="97" t="s">
        <v>104</v>
      </c>
      <c r="B3" s="97">
        <v>2008</v>
      </c>
      <c r="F3" s="412"/>
      <c r="H3" s="97">
        <v>744</v>
      </c>
      <c r="O3" s="97">
        <v>0</v>
      </c>
    </row>
    <row r="4" spans="1:18">
      <c r="A4" s="97" t="s">
        <v>104</v>
      </c>
      <c r="B4" s="97">
        <v>2009</v>
      </c>
      <c r="E4" s="97">
        <v>4.9</v>
      </c>
      <c r="G4" s="97">
        <v>3.7</v>
      </c>
      <c r="H4" s="97">
        <v>214.5</v>
      </c>
      <c r="O4" s="97">
        <v>7.8</v>
      </c>
    </row>
    <row r="5" spans="1:18">
      <c r="A5" s="97" t="s">
        <v>104</v>
      </c>
      <c r="B5" s="97">
        <v>2010</v>
      </c>
      <c r="C5" s="97">
        <v>19.8</v>
      </c>
      <c r="E5" s="97">
        <v>3.6</v>
      </c>
      <c r="G5" s="97">
        <v>8.5</v>
      </c>
      <c r="H5" s="97">
        <v>66.9</v>
      </c>
      <c r="O5" s="97">
        <v>0</v>
      </c>
    </row>
    <row r="6" spans="1:18">
      <c r="A6" s="97" t="s">
        <v>104</v>
      </c>
      <c r="B6" s="97">
        <v>2011</v>
      </c>
      <c r="C6" s="97">
        <v>9.9</v>
      </c>
      <c r="E6" s="97">
        <v>12</v>
      </c>
      <c r="G6" s="97">
        <v>6.3</v>
      </c>
      <c r="H6" s="97">
        <v>168.5</v>
      </c>
      <c r="O6" s="97">
        <v>0</v>
      </c>
      <c r="P6" s="97">
        <v>25</v>
      </c>
    </row>
    <row r="7" spans="1:18">
      <c r="A7" s="97" t="s">
        <v>104</v>
      </c>
      <c r="B7" s="97">
        <v>2012</v>
      </c>
      <c r="C7" s="413">
        <v>5</v>
      </c>
      <c r="D7" s="413"/>
      <c r="E7" s="413">
        <v>3</v>
      </c>
      <c r="F7" s="413">
        <v>0.1</v>
      </c>
      <c r="G7" s="413">
        <v>2.4</v>
      </c>
      <c r="H7" s="413">
        <v>263.2</v>
      </c>
      <c r="I7" s="413"/>
      <c r="J7" s="413"/>
      <c r="K7" s="413"/>
      <c r="L7" s="413"/>
      <c r="M7" s="413"/>
      <c r="N7" s="413"/>
      <c r="O7" s="413">
        <v>2</v>
      </c>
      <c r="P7" s="413">
        <v>75</v>
      </c>
      <c r="Q7" s="413">
        <v>1.46</v>
      </c>
    </row>
    <row r="8" spans="1:18">
      <c r="A8" s="97" t="s">
        <v>104</v>
      </c>
      <c r="B8" s="97">
        <v>2013</v>
      </c>
      <c r="C8" s="413">
        <v>22.25</v>
      </c>
      <c r="D8" s="413"/>
      <c r="E8" s="413">
        <v>12</v>
      </c>
      <c r="F8" s="413"/>
      <c r="G8" s="413">
        <v>4.32</v>
      </c>
      <c r="H8" s="413">
        <v>393</v>
      </c>
      <c r="I8" s="413">
        <v>30</v>
      </c>
      <c r="J8" s="413"/>
      <c r="K8" s="413"/>
      <c r="L8" s="413"/>
      <c r="M8" s="413"/>
      <c r="N8" s="413"/>
      <c r="O8" s="413">
        <v>0.55</v>
      </c>
      <c r="P8" s="413"/>
      <c r="Q8" s="413">
        <v>3.14</v>
      </c>
    </row>
    <row r="9" spans="1:18">
      <c r="A9" s="97" t="s">
        <v>104</v>
      </c>
      <c r="B9" s="97">
        <v>2014</v>
      </c>
      <c r="C9" s="413">
        <v>52.31</v>
      </c>
      <c r="D9" s="413"/>
      <c r="E9" s="413">
        <v>11.4</v>
      </c>
      <c r="F9" s="413">
        <v>6</v>
      </c>
      <c r="G9" s="413">
        <v>27.8</v>
      </c>
      <c r="H9" s="413">
        <v>264</v>
      </c>
      <c r="I9" s="413"/>
      <c r="J9" s="413"/>
      <c r="K9" s="413">
        <v>7.64</v>
      </c>
      <c r="L9" s="413"/>
      <c r="M9" s="413"/>
      <c r="N9" s="413"/>
      <c r="O9" s="413">
        <v>6.81</v>
      </c>
      <c r="P9" s="413"/>
      <c r="Q9" s="413">
        <v>33.23</v>
      </c>
    </row>
    <row r="10" spans="1:18">
      <c r="A10" s="97" t="s">
        <v>104</v>
      </c>
      <c r="B10" s="97">
        <v>2015</v>
      </c>
      <c r="C10" s="413">
        <v>49.37</v>
      </c>
      <c r="D10" s="413"/>
      <c r="E10" s="413">
        <v>3</v>
      </c>
      <c r="F10" s="413">
        <v>1.2</v>
      </c>
      <c r="G10" s="413">
        <v>10.55</v>
      </c>
      <c r="H10" s="413">
        <v>718</v>
      </c>
      <c r="I10" s="413"/>
      <c r="J10" s="413"/>
      <c r="K10" s="413"/>
      <c r="L10" s="413"/>
      <c r="M10" s="413"/>
      <c r="N10" s="413"/>
      <c r="O10" s="413"/>
      <c r="P10" s="413"/>
      <c r="Q10" s="413">
        <v>50.25</v>
      </c>
    </row>
    <row r="11" spans="1:18">
      <c r="A11" s="97" t="s">
        <v>104</v>
      </c>
      <c r="B11" s="97">
        <v>2016</v>
      </c>
      <c r="C11" s="413">
        <v>44.55</v>
      </c>
      <c r="D11" s="413"/>
      <c r="E11" s="413"/>
      <c r="F11" s="413"/>
      <c r="G11" s="413">
        <v>4.7</v>
      </c>
      <c r="H11" s="413">
        <v>296</v>
      </c>
      <c r="I11" s="413"/>
      <c r="J11" s="413"/>
      <c r="K11" s="413"/>
      <c r="L11" s="413"/>
      <c r="M11" s="413"/>
      <c r="N11" s="413"/>
      <c r="O11" s="413">
        <v>4.8</v>
      </c>
      <c r="P11" s="413"/>
      <c r="Q11" s="413">
        <v>152.8</v>
      </c>
    </row>
    <row r="12" spans="1:18">
      <c r="A12" s="97" t="s">
        <v>104</v>
      </c>
      <c r="B12" s="97">
        <v>2017</v>
      </c>
      <c r="C12" s="413">
        <v>42.53</v>
      </c>
      <c r="D12" s="413"/>
      <c r="E12" s="413">
        <v>19</v>
      </c>
      <c r="F12" s="413">
        <v>9.8</v>
      </c>
      <c r="G12" s="413">
        <v>17.4</v>
      </c>
      <c r="H12" s="413">
        <v>101.8</v>
      </c>
      <c r="I12" s="413">
        <v>0.2</v>
      </c>
      <c r="J12" s="413"/>
      <c r="K12" s="413"/>
      <c r="L12" s="413"/>
      <c r="M12" s="413"/>
      <c r="N12" s="413"/>
      <c r="O12" s="413">
        <v>15.53</v>
      </c>
      <c r="P12" s="413"/>
      <c r="Q12" s="413">
        <v>758.29</v>
      </c>
    </row>
    <row r="13" spans="1:18">
      <c r="A13" s="97" t="s">
        <v>104</v>
      </c>
      <c r="B13" s="97">
        <v>2018</v>
      </c>
      <c r="C13" s="413">
        <v>23.65</v>
      </c>
      <c r="D13" s="413"/>
      <c r="E13" s="413">
        <v>36.72</v>
      </c>
      <c r="F13" s="413">
        <v>10.8</v>
      </c>
      <c r="G13" s="413">
        <v>2.15</v>
      </c>
      <c r="H13" s="413">
        <v>302.37</v>
      </c>
      <c r="I13" s="413"/>
      <c r="J13" s="413"/>
      <c r="K13" s="413">
        <v>1.2</v>
      </c>
      <c r="L13" s="413"/>
      <c r="M13" s="413"/>
      <c r="N13" s="413"/>
      <c r="O13" s="413">
        <v>1.7</v>
      </c>
      <c r="P13" s="413"/>
      <c r="Q13" s="413">
        <v>344.9</v>
      </c>
    </row>
    <row r="14" spans="1:18">
      <c r="A14" s="97" t="s">
        <v>104</v>
      </c>
      <c r="B14" s="97">
        <v>2019</v>
      </c>
      <c r="C14" s="413">
        <v>30.15</v>
      </c>
      <c r="D14" s="413"/>
      <c r="E14" s="413">
        <v>10.85</v>
      </c>
      <c r="F14" s="413">
        <v>9.75</v>
      </c>
      <c r="G14" s="413">
        <v>19.2</v>
      </c>
      <c r="H14" s="413">
        <v>100</v>
      </c>
      <c r="I14" s="413"/>
      <c r="J14" s="413"/>
      <c r="K14" s="413"/>
      <c r="L14" s="413"/>
      <c r="M14" s="413"/>
      <c r="N14" s="413"/>
      <c r="O14" s="413">
        <v>5.58</v>
      </c>
      <c r="P14" s="413">
        <v>30</v>
      </c>
      <c r="Q14" s="413">
        <v>137.28</v>
      </c>
    </row>
    <row r="15" spans="1:18">
      <c r="A15" s="97" t="s">
        <v>104</v>
      </c>
      <c r="B15" s="97">
        <v>2020</v>
      </c>
      <c r="C15" s="413">
        <v>133.89</v>
      </c>
      <c r="D15" s="413"/>
      <c r="E15" s="413">
        <v>14</v>
      </c>
      <c r="F15" s="413">
        <v>10.15</v>
      </c>
      <c r="G15" s="413">
        <v>28.73</v>
      </c>
      <c r="H15" s="413">
        <v>6</v>
      </c>
      <c r="I15" s="413">
        <v>1.8</v>
      </c>
      <c r="J15" s="413"/>
      <c r="K15" s="413"/>
      <c r="L15" s="413"/>
      <c r="M15" s="413"/>
      <c r="N15" s="413"/>
      <c r="O15" s="413">
        <v>15.89</v>
      </c>
      <c r="P15" s="413">
        <v>120</v>
      </c>
      <c r="Q15" s="413">
        <v>115.85</v>
      </c>
    </row>
    <row r="16" spans="1:18">
      <c r="A16" s="97" t="s">
        <v>104</v>
      </c>
      <c r="B16" s="97">
        <v>2021</v>
      </c>
      <c r="C16" s="413">
        <v>99.7</v>
      </c>
      <c r="D16" s="413"/>
      <c r="E16" s="413">
        <v>7.2</v>
      </c>
      <c r="F16" s="413">
        <v>19.28</v>
      </c>
      <c r="G16" s="413">
        <v>27.66</v>
      </c>
      <c r="H16" s="413">
        <v>19.8</v>
      </c>
      <c r="I16" s="413"/>
      <c r="J16" s="413"/>
      <c r="K16" s="413"/>
      <c r="L16" s="413"/>
      <c r="M16" s="413"/>
      <c r="N16" s="413"/>
      <c r="O16" s="413">
        <v>4.23</v>
      </c>
      <c r="P16" s="413">
        <v>30</v>
      </c>
      <c r="Q16" s="413">
        <v>337.2</v>
      </c>
    </row>
    <row r="17" spans="1:17">
      <c r="A17" s="97" t="s">
        <v>82</v>
      </c>
      <c r="B17" s="97">
        <v>2008</v>
      </c>
      <c r="H17" s="97">
        <v>16</v>
      </c>
      <c r="J17" s="97">
        <v>129</v>
      </c>
      <c r="O17" s="97">
        <v>0</v>
      </c>
    </row>
    <row r="18" spans="1:17">
      <c r="A18" s="97" t="s">
        <v>82</v>
      </c>
      <c r="B18" s="97">
        <v>2009</v>
      </c>
      <c r="O18" s="97">
        <v>0</v>
      </c>
    </row>
    <row r="19" spans="1:17">
      <c r="A19" s="97" t="s">
        <v>82</v>
      </c>
      <c r="B19" s="97">
        <v>2010</v>
      </c>
      <c r="C19" s="97">
        <v>8.55</v>
      </c>
      <c r="H19" s="97">
        <v>0</v>
      </c>
      <c r="O19" s="97">
        <v>0</v>
      </c>
    </row>
    <row r="20" spans="1:17">
      <c r="A20" s="97" t="s">
        <v>82</v>
      </c>
      <c r="B20" s="97">
        <v>2011</v>
      </c>
      <c r="J20" s="97">
        <v>92.34</v>
      </c>
      <c r="O20" s="97">
        <v>0</v>
      </c>
    </row>
    <row r="21" spans="1:17">
      <c r="A21" s="97" t="s">
        <v>82</v>
      </c>
      <c r="B21" s="97">
        <v>2012</v>
      </c>
      <c r="C21" s="413"/>
      <c r="D21" s="413"/>
      <c r="E21" s="413"/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</row>
    <row r="22" spans="1:17">
      <c r="A22" s="97" t="s">
        <v>82</v>
      </c>
      <c r="B22" s="97">
        <v>2013</v>
      </c>
      <c r="C22" s="413"/>
      <c r="D22" s="413"/>
      <c r="E22" s="413"/>
      <c r="F22" s="413"/>
      <c r="G22" s="413"/>
      <c r="H22" s="413"/>
      <c r="I22" s="413"/>
      <c r="J22" s="413">
        <v>83.8</v>
      </c>
      <c r="K22" s="413"/>
      <c r="L22" s="413"/>
      <c r="M22" s="413"/>
      <c r="N22" s="413"/>
      <c r="O22" s="413"/>
      <c r="P22" s="413"/>
      <c r="Q22" s="413"/>
    </row>
    <row r="23" spans="1:17">
      <c r="A23" s="97" t="s">
        <v>82</v>
      </c>
      <c r="B23" s="97">
        <v>2014</v>
      </c>
      <c r="C23" s="413"/>
      <c r="D23" s="413"/>
      <c r="E23" s="413"/>
      <c r="F23" s="413"/>
      <c r="G23" s="413"/>
      <c r="H23" s="413"/>
      <c r="I23" s="413"/>
      <c r="J23" s="413">
        <v>378.7</v>
      </c>
      <c r="K23" s="413"/>
      <c r="L23" s="413"/>
      <c r="M23" s="413"/>
      <c r="N23" s="413"/>
      <c r="O23" s="413"/>
      <c r="P23" s="413"/>
      <c r="Q23" s="413"/>
    </row>
    <row r="24" spans="1:17">
      <c r="A24" s="97" t="s">
        <v>82</v>
      </c>
      <c r="B24" s="97">
        <v>2015</v>
      </c>
      <c r="C24" s="413"/>
      <c r="D24" s="413"/>
      <c r="E24" s="413"/>
      <c r="F24" s="413"/>
      <c r="G24" s="413"/>
      <c r="H24" s="413"/>
      <c r="I24" s="413"/>
      <c r="J24" s="413">
        <v>95</v>
      </c>
      <c r="K24" s="413"/>
      <c r="L24" s="413"/>
      <c r="M24" s="413"/>
      <c r="N24" s="413"/>
      <c r="O24" s="413"/>
      <c r="P24" s="413"/>
      <c r="Q24" s="413">
        <v>4.57</v>
      </c>
    </row>
    <row r="25" spans="1:17">
      <c r="A25" s="97" t="s">
        <v>82</v>
      </c>
      <c r="B25" s="97">
        <v>2016</v>
      </c>
      <c r="C25" s="413">
        <v>7.2</v>
      </c>
      <c r="D25" s="413"/>
      <c r="E25" s="413"/>
      <c r="F25" s="413"/>
      <c r="G25" s="413">
        <v>4.75</v>
      </c>
      <c r="H25" s="413"/>
      <c r="I25" s="413"/>
      <c r="J25" s="413">
        <v>1.33</v>
      </c>
      <c r="K25" s="413"/>
      <c r="L25" s="413"/>
      <c r="M25" s="413"/>
      <c r="N25" s="413"/>
      <c r="O25" s="413"/>
      <c r="P25" s="413"/>
      <c r="Q25" s="413">
        <v>18.3</v>
      </c>
    </row>
    <row r="26" spans="1:17">
      <c r="A26" s="97" t="s">
        <v>82</v>
      </c>
      <c r="B26" s="97">
        <v>2017</v>
      </c>
      <c r="C26" s="413">
        <v>0.25</v>
      </c>
      <c r="D26" s="413"/>
      <c r="E26" s="413"/>
      <c r="F26" s="413">
        <v>6.5</v>
      </c>
      <c r="G26" s="413"/>
      <c r="H26" s="413"/>
      <c r="I26" s="413"/>
      <c r="J26" s="413">
        <v>99.8</v>
      </c>
      <c r="K26" s="413"/>
      <c r="L26" s="413"/>
      <c r="M26" s="413"/>
      <c r="N26" s="413"/>
      <c r="O26" s="413"/>
      <c r="P26" s="413"/>
      <c r="Q26" s="413">
        <v>14.78</v>
      </c>
    </row>
    <row r="27" spans="1:17">
      <c r="A27" s="97" t="s">
        <v>82</v>
      </c>
      <c r="B27" s="97">
        <v>2018</v>
      </c>
      <c r="C27" s="413"/>
      <c r="D27" s="413"/>
      <c r="E27" s="413"/>
      <c r="F27" s="413">
        <v>7</v>
      </c>
      <c r="G27" s="413"/>
      <c r="H27" s="413"/>
      <c r="I27" s="413"/>
      <c r="J27" s="413">
        <v>34.1</v>
      </c>
      <c r="K27" s="413"/>
      <c r="L27" s="413"/>
      <c r="M27" s="413"/>
      <c r="N27" s="413"/>
      <c r="O27" s="413"/>
      <c r="P27" s="413"/>
      <c r="Q27" s="413">
        <v>15.05</v>
      </c>
    </row>
    <row r="28" spans="1:17">
      <c r="A28" s="97" t="s">
        <v>82</v>
      </c>
      <c r="B28" s="97">
        <v>2019</v>
      </c>
      <c r="C28" s="413"/>
      <c r="D28" s="413"/>
      <c r="E28" s="413"/>
      <c r="F28" s="413">
        <v>10.5</v>
      </c>
      <c r="G28" s="413"/>
      <c r="H28" s="413"/>
      <c r="I28" s="413"/>
      <c r="J28" s="413">
        <v>15.5</v>
      </c>
      <c r="K28" s="413"/>
      <c r="L28" s="413"/>
      <c r="M28" s="413"/>
      <c r="N28" s="413"/>
      <c r="O28" s="413"/>
      <c r="P28" s="413"/>
      <c r="Q28" s="413">
        <v>11.26</v>
      </c>
    </row>
    <row r="29" spans="1:17">
      <c r="A29" s="97" t="s">
        <v>82</v>
      </c>
      <c r="B29" s="97">
        <v>2020</v>
      </c>
      <c r="C29" s="413">
        <v>4.97</v>
      </c>
      <c r="D29" s="413"/>
      <c r="E29" s="413"/>
      <c r="F29" s="413">
        <v>2</v>
      </c>
      <c r="G29" s="413"/>
      <c r="H29" s="413"/>
      <c r="I29" s="413"/>
      <c r="J29" s="413">
        <v>6.7</v>
      </c>
      <c r="K29" s="413"/>
      <c r="L29" s="413"/>
      <c r="M29" s="413"/>
      <c r="N29" s="413"/>
      <c r="O29" s="413"/>
      <c r="P29" s="413"/>
      <c r="Q29" s="413">
        <v>10.56</v>
      </c>
    </row>
    <row r="30" spans="1:17">
      <c r="A30" s="97" t="s">
        <v>82</v>
      </c>
      <c r="B30" s="97">
        <v>2021</v>
      </c>
      <c r="C30" s="413">
        <v>4.95</v>
      </c>
      <c r="D30" s="413"/>
      <c r="E30" s="413"/>
      <c r="F30" s="413"/>
      <c r="G30" s="413"/>
      <c r="H30" s="413"/>
      <c r="I30" s="413"/>
      <c r="J30" s="413"/>
      <c r="K30" s="413"/>
      <c r="L30" s="413">
        <v>0.62</v>
      </c>
      <c r="M30" s="413"/>
      <c r="N30" s="413"/>
      <c r="O30" s="413"/>
      <c r="P30" s="413"/>
      <c r="Q30" s="413">
        <v>18.52</v>
      </c>
    </row>
    <row r="31" spans="1:17">
      <c r="A31" s="97" t="s">
        <v>106</v>
      </c>
      <c r="B31" s="97">
        <v>2008</v>
      </c>
      <c r="C31" s="97">
        <v>15</v>
      </c>
      <c r="H31" s="97">
        <v>246</v>
      </c>
      <c r="J31" s="97">
        <v>70</v>
      </c>
      <c r="O31" s="97">
        <v>41</v>
      </c>
    </row>
    <row r="32" spans="1:17">
      <c r="A32" s="97" t="s">
        <v>106</v>
      </c>
      <c r="B32" s="97">
        <v>2009</v>
      </c>
      <c r="C32" s="97">
        <v>6.95</v>
      </c>
      <c r="H32" s="97">
        <v>161</v>
      </c>
      <c r="J32" s="97">
        <v>105</v>
      </c>
      <c r="O32" s="97">
        <v>0</v>
      </c>
    </row>
    <row r="33" spans="1:17">
      <c r="A33" s="97" t="s">
        <v>106</v>
      </c>
      <c r="B33" s="97">
        <v>2010</v>
      </c>
      <c r="C33" s="97">
        <v>13.4</v>
      </c>
      <c r="H33" s="97">
        <v>227</v>
      </c>
      <c r="J33" s="97">
        <v>105</v>
      </c>
      <c r="O33" s="97">
        <v>3</v>
      </c>
    </row>
    <row r="34" spans="1:17">
      <c r="A34" s="97" t="s">
        <v>106</v>
      </c>
      <c r="B34" s="97">
        <v>2011</v>
      </c>
      <c r="C34" s="97">
        <v>15.4</v>
      </c>
      <c r="H34" s="97">
        <v>127</v>
      </c>
      <c r="O34" s="97">
        <v>0</v>
      </c>
    </row>
    <row r="35" spans="1:17">
      <c r="A35" s="97" t="s">
        <v>106</v>
      </c>
      <c r="B35" s="97">
        <v>2012</v>
      </c>
      <c r="C35" s="413">
        <v>9.78</v>
      </c>
      <c r="D35" s="413"/>
      <c r="E35" s="413"/>
      <c r="F35" s="413"/>
      <c r="G35" s="413"/>
      <c r="H35" s="413">
        <v>127</v>
      </c>
      <c r="I35" s="413"/>
      <c r="J35" s="413"/>
      <c r="K35" s="413"/>
      <c r="L35" s="413"/>
      <c r="M35" s="413"/>
      <c r="N35" s="413"/>
      <c r="O35" s="413"/>
      <c r="P35" s="413"/>
      <c r="Q35" s="413"/>
    </row>
    <row r="36" spans="1:17">
      <c r="A36" s="97" t="s">
        <v>106</v>
      </c>
      <c r="B36" s="97">
        <v>2013</v>
      </c>
      <c r="C36" s="413">
        <v>12.8</v>
      </c>
      <c r="D36" s="413">
        <v>108.9</v>
      </c>
      <c r="E36" s="413"/>
      <c r="F36" s="413"/>
      <c r="G36" s="413"/>
      <c r="H36" s="413"/>
      <c r="I36" s="413"/>
      <c r="J36" s="413"/>
      <c r="K36" s="413"/>
      <c r="L36" s="413"/>
      <c r="M36" s="413"/>
      <c r="N36" s="413"/>
      <c r="O36" s="413">
        <v>14</v>
      </c>
      <c r="P36" s="413">
        <v>120</v>
      </c>
      <c r="Q36" s="413"/>
    </row>
    <row r="37" spans="1:17">
      <c r="A37" s="97" t="s">
        <v>106</v>
      </c>
      <c r="B37" s="97">
        <v>2014</v>
      </c>
      <c r="C37" s="413">
        <v>10.25</v>
      </c>
      <c r="D37" s="413">
        <v>217.8</v>
      </c>
      <c r="E37" s="413">
        <v>1.5</v>
      </c>
      <c r="F37" s="413"/>
      <c r="G37" s="413"/>
      <c r="H37" s="413"/>
      <c r="I37" s="413"/>
      <c r="J37" s="413"/>
      <c r="K37" s="413"/>
      <c r="L37" s="413"/>
      <c r="M37" s="413"/>
      <c r="N37" s="413"/>
      <c r="O37" s="413"/>
      <c r="P37" s="413"/>
      <c r="Q37" s="413">
        <v>3</v>
      </c>
    </row>
    <row r="38" spans="1:17">
      <c r="A38" s="97" t="s">
        <v>106</v>
      </c>
      <c r="B38" s="97">
        <v>2015</v>
      </c>
      <c r="C38" s="413">
        <v>19.55</v>
      </c>
      <c r="D38" s="413">
        <v>217.8</v>
      </c>
      <c r="E38" s="413"/>
      <c r="F38" s="413">
        <v>1.2</v>
      </c>
      <c r="G38" s="413">
        <v>10.1</v>
      </c>
      <c r="H38" s="413">
        <v>200</v>
      </c>
      <c r="I38" s="413"/>
      <c r="J38" s="413"/>
      <c r="K38" s="413"/>
      <c r="L38" s="413"/>
      <c r="M38" s="413"/>
      <c r="N38" s="413"/>
      <c r="O38" s="413">
        <v>22.15</v>
      </c>
      <c r="P38" s="413"/>
      <c r="Q38" s="413">
        <v>3</v>
      </c>
    </row>
    <row r="39" spans="1:17">
      <c r="A39" s="97" t="s">
        <v>106</v>
      </c>
      <c r="B39" s="97">
        <v>2016</v>
      </c>
      <c r="C39" s="413">
        <v>62.15</v>
      </c>
      <c r="D39" s="413">
        <v>217.8</v>
      </c>
      <c r="E39" s="413"/>
      <c r="F39" s="413">
        <v>0.6</v>
      </c>
      <c r="G39" s="413">
        <v>31.9</v>
      </c>
      <c r="H39" s="413"/>
      <c r="I39" s="413"/>
      <c r="J39" s="413"/>
      <c r="K39" s="413"/>
      <c r="L39" s="413"/>
      <c r="M39" s="413"/>
      <c r="N39" s="413"/>
      <c r="O39" s="413">
        <v>5.86</v>
      </c>
      <c r="P39" s="413"/>
      <c r="Q39" s="413">
        <v>19.55</v>
      </c>
    </row>
    <row r="40" spans="1:17">
      <c r="A40" s="97" t="s">
        <v>106</v>
      </c>
      <c r="B40" s="97">
        <v>2017</v>
      </c>
      <c r="C40" s="413">
        <v>69.09</v>
      </c>
      <c r="D40" s="413">
        <v>108.9</v>
      </c>
      <c r="E40" s="413"/>
      <c r="F40" s="413">
        <v>8.7</v>
      </c>
      <c r="G40" s="413">
        <v>8.2</v>
      </c>
      <c r="H40" s="413">
        <v>205.21</v>
      </c>
      <c r="I40" s="413"/>
      <c r="J40" s="413">
        <v>3.18</v>
      </c>
      <c r="K40" s="413"/>
      <c r="L40" s="413"/>
      <c r="M40" s="413"/>
      <c r="N40" s="413"/>
      <c r="O40" s="413">
        <v>41.48</v>
      </c>
      <c r="P40" s="413"/>
      <c r="Q40" s="413">
        <v>79.27</v>
      </c>
    </row>
    <row r="41" spans="1:17">
      <c r="A41" s="97" t="s">
        <v>106</v>
      </c>
      <c r="B41" s="97">
        <v>2018</v>
      </c>
      <c r="C41" s="413">
        <v>55.63</v>
      </c>
      <c r="D41" s="413"/>
      <c r="E41" s="413"/>
      <c r="F41" s="413">
        <v>4.8</v>
      </c>
      <c r="G41" s="413">
        <v>20.01</v>
      </c>
      <c r="H41" s="413">
        <v>49</v>
      </c>
      <c r="I41" s="413"/>
      <c r="J41" s="413"/>
      <c r="K41" s="413"/>
      <c r="L41" s="413"/>
      <c r="M41" s="413"/>
      <c r="N41" s="413"/>
      <c r="O41" s="413">
        <v>22.41</v>
      </c>
      <c r="P41" s="413"/>
      <c r="Q41" s="413">
        <v>57.73</v>
      </c>
    </row>
    <row r="42" spans="1:17">
      <c r="A42" s="97" t="s">
        <v>106</v>
      </c>
      <c r="B42" s="97">
        <v>2019</v>
      </c>
      <c r="C42" s="413">
        <v>81.55</v>
      </c>
      <c r="D42" s="413"/>
      <c r="E42" s="413"/>
      <c r="F42" s="413">
        <v>7.2</v>
      </c>
      <c r="G42" s="413">
        <v>23.89</v>
      </c>
      <c r="H42" s="413">
        <v>12</v>
      </c>
      <c r="I42" s="413"/>
      <c r="J42" s="413">
        <v>0.3</v>
      </c>
      <c r="K42" s="413"/>
      <c r="L42" s="413"/>
      <c r="M42" s="413"/>
      <c r="N42" s="413"/>
      <c r="O42" s="413">
        <v>7.79</v>
      </c>
      <c r="P42" s="413"/>
      <c r="Q42" s="413">
        <v>22.31</v>
      </c>
    </row>
    <row r="43" spans="1:17">
      <c r="A43" s="97" t="s">
        <v>106</v>
      </c>
      <c r="B43" s="97">
        <v>2020</v>
      </c>
      <c r="C43" s="413">
        <v>109.18</v>
      </c>
      <c r="D43" s="413"/>
      <c r="E43" s="413"/>
      <c r="F43" s="413">
        <v>20.48</v>
      </c>
      <c r="G43" s="413">
        <v>5.69</v>
      </c>
      <c r="H43" s="413">
        <v>148</v>
      </c>
      <c r="I43" s="413"/>
      <c r="J43" s="413"/>
      <c r="K43" s="413"/>
      <c r="L43" s="413"/>
      <c r="M43" s="413"/>
      <c r="N43" s="413">
        <v>3</v>
      </c>
      <c r="O43" s="413">
        <v>12.69</v>
      </c>
      <c r="P43" s="413"/>
      <c r="Q43" s="413">
        <v>33.44</v>
      </c>
    </row>
    <row r="44" spans="1:17">
      <c r="A44" s="97" t="s">
        <v>106</v>
      </c>
      <c r="B44" s="97">
        <v>2021</v>
      </c>
      <c r="C44" s="413">
        <v>254.55</v>
      </c>
      <c r="D44" s="413">
        <v>116.1</v>
      </c>
      <c r="E44" s="413"/>
      <c r="F44" s="413">
        <v>12.5</v>
      </c>
      <c r="G44" s="413">
        <v>17.52</v>
      </c>
      <c r="H44" s="413">
        <v>112.1</v>
      </c>
      <c r="I44" s="413"/>
      <c r="J44" s="413"/>
      <c r="K44" s="413"/>
      <c r="L44" s="413"/>
      <c r="M44" s="413"/>
      <c r="N44" s="413"/>
      <c r="O44" s="413">
        <v>2.56</v>
      </c>
      <c r="P44" s="413">
        <v>60</v>
      </c>
      <c r="Q44" s="413">
        <v>75.01</v>
      </c>
    </row>
    <row r="45" spans="1:17">
      <c r="A45" s="97" t="s">
        <v>136</v>
      </c>
      <c r="B45" s="97">
        <v>2008</v>
      </c>
      <c r="C45" s="97">
        <v>34</v>
      </c>
      <c r="H45" s="97">
        <v>120</v>
      </c>
      <c r="O45" s="97">
        <v>77</v>
      </c>
    </row>
    <row r="46" spans="1:17">
      <c r="A46" s="97" t="s">
        <v>136</v>
      </c>
      <c r="B46" s="97">
        <v>2009</v>
      </c>
      <c r="C46" s="97">
        <v>45</v>
      </c>
      <c r="H46" s="97">
        <v>258</v>
      </c>
      <c r="O46" s="97">
        <v>45.27</v>
      </c>
    </row>
    <row r="47" spans="1:17">
      <c r="A47" s="97" t="s">
        <v>136</v>
      </c>
      <c r="B47" s="97">
        <v>2010</v>
      </c>
      <c r="C47" s="97">
        <v>170.05</v>
      </c>
      <c r="H47" s="97">
        <v>213</v>
      </c>
      <c r="O47" s="97">
        <v>25.9</v>
      </c>
    </row>
    <row r="48" spans="1:17">
      <c r="A48" s="97" t="s">
        <v>136</v>
      </c>
      <c r="B48" s="97">
        <v>2011</v>
      </c>
      <c r="C48" s="97">
        <v>281.35</v>
      </c>
      <c r="H48" s="97">
        <v>104</v>
      </c>
      <c r="O48" s="97">
        <v>26.74</v>
      </c>
    </row>
    <row r="49" spans="1:17">
      <c r="A49" s="97" t="s">
        <v>136</v>
      </c>
      <c r="B49" s="97">
        <v>2012</v>
      </c>
      <c r="C49" s="413">
        <v>75.15</v>
      </c>
      <c r="D49" s="413"/>
      <c r="E49" s="413"/>
      <c r="F49" s="413"/>
      <c r="G49" s="413"/>
      <c r="H49" s="413">
        <v>12</v>
      </c>
      <c r="I49" s="413"/>
      <c r="J49" s="413"/>
      <c r="K49" s="413"/>
      <c r="L49" s="413"/>
      <c r="M49" s="413"/>
      <c r="N49" s="413"/>
      <c r="O49" s="413">
        <v>39.99</v>
      </c>
      <c r="P49" s="413"/>
      <c r="Q49" s="413">
        <v>29</v>
      </c>
    </row>
    <row r="50" spans="1:17">
      <c r="A50" s="97" t="s">
        <v>136</v>
      </c>
      <c r="B50" s="97">
        <v>2013</v>
      </c>
      <c r="C50" s="413">
        <v>67.05</v>
      </c>
      <c r="D50" s="413"/>
      <c r="E50" s="413"/>
      <c r="F50" s="413"/>
      <c r="G50" s="413">
        <v>13.15</v>
      </c>
      <c r="H50" s="413">
        <v>2.4</v>
      </c>
      <c r="I50" s="413"/>
      <c r="J50" s="413"/>
      <c r="K50" s="413"/>
      <c r="L50" s="413"/>
      <c r="M50" s="413"/>
      <c r="N50" s="413"/>
      <c r="O50" s="413">
        <v>21.45</v>
      </c>
      <c r="P50" s="413"/>
      <c r="Q50" s="413">
        <v>402.59</v>
      </c>
    </row>
    <row r="51" spans="1:17">
      <c r="A51" s="97" t="s">
        <v>136</v>
      </c>
      <c r="B51" s="97">
        <v>2014</v>
      </c>
      <c r="C51" s="413">
        <v>308.7</v>
      </c>
      <c r="D51" s="413"/>
      <c r="E51" s="413">
        <v>3</v>
      </c>
      <c r="F51" s="413"/>
      <c r="G51" s="413">
        <v>5.2</v>
      </c>
      <c r="H51" s="413">
        <v>243</v>
      </c>
      <c r="I51" s="413"/>
      <c r="J51" s="413"/>
      <c r="K51" s="413"/>
      <c r="L51" s="413"/>
      <c r="M51" s="413"/>
      <c r="N51" s="413"/>
      <c r="O51" s="413">
        <v>48.4</v>
      </c>
      <c r="P51" s="413"/>
      <c r="Q51" s="413">
        <v>87.42</v>
      </c>
    </row>
    <row r="52" spans="1:17">
      <c r="A52" s="97" t="s">
        <v>136</v>
      </c>
      <c r="B52" s="97">
        <v>2015</v>
      </c>
      <c r="C52" s="413">
        <v>263.65</v>
      </c>
      <c r="D52" s="413"/>
      <c r="E52" s="413"/>
      <c r="F52" s="413"/>
      <c r="G52" s="413">
        <v>75.35</v>
      </c>
      <c r="H52" s="413"/>
      <c r="I52" s="413"/>
      <c r="J52" s="413"/>
      <c r="K52" s="413"/>
      <c r="L52" s="413"/>
      <c r="M52" s="413"/>
      <c r="N52" s="413"/>
      <c r="O52" s="413">
        <v>24.3</v>
      </c>
      <c r="P52" s="413"/>
      <c r="Q52" s="413">
        <v>129.56</v>
      </c>
    </row>
    <row r="53" spans="1:17">
      <c r="A53" s="97" t="s">
        <v>136</v>
      </c>
      <c r="B53" s="97">
        <v>2016</v>
      </c>
      <c r="C53" s="413">
        <v>24.97</v>
      </c>
      <c r="D53" s="413"/>
      <c r="E53" s="413"/>
      <c r="F53" s="413">
        <v>5.2</v>
      </c>
      <c r="G53" s="413">
        <v>2.21</v>
      </c>
      <c r="H53" s="413">
        <v>33</v>
      </c>
      <c r="I53" s="413"/>
      <c r="J53" s="413"/>
      <c r="K53" s="413"/>
      <c r="L53" s="413"/>
      <c r="M53" s="413"/>
      <c r="N53" s="413"/>
      <c r="O53" s="413">
        <v>9.25</v>
      </c>
      <c r="P53" s="413"/>
      <c r="Q53" s="413">
        <v>77.52</v>
      </c>
    </row>
    <row r="54" spans="1:17">
      <c r="A54" s="97" t="s">
        <v>136</v>
      </c>
      <c r="B54" s="97">
        <v>2017</v>
      </c>
      <c r="C54" s="413">
        <v>4.95</v>
      </c>
      <c r="D54" s="413"/>
      <c r="E54" s="413"/>
      <c r="F54" s="413">
        <v>0.6</v>
      </c>
      <c r="G54" s="413">
        <v>8.1</v>
      </c>
      <c r="H54" s="413">
        <v>103.7</v>
      </c>
      <c r="I54" s="413"/>
      <c r="J54" s="413"/>
      <c r="K54" s="413"/>
      <c r="L54" s="413"/>
      <c r="M54" s="413"/>
      <c r="N54" s="413"/>
      <c r="O54" s="413">
        <v>7.15</v>
      </c>
      <c r="P54" s="413"/>
      <c r="Q54" s="413">
        <v>102.13</v>
      </c>
    </row>
    <row r="55" spans="1:17">
      <c r="A55" s="97" t="s">
        <v>136</v>
      </c>
      <c r="B55" s="97">
        <v>2018</v>
      </c>
      <c r="C55" s="413"/>
      <c r="D55" s="413"/>
      <c r="E55" s="413"/>
      <c r="F55" s="413">
        <v>1.2</v>
      </c>
      <c r="G55" s="413">
        <v>2</v>
      </c>
      <c r="H55" s="413">
        <v>1.2</v>
      </c>
      <c r="I55" s="413"/>
      <c r="J55" s="413"/>
      <c r="K55" s="413"/>
      <c r="L55" s="413"/>
      <c r="M55" s="413"/>
      <c r="N55" s="413"/>
      <c r="O55" s="413">
        <v>60.55</v>
      </c>
      <c r="P55" s="413"/>
      <c r="Q55" s="413">
        <v>65.41</v>
      </c>
    </row>
    <row r="56" spans="1:17">
      <c r="A56" s="97" t="s">
        <v>136</v>
      </c>
      <c r="B56" s="97">
        <v>2019</v>
      </c>
      <c r="C56" s="413">
        <v>12</v>
      </c>
      <c r="D56" s="413"/>
      <c r="E56" s="413"/>
      <c r="F56" s="413"/>
      <c r="G56" s="413"/>
      <c r="H56" s="413"/>
      <c r="I56" s="413"/>
      <c r="J56" s="413"/>
      <c r="K56" s="413"/>
      <c r="L56" s="413"/>
      <c r="M56" s="413"/>
      <c r="N56" s="413"/>
      <c r="O56" s="413">
        <v>15.25</v>
      </c>
      <c r="P56" s="413"/>
      <c r="Q56" s="413">
        <v>80.62</v>
      </c>
    </row>
    <row r="57" spans="1:17">
      <c r="A57" s="97" t="s">
        <v>136</v>
      </c>
      <c r="B57" s="97">
        <v>2020</v>
      </c>
      <c r="C57" s="413">
        <v>76</v>
      </c>
      <c r="D57" s="413"/>
      <c r="E57" s="413">
        <v>3</v>
      </c>
      <c r="F57" s="413">
        <v>1.2</v>
      </c>
      <c r="G57" s="413"/>
      <c r="H57" s="413">
        <v>200</v>
      </c>
      <c r="I57" s="413"/>
      <c r="J57" s="413"/>
      <c r="K57" s="413"/>
      <c r="L57" s="413"/>
      <c r="M57" s="413"/>
      <c r="N57" s="413"/>
      <c r="O57" s="413">
        <v>12.5</v>
      </c>
      <c r="P57" s="413"/>
      <c r="Q57" s="413">
        <v>56.99</v>
      </c>
    </row>
    <row r="58" spans="1:17">
      <c r="A58" s="97" t="s">
        <v>136</v>
      </c>
      <c r="B58" s="97">
        <v>2021</v>
      </c>
      <c r="C58" s="413">
        <v>351.34</v>
      </c>
      <c r="D58" s="413"/>
      <c r="E58" s="413"/>
      <c r="F58" s="413">
        <v>6</v>
      </c>
      <c r="G58" s="413">
        <v>0.9</v>
      </c>
      <c r="H58" s="413"/>
      <c r="I58" s="413"/>
      <c r="J58" s="413"/>
      <c r="K58" s="413"/>
      <c r="L58" s="413"/>
      <c r="M58" s="413"/>
      <c r="N58" s="413">
        <v>6</v>
      </c>
      <c r="O58" s="413">
        <v>14.96</v>
      </c>
      <c r="P58" s="413"/>
      <c r="Q58" s="413">
        <v>164.45</v>
      </c>
    </row>
    <row r="59" spans="1:17">
      <c r="A59" s="97" t="s">
        <v>118</v>
      </c>
      <c r="B59" s="97">
        <v>2008</v>
      </c>
      <c r="H59" s="97">
        <v>300</v>
      </c>
      <c r="O59" s="97">
        <v>0</v>
      </c>
    </row>
    <row r="60" spans="1:17">
      <c r="A60" s="97" t="s">
        <v>118</v>
      </c>
      <c r="B60" s="97">
        <v>2009</v>
      </c>
      <c r="C60" s="97">
        <v>16.65</v>
      </c>
      <c r="H60" s="97">
        <v>701.2</v>
      </c>
      <c r="J60" s="97">
        <v>15.6</v>
      </c>
      <c r="O60" s="97">
        <v>0</v>
      </c>
      <c r="P60" s="97">
        <v>90</v>
      </c>
    </row>
    <row r="61" spans="1:17">
      <c r="A61" s="97" t="s">
        <v>118</v>
      </c>
      <c r="B61" s="97">
        <v>2010</v>
      </c>
      <c r="C61" s="97">
        <v>15.48</v>
      </c>
      <c r="D61" s="97">
        <v>108.69</v>
      </c>
      <c r="H61" s="97">
        <v>337</v>
      </c>
      <c r="O61" s="97">
        <v>0</v>
      </c>
      <c r="P61" s="97">
        <v>120</v>
      </c>
    </row>
    <row r="62" spans="1:17">
      <c r="A62" s="97" t="s">
        <v>118</v>
      </c>
      <c r="B62" s="97">
        <v>2011</v>
      </c>
      <c r="C62" s="97">
        <v>23.49</v>
      </c>
      <c r="D62" s="97">
        <v>108.69</v>
      </c>
      <c r="E62" s="97">
        <v>10</v>
      </c>
      <c r="F62" s="97">
        <v>5.4</v>
      </c>
      <c r="H62" s="97">
        <v>575.6</v>
      </c>
      <c r="O62" s="97">
        <v>0</v>
      </c>
      <c r="P62" s="97">
        <v>30</v>
      </c>
    </row>
    <row r="63" spans="1:17">
      <c r="A63" s="97" t="s">
        <v>118</v>
      </c>
      <c r="B63" s="97">
        <v>2012</v>
      </c>
      <c r="C63" s="413">
        <v>35.58</v>
      </c>
      <c r="D63" s="413"/>
      <c r="E63" s="413"/>
      <c r="F63" s="413"/>
      <c r="G63" s="413"/>
      <c r="H63" s="413">
        <v>495.6</v>
      </c>
      <c r="I63" s="413"/>
      <c r="J63" s="413"/>
      <c r="K63" s="413"/>
      <c r="L63" s="413"/>
      <c r="M63" s="413"/>
      <c r="N63" s="413"/>
      <c r="O63" s="413"/>
      <c r="P63" s="413"/>
      <c r="Q63" s="413">
        <v>2.2</v>
      </c>
    </row>
    <row r="64" spans="1:17">
      <c r="A64" s="97" t="s">
        <v>118</v>
      </c>
      <c r="B64" s="97">
        <v>2013</v>
      </c>
      <c r="C64" s="413">
        <v>19.8</v>
      </c>
      <c r="D64" s="413"/>
      <c r="E64" s="413"/>
      <c r="F64" s="413"/>
      <c r="G64" s="413"/>
      <c r="H64" s="413">
        <v>196</v>
      </c>
      <c r="I64" s="413"/>
      <c r="J64" s="413"/>
      <c r="K64" s="413"/>
      <c r="L64" s="413"/>
      <c r="M64" s="413"/>
      <c r="N64" s="413"/>
      <c r="O64" s="413">
        <v>8.8</v>
      </c>
      <c r="P64" s="413"/>
      <c r="Q64" s="413">
        <v>2.32</v>
      </c>
    </row>
    <row r="65" spans="1:17">
      <c r="A65" s="97" t="s">
        <v>118</v>
      </c>
      <c r="B65" s="97">
        <v>2014</v>
      </c>
      <c r="C65" s="413">
        <v>29.96</v>
      </c>
      <c r="D65" s="413">
        <v>108.6</v>
      </c>
      <c r="E65" s="413"/>
      <c r="F65" s="413"/>
      <c r="G65" s="413"/>
      <c r="H65" s="413"/>
      <c r="I65" s="413"/>
      <c r="J65" s="413">
        <v>78</v>
      </c>
      <c r="K65" s="413"/>
      <c r="L65" s="413"/>
      <c r="M65" s="413"/>
      <c r="N65" s="413"/>
      <c r="O65" s="413"/>
      <c r="P65" s="413"/>
      <c r="Q65" s="413">
        <v>2.79</v>
      </c>
    </row>
    <row r="66" spans="1:17">
      <c r="A66" s="97" t="s">
        <v>118</v>
      </c>
      <c r="B66" s="97">
        <v>2015</v>
      </c>
      <c r="C66" s="413">
        <v>24.9</v>
      </c>
      <c r="D66" s="413">
        <v>108.6</v>
      </c>
      <c r="E66" s="413"/>
      <c r="F66" s="413"/>
      <c r="G66" s="413"/>
      <c r="H66" s="413">
        <v>415</v>
      </c>
      <c r="I66" s="413"/>
      <c r="J66" s="413"/>
      <c r="K66" s="413"/>
      <c r="L66" s="413"/>
      <c r="M66" s="413"/>
      <c r="N66" s="413"/>
      <c r="O66" s="413"/>
      <c r="P66" s="413">
        <v>32</v>
      </c>
      <c r="Q66" s="413">
        <v>3.95</v>
      </c>
    </row>
    <row r="67" spans="1:17">
      <c r="A67" s="97" t="s">
        <v>118</v>
      </c>
      <c r="B67" s="97">
        <v>2016</v>
      </c>
      <c r="C67" s="413">
        <v>15.55</v>
      </c>
      <c r="D67" s="413">
        <v>108.6</v>
      </c>
      <c r="E67" s="413"/>
      <c r="F67" s="413"/>
      <c r="G67" s="413"/>
      <c r="H67" s="413">
        <v>60</v>
      </c>
      <c r="I67" s="413"/>
      <c r="J67" s="413"/>
      <c r="K67" s="413"/>
      <c r="L67" s="413"/>
      <c r="M67" s="413"/>
      <c r="N67" s="413"/>
      <c r="O67" s="413"/>
      <c r="P67" s="413">
        <v>96</v>
      </c>
      <c r="Q67" s="413">
        <v>19.49</v>
      </c>
    </row>
    <row r="68" spans="1:17">
      <c r="A68" s="97" t="s">
        <v>118</v>
      </c>
      <c r="B68" s="97">
        <v>2017</v>
      </c>
      <c r="C68" s="413">
        <v>28.8</v>
      </c>
      <c r="D68" s="413">
        <v>108.6</v>
      </c>
      <c r="E68" s="413"/>
      <c r="F68" s="413"/>
      <c r="G68" s="413"/>
      <c r="H68" s="413"/>
      <c r="I68" s="413"/>
      <c r="J68" s="413"/>
      <c r="K68" s="413"/>
      <c r="L68" s="413"/>
      <c r="M68" s="413"/>
      <c r="N68" s="413"/>
      <c r="O68" s="413">
        <v>5</v>
      </c>
      <c r="P68" s="413">
        <v>30</v>
      </c>
      <c r="Q68" s="413">
        <v>23.21</v>
      </c>
    </row>
    <row r="69" spans="1:17">
      <c r="A69" s="97" t="s">
        <v>118</v>
      </c>
      <c r="B69" s="97">
        <v>2018</v>
      </c>
      <c r="C69" s="413">
        <v>2.02</v>
      </c>
      <c r="D69" s="413">
        <v>283.6</v>
      </c>
      <c r="E69" s="413"/>
      <c r="F69" s="413"/>
      <c r="G69" s="413"/>
      <c r="H69" s="413">
        <v>35</v>
      </c>
      <c r="I69" s="413"/>
      <c r="J69" s="413">
        <v>449.25</v>
      </c>
      <c r="K69" s="413"/>
      <c r="L69" s="413"/>
      <c r="M69" s="413"/>
      <c r="N69" s="413"/>
      <c r="O69" s="413"/>
      <c r="P69" s="413">
        <v>90</v>
      </c>
      <c r="Q69" s="413">
        <v>34.18</v>
      </c>
    </row>
    <row r="70" spans="1:17">
      <c r="A70" s="97" t="s">
        <v>118</v>
      </c>
      <c r="B70" s="97">
        <v>2019</v>
      </c>
      <c r="C70" s="413">
        <v>30.54</v>
      </c>
      <c r="D70" s="413">
        <v>283.6</v>
      </c>
      <c r="E70" s="413"/>
      <c r="F70" s="413">
        <v>71.1</v>
      </c>
      <c r="G70" s="413"/>
      <c r="H70" s="413">
        <v>235</v>
      </c>
      <c r="I70" s="413"/>
      <c r="J70" s="413">
        <v>172.95</v>
      </c>
      <c r="K70" s="413"/>
      <c r="L70" s="413">
        <v>1.42</v>
      </c>
      <c r="M70" s="413"/>
      <c r="N70" s="413"/>
      <c r="O70" s="413"/>
      <c r="P70" s="413"/>
      <c r="Q70" s="413">
        <v>103.6</v>
      </c>
    </row>
    <row r="71" spans="1:17">
      <c r="A71" s="97" t="s">
        <v>118</v>
      </c>
      <c r="B71" s="97">
        <v>2020</v>
      </c>
      <c r="C71" s="413">
        <v>110.54</v>
      </c>
      <c r="D71" s="413"/>
      <c r="E71" s="413"/>
      <c r="F71" s="413"/>
      <c r="G71" s="413"/>
      <c r="H71" s="413">
        <v>300</v>
      </c>
      <c r="I71" s="413"/>
      <c r="J71" s="413">
        <v>441.46</v>
      </c>
      <c r="K71" s="413"/>
      <c r="L71" s="413"/>
      <c r="M71" s="413"/>
      <c r="N71" s="413"/>
      <c r="O71" s="413"/>
      <c r="P71" s="413"/>
      <c r="Q71" s="413">
        <v>189.12</v>
      </c>
    </row>
    <row r="72" spans="1:17">
      <c r="A72" s="97" t="s">
        <v>118</v>
      </c>
      <c r="B72" s="97">
        <v>2021</v>
      </c>
      <c r="C72" s="413">
        <v>630.2</v>
      </c>
      <c r="D72" s="413"/>
      <c r="E72" s="413">
        <v>7</v>
      </c>
      <c r="F72" s="413">
        <v>77.25</v>
      </c>
      <c r="G72" s="413"/>
      <c r="H72" s="413">
        <v>200</v>
      </c>
      <c r="I72" s="413"/>
      <c r="J72" s="413">
        <v>244.98</v>
      </c>
      <c r="K72" s="413"/>
      <c r="L72" s="413">
        <v>9.65</v>
      </c>
      <c r="M72" s="413"/>
      <c r="N72" s="413"/>
      <c r="O72" s="413"/>
      <c r="P72" s="413">
        <v>70</v>
      </c>
      <c r="Q72" s="413">
        <v>223.04</v>
      </c>
    </row>
    <row r="73" spans="1:17">
      <c r="A73" s="97" t="s">
        <v>120</v>
      </c>
      <c r="B73" s="97">
        <v>2008</v>
      </c>
      <c r="H73" s="97">
        <v>60</v>
      </c>
      <c r="O73" s="97">
        <v>342</v>
      </c>
    </row>
    <row r="74" spans="1:17">
      <c r="A74" s="97" t="s">
        <v>120</v>
      </c>
      <c r="B74" s="97">
        <v>2009</v>
      </c>
      <c r="H74" s="97">
        <v>0.9</v>
      </c>
      <c r="O74" s="97">
        <v>72.42</v>
      </c>
    </row>
    <row r="75" spans="1:17">
      <c r="A75" s="97" t="s">
        <v>120</v>
      </c>
      <c r="B75" s="97">
        <v>2010</v>
      </c>
      <c r="E75" s="97">
        <v>13.12</v>
      </c>
      <c r="G75" s="97">
        <v>1.08</v>
      </c>
      <c r="H75" s="97">
        <v>0</v>
      </c>
      <c r="O75" s="97">
        <v>21.53</v>
      </c>
    </row>
    <row r="76" spans="1:17">
      <c r="A76" s="97" t="s">
        <v>120</v>
      </c>
      <c r="B76" s="97">
        <v>2011</v>
      </c>
      <c r="C76" s="97">
        <v>4.95</v>
      </c>
      <c r="E76" s="97">
        <v>3</v>
      </c>
      <c r="H76" s="97">
        <v>133</v>
      </c>
      <c r="O76" s="97">
        <v>17.15</v>
      </c>
    </row>
    <row r="77" spans="1:17">
      <c r="A77" s="97" t="s">
        <v>120</v>
      </c>
      <c r="B77" s="97">
        <v>2012</v>
      </c>
      <c r="C77" s="413">
        <v>4.95</v>
      </c>
      <c r="D77" s="413"/>
      <c r="E77" s="413"/>
      <c r="F77" s="413"/>
      <c r="G77" s="413"/>
      <c r="H77" s="413">
        <v>266</v>
      </c>
      <c r="I77" s="413"/>
      <c r="J77" s="413"/>
      <c r="K77" s="413"/>
      <c r="L77" s="413"/>
      <c r="M77" s="413"/>
      <c r="N77" s="413"/>
      <c r="O77" s="413">
        <v>4.33</v>
      </c>
      <c r="P77" s="413"/>
      <c r="Q77" s="413"/>
    </row>
    <row r="78" spans="1:17">
      <c r="A78" s="97" t="s">
        <v>120</v>
      </c>
      <c r="B78" s="97">
        <v>2013</v>
      </c>
      <c r="C78" s="413">
        <v>5.1</v>
      </c>
      <c r="D78" s="413"/>
      <c r="E78" s="413">
        <v>3</v>
      </c>
      <c r="F78" s="413"/>
      <c r="G78" s="413"/>
      <c r="H78" s="413"/>
      <c r="I78" s="413"/>
      <c r="J78" s="413"/>
      <c r="K78" s="413"/>
      <c r="L78" s="413">
        <v>0.1</v>
      </c>
      <c r="M78" s="413"/>
      <c r="N78" s="413"/>
      <c r="O78" s="413">
        <v>40.83</v>
      </c>
      <c r="P78" s="413"/>
      <c r="Q78" s="413"/>
    </row>
    <row r="79" spans="1:17">
      <c r="A79" s="97" t="s">
        <v>120</v>
      </c>
      <c r="B79" s="97">
        <v>2014</v>
      </c>
      <c r="C79" s="413"/>
      <c r="D79" s="413"/>
      <c r="E79" s="413"/>
      <c r="F79" s="413"/>
      <c r="G79" s="413"/>
      <c r="H79" s="413"/>
      <c r="I79" s="413"/>
      <c r="J79" s="413">
        <v>12</v>
      </c>
      <c r="K79" s="413"/>
      <c r="L79" s="413"/>
      <c r="M79" s="413"/>
      <c r="N79" s="413"/>
      <c r="O79" s="413">
        <v>32</v>
      </c>
      <c r="P79" s="413"/>
      <c r="Q79" s="413"/>
    </row>
    <row r="80" spans="1:17">
      <c r="A80" s="97" t="s">
        <v>120</v>
      </c>
      <c r="B80" s="97">
        <v>2015</v>
      </c>
      <c r="C80" s="413">
        <v>29.55</v>
      </c>
      <c r="D80" s="413"/>
      <c r="E80" s="413">
        <v>6</v>
      </c>
      <c r="F80" s="413"/>
      <c r="G80" s="413">
        <v>31.2</v>
      </c>
      <c r="H80" s="413"/>
      <c r="I80" s="413"/>
      <c r="J80" s="413"/>
      <c r="K80" s="413"/>
      <c r="L80" s="413"/>
      <c r="M80" s="413"/>
      <c r="N80" s="413"/>
      <c r="O80" s="413">
        <v>2.52</v>
      </c>
      <c r="P80" s="413"/>
      <c r="Q80" s="413">
        <v>8.8</v>
      </c>
    </row>
    <row r="81" spans="1:17">
      <c r="A81" s="97" t="s">
        <v>120</v>
      </c>
      <c r="B81" s="97">
        <v>2016</v>
      </c>
      <c r="C81" s="413">
        <v>34.95</v>
      </c>
      <c r="D81" s="413">
        <v>217.2</v>
      </c>
      <c r="E81" s="413"/>
      <c r="F81" s="413">
        <v>6</v>
      </c>
      <c r="G81" s="413">
        <v>120</v>
      </c>
      <c r="H81" s="413">
        <v>402</v>
      </c>
      <c r="I81" s="413"/>
      <c r="J81" s="413"/>
      <c r="K81" s="413"/>
      <c r="L81" s="413"/>
      <c r="M81" s="413"/>
      <c r="N81" s="413"/>
      <c r="O81" s="413">
        <v>14.11</v>
      </c>
      <c r="P81" s="413"/>
      <c r="Q81" s="413">
        <v>4.07</v>
      </c>
    </row>
    <row r="82" spans="1:17">
      <c r="A82" s="97" t="s">
        <v>120</v>
      </c>
      <c r="B82" s="97">
        <v>2017</v>
      </c>
      <c r="C82" s="413">
        <v>81.67</v>
      </c>
      <c r="D82" s="413"/>
      <c r="E82" s="413">
        <v>8.6</v>
      </c>
      <c r="F82" s="413">
        <v>0.9</v>
      </c>
      <c r="G82" s="413">
        <v>20.35</v>
      </c>
      <c r="H82" s="413"/>
      <c r="I82" s="413"/>
      <c r="J82" s="413">
        <v>21</v>
      </c>
      <c r="K82" s="413"/>
      <c r="L82" s="413"/>
      <c r="M82" s="413"/>
      <c r="N82" s="413"/>
      <c r="O82" s="413"/>
      <c r="P82" s="413"/>
      <c r="Q82" s="413">
        <v>6.05</v>
      </c>
    </row>
    <row r="83" spans="1:17">
      <c r="A83" s="97" t="s">
        <v>120</v>
      </c>
      <c r="B83" s="97">
        <v>2018</v>
      </c>
      <c r="C83" s="413">
        <v>61.42</v>
      </c>
      <c r="D83" s="413"/>
      <c r="E83" s="413">
        <v>12</v>
      </c>
      <c r="F83" s="413">
        <v>2.4</v>
      </c>
      <c r="G83" s="413"/>
      <c r="H83" s="413">
        <v>105</v>
      </c>
      <c r="I83" s="413"/>
      <c r="J83" s="413"/>
      <c r="K83" s="413"/>
      <c r="L83" s="413"/>
      <c r="M83" s="413"/>
      <c r="N83" s="413"/>
      <c r="O83" s="413">
        <v>4.92</v>
      </c>
      <c r="P83" s="413"/>
      <c r="Q83" s="413">
        <v>30.13</v>
      </c>
    </row>
    <row r="84" spans="1:17">
      <c r="A84" s="97" t="s">
        <v>120</v>
      </c>
      <c r="B84" s="97">
        <v>2019</v>
      </c>
      <c r="C84" s="413">
        <v>90.03</v>
      </c>
      <c r="D84" s="413"/>
      <c r="E84" s="413">
        <v>6.7</v>
      </c>
      <c r="F84" s="413">
        <v>4.7</v>
      </c>
      <c r="G84" s="413"/>
      <c r="H84" s="413"/>
      <c r="I84" s="413"/>
      <c r="J84" s="413"/>
      <c r="K84" s="413"/>
      <c r="L84" s="413"/>
      <c r="M84" s="413"/>
      <c r="N84" s="413"/>
      <c r="O84" s="413">
        <v>28.84</v>
      </c>
      <c r="P84" s="413"/>
      <c r="Q84" s="413">
        <v>9.58</v>
      </c>
    </row>
    <row r="85" spans="1:17">
      <c r="A85" s="97" t="s">
        <v>120</v>
      </c>
      <c r="B85" s="97">
        <v>2020</v>
      </c>
      <c r="C85" s="413">
        <v>353.66</v>
      </c>
      <c r="D85" s="413"/>
      <c r="E85" s="413">
        <v>16.15</v>
      </c>
      <c r="F85" s="413">
        <v>6.1</v>
      </c>
      <c r="G85" s="413">
        <v>10</v>
      </c>
      <c r="H85" s="413">
        <v>1.5</v>
      </c>
      <c r="I85" s="413"/>
      <c r="J85" s="413">
        <v>15</v>
      </c>
      <c r="K85" s="413"/>
      <c r="L85" s="413"/>
      <c r="M85" s="413"/>
      <c r="N85" s="413"/>
      <c r="O85" s="413">
        <v>69.44</v>
      </c>
      <c r="P85" s="413"/>
      <c r="Q85" s="413">
        <v>72.5</v>
      </c>
    </row>
    <row r="86" spans="1:17">
      <c r="A86" s="97" t="s">
        <v>120</v>
      </c>
      <c r="B86" s="97">
        <v>2021</v>
      </c>
      <c r="C86" s="413">
        <v>99.56</v>
      </c>
      <c r="D86" s="413"/>
      <c r="E86" s="413">
        <v>7.9</v>
      </c>
      <c r="F86" s="413">
        <v>19.5</v>
      </c>
      <c r="G86" s="413">
        <v>3.3</v>
      </c>
      <c r="H86" s="413">
        <v>105.6</v>
      </c>
      <c r="I86" s="413"/>
      <c r="J86" s="413"/>
      <c r="K86" s="413"/>
      <c r="L86" s="413"/>
      <c r="M86" s="413"/>
      <c r="N86" s="413"/>
      <c r="O86" s="413">
        <v>8.18</v>
      </c>
      <c r="P86" s="413"/>
      <c r="Q86" s="413">
        <v>107.15</v>
      </c>
    </row>
    <row r="87" spans="1:17">
      <c r="A87" s="97" t="s">
        <v>128</v>
      </c>
      <c r="B87" s="97">
        <v>2008</v>
      </c>
      <c r="H87" s="97">
        <v>180</v>
      </c>
      <c r="O87" s="97">
        <v>126</v>
      </c>
    </row>
    <row r="88" spans="1:17">
      <c r="A88" s="97" t="s">
        <v>128</v>
      </c>
      <c r="B88" s="97">
        <v>2009</v>
      </c>
      <c r="H88" s="97">
        <v>150</v>
      </c>
      <c r="O88" s="97">
        <v>316.05</v>
      </c>
    </row>
    <row r="89" spans="1:17">
      <c r="A89" s="97" t="s">
        <v>128</v>
      </c>
      <c r="B89" s="97">
        <v>2010</v>
      </c>
      <c r="H89" s="97">
        <v>60</v>
      </c>
      <c r="I89" s="97">
        <v>5</v>
      </c>
      <c r="O89" s="97">
        <v>232.95</v>
      </c>
    </row>
    <row r="90" spans="1:17">
      <c r="A90" s="97" t="s">
        <v>128</v>
      </c>
      <c r="B90" s="97">
        <v>2011</v>
      </c>
      <c r="C90" s="97">
        <v>15.45</v>
      </c>
      <c r="H90" s="97">
        <v>125</v>
      </c>
      <c r="O90" s="97">
        <v>1.19</v>
      </c>
    </row>
    <row r="91" spans="1:17">
      <c r="A91" s="97" t="s">
        <v>128</v>
      </c>
      <c r="B91" s="97">
        <v>2012</v>
      </c>
      <c r="C91" s="413">
        <v>45</v>
      </c>
      <c r="D91" s="413"/>
      <c r="E91" s="413"/>
      <c r="F91" s="413"/>
      <c r="G91" s="413"/>
      <c r="H91" s="413">
        <v>126</v>
      </c>
      <c r="I91" s="413"/>
      <c r="J91" s="413"/>
      <c r="K91" s="413"/>
      <c r="L91" s="413"/>
      <c r="M91" s="413"/>
      <c r="N91" s="413"/>
      <c r="O91" s="413">
        <v>11.2</v>
      </c>
      <c r="P91" s="413"/>
      <c r="Q91" s="413"/>
    </row>
    <row r="92" spans="1:17">
      <c r="A92" s="97" t="s">
        <v>128</v>
      </c>
      <c r="B92" s="97">
        <v>2013</v>
      </c>
      <c r="C92" s="413">
        <v>105.27</v>
      </c>
      <c r="D92" s="413"/>
      <c r="E92" s="413"/>
      <c r="F92" s="413"/>
      <c r="G92" s="413"/>
      <c r="H92" s="413">
        <v>252</v>
      </c>
      <c r="I92" s="413">
        <v>30</v>
      </c>
      <c r="J92" s="413"/>
      <c r="K92" s="413"/>
      <c r="L92" s="413"/>
      <c r="M92" s="413"/>
      <c r="N92" s="413"/>
      <c r="O92" s="413">
        <v>159</v>
      </c>
      <c r="P92" s="413"/>
      <c r="Q92" s="413"/>
    </row>
    <row r="93" spans="1:17">
      <c r="A93" s="97" t="s">
        <v>128</v>
      </c>
      <c r="B93" s="97">
        <v>2014</v>
      </c>
      <c r="C93" s="413">
        <v>46.8</v>
      </c>
      <c r="D93" s="413"/>
      <c r="E93" s="413">
        <v>3</v>
      </c>
      <c r="F93" s="413"/>
      <c r="G93" s="413"/>
      <c r="H93" s="413">
        <v>156</v>
      </c>
      <c r="I93" s="413"/>
      <c r="J93" s="413"/>
      <c r="K93" s="413">
        <v>0.49</v>
      </c>
      <c r="L93" s="413"/>
      <c r="M93" s="413"/>
      <c r="N93" s="413"/>
      <c r="O93" s="413">
        <v>19</v>
      </c>
      <c r="P93" s="413"/>
      <c r="Q93" s="413"/>
    </row>
    <row r="94" spans="1:17">
      <c r="A94" s="97" t="s">
        <v>128</v>
      </c>
      <c r="B94" s="97">
        <v>2015</v>
      </c>
      <c r="C94" s="413">
        <v>89.23</v>
      </c>
      <c r="D94" s="413"/>
      <c r="E94" s="413"/>
      <c r="F94" s="413"/>
      <c r="G94" s="413"/>
      <c r="H94" s="413">
        <v>198</v>
      </c>
      <c r="I94" s="413"/>
      <c r="J94" s="413"/>
      <c r="K94" s="413"/>
      <c r="L94" s="413"/>
      <c r="M94" s="413"/>
      <c r="N94" s="413"/>
      <c r="O94" s="413">
        <v>77.35</v>
      </c>
      <c r="P94" s="413"/>
      <c r="Q94" s="413">
        <v>3</v>
      </c>
    </row>
    <row r="95" spans="1:17">
      <c r="A95" s="97" t="s">
        <v>128</v>
      </c>
      <c r="B95" s="97">
        <v>2016</v>
      </c>
      <c r="C95" s="413">
        <v>32.01</v>
      </c>
      <c r="D95" s="413"/>
      <c r="E95" s="413"/>
      <c r="F95" s="413"/>
      <c r="G95" s="413"/>
      <c r="H95" s="413">
        <v>318</v>
      </c>
      <c r="I95" s="413"/>
      <c r="J95" s="413"/>
      <c r="K95" s="413">
        <v>0.21</v>
      </c>
      <c r="L95" s="413"/>
      <c r="M95" s="413"/>
      <c r="N95" s="413"/>
      <c r="O95" s="413">
        <v>9</v>
      </c>
      <c r="P95" s="413"/>
      <c r="Q95" s="413"/>
    </row>
    <row r="96" spans="1:17">
      <c r="A96" s="97" t="s">
        <v>128</v>
      </c>
      <c r="B96" s="97">
        <v>2017</v>
      </c>
      <c r="C96" s="413">
        <v>30.58</v>
      </c>
      <c r="D96" s="413"/>
      <c r="E96" s="413"/>
      <c r="F96" s="413"/>
      <c r="G96" s="413"/>
      <c r="H96" s="413"/>
      <c r="I96" s="413"/>
      <c r="J96" s="413"/>
      <c r="K96" s="413"/>
      <c r="L96" s="413"/>
      <c r="M96" s="413"/>
      <c r="N96" s="413"/>
      <c r="O96" s="413">
        <v>31</v>
      </c>
      <c r="P96" s="413"/>
      <c r="Q96" s="413">
        <v>18.5</v>
      </c>
    </row>
    <row r="97" spans="1:17">
      <c r="A97" s="97" t="s">
        <v>128</v>
      </c>
      <c r="B97" s="97">
        <v>2018</v>
      </c>
      <c r="C97" s="413">
        <v>14.84</v>
      </c>
      <c r="D97" s="413"/>
      <c r="E97" s="413"/>
      <c r="F97" s="413"/>
      <c r="G97" s="413"/>
      <c r="H97" s="413"/>
      <c r="I97" s="413"/>
      <c r="J97" s="413"/>
      <c r="K97" s="413"/>
      <c r="L97" s="413"/>
      <c r="M97" s="413"/>
      <c r="N97" s="413"/>
      <c r="O97" s="413"/>
      <c r="P97" s="413"/>
      <c r="Q97" s="413">
        <v>11</v>
      </c>
    </row>
    <row r="98" spans="1:17">
      <c r="A98" s="97" t="s">
        <v>128</v>
      </c>
      <c r="B98" s="97">
        <v>2019</v>
      </c>
      <c r="C98" s="413">
        <v>78.13</v>
      </c>
      <c r="D98" s="413"/>
      <c r="E98" s="413"/>
      <c r="F98" s="413">
        <v>24</v>
      </c>
      <c r="G98" s="413"/>
      <c r="H98" s="413">
        <v>81</v>
      </c>
      <c r="I98" s="413"/>
      <c r="J98" s="413"/>
      <c r="K98" s="413"/>
      <c r="L98" s="413"/>
      <c r="M98" s="413"/>
      <c r="N98" s="413"/>
      <c r="O98" s="413">
        <v>5.3</v>
      </c>
      <c r="P98" s="413"/>
      <c r="Q98" s="413">
        <v>45.28</v>
      </c>
    </row>
    <row r="99" spans="1:17">
      <c r="A99" s="97" t="s">
        <v>128</v>
      </c>
      <c r="B99" s="97">
        <v>2020</v>
      </c>
      <c r="C99" s="413">
        <v>149.35</v>
      </c>
      <c r="D99" s="413"/>
      <c r="E99" s="413"/>
      <c r="F99" s="413">
        <v>6</v>
      </c>
      <c r="G99" s="413"/>
      <c r="H99" s="413"/>
      <c r="I99" s="413"/>
      <c r="J99" s="413"/>
      <c r="K99" s="413"/>
      <c r="L99" s="413"/>
      <c r="M99" s="413"/>
      <c r="N99" s="413"/>
      <c r="O99" s="413">
        <v>13.1</v>
      </c>
      <c r="P99" s="413"/>
      <c r="Q99" s="413">
        <v>546.74</v>
      </c>
    </row>
    <row r="100" spans="1:17">
      <c r="A100" s="97" t="s">
        <v>128</v>
      </c>
      <c r="B100" s="97">
        <v>2021</v>
      </c>
      <c r="C100" s="413">
        <v>28.9</v>
      </c>
      <c r="D100" s="413"/>
      <c r="E100" s="413"/>
      <c r="F100" s="413">
        <v>7</v>
      </c>
      <c r="G100" s="413"/>
      <c r="H100" s="413"/>
      <c r="I100" s="413"/>
      <c r="J100" s="413">
        <v>5.63</v>
      </c>
      <c r="K100" s="413"/>
      <c r="L100" s="413"/>
      <c r="M100" s="413"/>
      <c r="N100" s="413"/>
      <c r="O100" s="413">
        <v>2</v>
      </c>
      <c r="P100" s="413"/>
      <c r="Q100" s="413">
        <v>147.33</v>
      </c>
    </row>
    <row r="101" spans="1:17">
      <c r="A101" s="97" t="s">
        <v>122</v>
      </c>
      <c r="B101" s="97">
        <v>2008</v>
      </c>
      <c r="C101" s="97">
        <v>5</v>
      </c>
      <c r="M101" s="97">
        <v>2</v>
      </c>
      <c r="O101" s="97">
        <v>0</v>
      </c>
    </row>
    <row r="102" spans="1:17">
      <c r="A102" s="97" t="s">
        <v>122</v>
      </c>
      <c r="B102" s="97">
        <v>2009</v>
      </c>
      <c r="C102" s="97">
        <v>7.75</v>
      </c>
      <c r="G102" s="97">
        <v>1.2</v>
      </c>
      <c r="H102" s="97">
        <v>70</v>
      </c>
      <c r="M102" s="97">
        <v>0.17</v>
      </c>
      <c r="O102" s="97">
        <v>8.2</v>
      </c>
    </row>
    <row r="103" spans="1:17">
      <c r="A103" s="97" t="s">
        <v>122</v>
      </c>
      <c r="B103" s="97">
        <v>2010</v>
      </c>
      <c r="C103" s="97">
        <v>13.65</v>
      </c>
      <c r="H103" s="97">
        <v>0</v>
      </c>
      <c r="M103" s="97">
        <v>0.48</v>
      </c>
      <c r="O103" s="97">
        <v>0.6</v>
      </c>
    </row>
    <row r="104" spans="1:17">
      <c r="A104" s="97" t="s">
        <v>122</v>
      </c>
      <c r="B104" s="97">
        <v>2011</v>
      </c>
      <c r="F104" s="97">
        <v>2.4</v>
      </c>
      <c r="H104" s="97">
        <v>0</v>
      </c>
      <c r="O104" s="97">
        <v>0</v>
      </c>
    </row>
    <row r="105" spans="1:17">
      <c r="A105" s="97" t="s">
        <v>122</v>
      </c>
      <c r="B105" s="97">
        <v>2012</v>
      </c>
      <c r="C105" s="413">
        <v>4.8</v>
      </c>
      <c r="D105" s="413"/>
      <c r="E105" s="413"/>
      <c r="F105" s="413"/>
      <c r="G105" s="413"/>
      <c r="H105" s="413">
        <v>70</v>
      </c>
      <c r="I105" s="413"/>
      <c r="J105" s="413"/>
      <c r="K105" s="413"/>
      <c r="L105" s="413"/>
      <c r="M105" s="413"/>
      <c r="N105" s="413"/>
      <c r="O105" s="413"/>
      <c r="P105" s="413"/>
      <c r="Q105" s="413"/>
    </row>
    <row r="106" spans="1:17">
      <c r="A106" s="97" t="s">
        <v>122</v>
      </c>
      <c r="B106" s="97">
        <v>2013</v>
      </c>
      <c r="C106" s="413"/>
      <c r="D106" s="413"/>
      <c r="E106" s="413"/>
      <c r="F106" s="413"/>
      <c r="G106" s="413"/>
      <c r="H106" s="413"/>
      <c r="I106" s="413"/>
      <c r="J106" s="413"/>
      <c r="K106" s="413"/>
      <c r="L106" s="413"/>
      <c r="M106" s="413"/>
      <c r="N106" s="413"/>
      <c r="O106" s="413"/>
      <c r="P106" s="413"/>
      <c r="Q106" s="413">
        <v>0.2</v>
      </c>
    </row>
    <row r="107" spans="1:17">
      <c r="A107" s="97" t="s">
        <v>122</v>
      </c>
      <c r="B107" s="97">
        <v>2014</v>
      </c>
      <c r="C107" s="413"/>
      <c r="D107" s="413"/>
      <c r="E107" s="413"/>
      <c r="F107" s="413"/>
      <c r="G107" s="413"/>
      <c r="H107" s="413"/>
      <c r="I107" s="413"/>
      <c r="J107" s="413"/>
      <c r="K107" s="413"/>
      <c r="L107" s="413"/>
      <c r="M107" s="413"/>
      <c r="N107" s="413"/>
      <c r="O107" s="413">
        <v>6</v>
      </c>
      <c r="P107" s="413"/>
      <c r="Q107" s="413">
        <v>3.1</v>
      </c>
    </row>
    <row r="108" spans="1:17">
      <c r="A108" s="97" t="s">
        <v>122</v>
      </c>
      <c r="B108" s="97">
        <v>2015</v>
      </c>
      <c r="C108" s="413"/>
      <c r="D108" s="413">
        <v>65</v>
      </c>
      <c r="E108" s="413"/>
      <c r="F108" s="413"/>
      <c r="G108" s="413"/>
      <c r="H108" s="413">
        <v>70</v>
      </c>
      <c r="I108" s="413"/>
      <c r="J108" s="413"/>
      <c r="K108" s="413"/>
      <c r="L108" s="413"/>
      <c r="M108" s="413"/>
      <c r="N108" s="413"/>
      <c r="O108" s="413"/>
      <c r="P108" s="413"/>
      <c r="Q108" s="413">
        <v>7</v>
      </c>
    </row>
    <row r="109" spans="1:17">
      <c r="A109" s="97" t="s">
        <v>122</v>
      </c>
      <c r="B109" s="97">
        <v>2016</v>
      </c>
      <c r="C109" s="413"/>
      <c r="D109" s="413">
        <v>65</v>
      </c>
      <c r="E109" s="413"/>
      <c r="F109" s="413"/>
      <c r="G109" s="413"/>
      <c r="H109" s="413"/>
      <c r="I109" s="413"/>
      <c r="J109" s="413"/>
      <c r="K109" s="413"/>
      <c r="L109" s="413"/>
      <c r="M109" s="413"/>
      <c r="N109" s="413"/>
      <c r="O109" s="413"/>
      <c r="P109" s="413"/>
      <c r="Q109" s="413">
        <v>1.2</v>
      </c>
    </row>
    <row r="110" spans="1:17">
      <c r="A110" s="97" t="s">
        <v>122</v>
      </c>
      <c r="B110" s="97">
        <v>2017</v>
      </c>
      <c r="C110" s="413"/>
      <c r="D110" s="413"/>
      <c r="E110" s="413"/>
      <c r="F110" s="413"/>
      <c r="G110" s="413"/>
      <c r="H110" s="413"/>
      <c r="I110" s="413"/>
      <c r="J110" s="413"/>
      <c r="K110" s="413"/>
      <c r="L110" s="413"/>
      <c r="M110" s="413"/>
      <c r="N110" s="413"/>
      <c r="O110" s="413"/>
      <c r="P110" s="413">
        <v>20</v>
      </c>
      <c r="Q110" s="413">
        <v>2.5</v>
      </c>
    </row>
    <row r="111" spans="1:17">
      <c r="A111" s="97" t="s">
        <v>122</v>
      </c>
      <c r="B111" s="97">
        <v>2018</v>
      </c>
      <c r="C111" s="413"/>
      <c r="D111" s="413"/>
      <c r="E111" s="413"/>
      <c r="F111" s="413"/>
      <c r="G111" s="413"/>
      <c r="H111" s="413"/>
      <c r="I111" s="413"/>
      <c r="J111" s="413"/>
      <c r="K111" s="413"/>
      <c r="L111" s="413"/>
      <c r="M111" s="413"/>
      <c r="N111" s="413"/>
      <c r="O111" s="413"/>
      <c r="P111" s="413">
        <v>40</v>
      </c>
      <c r="Q111" s="413">
        <v>15.8</v>
      </c>
    </row>
    <row r="112" spans="1:17">
      <c r="A112" s="97" t="s">
        <v>122</v>
      </c>
      <c r="B112" s="97">
        <v>2019</v>
      </c>
      <c r="C112" s="413"/>
      <c r="D112" s="413"/>
      <c r="E112" s="413"/>
      <c r="F112" s="413"/>
      <c r="G112" s="413"/>
      <c r="H112" s="413"/>
      <c r="I112" s="413"/>
      <c r="J112" s="413">
        <v>46</v>
      </c>
      <c r="K112" s="413"/>
      <c r="L112" s="413"/>
      <c r="M112" s="413"/>
      <c r="N112" s="413"/>
      <c r="O112" s="413"/>
      <c r="P112" s="413"/>
      <c r="Q112" s="413">
        <v>7.16</v>
      </c>
    </row>
    <row r="113" spans="1:17">
      <c r="A113" s="97" t="s">
        <v>122</v>
      </c>
      <c r="B113" s="97">
        <v>2020</v>
      </c>
      <c r="C113" s="413"/>
      <c r="D113" s="413"/>
      <c r="E113" s="413"/>
      <c r="F113" s="413">
        <v>2</v>
      </c>
      <c r="G113" s="413"/>
      <c r="H113" s="413"/>
      <c r="I113" s="413"/>
      <c r="J113" s="413">
        <v>96</v>
      </c>
      <c r="K113" s="413"/>
      <c r="L113" s="413"/>
      <c r="M113" s="413"/>
      <c r="N113" s="413"/>
      <c r="O113" s="413"/>
      <c r="P113" s="413"/>
      <c r="Q113" s="413">
        <v>0.5</v>
      </c>
    </row>
    <row r="114" spans="1:17">
      <c r="A114" s="97" t="s">
        <v>122</v>
      </c>
      <c r="B114" s="97">
        <v>2021</v>
      </c>
      <c r="C114" s="413"/>
      <c r="D114" s="413"/>
      <c r="E114" s="413"/>
      <c r="F114" s="413">
        <v>9.58</v>
      </c>
      <c r="G114" s="413"/>
      <c r="H114" s="413"/>
      <c r="I114" s="413"/>
      <c r="J114" s="413">
        <v>48.71</v>
      </c>
      <c r="K114" s="413"/>
      <c r="L114" s="413"/>
      <c r="M114" s="413"/>
      <c r="N114" s="413"/>
      <c r="O114" s="413">
        <v>0.6</v>
      </c>
      <c r="P114" s="413"/>
      <c r="Q114" s="413">
        <v>25.93</v>
      </c>
    </row>
    <row r="115" spans="1:17">
      <c r="A115" s="97" t="s">
        <v>86</v>
      </c>
      <c r="B115" s="97">
        <v>2008</v>
      </c>
      <c r="C115" s="97">
        <v>30</v>
      </c>
      <c r="H115" s="97">
        <v>257</v>
      </c>
      <c r="J115" s="97">
        <v>2</v>
      </c>
      <c r="O115" s="97">
        <v>0</v>
      </c>
      <c r="P115" s="97">
        <v>75</v>
      </c>
    </row>
    <row r="116" spans="1:17">
      <c r="A116" s="97" t="s">
        <v>86</v>
      </c>
      <c r="B116" s="97">
        <v>2009</v>
      </c>
      <c r="C116" s="97">
        <v>95.18</v>
      </c>
      <c r="F116" s="97">
        <v>0.6</v>
      </c>
      <c r="H116" s="97">
        <v>552</v>
      </c>
      <c r="I116" s="97">
        <v>27</v>
      </c>
      <c r="O116" s="97">
        <v>0</v>
      </c>
      <c r="P116" s="97">
        <v>25</v>
      </c>
    </row>
    <row r="117" spans="1:17">
      <c r="A117" s="97" t="s">
        <v>86</v>
      </c>
      <c r="B117" s="97">
        <v>2010</v>
      </c>
      <c r="C117" s="97">
        <v>208.71</v>
      </c>
      <c r="E117" s="97">
        <v>6</v>
      </c>
      <c r="F117" s="97">
        <v>1.8</v>
      </c>
      <c r="G117" s="97">
        <v>3</v>
      </c>
      <c r="H117" s="97">
        <v>154</v>
      </c>
      <c r="O117" s="97">
        <v>0</v>
      </c>
    </row>
    <row r="118" spans="1:17">
      <c r="A118" s="97" t="s">
        <v>86</v>
      </c>
      <c r="B118" s="97">
        <v>2011</v>
      </c>
      <c r="C118" s="97">
        <v>88.78</v>
      </c>
      <c r="E118" s="97">
        <v>5.4</v>
      </c>
      <c r="G118" s="97">
        <v>1.5</v>
      </c>
      <c r="H118" s="97">
        <v>126</v>
      </c>
      <c r="O118" s="97">
        <v>0</v>
      </c>
    </row>
    <row r="119" spans="1:17">
      <c r="A119" s="97" t="s">
        <v>86</v>
      </c>
      <c r="B119" s="97">
        <v>2012</v>
      </c>
      <c r="C119" s="413">
        <v>158.21</v>
      </c>
      <c r="D119" s="413"/>
      <c r="E119" s="413">
        <v>18</v>
      </c>
      <c r="F119" s="413">
        <v>3.6</v>
      </c>
      <c r="G119" s="413">
        <v>0.6</v>
      </c>
      <c r="H119" s="413">
        <v>93</v>
      </c>
      <c r="I119" s="413">
        <v>60</v>
      </c>
      <c r="J119" s="413"/>
      <c r="K119" s="413"/>
      <c r="L119" s="413"/>
      <c r="M119" s="413"/>
      <c r="N119" s="413"/>
      <c r="O119" s="413"/>
      <c r="P119" s="413"/>
      <c r="Q119" s="413">
        <v>0.1</v>
      </c>
    </row>
    <row r="120" spans="1:17">
      <c r="A120" s="97" t="s">
        <v>86</v>
      </c>
      <c r="B120" s="97">
        <v>2013</v>
      </c>
      <c r="C120" s="413">
        <v>71.4</v>
      </c>
      <c r="D120" s="413"/>
      <c r="E120" s="413"/>
      <c r="F120" s="413">
        <v>1.2</v>
      </c>
      <c r="G120" s="413"/>
      <c r="H120" s="413">
        <v>190</v>
      </c>
      <c r="I120" s="413"/>
      <c r="J120" s="413"/>
      <c r="K120" s="413"/>
      <c r="L120" s="413"/>
      <c r="M120" s="413"/>
      <c r="N120" s="413"/>
      <c r="O120" s="413"/>
      <c r="P120" s="413"/>
      <c r="Q120" s="413">
        <v>15.95</v>
      </c>
    </row>
    <row r="121" spans="1:17">
      <c r="A121" s="97" t="s">
        <v>86</v>
      </c>
      <c r="B121" s="97">
        <v>2014</v>
      </c>
      <c r="C121" s="413">
        <v>157.75</v>
      </c>
      <c r="D121" s="413"/>
      <c r="E121" s="413"/>
      <c r="F121" s="413"/>
      <c r="G121" s="413">
        <v>8.9</v>
      </c>
      <c r="H121" s="413">
        <v>70</v>
      </c>
      <c r="I121" s="413"/>
      <c r="J121" s="413"/>
      <c r="K121" s="413"/>
      <c r="L121" s="413"/>
      <c r="M121" s="413"/>
      <c r="N121" s="413"/>
      <c r="O121" s="413">
        <v>1.37</v>
      </c>
      <c r="P121" s="413"/>
      <c r="Q121" s="413">
        <v>77.32</v>
      </c>
    </row>
    <row r="122" spans="1:17">
      <c r="A122" s="97" t="s">
        <v>86</v>
      </c>
      <c r="B122" s="97">
        <v>2015</v>
      </c>
      <c r="C122" s="413">
        <v>84.05</v>
      </c>
      <c r="D122" s="413"/>
      <c r="E122" s="413">
        <v>4.5</v>
      </c>
      <c r="F122" s="413"/>
      <c r="G122" s="413">
        <v>13.68</v>
      </c>
      <c r="H122" s="413">
        <v>150.1</v>
      </c>
      <c r="I122" s="413"/>
      <c r="J122" s="413"/>
      <c r="K122" s="413"/>
      <c r="L122" s="413"/>
      <c r="M122" s="413"/>
      <c r="N122" s="413"/>
      <c r="O122" s="413"/>
      <c r="P122" s="413"/>
      <c r="Q122" s="413">
        <v>137.18</v>
      </c>
    </row>
    <row r="123" spans="1:17">
      <c r="A123" s="97" t="s">
        <v>86</v>
      </c>
      <c r="B123" s="97">
        <v>2016</v>
      </c>
      <c r="C123" s="413">
        <v>228.21</v>
      </c>
      <c r="D123" s="413"/>
      <c r="E123" s="413">
        <v>6</v>
      </c>
      <c r="F123" s="413">
        <v>2.4</v>
      </c>
      <c r="G123" s="413">
        <v>20.26</v>
      </c>
      <c r="H123" s="413">
        <v>140</v>
      </c>
      <c r="I123" s="413">
        <v>1.8</v>
      </c>
      <c r="J123" s="413"/>
      <c r="K123" s="413"/>
      <c r="L123" s="413"/>
      <c r="M123" s="413"/>
      <c r="N123" s="413"/>
      <c r="O123" s="413">
        <v>0.16</v>
      </c>
      <c r="P123" s="413"/>
      <c r="Q123" s="413">
        <v>231.93</v>
      </c>
    </row>
    <row r="124" spans="1:17">
      <c r="A124" s="97" t="s">
        <v>86</v>
      </c>
      <c r="B124" s="97">
        <v>2017</v>
      </c>
      <c r="C124" s="413">
        <v>107.1</v>
      </c>
      <c r="D124" s="413"/>
      <c r="E124" s="413">
        <v>6</v>
      </c>
      <c r="F124" s="413">
        <v>4.5</v>
      </c>
      <c r="G124" s="413">
        <v>12.93</v>
      </c>
      <c r="H124" s="413">
        <v>115.8</v>
      </c>
      <c r="I124" s="413"/>
      <c r="J124" s="413"/>
      <c r="K124" s="413"/>
      <c r="L124" s="413"/>
      <c r="M124" s="413"/>
      <c r="N124" s="413"/>
      <c r="O124" s="413">
        <v>1.71</v>
      </c>
      <c r="P124" s="413"/>
      <c r="Q124" s="413">
        <v>449.8</v>
      </c>
    </row>
    <row r="125" spans="1:17">
      <c r="A125" s="97" t="s">
        <v>86</v>
      </c>
      <c r="B125" s="97">
        <v>2018</v>
      </c>
      <c r="C125" s="413">
        <v>245.7</v>
      </c>
      <c r="D125" s="413"/>
      <c r="E125" s="413">
        <v>3</v>
      </c>
      <c r="F125" s="413">
        <v>1.8</v>
      </c>
      <c r="G125" s="413">
        <v>22.4</v>
      </c>
      <c r="H125" s="413">
        <v>178.2</v>
      </c>
      <c r="I125" s="413"/>
      <c r="J125" s="413"/>
      <c r="K125" s="413"/>
      <c r="L125" s="413"/>
      <c r="M125" s="413"/>
      <c r="N125" s="413"/>
      <c r="O125" s="413"/>
      <c r="P125" s="413"/>
      <c r="Q125" s="413">
        <v>388.92</v>
      </c>
    </row>
    <row r="126" spans="1:17">
      <c r="A126" s="97" t="s">
        <v>86</v>
      </c>
      <c r="B126" s="97">
        <v>2019</v>
      </c>
      <c r="C126" s="413">
        <v>238.38</v>
      </c>
      <c r="D126" s="413"/>
      <c r="E126" s="413">
        <v>1.2</v>
      </c>
      <c r="F126" s="413">
        <v>10.15</v>
      </c>
      <c r="G126" s="413">
        <v>7.7</v>
      </c>
      <c r="H126" s="413">
        <v>242</v>
      </c>
      <c r="I126" s="413"/>
      <c r="J126" s="413">
        <v>45.36</v>
      </c>
      <c r="K126" s="413"/>
      <c r="L126" s="413"/>
      <c r="M126" s="413"/>
      <c r="N126" s="413"/>
      <c r="O126" s="413">
        <v>0.04</v>
      </c>
      <c r="P126" s="413"/>
      <c r="Q126" s="413">
        <v>235.65</v>
      </c>
    </row>
    <row r="127" spans="1:17">
      <c r="A127" s="97" t="s">
        <v>86</v>
      </c>
      <c r="B127" s="97">
        <v>2020</v>
      </c>
      <c r="C127" s="413">
        <v>641.57</v>
      </c>
      <c r="D127" s="413"/>
      <c r="E127" s="413">
        <v>13.35</v>
      </c>
      <c r="F127" s="413">
        <v>9.1</v>
      </c>
      <c r="G127" s="413">
        <v>8.82</v>
      </c>
      <c r="H127" s="413">
        <v>283.5</v>
      </c>
      <c r="I127" s="413"/>
      <c r="J127" s="413">
        <v>46.62</v>
      </c>
      <c r="K127" s="413"/>
      <c r="L127" s="413"/>
      <c r="M127" s="413"/>
      <c r="N127" s="413">
        <v>1.2</v>
      </c>
      <c r="O127" s="413">
        <v>0.27</v>
      </c>
      <c r="P127" s="413"/>
      <c r="Q127" s="413">
        <v>715.08</v>
      </c>
    </row>
    <row r="128" spans="1:17">
      <c r="A128" s="97" t="s">
        <v>86</v>
      </c>
      <c r="B128" s="97">
        <v>2021</v>
      </c>
      <c r="C128" s="413">
        <v>270.4</v>
      </c>
      <c r="D128" s="413"/>
      <c r="E128" s="413">
        <v>4.5</v>
      </c>
      <c r="F128" s="413">
        <v>87.2</v>
      </c>
      <c r="G128" s="413">
        <v>46.56</v>
      </c>
      <c r="H128" s="413">
        <v>12.65</v>
      </c>
      <c r="I128" s="413"/>
      <c r="J128" s="413"/>
      <c r="K128" s="413"/>
      <c r="L128" s="413">
        <v>0.12</v>
      </c>
      <c r="M128" s="413"/>
      <c r="N128" s="413"/>
      <c r="O128" s="413">
        <v>1.04</v>
      </c>
      <c r="P128" s="413">
        <v>60</v>
      </c>
      <c r="Q128" s="413">
        <v>730.85</v>
      </c>
    </row>
    <row r="129" spans="1:17">
      <c r="A129" s="97" t="s">
        <v>112</v>
      </c>
      <c r="B129" s="97">
        <v>2008</v>
      </c>
      <c r="H129" s="97">
        <v>418</v>
      </c>
      <c r="J129" s="97">
        <v>39</v>
      </c>
      <c r="O129" s="97">
        <v>4</v>
      </c>
    </row>
    <row r="130" spans="1:17">
      <c r="A130" s="97" t="s">
        <v>112</v>
      </c>
      <c r="B130" s="97">
        <v>2009</v>
      </c>
      <c r="C130" s="97">
        <v>2.33</v>
      </c>
      <c r="E130" s="97">
        <v>3.6</v>
      </c>
      <c r="G130" s="97">
        <v>1.65</v>
      </c>
      <c r="H130" s="97">
        <v>401</v>
      </c>
      <c r="O130" s="97">
        <v>0</v>
      </c>
      <c r="P130" s="97">
        <v>90</v>
      </c>
    </row>
    <row r="131" spans="1:17">
      <c r="A131" s="97" t="s">
        <v>112</v>
      </c>
      <c r="B131" s="97">
        <v>2010</v>
      </c>
      <c r="C131" s="97">
        <v>3.03</v>
      </c>
      <c r="H131" s="97">
        <v>353</v>
      </c>
      <c r="O131" s="97">
        <v>0</v>
      </c>
    </row>
    <row r="132" spans="1:17">
      <c r="A132" s="97" t="s">
        <v>112</v>
      </c>
      <c r="B132" s="97">
        <v>2011</v>
      </c>
      <c r="C132" s="97">
        <v>7.5</v>
      </c>
      <c r="E132" s="97">
        <v>1.5</v>
      </c>
      <c r="H132" s="97">
        <v>346</v>
      </c>
      <c r="O132" s="97">
        <v>0</v>
      </c>
      <c r="P132" s="97">
        <v>30</v>
      </c>
    </row>
    <row r="133" spans="1:17">
      <c r="A133" s="97" t="s">
        <v>112</v>
      </c>
      <c r="B133" s="97">
        <v>2012</v>
      </c>
      <c r="C133" s="413">
        <v>5.05</v>
      </c>
      <c r="D133" s="413"/>
      <c r="E133" s="413">
        <v>1.5</v>
      </c>
      <c r="F133" s="413"/>
      <c r="G133" s="413"/>
      <c r="H133" s="413">
        <v>613</v>
      </c>
      <c r="I133" s="413"/>
      <c r="J133" s="413"/>
      <c r="K133" s="413"/>
      <c r="L133" s="413"/>
      <c r="M133" s="413"/>
      <c r="N133" s="413"/>
      <c r="O133" s="413"/>
      <c r="P133" s="413"/>
      <c r="Q133" s="413"/>
    </row>
    <row r="134" spans="1:17">
      <c r="A134" s="97" t="s">
        <v>112</v>
      </c>
      <c r="B134" s="97">
        <v>2013</v>
      </c>
      <c r="C134" s="413">
        <v>6.98</v>
      </c>
      <c r="D134" s="413"/>
      <c r="E134" s="413"/>
      <c r="F134" s="413"/>
      <c r="G134" s="413"/>
      <c r="H134" s="413">
        <v>153</v>
      </c>
      <c r="I134" s="413"/>
      <c r="J134" s="413"/>
      <c r="K134" s="413"/>
      <c r="L134" s="413"/>
      <c r="M134" s="413"/>
      <c r="N134" s="413"/>
      <c r="O134" s="413"/>
      <c r="P134" s="413"/>
      <c r="Q134" s="413"/>
    </row>
    <row r="135" spans="1:17">
      <c r="A135" s="97" t="s">
        <v>112</v>
      </c>
      <c r="B135" s="97">
        <v>2014</v>
      </c>
      <c r="C135" s="413">
        <v>32.3</v>
      </c>
      <c r="D135" s="413"/>
      <c r="E135" s="413">
        <v>3.4</v>
      </c>
      <c r="F135" s="413"/>
      <c r="G135" s="413">
        <v>40.5</v>
      </c>
      <c r="H135" s="413">
        <v>60</v>
      </c>
      <c r="I135" s="413"/>
      <c r="J135" s="413"/>
      <c r="K135" s="413"/>
      <c r="L135" s="413"/>
      <c r="M135" s="413"/>
      <c r="N135" s="413"/>
      <c r="O135" s="413">
        <v>2.38</v>
      </c>
      <c r="P135" s="413"/>
      <c r="Q135" s="413">
        <v>20.48</v>
      </c>
    </row>
    <row r="136" spans="1:17">
      <c r="A136" s="97" t="s">
        <v>112</v>
      </c>
      <c r="B136" s="97">
        <v>2015</v>
      </c>
      <c r="C136" s="413">
        <v>39.73</v>
      </c>
      <c r="D136" s="413"/>
      <c r="E136" s="413"/>
      <c r="F136" s="413"/>
      <c r="G136" s="413">
        <v>25.2</v>
      </c>
      <c r="H136" s="413">
        <v>634</v>
      </c>
      <c r="I136" s="413"/>
      <c r="J136" s="413"/>
      <c r="K136" s="413"/>
      <c r="L136" s="413"/>
      <c r="M136" s="413"/>
      <c r="N136" s="413"/>
      <c r="O136" s="413">
        <v>2.1</v>
      </c>
      <c r="P136" s="413"/>
      <c r="Q136" s="413">
        <v>13.32</v>
      </c>
    </row>
    <row r="137" spans="1:17">
      <c r="A137" s="97" t="s">
        <v>112</v>
      </c>
      <c r="B137" s="97">
        <v>2016</v>
      </c>
      <c r="C137" s="413">
        <v>34</v>
      </c>
      <c r="D137" s="413"/>
      <c r="E137" s="413"/>
      <c r="F137" s="413"/>
      <c r="G137" s="413">
        <v>22</v>
      </c>
      <c r="H137" s="413">
        <v>80</v>
      </c>
      <c r="I137" s="413"/>
      <c r="J137" s="413"/>
      <c r="K137" s="413"/>
      <c r="L137" s="413"/>
      <c r="M137" s="413"/>
      <c r="N137" s="413"/>
      <c r="O137" s="413">
        <v>0.43</v>
      </c>
      <c r="P137" s="413"/>
      <c r="Q137" s="413">
        <v>250.26</v>
      </c>
    </row>
    <row r="138" spans="1:17">
      <c r="A138" s="97" t="s">
        <v>112</v>
      </c>
      <c r="B138" s="97">
        <v>2017</v>
      </c>
      <c r="C138" s="413">
        <v>134.57</v>
      </c>
      <c r="D138" s="413"/>
      <c r="E138" s="413">
        <v>1.2</v>
      </c>
      <c r="F138" s="413"/>
      <c r="G138" s="413">
        <v>32.96</v>
      </c>
      <c r="H138" s="413">
        <v>287.15</v>
      </c>
      <c r="I138" s="413"/>
      <c r="J138" s="413">
        <v>3.6</v>
      </c>
      <c r="K138" s="413"/>
      <c r="L138" s="413"/>
      <c r="M138" s="413"/>
      <c r="N138" s="413"/>
      <c r="O138" s="413">
        <v>0.08</v>
      </c>
      <c r="P138" s="413"/>
      <c r="Q138" s="413">
        <v>427.6</v>
      </c>
    </row>
    <row r="139" spans="1:17">
      <c r="A139" s="97" t="s">
        <v>112</v>
      </c>
      <c r="B139" s="97">
        <v>2018</v>
      </c>
      <c r="C139" s="413">
        <v>237.93</v>
      </c>
      <c r="D139" s="413"/>
      <c r="E139" s="413">
        <v>6</v>
      </c>
      <c r="F139" s="413">
        <v>6.5</v>
      </c>
      <c r="G139" s="413">
        <v>1.5</v>
      </c>
      <c r="H139" s="413">
        <v>372.75</v>
      </c>
      <c r="I139" s="413"/>
      <c r="J139" s="413">
        <v>35</v>
      </c>
      <c r="K139" s="413"/>
      <c r="L139" s="413"/>
      <c r="M139" s="413"/>
      <c r="N139" s="413"/>
      <c r="O139" s="413">
        <v>2.51</v>
      </c>
      <c r="P139" s="413"/>
      <c r="Q139" s="413">
        <v>294.1</v>
      </c>
    </row>
    <row r="140" spans="1:17">
      <c r="A140" s="97" t="s">
        <v>112</v>
      </c>
      <c r="B140" s="97">
        <v>2019</v>
      </c>
      <c r="C140" s="413">
        <v>326.54</v>
      </c>
      <c r="D140" s="413"/>
      <c r="E140" s="413">
        <v>1.8</v>
      </c>
      <c r="F140" s="413">
        <v>7.95</v>
      </c>
      <c r="G140" s="413">
        <v>12.85</v>
      </c>
      <c r="H140" s="413">
        <v>203.7</v>
      </c>
      <c r="I140" s="413"/>
      <c r="J140" s="413">
        <v>35</v>
      </c>
      <c r="K140" s="413"/>
      <c r="L140" s="413"/>
      <c r="M140" s="413"/>
      <c r="N140" s="413"/>
      <c r="O140" s="413">
        <v>5.1</v>
      </c>
      <c r="P140" s="413"/>
      <c r="Q140" s="413">
        <v>71.56</v>
      </c>
    </row>
    <row r="141" spans="1:17">
      <c r="A141" s="97" t="s">
        <v>112</v>
      </c>
      <c r="B141" s="97">
        <v>2020</v>
      </c>
      <c r="C141" s="413">
        <v>723.88</v>
      </c>
      <c r="D141" s="413"/>
      <c r="E141" s="413">
        <v>46.35</v>
      </c>
      <c r="F141" s="413">
        <v>28.1</v>
      </c>
      <c r="G141" s="413">
        <v>3.2</v>
      </c>
      <c r="H141" s="413">
        <v>148.45</v>
      </c>
      <c r="I141" s="413"/>
      <c r="J141" s="413">
        <v>20</v>
      </c>
      <c r="K141" s="413"/>
      <c r="L141" s="413"/>
      <c r="M141" s="413"/>
      <c r="N141" s="413"/>
      <c r="O141" s="413"/>
      <c r="P141" s="413"/>
      <c r="Q141" s="413">
        <v>120.72</v>
      </c>
    </row>
    <row r="142" spans="1:17">
      <c r="A142" s="97" t="s">
        <v>112</v>
      </c>
      <c r="B142" s="97">
        <v>2021</v>
      </c>
      <c r="C142" s="413">
        <v>331.98</v>
      </c>
      <c r="D142" s="413"/>
      <c r="E142" s="413">
        <v>23.9</v>
      </c>
      <c r="F142" s="413">
        <v>54.75</v>
      </c>
      <c r="G142" s="413">
        <v>12.97</v>
      </c>
      <c r="H142" s="413">
        <v>173.4</v>
      </c>
      <c r="I142" s="413"/>
      <c r="J142" s="413"/>
      <c r="K142" s="413"/>
      <c r="L142" s="413"/>
      <c r="M142" s="413"/>
      <c r="N142" s="413"/>
      <c r="O142" s="413"/>
      <c r="P142" s="413"/>
      <c r="Q142" s="413">
        <v>380.97</v>
      </c>
    </row>
    <row r="143" spans="1:17">
      <c r="A143" s="97" t="s">
        <v>96</v>
      </c>
      <c r="B143" s="97">
        <v>2008</v>
      </c>
      <c r="C143" s="97">
        <v>29</v>
      </c>
      <c r="H143" s="97">
        <v>184</v>
      </c>
      <c r="O143" s="97">
        <v>1</v>
      </c>
    </row>
    <row r="144" spans="1:17">
      <c r="A144" s="97" t="s">
        <v>96</v>
      </c>
      <c r="B144" s="97">
        <v>2009</v>
      </c>
      <c r="C144" s="97">
        <v>70.66</v>
      </c>
      <c r="E144" s="97">
        <v>0.3</v>
      </c>
      <c r="F144" s="97">
        <v>0.09</v>
      </c>
      <c r="H144" s="97">
        <v>62.85</v>
      </c>
      <c r="O144" s="97">
        <v>0.24</v>
      </c>
    </row>
    <row r="145" spans="1:17">
      <c r="A145" s="97" t="s">
        <v>96</v>
      </c>
      <c r="B145" s="97">
        <v>2010</v>
      </c>
      <c r="C145" s="97">
        <v>68.23</v>
      </c>
      <c r="E145" s="97">
        <v>9</v>
      </c>
      <c r="G145" s="97">
        <v>2.4</v>
      </c>
      <c r="H145" s="97">
        <v>36.1</v>
      </c>
      <c r="I145" s="97">
        <v>5</v>
      </c>
      <c r="O145" s="97">
        <v>0</v>
      </c>
    </row>
    <row r="146" spans="1:17">
      <c r="A146" s="97" t="s">
        <v>96</v>
      </c>
      <c r="B146" s="97">
        <v>2011</v>
      </c>
      <c r="C146" s="97">
        <v>62.54</v>
      </c>
      <c r="E146" s="97">
        <v>0.6</v>
      </c>
      <c r="H146" s="97">
        <v>42.95</v>
      </c>
      <c r="I146" s="97">
        <v>60</v>
      </c>
      <c r="O146" s="97">
        <v>1.2</v>
      </c>
    </row>
    <row r="147" spans="1:17">
      <c r="A147" s="97" t="s">
        <v>96</v>
      </c>
      <c r="B147" s="97">
        <v>2012</v>
      </c>
      <c r="C147" s="413">
        <v>71.25</v>
      </c>
      <c r="D147" s="413"/>
      <c r="E147" s="413">
        <v>5.4</v>
      </c>
      <c r="F147" s="413"/>
      <c r="G147" s="413">
        <v>8</v>
      </c>
      <c r="H147" s="413"/>
      <c r="I147" s="413"/>
      <c r="J147" s="413"/>
      <c r="K147" s="413"/>
      <c r="L147" s="413">
        <v>2.4</v>
      </c>
      <c r="M147" s="413"/>
      <c r="N147" s="413"/>
      <c r="O147" s="413">
        <v>0.4</v>
      </c>
      <c r="P147" s="413"/>
      <c r="Q147" s="413"/>
    </row>
    <row r="148" spans="1:17">
      <c r="A148" s="97" t="s">
        <v>96</v>
      </c>
      <c r="B148" s="97">
        <v>2013</v>
      </c>
      <c r="C148" s="413">
        <v>63.39</v>
      </c>
      <c r="D148" s="413"/>
      <c r="E148" s="413">
        <v>3.3</v>
      </c>
      <c r="F148" s="413"/>
      <c r="G148" s="413">
        <v>22.3</v>
      </c>
      <c r="H148" s="413">
        <v>100</v>
      </c>
      <c r="I148" s="413"/>
      <c r="J148" s="413"/>
      <c r="K148" s="413"/>
      <c r="L148" s="413"/>
      <c r="M148" s="413"/>
      <c r="N148" s="413"/>
      <c r="O148" s="413">
        <v>1.96</v>
      </c>
      <c r="P148" s="413"/>
      <c r="Q148" s="413">
        <v>1</v>
      </c>
    </row>
    <row r="149" spans="1:17">
      <c r="A149" s="97" t="s">
        <v>96</v>
      </c>
      <c r="B149" s="97">
        <v>2014</v>
      </c>
      <c r="C149" s="413">
        <v>85.6</v>
      </c>
      <c r="D149" s="413"/>
      <c r="E149" s="413">
        <v>5.81</v>
      </c>
      <c r="F149" s="413">
        <v>1.2</v>
      </c>
      <c r="G149" s="413">
        <v>11.2</v>
      </c>
      <c r="H149" s="413">
        <v>70</v>
      </c>
      <c r="I149" s="413"/>
      <c r="J149" s="413"/>
      <c r="K149" s="413"/>
      <c r="L149" s="413"/>
      <c r="M149" s="413"/>
      <c r="N149" s="413"/>
      <c r="O149" s="413">
        <v>0.07</v>
      </c>
      <c r="P149" s="413"/>
      <c r="Q149" s="413">
        <v>0.08</v>
      </c>
    </row>
    <row r="150" spans="1:17">
      <c r="A150" s="97" t="s">
        <v>96</v>
      </c>
      <c r="B150" s="97">
        <v>2015</v>
      </c>
      <c r="C150" s="413">
        <v>42.1</v>
      </c>
      <c r="D150" s="413"/>
      <c r="E150" s="413">
        <v>6.6</v>
      </c>
      <c r="F150" s="413"/>
      <c r="G150" s="413">
        <v>14.41</v>
      </c>
      <c r="H150" s="413">
        <v>70</v>
      </c>
      <c r="I150" s="413"/>
      <c r="J150" s="413"/>
      <c r="K150" s="413"/>
      <c r="L150" s="413"/>
      <c r="M150" s="413"/>
      <c r="N150" s="413"/>
      <c r="O150" s="413">
        <v>4.39</v>
      </c>
      <c r="P150" s="413"/>
      <c r="Q150" s="413">
        <v>0.29</v>
      </c>
    </row>
    <row r="151" spans="1:17">
      <c r="A151" s="97" t="s">
        <v>96</v>
      </c>
      <c r="B151" s="97">
        <v>2016</v>
      </c>
      <c r="C151" s="413">
        <v>66.18</v>
      </c>
      <c r="D151" s="413"/>
      <c r="E151" s="413">
        <v>9.6</v>
      </c>
      <c r="F151" s="413"/>
      <c r="G151" s="413">
        <v>14.3</v>
      </c>
      <c r="H151" s="413">
        <v>35</v>
      </c>
      <c r="I151" s="413"/>
      <c r="J151" s="413"/>
      <c r="K151" s="413"/>
      <c r="L151" s="413"/>
      <c r="M151" s="413"/>
      <c r="N151" s="413"/>
      <c r="O151" s="413">
        <v>0.28</v>
      </c>
      <c r="P151" s="413"/>
      <c r="Q151" s="413">
        <v>13.55</v>
      </c>
    </row>
    <row r="152" spans="1:17">
      <c r="A152" s="97" t="s">
        <v>96</v>
      </c>
      <c r="B152" s="97">
        <v>2017</v>
      </c>
      <c r="C152" s="413">
        <v>29.05</v>
      </c>
      <c r="D152" s="413"/>
      <c r="E152" s="413">
        <v>9</v>
      </c>
      <c r="F152" s="413">
        <v>1.5</v>
      </c>
      <c r="G152" s="413">
        <v>1.1</v>
      </c>
      <c r="H152" s="413">
        <v>116.7</v>
      </c>
      <c r="I152" s="413"/>
      <c r="J152" s="413"/>
      <c r="K152" s="413"/>
      <c r="L152" s="413"/>
      <c r="M152" s="413"/>
      <c r="N152" s="413"/>
      <c r="O152" s="413">
        <v>2.1</v>
      </c>
      <c r="P152" s="413"/>
      <c r="Q152" s="413">
        <v>89.02</v>
      </c>
    </row>
    <row r="153" spans="1:17">
      <c r="A153" s="97" t="s">
        <v>96</v>
      </c>
      <c r="B153" s="97">
        <v>2018</v>
      </c>
      <c r="C153" s="413">
        <v>30.81</v>
      </c>
      <c r="D153" s="413"/>
      <c r="E153" s="413">
        <v>4.5</v>
      </c>
      <c r="F153" s="413">
        <v>3.15</v>
      </c>
      <c r="G153" s="413">
        <v>0.03</v>
      </c>
      <c r="H153" s="413">
        <v>27.9</v>
      </c>
      <c r="I153" s="413"/>
      <c r="J153" s="413"/>
      <c r="K153" s="413"/>
      <c r="L153" s="413"/>
      <c r="M153" s="413"/>
      <c r="N153" s="413"/>
      <c r="O153" s="413">
        <v>3</v>
      </c>
      <c r="P153" s="413"/>
      <c r="Q153" s="413">
        <v>143.23</v>
      </c>
    </row>
    <row r="154" spans="1:17">
      <c r="A154" s="97" t="s">
        <v>96</v>
      </c>
      <c r="B154" s="97">
        <v>2019</v>
      </c>
      <c r="C154" s="413">
        <v>12.2</v>
      </c>
      <c r="D154" s="413"/>
      <c r="E154" s="413">
        <v>30.98</v>
      </c>
      <c r="F154" s="413">
        <v>1.5</v>
      </c>
      <c r="G154" s="413">
        <v>1.91</v>
      </c>
      <c r="H154" s="413">
        <v>47.15</v>
      </c>
      <c r="I154" s="413"/>
      <c r="J154" s="413">
        <v>6.5</v>
      </c>
      <c r="K154" s="413"/>
      <c r="L154" s="413"/>
      <c r="M154" s="413"/>
      <c r="N154" s="413"/>
      <c r="O154" s="413">
        <v>4.18</v>
      </c>
      <c r="P154" s="413"/>
      <c r="Q154" s="413">
        <v>59.1</v>
      </c>
    </row>
    <row r="155" spans="1:17">
      <c r="A155" s="97" t="s">
        <v>96</v>
      </c>
      <c r="B155" s="97">
        <v>2020</v>
      </c>
      <c r="C155" s="413">
        <v>75.8</v>
      </c>
      <c r="D155" s="413"/>
      <c r="E155" s="413">
        <v>32.4</v>
      </c>
      <c r="F155" s="413">
        <v>2.4</v>
      </c>
      <c r="G155" s="413">
        <v>9.6</v>
      </c>
      <c r="H155" s="413">
        <v>134.8</v>
      </c>
      <c r="I155" s="413"/>
      <c r="J155" s="413">
        <v>0.6</v>
      </c>
      <c r="K155" s="413"/>
      <c r="L155" s="413"/>
      <c r="M155" s="413"/>
      <c r="N155" s="413"/>
      <c r="O155" s="413">
        <v>2.05</v>
      </c>
      <c r="P155" s="413"/>
      <c r="Q155" s="413">
        <v>43.52</v>
      </c>
    </row>
    <row r="156" spans="1:17">
      <c r="A156" s="97" t="s">
        <v>96</v>
      </c>
      <c r="B156" s="97">
        <v>2021</v>
      </c>
      <c r="C156" s="413">
        <v>148.72</v>
      </c>
      <c r="D156" s="413"/>
      <c r="E156" s="413">
        <v>71.5</v>
      </c>
      <c r="F156" s="413">
        <v>0.75</v>
      </c>
      <c r="G156" s="413">
        <v>9.2</v>
      </c>
      <c r="H156" s="413">
        <v>52.9</v>
      </c>
      <c r="I156" s="413"/>
      <c r="J156" s="413">
        <v>0.3</v>
      </c>
      <c r="K156" s="413"/>
      <c r="L156" s="413"/>
      <c r="M156" s="413"/>
      <c r="N156" s="413"/>
      <c r="O156" s="413"/>
      <c r="P156" s="413">
        <v>30</v>
      </c>
      <c r="Q156" s="413">
        <v>102.12</v>
      </c>
    </row>
    <row r="157" spans="1:17">
      <c r="A157" s="97" t="s">
        <v>114</v>
      </c>
      <c r="B157" s="97">
        <v>2008</v>
      </c>
      <c r="H157" s="97">
        <v>120</v>
      </c>
      <c r="O157" s="97">
        <v>488</v>
      </c>
    </row>
    <row r="158" spans="1:17">
      <c r="A158" s="97" t="s">
        <v>114</v>
      </c>
      <c r="B158" s="97">
        <v>2009</v>
      </c>
      <c r="C158" s="97">
        <v>0.45</v>
      </c>
      <c r="H158" s="97">
        <v>153.15</v>
      </c>
      <c r="O158" s="97">
        <v>23.19</v>
      </c>
      <c r="P158" s="97">
        <v>60</v>
      </c>
    </row>
    <row r="159" spans="1:17">
      <c r="A159" s="97" t="s">
        <v>114</v>
      </c>
      <c r="B159" s="97">
        <v>2010</v>
      </c>
      <c r="C159" s="97">
        <v>7.36</v>
      </c>
      <c r="E159" s="97">
        <v>2.4</v>
      </c>
      <c r="F159" s="97">
        <v>2.4</v>
      </c>
      <c r="G159" s="97">
        <v>6.05</v>
      </c>
      <c r="H159" s="97">
        <v>194.6</v>
      </c>
      <c r="J159" s="97">
        <v>18.5</v>
      </c>
      <c r="L159" s="97">
        <v>0.19</v>
      </c>
      <c r="O159" s="97">
        <v>12.75</v>
      </c>
      <c r="P159" s="97">
        <v>60</v>
      </c>
    </row>
    <row r="160" spans="1:17">
      <c r="A160" s="97" t="s">
        <v>114</v>
      </c>
      <c r="B160" s="97">
        <v>2011</v>
      </c>
      <c r="C160" s="97">
        <v>5.82</v>
      </c>
      <c r="G160" s="97">
        <v>6.55</v>
      </c>
      <c r="H160" s="97">
        <v>81.1</v>
      </c>
      <c r="O160" s="97">
        <v>294.36</v>
      </c>
    </row>
    <row r="161" spans="1:17">
      <c r="A161" s="97" t="s">
        <v>114</v>
      </c>
      <c r="B161" s="97">
        <v>2012</v>
      </c>
      <c r="C161" s="413">
        <v>4.98</v>
      </c>
      <c r="D161" s="413"/>
      <c r="E161" s="413">
        <v>12.5</v>
      </c>
      <c r="F161" s="413">
        <v>6</v>
      </c>
      <c r="G161" s="413">
        <v>16.93</v>
      </c>
      <c r="H161" s="413">
        <v>203</v>
      </c>
      <c r="I161" s="413"/>
      <c r="J161" s="413"/>
      <c r="K161" s="413"/>
      <c r="L161" s="413">
        <v>0.1</v>
      </c>
      <c r="M161" s="413"/>
      <c r="N161" s="413"/>
      <c r="O161" s="413">
        <v>196.41</v>
      </c>
      <c r="P161" s="413"/>
      <c r="Q161" s="413">
        <v>0.9</v>
      </c>
    </row>
    <row r="162" spans="1:17">
      <c r="A162" s="97" t="s">
        <v>114</v>
      </c>
      <c r="B162" s="97">
        <v>2013</v>
      </c>
      <c r="C162" s="413">
        <v>25.91</v>
      </c>
      <c r="D162" s="413"/>
      <c r="E162" s="413">
        <v>6</v>
      </c>
      <c r="F162" s="413">
        <v>2.5</v>
      </c>
      <c r="G162" s="413">
        <v>18.75</v>
      </c>
      <c r="H162" s="413">
        <v>100</v>
      </c>
      <c r="I162" s="413"/>
      <c r="J162" s="413"/>
      <c r="K162" s="413"/>
      <c r="L162" s="413"/>
      <c r="M162" s="413"/>
      <c r="N162" s="413"/>
      <c r="O162" s="413">
        <v>14.21</v>
      </c>
      <c r="P162" s="413"/>
      <c r="Q162" s="413">
        <v>3.86</v>
      </c>
    </row>
    <row r="163" spans="1:17">
      <c r="A163" s="97" t="s">
        <v>114</v>
      </c>
      <c r="B163" s="97">
        <v>2014</v>
      </c>
      <c r="C163" s="413">
        <v>45</v>
      </c>
      <c r="D163" s="413"/>
      <c r="E163" s="413">
        <v>8</v>
      </c>
      <c r="F163" s="413"/>
      <c r="G163" s="413">
        <v>17.55</v>
      </c>
      <c r="H163" s="413">
        <v>221</v>
      </c>
      <c r="I163" s="413"/>
      <c r="J163" s="413"/>
      <c r="K163" s="413"/>
      <c r="L163" s="413"/>
      <c r="M163" s="413"/>
      <c r="N163" s="413"/>
      <c r="O163" s="413">
        <v>6.97</v>
      </c>
      <c r="P163" s="413"/>
      <c r="Q163" s="413">
        <v>3.66</v>
      </c>
    </row>
    <row r="164" spans="1:17">
      <c r="A164" s="97" t="s">
        <v>114</v>
      </c>
      <c r="B164" s="97">
        <v>2015</v>
      </c>
      <c r="C164" s="413">
        <v>49.46</v>
      </c>
      <c r="D164" s="413"/>
      <c r="E164" s="413">
        <v>3</v>
      </c>
      <c r="F164" s="413"/>
      <c r="G164" s="413">
        <v>3.31</v>
      </c>
      <c r="H164" s="413">
        <v>38</v>
      </c>
      <c r="I164" s="413"/>
      <c r="J164" s="413">
        <v>37</v>
      </c>
      <c r="K164" s="413"/>
      <c r="L164" s="413"/>
      <c r="M164" s="413"/>
      <c r="N164" s="413"/>
      <c r="O164" s="413">
        <v>31.66</v>
      </c>
      <c r="P164" s="413"/>
      <c r="Q164" s="413">
        <v>42.88</v>
      </c>
    </row>
    <row r="165" spans="1:17">
      <c r="A165" s="97" t="s">
        <v>114</v>
      </c>
      <c r="B165" s="97">
        <v>2016</v>
      </c>
      <c r="C165" s="413">
        <v>83.3</v>
      </c>
      <c r="D165" s="413"/>
      <c r="E165" s="413"/>
      <c r="F165" s="413">
        <v>1.4</v>
      </c>
      <c r="G165" s="413">
        <v>12.14</v>
      </c>
      <c r="H165" s="413">
        <v>108</v>
      </c>
      <c r="I165" s="413"/>
      <c r="J165" s="413"/>
      <c r="K165" s="413"/>
      <c r="L165" s="413"/>
      <c r="M165" s="413"/>
      <c r="N165" s="413"/>
      <c r="O165" s="413">
        <v>13.38</v>
      </c>
      <c r="P165" s="413"/>
      <c r="Q165" s="413">
        <v>157.65</v>
      </c>
    </row>
    <row r="166" spans="1:17">
      <c r="A166" s="97" t="s">
        <v>114</v>
      </c>
      <c r="B166" s="97">
        <v>2017</v>
      </c>
      <c r="C166" s="413">
        <v>67.08</v>
      </c>
      <c r="D166" s="413"/>
      <c r="E166" s="413">
        <v>5</v>
      </c>
      <c r="F166" s="413">
        <v>2.4</v>
      </c>
      <c r="G166" s="413">
        <v>20.29</v>
      </c>
      <c r="H166" s="413">
        <v>73</v>
      </c>
      <c r="I166" s="413"/>
      <c r="J166" s="413">
        <v>19.03</v>
      </c>
      <c r="K166" s="413"/>
      <c r="L166" s="413"/>
      <c r="M166" s="413"/>
      <c r="N166" s="413"/>
      <c r="O166" s="413">
        <v>8.41</v>
      </c>
      <c r="P166" s="413"/>
      <c r="Q166" s="413">
        <v>253.52</v>
      </c>
    </row>
    <row r="167" spans="1:17">
      <c r="A167" s="97" t="s">
        <v>114</v>
      </c>
      <c r="B167" s="97">
        <v>2018</v>
      </c>
      <c r="C167" s="413">
        <v>81.48</v>
      </c>
      <c r="D167" s="413"/>
      <c r="E167" s="413"/>
      <c r="F167" s="413">
        <v>0.9</v>
      </c>
      <c r="G167" s="413">
        <v>7.28</v>
      </c>
      <c r="H167" s="413">
        <v>103.7</v>
      </c>
      <c r="I167" s="413"/>
      <c r="J167" s="413"/>
      <c r="K167" s="413"/>
      <c r="L167" s="413"/>
      <c r="M167" s="413"/>
      <c r="N167" s="413"/>
      <c r="O167" s="413">
        <v>5.62</v>
      </c>
      <c r="P167" s="413"/>
      <c r="Q167" s="413">
        <v>165.99</v>
      </c>
    </row>
    <row r="168" spans="1:17">
      <c r="A168" s="97" t="s">
        <v>114</v>
      </c>
      <c r="B168" s="97">
        <v>2019</v>
      </c>
      <c r="C168" s="413">
        <v>75.74</v>
      </c>
      <c r="D168" s="413"/>
      <c r="E168" s="413">
        <v>14</v>
      </c>
      <c r="F168" s="413">
        <v>1.75</v>
      </c>
      <c r="G168" s="413">
        <v>7.65</v>
      </c>
      <c r="H168" s="413">
        <v>301</v>
      </c>
      <c r="I168" s="413"/>
      <c r="J168" s="413"/>
      <c r="K168" s="413"/>
      <c r="L168" s="413"/>
      <c r="M168" s="413"/>
      <c r="N168" s="413"/>
      <c r="O168" s="413">
        <v>6.22</v>
      </c>
      <c r="P168" s="413"/>
      <c r="Q168" s="413">
        <v>124.77</v>
      </c>
    </row>
    <row r="169" spans="1:17">
      <c r="A169" s="97" t="s">
        <v>114</v>
      </c>
      <c r="B169" s="97">
        <v>2020</v>
      </c>
      <c r="C169" s="413">
        <v>91.31</v>
      </c>
      <c r="D169" s="413"/>
      <c r="E169" s="413">
        <v>8.6</v>
      </c>
      <c r="F169" s="413">
        <v>9.65</v>
      </c>
      <c r="G169" s="413">
        <v>15.7</v>
      </c>
      <c r="H169" s="413">
        <v>138.3</v>
      </c>
      <c r="I169" s="413"/>
      <c r="J169" s="413">
        <v>15.4</v>
      </c>
      <c r="K169" s="413"/>
      <c r="L169" s="413"/>
      <c r="M169" s="413"/>
      <c r="N169" s="413"/>
      <c r="O169" s="413">
        <v>65.33</v>
      </c>
      <c r="P169" s="413"/>
      <c r="Q169" s="413">
        <v>76.09</v>
      </c>
    </row>
    <row r="170" spans="1:17">
      <c r="A170" s="97" t="s">
        <v>114</v>
      </c>
      <c r="B170" s="97">
        <v>2021</v>
      </c>
      <c r="C170" s="413">
        <v>217.87</v>
      </c>
      <c r="D170" s="413"/>
      <c r="E170" s="413"/>
      <c r="F170" s="413">
        <v>11.1</v>
      </c>
      <c r="G170" s="413">
        <v>13.69</v>
      </c>
      <c r="H170" s="413">
        <v>12.4</v>
      </c>
      <c r="I170" s="413"/>
      <c r="J170" s="413">
        <v>24.56</v>
      </c>
      <c r="K170" s="413"/>
      <c r="L170" s="413"/>
      <c r="M170" s="413"/>
      <c r="N170" s="413"/>
      <c r="O170" s="413">
        <v>15.99</v>
      </c>
      <c r="P170" s="413"/>
      <c r="Q170" s="413">
        <v>256.25</v>
      </c>
    </row>
    <row r="171" spans="1:17">
      <c r="A171" s="97" t="s">
        <v>116</v>
      </c>
      <c r="B171" s="97">
        <v>2008</v>
      </c>
      <c r="H171" s="97">
        <v>126</v>
      </c>
      <c r="O171" s="97">
        <v>115</v>
      </c>
    </row>
    <row r="172" spans="1:17">
      <c r="A172" s="97" t="s">
        <v>116</v>
      </c>
      <c r="B172" s="97">
        <v>2009</v>
      </c>
      <c r="F172" s="97">
        <v>0.1</v>
      </c>
      <c r="G172" s="97">
        <v>2.2</v>
      </c>
      <c r="H172" s="97">
        <v>133.25</v>
      </c>
      <c r="I172" s="97">
        <v>6</v>
      </c>
      <c r="O172" s="97">
        <v>30.7</v>
      </c>
      <c r="P172" s="97">
        <v>60</v>
      </c>
    </row>
    <row r="173" spans="1:17">
      <c r="A173" s="97" t="s">
        <v>116</v>
      </c>
      <c r="B173" s="97">
        <v>2010</v>
      </c>
      <c r="C173" s="97">
        <v>3.63</v>
      </c>
      <c r="E173" s="97">
        <v>4.8</v>
      </c>
      <c r="F173" s="97">
        <v>0.1</v>
      </c>
      <c r="G173" s="97">
        <v>10</v>
      </c>
      <c r="H173" s="97">
        <v>0</v>
      </c>
      <c r="O173" s="97">
        <v>17.03</v>
      </c>
      <c r="P173" s="97">
        <v>60</v>
      </c>
    </row>
    <row r="174" spans="1:17">
      <c r="A174" s="97" t="s">
        <v>116</v>
      </c>
      <c r="B174" s="97">
        <v>2011</v>
      </c>
      <c r="C174" s="97">
        <v>9.75</v>
      </c>
      <c r="E174" s="97">
        <v>1.5</v>
      </c>
      <c r="F174" s="97">
        <v>2.52</v>
      </c>
      <c r="H174" s="97">
        <v>188.7</v>
      </c>
      <c r="O174" s="97">
        <v>16.7</v>
      </c>
    </row>
    <row r="175" spans="1:17">
      <c r="A175" s="97" t="s">
        <v>116</v>
      </c>
      <c r="B175" s="97">
        <v>2012</v>
      </c>
      <c r="C175" s="413">
        <v>5.4</v>
      </c>
      <c r="D175" s="413"/>
      <c r="E175" s="413">
        <v>6</v>
      </c>
      <c r="F175" s="413"/>
      <c r="G175" s="413"/>
      <c r="H175" s="413">
        <v>66</v>
      </c>
      <c r="I175" s="413"/>
      <c r="J175" s="413"/>
      <c r="K175" s="413"/>
      <c r="L175" s="413"/>
      <c r="M175" s="413"/>
      <c r="N175" s="413"/>
      <c r="O175" s="413">
        <v>17.4</v>
      </c>
      <c r="P175" s="413"/>
      <c r="Q175" s="413"/>
    </row>
    <row r="176" spans="1:17">
      <c r="A176" s="97" t="s">
        <v>116</v>
      </c>
      <c r="B176" s="97">
        <v>2013</v>
      </c>
      <c r="C176" s="413">
        <v>21.5</v>
      </c>
      <c r="D176" s="413"/>
      <c r="E176" s="413">
        <v>3</v>
      </c>
      <c r="F176" s="413">
        <v>0.1</v>
      </c>
      <c r="G176" s="413">
        <v>13.5</v>
      </c>
      <c r="H176" s="413"/>
      <c r="I176" s="413"/>
      <c r="J176" s="413"/>
      <c r="K176" s="413"/>
      <c r="L176" s="413"/>
      <c r="M176" s="413"/>
      <c r="N176" s="413"/>
      <c r="O176" s="413">
        <v>13.8</v>
      </c>
      <c r="P176" s="413"/>
      <c r="Q176" s="413"/>
    </row>
    <row r="177" spans="1:17">
      <c r="A177" s="97" t="s">
        <v>116</v>
      </c>
      <c r="B177" s="97">
        <v>2014</v>
      </c>
      <c r="C177" s="413">
        <v>45.18</v>
      </c>
      <c r="D177" s="413"/>
      <c r="E177" s="413">
        <v>6.21</v>
      </c>
      <c r="F177" s="413"/>
      <c r="G177" s="413">
        <v>8.4</v>
      </c>
      <c r="H177" s="413">
        <v>64.43</v>
      </c>
      <c r="I177" s="413"/>
      <c r="J177" s="413"/>
      <c r="K177" s="413"/>
      <c r="L177" s="413"/>
      <c r="M177" s="413"/>
      <c r="N177" s="413"/>
      <c r="O177" s="413">
        <v>120.02</v>
      </c>
      <c r="P177" s="413"/>
      <c r="Q177" s="413">
        <v>8.07</v>
      </c>
    </row>
    <row r="178" spans="1:17">
      <c r="A178" s="97" t="s">
        <v>116</v>
      </c>
      <c r="B178" s="97">
        <v>2015</v>
      </c>
      <c r="C178" s="413">
        <v>101.18</v>
      </c>
      <c r="D178" s="413"/>
      <c r="E178" s="413"/>
      <c r="F178" s="413">
        <v>1.2</v>
      </c>
      <c r="G178" s="413">
        <v>12.55</v>
      </c>
      <c r="H178" s="413">
        <v>142</v>
      </c>
      <c r="I178" s="413"/>
      <c r="J178" s="413"/>
      <c r="K178" s="413"/>
      <c r="L178" s="413"/>
      <c r="M178" s="413"/>
      <c r="N178" s="413"/>
      <c r="O178" s="413">
        <v>21.12</v>
      </c>
      <c r="P178" s="413"/>
      <c r="Q178" s="413">
        <v>2.24</v>
      </c>
    </row>
    <row r="179" spans="1:17">
      <c r="A179" s="97" t="s">
        <v>116</v>
      </c>
      <c r="B179" s="97">
        <v>2016</v>
      </c>
      <c r="C179" s="413">
        <v>86.08</v>
      </c>
      <c r="D179" s="413"/>
      <c r="E179" s="413">
        <v>1.5</v>
      </c>
      <c r="F179" s="413"/>
      <c r="G179" s="413">
        <v>6.41</v>
      </c>
      <c r="H179" s="413">
        <v>1.5</v>
      </c>
      <c r="I179" s="413"/>
      <c r="J179" s="413"/>
      <c r="K179" s="413"/>
      <c r="L179" s="413"/>
      <c r="M179" s="413"/>
      <c r="N179" s="413"/>
      <c r="O179" s="413">
        <v>26.82</v>
      </c>
      <c r="P179" s="413"/>
      <c r="Q179" s="413">
        <v>13.1</v>
      </c>
    </row>
    <row r="180" spans="1:17">
      <c r="A180" s="97" t="s">
        <v>116</v>
      </c>
      <c r="B180" s="97">
        <v>2017</v>
      </c>
      <c r="C180" s="413">
        <v>49.84</v>
      </c>
      <c r="D180" s="413"/>
      <c r="E180" s="413">
        <v>3</v>
      </c>
      <c r="F180" s="413">
        <v>4.3</v>
      </c>
      <c r="G180" s="413">
        <v>4.14</v>
      </c>
      <c r="H180" s="413">
        <v>0.75</v>
      </c>
      <c r="I180" s="413"/>
      <c r="J180" s="413"/>
      <c r="K180" s="413"/>
      <c r="L180" s="413"/>
      <c r="M180" s="413"/>
      <c r="N180" s="413"/>
      <c r="O180" s="413">
        <v>32.28</v>
      </c>
      <c r="P180" s="413"/>
      <c r="Q180" s="413">
        <v>179.7</v>
      </c>
    </row>
    <row r="181" spans="1:17">
      <c r="A181" s="97" t="s">
        <v>116</v>
      </c>
      <c r="B181" s="97">
        <v>2018</v>
      </c>
      <c r="C181" s="413">
        <v>100.12</v>
      </c>
      <c r="D181" s="413"/>
      <c r="E181" s="413">
        <v>2</v>
      </c>
      <c r="F181" s="413">
        <v>12.85</v>
      </c>
      <c r="G181" s="413">
        <v>14.51</v>
      </c>
      <c r="H181" s="413">
        <v>2.2</v>
      </c>
      <c r="I181" s="413"/>
      <c r="J181" s="413">
        <v>1</v>
      </c>
      <c r="K181" s="413"/>
      <c r="L181" s="413"/>
      <c r="M181" s="413"/>
      <c r="N181" s="413"/>
      <c r="O181" s="413">
        <v>28.54</v>
      </c>
      <c r="P181" s="413"/>
      <c r="Q181" s="413">
        <v>134.62</v>
      </c>
    </row>
    <row r="182" spans="1:17">
      <c r="A182" s="97" t="s">
        <v>116</v>
      </c>
      <c r="B182" s="97">
        <v>2019</v>
      </c>
      <c r="C182" s="413">
        <v>71.11</v>
      </c>
      <c r="D182" s="413"/>
      <c r="E182" s="413">
        <v>1.5</v>
      </c>
      <c r="F182" s="413">
        <v>1.5</v>
      </c>
      <c r="G182" s="413">
        <v>12.25</v>
      </c>
      <c r="H182" s="413">
        <v>3.4</v>
      </c>
      <c r="I182" s="413"/>
      <c r="J182" s="413">
        <v>0.65</v>
      </c>
      <c r="K182" s="413"/>
      <c r="L182" s="413"/>
      <c r="M182" s="413"/>
      <c r="N182" s="413"/>
      <c r="O182" s="413">
        <v>50.79</v>
      </c>
      <c r="P182" s="413"/>
      <c r="Q182" s="413">
        <v>39.88</v>
      </c>
    </row>
    <row r="183" spans="1:17">
      <c r="A183" s="97" t="s">
        <v>116</v>
      </c>
      <c r="B183" s="97">
        <v>2020</v>
      </c>
      <c r="C183" s="413">
        <v>241.41</v>
      </c>
      <c r="D183" s="413"/>
      <c r="E183" s="413"/>
      <c r="F183" s="413">
        <v>0.6</v>
      </c>
      <c r="G183" s="413">
        <v>4.69</v>
      </c>
      <c r="H183" s="413">
        <v>0.2</v>
      </c>
      <c r="I183" s="413"/>
      <c r="J183" s="413"/>
      <c r="K183" s="413"/>
      <c r="L183" s="413"/>
      <c r="M183" s="413"/>
      <c r="N183" s="413"/>
      <c r="O183" s="413">
        <v>22.7</v>
      </c>
      <c r="P183" s="413"/>
      <c r="Q183" s="413">
        <v>46.87</v>
      </c>
    </row>
    <row r="184" spans="1:17">
      <c r="A184" s="97" t="s">
        <v>116</v>
      </c>
      <c r="B184" s="97">
        <v>2021</v>
      </c>
      <c r="C184" s="413">
        <v>134.61</v>
      </c>
      <c r="D184" s="413"/>
      <c r="E184" s="413">
        <v>2</v>
      </c>
      <c r="F184" s="413">
        <v>21.75</v>
      </c>
      <c r="G184" s="413">
        <v>5.3</v>
      </c>
      <c r="H184" s="413">
        <v>206.6</v>
      </c>
      <c r="I184" s="413"/>
      <c r="J184" s="413"/>
      <c r="K184" s="413"/>
      <c r="L184" s="413">
        <v>3</v>
      </c>
      <c r="M184" s="413"/>
      <c r="N184" s="413">
        <v>6.15</v>
      </c>
      <c r="O184" s="413">
        <v>5.29</v>
      </c>
      <c r="P184" s="413"/>
      <c r="Q184" s="413">
        <v>59.43</v>
      </c>
    </row>
    <row r="185" spans="1:17">
      <c r="A185" s="97" t="s">
        <v>94</v>
      </c>
      <c r="B185" s="97">
        <v>2008</v>
      </c>
      <c r="C185" s="97">
        <v>42</v>
      </c>
      <c r="H185" s="97">
        <v>69</v>
      </c>
      <c r="O185" s="97">
        <v>0</v>
      </c>
    </row>
    <row r="186" spans="1:17">
      <c r="A186" s="97" t="s">
        <v>94</v>
      </c>
      <c r="B186" s="97">
        <v>2009</v>
      </c>
      <c r="C186" s="97">
        <v>63.73</v>
      </c>
      <c r="E186" s="97">
        <v>3</v>
      </c>
      <c r="F186" s="97">
        <v>4.2</v>
      </c>
      <c r="H186" s="97">
        <v>338</v>
      </c>
      <c r="O186" s="97">
        <v>0.3</v>
      </c>
    </row>
    <row r="187" spans="1:17">
      <c r="A187" s="97" t="s">
        <v>94</v>
      </c>
      <c r="B187" s="97">
        <v>2010</v>
      </c>
      <c r="C187" s="97">
        <v>80.3</v>
      </c>
      <c r="E187" s="97">
        <v>0.89</v>
      </c>
      <c r="F187" s="97">
        <v>3.1</v>
      </c>
      <c r="G187" s="97">
        <v>6.05</v>
      </c>
      <c r="H187" s="97">
        <v>349.7</v>
      </c>
      <c r="O187" s="97">
        <v>9.44</v>
      </c>
    </row>
    <row r="188" spans="1:17">
      <c r="A188" s="97" t="s">
        <v>94</v>
      </c>
      <c r="B188" s="97">
        <v>2011</v>
      </c>
      <c r="C188" s="97">
        <v>49.5</v>
      </c>
      <c r="E188" s="97">
        <v>5.5</v>
      </c>
      <c r="G188" s="97">
        <v>5.7</v>
      </c>
      <c r="H188" s="97">
        <v>149.4</v>
      </c>
      <c r="O188" s="97">
        <v>6.33</v>
      </c>
    </row>
    <row r="189" spans="1:17">
      <c r="A189" s="97" t="s">
        <v>94</v>
      </c>
      <c r="B189" s="97">
        <v>2012</v>
      </c>
      <c r="C189" s="413">
        <v>39.4</v>
      </c>
      <c r="D189" s="413"/>
      <c r="E189" s="413">
        <v>1.5</v>
      </c>
      <c r="F189" s="413"/>
      <c r="G189" s="413">
        <v>6.05</v>
      </c>
      <c r="H189" s="413">
        <v>37.7</v>
      </c>
      <c r="I189" s="413">
        <v>66</v>
      </c>
      <c r="J189" s="413"/>
      <c r="K189" s="413"/>
      <c r="L189" s="413"/>
      <c r="M189" s="413"/>
      <c r="N189" s="413"/>
      <c r="O189" s="413">
        <v>8.52</v>
      </c>
      <c r="P189" s="413"/>
      <c r="Q189" s="413"/>
    </row>
    <row r="190" spans="1:17">
      <c r="A190" s="97" t="s">
        <v>94</v>
      </c>
      <c r="B190" s="97">
        <v>2013</v>
      </c>
      <c r="C190" s="413">
        <v>42.65</v>
      </c>
      <c r="D190" s="413"/>
      <c r="E190" s="413"/>
      <c r="F190" s="413"/>
      <c r="G190" s="413">
        <v>1.35</v>
      </c>
      <c r="H190" s="413">
        <v>9</v>
      </c>
      <c r="I190" s="413"/>
      <c r="J190" s="413"/>
      <c r="K190" s="413"/>
      <c r="L190" s="413"/>
      <c r="M190" s="413"/>
      <c r="N190" s="413"/>
      <c r="O190" s="413">
        <v>3.2</v>
      </c>
      <c r="P190" s="413"/>
      <c r="Q190" s="413">
        <v>1</v>
      </c>
    </row>
    <row r="191" spans="1:17">
      <c r="A191" s="97" t="s">
        <v>94</v>
      </c>
      <c r="B191" s="97">
        <v>2014</v>
      </c>
      <c r="C191" s="413">
        <v>35.55</v>
      </c>
      <c r="D191" s="413"/>
      <c r="E191" s="413">
        <v>7.5</v>
      </c>
      <c r="F191" s="413">
        <v>1.5</v>
      </c>
      <c r="G191" s="413">
        <v>6.1</v>
      </c>
      <c r="H191" s="413">
        <v>70</v>
      </c>
      <c r="I191" s="413"/>
      <c r="J191" s="413"/>
      <c r="K191" s="413"/>
      <c r="L191" s="413"/>
      <c r="M191" s="413"/>
      <c r="N191" s="413"/>
      <c r="O191" s="413">
        <v>6.45</v>
      </c>
      <c r="P191" s="413"/>
      <c r="Q191" s="413">
        <v>5.95</v>
      </c>
    </row>
    <row r="192" spans="1:17">
      <c r="A192" s="97" t="s">
        <v>94</v>
      </c>
      <c r="B192" s="97">
        <v>2015</v>
      </c>
      <c r="C192" s="413">
        <v>88.41</v>
      </c>
      <c r="D192" s="413"/>
      <c r="E192" s="413">
        <v>6</v>
      </c>
      <c r="F192" s="413"/>
      <c r="G192" s="413">
        <v>8.2</v>
      </c>
      <c r="H192" s="413"/>
      <c r="I192" s="413"/>
      <c r="J192" s="413"/>
      <c r="K192" s="413"/>
      <c r="L192" s="413"/>
      <c r="M192" s="413"/>
      <c r="N192" s="413"/>
      <c r="O192" s="413">
        <v>0.04</v>
      </c>
      <c r="P192" s="413"/>
      <c r="Q192" s="413"/>
    </row>
    <row r="193" spans="1:17">
      <c r="A193" s="97" t="s">
        <v>94</v>
      </c>
      <c r="B193" s="97">
        <v>2016</v>
      </c>
      <c r="C193" s="413">
        <v>21.6</v>
      </c>
      <c r="D193" s="413"/>
      <c r="E193" s="413">
        <v>3</v>
      </c>
      <c r="F193" s="413"/>
      <c r="G193" s="413">
        <v>7.5</v>
      </c>
      <c r="H193" s="413"/>
      <c r="I193" s="413"/>
      <c r="J193" s="413"/>
      <c r="K193" s="413"/>
      <c r="L193" s="413"/>
      <c r="M193" s="413"/>
      <c r="N193" s="413"/>
      <c r="O193" s="413">
        <v>0.32</v>
      </c>
      <c r="P193" s="413"/>
      <c r="Q193" s="413">
        <v>51.95</v>
      </c>
    </row>
    <row r="194" spans="1:17">
      <c r="A194" s="97" t="s">
        <v>94</v>
      </c>
      <c r="B194" s="97">
        <v>2017</v>
      </c>
      <c r="C194" s="413">
        <v>5</v>
      </c>
      <c r="D194" s="413"/>
      <c r="E194" s="413"/>
      <c r="F194" s="413"/>
      <c r="G194" s="413"/>
      <c r="H194" s="413"/>
      <c r="I194" s="413"/>
      <c r="J194" s="413"/>
      <c r="K194" s="413"/>
      <c r="L194" s="413"/>
      <c r="M194" s="413"/>
      <c r="N194" s="413"/>
      <c r="O194" s="413">
        <v>4.69</v>
      </c>
      <c r="P194" s="413"/>
      <c r="Q194" s="413">
        <v>114.97</v>
      </c>
    </row>
    <row r="195" spans="1:17">
      <c r="A195" s="97" t="s">
        <v>94</v>
      </c>
      <c r="B195" s="97">
        <v>2018</v>
      </c>
      <c r="C195" s="413">
        <v>8.95</v>
      </c>
      <c r="D195" s="413"/>
      <c r="E195" s="413"/>
      <c r="F195" s="413"/>
      <c r="G195" s="413"/>
      <c r="H195" s="413">
        <v>51</v>
      </c>
      <c r="I195" s="413"/>
      <c r="J195" s="413"/>
      <c r="K195" s="413"/>
      <c r="L195" s="413"/>
      <c r="M195" s="413"/>
      <c r="N195" s="413"/>
      <c r="O195" s="413"/>
      <c r="P195" s="413"/>
      <c r="Q195" s="413">
        <v>129.07</v>
      </c>
    </row>
    <row r="196" spans="1:17">
      <c r="A196" s="97" t="s">
        <v>94</v>
      </c>
      <c r="B196" s="97">
        <v>2019</v>
      </c>
      <c r="C196" s="413">
        <v>41.23</v>
      </c>
      <c r="D196" s="413"/>
      <c r="E196" s="413"/>
      <c r="F196" s="413"/>
      <c r="G196" s="413"/>
      <c r="H196" s="413"/>
      <c r="I196" s="413"/>
      <c r="J196" s="413"/>
      <c r="K196" s="413"/>
      <c r="L196" s="413"/>
      <c r="M196" s="413"/>
      <c r="N196" s="413"/>
      <c r="O196" s="413">
        <v>60.41</v>
      </c>
      <c r="P196" s="413"/>
      <c r="Q196" s="413">
        <v>9.32</v>
      </c>
    </row>
    <row r="197" spans="1:17">
      <c r="A197" s="97" t="s">
        <v>94</v>
      </c>
      <c r="B197" s="97">
        <v>2020</v>
      </c>
      <c r="C197" s="413">
        <v>38.97</v>
      </c>
      <c r="D197" s="413"/>
      <c r="E197" s="413">
        <v>3.5</v>
      </c>
      <c r="F197" s="413"/>
      <c r="G197" s="413"/>
      <c r="H197" s="413"/>
      <c r="I197" s="413"/>
      <c r="J197" s="413"/>
      <c r="K197" s="413"/>
      <c r="L197" s="413"/>
      <c r="M197" s="413"/>
      <c r="N197" s="413"/>
      <c r="O197" s="413">
        <v>68.53</v>
      </c>
      <c r="P197" s="413"/>
      <c r="Q197" s="413">
        <v>58.7</v>
      </c>
    </row>
    <row r="198" spans="1:17">
      <c r="A198" s="97" t="s">
        <v>94</v>
      </c>
      <c r="B198" s="97">
        <v>2021</v>
      </c>
      <c r="C198" s="413">
        <v>129.91</v>
      </c>
      <c r="D198" s="413"/>
      <c r="E198" s="413">
        <v>12.5</v>
      </c>
      <c r="F198" s="413">
        <v>2.85</v>
      </c>
      <c r="G198" s="413"/>
      <c r="H198" s="413"/>
      <c r="I198" s="413"/>
      <c r="J198" s="413"/>
      <c r="K198" s="413"/>
      <c r="L198" s="413"/>
      <c r="M198" s="413"/>
      <c r="N198" s="413"/>
      <c r="O198" s="413">
        <v>8</v>
      </c>
      <c r="P198" s="413">
        <v>105</v>
      </c>
      <c r="Q198" s="413">
        <v>9</v>
      </c>
    </row>
    <row r="199" spans="1:17">
      <c r="A199" s="97" t="s">
        <v>100</v>
      </c>
      <c r="B199" s="97">
        <v>2008</v>
      </c>
      <c r="C199" s="97">
        <v>50</v>
      </c>
      <c r="H199" s="97">
        <v>179</v>
      </c>
      <c r="O199" s="97">
        <v>0</v>
      </c>
      <c r="P199" s="97">
        <v>100</v>
      </c>
    </row>
    <row r="200" spans="1:17">
      <c r="A200" s="97" t="s">
        <v>100</v>
      </c>
      <c r="B200" s="97">
        <v>2009</v>
      </c>
      <c r="C200" s="97">
        <v>31.15</v>
      </c>
      <c r="E200" s="97">
        <v>6.9</v>
      </c>
      <c r="F200" s="97">
        <v>4.55</v>
      </c>
      <c r="G200" s="97">
        <v>26</v>
      </c>
      <c r="H200" s="97">
        <v>224.3</v>
      </c>
      <c r="O200" s="97">
        <v>0</v>
      </c>
    </row>
    <row r="201" spans="1:17">
      <c r="A201" s="97" t="s">
        <v>100</v>
      </c>
      <c r="B201" s="97">
        <v>2010</v>
      </c>
      <c r="C201" s="97">
        <v>60.05</v>
      </c>
      <c r="F201" s="97">
        <v>6.2</v>
      </c>
      <c r="G201" s="97">
        <v>20.04</v>
      </c>
      <c r="H201" s="97">
        <v>836.96</v>
      </c>
      <c r="I201" s="97">
        <v>0.14</v>
      </c>
      <c r="O201" s="97">
        <v>0</v>
      </c>
    </row>
    <row r="202" spans="1:17">
      <c r="A202" s="97" t="s">
        <v>100</v>
      </c>
      <c r="B202" s="97">
        <v>2011</v>
      </c>
      <c r="C202" s="97">
        <v>12.15</v>
      </c>
      <c r="E202" s="97">
        <v>1.6</v>
      </c>
      <c r="F202" s="97">
        <v>6.85</v>
      </c>
      <c r="G202" s="97">
        <v>15.45</v>
      </c>
      <c r="H202" s="97">
        <v>479.2</v>
      </c>
      <c r="J202" s="97">
        <v>22</v>
      </c>
      <c r="O202" s="97">
        <v>0</v>
      </c>
    </row>
    <row r="203" spans="1:17">
      <c r="A203" s="97" t="s">
        <v>100</v>
      </c>
      <c r="B203" s="97">
        <v>2012</v>
      </c>
      <c r="C203" s="413">
        <v>36.65</v>
      </c>
      <c r="D203" s="413"/>
      <c r="E203" s="413">
        <v>5.4</v>
      </c>
      <c r="F203" s="413">
        <v>0.75</v>
      </c>
      <c r="G203" s="413">
        <v>18.1</v>
      </c>
      <c r="H203" s="413">
        <v>399.2</v>
      </c>
      <c r="I203" s="413"/>
      <c r="J203" s="413">
        <v>116.2</v>
      </c>
      <c r="K203" s="413"/>
      <c r="L203" s="413">
        <v>0.58</v>
      </c>
      <c r="M203" s="413"/>
      <c r="N203" s="413"/>
      <c r="O203" s="413">
        <v>0.02</v>
      </c>
      <c r="P203" s="413"/>
      <c r="Q203" s="413">
        <v>6.77</v>
      </c>
    </row>
    <row r="204" spans="1:17">
      <c r="A204" s="97" t="s">
        <v>100</v>
      </c>
      <c r="B204" s="97">
        <v>2013</v>
      </c>
      <c r="C204" s="413">
        <v>52.5</v>
      </c>
      <c r="D204" s="413"/>
      <c r="E204" s="413">
        <v>1.5</v>
      </c>
      <c r="F204" s="413">
        <v>11.7</v>
      </c>
      <c r="G204" s="413">
        <v>16.35</v>
      </c>
      <c r="H204" s="413">
        <v>569.2</v>
      </c>
      <c r="I204" s="413"/>
      <c r="J204" s="413">
        <v>123.67</v>
      </c>
      <c r="K204" s="413"/>
      <c r="L204" s="413"/>
      <c r="M204" s="413"/>
      <c r="N204" s="413"/>
      <c r="O204" s="413"/>
      <c r="P204" s="413"/>
      <c r="Q204" s="413">
        <v>79.92</v>
      </c>
    </row>
    <row r="205" spans="1:17">
      <c r="A205" s="97" t="s">
        <v>100</v>
      </c>
      <c r="B205" s="97">
        <v>2014</v>
      </c>
      <c r="C205" s="413">
        <v>62.78</v>
      </c>
      <c r="D205" s="413"/>
      <c r="E205" s="413"/>
      <c r="F205" s="413"/>
      <c r="G205" s="413">
        <v>15.71</v>
      </c>
      <c r="H205" s="413">
        <v>205</v>
      </c>
      <c r="I205" s="413"/>
      <c r="J205" s="413">
        <v>0.4</v>
      </c>
      <c r="K205" s="413"/>
      <c r="L205" s="413"/>
      <c r="M205" s="413"/>
      <c r="N205" s="413"/>
      <c r="O205" s="413">
        <v>0.27</v>
      </c>
      <c r="P205" s="413"/>
      <c r="Q205" s="413">
        <v>137.25</v>
      </c>
    </row>
    <row r="206" spans="1:17">
      <c r="A206" s="97" t="s">
        <v>100</v>
      </c>
      <c r="B206" s="97">
        <v>2015</v>
      </c>
      <c r="C206" s="413">
        <v>68.16</v>
      </c>
      <c r="D206" s="413"/>
      <c r="E206" s="413">
        <v>3</v>
      </c>
      <c r="F206" s="413">
        <v>2.2</v>
      </c>
      <c r="G206" s="413">
        <v>30.1</v>
      </c>
      <c r="H206" s="413">
        <v>237.5</v>
      </c>
      <c r="I206" s="413"/>
      <c r="J206" s="413">
        <v>215.6</v>
      </c>
      <c r="K206" s="413"/>
      <c r="L206" s="413"/>
      <c r="M206" s="413"/>
      <c r="N206" s="413"/>
      <c r="O206" s="413">
        <v>0.1</v>
      </c>
      <c r="P206" s="413"/>
      <c r="Q206" s="413">
        <v>128</v>
      </c>
    </row>
    <row r="207" spans="1:17">
      <c r="A207" s="97" t="s">
        <v>100</v>
      </c>
      <c r="B207" s="97">
        <v>2016</v>
      </c>
      <c r="C207" s="413">
        <v>94.85</v>
      </c>
      <c r="D207" s="413"/>
      <c r="E207" s="413">
        <v>6.5</v>
      </c>
      <c r="F207" s="413">
        <v>0.6</v>
      </c>
      <c r="G207" s="413">
        <v>149.64</v>
      </c>
      <c r="H207" s="413">
        <v>137</v>
      </c>
      <c r="I207" s="413"/>
      <c r="J207" s="413">
        <v>86.6</v>
      </c>
      <c r="K207" s="413"/>
      <c r="L207" s="413"/>
      <c r="M207" s="413"/>
      <c r="N207" s="413"/>
      <c r="O207" s="413">
        <v>0.35</v>
      </c>
      <c r="P207" s="413"/>
      <c r="Q207" s="413">
        <v>169.81</v>
      </c>
    </row>
    <row r="208" spans="1:17">
      <c r="A208" s="97" t="s">
        <v>100</v>
      </c>
      <c r="B208" s="97">
        <v>2017</v>
      </c>
      <c r="C208" s="413">
        <v>129.55</v>
      </c>
      <c r="D208" s="413"/>
      <c r="E208" s="413">
        <v>6</v>
      </c>
      <c r="F208" s="413">
        <v>12</v>
      </c>
      <c r="G208" s="413">
        <v>6.6</v>
      </c>
      <c r="H208" s="413">
        <v>333.1</v>
      </c>
      <c r="I208" s="413"/>
      <c r="J208" s="413">
        <v>386.4</v>
      </c>
      <c r="K208" s="413"/>
      <c r="L208" s="413"/>
      <c r="M208" s="413"/>
      <c r="N208" s="413"/>
      <c r="O208" s="413">
        <v>0.05</v>
      </c>
      <c r="P208" s="413">
        <v>150</v>
      </c>
      <c r="Q208" s="413">
        <v>386.09</v>
      </c>
    </row>
    <row r="209" spans="1:17">
      <c r="A209" s="97" t="s">
        <v>100</v>
      </c>
      <c r="B209" s="97">
        <v>2018</v>
      </c>
      <c r="C209" s="413">
        <v>196.88</v>
      </c>
      <c r="D209" s="413">
        <v>225.2</v>
      </c>
      <c r="E209" s="413">
        <v>3</v>
      </c>
      <c r="F209" s="413">
        <v>12.35</v>
      </c>
      <c r="G209" s="413">
        <v>13.07</v>
      </c>
      <c r="H209" s="413">
        <v>131.3</v>
      </c>
      <c r="I209" s="413"/>
      <c r="J209" s="413">
        <v>214.44</v>
      </c>
      <c r="K209" s="413"/>
      <c r="L209" s="413"/>
      <c r="M209" s="413"/>
      <c r="N209" s="413">
        <v>9.6</v>
      </c>
      <c r="O209" s="413">
        <v>0.01</v>
      </c>
      <c r="P209" s="413"/>
      <c r="Q209" s="413">
        <v>452.15</v>
      </c>
    </row>
    <row r="210" spans="1:17">
      <c r="A210" s="97" t="s">
        <v>100</v>
      </c>
      <c r="B210" s="97">
        <v>2019</v>
      </c>
      <c r="C210" s="413">
        <v>175.86</v>
      </c>
      <c r="D210" s="413"/>
      <c r="E210" s="413">
        <v>7.5</v>
      </c>
      <c r="F210" s="413">
        <v>33.67</v>
      </c>
      <c r="G210" s="413">
        <v>14.89</v>
      </c>
      <c r="H210" s="413">
        <v>289.2</v>
      </c>
      <c r="I210" s="413"/>
      <c r="J210" s="413">
        <v>110.78</v>
      </c>
      <c r="K210" s="413"/>
      <c r="L210" s="413"/>
      <c r="M210" s="413"/>
      <c r="N210" s="413"/>
      <c r="O210" s="413"/>
      <c r="P210" s="413"/>
      <c r="Q210" s="413">
        <v>158.79</v>
      </c>
    </row>
    <row r="211" spans="1:17">
      <c r="A211" s="97" t="s">
        <v>100</v>
      </c>
      <c r="B211" s="97">
        <v>2020</v>
      </c>
      <c r="C211" s="413">
        <v>505.78</v>
      </c>
      <c r="D211" s="413">
        <v>111.8</v>
      </c>
      <c r="E211" s="413">
        <v>20.5</v>
      </c>
      <c r="F211" s="413">
        <v>24.1</v>
      </c>
      <c r="G211" s="413">
        <v>13.17</v>
      </c>
      <c r="H211" s="413">
        <v>22.55</v>
      </c>
      <c r="I211" s="413"/>
      <c r="J211" s="413">
        <v>87.86</v>
      </c>
      <c r="K211" s="413"/>
      <c r="L211" s="413"/>
      <c r="M211" s="413"/>
      <c r="N211" s="413">
        <v>12.6</v>
      </c>
      <c r="O211" s="413"/>
      <c r="P211" s="413"/>
      <c r="Q211" s="413">
        <v>197.79</v>
      </c>
    </row>
    <row r="212" spans="1:17">
      <c r="A212" s="97" t="s">
        <v>100</v>
      </c>
      <c r="B212" s="97">
        <v>2021</v>
      </c>
      <c r="C212" s="413">
        <v>676.68</v>
      </c>
      <c r="D212" s="413">
        <v>111.8</v>
      </c>
      <c r="E212" s="413">
        <v>8</v>
      </c>
      <c r="F212" s="413">
        <v>44.2</v>
      </c>
      <c r="G212" s="413">
        <v>23.48</v>
      </c>
      <c r="H212" s="413">
        <v>33.5</v>
      </c>
      <c r="I212" s="413"/>
      <c r="J212" s="413">
        <v>215.63</v>
      </c>
      <c r="K212" s="413"/>
      <c r="L212" s="413"/>
      <c r="M212" s="413"/>
      <c r="N212" s="413"/>
      <c r="O212" s="413">
        <v>0.14</v>
      </c>
      <c r="P212" s="413"/>
      <c r="Q212" s="413">
        <v>231.98</v>
      </c>
    </row>
    <row r="213" spans="1:17">
      <c r="A213" s="97" t="s">
        <v>108</v>
      </c>
      <c r="B213" s="97">
        <v>2008</v>
      </c>
      <c r="C213" s="97">
        <v>3</v>
      </c>
      <c r="H213" s="97">
        <v>70</v>
      </c>
      <c r="O213" s="97">
        <v>0</v>
      </c>
    </row>
    <row r="214" spans="1:17">
      <c r="A214" s="97" t="s">
        <v>108</v>
      </c>
      <c r="B214" s="97">
        <v>2009</v>
      </c>
      <c r="C214" s="97">
        <v>5.4</v>
      </c>
      <c r="H214" s="97">
        <v>231</v>
      </c>
      <c r="O214" s="97">
        <v>0</v>
      </c>
    </row>
    <row r="215" spans="1:17">
      <c r="A215" s="97" t="s">
        <v>108</v>
      </c>
      <c r="B215" s="97">
        <v>2010</v>
      </c>
      <c r="H215" s="97">
        <v>132</v>
      </c>
      <c r="O215" s="97">
        <v>0</v>
      </c>
    </row>
    <row r="216" spans="1:17">
      <c r="A216" s="97" t="s">
        <v>108</v>
      </c>
      <c r="B216" s="97">
        <v>2011</v>
      </c>
      <c r="C216" s="97">
        <v>4.95</v>
      </c>
      <c r="H216" s="97">
        <v>130</v>
      </c>
      <c r="O216" s="97">
        <v>0</v>
      </c>
    </row>
    <row r="217" spans="1:17">
      <c r="A217" s="97" t="s">
        <v>108</v>
      </c>
      <c r="B217" s="97">
        <v>2012</v>
      </c>
      <c r="C217" s="413">
        <v>3.3</v>
      </c>
      <c r="D217" s="413"/>
      <c r="E217" s="413"/>
      <c r="F217" s="413"/>
      <c r="G217" s="413"/>
      <c r="H217" s="413">
        <v>130</v>
      </c>
      <c r="I217" s="413"/>
      <c r="J217" s="413"/>
      <c r="K217" s="413"/>
      <c r="L217" s="413"/>
      <c r="M217" s="413"/>
      <c r="N217" s="413"/>
      <c r="O217" s="413">
        <v>4.4</v>
      </c>
      <c r="P217" s="413"/>
      <c r="Q217" s="413"/>
    </row>
    <row r="218" spans="1:17">
      <c r="A218" s="97" t="s">
        <v>108</v>
      </c>
      <c r="B218" s="97">
        <v>2013</v>
      </c>
      <c r="C218" s="413">
        <v>13.2</v>
      </c>
      <c r="D218" s="413"/>
      <c r="E218" s="413"/>
      <c r="F218" s="413"/>
      <c r="G218" s="413"/>
      <c r="H218" s="413"/>
      <c r="I218" s="413"/>
      <c r="J218" s="413"/>
      <c r="K218" s="413"/>
      <c r="L218" s="413"/>
      <c r="M218" s="413"/>
      <c r="N218" s="413"/>
      <c r="O218" s="413">
        <v>24.71</v>
      </c>
      <c r="P218" s="413"/>
      <c r="Q218" s="413">
        <v>2</v>
      </c>
    </row>
    <row r="219" spans="1:17">
      <c r="A219" s="97" t="s">
        <v>108</v>
      </c>
      <c r="B219" s="97">
        <v>2014</v>
      </c>
      <c r="C219" s="413">
        <v>14.22</v>
      </c>
      <c r="D219" s="413"/>
      <c r="E219" s="413"/>
      <c r="F219" s="413"/>
      <c r="G219" s="413"/>
      <c r="H219" s="413"/>
      <c r="I219" s="413"/>
      <c r="J219" s="413">
        <v>8.7</v>
      </c>
      <c r="K219" s="413"/>
      <c r="L219" s="413"/>
      <c r="M219" s="413"/>
      <c r="N219" s="413"/>
      <c r="O219" s="413">
        <v>20</v>
      </c>
      <c r="P219" s="413"/>
      <c r="Q219" s="413">
        <v>16.63</v>
      </c>
    </row>
    <row r="220" spans="1:17">
      <c r="A220" s="97" t="s">
        <v>108</v>
      </c>
      <c r="B220" s="97">
        <v>2015</v>
      </c>
      <c r="C220" s="413">
        <v>23.35</v>
      </c>
      <c r="D220" s="413"/>
      <c r="E220" s="413">
        <v>3</v>
      </c>
      <c r="F220" s="413"/>
      <c r="G220" s="413">
        <v>16.66</v>
      </c>
      <c r="H220" s="413">
        <v>232</v>
      </c>
      <c r="I220" s="413"/>
      <c r="J220" s="413"/>
      <c r="K220" s="413"/>
      <c r="L220" s="413"/>
      <c r="M220" s="413"/>
      <c r="N220" s="413"/>
      <c r="O220" s="413">
        <v>12.79</v>
      </c>
      <c r="P220" s="413"/>
      <c r="Q220" s="413">
        <v>14.91</v>
      </c>
    </row>
    <row r="221" spans="1:17">
      <c r="A221" s="97" t="s">
        <v>108</v>
      </c>
      <c r="B221" s="97">
        <v>2016</v>
      </c>
      <c r="C221" s="413">
        <v>26.8</v>
      </c>
      <c r="D221" s="413"/>
      <c r="E221" s="413"/>
      <c r="F221" s="413">
        <v>0.9</v>
      </c>
      <c r="G221" s="413">
        <v>14.14</v>
      </c>
      <c r="H221" s="413">
        <v>100</v>
      </c>
      <c r="I221" s="413"/>
      <c r="J221" s="413"/>
      <c r="K221" s="413"/>
      <c r="L221" s="413"/>
      <c r="M221" s="413"/>
      <c r="N221" s="413"/>
      <c r="O221" s="413">
        <v>1.04</v>
      </c>
      <c r="P221" s="413">
        <v>120</v>
      </c>
      <c r="Q221" s="413">
        <v>137.18</v>
      </c>
    </row>
    <row r="222" spans="1:17">
      <c r="A222" s="97" t="s">
        <v>108</v>
      </c>
      <c r="B222" s="97">
        <v>2017</v>
      </c>
      <c r="C222" s="413">
        <v>53.46</v>
      </c>
      <c r="D222" s="413"/>
      <c r="E222" s="413"/>
      <c r="F222" s="413"/>
      <c r="G222" s="413">
        <v>0.2</v>
      </c>
      <c r="H222" s="413"/>
      <c r="I222" s="413"/>
      <c r="J222" s="413"/>
      <c r="K222" s="413"/>
      <c r="L222" s="413"/>
      <c r="M222" s="413"/>
      <c r="N222" s="413"/>
      <c r="O222" s="413">
        <v>11.04</v>
      </c>
      <c r="P222" s="413"/>
      <c r="Q222" s="413">
        <v>215.8</v>
      </c>
    </row>
    <row r="223" spans="1:17">
      <c r="A223" s="97" t="s">
        <v>108</v>
      </c>
      <c r="B223" s="97">
        <v>2018</v>
      </c>
      <c r="C223" s="413">
        <v>61.9</v>
      </c>
      <c r="D223" s="413"/>
      <c r="E223" s="413"/>
      <c r="F223" s="413"/>
      <c r="G223" s="413">
        <v>4.52</v>
      </c>
      <c r="H223" s="413">
        <v>200</v>
      </c>
      <c r="I223" s="413"/>
      <c r="J223" s="413"/>
      <c r="K223" s="413"/>
      <c r="L223" s="413"/>
      <c r="M223" s="413"/>
      <c r="N223" s="413"/>
      <c r="O223" s="413">
        <v>15.68</v>
      </c>
      <c r="P223" s="413"/>
      <c r="Q223" s="413">
        <v>120.1</v>
      </c>
    </row>
    <row r="224" spans="1:17">
      <c r="A224" s="97" t="s">
        <v>108</v>
      </c>
      <c r="B224" s="97">
        <v>2019</v>
      </c>
      <c r="C224" s="413">
        <v>61.37</v>
      </c>
      <c r="D224" s="413"/>
      <c r="E224" s="413"/>
      <c r="F224" s="413"/>
      <c r="G224" s="413">
        <v>0.32</v>
      </c>
      <c r="H224" s="413"/>
      <c r="I224" s="413"/>
      <c r="J224" s="413"/>
      <c r="K224" s="413"/>
      <c r="L224" s="413"/>
      <c r="M224" s="413"/>
      <c r="N224" s="413"/>
      <c r="O224" s="413">
        <v>34.65</v>
      </c>
      <c r="P224" s="413"/>
      <c r="Q224" s="413">
        <v>99.06</v>
      </c>
    </row>
    <row r="225" spans="1:17">
      <c r="A225" s="97" t="s">
        <v>108</v>
      </c>
      <c r="B225" s="97">
        <v>2020</v>
      </c>
      <c r="C225" s="413">
        <v>207.87</v>
      </c>
      <c r="D225" s="413"/>
      <c r="E225" s="413">
        <v>6</v>
      </c>
      <c r="F225" s="413">
        <v>24.65</v>
      </c>
      <c r="G225" s="413">
        <v>86.57</v>
      </c>
      <c r="H225" s="413">
        <v>138</v>
      </c>
      <c r="I225" s="413"/>
      <c r="J225" s="413"/>
      <c r="K225" s="413"/>
      <c r="L225" s="413">
        <v>1.2</v>
      </c>
      <c r="M225" s="413"/>
      <c r="N225" s="413"/>
      <c r="O225" s="413">
        <v>11.55</v>
      </c>
      <c r="P225" s="413"/>
      <c r="Q225" s="413">
        <v>144.37</v>
      </c>
    </row>
    <row r="226" spans="1:17">
      <c r="A226" s="97" t="s">
        <v>108</v>
      </c>
      <c r="B226" s="97">
        <v>2021</v>
      </c>
      <c r="C226" s="413">
        <v>35.84</v>
      </c>
      <c r="D226" s="413"/>
      <c r="E226" s="413">
        <v>6</v>
      </c>
      <c r="F226" s="413">
        <v>30.5</v>
      </c>
      <c r="G226" s="413">
        <v>20.35</v>
      </c>
      <c r="H226" s="413">
        <v>204</v>
      </c>
      <c r="I226" s="413"/>
      <c r="J226" s="413"/>
      <c r="K226" s="413"/>
      <c r="L226" s="413"/>
      <c r="M226" s="413"/>
      <c r="N226" s="413"/>
      <c r="O226" s="413">
        <v>18.62</v>
      </c>
      <c r="P226" s="413"/>
      <c r="Q226" s="413">
        <v>135.26</v>
      </c>
    </row>
    <row r="227" spans="1:17">
      <c r="A227" s="97" t="s">
        <v>92</v>
      </c>
      <c r="B227" s="97">
        <v>2008</v>
      </c>
      <c r="C227" s="97">
        <v>50</v>
      </c>
      <c r="H227" s="97">
        <v>240</v>
      </c>
      <c r="O227" s="97">
        <v>0</v>
      </c>
    </row>
    <row r="228" spans="1:17">
      <c r="A228" s="97" t="s">
        <v>92</v>
      </c>
      <c r="B228" s="97">
        <v>2009</v>
      </c>
      <c r="C228" s="97">
        <v>121.18</v>
      </c>
      <c r="G228" s="97">
        <v>29.2</v>
      </c>
      <c r="H228" s="97">
        <v>212.5</v>
      </c>
      <c r="I228" s="97">
        <v>30</v>
      </c>
      <c r="O228" s="97">
        <v>1.31</v>
      </c>
    </row>
    <row r="229" spans="1:17">
      <c r="A229" s="97" t="s">
        <v>92</v>
      </c>
      <c r="B229" s="97">
        <v>2010</v>
      </c>
      <c r="C229" s="97">
        <v>116.73</v>
      </c>
      <c r="G229" s="97">
        <v>3.85</v>
      </c>
      <c r="H229" s="97">
        <v>452.4</v>
      </c>
      <c r="I229" s="97">
        <v>30</v>
      </c>
      <c r="O229" s="97">
        <v>0</v>
      </c>
    </row>
    <row r="230" spans="1:17">
      <c r="A230" s="97" t="s">
        <v>92</v>
      </c>
      <c r="B230" s="97">
        <v>2011</v>
      </c>
      <c r="C230" s="97">
        <v>108.8</v>
      </c>
      <c r="G230" s="97">
        <v>2.7</v>
      </c>
      <c r="H230" s="97">
        <v>155.2</v>
      </c>
      <c r="O230" s="97">
        <v>0</v>
      </c>
      <c r="P230" s="97">
        <v>30</v>
      </c>
    </row>
    <row r="231" spans="1:17">
      <c r="A231" s="97" t="s">
        <v>92</v>
      </c>
      <c r="B231" s="97">
        <v>2012</v>
      </c>
      <c r="C231" s="413">
        <v>68.76</v>
      </c>
      <c r="D231" s="413"/>
      <c r="E231" s="413">
        <v>11.1</v>
      </c>
      <c r="F231" s="413"/>
      <c r="G231" s="413">
        <v>24.6</v>
      </c>
      <c r="H231" s="413">
        <v>221</v>
      </c>
      <c r="I231" s="413"/>
      <c r="J231" s="413"/>
      <c r="K231" s="413"/>
      <c r="L231" s="413"/>
      <c r="M231" s="413"/>
      <c r="N231" s="413"/>
      <c r="O231" s="413">
        <v>4.63</v>
      </c>
      <c r="P231" s="413">
        <v>90</v>
      </c>
      <c r="Q231" s="413">
        <v>1</v>
      </c>
    </row>
    <row r="232" spans="1:17">
      <c r="A232" s="97" t="s">
        <v>92</v>
      </c>
      <c r="B232" s="97">
        <v>2013</v>
      </c>
      <c r="C232" s="413">
        <v>66.35</v>
      </c>
      <c r="D232" s="413">
        <v>111.88</v>
      </c>
      <c r="E232" s="413">
        <v>6</v>
      </c>
      <c r="F232" s="413"/>
      <c r="G232" s="413">
        <v>20</v>
      </c>
      <c r="H232" s="413"/>
      <c r="I232" s="413"/>
      <c r="J232" s="413"/>
      <c r="K232" s="413"/>
      <c r="L232" s="413"/>
      <c r="M232" s="413"/>
      <c r="N232" s="413"/>
      <c r="O232" s="413"/>
      <c r="P232" s="413"/>
      <c r="Q232" s="413">
        <v>2</v>
      </c>
    </row>
    <row r="233" spans="1:17">
      <c r="A233" s="97" t="s">
        <v>92</v>
      </c>
      <c r="B233" s="97">
        <v>2014</v>
      </c>
      <c r="C233" s="413">
        <v>49.37</v>
      </c>
      <c r="D233" s="413">
        <v>111.88</v>
      </c>
      <c r="E233" s="413"/>
      <c r="F233" s="413"/>
      <c r="G233" s="413">
        <v>1.75</v>
      </c>
      <c r="H233" s="413">
        <v>70</v>
      </c>
      <c r="I233" s="413"/>
      <c r="J233" s="413"/>
      <c r="K233" s="413"/>
      <c r="L233" s="413"/>
      <c r="M233" s="413"/>
      <c r="N233" s="413"/>
      <c r="O233" s="413">
        <v>20</v>
      </c>
      <c r="P233" s="413"/>
      <c r="Q233" s="413">
        <v>4.34</v>
      </c>
    </row>
    <row r="234" spans="1:17">
      <c r="A234" s="97" t="s">
        <v>92</v>
      </c>
      <c r="B234" s="97">
        <v>2015</v>
      </c>
      <c r="C234" s="413">
        <v>33.65</v>
      </c>
      <c r="D234" s="413">
        <v>111.88</v>
      </c>
      <c r="E234" s="413"/>
      <c r="F234" s="413"/>
      <c r="G234" s="413">
        <v>1.2</v>
      </c>
      <c r="H234" s="413"/>
      <c r="I234" s="413"/>
      <c r="J234" s="413"/>
      <c r="K234" s="413"/>
      <c r="L234" s="413"/>
      <c r="M234" s="413"/>
      <c r="N234" s="413"/>
      <c r="O234" s="413"/>
      <c r="P234" s="413"/>
      <c r="Q234" s="413">
        <v>7.01</v>
      </c>
    </row>
    <row r="235" spans="1:17">
      <c r="A235" s="97" t="s">
        <v>92</v>
      </c>
      <c r="B235" s="97">
        <v>2016</v>
      </c>
      <c r="C235" s="413">
        <v>13.9</v>
      </c>
      <c r="D235" s="413">
        <v>111.88</v>
      </c>
      <c r="E235" s="413"/>
      <c r="F235" s="413"/>
      <c r="G235" s="413">
        <v>0.51</v>
      </c>
      <c r="H235" s="413"/>
      <c r="I235" s="413"/>
      <c r="J235" s="413"/>
      <c r="K235" s="413"/>
      <c r="L235" s="413"/>
      <c r="M235" s="413"/>
      <c r="N235" s="413"/>
      <c r="O235" s="413">
        <v>0.2</v>
      </c>
      <c r="P235" s="413"/>
      <c r="Q235" s="413">
        <v>20.99</v>
      </c>
    </row>
    <row r="236" spans="1:17">
      <c r="A236" s="97" t="s">
        <v>92</v>
      </c>
      <c r="B236" s="97">
        <v>2017</v>
      </c>
      <c r="C236" s="413">
        <v>20.15</v>
      </c>
      <c r="D236" s="413"/>
      <c r="E236" s="413"/>
      <c r="F236" s="413"/>
      <c r="G236" s="413">
        <v>1.41</v>
      </c>
      <c r="H236" s="413">
        <v>45</v>
      </c>
      <c r="I236" s="413"/>
      <c r="J236" s="413"/>
      <c r="K236" s="413"/>
      <c r="L236" s="413"/>
      <c r="M236" s="413"/>
      <c r="N236" s="413"/>
      <c r="O236" s="413">
        <v>0.19</v>
      </c>
      <c r="P236" s="413"/>
      <c r="Q236" s="413">
        <v>42.89</v>
      </c>
    </row>
    <row r="237" spans="1:17">
      <c r="A237" s="97" t="s">
        <v>92</v>
      </c>
      <c r="B237" s="97">
        <v>2018</v>
      </c>
      <c r="C237" s="413">
        <v>50.37</v>
      </c>
      <c r="D237" s="413"/>
      <c r="E237" s="413"/>
      <c r="F237" s="413"/>
      <c r="G237" s="413"/>
      <c r="H237" s="413">
        <v>105</v>
      </c>
      <c r="I237" s="413"/>
      <c r="J237" s="413"/>
      <c r="K237" s="413"/>
      <c r="L237" s="413"/>
      <c r="M237" s="413"/>
      <c r="N237" s="413"/>
      <c r="O237" s="413"/>
      <c r="P237" s="413"/>
      <c r="Q237" s="413">
        <v>37.13</v>
      </c>
    </row>
    <row r="238" spans="1:17">
      <c r="A238" s="97" t="s">
        <v>92</v>
      </c>
      <c r="B238" s="97">
        <v>2019</v>
      </c>
      <c r="C238" s="413">
        <v>77.63</v>
      </c>
      <c r="D238" s="413"/>
      <c r="E238" s="413"/>
      <c r="F238" s="413"/>
      <c r="G238" s="413">
        <v>1.61</v>
      </c>
      <c r="H238" s="413"/>
      <c r="I238" s="413"/>
      <c r="J238" s="413"/>
      <c r="K238" s="413"/>
      <c r="L238" s="413"/>
      <c r="M238" s="413"/>
      <c r="N238" s="413"/>
      <c r="O238" s="413"/>
      <c r="P238" s="413"/>
      <c r="Q238" s="413">
        <v>34.05</v>
      </c>
    </row>
    <row r="239" spans="1:17">
      <c r="A239" s="97" t="s">
        <v>92</v>
      </c>
      <c r="B239" s="97">
        <v>2020</v>
      </c>
      <c r="C239" s="413">
        <v>147.39</v>
      </c>
      <c r="D239" s="413"/>
      <c r="E239" s="413">
        <v>6.12</v>
      </c>
      <c r="F239" s="413">
        <v>1.8</v>
      </c>
      <c r="G239" s="413"/>
      <c r="H239" s="413">
        <v>80</v>
      </c>
      <c r="I239" s="413"/>
      <c r="J239" s="413">
        <v>10</v>
      </c>
      <c r="K239" s="413"/>
      <c r="L239" s="413"/>
      <c r="M239" s="413"/>
      <c r="N239" s="413"/>
      <c r="O239" s="413">
        <v>0.11</v>
      </c>
      <c r="P239" s="413"/>
      <c r="Q239" s="413">
        <v>56.41</v>
      </c>
    </row>
    <row r="240" spans="1:17">
      <c r="A240" s="97" t="s">
        <v>92</v>
      </c>
      <c r="B240" s="97">
        <v>2021</v>
      </c>
      <c r="C240" s="413">
        <v>78.25</v>
      </c>
      <c r="D240" s="413">
        <v>111.88</v>
      </c>
      <c r="E240" s="413">
        <v>10.4</v>
      </c>
      <c r="F240" s="413">
        <v>20.3</v>
      </c>
      <c r="G240" s="413">
        <v>11.97</v>
      </c>
      <c r="H240" s="413">
        <v>66</v>
      </c>
      <c r="I240" s="413"/>
      <c r="J240" s="413"/>
      <c r="K240" s="413"/>
      <c r="L240" s="413"/>
      <c r="M240" s="413"/>
      <c r="N240" s="413"/>
      <c r="O240" s="413">
        <v>0.42</v>
      </c>
      <c r="P240" s="413"/>
      <c r="Q240" s="413">
        <v>77.72</v>
      </c>
    </row>
    <row r="241" spans="1:17">
      <c r="A241" s="97" t="s">
        <v>90</v>
      </c>
      <c r="B241" s="97">
        <v>2008</v>
      </c>
      <c r="C241" s="97">
        <v>162</v>
      </c>
      <c r="H241" s="97">
        <v>515</v>
      </c>
      <c r="O241" s="97">
        <v>0</v>
      </c>
    </row>
    <row r="242" spans="1:17">
      <c r="A242" s="97" t="s">
        <v>90</v>
      </c>
      <c r="B242" s="97">
        <v>2009</v>
      </c>
      <c r="C242" s="97">
        <v>376.11</v>
      </c>
      <c r="E242" s="97">
        <v>1.2</v>
      </c>
      <c r="H242" s="97">
        <v>258.26</v>
      </c>
      <c r="I242" s="97">
        <v>32</v>
      </c>
      <c r="O242" s="97">
        <v>0</v>
      </c>
    </row>
    <row r="243" spans="1:17">
      <c r="A243" s="97" t="s">
        <v>90</v>
      </c>
      <c r="B243" s="97">
        <v>2010</v>
      </c>
      <c r="C243" s="97">
        <v>431.27</v>
      </c>
      <c r="E243" s="97">
        <v>1.8</v>
      </c>
      <c r="H243" s="97">
        <v>514</v>
      </c>
      <c r="I243" s="97">
        <v>60</v>
      </c>
      <c r="O243" s="97">
        <v>1.35</v>
      </c>
    </row>
    <row r="244" spans="1:17">
      <c r="A244" s="97" t="s">
        <v>90</v>
      </c>
      <c r="B244" s="97">
        <v>2011</v>
      </c>
      <c r="C244" s="97">
        <v>368.39</v>
      </c>
      <c r="E244" s="97">
        <v>4.8</v>
      </c>
      <c r="G244" s="97">
        <v>1.8</v>
      </c>
      <c r="H244" s="97">
        <v>457.7</v>
      </c>
      <c r="O244" s="97">
        <v>0.05</v>
      </c>
    </row>
    <row r="245" spans="1:17">
      <c r="A245" s="97" t="s">
        <v>90</v>
      </c>
      <c r="B245" s="97">
        <v>2012</v>
      </c>
      <c r="C245" s="413">
        <v>151.59</v>
      </c>
      <c r="D245" s="413"/>
      <c r="E245" s="413"/>
      <c r="F245" s="413"/>
      <c r="G245" s="413"/>
      <c r="H245" s="413">
        <v>70.8</v>
      </c>
      <c r="I245" s="413"/>
      <c r="J245" s="413"/>
      <c r="K245" s="413"/>
      <c r="L245" s="413"/>
      <c r="M245" s="413"/>
      <c r="N245" s="413"/>
      <c r="O245" s="413">
        <v>1.05</v>
      </c>
      <c r="P245" s="413"/>
      <c r="Q245" s="413">
        <v>11</v>
      </c>
    </row>
    <row r="246" spans="1:17">
      <c r="A246" s="97" t="s">
        <v>90</v>
      </c>
      <c r="B246" s="97">
        <v>2013</v>
      </c>
      <c r="C246" s="413">
        <v>207</v>
      </c>
      <c r="D246" s="413"/>
      <c r="E246" s="413"/>
      <c r="F246" s="413">
        <v>3.6</v>
      </c>
      <c r="G246" s="413">
        <v>8.25</v>
      </c>
      <c r="H246" s="413">
        <v>229.1</v>
      </c>
      <c r="I246" s="413"/>
      <c r="J246" s="413"/>
      <c r="K246" s="413"/>
      <c r="L246" s="413"/>
      <c r="M246" s="413"/>
      <c r="N246" s="413"/>
      <c r="O246" s="413"/>
      <c r="P246" s="413"/>
      <c r="Q246" s="413">
        <v>99.7</v>
      </c>
    </row>
    <row r="247" spans="1:17">
      <c r="A247" s="97" t="s">
        <v>90</v>
      </c>
      <c r="B247" s="97">
        <v>2014</v>
      </c>
      <c r="C247" s="413">
        <v>176.7</v>
      </c>
      <c r="D247" s="413"/>
      <c r="E247" s="413"/>
      <c r="F247" s="413"/>
      <c r="G247" s="413">
        <v>27.59</v>
      </c>
      <c r="H247" s="413">
        <v>99.2</v>
      </c>
      <c r="I247" s="413"/>
      <c r="J247" s="413"/>
      <c r="K247" s="413"/>
      <c r="L247" s="413"/>
      <c r="M247" s="413"/>
      <c r="N247" s="413"/>
      <c r="O247" s="413">
        <v>9</v>
      </c>
      <c r="P247" s="413">
        <v>60</v>
      </c>
      <c r="Q247" s="413">
        <v>114.97</v>
      </c>
    </row>
    <row r="248" spans="1:17">
      <c r="A248" s="97" t="s">
        <v>90</v>
      </c>
      <c r="B248" s="97">
        <v>2015</v>
      </c>
      <c r="C248" s="413">
        <v>334.75</v>
      </c>
      <c r="D248" s="413"/>
      <c r="E248" s="413"/>
      <c r="F248" s="413"/>
      <c r="G248" s="413">
        <v>8.25</v>
      </c>
      <c r="H248" s="413">
        <v>105.5</v>
      </c>
      <c r="I248" s="413"/>
      <c r="J248" s="413"/>
      <c r="K248" s="413"/>
      <c r="L248" s="413"/>
      <c r="M248" s="413"/>
      <c r="N248" s="413"/>
      <c r="O248" s="413"/>
      <c r="P248" s="413">
        <v>60</v>
      </c>
      <c r="Q248" s="413">
        <v>48.5</v>
      </c>
    </row>
    <row r="249" spans="1:17">
      <c r="A249" s="97" t="s">
        <v>90</v>
      </c>
      <c r="B249" s="97">
        <v>2016</v>
      </c>
      <c r="C249" s="413">
        <v>80.72</v>
      </c>
      <c r="D249" s="413"/>
      <c r="E249" s="413"/>
      <c r="F249" s="413"/>
      <c r="G249" s="413">
        <v>2.7</v>
      </c>
      <c r="H249" s="413">
        <v>363</v>
      </c>
      <c r="I249" s="413"/>
      <c r="J249" s="413"/>
      <c r="K249" s="413"/>
      <c r="L249" s="413"/>
      <c r="M249" s="413"/>
      <c r="N249" s="413"/>
      <c r="O249" s="413">
        <v>0.16</v>
      </c>
      <c r="P249" s="413"/>
      <c r="Q249" s="413">
        <v>26.13</v>
      </c>
    </row>
    <row r="250" spans="1:17">
      <c r="A250" s="97" t="s">
        <v>90</v>
      </c>
      <c r="B250" s="97">
        <v>2017</v>
      </c>
      <c r="C250" s="413">
        <v>88.47</v>
      </c>
      <c r="D250" s="413"/>
      <c r="E250" s="413"/>
      <c r="F250" s="413"/>
      <c r="G250" s="413">
        <v>1.05</v>
      </c>
      <c r="H250" s="413">
        <v>228</v>
      </c>
      <c r="I250" s="413"/>
      <c r="J250" s="413"/>
      <c r="K250" s="413"/>
      <c r="L250" s="413"/>
      <c r="M250" s="413"/>
      <c r="N250" s="413"/>
      <c r="O250" s="413">
        <v>0.6</v>
      </c>
      <c r="P250" s="413"/>
      <c r="Q250" s="413">
        <v>73.61</v>
      </c>
    </row>
    <row r="251" spans="1:17">
      <c r="A251" s="97" t="s">
        <v>90</v>
      </c>
      <c r="B251" s="97">
        <v>2018</v>
      </c>
      <c r="C251" s="413">
        <v>214.56</v>
      </c>
      <c r="D251" s="413"/>
      <c r="E251" s="413"/>
      <c r="F251" s="413"/>
      <c r="G251" s="413">
        <v>0.5</v>
      </c>
      <c r="H251" s="413">
        <v>66</v>
      </c>
      <c r="I251" s="413"/>
      <c r="J251" s="413"/>
      <c r="K251" s="413"/>
      <c r="L251" s="413"/>
      <c r="M251" s="413"/>
      <c r="N251" s="413"/>
      <c r="O251" s="413"/>
      <c r="P251" s="413"/>
      <c r="Q251" s="413">
        <v>132.26</v>
      </c>
    </row>
    <row r="252" spans="1:17">
      <c r="A252" s="97" t="s">
        <v>90</v>
      </c>
      <c r="B252" s="97">
        <v>2019</v>
      </c>
      <c r="C252" s="413">
        <v>124.39</v>
      </c>
      <c r="D252" s="413"/>
      <c r="E252" s="413"/>
      <c r="F252" s="413"/>
      <c r="G252" s="413"/>
      <c r="H252" s="413">
        <v>340</v>
      </c>
      <c r="I252" s="413">
        <v>70</v>
      </c>
      <c r="J252" s="413"/>
      <c r="K252" s="413"/>
      <c r="L252" s="413"/>
      <c r="M252" s="413"/>
      <c r="N252" s="413"/>
      <c r="O252" s="413"/>
      <c r="P252" s="413"/>
      <c r="Q252" s="413">
        <v>123.36</v>
      </c>
    </row>
    <row r="253" spans="1:17">
      <c r="A253" s="97" t="s">
        <v>90</v>
      </c>
      <c r="B253" s="97">
        <v>2020</v>
      </c>
      <c r="C253" s="413">
        <v>843.24</v>
      </c>
      <c r="D253" s="413"/>
      <c r="E253" s="413">
        <v>6</v>
      </c>
      <c r="F253" s="413">
        <v>1.5</v>
      </c>
      <c r="G253" s="413">
        <v>1.25</v>
      </c>
      <c r="H253" s="413">
        <v>414.1</v>
      </c>
      <c r="I253" s="413"/>
      <c r="J253" s="413"/>
      <c r="K253" s="413"/>
      <c r="L253" s="413"/>
      <c r="M253" s="413"/>
      <c r="N253" s="413"/>
      <c r="O253" s="413"/>
      <c r="P253" s="413"/>
      <c r="Q253" s="413">
        <v>147.08</v>
      </c>
    </row>
    <row r="254" spans="1:17">
      <c r="A254" s="97" t="s">
        <v>90</v>
      </c>
      <c r="B254" s="97">
        <v>2021</v>
      </c>
      <c r="C254" s="413">
        <v>156.75</v>
      </c>
      <c r="D254" s="413"/>
      <c r="E254" s="413">
        <v>10.25</v>
      </c>
      <c r="F254" s="413">
        <v>3.9</v>
      </c>
      <c r="G254" s="413">
        <v>32.25</v>
      </c>
      <c r="H254" s="413">
        <v>302</v>
      </c>
      <c r="I254" s="413"/>
      <c r="J254" s="413"/>
      <c r="K254" s="413"/>
      <c r="L254" s="413"/>
      <c r="M254" s="413"/>
      <c r="N254" s="413">
        <v>18.95</v>
      </c>
      <c r="O254" s="413"/>
      <c r="P254" s="413"/>
      <c r="Q254" s="413">
        <v>173.92</v>
      </c>
    </row>
    <row r="255" spans="1:17">
      <c r="A255" s="97" t="s">
        <v>140</v>
      </c>
      <c r="B255" s="97">
        <v>2008</v>
      </c>
      <c r="C255" s="97">
        <v>13</v>
      </c>
      <c r="H255" s="97">
        <v>43</v>
      </c>
      <c r="J255" s="97">
        <v>0</v>
      </c>
      <c r="O255" s="97">
        <v>0</v>
      </c>
    </row>
    <row r="256" spans="1:17">
      <c r="A256" s="97" t="s">
        <v>140</v>
      </c>
      <c r="B256" s="97">
        <v>2009</v>
      </c>
      <c r="C256" s="97">
        <v>15.45</v>
      </c>
      <c r="H256" s="97">
        <v>120</v>
      </c>
      <c r="J256" s="97">
        <v>6.4</v>
      </c>
      <c r="O256" s="97">
        <v>0</v>
      </c>
    </row>
    <row r="257" spans="1:17">
      <c r="A257" s="97" t="s">
        <v>140</v>
      </c>
      <c r="B257" s="97">
        <v>2010</v>
      </c>
      <c r="C257" s="97">
        <v>32.55</v>
      </c>
      <c r="H257" s="97">
        <v>370</v>
      </c>
      <c r="O257" s="97">
        <v>0</v>
      </c>
    </row>
    <row r="258" spans="1:17">
      <c r="A258" s="97" t="s">
        <v>140</v>
      </c>
      <c r="B258" s="97">
        <v>2011</v>
      </c>
      <c r="C258" s="97">
        <v>99.08</v>
      </c>
      <c r="H258" s="97">
        <v>374</v>
      </c>
      <c r="O258" s="97">
        <v>0</v>
      </c>
    </row>
    <row r="259" spans="1:17">
      <c r="A259" s="97" t="s">
        <v>140</v>
      </c>
      <c r="B259" s="97">
        <v>2012</v>
      </c>
      <c r="C259" s="413">
        <v>92.44</v>
      </c>
      <c r="D259" s="413"/>
      <c r="E259" s="413"/>
      <c r="F259" s="413"/>
      <c r="G259" s="413"/>
      <c r="H259" s="413"/>
      <c r="I259" s="413"/>
      <c r="J259" s="413"/>
      <c r="K259" s="413"/>
      <c r="L259" s="413"/>
      <c r="M259" s="413"/>
      <c r="N259" s="413"/>
      <c r="O259" s="413"/>
      <c r="P259" s="413"/>
      <c r="Q259" s="413">
        <v>3</v>
      </c>
    </row>
    <row r="260" spans="1:17">
      <c r="A260" s="97" t="s">
        <v>140</v>
      </c>
      <c r="B260" s="97">
        <v>2013</v>
      </c>
      <c r="C260" s="413">
        <v>59.7</v>
      </c>
      <c r="D260" s="413"/>
      <c r="E260" s="413"/>
      <c r="F260" s="413"/>
      <c r="G260" s="413"/>
      <c r="H260" s="413">
        <v>72</v>
      </c>
      <c r="I260" s="413"/>
      <c r="J260" s="413"/>
      <c r="K260" s="413"/>
      <c r="L260" s="413"/>
      <c r="M260" s="413"/>
      <c r="N260" s="413"/>
      <c r="O260" s="413"/>
      <c r="P260" s="413"/>
      <c r="Q260" s="413">
        <v>109</v>
      </c>
    </row>
    <row r="261" spans="1:17">
      <c r="A261" s="97" t="s">
        <v>140</v>
      </c>
      <c r="B261" s="97">
        <v>2014</v>
      </c>
      <c r="C261" s="413">
        <v>169.32</v>
      </c>
      <c r="D261" s="413"/>
      <c r="E261" s="413"/>
      <c r="F261" s="413"/>
      <c r="G261" s="413"/>
      <c r="H261" s="413">
        <v>56</v>
      </c>
      <c r="I261" s="413"/>
      <c r="J261" s="413"/>
      <c r="K261" s="413"/>
      <c r="L261" s="413"/>
      <c r="M261" s="413"/>
      <c r="N261" s="413"/>
      <c r="O261" s="413"/>
      <c r="P261" s="413"/>
      <c r="Q261" s="413">
        <v>21.4</v>
      </c>
    </row>
    <row r="262" spans="1:17">
      <c r="A262" s="97" t="s">
        <v>140</v>
      </c>
      <c r="B262" s="97">
        <v>2015</v>
      </c>
      <c r="C262" s="413">
        <v>321.36</v>
      </c>
      <c r="D262" s="413"/>
      <c r="E262" s="413"/>
      <c r="F262" s="413"/>
      <c r="G262" s="413">
        <v>59.9</v>
      </c>
      <c r="H262" s="413">
        <v>118</v>
      </c>
      <c r="I262" s="413"/>
      <c r="J262" s="413"/>
      <c r="K262" s="413"/>
      <c r="L262" s="413"/>
      <c r="M262" s="413"/>
      <c r="N262" s="413"/>
      <c r="O262" s="413"/>
      <c r="P262" s="413"/>
      <c r="Q262" s="413">
        <v>134.27</v>
      </c>
    </row>
    <row r="263" spans="1:17">
      <c r="A263" s="97" t="s">
        <v>140</v>
      </c>
      <c r="B263" s="97">
        <v>2016</v>
      </c>
      <c r="C263" s="413">
        <v>177.39</v>
      </c>
      <c r="D263" s="413"/>
      <c r="E263" s="413"/>
      <c r="F263" s="413"/>
      <c r="G263" s="413">
        <v>5</v>
      </c>
      <c r="H263" s="413">
        <v>175</v>
      </c>
      <c r="I263" s="413"/>
      <c r="J263" s="413"/>
      <c r="K263" s="413"/>
      <c r="L263" s="413"/>
      <c r="M263" s="413"/>
      <c r="N263" s="413"/>
      <c r="O263" s="413"/>
      <c r="P263" s="413"/>
      <c r="Q263" s="413">
        <v>216.75</v>
      </c>
    </row>
    <row r="264" spans="1:17">
      <c r="A264" s="97" t="s">
        <v>140</v>
      </c>
      <c r="B264" s="97">
        <v>2017</v>
      </c>
      <c r="C264" s="413"/>
      <c r="D264" s="413"/>
      <c r="E264" s="413"/>
      <c r="F264" s="413"/>
      <c r="G264" s="413">
        <v>1</v>
      </c>
      <c r="H264" s="413">
        <v>431</v>
      </c>
      <c r="I264" s="413"/>
      <c r="J264" s="413"/>
      <c r="K264" s="413"/>
      <c r="L264" s="413"/>
      <c r="M264" s="413"/>
      <c r="N264" s="413"/>
      <c r="O264" s="413"/>
      <c r="P264" s="413"/>
      <c r="Q264" s="413">
        <v>93.29</v>
      </c>
    </row>
    <row r="265" spans="1:17">
      <c r="A265" s="97" t="s">
        <v>140</v>
      </c>
      <c r="B265" s="97">
        <v>2018</v>
      </c>
      <c r="C265" s="413">
        <v>84.26</v>
      </c>
      <c r="D265" s="413"/>
      <c r="E265" s="413"/>
      <c r="F265" s="413"/>
      <c r="G265" s="413"/>
      <c r="H265" s="413">
        <v>101</v>
      </c>
      <c r="I265" s="413"/>
      <c r="J265" s="413"/>
      <c r="K265" s="413"/>
      <c r="L265" s="413"/>
      <c r="M265" s="413"/>
      <c r="N265" s="413"/>
      <c r="O265" s="413"/>
      <c r="P265" s="413"/>
      <c r="Q265" s="413">
        <v>186.74</v>
      </c>
    </row>
    <row r="266" spans="1:17">
      <c r="A266" s="97" t="s">
        <v>140</v>
      </c>
      <c r="B266" s="97">
        <v>2019</v>
      </c>
      <c r="C266" s="413">
        <v>109.81</v>
      </c>
      <c r="D266" s="413"/>
      <c r="E266" s="413"/>
      <c r="F266" s="413"/>
      <c r="G266" s="413">
        <v>0.65</v>
      </c>
      <c r="H266" s="413">
        <v>366</v>
      </c>
      <c r="I266" s="413"/>
      <c r="J266" s="413"/>
      <c r="K266" s="413"/>
      <c r="L266" s="413"/>
      <c r="M266" s="413"/>
      <c r="N266" s="413"/>
      <c r="O266" s="413">
        <v>0.36</v>
      </c>
      <c r="P266" s="413"/>
      <c r="Q266" s="413">
        <v>123.39</v>
      </c>
    </row>
    <row r="267" spans="1:17">
      <c r="A267" s="97" t="s">
        <v>140</v>
      </c>
      <c r="B267" s="97">
        <v>2020</v>
      </c>
      <c r="C267" s="413">
        <v>260.49</v>
      </c>
      <c r="D267" s="413"/>
      <c r="E267" s="413"/>
      <c r="F267" s="413"/>
      <c r="G267" s="413">
        <v>1.2</v>
      </c>
      <c r="H267" s="413">
        <v>132</v>
      </c>
      <c r="I267" s="413"/>
      <c r="J267" s="413"/>
      <c r="K267" s="413"/>
      <c r="L267" s="413"/>
      <c r="M267" s="413"/>
      <c r="N267" s="413"/>
      <c r="O267" s="413">
        <v>0.04</v>
      </c>
      <c r="P267" s="413"/>
      <c r="Q267" s="413">
        <v>282.04</v>
      </c>
    </row>
    <row r="268" spans="1:17">
      <c r="A268" s="97" t="s">
        <v>140</v>
      </c>
      <c r="B268" s="97">
        <v>2021</v>
      </c>
      <c r="C268" s="413">
        <v>78.65</v>
      </c>
      <c r="D268" s="413"/>
      <c r="E268" s="413"/>
      <c r="F268" s="413">
        <v>1.2</v>
      </c>
      <c r="G268" s="413">
        <v>8.4</v>
      </c>
      <c r="H268" s="413"/>
      <c r="I268" s="413"/>
      <c r="J268" s="413"/>
      <c r="K268" s="413"/>
      <c r="L268" s="413"/>
      <c r="M268" s="413"/>
      <c r="N268" s="413"/>
      <c r="O268" s="413"/>
      <c r="P268" s="413"/>
      <c r="Q268" s="413">
        <v>187.65</v>
      </c>
    </row>
    <row r="269" spans="1:17">
      <c r="A269" s="97" t="s">
        <v>138</v>
      </c>
      <c r="B269" s="97">
        <v>2008</v>
      </c>
      <c r="H269" s="97">
        <v>14</v>
      </c>
      <c r="O269" s="97">
        <v>9</v>
      </c>
    </row>
    <row r="270" spans="1:17">
      <c r="A270" s="97" t="s">
        <v>138</v>
      </c>
      <c r="B270" s="97">
        <v>2009</v>
      </c>
      <c r="O270" s="97">
        <v>282.42</v>
      </c>
    </row>
    <row r="271" spans="1:17">
      <c r="A271" s="97" t="s">
        <v>138</v>
      </c>
      <c r="B271" s="97">
        <v>2010</v>
      </c>
      <c r="H271" s="97">
        <v>0</v>
      </c>
      <c r="O271" s="97">
        <v>203.5</v>
      </c>
    </row>
    <row r="272" spans="1:17">
      <c r="A272" s="97" t="s">
        <v>138</v>
      </c>
      <c r="B272" s="97">
        <v>2011</v>
      </c>
      <c r="C272" s="97">
        <v>1.7</v>
      </c>
      <c r="H272" s="97">
        <v>27</v>
      </c>
      <c r="O272" s="97">
        <v>13</v>
      </c>
    </row>
    <row r="273" spans="1:17">
      <c r="A273" s="97" t="s">
        <v>138</v>
      </c>
      <c r="B273" s="97">
        <v>2012</v>
      </c>
      <c r="C273" s="413">
        <v>0.2</v>
      </c>
      <c r="D273" s="413"/>
      <c r="E273" s="413"/>
      <c r="F273" s="413"/>
      <c r="G273" s="413"/>
      <c r="H273" s="413"/>
      <c r="I273" s="413"/>
      <c r="J273" s="413"/>
      <c r="K273" s="413"/>
      <c r="L273" s="413"/>
      <c r="M273" s="413"/>
      <c r="N273" s="413"/>
      <c r="O273" s="413">
        <v>4</v>
      </c>
      <c r="P273" s="413"/>
      <c r="Q273" s="413">
        <v>23.2</v>
      </c>
    </row>
    <row r="274" spans="1:17">
      <c r="A274" s="97" t="s">
        <v>138</v>
      </c>
      <c r="B274" s="97">
        <v>2013</v>
      </c>
      <c r="C274" s="413">
        <v>13.15</v>
      </c>
      <c r="D274" s="413"/>
      <c r="E274" s="413"/>
      <c r="F274" s="413">
        <v>0.1</v>
      </c>
      <c r="G274" s="413"/>
      <c r="H274" s="413">
        <v>4.15</v>
      </c>
      <c r="I274" s="413"/>
      <c r="J274" s="413"/>
      <c r="K274" s="413"/>
      <c r="L274" s="413"/>
      <c r="M274" s="413"/>
      <c r="N274" s="413"/>
      <c r="O274" s="413">
        <v>16.1</v>
      </c>
      <c r="P274" s="413"/>
      <c r="Q274" s="413">
        <v>207.4</v>
      </c>
    </row>
    <row r="275" spans="1:17">
      <c r="A275" s="97" t="s">
        <v>138</v>
      </c>
      <c r="B275" s="97">
        <v>2014</v>
      </c>
      <c r="C275" s="413">
        <v>17.8</v>
      </c>
      <c r="D275" s="413"/>
      <c r="E275" s="413"/>
      <c r="F275" s="413"/>
      <c r="G275" s="413">
        <v>7</v>
      </c>
      <c r="H275" s="413"/>
      <c r="I275" s="413"/>
      <c r="J275" s="413"/>
      <c r="K275" s="413"/>
      <c r="L275" s="413"/>
      <c r="M275" s="413"/>
      <c r="N275" s="413"/>
      <c r="O275" s="413">
        <v>30.24</v>
      </c>
      <c r="P275" s="413"/>
      <c r="Q275" s="413">
        <v>94.16</v>
      </c>
    </row>
    <row r="276" spans="1:17">
      <c r="A276" s="97" t="s">
        <v>138</v>
      </c>
      <c r="B276" s="97">
        <v>2015</v>
      </c>
      <c r="C276" s="413">
        <v>24.75</v>
      </c>
      <c r="D276" s="413"/>
      <c r="E276" s="413"/>
      <c r="F276" s="413">
        <v>0.25</v>
      </c>
      <c r="G276" s="413"/>
      <c r="H276" s="413">
        <v>101</v>
      </c>
      <c r="I276" s="413"/>
      <c r="J276" s="413"/>
      <c r="K276" s="413"/>
      <c r="L276" s="413"/>
      <c r="M276" s="413"/>
      <c r="N276" s="413"/>
      <c r="O276" s="413">
        <v>28.1</v>
      </c>
      <c r="P276" s="413"/>
      <c r="Q276" s="413">
        <v>130.8</v>
      </c>
    </row>
    <row r="277" spans="1:17">
      <c r="A277" s="97" t="s">
        <v>138</v>
      </c>
      <c r="B277" s="97">
        <v>2016</v>
      </c>
      <c r="C277" s="413">
        <v>29.85</v>
      </c>
      <c r="D277" s="413"/>
      <c r="E277" s="413"/>
      <c r="F277" s="413"/>
      <c r="G277" s="413">
        <v>11.7</v>
      </c>
      <c r="H277" s="413">
        <v>101</v>
      </c>
      <c r="I277" s="413"/>
      <c r="J277" s="413"/>
      <c r="K277" s="413"/>
      <c r="L277" s="413"/>
      <c r="M277" s="413"/>
      <c r="N277" s="413"/>
      <c r="O277" s="413">
        <v>46.35</v>
      </c>
      <c r="P277" s="413"/>
      <c r="Q277" s="413">
        <v>130.5</v>
      </c>
    </row>
    <row r="278" spans="1:17">
      <c r="A278" s="97" t="s">
        <v>138</v>
      </c>
      <c r="B278" s="97">
        <v>2017</v>
      </c>
      <c r="C278" s="413">
        <v>110.28</v>
      </c>
      <c r="D278" s="413"/>
      <c r="E278" s="413"/>
      <c r="F278" s="413"/>
      <c r="G278" s="413"/>
      <c r="H278" s="413">
        <v>27</v>
      </c>
      <c r="I278" s="413"/>
      <c r="J278" s="413"/>
      <c r="K278" s="413"/>
      <c r="L278" s="413"/>
      <c r="M278" s="413"/>
      <c r="N278" s="413"/>
      <c r="O278" s="413">
        <v>4.1</v>
      </c>
      <c r="P278" s="413"/>
      <c r="Q278" s="413">
        <v>84.87</v>
      </c>
    </row>
    <row r="279" spans="1:17">
      <c r="A279" s="97" t="s">
        <v>138</v>
      </c>
      <c r="B279" s="97">
        <v>2018</v>
      </c>
      <c r="C279" s="413">
        <v>111.91</v>
      </c>
      <c r="D279" s="413"/>
      <c r="E279" s="413"/>
      <c r="F279" s="413"/>
      <c r="G279" s="413"/>
      <c r="H279" s="413"/>
      <c r="I279" s="413"/>
      <c r="J279" s="413"/>
      <c r="K279" s="413"/>
      <c r="L279" s="413"/>
      <c r="M279" s="413"/>
      <c r="N279" s="413"/>
      <c r="O279" s="413">
        <v>1</v>
      </c>
      <c r="P279" s="413"/>
      <c r="Q279" s="413">
        <v>208.42</v>
      </c>
    </row>
    <row r="280" spans="1:17">
      <c r="A280" s="97" t="s">
        <v>138</v>
      </c>
      <c r="B280" s="97">
        <v>2019</v>
      </c>
      <c r="C280" s="413">
        <v>195.2</v>
      </c>
      <c r="D280" s="413"/>
      <c r="E280" s="413"/>
      <c r="F280" s="413"/>
      <c r="G280" s="413"/>
      <c r="H280" s="413"/>
      <c r="I280" s="413"/>
      <c r="J280" s="413"/>
      <c r="K280" s="413"/>
      <c r="L280" s="413"/>
      <c r="M280" s="413"/>
      <c r="N280" s="413"/>
      <c r="O280" s="413">
        <v>0.3</v>
      </c>
      <c r="P280" s="413"/>
      <c r="Q280" s="413">
        <v>142.45</v>
      </c>
    </row>
    <row r="281" spans="1:17">
      <c r="A281" s="97" t="s">
        <v>138</v>
      </c>
      <c r="B281" s="97">
        <v>2020</v>
      </c>
      <c r="C281" s="413">
        <v>378.65</v>
      </c>
      <c r="D281" s="413"/>
      <c r="E281" s="413"/>
      <c r="F281" s="413"/>
      <c r="G281" s="413">
        <v>0.15</v>
      </c>
      <c r="H281" s="413"/>
      <c r="I281" s="413"/>
      <c r="J281" s="413"/>
      <c r="K281" s="413"/>
      <c r="L281" s="413"/>
      <c r="M281" s="413"/>
      <c r="N281" s="413"/>
      <c r="O281" s="413">
        <v>0.57</v>
      </c>
      <c r="P281" s="413"/>
      <c r="Q281" s="413">
        <v>457</v>
      </c>
    </row>
    <row r="282" spans="1:17">
      <c r="A282" s="97" t="s">
        <v>138</v>
      </c>
      <c r="B282" s="97">
        <v>2021</v>
      </c>
      <c r="C282" s="413">
        <v>52.97</v>
      </c>
      <c r="D282" s="413"/>
      <c r="E282" s="413"/>
      <c r="F282" s="413"/>
      <c r="G282" s="413">
        <v>0.25</v>
      </c>
      <c r="H282" s="413"/>
      <c r="I282" s="413"/>
      <c r="J282" s="413"/>
      <c r="K282" s="413"/>
      <c r="L282" s="413"/>
      <c r="M282" s="413"/>
      <c r="N282" s="413"/>
      <c r="O282" s="413">
        <v>0.34</v>
      </c>
      <c r="P282" s="413"/>
      <c r="Q282" s="413">
        <v>63</v>
      </c>
    </row>
    <row r="283" spans="1:17">
      <c r="A283" s="97" t="s">
        <v>110</v>
      </c>
      <c r="B283" s="97">
        <v>2008</v>
      </c>
      <c r="C283" s="97">
        <v>17</v>
      </c>
      <c r="H283" s="97">
        <v>307</v>
      </c>
      <c r="O283" s="97">
        <v>0</v>
      </c>
    </row>
    <row r="284" spans="1:17">
      <c r="A284" s="97" t="s">
        <v>110</v>
      </c>
      <c r="B284" s="97">
        <v>2009</v>
      </c>
      <c r="C284" s="97">
        <v>57.09</v>
      </c>
      <c r="E284" s="97">
        <v>3.3</v>
      </c>
      <c r="F284" s="97">
        <v>1.8</v>
      </c>
      <c r="H284" s="97">
        <v>442.3</v>
      </c>
      <c r="O284" s="97">
        <v>0</v>
      </c>
    </row>
    <row r="285" spans="1:17">
      <c r="A285" s="97" t="s">
        <v>110</v>
      </c>
      <c r="B285" s="97">
        <v>2010</v>
      </c>
      <c r="C285" s="97">
        <v>86.97</v>
      </c>
      <c r="E285" s="97">
        <v>0.9</v>
      </c>
      <c r="F285" s="97">
        <v>0.3</v>
      </c>
      <c r="G285" s="97">
        <v>15.8</v>
      </c>
      <c r="H285" s="97">
        <v>166.06</v>
      </c>
      <c r="O285" s="97">
        <v>0.01</v>
      </c>
    </row>
    <row r="286" spans="1:17">
      <c r="A286" s="97" t="s">
        <v>110</v>
      </c>
      <c r="B286" s="97">
        <v>2011</v>
      </c>
      <c r="C286" s="97">
        <v>116.76</v>
      </c>
      <c r="E286" s="97">
        <v>19.5</v>
      </c>
      <c r="F286" s="97">
        <v>4.91</v>
      </c>
      <c r="G286" s="97">
        <v>30.32</v>
      </c>
      <c r="H286" s="97">
        <v>351.45</v>
      </c>
      <c r="O286" s="97">
        <v>0.21</v>
      </c>
    </row>
    <row r="287" spans="1:17">
      <c r="A287" s="97" t="s">
        <v>110</v>
      </c>
      <c r="B287" s="97">
        <v>2012</v>
      </c>
      <c r="C287" s="413">
        <v>131.59</v>
      </c>
      <c r="D287" s="413"/>
      <c r="E287" s="413">
        <v>10.8</v>
      </c>
      <c r="F287" s="413">
        <v>4.77</v>
      </c>
      <c r="G287" s="413">
        <v>29</v>
      </c>
      <c r="H287" s="413">
        <v>336.5</v>
      </c>
      <c r="I287" s="413"/>
      <c r="J287" s="413"/>
      <c r="K287" s="413"/>
      <c r="L287" s="413">
        <v>0.4</v>
      </c>
      <c r="M287" s="413"/>
      <c r="N287" s="413"/>
      <c r="O287" s="413">
        <v>0.68</v>
      </c>
      <c r="P287" s="413"/>
      <c r="Q287" s="413">
        <v>6.8</v>
      </c>
    </row>
    <row r="288" spans="1:17">
      <c r="A288" s="97" t="s">
        <v>110</v>
      </c>
      <c r="B288" s="97">
        <v>2013</v>
      </c>
      <c r="C288" s="413">
        <v>122.6</v>
      </c>
      <c r="D288" s="413"/>
      <c r="E288" s="413">
        <v>13.1</v>
      </c>
      <c r="F288" s="413">
        <v>5.1</v>
      </c>
      <c r="G288" s="413">
        <v>25.1</v>
      </c>
      <c r="H288" s="413">
        <v>289</v>
      </c>
      <c r="I288" s="413">
        <v>0.6</v>
      </c>
      <c r="J288" s="413"/>
      <c r="K288" s="413"/>
      <c r="L288" s="413"/>
      <c r="M288" s="413"/>
      <c r="N288" s="413"/>
      <c r="O288" s="413"/>
      <c r="P288" s="413"/>
      <c r="Q288" s="413">
        <v>8.98</v>
      </c>
    </row>
    <row r="289" spans="1:17">
      <c r="A289" s="97" t="s">
        <v>110</v>
      </c>
      <c r="B289" s="97">
        <v>2014</v>
      </c>
      <c r="C289" s="413">
        <v>92.18</v>
      </c>
      <c r="D289" s="413"/>
      <c r="E289" s="413">
        <v>4.2</v>
      </c>
      <c r="F289" s="413">
        <v>6.3</v>
      </c>
      <c r="G289" s="413">
        <v>27</v>
      </c>
      <c r="H289" s="413">
        <v>140</v>
      </c>
      <c r="I289" s="413"/>
      <c r="J289" s="413"/>
      <c r="K289" s="413"/>
      <c r="L289" s="413"/>
      <c r="M289" s="413"/>
      <c r="N289" s="413"/>
      <c r="O289" s="413">
        <v>0.08</v>
      </c>
      <c r="P289" s="413"/>
      <c r="Q289" s="413">
        <v>15.02</v>
      </c>
    </row>
    <row r="290" spans="1:17">
      <c r="A290" s="97" t="s">
        <v>110</v>
      </c>
      <c r="B290" s="97">
        <v>2015</v>
      </c>
      <c r="C290" s="413">
        <v>83.07</v>
      </c>
      <c r="D290" s="413"/>
      <c r="E290" s="413">
        <v>9</v>
      </c>
      <c r="F290" s="413"/>
      <c r="G290" s="413">
        <v>24.76</v>
      </c>
      <c r="H290" s="413">
        <v>240</v>
      </c>
      <c r="I290" s="413"/>
      <c r="J290" s="413"/>
      <c r="K290" s="413"/>
      <c r="L290" s="413"/>
      <c r="M290" s="413"/>
      <c r="N290" s="413"/>
      <c r="O290" s="413"/>
      <c r="P290" s="413"/>
      <c r="Q290" s="413">
        <v>40.07</v>
      </c>
    </row>
    <row r="291" spans="1:17">
      <c r="A291" s="97" t="s">
        <v>110</v>
      </c>
      <c r="B291" s="97">
        <v>2016</v>
      </c>
      <c r="C291" s="413">
        <v>111.14</v>
      </c>
      <c r="D291" s="413"/>
      <c r="E291" s="413">
        <v>17.9</v>
      </c>
      <c r="F291" s="413"/>
      <c r="G291" s="413">
        <v>71.74</v>
      </c>
      <c r="H291" s="413">
        <v>793.46</v>
      </c>
      <c r="I291" s="413"/>
      <c r="J291" s="413">
        <v>0.1</v>
      </c>
      <c r="K291" s="413"/>
      <c r="L291" s="413"/>
      <c r="M291" s="413"/>
      <c r="N291" s="413"/>
      <c r="O291" s="413">
        <v>0.15</v>
      </c>
      <c r="P291" s="413"/>
      <c r="Q291" s="413">
        <v>286.04</v>
      </c>
    </row>
    <row r="292" spans="1:17">
      <c r="A292" s="97" t="s">
        <v>110</v>
      </c>
      <c r="B292" s="97">
        <v>2017</v>
      </c>
      <c r="C292" s="413">
        <v>191.42</v>
      </c>
      <c r="D292" s="413"/>
      <c r="E292" s="413">
        <v>14</v>
      </c>
      <c r="F292" s="413">
        <v>25.55</v>
      </c>
      <c r="G292" s="413">
        <v>11.68</v>
      </c>
      <c r="H292" s="413">
        <v>769.3</v>
      </c>
      <c r="I292" s="413"/>
      <c r="J292" s="413"/>
      <c r="K292" s="413"/>
      <c r="L292" s="413"/>
      <c r="M292" s="413"/>
      <c r="N292" s="413"/>
      <c r="O292" s="413">
        <v>0.06</v>
      </c>
      <c r="P292" s="413"/>
      <c r="Q292" s="413">
        <v>644.98</v>
      </c>
    </row>
    <row r="293" spans="1:17">
      <c r="A293" s="97" t="s">
        <v>110</v>
      </c>
      <c r="B293" s="97">
        <v>2018</v>
      </c>
      <c r="C293" s="413">
        <v>94.38</v>
      </c>
      <c r="D293" s="413">
        <v>125</v>
      </c>
      <c r="E293" s="413">
        <v>18.3</v>
      </c>
      <c r="F293" s="413">
        <v>28</v>
      </c>
      <c r="G293" s="413">
        <v>34.3</v>
      </c>
      <c r="H293" s="413">
        <v>64.1</v>
      </c>
      <c r="I293" s="413"/>
      <c r="J293" s="413">
        <v>0.6</v>
      </c>
      <c r="K293" s="413"/>
      <c r="L293" s="413"/>
      <c r="M293" s="413"/>
      <c r="N293" s="413"/>
      <c r="O293" s="413">
        <v>0.28</v>
      </c>
      <c r="P293" s="413"/>
      <c r="Q293" s="413">
        <v>393.47</v>
      </c>
    </row>
    <row r="294" spans="1:17">
      <c r="A294" s="97" t="s">
        <v>110</v>
      </c>
      <c r="B294" s="97">
        <v>2019</v>
      </c>
      <c r="C294" s="413">
        <v>212.58</v>
      </c>
      <c r="D294" s="413">
        <v>125</v>
      </c>
      <c r="E294" s="413">
        <v>30</v>
      </c>
      <c r="F294" s="413">
        <v>30.6</v>
      </c>
      <c r="G294" s="413">
        <v>28.19</v>
      </c>
      <c r="H294" s="413">
        <v>125</v>
      </c>
      <c r="I294" s="413"/>
      <c r="J294" s="413">
        <v>0.66</v>
      </c>
      <c r="K294" s="413"/>
      <c r="L294" s="413"/>
      <c r="M294" s="413"/>
      <c r="N294" s="413"/>
      <c r="O294" s="413">
        <v>0.14</v>
      </c>
      <c r="P294" s="413"/>
      <c r="Q294" s="413">
        <v>256.3</v>
      </c>
    </row>
    <row r="295" spans="1:17">
      <c r="A295" s="97" t="s">
        <v>110</v>
      </c>
      <c r="B295" s="97">
        <v>2020</v>
      </c>
      <c r="C295" s="413">
        <v>439.96</v>
      </c>
      <c r="D295" s="413"/>
      <c r="E295" s="413">
        <v>39.58</v>
      </c>
      <c r="F295" s="413">
        <v>32.7</v>
      </c>
      <c r="G295" s="413">
        <v>27.08</v>
      </c>
      <c r="H295" s="413">
        <v>521.3</v>
      </c>
      <c r="I295" s="413"/>
      <c r="J295" s="413"/>
      <c r="K295" s="413"/>
      <c r="L295" s="413"/>
      <c r="M295" s="413"/>
      <c r="N295" s="413"/>
      <c r="O295" s="413"/>
      <c r="P295" s="413"/>
      <c r="Q295" s="413">
        <v>647.2</v>
      </c>
    </row>
    <row r="296" spans="1:17">
      <c r="A296" s="97" t="s">
        <v>110</v>
      </c>
      <c r="B296" s="97">
        <v>2021</v>
      </c>
      <c r="C296" s="413">
        <v>146.04</v>
      </c>
      <c r="D296" s="413"/>
      <c r="E296" s="413">
        <v>19.2</v>
      </c>
      <c r="F296" s="413">
        <v>41.9</v>
      </c>
      <c r="G296" s="413">
        <v>122.58</v>
      </c>
      <c r="H296" s="413">
        <v>157.1</v>
      </c>
      <c r="I296" s="413"/>
      <c r="J296" s="413">
        <v>1.95</v>
      </c>
      <c r="K296" s="413"/>
      <c r="L296" s="413"/>
      <c r="M296" s="413"/>
      <c r="N296" s="413">
        <v>30.26</v>
      </c>
      <c r="O296" s="413"/>
      <c r="P296" s="413">
        <v>60</v>
      </c>
      <c r="Q296" s="413">
        <v>1070.5</v>
      </c>
    </row>
    <row r="297" spans="1:17">
      <c r="A297" s="97" t="s">
        <v>88</v>
      </c>
      <c r="B297" s="97">
        <v>2008</v>
      </c>
      <c r="C297" s="97">
        <v>10</v>
      </c>
      <c r="H297" s="97">
        <v>418</v>
      </c>
      <c r="O297" s="97">
        <v>0</v>
      </c>
    </row>
    <row r="298" spans="1:17">
      <c r="A298" s="97" t="s">
        <v>88</v>
      </c>
      <c r="B298" s="97">
        <v>2009</v>
      </c>
      <c r="C298" s="97">
        <v>7.5</v>
      </c>
      <c r="H298" s="97">
        <v>372</v>
      </c>
      <c r="I298" s="97">
        <v>60</v>
      </c>
      <c r="O298" s="97">
        <v>20</v>
      </c>
      <c r="P298" s="97">
        <v>60</v>
      </c>
    </row>
    <row r="299" spans="1:17">
      <c r="A299" s="97" t="s">
        <v>88</v>
      </c>
      <c r="B299" s="97">
        <v>2010</v>
      </c>
      <c r="C299" s="97">
        <v>36.9</v>
      </c>
      <c r="E299" s="97">
        <v>0.6</v>
      </c>
      <c r="G299" s="97">
        <v>1.9</v>
      </c>
      <c r="H299" s="97">
        <v>153</v>
      </c>
      <c r="O299" s="97">
        <v>22</v>
      </c>
    </row>
    <row r="300" spans="1:17">
      <c r="A300" s="97" t="s">
        <v>88</v>
      </c>
      <c r="B300" s="97">
        <v>2011</v>
      </c>
      <c r="C300" s="97">
        <v>104.4</v>
      </c>
      <c r="G300" s="97">
        <v>0</v>
      </c>
      <c r="H300" s="97">
        <v>448.8</v>
      </c>
      <c r="I300" s="97">
        <v>63</v>
      </c>
      <c r="O300" s="97">
        <v>0</v>
      </c>
      <c r="P300" s="97">
        <v>60</v>
      </c>
    </row>
    <row r="301" spans="1:17">
      <c r="A301" s="97" t="s">
        <v>88</v>
      </c>
      <c r="B301" s="97">
        <v>2012</v>
      </c>
      <c r="C301" s="413">
        <v>103.05</v>
      </c>
      <c r="D301" s="413"/>
      <c r="E301" s="413"/>
      <c r="F301" s="413"/>
      <c r="G301" s="413"/>
      <c r="H301" s="413">
        <v>287.3</v>
      </c>
      <c r="I301" s="413">
        <v>30</v>
      </c>
      <c r="J301" s="413"/>
      <c r="K301" s="413">
        <v>0.5</v>
      </c>
      <c r="L301" s="413"/>
      <c r="M301" s="413"/>
      <c r="N301" s="413"/>
      <c r="O301" s="413"/>
      <c r="P301" s="413"/>
      <c r="Q301" s="413">
        <v>0.81</v>
      </c>
    </row>
    <row r="302" spans="1:17">
      <c r="A302" s="97" t="s">
        <v>88</v>
      </c>
      <c r="B302" s="97">
        <v>2013</v>
      </c>
      <c r="C302" s="413">
        <v>81.45</v>
      </c>
      <c r="D302" s="413"/>
      <c r="E302" s="413"/>
      <c r="F302" s="413"/>
      <c r="G302" s="413"/>
      <c r="H302" s="413">
        <v>187</v>
      </c>
      <c r="I302" s="413"/>
      <c r="J302" s="413"/>
      <c r="K302" s="413"/>
      <c r="L302" s="413"/>
      <c r="M302" s="413"/>
      <c r="N302" s="413"/>
      <c r="O302" s="413"/>
      <c r="P302" s="413"/>
      <c r="Q302" s="413">
        <v>5</v>
      </c>
    </row>
    <row r="303" spans="1:17">
      <c r="A303" s="97" t="s">
        <v>88</v>
      </c>
      <c r="B303" s="97">
        <v>2014</v>
      </c>
      <c r="C303" s="413">
        <v>176.55</v>
      </c>
      <c r="D303" s="413"/>
      <c r="E303" s="413"/>
      <c r="F303" s="413"/>
      <c r="G303" s="413">
        <v>10</v>
      </c>
      <c r="H303" s="413">
        <v>229.1</v>
      </c>
      <c r="I303" s="413">
        <v>30</v>
      </c>
      <c r="J303" s="413">
        <v>86.4</v>
      </c>
      <c r="K303" s="413"/>
      <c r="L303" s="413"/>
      <c r="M303" s="413"/>
      <c r="N303" s="413"/>
      <c r="O303" s="413">
        <v>2.11</v>
      </c>
      <c r="P303" s="413"/>
      <c r="Q303" s="413">
        <v>46.82</v>
      </c>
    </row>
    <row r="304" spans="1:17">
      <c r="A304" s="97" t="s">
        <v>88</v>
      </c>
      <c r="B304" s="97">
        <v>2015</v>
      </c>
      <c r="C304" s="413">
        <v>223.06</v>
      </c>
      <c r="D304" s="413"/>
      <c r="E304" s="413">
        <v>1.2</v>
      </c>
      <c r="F304" s="413"/>
      <c r="G304" s="413">
        <v>29.05</v>
      </c>
      <c r="H304" s="413">
        <v>200</v>
      </c>
      <c r="I304" s="413"/>
      <c r="J304" s="413">
        <v>85.9</v>
      </c>
      <c r="K304" s="413">
        <v>3.7</v>
      </c>
      <c r="L304" s="413"/>
      <c r="M304" s="413"/>
      <c r="N304" s="413"/>
      <c r="O304" s="413"/>
      <c r="P304" s="413"/>
      <c r="Q304" s="413">
        <v>90.87</v>
      </c>
    </row>
    <row r="305" spans="1:17">
      <c r="A305" s="97" t="s">
        <v>88</v>
      </c>
      <c r="B305" s="97">
        <v>2016</v>
      </c>
      <c r="C305" s="413">
        <v>173.3</v>
      </c>
      <c r="D305" s="413"/>
      <c r="E305" s="413"/>
      <c r="F305" s="413"/>
      <c r="G305" s="413">
        <v>36.66</v>
      </c>
      <c r="H305" s="413">
        <v>307</v>
      </c>
      <c r="I305" s="413">
        <v>30</v>
      </c>
      <c r="J305" s="413"/>
      <c r="K305" s="413"/>
      <c r="L305" s="413"/>
      <c r="M305" s="413"/>
      <c r="N305" s="413"/>
      <c r="O305" s="413">
        <v>0.1</v>
      </c>
      <c r="P305" s="413"/>
      <c r="Q305" s="413">
        <v>246.37</v>
      </c>
    </row>
    <row r="306" spans="1:17">
      <c r="A306" s="97" t="s">
        <v>88</v>
      </c>
      <c r="B306" s="97">
        <v>2017</v>
      </c>
      <c r="C306" s="413">
        <v>95.6</v>
      </c>
      <c r="D306" s="413"/>
      <c r="E306" s="413"/>
      <c r="F306" s="413"/>
      <c r="G306" s="413">
        <v>1.21</v>
      </c>
      <c r="H306" s="413">
        <v>45</v>
      </c>
      <c r="I306" s="413"/>
      <c r="J306" s="413"/>
      <c r="K306" s="413"/>
      <c r="L306" s="413"/>
      <c r="M306" s="413"/>
      <c r="N306" s="413"/>
      <c r="O306" s="413">
        <v>0.22</v>
      </c>
      <c r="P306" s="413"/>
      <c r="Q306" s="413">
        <v>280.48</v>
      </c>
    </row>
    <row r="307" spans="1:17">
      <c r="A307" s="97" t="s">
        <v>88</v>
      </c>
      <c r="B307" s="97">
        <v>2018</v>
      </c>
      <c r="C307" s="413">
        <v>196.09</v>
      </c>
      <c r="D307" s="413"/>
      <c r="E307" s="413"/>
      <c r="F307" s="413"/>
      <c r="G307" s="413">
        <v>11.23</v>
      </c>
      <c r="H307" s="413">
        <v>280</v>
      </c>
      <c r="I307" s="413"/>
      <c r="J307" s="413">
        <v>5.58</v>
      </c>
      <c r="K307" s="413"/>
      <c r="L307" s="413"/>
      <c r="M307" s="413"/>
      <c r="N307" s="413"/>
      <c r="O307" s="413"/>
      <c r="P307" s="413"/>
      <c r="Q307" s="413">
        <v>329.35</v>
      </c>
    </row>
    <row r="308" spans="1:17">
      <c r="A308" s="97" t="s">
        <v>88</v>
      </c>
      <c r="B308" s="97">
        <v>2019</v>
      </c>
      <c r="C308" s="413">
        <v>214.16</v>
      </c>
      <c r="D308" s="413"/>
      <c r="E308" s="413"/>
      <c r="F308" s="413"/>
      <c r="G308" s="413">
        <v>2.43</v>
      </c>
      <c r="H308" s="413"/>
      <c r="I308" s="413">
        <v>70</v>
      </c>
      <c r="J308" s="413"/>
      <c r="K308" s="413"/>
      <c r="L308" s="413"/>
      <c r="M308" s="413"/>
      <c r="N308" s="413"/>
      <c r="O308" s="413">
        <v>0.07</v>
      </c>
      <c r="P308" s="413"/>
      <c r="Q308" s="413">
        <v>157.98</v>
      </c>
    </row>
    <row r="309" spans="1:17">
      <c r="A309" s="97" t="s">
        <v>88</v>
      </c>
      <c r="B309" s="97">
        <v>2020</v>
      </c>
      <c r="C309" s="413">
        <v>719.95</v>
      </c>
      <c r="D309" s="413"/>
      <c r="E309" s="413">
        <v>1.8</v>
      </c>
      <c r="F309" s="413"/>
      <c r="G309" s="413">
        <v>2</v>
      </c>
      <c r="H309" s="413">
        <v>103.8</v>
      </c>
      <c r="I309" s="413">
        <v>167</v>
      </c>
      <c r="J309" s="413"/>
      <c r="K309" s="413">
        <v>9.7</v>
      </c>
      <c r="L309" s="413"/>
      <c r="M309" s="413"/>
      <c r="N309" s="413"/>
      <c r="O309" s="413">
        <v>0.06</v>
      </c>
      <c r="P309" s="413"/>
      <c r="Q309" s="413">
        <v>220.3</v>
      </c>
    </row>
    <row r="310" spans="1:17">
      <c r="A310" s="97" t="s">
        <v>88</v>
      </c>
      <c r="B310" s="97">
        <v>2021</v>
      </c>
      <c r="C310" s="413">
        <v>149.06</v>
      </c>
      <c r="D310" s="413"/>
      <c r="E310" s="413">
        <v>14.4</v>
      </c>
      <c r="F310" s="413">
        <v>6.3</v>
      </c>
      <c r="G310" s="413">
        <v>0.15</v>
      </c>
      <c r="H310" s="413">
        <v>633</v>
      </c>
      <c r="I310" s="413"/>
      <c r="J310" s="413">
        <v>0.98</v>
      </c>
      <c r="K310" s="413"/>
      <c r="L310" s="413"/>
      <c r="M310" s="413"/>
      <c r="N310" s="413"/>
      <c r="O310" s="413">
        <v>0.32</v>
      </c>
      <c r="P310" s="413"/>
      <c r="Q310" s="413">
        <v>149.25</v>
      </c>
    </row>
    <row r="311" spans="1:17">
      <c r="A311" s="97" t="s">
        <v>134</v>
      </c>
      <c r="B311" s="97">
        <v>2008</v>
      </c>
      <c r="H311" s="97">
        <v>522</v>
      </c>
      <c r="J311" s="97">
        <v>3</v>
      </c>
      <c r="O311" s="97">
        <v>0</v>
      </c>
    </row>
    <row r="312" spans="1:17">
      <c r="A312" s="97" t="s">
        <v>134</v>
      </c>
      <c r="B312" s="97">
        <v>2009</v>
      </c>
      <c r="H312" s="97">
        <v>252</v>
      </c>
      <c r="O312" s="97">
        <v>5.9</v>
      </c>
    </row>
    <row r="313" spans="1:17">
      <c r="A313" s="97" t="s">
        <v>134</v>
      </c>
      <c r="B313" s="97">
        <v>2010</v>
      </c>
      <c r="C313" s="97">
        <v>4.95</v>
      </c>
      <c r="F313" s="97">
        <v>0.13</v>
      </c>
      <c r="H313" s="97">
        <v>139</v>
      </c>
      <c r="I313" s="97">
        <v>30</v>
      </c>
      <c r="O313" s="97">
        <v>22.5</v>
      </c>
    </row>
    <row r="314" spans="1:17">
      <c r="A314" s="97" t="s">
        <v>134</v>
      </c>
      <c r="B314" s="97">
        <v>2011</v>
      </c>
      <c r="C314" s="97">
        <v>25.5</v>
      </c>
      <c r="H314" s="97">
        <v>137</v>
      </c>
      <c r="O314" s="97">
        <v>2</v>
      </c>
    </row>
    <row r="315" spans="1:17">
      <c r="A315" s="97" t="s">
        <v>134</v>
      </c>
      <c r="B315" s="97">
        <v>2012</v>
      </c>
      <c r="C315" s="413">
        <v>21.95</v>
      </c>
      <c r="D315" s="413"/>
      <c r="E315" s="413"/>
      <c r="F315" s="413"/>
      <c r="G315" s="413"/>
      <c r="H315" s="413">
        <v>66</v>
      </c>
      <c r="I315" s="413"/>
      <c r="J315" s="413"/>
      <c r="K315" s="413"/>
      <c r="L315" s="413"/>
      <c r="M315" s="413"/>
      <c r="N315" s="413"/>
      <c r="O315" s="413"/>
      <c r="P315" s="413"/>
      <c r="Q315" s="413">
        <v>2.5</v>
      </c>
    </row>
    <row r="316" spans="1:17">
      <c r="A316" s="97" t="s">
        <v>134</v>
      </c>
      <c r="B316" s="97">
        <v>2013</v>
      </c>
      <c r="C316" s="413">
        <v>45.7</v>
      </c>
      <c r="D316" s="413"/>
      <c r="E316" s="413"/>
      <c r="F316" s="413"/>
      <c r="G316" s="413"/>
      <c r="H316" s="413">
        <v>66</v>
      </c>
      <c r="I316" s="413"/>
      <c r="J316" s="413"/>
      <c r="K316" s="413"/>
      <c r="L316" s="413"/>
      <c r="M316" s="413"/>
      <c r="N316" s="413"/>
      <c r="O316" s="413"/>
      <c r="P316" s="413"/>
      <c r="Q316" s="413">
        <v>3.5</v>
      </c>
    </row>
    <row r="317" spans="1:17">
      <c r="A317" s="97" t="s">
        <v>134</v>
      </c>
      <c r="B317" s="97">
        <v>2014</v>
      </c>
      <c r="C317" s="413">
        <v>29.4</v>
      </c>
      <c r="D317" s="413"/>
      <c r="E317" s="413"/>
      <c r="F317" s="413"/>
      <c r="G317" s="413">
        <v>26.5</v>
      </c>
      <c r="H317" s="413">
        <v>66</v>
      </c>
      <c r="I317" s="413"/>
      <c r="J317" s="413"/>
      <c r="K317" s="413"/>
      <c r="L317" s="413"/>
      <c r="M317" s="413"/>
      <c r="N317" s="413"/>
      <c r="O317" s="413"/>
      <c r="P317" s="413"/>
      <c r="Q317" s="413">
        <v>26</v>
      </c>
    </row>
    <row r="318" spans="1:17">
      <c r="A318" s="97" t="s">
        <v>134</v>
      </c>
      <c r="B318" s="97">
        <v>2015</v>
      </c>
      <c r="C318" s="413">
        <v>42.35</v>
      </c>
      <c r="D318" s="413"/>
      <c r="E318" s="413"/>
      <c r="F318" s="413"/>
      <c r="G318" s="413">
        <v>34.79</v>
      </c>
      <c r="H318" s="413">
        <v>350</v>
      </c>
      <c r="I318" s="413"/>
      <c r="J318" s="413"/>
      <c r="K318" s="413"/>
      <c r="L318" s="413"/>
      <c r="M318" s="413"/>
      <c r="N318" s="413"/>
      <c r="O318" s="413">
        <v>13.01</v>
      </c>
      <c r="P318" s="413"/>
      <c r="Q318" s="413">
        <v>48</v>
      </c>
    </row>
    <row r="319" spans="1:17">
      <c r="A319" s="97" t="s">
        <v>134</v>
      </c>
      <c r="B319" s="97">
        <v>2016</v>
      </c>
      <c r="C319" s="413">
        <v>91.16</v>
      </c>
      <c r="D319" s="413"/>
      <c r="E319" s="413"/>
      <c r="F319" s="413"/>
      <c r="G319" s="413">
        <v>38.33</v>
      </c>
      <c r="H319" s="413">
        <v>110.25</v>
      </c>
      <c r="I319" s="413"/>
      <c r="J319" s="413"/>
      <c r="K319" s="413"/>
      <c r="L319" s="413"/>
      <c r="M319" s="413"/>
      <c r="N319" s="413"/>
      <c r="O319" s="413">
        <v>15.46</v>
      </c>
      <c r="P319" s="413"/>
      <c r="Q319" s="413">
        <v>194.39</v>
      </c>
    </row>
    <row r="320" spans="1:17">
      <c r="A320" s="97" t="s">
        <v>134</v>
      </c>
      <c r="B320" s="97">
        <v>2017</v>
      </c>
      <c r="C320" s="413">
        <v>132.38</v>
      </c>
      <c r="D320" s="413"/>
      <c r="E320" s="413">
        <v>3</v>
      </c>
      <c r="F320" s="413">
        <v>1.35</v>
      </c>
      <c r="G320" s="413">
        <v>9.78</v>
      </c>
      <c r="H320" s="413">
        <v>111.7</v>
      </c>
      <c r="I320" s="413"/>
      <c r="J320" s="413"/>
      <c r="K320" s="413"/>
      <c r="L320" s="413"/>
      <c r="M320" s="413"/>
      <c r="N320" s="413"/>
      <c r="O320" s="413">
        <v>70.15</v>
      </c>
      <c r="P320" s="413"/>
      <c r="Q320" s="413">
        <v>203.28</v>
      </c>
    </row>
    <row r="321" spans="1:17">
      <c r="A321" s="97" t="s">
        <v>134</v>
      </c>
      <c r="B321" s="97">
        <v>2018</v>
      </c>
      <c r="C321" s="413">
        <v>59.02</v>
      </c>
      <c r="D321" s="413"/>
      <c r="E321" s="413"/>
      <c r="F321" s="413"/>
      <c r="G321" s="413">
        <v>13.93</v>
      </c>
      <c r="H321" s="413">
        <v>374.9</v>
      </c>
      <c r="I321" s="413"/>
      <c r="J321" s="413"/>
      <c r="K321" s="413"/>
      <c r="L321" s="413"/>
      <c r="M321" s="413"/>
      <c r="N321" s="413"/>
      <c r="O321" s="413">
        <v>4.36</v>
      </c>
      <c r="P321" s="413"/>
      <c r="Q321" s="413">
        <v>154.93</v>
      </c>
    </row>
    <row r="322" spans="1:17">
      <c r="A322" s="97" t="s">
        <v>134</v>
      </c>
      <c r="B322" s="97">
        <v>2019</v>
      </c>
      <c r="C322" s="413">
        <v>117.35</v>
      </c>
      <c r="D322" s="413"/>
      <c r="E322" s="413">
        <v>4</v>
      </c>
      <c r="F322" s="413">
        <v>6</v>
      </c>
      <c r="G322" s="413">
        <v>3.05</v>
      </c>
      <c r="H322" s="413">
        <v>416.9</v>
      </c>
      <c r="I322" s="413"/>
      <c r="J322" s="413"/>
      <c r="K322" s="413"/>
      <c r="L322" s="413"/>
      <c r="M322" s="413"/>
      <c r="N322" s="413"/>
      <c r="O322" s="413">
        <v>10.86</v>
      </c>
      <c r="P322" s="413"/>
      <c r="Q322" s="413">
        <v>181.55</v>
      </c>
    </row>
    <row r="323" spans="1:17">
      <c r="A323" s="97" t="s">
        <v>134</v>
      </c>
      <c r="B323" s="97">
        <v>2020</v>
      </c>
      <c r="C323" s="413">
        <v>344.29</v>
      </c>
      <c r="D323" s="413"/>
      <c r="E323" s="413"/>
      <c r="F323" s="413">
        <v>15</v>
      </c>
      <c r="G323" s="413">
        <v>8.22</v>
      </c>
      <c r="H323" s="413">
        <v>560.5</v>
      </c>
      <c r="I323" s="413"/>
      <c r="J323" s="413"/>
      <c r="K323" s="413"/>
      <c r="L323" s="413"/>
      <c r="M323" s="413"/>
      <c r="N323" s="413"/>
      <c r="O323" s="413">
        <v>29.39</v>
      </c>
      <c r="P323" s="413"/>
      <c r="Q323" s="413">
        <v>138.68</v>
      </c>
    </row>
    <row r="324" spans="1:17">
      <c r="A324" s="97" t="s">
        <v>134</v>
      </c>
      <c r="B324" s="97">
        <v>2021</v>
      </c>
      <c r="C324" s="413">
        <v>129.74</v>
      </c>
      <c r="D324" s="413"/>
      <c r="E324" s="413">
        <v>4</v>
      </c>
      <c r="F324" s="413">
        <v>1.5</v>
      </c>
      <c r="G324" s="413">
        <v>4.8</v>
      </c>
      <c r="H324" s="413">
        <v>2.5</v>
      </c>
      <c r="I324" s="413"/>
      <c r="J324" s="413"/>
      <c r="K324" s="413"/>
      <c r="L324" s="413"/>
      <c r="M324" s="413"/>
      <c r="N324" s="413"/>
      <c r="O324" s="413">
        <v>13.01</v>
      </c>
      <c r="P324" s="413"/>
      <c r="Q324" s="413">
        <v>229.65</v>
      </c>
    </row>
    <row r="325" spans="1:17">
      <c r="A325" s="97" t="s">
        <v>98</v>
      </c>
      <c r="B325" s="97">
        <v>2008</v>
      </c>
      <c r="C325" s="97">
        <v>1</v>
      </c>
      <c r="H325" s="97">
        <v>266</v>
      </c>
      <c r="O325" s="97">
        <v>0</v>
      </c>
    </row>
    <row r="326" spans="1:17">
      <c r="A326" s="97" t="s">
        <v>98</v>
      </c>
      <c r="B326" s="97">
        <v>2009</v>
      </c>
      <c r="C326" s="97">
        <v>0.9</v>
      </c>
      <c r="H326" s="97">
        <v>132</v>
      </c>
      <c r="O326" s="97">
        <v>0</v>
      </c>
    </row>
    <row r="327" spans="1:17">
      <c r="A327" s="97" t="s">
        <v>98</v>
      </c>
      <c r="B327" s="97">
        <v>2010</v>
      </c>
      <c r="C327" s="97">
        <v>9.3</v>
      </c>
      <c r="H327" s="97">
        <v>260</v>
      </c>
      <c r="O327" s="97">
        <v>0</v>
      </c>
    </row>
    <row r="328" spans="1:17">
      <c r="A328" s="97" t="s">
        <v>98</v>
      </c>
      <c r="B328" s="97">
        <v>2011</v>
      </c>
      <c r="C328" s="97">
        <v>9.43</v>
      </c>
      <c r="G328" s="97">
        <v>1.2</v>
      </c>
      <c r="H328" s="97">
        <v>4</v>
      </c>
      <c r="J328" s="97">
        <v>122.3</v>
      </c>
      <c r="O328" s="97">
        <v>0</v>
      </c>
    </row>
    <row r="329" spans="1:17">
      <c r="A329" s="97" t="s">
        <v>98</v>
      </c>
      <c r="B329" s="97">
        <v>2012</v>
      </c>
      <c r="C329" s="413"/>
      <c r="D329" s="413"/>
      <c r="E329" s="413"/>
      <c r="F329" s="413"/>
      <c r="G329" s="413"/>
      <c r="H329" s="413">
        <v>42.3</v>
      </c>
      <c r="I329" s="413"/>
      <c r="J329" s="413"/>
      <c r="K329" s="413"/>
      <c r="L329" s="413"/>
      <c r="M329" s="413"/>
      <c r="N329" s="413"/>
      <c r="O329" s="413"/>
      <c r="P329" s="413"/>
      <c r="Q329" s="413"/>
    </row>
    <row r="330" spans="1:17">
      <c r="A330" s="97" t="s">
        <v>98</v>
      </c>
      <c r="B330" s="97">
        <v>2013</v>
      </c>
      <c r="C330" s="413">
        <v>4.8</v>
      </c>
      <c r="D330" s="413"/>
      <c r="E330" s="413"/>
      <c r="F330" s="413">
        <v>7.5</v>
      </c>
      <c r="G330" s="413">
        <v>3.6</v>
      </c>
      <c r="H330" s="413"/>
      <c r="I330" s="413"/>
      <c r="J330" s="413"/>
      <c r="K330" s="413"/>
      <c r="L330" s="413">
        <v>0.98</v>
      </c>
      <c r="M330" s="413"/>
      <c r="N330" s="413"/>
      <c r="O330" s="413"/>
      <c r="P330" s="413"/>
      <c r="Q330" s="413">
        <v>3.2</v>
      </c>
    </row>
    <row r="331" spans="1:17">
      <c r="A331" s="97" t="s">
        <v>98</v>
      </c>
      <c r="B331" s="97">
        <v>2014</v>
      </c>
      <c r="C331" s="413">
        <v>4.8</v>
      </c>
      <c r="D331" s="413"/>
      <c r="E331" s="413"/>
      <c r="F331" s="413">
        <v>4</v>
      </c>
      <c r="G331" s="413">
        <v>3.22</v>
      </c>
      <c r="H331" s="413"/>
      <c r="I331" s="413"/>
      <c r="J331" s="413"/>
      <c r="K331" s="413"/>
      <c r="L331" s="413"/>
      <c r="M331" s="413"/>
      <c r="N331" s="413"/>
      <c r="O331" s="413"/>
      <c r="P331" s="413"/>
      <c r="Q331" s="413">
        <v>5.9</v>
      </c>
    </row>
    <row r="332" spans="1:17">
      <c r="A332" s="97" t="s">
        <v>98</v>
      </c>
      <c r="B332" s="97">
        <v>2015</v>
      </c>
      <c r="C332" s="413">
        <v>24.57</v>
      </c>
      <c r="D332" s="413"/>
      <c r="E332" s="413"/>
      <c r="F332" s="413"/>
      <c r="G332" s="413">
        <v>0.6</v>
      </c>
      <c r="H332" s="413">
        <v>22.12</v>
      </c>
      <c r="I332" s="413"/>
      <c r="J332" s="413">
        <v>101.08</v>
      </c>
      <c r="K332" s="413"/>
      <c r="L332" s="413"/>
      <c r="M332" s="413"/>
      <c r="N332" s="413"/>
      <c r="O332" s="413"/>
      <c r="P332" s="413"/>
      <c r="Q332" s="413"/>
    </row>
    <row r="333" spans="1:17">
      <c r="A333" s="97" t="s">
        <v>98</v>
      </c>
      <c r="B333" s="97">
        <v>2016</v>
      </c>
      <c r="C333" s="413">
        <v>20.16</v>
      </c>
      <c r="D333" s="413"/>
      <c r="E333" s="413">
        <v>5.4</v>
      </c>
      <c r="F333" s="413"/>
      <c r="G333" s="413">
        <v>2.14</v>
      </c>
      <c r="H333" s="413"/>
      <c r="I333" s="413"/>
      <c r="J333" s="413">
        <v>3.08</v>
      </c>
      <c r="K333" s="413"/>
      <c r="L333" s="413"/>
      <c r="M333" s="413"/>
      <c r="N333" s="413"/>
      <c r="O333" s="413"/>
      <c r="P333" s="413"/>
      <c r="Q333" s="413">
        <v>14.68</v>
      </c>
    </row>
    <row r="334" spans="1:17">
      <c r="A334" s="97" t="s">
        <v>98</v>
      </c>
      <c r="B334" s="97">
        <v>2017</v>
      </c>
      <c r="C334" s="413"/>
      <c r="D334" s="413"/>
      <c r="E334" s="413"/>
      <c r="F334" s="413">
        <v>3.6</v>
      </c>
      <c r="G334" s="413"/>
      <c r="H334" s="413"/>
      <c r="I334" s="413"/>
      <c r="J334" s="413">
        <v>2.6</v>
      </c>
      <c r="K334" s="413"/>
      <c r="L334" s="413"/>
      <c r="M334" s="413"/>
      <c r="N334" s="413"/>
      <c r="O334" s="413"/>
      <c r="P334" s="413"/>
      <c r="Q334" s="413">
        <v>29.3</v>
      </c>
    </row>
    <row r="335" spans="1:17">
      <c r="A335" s="97" t="s">
        <v>98</v>
      </c>
      <c r="B335" s="97">
        <v>2018</v>
      </c>
      <c r="C335" s="413"/>
      <c r="D335" s="413"/>
      <c r="E335" s="413"/>
      <c r="F335" s="413"/>
      <c r="G335" s="413">
        <v>6.65</v>
      </c>
      <c r="H335" s="413">
        <v>1.2</v>
      </c>
      <c r="I335" s="413"/>
      <c r="J335" s="413">
        <v>88.14</v>
      </c>
      <c r="K335" s="413"/>
      <c r="L335" s="413"/>
      <c r="M335" s="413"/>
      <c r="N335" s="413"/>
      <c r="O335" s="413"/>
      <c r="P335" s="413"/>
      <c r="Q335" s="413">
        <v>32.17</v>
      </c>
    </row>
    <row r="336" spans="1:17">
      <c r="A336" s="97" t="s">
        <v>98</v>
      </c>
      <c r="B336" s="97">
        <v>2019</v>
      </c>
      <c r="C336" s="413">
        <v>11.2</v>
      </c>
      <c r="D336" s="413"/>
      <c r="E336" s="413"/>
      <c r="F336" s="413">
        <v>15</v>
      </c>
      <c r="G336" s="413">
        <v>0.21</v>
      </c>
      <c r="H336" s="413"/>
      <c r="I336" s="413"/>
      <c r="J336" s="413">
        <v>99.26</v>
      </c>
      <c r="K336" s="413"/>
      <c r="L336" s="413"/>
      <c r="M336" s="413"/>
      <c r="N336" s="413"/>
      <c r="O336" s="413"/>
      <c r="P336" s="413"/>
      <c r="Q336" s="413">
        <v>19.99</v>
      </c>
    </row>
    <row r="337" spans="1:17">
      <c r="A337" s="97" t="s">
        <v>98</v>
      </c>
      <c r="B337" s="97">
        <v>2020</v>
      </c>
      <c r="C337" s="413">
        <v>1.2</v>
      </c>
      <c r="D337" s="413"/>
      <c r="E337" s="413"/>
      <c r="F337" s="413"/>
      <c r="G337" s="413">
        <v>0.55</v>
      </c>
      <c r="H337" s="413"/>
      <c r="I337" s="413"/>
      <c r="J337" s="413"/>
      <c r="K337" s="413"/>
      <c r="L337" s="413"/>
      <c r="M337" s="413"/>
      <c r="N337" s="413"/>
      <c r="O337" s="413"/>
      <c r="P337" s="413"/>
      <c r="Q337" s="413">
        <v>28.06</v>
      </c>
    </row>
    <row r="338" spans="1:17">
      <c r="A338" s="97" t="s">
        <v>98</v>
      </c>
      <c r="B338" s="97">
        <v>2021</v>
      </c>
      <c r="C338" s="413">
        <v>25.19</v>
      </c>
      <c r="D338" s="413"/>
      <c r="E338" s="413"/>
      <c r="F338" s="413">
        <v>12</v>
      </c>
      <c r="G338" s="413">
        <v>0.96</v>
      </c>
      <c r="H338" s="413"/>
      <c r="I338" s="413"/>
      <c r="J338" s="413">
        <v>47.4</v>
      </c>
      <c r="K338" s="413"/>
      <c r="L338" s="413"/>
      <c r="M338" s="413"/>
      <c r="N338" s="413"/>
      <c r="O338" s="413"/>
      <c r="P338" s="413"/>
      <c r="Q338" s="413">
        <v>31.68</v>
      </c>
    </row>
    <row r="339" spans="1:17">
      <c r="A339" s="97" t="s">
        <v>126</v>
      </c>
      <c r="B339" s="97">
        <v>2008</v>
      </c>
      <c r="H339" s="97">
        <v>92</v>
      </c>
      <c r="O339" s="97">
        <v>200</v>
      </c>
    </row>
    <row r="340" spans="1:17">
      <c r="A340" s="97" t="s">
        <v>126</v>
      </c>
      <c r="B340" s="97">
        <v>2009</v>
      </c>
      <c r="G340" s="97">
        <v>1.3</v>
      </c>
      <c r="O340" s="97">
        <v>398.7</v>
      </c>
    </row>
    <row r="341" spans="1:17">
      <c r="A341" s="97" t="s">
        <v>126</v>
      </c>
      <c r="B341" s="97">
        <v>2010</v>
      </c>
      <c r="H341" s="97">
        <v>0</v>
      </c>
      <c r="O341" s="97">
        <v>396.66</v>
      </c>
    </row>
    <row r="342" spans="1:17">
      <c r="A342" s="97" t="s">
        <v>126</v>
      </c>
      <c r="B342" s="97">
        <v>2011</v>
      </c>
      <c r="C342" s="97">
        <v>1.6</v>
      </c>
      <c r="F342" s="97">
        <v>3.6</v>
      </c>
      <c r="G342" s="97">
        <v>5.5</v>
      </c>
      <c r="H342" s="97">
        <v>180</v>
      </c>
      <c r="O342" s="97">
        <v>206.05</v>
      </c>
    </row>
    <row r="343" spans="1:17">
      <c r="A343" s="97" t="s">
        <v>126</v>
      </c>
      <c r="B343" s="97">
        <v>2012</v>
      </c>
      <c r="C343" s="413"/>
      <c r="D343" s="413"/>
      <c r="E343" s="413"/>
      <c r="F343" s="413">
        <v>4.8</v>
      </c>
      <c r="G343" s="413">
        <v>0.18</v>
      </c>
      <c r="H343" s="413">
        <v>62.2</v>
      </c>
      <c r="I343" s="413"/>
      <c r="J343" s="413"/>
      <c r="K343" s="413"/>
      <c r="L343" s="413"/>
      <c r="M343" s="413"/>
      <c r="N343" s="413"/>
      <c r="O343" s="413">
        <v>729.5</v>
      </c>
      <c r="P343" s="413"/>
      <c r="Q343" s="413"/>
    </row>
    <row r="344" spans="1:17">
      <c r="A344" s="97" t="s">
        <v>126</v>
      </c>
      <c r="B344" s="97">
        <v>2013</v>
      </c>
      <c r="C344" s="413">
        <v>9.35</v>
      </c>
      <c r="D344" s="413"/>
      <c r="E344" s="413"/>
      <c r="F344" s="413">
        <v>1.2</v>
      </c>
      <c r="G344" s="413">
        <v>29.1</v>
      </c>
      <c r="H344" s="413">
        <v>60</v>
      </c>
      <c r="I344" s="413"/>
      <c r="J344" s="413"/>
      <c r="K344" s="413"/>
      <c r="L344" s="413"/>
      <c r="M344" s="413">
        <v>15</v>
      </c>
      <c r="N344" s="413"/>
      <c r="O344" s="413">
        <v>894.34</v>
      </c>
      <c r="P344" s="413"/>
      <c r="Q344" s="413">
        <v>3.32</v>
      </c>
    </row>
    <row r="345" spans="1:17">
      <c r="A345" s="97" t="s">
        <v>126</v>
      </c>
      <c r="B345" s="97">
        <v>2014</v>
      </c>
      <c r="C345" s="413">
        <v>32.55</v>
      </c>
      <c r="D345" s="413"/>
      <c r="E345" s="413"/>
      <c r="F345" s="413">
        <v>2.4</v>
      </c>
      <c r="G345" s="413">
        <v>10</v>
      </c>
      <c r="H345" s="413"/>
      <c r="I345" s="413"/>
      <c r="J345" s="413"/>
      <c r="K345" s="413"/>
      <c r="L345" s="413"/>
      <c r="M345" s="413"/>
      <c r="N345" s="413"/>
      <c r="O345" s="413">
        <v>739.3</v>
      </c>
      <c r="P345" s="413"/>
      <c r="Q345" s="413">
        <v>2</v>
      </c>
    </row>
    <row r="346" spans="1:17">
      <c r="A346" s="97" t="s">
        <v>126</v>
      </c>
      <c r="B346" s="97">
        <v>2015</v>
      </c>
      <c r="C346" s="413">
        <v>57.9</v>
      </c>
      <c r="D346" s="413"/>
      <c r="E346" s="413"/>
      <c r="F346" s="413"/>
      <c r="G346" s="413">
        <v>8.18</v>
      </c>
      <c r="H346" s="413">
        <v>70</v>
      </c>
      <c r="I346" s="413"/>
      <c r="J346" s="413"/>
      <c r="K346" s="413"/>
      <c r="L346" s="413"/>
      <c r="M346" s="413"/>
      <c r="N346" s="413"/>
      <c r="O346" s="413">
        <v>631.68</v>
      </c>
      <c r="P346" s="413"/>
      <c r="Q346" s="413">
        <v>28.51</v>
      </c>
    </row>
    <row r="347" spans="1:17">
      <c r="A347" s="97" t="s">
        <v>126</v>
      </c>
      <c r="B347" s="97">
        <v>2016</v>
      </c>
      <c r="C347" s="413">
        <v>67.55</v>
      </c>
      <c r="D347" s="413"/>
      <c r="E347" s="413">
        <v>0.3</v>
      </c>
      <c r="F347" s="413">
        <v>1.5</v>
      </c>
      <c r="G347" s="413">
        <v>25.33</v>
      </c>
      <c r="H347" s="413">
        <v>3</v>
      </c>
      <c r="I347" s="413"/>
      <c r="J347" s="413"/>
      <c r="K347" s="413"/>
      <c r="L347" s="413"/>
      <c r="M347" s="413"/>
      <c r="N347" s="413"/>
      <c r="O347" s="413">
        <v>308.2</v>
      </c>
      <c r="P347" s="413"/>
      <c r="Q347" s="413">
        <v>83.26</v>
      </c>
    </row>
    <row r="348" spans="1:17">
      <c r="A348" s="97" t="s">
        <v>126</v>
      </c>
      <c r="B348" s="97">
        <v>2017</v>
      </c>
      <c r="C348" s="413">
        <v>125.95</v>
      </c>
      <c r="D348" s="413"/>
      <c r="E348" s="413"/>
      <c r="F348" s="413">
        <v>14.28</v>
      </c>
      <c r="G348" s="413">
        <v>8.15</v>
      </c>
      <c r="H348" s="413"/>
      <c r="I348" s="413"/>
      <c r="J348" s="413">
        <v>0.15</v>
      </c>
      <c r="K348" s="413"/>
      <c r="L348" s="413"/>
      <c r="M348" s="413"/>
      <c r="N348" s="413"/>
      <c r="O348" s="413">
        <v>601.55</v>
      </c>
      <c r="P348" s="413"/>
      <c r="Q348" s="413">
        <v>30.31</v>
      </c>
    </row>
    <row r="349" spans="1:17">
      <c r="A349" s="97" t="s">
        <v>126</v>
      </c>
      <c r="B349" s="97">
        <v>2018</v>
      </c>
      <c r="C349" s="413">
        <v>46.57</v>
      </c>
      <c r="D349" s="413"/>
      <c r="E349" s="413">
        <v>3.6</v>
      </c>
      <c r="F349" s="413">
        <v>2.1</v>
      </c>
      <c r="G349" s="413">
        <v>5.99</v>
      </c>
      <c r="H349" s="413">
        <v>16.25</v>
      </c>
      <c r="I349" s="413"/>
      <c r="J349" s="413">
        <v>1.49</v>
      </c>
      <c r="K349" s="413"/>
      <c r="L349" s="413">
        <v>0.89</v>
      </c>
      <c r="M349" s="413"/>
      <c r="N349" s="413"/>
      <c r="O349" s="413">
        <v>154.75</v>
      </c>
      <c r="P349" s="413"/>
      <c r="Q349" s="413">
        <v>48.1</v>
      </c>
    </row>
    <row r="350" spans="1:17">
      <c r="A350" s="97" t="s">
        <v>126</v>
      </c>
      <c r="B350" s="97">
        <v>2019</v>
      </c>
      <c r="C350" s="413">
        <v>66.29</v>
      </c>
      <c r="D350" s="413"/>
      <c r="E350" s="413">
        <v>6</v>
      </c>
      <c r="F350" s="413">
        <v>13.89</v>
      </c>
      <c r="G350" s="413">
        <v>2.34</v>
      </c>
      <c r="H350" s="413">
        <v>3</v>
      </c>
      <c r="I350" s="413"/>
      <c r="J350" s="413"/>
      <c r="K350" s="413"/>
      <c r="L350" s="413"/>
      <c r="M350" s="413"/>
      <c r="N350" s="413"/>
      <c r="O350" s="413">
        <v>26.91</v>
      </c>
      <c r="P350" s="413"/>
      <c r="Q350" s="413">
        <v>6.96</v>
      </c>
    </row>
    <row r="351" spans="1:17">
      <c r="A351" s="97" t="s">
        <v>126</v>
      </c>
      <c r="B351" s="97">
        <v>2020</v>
      </c>
      <c r="C351" s="413">
        <v>100.37</v>
      </c>
      <c r="D351" s="413"/>
      <c r="E351" s="413">
        <v>3</v>
      </c>
      <c r="F351" s="413">
        <v>17.15</v>
      </c>
      <c r="G351" s="413">
        <v>12.71</v>
      </c>
      <c r="H351" s="413"/>
      <c r="I351" s="413"/>
      <c r="J351" s="413"/>
      <c r="K351" s="413">
        <v>2.5</v>
      </c>
      <c r="L351" s="413"/>
      <c r="M351" s="413"/>
      <c r="N351" s="413"/>
      <c r="O351" s="413">
        <v>412.59</v>
      </c>
      <c r="P351" s="413"/>
      <c r="Q351" s="413">
        <v>2.55</v>
      </c>
    </row>
    <row r="352" spans="1:17">
      <c r="A352" s="97" t="s">
        <v>126</v>
      </c>
      <c r="B352" s="97">
        <v>2021</v>
      </c>
      <c r="C352" s="413">
        <v>103.8</v>
      </c>
      <c r="D352" s="413"/>
      <c r="E352" s="413"/>
      <c r="F352" s="413">
        <v>34</v>
      </c>
      <c r="G352" s="413">
        <v>1.68</v>
      </c>
      <c r="H352" s="413">
        <v>200</v>
      </c>
      <c r="I352" s="413"/>
      <c r="J352" s="413">
        <v>0.75</v>
      </c>
      <c r="K352" s="413"/>
      <c r="L352" s="413"/>
      <c r="M352" s="413"/>
      <c r="N352" s="413"/>
      <c r="O352" s="413">
        <v>1014.57</v>
      </c>
      <c r="P352" s="413"/>
      <c r="Q352" s="413">
        <v>4.78</v>
      </c>
    </row>
    <row r="353" spans="1:17">
      <c r="A353" s="97" t="s">
        <v>84</v>
      </c>
      <c r="B353" s="97">
        <v>2008</v>
      </c>
      <c r="H353" s="97">
        <v>60</v>
      </c>
      <c r="O353" s="97">
        <v>0</v>
      </c>
    </row>
    <row r="354" spans="1:17">
      <c r="A354" s="97" t="s">
        <v>84</v>
      </c>
      <c r="B354" s="97">
        <v>2009</v>
      </c>
      <c r="H354" s="97">
        <v>266</v>
      </c>
      <c r="O354" s="97">
        <v>0</v>
      </c>
    </row>
    <row r="355" spans="1:17">
      <c r="A355" s="97" t="s">
        <v>84</v>
      </c>
      <c r="B355" s="97">
        <v>2010</v>
      </c>
      <c r="C355" s="97">
        <v>7.55</v>
      </c>
      <c r="H355" s="97">
        <v>90</v>
      </c>
      <c r="O355" s="97">
        <v>0</v>
      </c>
    </row>
    <row r="356" spans="1:17">
      <c r="A356" s="97" t="s">
        <v>84</v>
      </c>
      <c r="B356" s="97">
        <v>2011</v>
      </c>
      <c r="C356" s="97">
        <v>5.4</v>
      </c>
      <c r="H356" s="97">
        <v>60</v>
      </c>
      <c r="O356" s="97">
        <v>0</v>
      </c>
    </row>
    <row r="357" spans="1:17">
      <c r="A357" s="97" t="s">
        <v>84</v>
      </c>
      <c r="B357" s="97">
        <v>2012</v>
      </c>
      <c r="C357" s="413">
        <v>4.65</v>
      </c>
      <c r="D357" s="413"/>
      <c r="E357" s="413"/>
      <c r="F357" s="413"/>
      <c r="G357" s="413"/>
      <c r="H357" s="413">
        <v>26.5</v>
      </c>
      <c r="I357" s="413"/>
      <c r="J357" s="413"/>
      <c r="K357" s="413"/>
      <c r="L357" s="413"/>
      <c r="M357" s="413"/>
      <c r="N357" s="413"/>
      <c r="O357" s="413"/>
      <c r="P357" s="413"/>
      <c r="Q357" s="413"/>
    </row>
    <row r="358" spans="1:17">
      <c r="A358" s="97" t="s">
        <v>84</v>
      </c>
      <c r="B358" s="97">
        <v>2013</v>
      </c>
      <c r="C358" s="413">
        <v>3.3</v>
      </c>
      <c r="D358" s="413"/>
      <c r="E358" s="413"/>
      <c r="F358" s="413"/>
      <c r="G358" s="413"/>
      <c r="H358" s="413"/>
      <c r="I358" s="413"/>
      <c r="J358" s="413"/>
      <c r="K358" s="413"/>
      <c r="L358" s="413"/>
      <c r="M358" s="413"/>
      <c r="N358" s="413"/>
      <c r="O358" s="413"/>
      <c r="P358" s="413"/>
      <c r="Q358" s="413"/>
    </row>
    <row r="359" spans="1:17">
      <c r="A359" s="97" t="s">
        <v>84</v>
      </c>
      <c r="B359" s="97">
        <v>2014</v>
      </c>
      <c r="C359" s="413"/>
      <c r="D359" s="413"/>
      <c r="E359" s="413"/>
      <c r="F359" s="413"/>
      <c r="G359" s="413"/>
      <c r="H359" s="413">
        <v>70</v>
      </c>
      <c r="I359" s="413"/>
      <c r="J359" s="413">
        <v>86.3</v>
      </c>
      <c r="K359" s="413"/>
      <c r="L359" s="413"/>
      <c r="M359" s="413"/>
      <c r="N359" s="413"/>
      <c r="O359" s="413"/>
      <c r="P359" s="413"/>
      <c r="Q359" s="413">
        <v>2.03</v>
      </c>
    </row>
    <row r="360" spans="1:17">
      <c r="A360" s="97" t="s">
        <v>84</v>
      </c>
      <c r="B360" s="97">
        <v>2015</v>
      </c>
      <c r="C360" s="413"/>
      <c r="D360" s="413"/>
      <c r="E360" s="413">
        <v>0.6</v>
      </c>
      <c r="F360" s="413"/>
      <c r="G360" s="413">
        <v>1</v>
      </c>
      <c r="H360" s="413"/>
      <c r="I360" s="413"/>
      <c r="J360" s="413">
        <v>0.02</v>
      </c>
      <c r="K360" s="413"/>
      <c r="L360" s="413"/>
      <c r="M360" s="413"/>
      <c r="N360" s="413"/>
      <c r="O360" s="413"/>
      <c r="P360" s="413"/>
      <c r="Q360" s="413">
        <v>6</v>
      </c>
    </row>
    <row r="361" spans="1:17">
      <c r="A361" s="97" t="s">
        <v>84</v>
      </c>
      <c r="B361" s="97">
        <v>2016</v>
      </c>
      <c r="C361" s="413">
        <v>0</v>
      </c>
      <c r="D361" s="413"/>
      <c r="E361" s="413"/>
      <c r="F361" s="413">
        <v>1.2</v>
      </c>
      <c r="G361" s="413">
        <v>1.84</v>
      </c>
      <c r="H361" s="413"/>
      <c r="I361" s="413"/>
      <c r="J361" s="413">
        <v>92.37</v>
      </c>
      <c r="K361" s="413"/>
      <c r="L361" s="413"/>
      <c r="M361" s="413"/>
      <c r="N361" s="413"/>
      <c r="O361" s="413"/>
      <c r="P361" s="413"/>
      <c r="Q361" s="413">
        <v>47.53</v>
      </c>
    </row>
    <row r="362" spans="1:17">
      <c r="A362" s="97" t="s">
        <v>84</v>
      </c>
      <c r="B362" s="97">
        <v>2017</v>
      </c>
      <c r="C362" s="413">
        <v>10.5</v>
      </c>
      <c r="D362" s="413"/>
      <c r="E362" s="413"/>
      <c r="F362" s="413"/>
      <c r="G362" s="413"/>
      <c r="H362" s="413"/>
      <c r="I362" s="413"/>
      <c r="J362" s="413">
        <v>0.2</v>
      </c>
      <c r="K362" s="413"/>
      <c r="L362" s="413"/>
      <c r="M362" s="413"/>
      <c r="N362" s="413"/>
      <c r="O362" s="413"/>
      <c r="P362" s="413"/>
      <c r="Q362" s="413">
        <v>11.17</v>
      </c>
    </row>
    <row r="363" spans="1:17">
      <c r="A363" s="97" t="s">
        <v>84</v>
      </c>
      <c r="B363" s="97">
        <v>2018</v>
      </c>
      <c r="C363" s="413">
        <v>28.28</v>
      </c>
      <c r="D363" s="413"/>
      <c r="E363" s="413">
        <v>3.75</v>
      </c>
      <c r="F363" s="413"/>
      <c r="G363" s="413"/>
      <c r="H363" s="413">
        <v>200</v>
      </c>
      <c r="I363" s="413"/>
      <c r="J363" s="413">
        <v>25.17</v>
      </c>
      <c r="K363" s="413"/>
      <c r="L363" s="413"/>
      <c r="M363" s="413"/>
      <c r="N363" s="413"/>
      <c r="O363" s="413"/>
      <c r="P363" s="413"/>
      <c r="Q363" s="413">
        <v>61.44</v>
      </c>
    </row>
    <row r="364" spans="1:17">
      <c r="A364" s="97" t="s">
        <v>84</v>
      </c>
      <c r="B364" s="97">
        <v>2019</v>
      </c>
      <c r="C364" s="413">
        <v>12.95</v>
      </c>
      <c r="D364" s="413"/>
      <c r="E364" s="413"/>
      <c r="F364" s="413">
        <v>2</v>
      </c>
      <c r="G364" s="413"/>
      <c r="H364" s="413">
        <v>35</v>
      </c>
      <c r="I364" s="413"/>
      <c r="J364" s="413">
        <v>93</v>
      </c>
      <c r="K364" s="413"/>
      <c r="L364" s="413"/>
      <c r="M364" s="413"/>
      <c r="N364" s="413"/>
      <c r="O364" s="413"/>
      <c r="P364" s="413"/>
      <c r="Q364" s="413">
        <v>22.54</v>
      </c>
    </row>
    <row r="365" spans="1:17">
      <c r="A365" s="97" t="s">
        <v>84</v>
      </c>
      <c r="B365" s="97">
        <v>2020</v>
      </c>
      <c r="C365" s="413">
        <v>31.81</v>
      </c>
      <c r="D365" s="413"/>
      <c r="E365" s="413"/>
      <c r="F365" s="413">
        <v>17.1</v>
      </c>
      <c r="G365" s="413">
        <v>7.2</v>
      </c>
      <c r="H365" s="413">
        <v>5</v>
      </c>
      <c r="I365" s="413"/>
      <c r="J365" s="413">
        <v>65</v>
      </c>
      <c r="K365" s="413"/>
      <c r="L365" s="413"/>
      <c r="M365" s="413"/>
      <c r="N365" s="413"/>
      <c r="O365" s="413"/>
      <c r="P365" s="413"/>
      <c r="Q365" s="413">
        <v>20.81</v>
      </c>
    </row>
    <row r="366" spans="1:17">
      <c r="A366" s="97" t="s">
        <v>84</v>
      </c>
      <c r="B366" s="97">
        <v>2021</v>
      </c>
      <c r="C366" s="413">
        <v>45.95</v>
      </c>
      <c r="D366" s="413"/>
      <c r="E366" s="413"/>
      <c r="F366" s="413">
        <v>10.6</v>
      </c>
      <c r="G366" s="413">
        <v>16.1</v>
      </c>
      <c r="H366" s="413">
        <v>39</v>
      </c>
      <c r="I366" s="413"/>
      <c r="J366" s="413">
        <v>0.04</v>
      </c>
      <c r="K366" s="413"/>
      <c r="L366" s="413"/>
      <c r="M366" s="413"/>
      <c r="N366" s="413"/>
      <c r="O366" s="413"/>
      <c r="P366" s="413"/>
      <c r="Q366" s="413">
        <v>12.98</v>
      </c>
    </row>
    <row r="367" spans="1:17">
      <c r="A367" s="97" t="s">
        <v>132</v>
      </c>
      <c r="B367" s="97">
        <v>2008</v>
      </c>
      <c r="M367" s="97">
        <v>7</v>
      </c>
      <c r="O367" s="97">
        <v>3</v>
      </c>
    </row>
    <row r="368" spans="1:17">
      <c r="A368" s="97" t="s">
        <v>132</v>
      </c>
      <c r="B368" s="97">
        <v>2009</v>
      </c>
      <c r="O368" s="97">
        <v>0</v>
      </c>
    </row>
    <row r="369" spans="1:17">
      <c r="A369" s="97" t="s">
        <v>132</v>
      </c>
      <c r="B369" s="97">
        <v>2010</v>
      </c>
      <c r="H369" s="97">
        <v>20.88</v>
      </c>
      <c r="O369" s="97">
        <v>0</v>
      </c>
    </row>
    <row r="370" spans="1:17">
      <c r="A370" s="97" t="s">
        <v>132</v>
      </c>
      <c r="B370" s="97">
        <v>2011</v>
      </c>
      <c r="O370" s="97">
        <v>10.2</v>
      </c>
    </row>
    <row r="371" spans="1:17">
      <c r="A371" s="97" t="s">
        <v>132</v>
      </c>
      <c r="B371" s="97">
        <v>2012</v>
      </c>
      <c r="C371" s="413"/>
      <c r="D371" s="413"/>
      <c r="E371" s="413"/>
      <c r="F371" s="413"/>
      <c r="G371" s="413"/>
      <c r="H371" s="413"/>
      <c r="I371" s="413"/>
      <c r="J371" s="413"/>
      <c r="K371" s="413"/>
      <c r="L371" s="413"/>
      <c r="M371" s="413"/>
      <c r="N371" s="413"/>
      <c r="O371" s="413"/>
      <c r="P371" s="413"/>
      <c r="Q371" s="413">
        <v>3.5</v>
      </c>
    </row>
    <row r="372" spans="1:17">
      <c r="A372" s="97" t="s">
        <v>132</v>
      </c>
      <c r="B372" s="97">
        <v>2013</v>
      </c>
      <c r="C372" s="413">
        <v>0.75</v>
      </c>
      <c r="D372" s="413"/>
      <c r="E372" s="413"/>
      <c r="F372" s="413"/>
      <c r="G372" s="413"/>
      <c r="H372" s="413"/>
      <c r="I372" s="413"/>
      <c r="J372" s="413"/>
      <c r="K372" s="413"/>
      <c r="L372" s="413"/>
      <c r="M372" s="413"/>
      <c r="N372" s="413"/>
      <c r="O372" s="413"/>
      <c r="P372" s="413"/>
      <c r="Q372" s="413">
        <v>0.5</v>
      </c>
    </row>
    <row r="373" spans="1:17">
      <c r="A373" s="97" t="s">
        <v>132</v>
      </c>
      <c r="B373" s="97">
        <v>2014</v>
      </c>
      <c r="C373" s="413"/>
      <c r="D373" s="413"/>
      <c r="E373" s="413"/>
      <c r="F373" s="413"/>
      <c r="G373" s="413"/>
      <c r="H373" s="413"/>
      <c r="I373" s="413"/>
      <c r="J373" s="413"/>
      <c r="K373" s="413"/>
      <c r="L373" s="413"/>
      <c r="M373" s="413"/>
      <c r="N373" s="413"/>
      <c r="O373" s="413">
        <v>17</v>
      </c>
      <c r="P373" s="413"/>
      <c r="Q373" s="413"/>
    </row>
    <row r="374" spans="1:17">
      <c r="A374" s="97" t="s">
        <v>132</v>
      </c>
      <c r="B374" s="97">
        <v>2015</v>
      </c>
      <c r="C374" s="413"/>
      <c r="D374" s="413"/>
      <c r="E374" s="413"/>
      <c r="F374" s="413"/>
      <c r="G374" s="413"/>
      <c r="H374" s="413"/>
      <c r="I374" s="413"/>
      <c r="J374" s="413"/>
      <c r="K374" s="413"/>
      <c r="L374" s="413"/>
      <c r="M374" s="413"/>
      <c r="N374" s="413"/>
      <c r="O374" s="413">
        <v>61.43</v>
      </c>
      <c r="P374" s="413"/>
      <c r="Q374" s="413">
        <v>6</v>
      </c>
    </row>
    <row r="375" spans="1:17">
      <c r="A375" s="97" t="s">
        <v>132</v>
      </c>
      <c r="B375" s="97">
        <v>2016</v>
      </c>
      <c r="C375" s="413"/>
      <c r="D375" s="413"/>
      <c r="E375" s="413"/>
      <c r="F375" s="413"/>
      <c r="G375" s="413">
        <v>1.9</v>
      </c>
      <c r="H375" s="413">
        <v>1.09</v>
      </c>
      <c r="I375" s="413"/>
      <c r="J375" s="413"/>
      <c r="K375" s="413"/>
      <c r="L375" s="413"/>
      <c r="M375" s="413"/>
      <c r="N375" s="413"/>
      <c r="O375" s="413">
        <v>41.33</v>
      </c>
      <c r="P375" s="413"/>
      <c r="Q375" s="413">
        <v>15.5</v>
      </c>
    </row>
    <row r="376" spans="1:17">
      <c r="A376" s="97" t="s">
        <v>132</v>
      </c>
      <c r="B376" s="97">
        <v>2017</v>
      </c>
      <c r="C376" s="413"/>
      <c r="D376" s="413"/>
      <c r="E376" s="413"/>
      <c r="F376" s="413"/>
      <c r="G376" s="413"/>
      <c r="H376" s="413"/>
      <c r="I376" s="413"/>
      <c r="J376" s="413"/>
      <c r="K376" s="413"/>
      <c r="L376" s="413"/>
      <c r="M376" s="413"/>
      <c r="N376" s="413"/>
      <c r="O376" s="413">
        <v>1.9</v>
      </c>
      <c r="P376" s="413"/>
      <c r="Q376" s="413">
        <v>46.5</v>
      </c>
    </row>
    <row r="377" spans="1:17">
      <c r="A377" s="97" t="s">
        <v>132</v>
      </c>
      <c r="B377" s="97">
        <v>2018</v>
      </c>
      <c r="C377" s="413"/>
      <c r="D377" s="413"/>
      <c r="E377" s="413"/>
      <c r="F377" s="413"/>
      <c r="G377" s="413"/>
      <c r="H377" s="413"/>
      <c r="I377" s="413"/>
      <c r="J377" s="413"/>
      <c r="K377" s="413"/>
      <c r="L377" s="413"/>
      <c r="M377" s="413"/>
      <c r="N377" s="413"/>
      <c r="O377" s="413">
        <v>1.05</v>
      </c>
      <c r="P377" s="413"/>
      <c r="Q377" s="413">
        <v>12</v>
      </c>
    </row>
    <row r="378" spans="1:17">
      <c r="A378" s="97" t="s">
        <v>132</v>
      </c>
      <c r="B378" s="97">
        <v>2019</v>
      </c>
      <c r="C378" s="413"/>
      <c r="D378" s="413"/>
      <c r="E378" s="413"/>
      <c r="F378" s="413"/>
      <c r="G378" s="413"/>
      <c r="H378" s="413"/>
      <c r="I378" s="413"/>
      <c r="J378" s="413"/>
      <c r="K378" s="413"/>
      <c r="L378" s="413"/>
      <c r="M378" s="413"/>
      <c r="N378" s="413"/>
      <c r="O378" s="413">
        <v>13.74</v>
      </c>
      <c r="P378" s="413"/>
      <c r="Q378" s="413">
        <v>12</v>
      </c>
    </row>
    <row r="379" spans="1:17">
      <c r="A379" s="97" t="s">
        <v>132</v>
      </c>
      <c r="B379" s="97">
        <v>2020</v>
      </c>
      <c r="C379" s="413"/>
      <c r="D379" s="413"/>
      <c r="E379" s="413"/>
      <c r="F379" s="413"/>
      <c r="G379" s="413"/>
      <c r="H379" s="413"/>
      <c r="I379" s="413"/>
      <c r="J379" s="413"/>
      <c r="K379" s="413"/>
      <c r="L379" s="413"/>
      <c r="M379" s="413"/>
      <c r="N379" s="413">
        <v>0.5</v>
      </c>
      <c r="O379" s="413">
        <v>38.83</v>
      </c>
      <c r="P379" s="413"/>
      <c r="Q379" s="413">
        <v>27.17</v>
      </c>
    </row>
    <row r="380" spans="1:17">
      <c r="A380" s="97" t="s">
        <v>132</v>
      </c>
      <c r="B380" s="97">
        <v>2021</v>
      </c>
      <c r="C380" s="413">
        <v>2.2</v>
      </c>
      <c r="D380" s="413"/>
      <c r="E380" s="413"/>
      <c r="F380" s="413"/>
      <c r="G380" s="413"/>
      <c r="H380" s="413"/>
      <c r="I380" s="413"/>
      <c r="J380" s="413"/>
      <c r="K380" s="413"/>
      <c r="L380" s="413"/>
      <c r="M380" s="413"/>
      <c r="N380" s="413"/>
      <c r="O380" s="413">
        <v>80.91</v>
      </c>
      <c r="P380" s="413"/>
      <c r="Q380" s="413">
        <v>2.43</v>
      </c>
    </row>
    <row r="381" spans="1:17">
      <c r="A381" s="97" t="s">
        <v>142</v>
      </c>
      <c r="B381" s="97">
        <v>2008</v>
      </c>
      <c r="C381" s="97">
        <v>17</v>
      </c>
      <c r="H381" s="97">
        <v>174</v>
      </c>
      <c r="O381" s="97">
        <v>23</v>
      </c>
    </row>
    <row r="382" spans="1:17">
      <c r="A382" s="97" t="s">
        <v>142</v>
      </c>
      <c r="B382" s="97">
        <v>2009</v>
      </c>
      <c r="C382" s="97">
        <v>37.2</v>
      </c>
      <c r="G382" s="97">
        <v>3</v>
      </c>
      <c r="H382" s="97">
        <v>120.5</v>
      </c>
      <c r="J382" s="97">
        <v>0.34</v>
      </c>
      <c r="O382" s="97">
        <v>11.27</v>
      </c>
    </row>
    <row r="383" spans="1:17">
      <c r="A383" s="97" t="s">
        <v>142</v>
      </c>
      <c r="B383" s="97">
        <v>2010</v>
      </c>
      <c r="C383" s="97">
        <v>32.62</v>
      </c>
      <c r="G383" s="97">
        <v>3.1</v>
      </c>
      <c r="H383" s="97">
        <v>79.5</v>
      </c>
      <c r="M383" s="97">
        <v>2.5</v>
      </c>
      <c r="O383" s="97">
        <v>54.73</v>
      </c>
    </row>
    <row r="384" spans="1:17">
      <c r="A384" s="97" t="s">
        <v>142</v>
      </c>
      <c r="B384" s="97">
        <v>2011</v>
      </c>
      <c r="C384" s="97">
        <v>44.55</v>
      </c>
      <c r="H384" s="97">
        <v>422</v>
      </c>
      <c r="I384" s="97">
        <v>60</v>
      </c>
      <c r="O384" s="97">
        <v>35.93</v>
      </c>
    </row>
    <row r="385" spans="1:17">
      <c r="A385" s="97" t="s">
        <v>142</v>
      </c>
      <c r="B385" s="97">
        <v>2012</v>
      </c>
      <c r="C385" s="413">
        <v>79.2</v>
      </c>
      <c r="D385" s="413"/>
      <c r="E385" s="413"/>
      <c r="F385" s="413"/>
      <c r="G385" s="413"/>
      <c r="H385" s="413">
        <v>433.4</v>
      </c>
      <c r="I385" s="413"/>
      <c r="J385" s="413"/>
      <c r="K385" s="413"/>
      <c r="L385" s="413"/>
      <c r="M385" s="413"/>
      <c r="N385" s="413"/>
      <c r="O385" s="413">
        <v>73.03</v>
      </c>
      <c r="P385" s="413"/>
      <c r="Q385" s="413">
        <v>14.1</v>
      </c>
    </row>
    <row r="386" spans="1:17">
      <c r="A386" s="97" t="s">
        <v>142</v>
      </c>
      <c r="B386" s="97">
        <v>2013</v>
      </c>
      <c r="C386" s="413">
        <v>273.4</v>
      </c>
      <c r="D386" s="413"/>
      <c r="E386" s="413">
        <v>5.5</v>
      </c>
      <c r="F386" s="413"/>
      <c r="G386" s="413"/>
      <c r="H386" s="413">
        <v>449</v>
      </c>
      <c r="I386" s="413"/>
      <c r="J386" s="413"/>
      <c r="K386" s="413"/>
      <c r="L386" s="413"/>
      <c r="M386" s="413"/>
      <c r="N386" s="413"/>
      <c r="O386" s="413">
        <v>105.75</v>
      </c>
      <c r="P386" s="413"/>
      <c r="Q386" s="413">
        <v>277.23</v>
      </c>
    </row>
    <row r="387" spans="1:17">
      <c r="A387" s="97" t="s">
        <v>142</v>
      </c>
      <c r="B387" s="97">
        <v>2014</v>
      </c>
      <c r="C387" s="413">
        <v>276.35</v>
      </c>
      <c r="D387" s="413"/>
      <c r="E387" s="413">
        <v>13.5</v>
      </c>
      <c r="F387" s="413"/>
      <c r="G387" s="413"/>
      <c r="H387" s="413">
        <v>581</v>
      </c>
      <c r="I387" s="413"/>
      <c r="J387" s="413"/>
      <c r="K387" s="413"/>
      <c r="L387" s="413"/>
      <c r="M387" s="413"/>
      <c r="N387" s="413"/>
      <c r="O387" s="413">
        <v>64.1</v>
      </c>
      <c r="P387" s="413"/>
      <c r="Q387" s="413">
        <v>68.6</v>
      </c>
    </row>
    <row r="388" spans="1:17">
      <c r="A388" s="97" t="s">
        <v>142</v>
      </c>
      <c r="B388" s="97">
        <v>2015</v>
      </c>
      <c r="C388" s="413">
        <v>740.75</v>
      </c>
      <c r="D388" s="413"/>
      <c r="E388" s="413"/>
      <c r="F388" s="413"/>
      <c r="G388" s="413">
        <v>71.7</v>
      </c>
      <c r="H388" s="413">
        <v>477</v>
      </c>
      <c r="I388" s="413"/>
      <c r="J388" s="413"/>
      <c r="K388" s="413"/>
      <c r="L388" s="413"/>
      <c r="M388" s="413"/>
      <c r="N388" s="413"/>
      <c r="O388" s="413">
        <v>37.34</v>
      </c>
      <c r="P388" s="413"/>
      <c r="Q388" s="413">
        <v>208.6</v>
      </c>
    </row>
    <row r="389" spans="1:17">
      <c r="A389" s="97" t="s">
        <v>142</v>
      </c>
      <c r="B389" s="97">
        <v>2016</v>
      </c>
      <c r="C389" s="413">
        <v>262.4</v>
      </c>
      <c r="D389" s="413"/>
      <c r="E389" s="413">
        <v>7.2</v>
      </c>
      <c r="F389" s="413"/>
      <c r="G389" s="413">
        <v>74.91</v>
      </c>
      <c r="H389" s="413">
        <v>281.5</v>
      </c>
      <c r="I389" s="413"/>
      <c r="J389" s="413">
        <v>30.54</v>
      </c>
      <c r="K389" s="413"/>
      <c r="L389" s="413"/>
      <c r="M389" s="413"/>
      <c r="N389" s="413"/>
      <c r="O389" s="413">
        <v>98.01</v>
      </c>
      <c r="P389" s="413"/>
      <c r="Q389" s="413">
        <v>330.07</v>
      </c>
    </row>
    <row r="390" spans="1:17">
      <c r="A390" s="97" t="s">
        <v>142</v>
      </c>
      <c r="B390" s="97">
        <v>2017</v>
      </c>
      <c r="C390" s="413">
        <v>29.9</v>
      </c>
      <c r="D390" s="413"/>
      <c r="E390" s="413"/>
      <c r="F390" s="413"/>
      <c r="G390" s="413">
        <v>3</v>
      </c>
      <c r="H390" s="413">
        <v>446.5</v>
      </c>
      <c r="I390" s="413"/>
      <c r="J390" s="413">
        <v>12.3</v>
      </c>
      <c r="K390" s="413"/>
      <c r="L390" s="413"/>
      <c r="M390" s="413"/>
      <c r="N390" s="413"/>
      <c r="O390" s="413">
        <v>47.12</v>
      </c>
      <c r="P390" s="413"/>
      <c r="Q390" s="413">
        <v>20.87</v>
      </c>
    </row>
    <row r="391" spans="1:17">
      <c r="A391" s="97" t="s">
        <v>142</v>
      </c>
      <c r="B391" s="97">
        <v>2018</v>
      </c>
      <c r="C391" s="413">
        <v>74.25</v>
      </c>
      <c r="D391" s="413"/>
      <c r="E391" s="413"/>
      <c r="F391" s="413"/>
      <c r="G391" s="413">
        <v>5.01</v>
      </c>
      <c r="H391" s="413">
        <v>208</v>
      </c>
      <c r="I391" s="413"/>
      <c r="J391" s="413">
        <v>1.18</v>
      </c>
      <c r="K391" s="413"/>
      <c r="L391" s="413"/>
      <c r="M391" s="413"/>
      <c r="N391" s="413"/>
      <c r="O391" s="413">
        <v>9.64</v>
      </c>
      <c r="P391" s="413"/>
      <c r="Q391" s="413">
        <v>87.22</v>
      </c>
    </row>
    <row r="392" spans="1:17">
      <c r="A392" s="97" t="s">
        <v>142</v>
      </c>
      <c r="B392" s="97">
        <v>2019</v>
      </c>
      <c r="C392" s="413">
        <v>64.95</v>
      </c>
      <c r="D392" s="413"/>
      <c r="E392" s="413">
        <v>1.5</v>
      </c>
      <c r="F392" s="413">
        <v>3.6</v>
      </c>
      <c r="G392" s="413">
        <v>6.8</v>
      </c>
      <c r="H392" s="413">
        <v>285.78</v>
      </c>
      <c r="I392" s="413"/>
      <c r="J392" s="413"/>
      <c r="K392" s="413"/>
      <c r="L392" s="413"/>
      <c r="M392" s="413"/>
      <c r="N392" s="413"/>
      <c r="O392" s="413">
        <v>10.4</v>
      </c>
      <c r="P392" s="413"/>
      <c r="Q392" s="413">
        <v>96.36</v>
      </c>
    </row>
    <row r="393" spans="1:17">
      <c r="A393" s="97" t="s">
        <v>142</v>
      </c>
      <c r="B393" s="97">
        <v>2020</v>
      </c>
      <c r="C393" s="413">
        <v>399.04</v>
      </c>
      <c r="D393" s="413"/>
      <c r="E393" s="413"/>
      <c r="F393" s="413">
        <v>1.2</v>
      </c>
      <c r="G393" s="413">
        <v>21.45</v>
      </c>
      <c r="H393" s="413">
        <v>374</v>
      </c>
      <c r="I393" s="413"/>
      <c r="J393" s="413">
        <v>6</v>
      </c>
      <c r="K393" s="413"/>
      <c r="L393" s="413"/>
      <c r="M393" s="413"/>
      <c r="N393" s="413">
        <v>10.7</v>
      </c>
      <c r="O393" s="413">
        <v>69.65</v>
      </c>
      <c r="P393" s="413"/>
      <c r="Q393" s="413">
        <v>180.25</v>
      </c>
    </row>
    <row r="394" spans="1:17">
      <c r="A394" s="97" t="s">
        <v>142</v>
      </c>
      <c r="B394" s="97">
        <v>2021</v>
      </c>
      <c r="C394" s="413">
        <v>68.65</v>
      </c>
      <c r="D394" s="413"/>
      <c r="E394" s="413">
        <v>3</v>
      </c>
      <c r="F394" s="413">
        <v>8.6</v>
      </c>
      <c r="G394" s="413">
        <v>3.45</v>
      </c>
      <c r="H394" s="413">
        <v>177.8</v>
      </c>
      <c r="I394" s="413"/>
      <c r="J394" s="413">
        <v>35.1</v>
      </c>
      <c r="K394" s="413"/>
      <c r="L394" s="413"/>
      <c r="M394" s="413"/>
      <c r="N394" s="413">
        <v>0.3</v>
      </c>
      <c r="O394" s="413">
        <v>152.88</v>
      </c>
      <c r="P394" s="413"/>
      <c r="Q394" s="413">
        <v>49.97</v>
      </c>
    </row>
    <row r="395" spans="1:17">
      <c r="A395" s="97" t="s">
        <v>130</v>
      </c>
      <c r="B395" s="97">
        <v>2008</v>
      </c>
      <c r="C395" s="97">
        <v>8</v>
      </c>
      <c r="O395" s="97">
        <v>306</v>
      </c>
    </row>
    <row r="396" spans="1:17">
      <c r="A396" s="97" t="s">
        <v>130</v>
      </c>
      <c r="B396" s="97">
        <v>2009</v>
      </c>
      <c r="C396" s="97">
        <v>4.95</v>
      </c>
      <c r="H396" s="97">
        <v>60</v>
      </c>
      <c r="L396" s="97">
        <v>0.05</v>
      </c>
      <c r="O396" s="97">
        <v>430.33</v>
      </c>
    </row>
    <row r="397" spans="1:17">
      <c r="A397" s="97" t="s">
        <v>130</v>
      </c>
      <c r="B397" s="97">
        <v>2010</v>
      </c>
      <c r="C397" s="97">
        <v>21.23</v>
      </c>
      <c r="H397" s="97">
        <v>60</v>
      </c>
      <c r="O397" s="97">
        <v>363</v>
      </c>
    </row>
    <row r="398" spans="1:17">
      <c r="A398" s="97" t="s">
        <v>130</v>
      </c>
      <c r="B398" s="97">
        <v>2011</v>
      </c>
      <c r="C398" s="97">
        <v>39.98</v>
      </c>
      <c r="O398" s="97">
        <v>353.36</v>
      </c>
    </row>
    <row r="399" spans="1:17">
      <c r="A399" s="97" t="s">
        <v>130</v>
      </c>
      <c r="B399" s="97">
        <v>2012</v>
      </c>
      <c r="C399" s="413">
        <v>129.83</v>
      </c>
      <c r="D399" s="413"/>
      <c r="E399" s="413"/>
      <c r="F399" s="413"/>
      <c r="G399" s="413"/>
      <c r="H399" s="413">
        <v>180</v>
      </c>
      <c r="I399" s="413"/>
      <c r="J399" s="413"/>
      <c r="K399" s="413"/>
      <c r="L399" s="413"/>
      <c r="M399" s="413"/>
      <c r="N399" s="413"/>
      <c r="O399" s="413">
        <v>396.8</v>
      </c>
      <c r="P399" s="413"/>
      <c r="Q399" s="413">
        <v>1</v>
      </c>
    </row>
    <row r="400" spans="1:17">
      <c r="A400" s="97" t="s">
        <v>130</v>
      </c>
      <c r="B400" s="97">
        <v>2013</v>
      </c>
      <c r="C400" s="413">
        <v>64.05</v>
      </c>
      <c r="D400" s="413"/>
      <c r="E400" s="413"/>
      <c r="F400" s="413">
        <v>1.2</v>
      </c>
      <c r="G400" s="413"/>
      <c r="H400" s="413"/>
      <c r="I400" s="413"/>
      <c r="J400" s="413"/>
      <c r="K400" s="413"/>
      <c r="L400" s="413"/>
      <c r="M400" s="413"/>
      <c r="N400" s="413"/>
      <c r="O400" s="413">
        <v>1628.68</v>
      </c>
      <c r="P400" s="413"/>
      <c r="Q400" s="413">
        <v>11.32</v>
      </c>
    </row>
    <row r="401" spans="1:17">
      <c r="A401" s="97" t="s">
        <v>130</v>
      </c>
      <c r="B401" s="97">
        <v>2014</v>
      </c>
      <c r="C401" s="413">
        <v>130.25</v>
      </c>
      <c r="D401" s="413"/>
      <c r="E401" s="413"/>
      <c r="F401" s="413"/>
      <c r="G401" s="413"/>
      <c r="H401" s="413"/>
      <c r="I401" s="413"/>
      <c r="J401" s="413"/>
      <c r="K401" s="413"/>
      <c r="L401" s="413"/>
      <c r="M401" s="413"/>
      <c r="N401" s="413"/>
      <c r="O401" s="413">
        <v>946.16</v>
      </c>
      <c r="P401" s="413"/>
      <c r="Q401" s="413">
        <v>5.27</v>
      </c>
    </row>
    <row r="402" spans="1:17">
      <c r="A402" s="97" t="s">
        <v>130</v>
      </c>
      <c r="B402" s="97">
        <v>2015</v>
      </c>
      <c r="C402" s="413">
        <v>225.11</v>
      </c>
      <c r="D402" s="413"/>
      <c r="E402" s="413"/>
      <c r="F402" s="413"/>
      <c r="G402" s="413"/>
      <c r="H402" s="413"/>
      <c r="I402" s="413"/>
      <c r="J402" s="413"/>
      <c r="K402" s="413"/>
      <c r="L402" s="413"/>
      <c r="M402" s="413"/>
      <c r="N402" s="413"/>
      <c r="O402" s="413">
        <v>267.6</v>
      </c>
      <c r="P402" s="413"/>
      <c r="Q402" s="413">
        <v>21.81</v>
      </c>
    </row>
    <row r="403" spans="1:17">
      <c r="A403" s="97" t="s">
        <v>130</v>
      </c>
      <c r="B403" s="97">
        <v>2016</v>
      </c>
      <c r="C403" s="413">
        <v>97.07</v>
      </c>
      <c r="D403" s="413"/>
      <c r="E403" s="413"/>
      <c r="F403" s="413"/>
      <c r="G403" s="413"/>
      <c r="H403" s="413"/>
      <c r="I403" s="413"/>
      <c r="J403" s="413"/>
      <c r="K403" s="413"/>
      <c r="L403" s="413"/>
      <c r="M403" s="413"/>
      <c r="N403" s="413"/>
      <c r="O403" s="413">
        <v>180</v>
      </c>
      <c r="P403" s="413"/>
      <c r="Q403" s="413">
        <v>12</v>
      </c>
    </row>
    <row r="404" spans="1:17">
      <c r="A404" s="97" t="s">
        <v>130</v>
      </c>
      <c r="B404" s="97">
        <v>2017</v>
      </c>
      <c r="C404" s="413">
        <v>52.8</v>
      </c>
      <c r="D404" s="413"/>
      <c r="E404" s="413"/>
      <c r="F404" s="413"/>
      <c r="G404" s="413"/>
      <c r="H404" s="413"/>
      <c r="I404" s="413"/>
      <c r="J404" s="413"/>
      <c r="K404" s="413"/>
      <c r="L404" s="413"/>
      <c r="M404" s="413"/>
      <c r="N404" s="413"/>
      <c r="O404" s="413">
        <v>115.2</v>
      </c>
      <c r="P404" s="413"/>
      <c r="Q404" s="413">
        <v>5.7</v>
      </c>
    </row>
    <row r="405" spans="1:17">
      <c r="A405" s="97" t="s">
        <v>130</v>
      </c>
      <c r="B405" s="97">
        <v>2018</v>
      </c>
      <c r="C405" s="413">
        <v>0.4</v>
      </c>
      <c r="D405" s="413"/>
      <c r="E405" s="413"/>
      <c r="F405" s="413"/>
      <c r="G405" s="413"/>
      <c r="H405" s="413"/>
      <c r="I405" s="413"/>
      <c r="J405" s="413"/>
      <c r="K405" s="413"/>
      <c r="L405" s="413"/>
      <c r="M405" s="413"/>
      <c r="N405" s="413"/>
      <c r="O405" s="413">
        <v>392.25</v>
      </c>
      <c r="P405" s="413"/>
      <c r="Q405" s="413">
        <v>0.65</v>
      </c>
    </row>
    <row r="406" spans="1:17">
      <c r="A406" s="97" t="s">
        <v>130</v>
      </c>
      <c r="B406" s="97">
        <v>2019</v>
      </c>
      <c r="C406" s="413">
        <v>7.35</v>
      </c>
      <c r="D406" s="413"/>
      <c r="E406" s="413"/>
      <c r="F406" s="413"/>
      <c r="G406" s="413"/>
      <c r="H406" s="413"/>
      <c r="I406" s="413"/>
      <c r="J406" s="413"/>
      <c r="K406" s="413"/>
      <c r="L406" s="413"/>
      <c r="M406" s="413"/>
      <c r="N406" s="413"/>
      <c r="O406" s="413">
        <v>92.25</v>
      </c>
      <c r="P406" s="413"/>
      <c r="Q406" s="413">
        <v>33</v>
      </c>
    </row>
    <row r="407" spans="1:17">
      <c r="A407" s="97" t="s">
        <v>130</v>
      </c>
      <c r="B407" s="97">
        <v>2020</v>
      </c>
      <c r="C407" s="413">
        <v>25.65</v>
      </c>
      <c r="D407" s="413"/>
      <c r="E407" s="413"/>
      <c r="F407" s="413">
        <v>5</v>
      </c>
      <c r="G407" s="413"/>
      <c r="H407" s="413"/>
      <c r="I407" s="413"/>
      <c r="J407" s="413"/>
      <c r="K407" s="413"/>
      <c r="L407" s="413"/>
      <c r="M407" s="413"/>
      <c r="N407" s="413"/>
      <c r="O407" s="413">
        <v>340</v>
      </c>
      <c r="P407" s="413"/>
      <c r="Q407" s="413">
        <v>2</v>
      </c>
    </row>
    <row r="408" spans="1:17">
      <c r="A408" s="97" t="s">
        <v>130</v>
      </c>
      <c r="B408" s="97">
        <v>2021</v>
      </c>
      <c r="C408" s="413">
        <v>5</v>
      </c>
      <c r="D408" s="413"/>
      <c r="E408" s="413"/>
      <c r="F408" s="413">
        <v>10.5</v>
      </c>
      <c r="G408" s="413"/>
      <c r="H408" s="413"/>
      <c r="I408" s="413"/>
      <c r="J408" s="413"/>
      <c r="K408" s="413"/>
      <c r="L408" s="413"/>
      <c r="M408" s="413"/>
      <c r="N408" s="413"/>
      <c r="O408" s="413">
        <v>470</v>
      </c>
      <c r="P408" s="413"/>
      <c r="Q408" s="413">
        <v>63.85</v>
      </c>
    </row>
    <row r="409" spans="1:17">
      <c r="A409" s="97" t="s">
        <v>102</v>
      </c>
      <c r="B409" s="97">
        <v>2008</v>
      </c>
      <c r="C409" s="97">
        <v>14</v>
      </c>
      <c r="H409" s="97">
        <v>269</v>
      </c>
      <c r="J409" s="97">
        <v>78</v>
      </c>
      <c r="O409" s="97">
        <v>55</v>
      </c>
    </row>
    <row r="410" spans="1:17">
      <c r="A410" s="97" t="s">
        <v>102</v>
      </c>
      <c r="B410" s="97">
        <v>2009</v>
      </c>
      <c r="C410" s="97">
        <v>2.44</v>
      </c>
      <c r="H410" s="97">
        <v>300</v>
      </c>
      <c r="O410" s="97">
        <v>40</v>
      </c>
    </row>
    <row r="411" spans="1:17">
      <c r="A411" s="97" t="s">
        <v>102</v>
      </c>
      <c r="B411" s="97">
        <v>2010</v>
      </c>
      <c r="C411" s="97">
        <v>1.6</v>
      </c>
      <c r="D411" s="97">
        <v>65</v>
      </c>
      <c r="H411" s="97">
        <v>162</v>
      </c>
      <c r="O411" s="97">
        <v>2.4</v>
      </c>
    </row>
    <row r="412" spans="1:17">
      <c r="A412" s="97" t="s">
        <v>102</v>
      </c>
      <c r="B412" s="97">
        <v>2011</v>
      </c>
      <c r="C412" s="97">
        <v>10.65</v>
      </c>
      <c r="D412" s="97">
        <v>66</v>
      </c>
      <c r="H412" s="97">
        <v>260</v>
      </c>
      <c r="O412" s="97">
        <v>0</v>
      </c>
    </row>
    <row r="413" spans="1:17">
      <c r="A413" s="97" t="s">
        <v>102</v>
      </c>
      <c r="B413" s="97">
        <v>2012</v>
      </c>
      <c r="C413" s="413">
        <v>7.95</v>
      </c>
      <c r="D413" s="413"/>
      <c r="E413" s="413"/>
      <c r="F413" s="413"/>
      <c r="G413" s="413"/>
      <c r="H413" s="413">
        <v>4.24</v>
      </c>
      <c r="I413" s="413"/>
      <c r="J413" s="413">
        <v>126.7</v>
      </c>
      <c r="K413" s="413"/>
      <c r="L413" s="413"/>
      <c r="M413" s="413"/>
      <c r="N413" s="413"/>
      <c r="O413" s="413"/>
      <c r="P413" s="413"/>
      <c r="Q413" s="413"/>
    </row>
    <row r="414" spans="1:17">
      <c r="A414" s="97" t="s">
        <v>102</v>
      </c>
      <c r="B414" s="97">
        <v>2013</v>
      </c>
      <c r="C414" s="413">
        <v>0.9</v>
      </c>
      <c r="D414" s="413"/>
      <c r="E414" s="413"/>
      <c r="F414" s="413"/>
      <c r="G414" s="413"/>
      <c r="H414" s="413"/>
      <c r="I414" s="413"/>
      <c r="J414" s="413">
        <v>231.2</v>
      </c>
      <c r="K414" s="413"/>
      <c r="L414" s="413"/>
      <c r="M414" s="413"/>
      <c r="N414" s="413"/>
      <c r="O414" s="413"/>
      <c r="P414" s="413"/>
      <c r="Q414" s="413"/>
    </row>
    <row r="415" spans="1:17">
      <c r="A415" s="97" t="s">
        <v>102</v>
      </c>
      <c r="B415" s="97">
        <v>2014</v>
      </c>
      <c r="C415" s="413">
        <v>18.9</v>
      </c>
      <c r="D415" s="413">
        <v>108.9</v>
      </c>
      <c r="E415" s="413">
        <v>3</v>
      </c>
      <c r="F415" s="413"/>
      <c r="G415" s="413"/>
      <c r="H415" s="413">
        <v>597.3</v>
      </c>
      <c r="I415" s="413"/>
      <c r="J415" s="413">
        <v>194.24</v>
      </c>
      <c r="K415" s="413"/>
      <c r="L415" s="413"/>
      <c r="M415" s="413"/>
      <c r="N415" s="413"/>
      <c r="O415" s="413">
        <v>6.66</v>
      </c>
      <c r="P415" s="413"/>
      <c r="Q415" s="413">
        <v>19.61</v>
      </c>
    </row>
    <row r="416" spans="1:17">
      <c r="A416" s="97" t="s">
        <v>102</v>
      </c>
      <c r="B416" s="97">
        <v>2015</v>
      </c>
      <c r="C416" s="413">
        <v>28.73</v>
      </c>
      <c r="D416" s="413">
        <v>108.9</v>
      </c>
      <c r="E416" s="413">
        <v>1.5</v>
      </c>
      <c r="F416" s="413"/>
      <c r="G416" s="413">
        <v>28.46</v>
      </c>
      <c r="H416" s="413">
        <v>338</v>
      </c>
      <c r="I416" s="413"/>
      <c r="J416" s="413">
        <v>156.45</v>
      </c>
      <c r="K416" s="413"/>
      <c r="L416" s="413"/>
      <c r="M416" s="413"/>
      <c r="N416" s="413"/>
      <c r="O416" s="413">
        <v>35.65</v>
      </c>
      <c r="P416" s="413"/>
      <c r="Q416" s="413">
        <v>63.65</v>
      </c>
    </row>
    <row r="417" spans="1:17">
      <c r="A417" s="97" t="s">
        <v>102</v>
      </c>
      <c r="B417" s="97">
        <v>2016</v>
      </c>
      <c r="C417" s="413">
        <v>27.32</v>
      </c>
      <c r="D417" s="413"/>
      <c r="E417" s="413">
        <v>5.95</v>
      </c>
      <c r="F417" s="413">
        <v>3.25</v>
      </c>
      <c r="G417" s="413">
        <v>54.85</v>
      </c>
      <c r="H417" s="413"/>
      <c r="I417" s="413"/>
      <c r="J417" s="413"/>
      <c r="K417" s="413"/>
      <c r="L417" s="413"/>
      <c r="M417" s="413"/>
      <c r="N417" s="413"/>
      <c r="O417" s="413">
        <v>26.78</v>
      </c>
      <c r="P417" s="413">
        <v>150</v>
      </c>
      <c r="Q417" s="413">
        <v>227.61</v>
      </c>
    </row>
    <row r="418" spans="1:17">
      <c r="A418" s="97" t="s">
        <v>102</v>
      </c>
      <c r="B418" s="97">
        <v>2017</v>
      </c>
      <c r="C418" s="413">
        <v>15.33</v>
      </c>
      <c r="D418" s="413"/>
      <c r="E418" s="413">
        <v>3.2</v>
      </c>
      <c r="F418" s="413">
        <v>25.65</v>
      </c>
      <c r="G418" s="413">
        <v>3.8</v>
      </c>
      <c r="H418" s="413">
        <v>50.85</v>
      </c>
      <c r="I418" s="413"/>
      <c r="J418" s="413">
        <v>22.4</v>
      </c>
      <c r="K418" s="413"/>
      <c r="L418" s="413"/>
      <c r="M418" s="413"/>
      <c r="N418" s="413"/>
      <c r="O418" s="413">
        <v>12.2</v>
      </c>
      <c r="P418" s="413"/>
      <c r="Q418" s="413">
        <v>639.41</v>
      </c>
    </row>
    <row r="419" spans="1:17">
      <c r="A419" s="97" t="s">
        <v>102</v>
      </c>
      <c r="B419" s="97">
        <v>2018</v>
      </c>
      <c r="C419" s="413">
        <v>26.16</v>
      </c>
      <c r="D419" s="413">
        <v>250.2</v>
      </c>
      <c r="E419" s="413">
        <v>1.5</v>
      </c>
      <c r="F419" s="413">
        <v>31.4</v>
      </c>
      <c r="G419" s="413">
        <v>26.44</v>
      </c>
      <c r="H419" s="413">
        <v>79.4</v>
      </c>
      <c r="I419" s="413"/>
      <c r="J419" s="413">
        <v>24.41</v>
      </c>
      <c r="K419" s="413"/>
      <c r="L419" s="413"/>
      <c r="M419" s="413"/>
      <c r="N419" s="413"/>
      <c r="O419" s="413">
        <v>7</v>
      </c>
      <c r="P419" s="413"/>
      <c r="Q419" s="413">
        <v>412.21</v>
      </c>
    </row>
    <row r="420" spans="1:17">
      <c r="A420" s="97" t="s">
        <v>102</v>
      </c>
      <c r="B420" s="97">
        <v>2019</v>
      </c>
      <c r="C420" s="413">
        <v>14.8</v>
      </c>
      <c r="D420" s="413"/>
      <c r="E420" s="413">
        <v>1.5</v>
      </c>
      <c r="F420" s="413">
        <v>18.3</v>
      </c>
      <c r="G420" s="413">
        <v>14.68</v>
      </c>
      <c r="H420" s="413">
        <v>10.31</v>
      </c>
      <c r="I420" s="413"/>
      <c r="J420" s="413">
        <v>2.99</v>
      </c>
      <c r="K420" s="413"/>
      <c r="L420" s="413"/>
      <c r="M420" s="413"/>
      <c r="N420" s="413"/>
      <c r="O420" s="413">
        <v>29.73</v>
      </c>
      <c r="P420" s="413"/>
      <c r="Q420" s="413">
        <v>204.87</v>
      </c>
    </row>
    <row r="421" spans="1:17">
      <c r="A421" s="97" t="s">
        <v>102</v>
      </c>
      <c r="B421" s="97">
        <v>2020</v>
      </c>
      <c r="C421" s="413">
        <v>27.4</v>
      </c>
      <c r="D421" s="413"/>
      <c r="E421" s="413">
        <v>1.5</v>
      </c>
      <c r="F421" s="413">
        <v>50.1</v>
      </c>
      <c r="G421" s="413">
        <v>11.11</v>
      </c>
      <c r="H421" s="413">
        <v>149.3</v>
      </c>
      <c r="I421" s="413"/>
      <c r="J421" s="413"/>
      <c r="K421" s="413"/>
      <c r="L421" s="413"/>
      <c r="M421" s="413"/>
      <c r="N421" s="413"/>
      <c r="O421" s="413">
        <v>3.49</v>
      </c>
      <c r="P421" s="413"/>
      <c r="Q421" s="413">
        <v>177.86</v>
      </c>
    </row>
    <row r="422" spans="1:17">
      <c r="A422" s="97" t="s">
        <v>102</v>
      </c>
      <c r="B422" s="97">
        <v>2021</v>
      </c>
      <c r="C422" s="413">
        <v>206.56</v>
      </c>
      <c r="D422" s="413"/>
      <c r="E422" s="413"/>
      <c r="F422" s="413">
        <v>58.05</v>
      </c>
      <c r="G422" s="413">
        <v>4.8</v>
      </c>
      <c r="H422" s="413">
        <v>94.95</v>
      </c>
      <c r="I422" s="413"/>
      <c r="J422" s="413"/>
      <c r="K422" s="413"/>
      <c r="L422" s="413"/>
      <c r="M422" s="413"/>
      <c r="N422" s="413"/>
      <c r="O422" s="413">
        <v>4.59</v>
      </c>
      <c r="P422" s="413">
        <v>105</v>
      </c>
      <c r="Q422" s="413">
        <v>362.51</v>
      </c>
    </row>
    <row r="423" spans="1:17">
      <c r="A423" s="97" t="s">
        <v>124</v>
      </c>
      <c r="B423" s="97">
        <v>2008</v>
      </c>
      <c r="H423" s="97">
        <v>33</v>
      </c>
      <c r="O423" s="97">
        <v>185</v>
      </c>
    </row>
    <row r="424" spans="1:17">
      <c r="A424" s="97" t="s">
        <v>124</v>
      </c>
      <c r="B424" s="97">
        <v>2009</v>
      </c>
      <c r="C424" s="97">
        <v>4.93</v>
      </c>
      <c r="O424" s="97">
        <v>26.6</v>
      </c>
    </row>
    <row r="425" spans="1:17">
      <c r="A425" s="97" t="s">
        <v>124</v>
      </c>
      <c r="B425" s="97">
        <v>2010</v>
      </c>
      <c r="C425" s="97">
        <v>3.4</v>
      </c>
      <c r="H425" s="97">
        <v>0</v>
      </c>
      <c r="O425" s="97">
        <v>13.5</v>
      </c>
    </row>
    <row r="426" spans="1:17">
      <c r="A426" s="97" t="s">
        <v>124</v>
      </c>
      <c r="B426" s="97">
        <v>2011</v>
      </c>
      <c r="O426" s="97">
        <v>123.3</v>
      </c>
    </row>
    <row r="427" spans="1:17">
      <c r="A427" s="97" t="s">
        <v>124</v>
      </c>
      <c r="B427" s="97">
        <v>2012</v>
      </c>
      <c r="C427" s="413"/>
      <c r="D427" s="413"/>
      <c r="E427" s="413"/>
      <c r="F427" s="413"/>
      <c r="G427" s="413"/>
      <c r="H427" s="413"/>
      <c r="I427" s="413"/>
      <c r="J427" s="413"/>
      <c r="K427" s="413"/>
      <c r="L427" s="413"/>
      <c r="M427" s="413"/>
      <c r="N427" s="413"/>
      <c r="O427" s="413">
        <v>16.75</v>
      </c>
      <c r="P427" s="413"/>
      <c r="Q427" s="413"/>
    </row>
    <row r="428" spans="1:17">
      <c r="A428" s="97" t="s">
        <v>124</v>
      </c>
      <c r="B428" s="97">
        <v>2013</v>
      </c>
      <c r="C428" s="413">
        <v>4.95</v>
      </c>
      <c r="D428" s="413"/>
      <c r="E428" s="413">
        <v>3</v>
      </c>
      <c r="F428" s="413"/>
      <c r="G428" s="413"/>
      <c r="H428" s="413">
        <v>66</v>
      </c>
      <c r="I428" s="413"/>
      <c r="J428" s="413"/>
      <c r="K428" s="413"/>
      <c r="L428" s="413"/>
      <c r="M428" s="413"/>
      <c r="N428" s="413"/>
      <c r="O428" s="413">
        <v>28.5</v>
      </c>
      <c r="P428" s="413"/>
      <c r="Q428" s="413"/>
    </row>
    <row r="429" spans="1:17">
      <c r="A429" s="97" t="s">
        <v>124</v>
      </c>
      <c r="B429" s="97">
        <v>2014</v>
      </c>
      <c r="C429" s="413"/>
      <c r="D429" s="413"/>
      <c r="E429" s="413"/>
      <c r="F429" s="413"/>
      <c r="G429" s="413"/>
      <c r="H429" s="413">
        <v>136</v>
      </c>
      <c r="I429" s="413"/>
      <c r="J429" s="413">
        <v>93.4</v>
      </c>
      <c r="K429" s="413"/>
      <c r="L429" s="413"/>
      <c r="M429" s="413"/>
      <c r="N429" s="413"/>
      <c r="O429" s="413">
        <v>15.28</v>
      </c>
      <c r="P429" s="413"/>
      <c r="Q429" s="413"/>
    </row>
    <row r="430" spans="1:17">
      <c r="A430" s="97" t="s">
        <v>124</v>
      </c>
      <c r="B430" s="97">
        <v>2015</v>
      </c>
      <c r="C430" s="413">
        <v>23.2</v>
      </c>
      <c r="D430" s="413"/>
      <c r="E430" s="413"/>
      <c r="F430" s="413"/>
      <c r="G430" s="413">
        <v>8.45</v>
      </c>
      <c r="H430" s="413">
        <v>276</v>
      </c>
      <c r="I430" s="413"/>
      <c r="J430" s="413"/>
      <c r="K430" s="413"/>
      <c r="L430" s="413"/>
      <c r="M430" s="413"/>
      <c r="N430" s="413"/>
      <c r="O430" s="413">
        <v>9.71</v>
      </c>
      <c r="P430" s="413"/>
      <c r="Q430" s="413"/>
    </row>
    <row r="431" spans="1:17">
      <c r="A431" s="97" t="s">
        <v>124</v>
      </c>
      <c r="B431" s="97">
        <v>2016</v>
      </c>
      <c r="C431" s="413">
        <v>9.95</v>
      </c>
      <c r="D431" s="413"/>
      <c r="E431" s="413"/>
      <c r="F431" s="413">
        <v>2.7</v>
      </c>
      <c r="G431" s="413">
        <v>9.77</v>
      </c>
      <c r="H431" s="413">
        <v>120</v>
      </c>
      <c r="I431" s="413"/>
      <c r="J431" s="413"/>
      <c r="K431" s="413"/>
      <c r="L431" s="413"/>
      <c r="M431" s="413"/>
      <c r="N431" s="413"/>
      <c r="O431" s="413">
        <v>10.56</v>
      </c>
      <c r="P431" s="413"/>
      <c r="Q431" s="413">
        <v>0.9</v>
      </c>
    </row>
    <row r="432" spans="1:17">
      <c r="A432" s="97" t="s">
        <v>124</v>
      </c>
      <c r="B432" s="97">
        <v>2017</v>
      </c>
      <c r="C432" s="413">
        <v>13.75</v>
      </c>
      <c r="D432" s="413"/>
      <c r="E432" s="413">
        <v>3</v>
      </c>
      <c r="F432" s="413">
        <v>1.2</v>
      </c>
      <c r="G432" s="413">
        <v>1.34</v>
      </c>
      <c r="H432" s="413">
        <v>12.5</v>
      </c>
      <c r="I432" s="413"/>
      <c r="J432" s="413"/>
      <c r="K432" s="413"/>
      <c r="L432" s="413"/>
      <c r="M432" s="413"/>
      <c r="N432" s="413"/>
      <c r="O432" s="413">
        <v>73.71</v>
      </c>
      <c r="P432" s="413"/>
      <c r="Q432" s="413">
        <v>12.88</v>
      </c>
    </row>
    <row r="433" spans="1:17">
      <c r="A433" s="97" t="s">
        <v>124</v>
      </c>
      <c r="B433" s="97">
        <v>2018</v>
      </c>
      <c r="C433" s="413">
        <v>19.09</v>
      </c>
      <c r="D433" s="413"/>
      <c r="E433" s="413"/>
      <c r="F433" s="413">
        <v>22.8</v>
      </c>
      <c r="G433" s="413">
        <v>6.11</v>
      </c>
      <c r="H433" s="413">
        <v>0.67</v>
      </c>
      <c r="I433" s="413"/>
      <c r="J433" s="413">
        <v>0.85</v>
      </c>
      <c r="K433" s="413">
        <v>0.5</v>
      </c>
      <c r="L433" s="413"/>
      <c r="M433" s="413"/>
      <c r="N433" s="413"/>
      <c r="O433" s="413">
        <v>13.93</v>
      </c>
      <c r="P433" s="413"/>
      <c r="Q433" s="413">
        <v>26.91</v>
      </c>
    </row>
    <row r="434" spans="1:17">
      <c r="A434" s="97" t="s">
        <v>124</v>
      </c>
      <c r="B434" s="97">
        <v>2019</v>
      </c>
      <c r="C434" s="413">
        <v>18.4</v>
      </c>
      <c r="D434" s="413"/>
      <c r="E434" s="413"/>
      <c r="F434" s="413"/>
      <c r="G434" s="413">
        <v>5.21</v>
      </c>
      <c r="H434" s="413"/>
      <c r="I434" s="413"/>
      <c r="J434" s="413"/>
      <c r="K434" s="413"/>
      <c r="L434" s="413"/>
      <c r="M434" s="413"/>
      <c r="N434" s="413"/>
      <c r="O434" s="413">
        <v>5.7</v>
      </c>
      <c r="P434" s="413"/>
      <c r="Q434" s="413">
        <v>22.03</v>
      </c>
    </row>
    <row r="435" spans="1:17">
      <c r="A435" s="97" t="s">
        <v>124</v>
      </c>
      <c r="B435" s="97">
        <v>2020</v>
      </c>
      <c r="C435" s="413">
        <v>28.03</v>
      </c>
      <c r="D435" s="413"/>
      <c r="E435" s="413"/>
      <c r="F435" s="413">
        <v>12.15</v>
      </c>
      <c r="G435" s="413">
        <v>4.3</v>
      </c>
      <c r="H435" s="413"/>
      <c r="I435" s="413"/>
      <c r="J435" s="413"/>
      <c r="K435" s="413"/>
      <c r="L435" s="413"/>
      <c r="M435" s="413"/>
      <c r="N435" s="413"/>
      <c r="O435" s="413">
        <v>3.73</v>
      </c>
      <c r="P435" s="413"/>
      <c r="Q435" s="413">
        <v>3.97</v>
      </c>
    </row>
    <row r="436" spans="1:17">
      <c r="A436" s="97" t="s">
        <v>124</v>
      </c>
      <c r="B436" s="97">
        <v>2021</v>
      </c>
      <c r="C436" s="413">
        <v>69.9</v>
      </c>
      <c r="D436" s="413"/>
      <c r="E436" s="413"/>
      <c r="F436" s="413">
        <v>16.7</v>
      </c>
      <c r="G436" s="413"/>
      <c r="H436" s="413"/>
      <c r="I436" s="413"/>
      <c r="J436" s="413"/>
      <c r="K436" s="413"/>
      <c r="L436" s="413"/>
      <c r="M436" s="413"/>
      <c r="N436" s="413"/>
      <c r="O436" s="413">
        <v>10</v>
      </c>
      <c r="P436" s="413"/>
      <c r="Q436" s="413">
        <v>6.82</v>
      </c>
    </row>
  </sheetData>
  <autoFilter xmlns:etc="http://www.wps.cn/officeDocument/2017/etCustomData" ref="A2:Q436" etc:filterBottomFollowUsedRange="0">
    <sortState ref="A2:Q436">
      <sortCondition ref="A2"/>
    </sortState>
    <extLst/>
  </autoFilter>
  <conditionalFormatting sqref="C3:Q4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topLeftCell="K1" workbookViewId="0">
      <selection activeCell="S3" sqref="S3"/>
    </sheetView>
  </sheetViews>
  <sheetFormatPr defaultColWidth="9" defaultRowHeight="13.85"/>
  <cols>
    <col min="1" max="1" width="17.1327433628319" style="92" customWidth="1"/>
    <col min="2" max="2" width="9.28318584070797" style="92" customWidth="1"/>
    <col min="3" max="3" width="9.57522123893805" style="92" customWidth="1"/>
    <col min="4" max="4" width="9.28318584070797" style="92" customWidth="1"/>
    <col min="5" max="7" width="9.28318584070797" style="97" customWidth="1"/>
    <col min="8" max="22" width="9.28318584070797" style="92" customWidth="1"/>
    <col min="23" max="16384" width="9.13274336283186" style="92"/>
  </cols>
  <sheetData>
    <row r="1" spans="1:22">
      <c r="B1" s="44" t="s">
        <v>146</v>
      </c>
      <c r="C1" s="44" t="s">
        <v>146</v>
      </c>
      <c r="D1" s="44" t="s">
        <v>146</v>
      </c>
      <c r="E1" s="121" t="s">
        <v>147</v>
      </c>
      <c r="F1" s="121" t="s">
        <v>147</v>
      </c>
      <c r="G1" s="121" t="s">
        <v>147</v>
      </c>
      <c r="H1" s="121" t="s">
        <v>147</v>
      </c>
      <c r="I1" s="121" t="s">
        <v>147</v>
      </c>
      <c r="J1" s="121" t="s">
        <v>147</v>
      </c>
      <c r="K1" s="121" t="s">
        <v>147</v>
      </c>
      <c r="L1" s="121" t="s">
        <v>147</v>
      </c>
      <c r="M1" s="121" t="s">
        <v>147</v>
      </c>
      <c r="N1" s="121" t="s">
        <v>147</v>
      </c>
      <c r="O1" s="121" t="s">
        <v>147</v>
      </c>
      <c r="P1" s="121" t="s">
        <v>147</v>
      </c>
      <c r="Q1" s="121" t="s">
        <v>147</v>
      </c>
      <c r="R1" s="121" t="s">
        <v>147</v>
      </c>
      <c r="S1" s="121" t="s">
        <v>147</v>
      </c>
      <c r="T1" s="121" t="s">
        <v>147</v>
      </c>
      <c r="U1" s="121" t="s">
        <v>147</v>
      </c>
      <c r="V1" s="121" t="s">
        <v>147</v>
      </c>
    </row>
    <row r="2" s="20" customFormat="1" spans="1:22">
      <c r="A2" s="400"/>
      <c r="B2" s="4">
        <v>2006</v>
      </c>
      <c r="C2" s="4">
        <v>2007</v>
      </c>
      <c r="D2" s="4">
        <v>2008</v>
      </c>
      <c r="E2" s="4">
        <v>2006</v>
      </c>
      <c r="F2" s="4">
        <v>2007</v>
      </c>
      <c r="G2" s="4">
        <v>2008</v>
      </c>
      <c r="H2" s="4">
        <v>2009</v>
      </c>
      <c r="I2" s="4">
        <v>2010</v>
      </c>
      <c r="J2" s="4">
        <v>2011</v>
      </c>
      <c r="K2" s="4">
        <v>2012</v>
      </c>
      <c r="L2" s="4">
        <v>2013</v>
      </c>
      <c r="M2" s="4">
        <v>2014</v>
      </c>
      <c r="N2" s="4">
        <v>2015</v>
      </c>
      <c r="O2" s="4">
        <v>2016</v>
      </c>
      <c r="P2" s="4">
        <v>2017</v>
      </c>
      <c r="Q2" s="4">
        <v>2018</v>
      </c>
      <c r="R2" s="4">
        <v>2019</v>
      </c>
      <c r="S2" s="4">
        <v>2020</v>
      </c>
      <c r="T2" s="4">
        <v>2021</v>
      </c>
      <c r="U2" s="4">
        <v>2022</v>
      </c>
      <c r="V2" s="4">
        <v>2023</v>
      </c>
    </row>
    <row r="3" spans="1:22">
      <c r="A3" s="22" t="s">
        <v>80</v>
      </c>
      <c r="B3" s="401">
        <v>73.8</v>
      </c>
      <c r="C3" s="401">
        <v>292.1665</v>
      </c>
      <c r="D3" s="401">
        <v>42.047</v>
      </c>
      <c r="E3" s="402">
        <v>367.8</v>
      </c>
      <c r="F3" s="402">
        <v>2043.9088</v>
      </c>
      <c r="G3" s="402">
        <v>1850.5049</v>
      </c>
      <c r="H3" s="402">
        <v>1812.793</v>
      </c>
      <c r="I3" s="402">
        <v>1305</v>
      </c>
      <c r="J3" s="402">
        <v>954.5</v>
      </c>
      <c r="K3" s="402">
        <v>615.8</v>
      </c>
      <c r="L3" s="402">
        <f t="shared" ref="L3:M3" si="0">SUM(L4:L34)</f>
        <v>803.3</v>
      </c>
      <c r="M3" s="402">
        <f t="shared" si="0"/>
        <v>908.7</v>
      </c>
      <c r="N3" s="402">
        <f t="shared" ref="N3" si="1">SUM(N4:N34)</f>
        <v>1090.8</v>
      </c>
      <c r="O3" s="402">
        <f t="shared" ref="O3" si="2">SUM(O4:O34)</f>
        <v>573</v>
      </c>
      <c r="P3" s="402">
        <f t="shared" ref="P3" si="3">SUM(P4:P34)</f>
        <v>931</v>
      </c>
      <c r="Q3" s="402">
        <f t="shared" ref="Q3" si="4">SUM(Q4:Q34)</f>
        <v>1198</v>
      </c>
      <c r="R3" s="402">
        <f t="shared" ref="R3" si="5">SUM(R4:R34)</f>
        <v>1026.2</v>
      </c>
      <c r="S3" s="402">
        <f t="shared" ref="S3" si="6">SUM(S4:S34)</f>
        <v>1469.3</v>
      </c>
      <c r="T3" s="402">
        <f t="shared" ref="T3" si="7">SUM(T4:T34)</f>
        <v>499.3</v>
      </c>
      <c r="U3" s="403">
        <v>704</v>
      </c>
      <c r="V3" s="403">
        <v>727</v>
      </c>
    </row>
    <row r="4" spans="1:22">
      <c r="A4" s="22" t="s">
        <v>82</v>
      </c>
      <c r="B4" s="401">
        <v>0.1</v>
      </c>
      <c r="C4" s="401"/>
      <c r="D4" s="401"/>
      <c r="E4" s="404"/>
      <c r="F4" s="404">
        <v>20.6</v>
      </c>
      <c r="G4" s="404">
        <v>38.04</v>
      </c>
      <c r="H4" s="405">
        <v>24.67</v>
      </c>
      <c r="I4" s="402">
        <v>0.3</v>
      </c>
      <c r="J4" s="404">
        <v>0.9</v>
      </c>
      <c r="K4" s="404"/>
      <c r="L4" s="406">
        <v>24.2</v>
      </c>
      <c r="M4" s="404">
        <v>23.8</v>
      </c>
      <c r="N4" s="404">
        <v>102.2</v>
      </c>
      <c r="O4" s="404"/>
      <c r="P4" s="404"/>
      <c r="Q4" s="404"/>
      <c r="R4" s="405"/>
      <c r="S4" s="402"/>
      <c r="T4" s="402"/>
      <c r="U4" s="403"/>
      <c r="V4" s="407"/>
    </row>
    <row r="5" spans="1:22">
      <c r="A5" s="22" t="s">
        <v>84</v>
      </c>
      <c r="B5" s="401"/>
      <c r="C5" s="401"/>
      <c r="D5" s="401"/>
      <c r="E5" s="404"/>
      <c r="F5" s="404"/>
      <c r="G5" s="404">
        <v>2.5</v>
      </c>
      <c r="H5" s="408">
        <v>15</v>
      </c>
      <c r="I5" s="402">
        <v>15</v>
      </c>
      <c r="J5" s="404">
        <v>20</v>
      </c>
      <c r="K5" s="404"/>
      <c r="L5" s="406"/>
      <c r="M5" s="404"/>
      <c r="N5" s="404">
        <v>88.5</v>
      </c>
      <c r="O5" s="404">
        <v>89</v>
      </c>
      <c r="P5" s="404">
        <v>89</v>
      </c>
      <c r="Q5" s="404">
        <v>86</v>
      </c>
      <c r="R5" s="408">
        <v>1</v>
      </c>
      <c r="S5" s="402">
        <v>0.3</v>
      </c>
      <c r="T5" s="402">
        <v>5</v>
      </c>
      <c r="U5" s="403">
        <v>26</v>
      </c>
      <c r="V5" s="407">
        <v>77</v>
      </c>
    </row>
    <row r="6" spans="1:22">
      <c r="A6" s="22" t="s">
        <v>86</v>
      </c>
      <c r="B6" s="401">
        <v>0.2</v>
      </c>
      <c r="C6" s="401">
        <v>0.42</v>
      </c>
      <c r="D6" s="401"/>
      <c r="E6" s="404">
        <v>11.7</v>
      </c>
      <c r="F6" s="404">
        <v>101.475</v>
      </c>
      <c r="G6" s="404">
        <v>151.3</v>
      </c>
      <c r="H6" s="404">
        <v>63.57</v>
      </c>
      <c r="I6" s="404">
        <v>61</v>
      </c>
      <c r="J6" s="404">
        <v>3.3</v>
      </c>
      <c r="K6" s="404">
        <v>1.2</v>
      </c>
      <c r="L6" s="406">
        <v>55.3</v>
      </c>
      <c r="M6" s="404">
        <v>11.5</v>
      </c>
      <c r="N6" s="404">
        <v>106.7</v>
      </c>
      <c r="O6" s="404">
        <v>27</v>
      </c>
      <c r="P6" s="404">
        <v>51</v>
      </c>
      <c r="Q6" s="404">
        <v>69</v>
      </c>
      <c r="R6" s="404">
        <v>58</v>
      </c>
      <c r="S6" s="404">
        <v>44</v>
      </c>
      <c r="T6" s="402">
        <v>25</v>
      </c>
      <c r="U6" s="403">
        <v>51</v>
      </c>
      <c r="V6" s="407"/>
    </row>
    <row r="7" spans="1:22">
      <c r="A7" s="22" t="s">
        <v>88</v>
      </c>
      <c r="B7" s="401">
        <v>0.4</v>
      </c>
      <c r="C7" s="401"/>
      <c r="D7" s="401">
        <v>0.941</v>
      </c>
      <c r="E7" s="404">
        <v>8.8</v>
      </c>
      <c r="F7" s="404">
        <v>129.45</v>
      </c>
      <c r="G7" s="404">
        <v>56.652</v>
      </c>
      <c r="H7" s="408">
        <v>103.175</v>
      </c>
      <c r="I7" s="402">
        <v>57</v>
      </c>
      <c r="J7" s="404">
        <v>103.3</v>
      </c>
      <c r="K7" s="404">
        <v>78.4</v>
      </c>
      <c r="L7" s="406">
        <v>24.6</v>
      </c>
      <c r="M7" s="404">
        <v>57.4</v>
      </c>
      <c r="N7" s="404">
        <v>65</v>
      </c>
      <c r="O7" s="404">
        <v>3</v>
      </c>
      <c r="P7" s="404">
        <v>43</v>
      </c>
      <c r="Q7" s="404">
        <v>60</v>
      </c>
      <c r="R7" s="408">
        <v>216</v>
      </c>
      <c r="S7" s="402">
        <v>174</v>
      </c>
      <c r="T7" s="402">
        <v>19</v>
      </c>
      <c r="U7" s="403">
        <v>70</v>
      </c>
      <c r="V7" s="407">
        <v>139</v>
      </c>
    </row>
    <row r="8" spans="1:22">
      <c r="A8" s="22" t="s">
        <v>90</v>
      </c>
      <c r="B8" s="401"/>
      <c r="C8" s="401"/>
      <c r="D8" s="401"/>
      <c r="E8" s="404">
        <v>10</v>
      </c>
      <c r="F8" s="404">
        <v>70.45</v>
      </c>
      <c r="G8" s="404">
        <v>15.25</v>
      </c>
      <c r="H8" s="404">
        <v>28.35</v>
      </c>
      <c r="I8" s="404">
        <v>53</v>
      </c>
      <c r="J8" s="404">
        <v>41.5</v>
      </c>
      <c r="K8" s="404">
        <v>11.6</v>
      </c>
      <c r="L8" s="406">
        <v>0.8</v>
      </c>
      <c r="M8" s="404">
        <v>22.1</v>
      </c>
      <c r="N8" s="404">
        <v>5.4</v>
      </c>
      <c r="O8" s="404">
        <v>18</v>
      </c>
      <c r="P8" s="404">
        <v>14</v>
      </c>
      <c r="Q8" s="404">
        <v>4</v>
      </c>
      <c r="R8" s="404">
        <v>4</v>
      </c>
      <c r="S8" s="404">
        <v>9</v>
      </c>
      <c r="T8" s="402">
        <v>8</v>
      </c>
      <c r="U8" s="403">
        <v>21</v>
      </c>
      <c r="V8" s="407"/>
    </row>
    <row r="9" spans="1:22">
      <c r="A9" s="22" t="s">
        <v>92</v>
      </c>
      <c r="B9" s="401">
        <v>0.3</v>
      </c>
      <c r="C9" s="401"/>
      <c r="D9" s="401"/>
      <c r="E9" s="404">
        <v>0.9</v>
      </c>
      <c r="F9" s="404">
        <v>58.2</v>
      </c>
      <c r="G9" s="404">
        <v>57.1684</v>
      </c>
      <c r="H9" s="405">
        <v>66.491</v>
      </c>
      <c r="I9" s="402">
        <v>91</v>
      </c>
      <c r="J9" s="404">
        <v>43.9</v>
      </c>
      <c r="K9" s="404">
        <v>67.2</v>
      </c>
      <c r="L9" s="406">
        <v>61.2</v>
      </c>
      <c r="M9" s="404">
        <v>15.6</v>
      </c>
      <c r="N9" s="404">
        <v>10.6</v>
      </c>
      <c r="O9" s="404"/>
      <c r="P9" s="404">
        <v>15</v>
      </c>
      <c r="Q9" s="404">
        <v>24</v>
      </c>
      <c r="R9" s="405"/>
      <c r="S9" s="402"/>
      <c r="T9" s="402">
        <v>15</v>
      </c>
      <c r="U9" s="403">
        <v>20</v>
      </c>
      <c r="V9" s="407"/>
    </row>
    <row r="10" spans="1:22">
      <c r="A10" s="22" t="s">
        <v>94</v>
      </c>
      <c r="B10" s="401"/>
      <c r="C10" s="401"/>
      <c r="D10" s="401"/>
      <c r="E10" s="404">
        <v>0.8</v>
      </c>
      <c r="F10" s="404">
        <v>69</v>
      </c>
      <c r="G10" s="404"/>
      <c r="H10" s="408">
        <v>45.2</v>
      </c>
      <c r="I10" s="402">
        <v>1</v>
      </c>
      <c r="J10" s="404">
        <v>3.6</v>
      </c>
      <c r="K10" s="404"/>
      <c r="L10" s="406">
        <v>55</v>
      </c>
      <c r="M10" s="404">
        <v>13</v>
      </c>
      <c r="N10" s="404">
        <v>1.8</v>
      </c>
      <c r="O10" s="404">
        <v>20</v>
      </c>
      <c r="P10" s="404"/>
      <c r="Q10" s="404"/>
      <c r="R10" s="408">
        <v>60</v>
      </c>
      <c r="S10" s="402"/>
      <c r="T10" s="402">
        <v>26</v>
      </c>
      <c r="U10" s="403">
        <v>1</v>
      </c>
      <c r="V10" s="407">
        <v>4</v>
      </c>
    </row>
    <row r="11" spans="1:22">
      <c r="A11" s="22" t="s">
        <v>96</v>
      </c>
      <c r="B11" s="401"/>
      <c r="C11" s="401">
        <v>4.95</v>
      </c>
      <c r="D11" s="401"/>
      <c r="E11" s="404">
        <v>28.6</v>
      </c>
      <c r="F11" s="404">
        <v>34.9</v>
      </c>
      <c r="G11" s="404">
        <v>11.4</v>
      </c>
      <c r="H11" s="408">
        <v>50.9</v>
      </c>
      <c r="I11" s="404">
        <v>62</v>
      </c>
      <c r="J11" s="404">
        <v>49.7</v>
      </c>
      <c r="K11" s="404">
        <v>5.9</v>
      </c>
      <c r="L11" s="406">
        <v>2.3</v>
      </c>
      <c r="M11" s="404">
        <v>4.5</v>
      </c>
      <c r="N11" s="404">
        <v>0.9</v>
      </c>
      <c r="O11" s="404">
        <v>11</v>
      </c>
      <c r="P11" s="404">
        <v>31</v>
      </c>
      <c r="Q11" s="404">
        <v>29</v>
      </c>
      <c r="R11" s="408">
        <v>21</v>
      </c>
      <c r="S11" s="404">
        <v>10</v>
      </c>
      <c r="T11" s="402">
        <v>25</v>
      </c>
      <c r="U11" s="403">
        <v>8</v>
      </c>
      <c r="V11" s="407">
        <v>3</v>
      </c>
    </row>
    <row r="12" spans="1:22">
      <c r="A12" s="22" t="s">
        <v>98</v>
      </c>
      <c r="B12" s="401"/>
      <c r="C12" s="401"/>
      <c r="D12" s="401"/>
      <c r="E12" s="404"/>
      <c r="F12" s="404">
        <v>42.55</v>
      </c>
      <c r="G12" s="404">
        <v>27.5</v>
      </c>
      <c r="H12" s="404">
        <v>34</v>
      </c>
      <c r="I12" s="402">
        <v>75</v>
      </c>
      <c r="J12" s="404">
        <v>27.5</v>
      </c>
      <c r="K12" s="404">
        <v>0.4</v>
      </c>
      <c r="L12" s="406">
        <v>0.9</v>
      </c>
      <c r="M12" s="404">
        <v>0.2</v>
      </c>
      <c r="N12" s="404">
        <v>0.2</v>
      </c>
      <c r="O12" s="404">
        <v>5</v>
      </c>
      <c r="P12" s="404"/>
      <c r="Q12" s="404"/>
      <c r="R12" s="404">
        <v>5</v>
      </c>
      <c r="S12" s="402"/>
      <c r="T12" s="402"/>
      <c r="U12" s="403">
        <v>10</v>
      </c>
      <c r="V12" s="407">
        <v>65</v>
      </c>
    </row>
    <row r="13" spans="1:22">
      <c r="A13" s="22" t="s">
        <v>100</v>
      </c>
      <c r="B13" s="401"/>
      <c r="C13" s="401"/>
      <c r="D13" s="401"/>
      <c r="E13" s="404">
        <v>0.6</v>
      </c>
      <c r="F13" s="404">
        <v>113.95</v>
      </c>
      <c r="G13" s="404">
        <v>456.996</v>
      </c>
      <c r="H13" s="404">
        <v>108.85</v>
      </c>
      <c r="I13" s="404">
        <v>58</v>
      </c>
      <c r="J13" s="404">
        <v>84.9</v>
      </c>
      <c r="K13" s="404">
        <v>130.3</v>
      </c>
      <c r="L13" s="406">
        <v>134</v>
      </c>
      <c r="M13" s="404">
        <v>51.2</v>
      </c>
      <c r="N13" s="404">
        <v>76.3</v>
      </c>
      <c r="O13" s="404">
        <v>30</v>
      </c>
      <c r="P13" s="404">
        <v>137</v>
      </c>
      <c r="Q13" s="404">
        <v>58</v>
      </c>
      <c r="R13" s="404">
        <v>58</v>
      </c>
      <c r="S13" s="404">
        <v>25</v>
      </c>
      <c r="T13" s="402"/>
      <c r="U13" s="403">
        <v>17</v>
      </c>
      <c r="V13" s="407"/>
    </row>
    <row r="14" spans="1:22">
      <c r="A14" s="22" t="s">
        <v>102</v>
      </c>
      <c r="B14" s="401">
        <v>5.9</v>
      </c>
      <c r="C14" s="401">
        <v>4</v>
      </c>
      <c r="D14" s="401">
        <v>4.8704</v>
      </c>
      <c r="E14" s="404">
        <v>115.7</v>
      </c>
      <c r="F14" s="404">
        <v>39.956</v>
      </c>
      <c r="G14" s="404">
        <v>232.0613</v>
      </c>
      <c r="H14" s="408">
        <v>89.58</v>
      </c>
      <c r="I14" s="404">
        <v>159</v>
      </c>
      <c r="J14" s="404">
        <v>65.7</v>
      </c>
      <c r="K14" s="404">
        <v>28.7</v>
      </c>
      <c r="L14" s="406">
        <v>43.9</v>
      </c>
      <c r="M14" s="404">
        <v>110.3</v>
      </c>
      <c r="N14" s="404">
        <v>103.8</v>
      </c>
      <c r="O14" s="404">
        <v>32</v>
      </c>
      <c r="P14" s="404">
        <v>18</v>
      </c>
      <c r="Q14" s="404">
        <v>60</v>
      </c>
      <c r="R14" s="408">
        <v>66</v>
      </c>
      <c r="S14" s="404">
        <v>141</v>
      </c>
      <c r="T14" s="402">
        <v>76</v>
      </c>
      <c r="U14" s="403">
        <v>7</v>
      </c>
      <c r="V14" s="407">
        <v>4</v>
      </c>
    </row>
    <row r="15" spans="1:22">
      <c r="A15" s="22" t="s">
        <v>104</v>
      </c>
      <c r="B15" s="401"/>
      <c r="C15" s="401">
        <v>0.5</v>
      </c>
      <c r="D15" s="401">
        <v>1.753</v>
      </c>
      <c r="E15" s="404">
        <v>2.7</v>
      </c>
      <c r="F15" s="404">
        <v>230.1</v>
      </c>
      <c r="G15" s="404">
        <v>49.8</v>
      </c>
      <c r="H15" s="408">
        <v>7.6</v>
      </c>
      <c r="I15" s="404">
        <v>30</v>
      </c>
      <c r="J15" s="404">
        <v>1.2</v>
      </c>
      <c r="K15" s="404">
        <v>19.8</v>
      </c>
      <c r="L15" s="406">
        <v>33</v>
      </c>
      <c r="M15" s="404">
        <v>69</v>
      </c>
      <c r="N15" s="404">
        <v>7</v>
      </c>
      <c r="O15" s="404">
        <v>8</v>
      </c>
      <c r="P15" s="404">
        <v>46</v>
      </c>
      <c r="Q15" s="404">
        <v>38</v>
      </c>
      <c r="R15" s="408">
        <v>12</v>
      </c>
      <c r="S15" s="404">
        <v>67</v>
      </c>
      <c r="T15" s="402">
        <v>27</v>
      </c>
      <c r="U15" s="403"/>
      <c r="V15" s="407"/>
    </row>
    <row r="16" spans="1:22">
      <c r="A16" s="22" t="s">
        <v>106</v>
      </c>
      <c r="B16" s="401">
        <v>1.3</v>
      </c>
      <c r="C16" s="401">
        <v>8.4051</v>
      </c>
      <c r="D16" s="401"/>
      <c r="E16" s="404">
        <v>0.8</v>
      </c>
      <c r="F16" s="404">
        <v>43.655</v>
      </c>
      <c r="G16" s="404">
        <v>40.2168</v>
      </c>
      <c r="H16" s="404">
        <v>2.7</v>
      </c>
      <c r="I16" s="402">
        <v>16</v>
      </c>
      <c r="J16" s="404">
        <v>0.8</v>
      </c>
      <c r="K16" s="404">
        <v>24.9</v>
      </c>
      <c r="L16" s="406">
        <v>1.9</v>
      </c>
      <c r="M16" s="404">
        <v>30.6</v>
      </c>
      <c r="N16" s="404">
        <v>6.4</v>
      </c>
      <c r="O16" s="404">
        <v>6</v>
      </c>
      <c r="P16" s="404">
        <v>54</v>
      </c>
      <c r="Q16" s="404">
        <v>2</v>
      </c>
      <c r="R16" s="404">
        <v>0.2</v>
      </c>
      <c r="S16" s="402">
        <v>2</v>
      </c>
      <c r="T16" s="402">
        <v>15</v>
      </c>
      <c r="U16" s="403">
        <v>79</v>
      </c>
      <c r="V16" s="407">
        <v>1</v>
      </c>
    </row>
    <row r="17" spans="1:22">
      <c r="A17" s="22" t="s">
        <v>108</v>
      </c>
      <c r="B17" s="401">
        <v>26.1</v>
      </c>
      <c r="C17" s="401">
        <v>7.2112</v>
      </c>
      <c r="D17" s="401">
        <v>7.6575</v>
      </c>
      <c r="E17" s="404">
        <v>0.5</v>
      </c>
      <c r="F17" s="404">
        <v>11.95</v>
      </c>
      <c r="G17" s="404">
        <v>65.5</v>
      </c>
      <c r="H17" s="408">
        <v>39.1</v>
      </c>
      <c r="I17" s="402">
        <v>3</v>
      </c>
      <c r="J17" s="404">
        <v>66.7</v>
      </c>
      <c r="K17" s="404">
        <v>36.2</v>
      </c>
      <c r="L17" s="406">
        <v>37</v>
      </c>
      <c r="M17" s="404">
        <v>21.1</v>
      </c>
      <c r="N17" s="404">
        <v>12.3</v>
      </c>
      <c r="O17" s="404"/>
      <c r="P17" s="404">
        <v>2</v>
      </c>
      <c r="Q17" s="404"/>
      <c r="R17" s="408">
        <v>2</v>
      </c>
      <c r="S17" s="402">
        <v>31</v>
      </c>
      <c r="T17" s="402">
        <v>7</v>
      </c>
      <c r="U17" s="403">
        <v>49</v>
      </c>
      <c r="V17" s="407">
        <v>45</v>
      </c>
    </row>
    <row r="18" spans="1:22">
      <c r="A18" s="22" t="s">
        <v>110</v>
      </c>
      <c r="B18" s="401">
        <v>0.3</v>
      </c>
      <c r="C18" s="401"/>
      <c r="D18" s="401"/>
      <c r="E18" s="404">
        <v>33.5</v>
      </c>
      <c r="F18" s="404">
        <v>178.22</v>
      </c>
      <c r="G18" s="404">
        <v>97</v>
      </c>
      <c r="H18" s="404">
        <v>151.5</v>
      </c>
      <c r="I18" s="404">
        <v>115</v>
      </c>
      <c r="J18" s="404">
        <v>122.9</v>
      </c>
      <c r="K18" s="404">
        <v>42.4</v>
      </c>
      <c r="L18" s="406">
        <v>50.4</v>
      </c>
      <c r="M18" s="404">
        <v>93</v>
      </c>
      <c r="N18" s="404">
        <v>146.5</v>
      </c>
      <c r="O18" s="404">
        <v>94</v>
      </c>
      <c r="P18" s="404">
        <v>89</v>
      </c>
      <c r="Q18" s="404">
        <v>87</v>
      </c>
      <c r="R18" s="404">
        <v>127</v>
      </c>
      <c r="S18" s="404">
        <v>306</v>
      </c>
      <c r="T18" s="404">
        <v>110</v>
      </c>
      <c r="U18" s="403">
        <v>97</v>
      </c>
      <c r="V18" s="407">
        <v>183</v>
      </c>
    </row>
    <row r="19" spans="1:22">
      <c r="A19" s="22" t="s">
        <v>112</v>
      </c>
      <c r="B19" s="401"/>
      <c r="C19" s="401"/>
      <c r="D19" s="401"/>
      <c r="E19" s="404">
        <v>10.2</v>
      </c>
      <c r="F19" s="404">
        <v>283.982</v>
      </c>
      <c r="G19" s="404">
        <v>63.344</v>
      </c>
      <c r="H19" s="404">
        <v>385.35</v>
      </c>
      <c r="I19" s="404">
        <v>123</v>
      </c>
      <c r="J19" s="404">
        <v>194.4</v>
      </c>
      <c r="K19" s="404">
        <v>7.4</v>
      </c>
      <c r="L19" s="406">
        <v>11.8</v>
      </c>
      <c r="M19" s="404">
        <v>128.6</v>
      </c>
      <c r="N19" s="404">
        <v>142.5</v>
      </c>
      <c r="O19" s="404"/>
      <c r="P19" s="404">
        <v>114</v>
      </c>
      <c r="Q19" s="404">
        <v>282</v>
      </c>
      <c r="R19" s="404">
        <v>169</v>
      </c>
      <c r="S19" s="404">
        <v>243</v>
      </c>
      <c r="T19" s="402">
        <v>46</v>
      </c>
      <c r="U19" s="403">
        <v>43</v>
      </c>
      <c r="V19" s="407">
        <v>4</v>
      </c>
    </row>
    <row r="20" spans="1:22">
      <c r="A20" s="22" t="s">
        <v>114</v>
      </c>
      <c r="B20" s="401"/>
      <c r="C20" s="401">
        <v>0.16</v>
      </c>
      <c r="D20" s="401">
        <v>1.5185</v>
      </c>
      <c r="E20" s="404">
        <v>23.6</v>
      </c>
      <c r="F20" s="404">
        <v>43.4</v>
      </c>
      <c r="G20" s="404">
        <v>21.5</v>
      </c>
      <c r="H20" s="404">
        <v>24.9</v>
      </c>
      <c r="I20" s="402">
        <v>22</v>
      </c>
      <c r="J20" s="404">
        <v>5.6</v>
      </c>
      <c r="K20" s="404">
        <v>0.9</v>
      </c>
      <c r="L20" s="406">
        <v>92</v>
      </c>
      <c r="M20" s="404">
        <v>3.4</v>
      </c>
      <c r="N20" s="404">
        <v>8.3</v>
      </c>
      <c r="O20" s="404">
        <v>2</v>
      </c>
      <c r="P20" s="404">
        <v>26</v>
      </c>
      <c r="Q20" s="404">
        <v>7</v>
      </c>
      <c r="R20" s="404">
        <v>5</v>
      </c>
      <c r="S20" s="402">
        <v>224</v>
      </c>
      <c r="T20" s="402">
        <v>2</v>
      </c>
      <c r="U20" s="403">
        <v>2</v>
      </c>
      <c r="V20" s="407">
        <v>8</v>
      </c>
    </row>
    <row r="21" spans="1:22">
      <c r="A21" s="22" t="s">
        <v>116</v>
      </c>
      <c r="B21" s="401">
        <v>14.8</v>
      </c>
      <c r="C21" s="401">
        <v>27.4515</v>
      </c>
      <c r="D21" s="401">
        <v>2.993</v>
      </c>
      <c r="E21" s="404">
        <v>4.1</v>
      </c>
      <c r="F21" s="404">
        <v>50.025</v>
      </c>
      <c r="G21" s="404">
        <v>41.35</v>
      </c>
      <c r="H21" s="408">
        <v>22.35</v>
      </c>
      <c r="I21" s="402">
        <v>14</v>
      </c>
      <c r="J21" s="404">
        <v>8.2</v>
      </c>
      <c r="K21" s="404">
        <v>5.2</v>
      </c>
      <c r="L21" s="406">
        <v>17</v>
      </c>
      <c r="M21" s="404">
        <v>9.2</v>
      </c>
      <c r="N21" s="404">
        <v>16.9</v>
      </c>
      <c r="O21" s="404">
        <v>4</v>
      </c>
      <c r="P21" s="404">
        <v>74</v>
      </c>
      <c r="Q21" s="404">
        <v>10</v>
      </c>
      <c r="R21" s="408">
        <v>11</v>
      </c>
      <c r="S21" s="402">
        <v>2</v>
      </c>
      <c r="T21" s="402">
        <v>4</v>
      </c>
      <c r="U21" s="403">
        <v>1</v>
      </c>
      <c r="V21" s="407">
        <v>4</v>
      </c>
    </row>
    <row r="22" spans="1:22">
      <c r="A22" s="22" t="s">
        <v>118</v>
      </c>
      <c r="B22" s="401">
        <v>9.7</v>
      </c>
      <c r="C22" s="401">
        <v>6.5291</v>
      </c>
      <c r="D22" s="401">
        <v>8.6506</v>
      </c>
      <c r="E22" s="404">
        <v>39.6</v>
      </c>
      <c r="F22" s="404">
        <v>284.3583</v>
      </c>
      <c r="G22" s="404">
        <v>234.8384</v>
      </c>
      <c r="H22" s="405">
        <v>333.757</v>
      </c>
      <c r="I22" s="404">
        <v>71</v>
      </c>
      <c r="J22" s="404">
        <v>26.9</v>
      </c>
      <c r="K22" s="404">
        <v>22.3</v>
      </c>
      <c r="L22" s="406">
        <v>64.5</v>
      </c>
      <c r="M22" s="404"/>
      <c r="N22" s="404">
        <v>1.2</v>
      </c>
      <c r="O22" s="404"/>
      <c r="P22" s="404">
        <v>53</v>
      </c>
      <c r="Q22" s="404">
        <v>97</v>
      </c>
      <c r="R22" s="405">
        <v>115</v>
      </c>
      <c r="S22" s="404">
        <v>40</v>
      </c>
      <c r="T22" s="402">
        <v>15</v>
      </c>
      <c r="U22" s="403">
        <v>10</v>
      </c>
      <c r="V22" s="407"/>
    </row>
    <row r="23" spans="1:22">
      <c r="A23" s="22" t="s">
        <v>120</v>
      </c>
      <c r="B23" s="401">
        <v>3.7</v>
      </c>
      <c r="C23" s="401">
        <v>1.4152</v>
      </c>
      <c r="D23" s="401">
        <v>9.3373</v>
      </c>
      <c r="E23" s="404">
        <v>3.2</v>
      </c>
      <c r="F23" s="404">
        <v>55.837</v>
      </c>
      <c r="G23" s="404">
        <v>2.838</v>
      </c>
      <c r="H23" s="408">
        <v>0.8</v>
      </c>
      <c r="I23" s="402">
        <v>67</v>
      </c>
      <c r="J23" s="404">
        <v>4.5</v>
      </c>
      <c r="K23" s="404">
        <v>10.7</v>
      </c>
      <c r="L23" s="406">
        <v>5.7</v>
      </c>
      <c r="M23" s="404">
        <v>1.8</v>
      </c>
      <c r="N23" s="404">
        <v>0.7</v>
      </c>
      <c r="O23" s="404">
        <v>31</v>
      </c>
      <c r="P23" s="404">
        <v>10</v>
      </c>
      <c r="Q23" s="404">
        <v>57</v>
      </c>
      <c r="R23" s="408">
        <v>6</v>
      </c>
      <c r="S23" s="402">
        <v>5</v>
      </c>
      <c r="T23" s="402">
        <v>5</v>
      </c>
      <c r="U23" s="403">
        <v>22</v>
      </c>
      <c r="V23" s="407">
        <v>12</v>
      </c>
    </row>
    <row r="24" spans="1:22">
      <c r="A24" s="22" t="s">
        <v>122</v>
      </c>
      <c r="B24" s="401"/>
      <c r="C24" s="401"/>
      <c r="D24" s="401"/>
      <c r="E24" s="404"/>
      <c r="F24" s="404"/>
      <c r="G24" s="404"/>
      <c r="H24" s="405"/>
      <c r="I24" s="402">
        <v>14</v>
      </c>
      <c r="J24" s="404"/>
      <c r="K24" s="404"/>
      <c r="L24" s="406">
        <v>13.8</v>
      </c>
      <c r="M24" s="404"/>
      <c r="N24" s="404"/>
      <c r="O24" s="404"/>
      <c r="P24" s="404"/>
      <c r="Q24" s="404"/>
      <c r="R24" s="405"/>
      <c r="S24" s="402">
        <v>28</v>
      </c>
      <c r="T24" s="402"/>
      <c r="U24" s="403">
        <v>12</v>
      </c>
      <c r="V24" s="407"/>
    </row>
    <row r="25" spans="1:22">
      <c r="A25" s="22" t="s">
        <v>124</v>
      </c>
      <c r="B25" s="401">
        <v>2.1</v>
      </c>
      <c r="C25" s="401">
        <v>4.45</v>
      </c>
      <c r="D25" s="401"/>
      <c r="E25" s="404">
        <v>17.7</v>
      </c>
      <c r="F25" s="404">
        <v>15.26</v>
      </c>
      <c r="G25" s="404">
        <v>1.85</v>
      </c>
      <c r="H25" s="408">
        <v>2.4</v>
      </c>
      <c r="I25" s="402">
        <v>6</v>
      </c>
      <c r="J25" s="404">
        <v>14.4</v>
      </c>
      <c r="K25" s="404"/>
      <c r="L25" s="406">
        <v>5.8</v>
      </c>
      <c r="M25" s="404">
        <v>26.5</v>
      </c>
      <c r="N25" s="404">
        <v>45.5</v>
      </c>
      <c r="O25" s="404">
        <v>9</v>
      </c>
      <c r="P25" s="404">
        <v>2</v>
      </c>
      <c r="Q25" s="404">
        <v>14</v>
      </c>
      <c r="R25" s="408">
        <v>1</v>
      </c>
      <c r="S25" s="402">
        <v>58</v>
      </c>
      <c r="T25" s="402">
        <v>7</v>
      </c>
      <c r="U25" s="403">
        <v>1</v>
      </c>
      <c r="V25" s="407">
        <v>4</v>
      </c>
    </row>
    <row r="26" spans="1:22">
      <c r="A26" s="22" t="s">
        <v>126</v>
      </c>
      <c r="B26" s="401">
        <v>8.5</v>
      </c>
      <c r="C26" s="401">
        <v>225.3699</v>
      </c>
      <c r="D26" s="401">
        <v>2.5325</v>
      </c>
      <c r="E26" s="404">
        <v>52.5</v>
      </c>
      <c r="F26" s="404">
        <v>71.8905</v>
      </c>
      <c r="G26" s="404">
        <v>36.75</v>
      </c>
      <c r="H26" s="404">
        <v>57.65</v>
      </c>
      <c r="I26" s="402"/>
      <c r="J26" s="404">
        <v>48</v>
      </c>
      <c r="K26" s="404">
        <v>54.2</v>
      </c>
      <c r="L26" s="406">
        <v>39.2</v>
      </c>
      <c r="M26" s="404">
        <v>60.4</v>
      </c>
      <c r="N26" s="404">
        <v>2.4</v>
      </c>
      <c r="O26" s="404">
        <v>40</v>
      </c>
      <c r="P26" s="404">
        <v>1</v>
      </c>
      <c r="Q26" s="404">
        <v>73</v>
      </c>
      <c r="R26" s="404">
        <v>30</v>
      </c>
      <c r="S26" s="402">
        <v>2</v>
      </c>
      <c r="T26" s="402">
        <v>8</v>
      </c>
      <c r="U26" s="403">
        <v>2</v>
      </c>
      <c r="V26" s="407"/>
    </row>
    <row r="27" spans="1:22">
      <c r="A27" s="22" t="s">
        <v>128</v>
      </c>
      <c r="B27" s="401"/>
      <c r="C27" s="401"/>
      <c r="D27" s="401"/>
      <c r="E27" s="404">
        <v>2.4</v>
      </c>
      <c r="F27" s="404">
        <v>23</v>
      </c>
      <c r="G27" s="404">
        <v>0</v>
      </c>
      <c r="H27" s="405">
        <v>75</v>
      </c>
      <c r="I27" s="402">
        <v>40</v>
      </c>
      <c r="J27" s="404"/>
      <c r="K27" s="404">
        <v>40</v>
      </c>
      <c r="L27" s="406"/>
      <c r="M27" s="404">
        <v>60</v>
      </c>
      <c r="N27" s="404"/>
      <c r="O27" s="404"/>
      <c r="P27" s="404"/>
      <c r="Q27" s="404"/>
      <c r="R27" s="405"/>
      <c r="S27" s="402"/>
      <c r="T27" s="402"/>
      <c r="U27" s="403"/>
      <c r="V27" s="407">
        <v>54</v>
      </c>
    </row>
    <row r="28" spans="1:22">
      <c r="A28" s="22" t="s">
        <v>130</v>
      </c>
      <c r="B28" s="401">
        <v>0.5</v>
      </c>
      <c r="C28" s="401">
        <v>1.1695</v>
      </c>
      <c r="D28" s="401">
        <v>1.8032</v>
      </c>
      <c r="E28" s="404">
        <v>0.2</v>
      </c>
      <c r="F28" s="404">
        <v>10.3</v>
      </c>
      <c r="G28" s="404">
        <v>80.75</v>
      </c>
      <c r="H28" s="405"/>
      <c r="I28" s="402">
        <v>10</v>
      </c>
      <c r="J28" s="404"/>
      <c r="K28" s="404">
        <v>17.8</v>
      </c>
      <c r="L28" s="406">
        <v>4.2</v>
      </c>
      <c r="M28" s="404">
        <v>0.1</v>
      </c>
      <c r="N28" s="404">
        <v>5.6</v>
      </c>
      <c r="O28" s="404"/>
      <c r="P28" s="404"/>
      <c r="Q28" s="404"/>
      <c r="R28" s="405"/>
      <c r="S28" s="402"/>
      <c r="T28" s="402">
        <v>0.3</v>
      </c>
      <c r="U28" s="403"/>
      <c r="V28" s="407">
        <v>120</v>
      </c>
    </row>
    <row r="29" spans="1:22">
      <c r="A29" s="22" t="s">
        <v>132</v>
      </c>
      <c r="B29" s="401"/>
      <c r="C29" s="401"/>
      <c r="D29" s="401"/>
      <c r="E29" s="404"/>
      <c r="F29" s="404"/>
      <c r="G29" s="404">
        <v>0</v>
      </c>
      <c r="H29" s="405"/>
      <c r="I29" s="402">
        <v>1</v>
      </c>
      <c r="J29" s="404">
        <v>0.2</v>
      </c>
      <c r="K29" s="404"/>
      <c r="L29" s="406"/>
      <c r="M29" s="404"/>
      <c r="N29" s="404"/>
      <c r="O29" s="404">
        <v>2</v>
      </c>
      <c r="P29" s="404">
        <v>1</v>
      </c>
      <c r="Q29" s="404"/>
      <c r="R29" s="405"/>
      <c r="S29" s="402"/>
      <c r="T29" s="402"/>
      <c r="U29" s="403"/>
      <c r="V29" s="407"/>
    </row>
    <row r="30" spans="1:22">
      <c r="A30" s="22" t="s">
        <v>134</v>
      </c>
      <c r="B30" s="401"/>
      <c r="C30" s="401">
        <v>0.135</v>
      </c>
      <c r="D30" s="401"/>
      <c r="E30" s="404"/>
      <c r="F30" s="404">
        <v>37.6</v>
      </c>
      <c r="G30" s="404">
        <v>33.3</v>
      </c>
      <c r="H30" s="408">
        <v>44.9</v>
      </c>
      <c r="I30" s="402">
        <v>41</v>
      </c>
      <c r="J30" s="404"/>
      <c r="K30" s="404"/>
      <c r="L30" s="406">
        <v>22</v>
      </c>
      <c r="M30" s="404">
        <v>0.2</v>
      </c>
      <c r="N30" s="404">
        <v>15.6</v>
      </c>
      <c r="O30" s="404"/>
      <c r="P30" s="404">
        <v>58</v>
      </c>
      <c r="Q30" s="404">
        <v>13</v>
      </c>
      <c r="R30" s="408">
        <v>1</v>
      </c>
      <c r="S30" s="402">
        <v>2</v>
      </c>
      <c r="T30" s="402">
        <v>28</v>
      </c>
      <c r="U30" s="403">
        <v>6</v>
      </c>
      <c r="V30" s="407"/>
    </row>
    <row r="31" spans="1:22">
      <c r="A31" s="22" t="s">
        <v>136</v>
      </c>
      <c r="B31" s="401"/>
      <c r="C31" s="401"/>
      <c r="D31" s="401"/>
      <c r="E31" s="404"/>
      <c r="F31" s="404">
        <v>13.8</v>
      </c>
      <c r="G31" s="404">
        <v>24.7</v>
      </c>
      <c r="H31" s="408">
        <v>10</v>
      </c>
      <c r="I31" s="402">
        <v>30</v>
      </c>
      <c r="J31" s="404"/>
      <c r="K31" s="404"/>
      <c r="L31" s="406"/>
      <c r="M31" s="404"/>
      <c r="N31" s="404"/>
      <c r="O31" s="404"/>
      <c r="P31" s="404"/>
      <c r="Q31" s="404"/>
      <c r="R31" s="408">
        <v>34</v>
      </c>
      <c r="S31" s="402"/>
      <c r="T31" s="402">
        <v>6</v>
      </c>
      <c r="U31" s="403"/>
      <c r="V31" s="407"/>
    </row>
    <row r="32" spans="1:22">
      <c r="A32" s="22" t="s">
        <v>138</v>
      </c>
      <c r="B32" s="401"/>
      <c r="C32" s="401"/>
      <c r="D32" s="401"/>
      <c r="E32" s="404"/>
      <c r="F32" s="404"/>
      <c r="G32" s="404"/>
      <c r="H32" s="405">
        <v>5</v>
      </c>
      <c r="I32" s="402"/>
      <c r="J32" s="404"/>
      <c r="K32" s="404"/>
      <c r="L32" s="406"/>
      <c r="M32" s="404"/>
      <c r="N32" s="404">
        <v>25</v>
      </c>
      <c r="O32" s="404"/>
      <c r="P32" s="404"/>
      <c r="Q32" s="404"/>
      <c r="R32" s="405"/>
      <c r="S32" s="402"/>
      <c r="T32" s="402"/>
      <c r="U32" s="403"/>
      <c r="V32" s="407"/>
    </row>
    <row r="33" spans="1:22">
      <c r="A33" s="22" t="s">
        <v>140</v>
      </c>
      <c r="B33" s="401"/>
      <c r="C33" s="401"/>
      <c r="D33" s="401"/>
      <c r="E33" s="404"/>
      <c r="F33" s="404">
        <v>10</v>
      </c>
      <c r="G33" s="404"/>
      <c r="H33" s="408">
        <v>10</v>
      </c>
      <c r="I33" s="402">
        <v>44</v>
      </c>
      <c r="J33" s="404"/>
      <c r="K33" s="404"/>
      <c r="L33" s="406"/>
      <c r="M33" s="404"/>
      <c r="N33" s="404">
        <v>11.6</v>
      </c>
      <c r="O33" s="404"/>
      <c r="P33" s="404"/>
      <c r="Q33" s="404">
        <v>18</v>
      </c>
      <c r="R33" s="408">
        <v>18</v>
      </c>
      <c r="S33" s="402">
        <v>27</v>
      </c>
      <c r="T33" s="402"/>
      <c r="U33" s="403">
        <v>141</v>
      </c>
      <c r="V33" s="407"/>
    </row>
    <row r="34" spans="1:22">
      <c r="A34" s="22" t="s">
        <v>142</v>
      </c>
      <c r="B34" s="401"/>
      <c r="C34" s="401"/>
      <c r="D34" s="401"/>
      <c r="E34" s="404"/>
      <c r="F34" s="404"/>
      <c r="G34" s="404">
        <v>7.9</v>
      </c>
      <c r="H34" s="408">
        <v>10</v>
      </c>
      <c r="I34" s="402">
        <v>26</v>
      </c>
      <c r="J34" s="404">
        <v>16.7</v>
      </c>
      <c r="K34" s="404">
        <v>10.6</v>
      </c>
      <c r="L34" s="406">
        <v>2.8</v>
      </c>
      <c r="M34" s="404">
        <v>95.2</v>
      </c>
      <c r="N34" s="404">
        <v>81.9</v>
      </c>
      <c r="O34" s="404">
        <v>142</v>
      </c>
      <c r="P34" s="404">
        <v>3</v>
      </c>
      <c r="Q34" s="404">
        <v>110</v>
      </c>
      <c r="R34" s="408">
        <v>6</v>
      </c>
      <c r="S34" s="402">
        <v>29</v>
      </c>
      <c r="T34" s="402">
        <v>20</v>
      </c>
      <c r="U34" s="403">
        <v>8</v>
      </c>
      <c r="V34" s="407"/>
    </row>
    <row r="36" spans="1:22">
      <c r="A36" s="92" t="s">
        <v>2</v>
      </c>
    </row>
    <row r="37" spans="1:22">
      <c r="A37" s="323" t="s">
        <v>187</v>
      </c>
      <c r="B37" s="323"/>
      <c r="C37" s="323"/>
      <c r="D37" s="323"/>
    </row>
    <row r="38" spans="1:22">
      <c r="A38" s="323" t="s">
        <v>188</v>
      </c>
      <c r="B38" s="323"/>
      <c r="C38" s="323"/>
      <c r="D38" s="323"/>
    </row>
    <row r="39" spans="1:22">
      <c r="A39" s="323" t="s">
        <v>189</v>
      </c>
      <c r="B39" s="323"/>
      <c r="C39" s="323"/>
      <c r="D39" s="323"/>
    </row>
  </sheetData>
  <hyperlinks>
    <hyperlink ref="A39" r:id="rId1" location=":~:text=%E5%B1%B1%E4%B8%9C%E7%9C%81%E5%85%AC%E7%A4%BA2023%E5%B9%B4%E5%B7%B2%E6%B7%98%E6%B1%B0%E5%85%B3%E5%81%9C%E7%87%83%E7%85%A4%E6%9C%BA%E7%BB%84%E5%90%8D%E5%8D%95%202023-11-06%2010%3A16,%E6%9D%A5%E6%BA%90%3A%20%E5%B1%B1%E4%B8%9C%E7%9C%81%E8%83%BD%E6%BA%90%E5%B1%80%2011%E6%9C%881%E6%97%A5%EF%BC%8C%E5%B1%B1%E4%B8%9C%E7%9C%81%E8%83%BD%E6%BA%90%E5%B1%80%E5%85%AC%E7%A4%BA%E5%85%B3%E4%BA%8E%E6%B7%84%E5%8D%9A%E3%80%81%E4%B8%B4%E6%B2%82%E3%80%81%E6%B5%8E%E5%AE%81%E3%80%81%E6%B3%B0%E5%AE%89%E3%80%81%E6%B5%8E%E5%8D%97%E5%B8%822023%E5%B9%B4%E5%B7%B2%E6%B7%98%E6%B1%B0%E5%85%B3%E5%81%9C%E7%87%83%E7%85%A4%E6%9C%BA%E7%BB%84%E5%90%8D%E5%8D%95%EF%BC%8C%E5%85%B1%E6%B7%98%E6%B1%B0%E5%85%B3%E5%81%9C10%E4%B8%AA%E7%87%83%E7%85%A4%E6%9C%BA%E7%BB%84%E3%80%82" display="山东省公示2023年已淘汰关停燃煤机组名单-北极星电力新闻网 (bjx.com.cn)"/>
    <hyperlink ref="A37" r:id="rId2" display="6地方淘汰超30台煤电机组，汇总名单来了！-北极星火力发电网 (bjx.com.cn)"/>
    <hyperlink ref="A38" r:id="rId3" display="山东省能源局 通知公告 关于山东省2022年淘汰关停燃煤机组的公示 (shandong.gov.cn)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5"/>
  <sheetViews>
    <sheetView topLeftCell="E1" workbookViewId="0">
      <selection activeCell="H28" sqref="H28"/>
    </sheetView>
  </sheetViews>
  <sheetFormatPr defaultColWidth="9" defaultRowHeight="13.85"/>
  <cols>
    <col min="1" max="1" width="42.858407079646" style="92" customWidth="1"/>
    <col min="2" max="3" width="14.283185840708" style="92" customWidth="1"/>
    <col min="4" max="4" width="9.13274336283186" style="92"/>
    <col min="5" max="5" width="42.858407079646" style="92" customWidth="1"/>
    <col min="6" max="7" width="14.283185840708" style="92" customWidth="1"/>
    <col min="8" max="8" width="9.13274336283186" style="92"/>
    <col min="9" max="9" width="42.858407079646" style="357" customWidth="1"/>
    <col min="10" max="11" width="14.283185840708" style="358" customWidth="1"/>
    <col min="12" max="13" width="9.13274336283186" style="359"/>
    <col min="14" max="14" width="17.4247787610619" style="359" customWidth="1"/>
    <col min="15" max="17" width="14.283185840708" style="359" customWidth="1"/>
    <col min="18" max="16384" width="9.13274336283186" style="92"/>
  </cols>
  <sheetData>
    <row r="1" spans="1:21">
      <c r="A1" s="360" t="s">
        <v>190</v>
      </c>
      <c r="B1" s="360"/>
      <c r="C1" s="360"/>
      <c r="D1" s="189"/>
      <c r="E1" s="361" t="s">
        <v>191</v>
      </c>
      <c r="F1" s="362"/>
      <c r="G1" s="363"/>
      <c r="H1" s="189"/>
      <c r="I1" s="361" t="s">
        <v>192</v>
      </c>
      <c r="J1" s="362"/>
      <c r="K1" s="363"/>
    </row>
    <row r="2" ht="26.25" spans="1:21">
      <c r="A2" s="360" t="s">
        <v>193</v>
      </c>
      <c r="B2" s="364" t="s">
        <v>194</v>
      </c>
      <c r="C2" s="364" t="s">
        <v>195</v>
      </c>
      <c r="D2" s="189"/>
      <c r="E2" s="360" t="s">
        <v>193</v>
      </c>
      <c r="F2" s="364" t="s">
        <v>194</v>
      </c>
      <c r="G2" s="364" t="s">
        <v>195</v>
      </c>
      <c r="H2" s="189"/>
      <c r="I2" s="360" t="s">
        <v>193</v>
      </c>
      <c r="J2" s="365" t="s">
        <v>194</v>
      </c>
      <c r="K2" s="365" t="s">
        <v>195</v>
      </c>
      <c r="M2" s="366"/>
      <c r="N2" s="366"/>
      <c r="O2" s="367" t="s">
        <v>196</v>
      </c>
      <c r="P2" s="368" t="s">
        <v>197</v>
      </c>
      <c r="Q2" s="368" t="s">
        <v>198</v>
      </c>
    </row>
    <row r="3" ht="14.6" spans="1:21">
      <c r="A3" s="369" t="s">
        <v>199</v>
      </c>
      <c r="B3" s="370">
        <v>205018</v>
      </c>
      <c r="C3" s="370">
        <v>10010</v>
      </c>
      <c r="D3" s="189"/>
      <c r="E3" s="371" t="s">
        <v>80</v>
      </c>
      <c r="F3" s="372">
        <v>2123228</v>
      </c>
      <c r="G3" s="373">
        <v>60492</v>
      </c>
      <c r="H3" s="189"/>
      <c r="I3" s="374" t="s">
        <v>80</v>
      </c>
      <c r="J3" s="375">
        <v>3287794</v>
      </c>
      <c r="K3" s="375">
        <v>348254</v>
      </c>
      <c r="M3" s="366" t="s">
        <v>200</v>
      </c>
      <c r="N3" s="366" t="s">
        <v>200</v>
      </c>
      <c r="O3" s="366">
        <f t="shared" ref="O3:Q3" si="0">SUM(O4:O20)</f>
        <v>205018</v>
      </c>
      <c r="P3" s="366">
        <f t="shared" si="0"/>
        <v>2123228</v>
      </c>
      <c r="Q3" s="366">
        <f t="shared" si="0"/>
        <v>3287794</v>
      </c>
      <c r="T3" s="343" t="s">
        <v>201</v>
      </c>
      <c r="U3" s="342">
        <v>475</v>
      </c>
    </row>
    <row r="4" ht="14.6" spans="1:21">
      <c r="A4" s="376" t="s">
        <v>202</v>
      </c>
      <c r="B4" s="377"/>
      <c r="C4" s="377"/>
      <c r="D4" s="189"/>
      <c r="E4" s="378" t="s">
        <v>203</v>
      </c>
      <c r="F4" s="379"/>
      <c r="G4" s="380"/>
      <c r="H4" s="189"/>
      <c r="I4" s="381" t="s">
        <v>203</v>
      </c>
      <c r="J4" s="382"/>
      <c r="K4" s="382"/>
      <c r="M4" s="366" t="s">
        <v>203</v>
      </c>
      <c r="N4" s="366" t="str">
        <f>VLOOKUP("*"&amp;M4&amp;"*",'Solar Station Addition'!$A$3:$A$34,1,FALSE)</f>
        <v>山西省</v>
      </c>
      <c r="O4" s="366"/>
      <c r="P4" s="124">
        <f>SUM(F5:F6)</f>
        <v>15000</v>
      </c>
      <c r="Q4" s="366">
        <f>J6+J5</f>
        <v>15000</v>
      </c>
      <c r="T4" s="343" t="s">
        <v>204</v>
      </c>
      <c r="U4" s="342">
        <v>2140</v>
      </c>
    </row>
    <row r="5" ht="14.6" spans="1:21">
      <c r="A5" s="383" t="s">
        <v>205</v>
      </c>
      <c r="B5" s="377">
        <v>6688</v>
      </c>
      <c r="C5" s="377">
        <v>327</v>
      </c>
      <c r="D5" s="189"/>
      <c r="E5" s="384" t="s">
        <v>206</v>
      </c>
      <c r="F5" s="379">
        <v>10000</v>
      </c>
      <c r="G5" s="380">
        <v>36</v>
      </c>
      <c r="H5" s="189"/>
      <c r="I5" s="385" t="s">
        <v>207</v>
      </c>
      <c r="J5" s="382">
        <v>5000</v>
      </c>
      <c r="K5" s="382">
        <v>666</v>
      </c>
      <c r="M5" s="366" t="s">
        <v>208</v>
      </c>
      <c r="N5" s="366" t="str">
        <f>VLOOKUP("*"&amp;M5&amp;"*",'Solar Station Addition'!$A$3:$A$34,1,FALSE)</f>
        <v>内蒙古自治区</v>
      </c>
      <c r="O5" s="366"/>
      <c r="P5" s="124">
        <f>SUM(F8:F11)</f>
        <v>87000</v>
      </c>
      <c r="Q5" s="366">
        <f>SUM(J8:J13)</f>
        <v>196000</v>
      </c>
      <c r="T5" s="343" t="s">
        <v>209</v>
      </c>
      <c r="U5" s="342">
        <v>250</v>
      </c>
    </row>
    <row r="6" ht="14.6" spans="1:21">
      <c r="A6" s="376" t="s">
        <v>210</v>
      </c>
      <c r="B6" s="377"/>
      <c r="C6" s="377"/>
      <c r="D6" s="189"/>
      <c r="E6" s="384" t="s">
        <v>211</v>
      </c>
      <c r="F6" s="379">
        <v>5000</v>
      </c>
      <c r="G6" s="380">
        <v>22</v>
      </c>
      <c r="H6" s="189"/>
      <c r="I6" s="385" t="s">
        <v>206</v>
      </c>
      <c r="J6" s="382">
        <v>10000</v>
      </c>
      <c r="K6" s="382">
        <v>1465</v>
      </c>
      <c r="M6" s="366" t="s">
        <v>212</v>
      </c>
      <c r="N6" s="366" t="str">
        <f>VLOOKUP("*"&amp;M6&amp;"*",'Solar Station Addition'!$A$3:$A$34,1,FALSE)</f>
        <v>辽宁省</v>
      </c>
      <c r="O6" s="366"/>
      <c r="P6" s="366"/>
      <c r="Q6" s="366">
        <f>J15</f>
        <v>10000</v>
      </c>
      <c r="T6" s="342" t="s">
        <v>213</v>
      </c>
      <c r="U6" s="342">
        <v>431</v>
      </c>
    </row>
    <row r="7" ht="14.6" spans="1:21">
      <c r="A7" s="383" t="s">
        <v>214</v>
      </c>
      <c r="B7" s="377">
        <v>20000</v>
      </c>
      <c r="C7" s="377">
        <v>2173</v>
      </c>
      <c r="D7" s="189"/>
      <c r="E7" s="378" t="s">
        <v>208</v>
      </c>
      <c r="F7" s="379"/>
      <c r="G7" s="380"/>
      <c r="H7" s="189"/>
      <c r="I7" s="381" t="s">
        <v>208</v>
      </c>
      <c r="J7" s="382"/>
      <c r="K7" s="382"/>
      <c r="M7" s="366" t="s">
        <v>215</v>
      </c>
      <c r="N7" s="366" t="str">
        <f>VLOOKUP("*"&amp;M7&amp;"*",'Solar Station Addition'!$A$3:$A$34,1,FALSE)</f>
        <v>上海市</v>
      </c>
      <c r="O7" s="124">
        <f>B5</f>
        <v>6688</v>
      </c>
      <c r="P7" s="124">
        <f>F13</f>
        <v>6688</v>
      </c>
      <c r="Q7" s="366">
        <f>J17</f>
        <v>6688</v>
      </c>
      <c r="T7" s="343" t="s">
        <v>208</v>
      </c>
      <c r="U7" s="342">
        <v>272</v>
      </c>
    </row>
    <row r="8" ht="14.6" spans="1:21">
      <c r="A8" s="383" t="s">
        <v>216</v>
      </c>
      <c r="B8" s="377">
        <v>20000</v>
      </c>
      <c r="C8" s="377">
        <v>13</v>
      </c>
      <c r="D8" s="189"/>
      <c r="E8" s="384" t="s">
        <v>217</v>
      </c>
      <c r="F8" s="379">
        <v>40000</v>
      </c>
      <c r="G8" s="380">
        <v>27</v>
      </c>
      <c r="H8" s="189"/>
      <c r="I8" s="385" t="s">
        <v>218</v>
      </c>
      <c r="J8" s="382">
        <v>10000</v>
      </c>
      <c r="K8" s="382">
        <v>13</v>
      </c>
      <c r="M8" s="366" t="s">
        <v>219</v>
      </c>
      <c r="N8" s="366" t="str">
        <f>VLOOKUP("*"&amp;M8&amp;"*",'Solar Station Addition'!$A$3:$A$34,1,FALSE)</f>
        <v>江苏省</v>
      </c>
      <c r="O8" s="124">
        <f>SUM(B7:B10)</f>
        <v>70000</v>
      </c>
      <c r="P8" s="124">
        <f>SUM(F15:F32)</f>
        <v>331010</v>
      </c>
      <c r="Q8" s="366">
        <f>SUM(J19:J37)</f>
        <v>361010</v>
      </c>
      <c r="T8" s="343" t="s">
        <v>219</v>
      </c>
      <c r="U8" s="342">
        <v>260</v>
      </c>
    </row>
    <row r="9" ht="26.25" spans="1:21">
      <c r="A9" s="383" t="s">
        <v>220</v>
      </c>
      <c r="B9" s="377">
        <v>20000</v>
      </c>
      <c r="C9" s="377"/>
      <c r="D9" s="189"/>
      <c r="E9" s="384" t="s">
        <v>221</v>
      </c>
      <c r="F9" s="379">
        <v>22000</v>
      </c>
      <c r="G9" s="380">
        <v>66</v>
      </c>
      <c r="H9" s="189"/>
      <c r="I9" s="385" t="s">
        <v>222</v>
      </c>
      <c r="J9" s="382">
        <v>20000</v>
      </c>
      <c r="K9" s="382">
        <v>18</v>
      </c>
      <c r="M9" s="366" t="s">
        <v>223</v>
      </c>
      <c r="N9" s="366" t="str">
        <f>VLOOKUP("*"&amp;M9&amp;"*",'Solar Station Addition'!$A$3:$A$34,1,FALSE)</f>
        <v>安徽省</v>
      </c>
      <c r="O9" s="366"/>
      <c r="P9" s="366"/>
      <c r="Q9" s="366">
        <f>J39</f>
        <v>14600</v>
      </c>
      <c r="T9" s="349" t="s">
        <v>224</v>
      </c>
      <c r="U9" s="342">
        <v>0</v>
      </c>
    </row>
    <row r="10" ht="14.6" spans="1:21">
      <c r="A10" s="383" t="s">
        <v>225</v>
      </c>
      <c r="B10" s="377">
        <v>10000</v>
      </c>
      <c r="C10" s="377">
        <v>39</v>
      </c>
      <c r="D10" s="189"/>
      <c r="E10" s="384" t="s">
        <v>226</v>
      </c>
      <c r="F10" s="379">
        <v>15000</v>
      </c>
      <c r="G10" s="380">
        <v>665</v>
      </c>
      <c r="H10" s="189"/>
      <c r="I10" s="385" t="s">
        <v>217</v>
      </c>
      <c r="J10" s="382">
        <v>99000</v>
      </c>
      <c r="K10" s="382">
        <v>7081</v>
      </c>
      <c r="M10" s="366" t="s">
        <v>227</v>
      </c>
      <c r="N10" s="366" t="str">
        <f>VLOOKUP("*"&amp;M10&amp;"*",'Solar Station Addition'!$A$3:$A$34,1,FALSE)</f>
        <v>山东省</v>
      </c>
      <c r="O10" s="124">
        <f>B12</f>
        <v>18000</v>
      </c>
      <c r="P10" s="124">
        <f>SUM(F34:F36)</f>
        <v>35000</v>
      </c>
      <c r="Q10" s="366">
        <f>SUM(J41:J46)</f>
        <v>61500</v>
      </c>
      <c r="T10" s="342" t="s">
        <v>228</v>
      </c>
      <c r="U10" s="342">
        <v>63</v>
      </c>
    </row>
    <row r="11" ht="14.6" spans="1:21">
      <c r="A11" s="376" t="s">
        <v>229</v>
      </c>
      <c r="B11" s="377"/>
      <c r="C11" s="377"/>
      <c r="D11" s="189"/>
      <c r="E11" s="384" t="s">
        <v>230</v>
      </c>
      <c r="F11" s="379">
        <v>10000</v>
      </c>
      <c r="G11" s="380">
        <v>564</v>
      </c>
      <c r="H11" s="189"/>
      <c r="I11" s="385" t="s">
        <v>221</v>
      </c>
      <c r="J11" s="382">
        <v>22000</v>
      </c>
      <c r="K11" s="382">
        <v>4002</v>
      </c>
      <c r="M11" s="366" t="s">
        <v>231</v>
      </c>
      <c r="N11" s="366" t="str">
        <f>VLOOKUP("*"&amp;M11&amp;"*",'Solar Station Addition'!$A$3:$A$34,1,FALSE)</f>
        <v>湖北省</v>
      </c>
      <c r="O11" s="366"/>
      <c r="P11" s="366"/>
      <c r="Q11" s="366">
        <f>J48</f>
        <v>8966</v>
      </c>
      <c r="T11" s="342" t="s">
        <v>232</v>
      </c>
      <c r="U11" s="342">
        <v>5</v>
      </c>
    </row>
    <row r="12" ht="14.6" spans="1:21">
      <c r="A12" s="383" t="s">
        <v>233</v>
      </c>
      <c r="B12" s="377">
        <v>18000</v>
      </c>
      <c r="C12" s="377">
        <v>307</v>
      </c>
      <c r="D12" s="189"/>
      <c r="E12" s="378" t="s">
        <v>215</v>
      </c>
      <c r="F12" s="379"/>
      <c r="G12" s="380"/>
      <c r="H12" s="189"/>
      <c r="I12" s="385" t="s">
        <v>234</v>
      </c>
      <c r="J12" s="382">
        <v>35000</v>
      </c>
      <c r="K12" s="382">
        <v>2415</v>
      </c>
      <c r="M12" s="366" t="s">
        <v>235</v>
      </c>
      <c r="N12" s="366" t="str">
        <f>VLOOKUP("*"&amp;M12&amp;"*",'Solar Station Addition'!$A$3:$A$34,1,FALSE)</f>
        <v>广东省</v>
      </c>
      <c r="O12" s="366"/>
      <c r="P12" s="124">
        <f>F38</f>
        <v>8100</v>
      </c>
      <c r="Q12" s="366">
        <f>J50</f>
        <v>8100</v>
      </c>
      <c r="T12" s="342" t="s">
        <v>236</v>
      </c>
      <c r="U12" s="342">
        <v>60</v>
      </c>
    </row>
    <row r="13" ht="14.6" spans="1:21">
      <c r="A13" s="376" t="s">
        <v>237</v>
      </c>
      <c r="B13" s="377"/>
      <c r="C13" s="377"/>
      <c r="D13" s="189"/>
      <c r="E13" s="384" t="s">
        <v>205</v>
      </c>
      <c r="F13" s="379">
        <v>6688</v>
      </c>
      <c r="G13" s="380">
        <v>656</v>
      </c>
      <c r="H13" s="189"/>
      <c r="I13" s="385" t="s">
        <v>238</v>
      </c>
      <c r="J13" s="382">
        <v>10000</v>
      </c>
      <c r="K13" s="382">
        <v>1545</v>
      </c>
      <c r="M13" s="366" t="s">
        <v>239</v>
      </c>
      <c r="N13" s="366" t="str">
        <f>VLOOKUP("*"&amp;M13&amp;"*",'Solar Station Addition'!$A$3:$A$34,1,FALSE)</f>
        <v>海南省</v>
      </c>
      <c r="O13" s="366"/>
      <c r="P13" s="124">
        <f>F40</f>
        <v>20000</v>
      </c>
      <c r="Q13" s="366">
        <f>J52</f>
        <v>20000</v>
      </c>
      <c r="T13" s="342" t="s">
        <v>240</v>
      </c>
      <c r="U13" s="342">
        <v>20</v>
      </c>
    </row>
    <row r="14" ht="14.6" spans="1:21">
      <c r="A14" s="383" t="s">
        <v>241</v>
      </c>
      <c r="B14" s="377">
        <v>10000</v>
      </c>
      <c r="C14" s="377">
        <v>381</v>
      </c>
      <c r="D14" s="189"/>
      <c r="E14" s="378" t="s">
        <v>219</v>
      </c>
      <c r="F14" s="379"/>
      <c r="G14" s="380"/>
      <c r="H14" s="189"/>
      <c r="I14" s="381" t="s">
        <v>212</v>
      </c>
      <c r="J14" s="382"/>
      <c r="K14" s="382"/>
      <c r="M14" s="366" t="s">
        <v>242</v>
      </c>
      <c r="N14" s="366" t="str">
        <f>VLOOKUP("*"&amp;M14&amp;"*",'Solar Station Addition'!$A$3:$A$34,1,FALSE)</f>
        <v>云南省</v>
      </c>
      <c r="O14" s="124">
        <f>B14+B15</f>
        <v>20000</v>
      </c>
      <c r="P14" s="124">
        <f>F42+F43</f>
        <v>20000</v>
      </c>
      <c r="Q14" s="366">
        <f>SUM(J54:J56)</f>
        <v>30000</v>
      </c>
      <c r="T14" s="342" t="s">
        <v>243</v>
      </c>
      <c r="U14" s="342">
        <v>79</v>
      </c>
    </row>
    <row r="15" ht="14.6" spans="1:21">
      <c r="A15" s="383" t="s">
        <v>244</v>
      </c>
      <c r="B15" s="377">
        <v>10000</v>
      </c>
      <c r="C15" s="377">
        <v>840</v>
      </c>
      <c r="D15" s="189"/>
      <c r="E15" s="384" t="s">
        <v>245</v>
      </c>
      <c r="F15" s="379">
        <v>20000</v>
      </c>
      <c r="G15" s="380">
        <v>2180</v>
      </c>
      <c r="H15" s="189"/>
      <c r="I15" s="385" t="s">
        <v>246</v>
      </c>
      <c r="J15" s="382">
        <v>10000</v>
      </c>
      <c r="K15" s="382">
        <v>1</v>
      </c>
      <c r="M15" s="366" t="s">
        <v>247</v>
      </c>
      <c r="N15" s="366" t="str">
        <f>VLOOKUP("*"&amp;M15&amp;"*",'Solar Station Addition'!$A$3:$A$34,1,FALSE)</f>
        <v>西藏自治区</v>
      </c>
      <c r="O15" s="366"/>
      <c r="P15" s="124">
        <f>SUM(F45:F48)</f>
        <v>40100</v>
      </c>
      <c r="Q15" s="366">
        <f>SUM(J58:J64)</f>
        <v>80100</v>
      </c>
      <c r="T15" s="342" t="s">
        <v>248</v>
      </c>
      <c r="U15" s="342">
        <v>100</v>
      </c>
    </row>
    <row r="16" ht="14.6" spans="1:21">
      <c r="A16" s="376" t="s">
        <v>249</v>
      </c>
      <c r="B16" s="377"/>
      <c r="C16" s="377"/>
      <c r="D16" s="189"/>
      <c r="E16" s="384" t="s">
        <v>216</v>
      </c>
      <c r="F16" s="379">
        <v>20000</v>
      </c>
      <c r="G16" s="380">
        <v>2273</v>
      </c>
      <c r="H16" s="189"/>
      <c r="I16" s="381" t="s">
        <v>215</v>
      </c>
      <c r="J16" s="382"/>
      <c r="K16" s="382"/>
      <c r="M16" s="366" t="s">
        <v>250</v>
      </c>
      <c r="N16" s="366" t="str">
        <f>VLOOKUP("*"&amp;M16&amp;"*",'Solar Station Addition'!$A$3:$A$34,1,FALSE)</f>
        <v>陕西省</v>
      </c>
      <c r="O16" s="366"/>
      <c r="P16" s="124">
        <f>F50</f>
        <v>20000</v>
      </c>
      <c r="Q16" s="366">
        <f>J66</f>
        <v>20000</v>
      </c>
      <c r="T16" s="343" t="s">
        <v>239</v>
      </c>
      <c r="U16" s="342">
        <v>10</v>
      </c>
    </row>
    <row r="17" ht="14.6" spans="1:21">
      <c r="A17" s="383" t="s">
        <v>251</v>
      </c>
      <c r="B17" s="377">
        <v>10000</v>
      </c>
      <c r="C17" s="377"/>
      <c r="D17" s="189"/>
      <c r="E17" s="384" t="s">
        <v>220</v>
      </c>
      <c r="F17" s="379">
        <v>20000</v>
      </c>
      <c r="G17" s="380">
        <v>1953</v>
      </c>
      <c r="H17" s="189"/>
      <c r="I17" s="385" t="s">
        <v>252</v>
      </c>
      <c r="J17" s="382">
        <v>6688</v>
      </c>
      <c r="K17" s="382">
        <v>671</v>
      </c>
      <c r="M17" s="366" t="s">
        <v>201</v>
      </c>
      <c r="N17" s="366" t="str">
        <f>VLOOKUP("*"&amp;M17&amp;"*",'Solar Station Addition'!$A$3:$A$34,1,FALSE)</f>
        <v>甘肃省</v>
      </c>
      <c r="O17" s="366"/>
      <c r="P17" s="124">
        <f>SUM(F52:F61)</f>
        <v>111000</v>
      </c>
      <c r="Q17" s="366">
        <f>SUM(J68:J92)</f>
        <v>382000</v>
      </c>
      <c r="T17" s="343" t="s">
        <v>212</v>
      </c>
      <c r="U17" s="342">
        <v>10</v>
      </c>
    </row>
    <row r="18" ht="14.6" spans="1:21">
      <c r="A18" s="383" t="s">
        <v>253</v>
      </c>
      <c r="B18" s="377">
        <v>10000</v>
      </c>
      <c r="C18" s="377"/>
      <c r="D18" s="189"/>
      <c r="E18" s="384" t="s">
        <v>225</v>
      </c>
      <c r="F18" s="379">
        <v>30000</v>
      </c>
      <c r="G18" s="380">
        <v>1196</v>
      </c>
      <c r="H18" s="189"/>
      <c r="I18" s="381" t="s">
        <v>219</v>
      </c>
      <c r="J18" s="382"/>
      <c r="K18" s="382"/>
      <c r="M18" s="366" t="s">
        <v>204</v>
      </c>
      <c r="N18" s="366" t="str">
        <f>VLOOKUP("*"&amp;M18&amp;"*",'Solar Station Addition'!$A$3:$A$34,1,FALSE)</f>
        <v>青海省</v>
      </c>
      <c r="O18" s="366"/>
      <c r="P18" s="124">
        <f>SUM(F63:F96)</f>
        <v>938000</v>
      </c>
      <c r="Q18" s="366">
        <f>SUM(J94:J141)</f>
        <v>1363000</v>
      </c>
      <c r="T18" s="343" t="s">
        <v>254</v>
      </c>
      <c r="U18" s="342">
        <v>0</v>
      </c>
    </row>
    <row r="19" ht="14.6" spans="1:21">
      <c r="A19" s="383" t="s">
        <v>255</v>
      </c>
      <c r="B19" s="377">
        <v>330</v>
      </c>
      <c r="C19" s="377">
        <v>48</v>
      </c>
      <c r="D19" s="189"/>
      <c r="E19" s="384" t="s">
        <v>256</v>
      </c>
      <c r="F19" s="379">
        <v>20000</v>
      </c>
      <c r="G19" s="380">
        <v>12</v>
      </c>
      <c r="H19" s="189"/>
      <c r="I19" s="385" t="s">
        <v>245</v>
      </c>
      <c r="J19" s="382">
        <v>20000</v>
      </c>
      <c r="K19" s="382">
        <v>2134</v>
      </c>
      <c r="M19" s="366" t="s">
        <v>257</v>
      </c>
      <c r="N19" s="366" t="str">
        <f>VLOOKUP("*"&amp;M19&amp;"*",'Solar Station Addition'!$A$3:$A$34,1,FALSE)</f>
        <v>宁夏回族自治区</v>
      </c>
      <c r="O19" s="124">
        <f>SUM(B17:B26)</f>
        <v>90330</v>
      </c>
      <c r="P19" s="386">
        <f>SUM(F98:F127)</f>
        <v>491330</v>
      </c>
      <c r="Q19" s="366">
        <f>SUM(J143:J175)</f>
        <v>530830</v>
      </c>
      <c r="T19" s="343" t="s">
        <v>258</v>
      </c>
      <c r="U19" s="342">
        <v>5</v>
      </c>
    </row>
    <row r="20" ht="14.6" spans="1:21">
      <c r="A20" s="383" t="s">
        <v>259</v>
      </c>
      <c r="B20" s="377">
        <v>10000</v>
      </c>
      <c r="C20" s="377">
        <v>1644</v>
      </c>
      <c r="D20" s="189"/>
      <c r="E20" s="384" t="s">
        <v>260</v>
      </c>
      <c r="F20" s="379">
        <v>8900</v>
      </c>
      <c r="G20" s="380">
        <v>1</v>
      </c>
      <c r="H20" s="189"/>
      <c r="I20" s="385" t="s">
        <v>216</v>
      </c>
      <c r="J20" s="382">
        <v>20000</v>
      </c>
      <c r="K20" s="382">
        <v>2367</v>
      </c>
      <c r="M20" s="366" t="s">
        <v>209</v>
      </c>
      <c r="N20" s="366" t="str">
        <f>VLOOKUP("*"&amp;M20&amp;"*",'Solar Station Addition'!$A$3:$A$34,1,FALSE)</f>
        <v>新疆维吾尔自治区</v>
      </c>
      <c r="O20" s="366"/>
      <c r="P20" s="366"/>
      <c r="Q20" s="366">
        <f>SUM(J177:J185)</f>
        <v>180000</v>
      </c>
      <c r="T20" s="342" t="s">
        <v>261</v>
      </c>
      <c r="U20" s="342">
        <v>16</v>
      </c>
    </row>
    <row r="21" ht="14.6" spans="1:21">
      <c r="A21" s="383" t="s">
        <v>262</v>
      </c>
      <c r="B21" s="377">
        <v>10000</v>
      </c>
      <c r="C21" s="377">
        <v>1130</v>
      </c>
      <c r="D21" s="189"/>
      <c r="E21" s="384" t="s">
        <v>263</v>
      </c>
      <c r="F21" s="379">
        <v>6980</v>
      </c>
      <c r="G21" s="380"/>
      <c r="H21" s="189"/>
      <c r="I21" s="385" t="s">
        <v>220</v>
      </c>
      <c r="J21" s="382">
        <v>20000</v>
      </c>
      <c r="K21" s="382">
        <v>2142</v>
      </c>
      <c r="T21" s="342" t="s">
        <v>264</v>
      </c>
      <c r="U21" s="342">
        <v>0</v>
      </c>
    </row>
    <row r="22" ht="14.6" spans="1:21">
      <c r="A22" s="383" t="s">
        <v>265</v>
      </c>
      <c r="B22" s="377">
        <v>10000</v>
      </c>
      <c r="C22" s="377"/>
      <c r="D22" s="189"/>
      <c r="E22" s="384" t="s">
        <v>266</v>
      </c>
      <c r="F22" s="379">
        <v>9800</v>
      </c>
      <c r="G22" s="380">
        <v>17</v>
      </c>
      <c r="H22" s="189"/>
      <c r="I22" s="385" t="s">
        <v>225</v>
      </c>
      <c r="J22" s="382">
        <v>30000</v>
      </c>
      <c r="K22" s="382">
        <v>3533</v>
      </c>
      <c r="T22" s="342" t="s">
        <v>267</v>
      </c>
      <c r="U22" s="342">
        <v>0</v>
      </c>
    </row>
    <row r="23" ht="14.6" spans="1:21">
      <c r="A23" s="383" t="s">
        <v>268</v>
      </c>
      <c r="B23" s="377">
        <v>10000</v>
      </c>
      <c r="C23" s="377">
        <v>1629</v>
      </c>
      <c r="D23" s="189"/>
      <c r="E23" s="384" t="s">
        <v>269</v>
      </c>
      <c r="F23" s="379">
        <v>20000</v>
      </c>
      <c r="G23" s="380">
        <v>11</v>
      </c>
      <c r="H23" s="189"/>
      <c r="I23" s="385" t="s">
        <v>256</v>
      </c>
      <c r="J23" s="382">
        <v>20000</v>
      </c>
      <c r="K23" s="382">
        <v>2453</v>
      </c>
      <c r="T23" s="342" t="s">
        <v>270</v>
      </c>
      <c r="U23" s="342">
        <v>0</v>
      </c>
    </row>
    <row r="24" ht="14.6" spans="1:21">
      <c r="A24" s="383" t="s">
        <v>271</v>
      </c>
      <c r="B24" s="377">
        <v>10000</v>
      </c>
      <c r="C24" s="377">
        <v>1479</v>
      </c>
      <c r="D24" s="189"/>
      <c r="E24" s="384" t="s">
        <v>272</v>
      </c>
      <c r="F24" s="379">
        <v>6430</v>
      </c>
      <c r="G24" s="380">
        <v>7</v>
      </c>
      <c r="H24" s="189"/>
      <c r="I24" s="385" t="s">
        <v>260</v>
      </c>
      <c r="J24" s="382">
        <v>8900</v>
      </c>
      <c r="K24" s="382">
        <v>897</v>
      </c>
      <c r="T24" s="342" t="s">
        <v>273</v>
      </c>
      <c r="U24" s="342">
        <v>2</v>
      </c>
    </row>
    <row r="25" spans="1:21">
      <c r="A25" s="383" t="s">
        <v>274</v>
      </c>
      <c r="B25" s="377">
        <v>10000</v>
      </c>
      <c r="C25" s="377"/>
      <c r="D25" s="189"/>
      <c r="E25" s="384" t="s">
        <v>275</v>
      </c>
      <c r="F25" s="379">
        <v>9300</v>
      </c>
      <c r="G25" s="380">
        <v>4</v>
      </c>
      <c r="H25" s="189"/>
      <c r="I25" s="385" t="s">
        <v>263</v>
      </c>
      <c r="J25" s="382">
        <v>6980</v>
      </c>
      <c r="K25" s="382"/>
    </row>
    <row r="26" spans="1:21">
      <c r="A26" s="387" t="s">
        <v>276</v>
      </c>
      <c r="B26" s="388">
        <v>10000</v>
      </c>
      <c r="C26" s="388"/>
      <c r="D26" s="189"/>
      <c r="E26" s="384" t="s">
        <v>277</v>
      </c>
      <c r="F26" s="379">
        <v>9800</v>
      </c>
      <c r="G26" s="380"/>
      <c r="H26" s="189"/>
      <c r="I26" s="385" t="s">
        <v>278</v>
      </c>
      <c r="J26" s="382">
        <v>9800</v>
      </c>
      <c r="K26" s="382">
        <v>1224</v>
      </c>
    </row>
    <row r="27" spans="1:21">
      <c r="A27" s="189"/>
      <c r="B27" s="189"/>
      <c r="C27" s="189"/>
      <c r="D27" s="189"/>
      <c r="E27" s="384" t="s">
        <v>279</v>
      </c>
      <c r="F27" s="379">
        <v>30000</v>
      </c>
      <c r="G27" s="380">
        <v>4</v>
      </c>
      <c r="H27" s="189"/>
      <c r="I27" s="385" t="s">
        <v>269</v>
      </c>
      <c r="J27" s="382">
        <v>20000</v>
      </c>
      <c r="K27" s="382">
        <v>2465</v>
      </c>
    </row>
    <row r="28" spans="1:21">
      <c r="A28" s="189"/>
      <c r="B28" s="189"/>
      <c r="C28" s="189"/>
      <c r="D28" s="189"/>
      <c r="E28" s="384" t="s">
        <v>280</v>
      </c>
      <c r="F28" s="379">
        <v>20000</v>
      </c>
      <c r="G28" s="380">
        <v>1</v>
      </c>
      <c r="H28" s="189"/>
      <c r="I28" s="385" t="s">
        <v>281</v>
      </c>
      <c r="J28" s="382">
        <v>6430</v>
      </c>
      <c r="K28" s="382">
        <v>509</v>
      </c>
    </row>
    <row r="29" spans="1:21">
      <c r="A29" s="189"/>
      <c r="B29" s="189"/>
      <c r="C29" s="189"/>
      <c r="D29" s="189"/>
      <c r="E29" s="384" t="s">
        <v>282</v>
      </c>
      <c r="F29" s="379">
        <v>20000</v>
      </c>
      <c r="G29" s="380">
        <v>21</v>
      </c>
      <c r="H29" s="189"/>
      <c r="I29" s="389" t="s">
        <v>275</v>
      </c>
      <c r="J29" s="390">
        <v>9300</v>
      </c>
      <c r="K29" s="390">
        <v>917</v>
      </c>
    </row>
    <row r="30" spans="1:21">
      <c r="A30" s="189"/>
      <c r="B30" s="189"/>
      <c r="C30" s="189"/>
      <c r="D30" s="189"/>
      <c r="E30" s="384" t="s">
        <v>283</v>
      </c>
      <c r="F30" s="379">
        <v>60000</v>
      </c>
      <c r="G30" s="380">
        <v>4</v>
      </c>
      <c r="H30" s="189"/>
      <c r="I30" s="391" t="s">
        <v>277</v>
      </c>
      <c r="J30" s="375">
        <v>9800</v>
      </c>
      <c r="K30" s="375">
        <v>1042</v>
      </c>
    </row>
    <row r="31" spans="1:21">
      <c r="A31" s="189"/>
      <c r="B31" s="189"/>
      <c r="C31" s="189"/>
      <c r="D31" s="189"/>
      <c r="E31" s="384" t="s">
        <v>284</v>
      </c>
      <c r="F31" s="379">
        <v>10000</v>
      </c>
      <c r="G31" s="380"/>
      <c r="H31" s="189"/>
      <c r="I31" s="385" t="s">
        <v>279</v>
      </c>
      <c r="J31" s="382">
        <v>30000</v>
      </c>
      <c r="K31" s="382">
        <v>3090</v>
      </c>
    </row>
    <row r="32" spans="1:21">
      <c r="A32" s="189"/>
      <c r="B32" s="189"/>
      <c r="C32" s="189"/>
      <c r="D32" s="189"/>
      <c r="E32" s="384" t="s">
        <v>285</v>
      </c>
      <c r="F32" s="379">
        <v>9800</v>
      </c>
      <c r="G32" s="380">
        <v>11</v>
      </c>
      <c r="H32" s="189"/>
      <c r="I32" s="385" t="s">
        <v>286</v>
      </c>
      <c r="J32" s="382">
        <v>20000</v>
      </c>
      <c r="K32" s="382">
        <v>2304</v>
      </c>
    </row>
    <row r="33" spans="1:11">
      <c r="A33" s="189"/>
      <c r="B33" s="189"/>
      <c r="C33" s="189"/>
      <c r="D33" s="189"/>
      <c r="E33" s="392" t="s">
        <v>227</v>
      </c>
      <c r="F33" s="393"/>
      <c r="G33" s="393"/>
      <c r="H33" s="189"/>
      <c r="I33" s="385" t="s">
        <v>287</v>
      </c>
      <c r="J33" s="382">
        <v>20000</v>
      </c>
      <c r="K33" s="382">
        <v>2276</v>
      </c>
    </row>
    <row r="34" spans="1:11">
      <c r="A34" s="189"/>
      <c r="B34" s="189"/>
      <c r="C34" s="189"/>
      <c r="D34" s="189"/>
      <c r="E34" s="394" t="s">
        <v>288</v>
      </c>
      <c r="F34" s="372">
        <v>7000</v>
      </c>
      <c r="G34" s="373">
        <v>807</v>
      </c>
      <c r="H34" s="189"/>
      <c r="I34" s="385" t="s">
        <v>283</v>
      </c>
      <c r="J34" s="382">
        <v>60000</v>
      </c>
      <c r="K34" s="382">
        <v>7625</v>
      </c>
    </row>
    <row r="35" spans="1:11">
      <c r="A35" s="189"/>
      <c r="B35" s="189"/>
      <c r="C35" s="189"/>
      <c r="D35" s="189"/>
      <c r="E35" s="384" t="s">
        <v>233</v>
      </c>
      <c r="F35" s="379">
        <v>18000</v>
      </c>
      <c r="G35" s="380">
        <v>2037</v>
      </c>
      <c r="H35" s="189"/>
      <c r="I35" s="385" t="s">
        <v>284</v>
      </c>
      <c r="J35" s="382">
        <v>10000</v>
      </c>
      <c r="K35" s="382"/>
    </row>
    <row r="36" spans="1:11">
      <c r="A36" s="189"/>
      <c r="B36" s="189"/>
      <c r="C36" s="189"/>
      <c r="D36" s="189"/>
      <c r="E36" s="384" t="s">
        <v>289</v>
      </c>
      <c r="F36" s="379">
        <v>10000</v>
      </c>
      <c r="G36" s="380">
        <v>1265</v>
      </c>
      <c r="H36" s="189"/>
      <c r="I36" s="385" t="s">
        <v>290</v>
      </c>
      <c r="J36" s="382">
        <v>9800</v>
      </c>
      <c r="K36" s="382">
        <v>883</v>
      </c>
    </row>
    <row r="37" spans="1:11">
      <c r="A37" s="189"/>
      <c r="B37" s="189"/>
      <c r="C37" s="189"/>
      <c r="D37" s="189"/>
      <c r="E37" s="378" t="s">
        <v>235</v>
      </c>
      <c r="F37" s="379"/>
      <c r="G37" s="380"/>
      <c r="H37" s="189"/>
      <c r="I37" s="385" t="s">
        <v>291</v>
      </c>
      <c r="J37" s="382">
        <v>30000</v>
      </c>
      <c r="K37" s="382">
        <v>22</v>
      </c>
    </row>
    <row r="38" spans="1:11">
      <c r="A38" s="189"/>
      <c r="B38" s="189"/>
      <c r="C38" s="189"/>
      <c r="D38" s="189"/>
      <c r="E38" s="384" t="s">
        <v>292</v>
      </c>
      <c r="F38" s="379">
        <v>8100</v>
      </c>
      <c r="G38" s="380">
        <v>143</v>
      </c>
      <c r="H38" s="189"/>
      <c r="I38" s="381" t="s">
        <v>223</v>
      </c>
      <c r="J38" s="382"/>
      <c r="K38" s="382"/>
    </row>
    <row r="39" spans="1:11">
      <c r="A39" s="189"/>
      <c r="B39" s="189"/>
      <c r="C39" s="189"/>
      <c r="D39" s="189"/>
      <c r="E39" s="378" t="s">
        <v>239</v>
      </c>
      <c r="F39" s="379"/>
      <c r="G39" s="380"/>
      <c r="H39" s="189"/>
      <c r="I39" s="385" t="s">
        <v>293</v>
      </c>
      <c r="J39" s="382">
        <v>14600</v>
      </c>
      <c r="K39" s="382">
        <v>179</v>
      </c>
    </row>
    <row r="40" spans="1:11">
      <c r="A40" s="189"/>
      <c r="B40" s="189"/>
      <c r="C40" s="189"/>
      <c r="D40" s="189"/>
      <c r="E40" s="384" t="s">
        <v>294</v>
      </c>
      <c r="F40" s="379">
        <v>20000</v>
      </c>
      <c r="G40" s="380">
        <v>352</v>
      </c>
      <c r="H40" s="189"/>
      <c r="I40" s="381" t="s">
        <v>227</v>
      </c>
      <c r="J40" s="382"/>
      <c r="K40" s="382"/>
    </row>
    <row r="41" spans="1:11">
      <c r="A41" s="189"/>
      <c r="B41" s="189"/>
      <c r="C41" s="189"/>
      <c r="D41" s="189"/>
      <c r="E41" s="378" t="s">
        <v>242</v>
      </c>
      <c r="F41" s="379"/>
      <c r="G41" s="380"/>
      <c r="H41" s="189"/>
      <c r="I41" s="385" t="s">
        <v>288</v>
      </c>
      <c r="J41" s="382">
        <v>7000</v>
      </c>
      <c r="K41" s="382">
        <v>878</v>
      </c>
    </row>
    <row r="42" spans="1:11">
      <c r="A42" s="189"/>
      <c r="B42" s="189"/>
      <c r="C42" s="189"/>
      <c r="D42" s="189"/>
      <c r="E42" s="384" t="s">
        <v>241</v>
      </c>
      <c r="F42" s="379">
        <v>10000</v>
      </c>
      <c r="G42" s="380">
        <v>1310</v>
      </c>
      <c r="H42" s="189"/>
      <c r="I42" s="385" t="s">
        <v>295</v>
      </c>
      <c r="J42" s="382">
        <v>10000</v>
      </c>
      <c r="K42" s="382">
        <v>1624</v>
      </c>
    </row>
    <row r="43" spans="1:11">
      <c r="A43" s="189"/>
      <c r="B43" s="189"/>
      <c r="C43" s="189"/>
      <c r="D43" s="189"/>
      <c r="E43" s="384" t="s">
        <v>244</v>
      </c>
      <c r="F43" s="379">
        <v>10000</v>
      </c>
      <c r="G43" s="380">
        <v>1306</v>
      </c>
      <c r="H43" s="189"/>
      <c r="I43" s="385" t="s">
        <v>233</v>
      </c>
      <c r="J43" s="382">
        <v>18000</v>
      </c>
      <c r="K43" s="382">
        <v>2007</v>
      </c>
    </row>
    <row r="44" spans="1:11">
      <c r="A44" s="189"/>
      <c r="B44" s="189"/>
      <c r="C44" s="189"/>
      <c r="D44" s="189"/>
      <c r="E44" s="378" t="s">
        <v>247</v>
      </c>
      <c r="F44" s="379"/>
      <c r="G44" s="380"/>
      <c r="H44" s="189"/>
      <c r="I44" s="385" t="s">
        <v>296</v>
      </c>
      <c r="J44" s="382">
        <v>7500</v>
      </c>
      <c r="K44" s="382">
        <v>618</v>
      </c>
    </row>
    <row r="45" spans="1:11">
      <c r="A45" s="189"/>
      <c r="B45" s="189"/>
      <c r="C45" s="189"/>
      <c r="D45" s="189"/>
      <c r="E45" s="384" t="s">
        <v>297</v>
      </c>
      <c r="F45" s="379">
        <v>10100</v>
      </c>
      <c r="G45" s="380">
        <v>1786</v>
      </c>
      <c r="H45" s="189"/>
      <c r="I45" s="385" t="s">
        <v>298</v>
      </c>
      <c r="J45" s="382">
        <v>10000</v>
      </c>
      <c r="K45" s="382">
        <v>447</v>
      </c>
    </row>
    <row r="46" spans="1:11">
      <c r="A46" s="189"/>
      <c r="B46" s="189"/>
      <c r="C46" s="189"/>
      <c r="D46" s="189"/>
      <c r="E46" s="384" t="s">
        <v>299</v>
      </c>
      <c r="F46" s="379">
        <v>10000</v>
      </c>
      <c r="G46" s="380">
        <v>1349</v>
      </c>
      <c r="H46" s="189"/>
      <c r="I46" s="385" t="s">
        <v>300</v>
      </c>
      <c r="J46" s="382">
        <v>9000</v>
      </c>
      <c r="K46" s="382">
        <v>704</v>
      </c>
    </row>
    <row r="47" spans="1:11">
      <c r="A47" s="189"/>
      <c r="B47" s="189"/>
      <c r="C47" s="189"/>
      <c r="D47" s="189"/>
      <c r="E47" s="384" t="s">
        <v>301</v>
      </c>
      <c r="F47" s="379">
        <v>10000</v>
      </c>
      <c r="G47" s="380">
        <v>599</v>
      </c>
      <c r="H47" s="189"/>
      <c r="I47" s="381" t="s">
        <v>231</v>
      </c>
      <c r="J47" s="382"/>
      <c r="K47" s="382"/>
    </row>
    <row r="48" spans="1:11">
      <c r="A48" s="189"/>
      <c r="B48" s="189"/>
      <c r="C48" s="189"/>
      <c r="D48" s="189"/>
      <c r="E48" s="384" t="s">
        <v>302</v>
      </c>
      <c r="F48" s="379">
        <v>10000</v>
      </c>
      <c r="G48" s="380">
        <v>427</v>
      </c>
      <c r="H48" s="189"/>
      <c r="I48" s="385" t="s">
        <v>303</v>
      </c>
      <c r="J48" s="382">
        <v>8966</v>
      </c>
      <c r="K48" s="382">
        <v>453</v>
      </c>
    </row>
    <row r="49" spans="1:11">
      <c r="A49" s="189"/>
      <c r="B49" s="189"/>
      <c r="C49" s="189"/>
      <c r="D49" s="189"/>
      <c r="E49" s="378" t="s">
        <v>250</v>
      </c>
      <c r="F49" s="379"/>
      <c r="G49" s="380"/>
      <c r="H49" s="189"/>
      <c r="I49" s="381" t="s">
        <v>235</v>
      </c>
      <c r="J49" s="382"/>
      <c r="K49" s="382"/>
    </row>
    <row r="50" spans="1:11">
      <c r="A50" s="189"/>
      <c r="B50" s="189"/>
      <c r="C50" s="189"/>
      <c r="D50" s="189"/>
      <c r="E50" s="384" t="s">
        <v>304</v>
      </c>
      <c r="F50" s="379">
        <v>20000</v>
      </c>
      <c r="G50" s="380"/>
      <c r="H50" s="189"/>
      <c r="I50" s="385" t="s">
        <v>292</v>
      </c>
      <c r="J50" s="382">
        <v>8100</v>
      </c>
      <c r="K50" s="382">
        <v>300</v>
      </c>
    </row>
    <row r="51" spans="1:11">
      <c r="A51" s="189"/>
      <c r="B51" s="189"/>
      <c r="C51" s="189"/>
      <c r="D51" s="189"/>
      <c r="E51" s="378" t="s">
        <v>201</v>
      </c>
      <c r="F51" s="379"/>
      <c r="G51" s="380"/>
      <c r="H51" s="189"/>
      <c r="I51" s="381" t="s">
        <v>239</v>
      </c>
      <c r="J51" s="382"/>
      <c r="K51" s="382"/>
    </row>
    <row r="52" spans="1:11">
      <c r="A52" s="189"/>
      <c r="B52" s="189"/>
      <c r="C52" s="189"/>
      <c r="D52" s="189"/>
      <c r="E52" s="384" t="s">
        <v>305</v>
      </c>
      <c r="F52" s="379">
        <v>10000</v>
      </c>
      <c r="G52" s="380">
        <v>951</v>
      </c>
      <c r="H52" s="189"/>
      <c r="I52" s="385" t="s">
        <v>294</v>
      </c>
      <c r="J52" s="382">
        <v>20000</v>
      </c>
      <c r="K52" s="382">
        <v>2509</v>
      </c>
    </row>
    <row r="53" spans="1:11">
      <c r="A53" s="189"/>
      <c r="B53" s="189"/>
      <c r="C53" s="189"/>
      <c r="D53" s="189"/>
      <c r="E53" s="384" t="s">
        <v>306</v>
      </c>
      <c r="F53" s="379">
        <v>28000</v>
      </c>
      <c r="G53" s="380">
        <v>811</v>
      </c>
      <c r="H53" s="189"/>
      <c r="I53" s="381" t="s">
        <v>242</v>
      </c>
      <c r="J53" s="382"/>
      <c r="K53" s="382"/>
    </row>
    <row r="54" spans="1:11">
      <c r="A54" s="189"/>
      <c r="B54" s="189"/>
      <c r="C54" s="189"/>
      <c r="D54" s="189"/>
      <c r="E54" s="384" t="s">
        <v>307</v>
      </c>
      <c r="F54" s="379">
        <v>10000</v>
      </c>
      <c r="G54" s="380">
        <v>673</v>
      </c>
      <c r="H54" s="189"/>
      <c r="I54" s="385" t="s">
        <v>308</v>
      </c>
      <c r="J54" s="382">
        <v>10000</v>
      </c>
      <c r="K54" s="382">
        <v>90</v>
      </c>
    </row>
    <row r="55" spans="1:11">
      <c r="A55" s="189"/>
      <c r="B55" s="189"/>
      <c r="C55" s="189"/>
      <c r="D55" s="189"/>
      <c r="E55" s="384" t="s">
        <v>309</v>
      </c>
      <c r="F55" s="379">
        <v>3000</v>
      </c>
      <c r="G55" s="380">
        <v>16</v>
      </c>
      <c r="H55" s="189"/>
      <c r="I55" s="385" t="s">
        <v>244</v>
      </c>
      <c r="J55" s="382">
        <v>10000</v>
      </c>
      <c r="K55" s="382">
        <v>1461</v>
      </c>
    </row>
    <row r="56" spans="1:11">
      <c r="A56" s="189"/>
      <c r="B56" s="189"/>
      <c r="C56" s="189"/>
      <c r="D56" s="189"/>
      <c r="E56" s="384" t="s">
        <v>310</v>
      </c>
      <c r="F56" s="379">
        <v>10000</v>
      </c>
      <c r="G56" s="380">
        <v>30</v>
      </c>
      <c r="H56" s="189"/>
      <c r="I56" s="389" t="s">
        <v>241</v>
      </c>
      <c r="J56" s="390">
        <v>10000</v>
      </c>
      <c r="K56" s="390">
        <v>1384</v>
      </c>
    </row>
    <row r="57" spans="1:11">
      <c r="A57" s="189"/>
      <c r="B57" s="189"/>
      <c r="C57" s="189"/>
      <c r="D57" s="189"/>
      <c r="E57" s="384" t="s">
        <v>311</v>
      </c>
      <c r="F57" s="379">
        <v>10000</v>
      </c>
      <c r="G57" s="380"/>
      <c r="H57" s="189"/>
      <c r="I57" s="395" t="s">
        <v>247</v>
      </c>
      <c r="J57" s="375"/>
      <c r="K57" s="375"/>
    </row>
    <row r="58" spans="1:11">
      <c r="A58" s="189"/>
      <c r="B58" s="189"/>
      <c r="C58" s="189"/>
      <c r="D58" s="189"/>
      <c r="E58" s="384" t="s">
        <v>312</v>
      </c>
      <c r="F58" s="379">
        <v>10000</v>
      </c>
      <c r="G58" s="380">
        <v>1616</v>
      </c>
      <c r="H58" s="189"/>
      <c r="I58" s="385" t="s">
        <v>297</v>
      </c>
      <c r="J58" s="382">
        <v>10100</v>
      </c>
      <c r="K58" s="382">
        <v>4100</v>
      </c>
    </row>
    <row r="59" spans="1:11">
      <c r="A59" s="189"/>
      <c r="B59" s="189"/>
      <c r="C59" s="189"/>
      <c r="D59" s="189"/>
      <c r="E59" s="384" t="s">
        <v>313</v>
      </c>
      <c r="F59" s="379">
        <v>10000</v>
      </c>
      <c r="G59" s="380">
        <v>1784</v>
      </c>
      <c r="H59" s="189"/>
      <c r="I59" s="385" t="s">
        <v>299</v>
      </c>
      <c r="J59" s="382">
        <v>10000</v>
      </c>
      <c r="K59" s="382">
        <v>1147</v>
      </c>
    </row>
    <row r="60" spans="1:11">
      <c r="A60" s="189"/>
      <c r="B60" s="189"/>
      <c r="C60" s="189"/>
      <c r="D60" s="189"/>
      <c r="E60" s="384" t="s">
        <v>314</v>
      </c>
      <c r="F60" s="379">
        <v>10000</v>
      </c>
      <c r="G60" s="380">
        <v>212</v>
      </c>
      <c r="H60" s="189"/>
      <c r="I60" s="385" t="s">
        <v>301</v>
      </c>
      <c r="J60" s="382">
        <v>10000</v>
      </c>
      <c r="K60" s="382">
        <v>1182</v>
      </c>
    </row>
    <row r="61" spans="1:11">
      <c r="A61" s="189"/>
      <c r="B61" s="189"/>
      <c r="C61" s="189"/>
      <c r="D61" s="189"/>
      <c r="E61" s="384" t="s">
        <v>315</v>
      </c>
      <c r="F61" s="379">
        <v>10000</v>
      </c>
      <c r="G61" s="380">
        <v>132</v>
      </c>
      <c r="H61" s="189"/>
      <c r="I61" s="385" t="s">
        <v>302</v>
      </c>
      <c r="J61" s="382">
        <v>10000</v>
      </c>
      <c r="K61" s="382">
        <v>466</v>
      </c>
    </row>
    <row r="62" spans="1:11">
      <c r="A62" s="189"/>
      <c r="B62" s="189"/>
      <c r="C62" s="189"/>
      <c r="D62" s="189"/>
      <c r="E62" s="378" t="s">
        <v>204</v>
      </c>
      <c r="F62" s="379"/>
      <c r="G62" s="380"/>
      <c r="H62" s="189"/>
      <c r="I62" s="385" t="s">
        <v>316</v>
      </c>
      <c r="J62" s="382">
        <v>10000</v>
      </c>
      <c r="K62" s="382">
        <v>457</v>
      </c>
    </row>
    <row r="63" spans="1:11">
      <c r="A63" s="189"/>
      <c r="B63" s="189"/>
      <c r="C63" s="189"/>
      <c r="D63" s="189"/>
      <c r="E63" s="384" t="s">
        <v>317</v>
      </c>
      <c r="F63" s="379">
        <v>30000</v>
      </c>
      <c r="G63" s="380">
        <v>841</v>
      </c>
      <c r="H63" s="189"/>
      <c r="I63" s="385" t="s">
        <v>318</v>
      </c>
      <c r="J63" s="382">
        <v>10000</v>
      </c>
      <c r="K63" s="382">
        <v>175</v>
      </c>
    </row>
    <row r="64" spans="1:11">
      <c r="A64" s="189"/>
      <c r="B64" s="189"/>
      <c r="C64" s="189"/>
      <c r="D64" s="189"/>
      <c r="E64" s="396" t="s">
        <v>319</v>
      </c>
      <c r="F64" s="393">
        <v>20000</v>
      </c>
      <c r="G64" s="393">
        <v>665</v>
      </c>
      <c r="H64" s="189"/>
      <c r="I64" s="385" t="s">
        <v>320</v>
      </c>
      <c r="J64" s="382">
        <v>20000</v>
      </c>
      <c r="K64" s="382">
        <v>498</v>
      </c>
    </row>
    <row r="65" spans="1:11">
      <c r="A65" s="189"/>
      <c r="B65" s="189"/>
      <c r="C65" s="189"/>
      <c r="D65" s="189"/>
      <c r="E65" s="394" t="s">
        <v>321</v>
      </c>
      <c r="F65" s="372">
        <v>3000</v>
      </c>
      <c r="G65" s="373">
        <v>110</v>
      </c>
      <c r="H65" s="189"/>
      <c r="I65" s="381" t="s">
        <v>250</v>
      </c>
      <c r="J65" s="382"/>
      <c r="K65" s="382"/>
    </row>
    <row r="66" spans="1:11">
      <c r="A66" s="189"/>
      <c r="B66" s="189"/>
      <c r="C66" s="189"/>
      <c r="D66" s="189"/>
      <c r="E66" s="384" t="s">
        <v>322</v>
      </c>
      <c r="F66" s="379">
        <v>50000</v>
      </c>
      <c r="G66" s="380">
        <v>2420</v>
      </c>
      <c r="H66" s="189"/>
      <c r="I66" s="385" t="s">
        <v>304</v>
      </c>
      <c r="J66" s="382">
        <v>20000</v>
      </c>
      <c r="K66" s="382">
        <v>2489</v>
      </c>
    </row>
    <row r="67" spans="1:11">
      <c r="A67" s="189"/>
      <c r="B67" s="189"/>
      <c r="C67" s="189"/>
      <c r="D67" s="189"/>
      <c r="E67" s="384" t="s">
        <v>323</v>
      </c>
      <c r="F67" s="379">
        <v>50000</v>
      </c>
      <c r="G67" s="380">
        <v>2000</v>
      </c>
      <c r="H67" s="189"/>
      <c r="I67" s="381" t="s">
        <v>201</v>
      </c>
      <c r="J67" s="382"/>
      <c r="K67" s="382"/>
    </row>
    <row r="68" spans="1:11">
      <c r="A68" s="189"/>
      <c r="B68" s="189"/>
      <c r="C68" s="189"/>
      <c r="D68" s="189"/>
      <c r="E68" s="384" t="s">
        <v>324</v>
      </c>
      <c r="F68" s="379">
        <v>100000</v>
      </c>
      <c r="G68" s="380">
        <v>5679</v>
      </c>
      <c r="H68" s="189"/>
      <c r="I68" s="385" t="s">
        <v>305</v>
      </c>
      <c r="J68" s="382">
        <v>10000</v>
      </c>
      <c r="K68" s="382">
        <v>1718</v>
      </c>
    </row>
    <row r="69" spans="1:11">
      <c r="A69" s="189"/>
      <c r="B69" s="189"/>
      <c r="C69" s="189"/>
      <c r="D69" s="189"/>
      <c r="E69" s="384" t="s">
        <v>325</v>
      </c>
      <c r="F69" s="379">
        <v>50000</v>
      </c>
      <c r="G69" s="380">
        <v>972</v>
      </c>
      <c r="H69" s="189"/>
      <c r="I69" s="385" t="s">
        <v>306</v>
      </c>
      <c r="J69" s="382">
        <v>28000</v>
      </c>
      <c r="K69" s="382">
        <v>4176</v>
      </c>
    </row>
    <row r="70" spans="1:11">
      <c r="A70" s="189"/>
      <c r="B70" s="189"/>
      <c r="C70" s="189"/>
      <c r="D70" s="189"/>
      <c r="E70" s="384" t="s">
        <v>326</v>
      </c>
      <c r="F70" s="379">
        <v>200000</v>
      </c>
      <c r="G70" s="380">
        <v>186</v>
      </c>
      <c r="H70" s="189"/>
      <c r="I70" s="385" t="s">
        <v>307</v>
      </c>
      <c r="J70" s="382">
        <v>10000</v>
      </c>
      <c r="K70" s="382">
        <v>1608</v>
      </c>
    </row>
    <row r="71" spans="1:11">
      <c r="A71" s="189"/>
      <c r="B71" s="189"/>
      <c r="C71" s="189"/>
      <c r="D71" s="189"/>
      <c r="E71" s="384" t="s">
        <v>327</v>
      </c>
      <c r="F71" s="379">
        <v>50000</v>
      </c>
      <c r="G71" s="380">
        <v>1261</v>
      </c>
      <c r="H71" s="189"/>
      <c r="I71" s="385" t="s">
        <v>309</v>
      </c>
      <c r="J71" s="382">
        <v>3000</v>
      </c>
      <c r="K71" s="382">
        <v>337</v>
      </c>
    </row>
    <row r="72" spans="1:11">
      <c r="A72" s="189"/>
      <c r="B72" s="189"/>
      <c r="C72" s="189"/>
      <c r="D72" s="189"/>
      <c r="E72" s="384" t="s">
        <v>328</v>
      </c>
      <c r="F72" s="379">
        <v>20000</v>
      </c>
      <c r="G72" s="380"/>
      <c r="H72" s="189"/>
      <c r="I72" s="385" t="s">
        <v>329</v>
      </c>
      <c r="J72" s="382">
        <v>10000</v>
      </c>
      <c r="K72" s="382">
        <v>1612</v>
      </c>
    </row>
    <row r="73" spans="1:11">
      <c r="A73" s="189"/>
      <c r="B73" s="189"/>
      <c r="C73" s="189"/>
      <c r="D73" s="189"/>
      <c r="E73" s="384" t="s">
        <v>330</v>
      </c>
      <c r="F73" s="379">
        <v>20000</v>
      </c>
      <c r="G73" s="380"/>
      <c r="H73" s="189"/>
      <c r="I73" s="385" t="s">
        <v>310</v>
      </c>
      <c r="J73" s="382">
        <v>10000</v>
      </c>
      <c r="K73" s="382">
        <v>1645</v>
      </c>
    </row>
    <row r="74" spans="1:11">
      <c r="A74" s="189"/>
      <c r="B74" s="189"/>
      <c r="C74" s="189"/>
      <c r="D74" s="189"/>
      <c r="E74" s="384" t="s">
        <v>331</v>
      </c>
      <c r="F74" s="379">
        <v>10000</v>
      </c>
      <c r="G74" s="380"/>
      <c r="H74" s="189"/>
      <c r="I74" s="385" t="s">
        <v>311</v>
      </c>
      <c r="J74" s="382">
        <v>10000</v>
      </c>
      <c r="K74" s="382">
        <v>1254</v>
      </c>
    </row>
    <row r="75" spans="1:11">
      <c r="A75" s="189"/>
      <c r="B75" s="189"/>
      <c r="C75" s="189"/>
      <c r="D75" s="189"/>
      <c r="E75" s="384" t="s">
        <v>332</v>
      </c>
      <c r="F75" s="379">
        <v>10000</v>
      </c>
      <c r="G75" s="380"/>
      <c r="H75" s="189"/>
      <c r="I75" s="385" t="s">
        <v>333</v>
      </c>
      <c r="J75" s="382">
        <v>20000</v>
      </c>
      <c r="K75" s="382">
        <v>2283</v>
      </c>
    </row>
    <row r="76" spans="1:11">
      <c r="A76" s="189"/>
      <c r="B76" s="189"/>
      <c r="C76" s="189"/>
      <c r="D76" s="189"/>
      <c r="E76" s="384" t="s">
        <v>334</v>
      </c>
      <c r="F76" s="379">
        <v>20000</v>
      </c>
      <c r="G76" s="380"/>
      <c r="H76" s="189"/>
      <c r="I76" s="385" t="s">
        <v>335</v>
      </c>
      <c r="J76" s="382">
        <v>9000</v>
      </c>
      <c r="K76" s="382">
        <v>1479</v>
      </c>
    </row>
    <row r="77" spans="1:11">
      <c r="A77" s="189"/>
      <c r="B77" s="189"/>
      <c r="C77" s="189"/>
      <c r="D77" s="189"/>
      <c r="E77" s="384" t="s">
        <v>336</v>
      </c>
      <c r="F77" s="379">
        <v>10000</v>
      </c>
      <c r="G77" s="380"/>
      <c r="H77" s="189"/>
      <c r="I77" s="385" t="s">
        <v>337</v>
      </c>
      <c r="J77" s="382">
        <v>9000</v>
      </c>
      <c r="K77" s="382">
        <v>549</v>
      </c>
    </row>
    <row r="78" spans="1:11">
      <c r="A78" s="189"/>
      <c r="B78" s="189"/>
      <c r="C78" s="189"/>
      <c r="D78" s="189"/>
      <c r="E78" s="384" t="s">
        <v>338</v>
      </c>
      <c r="F78" s="379">
        <v>20000</v>
      </c>
      <c r="G78" s="380"/>
      <c r="H78" s="189"/>
      <c r="I78" s="385" t="s">
        <v>339</v>
      </c>
      <c r="J78" s="382">
        <v>40000</v>
      </c>
      <c r="K78" s="382">
        <v>2436</v>
      </c>
    </row>
    <row r="79" spans="1:11">
      <c r="A79" s="189"/>
      <c r="B79" s="189"/>
      <c r="C79" s="189"/>
      <c r="D79" s="189"/>
      <c r="E79" s="384" t="s">
        <v>340</v>
      </c>
      <c r="F79" s="379">
        <v>10000</v>
      </c>
      <c r="G79" s="380"/>
      <c r="H79" s="189"/>
      <c r="I79" s="385" t="s">
        <v>341</v>
      </c>
      <c r="J79" s="382">
        <v>18000</v>
      </c>
      <c r="K79" s="382">
        <v>989</v>
      </c>
    </row>
    <row r="80" spans="1:11">
      <c r="A80" s="189"/>
      <c r="B80" s="189"/>
      <c r="C80" s="189"/>
      <c r="D80" s="189"/>
      <c r="E80" s="384" t="s">
        <v>342</v>
      </c>
      <c r="F80" s="379">
        <v>5000</v>
      </c>
      <c r="G80" s="380"/>
      <c r="H80" s="189"/>
      <c r="I80" s="385" t="s">
        <v>343</v>
      </c>
      <c r="J80" s="382">
        <v>9000</v>
      </c>
      <c r="K80" s="382">
        <v>512</v>
      </c>
    </row>
    <row r="81" spans="1:11">
      <c r="A81" s="189"/>
      <c r="B81" s="189"/>
      <c r="C81" s="189"/>
      <c r="D81" s="189"/>
      <c r="E81" s="384" t="s">
        <v>344</v>
      </c>
      <c r="F81" s="379">
        <v>10000</v>
      </c>
      <c r="G81" s="380"/>
      <c r="H81" s="189"/>
      <c r="I81" s="385" t="s">
        <v>345</v>
      </c>
      <c r="J81" s="382">
        <v>9000</v>
      </c>
      <c r="K81" s="382">
        <v>508</v>
      </c>
    </row>
    <row r="82" spans="1:11">
      <c r="A82" s="189"/>
      <c r="B82" s="189"/>
      <c r="C82" s="189"/>
      <c r="D82" s="189"/>
      <c r="E82" s="384" t="s">
        <v>346</v>
      </c>
      <c r="F82" s="379">
        <v>10000</v>
      </c>
      <c r="G82" s="380"/>
      <c r="H82" s="189"/>
      <c r="I82" s="385" t="s">
        <v>347</v>
      </c>
      <c r="J82" s="382">
        <v>50000</v>
      </c>
      <c r="K82" s="382">
        <v>2830</v>
      </c>
    </row>
    <row r="83" spans="1:11">
      <c r="A83" s="189"/>
      <c r="B83" s="189"/>
      <c r="C83" s="189"/>
      <c r="D83" s="189"/>
      <c r="E83" s="384" t="s">
        <v>348</v>
      </c>
      <c r="F83" s="379">
        <v>20000</v>
      </c>
      <c r="G83" s="380"/>
      <c r="H83" s="189"/>
      <c r="I83" s="385" t="s">
        <v>349</v>
      </c>
      <c r="J83" s="382">
        <v>9000</v>
      </c>
      <c r="K83" s="382">
        <v>76</v>
      </c>
    </row>
    <row r="84" spans="1:11">
      <c r="A84" s="189"/>
      <c r="B84" s="189"/>
      <c r="C84" s="189"/>
      <c r="D84" s="189"/>
      <c r="E84" s="384" t="s">
        <v>350</v>
      </c>
      <c r="F84" s="379">
        <v>20000</v>
      </c>
      <c r="G84" s="380"/>
      <c r="H84" s="189"/>
      <c r="I84" s="385" t="s">
        <v>351</v>
      </c>
      <c r="J84" s="382">
        <v>18000</v>
      </c>
      <c r="K84" s="382">
        <v>15</v>
      </c>
    </row>
    <row r="85" spans="1:11">
      <c r="A85" s="189"/>
      <c r="B85" s="189"/>
      <c r="C85" s="189"/>
      <c r="D85" s="189"/>
      <c r="E85" s="384" t="s">
        <v>352</v>
      </c>
      <c r="F85" s="379">
        <v>10000</v>
      </c>
      <c r="G85" s="380"/>
      <c r="H85" s="189"/>
      <c r="I85" s="385" t="s">
        <v>353</v>
      </c>
      <c r="J85" s="382">
        <v>9000</v>
      </c>
      <c r="K85" s="382">
        <v>5</v>
      </c>
    </row>
    <row r="86" spans="1:11">
      <c r="A86" s="189"/>
      <c r="B86" s="189"/>
      <c r="C86" s="189"/>
      <c r="D86" s="189"/>
      <c r="E86" s="384" t="s">
        <v>354</v>
      </c>
      <c r="F86" s="379">
        <v>10000</v>
      </c>
      <c r="G86" s="380"/>
      <c r="H86" s="189"/>
      <c r="I86" s="385" t="s">
        <v>355</v>
      </c>
      <c r="J86" s="382">
        <v>9000</v>
      </c>
      <c r="K86" s="382">
        <v>21</v>
      </c>
    </row>
    <row r="87" spans="1:11">
      <c r="A87" s="189"/>
      <c r="B87" s="189"/>
      <c r="C87" s="189"/>
      <c r="D87" s="189"/>
      <c r="E87" s="384" t="s">
        <v>356</v>
      </c>
      <c r="F87" s="379">
        <v>20000</v>
      </c>
      <c r="G87" s="380"/>
      <c r="H87" s="189"/>
      <c r="I87" s="389" t="s">
        <v>357</v>
      </c>
      <c r="J87" s="390">
        <v>50000</v>
      </c>
      <c r="K87" s="390">
        <v>77</v>
      </c>
    </row>
    <row r="88" spans="1:11">
      <c r="A88" s="189"/>
      <c r="B88" s="189"/>
      <c r="C88" s="189"/>
      <c r="D88" s="189"/>
      <c r="E88" s="384" t="s">
        <v>358</v>
      </c>
      <c r="F88" s="379">
        <v>10000</v>
      </c>
      <c r="G88" s="380"/>
      <c r="H88" s="189"/>
      <c r="I88" s="397" t="s">
        <v>359</v>
      </c>
      <c r="J88" s="375">
        <v>2000</v>
      </c>
      <c r="K88" s="375">
        <v>239</v>
      </c>
    </row>
    <row r="89" spans="1:11">
      <c r="A89" s="189"/>
      <c r="B89" s="189"/>
      <c r="C89" s="189"/>
      <c r="D89" s="189"/>
      <c r="E89" s="384" t="s">
        <v>360</v>
      </c>
      <c r="F89" s="379">
        <v>10000</v>
      </c>
      <c r="G89" s="380"/>
      <c r="H89" s="189"/>
      <c r="I89" s="398" t="s">
        <v>361</v>
      </c>
      <c r="J89" s="382">
        <v>10000</v>
      </c>
      <c r="K89" s="382">
        <v>1768</v>
      </c>
    </row>
    <row r="90" ht="15" spans="1:11">
      <c r="A90" s="189"/>
      <c r="B90" s="189"/>
      <c r="C90" s="189"/>
      <c r="D90" s="189"/>
      <c r="E90" s="384" t="s">
        <v>362</v>
      </c>
      <c r="F90" s="379">
        <v>30000</v>
      </c>
      <c r="G90" s="380"/>
      <c r="H90" s="189"/>
      <c r="I90" s="398" t="s">
        <v>363</v>
      </c>
      <c r="J90" s="382">
        <v>10000</v>
      </c>
      <c r="K90" s="382">
        <v>1906</v>
      </c>
    </row>
    <row r="91" spans="1:11">
      <c r="A91" s="189"/>
      <c r="B91" s="189"/>
      <c r="C91" s="189"/>
      <c r="D91" s="189"/>
      <c r="E91" s="384" t="s">
        <v>364</v>
      </c>
      <c r="F91" s="379">
        <v>30000</v>
      </c>
      <c r="G91" s="380"/>
      <c r="H91" s="189"/>
      <c r="I91" s="398" t="s">
        <v>365</v>
      </c>
      <c r="J91" s="382">
        <v>10000</v>
      </c>
      <c r="K91" s="382">
        <v>1417</v>
      </c>
    </row>
    <row r="92" spans="1:11">
      <c r="A92" s="189"/>
      <c r="B92" s="189"/>
      <c r="C92" s="189"/>
      <c r="D92" s="189"/>
      <c r="E92" s="384" t="s">
        <v>366</v>
      </c>
      <c r="F92" s="379">
        <v>10000</v>
      </c>
      <c r="G92" s="380"/>
      <c r="H92" s="189"/>
      <c r="I92" s="398" t="s">
        <v>315</v>
      </c>
      <c r="J92" s="382">
        <v>10000</v>
      </c>
      <c r="K92" s="382">
        <v>1590</v>
      </c>
    </row>
    <row r="93" spans="1:11">
      <c r="A93" s="189"/>
      <c r="B93" s="189"/>
      <c r="C93" s="189"/>
      <c r="D93" s="189"/>
      <c r="E93" s="384" t="s">
        <v>367</v>
      </c>
      <c r="F93" s="379">
        <v>20000</v>
      </c>
      <c r="G93" s="380"/>
      <c r="H93" s="189"/>
      <c r="I93" s="381" t="s">
        <v>204</v>
      </c>
      <c r="J93" s="382"/>
      <c r="K93" s="382"/>
    </row>
    <row r="94" spans="1:11">
      <c r="A94" s="189"/>
      <c r="B94" s="189"/>
      <c r="C94" s="189"/>
      <c r="D94" s="189"/>
      <c r="E94" s="384" t="s">
        <v>368</v>
      </c>
      <c r="F94" s="379">
        <v>10000</v>
      </c>
      <c r="G94" s="380"/>
      <c r="H94" s="189"/>
      <c r="I94" s="398" t="s">
        <v>317</v>
      </c>
      <c r="J94" s="382">
        <v>30000</v>
      </c>
      <c r="K94" s="382">
        <v>5248</v>
      </c>
    </row>
    <row r="95" spans="1:11">
      <c r="A95" s="189"/>
      <c r="B95" s="189"/>
      <c r="C95" s="189"/>
      <c r="D95" s="189"/>
      <c r="E95" s="396" t="s">
        <v>369</v>
      </c>
      <c r="F95" s="393">
        <v>20000</v>
      </c>
      <c r="G95" s="393"/>
      <c r="H95" s="189"/>
      <c r="I95" s="398" t="s">
        <v>319</v>
      </c>
      <c r="J95" s="382">
        <v>20000</v>
      </c>
      <c r="K95" s="382">
        <v>1956</v>
      </c>
    </row>
    <row r="96" spans="1:11">
      <c r="A96" s="189"/>
      <c r="B96" s="189"/>
      <c r="C96" s="189"/>
      <c r="D96" s="189"/>
      <c r="E96" s="394" t="s">
        <v>370</v>
      </c>
      <c r="F96" s="372">
        <v>20000</v>
      </c>
      <c r="G96" s="373"/>
      <c r="H96" s="189"/>
      <c r="I96" s="398" t="s">
        <v>321</v>
      </c>
      <c r="J96" s="382">
        <v>3000</v>
      </c>
      <c r="K96" s="382">
        <v>247</v>
      </c>
    </row>
    <row r="97" spans="1:11">
      <c r="A97" s="189"/>
      <c r="B97" s="189"/>
      <c r="C97" s="189"/>
      <c r="D97" s="189"/>
      <c r="E97" s="378" t="s">
        <v>257</v>
      </c>
      <c r="F97" s="379"/>
      <c r="G97" s="380"/>
      <c r="H97" s="189"/>
      <c r="I97" s="398" t="s">
        <v>322</v>
      </c>
      <c r="J97" s="382">
        <v>50000</v>
      </c>
      <c r="K97" s="382">
        <v>8724</v>
      </c>
    </row>
    <row r="98" spans="1:11">
      <c r="A98" s="189"/>
      <c r="B98" s="189"/>
      <c r="C98" s="189"/>
      <c r="D98" s="189"/>
      <c r="E98" s="384" t="s">
        <v>255</v>
      </c>
      <c r="F98" s="379">
        <v>330</v>
      </c>
      <c r="G98" s="380">
        <v>51</v>
      </c>
      <c r="H98" s="189"/>
      <c r="I98" s="398" t="s">
        <v>323</v>
      </c>
      <c r="J98" s="382">
        <v>70000</v>
      </c>
      <c r="K98" s="382">
        <v>8159</v>
      </c>
    </row>
    <row r="99" spans="1:11">
      <c r="A99" s="189"/>
      <c r="B99" s="189"/>
      <c r="C99" s="189"/>
      <c r="D99" s="189"/>
      <c r="E99" s="384" t="s">
        <v>259</v>
      </c>
      <c r="F99" s="379">
        <v>10000</v>
      </c>
      <c r="G99" s="380">
        <v>1793</v>
      </c>
      <c r="H99" s="189"/>
      <c r="I99" s="398" t="s">
        <v>324</v>
      </c>
      <c r="J99" s="382">
        <v>100000</v>
      </c>
      <c r="K99" s="382">
        <v>16470</v>
      </c>
    </row>
    <row r="100" spans="1:11">
      <c r="A100" s="189"/>
      <c r="B100" s="189"/>
      <c r="C100" s="189"/>
      <c r="D100" s="189"/>
      <c r="E100" s="384" t="s">
        <v>262</v>
      </c>
      <c r="F100" s="379">
        <v>10000</v>
      </c>
      <c r="G100" s="380">
        <v>1603</v>
      </c>
      <c r="H100" s="189"/>
      <c r="I100" s="398" t="s">
        <v>325</v>
      </c>
      <c r="J100" s="382">
        <v>70000</v>
      </c>
      <c r="K100" s="382">
        <v>8701</v>
      </c>
    </row>
    <row r="101" spans="1:11">
      <c r="A101" s="189"/>
      <c r="B101" s="189"/>
      <c r="C101" s="189"/>
      <c r="D101" s="189"/>
      <c r="E101" s="384" t="s">
        <v>265</v>
      </c>
      <c r="F101" s="379">
        <v>10000</v>
      </c>
      <c r="G101" s="380">
        <v>2420</v>
      </c>
      <c r="H101" s="189"/>
      <c r="I101" s="398" t="s">
        <v>326</v>
      </c>
      <c r="J101" s="382">
        <v>200000</v>
      </c>
      <c r="K101" s="382">
        <v>26211</v>
      </c>
    </row>
    <row r="102" spans="1:11">
      <c r="A102" s="189"/>
      <c r="B102" s="189"/>
      <c r="C102" s="189"/>
      <c r="D102" s="189"/>
      <c r="E102" s="384" t="s">
        <v>268</v>
      </c>
      <c r="F102" s="379">
        <v>10000</v>
      </c>
      <c r="G102" s="380">
        <v>2080</v>
      </c>
      <c r="H102" s="189"/>
      <c r="I102" s="398" t="s">
        <v>327</v>
      </c>
      <c r="J102" s="382">
        <v>50000</v>
      </c>
      <c r="K102" s="382">
        <v>7683</v>
      </c>
    </row>
    <row r="103" spans="1:11">
      <c r="A103" s="189"/>
      <c r="B103" s="189"/>
      <c r="C103" s="189"/>
      <c r="D103" s="189"/>
      <c r="E103" s="384" t="s">
        <v>271</v>
      </c>
      <c r="F103" s="379">
        <v>10000</v>
      </c>
      <c r="G103" s="380">
        <v>1414</v>
      </c>
      <c r="H103" s="189"/>
      <c r="I103" s="398" t="s">
        <v>371</v>
      </c>
      <c r="J103" s="382">
        <v>20000</v>
      </c>
      <c r="K103" s="382">
        <v>2691</v>
      </c>
    </row>
    <row r="104" spans="1:11">
      <c r="A104" s="189"/>
      <c r="B104" s="189"/>
      <c r="C104" s="189"/>
      <c r="D104" s="189"/>
      <c r="E104" s="384" t="s">
        <v>251</v>
      </c>
      <c r="F104" s="379">
        <v>10000</v>
      </c>
      <c r="G104" s="380">
        <v>2153</v>
      </c>
      <c r="H104" s="189"/>
      <c r="I104" s="398" t="s">
        <v>372</v>
      </c>
      <c r="J104" s="382">
        <v>20000</v>
      </c>
      <c r="K104" s="382">
        <v>3556</v>
      </c>
    </row>
    <row r="105" spans="1:11">
      <c r="A105" s="189"/>
      <c r="B105" s="189"/>
      <c r="C105" s="189"/>
      <c r="D105" s="189"/>
      <c r="E105" s="384" t="s">
        <v>253</v>
      </c>
      <c r="F105" s="379">
        <v>10000</v>
      </c>
      <c r="G105" s="380">
        <v>1982</v>
      </c>
      <c r="H105" s="189"/>
      <c r="I105" s="398" t="s">
        <v>373</v>
      </c>
      <c r="J105" s="382">
        <v>10000</v>
      </c>
      <c r="K105" s="382">
        <v>1509</v>
      </c>
    </row>
    <row r="106" spans="1:11">
      <c r="A106" s="189"/>
      <c r="B106" s="189"/>
      <c r="C106" s="189"/>
      <c r="D106" s="189"/>
      <c r="E106" s="384" t="s">
        <v>374</v>
      </c>
      <c r="F106" s="379">
        <v>50000</v>
      </c>
      <c r="G106" s="380"/>
      <c r="H106" s="189"/>
      <c r="I106" s="398" t="s">
        <v>375</v>
      </c>
      <c r="J106" s="382">
        <v>10000</v>
      </c>
      <c r="K106" s="382">
        <v>1567</v>
      </c>
    </row>
    <row r="107" spans="1:11">
      <c r="A107" s="189"/>
      <c r="B107" s="189"/>
      <c r="C107" s="189"/>
      <c r="D107" s="189"/>
      <c r="E107" s="384" t="s">
        <v>274</v>
      </c>
      <c r="F107" s="379">
        <v>10000</v>
      </c>
      <c r="G107" s="380">
        <v>1523</v>
      </c>
      <c r="H107" s="189"/>
      <c r="I107" s="398" t="s">
        <v>376</v>
      </c>
      <c r="J107" s="382">
        <v>20000</v>
      </c>
      <c r="K107" s="382">
        <v>2864</v>
      </c>
    </row>
    <row r="108" spans="1:11">
      <c r="A108" s="189"/>
      <c r="B108" s="189"/>
      <c r="C108" s="189"/>
      <c r="D108" s="189"/>
      <c r="E108" s="384" t="s">
        <v>377</v>
      </c>
      <c r="F108" s="379">
        <v>10000</v>
      </c>
      <c r="G108" s="380">
        <v>856</v>
      </c>
      <c r="H108" s="189"/>
      <c r="I108" s="398" t="s">
        <v>378</v>
      </c>
      <c r="J108" s="382">
        <v>10000</v>
      </c>
      <c r="K108" s="382">
        <v>1745</v>
      </c>
    </row>
    <row r="109" spans="1:11">
      <c r="A109" s="189"/>
      <c r="B109" s="189"/>
      <c r="C109" s="189"/>
      <c r="D109" s="189"/>
      <c r="E109" s="384" t="s">
        <v>379</v>
      </c>
      <c r="F109" s="379">
        <v>10000</v>
      </c>
      <c r="G109" s="380">
        <v>1473</v>
      </c>
      <c r="H109" s="189"/>
      <c r="I109" s="398" t="s">
        <v>380</v>
      </c>
      <c r="J109" s="382">
        <v>20000</v>
      </c>
      <c r="K109" s="382">
        <v>2916</v>
      </c>
    </row>
    <row r="110" ht="15" spans="1:11">
      <c r="A110" s="189"/>
      <c r="B110" s="189"/>
      <c r="C110" s="189"/>
      <c r="D110" s="189"/>
      <c r="E110" s="384" t="s">
        <v>381</v>
      </c>
      <c r="F110" s="379">
        <v>10000</v>
      </c>
      <c r="G110" s="380">
        <v>1200</v>
      </c>
      <c r="H110" s="189"/>
      <c r="I110" s="398" t="s">
        <v>382</v>
      </c>
      <c r="J110" s="382">
        <v>10000</v>
      </c>
      <c r="K110" s="382">
        <v>1341</v>
      </c>
    </row>
    <row r="111" spans="1:11">
      <c r="A111" s="189"/>
      <c r="B111" s="189"/>
      <c r="C111" s="189"/>
      <c r="D111" s="189"/>
      <c r="E111" s="384" t="s">
        <v>383</v>
      </c>
      <c r="F111" s="379">
        <v>10000</v>
      </c>
      <c r="G111" s="380">
        <v>473</v>
      </c>
      <c r="H111" s="189"/>
      <c r="I111" s="398" t="s">
        <v>384</v>
      </c>
      <c r="J111" s="382">
        <v>5000</v>
      </c>
      <c r="K111" s="382">
        <v>660</v>
      </c>
    </row>
    <row r="112" spans="1:11">
      <c r="A112" s="189"/>
      <c r="B112" s="189"/>
      <c r="C112" s="189"/>
      <c r="D112" s="189"/>
      <c r="E112" s="384" t="s">
        <v>385</v>
      </c>
      <c r="F112" s="379">
        <v>10000</v>
      </c>
      <c r="G112" s="380"/>
      <c r="H112" s="189"/>
      <c r="I112" s="398" t="s">
        <v>386</v>
      </c>
      <c r="J112" s="382">
        <v>10000</v>
      </c>
      <c r="K112" s="382">
        <v>1174</v>
      </c>
    </row>
    <row r="113" spans="1:11">
      <c r="A113" s="189"/>
      <c r="B113" s="189"/>
      <c r="C113" s="189"/>
      <c r="D113" s="189"/>
      <c r="E113" s="384" t="s">
        <v>387</v>
      </c>
      <c r="F113" s="379">
        <v>30000</v>
      </c>
      <c r="G113" s="380"/>
      <c r="H113" s="189"/>
      <c r="I113" s="398" t="s">
        <v>388</v>
      </c>
      <c r="J113" s="382">
        <v>10000</v>
      </c>
      <c r="K113" s="382">
        <v>0.1182</v>
      </c>
    </row>
    <row r="114" spans="1:11">
      <c r="A114" s="189"/>
      <c r="B114" s="189"/>
      <c r="C114" s="189"/>
      <c r="D114" s="189"/>
      <c r="E114" s="384" t="s">
        <v>389</v>
      </c>
      <c r="F114" s="379">
        <v>10000</v>
      </c>
      <c r="G114" s="380"/>
      <c r="H114" s="189"/>
      <c r="I114" s="398" t="s">
        <v>390</v>
      </c>
      <c r="J114" s="382">
        <v>20000</v>
      </c>
      <c r="K114" s="382">
        <v>2883</v>
      </c>
    </row>
    <row r="115" spans="1:11">
      <c r="A115" s="189"/>
      <c r="B115" s="189"/>
      <c r="C115" s="189"/>
      <c r="D115" s="189"/>
      <c r="E115" s="384" t="s">
        <v>391</v>
      </c>
      <c r="F115" s="379">
        <v>39000</v>
      </c>
      <c r="G115" s="380"/>
      <c r="H115" s="189"/>
      <c r="I115" s="398" t="s">
        <v>392</v>
      </c>
      <c r="J115" s="382">
        <v>20000</v>
      </c>
      <c r="K115" s="382">
        <v>3066</v>
      </c>
    </row>
    <row r="116" spans="1:11">
      <c r="A116" s="189"/>
      <c r="B116" s="189"/>
      <c r="C116" s="189"/>
      <c r="D116" s="189"/>
      <c r="E116" s="384" t="s">
        <v>393</v>
      </c>
      <c r="F116" s="379">
        <v>9000</v>
      </c>
      <c r="G116" s="380"/>
      <c r="H116" s="189"/>
      <c r="I116" s="398" t="s">
        <v>394</v>
      </c>
      <c r="J116" s="382">
        <v>20000</v>
      </c>
      <c r="K116" s="382">
        <v>850</v>
      </c>
    </row>
    <row r="117" spans="1:11">
      <c r="A117" s="189"/>
      <c r="B117" s="189"/>
      <c r="C117" s="189"/>
      <c r="D117" s="189"/>
      <c r="E117" s="384" t="s">
        <v>395</v>
      </c>
      <c r="F117" s="379">
        <v>20000</v>
      </c>
      <c r="G117" s="380"/>
      <c r="H117" s="189"/>
      <c r="I117" s="398" t="s">
        <v>396</v>
      </c>
      <c r="J117" s="382">
        <v>10000</v>
      </c>
      <c r="K117" s="382">
        <v>1282</v>
      </c>
    </row>
    <row r="118" spans="1:11">
      <c r="A118" s="189"/>
      <c r="B118" s="189"/>
      <c r="C118" s="189"/>
      <c r="D118" s="189"/>
      <c r="E118" s="384" t="s">
        <v>397</v>
      </c>
      <c r="F118" s="379">
        <v>10000</v>
      </c>
      <c r="G118" s="380"/>
      <c r="H118" s="189"/>
      <c r="I118" s="398" t="s">
        <v>398</v>
      </c>
      <c r="J118" s="382">
        <v>20000</v>
      </c>
      <c r="K118" s="382">
        <v>3281</v>
      </c>
    </row>
    <row r="119" spans="1:11">
      <c r="A119" s="189"/>
      <c r="B119" s="189"/>
      <c r="C119" s="189"/>
      <c r="D119" s="189"/>
      <c r="E119" s="384" t="s">
        <v>399</v>
      </c>
      <c r="F119" s="379">
        <v>50000</v>
      </c>
      <c r="G119" s="380"/>
      <c r="H119" s="189"/>
      <c r="I119" s="398" t="s">
        <v>400</v>
      </c>
      <c r="J119" s="382">
        <v>10000</v>
      </c>
      <c r="K119" s="382">
        <v>329</v>
      </c>
    </row>
    <row r="120" spans="1:11">
      <c r="A120" s="189"/>
      <c r="B120" s="189"/>
      <c r="C120" s="189"/>
      <c r="D120" s="189"/>
      <c r="E120" s="384" t="s">
        <v>401</v>
      </c>
      <c r="F120" s="379">
        <v>20000</v>
      </c>
      <c r="G120" s="380"/>
      <c r="H120" s="189"/>
      <c r="I120" s="399" t="s">
        <v>402</v>
      </c>
      <c r="J120" s="390">
        <v>10000</v>
      </c>
      <c r="K120" s="390">
        <v>1611</v>
      </c>
    </row>
    <row r="121" spans="1:11">
      <c r="A121" s="189"/>
      <c r="B121" s="189"/>
      <c r="C121" s="189"/>
      <c r="D121" s="189"/>
      <c r="E121" s="384" t="s">
        <v>403</v>
      </c>
      <c r="F121" s="379">
        <v>30000</v>
      </c>
      <c r="G121" s="380"/>
      <c r="H121" s="189"/>
      <c r="I121" s="391" t="s">
        <v>404</v>
      </c>
      <c r="J121" s="375">
        <v>30000</v>
      </c>
      <c r="K121" s="375">
        <v>6993</v>
      </c>
    </row>
    <row r="122" spans="1:11">
      <c r="A122" s="189"/>
      <c r="B122" s="189"/>
      <c r="C122" s="189"/>
      <c r="D122" s="189"/>
      <c r="E122" s="384" t="s">
        <v>405</v>
      </c>
      <c r="F122" s="379">
        <v>30000</v>
      </c>
      <c r="G122" s="380"/>
      <c r="H122" s="189"/>
      <c r="I122" s="385" t="s">
        <v>406</v>
      </c>
      <c r="J122" s="382">
        <v>30000</v>
      </c>
      <c r="K122" s="382">
        <v>5193</v>
      </c>
    </row>
    <row r="123" spans="1:11">
      <c r="A123" s="189"/>
      <c r="B123" s="189"/>
      <c r="C123" s="189"/>
      <c r="D123" s="189"/>
      <c r="E123" s="384" t="s">
        <v>407</v>
      </c>
      <c r="F123" s="379">
        <v>10000</v>
      </c>
      <c r="G123" s="380"/>
      <c r="H123" s="189"/>
      <c r="I123" s="385" t="s">
        <v>408</v>
      </c>
      <c r="J123" s="382">
        <v>10000</v>
      </c>
      <c r="K123" s="382">
        <v>2158</v>
      </c>
    </row>
    <row r="124" spans="1:11">
      <c r="A124" s="189"/>
      <c r="B124" s="189"/>
      <c r="C124" s="189"/>
      <c r="D124" s="189"/>
      <c r="E124" s="384" t="s">
        <v>409</v>
      </c>
      <c r="F124" s="379">
        <v>20000</v>
      </c>
      <c r="G124" s="380"/>
      <c r="H124" s="189"/>
      <c r="I124" s="385" t="s">
        <v>410</v>
      </c>
      <c r="J124" s="382">
        <v>20000</v>
      </c>
      <c r="K124" s="382">
        <v>3736</v>
      </c>
    </row>
    <row r="125" spans="1:11">
      <c r="A125" s="189"/>
      <c r="B125" s="189"/>
      <c r="C125" s="189"/>
      <c r="D125" s="189"/>
      <c r="E125" s="384" t="s">
        <v>411</v>
      </c>
      <c r="F125" s="379">
        <v>10000</v>
      </c>
      <c r="G125" s="380"/>
      <c r="H125" s="189"/>
      <c r="I125" s="385" t="s">
        <v>412</v>
      </c>
      <c r="J125" s="382">
        <v>10000</v>
      </c>
      <c r="K125" s="382">
        <v>541</v>
      </c>
    </row>
    <row r="126" spans="1:11">
      <c r="A126" s="189"/>
      <c r="B126" s="189"/>
      <c r="C126" s="189"/>
      <c r="D126" s="189"/>
      <c r="E126" s="384" t="s">
        <v>413</v>
      </c>
      <c r="F126" s="379">
        <v>20000</v>
      </c>
      <c r="G126" s="380"/>
      <c r="H126" s="189"/>
      <c r="I126" s="385" t="s">
        <v>370</v>
      </c>
      <c r="J126" s="382">
        <v>20000</v>
      </c>
      <c r="K126" s="382">
        <v>2994</v>
      </c>
    </row>
    <row r="127" spans="1:11">
      <c r="A127" s="189"/>
      <c r="B127" s="189"/>
      <c r="C127" s="189"/>
      <c r="D127" s="189"/>
      <c r="E127" s="396" t="s">
        <v>414</v>
      </c>
      <c r="F127" s="393">
        <v>3000</v>
      </c>
      <c r="G127" s="393"/>
      <c r="H127" s="189"/>
      <c r="I127" s="385" t="s">
        <v>369</v>
      </c>
      <c r="J127" s="382">
        <v>20000</v>
      </c>
      <c r="K127" s="382">
        <v>3141</v>
      </c>
    </row>
    <row r="128" spans="1:11">
      <c r="A128" s="189"/>
      <c r="B128" s="189"/>
      <c r="C128" s="189"/>
      <c r="D128" s="189"/>
      <c r="E128" s="189"/>
      <c r="F128" s="189"/>
      <c r="G128" s="189"/>
      <c r="H128" s="189"/>
      <c r="I128" s="385" t="s">
        <v>415</v>
      </c>
      <c r="J128" s="382">
        <v>50000</v>
      </c>
      <c r="K128" s="382"/>
    </row>
    <row r="129" spans="1:11">
      <c r="A129" s="189"/>
      <c r="B129" s="189"/>
      <c r="C129" s="189"/>
      <c r="D129" s="189"/>
      <c r="E129" s="189"/>
      <c r="F129" s="189"/>
      <c r="G129" s="189"/>
      <c r="H129" s="189"/>
      <c r="I129" s="385" t="s">
        <v>416</v>
      </c>
      <c r="J129" s="382">
        <v>5000</v>
      </c>
      <c r="K129" s="382">
        <v>235</v>
      </c>
    </row>
    <row r="130" spans="1:11">
      <c r="A130" s="189"/>
      <c r="B130" s="189"/>
      <c r="C130" s="189"/>
      <c r="D130" s="189"/>
      <c r="E130" s="189"/>
      <c r="F130" s="189"/>
      <c r="G130" s="189"/>
      <c r="H130" s="189"/>
      <c r="I130" s="385" t="s">
        <v>417</v>
      </c>
      <c r="J130" s="382">
        <v>30000</v>
      </c>
      <c r="K130" s="382">
        <v>1583</v>
      </c>
    </row>
    <row r="131" spans="1:11">
      <c r="A131" s="189"/>
      <c r="B131" s="189"/>
      <c r="C131" s="189"/>
      <c r="D131" s="189"/>
      <c r="E131" s="189"/>
      <c r="F131" s="189"/>
      <c r="G131" s="189"/>
      <c r="H131" s="189"/>
      <c r="I131" s="385" t="s">
        <v>418</v>
      </c>
      <c r="J131" s="382">
        <v>20000</v>
      </c>
      <c r="K131" s="382">
        <v>340</v>
      </c>
    </row>
    <row r="132" spans="1:11">
      <c r="A132" s="189"/>
      <c r="B132" s="189"/>
      <c r="C132" s="189"/>
      <c r="D132" s="189"/>
      <c r="E132" s="189"/>
      <c r="F132" s="189"/>
      <c r="G132" s="189"/>
      <c r="H132" s="189"/>
      <c r="I132" s="385" t="s">
        <v>419</v>
      </c>
      <c r="J132" s="382">
        <v>100000</v>
      </c>
      <c r="K132" s="382"/>
    </row>
    <row r="133" spans="1:11">
      <c r="A133" s="189"/>
      <c r="B133" s="189"/>
      <c r="C133" s="189"/>
      <c r="D133" s="189"/>
      <c r="E133" s="189"/>
      <c r="F133" s="189"/>
      <c r="G133" s="189"/>
      <c r="H133" s="189"/>
      <c r="I133" s="385" t="s">
        <v>420</v>
      </c>
      <c r="J133" s="382">
        <v>20000</v>
      </c>
      <c r="K133" s="382"/>
    </row>
    <row r="134" spans="1:11">
      <c r="A134" s="189"/>
      <c r="B134" s="189"/>
      <c r="C134" s="189"/>
      <c r="D134" s="189"/>
      <c r="E134" s="189"/>
      <c r="F134" s="189"/>
      <c r="G134" s="189"/>
      <c r="H134" s="189"/>
      <c r="I134" s="385" t="s">
        <v>421</v>
      </c>
      <c r="J134" s="382">
        <v>20000</v>
      </c>
      <c r="K134" s="382"/>
    </row>
    <row r="135" spans="1:11">
      <c r="A135" s="189"/>
      <c r="B135" s="189"/>
      <c r="C135" s="189"/>
      <c r="D135" s="189"/>
      <c r="E135" s="189"/>
      <c r="F135" s="189"/>
      <c r="G135" s="189"/>
      <c r="H135" s="189"/>
      <c r="I135" s="385" t="s">
        <v>422</v>
      </c>
      <c r="J135" s="382">
        <v>20000</v>
      </c>
      <c r="K135" s="382"/>
    </row>
    <row r="136" spans="1:11">
      <c r="A136" s="189"/>
      <c r="B136" s="189"/>
      <c r="C136" s="189"/>
      <c r="D136" s="189"/>
      <c r="E136" s="189"/>
      <c r="F136" s="189"/>
      <c r="G136" s="189"/>
      <c r="H136" s="189"/>
      <c r="I136" s="385" t="s">
        <v>423</v>
      </c>
      <c r="J136" s="382">
        <v>20000</v>
      </c>
      <c r="K136" s="382"/>
    </row>
    <row r="137" spans="1:11">
      <c r="A137" s="189"/>
      <c r="B137" s="189"/>
      <c r="C137" s="189"/>
      <c r="D137" s="189"/>
      <c r="E137" s="189"/>
      <c r="F137" s="189"/>
      <c r="G137" s="189"/>
      <c r="H137" s="189"/>
      <c r="I137" s="385" t="s">
        <v>424</v>
      </c>
      <c r="J137" s="382">
        <v>20000</v>
      </c>
      <c r="K137" s="382"/>
    </row>
    <row r="138" spans="1:11">
      <c r="A138" s="189"/>
      <c r="B138" s="189"/>
      <c r="C138" s="189"/>
      <c r="D138" s="189"/>
      <c r="E138" s="189"/>
      <c r="F138" s="189"/>
      <c r="G138" s="189"/>
      <c r="H138" s="189"/>
      <c r="I138" s="385" t="s">
        <v>425</v>
      </c>
      <c r="J138" s="382">
        <v>20000</v>
      </c>
      <c r="K138" s="382"/>
    </row>
    <row r="139" spans="1:11">
      <c r="A139" s="189"/>
      <c r="B139" s="189"/>
      <c r="C139" s="189"/>
      <c r="D139" s="189"/>
      <c r="E139" s="189"/>
      <c r="F139" s="189"/>
      <c r="G139" s="189"/>
      <c r="H139" s="189"/>
      <c r="I139" s="385" t="s">
        <v>426</v>
      </c>
      <c r="J139" s="382">
        <v>20000</v>
      </c>
      <c r="K139" s="382"/>
    </row>
    <row r="140" spans="1:11">
      <c r="A140" s="189"/>
      <c r="B140" s="189"/>
      <c r="C140" s="189"/>
      <c r="D140" s="189"/>
      <c r="E140" s="189"/>
      <c r="F140" s="189"/>
      <c r="G140" s="189"/>
      <c r="H140" s="189"/>
      <c r="I140" s="385" t="s">
        <v>427</v>
      </c>
      <c r="J140" s="382">
        <v>20000</v>
      </c>
      <c r="K140" s="382"/>
    </row>
    <row r="141" spans="1:11">
      <c r="A141" s="189"/>
      <c r="B141" s="189"/>
      <c r="C141" s="189"/>
      <c r="D141" s="189"/>
      <c r="E141" s="189"/>
      <c r="F141" s="189"/>
      <c r="G141" s="189"/>
      <c r="H141" s="189"/>
      <c r="I141" s="385" t="s">
        <v>428</v>
      </c>
      <c r="J141" s="382">
        <v>10000</v>
      </c>
      <c r="K141" s="382"/>
    </row>
    <row r="142" spans="1:11">
      <c r="A142" s="189"/>
      <c r="B142" s="189"/>
      <c r="C142" s="189"/>
      <c r="D142" s="189"/>
      <c r="E142" s="189"/>
      <c r="F142" s="189"/>
      <c r="G142" s="189"/>
      <c r="H142" s="189"/>
      <c r="I142" s="381" t="s">
        <v>257</v>
      </c>
      <c r="J142" s="382"/>
      <c r="K142" s="382"/>
    </row>
    <row r="143" spans="1:11">
      <c r="A143" s="189"/>
      <c r="B143" s="189"/>
      <c r="C143" s="189"/>
      <c r="D143" s="189"/>
      <c r="E143" s="189"/>
      <c r="F143" s="189"/>
      <c r="G143" s="189"/>
      <c r="H143" s="189"/>
      <c r="I143" s="385" t="s">
        <v>255</v>
      </c>
      <c r="J143" s="382">
        <v>330</v>
      </c>
      <c r="K143" s="382">
        <v>54</v>
      </c>
    </row>
    <row r="144" spans="1:11">
      <c r="A144" s="189"/>
      <c r="B144" s="189"/>
      <c r="C144" s="189"/>
      <c r="D144" s="189"/>
      <c r="E144" s="189"/>
      <c r="F144" s="189"/>
      <c r="G144" s="189"/>
      <c r="H144" s="189"/>
      <c r="I144" s="385" t="s">
        <v>429</v>
      </c>
      <c r="J144" s="382">
        <v>10000</v>
      </c>
      <c r="K144" s="382">
        <v>1435</v>
      </c>
    </row>
    <row r="145" spans="1:11">
      <c r="A145" s="189"/>
      <c r="B145" s="189"/>
      <c r="C145" s="189"/>
      <c r="D145" s="189"/>
      <c r="E145" s="189"/>
      <c r="F145" s="189"/>
      <c r="G145" s="189"/>
      <c r="H145" s="189"/>
      <c r="I145" s="385" t="s">
        <v>430</v>
      </c>
      <c r="J145" s="382">
        <v>10000</v>
      </c>
      <c r="K145" s="382">
        <v>1460</v>
      </c>
    </row>
    <row r="146" spans="1:11">
      <c r="A146" s="189"/>
      <c r="B146" s="189"/>
      <c r="C146" s="189"/>
      <c r="D146" s="189"/>
      <c r="E146" s="189"/>
      <c r="F146" s="189"/>
      <c r="G146" s="189"/>
      <c r="H146" s="189"/>
      <c r="I146" s="385" t="s">
        <v>431</v>
      </c>
      <c r="J146" s="382">
        <v>9500</v>
      </c>
      <c r="K146" s="382">
        <v>658</v>
      </c>
    </row>
    <row r="147" spans="1:11">
      <c r="A147" s="189"/>
      <c r="B147" s="189"/>
      <c r="C147" s="189"/>
      <c r="D147" s="189"/>
      <c r="E147" s="189"/>
      <c r="F147" s="189"/>
      <c r="G147" s="189"/>
      <c r="H147" s="189"/>
      <c r="I147" s="385" t="s">
        <v>432</v>
      </c>
      <c r="J147" s="382">
        <v>10000</v>
      </c>
      <c r="K147" s="382">
        <v>1471</v>
      </c>
    </row>
    <row r="148" spans="1:11">
      <c r="A148" s="189"/>
      <c r="B148" s="189"/>
      <c r="C148" s="189"/>
      <c r="D148" s="189"/>
      <c r="E148" s="189"/>
      <c r="F148" s="189"/>
      <c r="G148" s="189"/>
      <c r="H148" s="189"/>
      <c r="I148" s="385" t="s">
        <v>377</v>
      </c>
      <c r="J148" s="382">
        <v>10000</v>
      </c>
      <c r="K148" s="382">
        <v>2231</v>
      </c>
    </row>
    <row r="149" spans="1:11">
      <c r="A149" s="189"/>
      <c r="B149" s="189"/>
      <c r="C149" s="189"/>
      <c r="D149" s="189"/>
      <c r="E149" s="189"/>
      <c r="F149" s="189"/>
      <c r="G149" s="189"/>
      <c r="H149" s="189"/>
      <c r="I149" s="385" t="s">
        <v>433</v>
      </c>
      <c r="J149" s="382">
        <v>50000</v>
      </c>
      <c r="K149" s="382">
        <v>9551</v>
      </c>
    </row>
    <row r="150" spans="1:11">
      <c r="A150" s="189"/>
      <c r="B150" s="189"/>
      <c r="C150" s="189"/>
      <c r="D150" s="189"/>
      <c r="E150" s="189"/>
      <c r="F150" s="189"/>
      <c r="G150" s="189"/>
      <c r="H150" s="189"/>
      <c r="I150" s="385" t="s">
        <v>434</v>
      </c>
      <c r="J150" s="382">
        <v>10000</v>
      </c>
      <c r="K150" s="382">
        <v>1803</v>
      </c>
    </row>
    <row r="151" spans="1:11">
      <c r="A151" s="189"/>
      <c r="B151" s="189"/>
      <c r="C151" s="189"/>
      <c r="D151" s="189"/>
      <c r="E151" s="189"/>
      <c r="F151" s="189"/>
      <c r="G151" s="189"/>
      <c r="H151" s="189"/>
      <c r="I151" s="385" t="s">
        <v>435</v>
      </c>
      <c r="J151" s="382">
        <v>10000</v>
      </c>
      <c r="K151" s="382">
        <v>1586</v>
      </c>
    </row>
    <row r="152" spans="1:11">
      <c r="A152" s="189"/>
      <c r="B152" s="189"/>
      <c r="C152" s="189"/>
      <c r="D152" s="189"/>
      <c r="E152" s="189"/>
      <c r="F152" s="189"/>
      <c r="G152" s="189"/>
      <c r="H152" s="189"/>
      <c r="I152" s="385" t="s">
        <v>436</v>
      </c>
      <c r="J152" s="382">
        <v>10000</v>
      </c>
      <c r="K152" s="382">
        <v>1667</v>
      </c>
    </row>
    <row r="153" spans="1:11">
      <c r="A153" s="189"/>
      <c r="B153" s="189"/>
      <c r="C153" s="189"/>
      <c r="D153" s="189"/>
      <c r="E153" s="189"/>
      <c r="F153" s="189"/>
      <c r="G153" s="189"/>
      <c r="H153" s="189"/>
      <c r="I153" s="389" t="s">
        <v>271</v>
      </c>
      <c r="J153" s="390">
        <v>10000</v>
      </c>
      <c r="K153" s="390">
        <v>1455</v>
      </c>
    </row>
    <row r="154" spans="1:11">
      <c r="A154" s="189"/>
      <c r="B154" s="189"/>
      <c r="C154" s="189"/>
      <c r="D154" s="189"/>
      <c r="E154" s="189"/>
      <c r="F154" s="189"/>
      <c r="G154" s="189"/>
      <c r="H154" s="189"/>
      <c r="I154" s="391" t="s">
        <v>262</v>
      </c>
      <c r="J154" s="375">
        <v>10000</v>
      </c>
      <c r="K154" s="375">
        <v>1661</v>
      </c>
    </row>
    <row r="155" spans="1:11">
      <c r="A155" s="189"/>
      <c r="B155" s="189"/>
      <c r="C155" s="189"/>
      <c r="D155" s="189"/>
      <c r="E155" s="189"/>
      <c r="F155" s="189"/>
      <c r="G155" s="189"/>
      <c r="H155" s="189"/>
      <c r="I155" s="385" t="s">
        <v>268</v>
      </c>
      <c r="J155" s="382">
        <v>10000</v>
      </c>
      <c r="K155" s="382">
        <v>3879</v>
      </c>
    </row>
    <row r="156" spans="1:11">
      <c r="A156" s="189"/>
      <c r="B156" s="189"/>
      <c r="C156" s="189"/>
      <c r="D156" s="189"/>
      <c r="E156" s="189"/>
      <c r="F156" s="189"/>
      <c r="G156" s="189"/>
      <c r="H156" s="189"/>
      <c r="I156" s="385" t="s">
        <v>259</v>
      </c>
      <c r="J156" s="382">
        <v>10000</v>
      </c>
      <c r="K156" s="382">
        <v>1915</v>
      </c>
    </row>
    <row r="157" spans="1:11">
      <c r="A157" s="189"/>
      <c r="B157" s="189"/>
      <c r="C157" s="189"/>
      <c r="D157" s="189"/>
      <c r="E157" s="189"/>
      <c r="F157" s="189"/>
      <c r="G157" s="189"/>
      <c r="H157" s="189"/>
      <c r="I157" s="385" t="s">
        <v>265</v>
      </c>
      <c r="J157" s="382">
        <v>10000</v>
      </c>
      <c r="K157" s="382">
        <v>1632</v>
      </c>
    </row>
    <row r="158" spans="1:11">
      <c r="A158" s="189"/>
      <c r="B158" s="189"/>
      <c r="C158" s="189"/>
      <c r="D158" s="189"/>
      <c r="E158" s="189"/>
      <c r="F158" s="189"/>
      <c r="G158" s="189"/>
      <c r="H158" s="189"/>
      <c r="I158" s="385" t="s">
        <v>437</v>
      </c>
      <c r="J158" s="382">
        <v>10000</v>
      </c>
      <c r="K158" s="382">
        <v>1896</v>
      </c>
    </row>
    <row r="159" spans="1:11">
      <c r="A159" s="189"/>
      <c r="B159" s="189"/>
      <c r="C159" s="189"/>
      <c r="D159" s="189"/>
      <c r="E159" s="189"/>
      <c r="F159" s="189"/>
      <c r="G159" s="189"/>
      <c r="H159" s="189"/>
      <c r="I159" s="385" t="s">
        <v>438</v>
      </c>
      <c r="J159" s="382">
        <v>20000</v>
      </c>
      <c r="K159" s="382">
        <v>3523</v>
      </c>
    </row>
    <row r="160" spans="1:11">
      <c r="A160" s="189"/>
      <c r="B160" s="189"/>
      <c r="C160" s="189"/>
      <c r="D160" s="189"/>
      <c r="E160" s="189"/>
      <c r="F160" s="189"/>
      <c r="G160" s="189"/>
      <c r="H160" s="189"/>
      <c r="I160" s="385" t="s">
        <v>439</v>
      </c>
      <c r="J160" s="382">
        <v>3000</v>
      </c>
      <c r="K160" s="382">
        <v>249</v>
      </c>
    </row>
    <row r="161" spans="1:11">
      <c r="A161" s="189"/>
      <c r="B161" s="189"/>
      <c r="C161" s="189"/>
      <c r="D161" s="189"/>
      <c r="E161" s="189"/>
      <c r="F161" s="189"/>
      <c r="G161" s="189"/>
      <c r="H161" s="189"/>
      <c r="I161" s="385" t="s">
        <v>440</v>
      </c>
      <c r="J161" s="382">
        <v>10000</v>
      </c>
      <c r="K161" s="382">
        <v>1526</v>
      </c>
    </row>
    <row r="162" spans="1:11">
      <c r="A162" s="189"/>
      <c r="B162" s="189"/>
      <c r="C162" s="189"/>
      <c r="D162" s="189"/>
      <c r="E162" s="189"/>
      <c r="F162" s="189"/>
      <c r="G162" s="189"/>
      <c r="H162" s="189"/>
      <c r="I162" s="385" t="s">
        <v>441</v>
      </c>
      <c r="J162" s="382">
        <v>9000</v>
      </c>
      <c r="K162" s="382"/>
    </row>
    <row r="163" spans="1:11">
      <c r="A163" s="189"/>
      <c r="B163" s="189"/>
      <c r="C163" s="189"/>
      <c r="D163" s="189"/>
      <c r="E163" s="189"/>
      <c r="F163" s="189"/>
      <c r="G163" s="189"/>
      <c r="H163" s="189"/>
      <c r="I163" s="385" t="s">
        <v>403</v>
      </c>
      <c r="J163" s="382">
        <v>30000</v>
      </c>
      <c r="K163" s="382">
        <v>4901</v>
      </c>
    </row>
    <row r="164" spans="1:11">
      <c r="A164" s="189"/>
      <c r="B164" s="189"/>
      <c r="C164" s="189"/>
      <c r="D164" s="189"/>
      <c r="E164" s="189"/>
      <c r="F164" s="189"/>
      <c r="G164" s="189"/>
      <c r="H164" s="189"/>
      <c r="I164" s="385" t="s">
        <v>405</v>
      </c>
      <c r="J164" s="382">
        <v>30000</v>
      </c>
      <c r="K164" s="382">
        <v>4656</v>
      </c>
    </row>
    <row r="165" spans="1:11">
      <c r="A165" s="189"/>
      <c r="B165" s="189"/>
      <c r="C165" s="189"/>
      <c r="D165" s="189"/>
      <c r="E165" s="189"/>
      <c r="F165" s="189"/>
      <c r="G165" s="189"/>
      <c r="H165" s="189"/>
      <c r="I165" s="385" t="s">
        <v>442</v>
      </c>
      <c r="J165" s="382">
        <v>10000</v>
      </c>
      <c r="K165" s="382">
        <v>1455</v>
      </c>
    </row>
    <row r="166" spans="1:11">
      <c r="A166" s="189"/>
      <c r="B166" s="189"/>
      <c r="C166" s="189"/>
      <c r="D166" s="189"/>
      <c r="E166" s="189"/>
      <c r="F166" s="189"/>
      <c r="G166" s="189"/>
      <c r="H166" s="189"/>
      <c r="I166" s="385" t="s">
        <v>443</v>
      </c>
      <c r="J166" s="382">
        <v>20000</v>
      </c>
      <c r="K166" s="382">
        <v>3088</v>
      </c>
    </row>
    <row r="167" spans="1:11">
      <c r="A167" s="189"/>
      <c r="B167" s="189"/>
      <c r="C167" s="189"/>
      <c r="D167" s="189"/>
      <c r="E167" s="189"/>
      <c r="F167" s="189"/>
      <c r="G167" s="189"/>
      <c r="H167" s="189"/>
      <c r="I167" s="385" t="s">
        <v>444</v>
      </c>
      <c r="J167" s="382">
        <v>20000</v>
      </c>
      <c r="K167" s="382">
        <v>1844</v>
      </c>
    </row>
    <row r="168" spans="1:11">
      <c r="A168" s="189"/>
      <c r="B168" s="189"/>
      <c r="C168" s="189"/>
      <c r="D168" s="189"/>
      <c r="E168" s="189"/>
      <c r="F168" s="189"/>
      <c r="G168" s="189"/>
      <c r="H168" s="189"/>
      <c r="I168" s="385" t="s">
        <v>391</v>
      </c>
      <c r="J168" s="382">
        <v>39000</v>
      </c>
      <c r="K168" s="382">
        <v>4826</v>
      </c>
    </row>
    <row r="169" spans="1:11">
      <c r="A169" s="189"/>
      <c r="B169" s="189"/>
      <c r="C169" s="189"/>
      <c r="D169" s="189"/>
      <c r="E169" s="189"/>
      <c r="F169" s="189"/>
      <c r="G169" s="189"/>
      <c r="H169" s="189"/>
      <c r="I169" s="385" t="s">
        <v>445</v>
      </c>
      <c r="J169" s="382">
        <v>10000</v>
      </c>
      <c r="K169" s="382">
        <v>1049</v>
      </c>
    </row>
    <row r="170" spans="1:11">
      <c r="A170" s="189"/>
      <c r="B170" s="189"/>
      <c r="C170" s="189"/>
      <c r="D170" s="189"/>
      <c r="E170" s="189"/>
      <c r="F170" s="189"/>
      <c r="G170" s="189"/>
      <c r="H170" s="189"/>
      <c r="I170" s="385" t="s">
        <v>446</v>
      </c>
      <c r="J170" s="382">
        <v>20000</v>
      </c>
      <c r="K170" s="382">
        <v>747</v>
      </c>
    </row>
    <row r="171" spans="1:11">
      <c r="A171" s="189"/>
      <c r="B171" s="189"/>
      <c r="C171" s="189"/>
      <c r="D171" s="189"/>
      <c r="E171" s="189"/>
      <c r="F171" s="189"/>
      <c r="G171" s="189"/>
      <c r="H171" s="189"/>
      <c r="I171" s="385" t="s">
        <v>447</v>
      </c>
      <c r="J171" s="382">
        <v>30000</v>
      </c>
      <c r="K171" s="382">
        <v>4888</v>
      </c>
    </row>
    <row r="172" spans="1:11">
      <c r="A172" s="189"/>
      <c r="B172" s="189"/>
      <c r="C172" s="189"/>
      <c r="D172" s="189"/>
      <c r="E172" s="189"/>
      <c r="F172" s="189"/>
      <c r="G172" s="189"/>
      <c r="H172" s="189"/>
      <c r="I172" s="385" t="s">
        <v>448</v>
      </c>
      <c r="J172" s="382">
        <v>50000</v>
      </c>
      <c r="K172" s="382">
        <v>4776</v>
      </c>
    </row>
    <row r="173" spans="1:11">
      <c r="A173" s="189"/>
      <c r="B173" s="189"/>
      <c r="C173" s="189"/>
      <c r="D173" s="189"/>
      <c r="E173" s="189"/>
      <c r="F173" s="189"/>
      <c r="G173" s="189"/>
      <c r="H173" s="189"/>
      <c r="I173" s="385" t="s">
        <v>449</v>
      </c>
      <c r="J173" s="382">
        <v>10000</v>
      </c>
      <c r="K173" s="382">
        <v>1469</v>
      </c>
    </row>
    <row r="174" spans="1:11">
      <c r="A174" s="189"/>
      <c r="B174" s="189"/>
      <c r="C174" s="189"/>
      <c r="D174" s="189"/>
      <c r="E174" s="189"/>
      <c r="F174" s="189"/>
      <c r="G174" s="189"/>
      <c r="H174" s="189"/>
      <c r="I174" s="385" t="s">
        <v>450</v>
      </c>
      <c r="J174" s="382">
        <v>10000</v>
      </c>
      <c r="K174" s="382">
        <v>1538</v>
      </c>
    </row>
    <row r="175" spans="1:11">
      <c r="A175" s="189"/>
      <c r="B175" s="189"/>
      <c r="C175" s="189"/>
      <c r="D175" s="189"/>
      <c r="E175" s="189"/>
      <c r="F175" s="189"/>
      <c r="G175" s="189"/>
      <c r="H175" s="189"/>
      <c r="I175" s="385" t="s">
        <v>451</v>
      </c>
      <c r="J175" s="382">
        <v>20000</v>
      </c>
      <c r="K175" s="382">
        <v>3045</v>
      </c>
    </row>
    <row r="176" spans="1:11">
      <c r="A176" s="189"/>
      <c r="B176" s="189"/>
      <c r="C176" s="189"/>
      <c r="D176" s="189"/>
      <c r="E176" s="189"/>
      <c r="F176" s="189"/>
      <c r="G176" s="189"/>
      <c r="H176" s="189"/>
      <c r="I176" s="381" t="s">
        <v>209</v>
      </c>
      <c r="J176" s="382"/>
      <c r="K176" s="382"/>
    </row>
    <row r="177" spans="1:11">
      <c r="A177" s="189"/>
      <c r="B177" s="189"/>
      <c r="C177" s="189"/>
      <c r="D177" s="189"/>
      <c r="E177" s="189"/>
      <c r="F177" s="189"/>
      <c r="G177" s="189"/>
      <c r="H177" s="189"/>
      <c r="I177" s="385" t="s">
        <v>452</v>
      </c>
      <c r="J177" s="382">
        <v>30000</v>
      </c>
      <c r="K177" s="382">
        <v>493</v>
      </c>
    </row>
    <row r="178" spans="1:11">
      <c r="A178" s="189"/>
      <c r="B178" s="189"/>
      <c r="C178" s="189"/>
      <c r="D178" s="189"/>
      <c r="E178" s="189"/>
      <c r="F178" s="189"/>
      <c r="G178" s="189"/>
      <c r="H178" s="189"/>
      <c r="I178" s="385" t="s">
        <v>453</v>
      </c>
      <c r="J178" s="382">
        <v>20000</v>
      </c>
      <c r="K178" s="382">
        <v>2267</v>
      </c>
    </row>
    <row r="179" spans="1:11">
      <c r="A179" s="189"/>
      <c r="B179" s="189"/>
      <c r="C179" s="189"/>
      <c r="D179" s="189"/>
      <c r="E179" s="189"/>
      <c r="F179" s="189"/>
      <c r="G179" s="189"/>
      <c r="H179" s="189"/>
      <c r="I179" s="385" t="s">
        <v>454</v>
      </c>
      <c r="J179" s="382">
        <v>20000</v>
      </c>
      <c r="K179" s="382">
        <v>1783</v>
      </c>
    </row>
    <row r="180" spans="1:11">
      <c r="A180" s="189"/>
      <c r="B180" s="189"/>
      <c r="C180" s="189"/>
      <c r="D180" s="189"/>
      <c r="E180" s="189"/>
      <c r="F180" s="189"/>
      <c r="G180" s="189"/>
      <c r="H180" s="189"/>
      <c r="I180" s="385" t="s">
        <v>455</v>
      </c>
      <c r="J180" s="382">
        <v>20000</v>
      </c>
      <c r="K180" s="382">
        <v>2087</v>
      </c>
    </row>
    <row r="181" spans="1:11">
      <c r="A181" s="189"/>
      <c r="B181" s="189"/>
      <c r="C181" s="189"/>
      <c r="D181" s="189"/>
      <c r="E181" s="189"/>
      <c r="F181" s="189"/>
      <c r="G181" s="189"/>
      <c r="H181" s="189"/>
      <c r="I181" s="385" t="s">
        <v>456</v>
      </c>
      <c r="J181" s="382">
        <v>20000</v>
      </c>
      <c r="K181" s="382">
        <v>2500</v>
      </c>
    </row>
    <row r="182" spans="1:11">
      <c r="A182" s="189"/>
      <c r="B182" s="189"/>
      <c r="C182" s="189"/>
      <c r="D182" s="189"/>
      <c r="E182" s="189"/>
      <c r="F182" s="189"/>
      <c r="G182" s="189"/>
      <c r="H182" s="189"/>
      <c r="I182" s="385" t="s">
        <v>457</v>
      </c>
      <c r="J182" s="382">
        <v>20000</v>
      </c>
      <c r="K182" s="382">
        <v>1226</v>
      </c>
    </row>
    <row r="183" spans="1:11">
      <c r="A183" s="189"/>
      <c r="B183" s="189"/>
      <c r="C183" s="189"/>
      <c r="D183" s="189"/>
      <c r="E183" s="189"/>
      <c r="F183" s="189"/>
      <c r="G183" s="189"/>
      <c r="H183" s="189"/>
      <c r="I183" s="385" t="s">
        <v>458</v>
      </c>
      <c r="J183" s="382">
        <v>20000</v>
      </c>
      <c r="K183" s="382">
        <v>1931</v>
      </c>
    </row>
    <row r="184" spans="1:11">
      <c r="A184" s="189"/>
      <c r="B184" s="189"/>
      <c r="C184" s="189"/>
      <c r="D184" s="189"/>
      <c r="E184" s="189"/>
      <c r="F184" s="189"/>
      <c r="G184" s="189"/>
      <c r="H184" s="189"/>
      <c r="I184" s="385" t="s">
        <v>459</v>
      </c>
      <c r="J184" s="382">
        <v>20000</v>
      </c>
      <c r="K184" s="382">
        <v>2231</v>
      </c>
    </row>
    <row r="185" spans="1:11">
      <c r="A185" s="189"/>
      <c r="B185" s="189"/>
      <c r="C185" s="189"/>
      <c r="D185" s="189"/>
      <c r="E185" s="189"/>
      <c r="F185" s="189"/>
      <c r="G185" s="189"/>
      <c r="H185" s="189"/>
      <c r="I185" s="389" t="s">
        <v>460</v>
      </c>
      <c r="J185" s="390">
        <v>10000</v>
      </c>
      <c r="K185" s="390">
        <v>2778</v>
      </c>
    </row>
  </sheetData>
  <mergeCells count="3">
    <mergeCell ref="A1:C1"/>
    <mergeCell ref="E1:G1"/>
    <mergeCell ref="I1:K1"/>
  </mergeCells>
  <conditionalFormatting sqref="I$1:I$1048576">
    <cfRule type="containsText" dxfId="59" priority="1" operator="between" text="分布">
      <formula>NOT(ISERROR(SEARCH("分布",I1)))</formula>
    </cfRule>
  </conditionalFormatting>
  <conditionalFormatting sqref="U3:U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B28" sqref="B28"/>
    </sheetView>
  </sheetViews>
  <sheetFormatPr defaultColWidth="9" defaultRowHeight="12.75"/>
  <cols>
    <col min="1" max="19" width="9.85840707964602" style="324" customWidth="1"/>
    <col min="20" max="16384" width="9.13274336283186" style="324"/>
  </cols>
  <sheetData>
    <row r="1" ht="13.5" spans="1:19">
      <c r="A1" s="325" t="s">
        <v>461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M1" s="327" t="s">
        <v>462</v>
      </c>
      <c r="N1" s="328"/>
      <c r="O1" s="328"/>
      <c r="P1" s="328"/>
      <c r="Q1" s="328"/>
      <c r="R1" s="328"/>
      <c r="S1" s="329"/>
    </row>
    <row r="2" ht="13.5" spans="1:19">
      <c r="A2" s="330" t="s">
        <v>463</v>
      </c>
      <c r="B2" s="330" t="s">
        <v>464</v>
      </c>
      <c r="C2" s="331" t="s">
        <v>465</v>
      </c>
      <c r="D2" s="332"/>
      <c r="E2" s="333"/>
      <c r="F2" s="331" t="s">
        <v>466</v>
      </c>
      <c r="G2" s="332"/>
      <c r="H2" s="333"/>
      <c r="I2" s="331" t="s">
        <v>467</v>
      </c>
      <c r="J2" s="332"/>
      <c r="K2" s="333"/>
      <c r="M2" s="330" t="s">
        <v>463</v>
      </c>
      <c r="N2" s="334" t="s">
        <v>468</v>
      </c>
      <c r="O2" s="334" t="s">
        <v>469</v>
      </c>
      <c r="P2" s="335" t="s">
        <v>466</v>
      </c>
      <c r="Q2" s="336"/>
      <c r="R2" s="335" t="s">
        <v>470</v>
      </c>
      <c r="S2" s="336"/>
    </row>
    <row r="3" ht="26.25" spans="1:19">
      <c r="A3" s="337"/>
      <c r="B3" s="337"/>
      <c r="C3" s="338" t="s">
        <v>471</v>
      </c>
      <c r="D3" s="339" t="s">
        <v>472</v>
      </c>
      <c r="E3" s="340" t="s">
        <v>473</v>
      </c>
      <c r="F3" s="338" t="s">
        <v>471</v>
      </c>
      <c r="G3" s="339" t="s">
        <v>472</v>
      </c>
      <c r="H3" s="340" t="s">
        <v>473</v>
      </c>
      <c r="I3" s="338" t="s">
        <v>471</v>
      </c>
      <c r="J3" s="339" t="s">
        <v>472</v>
      </c>
      <c r="K3" s="340" t="s">
        <v>473</v>
      </c>
      <c r="M3" s="337"/>
      <c r="N3" s="341"/>
      <c r="O3" s="341"/>
      <c r="P3" s="338" t="s">
        <v>471</v>
      </c>
      <c r="Q3" s="340" t="s">
        <v>473</v>
      </c>
      <c r="R3" s="338" t="s">
        <v>471</v>
      </c>
      <c r="S3" s="340" t="s">
        <v>473</v>
      </c>
    </row>
    <row r="4" ht="13.5" spans="1:19">
      <c r="A4" s="342">
        <v>1</v>
      </c>
      <c r="B4" s="343" t="s">
        <v>201</v>
      </c>
      <c r="C4" s="342">
        <v>475</v>
      </c>
      <c r="D4" s="342">
        <v>46</v>
      </c>
      <c r="E4" s="344">
        <v>0.113</v>
      </c>
      <c r="F4" s="342">
        <v>3842</v>
      </c>
      <c r="G4" s="342">
        <v>93</v>
      </c>
      <c r="H4" s="345">
        <v>0.317</v>
      </c>
      <c r="I4" s="342">
        <v>4317</v>
      </c>
      <c r="J4" s="342">
        <v>139</v>
      </c>
      <c r="K4" s="346">
        <v>0.265</v>
      </c>
      <c r="M4" s="342">
        <v>1</v>
      </c>
      <c r="N4" s="342" t="s">
        <v>474</v>
      </c>
      <c r="O4" s="342">
        <v>260</v>
      </c>
      <c r="P4" s="342">
        <v>165</v>
      </c>
      <c r="Q4" s="347">
        <v>0.206</v>
      </c>
      <c r="R4" s="342">
        <v>425</v>
      </c>
      <c r="S4" s="347">
        <v>0.137</v>
      </c>
    </row>
    <row r="5" ht="13.5" spans="1:19">
      <c r="A5" s="342">
        <v>2</v>
      </c>
      <c r="B5" s="343" t="s">
        <v>204</v>
      </c>
      <c r="C5" s="342">
        <v>2140</v>
      </c>
      <c r="D5" s="342">
        <v>99</v>
      </c>
      <c r="E5" s="347">
        <v>0.51</v>
      </c>
      <c r="F5" s="342">
        <v>963</v>
      </c>
      <c r="G5" s="342">
        <v>20</v>
      </c>
      <c r="H5" s="347">
        <v>0.08</v>
      </c>
      <c r="I5" s="342">
        <v>3103</v>
      </c>
      <c r="J5" s="342">
        <v>119</v>
      </c>
      <c r="K5" s="348">
        <v>0.19</v>
      </c>
      <c r="M5" s="342">
        <v>2</v>
      </c>
      <c r="N5" s="342" t="s">
        <v>475</v>
      </c>
      <c r="O5" s="342">
        <v>234</v>
      </c>
      <c r="P5" s="342">
        <v>66</v>
      </c>
      <c r="Q5" s="347">
        <v>0.082</v>
      </c>
      <c r="R5" s="342">
        <v>300</v>
      </c>
      <c r="S5" s="347">
        <v>0.097</v>
      </c>
    </row>
    <row r="6" ht="13.5" spans="1:19">
      <c r="A6" s="342">
        <v>3</v>
      </c>
      <c r="B6" s="343" t="s">
        <v>209</v>
      </c>
      <c r="C6" s="342">
        <v>250</v>
      </c>
      <c r="D6" s="342">
        <v>11</v>
      </c>
      <c r="E6" s="347">
        <v>0.06</v>
      </c>
      <c r="F6" s="342">
        <v>2320</v>
      </c>
      <c r="G6" s="342">
        <v>110</v>
      </c>
      <c r="H6" s="347">
        <v>0.191</v>
      </c>
      <c r="I6" s="342">
        <v>2570</v>
      </c>
      <c r="J6" s="342">
        <v>121</v>
      </c>
      <c r="K6" s="347">
        <v>0.158</v>
      </c>
      <c r="M6" s="342">
        <v>3</v>
      </c>
      <c r="N6" s="342" t="s">
        <v>476</v>
      </c>
      <c r="O6" s="342">
        <v>185</v>
      </c>
      <c r="P6" s="342">
        <v>115</v>
      </c>
      <c r="Q6" s="347">
        <v>0.144</v>
      </c>
      <c r="R6" s="342">
        <v>300</v>
      </c>
      <c r="S6" s="347">
        <v>0.097</v>
      </c>
    </row>
    <row r="7" ht="13.5" spans="1:19">
      <c r="A7" s="342">
        <v>4</v>
      </c>
      <c r="B7" s="342" t="s">
        <v>213</v>
      </c>
      <c r="C7" s="342">
        <v>431</v>
      </c>
      <c r="D7" s="342">
        <v>31</v>
      </c>
      <c r="E7" s="347">
        <v>0.103</v>
      </c>
      <c r="F7" s="342">
        <v>1183</v>
      </c>
      <c r="G7" s="342">
        <v>47</v>
      </c>
      <c r="H7" s="347">
        <v>0.098</v>
      </c>
      <c r="I7" s="342">
        <v>1614</v>
      </c>
      <c r="J7" s="342">
        <v>78</v>
      </c>
      <c r="K7" s="347">
        <v>0.099</v>
      </c>
      <c r="M7" s="342">
        <v>4</v>
      </c>
      <c r="N7" s="342" t="s">
        <v>477</v>
      </c>
      <c r="O7" s="342">
        <v>218</v>
      </c>
      <c r="P7" s="342">
        <v>37</v>
      </c>
      <c r="Q7" s="347">
        <v>0.046</v>
      </c>
      <c r="R7" s="342">
        <v>255</v>
      </c>
      <c r="S7" s="347">
        <v>0.082</v>
      </c>
    </row>
    <row r="8" ht="13.5" spans="1:19">
      <c r="A8" s="342">
        <v>5</v>
      </c>
      <c r="B8" s="343" t="s">
        <v>208</v>
      </c>
      <c r="C8" s="342">
        <v>272</v>
      </c>
      <c r="D8" s="342">
        <v>18</v>
      </c>
      <c r="E8" s="347">
        <v>0.065</v>
      </c>
      <c r="F8" s="342">
        <v>1133</v>
      </c>
      <c r="G8" s="342">
        <v>38</v>
      </c>
      <c r="H8" s="347">
        <v>0.094</v>
      </c>
      <c r="I8" s="342">
        <v>1405</v>
      </c>
      <c r="J8" s="342">
        <v>56</v>
      </c>
      <c r="K8" s="347">
        <v>0.086</v>
      </c>
      <c r="M8" s="342">
        <v>5</v>
      </c>
      <c r="N8" s="342" t="s">
        <v>243</v>
      </c>
      <c r="O8" s="342">
        <v>163</v>
      </c>
      <c r="P8" s="342">
        <v>42</v>
      </c>
      <c r="Q8" s="347">
        <v>0.052</v>
      </c>
      <c r="R8" s="342">
        <v>205</v>
      </c>
      <c r="S8" s="347">
        <v>0.066</v>
      </c>
    </row>
    <row r="9" ht="13.5" spans="1:19">
      <c r="A9" s="342">
        <v>6</v>
      </c>
      <c r="B9" s="343" t="s">
        <v>219</v>
      </c>
      <c r="C9" s="342">
        <v>260</v>
      </c>
      <c r="D9" s="342">
        <v>21</v>
      </c>
      <c r="E9" s="347">
        <v>0.062</v>
      </c>
      <c r="F9" s="342">
        <v>789</v>
      </c>
      <c r="G9" s="342">
        <v>90</v>
      </c>
      <c r="H9" s="347">
        <v>0.065</v>
      </c>
      <c r="I9" s="342">
        <v>1049</v>
      </c>
      <c r="J9" s="342">
        <v>111</v>
      </c>
      <c r="K9" s="347">
        <v>0.064</v>
      </c>
      <c r="M9" s="342">
        <v>6</v>
      </c>
      <c r="N9" s="342" t="s">
        <v>261</v>
      </c>
      <c r="O9" s="342">
        <v>140</v>
      </c>
      <c r="P9" s="342">
        <v>49</v>
      </c>
      <c r="Q9" s="347">
        <v>0.061</v>
      </c>
      <c r="R9" s="342">
        <v>189</v>
      </c>
      <c r="S9" s="347">
        <v>0.061</v>
      </c>
    </row>
    <row r="10" ht="26.25" spans="1:19">
      <c r="A10" s="342">
        <v>7</v>
      </c>
      <c r="B10" s="349" t="s">
        <v>224</v>
      </c>
      <c r="C10" s="342">
        <v>0</v>
      </c>
      <c r="D10" s="342">
        <v>0</v>
      </c>
      <c r="E10" s="347">
        <v>0</v>
      </c>
      <c r="F10" s="342">
        <v>641</v>
      </c>
      <c r="G10" s="342">
        <v>24</v>
      </c>
      <c r="H10" s="347">
        <v>0.053</v>
      </c>
      <c r="I10" s="342">
        <v>641</v>
      </c>
      <c r="J10" s="342">
        <v>27</v>
      </c>
      <c r="K10" s="347">
        <v>0.039</v>
      </c>
      <c r="M10" s="342">
        <v>7</v>
      </c>
      <c r="N10" s="342" t="s">
        <v>228</v>
      </c>
      <c r="O10" s="342">
        <v>112</v>
      </c>
      <c r="P10" s="342">
        <v>74</v>
      </c>
      <c r="Q10" s="347">
        <v>0.092</v>
      </c>
      <c r="R10" s="342">
        <v>186</v>
      </c>
      <c r="S10" s="347">
        <v>0.06</v>
      </c>
    </row>
    <row r="11" ht="13.5" spans="1:19">
      <c r="A11" s="342">
        <v>8</v>
      </c>
      <c r="B11" s="342" t="s">
        <v>228</v>
      </c>
      <c r="C11" s="342">
        <v>63</v>
      </c>
      <c r="D11" s="342">
        <v>3</v>
      </c>
      <c r="E11" s="347">
        <v>0.015</v>
      </c>
      <c r="F11" s="342">
        <v>398</v>
      </c>
      <c r="G11" s="342">
        <v>11</v>
      </c>
      <c r="H11" s="347">
        <v>0.033</v>
      </c>
      <c r="I11" s="342">
        <v>461</v>
      </c>
      <c r="J11" s="342">
        <v>14</v>
      </c>
      <c r="K11" s="347">
        <v>0.028</v>
      </c>
      <c r="M11" s="342">
        <v>8</v>
      </c>
      <c r="N11" s="342" t="s">
        <v>478</v>
      </c>
      <c r="O11" s="342">
        <v>118</v>
      </c>
      <c r="P11" s="342">
        <v>40</v>
      </c>
      <c r="Q11" s="347">
        <v>0.05</v>
      </c>
      <c r="R11" s="342">
        <v>158</v>
      </c>
      <c r="S11" s="347">
        <v>0.051</v>
      </c>
    </row>
    <row r="12" ht="13.5" spans="1:19">
      <c r="A12" s="342">
        <v>9</v>
      </c>
      <c r="B12" s="342" t="s">
        <v>232</v>
      </c>
      <c r="C12" s="342">
        <v>5</v>
      </c>
      <c r="D12" s="342">
        <v>2</v>
      </c>
      <c r="E12" s="347">
        <v>0.001</v>
      </c>
      <c r="F12" s="342">
        <v>270</v>
      </c>
      <c r="G12" s="342">
        <v>8</v>
      </c>
      <c r="H12" s="347">
        <v>0.022</v>
      </c>
      <c r="I12" s="342">
        <v>275</v>
      </c>
      <c r="J12" s="342">
        <v>10</v>
      </c>
      <c r="K12" s="347">
        <v>0.017</v>
      </c>
      <c r="M12" s="342">
        <v>9</v>
      </c>
      <c r="N12" s="343" t="s">
        <v>208</v>
      </c>
      <c r="O12" s="342">
        <v>107</v>
      </c>
      <c r="P12" s="342">
        <v>46</v>
      </c>
      <c r="Q12" s="347">
        <v>0.058</v>
      </c>
      <c r="R12" s="342">
        <v>153</v>
      </c>
      <c r="S12" s="347">
        <v>0.049</v>
      </c>
    </row>
    <row r="13" ht="13.5" spans="1:19">
      <c r="A13" s="342">
        <v>10</v>
      </c>
      <c r="B13" s="342" t="s">
        <v>236</v>
      </c>
      <c r="C13" s="342">
        <v>60</v>
      </c>
      <c r="D13" s="342">
        <v>5</v>
      </c>
      <c r="E13" s="347">
        <v>0.014</v>
      </c>
      <c r="F13" s="342">
        <v>210</v>
      </c>
      <c r="G13" s="342">
        <v>5</v>
      </c>
      <c r="H13" s="347">
        <v>0.017</v>
      </c>
      <c r="I13" s="342">
        <v>270</v>
      </c>
      <c r="J13" s="342">
        <v>10</v>
      </c>
      <c r="K13" s="347">
        <v>0.017</v>
      </c>
      <c r="M13" s="342">
        <v>10</v>
      </c>
      <c r="N13" s="342" t="s">
        <v>273</v>
      </c>
      <c r="O13" s="342">
        <v>124</v>
      </c>
      <c r="P13" s="342">
        <v>26</v>
      </c>
      <c r="Q13" s="347">
        <v>0.032</v>
      </c>
      <c r="R13" s="342">
        <v>150</v>
      </c>
      <c r="S13" s="347">
        <v>0.048</v>
      </c>
    </row>
    <row r="14" ht="13.5" spans="1:19">
      <c r="A14" s="342">
        <v>11</v>
      </c>
      <c r="B14" s="342" t="s">
        <v>240</v>
      </c>
      <c r="C14" s="342">
        <v>20</v>
      </c>
      <c r="D14" s="342">
        <v>3</v>
      </c>
      <c r="E14" s="347">
        <v>0.005</v>
      </c>
      <c r="F14" s="342">
        <v>160</v>
      </c>
      <c r="G14" s="342">
        <v>6</v>
      </c>
      <c r="H14" s="347">
        <v>0.013</v>
      </c>
      <c r="I14" s="342">
        <v>180</v>
      </c>
      <c r="J14" s="342">
        <v>9</v>
      </c>
      <c r="K14" s="347">
        <v>0.011</v>
      </c>
      <c r="M14" s="342">
        <v>11</v>
      </c>
      <c r="N14" s="342" t="s">
        <v>479</v>
      </c>
      <c r="O14" s="342">
        <v>65</v>
      </c>
      <c r="P14" s="342">
        <v>35</v>
      </c>
      <c r="Q14" s="347">
        <v>0.043</v>
      </c>
      <c r="R14" s="342">
        <v>100</v>
      </c>
      <c r="S14" s="347">
        <v>0.032</v>
      </c>
    </row>
    <row r="15" ht="13.5" spans="1:19">
      <c r="A15" s="342">
        <v>12</v>
      </c>
      <c r="B15" s="342" t="s">
        <v>243</v>
      </c>
      <c r="C15" s="342">
        <v>79</v>
      </c>
      <c r="D15" s="342">
        <v>8</v>
      </c>
      <c r="E15" s="347">
        <v>0.019</v>
      </c>
      <c r="F15" s="342">
        <v>33</v>
      </c>
      <c r="G15" s="342">
        <v>5</v>
      </c>
      <c r="H15" s="347">
        <v>0.003</v>
      </c>
      <c r="I15" s="342">
        <v>112</v>
      </c>
      <c r="J15" s="342">
        <v>13</v>
      </c>
      <c r="K15" s="347">
        <v>0.007</v>
      </c>
      <c r="M15" s="342">
        <v>12</v>
      </c>
      <c r="N15" s="342" t="s">
        <v>236</v>
      </c>
      <c r="O15" s="342">
        <v>61</v>
      </c>
      <c r="P15" s="342">
        <v>29</v>
      </c>
      <c r="Q15" s="347">
        <v>0.036</v>
      </c>
      <c r="R15" s="342">
        <v>90</v>
      </c>
      <c r="S15" s="347">
        <v>0.029</v>
      </c>
    </row>
    <row r="16" ht="13.5" spans="1:19">
      <c r="A16" s="342">
        <v>13</v>
      </c>
      <c r="B16" s="342" t="s">
        <v>248</v>
      </c>
      <c r="C16" s="342">
        <v>100</v>
      </c>
      <c r="D16" s="342">
        <v>9</v>
      </c>
      <c r="E16" s="347">
        <v>0.024</v>
      </c>
      <c r="F16" s="342">
        <v>10</v>
      </c>
      <c r="G16" s="342">
        <v>1</v>
      </c>
      <c r="H16" s="347">
        <v>0.001</v>
      </c>
      <c r="I16" s="342">
        <v>110</v>
      </c>
      <c r="J16" s="342">
        <v>10</v>
      </c>
      <c r="K16" s="347">
        <v>0.007</v>
      </c>
      <c r="M16" s="342">
        <v>13</v>
      </c>
      <c r="N16" s="342" t="s">
        <v>480</v>
      </c>
      <c r="O16" s="342">
        <v>85</v>
      </c>
      <c r="P16" s="342">
        <v>2</v>
      </c>
      <c r="Q16" s="347">
        <v>0.002</v>
      </c>
      <c r="R16" s="342">
        <v>87</v>
      </c>
      <c r="S16" s="347">
        <v>0.028</v>
      </c>
    </row>
    <row r="17" ht="13.5" spans="1:19">
      <c r="A17" s="342">
        <v>14</v>
      </c>
      <c r="B17" s="343" t="s">
        <v>239</v>
      </c>
      <c r="C17" s="342">
        <v>10</v>
      </c>
      <c r="D17" s="342">
        <v>1</v>
      </c>
      <c r="E17" s="347">
        <v>0.002</v>
      </c>
      <c r="F17" s="342">
        <v>73</v>
      </c>
      <c r="G17" s="342">
        <v>2</v>
      </c>
      <c r="H17" s="347">
        <v>0.006</v>
      </c>
      <c r="I17" s="342">
        <v>83</v>
      </c>
      <c r="J17" s="342">
        <v>3</v>
      </c>
      <c r="K17" s="347">
        <v>0.005</v>
      </c>
      <c r="M17" s="342">
        <v>14</v>
      </c>
      <c r="N17" s="342" t="s">
        <v>481</v>
      </c>
      <c r="O17" s="342">
        <v>73</v>
      </c>
      <c r="P17" s="342">
        <v>2</v>
      </c>
      <c r="Q17" s="347">
        <v>0.003</v>
      </c>
      <c r="R17" s="342">
        <v>75</v>
      </c>
      <c r="S17" s="347">
        <v>0.024</v>
      </c>
    </row>
    <row r="18" ht="13.5" spans="1:19">
      <c r="A18" s="342">
        <v>15</v>
      </c>
      <c r="B18" s="343" t="s">
        <v>212</v>
      </c>
      <c r="C18" s="342">
        <v>10</v>
      </c>
      <c r="D18" s="342">
        <v>1</v>
      </c>
      <c r="E18" s="347">
        <v>0.002</v>
      </c>
      <c r="F18" s="342">
        <v>20</v>
      </c>
      <c r="G18" s="342">
        <v>2</v>
      </c>
      <c r="H18" s="347">
        <v>0.002</v>
      </c>
      <c r="I18" s="342">
        <v>30</v>
      </c>
      <c r="J18" s="342">
        <v>3</v>
      </c>
      <c r="K18" s="347">
        <v>0.002</v>
      </c>
      <c r="M18" s="342">
        <v>15</v>
      </c>
      <c r="N18" s="342" t="s">
        <v>482</v>
      </c>
      <c r="O18" s="342">
        <v>62</v>
      </c>
      <c r="P18" s="342">
        <v>11</v>
      </c>
      <c r="Q18" s="347">
        <v>0.014</v>
      </c>
      <c r="R18" s="342">
        <v>73</v>
      </c>
      <c r="S18" s="347">
        <v>0.024</v>
      </c>
    </row>
    <row r="19" ht="13.5" spans="1:19">
      <c r="A19" s="342">
        <v>16</v>
      </c>
      <c r="B19" s="343" t="s">
        <v>254</v>
      </c>
      <c r="C19" s="342">
        <v>0</v>
      </c>
      <c r="D19" s="342">
        <v>0</v>
      </c>
      <c r="E19" s="347">
        <v>0</v>
      </c>
      <c r="F19" s="342">
        <v>30</v>
      </c>
      <c r="G19" s="342">
        <v>2</v>
      </c>
      <c r="H19" s="347">
        <v>0.003</v>
      </c>
      <c r="I19" s="342">
        <v>30</v>
      </c>
      <c r="J19" s="342">
        <v>2</v>
      </c>
      <c r="K19" s="347">
        <v>0.002</v>
      </c>
      <c r="M19" s="342">
        <v>16</v>
      </c>
      <c r="N19" s="342" t="s">
        <v>483</v>
      </c>
      <c r="O19" s="342">
        <v>39</v>
      </c>
      <c r="P19" s="342">
        <v>32</v>
      </c>
      <c r="Q19" s="347">
        <v>0.04</v>
      </c>
      <c r="R19" s="342">
        <v>71</v>
      </c>
      <c r="S19" s="347">
        <v>0.023</v>
      </c>
    </row>
    <row r="20" ht="13.5" spans="1:19">
      <c r="A20" s="342">
        <v>17</v>
      </c>
      <c r="B20" s="343" t="s">
        <v>258</v>
      </c>
      <c r="C20" s="342">
        <v>5</v>
      </c>
      <c r="D20" s="342">
        <v>1</v>
      </c>
      <c r="E20" s="347">
        <v>0.001</v>
      </c>
      <c r="F20" s="342">
        <v>20</v>
      </c>
      <c r="G20" s="342">
        <v>1</v>
      </c>
      <c r="H20" s="347">
        <v>0.002</v>
      </c>
      <c r="I20" s="342">
        <v>25</v>
      </c>
      <c r="J20" s="342">
        <v>2</v>
      </c>
      <c r="K20" s="347">
        <v>0.002</v>
      </c>
      <c r="M20" s="342">
        <v>17</v>
      </c>
      <c r="N20" s="342" t="s">
        <v>270</v>
      </c>
      <c r="O20" s="342">
        <v>64</v>
      </c>
      <c r="P20" s="342">
        <v>2</v>
      </c>
      <c r="Q20" s="347">
        <v>0.003</v>
      </c>
      <c r="R20" s="342">
        <v>66</v>
      </c>
      <c r="S20" s="347">
        <v>0.021</v>
      </c>
    </row>
    <row r="21" ht="13.5" spans="1:19">
      <c r="A21" s="350">
        <v>18</v>
      </c>
      <c r="B21" s="342" t="s">
        <v>261</v>
      </c>
      <c r="C21" s="342">
        <v>16</v>
      </c>
      <c r="D21" s="342">
        <v>10</v>
      </c>
      <c r="E21" s="347">
        <v>0.004</v>
      </c>
      <c r="F21" s="342">
        <v>0.3</v>
      </c>
      <c r="G21" s="342">
        <v>0</v>
      </c>
      <c r="H21" s="347">
        <v>0</v>
      </c>
      <c r="I21" s="342">
        <v>16</v>
      </c>
      <c r="J21" s="342">
        <v>10</v>
      </c>
      <c r="K21" s="347">
        <v>0.001</v>
      </c>
      <c r="M21" s="342">
        <v>18</v>
      </c>
      <c r="N21" s="343" t="s">
        <v>484</v>
      </c>
      <c r="O21" s="342">
        <v>53</v>
      </c>
      <c r="P21" s="342">
        <v>0.6</v>
      </c>
      <c r="Q21" s="347">
        <v>0.001</v>
      </c>
      <c r="R21" s="342">
        <v>53</v>
      </c>
      <c r="S21" s="347">
        <v>0.017</v>
      </c>
    </row>
    <row r="22" ht="13.5" spans="1:19">
      <c r="A22" s="342">
        <v>19</v>
      </c>
      <c r="B22" s="342" t="s">
        <v>264</v>
      </c>
      <c r="C22" s="342">
        <v>0</v>
      </c>
      <c r="D22" s="342">
        <v>0</v>
      </c>
      <c r="E22" s="347">
        <v>0</v>
      </c>
      <c r="F22" s="342">
        <v>10</v>
      </c>
      <c r="G22" s="342">
        <v>1</v>
      </c>
      <c r="H22" s="347">
        <v>0.001</v>
      </c>
      <c r="I22" s="342">
        <v>10</v>
      </c>
      <c r="J22" s="342">
        <v>1</v>
      </c>
      <c r="K22" s="347">
        <v>0.001</v>
      </c>
      <c r="M22" s="342">
        <v>19</v>
      </c>
      <c r="N22" s="342" t="s">
        <v>485</v>
      </c>
      <c r="O22" s="342">
        <v>37</v>
      </c>
      <c r="P22" s="342">
        <v>2</v>
      </c>
      <c r="Q22" s="347">
        <v>0.002</v>
      </c>
      <c r="R22" s="342">
        <v>39</v>
      </c>
      <c r="S22" s="347">
        <v>0.013</v>
      </c>
    </row>
    <row r="23" ht="13.5" spans="1:19">
      <c r="A23" s="351">
        <v>20</v>
      </c>
      <c r="B23" s="342" t="s">
        <v>267</v>
      </c>
      <c r="C23" s="342">
        <v>0</v>
      </c>
      <c r="D23" s="342">
        <v>0</v>
      </c>
      <c r="E23" s="347">
        <v>0</v>
      </c>
      <c r="F23" s="342">
        <v>10</v>
      </c>
      <c r="G23" s="342">
        <v>1</v>
      </c>
      <c r="H23" s="347">
        <v>0.001</v>
      </c>
      <c r="I23" s="342">
        <v>10</v>
      </c>
      <c r="J23" s="342">
        <v>1</v>
      </c>
      <c r="K23" s="347">
        <v>0.001</v>
      </c>
      <c r="M23" s="342">
        <v>20</v>
      </c>
      <c r="N23" s="343" t="s">
        <v>209</v>
      </c>
      <c r="O23" s="342">
        <v>26</v>
      </c>
      <c r="P23" s="342">
        <v>7</v>
      </c>
      <c r="Q23" s="347">
        <v>0.009</v>
      </c>
      <c r="R23" s="342">
        <v>33</v>
      </c>
      <c r="S23" s="347">
        <v>0.011</v>
      </c>
    </row>
    <row r="24" ht="13.5" spans="1:19">
      <c r="A24" s="342">
        <v>21</v>
      </c>
      <c r="B24" s="342" t="s">
        <v>270</v>
      </c>
      <c r="C24" s="342">
        <v>0</v>
      </c>
      <c r="D24" s="342">
        <v>0</v>
      </c>
      <c r="E24" s="347">
        <v>0</v>
      </c>
      <c r="F24" s="342">
        <v>3</v>
      </c>
      <c r="G24" s="342">
        <v>1</v>
      </c>
      <c r="H24" s="347">
        <v>0</v>
      </c>
      <c r="I24" s="342">
        <v>3</v>
      </c>
      <c r="J24" s="342">
        <v>1</v>
      </c>
      <c r="K24" s="347">
        <v>0</v>
      </c>
      <c r="M24" s="342">
        <v>21</v>
      </c>
      <c r="N24" s="342" t="s">
        <v>232</v>
      </c>
      <c r="O24" s="342">
        <v>20</v>
      </c>
      <c r="P24" s="342">
        <v>11</v>
      </c>
      <c r="Q24" s="347">
        <v>0.013</v>
      </c>
      <c r="R24" s="342">
        <v>31</v>
      </c>
      <c r="S24" s="347">
        <v>0.01</v>
      </c>
    </row>
    <row r="25" ht="13.5" spans="1:19">
      <c r="A25" s="342">
        <v>22</v>
      </c>
      <c r="B25" s="342" t="s">
        <v>273</v>
      </c>
      <c r="C25" s="342">
        <v>2</v>
      </c>
      <c r="D25" s="342">
        <v>1</v>
      </c>
      <c r="E25" s="347">
        <v>0.001</v>
      </c>
      <c r="F25" s="342">
        <v>0</v>
      </c>
      <c r="G25" s="342">
        <v>0</v>
      </c>
      <c r="H25" s="347">
        <v>0</v>
      </c>
      <c r="I25" s="342">
        <v>2</v>
      </c>
      <c r="J25" s="342">
        <v>1</v>
      </c>
      <c r="K25" s="347">
        <v>0</v>
      </c>
      <c r="M25" s="342">
        <v>22</v>
      </c>
      <c r="N25" s="342" t="s">
        <v>267</v>
      </c>
      <c r="O25" s="342">
        <v>27</v>
      </c>
      <c r="P25" s="342">
        <v>0.1</v>
      </c>
      <c r="Q25" s="347">
        <v>0</v>
      </c>
      <c r="R25" s="342">
        <v>27</v>
      </c>
      <c r="S25" s="347">
        <v>0.009</v>
      </c>
    </row>
    <row r="26" ht="13.5" spans="1:19">
      <c r="A26" s="352" t="s">
        <v>486</v>
      </c>
      <c r="B26" s="353"/>
      <c r="C26" s="342">
        <v>4198</v>
      </c>
      <c r="D26" s="342">
        <v>273</v>
      </c>
      <c r="E26" s="354">
        <v>1</v>
      </c>
      <c r="F26" s="342">
        <v>12119</v>
      </c>
      <c r="G26" s="342">
        <v>468</v>
      </c>
      <c r="H26" s="354">
        <v>1</v>
      </c>
      <c r="I26" s="342">
        <v>16317</v>
      </c>
      <c r="J26" s="342">
        <v>741</v>
      </c>
      <c r="K26" s="354">
        <v>1</v>
      </c>
      <c r="M26" s="342">
        <v>23</v>
      </c>
      <c r="N26" s="342" t="s">
        <v>240</v>
      </c>
      <c r="O26" s="342">
        <v>11</v>
      </c>
      <c r="P26" s="342">
        <v>3</v>
      </c>
      <c r="Q26" s="347">
        <v>0.003</v>
      </c>
      <c r="R26" s="342">
        <v>14</v>
      </c>
      <c r="S26" s="347">
        <v>0.004</v>
      </c>
    </row>
    <row r="27" ht="13.5" spans="1:19">
      <c r="M27" s="342">
        <v>24</v>
      </c>
      <c r="N27" s="342" t="s">
        <v>487</v>
      </c>
      <c r="O27" s="342">
        <v>11</v>
      </c>
      <c r="P27" s="342">
        <v>0.3</v>
      </c>
      <c r="Q27" s="347">
        <v>0</v>
      </c>
      <c r="R27" s="342">
        <v>11</v>
      </c>
      <c r="S27" s="347">
        <v>0.004</v>
      </c>
    </row>
    <row r="28" ht="13.5" spans="1:19">
      <c r="A28" s="355" t="s">
        <v>488</v>
      </c>
      <c r="B28" s="323" t="s">
        <v>31</v>
      </c>
      <c r="M28" s="342">
        <v>25</v>
      </c>
      <c r="N28" s="342" t="s">
        <v>489</v>
      </c>
      <c r="O28" s="342">
        <v>5</v>
      </c>
      <c r="P28" s="342">
        <v>4</v>
      </c>
      <c r="Q28" s="347">
        <v>0.005</v>
      </c>
      <c r="R28" s="342">
        <v>9</v>
      </c>
      <c r="S28" s="347">
        <v>0.003</v>
      </c>
    </row>
    <row r="29" ht="13.5" spans="1:19">
      <c r="M29" s="342">
        <v>26</v>
      </c>
      <c r="N29" s="342" t="s">
        <v>248</v>
      </c>
      <c r="O29" s="342">
        <v>0</v>
      </c>
      <c r="P29" s="342">
        <v>1</v>
      </c>
      <c r="Q29" s="347">
        <v>0.001</v>
      </c>
      <c r="R29" s="342">
        <v>1</v>
      </c>
      <c r="S29" s="347">
        <v>0</v>
      </c>
    </row>
    <row r="30" ht="13.5" spans="1:19">
      <c r="C30" s="324">
        <f>C26-SUM(C4:C25)</f>
        <v>0</v>
      </c>
      <c r="D30" s="324">
        <f t="shared" ref="D30:K30" si="0">D26-SUM(D4:D25)</f>
        <v>3</v>
      </c>
      <c r="E30" s="324">
        <f t="shared" si="0"/>
        <v>-0.00099999999999989</v>
      </c>
      <c r="F30" s="324">
        <f t="shared" si="0"/>
        <v>0.700000000000728</v>
      </c>
      <c r="G30" s="324">
        <f t="shared" si="0"/>
        <v>0</v>
      </c>
      <c r="H30" s="324">
        <f t="shared" si="0"/>
        <v>-0.00199999999999978</v>
      </c>
      <c r="I30" s="324">
        <f t="shared" si="0"/>
        <v>1</v>
      </c>
      <c r="J30" s="324">
        <f t="shared" si="0"/>
        <v>0</v>
      </c>
      <c r="K30" s="324">
        <f t="shared" si="0"/>
        <v>-0.00199999999999978</v>
      </c>
      <c r="M30" s="342">
        <v>27</v>
      </c>
      <c r="N30" s="343" t="s">
        <v>204</v>
      </c>
      <c r="O30" s="342">
        <v>0</v>
      </c>
      <c r="P30" s="342">
        <v>0.6</v>
      </c>
      <c r="Q30" s="347">
        <v>0.001</v>
      </c>
      <c r="R30" s="342">
        <v>0.6</v>
      </c>
      <c r="S30" s="347">
        <v>0</v>
      </c>
    </row>
    <row r="31" ht="13.5" spans="1:19">
      <c r="M31" s="342">
        <v>28</v>
      </c>
      <c r="N31" s="342" t="s">
        <v>490</v>
      </c>
      <c r="O31" s="342">
        <v>0</v>
      </c>
      <c r="P31" s="342">
        <v>0.02</v>
      </c>
      <c r="Q31" s="347">
        <v>0</v>
      </c>
      <c r="R31" s="342">
        <v>0.02</v>
      </c>
      <c r="S31" s="347">
        <v>0</v>
      </c>
    </row>
    <row r="32" ht="13.5" spans="1:19">
      <c r="M32" s="352" t="s">
        <v>486</v>
      </c>
      <c r="N32" s="353"/>
      <c r="O32" s="342">
        <v>2300</v>
      </c>
      <c r="P32" s="342">
        <v>801</v>
      </c>
      <c r="Q32" s="354">
        <v>1</v>
      </c>
      <c r="R32" s="342">
        <v>3101</v>
      </c>
      <c r="S32" s="354">
        <v>1</v>
      </c>
    </row>
    <row r="33" spans="13:19">
      <c r="M33" s="356" t="s">
        <v>491</v>
      </c>
    </row>
    <row r="34" spans="13:19">
      <c r="O34" s="324">
        <f>O32-SUM(O4:O31)</f>
        <v>0</v>
      </c>
      <c r="P34" s="324">
        <f>P32-SUM(P4:P31)</f>
        <v>-1.62</v>
      </c>
      <c r="Q34" s="324">
        <f>Q32-SUM(Q4:Q31)</f>
        <v>0.000999999999999779</v>
      </c>
      <c r="R34" s="324">
        <f>R32-SUM(R4:R31)</f>
        <v>-0.619999999999891</v>
      </c>
      <c r="S34" s="324">
        <f>S32-SUM(S4:S31)</f>
        <v>0</v>
      </c>
    </row>
  </sheetData>
  <mergeCells count="14">
    <mergeCell ref="A1:K1"/>
    <mergeCell ref="M1:S1"/>
    <mergeCell ref="C2:E2"/>
    <mergeCell ref="F2:H2"/>
    <mergeCell ref="I2:K2"/>
    <mergeCell ref="P2:Q2"/>
    <mergeCell ref="R2:S2"/>
    <mergeCell ref="A26:B26"/>
    <mergeCell ref="M32:N32"/>
    <mergeCell ref="A2:A3"/>
    <mergeCell ref="B2:B3"/>
    <mergeCell ref="M2:M3"/>
    <mergeCell ref="N2:N3"/>
    <mergeCell ref="O2:O3"/>
  </mergeCells>
  <conditionalFormatting sqref="C4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S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28" r:id="rId1" display="2013年光伏发电统计数据---国家能源局 (nea.gov.cn)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1"/>
  <sheetViews>
    <sheetView workbookViewId="0">
      <selection activeCell="A38" sqref="A38:A41"/>
    </sheetView>
  </sheetViews>
  <sheetFormatPr defaultColWidth="9" defaultRowHeight="12.75"/>
  <cols>
    <col min="1" max="16384" width="9.13274336283186" style="5"/>
  </cols>
  <sheetData>
    <row r="1" spans="1:31">
      <c r="A1" s="313" t="s">
        <v>492</v>
      </c>
      <c r="B1" s="313"/>
      <c r="C1" s="313"/>
      <c r="D1" s="313"/>
      <c r="E1" s="313"/>
      <c r="G1" s="313" t="s">
        <v>493</v>
      </c>
      <c r="H1" s="313"/>
      <c r="I1" s="313"/>
      <c r="J1" s="313"/>
      <c r="K1" s="313"/>
      <c r="M1" s="313" t="s">
        <v>494</v>
      </c>
      <c r="N1" s="313"/>
      <c r="O1" s="313"/>
      <c r="P1" s="313"/>
      <c r="Q1" s="313"/>
    </row>
    <row r="2" spans="1:31">
      <c r="A2" s="314" t="s">
        <v>495</v>
      </c>
      <c r="B2" s="314" t="s">
        <v>496</v>
      </c>
      <c r="C2" s="314"/>
      <c r="D2" s="314" t="s">
        <v>497</v>
      </c>
      <c r="E2" s="314"/>
      <c r="G2" s="314" t="s">
        <v>495</v>
      </c>
      <c r="H2" s="315" t="s">
        <v>496</v>
      </c>
      <c r="I2" s="316"/>
      <c r="J2" s="317" t="s">
        <v>497</v>
      </c>
      <c r="K2" s="317"/>
      <c r="M2" s="314" t="s">
        <v>495</v>
      </c>
      <c r="N2" s="318" t="s">
        <v>498</v>
      </c>
      <c r="O2" s="317"/>
      <c r="P2" s="318" t="s">
        <v>499</v>
      </c>
      <c r="Q2" s="317"/>
    </row>
    <row r="3" ht="25.5" spans="1:31">
      <c r="A3" s="314"/>
      <c r="B3" s="314"/>
      <c r="C3" s="314" t="s">
        <v>500</v>
      </c>
      <c r="D3" s="314"/>
      <c r="E3" s="314" t="s">
        <v>500</v>
      </c>
      <c r="G3" s="314"/>
      <c r="H3" s="317"/>
      <c r="I3" s="314" t="s">
        <v>501</v>
      </c>
      <c r="J3" s="317"/>
      <c r="K3" s="314" t="s">
        <v>501</v>
      </c>
      <c r="M3" s="314"/>
      <c r="N3" s="317"/>
      <c r="O3" s="314" t="s">
        <v>501</v>
      </c>
      <c r="P3" s="317"/>
      <c r="Q3" s="314" t="s">
        <v>501</v>
      </c>
      <c r="T3" s="5">
        <v>2012</v>
      </c>
      <c r="U3" s="5">
        <v>2013</v>
      </c>
      <c r="V3" s="5">
        <v>2013</v>
      </c>
      <c r="W3" s="5">
        <v>2014</v>
      </c>
      <c r="X3" s="5">
        <v>2014</v>
      </c>
      <c r="Y3" s="5">
        <v>2015</v>
      </c>
      <c r="Z3" s="5">
        <v>2015</v>
      </c>
      <c r="AA3" s="5">
        <v>2016</v>
      </c>
    </row>
    <row r="4" spans="1:31">
      <c r="A4" s="314" t="s">
        <v>502</v>
      </c>
      <c r="B4" s="314">
        <v>2805</v>
      </c>
      <c r="C4" s="314">
        <v>467</v>
      </c>
      <c r="D4" s="314">
        <v>1060</v>
      </c>
      <c r="E4" s="314">
        <v>205</v>
      </c>
      <c r="G4" s="317" t="s">
        <v>502</v>
      </c>
      <c r="H4" s="317">
        <v>4318</v>
      </c>
      <c r="I4" s="317">
        <v>3712</v>
      </c>
      <c r="J4" s="317">
        <v>1513</v>
      </c>
      <c r="K4" s="317">
        <v>1374</v>
      </c>
      <c r="M4" s="317" t="s">
        <v>502</v>
      </c>
      <c r="N4" s="317">
        <v>7742</v>
      </c>
      <c r="O4" s="317">
        <v>6710</v>
      </c>
      <c r="P4" s="317">
        <v>3454</v>
      </c>
      <c r="Q4" s="317">
        <v>3031</v>
      </c>
      <c r="S4" s="319" t="s">
        <v>80</v>
      </c>
      <c r="T4" s="320">
        <f t="shared" ref="T4:AA4" si="0">SUM(T5:T35)</f>
        <v>419.8</v>
      </c>
      <c r="U4" s="320">
        <f t="shared" si="0"/>
        <v>1631.6</v>
      </c>
      <c r="V4" s="320">
        <f t="shared" si="0"/>
        <v>1483</v>
      </c>
      <c r="W4" s="320">
        <f t="shared" si="0"/>
        <v>2339</v>
      </c>
      <c r="X4" s="320">
        <f t="shared" si="0"/>
        <v>2338</v>
      </c>
      <c r="Y4" s="320">
        <f t="shared" si="0"/>
        <v>3713</v>
      </c>
      <c r="Z4" s="320">
        <f t="shared" si="0"/>
        <v>3682</v>
      </c>
      <c r="AA4" s="320">
        <f t="shared" si="0"/>
        <v>6712</v>
      </c>
      <c r="AC4" s="320">
        <f>V4-U4</f>
        <v>-148.6</v>
      </c>
      <c r="AD4" s="5">
        <f>W4-X4</f>
        <v>1</v>
      </c>
      <c r="AE4" s="5">
        <f>Y4-Z4</f>
        <v>31</v>
      </c>
    </row>
    <row r="5" spans="1:31">
      <c r="A5" s="314" t="s">
        <v>503</v>
      </c>
      <c r="B5" s="314">
        <v>14</v>
      </c>
      <c r="C5" s="314">
        <v>14</v>
      </c>
      <c r="D5" s="314">
        <v>5</v>
      </c>
      <c r="E5" s="314">
        <v>5</v>
      </c>
      <c r="G5" s="317" t="s">
        <v>503</v>
      </c>
      <c r="H5" s="317">
        <v>16</v>
      </c>
      <c r="I5" s="317">
        <v>2</v>
      </c>
      <c r="J5" s="317">
        <v>2</v>
      </c>
      <c r="K5" s="317">
        <v>2</v>
      </c>
      <c r="M5" s="317" t="s">
        <v>503</v>
      </c>
      <c r="N5" s="317">
        <v>24</v>
      </c>
      <c r="O5" s="317">
        <v>5</v>
      </c>
      <c r="P5" s="317">
        <v>8</v>
      </c>
      <c r="Q5" s="317">
        <v>3</v>
      </c>
      <c r="S5" s="5" t="str">
        <f>VLOOKUP("*"&amp;M5&amp;"*",'Solar Station Addition'!$A$3:$A$34,1,FALSE)</f>
        <v>北京市</v>
      </c>
      <c r="T5" s="320">
        <f>IFERROR(VLOOKUP($M5,'Solar12-13'!$B$4:$I$25,2,FALSE),0)/10</f>
        <v>0</v>
      </c>
      <c r="U5" s="320">
        <f>IFERROR(VLOOKUP($M5,'Solar12-13'!$B$4:$I$25,8,FALSE),0)/10</f>
        <v>0</v>
      </c>
      <c r="V5" s="320">
        <f>(B5-D5)-(C5-E5)</f>
        <v>0</v>
      </c>
      <c r="W5" s="320">
        <f t="shared" ref="W5:W34" si="1">B5-C5</f>
        <v>0</v>
      </c>
      <c r="X5" s="320">
        <f t="shared" ref="X5:X34" si="2">I5-K5</f>
        <v>0</v>
      </c>
      <c r="Y5" s="320">
        <f t="shared" ref="Y5:Y34" si="3">I5</f>
        <v>2</v>
      </c>
      <c r="Z5" s="320">
        <f t="shared" ref="Z5:Z35" si="4">O5-Q5</f>
        <v>2</v>
      </c>
      <c r="AA5" s="320">
        <f>O5</f>
        <v>5</v>
      </c>
      <c r="AC5" s="320">
        <f t="shared" ref="AC5:AC35" si="5">V5-U5</f>
        <v>0</v>
      </c>
      <c r="AD5" s="5">
        <f t="shared" ref="AD5:AD35" si="6">W5-X5</f>
        <v>0</v>
      </c>
      <c r="AE5" s="5">
        <f t="shared" ref="AE5:AE35" si="7">Y5-Z5</f>
        <v>0</v>
      </c>
    </row>
    <row r="6" spans="1:31">
      <c r="A6" s="314" t="s">
        <v>504</v>
      </c>
      <c r="B6" s="314">
        <v>10</v>
      </c>
      <c r="C6" s="314">
        <v>7</v>
      </c>
      <c r="D6" s="314">
        <v>8</v>
      </c>
      <c r="E6" s="314">
        <v>5</v>
      </c>
      <c r="G6" s="317" t="s">
        <v>504</v>
      </c>
      <c r="H6" s="317">
        <v>12</v>
      </c>
      <c r="I6" s="317">
        <v>3</v>
      </c>
      <c r="J6" s="317">
        <v>3</v>
      </c>
      <c r="K6" s="317">
        <v>0</v>
      </c>
      <c r="M6" s="317" t="s">
        <v>504</v>
      </c>
      <c r="N6" s="317">
        <v>60</v>
      </c>
      <c r="O6" s="317">
        <v>48</v>
      </c>
      <c r="P6" s="317">
        <v>47</v>
      </c>
      <c r="Q6" s="317">
        <v>44</v>
      </c>
      <c r="S6" s="5" t="str">
        <f>VLOOKUP("*"&amp;M6&amp;"*",'Solar Station Addition'!$A$3:$A$34,1,FALSE)</f>
        <v>天津市</v>
      </c>
      <c r="T6" s="320">
        <f>IFERROR(VLOOKUP($M6,'Solar12-13'!$B$4:$I$25,2,FALSE),0)/10</f>
        <v>0</v>
      </c>
      <c r="U6" s="320">
        <f>IFERROR(VLOOKUP($M6,'Solar12-13'!$B$4:$I$25,8,FALSE),0)/10</f>
        <v>0</v>
      </c>
      <c r="V6" s="320">
        <f t="shared" ref="V6:V34" si="8">(B6-D6)-(C6-E6)</f>
        <v>0</v>
      </c>
      <c r="W6" s="320">
        <f t="shared" si="1"/>
        <v>3</v>
      </c>
      <c r="X6" s="320">
        <f t="shared" si="2"/>
        <v>3</v>
      </c>
      <c r="Y6" s="320">
        <f t="shared" si="3"/>
        <v>3</v>
      </c>
      <c r="Z6" s="320">
        <f t="shared" si="4"/>
        <v>4</v>
      </c>
      <c r="AA6" s="320">
        <f t="shared" ref="AA6:AA35" si="9">O6</f>
        <v>48</v>
      </c>
      <c r="AC6" s="320">
        <f t="shared" si="5"/>
        <v>0</v>
      </c>
      <c r="AD6" s="5">
        <f t="shared" si="6"/>
        <v>0</v>
      </c>
      <c r="AE6" s="5">
        <f t="shared" si="7"/>
        <v>-1</v>
      </c>
    </row>
    <row r="7" spans="1:31">
      <c r="A7" s="314" t="s">
        <v>505</v>
      </c>
      <c r="B7" s="314">
        <v>150</v>
      </c>
      <c r="C7" s="314">
        <v>27</v>
      </c>
      <c r="D7" s="314">
        <v>97</v>
      </c>
      <c r="E7" s="314">
        <v>8</v>
      </c>
      <c r="G7" s="317" t="s">
        <v>505</v>
      </c>
      <c r="H7" s="317">
        <v>239</v>
      </c>
      <c r="I7" s="317">
        <v>212</v>
      </c>
      <c r="J7" s="317">
        <v>89</v>
      </c>
      <c r="K7" s="317">
        <v>89</v>
      </c>
      <c r="M7" s="317" t="s">
        <v>505</v>
      </c>
      <c r="N7" s="317">
        <v>443</v>
      </c>
      <c r="O7" s="317">
        <v>404</v>
      </c>
      <c r="P7" s="317">
        <v>203</v>
      </c>
      <c r="Q7" s="317">
        <v>192</v>
      </c>
      <c r="S7" s="5" t="str">
        <f>VLOOKUP("*"&amp;M7&amp;"*",'Solar Station Addition'!$A$3:$A$34,1,FALSE)</f>
        <v>河北省</v>
      </c>
      <c r="T7" s="320">
        <f>IFERROR(VLOOKUP($M7,'Solar12-13'!$B$4:$I$25,2,FALSE),0)/10</f>
        <v>6.3</v>
      </c>
      <c r="U7" s="320">
        <f>IFERROR(VLOOKUP($M7,'Solar12-13'!$B$4:$I$25,8,FALSE),0)/10</f>
        <v>46.1</v>
      </c>
      <c r="V7" s="320">
        <f t="shared" si="8"/>
        <v>34</v>
      </c>
      <c r="W7" s="320">
        <f t="shared" si="1"/>
        <v>123</v>
      </c>
      <c r="X7" s="320">
        <f t="shared" si="2"/>
        <v>123</v>
      </c>
      <c r="Y7" s="320">
        <f t="shared" si="3"/>
        <v>212</v>
      </c>
      <c r="Z7" s="320">
        <f t="shared" si="4"/>
        <v>212</v>
      </c>
      <c r="AA7" s="320">
        <f t="shared" si="9"/>
        <v>404</v>
      </c>
      <c r="AC7" s="320">
        <f t="shared" si="5"/>
        <v>-12.1</v>
      </c>
      <c r="AD7" s="5">
        <f t="shared" si="6"/>
        <v>0</v>
      </c>
      <c r="AE7" s="5">
        <f t="shared" si="7"/>
        <v>0</v>
      </c>
    </row>
    <row r="8" spans="1:31">
      <c r="A8" s="314" t="s">
        <v>506</v>
      </c>
      <c r="B8" s="314">
        <v>44</v>
      </c>
      <c r="C8" s="314">
        <v>1</v>
      </c>
      <c r="D8" s="314">
        <v>23</v>
      </c>
      <c r="E8" s="314">
        <v>1</v>
      </c>
      <c r="G8" s="317" t="s">
        <v>506</v>
      </c>
      <c r="H8" s="317">
        <v>113</v>
      </c>
      <c r="I8" s="317">
        <v>111</v>
      </c>
      <c r="J8" s="317">
        <v>69</v>
      </c>
      <c r="K8" s="317">
        <v>68</v>
      </c>
      <c r="M8" s="317" t="s">
        <v>506</v>
      </c>
      <c r="N8" s="317">
        <v>297</v>
      </c>
      <c r="O8" s="317">
        <v>284</v>
      </c>
      <c r="P8" s="317">
        <v>183</v>
      </c>
      <c r="Q8" s="317">
        <v>172</v>
      </c>
      <c r="S8" s="5" t="str">
        <f>VLOOKUP("*"&amp;M8&amp;"*",'Solar Station Addition'!$A$3:$A$34,1,FALSE)</f>
        <v>山西省</v>
      </c>
      <c r="T8" s="320">
        <f>IFERROR(VLOOKUP($M8,'Solar12-13'!$B$4:$I$25,2,FALSE),0)/10</f>
        <v>0.5</v>
      </c>
      <c r="U8" s="320">
        <f>IFERROR(VLOOKUP($M8,'Solar12-13'!$B$4:$I$25,8,FALSE),0)/10</f>
        <v>27.5</v>
      </c>
      <c r="V8" s="320">
        <f t="shared" si="8"/>
        <v>21</v>
      </c>
      <c r="W8" s="320">
        <f t="shared" si="1"/>
        <v>43</v>
      </c>
      <c r="X8" s="320">
        <f t="shared" si="2"/>
        <v>43</v>
      </c>
      <c r="Y8" s="320">
        <f t="shared" si="3"/>
        <v>111</v>
      </c>
      <c r="Z8" s="320">
        <f t="shared" si="4"/>
        <v>112</v>
      </c>
      <c r="AA8" s="320">
        <f t="shared" si="9"/>
        <v>284</v>
      </c>
      <c r="AC8" s="320">
        <f t="shared" si="5"/>
        <v>-6.5</v>
      </c>
      <c r="AD8" s="5">
        <f t="shared" si="6"/>
        <v>0</v>
      </c>
      <c r="AE8" s="5">
        <f t="shared" si="7"/>
        <v>-1</v>
      </c>
    </row>
    <row r="9" spans="1:31">
      <c r="A9" s="314" t="s">
        <v>507</v>
      </c>
      <c r="B9" s="314">
        <v>302</v>
      </c>
      <c r="C9" s="314">
        <v>18</v>
      </c>
      <c r="D9" s="314">
        <v>164</v>
      </c>
      <c r="E9" s="314">
        <v>4</v>
      </c>
      <c r="G9" s="321" t="s">
        <v>507</v>
      </c>
      <c r="H9" s="317">
        <v>489</v>
      </c>
      <c r="I9" s="317">
        <v>471</v>
      </c>
      <c r="J9" s="317">
        <v>187</v>
      </c>
      <c r="K9" s="317">
        <v>187</v>
      </c>
      <c r="M9" s="321" t="s">
        <v>507</v>
      </c>
      <c r="N9" s="317">
        <v>637</v>
      </c>
      <c r="O9" s="317">
        <v>637</v>
      </c>
      <c r="P9" s="317">
        <v>148</v>
      </c>
      <c r="Q9" s="317">
        <v>166</v>
      </c>
      <c r="S9" s="5" t="str">
        <f>VLOOKUP("*"&amp;M9&amp;"*",'Solar Station Addition'!$A$3:$A$34,1,FALSE)</f>
        <v>内蒙古自治区</v>
      </c>
      <c r="T9" s="320">
        <f>IFERROR(VLOOKUP($M9,'Solar12-13'!$B$4:$I$25,2,FALSE),0)/10</f>
        <v>27.2</v>
      </c>
      <c r="U9" s="320">
        <f>IFERROR(VLOOKUP($M9,'Solar12-13'!$B$4:$I$25,8,FALSE),0)/10</f>
        <v>140.5</v>
      </c>
      <c r="V9" s="320">
        <f t="shared" si="8"/>
        <v>124</v>
      </c>
      <c r="W9" s="320">
        <f t="shared" si="1"/>
        <v>284</v>
      </c>
      <c r="X9" s="320">
        <f t="shared" si="2"/>
        <v>284</v>
      </c>
      <c r="Y9" s="320">
        <f t="shared" si="3"/>
        <v>471</v>
      </c>
      <c r="Z9" s="320">
        <f t="shared" si="4"/>
        <v>471</v>
      </c>
      <c r="AA9" s="320">
        <f t="shared" si="9"/>
        <v>637</v>
      </c>
      <c r="AC9" s="320">
        <f t="shared" si="5"/>
        <v>-16.5</v>
      </c>
      <c r="AD9" s="5">
        <f t="shared" si="6"/>
        <v>0</v>
      </c>
      <c r="AE9" s="5">
        <f t="shared" si="7"/>
        <v>0</v>
      </c>
    </row>
    <row r="10" spans="1:31">
      <c r="A10" s="314" t="s">
        <v>508</v>
      </c>
      <c r="B10" s="314">
        <v>10</v>
      </c>
      <c r="C10" s="314">
        <v>6</v>
      </c>
      <c r="D10" s="314">
        <v>5</v>
      </c>
      <c r="E10" s="314">
        <v>4</v>
      </c>
      <c r="G10" s="317" t="s">
        <v>508</v>
      </c>
      <c r="H10" s="317">
        <v>16</v>
      </c>
      <c r="I10" s="317">
        <v>7</v>
      </c>
      <c r="J10" s="317">
        <v>6</v>
      </c>
      <c r="K10" s="317">
        <v>3</v>
      </c>
      <c r="M10" s="317" t="s">
        <v>508</v>
      </c>
      <c r="N10" s="317">
        <v>52</v>
      </c>
      <c r="O10" s="317">
        <v>36</v>
      </c>
      <c r="P10" s="317">
        <v>36</v>
      </c>
      <c r="Q10" s="317">
        <v>29</v>
      </c>
      <c r="S10" s="5" t="str">
        <f>VLOOKUP("*"&amp;M10&amp;"*",'Solar Station Addition'!$A$3:$A$34,1,FALSE)</f>
        <v>辽宁省</v>
      </c>
      <c r="T10" s="320">
        <f>IFERROR(VLOOKUP($M10,'Solar12-13'!$B$4:$I$25,2,FALSE),0)/10</f>
        <v>1</v>
      </c>
      <c r="U10" s="320">
        <f>IFERROR(VLOOKUP($M10,'Solar12-13'!$B$4:$I$25,8,FALSE),0)/10</f>
        <v>3</v>
      </c>
      <c r="V10" s="320">
        <f t="shared" si="8"/>
        <v>3</v>
      </c>
      <c r="W10" s="320">
        <f t="shared" si="1"/>
        <v>4</v>
      </c>
      <c r="X10" s="320">
        <f t="shared" si="2"/>
        <v>4</v>
      </c>
      <c r="Y10" s="320">
        <f t="shared" si="3"/>
        <v>7</v>
      </c>
      <c r="Z10" s="320">
        <f t="shared" si="4"/>
        <v>7</v>
      </c>
      <c r="AA10" s="320">
        <f t="shared" si="9"/>
        <v>36</v>
      </c>
      <c r="AC10" s="320">
        <f t="shared" si="5"/>
        <v>0</v>
      </c>
      <c r="AD10" s="5">
        <f t="shared" si="6"/>
        <v>0</v>
      </c>
      <c r="AE10" s="5">
        <f t="shared" si="7"/>
        <v>0</v>
      </c>
    </row>
    <row r="11" spans="1:31">
      <c r="A11" s="314" t="s">
        <v>509</v>
      </c>
      <c r="B11" s="314">
        <v>6</v>
      </c>
      <c r="C11" s="314">
        <v>0</v>
      </c>
      <c r="D11" s="314">
        <v>5</v>
      </c>
      <c r="E11" s="314">
        <v>0</v>
      </c>
      <c r="G11" s="317" t="s">
        <v>509</v>
      </c>
      <c r="H11" s="317">
        <v>7</v>
      </c>
      <c r="I11" s="317">
        <v>6</v>
      </c>
      <c r="J11" s="317">
        <v>1</v>
      </c>
      <c r="K11" s="317"/>
      <c r="M11" s="317" t="s">
        <v>509</v>
      </c>
      <c r="N11" s="317">
        <v>56</v>
      </c>
      <c r="O11" s="317">
        <v>51</v>
      </c>
      <c r="P11" s="317">
        <v>49</v>
      </c>
      <c r="Q11" s="317">
        <v>45</v>
      </c>
      <c r="S11" s="5" t="str">
        <f>VLOOKUP("*"&amp;M11&amp;"*",'Solar Station Addition'!$A$3:$A$34,1,FALSE)</f>
        <v>吉林省</v>
      </c>
      <c r="T11" s="320">
        <f>IFERROR(VLOOKUP($M11,'Solar12-13'!$B$4:$I$25,2,FALSE),0)/10</f>
        <v>0</v>
      </c>
      <c r="U11" s="320">
        <f>IFERROR(VLOOKUP($M11,'Solar12-13'!$B$4:$I$25,8,FALSE),0)/10</f>
        <v>1</v>
      </c>
      <c r="V11" s="320">
        <f t="shared" si="8"/>
        <v>1</v>
      </c>
      <c r="W11" s="320">
        <f t="shared" si="1"/>
        <v>6</v>
      </c>
      <c r="X11" s="320">
        <f t="shared" si="2"/>
        <v>6</v>
      </c>
      <c r="Y11" s="320">
        <f t="shared" si="3"/>
        <v>6</v>
      </c>
      <c r="Z11" s="320">
        <f t="shared" si="4"/>
        <v>6</v>
      </c>
      <c r="AA11" s="320">
        <f t="shared" si="9"/>
        <v>51</v>
      </c>
      <c r="AC11" s="320">
        <f t="shared" si="5"/>
        <v>0</v>
      </c>
      <c r="AD11" s="5">
        <f t="shared" si="6"/>
        <v>0</v>
      </c>
      <c r="AE11" s="5">
        <f t="shared" si="7"/>
        <v>0</v>
      </c>
    </row>
    <row r="12" spans="1:31">
      <c r="A12" s="314" t="s">
        <v>510</v>
      </c>
      <c r="B12" s="314">
        <v>1</v>
      </c>
      <c r="C12" s="314">
        <v>0</v>
      </c>
      <c r="D12" s="314">
        <v>0</v>
      </c>
      <c r="E12" s="314">
        <v>0</v>
      </c>
      <c r="G12" s="317" t="s">
        <v>510</v>
      </c>
      <c r="H12" s="317">
        <v>2</v>
      </c>
      <c r="I12" s="317">
        <v>1</v>
      </c>
      <c r="J12" s="317">
        <v>1</v>
      </c>
      <c r="K12" s="317"/>
      <c r="M12" s="317" t="s">
        <v>510</v>
      </c>
      <c r="N12" s="317">
        <v>17</v>
      </c>
      <c r="O12" s="317">
        <v>12</v>
      </c>
      <c r="P12" s="317">
        <v>15</v>
      </c>
      <c r="Q12" s="317">
        <v>11</v>
      </c>
      <c r="S12" s="5" t="str">
        <f>VLOOKUP("*"&amp;M12&amp;"*",'Solar Station Addition'!$A$3:$A$34,1,FALSE)</f>
        <v>黑龙江省</v>
      </c>
      <c r="T12" s="320">
        <f>IFERROR(VLOOKUP($M12,'Solar12-13'!$B$4:$I$25,2,FALSE),0)/10</f>
        <v>0</v>
      </c>
      <c r="U12" s="320">
        <f>IFERROR(VLOOKUP($M12,'Solar12-13'!$B$4:$I$25,8,FALSE),0)/10</f>
        <v>1</v>
      </c>
      <c r="V12" s="320">
        <f t="shared" si="8"/>
        <v>1</v>
      </c>
      <c r="W12" s="320">
        <f t="shared" si="1"/>
        <v>1</v>
      </c>
      <c r="X12" s="320">
        <f t="shared" si="2"/>
        <v>1</v>
      </c>
      <c r="Y12" s="320">
        <f t="shared" si="3"/>
        <v>1</v>
      </c>
      <c r="Z12" s="320">
        <f t="shared" si="4"/>
        <v>1</v>
      </c>
      <c r="AA12" s="320">
        <f t="shared" si="9"/>
        <v>12</v>
      </c>
      <c r="AC12" s="320">
        <f t="shared" si="5"/>
        <v>0</v>
      </c>
      <c r="AD12" s="5">
        <f t="shared" si="6"/>
        <v>0</v>
      </c>
      <c r="AE12" s="5">
        <f t="shared" si="7"/>
        <v>0</v>
      </c>
    </row>
    <row r="13" spans="1:31">
      <c r="A13" s="314" t="s">
        <v>511</v>
      </c>
      <c r="B13" s="314">
        <v>18</v>
      </c>
      <c r="C13" s="314">
        <v>16</v>
      </c>
      <c r="D13" s="314">
        <v>0</v>
      </c>
      <c r="E13" s="314">
        <v>0</v>
      </c>
      <c r="G13" s="317" t="s">
        <v>511</v>
      </c>
      <c r="H13" s="317">
        <v>21</v>
      </c>
      <c r="I13" s="317">
        <v>2</v>
      </c>
      <c r="J13" s="317">
        <v>4</v>
      </c>
      <c r="K13" s="317"/>
      <c r="M13" s="317" t="s">
        <v>511</v>
      </c>
      <c r="N13" s="317">
        <v>35</v>
      </c>
      <c r="O13" s="317">
        <v>2</v>
      </c>
      <c r="P13" s="317">
        <v>14</v>
      </c>
      <c r="Q13" s="317">
        <v>0</v>
      </c>
      <c r="S13" s="5" t="str">
        <f>VLOOKUP("*"&amp;M13&amp;"*",'Solar Station Addition'!$A$3:$A$34,1,FALSE)</f>
        <v>上海市</v>
      </c>
      <c r="T13" s="320">
        <f>IFERROR(VLOOKUP($M13,'Solar12-13'!$B$4:$I$25,2,FALSE),0)/10</f>
        <v>1.6</v>
      </c>
      <c r="U13" s="320">
        <f>IFERROR(VLOOKUP($M13,'Solar12-13'!$B$4:$I$25,8,FALSE),0)/10</f>
        <v>1.6</v>
      </c>
      <c r="V13" s="320">
        <f t="shared" si="8"/>
        <v>2</v>
      </c>
      <c r="W13" s="320">
        <f t="shared" si="1"/>
        <v>2</v>
      </c>
      <c r="X13" s="320">
        <f t="shared" si="2"/>
        <v>2</v>
      </c>
      <c r="Y13" s="320">
        <f t="shared" si="3"/>
        <v>2</v>
      </c>
      <c r="Z13" s="320">
        <f t="shared" si="4"/>
        <v>2</v>
      </c>
      <c r="AA13" s="320">
        <f t="shared" si="9"/>
        <v>2</v>
      </c>
      <c r="AC13" s="320">
        <f t="shared" si="5"/>
        <v>0.4</v>
      </c>
      <c r="AD13" s="5">
        <f t="shared" si="6"/>
        <v>0</v>
      </c>
      <c r="AE13" s="5">
        <f t="shared" si="7"/>
        <v>0</v>
      </c>
    </row>
    <row r="14" spans="1:31">
      <c r="A14" s="314" t="s">
        <v>512</v>
      </c>
      <c r="B14" s="314">
        <v>257</v>
      </c>
      <c r="C14" s="314">
        <v>85</v>
      </c>
      <c r="D14" s="314">
        <v>152</v>
      </c>
      <c r="E14" s="314">
        <v>57</v>
      </c>
      <c r="G14" s="317" t="s">
        <v>512</v>
      </c>
      <c r="H14" s="317">
        <v>422</v>
      </c>
      <c r="I14" s="317">
        <v>304</v>
      </c>
      <c r="J14" s="317">
        <v>165</v>
      </c>
      <c r="K14" s="317">
        <v>132</v>
      </c>
      <c r="M14" s="317" t="s">
        <v>512</v>
      </c>
      <c r="N14" s="317">
        <v>546</v>
      </c>
      <c r="O14" s="317">
        <v>373</v>
      </c>
      <c r="P14" s="317">
        <v>123</v>
      </c>
      <c r="Q14" s="317">
        <v>70</v>
      </c>
      <c r="S14" s="5" t="str">
        <f>VLOOKUP("*"&amp;M14&amp;"*",'Solar Station Addition'!$A$3:$A$34,1,FALSE)</f>
        <v>江苏省</v>
      </c>
      <c r="T14" s="320">
        <f>IFERROR(VLOOKUP($M14,'Solar12-13'!$B$4:$I$25,2,FALSE),0)/10</f>
        <v>26</v>
      </c>
      <c r="U14" s="320">
        <f>IFERROR(VLOOKUP($M14,'Solar12-13'!$B$4:$I$25,8,FALSE),0)/10</f>
        <v>104.9</v>
      </c>
      <c r="V14" s="320">
        <f t="shared" si="8"/>
        <v>77</v>
      </c>
      <c r="W14" s="320">
        <f t="shared" si="1"/>
        <v>172</v>
      </c>
      <c r="X14" s="320">
        <f t="shared" si="2"/>
        <v>172</v>
      </c>
      <c r="Y14" s="320">
        <f t="shared" si="3"/>
        <v>304</v>
      </c>
      <c r="Z14" s="320">
        <f t="shared" si="4"/>
        <v>303</v>
      </c>
      <c r="AA14" s="320">
        <f t="shared" si="9"/>
        <v>373</v>
      </c>
      <c r="AC14" s="320">
        <f t="shared" si="5"/>
        <v>-27.9</v>
      </c>
      <c r="AD14" s="5">
        <f t="shared" si="6"/>
        <v>0</v>
      </c>
      <c r="AE14" s="5">
        <f t="shared" si="7"/>
        <v>1</v>
      </c>
    </row>
    <row r="15" spans="1:31">
      <c r="A15" s="314" t="s">
        <v>513</v>
      </c>
      <c r="B15" s="314">
        <v>73</v>
      </c>
      <c r="C15" s="314">
        <v>70</v>
      </c>
      <c r="D15" s="314">
        <v>30</v>
      </c>
      <c r="E15" s="314">
        <v>27</v>
      </c>
      <c r="G15" s="317" t="s">
        <v>513</v>
      </c>
      <c r="H15" s="317">
        <v>164</v>
      </c>
      <c r="I15" s="317">
        <v>42</v>
      </c>
      <c r="J15" s="317">
        <v>90</v>
      </c>
      <c r="K15" s="317">
        <v>39</v>
      </c>
      <c r="M15" s="317" t="s">
        <v>513</v>
      </c>
      <c r="N15" s="317">
        <v>338</v>
      </c>
      <c r="O15" s="317">
        <v>131</v>
      </c>
      <c r="P15" s="317">
        <v>175</v>
      </c>
      <c r="Q15" s="317">
        <v>88</v>
      </c>
      <c r="S15" s="5" t="str">
        <f>VLOOKUP("*"&amp;M15&amp;"*",'Solar Station Addition'!$A$3:$A$34,1,FALSE)</f>
        <v>浙江省</v>
      </c>
      <c r="T15" s="320">
        <f>IFERROR(VLOOKUP($M15,'Solar12-13'!$B$4:$I$25,2,FALSE),0)/10</f>
        <v>0</v>
      </c>
      <c r="U15" s="320">
        <f>IFERROR(VLOOKUP($M15,'Solar12-13'!$B$4:$I$25,8,FALSE),0)/10</f>
        <v>0</v>
      </c>
      <c r="V15" s="320">
        <f t="shared" si="8"/>
        <v>0</v>
      </c>
      <c r="W15" s="320">
        <f t="shared" si="1"/>
        <v>3</v>
      </c>
      <c r="X15" s="320">
        <f t="shared" si="2"/>
        <v>3</v>
      </c>
      <c r="Y15" s="320">
        <f t="shared" si="3"/>
        <v>42</v>
      </c>
      <c r="Z15" s="320">
        <f t="shared" si="4"/>
        <v>43</v>
      </c>
      <c r="AA15" s="320">
        <f t="shared" si="9"/>
        <v>131</v>
      </c>
      <c r="AC15" s="320">
        <f t="shared" si="5"/>
        <v>0</v>
      </c>
      <c r="AD15" s="5">
        <f t="shared" si="6"/>
        <v>0</v>
      </c>
      <c r="AE15" s="5">
        <f t="shared" si="7"/>
        <v>-1</v>
      </c>
    </row>
    <row r="16" spans="1:31">
      <c r="A16" s="314" t="s">
        <v>514</v>
      </c>
      <c r="B16" s="314">
        <v>51</v>
      </c>
      <c r="C16" s="314">
        <v>25</v>
      </c>
      <c r="D16" s="314">
        <v>43</v>
      </c>
      <c r="E16" s="314">
        <v>18</v>
      </c>
      <c r="G16" s="317" t="s">
        <v>514</v>
      </c>
      <c r="H16" s="317">
        <v>121</v>
      </c>
      <c r="I16" s="317">
        <v>89</v>
      </c>
      <c r="J16" s="317">
        <v>71</v>
      </c>
      <c r="K16" s="317">
        <v>63</v>
      </c>
      <c r="M16" s="317" t="s">
        <v>514</v>
      </c>
      <c r="N16" s="317">
        <v>345</v>
      </c>
      <c r="O16" s="317">
        <v>267</v>
      </c>
      <c r="P16" s="317">
        <v>225</v>
      </c>
      <c r="Q16" s="317">
        <v>178</v>
      </c>
      <c r="S16" s="5" t="str">
        <f>VLOOKUP("*"&amp;M16&amp;"*",'Solar Station Addition'!$A$3:$A$34,1,FALSE)</f>
        <v>安徽省</v>
      </c>
      <c r="T16" s="320">
        <f>IFERROR(VLOOKUP($M16,'Solar12-13'!$B$4:$I$25,2,FALSE),0)/10</f>
        <v>0.2</v>
      </c>
      <c r="U16" s="320">
        <f>IFERROR(VLOOKUP($M16,'Solar12-13'!$B$4:$I$25,8,FALSE),0)/10</f>
        <v>0.2</v>
      </c>
      <c r="V16" s="320">
        <f t="shared" si="8"/>
        <v>1</v>
      </c>
      <c r="W16" s="320">
        <f t="shared" si="1"/>
        <v>26</v>
      </c>
      <c r="X16" s="320">
        <f t="shared" si="2"/>
        <v>26</v>
      </c>
      <c r="Y16" s="320">
        <f t="shared" si="3"/>
        <v>89</v>
      </c>
      <c r="Z16" s="320">
        <f t="shared" si="4"/>
        <v>89</v>
      </c>
      <c r="AA16" s="320">
        <f t="shared" si="9"/>
        <v>267</v>
      </c>
      <c r="AC16" s="320">
        <f t="shared" si="5"/>
        <v>0.8</v>
      </c>
      <c r="AD16" s="5">
        <f t="shared" si="6"/>
        <v>0</v>
      </c>
      <c r="AE16" s="5">
        <f t="shared" si="7"/>
        <v>0</v>
      </c>
    </row>
    <row r="17" spans="1:31">
      <c r="A17" s="314" t="s">
        <v>515</v>
      </c>
      <c r="B17" s="314">
        <v>12</v>
      </c>
      <c r="C17" s="314">
        <v>12</v>
      </c>
      <c r="D17" s="314">
        <v>4</v>
      </c>
      <c r="E17" s="314">
        <v>4</v>
      </c>
      <c r="G17" s="317" t="s">
        <v>515</v>
      </c>
      <c r="H17" s="317">
        <v>15</v>
      </c>
      <c r="I17" s="317">
        <v>3</v>
      </c>
      <c r="J17" s="317">
        <v>3</v>
      </c>
      <c r="K17" s="317">
        <v>3</v>
      </c>
      <c r="M17" s="317" t="s">
        <v>515</v>
      </c>
      <c r="N17" s="317">
        <v>27</v>
      </c>
      <c r="O17" s="317">
        <v>11</v>
      </c>
      <c r="P17" s="317">
        <v>12</v>
      </c>
      <c r="Q17" s="317">
        <v>8</v>
      </c>
      <c r="S17" s="5" t="str">
        <f>VLOOKUP("*"&amp;M17&amp;"*",'Solar Station Addition'!$A$3:$A$34,1,FALSE)</f>
        <v>福建省</v>
      </c>
      <c r="T17" s="320">
        <f>IFERROR(VLOOKUP($M17,'Solar12-13'!$B$4:$I$25,2,FALSE),0)/10</f>
        <v>0</v>
      </c>
      <c r="U17" s="320">
        <f>IFERROR(VLOOKUP($M17,'Solar12-13'!$B$4:$I$25,8,FALSE),0)/10</f>
        <v>0</v>
      </c>
      <c r="V17" s="320">
        <f t="shared" si="8"/>
        <v>0</v>
      </c>
      <c r="W17" s="320">
        <f t="shared" si="1"/>
        <v>0</v>
      </c>
      <c r="X17" s="320">
        <f t="shared" si="2"/>
        <v>0</v>
      </c>
      <c r="Y17" s="320">
        <f t="shared" si="3"/>
        <v>3</v>
      </c>
      <c r="Z17" s="320">
        <f t="shared" si="4"/>
        <v>3</v>
      </c>
      <c r="AA17" s="320">
        <f t="shared" si="9"/>
        <v>11</v>
      </c>
      <c r="AC17" s="320">
        <f t="shared" si="5"/>
        <v>0</v>
      </c>
      <c r="AD17" s="5">
        <f t="shared" si="6"/>
        <v>0</v>
      </c>
      <c r="AE17" s="5">
        <f t="shared" si="7"/>
        <v>0</v>
      </c>
    </row>
    <row r="18" spans="1:31">
      <c r="A18" s="314" t="s">
        <v>516</v>
      </c>
      <c r="B18" s="314">
        <v>39</v>
      </c>
      <c r="C18" s="314">
        <v>26</v>
      </c>
      <c r="D18" s="314">
        <v>26</v>
      </c>
      <c r="E18" s="314">
        <v>15</v>
      </c>
      <c r="G18" s="317" t="s">
        <v>516</v>
      </c>
      <c r="H18" s="317">
        <v>43</v>
      </c>
      <c r="I18" s="317">
        <v>17</v>
      </c>
      <c r="J18" s="317">
        <v>4</v>
      </c>
      <c r="K18" s="317">
        <v>4</v>
      </c>
      <c r="M18" s="317" t="s">
        <v>516</v>
      </c>
      <c r="N18" s="317">
        <v>228</v>
      </c>
      <c r="O18" s="317">
        <v>171</v>
      </c>
      <c r="P18" s="317">
        <v>185</v>
      </c>
      <c r="Q18" s="317">
        <v>154</v>
      </c>
      <c r="S18" s="5" t="str">
        <f>VLOOKUP("*"&amp;M18&amp;"*",'Solar Station Addition'!$A$3:$A$34,1,FALSE)</f>
        <v>江西省</v>
      </c>
      <c r="T18" s="320">
        <f>IFERROR(VLOOKUP($M18,'Solar12-13'!$B$4:$I$25,2,FALSE),0)/10</f>
        <v>0.5</v>
      </c>
      <c r="U18" s="320">
        <f>IFERROR(VLOOKUP($M18,'Solar12-13'!$B$4:$I$25,8,FALSE),0)/10</f>
        <v>2.5</v>
      </c>
      <c r="V18" s="320">
        <f t="shared" si="8"/>
        <v>2</v>
      </c>
      <c r="W18" s="320">
        <f t="shared" si="1"/>
        <v>13</v>
      </c>
      <c r="X18" s="320">
        <f t="shared" si="2"/>
        <v>13</v>
      </c>
      <c r="Y18" s="320">
        <f t="shared" si="3"/>
        <v>17</v>
      </c>
      <c r="Z18" s="320">
        <f t="shared" si="4"/>
        <v>17</v>
      </c>
      <c r="AA18" s="320">
        <f t="shared" si="9"/>
        <v>171</v>
      </c>
      <c r="AC18" s="320">
        <f t="shared" si="5"/>
        <v>-0.5</v>
      </c>
      <c r="AD18" s="5">
        <f t="shared" si="6"/>
        <v>0</v>
      </c>
      <c r="AE18" s="5">
        <f t="shared" si="7"/>
        <v>0</v>
      </c>
    </row>
    <row r="19" spans="1:31">
      <c r="A19" s="314" t="s">
        <v>517</v>
      </c>
      <c r="B19" s="314">
        <v>60</v>
      </c>
      <c r="C19" s="314">
        <v>38</v>
      </c>
      <c r="D19" s="314">
        <v>32</v>
      </c>
      <c r="E19" s="314">
        <v>18</v>
      </c>
      <c r="G19" s="317" t="s">
        <v>517</v>
      </c>
      <c r="H19" s="317">
        <v>133</v>
      </c>
      <c r="I19" s="317">
        <v>89</v>
      </c>
      <c r="J19" s="317">
        <v>73</v>
      </c>
      <c r="K19" s="317">
        <v>67</v>
      </c>
      <c r="M19" s="317" t="s">
        <v>517</v>
      </c>
      <c r="N19" s="317">
        <v>455</v>
      </c>
      <c r="O19" s="317">
        <v>336</v>
      </c>
      <c r="P19" s="317">
        <v>322</v>
      </c>
      <c r="Q19" s="317">
        <v>247</v>
      </c>
      <c r="S19" s="5" t="str">
        <f>VLOOKUP("*"&amp;M19&amp;"*",'Solar Station Addition'!$A$3:$A$34,1,FALSE)</f>
        <v>山东省</v>
      </c>
      <c r="T19" s="320">
        <f>IFERROR(VLOOKUP($M19,'Solar12-13'!$B$4:$I$25,2,FALSE),0)/10</f>
        <v>7.9</v>
      </c>
      <c r="U19" s="320">
        <f>IFERROR(VLOOKUP($M19,'Solar12-13'!$B$4:$I$25,8,FALSE),0)/10</f>
        <v>11.2</v>
      </c>
      <c r="V19" s="320">
        <f t="shared" si="8"/>
        <v>8</v>
      </c>
      <c r="W19" s="320">
        <f t="shared" si="1"/>
        <v>22</v>
      </c>
      <c r="X19" s="320">
        <f t="shared" si="2"/>
        <v>22</v>
      </c>
      <c r="Y19" s="320">
        <f t="shared" si="3"/>
        <v>89</v>
      </c>
      <c r="Z19" s="320">
        <f t="shared" si="4"/>
        <v>89</v>
      </c>
      <c r="AA19" s="320">
        <f t="shared" si="9"/>
        <v>336</v>
      </c>
      <c r="AC19" s="320">
        <f t="shared" si="5"/>
        <v>-3.2</v>
      </c>
      <c r="AD19" s="5">
        <f t="shared" si="6"/>
        <v>0</v>
      </c>
      <c r="AE19" s="5">
        <f t="shared" si="7"/>
        <v>0</v>
      </c>
    </row>
    <row r="20" spans="1:31">
      <c r="A20" s="314" t="s">
        <v>518</v>
      </c>
      <c r="B20" s="314">
        <v>23</v>
      </c>
      <c r="C20" s="314">
        <v>16</v>
      </c>
      <c r="D20" s="314">
        <v>16</v>
      </c>
      <c r="E20" s="314">
        <v>9</v>
      </c>
      <c r="G20" s="317" t="s">
        <v>518</v>
      </c>
      <c r="H20" s="317">
        <v>41</v>
      </c>
      <c r="I20" s="317">
        <v>14</v>
      </c>
      <c r="J20" s="317">
        <v>18</v>
      </c>
      <c r="K20" s="317">
        <v>7</v>
      </c>
      <c r="M20" s="317" t="s">
        <v>518</v>
      </c>
      <c r="N20" s="317">
        <v>284</v>
      </c>
      <c r="O20" s="317">
        <v>248</v>
      </c>
      <c r="P20" s="317">
        <v>244</v>
      </c>
      <c r="Q20" s="317">
        <v>234</v>
      </c>
      <c r="S20" s="5" t="str">
        <f>VLOOKUP("*"&amp;M20&amp;"*",'Solar Station Addition'!$A$3:$A$34,1,FALSE)</f>
        <v>河南省</v>
      </c>
      <c r="T20" s="320">
        <f>IFERROR(VLOOKUP($M20,'Solar12-13'!$B$4:$I$25,2,FALSE),0)/10</f>
        <v>0</v>
      </c>
      <c r="U20" s="320">
        <f>IFERROR(VLOOKUP($M20,'Solar12-13'!$B$4:$I$25,8,FALSE),0)/10</f>
        <v>0.3</v>
      </c>
      <c r="V20" s="320">
        <f t="shared" si="8"/>
        <v>0</v>
      </c>
      <c r="W20" s="320">
        <f t="shared" si="1"/>
        <v>7</v>
      </c>
      <c r="X20" s="320">
        <f t="shared" si="2"/>
        <v>7</v>
      </c>
      <c r="Y20" s="320">
        <f t="shared" si="3"/>
        <v>14</v>
      </c>
      <c r="Z20" s="320">
        <f t="shared" si="4"/>
        <v>14</v>
      </c>
      <c r="AA20" s="320">
        <f t="shared" si="9"/>
        <v>248</v>
      </c>
      <c r="AC20" s="320">
        <f t="shared" si="5"/>
        <v>-0.3</v>
      </c>
      <c r="AD20" s="5">
        <f t="shared" si="6"/>
        <v>0</v>
      </c>
      <c r="AE20" s="5">
        <f t="shared" si="7"/>
        <v>0</v>
      </c>
    </row>
    <row r="21" spans="1:31">
      <c r="A21" s="314" t="s">
        <v>519</v>
      </c>
      <c r="B21" s="314">
        <v>14</v>
      </c>
      <c r="C21" s="314">
        <v>6</v>
      </c>
      <c r="D21" s="314">
        <v>9</v>
      </c>
      <c r="E21" s="314">
        <v>1</v>
      </c>
      <c r="G21" s="317" t="s">
        <v>519</v>
      </c>
      <c r="H21" s="317">
        <v>49</v>
      </c>
      <c r="I21" s="317">
        <v>43</v>
      </c>
      <c r="J21" s="317">
        <v>35</v>
      </c>
      <c r="K21" s="317">
        <v>35</v>
      </c>
      <c r="M21" s="317" t="s">
        <v>519</v>
      </c>
      <c r="N21" s="317">
        <v>187</v>
      </c>
      <c r="O21" s="317">
        <v>167</v>
      </c>
      <c r="P21" s="317">
        <v>138</v>
      </c>
      <c r="Q21" s="317">
        <v>124</v>
      </c>
      <c r="S21" s="5" t="str">
        <f>VLOOKUP("*"&amp;M21&amp;"*",'Solar Station Addition'!$A$3:$A$34,1,FALSE)</f>
        <v>湖北省</v>
      </c>
      <c r="T21" s="320">
        <f>IFERROR(VLOOKUP($M21,'Solar12-13'!$B$4:$I$25,2,FALSE),0)/10</f>
        <v>0</v>
      </c>
      <c r="U21" s="320">
        <f>IFERROR(VLOOKUP($M21,'Solar12-13'!$B$4:$I$25,8,FALSE),0)/10</f>
        <v>0</v>
      </c>
      <c r="V21" s="320">
        <f t="shared" si="8"/>
        <v>0</v>
      </c>
      <c r="W21" s="320">
        <f t="shared" si="1"/>
        <v>8</v>
      </c>
      <c r="X21" s="320">
        <f t="shared" si="2"/>
        <v>8</v>
      </c>
      <c r="Y21" s="320">
        <f t="shared" si="3"/>
        <v>43</v>
      </c>
      <c r="Z21" s="320">
        <f t="shared" si="4"/>
        <v>43</v>
      </c>
      <c r="AA21" s="320">
        <f t="shared" si="9"/>
        <v>167</v>
      </c>
      <c r="AC21" s="320">
        <f t="shared" si="5"/>
        <v>0</v>
      </c>
      <c r="AD21" s="5">
        <f t="shared" si="6"/>
        <v>0</v>
      </c>
      <c r="AE21" s="5">
        <f t="shared" si="7"/>
        <v>0</v>
      </c>
    </row>
    <row r="22" spans="1:31">
      <c r="A22" s="314" t="s">
        <v>520</v>
      </c>
      <c r="B22" s="314">
        <v>29</v>
      </c>
      <c r="C22" s="314">
        <v>29</v>
      </c>
      <c r="D22" s="314">
        <v>5</v>
      </c>
      <c r="E22" s="314">
        <v>5</v>
      </c>
      <c r="G22" s="317" t="s">
        <v>520</v>
      </c>
      <c r="H22" s="317">
        <v>29</v>
      </c>
      <c r="I22" s="317">
        <v>0</v>
      </c>
      <c r="J22" s="317">
        <v>0</v>
      </c>
      <c r="K22" s="317">
        <v>0</v>
      </c>
      <c r="M22" s="317" t="s">
        <v>520</v>
      </c>
      <c r="N22" s="317">
        <v>30</v>
      </c>
      <c r="O22" s="317">
        <v>0</v>
      </c>
      <c r="P22" s="317">
        <v>1</v>
      </c>
      <c r="Q22" s="317">
        <v>0</v>
      </c>
      <c r="S22" s="5" t="str">
        <f>VLOOKUP("*"&amp;M22&amp;"*",'Solar Station Addition'!$A$3:$A$34,1,FALSE)</f>
        <v>湖南省</v>
      </c>
      <c r="T22" s="320">
        <f>IFERROR(VLOOKUP($M22,'Solar12-13'!$B$4:$I$25,2,FALSE),0)/10</f>
        <v>0</v>
      </c>
      <c r="U22" s="320">
        <f>IFERROR(VLOOKUP($M22,'Solar12-13'!$B$4:$I$25,8,FALSE),0)/10</f>
        <v>0</v>
      </c>
      <c r="V22" s="320">
        <f t="shared" si="8"/>
        <v>0</v>
      </c>
      <c r="W22" s="320">
        <f t="shared" si="1"/>
        <v>0</v>
      </c>
      <c r="X22" s="320">
        <f t="shared" si="2"/>
        <v>0</v>
      </c>
      <c r="Y22" s="320">
        <f t="shared" si="3"/>
        <v>0</v>
      </c>
      <c r="Z22" s="320">
        <f t="shared" si="4"/>
        <v>0</v>
      </c>
      <c r="AA22" s="320">
        <f t="shared" si="9"/>
        <v>0</v>
      </c>
      <c r="AC22" s="320">
        <f t="shared" si="5"/>
        <v>0</v>
      </c>
      <c r="AD22" s="5">
        <f t="shared" si="6"/>
        <v>0</v>
      </c>
      <c r="AE22" s="5">
        <f t="shared" si="7"/>
        <v>0</v>
      </c>
    </row>
    <row r="23" spans="1:31">
      <c r="A23" s="314" t="s">
        <v>521</v>
      </c>
      <c r="B23" s="314">
        <v>52</v>
      </c>
      <c r="C23" s="314">
        <v>50</v>
      </c>
      <c r="D23" s="314">
        <v>22</v>
      </c>
      <c r="E23" s="314">
        <v>20</v>
      </c>
      <c r="G23" s="317" t="s">
        <v>521</v>
      </c>
      <c r="H23" s="317">
        <v>63</v>
      </c>
      <c r="I23" s="317">
        <v>7</v>
      </c>
      <c r="J23" s="317">
        <v>11</v>
      </c>
      <c r="K23" s="317">
        <v>5</v>
      </c>
      <c r="M23" s="317" t="s">
        <v>521</v>
      </c>
      <c r="N23" s="317">
        <v>156</v>
      </c>
      <c r="O23" s="317">
        <v>68</v>
      </c>
      <c r="P23" s="317">
        <v>92</v>
      </c>
      <c r="Q23" s="317">
        <v>61</v>
      </c>
      <c r="S23" s="5" t="str">
        <f>VLOOKUP("*"&amp;M23&amp;"*",'Solar Station Addition'!$A$3:$A$34,1,FALSE)</f>
        <v>广东省</v>
      </c>
      <c r="T23" s="320">
        <f>IFERROR(VLOOKUP($M23,'Solar12-13'!$B$4:$I$25,2,FALSE),0)/10</f>
        <v>0</v>
      </c>
      <c r="U23" s="320">
        <f>IFERROR(VLOOKUP($M23,'Solar12-13'!$B$4:$I$25,8,FALSE),0)/10</f>
        <v>0</v>
      </c>
      <c r="V23" s="320">
        <f t="shared" si="8"/>
        <v>0</v>
      </c>
      <c r="W23" s="320">
        <f t="shared" si="1"/>
        <v>2</v>
      </c>
      <c r="X23" s="320">
        <f t="shared" si="2"/>
        <v>2</v>
      </c>
      <c r="Y23" s="320">
        <f t="shared" si="3"/>
        <v>7</v>
      </c>
      <c r="Z23" s="320">
        <f t="shared" si="4"/>
        <v>7</v>
      </c>
      <c r="AA23" s="320">
        <f t="shared" si="9"/>
        <v>68</v>
      </c>
      <c r="AC23" s="320">
        <f t="shared" si="5"/>
        <v>0</v>
      </c>
      <c r="AD23" s="5">
        <f t="shared" si="6"/>
        <v>0</v>
      </c>
      <c r="AE23" s="5">
        <f t="shared" si="7"/>
        <v>0</v>
      </c>
    </row>
    <row r="24" spans="1:31">
      <c r="A24" s="314" t="s">
        <v>522</v>
      </c>
      <c r="B24" s="314">
        <v>9</v>
      </c>
      <c r="C24" s="314">
        <v>7</v>
      </c>
      <c r="D24" s="314">
        <v>4</v>
      </c>
      <c r="E24" s="314">
        <v>2</v>
      </c>
      <c r="G24" s="317" t="s">
        <v>522</v>
      </c>
      <c r="H24" s="317">
        <v>12</v>
      </c>
      <c r="I24" s="317">
        <v>5</v>
      </c>
      <c r="J24" s="317">
        <v>3</v>
      </c>
      <c r="K24" s="317">
        <v>3</v>
      </c>
      <c r="M24" s="317" t="s">
        <v>522</v>
      </c>
      <c r="N24" s="317">
        <v>18</v>
      </c>
      <c r="O24" s="317">
        <v>9</v>
      </c>
      <c r="P24" s="317">
        <v>6</v>
      </c>
      <c r="Q24" s="317">
        <v>4</v>
      </c>
      <c r="S24" s="5" t="str">
        <f>VLOOKUP("*"&amp;M24&amp;"*",'Solar Station Addition'!$A$3:$A$34,1,FALSE)</f>
        <v>广西壮族自治区</v>
      </c>
      <c r="T24" s="320">
        <f>IFERROR(VLOOKUP($M24,'Solar12-13'!$B$4:$I$25,2,FALSE),0)/10</f>
        <v>0</v>
      </c>
      <c r="U24" s="320">
        <f>IFERROR(VLOOKUP($M24,'Solar12-13'!$B$4:$I$25,8,FALSE),0)/10</f>
        <v>0</v>
      </c>
      <c r="V24" s="320">
        <f t="shared" si="8"/>
        <v>0</v>
      </c>
      <c r="W24" s="320">
        <f t="shared" si="1"/>
        <v>2</v>
      </c>
      <c r="X24" s="320">
        <f t="shared" si="2"/>
        <v>2</v>
      </c>
      <c r="Y24" s="320">
        <f t="shared" si="3"/>
        <v>5</v>
      </c>
      <c r="Z24" s="320">
        <f t="shared" si="4"/>
        <v>5</v>
      </c>
      <c r="AA24" s="320">
        <f t="shared" si="9"/>
        <v>9</v>
      </c>
      <c r="AC24" s="320">
        <f t="shared" si="5"/>
        <v>0</v>
      </c>
      <c r="AD24" s="5">
        <f t="shared" si="6"/>
        <v>0</v>
      </c>
      <c r="AE24" s="5">
        <f t="shared" si="7"/>
        <v>0</v>
      </c>
    </row>
    <row r="25" spans="1:31">
      <c r="A25" s="314" t="s">
        <v>523</v>
      </c>
      <c r="B25" s="314">
        <v>19</v>
      </c>
      <c r="C25" s="314">
        <v>5</v>
      </c>
      <c r="D25" s="314">
        <v>7</v>
      </c>
      <c r="E25" s="314">
        <v>0</v>
      </c>
      <c r="G25" s="317" t="s">
        <v>523</v>
      </c>
      <c r="H25" s="317">
        <v>24</v>
      </c>
      <c r="I25" s="317">
        <v>19</v>
      </c>
      <c r="J25" s="317">
        <v>5</v>
      </c>
      <c r="K25" s="317">
        <v>5</v>
      </c>
      <c r="M25" s="317" t="s">
        <v>523</v>
      </c>
      <c r="N25" s="317">
        <v>34</v>
      </c>
      <c r="O25" s="317">
        <v>24</v>
      </c>
      <c r="P25" s="317">
        <v>10</v>
      </c>
      <c r="Q25" s="317">
        <v>5</v>
      </c>
      <c r="S25" s="5" t="str">
        <f>VLOOKUP("*"&amp;M25&amp;"*",'Solar Station Addition'!$A$3:$A$34,1,FALSE)</f>
        <v>海南省</v>
      </c>
      <c r="T25" s="320">
        <f>IFERROR(VLOOKUP($M25,'Solar12-13'!$B$4:$I$25,2,FALSE),0)/10</f>
        <v>1</v>
      </c>
      <c r="U25" s="320">
        <f>IFERROR(VLOOKUP($M25,'Solar12-13'!$B$4:$I$25,8,FALSE),0)/10</f>
        <v>8.3</v>
      </c>
      <c r="V25" s="320">
        <f t="shared" si="8"/>
        <v>7</v>
      </c>
      <c r="W25" s="320">
        <f t="shared" si="1"/>
        <v>14</v>
      </c>
      <c r="X25" s="320">
        <f t="shared" si="2"/>
        <v>14</v>
      </c>
      <c r="Y25" s="320">
        <f t="shared" si="3"/>
        <v>19</v>
      </c>
      <c r="Z25" s="320">
        <f t="shared" si="4"/>
        <v>19</v>
      </c>
      <c r="AA25" s="320">
        <f t="shared" si="9"/>
        <v>24</v>
      </c>
      <c r="AC25" s="320">
        <f t="shared" si="5"/>
        <v>-1.3</v>
      </c>
      <c r="AD25" s="5">
        <f t="shared" si="6"/>
        <v>0</v>
      </c>
      <c r="AE25" s="5">
        <f t="shared" si="7"/>
        <v>0</v>
      </c>
    </row>
    <row r="26" spans="1:31">
      <c r="A26" s="314" t="s">
        <v>524</v>
      </c>
      <c r="B26" s="314">
        <v>0</v>
      </c>
      <c r="C26" s="314">
        <v>0</v>
      </c>
      <c r="D26" s="314">
        <v>0</v>
      </c>
      <c r="E26" s="314">
        <v>0</v>
      </c>
      <c r="G26" s="317" t="s">
        <v>524</v>
      </c>
      <c r="H26" s="317">
        <v>0</v>
      </c>
      <c r="I26" s="317">
        <v>0</v>
      </c>
      <c r="J26" s="317">
        <v>0</v>
      </c>
      <c r="K26" s="317">
        <v>0</v>
      </c>
      <c r="M26" s="317" t="s">
        <v>524</v>
      </c>
      <c r="N26" s="317">
        <v>0.5</v>
      </c>
      <c r="O26" s="317">
        <v>0</v>
      </c>
      <c r="P26" s="317">
        <v>0</v>
      </c>
      <c r="Q26" s="317">
        <v>0</v>
      </c>
      <c r="S26" s="5" t="str">
        <f>VLOOKUP("*"&amp;M26&amp;"*",'Solar Station Addition'!$A$3:$A$34,1,FALSE)</f>
        <v>重庆市</v>
      </c>
      <c r="T26" s="320">
        <f>IFERROR(VLOOKUP($M26,'Solar12-13'!$B$4:$I$25,2,FALSE),0)/10</f>
        <v>0</v>
      </c>
      <c r="U26" s="320">
        <f>IFERROR(VLOOKUP($M26,'Solar12-13'!$B$4:$I$25,8,FALSE),0)/10</f>
        <v>0</v>
      </c>
      <c r="V26" s="320">
        <f t="shared" si="8"/>
        <v>0</v>
      </c>
      <c r="W26" s="320">
        <f t="shared" si="1"/>
        <v>0</v>
      </c>
      <c r="X26" s="320">
        <f t="shared" si="2"/>
        <v>0</v>
      </c>
      <c r="Y26" s="320">
        <f t="shared" si="3"/>
        <v>0</v>
      </c>
      <c r="Z26" s="320">
        <f t="shared" si="4"/>
        <v>0</v>
      </c>
      <c r="AA26" s="320">
        <f t="shared" si="9"/>
        <v>0</v>
      </c>
      <c r="AC26" s="320">
        <f t="shared" si="5"/>
        <v>0</v>
      </c>
      <c r="AD26" s="5">
        <f t="shared" si="6"/>
        <v>0</v>
      </c>
      <c r="AE26" s="5">
        <f t="shared" si="7"/>
        <v>0</v>
      </c>
    </row>
    <row r="27" spans="1:31">
      <c r="A27" s="314" t="s">
        <v>525</v>
      </c>
      <c r="B27" s="314">
        <v>6</v>
      </c>
      <c r="C27" s="314">
        <v>1</v>
      </c>
      <c r="D27" s="314">
        <v>3</v>
      </c>
      <c r="E27" s="314">
        <v>1</v>
      </c>
      <c r="G27" s="317" t="s">
        <v>525</v>
      </c>
      <c r="H27" s="317">
        <v>36</v>
      </c>
      <c r="I27" s="317">
        <v>33</v>
      </c>
      <c r="J27" s="317">
        <v>30</v>
      </c>
      <c r="K27" s="317">
        <v>28</v>
      </c>
      <c r="M27" s="317" t="s">
        <v>525</v>
      </c>
      <c r="N27" s="317">
        <v>96</v>
      </c>
      <c r="O27" s="317">
        <v>90</v>
      </c>
      <c r="P27" s="317">
        <v>60</v>
      </c>
      <c r="Q27" s="317">
        <v>57</v>
      </c>
      <c r="S27" s="5" t="str">
        <f>VLOOKUP("*"&amp;M27&amp;"*",'Solar Station Addition'!$A$3:$A$34,1,FALSE)</f>
        <v>四川省</v>
      </c>
      <c r="T27" s="320">
        <f>IFERROR(VLOOKUP($M27,'Solar12-13'!$B$4:$I$25,2,FALSE),0)/10</f>
        <v>0</v>
      </c>
      <c r="U27" s="320">
        <f>IFERROR(VLOOKUP($M27,'Solar12-13'!$B$4:$I$25,8,FALSE),0)/10</f>
        <v>3</v>
      </c>
      <c r="V27" s="320">
        <f t="shared" si="8"/>
        <v>3</v>
      </c>
      <c r="W27" s="320">
        <f t="shared" si="1"/>
        <v>5</v>
      </c>
      <c r="X27" s="320">
        <f t="shared" si="2"/>
        <v>5</v>
      </c>
      <c r="Y27" s="320">
        <f t="shared" si="3"/>
        <v>33</v>
      </c>
      <c r="Z27" s="320">
        <f t="shared" si="4"/>
        <v>33</v>
      </c>
      <c r="AA27" s="320">
        <f t="shared" si="9"/>
        <v>90</v>
      </c>
      <c r="AC27" s="320">
        <f t="shared" si="5"/>
        <v>0</v>
      </c>
      <c r="AD27" s="5">
        <f t="shared" si="6"/>
        <v>0</v>
      </c>
      <c r="AE27" s="5">
        <f t="shared" si="7"/>
        <v>0</v>
      </c>
    </row>
    <row r="28" spans="1:31">
      <c r="A28" s="314" t="s">
        <v>526</v>
      </c>
      <c r="B28" s="314">
        <v>0</v>
      </c>
      <c r="C28" s="314">
        <v>0</v>
      </c>
      <c r="D28" s="314">
        <v>0</v>
      </c>
      <c r="E28" s="314">
        <v>0</v>
      </c>
      <c r="G28" s="317" t="s">
        <v>526</v>
      </c>
      <c r="H28" s="317">
        <v>3</v>
      </c>
      <c r="I28" s="317">
        <v>3</v>
      </c>
      <c r="J28" s="317">
        <v>3</v>
      </c>
      <c r="K28" s="317">
        <v>3</v>
      </c>
      <c r="M28" s="317" t="s">
        <v>526</v>
      </c>
      <c r="N28" s="317">
        <v>46</v>
      </c>
      <c r="O28" s="317">
        <v>46</v>
      </c>
      <c r="P28" s="317">
        <v>43</v>
      </c>
      <c r="Q28" s="317">
        <v>43</v>
      </c>
      <c r="S28" s="5" t="str">
        <f>VLOOKUP("*"&amp;M28&amp;"*",'Solar Station Addition'!$A$3:$A$34,1,FALSE)</f>
        <v>贵州省</v>
      </c>
      <c r="T28" s="320">
        <f>IFERROR(VLOOKUP($M28,'Solar12-13'!$B$4:$I$25,2,FALSE),0)/10</f>
        <v>0</v>
      </c>
      <c r="U28" s="320">
        <f>IFERROR(VLOOKUP($M28,'Solar12-13'!$B$4:$I$25,8,FALSE),0)/10</f>
        <v>0</v>
      </c>
      <c r="V28" s="320">
        <f t="shared" si="8"/>
        <v>0</v>
      </c>
      <c r="W28" s="320">
        <f t="shared" si="1"/>
        <v>0</v>
      </c>
      <c r="X28" s="320">
        <f t="shared" si="2"/>
        <v>0</v>
      </c>
      <c r="Y28" s="320">
        <f t="shared" si="3"/>
        <v>3</v>
      </c>
      <c r="Z28" s="320">
        <f t="shared" si="4"/>
        <v>3</v>
      </c>
      <c r="AA28" s="320">
        <f t="shared" si="9"/>
        <v>46</v>
      </c>
      <c r="AC28" s="320">
        <f t="shared" si="5"/>
        <v>0</v>
      </c>
      <c r="AD28" s="5">
        <f t="shared" si="6"/>
        <v>0</v>
      </c>
      <c r="AE28" s="5">
        <f t="shared" si="7"/>
        <v>0</v>
      </c>
    </row>
    <row r="29" spans="1:31">
      <c r="A29" s="314" t="s">
        <v>527</v>
      </c>
      <c r="B29" s="314">
        <v>35</v>
      </c>
      <c r="C29" s="314">
        <v>2</v>
      </c>
      <c r="D29" s="314">
        <v>15</v>
      </c>
      <c r="E29" s="314">
        <v>0</v>
      </c>
      <c r="G29" s="321" t="s">
        <v>527</v>
      </c>
      <c r="H29" s="317">
        <v>65</v>
      </c>
      <c r="I29" s="317">
        <v>63</v>
      </c>
      <c r="J29" s="317">
        <v>30</v>
      </c>
      <c r="K29" s="317">
        <v>30</v>
      </c>
      <c r="M29" s="321" t="s">
        <v>527</v>
      </c>
      <c r="N29" s="317">
        <v>208</v>
      </c>
      <c r="O29" s="317">
        <v>208</v>
      </c>
      <c r="P29" s="317">
        <v>144</v>
      </c>
      <c r="Q29" s="317">
        <v>145</v>
      </c>
      <c r="S29" s="5" t="str">
        <f>VLOOKUP("*"&amp;M29&amp;"*",'Solar Station Addition'!$A$3:$A$34,1,FALSE)</f>
        <v>云南省</v>
      </c>
      <c r="T29" s="320">
        <f>IFERROR(VLOOKUP($M29,'Solar12-13'!$B$4:$I$25,2,FALSE),0)/10</f>
        <v>2</v>
      </c>
      <c r="U29" s="320">
        <f>IFERROR(VLOOKUP($M29,'Solar12-13'!$B$4:$I$25,8,FALSE),0)/10</f>
        <v>18</v>
      </c>
      <c r="V29" s="320">
        <f t="shared" si="8"/>
        <v>18</v>
      </c>
      <c r="W29" s="320">
        <f t="shared" si="1"/>
        <v>33</v>
      </c>
      <c r="X29" s="320">
        <f t="shared" si="2"/>
        <v>33</v>
      </c>
      <c r="Y29" s="320">
        <f t="shared" si="3"/>
        <v>63</v>
      </c>
      <c r="Z29" s="320">
        <f t="shared" si="4"/>
        <v>63</v>
      </c>
      <c r="AA29" s="320">
        <f t="shared" si="9"/>
        <v>208</v>
      </c>
      <c r="AC29" s="320">
        <f t="shared" si="5"/>
        <v>0</v>
      </c>
      <c r="AD29" s="5">
        <f t="shared" si="6"/>
        <v>0</v>
      </c>
      <c r="AE29" s="5">
        <f t="shared" si="7"/>
        <v>0</v>
      </c>
    </row>
    <row r="30" spans="1:31">
      <c r="A30" s="314" t="s">
        <v>528</v>
      </c>
      <c r="B30" s="314">
        <v>15</v>
      </c>
      <c r="C30" s="314">
        <v>0</v>
      </c>
      <c r="D30" s="314">
        <v>4</v>
      </c>
      <c r="E30" s="314">
        <v>0</v>
      </c>
      <c r="G30" s="317" t="s">
        <v>528</v>
      </c>
      <c r="H30" s="317">
        <v>17</v>
      </c>
      <c r="I30" s="317">
        <v>17</v>
      </c>
      <c r="J30" s="317">
        <v>2</v>
      </c>
      <c r="K30" s="317">
        <v>2</v>
      </c>
      <c r="M30" s="317" t="s">
        <v>528</v>
      </c>
      <c r="N30" s="317">
        <v>33</v>
      </c>
      <c r="O30" s="317">
        <v>33</v>
      </c>
      <c r="P30" s="317">
        <v>16</v>
      </c>
      <c r="Q30" s="317">
        <v>16</v>
      </c>
      <c r="S30" s="5" t="str">
        <f>VLOOKUP("*"&amp;M30&amp;"*",'Solar Station Addition'!$A$3:$A$34,1,FALSE)</f>
        <v>西藏自治区</v>
      </c>
      <c r="T30" s="320">
        <f>IFERROR(VLOOKUP($M30,'Solar12-13'!$B$4:$I$25,2,FALSE),0)/10</f>
        <v>10</v>
      </c>
      <c r="U30" s="320">
        <f>IFERROR(VLOOKUP($M30,'Solar12-13'!$B$4:$I$25,8,FALSE),0)/10</f>
        <v>11</v>
      </c>
      <c r="V30" s="320">
        <f t="shared" si="8"/>
        <v>11</v>
      </c>
      <c r="W30" s="320">
        <f t="shared" si="1"/>
        <v>15</v>
      </c>
      <c r="X30" s="320">
        <f t="shared" si="2"/>
        <v>15</v>
      </c>
      <c r="Y30" s="320">
        <f t="shared" si="3"/>
        <v>17</v>
      </c>
      <c r="Z30" s="320">
        <f t="shared" si="4"/>
        <v>17</v>
      </c>
      <c r="AA30" s="320">
        <f t="shared" si="9"/>
        <v>33</v>
      </c>
      <c r="AC30" s="320">
        <f t="shared" si="5"/>
        <v>0</v>
      </c>
      <c r="AD30" s="5">
        <f t="shared" si="6"/>
        <v>0</v>
      </c>
      <c r="AE30" s="5">
        <f t="shared" si="7"/>
        <v>0</v>
      </c>
    </row>
    <row r="31" spans="1:31">
      <c r="A31" s="314" t="s">
        <v>529</v>
      </c>
      <c r="B31" s="314">
        <v>55</v>
      </c>
      <c r="C31" s="314">
        <v>3</v>
      </c>
      <c r="D31" s="314">
        <v>42</v>
      </c>
      <c r="E31" s="314">
        <v>1</v>
      </c>
      <c r="G31" s="317" t="s">
        <v>529</v>
      </c>
      <c r="H31" s="317">
        <v>117</v>
      </c>
      <c r="I31" s="317">
        <v>112</v>
      </c>
      <c r="J31" s="317">
        <v>62</v>
      </c>
      <c r="K31" s="317">
        <v>60</v>
      </c>
      <c r="M31" s="317" t="s">
        <v>529</v>
      </c>
      <c r="N31" s="317">
        <v>334</v>
      </c>
      <c r="O31" s="317">
        <v>322</v>
      </c>
      <c r="P31" s="317">
        <v>217</v>
      </c>
      <c r="Q31" s="317">
        <v>210</v>
      </c>
      <c r="S31" s="5" t="str">
        <f>VLOOKUP("*"&amp;M31&amp;"*",'Solar Station Addition'!$A$3:$A$34,1,FALSE)</f>
        <v>陕西省</v>
      </c>
      <c r="T31" s="320">
        <f>IFERROR(VLOOKUP($M31,'Solar12-13'!$B$4:$I$25,2,FALSE),0)/10</f>
        <v>6</v>
      </c>
      <c r="U31" s="320">
        <f>IFERROR(VLOOKUP($M31,'Solar12-13'!$B$4:$I$25,8,FALSE),0)/10</f>
        <v>27</v>
      </c>
      <c r="V31" s="320">
        <f t="shared" si="8"/>
        <v>11</v>
      </c>
      <c r="W31" s="320">
        <f t="shared" si="1"/>
        <v>52</v>
      </c>
      <c r="X31" s="320">
        <f t="shared" si="2"/>
        <v>52</v>
      </c>
      <c r="Y31" s="320">
        <f t="shared" si="3"/>
        <v>112</v>
      </c>
      <c r="Z31" s="320">
        <f t="shared" si="4"/>
        <v>112</v>
      </c>
      <c r="AA31" s="320">
        <f t="shared" si="9"/>
        <v>322</v>
      </c>
      <c r="AC31" s="320">
        <f t="shared" si="5"/>
        <v>-16</v>
      </c>
      <c r="AD31" s="5">
        <f t="shared" si="6"/>
        <v>0</v>
      </c>
      <c r="AE31" s="5">
        <f t="shared" si="7"/>
        <v>0</v>
      </c>
    </row>
    <row r="32" spans="1:31">
      <c r="A32" s="314" t="s">
        <v>530</v>
      </c>
      <c r="B32" s="314">
        <v>517</v>
      </c>
      <c r="C32" s="314">
        <v>0</v>
      </c>
      <c r="D32" s="314">
        <v>97</v>
      </c>
      <c r="E32" s="314">
        <v>0</v>
      </c>
      <c r="G32" s="317" t="s">
        <v>530</v>
      </c>
      <c r="H32" s="317">
        <v>610</v>
      </c>
      <c r="I32" s="317">
        <v>606</v>
      </c>
      <c r="J32" s="317">
        <v>93</v>
      </c>
      <c r="K32" s="317">
        <v>89</v>
      </c>
      <c r="M32" s="317" t="s">
        <v>530</v>
      </c>
      <c r="N32" s="317">
        <v>686</v>
      </c>
      <c r="O32" s="317">
        <v>680</v>
      </c>
      <c r="P32" s="317">
        <v>76</v>
      </c>
      <c r="Q32" s="317">
        <v>74</v>
      </c>
      <c r="S32" s="5" t="str">
        <f>VLOOKUP("*"&amp;M32&amp;"*",'Solar Station Addition'!$A$3:$A$34,1,FALSE)</f>
        <v>甘肃省</v>
      </c>
      <c r="T32" s="320">
        <f>IFERROR(VLOOKUP($M32,'Solar12-13'!$B$4:$I$25,2,FALSE),0)/10</f>
        <v>47.5</v>
      </c>
      <c r="U32" s="320">
        <f>IFERROR(VLOOKUP($M32,'Solar12-13'!$B$4:$I$25,8,FALSE),0)/10</f>
        <v>431.7</v>
      </c>
      <c r="V32" s="320">
        <f t="shared" si="8"/>
        <v>420</v>
      </c>
      <c r="W32" s="320">
        <f t="shared" si="1"/>
        <v>517</v>
      </c>
      <c r="X32" s="320">
        <f t="shared" si="2"/>
        <v>517</v>
      </c>
      <c r="Y32" s="320">
        <f t="shared" si="3"/>
        <v>606</v>
      </c>
      <c r="Z32" s="320">
        <f t="shared" si="4"/>
        <v>606</v>
      </c>
      <c r="AA32" s="320">
        <f t="shared" si="9"/>
        <v>680</v>
      </c>
      <c r="AC32" s="320">
        <f t="shared" si="5"/>
        <v>-11.7</v>
      </c>
      <c r="AD32" s="5">
        <f t="shared" si="6"/>
        <v>0</v>
      </c>
      <c r="AE32" s="5">
        <f t="shared" si="7"/>
        <v>0</v>
      </c>
    </row>
    <row r="33" spans="1:31">
      <c r="A33" s="314" t="s">
        <v>531</v>
      </c>
      <c r="B33" s="314">
        <v>413</v>
      </c>
      <c r="C33" s="314">
        <v>0</v>
      </c>
      <c r="D33" s="314">
        <v>102</v>
      </c>
      <c r="E33" s="314">
        <v>0</v>
      </c>
      <c r="G33" s="317" t="s">
        <v>531</v>
      </c>
      <c r="H33" s="317">
        <v>564</v>
      </c>
      <c r="I33" s="317">
        <v>564</v>
      </c>
      <c r="J33" s="317">
        <v>151</v>
      </c>
      <c r="K33" s="317">
        <v>151</v>
      </c>
      <c r="M33" s="317" t="s">
        <v>531</v>
      </c>
      <c r="N33" s="317">
        <v>682</v>
      </c>
      <c r="O33" s="317">
        <v>682</v>
      </c>
      <c r="P33" s="317">
        <v>119</v>
      </c>
      <c r="Q33" s="317">
        <v>118</v>
      </c>
      <c r="S33" s="5" t="str">
        <f>VLOOKUP("*"&amp;M33&amp;"*",'Solar Station Addition'!$A$3:$A$34,1,FALSE)</f>
        <v>青海省</v>
      </c>
      <c r="T33" s="320">
        <f>IFERROR(VLOOKUP($M33,'Solar12-13'!$B$4:$I$25,2,FALSE),0)/10</f>
        <v>214</v>
      </c>
      <c r="U33" s="320">
        <f>IFERROR(VLOOKUP($M33,'Solar12-13'!$B$4:$I$25,8,FALSE),0)/10</f>
        <v>310.3</v>
      </c>
      <c r="V33" s="320">
        <f t="shared" si="8"/>
        <v>311</v>
      </c>
      <c r="W33" s="320">
        <f t="shared" si="1"/>
        <v>413</v>
      </c>
      <c r="X33" s="320">
        <f t="shared" si="2"/>
        <v>413</v>
      </c>
      <c r="Y33" s="320">
        <f t="shared" si="3"/>
        <v>564</v>
      </c>
      <c r="Z33" s="320">
        <f t="shared" si="4"/>
        <v>564</v>
      </c>
      <c r="AA33" s="320">
        <f t="shared" si="9"/>
        <v>682</v>
      </c>
      <c r="AC33" s="320">
        <f t="shared" si="5"/>
        <v>0.699999999999989</v>
      </c>
      <c r="AD33" s="5">
        <f t="shared" si="6"/>
        <v>0</v>
      </c>
      <c r="AE33" s="5">
        <f t="shared" si="7"/>
        <v>0</v>
      </c>
    </row>
    <row r="34" spans="1:31">
      <c r="A34" s="314" t="s">
        <v>532</v>
      </c>
      <c r="B34" s="314">
        <v>217</v>
      </c>
      <c r="C34" s="314">
        <v>0</v>
      </c>
      <c r="D34" s="314">
        <v>82</v>
      </c>
      <c r="E34" s="314">
        <v>0</v>
      </c>
      <c r="G34" s="317" t="s">
        <v>532</v>
      </c>
      <c r="H34" s="317">
        <v>309</v>
      </c>
      <c r="I34" s="317">
        <v>306</v>
      </c>
      <c r="J34" s="317">
        <v>92</v>
      </c>
      <c r="K34" s="317">
        <v>90</v>
      </c>
      <c r="M34" s="317" t="s">
        <v>532</v>
      </c>
      <c r="N34" s="317">
        <v>526</v>
      </c>
      <c r="O34" s="317">
        <v>505</v>
      </c>
      <c r="P34" s="317">
        <v>217</v>
      </c>
      <c r="Q34" s="317">
        <v>199</v>
      </c>
      <c r="S34" s="5" t="str">
        <f>VLOOKUP("*"&amp;M34&amp;"*",'Solar Station Addition'!$A$3:$A$34,1,FALSE)</f>
        <v>宁夏回族自治区</v>
      </c>
      <c r="T34" s="320">
        <f>IFERROR(VLOOKUP($M34,'Solar12-13'!$B$4:$I$25,2,FALSE),0)/10</f>
        <v>43.1</v>
      </c>
      <c r="U34" s="320">
        <f>IFERROR(VLOOKUP($M34,'Solar12-13'!$B$4:$I$25,8,FALSE),0)/10</f>
        <v>161.4</v>
      </c>
      <c r="V34" s="320">
        <f t="shared" si="8"/>
        <v>135</v>
      </c>
      <c r="W34" s="320">
        <f t="shared" si="1"/>
        <v>217</v>
      </c>
      <c r="X34" s="320">
        <f t="shared" si="2"/>
        <v>216</v>
      </c>
      <c r="Y34" s="320">
        <f t="shared" si="3"/>
        <v>306</v>
      </c>
      <c r="Z34" s="320">
        <f t="shared" si="4"/>
        <v>306</v>
      </c>
      <c r="AA34" s="320">
        <f t="shared" si="9"/>
        <v>505</v>
      </c>
      <c r="AC34" s="320">
        <f t="shared" si="5"/>
        <v>-26.4</v>
      </c>
      <c r="AD34" s="5">
        <f t="shared" si="6"/>
        <v>1</v>
      </c>
      <c r="AE34" s="5">
        <f t="shared" si="7"/>
        <v>0</v>
      </c>
    </row>
    <row r="35" spans="1:31">
      <c r="A35" s="317" t="s">
        <v>533</v>
      </c>
      <c r="B35" s="314">
        <v>275</v>
      </c>
      <c r="C35" s="314">
        <v>4</v>
      </c>
      <c r="D35" s="314">
        <v>42</v>
      </c>
      <c r="E35" s="314">
        <v>0</v>
      </c>
      <c r="G35" s="321" t="s">
        <v>533</v>
      </c>
      <c r="H35" s="317">
        <v>406</v>
      </c>
      <c r="I35" s="317">
        <v>402</v>
      </c>
      <c r="J35" s="317">
        <v>131</v>
      </c>
      <c r="K35" s="317">
        <v>131</v>
      </c>
      <c r="M35" s="321" t="s">
        <v>533</v>
      </c>
      <c r="N35" s="317">
        <v>862</v>
      </c>
      <c r="O35" s="317">
        <v>862</v>
      </c>
      <c r="P35" s="317">
        <v>329</v>
      </c>
      <c r="Q35" s="317">
        <v>333</v>
      </c>
      <c r="S35" s="5" t="str">
        <f>VLOOKUP("*"&amp;M35&amp;"*",'Solar Station Addition'!$A$3:$A$34,1,FALSE)</f>
        <v>新疆维吾尔自治区</v>
      </c>
      <c r="T35" s="320">
        <f>IFERROR(VLOOKUP($M35,'Solar12-13'!$B$4:$I$25,2,FALSE),0)/10+IFERROR(VLOOKUP($M36,'Solar12-13'!$B$4:$I$25,2,FALSE),0)/10</f>
        <v>25</v>
      </c>
      <c r="U35" s="320">
        <f>IFERROR(VLOOKUP($M35,'Solar12-13'!$B$4:$I$25,8,FALSE),0)/10+IFERROR(VLOOKUP($M36,'Solar12-13'!$B$4:$I$25,8,FALSE),0)/10</f>
        <v>321.1</v>
      </c>
      <c r="V35" s="320">
        <f>(B35-D35)-(C35-E35)+(B36-D36)-(C36-E36)</f>
        <v>293</v>
      </c>
      <c r="W35" s="320">
        <f>(B35-C35)+(B36-C36)</f>
        <v>352</v>
      </c>
      <c r="X35" s="320">
        <f>(I35-K35)+(I36-K36)</f>
        <v>352</v>
      </c>
      <c r="Y35" s="320">
        <f>I35+I36</f>
        <v>562</v>
      </c>
      <c r="Z35" s="320">
        <f t="shared" si="4"/>
        <v>529</v>
      </c>
      <c r="AA35" s="320">
        <f t="shared" si="9"/>
        <v>862</v>
      </c>
      <c r="AC35" s="320">
        <f t="shared" si="5"/>
        <v>-28.1</v>
      </c>
      <c r="AD35" s="5">
        <f t="shared" si="6"/>
        <v>0</v>
      </c>
      <c r="AE35" s="5">
        <f t="shared" si="7"/>
        <v>33</v>
      </c>
    </row>
    <row r="36" spans="1:31">
      <c r="A36" s="317" t="s">
        <v>224</v>
      </c>
      <c r="B36" s="314">
        <v>81</v>
      </c>
      <c r="C36" s="314">
        <v>0</v>
      </c>
      <c r="D36" s="314">
        <v>17</v>
      </c>
      <c r="E36" s="314">
        <v>0</v>
      </c>
      <c r="G36" s="317" t="s">
        <v>224</v>
      </c>
      <c r="H36" s="317">
        <v>160</v>
      </c>
      <c r="I36" s="317">
        <v>160</v>
      </c>
      <c r="J36" s="317">
        <v>79</v>
      </c>
      <c r="K36" s="317">
        <v>79</v>
      </c>
      <c r="M36" s="5" t="str">
        <f>G36</f>
        <v>新疆建设兵团</v>
      </c>
    </row>
    <row r="37" spans="1:31">
      <c r="M37" s="322" t="s">
        <v>534</v>
      </c>
    </row>
    <row r="39" spans="1:31">
      <c r="A39" s="323" t="s">
        <v>33</v>
      </c>
    </row>
    <row r="40" spans="1:31">
      <c r="A40" s="323" t="s">
        <v>34</v>
      </c>
    </row>
    <row r="41" spans="1:31">
      <c r="A41" s="323" t="s">
        <v>36</v>
      </c>
    </row>
  </sheetData>
  <mergeCells count="12">
    <mergeCell ref="A1:E1"/>
    <mergeCell ref="G1:K1"/>
    <mergeCell ref="M1:Q1"/>
    <mergeCell ref="B2:C2"/>
    <mergeCell ref="D2:E2"/>
    <mergeCell ref="H2:I2"/>
    <mergeCell ref="J2:K2"/>
    <mergeCell ref="N2:O2"/>
    <mergeCell ref="P2:Q2"/>
    <mergeCell ref="A2:A3"/>
    <mergeCell ref="G2:G3"/>
    <mergeCell ref="M2:M3"/>
  </mergeCells>
  <conditionalFormatting sqref="B4:Q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41" r:id="rId1" location=":~:text=2016%E5%B9%B4%E5%85%89%E4%BC%8F%E5%8F%91%E7%94%B5%E7%BB%9F%E8%AE%A1%E4%BF%A1%E6%81%AF%20%E5%8F%91%E5%B8%83%E6%97%B6%E9%97%B4%EF%BC%9A2017-02-04%20%E6%9D%A5%E6%BA%90%EF%BC%9A%E5%9B%BD%E5%AE%B6%E8%83%BD%E6%BA%90%E5%B1%80%20%E5%A4%A7,%E4%B8%AD%20%E5%B0%8F%20%E6%88%AA%E8%87%B32016%E5%B9%B4%E5%BA%95%EF%BC%8C%E6%88%91%E5%9B%BD%E5%85%89%E4%BC%8F%E5%8F%91%E7%94%B5%E6%96%B0%E5%A2%9E%E8%A3%85%E6%9C%BA%E5%AE%B9%E9%87%8F3454%E4%B8%87%E5%8D%83%E7%93%A6%EF%BC%8C%E7%B4%AF%E8%AE%A1%E8%A3%85%E6%9C%BA%E5%AE%B9%E9%87%8F7742%E4%B8%87%E5%8D%83%E7%93%A6%EF%BC%8C%E6%96%B0%E5%A2%9E%E5%92%8C%E7%B4%AF%E8%AE%A1%E8%A3%85%E6%9C%BA%E5%AE%B9%E9%87%8F%E5%9D%87%E4%B8%BA%E5%85%A8%E7%90%83%E7%AC%AC%E4%B8%80%E3%80%82%20%E5%85%B6%E4%B8%AD%EF%BC%8C%E5%85%89%E4%BC%8F%E7%94%B5%E7%AB%99%E7%B4%AF%E8%AE%A1%E8%A3%85%E6%9C%BA%E5%AE%B9%E9%87%8F6710%E4%B8%87%E5%8D%83%E7%93%A6%EF%BC%8C%E5%88%86%E5%B8%83%E5%BC%8F%E7%B4%AF%E8%AE%A1%E8%A3%85%E6%9C%BA%E5%AE%B9%E9%87%8F1032%E4%B8%87%E5%8D%83%E7%93%A6%E3%80%82%20%E5%85%A8%E5%B9%B4" display="2016年光伏发电统计信息---国家能源局 (nea.gov.cn)"/>
    <hyperlink ref="A40" r:id="rId2" display="2015年光伏发电相关统计数据---国家能源局 (nea.gov.cn)"/>
    <hyperlink ref="A39" r:id="rId3" display="2014年光伏发电统计信息---国家能源局 (nea.gov.cn)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workbookViewId="0">
      <selection activeCell="E22" sqref="E22"/>
    </sheetView>
  </sheetViews>
  <sheetFormatPr defaultColWidth="10.283185840708" defaultRowHeight="13.85"/>
  <cols>
    <col min="1" max="1" width="10.283185840708" style="86"/>
    <col min="2" max="14" width="9.28318584070797" style="86" customWidth="1"/>
    <col min="15" max="18" width="10.283185840708" style="86" customWidth="1"/>
    <col min="19" max="16384" width="10.283185840708" style="86"/>
  </cols>
  <sheetData>
    <row r="1" spans="1:25">
      <c r="A1" s="308"/>
      <c r="B1" s="308">
        <v>2017</v>
      </c>
      <c r="C1" s="308">
        <v>2018</v>
      </c>
      <c r="D1" s="308">
        <v>2019</v>
      </c>
      <c r="E1" s="308">
        <v>2020</v>
      </c>
      <c r="F1" s="308">
        <v>2021</v>
      </c>
      <c r="G1" s="308">
        <v>2022</v>
      </c>
      <c r="I1" s="308">
        <v>2017</v>
      </c>
      <c r="J1" s="308">
        <v>2018</v>
      </c>
      <c r="K1" s="308">
        <v>2019</v>
      </c>
      <c r="L1" s="308">
        <v>2020</v>
      </c>
      <c r="M1" s="308">
        <v>2021</v>
      </c>
      <c r="N1" s="308">
        <v>2022</v>
      </c>
      <c r="P1" s="308">
        <v>2019</v>
      </c>
      <c r="Q1" s="308">
        <v>2020</v>
      </c>
      <c r="R1" s="308">
        <v>2021</v>
      </c>
      <c r="S1" s="308">
        <v>2022</v>
      </c>
      <c r="U1" s="308"/>
      <c r="V1" s="308"/>
      <c r="W1" s="308" t="s">
        <v>535</v>
      </c>
      <c r="X1" s="308" t="s">
        <v>535</v>
      </c>
      <c r="Y1" s="308" t="s">
        <v>535</v>
      </c>
    </row>
    <row r="2" spans="1:25">
      <c r="A2" s="308"/>
      <c r="B2" s="309" t="s">
        <v>536</v>
      </c>
      <c r="C2" s="309"/>
      <c r="D2" s="309"/>
      <c r="E2" s="309"/>
      <c r="F2" s="309"/>
      <c r="G2" s="309"/>
      <c r="I2" s="309" t="s">
        <v>537</v>
      </c>
      <c r="J2" s="309"/>
      <c r="K2" s="309"/>
      <c r="L2" s="309"/>
      <c r="M2" s="309"/>
      <c r="N2" s="309"/>
      <c r="P2" s="309" t="s">
        <v>535</v>
      </c>
      <c r="Q2" s="309"/>
      <c r="R2" s="309"/>
      <c r="S2" s="309"/>
      <c r="U2" s="308"/>
      <c r="V2" s="308"/>
      <c r="W2" s="308">
        <v>201910</v>
      </c>
      <c r="X2" s="308">
        <v>202011</v>
      </c>
      <c r="Y2" s="308">
        <v>202112</v>
      </c>
    </row>
    <row r="3" spans="1:25">
      <c r="A3" s="308" t="s">
        <v>80</v>
      </c>
      <c r="B3" s="308">
        <v>9384</v>
      </c>
      <c r="C3" s="308">
        <v>12406</v>
      </c>
      <c r="D3" s="308">
        <v>14167</v>
      </c>
      <c r="E3" s="308">
        <v>17287.87</v>
      </c>
      <c r="F3" s="308">
        <v>19847.94</v>
      </c>
      <c r="G3" s="308">
        <v>23442.4</v>
      </c>
      <c r="I3" s="308">
        <v>3658</v>
      </c>
      <c r="J3" s="308">
        <v>5027</v>
      </c>
      <c r="K3" s="308">
        <v>6263</v>
      </c>
      <c r="L3" s="308">
        <v>7822.9</v>
      </c>
      <c r="M3" s="308">
        <v>10750.8</v>
      </c>
      <c r="N3" s="308">
        <v>15761.6</v>
      </c>
      <c r="P3" s="308"/>
      <c r="Q3" s="308"/>
      <c r="R3" s="310">
        <f>SUM(R4:R35)</f>
        <v>2159.6201</v>
      </c>
      <c r="S3" s="310">
        <f>SUM(S4:S35)</f>
        <v>2526.7</v>
      </c>
      <c r="U3" s="308" t="s">
        <v>538</v>
      </c>
      <c r="V3" s="308" t="str">
        <f t="shared" ref="V3:V30" si="0">VLOOKUP("*"&amp;U3&amp;"*",A$3:A$35,1,FALSE)</f>
        <v>北京市</v>
      </c>
      <c r="W3" s="311">
        <v>5.2133295</v>
      </c>
      <c r="X3" s="311">
        <v>0.9214</v>
      </c>
      <c r="Y3" s="311">
        <v>11.5264</v>
      </c>
    </row>
    <row r="4" spans="1:25">
      <c r="A4" s="308" t="s">
        <v>82</v>
      </c>
      <c r="B4" s="308">
        <v>3</v>
      </c>
      <c r="C4" s="308">
        <v>5</v>
      </c>
      <c r="D4" s="308">
        <v>5</v>
      </c>
      <c r="E4" s="308">
        <v>5.1</v>
      </c>
      <c r="F4" s="308">
        <v>5.1</v>
      </c>
      <c r="G4" s="308">
        <v>5.1</v>
      </c>
      <c r="I4" s="308">
        <v>22</v>
      </c>
      <c r="J4" s="308">
        <v>35</v>
      </c>
      <c r="K4" s="308">
        <v>46</v>
      </c>
      <c r="L4" s="308">
        <v>56.4</v>
      </c>
      <c r="M4" s="308">
        <v>75</v>
      </c>
      <c r="N4" s="308">
        <v>90.2</v>
      </c>
      <c r="P4" s="308"/>
      <c r="Q4" s="308"/>
      <c r="R4" s="310">
        <f t="shared" ref="R4:R28" si="1">VLOOKUP(A4,V$3:Y$36,4,FALSE)</f>
        <v>11.5264</v>
      </c>
      <c r="S4" s="310">
        <v>3.4</v>
      </c>
      <c r="U4" s="308" t="s">
        <v>539</v>
      </c>
      <c r="V4" s="308" t="str">
        <f t="shared" si="0"/>
        <v>天津市</v>
      </c>
      <c r="W4" s="311">
        <v>0.8113385</v>
      </c>
      <c r="X4" s="311">
        <v>1.2011</v>
      </c>
      <c r="Y4" s="311">
        <v>2.7859</v>
      </c>
    </row>
    <row r="5" spans="1:25">
      <c r="A5" s="308" t="s">
        <v>84</v>
      </c>
      <c r="B5" s="308">
        <v>53</v>
      </c>
      <c r="C5" s="308">
        <v>97</v>
      </c>
      <c r="D5" s="308">
        <v>104</v>
      </c>
      <c r="E5" s="308">
        <v>118.84</v>
      </c>
      <c r="F5" s="308">
        <v>118.85</v>
      </c>
      <c r="G5" s="308">
        <v>121.7</v>
      </c>
      <c r="I5" s="308">
        <v>15</v>
      </c>
      <c r="J5" s="308">
        <v>31</v>
      </c>
      <c r="K5" s="308">
        <v>38</v>
      </c>
      <c r="L5" s="308">
        <v>44.7</v>
      </c>
      <c r="M5" s="308">
        <v>58.9</v>
      </c>
      <c r="N5" s="308">
        <v>98.9</v>
      </c>
      <c r="P5" s="308"/>
      <c r="Q5" s="308"/>
      <c r="R5" s="310">
        <f t="shared" si="1"/>
        <v>2.7859</v>
      </c>
      <c r="S5" s="310">
        <v>10.1</v>
      </c>
      <c r="U5" s="308" t="s">
        <v>540</v>
      </c>
      <c r="V5" s="308" t="str">
        <f t="shared" si="0"/>
        <v>河北省</v>
      </c>
      <c r="W5" s="311">
        <v>83.680125</v>
      </c>
      <c r="X5" s="311">
        <v>215.4475</v>
      </c>
      <c r="Y5" s="311">
        <v>534.0746</v>
      </c>
    </row>
    <row r="6" spans="1:25">
      <c r="A6" s="308" t="s">
        <v>86</v>
      </c>
      <c r="B6" s="308">
        <v>517</v>
      </c>
      <c r="C6" s="308">
        <v>856</v>
      </c>
      <c r="D6" s="308">
        <v>962</v>
      </c>
      <c r="E6" s="308">
        <v>1445.52</v>
      </c>
      <c r="F6" s="308">
        <v>1658.84</v>
      </c>
      <c r="G6" s="308">
        <v>1994.1</v>
      </c>
      <c r="I6" s="308">
        <v>351</v>
      </c>
      <c r="J6" s="308">
        <v>378</v>
      </c>
      <c r="K6" s="308">
        <v>512</v>
      </c>
      <c r="L6" s="308">
        <v>745.8</v>
      </c>
      <c r="M6" s="308">
        <v>1262.5</v>
      </c>
      <c r="N6" s="308">
        <v>1861.2</v>
      </c>
      <c r="P6" s="308"/>
      <c r="Q6" s="308"/>
      <c r="R6" s="310">
        <f t="shared" si="1"/>
        <v>534.0746</v>
      </c>
      <c r="S6" s="310">
        <v>506.2</v>
      </c>
      <c r="U6" s="308" t="s">
        <v>541</v>
      </c>
      <c r="V6" s="308" t="e">
        <f t="shared" si="0"/>
        <v>#N/A</v>
      </c>
      <c r="W6" s="311">
        <v>70.134719</v>
      </c>
      <c r="X6" s="311">
        <v>195.6079</v>
      </c>
      <c r="Y6" s="311">
        <v>476.9627</v>
      </c>
    </row>
    <row r="7" spans="1:25">
      <c r="A7" s="308" t="s">
        <v>88</v>
      </c>
      <c r="B7" s="308">
        <v>530</v>
      </c>
      <c r="C7" s="308">
        <v>681</v>
      </c>
      <c r="D7" s="308">
        <v>857</v>
      </c>
      <c r="E7" s="308">
        <v>1028.32</v>
      </c>
      <c r="F7" s="308">
        <v>1101.84</v>
      </c>
      <c r="G7" s="308">
        <v>1257</v>
      </c>
      <c r="I7" s="308">
        <v>60</v>
      </c>
      <c r="J7" s="308">
        <v>183</v>
      </c>
      <c r="K7" s="308">
        <v>231</v>
      </c>
      <c r="L7" s="308">
        <v>280.2</v>
      </c>
      <c r="M7" s="308">
        <v>355.9</v>
      </c>
      <c r="N7" s="308">
        <v>438.7</v>
      </c>
      <c r="P7" s="308"/>
      <c r="Q7" s="308"/>
      <c r="R7" s="310">
        <f t="shared" si="1"/>
        <v>74.2915</v>
      </c>
      <c r="S7" s="310">
        <v>76</v>
      </c>
      <c r="U7" s="308" t="s">
        <v>542</v>
      </c>
      <c r="V7" s="308" t="e">
        <f t="shared" si="0"/>
        <v>#N/A</v>
      </c>
      <c r="W7" s="311">
        <v>13.545406</v>
      </c>
      <c r="X7" s="311">
        <v>19.8396</v>
      </c>
      <c r="Y7" s="311">
        <v>57.1119</v>
      </c>
    </row>
    <row r="8" spans="1:25">
      <c r="A8" s="308" t="s">
        <v>90</v>
      </c>
      <c r="B8" s="308">
        <v>741</v>
      </c>
      <c r="C8" s="308">
        <v>933</v>
      </c>
      <c r="D8" s="308">
        <v>1001</v>
      </c>
      <c r="E8" s="308">
        <v>1138</v>
      </c>
      <c r="F8" s="308">
        <v>1299.5</v>
      </c>
      <c r="G8" s="308">
        <v>1429.6</v>
      </c>
      <c r="I8" s="308">
        <v>2</v>
      </c>
      <c r="J8" s="308">
        <v>13</v>
      </c>
      <c r="K8" s="308">
        <v>80</v>
      </c>
      <c r="L8" s="308">
        <v>90.1</v>
      </c>
      <c r="M8" s="308">
        <v>102.5</v>
      </c>
      <c r="N8" s="308">
        <v>121.2</v>
      </c>
      <c r="P8" s="308"/>
      <c r="Q8" s="308"/>
      <c r="R8" s="310">
        <f t="shared" si="1"/>
        <v>5.3501</v>
      </c>
      <c r="S8" s="310">
        <v>6.2</v>
      </c>
      <c r="U8" s="308" t="s">
        <v>203</v>
      </c>
      <c r="V8" s="308" t="str">
        <f t="shared" si="0"/>
        <v>山西省</v>
      </c>
      <c r="W8" s="311">
        <v>27.1894047</v>
      </c>
      <c r="X8" s="311">
        <v>45.8052</v>
      </c>
      <c r="Y8" s="311">
        <v>74.2915</v>
      </c>
    </row>
    <row r="9" spans="1:25">
      <c r="A9" s="308" t="s">
        <v>92</v>
      </c>
      <c r="B9" s="308">
        <v>185</v>
      </c>
      <c r="C9" s="308">
        <v>219</v>
      </c>
      <c r="D9" s="308">
        <v>246</v>
      </c>
      <c r="E9" s="308">
        <v>281.89</v>
      </c>
      <c r="F9" s="308">
        <v>317.5</v>
      </c>
      <c r="G9" s="308">
        <v>381.3</v>
      </c>
      <c r="I9" s="308">
        <v>38</v>
      </c>
      <c r="J9" s="308">
        <v>83</v>
      </c>
      <c r="K9" s="308">
        <v>97</v>
      </c>
      <c r="L9" s="308">
        <v>117.9</v>
      </c>
      <c r="M9" s="308">
        <v>160</v>
      </c>
      <c r="N9" s="308">
        <v>219.3</v>
      </c>
      <c r="P9" s="308"/>
      <c r="Q9" s="308"/>
      <c r="R9" s="310">
        <f t="shared" si="1"/>
        <v>29.1297</v>
      </c>
      <c r="S9" s="310">
        <v>23</v>
      </c>
      <c r="U9" s="308" t="s">
        <v>208</v>
      </c>
      <c r="V9" s="308" t="str">
        <f t="shared" si="0"/>
        <v>内蒙古自治区</v>
      </c>
      <c r="W9" s="311">
        <v>3.944412</v>
      </c>
      <c r="X9" s="311">
        <v>1.9904</v>
      </c>
      <c r="Y9" s="311">
        <v>5.3501</v>
      </c>
    </row>
    <row r="10" spans="1:25">
      <c r="A10" s="308" t="s">
        <v>94</v>
      </c>
      <c r="B10" s="308">
        <v>107</v>
      </c>
      <c r="C10" s="308">
        <v>203</v>
      </c>
      <c r="D10" s="308">
        <v>205</v>
      </c>
      <c r="E10" s="308">
        <v>260.91</v>
      </c>
      <c r="F10" s="308">
        <v>265.79</v>
      </c>
      <c r="G10" s="308">
        <v>294.6</v>
      </c>
      <c r="I10" s="308">
        <v>52</v>
      </c>
      <c r="J10" s="308">
        <v>62</v>
      </c>
      <c r="K10" s="308">
        <v>69</v>
      </c>
      <c r="L10" s="308">
        <v>76</v>
      </c>
      <c r="M10" s="308">
        <v>80.1</v>
      </c>
      <c r="N10" s="308">
        <v>92</v>
      </c>
      <c r="P10" s="308"/>
      <c r="Q10" s="308"/>
      <c r="R10" s="310">
        <f t="shared" si="1"/>
        <v>4.9921</v>
      </c>
      <c r="S10" s="310">
        <v>2.4</v>
      </c>
      <c r="U10" s="308" t="s">
        <v>543</v>
      </c>
      <c r="V10" s="308" t="e">
        <f t="shared" si="0"/>
        <v>#N/A</v>
      </c>
      <c r="W10" s="311">
        <v>0.170354</v>
      </c>
      <c r="X10" s="311">
        <v>0.7594</v>
      </c>
      <c r="Y10" s="311">
        <v>1.2772</v>
      </c>
    </row>
    <row r="11" spans="1:25">
      <c r="A11" s="308" t="s">
        <v>96</v>
      </c>
      <c r="B11" s="308">
        <v>64</v>
      </c>
      <c r="C11" s="308">
        <v>141</v>
      </c>
      <c r="D11" s="308">
        <v>195</v>
      </c>
      <c r="E11" s="308">
        <v>234.99</v>
      </c>
      <c r="F11" s="308">
        <v>329.99</v>
      </c>
      <c r="G11" s="308">
        <v>366.9</v>
      </c>
      <c r="I11" s="308">
        <v>30</v>
      </c>
      <c r="J11" s="308">
        <v>74</v>
      </c>
      <c r="K11" s="308">
        <v>80</v>
      </c>
      <c r="L11" s="308">
        <v>82.7</v>
      </c>
      <c r="M11" s="308">
        <v>89.8</v>
      </c>
      <c r="N11" s="308">
        <v>108.4</v>
      </c>
      <c r="P11" s="308"/>
      <c r="Q11" s="308"/>
      <c r="R11" s="310">
        <f t="shared" si="1"/>
        <v>2.2025</v>
      </c>
      <c r="S11" s="310">
        <v>3.9</v>
      </c>
      <c r="U11" s="308" t="s">
        <v>544</v>
      </c>
      <c r="V11" s="308" t="e">
        <f t="shared" si="0"/>
        <v>#N/A</v>
      </c>
      <c r="W11" s="311">
        <v>3.774058</v>
      </c>
      <c r="X11" s="311">
        <v>1.231</v>
      </c>
      <c r="Y11" s="311">
        <v>4.0729</v>
      </c>
    </row>
    <row r="12" spans="1:25">
      <c r="A12" s="308" t="s">
        <v>98</v>
      </c>
      <c r="B12" s="308">
        <v>0</v>
      </c>
      <c r="C12" s="308">
        <v>7</v>
      </c>
      <c r="D12" s="308">
        <v>6</v>
      </c>
      <c r="E12" s="308">
        <v>19.7</v>
      </c>
      <c r="F12" s="308">
        <v>24.09</v>
      </c>
      <c r="G12" s="308">
        <v>24</v>
      </c>
      <c r="I12" s="308">
        <v>59</v>
      </c>
      <c r="J12" s="308">
        <v>82</v>
      </c>
      <c r="K12" s="308">
        <v>103</v>
      </c>
      <c r="L12" s="308">
        <v>116.9</v>
      </c>
      <c r="M12" s="308">
        <v>144.2</v>
      </c>
      <c r="N12" s="308">
        <v>170.9</v>
      </c>
      <c r="P12" s="308"/>
      <c r="Q12" s="308"/>
      <c r="R12" s="310">
        <f t="shared" si="1"/>
        <v>1.8567</v>
      </c>
      <c r="S12" s="310">
        <v>1.3</v>
      </c>
      <c r="U12" s="308" t="s">
        <v>212</v>
      </c>
      <c r="V12" s="308" t="str">
        <f t="shared" si="0"/>
        <v>辽宁省</v>
      </c>
      <c r="W12" s="311">
        <v>6.830905</v>
      </c>
      <c r="X12" s="311">
        <v>14.6679</v>
      </c>
      <c r="Y12" s="311">
        <v>29.1297</v>
      </c>
    </row>
    <row r="13" spans="1:25">
      <c r="A13" s="308" t="s">
        <v>100</v>
      </c>
      <c r="B13" s="308">
        <v>580</v>
      </c>
      <c r="C13" s="308">
        <v>792</v>
      </c>
      <c r="D13" s="308">
        <v>821</v>
      </c>
      <c r="E13" s="308">
        <v>895.91</v>
      </c>
      <c r="F13" s="308">
        <v>941.08</v>
      </c>
      <c r="G13" s="308">
        <v>953.3</v>
      </c>
      <c r="I13" s="308">
        <v>327</v>
      </c>
      <c r="J13" s="308">
        <v>540</v>
      </c>
      <c r="K13" s="308">
        <v>665</v>
      </c>
      <c r="L13" s="308">
        <v>788.1</v>
      </c>
      <c r="M13" s="308">
        <v>974.9</v>
      </c>
      <c r="N13" s="308">
        <v>1555.2</v>
      </c>
      <c r="P13" s="308"/>
      <c r="Q13" s="308"/>
      <c r="R13" s="310">
        <f t="shared" si="1"/>
        <v>43.9746</v>
      </c>
      <c r="S13" s="310">
        <v>151.4</v>
      </c>
      <c r="U13" s="308" t="s">
        <v>545</v>
      </c>
      <c r="V13" s="308" t="str">
        <f t="shared" si="0"/>
        <v>吉林省</v>
      </c>
      <c r="W13" s="311">
        <v>2.996705</v>
      </c>
      <c r="X13" s="311">
        <v>6.0682</v>
      </c>
      <c r="Y13" s="311">
        <v>4.9921</v>
      </c>
    </row>
    <row r="14" spans="1:25">
      <c r="A14" s="308" t="s">
        <v>102</v>
      </c>
      <c r="B14" s="308">
        <v>315</v>
      </c>
      <c r="C14" s="308">
        <v>361</v>
      </c>
      <c r="D14" s="308">
        <v>414</v>
      </c>
      <c r="E14" s="308">
        <v>412.17</v>
      </c>
      <c r="F14" s="308">
        <v>577.03</v>
      </c>
      <c r="G14" s="308">
        <v>613.4</v>
      </c>
      <c r="I14" s="308">
        <v>499</v>
      </c>
      <c r="J14" s="308">
        <v>777</v>
      </c>
      <c r="K14" s="308">
        <v>925</v>
      </c>
      <c r="L14" s="308">
        <v>1067.2</v>
      </c>
      <c r="M14" s="308">
        <v>1264.8</v>
      </c>
      <c r="N14" s="308">
        <v>1925.5</v>
      </c>
      <c r="P14" s="308"/>
      <c r="Q14" s="308"/>
      <c r="R14" s="310">
        <f t="shared" si="1"/>
        <v>17.2588</v>
      </c>
      <c r="S14" s="310">
        <v>11.2</v>
      </c>
      <c r="U14" s="308" t="s">
        <v>546</v>
      </c>
      <c r="V14" s="308" t="str">
        <f t="shared" si="0"/>
        <v>黑龙江省</v>
      </c>
      <c r="W14" s="311">
        <v>1.837046</v>
      </c>
      <c r="X14" s="311">
        <v>1.6807</v>
      </c>
      <c r="Y14" s="311">
        <v>2.2025</v>
      </c>
    </row>
    <row r="15" spans="1:25">
      <c r="A15" s="308" t="s">
        <v>104</v>
      </c>
      <c r="B15" s="308">
        <v>565</v>
      </c>
      <c r="C15" s="308">
        <v>677</v>
      </c>
      <c r="D15" s="308">
        <v>773</v>
      </c>
      <c r="E15" s="308">
        <v>825.56</v>
      </c>
      <c r="F15" s="308">
        <v>947.02</v>
      </c>
      <c r="G15" s="308">
        <v>1063.8</v>
      </c>
      <c r="I15" s="308">
        <v>323</v>
      </c>
      <c r="J15" s="308">
        <v>441</v>
      </c>
      <c r="K15" s="308">
        <v>480</v>
      </c>
      <c r="L15" s="308">
        <v>544.1</v>
      </c>
      <c r="M15" s="308">
        <v>759.8</v>
      </c>
      <c r="N15" s="308">
        <v>1090.3</v>
      </c>
      <c r="P15" s="308"/>
      <c r="Q15" s="308"/>
      <c r="R15" s="310">
        <f t="shared" si="1"/>
        <v>137.238</v>
      </c>
      <c r="S15" s="310">
        <v>251</v>
      </c>
      <c r="U15" s="308" t="s">
        <v>215</v>
      </c>
      <c r="V15" s="308" t="str">
        <f t="shared" si="0"/>
        <v>上海市</v>
      </c>
      <c r="W15" s="311">
        <v>4.3568</v>
      </c>
      <c r="X15" s="311">
        <v>1.2889</v>
      </c>
      <c r="Y15" s="311">
        <v>1.8567</v>
      </c>
    </row>
    <row r="16" spans="1:25">
      <c r="A16" s="308" t="s">
        <v>106</v>
      </c>
      <c r="B16" s="308">
        <v>0</v>
      </c>
      <c r="C16" s="308">
        <v>37</v>
      </c>
      <c r="D16" s="308">
        <v>38</v>
      </c>
      <c r="E16" s="308">
        <v>37.8</v>
      </c>
      <c r="F16" s="308">
        <v>39.16</v>
      </c>
      <c r="G16" s="308">
        <v>39.2</v>
      </c>
      <c r="I16" s="308">
        <v>109</v>
      </c>
      <c r="J16" s="308">
        <v>111</v>
      </c>
      <c r="K16" s="308">
        <v>131</v>
      </c>
      <c r="L16" s="308">
        <v>164.3</v>
      </c>
      <c r="M16" s="308">
        <v>237.9</v>
      </c>
      <c r="N16" s="308">
        <v>425.8</v>
      </c>
      <c r="P16" s="308"/>
      <c r="Q16" s="308"/>
      <c r="R16" s="310">
        <f t="shared" si="1"/>
        <v>47.4288</v>
      </c>
      <c r="S16" s="310">
        <v>79.8</v>
      </c>
      <c r="U16" s="308" t="s">
        <v>219</v>
      </c>
      <c r="V16" s="308" t="str">
        <f t="shared" si="0"/>
        <v>江苏省</v>
      </c>
      <c r="W16" s="311">
        <v>21.9778144</v>
      </c>
      <c r="X16" s="311">
        <v>23.2824</v>
      </c>
      <c r="Y16" s="311">
        <v>43.9746</v>
      </c>
    </row>
    <row r="17" spans="1:25">
      <c r="A17" s="308" t="s">
        <v>108</v>
      </c>
      <c r="B17" s="308">
        <v>277</v>
      </c>
      <c r="C17" s="308">
        <v>294</v>
      </c>
      <c r="D17" s="308">
        <v>367</v>
      </c>
      <c r="E17" s="308">
        <v>476.66</v>
      </c>
      <c r="F17" s="308">
        <v>551.95</v>
      </c>
      <c r="G17" s="308">
        <v>695.1</v>
      </c>
      <c r="I17" s="308">
        <v>172</v>
      </c>
      <c r="J17" s="308">
        <v>242</v>
      </c>
      <c r="K17" s="308">
        <v>263</v>
      </c>
      <c r="L17" s="308">
        <v>299.2</v>
      </c>
      <c r="M17" s="308">
        <v>359.2</v>
      </c>
      <c r="N17" s="308">
        <v>506.7</v>
      </c>
      <c r="P17" s="308"/>
      <c r="Q17" s="308"/>
      <c r="R17" s="310">
        <f t="shared" si="1"/>
        <v>49.0241</v>
      </c>
      <c r="S17" s="310">
        <v>96.6</v>
      </c>
      <c r="U17" s="308" t="s">
        <v>547</v>
      </c>
      <c r="V17" s="308" t="str">
        <f t="shared" si="0"/>
        <v>浙江省</v>
      </c>
      <c r="W17" s="311">
        <v>38.9471</v>
      </c>
      <c r="X17" s="311">
        <v>23.759</v>
      </c>
      <c r="Y17" s="311">
        <v>17.2588</v>
      </c>
    </row>
    <row r="18" spans="1:25">
      <c r="A18" s="308" t="s">
        <v>110</v>
      </c>
      <c r="B18" s="308">
        <v>578</v>
      </c>
      <c r="C18" s="308">
        <v>648</v>
      </c>
      <c r="D18" s="308">
        <v>677</v>
      </c>
      <c r="E18" s="308">
        <v>805.02</v>
      </c>
      <c r="F18" s="308">
        <v>1008.97</v>
      </c>
      <c r="G18" s="308">
        <v>1249.7</v>
      </c>
      <c r="I18" s="308">
        <v>474</v>
      </c>
      <c r="J18" s="308">
        <v>713</v>
      </c>
      <c r="K18" s="308">
        <v>943</v>
      </c>
      <c r="L18" s="308">
        <v>1467.4</v>
      </c>
      <c r="M18" s="308">
        <v>2334.4</v>
      </c>
      <c r="N18" s="308">
        <v>3020.2</v>
      </c>
      <c r="P18" s="308"/>
      <c r="Q18" s="308"/>
      <c r="R18" s="310">
        <f t="shared" si="1"/>
        <v>763.2183</v>
      </c>
      <c r="S18" s="310">
        <v>426.5</v>
      </c>
      <c r="U18" s="308" t="s">
        <v>223</v>
      </c>
      <c r="V18" s="308" t="str">
        <f t="shared" si="0"/>
        <v>安徽省</v>
      </c>
      <c r="W18" s="311">
        <v>18.276901</v>
      </c>
      <c r="X18" s="311">
        <v>34.9132</v>
      </c>
      <c r="Y18" s="311">
        <v>137.238</v>
      </c>
    </row>
    <row r="19" spans="1:25">
      <c r="A19" s="308" t="s">
        <v>112</v>
      </c>
      <c r="B19" s="308">
        <v>492</v>
      </c>
      <c r="C19" s="308">
        <v>600</v>
      </c>
      <c r="D19" s="308">
        <v>600</v>
      </c>
      <c r="E19" s="308">
        <v>603.85</v>
      </c>
      <c r="F19" s="308">
        <v>625.8</v>
      </c>
      <c r="G19" s="308">
        <v>628.8</v>
      </c>
      <c r="I19" s="308">
        <v>211</v>
      </c>
      <c r="J19" s="308">
        <v>391</v>
      </c>
      <c r="K19" s="308">
        <v>454</v>
      </c>
      <c r="L19" s="308">
        <v>570.8</v>
      </c>
      <c r="M19" s="308">
        <v>929.8</v>
      </c>
      <c r="N19" s="308">
        <v>1704.2</v>
      </c>
      <c r="P19" s="308"/>
      <c r="Q19" s="308"/>
      <c r="R19" s="310">
        <f t="shared" si="1"/>
        <v>343.2272</v>
      </c>
      <c r="S19" s="310">
        <v>691.3</v>
      </c>
      <c r="U19" s="308" t="s">
        <v>548</v>
      </c>
      <c r="V19" s="308" t="str">
        <f t="shared" si="0"/>
        <v>福建省</v>
      </c>
      <c r="W19" s="311">
        <v>10.334</v>
      </c>
      <c r="X19" s="311">
        <v>19.7597</v>
      </c>
      <c r="Y19" s="311">
        <v>47.4288</v>
      </c>
    </row>
    <row r="20" spans="1:25">
      <c r="A20" s="308" t="s">
        <v>114</v>
      </c>
      <c r="B20" s="308">
        <v>236</v>
      </c>
      <c r="C20" s="308">
        <v>335</v>
      </c>
      <c r="D20" s="308">
        <v>420</v>
      </c>
      <c r="E20" s="308">
        <v>485.66</v>
      </c>
      <c r="F20" s="308">
        <v>713</v>
      </c>
      <c r="G20" s="308">
        <v>975.6</v>
      </c>
      <c r="I20" s="308">
        <v>177</v>
      </c>
      <c r="J20" s="308">
        <v>175</v>
      </c>
      <c r="K20" s="308">
        <v>201</v>
      </c>
      <c r="L20" s="308">
        <v>211.9</v>
      </c>
      <c r="M20" s="308">
        <v>239.6</v>
      </c>
      <c r="N20" s="308">
        <v>340.1</v>
      </c>
      <c r="P20" s="308"/>
      <c r="Q20" s="308"/>
      <c r="R20" s="310">
        <f t="shared" si="1"/>
        <v>7.3506</v>
      </c>
      <c r="S20" s="310">
        <v>33.1</v>
      </c>
      <c r="U20" s="308" t="s">
        <v>258</v>
      </c>
      <c r="V20" s="308" t="str">
        <f t="shared" si="0"/>
        <v>江西省</v>
      </c>
      <c r="W20" s="311">
        <v>9.8245</v>
      </c>
      <c r="X20" s="311">
        <v>14.8327</v>
      </c>
      <c r="Y20" s="311">
        <v>49.0241</v>
      </c>
    </row>
    <row r="21" spans="1:25">
      <c r="A21" s="308" t="s">
        <v>116</v>
      </c>
      <c r="B21" s="308">
        <v>86</v>
      </c>
      <c r="C21" s="308">
        <v>126</v>
      </c>
      <c r="D21" s="308">
        <v>155</v>
      </c>
      <c r="E21" s="308">
        <v>190.62</v>
      </c>
      <c r="F21" s="308">
        <v>220.15</v>
      </c>
      <c r="G21" s="308">
        <v>286.1</v>
      </c>
      <c r="I21" s="308">
        <v>90</v>
      </c>
      <c r="J21" s="308">
        <v>166</v>
      </c>
      <c r="K21" s="308">
        <v>189</v>
      </c>
      <c r="L21" s="308">
        <v>200.1</v>
      </c>
      <c r="M21" s="308">
        <v>231</v>
      </c>
      <c r="N21" s="308">
        <v>349.8</v>
      </c>
      <c r="P21" s="308"/>
      <c r="Q21" s="308"/>
      <c r="R21" s="310">
        <f t="shared" si="1"/>
        <v>19.0448</v>
      </c>
      <c r="S21" s="310">
        <v>66.5</v>
      </c>
      <c r="U21" s="308" t="s">
        <v>227</v>
      </c>
      <c r="V21" s="308" t="str">
        <f t="shared" si="0"/>
        <v>山东省</v>
      </c>
      <c r="W21" s="311">
        <v>189.7268151</v>
      </c>
      <c r="X21" s="311">
        <v>457.5407</v>
      </c>
      <c r="Y21" s="311">
        <v>763.2183</v>
      </c>
    </row>
    <row r="22" spans="1:25">
      <c r="A22" s="308" t="s">
        <v>118</v>
      </c>
      <c r="B22" s="308">
        <v>210</v>
      </c>
      <c r="C22" s="308">
        <v>318</v>
      </c>
      <c r="D22" s="308">
        <v>302</v>
      </c>
      <c r="E22" s="308">
        <v>408.82</v>
      </c>
      <c r="F22" s="308">
        <v>508.2</v>
      </c>
      <c r="G22" s="308">
        <v>753.4</v>
      </c>
      <c r="I22" s="308">
        <v>122</v>
      </c>
      <c r="J22" s="308">
        <v>209</v>
      </c>
      <c r="K22" s="308">
        <v>308</v>
      </c>
      <c r="L22" s="308">
        <v>384.9</v>
      </c>
      <c r="M22" s="308">
        <v>511.9</v>
      </c>
      <c r="N22" s="308">
        <v>836.8</v>
      </c>
      <c r="P22" s="308"/>
      <c r="Q22" s="308"/>
      <c r="R22" s="310">
        <f t="shared" si="1"/>
        <v>31.1558</v>
      </c>
      <c r="S22" s="310">
        <v>42.1</v>
      </c>
      <c r="U22" s="308" t="s">
        <v>549</v>
      </c>
      <c r="V22" s="308" t="str">
        <f t="shared" si="0"/>
        <v>河南省</v>
      </c>
      <c r="W22" s="311">
        <v>48.2795</v>
      </c>
      <c r="X22" s="311">
        <v>105.3314</v>
      </c>
      <c r="Y22" s="311">
        <v>343.2272</v>
      </c>
    </row>
    <row r="23" spans="1:25">
      <c r="A23" s="308" t="s">
        <v>120</v>
      </c>
      <c r="B23" s="308">
        <v>51</v>
      </c>
      <c r="C23" s="308">
        <v>95</v>
      </c>
      <c r="D23" s="308">
        <v>105</v>
      </c>
      <c r="E23" s="308">
        <v>162.46</v>
      </c>
      <c r="F23" s="308">
        <v>259.16</v>
      </c>
      <c r="G23" s="308">
        <v>437.3</v>
      </c>
      <c r="I23" s="308">
        <v>27</v>
      </c>
      <c r="J23" s="308">
        <v>29</v>
      </c>
      <c r="K23" s="308">
        <v>30</v>
      </c>
      <c r="L23" s="308">
        <v>42.7</v>
      </c>
      <c r="M23" s="308">
        <v>52.6</v>
      </c>
      <c r="N23" s="308">
        <v>83</v>
      </c>
      <c r="P23" s="308"/>
      <c r="Q23" s="308"/>
      <c r="R23" s="310">
        <f t="shared" si="1"/>
        <v>2.8014</v>
      </c>
      <c r="S23" s="310">
        <v>2.2</v>
      </c>
      <c r="U23" s="308" t="s">
        <v>231</v>
      </c>
      <c r="V23" s="308" t="str">
        <f t="shared" si="0"/>
        <v>湖北省</v>
      </c>
      <c r="W23" s="311">
        <v>5.0883676</v>
      </c>
      <c r="X23" s="311">
        <v>3.005</v>
      </c>
      <c r="Y23" s="311">
        <v>7.3506</v>
      </c>
    </row>
    <row r="24" spans="1:25">
      <c r="A24" s="308" t="s">
        <v>122</v>
      </c>
      <c r="B24" s="308">
        <v>32</v>
      </c>
      <c r="C24" s="308">
        <v>123</v>
      </c>
      <c r="D24" s="308">
        <v>127</v>
      </c>
      <c r="E24" s="308">
        <v>108.01</v>
      </c>
      <c r="F24" s="308">
        <v>127.1</v>
      </c>
      <c r="G24" s="308">
        <v>199.7</v>
      </c>
      <c r="I24" s="308">
        <v>11</v>
      </c>
      <c r="J24" s="308">
        <v>13</v>
      </c>
      <c r="K24" s="308">
        <v>13</v>
      </c>
      <c r="L24" s="308">
        <v>12.6</v>
      </c>
      <c r="M24" s="308">
        <v>19.4</v>
      </c>
      <c r="N24" s="308">
        <v>46.1</v>
      </c>
      <c r="P24" s="308"/>
      <c r="Q24" s="308"/>
      <c r="R24" s="310">
        <f t="shared" si="1"/>
        <v>1.5194</v>
      </c>
      <c r="S24" s="310">
        <v>3.7</v>
      </c>
      <c r="U24" s="308" t="s">
        <v>550</v>
      </c>
      <c r="V24" s="308" t="str">
        <f t="shared" si="0"/>
        <v>湖南省</v>
      </c>
      <c r="W24" s="311">
        <v>9.8826625</v>
      </c>
      <c r="X24" s="311">
        <v>7.2949</v>
      </c>
      <c r="Y24" s="311">
        <v>19.0448</v>
      </c>
    </row>
    <row r="25" spans="1:25">
      <c r="A25" s="308" t="s">
        <v>124</v>
      </c>
      <c r="B25" s="308">
        <v>11</v>
      </c>
      <c r="C25" s="308">
        <v>39</v>
      </c>
      <c r="D25" s="308">
        <v>58</v>
      </c>
      <c r="E25" s="308">
        <v>49.17</v>
      </c>
      <c r="F25" s="308">
        <v>54.17</v>
      </c>
      <c r="G25" s="308">
        <v>54.2</v>
      </c>
      <c r="I25" s="308">
        <v>2</v>
      </c>
      <c r="J25" s="308">
        <v>4</v>
      </c>
      <c r="K25" s="308">
        <v>7</v>
      </c>
      <c r="L25" s="308">
        <v>7.4</v>
      </c>
      <c r="M25" s="308">
        <v>9.2</v>
      </c>
      <c r="N25" s="308">
        <v>15.1</v>
      </c>
      <c r="P25" s="308"/>
      <c r="Q25" s="308"/>
      <c r="R25" s="310">
        <f t="shared" si="1"/>
        <v>0.3459</v>
      </c>
      <c r="S25" s="310">
        <v>0.8</v>
      </c>
      <c r="U25" s="308" t="s">
        <v>551</v>
      </c>
      <c r="V25" s="308" t="str">
        <f t="shared" si="0"/>
        <v>重庆市</v>
      </c>
      <c r="W25" s="311">
        <v>0.391229</v>
      </c>
      <c r="X25" s="311">
        <v>0.176</v>
      </c>
      <c r="Y25" s="311">
        <v>0.3459</v>
      </c>
    </row>
    <row r="26" spans="1:25">
      <c r="A26" s="308" t="s">
        <v>126</v>
      </c>
      <c r="B26" s="308">
        <v>116</v>
      </c>
      <c r="C26" s="308">
        <v>168</v>
      </c>
      <c r="D26" s="308">
        <v>169</v>
      </c>
      <c r="E26" s="308">
        <v>169.01</v>
      </c>
      <c r="F26" s="308">
        <v>169.01</v>
      </c>
      <c r="G26" s="308">
        <v>173</v>
      </c>
      <c r="I26" s="308">
        <v>19</v>
      </c>
      <c r="J26" s="308">
        <v>13</v>
      </c>
      <c r="K26" s="308">
        <v>19</v>
      </c>
      <c r="L26" s="308">
        <v>22.1</v>
      </c>
      <c r="M26" s="308">
        <v>26.9</v>
      </c>
      <c r="N26" s="308">
        <v>33.2</v>
      </c>
      <c r="P26" s="308"/>
      <c r="Q26" s="308"/>
      <c r="R26" s="310">
        <f t="shared" si="1"/>
        <v>3.8123</v>
      </c>
      <c r="S26" s="310">
        <v>2.4</v>
      </c>
      <c r="U26" s="308" t="s">
        <v>254</v>
      </c>
      <c r="V26" s="308" t="str">
        <f t="shared" si="0"/>
        <v>四川省</v>
      </c>
      <c r="W26" s="311">
        <v>1.2946805</v>
      </c>
      <c r="X26" s="311">
        <v>1.9801</v>
      </c>
      <c r="Y26" s="311">
        <v>3.8123</v>
      </c>
    </row>
    <row r="27" spans="1:25">
      <c r="A27" s="308" t="s">
        <v>128</v>
      </c>
      <c r="B27" s="308">
        <v>135</v>
      </c>
      <c r="C27" s="308">
        <v>161</v>
      </c>
      <c r="D27" s="308">
        <v>491</v>
      </c>
      <c r="E27" s="308">
        <v>970.67</v>
      </c>
      <c r="F27" s="308">
        <v>1117.6</v>
      </c>
      <c r="G27" s="308">
        <v>1396.6</v>
      </c>
      <c r="I27" s="308"/>
      <c r="J27" s="308">
        <v>17</v>
      </c>
      <c r="K27" s="308">
        <v>19</v>
      </c>
      <c r="L27" s="308">
        <v>19</v>
      </c>
      <c r="M27" s="308">
        <v>19.4</v>
      </c>
      <c r="N27" s="308">
        <v>23.7</v>
      </c>
      <c r="P27" s="308"/>
      <c r="Q27" s="308"/>
      <c r="R27" s="310">
        <f t="shared" si="1"/>
        <v>0.304</v>
      </c>
      <c r="S27" s="310">
        <v>0.4</v>
      </c>
      <c r="U27" s="308" t="s">
        <v>250</v>
      </c>
      <c r="V27" s="308" t="str">
        <f t="shared" si="0"/>
        <v>陕西省</v>
      </c>
      <c r="W27" s="311">
        <v>6.6805495</v>
      </c>
      <c r="X27" s="311">
        <v>13.5018</v>
      </c>
      <c r="Y27" s="311">
        <v>21.7042</v>
      </c>
    </row>
    <row r="28" spans="1:25">
      <c r="A28" s="308" t="s">
        <v>130</v>
      </c>
      <c r="B28" s="308">
        <v>237.5</v>
      </c>
      <c r="C28" s="308">
        <v>312</v>
      </c>
      <c r="D28" s="308">
        <v>350</v>
      </c>
      <c r="E28" s="308">
        <v>295.43</v>
      </c>
      <c r="F28" s="308">
        <v>349.91</v>
      </c>
      <c r="G28" s="308">
        <v>525.2</v>
      </c>
      <c r="I28" s="308">
        <v>0.5</v>
      </c>
      <c r="J28" s="308">
        <v>14</v>
      </c>
      <c r="K28" s="308">
        <v>25</v>
      </c>
      <c r="L28" s="308">
        <v>38.4</v>
      </c>
      <c r="M28" s="308">
        <v>47.2</v>
      </c>
      <c r="N28" s="308">
        <v>60.1</v>
      </c>
      <c r="P28" s="308"/>
      <c r="Q28" s="308"/>
      <c r="R28" s="310">
        <f t="shared" si="1"/>
        <v>1.7673</v>
      </c>
      <c r="S28" s="310">
        <v>2.3</v>
      </c>
      <c r="U28" s="308" t="s">
        <v>201</v>
      </c>
      <c r="V28" s="308" t="str">
        <f t="shared" si="0"/>
        <v>甘肃省</v>
      </c>
      <c r="W28" s="311">
        <v>3.251883</v>
      </c>
      <c r="X28" s="311">
        <v>0.7275</v>
      </c>
      <c r="Y28" s="311">
        <v>1.0777</v>
      </c>
    </row>
    <row r="29" spans="1:25">
      <c r="A29" s="308" t="s">
        <v>132</v>
      </c>
      <c r="B29" s="308">
        <v>79</v>
      </c>
      <c r="C29" s="308">
        <v>98</v>
      </c>
      <c r="D29" s="308">
        <v>110</v>
      </c>
      <c r="E29" s="308">
        <v>136.26</v>
      </c>
      <c r="F29" s="308">
        <v>136.51</v>
      </c>
      <c r="G29" s="308">
        <v>175.9</v>
      </c>
      <c r="I29" s="308"/>
      <c r="J29" s="308"/>
      <c r="K29" s="308">
        <v>0</v>
      </c>
      <c r="L29" s="308">
        <v>0</v>
      </c>
      <c r="M29" s="308">
        <v>2.2</v>
      </c>
      <c r="N29" s="308">
        <v>2.2</v>
      </c>
      <c r="P29" s="308"/>
      <c r="Q29" s="308"/>
      <c r="R29" s="310"/>
      <c r="S29" s="310">
        <v>0</v>
      </c>
      <c r="U29" s="308" t="s">
        <v>204</v>
      </c>
      <c r="V29" s="308" t="str">
        <f t="shared" si="0"/>
        <v>青海省</v>
      </c>
      <c r="W29" s="311">
        <v>0.5077935</v>
      </c>
      <c r="X29" s="311">
        <v>0.5136</v>
      </c>
      <c r="Y29" s="311">
        <v>0.3517</v>
      </c>
    </row>
    <row r="30" spans="1:25">
      <c r="A30" s="308" t="s">
        <v>134</v>
      </c>
      <c r="B30" s="308">
        <v>484</v>
      </c>
      <c r="C30" s="308">
        <v>640</v>
      </c>
      <c r="D30" s="308">
        <v>778</v>
      </c>
      <c r="E30" s="308">
        <v>893.42</v>
      </c>
      <c r="F30" s="308">
        <v>1102.82</v>
      </c>
      <c r="G30" s="308">
        <v>1193.7</v>
      </c>
      <c r="I30" s="308">
        <v>51</v>
      </c>
      <c r="J30" s="308">
        <v>76</v>
      </c>
      <c r="K30" s="308">
        <v>162</v>
      </c>
      <c r="L30" s="308">
        <v>190.7</v>
      </c>
      <c r="M30" s="308">
        <v>210.9</v>
      </c>
      <c r="N30" s="308">
        <v>322.5</v>
      </c>
      <c r="P30" s="308"/>
      <c r="Q30" s="308"/>
      <c r="R30" s="310">
        <f>VLOOKUP(A30,V$3:Y$36,4,FALSE)</f>
        <v>21.7042</v>
      </c>
      <c r="S30" s="310">
        <v>28.9</v>
      </c>
      <c r="U30" s="308" t="s">
        <v>257</v>
      </c>
      <c r="V30" s="308" t="str">
        <f t="shared" si="0"/>
        <v>宁夏回族自治区</v>
      </c>
      <c r="W30" s="311">
        <v>0.80742</v>
      </c>
      <c r="X30" s="311">
        <v>0.3325</v>
      </c>
      <c r="Y30" s="311">
        <v>0.4052</v>
      </c>
    </row>
    <row r="31" spans="1:25">
      <c r="A31" s="308" t="s">
        <v>136</v>
      </c>
      <c r="B31" s="308">
        <v>768</v>
      </c>
      <c r="C31" s="308">
        <v>790</v>
      </c>
      <c r="D31" s="308">
        <v>836</v>
      </c>
      <c r="E31" s="308">
        <v>891.32</v>
      </c>
      <c r="F31" s="308">
        <v>1047.65</v>
      </c>
      <c r="G31" s="308">
        <v>1310.9</v>
      </c>
      <c r="I31" s="308">
        <v>18</v>
      </c>
      <c r="J31" s="308">
        <v>49</v>
      </c>
      <c r="K31" s="308">
        <v>71</v>
      </c>
      <c r="L31" s="308">
        <v>74</v>
      </c>
      <c r="M31" s="308">
        <v>77.1</v>
      </c>
      <c r="N31" s="308">
        <v>85.5</v>
      </c>
      <c r="P31" s="308"/>
      <c r="Q31" s="308"/>
      <c r="R31" s="310">
        <f>VLOOKUP(A31,V$3:Y$36,4,FALSE)</f>
        <v>1.0777</v>
      </c>
      <c r="S31" s="310">
        <v>1</v>
      </c>
      <c r="U31" s="308" t="s">
        <v>552</v>
      </c>
      <c r="V31" s="308" t="s">
        <v>142</v>
      </c>
      <c r="W31" s="311">
        <v>0.184156</v>
      </c>
      <c r="X31" s="311">
        <v>0.5974</v>
      </c>
      <c r="Y31" s="311">
        <v>0.4005</v>
      </c>
    </row>
    <row r="32" spans="1:25">
      <c r="A32" s="308" t="s">
        <v>138</v>
      </c>
      <c r="B32" s="308">
        <v>786</v>
      </c>
      <c r="C32" s="308">
        <v>952</v>
      </c>
      <c r="D32" s="308">
        <v>1086</v>
      </c>
      <c r="E32" s="308">
        <v>1532.09</v>
      </c>
      <c r="F32" s="308">
        <v>1594.77</v>
      </c>
      <c r="G32" s="308">
        <v>1805.5</v>
      </c>
      <c r="I32" s="308">
        <v>5</v>
      </c>
      <c r="J32" s="308">
        <v>10</v>
      </c>
      <c r="K32" s="308">
        <v>15</v>
      </c>
      <c r="L32" s="308">
        <v>15.7</v>
      </c>
      <c r="M32" s="308">
        <v>16</v>
      </c>
      <c r="N32" s="308">
        <v>15.7</v>
      </c>
      <c r="P32" s="308"/>
      <c r="Q32" s="308"/>
      <c r="R32" s="310">
        <f>VLOOKUP(A32,V$3:Y$36,4,FALSE)</f>
        <v>0.3517</v>
      </c>
      <c r="S32" s="310">
        <v>2.7</v>
      </c>
      <c r="U32" s="308" t="s">
        <v>235</v>
      </c>
      <c r="V32" s="308" t="str">
        <f>VLOOKUP("*"&amp;U32&amp;"*",A$3:A$35,1,FALSE)</f>
        <v>广东省</v>
      </c>
      <c r="W32" s="311">
        <v>20.9154</v>
      </c>
      <c r="X32" s="311">
        <v>12.4418</v>
      </c>
      <c r="Y32" s="311">
        <v>31.1558</v>
      </c>
    </row>
    <row r="33" spans="1:25">
      <c r="A33" s="308" t="s">
        <v>140</v>
      </c>
      <c r="B33" s="308">
        <v>587</v>
      </c>
      <c r="C33" s="308">
        <v>761</v>
      </c>
      <c r="D33" s="308">
        <v>844</v>
      </c>
      <c r="E33" s="308">
        <v>1121.96</v>
      </c>
      <c r="F33" s="308">
        <v>1303.36</v>
      </c>
      <c r="G33" s="308">
        <v>1491.6</v>
      </c>
      <c r="I33" s="308">
        <v>33</v>
      </c>
      <c r="J33" s="308">
        <v>55</v>
      </c>
      <c r="K33" s="308">
        <v>74</v>
      </c>
      <c r="L33" s="308">
        <v>75.2</v>
      </c>
      <c r="M33" s="308">
        <v>80.6</v>
      </c>
      <c r="N33" s="308">
        <v>92.2</v>
      </c>
      <c r="P33" s="308"/>
      <c r="Q33" s="308"/>
      <c r="R33" s="310">
        <f>VLOOKUP(A33,V$3:Y$36,4,FALSE)</f>
        <v>0.4052</v>
      </c>
      <c r="S33" s="310">
        <v>0.3</v>
      </c>
      <c r="U33" s="308" t="s">
        <v>484</v>
      </c>
      <c r="V33" s="308" t="str">
        <f>VLOOKUP("*"&amp;U33&amp;"*",A$3:A$35,1,FALSE)</f>
        <v>广西壮族自治区</v>
      </c>
      <c r="W33" s="311">
        <v>3.1503365</v>
      </c>
      <c r="X33" s="311">
        <v>1.1213</v>
      </c>
      <c r="Y33" s="311">
        <v>2.8014</v>
      </c>
    </row>
    <row r="34" spans="1:25">
      <c r="A34" s="308" t="s">
        <v>142</v>
      </c>
      <c r="B34" s="308">
        <v>933</v>
      </c>
      <c r="C34" s="308">
        <v>976</v>
      </c>
      <c r="D34" s="308">
        <v>1027</v>
      </c>
      <c r="E34" s="308">
        <v>1205.48</v>
      </c>
      <c r="F34" s="308">
        <v>1254.78</v>
      </c>
      <c r="G34" s="308">
        <v>1440.3</v>
      </c>
      <c r="I34" s="308">
        <v>1</v>
      </c>
      <c r="J34" s="308">
        <v>2</v>
      </c>
      <c r="K34" s="308">
        <v>14</v>
      </c>
      <c r="L34" s="308">
        <v>16.7</v>
      </c>
      <c r="M34" s="308">
        <v>17.2</v>
      </c>
      <c r="N34" s="308">
        <v>26.9</v>
      </c>
      <c r="P34" s="308"/>
      <c r="Q34" s="308"/>
      <c r="R34" s="310">
        <f>VLOOKUP(A34,V$3:Y$36,4,FALSE)</f>
        <v>0.4005</v>
      </c>
      <c r="S34" s="310">
        <v>0</v>
      </c>
      <c r="U34" s="308" t="s">
        <v>242</v>
      </c>
      <c r="V34" s="308" t="str">
        <f>VLOOKUP("*"&amp;U34&amp;"*",A$3:A$35,1,FALSE)</f>
        <v>云南省</v>
      </c>
      <c r="W34" s="311">
        <v>1.576</v>
      </c>
      <c r="X34" s="311">
        <v>1.1014</v>
      </c>
      <c r="Y34" s="311">
        <v>1.7673</v>
      </c>
    </row>
    <row r="35" spans="1:25">
      <c r="A35" s="308" t="s">
        <v>224</v>
      </c>
      <c r="B35" s="308">
        <v>0</v>
      </c>
      <c r="C35" s="308">
        <v>0</v>
      </c>
      <c r="D35" s="308">
        <v>39</v>
      </c>
      <c r="E35" s="308">
        <v>77.2</v>
      </c>
      <c r="F35" s="308">
        <v>77.2</v>
      </c>
      <c r="G35" s="308">
        <v>105.8</v>
      </c>
      <c r="I35" s="308"/>
      <c r="J35" s="308"/>
      <c r="K35" s="308">
        <v>0</v>
      </c>
      <c r="L35" s="308">
        <v>0</v>
      </c>
      <c r="M35" s="308">
        <v>0</v>
      </c>
      <c r="N35" s="308">
        <v>0</v>
      </c>
      <c r="P35" s="308"/>
      <c r="Q35" s="308"/>
      <c r="R35" s="310"/>
      <c r="S35" s="310">
        <v>0</v>
      </c>
      <c r="U35" s="308" t="s">
        <v>553</v>
      </c>
      <c r="V35" s="308" t="str">
        <f>VLOOKUP("*"&amp;U35&amp;"*",A$3:A$35,1,FALSE)</f>
        <v>贵州省</v>
      </c>
      <c r="W35" s="311">
        <v>0.109762</v>
      </c>
      <c r="X35" s="311">
        <v>0.0995</v>
      </c>
      <c r="Y35" s="311">
        <v>0.304</v>
      </c>
    </row>
    <row r="36" spans="1:25">
      <c r="R36" s="312"/>
      <c r="U36" s="308" t="s">
        <v>239</v>
      </c>
      <c r="V36" s="308" t="str">
        <f>VLOOKUP("*"&amp;U36&amp;"*",A$3:A$35,1,FALSE)</f>
        <v>海南省</v>
      </c>
      <c r="W36" s="311">
        <v>1.103994</v>
      </c>
      <c r="X36" s="311">
        <v>0.8751</v>
      </c>
      <c r="Y36" s="311">
        <v>1.5194</v>
      </c>
    </row>
  </sheetData>
  <mergeCells count="3">
    <mergeCell ref="B2:G2"/>
    <mergeCell ref="I2:N2"/>
    <mergeCell ref="P2:S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topLeftCell="C1" workbookViewId="0">
      <selection activeCell="AA3" sqref="AA3"/>
    </sheetView>
  </sheetViews>
  <sheetFormatPr defaultColWidth="10.283185840708" defaultRowHeight="13.5"/>
  <cols>
    <col min="1" max="1" width="20" style="298" customWidth="1"/>
    <col min="2" max="16384" width="10.283185840708" style="298"/>
  </cols>
  <sheetData>
    <row r="1" spans="1:30">
      <c r="A1" s="299"/>
      <c r="B1" s="300" t="s">
        <v>554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2"/>
      <c r="O1" s="300" t="s">
        <v>555</v>
      </c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2"/>
    </row>
    <row r="2" s="297" customFormat="1" spans="1:30">
      <c r="A2" s="303"/>
      <c r="B2" s="303">
        <v>2010</v>
      </c>
      <c r="C2" s="303">
        <v>2011</v>
      </c>
      <c r="D2" s="303">
        <v>2012</v>
      </c>
      <c r="E2" s="303">
        <v>2013</v>
      </c>
      <c r="F2" s="303">
        <v>2014</v>
      </c>
      <c r="G2" s="303">
        <v>2015</v>
      </c>
      <c r="H2" s="303">
        <v>2016</v>
      </c>
      <c r="I2" s="303">
        <v>2017</v>
      </c>
      <c r="J2" s="303">
        <v>2018</v>
      </c>
      <c r="K2" s="303">
        <v>2019</v>
      </c>
      <c r="L2" s="303">
        <v>2020</v>
      </c>
      <c r="M2" s="303">
        <v>2021</v>
      </c>
      <c r="N2" s="303">
        <v>2022</v>
      </c>
      <c r="O2" s="303">
        <v>2010</v>
      </c>
      <c r="P2" s="303">
        <v>2011</v>
      </c>
      <c r="Q2" s="303">
        <v>2012</v>
      </c>
      <c r="R2" s="303">
        <v>2013</v>
      </c>
      <c r="S2" s="303">
        <v>2014</v>
      </c>
      <c r="T2" s="303">
        <v>2015</v>
      </c>
      <c r="U2" s="303">
        <v>2016</v>
      </c>
      <c r="V2" s="303">
        <v>2017</v>
      </c>
      <c r="W2" s="303">
        <v>2018</v>
      </c>
      <c r="X2" s="303">
        <v>2019</v>
      </c>
      <c r="Y2" s="303">
        <v>2020</v>
      </c>
      <c r="Z2" s="303">
        <v>2021</v>
      </c>
      <c r="AA2" s="303">
        <v>2022</v>
      </c>
    </row>
    <row r="3" ht="13.9" spans="1:30">
      <c r="A3" s="304" t="s">
        <v>556</v>
      </c>
      <c r="B3" s="305">
        <f>SUM(B4:B34)</f>
        <v>205.018</v>
      </c>
      <c r="C3" s="305">
        <f t="shared" ref="C3:O3" si="0">SUM(C4:C34)</f>
        <v>2123.228</v>
      </c>
      <c r="D3" s="305">
        <f t="shared" si="0"/>
        <v>3287.794</v>
      </c>
      <c r="E3" s="305">
        <f t="shared" si="0"/>
        <v>14851.666</v>
      </c>
      <c r="F3" s="305">
        <f t="shared" si="0"/>
        <v>23380</v>
      </c>
      <c r="G3" s="305">
        <f t="shared" si="0"/>
        <v>36820</v>
      </c>
      <c r="H3" s="305">
        <f t="shared" si="0"/>
        <v>67120</v>
      </c>
      <c r="I3" s="305">
        <f t="shared" si="0"/>
        <v>97735</v>
      </c>
      <c r="J3" s="305">
        <f t="shared" si="0"/>
        <v>124450</v>
      </c>
      <c r="K3" s="305">
        <f t="shared" si="0"/>
        <v>141850</v>
      </c>
      <c r="L3" s="305">
        <f t="shared" si="0"/>
        <v>173722.4</v>
      </c>
      <c r="M3" s="305">
        <f t="shared" si="0"/>
        <v>198518.2</v>
      </c>
      <c r="N3" s="305">
        <f t="shared" si="0"/>
        <v>234462.9</v>
      </c>
      <c r="O3" s="305">
        <f t="shared" si="0"/>
        <v>205.018</v>
      </c>
      <c r="P3" s="305">
        <f t="shared" ref="P3" si="1">SUM(P4:P34)</f>
        <v>1918.21</v>
      </c>
      <c r="Q3" s="305">
        <f t="shared" ref="Q3" si="2">SUM(Q4:Q34)</f>
        <v>1164.566</v>
      </c>
      <c r="R3" s="305">
        <f t="shared" ref="R3" si="3">SUM(R4:R34)</f>
        <v>11563.872</v>
      </c>
      <c r="S3" s="305">
        <f t="shared" ref="S3" si="4">SUM(S4:S34)</f>
        <v>8528.334</v>
      </c>
      <c r="T3" s="305">
        <f t="shared" ref="T3" si="5">SUM(T4:T34)</f>
        <v>13440</v>
      </c>
      <c r="U3" s="305">
        <f t="shared" ref="U3" si="6">SUM(U4:U34)</f>
        <v>30300</v>
      </c>
      <c r="V3" s="305">
        <f t="shared" ref="V3" si="7">SUM(V4:V34)</f>
        <v>30615</v>
      </c>
      <c r="W3" s="305">
        <f t="shared" ref="W3" si="8">SUM(W4:W34)</f>
        <v>26715</v>
      </c>
      <c r="X3" s="305">
        <f t="shared" ref="X3" si="9">SUM(X4:X34)</f>
        <v>17400</v>
      </c>
      <c r="Y3" s="305">
        <f t="shared" ref="Y3" si="10">SUM(Y4:Y34)</f>
        <v>31872.4</v>
      </c>
      <c r="Z3" s="305">
        <f t="shared" ref="Z3" si="11">SUM(Z4:Z34)</f>
        <v>24795.8</v>
      </c>
      <c r="AA3" s="305">
        <f t="shared" ref="AA3" si="12">SUM(AA4:AA34)</f>
        <v>35944.7</v>
      </c>
    </row>
    <row r="4" ht="13.9" spans="1:30">
      <c r="A4" s="304" t="s">
        <v>557</v>
      </c>
      <c r="B4" s="305">
        <f>IFERROR(VLOOKUP($A4,'Solar10-12'!$N$3:$Q$20,2,FALSE),0)/1000</f>
        <v>0</v>
      </c>
      <c r="C4" s="305">
        <f>MAX(B4,IFERROR(VLOOKUP($A4,'Solar10-12'!$N$3:$Q$20,3,FALSE),0)/1000)</f>
        <v>0</v>
      </c>
      <c r="D4" s="305">
        <f>MAX(C4,IFERROR(VLOOKUP($A4,'Solar10-12'!$N$3:$Q$20,4,FALSE),0)/1000)</f>
        <v>0</v>
      </c>
      <c r="E4" s="299">
        <f>MAX(D4,VLOOKUP($A4,'Solar14-16'!$S$5:$AA$35,4,FALSE)*10)</f>
        <v>0</v>
      </c>
      <c r="F4" s="299">
        <f>MAX(VLOOKUP($A4,'Solar14-16'!$S$5:$AA$35,6,FALSE)*10,E4)</f>
        <v>0</v>
      </c>
      <c r="G4" s="299">
        <f>MAX(VLOOKUP($A4,'Solar14-16'!$S$5:$AA$35,8,FALSE)*10,F4)</f>
        <v>20</v>
      </c>
      <c r="H4" s="299">
        <f>MAX(G4,VLOOKUP($A4,'Solar14-16'!$S$5:$AA$35,9,FALSE)*10)</f>
        <v>50</v>
      </c>
      <c r="I4" s="306">
        <f>MAX(H4,VLOOKUP($A4,'Solar17-22'!$A$4:$G$35,2,FALSE)*10)</f>
        <v>50</v>
      </c>
      <c r="J4" s="306">
        <f>MAX(I4,VLOOKUP($A4,'Solar17-22'!$A$4:$G$35,3,FALSE)*10)</f>
        <v>50</v>
      </c>
      <c r="K4" s="306">
        <f>MAX(J4,VLOOKUP($A4,'Solar17-22'!$A$4:$G$35,4,FALSE)*10)</f>
        <v>50</v>
      </c>
      <c r="L4" s="306">
        <f>MAX(K4,VLOOKUP($A4,'Solar17-22'!$A$4:$G$35,5,FALSE)*10)</f>
        <v>51</v>
      </c>
      <c r="M4" s="306">
        <f>MAX(L4,VLOOKUP($A4,'Solar17-22'!$A$4:$G$35,6,FALSE)*10)</f>
        <v>51</v>
      </c>
      <c r="N4" s="306">
        <f>MAX(M4,VLOOKUP($A4,'Solar17-22'!$A$4:$G$35,7,FALSE)*10)</f>
        <v>51</v>
      </c>
      <c r="O4" s="306">
        <f>B4</f>
        <v>0</v>
      </c>
      <c r="P4" s="306">
        <f>C4-B4</f>
        <v>0</v>
      </c>
      <c r="Q4" s="306">
        <f t="shared" ref="Q4:AA19" si="13">D4-C4</f>
        <v>0</v>
      </c>
      <c r="R4" s="306">
        <f t="shared" si="13"/>
        <v>0</v>
      </c>
      <c r="S4" s="306">
        <f t="shared" si="13"/>
        <v>0</v>
      </c>
      <c r="T4" s="306">
        <f t="shared" si="13"/>
        <v>20</v>
      </c>
      <c r="U4" s="306">
        <f t="shared" si="13"/>
        <v>30</v>
      </c>
      <c r="V4" s="306">
        <f>I4-H4</f>
        <v>0</v>
      </c>
      <c r="W4" s="306">
        <f t="shared" si="13"/>
        <v>0</v>
      </c>
      <c r="X4" s="306">
        <f t="shared" si="13"/>
        <v>0</v>
      </c>
      <c r="Y4" s="306">
        <f t="shared" si="13"/>
        <v>1</v>
      </c>
      <c r="Z4" s="306">
        <f>M4-L4</f>
        <v>0</v>
      </c>
      <c r="AA4" s="306">
        <f>N4-M4</f>
        <v>0</v>
      </c>
      <c r="AB4" s="307"/>
      <c r="AC4" s="307"/>
      <c r="AD4" s="307"/>
    </row>
    <row r="5" ht="13.9" spans="1:30">
      <c r="A5" s="304" t="s">
        <v>558</v>
      </c>
      <c r="B5" s="305">
        <f>IFERROR(VLOOKUP($A5,'Solar10-12'!$N$3:$Q$20,2,FALSE),0)/1000</f>
        <v>0</v>
      </c>
      <c r="C5" s="305">
        <f>MAX(B5,IFERROR(VLOOKUP($A5,'Solar10-12'!$N$3:$Q$20,3,FALSE),0)/1000)</f>
        <v>0</v>
      </c>
      <c r="D5" s="305">
        <f>MAX(C5,IFERROR(VLOOKUP($A5,'Solar10-12'!$N$3:$Q$20,4,FALSE),0)/1000)</f>
        <v>0</v>
      </c>
      <c r="E5" s="299">
        <f>MAX(D5,VLOOKUP($A5,'Solar14-16'!$S$5:$AA$35,4,FALSE)*10)</f>
        <v>0</v>
      </c>
      <c r="F5" s="299">
        <f>MAX(VLOOKUP($A5,'Solar14-16'!$S$5:$AA$35,6,FALSE)*10,E5)</f>
        <v>30</v>
      </c>
      <c r="G5" s="299">
        <f>MAX(VLOOKUP($A5,'Solar14-16'!$S$5:$AA$35,8,FALSE)*10,F5)</f>
        <v>40</v>
      </c>
      <c r="H5" s="299">
        <f>MAX(G5,VLOOKUP($A5,'Solar14-16'!$S$5:$AA$35,9,FALSE)*10)</f>
        <v>480</v>
      </c>
      <c r="I5" s="306">
        <f>MAX(H5,VLOOKUP($A5,'Solar17-22'!$A$4:$G$35,2,FALSE)*10)</f>
        <v>530</v>
      </c>
      <c r="J5" s="306">
        <f>MAX(I5,VLOOKUP($A5,'Solar17-22'!$A$4:$G$35,3,FALSE)*10)</f>
        <v>970</v>
      </c>
      <c r="K5" s="306">
        <f>MAX(J5,VLOOKUP($A5,'Solar17-22'!$A$4:$G$35,4,FALSE)*10)</f>
        <v>1040</v>
      </c>
      <c r="L5" s="306">
        <f>MAX(K5,VLOOKUP($A5,'Solar17-22'!$A$4:$G$35,5,FALSE)*10)</f>
        <v>1188.4</v>
      </c>
      <c r="M5" s="306">
        <f>MAX(L5,VLOOKUP($A5,'Solar17-22'!$A$4:$G$35,6,FALSE)*10)</f>
        <v>1188.5</v>
      </c>
      <c r="N5" s="306">
        <f>MAX(M5,VLOOKUP($A5,'Solar17-22'!$A$4:$G$35,7,FALSE)*10)</f>
        <v>1217</v>
      </c>
      <c r="O5" s="306">
        <f t="shared" ref="O5:O34" si="14">B5</f>
        <v>0</v>
      </c>
      <c r="P5" s="306">
        <f t="shared" ref="P5:P34" si="15">C5-B5</f>
        <v>0</v>
      </c>
      <c r="Q5" s="306">
        <f t="shared" si="13"/>
        <v>0</v>
      </c>
      <c r="R5" s="306">
        <f t="shared" si="13"/>
        <v>0</v>
      </c>
      <c r="S5" s="306">
        <f t="shared" si="13"/>
        <v>30</v>
      </c>
      <c r="T5" s="306">
        <f t="shared" si="13"/>
        <v>10</v>
      </c>
      <c r="U5" s="306">
        <f t="shared" si="13"/>
        <v>440</v>
      </c>
      <c r="V5" s="306">
        <f t="shared" si="13"/>
        <v>50</v>
      </c>
      <c r="W5" s="306">
        <f t="shared" si="13"/>
        <v>440</v>
      </c>
      <c r="X5" s="306">
        <f t="shared" si="13"/>
        <v>70</v>
      </c>
      <c r="Y5" s="306">
        <f t="shared" si="13"/>
        <v>148.4</v>
      </c>
      <c r="Z5" s="306">
        <f t="shared" si="13"/>
        <v>0.0999999999999091</v>
      </c>
      <c r="AA5" s="306">
        <f t="shared" si="13"/>
        <v>28.5</v>
      </c>
      <c r="AB5" s="307"/>
      <c r="AC5" s="307"/>
      <c r="AD5" s="307"/>
    </row>
    <row r="6" ht="13.9" spans="1:30">
      <c r="A6" s="304" t="s">
        <v>559</v>
      </c>
      <c r="B6" s="305">
        <f>IFERROR(VLOOKUP($A6,'Solar10-12'!$N$3:$Q$20,2,FALSE),0)/1000</f>
        <v>0</v>
      </c>
      <c r="C6" s="305">
        <f>MAX(B6,IFERROR(VLOOKUP($A6,'Solar10-12'!$N$3:$Q$20,3,FALSE),0)/1000)</f>
        <v>0</v>
      </c>
      <c r="D6" s="305">
        <f>MAX(C6,IFERROR(VLOOKUP($A6,'Solar10-12'!$N$3:$Q$20,4,FALSE),0)/1000)</f>
        <v>0</v>
      </c>
      <c r="E6" s="299">
        <f>MAX(D6,VLOOKUP($A6,'Solar14-16'!$S$5:$AA$35,4,FALSE)*10)</f>
        <v>340</v>
      </c>
      <c r="F6" s="299">
        <f>MAX(VLOOKUP($A6,'Solar14-16'!$S$5:$AA$35,6,FALSE)*10,E6)</f>
        <v>1230</v>
      </c>
      <c r="G6" s="299">
        <f>MAX(VLOOKUP($A6,'Solar14-16'!$S$5:$AA$35,8,FALSE)*10,F6)</f>
        <v>2120</v>
      </c>
      <c r="H6" s="299">
        <f>MAX(G6,VLOOKUP($A6,'Solar14-16'!$S$5:$AA$35,9,FALSE)*10)</f>
        <v>4040</v>
      </c>
      <c r="I6" s="306">
        <f>MAX(H6,VLOOKUP($A6,'Solar17-22'!$A$4:$G$35,2,FALSE)*10)</f>
        <v>5170</v>
      </c>
      <c r="J6" s="306">
        <f>MAX(I6,VLOOKUP($A6,'Solar17-22'!$A$4:$G$35,3,FALSE)*10)</f>
        <v>8560</v>
      </c>
      <c r="K6" s="306">
        <f>MAX(J6,VLOOKUP($A6,'Solar17-22'!$A$4:$G$35,4,FALSE)*10)</f>
        <v>9620</v>
      </c>
      <c r="L6" s="306">
        <f>MAX(K6,VLOOKUP($A6,'Solar17-22'!$A$4:$G$35,5,FALSE)*10)</f>
        <v>14455.2</v>
      </c>
      <c r="M6" s="306">
        <f>MAX(L6,VLOOKUP($A6,'Solar17-22'!$A$4:$G$35,6,FALSE)*10)</f>
        <v>16588.4</v>
      </c>
      <c r="N6" s="306">
        <f>MAX(M6,VLOOKUP($A6,'Solar17-22'!$A$4:$G$35,7,FALSE)*10)</f>
        <v>19941</v>
      </c>
      <c r="O6" s="306">
        <f t="shared" si="14"/>
        <v>0</v>
      </c>
      <c r="P6" s="306">
        <f t="shared" si="15"/>
        <v>0</v>
      </c>
      <c r="Q6" s="306">
        <f t="shared" si="13"/>
        <v>0</v>
      </c>
      <c r="R6" s="306">
        <f t="shared" si="13"/>
        <v>340</v>
      </c>
      <c r="S6" s="306">
        <f t="shared" si="13"/>
        <v>890</v>
      </c>
      <c r="T6" s="306">
        <f t="shared" si="13"/>
        <v>890</v>
      </c>
      <c r="U6" s="306">
        <f t="shared" si="13"/>
        <v>1920</v>
      </c>
      <c r="V6" s="306">
        <f t="shared" si="13"/>
        <v>1130</v>
      </c>
      <c r="W6" s="306">
        <f t="shared" si="13"/>
        <v>3390</v>
      </c>
      <c r="X6" s="306">
        <f t="shared" si="13"/>
        <v>1060</v>
      </c>
      <c r="Y6" s="306">
        <f t="shared" si="13"/>
        <v>4835.2</v>
      </c>
      <c r="Z6" s="306">
        <f t="shared" si="13"/>
        <v>2133.2</v>
      </c>
      <c r="AA6" s="306">
        <f t="shared" si="13"/>
        <v>3352.6</v>
      </c>
      <c r="AB6" s="307"/>
      <c r="AC6" s="307"/>
      <c r="AD6" s="307"/>
    </row>
    <row r="7" ht="13.9" spans="1:30">
      <c r="A7" s="304" t="s">
        <v>560</v>
      </c>
      <c r="B7" s="305">
        <f>IFERROR(VLOOKUP($A7,'Solar10-12'!$N$3:$Q$20,2,FALSE),0)/1000</f>
        <v>0</v>
      </c>
      <c r="C7" s="305">
        <f>MAX(B7,IFERROR(VLOOKUP($A7,'Solar10-12'!$N$3:$Q$20,3,FALSE),0)/1000)</f>
        <v>15</v>
      </c>
      <c r="D7" s="305">
        <f>MAX(C7,IFERROR(VLOOKUP($A7,'Solar10-12'!$N$3:$Q$20,4,FALSE),0)/1000)</f>
        <v>15</v>
      </c>
      <c r="E7" s="299">
        <f>MAX(D7,VLOOKUP($A7,'Solar14-16'!$S$5:$AA$35,4,FALSE)*10)</f>
        <v>210</v>
      </c>
      <c r="F7" s="299">
        <f>MAX(VLOOKUP($A7,'Solar14-16'!$S$5:$AA$35,6,FALSE)*10,E7)</f>
        <v>430</v>
      </c>
      <c r="G7" s="299">
        <f>MAX(VLOOKUP($A7,'Solar14-16'!$S$5:$AA$35,8,FALSE)*10,F7)</f>
        <v>1120</v>
      </c>
      <c r="H7" s="299">
        <f>MAX(G7,VLOOKUP($A7,'Solar14-16'!$S$5:$AA$35,9,FALSE)*10)</f>
        <v>2840</v>
      </c>
      <c r="I7" s="306">
        <f>MAX(H7,VLOOKUP($A7,'Solar17-22'!$A$4:$G$35,2,FALSE)*10)</f>
        <v>5300</v>
      </c>
      <c r="J7" s="306">
        <f>MAX(I7,VLOOKUP($A7,'Solar17-22'!$A$4:$G$35,3,FALSE)*10)</f>
        <v>6810</v>
      </c>
      <c r="K7" s="306">
        <f>MAX(J7,VLOOKUP($A7,'Solar17-22'!$A$4:$G$35,4,FALSE)*10)</f>
        <v>8570</v>
      </c>
      <c r="L7" s="306">
        <f>MAX(K7,VLOOKUP($A7,'Solar17-22'!$A$4:$G$35,5,FALSE)*10)</f>
        <v>10283.2</v>
      </c>
      <c r="M7" s="306">
        <f>MAX(L7,VLOOKUP($A7,'Solar17-22'!$A$4:$G$35,6,FALSE)*10)</f>
        <v>11018.4</v>
      </c>
      <c r="N7" s="306">
        <f>MAX(M7,VLOOKUP($A7,'Solar17-22'!$A$4:$G$35,7,FALSE)*10)</f>
        <v>12570</v>
      </c>
      <c r="O7" s="306">
        <f t="shared" si="14"/>
        <v>0</v>
      </c>
      <c r="P7" s="306">
        <f t="shared" si="15"/>
        <v>15</v>
      </c>
      <c r="Q7" s="306">
        <f t="shared" si="13"/>
        <v>0</v>
      </c>
      <c r="R7" s="306">
        <f t="shared" si="13"/>
        <v>195</v>
      </c>
      <c r="S7" s="306">
        <f t="shared" si="13"/>
        <v>220</v>
      </c>
      <c r="T7" s="306">
        <f t="shared" si="13"/>
        <v>690</v>
      </c>
      <c r="U7" s="306">
        <f t="shared" si="13"/>
        <v>1720</v>
      </c>
      <c r="V7" s="306">
        <f t="shared" si="13"/>
        <v>2460</v>
      </c>
      <c r="W7" s="306">
        <f t="shared" si="13"/>
        <v>1510</v>
      </c>
      <c r="X7" s="306">
        <f t="shared" si="13"/>
        <v>1760</v>
      </c>
      <c r="Y7" s="306">
        <f t="shared" si="13"/>
        <v>1713.2</v>
      </c>
      <c r="Z7" s="306">
        <f t="shared" si="13"/>
        <v>735.200000000001</v>
      </c>
      <c r="AA7" s="306">
        <f t="shared" si="13"/>
        <v>1551.6</v>
      </c>
      <c r="AB7" s="307"/>
      <c r="AC7" s="307"/>
      <c r="AD7" s="307"/>
    </row>
    <row r="8" ht="13.9" spans="1:30">
      <c r="A8" s="304" t="s">
        <v>561</v>
      </c>
      <c r="B8" s="305">
        <f>IFERROR(VLOOKUP($A8,'Solar10-12'!$N$3:$Q$20,2,FALSE),0)/1000</f>
        <v>0</v>
      </c>
      <c r="C8" s="305">
        <f>MAX(B8,IFERROR(VLOOKUP($A8,'Solar10-12'!$N$3:$Q$20,3,FALSE),0)/1000)</f>
        <v>87</v>
      </c>
      <c r="D8" s="305">
        <f>MAX(C8,IFERROR(VLOOKUP($A8,'Solar10-12'!$N$3:$Q$20,4,FALSE),0)/1000)</f>
        <v>196</v>
      </c>
      <c r="E8" s="299">
        <f>MAX(D8,VLOOKUP($A8,'Solar14-16'!$S$5:$AA$35,4,FALSE)*10)</f>
        <v>1240</v>
      </c>
      <c r="F8" s="299">
        <f>MAX(VLOOKUP($A8,'Solar14-16'!$S$5:$AA$35,6,FALSE)*10,E8)</f>
        <v>2840</v>
      </c>
      <c r="G8" s="299">
        <f>MAX(VLOOKUP($A8,'Solar14-16'!$S$5:$AA$35,8,FALSE)*10,F8)</f>
        <v>4710</v>
      </c>
      <c r="H8" s="299">
        <f>MAX(G8,VLOOKUP($A8,'Solar14-16'!$S$5:$AA$35,9,FALSE)*10)</f>
        <v>6370</v>
      </c>
      <c r="I8" s="306">
        <f>MAX(H8,VLOOKUP($A8,'Solar17-22'!$A$4:$G$35,2,FALSE)*10)</f>
        <v>7410</v>
      </c>
      <c r="J8" s="306">
        <f>MAX(I8,VLOOKUP($A8,'Solar17-22'!$A$4:$G$35,3,FALSE)*10)</f>
        <v>9330</v>
      </c>
      <c r="K8" s="306">
        <f>MAX(J8,VLOOKUP($A8,'Solar17-22'!$A$4:$G$35,4,FALSE)*10)</f>
        <v>10010</v>
      </c>
      <c r="L8" s="306">
        <f>MAX(K8,VLOOKUP($A8,'Solar17-22'!$A$4:$G$35,5,FALSE)*10)</f>
        <v>11380</v>
      </c>
      <c r="M8" s="306">
        <f>MAX(L8,VLOOKUP($A8,'Solar17-22'!$A$4:$G$35,6,FALSE)*10)</f>
        <v>12995</v>
      </c>
      <c r="N8" s="306">
        <f>MAX(M8,VLOOKUP($A8,'Solar17-22'!$A$4:$G$35,7,FALSE)*10)</f>
        <v>14296</v>
      </c>
      <c r="O8" s="306">
        <f t="shared" si="14"/>
        <v>0</v>
      </c>
      <c r="P8" s="306">
        <f t="shared" si="15"/>
        <v>87</v>
      </c>
      <c r="Q8" s="306">
        <f t="shared" si="13"/>
        <v>109</v>
      </c>
      <c r="R8" s="306">
        <f t="shared" si="13"/>
        <v>1044</v>
      </c>
      <c r="S8" s="306">
        <f t="shared" si="13"/>
        <v>1600</v>
      </c>
      <c r="T8" s="306">
        <f t="shared" si="13"/>
        <v>1870</v>
      </c>
      <c r="U8" s="306">
        <f t="shared" si="13"/>
        <v>1660</v>
      </c>
      <c r="V8" s="306">
        <f t="shared" si="13"/>
        <v>1040</v>
      </c>
      <c r="W8" s="306">
        <f t="shared" si="13"/>
        <v>1920</v>
      </c>
      <c r="X8" s="306">
        <f t="shared" si="13"/>
        <v>680</v>
      </c>
      <c r="Y8" s="306">
        <f t="shared" si="13"/>
        <v>1370</v>
      </c>
      <c r="Z8" s="306">
        <f t="shared" si="13"/>
        <v>1615</v>
      </c>
      <c r="AA8" s="306">
        <f t="shared" si="13"/>
        <v>1301</v>
      </c>
      <c r="AB8" s="307"/>
      <c r="AC8" s="307"/>
      <c r="AD8" s="307"/>
    </row>
    <row r="9" ht="13.9" spans="1:30">
      <c r="A9" s="304" t="s">
        <v>562</v>
      </c>
      <c r="B9" s="305">
        <f>IFERROR(VLOOKUP($A9,'Solar10-12'!$N$3:$Q$20,2,FALSE),0)/1000</f>
        <v>0</v>
      </c>
      <c r="C9" s="305">
        <f>MAX(B9,IFERROR(VLOOKUP($A9,'Solar10-12'!$N$3:$Q$20,3,FALSE),0)/1000)</f>
        <v>0</v>
      </c>
      <c r="D9" s="305">
        <f>MAX(C9,IFERROR(VLOOKUP($A9,'Solar10-12'!$N$3:$Q$20,4,FALSE),0)/1000)</f>
        <v>10</v>
      </c>
      <c r="E9" s="299">
        <f>MAX(D9,VLOOKUP($A9,'Solar14-16'!$S$5:$AA$35,4,FALSE)*10)</f>
        <v>30</v>
      </c>
      <c r="F9" s="299">
        <f>MAX(VLOOKUP($A9,'Solar14-16'!$S$5:$AA$35,6,FALSE)*10,E9)</f>
        <v>40</v>
      </c>
      <c r="G9" s="299">
        <f>MAX(VLOOKUP($A9,'Solar14-16'!$S$5:$AA$35,8,FALSE)*10,F9)</f>
        <v>70</v>
      </c>
      <c r="H9" s="299">
        <f>MAX(G9,VLOOKUP($A9,'Solar14-16'!$S$5:$AA$35,9,FALSE)*10)</f>
        <v>360</v>
      </c>
      <c r="I9" s="306">
        <f>MAX(H9,VLOOKUP($A9,'Solar17-22'!$A$4:$G$35,2,FALSE)*10)</f>
        <v>1850</v>
      </c>
      <c r="J9" s="306">
        <f>MAX(I9,VLOOKUP($A9,'Solar17-22'!$A$4:$G$35,3,FALSE)*10)</f>
        <v>2190</v>
      </c>
      <c r="K9" s="306">
        <f>MAX(J9,VLOOKUP($A9,'Solar17-22'!$A$4:$G$35,4,FALSE)*10)</f>
        <v>2460</v>
      </c>
      <c r="L9" s="306">
        <f>MAX(K9,VLOOKUP($A9,'Solar17-22'!$A$4:$G$35,5,FALSE)*10)</f>
        <v>2818.9</v>
      </c>
      <c r="M9" s="306">
        <f>MAX(L9,VLOOKUP($A9,'Solar17-22'!$A$4:$G$35,6,FALSE)*10)</f>
        <v>3175</v>
      </c>
      <c r="N9" s="306">
        <f>MAX(M9,VLOOKUP($A9,'Solar17-22'!$A$4:$G$35,7,FALSE)*10)</f>
        <v>3813</v>
      </c>
      <c r="O9" s="306">
        <f t="shared" si="14"/>
        <v>0</v>
      </c>
      <c r="P9" s="306">
        <f t="shared" si="15"/>
        <v>0</v>
      </c>
      <c r="Q9" s="306">
        <f t="shared" si="13"/>
        <v>10</v>
      </c>
      <c r="R9" s="306">
        <f t="shared" si="13"/>
        <v>20</v>
      </c>
      <c r="S9" s="306">
        <f t="shared" si="13"/>
        <v>10</v>
      </c>
      <c r="T9" s="306">
        <f t="shared" si="13"/>
        <v>30</v>
      </c>
      <c r="U9" s="306">
        <f t="shared" si="13"/>
        <v>290</v>
      </c>
      <c r="V9" s="306">
        <f t="shared" si="13"/>
        <v>1490</v>
      </c>
      <c r="W9" s="306">
        <f t="shared" si="13"/>
        <v>340</v>
      </c>
      <c r="X9" s="306">
        <f t="shared" si="13"/>
        <v>270</v>
      </c>
      <c r="Y9" s="306">
        <f t="shared" si="13"/>
        <v>358.9</v>
      </c>
      <c r="Z9" s="306">
        <f t="shared" si="13"/>
        <v>356.1</v>
      </c>
      <c r="AA9" s="306">
        <f t="shared" si="13"/>
        <v>638</v>
      </c>
      <c r="AB9" s="307"/>
      <c r="AC9" s="307"/>
      <c r="AD9" s="307"/>
    </row>
    <row r="10" ht="13.9" spans="1:30">
      <c r="A10" s="304" t="s">
        <v>563</v>
      </c>
      <c r="B10" s="305">
        <f>IFERROR(VLOOKUP($A10,'Solar10-12'!$N$3:$Q$20,2,FALSE),0)/1000</f>
        <v>0</v>
      </c>
      <c r="C10" s="305">
        <f>MAX(B10,IFERROR(VLOOKUP($A10,'Solar10-12'!$N$3:$Q$20,3,FALSE),0)/1000)</f>
        <v>0</v>
      </c>
      <c r="D10" s="305">
        <f>MAX(C10,IFERROR(VLOOKUP($A10,'Solar10-12'!$N$3:$Q$20,4,FALSE),0)/1000)</f>
        <v>0</v>
      </c>
      <c r="E10" s="299">
        <f>MAX(D10,VLOOKUP($A10,'Solar14-16'!$S$5:$AA$35,4,FALSE)*10)</f>
        <v>10</v>
      </c>
      <c r="F10" s="299">
        <f>MAX(VLOOKUP($A10,'Solar14-16'!$S$5:$AA$35,6,FALSE)*10,E10)</f>
        <v>60</v>
      </c>
      <c r="G10" s="299">
        <f>MAX(VLOOKUP($A10,'Solar14-16'!$S$5:$AA$35,8,FALSE)*10,F10)</f>
        <v>60</v>
      </c>
      <c r="H10" s="299">
        <f>MAX(G10,VLOOKUP($A10,'Solar14-16'!$S$5:$AA$35,9,FALSE)*10)</f>
        <v>510</v>
      </c>
      <c r="I10" s="306">
        <f>MAX(H10,VLOOKUP($A10,'Solar17-22'!$A$4:$G$35,2,FALSE)*10)</f>
        <v>1070</v>
      </c>
      <c r="J10" s="306">
        <f>MAX(I10,VLOOKUP($A10,'Solar17-22'!$A$4:$G$35,3,FALSE)*10)</f>
        <v>2030</v>
      </c>
      <c r="K10" s="306">
        <f>MAX(J10,VLOOKUP($A10,'Solar17-22'!$A$4:$G$35,4,FALSE)*10)</f>
        <v>2050</v>
      </c>
      <c r="L10" s="306">
        <f>MAX(K10,VLOOKUP($A10,'Solar17-22'!$A$4:$G$35,5,FALSE)*10)</f>
        <v>2609.1</v>
      </c>
      <c r="M10" s="306">
        <f>MAX(L10,VLOOKUP($A10,'Solar17-22'!$A$4:$G$35,6,FALSE)*10)</f>
        <v>2657.9</v>
      </c>
      <c r="N10" s="306">
        <f>MAX(M10,VLOOKUP($A10,'Solar17-22'!$A$4:$G$35,7,FALSE)*10)</f>
        <v>2946</v>
      </c>
      <c r="O10" s="306">
        <f t="shared" si="14"/>
        <v>0</v>
      </c>
      <c r="P10" s="306">
        <f t="shared" si="15"/>
        <v>0</v>
      </c>
      <c r="Q10" s="306">
        <f t="shared" si="13"/>
        <v>0</v>
      </c>
      <c r="R10" s="306">
        <f t="shared" si="13"/>
        <v>10</v>
      </c>
      <c r="S10" s="306">
        <f t="shared" si="13"/>
        <v>50</v>
      </c>
      <c r="T10" s="306">
        <f t="shared" si="13"/>
        <v>0</v>
      </c>
      <c r="U10" s="306">
        <f t="shared" si="13"/>
        <v>450</v>
      </c>
      <c r="V10" s="306">
        <f t="shared" si="13"/>
        <v>560</v>
      </c>
      <c r="W10" s="306">
        <f t="shared" si="13"/>
        <v>960</v>
      </c>
      <c r="X10" s="306">
        <f t="shared" si="13"/>
        <v>20</v>
      </c>
      <c r="Y10" s="306">
        <f t="shared" si="13"/>
        <v>559.1</v>
      </c>
      <c r="Z10" s="306">
        <f t="shared" si="13"/>
        <v>48.7999999999997</v>
      </c>
      <c r="AA10" s="306">
        <f t="shared" si="13"/>
        <v>288.1</v>
      </c>
      <c r="AB10" s="307"/>
      <c r="AC10" s="307"/>
      <c r="AD10" s="307"/>
    </row>
    <row r="11" ht="13.9" spans="1:30">
      <c r="A11" s="304" t="s">
        <v>564</v>
      </c>
      <c r="B11" s="305">
        <f>IFERROR(VLOOKUP($A11,'Solar10-12'!$N$3:$Q$20,2,FALSE),0)/1000</f>
        <v>0</v>
      </c>
      <c r="C11" s="305">
        <f>MAX(B11,IFERROR(VLOOKUP($A11,'Solar10-12'!$N$3:$Q$20,3,FALSE),0)/1000)</f>
        <v>0</v>
      </c>
      <c r="D11" s="305">
        <f>MAX(C11,IFERROR(VLOOKUP($A11,'Solar10-12'!$N$3:$Q$20,4,FALSE),0)/1000)</f>
        <v>0</v>
      </c>
      <c r="E11" s="299">
        <f>MAX(D11,VLOOKUP($A11,'Solar14-16'!$S$5:$AA$35,4,FALSE)*10)</f>
        <v>10</v>
      </c>
      <c r="F11" s="299">
        <f>MAX(VLOOKUP($A11,'Solar14-16'!$S$5:$AA$35,6,FALSE)*10,E11)</f>
        <v>10</v>
      </c>
      <c r="G11" s="299">
        <f>MAX(VLOOKUP($A11,'Solar14-16'!$S$5:$AA$35,8,FALSE)*10,F11)</f>
        <v>10</v>
      </c>
      <c r="H11" s="299">
        <f>MAX(G11,VLOOKUP($A11,'Solar14-16'!$S$5:$AA$35,9,FALSE)*10)</f>
        <v>120</v>
      </c>
      <c r="I11" s="306">
        <f>MAX(H11,VLOOKUP($A11,'Solar17-22'!$A$4:$G$35,2,FALSE)*10)</f>
        <v>640</v>
      </c>
      <c r="J11" s="306">
        <f>MAX(I11,VLOOKUP($A11,'Solar17-22'!$A$4:$G$35,3,FALSE)*10)</f>
        <v>1410</v>
      </c>
      <c r="K11" s="306">
        <f>MAX(J11,VLOOKUP($A11,'Solar17-22'!$A$4:$G$35,4,FALSE)*10)</f>
        <v>1950</v>
      </c>
      <c r="L11" s="306">
        <f>MAX(K11,VLOOKUP($A11,'Solar17-22'!$A$4:$G$35,5,FALSE)*10)</f>
        <v>2349.9</v>
      </c>
      <c r="M11" s="306">
        <f>MAX(L11,VLOOKUP($A11,'Solar17-22'!$A$4:$G$35,6,FALSE)*10)</f>
        <v>3299.9</v>
      </c>
      <c r="N11" s="306">
        <f>MAX(M11,VLOOKUP($A11,'Solar17-22'!$A$4:$G$35,7,FALSE)*10)</f>
        <v>3669</v>
      </c>
      <c r="O11" s="306">
        <f t="shared" si="14"/>
        <v>0</v>
      </c>
      <c r="P11" s="306">
        <f t="shared" si="15"/>
        <v>0</v>
      </c>
      <c r="Q11" s="306">
        <f t="shared" si="13"/>
        <v>0</v>
      </c>
      <c r="R11" s="306">
        <f t="shared" si="13"/>
        <v>10</v>
      </c>
      <c r="S11" s="306">
        <f t="shared" si="13"/>
        <v>0</v>
      </c>
      <c r="T11" s="306">
        <f t="shared" si="13"/>
        <v>0</v>
      </c>
      <c r="U11" s="306">
        <f t="shared" si="13"/>
        <v>110</v>
      </c>
      <c r="V11" s="306">
        <f t="shared" si="13"/>
        <v>520</v>
      </c>
      <c r="W11" s="306">
        <f t="shared" si="13"/>
        <v>770</v>
      </c>
      <c r="X11" s="306">
        <f t="shared" si="13"/>
        <v>540</v>
      </c>
      <c r="Y11" s="306">
        <f t="shared" si="13"/>
        <v>399.9</v>
      </c>
      <c r="Z11" s="306">
        <f t="shared" si="13"/>
        <v>950</v>
      </c>
      <c r="AA11" s="306">
        <f t="shared" si="13"/>
        <v>369.1</v>
      </c>
      <c r="AB11" s="307"/>
      <c r="AC11" s="307"/>
      <c r="AD11" s="307"/>
    </row>
    <row r="12" ht="13.9" spans="1:30">
      <c r="A12" s="304" t="s">
        <v>565</v>
      </c>
      <c r="B12" s="305">
        <f>IFERROR(VLOOKUP($A12,'Solar10-12'!$N$3:$Q$20,2,FALSE),0)/1000</f>
        <v>6.688</v>
      </c>
      <c r="C12" s="305">
        <f>MAX(B12,IFERROR(VLOOKUP($A12,'Solar10-12'!$N$3:$Q$20,3,FALSE),0)/1000)</f>
        <v>6.688</v>
      </c>
      <c r="D12" s="305">
        <f>MAX(C12,IFERROR(VLOOKUP($A12,'Solar10-12'!$N$3:$Q$20,4,FALSE),0)/1000)</f>
        <v>6.688</v>
      </c>
      <c r="E12" s="299">
        <f>MAX(D12,VLOOKUP($A12,'Solar14-16'!$S$5:$AA$35,4,FALSE)*10)</f>
        <v>20</v>
      </c>
      <c r="F12" s="299">
        <f>MAX(VLOOKUP($A12,'Solar14-16'!$S$5:$AA$35,6,FALSE)*10,E12)</f>
        <v>20</v>
      </c>
      <c r="G12" s="299">
        <f>MAX(VLOOKUP($A12,'Solar14-16'!$S$5:$AA$35,8,FALSE)*10,F12)</f>
        <v>20</v>
      </c>
      <c r="H12" s="299">
        <f>MAX(G12,VLOOKUP($A12,'Solar14-16'!$S$5:$AA$35,9,FALSE)*10)</f>
        <v>20</v>
      </c>
      <c r="I12" s="306">
        <f>MAX(H12,VLOOKUP($A12,'Solar17-22'!$A$4:$G$35,2,FALSE)*10)</f>
        <v>20</v>
      </c>
      <c r="J12" s="306">
        <f>MAX(I12,VLOOKUP($A12,'Solar17-22'!$A$4:$G$35,3,FALSE)*10)</f>
        <v>70</v>
      </c>
      <c r="K12" s="306">
        <f>MAX(J12,VLOOKUP($A12,'Solar17-22'!$A$4:$G$35,4,FALSE)*10)</f>
        <v>70</v>
      </c>
      <c r="L12" s="306">
        <f>MAX(K12,VLOOKUP($A12,'Solar17-22'!$A$4:$G$35,5,FALSE)*10)</f>
        <v>197</v>
      </c>
      <c r="M12" s="306">
        <f>MAX(L12,VLOOKUP($A12,'Solar17-22'!$A$4:$G$35,6,FALSE)*10)</f>
        <v>240.9</v>
      </c>
      <c r="N12" s="306">
        <f>MAX(M12,VLOOKUP($A12,'Solar17-22'!$A$4:$G$35,7,FALSE)*10)</f>
        <v>240.9</v>
      </c>
      <c r="O12" s="306">
        <f t="shared" si="14"/>
        <v>6.688</v>
      </c>
      <c r="P12" s="306">
        <f t="shared" si="15"/>
        <v>0</v>
      </c>
      <c r="Q12" s="306">
        <f t="shared" si="13"/>
        <v>0</v>
      </c>
      <c r="R12" s="306">
        <f t="shared" si="13"/>
        <v>13.312</v>
      </c>
      <c r="S12" s="306">
        <f t="shared" si="13"/>
        <v>0</v>
      </c>
      <c r="T12" s="306">
        <f t="shared" si="13"/>
        <v>0</v>
      </c>
      <c r="U12" s="306">
        <f t="shared" si="13"/>
        <v>0</v>
      </c>
      <c r="V12" s="306">
        <f t="shared" si="13"/>
        <v>0</v>
      </c>
      <c r="W12" s="306">
        <f t="shared" si="13"/>
        <v>50</v>
      </c>
      <c r="X12" s="306">
        <f t="shared" si="13"/>
        <v>0</v>
      </c>
      <c r="Y12" s="306">
        <f t="shared" si="13"/>
        <v>127</v>
      </c>
      <c r="Z12" s="306">
        <f t="shared" si="13"/>
        <v>43.9</v>
      </c>
      <c r="AA12" s="306">
        <f t="shared" si="13"/>
        <v>0</v>
      </c>
      <c r="AB12" s="307"/>
      <c r="AC12" s="307"/>
      <c r="AD12" s="307"/>
    </row>
    <row r="13" ht="13.9" spans="1:30">
      <c r="A13" s="304" t="s">
        <v>566</v>
      </c>
      <c r="B13" s="305">
        <f>IFERROR(VLOOKUP($A13,'Solar10-12'!$N$3:$Q$20,2,FALSE),0)/1000</f>
        <v>70</v>
      </c>
      <c r="C13" s="305">
        <f>MAX(B13,IFERROR(VLOOKUP($A13,'Solar10-12'!$N$3:$Q$20,3,FALSE),0)/1000)</f>
        <v>331.01</v>
      </c>
      <c r="D13" s="305">
        <f>MAX(C13,IFERROR(VLOOKUP($A13,'Solar10-12'!$N$3:$Q$20,4,FALSE),0)/1000)</f>
        <v>361.01</v>
      </c>
      <c r="E13" s="299">
        <f>MAX(D13,VLOOKUP($A13,'Solar14-16'!$S$5:$AA$35,4,FALSE)*10)</f>
        <v>770</v>
      </c>
      <c r="F13" s="299">
        <f>MAX(VLOOKUP($A13,'Solar14-16'!$S$5:$AA$35,6,FALSE)*10,E13)</f>
        <v>1720</v>
      </c>
      <c r="G13" s="299">
        <f>MAX(VLOOKUP($A13,'Solar14-16'!$S$5:$AA$35,8,FALSE)*10,F13)</f>
        <v>3030</v>
      </c>
      <c r="H13" s="299">
        <f>MAX(G13,VLOOKUP($A13,'Solar14-16'!$S$5:$AA$35,9,FALSE)*10)</f>
        <v>3730</v>
      </c>
      <c r="I13" s="306">
        <f>MAX(H13,VLOOKUP($A13,'Solar17-22'!$A$4:$G$35,2,FALSE)*10)</f>
        <v>5800</v>
      </c>
      <c r="J13" s="306">
        <f>MAX(I13,VLOOKUP($A13,'Solar17-22'!$A$4:$G$35,3,FALSE)*10)</f>
        <v>7920</v>
      </c>
      <c r="K13" s="306">
        <f>MAX(J13,VLOOKUP($A13,'Solar17-22'!$A$4:$G$35,4,FALSE)*10)</f>
        <v>8210</v>
      </c>
      <c r="L13" s="306">
        <f>MAX(K13,VLOOKUP($A13,'Solar17-22'!$A$4:$G$35,5,FALSE)*10)</f>
        <v>8959.1</v>
      </c>
      <c r="M13" s="306">
        <f>MAX(L13,VLOOKUP($A13,'Solar17-22'!$A$4:$G$35,6,FALSE)*10)</f>
        <v>9410.8</v>
      </c>
      <c r="N13" s="306">
        <f>MAX(M13,VLOOKUP($A13,'Solar17-22'!$A$4:$G$35,7,FALSE)*10)</f>
        <v>9533</v>
      </c>
      <c r="O13" s="306">
        <f t="shared" si="14"/>
        <v>70</v>
      </c>
      <c r="P13" s="306">
        <f t="shared" si="15"/>
        <v>261.01</v>
      </c>
      <c r="Q13" s="306">
        <f t="shared" si="13"/>
        <v>30</v>
      </c>
      <c r="R13" s="306">
        <f t="shared" si="13"/>
        <v>408.99</v>
      </c>
      <c r="S13" s="306">
        <f t="shared" si="13"/>
        <v>950</v>
      </c>
      <c r="T13" s="306">
        <f t="shared" si="13"/>
        <v>1310</v>
      </c>
      <c r="U13" s="306">
        <f t="shared" si="13"/>
        <v>700</v>
      </c>
      <c r="V13" s="306">
        <f t="shared" si="13"/>
        <v>2070</v>
      </c>
      <c r="W13" s="306">
        <f t="shared" si="13"/>
        <v>2120</v>
      </c>
      <c r="X13" s="306">
        <f t="shared" si="13"/>
        <v>290</v>
      </c>
      <c r="Y13" s="306">
        <f t="shared" si="13"/>
        <v>749.1</v>
      </c>
      <c r="Z13" s="306">
        <f t="shared" si="13"/>
        <v>451.700000000001</v>
      </c>
      <c r="AA13" s="306">
        <f t="shared" si="13"/>
        <v>122.199999999999</v>
      </c>
      <c r="AB13" s="307"/>
      <c r="AC13" s="307"/>
      <c r="AD13" s="307"/>
    </row>
    <row r="14" ht="13.9" spans="1:30">
      <c r="A14" s="304" t="s">
        <v>567</v>
      </c>
      <c r="B14" s="305">
        <f>IFERROR(VLOOKUP($A14,'Solar10-12'!$N$3:$Q$20,2,FALSE),0)/1000</f>
        <v>0</v>
      </c>
      <c r="C14" s="305">
        <f>MAX(B14,IFERROR(VLOOKUP($A14,'Solar10-12'!$N$3:$Q$20,3,FALSE),0)/1000)</f>
        <v>0</v>
      </c>
      <c r="D14" s="305">
        <f>MAX(C14,IFERROR(VLOOKUP($A14,'Solar10-12'!$N$3:$Q$20,4,FALSE),0)/1000)</f>
        <v>0</v>
      </c>
      <c r="E14" s="299">
        <f>MAX(D14,VLOOKUP($A14,'Solar14-16'!$S$5:$AA$35,4,FALSE)*10)</f>
        <v>0</v>
      </c>
      <c r="F14" s="299">
        <f>MAX(VLOOKUP($A14,'Solar14-16'!$S$5:$AA$35,6,FALSE)*10,E14)</f>
        <v>30</v>
      </c>
      <c r="G14" s="299">
        <f>MAX(VLOOKUP($A14,'Solar14-16'!$S$5:$AA$35,8,FALSE)*10,F14)</f>
        <v>430</v>
      </c>
      <c r="H14" s="299">
        <f>MAX(G14,VLOOKUP($A14,'Solar14-16'!$S$5:$AA$35,9,FALSE)*10)</f>
        <v>1310</v>
      </c>
      <c r="I14" s="306">
        <f>MAX(H14,VLOOKUP($A14,'Solar17-22'!$A$4:$G$35,2,FALSE)*10)</f>
        <v>3150</v>
      </c>
      <c r="J14" s="306">
        <f>MAX(I14,VLOOKUP($A14,'Solar17-22'!$A$4:$G$35,3,FALSE)*10)</f>
        <v>3610</v>
      </c>
      <c r="K14" s="306">
        <f>MAX(J14,VLOOKUP($A14,'Solar17-22'!$A$4:$G$35,4,FALSE)*10)</f>
        <v>4140</v>
      </c>
      <c r="L14" s="306">
        <f>MAX(K14,VLOOKUP($A14,'Solar17-22'!$A$4:$G$35,5,FALSE)*10)</f>
        <v>4140</v>
      </c>
      <c r="M14" s="306">
        <f>MAX(L14,VLOOKUP($A14,'Solar17-22'!$A$4:$G$35,6,FALSE)*10)</f>
        <v>5770.3</v>
      </c>
      <c r="N14" s="306">
        <f>MAX(M14,VLOOKUP($A14,'Solar17-22'!$A$4:$G$35,7,FALSE)*10)</f>
        <v>6134</v>
      </c>
      <c r="O14" s="306">
        <f t="shared" si="14"/>
        <v>0</v>
      </c>
      <c r="P14" s="306">
        <f t="shared" si="15"/>
        <v>0</v>
      </c>
      <c r="Q14" s="306">
        <f t="shared" si="13"/>
        <v>0</v>
      </c>
      <c r="R14" s="306">
        <f t="shared" si="13"/>
        <v>0</v>
      </c>
      <c r="S14" s="306">
        <f t="shared" si="13"/>
        <v>30</v>
      </c>
      <c r="T14" s="306">
        <f t="shared" si="13"/>
        <v>400</v>
      </c>
      <c r="U14" s="306">
        <f t="shared" si="13"/>
        <v>880</v>
      </c>
      <c r="V14" s="306">
        <f t="shared" si="13"/>
        <v>1840</v>
      </c>
      <c r="W14" s="306">
        <f t="shared" si="13"/>
        <v>460</v>
      </c>
      <c r="X14" s="306">
        <f t="shared" si="13"/>
        <v>530</v>
      </c>
      <c r="Y14" s="306">
        <f t="shared" si="13"/>
        <v>0</v>
      </c>
      <c r="Z14" s="306">
        <f t="shared" si="13"/>
        <v>1630.3</v>
      </c>
      <c r="AA14" s="306">
        <f t="shared" si="13"/>
        <v>363.700000000001</v>
      </c>
      <c r="AB14" s="307"/>
      <c r="AC14" s="307"/>
      <c r="AD14" s="307"/>
    </row>
    <row r="15" ht="13.9" spans="1:30">
      <c r="A15" s="304" t="s">
        <v>568</v>
      </c>
      <c r="B15" s="305">
        <f>IFERROR(VLOOKUP($A15,'Solar10-12'!$N$3:$Q$20,2,FALSE),0)/1000</f>
        <v>0</v>
      </c>
      <c r="C15" s="305">
        <f>MAX(B15,IFERROR(VLOOKUP($A15,'Solar10-12'!$N$3:$Q$20,3,FALSE),0)/1000)</f>
        <v>0</v>
      </c>
      <c r="D15" s="305">
        <f>MAX(C15,IFERROR(VLOOKUP($A15,'Solar10-12'!$N$3:$Q$20,4,FALSE),0)/1000)</f>
        <v>14.6</v>
      </c>
      <c r="E15" s="299">
        <f>MAX(D15,VLOOKUP($A15,'Solar14-16'!$S$5:$AA$35,4,FALSE)*10)</f>
        <v>14.6</v>
      </c>
      <c r="F15" s="299">
        <f>MAX(VLOOKUP($A15,'Solar14-16'!$S$5:$AA$35,6,FALSE)*10,E15)</f>
        <v>260</v>
      </c>
      <c r="G15" s="299">
        <f>MAX(VLOOKUP($A15,'Solar14-16'!$S$5:$AA$35,8,FALSE)*10,F15)</f>
        <v>890</v>
      </c>
      <c r="H15" s="299">
        <f>MAX(G15,VLOOKUP($A15,'Solar14-16'!$S$5:$AA$35,9,FALSE)*10)</f>
        <v>2670</v>
      </c>
      <c r="I15" s="306">
        <f>MAX(H15,VLOOKUP($A15,'Solar17-22'!$A$4:$G$35,2,FALSE)*10)</f>
        <v>5650</v>
      </c>
      <c r="J15" s="306">
        <f>MAX(I15,VLOOKUP($A15,'Solar17-22'!$A$4:$G$35,3,FALSE)*10)</f>
        <v>6770</v>
      </c>
      <c r="K15" s="306">
        <f>MAX(J15,VLOOKUP($A15,'Solar17-22'!$A$4:$G$35,4,FALSE)*10)</f>
        <v>7730</v>
      </c>
      <c r="L15" s="306">
        <f>MAX(K15,VLOOKUP($A15,'Solar17-22'!$A$4:$G$35,5,FALSE)*10)</f>
        <v>8255.6</v>
      </c>
      <c r="M15" s="306">
        <f>MAX(L15,VLOOKUP($A15,'Solar17-22'!$A$4:$G$35,6,FALSE)*10)</f>
        <v>9470.2</v>
      </c>
      <c r="N15" s="306">
        <f>MAX(M15,VLOOKUP($A15,'Solar17-22'!$A$4:$G$35,7,FALSE)*10)</f>
        <v>10638</v>
      </c>
      <c r="O15" s="306">
        <f t="shared" si="14"/>
        <v>0</v>
      </c>
      <c r="P15" s="306">
        <f t="shared" si="15"/>
        <v>0</v>
      </c>
      <c r="Q15" s="306">
        <f t="shared" si="13"/>
        <v>14.6</v>
      </c>
      <c r="R15" s="306">
        <f t="shared" si="13"/>
        <v>0</v>
      </c>
      <c r="S15" s="306">
        <f t="shared" si="13"/>
        <v>245.4</v>
      </c>
      <c r="T15" s="306">
        <f t="shared" si="13"/>
        <v>630</v>
      </c>
      <c r="U15" s="306">
        <f t="shared" si="13"/>
        <v>1780</v>
      </c>
      <c r="V15" s="306">
        <f t="shared" si="13"/>
        <v>2980</v>
      </c>
      <c r="W15" s="306">
        <f t="shared" si="13"/>
        <v>1120</v>
      </c>
      <c r="X15" s="306">
        <f t="shared" si="13"/>
        <v>960</v>
      </c>
      <c r="Y15" s="306">
        <f t="shared" si="13"/>
        <v>525.599999999999</v>
      </c>
      <c r="Z15" s="306">
        <f t="shared" si="13"/>
        <v>1214.6</v>
      </c>
      <c r="AA15" s="306">
        <f t="shared" si="13"/>
        <v>1167.8</v>
      </c>
      <c r="AB15" s="307"/>
      <c r="AC15" s="307"/>
      <c r="AD15" s="307"/>
    </row>
    <row r="16" ht="13.9" spans="1:30">
      <c r="A16" s="304" t="s">
        <v>569</v>
      </c>
      <c r="B16" s="305">
        <f>IFERROR(VLOOKUP($A16,'Solar10-12'!$N$3:$Q$20,2,FALSE),0)/1000</f>
        <v>0</v>
      </c>
      <c r="C16" s="305">
        <f>MAX(B16,IFERROR(VLOOKUP($A16,'Solar10-12'!$N$3:$Q$20,3,FALSE),0)/1000)</f>
        <v>0</v>
      </c>
      <c r="D16" s="305">
        <f>MAX(C16,IFERROR(VLOOKUP($A16,'Solar10-12'!$N$3:$Q$20,4,FALSE),0)/1000)</f>
        <v>0</v>
      </c>
      <c r="E16" s="299">
        <f>MAX(D16,VLOOKUP($A16,'Solar14-16'!$S$5:$AA$35,4,FALSE)*10)</f>
        <v>0</v>
      </c>
      <c r="F16" s="299">
        <f>MAX(VLOOKUP($A16,'Solar14-16'!$S$5:$AA$35,6,FALSE)*10,E16)</f>
        <v>0</v>
      </c>
      <c r="G16" s="299">
        <f>MAX(VLOOKUP($A16,'Solar14-16'!$S$5:$AA$35,8,FALSE)*10,F16)</f>
        <v>30</v>
      </c>
      <c r="H16" s="299">
        <f>MAX(G16,VLOOKUP($A16,'Solar14-16'!$S$5:$AA$35,9,FALSE)*10)</f>
        <v>110</v>
      </c>
      <c r="I16" s="306">
        <f>MAX(H16,VLOOKUP($A16,'Solar17-22'!$A$4:$G$35,2,FALSE)*10)</f>
        <v>110</v>
      </c>
      <c r="J16" s="306">
        <f>MAX(I16,VLOOKUP($A16,'Solar17-22'!$A$4:$G$35,3,FALSE)*10)</f>
        <v>370</v>
      </c>
      <c r="K16" s="306">
        <f>MAX(J16,VLOOKUP($A16,'Solar17-22'!$A$4:$G$35,4,FALSE)*10)</f>
        <v>380</v>
      </c>
      <c r="L16" s="306">
        <f>MAX(K16,VLOOKUP($A16,'Solar17-22'!$A$4:$G$35,5,FALSE)*10)</f>
        <v>380</v>
      </c>
      <c r="M16" s="306">
        <f>MAX(L16,VLOOKUP($A16,'Solar17-22'!$A$4:$G$35,6,FALSE)*10)</f>
        <v>391.6</v>
      </c>
      <c r="N16" s="306">
        <f>MAX(M16,VLOOKUP($A16,'Solar17-22'!$A$4:$G$35,7,FALSE)*10)</f>
        <v>392</v>
      </c>
      <c r="O16" s="306">
        <f t="shared" si="14"/>
        <v>0</v>
      </c>
      <c r="P16" s="306">
        <f t="shared" si="15"/>
        <v>0</v>
      </c>
      <c r="Q16" s="306">
        <f t="shared" si="13"/>
        <v>0</v>
      </c>
      <c r="R16" s="306">
        <f t="shared" si="13"/>
        <v>0</v>
      </c>
      <c r="S16" s="306">
        <f t="shared" si="13"/>
        <v>0</v>
      </c>
      <c r="T16" s="306">
        <f t="shared" si="13"/>
        <v>30</v>
      </c>
      <c r="U16" s="306">
        <f t="shared" si="13"/>
        <v>80</v>
      </c>
      <c r="V16" s="306">
        <f t="shared" si="13"/>
        <v>0</v>
      </c>
      <c r="W16" s="306">
        <f t="shared" si="13"/>
        <v>260</v>
      </c>
      <c r="X16" s="306">
        <f t="shared" si="13"/>
        <v>10</v>
      </c>
      <c r="Y16" s="306">
        <f t="shared" si="13"/>
        <v>0</v>
      </c>
      <c r="Z16" s="306">
        <f t="shared" si="13"/>
        <v>11.6</v>
      </c>
      <c r="AA16" s="306">
        <f>N16-M16</f>
        <v>0.400000000000034</v>
      </c>
      <c r="AB16" s="307"/>
      <c r="AC16" s="307"/>
      <c r="AD16" s="307"/>
    </row>
    <row r="17" ht="13.9" spans="1:30">
      <c r="A17" s="304" t="s">
        <v>570</v>
      </c>
      <c r="B17" s="305">
        <f>IFERROR(VLOOKUP($A17,'Solar10-12'!$N$3:$Q$20,2,FALSE),0)/1000</f>
        <v>0</v>
      </c>
      <c r="C17" s="305">
        <f>MAX(B17,IFERROR(VLOOKUP($A17,'Solar10-12'!$N$3:$Q$20,3,FALSE),0)/1000)</f>
        <v>0</v>
      </c>
      <c r="D17" s="305">
        <f>MAX(C17,IFERROR(VLOOKUP($A17,'Solar10-12'!$N$3:$Q$20,4,FALSE),0)/1000)</f>
        <v>0</v>
      </c>
      <c r="E17" s="299">
        <f>MAX(D17,VLOOKUP($A17,'Solar14-16'!$S$5:$AA$35,4,FALSE)*10)</f>
        <v>20</v>
      </c>
      <c r="F17" s="299">
        <f>MAX(VLOOKUP($A17,'Solar14-16'!$S$5:$AA$35,6,FALSE)*10,E17)</f>
        <v>130</v>
      </c>
      <c r="G17" s="299">
        <f>MAX(VLOOKUP($A17,'Solar14-16'!$S$5:$AA$35,8,FALSE)*10,F17)</f>
        <v>170</v>
      </c>
      <c r="H17" s="299">
        <f>MAX(G17,VLOOKUP($A17,'Solar14-16'!$S$5:$AA$35,9,FALSE)*10)</f>
        <v>1710</v>
      </c>
      <c r="I17" s="306">
        <f>MAX(H17,VLOOKUP($A17,'Solar17-22'!$A$4:$G$35,2,FALSE)*10)</f>
        <v>2770</v>
      </c>
      <c r="J17" s="306">
        <f>MAX(I17,VLOOKUP($A17,'Solar17-22'!$A$4:$G$35,3,FALSE)*10)</f>
        <v>2940</v>
      </c>
      <c r="K17" s="306">
        <f>MAX(J17,VLOOKUP($A17,'Solar17-22'!$A$4:$G$35,4,FALSE)*10)</f>
        <v>3670</v>
      </c>
      <c r="L17" s="306">
        <f>MAX(K17,VLOOKUP($A17,'Solar17-22'!$A$4:$G$35,5,FALSE)*10)</f>
        <v>4766.6</v>
      </c>
      <c r="M17" s="306">
        <f>MAX(L17,VLOOKUP($A17,'Solar17-22'!$A$4:$G$35,6,FALSE)*10)</f>
        <v>5519.5</v>
      </c>
      <c r="N17" s="306">
        <f>MAX(M17,VLOOKUP($A17,'Solar17-22'!$A$4:$G$35,7,FALSE)*10)</f>
        <v>6951</v>
      </c>
      <c r="O17" s="306">
        <f t="shared" si="14"/>
        <v>0</v>
      </c>
      <c r="P17" s="306">
        <f t="shared" si="15"/>
        <v>0</v>
      </c>
      <c r="Q17" s="306">
        <f t="shared" si="13"/>
        <v>0</v>
      </c>
      <c r="R17" s="306">
        <f t="shared" si="13"/>
        <v>20</v>
      </c>
      <c r="S17" s="306">
        <f t="shared" si="13"/>
        <v>110</v>
      </c>
      <c r="T17" s="306">
        <f t="shared" si="13"/>
        <v>40</v>
      </c>
      <c r="U17" s="306">
        <f t="shared" si="13"/>
        <v>1540</v>
      </c>
      <c r="V17" s="306">
        <f t="shared" si="13"/>
        <v>1060</v>
      </c>
      <c r="W17" s="306">
        <f t="shared" si="13"/>
        <v>170</v>
      </c>
      <c r="X17" s="306">
        <f t="shared" si="13"/>
        <v>730</v>
      </c>
      <c r="Y17" s="306">
        <f t="shared" si="13"/>
        <v>1096.6</v>
      </c>
      <c r="Z17" s="306">
        <f t="shared" si="13"/>
        <v>752.9</v>
      </c>
      <c r="AA17" s="306">
        <f t="shared" si="13"/>
        <v>1431.5</v>
      </c>
      <c r="AB17" s="307"/>
      <c r="AC17" s="307"/>
      <c r="AD17" s="307"/>
    </row>
    <row r="18" ht="13.9" spans="1:30">
      <c r="A18" s="304" t="s">
        <v>571</v>
      </c>
      <c r="B18" s="305">
        <f>IFERROR(VLOOKUP($A18,'Solar10-12'!$N$3:$Q$20,2,FALSE),0)/1000</f>
        <v>18</v>
      </c>
      <c r="C18" s="305">
        <f>MAX(B18,IFERROR(VLOOKUP($A18,'Solar10-12'!$N$3:$Q$20,3,FALSE),0)/1000)</f>
        <v>35</v>
      </c>
      <c r="D18" s="305">
        <f>MAX(C18,IFERROR(VLOOKUP($A18,'Solar10-12'!$N$3:$Q$20,4,FALSE),0)/1000)</f>
        <v>61.5</v>
      </c>
      <c r="E18" s="299">
        <f>MAX(D18,VLOOKUP($A18,'Solar14-16'!$S$5:$AA$35,4,FALSE)*10)</f>
        <v>80</v>
      </c>
      <c r="F18" s="299">
        <f>MAX(VLOOKUP($A18,'Solar14-16'!$S$5:$AA$35,6,FALSE)*10,E18)</f>
        <v>220</v>
      </c>
      <c r="G18" s="299">
        <f>MAX(VLOOKUP($A18,'Solar14-16'!$S$5:$AA$35,8,FALSE)*10,F18)</f>
        <v>890</v>
      </c>
      <c r="H18" s="299">
        <f>MAX(G18,VLOOKUP($A18,'Solar14-16'!$S$5:$AA$35,9,FALSE)*10)</f>
        <v>3360</v>
      </c>
      <c r="I18" s="306">
        <f>MAX(H18,VLOOKUP($A18,'Solar17-22'!$A$4:$G$35,2,FALSE)*10)</f>
        <v>5780</v>
      </c>
      <c r="J18" s="306">
        <f>MAX(I18,VLOOKUP($A18,'Solar17-22'!$A$4:$G$35,3,FALSE)*10)</f>
        <v>6480</v>
      </c>
      <c r="K18" s="306">
        <f>MAX(J18,VLOOKUP($A18,'Solar17-22'!$A$4:$G$35,4,FALSE)*10)</f>
        <v>6770</v>
      </c>
      <c r="L18" s="306">
        <f>MAX(K18,VLOOKUP($A18,'Solar17-22'!$A$4:$G$35,5,FALSE)*10)</f>
        <v>8050.2</v>
      </c>
      <c r="M18" s="306">
        <f>MAX(L18,VLOOKUP($A18,'Solar17-22'!$A$4:$G$35,6,FALSE)*10)</f>
        <v>10089.7</v>
      </c>
      <c r="N18" s="306">
        <f>MAX(M18,VLOOKUP($A18,'Solar17-22'!$A$4:$G$35,7,FALSE)*10)</f>
        <v>12497</v>
      </c>
      <c r="O18" s="306">
        <f t="shared" si="14"/>
        <v>18</v>
      </c>
      <c r="P18" s="306">
        <f t="shared" si="15"/>
        <v>17</v>
      </c>
      <c r="Q18" s="306">
        <f t="shared" si="13"/>
        <v>26.5</v>
      </c>
      <c r="R18" s="306">
        <f t="shared" si="13"/>
        <v>18.5</v>
      </c>
      <c r="S18" s="306">
        <f t="shared" si="13"/>
        <v>140</v>
      </c>
      <c r="T18" s="306">
        <f t="shared" si="13"/>
        <v>670</v>
      </c>
      <c r="U18" s="306">
        <f t="shared" si="13"/>
        <v>2470</v>
      </c>
      <c r="V18" s="306">
        <f t="shared" si="13"/>
        <v>2420</v>
      </c>
      <c r="W18" s="306">
        <f t="shared" si="13"/>
        <v>700</v>
      </c>
      <c r="X18" s="306">
        <f t="shared" si="13"/>
        <v>290</v>
      </c>
      <c r="Y18" s="306">
        <f t="shared" si="13"/>
        <v>1280.2</v>
      </c>
      <c r="Z18" s="306">
        <f t="shared" si="13"/>
        <v>2039.5</v>
      </c>
      <c r="AA18" s="306">
        <f t="shared" si="13"/>
        <v>2407.3</v>
      </c>
      <c r="AB18" s="307"/>
      <c r="AC18" s="307"/>
      <c r="AD18" s="307"/>
    </row>
    <row r="19" ht="13.9" spans="1:30">
      <c r="A19" s="304" t="s">
        <v>572</v>
      </c>
      <c r="B19" s="305">
        <f>IFERROR(VLOOKUP($A19,'Solar10-12'!$N$3:$Q$20,2,FALSE),0)/1000</f>
        <v>0</v>
      </c>
      <c r="C19" s="305">
        <f>MAX(B19,IFERROR(VLOOKUP($A19,'Solar10-12'!$N$3:$Q$20,3,FALSE),0)/1000)</f>
        <v>0</v>
      </c>
      <c r="D19" s="305">
        <f>MAX(C19,IFERROR(VLOOKUP($A19,'Solar10-12'!$N$3:$Q$20,4,FALSE),0)/1000)</f>
        <v>0</v>
      </c>
      <c r="E19" s="299">
        <f>MAX(D19,VLOOKUP($A19,'Solar14-16'!$S$5:$AA$35,4,FALSE)*10)</f>
        <v>0</v>
      </c>
      <c r="F19" s="299">
        <f>MAX(VLOOKUP($A19,'Solar14-16'!$S$5:$AA$35,6,FALSE)*10,E19)</f>
        <v>70</v>
      </c>
      <c r="G19" s="299">
        <f>MAX(VLOOKUP($A19,'Solar14-16'!$S$5:$AA$35,8,FALSE)*10,F19)</f>
        <v>140</v>
      </c>
      <c r="H19" s="299">
        <f>MAX(G19,VLOOKUP($A19,'Solar14-16'!$S$5:$AA$35,9,FALSE)*10)</f>
        <v>2480</v>
      </c>
      <c r="I19" s="306">
        <f>MAX(H19,VLOOKUP($A19,'Solar17-22'!$A$4:$G$35,2,FALSE)*10)</f>
        <v>4920</v>
      </c>
      <c r="J19" s="306">
        <f>MAX(I19,VLOOKUP($A19,'Solar17-22'!$A$4:$G$35,3,FALSE)*10)</f>
        <v>6000</v>
      </c>
      <c r="K19" s="306">
        <f>MAX(J19,VLOOKUP($A19,'Solar17-22'!$A$4:$G$35,4,FALSE)*10)</f>
        <v>6000</v>
      </c>
      <c r="L19" s="306">
        <f>MAX(K19,VLOOKUP($A19,'Solar17-22'!$A$4:$G$35,5,FALSE)*10)</f>
        <v>6038.5</v>
      </c>
      <c r="M19" s="306">
        <f>MAX(L19,VLOOKUP($A19,'Solar17-22'!$A$4:$G$35,6,FALSE)*10)</f>
        <v>6258</v>
      </c>
      <c r="N19" s="306">
        <f>MAX(M19,VLOOKUP($A19,'Solar17-22'!$A$4:$G$35,7,FALSE)*10)</f>
        <v>6288</v>
      </c>
      <c r="O19" s="306">
        <f t="shared" si="14"/>
        <v>0</v>
      </c>
      <c r="P19" s="306">
        <f t="shared" si="15"/>
        <v>0</v>
      </c>
      <c r="Q19" s="306">
        <f t="shared" si="13"/>
        <v>0</v>
      </c>
      <c r="R19" s="306">
        <f t="shared" si="13"/>
        <v>0</v>
      </c>
      <c r="S19" s="306">
        <f t="shared" si="13"/>
        <v>70</v>
      </c>
      <c r="T19" s="306">
        <f t="shared" si="13"/>
        <v>70</v>
      </c>
      <c r="U19" s="306">
        <f t="shared" si="13"/>
        <v>2340</v>
      </c>
      <c r="V19" s="306">
        <f t="shared" si="13"/>
        <v>2440</v>
      </c>
      <c r="W19" s="306">
        <f t="shared" si="13"/>
        <v>1080</v>
      </c>
      <c r="X19" s="306">
        <f t="shared" si="13"/>
        <v>0</v>
      </c>
      <c r="Y19" s="306">
        <f t="shared" si="13"/>
        <v>38.5</v>
      </c>
      <c r="Z19" s="306">
        <f t="shared" si="13"/>
        <v>219.5</v>
      </c>
      <c r="AA19" s="306">
        <f t="shared" si="13"/>
        <v>30</v>
      </c>
      <c r="AB19" s="307"/>
      <c r="AC19" s="307"/>
      <c r="AD19" s="307"/>
    </row>
    <row r="20" ht="13.9" spans="1:30">
      <c r="A20" s="304" t="s">
        <v>573</v>
      </c>
      <c r="B20" s="305">
        <f>IFERROR(VLOOKUP($A20,'Solar10-12'!$N$3:$Q$20,2,FALSE),0)/1000</f>
        <v>0</v>
      </c>
      <c r="C20" s="305">
        <f>MAX(B20,IFERROR(VLOOKUP($A20,'Solar10-12'!$N$3:$Q$20,3,FALSE),0)/1000)</f>
        <v>0</v>
      </c>
      <c r="D20" s="305">
        <f>MAX(C20,IFERROR(VLOOKUP($A20,'Solar10-12'!$N$3:$Q$20,4,FALSE),0)/1000)</f>
        <v>8.966</v>
      </c>
      <c r="E20" s="299">
        <f>MAX(D20,VLOOKUP($A20,'Solar14-16'!$S$5:$AA$35,4,FALSE)*10)</f>
        <v>8.966</v>
      </c>
      <c r="F20" s="299">
        <f>MAX(VLOOKUP($A20,'Solar14-16'!$S$5:$AA$35,6,FALSE)*10,E20)</f>
        <v>80</v>
      </c>
      <c r="G20" s="299">
        <f>MAX(VLOOKUP($A20,'Solar14-16'!$S$5:$AA$35,8,FALSE)*10,F20)</f>
        <v>430</v>
      </c>
      <c r="H20" s="299">
        <f>MAX(G20,VLOOKUP($A20,'Solar14-16'!$S$5:$AA$35,9,FALSE)*10)</f>
        <v>1670</v>
      </c>
      <c r="I20" s="306">
        <f>MAX(H20,VLOOKUP($A20,'Solar17-22'!$A$4:$G$35,2,FALSE)*10)</f>
        <v>2360</v>
      </c>
      <c r="J20" s="306">
        <f>MAX(I20,VLOOKUP($A20,'Solar17-22'!$A$4:$G$35,3,FALSE)*10)</f>
        <v>3350</v>
      </c>
      <c r="K20" s="306">
        <f>MAX(J20,VLOOKUP($A20,'Solar17-22'!$A$4:$G$35,4,FALSE)*10)</f>
        <v>4200</v>
      </c>
      <c r="L20" s="306">
        <f>MAX(K20,VLOOKUP($A20,'Solar17-22'!$A$4:$G$35,5,FALSE)*10)</f>
        <v>4856.6</v>
      </c>
      <c r="M20" s="306">
        <f>MAX(L20,VLOOKUP($A20,'Solar17-22'!$A$4:$G$35,6,FALSE)*10)</f>
        <v>7130</v>
      </c>
      <c r="N20" s="306">
        <f>MAX(M20,VLOOKUP($A20,'Solar17-22'!$A$4:$G$35,7,FALSE)*10)</f>
        <v>9756</v>
      </c>
      <c r="O20" s="306">
        <f t="shared" si="14"/>
        <v>0</v>
      </c>
      <c r="P20" s="306">
        <f t="shared" si="15"/>
        <v>0</v>
      </c>
      <c r="Q20" s="306">
        <f t="shared" ref="Q20:Q34" si="16">D20-C20</f>
        <v>8.966</v>
      </c>
      <c r="R20" s="306">
        <f t="shared" ref="R20:R34" si="17">E20-D20</f>
        <v>0</v>
      </c>
      <c r="S20" s="306">
        <f t="shared" ref="S20:S34" si="18">F20-E20</f>
        <v>71.034</v>
      </c>
      <c r="T20" s="306">
        <f t="shared" ref="T20:T34" si="19">G20-F20</f>
        <v>350</v>
      </c>
      <c r="U20" s="306">
        <f t="shared" ref="U20:U34" si="20">H20-G20</f>
        <v>1240</v>
      </c>
      <c r="V20" s="306">
        <f t="shared" ref="V20:V34" si="21">I20-H20</f>
        <v>690</v>
      </c>
      <c r="W20" s="306">
        <f t="shared" ref="W20:W34" si="22">J20-I20</f>
        <v>990</v>
      </c>
      <c r="X20" s="306">
        <f t="shared" ref="X20:X34" si="23">K20-J20</f>
        <v>850</v>
      </c>
      <c r="Y20" s="306">
        <f t="shared" ref="Y20:Y34" si="24">L20-K20</f>
        <v>656.6</v>
      </c>
      <c r="Z20" s="306">
        <f t="shared" ref="Z20:Z34" si="25">M20-L20</f>
        <v>2273.4</v>
      </c>
      <c r="AA20" s="306">
        <f t="shared" ref="AA20:AA34" si="26">N20-M20</f>
        <v>2626</v>
      </c>
      <c r="AB20" s="307"/>
      <c r="AC20" s="307"/>
      <c r="AD20" s="307"/>
    </row>
    <row r="21" ht="13.9" spans="1:30">
      <c r="A21" s="304" t="s">
        <v>574</v>
      </c>
      <c r="B21" s="305">
        <f>IFERROR(VLOOKUP($A21,'Solar10-12'!$N$3:$Q$20,2,FALSE),0)/1000</f>
        <v>0</v>
      </c>
      <c r="C21" s="305">
        <f>MAX(B21,IFERROR(VLOOKUP($A21,'Solar10-12'!$N$3:$Q$20,3,FALSE),0)/1000)</f>
        <v>0</v>
      </c>
      <c r="D21" s="305">
        <f>MAX(C21,IFERROR(VLOOKUP($A21,'Solar10-12'!$N$3:$Q$20,4,FALSE),0)/1000)</f>
        <v>0</v>
      </c>
      <c r="E21" s="299">
        <f>MAX(D21,VLOOKUP($A21,'Solar14-16'!$S$5:$AA$35,4,FALSE)*10)</f>
        <v>0</v>
      </c>
      <c r="F21" s="299">
        <f>MAX(VLOOKUP($A21,'Solar14-16'!$S$5:$AA$35,6,FALSE)*10,E21)</f>
        <v>0</v>
      </c>
      <c r="G21" s="299">
        <f>MAX(VLOOKUP($A21,'Solar14-16'!$S$5:$AA$35,8,FALSE)*10,F21)</f>
        <v>0</v>
      </c>
      <c r="H21" s="299">
        <f>MAX(G21,VLOOKUP($A21,'Solar14-16'!$S$5:$AA$35,9,FALSE)*10)</f>
        <v>0</v>
      </c>
      <c r="I21" s="306">
        <f>MAX(H21,VLOOKUP($A21,'Solar17-22'!$A$4:$G$35,2,FALSE)*10)</f>
        <v>860</v>
      </c>
      <c r="J21" s="306">
        <f>MAX(I21,VLOOKUP($A21,'Solar17-22'!$A$4:$G$35,3,FALSE)*10)</f>
        <v>1260</v>
      </c>
      <c r="K21" s="306">
        <f>MAX(J21,VLOOKUP($A21,'Solar17-22'!$A$4:$G$35,4,FALSE)*10)</f>
        <v>1550</v>
      </c>
      <c r="L21" s="306">
        <f>MAX(K21,VLOOKUP($A21,'Solar17-22'!$A$4:$G$35,5,FALSE)*10)</f>
        <v>1906.2</v>
      </c>
      <c r="M21" s="306">
        <f>MAX(L21,VLOOKUP($A21,'Solar17-22'!$A$4:$G$35,6,FALSE)*10)</f>
        <v>2201.5</v>
      </c>
      <c r="N21" s="306">
        <f>MAX(M21,VLOOKUP($A21,'Solar17-22'!$A$4:$G$35,7,FALSE)*10)</f>
        <v>2861</v>
      </c>
      <c r="O21" s="306">
        <f t="shared" si="14"/>
        <v>0</v>
      </c>
      <c r="P21" s="306">
        <f t="shared" si="15"/>
        <v>0</v>
      </c>
      <c r="Q21" s="306">
        <f t="shared" si="16"/>
        <v>0</v>
      </c>
      <c r="R21" s="306">
        <f t="shared" si="17"/>
        <v>0</v>
      </c>
      <c r="S21" s="306">
        <f t="shared" si="18"/>
        <v>0</v>
      </c>
      <c r="T21" s="306">
        <f t="shared" si="19"/>
        <v>0</v>
      </c>
      <c r="U21" s="306">
        <f t="shared" si="20"/>
        <v>0</v>
      </c>
      <c r="V21" s="306">
        <f t="shared" si="21"/>
        <v>860</v>
      </c>
      <c r="W21" s="306">
        <f t="shared" si="22"/>
        <v>400</v>
      </c>
      <c r="X21" s="306">
        <f t="shared" si="23"/>
        <v>290</v>
      </c>
      <c r="Y21" s="306">
        <f t="shared" si="24"/>
        <v>356.2</v>
      </c>
      <c r="Z21" s="306">
        <f t="shared" si="25"/>
        <v>295.3</v>
      </c>
      <c r="AA21" s="306">
        <f t="shared" si="26"/>
        <v>659.5</v>
      </c>
      <c r="AB21" s="307"/>
      <c r="AC21" s="307"/>
      <c r="AD21" s="307"/>
    </row>
    <row r="22" ht="13.9" spans="1:30">
      <c r="A22" s="304" t="s">
        <v>575</v>
      </c>
      <c r="B22" s="305">
        <f>IFERROR(VLOOKUP($A22,'Solar10-12'!$N$3:$Q$20,2,FALSE),0)/1000</f>
        <v>0</v>
      </c>
      <c r="C22" s="305">
        <f>MAX(B22,IFERROR(VLOOKUP($A22,'Solar10-12'!$N$3:$Q$20,3,FALSE),0)/1000)</f>
        <v>8.1</v>
      </c>
      <c r="D22" s="305">
        <f>MAX(C22,IFERROR(VLOOKUP($A22,'Solar10-12'!$N$3:$Q$20,4,FALSE),0)/1000)</f>
        <v>8.1</v>
      </c>
      <c r="E22" s="299">
        <f>MAX(D22,VLOOKUP($A22,'Solar14-16'!$S$5:$AA$35,4,FALSE)*10)</f>
        <v>8.1</v>
      </c>
      <c r="F22" s="299">
        <f>MAX(VLOOKUP($A22,'Solar14-16'!$S$5:$AA$35,6,FALSE)*10,E22)</f>
        <v>20</v>
      </c>
      <c r="G22" s="299">
        <f>MAX(VLOOKUP($A22,'Solar14-16'!$S$5:$AA$35,8,FALSE)*10,F22)</f>
        <v>70</v>
      </c>
      <c r="H22" s="299">
        <f>MAX(G22,VLOOKUP($A22,'Solar14-16'!$S$5:$AA$35,9,FALSE)*10)</f>
        <v>680</v>
      </c>
      <c r="I22" s="306">
        <f>MAX(H22,VLOOKUP($A22,'Solar17-22'!$A$4:$G$35,2,FALSE)*10)</f>
        <v>2100</v>
      </c>
      <c r="J22" s="306">
        <f>MAX(I22,VLOOKUP($A22,'Solar17-22'!$A$4:$G$35,3,FALSE)*10)</f>
        <v>3180</v>
      </c>
      <c r="K22" s="306">
        <f>MAX(J22,VLOOKUP($A22,'Solar17-22'!$A$4:$G$35,4,FALSE)*10)</f>
        <v>3180</v>
      </c>
      <c r="L22" s="306">
        <f>MAX(K22,VLOOKUP($A22,'Solar17-22'!$A$4:$G$35,5,FALSE)*10)</f>
        <v>4088.2</v>
      </c>
      <c r="M22" s="306">
        <f>MAX(L22,VLOOKUP($A22,'Solar17-22'!$A$4:$G$35,6,FALSE)*10)</f>
        <v>5082</v>
      </c>
      <c r="N22" s="306">
        <f>MAX(M22,VLOOKUP($A22,'Solar17-22'!$A$4:$G$35,7,FALSE)*10)</f>
        <v>7534</v>
      </c>
      <c r="O22" s="306">
        <f t="shared" si="14"/>
        <v>0</v>
      </c>
      <c r="P22" s="306">
        <f t="shared" si="15"/>
        <v>8.1</v>
      </c>
      <c r="Q22" s="306">
        <f t="shared" si="16"/>
        <v>0</v>
      </c>
      <c r="R22" s="306">
        <f t="shared" si="17"/>
        <v>0</v>
      </c>
      <c r="S22" s="306">
        <f t="shared" si="18"/>
        <v>11.9</v>
      </c>
      <c r="T22" s="306">
        <f t="shared" si="19"/>
        <v>50</v>
      </c>
      <c r="U22" s="306">
        <f t="shared" si="20"/>
        <v>610</v>
      </c>
      <c r="V22" s="306">
        <f t="shared" si="21"/>
        <v>1420</v>
      </c>
      <c r="W22" s="306">
        <f t="shared" si="22"/>
        <v>1080</v>
      </c>
      <c r="X22" s="306">
        <f t="shared" si="23"/>
        <v>0</v>
      </c>
      <c r="Y22" s="306">
        <f t="shared" si="24"/>
        <v>908.2</v>
      </c>
      <c r="Z22" s="306">
        <f t="shared" si="25"/>
        <v>993.8</v>
      </c>
      <c r="AA22" s="306">
        <f t="shared" si="26"/>
        <v>2452</v>
      </c>
      <c r="AB22" s="307"/>
      <c r="AC22" s="307"/>
      <c r="AD22" s="307"/>
    </row>
    <row r="23" ht="13.9" spans="1:30">
      <c r="A23" s="304" t="s">
        <v>576</v>
      </c>
      <c r="B23" s="305">
        <f>IFERROR(VLOOKUP($A23,'Solar10-12'!$N$3:$Q$20,2,FALSE),0)/1000</f>
        <v>0</v>
      </c>
      <c r="C23" s="305">
        <f>MAX(B23,IFERROR(VLOOKUP($A23,'Solar10-12'!$N$3:$Q$20,3,FALSE),0)/1000)</f>
        <v>0</v>
      </c>
      <c r="D23" s="305">
        <f>MAX(C23,IFERROR(VLOOKUP($A23,'Solar10-12'!$N$3:$Q$20,4,FALSE),0)/1000)</f>
        <v>0</v>
      </c>
      <c r="E23" s="299">
        <f>MAX(D23,VLOOKUP($A23,'Solar14-16'!$S$5:$AA$35,4,FALSE)*10)</f>
        <v>0</v>
      </c>
      <c r="F23" s="299">
        <f>MAX(VLOOKUP($A23,'Solar14-16'!$S$5:$AA$35,6,FALSE)*10,E23)</f>
        <v>20</v>
      </c>
      <c r="G23" s="299">
        <f>MAX(VLOOKUP($A23,'Solar14-16'!$S$5:$AA$35,8,FALSE)*10,F23)</f>
        <v>50</v>
      </c>
      <c r="H23" s="299">
        <f>MAX(G23,VLOOKUP($A23,'Solar14-16'!$S$5:$AA$35,9,FALSE)*10)</f>
        <v>90</v>
      </c>
      <c r="I23" s="306">
        <f>MAX(H23,VLOOKUP($A23,'Solar17-22'!$A$4:$G$35,2,FALSE)*10)</f>
        <v>510</v>
      </c>
      <c r="J23" s="306">
        <f>MAX(I23,VLOOKUP($A23,'Solar17-22'!$A$4:$G$35,3,FALSE)*10)</f>
        <v>950</v>
      </c>
      <c r="K23" s="306">
        <f>MAX(J23,VLOOKUP($A23,'Solar17-22'!$A$4:$G$35,4,FALSE)*10)</f>
        <v>1050</v>
      </c>
      <c r="L23" s="306">
        <f>MAX(K23,VLOOKUP($A23,'Solar17-22'!$A$4:$G$35,5,FALSE)*10)</f>
        <v>1624.6</v>
      </c>
      <c r="M23" s="306">
        <f>MAX(L23,VLOOKUP($A23,'Solar17-22'!$A$4:$G$35,6,FALSE)*10)</f>
        <v>2591.6</v>
      </c>
      <c r="N23" s="306">
        <f>MAX(M23,VLOOKUP($A23,'Solar17-22'!$A$4:$G$35,7,FALSE)*10)</f>
        <v>4373</v>
      </c>
      <c r="O23" s="306">
        <f t="shared" si="14"/>
        <v>0</v>
      </c>
      <c r="P23" s="306">
        <f t="shared" si="15"/>
        <v>0</v>
      </c>
      <c r="Q23" s="306">
        <f t="shared" si="16"/>
        <v>0</v>
      </c>
      <c r="R23" s="306">
        <f t="shared" si="17"/>
        <v>0</v>
      </c>
      <c r="S23" s="306">
        <f t="shared" si="18"/>
        <v>20</v>
      </c>
      <c r="T23" s="306">
        <f t="shared" si="19"/>
        <v>30</v>
      </c>
      <c r="U23" s="306">
        <f t="shared" si="20"/>
        <v>40</v>
      </c>
      <c r="V23" s="306">
        <f t="shared" si="21"/>
        <v>420</v>
      </c>
      <c r="W23" s="306">
        <f t="shared" si="22"/>
        <v>440</v>
      </c>
      <c r="X23" s="306">
        <f t="shared" si="23"/>
        <v>100</v>
      </c>
      <c r="Y23" s="306">
        <f t="shared" si="24"/>
        <v>574.6</v>
      </c>
      <c r="Z23" s="306">
        <f t="shared" si="25"/>
        <v>967</v>
      </c>
      <c r="AA23" s="306">
        <f t="shared" si="26"/>
        <v>1781.4</v>
      </c>
      <c r="AB23" s="307"/>
      <c r="AC23" s="307"/>
      <c r="AD23" s="307"/>
    </row>
    <row r="24" ht="13.9" spans="1:30">
      <c r="A24" s="304" t="s">
        <v>577</v>
      </c>
      <c r="B24" s="305">
        <f>IFERROR(VLOOKUP($A24,'Solar10-12'!$N$3:$Q$20,2,FALSE),0)/1000</f>
        <v>0</v>
      </c>
      <c r="C24" s="305">
        <f>MAX(B24,IFERROR(VLOOKUP($A24,'Solar10-12'!$N$3:$Q$20,3,FALSE),0)/1000)</f>
        <v>20</v>
      </c>
      <c r="D24" s="305">
        <f>MAX(C24,IFERROR(VLOOKUP($A24,'Solar10-12'!$N$3:$Q$20,4,FALSE),0)/1000)</f>
        <v>20</v>
      </c>
      <c r="E24" s="299">
        <f>MAX(D24,VLOOKUP($A24,'Solar14-16'!$S$5:$AA$35,4,FALSE)*10)</f>
        <v>70</v>
      </c>
      <c r="F24" s="299">
        <f>MAX(VLOOKUP($A24,'Solar14-16'!$S$5:$AA$35,6,FALSE)*10,E24)</f>
        <v>140</v>
      </c>
      <c r="G24" s="299">
        <f>MAX(VLOOKUP($A24,'Solar14-16'!$S$5:$AA$35,8,FALSE)*10,F24)</f>
        <v>190</v>
      </c>
      <c r="H24" s="299">
        <f>MAX(G24,VLOOKUP($A24,'Solar14-16'!$S$5:$AA$35,9,FALSE)*10)</f>
        <v>240</v>
      </c>
      <c r="I24" s="306">
        <f>MAX(H24,VLOOKUP($A24,'Solar17-22'!$A$4:$G$35,2,FALSE)*10)</f>
        <v>320</v>
      </c>
      <c r="J24" s="306">
        <f>MAX(I24,VLOOKUP($A24,'Solar17-22'!$A$4:$G$35,3,FALSE)*10)</f>
        <v>1230</v>
      </c>
      <c r="K24" s="306">
        <f>MAX(J24,VLOOKUP($A24,'Solar17-22'!$A$4:$G$35,4,FALSE)*10)</f>
        <v>1270</v>
      </c>
      <c r="L24" s="306">
        <f>MAX(K24,VLOOKUP($A24,'Solar17-22'!$A$4:$G$35,5,FALSE)*10)</f>
        <v>1270</v>
      </c>
      <c r="M24" s="306">
        <f>MAX(L24,VLOOKUP($A24,'Solar17-22'!$A$4:$G$35,6,FALSE)*10)</f>
        <v>1271</v>
      </c>
      <c r="N24" s="306">
        <f>MAX(M24,VLOOKUP($A24,'Solar17-22'!$A$4:$G$35,7,FALSE)*10)</f>
        <v>1997</v>
      </c>
      <c r="O24" s="306">
        <f t="shared" si="14"/>
        <v>0</v>
      </c>
      <c r="P24" s="306">
        <f t="shared" si="15"/>
        <v>20</v>
      </c>
      <c r="Q24" s="306">
        <f t="shared" si="16"/>
        <v>0</v>
      </c>
      <c r="R24" s="306">
        <f t="shared" si="17"/>
        <v>50</v>
      </c>
      <c r="S24" s="306">
        <f t="shared" si="18"/>
        <v>70</v>
      </c>
      <c r="T24" s="306">
        <f t="shared" si="19"/>
        <v>50</v>
      </c>
      <c r="U24" s="306">
        <f t="shared" si="20"/>
        <v>50</v>
      </c>
      <c r="V24" s="306">
        <f t="shared" si="21"/>
        <v>80</v>
      </c>
      <c r="W24" s="306">
        <f t="shared" si="22"/>
        <v>910</v>
      </c>
      <c r="X24" s="306">
        <f t="shared" si="23"/>
        <v>40</v>
      </c>
      <c r="Y24" s="306">
        <f t="shared" si="24"/>
        <v>0</v>
      </c>
      <c r="Z24" s="306">
        <f t="shared" si="25"/>
        <v>1</v>
      </c>
      <c r="AA24" s="306">
        <f t="shared" si="26"/>
        <v>726</v>
      </c>
      <c r="AB24" s="307"/>
      <c r="AC24" s="307"/>
      <c r="AD24" s="307"/>
    </row>
    <row r="25" ht="13.9" spans="1:30">
      <c r="A25" s="304" t="s">
        <v>578</v>
      </c>
      <c r="B25" s="305">
        <f>IFERROR(VLOOKUP($A25,'Solar10-12'!$N$3:$Q$20,2,FALSE),0)/1000</f>
        <v>0</v>
      </c>
      <c r="C25" s="305">
        <f>MAX(B25,IFERROR(VLOOKUP($A25,'Solar10-12'!$N$3:$Q$20,3,FALSE),0)/1000)</f>
        <v>0</v>
      </c>
      <c r="D25" s="305">
        <f>MAX(C25,IFERROR(VLOOKUP($A25,'Solar10-12'!$N$3:$Q$20,4,FALSE),0)/1000)</f>
        <v>0</v>
      </c>
      <c r="E25" s="299">
        <f>MAX(D25,VLOOKUP($A25,'Solar14-16'!$S$5:$AA$35,4,FALSE)*10)</f>
        <v>0</v>
      </c>
      <c r="F25" s="299">
        <f>MAX(VLOOKUP($A25,'Solar14-16'!$S$5:$AA$35,6,FALSE)*10,E25)</f>
        <v>0</v>
      </c>
      <c r="G25" s="299">
        <f>MAX(VLOOKUP($A25,'Solar14-16'!$S$5:$AA$35,8,FALSE)*10,F25)</f>
        <v>0</v>
      </c>
      <c r="H25" s="299">
        <f>MAX(G25,VLOOKUP($A25,'Solar14-16'!$S$5:$AA$35,9,FALSE)*10)</f>
        <v>0</v>
      </c>
      <c r="I25" s="306">
        <f>MAX(H25,VLOOKUP($A25,'Solar17-22'!$A$4:$G$35,2,FALSE)*10)</f>
        <v>110</v>
      </c>
      <c r="J25" s="306">
        <f>MAX(I25,VLOOKUP($A25,'Solar17-22'!$A$4:$G$35,3,FALSE)*10)</f>
        <v>390</v>
      </c>
      <c r="K25" s="306">
        <f>MAX(J25,VLOOKUP($A25,'Solar17-22'!$A$4:$G$35,4,FALSE)*10)</f>
        <v>580</v>
      </c>
      <c r="L25" s="306">
        <f>MAX(K25,VLOOKUP($A25,'Solar17-22'!$A$4:$G$35,5,FALSE)*10)</f>
        <v>580</v>
      </c>
      <c r="M25" s="306">
        <f>MAX(L25,VLOOKUP($A25,'Solar17-22'!$A$4:$G$35,6,FALSE)*10)</f>
        <v>580</v>
      </c>
      <c r="N25" s="306">
        <f>MAX(M25,VLOOKUP($A25,'Solar17-22'!$A$4:$G$35,7,FALSE)*10)</f>
        <v>580</v>
      </c>
      <c r="O25" s="306">
        <f t="shared" si="14"/>
        <v>0</v>
      </c>
      <c r="P25" s="306">
        <f t="shared" si="15"/>
        <v>0</v>
      </c>
      <c r="Q25" s="306">
        <f t="shared" si="16"/>
        <v>0</v>
      </c>
      <c r="R25" s="306">
        <f t="shared" si="17"/>
        <v>0</v>
      </c>
      <c r="S25" s="306">
        <f t="shared" si="18"/>
        <v>0</v>
      </c>
      <c r="T25" s="306">
        <f t="shared" si="19"/>
        <v>0</v>
      </c>
      <c r="U25" s="306">
        <f t="shared" si="20"/>
        <v>0</v>
      </c>
      <c r="V25" s="306">
        <f t="shared" si="21"/>
        <v>110</v>
      </c>
      <c r="W25" s="306">
        <f t="shared" si="22"/>
        <v>280</v>
      </c>
      <c r="X25" s="306">
        <f t="shared" si="23"/>
        <v>190</v>
      </c>
      <c r="Y25" s="306">
        <f t="shared" si="24"/>
        <v>0</v>
      </c>
      <c r="Z25" s="306">
        <f t="shared" si="25"/>
        <v>0</v>
      </c>
      <c r="AA25" s="306">
        <f t="shared" si="26"/>
        <v>0</v>
      </c>
      <c r="AB25" s="307"/>
      <c r="AC25" s="307"/>
      <c r="AD25" s="307"/>
    </row>
    <row r="26" ht="13.9" spans="1:30">
      <c r="A26" s="304" t="s">
        <v>579</v>
      </c>
      <c r="B26" s="305">
        <f>IFERROR(VLOOKUP($A26,'Solar10-12'!$N$3:$Q$20,2,FALSE),0)/1000</f>
        <v>0</v>
      </c>
      <c r="C26" s="305">
        <f>MAX(B26,IFERROR(VLOOKUP($A26,'Solar10-12'!$N$3:$Q$20,3,FALSE),0)/1000)</f>
        <v>0</v>
      </c>
      <c r="D26" s="305">
        <f>MAX(C26,IFERROR(VLOOKUP($A26,'Solar10-12'!$N$3:$Q$20,4,FALSE),0)/1000)</f>
        <v>0</v>
      </c>
      <c r="E26" s="299">
        <f>MAX(D26,VLOOKUP($A26,'Solar14-16'!$S$5:$AA$35,4,FALSE)*10)</f>
        <v>30</v>
      </c>
      <c r="F26" s="299">
        <f>MAX(VLOOKUP($A26,'Solar14-16'!$S$5:$AA$35,6,FALSE)*10,E26)</f>
        <v>50</v>
      </c>
      <c r="G26" s="299">
        <f>MAX(VLOOKUP($A26,'Solar14-16'!$S$5:$AA$35,8,FALSE)*10,F26)</f>
        <v>330</v>
      </c>
      <c r="H26" s="299">
        <f>MAX(G26,VLOOKUP($A26,'Solar14-16'!$S$5:$AA$35,9,FALSE)*10)</f>
        <v>900</v>
      </c>
      <c r="I26" s="306">
        <f>MAX(H26,VLOOKUP($A26,'Solar17-22'!$A$4:$G$35,2,FALSE)*10)</f>
        <v>1160</v>
      </c>
      <c r="J26" s="306">
        <f>MAX(I26,VLOOKUP($A26,'Solar17-22'!$A$4:$G$35,3,FALSE)*10)</f>
        <v>1680</v>
      </c>
      <c r="K26" s="306">
        <f>MAX(J26,VLOOKUP($A26,'Solar17-22'!$A$4:$G$35,4,FALSE)*10)</f>
        <v>1690</v>
      </c>
      <c r="L26" s="306">
        <f>MAX(K26,VLOOKUP($A26,'Solar17-22'!$A$4:$G$35,5,FALSE)*10)</f>
        <v>1690.1</v>
      </c>
      <c r="M26" s="306">
        <f>MAX(L26,VLOOKUP($A26,'Solar17-22'!$A$4:$G$35,6,FALSE)*10)</f>
        <v>1690.1</v>
      </c>
      <c r="N26" s="306">
        <f>MAX(M26,VLOOKUP($A26,'Solar17-22'!$A$4:$G$35,7,FALSE)*10)</f>
        <v>1730</v>
      </c>
      <c r="O26" s="306">
        <f t="shared" si="14"/>
        <v>0</v>
      </c>
      <c r="P26" s="306">
        <f t="shared" si="15"/>
        <v>0</v>
      </c>
      <c r="Q26" s="306">
        <f t="shared" si="16"/>
        <v>0</v>
      </c>
      <c r="R26" s="306">
        <f t="shared" si="17"/>
        <v>30</v>
      </c>
      <c r="S26" s="306">
        <f t="shared" si="18"/>
        <v>20</v>
      </c>
      <c r="T26" s="306">
        <f t="shared" si="19"/>
        <v>280</v>
      </c>
      <c r="U26" s="306">
        <f t="shared" si="20"/>
        <v>570</v>
      </c>
      <c r="V26" s="306">
        <f t="shared" si="21"/>
        <v>260</v>
      </c>
      <c r="W26" s="306">
        <f t="shared" si="22"/>
        <v>520</v>
      </c>
      <c r="X26" s="306">
        <f t="shared" si="23"/>
        <v>10</v>
      </c>
      <c r="Y26" s="306">
        <f t="shared" si="24"/>
        <v>0.0999999999999091</v>
      </c>
      <c r="Z26" s="306">
        <f t="shared" si="25"/>
        <v>0</v>
      </c>
      <c r="AA26" s="306">
        <f t="shared" si="26"/>
        <v>39.9000000000001</v>
      </c>
      <c r="AB26" s="307"/>
      <c r="AC26" s="307"/>
      <c r="AD26" s="307"/>
    </row>
    <row r="27" ht="13.9" spans="1:30">
      <c r="A27" s="304" t="s">
        <v>580</v>
      </c>
      <c r="B27" s="305">
        <f>IFERROR(VLOOKUP($A27,'Solar10-12'!$N$3:$Q$20,2,FALSE),0)/1000</f>
        <v>0</v>
      </c>
      <c r="C27" s="305">
        <f>MAX(B27,IFERROR(VLOOKUP($A27,'Solar10-12'!$N$3:$Q$20,3,FALSE),0)/1000)</f>
        <v>0</v>
      </c>
      <c r="D27" s="305">
        <f>MAX(C27,IFERROR(VLOOKUP($A27,'Solar10-12'!$N$3:$Q$20,4,FALSE),0)/1000)</f>
        <v>0</v>
      </c>
      <c r="E27" s="299">
        <f>MAX(D27,VLOOKUP($A27,'Solar14-16'!$S$5:$AA$35,4,FALSE)*10)</f>
        <v>0</v>
      </c>
      <c r="F27" s="299">
        <f>MAX(VLOOKUP($A27,'Solar14-16'!$S$5:$AA$35,6,FALSE)*10,E27)</f>
        <v>0</v>
      </c>
      <c r="G27" s="299">
        <f>MAX(VLOOKUP($A27,'Solar14-16'!$S$5:$AA$35,8,FALSE)*10,F27)</f>
        <v>30</v>
      </c>
      <c r="H27" s="299">
        <f>MAX(G27,VLOOKUP($A27,'Solar14-16'!$S$5:$AA$35,9,FALSE)*10)</f>
        <v>460</v>
      </c>
      <c r="I27" s="306">
        <f>MAX(H27,VLOOKUP($A27,'Solar17-22'!$A$4:$G$35,2,FALSE)*10)</f>
        <v>1350</v>
      </c>
      <c r="J27" s="306">
        <f>MAX(I27,VLOOKUP($A27,'Solar17-22'!$A$4:$G$35,3,FALSE)*10)</f>
        <v>1610</v>
      </c>
      <c r="K27" s="306">
        <f>MAX(J27,VLOOKUP($A27,'Solar17-22'!$A$4:$G$35,4,FALSE)*10)</f>
        <v>4910</v>
      </c>
      <c r="L27" s="306">
        <f>MAX(K27,VLOOKUP($A27,'Solar17-22'!$A$4:$G$35,5,FALSE)*10)</f>
        <v>9706.7</v>
      </c>
      <c r="M27" s="306">
        <f>MAX(L27,VLOOKUP($A27,'Solar17-22'!$A$4:$G$35,6,FALSE)*10)</f>
        <v>11176</v>
      </c>
      <c r="N27" s="306">
        <f>MAX(M27,VLOOKUP($A27,'Solar17-22'!$A$4:$G$35,7,FALSE)*10)</f>
        <v>13966</v>
      </c>
      <c r="O27" s="306">
        <f t="shared" si="14"/>
        <v>0</v>
      </c>
      <c r="P27" s="306">
        <f t="shared" si="15"/>
        <v>0</v>
      </c>
      <c r="Q27" s="306">
        <f t="shared" si="16"/>
        <v>0</v>
      </c>
      <c r="R27" s="306">
        <f t="shared" si="17"/>
        <v>0</v>
      </c>
      <c r="S27" s="306">
        <f t="shared" si="18"/>
        <v>0</v>
      </c>
      <c r="T27" s="306">
        <f t="shared" si="19"/>
        <v>30</v>
      </c>
      <c r="U27" s="306">
        <f t="shared" si="20"/>
        <v>430</v>
      </c>
      <c r="V27" s="306">
        <f t="shared" si="21"/>
        <v>890</v>
      </c>
      <c r="W27" s="306">
        <f t="shared" si="22"/>
        <v>260</v>
      </c>
      <c r="X27" s="306">
        <f t="shared" si="23"/>
        <v>3300</v>
      </c>
      <c r="Y27" s="306">
        <f t="shared" si="24"/>
        <v>4796.7</v>
      </c>
      <c r="Z27" s="306">
        <f t="shared" si="25"/>
        <v>1469.3</v>
      </c>
      <c r="AA27" s="306">
        <f t="shared" si="26"/>
        <v>2790</v>
      </c>
      <c r="AB27" s="307"/>
      <c r="AC27" s="307"/>
      <c r="AD27" s="307"/>
    </row>
    <row r="28" ht="13.9" spans="1:30">
      <c r="A28" s="304" t="s">
        <v>581</v>
      </c>
      <c r="B28" s="305">
        <f>IFERROR(VLOOKUP($A28,'Solar10-12'!$N$3:$Q$20,2,FALSE),0)/1000</f>
        <v>20</v>
      </c>
      <c r="C28" s="305">
        <f>MAX(B28,IFERROR(VLOOKUP($A28,'Solar10-12'!$N$3:$Q$20,3,FALSE),0)/1000)</f>
        <v>20</v>
      </c>
      <c r="D28" s="305">
        <f>MAX(C28,IFERROR(VLOOKUP($A28,'Solar10-12'!$N$3:$Q$20,4,FALSE),0)/1000)</f>
        <v>30</v>
      </c>
      <c r="E28" s="299">
        <f>MAX(D28,VLOOKUP($A28,'Solar14-16'!$S$5:$AA$35,4,FALSE)*10)</f>
        <v>180</v>
      </c>
      <c r="F28" s="299">
        <f>MAX(VLOOKUP($A28,'Solar14-16'!$S$5:$AA$35,6,FALSE)*10,E28)</f>
        <v>330</v>
      </c>
      <c r="G28" s="299">
        <f>MAX(VLOOKUP($A28,'Solar14-16'!$S$5:$AA$35,8,FALSE)*10,F28)</f>
        <v>630</v>
      </c>
      <c r="H28" s="299">
        <f>MAX(G28,VLOOKUP($A28,'Solar14-16'!$S$5:$AA$35,9,FALSE)*10)</f>
        <v>2080</v>
      </c>
      <c r="I28" s="306">
        <f>MAX(H28,VLOOKUP($A28,'Solar17-22'!$A$4:$G$35,2,FALSE)*10)</f>
        <v>2375</v>
      </c>
      <c r="J28" s="306">
        <f>MAX(I28,VLOOKUP($A28,'Solar17-22'!$A$4:$G$35,3,FALSE)*10)</f>
        <v>3120</v>
      </c>
      <c r="K28" s="306">
        <f>MAX(J28,VLOOKUP($A28,'Solar17-22'!$A$4:$G$35,4,FALSE)*10)</f>
        <v>3500</v>
      </c>
      <c r="L28" s="306">
        <f>MAX(K28,VLOOKUP($A28,'Solar17-22'!$A$4:$G$35,5,FALSE)*10)</f>
        <v>3500</v>
      </c>
      <c r="M28" s="306">
        <f>MAX(L28,VLOOKUP($A28,'Solar17-22'!$A$4:$G$35,6,FALSE)*10)</f>
        <v>3500</v>
      </c>
      <c r="N28" s="306">
        <f>MAX(M28,VLOOKUP($A28,'Solar17-22'!$A$4:$G$35,7,FALSE)*10)</f>
        <v>5252</v>
      </c>
      <c r="O28" s="306">
        <f t="shared" si="14"/>
        <v>20</v>
      </c>
      <c r="P28" s="306">
        <f t="shared" si="15"/>
        <v>0</v>
      </c>
      <c r="Q28" s="306">
        <f t="shared" si="16"/>
        <v>10</v>
      </c>
      <c r="R28" s="306">
        <f t="shared" si="17"/>
        <v>150</v>
      </c>
      <c r="S28" s="306">
        <f t="shared" si="18"/>
        <v>150</v>
      </c>
      <c r="T28" s="306">
        <f t="shared" si="19"/>
        <v>300</v>
      </c>
      <c r="U28" s="306">
        <f t="shared" si="20"/>
        <v>1450</v>
      </c>
      <c r="V28" s="306">
        <f t="shared" si="21"/>
        <v>295</v>
      </c>
      <c r="W28" s="306">
        <f t="shared" si="22"/>
        <v>745</v>
      </c>
      <c r="X28" s="306">
        <f t="shared" si="23"/>
        <v>380</v>
      </c>
      <c r="Y28" s="306">
        <f t="shared" si="24"/>
        <v>0</v>
      </c>
      <c r="Z28" s="306">
        <f t="shared" si="25"/>
        <v>0</v>
      </c>
      <c r="AA28" s="306">
        <f t="shared" si="26"/>
        <v>1752</v>
      </c>
      <c r="AB28" s="307"/>
      <c r="AC28" s="307"/>
      <c r="AD28" s="307"/>
    </row>
    <row r="29" ht="13.9" spans="1:30">
      <c r="A29" s="304" t="s">
        <v>582</v>
      </c>
      <c r="B29" s="305">
        <f>IFERROR(VLOOKUP($A29,'Solar10-12'!$N$3:$Q$20,2,FALSE),0)/1000</f>
        <v>0</v>
      </c>
      <c r="C29" s="305">
        <f>MAX(B29,IFERROR(VLOOKUP($A29,'Solar10-12'!$N$3:$Q$20,3,FALSE),0)/1000)</f>
        <v>40.1</v>
      </c>
      <c r="D29" s="305">
        <f>MAX(C29,IFERROR(VLOOKUP($A29,'Solar10-12'!$N$3:$Q$20,4,FALSE),0)/1000)</f>
        <v>80.1</v>
      </c>
      <c r="E29" s="299">
        <f>MAX(D29,VLOOKUP($A29,'Solar14-16'!$S$5:$AA$35,4,FALSE)*10)</f>
        <v>110</v>
      </c>
      <c r="F29" s="299">
        <f>MAX(VLOOKUP($A29,'Solar14-16'!$S$5:$AA$35,6,FALSE)*10,E29)</f>
        <v>150</v>
      </c>
      <c r="G29" s="299">
        <f>MAX(VLOOKUP($A29,'Solar14-16'!$S$5:$AA$35,8,FALSE)*10,F29)</f>
        <v>170</v>
      </c>
      <c r="H29" s="299">
        <f>MAX(G29,VLOOKUP($A29,'Solar14-16'!$S$5:$AA$35,9,FALSE)*10)</f>
        <v>330</v>
      </c>
      <c r="I29" s="306">
        <f>MAX(H29,VLOOKUP($A29,'Solar17-22'!$A$4:$G$35,2,FALSE)*10)</f>
        <v>790</v>
      </c>
      <c r="J29" s="306">
        <f>MAX(I29,VLOOKUP($A29,'Solar17-22'!$A$4:$G$35,3,FALSE)*10)</f>
        <v>980</v>
      </c>
      <c r="K29" s="306">
        <f>MAX(J29,VLOOKUP($A29,'Solar17-22'!$A$4:$G$35,4,FALSE)*10)</f>
        <v>1100</v>
      </c>
      <c r="L29" s="306">
        <f>MAX(K29,VLOOKUP($A29,'Solar17-22'!$A$4:$G$35,5,FALSE)*10)</f>
        <v>1362.6</v>
      </c>
      <c r="M29" s="306">
        <f>MAX(L29,VLOOKUP($A29,'Solar17-22'!$A$4:$G$35,6,FALSE)*10)</f>
        <v>1365.1</v>
      </c>
      <c r="N29" s="306">
        <f>MAX(M29,VLOOKUP($A29,'Solar17-22'!$A$4:$G$35,7,FALSE)*10)</f>
        <v>1759</v>
      </c>
      <c r="O29" s="306">
        <f t="shared" si="14"/>
        <v>0</v>
      </c>
      <c r="P29" s="306">
        <f t="shared" si="15"/>
        <v>40.1</v>
      </c>
      <c r="Q29" s="306">
        <f t="shared" si="16"/>
        <v>40</v>
      </c>
      <c r="R29" s="306">
        <f t="shared" si="17"/>
        <v>29.9</v>
      </c>
      <c r="S29" s="306">
        <f t="shared" si="18"/>
        <v>40</v>
      </c>
      <c r="T29" s="306">
        <f t="shared" si="19"/>
        <v>20</v>
      </c>
      <c r="U29" s="306">
        <f t="shared" si="20"/>
        <v>160</v>
      </c>
      <c r="V29" s="306">
        <f t="shared" si="21"/>
        <v>460</v>
      </c>
      <c r="W29" s="306">
        <f t="shared" si="22"/>
        <v>190</v>
      </c>
      <c r="X29" s="306">
        <f t="shared" si="23"/>
        <v>120</v>
      </c>
      <c r="Y29" s="306">
        <f t="shared" si="24"/>
        <v>262.6</v>
      </c>
      <c r="Z29" s="306">
        <f t="shared" si="25"/>
        <v>2.5</v>
      </c>
      <c r="AA29" s="306">
        <f t="shared" si="26"/>
        <v>393.9</v>
      </c>
      <c r="AB29" s="307"/>
      <c r="AC29" s="307"/>
      <c r="AD29" s="307"/>
    </row>
    <row r="30" ht="13.9" spans="1:30">
      <c r="A30" s="304" t="s">
        <v>583</v>
      </c>
      <c r="B30" s="305">
        <f>IFERROR(VLOOKUP($A30,'Solar10-12'!$N$3:$Q$20,2,FALSE),0)/1000</f>
        <v>0</v>
      </c>
      <c r="C30" s="305">
        <f>MAX(B30,IFERROR(VLOOKUP($A30,'Solar10-12'!$N$3:$Q$20,3,FALSE),0)/1000)</f>
        <v>20</v>
      </c>
      <c r="D30" s="305">
        <f>MAX(C30,IFERROR(VLOOKUP($A30,'Solar10-12'!$N$3:$Q$20,4,FALSE),0)/1000)</f>
        <v>20</v>
      </c>
      <c r="E30" s="299">
        <f>MAX(D30,VLOOKUP($A30,'Solar14-16'!$S$5:$AA$35,4,FALSE)*10)</f>
        <v>110</v>
      </c>
      <c r="F30" s="299">
        <f>MAX(VLOOKUP($A30,'Solar14-16'!$S$5:$AA$35,6,FALSE)*10,E30)</f>
        <v>520</v>
      </c>
      <c r="G30" s="299">
        <f>MAX(VLOOKUP($A30,'Solar14-16'!$S$5:$AA$35,8,FALSE)*10,F30)</f>
        <v>1120</v>
      </c>
      <c r="H30" s="299">
        <f>MAX(G30,VLOOKUP($A30,'Solar14-16'!$S$5:$AA$35,9,FALSE)*10)</f>
        <v>3220</v>
      </c>
      <c r="I30" s="306">
        <f>MAX(H30,VLOOKUP($A30,'Solar17-22'!$A$4:$G$35,2,FALSE)*10)</f>
        <v>4840</v>
      </c>
      <c r="J30" s="306">
        <f>MAX(I30,VLOOKUP($A30,'Solar17-22'!$A$4:$G$35,3,FALSE)*10)</f>
        <v>6400</v>
      </c>
      <c r="K30" s="306">
        <f>MAX(J30,VLOOKUP($A30,'Solar17-22'!$A$4:$G$35,4,FALSE)*10)</f>
        <v>7780</v>
      </c>
      <c r="L30" s="306">
        <f>MAX(K30,VLOOKUP($A30,'Solar17-22'!$A$4:$G$35,5,FALSE)*10)</f>
        <v>8934.2</v>
      </c>
      <c r="M30" s="306">
        <f>MAX(L30,VLOOKUP($A30,'Solar17-22'!$A$4:$G$35,6,FALSE)*10)</f>
        <v>11028.2</v>
      </c>
      <c r="N30" s="306">
        <f>MAX(M30,VLOOKUP($A30,'Solar17-22'!$A$4:$G$35,7,FALSE)*10)</f>
        <v>11937</v>
      </c>
      <c r="O30" s="306">
        <f t="shared" si="14"/>
        <v>0</v>
      </c>
      <c r="P30" s="306">
        <f t="shared" si="15"/>
        <v>20</v>
      </c>
      <c r="Q30" s="306">
        <f t="shared" si="16"/>
        <v>0</v>
      </c>
      <c r="R30" s="306">
        <f t="shared" si="17"/>
        <v>90</v>
      </c>
      <c r="S30" s="306">
        <f t="shared" si="18"/>
        <v>410</v>
      </c>
      <c r="T30" s="306">
        <f t="shared" si="19"/>
        <v>600</v>
      </c>
      <c r="U30" s="306">
        <f t="shared" si="20"/>
        <v>2100</v>
      </c>
      <c r="V30" s="306">
        <f t="shared" si="21"/>
        <v>1620</v>
      </c>
      <c r="W30" s="306">
        <f t="shared" si="22"/>
        <v>1560</v>
      </c>
      <c r="X30" s="306">
        <f t="shared" si="23"/>
        <v>1380</v>
      </c>
      <c r="Y30" s="306">
        <f t="shared" si="24"/>
        <v>1154.2</v>
      </c>
      <c r="Z30" s="306">
        <f t="shared" si="25"/>
        <v>2094</v>
      </c>
      <c r="AA30" s="306">
        <f t="shared" si="26"/>
        <v>908.800000000001</v>
      </c>
      <c r="AB30" s="307"/>
      <c r="AC30" s="307"/>
      <c r="AD30" s="307"/>
    </row>
    <row r="31" ht="13.9" spans="1:30">
      <c r="A31" s="304" t="s">
        <v>584</v>
      </c>
      <c r="B31" s="305">
        <f>IFERROR(VLOOKUP($A31,'Solar10-12'!$N$3:$Q$20,2,FALSE),0)/1000</f>
        <v>0</v>
      </c>
      <c r="C31" s="305">
        <f>MAX(B31,IFERROR(VLOOKUP($A31,'Solar10-12'!$N$3:$Q$20,3,FALSE),0)/1000)</f>
        <v>111</v>
      </c>
      <c r="D31" s="305">
        <f>MAX(C31,IFERROR(VLOOKUP($A31,'Solar10-12'!$N$3:$Q$20,4,FALSE),0)/1000)</f>
        <v>382</v>
      </c>
      <c r="E31" s="299">
        <f>MAX(D31,VLOOKUP($A31,'Solar14-16'!$S$5:$AA$35,4,FALSE)*10)</f>
        <v>4200</v>
      </c>
      <c r="F31" s="299">
        <f>MAX(VLOOKUP($A31,'Solar14-16'!$S$5:$AA$35,6,FALSE)*10,E31)</f>
        <v>5170</v>
      </c>
      <c r="G31" s="299">
        <f>MAX(VLOOKUP($A31,'Solar14-16'!$S$5:$AA$35,8,FALSE)*10,F31)</f>
        <v>6060</v>
      </c>
      <c r="H31" s="299">
        <f>MAX(G31,VLOOKUP($A31,'Solar14-16'!$S$5:$AA$35,9,FALSE)*10)</f>
        <v>6800</v>
      </c>
      <c r="I31" s="306">
        <f>MAX(H31,VLOOKUP($A31,'Solar17-22'!$A$4:$G$35,2,FALSE)*10)</f>
        <v>7680</v>
      </c>
      <c r="J31" s="306">
        <f>MAX(I31,VLOOKUP($A31,'Solar17-22'!$A$4:$G$35,3,FALSE)*10)</f>
        <v>7900</v>
      </c>
      <c r="K31" s="306">
        <f>MAX(J31,VLOOKUP($A31,'Solar17-22'!$A$4:$G$35,4,FALSE)*10)</f>
        <v>8360</v>
      </c>
      <c r="L31" s="306">
        <f>MAX(K31,VLOOKUP($A31,'Solar17-22'!$A$4:$G$35,5,FALSE)*10)</f>
        <v>8913.2</v>
      </c>
      <c r="M31" s="306">
        <f>MAX(L31,VLOOKUP($A31,'Solar17-22'!$A$4:$G$35,6,FALSE)*10)</f>
        <v>10476.5</v>
      </c>
      <c r="N31" s="306">
        <f>MAX(M31,VLOOKUP($A31,'Solar17-22'!$A$4:$G$35,7,FALSE)*10)</f>
        <v>13109</v>
      </c>
      <c r="O31" s="306">
        <f t="shared" si="14"/>
        <v>0</v>
      </c>
      <c r="P31" s="306">
        <f t="shared" si="15"/>
        <v>111</v>
      </c>
      <c r="Q31" s="306">
        <f t="shared" si="16"/>
        <v>271</v>
      </c>
      <c r="R31" s="306">
        <f t="shared" si="17"/>
        <v>3818</v>
      </c>
      <c r="S31" s="306">
        <f t="shared" si="18"/>
        <v>970</v>
      </c>
      <c r="T31" s="306">
        <f t="shared" si="19"/>
        <v>890</v>
      </c>
      <c r="U31" s="306">
        <f t="shared" si="20"/>
        <v>740</v>
      </c>
      <c r="V31" s="306">
        <f t="shared" si="21"/>
        <v>880</v>
      </c>
      <c r="W31" s="306">
        <f t="shared" si="22"/>
        <v>220</v>
      </c>
      <c r="X31" s="306">
        <f t="shared" si="23"/>
        <v>460</v>
      </c>
      <c r="Y31" s="306">
        <f t="shared" si="24"/>
        <v>553.200000000001</v>
      </c>
      <c r="Z31" s="306">
        <f t="shared" si="25"/>
        <v>1563.3</v>
      </c>
      <c r="AA31" s="306">
        <f t="shared" si="26"/>
        <v>2632.5</v>
      </c>
      <c r="AB31" s="307"/>
      <c r="AC31" s="307"/>
      <c r="AD31" s="307"/>
    </row>
    <row r="32" ht="13.9" spans="1:30">
      <c r="A32" s="304" t="s">
        <v>585</v>
      </c>
      <c r="B32" s="305">
        <f>IFERROR(VLOOKUP($A32,'Solar10-12'!$N$3:$Q$20,2,FALSE),0)/1000</f>
        <v>0</v>
      </c>
      <c r="C32" s="305">
        <f>MAX(B32,IFERROR(VLOOKUP($A32,'Solar10-12'!$N$3:$Q$20,3,FALSE),0)/1000)</f>
        <v>938</v>
      </c>
      <c r="D32" s="305">
        <f>MAX(C32,IFERROR(VLOOKUP($A32,'Solar10-12'!$N$3:$Q$20,4,FALSE),0)/1000)</f>
        <v>1363</v>
      </c>
      <c r="E32" s="299">
        <f>MAX(D32,VLOOKUP($A32,'Solar14-16'!$S$5:$AA$35,4,FALSE)*10)</f>
        <v>3110</v>
      </c>
      <c r="F32" s="299">
        <f>MAX(VLOOKUP($A32,'Solar14-16'!$S$5:$AA$35,6,FALSE)*10,E32)</f>
        <v>4130</v>
      </c>
      <c r="G32" s="299">
        <f>MAX(VLOOKUP($A32,'Solar14-16'!$S$5:$AA$35,8,FALSE)*10,F32)</f>
        <v>5640</v>
      </c>
      <c r="H32" s="299">
        <f>MAX(G32,VLOOKUP($A32,'Solar14-16'!$S$5:$AA$35,9,FALSE)*10)</f>
        <v>6820</v>
      </c>
      <c r="I32" s="306">
        <f>MAX(H32,VLOOKUP($A32,'Solar17-22'!$A$4:$G$35,2,FALSE)*10)</f>
        <v>7860</v>
      </c>
      <c r="J32" s="306">
        <f>MAX(I32,VLOOKUP($A32,'Solar17-22'!$A$4:$G$35,3,FALSE)*10)</f>
        <v>9520</v>
      </c>
      <c r="K32" s="306">
        <f>MAX(J32,VLOOKUP($A32,'Solar17-22'!$A$4:$G$35,4,FALSE)*10)</f>
        <v>10860</v>
      </c>
      <c r="L32" s="306">
        <f>MAX(K32,VLOOKUP($A32,'Solar17-22'!$A$4:$G$35,5,FALSE)*10)</f>
        <v>15320.9</v>
      </c>
      <c r="M32" s="306">
        <f>MAX(L32,VLOOKUP($A32,'Solar17-22'!$A$4:$G$35,6,FALSE)*10)</f>
        <v>15947.7</v>
      </c>
      <c r="N32" s="306">
        <f>MAX(M32,VLOOKUP($A32,'Solar17-22'!$A$4:$G$35,7,FALSE)*10)</f>
        <v>18055</v>
      </c>
      <c r="O32" s="306">
        <f t="shared" si="14"/>
        <v>0</v>
      </c>
      <c r="P32" s="306">
        <f t="shared" si="15"/>
        <v>938</v>
      </c>
      <c r="Q32" s="306">
        <f t="shared" si="16"/>
        <v>425</v>
      </c>
      <c r="R32" s="306">
        <f t="shared" si="17"/>
        <v>1747</v>
      </c>
      <c r="S32" s="306">
        <f t="shared" si="18"/>
        <v>1020</v>
      </c>
      <c r="T32" s="306">
        <f t="shared" si="19"/>
        <v>1510</v>
      </c>
      <c r="U32" s="306">
        <f t="shared" si="20"/>
        <v>1180</v>
      </c>
      <c r="V32" s="306">
        <f t="shared" si="21"/>
        <v>1040</v>
      </c>
      <c r="W32" s="306">
        <f t="shared" si="22"/>
        <v>1660</v>
      </c>
      <c r="X32" s="306">
        <f t="shared" si="23"/>
        <v>1340</v>
      </c>
      <c r="Y32" s="306">
        <f t="shared" si="24"/>
        <v>4460.9</v>
      </c>
      <c r="Z32" s="306">
        <f t="shared" si="25"/>
        <v>626.800000000001</v>
      </c>
      <c r="AA32" s="306">
        <f t="shared" si="26"/>
        <v>2107.3</v>
      </c>
      <c r="AB32" s="307"/>
      <c r="AC32" s="307"/>
      <c r="AD32" s="307"/>
    </row>
    <row r="33" ht="13.9" spans="1:30">
      <c r="A33" s="304" t="s">
        <v>586</v>
      </c>
      <c r="B33" s="305">
        <f>IFERROR(VLOOKUP($A33,'Solar10-12'!$N$3:$Q$20,2,FALSE),0)/1000</f>
        <v>90.33</v>
      </c>
      <c r="C33" s="305">
        <f>MAX(B33,IFERROR(VLOOKUP($A33,'Solar10-12'!$N$3:$Q$20,3,FALSE),0)/1000)</f>
        <v>491.33</v>
      </c>
      <c r="D33" s="305">
        <f>MAX(C33,IFERROR(VLOOKUP($A33,'Solar10-12'!$N$3:$Q$20,4,FALSE),0)/1000)</f>
        <v>530.83</v>
      </c>
      <c r="E33" s="299">
        <f>MAX(D33,VLOOKUP($A33,'Solar14-16'!$S$5:$AA$35,4,FALSE)*10)</f>
        <v>1350</v>
      </c>
      <c r="F33" s="299">
        <f>MAX(VLOOKUP($A33,'Solar14-16'!$S$5:$AA$35,6,FALSE)*10,E33)</f>
        <v>2160</v>
      </c>
      <c r="G33" s="299">
        <f>MAX(VLOOKUP($A33,'Solar14-16'!$S$5:$AA$35,8,FALSE)*10,F33)</f>
        <v>3060</v>
      </c>
      <c r="H33" s="299">
        <f>MAX(G33,VLOOKUP($A33,'Solar14-16'!$S$5:$AA$35,9,FALSE)*10)</f>
        <v>5050</v>
      </c>
      <c r="I33" s="306">
        <f>MAX(H33,VLOOKUP($A33,'Solar17-22'!$A$4:$G$35,2,FALSE)*10)</f>
        <v>5870</v>
      </c>
      <c r="J33" s="306">
        <f>MAX(I33,VLOOKUP($A33,'Solar17-22'!$A$4:$G$35,3,FALSE)*10)</f>
        <v>7610</v>
      </c>
      <c r="K33" s="306">
        <f>MAX(J33,VLOOKUP($A33,'Solar17-22'!$A$4:$G$35,4,FALSE)*10)</f>
        <v>8440</v>
      </c>
      <c r="L33" s="306">
        <f>MAX(K33,VLOOKUP($A33,'Solar17-22'!$A$4:$G$35,5,FALSE)*10)</f>
        <v>11219.6</v>
      </c>
      <c r="M33" s="306">
        <f>MAX(L33,VLOOKUP($A33,'Solar17-22'!$A$4:$G$35,6,FALSE)*10)</f>
        <v>13033.6</v>
      </c>
      <c r="N33" s="306">
        <f>MAX(M33,VLOOKUP($A33,'Solar17-22'!$A$4:$G$35,7,FALSE)*10)</f>
        <v>14916</v>
      </c>
      <c r="O33" s="306">
        <f t="shared" si="14"/>
        <v>90.33</v>
      </c>
      <c r="P33" s="306">
        <f t="shared" si="15"/>
        <v>401</v>
      </c>
      <c r="Q33" s="306">
        <f t="shared" si="16"/>
        <v>39.5000000000001</v>
      </c>
      <c r="R33" s="306">
        <f t="shared" si="17"/>
        <v>819.17</v>
      </c>
      <c r="S33" s="306">
        <f t="shared" si="18"/>
        <v>810</v>
      </c>
      <c r="T33" s="306">
        <f t="shared" si="19"/>
        <v>900</v>
      </c>
      <c r="U33" s="306">
        <f t="shared" si="20"/>
        <v>1990</v>
      </c>
      <c r="V33" s="306">
        <f t="shared" si="21"/>
        <v>820</v>
      </c>
      <c r="W33" s="306">
        <f t="shared" si="22"/>
        <v>1740</v>
      </c>
      <c r="X33" s="306">
        <f t="shared" si="23"/>
        <v>830</v>
      </c>
      <c r="Y33" s="306">
        <f t="shared" si="24"/>
        <v>2779.6</v>
      </c>
      <c r="Z33" s="306">
        <f t="shared" si="25"/>
        <v>1814</v>
      </c>
      <c r="AA33" s="306">
        <f t="shared" si="26"/>
        <v>1882.4</v>
      </c>
      <c r="AB33" s="307"/>
      <c r="AC33" s="307"/>
      <c r="AD33" s="307"/>
    </row>
    <row r="34" ht="13.9" spans="1:30">
      <c r="A34" s="304" t="s">
        <v>587</v>
      </c>
      <c r="B34" s="305">
        <f>IFERROR(VLOOKUP($A34,'Solar10-12'!$N$3:$Q$20,2,FALSE),0)/1000</f>
        <v>0</v>
      </c>
      <c r="C34" s="305">
        <f>MAX(B34,IFERROR(VLOOKUP($A34,'Solar10-12'!$N$3:$Q$20,3,FALSE),0)/1000)</f>
        <v>0</v>
      </c>
      <c r="D34" s="305">
        <f>MAX(C34,IFERROR(VLOOKUP($A34,'Solar10-12'!$N$3:$Q$20,4,FALSE),0)/1000)</f>
        <v>180</v>
      </c>
      <c r="E34" s="299">
        <f>MAX(D34,VLOOKUP($A34,'Solar14-16'!$S$5:$AA$35,4,FALSE)*10)</f>
        <v>2930</v>
      </c>
      <c r="F34" s="299">
        <f>MAX(VLOOKUP($A34,'Solar14-16'!$S$5:$AA$35,6,FALSE)*10,E34)</f>
        <v>3520</v>
      </c>
      <c r="G34" s="299">
        <f>MAX(VLOOKUP($A34,'Solar14-16'!$S$5:$AA$35,8,FALSE)*10,F34)</f>
        <v>5290</v>
      </c>
      <c r="H34" s="299">
        <f>MAX(G34,VLOOKUP($A34,'Solar14-16'!$S$5:$AA$35,9,FALSE)*10)</f>
        <v>8620</v>
      </c>
      <c r="I34" s="306">
        <f>MAX(H34,VLOOKUP($A34,'Solar17-22'!$A$4:$G$35,2,FALSE)*10+VLOOKUP("新疆建设兵团",'Solar17-22'!$A$4:$G$35,2,FALSE)*10)</f>
        <v>9330</v>
      </c>
      <c r="J34" s="306">
        <f>MAX(I34,VLOOKUP($A34,'Solar17-22'!$A$4:$G$35,3,FALSE)*10+VLOOKUP("新疆建设兵团",'Solar17-22'!$A$4:$G$35,3,FALSE)*10)</f>
        <v>9760</v>
      </c>
      <c r="K34" s="306">
        <f>MAX(J34,VLOOKUP($A34,'Solar17-22'!$A$4:$G$35,4,FALSE)*10+VLOOKUP("新疆建设兵团",'Solar17-22'!$A$4:$G$35,4,FALSE)*10)</f>
        <v>10660</v>
      </c>
      <c r="L34" s="306">
        <f>MAX(K34,VLOOKUP($A34,'Solar17-22'!$A$4:$G$35,5,FALSE)*10+VLOOKUP("新疆建设兵团",'Solar17-22'!$A$4:$G$35,5,FALSE)*10)</f>
        <v>12826.8</v>
      </c>
      <c r="M34" s="306">
        <f>MAX(L34,VLOOKUP($A34,'Solar17-22'!$A$4:$G$35,6,FALSE)*10+VLOOKUP("新疆建设兵团",'Solar17-22'!$A$4:$G$35,6,FALSE)*10)</f>
        <v>13319.8</v>
      </c>
      <c r="N34" s="306">
        <f>MAX(M34,VLOOKUP($A34,'Solar17-22'!$A$4:$G$35,7,FALSE)*10+VLOOKUP("新疆建设兵团",'Solar17-22'!$A$4:$G$35,7,FALSE)*10)</f>
        <v>15461</v>
      </c>
      <c r="O34" s="306">
        <f t="shared" si="14"/>
        <v>0</v>
      </c>
      <c r="P34" s="306">
        <f t="shared" si="15"/>
        <v>0</v>
      </c>
      <c r="Q34" s="306">
        <f t="shared" si="16"/>
        <v>180</v>
      </c>
      <c r="R34" s="306">
        <f t="shared" si="17"/>
        <v>2750</v>
      </c>
      <c r="S34" s="306">
        <f t="shared" si="18"/>
        <v>590</v>
      </c>
      <c r="T34" s="306">
        <f t="shared" si="19"/>
        <v>1770</v>
      </c>
      <c r="U34" s="306">
        <f t="shared" si="20"/>
        <v>3330</v>
      </c>
      <c r="V34" s="306">
        <f t="shared" si="21"/>
        <v>710</v>
      </c>
      <c r="W34" s="306">
        <f t="shared" si="22"/>
        <v>430</v>
      </c>
      <c r="X34" s="306">
        <f t="shared" si="23"/>
        <v>900</v>
      </c>
      <c r="Y34" s="306">
        <f t="shared" si="24"/>
        <v>2166.8</v>
      </c>
      <c r="Z34" s="306">
        <f t="shared" si="25"/>
        <v>493</v>
      </c>
      <c r="AA34" s="306">
        <f t="shared" si="26"/>
        <v>2141.2</v>
      </c>
      <c r="AB34" s="307"/>
      <c r="AC34" s="307"/>
      <c r="AD34" s="307"/>
    </row>
  </sheetData>
  <mergeCells count="2">
    <mergeCell ref="B1:N1"/>
    <mergeCell ref="O1:AA1"/>
  </mergeCells>
  <conditionalFormatting sqref="P4:AA34">
    <cfRule type="cellIs" dxfId="58" priority="1" operator="less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D15" sqref="D15"/>
    </sheetView>
  </sheetViews>
  <sheetFormatPr defaultColWidth="12.4247787610619" defaultRowHeight="15"/>
  <cols>
    <col min="1" max="1" width="51.5752212389381" style="286" customWidth="1"/>
    <col min="2" max="3" width="9.85840707964602" style="286" customWidth="1"/>
    <col min="4" max="4" width="21.283185840708" style="286" customWidth="1"/>
    <col min="5" max="5" width="16.4247787610619" style="286" hidden="1" customWidth="1"/>
    <col min="6" max="6" width="16.7079646017699" style="287" customWidth="1"/>
    <col min="7" max="8" width="15.7079646017699" style="287" hidden="1" customWidth="1"/>
    <col min="9" max="9" width="65.283185840708" style="287" hidden="1" customWidth="1"/>
    <col min="10" max="10" width="12.4247787610619" style="287" hidden="1" customWidth="1"/>
    <col min="11" max="11" width="22.283185840708" style="286" hidden="1" customWidth="1"/>
    <col min="12" max="16384" width="12.4247787610619" style="287"/>
  </cols>
  <sheetData>
    <row r="1" spans="1:11">
      <c r="A1" s="286" t="s">
        <v>588</v>
      </c>
      <c r="B1" s="286" t="s">
        <v>589</v>
      </c>
      <c r="C1" s="286" t="s">
        <v>590</v>
      </c>
      <c r="D1" s="286" t="s">
        <v>591</v>
      </c>
      <c r="E1" s="286" t="s">
        <v>172</v>
      </c>
      <c r="F1" s="287" t="s">
        <v>592</v>
      </c>
      <c r="G1" s="287" t="s">
        <v>593</v>
      </c>
      <c r="H1" s="287" t="s">
        <v>594</v>
      </c>
      <c r="I1" s="287" t="s">
        <v>595</v>
      </c>
      <c r="J1" s="287" t="s">
        <v>596</v>
      </c>
      <c r="K1" s="286" t="s">
        <v>597</v>
      </c>
    </row>
    <row r="2" ht="30" spans="1:11">
      <c r="A2" s="288" t="s">
        <v>598</v>
      </c>
      <c r="B2" s="288" t="s">
        <v>599</v>
      </c>
      <c r="C2" s="288">
        <v>2021</v>
      </c>
      <c r="D2" s="288" t="s">
        <v>138</v>
      </c>
      <c r="E2" s="289" t="s">
        <v>600</v>
      </c>
      <c r="F2" s="287">
        <v>50</v>
      </c>
      <c r="G2" s="287">
        <v>1.975</v>
      </c>
      <c r="H2" s="287" t="s">
        <v>601</v>
      </c>
      <c r="I2" s="287" t="s">
        <v>602</v>
      </c>
      <c r="J2" s="287" t="s">
        <v>603</v>
      </c>
    </row>
    <row r="3" ht="45" spans="1:11">
      <c r="A3" s="290" t="s">
        <v>604</v>
      </c>
      <c r="B3" s="288" t="s">
        <v>599</v>
      </c>
      <c r="C3" s="290">
        <v>2019</v>
      </c>
      <c r="D3" s="290" t="s">
        <v>136</v>
      </c>
      <c r="E3" s="289" t="s">
        <v>605</v>
      </c>
      <c r="F3" s="287">
        <v>100</v>
      </c>
      <c r="G3" s="287">
        <v>3.9</v>
      </c>
      <c r="H3" s="287" t="s">
        <v>606</v>
      </c>
      <c r="I3" s="287" t="s">
        <v>607</v>
      </c>
      <c r="J3" s="287" t="s">
        <v>603</v>
      </c>
    </row>
    <row r="4" ht="30" spans="1:11">
      <c r="A4" s="290" t="s">
        <v>608</v>
      </c>
      <c r="B4" s="288" t="s">
        <v>599</v>
      </c>
      <c r="C4" s="290">
        <v>2018</v>
      </c>
      <c r="D4" s="290" t="s">
        <v>138</v>
      </c>
      <c r="E4" s="289" t="s">
        <v>609</v>
      </c>
      <c r="F4" s="287">
        <v>50</v>
      </c>
      <c r="G4" s="287">
        <v>1.46</v>
      </c>
      <c r="H4" s="287" t="s">
        <v>606</v>
      </c>
      <c r="I4" s="291" t="s">
        <v>610</v>
      </c>
      <c r="J4" s="287" t="s">
        <v>603</v>
      </c>
    </row>
    <row r="5" ht="45" spans="1:11">
      <c r="A5" s="290" t="s">
        <v>611</v>
      </c>
      <c r="B5" s="288" t="s">
        <v>599</v>
      </c>
      <c r="C5" s="290">
        <v>2019</v>
      </c>
      <c r="D5" s="290" t="s">
        <v>138</v>
      </c>
      <c r="E5" s="289" t="s">
        <v>612</v>
      </c>
      <c r="F5" s="287">
        <v>50</v>
      </c>
      <c r="G5" s="287">
        <v>1.569</v>
      </c>
      <c r="H5" s="287" t="s">
        <v>606</v>
      </c>
      <c r="I5" s="291" t="s">
        <v>613</v>
      </c>
      <c r="J5" s="287" t="s">
        <v>603</v>
      </c>
    </row>
    <row r="6" ht="45" spans="1:11">
      <c r="A6" s="290" t="s">
        <v>614</v>
      </c>
      <c r="B6" s="288" t="s">
        <v>599</v>
      </c>
      <c r="C6" s="290">
        <v>2019</v>
      </c>
      <c r="D6" s="290" t="s">
        <v>142</v>
      </c>
      <c r="E6" s="289" t="s">
        <v>615</v>
      </c>
      <c r="F6" s="287">
        <v>50</v>
      </c>
      <c r="G6" s="287">
        <v>1.983</v>
      </c>
      <c r="H6" s="287" t="s">
        <v>606</v>
      </c>
      <c r="I6" s="291" t="s">
        <v>616</v>
      </c>
      <c r="J6" s="287" t="s">
        <v>603</v>
      </c>
      <c r="K6" s="286" t="s">
        <v>617</v>
      </c>
    </row>
    <row r="7" ht="45" spans="1:11">
      <c r="A7" s="290" t="s">
        <v>618</v>
      </c>
      <c r="B7" s="288" t="s">
        <v>599</v>
      </c>
      <c r="C7" s="290">
        <v>2020</v>
      </c>
      <c r="D7" s="290" t="s">
        <v>136</v>
      </c>
      <c r="E7" s="289" t="s">
        <v>619</v>
      </c>
      <c r="F7" s="287">
        <v>50</v>
      </c>
      <c r="G7" s="287">
        <v>2.14</v>
      </c>
      <c r="H7" s="291" t="s">
        <v>620</v>
      </c>
      <c r="I7" s="291" t="s">
        <v>621</v>
      </c>
      <c r="J7" s="287" t="s">
        <v>603</v>
      </c>
    </row>
    <row r="8" ht="45" spans="1:11">
      <c r="A8" s="290" t="s">
        <v>622</v>
      </c>
      <c r="B8" s="288" t="s">
        <v>599</v>
      </c>
      <c r="C8" s="290">
        <v>2022</v>
      </c>
      <c r="D8" s="290" t="s">
        <v>90</v>
      </c>
      <c r="E8" s="289" t="s">
        <v>623</v>
      </c>
      <c r="F8" s="287">
        <v>100</v>
      </c>
      <c r="G8" s="287">
        <v>3.92</v>
      </c>
      <c r="H8" s="287" t="s">
        <v>601</v>
      </c>
      <c r="I8" s="291" t="s">
        <v>624</v>
      </c>
      <c r="J8" s="287" t="s">
        <v>603</v>
      </c>
      <c r="K8" s="286" t="s">
        <v>625</v>
      </c>
    </row>
    <row r="9" spans="1:11">
      <c r="A9" s="290" t="s">
        <v>626</v>
      </c>
      <c r="B9" s="288" t="s">
        <v>599</v>
      </c>
      <c r="C9" s="290">
        <v>2020</v>
      </c>
      <c r="D9" s="290" t="s">
        <v>138</v>
      </c>
      <c r="E9" s="289" t="s">
        <v>627</v>
      </c>
      <c r="F9" s="287">
        <v>50</v>
      </c>
      <c r="G9" s="287">
        <v>1.6</v>
      </c>
      <c r="H9" s="287" t="s">
        <v>606</v>
      </c>
      <c r="I9" s="287" t="s">
        <v>628</v>
      </c>
      <c r="J9" s="287" t="s">
        <v>603</v>
      </c>
    </row>
    <row r="10" ht="30" spans="1:11">
      <c r="A10" s="290" t="s">
        <v>629</v>
      </c>
      <c r="B10" s="288" t="s">
        <v>599</v>
      </c>
      <c r="C10" s="290">
        <v>2022</v>
      </c>
      <c r="D10" s="290" t="s">
        <v>136</v>
      </c>
      <c r="E10" s="289" t="s">
        <v>630</v>
      </c>
      <c r="F10" s="287">
        <v>50</v>
      </c>
      <c r="G10" s="287">
        <v>2.16</v>
      </c>
      <c r="H10" s="287" t="s">
        <v>606</v>
      </c>
      <c r="I10" s="292">
        <v>44560</v>
      </c>
      <c r="J10" s="287" t="s">
        <v>603</v>
      </c>
      <c r="K10" s="292" t="s">
        <v>631</v>
      </c>
    </row>
    <row r="11" ht="30" spans="1:11">
      <c r="A11" s="293" t="s">
        <v>632</v>
      </c>
      <c r="B11" s="293"/>
      <c r="C11" s="293"/>
      <c r="D11" s="293" t="s">
        <v>136</v>
      </c>
      <c r="E11" s="293"/>
      <c r="F11" s="287">
        <v>50</v>
      </c>
      <c r="G11" s="287">
        <v>2.56</v>
      </c>
      <c r="H11" s="287" t="s">
        <v>601</v>
      </c>
      <c r="J11" s="287" t="s">
        <v>633</v>
      </c>
      <c r="K11" s="292" t="s">
        <v>634</v>
      </c>
    </row>
    <row r="12" ht="45" spans="1:11">
      <c r="A12" s="293" t="s">
        <v>635</v>
      </c>
      <c r="B12" s="293"/>
      <c r="C12" s="293"/>
      <c r="D12" s="293" t="s">
        <v>138</v>
      </c>
      <c r="E12" s="293"/>
      <c r="F12" s="287">
        <v>135</v>
      </c>
      <c r="H12" s="287" t="s">
        <v>606</v>
      </c>
      <c r="J12" s="287" t="s">
        <v>633</v>
      </c>
      <c r="K12" s="286" t="s">
        <v>636</v>
      </c>
    </row>
    <row r="13" ht="30" spans="1:11">
      <c r="A13" s="293" t="s">
        <v>637</v>
      </c>
      <c r="B13" s="293"/>
      <c r="C13" s="293"/>
      <c r="D13" s="293"/>
      <c r="E13" s="293"/>
      <c r="F13" s="287">
        <v>100</v>
      </c>
      <c r="G13" s="287">
        <v>13.7</v>
      </c>
      <c r="H13" s="287" t="s">
        <v>606</v>
      </c>
      <c r="I13" s="287" t="s">
        <v>638</v>
      </c>
      <c r="K13" s="292">
        <v>44645</v>
      </c>
    </row>
    <row r="14" ht="30" spans="1:11">
      <c r="A14" s="293" t="s">
        <v>639</v>
      </c>
      <c r="B14" s="293"/>
      <c r="C14" s="293"/>
      <c r="D14" s="293"/>
      <c r="E14" s="293"/>
      <c r="F14" s="287">
        <v>50</v>
      </c>
      <c r="G14" s="287">
        <v>1.21</v>
      </c>
      <c r="H14" s="287" t="s">
        <v>606</v>
      </c>
    </row>
    <row r="15" ht="30" spans="1:11">
      <c r="A15" s="294" t="s">
        <v>640</v>
      </c>
      <c r="B15" s="294"/>
      <c r="C15" s="294"/>
      <c r="D15" s="294"/>
      <c r="E15" s="294"/>
      <c r="F15" s="287">
        <v>100</v>
      </c>
      <c r="H15" s="287" t="s">
        <v>606</v>
      </c>
      <c r="J15" s="287" t="s">
        <v>641</v>
      </c>
    </row>
    <row r="16" ht="30" spans="1:11">
      <c r="A16" s="294" t="s">
        <v>642</v>
      </c>
      <c r="B16" s="294"/>
      <c r="C16" s="294"/>
      <c r="D16" s="294" t="s">
        <v>136</v>
      </c>
      <c r="E16" s="294"/>
      <c r="F16" s="287">
        <v>50</v>
      </c>
      <c r="H16" s="287" t="s">
        <v>601</v>
      </c>
      <c r="K16" s="286" t="s">
        <v>643</v>
      </c>
    </row>
    <row r="17" spans="1:12">
      <c r="A17" s="295" t="s">
        <v>644</v>
      </c>
      <c r="B17" s="295"/>
      <c r="C17" s="295"/>
      <c r="D17" s="295"/>
      <c r="E17" s="295"/>
      <c r="F17" s="287">
        <v>50</v>
      </c>
      <c r="H17" s="287" t="s">
        <v>601</v>
      </c>
      <c r="K17" s="286" t="s">
        <v>645</v>
      </c>
    </row>
    <row r="18" ht="30" spans="1:12">
      <c r="A18" s="294" t="s">
        <v>646</v>
      </c>
      <c r="B18" s="294"/>
      <c r="C18" s="294"/>
      <c r="D18" s="294"/>
      <c r="E18" s="294"/>
      <c r="F18" s="287">
        <v>100</v>
      </c>
      <c r="H18" s="287" t="s">
        <v>601</v>
      </c>
    </row>
    <row r="19" ht="30" spans="1:12">
      <c r="A19" s="294" t="s">
        <v>647</v>
      </c>
      <c r="B19" s="294"/>
      <c r="C19" s="294"/>
      <c r="D19" s="294"/>
      <c r="E19" s="294"/>
      <c r="F19" s="287">
        <v>64</v>
      </c>
      <c r="G19" s="287">
        <v>3.5</v>
      </c>
      <c r="H19" s="287" t="s">
        <v>601</v>
      </c>
      <c r="K19" s="292" t="s">
        <v>648</v>
      </c>
    </row>
    <row r="20" ht="30" spans="1:12">
      <c r="A20" s="294" t="s">
        <v>649</v>
      </c>
      <c r="B20" s="294"/>
      <c r="C20" s="294"/>
      <c r="D20" s="294"/>
      <c r="E20" s="294"/>
      <c r="F20" s="287">
        <v>50</v>
      </c>
      <c r="H20" s="291" t="s">
        <v>620</v>
      </c>
      <c r="J20" s="287" t="s">
        <v>641</v>
      </c>
    </row>
    <row r="21" ht="30" spans="1:12">
      <c r="A21" s="294" t="s">
        <v>650</v>
      </c>
      <c r="B21" s="294"/>
      <c r="C21" s="294"/>
      <c r="D21" s="294"/>
      <c r="E21" s="294"/>
      <c r="F21" s="287">
        <v>50</v>
      </c>
      <c r="H21" s="291" t="s">
        <v>620</v>
      </c>
      <c r="J21" s="287" t="s">
        <v>641</v>
      </c>
    </row>
    <row r="22" ht="30" spans="1:12">
      <c r="A22" s="294" t="s">
        <v>651</v>
      </c>
      <c r="B22" s="294"/>
      <c r="C22" s="294"/>
      <c r="D22" s="294"/>
      <c r="E22" s="294"/>
      <c r="F22" s="287">
        <v>50</v>
      </c>
      <c r="H22" s="291" t="s">
        <v>620</v>
      </c>
      <c r="K22" s="292">
        <v>42842</v>
      </c>
    </row>
    <row r="27" spans="1:12">
      <c r="L27" s="296"/>
    </row>
    <row r="28" spans="1:12">
      <c r="L28" s="296"/>
    </row>
    <row r="29" spans="1:12">
      <c r="L29" s="296"/>
    </row>
    <row r="30" spans="1:12">
      <c r="L30" s="296"/>
    </row>
  </sheetData>
  <autoFilter xmlns:etc="http://www.wps.cn/officeDocument/2017/etCustomData" ref="A1:K22" etc:filterBottomFollowUsedRange="0">
    <extLst/>
  </autoFilter>
  <mergeCells count="1">
    <mergeCell ref="L27:L30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E35" sqref="E35"/>
    </sheetView>
  </sheetViews>
  <sheetFormatPr defaultColWidth="9" defaultRowHeight="13.1"/>
  <cols>
    <col min="1" max="1" width="21.5752212389381" style="220" customWidth="1"/>
    <col min="2" max="2" width="11.283185840708" style="220" customWidth="1"/>
    <col min="3" max="4" width="9.13274336283186" style="220"/>
    <col min="5" max="5" width="12.1327433628319" style="220" customWidth="1"/>
    <col min="6" max="6" width="12.5752212389381" style="220" customWidth="1"/>
    <col min="7" max="7" width="11.1327433628319" style="220" customWidth="1"/>
    <col min="8" max="8" width="10" style="220" customWidth="1"/>
    <col min="9" max="9" width="12.5752212389381" style="220" customWidth="1"/>
    <col min="10" max="10" width="10" style="220" customWidth="1"/>
    <col min="11" max="11" width="12.5752212389381" style="220" customWidth="1"/>
    <col min="12" max="16384" width="9.13274336283186" style="220"/>
  </cols>
  <sheetData>
    <row r="1" ht="13.5" spans="1:11">
      <c r="A1" s="256" t="s">
        <v>652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ht="13.85" spans="1:11">
      <c r="A2" s="257" t="s">
        <v>653</v>
      </c>
      <c r="B2" s="258" t="s">
        <v>654</v>
      </c>
      <c r="C2" s="259" t="s">
        <v>655</v>
      </c>
      <c r="D2" s="260"/>
      <c r="E2" s="261" t="s">
        <v>656</v>
      </c>
      <c r="F2" s="262" t="s">
        <v>657</v>
      </c>
      <c r="G2" s="263"/>
      <c r="H2" s="262" t="s">
        <v>658</v>
      </c>
      <c r="I2" s="263"/>
      <c r="J2" s="262" t="s">
        <v>659</v>
      </c>
      <c r="K2" s="263"/>
    </row>
    <row r="3" ht="27.4" spans="1:11">
      <c r="A3" s="264"/>
      <c r="B3" s="265"/>
      <c r="C3" s="266"/>
      <c r="D3" s="267"/>
      <c r="E3" s="268"/>
      <c r="F3" s="269" t="s">
        <v>654</v>
      </c>
      <c r="G3" s="270" t="s">
        <v>655</v>
      </c>
      <c r="H3" s="270" t="s">
        <v>660</v>
      </c>
      <c r="I3" s="271" t="s">
        <v>661</v>
      </c>
      <c r="J3" s="270" t="s">
        <v>660</v>
      </c>
      <c r="K3" s="271" t="s">
        <v>661</v>
      </c>
    </row>
    <row r="4" ht="13.85" spans="1:11">
      <c r="A4" s="272" t="s">
        <v>662</v>
      </c>
      <c r="B4" s="273">
        <v>47</v>
      </c>
      <c r="C4" s="274">
        <v>1085.63</v>
      </c>
      <c r="D4" s="275"/>
      <c r="E4" s="276">
        <v>0.2695</v>
      </c>
      <c r="F4" s="277">
        <v>13</v>
      </c>
      <c r="G4" s="277">
        <v>507</v>
      </c>
      <c r="H4" s="277">
        <v>30</v>
      </c>
      <c r="I4" s="278">
        <v>551.03</v>
      </c>
      <c r="J4" s="277">
        <v>4</v>
      </c>
      <c r="K4" s="279">
        <v>27.6</v>
      </c>
    </row>
    <row r="5" ht="13.9" spans="1:11">
      <c r="A5" s="272" t="s">
        <v>663</v>
      </c>
      <c r="B5" s="273">
        <v>25</v>
      </c>
      <c r="C5" s="280">
        <v>646.1</v>
      </c>
      <c r="D5" s="281"/>
      <c r="E5" s="276">
        <v>0.1604</v>
      </c>
      <c r="F5" s="277">
        <v>10</v>
      </c>
      <c r="G5" s="279">
        <v>359.8</v>
      </c>
      <c r="H5" s="277">
        <v>15</v>
      </c>
      <c r="I5" s="279">
        <v>286.3</v>
      </c>
      <c r="J5" s="282" t="s">
        <v>664</v>
      </c>
      <c r="K5" s="282" t="s">
        <v>664</v>
      </c>
    </row>
    <row r="6" ht="13.9" spans="1:11">
      <c r="A6" s="272" t="s">
        <v>665</v>
      </c>
      <c r="B6" s="273">
        <v>20</v>
      </c>
      <c r="C6" s="274">
        <v>511.26</v>
      </c>
      <c r="D6" s="275"/>
      <c r="E6" s="276">
        <v>0.1269</v>
      </c>
      <c r="F6" s="277">
        <v>9</v>
      </c>
      <c r="G6" s="279">
        <v>350.4</v>
      </c>
      <c r="H6" s="277">
        <v>11</v>
      </c>
      <c r="I6" s="278">
        <v>160.86</v>
      </c>
      <c r="J6" s="282" t="s">
        <v>664</v>
      </c>
      <c r="K6" s="282" t="s">
        <v>664</v>
      </c>
    </row>
    <row r="7" ht="13.85" spans="1:11">
      <c r="A7" s="272" t="s">
        <v>666</v>
      </c>
      <c r="B7" s="273">
        <v>17</v>
      </c>
      <c r="C7" s="274">
        <v>481.28</v>
      </c>
      <c r="D7" s="275"/>
      <c r="E7" s="276">
        <v>0.1195</v>
      </c>
      <c r="F7" s="277">
        <v>10</v>
      </c>
      <c r="G7" s="278">
        <v>427.98</v>
      </c>
      <c r="H7" s="277">
        <v>2</v>
      </c>
      <c r="I7" s="279">
        <v>23.4</v>
      </c>
      <c r="J7" s="277">
        <v>5</v>
      </c>
      <c r="K7" s="279">
        <v>29.9</v>
      </c>
    </row>
    <row r="8" ht="13.9" spans="1:11">
      <c r="A8" s="272" t="s">
        <v>667</v>
      </c>
      <c r="B8" s="273">
        <v>12</v>
      </c>
      <c r="C8" s="280">
        <v>405.8</v>
      </c>
      <c r="D8" s="281"/>
      <c r="E8" s="276">
        <v>0.1007</v>
      </c>
      <c r="F8" s="277">
        <v>10</v>
      </c>
      <c r="G8" s="279">
        <v>374.6</v>
      </c>
      <c r="H8" s="277">
        <v>2</v>
      </c>
      <c r="I8" s="279">
        <v>31.2</v>
      </c>
      <c r="J8" s="282" t="s">
        <v>664</v>
      </c>
      <c r="K8" s="282" t="s">
        <v>664</v>
      </c>
    </row>
    <row r="9" ht="13.85" spans="1:11">
      <c r="A9" s="272" t="s">
        <v>668</v>
      </c>
      <c r="B9" s="273">
        <v>8</v>
      </c>
      <c r="C9" s="280">
        <v>286.8</v>
      </c>
      <c r="D9" s="281"/>
      <c r="E9" s="276">
        <v>0.0712</v>
      </c>
      <c r="F9" s="277">
        <v>3</v>
      </c>
      <c r="G9" s="277">
        <v>209</v>
      </c>
      <c r="H9" s="277">
        <v>2</v>
      </c>
      <c r="I9" s="279">
        <v>50.8</v>
      </c>
      <c r="J9" s="277">
        <v>3</v>
      </c>
      <c r="K9" s="277">
        <v>27</v>
      </c>
    </row>
    <row r="10" ht="13.9" spans="1:11">
      <c r="A10" s="272" t="s">
        <v>669</v>
      </c>
      <c r="B10" s="273">
        <v>4</v>
      </c>
      <c r="C10" s="283">
        <v>156</v>
      </c>
      <c r="D10" s="273"/>
      <c r="E10" s="276">
        <v>0.0387</v>
      </c>
      <c r="F10" s="277">
        <v>4</v>
      </c>
      <c r="G10" s="277">
        <v>156</v>
      </c>
      <c r="H10" s="282" t="s">
        <v>664</v>
      </c>
      <c r="I10" s="282" t="s">
        <v>664</v>
      </c>
      <c r="J10" s="282" t="s">
        <v>664</v>
      </c>
      <c r="K10" s="282" t="s">
        <v>664</v>
      </c>
    </row>
    <row r="11" ht="13.9" spans="1:11">
      <c r="A11" s="272" t="s">
        <v>670</v>
      </c>
      <c r="B11" s="273">
        <v>372</v>
      </c>
      <c r="C11" s="274">
        <v>82.42</v>
      </c>
      <c r="D11" s="275"/>
      <c r="E11" s="276">
        <v>0.0205</v>
      </c>
      <c r="F11" s="282" t="s">
        <v>664</v>
      </c>
      <c r="G11" s="282" t="s">
        <v>664</v>
      </c>
      <c r="H11" s="282" t="s">
        <v>664</v>
      </c>
      <c r="I11" s="282" t="s">
        <v>664</v>
      </c>
      <c r="J11" s="277">
        <v>372</v>
      </c>
      <c r="K11" s="284">
        <v>82.424</v>
      </c>
    </row>
    <row r="12" ht="13.9" spans="1:11">
      <c r="A12" s="272" t="s">
        <v>671</v>
      </c>
      <c r="B12" s="273">
        <v>7</v>
      </c>
      <c r="C12" s="274">
        <v>52.96</v>
      </c>
      <c r="D12" s="275"/>
      <c r="E12" s="276">
        <v>0.0131</v>
      </c>
      <c r="F12" s="282" t="s">
        <v>664</v>
      </c>
      <c r="G12" s="282" t="s">
        <v>664</v>
      </c>
      <c r="H12" s="277">
        <v>2</v>
      </c>
      <c r="I12" s="278">
        <v>27.76</v>
      </c>
      <c r="J12" s="277">
        <v>5</v>
      </c>
      <c r="K12" s="279">
        <v>25.2</v>
      </c>
    </row>
    <row r="13" ht="13.9" spans="1:11">
      <c r="A13" s="272" t="s">
        <v>672</v>
      </c>
      <c r="B13" s="273">
        <v>39</v>
      </c>
      <c r="C13" s="274">
        <v>45.96</v>
      </c>
      <c r="D13" s="275"/>
      <c r="E13" s="276">
        <v>0.0114</v>
      </c>
      <c r="F13" s="282" t="s">
        <v>664</v>
      </c>
      <c r="G13" s="282" t="s">
        <v>664</v>
      </c>
      <c r="H13" s="282" t="s">
        <v>664</v>
      </c>
      <c r="I13" s="282" t="s">
        <v>664</v>
      </c>
      <c r="J13" s="277">
        <v>39</v>
      </c>
      <c r="K13" s="284">
        <v>45.962</v>
      </c>
    </row>
    <row r="14" ht="13.9" spans="1:11">
      <c r="A14" s="272" t="s">
        <v>673</v>
      </c>
      <c r="B14" s="273">
        <v>2</v>
      </c>
      <c r="C14" s="283">
        <v>39</v>
      </c>
      <c r="D14" s="273"/>
      <c r="E14" s="276">
        <v>0.0097</v>
      </c>
      <c r="F14" s="282" t="s">
        <v>664</v>
      </c>
      <c r="G14" s="282" t="s">
        <v>664</v>
      </c>
      <c r="H14" s="277">
        <v>2</v>
      </c>
      <c r="I14" s="277">
        <v>39</v>
      </c>
      <c r="J14" s="282" t="s">
        <v>664</v>
      </c>
      <c r="K14" s="282" t="s">
        <v>664</v>
      </c>
    </row>
    <row r="15" ht="13.9" spans="1:11">
      <c r="A15" s="272" t="s">
        <v>674</v>
      </c>
      <c r="B15" s="273">
        <v>2</v>
      </c>
      <c r="C15" s="283">
        <v>39</v>
      </c>
      <c r="D15" s="273"/>
      <c r="E15" s="276">
        <v>0.0097</v>
      </c>
      <c r="F15" s="282" t="s">
        <v>664</v>
      </c>
      <c r="G15" s="282" t="s">
        <v>664</v>
      </c>
      <c r="H15" s="277">
        <v>2</v>
      </c>
      <c r="I15" s="277">
        <v>39</v>
      </c>
      <c r="J15" s="282" t="s">
        <v>664</v>
      </c>
      <c r="K15" s="282" t="s">
        <v>664</v>
      </c>
    </row>
    <row r="16" ht="13.9" spans="1:11">
      <c r="A16" s="272" t="s">
        <v>675</v>
      </c>
      <c r="B16" s="273">
        <v>2</v>
      </c>
      <c r="C16" s="274">
        <v>36.15</v>
      </c>
      <c r="D16" s="275"/>
      <c r="E16" s="276">
        <v>0.009</v>
      </c>
      <c r="F16" s="282" t="s">
        <v>664</v>
      </c>
      <c r="G16" s="282" t="s">
        <v>664</v>
      </c>
      <c r="H16" s="277">
        <v>2</v>
      </c>
      <c r="I16" s="278">
        <v>36.15</v>
      </c>
      <c r="J16" s="282" t="s">
        <v>664</v>
      </c>
      <c r="K16" s="282" t="s">
        <v>664</v>
      </c>
    </row>
    <row r="17" ht="13.9" spans="1:11">
      <c r="A17" s="272" t="s">
        <v>676</v>
      </c>
      <c r="B17" s="273">
        <v>1</v>
      </c>
      <c r="C17" s="283">
        <v>30</v>
      </c>
      <c r="D17" s="273"/>
      <c r="E17" s="276">
        <v>0.0074</v>
      </c>
      <c r="F17" s="277">
        <v>1</v>
      </c>
      <c r="G17" s="277">
        <v>30</v>
      </c>
      <c r="H17" s="282" t="s">
        <v>664</v>
      </c>
      <c r="I17" s="282" t="s">
        <v>664</v>
      </c>
      <c r="J17" s="282" t="s">
        <v>664</v>
      </c>
      <c r="K17" s="282" t="s">
        <v>664</v>
      </c>
    </row>
    <row r="18" ht="13.9" spans="1:11">
      <c r="A18" s="272" t="s">
        <v>677</v>
      </c>
      <c r="B18" s="273">
        <v>9</v>
      </c>
      <c r="C18" s="280">
        <v>26.4</v>
      </c>
      <c r="D18" s="281"/>
      <c r="E18" s="276">
        <v>0.0066</v>
      </c>
      <c r="F18" s="282" t="s">
        <v>664</v>
      </c>
      <c r="G18" s="282" t="s">
        <v>664</v>
      </c>
      <c r="H18" s="282" t="s">
        <v>664</v>
      </c>
      <c r="I18" s="282" t="s">
        <v>664</v>
      </c>
      <c r="J18" s="277">
        <v>9</v>
      </c>
      <c r="K18" s="279">
        <v>26.4</v>
      </c>
    </row>
    <row r="19" ht="13.9" spans="1:11">
      <c r="A19" s="272" t="s">
        <v>678</v>
      </c>
      <c r="B19" s="273">
        <v>2</v>
      </c>
      <c r="C19" s="280">
        <v>24.7</v>
      </c>
      <c r="D19" s="281"/>
      <c r="E19" s="276">
        <v>0.0061</v>
      </c>
      <c r="F19" s="282" t="s">
        <v>664</v>
      </c>
      <c r="G19" s="282" t="s">
        <v>664</v>
      </c>
      <c r="H19" s="277">
        <v>1</v>
      </c>
      <c r="I19" s="279">
        <v>17.1</v>
      </c>
      <c r="J19" s="277">
        <v>1</v>
      </c>
      <c r="K19" s="279">
        <v>7.6</v>
      </c>
    </row>
    <row r="20" ht="13.9" spans="1:11">
      <c r="A20" s="272" t="s">
        <v>679</v>
      </c>
      <c r="B20" s="273">
        <v>29</v>
      </c>
      <c r="C20" s="274">
        <v>23.12</v>
      </c>
      <c r="D20" s="275"/>
      <c r="E20" s="276">
        <v>0.0057</v>
      </c>
      <c r="F20" s="282" t="s">
        <v>664</v>
      </c>
      <c r="G20" s="282" t="s">
        <v>664</v>
      </c>
      <c r="H20" s="282" t="s">
        <v>664</v>
      </c>
      <c r="I20" s="282" t="s">
        <v>664</v>
      </c>
      <c r="J20" s="277">
        <v>29</v>
      </c>
      <c r="K20" s="278">
        <v>23.12</v>
      </c>
    </row>
    <row r="21" ht="13.9" spans="1:11">
      <c r="A21" s="272" t="s">
        <v>680</v>
      </c>
      <c r="B21" s="273">
        <v>4</v>
      </c>
      <c r="C21" s="274">
        <v>19.45</v>
      </c>
      <c r="D21" s="275"/>
      <c r="E21" s="276">
        <v>0.0048</v>
      </c>
      <c r="F21" s="282" t="s">
        <v>664</v>
      </c>
      <c r="G21" s="282" t="s">
        <v>664</v>
      </c>
      <c r="H21" s="282" t="s">
        <v>664</v>
      </c>
      <c r="I21" s="282" t="s">
        <v>664</v>
      </c>
      <c r="J21" s="277">
        <v>4</v>
      </c>
      <c r="K21" s="284">
        <v>19.452</v>
      </c>
    </row>
    <row r="22" ht="13.9" spans="1:11">
      <c r="A22" s="272" t="s">
        <v>681</v>
      </c>
      <c r="B22" s="273">
        <v>1</v>
      </c>
      <c r="C22" s="283">
        <v>18</v>
      </c>
      <c r="D22" s="273"/>
      <c r="E22" s="276">
        <v>0.0045</v>
      </c>
      <c r="F22" s="282" t="s">
        <v>664</v>
      </c>
      <c r="G22" s="282" t="s">
        <v>664</v>
      </c>
      <c r="H22" s="277">
        <v>1</v>
      </c>
      <c r="I22" s="277">
        <v>18</v>
      </c>
      <c r="J22" s="282" t="s">
        <v>664</v>
      </c>
      <c r="K22" s="282" t="s">
        <v>664</v>
      </c>
    </row>
    <row r="23" ht="13.9" spans="1:11">
      <c r="A23" s="272" t="s">
        <v>682</v>
      </c>
      <c r="B23" s="273">
        <v>2</v>
      </c>
      <c r="C23" s="280">
        <v>12.8</v>
      </c>
      <c r="D23" s="281"/>
      <c r="E23" s="276">
        <v>0.0032</v>
      </c>
      <c r="F23" s="282" t="s">
        <v>664</v>
      </c>
      <c r="G23" s="282" t="s">
        <v>664</v>
      </c>
      <c r="H23" s="282" t="s">
        <v>664</v>
      </c>
      <c r="I23" s="282" t="s">
        <v>664</v>
      </c>
      <c r="J23" s="277">
        <v>2</v>
      </c>
      <c r="K23" s="279">
        <v>12.8</v>
      </c>
    </row>
    <row r="24" ht="13.9" spans="1:11">
      <c r="A24" s="272" t="s">
        <v>683</v>
      </c>
      <c r="B24" s="273">
        <v>1</v>
      </c>
      <c r="C24" s="283">
        <v>5</v>
      </c>
      <c r="D24" s="273"/>
      <c r="E24" s="276">
        <v>0.0012</v>
      </c>
      <c r="F24" s="282" t="s">
        <v>664</v>
      </c>
      <c r="G24" s="282" t="s">
        <v>664</v>
      </c>
      <c r="H24" s="282" t="s">
        <v>664</v>
      </c>
      <c r="I24" s="282" t="s">
        <v>664</v>
      </c>
      <c r="J24" s="277">
        <v>1</v>
      </c>
      <c r="K24" s="277">
        <v>5</v>
      </c>
    </row>
    <row r="25" ht="13.85" spans="1:11">
      <c r="A25" s="285" t="s">
        <v>684</v>
      </c>
      <c r="B25" s="277">
        <v>606</v>
      </c>
      <c r="C25" s="274">
        <v>4027.84</v>
      </c>
      <c r="D25" s="275"/>
      <c r="E25" s="276">
        <v>1</v>
      </c>
      <c r="F25" s="277">
        <v>60</v>
      </c>
      <c r="G25" s="278">
        <v>2414.78</v>
      </c>
      <c r="H25" s="277">
        <v>72</v>
      </c>
      <c r="I25" s="279">
        <v>1280.6</v>
      </c>
      <c r="J25" s="277">
        <v>474</v>
      </c>
      <c r="K25" s="278">
        <v>332.46</v>
      </c>
    </row>
  </sheetData>
  <mergeCells count="30">
    <mergeCell ref="A1:K1"/>
    <mergeCell ref="F2:G2"/>
    <mergeCell ref="H2:I2"/>
    <mergeCell ref="J2:K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2:A3"/>
    <mergeCell ref="B2:B3"/>
    <mergeCell ref="E2:E3"/>
    <mergeCell ref="C2:D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238"/>
  <sheetViews>
    <sheetView topLeftCell="C1" workbookViewId="0">
      <selection activeCell="K2" sqref="K2:K234"/>
    </sheetView>
  </sheetViews>
  <sheetFormatPr defaultColWidth="9" defaultRowHeight="13.85"/>
  <cols>
    <col min="1" max="1" width="7.42477876106195" style="236" hidden="1" customWidth="1"/>
    <col min="2" max="2" width="12" style="236" hidden="1" customWidth="1"/>
    <col min="3" max="3" width="19.7079646017699" style="236" customWidth="1"/>
    <col min="4" max="4" width="6.28318584070797" style="236" customWidth="1"/>
    <col min="5" max="5" width="9" style="236" customWidth="1"/>
    <col min="6" max="6" width="24.5752212389381" style="236" customWidth="1"/>
    <col min="7" max="7" width="11.5752212389381" style="236" customWidth="1"/>
    <col min="8" max="8" width="61" style="236" customWidth="1"/>
    <col min="9" max="9" width="19.7079646017699" style="236" customWidth="1"/>
    <col min="10" max="10" width="5.42477876106195" style="239" customWidth="1"/>
    <col min="11" max="11" width="9.70796460176991" style="239" customWidth="1"/>
    <col min="12" max="12" width="40.858407079646" style="236" customWidth="1"/>
    <col min="13" max="13" width="6.42477876106195" style="236" customWidth="1"/>
    <col min="14" max="14" width="6.28318584070797" style="236" customWidth="1"/>
    <col min="15" max="15" width="8" style="236" customWidth="1"/>
    <col min="16" max="17" width="9.13274336283186" style="236"/>
    <col min="18" max="18" width="5.70796460176991" style="236" customWidth="1"/>
    <col min="19" max="19" width="6.70796460176991" style="236" customWidth="1"/>
    <col min="20" max="20" width="25.4247787610619" style="236" customWidth="1"/>
    <col min="21" max="21" width="8.70796460176991" style="236" customWidth="1"/>
    <col min="22" max="16384" width="9.13274336283186" style="236"/>
  </cols>
  <sheetData>
    <row r="1" spans="1:21">
      <c r="A1" s="236" t="s">
        <v>685</v>
      </c>
      <c r="B1" s="236" t="s">
        <v>686</v>
      </c>
      <c r="C1" s="236" t="s">
        <v>144</v>
      </c>
      <c r="D1" s="236" t="s">
        <v>160</v>
      </c>
      <c r="E1" s="236" t="s">
        <v>687</v>
      </c>
      <c r="F1" s="236" t="s">
        <v>688</v>
      </c>
      <c r="G1" s="236" t="s">
        <v>689</v>
      </c>
      <c r="H1" s="236" t="s">
        <v>690</v>
      </c>
      <c r="I1" s="236" t="s">
        <v>691</v>
      </c>
      <c r="J1" s="239" t="s">
        <v>692</v>
      </c>
      <c r="K1" s="239" t="s">
        <v>693</v>
      </c>
      <c r="L1" s="240" t="s">
        <v>694</v>
      </c>
      <c r="M1" s="236" t="s">
        <v>695</v>
      </c>
      <c r="N1" s="236" t="s">
        <v>696</v>
      </c>
    </row>
    <row r="2" spans="1:21">
      <c r="C2" s="241" t="s">
        <v>118</v>
      </c>
      <c r="D2" s="242">
        <v>2009</v>
      </c>
      <c r="E2" s="120" t="s">
        <v>697</v>
      </c>
      <c r="F2" s="236" t="s">
        <v>698</v>
      </c>
      <c r="G2" s="236" t="s">
        <v>147</v>
      </c>
      <c r="H2" s="243" t="s">
        <v>699</v>
      </c>
      <c r="I2" s="243" t="s">
        <v>700</v>
      </c>
      <c r="J2" s="244">
        <v>2</v>
      </c>
      <c r="K2" s="244">
        <v>78</v>
      </c>
      <c r="L2" s="243"/>
      <c r="R2" s="245"/>
      <c r="S2" s="245"/>
      <c r="T2" s="245"/>
      <c r="U2" s="245"/>
    </row>
    <row r="3" hidden="1" spans="1:21">
      <c r="C3" s="241" t="s">
        <v>106</v>
      </c>
      <c r="D3" s="242">
        <v>2009</v>
      </c>
      <c r="E3" s="120" t="s">
        <v>697</v>
      </c>
      <c r="F3" s="236" t="s">
        <v>179</v>
      </c>
      <c r="G3" s="236" t="s">
        <v>147</v>
      </c>
      <c r="H3" s="243" t="s">
        <v>701</v>
      </c>
      <c r="I3" s="243" t="s">
        <v>702</v>
      </c>
      <c r="J3" s="244">
        <v>1</v>
      </c>
      <c r="K3" s="244">
        <v>35</v>
      </c>
      <c r="L3" s="243" t="s">
        <v>703</v>
      </c>
      <c r="R3" s="245"/>
      <c r="S3" s="245"/>
      <c r="T3" s="245"/>
      <c r="U3" s="245"/>
    </row>
    <row r="4" hidden="1" spans="1:21">
      <c r="C4" s="241" t="s">
        <v>106</v>
      </c>
      <c r="D4" s="242">
        <v>2009</v>
      </c>
      <c r="E4" s="120" t="s">
        <v>697</v>
      </c>
      <c r="F4" s="236" t="s">
        <v>179</v>
      </c>
      <c r="G4" s="236" t="s">
        <v>147</v>
      </c>
      <c r="H4" s="243" t="s">
        <v>704</v>
      </c>
      <c r="I4" s="243" t="s">
        <v>702</v>
      </c>
      <c r="J4" s="244">
        <v>1</v>
      </c>
      <c r="K4" s="244">
        <v>35</v>
      </c>
      <c r="L4" s="243" t="s">
        <v>703</v>
      </c>
      <c r="R4" s="245"/>
      <c r="S4" s="245"/>
      <c r="T4" s="245"/>
      <c r="U4" s="245"/>
    </row>
    <row r="5" hidden="1" spans="1:21">
      <c r="C5" s="241" t="s">
        <v>106</v>
      </c>
      <c r="D5" s="242">
        <v>2009</v>
      </c>
      <c r="E5" s="120" t="s">
        <v>697</v>
      </c>
      <c r="F5" s="236" t="s">
        <v>179</v>
      </c>
      <c r="G5" s="236" t="s">
        <v>147</v>
      </c>
      <c r="H5" s="243" t="s">
        <v>705</v>
      </c>
      <c r="I5" s="243" t="s">
        <v>706</v>
      </c>
      <c r="J5" s="244">
        <v>1</v>
      </c>
      <c r="K5" s="244">
        <v>35</v>
      </c>
      <c r="L5" s="243" t="s">
        <v>707</v>
      </c>
      <c r="R5" s="245"/>
      <c r="S5" s="245"/>
      <c r="T5" s="245"/>
      <c r="U5" s="245"/>
    </row>
    <row r="6" hidden="1" spans="1:21">
      <c r="C6" s="241" t="s">
        <v>106</v>
      </c>
      <c r="D6" s="242">
        <v>2009</v>
      </c>
      <c r="E6" s="120" t="s">
        <v>697</v>
      </c>
      <c r="F6" s="236" t="s">
        <v>179</v>
      </c>
      <c r="G6" s="236" t="s">
        <v>147</v>
      </c>
      <c r="H6" s="243" t="s">
        <v>708</v>
      </c>
      <c r="I6" s="243" t="s">
        <v>706</v>
      </c>
      <c r="J6" s="244">
        <v>1</v>
      </c>
      <c r="K6" s="244">
        <v>35</v>
      </c>
      <c r="L6" s="243" t="s">
        <v>707</v>
      </c>
      <c r="R6" s="245"/>
      <c r="S6" s="245"/>
      <c r="T6" s="245"/>
      <c r="U6" s="245"/>
    </row>
    <row r="7" hidden="1" spans="1:21">
      <c r="C7" s="241" t="s">
        <v>106</v>
      </c>
      <c r="D7" s="242">
        <v>2009</v>
      </c>
      <c r="E7" s="120" t="s">
        <v>697</v>
      </c>
      <c r="F7" s="236" t="s">
        <v>179</v>
      </c>
      <c r="G7" s="236" t="s">
        <v>147</v>
      </c>
      <c r="H7" s="243" t="s">
        <v>709</v>
      </c>
      <c r="I7" s="243" t="s">
        <v>710</v>
      </c>
      <c r="J7" s="244">
        <v>1</v>
      </c>
      <c r="K7" s="244">
        <v>35</v>
      </c>
      <c r="L7" s="243" t="s">
        <v>711</v>
      </c>
      <c r="R7" s="245"/>
      <c r="S7" s="245"/>
      <c r="T7" s="245"/>
      <c r="U7" s="245"/>
    </row>
    <row r="8" hidden="1" spans="1:21">
      <c r="C8" s="241" t="s">
        <v>106</v>
      </c>
      <c r="D8" s="242">
        <v>2009</v>
      </c>
      <c r="E8" s="120" t="s">
        <v>697</v>
      </c>
      <c r="F8" s="236" t="s">
        <v>179</v>
      </c>
      <c r="G8" s="236" t="s">
        <v>147</v>
      </c>
      <c r="H8" s="243" t="s">
        <v>712</v>
      </c>
      <c r="I8" s="243" t="s">
        <v>710</v>
      </c>
      <c r="J8" s="244">
        <v>1</v>
      </c>
      <c r="K8" s="244">
        <v>35</v>
      </c>
      <c r="L8" s="243" t="s">
        <v>713</v>
      </c>
      <c r="R8" s="245"/>
      <c r="S8" s="245"/>
      <c r="T8" s="245"/>
      <c r="U8" s="245"/>
    </row>
    <row r="9" spans="1:21">
      <c r="C9" s="241" t="s">
        <v>118</v>
      </c>
      <c r="D9" s="242">
        <v>2009</v>
      </c>
      <c r="E9" s="120" t="s">
        <v>697</v>
      </c>
      <c r="F9" s="236" t="s">
        <v>698</v>
      </c>
      <c r="G9" s="236" t="s">
        <v>147</v>
      </c>
      <c r="H9" s="243" t="s">
        <v>714</v>
      </c>
      <c r="I9" s="243" t="s">
        <v>715</v>
      </c>
      <c r="J9" s="244">
        <v>2</v>
      </c>
      <c r="K9" s="244">
        <v>15.6</v>
      </c>
      <c r="L9" s="243"/>
      <c r="R9" s="245"/>
      <c r="S9" s="245"/>
      <c r="T9" s="245"/>
      <c r="U9" s="245"/>
    </row>
    <row r="10" hidden="1" spans="1:21">
      <c r="A10" s="120"/>
      <c r="B10" s="120"/>
      <c r="C10" s="120" t="s">
        <v>142</v>
      </c>
      <c r="D10" s="120">
        <v>2009</v>
      </c>
      <c r="E10" s="120" t="s">
        <v>697</v>
      </c>
      <c r="F10" s="236" t="s">
        <v>179</v>
      </c>
      <c r="G10" s="236" t="s">
        <v>147</v>
      </c>
      <c r="H10" s="246" t="s">
        <v>716</v>
      </c>
      <c r="I10" s="120"/>
      <c r="J10" s="120"/>
      <c r="K10" s="120">
        <v>3.4</v>
      </c>
      <c r="L10" s="120"/>
      <c r="M10" s="120"/>
      <c r="N10" s="120"/>
      <c r="R10" s="245"/>
      <c r="S10" s="245"/>
      <c r="T10" s="245"/>
      <c r="U10" s="245"/>
    </row>
    <row r="11" hidden="1" spans="1:21">
      <c r="C11" s="241" t="s">
        <v>126</v>
      </c>
      <c r="D11" s="242">
        <v>2009</v>
      </c>
      <c r="E11" s="120" t="s">
        <v>697</v>
      </c>
      <c r="F11" s="120" t="s">
        <v>180</v>
      </c>
      <c r="G11" s="236" t="s">
        <v>147</v>
      </c>
      <c r="H11" s="243" t="s">
        <v>717</v>
      </c>
      <c r="I11" s="243" t="s">
        <v>718</v>
      </c>
      <c r="J11" s="244">
        <v>26</v>
      </c>
      <c r="K11" s="244">
        <v>1.3</v>
      </c>
      <c r="L11" s="243" t="s">
        <v>719</v>
      </c>
      <c r="R11" s="245"/>
      <c r="S11" s="245"/>
      <c r="T11" s="245"/>
      <c r="U11" s="245"/>
    </row>
    <row r="12" hidden="1" spans="1:21">
      <c r="A12" s="120"/>
      <c r="B12" s="120"/>
      <c r="C12" s="120" t="s">
        <v>130</v>
      </c>
      <c r="D12" s="120">
        <v>2009</v>
      </c>
      <c r="E12" s="120" t="s">
        <v>697</v>
      </c>
      <c r="F12" s="236" t="s">
        <v>181</v>
      </c>
      <c r="G12" s="236" t="s">
        <v>147</v>
      </c>
      <c r="H12" s="246" t="s">
        <v>720</v>
      </c>
      <c r="I12" s="120" t="s">
        <v>130</v>
      </c>
      <c r="J12" s="120"/>
      <c r="K12" s="120">
        <v>0.5</v>
      </c>
      <c r="L12" s="120"/>
      <c r="M12" s="120"/>
      <c r="N12" s="120"/>
      <c r="R12" s="245"/>
      <c r="S12" s="245"/>
      <c r="T12" s="245"/>
      <c r="U12" s="245"/>
    </row>
    <row r="13" spans="1:21">
      <c r="C13" s="241" t="s">
        <v>118</v>
      </c>
      <c r="D13" s="242">
        <v>2010</v>
      </c>
      <c r="E13" s="120" t="s">
        <v>697</v>
      </c>
      <c r="F13" s="236" t="s">
        <v>179</v>
      </c>
      <c r="G13" s="236" t="s">
        <v>147</v>
      </c>
      <c r="H13" s="242" t="s">
        <v>721</v>
      </c>
      <c r="I13" s="242" t="s">
        <v>722</v>
      </c>
      <c r="J13" s="247">
        <v>2</v>
      </c>
      <c r="K13" s="247">
        <v>66</v>
      </c>
      <c r="L13" s="242"/>
      <c r="R13" s="245"/>
      <c r="S13" s="245"/>
      <c r="T13" s="245"/>
      <c r="U13" s="245"/>
    </row>
    <row r="14" hidden="1" spans="1:21">
      <c r="C14" s="241" t="s">
        <v>106</v>
      </c>
      <c r="D14" s="242">
        <v>2010</v>
      </c>
      <c r="E14" s="120" t="s">
        <v>697</v>
      </c>
      <c r="F14" s="236" t="s">
        <v>179</v>
      </c>
      <c r="G14" s="236" t="s">
        <v>147</v>
      </c>
      <c r="H14" s="242" t="s">
        <v>723</v>
      </c>
      <c r="I14" s="242" t="s">
        <v>706</v>
      </c>
      <c r="J14" s="247">
        <v>1</v>
      </c>
      <c r="K14" s="247">
        <v>35</v>
      </c>
      <c r="L14" s="242" t="s">
        <v>724</v>
      </c>
      <c r="R14" s="245"/>
      <c r="S14" s="245"/>
      <c r="T14" s="245"/>
      <c r="U14" s="245"/>
    </row>
    <row r="15" hidden="1" spans="1:21">
      <c r="C15" s="241" t="s">
        <v>106</v>
      </c>
      <c r="D15" s="242">
        <v>2010</v>
      </c>
      <c r="E15" s="120" t="s">
        <v>697</v>
      </c>
      <c r="F15" s="236" t="s">
        <v>179</v>
      </c>
      <c r="G15" s="236" t="s">
        <v>147</v>
      </c>
      <c r="H15" s="242" t="s">
        <v>725</v>
      </c>
      <c r="I15" s="242" t="s">
        <v>706</v>
      </c>
      <c r="J15" s="247">
        <v>1</v>
      </c>
      <c r="K15" s="247">
        <v>35</v>
      </c>
      <c r="L15" s="242" t="s">
        <v>726</v>
      </c>
      <c r="R15" s="245"/>
      <c r="S15" s="245"/>
      <c r="T15" s="245"/>
      <c r="U15" s="245"/>
    </row>
    <row r="16" hidden="1" spans="1:21">
      <c r="C16" s="241" t="s">
        <v>106</v>
      </c>
      <c r="D16" s="242">
        <v>2010</v>
      </c>
      <c r="E16" s="120" t="s">
        <v>697</v>
      </c>
      <c r="F16" s="236" t="s">
        <v>179</v>
      </c>
      <c r="G16" s="236" t="s">
        <v>147</v>
      </c>
      <c r="H16" s="242" t="s">
        <v>727</v>
      </c>
      <c r="I16" s="242" t="s">
        <v>706</v>
      </c>
      <c r="J16" s="247">
        <v>1</v>
      </c>
      <c r="K16" s="247">
        <v>35</v>
      </c>
      <c r="L16" s="242" t="s">
        <v>728</v>
      </c>
      <c r="R16" s="245"/>
      <c r="S16" s="245"/>
      <c r="T16" s="245"/>
      <c r="U16" s="245"/>
    </row>
    <row r="17" hidden="1" spans="1:21">
      <c r="C17" s="241" t="s">
        <v>106</v>
      </c>
      <c r="D17" s="242">
        <v>2010</v>
      </c>
      <c r="E17" s="120" t="s">
        <v>697</v>
      </c>
      <c r="F17" s="236" t="s">
        <v>179</v>
      </c>
      <c r="G17" s="236" t="s">
        <v>147</v>
      </c>
      <c r="H17" s="242" t="s">
        <v>729</v>
      </c>
      <c r="I17" s="242" t="s">
        <v>706</v>
      </c>
      <c r="J17" s="247">
        <v>1</v>
      </c>
      <c r="K17" s="247">
        <v>35</v>
      </c>
      <c r="L17" s="242" t="s">
        <v>730</v>
      </c>
      <c r="R17" s="245"/>
      <c r="S17" s="245"/>
      <c r="T17" s="245"/>
      <c r="U17" s="245"/>
    </row>
    <row r="18" hidden="1" spans="1:21">
      <c r="C18" s="241" t="s">
        <v>132</v>
      </c>
      <c r="D18" s="242">
        <v>2010</v>
      </c>
      <c r="E18" s="120" t="s">
        <v>697</v>
      </c>
      <c r="F18" s="236" t="s">
        <v>179</v>
      </c>
      <c r="G18" s="236" t="s">
        <v>147</v>
      </c>
      <c r="H18" s="248" t="s">
        <v>731</v>
      </c>
      <c r="I18" s="242" t="s">
        <v>732</v>
      </c>
      <c r="J18" s="247">
        <v>8</v>
      </c>
      <c r="K18" s="247">
        <v>19.88</v>
      </c>
      <c r="L18" s="242" t="s">
        <v>733</v>
      </c>
      <c r="R18" s="245"/>
      <c r="S18" s="245"/>
      <c r="T18" s="245"/>
      <c r="U18" s="245"/>
    </row>
    <row r="19" hidden="1" spans="1:21">
      <c r="C19" s="241" t="s">
        <v>114</v>
      </c>
      <c r="D19" s="242">
        <v>2010</v>
      </c>
      <c r="E19" s="120" t="s">
        <v>697</v>
      </c>
      <c r="F19" s="236" t="s">
        <v>179</v>
      </c>
      <c r="G19" s="236" t="s">
        <v>147</v>
      </c>
      <c r="H19" s="242" t="s">
        <v>734</v>
      </c>
      <c r="I19" s="242" t="s">
        <v>735</v>
      </c>
      <c r="J19" s="247">
        <v>1</v>
      </c>
      <c r="K19" s="247">
        <v>18.5</v>
      </c>
      <c r="L19" s="242" t="s">
        <v>736</v>
      </c>
      <c r="R19" s="245"/>
      <c r="S19" s="245"/>
      <c r="T19" s="245"/>
      <c r="U19" s="245"/>
    </row>
    <row r="20" hidden="1" spans="1:21">
      <c r="C20" s="241" t="s">
        <v>110</v>
      </c>
      <c r="D20" s="242">
        <v>2010</v>
      </c>
      <c r="E20" s="120" t="s">
        <v>697</v>
      </c>
      <c r="F20" s="236" t="s">
        <v>179</v>
      </c>
      <c r="G20" s="236" t="s">
        <v>147</v>
      </c>
      <c r="H20" s="242" t="s">
        <v>737</v>
      </c>
      <c r="I20" s="242" t="s">
        <v>738</v>
      </c>
      <c r="J20" s="247">
        <v>1</v>
      </c>
      <c r="K20" s="247">
        <v>15</v>
      </c>
      <c r="L20" s="242" t="s">
        <v>728</v>
      </c>
      <c r="R20" s="245"/>
      <c r="S20" s="245"/>
      <c r="T20" s="245"/>
      <c r="U20" s="245"/>
    </row>
    <row r="21" hidden="1" spans="1:21">
      <c r="C21" s="241" t="s">
        <v>114</v>
      </c>
      <c r="D21" s="242">
        <v>2010</v>
      </c>
      <c r="E21" s="120" t="s">
        <v>697</v>
      </c>
      <c r="F21" s="236" t="s">
        <v>181</v>
      </c>
      <c r="G21" s="236" t="s">
        <v>147</v>
      </c>
      <c r="H21" s="242" t="s">
        <v>739</v>
      </c>
      <c r="I21" s="242" t="s">
        <v>740</v>
      </c>
      <c r="J21" s="247">
        <v>1</v>
      </c>
      <c r="K21" s="247">
        <v>0.19</v>
      </c>
      <c r="L21" s="242" t="s">
        <v>741</v>
      </c>
      <c r="R21" s="245"/>
      <c r="S21" s="245"/>
      <c r="T21" s="245"/>
      <c r="U21" s="245"/>
    </row>
    <row r="22" hidden="1" spans="1:21">
      <c r="C22" s="241" t="s">
        <v>98</v>
      </c>
      <c r="D22" s="242">
        <v>2011</v>
      </c>
      <c r="E22" s="120" t="s">
        <v>697</v>
      </c>
      <c r="F22" s="236" t="s">
        <v>179</v>
      </c>
      <c r="G22" s="236" t="s">
        <v>147</v>
      </c>
      <c r="H22" s="248" t="s">
        <v>742</v>
      </c>
      <c r="I22" s="242" t="s">
        <v>98</v>
      </c>
      <c r="J22" s="247">
        <v>3</v>
      </c>
      <c r="K22" s="247">
        <v>122.3</v>
      </c>
      <c r="L22" s="242" t="s">
        <v>743</v>
      </c>
      <c r="R22" s="245"/>
      <c r="S22" s="245"/>
      <c r="T22" s="245"/>
      <c r="U22" s="245"/>
    </row>
    <row r="23" hidden="1" spans="1:21">
      <c r="C23" s="241" t="s">
        <v>82</v>
      </c>
      <c r="D23" s="242">
        <v>2011</v>
      </c>
      <c r="E23" s="120" t="s">
        <v>697</v>
      </c>
      <c r="F23" s="236" t="s">
        <v>179</v>
      </c>
      <c r="G23" s="236" t="s">
        <v>147</v>
      </c>
      <c r="H23" s="248" t="s">
        <v>744</v>
      </c>
      <c r="I23" s="242" t="s">
        <v>745</v>
      </c>
      <c r="J23" s="247">
        <v>3</v>
      </c>
      <c r="K23" s="247">
        <v>92.34</v>
      </c>
      <c r="L23" s="242" t="s">
        <v>746</v>
      </c>
      <c r="R23" s="245"/>
      <c r="S23" s="245"/>
      <c r="T23" s="245"/>
      <c r="U23" s="245"/>
    </row>
    <row r="24" hidden="1" spans="1:21">
      <c r="C24" s="241" t="s">
        <v>100</v>
      </c>
      <c r="D24" s="242">
        <v>2011</v>
      </c>
      <c r="E24" s="120" t="s">
        <v>697</v>
      </c>
      <c r="F24" s="236" t="s">
        <v>179</v>
      </c>
      <c r="G24" s="236" t="s">
        <v>147</v>
      </c>
      <c r="H24" s="249" t="s">
        <v>747</v>
      </c>
      <c r="I24" s="242" t="s">
        <v>748</v>
      </c>
      <c r="J24" s="247">
        <v>1</v>
      </c>
      <c r="K24" s="247">
        <v>22</v>
      </c>
      <c r="L24" s="242" t="s">
        <v>749</v>
      </c>
      <c r="R24" s="245"/>
      <c r="S24" s="245"/>
      <c r="T24" s="245"/>
      <c r="U24" s="245"/>
    </row>
    <row r="25" hidden="1" spans="1:21">
      <c r="C25" s="241" t="s">
        <v>90</v>
      </c>
      <c r="D25" s="242">
        <v>2011</v>
      </c>
      <c r="E25" s="120" t="s">
        <v>697</v>
      </c>
      <c r="F25" s="120" t="s">
        <v>180</v>
      </c>
      <c r="G25" s="236" t="s">
        <v>147</v>
      </c>
      <c r="H25" s="242" t="s">
        <v>750</v>
      </c>
      <c r="I25" s="242" t="s">
        <v>751</v>
      </c>
      <c r="J25" s="247">
        <v>2</v>
      </c>
      <c r="K25" s="247">
        <v>20</v>
      </c>
      <c r="L25" s="242" t="s">
        <v>752</v>
      </c>
      <c r="R25" s="245"/>
      <c r="S25" s="245"/>
      <c r="T25" s="245"/>
      <c r="U25" s="245"/>
    </row>
    <row r="26" hidden="1" spans="1:21">
      <c r="C26" s="241" t="s">
        <v>88</v>
      </c>
      <c r="D26" s="242">
        <v>2011</v>
      </c>
      <c r="E26" s="120" t="s">
        <v>697</v>
      </c>
      <c r="F26" s="120" t="s">
        <v>180</v>
      </c>
      <c r="G26" s="236" t="s">
        <v>147</v>
      </c>
      <c r="H26" s="242" t="s">
        <v>753</v>
      </c>
      <c r="I26" s="242" t="s">
        <v>754</v>
      </c>
      <c r="J26" s="247">
        <v>8</v>
      </c>
      <c r="K26" s="247">
        <v>3.5</v>
      </c>
      <c r="L26" s="242" t="s">
        <v>755</v>
      </c>
      <c r="R26" s="245"/>
      <c r="S26" s="245"/>
      <c r="T26" s="245"/>
      <c r="U26" s="245"/>
    </row>
    <row r="27" hidden="1" spans="1:21">
      <c r="C27" s="241" t="s">
        <v>110</v>
      </c>
      <c r="D27" s="242">
        <v>2011</v>
      </c>
      <c r="E27" s="120" t="s">
        <v>697</v>
      </c>
      <c r="F27" s="236" t="s">
        <v>181</v>
      </c>
      <c r="G27" s="236" t="s">
        <v>147</v>
      </c>
      <c r="H27" s="242" t="s">
        <v>756</v>
      </c>
      <c r="I27" s="242" t="s">
        <v>757</v>
      </c>
      <c r="J27" s="247">
        <v>2</v>
      </c>
      <c r="K27" s="247">
        <v>0.31</v>
      </c>
      <c r="L27" s="242" t="s">
        <v>758</v>
      </c>
      <c r="R27" s="245"/>
      <c r="S27" s="245"/>
      <c r="T27" s="245"/>
      <c r="U27" s="245"/>
    </row>
    <row r="28" hidden="1" spans="1:21">
      <c r="A28" s="236">
        <v>3571</v>
      </c>
      <c r="B28" s="236">
        <v>322012221</v>
      </c>
      <c r="C28" s="236" t="s">
        <v>100</v>
      </c>
      <c r="D28" s="236">
        <v>2012</v>
      </c>
      <c r="E28" s="236" t="s">
        <v>697</v>
      </c>
      <c r="F28" s="236" t="s">
        <v>179</v>
      </c>
      <c r="G28" s="236" t="s">
        <v>147</v>
      </c>
      <c r="H28" s="249" t="s">
        <v>759</v>
      </c>
      <c r="I28" s="236" t="s">
        <v>760</v>
      </c>
      <c r="J28" s="239">
        <v>3</v>
      </c>
      <c r="K28" s="239">
        <v>76.2</v>
      </c>
      <c r="L28" s="240" t="s">
        <v>761</v>
      </c>
      <c r="M28" s="236">
        <v>8</v>
      </c>
      <c r="R28" s="245"/>
      <c r="S28" s="245"/>
      <c r="T28" s="245"/>
      <c r="U28" s="245"/>
    </row>
    <row r="29" hidden="1" spans="1:21">
      <c r="A29" s="236">
        <v>4596</v>
      </c>
      <c r="B29" s="236">
        <v>332012221</v>
      </c>
      <c r="C29" s="236" t="s">
        <v>102</v>
      </c>
      <c r="D29" s="236">
        <v>2012</v>
      </c>
      <c r="E29" s="236" t="s">
        <v>697</v>
      </c>
      <c r="F29" s="236" t="s">
        <v>179</v>
      </c>
      <c r="G29" s="236" t="s">
        <v>147</v>
      </c>
      <c r="H29" s="236" t="s">
        <v>762</v>
      </c>
      <c r="I29" s="236" t="s">
        <v>763</v>
      </c>
      <c r="J29" s="239">
        <v>1</v>
      </c>
      <c r="K29" s="239">
        <v>45.2</v>
      </c>
      <c r="L29" s="240" t="s">
        <v>764</v>
      </c>
      <c r="M29" s="236">
        <v>10</v>
      </c>
      <c r="R29" s="245"/>
      <c r="S29" s="245"/>
      <c r="T29" s="245"/>
      <c r="U29" s="245"/>
    </row>
    <row r="30" hidden="1" spans="1:21">
      <c r="A30" s="236">
        <v>4597</v>
      </c>
      <c r="B30" s="236">
        <v>332012221</v>
      </c>
      <c r="C30" s="236" t="s">
        <v>102</v>
      </c>
      <c r="D30" s="236">
        <v>2012</v>
      </c>
      <c r="E30" s="236" t="s">
        <v>697</v>
      </c>
      <c r="F30" s="236" t="s">
        <v>179</v>
      </c>
      <c r="G30" s="236" t="s">
        <v>147</v>
      </c>
      <c r="H30" s="236" t="s">
        <v>765</v>
      </c>
      <c r="I30" s="236" t="s">
        <v>766</v>
      </c>
      <c r="J30" s="239">
        <v>1</v>
      </c>
      <c r="K30" s="239">
        <v>41.5</v>
      </c>
      <c r="L30" s="240" t="s">
        <v>767</v>
      </c>
      <c r="M30" s="236">
        <v>10</v>
      </c>
      <c r="R30" s="245"/>
      <c r="S30" s="245"/>
      <c r="T30" s="245"/>
      <c r="U30" s="245"/>
    </row>
    <row r="31" hidden="1" spans="1:21">
      <c r="A31" s="236">
        <v>4598</v>
      </c>
      <c r="B31" s="236">
        <v>332012221</v>
      </c>
      <c r="C31" s="236" t="s">
        <v>102</v>
      </c>
      <c r="D31" s="236">
        <v>2012</v>
      </c>
      <c r="E31" s="236" t="s">
        <v>697</v>
      </c>
      <c r="F31" s="236" t="s">
        <v>179</v>
      </c>
      <c r="G31" s="236" t="s">
        <v>147</v>
      </c>
      <c r="H31" s="249" t="s">
        <v>768</v>
      </c>
      <c r="I31" s="236" t="s">
        <v>766</v>
      </c>
      <c r="J31" s="239">
        <v>1</v>
      </c>
      <c r="K31" s="239">
        <v>40</v>
      </c>
      <c r="L31" s="240" t="s">
        <v>769</v>
      </c>
      <c r="M31" s="236">
        <v>10</v>
      </c>
      <c r="R31" s="245"/>
      <c r="S31" s="245"/>
      <c r="T31" s="245"/>
      <c r="U31" s="245"/>
    </row>
    <row r="32" hidden="1" spans="1:21">
      <c r="A32" s="236">
        <v>3570</v>
      </c>
      <c r="B32" s="236">
        <v>322012221</v>
      </c>
      <c r="C32" s="236" t="s">
        <v>100</v>
      </c>
      <c r="D32" s="236">
        <v>2012</v>
      </c>
      <c r="E32" s="236" t="s">
        <v>697</v>
      </c>
      <c r="F32" s="236" t="s">
        <v>179</v>
      </c>
      <c r="G32" s="236" t="s">
        <v>147</v>
      </c>
      <c r="H32" s="249" t="s">
        <v>747</v>
      </c>
      <c r="I32" s="236" t="s">
        <v>748</v>
      </c>
      <c r="J32" s="239">
        <v>1</v>
      </c>
      <c r="K32" s="239">
        <v>22</v>
      </c>
      <c r="L32" s="240" t="s">
        <v>770</v>
      </c>
      <c r="M32" s="236">
        <v>8</v>
      </c>
      <c r="R32" s="245"/>
      <c r="S32" s="245"/>
      <c r="T32" s="245"/>
      <c r="U32" s="245"/>
    </row>
    <row r="33" hidden="1" spans="1:13">
      <c r="A33" s="236">
        <v>3569</v>
      </c>
      <c r="B33" s="236">
        <v>322012221</v>
      </c>
      <c r="C33" s="236" t="s">
        <v>100</v>
      </c>
      <c r="D33" s="236">
        <v>2012</v>
      </c>
      <c r="E33" s="236" t="s">
        <v>697</v>
      </c>
      <c r="F33" s="236" t="s">
        <v>179</v>
      </c>
      <c r="G33" s="236" t="s">
        <v>147</v>
      </c>
      <c r="H33" s="236" t="s">
        <v>771</v>
      </c>
      <c r="I33" s="236" t="s">
        <v>772</v>
      </c>
      <c r="J33" s="239">
        <v>1</v>
      </c>
      <c r="K33" s="239">
        <v>18</v>
      </c>
      <c r="L33" s="240" t="s">
        <v>773</v>
      </c>
      <c r="M33" s="236">
        <v>8</v>
      </c>
    </row>
    <row r="34" hidden="1" spans="1:13">
      <c r="A34" s="236">
        <v>3095</v>
      </c>
      <c r="B34" s="236">
        <v>232012223</v>
      </c>
      <c r="C34" s="236" t="s">
        <v>96</v>
      </c>
      <c r="D34" s="236">
        <v>2012</v>
      </c>
      <c r="E34" s="236" t="s">
        <v>697</v>
      </c>
      <c r="F34" s="236" t="s">
        <v>181</v>
      </c>
      <c r="G34" s="236" t="s">
        <v>147</v>
      </c>
      <c r="H34" s="236" t="s">
        <v>774</v>
      </c>
      <c r="I34" s="236" t="s">
        <v>775</v>
      </c>
      <c r="J34" s="239">
        <v>2</v>
      </c>
      <c r="K34" s="239">
        <v>2.4</v>
      </c>
      <c r="L34" s="240" t="s">
        <v>776</v>
      </c>
      <c r="M34" s="236">
        <v>7</v>
      </c>
    </row>
    <row r="35" hidden="1" spans="1:13">
      <c r="A35" s="236">
        <v>1190</v>
      </c>
      <c r="B35" s="236">
        <v>142012222</v>
      </c>
      <c r="C35" s="236" t="s">
        <v>88</v>
      </c>
      <c r="D35" s="236">
        <v>2012</v>
      </c>
      <c r="E35" s="236" t="s">
        <v>697</v>
      </c>
      <c r="F35" s="236" t="s">
        <v>180</v>
      </c>
      <c r="G35" s="236" t="s">
        <v>147</v>
      </c>
      <c r="H35" s="236" t="s">
        <v>777</v>
      </c>
      <c r="I35" s="236" t="s">
        <v>778</v>
      </c>
      <c r="J35" s="239">
        <v>10</v>
      </c>
      <c r="K35" s="239">
        <v>0.5</v>
      </c>
      <c r="L35" s="240" t="s">
        <v>779</v>
      </c>
      <c r="M35" s="236">
        <v>3</v>
      </c>
    </row>
    <row r="36" hidden="1" spans="1:13">
      <c r="A36" s="236">
        <v>3572</v>
      </c>
      <c r="B36" s="236">
        <v>322012223</v>
      </c>
      <c r="C36" s="236" t="s">
        <v>100</v>
      </c>
      <c r="D36" s="236">
        <v>2012</v>
      </c>
      <c r="E36" s="236" t="s">
        <v>697</v>
      </c>
      <c r="F36" s="236" t="s">
        <v>181</v>
      </c>
      <c r="G36" s="236" t="s">
        <v>147</v>
      </c>
      <c r="H36" s="236" t="s">
        <v>780</v>
      </c>
      <c r="I36" s="236" t="s">
        <v>781</v>
      </c>
      <c r="J36" s="239">
        <v>4</v>
      </c>
      <c r="K36" s="239">
        <v>0.4</v>
      </c>
      <c r="L36" s="240" t="s">
        <v>782</v>
      </c>
      <c r="M36" s="236">
        <v>9</v>
      </c>
    </row>
    <row r="37" hidden="1" spans="1:13">
      <c r="A37" s="236">
        <v>6569</v>
      </c>
      <c r="B37" s="236">
        <v>372012223</v>
      </c>
      <c r="C37" s="236" t="s">
        <v>110</v>
      </c>
      <c r="D37" s="236">
        <v>2012</v>
      </c>
      <c r="E37" s="236" t="s">
        <v>697</v>
      </c>
      <c r="F37" s="236" t="s">
        <v>181</v>
      </c>
      <c r="G37" s="236" t="s">
        <v>147</v>
      </c>
      <c r="H37" s="236" t="s">
        <v>783</v>
      </c>
      <c r="I37" s="236" t="s">
        <v>784</v>
      </c>
      <c r="J37" s="239">
        <v>2</v>
      </c>
      <c r="K37" s="239">
        <v>0.4</v>
      </c>
      <c r="L37" s="240" t="s">
        <v>785</v>
      </c>
      <c r="M37" s="236">
        <v>11</v>
      </c>
    </row>
    <row r="38" hidden="1" spans="1:13">
      <c r="A38" s="236">
        <v>3573</v>
      </c>
      <c r="B38" s="236">
        <v>322012223</v>
      </c>
      <c r="C38" s="236" t="s">
        <v>100</v>
      </c>
      <c r="D38" s="236">
        <v>2012</v>
      </c>
      <c r="E38" s="236" t="s">
        <v>697</v>
      </c>
      <c r="F38" s="236" t="s">
        <v>181</v>
      </c>
      <c r="G38" s="236" t="s">
        <v>147</v>
      </c>
      <c r="H38" s="236" t="s">
        <v>786</v>
      </c>
      <c r="I38" s="236" t="s">
        <v>100</v>
      </c>
      <c r="J38" s="239">
        <v>2</v>
      </c>
      <c r="K38" s="239">
        <v>0.18</v>
      </c>
      <c r="L38" s="240" t="s">
        <v>787</v>
      </c>
      <c r="M38" s="236">
        <v>9</v>
      </c>
    </row>
    <row r="39" hidden="1" spans="1:13">
      <c r="A39" s="236">
        <v>8609</v>
      </c>
      <c r="B39" s="236">
        <v>422012223</v>
      </c>
      <c r="C39" s="236" t="s">
        <v>114</v>
      </c>
      <c r="D39" s="236">
        <v>2012</v>
      </c>
      <c r="E39" s="236" t="s">
        <v>697</v>
      </c>
      <c r="F39" s="236" t="s">
        <v>181</v>
      </c>
      <c r="G39" s="236" t="s">
        <v>147</v>
      </c>
      <c r="H39" s="236" t="s">
        <v>788</v>
      </c>
      <c r="I39" s="236" t="s">
        <v>789</v>
      </c>
      <c r="J39" s="239">
        <v>1</v>
      </c>
      <c r="K39" s="239">
        <v>0.1</v>
      </c>
      <c r="L39" s="240" t="s">
        <v>790</v>
      </c>
      <c r="M39" s="236">
        <v>15</v>
      </c>
    </row>
    <row r="40" hidden="1" spans="1:13">
      <c r="A40" s="236">
        <v>1</v>
      </c>
      <c r="B40" s="236">
        <v>112013221</v>
      </c>
      <c r="C40" s="236" t="s">
        <v>82</v>
      </c>
      <c r="D40" s="236">
        <v>2013</v>
      </c>
      <c r="E40" s="236" t="s">
        <v>697</v>
      </c>
      <c r="F40" s="236" t="s">
        <v>179</v>
      </c>
      <c r="G40" s="236" t="s">
        <v>147</v>
      </c>
      <c r="H40" s="249" t="s">
        <v>791</v>
      </c>
      <c r="I40" s="236" t="s">
        <v>82</v>
      </c>
      <c r="J40" s="239">
        <v>1</v>
      </c>
      <c r="K40" s="239">
        <v>83.8</v>
      </c>
      <c r="L40" s="240" t="s">
        <v>792</v>
      </c>
      <c r="M40" s="236">
        <v>1</v>
      </c>
    </row>
    <row r="41" hidden="1" spans="1:13">
      <c r="A41" s="236">
        <v>4604</v>
      </c>
      <c r="B41" s="236">
        <v>332013221</v>
      </c>
      <c r="C41" s="236" t="s">
        <v>102</v>
      </c>
      <c r="D41" s="236">
        <v>2013</v>
      </c>
      <c r="E41" s="236" t="s">
        <v>697</v>
      </c>
      <c r="F41" s="236" t="s">
        <v>179</v>
      </c>
      <c r="G41" s="236" t="s">
        <v>147</v>
      </c>
      <c r="H41" s="236" t="s">
        <v>793</v>
      </c>
      <c r="I41" s="236" t="s">
        <v>766</v>
      </c>
      <c r="J41" s="239">
        <v>2</v>
      </c>
      <c r="K41" s="239">
        <v>83</v>
      </c>
      <c r="L41" s="240" t="s">
        <v>794</v>
      </c>
      <c r="M41" s="236">
        <v>13</v>
      </c>
    </row>
    <row r="42" hidden="1" spans="1:13">
      <c r="A42" s="236">
        <v>4603</v>
      </c>
      <c r="B42" s="236">
        <v>332013221</v>
      </c>
      <c r="C42" s="236" t="s">
        <v>102</v>
      </c>
      <c r="D42" s="236">
        <v>2013</v>
      </c>
      <c r="E42" s="236" t="s">
        <v>697</v>
      </c>
      <c r="F42" s="236" t="s">
        <v>179</v>
      </c>
      <c r="G42" s="236" t="s">
        <v>147</v>
      </c>
      <c r="H42" s="249" t="s">
        <v>795</v>
      </c>
      <c r="I42" s="236" t="s">
        <v>796</v>
      </c>
      <c r="J42" s="239">
        <v>2</v>
      </c>
      <c r="K42" s="239">
        <v>80</v>
      </c>
      <c r="L42" s="240" t="s">
        <v>797</v>
      </c>
      <c r="M42" s="236">
        <v>13</v>
      </c>
    </row>
    <row r="43" hidden="1" spans="1:13">
      <c r="A43" s="236">
        <v>4601</v>
      </c>
      <c r="B43" s="236">
        <v>332013221</v>
      </c>
      <c r="C43" s="236" t="s">
        <v>102</v>
      </c>
      <c r="D43" s="236">
        <v>2013</v>
      </c>
      <c r="E43" s="236" t="s">
        <v>697</v>
      </c>
      <c r="F43" s="236" t="s">
        <v>179</v>
      </c>
      <c r="G43" s="236" t="s">
        <v>147</v>
      </c>
      <c r="H43" s="236" t="s">
        <v>762</v>
      </c>
      <c r="I43" s="236" t="s">
        <v>763</v>
      </c>
      <c r="J43" s="239">
        <v>1</v>
      </c>
      <c r="K43" s="239">
        <v>45.2</v>
      </c>
      <c r="L43" s="240" t="s">
        <v>798</v>
      </c>
      <c r="M43" s="236">
        <v>13</v>
      </c>
    </row>
    <row r="44" hidden="1" spans="1:13">
      <c r="A44" s="236">
        <v>3608</v>
      </c>
      <c r="B44" s="236">
        <v>322013221</v>
      </c>
      <c r="C44" s="236" t="s">
        <v>100</v>
      </c>
      <c r="D44" s="236">
        <v>2013</v>
      </c>
      <c r="E44" s="236" t="s">
        <v>697</v>
      </c>
      <c r="F44" s="236" t="s">
        <v>179</v>
      </c>
      <c r="G44" s="236" t="s">
        <v>147</v>
      </c>
      <c r="H44" s="236" t="s">
        <v>799</v>
      </c>
      <c r="I44" s="236" t="s">
        <v>781</v>
      </c>
      <c r="J44" s="239">
        <v>4</v>
      </c>
      <c r="K44" s="239">
        <v>38.26</v>
      </c>
      <c r="L44" s="240" t="s">
        <v>800</v>
      </c>
      <c r="M44" s="236">
        <v>9</v>
      </c>
    </row>
    <row r="45" hidden="1" spans="1:13">
      <c r="A45" s="236">
        <v>3609</v>
      </c>
      <c r="B45" s="236">
        <v>322013221</v>
      </c>
      <c r="C45" s="236" t="s">
        <v>100</v>
      </c>
      <c r="D45" s="236">
        <v>2013</v>
      </c>
      <c r="E45" s="236" t="s">
        <v>697</v>
      </c>
      <c r="F45" s="236" t="s">
        <v>179</v>
      </c>
      <c r="G45" s="236" t="s">
        <v>147</v>
      </c>
      <c r="H45" s="236" t="s">
        <v>801</v>
      </c>
      <c r="I45" s="236" t="s">
        <v>802</v>
      </c>
      <c r="J45" s="239">
        <v>2</v>
      </c>
      <c r="K45" s="239">
        <v>37.2</v>
      </c>
      <c r="L45" s="240" t="s">
        <v>803</v>
      </c>
      <c r="M45" s="236">
        <v>10</v>
      </c>
    </row>
    <row r="46" hidden="1" spans="1:13">
      <c r="A46" s="236">
        <v>3610</v>
      </c>
      <c r="B46" s="236">
        <v>322013221</v>
      </c>
      <c r="C46" s="236" t="s">
        <v>100</v>
      </c>
      <c r="D46" s="236">
        <v>2013</v>
      </c>
      <c r="E46" s="236" t="s">
        <v>697</v>
      </c>
      <c r="F46" s="236" t="s">
        <v>179</v>
      </c>
      <c r="G46" s="236" t="s">
        <v>147</v>
      </c>
      <c r="H46" s="236" t="s">
        <v>804</v>
      </c>
      <c r="I46" s="236" t="s">
        <v>805</v>
      </c>
      <c r="J46" s="239">
        <v>2</v>
      </c>
      <c r="K46" s="239">
        <v>36</v>
      </c>
      <c r="L46" s="240" t="s">
        <v>806</v>
      </c>
      <c r="M46" s="236">
        <v>10</v>
      </c>
    </row>
    <row r="47" hidden="1" spans="1:13">
      <c r="A47" s="236">
        <v>4602</v>
      </c>
      <c r="B47" s="236">
        <v>332013221</v>
      </c>
      <c r="C47" s="236" t="s">
        <v>102</v>
      </c>
      <c r="D47" s="236">
        <v>2013</v>
      </c>
      <c r="E47" s="236" t="s">
        <v>697</v>
      </c>
      <c r="F47" s="236" t="s">
        <v>179</v>
      </c>
      <c r="G47" s="236" t="s">
        <v>147</v>
      </c>
      <c r="H47" s="236" t="s">
        <v>807</v>
      </c>
      <c r="I47" s="236" t="s">
        <v>808</v>
      </c>
      <c r="J47" s="239">
        <v>2</v>
      </c>
      <c r="K47" s="239">
        <v>23</v>
      </c>
      <c r="L47" s="240" t="s">
        <v>809</v>
      </c>
      <c r="M47" s="236">
        <v>13</v>
      </c>
    </row>
    <row r="48" hidden="1" spans="1:13">
      <c r="A48" s="236">
        <v>3607</v>
      </c>
      <c r="B48" s="236">
        <v>322013221</v>
      </c>
      <c r="C48" s="236" t="s">
        <v>100</v>
      </c>
      <c r="D48" s="236">
        <v>2013</v>
      </c>
      <c r="E48" s="236" t="s">
        <v>697</v>
      </c>
      <c r="F48" s="236" t="s">
        <v>179</v>
      </c>
      <c r="G48" s="236" t="s">
        <v>147</v>
      </c>
      <c r="H48" s="236" t="s">
        <v>810</v>
      </c>
      <c r="I48" s="236" t="s">
        <v>811</v>
      </c>
      <c r="J48" s="239">
        <v>4</v>
      </c>
      <c r="K48" s="239">
        <v>12.1</v>
      </c>
      <c r="L48" s="240" t="s">
        <v>812</v>
      </c>
      <c r="M48" s="236">
        <v>9</v>
      </c>
    </row>
    <row r="49" hidden="1" spans="1:13">
      <c r="A49" s="236">
        <v>3479</v>
      </c>
      <c r="B49" s="236">
        <v>312013223</v>
      </c>
      <c r="C49" s="236" t="s">
        <v>98</v>
      </c>
      <c r="D49" s="236">
        <v>2013</v>
      </c>
      <c r="E49" s="236" t="s">
        <v>697</v>
      </c>
      <c r="F49" s="236" t="s">
        <v>181</v>
      </c>
      <c r="G49" s="236" t="s">
        <v>147</v>
      </c>
      <c r="H49" s="236" t="s">
        <v>813</v>
      </c>
      <c r="I49" s="236" t="s">
        <v>98</v>
      </c>
      <c r="J49" s="239">
        <v>8</v>
      </c>
      <c r="K49" s="239">
        <v>0.98</v>
      </c>
      <c r="L49" s="240" t="s">
        <v>814</v>
      </c>
      <c r="M49" s="236">
        <v>9</v>
      </c>
    </row>
    <row r="50" hidden="1" spans="1:13">
      <c r="A50" s="236">
        <v>3611</v>
      </c>
      <c r="B50" s="236">
        <v>322013221</v>
      </c>
      <c r="C50" s="236" t="s">
        <v>100</v>
      </c>
      <c r="D50" s="236">
        <v>2013</v>
      </c>
      <c r="E50" s="236" t="s">
        <v>697</v>
      </c>
      <c r="F50" s="236" t="s">
        <v>179</v>
      </c>
      <c r="G50" s="236" t="s">
        <v>147</v>
      </c>
      <c r="H50" s="236" t="s">
        <v>815</v>
      </c>
      <c r="I50" s="236" t="s">
        <v>816</v>
      </c>
      <c r="J50" s="239">
        <v>1</v>
      </c>
      <c r="K50" s="239">
        <v>0.11</v>
      </c>
      <c r="L50" s="240" t="s">
        <v>817</v>
      </c>
      <c r="M50" s="236">
        <v>10</v>
      </c>
    </row>
    <row r="51" hidden="1" spans="1:13">
      <c r="A51" s="236">
        <v>10062</v>
      </c>
      <c r="B51" s="236">
        <v>452013223</v>
      </c>
      <c r="C51" s="236" t="s">
        <v>120</v>
      </c>
      <c r="D51" s="236">
        <v>2013</v>
      </c>
      <c r="E51" s="236" t="s">
        <v>697</v>
      </c>
      <c r="F51" s="236" t="s">
        <v>181</v>
      </c>
      <c r="G51" s="236" t="s">
        <v>147</v>
      </c>
      <c r="H51" s="236" t="s">
        <v>818</v>
      </c>
      <c r="I51" s="236" t="s">
        <v>819</v>
      </c>
      <c r="J51" s="239">
        <v>3</v>
      </c>
      <c r="K51" s="239">
        <v>0.1</v>
      </c>
      <c r="L51" s="240" t="s">
        <v>820</v>
      </c>
      <c r="M51" s="236">
        <v>20</v>
      </c>
    </row>
    <row r="52" hidden="1" spans="1:13">
      <c r="A52" s="236">
        <v>2</v>
      </c>
      <c r="B52" s="236">
        <v>112014221</v>
      </c>
      <c r="C52" s="236" t="s">
        <v>82</v>
      </c>
      <c r="D52" s="236">
        <v>2014</v>
      </c>
      <c r="E52" s="236" t="s">
        <v>697</v>
      </c>
      <c r="F52" s="236" t="s">
        <v>179</v>
      </c>
      <c r="G52" s="236" t="s">
        <v>147</v>
      </c>
      <c r="H52" s="249" t="s">
        <v>821</v>
      </c>
      <c r="I52" s="236" t="s">
        <v>822</v>
      </c>
      <c r="J52" s="239">
        <v>3</v>
      </c>
      <c r="K52" s="239">
        <v>138</v>
      </c>
      <c r="L52" s="240" t="s">
        <v>823</v>
      </c>
    </row>
    <row r="53" hidden="1" spans="1:13">
      <c r="A53" s="236">
        <v>4</v>
      </c>
      <c r="B53" s="236">
        <v>112014221</v>
      </c>
      <c r="C53" s="236" t="s">
        <v>82</v>
      </c>
      <c r="D53" s="236">
        <v>2014</v>
      </c>
      <c r="E53" s="236" t="s">
        <v>697</v>
      </c>
      <c r="F53" s="236" t="s">
        <v>179</v>
      </c>
      <c r="G53" s="236" t="s">
        <v>147</v>
      </c>
      <c r="H53" s="249" t="s">
        <v>824</v>
      </c>
      <c r="I53" s="236" t="s">
        <v>822</v>
      </c>
      <c r="J53" s="239">
        <v>2</v>
      </c>
      <c r="K53" s="239">
        <v>130.7</v>
      </c>
      <c r="L53" s="240" t="s">
        <v>825</v>
      </c>
    </row>
    <row r="54" hidden="1" spans="1:13">
      <c r="A54" s="236">
        <v>10418</v>
      </c>
      <c r="B54" s="236">
        <v>502014221</v>
      </c>
      <c r="C54" s="236" t="s">
        <v>124</v>
      </c>
      <c r="D54" s="236">
        <v>2014</v>
      </c>
      <c r="E54" s="236" t="s">
        <v>697</v>
      </c>
      <c r="F54" s="236" t="s">
        <v>698</v>
      </c>
      <c r="G54" s="236" t="s">
        <v>147</v>
      </c>
      <c r="H54" s="249" t="s">
        <v>826</v>
      </c>
      <c r="I54" s="236" t="s">
        <v>827</v>
      </c>
      <c r="J54" s="239">
        <v>2</v>
      </c>
      <c r="K54" s="239">
        <v>93.4</v>
      </c>
      <c r="L54" s="240" t="s">
        <v>828</v>
      </c>
    </row>
    <row r="55" hidden="1" spans="1:13">
      <c r="A55" s="236">
        <v>1241</v>
      </c>
      <c r="B55" s="236">
        <v>142014221</v>
      </c>
      <c r="C55" s="236" t="s">
        <v>88</v>
      </c>
      <c r="D55" s="236">
        <v>2014</v>
      </c>
      <c r="E55" s="236" t="s">
        <v>697</v>
      </c>
      <c r="F55" s="236" t="s">
        <v>179</v>
      </c>
      <c r="G55" s="236" t="s">
        <v>147</v>
      </c>
      <c r="H55" s="236" t="s">
        <v>829</v>
      </c>
      <c r="I55" s="236" t="s">
        <v>830</v>
      </c>
      <c r="J55" s="239">
        <v>3</v>
      </c>
      <c r="K55" s="239">
        <v>86.4</v>
      </c>
      <c r="L55" s="240" t="s">
        <v>831</v>
      </c>
    </row>
    <row r="56" hidden="1" spans="1:13">
      <c r="A56" s="236">
        <v>3</v>
      </c>
      <c r="B56" s="236">
        <v>112014221</v>
      </c>
      <c r="C56" s="236" t="s">
        <v>82</v>
      </c>
      <c r="D56" s="236">
        <v>2014</v>
      </c>
      <c r="E56" s="236" t="s">
        <v>697</v>
      </c>
      <c r="F56" s="236" t="s">
        <v>179</v>
      </c>
      <c r="G56" s="236" t="s">
        <v>147</v>
      </c>
      <c r="H56" s="249" t="s">
        <v>832</v>
      </c>
      <c r="I56" s="236" t="s">
        <v>833</v>
      </c>
      <c r="J56" s="239">
        <v>1</v>
      </c>
      <c r="K56" s="239">
        <v>84.5</v>
      </c>
      <c r="L56" s="240" t="s">
        <v>834</v>
      </c>
    </row>
    <row r="57" spans="1:13">
      <c r="A57" s="236">
        <v>9812</v>
      </c>
      <c r="B57" s="236">
        <v>442014221</v>
      </c>
      <c r="C57" s="236" t="s">
        <v>118</v>
      </c>
      <c r="D57" s="236">
        <v>2014</v>
      </c>
      <c r="E57" s="236" t="s">
        <v>697</v>
      </c>
      <c r="F57" s="236" t="s">
        <v>179</v>
      </c>
      <c r="G57" s="236" t="s">
        <v>147</v>
      </c>
      <c r="H57" s="236" t="s">
        <v>835</v>
      </c>
      <c r="I57" s="236" t="s">
        <v>836</v>
      </c>
      <c r="J57" s="239">
        <v>2</v>
      </c>
      <c r="K57" s="239">
        <v>78</v>
      </c>
      <c r="L57" s="240" t="s">
        <v>837</v>
      </c>
    </row>
    <row r="58" hidden="1" spans="1:13">
      <c r="A58" s="236">
        <v>4614</v>
      </c>
      <c r="B58" s="236">
        <v>332014221</v>
      </c>
      <c r="C58" s="236" t="s">
        <v>102</v>
      </c>
      <c r="D58" s="236">
        <v>2014</v>
      </c>
      <c r="E58" s="236" t="s">
        <v>697</v>
      </c>
      <c r="F58" s="236" t="s">
        <v>179</v>
      </c>
      <c r="G58" s="236" t="s">
        <v>147</v>
      </c>
      <c r="H58" s="236" t="s">
        <v>838</v>
      </c>
      <c r="I58" s="236" t="s">
        <v>839</v>
      </c>
      <c r="J58" s="239">
        <v>2</v>
      </c>
      <c r="K58" s="239">
        <v>78</v>
      </c>
      <c r="L58" s="240" t="s">
        <v>840</v>
      </c>
    </row>
    <row r="59" hidden="1" spans="1:13">
      <c r="A59" s="236">
        <v>71</v>
      </c>
      <c r="B59" s="236">
        <v>122014221</v>
      </c>
      <c r="C59" s="236" t="s">
        <v>84</v>
      </c>
      <c r="D59" s="236">
        <v>2014</v>
      </c>
      <c r="E59" s="236" t="s">
        <v>697</v>
      </c>
      <c r="F59" s="236" t="s">
        <v>179</v>
      </c>
      <c r="G59" s="236" t="s">
        <v>147</v>
      </c>
      <c r="H59" s="249" t="s">
        <v>841</v>
      </c>
      <c r="I59" s="236" t="s">
        <v>842</v>
      </c>
      <c r="J59" s="239">
        <v>2</v>
      </c>
      <c r="K59" s="239">
        <v>46.3</v>
      </c>
      <c r="L59" s="240" t="s">
        <v>843</v>
      </c>
    </row>
    <row r="60" hidden="1" spans="1:13">
      <c r="A60" s="236">
        <v>4617</v>
      </c>
      <c r="B60" s="236">
        <v>332014221</v>
      </c>
      <c r="C60" s="236" t="s">
        <v>102</v>
      </c>
      <c r="D60" s="236">
        <v>2014</v>
      </c>
      <c r="E60" s="236" t="s">
        <v>697</v>
      </c>
      <c r="F60" s="236" t="s">
        <v>179</v>
      </c>
      <c r="G60" s="236" t="s">
        <v>147</v>
      </c>
      <c r="H60" s="249" t="s">
        <v>844</v>
      </c>
      <c r="I60" s="236" t="s">
        <v>845</v>
      </c>
      <c r="J60" s="239">
        <v>4</v>
      </c>
      <c r="K60" s="239">
        <v>45.84</v>
      </c>
      <c r="L60" s="240" t="s">
        <v>846</v>
      </c>
    </row>
    <row r="61" hidden="1" spans="1:13">
      <c r="A61" s="236">
        <v>4615</v>
      </c>
      <c r="B61" s="236">
        <v>332014221</v>
      </c>
      <c r="C61" s="236" t="s">
        <v>102</v>
      </c>
      <c r="D61" s="236">
        <v>2014</v>
      </c>
      <c r="E61" s="236" t="s">
        <v>697</v>
      </c>
      <c r="F61" s="236" t="s">
        <v>179</v>
      </c>
      <c r="G61" s="236" t="s">
        <v>147</v>
      </c>
      <c r="H61" s="236" t="s">
        <v>847</v>
      </c>
      <c r="I61" s="236" t="s">
        <v>808</v>
      </c>
      <c r="J61" s="239">
        <v>1</v>
      </c>
      <c r="K61" s="239">
        <v>45.8</v>
      </c>
      <c r="L61" s="240" t="s">
        <v>848</v>
      </c>
    </row>
    <row r="62" hidden="1" spans="1:13">
      <c r="A62" s="236">
        <v>72</v>
      </c>
      <c r="B62" s="236">
        <v>122014221</v>
      </c>
      <c r="C62" s="236" t="s">
        <v>84</v>
      </c>
      <c r="D62" s="236">
        <v>2014</v>
      </c>
      <c r="E62" s="236" t="s">
        <v>697</v>
      </c>
      <c r="F62" s="236" t="s">
        <v>698</v>
      </c>
      <c r="G62" s="236" t="s">
        <v>147</v>
      </c>
      <c r="H62" s="249" t="s">
        <v>849</v>
      </c>
      <c r="I62" s="236" t="s">
        <v>84</v>
      </c>
      <c r="J62" s="239">
        <v>2</v>
      </c>
      <c r="K62" s="239">
        <v>40</v>
      </c>
      <c r="L62" s="240" t="s">
        <v>850</v>
      </c>
    </row>
    <row r="63" hidden="1" spans="1:13">
      <c r="A63" s="236">
        <v>5</v>
      </c>
      <c r="B63" s="236">
        <v>112014221</v>
      </c>
      <c r="C63" s="236" t="s">
        <v>82</v>
      </c>
      <c r="D63" s="236">
        <v>2014</v>
      </c>
      <c r="E63" s="236" t="s">
        <v>697</v>
      </c>
      <c r="F63" s="236" t="s">
        <v>179</v>
      </c>
      <c r="G63" s="236" t="s">
        <v>147</v>
      </c>
      <c r="H63" s="249" t="s">
        <v>851</v>
      </c>
      <c r="I63" s="236" t="s">
        <v>852</v>
      </c>
      <c r="J63" s="239">
        <v>1</v>
      </c>
      <c r="K63" s="239">
        <v>25.5</v>
      </c>
      <c r="L63" s="240" t="s">
        <v>853</v>
      </c>
    </row>
    <row r="64" hidden="1" spans="1:13">
      <c r="A64" s="236">
        <v>4616</v>
      </c>
      <c r="B64" s="236">
        <v>332014221</v>
      </c>
      <c r="C64" s="236" t="s">
        <v>102</v>
      </c>
      <c r="D64" s="236">
        <v>2014</v>
      </c>
      <c r="E64" s="236" t="s">
        <v>697</v>
      </c>
      <c r="F64" s="236" t="s">
        <v>179</v>
      </c>
      <c r="G64" s="236" t="s">
        <v>147</v>
      </c>
      <c r="H64" s="236" t="s">
        <v>854</v>
      </c>
      <c r="I64" s="236" t="s">
        <v>766</v>
      </c>
      <c r="J64" s="239">
        <v>3</v>
      </c>
      <c r="K64" s="239">
        <v>24.6</v>
      </c>
      <c r="L64" s="240" t="s">
        <v>855</v>
      </c>
    </row>
    <row r="65" hidden="1" spans="1:13">
      <c r="A65" s="236">
        <v>10068</v>
      </c>
      <c r="B65" s="236">
        <v>452014221</v>
      </c>
      <c r="C65" s="236" t="s">
        <v>120</v>
      </c>
      <c r="D65" s="236">
        <v>2014</v>
      </c>
      <c r="E65" s="236" t="s">
        <v>697</v>
      </c>
      <c r="F65" s="236" t="s">
        <v>698</v>
      </c>
      <c r="G65" s="236" t="s">
        <v>147</v>
      </c>
      <c r="H65" s="236" t="s">
        <v>856</v>
      </c>
      <c r="I65" s="236" t="s">
        <v>857</v>
      </c>
      <c r="J65" s="239">
        <v>2</v>
      </c>
      <c r="K65" s="239">
        <v>12</v>
      </c>
      <c r="L65" s="240" t="s">
        <v>858</v>
      </c>
    </row>
    <row r="66" hidden="1" spans="1:13">
      <c r="A66" s="236">
        <v>6255</v>
      </c>
      <c r="B66" s="236">
        <v>362014221</v>
      </c>
      <c r="C66" s="236" t="s">
        <v>108</v>
      </c>
      <c r="D66" s="236">
        <v>2014</v>
      </c>
      <c r="E66" s="236" t="s">
        <v>697</v>
      </c>
      <c r="F66" s="236" t="s">
        <v>698</v>
      </c>
      <c r="G66" s="236" t="s">
        <v>147</v>
      </c>
      <c r="H66" s="236" t="s">
        <v>859</v>
      </c>
      <c r="I66" s="236" t="s">
        <v>860</v>
      </c>
      <c r="J66" s="239">
        <v>3</v>
      </c>
      <c r="K66" s="239">
        <v>8.7</v>
      </c>
      <c r="L66" s="240" t="s">
        <v>861</v>
      </c>
    </row>
    <row r="67" hidden="1" spans="1:13">
      <c r="A67" s="236">
        <v>5309</v>
      </c>
      <c r="B67" s="236">
        <v>342014222</v>
      </c>
      <c r="C67" s="236" t="s">
        <v>104</v>
      </c>
      <c r="D67" s="236">
        <v>2014</v>
      </c>
      <c r="E67" s="236" t="s">
        <v>697</v>
      </c>
      <c r="F67" s="236" t="s">
        <v>180</v>
      </c>
      <c r="G67" s="236" t="s">
        <v>147</v>
      </c>
      <c r="H67" s="236" t="s">
        <v>862</v>
      </c>
      <c r="I67" s="236" t="s">
        <v>104</v>
      </c>
      <c r="K67" s="239">
        <v>6.74</v>
      </c>
      <c r="L67" s="240" t="s">
        <v>863</v>
      </c>
    </row>
    <row r="68" hidden="1" spans="1:13">
      <c r="A68" s="236">
        <v>5308</v>
      </c>
      <c r="B68" s="236">
        <v>342014222</v>
      </c>
      <c r="C68" s="236" t="s">
        <v>104</v>
      </c>
      <c r="D68" s="236">
        <v>2014</v>
      </c>
      <c r="E68" s="236" t="s">
        <v>697</v>
      </c>
      <c r="F68" s="236" t="s">
        <v>180</v>
      </c>
      <c r="G68" s="236" t="s">
        <v>147</v>
      </c>
      <c r="H68" s="236" t="s">
        <v>864</v>
      </c>
      <c r="I68" s="236" t="s">
        <v>104</v>
      </c>
      <c r="J68" s="239">
        <v>1</v>
      </c>
      <c r="K68" s="239">
        <v>0.9</v>
      </c>
      <c r="L68" s="240" t="s">
        <v>865</v>
      </c>
    </row>
    <row r="69" hidden="1" spans="1:13">
      <c r="A69" s="236">
        <v>11204</v>
      </c>
      <c r="B69" s="236">
        <v>522014222</v>
      </c>
      <c r="C69" s="236" t="s">
        <v>128</v>
      </c>
      <c r="D69" s="236">
        <v>2014</v>
      </c>
      <c r="E69" s="236" t="s">
        <v>697</v>
      </c>
      <c r="F69" s="236" t="s">
        <v>180</v>
      </c>
      <c r="G69" s="236" t="s">
        <v>147</v>
      </c>
      <c r="H69" s="236" t="s">
        <v>866</v>
      </c>
      <c r="I69" s="236" t="s">
        <v>867</v>
      </c>
      <c r="J69" s="239">
        <v>7</v>
      </c>
      <c r="K69" s="239">
        <v>0.49</v>
      </c>
      <c r="L69" s="240" t="s">
        <v>831</v>
      </c>
    </row>
    <row r="70" hidden="1" spans="1:13">
      <c r="A70" s="236">
        <v>3705</v>
      </c>
      <c r="B70" s="236">
        <v>322014221</v>
      </c>
      <c r="C70" s="236" t="s">
        <v>100</v>
      </c>
      <c r="D70" s="236">
        <v>2014</v>
      </c>
      <c r="E70" s="236" t="s">
        <v>697</v>
      </c>
      <c r="F70" s="236" t="s">
        <v>698</v>
      </c>
      <c r="G70" s="236" t="s">
        <v>147</v>
      </c>
      <c r="H70" s="236" t="s">
        <v>868</v>
      </c>
      <c r="I70" s="236" t="s">
        <v>869</v>
      </c>
      <c r="J70" s="239">
        <v>2</v>
      </c>
      <c r="K70" s="239">
        <v>0.4</v>
      </c>
      <c r="L70" s="240" t="s">
        <v>870</v>
      </c>
    </row>
    <row r="71" hidden="1" spans="1:13">
      <c r="A71" s="236">
        <v>4649</v>
      </c>
      <c r="B71" s="236">
        <v>332015221</v>
      </c>
      <c r="C71" s="236" t="s">
        <v>102</v>
      </c>
      <c r="D71" s="236">
        <v>2015</v>
      </c>
      <c r="E71" s="236" t="s">
        <v>697</v>
      </c>
      <c r="F71" s="236" t="s">
        <v>179</v>
      </c>
      <c r="G71" s="236" t="s">
        <v>147</v>
      </c>
      <c r="H71" s="236" t="s">
        <v>871</v>
      </c>
      <c r="I71" s="236" t="s">
        <v>766</v>
      </c>
      <c r="J71" s="239">
        <v>2</v>
      </c>
      <c r="K71" s="239">
        <v>96.05</v>
      </c>
      <c r="L71" s="240" t="s">
        <v>872</v>
      </c>
      <c r="M71" s="236">
        <v>17</v>
      </c>
    </row>
    <row r="72" hidden="1" spans="1:13">
      <c r="A72" s="236">
        <v>6</v>
      </c>
      <c r="B72" s="236">
        <v>112015221</v>
      </c>
      <c r="C72" s="236" t="s">
        <v>82</v>
      </c>
      <c r="D72" s="236">
        <v>2015</v>
      </c>
      <c r="E72" s="236" t="s">
        <v>697</v>
      </c>
      <c r="F72" s="236" t="s">
        <v>179</v>
      </c>
      <c r="G72" s="236" t="s">
        <v>147</v>
      </c>
      <c r="H72" s="249" t="s">
        <v>873</v>
      </c>
      <c r="I72" s="236" t="s">
        <v>82</v>
      </c>
      <c r="J72" s="239">
        <v>1</v>
      </c>
      <c r="K72" s="239">
        <v>95</v>
      </c>
      <c r="L72" s="240" t="s">
        <v>874</v>
      </c>
      <c r="M72" s="236">
        <v>1</v>
      </c>
    </row>
    <row r="73" hidden="1" spans="1:13">
      <c r="A73" s="236">
        <v>3774</v>
      </c>
      <c r="B73" s="236">
        <v>322015221</v>
      </c>
      <c r="C73" s="236" t="s">
        <v>100</v>
      </c>
      <c r="D73" s="236">
        <v>2015</v>
      </c>
      <c r="E73" s="236" t="s">
        <v>697</v>
      </c>
      <c r="F73" s="236" t="s">
        <v>179</v>
      </c>
      <c r="G73" s="236" t="s">
        <v>147</v>
      </c>
      <c r="H73" s="249" t="s">
        <v>747</v>
      </c>
      <c r="I73" s="236" t="s">
        <v>748</v>
      </c>
      <c r="J73" s="239">
        <v>2</v>
      </c>
      <c r="K73" s="239">
        <v>95</v>
      </c>
      <c r="L73" s="240" t="s">
        <v>875</v>
      </c>
      <c r="M73" s="236">
        <v>13</v>
      </c>
    </row>
    <row r="74" hidden="1" spans="1:13">
      <c r="A74" s="236">
        <v>3495</v>
      </c>
      <c r="B74" s="236">
        <v>312015221</v>
      </c>
      <c r="C74" s="236" t="s">
        <v>98</v>
      </c>
      <c r="D74" s="236">
        <v>2015</v>
      </c>
      <c r="E74" s="236" t="s">
        <v>697</v>
      </c>
      <c r="F74" s="236" t="s">
        <v>179</v>
      </c>
      <c r="G74" s="236" t="s">
        <v>147</v>
      </c>
      <c r="H74" s="236" t="s">
        <v>876</v>
      </c>
      <c r="I74" s="236" t="s">
        <v>877</v>
      </c>
      <c r="J74" s="239">
        <v>2</v>
      </c>
      <c r="K74" s="239">
        <v>86</v>
      </c>
      <c r="L74" s="240" t="s">
        <v>878</v>
      </c>
      <c r="M74" s="236">
        <v>13</v>
      </c>
    </row>
    <row r="75" hidden="1" spans="1:13">
      <c r="A75" s="236">
        <v>1294</v>
      </c>
      <c r="B75" s="236">
        <v>142015221</v>
      </c>
      <c r="C75" s="236" t="s">
        <v>88</v>
      </c>
      <c r="D75" s="236">
        <v>2015</v>
      </c>
      <c r="E75" s="236" t="s">
        <v>697</v>
      </c>
      <c r="F75" s="236" t="s">
        <v>179</v>
      </c>
      <c r="G75" s="236" t="s">
        <v>147</v>
      </c>
      <c r="H75" s="236" t="s">
        <v>879</v>
      </c>
      <c r="I75" s="236" t="s">
        <v>830</v>
      </c>
      <c r="J75" s="239">
        <v>3</v>
      </c>
      <c r="K75" s="239">
        <v>85.9</v>
      </c>
      <c r="L75" s="240" t="s">
        <v>880</v>
      </c>
      <c r="M75" s="236">
        <v>5</v>
      </c>
    </row>
    <row r="76" hidden="1" spans="1:13">
      <c r="A76" s="236">
        <v>3771</v>
      </c>
      <c r="B76" s="236">
        <v>322015221</v>
      </c>
      <c r="C76" s="236" t="s">
        <v>100</v>
      </c>
      <c r="D76" s="236">
        <v>2015</v>
      </c>
      <c r="E76" s="236" t="s">
        <v>697</v>
      </c>
      <c r="F76" s="236" t="s">
        <v>179</v>
      </c>
      <c r="G76" s="236" t="s">
        <v>147</v>
      </c>
      <c r="H76" s="236" t="s">
        <v>881</v>
      </c>
      <c r="I76" s="236" t="s">
        <v>882</v>
      </c>
      <c r="J76" s="239">
        <v>2</v>
      </c>
      <c r="K76" s="239">
        <v>84</v>
      </c>
      <c r="L76" s="240" t="s">
        <v>883</v>
      </c>
      <c r="M76" s="236">
        <v>13</v>
      </c>
    </row>
    <row r="77" hidden="1" spans="1:13">
      <c r="A77" s="236">
        <v>4648</v>
      </c>
      <c r="B77" s="236">
        <v>332015221</v>
      </c>
      <c r="C77" s="236" t="s">
        <v>102</v>
      </c>
      <c r="D77" s="236">
        <v>2015</v>
      </c>
      <c r="E77" s="236" t="s">
        <v>697</v>
      </c>
      <c r="F77" s="236" t="s">
        <v>179</v>
      </c>
      <c r="G77" s="236" t="s">
        <v>147</v>
      </c>
      <c r="H77" s="236" t="s">
        <v>884</v>
      </c>
      <c r="I77" s="236" t="s">
        <v>808</v>
      </c>
      <c r="J77" s="239">
        <v>4</v>
      </c>
      <c r="K77" s="239">
        <v>40.5</v>
      </c>
      <c r="L77" s="240" t="s">
        <v>885</v>
      </c>
      <c r="M77" s="236">
        <v>17</v>
      </c>
    </row>
    <row r="78" hidden="1" spans="1:13">
      <c r="A78" s="236">
        <v>3773</v>
      </c>
      <c r="B78" s="236">
        <v>322015221</v>
      </c>
      <c r="C78" s="236" t="s">
        <v>100</v>
      </c>
      <c r="D78" s="236">
        <v>2015</v>
      </c>
      <c r="E78" s="236" t="s">
        <v>697</v>
      </c>
      <c r="F78" s="236" t="s">
        <v>179</v>
      </c>
      <c r="G78" s="236" t="s">
        <v>147</v>
      </c>
      <c r="H78" s="236" t="s">
        <v>886</v>
      </c>
      <c r="I78" s="236" t="s">
        <v>100</v>
      </c>
      <c r="J78" s="239" t="s">
        <v>887</v>
      </c>
      <c r="K78" s="239">
        <v>36</v>
      </c>
      <c r="L78" s="240" t="s">
        <v>885</v>
      </c>
      <c r="M78" s="236">
        <v>13</v>
      </c>
    </row>
    <row r="79" hidden="1" spans="1:13">
      <c r="A79" s="236">
        <v>4650</v>
      </c>
      <c r="B79" s="236">
        <v>332015221</v>
      </c>
      <c r="C79" s="236" t="s">
        <v>102</v>
      </c>
      <c r="D79" s="236">
        <v>2015</v>
      </c>
      <c r="E79" s="236" t="s">
        <v>697</v>
      </c>
      <c r="F79" s="236" t="s">
        <v>179</v>
      </c>
      <c r="G79" s="236" t="s">
        <v>147</v>
      </c>
      <c r="H79" s="236" t="s">
        <v>888</v>
      </c>
      <c r="I79" s="236" t="s">
        <v>102</v>
      </c>
      <c r="J79" s="239" t="s">
        <v>887</v>
      </c>
      <c r="K79" s="239">
        <v>19.9</v>
      </c>
      <c r="L79" s="240" t="s">
        <v>887</v>
      </c>
      <c r="M79" s="236">
        <v>17</v>
      </c>
    </row>
    <row r="80" hidden="1" spans="1:13">
      <c r="A80" s="236">
        <v>8737</v>
      </c>
      <c r="B80" s="236">
        <v>422015221</v>
      </c>
      <c r="C80" s="236" t="s">
        <v>114</v>
      </c>
      <c r="D80" s="236">
        <v>2015</v>
      </c>
      <c r="E80" s="236" t="s">
        <v>697</v>
      </c>
      <c r="F80" s="236" t="s">
        <v>179</v>
      </c>
      <c r="G80" s="236" t="s">
        <v>147</v>
      </c>
      <c r="H80" s="236" t="s">
        <v>889</v>
      </c>
      <c r="I80" s="236" t="s">
        <v>740</v>
      </c>
      <c r="J80" s="239">
        <v>1</v>
      </c>
      <c r="K80" s="239">
        <v>18.5</v>
      </c>
      <c r="L80" s="240" t="s">
        <v>890</v>
      </c>
      <c r="M80" s="236">
        <v>27</v>
      </c>
    </row>
    <row r="81" hidden="1" spans="1:14">
      <c r="A81" s="236">
        <v>8738</v>
      </c>
      <c r="B81" s="236">
        <v>422015221</v>
      </c>
      <c r="C81" s="236" t="s">
        <v>114</v>
      </c>
      <c r="D81" s="236">
        <v>2015</v>
      </c>
      <c r="E81" s="236" t="s">
        <v>697</v>
      </c>
      <c r="F81" s="236" t="s">
        <v>179</v>
      </c>
      <c r="G81" s="236" t="s">
        <v>147</v>
      </c>
      <c r="H81" s="236" t="s">
        <v>891</v>
      </c>
      <c r="I81" s="236" t="s">
        <v>740</v>
      </c>
      <c r="J81" s="239">
        <v>1</v>
      </c>
      <c r="K81" s="239">
        <v>18.5</v>
      </c>
      <c r="L81" s="240" t="s">
        <v>892</v>
      </c>
      <c r="M81" s="236">
        <v>27</v>
      </c>
    </row>
    <row r="82" hidden="1" spans="1:14">
      <c r="A82" s="236">
        <v>3494</v>
      </c>
      <c r="B82" s="236">
        <v>312015221</v>
      </c>
      <c r="C82" s="236" t="s">
        <v>98</v>
      </c>
      <c r="D82" s="236">
        <v>2015</v>
      </c>
      <c r="E82" s="236" t="s">
        <v>697</v>
      </c>
      <c r="F82" s="236" t="s">
        <v>698</v>
      </c>
      <c r="G82" s="236" t="s">
        <v>147</v>
      </c>
      <c r="H82" s="236" t="s">
        <v>893</v>
      </c>
      <c r="I82" s="236" t="s">
        <v>98</v>
      </c>
      <c r="J82" s="239">
        <v>2</v>
      </c>
      <c r="K82" s="239">
        <v>12</v>
      </c>
      <c r="L82" s="240" t="s">
        <v>894</v>
      </c>
      <c r="M82" s="236">
        <v>13</v>
      </c>
    </row>
    <row r="83" hidden="1" spans="1:14">
      <c r="A83" s="236">
        <v>3493</v>
      </c>
      <c r="B83" s="236">
        <v>312015221</v>
      </c>
      <c r="C83" s="236" t="s">
        <v>98</v>
      </c>
      <c r="D83" s="236">
        <v>2015</v>
      </c>
      <c r="E83" s="236" t="s">
        <v>697</v>
      </c>
      <c r="F83" s="236" t="s">
        <v>698</v>
      </c>
      <c r="G83" s="236" t="s">
        <v>147</v>
      </c>
      <c r="H83" s="236" t="s">
        <v>895</v>
      </c>
      <c r="I83" s="236" t="s">
        <v>98</v>
      </c>
      <c r="J83" s="239">
        <v>5</v>
      </c>
      <c r="K83" s="239">
        <v>2.2</v>
      </c>
      <c r="L83" s="240" t="s">
        <v>896</v>
      </c>
      <c r="M83" s="236">
        <v>13</v>
      </c>
    </row>
    <row r="84" hidden="1" spans="1:14">
      <c r="A84" s="236">
        <v>1295</v>
      </c>
      <c r="B84" s="236">
        <v>142015222</v>
      </c>
      <c r="C84" s="236" t="s">
        <v>88</v>
      </c>
      <c r="D84" s="236">
        <v>2015</v>
      </c>
      <c r="E84" s="236" t="s">
        <v>697</v>
      </c>
      <c r="F84" s="236" t="s">
        <v>180</v>
      </c>
      <c r="G84" s="236" t="s">
        <v>147</v>
      </c>
      <c r="H84" s="236" t="s">
        <v>897</v>
      </c>
      <c r="I84" s="236" t="s">
        <v>88</v>
      </c>
      <c r="J84" s="239">
        <v>1</v>
      </c>
      <c r="K84" s="239">
        <v>1.98</v>
      </c>
      <c r="L84" s="240" t="s">
        <v>898</v>
      </c>
      <c r="M84" s="236">
        <v>5</v>
      </c>
    </row>
    <row r="85" hidden="1" spans="1:14">
      <c r="A85" s="236">
        <v>1296</v>
      </c>
      <c r="B85" s="236">
        <v>142015222</v>
      </c>
      <c r="C85" s="236" t="s">
        <v>88</v>
      </c>
      <c r="D85" s="236">
        <v>2015</v>
      </c>
      <c r="E85" s="236" t="s">
        <v>697</v>
      </c>
      <c r="F85" s="236" t="s">
        <v>180</v>
      </c>
      <c r="G85" s="236" t="s">
        <v>147</v>
      </c>
      <c r="H85" s="236" t="s">
        <v>899</v>
      </c>
      <c r="I85" s="236" t="s">
        <v>88</v>
      </c>
      <c r="J85" s="239" t="s">
        <v>887</v>
      </c>
      <c r="K85" s="239">
        <v>1</v>
      </c>
      <c r="L85" s="240" t="s">
        <v>900</v>
      </c>
      <c r="M85" s="236">
        <v>5</v>
      </c>
    </row>
    <row r="86" hidden="1" spans="1:14">
      <c r="A86" s="236">
        <v>3496</v>
      </c>
      <c r="B86" s="236">
        <v>312015221</v>
      </c>
      <c r="C86" s="236" t="s">
        <v>98</v>
      </c>
      <c r="D86" s="236">
        <v>2015</v>
      </c>
      <c r="E86" s="236" t="s">
        <v>697</v>
      </c>
      <c r="F86" s="236" t="s">
        <v>698</v>
      </c>
      <c r="G86" s="236" t="s">
        <v>147</v>
      </c>
      <c r="H86" s="236" t="s">
        <v>901</v>
      </c>
      <c r="I86" s="236" t="s">
        <v>902</v>
      </c>
      <c r="J86" s="239">
        <v>2</v>
      </c>
      <c r="K86" s="239">
        <v>0.88</v>
      </c>
      <c r="L86" s="240" t="s">
        <v>903</v>
      </c>
      <c r="M86" s="236">
        <v>13</v>
      </c>
    </row>
    <row r="87" hidden="1" spans="1:14">
      <c r="A87" s="236">
        <v>1297</v>
      </c>
      <c r="B87" s="236">
        <v>142015222</v>
      </c>
      <c r="C87" s="236" t="s">
        <v>88</v>
      </c>
      <c r="D87" s="236">
        <v>2015</v>
      </c>
      <c r="E87" s="236" t="s">
        <v>697</v>
      </c>
      <c r="F87" s="236" t="s">
        <v>180</v>
      </c>
      <c r="G87" s="236" t="s">
        <v>147</v>
      </c>
      <c r="H87" s="236" t="s">
        <v>904</v>
      </c>
      <c r="I87" s="236" t="s">
        <v>88</v>
      </c>
      <c r="J87" s="239" t="s">
        <v>887</v>
      </c>
      <c r="K87" s="239">
        <v>0.72</v>
      </c>
      <c r="L87" s="240" t="s">
        <v>900</v>
      </c>
      <c r="M87" s="236">
        <v>5</v>
      </c>
    </row>
    <row r="88" hidden="1" spans="1:14">
      <c r="A88" s="236">
        <v>3772</v>
      </c>
      <c r="B88" s="236">
        <v>322015221</v>
      </c>
      <c r="C88" s="236" t="s">
        <v>100</v>
      </c>
      <c r="D88" s="236">
        <v>2015</v>
      </c>
      <c r="E88" s="236" t="s">
        <v>697</v>
      </c>
      <c r="F88" s="236" t="s">
        <v>698</v>
      </c>
      <c r="G88" s="236" t="s">
        <v>147</v>
      </c>
      <c r="H88" s="236" t="s">
        <v>905</v>
      </c>
      <c r="I88" s="236" t="s">
        <v>100</v>
      </c>
      <c r="J88" s="239">
        <v>1</v>
      </c>
      <c r="K88" s="239">
        <v>0.6</v>
      </c>
      <c r="L88" s="240" t="s">
        <v>898</v>
      </c>
      <c r="M88" s="236">
        <v>13</v>
      </c>
    </row>
    <row r="89" hidden="1" spans="1:14">
      <c r="A89" s="236">
        <v>77</v>
      </c>
      <c r="B89" s="236">
        <v>122015221</v>
      </c>
      <c r="C89" s="236" t="s">
        <v>84</v>
      </c>
      <c r="D89" s="236">
        <v>2015</v>
      </c>
      <c r="E89" s="236" t="s">
        <v>697</v>
      </c>
      <c r="F89" s="236" t="s">
        <v>179</v>
      </c>
      <c r="G89" s="236" t="s">
        <v>147</v>
      </c>
      <c r="H89" s="236" t="s">
        <v>906</v>
      </c>
      <c r="I89" s="236" t="s">
        <v>84</v>
      </c>
      <c r="J89" s="239" t="s">
        <v>887</v>
      </c>
      <c r="K89" s="239">
        <v>0.02</v>
      </c>
      <c r="L89" s="240" t="s">
        <v>887</v>
      </c>
      <c r="M89" s="236">
        <v>1</v>
      </c>
    </row>
    <row r="90" hidden="1" spans="1:14">
      <c r="A90" s="236">
        <v>89</v>
      </c>
      <c r="B90" s="236">
        <v>122016221</v>
      </c>
      <c r="C90" s="236" t="s">
        <v>84</v>
      </c>
      <c r="D90" s="120">
        <v>2016</v>
      </c>
      <c r="E90" s="120" t="s">
        <v>697</v>
      </c>
      <c r="F90" s="120" t="s">
        <v>179</v>
      </c>
      <c r="G90" s="120" t="s">
        <v>147</v>
      </c>
      <c r="H90" s="120" t="s">
        <v>906</v>
      </c>
      <c r="I90" s="236" t="s">
        <v>84</v>
      </c>
      <c r="J90" s="250" t="s">
        <v>887</v>
      </c>
      <c r="K90" s="250">
        <v>92.37</v>
      </c>
      <c r="L90" s="251" t="s">
        <v>887</v>
      </c>
      <c r="M90" s="120">
        <v>2</v>
      </c>
      <c r="N90" s="120">
        <v>83</v>
      </c>
    </row>
    <row r="91" hidden="1" spans="1:14">
      <c r="A91" s="236">
        <v>3869</v>
      </c>
      <c r="B91" s="236">
        <v>322016221</v>
      </c>
      <c r="C91" s="236" t="s">
        <v>100</v>
      </c>
      <c r="D91" s="120">
        <v>2016</v>
      </c>
      <c r="E91" s="120" t="s">
        <v>697</v>
      </c>
      <c r="F91" s="120" t="s">
        <v>179</v>
      </c>
      <c r="G91" s="120" t="s">
        <v>147</v>
      </c>
      <c r="H91" s="120" t="s">
        <v>907</v>
      </c>
      <c r="I91" s="236" t="s">
        <v>908</v>
      </c>
      <c r="J91" s="250">
        <v>2</v>
      </c>
      <c r="K91" s="250">
        <v>44</v>
      </c>
      <c r="L91" s="251" t="s">
        <v>909</v>
      </c>
      <c r="M91" s="120">
        <v>15</v>
      </c>
      <c r="N91" s="120">
        <v>647</v>
      </c>
    </row>
    <row r="92" hidden="1" spans="1:14">
      <c r="A92" s="236">
        <v>3870</v>
      </c>
      <c r="B92" s="236">
        <v>322016221</v>
      </c>
      <c r="C92" s="236" t="s">
        <v>100</v>
      </c>
      <c r="D92" s="120">
        <v>2016</v>
      </c>
      <c r="E92" s="120" t="s">
        <v>697</v>
      </c>
      <c r="F92" s="120" t="s">
        <v>179</v>
      </c>
      <c r="G92" s="120" t="s">
        <v>147</v>
      </c>
      <c r="H92" s="120" t="s">
        <v>910</v>
      </c>
      <c r="I92" s="236" t="s">
        <v>100</v>
      </c>
      <c r="J92" s="250" t="s">
        <v>887</v>
      </c>
      <c r="K92" s="250">
        <v>42</v>
      </c>
      <c r="L92" s="251" t="s">
        <v>887</v>
      </c>
      <c r="M92" s="120">
        <v>15</v>
      </c>
      <c r="N92" s="120">
        <v>649</v>
      </c>
    </row>
    <row r="93" hidden="1" spans="1:14">
      <c r="A93" s="236">
        <v>14482</v>
      </c>
      <c r="B93" s="236">
        <v>652016221</v>
      </c>
      <c r="C93" s="236" t="s">
        <v>142</v>
      </c>
      <c r="D93" s="120">
        <v>2016</v>
      </c>
      <c r="E93" s="120" t="s">
        <v>697</v>
      </c>
      <c r="F93" s="120" t="s">
        <v>179</v>
      </c>
      <c r="G93" s="120" t="s">
        <v>147</v>
      </c>
      <c r="H93" s="120" t="s">
        <v>911</v>
      </c>
      <c r="I93" s="236" t="s">
        <v>912</v>
      </c>
      <c r="J93" s="250">
        <v>2</v>
      </c>
      <c r="K93" s="250">
        <v>30</v>
      </c>
      <c r="L93" s="251" t="s">
        <v>913</v>
      </c>
      <c r="M93" s="120">
        <v>56</v>
      </c>
      <c r="N93" s="120">
        <v>2402</v>
      </c>
    </row>
    <row r="94" hidden="1" spans="1:14">
      <c r="A94" s="236">
        <v>3502</v>
      </c>
      <c r="B94" s="236">
        <v>312016221</v>
      </c>
      <c r="C94" s="236" t="s">
        <v>98</v>
      </c>
      <c r="D94" s="120">
        <v>2016</v>
      </c>
      <c r="E94" s="120" t="s">
        <v>697</v>
      </c>
      <c r="F94" s="236" t="s">
        <v>698</v>
      </c>
      <c r="G94" s="120" t="s">
        <v>147</v>
      </c>
      <c r="H94" s="120" t="s">
        <v>914</v>
      </c>
      <c r="I94" s="236" t="s">
        <v>98</v>
      </c>
      <c r="J94" s="250">
        <v>6</v>
      </c>
      <c r="K94" s="250">
        <v>2.64</v>
      </c>
      <c r="L94" s="251" t="s">
        <v>915</v>
      </c>
      <c r="M94" s="120">
        <v>14</v>
      </c>
      <c r="N94" s="120">
        <v>604</v>
      </c>
    </row>
    <row r="95" hidden="1" spans="1:14">
      <c r="A95" s="236">
        <v>12</v>
      </c>
      <c r="B95" s="236">
        <v>112016221</v>
      </c>
      <c r="C95" s="236" t="s">
        <v>82</v>
      </c>
      <c r="D95" s="120">
        <v>2016</v>
      </c>
      <c r="E95" s="120" t="s">
        <v>697</v>
      </c>
      <c r="F95" s="120" t="s">
        <v>179</v>
      </c>
      <c r="G95" s="120" t="s">
        <v>147</v>
      </c>
      <c r="H95" s="120" t="s">
        <v>916</v>
      </c>
      <c r="I95" s="236" t="s">
        <v>82</v>
      </c>
      <c r="J95" s="250" t="s">
        <v>887</v>
      </c>
      <c r="K95" s="250">
        <v>1.33</v>
      </c>
      <c r="L95" s="251" t="s">
        <v>887</v>
      </c>
      <c r="M95" s="120">
        <v>2</v>
      </c>
      <c r="N95" s="120">
        <v>49</v>
      </c>
    </row>
    <row r="96" hidden="1" spans="1:14">
      <c r="A96" s="236">
        <v>3868</v>
      </c>
      <c r="B96" s="236">
        <v>322016221</v>
      </c>
      <c r="C96" s="236" t="s">
        <v>100</v>
      </c>
      <c r="D96" s="120">
        <v>2016</v>
      </c>
      <c r="E96" s="120" t="s">
        <v>697</v>
      </c>
      <c r="F96" s="236" t="s">
        <v>698</v>
      </c>
      <c r="G96" s="120" t="s">
        <v>147</v>
      </c>
      <c r="H96" s="120" t="s">
        <v>905</v>
      </c>
      <c r="I96" s="236" t="s">
        <v>100</v>
      </c>
      <c r="J96" s="250">
        <v>1</v>
      </c>
      <c r="K96" s="250">
        <v>0.6</v>
      </c>
      <c r="L96" s="251" t="s">
        <v>887</v>
      </c>
      <c r="M96" s="120">
        <v>15</v>
      </c>
      <c r="N96" s="120">
        <v>645</v>
      </c>
    </row>
    <row r="97" hidden="1" spans="1:14">
      <c r="A97" s="236">
        <v>14483</v>
      </c>
      <c r="B97" s="236">
        <v>652016221</v>
      </c>
      <c r="C97" s="236" t="s">
        <v>142</v>
      </c>
      <c r="D97" s="120">
        <v>2016</v>
      </c>
      <c r="E97" s="120" t="s">
        <v>697</v>
      </c>
      <c r="F97" s="120" t="s">
        <v>179</v>
      </c>
      <c r="G97" s="120" t="s">
        <v>147</v>
      </c>
      <c r="H97" s="120" t="s">
        <v>917</v>
      </c>
      <c r="I97" s="236" t="s">
        <v>918</v>
      </c>
      <c r="J97" s="250" t="s">
        <v>887</v>
      </c>
      <c r="K97" s="250">
        <v>0.54</v>
      </c>
      <c r="L97" s="251" t="s">
        <v>919</v>
      </c>
      <c r="M97" s="120">
        <v>56</v>
      </c>
      <c r="N97" s="120">
        <v>2403</v>
      </c>
    </row>
    <row r="98" hidden="1" spans="1:14">
      <c r="A98" s="236">
        <v>3503</v>
      </c>
      <c r="B98" s="236">
        <v>312016221</v>
      </c>
      <c r="C98" s="236" t="s">
        <v>98</v>
      </c>
      <c r="D98" s="120">
        <v>2016</v>
      </c>
      <c r="E98" s="120" t="s">
        <v>697</v>
      </c>
      <c r="F98" s="236" t="s">
        <v>698</v>
      </c>
      <c r="G98" s="120" t="s">
        <v>147</v>
      </c>
      <c r="H98" s="120" t="s">
        <v>901</v>
      </c>
      <c r="I98" s="236" t="s">
        <v>902</v>
      </c>
      <c r="J98" s="250">
        <v>1</v>
      </c>
      <c r="K98" s="250">
        <v>0.44</v>
      </c>
      <c r="L98" s="251" t="s">
        <v>920</v>
      </c>
      <c r="M98" s="120">
        <v>14</v>
      </c>
      <c r="N98" s="120">
        <v>605</v>
      </c>
    </row>
    <row r="99" hidden="1" spans="1:14">
      <c r="A99" s="236">
        <v>11246</v>
      </c>
      <c r="B99" s="236">
        <v>522016222</v>
      </c>
      <c r="C99" s="236" t="s">
        <v>128</v>
      </c>
      <c r="D99" s="120">
        <v>2016</v>
      </c>
      <c r="E99" s="120" t="s">
        <v>697</v>
      </c>
      <c r="F99" s="120" t="s">
        <v>180</v>
      </c>
      <c r="G99" s="120" t="s">
        <v>147</v>
      </c>
      <c r="H99" s="120" t="s">
        <v>921</v>
      </c>
      <c r="I99" s="236" t="s">
        <v>867</v>
      </c>
      <c r="J99" s="250">
        <v>3</v>
      </c>
      <c r="K99" s="250">
        <v>0.21</v>
      </c>
      <c r="L99" s="251" t="s">
        <v>922</v>
      </c>
      <c r="M99" s="120">
        <v>44</v>
      </c>
      <c r="N99" s="120">
        <v>1901</v>
      </c>
    </row>
    <row r="100" hidden="1" spans="1:14">
      <c r="A100" s="236">
        <v>6875</v>
      </c>
      <c r="B100" s="236">
        <v>372016221</v>
      </c>
      <c r="C100" s="236" t="s">
        <v>110</v>
      </c>
      <c r="D100" s="120">
        <v>2016</v>
      </c>
      <c r="E100" s="120" t="s">
        <v>697</v>
      </c>
      <c r="F100" s="236" t="s">
        <v>698</v>
      </c>
      <c r="G100" s="120" t="s">
        <v>147</v>
      </c>
      <c r="H100" s="120" t="s">
        <v>923</v>
      </c>
      <c r="I100" s="236" t="s">
        <v>110</v>
      </c>
      <c r="J100" s="250" t="s">
        <v>887</v>
      </c>
      <c r="K100" s="250">
        <v>0.1</v>
      </c>
      <c r="L100" s="251" t="s">
        <v>887</v>
      </c>
      <c r="M100" s="120">
        <v>26</v>
      </c>
      <c r="N100" s="120">
        <v>1118</v>
      </c>
    </row>
    <row r="101" hidden="1" spans="1:14">
      <c r="A101" s="236">
        <v>22</v>
      </c>
      <c r="B101" s="236">
        <v>112017221</v>
      </c>
      <c r="C101" s="236" t="s">
        <v>82</v>
      </c>
      <c r="D101" s="120">
        <v>2017</v>
      </c>
      <c r="E101" s="120" t="s">
        <v>697</v>
      </c>
      <c r="F101" s="120" t="s">
        <v>179</v>
      </c>
      <c r="G101" s="120" t="s">
        <v>147</v>
      </c>
      <c r="H101" s="252" t="s">
        <v>924</v>
      </c>
      <c r="I101" s="236" t="s">
        <v>833</v>
      </c>
      <c r="J101" s="250">
        <v>3</v>
      </c>
      <c r="K101" s="250">
        <v>99.8</v>
      </c>
      <c r="L101" s="251" t="s">
        <v>925</v>
      </c>
      <c r="M101" s="120">
        <v>2</v>
      </c>
      <c r="N101" s="120">
        <v>49</v>
      </c>
    </row>
    <row r="102" hidden="1" spans="1:14">
      <c r="A102" s="236">
        <v>3999</v>
      </c>
      <c r="B102" s="236">
        <v>322017221</v>
      </c>
      <c r="C102" s="236" t="s">
        <v>100</v>
      </c>
      <c r="D102" s="120">
        <v>2017</v>
      </c>
      <c r="E102" s="120" t="s">
        <v>697</v>
      </c>
      <c r="F102" s="120" t="s">
        <v>179</v>
      </c>
      <c r="G102" s="120" t="s">
        <v>147</v>
      </c>
      <c r="H102" s="120" t="s">
        <v>926</v>
      </c>
      <c r="I102" s="236" t="s">
        <v>772</v>
      </c>
      <c r="J102" s="250">
        <v>2</v>
      </c>
      <c r="K102" s="250">
        <v>95</v>
      </c>
      <c r="L102" s="251" t="s">
        <v>887</v>
      </c>
      <c r="M102" s="120">
        <v>18</v>
      </c>
      <c r="N102" s="120">
        <v>703</v>
      </c>
    </row>
    <row r="103" hidden="1" spans="1:14">
      <c r="A103" s="236">
        <v>4003</v>
      </c>
      <c r="B103" s="236">
        <v>322017221</v>
      </c>
      <c r="C103" s="236" t="s">
        <v>100</v>
      </c>
      <c r="D103" s="120">
        <v>2017</v>
      </c>
      <c r="E103" s="120" t="s">
        <v>697</v>
      </c>
      <c r="F103" s="120" t="s">
        <v>179</v>
      </c>
      <c r="G103" s="120" t="s">
        <v>147</v>
      </c>
      <c r="H103" s="252" t="s">
        <v>927</v>
      </c>
      <c r="I103" s="236" t="s">
        <v>928</v>
      </c>
      <c r="J103" s="250">
        <v>2</v>
      </c>
      <c r="K103" s="250">
        <v>95</v>
      </c>
      <c r="L103" s="251" t="s">
        <v>929</v>
      </c>
      <c r="M103" s="120">
        <v>18</v>
      </c>
      <c r="N103" s="120">
        <v>709</v>
      </c>
    </row>
    <row r="104" hidden="1" spans="1:14">
      <c r="A104" s="236">
        <v>4004</v>
      </c>
      <c r="B104" s="236">
        <v>322017221</v>
      </c>
      <c r="C104" s="236" t="s">
        <v>100</v>
      </c>
      <c r="D104" s="120">
        <v>2017</v>
      </c>
      <c r="E104" s="120" t="s">
        <v>697</v>
      </c>
      <c r="F104" s="120" t="s">
        <v>179</v>
      </c>
      <c r="G104" s="120" t="s">
        <v>147</v>
      </c>
      <c r="H104" s="252" t="s">
        <v>930</v>
      </c>
      <c r="I104" s="236" t="s">
        <v>805</v>
      </c>
      <c r="J104" s="250">
        <v>2</v>
      </c>
      <c r="K104" s="250">
        <v>90.2</v>
      </c>
      <c r="L104" s="251" t="s">
        <v>931</v>
      </c>
      <c r="M104" s="120">
        <v>18</v>
      </c>
      <c r="N104" s="120">
        <v>710</v>
      </c>
    </row>
    <row r="105" hidden="1" spans="1:14">
      <c r="A105" s="236">
        <v>4001</v>
      </c>
      <c r="B105" s="236">
        <v>322017221</v>
      </c>
      <c r="C105" s="236" t="s">
        <v>100</v>
      </c>
      <c r="D105" s="120">
        <v>2017</v>
      </c>
      <c r="E105" s="120" t="s">
        <v>697</v>
      </c>
      <c r="F105" s="120" t="s">
        <v>179</v>
      </c>
      <c r="G105" s="120" t="s">
        <v>147</v>
      </c>
      <c r="H105" s="120" t="s">
        <v>932</v>
      </c>
      <c r="I105" s="236" t="s">
        <v>805</v>
      </c>
      <c r="J105" s="250">
        <v>4</v>
      </c>
      <c r="K105" s="250">
        <v>45.2</v>
      </c>
      <c r="L105" s="251" t="s">
        <v>933</v>
      </c>
      <c r="M105" s="120">
        <v>18</v>
      </c>
      <c r="N105" s="120">
        <v>705</v>
      </c>
    </row>
    <row r="106" hidden="1" spans="1:14">
      <c r="A106" s="236">
        <v>4002</v>
      </c>
      <c r="B106" s="236">
        <v>322017221</v>
      </c>
      <c r="C106" s="236" t="s">
        <v>100</v>
      </c>
      <c r="D106" s="120">
        <v>2017</v>
      </c>
      <c r="E106" s="120" t="s">
        <v>697</v>
      </c>
      <c r="F106" s="120" t="s">
        <v>179</v>
      </c>
      <c r="G106" s="120" t="s">
        <v>147</v>
      </c>
      <c r="H106" s="120" t="s">
        <v>934</v>
      </c>
      <c r="I106" s="236" t="s">
        <v>869</v>
      </c>
      <c r="J106" s="250">
        <v>2</v>
      </c>
      <c r="K106" s="250">
        <v>36</v>
      </c>
      <c r="L106" s="251" t="s">
        <v>935</v>
      </c>
      <c r="M106" s="120">
        <v>18</v>
      </c>
      <c r="N106" s="120">
        <v>707</v>
      </c>
    </row>
    <row r="107" hidden="1" spans="1:14">
      <c r="A107" s="236">
        <v>4000</v>
      </c>
      <c r="B107" s="236">
        <v>322017221</v>
      </c>
      <c r="C107" s="236" t="s">
        <v>100</v>
      </c>
      <c r="D107" s="120">
        <v>2017</v>
      </c>
      <c r="E107" s="120" t="s">
        <v>697</v>
      </c>
      <c r="F107" s="120" t="s">
        <v>179</v>
      </c>
      <c r="G107" s="120" t="s">
        <v>147</v>
      </c>
      <c r="H107" s="120" t="s">
        <v>936</v>
      </c>
      <c r="I107" s="236" t="s">
        <v>928</v>
      </c>
      <c r="J107" s="250">
        <v>2</v>
      </c>
      <c r="K107" s="250">
        <v>24</v>
      </c>
      <c r="L107" s="251" t="s">
        <v>887</v>
      </c>
      <c r="M107" s="120">
        <v>18</v>
      </c>
      <c r="N107" s="120">
        <v>704</v>
      </c>
    </row>
    <row r="108" hidden="1" spans="1:14">
      <c r="A108" s="236">
        <v>10111</v>
      </c>
      <c r="B108" s="236">
        <v>452017221</v>
      </c>
      <c r="C108" s="236" t="s">
        <v>120</v>
      </c>
      <c r="D108" s="120">
        <v>2017</v>
      </c>
      <c r="E108" s="120" t="s">
        <v>697</v>
      </c>
      <c r="F108" s="236" t="s">
        <v>698</v>
      </c>
      <c r="G108" s="120" t="s">
        <v>147</v>
      </c>
      <c r="H108" s="120" t="s">
        <v>937</v>
      </c>
      <c r="I108" s="236" t="s">
        <v>938</v>
      </c>
      <c r="J108" s="250">
        <v>6</v>
      </c>
      <c r="K108" s="250">
        <v>21</v>
      </c>
      <c r="L108" s="251" t="s">
        <v>939</v>
      </c>
      <c r="M108" s="120">
        <v>51</v>
      </c>
      <c r="N108" s="120">
        <v>2035</v>
      </c>
    </row>
    <row r="109" hidden="1" spans="1:14">
      <c r="A109" s="236">
        <v>8857</v>
      </c>
      <c r="B109" s="236">
        <v>422017221</v>
      </c>
      <c r="C109" s="236" t="s">
        <v>114</v>
      </c>
      <c r="D109" s="120">
        <v>2017</v>
      </c>
      <c r="E109" s="120" t="s">
        <v>697</v>
      </c>
      <c r="F109" s="120" t="s">
        <v>179</v>
      </c>
      <c r="G109" s="120" t="s">
        <v>147</v>
      </c>
      <c r="H109" s="120" t="s">
        <v>940</v>
      </c>
      <c r="I109" s="236" t="s">
        <v>740</v>
      </c>
      <c r="J109" s="250">
        <v>1</v>
      </c>
      <c r="K109" s="250">
        <v>18.5</v>
      </c>
      <c r="L109" s="251" t="s">
        <v>941</v>
      </c>
      <c r="M109" s="120">
        <v>45</v>
      </c>
      <c r="N109" s="120">
        <v>1796</v>
      </c>
    </row>
    <row r="110" hidden="1" spans="1:14">
      <c r="A110" s="236">
        <v>14638</v>
      </c>
      <c r="B110" s="236">
        <v>652017221</v>
      </c>
      <c r="C110" s="236" t="s">
        <v>142</v>
      </c>
      <c r="D110" s="120">
        <v>2017</v>
      </c>
      <c r="E110" s="120" t="s">
        <v>697</v>
      </c>
      <c r="F110" s="120" t="s">
        <v>179</v>
      </c>
      <c r="G110" s="120" t="s">
        <v>147</v>
      </c>
      <c r="H110" s="120" t="s">
        <v>942</v>
      </c>
      <c r="I110" s="236" t="s">
        <v>918</v>
      </c>
      <c r="J110" s="250" t="s">
        <v>887</v>
      </c>
      <c r="K110" s="250">
        <v>12.3</v>
      </c>
      <c r="L110" s="251" t="s">
        <v>943</v>
      </c>
      <c r="M110" s="120">
        <v>69</v>
      </c>
      <c r="N110" s="120">
        <v>2773</v>
      </c>
    </row>
    <row r="111" hidden="1" spans="1:14">
      <c r="A111" s="236">
        <v>4831</v>
      </c>
      <c r="B111" s="236">
        <v>332017221</v>
      </c>
      <c r="C111" s="236" t="s">
        <v>102</v>
      </c>
      <c r="D111" s="120">
        <v>2017</v>
      </c>
      <c r="E111" s="120" t="s">
        <v>697</v>
      </c>
      <c r="F111" s="120" t="s">
        <v>179</v>
      </c>
      <c r="G111" s="120" t="s">
        <v>147</v>
      </c>
      <c r="H111" s="120" t="s">
        <v>944</v>
      </c>
      <c r="I111" s="236" t="s">
        <v>102</v>
      </c>
      <c r="J111" s="250" t="s">
        <v>887</v>
      </c>
      <c r="K111" s="250">
        <v>11.08</v>
      </c>
      <c r="L111" s="251" t="s">
        <v>945</v>
      </c>
      <c r="M111" s="120">
        <v>23</v>
      </c>
      <c r="N111" s="120">
        <v>926</v>
      </c>
    </row>
    <row r="112" hidden="1" spans="1:14">
      <c r="A112" s="236">
        <v>4830</v>
      </c>
      <c r="B112" s="236">
        <v>332017221</v>
      </c>
      <c r="C112" s="236" t="s">
        <v>102</v>
      </c>
      <c r="D112" s="120">
        <v>2017</v>
      </c>
      <c r="E112" s="120" t="s">
        <v>697</v>
      </c>
      <c r="F112" s="120" t="s">
        <v>179</v>
      </c>
      <c r="G112" s="120" t="s">
        <v>147</v>
      </c>
      <c r="H112" s="120" t="s">
        <v>946</v>
      </c>
      <c r="I112" s="236" t="s">
        <v>102</v>
      </c>
      <c r="J112" s="250" t="s">
        <v>887</v>
      </c>
      <c r="K112" s="250">
        <v>10.1</v>
      </c>
      <c r="L112" s="251" t="s">
        <v>945</v>
      </c>
      <c r="M112" s="120">
        <v>23</v>
      </c>
      <c r="N112" s="120">
        <v>925</v>
      </c>
    </row>
    <row r="113" hidden="1" spans="1:14">
      <c r="A113" s="236">
        <v>7977</v>
      </c>
      <c r="B113" s="236">
        <v>412017221</v>
      </c>
      <c r="C113" s="236" t="s">
        <v>112</v>
      </c>
      <c r="D113" s="120">
        <v>2017</v>
      </c>
      <c r="E113" s="120" t="s">
        <v>697</v>
      </c>
      <c r="F113" s="120" t="s">
        <v>179</v>
      </c>
      <c r="G113" s="120" t="s">
        <v>147</v>
      </c>
      <c r="H113" s="120" t="s">
        <v>947</v>
      </c>
      <c r="I113" s="236" t="s">
        <v>112</v>
      </c>
      <c r="J113" s="250" t="s">
        <v>887</v>
      </c>
      <c r="K113" s="250">
        <v>3.6</v>
      </c>
      <c r="L113" s="251" t="s">
        <v>948</v>
      </c>
      <c r="M113" s="120">
        <v>41</v>
      </c>
      <c r="N113" s="120">
        <v>1652</v>
      </c>
    </row>
    <row r="114" hidden="1" spans="1:14">
      <c r="A114" s="236">
        <v>5974</v>
      </c>
      <c r="B114" s="236">
        <v>352017221</v>
      </c>
      <c r="C114" s="236" t="s">
        <v>106</v>
      </c>
      <c r="D114" s="120">
        <v>2017</v>
      </c>
      <c r="E114" s="120" t="s">
        <v>697</v>
      </c>
      <c r="F114" s="236" t="s">
        <v>698</v>
      </c>
      <c r="G114" s="120" t="s">
        <v>147</v>
      </c>
      <c r="H114" s="120" t="s">
        <v>949</v>
      </c>
      <c r="I114" s="236" t="s">
        <v>710</v>
      </c>
      <c r="J114" s="250">
        <v>1</v>
      </c>
      <c r="K114" s="250">
        <v>3.18</v>
      </c>
      <c r="L114" s="251" t="s">
        <v>950</v>
      </c>
      <c r="M114" s="120">
        <v>32</v>
      </c>
      <c r="N114" s="120">
        <v>1283</v>
      </c>
    </row>
    <row r="115" hidden="1" spans="1:14">
      <c r="A115" s="236">
        <v>3513</v>
      </c>
      <c r="B115" s="236">
        <v>312017221</v>
      </c>
      <c r="C115" s="236" t="s">
        <v>98</v>
      </c>
      <c r="D115" s="120">
        <v>2017</v>
      </c>
      <c r="E115" s="120" t="s">
        <v>697</v>
      </c>
      <c r="F115" s="120" t="s">
        <v>179</v>
      </c>
      <c r="G115" s="120" t="s">
        <v>147</v>
      </c>
      <c r="H115" s="120" t="s">
        <v>951</v>
      </c>
      <c r="I115" s="236" t="s">
        <v>98</v>
      </c>
      <c r="J115" s="250" t="s">
        <v>887</v>
      </c>
      <c r="K115" s="250">
        <v>2.6</v>
      </c>
      <c r="L115" s="251" t="s">
        <v>952</v>
      </c>
      <c r="M115" s="120">
        <v>17</v>
      </c>
      <c r="N115" s="120">
        <v>654</v>
      </c>
    </row>
    <row r="116" hidden="1" spans="1:14">
      <c r="A116" s="236">
        <v>4829</v>
      </c>
      <c r="B116" s="236">
        <v>332017221</v>
      </c>
      <c r="C116" s="236" t="s">
        <v>102</v>
      </c>
      <c r="D116" s="120">
        <v>2017</v>
      </c>
      <c r="E116" s="120" t="s">
        <v>697</v>
      </c>
      <c r="F116" s="120" t="s">
        <v>179</v>
      </c>
      <c r="G116" s="120" t="s">
        <v>147</v>
      </c>
      <c r="H116" s="120" t="s">
        <v>953</v>
      </c>
      <c r="I116" s="236" t="s">
        <v>102</v>
      </c>
      <c r="J116" s="250" t="s">
        <v>887</v>
      </c>
      <c r="K116" s="250">
        <v>1.22</v>
      </c>
      <c r="L116" s="251" t="s">
        <v>954</v>
      </c>
      <c r="M116" s="120">
        <v>23</v>
      </c>
      <c r="N116" s="120">
        <v>924</v>
      </c>
    </row>
    <row r="117" hidden="1" spans="1:14">
      <c r="A117" s="236">
        <v>4005</v>
      </c>
      <c r="B117" s="236">
        <v>322017221</v>
      </c>
      <c r="C117" s="236" t="s">
        <v>100</v>
      </c>
      <c r="D117" s="120">
        <v>2017</v>
      </c>
      <c r="E117" s="120" t="s">
        <v>697</v>
      </c>
      <c r="F117" s="120" t="s">
        <v>179</v>
      </c>
      <c r="G117" s="120" t="s">
        <v>147</v>
      </c>
      <c r="H117" s="120" t="s">
        <v>955</v>
      </c>
      <c r="I117" s="236" t="s">
        <v>100</v>
      </c>
      <c r="J117" s="250" t="s">
        <v>887</v>
      </c>
      <c r="K117" s="250">
        <v>1</v>
      </c>
      <c r="L117" s="251" t="s">
        <v>956</v>
      </c>
      <c r="M117" s="120">
        <v>18</v>
      </c>
      <c r="N117" s="120">
        <v>712</v>
      </c>
    </row>
    <row r="118" hidden="1" spans="1:14">
      <c r="A118" s="236">
        <v>8859</v>
      </c>
      <c r="B118" s="236">
        <v>422017221</v>
      </c>
      <c r="C118" s="236" t="s">
        <v>114</v>
      </c>
      <c r="D118" s="120">
        <v>2017</v>
      </c>
      <c r="E118" s="120" t="s">
        <v>697</v>
      </c>
      <c r="F118" s="120" t="s">
        <v>179</v>
      </c>
      <c r="G118" s="120" t="s">
        <v>147</v>
      </c>
      <c r="H118" s="120" t="s">
        <v>957</v>
      </c>
      <c r="I118" s="236" t="s">
        <v>114</v>
      </c>
      <c r="J118" s="250" t="s">
        <v>887</v>
      </c>
      <c r="K118" s="250">
        <v>0.43</v>
      </c>
      <c r="L118" s="251" t="s">
        <v>887</v>
      </c>
      <c r="M118" s="120">
        <v>45</v>
      </c>
      <c r="N118" s="120">
        <v>1798</v>
      </c>
    </row>
    <row r="119" hidden="1" spans="1:14">
      <c r="A119" s="236">
        <v>106</v>
      </c>
      <c r="B119" s="236">
        <v>122017221</v>
      </c>
      <c r="C119" s="236" t="s">
        <v>84</v>
      </c>
      <c r="D119" s="120">
        <v>2017</v>
      </c>
      <c r="E119" s="120" t="s">
        <v>697</v>
      </c>
      <c r="F119" s="120" t="s">
        <v>179</v>
      </c>
      <c r="G119" s="120" t="s">
        <v>147</v>
      </c>
      <c r="H119" s="120" t="s">
        <v>958</v>
      </c>
      <c r="I119" s="236" t="s">
        <v>84</v>
      </c>
      <c r="J119" s="250" t="s">
        <v>887</v>
      </c>
      <c r="K119" s="250">
        <v>0.2</v>
      </c>
      <c r="L119" s="251" t="s">
        <v>887</v>
      </c>
      <c r="M119" s="120">
        <v>2</v>
      </c>
      <c r="N119" s="120">
        <v>81</v>
      </c>
    </row>
    <row r="120" hidden="1" spans="1:14">
      <c r="A120" s="236">
        <v>10897</v>
      </c>
      <c r="B120" s="236">
        <v>512017221</v>
      </c>
      <c r="C120" s="236" t="s">
        <v>126</v>
      </c>
      <c r="D120" s="120">
        <v>2017</v>
      </c>
      <c r="E120" s="120" t="s">
        <v>697</v>
      </c>
      <c r="F120" s="120" t="s">
        <v>179</v>
      </c>
      <c r="G120" s="120" t="s">
        <v>147</v>
      </c>
      <c r="H120" s="120" t="s">
        <v>959</v>
      </c>
      <c r="I120" s="236" t="s">
        <v>126</v>
      </c>
      <c r="J120" s="250" t="s">
        <v>887</v>
      </c>
      <c r="K120" s="250">
        <v>0.15</v>
      </c>
      <c r="L120" s="251" t="s">
        <v>952</v>
      </c>
      <c r="M120" s="120">
        <v>55</v>
      </c>
      <c r="N120" s="120">
        <v>2187</v>
      </c>
    </row>
    <row r="121" hidden="1" spans="1:14">
      <c r="A121" s="236">
        <v>8858</v>
      </c>
      <c r="B121" s="236">
        <v>422017221</v>
      </c>
      <c r="C121" s="236" t="s">
        <v>114</v>
      </c>
      <c r="D121" s="120">
        <v>2017</v>
      </c>
      <c r="E121" s="120" t="s">
        <v>697</v>
      </c>
      <c r="F121" s="120" t="s">
        <v>179</v>
      </c>
      <c r="G121" s="120" t="s">
        <v>147</v>
      </c>
      <c r="H121" s="120" t="s">
        <v>960</v>
      </c>
      <c r="I121" s="236" t="s">
        <v>114</v>
      </c>
      <c r="J121" s="250" t="s">
        <v>887</v>
      </c>
      <c r="K121" s="250">
        <v>0.1</v>
      </c>
      <c r="L121" s="251" t="s">
        <v>961</v>
      </c>
      <c r="M121" s="120">
        <v>45</v>
      </c>
      <c r="N121" s="120">
        <v>1797</v>
      </c>
    </row>
    <row r="122" hidden="1" spans="1:14">
      <c r="A122" s="236">
        <v>4158</v>
      </c>
      <c r="B122" s="236">
        <v>322018221</v>
      </c>
      <c r="C122" s="236" t="s">
        <v>100</v>
      </c>
      <c r="D122" s="120">
        <v>2018</v>
      </c>
      <c r="E122" s="120" t="s">
        <v>697</v>
      </c>
      <c r="F122" s="120" t="s">
        <v>179</v>
      </c>
      <c r="G122" s="120" t="s">
        <v>147</v>
      </c>
      <c r="H122" s="120" t="s">
        <v>962</v>
      </c>
      <c r="I122" s="236" t="s">
        <v>928</v>
      </c>
      <c r="J122" s="250">
        <v>1</v>
      </c>
      <c r="K122" s="250">
        <v>118</v>
      </c>
      <c r="L122" s="251" t="s">
        <v>963</v>
      </c>
      <c r="M122" s="120">
        <v>19</v>
      </c>
      <c r="N122" s="120">
        <v>742</v>
      </c>
    </row>
    <row r="123" spans="1:14">
      <c r="A123" s="236">
        <v>9872</v>
      </c>
      <c r="B123" s="236">
        <v>442018221</v>
      </c>
      <c r="C123" s="236" t="s">
        <v>118</v>
      </c>
      <c r="D123" s="120">
        <v>2018</v>
      </c>
      <c r="E123" s="120" t="s">
        <v>697</v>
      </c>
      <c r="F123" s="120" t="s">
        <v>179</v>
      </c>
      <c r="G123" s="120" t="s">
        <v>147</v>
      </c>
      <c r="H123" s="252" t="s">
        <v>964</v>
      </c>
      <c r="I123" s="236" t="s">
        <v>965</v>
      </c>
      <c r="J123" s="250">
        <v>2</v>
      </c>
      <c r="K123" s="250">
        <v>92</v>
      </c>
      <c r="L123" s="251" t="s">
        <v>966</v>
      </c>
      <c r="M123" s="120">
        <v>44</v>
      </c>
      <c r="N123" s="120">
        <v>1745</v>
      </c>
    </row>
    <row r="124" spans="1:14">
      <c r="A124" s="236">
        <v>9876</v>
      </c>
      <c r="B124" s="236">
        <v>442018221</v>
      </c>
      <c r="C124" s="236" t="s">
        <v>118</v>
      </c>
      <c r="D124" s="120">
        <v>2018</v>
      </c>
      <c r="E124" s="120" t="s">
        <v>697</v>
      </c>
      <c r="F124" s="120" t="s">
        <v>179</v>
      </c>
      <c r="G124" s="120" t="s">
        <v>147</v>
      </c>
      <c r="H124" s="120" t="s">
        <v>967</v>
      </c>
      <c r="I124" s="236" t="s">
        <v>968</v>
      </c>
      <c r="J124" s="250">
        <v>2</v>
      </c>
      <c r="K124" s="250">
        <v>90.6</v>
      </c>
      <c r="L124" s="251" t="s">
        <v>969</v>
      </c>
      <c r="M124" s="120">
        <v>44</v>
      </c>
      <c r="N124" s="120">
        <v>1751</v>
      </c>
    </row>
    <row r="125" hidden="1" spans="1:14">
      <c r="A125" s="236">
        <v>3519</v>
      </c>
      <c r="B125" s="236">
        <v>312018221</v>
      </c>
      <c r="C125" s="236" t="s">
        <v>98</v>
      </c>
      <c r="D125" s="120">
        <v>2018</v>
      </c>
      <c r="E125" s="120" t="s">
        <v>697</v>
      </c>
      <c r="F125" s="120" t="s">
        <v>179</v>
      </c>
      <c r="G125" s="120" t="s">
        <v>147</v>
      </c>
      <c r="H125" s="252" t="s">
        <v>970</v>
      </c>
      <c r="I125" s="236" t="s">
        <v>98</v>
      </c>
      <c r="J125" s="250">
        <v>2</v>
      </c>
      <c r="K125" s="250">
        <v>84.84</v>
      </c>
      <c r="L125" s="251" t="s">
        <v>971</v>
      </c>
      <c r="M125" s="120">
        <v>18</v>
      </c>
      <c r="N125" s="120">
        <v>698</v>
      </c>
    </row>
    <row r="126" spans="1:14">
      <c r="A126" s="236">
        <v>9871</v>
      </c>
      <c r="B126" s="236">
        <v>442018221</v>
      </c>
      <c r="C126" s="236" t="s">
        <v>118</v>
      </c>
      <c r="D126" s="120">
        <v>2018</v>
      </c>
      <c r="E126" s="120" t="s">
        <v>697</v>
      </c>
      <c r="F126" s="120" t="s">
        <v>179</v>
      </c>
      <c r="G126" s="120" t="s">
        <v>147</v>
      </c>
      <c r="H126" s="120" t="s">
        <v>972</v>
      </c>
      <c r="I126" s="236" t="s">
        <v>973</v>
      </c>
      <c r="J126" s="250">
        <v>2</v>
      </c>
      <c r="K126" s="250">
        <v>81.8</v>
      </c>
      <c r="L126" s="251" t="s">
        <v>974</v>
      </c>
      <c r="M126" s="120">
        <v>44</v>
      </c>
      <c r="N126" s="120">
        <v>1744</v>
      </c>
    </row>
    <row r="127" spans="1:14">
      <c r="A127" s="236">
        <v>9873</v>
      </c>
      <c r="B127" s="236">
        <v>442018221</v>
      </c>
      <c r="C127" s="236" t="s">
        <v>118</v>
      </c>
      <c r="D127" s="120">
        <v>2018</v>
      </c>
      <c r="E127" s="120" t="s">
        <v>697</v>
      </c>
      <c r="F127" s="120" t="s">
        <v>179</v>
      </c>
      <c r="G127" s="120" t="s">
        <v>147</v>
      </c>
      <c r="H127" s="120" t="s">
        <v>975</v>
      </c>
      <c r="I127" s="236" t="s">
        <v>976</v>
      </c>
      <c r="J127" s="250">
        <v>2</v>
      </c>
      <c r="K127" s="250">
        <v>81.4</v>
      </c>
      <c r="L127" s="251" t="s">
        <v>977</v>
      </c>
      <c r="M127" s="120">
        <v>44</v>
      </c>
      <c r="N127" s="120">
        <v>1746</v>
      </c>
    </row>
    <row r="128" spans="1:14">
      <c r="A128" s="236">
        <v>9874</v>
      </c>
      <c r="B128" s="236">
        <v>442018221</v>
      </c>
      <c r="C128" s="236" t="s">
        <v>118</v>
      </c>
      <c r="D128" s="120">
        <v>2018</v>
      </c>
      <c r="E128" s="120" t="s">
        <v>697</v>
      </c>
      <c r="F128" s="120" t="s">
        <v>179</v>
      </c>
      <c r="G128" s="120" t="s">
        <v>147</v>
      </c>
      <c r="H128" s="252" t="s">
        <v>978</v>
      </c>
      <c r="I128" s="236" t="s">
        <v>700</v>
      </c>
      <c r="J128" s="250">
        <v>1</v>
      </c>
      <c r="K128" s="250">
        <v>46</v>
      </c>
      <c r="L128" s="251" t="s">
        <v>979</v>
      </c>
      <c r="M128" s="120">
        <v>44</v>
      </c>
      <c r="N128" s="120">
        <v>1747</v>
      </c>
    </row>
    <row r="129" hidden="1" spans="1:14">
      <c r="A129" s="236">
        <v>4159</v>
      </c>
      <c r="B129" s="236">
        <v>322018221</v>
      </c>
      <c r="C129" s="236" t="s">
        <v>100</v>
      </c>
      <c r="D129" s="120">
        <v>2018</v>
      </c>
      <c r="E129" s="120" t="s">
        <v>697</v>
      </c>
      <c r="F129" s="120" t="s">
        <v>179</v>
      </c>
      <c r="G129" s="120" t="s">
        <v>147</v>
      </c>
      <c r="H129" s="252" t="s">
        <v>980</v>
      </c>
      <c r="I129" s="236" t="s">
        <v>748</v>
      </c>
      <c r="J129" s="250">
        <v>1</v>
      </c>
      <c r="K129" s="250">
        <v>45.88</v>
      </c>
      <c r="L129" s="251" t="s">
        <v>981</v>
      </c>
      <c r="M129" s="120">
        <v>19</v>
      </c>
      <c r="N129" s="120">
        <v>743</v>
      </c>
    </row>
    <row r="130" hidden="1" spans="1:14">
      <c r="A130" s="236">
        <v>4161</v>
      </c>
      <c r="B130" s="236">
        <v>322018221</v>
      </c>
      <c r="C130" s="236" t="s">
        <v>100</v>
      </c>
      <c r="D130" s="120">
        <v>2018</v>
      </c>
      <c r="E130" s="120" t="s">
        <v>697</v>
      </c>
      <c r="F130" s="120" t="s">
        <v>179</v>
      </c>
      <c r="G130" s="120" t="s">
        <v>147</v>
      </c>
      <c r="H130" s="120" t="s">
        <v>982</v>
      </c>
      <c r="I130" s="236" t="s">
        <v>100</v>
      </c>
      <c r="J130" s="250" t="s">
        <v>887</v>
      </c>
      <c r="K130" s="250">
        <v>36</v>
      </c>
      <c r="L130" s="251" t="s">
        <v>887</v>
      </c>
      <c r="M130" s="120">
        <v>19</v>
      </c>
      <c r="N130" s="120">
        <v>745</v>
      </c>
    </row>
    <row r="131" hidden="1" spans="1:14">
      <c r="A131" s="236">
        <v>8098</v>
      </c>
      <c r="B131" s="236">
        <v>412018221</v>
      </c>
      <c r="C131" s="236" t="s">
        <v>112</v>
      </c>
      <c r="D131" s="120">
        <v>2018</v>
      </c>
      <c r="E131" s="120" t="s">
        <v>697</v>
      </c>
      <c r="F131" s="120" t="s">
        <v>179</v>
      </c>
      <c r="G131" s="120" t="s">
        <v>147</v>
      </c>
      <c r="H131" s="252" t="s">
        <v>983</v>
      </c>
      <c r="I131" s="236" t="s">
        <v>112</v>
      </c>
      <c r="J131" s="250">
        <v>1</v>
      </c>
      <c r="K131" s="250">
        <v>35</v>
      </c>
      <c r="L131" s="251" t="s">
        <v>887</v>
      </c>
      <c r="M131" s="120">
        <v>37</v>
      </c>
      <c r="N131" s="120">
        <v>1468</v>
      </c>
    </row>
    <row r="132" hidden="1" spans="1:14">
      <c r="A132" s="236">
        <v>29</v>
      </c>
      <c r="B132" s="236">
        <v>112018221</v>
      </c>
      <c r="C132" s="236" t="s">
        <v>82</v>
      </c>
      <c r="D132" s="120">
        <v>2018</v>
      </c>
      <c r="E132" s="120" t="s">
        <v>697</v>
      </c>
      <c r="F132" s="120" t="s">
        <v>179</v>
      </c>
      <c r="G132" s="120" t="s">
        <v>147</v>
      </c>
      <c r="H132" s="120" t="s">
        <v>984</v>
      </c>
      <c r="I132" s="236" t="s">
        <v>985</v>
      </c>
      <c r="J132" s="250">
        <v>1</v>
      </c>
      <c r="K132" s="250">
        <v>26.6</v>
      </c>
      <c r="L132" s="251" t="s">
        <v>986</v>
      </c>
      <c r="M132" s="120">
        <v>2</v>
      </c>
      <c r="N132" s="120">
        <v>49</v>
      </c>
    </row>
    <row r="133" hidden="1" spans="1:14">
      <c r="A133" s="236">
        <v>4980</v>
      </c>
      <c r="B133" s="236">
        <v>332018221</v>
      </c>
      <c r="C133" s="236" t="s">
        <v>102</v>
      </c>
      <c r="D133" s="120">
        <v>2018</v>
      </c>
      <c r="E133" s="120" t="s">
        <v>697</v>
      </c>
      <c r="F133" s="120" t="s">
        <v>179</v>
      </c>
      <c r="G133" s="120" t="s">
        <v>147</v>
      </c>
      <c r="H133" s="120" t="s">
        <v>987</v>
      </c>
      <c r="I133" s="236" t="s">
        <v>796</v>
      </c>
      <c r="J133" s="250">
        <v>2</v>
      </c>
      <c r="K133" s="250">
        <v>23.2</v>
      </c>
      <c r="L133" s="251" t="s">
        <v>988</v>
      </c>
      <c r="M133" s="120">
        <v>24</v>
      </c>
      <c r="N133" s="120">
        <v>943</v>
      </c>
    </row>
    <row r="134" spans="1:14">
      <c r="A134" s="236">
        <v>9875</v>
      </c>
      <c r="B134" s="236">
        <v>442018221</v>
      </c>
      <c r="C134" s="236" t="s">
        <v>118</v>
      </c>
      <c r="D134" s="120">
        <v>2018</v>
      </c>
      <c r="E134" s="120" t="s">
        <v>697</v>
      </c>
      <c r="F134" s="120" t="s">
        <v>179</v>
      </c>
      <c r="G134" s="120" t="s">
        <v>147</v>
      </c>
      <c r="H134" s="120" t="s">
        <v>989</v>
      </c>
      <c r="I134" s="236" t="s">
        <v>968</v>
      </c>
      <c r="J134" s="250">
        <v>2</v>
      </c>
      <c r="K134" s="250">
        <v>23</v>
      </c>
      <c r="L134" s="251" t="s">
        <v>990</v>
      </c>
      <c r="M134" s="120">
        <v>44</v>
      </c>
      <c r="N134" s="120">
        <v>1749</v>
      </c>
    </row>
    <row r="135" spans="1:14">
      <c r="A135" s="236">
        <v>9878</v>
      </c>
      <c r="B135" s="236">
        <v>442018221</v>
      </c>
      <c r="C135" s="236" t="s">
        <v>118</v>
      </c>
      <c r="D135" s="120">
        <v>2018</v>
      </c>
      <c r="E135" s="120" t="s">
        <v>697</v>
      </c>
      <c r="F135" s="236" t="s">
        <v>698</v>
      </c>
      <c r="G135" s="120" t="s">
        <v>147</v>
      </c>
      <c r="H135" s="120" t="s">
        <v>991</v>
      </c>
      <c r="I135" s="236" t="s">
        <v>992</v>
      </c>
      <c r="J135" s="250">
        <v>3</v>
      </c>
      <c r="K135" s="250">
        <v>16.55</v>
      </c>
      <c r="L135" s="251" t="s">
        <v>993</v>
      </c>
      <c r="M135" s="120">
        <v>44</v>
      </c>
      <c r="N135" s="120">
        <v>1754</v>
      </c>
    </row>
    <row r="136" hidden="1" spans="1:14">
      <c r="A136" s="236">
        <v>115</v>
      </c>
      <c r="B136" s="236">
        <v>122018221</v>
      </c>
      <c r="C136" s="236" t="s">
        <v>84</v>
      </c>
      <c r="D136" s="120">
        <v>2018</v>
      </c>
      <c r="E136" s="120" t="s">
        <v>697</v>
      </c>
      <c r="F136" s="120" t="s">
        <v>179</v>
      </c>
      <c r="G136" s="120" t="s">
        <v>147</v>
      </c>
      <c r="H136" s="120" t="s">
        <v>994</v>
      </c>
      <c r="I136" s="236" t="s">
        <v>84</v>
      </c>
      <c r="J136" s="250" t="s">
        <v>887</v>
      </c>
      <c r="K136" s="250">
        <v>13.14</v>
      </c>
      <c r="L136" s="251" t="s">
        <v>887</v>
      </c>
      <c r="M136" s="120">
        <v>3</v>
      </c>
      <c r="N136" s="120">
        <v>84</v>
      </c>
    </row>
    <row r="137" hidden="1" spans="1:14">
      <c r="A137" s="236">
        <v>4162</v>
      </c>
      <c r="B137" s="236">
        <v>322018221</v>
      </c>
      <c r="C137" s="236" t="s">
        <v>100</v>
      </c>
      <c r="D137" s="120">
        <v>2018</v>
      </c>
      <c r="E137" s="120" t="s">
        <v>697</v>
      </c>
      <c r="F137" s="120" t="s">
        <v>179</v>
      </c>
      <c r="G137" s="120" t="s">
        <v>147</v>
      </c>
      <c r="H137" s="120" t="s">
        <v>995</v>
      </c>
      <c r="I137" s="236" t="s">
        <v>100</v>
      </c>
      <c r="J137" s="250" t="s">
        <v>887</v>
      </c>
      <c r="K137" s="250">
        <v>12.71</v>
      </c>
      <c r="L137" s="251" t="s">
        <v>887</v>
      </c>
      <c r="M137" s="120">
        <v>19</v>
      </c>
      <c r="N137" s="120">
        <v>746</v>
      </c>
    </row>
    <row r="138" spans="1:14">
      <c r="A138" s="236">
        <v>9877</v>
      </c>
      <c r="B138" s="236">
        <v>442018221</v>
      </c>
      <c r="C138" s="236" t="s">
        <v>118</v>
      </c>
      <c r="D138" s="120">
        <v>2018</v>
      </c>
      <c r="E138" s="120" t="s">
        <v>697</v>
      </c>
      <c r="F138" s="236" t="s">
        <v>698</v>
      </c>
      <c r="G138" s="120" t="s">
        <v>147</v>
      </c>
      <c r="H138" s="120" t="s">
        <v>996</v>
      </c>
      <c r="I138" s="236" t="s">
        <v>997</v>
      </c>
      <c r="J138" s="250">
        <v>2</v>
      </c>
      <c r="K138" s="250">
        <v>12</v>
      </c>
      <c r="L138" s="251" t="s">
        <v>969</v>
      </c>
      <c r="M138" s="120">
        <v>44</v>
      </c>
      <c r="N138" s="120">
        <v>1752</v>
      </c>
    </row>
    <row r="139" hidden="1" spans="1:14">
      <c r="A139" s="236">
        <v>116</v>
      </c>
      <c r="B139" s="236">
        <v>122018221</v>
      </c>
      <c r="C139" s="236" t="s">
        <v>84</v>
      </c>
      <c r="D139" s="120">
        <v>2018</v>
      </c>
      <c r="E139" s="120" t="s">
        <v>697</v>
      </c>
      <c r="F139" s="236" t="s">
        <v>698</v>
      </c>
      <c r="G139" s="120" t="s">
        <v>147</v>
      </c>
      <c r="H139" s="120" t="s">
        <v>998</v>
      </c>
      <c r="I139" s="236" t="s">
        <v>84</v>
      </c>
      <c r="J139" s="250">
        <v>2</v>
      </c>
      <c r="K139" s="250">
        <v>11.94</v>
      </c>
      <c r="L139" s="251" t="s">
        <v>999</v>
      </c>
      <c r="M139" s="120">
        <v>3</v>
      </c>
      <c r="N139" s="120">
        <v>86</v>
      </c>
    </row>
    <row r="140" hidden="1" spans="1:14">
      <c r="A140" s="236">
        <v>30</v>
      </c>
      <c r="B140" s="236">
        <v>112018221</v>
      </c>
      <c r="C140" s="236" t="s">
        <v>82</v>
      </c>
      <c r="D140" s="120">
        <v>2018</v>
      </c>
      <c r="E140" s="120" t="s">
        <v>697</v>
      </c>
      <c r="F140" s="236" t="s">
        <v>698</v>
      </c>
      <c r="G140" s="120" t="s">
        <v>147</v>
      </c>
      <c r="H140" s="120" t="s">
        <v>1000</v>
      </c>
      <c r="I140" s="236" t="s">
        <v>1001</v>
      </c>
      <c r="J140" s="250">
        <v>1</v>
      </c>
      <c r="K140" s="250">
        <v>7.5</v>
      </c>
      <c r="L140" s="251" t="s">
        <v>1002</v>
      </c>
      <c r="M140" s="120">
        <v>2</v>
      </c>
      <c r="N140" s="120">
        <v>50</v>
      </c>
    </row>
    <row r="141" spans="1:14">
      <c r="A141" s="236">
        <v>9879</v>
      </c>
      <c r="B141" s="236">
        <v>442018221</v>
      </c>
      <c r="C141" s="236" t="s">
        <v>118</v>
      </c>
      <c r="D141" s="120">
        <v>2018</v>
      </c>
      <c r="E141" s="120" t="s">
        <v>697</v>
      </c>
      <c r="F141" s="236" t="s">
        <v>698</v>
      </c>
      <c r="G141" s="120" t="s">
        <v>147</v>
      </c>
      <c r="H141" s="120" t="s">
        <v>1003</v>
      </c>
      <c r="I141" s="236" t="s">
        <v>992</v>
      </c>
      <c r="J141" s="250">
        <v>1</v>
      </c>
      <c r="K141" s="250">
        <v>5.9</v>
      </c>
      <c r="L141" s="251" t="s">
        <v>1004</v>
      </c>
      <c r="M141" s="120">
        <v>44</v>
      </c>
      <c r="N141" s="120">
        <v>1756</v>
      </c>
    </row>
    <row r="142" hidden="1" spans="1:14">
      <c r="A142" s="236">
        <v>1511</v>
      </c>
      <c r="B142" s="236">
        <v>142018221</v>
      </c>
      <c r="C142" s="236" t="s">
        <v>88</v>
      </c>
      <c r="D142" s="120">
        <v>2018</v>
      </c>
      <c r="E142" s="120" t="s">
        <v>697</v>
      </c>
      <c r="F142" s="120" t="s">
        <v>179</v>
      </c>
      <c r="G142" s="120" t="s">
        <v>147</v>
      </c>
      <c r="H142" s="120" t="s">
        <v>897</v>
      </c>
      <c r="I142" s="236" t="s">
        <v>88</v>
      </c>
      <c r="J142" s="250" t="s">
        <v>887</v>
      </c>
      <c r="K142" s="250">
        <v>5.58</v>
      </c>
      <c r="L142" s="251" t="s">
        <v>887</v>
      </c>
      <c r="M142" s="120">
        <v>9</v>
      </c>
      <c r="N142" s="120">
        <v>343</v>
      </c>
    </row>
    <row r="143" hidden="1" spans="1:14">
      <c r="A143" s="236">
        <v>3522</v>
      </c>
      <c r="B143" s="236">
        <v>312018221</v>
      </c>
      <c r="C143" s="236" t="s">
        <v>98</v>
      </c>
      <c r="D143" s="120">
        <v>2018</v>
      </c>
      <c r="E143" s="120" t="s">
        <v>697</v>
      </c>
      <c r="F143" s="120" t="s">
        <v>179</v>
      </c>
      <c r="G143" s="120" t="s">
        <v>147</v>
      </c>
      <c r="H143" s="120" t="s">
        <v>1005</v>
      </c>
      <c r="I143" s="236" t="s">
        <v>98</v>
      </c>
      <c r="J143" s="250" t="s">
        <v>887</v>
      </c>
      <c r="K143" s="250">
        <v>1.6</v>
      </c>
      <c r="L143" s="251" t="s">
        <v>1006</v>
      </c>
      <c r="M143" s="120">
        <v>18</v>
      </c>
      <c r="N143" s="120">
        <v>701</v>
      </c>
    </row>
    <row r="144" hidden="1" spans="1:14">
      <c r="A144" s="236">
        <v>10980</v>
      </c>
      <c r="B144" s="236">
        <v>512018221</v>
      </c>
      <c r="C144" s="236" t="s">
        <v>126</v>
      </c>
      <c r="D144" s="120">
        <v>2018</v>
      </c>
      <c r="E144" s="120" t="s">
        <v>697</v>
      </c>
      <c r="F144" s="120" t="s">
        <v>179</v>
      </c>
      <c r="G144" s="120" t="s">
        <v>147</v>
      </c>
      <c r="H144" s="120" t="s">
        <v>1007</v>
      </c>
      <c r="I144" s="236" t="s">
        <v>126</v>
      </c>
      <c r="J144" s="250">
        <v>1</v>
      </c>
      <c r="K144" s="250">
        <v>1.44</v>
      </c>
      <c r="L144" s="251" t="s">
        <v>1008</v>
      </c>
      <c r="M144" s="120">
        <v>51</v>
      </c>
      <c r="N144" s="120">
        <v>2014</v>
      </c>
    </row>
    <row r="145" hidden="1" spans="1:14">
      <c r="A145" s="236">
        <v>5594</v>
      </c>
      <c r="B145" s="236">
        <v>342018222</v>
      </c>
      <c r="C145" s="236" t="s">
        <v>104</v>
      </c>
      <c r="D145" s="120">
        <v>2018</v>
      </c>
      <c r="E145" s="120" t="s">
        <v>697</v>
      </c>
      <c r="F145" s="120" t="s">
        <v>180</v>
      </c>
      <c r="G145" s="120" t="s">
        <v>147</v>
      </c>
      <c r="H145" s="120" t="s">
        <v>1009</v>
      </c>
      <c r="I145" s="236" t="s">
        <v>104</v>
      </c>
      <c r="J145" s="250" t="s">
        <v>887</v>
      </c>
      <c r="K145" s="250">
        <v>1.2</v>
      </c>
      <c r="L145" s="251" t="s">
        <v>1010</v>
      </c>
      <c r="M145" s="120">
        <v>27</v>
      </c>
      <c r="N145" s="120">
        <v>1062</v>
      </c>
    </row>
    <row r="146" hidden="1" spans="1:14">
      <c r="A146" s="236">
        <v>4160</v>
      </c>
      <c r="B146" s="236">
        <v>322018221</v>
      </c>
      <c r="C146" s="236" t="s">
        <v>100</v>
      </c>
      <c r="D146" s="120">
        <v>2018</v>
      </c>
      <c r="E146" s="120" t="s">
        <v>697</v>
      </c>
      <c r="F146" s="120" t="s">
        <v>179</v>
      </c>
      <c r="G146" s="120" t="s">
        <v>147</v>
      </c>
      <c r="H146" s="120" t="s">
        <v>1011</v>
      </c>
      <c r="I146" s="236" t="s">
        <v>100</v>
      </c>
      <c r="J146" s="250" t="s">
        <v>887</v>
      </c>
      <c r="K146" s="250">
        <v>1.2</v>
      </c>
      <c r="L146" s="251" t="s">
        <v>988</v>
      </c>
      <c r="M146" s="120">
        <v>19</v>
      </c>
      <c r="N146" s="120">
        <v>744</v>
      </c>
    </row>
    <row r="147" hidden="1" spans="1:14">
      <c r="A147" s="236">
        <v>14663</v>
      </c>
      <c r="B147" s="236">
        <v>652018221</v>
      </c>
      <c r="C147" s="236" t="s">
        <v>142</v>
      </c>
      <c r="D147" s="120">
        <v>2018</v>
      </c>
      <c r="E147" s="120" t="s">
        <v>697</v>
      </c>
      <c r="F147" s="120" t="s">
        <v>179</v>
      </c>
      <c r="G147" s="120" t="s">
        <v>147</v>
      </c>
      <c r="H147" s="120" t="s">
        <v>1012</v>
      </c>
      <c r="I147" s="236" t="s">
        <v>918</v>
      </c>
      <c r="J147" s="250" t="s">
        <v>887</v>
      </c>
      <c r="K147" s="250">
        <v>1.18</v>
      </c>
      <c r="L147" s="251" t="s">
        <v>887</v>
      </c>
      <c r="M147" s="120">
        <v>61</v>
      </c>
      <c r="N147" s="120">
        <v>2413</v>
      </c>
    </row>
    <row r="148" hidden="1" spans="1:14">
      <c r="A148" s="236">
        <v>9486</v>
      </c>
      <c r="B148" s="236">
        <v>432018221</v>
      </c>
      <c r="C148" s="236" t="s">
        <v>116</v>
      </c>
      <c r="D148" s="120">
        <v>2018</v>
      </c>
      <c r="E148" s="120" t="s">
        <v>697</v>
      </c>
      <c r="F148" s="120" t="s">
        <v>179</v>
      </c>
      <c r="G148" s="120" t="s">
        <v>147</v>
      </c>
      <c r="H148" s="120" t="s">
        <v>1013</v>
      </c>
      <c r="I148" s="236" t="s">
        <v>116</v>
      </c>
      <c r="J148" s="250" t="s">
        <v>887</v>
      </c>
      <c r="K148" s="250">
        <v>1</v>
      </c>
      <c r="L148" s="251" t="s">
        <v>887</v>
      </c>
      <c r="M148" s="120">
        <v>42</v>
      </c>
      <c r="N148" s="120">
        <v>1660</v>
      </c>
    </row>
    <row r="149" hidden="1" spans="1:14">
      <c r="A149" s="236">
        <v>10981</v>
      </c>
      <c r="B149" s="236">
        <v>512018223</v>
      </c>
      <c r="C149" s="236" t="s">
        <v>126</v>
      </c>
      <c r="D149" s="120">
        <v>2018</v>
      </c>
      <c r="E149" s="120" t="s">
        <v>697</v>
      </c>
      <c r="F149" s="120" t="s">
        <v>181</v>
      </c>
      <c r="G149" s="120" t="s">
        <v>147</v>
      </c>
      <c r="H149" s="120" t="s">
        <v>1014</v>
      </c>
      <c r="I149" s="236" t="s">
        <v>126</v>
      </c>
      <c r="J149" s="250">
        <v>1</v>
      </c>
      <c r="K149" s="250">
        <v>0.89</v>
      </c>
      <c r="L149" s="251" t="s">
        <v>1015</v>
      </c>
      <c r="M149" s="120">
        <v>51</v>
      </c>
      <c r="N149" s="120">
        <v>2015</v>
      </c>
    </row>
    <row r="150" hidden="1" spans="1:14">
      <c r="A150" s="236">
        <v>3520</v>
      </c>
      <c r="B150" s="236">
        <v>312018221</v>
      </c>
      <c r="C150" s="236" t="s">
        <v>98</v>
      </c>
      <c r="D150" s="120">
        <v>2018</v>
      </c>
      <c r="E150" s="120" t="s">
        <v>697</v>
      </c>
      <c r="F150" s="236" t="s">
        <v>698</v>
      </c>
      <c r="G150" s="120" t="s">
        <v>147</v>
      </c>
      <c r="H150" s="120" t="s">
        <v>1016</v>
      </c>
      <c r="I150" s="236" t="s">
        <v>98</v>
      </c>
      <c r="J150" s="250" t="s">
        <v>887</v>
      </c>
      <c r="K150" s="250">
        <v>0.86</v>
      </c>
      <c r="L150" s="251" t="s">
        <v>1010</v>
      </c>
      <c r="M150" s="120">
        <v>18</v>
      </c>
      <c r="N150" s="120">
        <v>699</v>
      </c>
    </row>
    <row r="151" hidden="1" spans="1:14">
      <c r="A151" s="236">
        <v>10482</v>
      </c>
      <c r="B151" s="236">
        <v>502018221</v>
      </c>
      <c r="C151" s="236" t="s">
        <v>124</v>
      </c>
      <c r="D151" s="120">
        <v>2018</v>
      </c>
      <c r="E151" s="120" t="s">
        <v>697</v>
      </c>
      <c r="F151" s="120" t="s">
        <v>179</v>
      </c>
      <c r="G151" s="120" t="s">
        <v>147</v>
      </c>
      <c r="H151" s="120" t="s">
        <v>1017</v>
      </c>
      <c r="I151" s="236" t="s">
        <v>124</v>
      </c>
      <c r="J151" s="250">
        <v>1</v>
      </c>
      <c r="K151" s="250">
        <v>0.85</v>
      </c>
      <c r="L151" s="251" t="s">
        <v>887</v>
      </c>
      <c r="M151" s="120">
        <v>49</v>
      </c>
      <c r="N151" s="120">
        <v>1931</v>
      </c>
    </row>
    <row r="152" hidden="1" spans="1:14">
      <c r="A152" s="236">
        <v>3521</v>
      </c>
      <c r="B152" s="236">
        <v>312018221</v>
      </c>
      <c r="C152" s="236" t="s">
        <v>98</v>
      </c>
      <c r="D152" s="120">
        <v>2018</v>
      </c>
      <c r="E152" s="120" t="s">
        <v>697</v>
      </c>
      <c r="F152" s="120" t="s">
        <v>179</v>
      </c>
      <c r="G152" s="120" t="s">
        <v>147</v>
      </c>
      <c r="H152" s="120" t="s">
        <v>1018</v>
      </c>
      <c r="I152" s="236" t="s">
        <v>98</v>
      </c>
      <c r="J152" s="250" t="s">
        <v>887</v>
      </c>
      <c r="K152" s="250">
        <v>0.84</v>
      </c>
      <c r="L152" s="251" t="s">
        <v>1019</v>
      </c>
      <c r="M152" s="120">
        <v>18</v>
      </c>
      <c r="N152" s="120">
        <v>700</v>
      </c>
    </row>
    <row r="153" hidden="1" spans="1:14">
      <c r="A153" s="236">
        <v>4982</v>
      </c>
      <c r="B153" s="236">
        <v>332018221</v>
      </c>
      <c r="C153" s="236" t="s">
        <v>102</v>
      </c>
      <c r="D153" s="120">
        <v>2018</v>
      </c>
      <c r="E153" s="120" t="s">
        <v>697</v>
      </c>
      <c r="F153" s="120" t="s">
        <v>179</v>
      </c>
      <c r="G153" s="120" t="s">
        <v>147</v>
      </c>
      <c r="H153" s="120" t="s">
        <v>1020</v>
      </c>
      <c r="I153" s="236" t="s">
        <v>102</v>
      </c>
      <c r="J153" s="250" t="s">
        <v>887</v>
      </c>
      <c r="K153" s="250">
        <v>0.8</v>
      </c>
      <c r="L153" s="251" t="s">
        <v>1021</v>
      </c>
      <c r="M153" s="120">
        <v>24</v>
      </c>
      <c r="N153" s="120">
        <v>945</v>
      </c>
    </row>
    <row r="154" hidden="1" spans="1:14">
      <c r="A154" s="236">
        <v>4163</v>
      </c>
      <c r="B154" s="236">
        <v>322018221</v>
      </c>
      <c r="C154" s="236" t="s">
        <v>100</v>
      </c>
      <c r="D154" s="120">
        <v>2018</v>
      </c>
      <c r="E154" s="120" t="s">
        <v>697</v>
      </c>
      <c r="F154" s="236" t="s">
        <v>698</v>
      </c>
      <c r="G154" s="120" t="s">
        <v>147</v>
      </c>
      <c r="H154" s="120" t="s">
        <v>1022</v>
      </c>
      <c r="I154" s="236" t="s">
        <v>100</v>
      </c>
      <c r="J154" s="250" t="s">
        <v>887</v>
      </c>
      <c r="K154" s="250">
        <v>0.65</v>
      </c>
      <c r="L154" s="251" t="s">
        <v>1021</v>
      </c>
      <c r="M154" s="120">
        <v>19</v>
      </c>
      <c r="N154" s="120">
        <v>747</v>
      </c>
    </row>
    <row r="155" hidden="1" spans="1:14">
      <c r="A155" s="236">
        <v>7216</v>
      </c>
      <c r="B155" s="236">
        <v>372018221</v>
      </c>
      <c r="C155" s="236" t="s">
        <v>110</v>
      </c>
      <c r="D155" s="120">
        <v>2018</v>
      </c>
      <c r="E155" s="120" t="s">
        <v>697</v>
      </c>
      <c r="F155" s="120" t="s">
        <v>179</v>
      </c>
      <c r="G155" s="120" t="s">
        <v>147</v>
      </c>
      <c r="H155" s="120" t="s">
        <v>1023</v>
      </c>
      <c r="I155" s="236" t="s">
        <v>110</v>
      </c>
      <c r="J155" s="250" t="s">
        <v>887</v>
      </c>
      <c r="K155" s="250">
        <v>0.6</v>
      </c>
      <c r="L155" s="251" t="s">
        <v>1024</v>
      </c>
      <c r="M155" s="120">
        <v>34</v>
      </c>
      <c r="N155" s="120">
        <v>1334</v>
      </c>
    </row>
    <row r="156" hidden="1" spans="1:14">
      <c r="A156" s="236">
        <v>10483</v>
      </c>
      <c r="B156" s="236">
        <v>502018222</v>
      </c>
      <c r="C156" s="236" t="s">
        <v>124</v>
      </c>
      <c r="D156" s="120">
        <v>2018</v>
      </c>
      <c r="E156" s="120" t="s">
        <v>697</v>
      </c>
      <c r="F156" s="120" t="s">
        <v>180</v>
      </c>
      <c r="G156" s="120" t="s">
        <v>147</v>
      </c>
      <c r="H156" s="120" t="s">
        <v>1025</v>
      </c>
      <c r="I156" s="236" t="s">
        <v>124</v>
      </c>
      <c r="J156" s="250" t="s">
        <v>887</v>
      </c>
      <c r="K156" s="250">
        <v>0.5</v>
      </c>
      <c r="L156" s="251" t="s">
        <v>887</v>
      </c>
      <c r="M156" s="120">
        <v>49</v>
      </c>
      <c r="N156" s="120">
        <v>1932</v>
      </c>
    </row>
    <row r="157" hidden="1" spans="1:14">
      <c r="A157" s="236">
        <v>4981</v>
      </c>
      <c r="B157" s="236">
        <v>332018221</v>
      </c>
      <c r="C157" s="236" t="s">
        <v>102</v>
      </c>
      <c r="D157" s="120">
        <v>2018</v>
      </c>
      <c r="E157" s="120" t="s">
        <v>697</v>
      </c>
      <c r="F157" s="120" t="s">
        <v>179</v>
      </c>
      <c r="G157" s="120" t="s">
        <v>147</v>
      </c>
      <c r="H157" s="120" t="s">
        <v>953</v>
      </c>
      <c r="I157" s="236" t="s">
        <v>102</v>
      </c>
      <c r="J157" s="250" t="s">
        <v>887</v>
      </c>
      <c r="K157" s="250">
        <v>0.41</v>
      </c>
      <c r="L157" s="251" t="s">
        <v>1008</v>
      </c>
      <c r="M157" s="120">
        <v>24</v>
      </c>
      <c r="N157" s="120">
        <v>944</v>
      </c>
    </row>
    <row r="158" hidden="1" spans="1:14">
      <c r="A158" s="236">
        <v>117</v>
      </c>
      <c r="B158" s="236">
        <v>122018221</v>
      </c>
      <c r="C158" s="236" t="s">
        <v>84</v>
      </c>
      <c r="D158" s="120">
        <v>2018</v>
      </c>
      <c r="E158" s="120" t="s">
        <v>697</v>
      </c>
      <c r="F158" s="120" t="s">
        <v>179</v>
      </c>
      <c r="G158" s="120" t="s">
        <v>147</v>
      </c>
      <c r="H158" s="120" t="s">
        <v>906</v>
      </c>
      <c r="I158" s="236" t="s">
        <v>84</v>
      </c>
      <c r="J158" s="250" t="s">
        <v>887</v>
      </c>
      <c r="K158" s="250">
        <v>0.09</v>
      </c>
      <c r="L158" s="251" t="s">
        <v>887</v>
      </c>
      <c r="M158" s="120">
        <v>3</v>
      </c>
      <c r="N158" s="120">
        <v>88</v>
      </c>
    </row>
    <row r="159" hidden="1" spans="1:14">
      <c r="A159" s="236">
        <v>10979</v>
      </c>
      <c r="B159" s="236">
        <v>512018221</v>
      </c>
      <c r="C159" s="236" t="s">
        <v>126</v>
      </c>
      <c r="D159" s="120">
        <v>2018</v>
      </c>
      <c r="E159" s="120" t="s">
        <v>697</v>
      </c>
      <c r="F159" s="236" t="s">
        <v>698</v>
      </c>
      <c r="G159" s="120" t="s">
        <v>147</v>
      </c>
      <c r="H159" s="120" t="s">
        <v>1026</v>
      </c>
      <c r="I159" s="236" t="s">
        <v>126</v>
      </c>
      <c r="J159" s="250">
        <v>1</v>
      </c>
      <c r="K159" s="250">
        <v>0.05</v>
      </c>
      <c r="L159" s="251" t="s">
        <v>1010</v>
      </c>
      <c r="M159" s="120">
        <v>51</v>
      </c>
      <c r="N159" s="120">
        <v>2013</v>
      </c>
    </row>
    <row r="160" hidden="1" spans="1:14">
      <c r="A160" s="236">
        <v>141</v>
      </c>
      <c r="B160" s="236">
        <v>122019221</v>
      </c>
      <c r="C160" s="236" t="s">
        <v>84</v>
      </c>
      <c r="D160" s="120">
        <v>2019</v>
      </c>
      <c r="E160" s="120" t="s">
        <v>697</v>
      </c>
      <c r="F160" s="120" t="s">
        <v>179</v>
      </c>
      <c r="G160" s="120" t="s">
        <v>147</v>
      </c>
      <c r="H160" s="120" t="s">
        <v>1027</v>
      </c>
      <c r="I160" s="236" t="s">
        <v>84</v>
      </c>
      <c r="J160" s="250">
        <v>3</v>
      </c>
      <c r="K160" s="250">
        <v>93</v>
      </c>
      <c r="L160" s="251" t="s">
        <v>1028</v>
      </c>
      <c r="M160" s="120">
        <v>3</v>
      </c>
      <c r="N160" s="120">
        <v>79</v>
      </c>
    </row>
    <row r="161" hidden="1" spans="1:14">
      <c r="A161" s="236">
        <v>3528</v>
      </c>
      <c r="B161" s="236">
        <v>312019221</v>
      </c>
      <c r="C161" s="236" t="s">
        <v>98</v>
      </c>
      <c r="D161" s="120">
        <v>2019</v>
      </c>
      <c r="E161" s="120" t="s">
        <v>697</v>
      </c>
      <c r="F161" s="120" t="s">
        <v>179</v>
      </c>
      <c r="G161" s="120" t="s">
        <v>147</v>
      </c>
      <c r="H161" s="120" t="s">
        <v>1029</v>
      </c>
      <c r="I161" s="236" t="s">
        <v>98</v>
      </c>
      <c r="J161" s="250">
        <v>2</v>
      </c>
      <c r="K161" s="250">
        <v>92.52</v>
      </c>
      <c r="L161" s="251" t="s">
        <v>1030</v>
      </c>
      <c r="M161" s="120">
        <v>14</v>
      </c>
      <c r="N161" s="120">
        <v>532</v>
      </c>
    </row>
    <row r="162" spans="1:14">
      <c r="A162" s="236">
        <v>9900</v>
      </c>
      <c r="B162" s="236">
        <v>442019221</v>
      </c>
      <c r="C162" s="236" t="s">
        <v>118</v>
      </c>
      <c r="D162" s="120">
        <v>2019</v>
      </c>
      <c r="E162" s="120" t="s">
        <v>697</v>
      </c>
      <c r="F162" s="120" t="s">
        <v>179</v>
      </c>
      <c r="G162" s="120" t="s">
        <v>147</v>
      </c>
      <c r="H162" s="252" t="s">
        <v>978</v>
      </c>
      <c r="I162" s="236" t="s">
        <v>700</v>
      </c>
      <c r="J162" s="250">
        <v>2</v>
      </c>
      <c r="K162" s="250">
        <v>92</v>
      </c>
      <c r="L162" s="251" t="s">
        <v>1031</v>
      </c>
      <c r="M162" s="120">
        <v>35</v>
      </c>
      <c r="N162" s="120">
        <v>1336</v>
      </c>
    </row>
    <row r="163" hidden="1" spans="1:14">
      <c r="A163" s="236">
        <v>4310</v>
      </c>
      <c r="B163" s="236">
        <v>322019221</v>
      </c>
      <c r="C163" s="236" t="s">
        <v>100</v>
      </c>
      <c r="D163" s="120">
        <v>2019</v>
      </c>
      <c r="E163" s="120" t="s">
        <v>697</v>
      </c>
      <c r="F163" s="120" t="s">
        <v>179</v>
      </c>
      <c r="G163" s="120" t="s">
        <v>147</v>
      </c>
      <c r="H163" s="120" t="s">
        <v>1032</v>
      </c>
      <c r="I163" s="236" t="s">
        <v>100</v>
      </c>
      <c r="J163" s="250" t="s">
        <v>887</v>
      </c>
      <c r="K163" s="250">
        <v>46.6</v>
      </c>
      <c r="L163" s="251" t="s">
        <v>1033</v>
      </c>
      <c r="M163" s="120">
        <v>15</v>
      </c>
      <c r="N163" s="120">
        <v>579</v>
      </c>
    </row>
    <row r="164" spans="1:14">
      <c r="A164" s="236">
        <v>9899</v>
      </c>
      <c r="B164" s="236">
        <v>442019221</v>
      </c>
      <c r="C164" s="236" t="s">
        <v>118</v>
      </c>
      <c r="D164" s="120">
        <v>2019</v>
      </c>
      <c r="E164" s="120" t="s">
        <v>697</v>
      </c>
      <c r="F164" s="120" t="s">
        <v>179</v>
      </c>
      <c r="G164" s="120" t="s">
        <v>147</v>
      </c>
      <c r="H164" s="252" t="s">
        <v>964</v>
      </c>
      <c r="I164" s="236" t="s">
        <v>965</v>
      </c>
      <c r="J164" s="250">
        <v>1</v>
      </c>
      <c r="K164" s="250">
        <v>46</v>
      </c>
      <c r="L164" s="251" t="s">
        <v>1034</v>
      </c>
      <c r="M164" s="120">
        <v>35</v>
      </c>
      <c r="N164" s="120">
        <v>1335</v>
      </c>
    </row>
    <row r="165" hidden="1" spans="1:14">
      <c r="A165" s="236">
        <v>10376</v>
      </c>
      <c r="B165" s="236">
        <v>462019221</v>
      </c>
      <c r="C165" s="236" t="s">
        <v>122</v>
      </c>
      <c r="D165" s="120">
        <v>2019</v>
      </c>
      <c r="E165" s="120" t="s">
        <v>697</v>
      </c>
      <c r="F165" s="120" t="s">
        <v>179</v>
      </c>
      <c r="G165" s="120" t="s">
        <v>147</v>
      </c>
      <c r="H165" s="252" t="s">
        <v>1035</v>
      </c>
      <c r="I165" s="236" t="s">
        <v>1036</v>
      </c>
      <c r="J165" s="250">
        <v>1</v>
      </c>
      <c r="K165" s="250">
        <v>46</v>
      </c>
      <c r="L165" s="251" t="s">
        <v>887</v>
      </c>
      <c r="M165" s="120">
        <v>37</v>
      </c>
      <c r="N165" s="120">
        <v>1443</v>
      </c>
    </row>
    <row r="166" hidden="1" spans="1:14">
      <c r="A166" s="236">
        <v>4312</v>
      </c>
      <c r="B166" s="236">
        <v>322019221</v>
      </c>
      <c r="C166" s="236" t="s">
        <v>100</v>
      </c>
      <c r="D166" s="120">
        <v>2019</v>
      </c>
      <c r="E166" s="120" t="s">
        <v>697</v>
      </c>
      <c r="F166" s="120" t="s">
        <v>179</v>
      </c>
      <c r="G166" s="120" t="s">
        <v>147</v>
      </c>
      <c r="H166" s="252" t="s">
        <v>980</v>
      </c>
      <c r="I166" s="236" t="s">
        <v>748</v>
      </c>
      <c r="J166" s="250">
        <v>1</v>
      </c>
      <c r="K166" s="250">
        <v>45.88</v>
      </c>
      <c r="L166" s="251" t="s">
        <v>1037</v>
      </c>
      <c r="M166" s="120">
        <v>15</v>
      </c>
      <c r="N166" s="120">
        <v>581</v>
      </c>
    </row>
    <row r="167" hidden="1" spans="1:14">
      <c r="A167" s="236">
        <v>822</v>
      </c>
      <c r="B167" s="236">
        <v>132019221</v>
      </c>
      <c r="C167" s="236" t="s">
        <v>86</v>
      </c>
      <c r="D167" s="120">
        <v>2019</v>
      </c>
      <c r="E167" s="120" t="s">
        <v>697</v>
      </c>
      <c r="F167" s="120" t="s">
        <v>179</v>
      </c>
      <c r="G167" s="120" t="s">
        <v>147</v>
      </c>
      <c r="H167" s="252" t="s">
        <v>1038</v>
      </c>
      <c r="I167" s="236" t="s">
        <v>1039</v>
      </c>
      <c r="J167" s="250">
        <v>1</v>
      </c>
      <c r="K167" s="250">
        <v>45.36</v>
      </c>
      <c r="L167" s="251" t="s">
        <v>1040</v>
      </c>
      <c r="M167" s="120">
        <v>4</v>
      </c>
      <c r="N167" s="120">
        <v>133</v>
      </c>
    </row>
    <row r="168" hidden="1" spans="1:14">
      <c r="A168" s="236">
        <v>8162</v>
      </c>
      <c r="B168" s="236">
        <v>412019221</v>
      </c>
      <c r="C168" s="236" t="s">
        <v>112</v>
      </c>
      <c r="D168" s="120">
        <v>2019</v>
      </c>
      <c r="E168" s="120" t="s">
        <v>697</v>
      </c>
      <c r="F168" s="120" t="s">
        <v>179</v>
      </c>
      <c r="G168" s="120" t="s">
        <v>147</v>
      </c>
      <c r="H168" s="252" t="s">
        <v>983</v>
      </c>
      <c r="I168" s="236" t="s">
        <v>112</v>
      </c>
      <c r="J168" s="250" t="s">
        <v>887</v>
      </c>
      <c r="K168" s="250">
        <v>35</v>
      </c>
      <c r="L168" s="251" t="s">
        <v>887</v>
      </c>
      <c r="M168" s="120">
        <v>28</v>
      </c>
      <c r="N168" s="120">
        <v>1076</v>
      </c>
    </row>
    <row r="169" spans="1:14">
      <c r="A169" s="236">
        <v>9901</v>
      </c>
      <c r="B169" s="236">
        <v>442019221</v>
      </c>
      <c r="C169" s="236" t="s">
        <v>118</v>
      </c>
      <c r="D169" s="120">
        <v>2019</v>
      </c>
      <c r="E169" s="120" t="s">
        <v>697</v>
      </c>
      <c r="F169" s="236" t="s">
        <v>698</v>
      </c>
      <c r="G169" s="120" t="s">
        <v>147</v>
      </c>
      <c r="H169" s="120" t="s">
        <v>996</v>
      </c>
      <c r="I169" s="236" t="s">
        <v>997</v>
      </c>
      <c r="J169" s="250">
        <v>2</v>
      </c>
      <c r="K169" s="250">
        <v>24.5</v>
      </c>
      <c r="L169" s="251" t="s">
        <v>1041</v>
      </c>
      <c r="M169" s="120">
        <v>35</v>
      </c>
      <c r="N169" s="120">
        <v>1337</v>
      </c>
    </row>
    <row r="170" spans="1:14">
      <c r="A170" s="236">
        <v>9902</v>
      </c>
      <c r="B170" s="236">
        <v>442019221</v>
      </c>
      <c r="C170" s="236" t="s">
        <v>118</v>
      </c>
      <c r="D170" s="120">
        <v>2019</v>
      </c>
      <c r="E170" s="120" t="s">
        <v>697</v>
      </c>
      <c r="F170" s="236" t="s">
        <v>698</v>
      </c>
      <c r="G170" s="120" t="s">
        <v>147</v>
      </c>
      <c r="H170" s="120" t="s">
        <v>1003</v>
      </c>
      <c r="I170" s="236" t="s">
        <v>992</v>
      </c>
      <c r="J170" s="250">
        <v>2</v>
      </c>
      <c r="K170" s="250">
        <v>10.45</v>
      </c>
      <c r="L170" s="251" t="s">
        <v>1042</v>
      </c>
      <c r="M170" s="120">
        <v>35</v>
      </c>
      <c r="N170" s="120">
        <v>1338</v>
      </c>
    </row>
    <row r="171" hidden="1" spans="1:14">
      <c r="A171" s="236">
        <v>4311</v>
      </c>
      <c r="B171" s="236">
        <v>322019221</v>
      </c>
      <c r="C171" s="236" t="s">
        <v>100</v>
      </c>
      <c r="D171" s="120">
        <v>2019</v>
      </c>
      <c r="E171" s="120" t="s">
        <v>697</v>
      </c>
      <c r="F171" s="120" t="s">
        <v>179</v>
      </c>
      <c r="G171" s="120" t="s">
        <v>147</v>
      </c>
      <c r="H171" s="120" t="s">
        <v>1043</v>
      </c>
      <c r="I171" s="236" t="s">
        <v>100</v>
      </c>
      <c r="J171" s="250" t="s">
        <v>887</v>
      </c>
      <c r="K171" s="250">
        <v>10.3</v>
      </c>
      <c r="L171" s="251" t="s">
        <v>887</v>
      </c>
      <c r="M171" s="120">
        <v>15</v>
      </c>
      <c r="N171" s="120">
        <v>580</v>
      </c>
    </row>
    <row r="172" hidden="1" spans="1:14">
      <c r="A172" s="236">
        <v>39</v>
      </c>
      <c r="B172" s="236">
        <v>112019221</v>
      </c>
      <c r="C172" s="236" t="s">
        <v>82</v>
      </c>
      <c r="D172" s="120">
        <v>2019</v>
      </c>
      <c r="E172" s="120" t="s">
        <v>697</v>
      </c>
      <c r="F172" s="120" t="s">
        <v>179</v>
      </c>
      <c r="G172" s="120" t="s">
        <v>147</v>
      </c>
      <c r="H172" s="120" t="s">
        <v>1044</v>
      </c>
      <c r="I172" s="236" t="s">
        <v>82</v>
      </c>
      <c r="J172" s="250" t="s">
        <v>887</v>
      </c>
      <c r="K172" s="250">
        <v>8</v>
      </c>
      <c r="L172" s="251" t="s">
        <v>1045</v>
      </c>
      <c r="M172" s="120">
        <v>2</v>
      </c>
      <c r="N172" s="120">
        <v>50</v>
      </c>
    </row>
    <row r="173" hidden="1" spans="1:14">
      <c r="A173" s="236">
        <v>4313</v>
      </c>
      <c r="B173" s="236">
        <v>322019221</v>
      </c>
      <c r="C173" s="236" t="s">
        <v>100</v>
      </c>
      <c r="D173" s="120">
        <v>2019</v>
      </c>
      <c r="E173" s="120" t="s">
        <v>697</v>
      </c>
      <c r="F173" s="236" t="s">
        <v>698</v>
      </c>
      <c r="G173" s="120" t="s">
        <v>147</v>
      </c>
      <c r="H173" s="120" t="s">
        <v>1046</v>
      </c>
      <c r="I173" s="236" t="s">
        <v>772</v>
      </c>
      <c r="J173" s="250">
        <v>2</v>
      </c>
      <c r="K173" s="250">
        <v>8</v>
      </c>
      <c r="L173" s="251" t="s">
        <v>1047</v>
      </c>
      <c r="M173" s="120">
        <v>15</v>
      </c>
      <c r="N173" s="120">
        <v>582</v>
      </c>
    </row>
    <row r="174" hidden="1" spans="1:14">
      <c r="A174" s="236">
        <v>38</v>
      </c>
      <c r="B174" s="236">
        <v>112019221</v>
      </c>
      <c r="C174" s="236" t="s">
        <v>82</v>
      </c>
      <c r="D174" s="120">
        <v>2019</v>
      </c>
      <c r="E174" s="120" t="s">
        <v>697</v>
      </c>
      <c r="F174" s="236" t="s">
        <v>698</v>
      </c>
      <c r="G174" s="120" t="s">
        <v>147</v>
      </c>
      <c r="H174" s="120" t="s">
        <v>1000</v>
      </c>
      <c r="I174" s="236" t="s">
        <v>1001</v>
      </c>
      <c r="J174" s="250">
        <v>1</v>
      </c>
      <c r="K174" s="250">
        <v>7.5</v>
      </c>
      <c r="L174" s="251" t="s">
        <v>1045</v>
      </c>
      <c r="M174" s="120">
        <v>2</v>
      </c>
      <c r="N174" s="120">
        <v>49</v>
      </c>
    </row>
    <row r="175" hidden="1" spans="1:14">
      <c r="A175" s="236">
        <v>3529</v>
      </c>
      <c r="B175" s="236">
        <v>312019221</v>
      </c>
      <c r="C175" s="236" t="s">
        <v>98</v>
      </c>
      <c r="D175" s="120">
        <v>2019</v>
      </c>
      <c r="E175" s="120" t="s">
        <v>697</v>
      </c>
      <c r="F175" s="236" t="s">
        <v>698</v>
      </c>
      <c r="G175" s="120" t="s">
        <v>147</v>
      </c>
      <c r="H175" s="120" t="s">
        <v>1048</v>
      </c>
      <c r="I175" s="236" t="s">
        <v>98</v>
      </c>
      <c r="J175" s="250">
        <v>2</v>
      </c>
      <c r="K175" s="250">
        <v>6.74</v>
      </c>
      <c r="L175" s="251" t="s">
        <v>1049</v>
      </c>
      <c r="M175" s="120">
        <v>14</v>
      </c>
      <c r="N175" s="120">
        <v>533</v>
      </c>
    </row>
    <row r="176" hidden="1" spans="1:14">
      <c r="A176" s="236">
        <v>3355</v>
      </c>
      <c r="B176" s="236">
        <v>232019221</v>
      </c>
      <c r="C176" s="236" t="s">
        <v>96</v>
      </c>
      <c r="D176" s="120">
        <v>2019</v>
      </c>
      <c r="E176" s="120" t="s">
        <v>697</v>
      </c>
      <c r="F176" s="120" t="s">
        <v>179</v>
      </c>
      <c r="G176" s="120" t="s">
        <v>147</v>
      </c>
      <c r="H176" s="120" t="s">
        <v>1050</v>
      </c>
      <c r="I176" s="236" t="s">
        <v>96</v>
      </c>
      <c r="J176" s="250" t="s">
        <v>887</v>
      </c>
      <c r="K176" s="250">
        <v>6.5</v>
      </c>
      <c r="L176" s="251" t="s">
        <v>1030</v>
      </c>
      <c r="M176" s="120">
        <v>13</v>
      </c>
      <c r="N176" s="120">
        <v>489</v>
      </c>
    </row>
    <row r="177" hidden="1" spans="1:14">
      <c r="A177" s="236">
        <v>5067</v>
      </c>
      <c r="B177" s="236">
        <v>332019221</v>
      </c>
      <c r="C177" s="236" t="s">
        <v>102</v>
      </c>
      <c r="D177" s="120">
        <v>2019</v>
      </c>
      <c r="E177" s="120" t="s">
        <v>697</v>
      </c>
      <c r="F177" s="236" t="s">
        <v>698</v>
      </c>
      <c r="G177" s="120" t="s">
        <v>147</v>
      </c>
      <c r="H177" s="120" t="s">
        <v>1051</v>
      </c>
      <c r="I177" s="236" t="s">
        <v>796</v>
      </c>
      <c r="J177" s="250">
        <v>7</v>
      </c>
      <c r="K177" s="250">
        <v>2.99</v>
      </c>
      <c r="L177" s="251" t="s">
        <v>1052</v>
      </c>
      <c r="M177" s="120">
        <v>18</v>
      </c>
      <c r="N177" s="120">
        <v>677</v>
      </c>
    </row>
    <row r="178" spans="1:14">
      <c r="A178" s="236">
        <v>9903</v>
      </c>
      <c r="B178" s="236">
        <v>442019223</v>
      </c>
      <c r="C178" s="236" t="s">
        <v>118</v>
      </c>
      <c r="D178" s="120">
        <v>2019</v>
      </c>
      <c r="E178" s="120" t="s">
        <v>697</v>
      </c>
      <c r="F178" s="120" t="s">
        <v>181</v>
      </c>
      <c r="G178" s="120" t="s">
        <v>147</v>
      </c>
      <c r="H178" s="120" t="s">
        <v>1053</v>
      </c>
      <c r="I178" s="236" t="s">
        <v>118</v>
      </c>
      <c r="J178" s="250" t="s">
        <v>887</v>
      </c>
      <c r="K178" s="250">
        <v>0.9</v>
      </c>
      <c r="L178" s="251" t="s">
        <v>887</v>
      </c>
      <c r="M178" s="120">
        <v>35</v>
      </c>
      <c r="N178" s="120">
        <v>1339</v>
      </c>
    </row>
    <row r="179" hidden="1" spans="1:14">
      <c r="A179" s="236">
        <v>7326</v>
      </c>
      <c r="B179" s="236">
        <v>372019221</v>
      </c>
      <c r="C179" s="236" t="s">
        <v>110</v>
      </c>
      <c r="D179" s="120">
        <v>2019</v>
      </c>
      <c r="E179" s="120" t="s">
        <v>697</v>
      </c>
      <c r="F179" s="120" t="s">
        <v>179</v>
      </c>
      <c r="G179" s="120" t="s">
        <v>147</v>
      </c>
      <c r="H179" s="120" t="s">
        <v>1054</v>
      </c>
      <c r="I179" s="236" t="s">
        <v>110</v>
      </c>
      <c r="J179" s="250" t="s">
        <v>887</v>
      </c>
      <c r="K179" s="250">
        <v>0.66</v>
      </c>
      <c r="L179" s="251" t="s">
        <v>1055</v>
      </c>
      <c r="M179" s="120">
        <v>25</v>
      </c>
      <c r="N179" s="120">
        <v>953</v>
      </c>
    </row>
    <row r="180" hidden="1" spans="1:14">
      <c r="A180" s="236">
        <v>9546</v>
      </c>
      <c r="B180" s="236">
        <v>432019221</v>
      </c>
      <c r="C180" s="236" t="s">
        <v>116</v>
      </c>
      <c r="D180" s="120">
        <v>2019</v>
      </c>
      <c r="E180" s="120" t="s">
        <v>697</v>
      </c>
      <c r="F180" s="120" t="s">
        <v>179</v>
      </c>
      <c r="G180" s="120" t="s">
        <v>147</v>
      </c>
      <c r="H180" s="120" t="s">
        <v>1013</v>
      </c>
      <c r="I180" s="236" t="s">
        <v>116</v>
      </c>
      <c r="J180" s="250" t="s">
        <v>887</v>
      </c>
      <c r="K180" s="250">
        <v>0.65</v>
      </c>
      <c r="L180" s="251" t="s">
        <v>887</v>
      </c>
      <c r="M180" s="120">
        <v>33</v>
      </c>
      <c r="N180" s="120">
        <v>1266</v>
      </c>
    </row>
    <row r="181" spans="1:14">
      <c r="A181" s="236">
        <v>9904</v>
      </c>
      <c r="B181" s="236">
        <v>442019223</v>
      </c>
      <c r="C181" s="236" t="s">
        <v>118</v>
      </c>
      <c r="D181" s="120">
        <v>2019</v>
      </c>
      <c r="E181" s="120" t="s">
        <v>697</v>
      </c>
      <c r="F181" s="120" t="s">
        <v>181</v>
      </c>
      <c r="G181" s="120" t="s">
        <v>147</v>
      </c>
      <c r="H181" s="120" t="s">
        <v>1056</v>
      </c>
      <c r="I181" s="236" t="s">
        <v>118</v>
      </c>
      <c r="J181" s="250" t="s">
        <v>887</v>
      </c>
      <c r="K181" s="250">
        <v>0.52</v>
      </c>
      <c r="L181" s="251" t="s">
        <v>887</v>
      </c>
      <c r="M181" s="120">
        <v>35</v>
      </c>
      <c r="N181" s="120">
        <v>1340</v>
      </c>
    </row>
    <row r="182" hidden="1" spans="1:14">
      <c r="A182" s="236">
        <v>6098</v>
      </c>
      <c r="B182" s="236">
        <v>352019221</v>
      </c>
      <c r="C182" s="236" t="s">
        <v>106</v>
      </c>
      <c r="D182" s="120">
        <v>2019</v>
      </c>
      <c r="E182" s="120" t="s">
        <v>697</v>
      </c>
      <c r="F182" s="120" t="s">
        <v>179</v>
      </c>
      <c r="G182" s="120" t="s">
        <v>147</v>
      </c>
      <c r="H182" s="120" t="s">
        <v>1057</v>
      </c>
      <c r="I182" s="236" t="s">
        <v>106</v>
      </c>
      <c r="J182" s="250" t="s">
        <v>887</v>
      </c>
      <c r="K182" s="250">
        <v>0.3</v>
      </c>
      <c r="L182" s="251" t="s">
        <v>1058</v>
      </c>
      <c r="M182" s="120">
        <v>22</v>
      </c>
      <c r="N182" s="120">
        <v>831</v>
      </c>
    </row>
    <row r="183" spans="1:14">
      <c r="A183" s="236">
        <v>9938</v>
      </c>
      <c r="B183" s="236">
        <v>442020221</v>
      </c>
      <c r="C183" s="236" t="s">
        <v>118</v>
      </c>
      <c r="D183" s="120">
        <v>2020</v>
      </c>
      <c r="E183" s="120" t="s">
        <v>697</v>
      </c>
      <c r="F183" s="120" t="s">
        <v>179</v>
      </c>
      <c r="G183" s="120" t="s">
        <v>147</v>
      </c>
      <c r="H183" s="120" t="s">
        <v>1059</v>
      </c>
      <c r="I183" s="236" t="s">
        <v>1060</v>
      </c>
      <c r="J183" s="250">
        <v>2</v>
      </c>
      <c r="K183" s="250">
        <v>133.86</v>
      </c>
      <c r="L183" s="251" t="s">
        <v>1061</v>
      </c>
      <c r="M183" s="120">
        <v>53</v>
      </c>
      <c r="N183" s="120">
        <v>2034</v>
      </c>
    </row>
    <row r="184" spans="1:14">
      <c r="A184" s="236">
        <v>9934</v>
      </c>
      <c r="B184" s="236">
        <v>442020221</v>
      </c>
      <c r="C184" s="236" t="s">
        <v>118</v>
      </c>
      <c r="D184" s="120">
        <v>2020</v>
      </c>
      <c r="E184" s="120" t="s">
        <v>697</v>
      </c>
      <c r="F184" s="120" t="s">
        <v>179</v>
      </c>
      <c r="G184" s="120" t="s">
        <v>147</v>
      </c>
      <c r="H184" s="120" t="s">
        <v>1062</v>
      </c>
      <c r="I184" s="236" t="s">
        <v>1063</v>
      </c>
      <c r="J184" s="250">
        <v>4</v>
      </c>
      <c r="K184" s="250">
        <v>94.5</v>
      </c>
      <c r="L184" s="251" t="s">
        <v>1064</v>
      </c>
      <c r="M184" s="120">
        <v>53</v>
      </c>
      <c r="N184" s="120">
        <v>2026</v>
      </c>
    </row>
    <row r="185" spans="1:14">
      <c r="A185" s="236">
        <v>9935</v>
      </c>
      <c r="B185" s="236">
        <v>442020221</v>
      </c>
      <c r="C185" s="236" t="s">
        <v>118</v>
      </c>
      <c r="D185" s="120">
        <v>2020</v>
      </c>
      <c r="E185" s="120" t="s">
        <v>697</v>
      </c>
      <c r="F185" s="120" t="s">
        <v>179</v>
      </c>
      <c r="G185" s="120" t="s">
        <v>147</v>
      </c>
      <c r="H185" s="120" t="s">
        <v>1065</v>
      </c>
      <c r="I185" s="236" t="s">
        <v>836</v>
      </c>
      <c r="J185" s="250">
        <v>2</v>
      </c>
      <c r="K185" s="250">
        <v>93</v>
      </c>
      <c r="L185" s="251" t="s">
        <v>1066</v>
      </c>
      <c r="M185" s="120">
        <v>53</v>
      </c>
      <c r="N185" s="120">
        <v>2028</v>
      </c>
    </row>
    <row r="186" hidden="1" spans="1:14">
      <c r="A186" s="236">
        <v>4378</v>
      </c>
      <c r="B186" s="236">
        <v>322020221</v>
      </c>
      <c r="C186" s="236" t="s">
        <v>100</v>
      </c>
      <c r="D186" s="120">
        <v>2020</v>
      </c>
      <c r="E186" s="120" t="s">
        <v>697</v>
      </c>
      <c r="F186" s="120" t="s">
        <v>179</v>
      </c>
      <c r="G186" s="120" t="s">
        <v>147</v>
      </c>
      <c r="H186" s="252" t="s">
        <v>1067</v>
      </c>
      <c r="I186" s="236" t="s">
        <v>882</v>
      </c>
      <c r="J186" s="250">
        <v>2</v>
      </c>
      <c r="K186" s="250">
        <v>87.86</v>
      </c>
      <c r="L186" s="251" t="s">
        <v>1068</v>
      </c>
      <c r="M186" s="120">
        <v>23</v>
      </c>
      <c r="N186" s="120">
        <v>863</v>
      </c>
    </row>
    <row r="187" spans="1:14">
      <c r="A187" s="236">
        <v>9937</v>
      </c>
      <c r="B187" s="236">
        <v>442020221</v>
      </c>
      <c r="C187" s="236" t="s">
        <v>118</v>
      </c>
      <c r="D187" s="120">
        <v>2020</v>
      </c>
      <c r="E187" s="120" t="s">
        <v>697</v>
      </c>
      <c r="F187" s="120" t="s">
        <v>179</v>
      </c>
      <c r="G187" s="120" t="s">
        <v>147</v>
      </c>
      <c r="H187" s="120" t="s">
        <v>1069</v>
      </c>
      <c r="I187" s="236" t="s">
        <v>1060</v>
      </c>
      <c r="J187" s="250">
        <v>2</v>
      </c>
      <c r="K187" s="250">
        <v>84.6</v>
      </c>
      <c r="L187" s="251" t="s">
        <v>1070</v>
      </c>
      <c r="M187" s="120">
        <v>53</v>
      </c>
      <c r="N187" s="120">
        <v>2032</v>
      </c>
    </row>
    <row r="188" hidden="1" spans="1:14">
      <c r="A188" s="236">
        <v>163</v>
      </c>
      <c r="B188" s="236">
        <v>122020221</v>
      </c>
      <c r="C188" s="236" t="s">
        <v>84</v>
      </c>
      <c r="D188" s="120">
        <v>2020</v>
      </c>
      <c r="E188" s="120" t="s">
        <v>697</v>
      </c>
      <c r="F188" s="120" t="s">
        <v>179</v>
      </c>
      <c r="G188" s="120" t="s">
        <v>147</v>
      </c>
      <c r="H188" s="252" t="s">
        <v>1071</v>
      </c>
      <c r="I188" s="236" t="s">
        <v>84</v>
      </c>
      <c r="J188" s="250" t="s">
        <v>887</v>
      </c>
      <c r="K188" s="250">
        <v>65</v>
      </c>
      <c r="L188" s="251" t="s">
        <v>1072</v>
      </c>
      <c r="M188" s="120">
        <v>3</v>
      </c>
      <c r="N188" s="120">
        <v>81</v>
      </c>
    </row>
    <row r="189" hidden="1" spans="1:14">
      <c r="A189" s="236">
        <v>10382</v>
      </c>
      <c r="B189" s="236">
        <v>462020221</v>
      </c>
      <c r="C189" s="236" t="s">
        <v>122</v>
      </c>
      <c r="D189" s="120">
        <v>2020</v>
      </c>
      <c r="E189" s="120" t="s">
        <v>697</v>
      </c>
      <c r="F189" s="120" t="s">
        <v>179</v>
      </c>
      <c r="G189" s="120" t="s">
        <v>147</v>
      </c>
      <c r="H189" s="120" t="s">
        <v>1073</v>
      </c>
      <c r="I189" s="236" t="s">
        <v>122</v>
      </c>
      <c r="J189" s="250" t="s">
        <v>887</v>
      </c>
      <c r="K189" s="250">
        <v>50</v>
      </c>
      <c r="L189" s="251" t="s">
        <v>1074</v>
      </c>
      <c r="M189" s="120">
        <v>58</v>
      </c>
      <c r="N189" s="120">
        <v>2228</v>
      </c>
    </row>
    <row r="190" hidden="1" spans="1:14">
      <c r="A190" s="236">
        <v>10383</v>
      </c>
      <c r="B190" s="236">
        <v>462020221</v>
      </c>
      <c r="C190" s="236" t="s">
        <v>122</v>
      </c>
      <c r="D190" s="120">
        <v>2020</v>
      </c>
      <c r="E190" s="120" t="s">
        <v>697</v>
      </c>
      <c r="F190" s="120" t="s">
        <v>179</v>
      </c>
      <c r="G190" s="120" t="s">
        <v>147</v>
      </c>
      <c r="H190" s="252" t="s">
        <v>1035</v>
      </c>
      <c r="I190" s="236" t="s">
        <v>1036</v>
      </c>
      <c r="J190" s="250">
        <v>1</v>
      </c>
      <c r="K190" s="250">
        <v>46</v>
      </c>
      <c r="L190" s="251" t="s">
        <v>1075</v>
      </c>
      <c r="M190" s="120">
        <v>58</v>
      </c>
      <c r="N190" s="120">
        <v>2229</v>
      </c>
    </row>
    <row r="191" hidden="1" spans="1:14">
      <c r="A191" s="236">
        <v>901</v>
      </c>
      <c r="B191" s="236">
        <v>132020221</v>
      </c>
      <c r="C191" s="236" t="s">
        <v>86</v>
      </c>
      <c r="D191" s="120">
        <v>2020</v>
      </c>
      <c r="E191" s="120" t="s">
        <v>697</v>
      </c>
      <c r="F191" s="120" t="s">
        <v>179</v>
      </c>
      <c r="G191" s="120" t="s">
        <v>147</v>
      </c>
      <c r="H191" s="252" t="s">
        <v>1038</v>
      </c>
      <c r="I191" s="236" t="s">
        <v>1039</v>
      </c>
      <c r="J191" s="250">
        <v>1</v>
      </c>
      <c r="K191" s="250">
        <v>45.36</v>
      </c>
      <c r="L191" s="251" t="s">
        <v>1076</v>
      </c>
      <c r="M191" s="120">
        <v>4</v>
      </c>
      <c r="N191" s="120">
        <v>137</v>
      </c>
    </row>
    <row r="192" hidden="1" spans="1:14">
      <c r="A192" s="236">
        <v>8239</v>
      </c>
      <c r="B192" s="236">
        <v>412020221</v>
      </c>
      <c r="C192" s="236" t="s">
        <v>112</v>
      </c>
      <c r="D192" s="120">
        <v>2020</v>
      </c>
      <c r="E192" s="120" t="s">
        <v>697</v>
      </c>
      <c r="F192" s="120" t="s">
        <v>179</v>
      </c>
      <c r="G192" s="120" t="s">
        <v>147</v>
      </c>
      <c r="H192" s="252" t="s">
        <v>983</v>
      </c>
      <c r="I192" s="236" t="s">
        <v>112</v>
      </c>
      <c r="J192" s="250" t="s">
        <v>887</v>
      </c>
      <c r="K192" s="250">
        <v>20</v>
      </c>
      <c r="L192" s="251" t="s">
        <v>887</v>
      </c>
      <c r="M192" s="120">
        <v>41</v>
      </c>
      <c r="N192" s="120">
        <v>1570</v>
      </c>
    </row>
    <row r="193" spans="1:14">
      <c r="A193" s="236">
        <v>9939</v>
      </c>
      <c r="B193" s="236">
        <v>442020221</v>
      </c>
      <c r="C193" s="236" t="s">
        <v>118</v>
      </c>
      <c r="D193" s="120">
        <v>2020</v>
      </c>
      <c r="E193" s="120" t="s">
        <v>697</v>
      </c>
      <c r="F193" s="120" t="s">
        <v>179</v>
      </c>
      <c r="G193" s="120" t="s">
        <v>147</v>
      </c>
      <c r="H193" s="120" t="s">
        <v>1077</v>
      </c>
      <c r="I193" s="236" t="s">
        <v>1063</v>
      </c>
      <c r="J193" s="250">
        <v>2</v>
      </c>
      <c r="K193" s="250">
        <v>18</v>
      </c>
      <c r="L193" s="251" t="s">
        <v>1078</v>
      </c>
      <c r="M193" s="120">
        <v>53</v>
      </c>
      <c r="N193" s="120">
        <v>2035</v>
      </c>
    </row>
    <row r="194" hidden="1" spans="1:14">
      <c r="A194" s="236">
        <v>9065</v>
      </c>
      <c r="B194" s="236">
        <v>422020221</v>
      </c>
      <c r="C194" s="236" t="s">
        <v>114</v>
      </c>
      <c r="D194" s="120">
        <v>2020</v>
      </c>
      <c r="E194" s="120" t="s">
        <v>697</v>
      </c>
      <c r="F194" s="120" t="s">
        <v>179</v>
      </c>
      <c r="G194" s="120" t="s">
        <v>147</v>
      </c>
      <c r="H194" s="120" t="s">
        <v>1079</v>
      </c>
      <c r="I194" s="236" t="s">
        <v>1080</v>
      </c>
      <c r="J194" s="250">
        <v>2</v>
      </c>
      <c r="K194" s="250">
        <v>15.4</v>
      </c>
      <c r="L194" s="251" t="s">
        <v>1081</v>
      </c>
      <c r="M194" s="120">
        <v>47</v>
      </c>
      <c r="N194" s="120">
        <v>1794</v>
      </c>
    </row>
    <row r="195" hidden="1" spans="1:14">
      <c r="A195" s="236">
        <v>10207</v>
      </c>
      <c r="B195" s="236">
        <v>452020221</v>
      </c>
      <c r="C195" s="236" t="s">
        <v>120</v>
      </c>
      <c r="D195" s="120">
        <v>2020</v>
      </c>
      <c r="E195" s="120" t="s">
        <v>697</v>
      </c>
      <c r="F195" s="236" t="s">
        <v>698</v>
      </c>
      <c r="G195" s="120" t="s">
        <v>147</v>
      </c>
      <c r="H195" s="120" t="s">
        <v>1082</v>
      </c>
      <c r="I195" s="236" t="s">
        <v>1083</v>
      </c>
      <c r="J195" s="250">
        <v>2</v>
      </c>
      <c r="K195" s="250">
        <v>15</v>
      </c>
      <c r="L195" s="251" t="s">
        <v>1084</v>
      </c>
      <c r="M195" s="120">
        <v>55</v>
      </c>
      <c r="N195" s="120">
        <v>2104</v>
      </c>
    </row>
    <row r="196" hidden="1" spans="1:14">
      <c r="A196" s="236">
        <v>2718</v>
      </c>
      <c r="B196" s="236">
        <v>212020221</v>
      </c>
      <c r="C196" s="236" t="s">
        <v>92</v>
      </c>
      <c r="D196" s="120">
        <v>2020</v>
      </c>
      <c r="E196" s="120" t="s">
        <v>697</v>
      </c>
      <c r="F196" s="120" t="s">
        <v>179</v>
      </c>
      <c r="G196" s="120" t="s">
        <v>147</v>
      </c>
      <c r="H196" s="120" t="s">
        <v>1085</v>
      </c>
      <c r="I196" s="236" t="s">
        <v>92</v>
      </c>
      <c r="J196" s="250" t="s">
        <v>887</v>
      </c>
      <c r="K196" s="250">
        <v>10</v>
      </c>
      <c r="L196" s="251" t="s">
        <v>887</v>
      </c>
      <c r="M196" s="120">
        <v>17</v>
      </c>
      <c r="N196" s="120">
        <v>637</v>
      </c>
    </row>
    <row r="197" spans="1:14">
      <c r="A197" s="236">
        <v>9933</v>
      </c>
      <c r="B197" s="236">
        <v>442020221</v>
      </c>
      <c r="C197" s="236" t="s">
        <v>118</v>
      </c>
      <c r="D197" s="120">
        <v>2020</v>
      </c>
      <c r="E197" s="120" t="s">
        <v>697</v>
      </c>
      <c r="F197" s="236" t="s">
        <v>698</v>
      </c>
      <c r="G197" s="120" t="s">
        <v>147</v>
      </c>
      <c r="H197" s="120" t="s">
        <v>1086</v>
      </c>
      <c r="I197" s="236" t="s">
        <v>1060</v>
      </c>
      <c r="J197" s="250">
        <v>2</v>
      </c>
      <c r="K197" s="250">
        <v>8.57</v>
      </c>
      <c r="L197" s="251" t="s">
        <v>1087</v>
      </c>
      <c r="M197" s="120">
        <v>53</v>
      </c>
      <c r="N197" s="120">
        <v>2024</v>
      </c>
    </row>
    <row r="198" hidden="1" spans="1:14">
      <c r="A198" s="236">
        <v>43</v>
      </c>
      <c r="B198" s="236">
        <v>112020221</v>
      </c>
      <c r="C198" s="236" t="s">
        <v>82</v>
      </c>
      <c r="D198" s="120">
        <v>2020</v>
      </c>
      <c r="E198" s="120" t="s">
        <v>697</v>
      </c>
      <c r="F198" s="236" t="s">
        <v>698</v>
      </c>
      <c r="G198" s="120" t="s">
        <v>147</v>
      </c>
      <c r="H198" s="120" t="s">
        <v>1088</v>
      </c>
      <c r="I198" s="236" t="s">
        <v>1001</v>
      </c>
      <c r="J198" s="250">
        <v>1</v>
      </c>
      <c r="K198" s="250">
        <v>6.7</v>
      </c>
      <c r="L198" s="251" t="s">
        <v>1089</v>
      </c>
      <c r="M198" s="120">
        <v>2</v>
      </c>
      <c r="N198" s="120">
        <v>49</v>
      </c>
    </row>
    <row r="199" spans="1:14">
      <c r="A199" s="236">
        <v>9936</v>
      </c>
      <c r="B199" s="236">
        <v>442020221</v>
      </c>
      <c r="C199" s="236" t="s">
        <v>118</v>
      </c>
      <c r="D199" s="120">
        <v>2020</v>
      </c>
      <c r="E199" s="120" t="s">
        <v>697</v>
      </c>
      <c r="F199" s="236" t="s">
        <v>698</v>
      </c>
      <c r="G199" s="120" t="s">
        <v>147</v>
      </c>
      <c r="H199" s="120" t="s">
        <v>1090</v>
      </c>
      <c r="I199" s="236" t="s">
        <v>968</v>
      </c>
      <c r="J199" s="250">
        <v>1</v>
      </c>
      <c r="K199" s="250">
        <v>6</v>
      </c>
      <c r="L199" s="251" t="s">
        <v>1091</v>
      </c>
      <c r="M199" s="120">
        <v>53</v>
      </c>
      <c r="N199" s="120">
        <v>2030</v>
      </c>
    </row>
    <row r="200" hidden="1" spans="1:14">
      <c r="A200" s="236">
        <v>14754</v>
      </c>
      <c r="B200" s="236">
        <v>652020221</v>
      </c>
      <c r="C200" s="236" t="s">
        <v>142</v>
      </c>
      <c r="D200" s="120">
        <v>2020</v>
      </c>
      <c r="E200" s="120" t="s">
        <v>697</v>
      </c>
      <c r="F200" s="120" t="s">
        <v>179</v>
      </c>
      <c r="G200" s="120" t="s">
        <v>147</v>
      </c>
      <c r="H200" s="120" t="s">
        <v>1092</v>
      </c>
      <c r="I200" s="236" t="s">
        <v>1093</v>
      </c>
      <c r="J200" s="250">
        <v>1</v>
      </c>
      <c r="K200" s="250">
        <v>6</v>
      </c>
      <c r="L200" s="251" t="s">
        <v>1072</v>
      </c>
      <c r="M200" s="120">
        <v>78</v>
      </c>
      <c r="N200" s="120">
        <v>2949</v>
      </c>
    </row>
    <row r="201" hidden="1" spans="1:14">
      <c r="A201" s="236">
        <v>1633</v>
      </c>
      <c r="B201" s="236">
        <v>142020222</v>
      </c>
      <c r="C201" s="236" t="s">
        <v>88</v>
      </c>
      <c r="D201" s="120">
        <v>2020</v>
      </c>
      <c r="E201" s="120" t="s">
        <v>697</v>
      </c>
      <c r="F201" s="120" t="s">
        <v>180</v>
      </c>
      <c r="G201" s="120" t="s">
        <v>147</v>
      </c>
      <c r="H201" s="120" t="s">
        <v>1094</v>
      </c>
      <c r="I201" s="236" t="s">
        <v>88</v>
      </c>
      <c r="J201" s="250" t="s">
        <v>887</v>
      </c>
      <c r="K201" s="250">
        <v>3.3</v>
      </c>
      <c r="L201" s="251" t="s">
        <v>887</v>
      </c>
      <c r="M201" s="120">
        <v>9</v>
      </c>
      <c r="N201" s="120">
        <v>321</v>
      </c>
    </row>
    <row r="202" spans="1:14">
      <c r="A202" s="236">
        <v>9940</v>
      </c>
      <c r="B202" s="236">
        <v>442020221</v>
      </c>
      <c r="C202" s="236" t="s">
        <v>118</v>
      </c>
      <c r="D202" s="120">
        <v>2020</v>
      </c>
      <c r="E202" s="120" t="s">
        <v>697</v>
      </c>
      <c r="F202" s="236" t="s">
        <v>698</v>
      </c>
      <c r="G202" s="120" t="s">
        <v>147</v>
      </c>
      <c r="H202" s="120" t="s">
        <v>1095</v>
      </c>
      <c r="I202" s="236" t="s">
        <v>1060</v>
      </c>
      <c r="J202" s="250">
        <v>3</v>
      </c>
      <c r="K202" s="250">
        <v>2.93</v>
      </c>
      <c r="L202" s="251" t="s">
        <v>1096</v>
      </c>
      <c r="M202" s="120">
        <v>53</v>
      </c>
      <c r="N202" s="120">
        <v>2038</v>
      </c>
    </row>
    <row r="203" hidden="1" spans="1:14">
      <c r="A203" s="236">
        <v>1632</v>
      </c>
      <c r="B203" s="236">
        <v>142020222</v>
      </c>
      <c r="C203" s="236" t="s">
        <v>88</v>
      </c>
      <c r="D203" s="120">
        <v>2020</v>
      </c>
      <c r="E203" s="120" t="s">
        <v>697</v>
      </c>
      <c r="F203" s="120" t="s">
        <v>180</v>
      </c>
      <c r="G203" s="120" t="s">
        <v>147</v>
      </c>
      <c r="H203" s="120" t="s">
        <v>1097</v>
      </c>
      <c r="I203" s="236" t="s">
        <v>88</v>
      </c>
      <c r="J203" s="250" t="s">
        <v>887</v>
      </c>
      <c r="K203" s="250">
        <v>2.8</v>
      </c>
      <c r="L203" s="251" t="s">
        <v>887</v>
      </c>
      <c r="M203" s="120">
        <v>9</v>
      </c>
      <c r="N203" s="120">
        <v>320</v>
      </c>
    </row>
    <row r="204" hidden="1" spans="1:14">
      <c r="A204" s="236">
        <v>11066</v>
      </c>
      <c r="B204" s="236">
        <v>512020222</v>
      </c>
      <c r="C204" s="236" t="s">
        <v>126</v>
      </c>
      <c r="D204" s="120">
        <v>2020</v>
      </c>
      <c r="E204" s="120" t="s">
        <v>697</v>
      </c>
      <c r="F204" s="120" t="s">
        <v>180</v>
      </c>
      <c r="G204" s="120" t="s">
        <v>147</v>
      </c>
      <c r="H204" s="120" t="s">
        <v>1098</v>
      </c>
      <c r="I204" s="236" t="s">
        <v>126</v>
      </c>
      <c r="J204" s="250" t="s">
        <v>887</v>
      </c>
      <c r="K204" s="250">
        <v>2.5</v>
      </c>
      <c r="L204" s="251" t="s">
        <v>1099</v>
      </c>
      <c r="M204" s="120">
        <v>60</v>
      </c>
      <c r="N204" s="120">
        <v>2314</v>
      </c>
    </row>
    <row r="205" hidden="1" spans="1:14">
      <c r="A205" s="236">
        <v>6431</v>
      </c>
      <c r="B205" s="236">
        <v>362020223</v>
      </c>
      <c r="C205" s="236" t="s">
        <v>108</v>
      </c>
      <c r="D205" s="120">
        <v>2020</v>
      </c>
      <c r="E205" s="120" t="s">
        <v>697</v>
      </c>
      <c r="F205" s="120" t="s">
        <v>181</v>
      </c>
      <c r="G205" s="120" t="s">
        <v>147</v>
      </c>
      <c r="H205" s="120" t="s">
        <v>1100</v>
      </c>
      <c r="I205" s="236" t="s">
        <v>108</v>
      </c>
      <c r="J205" s="250" t="s">
        <v>887</v>
      </c>
      <c r="K205" s="250">
        <v>1.2</v>
      </c>
      <c r="L205" s="251" t="s">
        <v>887</v>
      </c>
      <c r="M205" s="120">
        <v>33</v>
      </c>
      <c r="N205" s="120">
        <v>1258</v>
      </c>
    </row>
    <row r="206" hidden="1" spans="1:14">
      <c r="A206" s="236">
        <v>1631</v>
      </c>
      <c r="B206" s="236">
        <v>142020222</v>
      </c>
      <c r="C206" s="236" t="s">
        <v>88</v>
      </c>
      <c r="D206" s="120">
        <v>2020</v>
      </c>
      <c r="E206" s="120" t="s">
        <v>697</v>
      </c>
      <c r="F206" s="120" t="s">
        <v>180</v>
      </c>
      <c r="G206" s="120" t="s">
        <v>147</v>
      </c>
      <c r="H206" s="120" t="s">
        <v>1101</v>
      </c>
      <c r="I206" s="236" t="s">
        <v>88</v>
      </c>
      <c r="J206" s="250" t="s">
        <v>887</v>
      </c>
      <c r="K206" s="250">
        <v>1</v>
      </c>
      <c r="L206" s="251" t="s">
        <v>887</v>
      </c>
      <c r="M206" s="120">
        <v>9</v>
      </c>
      <c r="N206" s="120">
        <v>319</v>
      </c>
    </row>
    <row r="207" hidden="1" spans="1:14">
      <c r="A207" s="236">
        <v>1630</v>
      </c>
      <c r="B207" s="236">
        <v>142020222</v>
      </c>
      <c r="C207" s="236" t="s">
        <v>88</v>
      </c>
      <c r="D207" s="120">
        <v>2020</v>
      </c>
      <c r="E207" s="120" t="s">
        <v>697</v>
      </c>
      <c r="F207" s="120" t="s">
        <v>180</v>
      </c>
      <c r="G207" s="120" t="s">
        <v>147</v>
      </c>
      <c r="H207" s="120" t="s">
        <v>1102</v>
      </c>
      <c r="I207" s="236" t="s">
        <v>88</v>
      </c>
      <c r="J207" s="250" t="s">
        <v>887</v>
      </c>
      <c r="K207" s="250">
        <v>0.96</v>
      </c>
      <c r="L207" s="251" t="s">
        <v>1103</v>
      </c>
      <c r="M207" s="120">
        <v>9</v>
      </c>
      <c r="N207" s="120">
        <v>318</v>
      </c>
    </row>
    <row r="208" hidden="1" spans="1:14">
      <c r="A208" s="236">
        <v>902</v>
      </c>
      <c r="B208" s="236">
        <v>132020221</v>
      </c>
      <c r="C208" s="236" t="s">
        <v>86</v>
      </c>
      <c r="D208" s="120">
        <v>2020</v>
      </c>
      <c r="E208" s="120" t="s">
        <v>697</v>
      </c>
      <c r="F208" s="236" t="s">
        <v>698</v>
      </c>
      <c r="G208" s="120" t="s">
        <v>147</v>
      </c>
      <c r="H208" s="120" t="s">
        <v>1104</v>
      </c>
      <c r="I208" s="236" t="s">
        <v>1039</v>
      </c>
      <c r="J208" s="250">
        <v>2</v>
      </c>
      <c r="K208" s="250">
        <v>0.86</v>
      </c>
      <c r="L208" s="251" t="s">
        <v>1105</v>
      </c>
      <c r="M208" s="120">
        <v>4</v>
      </c>
      <c r="N208" s="120">
        <v>139</v>
      </c>
    </row>
    <row r="209" hidden="1" spans="1:14">
      <c r="A209" s="236">
        <v>1629</v>
      </c>
      <c r="B209" s="236">
        <v>142020222</v>
      </c>
      <c r="C209" s="236" t="s">
        <v>88</v>
      </c>
      <c r="D209" s="120">
        <v>2020</v>
      </c>
      <c r="E209" s="120" t="s">
        <v>697</v>
      </c>
      <c r="F209" s="120" t="s">
        <v>180</v>
      </c>
      <c r="G209" s="120" t="s">
        <v>147</v>
      </c>
      <c r="H209" s="120" t="s">
        <v>1106</v>
      </c>
      <c r="I209" s="236" t="s">
        <v>88</v>
      </c>
      <c r="J209" s="250" t="s">
        <v>887</v>
      </c>
      <c r="K209" s="250">
        <v>0.84</v>
      </c>
      <c r="L209" s="251" t="s">
        <v>1107</v>
      </c>
      <c r="M209" s="120">
        <v>9</v>
      </c>
      <c r="N209" s="120">
        <v>317</v>
      </c>
    </row>
    <row r="210" hidden="1" spans="1:14">
      <c r="A210" s="236">
        <v>1628</v>
      </c>
      <c r="B210" s="236">
        <v>142020222</v>
      </c>
      <c r="C210" s="236" t="s">
        <v>88</v>
      </c>
      <c r="D210" s="120">
        <v>2020</v>
      </c>
      <c r="E210" s="120" t="s">
        <v>697</v>
      </c>
      <c r="F210" s="120" t="s">
        <v>180</v>
      </c>
      <c r="G210" s="120" t="s">
        <v>147</v>
      </c>
      <c r="H210" s="120" t="s">
        <v>1108</v>
      </c>
      <c r="I210" s="236" t="s">
        <v>88</v>
      </c>
      <c r="J210" s="250" t="s">
        <v>887</v>
      </c>
      <c r="K210" s="250">
        <v>0.8</v>
      </c>
      <c r="L210" s="251" t="s">
        <v>1103</v>
      </c>
      <c r="M210" s="120">
        <v>9</v>
      </c>
      <c r="N210" s="120">
        <v>316</v>
      </c>
    </row>
    <row r="211" hidden="1" spans="1:14">
      <c r="A211" s="236">
        <v>3380</v>
      </c>
      <c r="B211" s="236">
        <v>232020221</v>
      </c>
      <c r="C211" s="236" t="s">
        <v>96</v>
      </c>
      <c r="D211" s="120">
        <v>2020</v>
      </c>
      <c r="E211" s="120" t="s">
        <v>697</v>
      </c>
      <c r="F211" s="120" t="s">
        <v>179</v>
      </c>
      <c r="G211" s="120" t="s">
        <v>147</v>
      </c>
      <c r="H211" s="120" t="s">
        <v>1109</v>
      </c>
      <c r="I211" s="236" t="s">
        <v>96</v>
      </c>
      <c r="J211" s="250" t="s">
        <v>887</v>
      </c>
      <c r="K211" s="250">
        <v>0.6</v>
      </c>
      <c r="L211" s="251" t="s">
        <v>1110</v>
      </c>
      <c r="M211" s="120">
        <v>21</v>
      </c>
      <c r="N211" s="120">
        <v>767</v>
      </c>
    </row>
    <row r="212" hidden="1" spans="1:14">
      <c r="A212" s="236">
        <v>903</v>
      </c>
      <c r="B212" s="236">
        <v>132020221</v>
      </c>
      <c r="C212" s="236" t="s">
        <v>86</v>
      </c>
      <c r="D212" s="120">
        <v>2020</v>
      </c>
      <c r="E212" s="120" t="s">
        <v>697</v>
      </c>
      <c r="F212" s="236" t="s">
        <v>698</v>
      </c>
      <c r="G212" s="120" t="s">
        <v>147</v>
      </c>
      <c r="H212" s="120" t="s">
        <v>1111</v>
      </c>
      <c r="I212" s="236" t="s">
        <v>1039</v>
      </c>
      <c r="J212" s="250">
        <v>2</v>
      </c>
      <c r="K212" s="250">
        <v>0.4</v>
      </c>
      <c r="L212" s="251" t="s">
        <v>1112</v>
      </c>
      <c r="M212" s="120">
        <v>4</v>
      </c>
      <c r="N212" s="120">
        <v>142</v>
      </c>
    </row>
    <row r="213" spans="1:14">
      <c r="A213" s="236">
        <v>9972</v>
      </c>
      <c r="B213" s="236">
        <v>442021221</v>
      </c>
      <c r="C213" s="236" t="s">
        <v>118</v>
      </c>
      <c r="D213" s="120">
        <v>2021</v>
      </c>
      <c r="E213" s="120" t="s">
        <v>697</v>
      </c>
      <c r="F213" s="120" t="s">
        <v>179</v>
      </c>
      <c r="G213" s="120" t="s">
        <v>147</v>
      </c>
      <c r="H213" s="120" t="s">
        <v>1113</v>
      </c>
      <c r="I213" s="236" t="s">
        <v>1114</v>
      </c>
      <c r="J213" s="250">
        <v>2</v>
      </c>
      <c r="K213" s="250">
        <v>100.32</v>
      </c>
      <c r="L213" s="251" t="s">
        <v>887</v>
      </c>
      <c r="M213" s="120">
        <v>52</v>
      </c>
      <c r="N213" s="120">
        <v>1980</v>
      </c>
    </row>
    <row r="214" spans="1:14">
      <c r="A214" s="236">
        <v>9973</v>
      </c>
      <c r="B214" s="236">
        <v>442021221</v>
      </c>
      <c r="C214" s="236" t="s">
        <v>118</v>
      </c>
      <c r="D214" s="120">
        <v>2021</v>
      </c>
      <c r="E214" s="120" t="s">
        <v>697</v>
      </c>
      <c r="F214" s="120" t="s">
        <v>179</v>
      </c>
      <c r="G214" s="120" t="s">
        <v>147</v>
      </c>
      <c r="H214" s="120" t="s">
        <v>1115</v>
      </c>
      <c r="I214" s="236" t="s">
        <v>118</v>
      </c>
      <c r="J214" s="250" t="s">
        <v>887</v>
      </c>
      <c r="K214" s="250">
        <v>95</v>
      </c>
      <c r="L214" s="251" t="s">
        <v>887</v>
      </c>
      <c r="M214" s="120">
        <v>52</v>
      </c>
      <c r="N214" s="120">
        <v>1981</v>
      </c>
    </row>
    <row r="215" hidden="1" spans="1:14">
      <c r="A215" s="236">
        <v>4509</v>
      </c>
      <c r="B215" s="236">
        <v>322021221</v>
      </c>
      <c r="C215" s="236" t="s">
        <v>100</v>
      </c>
      <c r="D215" s="120">
        <v>2021</v>
      </c>
      <c r="E215" s="120" t="s">
        <v>697</v>
      </c>
      <c r="F215" s="120" t="s">
        <v>179</v>
      </c>
      <c r="G215" s="120" t="s">
        <v>147</v>
      </c>
      <c r="H215" s="252" t="s">
        <v>1116</v>
      </c>
      <c r="I215" s="236" t="s">
        <v>100</v>
      </c>
      <c r="J215" s="250">
        <v>2</v>
      </c>
      <c r="K215" s="250">
        <v>92</v>
      </c>
      <c r="L215" s="251" t="s">
        <v>1117</v>
      </c>
      <c r="M215" s="120">
        <v>23</v>
      </c>
      <c r="N215" s="120">
        <v>848</v>
      </c>
    </row>
    <row r="216" hidden="1" spans="1:14">
      <c r="A216" s="236">
        <v>4507</v>
      </c>
      <c r="B216" s="236">
        <v>322021221</v>
      </c>
      <c r="C216" s="236" t="s">
        <v>100</v>
      </c>
      <c r="D216" s="120">
        <v>2021</v>
      </c>
      <c r="E216" s="120" t="s">
        <v>697</v>
      </c>
      <c r="F216" s="120" t="s">
        <v>179</v>
      </c>
      <c r="G216" s="120" t="s">
        <v>147</v>
      </c>
      <c r="H216" s="252" t="s">
        <v>1118</v>
      </c>
      <c r="I216" s="236" t="s">
        <v>100</v>
      </c>
      <c r="J216" s="250">
        <v>4</v>
      </c>
      <c r="K216" s="250">
        <v>87.85</v>
      </c>
      <c r="L216" s="251" t="s">
        <v>1119</v>
      </c>
      <c r="M216" s="120">
        <v>23</v>
      </c>
      <c r="N216" s="120">
        <v>846</v>
      </c>
    </row>
    <row r="217" spans="1:14">
      <c r="A217" s="236">
        <v>9974</v>
      </c>
      <c r="B217" s="236">
        <v>442021221</v>
      </c>
      <c r="C217" s="236" t="s">
        <v>118</v>
      </c>
      <c r="D217" s="120">
        <v>2021</v>
      </c>
      <c r="E217" s="120" t="s">
        <v>697</v>
      </c>
      <c r="F217" s="120" t="s">
        <v>179</v>
      </c>
      <c r="G217" s="120" t="s">
        <v>147</v>
      </c>
      <c r="H217" s="120" t="s">
        <v>1120</v>
      </c>
      <c r="I217" s="236" t="s">
        <v>118</v>
      </c>
      <c r="J217" s="250" t="s">
        <v>887</v>
      </c>
      <c r="K217" s="250">
        <v>49.66</v>
      </c>
      <c r="L217" s="251" t="s">
        <v>887</v>
      </c>
      <c r="M217" s="120">
        <v>52</v>
      </c>
      <c r="N217" s="120">
        <v>1982</v>
      </c>
    </row>
    <row r="218" hidden="1" spans="1:14">
      <c r="A218" s="236">
        <v>10387</v>
      </c>
      <c r="B218" s="236">
        <v>462021221</v>
      </c>
      <c r="C218" s="236" t="s">
        <v>122</v>
      </c>
      <c r="D218" s="120">
        <v>2021</v>
      </c>
      <c r="E218" s="120" t="s">
        <v>697</v>
      </c>
      <c r="F218" s="120" t="s">
        <v>179</v>
      </c>
      <c r="G218" s="120" t="s">
        <v>147</v>
      </c>
      <c r="H218" s="253" t="s">
        <v>1121</v>
      </c>
      <c r="I218" s="236" t="s">
        <v>122</v>
      </c>
      <c r="J218" s="250">
        <v>1</v>
      </c>
      <c r="K218" s="250">
        <v>48.71</v>
      </c>
      <c r="L218" s="251" t="s">
        <v>1122</v>
      </c>
      <c r="M218" s="120">
        <v>57</v>
      </c>
      <c r="N218" s="120">
        <v>2158</v>
      </c>
    </row>
    <row r="219" hidden="1" spans="1:14">
      <c r="A219" s="236">
        <v>3542</v>
      </c>
      <c r="B219" s="236">
        <v>312021221</v>
      </c>
      <c r="C219" s="236" t="s">
        <v>98</v>
      </c>
      <c r="D219" s="120">
        <v>2021</v>
      </c>
      <c r="E219" s="120" t="s">
        <v>697</v>
      </c>
      <c r="F219" s="120" t="s">
        <v>179</v>
      </c>
      <c r="G219" s="120" t="s">
        <v>147</v>
      </c>
      <c r="H219" s="253" t="s">
        <v>1123</v>
      </c>
      <c r="I219" s="236" t="s">
        <v>1124</v>
      </c>
      <c r="J219" s="250">
        <v>1</v>
      </c>
      <c r="K219" s="250">
        <v>46.8</v>
      </c>
      <c r="L219" s="251" t="s">
        <v>1125</v>
      </c>
      <c r="M219" s="120">
        <v>21</v>
      </c>
      <c r="N219" s="120">
        <v>791</v>
      </c>
    </row>
    <row r="220" hidden="1" spans="1:14">
      <c r="A220" s="236">
        <v>14874</v>
      </c>
      <c r="B220" s="236">
        <v>652021221</v>
      </c>
      <c r="C220" s="236" t="s">
        <v>142</v>
      </c>
      <c r="D220" s="120">
        <v>2021</v>
      </c>
      <c r="E220" s="120" t="s">
        <v>697</v>
      </c>
      <c r="F220" s="120" t="s">
        <v>179</v>
      </c>
      <c r="G220" s="120" t="s">
        <v>147</v>
      </c>
      <c r="H220" s="120" t="s">
        <v>1126</v>
      </c>
      <c r="I220" s="236" t="s">
        <v>918</v>
      </c>
      <c r="J220" s="250">
        <v>1</v>
      </c>
      <c r="K220" s="250">
        <v>32</v>
      </c>
      <c r="L220" s="251" t="s">
        <v>1127</v>
      </c>
      <c r="M220" s="120">
        <v>74</v>
      </c>
      <c r="N220" s="120">
        <v>2823</v>
      </c>
    </row>
    <row r="221" hidden="1" spans="1:14">
      <c r="A221" s="236">
        <v>9144</v>
      </c>
      <c r="B221" s="236">
        <v>422021221</v>
      </c>
      <c r="C221" s="236" t="s">
        <v>114</v>
      </c>
      <c r="D221" s="120">
        <v>2021</v>
      </c>
      <c r="E221" s="120" t="s">
        <v>697</v>
      </c>
      <c r="F221" s="120" t="s">
        <v>179</v>
      </c>
      <c r="G221" s="120" t="s">
        <v>147</v>
      </c>
      <c r="H221" s="120" t="s">
        <v>1128</v>
      </c>
      <c r="I221" s="236" t="s">
        <v>1129</v>
      </c>
      <c r="J221" s="250">
        <v>2</v>
      </c>
      <c r="K221" s="250">
        <v>24.56</v>
      </c>
      <c r="L221" s="251" t="s">
        <v>887</v>
      </c>
      <c r="M221" s="120">
        <v>45</v>
      </c>
      <c r="N221" s="120">
        <v>1728</v>
      </c>
    </row>
    <row r="222" hidden="1" spans="1:14">
      <c r="A222" s="236">
        <v>4510</v>
      </c>
      <c r="B222" s="236">
        <v>322021221</v>
      </c>
      <c r="C222" s="236" t="s">
        <v>100</v>
      </c>
      <c r="D222" s="120">
        <v>2021</v>
      </c>
      <c r="E222" s="120" t="s">
        <v>697</v>
      </c>
      <c r="F222" s="120" t="s">
        <v>179</v>
      </c>
      <c r="G222" s="120" t="s">
        <v>147</v>
      </c>
      <c r="H222" s="120" t="s">
        <v>1130</v>
      </c>
      <c r="I222" s="236" t="s">
        <v>781</v>
      </c>
      <c r="J222" s="250">
        <v>2</v>
      </c>
      <c r="K222" s="250">
        <v>24.4</v>
      </c>
      <c r="L222" s="251" t="s">
        <v>1131</v>
      </c>
      <c r="M222" s="120">
        <v>23</v>
      </c>
      <c r="N222" s="120">
        <v>849</v>
      </c>
    </row>
    <row r="223" spans="1:14">
      <c r="A223" s="236">
        <v>9976</v>
      </c>
      <c r="B223" s="236">
        <v>442021223</v>
      </c>
      <c r="C223" s="236" t="s">
        <v>118</v>
      </c>
      <c r="D223" s="120">
        <v>2021</v>
      </c>
      <c r="E223" s="120" t="s">
        <v>697</v>
      </c>
      <c r="F223" s="236" t="s">
        <v>181</v>
      </c>
      <c r="G223" s="120" t="s">
        <v>147</v>
      </c>
      <c r="H223" s="120" t="s">
        <v>1132</v>
      </c>
      <c r="I223" s="236" t="s">
        <v>118</v>
      </c>
      <c r="J223" s="250" t="s">
        <v>887</v>
      </c>
      <c r="K223" s="250">
        <v>9.05</v>
      </c>
      <c r="L223" s="251" t="s">
        <v>887</v>
      </c>
      <c r="M223" s="120">
        <v>52</v>
      </c>
      <c r="N223" s="120">
        <v>1984</v>
      </c>
    </row>
    <row r="224" hidden="1" spans="1:14">
      <c r="A224" s="236">
        <v>4511</v>
      </c>
      <c r="B224" s="236">
        <v>322021221</v>
      </c>
      <c r="C224" s="236" t="s">
        <v>100</v>
      </c>
      <c r="D224" s="120">
        <v>2021</v>
      </c>
      <c r="E224" s="120" t="s">
        <v>697</v>
      </c>
      <c r="F224" s="120" t="s">
        <v>179</v>
      </c>
      <c r="G224" s="120" t="s">
        <v>147</v>
      </c>
      <c r="H224" s="120" t="s">
        <v>1133</v>
      </c>
      <c r="I224" s="236" t="s">
        <v>100</v>
      </c>
      <c r="J224" s="250" t="s">
        <v>887</v>
      </c>
      <c r="K224" s="250">
        <v>8.08</v>
      </c>
      <c r="L224" s="251" t="s">
        <v>887</v>
      </c>
      <c r="M224" s="120">
        <v>23</v>
      </c>
      <c r="N224" s="120">
        <v>850</v>
      </c>
    </row>
    <row r="225" hidden="1" spans="1:14">
      <c r="A225" s="236">
        <v>11393</v>
      </c>
      <c r="B225" s="236">
        <v>522021221</v>
      </c>
      <c r="C225" s="236" t="s">
        <v>128</v>
      </c>
      <c r="D225" s="120">
        <v>2021</v>
      </c>
      <c r="E225" s="120" t="s">
        <v>697</v>
      </c>
      <c r="F225" s="236" t="s">
        <v>698</v>
      </c>
      <c r="G225" s="120" t="s">
        <v>147</v>
      </c>
      <c r="H225" s="120" t="s">
        <v>1134</v>
      </c>
      <c r="I225" s="236" t="s">
        <v>128</v>
      </c>
      <c r="J225" s="250" t="s">
        <v>887</v>
      </c>
      <c r="K225" s="250">
        <v>5.63</v>
      </c>
      <c r="L225" s="251" t="s">
        <v>887</v>
      </c>
      <c r="M225" s="120">
        <v>61</v>
      </c>
      <c r="N225" s="120">
        <v>2324</v>
      </c>
    </row>
    <row r="226" hidden="1" spans="1:14">
      <c r="A226" s="236">
        <v>4508</v>
      </c>
      <c r="B226" s="236">
        <v>322021221</v>
      </c>
      <c r="C226" s="236" t="s">
        <v>100</v>
      </c>
      <c r="D226" s="120">
        <v>2021</v>
      </c>
      <c r="E226" s="120" t="s">
        <v>697</v>
      </c>
      <c r="F226" s="120" t="s">
        <v>179</v>
      </c>
      <c r="G226" s="120" t="s">
        <v>147</v>
      </c>
      <c r="H226" s="120" t="s">
        <v>1135</v>
      </c>
      <c r="I226" s="236" t="s">
        <v>100</v>
      </c>
      <c r="J226" s="250" t="s">
        <v>887</v>
      </c>
      <c r="K226" s="250">
        <v>3.3</v>
      </c>
      <c r="L226" s="251" t="s">
        <v>887</v>
      </c>
      <c r="M226" s="120">
        <v>23</v>
      </c>
      <c r="N226" s="120">
        <v>847</v>
      </c>
    </row>
    <row r="227" hidden="1" spans="1:14">
      <c r="A227" s="236">
        <v>14875</v>
      </c>
      <c r="B227" s="236">
        <v>652021221</v>
      </c>
      <c r="C227" s="236" t="s">
        <v>142</v>
      </c>
      <c r="D227" s="120">
        <v>2021</v>
      </c>
      <c r="E227" s="120" t="s">
        <v>697</v>
      </c>
      <c r="F227" s="120" t="s">
        <v>179</v>
      </c>
      <c r="G227" s="120" t="s">
        <v>147</v>
      </c>
      <c r="H227" s="120" t="s">
        <v>1136</v>
      </c>
      <c r="I227" s="236" t="s">
        <v>918</v>
      </c>
      <c r="J227" s="250" t="s">
        <v>887</v>
      </c>
      <c r="K227" s="250">
        <v>3.1</v>
      </c>
      <c r="L227" s="251" t="s">
        <v>1137</v>
      </c>
      <c r="M227" s="120">
        <v>74</v>
      </c>
      <c r="N227" s="120">
        <v>2824</v>
      </c>
    </row>
    <row r="228" hidden="1" spans="1:14">
      <c r="A228" s="236">
        <v>9712</v>
      </c>
      <c r="B228" s="236">
        <v>432021223</v>
      </c>
      <c r="C228" s="236" t="s">
        <v>116</v>
      </c>
      <c r="D228" s="120">
        <v>2021</v>
      </c>
      <c r="E228" s="120" t="s">
        <v>697</v>
      </c>
      <c r="F228" s="120" t="s">
        <v>181</v>
      </c>
      <c r="G228" s="120" t="s">
        <v>147</v>
      </c>
      <c r="H228" s="120" t="s">
        <v>1138</v>
      </c>
      <c r="I228" s="236" t="s">
        <v>116</v>
      </c>
      <c r="J228" s="250" t="s">
        <v>887</v>
      </c>
      <c r="K228" s="250">
        <v>3</v>
      </c>
      <c r="L228" s="251" t="s">
        <v>887</v>
      </c>
      <c r="M228" s="120">
        <v>50</v>
      </c>
      <c r="N228" s="120">
        <v>1885</v>
      </c>
    </row>
    <row r="229" hidden="1" spans="1:14">
      <c r="A229" s="236">
        <v>7638</v>
      </c>
      <c r="B229" s="236">
        <v>372021221</v>
      </c>
      <c r="C229" s="236" t="s">
        <v>110</v>
      </c>
      <c r="D229" s="120">
        <v>2021</v>
      </c>
      <c r="E229" s="120" t="s">
        <v>697</v>
      </c>
      <c r="F229" s="120" t="s">
        <v>179</v>
      </c>
      <c r="G229" s="120" t="s">
        <v>147</v>
      </c>
      <c r="H229" s="120" t="s">
        <v>1139</v>
      </c>
      <c r="I229" s="236" t="s">
        <v>110</v>
      </c>
      <c r="J229" s="250" t="s">
        <v>887</v>
      </c>
      <c r="K229" s="250">
        <v>1.2</v>
      </c>
      <c r="L229" s="251" t="s">
        <v>1140</v>
      </c>
      <c r="M229" s="120">
        <v>36</v>
      </c>
      <c r="N229" s="120">
        <v>1379</v>
      </c>
    </row>
    <row r="230" hidden="1" spans="1:14">
      <c r="A230" s="236">
        <v>1787</v>
      </c>
      <c r="B230" s="236">
        <v>142021221</v>
      </c>
      <c r="C230" s="236" t="s">
        <v>88</v>
      </c>
      <c r="D230" s="120">
        <v>2021</v>
      </c>
      <c r="E230" s="120" t="s">
        <v>697</v>
      </c>
      <c r="F230" s="120" t="s">
        <v>179</v>
      </c>
      <c r="G230" s="120" t="s">
        <v>147</v>
      </c>
      <c r="H230" s="120" t="s">
        <v>1141</v>
      </c>
      <c r="I230" s="236" t="s">
        <v>88</v>
      </c>
      <c r="J230" s="250" t="s">
        <v>887</v>
      </c>
      <c r="K230" s="250">
        <v>0.98</v>
      </c>
      <c r="L230" s="251" t="s">
        <v>887</v>
      </c>
      <c r="M230" s="120">
        <v>9</v>
      </c>
      <c r="N230" s="120">
        <v>330</v>
      </c>
    </row>
    <row r="231" hidden="1" spans="1:14">
      <c r="A231" s="236">
        <v>7637</v>
      </c>
      <c r="B231" s="236">
        <v>372021221</v>
      </c>
      <c r="C231" s="236" t="s">
        <v>110</v>
      </c>
      <c r="D231" s="120">
        <v>2021</v>
      </c>
      <c r="E231" s="120" t="s">
        <v>697</v>
      </c>
      <c r="F231" s="120" t="s">
        <v>179</v>
      </c>
      <c r="G231" s="120" t="s">
        <v>147</v>
      </c>
      <c r="H231" s="120" t="s">
        <v>1142</v>
      </c>
      <c r="I231" s="236" t="s">
        <v>110</v>
      </c>
      <c r="J231" s="250" t="s">
        <v>887</v>
      </c>
      <c r="K231" s="250">
        <v>0.75</v>
      </c>
      <c r="L231" s="251" t="s">
        <v>1140</v>
      </c>
      <c r="M231" s="120">
        <v>36</v>
      </c>
      <c r="N231" s="120">
        <v>1378</v>
      </c>
    </row>
    <row r="232" hidden="1" spans="1:14">
      <c r="A232" s="236">
        <v>11119</v>
      </c>
      <c r="B232" s="236">
        <v>512021221</v>
      </c>
      <c r="C232" s="236" t="s">
        <v>126</v>
      </c>
      <c r="D232" s="120">
        <v>2021</v>
      </c>
      <c r="E232" s="120" t="s">
        <v>697</v>
      </c>
      <c r="F232" s="120" t="s">
        <v>179</v>
      </c>
      <c r="G232" s="120" t="s">
        <v>147</v>
      </c>
      <c r="H232" s="120" t="s">
        <v>1143</v>
      </c>
      <c r="I232" s="236" t="s">
        <v>126</v>
      </c>
      <c r="J232" s="250" t="s">
        <v>887</v>
      </c>
      <c r="K232" s="250">
        <v>0.75</v>
      </c>
      <c r="L232" s="251" t="s">
        <v>887</v>
      </c>
      <c r="M232" s="120">
        <v>59</v>
      </c>
      <c r="N232" s="120">
        <v>2261</v>
      </c>
    </row>
    <row r="233" hidden="1" spans="1:14">
      <c r="A233" s="236">
        <v>50</v>
      </c>
      <c r="B233" s="236">
        <v>112021223</v>
      </c>
      <c r="C233" s="236" t="s">
        <v>82</v>
      </c>
      <c r="D233" s="120">
        <v>2021</v>
      </c>
      <c r="E233" s="120" t="s">
        <v>697</v>
      </c>
      <c r="F233" s="120" t="s">
        <v>181</v>
      </c>
      <c r="G233" s="120" t="s">
        <v>147</v>
      </c>
      <c r="H233" s="120" t="s">
        <v>1144</v>
      </c>
      <c r="I233" s="236" t="s">
        <v>82</v>
      </c>
      <c r="J233" s="250" t="s">
        <v>887</v>
      </c>
      <c r="K233" s="250">
        <v>0.62</v>
      </c>
      <c r="L233" s="251" t="s">
        <v>887</v>
      </c>
      <c r="M233" s="120">
        <v>2</v>
      </c>
      <c r="N233" s="120">
        <v>49</v>
      </c>
    </row>
    <row r="234" spans="1:14">
      <c r="A234" s="236">
        <v>9975</v>
      </c>
      <c r="B234" s="236">
        <v>442021223</v>
      </c>
      <c r="C234" s="236" t="s">
        <v>118</v>
      </c>
      <c r="D234" s="120">
        <v>2021</v>
      </c>
      <c r="E234" s="120" t="s">
        <v>697</v>
      </c>
      <c r="F234" s="120" t="s">
        <v>181</v>
      </c>
      <c r="G234" s="120" t="s">
        <v>147</v>
      </c>
      <c r="H234" s="120" t="s">
        <v>1145</v>
      </c>
      <c r="I234" s="236" t="s">
        <v>118</v>
      </c>
      <c r="J234" s="250" t="s">
        <v>887</v>
      </c>
      <c r="K234" s="250">
        <v>0.6</v>
      </c>
      <c r="L234" s="251" t="s">
        <v>887</v>
      </c>
      <c r="M234" s="120">
        <v>52</v>
      </c>
      <c r="N234" s="120">
        <v>1983</v>
      </c>
    </row>
    <row r="235" hidden="1" spans="1:14">
      <c r="A235" s="236">
        <v>3543</v>
      </c>
      <c r="B235" s="236">
        <v>312021221</v>
      </c>
      <c r="C235" s="236" t="s">
        <v>98</v>
      </c>
      <c r="D235" s="120">
        <v>2021</v>
      </c>
      <c r="E235" s="120" t="s">
        <v>697</v>
      </c>
      <c r="F235" s="120" t="s">
        <v>179</v>
      </c>
      <c r="G235" s="120" t="s">
        <v>147</v>
      </c>
      <c r="H235" s="120" t="s">
        <v>1146</v>
      </c>
      <c r="I235" s="236" t="s">
        <v>98</v>
      </c>
      <c r="J235" s="250" t="s">
        <v>887</v>
      </c>
      <c r="K235" s="250">
        <v>0.6</v>
      </c>
      <c r="L235" s="251" t="s">
        <v>887</v>
      </c>
      <c r="M235" s="120">
        <v>21</v>
      </c>
      <c r="N235" s="120">
        <v>792</v>
      </c>
    </row>
    <row r="236" hidden="1" spans="1:14">
      <c r="A236" s="236">
        <v>3419</v>
      </c>
      <c r="B236" s="236">
        <v>232021221</v>
      </c>
      <c r="C236" s="236" t="s">
        <v>96</v>
      </c>
      <c r="D236" s="120">
        <v>2021</v>
      </c>
      <c r="E236" s="120" t="s">
        <v>697</v>
      </c>
      <c r="F236" s="120" t="s">
        <v>179</v>
      </c>
      <c r="G236" s="120" t="s">
        <v>147</v>
      </c>
      <c r="H236" s="120" t="s">
        <v>1147</v>
      </c>
      <c r="I236" s="236" t="s">
        <v>96</v>
      </c>
      <c r="J236" s="250" t="s">
        <v>887</v>
      </c>
      <c r="K236" s="250">
        <v>0.3</v>
      </c>
      <c r="L236" s="251" t="s">
        <v>1148</v>
      </c>
      <c r="M236" s="120">
        <v>19</v>
      </c>
      <c r="N236" s="120">
        <v>704</v>
      </c>
    </row>
    <row r="237" s="120" customFormat="1" hidden="1" spans="1:14">
      <c r="A237" s="236">
        <v>1052</v>
      </c>
      <c r="B237" s="236">
        <v>132021223</v>
      </c>
      <c r="C237" s="236" t="s">
        <v>86</v>
      </c>
      <c r="D237" s="120">
        <v>2021</v>
      </c>
      <c r="E237" s="120" t="s">
        <v>697</v>
      </c>
      <c r="F237" s="120" t="s">
        <v>181</v>
      </c>
      <c r="G237" s="120" t="s">
        <v>147</v>
      </c>
      <c r="H237" s="254" t="s">
        <v>1149</v>
      </c>
      <c r="I237" s="236" t="s">
        <v>1150</v>
      </c>
      <c r="J237" s="250">
        <v>2</v>
      </c>
      <c r="K237" s="250">
        <v>0.12</v>
      </c>
      <c r="L237" s="251" t="s">
        <v>887</v>
      </c>
      <c r="M237" s="120">
        <v>5</v>
      </c>
      <c r="N237" s="120">
        <v>167</v>
      </c>
    </row>
    <row r="238" s="120" customFormat="1" hidden="1" spans="1:14">
      <c r="A238" s="236">
        <v>187</v>
      </c>
      <c r="B238" s="236">
        <v>122021221</v>
      </c>
      <c r="C238" s="236" t="s">
        <v>84</v>
      </c>
      <c r="D238" s="120">
        <v>2021</v>
      </c>
      <c r="E238" s="120" t="s">
        <v>697</v>
      </c>
      <c r="F238" s="120" t="s">
        <v>179</v>
      </c>
      <c r="G238" s="120" t="s">
        <v>147</v>
      </c>
      <c r="H238" s="255" t="s">
        <v>906</v>
      </c>
      <c r="I238" s="236" t="s">
        <v>84</v>
      </c>
      <c r="J238" s="250" t="s">
        <v>887</v>
      </c>
      <c r="K238" s="250">
        <v>0.04</v>
      </c>
      <c r="L238" s="251" t="s">
        <v>887</v>
      </c>
      <c r="M238" s="120">
        <v>3</v>
      </c>
      <c r="N238" s="120">
        <v>92</v>
      </c>
    </row>
  </sheetData>
  <autoFilter xmlns:etc="http://www.wps.cn/officeDocument/2017/etCustomData" ref="A1:N238" etc:filterBottomFollowUsedRange="0">
    <filterColumn colId="2">
      <customFilters>
        <customFilter operator="equal" val="广东省"/>
      </customFilters>
    </filterColumn>
    <sortState ref="A1:N238">
      <sortCondition ref="D1:D238"/>
    </sortState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zoomScale="115" zoomScaleNormal="115" topLeftCell="A49" workbookViewId="0">
      <selection activeCell="E103" sqref="E103"/>
    </sheetView>
  </sheetViews>
  <sheetFormatPr defaultColWidth="9" defaultRowHeight="13.85"/>
  <cols>
    <col min="1" max="1" width="7.85840707964602" style="233" customWidth="1"/>
    <col min="2" max="2" width="39.7079646017699" style="233" customWidth="1"/>
    <col min="3" max="3" width="25.4247787610619" style="233" customWidth="1"/>
    <col min="4" max="4" width="12.5752212389381" style="233" customWidth="1"/>
    <col min="5" max="5" width="8.28318584070797" style="233" customWidth="1"/>
    <col min="6" max="6" width="22" style="233" customWidth="1"/>
    <col min="7" max="7" width="19.7079646017699" style="233" customWidth="1"/>
    <col min="8" max="8" width="16.1327433628319" style="233" customWidth="1"/>
    <col min="9" max="10" width="24.4247787610619" style="233" customWidth="1"/>
    <col min="11" max="11" width="22" style="233" customWidth="1"/>
    <col min="12" max="12" width="8.28318584070797" style="233" customWidth="1"/>
    <col min="13" max="16384" width="9.13274336283186" style="234"/>
  </cols>
  <sheetData>
    <row r="1" spans="1:12">
      <c r="A1" s="233" t="s">
        <v>1151</v>
      </c>
      <c r="B1" s="233" t="s">
        <v>588</v>
      </c>
      <c r="C1" s="235" t="s">
        <v>1152</v>
      </c>
      <c r="D1" s="235" t="s">
        <v>1153</v>
      </c>
      <c r="E1" s="233" t="s">
        <v>592</v>
      </c>
      <c r="F1" s="233" t="s">
        <v>1154</v>
      </c>
      <c r="G1" s="233" t="s">
        <v>1155</v>
      </c>
      <c r="H1" s="233" t="s">
        <v>1156</v>
      </c>
      <c r="I1" s="233" t="s">
        <v>1157</v>
      </c>
      <c r="J1" s="233" t="s">
        <v>1158</v>
      </c>
      <c r="K1" s="233" t="s">
        <v>1159</v>
      </c>
      <c r="L1" s="233" t="s">
        <v>144</v>
      </c>
    </row>
    <row r="2" spans="1:12">
      <c r="A2" s="233">
        <v>14</v>
      </c>
      <c r="B2" s="233" t="s">
        <v>1160</v>
      </c>
      <c r="C2" s="120" t="s">
        <v>180</v>
      </c>
      <c r="D2" s="233">
        <v>2001</v>
      </c>
      <c r="E2" s="233">
        <v>24</v>
      </c>
      <c r="F2" s="233">
        <v>31066</v>
      </c>
      <c r="L2" s="233" t="s">
        <v>112</v>
      </c>
    </row>
    <row r="3" spans="1:12">
      <c r="A3" s="233">
        <v>55</v>
      </c>
      <c r="B3" s="233" t="s">
        <v>1161</v>
      </c>
      <c r="C3" s="120" t="s">
        <v>180</v>
      </c>
      <c r="D3" s="233">
        <v>2002</v>
      </c>
      <c r="E3" s="233">
        <v>12</v>
      </c>
      <c r="F3" s="233">
        <v>5352</v>
      </c>
      <c r="G3" s="233">
        <v>4460</v>
      </c>
      <c r="L3" s="233" t="s">
        <v>124</v>
      </c>
    </row>
    <row r="4" spans="1:12">
      <c r="A4" s="233" t="s">
        <v>1162</v>
      </c>
      <c r="B4" s="233" t="s">
        <v>1163</v>
      </c>
      <c r="C4" s="236" t="s">
        <v>179</v>
      </c>
      <c r="D4" s="233">
        <v>1994</v>
      </c>
      <c r="E4" s="233">
        <v>66</v>
      </c>
      <c r="L4" s="233" t="s">
        <v>122</v>
      </c>
    </row>
    <row r="5" spans="1:12">
      <c r="A5" s="233" t="s">
        <v>1162</v>
      </c>
      <c r="B5" s="233" t="s">
        <v>1163</v>
      </c>
      <c r="C5" s="236" t="s">
        <v>179</v>
      </c>
      <c r="D5" s="233">
        <v>1995</v>
      </c>
      <c r="E5" s="233">
        <v>66</v>
      </c>
      <c r="L5" s="233" t="s">
        <v>122</v>
      </c>
    </row>
    <row r="6" spans="1:12">
      <c r="A6" s="233" t="s">
        <v>1164</v>
      </c>
      <c r="B6" s="233" t="s">
        <v>1165</v>
      </c>
      <c r="C6" s="236" t="s">
        <v>179</v>
      </c>
      <c r="D6" s="233">
        <v>2003</v>
      </c>
      <c r="E6" s="233">
        <v>180</v>
      </c>
      <c r="L6" s="233" t="s">
        <v>118</v>
      </c>
    </row>
    <row r="7" spans="1:12">
      <c r="A7" s="233" t="s">
        <v>1164</v>
      </c>
      <c r="B7" s="233" t="s">
        <v>1165</v>
      </c>
      <c r="C7" s="236" t="s">
        <v>179</v>
      </c>
      <c r="D7" s="233">
        <v>2004</v>
      </c>
      <c r="E7" s="233">
        <v>180</v>
      </c>
      <c r="L7" s="233" t="s">
        <v>118</v>
      </c>
    </row>
    <row r="8" spans="1:12">
      <c r="A8" s="233" t="s">
        <v>1166</v>
      </c>
      <c r="B8" s="233" t="s">
        <v>1167</v>
      </c>
      <c r="C8" s="236" t="s">
        <v>179</v>
      </c>
      <c r="D8" s="233">
        <v>2004</v>
      </c>
      <c r="E8" s="233">
        <v>180</v>
      </c>
      <c r="L8" s="233" t="s">
        <v>118</v>
      </c>
    </row>
    <row r="9" spans="1:12">
      <c r="A9" s="233" t="s">
        <v>1166</v>
      </c>
      <c r="B9" s="233" t="s">
        <v>1167</v>
      </c>
      <c r="C9" s="236" t="s">
        <v>179</v>
      </c>
      <c r="D9" s="233">
        <v>2004</v>
      </c>
      <c r="E9" s="233">
        <v>180</v>
      </c>
      <c r="L9" s="233" t="s">
        <v>118</v>
      </c>
    </row>
    <row r="10" spans="1:12">
      <c r="A10" s="233" t="s">
        <v>1168</v>
      </c>
      <c r="B10" s="233" t="s">
        <v>1169</v>
      </c>
      <c r="C10" s="236" t="s">
        <v>179</v>
      </c>
      <c r="D10" s="233">
        <v>2005</v>
      </c>
      <c r="E10" s="233">
        <v>180</v>
      </c>
      <c r="L10" s="233" t="s">
        <v>118</v>
      </c>
    </row>
    <row r="11" spans="1:12">
      <c r="A11" s="233" t="s">
        <v>1168</v>
      </c>
      <c r="B11" s="233" t="s">
        <v>1169</v>
      </c>
      <c r="C11" s="236" t="s">
        <v>179</v>
      </c>
      <c r="D11" s="233">
        <v>2005</v>
      </c>
      <c r="E11" s="233">
        <v>180</v>
      </c>
      <c r="L11" s="233" t="s">
        <v>118</v>
      </c>
    </row>
    <row r="12" spans="1:12">
      <c r="A12" s="233" t="s">
        <v>1170</v>
      </c>
      <c r="B12" s="233" t="s">
        <v>1171</v>
      </c>
      <c r="C12" s="236" t="s">
        <v>179</v>
      </c>
      <c r="D12" s="233">
        <v>2005</v>
      </c>
      <c r="E12" s="233">
        <v>180</v>
      </c>
      <c r="L12" s="233" t="s">
        <v>118</v>
      </c>
    </row>
    <row r="13" spans="1:12">
      <c r="A13" s="233" t="s">
        <v>1170</v>
      </c>
      <c r="B13" s="233" t="s">
        <v>1171</v>
      </c>
      <c r="C13" s="236" t="s">
        <v>179</v>
      </c>
      <c r="D13" s="233">
        <v>2005</v>
      </c>
      <c r="E13" s="233">
        <v>180</v>
      </c>
      <c r="L13" s="233" t="s">
        <v>118</v>
      </c>
    </row>
    <row r="14" spans="1:12">
      <c r="A14" s="233" t="s">
        <v>1172</v>
      </c>
      <c r="B14" s="233" t="s">
        <v>1173</v>
      </c>
      <c r="C14" s="236" t="s">
        <v>179</v>
      </c>
      <c r="D14" s="233">
        <v>1993</v>
      </c>
      <c r="E14" s="233">
        <v>220</v>
      </c>
      <c r="L14" s="233" t="s">
        <v>122</v>
      </c>
    </row>
    <row r="15" spans="1:12">
      <c r="A15" s="233" t="s">
        <v>1172</v>
      </c>
      <c r="B15" s="233" t="s">
        <v>1173</v>
      </c>
      <c r="C15" s="236" t="s">
        <v>179</v>
      </c>
      <c r="D15" s="233">
        <v>1993</v>
      </c>
      <c r="E15" s="233">
        <v>220</v>
      </c>
      <c r="L15" s="233" t="s">
        <v>122</v>
      </c>
    </row>
    <row r="16" spans="1:12">
      <c r="A16" s="233" t="s">
        <v>1174</v>
      </c>
      <c r="B16" s="233" t="s">
        <v>1175</v>
      </c>
      <c r="C16" s="236" t="s">
        <v>179</v>
      </c>
      <c r="D16" s="233">
        <v>1997</v>
      </c>
      <c r="E16" s="233">
        <v>125</v>
      </c>
      <c r="L16" s="233" t="s">
        <v>118</v>
      </c>
    </row>
    <row r="17" spans="1:12">
      <c r="A17" s="233" t="s">
        <v>1174</v>
      </c>
      <c r="B17" s="233" t="s">
        <v>1175</v>
      </c>
      <c r="C17" s="236" t="s">
        <v>179</v>
      </c>
      <c r="D17" s="233">
        <v>1998</v>
      </c>
      <c r="E17" s="233">
        <v>125</v>
      </c>
      <c r="L17" s="233" t="s">
        <v>118</v>
      </c>
    </row>
    <row r="18" spans="1:12">
      <c r="A18" s="233">
        <v>50</v>
      </c>
      <c r="B18" s="233" t="s">
        <v>1176</v>
      </c>
      <c r="C18" s="236" t="s">
        <v>179</v>
      </c>
      <c r="D18" s="233">
        <v>1999</v>
      </c>
      <c r="E18" s="233">
        <v>323.2</v>
      </c>
      <c r="F18" s="233">
        <v>15704</v>
      </c>
      <c r="G18" s="233">
        <v>486</v>
      </c>
      <c r="H18" s="233">
        <v>3.6</v>
      </c>
      <c r="I18" s="233">
        <v>309</v>
      </c>
      <c r="J18" s="233">
        <v>320</v>
      </c>
      <c r="L18" s="233" t="s">
        <v>102</v>
      </c>
    </row>
    <row r="19" spans="1:12">
      <c r="A19" s="233" t="s">
        <v>1177</v>
      </c>
      <c r="B19" s="233" t="s">
        <v>1178</v>
      </c>
      <c r="C19" s="236" t="s">
        <v>179</v>
      </c>
      <c r="D19" s="233">
        <v>2003</v>
      </c>
      <c r="E19" s="233">
        <v>180</v>
      </c>
      <c r="L19" s="233" t="s">
        <v>118</v>
      </c>
    </row>
    <row r="20" spans="1:12">
      <c r="A20" s="233" t="s">
        <v>1177</v>
      </c>
      <c r="B20" s="233" t="s">
        <v>1178</v>
      </c>
      <c r="C20" s="236" t="s">
        <v>179</v>
      </c>
      <c r="D20" s="233">
        <v>2003</v>
      </c>
      <c r="E20" s="233">
        <v>180</v>
      </c>
      <c r="L20" s="233" t="s">
        <v>118</v>
      </c>
    </row>
    <row r="21" spans="1:12">
      <c r="A21" s="233" t="s">
        <v>1177</v>
      </c>
      <c r="B21" s="233" t="s">
        <v>1178</v>
      </c>
      <c r="C21" s="236" t="s">
        <v>179</v>
      </c>
      <c r="D21" s="233">
        <v>2003</v>
      </c>
      <c r="E21" s="233">
        <v>180</v>
      </c>
      <c r="L21" s="233" t="s">
        <v>118</v>
      </c>
    </row>
    <row r="22" spans="1:12">
      <c r="A22" s="233" t="s">
        <v>1179</v>
      </c>
      <c r="B22" s="233" t="s">
        <v>1180</v>
      </c>
      <c r="C22" s="236" t="s">
        <v>179</v>
      </c>
      <c r="D22" s="233">
        <v>2003</v>
      </c>
      <c r="E22" s="233">
        <v>235</v>
      </c>
      <c r="L22" s="233" t="s">
        <v>118</v>
      </c>
    </row>
    <row r="23" spans="1:12">
      <c r="A23" s="233" t="s">
        <v>1181</v>
      </c>
      <c r="B23" s="233" t="s">
        <v>1182</v>
      </c>
      <c r="C23" s="236" t="s">
        <v>179</v>
      </c>
      <c r="D23" s="233">
        <v>2003</v>
      </c>
      <c r="E23" s="233">
        <v>180</v>
      </c>
      <c r="L23" s="233" t="s">
        <v>118</v>
      </c>
    </row>
    <row r="24" spans="1:12">
      <c r="A24" s="233" t="s">
        <v>1181</v>
      </c>
      <c r="B24" s="233" t="s">
        <v>1182</v>
      </c>
      <c r="C24" s="236" t="s">
        <v>179</v>
      </c>
      <c r="D24" s="233">
        <v>2003</v>
      </c>
      <c r="E24" s="233">
        <v>180</v>
      </c>
      <c r="L24" s="233" t="s">
        <v>118</v>
      </c>
    </row>
    <row r="25" spans="1:12">
      <c r="A25" s="233" t="s">
        <v>1183</v>
      </c>
      <c r="B25" s="233" t="s">
        <v>1184</v>
      </c>
      <c r="C25" s="236" t="s">
        <v>179</v>
      </c>
      <c r="D25" s="233">
        <v>2004</v>
      </c>
      <c r="E25" s="233">
        <v>180</v>
      </c>
      <c r="L25" s="233" t="s">
        <v>118</v>
      </c>
    </row>
    <row r="26" spans="1:12">
      <c r="A26" s="233" t="s">
        <v>1183</v>
      </c>
      <c r="B26" s="233" t="s">
        <v>1184</v>
      </c>
      <c r="C26" s="236" t="s">
        <v>179</v>
      </c>
      <c r="D26" s="233">
        <v>2004</v>
      </c>
      <c r="E26" s="233">
        <v>180</v>
      </c>
      <c r="L26" s="233" t="s">
        <v>118</v>
      </c>
    </row>
    <row r="27" spans="1:12">
      <c r="A27" s="233" t="s">
        <v>1179</v>
      </c>
      <c r="B27" s="233" t="s">
        <v>1180</v>
      </c>
      <c r="C27" s="236" t="s">
        <v>179</v>
      </c>
      <c r="D27" s="233">
        <v>2005</v>
      </c>
      <c r="E27" s="233">
        <v>360</v>
      </c>
      <c r="L27" s="233" t="s">
        <v>118</v>
      </c>
    </row>
    <row r="28" spans="1:12">
      <c r="A28" s="233" t="s">
        <v>1185</v>
      </c>
      <c r="B28" s="233" t="s">
        <v>1186</v>
      </c>
      <c r="C28" s="236" t="s">
        <v>179</v>
      </c>
      <c r="D28" s="233">
        <v>2005</v>
      </c>
      <c r="E28" s="233">
        <v>180</v>
      </c>
      <c r="L28" s="233" t="s">
        <v>118</v>
      </c>
    </row>
    <row r="29" spans="1:12">
      <c r="A29" s="233" t="s">
        <v>1185</v>
      </c>
      <c r="B29" s="233" t="s">
        <v>1186</v>
      </c>
      <c r="C29" s="236" t="s">
        <v>179</v>
      </c>
      <c r="D29" s="233">
        <v>2005</v>
      </c>
      <c r="E29" s="233">
        <v>180</v>
      </c>
      <c r="L29" s="233" t="s">
        <v>118</v>
      </c>
    </row>
    <row r="30" spans="1:12">
      <c r="A30" s="233" t="s">
        <v>1187</v>
      </c>
      <c r="B30" s="233" t="s">
        <v>1188</v>
      </c>
      <c r="C30" s="236" t="s">
        <v>179</v>
      </c>
      <c r="D30" s="233">
        <v>2005</v>
      </c>
      <c r="E30" s="233">
        <v>180</v>
      </c>
      <c r="L30" s="233" t="s">
        <v>118</v>
      </c>
    </row>
    <row r="31" spans="1:12">
      <c r="A31" s="233" t="s">
        <v>1187</v>
      </c>
      <c r="B31" s="233" t="s">
        <v>1188</v>
      </c>
      <c r="C31" s="236" t="s">
        <v>179</v>
      </c>
      <c r="D31" s="233">
        <v>2005</v>
      </c>
      <c r="E31" s="233">
        <v>60</v>
      </c>
      <c r="L31" s="233" t="s">
        <v>118</v>
      </c>
    </row>
    <row r="32" spans="1:12">
      <c r="A32" s="233" t="s">
        <v>1187</v>
      </c>
      <c r="B32" s="233" t="s">
        <v>1188</v>
      </c>
      <c r="C32" s="236" t="s">
        <v>179</v>
      </c>
      <c r="D32" s="233">
        <v>2005</v>
      </c>
      <c r="E32" s="233">
        <v>60</v>
      </c>
      <c r="L32" s="233" t="s">
        <v>118</v>
      </c>
    </row>
    <row r="33" spans="1:12">
      <c r="A33" s="233" t="s">
        <v>1189</v>
      </c>
      <c r="B33" s="233" t="s">
        <v>1190</v>
      </c>
      <c r="C33" s="236" t="s">
        <v>179</v>
      </c>
      <c r="D33" s="233">
        <v>2005</v>
      </c>
      <c r="E33" s="233">
        <v>180</v>
      </c>
      <c r="L33" s="233" t="s">
        <v>118</v>
      </c>
    </row>
    <row r="34" spans="1:12">
      <c r="A34" s="233" t="s">
        <v>1191</v>
      </c>
      <c r="B34" s="233" t="s">
        <v>1192</v>
      </c>
      <c r="C34" s="236" t="s">
        <v>179</v>
      </c>
      <c r="D34" s="233">
        <v>2005</v>
      </c>
      <c r="E34" s="233">
        <v>50</v>
      </c>
      <c r="L34" s="233" t="s">
        <v>122</v>
      </c>
    </row>
    <row r="35" spans="1:12">
      <c r="A35" s="233" t="s">
        <v>1191</v>
      </c>
      <c r="B35" s="233" t="s">
        <v>1192</v>
      </c>
      <c r="C35" s="236" t="s">
        <v>179</v>
      </c>
      <c r="D35" s="233">
        <v>2005</v>
      </c>
      <c r="E35" s="233">
        <v>50</v>
      </c>
      <c r="L35" s="233" t="s">
        <v>122</v>
      </c>
    </row>
    <row r="36" s="233" customFormat="1" spans="1:12">
      <c r="A36" s="233" t="s">
        <v>1191</v>
      </c>
      <c r="B36" s="233" t="s">
        <v>1192</v>
      </c>
      <c r="C36" s="236" t="s">
        <v>179</v>
      </c>
      <c r="D36" s="233">
        <v>2005</v>
      </c>
      <c r="E36" s="233">
        <v>50</v>
      </c>
      <c r="L36" s="233" t="s">
        <v>122</v>
      </c>
    </row>
    <row r="37" spans="1:12">
      <c r="A37" s="233">
        <v>18</v>
      </c>
      <c r="B37" s="237" t="s">
        <v>1193</v>
      </c>
      <c r="C37" s="236" t="s">
        <v>179</v>
      </c>
      <c r="D37" s="233">
        <v>2005</v>
      </c>
      <c r="E37" s="233">
        <v>780</v>
      </c>
      <c r="F37" s="233">
        <v>192791</v>
      </c>
      <c r="G37" s="233">
        <v>2472</v>
      </c>
      <c r="H37" s="233">
        <v>2.4</v>
      </c>
      <c r="I37" s="233">
        <v>227</v>
      </c>
      <c r="J37" s="233">
        <v>233</v>
      </c>
      <c r="L37" s="233" t="s">
        <v>100</v>
      </c>
    </row>
    <row r="38" spans="1:12">
      <c r="A38" s="233">
        <v>19</v>
      </c>
      <c r="B38" s="237" t="s">
        <v>1194</v>
      </c>
      <c r="C38" s="236" t="s">
        <v>179</v>
      </c>
      <c r="D38" s="233">
        <v>2005</v>
      </c>
      <c r="E38" s="233">
        <v>780</v>
      </c>
      <c r="F38" s="233">
        <v>245380</v>
      </c>
      <c r="G38" s="233">
        <v>3146</v>
      </c>
      <c r="H38" s="233">
        <v>1.7</v>
      </c>
      <c r="I38" s="233">
        <v>225</v>
      </c>
      <c r="J38" s="233">
        <v>229</v>
      </c>
      <c r="L38" s="233" t="s">
        <v>100</v>
      </c>
    </row>
    <row r="39" spans="1:12">
      <c r="A39" s="233">
        <v>21</v>
      </c>
      <c r="B39" s="233" t="s">
        <v>1195</v>
      </c>
      <c r="C39" s="236" t="s">
        <v>179</v>
      </c>
      <c r="D39" s="233">
        <v>2005</v>
      </c>
      <c r="E39" s="233">
        <v>390</v>
      </c>
      <c r="F39" s="233">
        <v>221962</v>
      </c>
      <c r="G39" s="233">
        <v>2846</v>
      </c>
      <c r="H39" s="233">
        <v>2.2</v>
      </c>
      <c r="I39" s="233">
        <v>228</v>
      </c>
      <c r="J39" s="233">
        <v>233</v>
      </c>
      <c r="L39" s="233" t="s">
        <v>100</v>
      </c>
    </row>
    <row r="40" spans="1:12">
      <c r="A40" s="233">
        <v>22</v>
      </c>
      <c r="B40" s="233" t="s">
        <v>1196</v>
      </c>
      <c r="C40" s="236" t="s">
        <v>179</v>
      </c>
      <c r="D40" s="233">
        <v>2005</v>
      </c>
      <c r="E40" s="233">
        <v>360</v>
      </c>
      <c r="F40" s="233">
        <v>188633</v>
      </c>
      <c r="G40" s="233">
        <v>5240</v>
      </c>
      <c r="H40" s="233">
        <v>1.7</v>
      </c>
      <c r="I40" s="233">
        <v>285</v>
      </c>
      <c r="J40" s="233">
        <v>290</v>
      </c>
      <c r="L40" s="233" t="s">
        <v>100</v>
      </c>
    </row>
    <row r="41" spans="1:12">
      <c r="A41" s="233">
        <v>37</v>
      </c>
      <c r="B41" s="237" t="s">
        <v>1197</v>
      </c>
      <c r="C41" s="236" t="s">
        <v>179</v>
      </c>
      <c r="D41" s="233">
        <v>2005</v>
      </c>
      <c r="E41" s="233">
        <v>360</v>
      </c>
      <c r="F41" s="233">
        <v>17052</v>
      </c>
      <c r="G41" s="233">
        <v>237</v>
      </c>
      <c r="H41" s="233">
        <v>2.9</v>
      </c>
      <c r="I41" s="233">
        <v>298</v>
      </c>
      <c r="J41" s="233">
        <v>307</v>
      </c>
      <c r="L41" s="233" t="s">
        <v>98</v>
      </c>
    </row>
    <row r="42" spans="1:12">
      <c r="A42" s="233">
        <v>46</v>
      </c>
      <c r="B42" s="233" t="s">
        <v>1198</v>
      </c>
      <c r="C42" s="236" t="s">
        <v>179</v>
      </c>
      <c r="D42" s="233">
        <v>2005</v>
      </c>
      <c r="E42" s="233">
        <v>1170</v>
      </c>
      <c r="F42" s="233">
        <v>305230</v>
      </c>
      <c r="G42" s="233">
        <v>2609</v>
      </c>
      <c r="H42" s="233">
        <v>2.2</v>
      </c>
      <c r="I42" s="233">
        <v>228</v>
      </c>
      <c r="J42" s="233">
        <v>233</v>
      </c>
      <c r="L42" s="233" t="s">
        <v>102</v>
      </c>
    </row>
    <row r="43" spans="1:12">
      <c r="A43" s="233">
        <v>51</v>
      </c>
      <c r="B43" s="233" t="s">
        <v>1199</v>
      </c>
      <c r="C43" s="236" t="s">
        <v>179</v>
      </c>
      <c r="D43" s="233">
        <v>2005</v>
      </c>
      <c r="E43" s="233">
        <v>285</v>
      </c>
      <c r="F43" s="233">
        <v>16302</v>
      </c>
      <c r="G43" s="233">
        <v>572</v>
      </c>
      <c r="H43" s="233">
        <v>4.4</v>
      </c>
      <c r="I43" s="233">
        <v>297</v>
      </c>
      <c r="J43" s="233">
        <v>311</v>
      </c>
      <c r="L43" s="233" t="s">
        <v>102</v>
      </c>
    </row>
    <row r="44" spans="1:12">
      <c r="A44" s="233">
        <v>52</v>
      </c>
      <c r="B44" s="233" t="s">
        <v>1200</v>
      </c>
      <c r="C44" s="236" t="s">
        <v>179</v>
      </c>
      <c r="D44" s="233">
        <v>2005</v>
      </c>
      <c r="E44" s="233">
        <v>112</v>
      </c>
      <c r="F44" s="233">
        <v>29193</v>
      </c>
      <c r="G44" s="233">
        <v>2607</v>
      </c>
      <c r="H44" s="233">
        <v>2.2</v>
      </c>
      <c r="I44" s="233">
        <v>272</v>
      </c>
      <c r="J44" s="233">
        <v>279</v>
      </c>
      <c r="L44" s="233" t="s">
        <v>102</v>
      </c>
    </row>
    <row r="45" spans="1:12">
      <c r="A45" s="233">
        <v>2</v>
      </c>
      <c r="B45" s="233" t="s">
        <v>1201</v>
      </c>
      <c r="C45" s="236" t="s">
        <v>179</v>
      </c>
      <c r="D45" s="233">
        <v>2006</v>
      </c>
      <c r="E45" s="233">
        <v>410</v>
      </c>
      <c r="F45" s="233">
        <v>169450</v>
      </c>
      <c r="G45" s="233">
        <v>4133</v>
      </c>
      <c r="H45" s="233">
        <v>1.8</v>
      </c>
      <c r="I45" s="233">
        <v>212</v>
      </c>
      <c r="J45" s="233">
        <v>216</v>
      </c>
      <c r="L45" s="233" t="s">
        <v>82</v>
      </c>
    </row>
    <row r="46" spans="1:12">
      <c r="A46" s="233">
        <v>3</v>
      </c>
      <c r="B46" s="233" t="s">
        <v>1202</v>
      </c>
      <c r="C46" s="236" t="s">
        <v>179</v>
      </c>
      <c r="D46" s="233">
        <v>2006</v>
      </c>
      <c r="E46" s="233">
        <v>150</v>
      </c>
      <c r="F46" s="233">
        <v>69744</v>
      </c>
      <c r="G46" s="233">
        <v>4650</v>
      </c>
      <c r="H46" s="233">
        <v>1.4</v>
      </c>
      <c r="I46" s="233">
        <v>235</v>
      </c>
      <c r="J46" s="233">
        <v>239</v>
      </c>
      <c r="L46" s="233" t="s">
        <v>82</v>
      </c>
    </row>
    <row r="47" spans="1:12">
      <c r="A47" s="233" t="s">
        <v>1203</v>
      </c>
      <c r="B47" s="233" t="s">
        <v>1204</v>
      </c>
      <c r="C47" s="236" t="s">
        <v>179</v>
      </c>
      <c r="D47" s="233">
        <v>2006</v>
      </c>
      <c r="E47" s="233">
        <v>390</v>
      </c>
      <c r="L47" s="233" t="s">
        <v>118</v>
      </c>
    </row>
    <row r="48" spans="1:12">
      <c r="A48" s="233" t="s">
        <v>1205</v>
      </c>
      <c r="B48" s="233" t="s">
        <v>1206</v>
      </c>
      <c r="C48" s="236" t="s">
        <v>179</v>
      </c>
      <c r="D48" s="233">
        <v>2006</v>
      </c>
      <c r="E48" s="233">
        <v>390</v>
      </c>
      <c r="L48" s="233" t="s">
        <v>118</v>
      </c>
    </row>
    <row r="49" spans="1:12">
      <c r="A49" s="233" t="s">
        <v>1207</v>
      </c>
      <c r="B49" s="233" t="s">
        <v>1208</v>
      </c>
      <c r="C49" s="236" t="s">
        <v>179</v>
      </c>
      <c r="D49" s="233">
        <v>2006</v>
      </c>
      <c r="E49" s="233">
        <v>390</v>
      </c>
      <c r="L49" s="233" t="s">
        <v>118</v>
      </c>
    </row>
    <row r="50" spans="1:12">
      <c r="A50" s="233" t="s">
        <v>1209</v>
      </c>
      <c r="B50" s="233" t="s">
        <v>1210</v>
      </c>
      <c r="C50" s="236" t="s">
        <v>179</v>
      </c>
      <c r="D50" s="233">
        <v>2006</v>
      </c>
      <c r="E50" s="233">
        <v>180</v>
      </c>
      <c r="L50" s="233" t="s">
        <v>118</v>
      </c>
    </row>
    <row r="51" spans="1:12">
      <c r="A51" s="233" t="s">
        <v>1209</v>
      </c>
      <c r="B51" s="233" t="s">
        <v>1210</v>
      </c>
      <c r="C51" s="236" t="s">
        <v>179</v>
      </c>
      <c r="D51" s="233">
        <v>2006</v>
      </c>
      <c r="E51" s="233">
        <v>180</v>
      </c>
      <c r="L51" s="233" t="s">
        <v>118</v>
      </c>
    </row>
    <row r="52" spans="1:12">
      <c r="A52" s="233" t="s">
        <v>1211</v>
      </c>
      <c r="B52" s="233" t="s">
        <v>1212</v>
      </c>
      <c r="C52" s="236" t="s">
        <v>179</v>
      </c>
      <c r="D52" s="233">
        <v>2006</v>
      </c>
      <c r="E52" s="233">
        <v>180</v>
      </c>
      <c r="L52" s="233" t="s">
        <v>118</v>
      </c>
    </row>
    <row r="53" spans="1:12">
      <c r="A53" s="233" t="s">
        <v>1211</v>
      </c>
      <c r="B53" s="233" t="s">
        <v>1212</v>
      </c>
      <c r="C53" s="236" t="s">
        <v>179</v>
      </c>
      <c r="D53" s="233">
        <v>2006</v>
      </c>
      <c r="E53" s="233">
        <v>180</v>
      </c>
      <c r="L53" s="233" t="s">
        <v>118</v>
      </c>
    </row>
    <row r="54" spans="1:12">
      <c r="A54" s="233" t="s">
        <v>1213</v>
      </c>
      <c r="B54" s="233" t="s">
        <v>1214</v>
      </c>
      <c r="C54" s="236" t="s">
        <v>179</v>
      </c>
      <c r="D54" s="233">
        <v>2006</v>
      </c>
      <c r="E54" s="233">
        <v>180</v>
      </c>
      <c r="L54" s="233" t="s">
        <v>118</v>
      </c>
    </row>
    <row r="55" spans="1:12">
      <c r="A55" s="233" t="s">
        <v>1213</v>
      </c>
      <c r="B55" s="233" t="s">
        <v>1214</v>
      </c>
      <c r="C55" s="236" t="s">
        <v>179</v>
      </c>
      <c r="D55" s="233">
        <v>2006</v>
      </c>
      <c r="E55" s="233">
        <v>180</v>
      </c>
      <c r="L55" s="233" t="s">
        <v>118</v>
      </c>
    </row>
    <row r="56" spans="1:12">
      <c r="A56" s="233">
        <v>20</v>
      </c>
      <c r="B56" s="237" t="s">
        <v>1194</v>
      </c>
      <c r="C56" s="236" t="s">
        <v>179</v>
      </c>
      <c r="D56" s="233">
        <v>2006</v>
      </c>
      <c r="E56" s="233">
        <v>390</v>
      </c>
      <c r="F56" s="233">
        <v>245380</v>
      </c>
      <c r="G56" s="233">
        <v>3146</v>
      </c>
      <c r="H56" s="233">
        <v>1.7</v>
      </c>
      <c r="I56" s="233">
        <v>225</v>
      </c>
      <c r="J56" s="233">
        <v>229</v>
      </c>
      <c r="L56" s="233" t="s">
        <v>100</v>
      </c>
    </row>
    <row r="57" spans="1:12">
      <c r="A57" s="233">
        <v>56</v>
      </c>
      <c r="B57" s="233" t="s">
        <v>1215</v>
      </c>
      <c r="C57" s="236" t="s">
        <v>179</v>
      </c>
      <c r="D57" s="233">
        <v>2006</v>
      </c>
      <c r="E57" s="233">
        <v>270</v>
      </c>
      <c r="L57" s="235" t="s">
        <v>90</v>
      </c>
    </row>
    <row r="58" spans="1:12">
      <c r="A58" s="233">
        <v>57</v>
      </c>
      <c r="B58" s="233" t="s">
        <v>1215</v>
      </c>
      <c r="C58" s="236" t="s">
        <v>179</v>
      </c>
      <c r="D58" s="233">
        <v>2006</v>
      </c>
      <c r="E58" s="233">
        <v>120</v>
      </c>
      <c r="L58" s="235" t="s">
        <v>90</v>
      </c>
    </row>
    <row r="59" spans="1:12">
      <c r="A59" s="233">
        <v>35</v>
      </c>
      <c r="B59" s="237" t="s">
        <v>1216</v>
      </c>
      <c r="C59" s="236" t="s">
        <v>179</v>
      </c>
      <c r="D59" s="233">
        <v>2006</v>
      </c>
      <c r="E59" s="233">
        <v>658</v>
      </c>
      <c r="F59" s="233">
        <v>177536</v>
      </c>
      <c r="G59" s="233">
        <v>2715</v>
      </c>
      <c r="H59" s="233">
        <v>2.4</v>
      </c>
      <c r="I59" s="233">
        <v>216</v>
      </c>
      <c r="J59" s="233">
        <v>221</v>
      </c>
      <c r="L59" s="233" t="s">
        <v>98</v>
      </c>
    </row>
    <row r="60" spans="1:12">
      <c r="A60" s="233">
        <v>38</v>
      </c>
      <c r="B60" s="237" t="s">
        <v>1197</v>
      </c>
      <c r="C60" s="236" t="s">
        <v>179</v>
      </c>
      <c r="D60" s="233">
        <v>2006</v>
      </c>
      <c r="E60" s="233">
        <v>360</v>
      </c>
      <c r="F60" s="233">
        <v>17052</v>
      </c>
      <c r="G60" s="233">
        <v>237</v>
      </c>
      <c r="H60" s="233">
        <v>2.9</v>
      </c>
      <c r="I60" s="233">
        <v>298</v>
      </c>
      <c r="J60" s="233">
        <v>307</v>
      </c>
      <c r="L60" s="233" t="s">
        <v>98</v>
      </c>
    </row>
    <row r="61" spans="1:12">
      <c r="A61" s="233">
        <v>53</v>
      </c>
      <c r="B61" s="233" t="s">
        <v>1217</v>
      </c>
      <c r="C61" s="236" t="s">
        <v>179</v>
      </c>
      <c r="D61" s="233">
        <v>2006</v>
      </c>
      <c r="E61" s="233">
        <v>112</v>
      </c>
      <c r="F61" s="233">
        <v>24361</v>
      </c>
      <c r="G61" s="233">
        <v>2175</v>
      </c>
      <c r="H61" s="233">
        <v>2.4</v>
      </c>
      <c r="I61" s="233">
        <v>275</v>
      </c>
      <c r="J61" s="233">
        <v>284</v>
      </c>
      <c r="L61" s="233" t="s">
        <v>102</v>
      </c>
    </row>
    <row r="62" spans="1:12">
      <c r="A62" s="233">
        <v>54</v>
      </c>
      <c r="B62" s="233" t="s">
        <v>1218</v>
      </c>
      <c r="C62" s="236" t="s">
        <v>179</v>
      </c>
      <c r="D62" s="233">
        <v>2006</v>
      </c>
      <c r="E62" s="233">
        <v>75</v>
      </c>
      <c r="F62" s="233">
        <v>13858</v>
      </c>
      <c r="G62" s="233">
        <v>1848</v>
      </c>
      <c r="H62" s="233">
        <v>1.5</v>
      </c>
      <c r="I62" s="233">
        <v>256</v>
      </c>
      <c r="J62" s="233">
        <v>259</v>
      </c>
      <c r="L62" s="233" t="s">
        <v>102</v>
      </c>
    </row>
    <row r="63" spans="1:12">
      <c r="A63" s="233" t="s">
        <v>1203</v>
      </c>
      <c r="B63" s="233" t="s">
        <v>1204</v>
      </c>
      <c r="C63" s="236" t="s">
        <v>179</v>
      </c>
      <c r="D63" s="233">
        <v>2007</v>
      </c>
      <c r="E63" s="233">
        <v>390</v>
      </c>
      <c r="L63" s="233" t="s">
        <v>118</v>
      </c>
    </row>
    <row r="64" spans="1:12">
      <c r="A64" s="233" t="s">
        <v>1219</v>
      </c>
      <c r="B64" s="233" t="s">
        <v>1220</v>
      </c>
      <c r="C64" s="236" t="s">
        <v>179</v>
      </c>
      <c r="D64" s="233">
        <v>2007</v>
      </c>
      <c r="E64" s="233">
        <v>180</v>
      </c>
      <c r="L64" s="233" t="s">
        <v>118</v>
      </c>
    </row>
    <row r="65" spans="1:12">
      <c r="A65" s="233" t="s">
        <v>1205</v>
      </c>
      <c r="B65" s="233" t="s">
        <v>1206</v>
      </c>
      <c r="C65" s="236" t="s">
        <v>179</v>
      </c>
      <c r="D65" s="233">
        <v>2007</v>
      </c>
      <c r="E65" s="233">
        <v>390</v>
      </c>
      <c r="L65" s="233" t="s">
        <v>118</v>
      </c>
    </row>
    <row r="66" spans="1:12">
      <c r="A66" s="233" t="s">
        <v>1205</v>
      </c>
      <c r="B66" s="233" t="s">
        <v>1206</v>
      </c>
      <c r="C66" s="236" t="s">
        <v>179</v>
      </c>
      <c r="D66" s="233">
        <v>2007</v>
      </c>
      <c r="E66" s="233">
        <v>390</v>
      </c>
      <c r="L66" s="233" t="s">
        <v>118</v>
      </c>
    </row>
    <row r="67" spans="1:12">
      <c r="A67" s="233" t="s">
        <v>1207</v>
      </c>
      <c r="B67" s="233" t="s">
        <v>1208</v>
      </c>
      <c r="C67" s="236" t="s">
        <v>179</v>
      </c>
      <c r="D67" s="233">
        <v>2007</v>
      </c>
      <c r="E67" s="233">
        <v>390</v>
      </c>
      <c r="L67" s="233" t="s">
        <v>118</v>
      </c>
    </row>
    <row r="68" spans="1:12">
      <c r="A68" s="233" t="s">
        <v>1207</v>
      </c>
      <c r="B68" s="233" t="s">
        <v>1208</v>
      </c>
      <c r="C68" s="236" t="s">
        <v>179</v>
      </c>
      <c r="D68" s="233">
        <v>2007</v>
      </c>
      <c r="E68" s="233">
        <v>390</v>
      </c>
      <c r="L68" s="233" t="s">
        <v>118</v>
      </c>
    </row>
    <row r="69" spans="1:12">
      <c r="A69" s="233" t="s">
        <v>1221</v>
      </c>
      <c r="B69" s="237" t="s">
        <v>1222</v>
      </c>
      <c r="C69" s="236" t="s">
        <v>179</v>
      </c>
      <c r="D69" s="233">
        <v>2007</v>
      </c>
      <c r="E69" s="233">
        <v>390</v>
      </c>
      <c r="L69" s="233" t="s">
        <v>118</v>
      </c>
    </row>
    <row r="70" spans="1:12">
      <c r="A70" s="233" t="s">
        <v>1221</v>
      </c>
      <c r="B70" s="237" t="s">
        <v>1222</v>
      </c>
      <c r="C70" s="236" t="s">
        <v>179</v>
      </c>
      <c r="D70" s="233">
        <v>2007</v>
      </c>
      <c r="E70" s="233">
        <v>390</v>
      </c>
      <c r="L70" s="233" t="s">
        <v>118</v>
      </c>
    </row>
    <row r="71" spans="1:12">
      <c r="A71" s="233" t="s">
        <v>1221</v>
      </c>
      <c r="B71" s="237" t="s">
        <v>1222</v>
      </c>
      <c r="C71" s="236" t="s">
        <v>179</v>
      </c>
      <c r="D71" s="233">
        <v>2007</v>
      </c>
      <c r="E71" s="233">
        <v>390</v>
      </c>
      <c r="L71" s="233" t="s">
        <v>118</v>
      </c>
    </row>
    <row r="72" spans="1:12">
      <c r="A72" s="233">
        <v>23</v>
      </c>
      <c r="B72" s="233" t="s">
        <v>1223</v>
      </c>
      <c r="C72" s="236" t="s">
        <v>179</v>
      </c>
      <c r="D72" s="233">
        <v>2007</v>
      </c>
      <c r="E72" s="233">
        <v>780</v>
      </c>
      <c r="L72" s="233" t="s">
        <v>100</v>
      </c>
    </row>
    <row r="73" spans="1:12">
      <c r="A73" s="233">
        <v>48</v>
      </c>
      <c r="B73" s="233" t="s">
        <v>1224</v>
      </c>
      <c r="C73" s="236" t="s">
        <v>179</v>
      </c>
      <c r="D73" s="233">
        <v>2007</v>
      </c>
      <c r="E73" s="233">
        <v>789.22</v>
      </c>
      <c r="F73" s="233">
        <v>18093</v>
      </c>
      <c r="G73" s="233">
        <v>229</v>
      </c>
      <c r="H73" s="233">
        <v>2.7</v>
      </c>
      <c r="I73" s="233">
        <v>232</v>
      </c>
      <c r="J73" s="233">
        <v>239</v>
      </c>
      <c r="L73" s="233" t="s">
        <v>102</v>
      </c>
    </row>
    <row r="74" spans="1:12">
      <c r="A74" s="233">
        <v>49</v>
      </c>
      <c r="B74" s="233" t="s">
        <v>1225</v>
      </c>
      <c r="C74" s="236" t="s">
        <v>179</v>
      </c>
      <c r="D74" s="233">
        <v>2007</v>
      </c>
      <c r="E74" s="233">
        <v>787.6</v>
      </c>
      <c r="F74" s="233">
        <v>29717</v>
      </c>
      <c r="G74" s="233">
        <v>377</v>
      </c>
      <c r="H74" s="233">
        <v>2.5</v>
      </c>
      <c r="I74" s="233">
        <v>229</v>
      </c>
      <c r="J74" s="233">
        <v>235</v>
      </c>
      <c r="L74" s="233" t="s">
        <v>102</v>
      </c>
    </row>
    <row r="75" spans="1:12">
      <c r="A75" s="233">
        <v>12</v>
      </c>
      <c r="B75" s="233" t="s">
        <v>1226</v>
      </c>
      <c r="C75" s="236" t="s">
        <v>179</v>
      </c>
      <c r="D75" s="233">
        <v>2007</v>
      </c>
      <c r="E75" s="233">
        <v>780</v>
      </c>
      <c r="F75" s="233">
        <v>181595</v>
      </c>
      <c r="G75" s="233">
        <v>2328</v>
      </c>
      <c r="H75" s="233">
        <v>1.9</v>
      </c>
      <c r="I75" s="233">
        <v>224</v>
      </c>
      <c r="J75" s="233">
        <v>228</v>
      </c>
      <c r="L75" s="233" t="s">
        <v>112</v>
      </c>
    </row>
    <row r="76" spans="1:12">
      <c r="A76" s="233">
        <v>13</v>
      </c>
      <c r="B76" s="233" t="s">
        <v>1227</v>
      </c>
      <c r="C76" s="236" t="s">
        <v>179</v>
      </c>
      <c r="D76" s="233">
        <v>2007</v>
      </c>
      <c r="E76" s="233">
        <v>780</v>
      </c>
      <c r="F76" s="233">
        <v>210551</v>
      </c>
      <c r="G76" s="233">
        <v>2699</v>
      </c>
      <c r="H76" s="233">
        <v>1.9</v>
      </c>
      <c r="I76" s="233">
        <v>228</v>
      </c>
      <c r="J76" s="233">
        <v>232</v>
      </c>
      <c r="L76" s="233" t="s">
        <v>112</v>
      </c>
    </row>
    <row r="77" spans="1:12">
      <c r="A77" s="233">
        <v>58</v>
      </c>
      <c r="B77" s="233" t="s">
        <v>1228</v>
      </c>
      <c r="C77" s="236" t="s">
        <v>179</v>
      </c>
      <c r="D77" s="233">
        <v>2007</v>
      </c>
      <c r="E77" s="233">
        <v>30</v>
      </c>
      <c r="L77" s="235" t="s">
        <v>90</v>
      </c>
    </row>
    <row r="78" spans="1:12">
      <c r="A78" s="233">
        <v>59</v>
      </c>
      <c r="B78" s="233" t="s">
        <v>1228</v>
      </c>
      <c r="C78" s="236" t="s">
        <v>179</v>
      </c>
      <c r="D78" s="233">
        <v>2007</v>
      </c>
      <c r="E78" s="233">
        <v>25</v>
      </c>
      <c r="L78" s="235" t="s">
        <v>90</v>
      </c>
    </row>
    <row r="79" spans="1:12">
      <c r="A79" s="233">
        <v>1</v>
      </c>
      <c r="B79" s="233" t="s">
        <v>1229</v>
      </c>
      <c r="C79" s="236" t="s">
        <v>179</v>
      </c>
      <c r="D79" s="233">
        <v>2008</v>
      </c>
      <c r="E79" s="233">
        <v>780</v>
      </c>
      <c r="F79" s="233">
        <v>216035</v>
      </c>
      <c r="G79" s="233">
        <v>4013</v>
      </c>
      <c r="H79" s="233">
        <v>3</v>
      </c>
      <c r="I79" s="233">
        <v>219</v>
      </c>
      <c r="J79" s="233">
        <v>226</v>
      </c>
      <c r="L79" s="233" t="s">
        <v>82</v>
      </c>
    </row>
    <row r="80" spans="1:12">
      <c r="A80" s="233">
        <v>47</v>
      </c>
      <c r="B80" s="233" t="s">
        <v>1230</v>
      </c>
      <c r="C80" s="236" t="s">
        <v>179</v>
      </c>
      <c r="D80" s="233">
        <v>2008</v>
      </c>
      <c r="E80" s="233">
        <v>804.91</v>
      </c>
      <c r="F80" s="233">
        <v>7378</v>
      </c>
      <c r="G80" s="233">
        <v>92</v>
      </c>
      <c r="H80" s="233">
        <v>7</v>
      </c>
      <c r="I80" s="233">
        <v>246</v>
      </c>
      <c r="J80" s="233">
        <v>264</v>
      </c>
      <c r="L80" s="233" t="s">
        <v>102</v>
      </c>
    </row>
    <row r="81" spans="1:12">
      <c r="A81" s="233">
        <v>4</v>
      </c>
      <c r="B81" s="233" t="s">
        <v>1231</v>
      </c>
      <c r="C81" s="236" t="s">
        <v>179</v>
      </c>
      <c r="D81" s="233">
        <v>2009</v>
      </c>
      <c r="E81" s="233">
        <v>119.98</v>
      </c>
      <c r="F81" s="233">
        <v>46026</v>
      </c>
      <c r="G81" s="233">
        <v>5390</v>
      </c>
      <c r="H81" s="233">
        <v>3.5</v>
      </c>
      <c r="I81" s="233">
        <v>287</v>
      </c>
      <c r="J81" s="233">
        <v>298</v>
      </c>
      <c r="L81" s="233" t="s">
        <v>82</v>
      </c>
    </row>
    <row r="82" spans="1:12">
      <c r="A82" s="233">
        <v>60</v>
      </c>
      <c r="B82" s="233" t="s">
        <v>1232</v>
      </c>
      <c r="C82" s="236" t="s">
        <v>179</v>
      </c>
      <c r="D82" s="233">
        <v>2009</v>
      </c>
      <c r="E82" s="233">
        <v>10</v>
      </c>
      <c r="L82" s="235" t="s">
        <v>90</v>
      </c>
    </row>
    <row r="83" spans="1:12">
      <c r="C83" s="236"/>
      <c r="L83" s="235"/>
    </row>
    <row r="84" spans="1:12">
      <c r="A84" s="233">
        <v>10</v>
      </c>
      <c r="B84" s="233" t="s">
        <v>1233</v>
      </c>
      <c r="C84" s="120" t="s">
        <v>180</v>
      </c>
      <c r="D84" s="238"/>
      <c r="E84" s="233">
        <v>9</v>
      </c>
      <c r="F84" s="233">
        <v>8816</v>
      </c>
      <c r="G84" s="233">
        <v>9796</v>
      </c>
      <c r="H84" s="233">
        <v>8.8</v>
      </c>
      <c r="I84" s="233">
        <v>286</v>
      </c>
      <c r="J84" s="233">
        <v>314</v>
      </c>
      <c r="L84" s="233" t="s">
        <v>86</v>
      </c>
    </row>
    <row r="85" spans="1:12">
      <c r="A85" s="233">
        <v>40</v>
      </c>
      <c r="B85" s="233" t="s">
        <v>1234</v>
      </c>
      <c r="C85" s="120" t="s">
        <v>180</v>
      </c>
      <c r="D85" s="238"/>
      <c r="E85" s="233">
        <v>9</v>
      </c>
      <c r="F85" s="233">
        <v>1163</v>
      </c>
      <c r="G85" s="233">
        <v>1292</v>
      </c>
      <c r="L85" s="233" t="s">
        <v>98</v>
      </c>
    </row>
    <row r="86" spans="1:12">
      <c r="A86" s="233">
        <v>8</v>
      </c>
      <c r="B86" s="233" t="s">
        <v>1235</v>
      </c>
      <c r="C86" s="120" t="s">
        <v>180</v>
      </c>
      <c r="D86" s="238"/>
      <c r="E86" s="233">
        <v>15</v>
      </c>
      <c r="F86" s="233">
        <v>5458</v>
      </c>
      <c r="G86" s="233">
        <v>3638</v>
      </c>
      <c r="H86" s="233">
        <v>12.5</v>
      </c>
      <c r="I86" s="233">
        <v>429</v>
      </c>
      <c r="J86" s="233">
        <v>490</v>
      </c>
      <c r="L86" s="233" t="s">
        <v>86</v>
      </c>
    </row>
    <row r="87" spans="1:12">
      <c r="A87" s="233">
        <v>44</v>
      </c>
      <c r="B87" s="233" t="s">
        <v>1236</v>
      </c>
      <c r="C87" s="120" t="s">
        <v>180</v>
      </c>
      <c r="D87" s="238"/>
      <c r="E87" s="233">
        <v>6</v>
      </c>
      <c r="F87" s="233">
        <v>1214</v>
      </c>
      <c r="G87" s="233">
        <v>2023</v>
      </c>
      <c r="H87" s="233">
        <v>10</v>
      </c>
      <c r="L87" s="233" t="s">
        <v>84</v>
      </c>
    </row>
    <row r="88" spans="1:12">
      <c r="A88" s="233">
        <v>9</v>
      </c>
      <c r="B88" s="233" t="s">
        <v>1237</v>
      </c>
      <c r="C88" s="120" t="s">
        <v>180</v>
      </c>
      <c r="D88" s="238"/>
      <c r="E88" s="233">
        <v>15</v>
      </c>
      <c r="F88" s="233">
        <v>5096</v>
      </c>
      <c r="G88" s="233">
        <v>3397</v>
      </c>
      <c r="H88" s="233">
        <v>12.5</v>
      </c>
      <c r="L88" s="233" t="s">
        <v>86</v>
      </c>
    </row>
    <row r="89" spans="1:12">
      <c r="A89" s="233">
        <v>30</v>
      </c>
      <c r="B89" s="233" t="s">
        <v>1238</v>
      </c>
      <c r="C89" s="120" t="s">
        <v>180</v>
      </c>
      <c r="D89" s="238"/>
      <c r="E89" s="233">
        <v>120</v>
      </c>
      <c r="F89" s="233">
        <v>66641</v>
      </c>
      <c r="G89" s="233">
        <v>5553</v>
      </c>
      <c r="L89" s="233" t="s">
        <v>88</v>
      </c>
    </row>
    <row r="90" spans="1:12">
      <c r="A90" s="233">
        <v>31</v>
      </c>
      <c r="B90" s="233" t="s">
        <v>1239</v>
      </c>
      <c r="C90" s="120" t="s">
        <v>180</v>
      </c>
      <c r="D90" s="238"/>
      <c r="E90" s="233">
        <v>12.176</v>
      </c>
      <c r="F90" s="233">
        <v>8248</v>
      </c>
      <c r="G90" s="233">
        <v>6774</v>
      </c>
      <c r="H90" s="233">
        <v>11</v>
      </c>
      <c r="K90" s="233">
        <v>575</v>
      </c>
      <c r="L90" s="233" t="s">
        <v>88</v>
      </c>
    </row>
    <row r="91" spans="1:12">
      <c r="A91" s="233">
        <v>33</v>
      </c>
      <c r="B91" s="233" t="s">
        <v>1240</v>
      </c>
      <c r="C91" s="120" t="s">
        <v>180</v>
      </c>
      <c r="D91" s="238"/>
      <c r="E91" s="233">
        <v>11.406</v>
      </c>
      <c r="F91" s="233">
        <v>8158</v>
      </c>
      <c r="G91" s="233">
        <v>7152</v>
      </c>
      <c r="H91" s="233">
        <v>11</v>
      </c>
      <c r="L91" s="233" t="s">
        <v>88</v>
      </c>
    </row>
    <row r="92" spans="1:12">
      <c r="A92" s="233">
        <v>34</v>
      </c>
      <c r="B92" s="233" t="s">
        <v>1241</v>
      </c>
      <c r="C92" s="120" t="s">
        <v>180</v>
      </c>
      <c r="D92" s="238"/>
      <c r="E92" s="233">
        <v>8</v>
      </c>
      <c r="F92" s="233">
        <v>2592</v>
      </c>
      <c r="G92" s="233">
        <v>3240</v>
      </c>
      <c r="H92" s="233">
        <v>1.7</v>
      </c>
      <c r="I92" s="233">
        <v>327</v>
      </c>
      <c r="J92" s="233">
        <v>332</v>
      </c>
      <c r="L92" s="233" t="s">
        <v>88</v>
      </c>
    </row>
    <row r="93" spans="1:12">
      <c r="A93" s="233">
        <v>39</v>
      </c>
      <c r="B93" s="233" t="s">
        <v>1242</v>
      </c>
      <c r="C93" s="120" t="s">
        <v>180</v>
      </c>
      <c r="D93" s="238"/>
      <c r="E93" s="233">
        <v>614</v>
      </c>
      <c r="F93" s="233">
        <v>43882</v>
      </c>
      <c r="G93" s="233">
        <v>715</v>
      </c>
      <c r="H93" s="233">
        <v>3.6</v>
      </c>
      <c r="I93" s="233">
        <v>316</v>
      </c>
      <c r="J93" s="233">
        <v>328</v>
      </c>
      <c r="L93" s="233" t="s">
        <v>98</v>
      </c>
    </row>
    <row r="94" spans="1:12">
      <c r="A94" s="233">
        <v>32</v>
      </c>
      <c r="B94" s="233" t="s">
        <v>1243</v>
      </c>
      <c r="C94" s="120" t="s">
        <v>180</v>
      </c>
      <c r="D94" s="238"/>
      <c r="E94" s="233">
        <v>12</v>
      </c>
      <c r="L94" s="233" t="s">
        <v>88</v>
      </c>
    </row>
    <row r="95" spans="1:12">
      <c r="A95" s="233">
        <v>7</v>
      </c>
      <c r="B95" s="233" t="s">
        <v>1244</v>
      </c>
      <c r="C95" s="120" t="s">
        <v>180</v>
      </c>
      <c r="D95" s="238"/>
      <c r="E95" s="233">
        <v>15</v>
      </c>
      <c r="F95" s="233">
        <v>6952</v>
      </c>
      <c r="G95" s="233">
        <v>4635</v>
      </c>
      <c r="H95" s="233">
        <v>9.5</v>
      </c>
      <c r="I95" s="233">
        <v>723</v>
      </c>
      <c r="J95" s="233">
        <v>799</v>
      </c>
      <c r="L95" s="233" t="s">
        <v>86</v>
      </c>
    </row>
    <row r="96" spans="1:12">
      <c r="A96" s="233">
        <v>11</v>
      </c>
      <c r="B96" s="233" t="s">
        <v>1245</v>
      </c>
      <c r="C96" s="120" t="s">
        <v>180</v>
      </c>
      <c r="D96" s="238"/>
      <c r="E96" s="233">
        <v>9</v>
      </c>
      <c r="F96" s="233">
        <v>5414</v>
      </c>
      <c r="G96" s="233">
        <v>6016</v>
      </c>
      <c r="H96" s="233">
        <v>9.3</v>
      </c>
      <c r="L96" s="233" t="s">
        <v>86</v>
      </c>
    </row>
    <row r="97" spans="1:12">
      <c r="A97" s="233">
        <v>41</v>
      </c>
      <c r="B97" s="233" t="s">
        <v>1246</v>
      </c>
      <c r="C97" s="236" t="s">
        <v>179</v>
      </c>
      <c r="D97" s="238"/>
      <c r="E97" s="233">
        <v>75</v>
      </c>
      <c r="F97" s="233">
        <v>10089</v>
      </c>
      <c r="G97" s="233">
        <v>1345</v>
      </c>
      <c r="H97" s="233">
        <v>3.6</v>
      </c>
      <c r="I97" s="233">
        <v>335</v>
      </c>
      <c r="J97" s="233">
        <v>348</v>
      </c>
      <c r="L97" s="233" t="s">
        <v>126</v>
      </c>
    </row>
    <row r="98" spans="1:12">
      <c r="A98" s="233">
        <v>6</v>
      </c>
      <c r="B98" s="233" t="s">
        <v>1247</v>
      </c>
      <c r="C98" s="236" t="s">
        <v>179</v>
      </c>
      <c r="D98" s="238"/>
      <c r="E98" s="233">
        <v>101</v>
      </c>
      <c r="F98" s="233">
        <v>53336</v>
      </c>
      <c r="G98" s="233">
        <v>5281</v>
      </c>
      <c r="H98" s="233">
        <v>5.4</v>
      </c>
      <c r="I98" s="233">
        <v>294</v>
      </c>
      <c r="J98" s="233">
        <v>311</v>
      </c>
      <c r="L98" s="233" t="s">
        <v>86</v>
      </c>
    </row>
    <row r="99" spans="1:12">
      <c r="A99" s="233">
        <v>16</v>
      </c>
      <c r="B99" s="233" t="s">
        <v>1248</v>
      </c>
      <c r="C99" s="236" t="s">
        <v>179</v>
      </c>
      <c r="D99" s="238"/>
      <c r="E99" s="233">
        <v>176.5</v>
      </c>
      <c r="F99" s="233">
        <v>5402</v>
      </c>
      <c r="G99" s="233">
        <v>306</v>
      </c>
      <c r="H99" s="233">
        <v>5.7</v>
      </c>
      <c r="I99" s="233">
        <v>312</v>
      </c>
      <c r="J99" s="233">
        <v>331</v>
      </c>
      <c r="L99" s="233" t="s">
        <v>114</v>
      </c>
    </row>
    <row r="100" spans="1:12">
      <c r="A100" s="233">
        <v>25</v>
      </c>
      <c r="B100" s="233" t="s">
        <v>1249</v>
      </c>
      <c r="C100" s="236" t="s">
        <v>179</v>
      </c>
      <c r="D100" s="238"/>
      <c r="E100" s="233">
        <v>64</v>
      </c>
      <c r="F100" s="233">
        <v>12413</v>
      </c>
      <c r="G100" s="233">
        <v>5966</v>
      </c>
      <c r="L100" s="235" t="s">
        <v>140</v>
      </c>
    </row>
    <row r="101" spans="1:12">
      <c r="A101" s="233">
        <v>28</v>
      </c>
      <c r="B101" s="233" t="s">
        <v>1250</v>
      </c>
      <c r="C101" s="236" t="s">
        <v>179</v>
      </c>
      <c r="D101" s="238"/>
      <c r="E101" s="233">
        <v>24</v>
      </c>
      <c r="F101" s="233">
        <v>4842</v>
      </c>
      <c r="G101" s="233">
        <v>2017</v>
      </c>
      <c r="L101" s="233" t="s">
        <v>110</v>
      </c>
    </row>
    <row r="102" spans="1:12">
      <c r="A102" s="233">
        <v>45</v>
      </c>
      <c r="B102" s="233" t="s">
        <v>1251</v>
      </c>
      <c r="C102" s="236" t="s">
        <v>179</v>
      </c>
      <c r="D102" s="238"/>
      <c r="E102" s="233">
        <v>72</v>
      </c>
      <c r="F102" s="233">
        <v>24972</v>
      </c>
      <c r="G102" s="233">
        <v>3468</v>
      </c>
      <c r="L102" s="235" t="s">
        <v>142</v>
      </c>
    </row>
    <row r="103" spans="1:12">
      <c r="A103" s="233">
        <v>26</v>
      </c>
      <c r="B103" s="233" t="s">
        <v>1252</v>
      </c>
      <c r="C103" s="236" t="s">
        <v>179</v>
      </c>
      <c r="D103" s="238"/>
      <c r="E103" s="233">
        <v>300</v>
      </c>
      <c r="F103" s="233">
        <v>126956</v>
      </c>
      <c r="G103" s="233">
        <v>4232</v>
      </c>
      <c r="H103" s="233">
        <v>1.4</v>
      </c>
      <c r="I103" s="233">
        <v>210</v>
      </c>
      <c r="J103" s="233">
        <v>213</v>
      </c>
      <c r="L103" s="233" t="s">
        <v>138</v>
      </c>
    </row>
    <row r="104" spans="1:12">
      <c r="A104" s="233">
        <v>29</v>
      </c>
      <c r="B104" s="233" t="s">
        <v>1253</v>
      </c>
      <c r="C104" s="236" t="s">
        <v>179</v>
      </c>
      <c r="D104" s="238"/>
      <c r="E104" s="233">
        <v>15</v>
      </c>
      <c r="F104" s="233">
        <v>4860</v>
      </c>
      <c r="G104" s="233">
        <v>3240</v>
      </c>
      <c r="L104" s="233" t="s">
        <v>110</v>
      </c>
    </row>
    <row r="105" spans="1:12">
      <c r="A105" s="233">
        <v>43</v>
      </c>
      <c r="B105" s="233" t="s">
        <v>1254</v>
      </c>
      <c r="C105" s="236" t="s">
        <v>179</v>
      </c>
      <c r="D105" s="238"/>
      <c r="E105" s="233">
        <v>25</v>
      </c>
      <c r="L105" s="233" t="s">
        <v>126</v>
      </c>
    </row>
    <row r="106" spans="1:12">
      <c r="A106" s="233">
        <v>17</v>
      </c>
      <c r="B106" s="233" t="s">
        <v>1255</v>
      </c>
      <c r="C106" s="236" t="s">
        <v>179</v>
      </c>
      <c r="D106" s="238"/>
      <c r="E106" s="233">
        <v>0</v>
      </c>
      <c r="F106" s="233">
        <v>71</v>
      </c>
      <c r="L106" s="233" t="s">
        <v>114</v>
      </c>
    </row>
    <row r="107" spans="1:12">
      <c r="A107" s="233">
        <v>27</v>
      </c>
      <c r="B107" s="233" t="s">
        <v>1256</v>
      </c>
      <c r="C107" s="236" t="s">
        <v>179</v>
      </c>
      <c r="D107" s="238"/>
      <c r="E107" s="233">
        <v>138</v>
      </c>
      <c r="F107" s="233">
        <v>68979</v>
      </c>
      <c r="G107" s="233">
        <v>4998</v>
      </c>
      <c r="L107" s="233" t="s">
        <v>110</v>
      </c>
    </row>
    <row r="108" spans="1:12">
      <c r="A108" s="233">
        <v>24</v>
      </c>
      <c r="B108" s="233" t="s">
        <v>1257</v>
      </c>
      <c r="C108" s="120" t="s">
        <v>180</v>
      </c>
      <c r="D108" s="238"/>
      <c r="E108" s="233">
        <v>7.5</v>
      </c>
      <c r="F108" s="233">
        <v>2956</v>
      </c>
      <c r="G108" s="233">
        <v>3941</v>
      </c>
      <c r="L108" s="233" t="s">
        <v>108</v>
      </c>
    </row>
    <row r="109" spans="1:12">
      <c r="A109" s="233">
        <v>42</v>
      </c>
      <c r="B109" s="233" t="s">
        <v>1258</v>
      </c>
      <c r="C109" s="236" t="s">
        <v>179</v>
      </c>
      <c r="D109" s="238"/>
      <c r="E109" s="233">
        <v>50</v>
      </c>
      <c r="F109" s="233">
        <v>12033</v>
      </c>
      <c r="G109" s="233">
        <v>2407</v>
      </c>
      <c r="H109" s="233">
        <v>2.4</v>
      </c>
      <c r="I109" s="233">
        <v>348</v>
      </c>
      <c r="J109" s="233">
        <v>357</v>
      </c>
      <c r="L109" s="233" t="s">
        <v>126</v>
      </c>
    </row>
    <row r="110" spans="1:12">
      <c r="A110" s="233">
        <v>5</v>
      </c>
      <c r="B110" s="233" t="s">
        <v>1259</v>
      </c>
      <c r="C110" s="236" t="s">
        <v>179</v>
      </c>
      <c r="D110" s="238"/>
      <c r="E110" s="233">
        <v>35</v>
      </c>
      <c r="F110" s="233">
        <v>22252</v>
      </c>
      <c r="G110" s="233">
        <v>6358</v>
      </c>
      <c r="H110" s="233">
        <v>8.4</v>
      </c>
      <c r="I110" s="233">
        <v>382</v>
      </c>
      <c r="J110" s="233">
        <v>416</v>
      </c>
      <c r="K110" s="233">
        <v>119722</v>
      </c>
      <c r="L110" s="233" t="s">
        <v>118</v>
      </c>
    </row>
    <row r="111" spans="1:12">
      <c r="A111" s="233">
        <v>36</v>
      </c>
      <c r="B111" s="233" t="s">
        <v>1260</v>
      </c>
      <c r="C111" s="236" t="s">
        <v>179</v>
      </c>
      <c r="D111" s="238"/>
      <c r="E111" s="233">
        <v>1200</v>
      </c>
      <c r="F111" s="233">
        <v>84676</v>
      </c>
      <c r="G111" s="233">
        <v>706</v>
      </c>
      <c r="H111" s="233">
        <v>2.7</v>
      </c>
      <c r="I111" s="233">
        <v>228</v>
      </c>
      <c r="J111" s="233">
        <v>234</v>
      </c>
      <c r="L111" s="233" t="s">
        <v>98</v>
      </c>
    </row>
    <row r="112" spans="1:12">
      <c r="A112" s="233">
        <v>15</v>
      </c>
      <c r="B112" s="233" t="s">
        <v>1261</v>
      </c>
      <c r="C112" s="236" t="s">
        <v>179</v>
      </c>
      <c r="D112" s="238"/>
      <c r="E112" s="233">
        <v>115</v>
      </c>
      <c r="F112" s="233">
        <v>23363</v>
      </c>
      <c r="G112" s="233">
        <v>2032</v>
      </c>
      <c r="L112" s="235" t="s">
        <v>96</v>
      </c>
    </row>
  </sheetData>
  <autoFilter xmlns:etc="http://www.wps.cn/officeDocument/2017/etCustomData" ref="A1:L82" etc:filterBottomFollowUsedRange="0">
    <sortState ref="A1:L82">
      <sortCondition ref="D1:D56" sortBy="cellColor" dxfId="60"/>
    </sortState>
    <extLst/>
  </autoFilter>
  <conditionalFormatting sqref="B24">
    <cfRule type="containsText" dxfId="61" priority="3" operator="between" text="燃机">
      <formula>NOT(ISERROR(SEARCH("燃机",B24)))</formula>
    </cfRule>
    <cfRule type="containsText" dxfId="59" priority="4" operator="between" text="气">
      <formula>NOT(ISERROR(SEARCH("气",B24)))</formula>
    </cfRule>
  </conditionalFormatting>
  <conditionalFormatting sqref="B36">
    <cfRule type="containsText" dxfId="61" priority="1" operator="between" text="燃机">
      <formula>NOT(ISERROR(SEARCH("燃机",B36)))</formula>
    </cfRule>
    <cfRule type="containsText" dxfId="59" priority="2" operator="between" text="气">
      <formula>NOT(ISERROR(SEARCH("气",B36)))</formula>
    </cfRule>
  </conditionalFormatting>
  <conditionalFormatting sqref="B1:D1 B2:E17 B18:B23 D18:E23 C18:C112 D24 B25:B35 D25:E35 B37:B61 D37:E61">
    <cfRule type="containsText" dxfId="59" priority="7" operator="between" text="气">
      <formula>NOT(ISERROR(SEARCH("气",B1)))</formula>
    </cfRule>
  </conditionalFormatting>
  <conditionalFormatting sqref="B1:D1 B2:E17 B18:B23 D18:E23 C18:C1048576 D24 B25:B35 D25:E35 B37:B1048576 D37:E1048576">
    <cfRule type="containsText" dxfId="61" priority="6" operator="between" text="煤">
      <formula>NOT(ISERROR(SEARCH("煤",B1)))</formula>
    </cfRule>
  </conditionalFormatting>
  <conditionalFormatting sqref="B58:D59">
    <cfRule type="containsText" dxfId="61" priority="5" operator="between" text="煤">
      <formula>NOT(ISERROR(SEARCH("煤",B58)))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6"/>
  <sheetViews>
    <sheetView zoomScale="85" zoomScaleNormal="85" workbookViewId="0">
      <selection activeCell="T50" sqref="T50"/>
    </sheetView>
  </sheetViews>
  <sheetFormatPr defaultColWidth="9" defaultRowHeight="13.1"/>
  <cols>
    <col min="1" max="1" width="25.858407079646" style="220" customWidth="1"/>
    <col min="2" max="42" width="8" style="220" customWidth="1"/>
    <col min="43" max="43" width="6.70796460176991" style="220" customWidth="1"/>
    <col min="44" max="44" width="8.70796460176991" style="220" customWidth="1"/>
    <col min="45" max="45" width="11.5752212389381" style="220" customWidth="1"/>
    <col min="46" max="46" width="8.70796460176991" style="220" customWidth="1"/>
    <col min="47" max="47" width="11.5752212389381" style="220" customWidth="1"/>
    <col min="48" max="48" width="5.70796460176991" style="220" customWidth="1"/>
    <col min="49" max="16384" width="9.13274336283186" style="220"/>
  </cols>
  <sheetData>
    <row r="1" spans="1:42">
      <c r="A1" s="220" t="s">
        <v>1262</v>
      </c>
      <c r="B1" s="220" t="s">
        <v>1263</v>
      </c>
    </row>
    <row r="2" spans="1:42">
      <c r="B2" s="220" t="s">
        <v>179</v>
      </c>
      <c r="O2" s="220" t="s">
        <v>698</v>
      </c>
      <c r="X2" s="220" t="s">
        <v>180</v>
      </c>
      <c r="AF2" s="220" t="s">
        <v>181</v>
      </c>
      <c r="AO2" s="220" t="s">
        <v>1264</v>
      </c>
      <c r="AP2" s="220" t="s">
        <v>145</v>
      </c>
    </row>
    <row r="3" spans="1:42">
      <c r="A3" s="220" t="s">
        <v>1265</v>
      </c>
      <c r="B3" s="220">
        <v>2009</v>
      </c>
      <c r="C3" s="220">
        <v>2010</v>
      </c>
      <c r="D3" s="220">
        <v>2011</v>
      </c>
      <c r="E3" s="220">
        <v>2012</v>
      </c>
      <c r="F3" s="220">
        <v>2013</v>
      </c>
      <c r="G3" s="220">
        <v>2014</v>
      </c>
      <c r="H3" s="220">
        <v>2015</v>
      </c>
      <c r="I3" s="220">
        <v>2016</v>
      </c>
      <c r="J3" s="220">
        <v>2017</v>
      </c>
      <c r="K3" s="220">
        <v>2018</v>
      </c>
      <c r="L3" s="220">
        <v>2019</v>
      </c>
      <c r="M3" s="220">
        <v>2020</v>
      </c>
      <c r="N3" s="220">
        <v>2021</v>
      </c>
      <c r="O3" s="220">
        <v>2009</v>
      </c>
      <c r="P3" s="220">
        <v>2014</v>
      </c>
      <c r="Q3" s="220">
        <v>2015</v>
      </c>
      <c r="R3" s="220">
        <v>2016</v>
      </c>
      <c r="S3" s="220">
        <v>2017</v>
      </c>
      <c r="T3" s="220">
        <v>2018</v>
      </c>
      <c r="U3" s="220">
        <v>2019</v>
      </c>
      <c r="V3" s="220">
        <v>2020</v>
      </c>
      <c r="W3" s="220">
        <v>2021</v>
      </c>
      <c r="X3" s="220">
        <v>2009</v>
      </c>
      <c r="Y3" s="220">
        <v>2011</v>
      </c>
      <c r="Z3" s="220">
        <v>2012</v>
      </c>
      <c r="AA3" s="220">
        <v>2014</v>
      </c>
      <c r="AB3" s="220">
        <v>2015</v>
      </c>
      <c r="AC3" s="220">
        <v>2016</v>
      </c>
      <c r="AD3" s="220">
        <v>2018</v>
      </c>
      <c r="AE3" s="220">
        <v>2020</v>
      </c>
      <c r="AF3" s="220">
        <v>2009</v>
      </c>
      <c r="AG3" s="220">
        <v>2010</v>
      </c>
      <c r="AH3" s="220">
        <v>2011</v>
      </c>
      <c r="AI3" s="220">
        <v>2012</v>
      </c>
      <c r="AJ3" s="220">
        <v>2013</v>
      </c>
      <c r="AK3" s="220">
        <v>2018</v>
      </c>
      <c r="AL3" s="220">
        <v>2019</v>
      </c>
      <c r="AM3" s="220">
        <v>2020</v>
      </c>
      <c r="AN3" s="220">
        <v>2021</v>
      </c>
      <c r="AO3" s="220" t="s">
        <v>1264</v>
      </c>
    </row>
    <row r="4" spans="1:42">
      <c r="A4" s="220" t="s">
        <v>104</v>
      </c>
      <c r="AA4" s="220">
        <v>7.64</v>
      </c>
      <c r="AD4" s="220">
        <v>1.2</v>
      </c>
      <c r="AP4" s="220">
        <v>8.84</v>
      </c>
    </row>
    <row r="5" spans="1:42">
      <c r="A5" s="220" t="s">
        <v>82</v>
      </c>
      <c r="D5" s="220">
        <v>92.34</v>
      </c>
      <c r="F5" s="220">
        <v>83.8</v>
      </c>
      <c r="G5" s="220">
        <v>378.7</v>
      </c>
      <c r="H5" s="220">
        <v>95</v>
      </c>
      <c r="I5" s="220">
        <v>1.33</v>
      </c>
      <c r="J5" s="220">
        <v>99.8</v>
      </c>
      <c r="K5" s="220">
        <v>26.6</v>
      </c>
      <c r="L5" s="220">
        <v>8</v>
      </c>
      <c r="T5" s="220">
        <v>7.5</v>
      </c>
      <c r="U5" s="220">
        <v>7.5</v>
      </c>
      <c r="V5" s="220">
        <v>6.7</v>
      </c>
      <c r="AN5" s="220">
        <v>0.62</v>
      </c>
      <c r="AP5" s="220">
        <v>807.89</v>
      </c>
    </row>
    <row r="6" spans="1:42">
      <c r="A6" s="220" t="s">
        <v>106</v>
      </c>
      <c r="B6" s="220">
        <v>210</v>
      </c>
      <c r="C6" s="220">
        <v>140</v>
      </c>
      <c r="L6" s="220">
        <v>0.3</v>
      </c>
      <c r="S6" s="220">
        <v>3.18</v>
      </c>
      <c r="AP6" s="220">
        <v>353.48</v>
      </c>
    </row>
    <row r="7" spans="1:42">
      <c r="A7" s="220" t="s">
        <v>118</v>
      </c>
      <c r="C7" s="220">
        <v>66</v>
      </c>
      <c r="G7" s="220">
        <v>78</v>
      </c>
      <c r="K7" s="220">
        <v>414.8</v>
      </c>
      <c r="L7" s="220">
        <v>138</v>
      </c>
      <c r="M7" s="220">
        <v>423.96</v>
      </c>
      <c r="N7" s="220">
        <v>244.98</v>
      </c>
      <c r="O7" s="220">
        <v>93.6</v>
      </c>
      <c r="T7" s="220">
        <v>34.45</v>
      </c>
      <c r="U7" s="220">
        <v>34.95</v>
      </c>
      <c r="V7" s="220">
        <v>17.5</v>
      </c>
      <c r="AL7" s="220">
        <v>1.42</v>
      </c>
      <c r="AN7" s="220">
        <v>9.65</v>
      </c>
      <c r="AP7" s="220">
        <v>1557.31</v>
      </c>
    </row>
    <row r="8" spans="1:42">
      <c r="A8" s="220" t="s">
        <v>120</v>
      </c>
      <c r="P8" s="220">
        <v>12</v>
      </c>
      <c r="S8" s="220">
        <v>21</v>
      </c>
      <c r="V8" s="220">
        <v>15</v>
      </c>
      <c r="AJ8" s="220">
        <v>0.1</v>
      </c>
      <c r="AP8" s="220">
        <v>48.1</v>
      </c>
    </row>
    <row r="9" spans="1:42">
      <c r="A9" s="220" t="s">
        <v>128</v>
      </c>
      <c r="W9" s="220">
        <v>5.63</v>
      </c>
      <c r="AA9" s="220">
        <v>0.49</v>
      </c>
      <c r="AC9" s="220">
        <v>0.21</v>
      </c>
      <c r="AP9" s="220">
        <v>6.33</v>
      </c>
    </row>
    <row r="10" spans="1:42">
      <c r="A10" s="220" t="s">
        <v>122</v>
      </c>
      <c r="L10" s="220">
        <v>46</v>
      </c>
      <c r="M10" s="220">
        <v>96</v>
      </c>
      <c r="N10" s="220">
        <v>48.71</v>
      </c>
      <c r="AP10" s="220">
        <v>190.71</v>
      </c>
    </row>
    <row r="11" spans="1:42">
      <c r="A11" s="220" t="s">
        <v>86</v>
      </c>
      <c r="L11" s="220">
        <v>45.36</v>
      </c>
      <c r="M11" s="220">
        <v>45.36</v>
      </c>
      <c r="V11" s="220">
        <v>1.26</v>
      </c>
      <c r="AN11" s="220">
        <v>0.12</v>
      </c>
      <c r="AP11" s="220">
        <v>92.1</v>
      </c>
    </row>
    <row r="12" spans="1:42">
      <c r="A12" s="220" t="s">
        <v>112</v>
      </c>
      <c r="J12" s="220">
        <v>3.6</v>
      </c>
      <c r="K12" s="220">
        <v>35</v>
      </c>
      <c r="L12" s="220">
        <v>35</v>
      </c>
      <c r="M12" s="220">
        <v>20</v>
      </c>
      <c r="AP12" s="220">
        <v>93.6</v>
      </c>
    </row>
    <row r="13" spans="1:42">
      <c r="A13" s="220" t="s">
        <v>96</v>
      </c>
      <c r="L13" s="220">
        <v>6.5</v>
      </c>
      <c r="M13" s="220">
        <v>0.6</v>
      </c>
      <c r="N13" s="220">
        <v>0.3</v>
      </c>
      <c r="AI13" s="220">
        <v>2.4</v>
      </c>
      <c r="AP13" s="220">
        <v>9.8</v>
      </c>
    </row>
    <row r="14" spans="1:42">
      <c r="A14" s="220" t="s">
        <v>114</v>
      </c>
      <c r="C14" s="220">
        <v>18.5</v>
      </c>
      <c r="H14" s="220">
        <v>37</v>
      </c>
      <c r="J14" s="220">
        <v>19.03</v>
      </c>
      <c r="M14" s="220">
        <v>15.4</v>
      </c>
      <c r="N14" s="220">
        <v>24.56</v>
      </c>
      <c r="AG14" s="220">
        <v>0.19</v>
      </c>
      <c r="AI14" s="220">
        <v>0.1</v>
      </c>
      <c r="AP14" s="220">
        <v>114.78</v>
      </c>
    </row>
    <row r="15" spans="1:42">
      <c r="A15" s="220" t="s">
        <v>116</v>
      </c>
      <c r="K15" s="220">
        <v>1</v>
      </c>
      <c r="L15" s="220">
        <v>0.65</v>
      </c>
      <c r="AN15" s="220">
        <v>3</v>
      </c>
      <c r="AP15" s="220">
        <v>4.65</v>
      </c>
    </row>
    <row r="16" spans="1:42">
      <c r="A16" s="220" t="s">
        <v>100</v>
      </c>
      <c r="D16" s="220">
        <v>22</v>
      </c>
      <c r="E16" s="220">
        <v>116.2</v>
      </c>
      <c r="F16" s="220">
        <v>123.67</v>
      </c>
      <c r="H16" s="220">
        <v>215</v>
      </c>
      <c r="I16" s="220">
        <v>86</v>
      </c>
      <c r="J16" s="220">
        <v>386.4</v>
      </c>
      <c r="K16" s="220">
        <v>213.79</v>
      </c>
      <c r="L16" s="220">
        <v>102.78</v>
      </c>
      <c r="M16" s="220">
        <v>87.86</v>
      </c>
      <c r="N16" s="220">
        <v>215.63</v>
      </c>
      <c r="P16" s="220">
        <v>0.4</v>
      </c>
      <c r="Q16" s="220">
        <v>0.6</v>
      </c>
      <c r="R16" s="220">
        <v>0.6</v>
      </c>
      <c r="T16" s="220">
        <v>0.65</v>
      </c>
      <c r="U16" s="220">
        <v>8</v>
      </c>
      <c r="AI16" s="220">
        <v>0.58</v>
      </c>
      <c r="AP16" s="220">
        <v>1580.16</v>
      </c>
    </row>
    <row r="17" spans="1:42">
      <c r="A17" s="220" t="s">
        <v>108</v>
      </c>
      <c r="P17" s="220">
        <v>8.7</v>
      </c>
      <c r="AM17" s="220">
        <v>1.2</v>
      </c>
      <c r="AP17" s="220">
        <v>9.9</v>
      </c>
    </row>
    <row r="18" spans="1:42">
      <c r="A18" s="220" t="s">
        <v>92</v>
      </c>
      <c r="M18" s="220">
        <v>10</v>
      </c>
      <c r="AP18" s="220">
        <v>10</v>
      </c>
    </row>
    <row r="19" spans="1:42">
      <c r="A19" s="220" t="s">
        <v>90</v>
      </c>
      <c r="Y19" s="220">
        <v>20</v>
      </c>
      <c r="AP19" s="220">
        <v>20</v>
      </c>
    </row>
    <row r="20" spans="1:42">
      <c r="A20" s="220" t="s">
        <v>110</v>
      </c>
      <c r="C20" s="220">
        <v>15</v>
      </c>
      <c r="K20" s="220">
        <v>0.6</v>
      </c>
      <c r="L20" s="220">
        <v>0.66</v>
      </c>
      <c r="N20" s="220">
        <v>1.95</v>
      </c>
      <c r="R20" s="220">
        <v>0.1</v>
      </c>
      <c r="AH20" s="220">
        <v>0.31</v>
      </c>
      <c r="AI20" s="220">
        <v>0.4</v>
      </c>
      <c r="AP20" s="220">
        <v>19.02</v>
      </c>
    </row>
    <row r="21" spans="1:42">
      <c r="A21" s="220" t="s">
        <v>88</v>
      </c>
      <c r="G21" s="220">
        <v>86.4</v>
      </c>
      <c r="H21" s="220">
        <v>85.9</v>
      </c>
      <c r="K21" s="220">
        <v>5.58</v>
      </c>
      <c r="N21" s="220">
        <v>0.98</v>
      </c>
      <c r="Y21" s="220">
        <v>3.5</v>
      </c>
      <c r="Z21" s="220">
        <v>0.5</v>
      </c>
      <c r="AB21" s="220">
        <v>3.7</v>
      </c>
      <c r="AE21" s="220">
        <v>9.7</v>
      </c>
      <c r="AP21" s="220">
        <v>196.26</v>
      </c>
    </row>
    <row r="22" spans="1:42">
      <c r="A22" s="220" t="s">
        <v>98</v>
      </c>
      <c r="D22" s="220">
        <v>122.3</v>
      </c>
      <c r="H22" s="220">
        <v>86</v>
      </c>
      <c r="J22" s="220">
        <v>2.6</v>
      </c>
      <c r="K22" s="220">
        <v>87.28</v>
      </c>
      <c r="L22" s="220">
        <v>92.52</v>
      </c>
      <c r="N22" s="220">
        <v>47.4</v>
      </c>
      <c r="Q22" s="220">
        <v>15.08</v>
      </c>
      <c r="R22" s="220">
        <v>3.08</v>
      </c>
      <c r="T22" s="220">
        <v>0.86</v>
      </c>
      <c r="U22" s="220">
        <v>6.74</v>
      </c>
      <c r="AJ22" s="220">
        <v>0.98</v>
      </c>
      <c r="AP22" s="220">
        <v>464.84</v>
      </c>
    </row>
    <row r="23" spans="1:42">
      <c r="A23" s="220" t="s">
        <v>126</v>
      </c>
      <c r="J23" s="220">
        <v>0.15</v>
      </c>
      <c r="K23" s="220">
        <v>1.44</v>
      </c>
      <c r="N23" s="220">
        <v>0.75</v>
      </c>
      <c r="T23" s="220">
        <v>0.05</v>
      </c>
      <c r="X23" s="220">
        <v>1.3</v>
      </c>
      <c r="AE23" s="220">
        <v>2.5</v>
      </c>
      <c r="AK23" s="220">
        <v>0.89</v>
      </c>
      <c r="AP23" s="220">
        <v>7.08</v>
      </c>
    </row>
    <row r="24" spans="1:42">
      <c r="A24" s="220" t="s">
        <v>84</v>
      </c>
      <c r="G24" s="220">
        <v>46.3</v>
      </c>
      <c r="H24" s="220">
        <v>0.02</v>
      </c>
      <c r="I24" s="220">
        <v>92.37</v>
      </c>
      <c r="J24" s="220">
        <v>0.2</v>
      </c>
      <c r="K24" s="220">
        <v>13.23</v>
      </c>
      <c r="L24" s="220">
        <v>93</v>
      </c>
      <c r="M24" s="220">
        <v>65</v>
      </c>
      <c r="N24" s="220">
        <v>0.04</v>
      </c>
      <c r="P24" s="220">
        <v>40</v>
      </c>
      <c r="T24" s="220">
        <v>11.94</v>
      </c>
      <c r="AP24" s="220">
        <v>362.1</v>
      </c>
    </row>
    <row r="25" spans="1:42">
      <c r="A25" s="220" t="s">
        <v>132</v>
      </c>
      <c r="C25" s="220">
        <v>19.88</v>
      </c>
      <c r="AP25" s="220">
        <v>19.88</v>
      </c>
    </row>
    <row r="26" spans="1:42">
      <c r="A26" s="220" t="s">
        <v>142</v>
      </c>
      <c r="B26" s="220">
        <v>3.4</v>
      </c>
      <c r="I26" s="220">
        <v>30.54</v>
      </c>
      <c r="J26" s="220">
        <v>12.3</v>
      </c>
      <c r="K26" s="220">
        <v>1.18</v>
      </c>
      <c r="M26" s="220">
        <v>6</v>
      </c>
      <c r="N26" s="220">
        <v>35.1</v>
      </c>
      <c r="AP26" s="220">
        <v>88.52</v>
      </c>
    </row>
    <row r="27" spans="1:42">
      <c r="A27" s="220" t="s">
        <v>130</v>
      </c>
      <c r="AF27" s="220">
        <v>0.5</v>
      </c>
      <c r="AP27" s="220">
        <v>0.5</v>
      </c>
    </row>
    <row r="28" spans="1:42">
      <c r="A28" s="220" t="s">
        <v>102</v>
      </c>
      <c r="E28" s="220">
        <v>126.7</v>
      </c>
      <c r="F28" s="220">
        <v>231.2</v>
      </c>
      <c r="G28" s="220">
        <v>194.24</v>
      </c>
      <c r="H28" s="220">
        <v>156.45</v>
      </c>
      <c r="J28" s="220">
        <v>22.4</v>
      </c>
      <c r="K28" s="220">
        <v>24.41</v>
      </c>
      <c r="U28" s="220">
        <v>2.99</v>
      </c>
      <c r="AP28" s="220">
        <v>758.39</v>
      </c>
    </row>
    <row r="29" spans="1:42">
      <c r="A29" s="220" t="s">
        <v>124</v>
      </c>
      <c r="K29" s="220">
        <v>0.85</v>
      </c>
      <c r="P29" s="220">
        <v>93.4</v>
      </c>
      <c r="AD29" s="220">
        <v>0.5</v>
      </c>
      <c r="AP29" s="220">
        <v>94.75</v>
      </c>
    </row>
    <row r="30" spans="1:42">
      <c r="A30" s="220" t="s">
        <v>1264</v>
      </c>
    </row>
    <row r="31" spans="1:42">
      <c r="A31" s="220" t="s">
        <v>145</v>
      </c>
      <c r="B31" s="220">
        <v>213.4</v>
      </c>
      <c r="C31" s="220">
        <v>259.38</v>
      </c>
      <c r="D31" s="220">
        <v>236.64</v>
      </c>
      <c r="E31" s="220">
        <v>242.9</v>
      </c>
      <c r="F31" s="220">
        <v>438.67</v>
      </c>
      <c r="G31" s="220">
        <v>783.64</v>
      </c>
      <c r="H31" s="220">
        <v>675.37</v>
      </c>
      <c r="I31" s="220">
        <v>210.24</v>
      </c>
      <c r="J31" s="220">
        <v>546.48</v>
      </c>
      <c r="K31" s="220">
        <v>825.76</v>
      </c>
      <c r="L31" s="220">
        <v>568.77</v>
      </c>
      <c r="M31" s="220">
        <v>770.18</v>
      </c>
      <c r="N31" s="220">
        <v>620.4</v>
      </c>
      <c r="O31" s="220">
        <v>93.6</v>
      </c>
      <c r="P31" s="220">
        <v>154.5</v>
      </c>
      <c r="Q31" s="220">
        <v>15.68</v>
      </c>
      <c r="R31" s="220">
        <v>3.78</v>
      </c>
      <c r="S31" s="220">
        <v>24.18</v>
      </c>
      <c r="T31" s="220">
        <v>55.45</v>
      </c>
      <c r="U31" s="220">
        <v>60.18</v>
      </c>
      <c r="V31" s="220">
        <v>40.46</v>
      </c>
      <c r="W31" s="220">
        <v>5.63</v>
      </c>
      <c r="X31" s="220">
        <v>1.3</v>
      </c>
      <c r="Y31" s="220">
        <v>23.5</v>
      </c>
      <c r="Z31" s="220">
        <v>0.5</v>
      </c>
      <c r="AA31" s="220">
        <v>8.13</v>
      </c>
      <c r="AB31" s="220">
        <v>3.7</v>
      </c>
      <c r="AC31" s="220">
        <v>0.21</v>
      </c>
      <c r="AD31" s="220">
        <v>1.7</v>
      </c>
      <c r="AE31" s="220">
        <v>12.2</v>
      </c>
      <c r="AF31" s="220">
        <v>0.5</v>
      </c>
      <c r="AG31" s="220">
        <v>0.19</v>
      </c>
      <c r="AH31" s="220">
        <v>0.31</v>
      </c>
      <c r="AI31" s="220">
        <v>3.48</v>
      </c>
      <c r="AJ31" s="220">
        <v>1.08</v>
      </c>
      <c r="AK31" s="220">
        <v>0.89</v>
      </c>
      <c r="AL31" s="220">
        <v>1.42</v>
      </c>
      <c r="AM31" s="220">
        <v>1.2</v>
      </c>
      <c r="AN31" s="220">
        <v>13.39</v>
      </c>
      <c r="AP31" s="220">
        <v>6918.99</v>
      </c>
    </row>
    <row r="34" spans="1:17">
      <c r="A34" s="220" t="s">
        <v>1266</v>
      </c>
      <c r="B34" s="220" t="s">
        <v>1263</v>
      </c>
    </row>
    <row r="35" spans="1:17">
      <c r="B35" s="220" t="s">
        <v>179</v>
      </c>
      <c r="O35" s="220" t="s">
        <v>180</v>
      </c>
      <c r="Q35" s="220" t="s">
        <v>145</v>
      </c>
    </row>
    <row r="36" spans="1:17">
      <c r="A36" s="220" t="s">
        <v>1265</v>
      </c>
      <c r="B36" s="220">
        <v>1993</v>
      </c>
      <c r="C36" s="220">
        <v>1994</v>
      </c>
      <c r="D36" s="220">
        <v>1995</v>
      </c>
      <c r="E36" s="220">
        <v>1997</v>
      </c>
      <c r="F36" s="220">
        <v>1998</v>
      </c>
      <c r="G36" s="220">
        <v>1999</v>
      </c>
      <c r="H36" s="220">
        <v>2003</v>
      </c>
      <c r="I36" s="220">
        <v>2004</v>
      </c>
      <c r="J36" s="220">
        <v>2005</v>
      </c>
      <c r="K36" s="220">
        <v>2006</v>
      </c>
      <c r="L36" s="220">
        <v>2007</v>
      </c>
      <c r="M36" s="220">
        <v>2008</v>
      </c>
      <c r="N36" s="220">
        <v>2009</v>
      </c>
      <c r="O36" s="220">
        <v>2001</v>
      </c>
      <c r="P36" s="220">
        <v>2002</v>
      </c>
    </row>
    <row r="37" spans="1:17">
      <c r="A37" s="220" t="s">
        <v>82</v>
      </c>
      <c r="K37" s="220">
        <v>560</v>
      </c>
      <c r="M37" s="220">
        <v>780</v>
      </c>
      <c r="N37" s="220">
        <v>119.98</v>
      </c>
      <c r="Q37" s="220">
        <v>1459.98</v>
      </c>
    </row>
    <row r="38" spans="1:17">
      <c r="A38" s="220" t="s">
        <v>118</v>
      </c>
      <c r="E38" s="220">
        <v>125</v>
      </c>
      <c r="F38" s="220">
        <v>125</v>
      </c>
      <c r="H38" s="220">
        <v>1315</v>
      </c>
      <c r="I38" s="220">
        <v>900</v>
      </c>
      <c r="J38" s="220">
        <v>1920</v>
      </c>
      <c r="K38" s="220">
        <v>2250</v>
      </c>
      <c r="L38" s="220">
        <v>3300</v>
      </c>
      <c r="Q38" s="220">
        <v>9935</v>
      </c>
    </row>
    <row r="39" spans="1:17">
      <c r="A39" s="220" t="s">
        <v>122</v>
      </c>
      <c r="B39" s="220">
        <v>440</v>
      </c>
      <c r="C39" s="220">
        <v>66</v>
      </c>
      <c r="D39" s="220">
        <v>66</v>
      </c>
      <c r="J39" s="220">
        <v>150</v>
      </c>
      <c r="Q39" s="220">
        <v>722</v>
      </c>
    </row>
    <row r="40" spans="1:17">
      <c r="A40" s="220" t="s">
        <v>112</v>
      </c>
      <c r="L40" s="220">
        <v>1560</v>
      </c>
      <c r="O40" s="220">
        <v>24</v>
      </c>
      <c r="Q40" s="220">
        <v>1584</v>
      </c>
    </row>
    <row r="41" spans="1:17">
      <c r="A41" s="220" t="s">
        <v>100</v>
      </c>
      <c r="J41" s="220">
        <v>2310</v>
      </c>
      <c r="K41" s="220">
        <v>390</v>
      </c>
      <c r="L41" s="220">
        <v>780</v>
      </c>
      <c r="Q41" s="220">
        <v>3480</v>
      </c>
    </row>
    <row r="42" spans="1:17">
      <c r="A42" s="220" t="s">
        <v>90</v>
      </c>
      <c r="K42" s="220">
        <v>390</v>
      </c>
      <c r="L42" s="220">
        <v>55</v>
      </c>
      <c r="N42" s="220">
        <v>10</v>
      </c>
      <c r="Q42" s="220">
        <v>455</v>
      </c>
    </row>
    <row r="43" spans="1:17">
      <c r="A43" s="220" t="s">
        <v>98</v>
      </c>
      <c r="J43" s="220">
        <v>360</v>
      </c>
      <c r="K43" s="220">
        <v>1018</v>
      </c>
      <c r="Q43" s="220">
        <v>1378</v>
      </c>
    </row>
    <row r="44" spans="1:17">
      <c r="A44" s="220" t="s">
        <v>102</v>
      </c>
      <c r="G44" s="220">
        <v>323.2</v>
      </c>
      <c r="J44" s="220">
        <v>1567</v>
      </c>
      <c r="K44" s="220">
        <v>187</v>
      </c>
      <c r="L44" s="220">
        <v>1576.82</v>
      </c>
      <c r="M44" s="220">
        <v>804.91</v>
      </c>
      <c r="Q44" s="220">
        <v>4458.93</v>
      </c>
    </row>
    <row r="45" spans="1:17">
      <c r="A45" s="220" t="s">
        <v>124</v>
      </c>
      <c r="P45" s="220">
        <v>12</v>
      </c>
      <c r="Q45" s="220">
        <v>12</v>
      </c>
    </row>
    <row r="46" spans="1:17">
      <c r="A46" s="220" t="s">
        <v>145</v>
      </c>
      <c r="B46" s="220">
        <v>440</v>
      </c>
      <c r="C46" s="220">
        <v>66</v>
      </c>
      <c r="D46" s="220">
        <v>66</v>
      </c>
      <c r="E46" s="220">
        <v>125</v>
      </c>
      <c r="F46" s="220">
        <v>125</v>
      </c>
      <c r="G46" s="220">
        <v>323.2</v>
      </c>
      <c r="H46" s="220">
        <v>1315</v>
      </c>
      <c r="I46" s="220">
        <v>900</v>
      </c>
      <c r="J46" s="220">
        <v>6307</v>
      </c>
      <c r="K46" s="220">
        <v>4795</v>
      </c>
      <c r="L46" s="220">
        <v>7271.82</v>
      </c>
      <c r="M46" s="220">
        <v>1584.91</v>
      </c>
      <c r="N46" s="220">
        <v>129.98</v>
      </c>
      <c r="O46" s="220">
        <v>24</v>
      </c>
      <c r="P46" s="220">
        <v>12</v>
      </c>
      <c r="Q46" s="220">
        <v>23484.91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7"/>
  <sheetViews>
    <sheetView topLeftCell="A207" workbookViewId="0">
      <pane xSplit="1" topLeftCell="B1" activePane="topRight" state="frozen"/>
      <selection/>
      <selection pane="topRight" activeCell="A195" sqref="$A195:$XFD195"/>
    </sheetView>
  </sheetViews>
  <sheetFormatPr defaultColWidth="9" defaultRowHeight="13.1"/>
  <cols>
    <col min="1" max="1" width="17.7079646017699" style="220" customWidth="1"/>
    <col min="2" max="16384" width="9.13274336283186" style="220"/>
  </cols>
  <sheetData>
    <row r="1" spans="1:30">
      <c r="A1" s="228" t="s">
        <v>1267</v>
      </c>
    </row>
    <row r="2" spans="1:30">
      <c r="A2" s="221" t="s">
        <v>1268</v>
      </c>
      <c r="B2" s="220">
        <v>1993</v>
      </c>
      <c r="C2" s="220">
        <v>1994</v>
      </c>
      <c r="D2" s="220">
        <v>1995</v>
      </c>
      <c r="E2" s="220">
        <v>1996</v>
      </c>
      <c r="F2" s="220">
        <v>1997</v>
      </c>
      <c r="G2" s="220">
        <v>1998</v>
      </c>
      <c r="H2" s="220">
        <v>1999</v>
      </c>
      <c r="I2" s="220">
        <v>2000</v>
      </c>
      <c r="J2" s="220">
        <v>2001</v>
      </c>
      <c r="K2" s="220">
        <v>2002</v>
      </c>
      <c r="L2" s="220">
        <v>2003</v>
      </c>
      <c r="M2" s="220">
        <v>2004</v>
      </c>
      <c r="N2" s="220">
        <v>2005</v>
      </c>
      <c r="O2" s="220">
        <v>2006</v>
      </c>
      <c r="P2" s="220">
        <v>2007</v>
      </c>
      <c r="Q2" s="220">
        <v>2008</v>
      </c>
      <c r="R2" s="220">
        <v>2009</v>
      </c>
      <c r="S2" s="220">
        <v>2010</v>
      </c>
      <c r="T2" s="220">
        <v>2011</v>
      </c>
      <c r="U2" s="220">
        <v>2012</v>
      </c>
      <c r="V2" s="220">
        <v>2013</v>
      </c>
      <c r="W2" s="220">
        <v>2014</v>
      </c>
      <c r="X2" s="220">
        <v>2015</v>
      </c>
      <c r="Y2" s="220">
        <v>2016</v>
      </c>
      <c r="Z2" s="220">
        <v>2017</v>
      </c>
      <c r="AA2" s="220">
        <v>2018</v>
      </c>
      <c r="AB2" s="220">
        <v>2019</v>
      </c>
      <c r="AC2" s="220">
        <v>2020</v>
      </c>
      <c r="AD2" s="220">
        <v>2021</v>
      </c>
    </row>
    <row r="3" spans="1:30">
      <c r="A3" s="228" t="s">
        <v>80</v>
      </c>
      <c r="B3" s="220">
        <f>SUM(B4:B34)</f>
        <v>440</v>
      </c>
      <c r="C3" s="220">
        <f t="shared" ref="C3:AD3" si="0">SUM(C4:C34)</f>
        <v>66</v>
      </c>
      <c r="D3" s="220">
        <f t="shared" si="0"/>
        <v>66</v>
      </c>
      <c r="E3" s="220">
        <f t="shared" si="0"/>
        <v>0</v>
      </c>
      <c r="F3" s="220">
        <f t="shared" si="0"/>
        <v>125</v>
      </c>
      <c r="G3" s="220">
        <f t="shared" si="0"/>
        <v>125</v>
      </c>
      <c r="H3" s="220">
        <f t="shared" si="0"/>
        <v>323.2</v>
      </c>
      <c r="I3" s="220">
        <f t="shared" si="0"/>
        <v>0</v>
      </c>
      <c r="J3" s="220">
        <f t="shared" si="0"/>
        <v>0</v>
      </c>
      <c r="K3" s="220">
        <f t="shared" si="0"/>
        <v>0</v>
      </c>
      <c r="L3" s="220">
        <f t="shared" si="0"/>
        <v>1315</v>
      </c>
      <c r="M3" s="220">
        <f t="shared" si="0"/>
        <v>900</v>
      </c>
      <c r="N3" s="220">
        <f t="shared" si="0"/>
        <v>6307</v>
      </c>
      <c r="O3" s="220">
        <f t="shared" si="0"/>
        <v>4795</v>
      </c>
      <c r="P3" s="220">
        <f t="shared" si="0"/>
        <v>7271.82</v>
      </c>
      <c r="Q3" s="220">
        <f t="shared" si="0"/>
        <v>1584.91</v>
      </c>
      <c r="R3" s="220">
        <f t="shared" si="0"/>
        <v>2263.98</v>
      </c>
      <c r="S3" s="220">
        <f t="shared" si="0"/>
        <v>2593.8</v>
      </c>
      <c r="T3" s="220">
        <f t="shared" si="0"/>
        <v>2366.4</v>
      </c>
      <c r="U3" s="220">
        <f t="shared" si="0"/>
        <v>2429</v>
      </c>
      <c r="V3" s="220">
        <f t="shared" si="0"/>
        <v>4386.7</v>
      </c>
      <c r="W3" s="220">
        <f t="shared" si="0"/>
        <v>7836.4</v>
      </c>
      <c r="X3" s="220">
        <f t="shared" si="0"/>
        <v>6753.7</v>
      </c>
      <c r="Y3" s="220">
        <f t="shared" si="0"/>
        <v>2102.4</v>
      </c>
      <c r="Z3" s="220">
        <f t="shared" si="0"/>
        <v>5464.8</v>
      </c>
      <c r="AA3" s="220">
        <f t="shared" si="0"/>
        <v>8257.6</v>
      </c>
      <c r="AB3" s="220">
        <f t="shared" si="0"/>
        <v>5687.7</v>
      </c>
      <c r="AC3" s="220">
        <f t="shared" si="0"/>
        <v>7701.8</v>
      </c>
      <c r="AD3" s="220">
        <f t="shared" si="0"/>
        <v>6204</v>
      </c>
    </row>
    <row r="4" spans="1:30">
      <c r="A4" s="223" t="s">
        <v>1269</v>
      </c>
      <c r="B4" s="220">
        <f>IFERROR(VLOOKUP($A4,'NG Pivot'!$A$37:$N$45,MATCH(B$2,'NG Pivot'!$B$36:$N$36,0)+1,FALSE),0)+IFERROR(VLOOKUP($A4,'NG Pivot'!$A$4:$N$29,MATCH(B$2,'NG Pivot'!$B$3:$N$3,0)+1,FALSE),0)*10</f>
        <v>0</v>
      </c>
      <c r="C4" s="220">
        <f>IFERROR(VLOOKUP($A4,'NG Pivot'!$A$37:$N$45,MATCH(C$2,'NG Pivot'!$B$36:$N$36,0)+1,FALSE),0)+IFERROR(VLOOKUP($A4,'NG Pivot'!$A$4:$N$29,MATCH(C$2,'NG Pivot'!$B$3:$N$3,0)+1,FALSE),0)*10</f>
        <v>0</v>
      </c>
      <c r="D4" s="220">
        <f>IFERROR(VLOOKUP($A4,'NG Pivot'!$A$37:$N$45,MATCH(D$2,'NG Pivot'!$B$36:$N$36,0)+1,FALSE),0)+IFERROR(VLOOKUP($A4,'NG Pivot'!$A$4:$N$29,MATCH(D$2,'NG Pivot'!$B$3:$N$3,0)+1,FALSE),0)*10</f>
        <v>0</v>
      </c>
      <c r="E4" s="220">
        <f>IFERROR(VLOOKUP($A4,'NG Pivot'!$A$37:$N$45,MATCH(E$2,'NG Pivot'!$B$36:$N$36,0)+1,FALSE),0)+IFERROR(VLOOKUP($A4,'NG Pivot'!$A$4:$N$29,MATCH(E$2,'NG Pivot'!$B$3:$N$3,0)+1,FALSE),0)*10</f>
        <v>0</v>
      </c>
      <c r="F4" s="220">
        <f>IFERROR(VLOOKUP($A4,'NG Pivot'!$A$37:$N$45,MATCH(F$2,'NG Pivot'!$B$36:$N$36,0)+1,FALSE),0)+IFERROR(VLOOKUP($A4,'NG Pivot'!$A$4:$N$29,MATCH(F$2,'NG Pivot'!$B$3:$N$3,0)+1,FALSE),0)*10</f>
        <v>0</v>
      </c>
      <c r="G4" s="220">
        <f>IFERROR(VLOOKUP($A4,'NG Pivot'!$A$37:$N$45,MATCH(G$2,'NG Pivot'!$B$36:$N$36,0)+1,FALSE),0)+IFERROR(VLOOKUP($A4,'NG Pivot'!$A$4:$N$29,MATCH(G$2,'NG Pivot'!$B$3:$N$3,0)+1,FALSE),0)*10</f>
        <v>0</v>
      </c>
      <c r="H4" s="220">
        <f>IFERROR(VLOOKUP($A4,'NG Pivot'!$A$37:$N$45,MATCH(H$2,'NG Pivot'!$B$36:$N$36,0)+1,FALSE),0)+IFERROR(VLOOKUP($A4,'NG Pivot'!$A$4:$N$29,MATCH(H$2,'NG Pivot'!$B$3:$N$3,0)+1,FALSE),0)*10</f>
        <v>0</v>
      </c>
      <c r="I4" s="220">
        <f>IFERROR(VLOOKUP($A4,'NG Pivot'!$A$37:$N$45,MATCH(I$2,'NG Pivot'!$B$36:$N$36,0)+1,FALSE),0)+IFERROR(VLOOKUP($A4,'NG Pivot'!$A$4:$N$29,MATCH(I$2,'NG Pivot'!$B$3:$N$3,0)+1,FALSE),0)*10</f>
        <v>0</v>
      </c>
      <c r="J4" s="220">
        <f>IFERROR(VLOOKUP($A4,'NG Pivot'!$A$37:$N$45,MATCH(J$2,'NG Pivot'!$B$36:$N$36,0)+1,FALSE),0)+IFERROR(VLOOKUP($A4,'NG Pivot'!$A$4:$N$29,MATCH(J$2,'NG Pivot'!$B$3:$N$3,0)+1,FALSE),0)*10</f>
        <v>0</v>
      </c>
      <c r="K4" s="220">
        <f>IFERROR(VLOOKUP($A4,'NG Pivot'!$A$37:$N$45,MATCH(K$2,'NG Pivot'!$B$36:$N$36,0)+1,FALSE),0)+IFERROR(VLOOKUP($A4,'NG Pivot'!$A$4:$N$29,MATCH(K$2,'NG Pivot'!$B$3:$N$3,0)+1,FALSE),0)*10</f>
        <v>0</v>
      </c>
      <c r="L4" s="220">
        <f>IFERROR(VLOOKUP($A4,'NG Pivot'!$A$37:$N$45,MATCH(L$2,'NG Pivot'!$B$36:$N$36,0)+1,FALSE),0)+IFERROR(VLOOKUP($A4,'NG Pivot'!$A$4:$N$29,MATCH(L$2,'NG Pivot'!$B$3:$N$3,0)+1,FALSE),0)*10</f>
        <v>0</v>
      </c>
      <c r="M4" s="220">
        <f>IFERROR(VLOOKUP($A4,'NG Pivot'!$A$37:$N$45,MATCH(M$2,'NG Pivot'!$B$36:$N$36,0)+1,FALSE),0)+IFERROR(VLOOKUP($A4,'NG Pivot'!$A$4:$N$29,MATCH(M$2,'NG Pivot'!$B$3:$N$3,0)+1,FALSE),0)*10</f>
        <v>0</v>
      </c>
      <c r="N4" s="220">
        <f>IFERROR(VLOOKUP($A4,'NG Pivot'!$A$37:$N$45,MATCH(N$2,'NG Pivot'!$B$36:$N$36,0)+1,FALSE),0)+IFERROR(VLOOKUP($A4,'NG Pivot'!$A$4:$N$29,MATCH(N$2,'NG Pivot'!$B$3:$N$3,0)+1,FALSE),0)*10</f>
        <v>0</v>
      </c>
      <c r="O4" s="220">
        <f>IFERROR(VLOOKUP($A4,'NG Pivot'!$A$37:$N$45,MATCH(O$2,'NG Pivot'!$B$36:$N$36,0)+1,FALSE),0)+IFERROR(VLOOKUP($A4,'NG Pivot'!$A$4:$N$29,MATCH(O$2,'NG Pivot'!$B$3:$N$3,0)+1,FALSE),0)*10</f>
        <v>560</v>
      </c>
      <c r="P4" s="220">
        <f>IFERROR(VLOOKUP($A4,'NG Pivot'!$A$37:$N$45,MATCH(P$2,'NG Pivot'!$B$36:$N$36,0)+1,FALSE),0)+IFERROR(VLOOKUP($A4,'NG Pivot'!$A$4:$N$29,MATCH(P$2,'NG Pivot'!$B$3:$N$3,0)+1,FALSE),0)*10</f>
        <v>0</v>
      </c>
      <c r="Q4" s="220">
        <f>IFERROR(VLOOKUP($A4,'NG Pivot'!$A$37:$N$45,MATCH(Q$2,'NG Pivot'!$B$36:$N$36,0)+1,FALSE),0)+IFERROR(VLOOKUP($A4,'NG Pivot'!$A$4:$N$29,MATCH(Q$2,'NG Pivot'!$B$3:$N$3,0)+1,FALSE),0)*10</f>
        <v>780</v>
      </c>
      <c r="R4" s="220">
        <f>IFERROR(VLOOKUP($A4,'NG Pivot'!$A$37:$N$45,MATCH(R$2,'NG Pivot'!$B$36:$N$36,0)+1,FALSE),0)+IFERROR(VLOOKUP($A4,'NG Pivot'!$A$4:$N$29,MATCH(R$2,'NG Pivot'!$B$3:$N$3,0)+1,FALSE),0)*10</f>
        <v>119.98</v>
      </c>
      <c r="S4" s="220">
        <f>IFERROR(VLOOKUP($A4,'NG Pivot'!$A$37:$N$45,MATCH(S$2,'NG Pivot'!$B$36:$N$36,0)+1,FALSE),0)+IFERROR(VLOOKUP($A4,'NG Pivot'!$A$4:$N$29,MATCH(S$2,'NG Pivot'!$B$3:$N$3,0)+1,FALSE),0)*10</f>
        <v>0</v>
      </c>
      <c r="T4" s="220">
        <f>IFERROR(VLOOKUP($A4,'NG Pivot'!$A$37:$N$45,MATCH(T$2,'NG Pivot'!$B$36:$N$36,0)+1,FALSE),0)+IFERROR(VLOOKUP($A4,'NG Pivot'!$A$4:$N$29,MATCH(T$2,'NG Pivot'!$B$3:$N$3,0)+1,FALSE),0)*10</f>
        <v>923.4</v>
      </c>
      <c r="U4" s="220">
        <f>IFERROR(VLOOKUP($A4,'NG Pivot'!$A$37:$N$45,MATCH(U$2,'NG Pivot'!$B$36:$N$36,0)+1,FALSE),0)+IFERROR(VLOOKUP($A4,'NG Pivot'!$A$4:$N$29,MATCH(U$2,'NG Pivot'!$B$3:$N$3,0)+1,FALSE),0)*10</f>
        <v>0</v>
      </c>
      <c r="V4" s="220">
        <f>IFERROR(VLOOKUP($A4,'NG Pivot'!$A$37:$N$45,MATCH(V$2,'NG Pivot'!$B$36:$N$36,0)+1,FALSE),0)+IFERROR(VLOOKUP($A4,'NG Pivot'!$A$4:$N$29,MATCH(V$2,'NG Pivot'!$B$3:$N$3,0)+1,FALSE),0)*10</f>
        <v>838</v>
      </c>
      <c r="W4" s="220">
        <f>IFERROR(VLOOKUP($A4,'NG Pivot'!$A$37:$N$45,MATCH(W$2,'NG Pivot'!$B$36:$N$36,0)+1,FALSE),0)+IFERROR(VLOOKUP($A4,'NG Pivot'!$A$4:$N$29,MATCH(W$2,'NG Pivot'!$B$3:$N$3,0)+1,FALSE),0)*10</f>
        <v>3787</v>
      </c>
      <c r="X4" s="220">
        <f>IFERROR(VLOOKUP($A4,'NG Pivot'!$A$37:$N$45,MATCH(X$2,'NG Pivot'!$B$36:$N$36,0)+1,FALSE),0)+IFERROR(VLOOKUP($A4,'NG Pivot'!$A$4:$N$29,MATCH(X$2,'NG Pivot'!$B$3:$N$3,0)+1,FALSE),0)*10</f>
        <v>950</v>
      </c>
      <c r="Y4" s="220">
        <f>IFERROR(VLOOKUP($A4,'NG Pivot'!$A$37:$N$45,MATCH(Y$2,'NG Pivot'!$B$36:$N$36,0)+1,FALSE),0)+IFERROR(VLOOKUP($A4,'NG Pivot'!$A$4:$N$29,MATCH(Y$2,'NG Pivot'!$B$3:$N$3,0)+1,FALSE),0)*10</f>
        <v>13.3</v>
      </c>
      <c r="Z4" s="220">
        <f>IFERROR(VLOOKUP($A4,'NG Pivot'!$A$37:$N$45,MATCH(Z$2,'NG Pivot'!$B$36:$N$36,0)+1,FALSE),0)+IFERROR(VLOOKUP($A4,'NG Pivot'!$A$4:$N$29,MATCH(Z$2,'NG Pivot'!$B$3:$N$3,0)+1,FALSE),0)*10</f>
        <v>998</v>
      </c>
      <c r="AA4" s="220">
        <f>IFERROR(VLOOKUP($A4,'NG Pivot'!$A$37:$N$45,MATCH(AA$2,'NG Pivot'!$B$36:$N$36,0)+1,FALSE),0)+IFERROR(VLOOKUP($A4,'NG Pivot'!$A$4:$N$29,MATCH(AA$2,'NG Pivot'!$B$3:$N$3,0)+1,FALSE),0)*10</f>
        <v>266</v>
      </c>
      <c r="AB4" s="220">
        <f>IFERROR(VLOOKUP($A4,'NG Pivot'!$A$37:$N$45,MATCH(AB$2,'NG Pivot'!$B$36:$N$36,0)+1,FALSE),0)+IFERROR(VLOOKUP($A4,'NG Pivot'!$A$4:$N$29,MATCH(AB$2,'NG Pivot'!$B$3:$N$3,0)+1,FALSE),0)*10</f>
        <v>80</v>
      </c>
      <c r="AC4" s="220">
        <f>IFERROR(VLOOKUP($A4,'NG Pivot'!$A$37:$N$45,MATCH(AC$2,'NG Pivot'!$B$36:$N$36,0)+1,FALSE),0)+IFERROR(VLOOKUP($A4,'NG Pivot'!$A$4:$N$29,MATCH(AC$2,'NG Pivot'!$B$3:$N$3,0)+1,FALSE),0)*10</f>
        <v>0</v>
      </c>
      <c r="AD4" s="220">
        <f>IFERROR(VLOOKUP($A4,'NG Pivot'!$A$37:$N$45,MATCH(AD$2,'NG Pivot'!$B$36:$N$36,0)+1,FALSE),0)+IFERROR(VLOOKUP($A4,'NG Pivot'!$A$4:$N$29,MATCH(AD$2,'NG Pivot'!$B$3:$N$3,0)+1,FALSE),0)*10</f>
        <v>0</v>
      </c>
    </row>
    <row r="5" spans="1:30">
      <c r="A5" s="223" t="s">
        <v>1270</v>
      </c>
      <c r="B5" s="220">
        <f>IFERROR(VLOOKUP($A5,'NG Pivot'!$A$37:$N$45,MATCH(B$2,'NG Pivot'!$B$36:$N$36,0)+1,FALSE),0)+IFERROR(VLOOKUP($A5,'NG Pivot'!$A$4:$N$29,MATCH(B$2,'NG Pivot'!$B$3:$N$3,0)+1,FALSE),0)*10</f>
        <v>0</v>
      </c>
      <c r="C5" s="220">
        <f>IFERROR(VLOOKUP($A5,'NG Pivot'!$A$37:$N$45,MATCH(C$2,'NG Pivot'!$B$36:$N$36,0)+1,FALSE),0)+IFERROR(VLOOKUP($A5,'NG Pivot'!$A$4:$N$29,MATCH(C$2,'NG Pivot'!$B$3:$N$3,0)+1,FALSE),0)*10</f>
        <v>0</v>
      </c>
      <c r="D5" s="220">
        <f>IFERROR(VLOOKUP($A5,'NG Pivot'!$A$37:$N$45,MATCH(D$2,'NG Pivot'!$B$36:$N$36,0)+1,FALSE),0)+IFERROR(VLOOKUP($A5,'NG Pivot'!$A$4:$N$29,MATCH(D$2,'NG Pivot'!$B$3:$N$3,0)+1,FALSE),0)*10</f>
        <v>0</v>
      </c>
      <c r="E5" s="220">
        <f>IFERROR(VLOOKUP($A5,'NG Pivot'!$A$37:$N$45,MATCH(E$2,'NG Pivot'!$B$36:$N$36,0)+1,FALSE),0)+IFERROR(VLOOKUP($A5,'NG Pivot'!$A$4:$N$29,MATCH(E$2,'NG Pivot'!$B$3:$N$3,0)+1,FALSE),0)*10</f>
        <v>0</v>
      </c>
      <c r="F5" s="220">
        <f>IFERROR(VLOOKUP($A5,'NG Pivot'!$A$37:$N$45,MATCH(F$2,'NG Pivot'!$B$36:$N$36,0)+1,FALSE),0)+IFERROR(VLOOKUP($A5,'NG Pivot'!$A$4:$N$29,MATCH(F$2,'NG Pivot'!$B$3:$N$3,0)+1,FALSE),0)*10</f>
        <v>0</v>
      </c>
      <c r="G5" s="220">
        <f>IFERROR(VLOOKUP($A5,'NG Pivot'!$A$37:$N$45,MATCH(G$2,'NG Pivot'!$B$36:$N$36,0)+1,FALSE),0)+IFERROR(VLOOKUP($A5,'NG Pivot'!$A$4:$N$29,MATCH(G$2,'NG Pivot'!$B$3:$N$3,0)+1,FALSE),0)*10</f>
        <v>0</v>
      </c>
      <c r="H5" s="220">
        <f>IFERROR(VLOOKUP($A5,'NG Pivot'!$A$37:$N$45,MATCH(H$2,'NG Pivot'!$B$36:$N$36,0)+1,FALSE),0)+IFERROR(VLOOKUP($A5,'NG Pivot'!$A$4:$N$29,MATCH(H$2,'NG Pivot'!$B$3:$N$3,0)+1,FALSE),0)*10</f>
        <v>0</v>
      </c>
      <c r="I5" s="220">
        <f>IFERROR(VLOOKUP($A5,'NG Pivot'!$A$37:$N$45,MATCH(I$2,'NG Pivot'!$B$36:$N$36,0)+1,FALSE),0)+IFERROR(VLOOKUP($A5,'NG Pivot'!$A$4:$N$29,MATCH(I$2,'NG Pivot'!$B$3:$N$3,0)+1,FALSE),0)*10</f>
        <v>0</v>
      </c>
      <c r="J5" s="220">
        <f>IFERROR(VLOOKUP($A5,'NG Pivot'!$A$37:$N$45,MATCH(J$2,'NG Pivot'!$B$36:$N$36,0)+1,FALSE),0)+IFERROR(VLOOKUP($A5,'NG Pivot'!$A$4:$N$29,MATCH(J$2,'NG Pivot'!$B$3:$N$3,0)+1,FALSE),0)*10</f>
        <v>0</v>
      </c>
      <c r="K5" s="220">
        <f>IFERROR(VLOOKUP($A5,'NG Pivot'!$A$37:$N$45,MATCH(K$2,'NG Pivot'!$B$36:$N$36,0)+1,FALSE),0)+IFERROR(VLOOKUP($A5,'NG Pivot'!$A$4:$N$29,MATCH(K$2,'NG Pivot'!$B$3:$N$3,0)+1,FALSE),0)*10</f>
        <v>0</v>
      </c>
      <c r="L5" s="220">
        <f>IFERROR(VLOOKUP($A5,'NG Pivot'!$A$37:$N$45,MATCH(L$2,'NG Pivot'!$B$36:$N$36,0)+1,FALSE),0)+IFERROR(VLOOKUP($A5,'NG Pivot'!$A$4:$N$29,MATCH(L$2,'NG Pivot'!$B$3:$N$3,0)+1,FALSE),0)*10</f>
        <v>0</v>
      </c>
      <c r="M5" s="220">
        <f>IFERROR(VLOOKUP($A5,'NG Pivot'!$A$37:$N$45,MATCH(M$2,'NG Pivot'!$B$36:$N$36,0)+1,FALSE),0)+IFERROR(VLOOKUP($A5,'NG Pivot'!$A$4:$N$29,MATCH(M$2,'NG Pivot'!$B$3:$N$3,0)+1,FALSE),0)*10</f>
        <v>0</v>
      </c>
      <c r="N5" s="220">
        <f>IFERROR(VLOOKUP($A5,'NG Pivot'!$A$37:$N$45,MATCH(N$2,'NG Pivot'!$B$36:$N$36,0)+1,FALSE),0)+IFERROR(VLOOKUP($A5,'NG Pivot'!$A$4:$N$29,MATCH(N$2,'NG Pivot'!$B$3:$N$3,0)+1,FALSE),0)*10</f>
        <v>0</v>
      </c>
      <c r="O5" s="220">
        <f>IFERROR(VLOOKUP($A5,'NG Pivot'!$A$37:$N$45,MATCH(O$2,'NG Pivot'!$B$36:$N$36,0)+1,FALSE),0)+IFERROR(VLOOKUP($A5,'NG Pivot'!$A$4:$N$29,MATCH(O$2,'NG Pivot'!$B$3:$N$3,0)+1,FALSE),0)*10</f>
        <v>0</v>
      </c>
      <c r="P5" s="220">
        <f>IFERROR(VLOOKUP($A5,'NG Pivot'!$A$37:$N$45,MATCH(P$2,'NG Pivot'!$B$36:$N$36,0)+1,FALSE),0)+IFERROR(VLOOKUP($A5,'NG Pivot'!$A$4:$N$29,MATCH(P$2,'NG Pivot'!$B$3:$N$3,0)+1,FALSE),0)*10</f>
        <v>0</v>
      </c>
      <c r="Q5" s="220">
        <f>IFERROR(VLOOKUP($A5,'NG Pivot'!$A$37:$N$45,MATCH(Q$2,'NG Pivot'!$B$36:$N$36,0)+1,FALSE),0)+IFERROR(VLOOKUP($A5,'NG Pivot'!$A$4:$N$29,MATCH(Q$2,'NG Pivot'!$B$3:$N$3,0)+1,FALSE),0)*10</f>
        <v>0</v>
      </c>
      <c r="R5" s="220">
        <f>IFERROR(VLOOKUP($A5,'NG Pivot'!$A$37:$N$45,MATCH(R$2,'NG Pivot'!$B$36:$N$36,0)+1,FALSE),0)+IFERROR(VLOOKUP($A5,'NG Pivot'!$A$4:$N$29,MATCH(R$2,'NG Pivot'!$B$3:$N$3,0)+1,FALSE),0)*10</f>
        <v>0</v>
      </c>
      <c r="S5" s="220">
        <f>IFERROR(VLOOKUP($A5,'NG Pivot'!$A$37:$N$45,MATCH(S$2,'NG Pivot'!$B$36:$N$36,0)+1,FALSE),0)+IFERROR(VLOOKUP($A5,'NG Pivot'!$A$4:$N$29,MATCH(S$2,'NG Pivot'!$B$3:$N$3,0)+1,FALSE),0)*10</f>
        <v>0</v>
      </c>
      <c r="T5" s="220">
        <f>IFERROR(VLOOKUP($A5,'NG Pivot'!$A$37:$N$45,MATCH(T$2,'NG Pivot'!$B$36:$N$36,0)+1,FALSE),0)+IFERROR(VLOOKUP($A5,'NG Pivot'!$A$4:$N$29,MATCH(T$2,'NG Pivot'!$B$3:$N$3,0)+1,FALSE),0)*10</f>
        <v>0</v>
      </c>
      <c r="U5" s="220">
        <f>IFERROR(VLOOKUP($A5,'NG Pivot'!$A$37:$N$45,MATCH(U$2,'NG Pivot'!$B$36:$N$36,0)+1,FALSE),0)+IFERROR(VLOOKUP($A5,'NG Pivot'!$A$4:$N$29,MATCH(U$2,'NG Pivot'!$B$3:$N$3,0)+1,FALSE),0)*10</f>
        <v>0</v>
      </c>
      <c r="V5" s="220">
        <f>IFERROR(VLOOKUP($A5,'NG Pivot'!$A$37:$N$45,MATCH(V$2,'NG Pivot'!$B$36:$N$36,0)+1,FALSE),0)+IFERROR(VLOOKUP($A5,'NG Pivot'!$A$4:$N$29,MATCH(V$2,'NG Pivot'!$B$3:$N$3,0)+1,FALSE),0)*10</f>
        <v>0</v>
      </c>
      <c r="W5" s="220">
        <f>IFERROR(VLOOKUP($A5,'NG Pivot'!$A$37:$N$45,MATCH(W$2,'NG Pivot'!$B$36:$N$36,0)+1,FALSE),0)+IFERROR(VLOOKUP($A5,'NG Pivot'!$A$4:$N$29,MATCH(W$2,'NG Pivot'!$B$3:$N$3,0)+1,FALSE),0)*10</f>
        <v>463</v>
      </c>
      <c r="X5" s="220">
        <f>IFERROR(VLOOKUP($A5,'NG Pivot'!$A$37:$N$45,MATCH(X$2,'NG Pivot'!$B$36:$N$36,0)+1,FALSE),0)+IFERROR(VLOOKUP($A5,'NG Pivot'!$A$4:$N$29,MATCH(X$2,'NG Pivot'!$B$3:$N$3,0)+1,FALSE),0)*10</f>
        <v>0.2</v>
      </c>
      <c r="Y5" s="220">
        <f>IFERROR(VLOOKUP($A5,'NG Pivot'!$A$37:$N$45,MATCH(Y$2,'NG Pivot'!$B$36:$N$36,0)+1,FALSE),0)+IFERROR(VLOOKUP($A5,'NG Pivot'!$A$4:$N$29,MATCH(Y$2,'NG Pivot'!$B$3:$N$3,0)+1,FALSE),0)*10</f>
        <v>923.7</v>
      </c>
      <c r="Z5" s="220">
        <f>IFERROR(VLOOKUP($A5,'NG Pivot'!$A$37:$N$45,MATCH(Z$2,'NG Pivot'!$B$36:$N$36,0)+1,FALSE),0)+IFERROR(VLOOKUP($A5,'NG Pivot'!$A$4:$N$29,MATCH(Z$2,'NG Pivot'!$B$3:$N$3,0)+1,FALSE),0)*10</f>
        <v>2</v>
      </c>
      <c r="AA5" s="220">
        <f>IFERROR(VLOOKUP($A5,'NG Pivot'!$A$37:$N$45,MATCH(AA$2,'NG Pivot'!$B$36:$N$36,0)+1,FALSE),0)+IFERROR(VLOOKUP($A5,'NG Pivot'!$A$4:$N$29,MATCH(AA$2,'NG Pivot'!$B$3:$N$3,0)+1,FALSE),0)*10</f>
        <v>132.3</v>
      </c>
      <c r="AB5" s="220">
        <f>IFERROR(VLOOKUP($A5,'NG Pivot'!$A$37:$N$45,MATCH(AB$2,'NG Pivot'!$B$36:$N$36,0)+1,FALSE),0)+IFERROR(VLOOKUP($A5,'NG Pivot'!$A$4:$N$29,MATCH(AB$2,'NG Pivot'!$B$3:$N$3,0)+1,FALSE),0)*10</f>
        <v>930</v>
      </c>
      <c r="AC5" s="220">
        <f>IFERROR(VLOOKUP($A5,'NG Pivot'!$A$37:$N$45,MATCH(AC$2,'NG Pivot'!$B$36:$N$36,0)+1,FALSE),0)+IFERROR(VLOOKUP($A5,'NG Pivot'!$A$4:$N$29,MATCH(AC$2,'NG Pivot'!$B$3:$N$3,0)+1,FALSE),0)*10</f>
        <v>650</v>
      </c>
      <c r="AD5" s="220">
        <f>IFERROR(VLOOKUP($A5,'NG Pivot'!$A$37:$N$45,MATCH(AD$2,'NG Pivot'!$B$36:$N$36,0)+1,FALSE),0)+IFERROR(VLOOKUP($A5,'NG Pivot'!$A$4:$N$29,MATCH(AD$2,'NG Pivot'!$B$3:$N$3,0)+1,FALSE),0)*10</f>
        <v>0.4</v>
      </c>
    </row>
    <row r="6" spans="1:30">
      <c r="A6" s="223" t="s">
        <v>1271</v>
      </c>
      <c r="B6" s="220">
        <f>IFERROR(VLOOKUP($A6,'NG Pivot'!$A$37:$N$45,MATCH(B$2,'NG Pivot'!$B$36:$N$36,0)+1,FALSE),0)+IFERROR(VLOOKUP($A6,'NG Pivot'!$A$4:$N$29,MATCH(B$2,'NG Pivot'!$B$3:$N$3,0)+1,FALSE),0)*10</f>
        <v>0</v>
      </c>
      <c r="C6" s="220">
        <f>IFERROR(VLOOKUP($A6,'NG Pivot'!$A$37:$N$45,MATCH(C$2,'NG Pivot'!$B$36:$N$36,0)+1,FALSE),0)+IFERROR(VLOOKUP($A6,'NG Pivot'!$A$4:$N$29,MATCH(C$2,'NG Pivot'!$B$3:$N$3,0)+1,FALSE),0)*10</f>
        <v>0</v>
      </c>
      <c r="D6" s="220">
        <f>IFERROR(VLOOKUP($A6,'NG Pivot'!$A$37:$N$45,MATCH(D$2,'NG Pivot'!$B$36:$N$36,0)+1,FALSE),0)+IFERROR(VLOOKUP($A6,'NG Pivot'!$A$4:$N$29,MATCH(D$2,'NG Pivot'!$B$3:$N$3,0)+1,FALSE),0)*10</f>
        <v>0</v>
      </c>
      <c r="E6" s="220">
        <f>IFERROR(VLOOKUP($A6,'NG Pivot'!$A$37:$N$45,MATCH(E$2,'NG Pivot'!$B$36:$N$36,0)+1,FALSE),0)+IFERROR(VLOOKUP($A6,'NG Pivot'!$A$4:$N$29,MATCH(E$2,'NG Pivot'!$B$3:$N$3,0)+1,FALSE),0)*10</f>
        <v>0</v>
      </c>
      <c r="F6" s="220">
        <f>IFERROR(VLOOKUP($A6,'NG Pivot'!$A$37:$N$45,MATCH(F$2,'NG Pivot'!$B$36:$N$36,0)+1,FALSE),0)+IFERROR(VLOOKUP($A6,'NG Pivot'!$A$4:$N$29,MATCH(F$2,'NG Pivot'!$B$3:$N$3,0)+1,FALSE),0)*10</f>
        <v>0</v>
      </c>
      <c r="G6" s="220">
        <f>IFERROR(VLOOKUP($A6,'NG Pivot'!$A$37:$N$45,MATCH(G$2,'NG Pivot'!$B$36:$N$36,0)+1,FALSE),0)+IFERROR(VLOOKUP($A6,'NG Pivot'!$A$4:$N$29,MATCH(G$2,'NG Pivot'!$B$3:$N$3,0)+1,FALSE),0)*10</f>
        <v>0</v>
      </c>
      <c r="H6" s="220">
        <f>IFERROR(VLOOKUP($A6,'NG Pivot'!$A$37:$N$45,MATCH(H$2,'NG Pivot'!$B$36:$N$36,0)+1,FALSE),0)+IFERROR(VLOOKUP($A6,'NG Pivot'!$A$4:$N$29,MATCH(H$2,'NG Pivot'!$B$3:$N$3,0)+1,FALSE),0)*10</f>
        <v>0</v>
      </c>
      <c r="I6" s="220">
        <f>IFERROR(VLOOKUP($A6,'NG Pivot'!$A$37:$N$45,MATCH(I$2,'NG Pivot'!$B$36:$N$36,0)+1,FALSE),0)+IFERROR(VLOOKUP($A6,'NG Pivot'!$A$4:$N$29,MATCH(I$2,'NG Pivot'!$B$3:$N$3,0)+1,FALSE),0)*10</f>
        <v>0</v>
      </c>
      <c r="J6" s="220">
        <f>IFERROR(VLOOKUP($A6,'NG Pivot'!$A$37:$N$45,MATCH(J$2,'NG Pivot'!$B$36:$N$36,0)+1,FALSE),0)+IFERROR(VLOOKUP($A6,'NG Pivot'!$A$4:$N$29,MATCH(J$2,'NG Pivot'!$B$3:$N$3,0)+1,FALSE),0)*10</f>
        <v>0</v>
      </c>
      <c r="K6" s="220">
        <f>IFERROR(VLOOKUP($A6,'NG Pivot'!$A$37:$N$45,MATCH(K$2,'NG Pivot'!$B$36:$N$36,0)+1,FALSE),0)+IFERROR(VLOOKUP($A6,'NG Pivot'!$A$4:$N$29,MATCH(K$2,'NG Pivot'!$B$3:$N$3,0)+1,FALSE),0)*10</f>
        <v>0</v>
      </c>
      <c r="L6" s="220">
        <f>IFERROR(VLOOKUP($A6,'NG Pivot'!$A$37:$N$45,MATCH(L$2,'NG Pivot'!$B$36:$N$36,0)+1,FALSE),0)+IFERROR(VLOOKUP($A6,'NG Pivot'!$A$4:$N$29,MATCH(L$2,'NG Pivot'!$B$3:$N$3,0)+1,FALSE),0)*10</f>
        <v>0</v>
      </c>
      <c r="M6" s="220">
        <f>IFERROR(VLOOKUP($A6,'NG Pivot'!$A$37:$N$45,MATCH(M$2,'NG Pivot'!$B$36:$N$36,0)+1,FALSE),0)+IFERROR(VLOOKUP($A6,'NG Pivot'!$A$4:$N$29,MATCH(M$2,'NG Pivot'!$B$3:$N$3,0)+1,FALSE),0)*10</f>
        <v>0</v>
      </c>
      <c r="N6" s="220">
        <f>IFERROR(VLOOKUP($A6,'NG Pivot'!$A$37:$N$45,MATCH(N$2,'NG Pivot'!$B$36:$N$36,0)+1,FALSE),0)+IFERROR(VLOOKUP($A6,'NG Pivot'!$A$4:$N$29,MATCH(N$2,'NG Pivot'!$B$3:$N$3,0)+1,FALSE),0)*10</f>
        <v>0</v>
      </c>
      <c r="O6" s="220">
        <f>IFERROR(VLOOKUP($A6,'NG Pivot'!$A$37:$N$45,MATCH(O$2,'NG Pivot'!$B$36:$N$36,0)+1,FALSE),0)+IFERROR(VLOOKUP($A6,'NG Pivot'!$A$4:$N$29,MATCH(O$2,'NG Pivot'!$B$3:$N$3,0)+1,FALSE),0)*10</f>
        <v>0</v>
      </c>
      <c r="P6" s="220">
        <f>IFERROR(VLOOKUP($A6,'NG Pivot'!$A$37:$N$45,MATCH(P$2,'NG Pivot'!$B$36:$N$36,0)+1,FALSE),0)+IFERROR(VLOOKUP($A6,'NG Pivot'!$A$4:$N$29,MATCH(P$2,'NG Pivot'!$B$3:$N$3,0)+1,FALSE),0)*10</f>
        <v>0</v>
      </c>
      <c r="Q6" s="220">
        <f>IFERROR(VLOOKUP($A6,'NG Pivot'!$A$37:$N$45,MATCH(Q$2,'NG Pivot'!$B$36:$N$36,0)+1,FALSE),0)+IFERROR(VLOOKUP($A6,'NG Pivot'!$A$4:$N$29,MATCH(Q$2,'NG Pivot'!$B$3:$N$3,0)+1,FALSE),0)*10</f>
        <v>0</v>
      </c>
      <c r="R6" s="220">
        <f>IFERROR(VLOOKUP($A6,'NG Pivot'!$A$37:$N$45,MATCH(R$2,'NG Pivot'!$B$36:$N$36,0)+1,FALSE),0)+IFERROR(VLOOKUP($A6,'NG Pivot'!$A$4:$N$29,MATCH(R$2,'NG Pivot'!$B$3:$N$3,0)+1,FALSE),0)*10</f>
        <v>0</v>
      </c>
      <c r="S6" s="220">
        <f>IFERROR(VLOOKUP($A6,'NG Pivot'!$A$37:$N$45,MATCH(S$2,'NG Pivot'!$B$36:$N$36,0)+1,FALSE),0)+IFERROR(VLOOKUP($A6,'NG Pivot'!$A$4:$N$29,MATCH(S$2,'NG Pivot'!$B$3:$N$3,0)+1,FALSE),0)*10</f>
        <v>0</v>
      </c>
      <c r="T6" s="220">
        <f>IFERROR(VLOOKUP($A6,'NG Pivot'!$A$37:$N$45,MATCH(T$2,'NG Pivot'!$B$36:$N$36,0)+1,FALSE),0)+IFERROR(VLOOKUP($A6,'NG Pivot'!$A$4:$N$29,MATCH(T$2,'NG Pivot'!$B$3:$N$3,0)+1,FALSE),0)*10</f>
        <v>0</v>
      </c>
      <c r="U6" s="220">
        <f>IFERROR(VLOOKUP($A6,'NG Pivot'!$A$37:$N$45,MATCH(U$2,'NG Pivot'!$B$36:$N$36,0)+1,FALSE),0)+IFERROR(VLOOKUP($A6,'NG Pivot'!$A$4:$N$29,MATCH(U$2,'NG Pivot'!$B$3:$N$3,0)+1,FALSE),0)*10</f>
        <v>0</v>
      </c>
      <c r="V6" s="220">
        <f>IFERROR(VLOOKUP($A6,'NG Pivot'!$A$37:$N$45,MATCH(V$2,'NG Pivot'!$B$36:$N$36,0)+1,FALSE),0)+IFERROR(VLOOKUP($A6,'NG Pivot'!$A$4:$N$29,MATCH(V$2,'NG Pivot'!$B$3:$N$3,0)+1,FALSE),0)*10</f>
        <v>0</v>
      </c>
      <c r="W6" s="220">
        <f>IFERROR(VLOOKUP($A6,'NG Pivot'!$A$37:$N$45,MATCH(W$2,'NG Pivot'!$B$36:$N$36,0)+1,FALSE),0)+IFERROR(VLOOKUP($A6,'NG Pivot'!$A$4:$N$29,MATCH(W$2,'NG Pivot'!$B$3:$N$3,0)+1,FALSE),0)*10</f>
        <v>0</v>
      </c>
      <c r="X6" s="220">
        <f>IFERROR(VLOOKUP($A6,'NG Pivot'!$A$37:$N$45,MATCH(X$2,'NG Pivot'!$B$36:$N$36,0)+1,FALSE),0)+IFERROR(VLOOKUP($A6,'NG Pivot'!$A$4:$N$29,MATCH(X$2,'NG Pivot'!$B$3:$N$3,0)+1,FALSE),0)*10</f>
        <v>0</v>
      </c>
      <c r="Y6" s="220">
        <f>IFERROR(VLOOKUP($A6,'NG Pivot'!$A$37:$N$45,MATCH(Y$2,'NG Pivot'!$B$36:$N$36,0)+1,FALSE),0)+IFERROR(VLOOKUP($A6,'NG Pivot'!$A$4:$N$29,MATCH(Y$2,'NG Pivot'!$B$3:$N$3,0)+1,FALSE),0)*10</f>
        <v>0</v>
      </c>
      <c r="Z6" s="220">
        <f>IFERROR(VLOOKUP($A6,'NG Pivot'!$A$37:$N$45,MATCH(Z$2,'NG Pivot'!$B$36:$N$36,0)+1,FALSE),0)+IFERROR(VLOOKUP($A6,'NG Pivot'!$A$4:$N$29,MATCH(Z$2,'NG Pivot'!$B$3:$N$3,0)+1,FALSE),0)*10</f>
        <v>0</v>
      </c>
      <c r="AA6" s="220">
        <f>IFERROR(VLOOKUP($A6,'NG Pivot'!$A$37:$N$45,MATCH(AA$2,'NG Pivot'!$B$36:$N$36,0)+1,FALSE),0)+IFERROR(VLOOKUP($A6,'NG Pivot'!$A$4:$N$29,MATCH(AA$2,'NG Pivot'!$B$3:$N$3,0)+1,FALSE),0)*10</f>
        <v>0</v>
      </c>
      <c r="AB6" s="220">
        <f>IFERROR(VLOOKUP($A6,'NG Pivot'!$A$37:$N$45,MATCH(AB$2,'NG Pivot'!$B$36:$N$36,0)+1,FALSE),0)+IFERROR(VLOOKUP($A6,'NG Pivot'!$A$4:$N$29,MATCH(AB$2,'NG Pivot'!$B$3:$N$3,0)+1,FALSE),0)*10</f>
        <v>453.6</v>
      </c>
      <c r="AC6" s="220">
        <f>IFERROR(VLOOKUP($A6,'NG Pivot'!$A$37:$N$45,MATCH(AC$2,'NG Pivot'!$B$36:$N$36,0)+1,FALSE),0)+IFERROR(VLOOKUP($A6,'NG Pivot'!$A$4:$N$29,MATCH(AC$2,'NG Pivot'!$B$3:$N$3,0)+1,FALSE),0)*10</f>
        <v>453.6</v>
      </c>
      <c r="AD6" s="220">
        <f>IFERROR(VLOOKUP($A6,'NG Pivot'!$A$37:$N$45,MATCH(AD$2,'NG Pivot'!$B$36:$N$36,0)+1,FALSE),0)+IFERROR(VLOOKUP($A6,'NG Pivot'!$A$4:$N$29,MATCH(AD$2,'NG Pivot'!$B$3:$N$3,0)+1,FALSE),0)*10</f>
        <v>0</v>
      </c>
    </row>
    <row r="7" spans="1:30">
      <c r="A7" s="223" t="s">
        <v>1272</v>
      </c>
      <c r="B7" s="220">
        <f>IFERROR(VLOOKUP($A7,'NG Pivot'!$A$37:$N$45,MATCH(B$2,'NG Pivot'!$B$36:$N$36,0)+1,FALSE),0)+IFERROR(VLOOKUP($A7,'NG Pivot'!$A$4:$N$29,MATCH(B$2,'NG Pivot'!$B$3:$N$3,0)+1,FALSE),0)*10</f>
        <v>0</v>
      </c>
      <c r="C7" s="220">
        <f>IFERROR(VLOOKUP($A7,'NG Pivot'!$A$37:$N$45,MATCH(C$2,'NG Pivot'!$B$36:$N$36,0)+1,FALSE),0)+IFERROR(VLOOKUP($A7,'NG Pivot'!$A$4:$N$29,MATCH(C$2,'NG Pivot'!$B$3:$N$3,0)+1,FALSE),0)*10</f>
        <v>0</v>
      </c>
      <c r="D7" s="220">
        <f>IFERROR(VLOOKUP($A7,'NG Pivot'!$A$37:$N$45,MATCH(D$2,'NG Pivot'!$B$36:$N$36,0)+1,FALSE),0)+IFERROR(VLOOKUP($A7,'NG Pivot'!$A$4:$N$29,MATCH(D$2,'NG Pivot'!$B$3:$N$3,0)+1,FALSE),0)*10</f>
        <v>0</v>
      </c>
      <c r="E7" s="220">
        <f>IFERROR(VLOOKUP($A7,'NG Pivot'!$A$37:$N$45,MATCH(E$2,'NG Pivot'!$B$36:$N$36,0)+1,FALSE),0)+IFERROR(VLOOKUP($A7,'NG Pivot'!$A$4:$N$29,MATCH(E$2,'NG Pivot'!$B$3:$N$3,0)+1,FALSE),0)*10</f>
        <v>0</v>
      </c>
      <c r="F7" s="220">
        <f>IFERROR(VLOOKUP($A7,'NG Pivot'!$A$37:$N$45,MATCH(F$2,'NG Pivot'!$B$36:$N$36,0)+1,FALSE),0)+IFERROR(VLOOKUP($A7,'NG Pivot'!$A$4:$N$29,MATCH(F$2,'NG Pivot'!$B$3:$N$3,0)+1,FALSE),0)*10</f>
        <v>0</v>
      </c>
      <c r="G7" s="220">
        <f>IFERROR(VLOOKUP($A7,'NG Pivot'!$A$37:$N$45,MATCH(G$2,'NG Pivot'!$B$36:$N$36,0)+1,FALSE),0)+IFERROR(VLOOKUP($A7,'NG Pivot'!$A$4:$N$29,MATCH(G$2,'NG Pivot'!$B$3:$N$3,0)+1,FALSE),0)*10</f>
        <v>0</v>
      </c>
      <c r="H7" s="220">
        <f>IFERROR(VLOOKUP($A7,'NG Pivot'!$A$37:$N$45,MATCH(H$2,'NG Pivot'!$B$36:$N$36,0)+1,FALSE),0)+IFERROR(VLOOKUP($A7,'NG Pivot'!$A$4:$N$29,MATCH(H$2,'NG Pivot'!$B$3:$N$3,0)+1,FALSE),0)*10</f>
        <v>0</v>
      </c>
      <c r="I7" s="220">
        <f>IFERROR(VLOOKUP($A7,'NG Pivot'!$A$37:$N$45,MATCH(I$2,'NG Pivot'!$B$36:$N$36,0)+1,FALSE),0)+IFERROR(VLOOKUP($A7,'NG Pivot'!$A$4:$N$29,MATCH(I$2,'NG Pivot'!$B$3:$N$3,0)+1,FALSE),0)*10</f>
        <v>0</v>
      </c>
      <c r="J7" s="220">
        <f>IFERROR(VLOOKUP($A7,'NG Pivot'!$A$37:$N$45,MATCH(J$2,'NG Pivot'!$B$36:$N$36,0)+1,FALSE),0)+IFERROR(VLOOKUP($A7,'NG Pivot'!$A$4:$N$29,MATCH(J$2,'NG Pivot'!$B$3:$N$3,0)+1,FALSE),0)*10</f>
        <v>0</v>
      </c>
      <c r="K7" s="220">
        <f>IFERROR(VLOOKUP($A7,'NG Pivot'!$A$37:$N$45,MATCH(K$2,'NG Pivot'!$B$36:$N$36,0)+1,FALSE),0)+IFERROR(VLOOKUP($A7,'NG Pivot'!$A$4:$N$29,MATCH(K$2,'NG Pivot'!$B$3:$N$3,0)+1,FALSE),0)*10</f>
        <v>0</v>
      </c>
      <c r="L7" s="220">
        <f>IFERROR(VLOOKUP($A7,'NG Pivot'!$A$37:$N$45,MATCH(L$2,'NG Pivot'!$B$36:$N$36,0)+1,FALSE),0)+IFERROR(VLOOKUP($A7,'NG Pivot'!$A$4:$N$29,MATCH(L$2,'NG Pivot'!$B$3:$N$3,0)+1,FALSE),0)*10</f>
        <v>0</v>
      </c>
      <c r="M7" s="220">
        <f>IFERROR(VLOOKUP($A7,'NG Pivot'!$A$37:$N$45,MATCH(M$2,'NG Pivot'!$B$36:$N$36,0)+1,FALSE),0)+IFERROR(VLOOKUP($A7,'NG Pivot'!$A$4:$N$29,MATCH(M$2,'NG Pivot'!$B$3:$N$3,0)+1,FALSE),0)*10</f>
        <v>0</v>
      </c>
      <c r="N7" s="220">
        <f>IFERROR(VLOOKUP($A7,'NG Pivot'!$A$37:$N$45,MATCH(N$2,'NG Pivot'!$B$36:$N$36,0)+1,FALSE),0)+IFERROR(VLOOKUP($A7,'NG Pivot'!$A$4:$N$29,MATCH(N$2,'NG Pivot'!$B$3:$N$3,0)+1,FALSE),0)*10</f>
        <v>0</v>
      </c>
      <c r="O7" s="220">
        <f>IFERROR(VLOOKUP($A7,'NG Pivot'!$A$37:$N$45,MATCH(O$2,'NG Pivot'!$B$36:$N$36,0)+1,FALSE),0)+IFERROR(VLOOKUP($A7,'NG Pivot'!$A$4:$N$29,MATCH(O$2,'NG Pivot'!$B$3:$N$3,0)+1,FALSE),0)*10</f>
        <v>0</v>
      </c>
      <c r="P7" s="220">
        <f>IFERROR(VLOOKUP($A7,'NG Pivot'!$A$37:$N$45,MATCH(P$2,'NG Pivot'!$B$36:$N$36,0)+1,FALSE),0)+IFERROR(VLOOKUP($A7,'NG Pivot'!$A$4:$N$29,MATCH(P$2,'NG Pivot'!$B$3:$N$3,0)+1,FALSE),0)*10</f>
        <v>0</v>
      </c>
      <c r="Q7" s="220">
        <f>IFERROR(VLOOKUP($A7,'NG Pivot'!$A$37:$N$45,MATCH(Q$2,'NG Pivot'!$B$36:$N$36,0)+1,FALSE),0)+IFERROR(VLOOKUP($A7,'NG Pivot'!$A$4:$N$29,MATCH(Q$2,'NG Pivot'!$B$3:$N$3,0)+1,FALSE),0)*10</f>
        <v>0</v>
      </c>
      <c r="R7" s="220">
        <f>IFERROR(VLOOKUP($A7,'NG Pivot'!$A$37:$N$45,MATCH(R$2,'NG Pivot'!$B$36:$N$36,0)+1,FALSE),0)+IFERROR(VLOOKUP($A7,'NG Pivot'!$A$4:$N$29,MATCH(R$2,'NG Pivot'!$B$3:$N$3,0)+1,FALSE),0)*10</f>
        <v>0</v>
      </c>
      <c r="S7" s="220">
        <f>IFERROR(VLOOKUP($A7,'NG Pivot'!$A$37:$N$45,MATCH(S$2,'NG Pivot'!$B$36:$N$36,0)+1,FALSE),0)+IFERROR(VLOOKUP($A7,'NG Pivot'!$A$4:$N$29,MATCH(S$2,'NG Pivot'!$B$3:$N$3,0)+1,FALSE),0)*10</f>
        <v>0</v>
      </c>
      <c r="T7" s="220">
        <f>IFERROR(VLOOKUP($A7,'NG Pivot'!$A$37:$N$45,MATCH(T$2,'NG Pivot'!$B$36:$N$36,0)+1,FALSE),0)+IFERROR(VLOOKUP($A7,'NG Pivot'!$A$4:$N$29,MATCH(T$2,'NG Pivot'!$B$3:$N$3,0)+1,FALSE),0)*10</f>
        <v>0</v>
      </c>
      <c r="U7" s="220">
        <f>IFERROR(VLOOKUP($A7,'NG Pivot'!$A$37:$N$45,MATCH(U$2,'NG Pivot'!$B$36:$N$36,0)+1,FALSE),0)+IFERROR(VLOOKUP($A7,'NG Pivot'!$A$4:$N$29,MATCH(U$2,'NG Pivot'!$B$3:$N$3,0)+1,FALSE),0)*10</f>
        <v>0</v>
      </c>
      <c r="V7" s="220">
        <f>IFERROR(VLOOKUP($A7,'NG Pivot'!$A$37:$N$45,MATCH(V$2,'NG Pivot'!$B$36:$N$36,0)+1,FALSE),0)+IFERROR(VLOOKUP($A7,'NG Pivot'!$A$4:$N$29,MATCH(V$2,'NG Pivot'!$B$3:$N$3,0)+1,FALSE),0)*10</f>
        <v>0</v>
      </c>
      <c r="W7" s="220">
        <f>IFERROR(VLOOKUP($A7,'NG Pivot'!$A$37:$N$45,MATCH(W$2,'NG Pivot'!$B$36:$N$36,0)+1,FALSE),0)+IFERROR(VLOOKUP($A7,'NG Pivot'!$A$4:$N$29,MATCH(W$2,'NG Pivot'!$B$3:$N$3,0)+1,FALSE),0)*10</f>
        <v>864</v>
      </c>
      <c r="X7" s="220">
        <f>IFERROR(VLOOKUP($A7,'NG Pivot'!$A$37:$N$45,MATCH(X$2,'NG Pivot'!$B$36:$N$36,0)+1,FALSE),0)+IFERROR(VLOOKUP($A7,'NG Pivot'!$A$4:$N$29,MATCH(X$2,'NG Pivot'!$B$3:$N$3,0)+1,FALSE),0)*10</f>
        <v>859</v>
      </c>
      <c r="Y7" s="220">
        <f>IFERROR(VLOOKUP($A7,'NG Pivot'!$A$37:$N$45,MATCH(Y$2,'NG Pivot'!$B$36:$N$36,0)+1,FALSE),0)+IFERROR(VLOOKUP($A7,'NG Pivot'!$A$4:$N$29,MATCH(Y$2,'NG Pivot'!$B$3:$N$3,0)+1,FALSE),0)*10</f>
        <v>0</v>
      </c>
      <c r="Z7" s="220">
        <f>IFERROR(VLOOKUP($A7,'NG Pivot'!$A$37:$N$45,MATCH(Z$2,'NG Pivot'!$B$36:$N$36,0)+1,FALSE),0)+IFERROR(VLOOKUP($A7,'NG Pivot'!$A$4:$N$29,MATCH(Z$2,'NG Pivot'!$B$3:$N$3,0)+1,FALSE),0)*10</f>
        <v>0</v>
      </c>
      <c r="AA7" s="220">
        <f>IFERROR(VLOOKUP($A7,'NG Pivot'!$A$37:$N$45,MATCH(AA$2,'NG Pivot'!$B$36:$N$36,0)+1,FALSE),0)+IFERROR(VLOOKUP($A7,'NG Pivot'!$A$4:$N$29,MATCH(AA$2,'NG Pivot'!$B$3:$N$3,0)+1,FALSE),0)*10</f>
        <v>55.8</v>
      </c>
      <c r="AB7" s="220">
        <f>IFERROR(VLOOKUP($A7,'NG Pivot'!$A$37:$N$45,MATCH(AB$2,'NG Pivot'!$B$36:$N$36,0)+1,FALSE),0)+IFERROR(VLOOKUP($A7,'NG Pivot'!$A$4:$N$29,MATCH(AB$2,'NG Pivot'!$B$3:$N$3,0)+1,FALSE),0)*10</f>
        <v>0</v>
      </c>
      <c r="AC7" s="220">
        <f>IFERROR(VLOOKUP($A7,'NG Pivot'!$A$37:$N$45,MATCH(AC$2,'NG Pivot'!$B$36:$N$36,0)+1,FALSE),0)+IFERROR(VLOOKUP($A7,'NG Pivot'!$A$4:$N$29,MATCH(AC$2,'NG Pivot'!$B$3:$N$3,0)+1,FALSE),0)*10</f>
        <v>0</v>
      </c>
      <c r="AD7" s="220">
        <f>IFERROR(VLOOKUP($A7,'NG Pivot'!$A$37:$N$45,MATCH(AD$2,'NG Pivot'!$B$36:$N$36,0)+1,FALSE),0)+IFERROR(VLOOKUP($A7,'NG Pivot'!$A$4:$N$29,MATCH(AD$2,'NG Pivot'!$B$3:$N$3,0)+1,FALSE),0)*10</f>
        <v>9.8</v>
      </c>
    </row>
    <row r="8" spans="1:30">
      <c r="A8" s="223" t="s">
        <v>1273</v>
      </c>
      <c r="B8" s="220">
        <f>IFERROR(VLOOKUP($A8,'NG Pivot'!$A$37:$N$45,MATCH(B$2,'NG Pivot'!$B$36:$N$36,0)+1,FALSE),0)+IFERROR(VLOOKUP($A8,'NG Pivot'!$A$4:$N$29,MATCH(B$2,'NG Pivot'!$B$3:$N$3,0)+1,FALSE),0)*10</f>
        <v>0</v>
      </c>
      <c r="C8" s="220">
        <f>IFERROR(VLOOKUP($A8,'NG Pivot'!$A$37:$N$45,MATCH(C$2,'NG Pivot'!$B$36:$N$36,0)+1,FALSE),0)+IFERROR(VLOOKUP($A8,'NG Pivot'!$A$4:$N$29,MATCH(C$2,'NG Pivot'!$B$3:$N$3,0)+1,FALSE),0)*10</f>
        <v>0</v>
      </c>
      <c r="D8" s="220">
        <f>IFERROR(VLOOKUP($A8,'NG Pivot'!$A$37:$N$45,MATCH(D$2,'NG Pivot'!$B$36:$N$36,0)+1,FALSE),0)+IFERROR(VLOOKUP($A8,'NG Pivot'!$A$4:$N$29,MATCH(D$2,'NG Pivot'!$B$3:$N$3,0)+1,FALSE),0)*10</f>
        <v>0</v>
      </c>
      <c r="E8" s="220">
        <f>IFERROR(VLOOKUP($A8,'NG Pivot'!$A$37:$N$45,MATCH(E$2,'NG Pivot'!$B$36:$N$36,0)+1,FALSE),0)+IFERROR(VLOOKUP($A8,'NG Pivot'!$A$4:$N$29,MATCH(E$2,'NG Pivot'!$B$3:$N$3,0)+1,FALSE),0)*10</f>
        <v>0</v>
      </c>
      <c r="F8" s="220">
        <f>IFERROR(VLOOKUP($A8,'NG Pivot'!$A$37:$N$45,MATCH(F$2,'NG Pivot'!$B$36:$N$36,0)+1,FALSE),0)+IFERROR(VLOOKUP($A8,'NG Pivot'!$A$4:$N$29,MATCH(F$2,'NG Pivot'!$B$3:$N$3,0)+1,FALSE),0)*10</f>
        <v>0</v>
      </c>
      <c r="G8" s="220">
        <f>IFERROR(VLOOKUP($A8,'NG Pivot'!$A$37:$N$45,MATCH(G$2,'NG Pivot'!$B$36:$N$36,0)+1,FALSE),0)+IFERROR(VLOOKUP($A8,'NG Pivot'!$A$4:$N$29,MATCH(G$2,'NG Pivot'!$B$3:$N$3,0)+1,FALSE),0)*10</f>
        <v>0</v>
      </c>
      <c r="H8" s="220">
        <f>IFERROR(VLOOKUP($A8,'NG Pivot'!$A$37:$N$45,MATCH(H$2,'NG Pivot'!$B$36:$N$36,0)+1,FALSE),0)+IFERROR(VLOOKUP($A8,'NG Pivot'!$A$4:$N$29,MATCH(H$2,'NG Pivot'!$B$3:$N$3,0)+1,FALSE),0)*10</f>
        <v>0</v>
      </c>
      <c r="I8" s="220">
        <f>IFERROR(VLOOKUP($A8,'NG Pivot'!$A$37:$N$45,MATCH(I$2,'NG Pivot'!$B$36:$N$36,0)+1,FALSE),0)+IFERROR(VLOOKUP($A8,'NG Pivot'!$A$4:$N$29,MATCH(I$2,'NG Pivot'!$B$3:$N$3,0)+1,FALSE),0)*10</f>
        <v>0</v>
      </c>
      <c r="J8" s="220">
        <f>IFERROR(VLOOKUP($A8,'NG Pivot'!$A$37:$N$45,MATCH(J$2,'NG Pivot'!$B$36:$N$36,0)+1,FALSE),0)+IFERROR(VLOOKUP($A8,'NG Pivot'!$A$4:$N$29,MATCH(J$2,'NG Pivot'!$B$3:$N$3,0)+1,FALSE),0)*10</f>
        <v>0</v>
      </c>
      <c r="K8" s="220">
        <f>IFERROR(VLOOKUP($A8,'NG Pivot'!$A$37:$N$45,MATCH(K$2,'NG Pivot'!$B$36:$N$36,0)+1,FALSE),0)+IFERROR(VLOOKUP($A8,'NG Pivot'!$A$4:$N$29,MATCH(K$2,'NG Pivot'!$B$3:$N$3,0)+1,FALSE),0)*10</f>
        <v>0</v>
      </c>
      <c r="L8" s="220">
        <f>IFERROR(VLOOKUP($A8,'NG Pivot'!$A$37:$N$45,MATCH(L$2,'NG Pivot'!$B$36:$N$36,0)+1,FALSE),0)+IFERROR(VLOOKUP($A8,'NG Pivot'!$A$4:$N$29,MATCH(L$2,'NG Pivot'!$B$3:$N$3,0)+1,FALSE),0)*10</f>
        <v>0</v>
      </c>
      <c r="M8" s="220">
        <f>IFERROR(VLOOKUP($A8,'NG Pivot'!$A$37:$N$45,MATCH(M$2,'NG Pivot'!$B$36:$N$36,0)+1,FALSE),0)+IFERROR(VLOOKUP($A8,'NG Pivot'!$A$4:$N$29,MATCH(M$2,'NG Pivot'!$B$3:$N$3,0)+1,FALSE),0)*10</f>
        <v>0</v>
      </c>
      <c r="N8" s="220">
        <f>IFERROR(VLOOKUP($A8,'NG Pivot'!$A$37:$N$45,MATCH(N$2,'NG Pivot'!$B$36:$N$36,0)+1,FALSE),0)+IFERROR(VLOOKUP($A8,'NG Pivot'!$A$4:$N$29,MATCH(N$2,'NG Pivot'!$B$3:$N$3,0)+1,FALSE),0)*10</f>
        <v>0</v>
      </c>
      <c r="O8" s="220">
        <f>IFERROR(VLOOKUP($A8,'NG Pivot'!$A$37:$N$45,MATCH(O$2,'NG Pivot'!$B$36:$N$36,0)+1,FALSE),0)+IFERROR(VLOOKUP($A8,'NG Pivot'!$A$4:$N$29,MATCH(O$2,'NG Pivot'!$B$3:$N$3,0)+1,FALSE),0)*10</f>
        <v>390</v>
      </c>
      <c r="P8" s="220">
        <f>IFERROR(VLOOKUP($A8,'NG Pivot'!$A$37:$N$45,MATCH(P$2,'NG Pivot'!$B$36:$N$36,0)+1,FALSE),0)+IFERROR(VLOOKUP($A8,'NG Pivot'!$A$4:$N$29,MATCH(P$2,'NG Pivot'!$B$3:$N$3,0)+1,FALSE),0)*10</f>
        <v>55</v>
      </c>
      <c r="Q8" s="220">
        <f>IFERROR(VLOOKUP($A8,'NG Pivot'!$A$37:$N$45,MATCH(Q$2,'NG Pivot'!$B$36:$N$36,0)+1,FALSE),0)+IFERROR(VLOOKUP($A8,'NG Pivot'!$A$4:$N$29,MATCH(Q$2,'NG Pivot'!$B$3:$N$3,0)+1,FALSE),0)*10</f>
        <v>0</v>
      </c>
      <c r="R8" s="220">
        <f>IFERROR(VLOOKUP($A8,'NG Pivot'!$A$37:$N$45,MATCH(R$2,'NG Pivot'!$B$36:$N$36,0)+1,FALSE),0)+IFERROR(VLOOKUP($A8,'NG Pivot'!$A$4:$N$29,MATCH(R$2,'NG Pivot'!$B$3:$N$3,0)+1,FALSE),0)*10</f>
        <v>10</v>
      </c>
      <c r="S8" s="220">
        <f>IFERROR(VLOOKUP($A8,'NG Pivot'!$A$37:$N$45,MATCH(S$2,'NG Pivot'!$B$36:$N$36,0)+1,FALSE),0)+IFERROR(VLOOKUP($A8,'NG Pivot'!$A$4:$N$29,MATCH(S$2,'NG Pivot'!$B$3:$N$3,0)+1,FALSE),0)*10</f>
        <v>0</v>
      </c>
      <c r="T8" s="220">
        <f>IFERROR(VLOOKUP($A8,'NG Pivot'!$A$37:$N$45,MATCH(T$2,'NG Pivot'!$B$36:$N$36,0)+1,FALSE),0)+IFERROR(VLOOKUP($A8,'NG Pivot'!$A$4:$N$29,MATCH(T$2,'NG Pivot'!$B$3:$N$3,0)+1,FALSE),0)*10</f>
        <v>0</v>
      </c>
      <c r="U8" s="220">
        <f>IFERROR(VLOOKUP($A8,'NG Pivot'!$A$37:$N$45,MATCH(U$2,'NG Pivot'!$B$36:$N$36,0)+1,FALSE),0)+IFERROR(VLOOKUP($A8,'NG Pivot'!$A$4:$N$29,MATCH(U$2,'NG Pivot'!$B$3:$N$3,0)+1,FALSE),0)*10</f>
        <v>0</v>
      </c>
      <c r="V8" s="220">
        <f>IFERROR(VLOOKUP($A8,'NG Pivot'!$A$37:$N$45,MATCH(V$2,'NG Pivot'!$B$36:$N$36,0)+1,FALSE),0)+IFERROR(VLOOKUP($A8,'NG Pivot'!$A$4:$N$29,MATCH(V$2,'NG Pivot'!$B$3:$N$3,0)+1,FALSE),0)*10</f>
        <v>0</v>
      </c>
      <c r="W8" s="220">
        <f>IFERROR(VLOOKUP($A8,'NG Pivot'!$A$37:$N$45,MATCH(W$2,'NG Pivot'!$B$36:$N$36,0)+1,FALSE),0)+IFERROR(VLOOKUP($A8,'NG Pivot'!$A$4:$N$29,MATCH(W$2,'NG Pivot'!$B$3:$N$3,0)+1,FALSE),0)*10</f>
        <v>0</v>
      </c>
      <c r="X8" s="220">
        <f>IFERROR(VLOOKUP($A8,'NG Pivot'!$A$37:$N$45,MATCH(X$2,'NG Pivot'!$B$36:$N$36,0)+1,FALSE),0)+IFERROR(VLOOKUP($A8,'NG Pivot'!$A$4:$N$29,MATCH(X$2,'NG Pivot'!$B$3:$N$3,0)+1,FALSE),0)*10</f>
        <v>0</v>
      </c>
      <c r="Y8" s="220">
        <f>IFERROR(VLOOKUP($A8,'NG Pivot'!$A$37:$N$45,MATCH(Y$2,'NG Pivot'!$B$36:$N$36,0)+1,FALSE),0)+IFERROR(VLOOKUP($A8,'NG Pivot'!$A$4:$N$29,MATCH(Y$2,'NG Pivot'!$B$3:$N$3,0)+1,FALSE),0)*10</f>
        <v>0</v>
      </c>
      <c r="Z8" s="220">
        <f>IFERROR(VLOOKUP($A8,'NG Pivot'!$A$37:$N$45,MATCH(Z$2,'NG Pivot'!$B$36:$N$36,0)+1,FALSE),0)+IFERROR(VLOOKUP($A8,'NG Pivot'!$A$4:$N$29,MATCH(Z$2,'NG Pivot'!$B$3:$N$3,0)+1,FALSE),0)*10</f>
        <v>0</v>
      </c>
      <c r="AA8" s="220">
        <f>IFERROR(VLOOKUP($A8,'NG Pivot'!$A$37:$N$45,MATCH(AA$2,'NG Pivot'!$B$36:$N$36,0)+1,FALSE),0)+IFERROR(VLOOKUP($A8,'NG Pivot'!$A$4:$N$29,MATCH(AA$2,'NG Pivot'!$B$3:$N$3,0)+1,FALSE),0)*10</f>
        <v>0</v>
      </c>
      <c r="AB8" s="220">
        <f>IFERROR(VLOOKUP($A8,'NG Pivot'!$A$37:$N$45,MATCH(AB$2,'NG Pivot'!$B$36:$N$36,0)+1,FALSE),0)+IFERROR(VLOOKUP($A8,'NG Pivot'!$A$4:$N$29,MATCH(AB$2,'NG Pivot'!$B$3:$N$3,0)+1,FALSE),0)*10</f>
        <v>0</v>
      </c>
      <c r="AC8" s="220">
        <f>IFERROR(VLOOKUP($A8,'NG Pivot'!$A$37:$N$45,MATCH(AC$2,'NG Pivot'!$B$36:$N$36,0)+1,FALSE),0)+IFERROR(VLOOKUP($A8,'NG Pivot'!$A$4:$N$29,MATCH(AC$2,'NG Pivot'!$B$3:$N$3,0)+1,FALSE),0)*10</f>
        <v>0</v>
      </c>
      <c r="AD8" s="220">
        <f>IFERROR(VLOOKUP($A8,'NG Pivot'!$A$37:$N$45,MATCH(AD$2,'NG Pivot'!$B$36:$N$36,0)+1,FALSE),0)+IFERROR(VLOOKUP($A8,'NG Pivot'!$A$4:$N$29,MATCH(AD$2,'NG Pivot'!$B$3:$N$3,0)+1,FALSE),0)*10</f>
        <v>0</v>
      </c>
    </row>
    <row r="9" spans="1:30">
      <c r="A9" s="223" t="s">
        <v>1274</v>
      </c>
      <c r="B9" s="220">
        <f>IFERROR(VLOOKUP($A9,'NG Pivot'!$A$37:$N$45,MATCH(B$2,'NG Pivot'!$B$36:$N$36,0)+1,FALSE),0)+IFERROR(VLOOKUP($A9,'NG Pivot'!$A$4:$N$29,MATCH(B$2,'NG Pivot'!$B$3:$N$3,0)+1,FALSE),0)*10</f>
        <v>0</v>
      </c>
      <c r="C9" s="220">
        <f>IFERROR(VLOOKUP($A9,'NG Pivot'!$A$37:$N$45,MATCH(C$2,'NG Pivot'!$B$36:$N$36,0)+1,FALSE),0)+IFERROR(VLOOKUP($A9,'NG Pivot'!$A$4:$N$29,MATCH(C$2,'NG Pivot'!$B$3:$N$3,0)+1,FALSE),0)*10</f>
        <v>0</v>
      </c>
      <c r="D9" s="220">
        <f>IFERROR(VLOOKUP($A9,'NG Pivot'!$A$37:$N$45,MATCH(D$2,'NG Pivot'!$B$36:$N$36,0)+1,FALSE),0)+IFERROR(VLOOKUP($A9,'NG Pivot'!$A$4:$N$29,MATCH(D$2,'NG Pivot'!$B$3:$N$3,0)+1,FALSE),0)*10</f>
        <v>0</v>
      </c>
      <c r="E9" s="220">
        <f>IFERROR(VLOOKUP($A9,'NG Pivot'!$A$37:$N$45,MATCH(E$2,'NG Pivot'!$B$36:$N$36,0)+1,FALSE),0)+IFERROR(VLOOKUP($A9,'NG Pivot'!$A$4:$N$29,MATCH(E$2,'NG Pivot'!$B$3:$N$3,0)+1,FALSE),0)*10</f>
        <v>0</v>
      </c>
      <c r="F9" s="220">
        <f>IFERROR(VLOOKUP($A9,'NG Pivot'!$A$37:$N$45,MATCH(F$2,'NG Pivot'!$B$36:$N$36,0)+1,FALSE),0)+IFERROR(VLOOKUP($A9,'NG Pivot'!$A$4:$N$29,MATCH(F$2,'NG Pivot'!$B$3:$N$3,0)+1,FALSE),0)*10</f>
        <v>0</v>
      </c>
      <c r="G9" s="220">
        <f>IFERROR(VLOOKUP($A9,'NG Pivot'!$A$37:$N$45,MATCH(G$2,'NG Pivot'!$B$36:$N$36,0)+1,FALSE),0)+IFERROR(VLOOKUP($A9,'NG Pivot'!$A$4:$N$29,MATCH(G$2,'NG Pivot'!$B$3:$N$3,0)+1,FALSE),0)*10</f>
        <v>0</v>
      </c>
      <c r="H9" s="220">
        <f>IFERROR(VLOOKUP($A9,'NG Pivot'!$A$37:$N$45,MATCH(H$2,'NG Pivot'!$B$36:$N$36,0)+1,FALSE),0)+IFERROR(VLOOKUP($A9,'NG Pivot'!$A$4:$N$29,MATCH(H$2,'NG Pivot'!$B$3:$N$3,0)+1,FALSE),0)*10</f>
        <v>0</v>
      </c>
      <c r="I9" s="220">
        <f>IFERROR(VLOOKUP($A9,'NG Pivot'!$A$37:$N$45,MATCH(I$2,'NG Pivot'!$B$36:$N$36,0)+1,FALSE),0)+IFERROR(VLOOKUP($A9,'NG Pivot'!$A$4:$N$29,MATCH(I$2,'NG Pivot'!$B$3:$N$3,0)+1,FALSE),0)*10</f>
        <v>0</v>
      </c>
      <c r="J9" s="220">
        <f>IFERROR(VLOOKUP($A9,'NG Pivot'!$A$37:$N$45,MATCH(J$2,'NG Pivot'!$B$36:$N$36,0)+1,FALSE),0)+IFERROR(VLOOKUP($A9,'NG Pivot'!$A$4:$N$29,MATCH(J$2,'NG Pivot'!$B$3:$N$3,0)+1,FALSE),0)*10</f>
        <v>0</v>
      </c>
      <c r="K9" s="220">
        <f>IFERROR(VLOOKUP($A9,'NG Pivot'!$A$37:$N$45,MATCH(K$2,'NG Pivot'!$B$36:$N$36,0)+1,FALSE),0)+IFERROR(VLOOKUP($A9,'NG Pivot'!$A$4:$N$29,MATCH(K$2,'NG Pivot'!$B$3:$N$3,0)+1,FALSE),0)*10</f>
        <v>0</v>
      </c>
      <c r="L9" s="220">
        <f>IFERROR(VLOOKUP($A9,'NG Pivot'!$A$37:$N$45,MATCH(L$2,'NG Pivot'!$B$36:$N$36,0)+1,FALSE),0)+IFERROR(VLOOKUP($A9,'NG Pivot'!$A$4:$N$29,MATCH(L$2,'NG Pivot'!$B$3:$N$3,0)+1,FALSE),0)*10</f>
        <v>0</v>
      </c>
      <c r="M9" s="220">
        <f>IFERROR(VLOOKUP($A9,'NG Pivot'!$A$37:$N$45,MATCH(M$2,'NG Pivot'!$B$36:$N$36,0)+1,FALSE),0)+IFERROR(VLOOKUP($A9,'NG Pivot'!$A$4:$N$29,MATCH(M$2,'NG Pivot'!$B$3:$N$3,0)+1,FALSE),0)*10</f>
        <v>0</v>
      </c>
      <c r="N9" s="220">
        <f>IFERROR(VLOOKUP($A9,'NG Pivot'!$A$37:$N$45,MATCH(N$2,'NG Pivot'!$B$36:$N$36,0)+1,FALSE),0)+IFERROR(VLOOKUP($A9,'NG Pivot'!$A$4:$N$29,MATCH(N$2,'NG Pivot'!$B$3:$N$3,0)+1,FALSE),0)*10</f>
        <v>0</v>
      </c>
      <c r="O9" s="220">
        <f>IFERROR(VLOOKUP($A9,'NG Pivot'!$A$37:$N$45,MATCH(O$2,'NG Pivot'!$B$36:$N$36,0)+1,FALSE),0)+IFERROR(VLOOKUP($A9,'NG Pivot'!$A$4:$N$29,MATCH(O$2,'NG Pivot'!$B$3:$N$3,0)+1,FALSE),0)*10</f>
        <v>0</v>
      </c>
      <c r="P9" s="220">
        <f>IFERROR(VLOOKUP($A9,'NG Pivot'!$A$37:$N$45,MATCH(P$2,'NG Pivot'!$B$36:$N$36,0)+1,FALSE),0)+IFERROR(VLOOKUP($A9,'NG Pivot'!$A$4:$N$29,MATCH(P$2,'NG Pivot'!$B$3:$N$3,0)+1,FALSE),0)*10</f>
        <v>0</v>
      </c>
      <c r="Q9" s="220">
        <f>IFERROR(VLOOKUP($A9,'NG Pivot'!$A$37:$N$45,MATCH(Q$2,'NG Pivot'!$B$36:$N$36,0)+1,FALSE),0)+IFERROR(VLOOKUP($A9,'NG Pivot'!$A$4:$N$29,MATCH(Q$2,'NG Pivot'!$B$3:$N$3,0)+1,FALSE),0)*10</f>
        <v>0</v>
      </c>
      <c r="R9" s="220">
        <f>IFERROR(VLOOKUP($A9,'NG Pivot'!$A$37:$N$45,MATCH(R$2,'NG Pivot'!$B$36:$N$36,0)+1,FALSE),0)+IFERROR(VLOOKUP($A9,'NG Pivot'!$A$4:$N$29,MATCH(R$2,'NG Pivot'!$B$3:$N$3,0)+1,FALSE),0)*10</f>
        <v>0</v>
      </c>
      <c r="S9" s="220">
        <f>IFERROR(VLOOKUP($A9,'NG Pivot'!$A$37:$N$45,MATCH(S$2,'NG Pivot'!$B$36:$N$36,0)+1,FALSE),0)+IFERROR(VLOOKUP($A9,'NG Pivot'!$A$4:$N$29,MATCH(S$2,'NG Pivot'!$B$3:$N$3,0)+1,FALSE),0)*10</f>
        <v>0</v>
      </c>
      <c r="T9" s="220">
        <f>IFERROR(VLOOKUP($A9,'NG Pivot'!$A$37:$N$45,MATCH(T$2,'NG Pivot'!$B$36:$N$36,0)+1,FALSE),0)+IFERROR(VLOOKUP($A9,'NG Pivot'!$A$4:$N$29,MATCH(T$2,'NG Pivot'!$B$3:$N$3,0)+1,FALSE),0)*10</f>
        <v>0</v>
      </c>
      <c r="U9" s="220">
        <f>IFERROR(VLOOKUP($A9,'NG Pivot'!$A$37:$N$45,MATCH(U$2,'NG Pivot'!$B$36:$N$36,0)+1,FALSE),0)+IFERROR(VLOOKUP($A9,'NG Pivot'!$A$4:$N$29,MATCH(U$2,'NG Pivot'!$B$3:$N$3,0)+1,FALSE),0)*10</f>
        <v>0</v>
      </c>
      <c r="V9" s="220">
        <f>IFERROR(VLOOKUP($A9,'NG Pivot'!$A$37:$N$45,MATCH(V$2,'NG Pivot'!$B$36:$N$36,0)+1,FALSE),0)+IFERROR(VLOOKUP($A9,'NG Pivot'!$A$4:$N$29,MATCH(V$2,'NG Pivot'!$B$3:$N$3,0)+1,FALSE),0)*10</f>
        <v>0</v>
      </c>
      <c r="W9" s="220">
        <f>IFERROR(VLOOKUP($A9,'NG Pivot'!$A$37:$N$45,MATCH(W$2,'NG Pivot'!$B$36:$N$36,0)+1,FALSE),0)+IFERROR(VLOOKUP($A9,'NG Pivot'!$A$4:$N$29,MATCH(W$2,'NG Pivot'!$B$3:$N$3,0)+1,FALSE),0)*10</f>
        <v>0</v>
      </c>
      <c r="X9" s="220">
        <f>IFERROR(VLOOKUP($A9,'NG Pivot'!$A$37:$N$45,MATCH(X$2,'NG Pivot'!$B$36:$N$36,0)+1,FALSE),0)+IFERROR(VLOOKUP($A9,'NG Pivot'!$A$4:$N$29,MATCH(X$2,'NG Pivot'!$B$3:$N$3,0)+1,FALSE),0)*10</f>
        <v>0</v>
      </c>
      <c r="Y9" s="220">
        <f>IFERROR(VLOOKUP($A9,'NG Pivot'!$A$37:$N$45,MATCH(Y$2,'NG Pivot'!$B$36:$N$36,0)+1,FALSE),0)+IFERROR(VLOOKUP($A9,'NG Pivot'!$A$4:$N$29,MATCH(Y$2,'NG Pivot'!$B$3:$N$3,0)+1,FALSE),0)*10</f>
        <v>0</v>
      </c>
      <c r="Z9" s="220">
        <f>IFERROR(VLOOKUP($A9,'NG Pivot'!$A$37:$N$45,MATCH(Z$2,'NG Pivot'!$B$36:$N$36,0)+1,FALSE),0)+IFERROR(VLOOKUP($A9,'NG Pivot'!$A$4:$N$29,MATCH(Z$2,'NG Pivot'!$B$3:$N$3,0)+1,FALSE),0)*10</f>
        <v>0</v>
      </c>
      <c r="AA9" s="220">
        <f>IFERROR(VLOOKUP($A9,'NG Pivot'!$A$37:$N$45,MATCH(AA$2,'NG Pivot'!$B$36:$N$36,0)+1,FALSE),0)+IFERROR(VLOOKUP($A9,'NG Pivot'!$A$4:$N$29,MATCH(AA$2,'NG Pivot'!$B$3:$N$3,0)+1,FALSE),0)*10</f>
        <v>0</v>
      </c>
      <c r="AB9" s="220">
        <f>IFERROR(VLOOKUP($A9,'NG Pivot'!$A$37:$N$45,MATCH(AB$2,'NG Pivot'!$B$36:$N$36,0)+1,FALSE),0)+IFERROR(VLOOKUP($A9,'NG Pivot'!$A$4:$N$29,MATCH(AB$2,'NG Pivot'!$B$3:$N$3,0)+1,FALSE),0)*10</f>
        <v>0</v>
      </c>
      <c r="AC9" s="220">
        <f>IFERROR(VLOOKUP($A9,'NG Pivot'!$A$37:$N$45,MATCH(AC$2,'NG Pivot'!$B$36:$N$36,0)+1,FALSE),0)+IFERROR(VLOOKUP($A9,'NG Pivot'!$A$4:$N$29,MATCH(AC$2,'NG Pivot'!$B$3:$N$3,0)+1,FALSE),0)*10</f>
        <v>100</v>
      </c>
      <c r="AD9" s="220">
        <f>IFERROR(VLOOKUP($A9,'NG Pivot'!$A$37:$N$45,MATCH(AD$2,'NG Pivot'!$B$36:$N$36,0)+1,FALSE),0)+IFERROR(VLOOKUP($A9,'NG Pivot'!$A$4:$N$29,MATCH(AD$2,'NG Pivot'!$B$3:$N$3,0)+1,FALSE),0)*10</f>
        <v>0</v>
      </c>
    </row>
    <row r="10" spans="1:30">
      <c r="A10" s="223" t="s">
        <v>1275</v>
      </c>
      <c r="B10" s="220">
        <f>IFERROR(VLOOKUP($A10,'NG Pivot'!$A$37:$N$45,MATCH(B$2,'NG Pivot'!$B$36:$N$36,0)+1,FALSE),0)+IFERROR(VLOOKUP($A10,'NG Pivot'!$A$4:$N$29,MATCH(B$2,'NG Pivot'!$B$3:$N$3,0)+1,FALSE),0)*10</f>
        <v>0</v>
      </c>
      <c r="C10" s="220">
        <f>IFERROR(VLOOKUP($A10,'NG Pivot'!$A$37:$N$45,MATCH(C$2,'NG Pivot'!$B$36:$N$36,0)+1,FALSE),0)+IFERROR(VLOOKUP($A10,'NG Pivot'!$A$4:$N$29,MATCH(C$2,'NG Pivot'!$B$3:$N$3,0)+1,FALSE),0)*10</f>
        <v>0</v>
      </c>
      <c r="D10" s="220">
        <f>IFERROR(VLOOKUP($A10,'NG Pivot'!$A$37:$N$45,MATCH(D$2,'NG Pivot'!$B$36:$N$36,0)+1,FALSE),0)+IFERROR(VLOOKUP($A10,'NG Pivot'!$A$4:$N$29,MATCH(D$2,'NG Pivot'!$B$3:$N$3,0)+1,FALSE),0)*10</f>
        <v>0</v>
      </c>
      <c r="E10" s="220">
        <f>IFERROR(VLOOKUP($A10,'NG Pivot'!$A$37:$N$45,MATCH(E$2,'NG Pivot'!$B$36:$N$36,0)+1,FALSE),0)+IFERROR(VLOOKUP($A10,'NG Pivot'!$A$4:$N$29,MATCH(E$2,'NG Pivot'!$B$3:$N$3,0)+1,FALSE),0)*10</f>
        <v>0</v>
      </c>
      <c r="F10" s="220">
        <f>IFERROR(VLOOKUP($A10,'NG Pivot'!$A$37:$N$45,MATCH(F$2,'NG Pivot'!$B$36:$N$36,0)+1,FALSE),0)+IFERROR(VLOOKUP($A10,'NG Pivot'!$A$4:$N$29,MATCH(F$2,'NG Pivot'!$B$3:$N$3,0)+1,FALSE),0)*10</f>
        <v>0</v>
      </c>
      <c r="G10" s="220">
        <f>IFERROR(VLOOKUP($A10,'NG Pivot'!$A$37:$N$45,MATCH(G$2,'NG Pivot'!$B$36:$N$36,0)+1,FALSE),0)+IFERROR(VLOOKUP($A10,'NG Pivot'!$A$4:$N$29,MATCH(G$2,'NG Pivot'!$B$3:$N$3,0)+1,FALSE),0)*10</f>
        <v>0</v>
      </c>
      <c r="H10" s="220">
        <f>IFERROR(VLOOKUP($A10,'NG Pivot'!$A$37:$N$45,MATCH(H$2,'NG Pivot'!$B$36:$N$36,0)+1,FALSE),0)+IFERROR(VLOOKUP($A10,'NG Pivot'!$A$4:$N$29,MATCH(H$2,'NG Pivot'!$B$3:$N$3,0)+1,FALSE),0)*10</f>
        <v>0</v>
      </c>
      <c r="I10" s="220">
        <f>IFERROR(VLOOKUP($A10,'NG Pivot'!$A$37:$N$45,MATCH(I$2,'NG Pivot'!$B$36:$N$36,0)+1,FALSE),0)+IFERROR(VLOOKUP($A10,'NG Pivot'!$A$4:$N$29,MATCH(I$2,'NG Pivot'!$B$3:$N$3,0)+1,FALSE),0)*10</f>
        <v>0</v>
      </c>
      <c r="J10" s="220">
        <f>IFERROR(VLOOKUP($A10,'NG Pivot'!$A$37:$N$45,MATCH(J$2,'NG Pivot'!$B$36:$N$36,0)+1,FALSE),0)+IFERROR(VLOOKUP($A10,'NG Pivot'!$A$4:$N$29,MATCH(J$2,'NG Pivot'!$B$3:$N$3,0)+1,FALSE),0)*10</f>
        <v>0</v>
      </c>
      <c r="K10" s="220">
        <f>IFERROR(VLOOKUP($A10,'NG Pivot'!$A$37:$N$45,MATCH(K$2,'NG Pivot'!$B$36:$N$36,0)+1,FALSE),0)+IFERROR(VLOOKUP($A10,'NG Pivot'!$A$4:$N$29,MATCH(K$2,'NG Pivot'!$B$3:$N$3,0)+1,FALSE),0)*10</f>
        <v>0</v>
      </c>
      <c r="L10" s="220">
        <f>IFERROR(VLOOKUP($A10,'NG Pivot'!$A$37:$N$45,MATCH(L$2,'NG Pivot'!$B$36:$N$36,0)+1,FALSE),0)+IFERROR(VLOOKUP($A10,'NG Pivot'!$A$4:$N$29,MATCH(L$2,'NG Pivot'!$B$3:$N$3,0)+1,FALSE),0)*10</f>
        <v>0</v>
      </c>
      <c r="M10" s="220">
        <f>IFERROR(VLOOKUP($A10,'NG Pivot'!$A$37:$N$45,MATCH(M$2,'NG Pivot'!$B$36:$N$36,0)+1,FALSE),0)+IFERROR(VLOOKUP($A10,'NG Pivot'!$A$4:$N$29,MATCH(M$2,'NG Pivot'!$B$3:$N$3,0)+1,FALSE),0)*10</f>
        <v>0</v>
      </c>
      <c r="N10" s="220">
        <f>IFERROR(VLOOKUP($A10,'NG Pivot'!$A$37:$N$45,MATCH(N$2,'NG Pivot'!$B$36:$N$36,0)+1,FALSE),0)+IFERROR(VLOOKUP($A10,'NG Pivot'!$A$4:$N$29,MATCH(N$2,'NG Pivot'!$B$3:$N$3,0)+1,FALSE),0)*10</f>
        <v>0</v>
      </c>
      <c r="O10" s="220">
        <f>IFERROR(VLOOKUP($A10,'NG Pivot'!$A$37:$N$45,MATCH(O$2,'NG Pivot'!$B$36:$N$36,0)+1,FALSE),0)+IFERROR(VLOOKUP($A10,'NG Pivot'!$A$4:$N$29,MATCH(O$2,'NG Pivot'!$B$3:$N$3,0)+1,FALSE),0)*10</f>
        <v>0</v>
      </c>
      <c r="P10" s="220">
        <f>IFERROR(VLOOKUP($A10,'NG Pivot'!$A$37:$N$45,MATCH(P$2,'NG Pivot'!$B$36:$N$36,0)+1,FALSE),0)+IFERROR(VLOOKUP($A10,'NG Pivot'!$A$4:$N$29,MATCH(P$2,'NG Pivot'!$B$3:$N$3,0)+1,FALSE),0)*10</f>
        <v>0</v>
      </c>
      <c r="Q10" s="220">
        <f>IFERROR(VLOOKUP($A10,'NG Pivot'!$A$37:$N$45,MATCH(Q$2,'NG Pivot'!$B$36:$N$36,0)+1,FALSE),0)+IFERROR(VLOOKUP($A10,'NG Pivot'!$A$4:$N$29,MATCH(Q$2,'NG Pivot'!$B$3:$N$3,0)+1,FALSE),0)*10</f>
        <v>0</v>
      </c>
      <c r="R10" s="220">
        <f>IFERROR(VLOOKUP($A10,'NG Pivot'!$A$37:$N$45,MATCH(R$2,'NG Pivot'!$B$36:$N$36,0)+1,FALSE),0)+IFERROR(VLOOKUP($A10,'NG Pivot'!$A$4:$N$29,MATCH(R$2,'NG Pivot'!$B$3:$N$3,0)+1,FALSE),0)*10</f>
        <v>0</v>
      </c>
      <c r="S10" s="220">
        <f>IFERROR(VLOOKUP($A10,'NG Pivot'!$A$37:$N$45,MATCH(S$2,'NG Pivot'!$B$36:$N$36,0)+1,FALSE),0)+IFERROR(VLOOKUP($A10,'NG Pivot'!$A$4:$N$29,MATCH(S$2,'NG Pivot'!$B$3:$N$3,0)+1,FALSE),0)*10</f>
        <v>0</v>
      </c>
      <c r="T10" s="220">
        <f>IFERROR(VLOOKUP($A10,'NG Pivot'!$A$37:$N$45,MATCH(T$2,'NG Pivot'!$B$36:$N$36,0)+1,FALSE),0)+IFERROR(VLOOKUP($A10,'NG Pivot'!$A$4:$N$29,MATCH(T$2,'NG Pivot'!$B$3:$N$3,0)+1,FALSE),0)*10</f>
        <v>0</v>
      </c>
      <c r="U10" s="220">
        <f>IFERROR(VLOOKUP($A10,'NG Pivot'!$A$37:$N$45,MATCH(U$2,'NG Pivot'!$B$36:$N$36,0)+1,FALSE),0)+IFERROR(VLOOKUP($A10,'NG Pivot'!$A$4:$N$29,MATCH(U$2,'NG Pivot'!$B$3:$N$3,0)+1,FALSE),0)*10</f>
        <v>0</v>
      </c>
      <c r="V10" s="220">
        <f>IFERROR(VLOOKUP($A10,'NG Pivot'!$A$37:$N$45,MATCH(V$2,'NG Pivot'!$B$36:$N$36,0)+1,FALSE),0)+IFERROR(VLOOKUP($A10,'NG Pivot'!$A$4:$N$29,MATCH(V$2,'NG Pivot'!$B$3:$N$3,0)+1,FALSE),0)*10</f>
        <v>0</v>
      </c>
      <c r="W10" s="220">
        <f>IFERROR(VLOOKUP($A10,'NG Pivot'!$A$37:$N$45,MATCH(W$2,'NG Pivot'!$B$36:$N$36,0)+1,FALSE),0)+IFERROR(VLOOKUP($A10,'NG Pivot'!$A$4:$N$29,MATCH(W$2,'NG Pivot'!$B$3:$N$3,0)+1,FALSE),0)*10</f>
        <v>0</v>
      </c>
      <c r="X10" s="220">
        <f>IFERROR(VLOOKUP($A10,'NG Pivot'!$A$37:$N$45,MATCH(X$2,'NG Pivot'!$B$36:$N$36,0)+1,FALSE),0)+IFERROR(VLOOKUP($A10,'NG Pivot'!$A$4:$N$29,MATCH(X$2,'NG Pivot'!$B$3:$N$3,0)+1,FALSE),0)*10</f>
        <v>0</v>
      </c>
      <c r="Y10" s="220">
        <f>IFERROR(VLOOKUP($A10,'NG Pivot'!$A$37:$N$45,MATCH(Y$2,'NG Pivot'!$B$36:$N$36,0)+1,FALSE),0)+IFERROR(VLOOKUP($A10,'NG Pivot'!$A$4:$N$29,MATCH(Y$2,'NG Pivot'!$B$3:$N$3,0)+1,FALSE),0)*10</f>
        <v>0</v>
      </c>
      <c r="Z10" s="220">
        <f>IFERROR(VLOOKUP($A10,'NG Pivot'!$A$37:$N$45,MATCH(Z$2,'NG Pivot'!$B$36:$N$36,0)+1,FALSE),0)+IFERROR(VLOOKUP($A10,'NG Pivot'!$A$4:$N$29,MATCH(Z$2,'NG Pivot'!$B$3:$N$3,0)+1,FALSE),0)*10</f>
        <v>0</v>
      </c>
      <c r="AA10" s="220">
        <f>IFERROR(VLOOKUP($A10,'NG Pivot'!$A$37:$N$45,MATCH(AA$2,'NG Pivot'!$B$36:$N$36,0)+1,FALSE),0)+IFERROR(VLOOKUP($A10,'NG Pivot'!$A$4:$N$29,MATCH(AA$2,'NG Pivot'!$B$3:$N$3,0)+1,FALSE),0)*10</f>
        <v>0</v>
      </c>
      <c r="AB10" s="220">
        <f>IFERROR(VLOOKUP($A10,'NG Pivot'!$A$37:$N$45,MATCH(AB$2,'NG Pivot'!$B$36:$N$36,0)+1,FALSE),0)+IFERROR(VLOOKUP($A10,'NG Pivot'!$A$4:$N$29,MATCH(AB$2,'NG Pivot'!$B$3:$N$3,0)+1,FALSE),0)*10</f>
        <v>0</v>
      </c>
      <c r="AC10" s="220">
        <f>IFERROR(VLOOKUP($A10,'NG Pivot'!$A$37:$N$45,MATCH(AC$2,'NG Pivot'!$B$36:$N$36,0)+1,FALSE),0)+IFERROR(VLOOKUP($A10,'NG Pivot'!$A$4:$N$29,MATCH(AC$2,'NG Pivot'!$B$3:$N$3,0)+1,FALSE),0)*10</f>
        <v>0</v>
      </c>
      <c r="AD10" s="220">
        <f>IFERROR(VLOOKUP($A10,'NG Pivot'!$A$37:$N$45,MATCH(AD$2,'NG Pivot'!$B$36:$N$36,0)+1,FALSE),0)+IFERROR(VLOOKUP($A10,'NG Pivot'!$A$4:$N$29,MATCH(AD$2,'NG Pivot'!$B$3:$N$3,0)+1,FALSE),0)*10</f>
        <v>0</v>
      </c>
    </row>
    <row r="11" spans="1:30">
      <c r="A11" s="223" t="s">
        <v>1276</v>
      </c>
      <c r="B11" s="220">
        <f>IFERROR(VLOOKUP($A11,'NG Pivot'!$A$37:$N$45,MATCH(B$2,'NG Pivot'!$B$36:$N$36,0)+1,FALSE),0)+IFERROR(VLOOKUP($A11,'NG Pivot'!$A$4:$N$29,MATCH(B$2,'NG Pivot'!$B$3:$N$3,0)+1,FALSE),0)*10</f>
        <v>0</v>
      </c>
      <c r="C11" s="220">
        <f>IFERROR(VLOOKUP($A11,'NG Pivot'!$A$37:$N$45,MATCH(C$2,'NG Pivot'!$B$36:$N$36,0)+1,FALSE),0)+IFERROR(VLOOKUP($A11,'NG Pivot'!$A$4:$N$29,MATCH(C$2,'NG Pivot'!$B$3:$N$3,0)+1,FALSE),0)*10</f>
        <v>0</v>
      </c>
      <c r="D11" s="220">
        <f>IFERROR(VLOOKUP($A11,'NG Pivot'!$A$37:$N$45,MATCH(D$2,'NG Pivot'!$B$36:$N$36,0)+1,FALSE),0)+IFERROR(VLOOKUP($A11,'NG Pivot'!$A$4:$N$29,MATCH(D$2,'NG Pivot'!$B$3:$N$3,0)+1,FALSE),0)*10</f>
        <v>0</v>
      </c>
      <c r="E11" s="220">
        <f>IFERROR(VLOOKUP($A11,'NG Pivot'!$A$37:$N$45,MATCH(E$2,'NG Pivot'!$B$36:$N$36,0)+1,FALSE),0)+IFERROR(VLOOKUP($A11,'NG Pivot'!$A$4:$N$29,MATCH(E$2,'NG Pivot'!$B$3:$N$3,0)+1,FALSE),0)*10</f>
        <v>0</v>
      </c>
      <c r="F11" s="220">
        <f>IFERROR(VLOOKUP($A11,'NG Pivot'!$A$37:$N$45,MATCH(F$2,'NG Pivot'!$B$36:$N$36,0)+1,FALSE),0)+IFERROR(VLOOKUP($A11,'NG Pivot'!$A$4:$N$29,MATCH(F$2,'NG Pivot'!$B$3:$N$3,0)+1,FALSE),0)*10</f>
        <v>0</v>
      </c>
      <c r="G11" s="220">
        <f>IFERROR(VLOOKUP($A11,'NG Pivot'!$A$37:$N$45,MATCH(G$2,'NG Pivot'!$B$36:$N$36,0)+1,FALSE),0)+IFERROR(VLOOKUP($A11,'NG Pivot'!$A$4:$N$29,MATCH(G$2,'NG Pivot'!$B$3:$N$3,0)+1,FALSE),0)*10</f>
        <v>0</v>
      </c>
      <c r="H11" s="220">
        <f>IFERROR(VLOOKUP($A11,'NG Pivot'!$A$37:$N$45,MATCH(H$2,'NG Pivot'!$B$36:$N$36,0)+1,FALSE),0)+IFERROR(VLOOKUP($A11,'NG Pivot'!$A$4:$N$29,MATCH(H$2,'NG Pivot'!$B$3:$N$3,0)+1,FALSE),0)*10</f>
        <v>0</v>
      </c>
      <c r="I11" s="220">
        <f>IFERROR(VLOOKUP($A11,'NG Pivot'!$A$37:$N$45,MATCH(I$2,'NG Pivot'!$B$36:$N$36,0)+1,FALSE),0)+IFERROR(VLOOKUP($A11,'NG Pivot'!$A$4:$N$29,MATCH(I$2,'NG Pivot'!$B$3:$N$3,0)+1,FALSE),0)*10</f>
        <v>0</v>
      </c>
      <c r="J11" s="220">
        <f>IFERROR(VLOOKUP($A11,'NG Pivot'!$A$37:$N$45,MATCH(J$2,'NG Pivot'!$B$36:$N$36,0)+1,FALSE),0)+IFERROR(VLOOKUP($A11,'NG Pivot'!$A$4:$N$29,MATCH(J$2,'NG Pivot'!$B$3:$N$3,0)+1,FALSE),0)*10</f>
        <v>0</v>
      </c>
      <c r="K11" s="220">
        <f>IFERROR(VLOOKUP($A11,'NG Pivot'!$A$37:$N$45,MATCH(K$2,'NG Pivot'!$B$36:$N$36,0)+1,FALSE),0)+IFERROR(VLOOKUP($A11,'NG Pivot'!$A$4:$N$29,MATCH(K$2,'NG Pivot'!$B$3:$N$3,0)+1,FALSE),0)*10</f>
        <v>0</v>
      </c>
      <c r="L11" s="220">
        <f>IFERROR(VLOOKUP($A11,'NG Pivot'!$A$37:$N$45,MATCH(L$2,'NG Pivot'!$B$36:$N$36,0)+1,FALSE),0)+IFERROR(VLOOKUP($A11,'NG Pivot'!$A$4:$N$29,MATCH(L$2,'NG Pivot'!$B$3:$N$3,0)+1,FALSE),0)*10</f>
        <v>0</v>
      </c>
      <c r="M11" s="220">
        <f>IFERROR(VLOOKUP($A11,'NG Pivot'!$A$37:$N$45,MATCH(M$2,'NG Pivot'!$B$36:$N$36,0)+1,FALSE),0)+IFERROR(VLOOKUP($A11,'NG Pivot'!$A$4:$N$29,MATCH(M$2,'NG Pivot'!$B$3:$N$3,0)+1,FALSE),0)*10</f>
        <v>0</v>
      </c>
      <c r="N11" s="220">
        <f>IFERROR(VLOOKUP($A11,'NG Pivot'!$A$37:$N$45,MATCH(N$2,'NG Pivot'!$B$36:$N$36,0)+1,FALSE),0)+IFERROR(VLOOKUP($A11,'NG Pivot'!$A$4:$N$29,MATCH(N$2,'NG Pivot'!$B$3:$N$3,0)+1,FALSE),0)*10</f>
        <v>0</v>
      </c>
      <c r="O11" s="220">
        <f>IFERROR(VLOOKUP($A11,'NG Pivot'!$A$37:$N$45,MATCH(O$2,'NG Pivot'!$B$36:$N$36,0)+1,FALSE),0)+IFERROR(VLOOKUP($A11,'NG Pivot'!$A$4:$N$29,MATCH(O$2,'NG Pivot'!$B$3:$N$3,0)+1,FALSE),0)*10</f>
        <v>0</v>
      </c>
      <c r="P11" s="220">
        <f>IFERROR(VLOOKUP($A11,'NG Pivot'!$A$37:$N$45,MATCH(P$2,'NG Pivot'!$B$36:$N$36,0)+1,FALSE),0)+IFERROR(VLOOKUP($A11,'NG Pivot'!$A$4:$N$29,MATCH(P$2,'NG Pivot'!$B$3:$N$3,0)+1,FALSE),0)*10</f>
        <v>0</v>
      </c>
      <c r="Q11" s="220">
        <f>IFERROR(VLOOKUP($A11,'NG Pivot'!$A$37:$N$45,MATCH(Q$2,'NG Pivot'!$B$36:$N$36,0)+1,FALSE),0)+IFERROR(VLOOKUP($A11,'NG Pivot'!$A$4:$N$29,MATCH(Q$2,'NG Pivot'!$B$3:$N$3,0)+1,FALSE),0)*10</f>
        <v>0</v>
      </c>
      <c r="R11" s="220">
        <f>IFERROR(VLOOKUP($A11,'NG Pivot'!$A$37:$N$45,MATCH(R$2,'NG Pivot'!$B$36:$N$36,0)+1,FALSE),0)+IFERROR(VLOOKUP($A11,'NG Pivot'!$A$4:$N$29,MATCH(R$2,'NG Pivot'!$B$3:$N$3,0)+1,FALSE),0)*10</f>
        <v>0</v>
      </c>
      <c r="S11" s="220">
        <f>IFERROR(VLOOKUP($A11,'NG Pivot'!$A$37:$N$45,MATCH(S$2,'NG Pivot'!$B$36:$N$36,0)+1,FALSE),0)+IFERROR(VLOOKUP($A11,'NG Pivot'!$A$4:$N$29,MATCH(S$2,'NG Pivot'!$B$3:$N$3,0)+1,FALSE),0)*10</f>
        <v>0</v>
      </c>
      <c r="T11" s="220">
        <f>IFERROR(VLOOKUP($A11,'NG Pivot'!$A$37:$N$45,MATCH(T$2,'NG Pivot'!$B$36:$N$36,0)+1,FALSE),0)+IFERROR(VLOOKUP($A11,'NG Pivot'!$A$4:$N$29,MATCH(T$2,'NG Pivot'!$B$3:$N$3,0)+1,FALSE),0)*10</f>
        <v>0</v>
      </c>
      <c r="U11" s="220">
        <f>IFERROR(VLOOKUP($A11,'NG Pivot'!$A$37:$N$45,MATCH(U$2,'NG Pivot'!$B$36:$N$36,0)+1,FALSE),0)+IFERROR(VLOOKUP($A11,'NG Pivot'!$A$4:$N$29,MATCH(U$2,'NG Pivot'!$B$3:$N$3,0)+1,FALSE),0)*10</f>
        <v>0</v>
      </c>
      <c r="V11" s="220">
        <f>IFERROR(VLOOKUP($A11,'NG Pivot'!$A$37:$N$45,MATCH(V$2,'NG Pivot'!$B$36:$N$36,0)+1,FALSE),0)+IFERROR(VLOOKUP($A11,'NG Pivot'!$A$4:$N$29,MATCH(V$2,'NG Pivot'!$B$3:$N$3,0)+1,FALSE),0)*10</f>
        <v>0</v>
      </c>
      <c r="W11" s="220">
        <f>IFERROR(VLOOKUP($A11,'NG Pivot'!$A$37:$N$45,MATCH(W$2,'NG Pivot'!$B$36:$N$36,0)+1,FALSE),0)+IFERROR(VLOOKUP($A11,'NG Pivot'!$A$4:$N$29,MATCH(W$2,'NG Pivot'!$B$3:$N$3,0)+1,FALSE),0)*10</f>
        <v>0</v>
      </c>
      <c r="X11" s="220">
        <f>IFERROR(VLOOKUP($A11,'NG Pivot'!$A$37:$N$45,MATCH(X$2,'NG Pivot'!$B$36:$N$36,0)+1,FALSE),0)+IFERROR(VLOOKUP($A11,'NG Pivot'!$A$4:$N$29,MATCH(X$2,'NG Pivot'!$B$3:$N$3,0)+1,FALSE),0)*10</f>
        <v>0</v>
      </c>
      <c r="Y11" s="220">
        <f>IFERROR(VLOOKUP($A11,'NG Pivot'!$A$37:$N$45,MATCH(Y$2,'NG Pivot'!$B$36:$N$36,0)+1,FALSE),0)+IFERROR(VLOOKUP($A11,'NG Pivot'!$A$4:$N$29,MATCH(Y$2,'NG Pivot'!$B$3:$N$3,0)+1,FALSE),0)*10</f>
        <v>0</v>
      </c>
      <c r="Z11" s="220">
        <f>IFERROR(VLOOKUP($A11,'NG Pivot'!$A$37:$N$45,MATCH(Z$2,'NG Pivot'!$B$36:$N$36,0)+1,FALSE),0)+IFERROR(VLOOKUP($A11,'NG Pivot'!$A$4:$N$29,MATCH(Z$2,'NG Pivot'!$B$3:$N$3,0)+1,FALSE),0)*10</f>
        <v>0</v>
      </c>
      <c r="AA11" s="220">
        <f>IFERROR(VLOOKUP($A11,'NG Pivot'!$A$37:$N$45,MATCH(AA$2,'NG Pivot'!$B$36:$N$36,0)+1,FALSE),0)+IFERROR(VLOOKUP($A11,'NG Pivot'!$A$4:$N$29,MATCH(AA$2,'NG Pivot'!$B$3:$N$3,0)+1,FALSE),0)*10</f>
        <v>0</v>
      </c>
      <c r="AB11" s="220">
        <f>IFERROR(VLOOKUP($A11,'NG Pivot'!$A$37:$N$45,MATCH(AB$2,'NG Pivot'!$B$36:$N$36,0)+1,FALSE),0)+IFERROR(VLOOKUP($A11,'NG Pivot'!$A$4:$N$29,MATCH(AB$2,'NG Pivot'!$B$3:$N$3,0)+1,FALSE),0)*10</f>
        <v>65</v>
      </c>
      <c r="AC11" s="220">
        <f>IFERROR(VLOOKUP($A11,'NG Pivot'!$A$37:$N$45,MATCH(AC$2,'NG Pivot'!$B$36:$N$36,0)+1,FALSE),0)+IFERROR(VLOOKUP($A11,'NG Pivot'!$A$4:$N$29,MATCH(AC$2,'NG Pivot'!$B$3:$N$3,0)+1,FALSE),0)*10</f>
        <v>6</v>
      </c>
      <c r="AD11" s="220">
        <f>IFERROR(VLOOKUP($A11,'NG Pivot'!$A$37:$N$45,MATCH(AD$2,'NG Pivot'!$B$36:$N$36,0)+1,FALSE),0)+IFERROR(VLOOKUP($A11,'NG Pivot'!$A$4:$N$29,MATCH(AD$2,'NG Pivot'!$B$3:$N$3,0)+1,FALSE),0)*10</f>
        <v>3</v>
      </c>
    </row>
    <row r="12" spans="1:30">
      <c r="A12" s="223" t="s">
        <v>1277</v>
      </c>
      <c r="B12" s="220">
        <f>IFERROR(VLOOKUP($A12,'NG Pivot'!$A$37:$N$45,MATCH(B$2,'NG Pivot'!$B$36:$N$36,0)+1,FALSE),0)+IFERROR(VLOOKUP($A12,'NG Pivot'!$A$4:$N$29,MATCH(B$2,'NG Pivot'!$B$3:$N$3,0)+1,FALSE),0)*10</f>
        <v>0</v>
      </c>
      <c r="C12" s="220">
        <f>IFERROR(VLOOKUP($A12,'NG Pivot'!$A$37:$N$45,MATCH(C$2,'NG Pivot'!$B$36:$N$36,0)+1,FALSE),0)+IFERROR(VLOOKUP($A12,'NG Pivot'!$A$4:$N$29,MATCH(C$2,'NG Pivot'!$B$3:$N$3,0)+1,FALSE),0)*10</f>
        <v>0</v>
      </c>
      <c r="D12" s="220">
        <f>IFERROR(VLOOKUP($A12,'NG Pivot'!$A$37:$N$45,MATCH(D$2,'NG Pivot'!$B$36:$N$36,0)+1,FALSE),0)+IFERROR(VLOOKUP($A12,'NG Pivot'!$A$4:$N$29,MATCH(D$2,'NG Pivot'!$B$3:$N$3,0)+1,FALSE),0)*10</f>
        <v>0</v>
      </c>
      <c r="E12" s="220">
        <f>IFERROR(VLOOKUP($A12,'NG Pivot'!$A$37:$N$45,MATCH(E$2,'NG Pivot'!$B$36:$N$36,0)+1,FALSE),0)+IFERROR(VLOOKUP($A12,'NG Pivot'!$A$4:$N$29,MATCH(E$2,'NG Pivot'!$B$3:$N$3,0)+1,FALSE),0)*10</f>
        <v>0</v>
      </c>
      <c r="F12" s="220">
        <f>IFERROR(VLOOKUP($A12,'NG Pivot'!$A$37:$N$45,MATCH(F$2,'NG Pivot'!$B$36:$N$36,0)+1,FALSE),0)+IFERROR(VLOOKUP($A12,'NG Pivot'!$A$4:$N$29,MATCH(F$2,'NG Pivot'!$B$3:$N$3,0)+1,FALSE),0)*10</f>
        <v>0</v>
      </c>
      <c r="G12" s="220">
        <f>IFERROR(VLOOKUP($A12,'NG Pivot'!$A$37:$N$45,MATCH(G$2,'NG Pivot'!$B$36:$N$36,0)+1,FALSE),0)+IFERROR(VLOOKUP($A12,'NG Pivot'!$A$4:$N$29,MATCH(G$2,'NG Pivot'!$B$3:$N$3,0)+1,FALSE),0)*10</f>
        <v>0</v>
      </c>
      <c r="H12" s="220">
        <f>IFERROR(VLOOKUP($A12,'NG Pivot'!$A$37:$N$45,MATCH(H$2,'NG Pivot'!$B$36:$N$36,0)+1,FALSE),0)+IFERROR(VLOOKUP($A12,'NG Pivot'!$A$4:$N$29,MATCH(H$2,'NG Pivot'!$B$3:$N$3,0)+1,FALSE),0)*10</f>
        <v>0</v>
      </c>
      <c r="I12" s="220">
        <f>IFERROR(VLOOKUP($A12,'NG Pivot'!$A$37:$N$45,MATCH(I$2,'NG Pivot'!$B$36:$N$36,0)+1,FALSE),0)+IFERROR(VLOOKUP($A12,'NG Pivot'!$A$4:$N$29,MATCH(I$2,'NG Pivot'!$B$3:$N$3,0)+1,FALSE),0)*10</f>
        <v>0</v>
      </c>
      <c r="J12" s="220">
        <f>IFERROR(VLOOKUP($A12,'NG Pivot'!$A$37:$N$45,MATCH(J$2,'NG Pivot'!$B$36:$N$36,0)+1,FALSE),0)+IFERROR(VLOOKUP($A12,'NG Pivot'!$A$4:$N$29,MATCH(J$2,'NG Pivot'!$B$3:$N$3,0)+1,FALSE),0)*10</f>
        <v>0</v>
      </c>
      <c r="K12" s="220">
        <f>IFERROR(VLOOKUP($A12,'NG Pivot'!$A$37:$N$45,MATCH(K$2,'NG Pivot'!$B$36:$N$36,0)+1,FALSE),0)+IFERROR(VLOOKUP($A12,'NG Pivot'!$A$4:$N$29,MATCH(K$2,'NG Pivot'!$B$3:$N$3,0)+1,FALSE),0)*10</f>
        <v>0</v>
      </c>
      <c r="L12" s="220">
        <f>IFERROR(VLOOKUP($A12,'NG Pivot'!$A$37:$N$45,MATCH(L$2,'NG Pivot'!$B$36:$N$36,0)+1,FALSE),0)+IFERROR(VLOOKUP($A12,'NG Pivot'!$A$4:$N$29,MATCH(L$2,'NG Pivot'!$B$3:$N$3,0)+1,FALSE),0)*10</f>
        <v>0</v>
      </c>
      <c r="M12" s="220">
        <f>IFERROR(VLOOKUP($A12,'NG Pivot'!$A$37:$N$45,MATCH(M$2,'NG Pivot'!$B$36:$N$36,0)+1,FALSE),0)+IFERROR(VLOOKUP($A12,'NG Pivot'!$A$4:$N$29,MATCH(M$2,'NG Pivot'!$B$3:$N$3,0)+1,FALSE),0)*10</f>
        <v>0</v>
      </c>
      <c r="N12" s="220">
        <f>IFERROR(VLOOKUP($A12,'NG Pivot'!$A$37:$N$45,MATCH(N$2,'NG Pivot'!$B$36:$N$36,0)+1,FALSE),0)+IFERROR(VLOOKUP($A12,'NG Pivot'!$A$4:$N$29,MATCH(N$2,'NG Pivot'!$B$3:$N$3,0)+1,FALSE),0)*10</f>
        <v>360</v>
      </c>
      <c r="O12" s="220">
        <f>IFERROR(VLOOKUP($A12,'NG Pivot'!$A$37:$N$45,MATCH(O$2,'NG Pivot'!$B$36:$N$36,0)+1,FALSE),0)+IFERROR(VLOOKUP($A12,'NG Pivot'!$A$4:$N$29,MATCH(O$2,'NG Pivot'!$B$3:$N$3,0)+1,FALSE),0)*10</f>
        <v>1018</v>
      </c>
      <c r="P12" s="220">
        <f>IFERROR(VLOOKUP($A12,'NG Pivot'!$A$37:$N$45,MATCH(P$2,'NG Pivot'!$B$36:$N$36,0)+1,FALSE),0)+IFERROR(VLOOKUP($A12,'NG Pivot'!$A$4:$N$29,MATCH(P$2,'NG Pivot'!$B$3:$N$3,0)+1,FALSE),0)*10</f>
        <v>0</v>
      </c>
      <c r="Q12" s="220">
        <f>IFERROR(VLOOKUP($A12,'NG Pivot'!$A$37:$N$45,MATCH(Q$2,'NG Pivot'!$B$36:$N$36,0)+1,FALSE),0)+IFERROR(VLOOKUP($A12,'NG Pivot'!$A$4:$N$29,MATCH(Q$2,'NG Pivot'!$B$3:$N$3,0)+1,FALSE),0)*10</f>
        <v>0</v>
      </c>
      <c r="R12" s="220">
        <f>IFERROR(VLOOKUP($A12,'NG Pivot'!$A$37:$N$45,MATCH(R$2,'NG Pivot'!$B$36:$N$36,0)+1,FALSE),0)+IFERROR(VLOOKUP($A12,'NG Pivot'!$A$4:$N$29,MATCH(R$2,'NG Pivot'!$B$3:$N$3,0)+1,FALSE),0)*10</f>
        <v>0</v>
      </c>
      <c r="S12" s="220">
        <f>IFERROR(VLOOKUP($A12,'NG Pivot'!$A$37:$N$45,MATCH(S$2,'NG Pivot'!$B$36:$N$36,0)+1,FALSE),0)+IFERROR(VLOOKUP($A12,'NG Pivot'!$A$4:$N$29,MATCH(S$2,'NG Pivot'!$B$3:$N$3,0)+1,FALSE),0)*10</f>
        <v>0</v>
      </c>
      <c r="T12" s="220">
        <f>IFERROR(VLOOKUP($A12,'NG Pivot'!$A$37:$N$45,MATCH(T$2,'NG Pivot'!$B$36:$N$36,0)+1,FALSE),0)+IFERROR(VLOOKUP($A12,'NG Pivot'!$A$4:$N$29,MATCH(T$2,'NG Pivot'!$B$3:$N$3,0)+1,FALSE),0)*10</f>
        <v>1223</v>
      </c>
      <c r="U12" s="220">
        <f>IFERROR(VLOOKUP($A12,'NG Pivot'!$A$37:$N$45,MATCH(U$2,'NG Pivot'!$B$36:$N$36,0)+1,FALSE),0)+IFERROR(VLOOKUP($A12,'NG Pivot'!$A$4:$N$29,MATCH(U$2,'NG Pivot'!$B$3:$N$3,0)+1,FALSE),0)*10</f>
        <v>0</v>
      </c>
      <c r="V12" s="220">
        <f>IFERROR(VLOOKUP($A12,'NG Pivot'!$A$37:$N$45,MATCH(V$2,'NG Pivot'!$B$36:$N$36,0)+1,FALSE),0)+IFERROR(VLOOKUP($A12,'NG Pivot'!$A$4:$N$29,MATCH(V$2,'NG Pivot'!$B$3:$N$3,0)+1,FALSE),0)*10</f>
        <v>0</v>
      </c>
      <c r="W12" s="220">
        <f>IFERROR(VLOOKUP($A12,'NG Pivot'!$A$37:$N$45,MATCH(W$2,'NG Pivot'!$B$36:$N$36,0)+1,FALSE),0)+IFERROR(VLOOKUP($A12,'NG Pivot'!$A$4:$N$29,MATCH(W$2,'NG Pivot'!$B$3:$N$3,0)+1,FALSE),0)*10</f>
        <v>0</v>
      </c>
      <c r="X12" s="220">
        <f>IFERROR(VLOOKUP($A12,'NG Pivot'!$A$37:$N$45,MATCH(X$2,'NG Pivot'!$B$36:$N$36,0)+1,FALSE),0)+IFERROR(VLOOKUP($A12,'NG Pivot'!$A$4:$N$29,MATCH(X$2,'NG Pivot'!$B$3:$N$3,0)+1,FALSE),0)*10</f>
        <v>860</v>
      </c>
      <c r="Y12" s="220">
        <f>IFERROR(VLOOKUP($A12,'NG Pivot'!$A$37:$N$45,MATCH(Y$2,'NG Pivot'!$B$36:$N$36,0)+1,FALSE),0)+IFERROR(VLOOKUP($A12,'NG Pivot'!$A$4:$N$29,MATCH(Y$2,'NG Pivot'!$B$3:$N$3,0)+1,FALSE),0)*10</f>
        <v>0</v>
      </c>
      <c r="Z12" s="220">
        <f>IFERROR(VLOOKUP($A12,'NG Pivot'!$A$37:$N$45,MATCH(Z$2,'NG Pivot'!$B$36:$N$36,0)+1,FALSE),0)+IFERROR(VLOOKUP($A12,'NG Pivot'!$A$4:$N$29,MATCH(Z$2,'NG Pivot'!$B$3:$N$3,0)+1,FALSE),0)*10</f>
        <v>26</v>
      </c>
      <c r="AA12" s="220">
        <f>IFERROR(VLOOKUP($A12,'NG Pivot'!$A$37:$N$45,MATCH(AA$2,'NG Pivot'!$B$36:$N$36,0)+1,FALSE),0)+IFERROR(VLOOKUP($A12,'NG Pivot'!$A$4:$N$29,MATCH(AA$2,'NG Pivot'!$B$3:$N$3,0)+1,FALSE),0)*10</f>
        <v>872.8</v>
      </c>
      <c r="AB12" s="220">
        <f>IFERROR(VLOOKUP($A12,'NG Pivot'!$A$37:$N$45,MATCH(AB$2,'NG Pivot'!$B$36:$N$36,0)+1,FALSE),0)+IFERROR(VLOOKUP($A12,'NG Pivot'!$A$4:$N$29,MATCH(AB$2,'NG Pivot'!$B$3:$N$3,0)+1,FALSE),0)*10</f>
        <v>925.2</v>
      </c>
      <c r="AC12" s="220">
        <f>IFERROR(VLOOKUP($A12,'NG Pivot'!$A$37:$N$45,MATCH(AC$2,'NG Pivot'!$B$36:$N$36,0)+1,FALSE),0)+IFERROR(VLOOKUP($A12,'NG Pivot'!$A$4:$N$29,MATCH(AC$2,'NG Pivot'!$B$3:$N$3,0)+1,FALSE),0)*10</f>
        <v>0</v>
      </c>
      <c r="AD12" s="220">
        <f>IFERROR(VLOOKUP($A12,'NG Pivot'!$A$37:$N$45,MATCH(AD$2,'NG Pivot'!$B$36:$N$36,0)+1,FALSE),0)+IFERROR(VLOOKUP($A12,'NG Pivot'!$A$4:$N$29,MATCH(AD$2,'NG Pivot'!$B$3:$N$3,0)+1,FALSE),0)*10</f>
        <v>474</v>
      </c>
    </row>
    <row r="13" spans="1:30">
      <c r="A13" s="223" t="s">
        <v>1278</v>
      </c>
      <c r="B13" s="220">
        <f>IFERROR(VLOOKUP($A13,'NG Pivot'!$A$37:$N$45,MATCH(B$2,'NG Pivot'!$B$36:$N$36,0)+1,FALSE),0)+IFERROR(VLOOKUP($A13,'NG Pivot'!$A$4:$N$29,MATCH(B$2,'NG Pivot'!$B$3:$N$3,0)+1,FALSE),0)*10</f>
        <v>0</v>
      </c>
      <c r="C13" s="220">
        <f>IFERROR(VLOOKUP($A13,'NG Pivot'!$A$37:$N$45,MATCH(C$2,'NG Pivot'!$B$36:$N$36,0)+1,FALSE),0)+IFERROR(VLOOKUP($A13,'NG Pivot'!$A$4:$N$29,MATCH(C$2,'NG Pivot'!$B$3:$N$3,0)+1,FALSE),0)*10</f>
        <v>0</v>
      </c>
      <c r="D13" s="220">
        <f>IFERROR(VLOOKUP($A13,'NG Pivot'!$A$37:$N$45,MATCH(D$2,'NG Pivot'!$B$36:$N$36,0)+1,FALSE),0)+IFERROR(VLOOKUP($A13,'NG Pivot'!$A$4:$N$29,MATCH(D$2,'NG Pivot'!$B$3:$N$3,0)+1,FALSE),0)*10</f>
        <v>0</v>
      </c>
      <c r="E13" s="220">
        <f>IFERROR(VLOOKUP($A13,'NG Pivot'!$A$37:$N$45,MATCH(E$2,'NG Pivot'!$B$36:$N$36,0)+1,FALSE),0)+IFERROR(VLOOKUP($A13,'NG Pivot'!$A$4:$N$29,MATCH(E$2,'NG Pivot'!$B$3:$N$3,0)+1,FALSE),0)*10</f>
        <v>0</v>
      </c>
      <c r="F13" s="220">
        <f>IFERROR(VLOOKUP($A13,'NG Pivot'!$A$37:$N$45,MATCH(F$2,'NG Pivot'!$B$36:$N$36,0)+1,FALSE),0)+IFERROR(VLOOKUP($A13,'NG Pivot'!$A$4:$N$29,MATCH(F$2,'NG Pivot'!$B$3:$N$3,0)+1,FALSE),0)*10</f>
        <v>0</v>
      </c>
      <c r="G13" s="220">
        <f>IFERROR(VLOOKUP($A13,'NG Pivot'!$A$37:$N$45,MATCH(G$2,'NG Pivot'!$B$36:$N$36,0)+1,FALSE),0)+IFERROR(VLOOKUP($A13,'NG Pivot'!$A$4:$N$29,MATCH(G$2,'NG Pivot'!$B$3:$N$3,0)+1,FALSE),0)*10</f>
        <v>0</v>
      </c>
      <c r="H13" s="220">
        <f>IFERROR(VLOOKUP($A13,'NG Pivot'!$A$37:$N$45,MATCH(H$2,'NG Pivot'!$B$36:$N$36,0)+1,FALSE),0)+IFERROR(VLOOKUP($A13,'NG Pivot'!$A$4:$N$29,MATCH(H$2,'NG Pivot'!$B$3:$N$3,0)+1,FALSE),0)*10</f>
        <v>0</v>
      </c>
      <c r="I13" s="220">
        <f>IFERROR(VLOOKUP($A13,'NG Pivot'!$A$37:$N$45,MATCH(I$2,'NG Pivot'!$B$36:$N$36,0)+1,FALSE),0)+IFERROR(VLOOKUP($A13,'NG Pivot'!$A$4:$N$29,MATCH(I$2,'NG Pivot'!$B$3:$N$3,0)+1,FALSE),0)*10</f>
        <v>0</v>
      </c>
      <c r="J13" s="220">
        <f>IFERROR(VLOOKUP($A13,'NG Pivot'!$A$37:$N$45,MATCH(J$2,'NG Pivot'!$B$36:$N$36,0)+1,FALSE),0)+IFERROR(VLOOKUP($A13,'NG Pivot'!$A$4:$N$29,MATCH(J$2,'NG Pivot'!$B$3:$N$3,0)+1,FALSE),0)*10</f>
        <v>0</v>
      </c>
      <c r="K13" s="220">
        <f>IFERROR(VLOOKUP($A13,'NG Pivot'!$A$37:$N$45,MATCH(K$2,'NG Pivot'!$B$36:$N$36,0)+1,FALSE),0)+IFERROR(VLOOKUP($A13,'NG Pivot'!$A$4:$N$29,MATCH(K$2,'NG Pivot'!$B$3:$N$3,0)+1,FALSE),0)*10</f>
        <v>0</v>
      </c>
      <c r="L13" s="220">
        <f>IFERROR(VLOOKUP($A13,'NG Pivot'!$A$37:$N$45,MATCH(L$2,'NG Pivot'!$B$36:$N$36,0)+1,FALSE),0)+IFERROR(VLOOKUP($A13,'NG Pivot'!$A$4:$N$29,MATCH(L$2,'NG Pivot'!$B$3:$N$3,0)+1,FALSE),0)*10</f>
        <v>0</v>
      </c>
      <c r="M13" s="220">
        <f>IFERROR(VLOOKUP($A13,'NG Pivot'!$A$37:$N$45,MATCH(M$2,'NG Pivot'!$B$36:$N$36,0)+1,FALSE),0)+IFERROR(VLOOKUP($A13,'NG Pivot'!$A$4:$N$29,MATCH(M$2,'NG Pivot'!$B$3:$N$3,0)+1,FALSE),0)*10</f>
        <v>0</v>
      </c>
      <c r="N13" s="220">
        <f>IFERROR(VLOOKUP($A13,'NG Pivot'!$A$37:$N$45,MATCH(N$2,'NG Pivot'!$B$36:$N$36,0)+1,FALSE),0)+IFERROR(VLOOKUP($A13,'NG Pivot'!$A$4:$N$29,MATCH(N$2,'NG Pivot'!$B$3:$N$3,0)+1,FALSE),0)*10</f>
        <v>2310</v>
      </c>
      <c r="O13" s="220">
        <f>IFERROR(VLOOKUP($A13,'NG Pivot'!$A$37:$N$45,MATCH(O$2,'NG Pivot'!$B$36:$N$36,0)+1,FALSE),0)+IFERROR(VLOOKUP($A13,'NG Pivot'!$A$4:$N$29,MATCH(O$2,'NG Pivot'!$B$3:$N$3,0)+1,FALSE),0)*10</f>
        <v>390</v>
      </c>
      <c r="P13" s="220">
        <f>IFERROR(VLOOKUP($A13,'NG Pivot'!$A$37:$N$45,MATCH(P$2,'NG Pivot'!$B$36:$N$36,0)+1,FALSE),0)+IFERROR(VLOOKUP($A13,'NG Pivot'!$A$4:$N$29,MATCH(P$2,'NG Pivot'!$B$3:$N$3,0)+1,FALSE),0)*10</f>
        <v>780</v>
      </c>
      <c r="Q13" s="220">
        <f>IFERROR(VLOOKUP($A13,'NG Pivot'!$A$37:$N$45,MATCH(Q$2,'NG Pivot'!$B$36:$N$36,0)+1,FALSE),0)+IFERROR(VLOOKUP($A13,'NG Pivot'!$A$4:$N$29,MATCH(Q$2,'NG Pivot'!$B$3:$N$3,0)+1,FALSE),0)*10</f>
        <v>0</v>
      </c>
      <c r="R13" s="220">
        <f>IFERROR(VLOOKUP($A13,'NG Pivot'!$A$37:$N$45,MATCH(R$2,'NG Pivot'!$B$36:$N$36,0)+1,FALSE),0)+IFERROR(VLOOKUP($A13,'NG Pivot'!$A$4:$N$29,MATCH(R$2,'NG Pivot'!$B$3:$N$3,0)+1,FALSE),0)*10</f>
        <v>0</v>
      </c>
      <c r="S13" s="220">
        <f>IFERROR(VLOOKUP($A13,'NG Pivot'!$A$37:$N$45,MATCH(S$2,'NG Pivot'!$B$36:$N$36,0)+1,FALSE),0)+IFERROR(VLOOKUP($A13,'NG Pivot'!$A$4:$N$29,MATCH(S$2,'NG Pivot'!$B$3:$N$3,0)+1,FALSE),0)*10</f>
        <v>0</v>
      </c>
      <c r="T13" s="220">
        <f>IFERROR(VLOOKUP($A13,'NG Pivot'!$A$37:$N$45,MATCH(T$2,'NG Pivot'!$B$36:$N$36,0)+1,FALSE),0)+IFERROR(VLOOKUP($A13,'NG Pivot'!$A$4:$N$29,MATCH(T$2,'NG Pivot'!$B$3:$N$3,0)+1,FALSE),0)*10</f>
        <v>220</v>
      </c>
      <c r="U13" s="220">
        <f>IFERROR(VLOOKUP($A13,'NG Pivot'!$A$37:$N$45,MATCH(U$2,'NG Pivot'!$B$36:$N$36,0)+1,FALSE),0)+IFERROR(VLOOKUP($A13,'NG Pivot'!$A$4:$N$29,MATCH(U$2,'NG Pivot'!$B$3:$N$3,0)+1,FALSE),0)*10</f>
        <v>1162</v>
      </c>
      <c r="V13" s="220">
        <f>IFERROR(VLOOKUP($A13,'NG Pivot'!$A$37:$N$45,MATCH(V$2,'NG Pivot'!$B$36:$N$36,0)+1,FALSE),0)+IFERROR(VLOOKUP($A13,'NG Pivot'!$A$4:$N$29,MATCH(V$2,'NG Pivot'!$B$3:$N$3,0)+1,FALSE),0)*10</f>
        <v>1236.7</v>
      </c>
      <c r="W13" s="220">
        <f>IFERROR(VLOOKUP($A13,'NG Pivot'!$A$37:$N$45,MATCH(W$2,'NG Pivot'!$B$36:$N$36,0)+1,FALSE),0)+IFERROR(VLOOKUP($A13,'NG Pivot'!$A$4:$N$29,MATCH(W$2,'NG Pivot'!$B$3:$N$3,0)+1,FALSE),0)*10</f>
        <v>0</v>
      </c>
      <c r="X13" s="220">
        <f>IFERROR(VLOOKUP($A13,'NG Pivot'!$A$37:$N$45,MATCH(X$2,'NG Pivot'!$B$36:$N$36,0)+1,FALSE),0)+IFERROR(VLOOKUP($A13,'NG Pivot'!$A$4:$N$29,MATCH(X$2,'NG Pivot'!$B$3:$N$3,0)+1,FALSE),0)*10</f>
        <v>2150</v>
      </c>
      <c r="Y13" s="220">
        <f>IFERROR(VLOOKUP($A13,'NG Pivot'!$A$37:$N$45,MATCH(Y$2,'NG Pivot'!$B$36:$N$36,0)+1,FALSE),0)+IFERROR(VLOOKUP($A13,'NG Pivot'!$A$4:$N$29,MATCH(Y$2,'NG Pivot'!$B$3:$N$3,0)+1,FALSE),0)*10</f>
        <v>860</v>
      </c>
      <c r="Z13" s="220">
        <f>IFERROR(VLOOKUP($A13,'NG Pivot'!$A$37:$N$45,MATCH(Z$2,'NG Pivot'!$B$36:$N$36,0)+1,FALSE),0)+IFERROR(VLOOKUP($A13,'NG Pivot'!$A$4:$N$29,MATCH(Z$2,'NG Pivot'!$B$3:$N$3,0)+1,FALSE),0)*10</f>
        <v>3864</v>
      </c>
      <c r="AA13" s="220">
        <f>IFERROR(VLOOKUP($A13,'NG Pivot'!$A$37:$N$45,MATCH(AA$2,'NG Pivot'!$B$36:$N$36,0)+1,FALSE),0)+IFERROR(VLOOKUP($A13,'NG Pivot'!$A$4:$N$29,MATCH(AA$2,'NG Pivot'!$B$3:$N$3,0)+1,FALSE),0)*10</f>
        <v>2137.9</v>
      </c>
      <c r="AB13" s="220">
        <f>IFERROR(VLOOKUP($A13,'NG Pivot'!$A$37:$N$45,MATCH(AB$2,'NG Pivot'!$B$36:$N$36,0)+1,FALSE),0)+IFERROR(VLOOKUP($A13,'NG Pivot'!$A$4:$N$29,MATCH(AB$2,'NG Pivot'!$B$3:$N$3,0)+1,FALSE),0)*10</f>
        <v>1027.8</v>
      </c>
      <c r="AC13" s="220">
        <f>IFERROR(VLOOKUP($A13,'NG Pivot'!$A$37:$N$45,MATCH(AC$2,'NG Pivot'!$B$36:$N$36,0)+1,FALSE),0)+IFERROR(VLOOKUP($A13,'NG Pivot'!$A$4:$N$29,MATCH(AC$2,'NG Pivot'!$B$3:$N$3,0)+1,FALSE),0)*10</f>
        <v>878.6</v>
      </c>
      <c r="AD13" s="220">
        <f>IFERROR(VLOOKUP($A13,'NG Pivot'!$A$37:$N$45,MATCH(AD$2,'NG Pivot'!$B$36:$N$36,0)+1,FALSE),0)+IFERROR(VLOOKUP($A13,'NG Pivot'!$A$4:$N$29,MATCH(AD$2,'NG Pivot'!$B$3:$N$3,0)+1,FALSE),0)*10</f>
        <v>2156.3</v>
      </c>
    </row>
    <row r="14" spans="1:30">
      <c r="A14" s="223" t="s">
        <v>1279</v>
      </c>
      <c r="B14" s="220">
        <f>IFERROR(VLOOKUP($A14,'NG Pivot'!$A$37:$N$45,MATCH(B$2,'NG Pivot'!$B$36:$N$36,0)+1,FALSE),0)+IFERROR(VLOOKUP($A14,'NG Pivot'!$A$4:$N$29,MATCH(B$2,'NG Pivot'!$B$3:$N$3,0)+1,FALSE),0)*10</f>
        <v>0</v>
      </c>
      <c r="C14" s="220">
        <f>IFERROR(VLOOKUP($A14,'NG Pivot'!$A$37:$N$45,MATCH(C$2,'NG Pivot'!$B$36:$N$36,0)+1,FALSE),0)+IFERROR(VLOOKUP($A14,'NG Pivot'!$A$4:$N$29,MATCH(C$2,'NG Pivot'!$B$3:$N$3,0)+1,FALSE),0)*10</f>
        <v>0</v>
      </c>
      <c r="D14" s="220">
        <f>IFERROR(VLOOKUP($A14,'NG Pivot'!$A$37:$N$45,MATCH(D$2,'NG Pivot'!$B$36:$N$36,0)+1,FALSE),0)+IFERROR(VLOOKUP($A14,'NG Pivot'!$A$4:$N$29,MATCH(D$2,'NG Pivot'!$B$3:$N$3,0)+1,FALSE),0)*10</f>
        <v>0</v>
      </c>
      <c r="E14" s="220">
        <f>IFERROR(VLOOKUP($A14,'NG Pivot'!$A$37:$N$45,MATCH(E$2,'NG Pivot'!$B$36:$N$36,0)+1,FALSE),0)+IFERROR(VLOOKUP($A14,'NG Pivot'!$A$4:$N$29,MATCH(E$2,'NG Pivot'!$B$3:$N$3,0)+1,FALSE),0)*10</f>
        <v>0</v>
      </c>
      <c r="F14" s="220">
        <f>IFERROR(VLOOKUP($A14,'NG Pivot'!$A$37:$N$45,MATCH(F$2,'NG Pivot'!$B$36:$N$36,0)+1,FALSE),0)+IFERROR(VLOOKUP($A14,'NG Pivot'!$A$4:$N$29,MATCH(F$2,'NG Pivot'!$B$3:$N$3,0)+1,FALSE),0)*10</f>
        <v>0</v>
      </c>
      <c r="G14" s="220">
        <f>IFERROR(VLOOKUP($A14,'NG Pivot'!$A$37:$N$45,MATCH(G$2,'NG Pivot'!$B$36:$N$36,0)+1,FALSE),0)+IFERROR(VLOOKUP($A14,'NG Pivot'!$A$4:$N$29,MATCH(G$2,'NG Pivot'!$B$3:$N$3,0)+1,FALSE),0)*10</f>
        <v>0</v>
      </c>
      <c r="H14" s="220">
        <f>IFERROR(VLOOKUP($A14,'NG Pivot'!$A$37:$N$45,MATCH(H$2,'NG Pivot'!$B$36:$N$36,0)+1,FALSE),0)+IFERROR(VLOOKUP($A14,'NG Pivot'!$A$4:$N$29,MATCH(H$2,'NG Pivot'!$B$3:$N$3,0)+1,FALSE),0)*10</f>
        <v>323.2</v>
      </c>
      <c r="I14" s="220">
        <f>IFERROR(VLOOKUP($A14,'NG Pivot'!$A$37:$N$45,MATCH(I$2,'NG Pivot'!$B$36:$N$36,0)+1,FALSE),0)+IFERROR(VLOOKUP($A14,'NG Pivot'!$A$4:$N$29,MATCH(I$2,'NG Pivot'!$B$3:$N$3,0)+1,FALSE),0)*10</f>
        <v>0</v>
      </c>
      <c r="J14" s="220">
        <f>IFERROR(VLOOKUP($A14,'NG Pivot'!$A$37:$N$45,MATCH(J$2,'NG Pivot'!$B$36:$N$36,0)+1,FALSE),0)+IFERROR(VLOOKUP($A14,'NG Pivot'!$A$4:$N$29,MATCH(J$2,'NG Pivot'!$B$3:$N$3,0)+1,FALSE),0)*10</f>
        <v>0</v>
      </c>
      <c r="K14" s="220">
        <f>IFERROR(VLOOKUP($A14,'NG Pivot'!$A$37:$N$45,MATCH(K$2,'NG Pivot'!$B$36:$N$36,0)+1,FALSE),0)+IFERROR(VLOOKUP($A14,'NG Pivot'!$A$4:$N$29,MATCH(K$2,'NG Pivot'!$B$3:$N$3,0)+1,FALSE),0)*10</f>
        <v>0</v>
      </c>
      <c r="L14" s="220">
        <f>IFERROR(VLOOKUP($A14,'NG Pivot'!$A$37:$N$45,MATCH(L$2,'NG Pivot'!$B$36:$N$36,0)+1,FALSE),0)+IFERROR(VLOOKUP($A14,'NG Pivot'!$A$4:$N$29,MATCH(L$2,'NG Pivot'!$B$3:$N$3,0)+1,FALSE),0)*10</f>
        <v>0</v>
      </c>
      <c r="M14" s="220">
        <f>IFERROR(VLOOKUP($A14,'NG Pivot'!$A$37:$N$45,MATCH(M$2,'NG Pivot'!$B$36:$N$36,0)+1,FALSE),0)+IFERROR(VLOOKUP($A14,'NG Pivot'!$A$4:$N$29,MATCH(M$2,'NG Pivot'!$B$3:$N$3,0)+1,FALSE),0)*10</f>
        <v>0</v>
      </c>
      <c r="N14" s="220">
        <f>IFERROR(VLOOKUP($A14,'NG Pivot'!$A$37:$N$45,MATCH(N$2,'NG Pivot'!$B$36:$N$36,0)+1,FALSE),0)+IFERROR(VLOOKUP($A14,'NG Pivot'!$A$4:$N$29,MATCH(N$2,'NG Pivot'!$B$3:$N$3,0)+1,FALSE),0)*10</f>
        <v>1567</v>
      </c>
      <c r="O14" s="220">
        <f>IFERROR(VLOOKUP($A14,'NG Pivot'!$A$37:$N$45,MATCH(O$2,'NG Pivot'!$B$36:$N$36,0)+1,FALSE),0)+IFERROR(VLOOKUP($A14,'NG Pivot'!$A$4:$N$29,MATCH(O$2,'NG Pivot'!$B$3:$N$3,0)+1,FALSE),0)*10</f>
        <v>187</v>
      </c>
      <c r="P14" s="220">
        <f>IFERROR(VLOOKUP($A14,'NG Pivot'!$A$37:$N$45,MATCH(P$2,'NG Pivot'!$B$36:$N$36,0)+1,FALSE),0)+IFERROR(VLOOKUP($A14,'NG Pivot'!$A$4:$N$29,MATCH(P$2,'NG Pivot'!$B$3:$N$3,0)+1,FALSE),0)*10</f>
        <v>1576.82</v>
      </c>
      <c r="Q14" s="220">
        <f>IFERROR(VLOOKUP($A14,'NG Pivot'!$A$37:$N$45,MATCH(Q$2,'NG Pivot'!$B$36:$N$36,0)+1,FALSE),0)+IFERROR(VLOOKUP($A14,'NG Pivot'!$A$4:$N$29,MATCH(Q$2,'NG Pivot'!$B$3:$N$3,0)+1,FALSE),0)*10</f>
        <v>804.91</v>
      </c>
      <c r="R14" s="220">
        <f>IFERROR(VLOOKUP($A14,'NG Pivot'!$A$37:$N$45,MATCH(R$2,'NG Pivot'!$B$36:$N$36,0)+1,FALSE),0)+IFERROR(VLOOKUP($A14,'NG Pivot'!$A$4:$N$29,MATCH(R$2,'NG Pivot'!$B$3:$N$3,0)+1,FALSE),0)*10</f>
        <v>0</v>
      </c>
      <c r="S14" s="220">
        <f>IFERROR(VLOOKUP($A14,'NG Pivot'!$A$37:$N$45,MATCH(S$2,'NG Pivot'!$B$36:$N$36,0)+1,FALSE),0)+IFERROR(VLOOKUP($A14,'NG Pivot'!$A$4:$N$29,MATCH(S$2,'NG Pivot'!$B$3:$N$3,0)+1,FALSE),0)*10</f>
        <v>0</v>
      </c>
      <c r="T14" s="220">
        <f>IFERROR(VLOOKUP($A14,'NG Pivot'!$A$37:$N$45,MATCH(T$2,'NG Pivot'!$B$36:$N$36,0)+1,FALSE),0)+IFERROR(VLOOKUP($A14,'NG Pivot'!$A$4:$N$29,MATCH(T$2,'NG Pivot'!$B$3:$N$3,0)+1,FALSE),0)*10</f>
        <v>0</v>
      </c>
      <c r="U14" s="220">
        <f>IFERROR(VLOOKUP($A14,'NG Pivot'!$A$37:$N$45,MATCH(U$2,'NG Pivot'!$B$36:$N$36,0)+1,FALSE),0)+IFERROR(VLOOKUP($A14,'NG Pivot'!$A$4:$N$29,MATCH(U$2,'NG Pivot'!$B$3:$N$3,0)+1,FALSE),0)*10</f>
        <v>1267</v>
      </c>
      <c r="V14" s="220">
        <f>IFERROR(VLOOKUP($A14,'NG Pivot'!$A$37:$N$45,MATCH(V$2,'NG Pivot'!$B$36:$N$36,0)+1,FALSE),0)+IFERROR(VLOOKUP($A14,'NG Pivot'!$A$4:$N$29,MATCH(V$2,'NG Pivot'!$B$3:$N$3,0)+1,FALSE),0)*10</f>
        <v>2312</v>
      </c>
      <c r="W14" s="220">
        <f>IFERROR(VLOOKUP($A14,'NG Pivot'!$A$37:$N$45,MATCH(W$2,'NG Pivot'!$B$36:$N$36,0)+1,FALSE),0)+IFERROR(VLOOKUP($A14,'NG Pivot'!$A$4:$N$29,MATCH(W$2,'NG Pivot'!$B$3:$N$3,0)+1,FALSE),0)*10</f>
        <v>1942.4</v>
      </c>
      <c r="X14" s="220">
        <f>IFERROR(VLOOKUP($A14,'NG Pivot'!$A$37:$N$45,MATCH(X$2,'NG Pivot'!$B$36:$N$36,0)+1,FALSE),0)+IFERROR(VLOOKUP($A14,'NG Pivot'!$A$4:$N$29,MATCH(X$2,'NG Pivot'!$B$3:$N$3,0)+1,FALSE),0)*10</f>
        <v>1564.5</v>
      </c>
      <c r="Y14" s="220">
        <f>IFERROR(VLOOKUP($A14,'NG Pivot'!$A$37:$N$45,MATCH(Y$2,'NG Pivot'!$B$36:$N$36,0)+1,FALSE),0)+IFERROR(VLOOKUP($A14,'NG Pivot'!$A$4:$N$29,MATCH(Y$2,'NG Pivot'!$B$3:$N$3,0)+1,FALSE),0)*10</f>
        <v>0</v>
      </c>
      <c r="Z14" s="220">
        <f>IFERROR(VLOOKUP($A14,'NG Pivot'!$A$37:$N$45,MATCH(Z$2,'NG Pivot'!$B$36:$N$36,0)+1,FALSE),0)+IFERROR(VLOOKUP($A14,'NG Pivot'!$A$4:$N$29,MATCH(Z$2,'NG Pivot'!$B$3:$N$3,0)+1,FALSE),0)*10</f>
        <v>224</v>
      </c>
      <c r="AA14" s="220">
        <f>IFERROR(VLOOKUP($A14,'NG Pivot'!$A$37:$N$45,MATCH(AA$2,'NG Pivot'!$B$36:$N$36,0)+1,FALSE),0)+IFERROR(VLOOKUP($A14,'NG Pivot'!$A$4:$N$29,MATCH(AA$2,'NG Pivot'!$B$3:$N$3,0)+1,FALSE),0)*10</f>
        <v>244.1</v>
      </c>
      <c r="AB14" s="220">
        <f>IFERROR(VLOOKUP($A14,'NG Pivot'!$A$37:$N$45,MATCH(AB$2,'NG Pivot'!$B$36:$N$36,0)+1,FALSE),0)+IFERROR(VLOOKUP($A14,'NG Pivot'!$A$4:$N$29,MATCH(AB$2,'NG Pivot'!$B$3:$N$3,0)+1,FALSE),0)*10</f>
        <v>0</v>
      </c>
      <c r="AC14" s="220">
        <f>IFERROR(VLOOKUP($A14,'NG Pivot'!$A$37:$N$45,MATCH(AC$2,'NG Pivot'!$B$36:$N$36,0)+1,FALSE),0)+IFERROR(VLOOKUP($A14,'NG Pivot'!$A$4:$N$29,MATCH(AC$2,'NG Pivot'!$B$3:$N$3,0)+1,FALSE),0)*10</f>
        <v>0</v>
      </c>
      <c r="AD14" s="220">
        <f>IFERROR(VLOOKUP($A14,'NG Pivot'!$A$37:$N$45,MATCH(AD$2,'NG Pivot'!$B$36:$N$36,0)+1,FALSE),0)+IFERROR(VLOOKUP($A14,'NG Pivot'!$A$4:$N$29,MATCH(AD$2,'NG Pivot'!$B$3:$N$3,0)+1,FALSE),0)*10</f>
        <v>0</v>
      </c>
    </row>
    <row r="15" spans="1:30">
      <c r="A15" s="223" t="s">
        <v>1280</v>
      </c>
      <c r="B15" s="220">
        <f>IFERROR(VLOOKUP($A15,'NG Pivot'!$A$37:$N$45,MATCH(B$2,'NG Pivot'!$B$36:$N$36,0)+1,FALSE),0)+IFERROR(VLOOKUP($A15,'NG Pivot'!$A$4:$N$29,MATCH(B$2,'NG Pivot'!$B$3:$N$3,0)+1,FALSE),0)*10</f>
        <v>0</v>
      </c>
      <c r="C15" s="220">
        <f>IFERROR(VLOOKUP($A15,'NG Pivot'!$A$37:$N$45,MATCH(C$2,'NG Pivot'!$B$36:$N$36,0)+1,FALSE),0)+IFERROR(VLOOKUP($A15,'NG Pivot'!$A$4:$N$29,MATCH(C$2,'NG Pivot'!$B$3:$N$3,0)+1,FALSE),0)*10</f>
        <v>0</v>
      </c>
      <c r="D15" s="220">
        <f>IFERROR(VLOOKUP($A15,'NG Pivot'!$A$37:$N$45,MATCH(D$2,'NG Pivot'!$B$36:$N$36,0)+1,FALSE),0)+IFERROR(VLOOKUP($A15,'NG Pivot'!$A$4:$N$29,MATCH(D$2,'NG Pivot'!$B$3:$N$3,0)+1,FALSE),0)*10</f>
        <v>0</v>
      </c>
      <c r="E15" s="220">
        <f>IFERROR(VLOOKUP($A15,'NG Pivot'!$A$37:$N$45,MATCH(E$2,'NG Pivot'!$B$36:$N$36,0)+1,FALSE),0)+IFERROR(VLOOKUP($A15,'NG Pivot'!$A$4:$N$29,MATCH(E$2,'NG Pivot'!$B$3:$N$3,0)+1,FALSE),0)*10</f>
        <v>0</v>
      </c>
      <c r="F15" s="220">
        <f>IFERROR(VLOOKUP($A15,'NG Pivot'!$A$37:$N$45,MATCH(F$2,'NG Pivot'!$B$36:$N$36,0)+1,FALSE),0)+IFERROR(VLOOKUP($A15,'NG Pivot'!$A$4:$N$29,MATCH(F$2,'NG Pivot'!$B$3:$N$3,0)+1,FALSE),0)*10</f>
        <v>0</v>
      </c>
      <c r="G15" s="220">
        <f>IFERROR(VLOOKUP($A15,'NG Pivot'!$A$37:$N$45,MATCH(G$2,'NG Pivot'!$B$36:$N$36,0)+1,FALSE),0)+IFERROR(VLOOKUP($A15,'NG Pivot'!$A$4:$N$29,MATCH(G$2,'NG Pivot'!$B$3:$N$3,0)+1,FALSE),0)*10</f>
        <v>0</v>
      </c>
      <c r="H15" s="220">
        <f>IFERROR(VLOOKUP($A15,'NG Pivot'!$A$37:$N$45,MATCH(H$2,'NG Pivot'!$B$36:$N$36,0)+1,FALSE),0)+IFERROR(VLOOKUP($A15,'NG Pivot'!$A$4:$N$29,MATCH(H$2,'NG Pivot'!$B$3:$N$3,0)+1,FALSE),0)*10</f>
        <v>0</v>
      </c>
      <c r="I15" s="220">
        <f>IFERROR(VLOOKUP($A15,'NG Pivot'!$A$37:$N$45,MATCH(I$2,'NG Pivot'!$B$36:$N$36,0)+1,FALSE),0)+IFERROR(VLOOKUP($A15,'NG Pivot'!$A$4:$N$29,MATCH(I$2,'NG Pivot'!$B$3:$N$3,0)+1,FALSE),0)*10</f>
        <v>0</v>
      </c>
      <c r="J15" s="220">
        <f>IFERROR(VLOOKUP($A15,'NG Pivot'!$A$37:$N$45,MATCH(J$2,'NG Pivot'!$B$36:$N$36,0)+1,FALSE),0)+IFERROR(VLOOKUP($A15,'NG Pivot'!$A$4:$N$29,MATCH(J$2,'NG Pivot'!$B$3:$N$3,0)+1,FALSE),0)*10</f>
        <v>0</v>
      </c>
      <c r="K15" s="220">
        <f>IFERROR(VLOOKUP($A15,'NG Pivot'!$A$37:$N$45,MATCH(K$2,'NG Pivot'!$B$36:$N$36,0)+1,FALSE),0)+IFERROR(VLOOKUP($A15,'NG Pivot'!$A$4:$N$29,MATCH(K$2,'NG Pivot'!$B$3:$N$3,0)+1,FALSE),0)*10</f>
        <v>0</v>
      </c>
      <c r="L15" s="220">
        <f>IFERROR(VLOOKUP($A15,'NG Pivot'!$A$37:$N$45,MATCH(L$2,'NG Pivot'!$B$36:$N$36,0)+1,FALSE),0)+IFERROR(VLOOKUP($A15,'NG Pivot'!$A$4:$N$29,MATCH(L$2,'NG Pivot'!$B$3:$N$3,0)+1,FALSE),0)*10</f>
        <v>0</v>
      </c>
      <c r="M15" s="220">
        <f>IFERROR(VLOOKUP($A15,'NG Pivot'!$A$37:$N$45,MATCH(M$2,'NG Pivot'!$B$36:$N$36,0)+1,FALSE),0)+IFERROR(VLOOKUP($A15,'NG Pivot'!$A$4:$N$29,MATCH(M$2,'NG Pivot'!$B$3:$N$3,0)+1,FALSE),0)*10</f>
        <v>0</v>
      </c>
      <c r="N15" s="220">
        <f>IFERROR(VLOOKUP($A15,'NG Pivot'!$A$37:$N$45,MATCH(N$2,'NG Pivot'!$B$36:$N$36,0)+1,FALSE),0)+IFERROR(VLOOKUP($A15,'NG Pivot'!$A$4:$N$29,MATCH(N$2,'NG Pivot'!$B$3:$N$3,0)+1,FALSE),0)*10</f>
        <v>0</v>
      </c>
      <c r="O15" s="220">
        <f>IFERROR(VLOOKUP($A15,'NG Pivot'!$A$37:$N$45,MATCH(O$2,'NG Pivot'!$B$36:$N$36,0)+1,FALSE),0)+IFERROR(VLOOKUP($A15,'NG Pivot'!$A$4:$N$29,MATCH(O$2,'NG Pivot'!$B$3:$N$3,0)+1,FALSE),0)*10</f>
        <v>0</v>
      </c>
      <c r="P15" s="220">
        <f>IFERROR(VLOOKUP($A15,'NG Pivot'!$A$37:$N$45,MATCH(P$2,'NG Pivot'!$B$36:$N$36,0)+1,FALSE),0)+IFERROR(VLOOKUP($A15,'NG Pivot'!$A$4:$N$29,MATCH(P$2,'NG Pivot'!$B$3:$N$3,0)+1,FALSE),0)*10</f>
        <v>0</v>
      </c>
      <c r="Q15" s="220">
        <f>IFERROR(VLOOKUP($A15,'NG Pivot'!$A$37:$N$45,MATCH(Q$2,'NG Pivot'!$B$36:$N$36,0)+1,FALSE),0)+IFERROR(VLOOKUP($A15,'NG Pivot'!$A$4:$N$29,MATCH(Q$2,'NG Pivot'!$B$3:$N$3,0)+1,FALSE),0)*10</f>
        <v>0</v>
      </c>
      <c r="R15" s="220">
        <f>IFERROR(VLOOKUP($A15,'NG Pivot'!$A$37:$N$45,MATCH(R$2,'NG Pivot'!$B$36:$N$36,0)+1,FALSE),0)+IFERROR(VLOOKUP($A15,'NG Pivot'!$A$4:$N$29,MATCH(R$2,'NG Pivot'!$B$3:$N$3,0)+1,FALSE),0)*10</f>
        <v>0</v>
      </c>
      <c r="S15" s="220">
        <f>IFERROR(VLOOKUP($A15,'NG Pivot'!$A$37:$N$45,MATCH(S$2,'NG Pivot'!$B$36:$N$36,0)+1,FALSE),0)+IFERROR(VLOOKUP($A15,'NG Pivot'!$A$4:$N$29,MATCH(S$2,'NG Pivot'!$B$3:$N$3,0)+1,FALSE),0)*10</f>
        <v>0</v>
      </c>
      <c r="T15" s="220">
        <f>IFERROR(VLOOKUP($A15,'NG Pivot'!$A$37:$N$45,MATCH(T$2,'NG Pivot'!$B$36:$N$36,0)+1,FALSE),0)+IFERROR(VLOOKUP($A15,'NG Pivot'!$A$4:$N$29,MATCH(T$2,'NG Pivot'!$B$3:$N$3,0)+1,FALSE),0)*10</f>
        <v>0</v>
      </c>
      <c r="U15" s="220">
        <f>IFERROR(VLOOKUP($A15,'NG Pivot'!$A$37:$N$45,MATCH(U$2,'NG Pivot'!$B$36:$N$36,0)+1,FALSE),0)+IFERROR(VLOOKUP($A15,'NG Pivot'!$A$4:$N$29,MATCH(U$2,'NG Pivot'!$B$3:$N$3,0)+1,FALSE),0)*10</f>
        <v>0</v>
      </c>
      <c r="V15" s="220">
        <f>IFERROR(VLOOKUP($A15,'NG Pivot'!$A$37:$N$45,MATCH(V$2,'NG Pivot'!$B$36:$N$36,0)+1,FALSE),0)+IFERROR(VLOOKUP($A15,'NG Pivot'!$A$4:$N$29,MATCH(V$2,'NG Pivot'!$B$3:$N$3,0)+1,FALSE),0)*10</f>
        <v>0</v>
      </c>
      <c r="W15" s="220">
        <f>IFERROR(VLOOKUP($A15,'NG Pivot'!$A$37:$N$45,MATCH(W$2,'NG Pivot'!$B$36:$N$36,0)+1,FALSE),0)+IFERROR(VLOOKUP($A15,'NG Pivot'!$A$4:$N$29,MATCH(W$2,'NG Pivot'!$B$3:$N$3,0)+1,FALSE),0)*10</f>
        <v>0</v>
      </c>
      <c r="X15" s="220">
        <f>IFERROR(VLOOKUP($A15,'NG Pivot'!$A$37:$N$45,MATCH(X$2,'NG Pivot'!$B$36:$N$36,0)+1,FALSE),0)+IFERROR(VLOOKUP($A15,'NG Pivot'!$A$4:$N$29,MATCH(X$2,'NG Pivot'!$B$3:$N$3,0)+1,FALSE),0)*10</f>
        <v>0</v>
      </c>
      <c r="Y15" s="220">
        <f>IFERROR(VLOOKUP($A15,'NG Pivot'!$A$37:$N$45,MATCH(Y$2,'NG Pivot'!$B$36:$N$36,0)+1,FALSE),0)+IFERROR(VLOOKUP($A15,'NG Pivot'!$A$4:$N$29,MATCH(Y$2,'NG Pivot'!$B$3:$N$3,0)+1,FALSE),0)*10</f>
        <v>0</v>
      </c>
      <c r="Z15" s="220">
        <f>IFERROR(VLOOKUP($A15,'NG Pivot'!$A$37:$N$45,MATCH(Z$2,'NG Pivot'!$B$36:$N$36,0)+1,FALSE),0)+IFERROR(VLOOKUP($A15,'NG Pivot'!$A$4:$N$29,MATCH(Z$2,'NG Pivot'!$B$3:$N$3,0)+1,FALSE),0)*10</f>
        <v>0</v>
      </c>
      <c r="AA15" s="220">
        <f>IFERROR(VLOOKUP($A15,'NG Pivot'!$A$37:$N$45,MATCH(AA$2,'NG Pivot'!$B$36:$N$36,0)+1,FALSE),0)+IFERROR(VLOOKUP($A15,'NG Pivot'!$A$4:$N$29,MATCH(AA$2,'NG Pivot'!$B$3:$N$3,0)+1,FALSE),0)*10</f>
        <v>0</v>
      </c>
      <c r="AB15" s="220">
        <f>IFERROR(VLOOKUP($A15,'NG Pivot'!$A$37:$N$45,MATCH(AB$2,'NG Pivot'!$B$36:$N$36,0)+1,FALSE),0)+IFERROR(VLOOKUP($A15,'NG Pivot'!$A$4:$N$29,MATCH(AB$2,'NG Pivot'!$B$3:$N$3,0)+1,FALSE),0)*10</f>
        <v>0</v>
      </c>
      <c r="AC15" s="220">
        <f>IFERROR(VLOOKUP($A15,'NG Pivot'!$A$37:$N$45,MATCH(AC$2,'NG Pivot'!$B$36:$N$36,0)+1,FALSE),0)+IFERROR(VLOOKUP($A15,'NG Pivot'!$A$4:$N$29,MATCH(AC$2,'NG Pivot'!$B$3:$N$3,0)+1,FALSE),0)*10</f>
        <v>0</v>
      </c>
      <c r="AD15" s="220">
        <f>IFERROR(VLOOKUP($A15,'NG Pivot'!$A$37:$N$45,MATCH(AD$2,'NG Pivot'!$B$36:$N$36,0)+1,FALSE),0)+IFERROR(VLOOKUP($A15,'NG Pivot'!$A$4:$N$29,MATCH(AD$2,'NG Pivot'!$B$3:$N$3,0)+1,FALSE),0)*10</f>
        <v>0</v>
      </c>
    </row>
    <row r="16" spans="1:30">
      <c r="A16" s="223" t="s">
        <v>1281</v>
      </c>
      <c r="B16" s="220">
        <f>IFERROR(VLOOKUP($A16,'NG Pivot'!$A$37:$N$45,MATCH(B$2,'NG Pivot'!$B$36:$N$36,0)+1,FALSE),0)+IFERROR(VLOOKUP($A16,'NG Pivot'!$A$4:$N$29,MATCH(B$2,'NG Pivot'!$B$3:$N$3,0)+1,FALSE),0)*10</f>
        <v>0</v>
      </c>
      <c r="C16" s="220">
        <f>IFERROR(VLOOKUP($A16,'NG Pivot'!$A$37:$N$45,MATCH(C$2,'NG Pivot'!$B$36:$N$36,0)+1,FALSE),0)+IFERROR(VLOOKUP($A16,'NG Pivot'!$A$4:$N$29,MATCH(C$2,'NG Pivot'!$B$3:$N$3,0)+1,FALSE),0)*10</f>
        <v>0</v>
      </c>
      <c r="D16" s="220">
        <f>IFERROR(VLOOKUP($A16,'NG Pivot'!$A$37:$N$45,MATCH(D$2,'NG Pivot'!$B$36:$N$36,0)+1,FALSE),0)+IFERROR(VLOOKUP($A16,'NG Pivot'!$A$4:$N$29,MATCH(D$2,'NG Pivot'!$B$3:$N$3,0)+1,FALSE),0)*10</f>
        <v>0</v>
      </c>
      <c r="E16" s="220">
        <f>IFERROR(VLOOKUP($A16,'NG Pivot'!$A$37:$N$45,MATCH(E$2,'NG Pivot'!$B$36:$N$36,0)+1,FALSE),0)+IFERROR(VLOOKUP($A16,'NG Pivot'!$A$4:$N$29,MATCH(E$2,'NG Pivot'!$B$3:$N$3,0)+1,FALSE),0)*10</f>
        <v>0</v>
      </c>
      <c r="F16" s="220">
        <f>IFERROR(VLOOKUP($A16,'NG Pivot'!$A$37:$N$45,MATCH(F$2,'NG Pivot'!$B$36:$N$36,0)+1,FALSE),0)+IFERROR(VLOOKUP($A16,'NG Pivot'!$A$4:$N$29,MATCH(F$2,'NG Pivot'!$B$3:$N$3,0)+1,FALSE),0)*10</f>
        <v>0</v>
      </c>
      <c r="G16" s="220">
        <f>IFERROR(VLOOKUP($A16,'NG Pivot'!$A$37:$N$45,MATCH(G$2,'NG Pivot'!$B$36:$N$36,0)+1,FALSE),0)+IFERROR(VLOOKUP($A16,'NG Pivot'!$A$4:$N$29,MATCH(G$2,'NG Pivot'!$B$3:$N$3,0)+1,FALSE),0)*10</f>
        <v>0</v>
      </c>
      <c r="H16" s="220">
        <f>IFERROR(VLOOKUP($A16,'NG Pivot'!$A$37:$N$45,MATCH(H$2,'NG Pivot'!$B$36:$N$36,0)+1,FALSE),0)+IFERROR(VLOOKUP($A16,'NG Pivot'!$A$4:$N$29,MATCH(H$2,'NG Pivot'!$B$3:$N$3,0)+1,FALSE),0)*10</f>
        <v>0</v>
      </c>
      <c r="I16" s="220">
        <f>IFERROR(VLOOKUP($A16,'NG Pivot'!$A$37:$N$45,MATCH(I$2,'NG Pivot'!$B$36:$N$36,0)+1,FALSE),0)+IFERROR(VLOOKUP($A16,'NG Pivot'!$A$4:$N$29,MATCH(I$2,'NG Pivot'!$B$3:$N$3,0)+1,FALSE),0)*10</f>
        <v>0</v>
      </c>
      <c r="J16" s="220">
        <f>IFERROR(VLOOKUP($A16,'NG Pivot'!$A$37:$N$45,MATCH(J$2,'NG Pivot'!$B$36:$N$36,0)+1,FALSE),0)+IFERROR(VLOOKUP($A16,'NG Pivot'!$A$4:$N$29,MATCH(J$2,'NG Pivot'!$B$3:$N$3,0)+1,FALSE),0)*10</f>
        <v>0</v>
      </c>
      <c r="K16" s="220">
        <f>IFERROR(VLOOKUP($A16,'NG Pivot'!$A$37:$N$45,MATCH(K$2,'NG Pivot'!$B$36:$N$36,0)+1,FALSE),0)+IFERROR(VLOOKUP($A16,'NG Pivot'!$A$4:$N$29,MATCH(K$2,'NG Pivot'!$B$3:$N$3,0)+1,FALSE),0)*10</f>
        <v>0</v>
      </c>
      <c r="L16" s="220">
        <f>IFERROR(VLOOKUP($A16,'NG Pivot'!$A$37:$N$45,MATCH(L$2,'NG Pivot'!$B$36:$N$36,0)+1,FALSE),0)+IFERROR(VLOOKUP($A16,'NG Pivot'!$A$4:$N$29,MATCH(L$2,'NG Pivot'!$B$3:$N$3,0)+1,FALSE),0)*10</f>
        <v>0</v>
      </c>
      <c r="M16" s="220">
        <f>IFERROR(VLOOKUP($A16,'NG Pivot'!$A$37:$N$45,MATCH(M$2,'NG Pivot'!$B$36:$N$36,0)+1,FALSE),0)+IFERROR(VLOOKUP($A16,'NG Pivot'!$A$4:$N$29,MATCH(M$2,'NG Pivot'!$B$3:$N$3,0)+1,FALSE),0)*10</f>
        <v>0</v>
      </c>
      <c r="N16" s="220">
        <f>IFERROR(VLOOKUP($A16,'NG Pivot'!$A$37:$N$45,MATCH(N$2,'NG Pivot'!$B$36:$N$36,0)+1,FALSE),0)+IFERROR(VLOOKUP($A16,'NG Pivot'!$A$4:$N$29,MATCH(N$2,'NG Pivot'!$B$3:$N$3,0)+1,FALSE),0)*10</f>
        <v>0</v>
      </c>
      <c r="O16" s="220">
        <f>IFERROR(VLOOKUP($A16,'NG Pivot'!$A$37:$N$45,MATCH(O$2,'NG Pivot'!$B$36:$N$36,0)+1,FALSE),0)+IFERROR(VLOOKUP($A16,'NG Pivot'!$A$4:$N$29,MATCH(O$2,'NG Pivot'!$B$3:$N$3,0)+1,FALSE),0)*10</f>
        <v>0</v>
      </c>
      <c r="P16" s="220">
        <f>IFERROR(VLOOKUP($A16,'NG Pivot'!$A$37:$N$45,MATCH(P$2,'NG Pivot'!$B$36:$N$36,0)+1,FALSE),0)+IFERROR(VLOOKUP($A16,'NG Pivot'!$A$4:$N$29,MATCH(P$2,'NG Pivot'!$B$3:$N$3,0)+1,FALSE),0)*10</f>
        <v>0</v>
      </c>
      <c r="Q16" s="220">
        <f>IFERROR(VLOOKUP($A16,'NG Pivot'!$A$37:$N$45,MATCH(Q$2,'NG Pivot'!$B$36:$N$36,0)+1,FALSE),0)+IFERROR(VLOOKUP($A16,'NG Pivot'!$A$4:$N$29,MATCH(Q$2,'NG Pivot'!$B$3:$N$3,0)+1,FALSE),0)*10</f>
        <v>0</v>
      </c>
      <c r="R16" s="220">
        <f>IFERROR(VLOOKUP($A16,'NG Pivot'!$A$37:$N$45,MATCH(R$2,'NG Pivot'!$B$36:$N$36,0)+1,FALSE),0)+IFERROR(VLOOKUP($A16,'NG Pivot'!$A$4:$N$29,MATCH(R$2,'NG Pivot'!$B$3:$N$3,0)+1,FALSE),0)*10</f>
        <v>2100</v>
      </c>
      <c r="S16" s="220">
        <f>IFERROR(VLOOKUP($A16,'NG Pivot'!$A$37:$N$45,MATCH(S$2,'NG Pivot'!$B$36:$N$36,0)+1,FALSE),0)+IFERROR(VLOOKUP($A16,'NG Pivot'!$A$4:$N$29,MATCH(S$2,'NG Pivot'!$B$3:$N$3,0)+1,FALSE),0)*10</f>
        <v>1400</v>
      </c>
      <c r="T16" s="220">
        <f>IFERROR(VLOOKUP($A16,'NG Pivot'!$A$37:$N$45,MATCH(T$2,'NG Pivot'!$B$36:$N$36,0)+1,FALSE),0)+IFERROR(VLOOKUP($A16,'NG Pivot'!$A$4:$N$29,MATCH(T$2,'NG Pivot'!$B$3:$N$3,0)+1,FALSE),0)*10</f>
        <v>0</v>
      </c>
      <c r="U16" s="220">
        <f>IFERROR(VLOOKUP($A16,'NG Pivot'!$A$37:$N$45,MATCH(U$2,'NG Pivot'!$B$36:$N$36,0)+1,FALSE),0)+IFERROR(VLOOKUP($A16,'NG Pivot'!$A$4:$N$29,MATCH(U$2,'NG Pivot'!$B$3:$N$3,0)+1,FALSE),0)*10</f>
        <v>0</v>
      </c>
      <c r="V16" s="220">
        <f>IFERROR(VLOOKUP($A16,'NG Pivot'!$A$37:$N$45,MATCH(V$2,'NG Pivot'!$B$36:$N$36,0)+1,FALSE),0)+IFERROR(VLOOKUP($A16,'NG Pivot'!$A$4:$N$29,MATCH(V$2,'NG Pivot'!$B$3:$N$3,0)+1,FALSE),0)*10</f>
        <v>0</v>
      </c>
      <c r="W16" s="220">
        <f>IFERROR(VLOOKUP($A16,'NG Pivot'!$A$37:$N$45,MATCH(W$2,'NG Pivot'!$B$36:$N$36,0)+1,FALSE),0)+IFERROR(VLOOKUP($A16,'NG Pivot'!$A$4:$N$29,MATCH(W$2,'NG Pivot'!$B$3:$N$3,0)+1,FALSE),0)*10</f>
        <v>0</v>
      </c>
      <c r="X16" s="220">
        <f>IFERROR(VLOOKUP($A16,'NG Pivot'!$A$37:$N$45,MATCH(X$2,'NG Pivot'!$B$36:$N$36,0)+1,FALSE),0)+IFERROR(VLOOKUP($A16,'NG Pivot'!$A$4:$N$29,MATCH(X$2,'NG Pivot'!$B$3:$N$3,0)+1,FALSE),0)*10</f>
        <v>0</v>
      </c>
      <c r="Y16" s="220">
        <f>IFERROR(VLOOKUP($A16,'NG Pivot'!$A$37:$N$45,MATCH(Y$2,'NG Pivot'!$B$36:$N$36,0)+1,FALSE),0)+IFERROR(VLOOKUP($A16,'NG Pivot'!$A$4:$N$29,MATCH(Y$2,'NG Pivot'!$B$3:$N$3,0)+1,FALSE),0)*10</f>
        <v>0</v>
      </c>
      <c r="Z16" s="220">
        <f>IFERROR(VLOOKUP($A16,'NG Pivot'!$A$37:$N$45,MATCH(Z$2,'NG Pivot'!$B$36:$N$36,0)+1,FALSE),0)+IFERROR(VLOOKUP($A16,'NG Pivot'!$A$4:$N$29,MATCH(Z$2,'NG Pivot'!$B$3:$N$3,0)+1,FALSE),0)*10</f>
        <v>0</v>
      </c>
      <c r="AA16" s="220">
        <f>IFERROR(VLOOKUP($A16,'NG Pivot'!$A$37:$N$45,MATCH(AA$2,'NG Pivot'!$B$36:$N$36,0)+1,FALSE),0)+IFERROR(VLOOKUP($A16,'NG Pivot'!$A$4:$N$29,MATCH(AA$2,'NG Pivot'!$B$3:$N$3,0)+1,FALSE),0)*10</f>
        <v>0</v>
      </c>
      <c r="AB16" s="220">
        <f>IFERROR(VLOOKUP($A16,'NG Pivot'!$A$37:$N$45,MATCH(AB$2,'NG Pivot'!$B$36:$N$36,0)+1,FALSE),0)+IFERROR(VLOOKUP($A16,'NG Pivot'!$A$4:$N$29,MATCH(AB$2,'NG Pivot'!$B$3:$N$3,0)+1,FALSE),0)*10</f>
        <v>3</v>
      </c>
      <c r="AC16" s="220">
        <f>IFERROR(VLOOKUP($A16,'NG Pivot'!$A$37:$N$45,MATCH(AC$2,'NG Pivot'!$B$36:$N$36,0)+1,FALSE),0)+IFERROR(VLOOKUP($A16,'NG Pivot'!$A$4:$N$29,MATCH(AC$2,'NG Pivot'!$B$3:$N$3,0)+1,FALSE),0)*10</f>
        <v>0</v>
      </c>
      <c r="AD16" s="220">
        <f>IFERROR(VLOOKUP($A16,'NG Pivot'!$A$37:$N$45,MATCH(AD$2,'NG Pivot'!$B$36:$N$36,0)+1,FALSE),0)+IFERROR(VLOOKUP($A16,'NG Pivot'!$A$4:$N$29,MATCH(AD$2,'NG Pivot'!$B$3:$N$3,0)+1,FALSE),0)*10</f>
        <v>0</v>
      </c>
    </row>
    <row r="17" spans="1:30">
      <c r="A17" s="223" t="s">
        <v>1282</v>
      </c>
      <c r="B17" s="220">
        <f>IFERROR(VLOOKUP($A17,'NG Pivot'!$A$37:$N$45,MATCH(B$2,'NG Pivot'!$B$36:$N$36,0)+1,FALSE),0)+IFERROR(VLOOKUP($A17,'NG Pivot'!$A$4:$N$29,MATCH(B$2,'NG Pivot'!$B$3:$N$3,0)+1,FALSE),0)*10</f>
        <v>0</v>
      </c>
      <c r="C17" s="220">
        <f>IFERROR(VLOOKUP($A17,'NG Pivot'!$A$37:$N$45,MATCH(C$2,'NG Pivot'!$B$36:$N$36,0)+1,FALSE),0)+IFERROR(VLOOKUP($A17,'NG Pivot'!$A$4:$N$29,MATCH(C$2,'NG Pivot'!$B$3:$N$3,0)+1,FALSE),0)*10</f>
        <v>0</v>
      </c>
      <c r="D17" s="220">
        <f>IFERROR(VLOOKUP($A17,'NG Pivot'!$A$37:$N$45,MATCH(D$2,'NG Pivot'!$B$36:$N$36,0)+1,FALSE),0)+IFERROR(VLOOKUP($A17,'NG Pivot'!$A$4:$N$29,MATCH(D$2,'NG Pivot'!$B$3:$N$3,0)+1,FALSE),0)*10</f>
        <v>0</v>
      </c>
      <c r="E17" s="220">
        <f>IFERROR(VLOOKUP($A17,'NG Pivot'!$A$37:$N$45,MATCH(E$2,'NG Pivot'!$B$36:$N$36,0)+1,FALSE),0)+IFERROR(VLOOKUP($A17,'NG Pivot'!$A$4:$N$29,MATCH(E$2,'NG Pivot'!$B$3:$N$3,0)+1,FALSE),0)*10</f>
        <v>0</v>
      </c>
      <c r="F17" s="220">
        <f>IFERROR(VLOOKUP($A17,'NG Pivot'!$A$37:$N$45,MATCH(F$2,'NG Pivot'!$B$36:$N$36,0)+1,FALSE),0)+IFERROR(VLOOKUP($A17,'NG Pivot'!$A$4:$N$29,MATCH(F$2,'NG Pivot'!$B$3:$N$3,0)+1,FALSE),0)*10</f>
        <v>0</v>
      </c>
      <c r="G17" s="220">
        <f>IFERROR(VLOOKUP($A17,'NG Pivot'!$A$37:$N$45,MATCH(G$2,'NG Pivot'!$B$36:$N$36,0)+1,FALSE),0)+IFERROR(VLOOKUP($A17,'NG Pivot'!$A$4:$N$29,MATCH(G$2,'NG Pivot'!$B$3:$N$3,0)+1,FALSE),0)*10</f>
        <v>0</v>
      </c>
      <c r="H17" s="220">
        <f>IFERROR(VLOOKUP($A17,'NG Pivot'!$A$37:$N$45,MATCH(H$2,'NG Pivot'!$B$36:$N$36,0)+1,FALSE),0)+IFERROR(VLOOKUP($A17,'NG Pivot'!$A$4:$N$29,MATCH(H$2,'NG Pivot'!$B$3:$N$3,0)+1,FALSE),0)*10</f>
        <v>0</v>
      </c>
      <c r="I17" s="220">
        <f>IFERROR(VLOOKUP($A17,'NG Pivot'!$A$37:$N$45,MATCH(I$2,'NG Pivot'!$B$36:$N$36,0)+1,FALSE),0)+IFERROR(VLOOKUP($A17,'NG Pivot'!$A$4:$N$29,MATCH(I$2,'NG Pivot'!$B$3:$N$3,0)+1,FALSE),0)*10</f>
        <v>0</v>
      </c>
      <c r="J17" s="220">
        <f>IFERROR(VLOOKUP($A17,'NG Pivot'!$A$37:$N$45,MATCH(J$2,'NG Pivot'!$B$36:$N$36,0)+1,FALSE),0)+IFERROR(VLOOKUP($A17,'NG Pivot'!$A$4:$N$29,MATCH(J$2,'NG Pivot'!$B$3:$N$3,0)+1,FALSE),0)*10</f>
        <v>0</v>
      </c>
      <c r="K17" s="220">
        <f>IFERROR(VLOOKUP($A17,'NG Pivot'!$A$37:$N$45,MATCH(K$2,'NG Pivot'!$B$36:$N$36,0)+1,FALSE),0)+IFERROR(VLOOKUP($A17,'NG Pivot'!$A$4:$N$29,MATCH(K$2,'NG Pivot'!$B$3:$N$3,0)+1,FALSE),0)*10</f>
        <v>0</v>
      </c>
      <c r="L17" s="220">
        <f>IFERROR(VLOOKUP($A17,'NG Pivot'!$A$37:$N$45,MATCH(L$2,'NG Pivot'!$B$36:$N$36,0)+1,FALSE),0)+IFERROR(VLOOKUP($A17,'NG Pivot'!$A$4:$N$29,MATCH(L$2,'NG Pivot'!$B$3:$N$3,0)+1,FALSE),0)*10</f>
        <v>0</v>
      </c>
      <c r="M17" s="220">
        <f>IFERROR(VLOOKUP($A17,'NG Pivot'!$A$37:$N$45,MATCH(M$2,'NG Pivot'!$B$36:$N$36,0)+1,FALSE),0)+IFERROR(VLOOKUP($A17,'NG Pivot'!$A$4:$N$29,MATCH(M$2,'NG Pivot'!$B$3:$N$3,0)+1,FALSE),0)*10</f>
        <v>0</v>
      </c>
      <c r="N17" s="220">
        <f>IFERROR(VLOOKUP($A17,'NG Pivot'!$A$37:$N$45,MATCH(N$2,'NG Pivot'!$B$36:$N$36,0)+1,FALSE),0)+IFERROR(VLOOKUP($A17,'NG Pivot'!$A$4:$N$29,MATCH(N$2,'NG Pivot'!$B$3:$N$3,0)+1,FALSE),0)*10</f>
        <v>0</v>
      </c>
      <c r="O17" s="220">
        <f>IFERROR(VLOOKUP($A17,'NG Pivot'!$A$37:$N$45,MATCH(O$2,'NG Pivot'!$B$36:$N$36,0)+1,FALSE),0)+IFERROR(VLOOKUP($A17,'NG Pivot'!$A$4:$N$29,MATCH(O$2,'NG Pivot'!$B$3:$N$3,0)+1,FALSE),0)*10</f>
        <v>0</v>
      </c>
      <c r="P17" s="220">
        <f>IFERROR(VLOOKUP($A17,'NG Pivot'!$A$37:$N$45,MATCH(P$2,'NG Pivot'!$B$36:$N$36,0)+1,FALSE),0)+IFERROR(VLOOKUP($A17,'NG Pivot'!$A$4:$N$29,MATCH(P$2,'NG Pivot'!$B$3:$N$3,0)+1,FALSE),0)*10</f>
        <v>0</v>
      </c>
      <c r="Q17" s="220">
        <f>IFERROR(VLOOKUP($A17,'NG Pivot'!$A$37:$N$45,MATCH(Q$2,'NG Pivot'!$B$36:$N$36,0)+1,FALSE),0)+IFERROR(VLOOKUP($A17,'NG Pivot'!$A$4:$N$29,MATCH(Q$2,'NG Pivot'!$B$3:$N$3,0)+1,FALSE),0)*10</f>
        <v>0</v>
      </c>
      <c r="R17" s="220">
        <f>IFERROR(VLOOKUP($A17,'NG Pivot'!$A$37:$N$45,MATCH(R$2,'NG Pivot'!$B$36:$N$36,0)+1,FALSE),0)+IFERROR(VLOOKUP($A17,'NG Pivot'!$A$4:$N$29,MATCH(R$2,'NG Pivot'!$B$3:$N$3,0)+1,FALSE),0)*10</f>
        <v>0</v>
      </c>
      <c r="S17" s="220">
        <f>IFERROR(VLOOKUP($A17,'NG Pivot'!$A$37:$N$45,MATCH(S$2,'NG Pivot'!$B$36:$N$36,0)+1,FALSE),0)+IFERROR(VLOOKUP($A17,'NG Pivot'!$A$4:$N$29,MATCH(S$2,'NG Pivot'!$B$3:$N$3,0)+1,FALSE),0)*10</f>
        <v>0</v>
      </c>
      <c r="T17" s="220">
        <f>IFERROR(VLOOKUP($A17,'NG Pivot'!$A$37:$N$45,MATCH(T$2,'NG Pivot'!$B$36:$N$36,0)+1,FALSE),0)+IFERROR(VLOOKUP($A17,'NG Pivot'!$A$4:$N$29,MATCH(T$2,'NG Pivot'!$B$3:$N$3,0)+1,FALSE),0)*10</f>
        <v>0</v>
      </c>
      <c r="U17" s="220">
        <f>IFERROR(VLOOKUP($A17,'NG Pivot'!$A$37:$N$45,MATCH(U$2,'NG Pivot'!$B$36:$N$36,0)+1,FALSE),0)+IFERROR(VLOOKUP($A17,'NG Pivot'!$A$4:$N$29,MATCH(U$2,'NG Pivot'!$B$3:$N$3,0)+1,FALSE),0)*10</f>
        <v>0</v>
      </c>
      <c r="V17" s="220">
        <f>IFERROR(VLOOKUP($A17,'NG Pivot'!$A$37:$N$45,MATCH(V$2,'NG Pivot'!$B$36:$N$36,0)+1,FALSE),0)+IFERROR(VLOOKUP($A17,'NG Pivot'!$A$4:$N$29,MATCH(V$2,'NG Pivot'!$B$3:$N$3,0)+1,FALSE),0)*10</f>
        <v>0</v>
      </c>
      <c r="W17" s="220">
        <f>IFERROR(VLOOKUP($A17,'NG Pivot'!$A$37:$N$45,MATCH(W$2,'NG Pivot'!$B$36:$N$36,0)+1,FALSE),0)+IFERROR(VLOOKUP($A17,'NG Pivot'!$A$4:$N$29,MATCH(W$2,'NG Pivot'!$B$3:$N$3,0)+1,FALSE),0)*10</f>
        <v>0</v>
      </c>
      <c r="X17" s="220">
        <f>IFERROR(VLOOKUP($A17,'NG Pivot'!$A$37:$N$45,MATCH(X$2,'NG Pivot'!$B$36:$N$36,0)+1,FALSE),0)+IFERROR(VLOOKUP($A17,'NG Pivot'!$A$4:$N$29,MATCH(X$2,'NG Pivot'!$B$3:$N$3,0)+1,FALSE),0)*10</f>
        <v>0</v>
      </c>
      <c r="Y17" s="220">
        <f>IFERROR(VLOOKUP($A17,'NG Pivot'!$A$37:$N$45,MATCH(Y$2,'NG Pivot'!$B$36:$N$36,0)+1,FALSE),0)+IFERROR(VLOOKUP($A17,'NG Pivot'!$A$4:$N$29,MATCH(Y$2,'NG Pivot'!$B$3:$N$3,0)+1,FALSE),0)*10</f>
        <v>0</v>
      </c>
      <c r="Z17" s="220">
        <f>IFERROR(VLOOKUP($A17,'NG Pivot'!$A$37:$N$45,MATCH(Z$2,'NG Pivot'!$B$36:$N$36,0)+1,FALSE),0)+IFERROR(VLOOKUP($A17,'NG Pivot'!$A$4:$N$29,MATCH(Z$2,'NG Pivot'!$B$3:$N$3,0)+1,FALSE),0)*10</f>
        <v>0</v>
      </c>
      <c r="AA17" s="220">
        <f>IFERROR(VLOOKUP($A17,'NG Pivot'!$A$37:$N$45,MATCH(AA$2,'NG Pivot'!$B$36:$N$36,0)+1,FALSE),0)+IFERROR(VLOOKUP($A17,'NG Pivot'!$A$4:$N$29,MATCH(AA$2,'NG Pivot'!$B$3:$N$3,0)+1,FALSE),0)*10</f>
        <v>0</v>
      </c>
      <c r="AB17" s="220">
        <f>IFERROR(VLOOKUP($A17,'NG Pivot'!$A$37:$N$45,MATCH(AB$2,'NG Pivot'!$B$36:$N$36,0)+1,FALSE),0)+IFERROR(VLOOKUP($A17,'NG Pivot'!$A$4:$N$29,MATCH(AB$2,'NG Pivot'!$B$3:$N$3,0)+1,FALSE),0)*10</f>
        <v>0</v>
      </c>
      <c r="AC17" s="220">
        <f>IFERROR(VLOOKUP($A17,'NG Pivot'!$A$37:$N$45,MATCH(AC$2,'NG Pivot'!$B$36:$N$36,0)+1,FALSE),0)+IFERROR(VLOOKUP($A17,'NG Pivot'!$A$4:$N$29,MATCH(AC$2,'NG Pivot'!$B$3:$N$3,0)+1,FALSE),0)*10</f>
        <v>0</v>
      </c>
      <c r="AD17" s="220">
        <f>IFERROR(VLOOKUP($A17,'NG Pivot'!$A$37:$N$45,MATCH(AD$2,'NG Pivot'!$B$36:$N$36,0)+1,FALSE),0)+IFERROR(VLOOKUP($A17,'NG Pivot'!$A$4:$N$29,MATCH(AD$2,'NG Pivot'!$B$3:$N$3,0)+1,FALSE),0)*10</f>
        <v>0</v>
      </c>
    </row>
    <row r="18" spans="1:30">
      <c r="A18" s="223" t="s">
        <v>1283</v>
      </c>
      <c r="B18" s="220">
        <f>IFERROR(VLOOKUP($A18,'NG Pivot'!$A$37:$N$45,MATCH(B$2,'NG Pivot'!$B$36:$N$36,0)+1,FALSE),0)+IFERROR(VLOOKUP($A18,'NG Pivot'!$A$4:$N$29,MATCH(B$2,'NG Pivot'!$B$3:$N$3,0)+1,FALSE),0)*10</f>
        <v>0</v>
      </c>
      <c r="C18" s="220">
        <f>IFERROR(VLOOKUP($A18,'NG Pivot'!$A$37:$N$45,MATCH(C$2,'NG Pivot'!$B$36:$N$36,0)+1,FALSE),0)+IFERROR(VLOOKUP($A18,'NG Pivot'!$A$4:$N$29,MATCH(C$2,'NG Pivot'!$B$3:$N$3,0)+1,FALSE),0)*10</f>
        <v>0</v>
      </c>
      <c r="D18" s="220">
        <f>IFERROR(VLOOKUP($A18,'NG Pivot'!$A$37:$N$45,MATCH(D$2,'NG Pivot'!$B$36:$N$36,0)+1,FALSE),0)+IFERROR(VLOOKUP($A18,'NG Pivot'!$A$4:$N$29,MATCH(D$2,'NG Pivot'!$B$3:$N$3,0)+1,FALSE),0)*10</f>
        <v>0</v>
      </c>
      <c r="E18" s="220">
        <f>IFERROR(VLOOKUP($A18,'NG Pivot'!$A$37:$N$45,MATCH(E$2,'NG Pivot'!$B$36:$N$36,0)+1,FALSE),0)+IFERROR(VLOOKUP($A18,'NG Pivot'!$A$4:$N$29,MATCH(E$2,'NG Pivot'!$B$3:$N$3,0)+1,FALSE),0)*10</f>
        <v>0</v>
      </c>
      <c r="F18" s="220">
        <f>IFERROR(VLOOKUP($A18,'NG Pivot'!$A$37:$N$45,MATCH(F$2,'NG Pivot'!$B$36:$N$36,0)+1,FALSE),0)+IFERROR(VLOOKUP($A18,'NG Pivot'!$A$4:$N$29,MATCH(F$2,'NG Pivot'!$B$3:$N$3,0)+1,FALSE),0)*10</f>
        <v>0</v>
      </c>
      <c r="G18" s="220">
        <f>IFERROR(VLOOKUP($A18,'NG Pivot'!$A$37:$N$45,MATCH(G$2,'NG Pivot'!$B$36:$N$36,0)+1,FALSE),0)+IFERROR(VLOOKUP($A18,'NG Pivot'!$A$4:$N$29,MATCH(G$2,'NG Pivot'!$B$3:$N$3,0)+1,FALSE),0)*10</f>
        <v>0</v>
      </c>
      <c r="H18" s="220">
        <f>IFERROR(VLOOKUP($A18,'NG Pivot'!$A$37:$N$45,MATCH(H$2,'NG Pivot'!$B$36:$N$36,0)+1,FALSE),0)+IFERROR(VLOOKUP($A18,'NG Pivot'!$A$4:$N$29,MATCH(H$2,'NG Pivot'!$B$3:$N$3,0)+1,FALSE),0)*10</f>
        <v>0</v>
      </c>
      <c r="I18" s="220">
        <f>IFERROR(VLOOKUP($A18,'NG Pivot'!$A$37:$N$45,MATCH(I$2,'NG Pivot'!$B$36:$N$36,0)+1,FALSE),0)+IFERROR(VLOOKUP($A18,'NG Pivot'!$A$4:$N$29,MATCH(I$2,'NG Pivot'!$B$3:$N$3,0)+1,FALSE),0)*10</f>
        <v>0</v>
      </c>
      <c r="J18" s="220">
        <f>IFERROR(VLOOKUP($A18,'NG Pivot'!$A$37:$N$45,MATCH(J$2,'NG Pivot'!$B$36:$N$36,0)+1,FALSE),0)+IFERROR(VLOOKUP($A18,'NG Pivot'!$A$4:$N$29,MATCH(J$2,'NG Pivot'!$B$3:$N$3,0)+1,FALSE),0)*10</f>
        <v>0</v>
      </c>
      <c r="K18" s="220">
        <f>IFERROR(VLOOKUP($A18,'NG Pivot'!$A$37:$N$45,MATCH(K$2,'NG Pivot'!$B$36:$N$36,0)+1,FALSE),0)+IFERROR(VLOOKUP($A18,'NG Pivot'!$A$4:$N$29,MATCH(K$2,'NG Pivot'!$B$3:$N$3,0)+1,FALSE),0)*10</f>
        <v>0</v>
      </c>
      <c r="L18" s="220">
        <f>IFERROR(VLOOKUP($A18,'NG Pivot'!$A$37:$N$45,MATCH(L$2,'NG Pivot'!$B$36:$N$36,0)+1,FALSE),0)+IFERROR(VLOOKUP($A18,'NG Pivot'!$A$4:$N$29,MATCH(L$2,'NG Pivot'!$B$3:$N$3,0)+1,FALSE),0)*10</f>
        <v>0</v>
      </c>
      <c r="M18" s="220">
        <f>IFERROR(VLOOKUP($A18,'NG Pivot'!$A$37:$N$45,MATCH(M$2,'NG Pivot'!$B$36:$N$36,0)+1,FALSE),0)+IFERROR(VLOOKUP($A18,'NG Pivot'!$A$4:$N$29,MATCH(M$2,'NG Pivot'!$B$3:$N$3,0)+1,FALSE),0)*10</f>
        <v>0</v>
      </c>
      <c r="N18" s="220">
        <f>IFERROR(VLOOKUP($A18,'NG Pivot'!$A$37:$N$45,MATCH(N$2,'NG Pivot'!$B$36:$N$36,0)+1,FALSE),0)+IFERROR(VLOOKUP($A18,'NG Pivot'!$A$4:$N$29,MATCH(N$2,'NG Pivot'!$B$3:$N$3,0)+1,FALSE),0)*10</f>
        <v>0</v>
      </c>
      <c r="O18" s="220">
        <f>IFERROR(VLOOKUP($A18,'NG Pivot'!$A$37:$N$45,MATCH(O$2,'NG Pivot'!$B$36:$N$36,0)+1,FALSE),0)+IFERROR(VLOOKUP($A18,'NG Pivot'!$A$4:$N$29,MATCH(O$2,'NG Pivot'!$B$3:$N$3,0)+1,FALSE),0)*10</f>
        <v>0</v>
      </c>
      <c r="P18" s="220">
        <f>IFERROR(VLOOKUP($A18,'NG Pivot'!$A$37:$N$45,MATCH(P$2,'NG Pivot'!$B$36:$N$36,0)+1,FALSE),0)+IFERROR(VLOOKUP($A18,'NG Pivot'!$A$4:$N$29,MATCH(P$2,'NG Pivot'!$B$3:$N$3,0)+1,FALSE),0)*10</f>
        <v>0</v>
      </c>
      <c r="Q18" s="220">
        <f>IFERROR(VLOOKUP($A18,'NG Pivot'!$A$37:$N$45,MATCH(Q$2,'NG Pivot'!$B$36:$N$36,0)+1,FALSE),0)+IFERROR(VLOOKUP($A18,'NG Pivot'!$A$4:$N$29,MATCH(Q$2,'NG Pivot'!$B$3:$N$3,0)+1,FALSE),0)*10</f>
        <v>0</v>
      </c>
      <c r="R18" s="220">
        <f>IFERROR(VLOOKUP($A18,'NG Pivot'!$A$37:$N$45,MATCH(R$2,'NG Pivot'!$B$36:$N$36,0)+1,FALSE),0)+IFERROR(VLOOKUP($A18,'NG Pivot'!$A$4:$N$29,MATCH(R$2,'NG Pivot'!$B$3:$N$3,0)+1,FALSE),0)*10</f>
        <v>0</v>
      </c>
      <c r="S18" s="220">
        <f>IFERROR(VLOOKUP($A18,'NG Pivot'!$A$37:$N$45,MATCH(S$2,'NG Pivot'!$B$36:$N$36,0)+1,FALSE),0)+IFERROR(VLOOKUP($A18,'NG Pivot'!$A$4:$N$29,MATCH(S$2,'NG Pivot'!$B$3:$N$3,0)+1,FALSE),0)*10</f>
        <v>150</v>
      </c>
      <c r="T18" s="220">
        <f>IFERROR(VLOOKUP($A18,'NG Pivot'!$A$37:$N$45,MATCH(T$2,'NG Pivot'!$B$36:$N$36,0)+1,FALSE),0)+IFERROR(VLOOKUP($A18,'NG Pivot'!$A$4:$N$29,MATCH(T$2,'NG Pivot'!$B$3:$N$3,0)+1,FALSE),0)*10</f>
        <v>0</v>
      </c>
      <c r="U18" s="220">
        <f>IFERROR(VLOOKUP($A18,'NG Pivot'!$A$37:$N$45,MATCH(U$2,'NG Pivot'!$B$36:$N$36,0)+1,FALSE),0)+IFERROR(VLOOKUP($A18,'NG Pivot'!$A$4:$N$29,MATCH(U$2,'NG Pivot'!$B$3:$N$3,0)+1,FALSE),0)*10</f>
        <v>0</v>
      </c>
      <c r="V18" s="220">
        <f>IFERROR(VLOOKUP($A18,'NG Pivot'!$A$37:$N$45,MATCH(V$2,'NG Pivot'!$B$36:$N$36,0)+1,FALSE),0)+IFERROR(VLOOKUP($A18,'NG Pivot'!$A$4:$N$29,MATCH(V$2,'NG Pivot'!$B$3:$N$3,0)+1,FALSE),0)*10</f>
        <v>0</v>
      </c>
      <c r="W18" s="220">
        <f>IFERROR(VLOOKUP($A18,'NG Pivot'!$A$37:$N$45,MATCH(W$2,'NG Pivot'!$B$36:$N$36,0)+1,FALSE),0)+IFERROR(VLOOKUP($A18,'NG Pivot'!$A$4:$N$29,MATCH(W$2,'NG Pivot'!$B$3:$N$3,0)+1,FALSE),0)*10</f>
        <v>0</v>
      </c>
      <c r="X18" s="220">
        <f>IFERROR(VLOOKUP($A18,'NG Pivot'!$A$37:$N$45,MATCH(X$2,'NG Pivot'!$B$36:$N$36,0)+1,FALSE),0)+IFERROR(VLOOKUP($A18,'NG Pivot'!$A$4:$N$29,MATCH(X$2,'NG Pivot'!$B$3:$N$3,0)+1,FALSE),0)*10</f>
        <v>0</v>
      </c>
      <c r="Y18" s="220">
        <f>IFERROR(VLOOKUP($A18,'NG Pivot'!$A$37:$N$45,MATCH(Y$2,'NG Pivot'!$B$36:$N$36,0)+1,FALSE),0)+IFERROR(VLOOKUP($A18,'NG Pivot'!$A$4:$N$29,MATCH(Y$2,'NG Pivot'!$B$3:$N$3,0)+1,FALSE),0)*10</f>
        <v>0</v>
      </c>
      <c r="Z18" s="220">
        <f>IFERROR(VLOOKUP($A18,'NG Pivot'!$A$37:$N$45,MATCH(Z$2,'NG Pivot'!$B$36:$N$36,0)+1,FALSE),0)+IFERROR(VLOOKUP($A18,'NG Pivot'!$A$4:$N$29,MATCH(Z$2,'NG Pivot'!$B$3:$N$3,0)+1,FALSE),0)*10</f>
        <v>0</v>
      </c>
      <c r="AA18" s="220">
        <f>IFERROR(VLOOKUP($A18,'NG Pivot'!$A$37:$N$45,MATCH(AA$2,'NG Pivot'!$B$36:$N$36,0)+1,FALSE),0)+IFERROR(VLOOKUP($A18,'NG Pivot'!$A$4:$N$29,MATCH(AA$2,'NG Pivot'!$B$3:$N$3,0)+1,FALSE),0)*10</f>
        <v>6</v>
      </c>
      <c r="AB18" s="220">
        <f>IFERROR(VLOOKUP($A18,'NG Pivot'!$A$37:$N$45,MATCH(AB$2,'NG Pivot'!$B$36:$N$36,0)+1,FALSE),0)+IFERROR(VLOOKUP($A18,'NG Pivot'!$A$4:$N$29,MATCH(AB$2,'NG Pivot'!$B$3:$N$3,0)+1,FALSE),0)*10</f>
        <v>6.6</v>
      </c>
      <c r="AC18" s="220">
        <f>IFERROR(VLOOKUP($A18,'NG Pivot'!$A$37:$N$45,MATCH(AC$2,'NG Pivot'!$B$36:$N$36,0)+1,FALSE),0)+IFERROR(VLOOKUP($A18,'NG Pivot'!$A$4:$N$29,MATCH(AC$2,'NG Pivot'!$B$3:$N$3,0)+1,FALSE),0)*10</f>
        <v>0</v>
      </c>
      <c r="AD18" s="220">
        <f>IFERROR(VLOOKUP($A18,'NG Pivot'!$A$37:$N$45,MATCH(AD$2,'NG Pivot'!$B$36:$N$36,0)+1,FALSE),0)+IFERROR(VLOOKUP($A18,'NG Pivot'!$A$4:$N$29,MATCH(AD$2,'NG Pivot'!$B$3:$N$3,0)+1,FALSE),0)*10</f>
        <v>19.5</v>
      </c>
    </row>
    <row r="19" spans="1:30">
      <c r="A19" s="223" t="s">
        <v>1284</v>
      </c>
      <c r="B19" s="220">
        <f>IFERROR(VLOOKUP($A19,'NG Pivot'!$A$37:$N$45,MATCH(B$2,'NG Pivot'!$B$36:$N$36,0)+1,FALSE),0)+IFERROR(VLOOKUP($A19,'NG Pivot'!$A$4:$N$29,MATCH(B$2,'NG Pivot'!$B$3:$N$3,0)+1,FALSE),0)*10</f>
        <v>0</v>
      </c>
      <c r="C19" s="220">
        <f>IFERROR(VLOOKUP($A19,'NG Pivot'!$A$37:$N$45,MATCH(C$2,'NG Pivot'!$B$36:$N$36,0)+1,FALSE),0)+IFERROR(VLOOKUP($A19,'NG Pivot'!$A$4:$N$29,MATCH(C$2,'NG Pivot'!$B$3:$N$3,0)+1,FALSE),0)*10</f>
        <v>0</v>
      </c>
      <c r="D19" s="220">
        <f>IFERROR(VLOOKUP($A19,'NG Pivot'!$A$37:$N$45,MATCH(D$2,'NG Pivot'!$B$36:$N$36,0)+1,FALSE),0)+IFERROR(VLOOKUP($A19,'NG Pivot'!$A$4:$N$29,MATCH(D$2,'NG Pivot'!$B$3:$N$3,0)+1,FALSE),0)*10</f>
        <v>0</v>
      </c>
      <c r="E19" s="220">
        <f>IFERROR(VLOOKUP($A19,'NG Pivot'!$A$37:$N$45,MATCH(E$2,'NG Pivot'!$B$36:$N$36,0)+1,FALSE),0)+IFERROR(VLOOKUP($A19,'NG Pivot'!$A$4:$N$29,MATCH(E$2,'NG Pivot'!$B$3:$N$3,0)+1,FALSE),0)*10</f>
        <v>0</v>
      </c>
      <c r="F19" s="220">
        <f>IFERROR(VLOOKUP($A19,'NG Pivot'!$A$37:$N$45,MATCH(F$2,'NG Pivot'!$B$36:$N$36,0)+1,FALSE),0)+IFERROR(VLOOKUP($A19,'NG Pivot'!$A$4:$N$29,MATCH(F$2,'NG Pivot'!$B$3:$N$3,0)+1,FALSE),0)*10</f>
        <v>0</v>
      </c>
      <c r="G19" s="220">
        <f>IFERROR(VLOOKUP($A19,'NG Pivot'!$A$37:$N$45,MATCH(G$2,'NG Pivot'!$B$36:$N$36,0)+1,FALSE),0)+IFERROR(VLOOKUP($A19,'NG Pivot'!$A$4:$N$29,MATCH(G$2,'NG Pivot'!$B$3:$N$3,0)+1,FALSE),0)*10</f>
        <v>0</v>
      </c>
      <c r="H19" s="220">
        <f>IFERROR(VLOOKUP($A19,'NG Pivot'!$A$37:$N$45,MATCH(H$2,'NG Pivot'!$B$36:$N$36,0)+1,FALSE),0)+IFERROR(VLOOKUP($A19,'NG Pivot'!$A$4:$N$29,MATCH(H$2,'NG Pivot'!$B$3:$N$3,0)+1,FALSE),0)*10</f>
        <v>0</v>
      </c>
      <c r="I19" s="220">
        <f>IFERROR(VLOOKUP($A19,'NG Pivot'!$A$37:$N$45,MATCH(I$2,'NG Pivot'!$B$36:$N$36,0)+1,FALSE),0)+IFERROR(VLOOKUP($A19,'NG Pivot'!$A$4:$N$29,MATCH(I$2,'NG Pivot'!$B$3:$N$3,0)+1,FALSE),0)*10</f>
        <v>0</v>
      </c>
      <c r="J19" s="220">
        <f>IFERROR(VLOOKUP($A19,'NG Pivot'!$A$37:$N$45,MATCH(J$2,'NG Pivot'!$B$36:$N$36,0)+1,FALSE),0)+IFERROR(VLOOKUP($A19,'NG Pivot'!$A$4:$N$29,MATCH(J$2,'NG Pivot'!$B$3:$N$3,0)+1,FALSE),0)*10</f>
        <v>0</v>
      </c>
      <c r="K19" s="220">
        <f>IFERROR(VLOOKUP($A19,'NG Pivot'!$A$37:$N$45,MATCH(K$2,'NG Pivot'!$B$36:$N$36,0)+1,FALSE),0)+IFERROR(VLOOKUP($A19,'NG Pivot'!$A$4:$N$29,MATCH(K$2,'NG Pivot'!$B$3:$N$3,0)+1,FALSE),0)*10</f>
        <v>0</v>
      </c>
      <c r="L19" s="220">
        <f>IFERROR(VLOOKUP($A19,'NG Pivot'!$A$37:$N$45,MATCH(L$2,'NG Pivot'!$B$36:$N$36,0)+1,FALSE),0)+IFERROR(VLOOKUP($A19,'NG Pivot'!$A$4:$N$29,MATCH(L$2,'NG Pivot'!$B$3:$N$3,0)+1,FALSE),0)*10</f>
        <v>0</v>
      </c>
      <c r="M19" s="220">
        <f>IFERROR(VLOOKUP($A19,'NG Pivot'!$A$37:$N$45,MATCH(M$2,'NG Pivot'!$B$36:$N$36,0)+1,FALSE),0)+IFERROR(VLOOKUP($A19,'NG Pivot'!$A$4:$N$29,MATCH(M$2,'NG Pivot'!$B$3:$N$3,0)+1,FALSE),0)*10</f>
        <v>0</v>
      </c>
      <c r="N19" s="220">
        <f>IFERROR(VLOOKUP($A19,'NG Pivot'!$A$37:$N$45,MATCH(N$2,'NG Pivot'!$B$36:$N$36,0)+1,FALSE),0)+IFERROR(VLOOKUP($A19,'NG Pivot'!$A$4:$N$29,MATCH(N$2,'NG Pivot'!$B$3:$N$3,0)+1,FALSE),0)*10</f>
        <v>0</v>
      </c>
      <c r="O19" s="220">
        <f>IFERROR(VLOOKUP($A19,'NG Pivot'!$A$37:$N$45,MATCH(O$2,'NG Pivot'!$B$36:$N$36,0)+1,FALSE),0)+IFERROR(VLOOKUP($A19,'NG Pivot'!$A$4:$N$29,MATCH(O$2,'NG Pivot'!$B$3:$N$3,0)+1,FALSE),0)*10</f>
        <v>0</v>
      </c>
      <c r="P19" s="220">
        <f>IFERROR(VLOOKUP($A19,'NG Pivot'!$A$37:$N$45,MATCH(P$2,'NG Pivot'!$B$36:$N$36,0)+1,FALSE),0)+IFERROR(VLOOKUP($A19,'NG Pivot'!$A$4:$N$29,MATCH(P$2,'NG Pivot'!$B$3:$N$3,0)+1,FALSE),0)*10</f>
        <v>1560</v>
      </c>
      <c r="Q19" s="220">
        <f>IFERROR(VLOOKUP($A19,'NG Pivot'!$A$37:$N$45,MATCH(Q$2,'NG Pivot'!$B$36:$N$36,0)+1,FALSE),0)+IFERROR(VLOOKUP($A19,'NG Pivot'!$A$4:$N$29,MATCH(Q$2,'NG Pivot'!$B$3:$N$3,0)+1,FALSE),0)*10</f>
        <v>0</v>
      </c>
      <c r="R19" s="220">
        <f>IFERROR(VLOOKUP($A19,'NG Pivot'!$A$37:$N$45,MATCH(R$2,'NG Pivot'!$B$36:$N$36,0)+1,FALSE),0)+IFERROR(VLOOKUP($A19,'NG Pivot'!$A$4:$N$29,MATCH(R$2,'NG Pivot'!$B$3:$N$3,0)+1,FALSE),0)*10</f>
        <v>0</v>
      </c>
      <c r="S19" s="220">
        <f>IFERROR(VLOOKUP($A19,'NG Pivot'!$A$37:$N$45,MATCH(S$2,'NG Pivot'!$B$36:$N$36,0)+1,FALSE),0)+IFERROR(VLOOKUP($A19,'NG Pivot'!$A$4:$N$29,MATCH(S$2,'NG Pivot'!$B$3:$N$3,0)+1,FALSE),0)*10</f>
        <v>0</v>
      </c>
      <c r="T19" s="220">
        <f>IFERROR(VLOOKUP($A19,'NG Pivot'!$A$37:$N$45,MATCH(T$2,'NG Pivot'!$B$36:$N$36,0)+1,FALSE),0)+IFERROR(VLOOKUP($A19,'NG Pivot'!$A$4:$N$29,MATCH(T$2,'NG Pivot'!$B$3:$N$3,0)+1,FALSE),0)*10</f>
        <v>0</v>
      </c>
      <c r="U19" s="220">
        <f>IFERROR(VLOOKUP($A19,'NG Pivot'!$A$37:$N$45,MATCH(U$2,'NG Pivot'!$B$36:$N$36,0)+1,FALSE),0)+IFERROR(VLOOKUP($A19,'NG Pivot'!$A$4:$N$29,MATCH(U$2,'NG Pivot'!$B$3:$N$3,0)+1,FALSE),0)*10</f>
        <v>0</v>
      </c>
      <c r="V19" s="220">
        <f>IFERROR(VLOOKUP($A19,'NG Pivot'!$A$37:$N$45,MATCH(V$2,'NG Pivot'!$B$36:$N$36,0)+1,FALSE),0)+IFERROR(VLOOKUP($A19,'NG Pivot'!$A$4:$N$29,MATCH(V$2,'NG Pivot'!$B$3:$N$3,0)+1,FALSE),0)*10</f>
        <v>0</v>
      </c>
      <c r="W19" s="220">
        <f>IFERROR(VLOOKUP($A19,'NG Pivot'!$A$37:$N$45,MATCH(W$2,'NG Pivot'!$B$36:$N$36,0)+1,FALSE),0)+IFERROR(VLOOKUP($A19,'NG Pivot'!$A$4:$N$29,MATCH(W$2,'NG Pivot'!$B$3:$N$3,0)+1,FALSE),0)*10</f>
        <v>0</v>
      </c>
      <c r="X19" s="220">
        <f>IFERROR(VLOOKUP($A19,'NG Pivot'!$A$37:$N$45,MATCH(X$2,'NG Pivot'!$B$36:$N$36,0)+1,FALSE),0)+IFERROR(VLOOKUP($A19,'NG Pivot'!$A$4:$N$29,MATCH(X$2,'NG Pivot'!$B$3:$N$3,0)+1,FALSE),0)*10</f>
        <v>0</v>
      </c>
      <c r="Y19" s="220">
        <f>IFERROR(VLOOKUP($A19,'NG Pivot'!$A$37:$N$45,MATCH(Y$2,'NG Pivot'!$B$36:$N$36,0)+1,FALSE),0)+IFERROR(VLOOKUP($A19,'NG Pivot'!$A$4:$N$29,MATCH(Y$2,'NG Pivot'!$B$3:$N$3,0)+1,FALSE),0)*10</f>
        <v>0</v>
      </c>
      <c r="Z19" s="220">
        <f>IFERROR(VLOOKUP($A19,'NG Pivot'!$A$37:$N$45,MATCH(Z$2,'NG Pivot'!$B$36:$N$36,0)+1,FALSE),0)+IFERROR(VLOOKUP($A19,'NG Pivot'!$A$4:$N$29,MATCH(Z$2,'NG Pivot'!$B$3:$N$3,0)+1,FALSE),0)*10</f>
        <v>36</v>
      </c>
      <c r="AA19" s="220">
        <f>IFERROR(VLOOKUP($A19,'NG Pivot'!$A$37:$N$45,MATCH(AA$2,'NG Pivot'!$B$36:$N$36,0)+1,FALSE),0)+IFERROR(VLOOKUP($A19,'NG Pivot'!$A$4:$N$29,MATCH(AA$2,'NG Pivot'!$B$3:$N$3,0)+1,FALSE),0)*10</f>
        <v>350</v>
      </c>
      <c r="AB19" s="220">
        <f>IFERROR(VLOOKUP($A19,'NG Pivot'!$A$37:$N$45,MATCH(AB$2,'NG Pivot'!$B$36:$N$36,0)+1,FALSE),0)+IFERROR(VLOOKUP($A19,'NG Pivot'!$A$4:$N$29,MATCH(AB$2,'NG Pivot'!$B$3:$N$3,0)+1,FALSE),0)*10</f>
        <v>350</v>
      </c>
      <c r="AC19" s="220">
        <f>IFERROR(VLOOKUP($A19,'NG Pivot'!$A$37:$N$45,MATCH(AC$2,'NG Pivot'!$B$36:$N$36,0)+1,FALSE),0)+IFERROR(VLOOKUP($A19,'NG Pivot'!$A$4:$N$29,MATCH(AC$2,'NG Pivot'!$B$3:$N$3,0)+1,FALSE),0)*10</f>
        <v>200</v>
      </c>
      <c r="AD19" s="220">
        <f>IFERROR(VLOOKUP($A19,'NG Pivot'!$A$37:$N$45,MATCH(AD$2,'NG Pivot'!$B$36:$N$36,0)+1,FALSE),0)+IFERROR(VLOOKUP($A19,'NG Pivot'!$A$4:$N$29,MATCH(AD$2,'NG Pivot'!$B$3:$N$3,0)+1,FALSE),0)*10</f>
        <v>0</v>
      </c>
    </row>
    <row r="20" spans="1:30">
      <c r="A20" s="223" t="s">
        <v>1285</v>
      </c>
      <c r="B20" s="220">
        <f>IFERROR(VLOOKUP($A20,'NG Pivot'!$A$37:$N$45,MATCH(B$2,'NG Pivot'!$B$36:$N$36,0)+1,FALSE),0)+IFERROR(VLOOKUP($A20,'NG Pivot'!$A$4:$N$29,MATCH(B$2,'NG Pivot'!$B$3:$N$3,0)+1,FALSE),0)*10</f>
        <v>0</v>
      </c>
      <c r="C20" s="220">
        <f>IFERROR(VLOOKUP($A20,'NG Pivot'!$A$37:$N$45,MATCH(C$2,'NG Pivot'!$B$36:$N$36,0)+1,FALSE),0)+IFERROR(VLOOKUP($A20,'NG Pivot'!$A$4:$N$29,MATCH(C$2,'NG Pivot'!$B$3:$N$3,0)+1,FALSE),0)*10</f>
        <v>0</v>
      </c>
      <c r="D20" s="220">
        <f>IFERROR(VLOOKUP($A20,'NG Pivot'!$A$37:$N$45,MATCH(D$2,'NG Pivot'!$B$36:$N$36,0)+1,FALSE),0)+IFERROR(VLOOKUP($A20,'NG Pivot'!$A$4:$N$29,MATCH(D$2,'NG Pivot'!$B$3:$N$3,0)+1,FALSE),0)*10</f>
        <v>0</v>
      </c>
      <c r="E20" s="220">
        <f>IFERROR(VLOOKUP($A20,'NG Pivot'!$A$37:$N$45,MATCH(E$2,'NG Pivot'!$B$36:$N$36,0)+1,FALSE),0)+IFERROR(VLOOKUP($A20,'NG Pivot'!$A$4:$N$29,MATCH(E$2,'NG Pivot'!$B$3:$N$3,0)+1,FALSE),0)*10</f>
        <v>0</v>
      </c>
      <c r="F20" s="220">
        <f>IFERROR(VLOOKUP($A20,'NG Pivot'!$A$37:$N$45,MATCH(F$2,'NG Pivot'!$B$36:$N$36,0)+1,FALSE),0)+IFERROR(VLOOKUP($A20,'NG Pivot'!$A$4:$N$29,MATCH(F$2,'NG Pivot'!$B$3:$N$3,0)+1,FALSE),0)*10</f>
        <v>0</v>
      </c>
      <c r="G20" s="220">
        <f>IFERROR(VLOOKUP($A20,'NG Pivot'!$A$37:$N$45,MATCH(G$2,'NG Pivot'!$B$36:$N$36,0)+1,FALSE),0)+IFERROR(VLOOKUP($A20,'NG Pivot'!$A$4:$N$29,MATCH(G$2,'NG Pivot'!$B$3:$N$3,0)+1,FALSE),0)*10</f>
        <v>0</v>
      </c>
      <c r="H20" s="220">
        <f>IFERROR(VLOOKUP($A20,'NG Pivot'!$A$37:$N$45,MATCH(H$2,'NG Pivot'!$B$36:$N$36,0)+1,FALSE),0)+IFERROR(VLOOKUP($A20,'NG Pivot'!$A$4:$N$29,MATCH(H$2,'NG Pivot'!$B$3:$N$3,0)+1,FALSE),0)*10</f>
        <v>0</v>
      </c>
      <c r="I20" s="220">
        <f>IFERROR(VLOOKUP($A20,'NG Pivot'!$A$37:$N$45,MATCH(I$2,'NG Pivot'!$B$36:$N$36,0)+1,FALSE),0)+IFERROR(VLOOKUP($A20,'NG Pivot'!$A$4:$N$29,MATCH(I$2,'NG Pivot'!$B$3:$N$3,0)+1,FALSE),0)*10</f>
        <v>0</v>
      </c>
      <c r="J20" s="220">
        <f>IFERROR(VLOOKUP($A20,'NG Pivot'!$A$37:$N$45,MATCH(J$2,'NG Pivot'!$B$36:$N$36,0)+1,FALSE),0)+IFERROR(VLOOKUP($A20,'NG Pivot'!$A$4:$N$29,MATCH(J$2,'NG Pivot'!$B$3:$N$3,0)+1,FALSE),0)*10</f>
        <v>0</v>
      </c>
      <c r="K20" s="220">
        <f>IFERROR(VLOOKUP($A20,'NG Pivot'!$A$37:$N$45,MATCH(K$2,'NG Pivot'!$B$36:$N$36,0)+1,FALSE),0)+IFERROR(VLOOKUP($A20,'NG Pivot'!$A$4:$N$29,MATCH(K$2,'NG Pivot'!$B$3:$N$3,0)+1,FALSE),0)*10</f>
        <v>0</v>
      </c>
      <c r="L20" s="220">
        <f>IFERROR(VLOOKUP($A20,'NG Pivot'!$A$37:$N$45,MATCH(L$2,'NG Pivot'!$B$36:$N$36,0)+1,FALSE),0)+IFERROR(VLOOKUP($A20,'NG Pivot'!$A$4:$N$29,MATCH(L$2,'NG Pivot'!$B$3:$N$3,0)+1,FALSE),0)*10</f>
        <v>0</v>
      </c>
      <c r="M20" s="220">
        <f>IFERROR(VLOOKUP($A20,'NG Pivot'!$A$37:$N$45,MATCH(M$2,'NG Pivot'!$B$36:$N$36,0)+1,FALSE),0)+IFERROR(VLOOKUP($A20,'NG Pivot'!$A$4:$N$29,MATCH(M$2,'NG Pivot'!$B$3:$N$3,0)+1,FALSE),0)*10</f>
        <v>0</v>
      </c>
      <c r="N20" s="220">
        <f>IFERROR(VLOOKUP($A20,'NG Pivot'!$A$37:$N$45,MATCH(N$2,'NG Pivot'!$B$36:$N$36,0)+1,FALSE),0)+IFERROR(VLOOKUP($A20,'NG Pivot'!$A$4:$N$29,MATCH(N$2,'NG Pivot'!$B$3:$N$3,0)+1,FALSE),0)*10</f>
        <v>0</v>
      </c>
      <c r="O20" s="220">
        <f>IFERROR(VLOOKUP($A20,'NG Pivot'!$A$37:$N$45,MATCH(O$2,'NG Pivot'!$B$36:$N$36,0)+1,FALSE),0)+IFERROR(VLOOKUP($A20,'NG Pivot'!$A$4:$N$29,MATCH(O$2,'NG Pivot'!$B$3:$N$3,0)+1,FALSE),0)*10</f>
        <v>0</v>
      </c>
      <c r="P20" s="220">
        <f>IFERROR(VLOOKUP($A20,'NG Pivot'!$A$37:$N$45,MATCH(P$2,'NG Pivot'!$B$36:$N$36,0)+1,FALSE),0)+IFERROR(VLOOKUP($A20,'NG Pivot'!$A$4:$N$29,MATCH(P$2,'NG Pivot'!$B$3:$N$3,0)+1,FALSE),0)*10</f>
        <v>0</v>
      </c>
      <c r="Q20" s="220">
        <f>IFERROR(VLOOKUP($A20,'NG Pivot'!$A$37:$N$45,MATCH(Q$2,'NG Pivot'!$B$36:$N$36,0)+1,FALSE),0)+IFERROR(VLOOKUP($A20,'NG Pivot'!$A$4:$N$29,MATCH(Q$2,'NG Pivot'!$B$3:$N$3,0)+1,FALSE),0)*10</f>
        <v>0</v>
      </c>
      <c r="R20" s="220">
        <f>IFERROR(VLOOKUP($A20,'NG Pivot'!$A$37:$N$45,MATCH(R$2,'NG Pivot'!$B$36:$N$36,0)+1,FALSE),0)+IFERROR(VLOOKUP($A20,'NG Pivot'!$A$4:$N$29,MATCH(R$2,'NG Pivot'!$B$3:$N$3,0)+1,FALSE),0)*10</f>
        <v>0</v>
      </c>
      <c r="S20" s="220">
        <f>IFERROR(VLOOKUP($A20,'NG Pivot'!$A$37:$N$45,MATCH(S$2,'NG Pivot'!$B$36:$N$36,0)+1,FALSE),0)+IFERROR(VLOOKUP($A20,'NG Pivot'!$A$4:$N$29,MATCH(S$2,'NG Pivot'!$B$3:$N$3,0)+1,FALSE),0)*10</f>
        <v>185</v>
      </c>
      <c r="T20" s="220">
        <f>IFERROR(VLOOKUP($A20,'NG Pivot'!$A$37:$N$45,MATCH(T$2,'NG Pivot'!$B$36:$N$36,0)+1,FALSE),0)+IFERROR(VLOOKUP($A20,'NG Pivot'!$A$4:$N$29,MATCH(T$2,'NG Pivot'!$B$3:$N$3,0)+1,FALSE),0)*10</f>
        <v>0</v>
      </c>
      <c r="U20" s="220">
        <f>IFERROR(VLOOKUP($A20,'NG Pivot'!$A$37:$N$45,MATCH(U$2,'NG Pivot'!$B$36:$N$36,0)+1,FALSE),0)+IFERROR(VLOOKUP($A20,'NG Pivot'!$A$4:$N$29,MATCH(U$2,'NG Pivot'!$B$3:$N$3,0)+1,FALSE),0)*10</f>
        <v>0</v>
      </c>
      <c r="V20" s="220">
        <f>IFERROR(VLOOKUP($A20,'NG Pivot'!$A$37:$N$45,MATCH(V$2,'NG Pivot'!$B$36:$N$36,0)+1,FALSE),0)+IFERROR(VLOOKUP($A20,'NG Pivot'!$A$4:$N$29,MATCH(V$2,'NG Pivot'!$B$3:$N$3,0)+1,FALSE),0)*10</f>
        <v>0</v>
      </c>
      <c r="W20" s="220">
        <f>IFERROR(VLOOKUP($A20,'NG Pivot'!$A$37:$N$45,MATCH(W$2,'NG Pivot'!$B$36:$N$36,0)+1,FALSE),0)+IFERROR(VLOOKUP($A20,'NG Pivot'!$A$4:$N$29,MATCH(W$2,'NG Pivot'!$B$3:$N$3,0)+1,FALSE),0)*10</f>
        <v>0</v>
      </c>
      <c r="X20" s="220">
        <f>IFERROR(VLOOKUP($A20,'NG Pivot'!$A$37:$N$45,MATCH(X$2,'NG Pivot'!$B$36:$N$36,0)+1,FALSE),0)+IFERROR(VLOOKUP($A20,'NG Pivot'!$A$4:$N$29,MATCH(X$2,'NG Pivot'!$B$3:$N$3,0)+1,FALSE),0)*10</f>
        <v>370</v>
      </c>
      <c r="Y20" s="220">
        <f>IFERROR(VLOOKUP($A20,'NG Pivot'!$A$37:$N$45,MATCH(Y$2,'NG Pivot'!$B$36:$N$36,0)+1,FALSE),0)+IFERROR(VLOOKUP($A20,'NG Pivot'!$A$4:$N$29,MATCH(Y$2,'NG Pivot'!$B$3:$N$3,0)+1,FALSE),0)*10</f>
        <v>0</v>
      </c>
      <c r="Z20" s="220">
        <f>IFERROR(VLOOKUP($A20,'NG Pivot'!$A$37:$N$45,MATCH(Z$2,'NG Pivot'!$B$36:$N$36,0)+1,FALSE),0)+IFERROR(VLOOKUP($A20,'NG Pivot'!$A$4:$N$29,MATCH(Z$2,'NG Pivot'!$B$3:$N$3,0)+1,FALSE),0)*10</f>
        <v>190.3</v>
      </c>
      <c r="AA20" s="220">
        <f>IFERROR(VLOOKUP($A20,'NG Pivot'!$A$37:$N$45,MATCH(AA$2,'NG Pivot'!$B$36:$N$36,0)+1,FALSE),0)+IFERROR(VLOOKUP($A20,'NG Pivot'!$A$4:$N$29,MATCH(AA$2,'NG Pivot'!$B$3:$N$3,0)+1,FALSE),0)*10</f>
        <v>0</v>
      </c>
      <c r="AB20" s="220">
        <f>IFERROR(VLOOKUP($A20,'NG Pivot'!$A$37:$N$45,MATCH(AB$2,'NG Pivot'!$B$36:$N$36,0)+1,FALSE),0)+IFERROR(VLOOKUP($A20,'NG Pivot'!$A$4:$N$29,MATCH(AB$2,'NG Pivot'!$B$3:$N$3,0)+1,FALSE),0)*10</f>
        <v>0</v>
      </c>
      <c r="AC20" s="220">
        <f>IFERROR(VLOOKUP($A20,'NG Pivot'!$A$37:$N$45,MATCH(AC$2,'NG Pivot'!$B$36:$N$36,0)+1,FALSE),0)+IFERROR(VLOOKUP($A20,'NG Pivot'!$A$4:$N$29,MATCH(AC$2,'NG Pivot'!$B$3:$N$3,0)+1,FALSE),0)*10</f>
        <v>154</v>
      </c>
      <c r="AD20" s="220">
        <f>IFERROR(VLOOKUP($A20,'NG Pivot'!$A$37:$N$45,MATCH(AD$2,'NG Pivot'!$B$36:$N$36,0)+1,FALSE),0)+IFERROR(VLOOKUP($A20,'NG Pivot'!$A$4:$N$29,MATCH(AD$2,'NG Pivot'!$B$3:$N$3,0)+1,FALSE),0)*10</f>
        <v>245.6</v>
      </c>
    </row>
    <row r="21" spans="1:30">
      <c r="A21" s="223" t="s">
        <v>1286</v>
      </c>
      <c r="B21" s="220">
        <f>IFERROR(VLOOKUP($A21,'NG Pivot'!$A$37:$N$45,MATCH(B$2,'NG Pivot'!$B$36:$N$36,0)+1,FALSE),0)+IFERROR(VLOOKUP($A21,'NG Pivot'!$A$4:$N$29,MATCH(B$2,'NG Pivot'!$B$3:$N$3,0)+1,FALSE),0)*10</f>
        <v>0</v>
      </c>
      <c r="C21" s="220">
        <f>IFERROR(VLOOKUP($A21,'NG Pivot'!$A$37:$N$45,MATCH(C$2,'NG Pivot'!$B$36:$N$36,0)+1,FALSE),0)+IFERROR(VLOOKUP($A21,'NG Pivot'!$A$4:$N$29,MATCH(C$2,'NG Pivot'!$B$3:$N$3,0)+1,FALSE),0)*10</f>
        <v>0</v>
      </c>
      <c r="D21" s="220">
        <f>IFERROR(VLOOKUP($A21,'NG Pivot'!$A$37:$N$45,MATCH(D$2,'NG Pivot'!$B$36:$N$36,0)+1,FALSE),0)+IFERROR(VLOOKUP($A21,'NG Pivot'!$A$4:$N$29,MATCH(D$2,'NG Pivot'!$B$3:$N$3,0)+1,FALSE),0)*10</f>
        <v>0</v>
      </c>
      <c r="E21" s="220">
        <f>IFERROR(VLOOKUP($A21,'NG Pivot'!$A$37:$N$45,MATCH(E$2,'NG Pivot'!$B$36:$N$36,0)+1,FALSE),0)+IFERROR(VLOOKUP($A21,'NG Pivot'!$A$4:$N$29,MATCH(E$2,'NG Pivot'!$B$3:$N$3,0)+1,FALSE),0)*10</f>
        <v>0</v>
      </c>
      <c r="F21" s="220">
        <f>IFERROR(VLOOKUP($A21,'NG Pivot'!$A$37:$N$45,MATCH(F$2,'NG Pivot'!$B$36:$N$36,0)+1,FALSE),0)+IFERROR(VLOOKUP($A21,'NG Pivot'!$A$4:$N$29,MATCH(F$2,'NG Pivot'!$B$3:$N$3,0)+1,FALSE),0)*10</f>
        <v>0</v>
      </c>
      <c r="G21" s="220">
        <f>IFERROR(VLOOKUP($A21,'NG Pivot'!$A$37:$N$45,MATCH(G$2,'NG Pivot'!$B$36:$N$36,0)+1,FALSE),0)+IFERROR(VLOOKUP($A21,'NG Pivot'!$A$4:$N$29,MATCH(G$2,'NG Pivot'!$B$3:$N$3,0)+1,FALSE),0)*10</f>
        <v>0</v>
      </c>
      <c r="H21" s="220">
        <f>IFERROR(VLOOKUP($A21,'NG Pivot'!$A$37:$N$45,MATCH(H$2,'NG Pivot'!$B$36:$N$36,0)+1,FALSE),0)+IFERROR(VLOOKUP($A21,'NG Pivot'!$A$4:$N$29,MATCH(H$2,'NG Pivot'!$B$3:$N$3,0)+1,FALSE),0)*10</f>
        <v>0</v>
      </c>
      <c r="I21" s="220">
        <f>IFERROR(VLOOKUP($A21,'NG Pivot'!$A$37:$N$45,MATCH(I$2,'NG Pivot'!$B$36:$N$36,0)+1,FALSE),0)+IFERROR(VLOOKUP($A21,'NG Pivot'!$A$4:$N$29,MATCH(I$2,'NG Pivot'!$B$3:$N$3,0)+1,FALSE),0)*10</f>
        <v>0</v>
      </c>
      <c r="J21" s="220">
        <f>IFERROR(VLOOKUP($A21,'NG Pivot'!$A$37:$N$45,MATCH(J$2,'NG Pivot'!$B$36:$N$36,0)+1,FALSE),0)+IFERROR(VLOOKUP($A21,'NG Pivot'!$A$4:$N$29,MATCH(J$2,'NG Pivot'!$B$3:$N$3,0)+1,FALSE),0)*10</f>
        <v>0</v>
      </c>
      <c r="K21" s="220">
        <f>IFERROR(VLOOKUP($A21,'NG Pivot'!$A$37:$N$45,MATCH(K$2,'NG Pivot'!$B$36:$N$36,0)+1,FALSE),0)+IFERROR(VLOOKUP($A21,'NG Pivot'!$A$4:$N$29,MATCH(K$2,'NG Pivot'!$B$3:$N$3,0)+1,FALSE),0)*10</f>
        <v>0</v>
      </c>
      <c r="L21" s="220">
        <f>IFERROR(VLOOKUP($A21,'NG Pivot'!$A$37:$N$45,MATCH(L$2,'NG Pivot'!$B$36:$N$36,0)+1,FALSE),0)+IFERROR(VLOOKUP($A21,'NG Pivot'!$A$4:$N$29,MATCH(L$2,'NG Pivot'!$B$3:$N$3,0)+1,FALSE),0)*10</f>
        <v>0</v>
      </c>
      <c r="M21" s="220">
        <f>IFERROR(VLOOKUP($A21,'NG Pivot'!$A$37:$N$45,MATCH(M$2,'NG Pivot'!$B$36:$N$36,0)+1,FALSE),0)+IFERROR(VLOOKUP($A21,'NG Pivot'!$A$4:$N$29,MATCH(M$2,'NG Pivot'!$B$3:$N$3,0)+1,FALSE),0)*10</f>
        <v>0</v>
      </c>
      <c r="N21" s="220">
        <f>IFERROR(VLOOKUP($A21,'NG Pivot'!$A$37:$N$45,MATCH(N$2,'NG Pivot'!$B$36:$N$36,0)+1,FALSE),0)+IFERROR(VLOOKUP($A21,'NG Pivot'!$A$4:$N$29,MATCH(N$2,'NG Pivot'!$B$3:$N$3,0)+1,FALSE),0)*10</f>
        <v>0</v>
      </c>
      <c r="O21" s="220">
        <f>IFERROR(VLOOKUP($A21,'NG Pivot'!$A$37:$N$45,MATCH(O$2,'NG Pivot'!$B$36:$N$36,0)+1,FALSE),0)+IFERROR(VLOOKUP($A21,'NG Pivot'!$A$4:$N$29,MATCH(O$2,'NG Pivot'!$B$3:$N$3,0)+1,FALSE),0)*10</f>
        <v>0</v>
      </c>
      <c r="P21" s="220">
        <f>IFERROR(VLOOKUP($A21,'NG Pivot'!$A$37:$N$45,MATCH(P$2,'NG Pivot'!$B$36:$N$36,0)+1,FALSE),0)+IFERROR(VLOOKUP($A21,'NG Pivot'!$A$4:$N$29,MATCH(P$2,'NG Pivot'!$B$3:$N$3,0)+1,FALSE),0)*10</f>
        <v>0</v>
      </c>
      <c r="Q21" s="220">
        <f>IFERROR(VLOOKUP($A21,'NG Pivot'!$A$37:$N$45,MATCH(Q$2,'NG Pivot'!$B$36:$N$36,0)+1,FALSE),0)+IFERROR(VLOOKUP($A21,'NG Pivot'!$A$4:$N$29,MATCH(Q$2,'NG Pivot'!$B$3:$N$3,0)+1,FALSE),0)*10</f>
        <v>0</v>
      </c>
      <c r="R21" s="220">
        <f>IFERROR(VLOOKUP($A21,'NG Pivot'!$A$37:$N$45,MATCH(R$2,'NG Pivot'!$B$36:$N$36,0)+1,FALSE),0)+IFERROR(VLOOKUP($A21,'NG Pivot'!$A$4:$N$29,MATCH(R$2,'NG Pivot'!$B$3:$N$3,0)+1,FALSE),0)*10</f>
        <v>0</v>
      </c>
      <c r="S21" s="220">
        <f>IFERROR(VLOOKUP($A21,'NG Pivot'!$A$37:$N$45,MATCH(S$2,'NG Pivot'!$B$36:$N$36,0)+1,FALSE),0)+IFERROR(VLOOKUP($A21,'NG Pivot'!$A$4:$N$29,MATCH(S$2,'NG Pivot'!$B$3:$N$3,0)+1,FALSE),0)*10</f>
        <v>0</v>
      </c>
      <c r="T21" s="220">
        <f>IFERROR(VLOOKUP($A21,'NG Pivot'!$A$37:$N$45,MATCH(T$2,'NG Pivot'!$B$36:$N$36,0)+1,FALSE),0)+IFERROR(VLOOKUP($A21,'NG Pivot'!$A$4:$N$29,MATCH(T$2,'NG Pivot'!$B$3:$N$3,0)+1,FALSE),0)*10</f>
        <v>0</v>
      </c>
      <c r="U21" s="220">
        <f>IFERROR(VLOOKUP($A21,'NG Pivot'!$A$37:$N$45,MATCH(U$2,'NG Pivot'!$B$36:$N$36,0)+1,FALSE),0)+IFERROR(VLOOKUP($A21,'NG Pivot'!$A$4:$N$29,MATCH(U$2,'NG Pivot'!$B$3:$N$3,0)+1,FALSE),0)*10</f>
        <v>0</v>
      </c>
      <c r="V21" s="220">
        <f>IFERROR(VLOOKUP($A21,'NG Pivot'!$A$37:$N$45,MATCH(V$2,'NG Pivot'!$B$36:$N$36,0)+1,FALSE),0)+IFERROR(VLOOKUP($A21,'NG Pivot'!$A$4:$N$29,MATCH(V$2,'NG Pivot'!$B$3:$N$3,0)+1,FALSE),0)*10</f>
        <v>0</v>
      </c>
      <c r="W21" s="220">
        <f>IFERROR(VLOOKUP($A21,'NG Pivot'!$A$37:$N$45,MATCH(W$2,'NG Pivot'!$B$36:$N$36,0)+1,FALSE),0)+IFERROR(VLOOKUP($A21,'NG Pivot'!$A$4:$N$29,MATCH(W$2,'NG Pivot'!$B$3:$N$3,0)+1,FALSE),0)*10</f>
        <v>0</v>
      </c>
      <c r="X21" s="220">
        <f>IFERROR(VLOOKUP($A21,'NG Pivot'!$A$37:$N$45,MATCH(X$2,'NG Pivot'!$B$36:$N$36,0)+1,FALSE),0)+IFERROR(VLOOKUP($A21,'NG Pivot'!$A$4:$N$29,MATCH(X$2,'NG Pivot'!$B$3:$N$3,0)+1,FALSE),0)*10</f>
        <v>0</v>
      </c>
      <c r="Y21" s="220">
        <f>IFERROR(VLOOKUP($A21,'NG Pivot'!$A$37:$N$45,MATCH(Y$2,'NG Pivot'!$B$36:$N$36,0)+1,FALSE),0)+IFERROR(VLOOKUP($A21,'NG Pivot'!$A$4:$N$29,MATCH(Y$2,'NG Pivot'!$B$3:$N$3,0)+1,FALSE),0)*10</f>
        <v>0</v>
      </c>
      <c r="Z21" s="220">
        <f>IFERROR(VLOOKUP($A21,'NG Pivot'!$A$37:$N$45,MATCH(Z$2,'NG Pivot'!$B$36:$N$36,0)+1,FALSE),0)+IFERROR(VLOOKUP($A21,'NG Pivot'!$A$4:$N$29,MATCH(Z$2,'NG Pivot'!$B$3:$N$3,0)+1,FALSE),0)*10</f>
        <v>0</v>
      </c>
      <c r="AA21" s="220">
        <f>IFERROR(VLOOKUP($A21,'NG Pivot'!$A$37:$N$45,MATCH(AA$2,'NG Pivot'!$B$36:$N$36,0)+1,FALSE),0)+IFERROR(VLOOKUP($A21,'NG Pivot'!$A$4:$N$29,MATCH(AA$2,'NG Pivot'!$B$3:$N$3,0)+1,FALSE),0)*10</f>
        <v>10</v>
      </c>
      <c r="AB21" s="220">
        <f>IFERROR(VLOOKUP($A21,'NG Pivot'!$A$37:$N$45,MATCH(AB$2,'NG Pivot'!$B$36:$N$36,0)+1,FALSE),0)+IFERROR(VLOOKUP($A21,'NG Pivot'!$A$4:$N$29,MATCH(AB$2,'NG Pivot'!$B$3:$N$3,0)+1,FALSE),0)*10</f>
        <v>6.5</v>
      </c>
      <c r="AC21" s="220">
        <f>IFERROR(VLOOKUP($A21,'NG Pivot'!$A$37:$N$45,MATCH(AC$2,'NG Pivot'!$B$36:$N$36,0)+1,FALSE),0)+IFERROR(VLOOKUP($A21,'NG Pivot'!$A$4:$N$29,MATCH(AC$2,'NG Pivot'!$B$3:$N$3,0)+1,FALSE),0)*10</f>
        <v>0</v>
      </c>
      <c r="AD21" s="220">
        <f>IFERROR(VLOOKUP($A21,'NG Pivot'!$A$37:$N$45,MATCH(AD$2,'NG Pivot'!$B$36:$N$36,0)+1,FALSE),0)+IFERROR(VLOOKUP($A21,'NG Pivot'!$A$4:$N$29,MATCH(AD$2,'NG Pivot'!$B$3:$N$3,0)+1,FALSE),0)*10</f>
        <v>0</v>
      </c>
    </row>
    <row r="22" spans="1:30">
      <c r="A22" s="223" t="s">
        <v>1287</v>
      </c>
      <c r="B22" s="220">
        <f>IFERROR(VLOOKUP($A22,'NG Pivot'!$A$37:$N$45,MATCH(B$2,'NG Pivot'!$B$36:$N$36,0)+1,FALSE),0)+IFERROR(VLOOKUP($A22,'NG Pivot'!$A$4:$N$29,MATCH(B$2,'NG Pivot'!$B$3:$N$3,0)+1,FALSE),0)*10</f>
        <v>0</v>
      </c>
      <c r="C22" s="220">
        <f>IFERROR(VLOOKUP($A22,'NG Pivot'!$A$37:$N$45,MATCH(C$2,'NG Pivot'!$B$36:$N$36,0)+1,FALSE),0)+IFERROR(VLOOKUP($A22,'NG Pivot'!$A$4:$N$29,MATCH(C$2,'NG Pivot'!$B$3:$N$3,0)+1,FALSE),0)*10</f>
        <v>0</v>
      </c>
      <c r="D22" s="220">
        <f>IFERROR(VLOOKUP($A22,'NG Pivot'!$A$37:$N$45,MATCH(D$2,'NG Pivot'!$B$36:$N$36,0)+1,FALSE),0)+IFERROR(VLOOKUP($A22,'NG Pivot'!$A$4:$N$29,MATCH(D$2,'NG Pivot'!$B$3:$N$3,0)+1,FALSE),0)*10</f>
        <v>0</v>
      </c>
      <c r="E22" s="220">
        <f>IFERROR(VLOOKUP($A22,'NG Pivot'!$A$37:$N$45,MATCH(E$2,'NG Pivot'!$B$36:$N$36,0)+1,FALSE),0)+IFERROR(VLOOKUP($A22,'NG Pivot'!$A$4:$N$29,MATCH(E$2,'NG Pivot'!$B$3:$N$3,0)+1,FALSE),0)*10</f>
        <v>0</v>
      </c>
      <c r="F22" s="220">
        <f>IFERROR(VLOOKUP($A22,'NG Pivot'!$A$37:$N$45,MATCH(F$2,'NG Pivot'!$B$36:$N$36,0)+1,FALSE),0)+IFERROR(VLOOKUP($A22,'NG Pivot'!$A$4:$N$29,MATCH(F$2,'NG Pivot'!$B$3:$N$3,0)+1,FALSE),0)*10</f>
        <v>125</v>
      </c>
      <c r="G22" s="220">
        <f>IFERROR(VLOOKUP($A22,'NG Pivot'!$A$37:$N$45,MATCH(G$2,'NG Pivot'!$B$36:$N$36,0)+1,FALSE),0)+IFERROR(VLOOKUP($A22,'NG Pivot'!$A$4:$N$29,MATCH(G$2,'NG Pivot'!$B$3:$N$3,0)+1,FALSE),0)*10</f>
        <v>125</v>
      </c>
      <c r="H22" s="220">
        <f>IFERROR(VLOOKUP($A22,'NG Pivot'!$A$37:$N$45,MATCH(H$2,'NG Pivot'!$B$36:$N$36,0)+1,FALSE),0)+IFERROR(VLOOKUP($A22,'NG Pivot'!$A$4:$N$29,MATCH(H$2,'NG Pivot'!$B$3:$N$3,0)+1,FALSE),0)*10</f>
        <v>0</v>
      </c>
      <c r="I22" s="220">
        <f>IFERROR(VLOOKUP($A22,'NG Pivot'!$A$37:$N$45,MATCH(I$2,'NG Pivot'!$B$36:$N$36,0)+1,FALSE),0)+IFERROR(VLOOKUP($A22,'NG Pivot'!$A$4:$N$29,MATCH(I$2,'NG Pivot'!$B$3:$N$3,0)+1,FALSE),0)*10</f>
        <v>0</v>
      </c>
      <c r="J22" s="220">
        <f>IFERROR(VLOOKUP($A22,'NG Pivot'!$A$37:$N$45,MATCH(J$2,'NG Pivot'!$B$36:$N$36,0)+1,FALSE),0)+IFERROR(VLOOKUP($A22,'NG Pivot'!$A$4:$N$29,MATCH(J$2,'NG Pivot'!$B$3:$N$3,0)+1,FALSE),0)*10</f>
        <v>0</v>
      </c>
      <c r="K22" s="220">
        <f>IFERROR(VLOOKUP($A22,'NG Pivot'!$A$37:$N$45,MATCH(K$2,'NG Pivot'!$B$36:$N$36,0)+1,FALSE),0)+IFERROR(VLOOKUP($A22,'NG Pivot'!$A$4:$N$29,MATCH(K$2,'NG Pivot'!$B$3:$N$3,0)+1,FALSE),0)*10</f>
        <v>0</v>
      </c>
      <c r="L22" s="220">
        <f>IFERROR(VLOOKUP($A22,'NG Pivot'!$A$37:$N$45,MATCH(L$2,'NG Pivot'!$B$36:$N$36,0)+1,FALSE),0)+IFERROR(VLOOKUP($A22,'NG Pivot'!$A$4:$N$29,MATCH(L$2,'NG Pivot'!$B$3:$N$3,0)+1,FALSE),0)*10</f>
        <v>1315</v>
      </c>
      <c r="M22" s="220">
        <f>IFERROR(VLOOKUP($A22,'NG Pivot'!$A$37:$N$45,MATCH(M$2,'NG Pivot'!$B$36:$N$36,0)+1,FALSE),0)+IFERROR(VLOOKUP($A22,'NG Pivot'!$A$4:$N$29,MATCH(M$2,'NG Pivot'!$B$3:$N$3,0)+1,FALSE),0)*10</f>
        <v>900</v>
      </c>
      <c r="N22" s="220">
        <f>IFERROR(VLOOKUP($A22,'NG Pivot'!$A$37:$N$45,MATCH(N$2,'NG Pivot'!$B$36:$N$36,0)+1,FALSE),0)+IFERROR(VLOOKUP($A22,'NG Pivot'!$A$4:$N$29,MATCH(N$2,'NG Pivot'!$B$3:$N$3,0)+1,FALSE),0)*10</f>
        <v>1920</v>
      </c>
      <c r="O22" s="220">
        <f>IFERROR(VLOOKUP($A22,'NG Pivot'!$A$37:$N$45,MATCH(O$2,'NG Pivot'!$B$36:$N$36,0)+1,FALSE),0)+IFERROR(VLOOKUP($A22,'NG Pivot'!$A$4:$N$29,MATCH(O$2,'NG Pivot'!$B$3:$N$3,0)+1,FALSE),0)*10</f>
        <v>2250</v>
      </c>
      <c r="P22" s="220">
        <f>IFERROR(VLOOKUP($A22,'NG Pivot'!$A$37:$N$45,MATCH(P$2,'NG Pivot'!$B$36:$N$36,0)+1,FALSE),0)+IFERROR(VLOOKUP($A22,'NG Pivot'!$A$4:$N$29,MATCH(P$2,'NG Pivot'!$B$3:$N$3,0)+1,FALSE),0)*10</f>
        <v>3300</v>
      </c>
      <c r="Q22" s="220">
        <f>IFERROR(VLOOKUP($A22,'NG Pivot'!$A$37:$N$45,MATCH(Q$2,'NG Pivot'!$B$36:$N$36,0)+1,FALSE),0)+IFERROR(VLOOKUP($A22,'NG Pivot'!$A$4:$N$29,MATCH(Q$2,'NG Pivot'!$B$3:$N$3,0)+1,FALSE),0)*10</f>
        <v>0</v>
      </c>
      <c r="R22" s="220">
        <f>IFERROR(VLOOKUP($A22,'NG Pivot'!$A$37:$N$45,MATCH(R$2,'NG Pivot'!$B$36:$N$36,0)+1,FALSE),0)+IFERROR(VLOOKUP($A22,'NG Pivot'!$A$4:$N$29,MATCH(R$2,'NG Pivot'!$B$3:$N$3,0)+1,FALSE),0)*10</f>
        <v>0</v>
      </c>
      <c r="S22" s="220">
        <f>IFERROR(VLOOKUP($A22,'NG Pivot'!$A$37:$N$45,MATCH(S$2,'NG Pivot'!$B$36:$N$36,0)+1,FALSE),0)+IFERROR(VLOOKUP($A22,'NG Pivot'!$A$4:$N$29,MATCH(S$2,'NG Pivot'!$B$3:$N$3,0)+1,FALSE),0)*10</f>
        <v>660</v>
      </c>
      <c r="T22" s="220">
        <f>IFERROR(VLOOKUP($A22,'NG Pivot'!$A$37:$N$45,MATCH(T$2,'NG Pivot'!$B$36:$N$36,0)+1,FALSE),0)+IFERROR(VLOOKUP($A22,'NG Pivot'!$A$4:$N$29,MATCH(T$2,'NG Pivot'!$B$3:$N$3,0)+1,FALSE),0)*10</f>
        <v>0</v>
      </c>
      <c r="U22" s="220">
        <f>IFERROR(VLOOKUP($A22,'NG Pivot'!$A$37:$N$45,MATCH(U$2,'NG Pivot'!$B$36:$N$36,0)+1,FALSE),0)+IFERROR(VLOOKUP($A22,'NG Pivot'!$A$4:$N$29,MATCH(U$2,'NG Pivot'!$B$3:$N$3,0)+1,FALSE),0)*10</f>
        <v>0</v>
      </c>
      <c r="V22" s="220">
        <f>IFERROR(VLOOKUP($A22,'NG Pivot'!$A$37:$N$45,MATCH(V$2,'NG Pivot'!$B$36:$N$36,0)+1,FALSE),0)+IFERROR(VLOOKUP($A22,'NG Pivot'!$A$4:$N$29,MATCH(V$2,'NG Pivot'!$B$3:$N$3,0)+1,FALSE),0)*10</f>
        <v>0</v>
      </c>
      <c r="W22" s="220">
        <f>IFERROR(VLOOKUP($A22,'NG Pivot'!$A$37:$N$45,MATCH(W$2,'NG Pivot'!$B$36:$N$36,0)+1,FALSE),0)+IFERROR(VLOOKUP($A22,'NG Pivot'!$A$4:$N$29,MATCH(W$2,'NG Pivot'!$B$3:$N$3,0)+1,FALSE),0)*10</f>
        <v>780</v>
      </c>
      <c r="X22" s="220">
        <f>IFERROR(VLOOKUP($A22,'NG Pivot'!$A$37:$N$45,MATCH(X$2,'NG Pivot'!$B$36:$N$36,0)+1,FALSE),0)+IFERROR(VLOOKUP($A22,'NG Pivot'!$A$4:$N$29,MATCH(X$2,'NG Pivot'!$B$3:$N$3,0)+1,FALSE),0)*10</f>
        <v>0</v>
      </c>
      <c r="Y22" s="220">
        <f>IFERROR(VLOOKUP($A22,'NG Pivot'!$A$37:$N$45,MATCH(Y$2,'NG Pivot'!$B$36:$N$36,0)+1,FALSE),0)+IFERROR(VLOOKUP($A22,'NG Pivot'!$A$4:$N$29,MATCH(Y$2,'NG Pivot'!$B$3:$N$3,0)+1,FALSE),0)*10</f>
        <v>0</v>
      </c>
      <c r="Z22" s="220">
        <f>IFERROR(VLOOKUP($A22,'NG Pivot'!$A$37:$N$45,MATCH(Z$2,'NG Pivot'!$B$36:$N$36,0)+1,FALSE),0)+IFERROR(VLOOKUP($A22,'NG Pivot'!$A$4:$N$29,MATCH(Z$2,'NG Pivot'!$B$3:$N$3,0)+1,FALSE),0)*10</f>
        <v>0</v>
      </c>
      <c r="AA22" s="220">
        <f>IFERROR(VLOOKUP($A22,'NG Pivot'!$A$37:$N$45,MATCH(AA$2,'NG Pivot'!$B$36:$N$36,0)+1,FALSE),0)+IFERROR(VLOOKUP($A22,'NG Pivot'!$A$4:$N$29,MATCH(AA$2,'NG Pivot'!$B$3:$N$3,0)+1,FALSE),0)*10</f>
        <v>4148</v>
      </c>
      <c r="AB22" s="220">
        <f>IFERROR(VLOOKUP($A22,'NG Pivot'!$A$37:$N$45,MATCH(AB$2,'NG Pivot'!$B$36:$N$36,0)+1,FALSE),0)+IFERROR(VLOOKUP($A22,'NG Pivot'!$A$4:$N$29,MATCH(AB$2,'NG Pivot'!$B$3:$N$3,0)+1,FALSE),0)*10</f>
        <v>1380</v>
      </c>
      <c r="AC22" s="220">
        <f>IFERROR(VLOOKUP($A22,'NG Pivot'!$A$37:$N$45,MATCH(AC$2,'NG Pivot'!$B$36:$N$36,0)+1,FALSE),0)+IFERROR(VLOOKUP($A22,'NG Pivot'!$A$4:$N$29,MATCH(AC$2,'NG Pivot'!$B$3:$N$3,0)+1,FALSE),0)*10</f>
        <v>4239.6</v>
      </c>
      <c r="AD22" s="220">
        <f>IFERROR(VLOOKUP($A22,'NG Pivot'!$A$37:$N$45,MATCH(AD$2,'NG Pivot'!$B$36:$N$36,0)+1,FALSE),0)+IFERROR(VLOOKUP($A22,'NG Pivot'!$A$4:$N$29,MATCH(AD$2,'NG Pivot'!$B$3:$N$3,0)+1,FALSE),0)*10</f>
        <v>2449.8</v>
      </c>
    </row>
    <row r="23" spans="1:30">
      <c r="A23" s="223" t="s">
        <v>1288</v>
      </c>
      <c r="B23" s="220">
        <f>IFERROR(VLOOKUP($A23,'NG Pivot'!$A$37:$N$45,MATCH(B$2,'NG Pivot'!$B$36:$N$36,0)+1,FALSE),0)+IFERROR(VLOOKUP($A23,'NG Pivot'!$A$4:$N$29,MATCH(B$2,'NG Pivot'!$B$3:$N$3,0)+1,FALSE),0)*10</f>
        <v>0</v>
      </c>
      <c r="C23" s="220">
        <f>IFERROR(VLOOKUP($A23,'NG Pivot'!$A$37:$N$45,MATCH(C$2,'NG Pivot'!$B$36:$N$36,0)+1,FALSE),0)+IFERROR(VLOOKUP($A23,'NG Pivot'!$A$4:$N$29,MATCH(C$2,'NG Pivot'!$B$3:$N$3,0)+1,FALSE),0)*10</f>
        <v>0</v>
      </c>
      <c r="D23" s="220">
        <f>IFERROR(VLOOKUP($A23,'NG Pivot'!$A$37:$N$45,MATCH(D$2,'NG Pivot'!$B$36:$N$36,0)+1,FALSE),0)+IFERROR(VLOOKUP($A23,'NG Pivot'!$A$4:$N$29,MATCH(D$2,'NG Pivot'!$B$3:$N$3,0)+1,FALSE),0)*10</f>
        <v>0</v>
      </c>
      <c r="E23" s="220">
        <f>IFERROR(VLOOKUP($A23,'NG Pivot'!$A$37:$N$45,MATCH(E$2,'NG Pivot'!$B$36:$N$36,0)+1,FALSE),0)+IFERROR(VLOOKUP($A23,'NG Pivot'!$A$4:$N$29,MATCH(E$2,'NG Pivot'!$B$3:$N$3,0)+1,FALSE),0)*10</f>
        <v>0</v>
      </c>
      <c r="F23" s="220">
        <f>IFERROR(VLOOKUP($A23,'NG Pivot'!$A$37:$N$45,MATCH(F$2,'NG Pivot'!$B$36:$N$36,0)+1,FALSE),0)+IFERROR(VLOOKUP($A23,'NG Pivot'!$A$4:$N$29,MATCH(F$2,'NG Pivot'!$B$3:$N$3,0)+1,FALSE),0)*10</f>
        <v>0</v>
      </c>
      <c r="G23" s="220">
        <f>IFERROR(VLOOKUP($A23,'NG Pivot'!$A$37:$N$45,MATCH(G$2,'NG Pivot'!$B$36:$N$36,0)+1,FALSE),0)+IFERROR(VLOOKUP($A23,'NG Pivot'!$A$4:$N$29,MATCH(G$2,'NG Pivot'!$B$3:$N$3,0)+1,FALSE),0)*10</f>
        <v>0</v>
      </c>
      <c r="H23" s="220">
        <f>IFERROR(VLOOKUP($A23,'NG Pivot'!$A$37:$N$45,MATCH(H$2,'NG Pivot'!$B$36:$N$36,0)+1,FALSE),0)+IFERROR(VLOOKUP($A23,'NG Pivot'!$A$4:$N$29,MATCH(H$2,'NG Pivot'!$B$3:$N$3,0)+1,FALSE),0)*10</f>
        <v>0</v>
      </c>
      <c r="I23" s="220">
        <f>IFERROR(VLOOKUP($A23,'NG Pivot'!$A$37:$N$45,MATCH(I$2,'NG Pivot'!$B$36:$N$36,0)+1,FALSE),0)+IFERROR(VLOOKUP($A23,'NG Pivot'!$A$4:$N$29,MATCH(I$2,'NG Pivot'!$B$3:$N$3,0)+1,FALSE),0)*10</f>
        <v>0</v>
      </c>
      <c r="J23" s="220">
        <f>IFERROR(VLOOKUP($A23,'NG Pivot'!$A$37:$N$45,MATCH(J$2,'NG Pivot'!$B$36:$N$36,0)+1,FALSE),0)+IFERROR(VLOOKUP($A23,'NG Pivot'!$A$4:$N$29,MATCH(J$2,'NG Pivot'!$B$3:$N$3,0)+1,FALSE),0)*10</f>
        <v>0</v>
      </c>
      <c r="K23" s="220">
        <f>IFERROR(VLOOKUP($A23,'NG Pivot'!$A$37:$N$45,MATCH(K$2,'NG Pivot'!$B$36:$N$36,0)+1,FALSE),0)+IFERROR(VLOOKUP($A23,'NG Pivot'!$A$4:$N$29,MATCH(K$2,'NG Pivot'!$B$3:$N$3,0)+1,FALSE),0)*10</f>
        <v>0</v>
      </c>
      <c r="L23" s="220">
        <f>IFERROR(VLOOKUP($A23,'NG Pivot'!$A$37:$N$45,MATCH(L$2,'NG Pivot'!$B$36:$N$36,0)+1,FALSE),0)+IFERROR(VLOOKUP($A23,'NG Pivot'!$A$4:$N$29,MATCH(L$2,'NG Pivot'!$B$3:$N$3,0)+1,FALSE),0)*10</f>
        <v>0</v>
      </c>
      <c r="M23" s="220">
        <f>IFERROR(VLOOKUP($A23,'NG Pivot'!$A$37:$N$45,MATCH(M$2,'NG Pivot'!$B$36:$N$36,0)+1,FALSE),0)+IFERROR(VLOOKUP($A23,'NG Pivot'!$A$4:$N$29,MATCH(M$2,'NG Pivot'!$B$3:$N$3,0)+1,FALSE),0)*10</f>
        <v>0</v>
      </c>
      <c r="N23" s="220">
        <f>IFERROR(VLOOKUP($A23,'NG Pivot'!$A$37:$N$45,MATCH(N$2,'NG Pivot'!$B$36:$N$36,0)+1,FALSE),0)+IFERROR(VLOOKUP($A23,'NG Pivot'!$A$4:$N$29,MATCH(N$2,'NG Pivot'!$B$3:$N$3,0)+1,FALSE),0)*10</f>
        <v>0</v>
      </c>
      <c r="O23" s="220">
        <f>IFERROR(VLOOKUP($A23,'NG Pivot'!$A$37:$N$45,MATCH(O$2,'NG Pivot'!$B$36:$N$36,0)+1,FALSE),0)+IFERROR(VLOOKUP($A23,'NG Pivot'!$A$4:$N$29,MATCH(O$2,'NG Pivot'!$B$3:$N$3,0)+1,FALSE),0)*10</f>
        <v>0</v>
      </c>
      <c r="P23" s="220">
        <f>IFERROR(VLOOKUP($A23,'NG Pivot'!$A$37:$N$45,MATCH(P$2,'NG Pivot'!$B$36:$N$36,0)+1,FALSE),0)+IFERROR(VLOOKUP($A23,'NG Pivot'!$A$4:$N$29,MATCH(P$2,'NG Pivot'!$B$3:$N$3,0)+1,FALSE),0)*10</f>
        <v>0</v>
      </c>
      <c r="Q23" s="220">
        <f>IFERROR(VLOOKUP($A23,'NG Pivot'!$A$37:$N$45,MATCH(Q$2,'NG Pivot'!$B$36:$N$36,0)+1,FALSE),0)+IFERROR(VLOOKUP($A23,'NG Pivot'!$A$4:$N$29,MATCH(Q$2,'NG Pivot'!$B$3:$N$3,0)+1,FALSE),0)*10</f>
        <v>0</v>
      </c>
      <c r="R23" s="220">
        <f>IFERROR(VLOOKUP($A23,'NG Pivot'!$A$37:$N$45,MATCH(R$2,'NG Pivot'!$B$36:$N$36,0)+1,FALSE),0)+IFERROR(VLOOKUP($A23,'NG Pivot'!$A$4:$N$29,MATCH(R$2,'NG Pivot'!$B$3:$N$3,0)+1,FALSE),0)*10</f>
        <v>0</v>
      </c>
      <c r="S23" s="220">
        <f>IFERROR(VLOOKUP($A23,'NG Pivot'!$A$37:$N$45,MATCH(S$2,'NG Pivot'!$B$36:$N$36,0)+1,FALSE),0)+IFERROR(VLOOKUP($A23,'NG Pivot'!$A$4:$N$29,MATCH(S$2,'NG Pivot'!$B$3:$N$3,0)+1,FALSE),0)*10</f>
        <v>0</v>
      </c>
      <c r="T23" s="220">
        <f>IFERROR(VLOOKUP($A23,'NG Pivot'!$A$37:$N$45,MATCH(T$2,'NG Pivot'!$B$36:$N$36,0)+1,FALSE),0)+IFERROR(VLOOKUP($A23,'NG Pivot'!$A$4:$N$29,MATCH(T$2,'NG Pivot'!$B$3:$N$3,0)+1,FALSE),0)*10</f>
        <v>0</v>
      </c>
      <c r="U23" s="220">
        <f>IFERROR(VLOOKUP($A23,'NG Pivot'!$A$37:$N$45,MATCH(U$2,'NG Pivot'!$B$36:$N$36,0)+1,FALSE),0)+IFERROR(VLOOKUP($A23,'NG Pivot'!$A$4:$N$29,MATCH(U$2,'NG Pivot'!$B$3:$N$3,0)+1,FALSE),0)*10</f>
        <v>0</v>
      </c>
      <c r="V23" s="220">
        <f>IFERROR(VLOOKUP($A23,'NG Pivot'!$A$37:$N$45,MATCH(V$2,'NG Pivot'!$B$36:$N$36,0)+1,FALSE),0)+IFERROR(VLOOKUP($A23,'NG Pivot'!$A$4:$N$29,MATCH(V$2,'NG Pivot'!$B$3:$N$3,0)+1,FALSE),0)*10</f>
        <v>0</v>
      </c>
      <c r="W23" s="220">
        <f>IFERROR(VLOOKUP($A23,'NG Pivot'!$A$37:$N$45,MATCH(W$2,'NG Pivot'!$B$36:$N$36,0)+1,FALSE),0)+IFERROR(VLOOKUP($A23,'NG Pivot'!$A$4:$N$29,MATCH(W$2,'NG Pivot'!$B$3:$N$3,0)+1,FALSE),0)*10</f>
        <v>0</v>
      </c>
      <c r="X23" s="220">
        <f>IFERROR(VLOOKUP($A23,'NG Pivot'!$A$37:$N$45,MATCH(X$2,'NG Pivot'!$B$36:$N$36,0)+1,FALSE),0)+IFERROR(VLOOKUP($A23,'NG Pivot'!$A$4:$N$29,MATCH(X$2,'NG Pivot'!$B$3:$N$3,0)+1,FALSE),0)*10</f>
        <v>0</v>
      </c>
      <c r="Y23" s="220">
        <f>IFERROR(VLOOKUP($A23,'NG Pivot'!$A$37:$N$45,MATCH(Y$2,'NG Pivot'!$B$36:$N$36,0)+1,FALSE),0)+IFERROR(VLOOKUP($A23,'NG Pivot'!$A$4:$N$29,MATCH(Y$2,'NG Pivot'!$B$3:$N$3,0)+1,FALSE),0)*10</f>
        <v>0</v>
      </c>
      <c r="Z23" s="220">
        <f>IFERROR(VLOOKUP($A23,'NG Pivot'!$A$37:$N$45,MATCH(Z$2,'NG Pivot'!$B$36:$N$36,0)+1,FALSE),0)+IFERROR(VLOOKUP($A23,'NG Pivot'!$A$4:$N$29,MATCH(Z$2,'NG Pivot'!$B$3:$N$3,0)+1,FALSE),0)*10</f>
        <v>0</v>
      </c>
      <c r="AA23" s="220">
        <f>IFERROR(VLOOKUP($A23,'NG Pivot'!$A$37:$N$45,MATCH(AA$2,'NG Pivot'!$B$36:$N$36,0)+1,FALSE),0)+IFERROR(VLOOKUP($A23,'NG Pivot'!$A$4:$N$29,MATCH(AA$2,'NG Pivot'!$B$3:$N$3,0)+1,FALSE),0)*10</f>
        <v>0</v>
      </c>
      <c r="AB23" s="220">
        <f>IFERROR(VLOOKUP($A23,'NG Pivot'!$A$37:$N$45,MATCH(AB$2,'NG Pivot'!$B$36:$N$36,0)+1,FALSE),0)+IFERROR(VLOOKUP($A23,'NG Pivot'!$A$4:$N$29,MATCH(AB$2,'NG Pivot'!$B$3:$N$3,0)+1,FALSE),0)*10</f>
        <v>0</v>
      </c>
      <c r="AC23" s="220">
        <f>IFERROR(VLOOKUP($A23,'NG Pivot'!$A$37:$N$45,MATCH(AC$2,'NG Pivot'!$B$36:$N$36,0)+1,FALSE),0)+IFERROR(VLOOKUP($A23,'NG Pivot'!$A$4:$N$29,MATCH(AC$2,'NG Pivot'!$B$3:$N$3,0)+1,FALSE),0)*10</f>
        <v>0</v>
      </c>
      <c r="AD23" s="220">
        <f>IFERROR(VLOOKUP($A23,'NG Pivot'!$A$37:$N$45,MATCH(AD$2,'NG Pivot'!$B$36:$N$36,0)+1,FALSE),0)+IFERROR(VLOOKUP($A23,'NG Pivot'!$A$4:$N$29,MATCH(AD$2,'NG Pivot'!$B$3:$N$3,0)+1,FALSE),0)*10</f>
        <v>0</v>
      </c>
    </row>
    <row r="24" spans="1:30">
      <c r="A24" s="223" t="s">
        <v>1289</v>
      </c>
      <c r="B24" s="220">
        <f>IFERROR(VLOOKUP($A24,'NG Pivot'!$A$37:$N$45,MATCH(B$2,'NG Pivot'!$B$36:$N$36,0)+1,FALSE),0)+IFERROR(VLOOKUP($A24,'NG Pivot'!$A$4:$N$29,MATCH(B$2,'NG Pivot'!$B$3:$N$3,0)+1,FALSE),0)*10</f>
        <v>440</v>
      </c>
      <c r="C24" s="220">
        <f>IFERROR(VLOOKUP($A24,'NG Pivot'!$A$37:$N$45,MATCH(C$2,'NG Pivot'!$B$36:$N$36,0)+1,FALSE),0)+IFERROR(VLOOKUP($A24,'NG Pivot'!$A$4:$N$29,MATCH(C$2,'NG Pivot'!$B$3:$N$3,0)+1,FALSE),0)*10</f>
        <v>66</v>
      </c>
      <c r="D24" s="220">
        <f>IFERROR(VLOOKUP($A24,'NG Pivot'!$A$37:$N$45,MATCH(D$2,'NG Pivot'!$B$36:$N$36,0)+1,FALSE),0)+IFERROR(VLOOKUP($A24,'NG Pivot'!$A$4:$N$29,MATCH(D$2,'NG Pivot'!$B$3:$N$3,0)+1,FALSE),0)*10</f>
        <v>66</v>
      </c>
      <c r="E24" s="220">
        <f>IFERROR(VLOOKUP($A24,'NG Pivot'!$A$37:$N$45,MATCH(E$2,'NG Pivot'!$B$36:$N$36,0)+1,FALSE),0)+IFERROR(VLOOKUP($A24,'NG Pivot'!$A$4:$N$29,MATCH(E$2,'NG Pivot'!$B$3:$N$3,0)+1,FALSE),0)*10</f>
        <v>0</v>
      </c>
      <c r="F24" s="220">
        <f>IFERROR(VLOOKUP($A24,'NG Pivot'!$A$37:$N$45,MATCH(F$2,'NG Pivot'!$B$36:$N$36,0)+1,FALSE),0)+IFERROR(VLOOKUP($A24,'NG Pivot'!$A$4:$N$29,MATCH(F$2,'NG Pivot'!$B$3:$N$3,0)+1,FALSE),0)*10</f>
        <v>0</v>
      </c>
      <c r="G24" s="220">
        <f>IFERROR(VLOOKUP($A24,'NG Pivot'!$A$37:$N$45,MATCH(G$2,'NG Pivot'!$B$36:$N$36,0)+1,FALSE),0)+IFERROR(VLOOKUP($A24,'NG Pivot'!$A$4:$N$29,MATCH(G$2,'NG Pivot'!$B$3:$N$3,0)+1,FALSE),0)*10</f>
        <v>0</v>
      </c>
      <c r="H24" s="220">
        <f>IFERROR(VLOOKUP($A24,'NG Pivot'!$A$37:$N$45,MATCH(H$2,'NG Pivot'!$B$36:$N$36,0)+1,FALSE),0)+IFERROR(VLOOKUP($A24,'NG Pivot'!$A$4:$N$29,MATCH(H$2,'NG Pivot'!$B$3:$N$3,0)+1,FALSE),0)*10</f>
        <v>0</v>
      </c>
      <c r="I24" s="220">
        <f>IFERROR(VLOOKUP($A24,'NG Pivot'!$A$37:$N$45,MATCH(I$2,'NG Pivot'!$B$36:$N$36,0)+1,FALSE),0)+IFERROR(VLOOKUP($A24,'NG Pivot'!$A$4:$N$29,MATCH(I$2,'NG Pivot'!$B$3:$N$3,0)+1,FALSE),0)*10</f>
        <v>0</v>
      </c>
      <c r="J24" s="220">
        <f>IFERROR(VLOOKUP($A24,'NG Pivot'!$A$37:$N$45,MATCH(J$2,'NG Pivot'!$B$36:$N$36,0)+1,FALSE),0)+IFERROR(VLOOKUP($A24,'NG Pivot'!$A$4:$N$29,MATCH(J$2,'NG Pivot'!$B$3:$N$3,0)+1,FALSE),0)*10</f>
        <v>0</v>
      </c>
      <c r="K24" s="220">
        <f>IFERROR(VLOOKUP($A24,'NG Pivot'!$A$37:$N$45,MATCH(K$2,'NG Pivot'!$B$36:$N$36,0)+1,FALSE),0)+IFERROR(VLOOKUP($A24,'NG Pivot'!$A$4:$N$29,MATCH(K$2,'NG Pivot'!$B$3:$N$3,0)+1,FALSE),0)*10</f>
        <v>0</v>
      </c>
      <c r="L24" s="220">
        <f>IFERROR(VLOOKUP($A24,'NG Pivot'!$A$37:$N$45,MATCH(L$2,'NG Pivot'!$B$36:$N$36,0)+1,FALSE),0)+IFERROR(VLOOKUP($A24,'NG Pivot'!$A$4:$N$29,MATCH(L$2,'NG Pivot'!$B$3:$N$3,0)+1,FALSE),0)*10</f>
        <v>0</v>
      </c>
      <c r="M24" s="220">
        <f>IFERROR(VLOOKUP($A24,'NG Pivot'!$A$37:$N$45,MATCH(M$2,'NG Pivot'!$B$36:$N$36,0)+1,FALSE),0)+IFERROR(VLOOKUP($A24,'NG Pivot'!$A$4:$N$29,MATCH(M$2,'NG Pivot'!$B$3:$N$3,0)+1,FALSE),0)*10</f>
        <v>0</v>
      </c>
      <c r="N24" s="220">
        <f>IFERROR(VLOOKUP($A24,'NG Pivot'!$A$37:$N$45,MATCH(N$2,'NG Pivot'!$B$36:$N$36,0)+1,FALSE),0)+IFERROR(VLOOKUP($A24,'NG Pivot'!$A$4:$N$29,MATCH(N$2,'NG Pivot'!$B$3:$N$3,0)+1,FALSE),0)*10</f>
        <v>150</v>
      </c>
      <c r="O24" s="220">
        <f>IFERROR(VLOOKUP($A24,'NG Pivot'!$A$37:$N$45,MATCH(O$2,'NG Pivot'!$B$36:$N$36,0)+1,FALSE),0)+IFERROR(VLOOKUP($A24,'NG Pivot'!$A$4:$N$29,MATCH(O$2,'NG Pivot'!$B$3:$N$3,0)+1,FALSE),0)*10</f>
        <v>0</v>
      </c>
      <c r="P24" s="220">
        <f>IFERROR(VLOOKUP($A24,'NG Pivot'!$A$37:$N$45,MATCH(P$2,'NG Pivot'!$B$36:$N$36,0)+1,FALSE),0)+IFERROR(VLOOKUP($A24,'NG Pivot'!$A$4:$N$29,MATCH(P$2,'NG Pivot'!$B$3:$N$3,0)+1,FALSE),0)*10</f>
        <v>0</v>
      </c>
      <c r="Q24" s="220">
        <f>IFERROR(VLOOKUP($A24,'NG Pivot'!$A$37:$N$45,MATCH(Q$2,'NG Pivot'!$B$36:$N$36,0)+1,FALSE),0)+IFERROR(VLOOKUP($A24,'NG Pivot'!$A$4:$N$29,MATCH(Q$2,'NG Pivot'!$B$3:$N$3,0)+1,FALSE),0)*10</f>
        <v>0</v>
      </c>
      <c r="R24" s="220">
        <f>IFERROR(VLOOKUP($A24,'NG Pivot'!$A$37:$N$45,MATCH(R$2,'NG Pivot'!$B$36:$N$36,0)+1,FALSE),0)+IFERROR(VLOOKUP($A24,'NG Pivot'!$A$4:$N$29,MATCH(R$2,'NG Pivot'!$B$3:$N$3,0)+1,FALSE),0)*10</f>
        <v>0</v>
      </c>
      <c r="S24" s="220">
        <f>IFERROR(VLOOKUP($A24,'NG Pivot'!$A$37:$N$45,MATCH(S$2,'NG Pivot'!$B$36:$N$36,0)+1,FALSE),0)+IFERROR(VLOOKUP($A24,'NG Pivot'!$A$4:$N$29,MATCH(S$2,'NG Pivot'!$B$3:$N$3,0)+1,FALSE),0)*10</f>
        <v>0</v>
      </c>
      <c r="T24" s="220">
        <f>IFERROR(VLOOKUP($A24,'NG Pivot'!$A$37:$N$45,MATCH(T$2,'NG Pivot'!$B$36:$N$36,0)+1,FALSE),0)+IFERROR(VLOOKUP($A24,'NG Pivot'!$A$4:$N$29,MATCH(T$2,'NG Pivot'!$B$3:$N$3,0)+1,FALSE),0)*10</f>
        <v>0</v>
      </c>
      <c r="U24" s="220">
        <f>IFERROR(VLOOKUP($A24,'NG Pivot'!$A$37:$N$45,MATCH(U$2,'NG Pivot'!$B$36:$N$36,0)+1,FALSE),0)+IFERROR(VLOOKUP($A24,'NG Pivot'!$A$4:$N$29,MATCH(U$2,'NG Pivot'!$B$3:$N$3,0)+1,FALSE),0)*10</f>
        <v>0</v>
      </c>
      <c r="V24" s="220">
        <f>IFERROR(VLOOKUP($A24,'NG Pivot'!$A$37:$N$45,MATCH(V$2,'NG Pivot'!$B$36:$N$36,0)+1,FALSE),0)+IFERROR(VLOOKUP($A24,'NG Pivot'!$A$4:$N$29,MATCH(V$2,'NG Pivot'!$B$3:$N$3,0)+1,FALSE),0)*10</f>
        <v>0</v>
      </c>
      <c r="W24" s="220">
        <f>IFERROR(VLOOKUP($A24,'NG Pivot'!$A$37:$N$45,MATCH(W$2,'NG Pivot'!$B$36:$N$36,0)+1,FALSE),0)+IFERROR(VLOOKUP($A24,'NG Pivot'!$A$4:$N$29,MATCH(W$2,'NG Pivot'!$B$3:$N$3,0)+1,FALSE),0)*10</f>
        <v>0</v>
      </c>
      <c r="X24" s="220">
        <f>IFERROR(VLOOKUP($A24,'NG Pivot'!$A$37:$N$45,MATCH(X$2,'NG Pivot'!$B$36:$N$36,0)+1,FALSE),0)+IFERROR(VLOOKUP($A24,'NG Pivot'!$A$4:$N$29,MATCH(X$2,'NG Pivot'!$B$3:$N$3,0)+1,FALSE),0)*10</f>
        <v>0</v>
      </c>
      <c r="Y24" s="220">
        <f>IFERROR(VLOOKUP($A24,'NG Pivot'!$A$37:$N$45,MATCH(Y$2,'NG Pivot'!$B$36:$N$36,0)+1,FALSE),0)+IFERROR(VLOOKUP($A24,'NG Pivot'!$A$4:$N$29,MATCH(Y$2,'NG Pivot'!$B$3:$N$3,0)+1,FALSE),0)*10</f>
        <v>0</v>
      </c>
      <c r="Z24" s="220">
        <f>IFERROR(VLOOKUP($A24,'NG Pivot'!$A$37:$N$45,MATCH(Z$2,'NG Pivot'!$B$36:$N$36,0)+1,FALSE),0)+IFERROR(VLOOKUP($A24,'NG Pivot'!$A$4:$N$29,MATCH(Z$2,'NG Pivot'!$B$3:$N$3,0)+1,FALSE),0)*10</f>
        <v>0</v>
      </c>
      <c r="AA24" s="220">
        <f>IFERROR(VLOOKUP($A24,'NG Pivot'!$A$37:$N$45,MATCH(AA$2,'NG Pivot'!$B$36:$N$36,0)+1,FALSE),0)+IFERROR(VLOOKUP($A24,'NG Pivot'!$A$4:$N$29,MATCH(AA$2,'NG Pivot'!$B$3:$N$3,0)+1,FALSE),0)*10</f>
        <v>0</v>
      </c>
      <c r="AB24" s="220">
        <f>IFERROR(VLOOKUP($A24,'NG Pivot'!$A$37:$N$45,MATCH(AB$2,'NG Pivot'!$B$36:$N$36,0)+1,FALSE),0)+IFERROR(VLOOKUP($A24,'NG Pivot'!$A$4:$N$29,MATCH(AB$2,'NG Pivot'!$B$3:$N$3,0)+1,FALSE),0)*10</f>
        <v>460</v>
      </c>
      <c r="AC24" s="220">
        <f>IFERROR(VLOOKUP($A24,'NG Pivot'!$A$37:$N$45,MATCH(AC$2,'NG Pivot'!$B$36:$N$36,0)+1,FALSE),0)+IFERROR(VLOOKUP($A24,'NG Pivot'!$A$4:$N$29,MATCH(AC$2,'NG Pivot'!$B$3:$N$3,0)+1,FALSE),0)*10</f>
        <v>960</v>
      </c>
      <c r="AD24" s="220">
        <f>IFERROR(VLOOKUP($A24,'NG Pivot'!$A$37:$N$45,MATCH(AD$2,'NG Pivot'!$B$36:$N$36,0)+1,FALSE),0)+IFERROR(VLOOKUP($A24,'NG Pivot'!$A$4:$N$29,MATCH(AD$2,'NG Pivot'!$B$3:$N$3,0)+1,FALSE),0)*10</f>
        <v>487.1</v>
      </c>
    </row>
    <row r="25" spans="1:30">
      <c r="A25" s="223" t="s">
        <v>1290</v>
      </c>
      <c r="B25" s="220">
        <f>IFERROR(VLOOKUP($A25,'NG Pivot'!$A$37:$N$45,MATCH(B$2,'NG Pivot'!$B$36:$N$36,0)+1,FALSE),0)+IFERROR(VLOOKUP($A25,'NG Pivot'!$A$4:$N$29,MATCH(B$2,'NG Pivot'!$B$3:$N$3,0)+1,FALSE),0)*10</f>
        <v>0</v>
      </c>
      <c r="C25" s="220">
        <f>IFERROR(VLOOKUP($A25,'NG Pivot'!$A$37:$N$45,MATCH(C$2,'NG Pivot'!$B$36:$N$36,0)+1,FALSE),0)+IFERROR(VLOOKUP($A25,'NG Pivot'!$A$4:$N$29,MATCH(C$2,'NG Pivot'!$B$3:$N$3,0)+1,FALSE),0)*10</f>
        <v>0</v>
      </c>
      <c r="D25" s="220">
        <f>IFERROR(VLOOKUP($A25,'NG Pivot'!$A$37:$N$45,MATCH(D$2,'NG Pivot'!$B$36:$N$36,0)+1,FALSE),0)+IFERROR(VLOOKUP($A25,'NG Pivot'!$A$4:$N$29,MATCH(D$2,'NG Pivot'!$B$3:$N$3,0)+1,FALSE),0)*10</f>
        <v>0</v>
      </c>
      <c r="E25" s="220">
        <f>IFERROR(VLOOKUP($A25,'NG Pivot'!$A$37:$N$45,MATCH(E$2,'NG Pivot'!$B$36:$N$36,0)+1,FALSE),0)+IFERROR(VLOOKUP($A25,'NG Pivot'!$A$4:$N$29,MATCH(E$2,'NG Pivot'!$B$3:$N$3,0)+1,FALSE),0)*10</f>
        <v>0</v>
      </c>
      <c r="F25" s="220">
        <f>IFERROR(VLOOKUP($A25,'NG Pivot'!$A$37:$N$45,MATCH(F$2,'NG Pivot'!$B$36:$N$36,0)+1,FALSE),0)+IFERROR(VLOOKUP($A25,'NG Pivot'!$A$4:$N$29,MATCH(F$2,'NG Pivot'!$B$3:$N$3,0)+1,FALSE),0)*10</f>
        <v>0</v>
      </c>
      <c r="G25" s="220">
        <f>IFERROR(VLOOKUP($A25,'NG Pivot'!$A$37:$N$45,MATCH(G$2,'NG Pivot'!$B$36:$N$36,0)+1,FALSE),0)+IFERROR(VLOOKUP($A25,'NG Pivot'!$A$4:$N$29,MATCH(G$2,'NG Pivot'!$B$3:$N$3,0)+1,FALSE),0)*10</f>
        <v>0</v>
      </c>
      <c r="H25" s="220">
        <f>IFERROR(VLOOKUP($A25,'NG Pivot'!$A$37:$N$45,MATCH(H$2,'NG Pivot'!$B$36:$N$36,0)+1,FALSE),0)+IFERROR(VLOOKUP($A25,'NG Pivot'!$A$4:$N$29,MATCH(H$2,'NG Pivot'!$B$3:$N$3,0)+1,FALSE),0)*10</f>
        <v>0</v>
      </c>
      <c r="I25" s="220">
        <f>IFERROR(VLOOKUP($A25,'NG Pivot'!$A$37:$N$45,MATCH(I$2,'NG Pivot'!$B$36:$N$36,0)+1,FALSE),0)+IFERROR(VLOOKUP($A25,'NG Pivot'!$A$4:$N$29,MATCH(I$2,'NG Pivot'!$B$3:$N$3,0)+1,FALSE),0)*10</f>
        <v>0</v>
      </c>
      <c r="J25" s="220">
        <f>IFERROR(VLOOKUP($A25,'NG Pivot'!$A$37:$N$45,MATCH(J$2,'NG Pivot'!$B$36:$N$36,0)+1,FALSE),0)+IFERROR(VLOOKUP($A25,'NG Pivot'!$A$4:$N$29,MATCH(J$2,'NG Pivot'!$B$3:$N$3,0)+1,FALSE),0)*10</f>
        <v>0</v>
      </c>
      <c r="K25" s="220">
        <f>IFERROR(VLOOKUP($A25,'NG Pivot'!$A$37:$N$45,MATCH(K$2,'NG Pivot'!$B$36:$N$36,0)+1,FALSE),0)+IFERROR(VLOOKUP($A25,'NG Pivot'!$A$4:$N$29,MATCH(K$2,'NG Pivot'!$B$3:$N$3,0)+1,FALSE),0)*10</f>
        <v>0</v>
      </c>
      <c r="L25" s="220">
        <f>IFERROR(VLOOKUP($A25,'NG Pivot'!$A$37:$N$45,MATCH(L$2,'NG Pivot'!$B$36:$N$36,0)+1,FALSE),0)+IFERROR(VLOOKUP($A25,'NG Pivot'!$A$4:$N$29,MATCH(L$2,'NG Pivot'!$B$3:$N$3,0)+1,FALSE),0)*10</f>
        <v>0</v>
      </c>
      <c r="M25" s="220">
        <f>IFERROR(VLOOKUP($A25,'NG Pivot'!$A$37:$N$45,MATCH(M$2,'NG Pivot'!$B$36:$N$36,0)+1,FALSE),0)+IFERROR(VLOOKUP($A25,'NG Pivot'!$A$4:$N$29,MATCH(M$2,'NG Pivot'!$B$3:$N$3,0)+1,FALSE),0)*10</f>
        <v>0</v>
      </c>
      <c r="N25" s="220">
        <f>IFERROR(VLOOKUP($A25,'NG Pivot'!$A$37:$N$45,MATCH(N$2,'NG Pivot'!$B$36:$N$36,0)+1,FALSE),0)+IFERROR(VLOOKUP($A25,'NG Pivot'!$A$4:$N$29,MATCH(N$2,'NG Pivot'!$B$3:$N$3,0)+1,FALSE),0)*10</f>
        <v>0</v>
      </c>
      <c r="O25" s="220">
        <f>IFERROR(VLOOKUP($A25,'NG Pivot'!$A$37:$N$45,MATCH(O$2,'NG Pivot'!$B$36:$N$36,0)+1,FALSE),0)+IFERROR(VLOOKUP($A25,'NG Pivot'!$A$4:$N$29,MATCH(O$2,'NG Pivot'!$B$3:$N$3,0)+1,FALSE),0)*10</f>
        <v>0</v>
      </c>
      <c r="P25" s="220">
        <f>IFERROR(VLOOKUP($A25,'NG Pivot'!$A$37:$N$45,MATCH(P$2,'NG Pivot'!$B$36:$N$36,0)+1,FALSE),0)+IFERROR(VLOOKUP($A25,'NG Pivot'!$A$4:$N$29,MATCH(P$2,'NG Pivot'!$B$3:$N$3,0)+1,FALSE),0)*10</f>
        <v>0</v>
      </c>
      <c r="Q25" s="220">
        <f>IFERROR(VLOOKUP($A25,'NG Pivot'!$A$37:$N$45,MATCH(Q$2,'NG Pivot'!$B$36:$N$36,0)+1,FALSE),0)+IFERROR(VLOOKUP($A25,'NG Pivot'!$A$4:$N$29,MATCH(Q$2,'NG Pivot'!$B$3:$N$3,0)+1,FALSE),0)*10</f>
        <v>0</v>
      </c>
      <c r="R25" s="220">
        <f>IFERROR(VLOOKUP($A25,'NG Pivot'!$A$37:$N$45,MATCH(R$2,'NG Pivot'!$B$36:$N$36,0)+1,FALSE),0)+IFERROR(VLOOKUP($A25,'NG Pivot'!$A$4:$N$29,MATCH(R$2,'NG Pivot'!$B$3:$N$3,0)+1,FALSE),0)*10</f>
        <v>0</v>
      </c>
      <c r="S25" s="220">
        <f>IFERROR(VLOOKUP($A25,'NG Pivot'!$A$37:$N$45,MATCH(S$2,'NG Pivot'!$B$36:$N$36,0)+1,FALSE),0)+IFERROR(VLOOKUP($A25,'NG Pivot'!$A$4:$N$29,MATCH(S$2,'NG Pivot'!$B$3:$N$3,0)+1,FALSE),0)*10</f>
        <v>0</v>
      </c>
      <c r="T25" s="220">
        <f>IFERROR(VLOOKUP($A25,'NG Pivot'!$A$37:$N$45,MATCH(T$2,'NG Pivot'!$B$36:$N$36,0)+1,FALSE),0)+IFERROR(VLOOKUP($A25,'NG Pivot'!$A$4:$N$29,MATCH(T$2,'NG Pivot'!$B$3:$N$3,0)+1,FALSE),0)*10</f>
        <v>0</v>
      </c>
      <c r="U25" s="220">
        <f>IFERROR(VLOOKUP($A25,'NG Pivot'!$A$37:$N$45,MATCH(U$2,'NG Pivot'!$B$36:$N$36,0)+1,FALSE),0)+IFERROR(VLOOKUP($A25,'NG Pivot'!$A$4:$N$29,MATCH(U$2,'NG Pivot'!$B$3:$N$3,0)+1,FALSE),0)*10</f>
        <v>0</v>
      </c>
      <c r="V25" s="220">
        <f>IFERROR(VLOOKUP($A25,'NG Pivot'!$A$37:$N$45,MATCH(V$2,'NG Pivot'!$B$36:$N$36,0)+1,FALSE),0)+IFERROR(VLOOKUP($A25,'NG Pivot'!$A$4:$N$29,MATCH(V$2,'NG Pivot'!$B$3:$N$3,0)+1,FALSE),0)*10</f>
        <v>0</v>
      </c>
      <c r="W25" s="220">
        <f>IFERROR(VLOOKUP($A25,'NG Pivot'!$A$37:$N$45,MATCH(W$2,'NG Pivot'!$B$36:$N$36,0)+1,FALSE),0)+IFERROR(VLOOKUP($A25,'NG Pivot'!$A$4:$N$29,MATCH(W$2,'NG Pivot'!$B$3:$N$3,0)+1,FALSE),0)*10</f>
        <v>0</v>
      </c>
      <c r="X25" s="220">
        <f>IFERROR(VLOOKUP($A25,'NG Pivot'!$A$37:$N$45,MATCH(X$2,'NG Pivot'!$B$36:$N$36,0)+1,FALSE),0)+IFERROR(VLOOKUP($A25,'NG Pivot'!$A$4:$N$29,MATCH(X$2,'NG Pivot'!$B$3:$N$3,0)+1,FALSE),0)*10</f>
        <v>0</v>
      </c>
      <c r="Y25" s="220">
        <f>IFERROR(VLOOKUP($A25,'NG Pivot'!$A$37:$N$45,MATCH(Y$2,'NG Pivot'!$B$36:$N$36,0)+1,FALSE),0)+IFERROR(VLOOKUP($A25,'NG Pivot'!$A$4:$N$29,MATCH(Y$2,'NG Pivot'!$B$3:$N$3,0)+1,FALSE),0)*10</f>
        <v>0</v>
      </c>
      <c r="Z25" s="220">
        <f>IFERROR(VLOOKUP($A25,'NG Pivot'!$A$37:$N$45,MATCH(Z$2,'NG Pivot'!$B$36:$N$36,0)+1,FALSE),0)+IFERROR(VLOOKUP($A25,'NG Pivot'!$A$4:$N$29,MATCH(Z$2,'NG Pivot'!$B$3:$N$3,0)+1,FALSE),0)*10</f>
        <v>0</v>
      </c>
      <c r="AA25" s="220">
        <f>IFERROR(VLOOKUP($A25,'NG Pivot'!$A$37:$N$45,MATCH(AA$2,'NG Pivot'!$B$36:$N$36,0)+1,FALSE),0)+IFERROR(VLOOKUP($A25,'NG Pivot'!$A$4:$N$29,MATCH(AA$2,'NG Pivot'!$B$3:$N$3,0)+1,FALSE),0)*10</f>
        <v>8.5</v>
      </c>
      <c r="AB25" s="220">
        <f>IFERROR(VLOOKUP($A25,'NG Pivot'!$A$37:$N$45,MATCH(AB$2,'NG Pivot'!$B$36:$N$36,0)+1,FALSE),0)+IFERROR(VLOOKUP($A25,'NG Pivot'!$A$4:$N$29,MATCH(AB$2,'NG Pivot'!$B$3:$N$3,0)+1,FALSE),0)*10</f>
        <v>0</v>
      </c>
      <c r="AC25" s="220">
        <f>IFERROR(VLOOKUP($A25,'NG Pivot'!$A$37:$N$45,MATCH(AC$2,'NG Pivot'!$B$36:$N$36,0)+1,FALSE),0)+IFERROR(VLOOKUP($A25,'NG Pivot'!$A$4:$N$29,MATCH(AC$2,'NG Pivot'!$B$3:$N$3,0)+1,FALSE),0)*10</f>
        <v>0</v>
      </c>
      <c r="AD25" s="220">
        <f>IFERROR(VLOOKUP($A25,'NG Pivot'!$A$37:$N$45,MATCH(AD$2,'NG Pivot'!$B$36:$N$36,0)+1,FALSE),0)+IFERROR(VLOOKUP($A25,'NG Pivot'!$A$4:$N$29,MATCH(AD$2,'NG Pivot'!$B$3:$N$3,0)+1,FALSE),0)*10</f>
        <v>0</v>
      </c>
    </row>
    <row r="26" spans="1:30">
      <c r="A26" s="223" t="s">
        <v>1291</v>
      </c>
      <c r="B26" s="220">
        <f>IFERROR(VLOOKUP($A26,'NG Pivot'!$A$37:$N$45,MATCH(B$2,'NG Pivot'!$B$36:$N$36,0)+1,FALSE),0)+IFERROR(VLOOKUP($A26,'NG Pivot'!$A$4:$N$29,MATCH(B$2,'NG Pivot'!$B$3:$N$3,0)+1,FALSE),0)*10</f>
        <v>0</v>
      </c>
      <c r="C26" s="220">
        <f>IFERROR(VLOOKUP($A26,'NG Pivot'!$A$37:$N$45,MATCH(C$2,'NG Pivot'!$B$36:$N$36,0)+1,FALSE),0)+IFERROR(VLOOKUP($A26,'NG Pivot'!$A$4:$N$29,MATCH(C$2,'NG Pivot'!$B$3:$N$3,0)+1,FALSE),0)*10</f>
        <v>0</v>
      </c>
      <c r="D26" s="220">
        <f>IFERROR(VLOOKUP($A26,'NG Pivot'!$A$37:$N$45,MATCH(D$2,'NG Pivot'!$B$36:$N$36,0)+1,FALSE),0)+IFERROR(VLOOKUP($A26,'NG Pivot'!$A$4:$N$29,MATCH(D$2,'NG Pivot'!$B$3:$N$3,0)+1,FALSE),0)*10</f>
        <v>0</v>
      </c>
      <c r="E26" s="220">
        <f>IFERROR(VLOOKUP($A26,'NG Pivot'!$A$37:$N$45,MATCH(E$2,'NG Pivot'!$B$36:$N$36,0)+1,FALSE),0)+IFERROR(VLOOKUP($A26,'NG Pivot'!$A$4:$N$29,MATCH(E$2,'NG Pivot'!$B$3:$N$3,0)+1,FALSE),0)*10</f>
        <v>0</v>
      </c>
      <c r="F26" s="220">
        <f>IFERROR(VLOOKUP($A26,'NG Pivot'!$A$37:$N$45,MATCH(F$2,'NG Pivot'!$B$36:$N$36,0)+1,FALSE),0)+IFERROR(VLOOKUP($A26,'NG Pivot'!$A$4:$N$29,MATCH(F$2,'NG Pivot'!$B$3:$N$3,0)+1,FALSE),0)*10</f>
        <v>0</v>
      </c>
      <c r="G26" s="220">
        <f>IFERROR(VLOOKUP($A26,'NG Pivot'!$A$37:$N$45,MATCH(G$2,'NG Pivot'!$B$36:$N$36,0)+1,FALSE),0)+IFERROR(VLOOKUP($A26,'NG Pivot'!$A$4:$N$29,MATCH(G$2,'NG Pivot'!$B$3:$N$3,0)+1,FALSE),0)*10</f>
        <v>0</v>
      </c>
      <c r="H26" s="220">
        <f>IFERROR(VLOOKUP($A26,'NG Pivot'!$A$37:$N$45,MATCH(H$2,'NG Pivot'!$B$36:$N$36,0)+1,FALSE),0)+IFERROR(VLOOKUP($A26,'NG Pivot'!$A$4:$N$29,MATCH(H$2,'NG Pivot'!$B$3:$N$3,0)+1,FALSE),0)*10</f>
        <v>0</v>
      </c>
      <c r="I26" s="220">
        <f>IFERROR(VLOOKUP($A26,'NG Pivot'!$A$37:$N$45,MATCH(I$2,'NG Pivot'!$B$36:$N$36,0)+1,FALSE),0)+IFERROR(VLOOKUP($A26,'NG Pivot'!$A$4:$N$29,MATCH(I$2,'NG Pivot'!$B$3:$N$3,0)+1,FALSE),0)*10</f>
        <v>0</v>
      </c>
      <c r="J26" s="220">
        <f>IFERROR(VLOOKUP($A26,'NG Pivot'!$A$37:$N$45,MATCH(J$2,'NG Pivot'!$B$36:$N$36,0)+1,FALSE),0)+IFERROR(VLOOKUP($A26,'NG Pivot'!$A$4:$N$29,MATCH(J$2,'NG Pivot'!$B$3:$N$3,0)+1,FALSE),0)*10</f>
        <v>0</v>
      </c>
      <c r="K26" s="220">
        <f>IFERROR(VLOOKUP($A26,'NG Pivot'!$A$37:$N$45,MATCH(K$2,'NG Pivot'!$B$36:$N$36,0)+1,FALSE),0)+IFERROR(VLOOKUP($A26,'NG Pivot'!$A$4:$N$29,MATCH(K$2,'NG Pivot'!$B$3:$N$3,0)+1,FALSE),0)*10</f>
        <v>0</v>
      </c>
      <c r="L26" s="220">
        <f>IFERROR(VLOOKUP($A26,'NG Pivot'!$A$37:$N$45,MATCH(L$2,'NG Pivot'!$B$36:$N$36,0)+1,FALSE),0)+IFERROR(VLOOKUP($A26,'NG Pivot'!$A$4:$N$29,MATCH(L$2,'NG Pivot'!$B$3:$N$3,0)+1,FALSE),0)*10</f>
        <v>0</v>
      </c>
      <c r="M26" s="220">
        <f>IFERROR(VLOOKUP($A26,'NG Pivot'!$A$37:$N$45,MATCH(M$2,'NG Pivot'!$B$36:$N$36,0)+1,FALSE),0)+IFERROR(VLOOKUP($A26,'NG Pivot'!$A$4:$N$29,MATCH(M$2,'NG Pivot'!$B$3:$N$3,0)+1,FALSE),0)*10</f>
        <v>0</v>
      </c>
      <c r="N26" s="220">
        <f>IFERROR(VLOOKUP($A26,'NG Pivot'!$A$37:$N$45,MATCH(N$2,'NG Pivot'!$B$36:$N$36,0)+1,FALSE),0)+IFERROR(VLOOKUP($A26,'NG Pivot'!$A$4:$N$29,MATCH(N$2,'NG Pivot'!$B$3:$N$3,0)+1,FALSE),0)*10</f>
        <v>0</v>
      </c>
      <c r="O26" s="220">
        <f>IFERROR(VLOOKUP($A26,'NG Pivot'!$A$37:$N$45,MATCH(O$2,'NG Pivot'!$B$36:$N$36,0)+1,FALSE),0)+IFERROR(VLOOKUP($A26,'NG Pivot'!$A$4:$N$29,MATCH(O$2,'NG Pivot'!$B$3:$N$3,0)+1,FALSE),0)*10</f>
        <v>0</v>
      </c>
      <c r="P26" s="220">
        <f>IFERROR(VLOOKUP($A26,'NG Pivot'!$A$37:$N$45,MATCH(P$2,'NG Pivot'!$B$36:$N$36,0)+1,FALSE),0)+IFERROR(VLOOKUP($A26,'NG Pivot'!$A$4:$N$29,MATCH(P$2,'NG Pivot'!$B$3:$N$3,0)+1,FALSE),0)*10</f>
        <v>0</v>
      </c>
      <c r="Q26" s="220">
        <f>IFERROR(VLOOKUP($A26,'NG Pivot'!$A$37:$N$45,MATCH(Q$2,'NG Pivot'!$B$36:$N$36,0)+1,FALSE),0)+IFERROR(VLOOKUP($A26,'NG Pivot'!$A$4:$N$29,MATCH(Q$2,'NG Pivot'!$B$3:$N$3,0)+1,FALSE),0)*10</f>
        <v>0</v>
      </c>
      <c r="R26" s="220">
        <f>IFERROR(VLOOKUP($A26,'NG Pivot'!$A$37:$N$45,MATCH(R$2,'NG Pivot'!$B$36:$N$36,0)+1,FALSE),0)+IFERROR(VLOOKUP($A26,'NG Pivot'!$A$4:$N$29,MATCH(R$2,'NG Pivot'!$B$3:$N$3,0)+1,FALSE),0)*10</f>
        <v>0</v>
      </c>
      <c r="S26" s="220">
        <f>IFERROR(VLOOKUP($A26,'NG Pivot'!$A$37:$N$45,MATCH(S$2,'NG Pivot'!$B$36:$N$36,0)+1,FALSE),0)+IFERROR(VLOOKUP($A26,'NG Pivot'!$A$4:$N$29,MATCH(S$2,'NG Pivot'!$B$3:$N$3,0)+1,FALSE),0)*10</f>
        <v>0</v>
      </c>
      <c r="T26" s="220">
        <f>IFERROR(VLOOKUP($A26,'NG Pivot'!$A$37:$N$45,MATCH(T$2,'NG Pivot'!$B$36:$N$36,0)+1,FALSE),0)+IFERROR(VLOOKUP($A26,'NG Pivot'!$A$4:$N$29,MATCH(T$2,'NG Pivot'!$B$3:$N$3,0)+1,FALSE),0)*10</f>
        <v>0</v>
      </c>
      <c r="U26" s="220">
        <f>IFERROR(VLOOKUP($A26,'NG Pivot'!$A$37:$N$45,MATCH(U$2,'NG Pivot'!$B$36:$N$36,0)+1,FALSE),0)+IFERROR(VLOOKUP($A26,'NG Pivot'!$A$4:$N$29,MATCH(U$2,'NG Pivot'!$B$3:$N$3,0)+1,FALSE),0)*10</f>
        <v>0</v>
      </c>
      <c r="V26" s="220">
        <f>IFERROR(VLOOKUP($A26,'NG Pivot'!$A$37:$N$45,MATCH(V$2,'NG Pivot'!$B$36:$N$36,0)+1,FALSE),0)+IFERROR(VLOOKUP($A26,'NG Pivot'!$A$4:$N$29,MATCH(V$2,'NG Pivot'!$B$3:$N$3,0)+1,FALSE),0)*10</f>
        <v>0</v>
      </c>
      <c r="W26" s="220">
        <f>IFERROR(VLOOKUP($A26,'NG Pivot'!$A$37:$N$45,MATCH(W$2,'NG Pivot'!$B$36:$N$36,0)+1,FALSE),0)+IFERROR(VLOOKUP($A26,'NG Pivot'!$A$4:$N$29,MATCH(W$2,'NG Pivot'!$B$3:$N$3,0)+1,FALSE),0)*10</f>
        <v>0</v>
      </c>
      <c r="X26" s="220">
        <f>IFERROR(VLOOKUP($A26,'NG Pivot'!$A$37:$N$45,MATCH(X$2,'NG Pivot'!$B$36:$N$36,0)+1,FALSE),0)+IFERROR(VLOOKUP($A26,'NG Pivot'!$A$4:$N$29,MATCH(X$2,'NG Pivot'!$B$3:$N$3,0)+1,FALSE),0)*10</f>
        <v>0</v>
      </c>
      <c r="Y26" s="220">
        <f>IFERROR(VLOOKUP($A26,'NG Pivot'!$A$37:$N$45,MATCH(Y$2,'NG Pivot'!$B$36:$N$36,0)+1,FALSE),0)+IFERROR(VLOOKUP($A26,'NG Pivot'!$A$4:$N$29,MATCH(Y$2,'NG Pivot'!$B$3:$N$3,0)+1,FALSE),0)*10</f>
        <v>0</v>
      </c>
      <c r="Z26" s="220">
        <f>IFERROR(VLOOKUP($A26,'NG Pivot'!$A$37:$N$45,MATCH(Z$2,'NG Pivot'!$B$36:$N$36,0)+1,FALSE),0)+IFERROR(VLOOKUP($A26,'NG Pivot'!$A$4:$N$29,MATCH(Z$2,'NG Pivot'!$B$3:$N$3,0)+1,FALSE),0)*10</f>
        <v>1.5</v>
      </c>
      <c r="AA26" s="220">
        <f>IFERROR(VLOOKUP($A26,'NG Pivot'!$A$37:$N$45,MATCH(AA$2,'NG Pivot'!$B$36:$N$36,0)+1,FALSE),0)+IFERROR(VLOOKUP($A26,'NG Pivot'!$A$4:$N$29,MATCH(AA$2,'NG Pivot'!$B$3:$N$3,0)+1,FALSE),0)*10</f>
        <v>14.4</v>
      </c>
      <c r="AB26" s="220">
        <f>IFERROR(VLOOKUP($A26,'NG Pivot'!$A$37:$N$45,MATCH(AB$2,'NG Pivot'!$B$36:$N$36,0)+1,FALSE),0)+IFERROR(VLOOKUP($A26,'NG Pivot'!$A$4:$N$29,MATCH(AB$2,'NG Pivot'!$B$3:$N$3,0)+1,FALSE),0)*10</f>
        <v>0</v>
      </c>
      <c r="AC26" s="220">
        <f>IFERROR(VLOOKUP($A26,'NG Pivot'!$A$37:$N$45,MATCH(AC$2,'NG Pivot'!$B$36:$N$36,0)+1,FALSE),0)+IFERROR(VLOOKUP($A26,'NG Pivot'!$A$4:$N$29,MATCH(AC$2,'NG Pivot'!$B$3:$N$3,0)+1,FALSE),0)*10</f>
        <v>0</v>
      </c>
      <c r="AD26" s="220">
        <f>IFERROR(VLOOKUP($A26,'NG Pivot'!$A$37:$N$45,MATCH(AD$2,'NG Pivot'!$B$36:$N$36,0)+1,FALSE),0)+IFERROR(VLOOKUP($A26,'NG Pivot'!$A$4:$N$29,MATCH(AD$2,'NG Pivot'!$B$3:$N$3,0)+1,FALSE),0)*10</f>
        <v>7.5</v>
      </c>
    </row>
    <row r="27" spans="1:30">
      <c r="A27" s="223" t="s">
        <v>1292</v>
      </c>
      <c r="B27" s="220">
        <f>IFERROR(VLOOKUP($A27,'NG Pivot'!$A$37:$N$45,MATCH(B$2,'NG Pivot'!$B$36:$N$36,0)+1,FALSE),0)+IFERROR(VLOOKUP($A27,'NG Pivot'!$A$4:$N$29,MATCH(B$2,'NG Pivot'!$B$3:$N$3,0)+1,FALSE),0)*10</f>
        <v>0</v>
      </c>
      <c r="C27" s="220">
        <f>IFERROR(VLOOKUP($A27,'NG Pivot'!$A$37:$N$45,MATCH(C$2,'NG Pivot'!$B$36:$N$36,0)+1,FALSE),0)+IFERROR(VLOOKUP($A27,'NG Pivot'!$A$4:$N$29,MATCH(C$2,'NG Pivot'!$B$3:$N$3,0)+1,FALSE),0)*10</f>
        <v>0</v>
      </c>
      <c r="D27" s="220">
        <f>IFERROR(VLOOKUP($A27,'NG Pivot'!$A$37:$N$45,MATCH(D$2,'NG Pivot'!$B$36:$N$36,0)+1,FALSE),0)+IFERROR(VLOOKUP($A27,'NG Pivot'!$A$4:$N$29,MATCH(D$2,'NG Pivot'!$B$3:$N$3,0)+1,FALSE),0)*10</f>
        <v>0</v>
      </c>
      <c r="E27" s="220">
        <f>IFERROR(VLOOKUP($A27,'NG Pivot'!$A$37:$N$45,MATCH(E$2,'NG Pivot'!$B$36:$N$36,0)+1,FALSE),0)+IFERROR(VLOOKUP($A27,'NG Pivot'!$A$4:$N$29,MATCH(E$2,'NG Pivot'!$B$3:$N$3,0)+1,FALSE),0)*10</f>
        <v>0</v>
      </c>
      <c r="F27" s="220">
        <f>IFERROR(VLOOKUP($A27,'NG Pivot'!$A$37:$N$45,MATCH(F$2,'NG Pivot'!$B$36:$N$36,0)+1,FALSE),0)+IFERROR(VLOOKUP($A27,'NG Pivot'!$A$4:$N$29,MATCH(F$2,'NG Pivot'!$B$3:$N$3,0)+1,FALSE),0)*10</f>
        <v>0</v>
      </c>
      <c r="G27" s="220">
        <f>IFERROR(VLOOKUP($A27,'NG Pivot'!$A$37:$N$45,MATCH(G$2,'NG Pivot'!$B$36:$N$36,0)+1,FALSE),0)+IFERROR(VLOOKUP($A27,'NG Pivot'!$A$4:$N$29,MATCH(G$2,'NG Pivot'!$B$3:$N$3,0)+1,FALSE),0)*10</f>
        <v>0</v>
      </c>
      <c r="H27" s="220">
        <f>IFERROR(VLOOKUP($A27,'NG Pivot'!$A$37:$N$45,MATCH(H$2,'NG Pivot'!$B$36:$N$36,0)+1,FALSE),0)+IFERROR(VLOOKUP($A27,'NG Pivot'!$A$4:$N$29,MATCH(H$2,'NG Pivot'!$B$3:$N$3,0)+1,FALSE),0)*10</f>
        <v>0</v>
      </c>
      <c r="I27" s="220">
        <f>IFERROR(VLOOKUP($A27,'NG Pivot'!$A$37:$N$45,MATCH(I$2,'NG Pivot'!$B$36:$N$36,0)+1,FALSE),0)+IFERROR(VLOOKUP($A27,'NG Pivot'!$A$4:$N$29,MATCH(I$2,'NG Pivot'!$B$3:$N$3,0)+1,FALSE),0)*10</f>
        <v>0</v>
      </c>
      <c r="J27" s="220">
        <f>IFERROR(VLOOKUP($A27,'NG Pivot'!$A$37:$N$45,MATCH(J$2,'NG Pivot'!$B$36:$N$36,0)+1,FALSE),0)+IFERROR(VLOOKUP($A27,'NG Pivot'!$A$4:$N$29,MATCH(J$2,'NG Pivot'!$B$3:$N$3,0)+1,FALSE),0)*10</f>
        <v>0</v>
      </c>
      <c r="K27" s="220">
        <f>IFERROR(VLOOKUP($A27,'NG Pivot'!$A$37:$N$45,MATCH(K$2,'NG Pivot'!$B$36:$N$36,0)+1,FALSE),0)+IFERROR(VLOOKUP($A27,'NG Pivot'!$A$4:$N$29,MATCH(K$2,'NG Pivot'!$B$3:$N$3,0)+1,FALSE),0)*10</f>
        <v>0</v>
      </c>
      <c r="L27" s="220">
        <f>IFERROR(VLOOKUP($A27,'NG Pivot'!$A$37:$N$45,MATCH(L$2,'NG Pivot'!$B$36:$N$36,0)+1,FALSE),0)+IFERROR(VLOOKUP($A27,'NG Pivot'!$A$4:$N$29,MATCH(L$2,'NG Pivot'!$B$3:$N$3,0)+1,FALSE),0)*10</f>
        <v>0</v>
      </c>
      <c r="M27" s="220">
        <f>IFERROR(VLOOKUP($A27,'NG Pivot'!$A$37:$N$45,MATCH(M$2,'NG Pivot'!$B$36:$N$36,0)+1,FALSE),0)+IFERROR(VLOOKUP($A27,'NG Pivot'!$A$4:$N$29,MATCH(M$2,'NG Pivot'!$B$3:$N$3,0)+1,FALSE),0)*10</f>
        <v>0</v>
      </c>
      <c r="N27" s="220">
        <f>IFERROR(VLOOKUP($A27,'NG Pivot'!$A$37:$N$45,MATCH(N$2,'NG Pivot'!$B$36:$N$36,0)+1,FALSE),0)+IFERROR(VLOOKUP($A27,'NG Pivot'!$A$4:$N$29,MATCH(N$2,'NG Pivot'!$B$3:$N$3,0)+1,FALSE),0)*10</f>
        <v>0</v>
      </c>
      <c r="O27" s="220">
        <f>IFERROR(VLOOKUP($A27,'NG Pivot'!$A$37:$N$45,MATCH(O$2,'NG Pivot'!$B$36:$N$36,0)+1,FALSE),0)+IFERROR(VLOOKUP($A27,'NG Pivot'!$A$4:$N$29,MATCH(O$2,'NG Pivot'!$B$3:$N$3,0)+1,FALSE),0)*10</f>
        <v>0</v>
      </c>
      <c r="P27" s="220">
        <f>IFERROR(VLOOKUP($A27,'NG Pivot'!$A$37:$N$45,MATCH(P$2,'NG Pivot'!$B$36:$N$36,0)+1,FALSE),0)+IFERROR(VLOOKUP($A27,'NG Pivot'!$A$4:$N$29,MATCH(P$2,'NG Pivot'!$B$3:$N$3,0)+1,FALSE),0)*10</f>
        <v>0</v>
      </c>
      <c r="Q27" s="220">
        <f>IFERROR(VLOOKUP($A27,'NG Pivot'!$A$37:$N$45,MATCH(Q$2,'NG Pivot'!$B$36:$N$36,0)+1,FALSE),0)+IFERROR(VLOOKUP($A27,'NG Pivot'!$A$4:$N$29,MATCH(Q$2,'NG Pivot'!$B$3:$N$3,0)+1,FALSE),0)*10</f>
        <v>0</v>
      </c>
      <c r="R27" s="220">
        <f>IFERROR(VLOOKUP($A27,'NG Pivot'!$A$37:$N$45,MATCH(R$2,'NG Pivot'!$B$36:$N$36,0)+1,FALSE),0)+IFERROR(VLOOKUP($A27,'NG Pivot'!$A$4:$N$29,MATCH(R$2,'NG Pivot'!$B$3:$N$3,0)+1,FALSE),0)*10</f>
        <v>0</v>
      </c>
      <c r="S27" s="220">
        <f>IFERROR(VLOOKUP($A27,'NG Pivot'!$A$37:$N$45,MATCH(S$2,'NG Pivot'!$B$36:$N$36,0)+1,FALSE),0)+IFERROR(VLOOKUP($A27,'NG Pivot'!$A$4:$N$29,MATCH(S$2,'NG Pivot'!$B$3:$N$3,0)+1,FALSE),0)*10</f>
        <v>0</v>
      </c>
      <c r="T27" s="220">
        <f>IFERROR(VLOOKUP($A27,'NG Pivot'!$A$37:$N$45,MATCH(T$2,'NG Pivot'!$B$36:$N$36,0)+1,FALSE),0)+IFERROR(VLOOKUP($A27,'NG Pivot'!$A$4:$N$29,MATCH(T$2,'NG Pivot'!$B$3:$N$3,0)+1,FALSE),0)*10</f>
        <v>0</v>
      </c>
      <c r="U27" s="220">
        <f>IFERROR(VLOOKUP($A27,'NG Pivot'!$A$37:$N$45,MATCH(U$2,'NG Pivot'!$B$36:$N$36,0)+1,FALSE),0)+IFERROR(VLOOKUP($A27,'NG Pivot'!$A$4:$N$29,MATCH(U$2,'NG Pivot'!$B$3:$N$3,0)+1,FALSE),0)*10</f>
        <v>0</v>
      </c>
      <c r="V27" s="220">
        <f>IFERROR(VLOOKUP($A27,'NG Pivot'!$A$37:$N$45,MATCH(V$2,'NG Pivot'!$B$36:$N$36,0)+1,FALSE),0)+IFERROR(VLOOKUP($A27,'NG Pivot'!$A$4:$N$29,MATCH(V$2,'NG Pivot'!$B$3:$N$3,0)+1,FALSE),0)*10</f>
        <v>0</v>
      </c>
      <c r="W27" s="220">
        <f>IFERROR(VLOOKUP($A27,'NG Pivot'!$A$37:$N$45,MATCH(W$2,'NG Pivot'!$B$36:$N$36,0)+1,FALSE),0)+IFERROR(VLOOKUP($A27,'NG Pivot'!$A$4:$N$29,MATCH(W$2,'NG Pivot'!$B$3:$N$3,0)+1,FALSE),0)*10</f>
        <v>0</v>
      </c>
      <c r="X27" s="220">
        <f>IFERROR(VLOOKUP($A27,'NG Pivot'!$A$37:$N$45,MATCH(X$2,'NG Pivot'!$B$36:$N$36,0)+1,FALSE),0)+IFERROR(VLOOKUP($A27,'NG Pivot'!$A$4:$N$29,MATCH(X$2,'NG Pivot'!$B$3:$N$3,0)+1,FALSE),0)*10</f>
        <v>0</v>
      </c>
      <c r="Y27" s="220">
        <f>IFERROR(VLOOKUP($A27,'NG Pivot'!$A$37:$N$45,MATCH(Y$2,'NG Pivot'!$B$36:$N$36,0)+1,FALSE),0)+IFERROR(VLOOKUP($A27,'NG Pivot'!$A$4:$N$29,MATCH(Y$2,'NG Pivot'!$B$3:$N$3,0)+1,FALSE),0)*10</f>
        <v>0</v>
      </c>
      <c r="Z27" s="220">
        <f>IFERROR(VLOOKUP($A27,'NG Pivot'!$A$37:$N$45,MATCH(Z$2,'NG Pivot'!$B$36:$N$36,0)+1,FALSE),0)+IFERROR(VLOOKUP($A27,'NG Pivot'!$A$4:$N$29,MATCH(Z$2,'NG Pivot'!$B$3:$N$3,0)+1,FALSE),0)*10</f>
        <v>0</v>
      </c>
      <c r="AA27" s="220">
        <f>IFERROR(VLOOKUP($A27,'NG Pivot'!$A$37:$N$45,MATCH(AA$2,'NG Pivot'!$B$36:$N$36,0)+1,FALSE),0)+IFERROR(VLOOKUP($A27,'NG Pivot'!$A$4:$N$29,MATCH(AA$2,'NG Pivot'!$B$3:$N$3,0)+1,FALSE),0)*10</f>
        <v>0</v>
      </c>
      <c r="AB27" s="220">
        <f>IFERROR(VLOOKUP($A27,'NG Pivot'!$A$37:$N$45,MATCH(AB$2,'NG Pivot'!$B$36:$N$36,0)+1,FALSE),0)+IFERROR(VLOOKUP($A27,'NG Pivot'!$A$4:$N$29,MATCH(AB$2,'NG Pivot'!$B$3:$N$3,0)+1,FALSE),0)*10</f>
        <v>0</v>
      </c>
      <c r="AC27" s="220">
        <f>IFERROR(VLOOKUP($A27,'NG Pivot'!$A$37:$N$45,MATCH(AC$2,'NG Pivot'!$B$36:$N$36,0)+1,FALSE),0)+IFERROR(VLOOKUP($A27,'NG Pivot'!$A$4:$N$29,MATCH(AC$2,'NG Pivot'!$B$3:$N$3,0)+1,FALSE),0)*10</f>
        <v>0</v>
      </c>
      <c r="AD27" s="220">
        <f>IFERROR(VLOOKUP($A27,'NG Pivot'!$A$37:$N$45,MATCH(AD$2,'NG Pivot'!$B$36:$N$36,0)+1,FALSE),0)+IFERROR(VLOOKUP($A27,'NG Pivot'!$A$4:$N$29,MATCH(AD$2,'NG Pivot'!$B$3:$N$3,0)+1,FALSE),0)*10</f>
        <v>0</v>
      </c>
    </row>
    <row r="28" spans="1:30">
      <c r="A28" s="223" t="s">
        <v>1293</v>
      </c>
      <c r="B28" s="220">
        <f>IFERROR(VLOOKUP($A28,'NG Pivot'!$A$37:$N$45,MATCH(B$2,'NG Pivot'!$B$36:$N$36,0)+1,FALSE),0)+IFERROR(VLOOKUP($A28,'NG Pivot'!$A$4:$N$29,MATCH(B$2,'NG Pivot'!$B$3:$N$3,0)+1,FALSE),0)*10</f>
        <v>0</v>
      </c>
      <c r="C28" s="220">
        <f>IFERROR(VLOOKUP($A28,'NG Pivot'!$A$37:$N$45,MATCH(C$2,'NG Pivot'!$B$36:$N$36,0)+1,FALSE),0)+IFERROR(VLOOKUP($A28,'NG Pivot'!$A$4:$N$29,MATCH(C$2,'NG Pivot'!$B$3:$N$3,0)+1,FALSE),0)*10</f>
        <v>0</v>
      </c>
      <c r="D28" s="220">
        <f>IFERROR(VLOOKUP($A28,'NG Pivot'!$A$37:$N$45,MATCH(D$2,'NG Pivot'!$B$36:$N$36,0)+1,FALSE),0)+IFERROR(VLOOKUP($A28,'NG Pivot'!$A$4:$N$29,MATCH(D$2,'NG Pivot'!$B$3:$N$3,0)+1,FALSE),0)*10</f>
        <v>0</v>
      </c>
      <c r="E28" s="220">
        <f>IFERROR(VLOOKUP($A28,'NG Pivot'!$A$37:$N$45,MATCH(E$2,'NG Pivot'!$B$36:$N$36,0)+1,FALSE),0)+IFERROR(VLOOKUP($A28,'NG Pivot'!$A$4:$N$29,MATCH(E$2,'NG Pivot'!$B$3:$N$3,0)+1,FALSE),0)*10</f>
        <v>0</v>
      </c>
      <c r="F28" s="220">
        <f>IFERROR(VLOOKUP($A28,'NG Pivot'!$A$37:$N$45,MATCH(F$2,'NG Pivot'!$B$36:$N$36,0)+1,FALSE),0)+IFERROR(VLOOKUP($A28,'NG Pivot'!$A$4:$N$29,MATCH(F$2,'NG Pivot'!$B$3:$N$3,0)+1,FALSE),0)*10</f>
        <v>0</v>
      </c>
      <c r="G28" s="220">
        <f>IFERROR(VLOOKUP($A28,'NG Pivot'!$A$37:$N$45,MATCH(G$2,'NG Pivot'!$B$36:$N$36,0)+1,FALSE),0)+IFERROR(VLOOKUP($A28,'NG Pivot'!$A$4:$N$29,MATCH(G$2,'NG Pivot'!$B$3:$N$3,0)+1,FALSE),0)*10</f>
        <v>0</v>
      </c>
      <c r="H28" s="220">
        <f>IFERROR(VLOOKUP($A28,'NG Pivot'!$A$37:$N$45,MATCH(H$2,'NG Pivot'!$B$36:$N$36,0)+1,FALSE),0)+IFERROR(VLOOKUP($A28,'NG Pivot'!$A$4:$N$29,MATCH(H$2,'NG Pivot'!$B$3:$N$3,0)+1,FALSE),0)*10</f>
        <v>0</v>
      </c>
      <c r="I28" s="220">
        <f>IFERROR(VLOOKUP($A28,'NG Pivot'!$A$37:$N$45,MATCH(I$2,'NG Pivot'!$B$36:$N$36,0)+1,FALSE),0)+IFERROR(VLOOKUP($A28,'NG Pivot'!$A$4:$N$29,MATCH(I$2,'NG Pivot'!$B$3:$N$3,0)+1,FALSE),0)*10</f>
        <v>0</v>
      </c>
      <c r="J28" s="220">
        <f>IFERROR(VLOOKUP($A28,'NG Pivot'!$A$37:$N$45,MATCH(J$2,'NG Pivot'!$B$36:$N$36,0)+1,FALSE),0)+IFERROR(VLOOKUP($A28,'NG Pivot'!$A$4:$N$29,MATCH(J$2,'NG Pivot'!$B$3:$N$3,0)+1,FALSE),0)*10</f>
        <v>0</v>
      </c>
      <c r="K28" s="220">
        <f>IFERROR(VLOOKUP($A28,'NG Pivot'!$A$37:$N$45,MATCH(K$2,'NG Pivot'!$B$36:$N$36,0)+1,FALSE),0)+IFERROR(VLOOKUP($A28,'NG Pivot'!$A$4:$N$29,MATCH(K$2,'NG Pivot'!$B$3:$N$3,0)+1,FALSE),0)*10</f>
        <v>0</v>
      </c>
      <c r="L28" s="220">
        <f>IFERROR(VLOOKUP($A28,'NG Pivot'!$A$37:$N$45,MATCH(L$2,'NG Pivot'!$B$36:$N$36,0)+1,FALSE),0)+IFERROR(VLOOKUP($A28,'NG Pivot'!$A$4:$N$29,MATCH(L$2,'NG Pivot'!$B$3:$N$3,0)+1,FALSE),0)*10</f>
        <v>0</v>
      </c>
      <c r="M28" s="220">
        <f>IFERROR(VLOOKUP($A28,'NG Pivot'!$A$37:$N$45,MATCH(M$2,'NG Pivot'!$B$36:$N$36,0)+1,FALSE),0)+IFERROR(VLOOKUP($A28,'NG Pivot'!$A$4:$N$29,MATCH(M$2,'NG Pivot'!$B$3:$N$3,0)+1,FALSE),0)*10</f>
        <v>0</v>
      </c>
      <c r="N28" s="220">
        <f>IFERROR(VLOOKUP($A28,'NG Pivot'!$A$37:$N$45,MATCH(N$2,'NG Pivot'!$B$36:$N$36,0)+1,FALSE),0)+IFERROR(VLOOKUP($A28,'NG Pivot'!$A$4:$N$29,MATCH(N$2,'NG Pivot'!$B$3:$N$3,0)+1,FALSE),0)*10</f>
        <v>0</v>
      </c>
      <c r="O28" s="220">
        <f>IFERROR(VLOOKUP($A28,'NG Pivot'!$A$37:$N$45,MATCH(O$2,'NG Pivot'!$B$36:$N$36,0)+1,FALSE),0)+IFERROR(VLOOKUP($A28,'NG Pivot'!$A$4:$N$29,MATCH(O$2,'NG Pivot'!$B$3:$N$3,0)+1,FALSE),0)*10</f>
        <v>0</v>
      </c>
      <c r="P28" s="220">
        <f>IFERROR(VLOOKUP($A28,'NG Pivot'!$A$37:$N$45,MATCH(P$2,'NG Pivot'!$B$36:$N$36,0)+1,FALSE),0)+IFERROR(VLOOKUP($A28,'NG Pivot'!$A$4:$N$29,MATCH(P$2,'NG Pivot'!$B$3:$N$3,0)+1,FALSE),0)*10</f>
        <v>0</v>
      </c>
      <c r="Q28" s="220">
        <f>IFERROR(VLOOKUP($A28,'NG Pivot'!$A$37:$N$45,MATCH(Q$2,'NG Pivot'!$B$36:$N$36,0)+1,FALSE),0)+IFERROR(VLOOKUP($A28,'NG Pivot'!$A$4:$N$29,MATCH(Q$2,'NG Pivot'!$B$3:$N$3,0)+1,FALSE),0)*10</f>
        <v>0</v>
      </c>
      <c r="R28" s="220">
        <f>IFERROR(VLOOKUP($A28,'NG Pivot'!$A$37:$N$45,MATCH(R$2,'NG Pivot'!$B$36:$N$36,0)+1,FALSE),0)+IFERROR(VLOOKUP($A28,'NG Pivot'!$A$4:$N$29,MATCH(R$2,'NG Pivot'!$B$3:$N$3,0)+1,FALSE),0)*10</f>
        <v>0</v>
      </c>
      <c r="S28" s="220">
        <f>IFERROR(VLOOKUP($A28,'NG Pivot'!$A$37:$N$45,MATCH(S$2,'NG Pivot'!$B$36:$N$36,0)+1,FALSE),0)+IFERROR(VLOOKUP($A28,'NG Pivot'!$A$4:$N$29,MATCH(S$2,'NG Pivot'!$B$3:$N$3,0)+1,FALSE),0)*10</f>
        <v>0</v>
      </c>
      <c r="T28" s="220">
        <f>IFERROR(VLOOKUP($A28,'NG Pivot'!$A$37:$N$45,MATCH(T$2,'NG Pivot'!$B$36:$N$36,0)+1,FALSE),0)+IFERROR(VLOOKUP($A28,'NG Pivot'!$A$4:$N$29,MATCH(T$2,'NG Pivot'!$B$3:$N$3,0)+1,FALSE),0)*10</f>
        <v>0</v>
      </c>
      <c r="U28" s="220">
        <f>IFERROR(VLOOKUP($A28,'NG Pivot'!$A$37:$N$45,MATCH(U$2,'NG Pivot'!$B$36:$N$36,0)+1,FALSE),0)+IFERROR(VLOOKUP($A28,'NG Pivot'!$A$4:$N$29,MATCH(U$2,'NG Pivot'!$B$3:$N$3,0)+1,FALSE),0)*10</f>
        <v>0</v>
      </c>
      <c r="V28" s="220">
        <f>IFERROR(VLOOKUP($A28,'NG Pivot'!$A$37:$N$45,MATCH(V$2,'NG Pivot'!$B$36:$N$36,0)+1,FALSE),0)+IFERROR(VLOOKUP($A28,'NG Pivot'!$A$4:$N$29,MATCH(V$2,'NG Pivot'!$B$3:$N$3,0)+1,FALSE),0)*10</f>
        <v>0</v>
      </c>
      <c r="W28" s="220">
        <f>IFERROR(VLOOKUP($A28,'NG Pivot'!$A$37:$N$45,MATCH(W$2,'NG Pivot'!$B$36:$N$36,0)+1,FALSE),0)+IFERROR(VLOOKUP($A28,'NG Pivot'!$A$4:$N$29,MATCH(W$2,'NG Pivot'!$B$3:$N$3,0)+1,FALSE),0)*10</f>
        <v>0</v>
      </c>
      <c r="X28" s="220">
        <f>IFERROR(VLOOKUP($A28,'NG Pivot'!$A$37:$N$45,MATCH(X$2,'NG Pivot'!$B$36:$N$36,0)+1,FALSE),0)+IFERROR(VLOOKUP($A28,'NG Pivot'!$A$4:$N$29,MATCH(X$2,'NG Pivot'!$B$3:$N$3,0)+1,FALSE),0)*10</f>
        <v>0</v>
      </c>
      <c r="Y28" s="220">
        <f>IFERROR(VLOOKUP($A28,'NG Pivot'!$A$37:$N$45,MATCH(Y$2,'NG Pivot'!$B$36:$N$36,0)+1,FALSE),0)+IFERROR(VLOOKUP($A28,'NG Pivot'!$A$4:$N$29,MATCH(Y$2,'NG Pivot'!$B$3:$N$3,0)+1,FALSE),0)*10</f>
        <v>0</v>
      </c>
      <c r="Z28" s="220">
        <f>IFERROR(VLOOKUP($A28,'NG Pivot'!$A$37:$N$45,MATCH(Z$2,'NG Pivot'!$B$36:$N$36,0)+1,FALSE),0)+IFERROR(VLOOKUP($A28,'NG Pivot'!$A$4:$N$29,MATCH(Z$2,'NG Pivot'!$B$3:$N$3,0)+1,FALSE),0)*10</f>
        <v>0</v>
      </c>
      <c r="AA28" s="220">
        <f>IFERROR(VLOOKUP($A28,'NG Pivot'!$A$37:$N$45,MATCH(AA$2,'NG Pivot'!$B$36:$N$36,0)+1,FALSE),0)+IFERROR(VLOOKUP($A28,'NG Pivot'!$A$4:$N$29,MATCH(AA$2,'NG Pivot'!$B$3:$N$3,0)+1,FALSE),0)*10</f>
        <v>0</v>
      </c>
      <c r="AB28" s="220">
        <f>IFERROR(VLOOKUP($A28,'NG Pivot'!$A$37:$N$45,MATCH(AB$2,'NG Pivot'!$B$36:$N$36,0)+1,FALSE),0)+IFERROR(VLOOKUP($A28,'NG Pivot'!$A$4:$N$29,MATCH(AB$2,'NG Pivot'!$B$3:$N$3,0)+1,FALSE),0)*10</f>
        <v>0</v>
      </c>
      <c r="AC28" s="220">
        <f>IFERROR(VLOOKUP($A28,'NG Pivot'!$A$37:$N$45,MATCH(AC$2,'NG Pivot'!$B$36:$N$36,0)+1,FALSE),0)+IFERROR(VLOOKUP($A28,'NG Pivot'!$A$4:$N$29,MATCH(AC$2,'NG Pivot'!$B$3:$N$3,0)+1,FALSE),0)*10</f>
        <v>0</v>
      </c>
      <c r="AD28" s="220">
        <f>IFERROR(VLOOKUP($A28,'NG Pivot'!$A$37:$N$45,MATCH(AD$2,'NG Pivot'!$B$36:$N$36,0)+1,FALSE),0)+IFERROR(VLOOKUP($A28,'NG Pivot'!$A$4:$N$29,MATCH(AD$2,'NG Pivot'!$B$3:$N$3,0)+1,FALSE),0)*10</f>
        <v>0</v>
      </c>
    </row>
    <row r="29" spans="1:30">
      <c r="A29" s="223" t="s">
        <v>1294</v>
      </c>
      <c r="B29" s="220">
        <f>IFERROR(VLOOKUP($A29,'NG Pivot'!$A$37:$N$45,MATCH(B$2,'NG Pivot'!$B$36:$N$36,0)+1,FALSE),0)+IFERROR(VLOOKUP($A29,'NG Pivot'!$A$4:$N$29,MATCH(B$2,'NG Pivot'!$B$3:$N$3,0)+1,FALSE),0)*10</f>
        <v>0</v>
      </c>
      <c r="C29" s="220">
        <f>IFERROR(VLOOKUP($A29,'NG Pivot'!$A$37:$N$45,MATCH(C$2,'NG Pivot'!$B$36:$N$36,0)+1,FALSE),0)+IFERROR(VLOOKUP($A29,'NG Pivot'!$A$4:$N$29,MATCH(C$2,'NG Pivot'!$B$3:$N$3,0)+1,FALSE),0)*10</f>
        <v>0</v>
      </c>
      <c r="D29" s="220">
        <f>IFERROR(VLOOKUP($A29,'NG Pivot'!$A$37:$N$45,MATCH(D$2,'NG Pivot'!$B$36:$N$36,0)+1,FALSE),0)+IFERROR(VLOOKUP($A29,'NG Pivot'!$A$4:$N$29,MATCH(D$2,'NG Pivot'!$B$3:$N$3,0)+1,FALSE),0)*10</f>
        <v>0</v>
      </c>
      <c r="E29" s="220">
        <f>IFERROR(VLOOKUP($A29,'NG Pivot'!$A$37:$N$45,MATCH(E$2,'NG Pivot'!$B$36:$N$36,0)+1,FALSE),0)+IFERROR(VLOOKUP($A29,'NG Pivot'!$A$4:$N$29,MATCH(E$2,'NG Pivot'!$B$3:$N$3,0)+1,FALSE),0)*10</f>
        <v>0</v>
      </c>
      <c r="F29" s="220">
        <f>IFERROR(VLOOKUP($A29,'NG Pivot'!$A$37:$N$45,MATCH(F$2,'NG Pivot'!$B$36:$N$36,0)+1,FALSE),0)+IFERROR(VLOOKUP($A29,'NG Pivot'!$A$4:$N$29,MATCH(F$2,'NG Pivot'!$B$3:$N$3,0)+1,FALSE),0)*10</f>
        <v>0</v>
      </c>
      <c r="G29" s="220">
        <f>IFERROR(VLOOKUP($A29,'NG Pivot'!$A$37:$N$45,MATCH(G$2,'NG Pivot'!$B$36:$N$36,0)+1,FALSE),0)+IFERROR(VLOOKUP($A29,'NG Pivot'!$A$4:$N$29,MATCH(G$2,'NG Pivot'!$B$3:$N$3,0)+1,FALSE),0)*10</f>
        <v>0</v>
      </c>
      <c r="H29" s="220">
        <f>IFERROR(VLOOKUP($A29,'NG Pivot'!$A$37:$N$45,MATCH(H$2,'NG Pivot'!$B$36:$N$36,0)+1,FALSE),0)+IFERROR(VLOOKUP($A29,'NG Pivot'!$A$4:$N$29,MATCH(H$2,'NG Pivot'!$B$3:$N$3,0)+1,FALSE),0)*10</f>
        <v>0</v>
      </c>
      <c r="I29" s="220">
        <f>IFERROR(VLOOKUP($A29,'NG Pivot'!$A$37:$N$45,MATCH(I$2,'NG Pivot'!$B$36:$N$36,0)+1,FALSE),0)+IFERROR(VLOOKUP($A29,'NG Pivot'!$A$4:$N$29,MATCH(I$2,'NG Pivot'!$B$3:$N$3,0)+1,FALSE),0)*10</f>
        <v>0</v>
      </c>
      <c r="J29" s="220">
        <f>IFERROR(VLOOKUP($A29,'NG Pivot'!$A$37:$N$45,MATCH(J$2,'NG Pivot'!$B$36:$N$36,0)+1,FALSE),0)+IFERROR(VLOOKUP($A29,'NG Pivot'!$A$4:$N$29,MATCH(J$2,'NG Pivot'!$B$3:$N$3,0)+1,FALSE),0)*10</f>
        <v>0</v>
      </c>
      <c r="K29" s="220">
        <f>IFERROR(VLOOKUP($A29,'NG Pivot'!$A$37:$N$45,MATCH(K$2,'NG Pivot'!$B$36:$N$36,0)+1,FALSE),0)+IFERROR(VLOOKUP($A29,'NG Pivot'!$A$4:$N$29,MATCH(K$2,'NG Pivot'!$B$3:$N$3,0)+1,FALSE),0)*10</f>
        <v>0</v>
      </c>
      <c r="L29" s="220">
        <f>IFERROR(VLOOKUP($A29,'NG Pivot'!$A$37:$N$45,MATCH(L$2,'NG Pivot'!$B$36:$N$36,0)+1,FALSE),0)+IFERROR(VLOOKUP($A29,'NG Pivot'!$A$4:$N$29,MATCH(L$2,'NG Pivot'!$B$3:$N$3,0)+1,FALSE),0)*10</f>
        <v>0</v>
      </c>
      <c r="M29" s="220">
        <f>IFERROR(VLOOKUP($A29,'NG Pivot'!$A$37:$N$45,MATCH(M$2,'NG Pivot'!$B$36:$N$36,0)+1,FALSE),0)+IFERROR(VLOOKUP($A29,'NG Pivot'!$A$4:$N$29,MATCH(M$2,'NG Pivot'!$B$3:$N$3,0)+1,FALSE),0)*10</f>
        <v>0</v>
      </c>
      <c r="N29" s="220">
        <f>IFERROR(VLOOKUP($A29,'NG Pivot'!$A$37:$N$45,MATCH(N$2,'NG Pivot'!$B$36:$N$36,0)+1,FALSE),0)+IFERROR(VLOOKUP($A29,'NG Pivot'!$A$4:$N$29,MATCH(N$2,'NG Pivot'!$B$3:$N$3,0)+1,FALSE),0)*10</f>
        <v>0</v>
      </c>
      <c r="O29" s="220">
        <f>IFERROR(VLOOKUP($A29,'NG Pivot'!$A$37:$N$45,MATCH(O$2,'NG Pivot'!$B$36:$N$36,0)+1,FALSE),0)+IFERROR(VLOOKUP($A29,'NG Pivot'!$A$4:$N$29,MATCH(O$2,'NG Pivot'!$B$3:$N$3,0)+1,FALSE),0)*10</f>
        <v>0</v>
      </c>
      <c r="P29" s="220">
        <f>IFERROR(VLOOKUP($A29,'NG Pivot'!$A$37:$N$45,MATCH(P$2,'NG Pivot'!$B$36:$N$36,0)+1,FALSE),0)+IFERROR(VLOOKUP($A29,'NG Pivot'!$A$4:$N$29,MATCH(P$2,'NG Pivot'!$B$3:$N$3,0)+1,FALSE),0)*10</f>
        <v>0</v>
      </c>
      <c r="Q29" s="220">
        <f>IFERROR(VLOOKUP($A29,'NG Pivot'!$A$37:$N$45,MATCH(Q$2,'NG Pivot'!$B$36:$N$36,0)+1,FALSE),0)+IFERROR(VLOOKUP($A29,'NG Pivot'!$A$4:$N$29,MATCH(Q$2,'NG Pivot'!$B$3:$N$3,0)+1,FALSE),0)*10</f>
        <v>0</v>
      </c>
      <c r="R29" s="220">
        <f>IFERROR(VLOOKUP($A29,'NG Pivot'!$A$37:$N$45,MATCH(R$2,'NG Pivot'!$B$36:$N$36,0)+1,FALSE),0)+IFERROR(VLOOKUP($A29,'NG Pivot'!$A$4:$N$29,MATCH(R$2,'NG Pivot'!$B$3:$N$3,0)+1,FALSE),0)*10</f>
        <v>0</v>
      </c>
      <c r="S29" s="220">
        <f>IFERROR(VLOOKUP($A29,'NG Pivot'!$A$37:$N$45,MATCH(S$2,'NG Pivot'!$B$36:$N$36,0)+1,FALSE),0)+IFERROR(VLOOKUP($A29,'NG Pivot'!$A$4:$N$29,MATCH(S$2,'NG Pivot'!$B$3:$N$3,0)+1,FALSE),0)*10</f>
        <v>198.8</v>
      </c>
      <c r="T29" s="220">
        <f>IFERROR(VLOOKUP($A29,'NG Pivot'!$A$37:$N$45,MATCH(T$2,'NG Pivot'!$B$36:$N$36,0)+1,FALSE),0)+IFERROR(VLOOKUP($A29,'NG Pivot'!$A$4:$N$29,MATCH(T$2,'NG Pivot'!$B$3:$N$3,0)+1,FALSE),0)*10</f>
        <v>0</v>
      </c>
      <c r="U29" s="220">
        <f>IFERROR(VLOOKUP($A29,'NG Pivot'!$A$37:$N$45,MATCH(U$2,'NG Pivot'!$B$36:$N$36,0)+1,FALSE),0)+IFERROR(VLOOKUP($A29,'NG Pivot'!$A$4:$N$29,MATCH(U$2,'NG Pivot'!$B$3:$N$3,0)+1,FALSE),0)*10</f>
        <v>0</v>
      </c>
      <c r="V29" s="220">
        <f>IFERROR(VLOOKUP($A29,'NG Pivot'!$A$37:$N$45,MATCH(V$2,'NG Pivot'!$B$36:$N$36,0)+1,FALSE),0)+IFERROR(VLOOKUP($A29,'NG Pivot'!$A$4:$N$29,MATCH(V$2,'NG Pivot'!$B$3:$N$3,0)+1,FALSE),0)*10</f>
        <v>0</v>
      </c>
      <c r="W29" s="220">
        <f>IFERROR(VLOOKUP($A29,'NG Pivot'!$A$37:$N$45,MATCH(W$2,'NG Pivot'!$B$36:$N$36,0)+1,FALSE),0)+IFERROR(VLOOKUP($A29,'NG Pivot'!$A$4:$N$29,MATCH(W$2,'NG Pivot'!$B$3:$N$3,0)+1,FALSE),0)*10</f>
        <v>0</v>
      </c>
      <c r="X29" s="220">
        <f>IFERROR(VLOOKUP($A29,'NG Pivot'!$A$37:$N$45,MATCH(X$2,'NG Pivot'!$B$36:$N$36,0)+1,FALSE),0)+IFERROR(VLOOKUP($A29,'NG Pivot'!$A$4:$N$29,MATCH(X$2,'NG Pivot'!$B$3:$N$3,0)+1,FALSE),0)*10</f>
        <v>0</v>
      </c>
      <c r="Y29" s="220">
        <f>IFERROR(VLOOKUP($A29,'NG Pivot'!$A$37:$N$45,MATCH(Y$2,'NG Pivot'!$B$36:$N$36,0)+1,FALSE),0)+IFERROR(VLOOKUP($A29,'NG Pivot'!$A$4:$N$29,MATCH(Y$2,'NG Pivot'!$B$3:$N$3,0)+1,FALSE),0)*10</f>
        <v>0</v>
      </c>
      <c r="Z29" s="220">
        <f>IFERROR(VLOOKUP($A29,'NG Pivot'!$A$37:$N$45,MATCH(Z$2,'NG Pivot'!$B$36:$N$36,0)+1,FALSE),0)+IFERROR(VLOOKUP($A29,'NG Pivot'!$A$4:$N$29,MATCH(Z$2,'NG Pivot'!$B$3:$N$3,0)+1,FALSE),0)*10</f>
        <v>0</v>
      </c>
      <c r="AA29" s="220">
        <f>IFERROR(VLOOKUP($A29,'NG Pivot'!$A$37:$N$45,MATCH(AA$2,'NG Pivot'!$B$36:$N$36,0)+1,FALSE),0)+IFERROR(VLOOKUP($A29,'NG Pivot'!$A$4:$N$29,MATCH(AA$2,'NG Pivot'!$B$3:$N$3,0)+1,FALSE),0)*10</f>
        <v>0</v>
      </c>
      <c r="AB29" s="220">
        <f>IFERROR(VLOOKUP($A29,'NG Pivot'!$A$37:$N$45,MATCH(AB$2,'NG Pivot'!$B$36:$N$36,0)+1,FALSE),0)+IFERROR(VLOOKUP($A29,'NG Pivot'!$A$4:$N$29,MATCH(AB$2,'NG Pivot'!$B$3:$N$3,0)+1,FALSE),0)*10</f>
        <v>0</v>
      </c>
      <c r="AC29" s="220">
        <f>IFERROR(VLOOKUP($A29,'NG Pivot'!$A$37:$N$45,MATCH(AC$2,'NG Pivot'!$B$36:$N$36,0)+1,FALSE),0)+IFERROR(VLOOKUP($A29,'NG Pivot'!$A$4:$N$29,MATCH(AC$2,'NG Pivot'!$B$3:$N$3,0)+1,FALSE),0)*10</f>
        <v>0</v>
      </c>
      <c r="AD29" s="220">
        <f>IFERROR(VLOOKUP($A29,'NG Pivot'!$A$37:$N$45,MATCH(AD$2,'NG Pivot'!$B$36:$N$36,0)+1,FALSE),0)+IFERROR(VLOOKUP($A29,'NG Pivot'!$A$4:$N$29,MATCH(AD$2,'NG Pivot'!$B$3:$N$3,0)+1,FALSE),0)*10</f>
        <v>0</v>
      </c>
    </row>
    <row r="30" spans="1:30">
      <c r="A30" s="223" t="s">
        <v>1295</v>
      </c>
      <c r="B30" s="220">
        <f>IFERROR(VLOOKUP($A30,'NG Pivot'!$A$37:$N$45,MATCH(B$2,'NG Pivot'!$B$36:$N$36,0)+1,FALSE),0)+IFERROR(VLOOKUP($A30,'NG Pivot'!$A$4:$N$29,MATCH(B$2,'NG Pivot'!$B$3:$N$3,0)+1,FALSE),0)*10</f>
        <v>0</v>
      </c>
      <c r="C30" s="220">
        <f>IFERROR(VLOOKUP($A30,'NG Pivot'!$A$37:$N$45,MATCH(C$2,'NG Pivot'!$B$36:$N$36,0)+1,FALSE),0)+IFERROR(VLOOKUP($A30,'NG Pivot'!$A$4:$N$29,MATCH(C$2,'NG Pivot'!$B$3:$N$3,0)+1,FALSE),0)*10</f>
        <v>0</v>
      </c>
      <c r="D30" s="220">
        <f>IFERROR(VLOOKUP($A30,'NG Pivot'!$A$37:$N$45,MATCH(D$2,'NG Pivot'!$B$36:$N$36,0)+1,FALSE),0)+IFERROR(VLOOKUP($A30,'NG Pivot'!$A$4:$N$29,MATCH(D$2,'NG Pivot'!$B$3:$N$3,0)+1,FALSE),0)*10</f>
        <v>0</v>
      </c>
      <c r="E30" s="220">
        <f>IFERROR(VLOOKUP($A30,'NG Pivot'!$A$37:$N$45,MATCH(E$2,'NG Pivot'!$B$36:$N$36,0)+1,FALSE),0)+IFERROR(VLOOKUP($A30,'NG Pivot'!$A$4:$N$29,MATCH(E$2,'NG Pivot'!$B$3:$N$3,0)+1,FALSE),0)*10</f>
        <v>0</v>
      </c>
      <c r="F30" s="220">
        <f>IFERROR(VLOOKUP($A30,'NG Pivot'!$A$37:$N$45,MATCH(F$2,'NG Pivot'!$B$36:$N$36,0)+1,FALSE),0)+IFERROR(VLOOKUP($A30,'NG Pivot'!$A$4:$N$29,MATCH(F$2,'NG Pivot'!$B$3:$N$3,0)+1,FALSE),0)*10</f>
        <v>0</v>
      </c>
      <c r="G30" s="220">
        <f>IFERROR(VLOOKUP($A30,'NG Pivot'!$A$37:$N$45,MATCH(G$2,'NG Pivot'!$B$36:$N$36,0)+1,FALSE),0)+IFERROR(VLOOKUP($A30,'NG Pivot'!$A$4:$N$29,MATCH(G$2,'NG Pivot'!$B$3:$N$3,0)+1,FALSE),0)*10</f>
        <v>0</v>
      </c>
      <c r="H30" s="220">
        <f>IFERROR(VLOOKUP($A30,'NG Pivot'!$A$37:$N$45,MATCH(H$2,'NG Pivot'!$B$36:$N$36,0)+1,FALSE),0)+IFERROR(VLOOKUP($A30,'NG Pivot'!$A$4:$N$29,MATCH(H$2,'NG Pivot'!$B$3:$N$3,0)+1,FALSE),0)*10</f>
        <v>0</v>
      </c>
      <c r="I30" s="220">
        <f>IFERROR(VLOOKUP($A30,'NG Pivot'!$A$37:$N$45,MATCH(I$2,'NG Pivot'!$B$36:$N$36,0)+1,FALSE),0)+IFERROR(VLOOKUP($A30,'NG Pivot'!$A$4:$N$29,MATCH(I$2,'NG Pivot'!$B$3:$N$3,0)+1,FALSE),0)*10</f>
        <v>0</v>
      </c>
      <c r="J30" s="220">
        <f>IFERROR(VLOOKUP($A30,'NG Pivot'!$A$37:$N$45,MATCH(J$2,'NG Pivot'!$B$36:$N$36,0)+1,FALSE),0)+IFERROR(VLOOKUP($A30,'NG Pivot'!$A$4:$N$29,MATCH(J$2,'NG Pivot'!$B$3:$N$3,0)+1,FALSE),0)*10</f>
        <v>0</v>
      </c>
      <c r="K30" s="220">
        <f>IFERROR(VLOOKUP($A30,'NG Pivot'!$A$37:$N$45,MATCH(K$2,'NG Pivot'!$B$36:$N$36,0)+1,FALSE),0)+IFERROR(VLOOKUP($A30,'NG Pivot'!$A$4:$N$29,MATCH(K$2,'NG Pivot'!$B$3:$N$3,0)+1,FALSE),0)*10</f>
        <v>0</v>
      </c>
      <c r="L30" s="220">
        <f>IFERROR(VLOOKUP($A30,'NG Pivot'!$A$37:$N$45,MATCH(L$2,'NG Pivot'!$B$36:$N$36,0)+1,FALSE),0)+IFERROR(VLOOKUP($A30,'NG Pivot'!$A$4:$N$29,MATCH(L$2,'NG Pivot'!$B$3:$N$3,0)+1,FALSE),0)*10</f>
        <v>0</v>
      </c>
      <c r="M30" s="220">
        <f>IFERROR(VLOOKUP($A30,'NG Pivot'!$A$37:$N$45,MATCH(M$2,'NG Pivot'!$B$36:$N$36,0)+1,FALSE),0)+IFERROR(VLOOKUP($A30,'NG Pivot'!$A$4:$N$29,MATCH(M$2,'NG Pivot'!$B$3:$N$3,0)+1,FALSE),0)*10</f>
        <v>0</v>
      </c>
      <c r="N30" s="220">
        <f>IFERROR(VLOOKUP($A30,'NG Pivot'!$A$37:$N$45,MATCH(N$2,'NG Pivot'!$B$36:$N$36,0)+1,FALSE),0)+IFERROR(VLOOKUP($A30,'NG Pivot'!$A$4:$N$29,MATCH(N$2,'NG Pivot'!$B$3:$N$3,0)+1,FALSE),0)*10</f>
        <v>0</v>
      </c>
      <c r="O30" s="220">
        <f>IFERROR(VLOOKUP($A30,'NG Pivot'!$A$37:$N$45,MATCH(O$2,'NG Pivot'!$B$36:$N$36,0)+1,FALSE),0)+IFERROR(VLOOKUP($A30,'NG Pivot'!$A$4:$N$29,MATCH(O$2,'NG Pivot'!$B$3:$N$3,0)+1,FALSE),0)*10</f>
        <v>0</v>
      </c>
      <c r="P30" s="220">
        <f>IFERROR(VLOOKUP($A30,'NG Pivot'!$A$37:$N$45,MATCH(P$2,'NG Pivot'!$B$36:$N$36,0)+1,FALSE),0)+IFERROR(VLOOKUP($A30,'NG Pivot'!$A$4:$N$29,MATCH(P$2,'NG Pivot'!$B$3:$N$3,0)+1,FALSE),0)*10</f>
        <v>0</v>
      </c>
      <c r="Q30" s="220">
        <f>IFERROR(VLOOKUP($A30,'NG Pivot'!$A$37:$N$45,MATCH(Q$2,'NG Pivot'!$B$36:$N$36,0)+1,FALSE),0)+IFERROR(VLOOKUP($A30,'NG Pivot'!$A$4:$N$29,MATCH(Q$2,'NG Pivot'!$B$3:$N$3,0)+1,FALSE),0)*10</f>
        <v>0</v>
      </c>
      <c r="R30" s="220">
        <f>IFERROR(VLOOKUP($A30,'NG Pivot'!$A$37:$N$45,MATCH(R$2,'NG Pivot'!$B$36:$N$36,0)+1,FALSE),0)+IFERROR(VLOOKUP($A30,'NG Pivot'!$A$4:$N$29,MATCH(R$2,'NG Pivot'!$B$3:$N$3,0)+1,FALSE),0)*10</f>
        <v>0</v>
      </c>
      <c r="S30" s="220">
        <f>IFERROR(VLOOKUP($A30,'NG Pivot'!$A$37:$N$45,MATCH(S$2,'NG Pivot'!$B$36:$N$36,0)+1,FALSE),0)+IFERROR(VLOOKUP($A30,'NG Pivot'!$A$4:$N$29,MATCH(S$2,'NG Pivot'!$B$3:$N$3,0)+1,FALSE),0)*10</f>
        <v>0</v>
      </c>
      <c r="T30" s="220">
        <f>IFERROR(VLOOKUP($A30,'NG Pivot'!$A$37:$N$45,MATCH(T$2,'NG Pivot'!$B$36:$N$36,0)+1,FALSE),0)+IFERROR(VLOOKUP($A30,'NG Pivot'!$A$4:$N$29,MATCH(T$2,'NG Pivot'!$B$3:$N$3,0)+1,FALSE),0)*10</f>
        <v>0</v>
      </c>
      <c r="U30" s="220">
        <f>IFERROR(VLOOKUP($A30,'NG Pivot'!$A$37:$N$45,MATCH(U$2,'NG Pivot'!$B$36:$N$36,0)+1,FALSE),0)+IFERROR(VLOOKUP($A30,'NG Pivot'!$A$4:$N$29,MATCH(U$2,'NG Pivot'!$B$3:$N$3,0)+1,FALSE),0)*10</f>
        <v>0</v>
      </c>
      <c r="V30" s="220">
        <f>IFERROR(VLOOKUP($A30,'NG Pivot'!$A$37:$N$45,MATCH(V$2,'NG Pivot'!$B$36:$N$36,0)+1,FALSE),0)+IFERROR(VLOOKUP($A30,'NG Pivot'!$A$4:$N$29,MATCH(V$2,'NG Pivot'!$B$3:$N$3,0)+1,FALSE),0)*10</f>
        <v>0</v>
      </c>
      <c r="W30" s="220">
        <f>IFERROR(VLOOKUP($A30,'NG Pivot'!$A$37:$N$45,MATCH(W$2,'NG Pivot'!$B$36:$N$36,0)+1,FALSE),0)+IFERROR(VLOOKUP($A30,'NG Pivot'!$A$4:$N$29,MATCH(W$2,'NG Pivot'!$B$3:$N$3,0)+1,FALSE),0)*10</f>
        <v>0</v>
      </c>
      <c r="X30" s="220">
        <f>IFERROR(VLOOKUP($A30,'NG Pivot'!$A$37:$N$45,MATCH(X$2,'NG Pivot'!$B$36:$N$36,0)+1,FALSE),0)+IFERROR(VLOOKUP($A30,'NG Pivot'!$A$4:$N$29,MATCH(X$2,'NG Pivot'!$B$3:$N$3,0)+1,FALSE),0)*10</f>
        <v>0</v>
      </c>
      <c r="Y30" s="220">
        <f>IFERROR(VLOOKUP($A30,'NG Pivot'!$A$37:$N$45,MATCH(Y$2,'NG Pivot'!$B$36:$N$36,0)+1,FALSE),0)+IFERROR(VLOOKUP($A30,'NG Pivot'!$A$4:$N$29,MATCH(Y$2,'NG Pivot'!$B$3:$N$3,0)+1,FALSE),0)*10</f>
        <v>0</v>
      </c>
      <c r="Z30" s="220">
        <f>IFERROR(VLOOKUP($A30,'NG Pivot'!$A$37:$N$45,MATCH(Z$2,'NG Pivot'!$B$36:$N$36,0)+1,FALSE),0)+IFERROR(VLOOKUP($A30,'NG Pivot'!$A$4:$N$29,MATCH(Z$2,'NG Pivot'!$B$3:$N$3,0)+1,FALSE),0)*10</f>
        <v>0</v>
      </c>
      <c r="AA30" s="220">
        <f>IFERROR(VLOOKUP($A30,'NG Pivot'!$A$37:$N$45,MATCH(AA$2,'NG Pivot'!$B$36:$N$36,0)+1,FALSE),0)+IFERROR(VLOOKUP($A30,'NG Pivot'!$A$4:$N$29,MATCH(AA$2,'NG Pivot'!$B$3:$N$3,0)+1,FALSE),0)*10</f>
        <v>0</v>
      </c>
      <c r="AB30" s="220">
        <f>IFERROR(VLOOKUP($A30,'NG Pivot'!$A$37:$N$45,MATCH(AB$2,'NG Pivot'!$B$36:$N$36,0)+1,FALSE),0)+IFERROR(VLOOKUP($A30,'NG Pivot'!$A$4:$N$29,MATCH(AB$2,'NG Pivot'!$B$3:$N$3,0)+1,FALSE),0)*10</f>
        <v>0</v>
      </c>
      <c r="AC30" s="220">
        <f>IFERROR(VLOOKUP($A30,'NG Pivot'!$A$37:$N$45,MATCH(AC$2,'NG Pivot'!$B$36:$N$36,0)+1,FALSE),0)+IFERROR(VLOOKUP($A30,'NG Pivot'!$A$4:$N$29,MATCH(AC$2,'NG Pivot'!$B$3:$N$3,0)+1,FALSE),0)*10</f>
        <v>0</v>
      </c>
      <c r="AD30" s="220">
        <f>IFERROR(VLOOKUP($A30,'NG Pivot'!$A$37:$N$45,MATCH(AD$2,'NG Pivot'!$B$36:$N$36,0)+1,FALSE),0)+IFERROR(VLOOKUP($A30,'NG Pivot'!$A$4:$N$29,MATCH(AD$2,'NG Pivot'!$B$3:$N$3,0)+1,FALSE),0)*10</f>
        <v>0</v>
      </c>
    </row>
    <row r="31" spans="1:30">
      <c r="A31" s="223" t="s">
        <v>1296</v>
      </c>
      <c r="B31" s="220">
        <f>IFERROR(VLOOKUP($A31,'NG Pivot'!$A$37:$N$45,MATCH(B$2,'NG Pivot'!$B$36:$N$36,0)+1,FALSE),0)+IFERROR(VLOOKUP($A31,'NG Pivot'!$A$4:$N$29,MATCH(B$2,'NG Pivot'!$B$3:$N$3,0)+1,FALSE),0)*10</f>
        <v>0</v>
      </c>
      <c r="C31" s="220">
        <f>IFERROR(VLOOKUP($A31,'NG Pivot'!$A$37:$N$45,MATCH(C$2,'NG Pivot'!$B$36:$N$36,0)+1,FALSE),0)+IFERROR(VLOOKUP($A31,'NG Pivot'!$A$4:$N$29,MATCH(C$2,'NG Pivot'!$B$3:$N$3,0)+1,FALSE),0)*10</f>
        <v>0</v>
      </c>
      <c r="D31" s="220">
        <f>IFERROR(VLOOKUP($A31,'NG Pivot'!$A$37:$N$45,MATCH(D$2,'NG Pivot'!$B$36:$N$36,0)+1,FALSE),0)+IFERROR(VLOOKUP($A31,'NG Pivot'!$A$4:$N$29,MATCH(D$2,'NG Pivot'!$B$3:$N$3,0)+1,FALSE),0)*10</f>
        <v>0</v>
      </c>
      <c r="E31" s="220">
        <f>IFERROR(VLOOKUP($A31,'NG Pivot'!$A$37:$N$45,MATCH(E$2,'NG Pivot'!$B$36:$N$36,0)+1,FALSE),0)+IFERROR(VLOOKUP($A31,'NG Pivot'!$A$4:$N$29,MATCH(E$2,'NG Pivot'!$B$3:$N$3,0)+1,FALSE),0)*10</f>
        <v>0</v>
      </c>
      <c r="F31" s="220">
        <f>IFERROR(VLOOKUP($A31,'NG Pivot'!$A$37:$N$45,MATCH(F$2,'NG Pivot'!$B$36:$N$36,0)+1,FALSE),0)+IFERROR(VLOOKUP($A31,'NG Pivot'!$A$4:$N$29,MATCH(F$2,'NG Pivot'!$B$3:$N$3,0)+1,FALSE),0)*10</f>
        <v>0</v>
      </c>
      <c r="G31" s="220">
        <f>IFERROR(VLOOKUP($A31,'NG Pivot'!$A$37:$N$45,MATCH(G$2,'NG Pivot'!$B$36:$N$36,0)+1,FALSE),0)+IFERROR(VLOOKUP($A31,'NG Pivot'!$A$4:$N$29,MATCH(G$2,'NG Pivot'!$B$3:$N$3,0)+1,FALSE),0)*10</f>
        <v>0</v>
      </c>
      <c r="H31" s="220">
        <f>IFERROR(VLOOKUP($A31,'NG Pivot'!$A$37:$N$45,MATCH(H$2,'NG Pivot'!$B$36:$N$36,0)+1,FALSE),0)+IFERROR(VLOOKUP($A31,'NG Pivot'!$A$4:$N$29,MATCH(H$2,'NG Pivot'!$B$3:$N$3,0)+1,FALSE),0)*10</f>
        <v>0</v>
      </c>
      <c r="I31" s="220">
        <f>IFERROR(VLOOKUP($A31,'NG Pivot'!$A$37:$N$45,MATCH(I$2,'NG Pivot'!$B$36:$N$36,0)+1,FALSE),0)+IFERROR(VLOOKUP($A31,'NG Pivot'!$A$4:$N$29,MATCH(I$2,'NG Pivot'!$B$3:$N$3,0)+1,FALSE),0)*10</f>
        <v>0</v>
      </c>
      <c r="J31" s="220">
        <f>IFERROR(VLOOKUP($A31,'NG Pivot'!$A$37:$N$45,MATCH(J$2,'NG Pivot'!$B$36:$N$36,0)+1,FALSE),0)+IFERROR(VLOOKUP($A31,'NG Pivot'!$A$4:$N$29,MATCH(J$2,'NG Pivot'!$B$3:$N$3,0)+1,FALSE),0)*10</f>
        <v>0</v>
      </c>
      <c r="K31" s="220">
        <f>IFERROR(VLOOKUP($A31,'NG Pivot'!$A$37:$N$45,MATCH(K$2,'NG Pivot'!$B$36:$N$36,0)+1,FALSE),0)+IFERROR(VLOOKUP($A31,'NG Pivot'!$A$4:$N$29,MATCH(K$2,'NG Pivot'!$B$3:$N$3,0)+1,FALSE),0)*10</f>
        <v>0</v>
      </c>
      <c r="L31" s="220">
        <f>IFERROR(VLOOKUP($A31,'NG Pivot'!$A$37:$N$45,MATCH(L$2,'NG Pivot'!$B$36:$N$36,0)+1,FALSE),0)+IFERROR(VLOOKUP($A31,'NG Pivot'!$A$4:$N$29,MATCH(L$2,'NG Pivot'!$B$3:$N$3,0)+1,FALSE),0)*10</f>
        <v>0</v>
      </c>
      <c r="M31" s="220">
        <f>IFERROR(VLOOKUP($A31,'NG Pivot'!$A$37:$N$45,MATCH(M$2,'NG Pivot'!$B$36:$N$36,0)+1,FALSE),0)+IFERROR(VLOOKUP($A31,'NG Pivot'!$A$4:$N$29,MATCH(M$2,'NG Pivot'!$B$3:$N$3,0)+1,FALSE),0)*10</f>
        <v>0</v>
      </c>
      <c r="N31" s="220">
        <f>IFERROR(VLOOKUP($A31,'NG Pivot'!$A$37:$N$45,MATCH(N$2,'NG Pivot'!$B$36:$N$36,0)+1,FALSE),0)+IFERROR(VLOOKUP($A31,'NG Pivot'!$A$4:$N$29,MATCH(N$2,'NG Pivot'!$B$3:$N$3,0)+1,FALSE),0)*10</f>
        <v>0</v>
      </c>
      <c r="O31" s="220">
        <f>IFERROR(VLOOKUP($A31,'NG Pivot'!$A$37:$N$45,MATCH(O$2,'NG Pivot'!$B$36:$N$36,0)+1,FALSE),0)+IFERROR(VLOOKUP($A31,'NG Pivot'!$A$4:$N$29,MATCH(O$2,'NG Pivot'!$B$3:$N$3,0)+1,FALSE),0)*10</f>
        <v>0</v>
      </c>
      <c r="P31" s="220">
        <f>IFERROR(VLOOKUP($A31,'NG Pivot'!$A$37:$N$45,MATCH(P$2,'NG Pivot'!$B$36:$N$36,0)+1,FALSE),0)+IFERROR(VLOOKUP($A31,'NG Pivot'!$A$4:$N$29,MATCH(P$2,'NG Pivot'!$B$3:$N$3,0)+1,FALSE),0)*10</f>
        <v>0</v>
      </c>
      <c r="Q31" s="220">
        <f>IFERROR(VLOOKUP($A31,'NG Pivot'!$A$37:$N$45,MATCH(Q$2,'NG Pivot'!$B$36:$N$36,0)+1,FALSE),0)+IFERROR(VLOOKUP($A31,'NG Pivot'!$A$4:$N$29,MATCH(Q$2,'NG Pivot'!$B$3:$N$3,0)+1,FALSE),0)*10</f>
        <v>0</v>
      </c>
      <c r="R31" s="220">
        <f>IFERROR(VLOOKUP($A31,'NG Pivot'!$A$37:$N$45,MATCH(R$2,'NG Pivot'!$B$36:$N$36,0)+1,FALSE),0)+IFERROR(VLOOKUP($A31,'NG Pivot'!$A$4:$N$29,MATCH(R$2,'NG Pivot'!$B$3:$N$3,0)+1,FALSE),0)*10</f>
        <v>0</v>
      </c>
      <c r="S31" s="220">
        <f>IFERROR(VLOOKUP($A31,'NG Pivot'!$A$37:$N$45,MATCH(S$2,'NG Pivot'!$B$36:$N$36,0)+1,FALSE),0)+IFERROR(VLOOKUP($A31,'NG Pivot'!$A$4:$N$29,MATCH(S$2,'NG Pivot'!$B$3:$N$3,0)+1,FALSE),0)*10</f>
        <v>0</v>
      </c>
      <c r="T31" s="220">
        <f>IFERROR(VLOOKUP($A31,'NG Pivot'!$A$37:$N$45,MATCH(T$2,'NG Pivot'!$B$36:$N$36,0)+1,FALSE),0)+IFERROR(VLOOKUP($A31,'NG Pivot'!$A$4:$N$29,MATCH(T$2,'NG Pivot'!$B$3:$N$3,0)+1,FALSE),0)*10</f>
        <v>0</v>
      </c>
      <c r="U31" s="220">
        <f>IFERROR(VLOOKUP($A31,'NG Pivot'!$A$37:$N$45,MATCH(U$2,'NG Pivot'!$B$36:$N$36,0)+1,FALSE),0)+IFERROR(VLOOKUP($A31,'NG Pivot'!$A$4:$N$29,MATCH(U$2,'NG Pivot'!$B$3:$N$3,0)+1,FALSE),0)*10</f>
        <v>0</v>
      </c>
      <c r="V31" s="220">
        <f>IFERROR(VLOOKUP($A31,'NG Pivot'!$A$37:$N$45,MATCH(V$2,'NG Pivot'!$B$36:$N$36,0)+1,FALSE),0)+IFERROR(VLOOKUP($A31,'NG Pivot'!$A$4:$N$29,MATCH(V$2,'NG Pivot'!$B$3:$N$3,0)+1,FALSE),0)*10</f>
        <v>0</v>
      </c>
      <c r="W31" s="220">
        <f>IFERROR(VLOOKUP($A31,'NG Pivot'!$A$37:$N$45,MATCH(W$2,'NG Pivot'!$B$36:$N$36,0)+1,FALSE),0)+IFERROR(VLOOKUP($A31,'NG Pivot'!$A$4:$N$29,MATCH(W$2,'NG Pivot'!$B$3:$N$3,0)+1,FALSE),0)*10</f>
        <v>0</v>
      </c>
      <c r="X31" s="220">
        <f>IFERROR(VLOOKUP($A31,'NG Pivot'!$A$37:$N$45,MATCH(X$2,'NG Pivot'!$B$36:$N$36,0)+1,FALSE),0)+IFERROR(VLOOKUP($A31,'NG Pivot'!$A$4:$N$29,MATCH(X$2,'NG Pivot'!$B$3:$N$3,0)+1,FALSE),0)*10</f>
        <v>0</v>
      </c>
      <c r="Y31" s="220">
        <f>IFERROR(VLOOKUP($A31,'NG Pivot'!$A$37:$N$45,MATCH(Y$2,'NG Pivot'!$B$36:$N$36,0)+1,FALSE),0)+IFERROR(VLOOKUP($A31,'NG Pivot'!$A$4:$N$29,MATCH(Y$2,'NG Pivot'!$B$3:$N$3,0)+1,FALSE),0)*10</f>
        <v>0</v>
      </c>
      <c r="Z31" s="220">
        <f>IFERROR(VLOOKUP($A31,'NG Pivot'!$A$37:$N$45,MATCH(Z$2,'NG Pivot'!$B$36:$N$36,0)+1,FALSE),0)+IFERROR(VLOOKUP($A31,'NG Pivot'!$A$4:$N$29,MATCH(Z$2,'NG Pivot'!$B$3:$N$3,0)+1,FALSE),0)*10</f>
        <v>0</v>
      </c>
      <c r="AA31" s="220">
        <f>IFERROR(VLOOKUP($A31,'NG Pivot'!$A$37:$N$45,MATCH(AA$2,'NG Pivot'!$B$36:$N$36,0)+1,FALSE),0)+IFERROR(VLOOKUP($A31,'NG Pivot'!$A$4:$N$29,MATCH(AA$2,'NG Pivot'!$B$3:$N$3,0)+1,FALSE),0)*10</f>
        <v>0</v>
      </c>
      <c r="AB31" s="220">
        <f>IFERROR(VLOOKUP($A31,'NG Pivot'!$A$37:$N$45,MATCH(AB$2,'NG Pivot'!$B$36:$N$36,0)+1,FALSE),0)+IFERROR(VLOOKUP($A31,'NG Pivot'!$A$4:$N$29,MATCH(AB$2,'NG Pivot'!$B$3:$N$3,0)+1,FALSE),0)*10</f>
        <v>0</v>
      </c>
      <c r="AC31" s="220">
        <f>IFERROR(VLOOKUP($A31,'NG Pivot'!$A$37:$N$45,MATCH(AC$2,'NG Pivot'!$B$36:$N$36,0)+1,FALSE),0)+IFERROR(VLOOKUP($A31,'NG Pivot'!$A$4:$N$29,MATCH(AC$2,'NG Pivot'!$B$3:$N$3,0)+1,FALSE),0)*10</f>
        <v>0</v>
      </c>
      <c r="AD31" s="220">
        <f>IFERROR(VLOOKUP($A31,'NG Pivot'!$A$37:$N$45,MATCH(AD$2,'NG Pivot'!$B$36:$N$36,0)+1,FALSE),0)+IFERROR(VLOOKUP($A31,'NG Pivot'!$A$4:$N$29,MATCH(AD$2,'NG Pivot'!$B$3:$N$3,0)+1,FALSE),0)*10</f>
        <v>0</v>
      </c>
    </row>
    <row r="32" spans="1:30">
      <c r="A32" s="223" t="s">
        <v>1297</v>
      </c>
      <c r="B32" s="220">
        <f>IFERROR(VLOOKUP($A32,'NG Pivot'!$A$37:$N$45,MATCH(B$2,'NG Pivot'!$B$36:$N$36,0)+1,FALSE),0)+IFERROR(VLOOKUP($A32,'NG Pivot'!$A$4:$N$29,MATCH(B$2,'NG Pivot'!$B$3:$N$3,0)+1,FALSE),0)*10</f>
        <v>0</v>
      </c>
      <c r="C32" s="220">
        <f>IFERROR(VLOOKUP($A32,'NG Pivot'!$A$37:$N$45,MATCH(C$2,'NG Pivot'!$B$36:$N$36,0)+1,FALSE),0)+IFERROR(VLOOKUP($A32,'NG Pivot'!$A$4:$N$29,MATCH(C$2,'NG Pivot'!$B$3:$N$3,0)+1,FALSE),0)*10</f>
        <v>0</v>
      </c>
      <c r="D32" s="220">
        <f>IFERROR(VLOOKUP($A32,'NG Pivot'!$A$37:$N$45,MATCH(D$2,'NG Pivot'!$B$36:$N$36,0)+1,FALSE),0)+IFERROR(VLOOKUP($A32,'NG Pivot'!$A$4:$N$29,MATCH(D$2,'NG Pivot'!$B$3:$N$3,0)+1,FALSE),0)*10</f>
        <v>0</v>
      </c>
      <c r="E32" s="220">
        <f>IFERROR(VLOOKUP($A32,'NG Pivot'!$A$37:$N$45,MATCH(E$2,'NG Pivot'!$B$36:$N$36,0)+1,FALSE),0)+IFERROR(VLOOKUP($A32,'NG Pivot'!$A$4:$N$29,MATCH(E$2,'NG Pivot'!$B$3:$N$3,0)+1,FALSE),0)*10</f>
        <v>0</v>
      </c>
      <c r="F32" s="220">
        <f>IFERROR(VLOOKUP($A32,'NG Pivot'!$A$37:$N$45,MATCH(F$2,'NG Pivot'!$B$36:$N$36,0)+1,FALSE),0)+IFERROR(VLOOKUP($A32,'NG Pivot'!$A$4:$N$29,MATCH(F$2,'NG Pivot'!$B$3:$N$3,0)+1,FALSE),0)*10</f>
        <v>0</v>
      </c>
      <c r="G32" s="220">
        <f>IFERROR(VLOOKUP($A32,'NG Pivot'!$A$37:$N$45,MATCH(G$2,'NG Pivot'!$B$36:$N$36,0)+1,FALSE),0)+IFERROR(VLOOKUP($A32,'NG Pivot'!$A$4:$N$29,MATCH(G$2,'NG Pivot'!$B$3:$N$3,0)+1,FALSE),0)*10</f>
        <v>0</v>
      </c>
      <c r="H32" s="220">
        <f>IFERROR(VLOOKUP($A32,'NG Pivot'!$A$37:$N$45,MATCH(H$2,'NG Pivot'!$B$36:$N$36,0)+1,FALSE),0)+IFERROR(VLOOKUP($A32,'NG Pivot'!$A$4:$N$29,MATCH(H$2,'NG Pivot'!$B$3:$N$3,0)+1,FALSE),0)*10</f>
        <v>0</v>
      </c>
      <c r="I32" s="220">
        <f>IFERROR(VLOOKUP($A32,'NG Pivot'!$A$37:$N$45,MATCH(I$2,'NG Pivot'!$B$36:$N$36,0)+1,FALSE),0)+IFERROR(VLOOKUP($A32,'NG Pivot'!$A$4:$N$29,MATCH(I$2,'NG Pivot'!$B$3:$N$3,0)+1,FALSE),0)*10</f>
        <v>0</v>
      </c>
      <c r="J32" s="220">
        <f>IFERROR(VLOOKUP($A32,'NG Pivot'!$A$37:$N$45,MATCH(J$2,'NG Pivot'!$B$36:$N$36,0)+1,FALSE),0)+IFERROR(VLOOKUP($A32,'NG Pivot'!$A$4:$N$29,MATCH(J$2,'NG Pivot'!$B$3:$N$3,0)+1,FALSE),0)*10</f>
        <v>0</v>
      </c>
      <c r="K32" s="220">
        <f>IFERROR(VLOOKUP($A32,'NG Pivot'!$A$37:$N$45,MATCH(K$2,'NG Pivot'!$B$36:$N$36,0)+1,FALSE),0)+IFERROR(VLOOKUP($A32,'NG Pivot'!$A$4:$N$29,MATCH(K$2,'NG Pivot'!$B$3:$N$3,0)+1,FALSE),0)*10</f>
        <v>0</v>
      </c>
      <c r="L32" s="220">
        <f>IFERROR(VLOOKUP($A32,'NG Pivot'!$A$37:$N$45,MATCH(L$2,'NG Pivot'!$B$36:$N$36,0)+1,FALSE),0)+IFERROR(VLOOKUP($A32,'NG Pivot'!$A$4:$N$29,MATCH(L$2,'NG Pivot'!$B$3:$N$3,0)+1,FALSE),0)*10</f>
        <v>0</v>
      </c>
      <c r="M32" s="220">
        <f>IFERROR(VLOOKUP($A32,'NG Pivot'!$A$37:$N$45,MATCH(M$2,'NG Pivot'!$B$36:$N$36,0)+1,FALSE),0)+IFERROR(VLOOKUP($A32,'NG Pivot'!$A$4:$N$29,MATCH(M$2,'NG Pivot'!$B$3:$N$3,0)+1,FALSE),0)*10</f>
        <v>0</v>
      </c>
      <c r="N32" s="220">
        <f>IFERROR(VLOOKUP($A32,'NG Pivot'!$A$37:$N$45,MATCH(N$2,'NG Pivot'!$B$36:$N$36,0)+1,FALSE),0)+IFERROR(VLOOKUP($A32,'NG Pivot'!$A$4:$N$29,MATCH(N$2,'NG Pivot'!$B$3:$N$3,0)+1,FALSE),0)*10</f>
        <v>0</v>
      </c>
      <c r="O32" s="220">
        <f>IFERROR(VLOOKUP($A32,'NG Pivot'!$A$37:$N$45,MATCH(O$2,'NG Pivot'!$B$36:$N$36,0)+1,FALSE),0)+IFERROR(VLOOKUP($A32,'NG Pivot'!$A$4:$N$29,MATCH(O$2,'NG Pivot'!$B$3:$N$3,0)+1,FALSE),0)*10</f>
        <v>0</v>
      </c>
      <c r="P32" s="220">
        <f>IFERROR(VLOOKUP($A32,'NG Pivot'!$A$37:$N$45,MATCH(P$2,'NG Pivot'!$B$36:$N$36,0)+1,FALSE),0)+IFERROR(VLOOKUP($A32,'NG Pivot'!$A$4:$N$29,MATCH(P$2,'NG Pivot'!$B$3:$N$3,0)+1,FALSE),0)*10</f>
        <v>0</v>
      </c>
      <c r="Q32" s="220">
        <f>IFERROR(VLOOKUP($A32,'NG Pivot'!$A$37:$N$45,MATCH(Q$2,'NG Pivot'!$B$36:$N$36,0)+1,FALSE),0)+IFERROR(VLOOKUP($A32,'NG Pivot'!$A$4:$N$29,MATCH(Q$2,'NG Pivot'!$B$3:$N$3,0)+1,FALSE),0)*10</f>
        <v>0</v>
      </c>
      <c r="R32" s="220">
        <f>IFERROR(VLOOKUP($A32,'NG Pivot'!$A$37:$N$45,MATCH(R$2,'NG Pivot'!$B$36:$N$36,0)+1,FALSE),0)+IFERROR(VLOOKUP($A32,'NG Pivot'!$A$4:$N$29,MATCH(R$2,'NG Pivot'!$B$3:$N$3,0)+1,FALSE),0)*10</f>
        <v>0</v>
      </c>
      <c r="S32" s="220">
        <f>IFERROR(VLOOKUP($A32,'NG Pivot'!$A$37:$N$45,MATCH(S$2,'NG Pivot'!$B$36:$N$36,0)+1,FALSE),0)+IFERROR(VLOOKUP($A32,'NG Pivot'!$A$4:$N$29,MATCH(S$2,'NG Pivot'!$B$3:$N$3,0)+1,FALSE),0)*10</f>
        <v>0</v>
      </c>
      <c r="T32" s="220">
        <f>IFERROR(VLOOKUP($A32,'NG Pivot'!$A$37:$N$45,MATCH(T$2,'NG Pivot'!$B$36:$N$36,0)+1,FALSE),0)+IFERROR(VLOOKUP($A32,'NG Pivot'!$A$4:$N$29,MATCH(T$2,'NG Pivot'!$B$3:$N$3,0)+1,FALSE),0)*10</f>
        <v>0</v>
      </c>
      <c r="U32" s="220">
        <f>IFERROR(VLOOKUP($A32,'NG Pivot'!$A$37:$N$45,MATCH(U$2,'NG Pivot'!$B$36:$N$36,0)+1,FALSE),0)+IFERROR(VLOOKUP($A32,'NG Pivot'!$A$4:$N$29,MATCH(U$2,'NG Pivot'!$B$3:$N$3,0)+1,FALSE),0)*10</f>
        <v>0</v>
      </c>
      <c r="V32" s="220">
        <f>IFERROR(VLOOKUP($A32,'NG Pivot'!$A$37:$N$45,MATCH(V$2,'NG Pivot'!$B$36:$N$36,0)+1,FALSE),0)+IFERROR(VLOOKUP($A32,'NG Pivot'!$A$4:$N$29,MATCH(V$2,'NG Pivot'!$B$3:$N$3,0)+1,FALSE),0)*10</f>
        <v>0</v>
      </c>
      <c r="W32" s="220">
        <f>IFERROR(VLOOKUP($A32,'NG Pivot'!$A$37:$N$45,MATCH(W$2,'NG Pivot'!$B$36:$N$36,0)+1,FALSE),0)+IFERROR(VLOOKUP($A32,'NG Pivot'!$A$4:$N$29,MATCH(W$2,'NG Pivot'!$B$3:$N$3,0)+1,FALSE),0)*10</f>
        <v>0</v>
      </c>
      <c r="X32" s="220">
        <f>IFERROR(VLOOKUP($A32,'NG Pivot'!$A$37:$N$45,MATCH(X$2,'NG Pivot'!$B$36:$N$36,0)+1,FALSE),0)+IFERROR(VLOOKUP($A32,'NG Pivot'!$A$4:$N$29,MATCH(X$2,'NG Pivot'!$B$3:$N$3,0)+1,FALSE),0)*10</f>
        <v>0</v>
      </c>
      <c r="Y32" s="220">
        <f>IFERROR(VLOOKUP($A32,'NG Pivot'!$A$37:$N$45,MATCH(Y$2,'NG Pivot'!$B$36:$N$36,0)+1,FALSE),0)+IFERROR(VLOOKUP($A32,'NG Pivot'!$A$4:$N$29,MATCH(Y$2,'NG Pivot'!$B$3:$N$3,0)+1,FALSE),0)*10</f>
        <v>0</v>
      </c>
      <c r="Z32" s="220">
        <f>IFERROR(VLOOKUP($A32,'NG Pivot'!$A$37:$N$45,MATCH(Z$2,'NG Pivot'!$B$36:$N$36,0)+1,FALSE),0)+IFERROR(VLOOKUP($A32,'NG Pivot'!$A$4:$N$29,MATCH(Z$2,'NG Pivot'!$B$3:$N$3,0)+1,FALSE),0)*10</f>
        <v>0</v>
      </c>
      <c r="AA32" s="220">
        <f>IFERROR(VLOOKUP($A32,'NG Pivot'!$A$37:$N$45,MATCH(AA$2,'NG Pivot'!$B$36:$N$36,0)+1,FALSE),0)+IFERROR(VLOOKUP($A32,'NG Pivot'!$A$4:$N$29,MATCH(AA$2,'NG Pivot'!$B$3:$N$3,0)+1,FALSE),0)*10</f>
        <v>0</v>
      </c>
      <c r="AB32" s="220">
        <f>IFERROR(VLOOKUP($A32,'NG Pivot'!$A$37:$N$45,MATCH(AB$2,'NG Pivot'!$B$36:$N$36,0)+1,FALSE),0)+IFERROR(VLOOKUP($A32,'NG Pivot'!$A$4:$N$29,MATCH(AB$2,'NG Pivot'!$B$3:$N$3,0)+1,FALSE),0)*10</f>
        <v>0</v>
      </c>
      <c r="AC32" s="220">
        <f>IFERROR(VLOOKUP($A32,'NG Pivot'!$A$37:$N$45,MATCH(AC$2,'NG Pivot'!$B$36:$N$36,0)+1,FALSE),0)+IFERROR(VLOOKUP($A32,'NG Pivot'!$A$4:$N$29,MATCH(AC$2,'NG Pivot'!$B$3:$N$3,0)+1,FALSE),0)*10</f>
        <v>0</v>
      </c>
      <c r="AD32" s="220">
        <f>IFERROR(VLOOKUP($A32,'NG Pivot'!$A$37:$N$45,MATCH(AD$2,'NG Pivot'!$B$36:$N$36,0)+1,FALSE),0)+IFERROR(VLOOKUP($A32,'NG Pivot'!$A$4:$N$29,MATCH(AD$2,'NG Pivot'!$B$3:$N$3,0)+1,FALSE),0)*10</f>
        <v>0</v>
      </c>
    </row>
    <row r="33" spans="1:30">
      <c r="A33" s="223" t="s">
        <v>1298</v>
      </c>
      <c r="B33" s="220">
        <f>IFERROR(VLOOKUP($A33,'NG Pivot'!$A$37:$N$45,MATCH(B$2,'NG Pivot'!$B$36:$N$36,0)+1,FALSE),0)+IFERROR(VLOOKUP($A33,'NG Pivot'!$A$4:$N$29,MATCH(B$2,'NG Pivot'!$B$3:$N$3,0)+1,FALSE),0)*10</f>
        <v>0</v>
      </c>
      <c r="C33" s="220">
        <f>IFERROR(VLOOKUP($A33,'NG Pivot'!$A$37:$N$45,MATCH(C$2,'NG Pivot'!$B$36:$N$36,0)+1,FALSE),0)+IFERROR(VLOOKUP($A33,'NG Pivot'!$A$4:$N$29,MATCH(C$2,'NG Pivot'!$B$3:$N$3,0)+1,FALSE),0)*10</f>
        <v>0</v>
      </c>
      <c r="D33" s="220">
        <f>IFERROR(VLOOKUP($A33,'NG Pivot'!$A$37:$N$45,MATCH(D$2,'NG Pivot'!$B$36:$N$36,0)+1,FALSE),0)+IFERROR(VLOOKUP($A33,'NG Pivot'!$A$4:$N$29,MATCH(D$2,'NG Pivot'!$B$3:$N$3,0)+1,FALSE),0)*10</f>
        <v>0</v>
      </c>
      <c r="E33" s="220">
        <f>IFERROR(VLOOKUP($A33,'NG Pivot'!$A$37:$N$45,MATCH(E$2,'NG Pivot'!$B$36:$N$36,0)+1,FALSE),0)+IFERROR(VLOOKUP($A33,'NG Pivot'!$A$4:$N$29,MATCH(E$2,'NG Pivot'!$B$3:$N$3,0)+1,FALSE),0)*10</f>
        <v>0</v>
      </c>
      <c r="F33" s="220">
        <f>IFERROR(VLOOKUP($A33,'NG Pivot'!$A$37:$N$45,MATCH(F$2,'NG Pivot'!$B$36:$N$36,0)+1,FALSE),0)+IFERROR(VLOOKUP($A33,'NG Pivot'!$A$4:$N$29,MATCH(F$2,'NG Pivot'!$B$3:$N$3,0)+1,FALSE),0)*10</f>
        <v>0</v>
      </c>
      <c r="G33" s="220">
        <f>IFERROR(VLOOKUP($A33,'NG Pivot'!$A$37:$N$45,MATCH(G$2,'NG Pivot'!$B$36:$N$36,0)+1,FALSE),0)+IFERROR(VLOOKUP($A33,'NG Pivot'!$A$4:$N$29,MATCH(G$2,'NG Pivot'!$B$3:$N$3,0)+1,FALSE),0)*10</f>
        <v>0</v>
      </c>
      <c r="H33" s="220">
        <f>IFERROR(VLOOKUP($A33,'NG Pivot'!$A$37:$N$45,MATCH(H$2,'NG Pivot'!$B$36:$N$36,0)+1,FALSE),0)+IFERROR(VLOOKUP($A33,'NG Pivot'!$A$4:$N$29,MATCH(H$2,'NG Pivot'!$B$3:$N$3,0)+1,FALSE),0)*10</f>
        <v>0</v>
      </c>
      <c r="I33" s="220">
        <f>IFERROR(VLOOKUP($A33,'NG Pivot'!$A$37:$N$45,MATCH(I$2,'NG Pivot'!$B$36:$N$36,0)+1,FALSE),0)+IFERROR(VLOOKUP($A33,'NG Pivot'!$A$4:$N$29,MATCH(I$2,'NG Pivot'!$B$3:$N$3,0)+1,FALSE),0)*10</f>
        <v>0</v>
      </c>
      <c r="J33" s="220">
        <f>IFERROR(VLOOKUP($A33,'NG Pivot'!$A$37:$N$45,MATCH(J$2,'NG Pivot'!$B$36:$N$36,0)+1,FALSE),0)+IFERROR(VLOOKUP($A33,'NG Pivot'!$A$4:$N$29,MATCH(J$2,'NG Pivot'!$B$3:$N$3,0)+1,FALSE),0)*10</f>
        <v>0</v>
      </c>
      <c r="K33" s="220">
        <f>IFERROR(VLOOKUP($A33,'NG Pivot'!$A$37:$N$45,MATCH(K$2,'NG Pivot'!$B$36:$N$36,0)+1,FALSE),0)+IFERROR(VLOOKUP($A33,'NG Pivot'!$A$4:$N$29,MATCH(K$2,'NG Pivot'!$B$3:$N$3,0)+1,FALSE),0)*10</f>
        <v>0</v>
      </c>
      <c r="L33" s="220">
        <f>IFERROR(VLOOKUP($A33,'NG Pivot'!$A$37:$N$45,MATCH(L$2,'NG Pivot'!$B$36:$N$36,0)+1,FALSE),0)+IFERROR(VLOOKUP($A33,'NG Pivot'!$A$4:$N$29,MATCH(L$2,'NG Pivot'!$B$3:$N$3,0)+1,FALSE),0)*10</f>
        <v>0</v>
      </c>
      <c r="M33" s="220">
        <f>IFERROR(VLOOKUP($A33,'NG Pivot'!$A$37:$N$45,MATCH(M$2,'NG Pivot'!$B$36:$N$36,0)+1,FALSE),0)+IFERROR(VLOOKUP($A33,'NG Pivot'!$A$4:$N$29,MATCH(M$2,'NG Pivot'!$B$3:$N$3,0)+1,FALSE),0)*10</f>
        <v>0</v>
      </c>
      <c r="N33" s="220">
        <f>IFERROR(VLOOKUP($A33,'NG Pivot'!$A$37:$N$45,MATCH(N$2,'NG Pivot'!$B$36:$N$36,0)+1,FALSE),0)+IFERROR(VLOOKUP($A33,'NG Pivot'!$A$4:$N$29,MATCH(N$2,'NG Pivot'!$B$3:$N$3,0)+1,FALSE),0)*10</f>
        <v>0</v>
      </c>
      <c r="O33" s="220">
        <f>IFERROR(VLOOKUP($A33,'NG Pivot'!$A$37:$N$45,MATCH(O$2,'NG Pivot'!$B$36:$N$36,0)+1,FALSE),0)+IFERROR(VLOOKUP($A33,'NG Pivot'!$A$4:$N$29,MATCH(O$2,'NG Pivot'!$B$3:$N$3,0)+1,FALSE),0)*10</f>
        <v>0</v>
      </c>
      <c r="P33" s="220">
        <f>IFERROR(VLOOKUP($A33,'NG Pivot'!$A$37:$N$45,MATCH(P$2,'NG Pivot'!$B$36:$N$36,0)+1,FALSE),0)+IFERROR(VLOOKUP($A33,'NG Pivot'!$A$4:$N$29,MATCH(P$2,'NG Pivot'!$B$3:$N$3,0)+1,FALSE),0)*10</f>
        <v>0</v>
      </c>
      <c r="Q33" s="220">
        <f>IFERROR(VLOOKUP($A33,'NG Pivot'!$A$37:$N$45,MATCH(Q$2,'NG Pivot'!$B$36:$N$36,0)+1,FALSE),0)+IFERROR(VLOOKUP($A33,'NG Pivot'!$A$4:$N$29,MATCH(Q$2,'NG Pivot'!$B$3:$N$3,0)+1,FALSE),0)*10</f>
        <v>0</v>
      </c>
      <c r="R33" s="220">
        <f>IFERROR(VLOOKUP($A33,'NG Pivot'!$A$37:$N$45,MATCH(R$2,'NG Pivot'!$B$36:$N$36,0)+1,FALSE),0)+IFERROR(VLOOKUP($A33,'NG Pivot'!$A$4:$N$29,MATCH(R$2,'NG Pivot'!$B$3:$N$3,0)+1,FALSE),0)*10</f>
        <v>0</v>
      </c>
      <c r="S33" s="220">
        <f>IFERROR(VLOOKUP($A33,'NG Pivot'!$A$37:$N$45,MATCH(S$2,'NG Pivot'!$B$36:$N$36,0)+1,FALSE),0)+IFERROR(VLOOKUP($A33,'NG Pivot'!$A$4:$N$29,MATCH(S$2,'NG Pivot'!$B$3:$N$3,0)+1,FALSE),0)*10</f>
        <v>0</v>
      </c>
      <c r="T33" s="220">
        <f>IFERROR(VLOOKUP($A33,'NG Pivot'!$A$37:$N$45,MATCH(T$2,'NG Pivot'!$B$36:$N$36,0)+1,FALSE),0)+IFERROR(VLOOKUP($A33,'NG Pivot'!$A$4:$N$29,MATCH(T$2,'NG Pivot'!$B$3:$N$3,0)+1,FALSE),0)*10</f>
        <v>0</v>
      </c>
      <c r="U33" s="220">
        <f>IFERROR(VLOOKUP($A33,'NG Pivot'!$A$37:$N$45,MATCH(U$2,'NG Pivot'!$B$36:$N$36,0)+1,FALSE),0)+IFERROR(VLOOKUP($A33,'NG Pivot'!$A$4:$N$29,MATCH(U$2,'NG Pivot'!$B$3:$N$3,0)+1,FALSE),0)*10</f>
        <v>0</v>
      </c>
      <c r="V33" s="220">
        <f>IFERROR(VLOOKUP($A33,'NG Pivot'!$A$37:$N$45,MATCH(V$2,'NG Pivot'!$B$36:$N$36,0)+1,FALSE),0)+IFERROR(VLOOKUP($A33,'NG Pivot'!$A$4:$N$29,MATCH(V$2,'NG Pivot'!$B$3:$N$3,0)+1,FALSE),0)*10</f>
        <v>0</v>
      </c>
      <c r="W33" s="220">
        <f>IFERROR(VLOOKUP($A33,'NG Pivot'!$A$37:$N$45,MATCH(W$2,'NG Pivot'!$B$36:$N$36,0)+1,FALSE),0)+IFERROR(VLOOKUP($A33,'NG Pivot'!$A$4:$N$29,MATCH(W$2,'NG Pivot'!$B$3:$N$3,0)+1,FALSE),0)*10</f>
        <v>0</v>
      </c>
      <c r="X33" s="220">
        <f>IFERROR(VLOOKUP($A33,'NG Pivot'!$A$37:$N$45,MATCH(X$2,'NG Pivot'!$B$36:$N$36,0)+1,FALSE),0)+IFERROR(VLOOKUP($A33,'NG Pivot'!$A$4:$N$29,MATCH(X$2,'NG Pivot'!$B$3:$N$3,0)+1,FALSE),0)*10</f>
        <v>0</v>
      </c>
      <c r="Y33" s="220">
        <f>IFERROR(VLOOKUP($A33,'NG Pivot'!$A$37:$N$45,MATCH(Y$2,'NG Pivot'!$B$36:$N$36,0)+1,FALSE),0)+IFERROR(VLOOKUP($A33,'NG Pivot'!$A$4:$N$29,MATCH(Y$2,'NG Pivot'!$B$3:$N$3,0)+1,FALSE),0)*10</f>
        <v>0</v>
      </c>
      <c r="Z33" s="220">
        <f>IFERROR(VLOOKUP($A33,'NG Pivot'!$A$37:$N$45,MATCH(Z$2,'NG Pivot'!$B$36:$N$36,0)+1,FALSE),0)+IFERROR(VLOOKUP($A33,'NG Pivot'!$A$4:$N$29,MATCH(Z$2,'NG Pivot'!$B$3:$N$3,0)+1,FALSE),0)*10</f>
        <v>0</v>
      </c>
      <c r="AA33" s="220">
        <f>IFERROR(VLOOKUP($A33,'NG Pivot'!$A$37:$N$45,MATCH(AA$2,'NG Pivot'!$B$36:$N$36,0)+1,FALSE),0)+IFERROR(VLOOKUP($A33,'NG Pivot'!$A$4:$N$29,MATCH(AA$2,'NG Pivot'!$B$3:$N$3,0)+1,FALSE),0)*10</f>
        <v>0</v>
      </c>
      <c r="AB33" s="220">
        <f>IFERROR(VLOOKUP($A33,'NG Pivot'!$A$37:$N$45,MATCH(AB$2,'NG Pivot'!$B$36:$N$36,0)+1,FALSE),0)+IFERROR(VLOOKUP($A33,'NG Pivot'!$A$4:$N$29,MATCH(AB$2,'NG Pivot'!$B$3:$N$3,0)+1,FALSE),0)*10</f>
        <v>0</v>
      </c>
      <c r="AC33" s="220">
        <f>IFERROR(VLOOKUP($A33,'NG Pivot'!$A$37:$N$45,MATCH(AC$2,'NG Pivot'!$B$36:$N$36,0)+1,FALSE),0)+IFERROR(VLOOKUP($A33,'NG Pivot'!$A$4:$N$29,MATCH(AC$2,'NG Pivot'!$B$3:$N$3,0)+1,FALSE),0)*10</f>
        <v>0</v>
      </c>
      <c r="AD33" s="220">
        <f>IFERROR(VLOOKUP($A33,'NG Pivot'!$A$37:$N$45,MATCH(AD$2,'NG Pivot'!$B$36:$N$36,0)+1,FALSE),0)+IFERROR(VLOOKUP($A33,'NG Pivot'!$A$4:$N$29,MATCH(AD$2,'NG Pivot'!$B$3:$N$3,0)+1,FALSE),0)*10</f>
        <v>0</v>
      </c>
    </row>
    <row r="34" spans="1:30">
      <c r="A34" s="223" t="s">
        <v>1299</v>
      </c>
      <c r="B34" s="220">
        <f>IFERROR(VLOOKUP($A34,'NG Pivot'!$A$37:$N$45,MATCH(B$2,'NG Pivot'!$B$36:$N$36,0)+1,FALSE),0)+IFERROR(VLOOKUP($A34,'NG Pivot'!$A$4:$N$29,MATCH(B$2,'NG Pivot'!$B$3:$N$3,0)+1,FALSE),0)*10</f>
        <v>0</v>
      </c>
      <c r="C34" s="220">
        <f>IFERROR(VLOOKUP($A34,'NG Pivot'!$A$37:$N$45,MATCH(C$2,'NG Pivot'!$B$36:$N$36,0)+1,FALSE),0)+IFERROR(VLOOKUP($A34,'NG Pivot'!$A$4:$N$29,MATCH(C$2,'NG Pivot'!$B$3:$N$3,0)+1,FALSE),0)*10</f>
        <v>0</v>
      </c>
      <c r="D34" s="220">
        <f>IFERROR(VLOOKUP($A34,'NG Pivot'!$A$37:$N$45,MATCH(D$2,'NG Pivot'!$B$36:$N$36,0)+1,FALSE),0)+IFERROR(VLOOKUP($A34,'NG Pivot'!$A$4:$N$29,MATCH(D$2,'NG Pivot'!$B$3:$N$3,0)+1,FALSE),0)*10</f>
        <v>0</v>
      </c>
      <c r="E34" s="220">
        <f>IFERROR(VLOOKUP($A34,'NG Pivot'!$A$37:$N$45,MATCH(E$2,'NG Pivot'!$B$36:$N$36,0)+1,FALSE),0)+IFERROR(VLOOKUP($A34,'NG Pivot'!$A$4:$N$29,MATCH(E$2,'NG Pivot'!$B$3:$N$3,0)+1,FALSE),0)*10</f>
        <v>0</v>
      </c>
      <c r="F34" s="220">
        <f>IFERROR(VLOOKUP($A34,'NG Pivot'!$A$37:$N$45,MATCH(F$2,'NG Pivot'!$B$36:$N$36,0)+1,FALSE),0)+IFERROR(VLOOKUP($A34,'NG Pivot'!$A$4:$N$29,MATCH(F$2,'NG Pivot'!$B$3:$N$3,0)+1,FALSE),0)*10</f>
        <v>0</v>
      </c>
      <c r="G34" s="220">
        <f>IFERROR(VLOOKUP($A34,'NG Pivot'!$A$37:$N$45,MATCH(G$2,'NG Pivot'!$B$36:$N$36,0)+1,FALSE),0)+IFERROR(VLOOKUP($A34,'NG Pivot'!$A$4:$N$29,MATCH(G$2,'NG Pivot'!$B$3:$N$3,0)+1,FALSE),0)*10</f>
        <v>0</v>
      </c>
      <c r="H34" s="220">
        <f>IFERROR(VLOOKUP($A34,'NG Pivot'!$A$37:$N$45,MATCH(H$2,'NG Pivot'!$B$36:$N$36,0)+1,FALSE),0)+IFERROR(VLOOKUP($A34,'NG Pivot'!$A$4:$N$29,MATCH(H$2,'NG Pivot'!$B$3:$N$3,0)+1,FALSE),0)*10</f>
        <v>0</v>
      </c>
      <c r="I34" s="220">
        <f>IFERROR(VLOOKUP($A34,'NG Pivot'!$A$37:$N$45,MATCH(I$2,'NG Pivot'!$B$36:$N$36,0)+1,FALSE),0)+IFERROR(VLOOKUP($A34,'NG Pivot'!$A$4:$N$29,MATCH(I$2,'NG Pivot'!$B$3:$N$3,0)+1,FALSE),0)*10</f>
        <v>0</v>
      </c>
      <c r="J34" s="220">
        <f>IFERROR(VLOOKUP($A34,'NG Pivot'!$A$37:$N$45,MATCH(J$2,'NG Pivot'!$B$36:$N$36,0)+1,FALSE),0)+IFERROR(VLOOKUP($A34,'NG Pivot'!$A$4:$N$29,MATCH(J$2,'NG Pivot'!$B$3:$N$3,0)+1,FALSE),0)*10</f>
        <v>0</v>
      </c>
      <c r="K34" s="220">
        <f>IFERROR(VLOOKUP($A34,'NG Pivot'!$A$37:$N$45,MATCH(K$2,'NG Pivot'!$B$36:$N$36,0)+1,FALSE),0)+IFERROR(VLOOKUP($A34,'NG Pivot'!$A$4:$N$29,MATCH(K$2,'NG Pivot'!$B$3:$N$3,0)+1,FALSE),0)*10</f>
        <v>0</v>
      </c>
      <c r="L34" s="220">
        <f>IFERROR(VLOOKUP($A34,'NG Pivot'!$A$37:$N$45,MATCH(L$2,'NG Pivot'!$B$36:$N$36,0)+1,FALSE),0)+IFERROR(VLOOKUP($A34,'NG Pivot'!$A$4:$N$29,MATCH(L$2,'NG Pivot'!$B$3:$N$3,0)+1,FALSE),0)*10</f>
        <v>0</v>
      </c>
      <c r="M34" s="220">
        <f>IFERROR(VLOOKUP($A34,'NG Pivot'!$A$37:$N$45,MATCH(M$2,'NG Pivot'!$B$36:$N$36,0)+1,FALSE),0)+IFERROR(VLOOKUP($A34,'NG Pivot'!$A$4:$N$29,MATCH(M$2,'NG Pivot'!$B$3:$N$3,0)+1,FALSE),0)*10</f>
        <v>0</v>
      </c>
      <c r="N34" s="220">
        <f>IFERROR(VLOOKUP($A34,'NG Pivot'!$A$37:$N$45,MATCH(N$2,'NG Pivot'!$B$36:$N$36,0)+1,FALSE),0)+IFERROR(VLOOKUP($A34,'NG Pivot'!$A$4:$N$29,MATCH(N$2,'NG Pivot'!$B$3:$N$3,0)+1,FALSE),0)*10</f>
        <v>0</v>
      </c>
      <c r="O34" s="220">
        <f>IFERROR(VLOOKUP($A34,'NG Pivot'!$A$37:$N$45,MATCH(O$2,'NG Pivot'!$B$36:$N$36,0)+1,FALSE),0)+IFERROR(VLOOKUP($A34,'NG Pivot'!$A$4:$N$29,MATCH(O$2,'NG Pivot'!$B$3:$N$3,0)+1,FALSE),0)*10</f>
        <v>0</v>
      </c>
      <c r="P34" s="220">
        <f>IFERROR(VLOOKUP($A34,'NG Pivot'!$A$37:$N$45,MATCH(P$2,'NG Pivot'!$B$36:$N$36,0)+1,FALSE),0)+IFERROR(VLOOKUP($A34,'NG Pivot'!$A$4:$N$29,MATCH(P$2,'NG Pivot'!$B$3:$N$3,0)+1,FALSE),0)*10</f>
        <v>0</v>
      </c>
      <c r="Q34" s="220">
        <f>IFERROR(VLOOKUP($A34,'NG Pivot'!$A$37:$N$45,MATCH(Q$2,'NG Pivot'!$B$36:$N$36,0)+1,FALSE),0)+IFERROR(VLOOKUP($A34,'NG Pivot'!$A$4:$N$29,MATCH(Q$2,'NG Pivot'!$B$3:$N$3,0)+1,FALSE),0)*10</f>
        <v>0</v>
      </c>
      <c r="R34" s="220">
        <f>IFERROR(VLOOKUP($A34,'NG Pivot'!$A$37:$N$45,MATCH(R$2,'NG Pivot'!$B$36:$N$36,0)+1,FALSE),0)+IFERROR(VLOOKUP($A34,'NG Pivot'!$A$4:$N$29,MATCH(R$2,'NG Pivot'!$B$3:$N$3,0)+1,FALSE),0)*10</f>
        <v>34</v>
      </c>
      <c r="S34" s="220">
        <f>IFERROR(VLOOKUP($A34,'NG Pivot'!$A$37:$N$45,MATCH(S$2,'NG Pivot'!$B$36:$N$36,0)+1,FALSE),0)+IFERROR(VLOOKUP($A34,'NG Pivot'!$A$4:$N$29,MATCH(S$2,'NG Pivot'!$B$3:$N$3,0)+1,FALSE),0)*10</f>
        <v>0</v>
      </c>
      <c r="T34" s="220">
        <f>IFERROR(VLOOKUP($A34,'NG Pivot'!$A$37:$N$45,MATCH(T$2,'NG Pivot'!$B$36:$N$36,0)+1,FALSE),0)+IFERROR(VLOOKUP($A34,'NG Pivot'!$A$4:$N$29,MATCH(T$2,'NG Pivot'!$B$3:$N$3,0)+1,FALSE),0)*10</f>
        <v>0</v>
      </c>
      <c r="U34" s="220">
        <f>IFERROR(VLOOKUP($A34,'NG Pivot'!$A$37:$N$45,MATCH(U$2,'NG Pivot'!$B$36:$N$36,0)+1,FALSE),0)+IFERROR(VLOOKUP($A34,'NG Pivot'!$A$4:$N$29,MATCH(U$2,'NG Pivot'!$B$3:$N$3,0)+1,FALSE),0)*10</f>
        <v>0</v>
      </c>
      <c r="V34" s="220">
        <f>IFERROR(VLOOKUP($A34,'NG Pivot'!$A$37:$N$45,MATCH(V$2,'NG Pivot'!$B$36:$N$36,0)+1,FALSE),0)+IFERROR(VLOOKUP($A34,'NG Pivot'!$A$4:$N$29,MATCH(V$2,'NG Pivot'!$B$3:$N$3,0)+1,FALSE),0)*10</f>
        <v>0</v>
      </c>
      <c r="W34" s="220">
        <f>IFERROR(VLOOKUP($A34,'NG Pivot'!$A$37:$N$45,MATCH(W$2,'NG Pivot'!$B$36:$N$36,0)+1,FALSE),0)+IFERROR(VLOOKUP($A34,'NG Pivot'!$A$4:$N$29,MATCH(W$2,'NG Pivot'!$B$3:$N$3,0)+1,FALSE),0)*10</f>
        <v>0</v>
      </c>
      <c r="X34" s="220">
        <f>IFERROR(VLOOKUP($A34,'NG Pivot'!$A$37:$N$45,MATCH(X$2,'NG Pivot'!$B$36:$N$36,0)+1,FALSE),0)+IFERROR(VLOOKUP($A34,'NG Pivot'!$A$4:$N$29,MATCH(X$2,'NG Pivot'!$B$3:$N$3,0)+1,FALSE),0)*10</f>
        <v>0</v>
      </c>
      <c r="Y34" s="220">
        <f>IFERROR(VLOOKUP($A34,'NG Pivot'!$A$37:$N$45,MATCH(Y$2,'NG Pivot'!$B$36:$N$36,0)+1,FALSE),0)+IFERROR(VLOOKUP($A34,'NG Pivot'!$A$4:$N$29,MATCH(Y$2,'NG Pivot'!$B$3:$N$3,0)+1,FALSE),0)*10</f>
        <v>305.4</v>
      </c>
      <c r="Z34" s="220">
        <f>IFERROR(VLOOKUP($A34,'NG Pivot'!$A$37:$N$45,MATCH(Z$2,'NG Pivot'!$B$36:$N$36,0)+1,FALSE),0)+IFERROR(VLOOKUP($A34,'NG Pivot'!$A$4:$N$29,MATCH(Z$2,'NG Pivot'!$B$3:$N$3,0)+1,FALSE),0)*10</f>
        <v>123</v>
      </c>
      <c r="AA34" s="220">
        <f>IFERROR(VLOOKUP($A34,'NG Pivot'!$A$37:$N$45,MATCH(AA$2,'NG Pivot'!$B$36:$N$36,0)+1,FALSE),0)+IFERROR(VLOOKUP($A34,'NG Pivot'!$A$4:$N$29,MATCH(AA$2,'NG Pivot'!$B$3:$N$3,0)+1,FALSE),0)*10</f>
        <v>11.8</v>
      </c>
      <c r="AB34" s="220">
        <f>IFERROR(VLOOKUP($A34,'NG Pivot'!$A$37:$N$45,MATCH(AB$2,'NG Pivot'!$B$36:$N$36,0)+1,FALSE),0)+IFERROR(VLOOKUP($A34,'NG Pivot'!$A$4:$N$29,MATCH(AB$2,'NG Pivot'!$B$3:$N$3,0)+1,FALSE),0)*10</f>
        <v>0</v>
      </c>
      <c r="AC34" s="220">
        <f>IFERROR(VLOOKUP($A34,'NG Pivot'!$A$37:$N$45,MATCH(AC$2,'NG Pivot'!$B$36:$N$36,0)+1,FALSE),0)+IFERROR(VLOOKUP($A34,'NG Pivot'!$A$4:$N$29,MATCH(AC$2,'NG Pivot'!$B$3:$N$3,0)+1,FALSE),0)*10</f>
        <v>60</v>
      </c>
      <c r="AD34" s="220">
        <f>IFERROR(VLOOKUP($A34,'NG Pivot'!$A$37:$N$45,MATCH(AD$2,'NG Pivot'!$B$36:$N$36,0)+1,FALSE),0)+IFERROR(VLOOKUP($A34,'NG Pivot'!$A$4:$N$29,MATCH(AD$2,'NG Pivot'!$B$3:$N$3,0)+1,FALSE),0)*10</f>
        <v>351</v>
      </c>
    </row>
    <row r="36" spans="1:30">
      <c r="A36" s="228" t="s">
        <v>1300</v>
      </c>
    </row>
    <row r="37" spans="1:30">
      <c r="A37" s="221" t="s">
        <v>1268</v>
      </c>
      <c r="B37" s="220">
        <v>1993</v>
      </c>
      <c r="C37" s="220">
        <v>1994</v>
      </c>
      <c r="D37" s="220">
        <v>1995</v>
      </c>
      <c r="E37" s="220">
        <v>1996</v>
      </c>
      <c r="F37" s="220">
        <v>1997</v>
      </c>
      <c r="G37" s="220">
        <v>1998</v>
      </c>
      <c r="H37" s="220">
        <v>1999</v>
      </c>
      <c r="I37" s="220">
        <v>2000</v>
      </c>
      <c r="J37" s="220">
        <v>2001</v>
      </c>
      <c r="K37" s="220">
        <v>2002</v>
      </c>
      <c r="L37" s="220">
        <v>2003</v>
      </c>
      <c r="M37" s="220">
        <v>2004</v>
      </c>
      <c r="N37" s="220">
        <v>2005</v>
      </c>
      <c r="O37" s="220">
        <v>2006</v>
      </c>
      <c r="P37" s="220">
        <v>2007</v>
      </c>
      <c r="Q37" s="220">
        <v>2008</v>
      </c>
      <c r="R37" s="220">
        <v>2009</v>
      </c>
      <c r="S37" s="220">
        <v>2010</v>
      </c>
      <c r="T37" s="220">
        <v>2011</v>
      </c>
      <c r="U37" s="220">
        <v>2012</v>
      </c>
      <c r="V37" s="220">
        <v>2013</v>
      </c>
      <c r="W37" s="220">
        <v>2014</v>
      </c>
      <c r="X37" s="220">
        <v>2015</v>
      </c>
      <c r="Y37" s="220">
        <v>2016</v>
      </c>
      <c r="Z37" s="220">
        <v>2017</v>
      </c>
      <c r="AA37" s="220">
        <v>2018</v>
      </c>
      <c r="AB37" s="220">
        <v>2019</v>
      </c>
      <c r="AC37" s="220">
        <v>2020</v>
      </c>
      <c r="AD37" s="220">
        <v>2021</v>
      </c>
    </row>
    <row r="38" spans="1:30">
      <c r="A38" s="228" t="s">
        <v>80</v>
      </c>
      <c r="B38" s="220">
        <f>SUM(B39:B69)</f>
        <v>0</v>
      </c>
      <c r="C38" s="220">
        <f t="shared" ref="C38" si="1">SUM(C39:C69)</f>
        <v>0</v>
      </c>
      <c r="D38" s="220">
        <f t="shared" ref="D38" si="2">SUM(D39:D69)</f>
        <v>0</v>
      </c>
      <c r="E38" s="220">
        <f t="shared" ref="E38" si="3">SUM(E39:E69)</f>
        <v>0</v>
      </c>
      <c r="F38" s="220">
        <f t="shared" ref="F38" si="4">SUM(F39:F69)</f>
        <v>0</v>
      </c>
      <c r="G38" s="220">
        <f t="shared" ref="G38" si="5">SUM(G39:G69)</f>
        <v>0</v>
      </c>
      <c r="H38" s="220">
        <f t="shared" ref="H38" si="6">SUM(H39:H69)</f>
        <v>0</v>
      </c>
      <c r="I38" s="220">
        <f t="shared" ref="I38" si="7">SUM(I39:I69)</f>
        <v>0</v>
      </c>
      <c r="J38" s="220">
        <f t="shared" ref="J38" si="8">SUM(J39:J69)</f>
        <v>24</v>
      </c>
      <c r="K38" s="220">
        <f t="shared" ref="K38" si="9">SUM(K39:K69)</f>
        <v>12</v>
      </c>
      <c r="L38" s="220">
        <f t="shared" ref="L38" si="10">SUM(L39:L69)</f>
        <v>0</v>
      </c>
      <c r="M38" s="220">
        <f t="shared" ref="M38" si="11">SUM(M39:M69)</f>
        <v>0</v>
      </c>
      <c r="N38" s="220">
        <f t="shared" ref="N38" si="12">SUM(N39:N69)</f>
        <v>0</v>
      </c>
      <c r="O38" s="220">
        <f t="shared" ref="O38" si="13">SUM(O39:O69)</f>
        <v>0</v>
      </c>
      <c r="P38" s="220">
        <f t="shared" ref="P38" si="14">SUM(P39:P69)</f>
        <v>0</v>
      </c>
      <c r="Q38" s="220">
        <f t="shared" ref="Q38" si="15">SUM(Q39:Q69)</f>
        <v>0</v>
      </c>
      <c r="R38" s="220">
        <f t="shared" ref="R38" si="16">SUM(R39:R69)</f>
        <v>13</v>
      </c>
      <c r="S38" s="220">
        <f t="shared" ref="S38" si="17">SUM(S39:S69)</f>
        <v>0</v>
      </c>
      <c r="T38" s="220">
        <f t="shared" ref="T38" si="18">SUM(T39:T69)</f>
        <v>235</v>
      </c>
      <c r="U38" s="220">
        <f t="shared" ref="U38" si="19">SUM(U39:U69)</f>
        <v>5</v>
      </c>
      <c r="V38" s="220">
        <f t="shared" ref="V38" si="20">SUM(V39:V69)</f>
        <v>0</v>
      </c>
      <c r="W38" s="220">
        <f t="shared" ref="W38" si="21">SUM(W39:W69)</f>
        <v>81.3</v>
      </c>
      <c r="X38" s="220">
        <f t="shared" ref="X38" si="22">SUM(X39:X69)</f>
        <v>37</v>
      </c>
      <c r="Y38" s="220">
        <f t="shared" ref="Y38" si="23">SUM(Y39:Y69)</f>
        <v>2.1</v>
      </c>
      <c r="Z38" s="220">
        <f t="shared" ref="Z38" si="24">SUM(Z39:Z69)</f>
        <v>0</v>
      </c>
      <c r="AA38" s="220">
        <f t="shared" ref="AA38" si="25">SUM(AA39:AA69)</f>
        <v>17</v>
      </c>
      <c r="AB38" s="220">
        <f t="shared" ref="AB38" si="26">SUM(AB39:AB69)</f>
        <v>0</v>
      </c>
      <c r="AC38" s="220">
        <f t="shared" ref="AC38" si="27">SUM(AC39:AC69)</f>
        <v>122</v>
      </c>
      <c r="AD38" s="220">
        <f t="shared" ref="AD38" si="28">SUM(AD39:AD69)</f>
        <v>0</v>
      </c>
    </row>
    <row r="39" spans="1:30">
      <c r="A39" s="223" t="s">
        <v>1269</v>
      </c>
      <c r="B39" s="220">
        <f>IFERROR(VLOOKUP($A39,'NG Pivot'!$A$37:$P$45,MATCH(B$2,'NG Pivot'!$O$36:$P$36,0)+14,FALSE),0)+IFERROR(VLOOKUP($A39,'NG Pivot'!$A$4:$AE$29,MATCH(B$2,'NG Pivot'!$X$3:$AE$3,0)+23,FALSE),0)*10</f>
        <v>0</v>
      </c>
      <c r="C39" s="220">
        <f>IFERROR(VLOOKUP($A39,'NG Pivot'!$A$37:$P$45,MATCH(C$2,'NG Pivot'!$O$36:$P$36,0)+14,FALSE),0)+IFERROR(VLOOKUP($A39,'NG Pivot'!$A$4:$AE$29,MATCH(C$2,'NG Pivot'!$X$3:$AE$3,0)+23,FALSE),0)*10</f>
        <v>0</v>
      </c>
      <c r="D39" s="220">
        <f>IFERROR(VLOOKUP($A39,'NG Pivot'!$A$37:$P$45,MATCH(D$2,'NG Pivot'!$O$36:$P$36,0)+14,FALSE),0)+IFERROR(VLOOKUP($A39,'NG Pivot'!$A$4:$AE$29,MATCH(D$2,'NG Pivot'!$X$3:$AE$3,0)+23,FALSE),0)*10</f>
        <v>0</v>
      </c>
      <c r="E39" s="220">
        <f>IFERROR(VLOOKUP($A39,'NG Pivot'!$A$37:$P$45,MATCH(E$2,'NG Pivot'!$O$36:$P$36,0)+14,FALSE),0)+IFERROR(VLOOKUP($A39,'NG Pivot'!$A$4:$AE$29,MATCH(E$2,'NG Pivot'!$X$3:$AE$3,0)+23,FALSE),0)*10</f>
        <v>0</v>
      </c>
      <c r="F39" s="220">
        <f>IFERROR(VLOOKUP($A39,'NG Pivot'!$A$37:$P$45,MATCH(F$2,'NG Pivot'!$O$36:$P$36,0)+14,FALSE),0)+IFERROR(VLOOKUP($A39,'NG Pivot'!$A$4:$AE$29,MATCH(F$2,'NG Pivot'!$X$3:$AE$3,0)+23,FALSE),0)*10</f>
        <v>0</v>
      </c>
      <c r="G39" s="220">
        <f>IFERROR(VLOOKUP($A39,'NG Pivot'!$A$37:$P$45,MATCH(G$2,'NG Pivot'!$O$36:$P$36,0)+14,FALSE),0)+IFERROR(VLOOKUP($A39,'NG Pivot'!$A$4:$AE$29,MATCH(G$2,'NG Pivot'!$X$3:$AE$3,0)+23,FALSE),0)*10</f>
        <v>0</v>
      </c>
      <c r="H39" s="220">
        <f>IFERROR(VLOOKUP($A39,'NG Pivot'!$A$37:$P$45,MATCH(H$2,'NG Pivot'!$O$36:$P$36,0)+14,FALSE),0)+IFERROR(VLOOKUP($A39,'NG Pivot'!$A$4:$AE$29,MATCH(H$2,'NG Pivot'!$X$3:$AE$3,0)+23,FALSE),0)*10</f>
        <v>0</v>
      </c>
      <c r="I39" s="220">
        <f>IFERROR(VLOOKUP($A39,'NG Pivot'!$A$37:$P$45,MATCH(I$2,'NG Pivot'!$O$36:$P$36,0)+14,FALSE),0)+IFERROR(VLOOKUP($A39,'NG Pivot'!$A$4:$AE$29,MATCH(I$2,'NG Pivot'!$X$3:$AE$3,0)+23,FALSE),0)*10</f>
        <v>0</v>
      </c>
      <c r="J39" s="220">
        <f>IFERROR(VLOOKUP($A39,'NG Pivot'!$A$37:$P$45,MATCH(J$2,'NG Pivot'!$O$36:$P$36,0)+14,FALSE),0)+IFERROR(VLOOKUP($A39,'NG Pivot'!$A$4:$AE$29,MATCH(J$2,'NG Pivot'!$X$3:$AE$3,0)+23,FALSE),0)*10</f>
        <v>0</v>
      </c>
      <c r="K39" s="220">
        <f>IFERROR(VLOOKUP($A39,'NG Pivot'!$A$37:$P$45,MATCH(K$2,'NG Pivot'!$O$36:$P$36,0)+14,FALSE),0)+IFERROR(VLOOKUP($A39,'NG Pivot'!$A$4:$AE$29,MATCH(K$2,'NG Pivot'!$X$3:$AE$3,0)+23,FALSE),0)*10</f>
        <v>0</v>
      </c>
      <c r="L39" s="220">
        <f>IFERROR(VLOOKUP($A39,'NG Pivot'!$A$37:$P$45,MATCH(L$2,'NG Pivot'!$O$36:$P$36,0)+14,FALSE),0)+IFERROR(VLOOKUP($A39,'NG Pivot'!$A$4:$AE$29,MATCH(L$2,'NG Pivot'!$X$3:$AE$3,0)+23,FALSE),0)*10</f>
        <v>0</v>
      </c>
      <c r="M39" s="220">
        <f>IFERROR(VLOOKUP($A39,'NG Pivot'!$A$37:$P$45,MATCH(M$2,'NG Pivot'!$O$36:$P$36,0)+14,FALSE),0)+IFERROR(VLOOKUP($A39,'NG Pivot'!$A$4:$AE$29,MATCH(M$2,'NG Pivot'!$X$3:$AE$3,0)+23,FALSE),0)*10</f>
        <v>0</v>
      </c>
      <c r="N39" s="220">
        <f>IFERROR(VLOOKUP($A39,'NG Pivot'!$A$37:$P$45,MATCH(N$2,'NG Pivot'!$O$36:$P$36,0)+14,FALSE),0)+IFERROR(VLOOKUP($A39,'NG Pivot'!$A$4:$AE$29,MATCH(N$2,'NG Pivot'!$X$3:$AE$3,0)+23,FALSE),0)*10</f>
        <v>0</v>
      </c>
      <c r="O39" s="220">
        <f>IFERROR(VLOOKUP($A39,'NG Pivot'!$A$37:$P$45,MATCH(O$2,'NG Pivot'!$O$36:$P$36,0)+14,FALSE),0)+IFERROR(VLOOKUP($A39,'NG Pivot'!$A$4:$AE$29,MATCH(O$2,'NG Pivot'!$X$3:$AE$3,0)+23,FALSE),0)*10</f>
        <v>0</v>
      </c>
      <c r="P39" s="220">
        <f>IFERROR(VLOOKUP($A39,'NG Pivot'!$A$37:$P$45,MATCH(P$2,'NG Pivot'!$O$36:$P$36,0)+14,FALSE),0)+IFERROR(VLOOKUP($A39,'NG Pivot'!$A$4:$AE$29,MATCH(P$2,'NG Pivot'!$X$3:$AE$3,0)+23,FALSE),0)*10</f>
        <v>0</v>
      </c>
      <c r="Q39" s="220">
        <f>IFERROR(VLOOKUP($A39,'NG Pivot'!$A$37:$P$45,MATCH(Q$2,'NG Pivot'!$O$36:$P$36,0)+14,FALSE),0)+IFERROR(VLOOKUP($A39,'NG Pivot'!$A$4:$AE$29,MATCH(Q$2,'NG Pivot'!$X$3:$AE$3,0)+23,FALSE),0)*10</f>
        <v>0</v>
      </c>
      <c r="R39" s="220">
        <f>IFERROR(VLOOKUP($A39,'NG Pivot'!$A$37:$P$45,MATCH(R$2,'NG Pivot'!$O$36:$P$36,0)+14,FALSE),0)+IFERROR(VLOOKUP($A39,'NG Pivot'!$A$4:$AE$29,MATCH(R$2,'NG Pivot'!$X$3:$AE$3,0)+23,FALSE),0)*10</f>
        <v>0</v>
      </c>
      <c r="S39" s="220">
        <f>IFERROR(VLOOKUP($A39,'NG Pivot'!$A$37:$P$45,MATCH(S$2,'NG Pivot'!$O$36:$P$36,0)+14,FALSE),0)+IFERROR(VLOOKUP($A39,'NG Pivot'!$A$4:$AE$29,MATCH(S$2,'NG Pivot'!$X$3:$AE$3,0)+23,FALSE),0)*10</f>
        <v>0</v>
      </c>
      <c r="T39" s="220">
        <f>IFERROR(VLOOKUP($A39,'NG Pivot'!$A$37:$P$45,MATCH(T$2,'NG Pivot'!$O$36:$P$36,0)+14,FALSE),0)+IFERROR(VLOOKUP($A39,'NG Pivot'!$A$4:$AE$29,MATCH(T$2,'NG Pivot'!$X$3:$AE$3,0)+23,FALSE),0)*10</f>
        <v>0</v>
      </c>
      <c r="U39" s="220">
        <f>IFERROR(VLOOKUP($A39,'NG Pivot'!$A$37:$P$45,MATCH(U$2,'NG Pivot'!$O$36:$P$36,0)+14,FALSE),0)+IFERROR(VLOOKUP($A39,'NG Pivot'!$A$4:$AE$29,MATCH(U$2,'NG Pivot'!$X$3:$AE$3,0)+23,FALSE),0)*10</f>
        <v>0</v>
      </c>
      <c r="V39" s="220">
        <f>IFERROR(VLOOKUP($A39,'NG Pivot'!$A$37:$P$45,MATCH(V$2,'NG Pivot'!$O$36:$P$36,0)+14,FALSE),0)+IFERROR(VLOOKUP($A39,'NG Pivot'!$A$4:$AE$29,MATCH(V$2,'NG Pivot'!$X$3:$AE$3,0)+23,FALSE),0)*10</f>
        <v>0</v>
      </c>
      <c r="W39" s="220">
        <f>IFERROR(VLOOKUP($A39,'NG Pivot'!$A$37:$P$45,MATCH(W$2,'NG Pivot'!$O$36:$P$36,0)+14,FALSE),0)+IFERROR(VLOOKUP($A39,'NG Pivot'!$A$4:$AE$29,MATCH(W$2,'NG Pivot'!$X$3:$AE$3,0)+23,FALSE),0)*10</f>
        <v>0</v>
      </c>
      <c r="X39" s="220">
        <f>IFERROR(VLOOKUP($A39,'NG Pivot'!$A$37:$P$45,MATCH(X$2,'NG Pivot'!$O$36:$P$36,0)+14,FALSE),0)+IFERROR(VLOOKUP($A39,'NG Pivot'!$A$4:$AE$29,MATCH(X$2,'NG Pivot'!$X$3:$AE$3,0)+23,FALSE),0)*10</f>
        <v>0</v>
      </c>
      <c r="Y39" s="220">
        <f>IFERROR(VLOOKUP($A39,'NG Pivot'!$A$37:$P$45,MATCH(Y$2,'NG Pivot'!$O$36:$P$36,0)+14,FALSE),0)+IFERROR(VLOOKUP($A39,'NG Pivot'!$A$4:$AE$29,MATCH(Y$2,'NG Pivot'!$X$3:$AE$3,0)+23,FALSE),0)*10</f>
        <v>0</v>
      </c>
      <c r="Z39" s="220">
        <f>IFERROR(VLOOKUP($A39,'NG Pivot'!$A$37:$P$45,MATCH(Z$2,'NG Pivot'!$O$36:$P$36,0)+14,FALSE),0)+IFERROR(VLOOKUP($A39,'NG Pivot'!$A$4:$AE$29,MATCH(Z$2,'NG Pivot'!$X$3:$AE$3,0)+23,FALSE),0)*10</f>
        <v>0</v>
      </c>
      <c r="AA39" s="220">
        <f>IFERROR(VLOOKUP($A39,'NG Pivot'!$A$37:$P$45,MATCH(AA$2,'NG Pivot'!$O$36:$P$36,0)+14,FALSE),0)+IFERROR(VLOOKUP($A39,'NG Pivot'!$A$4:$AE$29,MATCH(AA$2,'NG Pivot'!$X$3:$AE$3,0)+23,FALSE),0)*10</f>
        <v>0</v>
      </c>
      <c r="AB39" s="220">
        <f>IFERROR(VLOOKUP($A39,'NG Pivot'!$A$37:$P$45,MATCH(AB$2,'NG Pivot'!$O$36:$P$36,0)+14,FALSE),0)+IFERROR(VLOOKUP($A39,'NG Pivot'!$A$4:$AE$29,MATCH(AB$2,'NG Pivot'!$X$3:$AE$3,0)+23,FALSE),0)*10</f>
        <v>0</v>
      </c>
      <c r="AC39" s="220">
        <f>IFERROR(VLOOKUP($A39,'NG Pivot'!$A$37:$P$45,MATCH(AC$2,'NG Pivot'!$O$36:$P$36,0)+14,FALSE),0)+IFERROR(VLOOKUP($A39,'NG Pivot'!$A$4:$AE$29,MATCH(AC$2,'NG Pivot'!$X$3:$AE$3,0)+23,FALSE),0)*10</f>
        <v>0</v>
      </c>
      <c r="AD39" s="220">
        <f>IFERROR(VLOOKUP($A39,'NG Pivot'!$A$37:$P$45,MATCH(AD$2,'NG Pivot'!$O$36:$P$36,0)+14,FALSE),0)+IFERROR(VLOOKUP($A39,'NG Pivot'!$A$4:$AE$29,MATCH(AD$2,'NG Pivot'!$X$3:$AE$3,0)+23,FALSE),0)*10</f>
        <v>0</v>
      </c>
    </row>
    <row r="40" spans="1:30">
      <c r="A40" s="223" t="s">
        <v>1270</v>
      </c>
      <c r="B40" s="220">
        <f>IFERROR(VLOOKUP($A40,'NG Pivot'!$A$37:$P$45,MATCH(B$2,'NG Pivot'!$O$36:$P$36,0)+14,FALSE),0)+IFERROR(VLOOKUP($A40,'NG Pivot'!$A$4:$AE$29,MATCH(B$2,'NG Pivot'!$X$3:$AE$3,0)+23,FALSE),0)*10</f>
        <v>0</v>
      </c>
      <c r="C40" s="220">
        <f>IFERROR(VLOOKUP($A40,'NG Pivot'!$A$37:$P$45,MATCH(C$2,'NG Pivot'!$O$36:$P$36,0)+14,FALSE),0)+IFERROR(VLOOKUP($A40,'NG Pivot'!$A$4:$AE$29,MATCH(C$2,'NG Pivot'!$X$3:$AE$3,0)+23,FALSE),0)*10</f>
        <v>0</v>
      </c>
      <c r="D40" s="220">
        <f>IFERROR(VLOOKUP($A40,'NG Pivot'!$A$37:$P$45,MATCH(D$2,'NG Pivot'!$O$36:$P$36,0)+14,FALSE),0)+IFERROR(VLOOKUP($A40,'NG Pivot'!$A$4:$AE$29,MATCH(D$2,'NG Pivot'!$X$3:$AE$3,0)+23,FALSE),0)*10</f>
        <v>0</v>
      </c>
      <c r="E40" s="220">
        <f>IFERROR(VLOOKUP($A40,'NG Pivot'!$A$37:$P$45,MATCH(E$2,'NG Pivot'!$O$36:$P$36,0)+14,FALSE),0)+IFERROR(VLOOKUP($A40,'NG Pivot'!$A$4:$AE$29,MATCH(E$2,'NG Pivot'!$X$3:$AE$3,0)+23,FALSE),0)*10</f>
        <v>0</v>
      </c>
      <c r="F40" s="220">
        <f>IFERROR(VLOOKUP($A40,'NG Pivot'!$A$37:$P$45,MATCH(F$2,'NG Pivot'!$O$36:$P$36,0)+14,FALSE),0)+IFERROR(VLOOKUP($A40,'NG Pivot'!$A$4:$AE$29,MATCH(F$2,'NG Pivot'!$X$3:$AE$3,0)+23,FALSE),0)*10</f>
        <v>0</v>
      </c>
      <c r="G40" s="220">
        <f>IFERROR(VLOOKUP($A40,'NG Pivot'!$A$37:$P$45,MATCH(G$2,'NG Pivot'!$O$36:$P$36,0)+14,FALSE),0)+IFERROR(VLOOKUP($A40,'NG Pivot'!$A$4:$AE$29,MATCH(G$2,'NG Pivot'!$X$3:$AE$3,0)+23,FALSE),0)*10</f>
        <v>0</v>
      </c>
      <c r="H40" s="220">
        <f>IFERROR(VLOOKUP($A40,'NG Pivot'!$A$37:$P$45,MATCH(H$2,'NG Pivot'!$O$36:$P$36,0)+14,FALSE),0)+IFERROR(VLOOKUP($A40,'NG Pivot'!$A$4:$AE$29,MATCH(H$2,'NG Pivot'!$X$3:$AE$3,0)+23,FALSE),0)*10</f>
        <v>0</v>
      </c>
      <c r="I40" s="220">
        <f>IFERROR(VLOOKUP($A40,'NG Pivot'!$A$37:$P$45,MATCH(I$2,'NG Pivot'!$O$36:$P$36,0)+14,FALSE),0)+IFERROR(VLOOKUP($A40,'NG Pivot'!$A$4:$AE$29,MATCH(I$2,'NG Pivot'!$X$3:$AE$3,0)+23,FALSE),0)*10</f>
        <v>0</v>
      </c>
      <c r="J40" s="220">
        <f>IFERROR(VLOOKUP($A40,'NG Pivot'!$A$37:$P$45,MATCH(J$2,'NG Pivot'!$O$36:$P$36,0)+14,FALSE),0)+IFERROR(VLOOKUP($A40,'NG Pivot'!$A$4:$AE$29,MATCH(J$2,'NG Pivot'!$X$3:$AE$3,0)+23,FALSE),0)*10</f>
        <v>0</v>
      </c>
      <c r="K40" s="220">
        <f>IFERROR(VLOOKUP($A40,'NG Pivot'!$A$37:$P$45,MATCH(K$2,'NG Pivot'!$O$36:$P$36,0)+14,FALSE),0)+IFERROR(VLOOKUP($A40,'NG Pivot'!$A$4:$AE$29,MATCH(K$2,'NG Pivot'!$X$3:$AE$3,0)+23,FALSE),0)*10</f>
        <v>0</v>
      </c>
      <c r="L40" s="220">
        <f>IFERROR(VLOOKUP($A40,'NG Pivot'!$A$37:$P$45,MATCH(L$2,'NG Pivot'!$O$36:$P$36,0)+14,FALSE),0)+IFERROR(VLOOKUP($A40,'NG Pivot'!$A$4:$AE$29,MATCH(L$2,'NG Pivot'!$X$3:$AE$3,0)+23,FALSE),0)*10</f>
        <v>0</v>
      </c>
      <c r="M40" s="220">
        <f>IFERROR(VLOOKUP($A40,'NG Pivot'!$A$37:$P$45,MATCH(M$2,'NG Pivot'!$O$36:$P$36,0)+14,FALSE),0)+IFERROR(VLOOKUP($A40,'NG Pivot'!$A$4:$AE$29,MATCH(M$2,'NG Pivot'!$X$3:$AE$3,0)+23,FALSE),0)*10</f>
        <v>0</v>
      </c>
      <c r="N40" s="220">
        <f>IFERROR(VLOOKUP($A40,'NG Pivot'!$A$37:$P$45,MATCH(N$2,'NG Pivot'!$O$36:$P$36,0)+14,FALSE),0)+IFERROR(VLOOKUP($A40,'NG Pivot'!$A$4:$AE$29,MATCH(N$2,'NG Pivot'!$X$3:$AE$3,0)+23,FALSE),0)*10</f>
        <v>0</v>
      </c>
      <c r="O40" s="220">
        <f>IFERROR(VLOOKUP($A40,'NG Pivot'!$A$37:$P$45,MATCH(O$2,'NG Pivot'!$O$36:$P$36,0)+14,FALSE),0)+IFERROR(VLOOKUP($A40,'NG Pivot'!$A$4:$AE$29,MATCH(O$2,'NG Pivot'!$X$3:$AE$3,0)+23,FALSE),0)*10</f>
        <v>0</v>
      </c>
      <c r="P40" s="220">
        <f>IFERROR(VLOOKUP($A40,'NG Pivot'!$A$37:$P$45,MATCH(P$2,'NG Pivot'!$O$36:$P$36,0)+14,FALSE),0)+IFERROR(VLOOKUP($A40,'NG Pivot'!$A$4:$AE$29,MATCH(P$2,'NG Pivot'!$X$3:$AE$3,0)+23,FALSE),0)*10</f>
        <v>0</v>
      </c>
      <c r="Q40" s="220">
        <f>IFERROR(VLOOKUP($A40,'NG Pivot'!$A$37:$P$45,MATCH(Q$2,'NG Pivot'!$O$36:$P$36,0)+14,FALSE),0)+IFERROR(VLOOKUP($A40,'NG Pivot'!$A$4:$AE$29,MATCH(Q$2,'NG Pivot'!$X$3:$AE$3,0)+23,FALSE),0)*10</f>
        <v>0</v>
      </c>
      <c r="R40" s="220">
        <f>IFERROR(VLOOKUP($A40,'NG Pivot'!$A$37:$P$45,MATCH(R$2,'NG Pivot'!$O$36:$P$36,0)+14,FALSE),0)+IFERROR(VLOOKUP($A40,'NG Pivot'!$A$4:$AE$29,MATCH(R$2,'NG Pivot'!$X$3:$AE$3,0)+23,FALSE),0)*10</f>
        <v>0</v>
      </c>
      <c r="S40" s="220">
        <f>IFERROR(VLOOKUP($A40,'NG Pivot'!$A$37:$P$45,MATCH(S$2,'NG Pivot'!$O$36:$P$36,0)+14,FALSE),0)+IFERROR(VLOOKUP($A40,'NG Pivot'!$A$4:$AE$29,MATCH(S$2,'NG Pivot'!$X$3:$AE$3,0)+23,FALSE),0)*10</f>
        <v>0</v>
      </c>
      <c r="T40" s="220">
        <f>IFERROR(VLOOKUP($A40,'NG Pivot'!$A$37:$P$45,MATCH(T$2,'NG Pivot'!$O$36:$P$36,0)+14,FALSE),0)+IFERROR(VLOOKUP($A40,'NG Pivot'!$A$4:$AE$29,MATCH(T$2,'NG Pivot'!$X$3:$AE$3,0)+23,FALSE),0)*10</f>
        <v>0</v>
      </c>
      <c r="U40" s="220">
        <f>IFERROR(VLOOKUP($A40,'NG Pivot'!$A$37:$P$45,MATCH(U$2,'NG Pivot'!$O$36:$P$36,0)+14,FALSE),0)+IFERROR(VLOOKUP($A40,'NG Pivot'!$A$4:$AE$29,MATCH(U$2,'NG Pivot'!$X$3:$AE$3,0)+23,FALSE),0)*10</f>
        <v>0</v>
      </c>
      <c r="V40" s="220">
        <f>IFERROR(VLOOKUP($A40,'NG Pivot'!$A$37:$P$45,MATCH(V$2,'NG Pivot'!$O$36:$P$36,0)+14,FALSE),0)+IFERROR(VLOOKUP($A40,'NG Pivot'!$A$4:$AE$29,MATCH(V$2,'NG Pivot'!$X$3:$AE$3,0)+23,FALSE),0)*10</f>
        <v>0</v>
      </c>
      <c r="W40" s="220">
        <f>IFERROR(VLOOKUP($A40,'NG Pivot'!$A$37:$P$45,MATCH(W$2,'NG Pivot'!$O$36:$P$36,0)+14,FALSE),0)+IFERROR(VLOOKUP($A40,'NG Pivot'!$A$4:$AE$29,MATCH(W$2,'NG Pivot'!$X$3:$AE$3,0)+23,FALSE),0)*10</f>
        <v>0</v>
      </c>
      <c r="X40" s="220">
        <f>IFERROR(VLOOKUP($A40,'NG Pivot'!$A$37:$P$45,MATCH(X$2,'NG Pivot'!$O$36:$P$36,0)+14,FALSE),0)+IFERROR(VLOOKUP($A40,'NG Pivot'!$A$4:$AE$29,MATCH(X$2,'NG Pivot'!$X$3:$AE$3,0)+23,FALSE),0)*10</f>
        <v>0</v>
      </c>
      <c r="Y40" s="220">
        <f>IFERROR(VLOOKUP($A40,'NG Pivot'!$A$37:$P$45,MATCH(Y$2,'NG Pivot'!$O$36:$P$36,0)+14,FALSE),0)+IFERROR(VLOOKUP($A40,'NG Pivot'!$A$4:$AE$29,MATCH(Y$2,'NG Pivot'!$X$3:$AE$3,0)+23,FALSE),0)*10</f>
        <v>0</v>
      </c>
      <c r="Z40" s="220">
        <f>IFERROR(VLOOKUP($A40,'NG Pivot'!$A$37:$P$45,MATCH(Z$2,'NG Pivot'!$O$36:$P$36,0)+14,FALSE),0)+IFERROR(VLOOKUP($A40,'NG Pivot'!$A$4:$AE$29,MATCH(Z$2,'NG Pivot'!$X$3:$AE$3,0)+23,FALSE),0)*10</f>
        <v>0</v>
      </c>
      <c r="AA40" s="220">
        <f>IFERROR(VLOOKUP($A40,'NG Pivot'!$A$37:$P$45,MATCH(AA$2,'NG Pivot'!$O$36:$P$36,0)+14,FALSE),0)+IFERROR(VLOOKUP($A40,'NG Pivot'!$A$4:$AE$29,MATCH(AA$2,'NG Pivot'!$X$3:$AE$3,0)+23,FALSE),0)*10</f>
        <v>0</v>
      </c>
      <c r="AB40" s="220">
        <f>IFERROR(VLOOKUP($A40,'NG Pivot'!$A$37:$P$45,MATCH(AB$2,'NG Pivot'!$O$36:$P$36,0)+14,FALSE),0)+IFERROR(VLOOKUP($A40,'NG Pivot'!$A$4:$AE$29,MATCH(AB$2,'NG Pivot'!$X$3:$AE$3,0)+23,FALSE),0)*10</f>
        <v>0</v>
      </c>
      <c r="AC40" s="220">
        <f>IFERROR(VLOOKUP($A40,'NG Pivot'!$A$37:$P$45,MATCH(AC$2,'NG Pivot'!$O$36:$P$36,0)+14,FALSE),0)+IFERROR(VLOOKUP($A40,'NG Pivot'!$A$4:$AE$29,MATCH(AC$2,'NG Pivot'!$X$3:$AE$3,0)+23,FALSE),0)*10</f>
        <v>0</v>
      </c>
      <c r="AD40" s="220">
        <f>IFERROR(VLOOKUP($A40,'NG Pivot'!$A$37:$P$45,MATCH(AD$2,'NG Pivot'!$O$36:$P$36,0)+14,FALSE),0)+IFERROR(VLOOKUP($A40,'NG Pivot'!$A$4:$AE$29,MATCH(AD$2,'NG Pivot'!$X$3:$AE$3,0)+23,FALSE),0)*10</f>
        <v>0</v>
      </c>
    </row>
    <row r="41" spans="1:30">
      <c r="A41" s="223" t="s">
        <v>1271</v>
      </c>
      <c r="B41" s="220">
        <f>IFERROR(VLOOKUP($A41,'NG Pivot'!$A$37:$P$45,MATCH(B$2,'NG Pivot'!$O$36:$P$36,0)+14,FALSE),0)+IFERROR(VLOOKUP($A41,'NG Pivot'!$A$4:$AE$29,MATCH(B$2,'NG Pivot'!$X$3:$AE$3,0)+23,FALSE),0)*10</f>
        <v>0</v>
      </c>
      <c r="C41" s="220">
        <f>IFERROR(VLOOKUP($A41,'NG Pivot'!$A$37:$P$45,MATCH(C$2,'NG Pivot'!$O$36:$P$36,0)+14,FALSE),0)+IFERROR(VLOOKUP($A41,'NG Pivot'!$A$4:$AE$29,MATCH(C$2,'NG Pivot'!$X$3:$AE$3,0)+23,FALSE),0)*10</f>
        <v>0</v>
      </c>
      <c r="D41" s="220">
        <f>IFERROR(VLOOKUP($A41,'NG Pivot'!$A$37:$P$45,MATCH(D$2,'NG Pivot'!$O$36:$P$36,0)+14,FALSE),0)+IFERROR(VLOOKUP($A41,'NG Pivot'!$A$4:$AE$29,MATCH(D$2,'NG Pivot'!$X$3:$AE$3,0)+23,FALSE),0)*10</f>
        <v>0</v>
      </c>
      <c r="E41" s="220">
        <f>IFERROR(VLOOKUP($A41,'NG Pivot'!$A$37:$P$45,MATCH(E$2,'NG Pivot'!$O$36:$P$36,0)+14,FALSE),0)+IFERROR(VLOOKUP($A41,'NG Pivot'!$A$4:$AE$29,MATCH(E$2,'NG Pivot'!$X$3:$AE$3,0)+23,FALSE),0)*10</f>
        <v>0</v>
      </c>
      <c r="F41" s="220">
        <f>IFERROR(VLOOKUP($A41,'NG Pivot'!$A$37:$P$45,MATCH(F$2,'NG Pivot'!$O$36:$P$36,0)+14,FALSE),0)+IFERROR(VLOOKUP($A41,'NG Pivot'!$A$4:$AE$29,MATCH(F$2,'NG Pivot'!$X$3:$AE$3,0)+23,FALSE),0)*10</f>
        <v>0</v>
      </c>
      <c r="G41" s="220">
        <f>IFERROR(VLOOKUP($A41,'NG Pivot'!$A$37:$P$45,MATCH(G$2,'NG Pivot'!$O$36:$P$36,0)+14,FALSE),0)+IFERROR(VLOOKUP($A41,'NG Pivot'!$A$4:$AE$29,MATCH(G$2,'NG Pivot'!$X$3:$AE$3,0)+23,FALSE),0)*10</f>
        <v>0</v>
      </c>
      <c r="H41" s="220">
        <f>IFERROR(VLOOKUP($A41,'NG Pivot'!$A$37:$P$45,MATCH(H$2,'NG Pivot'!$O$36:$P$36,0)+14,FALSE),0)+IFERROR(VLOOKUP($A41,'NG Pivot'!$A$4:$AE$29,MATCH(H$2,'NG Pivot'!$X$3:$AE$3,0)+23,FALSE),0)*10</f>
        <v>0</v>
      </c>
      <c r="I41" s="220">
        <f>IFERROR(VLOOKUP($A41,'NG Pivot'!$A$37:$P$45,MATCH(I$2,'NG Pivot'!$O$36:$P$36,0)+14,FALSE),0)+IFERROR(VLOOKUP($A41,'NG Pivot'!$A$4:$AE$29,MATCH(I$2,'NG Pivot'!$X$3:$AE$3,0)+23,FALSE),0)*10</f>
        <v>0</v>
      </c>
      <c r="J41" s="220">
        <f>IFERROR(VLOOKUP($A41,'NG Pivot'!$A$37:$P$45,MATCH(J$2,'NG Pivot'!$O$36:$P$36,0)+14,FALSE),0)+IFERROR(VLOOKUP($A41,'NG Pivot'!$A$4:$AE$29,MATCH(J$2,'NG Pivot'!$X$3:$AE$3,0)+23,FALSE),0)*10</f>
        <v>0</v>
      </c>
      <c r="K41" s="220">
        <f>IFERROR(VLOOKUP($A41,'NG Pivot'!$A$37:$P$45,MATCH(K$2,'NG Pivot'!$O$36:$P$36,0)+14,FALSE),0)+IFERROR(VLOOKUP($A41,'NG Pivot'!$A$4:$AE$29,MATCH(K$2,'NG Pivot'!$X$3:$AE$3,0)+23,FALSE),0)*10</f>
        <v>0</v>
      </c>
      <c r="L41" s="220">
        <f>IFERROR(VLOOKUP($A41,'NG Pivot'!$A$37:$P$45,MATCH(L$2,'NG Pivot'!$O$36:$P$36,0)+14,FALSE),0)+IFERROR(VLOOKUP($A41,'NG Pivot'!$A$4:$AE$29,MATCH(L$2,'NG Pivot'!$X$3:$AE$3,0)+23,FALSE),0)*10</f>
        <v>0</v>
      </c>
      <c r="M41" s="220">
        <f>IFERROR(VLOOKUP($A41,'NG Pivot'!$A$37:$P$45,MATCH(M$2,'NG Pivot'!$O$36:$P$36,0)+14,FALSE),0)+IFERROR(VLOOKUP($A41,'NG Pivot'!$A$4:$AE$29,MATCH(M$2,'NG Pivot'!$X$3:$AE$3,0)+23,FALSE),0)*10</f>
        <v>0</v>
      </c>
      <c r="N41" s="220">
        <f>IFERROR(VLOOKUP($A41,'NG Pivot'!$A$37:$P$45,MATCH(N$2,'NG Pivot'!$O$36:$P$36,0)+14,FALSE),0)+IFERROR(VLOOKUP($A41,'NG Pivot'!$A$4:$AE$29,MATCH(N$2,'NG Pivot'!$X$3:$AE$3,0)+23,FALSE),0)*10</f>
        <v>0</v>
      </c>
      <c r="O41" s="220">
        <f>IFERROR(VLOOKUP($A41,'NG Pivot'!$A$37:$P$45,MATCH(O$2,'NG Pivot'!$O$36:$P$36,0)+14,FALSE),0)+IFERROR(VLOOKUP($A41,'NG Pivot'!$A$4:$AE$29,MATCH(O$2,'NG Pivot'!$X$3:$AE$3,0)+23,FALSE),0)*10</f>
        <v>0</v>
      </c>
      <c r="P41" s="220">
        <f>IFERROR(VLOOKUP($A41,'NG Pivot'!$A$37:$P$45,MATCH(P$2,'NG Pivot'!$O$36:$P$36,0)+14,FALSE),0)+IFERROR(VLOOKUP($A41,'NG Pivot'!$A$4:$AE$29,MATCH(P$2,'NG Pivot'!$X$3:$AE$3,0)+23,FALSE),0)*10</f>
        <v>0</v>
      </c>
      <c r="Q41" s="220">
        <f>IFERROR(VLOOKUP($A41,'NG Pivot'!$A$37:$P$45,MATCH(Q$2,'NG Pivot'!$O$36:$P$36,0)+14,FALSE),0)+IFERROR(VLOOKUP($A41,'NG Pivot'!$A$4:$AE$29,MATCH(Q$2,'NG Pivot'!$X$3:$AE$3,0)+23,FALSE),0)*10</f>
        <v>0</v>
      </c>
      <c r="R41" s="220">
        <f>IFERROR(VLOOKUP($A41,'NG Pivot'!$A$37:$P$45,MATCH(R$2,'NG Pivot'!$O$36:$P$36,0)+14,FALSE),0)+IFERROR(VLOOKUP($A41,'NG Pivot'!$A$4:$AE$29,MATCH(R$2,'NG Pivot'!$X$3:$AE$3,0)+23,FALSE),0)*10</f>
        <v>0</v>
      </c>
      <c r="S41" s="220">
        <f>IFERROR(VLOOKUP($A41,'NG Pivot'!$A$37:$P$45,MATCH(S$2,'NG Pivot'!$O$36:$P$36,0)+14,FALSE),0)+IFERROR(VLOOKUP($A41,'NG Pivot'!$A$4:$AE$29,MATCH(S$2,'NG Pivot'!$X$3:$AE$3,0)+23,FALSE),0)*10</f>
        <v>0</v>
      </c>
      <c r="T41" s="220">
        <f>IFERROR(VLOOKUP($A41,'NG Pivot'!$A$37:$P$45,MATCH(T$2,'NG Pivot'!$O$36:$P$36,0)+14,FALSE),0)+IFERROR(VLOOKUP($A41,'NG Pivot'!$A$4:$AE$29,MATCH(T$2,'NG Pivot'!$X$3:$AE$3,0)+23,FALSE),0)*10</f>
        <v>0</v>
      </c>
      <c r="U41" s="220">
        <f>IFERROR(VLOOKUP($A41,'NG Pivot'!$A$37:$P$45,MATCH(U$2,'NG Pivot'!$O$36:$P$36,0)+14,FALSE),0)+IFERROR(VLOOKUP($A41,'NG Pivot'!$A$4:$AE$29,MATCH(U$2,'NG Pivot'!$X$3:$AE$3,0)+23,FALSE),0)*10</f>
        <v>0</v>
      </c>
      <c r="V41" s="220">
        <f>IFERROR(VLOOKUP($A41,'NG Pivot'!$A$37:$P$45,MATCH(V$2,'NG Pivot'!$O$36:$P$36,0)+14,FALSE),0)+IFERROR(VLOOKUP($A41,'NG Pivot'!$A$4:$AE$29,MATCH(V$2,'NG Pivot'!$X$3:$AE$3,0)+23,FALSE),0)*10</f>
        <v>0</v>
      </c>
      <c r="W41" s="220">
        <f>IFERROR(VLOOKUP($A41,'NG Pivot'!$A$37:$P$45,MATCH(W$2,'NG Pivot'!$O$36:$P$36,0)+14,FALSE),0)+IFERROR(VLOOKUP($A41,'NG Pivot'!$A$4:$AE$29,MATCH(W$2,'NG Pivot'!$X$3:$AE$3,0)+23,FALSE),0)*10</f>
        <v>0</v>
      </c>
      <c r="X41" s="220">
        <f>IFERROR(VLOOKUP($A41,'NG Pivot'!$A$37:$P$45,MATCH(X$2,'NG Pivot'!$O$36:$P$36,0)+14,FALSE),0)+IFERROR(VLOOKUP($A41,'NG Pivot'!$A$4:$AE$29,MATCH(X$2,'NG Pivot'!$X$3:$AE$3,0)+23,FALSE),0)*10</f>
        <v>0</v>
      </c>
      <c r="Y41" s="220">
        <f>IFERROR(VLOOKUP($A41,'NG Pivot'!$A$37:$P$45,MATCH(Y$2,'NG Pivot'!$O$36:$P$36,0)+14,FALSE),0)+IFERROR(VLOOKUP($A41,'NG Pivot'!$A$4:$AE$29,MATCH(Y$2,'NG Pivot'!$X$3:$AE$3,0)+23,FALSE),0)*10</f>
        <v>0</v>
      </c>
      <c r="Z41" s="220">
        <f>IFERROR(VLOOKUP($A41,'NG Pivot'!$A$37:$P$45,MATCH(Z$2,'NG Pivot'!$O$36:$P$36,0)+14,FALSE),0)+IFERROR(VLOOKUP($A41,'NG Pivot'!$A$4:$AE$29,MATCH(Z$2,'NG Pivot'!$X$3:$AE$3,0)+23,FALSE),0)*10</f>
        <v>0</v>
      </c>
      <c r="AA41" s="220">
        <f>IFERROR(VLOOKUP($A41,'NG Pivot'!$A$37:$P$45,MATCH(AA$2,'NG Pivot'!$O$36:$P$36,0)+14,FALSE),0)+IFERROR(VLOOKUP($A41,'NG Pivot'!$A$4:$AE$29,MATCH(AA$2,'NG Pivot'!$X$3:$AE$3,0)+23,FALSE),0)*10</f>
        <v>0</v>
      </c>
      <c r="AB41" s="220">
        <f>IFERROR(VLOOKUP($A41,'NG Pivot'!$A$37:$P$45,MATCH(AB$2,'NG Pivot'!$O$36:$P$36,0)+14,FALSE),0)+IFERROR(VLOOKUP($A41,'NG Pivot'!$A$4:$AE$29,MATCH(AB$2,'NG Pivot'!$X$3:$AE$3,0)+23,FALSE),0)*10</f>
        <v>0</v>
      </c>
      <c r="AC41" s="220">
        <f>IFERROR(VLOOKUP($A41,'NG Pivot'!$A$37:$P$45,MATCH(AC$2,'NG Pivot'!$O$36:$P$36,0)+14,FALSE),0)+IFERROR(VLOOKUP($A41,'NG Pivot'!$A$4:$AE$29,MATCH(AC$2,'NG Pivot'!$X$3:$AE$3,0)+23,FALSE),0)*10</f>
        <v>0</v>
      </c>
      <c r="AD41" s="220">
        <f>IFERROR(VLOOKUP($A41,'NG Pivot'!$A$37:$P$45,MATCH(AD$2,'NG Pivot'!$O$36:$P$36,0)+14,FALSE),0)+IFERROR(VLOOKUP($A41,'NG Pivot'!$A$4:$AE$29,MATCH(AD$2,'NG Pivot'!$X$3:$AE$3,0)+23,FALSE),0)*10</f>
        <v>0</v>
      </c>
    </row>
    <row r="42" spans="1:30">
      <c r="A42" s="223" t="s">
        <v>1272</v>
      </c>
      <c r="B42" s="220">
        <f>IFERROR(VLOOKUP($A42,'NG Pivot'!$A$37:$P$45,MATCH(B$2,'NG Pivot'!$O$36:$P$36,0)+14,FALSE),0)+IFERROR(VLOOKUP($A42,'NG Pivot'!$A$4:$AE$29,MATCH(B$2,'NG Pivot'!$X$3:$AE$3,0)+23,FALSE),0)*10</f>
        <v>0</v>
      </c>
      <c r="C42" s="220">
        <f>IFERROR(VLOOKUP($A42,'NG Pivot'!$A$37:$P$45,MATCH(C$2,'NG Pivot'!$O$36:$P$36,0)+14,FALSE),0)+IFERROR(VLOOKUP($A42,'NG Pivot'!$A$4:$AE$29,MATCH(C$2,'NG Pivot'!$X$3:$AE$3,0)+23,FALSE),0)*10</f>
        <v>0</v>
      </c>
      <c r="D42" s="220">
        <f>IFERROR(VLOOKUP($A42,'NG Pivot'!$A$37:$P$45,MATCH(D$2,'NG Pivot'!$O$36:$P$36,0)+14,FALSE),0)+IFERROR(VLOOKUP($A42,'NG Pivot'!$A$4:$AE$29,MATCH(D$2,'NG Pivot'!$X$3:$AE$3,0)+23,FALSE),0)*10</f>
        <v>0</v>
      </c>
      <c r="E42" s="220">
        <f>IFERROR(VLOOKUP($A42,'NG Pivot'!$A$37:$P$45,MATCH(E$2,'NG Pivot'!$O$36:$P$36,0)+14,FALSE),0)+IFERROR(VLOOKUP($A42,'NG Pivot'!$A$4:$AE$29,MATCH(E$2,'NG Pivot'!$X$3:$AE$3,0)+23,FALSE),0)*10</f>
        <v>0</v>
      </c>
      <c r="F42" s="220">
        <f>IFERROR(VLOOKUP($A42,'NG Pivot'!$A$37:$P$45,MATCH(F$2,'NG Pivot'!$O$36:$P$36,0)+14,FALSE),0)+IFERROR(VLOOKUP($A42,'NG Pivot'!$A$4:$AE$29,MATCH(F$2,'NG Pivot'!$X$3:$AE$3,0)+23,FALSE),0)*10</f>
        <v>0</v>
      </c>
      <c r="G42" s="220">
        <f>IFERROR(VLOOKUP($A42,'NG Pivot'!$A$37:$P$45,MATCH(G$2,'NG Pivot'!$O$36:$P$36,0)+14,FALSE),0)+IFERROR(VLOOKUP($A42,'NG Pivot'!$A$4:$AE$29,MATCH(G$2,'NG Pivot'!$X$3:$AE$3,0)+23,FALSE),0)*10</f>
        <v>0</v>
      </c>
      <c r="H42" s="220">
        <f>IFERROR(VLOOKUP($A42,'NG Pivot'!$A$37:$P$45,MATCH(H$2,'NG Pivot'!$O$36:$P$36,0)+14,FALSE),0)+IFERROR(VLOOKUP($A42,'NG Pivot'!$A$4:$AE$29,MATCH(H$2,'NG Pivot'!$X$3:$AE$3,0)+23,FALSE),0)*10</f>
        <v>0</v>
      </c>
      <c r="I42" s="220">
        <f>IFERROR(VLOOKUP($A42,'NG Pivot'!$A$37:$P$45,MATCH(I$2,'NG Pivot'!$O$36:$P$36,0)+14,FALSE),0)+IFERROR(VLOOKUP($A42,'NG Pivot'!$A$4:$AE$29,MATCH(I$2,'NG Pivot'!$X$3:$AE$3,0)+23,FALSE),0)*10</f>
        <v>0</v>
      </c>
      <c r="J42" s="220">
        <f>IFERROR(VLOOKUP($A42,'NG Pivot'!$A$37:$P$45,MATCH(J$2,'NG Pivot'!$O$36:$P$36,0)+14,FALSE),0)+IFERROR(VLOOKUP($A42,'NG Pivot'!$A$4:$AE$29,MATCH(J$2,'NG Pivot'!$X$3:$AE$3,0)+23,FALSE),0)*10</f>
        <v>0</v>
      </c>
      <c r="K42" s="220">
        <f>IFERROR(VLOOKUP($A42,'NG Pivot'!$A$37:$P$45,MATCH(K$2,'NG Pivot'!$O$36:$P$36,0)+14,FALSE),0)+IFERROR(VLOOKUP($A42,'NG Pivot'!$A$4:$AE$29,MATCH(K$2,'NG Pivot'!$X$3:$AE$3,0)+23,FALSE),0)*10</f>
        <v>0</v>
      </c>
      <c r="L42" s="220">
        <f>IFERROR(VLOOKUP($A42,'NG Pivot'!$A$37:$P$45,MATCH(L$2,'NG Pivot'!$O$36:$P$36,0)+14,FALSE),0)+IFERROR(VLOOKUP($A42,'NG Pivot'!$A$4:$AE$29,MATCH(L$2,'NG Pivot'!$X$3:$AE$3,0)+23,FALSE),0)*10</f>
        <v>0</v>
      </c>
      <c r="M42" s="220">
        <f>IFERROR(VLOOKUP($A42,'NG Pivot'!$A$37:$P$45,MATCH(M$2,'NG Pivot'!$O$36:$P$36,0)+14,FALSE),0)+IFERROR(VLOOKUP($A42,'NG Pivot'!$A$4:$AE$29,MATCH(M$2,'NG Pivot'!$X$3:$AE$3,0)+23,FALSE),0)*10</f>
        <v>0</v>
      </c>
      <c r="N42" s="220">
        <f>IFERROR(VLOOKUP($A42,'NG Pivot'!$A$37:$P$45,MATCH(N$2,'NG Pivot'!$O$36:$P$36,0)+14,FALSE),0)+IFERROR(VLOOKUP($A42,'NG Pivot'!$A$4:$AE$29,MATCH(N$2,'NG Pivot'!$X$3:$AE$3,0)+23,FALSE),0)*10</f>
        <v>0</v>
      </c>
      <c r="O42" s="220">
        <f>IFERROR(VLOOKUP($A42,'NG Pivot'!$A$37:$P$45,MATCH(O$2,'NG Pivot'!$O$36:$P$36,0)+14,FALSE),0)+IFERROR(VLOOKUP($A42,'NG Pivot'!$A$4:$AE$29,MATCH(O$2,'NG Pivot'!$X$3:$AE$3,0)+23,FALSE),0)*10</f>
        <v>0</v>
      </c>
      <c r="P42" s="220">
        <f>IFERROR(VLOOKUP($A42,'NG Pivot'!$A$37:$P$45,MATCH(P$2,'NG Pivot'!$O$36:$P$36,0)+14,FALSE),0)+IFERROR(VLOOKUP($A42,'NG Pivot'!$A$4:$AE$29,MATCH(P$2,'NG Pivot'!$X$3:$AE$3,0)+23,FALSE),0)*10</f>
        <v>0</v>
      </c>
      <c r="Q42" s="220">
        <f>IFERROR(VLOOKUP($A42,'NG Pivot'!$A$37:$P$45,MATCH(Q$2,'NG Pivot'!$O$36:$P$36,0)+14,FALSE),0)+IFERROR(VLOOKUP($A42,'NG Pivot'!$A$4:$AE$29,MATCH(Q$2,'NG Pivot'!$X$3:$AE$3,0)+23,FALSE),0)*10</f>
        <v>0</v>
      </c>
      <c r="R42" s="220">
        <f>IFERROR(VLOOKUP($A42,'NG Pivot'!$A$37:$P$45,MATCH(R$2,'NG Pivot'!$O$36:$P$36,0)+14,FALSE),0)+IFERROR(VLOOKUP($A42,'NG Pivot'!$A$4:$AE$29,MATCH(R$2,'NG Pivot'!$X$3:$AE$3,0)+23,FALSE),0)*10</f>
        <v>0</v>
      </c>
      <c r="S42" s="220">
        <f>IFERROR(VLOOKUP($A42,'NG Pivot'!$A$37:$P$45,MATCH(S$2,'NG Pivot'!$O$36:$P$36,0)+14,FALSE),0)+IFERROR(VLOOKUP($A42,'NG Pivot'!$A$4:$AE$29,MATCH(S$2,'NG Pivot'!$X$3:$AE$3,0)+23,FALSE),0)*10</f>
        <v>0</v>
      </c>
      <c r="T42" s="220">
        <f>IFERROR(VLOOKUP($A42,'NG Pivot'!$A$37:$P$45,MATCH(T$2,'NG Pivot'!$O$36:$P$36,0)+14,FALSE),0)+IFERROR(VLOOKUP($A42,'NG Pivot'!$A$4:$AE$29,MATCH(T$2,'NG Pivot'!$X$3:$AE$3,0)+23,FALSE),0)*10</f>
        <v>35</v>
      </c>
      <c r="U42" s="220">
        <f>IFERROR(VLOOKUP($A42,'NG Pivot'!$A$37:$P$45,MATCH(U$2,'NG Pivot'!$O$36:$P$36,0)+14,FALSE),0)+IFERROR(VLOOKUP($A42,'NG Pivot'!$A$4:$AE$29,MATCH(U$2,'NG Pivot'!$X$3:$AE$3,0)+23,FALSE),0)*10</f>
        <v>5</v>
      </c>
      <c r="V42" s="220">
        <f>IFERROR(VLOOKUP($A42,'NG Pivot'!$A$37:$P$45,MATCH(V$2,'NG Pivot'!$O$36:$P$36,0)+14,FALSE),0)+IFERROR(VLOOKUP($A42,'NG Pivot'!$A$4:$AE$29,MATCH(V$2,'NG Pivot'!$X$3:$AE$3,0)+23,FALSE),0)*10</f>
        <v>0</v>
      </c>
      <c r="W42" s="220">
        <f>IFERROR(VLOOKUP($A42,'NG Pivot'!$A$37:$P$45,MATCH(W$2,'NG Pivot'!$O$36:$P$36,0)+14,FALSE),0)+IFERROR(VLOOKUP($A42,'NG Pivot'!$A$4:$AE$29,MATCH(W$2,'NG Pivot'!$X$3:$AE$3,0)+23,FALSE),0)*10</f>
        <v>0</v>
      </c>
      <c r="X42" s="220">
        <f>IFERROR(VLOOKUP($A42,'NG Pivot'!$A$37:$P$45,MATCH(X$2,'NG Pivot'!$O$36:$P$36,0)+14,FALSE),0)+IFERROR(VLOOKUP($A42,'NG Pivot'!$A$4:$AE$29,MATCH(X$2,'NG Pivot'!$X$3:$AE$3,0)+23,FALSE),0)*10</f>
        <v>37</v>
      </c>
      <c r="Y42" s="220">
        <f>IFERROR(VLOOKUP($A42,'NG Pivot'!$A$37:$P$45,MATCH(Y$2,'NG Pivot'!$O$36:$P$36,0)+14,FALSE),0)+IFERROR(VLOOKUP($A42,'NG Pivot'!$A$4:$AE$29,MATCH(Y$2,'NG Pivot'!$X$3:$AE$3,0)+23,FALSE),0)*10</f>
        <v>0</v>
      </c>
      <c r="Z42" s="220">
        <f>IFERROR(VLOOKUP($A42,'NG Pivot'!$A$37:$P$45,MATCH(Z$2,'NG Pivot'!$O$36:$P$36,0)+14,FALSE),0)+IFERROR(VLOOKUP($A42,'NG Pivot'!$A$4:$AE$29,MATCH(Z$2,'NG Pivot'!$X$3:$AE$3,0)+23,FALSE),0)*10</f>
        <v>0</v>
      </c>
      <c r="AA42" s="220">
        <f>IFERROR(VLOOKUP($A42,'NG Pivot'!$A$37:$P$45,MATCH(AA$2,'NG Pivot'!$O$36:$P$36,0)+14,FALSE),0)+IFERROR(VLOOKUP($A42,'NG Pivot'!$A$4:$AE$29,MATCH(AA$2,'NG Pivot'!$X$3:$AE$3,0)+23,FALSE),0)*10</f>
        <v>0</v>
      </c>
      <c r="AB42" s="220">
        <f>IFERROR(VLOOKUP($A42,'NG Pivot'!$A$37:$P$45,MATCH(AB$2,'NG Pivot'!$O$36:$P$36,0)+14,FALSE),0)+IFERROR(VLOOKUP($A42,'NG Pivot'!$A$4:$AE$29,MATCH(AB$2,'NG Pivot'!$X$3:$AE$3,0)+23,FALSE),0)*10</f>
        <v>0</v>
      </c>
      <c r="AC42" s="220">
        <f>IFERROR(VLOOKUP($A42,'NG Pivot'!$A$37:$P$45,MATCH(AC$2,'NG Pivot'!$O$36:$P$36,0)+14,FALSE),0)+IFERROR(VLOOKUP($A42,'NG Pivot'!$A$4:$AE$29,MATCH(AC$2,'NG Pivot'!$X$3:$AE$3,0)+23,FALSE),0)*10</f>
        <v>97</v>
      </c>
      <c r="AD42" s="220">
        <f>IFERROR(VLOOKUP($A42,'NG Pivot'!$A$37:$P$45,MATCH(AD$2,'NG Pivot'!$O$36:$P$36,0)+14,FALSE),0)+IFERROR(VLOOKUP($A42,'NG Pivot'!$A$4:$AE$29,MATCH(AD$2,'NG Pivot'!$X$3:$AE$3,0)+23,FALSE),0)*10</f>
        <v>0</v>
      </c>
    </row>
    <row r="43" spans="1:30">
      <c r="A43" s="223" t="s">
        <v>1273</v>
      </c>
      <c r="B43" s="220">
        <f>IFERROR(VLOOKUP($A43,'NG Pivot'!$A$37:$P$45,MATCH(B$2,'NG Pivot'!$O$36:$P$36,0)+14,FALSE),0)+IFERROR(VLOOKUP($A43,'NG Pivot'!$A$4:$AE$29,MATCH(B$2,'NG Pivot'!$X$3:$AE$3,0)+23,FALSE),0)*10</f>
        <v>0</v>
      </c>
      <c r="C43" s="220">
        <f>IFERROR(VLOOKUP($A43,'NG Pivot'!$A$37:$P$45,MATCH(C$2,'NG Pivot'!$O$36:$P$36,0)+14,FALSE),0)+IFERROR(VLOOKUP($A43,'NG Pivot'!$A$4:$AE$29,MATCH(C$2,'NG Pivot'!$X$3:$AE$3,0)+23,FALSE),0)*10</f>
        <v>0</v>
      </c>
      <c r="D43" s="220">
        <f>IFERROR(VLOOKUP($A43,'NG Pivot'!$A$37:$P$45,MATCH(D$2,'NG Pivot'!$O$36:$P$36,0)+14,FALSE),0)+IFERROR(VLOOKUP($A43,'NG Pivot'!$A$4:$AE$29,MATCH(D$2,'NG Pivot'!$X$3:$AE$3,0)+23,FALSE),0)*10</f>
        <v>0</v>
      </c>
      <c r="E43" s="220">
        <f>IFERROR(VLOOKUP($A43,'NG Pivot'!$A$37:$P$45,MATCH(E$2,'NG Pivot'!$O$36:$P$36,0)+14,FALSE),0)+IFERROR(VLOOKUP($A43,'NG Pivot'!$A$4:$AE$29,MATCH(E$2,'NG Pivot'!$X$3:$AE$3,0)+23,FALSE),0)*10</f>
        <v>0</v>
      </c>
      <c r="F43" s="220">
        <f>IFERROR(VLOOKUP($A43,'NG Pivot'!$A$37:$P$45,MATCH(F$2,'NG Pivot'!$O$36:$P$36,0)+14,FALSE),0)+IFERROR(VLOOKUP($A43,'NG Pivot'!$A$4:$AE$29,MATCH(F$2,'NG Pivot'!$X$3:$AE$3,0)+23,FALSE),0)*10</f>
        <v>0</v>
      </c>
      <c r="G43" s="220">
        <f>IFERROR(VLOOKUP($A43,'NG Pivot'!$A$37:$P$45,MATCH(G$2,'NG Pivot'!$O$36:$P$36,0)+14,FALSE),0)+IFERROR(VLOOKUP($A43,'NG Pivot'!$A$4:$AE$29,MATCH(G$2,'NG Pivot'!$X$3:$AE$3,0)+23,FALSE),0)*10</f>
        <v>0</v>
      </c>
      <c r="H43" s="220">
        <f>IFERROR(VLOOKUP($A43,'NG Pivot'!$A$37:$P$45,MATCH(H$2,'NG Pivot'!$O$36:$P$36,0)+14,FALSE),0)+IFERROR(VLOOKUP($A43,'NG Pivot'!$A$4:$AE$29,MATCH(H$2,'NG Pivot'!$X$3:$AE$3,0)+23,FALSE),0)*10</f>
        <v>0</v>
      </c>
      <c r="I43" s="220">
        <f>IFERROR(VLOOKUP($A43,'NG Pivot'!$A$37:$P$45,MATCH(I$2,'NG Pivot'!$O$36:$P$36,0)+14,FALSE),0)+IFERROR(VLOOKUP($A43,'NG Pivot'!$A$4:$AE$29,MATCH(I$2,'NG Pivot'!$X$3:$AE$3,0)+23,FALSE),0)*10</f>
        <v>0</v>
      </c>
      <c r="J43" s="220">
        <f>IFERROR(VLOOKUP($A43,'NG Pivot'!$A$37:$P$45,MATCH(J$2,'NG Pivot'!$O$36:$P$36,0)+14,FALSE),0)+IFERROR(VLOOKUP($A43,'NG Pivot'!$A$4:$AE$29,MATCH(J$2,'NG Pivot'!$X$3:$AE$3,0)+23,FALSE),0)*10</f>
        <v>0</v>
      </c>
      <c r="K43" s="220">
        <f>IFERROR(VLOOKUP($A43,'NG Pivot'!$A$37:$P$45,MATCH(K$2,'NG Pivot'!$O$36:$P$36,0)+14,FALSE),0)+IFERROR(VLOOKUP($A43,'NG Pivot'!$A$4:$AE$29,MATCH(K$2,'NG Pivot'!$X$3:$AE$3,0)+23,FALSE),0)*10</f>
        <v>0</v>
      </c>
      <c r="L43" s="220">
        <f>IFERROR(VLOOKUP($A43,'NG Pivot'!$A$37:$P$45,MATCH(L$2,'NG Pivot'!$O$36:$P$36,0)+14,FALSE),0)+IFERROR(VLOOKUP($A43,'NG Pivot'!$A$4:$AE$29,MATCH(L$2,'NG Pivot'!$X$3:$AE$3,0)+23,FALSE),0)*10</f>
        <v>0</v>
      </c>
      <c r="M43" s="220">
        <f>IFERROR(VLOOKUP($A43,'NG Pivot'!$A$37:$P$45,MATCH(M$2,'NG Pivot'!$O$36:$P$36,0)+14,FALSE),0)+IFERROR(VLOOKUP($A43,'NG Pivot'!$A$4:$AE$29,MATCH(M$2,'NG Pivot'!$X$3:$AE$3,0)+23,FALSE),0)*10</f>
        <v>0</v>
      </c>
      <c r="N43" s="220">
        <f>IFERROR(VLOOKUP($A43,'NG Pivot'!$A$37:$P$45,MATCH(N$2,'NG Pivot'!$O$36:$P$36,0)+14,FALSE),0)+IFERROR(VLOOKUP($A43,'NG Pivot'!$A$4:$AE$29,MATCH(N$2,'NG Pivot'!$X$3:$AE$3,0)+23,FALSE),0)*10</f>
        <v>0</v>
      </c>
      <c r="O43" s="220">
        <f>IFERROR(VLOOKUP($A43,'NG Pivot'!$A$37:$P$45,MATCH(O$2,'NG Pivot'!$O$36:$P$36,0)+14,FALSE),0)+IFERROR(VLOOKUP($A43,'NG Pivot'!$A$4:$AE$29,MATCH(O$2,'NG Pivot'!$X$3:$AE$3,0)+23,FALSE),0)*10</f>
        <v>0</v>
      </c>
      <c r="P43" s="220">
        <f>IFERROR(VLOOKUP($A43,'NG Pivot'!$A$37:$P$45,MATCH(P$2,'NG Pivot'!$O$36:$P$36,0)+14,FALSE),0)+IFERROR(VLOOKUP($A43,'NG Pivot'!$A$4:$AE$29,MATCH(P$2,'NG Pivot'!$X$3:$AE$3,0)+23,FALSE),0)*10</f>
        <v>0</v>
      </c>
      <c r="Q43" s="220">
        <f>IFERROR(VLOOKUP($A43,'NG Pivot'!$A$37:$P$45,MATCH(Q$2,'NG Pivot'!$O$36:$P$36,0)+14,FALSE),0)+IFERROR(VLOOKUP($A43,'NG Pivot'!$A$4:$AE$29,MATCH(Q$2,'NG Pivot'!$X$3:$AE$3,0)+23,FALSE),0)*10</f>
        <v>0</v>
      </c>
      <c r="R43" s="220">
        <f>IFERROR(VLOOKUP($A43,'NG Pivot'!$A$37:$P$45,MATCH(R$2,'NG Pivot'!$O$36:$P$36,0)+14,FALSE),0)+IFERROR(VLOOKUP($A43,'NG Pivot'!$A$4:$AE$29,MATCH(R$2,'NG Pivot'!$X$3:$AE$3,0)+23,FALSE),0)*10</f>
        <v>0</v>
      </c>
      <c r="S43" s="220">
        <f>IFERROR(VLOOKUP($A43,'NG Pivot'!$A$37:$P$45,MATCH(S$2,'NG Pivot'!$O$36:$P$36,0)+14,FALSE),0)+IFERROR(VLOOKUP($A43,'NG Pivot'!$A$4:$AE$29,MATCH(S$2,'NG Pivot'!$X$3:$AE$3,0)+23,FALSE),0)*10</f>
        <v>0</v>
      </c>
      <c r="T43" s="220">
        <f>IFERROR(VLOOKUP($A43,'NG Pivot'!$A$37:$P$45,MATCH(T$2,'NG Pivot'!$O$36:$P$36,0)+14,FALSE),0)+IFERROR(VLOOKUP($A43,'NG Pivot'!$A$4:$AE$29,MATCH(T$2,'NG Pivot'!$X$3:$AE$3,0)+23,FALSE),0)*10</f>
        <v>200</v>
      </c>
      <c r="U43" s="220">
        <f>IFERROR(VLOOKUP($A43,'NG Pivot'!$A$37:$P$45,MATCH(U$2,'NG Pivot'!$O$36:$P$36,0)+14,FALSE),0)+IFERROR(VLOOKUP($A43,'NG Pivot'!$A$4:$AE$29,MATCH(U$2,'NG Pivot'!$X$3:$AE$3,0)+23,FALSE),0)*10</f>
        <v>0</v>
      </c>
      <c r="V43" s="220">
        <f>IFERROR(VLOOKUP($A43,'NG Pivot'!$A$37:$P$45,MATCH(V$2,'NG Pivot'!$O$36:$P$36,0)+14,FALSE),0)+IFERROR(VLOOKUP($A43,'NG Pivot'!$A$4:$AE$29,MATCH(V$2,'NG Pivot'!$X$3:$AE$3,0)+23,FALSE),0)*10</f>
        <v>0</v>
      </c>
      <c r="W43" s="220">
        <f>IFERROR(VLOOKUP($A43,'NG Pivot'!$A$37:$P$45,MATCH(W$2,'NG Pivot'!$O$36:$P$36,0)+14,FALSE),0)+IFERROR(VLOOKUP($A43,'NG Pivot'!$A$4:$AE$29,MATCH(W$2,'NG Pivot'!$X$3:$AE$3,0)+23,FALSE),0)*10</f>
        <v>0</v>
      </c>
      <c r="X43" s="220">
        <f>IFERROR(VLOOKUP($A43,'NG Pivot'!$A$37:$P$45,MATCH(X$2,'NG Pivot'!$O$36:$P$36,0)+14,FALSE),0)+IFERROR(VLOOKUP($A43,'NG Pivot'!$A$4:$AE$29,MATCH(X$2,'NG Pivot'!$X$3:$AE$3,0)+23,FALSE),0)*10</f>
        <v>0</v>
      </c>
      <c r="Y43" s="220">
        <f>IFERROR(VLOOKUP($A43,'NG Pivot'!$A$37:$P$45,MATCH(Y$2,'NG Pivot'!$O$36:$P$36,0)+14,FALSE),0)+IFERROR(VLOOKUP($A43,'NG Pivot'!$A$4:$AE$29,MATCH(Y$2,'NG Pivot'!$X$3:$AE$3,0)+23,FALSE),0)*10</f>
        <v>0</v>
      </c>
      <c r="Z43" s="220">
        <f>IFERROR(VLOOKUP($A43,'NG Pivot'!$A$37:$P$45,MATCH(Z$2,'NG Pivot'!$O$36:$P$36,0)+14,FALSE),0)+IFERROR(VLOOKUP($A43,'NG Pivot'!$A$4:$AE$29,MATCH(Z$2,'NG Pivot'!$X$3:$AE$3,0)+23,FALSE),0)*10</f>
        <v>0</v>
      </c>
      <c r="AA43" s="220">
        <f>IFERROR(VLOOKUP($A43,'NG Pivot'!$A$37:$P$45,MATCH(AA$2,'NG Pivot'!$O$36:$P$36,0)+14,FALSE),0)+IFERROR(VLOOKUP($A43,'NG Pivot'!$A$4:$AE$29,MATCH(AA$2,'NG Pivot'!$X$3:$AE$3,0)+23,FALSE),0)*10</f>
        <v>0</v>
      </c>
      <c r="AB43" s="220">
        <f>IFERROR(VLOOKUP($A43,'NG Pivot'!$A$37:$P$45,MATCH(AB$2,'NG Pivot'!$O$36:$P$36,0)+14,FALSE),0)+IFERROR(VLOOKUP($A43,'NG Pivot'!$A$4:$AE$29,MATCH(AB$2,'NG Pivot'!$X$3:$AE$3,0)+23,FALSE),0)*10</f>
        <v>0</v>
      </c>
      <c r="AC43" s="220">
        <f>IFERROR(VLOOKUP($A43,'NG Pivot'!$A$37:$P$45,MATCH(AC$2,'NG Pivot'!$O$36:$P$36,0)+14,FALSE),0)+IFERROR(VLOOKUP($A43,'NG Pivot'!$A$4:$AE$29,MATCH(AC$2,'NG Pivot'!$X$3:$AE$3,0)+23,FALSE),0)*10</f>
        <v>0</v>
      </c>
      <c r="AD43" s="220">
        <f>IFERROR(VLOOKUP($A43,'NG Pivot'!$A$37:$P$45,MATCH(AD$2,'NG Pivot'!$O$36:$P$36,0)+14,FALSE),0)+IFERROR(VLOOKUP($A43,'NG Pivot'!$A$4:$AE$29,MATCH(AD$2,'NG Pivot'!$X$3:$AE$3,0)+23,FALSE),0)*10</f>
        <v>0</v>
      </c>
    </row>
    <row r="44" spans="1:30">
      <c r="A44" s="223" t="s">
        <v>1274</v>
      </c>
      <c r="B44" s="220">
        <f>IFERROR(VLOOKUP($A44,'NG Pivot'!$A$37:$P$45,MATCH(B$2,'NG Pivot'!$O$36:$P$36,0)+14,FALSE),0)+IFERROR(VLOOKUP($A44,'NG Pivot'!$A$4:$AE$29,MATCH(B$2,'NG Pivot'!$X$3:$AE$3,0)+23,FALSE),0)*10</f>
        <v>0</v>
      </c>
      <c r="C44" s="220">
        <f>IFERROR(VLOOKUP($A44,'NG Pivot'!$A$37:$P$45,MATCH(C$2,'NG Pivot'!$O$36:$P$36,0)+14,FALSE),0)+IFERROR(VLOOKUP($A44,'NG Pivot'!$A$4:$AE$29,MATCH(C$2,'NG Pivot'!$X$3:$AE$3,0)+23,FALSE),0)*10</f>
        <v>0</v>
      </c>
      <c r="D44" s="220">
        <f>IFERROR(VLOOKUP($A44,'NG Pivot'!$A$37:$P$45,MATCH(D$2,'NG Pivot'!$O$36:$P$36,0)+14,FALSE),0)+IFERROR(VLOOKUP($A44,'NG Pivot'!$A$4:$AE$29,MATCH(D$2,'NG Pivot'!$X$3:$AE$3,0)+23,FALSE),0)*10</f>
        <v>0</v>
      </c>
      <c r="E44" s="220">
        <f>IFERROR(VLOOKUP($A44,'NG Pivot'!$A$37:$P$45,MATCH(E$2,'NG Pivot'!$O$36:$P$36,0)+14,FALSE),0)+IFERROR(VLOOKUP($A44,'NG Pivot'!$A$4:$AE$29,MATCH(E$2,'NG Pivot'!$X$3:$AE$3,0)+23,FALSE),0)*10</f>
        <v>0</v>
      </c>
      <c r="F44" s="220">
        <f>IFERROR(VLOOKUP($A44,'NG Pivot'!$A$37:$P$45,MATCH(F$2,'NG Pivot'!$O$36:$P$36,0)+14,FALSE),0)+IFERROR(VLOOKUP($A44,'NG Pivot'!$A$4:$AE$29,MATCH(F$2,'NG Pivot'!$X$3:$AE$3,0)+23,FALSE),0)*10</f>
        <v>0</v>
      </c>
      <c r="G44" s="220">
        <f>IFERROR(VLOOKUP($A44,'NG Pivot'!$A$37:$P$45,MATCH(G$2,'NG Pivot'!$O$36:$P$36,0)+14,FALSE),0)+IFERROR(VLOOKUP($A44,'NG Pivot'!$A$4:$AE$29,MATCH(G$2,'NG Pivot'!$X$3:$AE$3,0)+23,FALSE),0)*10</f>
        <v>0</v>
      </c>
      <c r="H44" s="220">
        <f>IFERROR(VLOOKUP($A44,'NG Pivot'!$A$37:$P$45,MATCH(H$2,'NG Pivot'!$O$36:$P$36,0)+14,FALSE),0)+IFERROR(VLOOKUP($A44,'NG Pivot'!$A$4:$AE$29,MATCH(H$2,'NG Pivot'!$X$3:$AE$3,0)+23,FALSE),0)*10</f>
        <v>0</v>
      </c>
      <c r="I44" s="220">
        <f>IFERROR(VLOOKUP($A44,'NG Pivot'!$A$37:$P$45,MATCH(I$2,'NG Pivot'!$O$36:$P$36,0)+14,FALSE),0)+IFERROR(VLOOKUP($A44,'NG Pivot'!$A$4:$AE$29,MATCH(I$2,'NG Pivot'!$X$3:$AE$3,0)+23,FALSE),0)*10</f>
        <v>0</v>
      </c>
      <c r="J44" s="220">
        <f>IFERROR(VLOOKUP($A44,'NG Pivot'!$A$37:$P$45,MATCH(J$2,'NG Pivot'!$O$36:$P$36,0)+14,FALSE),0)+IFERROR(VLOOKUP($A44,'NG Pivot'!$A$4:$AE$29,MATCH(J$2,'NG Pivot'!$X$3:$AE$3,0)+23,FALSE),0)*10</f>
        <v>0</v>
      </c>
      <c r="K44" s="220">
        <f>IFERROR(VLOOKUP($A44,'NG Pivot'!$A$37:$P$45,MATCH(K$2,'NG Pivot'!$O$36:$P$36,0)+14,FALSE),0)+IFERROR(VLOOKUP($A44,'NG Pivot'!$A$4:$AE$29,MATCH(K$2,'NG Pivot'!$X$3:$AE$3,0)+23,FALSE),0)*10</f>
        <v>0</v>
      </c>
      <c r="L44" s="220">
        <f>IFERROR(VLOOKUP($A44,'NG Pivot'!$A$37:$P$45,MATCH(L$2,'NG Pivot'!$O$36:$P$36,0)+14,FALSE),0)+IFERROR(VLOOKUP($A44,'NG Pivot'!$A$4:$AE$29,MATCH(L$2,'NG Pivot'!$X$3:$AE$3,0)+23,FALSE),0)*10</f>
        <v>0</v>
      </c>
      <c r="M44" s="220">
        <f>IFERROR(VLOOKUP($A44,'NG Pivot'!$A$37:$P$45,MATCH(M$2,'NG Pivot'!$O$36:$P$36,0)+14,FALSE),0)+IFERROR(VLOOKUP($A44,'NG Pivot'!$A$4:$AE$29,MATCH(M$2,'NG Pivot'!$X$3:$AE$3,0)+23,FALSE),0)*10</f>
        <v>0</v>
      </c>
      <c r="N44" s="220">
        <f>IFERROR(VLOOKUP($A44,'NG Pivot'!$A$37:$P$45,MATCH(N$2,'NG Pivot'!$O$36:$P$36,0)+14,FALSE),0)+IFERROR(VLOOKUP($A44,'NG Pivot'!$A$4:$AE$29,MATCH(N$2,'NG Pivot'!$X$3:$AE$3,0)+23,FALSE),0)*10</f>
        <v>0</v>
      </c>
      <c r="O44" s="220">
        <f>IFERROR(VLOOKUP($A44,'NG Pivot'!$A$37:$P$45,MATCH(O$2,'NG Pivot'!$O$36:$P$36,0)+14,FALSE),0)+IFERROR(VLOOKUP($A44,'NG Pivot'!$A$4:$AE$29,MATCH(O$2,'NG Pivot'!$X$3:$AE$3,0)+23,FALSE),0)*10</f>
        <v>0</v>
      </c>
      <c r="P44" s="220">
        <f>IFERROR(VLOOKUP($A44,'NG Pivot'!$A$37:$P$45,MATCH(P$2,'NG Pivot'!$O$36:$P$36,0)+14,FALSE),0)+IFERROR(VLOOKUP($A44,'NG Pivot'!$A$4:$AE$29,MATCH(P$2,'NG Pivot'!$X$3:$AE$3,0)+23,FALSE),0)*10</f>
        <v>0</v>
      </c>
      <c r="Q44" s="220">
        <f>IFERROR(VLOOKUP($A44,'NG Pivot'!$A$37:$P$45,MATCH(Q$2,'NG Pivot'!$O$36:$P$36,0)+14,FALSE),0)+IFERROR(VLOOKUP($A44,'NG Pivot'!$A$4:$AE$29,MATCH(Q$2,'NG Pivot'!$X$3:$AE$3,0)+23,FALSE),0)*10</f>
        <v>0</v>
      </c>
      <c r="R44" s="220">
        <f>IFERROR(VLOOKUP($A44,'NG Pivot'!$A$37:$P$45,MATCH(R$2,'NG Pivot'!$O$36:$P$36,0)+14,FALSE),0)+IFERROR(VLOOKUP($A44,'NG Pivot'!$A$4:$AE$29,MATCH(R$2,'NG Pivot'!$X$3:$AE$3,0)+23,FALSE),0)*10</f>
        <v>0</v>
      </c>
      <c r="S44" s="220">
        <f>IFERROR(VLOOKUP($A44,'NG Pivot'!$A$37:$P$45,MATCH(S$2,'NG Pivot'!$O$36:$P$36,0)+14,FALSE),0)+IFERROR(VLOOKUP($A44,'NG Pivot'!$A$4:$AE$29,MATCH(S$2,'NG Pivot'!$X$3:$AE$3,0)+23,FALSE),0)*10</f>
        <v>0</v>
      </c>
      <c r="T44" s="220">
        <f>IFERROR(VLOOKUP($A44,'NG Pivot'!$A$37:$P$45,MATCH(T$2,'NG Pivot'!$O$36:$P$36,0)+14,FALSE),0)+IFERROR(VLOOKUP($A44,'NG Pivot'!$A$4:$AE$29,MATCH(T$2,'NG Pivot'!$X$3:$AE$3,0)+23,FALSE),0)*10</f>
        <v>0</v>
      </c>
      <c r="U44" s="220">
        <f>IFERROR(VLOOKUP($A44,'NG Pivot'!$A$37:$P$45,MATCH(U$2,'NG Pivot'!$O$36:$P$36,0)+14,FALSE),0)+IFERROR(VLOOKUP($A44,'NG Pivot'!$A$4:$AE$29,MATCH(U$2,'NG Pivot'!$X$3:$AE$3,0)+23,FALSE),0)*10</f>
        <v>0</v>
      </c>
      <c r="V44" s="220">
        <f>IFERROR(VLOOKUP($A44,'NG Pivot'!$A$37:$P$45,MATCH(V$2,'NG Pivot'!$O$36:$P$36,0)+14,FALSE),0)+IFERROR(VLOOKUP($A44,'NG Pivot'!$A$4:$AE$29,MATCH(V$2,'NG Pivot'!$X$3:$AE$3,0)+23,FALSE),0)*10</f>
        <v>0</v>
      </c>
      <c r="W44" s="220">
        <f>IFERROR(VLOOKUP($A44,'NG Pivot'!$A$37:$P$45,MATCH(W$2,'NG Pivot'!$O$36:$P$36,0)+14,FALSE),0)+IFERROR(VLOOKUP($A44,'NG Pivot'!$A$4:$AE$29,MATCH(W$2,'NG Pivot'!$X$3:$AE$3,0)+23,FALSE),0)*10</f>
        <v>0</v>
      </c>
      <c r="X44" s="220">
        <f>IFERROR(VLOOKUP($A44,'NG Pivot'!$A$37:$P$45,MATCH(X$2,'NG Pivot'!$O$36:$P$36,0)+14,FALSE),0)+IFERROR(VLOOKUP($A44,'NG Pivot'!$A$4:$AE$29,MATCH(X$2,'NG Pivot'!$X$3:$AE$3,0)+23,FALSE),0)*10</f>
        <v>0</v>
      </c>
      <c r="Y44" s="220">
        <f>IFERROR(VLOOKUP($A44,'NG Pivot'!$A$37:$P$45,MATCH(Y$2,'NG Pivot'!$O$36:$P$36,0)+14,FALSE),0)+IFERROR(VLOOKUP($A44,'NG Pivot'!$A$4:$AE$29,MATCH(Y$2,'NG Pivot'!$X$3:$AE$3,0)+23,FALSE),0)*10</f>
        <v>0</v>
      </c>
      <c r="Z44" s="220">
        <f>IFERROR(VLOOKUP($A44,'NG Pivot'!$A$37:$P$45,MATCH(Z$2,'NG Pivot'!$O$36:$P$36,0)+14,FALSE),0)+IFERROR(VLOOKUP($A44,'NG Pivot'!$A$4:$AE$29,MATCH(Z$2,'NG Pivot'!$X$3:$AE$3,0)+23,FALSE),0)*10</f>
        <v>0</v>
      </c>
      <c r="AA44" s="220">
        <f>IFERROR(VLOOKUP($A44,'NG Pivot'!$A$37:$P$45,MATCH(AA$2,'NG Pivot'!$O$36:$P$36,0)+14,FALSE),0)+IFERROR(VLOOKUP($A44,'NG Pivot'!$A$4:$AE$29,MATCH(AA$2,'NG Pivot'!$X$3:$AE$3,0)+23,FALSE),0)*10</f>
        <v>0</v>
      </c>
      <c r="AB44" s="220">
        <f>IFERROR(VLOOKUP($A44,'NG Pivot'!$A$37:$P$45,MATCH(AB$2,'NG Pivot'!$O$36:$P$36,0)+14,FALSE),0)+IFERROR(VLOOKUP($A44,'NG Pivot'!$A$4:$AE$29,MATCH(AB$2,'NG Pivot'!$X$3:$AE$3,0)+23,FALSE),0)*10</f>
        <v>0</v>
      </c>
      <c r="AC44" s="220">
        <f>IFERROR(VLOOKUP($A44,'NG Pivot'!$A$37:$P$45,MATCH(AC$2,'NG Pivot'!$O$36:$P$36,0)+14,FALSE),0)+IFERROR(VLOOKUP($A44,'NG Pivot'!$A$4:$AE$29,MATCH(AC$2,'NG Pivot'!$X$3:$AE$3,0)+23,FALSE),0)*10</f>
        <v>0</v>
      </c>
      <c r="AD44" s="220">
        <f>IFERROR(VLOOKUP($A44,'NG Pivot'!$A$37:$P$45,MATCH(AD$2,'NG Pivot'!$O$36:$P$36,0)+14,FALSE),0)+IFERROR(VLOOKUP($A44,'NG Pivot'!$A$4:$AE$29,MATCH(AD$2,'NG Pivot'!$X$3:$AE$3,0)+23,FALSE),0)*10</f>
        <v>0</v>
      </c>
    </row>
    <row r="45" spans="1:30">
      <c r="A45" s="223" t="s">
        <v>1275</v>
      </c>
      <c r="B45" s="220">
        <f>IFERROR(VLOOKUP($A45,'NG Pivot'!$A$37:$P$45,MATCH(B$2,'NG Pivot'!$O$36:$P$36,0)+14,FALSE),0)+IFERROR(VLOOKUP($A45,'NG Pivot'!$A$4:$AE$29,MATCH(B$2,'NG Pivot'!$X$3:$AE$3,0)+23,FALSE),0)*10</f>
        <v>0</v>
      </c>
      <c r="C45" s="220">
        <f>IFERROR(VLOOKUP($A45,'NG Pivot'!$A$37:$P$45,MATCH(C$2,'NG Pivot'!$O$36:$P$36,0)+14,FALSE),0)+IFERROR(VLOOKUP($A45,'NG Pivot'!$A$4:$AE$29,MATCH(C$2,'NG Pivot'!$X$3:$AE$3,0)+23,FALSE),0)*10</f>
        <v>0</v>
      </c>
      <c r="D45" s="220">
        <f>IFERROR(VLOOKUP($A45,'NG Pivot'!$A$37:$P$45,MATCH(D$2,'NG Pivot'!$O$36:$P$36,0)+14,FALSE),0)+IFERROR(VLOOKUP($A45,'NG Pivot'!$A$4:$AE$29,MATCH(D$2,'NG Pivot'!$X$3:$AE$3,0)+23,FALSE),0)*10</f>
        <v>0</v>
      </c>
      <c r="E45" s="220">
        <f>IFERROR(VLOOKUP($A45,'NG Pivot'!$A$37:$P$45,MATCH(E$2,'NG Pivot'!$O$36:$P$36,0)+14,FALSE),0)+IFERROR(VLOOKUP($A45,'NG Pivot'!$A$4:$AE$29,MATCH(E$2,'NG Pivot'!$X$3:$AE$3,0)+23,FALSE),0)*10</f>
        <v>0</v>
      </c>
      <c r="F45" s="220">
        <f>IFERROR(VLOOKUP($A45,'NG Pivot'!$A$37:$P$45,MATCH(F$2,'NG Pivot'!$O$36:$P$36,0)+14,FALSE),0)+IFERROR(VLOOKUP($A45,'NG Pivot'!$A$4:$AE$29,MATCH(F$2,'NG Pivot'!$X$3:$AE$3,0)+23,FALSE),0)*10</f>
        <v>0</v>
      </c>
      <c r="G45" s="220">
        <f>IFERROR(VLOOKUP($A45,'NG Pivot'!$A$37:$P$45,MATCH(G$2,'NG Pivot'!$O$36:$P$36,0)+14,FALSE),0)+IFERROR(VLOOKUP($A45,'NG Pivot'!$A$4:$AE$29,MATCH(G$2,'NG Pivot'!$X$3:$AE$3,0)+23,FALSE),0)*10</f>
        <v>0</v>
      </c>
      <c r="H45" s="220">
        <f>IFERROR(VLOOKUP($A45,'NG Pivot'!$A$37:$P$45,MATCH(H$2,'NG Pivot'!$O$36:$P$36,0)+14,FALSE),0)+IFERROR(VLOOKUP($A45,'NG Pivot'!$A$4:$AE$29,MATCH(H$2,'NG Pivot'!$X$3:$AE$3,0)+23,FALSE),0)*10</f>
        <v>0</v>
      </c>
      <c r="I45" s="220">
        <f>IFERROR(VLOOKUP($A45,'NG Pivot'!$A$37:$P$45,MATCH(I$2,'NG Pivot'!$O$36:$P$36,0)+14,FALSE),0)+IFERROR(VLOOKUP($A45,'NG Pivot'!$A$4:$AE$29,MATCH(I$2,'NG Pivot'!$X$3:$AE$3,0)+23,FALSE),0)*10</f>
        <v>0</v>
      </c>
      <c r="J45" s="220">
        <f>IFERROR(VLOOKUP($A45,'NG Pivot'!$A$37:$P$45,MATCH(J$2,'NG Pivot'!$O$36:$P$36,0)+14,FALSE),0)+IFERROR(VLOOKUP($A45,'NG Pivot'!$A$4:$AE$29,MATCH(J$2,'NG Pivot'!$X$3:$AE$3,0)+23,FALSE),0)*10</f>
        <v>0</v>
      </c>
      <c r="K45" s="220">
        <f>IFERROR(VLOOKUP($A45,'NG Pivot'!$A$37:$P$45,MATCH(K$2,'NG Pivot'!$O$36:$P$36,0)+14,FALSE),0)+IFERROR(VLOOKUP($A45,'NG Pivot'!$A$4:$AE$29,MATCH(K$2,'NG Pivot'!$X$3:$AE$3,0)+23,FALSE),0)*10</f>
        <v>0</v>
      </c>
      <c r="L45" s="220">
        <f>IFERROR(VLOOKUP($A45,'NG Pivot'!$A$37:$P$45,MATCH(L$2,'NG Pivot'!$O$36:$P$36,0)+14,FALSE),0)+IFERROR(VLOOKUP($A45,'NG Pivot'!$A$4:$AE$29,MATCH(L$2,'NG Pivot'!$X$3:$AE$3,0)+23,FALSE),0)*10</f>
        <v>0</v>
      </c>
      <c r="M45" s="220">
        <f>IFERROR(VLOOKUP($A45,'NG Pivot'!$A$37:$P$45,MATCH(M$2,'NG Pivot'!$O$36:$P$36,0)+14,FALSE),0)+IFERROR(VLOOKUP($A45,'NG Pivot'!$A$4:$AE$29,MATCH(M$2,'NG Pivot'!$X$3:$AE$3,0)+23,FALSE),0)*10</f>
        <v>0</v>
      </c>
      <c r="N45" s="220">
        <f>IFERROR(VLOOKUP($A45,'NG Pivot'!$A$37:$P$45,MATCH(N$2,'NG Pivot'!$O$36:$P$36,0)+14,FALSE),0)+IFERROR(VLOOKUP($A45,'NG Pivot'!$A$4:$AE$29,MATCH(N$2,'NG Pivot'!$X$3:$AE$3,0)+23,FALSE),0)*10</f>
        <v>0</v>
      </c>
      <c r="O45" s="220">
        <f>IFERROR(VLOOKUP($A45,'NG Pivot'!$A$37:$P$45,MATCH(O$2,'NG Pivot'!$O$36:$P$36,0)+14,FALSE),0)+IFERROR(VLOOKUP($A45,'NG Pivot'!$A$4:$AE$29,MATCH(O$2,'NG Pivot'!$X$3:$AE$3,0)+23,FALSE),0)*10</f>
        <v>0</v>
      </c>
      <c r="P45" s="220">
        <f>IFERROR(VLOOKUP($A45,'NG Pivot'!$A$37:$P$45,MATCH(P$2,'NG Pivot'!$O$36:$P$36,0)+14,FALSE),0)+IFERROR(VLOOKUP($A45,'NG Pivot'!$A$4:$AE$29,MATCH(P$2,'NG Pivot'!$X$3:$AE$3,0)+23,FALSE),0)*10</f>
        <v>0</v>
      </c>
      <c r="Q45" s="220">
        <f>IFERROR(VLOOKUP($A45,'NG Pivot'!$A$37:$P$45,MATCH(Q$2,'NG Pivot'!$O$36:$P$36,0)+14,FALSE),0)+IFERROR(VLOOKUP($A45,'NG Pivot'!$A$4:$AE$29,MATCH(Q$2,'NG Pivot'!$X$3:$AE$3,0)+23,FALSE),0)*10</f>
        <v>0</v>
      </c>
      <c r="R45" s="220">
        <f>IFERROR(VLOOKUP($A45,'NG Pivot'!$A$37:$P$45,MATCH(R$2,'NG Pivot'!$O$36:$P$36,0)+14,FALSE),0)+IFERROR(VLOOKUP($A45,'NG Pivot'!$A$4:$AE$29,MATCH(R$2,'NG Pivot'!$X$3:$AE$3,0)+23,FALSE),0)*10</f>
        <v>0</v>
      </c>
      <c r="S45" s="220">
        <f>IFERROR(VLOOKUP($A45,'NG Pivot'!$A$37:$P$45,MATCH(S$2,'NG Pivot'!$O$36:$P$36,0)+14,FALSE),0)+IFERROR(VLOOKUP($A45,'NG Pivot'!$A$4:$AE$29,MATCH(S$2,'NG Pivot'!$X$3:$AE$3,0)+23,FALSE),0)*10</f>
        <v>0</v>
      </c>
      <c r="T45" s="220">
        <f>IFERROR(VLOOKUP($A45,'NG Pivot'!$A$37:$P$45,MATCH(T$2,'NG Pivot'!$O$36:$P$36,0)+14,FALSE),0)+IFERROR(VLOOKUP($A45,'NG Pivot'!$A$4:$AE$29,MATCH(T$2,'NG Pivot'!$X$3:$AE$3,0)+23,FALSE),0)*10</f>
        <v>0</v>
      </c>
      <c r="U45" s="220">
        <f>IFERROR(VLOOKUP($A45,'NG Pivot'!$A$37:$P$45,MATCH(U$2,'NG Pivot'!$O$36:$P$36,0)+14,FALSE),0)+IFERROR(VLOOKUP($A45,'NG Pivot'!$A$4:$AE$29,MATCH(U$2,'NG Pivot'!$X$3:$AE$3,0)+23,FALSE),0)*10</f>
        <v>0</v>
      </c>
      <c r="V45" s="220">
        <f>IFERROR(VLOOKUP($A45,'NG Pivot'!$A$37:$P$45,MATCH(V$2,'NG Pivot'!$O$36:$P$36,0)+14,FALSE),0)+IFERROR(VLOOKUP($A45,'NG Pivot'!$A$4:$AE$29,MATCH(V$2,'NG Pivot'!$X$3:$AE$3,0)+23,FALSE),0)*10</f>
        <v>0</v>
      </c>
      <c r="W45" s="220">
        <f>IFERROR(VLOOKUP($A45,'NG Pivot'!$A$37:$P$45,MATCH(W$2,'NG Pivot'!$O$36:$P$36,0)+14,FALSE),0)+IFERROR(VLOOKUP($A45,'NG Pivot'!$A$4:$AE$29,MATCH(W$2,'NG Pivot'!$X$3:$AE$3,0)+23,FALSE),0)*10</f>
        <v>0</v>
      </c>
      <c r="X45" s="220">
        <f>IFERROR(VLOOKUP($A45,'NG Pivot'!$A$37:$P$45,MATCH(X$2,'NG Pivot'!$O$36:$P$36,0)+14,FALSE),0)+IFERROR(VLOOKUP($A45,'NG Pivot'!$A$4:$AE$29,MATCH(X$2,'NG Pivot'!$X$3:$AE$3,0)+23,FALSE),0)*10</f>
        <v>0</v>
      </c>
      <c r="Y45" s="220">
        <f>IFERROR(VLOOKUP($A45,'NG Pivot'!$A$37:$P$45,MATCH(Y$2,'NG Pivot'!$O$36:$P$36,0)+14,FALSE),0)+IFERROR(VLOOKUP($A45,'NG Pivot'!$A$4:$AE$29,MATCH(Y$2,'NG Pivot'!$X$3:$AE$3,0)+23,FALSE),0)*10</f>
        <v>0</v>
      </c>
      <c r="Z45" s="220">
        <f>IFERROR(VLOOKUP($A45,'NG Pivot'!$A$37:$P$45,MATCH(Z$2,'NG Pivot'!$O$36:$P$36,0)+14,FALSE),0)+IFERROR(VLOOKUP($A45,'NG Pivot'!$A$4:$AE$29,MATCH(Z$2,'NG Pivot'!$X$3:$AE$3,0)+23,FALSE),0)*10</f>
        <v>0</v>
      </c>
      <c r="AA45" s="220">
        <f>IFERROR(VLOOKUP($A45,'NG Pivot'!$A$37:$P$45,MATCH(AA$2,'NG Pivot'!$O$36:$P$36,0)+14,FALSE),0)+IFERROR(VLOOKUP($A45,'NG Pivot'!$A$4:$AE$29,MATCH(AA$2,'NG Pivot'!$X$3:$AE$3,0)+23,FALSE),0)*10</f>
        <v>0</v>
      </c>
      <c r="AB45" s="220">
        <f>IFERROR(VLOOKUP($A45,'NG Pivot'!$A$37:$P$45,MATCH(AB$2,'NG Pivot'!$O$36:$P$36,0)+14,FALSE),0)+IFERROR(VLOOKUP($A45,'NG Pivot'!$A$4:$AE$29,MATCH(AB$2,'NG Pivot'!$X$3:$AE$3,0)+23,FALSE),0)*10</f>
        <v>0</v>
      </c>
      <c r="AC45" s="220">
        <f>IFERROR(VLOOKUP($A45,'NG Pivot'!$A$37:$P$45,MATCH(AC$2,'NG Pivot'!$O$36:$P$36,0)+14,FALSE),0)+IFERROR(VLOOKUP($A45,'NG Pivot'!$A$4:$AE$29,MATCH(AC$2,'NG Pivot'!$X$3:$AE$3,0)+23,FALSE),0)*10</f>
        <v>0</v>
      </c>
      <c r="AD45" s="220">
        <f>IFERROR(VLOOKUP($A45,'NG Pivot'!$A$37:$P$45,MATCH(AD$2,'NG Pivot'!$O$36:$P$36,0)+14,FALSE),0)+IFERROR(VLOOKUP($A45,'NG Pivot'!$A$4:$AE$29,MATCH(AD$2,'NG Pivot'!$X$3:$AE$3,0)+23,FALSE),0)*10</f>
        <v>0</v>
      </c>
    </row>
    <row r="46" spans="1:30">
      <c r="A46" s="223" t="s">
        <v>1276</v>
      </c>
      <c r="B46" s="220">
        <f>IFERROR(VLOOKUP($A46,'NG Pivot'!$A$37:$P$45,MATCH(B$2,'NG Pivot'!$O$36:$P$36,0)+14,FALSE),0)+IFERROR(VLOOKUP($A46,'NG Pivot'!$A$4:$AE$29,MATCH(B$2,'NG Pivot'!$X$3:$AE$3,0)+23,FALSE),0)*10</f>
        <v>0</v>
      </c>
      <c r="C46" s="220">
        <f>IFERROR(VLOOKUP($A46,'NG Pivot'!$A$37:$P$45,MATCH(C$2,'NG Pivot'!$O$36:$P$36,0)+14,FALSE),0)+IFERROR(VLOOKUP($A46,'NG Pivot'!$A$4:$AE$29,MATCH(C$2,'NG Pivot'!$X$3:$AE$3,0)+23,FALSE),0)*10</f>
        <v>0</v>
      </c>
      <c r="D46" s="220">
        <f>IFERROR(VLOOKUP($A46,'NG Pivot'!$A$37:$P$45,MATCH(D$2,'NG Pivot'!$O$36:$P$36,0)+14,FALSE),0)+IFERROR(VLOOKUP($A46,'NG Pivot'!$A$4:$AE$29,MATCH(D$2,'NG Pivot'!$X$3:$AE$3,0)+23,FALSE),0)*10</f>
        <v>0</v>
      </c>
      <c r="E46" s="220">
        <f>IFERROR(VLOOKUP($A46,'NG Pivot'!$A$37:$P$45,MATCH(E$2,'NG Pivot'!$O$36:$P$36,0)+14,FALSE),0)+IFERROR(VLOOKUP($A46,'NG Pivot'!$A$4:$AE$29,MATCH(E$2,'NG Pivot'!$X$3:$AE$3,0)+23,FALSE),0)*10</f>
        <v>0</v>
      </c>
      <c r="F46" s="220">
        <f>IFERROR(VLOOKUP($A46,'NG Pivot'!$A$37:$P$45,MATCH(F$2,'NG Pivot'!$O$36:$P$36,0)+14,FALSE),0)+IFERROR(VLOOKUP($A46,'NG Pivot'!$A$4:$AE$29,MATCH(F$2,'NG Pivot'!$X$3:$AE$3,0)+23,FALSE),0)*10</f>
        <v>0</v>
      </c>
      <c r="G46" s="220">
        <f>IFERROR(VLOOKUP($A46,'NG Pivot'!$A$37:$P$45,MATCH(G$2,'NG Pivot'!$O$36:$P$36,0)+14,FALSE),0)+IFERROR(VLOOKUP($A46,'NG Pivot'!$A$4:$AE$29,MATCH(G$2,'NG Pivot'!$X$3:$AE$3,0)+23,FALSE),0)*10</f>
        <v>0</v>
      </c>
      <c r="H46" s="220">
        <f>IFERROR(VLOOKUP($A46,'NG Pivot'!$A$37:$P$45,MATCH(H$2,'NG Pivot'!$O$36:$P$36,0)+14,FALSE),0)+IFERROR(VLOOKUP($A46,'NG Pivot'!$A$4:$AE$29,MATCH(H$2,'NG Pivot'!$X$3:$AE$3,0)+23,FALSE),0)*10</f>
        <v>0</v>
      </c>
      <c r="I46" s="220">
        <f>IFERROR(VLOOKUP($A46,'NG Pivot'!$A$37:$P$45,MATCH(I$2,'NG Pivot'!$O$36:$P$36,0)+14,FALSE),0)+IFERROR(VLOOKUP($A46,'NG Pivot'!$A$4:$AE$29,MATCH(I$2,'NG Pivot'!$X$3:$AE$3,0)+23,FALSE),0)*10</f>
        <v>0</v>
      </c>
      <c r="J46" s="220">
        <f>IFERROR(VLOOKUP($A46,'NG Pivot'!$A$37:$P$45,MATCH(J$2,'NG Pivot'!$O$36:$P$36,0)+14,FALSE),0)+IFERROR(VLOOKUP($A46,'NG Pivot'!$A$4:$AE$29,MATCH(J$2,'NG Pivot'!$X$3:$AE$3,0)+23,FALSE),0)*10</f>
        <v>0</v>
      </c>
      <c r="K46" s="220">
        <f>IFERROR(VLOOKUP($A46,'NG Pivot'!$A$37:$P$45,MATCH(K$2,'NG Pivot'!$O$36:$P$36,0)+14,FALSE),0)+IFERROR(VLOOKUP($A46,'NG Pivot'!$A$4:$AE$29,MATCH(K$2,'NG Pivot'!$X$3:$AE$3,0)+23,FALSE),0)*10</f>
        <v>0</v>
      </c>
      <c r="L46" s="220">
        <f>IFERROR(VLOOKUP($A46,'NG Pivot'!$A$37:$P$45,MATCH(L$2,'NG Pivot'!$O$36:$P$36,0)+14,FALSE),0)+IFERROR(VLOOKUP($A46,'NG Pivot'!$A$4:$AE$29,MATCH(L$2,'NG Pivot'!$X$3:$AE$3,0)+23,FALSE),0)*10</f>
        <v>0</v>
      </c>
      <c r="M46" s="220">
        <f>IFERROR(VLOOKUP($A46,'NG Pivot'!$A$37:$P$45,MATCH(M$2,'NG Pivot'!$O$36:$P$36,0)+14,FALSE),0)+IFERROR(VLOOKUP($A46,'NG Pivot'!$A$4:$AE$29,MATCH(M$2,'NG Pivot'!$X$3:$AE$3,0)+23,FALSE),0)*10</f>
        <v>0</v>
      </c>
      <c r="N46" s="220">
        <f>IFERROR(VLOOKUP($A46,'NG Pivot'!$A$37:$P$45,MATCH(N$2,'NG Pivot'!$O$36:$P$36,0)+14,FALSE),0)+IFERROR(VLOOKUP($A46,'NG Pivot'!$A$4:$AE$29,MATCH(N$2,'NG Pivot'!$X$3:$AE$3,0)+23,FALSE),0)*10</f>
        <v>0</v>
      </c>
      <c r="O46" s="220">
        <f>IFERROR(VLOOKUP($A46,'NG Pivot'!$A$37:$P$45,MATCH(O$2,'NG Pivot'!$O$36:$P$36,0)+14,FALSE),0)+IFERROR(VLOOKUP($A46,'NG Pivot'!$A$4:$AE$29,MATCH(O$2,'NG Pivot'!$X$3:$AE$3,0)+23,FALSE),0)*10</f>
        <v>0</v>
      </c>
      <c r="P46" s="220">
        <f>IFERROR(VLOOKUP($A46,'NG Pivot'!$A$37:$P$45,MATCH(P$2,'NG Pivot'!$O$36:$P$36,0)+14,FALSE),0)+IFERROR(VLOOKUP($A46,'NG Pivot'!$A$4:$AE$29,MATCH(P$2,'NG Pivot'!$X$3:$AE$3,0)+23,FALSE),0)*10</f>
        <v>0</v>
      </c>
      <c r="Q46" s="220">
        <f>IFERROR(VLOOKUP($A46,'NG Pivot'!$A$37:$P$45,MATCH(Q$2,'NG Pivot'!$O$36:$P$36,0)+14,FALSE),0)+IFERROR(VLOOKUP($A46,'NG Pivot'!$A$4:$AE$29,MATCH(Q$2,'NG Pivot'!$X$3:$AE$3,0)+23,FALSE),0)*10</f>
        <v>0</v>
      </c>
      <c r="R46" s="220">
        <f>IFERROR(VLOOKUP($A46,'NG Pivot'!$A$37:$P$45,MATCH(R$2,'NG Pivot'!$O$36:$P$36,0)+14,FALSE),0)+IFERROR(VLOOKUP($A46,'NG Pivot'!$A$4:$AE$29,MATCH(R$2,'NG Pivot'!$X$3:$AE$3,0)+23,FALSE),0)*10</f>
        <v>0</v>
      </c>
      <c r="S46" s="220">
        <f>IFERROR(VLOOKUP($A46,'NG Pivot'!$A$37:$P$45,MATCH(S$2,'NG Pivot'!$O$36:$P$36,0)+14,FALSE),0)+IFERROR(VLOOKUP($A46,'NG Pivot'!$A$4:$AE$29,MATCH(S$2,'NG Pivot'!$X$3:$AE$3,0)+23,FALSE),0)*10</f>
        <v>0</v>
      </c>
      <c r="T46" s="220">
        <f>IFERROR(VLOOKUP($A46,'NG Pivot'!$A$37:$P$45,MATCH(T$2,'NG Pivot'!$O$36:$P$36,0)+14,FALSE),0)+IFERROR(VLOOKUP($A46,'NG Pivot'!$A$4:$AE$29,MATCH(T$2,'NG Pivot'!$X$3:$AE$3,0)+23,FALSE),0)*10</f>
        <v>0</v>
      </c>
      <c r="U46" s="220">
        <f>IFERROR(VLOOKUP($A46,'NG Pivot'!$A$37:$P$45,MATCH(U$2,'NG Pivot'!$O$36:$P$36,0)+14,FALSE),0)+IFERROR(VLOOKUP($A46,'NG Pivot'!$A$4:$AE$29,MATCH(U$2,'NG Pivot'!$X$3:$AE$3,0)+23,FALSE),0)*10</f>
        <v>0</v>
      </c>
      <c r="V46" s="220">
        <f>IFERROR(VLOOKUP($A46,'NG Pivot'!$A$37:$P$45,MATCH(V$2,'NG Pivot'!$O$36:$P$36,0)+14,FALSE),0)+IFERROR(VLOOKUP($A46,'NG Pivot'!$A$4:$AE$29,MATCH(V$2,'NG Pivot'!$X$3:$AE$3,0)+23,FALSE),0)*10</f>
        <v>0</v>
      </c>
      <c r="W46" s="220">
        <f>IFERROR(VLOOKUP($A46,'NG Pivot'!$A$37:$P$45,MATCH(W$2,'NG Pivot'!$O$36:$P$36,0)+14,FALSE),0)+IFERROR(VLOOKUP($A46,'NG Pivot'!$A$4:$AE$29,MATCH(W$2,'NG Pivot'!$X$3:$AE$3,0)+23,FALSE),0)*10</f>
        <v>0</v>
      </c>
      <c r="X46" s="220">
        <f>IFERROR(VLOOKUP($A46,'NG Pivot'!$A$37:$P$45,MATCH(X$2,'NG Pivot'!$O$36:$P$36,0)+14,FALSE),0)+IFERROR(VLOOKUP($A46,'NG Pivot'!$A$4:$AE$29,MATCH(X$2,'NG Pivot'!$X$3:$AE$3,0)+23,FALSE),0)*10</f>
        <v>0</v>
      </c>
      <c r="Y46" s="220">
        <f>IFERROR(VLOOKUP($A46,'NG Pivot'!$A$37:$P$45,MATCH(Y$2,'NG Pivot'!$O$36:$P$36,0)+14,FALSE),0)+IFERROR(VLOOKUP($A46,'NG Pivot'!$A$4:$AE$29,MATCH(Y$2,'NG Pivot'!$X$3:$AE$3,0)+23,FALSE),0)*10</f>
        <v>0</v>
      </c>
      <c r="Z46" s="220">
        <f>IFERROR(VLOOKUP($A46,'NG Pivot'!$A$37:$P$45,MATCH(Z$2,'NG Pivot'!$O$36:$P$36,0)+14,FALSE),0)+IFERROR(VLOOKUP($A46,'NG Pivot'!$A$4:$AE$29,MATCH(Z$2,'NG Pivot'!$X$3:$AE$3,0)+23,FALSE),0)*10</f>
        <v>0</v>
      </c>
      <c r="AA46" s="220">
        <f>IFERROR(VLOOKUP($A46,'NG Pivot'!$A$37:$P$45,MATCH(AA$2,'NG Pivot'!$O$36:$P$36,0)+14,FALSE),0)+IFERROR(VLOOKUP($A46,'NG Pivot'!$A$4:$AE$29,MATCH(AA$2,'NG Pivot'!$X$3:$AE$3,0)+23,FALSE),0)*10</f>
        <v>0</v>
      </c>
      <c r="AB46" s="220">
        <f>IFERROR(VLOOKUP($A46,'NG Pivot'!$A$37:$P$45,MATCH(AB$2,'NG Pivot'!$O$36:$P$36,0)+14,FALSE),0)+IFERROR(VLOOKUP($A46,'NG Pivot'!$A$4:$AE$29,MATCH(AB$2,'NG Pivot'!$X$3:$AE$3,0)+23,FALSE),0)*10</f>
        <v>0</v>
      </c>
      <c r="AC46" s="220">
        <f>IFERROR(VLOOKUP($A46,'NG Pivot'!$A$37:$P$45,MATCH(AC$2,'NG Pivot'!$O$36:$P$36,0)+14,FALSE),0)+IFERROR(VLOOKUP($A46,'NG Pivot'!$A$4:$AE$29,MATCH(AC$2,'NG Pivot'!$X$3:$AE$3,0)+23,FALSE),0)*10</f>
        <v>0</v>
      </c>
      <c r="AD46" s="220">
        <f>IFERROR(VLOOKUP($A46,'NG Pivot'!$A$37:$P$45,MATCH(AD$2,'NG Pivot'!$O$36:$P$36,0)+14,FALSE),0)+IFERROR(VLOOKUP($A46,'NG Pivot'!$A$4:$AE$29,MATCH(AD$2,'NG Pivot'!$X$3:$AE$3,0)+23,FALSE),0)*10</f>
        <v>0</v>
      </c>
    </row>
    <row r="47" spans="1:30">
      <c r="A47" s="223" t="s">
        <v>1277</v>
      </c>
      <c r="B47" s="220">
        <f>IFERROR(VLOOKUP($A47,'NG Pivot'!$A$37:$P$45,MATCH(B$2,'NG Pivot'!$O$36:$P$36,0)+14,FALSE),0)+IFERROR(VLOOKUP($A47,'NG Pivot'!$A$4:$AE$29,MATCH(B$2,'NG Pivot'!$X$3:$AE$3,0)+23,FALSE),0)*10</f>
        <v>0</v>
      </c>
      <c r="C47" s="220">
        <f>IFERROR(VLOOKUP($A47,'NG Pivot'!$A$37:$P$45,MATCH(C$2,'NG Pivot'!$O$36:$P$36,0)+14,FALSE),0)+IFERROR(VLOOKUP($A47,'NG Pivot'!$A$4:$AE$29,MATCH(C$2,'NG Pivot'!$X$3:$AE$3,0)+23,FALSE),0)*10</f>
        <v>0</v>
      </c>
      <c r="D47" s="220">
        <f>IFERROR(VLOOKUP($A47,'NG Pivot'!$A$37:$P$45,MATCH(D$2,'NG Pivot'!$O$36:$P$36,0)+14,FALSE),0)+IFERROR(VLOOKUP($A47,'NG Pivot'!$A$4:$AE$29,MATCH(D$2,'NG Pivot'!$X$3:$AE$3,0)+23,FALSE),0)*10</f>
        <v>0</v>
      </c>
      <c r="E47" s="220">
        <f>IFERROR(VLOOKUP($A47,'NG Pivot'!$A$37:$P$45,MATCH(E$2,'NG Pivot'!$O$36:$P$36,0)+14,FALSE),0)+IFERROR(VLOOKUP($A47,'NG Pivot'!$A$4:$AE$29,MATCH(E$2,'NG Pivot'!$X$3:$AE$3,0)+23,FALSE),0)*10</f>
        <v>0</v>
      </c>
      <c r="F47" s="220">
        <f>IFERROR(VLOOKUP($A47,'NG Pivot'!$A$37:$P$45,MATCH(F$2,'NG Pivot'!$O$36:$P$36,0)+14,FALSE),0)+IFERROR(VLOOKUP($A47,'NG Pivot'!$A$4:$AE$29,MATCH(F$2,'NG Pivot'!$X$3:$AE$3,0)+23,FALSE),0)*10</f>
        <v>0</v>
      </c>
      <c r="G47" s="220">
        <f>IFERROR(VLOOKUP($A47,'NG Pivot'!$A$37:$P$45,MATCH(G$2,'NG Pivot'!$O$36:$P$36,0)+14,FALSE),0)+IFERROR(VLOOKUP($A47,'NG Pivot'!$A$4:$AE$29,MATCH(G$2,'NG Pivot'!$X$3:$AE$3,0)+23,FALSE),0)*10</f>
        <v>0</v>
      </c>
      <c r="H47" s="220">
        <f>IFERROR(VLOOKUP($A47,'NG Pivot'!$A$37:$P$45,MATCH(H$2,'NG Pivot'!$O$36:$P$36,0)+14,FALSE),0)+IFERROR(VLOOKUP($A47,'NG Pivot'!$A$4:$AE$29,MATCH(H$2,'NG Pivot'!$X$3:$AE$3,0)+23,FALSE),0)*10</f>
        <v>0</v>
      </c>
      <c r="I47" s="220">
        <f>IFERROR(VLOOKUP($A47,'NG Pivot'!$A$37:$P$45,MATCH(I$2,'NG Pivot'!$O$36:$P$36,0)+14,FALSE),0)+IFERROR(VLOOKUP($A47,'NG Pivot'!$A$4:$AE$29,MATCH(I$2,'NG Pivot'!$X$3:$AE$3,0)+23,FALSE),0)*10</f>
        <v>0</v>
      </c>
      <c r="J47" s="220">
        <f>IFERROR(VLOOKUP($A47,'NG Pivot'!$A$37:$P$45,MATCH(J$2,'NG Pivot'!$O$36:$P$36,0)+14,FALSE),0)+IFERROR(VLOOKUP($A47,'NG Pivot'!$A$4:$AE$29,MATCH(J$2,'NG Pivot'!$X$3:$AE$3,0)+23,FALSE),0)*10</f>
        <v>0</v>
      </c>
      <c r="K47" s="220">
        <f>IFERROR(VLOOKUP($A47,'NG Pivot'!$A$37:$P$45,MATCH(K$2,'NG Pivot'!$O$36:$P$36,0)+14,FALSE),0)+IFERROR(VLOOKUP($A47,'NG Pivot'!$A$4:$AE$29,MATCH(K$2,'NG Pivot'!$X$3:$AE$3,0)+23,FALSE),0)*10</f>
        <v>0</v>
      </c>
      <c r="L47" s="220">
        <f>IFERROR(VLOOKUP($A47,'NG Pivot'!$A$37:$P$45,MATCH(L$2,'NG Pivot'!$O$36:$P$36,0)+14,FALSE),0)+IFERROR(VLOOKUP($A47,'NG Pivot'!$A$4:$AE$29,MATCH(L$2,'NG Pivot'!$X$3:$AE$3,0)+23,FALSE),0)*10</f>
        <v>0</v>
      </c>
      <c r="M47" s="220">
        <f>IFERROR(VLOOKUP($A47,'NG Pivot'!$A$37:$P$45,MATCH(M$2,'NG Pivot'!$O$36:$P$36,0)+14,FALSE),0)+IFERROR(VLOOKUP($A47,'NG Pivot'!$A$4:$AE$29,MATCH(M$2,'NG Pivot'!$X$3:$AE$3,0)+23,FALSE),0)*10</f>
        <v>0</v>
      </c>
      <c r="N47" s="220">
        <f>IFERROR(VLOOKUP($A47,'NG Pivot'!$A$37:$P$45,MATCH(N$2,'NG Pivot'!$O$36:$P$36,0)+14,FALSE),0)+IFERROR(VLOOKUP($A47,'NG Pivot'!$A$4:$AE$29,MATCH(N$2,'NG Pivot'!$X$3:$AE$3,0)+23,FALSE),0)*10</f>
        <v>0</v>
      </c>
      <c r="O47" s="220">
        <f>IFERROR(VLOOKUP($A47,'NG Pivot'!$A$37:$P$45,MATCH(O$2,'NG Pivot'!$O$36:$P$36,0)+14,FALSE),0)+IFERROR(VLOOKUP($A47,'NG Pivot'!$A$4:$AE$29,MATCH(O$2,'NG Pivot'!$X$3:$AE$3,0)+23,FALSE),0)*10</f>
        <v>0</v>
      </c>
      <c r="P47" s="220">
        <f>IFERROR(VLOOKUP($A47,'NG Pivot'!$A$37:$P$45,MATCH(P$2,'NG Pivot'!$O$36:$P$36,0)+14,FALSE),0)+IFERROR(VLOOKUP($A47,'NG Pivot'!$A$4:$AE$29,MATCH(P$2,'NG Pivot'!$X$3:$AE$3,0)+23,FALSE),0)*10</f>
        <v>0</v>
      </c>
      <c r="Q47" s="220">
        <f>IFERROR(VLOOKUP($A47,'NG Pivot'!$A$37:$P$45,MATCH(Q$2,'NG Pivot'!$O$36:$P$36,0)+14,FALSE),0)+IFERROR(VLOOKUP($A47,'NG Pivot'!$A$4:$AE$29,MATCH(Q$2,'NG Pivot'!$X$3:$AE$3,0)+23,FALSE),0)*10</f>
        <v>0</v>
      </c>
      <c r="R47" s="220">
        <f>IFERROR(VLOOKUP($A47,'NG Pivot'!$A$37:$P$45,MATCH(R$2,'NG Pivot'!$O$36:$P$36,0)+14,FALSE),0)+IFERROR(VLOOKUP($A47,'NG Pivot'!$A$4:$AE$29,MATCH(R$2,'NG Pivot'!$X$3:$AE$3,0)+23,FALSE),0)*10</f>
        <v>0</v>
      </c>
      <c r="S47" s="220">
        <f>IFERROR(VLOOKUP($A47,'NG Pivot'!$A$37:$P$45,MATCH(S$2,'NG Pivot'!$O$36:$P$36,0)+14,FALSE),0)+IFERROR(VLOOKUP($A47,'NG Pivot'!$A$4:$AE$29,MATCH(S$2,'NG Pivot'!$X$3:$AE$3,0)+23,FALSE),0)*10</f>
        <v>0</v>
      </c>
      <c r="T47" s="220">
        <f>IFERROR(VLOOKUP($A47,'NG Pivot'!$A$37:$P$45,MATCH(T$2,'NG Pivot'!$O$36:$P$36,0)+14,FALSE),0)+IFERROR(VLOOKUP($A47,'NG Pivot'!$A$4:$AE$29,MATCH(T$2,'NG Pivot'!$X$3:$AE$3,0)+23,FALSE),0)*10</f>
        <v>0</v>
      </c>
      <c r="U47" s="220">
        <f>IFERROR(VLOOKUP($A47,'NG Pivot'!$A$37:$P$45,MATCH(U$2,'NG Pivot'!$O$36:$P$36,0)+14,FALSE),0)+IFERROR(VLOOKUP($A47,'NG Pivot'!$A$4:$AE$29,MATCH(U$2,'NG Pivot'!$X$3:$AE$3,0)+23,FALSE),0)*10</f>
        <v>0</v>
      </c>
      <c r="V47" s="220">
        <f>IFERROR(VLOOKUP($A47,'NG Pivot'!$A$37:$P$45,MATCH(V$2,'NG Pivot'!$O$36:$P$36,0)+14,FALSE),0)+IFERROR(VLOOKUP($A47,'NG Pivot'!$A$4:$AE$29,MATCH(V$2,'NG Pivot'!$X$3:$AE$3,0)+23,FALSE),0)*10</f>
        <v>0</v>
      </c>
      <c r="W47" s="220">
        <f>IFERROR(VLOOKUP($A47,'NG Pivot'!$A$37:$P$45,MATCH(W$2,'NG Pivot'!$O$36:$P$36,0)+14,FALSE),0)+IFERROR(VLOOKUP($A47,'NG Pivot'!$A$4:$AE$29,MATCH(W$2,'NG Pivot'!$X$3:$AE$3,0)+23,FALSE),0)*10</f>
        <v>0</v>
      </c>
      <c r="X47" s="220">
        <f>IFERROR(VLOOKUP($A47,'NG Pivot'!$A$37:$P$45,MATCH(X$2,'NG Pivot'!$O$36:$P$36,0)+14,FALSE),0)+IFERROR(VLOOKUP($A47,'NG Pivot'!$A$4:$AE$29,MATCH(X$2,'NG Pivot'!$X$3:$AE$3,0)+23,FALSE),0)*10</f>
        <v>0</v>
      </c>
      <c r="Y47" s="220">
        <f>IFERROR(VLOOKUP($A47,'NG Pivot'!$A$37:$P$45,MATCH(Y$2,'NG Pivot'!$O$36:$P$36,0)+14,FALSE),0)+IFERROR(VLOOKUP($A47,'NG Pivot'!$A$4:$AE$29,MATCH(Y$2,'NG Pivot'!$X$3:$AE$3,0)+23,FALSE),0)*10</f>
        <v>0</v>
      </c>
      <c r="Z47" s="220">
        <f>IFERROR(VLOOKUP($A47,'NG Pivot'!$A$37:$P$45,MATCH(Z$2,'NG Pivot'!$O$36:$P$36,0)+14,FALSE),0)+IFERROR(VLOOKUP($A47,'NG Pivot'!$A$4:$AE$29,MATCH(Z$2,'NG Pivot'!$X$3:$AE$3,0)+23,FALSE),0)*10</f>
        <v>0</v>
      </c>
      <c r="AA47" s="220">
        <f>IFERROR(VLOOKUP($A47,'NG Pivot'!$A$37:$P$45,MATCH(AA$2,'NG Pivot'!$O$36:$P$36,0)+14,FALSE),0)+IFERROR(VLOOKUP($A47,'NG Pivot'!$A$4:$AE$29,MATCH(AA$2,'NG Pivot'!$X$3:$AE$3,0)+23,FALSE),0)*10</f>
        <v>0</v>
      </c>
      <c r="AB47" s="220">
        <f>IFERROR(VLOOKUP($A47,'NG Pivot'!$A$37:$P$45,MATCH(AB$2,'NG Pivot'!$O$36:$P$36,0)+14,FALSE),0)+IFERROR(VLOOKUP($A47,'NG Pivot'!$A$4:$AE$29,MATCH(AB$2,'NG Pivot'!$X$3:$AE$3,0)+23,FALSE),0)*10</f>
        <v>0</v>
      </c>
      <c r="AC47" s="220">
        <f>IFERROR(VLOOKUP($A47,'NG Pivot'!$A$37:$P$45,MATCH(AC$2,'NG Pivot'!$O$36:$P$36,0)+14,FALSE),0)+IFERROR(VLOOKUP($A47,'NG Pivot'!$A$4:$AE$29,MATCH(AC$2,'NG Pivot'!$X$3:$AE$3,0)+23,FALSE),0)*10</f>
        <v>0</v>
      </c>
      <c r="AD47" s="220">
        <f>IFERROR(VLOOKUP($A47,'NG Pivot'!$A$37:$P$45,MATCH(AD$2,'NG Pivot'!$O$36:$P$36,0)+14,FALSE),0)+IFERROR(VLOOKUP($A47,'NG Pivot'!$A$4:$AE$29,MATCH(AD$2,'NG Pivot'!$X$3:$AE$3,0)+23,FALSE),0)*10</f>
        <v>0</v>
      </c>
    </row>
    <row r="48" spans="1:30">
      <c r="A48" s="223" t="s">
        <v>1278</v>
      </c>
      <c r="B48" s="220">
        <f>IFERROR(VLOOKUP($A48,'NG Pivot'!$A$37:$P$45,MATCH(B$2,'NG Pivot'!$O$36:$P$36,0)+14,FALSE),0)+IFERROR(VLOOKUP($A48,'NG Pivot'!$A$4:$AE$29,MATCH(B$2,'NG Pivot'!$X$3:$AE$3,0)+23,FALSE),0)*10</f>
        <v>0</v>
      </c>
      <c r="C48" s="220">
        <f>IFERROR(VLOOKUP($A48,'NG Pivot'!$A$37:$P$45,MATCH(C$2,'NG Pivot'!$O$36:$P$36,0)+14,FALSE),0)+IFERROR(VLOOKUP($A48,'NG Pivot'!$A$4:$AE$29,MATCH(C$2,'NG Pivot'!$X$3:$AE$3,0)+23,FALSE),0)*10</f>
        <v>0</v>
      </c>
      <c r="D48" s="220">
        <f>IFERROR(VLOOKUP($A48,'NG Pivot'!$A$37:$P$45,MATCH(D$2,'NG Pivot'!$O$36:$P$36,0)+14,FALSE),0)+IFERROR(VLOOKUP($A48,'NG Pivot'!$A$4:$AE$29,MATCH(D$2,'NG Pivot'!$X$3:$AE$3,0)+23,FALSE),0)*10</f>
        <v>0</v>
      </c>
      <c r="E48" s="220">
        <f>IFERROR(VLOOKUP($A48,'NG Pivot'!$A$37:$P$45,MATCH(E$2,'NG Pivot'!$O$36:$P$36,0)+14,FALSE),0)+IFERROR(VLOOKUP($A48,'NG Pivot'!$A$4:$AE$29,MATCH(E$2,'NG Pivot'!$X$3:$AE$3,0)+23,FALSE),0)*10</f>
        <v>0</v>
      </c>
      <c r="F48" s="220">
        <f>IFERROR(VLOOKUP($A48,'NG Pivot'!$A$37:$P$45,MATCH(F$2,'NG Pivot'!$O$36:$P$36,0)+14,FALSE),0)+IFERROR(VLOOKUP($A48,'NG Pivot'!$A$4:$AE$29,MATCH(F$2,'NG Pivot'!$X$3:$AE$3,0)+23,FALSE),0)*10</f>
        <v>0</v>
      </c>
      <c r="G48" s="220">
        <f>IFERROR(VLOOKUP($A48,'NG Pivot'!$A$37:$P$45,MATCH(G$2,'NG Pivot'!$O$36:$P$36,0)+14,FALSE),0)+IFERROR(VLOOKUP($A48,'NG Pivot'!$A$4:$AE$29,MATCH(G$2,'NG Pivot'!$X$3:$AE$3,0)+23,FALSE),0)*10</f>
        <v>0</v>
      </c>
      <c r="H48" s="220">
        <f>IFERROR(VLOOKUP($A48,'NG Pivot'!$A$37:$P$45,MATCH(H$2,'NG Pivot'!$O$36:$P$36,0)+14,FALSE),0)+IFERROR(VLOOKUP($A48,'NG Pivot'!$A$4:$AE$29,MATCH(H$2,'NG Pivot'!$X$3:$AE$3,0)+23,FALSE),0)*10</f>
        <v>0</v>
      </c>
      <c r="I48" s="220">
        <f>IFERROR(VLOOKUP($A48,'NG Pivot'!$A$37:$P$45,MATCH(I$2,'NG Pivot'!$O$36:$P$36,0)+14,FALSE),0)+IFERROR(VLOOKUP($A48,'NG Pivot'!$A$4:$AE$29,MATCH(I$2,'NG Pivot'!$X$3:$AE$3,0)+23,FALSE),0)*10</f>
        <v>0</v>
      </c>
      <c r="J48" s="220">
        <f>IFERROR(VLOOKUP($A48,'NG Pivot'!$A$37:$P$45,MATCH(J$2,'NG Pivot'!$O$36:$P$36,0)+14,FALSE),0)+IFERROR(VLOOKUP($A48,'NG Pivot'!$A$4:$AE$29,MATCH(J$2,'NG Pivot'!$X$3:$AE$3,0)+23,FALSE),0)*10</f>
        <v>0</v>
      </c>
      <c r="K48" s="220">
        <f>IFERROR(VLOOKUP($A48,'NG Pivot'!$A$37:$P$45,MATCH(K$2,'NG Pivot'!$O$36:$P$36,0)+14,FALSE),0)+IFERROR(VLOOKUP($A48,'NG Pivot'!$A$4:$AE$29,MATCH(K$2,'NG Pivot'!$X$3:$AE$3,0)+23,FALSE),0)*10</f>
        <v>0</v>
      </c>
      <c r="L48" s="220">
        <f>IFERROR(VLOOKUP($A48,'NG Pivot'!$A$37:$P$45,MATCH(L$2,'NG Pivot'!$O$36:$P$36,0)+14,FALSE),0)+IFERROR(VLOOKUP($A48,'NG Pivot'!$A$4:$AE$29,MATCH(L$2,'NG Pivot'!$X$3:$AE$3,0)+23,FALSE),0)*10</f>
        <v>0</v>
      </c>
      <c r="M48" s="220">
        <f>IFERROR(VLOOKUP($A48,'NG Pivot'!$A$37:$P$45,MATCH(M$2,'NG Pivot'!$O$36:$P$36,0)+14,FALSE),0)+IFERROR(VLOOKUP($A48,'NG Pivot'!$A$4:$AE$29,MATCH(M$2,'NG Pivot'!$X$3:$AE$3,0)+23,FALSE),0)*10</f>
        <v>0</v>
      </c>
      <c r="N48" s="220">
        <f>IFERROR(VLOOKUP($A48,'NG Pivot'!$A$37:$P$45,MATCH(N$2,'NG Pivot'!$O$36:$P$36,0)+14,FALSE),0)+IFERROR(VLOOKUP($A48,'NG Pivot'!$A$4:$AE$29,MATCH(N$2,'NG Pivot'!$X$3:$AE$3,0)+23,FALSE),0)*10</f>
        <v>0</v>
      </c>
      <c r="O48" s="220">
        <f>IFERROR(VLOOKUP($A48,'NG Pivot'!$A$37:$P$45,MATCH(O$2,'NG Pivot'!$O$36:$P$36,0)+14,FALSE),0)+IFERROR(VLOOKUP($A48,'NG Pivot'!$A$4:$AE$29,MATCH(O$2,'NG Pivot'!$X$3:$AE$3,0)+23,FALSE),0)*10</f>
        <v>0</v>
      </c>
      <c r="P48" s="220">
        <f>IFERROR(VLOOKUP($A48,'NG Pivot'!$A$37:$P$45,MATCH(P$2,'NG Pivot'!$O$36:$P$36,0)+14,FALSE),0)+IFERROR(VLOOKUP($A48,'NG Pivot'!$A$4:$AE$29,MATCH(P$2,'NG Pivot'!$X$3:$AE$3,0)+23,FALSE),0)*10</f>
        <v>0</v>
      </c>
      <c r="Q48" s="220">
        <f>IFERROR(VLOOKUP($A48,'NG Pivot'!$A$37:$P$45,MATCH(Q$2,'NG Pivot'!$O$36:$P$36,0)+14,FALSE),0)+IFERROR(VLOOKUP($A48,'NG Pivot'!$A$4:$AE$29,MATCH(Q$2,'NG Pivot'!$X$3:$AE$3,0)+23,FALSE),0)*10</f>
        <v>0</v>
      </c>
      <c r="R48" s="220">
        <f>IFERROR(VLOOKUP($A48,'NG Pivot'!$A$37:$P$45,MATCH(R$2,'NG Pivot'!$O$36:$P$36,0)+14,FALSE),0)+IFERROR(VLOOKUP($A48,'NG Pivot'!$A$4:$AE$29,MATCH(R$2,'NG Pivot'!$X$3:$AE$3,0)+23,FALSE),0)*10</f>
        <v>0</v>
      </c>
      <c r="S48" s="220">
        <f>IFERROR(VLOOKUP($A48,'NG Pivot'!$A$37:$P$45,MATCH(S$2,'NG Pivot'!$O$36:$P$36,0)+14,FALSE),0)+IFERROR(VLOOKUP($A48,'NG Pivot'!$A$4:$AE$29,MATCH(S$2,'NG Pivot'!$X$3:$AE$3,0)+23,FALSE),0)*10</f>
        <v>0</v>
      </c>
      <c r="T48" s="220">
        <f>IFERROR(VLOOKUP($A48,'NG Pivot'!$A$37:$P$45,MATCH(T$2,'NG Pivot'!$O$36:$P$36,0)+14,FALSE),0)+IFERROR(VLOOKUP($A48,'NG Pivot'!$A$4:$AE$29,MATCH(T$2,'NG Pivot'!$X$3:$AE$3,0)+23,FALSE),0)*10</f>
        <v>0</v>
      </c>
      <c r="U48" s="220">
        <f>IFERROR(VLOOKUP($A48,'NG Pivot'!$A$37:$P$45,MATCH(U$2,'NG Pivot'!$O$36:$P$36,0)+14,FALSE),0)+IFERROR(VLOOKUP($A48,'NG Pivot'!$A$4:$AE$29,MATCH(U$2,'NG Pivot'!$X$3:$AE$3,0)+23,FALSE),0)*10</f>
        <v>0</v>
      </c>
      <c r="V48" s="220">
        <f>IFERROR(VLOOKUP($A48,'NG Pivot'!$A$37:$P$45,MATCH(V$2,'NG Pivot'!$O$36:$P$36,0)+14,FALSE),0)+IFERROR(VLOOKUP($A48,'NG Pivot'!$A$4:$AE$29,MATCH(V$2,'NG Pivot'!$X$3:$AE$3,0)+23,FALSE),0)*10</f>
        <v>0</v>
      </c>
      <c r="W48" s="220">
        <f>IFERROR(VLOOKUP($A48,'NG Pivot'!$A$37:$P$45,MATCH(W$2,'NG Pivot'!$O$36:$P$36,0)+14,FALSE),0)+IFERROR(VLOOKUP($A48,'NG Pivot'!$A$4:$AE$29,MATCH(W$2,'NG Pivot'!$X$3:$AE$3,0)+23,FALSE),0)*10</f>
        <v>0</v>
      </c>
      <c r="X48" s="220">
        <f>IFERROR(VLOOKUP($A48,'NG Pivot'!$A$37:$P$45,MATCH(X$2,'NG Pivot'!$O$36:$P$36,0)+14,FALSE),0)+IFERROR(VLOOKUP($A48,'NG Pivot'!$A$4:$AE$29,MATCH(X$2,'NG Pivot'!$X$3:$AE$3,0)+23,FALSE),0)*10</f>
        <v>0</v>
      </c>
      <c r="Y48" s="220">
        <f>IFERROR(VLOOKUP($A48,'NG Pivot'!$A$37:$P$45,MATCH(Y$2,'NG Pivot'!$O$36:$P$36,0)+14,FALSE),0)+IFERROR(VLOOKUP($A48,'NG Pivot'!$A$4:$AE$29,MATCH(Y$2,'NG Pivot'!$X$3:$AE$3,0)+23,FALSE),0)*10</f>
        <v>0</v>
      </c>
      <c r="Z48" s="220">
        <f>IFERROR(VLOOKUP($A48,'NG Pivot'!$A$37:$P$45,MATCH(Z$2,'NG Pivot'!$O$36:$P$36,0)+14,FALSE),0)+IFERROR(VLOOKUP($A48,'NG Pivot'!$A$4:$AE$29,MATCH(Z$2,'NG Pivot'!$X$3:$AE$3,0)+23,FALSE),0)*10</f>
        <v>0</v>
      </c>
      <c r="AA48" s="220">
        <f>IFERROR(VLOOKUP($A48,'NG Pivot'!$A$37:$P$45,MATCH(AA$2,'NG Pivot'!$O$36:$P$36,0)+14,FALSE),0)+IFERROR(VLOOKUP($A48,'NG Pivot'!$A$4:$AE$29,MATCH(AA$2,'NG Pivot'!$X$3:$AE$3,0)+23,FALSE),0)*10</f>
        <v>0</v>
      </c>
      <c r="AB48" s="220">
        <f>IFERROR(VLOOKUP($A48,'NG Pivot'!$A$37:$P$45,MATCH(AB$2,'NG Pivot'!$O$36:$P$36,0)+14,FALSE),0)+IFERROR(VLOOKUP($A48,'NG Pivot'!$A$4:$AE$29,MATCH(AB$2,'NG Pivot'!$X$3:$AE$3,0)+23,FALSE),0)*10</f>
        <v>0</v>
      </c>
      <c r="AC48" s="220">
        <f>IFERROR(VLOOKUP($A48,'NG Pivot'!$A$37:$P$45,MATCH(AC$2,'NG Pivot'!$O$36:$P$36,0)+14,FALSE),0)+IFERROR(VLOOKUP($A48,'NG Pivot'!$A$4:$AE$29,MATCH(AC$2,'NG Pivot'!$X$3:$AE$3,0)+23,FALSE),0)*10</f>
        <v>0</v>
      </c>
      <c r="AD48" s="220">
        <f>IFERROR(VLOOKUP($A48,'NG Pivot'!$A$37:$P$45,MATCH(AD$2,'NG Pivot'!$O$36:$P$36,0)+14,FALSE),0)+IFERROR(VLOOKUP($A48,'NG Pivot'!$A$4:$AE$29,MATCH(AD$2,'NG Pivot'!$X$3:$AE$3,0)+23,FALSE),0)*10</f>
        <v>0</v>
      </c>
    </row>
    <row r="49" spans="1:30">
      <c r="A49" s="223" t="s">
        <v>1279</v>
      </c>
      <c r="B49" s="220">
        <f>IFERROR(VLOOKUP($A49,'NG Pivot'!$A$37:$P$45,MATCH(B$2,'NG Pivot'!$O$36:$P$36,0)+14,FALSE),0)+IFERROR(VLOOKUP($A49,'NG Pivot'!$A$4:$AE$29,MATCH(B$2,'NG Pivot'!$X$3:$AE$3,0)+23,FALSE),0)*10</f>
        <v>0</v>
      </c>
      <c r="C49" s="220">
        <f>IFERROR(VLOOKUP($A49,'NG Pivot'!$A$37:$P$45,MATCH(C$2,'NG Pivot'!$O$36:$P$36,0)+14,FALSE),0)+IFERROR(VLOOKUP($A49,'NG Pivot'!$A$4:$AE$29,MATCH(C$2,'NG Pivot'!$X$3:$AE$3,0)+23,FALSE),0)*10</f>
        <v>0</v>
      </c>
      <c r="D49" s="220">
        <f>IFERROR(VLOOKUP($A49,'NG Pivot'!$A$37:$P$45,MATCH(D$2,'NG Pivot'!$O$36:$P$36,0)+14,FALSE),0)+IFERROR(VLOOKUP($A49,'NG Pivot'!$A$4:$AE$29,MATCH(D$2,'NG Pivot'!$X$3:$AE$3,0)+23,FALSE),0)*10</f>
        <v>0</v>
      </c>
      <c r="E49" s="220">
        <f>IFERROR(VLOOKUP($A49,'NG Pivot'!$A$37:$P$45,MATCH(E$2,'NG Pivot'!$O$36:$P$36,0)+14,FALSE),0)+IFERROR(VLOOKUP($A49,'NG Pivot'!$A$4:$AE$29,MATCH(E$2,'NG Pivot'!$X$3:$AE$3,0)+23,FALSE),0)*10</f>
        <v>0</v>
      </c>
      <c r="F49" s="220">
        <f>IFERROR(VLOOKUP($A49,'NG Pivot'!$A$37:$P$45,MATCH(F$2,'NG Pivot'!$O$36:$P$36,0)+14,FALSE),0)+IFERROR(VLOOKUP($A49,'NG Pivot'!$A$4:$AE$29,MATCH(F$2,'NG Pivot'!$X$3:$AE$3,0)+23,FALSE),0)*10</f>
        <v>0</v>
      </c>
      <c r="G49" s="220">
        <f>IFERROR(VLOOKUP($A49,'NG Pivot'!$A$37:$P$45,MATCH(G$2,'NG Pivot'!$O$36:$P$36,0)+14,FALSE),0)+IFERROR(VLOOKUP($A49,'NG Pivot'!$A$4:$AE$29,MATCH(G$2,'NG Pivot'!$X$3:$AE$3,0)+23,FALSE),0)*10</f>
        <v>0</v>
      </c>
      <c r="H49" s="220">
        <f>IFERROR(VLOOKUP($A49,'NG Pivot'!$A$37:$P$45,MATCH(H$2,'NG Pivot'!$O$36:$P$36,0)+14,FALSE),0)+IFERROR(VLOOKUP($A49,'NG Pivot'!$A$4:$AE$29,MATCH(H$2,'NG Pivot'!$X$3:$AE$3,0)+23,FALSE),0)*10</f>
        <v>0</v>
      </c>
      <c r="I49" s="220">
        <f>IFERROR(VLOOKUP($A49,'NG Pivot'!$A$37:$P$45,MATCH(I$2,'NG Pivot'!$O$36:$P$36,0)+14,FALSE),0)+IFERROR(VLOOKUP($A49,'NG Pivot'!$A$4:$AE$29,MATCH(I$2,'NG Pivot'!$X$3:$AE$3,0)+23,FALSE),0)*10</f>
        <v>0</v>
      </c>
      <c r="J49" s="220">
        <f>IFERROR(VLOOKUP($A49,'NG Pivot'!$A$37:$P$45,MATCH(J$2,'NG Pivot'!$O$36:$P$36,0)+14,FALSE),0)+IFERROR(VLOOKUP($A49,'NG Pivot'!$A$4:$AE$29,MATCH(J$2,'NG Pivot'!$X$3:$AE$3,0)+23,FALSE),0)*10</f>
        <v>0</v>
      </c>
      <c r="K49" s="220">
        <f>IFERROR(VLOOKUP($A49,'NG Pivot'!$A$37:$P$45,MATCH(K$2,'NG Pivot'!$O$36:$P$36,0)+14,FALSE),0)+IFERROR(VLOOKUP($A49,'NG Pivot'!$A$4:$AE$29,MATCH(K$2,'NG Pivot'!$X$3:$AE$3,0)+23,FALSE),0)*10</f>
        <v>0</v>
      </c>
      <c r="L49" s="220">
        <f>IFERROR(VLOOKUP($A49,'NG Pivot'!$A$37:$P$45,MATCH(L$2,'NG Pivot'!$O$36:$P$36,0)+14,FALSE),0)+IFERROR(VLOOKUP($A49,'NG Pivot'!$A$4:$AE$29,MATCH(L$2,'NG Pivot'!$X$3:$AE$3,0)+23,FALSE),0)*10</f>
        <v>0</v>
      </c>
      <c r="M49" s="220">
        <f>IFERROR(VLOOKUP($A49,'NG Pivot'!$A$37:$P$45,MATCH(M$2,'NG Pivot'!$O$36:$P$36,0)+14,FALSE),0)+IFERROR(VLOOKUP($A49,'NG Pivot'!$A$4:$AE$29,MATCH(M$2,'NG Pivot'!$X$3:$AE$3,0)+23,FALSE),0)*10</f>
        <v>0</v>
      </c>
      <c r="N49" s="220">
        <f>IFERROR(VLOOKUP($A49,'NG Pivot'!$A$37:$P$45,MATCH(N$2,'NG Pivot'!$O$36:$P$36,0)+14,FALSE),0)+IFERROR(VLOOKUP($A49,'NG Pivot'!$A$4:$AE$29,MATCH(N$2,'NG Pivot'!$X$3:$AE$3,0)+23,FALSE),0)*10</f>
        <v>0</v>
      </c>
      <c r="O49" s="220">
        <f>IFERROR(VLOOKUP($A49,'NG Pivot'!$A$37:$P$45,MATCH(O$2,'NG Pivot'!$O$36:$P$36,0)+14,FALSE),0)+IFERROR(VLOOKUP($A49,'NG Pivot'!$A$4:$AE$29,MATCH(O$2,'NG Pivot'!$X$3:$AE$3,0)+23,FALSE),0)*10</f>
        <v>0</v>
      </c>
      <c r="P49" s="220">
        <f>IFERROR(VLOOKUP($A49,'NG Pivot'!$A$37:$P$45,MATCH(P$2,'NG Pivot'!$O$36:$P$36,0)+14,FALSE),0)+IFERROR(VLOOKUP($A49,'NG Pivot'!$A$4:$AE$29,MATCH(P$2,'NG Pivot'!$X$3:$AE$3,0)+23,FALSE),0)*10</f>
        <v>0</v>
      </c>
      <c r="Q49" s="220">
        <f>IFERROR(VLOOKUP($A49,'NG Pivot'!$A$37:$P$45,MATCH(Q$2,'NG Pivot'!$O$36:$P$36,0)+14,FALSE),0)+IFERROR(VLOOKUP($A49,'NG Pivot'!$A$4:$AE$29,MATCH(Q$2,'NG Pivot'!$X$3:$AE$3,0)+23,FALSE),0)*10</f>
        <v>0</v>
      </c>
      <c r="R49" s="220">
        <f>IFERROR(VLOOKUP($A49,'NG Pivot'!$A$37:$P$45,MATCH(R$2,'NG Pivot'!$O$36:$P$36,0)+14,FALSE),0)+IFERROR(VLOOKUP($A49,'NG Pivot'!$A$4:$AE$29,MATCH(R$2,'NG Pivot'!$X$3:$AE$3,0)+23,FALSE),0)*10</f>
        <v>0</v>
      </c>
      <c r="S49" s="220">
        <f>IFERROR(VLOOKUP($A49,'NG Pivot'!$A$37:$P$45,MATCH(S$2,'NG Pivot'!$O$36:$P$36,0)+14,FALSE),0)+IFERROR(VLOOKUP($A49,'NG Pivot'!$A$4:$AE$29,MATCH(S$2,'NG Pivot'!$X$3:$AE$3,0)+23,FALSE),0)*10</f>
        <v>0</v>
      </c>
      <c r="T49" s="220">
        <f>IFERROR(VLOOKUP($A49,'NG Pivot'!$A$37:$P$45,MATCH(T$2,'NG Pivot'!$O$36:$P$36,0)+14,FALSE),0)+IFERROR(VLOOKUP($A49,'NG Pivot'!$A$4:$AE$29,MATCH(T$2,'NG Pivot'!$X$3:$AE$3,0)+23,FALSE),0)*10</f>
        <v>0</v>
      </c>
      <c r="U49" s="220">
        <f>IFERROR(VLOOKUP($A49,'NG Pivot'!$A$37:$P$45,MATCH(U$2,'NG Pivot'!$O$36:$P$36,0)+14,FALSE),0)+IFERROR(VLOOKUP($A49,'NG Pivot'!$A$4:$AE$29,MATCH(U$2,'NG Pivot'!$X$3:$AE$3,0)+23,FALSE),0)*10</f>
        <v>0</v>
      </c>
      <c r="V49" s="220">
        <f>IFERROR(VLOOKUP($A49,'NG Pivot'!$A$37:$P$45,MATCH(V$2,'NG Pivot'!$O$36:$P$36,0)+14,FALSE),0)+IFERROR(VLOOKUP($A49,'NG Pivot'!$A$4:$AE$29,MATCH(V$2,'NG Pivot'!$X$3:$AE$3,0)+23,FALSE),0)*10</f>
        <v>0</v>
      </c>
      <c r="W49" s="220">
        <f>IFERROR(VLOOKUP($A49,'NG Pivot'!$A$37:$P$45,MATCH(W$2,'NG Pivot'!$O$36:$P$36,0)+14,FALSE),0)+IFERROR(VLOOKUP($A49,'NG Pivot'!$A$4:$AE$29,MATCH(W$2,'NG Pivot'!$X$3:$AE$3,0)+23,FALSE),0)*10</f>
        <v>0</v>
      </c>
      <c r="X49" s="220">
        <f>IFERROR(VLOOKUP($A49,'NG Pivot'!$A$37:$P$45,MATCH(X$2,'NG Pivot'!$O$36:$P$36,0)+14,FALSE),0)+IFERROR(VLOOKUP($A49,'NG Pivot'!$A$4:$AE$29,MATCH(X$2,'NG Pivot'!$X$3:$AE$3,0)+23,FALSE),0)*10</f>
        <v>0</v>
      </c>
      <c r="Y49" s="220">
        <f>IFERROR(VLOOKUP($A49,'NG Pivot'!$A$37:$P$45,MATCH(Y$2,'NG Pivot'!$O$36:$P$36,0)+14,FALSE),0)+IFERROR(VLOOKUP($A49,'NG Pivot'!$A$4:$AE$29,MATCH(Y$2,'NG Pivot'!$X$3:$AE$3,0)+23,FALSE),0)*10</f>
        <v>0</v>
      </c>
      <c r="Z49" s="220">
        <f>IFERROR(VLOOKUP($A49,'NG Pivot'!$A$37:$P$45,MATCH(Z$2,'NG Pivot'!$O$36:$P$36,0)+14,FALSE),0)+IFERROR(VLOOKUP($A49,'NG Pivot'!$A$4:$AE$29,MATCH(Z$2,'NG Pivot'!$X$3:$AE$3,0)+23,FALSE),0)*10</f>
        <v>0</v>
      </c>
      <c r="AA49" s="220">
        <f>IFERROR(VLOOKUP($A49,'NG Pivot'!$A$37:$P$45,MATCH(AA$2,'NG Pivot'!$O$36:$P$36,0)+14,FALSE),0)+IFERROR(VLOOKUP($A49,'NG Pivot'!$A$4:$AE$29,MATCH(AA$2,'NG Pivot'!$X$3:$AE$3,0)+23,FALSE),0)*10</f>
        <v>0</v>
      </c>
      <c r="AB49" s="220">
        <f>IFERROR(VLOOKUP($A49,'NG Pivot'!$A$37:$P$45,MATCH(AB$2,'NG Pivot'!$O$36:$P$36,0)+14,FALSE),0)+IFERROR(VLOOKUP($A49,'NG Pivot'!$A$4:$AE$29,MATCH(AB$2,'NG Pivot'!$X$3:$AE$3,0)+23,FALSE),0)*10</f>
        <v>0</v>
      </c>
      <c r="AC49" s="220">
        <f>IFERROR(VLOOKUP($A49,'NG Pivot'!$A$37:$P$45,MATCH(AC$2,'NG Pivot'!$O$36:$P$36,0)+14,FALSE),0)+IFERROR(VLOOKUP($A49,'NG Pivot'!$A$4:$AE$29,MATCH(AC$2,'NG Pivot'!$X$3:$AE$3,0)+23,FALSE),0)*10</f>
        <v>0</v>
      </c>
      <c r="AD49" s="220">
        <f>IFERROR(VLOOKUP($A49,'NG Pivot'!$A$37:$P$45,MATCH(AD$2,'NG Pivot'!$O$36:$P$36,0)+14,FALSE),0)+IFERROR(VLOOKUP($A49,'NG Pivot'!$A$4:$AE$29,MATCH(AD$2,'NG Pivot'!$X$3:$AE$3,0)+23,FALSE),0)*10</f>
        <v>0</v>
      </c>
    </row>
    <row r="50" spans="1:30">
      <c r="A50" s="223" t="s">
        <v>1280</v>
      </c>
      <c r="B50" s="220">
        <f>IFERROR(VLOOKUP($A50,'NG Pivot'!$A$37:$P$45,MATCH(B$2,'NG Pivot'!$O$36:$P$36,0)+14,FALSE),0)+IFERROR(VLOOKUP($A50,'NG Pivot'!$A$4:$AE$29,MATCH(B$2,'NG Pivot'!$X$3:$AE$3,0)+23,FALSE),0)*10</f>
        <v>0</v>
      </c>
      <c r="C50" s="220">
        <f>IFERROR(VLOOKUP($A50,'NG Pivot'!$A$37:$P$45,MATCH(C$2,'NG Pivot'!$O$36:$P$36,0)+14,FALSE),0)+IFERROR(VLOOKUP($A50,'NG Pivot'!$A$4:$AE$29,MATCH(C$2,'NG Pivot'!$X$3:$AE$3,0)+23,FALSE),0)*10</f>
        <v>0</v>
      </c>
      <c r="D50" s="220">
        <f>IFERROR(VLOOKUP($A50,'NG Pivot'!$A$37:$P$45,MATCH(D$2,'NG Pivot'!$O$36:$P$36,0)+14,FALSE),0)+IFERROR(VLOOKUP($A50,'NG Pivot'!$A$4:$AE$29,MATCH(D$2,'NG Pivot'!$X$3:$AE$3,0)+23,FALSE),0)*10</f>
        <v>0</v>
      </c>
      <c r="E50" s="220">
        <f>IFERROR(VLOOKUP($A50,'NG Pivot'!$A$37:$P$45,MATCH(E$2,'NG Pivot'!$O$36:$P$36,0)+14,FALSE),0)+IFERROR(VLOOKUP($A50,'NG Pivot'!$A$4:$AE$29,MATCH(E$2,'NG Pivot'!$X$3:$AE$3,0)+23,FALSE),0)*10</f>
        <v>0</v>
      </c>
      <c r="F50" s="220">
        <f>IFERROR(VLOOKUP($A50,'NG Pivot'!$A$37:$P$45,MATCH(F$2,'NG Pivot'!$O$36:$P$36,0)+14,FALSE),0)+IFERROR(VLOOKUP($A50,'NG Pivot'!$A$4:$AE$29,MATCH(F$2,'NG Pivot'!$X$3:$AE$3,0)+23,FALSE),0)*10</f>
        <v>0</v>
      </c>
      <c r="G50" s="220">
        <f>IFERROR(VLOOKUP($A50,'NG Pivot'!$A$37:$P$45,MATCH(G$2,'NG Pivot'!$O$36:$P$36,0)+14,FALSE),0)+IFERROR(VLOOKUP($A50,'NG Pivot'!$A$4:$AE$29,MATCH(G$2,'NG Pivot'!$X$3:$AE$3,0)+23,FALSE),0)*10</f>
        <v>0</v>
      </c>
      <c r="H50" s="220">
        <f>IFERROR(VLOOKUP($A50,'NG Pivot'!$A$37:$P$45,MATCH(H$2,'NG Pivot'!$O$36:$P$36,0)+14,FALSE),0)+IFERROR(VLOOKUP($A50,'NG Pivot'!$A$4:$AE$29,MATCH(H$2,'NG Pivot'!$X$3:$AE$3,0)+23,FALSE),0)*10</f>
        <v>0</v>
      </c>
      <c r="I50" s="220">
        <f>IFERROR(VLOOKUP($A50,'NG Pivot'!$A$37:$P$45,MATCH(I$2,'NG Pivot'!$O$36:$P$36,0)+14,FALSE),0)+IFERROR(VLOOKUP($A50,'NG Pivot'!$A$4:$AE$29,MATCH(I$2,'NG Pivot'!$X$3:$AE$3,0)+23,FALSE),0)*10</f>
        <v>0</v>
      </c>
      <c r="J50" s="220">
        <f>IFERROR(VLOOKUP($A50,'NG Pivot'!$A$37:$P$45,MATCH(J$2,'NG Pivot'!$O$36:$P$36,0)+14,FALSE),0)+IFERROR(VLOOKUP($A50,'NG Pivot'!$A$4:$AE$29,MATCH(J$2,'NG Pivot'!$X$3:$AE$3,0)+23,FALSE),0)*10</f>
        <v>0</v>
      </c>
      <c r="K50" s="220">
        <f>IFERROR(VLOOKUP($A50,'NG Pivot'!$A$37:$P$45,MATCH(K$2,'NG Pivot'!$O$36:$P$36,0)+14,FALSE),0)+IFERROR(VLOOKUP($A50,'NG Pivot'!$A$4:$AE$29,MATCH(K$2,'NG Pivot'!$X$3:$AE$3,0)+23,FALSE),0)*10</f>
        <v>0</v>
      </c>
      <c r="L50" s="220">
        <f>IFERROR(VLOOKUP($A50,'NG Pivot'!$A$37:$P$45,MATCH(L$2,'NG Pivot'!$O$36:$P$36,0)+14,FALSE),0)+IFERROR(VLOOKUP($A50,'NG Pivot'!$A$4:$AE$29,MATCH(L$2,'NG Pivot'!$X$3:$AE$3,0)+23,FALSE),0)*10</f>
        <v>0</v>
      </c>
      <c r="M50" s="220">
        <f>IFERROR(VLOOKUP($A50,'NG Pivot'!$A$37:$P$45,MATCH(M$2,'NG Pivot'!$O$36:$P$36,0)+14,FALSE),0)+IFERROR(VLOOKUP($A50,'NG Pivot'!$A$4:$AE$29,MATCH(M$2,'NG Pivot'!$X$3:$AE$3,0)+23,FALSE),0)*10</f>
        <v>0</v>
      </c>
      <c r="N50" s="220">
        <f>IFERROR(VLOOKUP($A50,'NG Pivot'!$A$37:$P$45,MATCH(N$2,'NG Pivot'!$O$36:$P$36,0)+14,FALSE),0)+IFERROR(VLOOKUP($A50,'NG Pivot'!$A$4:$AE$29,MATCH(N$2,'NG Pivot'!$X$3:$AE$3,0)+23,FALSE),0)*10</f>
        <v>0</v>
      </c>
      <c r="O50" s="220">
        <f>IFERROR(VLOOKUP($A50,'NG Pivot'!$A$37:$P$45,MATCH(O$2,'NG Pivot'!$O$36:$P$36,0)+14,FALSE),0)+IFERROR(VLOOKUP($A50,'NG Pivot'!$A$4:$AE$29,MATCH(O$2,'NG Pivot'!$X$3:$AE$3,0)+23,FALSE),0)*10</f>
        <v>0</v>
      </c>
      <c r="P50" s="220">
        <f>IFERROR(VLOOKUP($A50,'NG Pivot'!$A$37:$P$45,MATCH(P$2,'NG Pivot'!$O$36:$P$36,0)+14,FALSE),0)+IFERROR(VLOOKUP($A50,'NG Pivot'!$A$4:$AE$29,MATCH(P$2,'NG Pivot'!$X$3:$AE$3,0)+23,FALSE),0)*10</f>
        <v>0</v>
      </c>
      <c r="Q50" s="220">
        <f>IFERROR(VLOOKUP($A50,'NG Pivot'!$A$37:$P$45,MATCH(Q$2,'NG Pivot'!$O$36:$P$36,0)+14,FALSE),0)+IFERROR(VLOOKUP($A50,'NG Pivot'!$A$4:$AE$29,MATCH(Q$2,'NG Pivot'!$X$3:$AE$3,0)+23,FALSE),0)*10</f>
        <v>0</v>
      </c>
      <c r="R50" s="220">
        <f>IFERROR(VLOOKUP($A50,'NG Pivot'!$A$37:$P$45,MATCH(R$2,'NG Pivot'!$O$36:$P$36,0)+14,FALSE),0)+IFERROR(VLOOKUP($A50,'NG Pivot'!$A$4:$AE$29,MATCH(R$2,'NG Pivot'!$X$3:$AE$3,0)+23,FALSE),0)*10</f>
        <v>0</v>
      </c>
      <c r="S50" s="220">
        <f>IFERROR(VLOOKUP($A50,'NG Pivot'!$A$37:$P$45,MATCH(S$2,'NG Pivot'!$O$36:$P$36,0)+14,FALSE),0)+IFERROR(VLOOKUP($A50,'NG Pivot'!$A$4:$AE$29,MATCH(S$2,'NG Pivot'!$X$3:$AE$3,0)+23,FALSE),0)*10</f>
        <v>0</v>
      </c>
      <c r="T50" s="220">
        <f>IFERROR(VLOOKUP($A50,'NG Pivot'!$A$37:$P$45,MATCH(T$2,'NG Pivot'!$O$36:$P$36,0)+14,FALSE),0)+IFERROR(VLOOKUP($A50,'NG Pivot'!$A$4:$AE$29,MATCH(T$2,'NG Pivot'!$X$3:$AE$3,0)+23,FALSE),0)*10</f>
        <v>0</v>
      </c>
      <c r="U50" s="220">
        <f>IFERROR(VLOOKUP($A50,'NG Pivot'!$A$37:$P$45,MATCH(U$2,'NG Pivot'!$O$36:$P$36,0)+14,FALSE),0)+IFERROR(VLOOKUP($A50,'NG Pivot'!$A$4:$AE$29,MATCH(U$2,'NG Pivot'!$X$3:$AE$3,0)+23,FALSE),0)*10</f>
        <v>0</v>
      </c>
      <c r="V50" s="220">
        <f>IFERROR(VLOOKUP($A50,'NG Pivot'!$A$37:$P$45,MATCH(V$2,'NG Pivot'!$O$36:$P$36,0)+14,FALSE),0)+IFERROR(VLOOKUP($A50,'NG Pivot'!$A$4:$AE$29,MATCH(V$2,'NG Pivot'!$X$3:$AE$3,0)+23,FALSE),0)*10</f>
        <v>0</v>
      </c>
      <c r="W50" s="220">
        <f>IFERROR(VLOOKUP($A50,'NG Pivot'!$A$37:$P$45,MATCH(W$2,'NG Pivot'!$O$36:$P$36,0)+14,FALSE),0)+IFERROR(VLOOKUP($A50,'NG Pivot'!$A$4:$AE$29,MATCH(W$2,'NG Pivot'!$X$3:$AE$3,0)+23,FALSE),0)*10</f>
        <v>76.4</v>
      </c>
      <c r="X50" s="220">
        <f>IFERROR(VLOOKUP($A50,'NG Pivot'!$A$37:$P$45,MATCH(X$2,'NG Pivot'!$O$36:$P$36,0)+14,FALSE),0)+IFERROR(VLOOKUP($A50,'NG Pivot'!$A$4:$AE$29,MATCH(X$2,'NG Pivot'!$X$3:$AE$3,0)+23,FALSE),0)*10</f>
        <v>0</v>
      </c>
      <c r="Y50" s="220">
        <f>IFERROR(VLOOKUP($A50,'NG Pivot'!$A$37:$P$45,MATCH(Y$2,'NG Pivot'!$O$36:$P$36,0)+14,FALSE),0)+IFERROR(VLOOKUP($A50,'NG Pivot'!$A$4:$AE$29,MATCH(Y$2,'NG Pivot'!$X$3:$AE$3,0)+23,FALSE),0)*10</f>
        <v>0</v>
      </c>
      <c r="Z50" s="220">
        <f>IFERROR(VLOOKUP($A50,'NG Pivot'!$A$37:$P$45,MATCH(Z$2,'NG Pivot'!$O$36:$P$36,0)+14,FALSE),0)+IFERROR(VLOOKUP($A50,'NG Pivot'!$A$4:$AE$29,MATCH(Z$2,'NG Pivot'!$X$3:$AE$3,0)+23,FALSE),0)*10</f>
        <v>0</v>
      </c>
      <c r="AA50" s="220">
        <f>IFERROR(VLOOKUP($A50,'NG Pivot'!$A$37:$P$45,MATCH(AA$2,'NG Pivot'!$O$36:$P$36,0)+14,FALSE),0)+IFERROR(VLOOKUP($A50,'NG Pivot'!$A$4:$AE$29,MATCH(AA$2,'NG Pivot'!$X$3:$AE$3,0)+23,FALSE),0)*10</f>
        <v>12</v>
      </c>
      <c r="AB50" s="220">
        <f>IFERROR(VLOOKUP($A50,'NG Pivot'!$A$37:$P$45,MATCH(AB$2,'NG Pivot'!$O$36:$P$36,0)+14,FALSE),0)+IFERROR(VLOOKUP($A50,'NG Pivot'!$A$4:$AE$29,MATCH(AB$2,'NG Pivot'!$X$3:$AE$3,0)+23,FALSE),0)*10</f>
        <v>0</v>
      </c>
      <c r="AC50" s="220">
        <f>IFERROR(VLOOKUP($A50,'NG Pivot'!$A$37:$P$45,MATCH(AC$2,'NG Pivot'!$O$36:$P$36,0)+14,FALSE),0)+IFERROR(VLOOKUP($A50,'NG Pivot'!$A$4:$AE$29,MATCH(AC$2,'NG Pivot'!$X$3:$AE$3,0)+23,FALSE),0)*10</f>
        <v>0</v>
      </c>
      <c r="AD50" s="220">
        <f>IFERROR(VLOOKUP($A50,'NG Pivot'!$A$37:$P$45,MATCH(AD$2,'NG Pivot'!$O$36:$P$36,0)+14,FALSE),0)+IFERROR(VLOOKUP($A50,'NG Pivot'!$A$4:$AE$29,MATCH(AD$2,'NG Pivot'!$X$3:$AE$3,0)+23,FALSE),0)*10</f>
        <v>0</v>
      </c>
    </row>
    <row r="51" spans="1:30">
      <c r="A51" s="223" t="s">
        <v>1281</v>
      </c>
      <c r="B51" s="220">
        <f>IFERROR(VLOOKUP($A51,'NG Pivot'!$A$37:$P$45,MATCH(B$2,'NG Pivot'!$O$36:$P$36,0)+14,FALSE),0)+IFERROR(VLOOKUP($A51,'NG Pivot'!$A$4:$AE$29,MATCH(B$2,'NG Pivot'!$X$3:$AE$3,0)+23,FALSE),0)*10</f>
        <v>0</v>
      </c>
      <c r="C51" s="220">
        <f>IFERROR(VLOOKUP($A51,'NG Pivot'!$A$37:$P$45,MATCH(C$2,'NG Pivot'!$O$36:$P$36,0)+14,FALSE),0)+IFERROR(VLOOKUP($A51,'NG Pivot'!$A$4:$AE$29,MATCH(C$2,'NG Pivot'!$X$3:$AE$3,0)+23,FALSE),0)*10</f>
        <v>0</v>
      </c>
      <c r="D51" s="220">
        <f>IFERROR(VLOOKUP($A51,'NG Pivot'!$A$37:$P$45,MATCH(D$2,'NG Pivot'!$O$36:$P$36,0)+14,FALSE),0)+IFERROR(VLOOKUP($A51,'NG Pivot'!$A$4:$AE$29,MATCH(D$2,'NG Pivot'!$X$3:$AE$3,0)+23,FALSE),0)*10</f>
        <v>0</v>
      </c>
      <c r="E51" s="220">
        <f>IFERROR(VLOOKUP($A51,'NG Pivot'!$A$37:$P$45,MATCH(E$2,'NG Pivot'!$O$36:$P$36,0)+14,FALSE),0)+IFERROR(VLOOKUP($A51,'NG Pivot'!$A$4:$AE$29,MATCH(E$2,'NG Pivot'!$X$3:$AE$3,0)+23,FALSE),0)*10</f>
        <v>0</v>
      </c>
      <c r="F51" s="220">
        <f>IFERROR(VLOOKUP($A51,'NG Pivot'!$A$37:$P$45,MATCH(F$2,'NG Pivot'!$O$36:$P$36,0)+14,FALSE),0)+IFERROR(VLOOKUP($A51,'NG Pivot'!$A$4:$AE$29,MATCH(F$2,'NG Pivot'!$X$3:$AE$3,0)+23,FALSE),0)*10</f>
        <v>0</v>
      </c>
      <c r="G51" s="220">
        <f>IFERROR(VLOOKUP($A51,'NG Pivot'!$A$37:$P$45,MATCH(G$2,'NG Pivot'!$O$36:$P$36,0)+14,FALSE),0)+IFERROR(VLOOKUP($A51,'NG Pivot'!$A$4:$AE$29,MATCH(G$2,'NG Pivot'!$X$3:$AE$3,0)+23,FALSE),0)*10</f>
        <v>0</v>
      </c>
      <c r="H51" s="220">
        <f>IFERROR(VLOOKUP($A51,'NG Pivot'!$A$37:$P$45,MATCH(H$2,'NG Pivot'!$O$36:$P$36,0)+14,FALSE),0)+IFERROR(VLOOKUP($A51,'NG Pivot'!$A$4:$AE$29,MATCH(H$2,'NG Pivot'!$X$3:$AE$3,0)+23,FALSE),0)*10</f>
        <v>0</v>
      </c>
      <c r="I51" s="220">
        <f>IFERROR(VLOOKUP($A51,'NG Pivot'!$A$37:$P$45,MATCH(I$2,'NG Pivot'!$O$36:$P$36,0)+14,FALSE),0)+IFERROR(VLOOKUP($A51,'NG Pivot'!$A$4:$AE$29,MATCH(I$2,'NG Pivot'!$X$3:$AE$3,0)+23,FALSE),0)*10</f>
        <v>0</v>
      </c>
      <c r="J51" s="220">
        <f>IFERROR(VLOOKUP($A51,'NG Pivot'!$A$37:$P$45,MATCH(J$2,'NG Pivot'!$O$36:$P$36,0)+14,FALSE),0)+IFERROR(VLOOKUP($A51,'NG Pivot'!$A$4:$AE$29,MATCH(J$2,'NG Pivot'!$X$3:$AE$3,0)+23,FALSE),0)*10</f>
        <v>0</v>
      </c>
      <c r="K51" s="220">
        <f>IFERROR(VLOOKUP($A51,'NG Pivot'!$A$37:$P$45,MATCH(K$2,'NG Pivot'!$O$36:$P$36,0)+14,FALSE),0)+IFERROR(VLOOKUP($A51,'NG Pivot'!$A$4:$AE$29,MATCH(K$2,'NG Pivot'!$X$3:$AE$3,0)+23,FALSE),0)*10</f>
        <v>0</v>
      </c>
      <c r="L51" s="220">
        <f>IFERROR(VLOOKUP($A51,'NG Pivot'!$A$37:$P$45,MATCH(L$2,'NG Pivot'!$O$36:$P$36,0)+14,FALSE),0)+IFERROR(VLOOKUP($A51,'NG Pivot'!$A$4:$AE$29,MATCH(L$2,'NG Pivot'!$X$3:$AE$3,0)+23,FALSE),0)*10</f>
        <v>0</v>
      </c>
      <c r="M51" s="220">
        <f>IFERROR(VLOOKUP($A51,'NG Pivot'!$A$37:$P$45,MATCH(M$2,'NG Pivot'!$O$36:$P$36,0)+14,FALSE),0)+IFERROR(VLOOKUP($A51,'NG Pivot'!$A$4:$AE$29,MATCH(M$2,'NG Pivot'!$X$3:$AE$3,0)+23,FALSE),0)*10</f>
        <v>0</v>
      </c>
      <c r="N51" s="220">
        <f>IFERROR(VLOOKUP($A51,'NG Pivot'!$A$37:$P$45,MATCH(N$2,'NG Pivot'!$O$36:$P$36,0)+14,FALSE),0)+IFERROR(VLOOKUP($A51,'NG Pivot'!$A$4:$AE$29,MATCH(N$2,'NG Pivot'!$X$3:$AE$3,0)+23,FALSE),0)*10</f>
        <v>0</v>
      </c>
      <c r="O51" s="220">
        <f>IFERROR(VLOOKUP($A51,'NG Pivot'!$A$37:$P$45,MATCH(O$2,'NG Pivot'!$O$36:$P$36,0)+14,FALSE),0)+IFERROR(VLOOKUP($A51,'NG Pivot'!$A$4:$AE$29,MATCH(O$2,'NG Pivot'!$X$3:$AE$3,0)+23,FALSE),0)*10</f>
        <v>0</v>
      </c>
      <c r="P51" s="220">
        <f>IFERROR(VLOOKUP($A51,'NG Pivot'!$A$37:$P$45,MATCH(P$2,'NG Pivot'!$O$36:$P$36,0)+14,FALSE),0)+IFERROR(VLOOKUP($A51,'NG Pivot'!$A$4:$AE$29,MATCH(P$2,'NG Pivot'!$X$3:$AE$3,0)+23,FALSE),0)*10</f>
        <v>0</v>
      </c>
      <c r="Q51" s="220">
        <f>IFERROR(VLOOKUP($A51,'NG Pivot'!$A$37:$P$45,MATCH(Q$2,'NG Pivot'!$O$36:$P$36,0)+14,FALSE),0)+IFERROR(VLOOKUP($A51,'NG Pivot'!$A$4:$AE$29,MATCH(Q$2,'NG Pivot'!$X$3:$AE$3,0)+23,FALSE),0)*10</f>
        <v>0</v>
      </c>
      <c r="R51" s="220">
        <f>IFERROR(VLOOKUP($A51,'NG Pivot'!$A$37:$P$45,MATCH(R$2,'NG Pivot'!$O$36:$P$36,0)+14,FALSE),0)+IFERROR(VLOOKUP($A51,'NG Pivot'!$A$4:$AE$29,MATCH(R$2,'NG Pivot'!$X$3:$AE$3,0)+23,FALSE),0)*10</f>
        <v>0</v>
      </c>
      <c r="S51" s="220">
        <f>IFERROR(VLOOKUP($A51,'NG Pivot'!$A$37:$P$45,MATCH(S$2,'NG Pivot'!$O$36:$P$36,0)+14,FALSE),0)+IFERROR(VLOOKUP($A51,'NG Pivot'!$A$4:$AE$29,MATCH(S$2,'NG Pivot'!$X$3:$AE$3,0)+23,FALSE),0)*10</f>
        <v>0</v>
      </c>
      <c r="T51" s="220">
        <f>IFERROR(VLOOKUP($A51,'NG Pivot'!$A$37:$P$45,MATCH(T$2,'NG Pivot'!$O$36:$P$36,0)+14,FALSE),0)+IFERROR(VLOOKUP($A51,'NG Pivot'!$A$4:$AE$29,MATCH(T$2,'NG Pivot'!$X$3:$AE$3,0)+23,FALSE),0)*10</f>
        <v>0</v>
      </c>
      <c r="U51" s="220">
        <f>IFERROR(VLOOKUP($A51,'NG Pivot'!$A$37:$P$45,MATCH(U$2,'NG Pivot'!$O$36:$P$36,0)+14,FALSE),0)+IFERROR(VLOOKUP($A51,'NG Pivot'!$A$4:$AE$29,MATCH(U$2,'NG Pivot'!$X$3:$AE$3,0)+23,FALSE),0)*10</f>
        <v>0</v>
      </c>
      <c r="V51" s="220">
        <f>IFERROR(VLOOKUP($A51,'NG Pivot'!$A$37:$P$45,MATCH(V$2,'NG Pivot'!$O$36:$P$36,0)+14,FALSE),0)+IFERROR(VLOOKUP($A51,'NG Pivot'!$A$4:$AE$29,MATCH(V$2,'NG Pivot'!$X$3:$AE$3,0)+23,FALSE),0)*10</f>
        <v>0</v>
      </c>
      <c r="W51" s="220">
        <f>IFERROR(VLOOKUP($A51,'NG Pivot'!$A$37:$P$45,MATCH(W$2,'NG Pivot'!$O$36:$P$36,0)+14,FALSE),0)+IFERROR(VLOOKUP($A51,'NG Pivot'!$A$4:$AE$29,MATCH(W$2,'NG Pivot'!$X$3:$AE$3,0)+23,FALSE),0)*10</f>
        <v>0</v>
      </c>
      <c r="X51" s="220">
        <f>IFERROR(VLOOKUP($A51,'NG Pivot'!$A$37:$P$45,MATCH(X$2,'NG Pivot'!$O$36:$P$36,0)+14,FALSE),0)+IFERROR(VLOOKUP($A51,'NG Pivot'!$A$4:$AE$29,MATCH(X$2,'NG Pivot'!$X$3:$AE$3,0)+23,FALSE),0)*10</f>
        <v>0</v>
      </c>
      <c r="Y51" s="220">
        <f>IFERROR(VLOOKUP($A51,'NG Pivot'!$A$37:$P$45,MATCH(Y$2,'NG Pivot'!$O$36:$P$36,0)+14,FALSE),0)+IFERROR(VLOOKUP($A51,'NG Pivot'!$A$4:$AE$29,MATCH(Y$2,'NG Pivot'!$X$3:$AE$3,0)+23,FALSE),0)*10</f>
        <v>0</v>
      </c>
      <c r="Z51" s="220">
        <f>IFERROR(VLOOKUP($A51,'NG Pivot'!$A$37:$P$45,MATCH(Z$2,'NG Pivot'!$O$36:$P$36,0)+14,FALSE),0)+IFERROR(VLOOKUP($A51,'NG Pivot'!$A$4:$AE$29,MATCH(Z$2,'NG Pivot'!$X$3:$AE$3,0)+23,FALSE),0)*10</f>
        <v>0</v>
      </c>
      <c r="AA51" s="220">
        <f>IFERROR(VLOOKUP($A51,'NG Pivot'!$A$37:$P$45,MATCH(AA$2,'NG Pivot'!$O$36:$P$36,0)+14,FALSE),0)+IFERROR(VLOOKUP($A51,'NG Pivot'!$A$4:$AE$29,MATCH(AA$2,'NG Pivot'!$X$3:$AE$3,0)+23,FALSE),0)*10</f>
        <v>0</v>
      </c>
      <c r="AB51" s="220">
        <f>IFERROR(VLOOKUP($A51,'NG Pivot'!$A$37:$P$45,MATCH(AB$2,'NG Pivot'!$O$36:$P$36,0)+14,FALSE),0)+IFERROR(VLOOKUP($A51,'NG Pivot'!$A$4:$AE$29,MATCH(AB$2,'NG Pivot'!$X$3:$AE$3,0)+23,FALSE),0)*10</f>
        <v>0</v>
      </c>
      <c r="AC51" s="220">
        <f>IFERROR(VLOOKUP($A51,'NG Pivot'!$A$37:$P$45,MATCH(AC$2,'NG Pivot'!$O$36:$P$36,0)+14,FALSE),0)+IFERROR(VLOOKUP($A51,'NG Pivot'!$A$4:$AE$29,MATCH(AC$2,'NG Pivot'!$X$3:$AE$3,0)+23,FALSE),0)*10</f>
        <v>0</v>
      </c>
      <c r="AD51" s="220">
        <f>IFERROR(VLOOKUP($A51,'NG Pivot'!$A$37:$P$45,MATCH(AD$2,'NG Pivot'!$O$36:$P$36,0)+14,FALSE),0)+IFERROR(VLOOKUP($A51,'NG Pivot'!$A$4:$AE$29,MATCH(AD$2,'NG Pivot'!$X$3:$AE$3,0)+23,FALSE),0)*10</f>
        <v>0</v>
      </c>
    </row>
    <row r="52" spans="1:30">
      <c r="A52" s="223" t="s">
        <v>1282</v>
      </c>
      <c r="B52" s="220">
        <f>IFERROR(VLOOKUP($A52,'NG Pivot'!$A$37:$P$45,MATCH(B$2,'NG Pivot'!$O$36:$P$36,0)+14,FALSE),0)+IFERROR(VLOOKUP($A52,'NG Pivot'!$A$4:$AE$29,MATCH(B$2,'NG Pivot'!$X$3:$AE$3,0)+23,FALSE),0)*10</f>
        <v>0</v>
      </c>
      <c r="C52" s="220">
        <f>IFERROR(VLOOKUP($A52,'NG Pivot'!$A$37:$P$45,MATCH(C$2,'NG Pivot'!$O$36:$P$36,0)+14,FALSE),0)+IFERROR(VLOOKUP($A52,'NG Pivot'!$A$4:$AE$29,MATCH(C$2,'NG Pivot'!$X$3:$AE$3,0)+23,FALSE),0)*10</f>
        <v>0</v>
      </c>
      <c r="D52" s="220">
        <f>IFERROR(VLOOKUP($A52,'NG Pivot'!$A$37:$P$45,MATCH(D$2,'NG Pivot'!$O$36:$P$36,0)+14,FALSE),0)+IFERROR(VLOOKUP($A52,'NG Pivot'!$A$4:$AE$29,MATCH(D$2,'NG Pivot'!$X$3:$AE$3,0)+23,FALSE),0)*10</f>
        <v>0</v>
      </c>
      <c r="E52" s="220">
        <f>IFERROR(VLOOKUP($A52,'NG Pivot'!$A$37:$P$45,MATCH(E$2,'NG Pivot'!$O$36:$P$36,0)+14,FALSE),0)+IFERROR(VLOOKUP($A52,'NG Pivot'!$A$4:$AE$29,MATCH(E$2,'NG Pivot'!$X$3:$AE$3,0)+23,FALSE),0)*10</f>
        <v>0</v>
      </c>
      <c r="F52" s="220">
        <f>IFERROR(VLOOKUP($A52,'NG Pivot'!$A$37:$P$45,MATCH(F$2,'NG Pivot'!$O$36:$P$36,0)+14,FALSE),0)+IFERROR(VLOOKUP($A52,'NG Pivot'!$A$4:$AE$29,MATCH(F$2,'NG Pivot'!$X$3:$AE$3,0)+23,FALSE),0)*10</f>
        <v>0</v>
      </c>
      <c r="G52" s="220">
        <f>IFERROR(VLOOKUP($A52,'NG Pivot'!$A$37:$P$45,MATCH(G$2,'NG Pivot'!$O$36:$P$36,0)+14,FALSE),0)+IFERROR(VLOOKUP($A52,'NG Pivot'!$A$4:$AE$29,MATCH(G$2,'NG Pivot'!$X$3:$AE$3,0)+23,FALSE),0)*10</f>
        <v>0</v>
      </c>
      <c r="H52" s="220">
        <f>IFERROR(VLOOKUP($A52,'NG Pivot'!$A$37:$P$45,MATCH(H$2,'NG Pivot'!$O$36:$P$36,0)+14,FALSE),0)+IFERROR(VLOOKUP($A52,'NG Pivot'!$A$4:$AE$29,MATCH(H$2,'NG Pivot'!$X$3:$AE$3,0)+23,FALSE),0)*10</f>
        <v>0</v>
      </c>
      <c r="I52" s="220">
        <f>IFERROR(VLOOKUP($A52,'NG Pivot'!$A$37:$P$45,MATCH(I$2,'NG Pivot'!$O$36:$P$36,0)+14,FALSE),0)+IFERROR(VLOOKUP($A52,'NG Pivot'!$A$4:$AE$29,MATCH(I$2,'NG Pivot'!$X$3:$AE$3,0)+23,FALSE),0)*10</f>
        <v>0</v>
      </c>
      <c r="J52" s="220">
        <f>IFERROR(VLOOKUP($A52,'NG Pivot'!$A$37:$P$45,MATCH(J$2,'NG Pivot'!$O$36:$P$36,0)+14,FALSE),0)+IFERROR(VLOOKUP($A52,'NG Pivot'!$A$4:$AE$29,MATCH(J$2,'NG Pivot'!$X$3:$AE$3,0)+23,FALSE),0)*10</f>
        <v>0</v>
      </c>
      <c r="K52" s="220">
        <f>IFERROR(VLOOKUP($A52,'NG Pivot'!$A$37:$P$45,MATCH(K$2,'NG Pivot'!$O$36:$P$36,0)+14,FALSE),0)+IFERROR(VLOOKUP($A52,'NG Pivot'!$A$4:$AE$29,MATCH(K$2,'NG Pivot'!$X$3:$AE$3,0)+23,FALSE),0)*10</f>
        <v>0</v>
      </c>
      <c r="L52" s="220">
        <f>IFERROR(VLOOKUP($A52,'NG Pivot'!$A$37:$P$45,MATCH(L$2,'NG Pivot'!$O$36:$P$36,0)+14,FALSE),0)+IFERROR(VLOOKUP($A52,'NG Pivot'!$A$4:$AE$29,MATCH(L$2,'NG Pivot'!$X$3:$AE$3,0)+23,FALSE),0)*10</f>
        <v>0</v>
      </c>
      <c r="M52" s="220">
        <f>IFERROR(VLOOKUP($A52,'NG Pivot'!$A$37:$P$45,MATCH(M$2,'NG Pivot'!$O$36:$P$36,0)+14,FALSE),0)+IFERROR(VLOOKUP($A52,'NG Pivot'!$A$4:$AE$29,MATCH(M$2,'NG Pivot'!$X$3:$AE$3,0)+23,FALSE),0)*10</f>
        <v>0</v>
      </c>
      <c r="N52" s="220">
        <f>IFERROR(VLOOKUP($A52,'NG Pivot'!$A$37:$P$45,MATCH(N$2,'NG Pivot'!$O$36:$P$36,0)+14,FALSE),0)+IFERROR(VLOOKUP($A52,'NG Pivot'!$A$4:$AE$29,MATCH(N$2,'NG Pivot'!$X$3:$AE$3,0)+23,FALSE),0)*10</f>
        <v>0</v>
      </c>
      <c r="O52" s="220">
        <f>IFERROR(VLOOKUP($A52,'NG Pivot'!$A$37:$P$45,MATCH(O$2,'NG Pivot'!$O$36:$P$36,0)+14,FALSE),0)+IFERROR(VLOOKUP($A52,'NG Pivot'!$A$4:$AE$29,MATCH(O$2,'NG Pivot'!$X$3:$AE$3,0)+23,FALSE),0)*10</f>
        <v>0</v>
      </c>
      <c r="P52" s="220">
        <f>IFERROR(VLOOKUP($A52,'NG Pivot'!$A$37:$P$45,MATCH(P$2,'NG Pivot'!$O$36:$P$36,0)+14,FALSE),0)+IFERROR(VLOOKUP($A52,'NG Pivot'!$A$4:$AE$29,MATCH(P$2,'NG Pivot'!$X$3:$AE$3,0)+23,FALSE),0)*10</f>
        <v>0</v>
      </c>
      <c r="Q52" s="220">
        <f>IFERROR(VLOOKUP($A52,'NG Pivot'!$A$37:$P$45,MATCH(Q$2,'NG Pivot'!$O$36:$P$36,0)+14,FALSE),0)+IFERROR(VLOOKUP($A52,'NG Pivot'!$A$4:$AE$29,MATCH(Q$2,'NG Pivot'!$X$3:$AE$3,0)+23,FALSE),0)*10</f>
        <v>0</v>
      </c>
      <c r="R52" s="220">
        <f>IFERROR(VLOOKUP($A52,'NG Pivot'!$A$37:$P$45,MATCH(R$2,'NG Pivot'!$O$36:$P$36,0)+14,FALSE),0)+IFERROR(VLOOKUP($A52,'NG Pivot'!$A$4:$AE$29,MATCH(R$2,'NG Pivot'!$X$3:$AE$3,0)+23,FALSE),0)*10</f>
        <v>0</v>
      </c>
      <c r="S52" s="220">
        <f>IFERROR(VLOOKUP($A52,'NG Pivot'!$A$37:$P$45,MATCH(S$2,'NG Pivot'!$O$36:$P$36,0)+14,FALSE),0)+IFERROR(VLOOKUP($A52,'NG Pivot'!$A$4:$AE$29,MATCH(S$2,'NG Pivot'!$X$3:$AE$3,0)+23,FALSE),0)*10</f>
        <v>0</v>
      </c>
      <c r="T52" s="220">
        <f>IFERROR(VLOOKUP($A52,'NG Pivot'!$A$37:$P$45,MATCH(T$2,'NG Pivot'!$O$36:$P$36,0)+14,FALSE),0)+IFERROR(VLOOKUP($A52,'NG Pivot'!$A$4:$AE$29,MATCH(T$2,'NG Pivot'!$X$3:$AE$3,0)+23,FALSE),0)*10</f>
        <v>0</v>
      </c>
      <c r="U52" s="220">
        <f>IFERROR(VLOOKUP($A52,'NG Pivot'!$A$37:$P$45,MATCH(U$2,'NG Pivot'!$O$36:$P$36,0)+14,FALSE),0)+IFERROR(VLOOKUP($A52,'NG Pivot'!$A$4:$AE$29,MATCH(U$2,'NG Pivot'!$X$3:$AE$3,0)+23,FALSE),0)*10</f>
        <v>0</v>
      </c>
      <c r="V52" s="220">
        <f>IFERROR(VLOOKUP($A52,'NG Pivot'!$A$37:$P$45,MATCH(V$2,'NG Pivot'!$O$36:$P$36,0)+14,FALSE),0)+IFERROR(VLOOKUP($A52,'NG Pivot'!$A$4:$AE$29,MATCH(V$2,'NG Pivot'!$X$3:$AE$3,0)+23,FALSE),0)*10</f>
        <v>0</v>
      </c>
      <c r="W52" s="220">
        <f>IFERROR(VLOOKUP($A52,'NG Pivot'!$A$37:$P$45,MATCH(W$2,'NG Pivot'!$O$36:$P$36,0)+14,FALSE),0)+IFERROR(VLOOKUP($A52,'NG Pivot'!$A$4:$AE$29,MATCH(W$2,'NG Pivot'!$X$3:$AE$3,0)+23,FALSE),0)*10</f>
        <v>0</v>
      </c>
      <c r="X52" s="220">
        <f>IFERROR(VLOOKUP($A52,'NG Pivot'!$A$37:$P$45,MATCH(X$2,'NG Pivot'!$O$36:$P$36,0)+14,FALSE),0)+IFERROR(VLOOKUP($A52,'NG Pivot'!$A$4:$AE$29,MATCH(X$2,'NG Pivot'!$X$3:$AE$3,0)+23,FALSE),0)*10</f>
        <v>0</v>
      </c>
      <c r="Y52" s="220">
        <f>IFERROR(VLOOKUP($A52,'NG Pivot'!$A$37:$P$45,MATCH(Y$2,'NG Pivot'!$O$36:$P$36,0)+14,FALSE),0)+IFERROR(VLOOKUP($A52,'NG Pivot'!$A$4:$AE$29,MATCH(Y$2,'NG Pivot'!$X$3:$AE$3,0)+23,FALSE),0)*10</f>
        <v>0</v>
      </c>
      <c r="Z52" s="220">
        <f>IFERROR(VLOOKUP($A52,'NG Pivot'!$A$37:$P$45,MATCH(Z$2,'NG Pivot'!$O$36:$P$36,0)+14,FALSE),0)+IFERROR(VLOOKUP($A52,'NG Pivot'!$A$4:$AE$29,MATCH(Z$2,'NG Pivot'!$X$3:$AE$3,0)+23,FALSE),0)*10</f>
        <v>0</v>
      </c>
      <c r="AA52" s="220">
        <f>IFERROR(VLOOKUP($A52,'NG Pivot'!$A$37:$P$45,MATCH(AA$2,'NG Pivot'!$O$36:$P$36,0)+14,FALSE),0)+IFERROR(VLOOKUP($A52,'NG Pivot'!$A$4:$AE$29,MATCH(AA$2,'NG Pivot'!$X$3:$AE$3,0)+23,FALSE),0)*10</f>
        <v>0</v>
      </c>
      <c r="AB52" s="220">
        <f>IFERROR(VLOOKUP($A52,'NG Pivot'!$A$37:$P$45,MATCH(AB$2,'NG Pivot'!$O$36:$P$36,0)+14,FALSE),0)+IFERROR(VLOOKUP($A52,'NG Pivot'!$A$4:$AE$29,MATCH(AB$2,'NG Pivot'!$X$3:$AE$3,0)+23,FALSE),0)*10</f>
        <v>0</v>
      </c>
      <c r="AC52" s="220">
        <f>IFERROR(VLOOKUP($A52,'NG Pivot'!$A$37:$P$45,MATCH(AC$2,'NG Pivot'!$O$36:$P$36,0)+14,FALSE),0)+IFERROR(VLOOKUP($A52,'NG Pivot'!$A$4:$AE$29,MATCH(AC$2,'NG Pivot'!$X$3:$AE$3,0)+23,FALSE),0)*10</f>
        <v>0</v>
      </c>
      <c r="AD52" s="220">
        <f>IFERROR(VLOOKUP($A52,'NG Pivot'!$A$37:$P$45,MATCH(AD$2,'NG Pivot'!$O$36:$P$36,0)+14,FALSE),0)+IFERROR(VLOOKUP($A52,'NG Pivot'!$A$4:$AE$29,MATCH(AD$2,'NG Pivot'!$X$3:$AE$3,0)+23,FALSE),0)*10</f>
        <v>0</v>
      </c>
    </row>
    <row r="53" spans="1:30">
      <c r="A53" s="223" t="s">
        <v>1283</v>
      </c>
      <c r="B53" s="220">
        <f>IFERROR(VLOOKUP($A53,'NG Pivot'!$A$37:$P$45,MATCH(B$2,'NG Pivot'!$O$36:$P$36,0)+14,FALSE),0)+IFERROR(VLOOKUP($A53,'NG Pivot'!$A$4:$AE$29,MATCH(B$2,'NG Pivot'!$X$3:$AE$3,0)+23,FALSE),0)*10</f>
        <v>0</v>
      </c>
      <c r="C53" s="220">
        <f>IFERROR(VLOOKUP($A53,'NG Pivot'!$A$37:$P$45,MATCH(C$2,'NG Pivot'!$O$36:$P$36,0)+14,FALSE),0)+IFERROR(VLOOKUP($A53,'NG Pivot'!$A$4:$AE$29,MATCH(C$2,'NG Pivot'!$X$3:$AE$3,0)+23,FALSE),0)*10</f>
        <v>0</v>
      </c>
      <c r="D53" s="220">
        <f>IFERROR(VLOOKUP($A53,'NG Pivot'!$A$37:$P$45,MATCH(D$2,'NG Pivot'!$O$36:$P$36,0)+14,FALSE),0)+IFERROR(VLOOKUP($A53,'NG Pivot'!$A$4:$AE$29,MATCH(D$2,'NG Pivot'!$X$3:$AE$3,0)+23,FALSE),0)*10</f>
        <v>0</v>
      </c>
      <c r="E53" s="220">
        <f>IFERROR(VLOOKUP($A53,'NG Pivot'!$A$37:$P$45,MATCH(E$2,'NG Pivot'!$O$36:$P$36,0)+14,FALSE),0)+IFERROR(VLOOKUP($A53,'NG Pivot'!$A$4:$AE$29,MATCH(E$2,'NG Pivot'!$X$3:$AE$3,0)+23,FALSE),0)*10</f>
        <v>0</v>
      </c>
      <c r="F53" s="220">
        <f>IFERROR(VLOOKUP($A53,'NG Pivot'!$A$37:$P$45,MATCH(F$2,'NG Pivot'!$O$36:$P$36,0)+14,FALSE),0)+IFERROR(VLOOKUP($A53,'NG Pivot'!$A$4:$AE$29,MATCH(F$2,'NG Pivot'!$X$3:$AE$3,0)+23,FALSE),0)*10</f>
        <v>0</v>
      </c>
      <c r="G53" s="220">
        <f>IFERROR(VLOOKUP($A53,'NG Pivot'!$A$37:$P$45,MATCH(G$2,'NG Pivot'!$O$36:$P$36,0)+14,FALSE),0)+IFERROR(VLOOKUP($A53,'NG Pivot'!$A$4:$AE$29,MATCH(G$2,'NG Pivot'!$X$3:$AE$3,0)+23,FALSE),0)*10</f>
        <v>0</v>
      </c>
      <c r="H53" s="220">
        <f>IFERROR(VLOOKUP($A53,'NG Pivot'!$A$37:$P$45,MATCH(H$2,'NG Pivot'!$O$36:$P$36,0)+14,FALSE),0)+IFERROR(VLOOKUP($A53,'NG Pivot'!$A$4:$AE$29,MATCH(H$2,'NG Pivot'!$X$3:$AE$3,0)+23,FALSE),0)*10</f>
        <v>0</v>
      </c>
      <c r="I53" s="220">
        <f>IFERROR(VLOOKUP($A53,'NG Pivot'!$A$37:$P$45,MATCH(I$2,'NG Pivot'!$O$36:$P$36,0)+14,FALSE),0)+IFERROR(VLOOKUP($A53,'NG Pivot'!$A$4:$AE$29,MATCH(I$2,'NG Pivot'!$X$3:$AE$3,0)+23,FALSE),0)*10</f>
        <v>0</v>
      </c>
      <c r="J53" s="220">
        <f>IFERROR(VLOOKUP($A53,'NG Pivot'!$A$37:$P$45,MATCH(J$2,'NG Pivot'!$O$36:$P$36,0)+14,FALSE),0)+IFERROR(VLOOKUP($A53,'NG Pivot'!$A$4:$AE$29,MATCH(J$2,'NG Pivot'!$X$3:$AE$3,0)+23,FALSE),0)*10</f>
        <v>0</v>
      </c>
      <c r="K53" s="220">
        <f>IFERROR(VLOOKUP($A53,'NG Pivot'!$A$37:$P$45,MATCH(K$2,'NG Pivot'!$O$36:$P$36,0)+14,FALSE),0)+IFERROR(VLOOKUP($A53,'NG Pivot'!$A$4:$AE$29,MATCH(K$2,'NG Pivot'!$X$3:$AE$3,0)+23,FALSE),0)*10</f>
        <v>0</v>
      </c>
      <c r="L53" s="220">
        <f>IFERROR(VLOOKUP($A53,'NG Pivot'!$A$37:$P$45,MATCH(L$2,'NG Pivot'!$O$36:$P$36,0)+14,FALSE),0)+IFERROR(VLOOKUP($A53,'NG Pivot'!$A$4:$AE$29,MATCH(L$2,'NG Pivot'!$X$3:$AE$3,0)+23,FALSE),0)*10</f>
        <v>0</v>
      </c>
      <c r="M53" s="220">
        <f>IFERROR(VLOOKUP($A53,'NG Pivot'!$A$37:$P$45,MATCH(M$2,'NG Pivot'!$O$36:$P$36,0)+14,FALSE),0)+IFERROR(VLOOKUP($A53,'NG Pivot'!$A$4:$AE$29,MATCH(M$2,'NG Pivot'!$X$3:$AE$3,0)+23,FALSE),0)*10</f>
        <v>0</v>
      </c>
      <c r="N53" s="220">
        <f>IFERROR(VLOOKUP($A53,'NG Pivot'!$A$37:$P$45,MATCH(N$2,'NG Pivot'!$O$36:$P$36,0)+14,FALSE),0)+IFERROR(VLOOKUP($A53,'NG Pivot'!$A$4:$AE$29,MATCH(N$2,'NG Pivot'!$X$3:$AE$3,0)+23,FALSE),0)*10</f>
        <v>0</v>
      </c>
      <c r="O53" s="220">
        <f>IFERROR(VLOOKUP($A53,'NG Pivot'!$A$37:$P$45,MATCH(O$2,'NG Pivot'!$O$36:$P$36,0)+14,FALSE),0)+IFERROR(VLOOKUP($A53,'NG Pivot'!$A$4:$AE$29,MATCH(O$2,'NG Pivot'!$X$3:$AE$3,0)+23,FALSE),0)*10</f>
        <v>0</v>
      </c>
      <c r="P53" s="220">
        <f>IFERROR(VLOOKUP($A53,'NG Pivot'!$A$37:$P$45,MATCH(P$2,'NG Pivot'!$O$36:$P$36,0)+14,FALSE),0)+IFERROR(VLOOKUP($A53,'NG Pivot'!$A$4:$AE$29,MATCH(P$2,'NG Pivot'!$X$3:$AE$3,0)+23,FALSE),0)*10</f>
        <v>0</v>
      </c>
      <c r="Q53" s="220">
        <f>IFERROR(VLOOKUP($A53,'NG Pivot'!$A$37:$P$45,MATCH(Q$2,'NG Pivot'!$O$36:$P$36,0)+14,FALSE),0)+IFERROR(VLOOKUP($A53,'NG Pivot'!$A$4:$AE$29,MATCH(Q$2,'NG Pivot'!$X$3:$AE$3,0)+23,FALSE),0)*10</f>
        <v>0</v>
      </c>
      <c r="R53" s="220">
        <f>IFERROR(VLOOKUP($A53,'NG Pivot'!$A$37:$P$45,MATCH(R$2,'NG Pivot'!$O$36:$P$36,0)+14,FALSE),0)+IFERROR(VLOOKUP($A53,'NG Pivot'!$A$4:$AE$29,MATCH(R$2,'NG Pivot'!$X$3:$AE$3,0)+23,FALSE),0)*10</f>
        <v>0</v>
      </c>
      <c r="S53" s="220">
        <f>IFERROR(VLOOKUP($A53,'NG Pivot'!$A$37:$P$45,MATCH(S$2,'NG Pivot'!$O$36:$P$36,0)+14,FALSE),0)+IFERROR(VLOOKUP($A53,'NG Pivot'!$A$4:$AE$29,MATCH(S$2,'NG Pivot'!$X$3:$AE$3,0)+23,FALSE),0)*10</f>
        <v>0</v>
      </c>
      <c r="T53" s="220">
        <f>IFERROR(VLOOKUP($A53,'NG Pivot'!$A$37:$P$45,MATCH(T$2,'NG Pivot'!$O$36:$P$36,0)+14,FALSE),0)+IFERROR(VLOOKUP($A53,'NG Pivot'!$A$4:$AE$29,MATCH(T$2,'NG Pivot'!$X$3:$AE$3,0)+23,FALSE),0)*10</f>
        <v>0</v>
      </c>
      <c r="U53" s="220">
        <f>IFERROR(VLOOKUP($A53,'NG Pivot'!$A$37:$P$45,MATCH(U$2,'NG Pivot'!$O$36:$P$36,0)+14,FALSE),0)+IFERROR(VLOOKUP($A53,'NG Pivot'!$A$4:$AE$29,MATCH(U$2,'NG Pivot'!$X$3:$AE$3,0)+23,FALSE),0)*10</f>
        <v>0</v>
      </c>
      <c r="V53" s="220">
        <f>IFERROR(VLOOKUP($A53,'NG Pivot'!$A$37:$P$45,MATCH(V$2,'NG Pivot'!$O$36:$P$36,0)+14,FALSE),0)+IFERROR(VLOOKUP($A53,'NG Pivot'!$A$4:$AE$29,MATCH(V$2,'NG Pivot'!$X$3:$AE$3,0)+23,FALSE),0)*10</f>
        <v>0</v>
      </c>
      <c r="W53" s="220">
        <f>IFERROR(VLOOKUP($A53,'NG Pivot'!$A$37:$P$45,MATCH(W$2,'NG Pivot'!$O$36:$P$36,0)+14,FALSE),0)+IFERROR(VLOOKUP($A53,'NG Pivot'!$A$4:$AE$29,MATCH(W$2,'NG Pivot'!$X$3:$AE$3,0)+23,FALSE),0)*10</f>
        <v>0</v>
      </c>
      <c r="X53" s="220">
        <f>IFERROR(VLOOKUP($A53,'NG Pivot'!$A$37:$P$45,MATCH(X$2,'NG Pivot'!$O$36:$P$36,0)+14,FALSE),0)+IFERROR(VLOOKUP($A53,'NG Pivot'!$A$4:$AE$29,MATCH(X$2,'NG Pivot'!$X$3:$AE$3,0)+23,FALSE),0)*10</f>
        <v>0</v>
      </c>
      <c r="Y53" s="220">
        <f>IFERROR(VLOOKUP($A53,'NG Pivot'!$A$37:$P$45,MATCH(Y$2,'NG Pivot'!$O$36:$P$36,0)+14,FALSE),0)+IFERROR(VLOOKUP($A53,'NG Pivot'!$A$4:$AE$29,MATCH(Y$2,'NG Pivot'!$X$3:$AE$3,0)+23,FALSE),0)*10</f>
        <v>0</v>
      </c>
      <c r="Z53" s="220">
        <f>IFERROR(VLOOKUP($A53,'NG Pivot'!$A$37:$P$45,MATCH(Z$2,'NG Pivot'!$O$36:$P$36,0)+14,FALSE),0)+IFERROR(VLOOKUP($A53,'NG Pivot'!$A$4:$AE$29,MATCH(Z$2,'NG Pivot'!$X$3:$AE$3,0)+23,FALSE),0)*10</f>
        <v>0</v>
      </c>
      <c r="AA53" s="220">
        <f>IFERROR(VLOOKUP($A53,'NG Pivot'!$A$37:$P$45,MATCH(AA$2,'NG Pivot'!$O$36:$P$36,0)+14,FALSE),0)+IFERROR(VLOOKUP($A53,'NG Pivot'!$A$4:$AE$29,MATCH(AA$2,'NG Pivot'!$X$3:$AE$3,0)+23,FALSE),0)*10</f>
        <v>0</v>
      </c>
      <c r="AB53" s="220">
        <f>IFERROR(VLOOKUP($A53,'NG Pivot'!$A$37:$P$45,MATCH(AB$2,'NG Pivot'!$O$36:$P$36,0)+14,FALSE),0)+IFERROR(VLOOKUP($A53,'NG Pivot'!$A$4:$AE$29,MATCH(AB$2,'NG Pivot'!$X$3:$AE$3,0)+23,FALSE),0)*10</f>
        <v>0</v>
      </c>
      <c r="AC53" s="220">
        <f>IFERROR(VLOOKUP($A53,'NG Pivot'!$A$37:$P$45,MATCH(AC$2,'NG Pivot'!$O$36:$P$36,0)+14,FALSE),0)+IFERROR(VLOOKUP($A53,'NG Pivot'!$A$4:$AE$29,MATCH(AC$2,'NG Pivot'!$X$3:$AE$3,0)+23,FALSE),0)*10</f>
        <v>0</v>
      </c>
      <c r="AD53" s="220">
        <f>IFERROR(VLOOKUP($A53,'NG Pivot'!$A$37:$P$45,MATCH(AD$2,'NG Pivot'!$O$36:$P$36,0)+14,FALSE),0)+IFERROR(VLOOKUP($A53,'NG Pivot'!$A$4:$AE$29,MATCH(AD$2,'NG Pivot'!$X$3:$AE$3,0)+23,FALSE),0)*10</f>
        <v>0</v>
      </c>
    </row>
    <row r="54" spans="1:30">
      <c r="A54" s="223" t="s">
        <v>1284</v>
      </c>
      <c r="B54" s="220">
        <f>IFERROR(VLOOKUP($A54,'NG Pivot'!$A$37:$P$45,MATCH(B$2,'NG Pivot'!$O$36:$P$36,0)+14,FALSE),0)+IFERROR(VLOOKUP($A54,'NG Pivot'!$A$4:$AE$29,MATCH(B$2,'NG Pivot'!$X$3:$AE$3,0)+23,FALSE),0)*10</f>
        <v>0</v>
      </c>
      <c r="C54" s="220">
        <f>IFERROR(VLOOKUP($A54,'NG Pivot'!$A$37:$P$45,MATCH(C$2,'NG Pivot'!$O$36:$P$36,0)+14,FALSE),0)+IFERROR(VLOOKUP($A54,'NG Pivot'!$A$4:$AE$29,MATCH(C$2,'NG Pivot'!$X$3:$AE$3,0)+23,FALSE),0)*10</f>
        <v>0</v>
      </c>
      <c r="D54" s="220">
        <f>IFERROR(VLOOKUP($A54,'NG Pivot'!$A$37:$P$45,MATCH(D$2,'NG Pivot'!$O$36:$P$36,0)+14,FALSE),0)+IFERROR(VLOOKUP($A54,'NG Pivot'!$A$4:$AE$29,MATCH(D$2,'NG Pivot'!$X$3:$AE$3,0)+23,FALSE),0)*10</f>
        <v>0</v>
      </c>
      <c r="E54" s="220">
        <f>IFERROR(VLOOKUP($A54,'NG Pivot'!$A$37:$P$45,MATCH(E$2,'NG Pivot'!$O$36:$P$36,0)+14,FALSE),0)+IFERROR(VLOOKUP($A54,'NG Pivot'!$A$4:$AE$29,MATCH(E$2,'NG Pivot'!$X$3:$AE$3,0)+23,FALSE),0)*10</f>
        <v>0</v>
      </c>
      <c r="F54" s="220">
        <f>IFERROR(VLOOKUP($A54,'NG Pivot'!$A$37:$P$45,MATCH(F$2,'NG Pivot'!$O$36:$P$36,0)+14,FALSE),0)+IFERROR(VLOOKUP($A54,'NG Pivot'!$A$4:$AE$29,MATCH(F$2,'NG Pivot'!$X$3:$AE$3,0)+23,FALSE),0)*10</f>
        <v>0</v>
      </c>
      <c r="G54" s="220">
        <f>IFERROR(VLOOKUP($A54,'NG Pivot'!$A$37:$P$45,MATCH(G$2,'NG Pivot'!$O$36:$P$36,0)+14,FALSE),0)+IFERROR(VLOOKUP($A54,'NG Pivot'!$A$4:$AE$29,MATCH(G$2,'NG Pivot'!$X$3:$AE$3,0)+23,FALSE),0)*10</f>
        <v>0</v>
      </c>
      <c r="H54" s="220">
        <f>IFERROR(VLOOKUP($A54,'NG Pivot'!$A$37:$P$45,MATCH(H$2,'NG Pivot'!$O$36:$P$36,0)+14,FALSE),0)+IFERROR(VLOOKUP($A54,'NG Pivot'!$A$4:$AE$29,MATCH(H$2,'NG Pivot'!$X$3:$AE$3,0)+23,FALSE),0)*10</f>
        <v>0</v>
      </c>
      <c r="I54" s="220">
        <f>IFERROR(VLOOKUP($A54,'NG Pivot'!$A$37:$P$45,MATCH(I$2,'NG Pivot'!$O$36:$P$36,0)+14,FALSE),0)+IFERROR(VLOOKUP($A54,'NG Pivot'!$A$4:$AE$29,MATCH(I$2,'NG Pivot'!$X$3:$AE$3,0)+23,FALSE),0)*10</f>
        <v>0</v>
      </c>
      <c r="J54" s="220">
        <f>IFERROR(VLOOKUP($A54,'NG Pivot'!$A$37:$P$45,MATCH(J$2,'NG Pivot'!$O$36:$P$36,0)+14,FALSE),0)+IFERROR(VLOOKUP($A54,'NG Pivot'!$A$4:$AE$29,MATCH(J$2,'NG Pivot'!$X$3:$AE$3,0)+23,FALSE),0)*10</f>
        <v>24</v>
      </c>
      <c r="K54" s="220">
        <f>IFERROR(VLOOKUP($A54,'NG Pivot'!$A$37:$P$45,MATCH(K$2,'NG Pivot'!$O$36:$P$36,0)+14,FALSE),0)+IFERROR(VLOOKUP($A54,'NG Pivot'!$A$4:$AE$29,MATCH(K$2,'NG Pivot'!$X$3:$AE$3,0)+23,FALSE),0)*10</f>
        <v>0</v>
      </c>
      <c r="L54" s="220">
        <f>IFERROR(VLOOKUP($A54,'NG Pivot'!$A$37:$P$45,MATCH(L$2,'NG Pivot'!$O$36:$P$36,0)+14,FALSE),0)+IFERROR(VLOOKUP($A54,'NG Pivot'!$A$4:$AE$29,MATCH(L$2,'NG Pivot'!$X$3:$AE$3,0)+23,FALSE),0)*10</f>
        <v>0</v>
      </c>
      <c r="M54" s="220">
        <f>IFERROR(VLOOKUP($A54,'NG Pivot'!$A$37:$P$45,MATCH(M$2,'NG Pivot'!$O$36:$P$36,0)+14,FALSE),0)+IFERROR(VLOOKUP($A54,'NG Pivot'!$A$4:$AE$29,MATCH(M$2,'NG Pivot'!$X$3:$AE$3,0)+23,FALSE),0)*10</f>
        <v>0</v>
      </c>
      <c r="N54" s="220">
        <f>IFERROR(VLOOKUP($A54,'NG Pivot'!$A$37:$P$45,MATCH(N$2,'NG Pivot'!$O$36:$P$36,0)+14,FALSE),0)+IFERROR(VLOOKUP($A54,'NG Pivot'!$A$4:$AE$29,MATCH(N$2,'NG Pivot'!$X$3:$AE$3,0)+23,FALSE),0)*10</f>
        <v>0</v>
      </c>
      <c r="O54" s="220">
        <f>IFERROR(VLOOKUP($A54,'NG Pivot'!$A$37:$P$45,MATCH(O$2,'NG Pivot'!$O$36:$P$36,0)+14,FALSE),0)+IFERROR(VLOOKUP($A54,'NG Pivot'!$A$4:$AE$29,MATCH(O$2,'NG Pivot'!$X$3:$AE$3,0)+23,FALSE),0)*10</f>
        <v>0</v>
      </c>
      <c r="P54" s="220">
        <f>IFERROR(VLOOKUP($A54,'NG Pivot'!$A$37:$P$45,MATCH(P$2,'NG Pivot'!$O$36:$P$36,0)+14,FALSE),0)+IFERROR(VLOOKUP($A54,'NG Pivot'!$A$4:$AE$29,MATCH(P$2,'NG Pivot'!$X$3:$AE$3,0)+23,FALSE),0)*10</f>
        <v>0</v>
      </c>
      <c r="Q54" s="220">
        <f>IFERROR(VLOOKUP($A54,'NG Pivot'!$A$37:$P$45,MATCH(Q$2,'NG Pivot'!$O$36:$P$36,0)+14,FALSE),0)+IFERROR(VLOOKUP($A54,'NG Pivot'!$A$4:$AE$29,MATCH(Q$2,'NG Pivot'!$X$3:$AE$3,0)+23,FALSE),0)*10</f>
        <v>0</v>
      </c>
      <c r="R54" s="220">
        <f>IFERROR(VLOOKUP($A54,'NG Pivot'!$A$37:$P$45,MATCH(R$2,'NG Pivot'!$O$36:$P$36,0)+14,FALSE),0)+IFERROR(VLOOKUP($A54,'NG Pivot'!$A$4:$AE$29,MATCH(R$2,'NG Pivot'!$X$3:$AE$3,0)+23,FALSE),0)*10</f>
        <v>0</v>
      </c>
      <c r="S54" s="220">
        <f>IFERROR(VLOOKUP($A54,'NG Pivot'!$A$37:$P$45,MATCH(S$2,'NG Pivot'!$O$36:$P$36,0)+14,FALSE),0)+IFERROR(VLOOKUP($A54,'NG Pivot'!$A$4:$AE$29,MATCH(S$2,'NG Pivot'!$X$3:$AE$3,0)+23,FALSE),0)*10</f>
        <v>0</v>
      </c>
      <c r="T54" s="220">
        <f>IFERROR(VLOOKUP($A54,'NG Pivot'!$A$37:$P$45,MATCH(T$2,'NG Pivot'!$O$36:$P$36,0)+14,FALSE),0)+IFERROR(VLOOKUP($A54,'NG Pivot'!$A$4:$AE$29,MATCH(T$2,'NG Pivot'!$X$3:$AE$3,0)+23,FALSE),0)*10</f>
        <v>0</v>
      </c>
      <c r="U54" s="220">
        <f>IFERROR(VLOOKUP($A54,'NG Pivot'!$A$37:$P$45,MATCH(U$2,'NG Pivot'!$O$36:$P$36,0)+14,FALSE),0)+IFERROR(VLOOKUP($A54,'NG Pivot'!$A$4:$AE$29,MATCH(U$2,'NG Pivot'!$X$3:$AE$3,0)+23,FALSE),0)*10</f>
        <v>0</v>
      </c>
      <c r="V54" s="220">
        <f>IFERROR(VLOOKUP($A54,'NG Pivot'!$A$37:$P$45,MATCH(V$2,'NG Pivot'!$O$36:$P$36,0)+14,FALSE),0)+IFERROR(VLOOKUP($A54,'NG Pivot'!$A$4:$AE$29,MATCH(V$2,'NG Pivot'!$X$3:$AE$3,0)+23,FALSE),0)*10</f>
        <v>0</v>
      </c>
      <c r="W54" s="220">
        <f>IFERROR(VLOOKUP($A54,'NG Pivot'!$A$37:$P$45,MATCH(W$2,'NG Pivot'!$O$36:$P$36,0)+14,FALSE),0)+IFERROR(VLOOKUP($A54,'NG Pivot'!$A$4:$AE$29,MATCH(W$2,'NG Pivot'!$X$3:$AE$3,0)+23,FALSE),0)*10</f>
        <v>0</v>
      </c>
      <c r="X54" s="220">
        <f>IFERROR(VLOOKUP($A54,'NG Pivot'!$A$37:$P$45,MATCH(X$2,'NG Pivot'!$O$36:$P$36,0)+14,FALSE),0)+IFERROR(VLOOKUP($A54,'NG Pivot'!$A$4:$AE$29,MATCH(X$2,'NG Pivot'!$X$3:$AE$3,0)+23,FALSE),0)*10</f>
        <v>0</v>
      </c>
      <c r="Y54" s="220">
        <f>IFERROR(VLOOKUP($A54,'NG Pivot'!$A$37:$P$45,MATCH(Y$2,'NG Pivot'!$O$36:$P$36,0)+14,FALSE),0)+IFERROR(VLOOKUP($A54,'NG Pivot'!$A$4:$AE$29,MATCH(Y$2,'NG Pivot'!$X$3:$AE$3,0)+23,FALSE),0)*10</f>
        <v>0</v>
      </c>
      <c r="Z54" s="220">
        <f>IFERROR(VLOOKUP($A54,'NG Pivot'!$A$37:$P$45,MATCH(Z$2,'NG Pivot'!$O$36:$P$36,0)+14,FALSE),0)+IFERROR(VLOOKUP($A54,'NG Pivot'!$A$4:$AE$29,MATCH(Z$2,'NG Pivot'!$X$3:$AE$3,0)+23,FALSE),0)*10</f>
        <v>0</v>
      </c>
      <c r="AA54" s="220">
        <f>IFERROR(VLOOKUP($A54,'NG Pivot'!$A$37:$P$45,MATCH(AA$2,'NG Pivot'!$O$36:$P$36,0)+14,FALSE),0)+IFERROR(VLOOKUP($A54,'NG Pivot'!$A$4:$AE$29,MATCH(AA$2,'NG Pivot'!$X$3:$AE$3,0)+23,FALSE),0)*10</f>
        <v>0</v>
      </c>
      <c r="AB54" s="220">
        <f>IFERROR(VLOOKUP($A54,'NG Pivot'!$A$37:$P$45,MATCH(AB$2,'NG Pivot'!$O$36:$P$36,0)+14,FALSE),0)+IFERROR(VLOOKUP($A54,'NG Pivot'!$A$4:$AE$29,MATCH(AB$2,'NG Pivot'!$X$3:$AE$3,0)+23,FALSE),0)*10</f>
        <v>0</v>
      </c>
      <c r="AC54" s="220">
        <f>IFERROR(VLOOKUP($A54,'NG Pivot'!$A$37:$P$45,MATCH(AC$2,'NG Pivot'!$O$36:$P$36,0)+14,FALSE),0)+IFERROR(VLOOKUP($A54,'NG Pivot'!$A$4:$AE$29,MATCH(AC$2,'NG Pivot'!$X$3:$AE$3,0)+23,FALSE),0)*10</f>
        <v>0</v>
      </c>
      <c r="AD54" s="220">
        <f>IFERROR(VLOOKUP($A54,'NG Pivot'!$A$37:$P$45,MATCH(AD$2,'NG Pivot'!$O$36:$P$36,0)+14,FALSE),0)+IFERROR(VLOOKUP($A54,'NG Pivot'!$A$4:$AE$29,MATCH(AD$2,'NG Pivot'!$X$3:$AE$3,0)+23,FALSE),0)*10</f>
        <v>0</v>
      </c>
    </row>
    <row r="55" spans="1:30">
      <c r="A55" s="223" t="s">
        <v>1285</v>
      </c>
      <c r="B55" s="220">
        <f>IFERROR(VLOOKUP($A55,'NG Pivot'!$A$37:$P$45,MATCH(B$2,'NG Pivot'!$O$36:$P$36,0)+14,FALSE),0)+IFERROR(VLOOKUP($A55,'NG Pivot'!$A$4:$AE$29,MATCH(B$2,'NG Pivot'!$X$3:$AE$3,0)+23,FALSE),0)*10</f>
        <v>0</v>
      </c>
      <c r="C55" s="220">
        <f>IFERROR(VLOOKUP($A55,'NG Pivot'!$A$37:$P$45,MATCH(C$2,'NG Pivot'!$O$36:$P$36,0)+14,FALSE),0)+IFERROR(VLOOKUP($A55,'NG Pivot'!$A$4:$AE$29,MATCH(C$2,'NG Pivot'!$X$3:$AE$3,0)+23,FALSE),0)*10</f>
        <v>0</v>
      </c>
      <c r="D55" s="220">
        <f>IFERROR(VLOOKUP($A55,'NG Pivot'!$A$37:$P$45,MATCH(D$2,'NG Pivot'!$O$36:$P$36,0)+14,FALSE),0)+IFERROR(VLOOKUP($A55,'NG Pivot'!$A$4:$AE$29,MATCH(D$2,'NG Pivot'!$X$3:$AE$3,0)+23,FALSE),0)*10</f>
        <v>0</v>
      </c>
      <c r="E55" s="220">
        <f>IFERROR(VLOOKUP($A55,'NG Pivot'!$A$37:$P$45,MATCH(E$2,'NG Pivot'!$O$36:$P$36,0)+14,FALSE),0)+IFERROR(VLOOKUP($A55,'NG Pivot'!$A$4:$AE$29,MATCH(E$2,'NG Pivot'!$X$3:$AE$3,0)+23,FALSE),0)*10</f>
        <v>0</v>
      </c>
      <c r="F55" s="220">
        <f>IFERROR(VLOOKUP($A55,'NG Pivot'!$A$37:$P$45,MATCH(F$2,'NG Pivot'!$O$36:$P$36,0)+14,FALSE),0)+IFERROR(VLOOKUP($A55,'NG Pivot'!$A$4:$AE$29,MATCH(F$2,'NG Pivot'!$X$3:$AE$3,0)+23,FALSE),0)*10</f>
        <v>0</v>
      </c>
      <c r="G55" s="220">
        <f>IFERROR(VLOOKUP($A55,'NG Pivot'!$A$37:$P$45,MATCH(G$2,'NG Pivot'!$O$36:$P$36,0)+14,FALSE),0)+IFERROR(VLOOKUP($A55,'NG Pivot'!$A$4:$AE$29,MATCH(G$2,'NG Pivot'!$X$3:$AE$3,0)+23,FALSE),0)*10</f>
        <v>0</v>
      </c>
      <c r="H55" s="220">
        <f>IFERROR(VLOOKUP($A55,'NG Pivot'!$A$37:$P$45,MATCH(H$2,'NG Pivot'!$O$36:$P$36,0)+14,FALSE),0)+IFERROR(VLOOKUP($A55,'NG Pivot'!$A$4:$AE$29,MATCH(H$2,'NG Pivot'!$X$3:$AE$3,0)+23,FALSE),0)*10</f>
        <v>0</v>
      </c>
      <c r="I55" s="220">
        <f>IFERROR(VLOOKUP($A55,'NG Pivot'!$A$37:$P$45,MATCH(I$2,'NG Pivot'!$O$36:$P$36,0)+14,FALSE),0)+IFERROR(VLOOKUP($A55,'NG Pivot'!$A$4:$AE$29,MATCH(I$2,'NG Pivot'!$X$3:$AE$3,0)+23,FALSE),0)*10</f>
        <v>0</v>
      </c>
      <c r="J55" s="220">
        <f>IFERROR(VLOOKUP($A55,'NG Pivot'!$A$37:$P$45,MATCH(J$2,'NG Pivot'!$O$36:$P$36,0)+14,FALSE),0)+IFERROR(VLOOKUP($A55,'NG Pivot'!$A$4:$AE$29,MATCH(J$2,'NG Pivot'!$X$3:$AE$3,0)+23,FALSE),0)*10</f>
        <v>0</v>
      </c>
      <c r="K55" s="220">
        <f>IFERROR(VLOOKUP($A55,'NG Pivot'!$A$37:$P$45,MATCH(K$2,'NG Pivot'!$O$36:$P$36,0)+14,FALSE),0)+IFERROR(VLOOKUP($A55,'NG Pivot'!$A$4:$AE$29,MATCH(K$2,'NG Pivot'!$X$3:$AE$3,0)+23,FALSE),0)*10</f>
        <v>0</v>
      </c>
      <c r="L55" s="220">
        <f>IFERROR(VLOOKUP($A55,'NG Pivot'!$A$37:$P$45,MATCH(L$2,'NG Pivot'!$O$36:$P$36,0)+14,FALSE),0)+IFERROR(VLOOKUP($A55,'NG Pivot'!$A$4:$AE$29,MATCH(L$2,'NG Pivot'!$X$3:$AE$3,0)+23,FALSE),0)*10</f>
        <v>0</v>
      </c>
      <c r="M55" s="220">
        <f>IFERROR(VLOOKUP($A55,'NG Pivot'!$A$37:$P$45,MATCH(M$2,'NG Pivot'!$O$36:$P$36,0)+14,FALSE),0)+IFERROR(VLOOKUP($A55,'NG Pivot'!$A$4:$AE$29,MATCH(M$2,'NG Pivot'!$X$3:$AE$3,0)+23,FALSE),0)*10</f>
        <v>0</v>
      </c>
      <c r="N55" s="220">
        <f>IFERROR(VLOOKUP($A55,'NG Pivot'!$A$37:$P$45,MATCH(N$2,'NG Pivot'!$O$36:$P$36,0)+14,FALSE),0)+IFERROR(VLOOKUP($A55,'NG Pivot'!$A$4:$AE$29,MATCH(N$2,'NG Pivot'!$X$3:$AE$3,0)+23,FALSE),0)*10</f>
        <v>0</v>
      </c>
      <c r="O55" s="220">
        <f>IFERROR(VLOOKUP($A55,'NG Pivot'!$A$37:$P$45,MATCH(O$2,'NG Pivot'!$O$36:$P$36,0)+14,FALSE),0)+IFERROR(VLOOKUP($A55,'NG Pivot'!$A$4:$AE$29,MATCH(O$2,'NG Pivot'!$X$3:$AE$3,0)+23,FALSE),0)*10</f>
        <v>0</v>
      </c>
      <c r="P55" s="220">
        <f>IFERROR(VLOOKUP($A55,'NG Pivot'!$A$37:$P$45,MATCH(P$2,'NG Pivot'!$O$36:$P$36,0)+14,FALSE),0)+IFERROR(VLOOKUP($A55,'NG Pivot'!$A$4:$AE$29,MATCH(P$2,'NG Pivot'!$X$3:$AE$3,0)+23,FALSE),0)*10</f>
        <v>0</v>
      </c>
      <c r="Q55" s="220">
        <f>IFERROR(VLOOKUP($A55,'NG Pivot'!$A$37:$P$45,MATCH(Q$2,'NG Pivot'!$O$36:$P$36,0)+14,FALSE),0)+IFERROR(VLOOKUP($A55,'NG Pivot'!$A$4:$AE$29,MATCH(Q$2,'NG Pivot'!$X$3:$AE$3,0)+23,FALSE),0)*10</f>
        <v>0</v>
      </c>
      <c r="R55" s="220">
        <f>IFERROR(VLOOKUP($A55,'NG Pivot'!$A$37:$P$45,MATCH(R$2,'NG Pivot'!$O$36:$P$36,0)+14,FALSE),0)+IFERROR(VLOOKUP($A55,'NG Pivot'!$A$4:$AE$29,MATCH(R$2,'NG Pivot'!$X$3:$AE$3,0)+23,FALSE),0)*10</f>
        <v>0</v>
      </c>
      <c r="S55" s="220">
        <f>IFERROR(VLOOKUP($A55,'NG Pivot'!$A$37:$P$45,MATCH(S$2,'NG Pivot'!$O$36:$P$36,0)+14,FALSE),0)+IFERROR(VLOOKUP($A55,'NG Pivot'!$A$4:$AE$29,MATCH(S$2,'NG Pivot'!$X$3:$AE$3,0)+23,FALSE),0)*10</f>
        <v>0</v>
      </c>
      <c r="T55" s="220">
        <f>IFERROR(VLOOKUP($A55,'NG Pivot'!$A$37:$P$45,MATCH(T$2,'NG Pivot'!$O$36:$P$36,0)+14,FALSE),0)+IFERROR(VLOOKUP($A55,'NG Pivot'!$A$4:$AE$29,MATCH(T$2,'NG Pivot'!$X$3:$AE$3,0)+23,FALSE),0)*10</f>
        <v>0</v>
      </c>
      <c r="U55" s="220">
        <f>IFERROR(VLOOKUP($A55,'NG Pivot'!$A$37:$P$45,MATCH(U$2,'NG Pivot'!$O$36:$P$36,0)+14,FALSE),0)+IFERROR(VLOOKUP($A55,'NG Pivot'!$A$4:$AE$29,MATCH(U$2,'NG Pivot'!$X$3:$AE$3,0)+23,FALSE),0)*10</f>
        <v>0</v>
      </c>
      <c r="V55" s="220">
        <f>IFERROR(VLOOKUP($A55,'NG Pivot'!$A$37:$P$45,MATCH(V$2,'NG Pivot'!$O$36:$P$36,0)+14,FALSE),0)+IFERROR(VLOOKUP($A55,'NG Pivot'!$A$4:$AE$29,MATCH(V$2,'NG Pivot'!$X$3:$AE$3,0)+23,FALSE),0)*10</f>
        <v>0</v>
      </c>
      <c r="W55" s="220">
        <f>IFERROR(VLOOKUP($A55,'NG Pivot'!$A$37:$P$45,MATCH(W$2,'NG Pivot'!$O$36:$P$36,0)+14,FALSE),0)+IFERROR(VLOOKUP($A55,'NG Pivot'!$A$4:$AE$29,MATCH(W$2,'NG Pivot'!$X$3:$AE$3,0)+23,FALSE),0)*10</f>
        <v>0</v>
      </c>
      <c r="X55" s="220">
        <f>IFERROR(VLOOKUP($A55,'NG Pivot'!$A$37:$P$45,MATCH(X$2,'NG Pivot'!$O$36:$P$36,0)+14,FALSE),0)+IFERROR(VLOOKUP($A55,'NG Pivot'!$A$4:$AE$29,MATCH(X$2,'NG Pivot'!$X$3:$AE$3,0)+23,FALSE),0)*10</f>
        <v>0</v>
      </c>
      <c r="Y55" s="220">
        <f>IFERROR(VLOOKUP($A55,'NG Pivot'!$A$37:$P$45,MATCH(Y$2,'NG Pivot'!$O$36:$P$36,0)+14,FALSE),0)+IFERROR(VLOOKUP($A55,'NG Pivot'!$A$4:$AE$29,MATCH(Y$2,'NG Pivot'!$X$3:$AE$3,0)+23,FALSE),0)*10</f>
        <v>0</v>
      </c>
      <c r="Z55" s="220">
        <f>IFERROR(VLOOKUP($A55,'NG Pivot'!$A$37:$P$45,MATCH(Z$2,'NG Pivot'!$O$36:$P$36,0)+14,FALSE),0)+IFERROR(VLOOKUP($A55,'NG Pivot'!$A$4:$AE$29,MATCH(Z$2,'NG Pivot'!$X$3:$AE$3,0)+23,FALSE),0)*10</f>
        <v>0</v>
      </c>
      <c r="AA55" s="220">
        <f>IFERROR(VLOOKUP($A55,'NG Pivot'!$A$37:$P$45,MATCH(AA$2,'NG Pivot'!$O$36:$P$36,0)+14,FALSE),0)+IFERROR(VLOOKUP($A55,'NG Pivot'!$A$4:$AE$29,MATCH(AA$2,'NG Pivot'!$X$3:$AE$3,0)+23,FALSE),0)*10</f>
        <v>0</v>
      </c>
      <c r="AB55" s="220">
        <f>IFERROR(VLOOKUP($A55,'NG Pivot'!$A$37:$P$45,MATCH(AB$2,'NG Pivot'!$O$36:$P$36,0)+14,FALSE),0)+IFERROR(VLOOKUP($A55,'NG Pivot'!$A$4:$AE$29,MATCH(AB$2,'NG Pivot'!$X$3:$AE$3,0)+23,FALSE),0)*10</f>
        <v>0</v>
      </c>
      <c r="AC55" s="220">
        <f>IFERROR(VLOOKUP($A55,'NG Pivot'!$A$37:$P$45,MATCH(AC$2,'NG Pivot'!$O$36:$P$36,0)+14,FALSE),0)+IFERROR(VLOOKUP($A55,'NG Pivot'!$A$4:$AE$29,MATCH(AC$2,'NG Pivot'!$X$3:$AE$3,0)+23,FALSE),0)*10</f>
        <v>0</v>
      </c>
      <c r="AD55" s="220">
        <f>IFERROR(VLOOKUP($A55,'NG Pivot'!$A$37:$P$45,MATCH(AD$2,'NG Pivot'!$O$36:$P$36,0)+14,FALSE),0)+IFERROR(VLOOKUP($A55,'NG Pivot'!$A$4:$AE$29,MATCH(AD$2,'NG Pivot'!$X$3:$AE$3,0)+23,FALSE),0)*10</f>
        <v>0</v>
      </c>
    </row>
    <row r="56" spans="1:30">
      <c r="A56" s="223" t="s">
        <v>1286</v>
      </c>
      <c r="B56" s="220">
        <f>IFERROR(VLOOKUP($A56,'NG Pivot'!$A$37:$P$45,MATCH(B$2,'NG Pivot'!$O$36:$P$36,0)+14,FALSE),0)+IFERROR(VLOOKUP($A56,'NG Pivot'!$A$4:$AE$29,MATCH(B$2,'NG Pivot'!$X$3:$AE$3,0)+23,FALSE),0)*10</f>
        <v>0</v>
      </c>
      <c r="C56" s="220">
        <f>IFERROR(VLOOKUP($A56,'NG Pivot'!$A$37:$P$45,MATCH(C$2,'NG Pivot'!$O$36:$P$36,0)+14,FALSE),0)+IFERROR(VLOOKUP($A56,'NG Pivot'!$A$4:$AE$29,MATCH(C$2,'NG Pivot'!$X$3:$AE$3,0)+23,FALSE),0)*10</f>
        <v>0</v>
      </c>
      <c r="D56" s="220">
        <f>IFERROR(VLOOKUP($A56,'NG Pivot'!$A$37:$P$45,MATCH(D$2,'NG Pivot'!$O$36:$P$36,0)+14,FALSE),0)+IFERROR(VLOOKUP($A56,'NG Pivot'!$A$4:$AE$29,MATCH(D$2,'NG Pivot'!$X$3:$AE$3,0)+23,FALSE),0)*10</f>
        <v>0</v>
      </c>
      <c r="E56" s="220">
        <f>IFERROR(VLOOKUP($A56,'NG Pivot'!$A$37:$P$45,MATCH(E$2,'NG Pivot'!$O$36:$P$36,0)+14,FALSE),0)+IFERROR(VLOOKUP($A56,'NG Pivot'!$A$4:$AE$29,MATCH(E$2,'NG Pivot'!$X$3:$AE$3,0)+23,FALSE),0)*10</f>
        <v>0</v>
      </c>
      <c r="F56" s="220">
        <f>IFERROR(VLOOKUP($A56,'NG Pivot'!$A$37:$P$45,MATCH(F$2,'NG Pivot'!$O$36:$P$36,0)+14,FALSE),0)+IFERROR(VLOOKUP($A56,'NG Pivot'!$A$4:$AE$29,MATCH(F$2,'NG Pivot'!$X$3:$AE$3,0)+23,FALSE),0)*10</f>
        <v>0</v>
      </c>
      <c r="G56" s="220">
        <f>IFERROR(VLOOKUP($A56,'NG Pivot'!$A$37:$P$45,MATCH(G$2,'NG Pivot'!$O$36:$P$36,0)+14,FALSE),0)+IFERROR(VLOOKUP($A56,'NG Pivot'!$A$4:$AE$29,MATCH(G$2,'NG Pivot'!$X$3:$AE$3,0)+23,FALSE),0)*10</f>
        <v>0</v>
      </c>
      <c r="H56" s="220">
        <f>IFERROR(VLOOKUP($A56,'NG Pivot'!$A$37:$P$45,MATCH(H$2,'NG Pivot'!$O$36:$P$36,0)+14,FALSE),0)+IFERROR(VLOOKUP($A56,'NG Pivot'!$A$4:$AE$29,MATCH(H$2,'NG Pivot'!$X$3:$AE$3,0)+23,FALSE),0)*10</f>
        <v>0</v>
      </c>
      <c r="I56" s="220">
        <f>IFERROR(VLOOKUP($A56,'NG Pivot'!$A$37:$P$45,MATCH(I$2,'NG Pivot'!$O$36:$P$36,0)+14,FALSE),0)+IFERROR(VLOOKUP($A56,'NG Pivot'!$A$4:$AE$29,MATCH(I$2,'NG Pivot'!$X$3:$AE$3,0)+23,FALSE),0)*10</f>
        <v>0</v>
      </c>
      <c r="J56" s="220">
        <f>IFERROR(VLOOKUP($A56,'NG Pivot'!$A$37:$P$45,MATCH(J$2,'NG Pivot'!$O$36:$P$36,0)+14,FALSE),0)+IFERROR(VLOOKUP($A56,'NG Pivot'!$A$4:$AE$29,MATCH(J$2,'NG Pivot'!$X$3:$AE$3,0)+23,FALSE),0)*10</f>
        <v>0</v>
      </c>
      <c r="K56" s="220">
        <f>IFERROR(VLOOKUP($A56,'NG Pivot'!$A$37:$P$45,MATCH(K$2,'NG Pivot'!$O$36:$P$36,0)+14,FALSE),0)+IFERROR(VLOOKUP($A56,'NG Pivot'!$A$4:$AE$29,MATCH(K$2,'NG Pivot'!$X$3:$AE$3,0)+23,FALSE),0)*10</f>
        <v>0</v>
      </c>
      <c r="L56" s="220">
        <f>IFERROR(VLOOKUP($A56,'NG Pivot'!$A$37:$P$45,MATCH(L$2,'NG Pivot'!$O$36:$P$36,0)+14,FALSE),0)+IFERROR(VLOOKUP($A56,'NG Pivot'!$A$4:$AE$29,MATCH(L$2,'NG Pivot'!$X$3:$AE$3,0)+23,FALSE),0)*10</f>
        <v>0</v>
      </c>
      <c r="M56" s="220">
        <f>IFERROR(VLOOKUP($A56,'NG Pivot'!$A$37:$P$45,MATCH(M$2,'NG Pivot'!$O$36:$P$36,0)+14,FALSE),0)+IFERROR(VLOOKUP($A56,'NG Pivot'!$A$4:$AE$29,MATCH(M$2,'NG Pivot'!$X$3:$AE$3,0)+23,FALSE),0)*10</f>
        <v>0</v>
      </c>
      <c r="N56" s="220">
        <f>IFERROR(VLOOKUP($A56,'NG Pivot'!$A$37:$P$45,MATCH(N$2,'NG Pivot'!$O$36:$P$36,0)+14,FALSE),0)+IFERROR(VLOOKUP($A56,'NG Pivot'!$A$4:$AE$29,MATCH(N$2,'NG Pivot'!$X$3:$AE$3,0)+23,FALSE),0)*10</f>
        <v>0</v>
      </c>
      <c r="O56" s="220">
        <f>IFERROR(VLOOKUP($A56,'NG Pivot'!$A$37:$P$45,MATCH(O$2,'NG Pivot'!$O$36:$P$36,0)+14,FALSE),0)+IFERROR(VLOOKUP($A56,'NG Pivot'!$A$4:$AE$29,MATCH(O$2,'NG Pivot'!$X$3:$AE$3,0)+23,FALSE),0)*10</f>
        <v>0</v>
      </c>
      <c r="P56" s="220">
        <f>IFERROR(VLOOKUP($A56,'NG Pivot'!$A$37:$P$45,MATCH(P$2,'NG Pivot'!$O$36:$P$36,0)+14,FALSE),0)+IFERROR(VLOOKUP($A56,'NG Pivot'!$A$4:$AE$29,MATCH(P$2,'NG Pivot'!$X$3:$AE$3,0)+23,FALSE),0)*10</f>
        <v>0</v>
      </c>
      <c r="Q56" s="220">
        <f>IFERROR(VLOOKUP($A56,'NG Pivot'!$A$37:$P$45,MATCH(Q$2,'NG Pivot'!$O$36:$P$36,0)+14,FALSE),0)+IFERROR(VLOOKUP($A56,'NG Pivot'!$A$4:$AE$29,MATCH(Q$2,'NG Pivot'!$X$3:$AE$3,0)+23,FALSE),0)*10</f>
        <v>0</v>
      </c>
      <c r="R56" s="220">
        <f>IFERROR(VLOOKUP($A56,'NG Pivot'!$A$37:$P$45,MATCH(R$2,'NG Pivot'!$O$36:$P$36,0)+14,FALSE),0)+IFERROR(VLOOKUP($A56,'NG Pivot'!$A$4:$AE$29,MATCH(R$2,'NG Pivot'!$X$3:$AE$3,0)+23,FALSE),0)*10</f>
        <v>0</v>
      </c>
      <c r="S56" s="220">
        <f>IFERROR(VLOOKUP($A56,'NG Pivot'!$A$37:$P$45,MATCH(S$2,'NG Pivot'!$O$36:$P$36,0)+14,FALSE),0)+IFERROR(VLOOKUP($A56,'NG Pivot'!$A$4:$AE$29,MATCH(S$2,'NG Pivot'!$X$3:$AE$3,0)+23,FALSE),0)*10</f>
        <v>0</v>
      </c>
      <c r="T56" s="220">
        <f>IFERROR(VLOOKUP($A56,'NG Pivot'!$A$37:$P$45,MATCH(T$2,'NG Pivot'!$O$36:$P$36,0)+14,FALSE),0)+IFERROR(VLOOKUP($A56,'NG Pivot'!$A$4:$AE$29,MATCH(T$2,'NG Pivot'!$X$3:$AE$3,0)+23,FALSE),0)*10</f>
        <v>0</v>
      </c>
      <c r="U56" s="220">
        <f>IFERROR(VLOOKUP($A56,'NG Pivot'!$A$37:$P$45,MATCH(U$2,'NG Pivot'!$O$36:$P$36,0)+14,FALSE),0)+IFERROR(VLOOKUP($A56,'NG Pivot'!$A$4:$AE$29,MATCH(U$2,'NG Pivot'!$X$3:$AE$3,0)+23,FALSE),0)*10</f>
        <v>0</v>
      </c>
      <c r="V56" s="220">
        <f>IFERROR(VLOOKUP($A56,'NG Pivot'!$A$37:$P$45,MATCH(V$2,'NG Pivot'!$O$36:$P$36,0)+14,FALSE),0)+IFERROR(VLOOKUP($A56,'NG Pivot'!$A$4:$AE$29,MATCH(V$2,'NG Pivot'!$X$3:$AE$3,0)+23,FALSE),0)*10</f>
        <v>0</v>
      </c>
      <c r="W56" s="220">
        <f>IFERROR(VLOOKUP($A56,'NG Pivot'!$A$37:$P$45,MATCH(W$2,'NG Pivot'!$O$36:$P$36,0)+14,FALSE),0)+IFERROR(VLOOKUP($A56,'NG Pivot'!$A$4:$AE$29,MATCH(W$2,'NG Pivot'!$X$3:$AE$3,0)+23,FALSE),0)*10</f>
        <v>0</v>
      </c>
      <c r="X56" s="220">
        <f>IFERROR(VLOOKUP($A56,'NG Pivot'!$A$37:$P$45,MATCH(X$2,'NG Pivot'!$O$36:$P$36,0)+14,FALSE),0)+IFERROR(VLOOKUP($A56,'NG Pivot'!$A$4:$AE$29,MATCH(X$2,'NG Pivot'!$X$3:$AE$3,0)+23,FALSE),0)*10</f>
        <v>0</v>
      </c>
      <c r="Y56" s="220">
        <f>IFERROR(VLOOKUP($A56,'NG Pivot'!$A$37:$P$45,MATCH(Y$2,'NG Pivot'!$O$36:$P$36,0)+14,FALSE),0)+IFERROR(VLOOKUP($A56,'NG Pivot'!$A$4:$AE$29,MATCH(Y$2,'NG Pivot'!$X$3:$AE$3,0)+23,FALSE),0)*10</f>
        <v>0</v>
      </c>
      <c r="Z56" s="220">
        <f>IFERROR(VLOOKUP($A56,'NG Pivot'!$A$37:$P$45,MATCH(Z$2,'NG Pivot'!$O$36:$P$36,0)+14,FALSE),0)+IFERROR(VLOOKUP($A56,'NG Pivot'!$A$4:$AE$29,MATCH(Z$2,'NG Pivot'!$X$3:$AE$3,0)+23,FALSE),0)*10</f>
        <v>0</v>
      </c>
      <c r="AA56" s="220">
        <f>IFERROR(VLOOKUP($A56,'NG Pivot'!$A$37:$P$45,MATCH(AA$2,'NG Pivot'!$O$36:$P$36,0)+14,FALSE),0)+IFERROR(VLOOKUP($A56,'NG Pivot'!$A$4:$AE$29,MATCH(AA$2,'NG Pivot'!$X$3:$AE$3,0)+23,FALSE),0)*10</f>
        <v>0</v>
      </c>
      <c r="AB56" s="220">
        <f>IFERROR(VLOOKUP($A56,'NG Pivot'!$A$37:$P$45,MATCH(AB$2,'NG Pivot'!$O$36:$P$36,0)+14,FALSE),0)+IFERROR(VLOOKUP($A56,'NG Pivot'!$A$4:$AE$29,MATCH(AB$2,'NG Pivot'!$X$3:$AE$3,0)+23,FALSE),0)*10</f>
        <v>0</v>
      </c>
      <c r="AC56" s="220">
        <f>IFERROR(VLOOKUP($A56,'NG Pivot'!$A$37:$P$45,MATCH(AC$2,'NG Pivot'!$O$36:$P$36,0)+14,FALSE),0)+IFERROR(VLOOKUP($A56,'NG Pivot'!$A$4:$AE$29,MATCH(AC$2,'NG Pivot'!$X$3:$AE$3,0)+23,FALSE),0)*10</f>
        <v>0</v>
      </c>
      <c r="AD56" s="220">
        <f>IFERROR(VLOOKUP($A56,'NG Pivot'!$A$37:$P$45,MATCH(AD$2,'NG Pivot'!$O$36:$P$36,0)+14,FALSE),0)+IFERROR(VLOOKUP($A56,'NG Pivot'!$A$4:$AE$29,MATCH(AD$2,'NG Pivot'!$X$3:$AE$3,0)+23,FALSE),0)*10</f>
        <v>0</v>
      </c>
    </row>
    <row r="57" spans="1:30">
      <c r="A57" s="223" t="s">
        <v>1287</v>
      </c>
      <c r="B57" s="220">
        <f>IFERROR(VLOOKUP($A57,'NG Pivot'!$A$37:$P$45,MATCH(B$2,'NG Pivot'!$O$36:$P$36,0)+14,FALSE),0)+IFERROR(VLOOKUP($A57,'NG Pivot'!$A$4:$AE$29,MATCH(B$2,'NG Pivot'!$X$3:$AE$3,0)+23,FALSE),0)*10</f>
        <v>0</v>
      </c>
      <c r="C57" s="220">
        <f>IFERROR(VLOOKUP($A57,'NG Pivot'!$A$37:$P$45,MATCH(C$2,'NG Pivot'!$O$36:$P$36,0)+14,FALSE),0)+IFERROR(VLOOKUP($A57,'NG Pivot'!$A$4:$AE$29,MATCH(C$2,'NG Pivot'!$X$3:$AE$3,0)+23,FALSE),0)*10</f>
        <v>0</v>
      </c>
      <c r="D57" s="220">
        <f>IFERROR(VLOOKUP($A57,'NG Pivot'!$A$37:$P$45,MATCH(D$2,'NG Pivot'!$O$36:$P$36,0)+14,FALSE),0)+IFERROR(VLOOKUP($A57,'NG Pivot'!$A$4:$AE$29,MATCH(D$2,'NG Pivot'!$X$3:$AE$3,0)+23,FALSE),0)*10</f>
        <v>0</v>
      </c>
      <c r="E57" s="220">
        <f>IFERROR(VLOOKUP($A57,'NG Pivot'!$A$37:$P$45,MATCH(E$2,'NG Pivot'!$O$36:$P$36,0)+14,FALSE),0)+IFERROR(VLOOKUP($A57,'NG Pivot'!$A$4:$AE$29,MATCH(E$2,'NG Pivot'!$X$3:$AE$3,0)+23,FALSE),0)*10</f>
        <v>0</v>
      </c>
      <c r="F57" s="220">
        <f>IFERROR(VLOOKUP($A57,'NG Pivot'!$A$37:$P$45,MATCH(F$2,'NG Pivot'!$O$36:$P$36,0)+14,FALSE),0)+IFERROR(VLOOKUP($A57,'NG Pivot'!$A$4:$AE$29,MATCH(F$2,'NG Pivot'!$X$3:$AE$3,0)+23,FALSE),0)*10</f>
        <v>0</v>
      </c>
      <c r="G57" s="220">
        <f>IFERROR(VLOOKUP($A57,'NG Pivot'!$A$37:$P$45,MATCH(G$2,'NG Pivot'!$O$36:$P$36,0)+14,FALSE),0)+IFERROR(VLOOKUP($A57,'NG Pivot'!$A$4:$AE$29,MATCH(G$2,'NG Pivot'!$X$3:$AE$3,0)+23,FALSE),0)*10</f>
        <v>0</v>
      </c>
      <c r="H57" s="220">
        <f>IFERROR(VLOOKUP($A57,'NG Pivot'!$A$37:$P$45,MATCH(H$2,'NG Pivot'!$O$36:$P$36,0)+14,FALSE),0)+IFERROR(VLOOKUP($A57,'NG Pivot'!$A$4:$AE$29,MATCH(H$2,'NG Pivot'!$X$3:$AE$3,0)+23,FALSE),0)*10</f>
        <v>0</v>
      </c>
      <c r="I57" s="220">
        <f>IFERROR(VLOOKUP($A57,'NG Pivot'!$A$37:$P$45,MATCH(I$2,'NG Pivot'!$O$36:$P$36,0)+14,FALSE),0)+IFERROR(VLOOKUP($A57,'NG Pivot'!$A$4:$AE$29,MATCH(I$2,'NG Pivot'!$X$3:$AE$3,0)+23,FALSE),0)*10</f>
        <v>0</v>
      </c>
      <c r="J57" s="220">
        <f>IFERROR(VLOOKUP($A57,'NG Pivot'!$A$37:$P$45,MATCH(J$2,'NG Pivot'!$O$36:$P$36,0)+14,FALSE),0)+IFERROR(VLOOKUP($A57,'NG Pivot'!$A$4:$AE$29,MATCH(J$2,'NG Pivot'!$X$3:$AE$3,0)+23,FALSE),0)*10</f>
        <v>0</v>
      </c>
      <c r="K57" s="220">
        <f>IFERROR(VLOOKUP($A57,'NG Pivot'!$A$37:$P$45,MATCH(K$2,'NG Pivot'!$O$36:$P$36,0)+14,FALSE),0)+IFERROR(VLOOKUP($A57,'NG Pivot'!$A$4:$AE$29,MATCH(K$2,'NG Pivot'!$X$3:$AE$3,0)+23,FALSE),0)*10</f>
        <v>0</v>
      </c>
      <c r="L57" s="220">
        <f>IFERROR(VLOOKUP($A57,'NG Pivot'!$A$37:$P$45,MATCH(L$2,'NG Pivot'!$O$36:$P$36,0)+14,FALSE),0)+IFERROR(VLOOKUP($A57,'NG Pivot'!$A$4:$AE$29,MATCH(L$2,'NG Pivot'!$X$3:$AE$3,0)+23,FALSE),0)*10</f>
        <v>0</v>
      </c>
      <c r="M57" s="220">
        <f>IFERROR(VLOOKUP($A57,'NG Pivot'!$A$37:$P$45,MATCH(M$2,'NG Pivot'!$O$36:$P$36,0)+14,FALSE),0)+IFERROR(VLOOKUP($A57,'NG Pivot'!$A$4:$AE$29,MATCH(M$2,'NG Pivot'!$X$3:$AE$3,0)+23,FALSE),0)*10</f>
        <v>0</v>
      </c>
      <c r="N57" s="220">
        <f>IFERROR(VLOOKUP($A57,'NG Pivot'!$A$37:$P$45,MATCH(N$2,'NG Pivot'!$O$36:$P$36,0)+14,FALSE),0)+IFERROR(VLOOKUP($A57,'NG Pivot'!$A$4:$AE$29,MATCH(N$2,'NG Pivot'!$X$3:$AE$3,0)+23,FALSE),0)*10</f>
        <v>0</v>
      </c>
      <c r="O57" s="220">
        <f>IFERROR(VLOOKUP($A57,'NG Pivot'!$A$37:$P$45,MATCH(O$2,'NG Pivot'!$O$36:$P$36,0)+14,FALSE),0)+IFERROR(VLOOKUP($A57,'NG Pivot'!$A$4:$AE$29,MATCH(O$2,'NG Pivot'!$X$3:$AE$3,0)+23,FALSE),0)*10</f>
        <v>0</v>
      </c>
      <c r="P57" s="220">
        <f>IFERROR(VLOOKUP($A57,'NG Pivot'!$A$37:$P$45,MATCH(P$2,'NG Pivot'!$O$36:$P$36,0)+14,FALSE),0)+IFERROR(VLOOKUP($A57,'NG Pivot'!$A$4:$AE$29,MATCH(P$2,'NG Pivot'!$X$3:$AE$3,0)+23,FALSE),0)*10</f>
        <v>0</v>
      </c>
      <c r="Q57" s="220">
        <f>IFERROR(VLOOKUP($A57,'NG Pivot'!$A$37:$P$45,MATCH(Q$2,'NG Pivot'!$O$36:$P$36,0)+14,FALSE),0)+IFERROR(VLOOKUP($A57,'NG Pivot'!$A$4:$AE$29,MATCH(Q$2,'NG Pivot'!$X$3:$AE$3,0)+23,FALSE),0)*10</f>
        <v>0</v>
      </c>
      <c r="R57" s="220">
        <f>IFERROR(VLOOKUP($A57,'NG Pivot'!$A$37:$P$45,MATCH(R$2,'NG Pivot'!$O$36:$P$36,0)+14,FALSE),0)+IFERROR(VLOOKUP($A57,'NG Pivot'!$A$4:$AE$29,MATCH(R$2,'NG Pivot'!$X$3:$AE$3,0)+23,FALSE),0)*10</f>
        <v>0</v>
      </c>
      <c r="S57" s="220">
        <f>IFERROR(VLOOKUP($A57,'NG Pivot'!$A$37:$P$45,MATCH(S$2,'NG Pivot'!$O$36:$P$36,0)+14,FALSE),0)+IFERROR(VLOOKUP($A57,'NG Pivot'!$A$4:$AE$29,MATCH(S$2,'NG Pivot'!$X$3:$AE$3,0)+23,FALSE),0)*10</f>
        <v>0</v>
      </c>
      <c r="T57" s="220">
        <f>IFERROR(VLOOKUP($A57,'NG Pivot'!$A$37:$P$45,MATCH(T$2,'NG Pivot'!$O$36:$P$36,0)+14,FALSE),0)+IFERROR(VLOOKUP($A57,'NG Pivot'!$A$4:$AE$29,MATCH(T$2,'NG Pivot'!$X$3:$AE$3,0)+23,FALSE),0)*10</f>
        <v>0</v>
      </c>
      <c r="U57" s="220">
        <f>IFERROR(VLOOKUP($A57,'NG Pivot'!$A$37:$P$45,MATCH(U$2,'NG Pivot'!$O$36:$P$36,0)+14,FALSE),0)+IFERROR(VLOOKUP($A57,'NG Pivot'!$A$4:$AE$29,MATCH(U$2,'NG Pivot'!$X$3:$AE$3,0)+23,FALSE),0)*10</f>
        <v>0</v>
      </c>
      <c r="V57" s="220">
        <f>IFERROR(VLOOKUP($A57,'NG Pivot'!$A$37:$P$45,MATCH(V$2,'NG Pivot'!$O$36:$P$36,0)+14,FALSE),0)+IFERROR(VLOOKUP($A57,'NG Pivot'!$A$4:$AE$29,MATCH(V$2,'NG Pivot'!$X$3:$AE$3,0)+23,FALSE),0)*10</f>
        <v>0</v>
      </c>
      <c r="W57" s="220">
        <f>IFERROR(VLOOKUP($A57,'NG Pivot'!$A$37:$P$45,MATCH(W$2,'NG Pivot'!$O$36:$P$36,0)+14,FALSE),0)+IFERROR(VLOOKUP($A57,'NG Pivot'!$A$4:$AE$29,MATCH(W$2,'NG Pivot'!$X$3:$AE$3,0)+23,FALSE),0)*10</f>
        <v>0</v>
      </c>
      <c r="X57" s="220">
        <f>IFERROR(VLOOKUP($A57,'NG Pivot'!$A$37:$P$45,MATCH(X$2,'NG Pivot'!$O$36:$P$36,0)+14,FALSE),0)+IFERROR(VLOOKUP($A57,'NG Pivot'!$A$4:$AE$29,MATCH(X$2,'NG Pivot'!$X$3:$AE$3,0)+23,FALSE),0)*10</f>
        <v>0</v>
      </c>
      <c r="Y57" s="220">
        <f>IFERROR(VLOOKUP($A57,'NG Pivot'!$A$37:$P$45,MATCH(Y$2,'NG Pivot'!$O$36:$P$36,0)+14,FALSE),0)+IFERROR(VLOOKUP($A57,'NG Pivot'!$A$4:$AE$29,MATCH(Y$2,'NG Pivot'!$X$3:$AE$3,0)+23,FALSE),0)*10</f>
        <v>0</v>
      </c>
      <c r="Z57" s="220">
        <f>IFERROR(VLOOKUP($A57,'NG Pivot'!$A$37:$P$45,MATCH(Z$2,'NG Pivot'!$O$36:$P$36,0)+14,FALSE),0)+IFERROR(VLOOKUP($A57,'NG Pivot'!$A$4:$AE$29,MATCH(Z$2,'NG Pivot'!$X$3:$AE$3,0)+23,FALSE),0)*10</f>
        <v>0</v>
      </c>
      <c r="AA57" s="220">
        <f>IFERROR(VLOOKUP($A57,'NG Pivot'!$A$37:$P$45,MATCH(AA$2,'NG Pivot'!$O$36:$P$36,0)+14,FALSE),0)+IFERROR(VLOOKUP($A57,'NG Pivot'!$A$4:$AE$29,MATCH(AA$2,'NG Pivot'!$X$3:$AE$3,0)+23,FALSE),0)*10</f>
        <v>0</v>
      </c>
      <c r="AB57" s="220">
        <f>IFERROR(VLOOKUP($A57,'NG Pivot'!$A$37:$P$45,MATCH(AB$2,'NG Pivot'!$O$36:$P$36,0)+14,FALSE),0)+IFERROR(VLOOKUP($A57,'NG Pivot'!$A$4:$AE$29,MATCH(AB$2,'NG Pivot'!$X$3:$AE$3,0)+23,FALSE),0)*10</f>
        <v>0</v>
      </c>
      <c r="AC57" s="220">
        <f>IFERROR(VLOOKUP($A57,'NG Pivot'!$A$37:$P$45,MATCH(AC$2,'NG Pivot'!$O$36:$P$36,0)+14,FALSE),0)+IFERROR(VLOOKUP($A57,'NG Pivot'!$A$4:$AE$29,MATCH(AC$2,'NG Pivot'!$X$3:$AE$3,0)+23,FALSE),0)*10</f>
        <v>0</v>
      </c>
      <c r="AD57" s="220">
        <f>IFERROR(VLOOKUP($A57,'NG Pivot'!$A$37:$P$45,MATCH(AD$2,'NG Pivot'!$O$36:$P$36,0)+14,FALSE),0)+IFERROR(VLOOKUP($A57,'NG Pivot'!$A$4:$AE$29,MATCH(AD$2,'NG Pivot'!$X$3:$AE$3,0)+23,FALSE),0)*10</f>
        <v>0</v>
      </c>
    </row>
    <row r="58" spans="1:30">
      <c r="A58" s="223" t="s">
        <v>1288</v>
      </c>
      <c r="B58" s="220">
        <f>IFERROR(VLOOKUP($A58,'NG Pivot'!$A$37:$P$45,MATCH(B$2,'NG Pivot'!$O$36:$P$36,0)+14,FALSE),0)+IFERROR(VLOOKUP($A58,'NG Pivot'!$A$4:$AE$29,MATCH(B$2,'NG Pivot'!$X$3:$AE$3,0)+23,FALSE),0)*10</f>
        <v>0</v>
      </c>
      <c r="C58" s="220">
        <f>IFERROR(VLOOKUP($A58,'NG Pivot'!$A$37:$P$45,MATCH(C$2,'NG Pivot'!$O$36:$P$36,0)+14,FALSE),0)+IFERROR(VLOOKUP($A58,'NG Pivot'!$A$4:$AE$29,MATCH(C$2,'NG Pivot'!$X$3:$AE$3,0)+23,FALSE),0)*10</f>
        <v>0</v>
      </c>
      <c r="D58" s="220">
        <f>IFERROR(VLOOKUP($A58,'NG Pivot'!$A$37:$P$45,MATCH(D$2,'NG Pivot'!$O$36:$P$36,0)+14,FALSE),0)+IFERROR(VLOOKUP($A58,'NG Pivot'!$A$4:$AE$29,MATCH(D$2,'NG Pivot'!$X$3:$AE$3,0)+23,FALSE),0)*10</f>
        <v>0</v>
      </c>
      <c r="E58" s="220">
        <f>IFERROR(VLOOKUP($A58,'NG Pivot'!$A$37:$P$45,MATCH(E$2,'NG Pivot'!$O$36:$P$36,0)+14,FALSE),0)+IFERROR(VLOOKUP($A58,'NG Pivot'!$A$4:$AE$29,MATCH(E$2,'NG Pivot'!$X$3:$AE$3,0)+23,FALSE),0)*10</f>
        <v>0</v>
      </c>
      <c r="F58" s="220">
        <f>IFERROR(VLOOKUP($A58,'NG Pivot'!$A$37:$P$45,MATCH(F$2,'NG Pivot'!$O$36:$P$36,0)+14,FALSE),0)+IFERROR(VLOOKUP($A58,'NG Pivot'!$A$4:$AE$29,MATCH(F$2,'NG Pivot'!$X$3:$AE$3,0)+23,FALSE),0)*10</f>
        <v>0</v>
      </c>
      <c r="G58" s="220">
        <f>IFERROR(VLOOKUP($A58,'NG Pivot'!$A$37:$P$45,MATCH(G$2,'NG Pivot'!$O$36:$P$36,0)+14,FALSE),0)+IFERROR(VLOOKUP($A58,'NG Pivot'!$A$4:$AE$29,MATCH(G$2,'NG Pivot'!$X$3:$AE$3,0)+23,FALSE),0)*10</f>
        <v>0</v>
      </c>
      <c r="H58" s="220">
        <f>IFERROR(VLOOKUP($A58,'NG Pivot'!$A$37:$P$45,MATCH(H$2,'NG Pivot'!$O$36:$P$36,0)+14,FALSE),0)+IFERROR(VLOOKUP($A58,'NG Pivot'!$A$4:$AE$29,MATCH(H$2,'NG Pivot'!$X$3:$AE$3,0)+23,FALSE),0)*10</f>
        <v>0</v>
      </c>
      <c r="I58" s="220">
        <f>IFERROR(VLOOKUP($A58,'NG Pivot'!$A$37:$P$45,MATCH(I$2,'NG Pivot'!$O$36:$P$36,0)+14,FALSE),0)+IFERROR(VLOOKUP($A58,'NG Pivot'!$A$4:$AE$29,MATCH(I$2,'NG Pivot'!$X$3:$AE$3,0)+23,FALSE),0)*10</f>
        <v>0</v>
      </c>
      <c r="J58" s="220">
        <f>IFERROR(VLOOKUP($A58,'NG Pivot'!$A$37:$P$45,MATCH(J$2,'NG Pivot'!$O$36:$P$36,0)+14,FALSE),0)+IFERROR(VLOOKUP($A58,'NG Pivot'!$A$4:$AE$29,MATCH(J$2,'NG Pivot'!$X$3:$AE$3,0)+23,FALSE),0)*10</f>
        <v>0</v>
      </c>
      <c r="K58" s="220">
        <f>IFERROR(VLOOKUP($A58,'NG Pivot'!$A$37:$P$45,MATCH(K$2,'NG Pivot'!$O$36:$P$36,0)+14,FALSE),0)+IFERROR(VLOOKUP($A58,'NG Pivot'!$A$4:$AE$29,MATCH(K$2,'NG Pivot'!$X$3:$AE$3,0)+23,FALSE),0)*10</f>
        <v>0</v>
      </c>
      <c r="L58" s="220">
        <f>IFERROR(VLOOKUP($A58,'NG Pivot'!$A$37:$P$45,MATCH(L$2,'NG Pivot'!$O$36:$P$36,0)+14,FALSE),0)+IFERROR(VLOOKUP($A58,'NG Pivot'!$A$4:$AE$29,MATCH(L$2,'NG Pivot'!$X$3:$AE$3,0)+23,FALSE),0)*10</f>
        <v>0</v>
      </c>
      <c r="M58" s="220">
        <f>IFERROR(VLOOKUP($A58,'NG Pivot'!$A$37:$P$45,MATCH(M$2,'NG Pivot'!$O$36:$P$36,0)+14,FALSE),0)+IFERROR(VLOOKUP($A58,'NG Pivot'!$A$4:$AE$29,MATCH(M$2,'NG Pivot'!$X$3:$AE$3,0)+23,FALSE),0)*10</f>
        <v>0</v>
      </c>
      <c r="N58" s="220">
        <f>IFERROR(VLOOKUP($A58,'NG Pivot'!$A$37:$P$45,MATCH(N$2,'NG Pivot'!$O$36:$P$36,0)+14,FALSE),0)+IFERROR(VLOOKUP($A58,'NG Pivot'!$A$4:$AE$29,MATCH(N$2,'NG Pivot'!$X$3:$AE$3,0)+23,FALSE),0)*10</f>
        <v>0</v>
      </c>
      <c r="O58" s="220">
        <f>IFERROR(VLOOKUP($A58,'NG Pivot'!$A$37:$P$45,MATCH(O$2,'NG Pivot'!$O$36:$P$36,0)+14,FALSE),0)+IFERROR(VLOOKUP($A58,'NG Pivot'!$A$4:$AE$29,MATCH(O$2,'NG Pivot'!$X$3:$AE$3,0)+23,FALSE),0)*10</f>
        <v>0</v>
      </c>
      <c r="P58" s="220">
        <f>IFERROR(VLOOKUP($A58,'NG Pivot'!$A$37:$P$45,MATCH(P$2,'NG Pivot'!$O$36:$P$36,0)+14,FALSE),0)+IFERROR(VLOOKUP($A58,'NG Pivot'!$A$4:$AE$29,MATCH(P$2,'NG Pivot'!$X$3:$AE$3,0)+23,FALSE),0)*10</f>
        <v>0</v>
      </c>
      <c r="Q58" s="220">
        <f>IFERROR(VLOOKUP($A58,'NG Pivot'!$A$37:$P$45,MATCH(Q$2,'NG Pivot'!$O$36:$P$36,0)+14,FALSE),0)+IFERROR(VLOOKUP($A58,'NG Pivot'!$A$4:$AE$29,MATCH(Q$2,'NG Pivot'!$X$3:$AE$3,0)+23,FALSE),0)*10</f>
        <v>0</v>
      </c>
      <c r="R58" s="220">
        <f>IFERROR(VLOOKUP($A58,'NG Pivot'!$A$37:$P$45,MATCH(R$2,'NG Pivot'!$O$36:$P$36,0)+14,FALSE),0)+IFERROR(VLOOKUP($A58,'NG Pivot'!$A$4:$AE$29,MATCH(R$2,'NG Pivot'!$X$3:$AE$3,0)+23,FALSE),0)*10</f>
        <v>0</v>
      </c>
      <c r="S58" s="220">
        <f>IFERROR(VLOOKUP($A58,'NG Pivot'!$A$37:$P$45,MATCH(S$2,'NG Pivot'!$O$36:$P$36,0)+14,FALSE),0)+IFERROR(VLOOKUP($A58,'NG Pivot'!$A$4:$AE$29,MATCH(S$2,'NG Pivot'!$X$3:$AE$3,0)+23,FALSE),0)*10</f>
        <v>0</v>
      </c>
      <c r="T58" s="220">
        <f>IFERROR(VLOOKUP($A58,'NG Pivot'!$A$37:$P$45,MATCH(T$2,'NG Pivot'!$O$36:$P$36,0)+14,FALSE),0)+IFERROR(VLOOKUP($A58,'NG Pivot'!$A$4:$AE$29,MATCH(T$2,'NG Pivot'!$X$3:$AE$3,0)+23,FALSE),0)*10</f>
        <v>0</v>
      </c>
      <c r="U58" s="220">
        <f>IFERROR(VLOOKUP($A58,'NG Pivot'!$A$37:$P$45,MATCH(U$2,'NG Pivot'!$O$36:$P$36,0)+14,FALSE),0)+IFERROR(VLOOKUP($A58,'NG Pivot'!$A$4:$AE$29,MATCH(U$2,'NG Pivot'!$X$3:$AE$3,0)+23,FALSE),0)*10</f>
        <v>0</v>
      </c>
      <c r="V58" s="220">
        <f>IFERROR(VLOOKUP($A58,'NG Pivot'!$A$37:$P$45,MATCH(V$2,'NG Pivot'!$O$36:$P$36,0)+14,FALSE),0)+IFERROR(VLOOKUP($A58,'NG Pivot'!$A$4:$AE$29,MATCH(V$2,'NG Pivot'!$X$3:$AE$3,0)+23,FALSE),0)*10</f>
        <v>0</v>
      </c>
      <c r="W58" s="220">
        <f>IFERROR(VLOOKUP($A58,'NG Pivot'!$A$37:$P$45,MATCH(W$2,'NG Pivot'!$O$36:$P$36,0)+14,FALSE),0)+IFERROR(VLOOKUP($A58,'NG Pivot'!$A$4:$AE$29,MATCH(W$2,'NG Pivot'!$X$3:$AE$3,0)+23,FALSE),0)*10</f>
        <v>0</v>
      </c>
      <c r="X58" s="220">
        <f>IFERROR(VLOOKUP($A58,'NG Pivot'!$A$37:$P$45,MATCH(X$2,'NG Pivot'!$O$36:$P$36,0)+14,FALSE),0)+IFERROR(VLOOKUP($A58,'NG Pivot'!$A$4:$AE$29,MATCH(X$2,'NG Pivot'!$X$3:$AE$3,0)+23,FALSE),0)*10</f>
        <v>0</v>
      </c>
      <c r="Y58" s="220">
        <f>IFERROR(VLOOKUP($A58,'NG Pivot'!$A$37:$P$45,MATCH(Y$2,'NG Pivot'!$O$36:$P$36,0)+14,FALSE),0)+IFERROR(VLOOKUP($A58,'NG Pivot'!$A$4:$AE$29,MATCH(Y$2,'NG Pivot'!$X$3:$AE$3,0)+23,FALSE),0)*10</f>
        <v>0</v>
      </c>
      <c r="Z58" s="220">
        <f>IFERROR(VLOOKUP($A58,'NG Pivot'!$A$37:$P$45,MATCH(Z$2,'NG Pivot'!$O$36:$P$36,0)+14,FALSE),0)+IFERROR(VLOOKUP($A58,'NG Pivot'!$A$4:$AE$29,MATCH(Z$2,'NG Pivot'!$X$3:$AE$3,0)+23,FALSE),0)*10</f>
        <v>0</v>
      </c>
      <c r="AA58" s="220">
        <f>IFERROR(VLOOKUP($A58,'NG Pivot'!$A$37:$P$45,MATCH(AA$2,'NG Pivot'!$O$36:$P$36,0)+14,FALSE),0)+IFERROR(VLOOKUP($A58,'NG Pivot'!$A$4:$AE$29,MATCH(AA$2,'NG Pivot'!$X$3:$AE$3,0)+23,FALSE),0)*10</f>
        <v>0</v>
      </c>
      <c r="AB58" s="220">
        <f>IFERROR(VLOOKUP($A58,'NG Pivot'!$A$37:$P$45,MATCH(AB$2,'NG Pivot'!$O$36:$P$36,0)+14,FALSE),0)+IFERROR(VLOOKUP($A58,'NG Pivot'!$A$4:$AE$29,MATCH(AB$2,'NG Pivot'!$X$3:$AE$3,0)+23,FALSE),0)*10</f>
        <v>0</v>
      </c>
      <c r="AC58" s="220">
        <f>IFERROR(VLOOKUP($A58,'NG Pivot'!$A$37:$P$45,MATCH(AC$2,'NG Pivot'!$O$36:$P$36,0)+14,FALSE),0)+IFERROR(VLOOKUP($A58,'NG Pivot'!$A$4:$AE$29,MATCH(AC$2,'NG Pivot'!$X$3:$AE$3,0)+23,FALSE),0)*10</f>
        <v>0</v>
      </c>
      <c r="AD58" s="220">
        <f>IFERROR(VLOOKUP($A58,'NG Pivot'!$A$37:$P$45,MATCH(AD$2,'NG Pivot'!$O$36:$P$36,0)+14,FALSE),0)+IFERROR(VLOOKUP($A58,'NG Pivot'!$A$4:$AE$29,MATCH(AD$2,'NG Pivot'!$X$3:$AE$3,0)+23,FALSE),0)*10</f>
        <v>0</v>
      </c>
    </row>
    <row r="59" spans="1:30">
      <c r="A59" s="223" t="s">
        <v>1289</v>
      </c>
      <c r="B59" s="220">
        <f>IFERROR(VLOOKUP($A59,'NG Pivot'!$A$37:$P$45,MATCH(B$2,'NG Pivot'!$O$36:$P$36,0)+14,FALSE),0)+IFERROR(VLOOKUP($A59,'NG Pivot'!$A$4:$AE$29,MATCH(B$2,'NG Pivot'!$X$3:$AE$3,0)+23,FALSE),0)*10</f>
        <v>0</v>
      </c>
      <c r="C59" s="220">
        <f>IFERROR(VLOOKUP($A59,'NG Pivot'!$A$37:$P$45,MATCH(C$2,'NG Pivot'!$O$36:$P$36,0)+14,FALSE),0)+IFERROR(VLOOKUP($A59,'NG Pivot'!$A$4:$AE$29,MATCH(C$2,'NG Pivot'!$X$3:$AE$3,0)+23,FALSE),0)*10</f>
        <v>0</v>
      </c>
      <c r="D59" s="220">
        <f>IFERROR(VLOOKUP($A59,'NG Pivot'!$A$37:$P$45,MATCH(D$2,'NG Pivot'!$O$36:$P$36,0)+14,FALSE),0)+IFERROR(VLOOKUP($A59,'NG Pivot'!$A$4:$AE$29,MATCH(D$2,'NG Pivot'!$X$3:$AE$3,0)+23,FALSE),0)*10</f>
        <v>0</v>
      </c>
      <c r="E59" s="220">
        <f>IFERROR(VLOOKUP($A59,'NG Pivot'!$A$37:$P$45,MATCH(E$2,'NG Pivot'!$O$36:$P$36,0)+14,FALSE),0)+IFERROR(VLOOKUP($A59,'NG Pivot'!$A$4:$AE$29,MATCH(E$2,'NG Pivot'!$X$3:$AE$3,0)+23,FALSE),0)*10</f>
        <v>0</v>
      </c>
      <c r="F59" s="220">
        <f>IFERROR(VLOOKUP($A59,'NG Pivot'!$A$37:$P$45,MATCH(F$2,'NG Pivot'!$O$36:$P$36,0)+14,FALSE),0)+IFERROR(VLOOKUP($A59,'NG Pivot'!$A$4:$AE$29,MATCH(F$2,'NG Pivot'!$X$3:$AE$3,0)+23,FALSE),0)*10</f>
        <v>0</v>
      </c>
      <c r="G59" s="220">
        <f>IFERROR(VLOOKUP($A59,'NG Pivot'!$A$37:$P$45,MATCH(G$2,'NG Pivot'!$O$36:$P$36,0)+14,FALSE),0)+IFERROR(VLOOKUP($A59,'NG Pivot'!$A$4:$AE$29,MATCH(G$2,'NG Pivot'!$X$3:$AE$3,0)+23,FALSE),0)*10</f>
        <v>0</v>
      </c>
      <c r="H59" s="220">
        <f>IFERROR(VLOOKUP($A59,'NG Pivot'!$A$37:$P$45,MATCH(H$2,'NG Pivot'!$O$36:$P$36,0)+14,FALSE),0)+IFERROR(VLOOKUP($A59,'NG Pivot'!$A$4:$AE$29,MATCH(H$2,'NG Pivot'!$X$3:$AE$3,0)+23,FALSE),0)*10</f>
        <v>0</v>
      </c>
      <c r="I59" s="220">
        <f>IFERROR(VLOOKUP($A59,'NG Pivot'!$A$37:$P$45,MATCH(I$2,'NG Pivot'!$O$36:$P$36,0)+14,FALSE),0)+IFERROR(VLOOKUP($A59,'NG Pivot'!$A$4:$AE$29,MATCH(I$2,'NG Pivot'!$X$3:$AE$3,0)+23,FALSE),0)*10</f>
        <v>0</v>
      </c>
      <c r="J59" s="220">
        <f>IFERROR(VLOOKUP($A59,'NG Pivot'!$A$37:$P$45,MATCH(J$2,'NG Pivot'!$O$36:$P$36,0)+14,FALSE),0)+IFERROR(VLOOKUP($A59,'NG Pivot'!$A$4:$AE$29,MATCH(J$2,'NG Pivot'!$X$3:$AE$3,0)+23,FALSE),0)*10</f>
        <v>0</v>
      </c>
      <c r="K59" s="220">
        <f>IFERROR(VLOOKUP($A59,'NG Pivot'!$A$37:$P$45,MATCH(K$2,'NG Pivot'!$O$36:$P$36,0)+14,FALSE),0)+IFERROR(VLOOKUP($A59,'NG Pivot'!$A$4:$AE$29,MATCH(K$2,'NG Pivot'!$X$3:$AE$3,0)+23,FALSE),0)*10</f>
        <v>0</v>
      </c>
      <c r="L59" s="220">
        <f>IFERROR(VLOOKUP($A59,'NG Pivot'!$A$37:$P$45,MATCH(L$2,'NG Pivot'!$O$36:$P$36,0)+14,FALSE),0)+IFERROR(VLOOKUP($A59,'NG Pivot'!$A$4:$AE$29,MATCH(L$2,'NG Pivot'!$X$3:$AE$3,0)+23,FALSE),0)*10</f>
        <v>0</v>
      </c>
      <c r="M59" s="220">
        <f>IFERROR(VLOOKUP($A59,'NG Pivot'!$A$37:$P$45,MATCH(M$2,'NG Pivot'!$O$36:$P$36,0)+14,FALSE),0)+IFERROR(VLOOKUP($A59,'NG Pivot'!$A$4:$AE$29,MATCH(M$2,'NG Pivot'!$X$3:$AE$3,0)+23,FALSE),0)*10</f>
        <v>0</v>
      </c>
      <c r="N59" s="220">
        <f>IFERROR(VLOOKUP($A59,'NG Pivot'!$A$37:$P$45,MATCH(N$2,'NG Pivot'!$O$36:$P$36,0)+14,FALSE),0)+IFERROR(VLOOKUP($A59,'NG Pivot'!$A$4:$AE$29,MATCH(N$2,'NG Pivot'!$X$3:$AE$3,0)+23,FALSE),0)*10</f>
        <v>0</v>
      </c>
      <c r="O59" s="220">
        <f>IFERROR(VLOOKUP($A59,'NG Pivot'!$A$37:$P$45,MATCH(O$2,'NG Pivot'!$O$36:$P$36,0)+14,FALSE),0)+IFERROR(VLOOKUP($A59,'NG Pivot'!$A$4:$AE$29,MATCH(O$2,'NG Pivot'!$X$3:$AE$3,0)+23,FALSE),0)*10</f>
        <v>0</v>
      </c>
      <c r="P59" s="220">
        <f>IFERROR(VLOOKUP($A59,'NG Pivot'!$A$37:$P$45,MATCH(P$2,'NG Pivot'!$O$36:$P$36,0)+14,FALSE),0)+IFERROR(VLOOKUP($A59,'NG Pivot'!$A$4:$AE$29,MATCH(P$2,'NG Pivot'!$X$3:$AE$3,0)+23,FALSE),0)*10</f>
        <v>0</v>
      </c>
      <c r="Q59" s="220">
        <f>IFERROR(VLOOKUP($A59,'NG Pivot'!$A$37:$P$45,MATCH(Q$2,'NG Pivot'!$O$36:$P$36,0)+14,FALSE),0)+IFERROR(VLOOKUP($A59,'NG Pivot'!$A$4:$AE$29,MATCH(Q$2,'NG Pivot'!$X$3:$AE$3,0)+23,FALSE),0)*10</f>
        <v>0</v>
      </c>
      <c r="R59" s="220">
        <f>IFERROR(VLOOKUP($A59,'NG Pivot'!$A$37:$P$45,MATCH(R$2,'NG Pivot'!$O$36:$P$36,0)+14,FALSE),0)+IFERROR(VLOOKUP($A59,'NG Pivot'!$A$4:$AE$29,MATCH(R$2,'NG Pivot'!$X$3:$AE$3,0)+23,FALSE),0)*10</f>
        <v>0</v>
      </c>
      <c r="S59" s="220">
        <f>IFERROR(VLOOKUP($A59,'NG Pivot'!$A$37:$P$45,MATCH(S$2,'NG Pivot'!$O$36:$P$36,0)+14,FALSE),0)+IFERROR(VLOOKUP($A59,'NG Pivot'!$A$4:$AE$29,MATCH(S$2,'NG Pivot'!$X$3:$AE$3,0)+23,FALSE),0)*10</f>
        <v>0</v>
      </c>
      <c r="T59" s="220">
        <f>IFERROR(VLOOKUP($A59,'NG Pivot'!$A$37:$P$45,MATCH(T$2,'NG Pivot'!$O$36:$P$36,0)+14,FALSE),0)+IFERROR(VLOOKUP($A59,'NG Pivot'!$A$4:$AE$29,MATCH(T$2,'NG Pivot'!$X$3:$AE$3,0)+23,FALSE),0)*10</f>
        <v>0</v>
      </c>
      <c r="U59" s="220">
        <f>IFERROR(VLOOKUP($A59,'NG Pivot'!$A$37:$P$45,MATCH(U$2,'NG Pivot'!$O$36:$P$36,0)+14,FALSE),0)+IFERROR(VLOOKUP($A59,'NG Pivot'!$A$4:$AE$29,MATCH(U$2,'NG Pivot'!$X$3:$AE$3,0)+23,FALSE),0)*10</f>
        <v>0</v>
      </c>
      <c r="V59" s="220">
        <f>IFERROR(VLOOKUP($A59,'NG Pivot'!$A$37:$P$45,MATCH(V$2,'NG Pivot'!$O$36:$P$36,0)+14,FALSE),0)+IFERROR(VLOOKUP($A59,'NG Pivot'!$A$4:$AE$29,MATCH(V$2,'NG Pivot'!$X$3:$AE$3,0)+23,FALSE),0)*10</f>
        <v>0</v>
      </c>
      <c r="W59" s="220">
        <f>IFERROR(VLOOKUP($A59,'NG Pivot'!$A$37:$P$45,MATCH(W$2,'NG Pivot'!$O$36:$P$36,0)+14,FALSE),0)+IFERROR(VLOOKUP($A59,'NG Pivot'!$A$4:$AE$29,MATCH(W$2,'NG Pivot'!$X$3:$AE$3,0)+23,FALSE),0)*10</f>
        <v>0</v>
      </c>
      <c r="X59" s="220">
        <f>IFERROR(VLOOKUP($A59,'NG Pivot'!$A$37:$P$45,MATCH(X$2,'NG Pivot'!$O$36:$P$36,0)+14,FALSE),0)+IFERROR(VLOOKUP($A59,'NG Pivot'!$A$4:$AE$29,MATCH(X$2,'NG Pivot'!$X$3:$AE$3,0)+23,FALSE),0)*10</f>
        <v>0</v>
      </c>
      <c r="Y59" s="220">
        <f>IFERROR(VLOOKUP($A59,'NG Pivot'!$A$37:$P$45,MATCH(Y$2,'NG Pivot'!$O$36:$P$36,0)+14,FALSE),0)+IFERROR(VLOOKUP($A59,'NG Pivot'!$A$4:$AE$29,MATCH(Y$2,'NG Pivot'!$X$3:$AE$3,0)+23,FALSE),0)*10</f>
        <v>0</v>
      </c>
      <c r="Z59" s="220">
        <f>IFERROR(VLOOKUP($A59,'NG Pivot'!$A$37:$P$45,MATCH(Z$2,'NG Pivot'!$O$36:$P$36,0)+14,FALSE),0)+IFERROR(VLOOKUP($A59,'NG Pivot'!$A$4:$AE$29,MATCH(Z$2,'NG Pivot'!$X$3:$AE$3,0)+23,FALSE),0)*10</f>
        <v>0</v>
      </c>
      <c r="AA59" s="220">
        <f>IFERROR(VLOOKUP($A59,'NG Pivot'!$A$37:$P$45,MATCH(AA$2,'NG Pivot'!$O$36:$P$36,0)+14,FALSE),0)+IFERROR(VLOOKUP($A59,'NG Pivot'!$A$4:$AE$29,MATCH(AA$2,'NG Pivot'!$X$3:$AE$3,0)+23,FALSE),0)*10</f>
        <v>0</v>
      </c>
      <c r="AB59" s="220">
        <f>IFERROR(VLOOKUP($A59,'NG Pivot'!$A$37:$P$45,MATCH(AB$2,'NG Pivot'!$O$36:$P$36,0)+14,FALSE),0)+IFERROR(VLOOKUP($A59,'NG Pivot'!$A$4:$AE$29,MATCH(AB$2,'NG Pivot'!$X$3:$AE$3,0)+23,FALSE),0)*10</f>
        <v>0</v>
      </c>
      <c r="AC59" s="220">
        <f>IFERROR(VLOOKUP($A59,'NG Pivot'!$A$37:$P$45,MATCH(AC$2,'NG Pivot'!$O$36:$P$36,0)+14,FALSE),0)+IFERROR(VLOOKUP($A59,'NG Pivot'!$A$4:$AE$29,MATCH(AC$2,'NG Pivot'!$X$3:$AE$3,0)+23,FALSE),0)*10</f>
        <v>0</v>
      </c>
      <c r="AD59" s="220">
        <f>IFERROR(VLOOKUP($A59,'NG Pivot'!$A$37:$P$45,MATCH(AD$2,'NG Pivot'!$O$36:$P$36,0)+14,FALSE),0)+IFERROR(VLOOKUP($A59,'NG Pivot'!$A$4:$AE$29,MATCH(AD$2,'NG Pivot'!$X$3:$AE$3,0)+23,FALSE),0)*10</f>
        <v>0</v>
      </c>
    </row>
    <row r="60" spans="1:30">
      <c r="A60" s="223" t="s">
        <v>1290</v>
      </c>
      <c r="B60" s="220">
        <f>IFERROR(VLOOKUP($A60,'NG Pivot'!$A$37:$P$45,MATCH(B$2,'NG Pivot'!$O$36:$P$36,0)+14,FALSE),0)+IFERROR(VLOOKUP($A60,'NG Pivot'!$A$4:$AE$29,MATCH(B$2,'NG Pivot'!$X$3:$AE$3,0)+23,FALSE),0)*10</f>
        <v>0</v>
      </c>
      <c r="C60" s="220">
        <f>IFERROR(VLOOKUP($A60,'NG Pivot'!$A$37:$P$45,MATCH(C$2,'NG Pivot'!$O$36:$P$36,0)+14,FALSE),0)+IFERROR(VLOOKUP($A60,'NG Pivot'!$A$4:$AE$29,MATCH(C$2,'NG Pivot'!$X$3:$AE$3,0)+23,FALSE),0)*10</f>
        <v>0</v>
      </c>
      <c r="D60" s="220">
        <f>IFERROR(VLOOKUP($A60,'NG Pivot'!$A$37:$P$45,MATCH(D$2,'NG Pivot'!$O$36:$P$36,0)+14,FALSE),0)+IFERROR(VLOOKUP($A60,'NG Pivot'!$A$4:$AE$29,MATCH(D$2,'NG Pivot'!$X$3:$AE$3,0)+23,FALSE),0)*10</f>
        <v>0</v>
      </c>
      <c r="E60" s="220">
        <f>IFERROR(VLOOKUP($A60,'NG Pivot'!$A$37:$P$45,MATCH(E$2,'NG Pivot'!$O$36:$P$36,0)+14,FALSE),0)+IFERROR(VLOOKUP($A60,'NG Pivot'!$A$4:$AE$29,MATCH(E$2,'NG Pivot'!$X$3:$AE$3,0)+23,FALSE),0)*10</f>
        <v>0</v>
      </c>
      <c r="F60" s="220">
        <f>IFERROR(VLOOKUP($A60,'NG Pivot'!$A$37:$P$45,MATCH(F$2,'NG Pivot'!$O$36:$P$36,0)+14,FALSE),0)+IFERROR(VLOOKUP($A60,'NG Pivot'!$A$4:$AE$29,MATCH(F$2,'NG Pivot'!$X$3:$AE$3,0)+23,FALSE),0)*10</f>
        <v>0</v>
      </c>
      <c r="G60" s="220">
        <f>IFERROR(VLOOKUP($A60,'NG Pivot'!$A$37:$P$45,MATCH(G$2,'NG Pivot'!$O$36:$P$36,0)+14,FALSE),0)+IFERROR(VLOOKUP($A60,'NG Pivot'!$A$4:$AE$29,MATCH(G$2,'NG Pivot'!$X$3:$AE$3,0)+23,FALSE),0)*10</f>
        <v>0</v>
      </c>
      <c r="H60" s="220">
        <f>IFERROR(VLOOKUP($A60,'NG Pivot'!$A$37:$P$45,MATCH(H$2,'NG Pivot'!$O$36:$P$36,0)+14,FALSE),0)+IFERROR(VLOOKUP($A60,'NG Pivot'!$A$4:$AE$29,MATCH(H$2,'NG Pivot'!$X$3:$AE$3,0)+23,FALSE),0)*10</f>
        <v>0</v>
      </c>
      <c r="I60" s="220">
        <f>IFERROR(VLOOKUP($A60,'NG Pivot'!$A$37:$P$45,MATCH(I$2,'NG Pivot'!$O$36:$P$36,0)+14,FALSE),0)+IFERROR(VLOOKUP($A60,'NG Pivot'!$A$4:$AE$29,MATCH(I$2,'NG Pivot'!$X$3:$AE$3,0)+23,FALSE),0)*10</f>
        <v>0</v>
      </c>
      <c r="J60" s="220">
        <f>IFERROR(VLOOKUP($A60,'NG Pivot'!$A$37:$P$45,MATCH(J$2,'NG Pivot'!$O$36:$P$36,0)+14,FALSE),0)+IFERROR(VLOOKUP($A60,'NG Pivot'!$A$4:$AE$29,MATCH(J$2,'NG Pivot'!$X$3:$AE$3,0)+23,FALSE),0)*10</f>
        <v>0</v>
      </c>
      <c r="K60" s="220">
        <f>IFERROR(VLOOKUP($A60,'NG Pivot'!$A$37:$P$45,MATCH(K$2,'NG Pivot'!$O$36:$P$36,0)+14,FALSE),0)+IFERROR(VLOOKUP($A60,'NG Pivot'!$A$4:$AE$29,MATCH(K$2,'NG Pivot'!$X$3:$AE$3,0)+23,FALSE),0)*10</f>
        <v>12</v>
      </c>
      <c r="L60" s="220">
        <f>IFERROR(VLOOKUP($A60,'NG Pivot'!$A$37:$P$45,MATCH(L$2,'NG Pivot'!$O$36:$P$36,0)+14,FALSE),0)+IFERROR(VLOOKUP($A60,'NG Pivot'!$A$4:$AE$29,MATCH(L$2,'NG Pivot'!$X$3:$AE$3,0)+23,FALSE),0)*10</f>
        <v>0</v>
      </c>
      <c r="M60" s="220">
        <f>IFERROR(VLOOKUP($A60,'NG Pivot'!$A$37:$P$45,MATCH(M$2,'NG Pivot'!$O$36:$P$36,0)+14,FALSE),0)+IFERROR(VLOOKUP($A60,'NG Pivot'!$A$4:$AE$29,MATCH(M$2,'NG Pivot'!$X$3:$AE$3,0)+23,FALSE),0)*10</f>
        <v>0</v>
      </c>
      <c r="N60" s="220">
        <f>IFERROR(VLOOKUP($A60,'NG Pivot'!$A$37:$P$45,MATCH(N$2,'NG Pivot'!$O$36:$P$36,0)+14,FALSE),0)+IFERROR(VLOOKUP($A60,'NG Pivot'!$A$4:$AE$29,MATCH(N$2,'NG Pivot'!$X$3:$AE$3,0)+23,FALSE),0)*10</f>
        <v>0</v>
      </c>
      <c r="O60" s="220">
        <f>IFERROR(VLOOKUP($A60,'NG Pivot'!$A$37:$P$45,MATCH(O$2,'NG Pivot'!$O$36:$P$36,0)+14,FALSE),0)+IFERROR(VLOOKUP($A60,'NG Pivot'!$A$4:$AE$29,MATCH(O$2,'NG Pivot'!$X$3:$AE$3,0)+23,FALSE),0)*10</f>
        <v>0</v>
      </c>
      <c r="P60" s="220">
        <f>IFERROR(VLOOKUP($A60,'NG Pivot'!$A$37:$P$45,MATCH(P$2,'NG Pivot'!$O$36:$P$36,0)+14,FALSE),0)+IFERROR(VLOOKUP($A60,'NG Pivot'!$A$4:$AE$29,MATCH(P$2,'NG Pivot'!$X$3:$AE$3,0)+23,FALSE),0)*10</f>
        <v>0</v>
      </c>
      <c r="Q60" s="220">
        <f>IFERROR(VLOOKUP($A60,'NG Pivot'!$A$37:$P$45,MATCH(Q$2,'NG Pivot'!$O$36:$P$36,0)+14,FALSE),0)+IFERROR(VLOOKUP($A60,'NG Pivot'!$A$4:$AE$29,MATCH(Q$2,'NG Pivot'!$X$3:$AE$3,0)+23,FALSE),0)*10</f>
        <v>0</v>
      </c>
      <c r="R60" s="220">
        <f>IFERROR(VLOOKUP($A60,'NG Pivot'!$A$37:$P$45,MATCH(R$2,'NG Pivot'!$O$36:$P$36,0)+14,FALSE),0)+IFERROR(VLOOKUP($A60,'NG Pivot'!$A$4:$AE$29,MATCH(R$2,'NG Pivot'!$X$3:$AE$3,0)+23,FALSE),0)*10</f>
        <v>0</v>
      </c>
      <c r="S60" s="220">
        <f>IFERROR(VLOOKUP($A60,'NG Pivot'!$A$37:$P$45,MATCH(S$2,'NG Pivot'!$O$36:$P$36,0)+14,FALSE),0)+IFERROR(VLOOKUP($A60,'NG Pivot'!$A$4:$AE$29,MATCH(S$2,'NG Pivot'!$X$3:$AE$3,0)+23,FALSE),0)*10</f>
        <v>0</v>
      </c>
      <c r="T60" s="220">
        <f>IFERROR(VLOOKUP($A60,'NG Pivot'!$A$37:$P$45,MATCH(T$2,'NG Pivot'!$O$36:$P$36,0)+14,FALSE),0)+IFERROR(VLOOKUP($A60,'NG Pivot'!$A$4:$AE$29,MATCH(T$2,'NG Pivot'!$X$3:$AE$3,0)+23,FALSE),0)*10</f>
        <v>0</v>
      </c>
      <c r="U60" s="220">
        <f>IFERROR(VLOOKUP($A60,'NG Pivot'!$A$37:$P$45,MATCH(U$2,'NG Pivot'!$O$36:$P$36,0)+14,FALSE),0)+IFERROR(VLOOKUP($A60,'NG Pivot'!$A$4:$AE$29,MATCH(U$2,'NG Pivot'!$X$3:$AE$3,0)+23,FALSE),0)*10</f>
        <v>0</v>
      </c>
      <c r="V60" s="220">
        <f>IFERROR(VLOOKUP($A60,'NG Pivot'!$A$37:$P$45,MATCH(V$2,'NG Pivot'!$O$36:$P$36,0)+14,FALSE),0)+IFERROR(VLOOKUP($A60,'NG Pivot'!$A$4:$AE$29,MATCH(V$2,'NG Pivot'!$X$3:$AE$3,0)+23,FALSE),0)*10</f>
        <v>0</v>
      </c>
      <c r="W60" s="220">
        <f>IFERROR(VLOOKUP($A60,'NG Pivot'!$A$37:$P$45,MATCH(W$2,'NG Pivot'!$O$36:$P$36,0)+14,FALSE),0)+IFERROR(VLOOKUP($A60,'NG Pivot'!$A$4:$AE$29,MATCH(W$2,'NG Pivot'!$X$3:$AE$3,0)+23,FALSE),0)*10</f>
        <v>0</v>
      </c>
      <c r="X60" s="220">
        <f>IFERROR(VLOOKUP($A60,'NG Pivot'!$A$37:$P$45,MATCH(X$2,'NG Pivot'!$O$36:$P$36,0)+14,FALSE),0)+IFERROR(VLOOKUP($A60,'NG Pivot'!$A$4:$AE$29,MATCH(X$2,'NG Pivot'!$X$3:$AE$3,0)+23,FALSE),0)*10</f>
        <v>0</v>
      </c>
      <c r="Y60" s="220">
        <f>IFERROR(VLOOKUP($A60,'NG Pivot'!$A$37:$P$45,MATCH(Y$2,'NG Pivot'!$O$36:$P$36,0)+14,FALSE),0)+IFERROR(VLOOKUP($A60,'NG Pivot'!$A$4:$AE$29,MATCH(Y$2,'NG Pivot'!$X$3:$AE$3,0)+23,FALSE),0)*10</f>
        <v>0</v>
      </c>
      <c r="Z60" s="220">
        <f>IFERROR(VLOOKUP($A60,'NG Pivot'!$A$37:$P$45,MATCH(Z$2,'NG Pivot'!$O$36:$P$36,0)+14,FALSE),0)+IFERROR(VLOOKUP($A60,'NG Pivot'!$A$4:$AE$29,MATCH(Z$2,'NG Pivot'!$X$3:$AE$3,0)+23,FALSE),0)*10</f>
        <v>0</v>
      </c>
      <c r="AA60" s="220">
        <f>IFERROR(VLOOKUP($A60,'NG Pivot'!$A$37:$P$45,MATCH(AA$2,'NG Pivot'!$O$36:$P$36,0)+14,FALSE),0)+IFERROR(VLOOKUP($A60,'NG Pivot'!$A$4:$AE$29,MATCH(AA$2,'NG Pivot'!$X$3:$AE$3,0)+23,FALSE),0)*10</f>
        <v>5</v>
      </c>
      <c r="AB60" s="220">
        <f>IFERROR(VLOOKUP($A60,'NG Pivot'!$A$37:$P$45,MATCH(AB$2,'NG Pivot'!$O$36:$P$36,0)+14,FALSE),0)+IFERROR(VLOOKUP($A60,'NG Pivot'!$A$4:$AE$29,MATCH(AB$2,'NG Pivot'!$X$3:$AE$3,0)+23,FALSE),0)*10</f>
        <v>0</v>
      </c>
      <c r="AC60" s="220">
        <f>IFERROR(VLOOKUP($A60,'NG Pivot'!$A$37:$P$45,MATCH(AC$2,'NG Pivot'!$O$36:$P$36,0)+14,FALSE),0)+IFERROR(VLOOKUP($A60,'NG Pivot'!$A$4:$AE$29,MATCH(AC$2,'NG Pivot'!$X$3:$AE$3,0)+23,FALSE),0)*10</f>
        <v>0</v>
      </c>
      <c r="AD60" s="220">
        <f>IFERROR(VLOOKUP($A60,'NG Pivot'!$A$37:$P$45,MATCH(AD$2,'NG Pivot'!$O$36:$P$36,0)+14,FALSE),0)+IFERROR(VLOOKUP($A60,'NG Pivot'!$A$4:$AE$29,MATCH(AD$2,'NG Pivot'!$X$3:$AE$3,0)+23,FALSE),0)*10</f>
        <v>0</v>
      </c>
    </row>
    <row r="61" spans="1:30">
      <c r="A61" s="223" t="s">
        <v>1291</v>
      </c>
      <c r="B61" s="220">
        <f>IFERROR(VLOOKUP($A61,'NG Pivot'!$A$37:$P$45,MATCH(B$2,'NG Pivot'!$O$36:$P$36,0)+14,FALSE),0)+IFERROR(VLOOKUP($A61,'NG Pivot'!$A$4:$AE$29,MATCH(B$2,'NG Pivot'!$X$3:$AE$3,0)+23,FALSE),0)*10</f>
        <v>0</v>
      </c>
      <c r="C61" s="220">
        <f>IFERROR(VLOOKUP($A61,'NG Pivot'!$A$37:$P$45,MATCH(C$2,'NG Pivot'!$O$36:$P$36,0)+14,FALSE),0)+IFERROR(VLOOKUP($A61,'NG Pivot'!$A$4:$AE$29,MATCH(C$2,'NG Pivot'!$X$3:$AE$3,0)+23,FALSE),0)*10</f>
        <v>0</v>
      </c>
      <c r="D61" s="220">
        <f>IFERROR(VLOOKUP($A61,'NG Pivot'!$A$37:$P$45,MATCH(D$2,'NG Pivot'!$O$36:$P$36,0)+14,FALSE),0)+IFERROR(VLOOKUP($A61,'NG Pivot'!$A$4:$AE$29,MATCH(D$2,'NG Pivot'!$X$3:$AE$3,0)+23,FALSE),0)*10</f>
        <v>0</v>
      </c>
      <c r="E61" s="220">
        <f>IFERROR(VLOOKUP($A61,'NG Pivot'!$A$37:$P$45,MATCH(E$2,'NG Pivot'!$O$36:$P$36,0)+14,FALSE),0)+IFERROR(VLOOKUP($A61,'NG Pivot'!$A$4:$AE$29,MATCH(E$2,'NG Pivot'!$X$3:$AE$3,0)+23,FALSE),0)*10</f>
        <v>0</v>
      </c>
      <c r="F61" s="220">
        <f>IFERROR(VLOOKUP($A61,'NG Pivot'!$A$37:$P$45,MATCH(F$2,'NG Pivot'!$O$36:$P$36,0)+14,FALSE),0)+IFERROR(VLOOKUP($A61,'NG Pivot'!$A$4:$AE$29,MATCH(F$2,'NG Pivot'!$X$3:$AE$3,0)+23,FALSE),0)*10</f>
        <v>0</v>
      </c>
      <c r="G61" s="220">
        <f>IFERROR(VLOOKUP($A61,'NG Pivot'!$A$37:$P$45,MATCH(G$2,'NG Pivot'!$O$36:$P$36,0)+14,FALSE),0)+IFERROR(VLOOKUP($A61,'NG Pivot'!$A$4:$AE$29,MATCH(G$2,'NG Pivot'!$X$3:$AE$3,0)+23,FALSE),0)*10</f>
        <v>0</v>
      </c>
      <c r="H61" s="220">
        <f>IFERROR(VLOOKUP($A61,'NG Pivot'!$A$37:$P$45,MATCH(H$2,'NG Pivot'!$O$36:$P$36,0)+14,FALSE),0)+IFERROR(VLOOKUP($A61,'NG Pivot'!$A$4:$AE$29,MATCH(H$2,'NG Pivot'!$X$3:$AE$3,0)+23,FALSE),0)*10</f>
        <v>0</v>
      </c>
      <c r="I61" s="220">
        <f>IFERROR(VLOOKUP($A61,'NG Pivot'!$A$37:$P$45,MATCH(I$2,'NG Pivot'!$O$36:$P$36,0)+14,FALSE),0)+IFERROR(VLOOKUP($A61,'NG Pivot'!$A$4:$AE$29,MATCH(I$2,'NG Pivot'!$X$3:$AE$3,0)+23,FALSE),0)*10</f>
        <v>0</v>
      </c>
      <c r="J61" s="220">
        <f>IFERROR(VLOOKUP($A61,'NG Pivot'!$A$37:$P$45,MATCH(J$2,'NG Pivot'!$O$36:$P$36,0)+14,FALSE),0)+IFERROR(VLOOKUP($A61,'NG Pivot'!$A$4:$AE$29,MATCH(J$2,'NG Pivot'!$X$3:$AE$3,0)+23,FALSE),0)*10</f>
        <v>0</v>
      </c>
      <c r="K61" s="220">
        <f>IFERROR(VLOOKUP($A61,'NG Pivot'!$A$37:$P$45,MATCH(K$2,'NG Pivot'!$O$36:$P$36,0)+14,FALSE),0)+IFERROR(VLOOKUP($A61,'NG Pivot'!$A$4:$AE$29,MATCH(K$2,'NG Pivot'!$X$3:$AE$3,0)+23,FALSE),0)*10</f>
        <v>0</v>
      </c>
      <c r="L61" s="220">
        <f>IFERROR(VLOOKUP($A61,'NG Pivot'!$A$37:$P$45,MATCH(L$2,'NG Pivot'!$O$36:$P$36,0)+14,FALSE),0)+IFERROR(VLOOKUP($A61,'NG Pivot'!$A$4:$AE$29,MATCH(L$2,'NG Pivot'!$X$3:$AE$3,0)+23,FALSE),0)*10</f>
        <v>0</v>
      </c>
      <c r="M61" s="220">
        <f>IFERROR(VLOOKUP($A61,'NG Pivot'!$A$37:$P$45,MATCH(M$2,'NG Pivot'!$O$36:$P$36,0)+14,FALSE),0)+IFERROR(VLOOKUP($A61,'NG Pivot'!$A$4:$AE$29,MATCH(M$2,'NG Pivot'!$X$3:$AE$3,0)+23,FALSE),0)*10</f>
        <v>0</v>
      </c>
      <c r="N61" s="220">
        <f>IFERROR(VLOOKUP($A61,'NG Pivot'!$A$37:$P$45,MATCH(N$2,'NG Pivot'!$O$36:$P$36,0)+14,FALSE),0)+IFERROR(VLOOKUP($A61,'NG Pivot'!$A$4:$AE$29,MATCH(N$2,'NG Pivot'!$X$3:$AE$3,0)+23,FALSE),0)*10</f>
        <v>0</v>
      </c>
      <c r="O61" s="220">
        <f>IFERROR(VLOOKUP($A61,'NG Pivot'!$A$37:$P$45,MATCH(O$2,'NG Pivot'!$O$36:$P$36,0)+14,FALSE),0)+IFERROR(VLOOKUP($A61,'NG Pivot'!$A$4:$AE$29,MATCH(O$2,'NG Pivot'!$X$3:$AE$3,0)+23,FALSE),0)*10</f>
        <v>0</v>
      </c>
      <c r="P61" s="220">
        <f>IFERROR(VLOOKUP($A61,'NG Pivot'!$A$37:$P$45,MATCH(P$2,'NG Pivot'!$O$36:$P$36,0)+14,FALSE),0)+IFERROR(VLOOKUP($A61,'NG Pivot'!$A$4:$AE$29,MATCH(P$2,'NG Pivot'!$X$3:$AE$3,0)+23,FALSE),0)*10</f>
        <v>0</v>
      </c>
      <c r="Q61" s="220">
        <f>IFERROR(VLOOKUP($A61,'NG Pivot'!$A$37:$P$45,MATCH(Q$2,'NG Pivot'!$O$36:$P$36,0)+14,FALSE),0)+IFERROR(VLOOKUP($A61,'NG Pivot'!$A$4:$AE$29,MATCH(Q$2,'NG Pivot'!$X$3:$AE$3,0)+23,FALSE),0)*10</f>
        <v>0</v>
      </c>
      <c r="R61" s="220">
        <f>IFERROR(VLOOKUP($A61,'NG Pivot'!$A$37:$P$45,MATCH(R$2,'NG Pivot'!$O$36:$P$36,0)+14,FALSE),0)+IFERROR(VLOOKUP($A61,'NG Pivot'!$A$4:$AE$29,MATCH(R$2,'NG Pivot'!$X$3:$AE$3,0)+23,FALSE),0)*10</f>
        <v>13</v>
      </c>
      <c r="S61" s="220">
        <f>IFERROR(VLOOKUP($A61,'NG Pivot'!$A$37:$P$45,MATCH(S$2,'NG Pivot'!$O$36:$P$36,0)+14,FALSE),0)+IFERROR(VLOOKUP($A61,'NG Pivot'!$A$4:$AE$29,MATCH(S$2,'NG Pivot'!$X$3:$AE$3,0)+23,FALSE),0)*10</f>
        <v>0</v>
      </c>
      <c r="T61" s="220">
        <f>IFERROR(VLOOKUP($A61,'NG Pivot'!$A$37:$P$45,MATCH(T$2,'NG Pivot'!$O$36:$P$36,0)+14,FALSE),0)+IFERROR(VLOOKUP($A61,'NG Pivot'!$A$4:$AE$29,MATCH(T$2,'NG Pivot'!$X$3:$AE$3,0)+23,FALSE),0)*10</f>
        <v>0</v>
      </c>
      <c r="U61" s="220">
        <f>IFERROR(VLOOKUP($A61,'NG Pivot'!$A$37:$P$45,MATCH(U$2,'NG Pivot'!$O$36:$P$36,0)+14,FALSE),0)+IFERROR(VLOOKUP($A61,'NG Pivot'!$A$4:$AE$29,MATCH(U$2,'NG Pivot'!$X$3:$AE$3,0)+23,FALSE),0)*10</f>
        <v>0</v>
      </c>
      <c r="V61" s="220">
        <f>IFERROR(VLOOKUP($A61,'NG Pivot'!$A$37:$P$45,MATCH(V$2,'NG Pivot'!$O$36:$P$36,0)+14,FALSE),0)+IFERROR(VLOOKUP($A61,'NG Pivot'!$A$4:$AE$29,MATCH(V$2,'NG Pivot'!$X$3:$AE$3,0)+23,FALSE),0)*10</f>
        <v>0</v>
      </c>
      <c r="W61" s="220">
        <f>IFERROR(VLOOKUP($A61,'NG Pivot'!$A$37:$P$45,MATCH(W$2,'NG Pivot'!$O$36:$P$36,0)+14,FALSE),0)+IFERROR(VLOOKUP($A61,'NG Pivot'!$A$4:$AE$29,MATCH(W$2,'NG Pivot'!$X$3:$AE$3,0)+23,FALSE),0)*10</f>
        <v>0</v>
      </c>
      <c r="X61" s="220">
        <f>IFERROR(VLOOKUP($A61,'NG Pivot'!$A$37:$P$45,MATCH(X$2,'NG Pivot'!$O$36:$P$36,0)+14,FALSE),0)+IFERROR(VLOOKUP($A61,'NG Pivot'!$A$4:$AE$29,MATCH(X$2,'NG Pivot'!$X$3:$AE$3,0)+23,FALSE),0)*10</f>
        <v>0</v>
      </c>
      <c r="Y61" s="220">
        <f>IFERROR(VLOOKUP($A61,'NG Pivot'!$A$37:$P$45,MATCH(Y$2,'NG Pivot'!$O$36:$P$36,0)+14,FALSE),0)+IFERROR(VLOOKUP($A61,'NG Pivot'!$A$4:$AE$29,MATCH(Y$2,'NG Pivot'!$X$3:$AE$3,0)+23,FALSE),0)*10</f>
        <v>0</v>
      </c>
      <c r="Z61" s="220">
        <f>IFERROR(VLOOKUP($A61,'NG Pivot'!$A$37:$P$45,MATCH(Z$2,'NG Pivot'!$O$36:$P$36,0)+14,FALSE),0)+IFERROR(VLOOKUP($A61,'NG Pivot'!$A$4:$AE$29,MATCH(Z$2,'NG Pivot'!$X$3:$AE$3,0)+23,FALSE),0)*10</f>
        <v>0</v>
      </c>
      <c r="AA61" s="220">
        <f>IFERROR(VLOOKUP($A61,'NG Pivot'!$A$37:$P$45,MATCH(AA$2,'NG Pivot'!$O$36:$P$36,0)+14,FALSE),0)+IFERROR(VLOOKUP($A61,'NG Pivot'!$A$4:$AE$29,MATCH(AA$2,'NG Pivot'!$X$3:$AE$3,0)+23,FALSE),0)*10</f>
        <v>0</v>
      </c>
      <c r="AB61" s="220">
        <f>IFERROR(VLOOKUP($A61,'NG Pivot'!$A$37:$P$45,MATCH(AB$2,'NG Pivot'!$O$36:$P$36,0)+14,FALSE),0)+IFERROR(VLOOKUP($A61,'NG Pivot'!$A$4:$AE$29,MATCH(AB$2,'NG Pivot'!$X$3:$AE$3,0)+23,FALSE),0)*10</f>
        <v>0</v>
      </c>
      <c r="AC61" s="220">
        <f>IFERROR(VLOOKUP($A61,'NG Pivot'!$A$37:$P$45,MATCH(AC$2,'NG Pivot'!$O$36:$P$36,0)+14,FALSE),0)+IFERROR(VLOOKUP($A61,'NG Pivot'!$A$4:$AE$29,MATCH(AC$2,'NG Pivot'!$X$3:$AE$3,0)+23,FALSE),0)*10</f>
        <v>25</v>
      </c>
      <c r="AD61" s="220">
        <f>IFERROR(VLOOKUP($A61,'NG Pivot'!$A$37:$P$45,MATCH(AD$2,'NG Pivot'!$O$36:$P$36,0)+14,FALSE),0)+IFERROR(VLOOKUP($A61,'NG Pivot'!$A$4:$AE$29,MATCH(AD$2,'NG Pivot'!$X$3:$AE$3,0)+23,FALSE),0)*10</f>
        <v>0</v>
      </c>
    </row>
    <row r="62" spans="1:30">
      <c r="A62" s="223" t="s">
        <v>1292</v>
      </c>
      <c r="B62" s="220">
        <f>IFERROR(VLOOKUP($A62,'NG Pivot'!$A$37:$P$45,MATCH(B$2,'NG Pivot'!$O$36:$P$36,0)+14,FALSE),0)+IFERROR(VLOOKUP($A62,'NG Pivot'!$A$4:$AE$29,MATCH(B$2,'NG Pivot'!$X$3:$AE$3,0)+23,FALSE),0)*10</f>
        <v>0</v>
      </c>
      <c r="C62" s="220">
        <f>IFERROR(VLOOKUP($A62,'NG Pivot'!$A$37:$P$45,MATCH(C$2,'NG Pivot'!$O$36:$P$36,0)+14,FALSE),0)+IFERROR(VLOOKUP($A62,'NG Pivot'!$A$4:$AE$29,MATCH(C$2,'NG Pivot'!$X$3:$AE$3,0)+23,FALSE),0)*10</f>
        <v>0</v>
      </c>
      <c r="D62" s="220">
        <f>IFERROR(VLOOKUP($A62,'NG Pivot'!$A$37:$P$45,MATCH(D$2,'NG Pivot'!$O$36:$P$36,0)+14,FALSE),0)+IFERROR(VLOOKUP($A62,'NG Pivot'!$A$4:$AE$29,MATCH(D$2,'NG Pivot'!$X$3:$AE$3,0)+23,FALSE),0)*10</f>
        <v>0</v>
      </c>
      <c r="E62" s="220">
        <f>IFERROR(VLOOKUP($A62,'NG Pivot'!$A$37:$P$45,MATCH(E$2,'NG Pivot'!$O$36:$P$36,0)+14,FALSE),0)+IFERROR(VLOOKUP($A62,'NG Pivot'!$A$4:$AE$29,MATCH(E$2,'NG Pivot'!$X$3:$AE$3,0)+23,FALSE),0)*10</f>
        <v>0</v>
      </c>
      <c r="F62" s="220">
        <f>IFERROR(VLOOKUP($A62,'NG Pivot'!$A$37:$P$45,MATCH(F$2,'NG Pivot'!$O$36:$P$36,0)+14,FALSE),0)+IFERROR(VLOOKUP($A62,'NG Pivot'!$A$4:$AE$29,MATCH(F$2,'NG Pivot'!$X$3:$AE$3,0)+23,FALSE),0)*10</f>
        <v>0</v>
      </c>
      <c r="G62" s="220">
        <f>IFERROR(VLOOKUP($A62,'NG Pivot'!$A$37:$P$45,MATCH(G$2,'NG Pivot'!$O$36:$P$36,0)+14,FALSE),0)+IFERROR(VLOOKUP($A62,'NG Pivot'!$A$4:$AE$29,MATCH(G$2,'NG Pivot'!$X$3:$AE$3,0)+23,FALSE),0)*10</f>
        <v>0</v>
      </c>
      <c r="H62" s="220">
        <f>IFERROR(VLOOKUP($A62,'NG Pivot'!$A$37:$P$45,MATCH(H$2,'NG Pivot'!$O$36:$P$36,0)+14,FALSE),0)+IFERROR(VLOOKUP($A62,'NG Pivot'!$A$4:$AE$29,MATCH(H$2,'NG Pivot'!$X$3:$AE$3,0)+23,FALSE),0)*10</f>
        <v>0</v>
      </c>
      <c r="I62" s="220">
        <f>IFERROR(VLOOKUP($A62,'NG Pivot'!$A$37:$P$45,MATCH(I$2,'NG Pivot'!$O$36:$P$36,0)+14,FALSE),0)+IFERROR(VLOOKUP($A62,'NG Pivot'!$A$4:$AE$29,MATCH(I$2,'NG Pivot'!$X$3:$AE$3,0)+23,FALSE),0)*10</f>
        <v>0</v>
      </c>
      <c r="J62" s="220">
        <f>IFERROR(VLOOKUP($A62,'NG Pivot'!$A$37:$P$45,MATCH(J$2,'NG Pivot'!$O$36:$P$36,0)+14,FALSE),0)+IFERROR(VLOOKUP($A62,'NG Pivot'!$A$4:$AE$29,MATCH(J$2,'NG Pivot'!$X$3:$AE$3,0)+23,FALSE),0)*10</f>
        <v>0</v>
      </c>
      <c r="K62" s="220">
        <f>IFERROR(VLOOKUP($A62,'NG Pivot'!$A$37:$P$45,MATCH(K$2,'NG Pivot'!$O$36:$P$36,0)+14,FALSE),0)+IFERROR(VLOOKUP($A62,'NG Pivot'!$A$4:$AE$29,MATCH(K$2,'NG Pivot'!$X$3:$AE$3,0)+23,FALSE),0)*10</f>
        <v>0</v>
      </c>
      <c r="L62" s="220">
        <f>IFERROR(VLOOKUP($A62,'NG Pivot'!$A$37:$P$45,MATCH(L$2,'NG Pivot'!$O$36:$P$36,0)+14,FALSE),0)+IFERROR(VLOOKUP($A62,'NG Pivot'!$A$4:$AE$29,MATCH(L$2,'NG Pivot'!$X$3:$AE$3,0)+23,FALSE),0)*10</f>
        <v>0</v>
      </c>
      <c r="M62" s="220">
        <f>IFERROR(VLOOKUP($A62,'NG Pivot'!$A$37:$P$45,MATCH(M$2,'NG Pivot'!$O$36:$P$36,0)+14,FALSE),0)+IFERROR(VLOOKUP($A62,'NG Pivot'!$A$4:$AE$29,MATCH(M$2,'NG Pivot'!$X$3:$AE$3,0)+23,FALSE),0)*10</f>
        <v>0</v>
      </c>
      <c r="N62" s="220">
        <f>IFERROR(VLOOKUP($A62,'NG Pivot'!$A$37:$P$45,MATCH(N$2,'NG Pivot'!$O$36:$P$36,0)+14,FALSE),0)+IFERROR(VLOOKUP($A62,'NG Pivot'!$A$4:$AE$29,MATCH(N$2,'NG Pivot'!$X$3:$AE$3,0)+23,FALSE),0)*10</f>
        <v>0</v>
      </c>
      <c r="O62" s="220">
        <f>IFERROR(VLOOKUP($A62,'NG Pivot'!$A$37:$P$45,MATCH(O$2,'NG Pivot'!$O$36:$P$36,0)+14,FALSE),0)+IFERROR(VLOOKUP($A62,'NG Pivot'!$A$4:$AE$29,MATCH(O$2,'NG Pivot'!$X$3:$AE$3,0)+23,FALSE),0)*10</f>
        <v>0</v>
      </c>
      <c r="P62" s="220">
        <f>IFERROR(VLOOKUP($A62,'NG Pivot'!$A$37:$P$45,MATCH(P$2,'NG Pivot'!$O$36:$P$36,0)+14,FALSE),0)+IFERROR(VLOOKUP($A62,'NG Pivot'!$A$4:$AE$29,MATCH(P$2,'NG Pivot'!$X$3:$AE$3,0)+23,FALSE),0)*10</f>
        <v>0</v>
      </c>
      <c r="Q62" s="220">
        <f>IFERROR(VLOOKUP($A62,'NG Pivot'!$A$37:$P$45,MATCH(Q$2,'NG Pivot'!$O$36:$P$36,0)+14,FALSE),0)+IFERROR(VLOOKUP($A62,'NG Pivot'!$A$4:$AE$29,MATCH(Q$2,'NG Pivot'!$X$3:$AE$3,0)+23,FALSE),0)*10</f>
        <v>0</v>
      </c>
      <c r="R62" s="220">
        <f>IFERROR(VLOOKUP($A62,'NG Pivot'!$A$37:$P$45,MATCH(R$2,'NG Pivot'!$O$36:$P$36,0)+14,FALSE),0)+IFERROR(VLOOKUP($A62,'NG Pivot'!$A$4:$AE$29,MATCH(R$2,'NG Pivot'!$X$3:$AE$3,0)+23,FALSE),0)*10</f>
        <v>0</v>
      </c>
      <c r="S62" s="220">
        <f>IFERROR(VLOOKUP($A62,'NG Pivot'!$A$37:$P$45,MATCH(S$2,'NG Pivot'!$O$36:$P$36,0)+14,FALSE),0)+IFERROR(VLOOKUP($A62,'NG Pivot'!$A$4:$AE$29,MATCH(S$2,'NG Pivot'!$X$3:$AE$3,0)+23,FALSE),0)*10</f>
        <v>0</v>
      </c>
      <c r="T62" s="220">
        <f>IFERROR(VLOOKUP($A62,'NG Pivot'!$A$37:$P$45,MATCH(T$2,'NG Pivot'!$O$36:$P$36,0)+14,FALSE),0)+IFERROR(VLOOKUP($A62,'NG Pivot'!$A$4:$AE$29,MATCH(T$2,'NG Pivot'!$X$3:$AE$3,0)+23,FALSE),0)*10</f>
        <v>0</v>
      </c>
      <c r="U62" s="220">
        <f>IFERROR(VLOOKUP($A62,'NG Pivot'!$A$37:$P$45,MATCH(U$2,'NG Pivot'!$O$36:$P$36,0)+14,FALSE),0)+IFERROR(VLOOKUP($A62,'NG Pivot'!$A$4:$AE$29,MATCH(U$2,'NG Pivot'!$X$3:$AE$3,0)+23,FALSE),0)*10</f>
        <v>0</v>
      </c>
      <c r="V62" s="220">
        <f>IFERROR(VLOOKUP($A62,'NG Pivot'!$A$37:$P$45,MATCH(V$2,'NG Pivot'!$O$36:$P$36,0)+14,FALSE),0)+IFERROR(VLOOKUP($A62,'NG Pivot'!$A$4:$AE$29,MATCH(V$2,'NG Pivot'!$X$3:$AE$3,0)+23,FALSE),0)*10</f>
        <v>0</v>
      </c>
      <c r="W62" s="220">
        <f>IFERROR(VLOOKUP($A62,'NG Pivot'!$A$37:$P$45,MATCH(W$2,'NG Pivot'!$O$36:$P$36,0)+14,FALSE),0)+IFERROR(VLOOKUP($A62,'NG Pivot'!$A$4:$AE$29,MATCH(W$2,'NG Pivot'!$X$3:$AE$3,0)+23,FALSE),0)*10</f>
        <v>4.9</v>
      </c>
      <c r="X62" s="220">
        <f>IFERROR(VLOOKUP($A62,'NG Pivot'!$A$37:$P$45,MATCH(X$2,'NG Pivot'!$O$36:$P$36,0)+14,FALSE),0)+IFERROR(VLOOKUP($A62,'NG Pivot'!$A$4:$AE$29,MATCH(X$2,'NG Pivot'!$X$3:$AE$3,0)+23,FALSE),0)*10</f>
        <v>0</v>
      </c>
      <c r="Y62" s="220">
        <f>IFERROR(VLOOKUP($A62,'NG Pivot'!$A$37:$P$45,MATCH(Y$2,'NG Pivot'!$O$36:$P$36,0)+14,FALSE),0)+IFERROR(VLOOKUP($A62,'NG Pivot'!$A$4:$AE$29,MATCH(Y$2,'NG Pivot'!$X$3:$AE$3,0)+23,FALSE),0)*10</f>
        <v>2.1</v>
      </c>
      <c r="Z62" s="220">
        <f>IFERROR(VLOOKUP($A62,'NG Pivot'!$A$37:$P$45,MATCH(Z$2,'NG Pivot'!$O$36:$P$36,0)+14,FALSE),0)+IFERROR(VLOOKUP($A62,'NG Pivot'!$A$4:$AE$29,MATCH(Z$2,'NG Pivot'!$X$3:$AE$3,0)+23,FALSE),0)*10</f>
        <v>0</v>
      </c>
      <c r="AA62" s="220">
        <f>IFERROR(VLOOKUP($A62,'NG Pivot'!$A$37:$P$45,MATCH(AA$2,'NG Pivot'!$O$36:$P$36,0)+14,FALSE),0)+IFERROR(VLOOKUP($A62,'NG Pivot'!$A$4:$AE$29,MATCH(AA$2,'NG Pivot'!$X$3:$AE$3,0)+23,FALSE),0)*10</f>
        <v>0</v>
      </c>
      <c r="AB62" s="220">
        <f>IFERROR(VLOOKUP($A62,'NG Pivot'!$A$37:$P$45,MATCH(AB$2,'NG Pivot'!$O$36:$P$36,0)+14,FALSE),0)+IFERROR(VLOOKUP($A62,'NG Pivot'!$A$4:$AE$29,MATCH(AB$2,'NG Pivot'!$X$3:$AE$3,0)+23,FALSE),0)*10</f>
        <v>0</v>
      </c>
      <c r="AC62" s="220">
        <f>IFERROR(VLOOKUP($A62,'NG Pivot'!$A$37:$P$45,MATCH(AC$2,'NG Pivot'!$O$36:$P$36,0)+14,FALSE),0)+IFERROR(VLOOKUP($A62,'NG Pivot'!$A$4:$AE$29,MATCH(AC$2,'NG Pivot'!$X$3:$AE$3,0)+23,FALSE),0)*10</f>
        <v>0</v>
      </c>
      <c r="AD62" s="220">
        <f>IFERROR(VLOOKUP($A62,'NG Pivot'!$A$37:$P$45,MATCH(AD$2,'NG Pivot'!$O$36:$P$36,0)+14,FALSE),0)+IFERROR(VLOOKUP($A62,'NG Pivot'!$A$4:$AE$29,MATCH(AD$2,'NG Pivot'!$X$3:$AE$3,0)+23,FALSE),0)*10</f>
        <v>0</v>
      </c>
    </row>
    <row r="63" spans="1:30">
      <c r="A63" s="223" t="s">
        <v>1293</v>
      </c>
      <c r="B63" s="220">
        <f>IFERROR(VLOOKUP($A63,'NG Pivot'!$A$37:$P$45,MATCH(B$2,'NG Pivot'!$O$36:$P$36,0)+14,FALSE),0)+IFERROR(VLOOKUP($A63,'NG Pivot'!$A$4:$AE$29,MATCH(B$2,'NG Pivot'!$X$3:$AE$3,0)+23,FALSE),0)*10</f>
        <v>0</v>
      </c>
      <c r="C63" s="220">
        <f>IFERROR(VLOOKUP($A63,'NG Pivot'!$A$37:$P$45,MATCH(C$2,'NG Pivot'!$O$36:$P$36,0)+14,FALSE),0)+IFERROR(VLOOKUP($A63,'NG Pivot'!$A$4:$AE$29,MATCH(C$2,'NG Pivot'!$X$3:$AE$3,0)+23,FALSE),0)*10</f>
        <v>0</v>
      </c>
      <c r="D63" s="220">
        <f>IFERROR(VLOOKUP($A63,'NG Pivot'!$A$37:$P$45,MATCH(D$2,'NG Pivot'!$O$36:$P$36,0)+14,FALSE),0)+IFERROR(VLOOKUP($A63,'NG Pivot'!$A$4:$AE$29,MATCH(D$2,'NG Pivot'!$X$3:$AE$3,0)+23,FALSE),0)*10</f>
        <v>0</v>
      </c>
      <c r="E63" s="220">
        <f>IFERROR(VLOOKUP($A63,'NG Pivot'!$A$37:$P$45,MATCH(E$2,'NG Pivot'!$O$36:$P$36,0)+14,FALSE),0)+IFERROR(VLOOKUP($A63,'NG Pivot'!$A$4:$AE$29,MATCH(E$2,'NG Pivot'!$X$3:$AE$3,0)+23,FALSE),0)*10</f>
        <v>0</v>
      </c>
      <c r="F63" s="220">
        <f>IFERROR(VLOOKUP($A63,'NG Pivot'!$A$37:$P$45,MATCH(F$2,'NG Pivot'!$O$36:$P$36,0)+14,FALSE),0)+IFERROR(VLOOKUP($A63,'NG Pivot'!$A$4:$AE$29,MATCH(F$2,'NG Pivot'!$X$3:$AE$3,0)+23,FALSE),0)*10</f>
        <v>0</v>
      </c>
      <c r="G63" s="220">
        <f>IFERROR(VLOOKUP($A63,'NG Pivot'!$A$37:$P$45,MATCH(G$2,'NG Pivot'!$O$36:$P$36,0)+14,FALSE),0)+IFERROR(VLOOKUP($A63,'NG Pivot'!$A$4:$AE$29,MATCH(G$2,'NG Pivot'!$X$3:$AE$3,0)+23,FALSE),0)*10</f>
        <v>0</v>
      </c>
      <c r="H63" s="220">
        <f>IFERROR(VLOOKUP($A63,'NG Pivot'!$A$37:$P$45,MATCH(H$2,'NG Pivot'!$O$36:$P$36,0)+14,FALSE),0)+IFERROR(VLOOKUP($A63,'NG Pivot'!$A$4:$AE$29,MATCH(H$2,'NG Pivot'!$X$3:$AE$3,0)+23,FALSE),0)*10</f>
        <v>0</v>
      </c>
      <c r="I63" s="220">
        <f>IFERROR(VLOOKUP($A63,'NG Pivot'!$A$37:$P$45,MATCH(I$2,'NG Pivot'!$O$36:$P$36,0)+14,FALSE),0)+IFERROR(VLOOKUP($A63,'NG Pivot'!$A$4:$AE$29,MATCH(I$2,'NG Pivot'!$X$3:$AE$3,0)+23,FALSE),0)*10</f>
        <v>0</v>
      </c>
      <c r="J63" s="220">
        <f>IFERROR(VLOOKUP($A63,'NG Pivot'!$A$37:$P$45,MATCH(J$2,'NG Pivot'!$O$36:$P$36,0)+14,FALSE),0)+IFERROR(VLOOKUP($A63,'NG Pivot'!$A$4:$AE$29,MATCH(J$2,'NG Pivot'!$X$3:$AE$3,0)+23,FALSE),0)*10</f>
        <v>0</v>
      </c>
      <c r="K63" s="220">
        <f>IFERROR(VLOOKUP($A63,'NG Pivot'!$A$37:$P$45,MATCH(K$2,'NG Pivot'!$O$36:$P$36,0)+14,FALSE),0)+IFERROR(VLOOKUP($A63,'NG Pivot'!$A$4:$AE$29,MATCH(K$2,'NG Pivot'!$X$3:$AE$3,0)+23,FALSE),0)*10</f>
        <v>0</v>
      </c>
      <c r="L63" s="220">
        <f>IFERROR(VLOOKUP($A63,'NG Pivot'!$A$37:$P$45,MATCH(L$2,'NG Pivot'!$O$36:$P$36,0)+14,FALSE),0)+IFERROR(VLOOKUP($A63,'NG Pivot'!$A$4:$AE$29,MATCH(L$2,'NG Pivot'!$X$3:$AE$3,0)+23,FALSE),0)*10</f>
        <v>0</v>
      </c>
      <c r="M63" s="220">
        <f>IFERROR(VLOOKUP($A63,'NG Pivot'!$A$37:$P$45,MATCH(M$2,'NG Pivot'!$O$36:$P$36,0)+14,FALSE),0)+IFERROR(VLOOKUP($A63,'NG Pivot'!$A$4:$AE$29,MATCH(M$2,'NG Pivot'!$X$3:$AE$3,0)+23,FALSE),0)*10</f>
        <v>0</v>
      </c>
      <c r="N63" s="220">
        <f>IFERROR(VLOOKUP($A63,'NG Pivot'!$A$37:$P$45,MATCH(N$2,'NG Pivot'!$O$36:$P$36,0)+14,FALSE),0)+IFERROR(VLOOKUP($A63,'NG Pivot'!$A$4:$AE$29,MATCH(N$2,'NG Pivot'!$X$3:$AE$3,0)+23,FALSE),0)*10</f>
        <v>0</v>
      </c>
      <c r="O63" s="220">
        <f>IFERROR(VLOOKUP($A63,'NG Pivot'!$A$37:$P$45,MATCH(O$2,'NG Pivot'!$O$36:$P$36,0)+14,FALSE),0)+IFERROR(VLOOKUP($A63,'NG Pivot'!$A$4:$AE$29,MATCH(O$2,'NG Pivot'!$X$3:$AE$3,0)+23,FALSE),0)*10</f>
        <v>0</v>
      </c>
      <c r="P63" s="220">
        <f>IFERROR(VLOOKUP($A63,'NG Pivot'!$A$37:$P$45,MATCH(P$2,'NG Pivot'!$O$36:$P$36,0)+14,FALSE),0)+IFERROR(VLOOKUP($A63,'NG Pivot'!$A$4:$AE$29,MATCH(P$2,'NG Pivot'!$X$3:$AE$3,0)+23,FALSE),0)*10</f>
        <v>0</v>
      </c>
      <c r="Q63" s="220">
        <f>IFERROR(VLOOKUP($A63,'NG Pivot'!$A$37:$P$45,MATCH(Q$2,'NG Pivot'!$O$36:$P$36,0)+14,FALSE),0)+IFERROR(VLOOKUP($A63,'NG Pivot'!$A$4:$AE$29,MATCH(Q$2,'NG Pivot'!$X$3:$AE$3,0)+23,FALSE),0)*10</f>
        <v>0</v>
      </c>
      <c r="R63" s="220">
        <f>IFERROR(VLOOKUP($A63,'NG Pivot'!$A$37:$P$45,MATCH(R$2,'NG Pivot'!$O$36:$P$36,0)+14,FALSE),0)+IFERROR(VLOOKUP($A63,'NG Pivot'!$A$4:$AE$29,MATCH(R$2,'NG Pivot'!$X$3:$AE$3,0)+23,FALSE),0)*10</f>
        <v>0</v>
      </c>
      <c r="S63" s="220">
        <f>IFERROR(VLOOKUP($A63,'NG Pivot'!$A$37:$P$45,MATCH(S$2,'NG Pivot'!$O$36:$P$36,0)+14,FALSE),0)+IFERROR(VLOOKUP($A63,'NG Pivot'!$A$4:$AE$29,MATCH(S$2,'NG Pivot'!$X$3:$AE$3,0)+23,FALSE),0)*10</f>
        <v>0</v>
      </c>
      <c r="T63" s="220">
        <f>IFERROR(VLOOKUP($A63,'NG Pivot'!$A$37:$P$45,MATCH(T$2,'NG Pivot'!$O$36:$P$36,0)+14,FALSE),0)+IFERROR(VLOOKUP($A63,'NG Pivot'!$A$4:$AE$29,MATCH(T$2,'NG Pivot'!$X$3:$AE$3,0)+23,FALSE),0)*10</f>
        <v>0</v>
      </c>
      <c r="U63" s="220">
        <f>IFERROR(VLOOKUP($A63,'NG Pivot'!$A$37:$P$45,MATCH(U$2,'NG Pivot'!$O$36:$P$36,0)+14,FALSE),0)+IFERROR(VLOOKUP($A63,'NG Pivot'!$A$4:$AE$29,MATCH(U$2,'NG Pivot'!$X$3:$AE$3,0)+23,FALSE),0)*10</f>
        <v>0</v>
      </c>
      <c r="V63" s="220">
        <f>IFERROR(VLOOKUP($A63,'NG Pivot'!$A$37:$P$45,MATCH(V$2,'NG Pivot'!$O$36:$P$36,0)+14,FALSE),0)+IFERROR(VLOOKUP($A63,'NG Pivot'!$A$4:$AE$29,MATCH(V$2,'NG Pivot'!$X$3:$AE$3,0)+23,FALSE),0)*10</f>
        <v>0</v>
      </c>
      <c r="W63" s="220">
        <f>IFERROR(VLOOKUP($A63,'NG Pivot'!$A$37:$P$45,MATCH(W$2,'NG Pivot'!$O$36:$P$36,0)+14,FALSE),0)+IFERROR(VLOOKUP($A63,'NG Pivot'!$A$4:$AE$29,MATCH(W$2,'NG Pivot'!$X$3:$AE$3,0)+23,FALSE),0)*10</f>
        <v>0</v>
      </c>
      <c r="X63" s="220">
        <f>IFERROR(VLOOKUP($A63,'NG Pivot'!$A$37:$P$45,MATCH(X$2,'NG Pivot'!$O$36:$P$36,0)+14,FALSE),0)+IFERROR(VLOOKUP($A63,'NG Pivot'!$A$4:$AE$29,MATCH(X$2,'NG Pivot'!$X$3:$AE$3,0)+23,FALSE),0)*10</f>
        <v>0</v>
      </c>
      <c r="Y63" s="220">
        <f>IFERROR(VLOOKUP($A63,'NG Pivot'!$A$37:$P$45,MATCH(Y$2,'NG Pivot'!$O$36:$P$36,0)+14,FALSE),0)+IFERROR(VLOOKUP($A63,'NG Pivot'!$A$4:$AE$29,MATCH(Y$2,'NG Pivot'!$X$3:$AE$3,0)+23,FALSE),0)*10</f>
        <v>0</v>
      </c>
      <c r="Z63" s="220">
        <f>IFERROR(VLOOKUP($A63,'NG Pivot'!$A$37:$P$45,MATCH(Z$2,'NG Pivot'!$O$36:$P$36,0)+14,FALSE),0)+IFERROR(VLOOKUP($A63,'NG Pivot'!$A$4:$AE$29,MATCH(Z$2,'NG Pivot'!$X$3:$AE$3,0)+23,FALSE),0)*10</f>
        <v>0</v>
      </c>
      <c r="AA63" s="220">
        <f>IFERROR(VLOOKUP($A63,'NG Pivot'!$A$37:$P$45,MATCH(AA$2,'NG Pivot'!$O$36:$P$36,0)+14,FALSE),0)+IFERROR(VLOOKUP($A63,'NG Pivot'!$A$4:$AE$29,MATCH(AA$2,'NG Pivot'!$X$3:$AE$3,0)+23,FALSE),0)*10</f>
        <v>0</v>
      </c>
      <c r="AB63" s="220">
        <f>IFERROR(VLOOKUP($A63,'NG Pivot'!$A$37:$P$45,MATCH(AB$2,'NG Pivot'!$O$36:$P$36,0)+14,FALSE),0)+IFERROR(VLOOKUP($A63,'NG Pivot'!$A$4:$AE$29,MATCH(AB$2,'NG Pivot'!$X$3:$AE$3,0)+23,FALSE),0)*10</f>
        <v>0</v>
      </c>
      <c r="AC63" s="220">
        <f>IFERROR(VLOOKUP($A63,'NG Pivot'!$A$37:$P$45,MATCH(AC$2,'NG Pivot'!$O$36:$P$36,0)+14,FALSE),0)+IFERROR(VLOOKUP($A63,'NG Pivot'!$A$4:$AE$29,MATCH(AC$2,'NG Pivot'!$X$3:$AE$3,0)+23,FALSE),0)*10</f>
        <v>0</v>
      </c>
      <c r="AD63" s="220">
        <f>IFERROR(VLOOKUP($A63,'NG Pivot'!$A$37:$P$45,MATCH(AD$2,'NG Pivot'!$O$36:$P$36,0)+14,FALSE),0)+IFERROR(VLOOKUP($A63,'NG Pivot'!$A$4:$AE$29,MATCH(AD$2,'NG Pivot'!$X$3:$AE$3,0)+23,FALSE),0)*10</f>
        <v>0</v>
      </c>
    </row>
    <row r="64" spans="1:30">
      <c r="A64" s="223" t="s">
        <v>1294</v>
      </c>
      <c r="B64" s="220">
        <f>IFERROR(VLOOKUP($A64,'NG Pivot'!$A$37:$P$45,MATCH(B$2,'NG Pivot'!$O$36:$P$36,0)+14,FALSE),0)+IFERROR(VLOOKUP($A64,'NG Pivot'!$A$4:$AE$29,MATCH(B$2,'NG Pivot'!$X$3:$AE$3,0)+23,FALSE),0)*10</f>
        <v>0</v>
      </c>
      <c r="C64" s="220">
        <f>IFERROR(VLOOKUP($A64,'NG Pivot'!$A$37:$P$45,MATCH(C$2,'NG Pivot'!$O$36:$P$36,0)+14,FALSE),0)+IFERROR(VLOOKUP($A64,'NG Pivot'!$A$4:$AE$29,MATCH(C$2,'NG Pivot'!$X$3:$AE$3,0)+23,FALSE),0)*10</f>
        <v>0</v>
      </c>
      <c r="D64" s="220">
        <f>IFERROR(VLOOKUP($A64,'NG Pivot'!$A$37:$P$45,MATCH(D$2,'NG Pivot'!$O$36:$P$36,0)+14,FALSE),0)+IFERROR(VLOOKUP($A64,'NG Pivot'!$A$4:$AE$29,MATCH(D$2,'NG Pivot'!$X$3:$AE$3,0)+23,FALSE),0)*10</f>
        <v>0</v>
      </c>
      <c r="E64" s="220">
        <f>IFERROR(VLOOKUP($A64,'NG Pivot'!$A$37:$P$45,MATCH(E$2,'NG Pivot'!$O$36:$P$36,0)+14,FALSE),0)+IFERROR(VLOOKUP($A64,'NG Pivot'!$A$4:$AE$29,MATCH(E$2,'NG Pivot'!$X$3:$AE$3,0)+23,FALSE),0)*10</f>
        <v>0</v>
      </c>
      <c r="F64" s="220">
        <f>IFERROR(VLOOKUP($A64,'NG Pivot'!$A$37:$P$45,MATCH(F$2,'NG Pivot'!$O$36:$P$36,0)+14,FALSE),0)+IFERROR(VLOOKUP($A64,'NG Pivot'!$A$4:$AE$29,MATCH(F$2,'NG Pivot'!$X$3:$AE$3,0)+23,FALSE),0)*10</f>
        <v>0</v>
      </c>
      <c r="G64" s="220">
        <f>IFERROR(VLOOKUP($A64,'NG Pivot'!$A$37:$P$45,MATCH(G$2,'NG Pivot'!$O$36:$P$36,0)+14,FALSE),0)+IFERROR(VLOOKUP($A64,'NG Pivot'!$A$4:$AE$29,MATCH(G$2,'NG Pivot'!$X$3:$AE$3,0)+23,FALSE),0)*10</f>
        <v>0</v>
      </c>
      <c r="H64" s="220">
        <f>IFERROR(VLOOKUP($A64,'NG Pivot'!$A$37:$P$45,MATCH(H$2,'NG Pivot'!$O$36:$P$36,0)+14,FALSE),0)+IFERROR(VLOOKUP($A64,'NG Pivot'!$A$4:$AE$29,MATCH(H$2,'NG Pivot'!$X$3:$AE$3,0)+23,FALSE),0)*10</f>
        <v>0</v>
      </c>
      <c r="I64" s="220">
        <f>IFERROR(VLOOKUP($A64,'NG Pivot'!$A$37:$P$45,MATCH(I$2,'NG Pivot'!$O$36:$P$36,0)+14,FALSE),0)+IFERROR(VLOOKUP($A64,'NG Pivot'!$A$4:$AE$29,MATCH(I$2,'NG Pivot'!$X$3:$AE$3,0)+23,FALSE),0)*10</f>
        <v>0</v>
      </c>
      <c r="J64" s="220">
        <f>IFERROR(VLOOKUP($A64,'NG Pivot'!$A$37:$P$45,MATCH(J$2,'NG Pivot'!$O$36:$P$36,0)+14,FALSE),0)+IFERROR(VLOOKUP($A64,'NG Pivot'!$A$4:$AE$29,MATCH(J$2,'NG Pivot'!$X$3:$AE$3,0)+23,FALSE),0)*10</f>
        <v>0</v>
      </c>
      <c r="K64" s="220">
        <f>IFERROR(VLOOKUP($A64,'NG Pivot'!$A$37:$P$45,MATCH(K$2,'NG Pivot'!$O$36:$P$36,0)+14,FALSE),0)+IFERROR(VLOOKUP($A64,'NG Pivot'!$A$4:$AE$29,MATCH(K$2,'NG Pivot'!$X$3:$AE$3,0)+23,FALSE),0)*10</f>
        <v>0</v>
      </c>
      <c r="L64" s="220">
        <f>IFERROR(VLOOKUP($A64,'NG Pivot'!$A$37:$P$45,MATCH(L$2,'NG Pivot'!$O$36:$P$36,0)+14,FALSE),0)+IFERROR(VLOOKUP($A64,'NG Pivot'!$A$4:$AE$29,MATCH(L$2,'NG Pivot'!$X$3:$AE$3,0)+23,FALSE),0)*10</f>
        <v>0</v>
      </c>
      <c r="M64" s="220">
        <f>IFERROR(VLOOKUP($A64,'NG Pivot'!$A$37:$P$45,MATCH(M$2,'NG Pivot'!$O$36:$P$36,0)+14,FALSE),0)+IFERROR(VLOOKUP($A64,'NG Pivot'!$A$4:$AE$29,MATCH(M$2,'NG Pivot'!$X$3:$AE$3,0)+23,FALSE),0)*10</f>
        <v>0</v>
      </c>
      <c r="N64" s="220">
        <f>IFERROR(VLOOKUP($A64,'NG Pivot'!$A$37:$P$45,MATCH(N$2,'NG Pivot'!$O$36:$P$36,0)+14,FALSE),0)+IFERROR(VLOOKUP($A64,'NG Pivot'!$A$4:$AE$29,MATCH(N$2,'NG Pivot'!$X$3:$AE$3,0)+23,FALSE),0)*10</f>
        <v>0</v>
      </c>
      <c r="O64" s="220">
        <f>IFERROR(VLOOKUP($A64,'NG Pivot'!$A$37:$P$45,MATCH(O$2,'NG Pivot'!$O$36:$P$36,0)+14,FALSE),0)+IFERROR(VLOOKUP($A64,'NG Pivot'!$A$4:$AE$29,MATCH(O$2,'NG Pivot'!$X$3:$AE$3,0)+23,FALSE),0)*10</f>
        <v>0</v>
      </c>
      <c r="P64" s="220">
        <f>IFERROR(VLOOKUP($A64,'NG Pivot'!$A$37:$P$45,MATCH(P$2,'NG Pivot'!$O$36:$P$36,0)+14,FALSE),0)+IFERROR(VLOOKUP($A64,'NG Pivot'!$A$4:$AE$29,MATCH(P$2,'NG Pivot'!$X$3:$AE$3,0)+23,FALSE),0)*10</f>
        <v>0</v>
      </c>
      <c r="Q64" s="220">
        <f>IFERROR(VLOOKUP($A64,'NG Pivot'!$A$37:$P$45,MATCH(Q$2,'NG Pivot'!$O$36:$P$36,0)+14,FALSE),0)+IFERROR(VLOOKUP($A64,'NG Pivot'!$A$4:$AE$29,MATCH(Q$2,'NG Pivot'!$X$3:$AE$3,0)+23,FALSE),0)*10</f>
        <v>0</v>
      </c>
      <c r="R64" s="220">
        <f>IFERROR(VLOOKUP($A64,'NG Pivot'!$A$37:$P$45,MATCH(R$2,'NG Pivot'!$O$36:$P$36,0)+14,FALSE),0)+IFERROR(VLOOKUP($A64,'NG Pivot'!$A$4:$AE$29,MATCH(R$2,'NG Pivot'!$X$3:$AE$3,0)+23,FALSE),0)*10</f>
        <v>0</v>
      </c>
      <c r="S64" s="220">
        <f>IFERROR(VLOOKUP($A64,'NG Pivot'!$A$37:$P$45,MATCH(S$2,'NG Pivot'!$O$36:$P$36,0)+14,FALSE),0)+IFERROR(VLOOKUP($A64,'NG Pivot'!$A$4:$AE$29,MATCH(S$2,'NG Pivot'!$X$3:$AE$3,0)+23,FALSE),0)*10</f>
        <v>0</v>
      </c>
      <c r="T64" s="220">
        <f>IFERROR(VLOOKUP($A64,'NG Pivot'!$A$37:$P$45,MATCH(T$2,'NG Pivot'!$O$36:$P$36,0)+14,FALSE),0)+IFERROR(VLOOKUP($A64,'NG Pivot'!$A$4:$AE$29,MATCH(T$2,'NG Pivot'!$X$3:$AE$3,0)+23,FALSE),0)*10</f>
        <v>0</v>
      </c>
      <c r="U64" s="220">
        <f>IFERROR(VLOOKUP($A64,'NG Pivot'!$A$37:$P$45,MATCH(U$2,'NG Pivot'!$O$36:$P$36,0)+14,FALSE),0)+IFERROR(VLOOKUP($A64,'NG Pivot'!$A$4:$AE$29,MATCH(U$2,'NG Pivot'!$X$3:$AE$3,0)+23,FALSE),0)*10</f>
        <v>0</v>
      </c>
      <c r="V64" s="220">
        <f>IFERROR(VLOOKUP($A64,'NG Pivot'!$A$37:$P$45,MATCH(V$2,'NG Pivot'!$O$36:$P$36,0)+14,FALSE),0)+IFERROR(VLOOKUP($A64,'NG Pivot'!$A$4:$AE$29,MATCH(V$2,'NG Pivot'!$X$3:$AE$3,0)+23,FALSE),0)*10</f>
        <v>0</v>
      </c>
      <c r="W64" s="220">
        <f>IFERROR(VLOOKUP($A64,'NG Pivot'!$A$37:$P$45,MATCH(W$2,'NG Pivot'!$O$36:$P$36,0)+14,FALSE),0)+IFERROR(VLOOKUP($A64,'NG Pivot'!$A$4:$AE$29,MATCH(W$2,'NG Pivot'!$X$3:$AE$3,0)+23,FALSE),0)*10</f>
        <v>0</v>
      </c>
      <c r="X64" s="220">
        <f>IFERROR(VLOOKUP($A64,'NG Pivot'!$A$37:$P$45,MATCH(X$2,'NG Pivot'!$O$36:$P$36,0)+14,FALSE),0)+IFERROR(VLOOKUP($A64,'NG Pivot'!$A$4:$AE$29,MATCH(X$2,'NG Pivot'!$X$3:$AE$3,0)+23,FALSE),0)*10</f>
        <v>0</v>
      </c>
      <c r="Y64" s="220">
        <f>IFERROR(VLOOKUP($A64,'NG Pivot'!$A$37:$P$45,MATCH(Y$2,'NG Pivot'!$O$36:$P$36,0)+14,FALSE),0)+IFERROR(VLOOKUP($A64,'NG Pivot'!$A$4:$AE$29,MATCH(Y$2,'NG Pivot'!$X$3:$AE$3,0)+23,FALSE),0)*10</f>
        <v>0</v>
      </c>
      <c r="Z64" s="220">
        <f>IFERROR(VLOOKUP($A64,'NG Pivot'!$A$37:$P$45,MATCH(Z$2,'NG Pivot'!$O$36:$P$36,0)+14,FALSE),0)+IFERROR(VLOOKUP($A64,'NG Pivot'!$A$4:$AE$29,MATCH(Z$2,'NG Pivot'!$X$3:$AE$3,0)+23,FALSE),0)*10</f>
        <v>0</v>
      </c>
      <c r="AA64" s="220">
        <f>IFERROR(VLOOKUP($A64,'NG Pivot'!$A$37:$P$45,MATCH(AA$2,'NG Pivot'!$O$36:$P$36,0)+14,FALSE),0)+IFERROR(VLOOKUP($A64,'NG Pivot'!$A$4:$AE$29,MATCH(AA$2,'NG Pivot'!$X$3:$AE$3,0)+23,FALSE),0)*10</f>
        <v>0</v>
      </c>
      <c r="AB64" s="220">
        <f>IFERROR(VLOOKUP($A64,'NG Pivot'!$A$37:$P$45,MATCH(AB$2,'NG Pivot'!$O$36:$P$36,0)+14,FALSE),0)+IFERROR(VLOOKUP($A64,'NG Pivot'!$A$4:$AE$29,MATCH(AB$2,'NG Pivot'!$X$3:$AE$3,0)+23,FALSE),0)*10</f>
        <v>0</v>
      </c>
      <c r="AC64" s="220">
        <f>IFERROR(VLOOKUP($A64,'NG Pivot'!$A$37:$P$45,MATCH(AC$2,'NG Pivot'!$O$36:$P$36,0)+14,FALSE),0)+IFERROR(VLOOKUP($A64,'NG Pivot'!$A$4:$AE$29,MATCH(AC$2,'NG Pivot'!$X$3:$AE$3,0)+23,FALSE),0)*10</f>
        <v>0</v>
      </c>
      <c r="AD64" s="220">
        <f>IFERROR(VLOOKUP($A64,'NG Pivot'!$A$37:$P$45,MATCH(AD$2,'NG Pivot'!$O$36:$P$36,0)+14,FALSE),0)+IFERROR(VLOOKUP($A64,'NG Pivot'!$A$4:$AE$29,MATCH(AD$2,'NG Pivot'!$X$3:$AE$3,0)+23,FALSE),0)*10</f>
        <v>0</v>
      </c>
    </row>
    <row r="65" spans="1:30">
      <c r="A65" s="223" t="s">
        <v>1295</v>
      </c>
      <c r="B65" s="220">
        <f>IFERROR(VLOOKUP($A65,'NG Pivot'!$A$37:$P$45,MATCH(B$2,'NG Pivot'!$O$36:$P$36,0)+14,FALSE),0)+IFERROR(VLOOKUP($A65,'NG Pivot'!$A$4:$AE$29,MATCH(B$2,'NG Pivot'!$X$3:$AE$3,0)+23,FALSE),0)*10</f>
        <v>0</v>
      </c>
      <c r="C65" s="220">
        <f>IFERROR(VLOOKUP($A65,'NG Pivot'!$A$37:$P$45,MATCH(C$2,'NG Pivot'!$O$36:$P$36,0)+14,FALSE),0)+IFERROR(VLOOKUP($A65,'NG Pivot'!$A$4:$AE$29,MATCH(C$2,'NG Pivot'!$X$3:$AE$3,0)+23,FALSE),0)*10</f>
        <v>0</v>
      </c>
      <c r="D65" s="220">
        <f>IFERROR(VLOOKUP($A65,'NG Pivot'!$A$37:$P$45,MATCH(D$2,'NG Pivot'!$O$36:$P$36,0)+14,FALSE),0)+IFERROR(VLOOKUP($A65,'NG Pivot'!$A$4:$AE$29,MATCH(D$2,'NG Pivot'!$X$3:$AE$3,0)+23,FALSE),0)*10</f>
        <v>0</v>
      </c>
      <c r="E65" s="220">
        <f>IFERROR(VLOOKUP($A65,'NG Pivot'!$A$37:$P$45,MATCH(E$2,'NG Pivot'!$O$36:$P$36,0)+14,FALSE),0)+IFERROR(VLOOKUP($A65,'NG Pivot'!$A$4:$AE$29,MATCH(E$2,'NG Pivot'!$X$3:$AE$3,0)+23,FALSE),0)*10</f>
        <v>0</v>
      </c>
      <c r="F65" s="220">
        <f>IFERROR(VLOOKUP($A65,'NG Pivot'!$A$37:$P$45,MATCH(F$2,'NG Pivot'!$O$36:$P$36,0)+14,FALSE),0)+IFERROR(VLOOKUP($A65,'NG Pivot'!$A$4:$AE$29,MATCH(F$2,'NG Pivot'!$X$3:$AE$3,0)+23,FALSE),0)*10</f>
        <v>0</v>
      </c>
      <c r="G65" s="220">
        <f>IFERROR(VLOOKUP($A65,'NG Pivot'!$A$37:$P$45,MATCH(G$2,'NG Pivot'!$O$36:$P$36,0)+14,FALSE),0)+IFERROR(VLOOKUP($A65,'NG Pivot'!$A$4:$AE$29,MATCH(G$2,'NG Pivot'!$X$3:$AE$3,0)+23,FALSE),0)*10</f>
        <v>0</v>
      </c>
      <c r="H65" s="220">
        <f>IFERROR(VLOOKUP($A65,'NG Pivot'!$A$37:$P$45,MATCH(H$2,'NG Pivot'!$O$36:$P$36,0)+14,FALSE),0)+IFERROR(VLOOKUP($A65,'NG Pivot'!$A$4:$AE$29,MATCH(H$2,'NG Pivot'!$X$3:$AE$3,0)+23,FALSE),0)*10</f>
        <v>0</v>
      </c>
      <c r="I65" s="220">
        <f>IFERROR(VLOOKUP($A65,'NG Pivot'!$A$37:$P$45,MATCH(I$2,'NG Pivot'!$O$36:$P$36,0)+14,FALSE),0)+IFERROR(VLOOKUP($A65,'NG Pivot'!$A$4:$AE$29,MATCH(I$2,'NG Pivot'!$X$3:$AE$3,0)+23,FALSE),0)*10</f>
        <v>0</v>
      </c>
      <c r="J65" s="220">
        <f>IFERROR(VLOOKUP($A65,'NG Pivot'!$A$37:$P$45,MATCH(J$2,'NG Pivot'!$O$36:$P$36,0)+14,FALSE),0)+IFERROR(VLOOKUP($A65,'NG Pivot'!$A$4:$AE$29,MATCH(J$2,'NG Pivot'!$X$3:$AE$3,0)+23,FALSE),0)*10</f>
        <v>0</v>
      </c>
      <c r="K65" s="220">
        <f>IFERROR(VLOOKUP($A65,'NG Pivot'!$A$37:$P$45,MATCH(K$2,'NG Pivot'!$O$36:$P$36,0)+14,FALSE),0)+IFERROR(VLOOKUP($A65,'NG Pivot'!$A$4:$AE$29,MATCH(K$2,'NG Pivot'!$X$3:$AE$3,0)+23,FALSE),0)*10</f>
        <v>0</v>
      </c>
      <c r="L65" s="220">
        <f>IFERROR(VLOOKUP($A65,'NG Pivot'!$A$37:$P$45,MATCH(L$2,'NG Pivot'!$O$36:$P$36,0)+14,FALSE),0)+IFERROR(VLOOKUP($A65,'NG Pivot'!$A$4:$AE$29,MATCH(L$2,'NG Pivot'!$X$3:$AE$3,0)+23,FALSE),0)*10</f>
        <v>0</v>
      </c>
      <c r="M65" s="220">
        <f>IFERROR(VLOOKUP($A65,'NG Pivot'!$A$37:$P$45,MATCH(M$2,'NG Pivot'!$O$36:$P$36,0)+14,FALSE),0)+IFERROR(VLOOKUP($A65,'NG Pivot'!$A$4:$AE$29,MATCH(M$2,'NG Pivot'!$X$3:$AE$3,0)+23,FALSE),0)*10</f>
        <v>0</v>
      </c>
      <c r="N65" s="220">
        <f>IFERROR(VLOOKUP($A65,'NG Pivot'!$A$37:$P$45,MATCH(N$2,'NG Pivot'!$O$36:$P$36,0)+14,FALSE),0)+IFERROR(VLOOKUP($A65,'NG Pivot'!$A$4:$AE$29,MATCH(N$2,'NG Pivot'!$X$3:$AE$3,0)+23,FALSE),0)*10</f>
        <v>0</v>
      </c>
      <c r="O65" s="220">
        <f>IFERROR(VLOOKUP($A65,'NG Pivot'!$A$37:$P$45,MATCH(O$2,'NG Pivot'!$O$36:$P$36,0)+14,FALSE),0)+IFERROR(VLOOKUP($A65,'NG Pivot'!$A$4:$AE$29,MATCH(O$2,'NG Pivot'!$X$3:$AE$3,0)+23,FALSE),0)*10</f>
        <v>0</v>
      </c>
      <c r="P65" s="220">
        <f>IFERROR(VLOOKUP($A65,'NG Pivot'!$A$37:$P$45,MATCH(P$2,'NG Pivot'!$O$36:$P$36,0)+14,FALSE),0)+IFERROR(VLOOKUP($A65,'NG Pivot'!$A$4:$AE$29,MATCH(P$2,'NG Pivot'!$X$3:$AE$3,0)+23,FALSE),0)*10</f>
        <v>0</v>
      </c>
      <c r="Q65" s="220">
        <f>IFERROR(VLOOKUP($A65,'NG Pivot'!$A$37:$P$45,MATCH(Q$2,'NG Pivot'!$O$36:$P$36,0)+14,FALSE),0)+IFERROR(VLOOKUP($A65,'NG Pivot'!$A$4:$AE$29,MATCH(Q$2,'NG Pivot'!$X$3:$AE$3,0)+23,FALSE),0)*10</f>
        <v>0</v>
      </c>
      <c r="R65" s="220">
        <f>IFERROR(VLOOKUP($A65,'NG Pivot'!$A$37:$P$45,MATCH(R$2,'NG Pivot'!$O$36:$P$36,0)+14,FALSE),0)+IFERROR(VLOOKUP($A65,'NG Pivot'!$A$4:$AE$29,MATCH(R$2,'NG Pivot'!$X$3:$AE$3,0)+23,FALSE),0)*10</f>
        <v>0</v>
      </c>
      <c r="S65" s="220">
        <f>IFERROR(VLOOKUP($A65,'NG Pivot'!$A$37:$P$45,MATCH(S$2,'NG Pivot'!$O$36:$P$36,0)+14,FALSE),0)+IFERROR(VLOOKUP($A65,'NG Pivot'!$A$4:$AE$29,MATCH(S$2,'NG Pivot'!$X$3:$AE$3,0)+23,FALSE),0)*10</f>
        <v>0</v>
      </c>
      <c r="T65" s="220">
        <f>IFERROR(VLOOKUP($A65,'NG Pivot'!$A$37:$P$45,MATCH(T$2,'NG Pivot'!$O$36:$P$36,0)+14,FALSE),0)+IFERROR(VLOOKUP($A65,'NG Pivot'!$A$4:$AE$29,MATCH(T$2,'NG Pivot'!$X$3:$AE$3,0)+23,FALSE),0)*10</f>
        <v>0</v>
      </c>
      <c r="U65" s="220">
        <f>IFERROR(VLOOKUP($A65,'NG Pivot'!$A$37:$P$45,MATCH(U$2,'NG Pivot'!$O$36:$P$36,0)+14,FALSE),0)+IFERROR(VLOOKUP($A65,'NG Pivot'!$A$4:$AE$29,MATCH(U$2,'NG Pivot'!$X$3:$AE$3,0)+23,FALSE),0)*10</f>
        <v>0</v>
      </c>
      <c r="V65" s="220">
        <f>IFERROR(VLOOKUP($A65,'NG Pivot'!$A$37:$P$45,MATCH(V$2,'NG Pivot'!$O$36:$P$36,0)+14,FALSE),0)+IFERROR(VLOOKUP($A65,'NG Pivot'!$A$4:$AE$29,MATCH(V$2,'NG Pivot'!$X$3:$AE$3,0)+23,FALSE),0)*10</f>
        <v>0</v>
      </c>
      <c r="W65" s="220">
        <f>IFERROR(VLOOKUP($A65,'NG Pivot'!$A$37:$P$45,MATCH(W$2,'NG Pivot'!$O$36:$P$36,0)+14,FALSE),0)+IFERROR(VLOOKUP($A65,'NG Pivot'!$A$4:$AE$29,MATCH(W$2,'NG Pivot'!$X$3:$AE$3,0)+23,FALSE),0)*10</f>
        <v>0</v>
      </c>
      <c r="X65" s="220">
        <f>IFERROR(VLOOKUP($A65,'NG Pivot'!$A$37:$P$45,MATCH(X$2,'NG Pivot'!$O$36:$P$36,0)+14,FALSE),0)+IFERROR(VLOOKUP($A65,'NG Pivot'!$A$4:$AE$29,MATCH(X$2,'NG Pivot'!$X$3:$AE$3,0)+23,FALSE),0)*10</f>
        <v>0</v>
      </c>
      <c r="Y65" s="220">
        <f>IFERROR(VLOOKUP($A65,'NG Pivot'!$A$37:$P$45,MATCH(Y$2,'NG Pivot'!$O$36:$P$36,0)+14,FALSE),0)+IFERROR(VLOOKUP($A65,'NG Pivot'!$A$4:$AE$29,MATCH(Y$2,'NG Pivot'!$X$3:$AE$3,0)+23,FALSE),0)*10</f>
        <v>0</v>
      </c>
      <c r="Z65" s="220">
        <f>IFERROR(VLOOKUP($A65,'NG Pivot'!$A$37:$P$45,MATCH(Z$2,'NG Pivot'!$O$36:$P$36,0)+14,FALSE),0)+IFERROR(VLOOKUP($A65,'NG Pivot'!$A$4:$AE$29,MATCH(Z$2,'NG Pivot'!$X$3:$AE$3,0)+23,FALSE),0)*10</f>
        <v>0</v>
      </c>
      <c r="AA65" s="220">
        <f>IFERROR(VLOOKUP($A65,'NG Pivot'!$A$37:$P$45,MATCH(AA$2,'NG Pivot'!$O$36:$P$36,0)+14,FALSE),0)+IFERROR(VLOOKUP($A65,'NG Pivot'!$A$4:$AE$29,MATCH(AA$2,'NG Pivot'!$X$3:$AE$3,0)+23,FALSE),0)*10</f>
        <v>0</v>
      </c>
      <c r="AB65" s="220">
        <f>IFERROR(VLOOKUP($A65,'NG Pivot'!$A$37:$P$45,MATCH(AB$2,'NG Pivot'!$O$36:$P$36,0)+14,FALSE),0)+IFERROR(VLOOKUP($A65,'NG Pivot'!$A$4:$AE$29,MATCH(AB$2,'NG Pivot'!$X$3:$AE$3,0)+23,FALSE),0)*10</f>
        <v>0</v>
      </c>
      <c r="AC65" s="220">
        <f>IFERROR(VLOOKUP($A65,'NG Pivot'!$A$37:$P$45,MATCH(AC$2,'NG Pivot'!$O$36:$P$36,0)+14,FALSE),0)+IFERROR(VLOOKUP($A65,'NG Pivot'!$A$4:$AE$29,MATCH(AC$2,'NG Pivot'!$X$3:$AE$3,0)+23,FALSE),0)*10</f>
        <v>0</v>
      </c>
      <c r="AD65" s="220">
        <f>IFERROR(VLOOKUP($A65,'NG Pivot'!$A$37:$P$45,MATCH(AD$2,'NG Pivot'!$O$36:$P$36,0)+14,FALSE),0)+IFERROR(VLOOKUP($A65,'NG Pivot'!$A$4:$AE$29,MATCH(AD$2,'NG Pivot'!$X$3:$AE$3,0)+23,FALSE),0)*10</f>
        <v>0</v>
      </c>
    </row>
    <row r="66" spans="1:30">
      <c r="A66" s="223" t="s">
        <v>1296</v>
      </c>
      <c r="B66" s="220">
        <f>IFERROR(VLOOKUP($A66,'NG Pivot'!$A$37:$P$45,MATCH(B$2,'NG Pivot'!$O$36:$P$36,0)+14,FALSE),0)+IFERROR(VLOOKUP($A66,'NG Pivot'!$A$4:$AE$29,MATCH(B$2,'NG Pivot'!$X$3:$AE$3,0)+23,FALSE),0)*10</f>
        <v>0</v>
      </c>
      <c r="C66" s="220">
        <f>IFERROR(VLOOKUP($A66,'NG Pivot'!$A$37:$P$45,MATCH(C$2,'NG Pivot'!$O$36:$P$36,0)+14,FALSE),0)+IFERROR(VLOOKUP($A66,'NG Pivot'!$A$4:$AE$29,MATCH(C$2,'NG Pivot'!$X$3:$AE$3,0)+23,FALSE),0)*10</f>
        <v>0</v>
      </c>
      <c r="D66" s="220">
        <f>IFERROR(VLOOKUP($A66,'NG Pivot'!$A$37:$P$45,MATCH(D$2,'NG Pivot'!$O$36:$P$36,0)+14,FALSE),0)+IFERROR(VLOOKUP($A66,'NG Pivot'!$A$4:$AE$29,MATCH(D$2,'NG Pivot'!$X$3:$AE$3,0)+23,FALSE),0)*10</f>
        <v>0</v>
      </c>
      <c r="E66" s="220">
        <f>IFERROR(VLOOKUP($A66,'NG Pivot'!$A$37:$P$45,MATCH(E$2,'NG Pivot'!$O$36:$P$36,0)+14,FALSE),0)+IFERROR(VLOOKUP($A66,'NG Pivot'!$A$4:$AE$29,MATCH(E$2,'NG Pivot'!$X$3:$AE$3,0)+23,FALSE),0)*10</f>
        <v>0</v>
      </c>
      <c r="F66" s="220">
        <f>IFERROR(VLOOKUP($A66,'NG Pivot'!$A$37:$P$45,MATCH(F$2,'NG Pivot'!$O$36:$P$36,0)+14,FALSE),0)+IFERROR(VLOOKUP($A66,'NG Pivot'!$A$4:$AE$29,MATCH(F$2,'NG Pivot'!$X$3:$AE$3,0)+23,FALSE),0)*10</f>
        <v>0</v>
      </c>
      <c r="G66" s="220">
        <f>IFERROR(VLOOKUP($A66,'NG Pivot'!$A$37:$P$45,MATCH(G$2,'NG Pivot'!$O$36:$P$36,0)+14,FALSE),0)+IFERROR(VLOOKUP($A66,'NG Pivot'!$A$4:$AE$29,MATCH(G$2,'NG Pivot'!$X$3:$AE$3,0)+23,FALSE),0)*10</f>
        <v>0</v>
      </c>
      <c r="H66" s="220">
        <f>IFERROR(VLOOKUP($A66,'NG Pivot'!$A$37:$P$45,MATCH(H$2,'NG Pivot'!$O$36:$P$36,0)+14,FALSE),0)+IFERROR(VLOOKUP($A66,'NG Pivot'!$A$4:$AE$29,MATCH(H$2,'NG Pivot'!$X$3:$AE$3,0)+23,FALSE),0)*10</f>
        <v>0</v>
      </c>
      <c r="I66" s="220">
        <f>IFERROR(VLOOKUP($A66,'NG Pivot'!$A$37:$P$45,MATCH(I$2,'NG Pivot'!$O$36:$P$36,0)+14,FALSE),0)+IFERROR(VLOOKUP($A66,'NG Pivot'!$A$4:$AE$29,MATCH(I$2,'NG Pivot'!$X$3:$AE$3,0)+23,FALSE),0)*10</f>
        <v>0</v>
      </c>
      <c r="J66" s="220">
        <f>IFERROR(VLOOKUP($A66,'NG Pivot'!$A$37:$P$45,MATCH(J$2,'NG Pivot'!$O$36:$P$36,0)+14,FALSE),0)+IFERROR(VLOOKUP($A66,'NG Pivot'!$A$4:$AE$29,MATCH(J$2,'NG Pivot'!$X$3:$AE$3,0)+23,FALSE),0)*10</f>
        <v>0</v>
      </c>
      <c r="K66" s="220">
        <f>IFERROR(VLOOKUP($A66,'NG Pivot'!$A$37:$P$45,MATCH(K$2,'NG Pivot'!$O$36:$P$36,0)+14,FALSE),0)+IFERROR(VLOOKUP($A66,'NG Pivot'!$A$4:$AE$29,MATCH(K$2,'NG Pivot'!$X$3:$AE$3,0)+23,FALSE),0)*10</f>
        <v>0</v>
      </c>
      <c r="L66" s="220">
        <f>IFERROR(VLOOKUP($A66,'NG Pivot'!$A$37:$P$45,MATCH(L$2,'NG Pivot'!$O$36:$P$36,0)+14,FALSE),0)+IFERROR(VLOOKUP($A66,'NG Pivot'!$A$4:$AE$29,MATCH(L$2,'NG Pivot'!$X$3:$AE$3,0)+23,FALSE),0)*10</f>
        <v>0</v>
      </c>
      <c r="M66" s="220">
        <f>IFERROR(VLOOKUP($A66,'NG Pivot'!$A$37:$P$45,MATCH(M$2,'NG Pivot'!$O$36:$P$36,0)+14,FALSE),0)+IFERROR(VLOOKUP($A66,'NG Pivot'!$A$4:$AE$29,MATCH(M$2,'NG Pivot'!$X$3:$AE$3,0)+23,FALSE),0)*10</f>
        <v>0</v>
      </c>
      <c r="N66" s="220">
        <f>IFERROR(VLOOKUP($A66,'NG Pivot'!$A$37:$P$45,MATCH(N$2,'NG Pivot'!$O$36:$P$36,0)+14,FALSE),0)+IFERROR(VLOOKUP($A66,'NG Pivot'!$A$4:$AE$29,MATCH(N$2,'NG Pivot'!$X$3:$AE$3,0)+23,FALSE),0)*10</f>
        <v>0</v>
      </c>
      <c r="O66" s="220">
        <f>IFERROR(VLOOKUP($A66,'NG Pivot'!$A$37:$P$45,MATCH(O$2,'NG Pivot'!$O$36:$P$36,0)+14,FALSE),0)+IFERROR(VLOOKUP($A66,'NG Pivot'!$A$4:$AE$29,MATCH(O$2,'NG Pivot'!$X$3:$AE$3,0)+23,FALSE),0)*10</f>
        <v>0</v>
      </c>
      <c r="P66" s="220">
        <f>IFERROR(VLOOKUP($A66,'NG Pivot'!$A$37:$P$45,MATCH(P$2,'NG Pivot'!$O$36:$P$36,0)+14,FALSE),0)+IFERROR(VLOOKUP($A66,'NG Pivot'!$A$4:$AE$29,MATCH(P$2,'NG Pivot'!$X$3:$AE$3,0)+23,FALSE),0)*10</f>
        <v>0</v>
      </c>
      <c r="Q66" s="220">
        <f>IFERROR(VLOOKUP($A66,'NG Pivot'!$A$37:$P$45,MATCH(Q$2,'NG Pivot'!$O$36:$P$36,0)+14,FALSE),0)+IFERROR(VLOOKUP($A66,'NG Pivot'!$A$4:$AE$29,MATCH(Q$2,'NG Pivot'!$X$3:$AE$3,0)+23,FALSE),0)*10</f>
        <v>0</v>
      </c>
      <c r="R66" s="220">
        <f>IFERROR(VLOOKUP($A66,'NG Pivot'!$A$37:$P$45,MATCH(R$2,'NG Pivot'!$O$36:$P$36,0)+14,FALSE),0)+IFERROR(VLOOKUP($A66,'NG Pivot'!$A$4:$AE$29,MATCH(R$2,'NG Pivot'!$X$3:$AE$3,0)+23,FALSE),0)*10</f>
        <v>0</v>
      </c>
      <c r="S66" s="220">
        <f>IFERROR(VLOOKUP($A66,'NG Pivot'!$A$37:$P$45,MATCH(S$2,'NG Pivot'!$O$36:$P$36,0)+14,FALSE),0)+IFERROR(VLOOKUP($A66,'NG Pivot'!$A$4:$AE$29,MATCH(S$2,'NG Pivot'!$X$3:$AE$3,0)+23,FALSE),0)*10</f>
        <v>0</v>
      </c>
      <c r="T66" s="220">
        <f>IFERROR(VLOOKUP($A66,'NG Pivot'!$A$37:$P$45,MATCH(T$2,'NG Pivot'!$O$36:$P$36,0)+14,FALSE),0)+IFERROR(VLOOKUP($A66,'NG Pivot'!$A$4:$AE$29,MATCH(T$2,'NG Pivot'!$X$3:$AE$3,0)+23,FALSE),0)*10</f>
        <v>0</v>
      </c>
      <c r="U66" s="220">
        <f>IFERROR(VLOOKUP($A66,'NG Pivot'!$A$37:$P$45,MATCH(U$2,'NG Pivot'!$O$36:$P$36,0)+14,FALSE),0)+IFERROR(VLOOKUP($A66,'NG Pivot'!$A$4:$AE$29,MATCH(U$2,'NG Pivot'!$X$3:$AE$3,0)+23,FALSE),0)*10</f>
        <v>0</v>
      </c>
      <c r="V66" s="220">
        <f>IFERROR(VLOOKUP($A66,'NG Pivot'!$A$37:$P$45,MATCH(V$2,'NG Pivot'!$O$36:$P$36,0)+14,FALSE),0)+IFERROR(VLOOKUP($A66,'NG Pivot'!$A$4:$AE$29,MATCH(V$2,'NG Pivot'!$X$3:$AE$3,0)+23,FALSE),0)*10</f>
        <v>0</v>
      </c>
      <c r="W66" s="220">
        <f>IFERROR(VLOOKUP($A66,'NG Pivot'!$A$37:$P$45,MATCH(W$2,'NG Pivot'!$O$36:$P$36,0)+14,FALSE),0)+IFERROR(VLOOKUP($A66,'NG Pivot'!$A$4:$AE$29,MATCH(W$2,'NG Pivot'!$X$3:$AE$3,0)+23,FALSE),0)*10</f>
        <v>0</v>
      </c>
      <c r="X66" s="220">
        <f>IFERROR(VLOOKUP($A66,'NG Pivot'!$A$37:$P$45,MATCH(X$2,'NG Pivot'!$O$36:$P$36,0)+14,FALSE),0)+IFERROR(VLOOKUP($A66,'NG Pivot'!$A$4:$AE$29,MATCH(X$2,'NG Pivot'!$X$3:$AE$3,0)+23,FALSE),0)*10</f>
        <v>0</v>
      </c>
      <c r="Y66" s="220">
        <f>IFERROR(VLOOKUP($A66,'NG Pivot'!$A$37:$P$45,MATCH(Y$2,'NG Pivot'!$O$36:$P$36,0)+14,FALSE),0)+IFERROR(VLOOKUP($A66,'NG Pivot'!$A$4:$AE$29,MATCH(Y$2,'NG Pivot'!$X$3:$AE$3,0)+23,FALSE),0)*10</f>
        <v>0</v>
      </c>
      <c r="Z66" s="220">
        <f>IFERROR(VLOOKUP($A66,'NG Pivot'!$A$37:$P$45,MATCH(Z$2,'NG Pivot'!$O$36:$P$36,0)+14,FALSE),0)+IFERROR(VLOOKUP($A66,'NG Pivot'!$A$4:$AE$29,MATCH(Z$2,'NG Pivot'!$X$3:$AE$3,0)+23,FALSE),0)*10</f>
        <v>0</v>
      </c>
      <c r="AA66" s="220">
        <f>IFERROR(VLOOKUP($A66,'NG Pivot'!$A$37:$P$45,MATCH(AA$2,'NG Pivot'!$O$36:$P$36,0)+14,FALSE),0)+IFERROR(VLOOKUP($A66,'NG Pivot'!$A$4:$AE$29,MATCH(AA$2,'NG Pivot'!$X$3:$AE$3,0)+23,FALSE),0)*10</f>
        <v>0</v>
      </c>
      <c r="AB66" s="220">
        <f>IFERROR(VLOOKUP($A66,'NG Pivot'!$A$37:$P$45,MATCH(AB$2,'NG Pivot'!$O$36:$P$36,0)+14,FALSE),0)+IFERROR(VLOOKUP($A66,'NG Pivot'!$A$4:$AE$29,MATCH(AB$2,'NG Pivot'!$X$3:$AE$3,0)+23,FALSE),0)*10</f>
        <v>0</v>
      </c>
      <c r="AC66" s="220">
        <f>IFERROR(VLOOKUP($A66,'NG Pivot'!$A$37:$P$45,MATCH(AC$2,'NG Pivot'!$O$36:$P$36,0)+14,FALSE),0)+IFERROR(VLOOKUP($A66,'NG Pivot'!$A$4:$AE$29,MATCH(AC$2,'NG Pivot'!$X$3:$AE$3,0)+23,FALSE),0)*10</f>
        <v>0</v>
      </c>
      <c r="AD66" s="220">
        <f>IFERROR(VLOOKUP($A66,'NG Pivot'!$A$37:$P$45,MATCH(AD$2,'NG Pivot'!$O$36:$P$36,0)+14,FALSE),0)+IFERROR(VLOOKUP($A66,'NG Pivot'!$A$4:$AE$29,MATCH(AD$2,'NG Pivot'!$X$3:$AE$3,0)+23,FALSE),0)*10</f>
        <v>0</v>
      </c>
    </row>
    <row r="67" spans="1:30">
      <c r="A67" s="223" t="s">
        <v>1297</v>
      </c>
      <c r="B67" s="220">
        <f>IFERROR(VLOOKUP($A67,'NG Pivot'!$A$37:$P$45,MATCH(B$2,'NG Pivot'!$O$36:$P$36,0)+14,FALSE),0)+IFERROR(VLOOKUP($A67,'NG Pivot'!$A$4:$AE$29,MATCH(B$2,'NG Pivot'!$X$3:$AE$3,0)+23,FALSE),0)*10</f>
        <v>0</v>
      </c>
      <c r="C67" s="220">
        <f>IFERROR(VLOOKUP($A67,'NG Pivot'!$A$37:$P$45,MATCH(C$2,'NG Pivot'!$O$36:$P$36,0)+14,FALSE),0)+IFERROR(VLOOKUP($A67,'NG Pivot'!$A$4:$AE$29,MATCH(C$2,'NG Pivot'!$X$3:$AE$3,0)+23,FALSE),0)*10</f>
        <v>0</v>
      </c>
      <c r="D67" s="220">
        <f>IFERROR(VLOOKUP($A67,'NG Pivot'!$A$37:$P$45,MATCH(D$2,'NG Pivot'!$O$36:$P$36,0)+14,FALSE),0)+IFERROR(VLOOKUP($A67,'NG Pivot'!$A$4:$AE$29,MATCH(D$2,'NG Pivot'!$X$3:$AE$3,0)+23,FALSE),0)*10</f>
        <v>0</v>
      </c>
      <c r="E67" s="220">
        <f>IFERROR(VLOOKUP($A67,'NG Pivot'!$A$37:$P$45,MATCH(E$2,'NG Pivot'!$O$36:$P$36,0)+14,FALSE),0)+IFERROR(VLOOKUP($A67,'NG Pivot'!$A$4:$AE$29,MATCH(E$2,'NG Pivot'!$X$3:$AE$3,0)+23,FALSE),0)*10</f>
        <v>0</v>
      </c>
      <c r="F67" s="220">
        <f>IFERROR(VLOOKUP($A67,'NG Pivot'!$A$37:$P$45,MATCH(F$2,'NG Pivot'!$O$36:$P$36,0)+14,FALSE),0)+IFERROR(VLOOKUP($A67,'NG Pivot'!$A$4:$AE$29,MATCH(F$2,'NG Pivot'!$X$3:$AE$3,0)+23,FALSE),0)*10</f>
        <v>0</v>
      </c>
      <c r="G67" s="220">
        <f>IFERROR(VLOOKUP($A67,'NG Pivot'!$A$37:$P$45,MATCH(G$2,'NG Pivot'!$O$36:$P$36,0)+14,FALSE),0)+IFERROR(VLOOKUP($A67,'NG Pivot'!$A$4:$AE$29,MATCH(G$2,'NG Pivot'!$X$3:$AE$3,0)+23,FALSE),0)*10</f>
        <v>0</v>
      </c>
      <c r="H67" s="220">
        <f>IFERROR(VLOOKUP($A67,'NG Pivot'!$A$37:$P$45,MATCH(H$2,'NG Pivot'!$O$36:$P$36,0)+14,FALSE),0)+IFERROR(VLOOKUP($A67,'NG Pivot'!$A$4:$AE$29,MATCH(H$2,'NG Pivot'!$X$3:$AE$3,0)+23,FALSE),0)*10</f>
        <v>0</v>
      </c>
      <c r="I67" s="220">
        <f>IFERROR(VLOOKUP($A67,'NG Pivot'!$A$37:$P$45,MATCH(I$2,'NG Pivot'!$O$36:$P$36,0)+14,FALSE),0)+IFERROR(VLOOKUP($A67,'NG Pivot'!$A$4:$AE$29,MATCH(I$2,'NG Pivot'!$X$3:$AE$3,0)+23,FALSE),0)*10</f>
        <v>0</v>
      </c>
      <c r="J67" s="220">
        <f>IFERROR(VLOOKUP($A67,'NG Pivot'!$A$37:$P$45,MATCH(J$2,'NG Pivot'!$O$36:$P$36,0)+14,FALSE),0)+IFERROR(VLOOKUP($A67,'NG Pivot'!$A$4:$AE$29,MATCH(J$2,'NG Pivot'!$X$3:$AE$3,0)+23,FALSE),0)*10</f>
        <v>0</v>
      </c>
      <c r="K67" s="220">
        <f>IFERROR(VLOOKUP($A67,'NG Pivot'!$A$37:$P$45,MATCH(K$2,'NG Pivot'!$O$36:$P$36,0)+14,FALSE),0)+IFERROR(VLOOKUP($A67,'NG Pivot'!$A$4:$AE$29,MATCH(K$2,'NG Pivot'!$X$3:$AE$3,0)+23,FALSE),0)*10</f>
        <v>0</v>
      </c>
      <c r="L67" s="220">
        <f>IFERROR(VLOOKUP($A67,'NG Pivot'!$A$37:$P$45,MATCH(L$2,'NG Pivot'!$O$36:$P$36,0)+14,FALSE),0)+IFERROR(VLOOKUP($A67,'NG Pivot'!$A$4:$AE$29,MATCH(L$2,'NG Pivot'!$X$3:$AE$3,0)+23,FALSE),0)*10</f>
        <v>0</v>
      </c>
      <c r="M67" s="220">
        <f>IFERROR(VLOOKUP($A67,'NG Pivot'!$A$37:$P$45,MATCH(M$2,'NG Pivot'!$O$36:$P$36,0)+14,FALSE),0)+IFERROR(VLOOKUP($A67,'NG Pivot'!$A$4:$AE$29,MATCH(M$2,'NG Pivot'!$X$3:$AE$3,0)+23,FALSE),0)*10</f>
        <v>0</v>
      </c>
      <c r="N67" s="220">
        <f>IFERROR(VLOOKUP($A67,'NG Pivot'!$A$37:$P$45,MATCH(N$2,'NG Pivot'!$O$36:$P$36,0)+14,FALSE),0)+IFERROR(VLOOKUP($A67,'NG Pivot'!$A$4:$AE$29,MATCH(N$2,'NG Pivot'!$X$3:$AE$3,0)+23,FALSE),0)*10</f>
        <v>0</v>
      </c>
      <c r="O67" s="220">
        <f>IFERROR(VLOOKUP($A67,'NG Pivot'!$A$37:$P$45,MATCH(O$2,'NG Pivot'!$O$36:$P$36,0)+14,FALSE),0)+IFERROR(VLOOKUP($A67,'NG Pivot'!$A$4:$AE$29,MATCH(O$2,'NG Pivot'!$X$3:$AE$3,0)+23,FALSE),0)*10</f>
        <v>0</v>
      </c>
      <c r="P67" s="220">
        <f>IFERROR(VLOOKUP($A67,'NG Pivot'!$A$37:$P$45,MATCH(P$2,'NG Pivot'!$O$36:$P$36,0)+14,FALSE),0)+IFERROR(VLOOKUP($A67,'NG Pivot'!$A$4:$AE$29,MATCH(P$2,'NG Pivot'!$X$3:$AE$3,0)+23,FALSE),0)*10</f>
        <v>0</v>
      </c>
      <c r="Q67" s="220">
        <f>IFERROR(VLOOKUP($A67,'NG Pivot'!$A$37:$P$45,MATCH(Q$2,'NG Pivot'!$O$36:$P$36,0)+14,FALSE),0)+IFERROR(VLOOKUP($A67,'NG Pivot'!$A$4:$AE$29,MATCH(Q$2,'NG Pivot'!$X$3:$AE$3,0)+23,FALSE),0)*10</f>
        <v>0</v>
      </c>
      <c r="R67" s="220">
        <f>IFERROR(VLOOKUP($A67,'NG Pivot'!$A$37:$P$45,MATCH(R$2,'NG Pivot'!$O$36:$P$36,0)+14,FALSE),0)+IFERROR(VLOOKUP($A67,'NG Pivot'!$A$4:$AE$29,MATCH(R$2,'NG Pivot'!$X$3:$AE$3,0)+23,FALSE),0)*10</f>
        <v>0</v>
      </c>
      <c r="S67" s="220">
        <f>IFERROR(VLOOKUP($A67,'NG Pivot'!$A$37:$P$45,MATCH(S$2,'NG Pivot'!$O$36:$P$36,0)+14,FALSE),0)+IFERROR(VLOOKUP($A67,'NG Pivot'!$A$4:$AE$29,MATCH(S$2,'NG Pivot'!$X$3:$AE$3,0)+23,FALSE),0)*10</f>
        <v>0</v>
      </c>
      <c r="T67" s="220">
        <f>IFERROR(VLOOKUP($A67,'NG Pivot'!$A$37:$P$45,MATCH(T$2,'NG Pivot'!$O$36:$P$36,0)+14,FALSE),0)+IFERROR(VLOOKUP($A67,'NG Pivot'!$A$4:$AE$29,MATCH(T$2,'NG Pivot'!$X$3:$AE$3,0)+23,FALSE),0)*10</f>
        <v>0</v>
      </c>
      <c r="U67" s="220">
        <f>IFERROR(VLOOKUP($A67,'NG Pivot'!$A$37:$P$45,MATCH(U$2,'NG Pivot'!$O$36:$P$36,0)+14,FALSE),0)+IFERROR(VLOOKUP($A67,'NG Pivot'!$A$4:$AE$29,MATCH(U$2,'NG Pivot'!$X$3:$AE$3,0)+23,FALSE),0)*10</f>
        <v>0</v>
      </c>
      <c r="V67" s="220">
        <f>IFERROR(VLOOKUP($A67,'NG Pivot'!$A$37:$P$45,MATCH(V$2,'NG Pivot'!$O$36:$P$36,0)+14,FALSE),0)+IFERROR(VLOOKUP($A67,'NG Pivot'!$A$4:$AE$29,MATCH(V$2,'NG Pivot'!$X$3:$AE$3,0)+23,FALSE),0)*10</f>
        <v>0</v>
      </c>
      <c r="W67" s="220">
        <f>IFERROR(VLOOKUP($A67,'NG Pivot'!$A$37:$P$45,MATCH(W$2,'NG Pivot'!$O$36:$P$36,0)+14,FALSE),0)+IFERROR(VLOOKUP($A67,'NG Pivot'!$A$4:$AE$29,MATCH(W$2,'NG Pivot'!$X$3:$AE$3,0)+23,FALSE),0)*10</f>
        <v>0</v>
      </c>
      <c r="X67" s="220">
        <f>IFERROR(VLOOKUP($A67,'NG Pivot'!$A$37:$P$45,MATCH(X$2,'NG Pivot'!$O$36:$P$36,0)+14,FALSE),0)+IFERROR(VLOOKUP($A67,'NG Pivot'!$A$4:$AE$29,MATCH(X$2,'NG Pivot'!$X$3:$AE$3,0)+23,FALSE),0)*10</f>
        <v>0</v>
      </c>
      <c r="Y67" s="220">
        <f>IFERROR(VLOOKUP($A67,'NG Pivot'!$A$37:$P$45,MATCH(Y$2,'NG Pivot'!$O$36:$P$36,0)+14,FALSE),0)+IFERROR(VLOOKUP($A67,'NG Pivot'!$A$4:$AE$29,MATCH(Y$2,'NG Pivot'!$X$3:$AE$3,0)+23,FALSE),0)*10</f>
        <v>0</v>
      </c>
      <c r="Z67" s="220">
        <f>IFERROR(VLOOKUP($A67,'NG Pivot'!$A$37:$P$45,MATCH(Z$2,'NG Pivot'!$O$36:$P$36,0)+14,FALSE),0)+IFERROR(VLOOKUP($A67,'NG Pivot'!$A$4:$AE$29,MATCH(Z$2,'NG Pivot'!$X$3:$AE$3,0)+23,FALSE),0)*10</f>
        <v>0</v>
      </c>
      <c r="AA67" s="220">
        <f>IFERROR(VLOOKUP($A67,'NG Pivot'!$A$37:$P$45,MATCH(AA$2,'NG Pivot'!$O$36:$P$36,0)+14,FALSE),0)+IFERROR(VLOOKUP($A67,'NG Pivot'!$A$4:$AE$29,MATCH(AA$2,'NG Pivot'!$X$3:$AE$3,0)+23,FALSE),0)*10</f>
        <v>0</v>
      </c>
      <c r="AB67" s="220">
        <f>IFERROR(VLOOKUP($A67,'NG Pivot'!$A$37:$P$45,MATCH(AB$2,'NG Pivot'!$O$36:$P$36,0)+14,FALSE),0)+IFERROR(VLOOKUP($A67,'NG Pivot'!$A$4:$AE$29,MATCH(AB$2,'NG Pivot'!$X$3:$AE$3,0)+23,FALSE),0)*10</f>
        <v>0</v>
      </c>
      <c r="AC67" s="220">
        <f>IFERROR(VLOOKUP($A67,'NG Pivot'!$A$37:$P$45,MATCH(AC$2,'NG Pivot'!$O$36:$P$36,0)+14,FALSE),0)+IFERROR(VLOOKUP($A67,'NG Pivot'!$A$4:$AE$29,MATCH(AC$2,'NG Pivot'!$X$3:$AE$3,0)+23,FALSE),0)*10</f>
        <v>0</v>
      </c>
      <c r="AD67" s="220">
        <f>IFERROR(VLOOKUP($A67,'NG Pivot'!$A$37:$P$45,MATCH(AD$2,'NG Pivot'!$O$36:$P$36,0)+14,FALSE),0)+IFERROR(VLOOKUP($A67,'NG Pivot'!$A$4:$AE$29,MATCH(AD$2,'NG Pivot'!$X$3:$AE$3,0)+23,FALSE),0)*10</f>
        <v>0</v>
      </c>
    </row>
    <row r="68" spans="1:30">
      <c r="A68" s="223" t="s">
        <v>1298</v>
      </c>
      <c r="B68" s="220">
        <f>IFERROR(VLOOKUP($A68,'NG Pivot'!$A$37:$P$45,MATCH(B$2,'NG Pivot'!$O$36:$P$36,0)+14,FALSE),0)+IFERROR(VLOOKUP($A68,'NG Pivot'!$A$4:$AE$29,MATCH(B$2,'NG Pivot'!$X$3:$AE$3,0)+23,FALSE),0)*10</f>
        <v>0</v>
      </c>
      <c r="C68" s="220">
        <f>IFERROR(VLOOKUP($A68,'NG Pivot'!$A$37:$P$45,MATCH(C$2,'NG Pivot'!$O$36:$P$36,0)+14,FALSE),0)+IFERROR(VLOOKUP($A68,'NG Pivot'!$A$4:$AE$29,MATCH(C$2,'NG Pivot'!$X$3:$AE$3,0)+23,FALSE),0)*10</f>
        <v>0</v>
      </c>
      <c r="D68" s="220">
        <f>IFERROR(VLOOKUP($A68,'NG Pivot'!$A$37:$P$45,MATCH(D$2,'NG Pivot'!$O$36:$P$36,0)+14,FALSE),0)+IFERROR(VLOOKUP($A68,'NG Pivot'!$A$4:$AE$29,MATCH(D$2,'NG Pivot'!$X$3:$AE$3,0)+23,FALSE),0)*10</f>
        <v>0</v>
      </c>
      <c r="E68" s="220">
        <f>IFERROR(VLOOKUP($A68,'NG Pivot'!$A$37:$P$45,MATCH(E$2,'NG Pivot'!$O$36:$P$36,0)+14,FALSE),0)+IFERROR(VLOOKUP($A68,'NG Pivot'!$A$4:$AE$29,MATCH(E$2,'NG Pivot'!$X$3:$AE$3,0)+23,FALSE),0)*10</f>
        <v>0</v>
      </c>
      <c r="F68" s="220">
        <f>IFERROR(VLOOKUP($A68,'NG Pivot'!$A$37:$P$45,MATCH(F$2,'NG Pivot'!$O$36:$P$36,0)+14,FALSE),0)+IFERROR(VLOOKUP($A68,'NG Pivot'!$A$4:$AE$29,MATCH(F$2,'NG Pivot'!$X$3:$AE$3,0)+23,FALSE),0)*10</f>
        <v>0</v>
      </c>
      <c r="G68" s="220">
        <f>IFERROR(VLOOKUP($A68,'NG Pivot'!$A$37:$P$45,MATCH(G$2,'NG Pivot'!$O$36:$P$36,0)+14,FALSE),0)+IFERROR(VLOOKUP($A68,'NG Pivot'!$A$4:$AE$29,MATCH(G$2,'NG Pivot'!$X$3:$AE$3,0)+23,FALSE),0)*10</f>
        <v>0</v>
      </c>
      <c r="H68" s="220">
        <f>IFERROR(VLOOKUP($A68,'NG Pivot'!$A$37:$P$45,MATCH(H$2,'NG Pivot'!$O$36:$P$36,0)+14,FALSE),0)+IFERROR(VLOOKUP($A68,'NG Pivot'!$A$4:$AE$29,MATCH(H$2,'NG Pivot'!$X$3:$AE$3,0)+23,FALSE),0)*10</f>
        <v>0</v>
      </c>
      <c r="I68" s="220">
        <f>IFERROR(VLOOKUP($A68,'NG Pivot'!$A$37:$P$45,MATCH(I$2,'NG Pivot'!$O$36:$P$36,0)+14,FALSE),0)+IFERROR(VLOOKUP($A68,'NG Pivot'!$A$4:$AE$29,MATCH(I$2,'NG Pivot'!$X$3:$AE$3,0)+23,FALSE),0)*10</f>
        <v>0</v>
      </c>
      <c r="J68" s="220">
        <f>IFERROR(VLOOKUP($A68,'NG Pivot'!$A$37:$P$45,MATCH(J$2,'NG Pivot'!$O$36:$P$36,0)+14,FALSE),0)+IFERROR(VLOOKUP($A68,'NG Pivot'!$A$4:$AE$29,MATCH(J$2,'NG Pivot'!$X$3:$AE$3,0)+23,FALSE),0)*10</f>
        <v>0</v>
      </c>
      <c r="K68" s="220">
        <f>IFERROR(VLOOKUP($A68,'NG Pivot'!$A$37:$P$45,MATCH(K$2,'NG Pivot'!$O$36:$P$36,0)+14,FALSE),0)+IFERROR(VLOOKUP($A68,'NG Pivot'!$A$4:$AE$29,MATCH(K$2,'NG Pivot'!$X$3:$AE$3,0)+23,FALSE),0)*10</f>
        <v>0</v>
      </c>
      <c r="L68" s="220">
        <f>IFERROR(VLOOKUP($A68,'NG Pivot'!$A$37:$P$45,MATCH(L$2,'NG Pivot'!$O$36:$P$36,0)+14,FALSE),0)+IFERROR(VLOOKUP($A68,'NG Pivot'!$A$4:$AE$29,MATCH(L$2,'NG Pivot'!$X$3:$AE$3,0)+23,FALSE),0)*10</f>
        <v>0</v>
      </c>
      <c r="M68" s="220">
        <f>IFERROR(VLOOKUP($A68,'NG Pivot'!$A$37:$P$45,MATCH(M$2,'NG Pivot'!$O$36:$P$36,0)+14,FALSE),0)+IFERROR(VLOOKUP($A68,'NG Pivot'!$A$4:$AE$29,MATCH(M$2,'NG Pivot'!$X$3:$AE$3,0)+23,FALSE),0)*10</f>
        <v>0</v>
      </c>
      <c r="N68" s="220">
        <f>IFERROR(VLOOKUP($A68,'NG Pivot'!$A$37:$P$45,MATCH(N$2,'NG Pivot'!$O$36:$P$36,0)+14,FALSE),0)+IFERROR(VLOOKUP($A68,'NG Pivot'!$A$4:$AE$29,MATCH(N$2,'NG Pivot'!$X$3:$AE$3,0)+23,FALSE),0)*10</f>
        <v>0</v>
      </c>
      <c r="O68" s="220">
        <f>IFERROR(VLOOKUP($A68,'NG Pivot'!$A$37:$P$45,MATCH(O$2,'NG Pivot'!$O$36:$P$36,0)+14,FALSE),0)+IFERROR(VLOOKUP($A68,'NG Pivot'!$A$4:$AE$29,MATCH(O$2,'NG Pivot'!$X$3:$AE$3,0)+23,FALSE),0)*10</f>
        <v>0</v>
      </c>
      <c r="P68" s="220">
        <f>IFERROR(VLOOKUP($A68,'NG Pivot'!$A$37:$P$45,MATCH(P$2,'NG Pivot'!$O$36:$P$36,0)+14,FALSE),0)+IFERROR(VLOOKUP($A68,'NG Pivot'!$A$4:$AE$29,MATCH(P$2,'NG Pivot'!$X$3:$AE$3,0)+23,FALSE),0)*10</f>
        <v>0</v>
      </c>
      <c r="Q68" s="220">
        <f>IFERROR(VLOOKUP($A68,'NG Pivot'!$A$37:$P$45,MATCH(Q$2,'NG Pivot'!$O$36:$P$36,0)+14,FALSE),0)+IFERROR(VLOOKUP($A68,'NG Pivot'!$A$4:$AE$29,MATCH(Q$2,'NG Pivot'!$X$3:$AE$3,0)+23,FALSE),0)*10</f>
        <v>0</v>
      </c>
      <c r="R68" s="220">
        <f>IFERROR(VLOOKUP($A68,'NG Pivot'!$A$37:$P$45,MATCH(R$2,'NG Pivot'!$O$36:$P$36,0)+14,FALSE),0)+IFERROR(VLOOKUP($A68,'NG Pivot'!$A$4:$AE$29,MATCH(R$2,'NG Pivot'!$X$3:$AE$3,0)+23,FALSE),0)*10</f>
        <v>0</v>
      </c>
      <c r="S68" s="220">
        <f>IFERROR(VLOOKUP($A68,'NG Pivot'!$A$37:$P$45,MATCH(S$2,'NG Pivot'!$O$36:$P$36,0)+14,FALSE),0)+IFERROR(VLOOKUP($A68,'NG Pivot'!$A$4:$AE$29,MATCH(S$2,'NG Pivot'!$X$3:$AE$3,0)+23,FALSE),0)*10</f>
        <v>0</v>
      </c>
      <c r="T68" s="220">
        <f>IFERROR(VLOOKUP($A68,'NG Pivot'!$A$37:$P$45,MATCH(T$2,'NG Pivot'!$O$36:$P$36,0)+14,FALSE),0)+IFERROR(VLOOKUP($A68,'NG Pivot'!$A$4:$AE$29,MATCH(T$2,'NG Pivot'!$X$3:$AE$3,0)+23,FALSE),0)*10</f>
        <v>0</v>
      </c>
      <c r="U68" s="220">
        <f>IFERROR(VLOOKUP($A68,'NG Pivot'!$A$37:$P$45,MATCH(U$2,'NG Pivot'!$O$36:$P$36,0)+14,FALSE),0)+IFERROR(VLOOKUP($A68,'NG Pivot'!$A$4:$AE$29,MATCH(U$2,'NG Pivot'!$X$3:$AE$3,0)+23,FALSE),0)*10</f>
        <v>0</v>
      </c>
      <c r="V68" s="220">
        <f>IFERROR(VLOOKUP($A68,'NG Pivot'!$A$37:$P$45,MATCH(V$2,'NG Pivot'!$O$36:$P$36,0)+14,FALSE),0)+IFERROR(VLOOKUP($A68,'NG Pivot'!$A$4:$AE$29,MATCH(V$2,'NG Pivot'!$X$3:$AE$3,0)+23,FALSE),0)*10</f>
        <v>0</v>
      </c>
      <c r="W68" s="220">
        <f>IFERROR(VLOOKUP($A68,'NG Pivot'!$A$37:$P$45,MATCH(W$2,'NG Pivot'!$O$36:$P$36,0)+14,FALSE),0)+IFERROR(VLOOKUP($A68,'NG Pivot'!$A$4:$AE$29,MATCH(W$2,'NG Pivot'!$X$3:$AE$3,0)+23,FALSE),0)*10</f>
        <v>0</v>
      </c>
      <c r="X68" s="220">
        <f>IFERROR(VLOOKUP($A68,'NG Pivot'!$A$37:$P$45,MATCH(X$2,'NG Pivot'!$O$36:$P$36,0)+14,FALSE),0)+IFERROR(VLOOKUP($A68,'NG Pivot'!$A$4:$AE$29,MATCH(X$2,'NG Pivot'!$X$3:$AE$3,0)+23,FALSE),0)*10</f>
        <v>0</v>
      </c>
      <c r="Y68" s="220">
        <f>IFERROR(VLOOKUP($A68,'NG Pivot'!$A$37:$P$45,MATCH(Y$2,'NG Pivot'!$O$36:$P$36,0)+14,FALSE),0)+IFERROR(VLOOKUP($A68,'NG Pivot'!$A$4:$AE$29,MATCH(Y$2,'NG Pivot'!$X$3:$AE$3,0)+23,FALSE),0)*10</f>
        <v>0</v>
      </c>
      <c r="Z68" s="220">
        <f>IFERROR(VLOOKUP($A68,'NG Pivot'!$A$37:$P$45,MATCH(Z$2,'NG Pivot'!$O$36:$P$36,0)+14,FALSE),0)+IFERROR(VLOOKUP($A68,'NG Pivot'!$A$4:$AE$29,MATCH(Z$2,'NG Pivot'!$X$3:$AE$3,0)+23,FALSE),0)*10</f>
        <v>0</v>
      </c>
      <c r="AA68" s="220">
        <f>IFERROR(VLOOKUP($A68,'NG Pivot'!$A$37:$P$45,MATCH(AA$2,'NG Pivot'!$O$36:$P$36,0)+14,FALSE),0)+IFERROR(VLOOKUP($A68,'NG Pivot'!$A$4:$AE$29,MATCH(AA$2,'NG Pivot'!$X$3:$AE$3,0)+23,FALSE),0)*10</f>
        <v>0</v>
      </c>
      <c r="AB68" s="220">
        <f>IFERROR(VLOOKUP($A68,'NG Pivot'!$A$37:$P$45,MATCH(AB$2,'NG Pivot'!$O$36:$P$36,0)+14,FALSE),0)+IFERROR(VLOOKUP($A68,'NG Pivot'!$A$4:$AE$29,MATCH(AB$2,'NG Pivot'!$X$3:$AE$3,0)+23,FALSE),0)*10</f>
        <v>0</v>
      </c>
      <c r="AC68" s="220">
        <f>IFERROR(VLOOKUP($A68,'NG Pivot'!$A$37:$P$45,MATCH(AC$2,'NG Pivot'!$O$36:$P$36,0)+14,FALSE),0)+IFERROR(VLOOKUP($A68,'NG Pivot'!$A$4:$AE$29,MATCH(AC$2,'NG Pivot'!$X$3:$AE$3,0)+23,FALSE),0)*10</f>
        <v>0</v>
      </c>
      <c r="AD68" s="220">
        <f>IFERROR(VLOOKUP($A68,'NG Pivot'!$A$37:$P$45,MATCH(AD$2,'NG Pivot'!$O$36:$P$36,0)+14,FALSE),0)+IFERROR(VLOOKUP($A68,'NG Pivot'!$A$4:$AE$29,MATCH(AD$2,'NG Pivot'!$X$3:$AE$3,0)+23,FALSE),0)*10</f>
        <v>0</v>
      </c>
    </row>
    <row r="69" spans="1:30">
      <c r="A69" s="223" t="s">
        <v>1299</v>
      </c>
      <c r="B69" s="220">
        <f>IFERROR(VLOOKUP($A69,'NG Pivot'!$A$37:$P$45,MATCH(B$2,'NG Pivot'!$O$36:$P$36,0)+14,FALSE),0)+IFERROR(VLOOKUP($A69,'NG Pivot'!$A$4:$AE$29,MATCH(B$2,'NG Pivot'!$X$3:$AE$3,0)+23,FALSE),0)*10</f>
        <v>0</v>
      </c>
      <c r="C69" s="220">
        <f>IFERROR(VLOOKUP($A69,'NG Pivot'!$A$37:$P$45,MATCH(C$2,'NG Pivot'!$O$36:$P$36,0)+14,FALSE),0)+IFERROR(VLOOKUP($A69,'NG Pivot'!$A$4:$AE$29,MATCH(C$2,'NG Pivot'!$X$3:$AE$3,0)+23,FALSE),0)*10</f>
        <v>0</v>
      </c>
      <c r="D69" s="220">
        <f>IFERROR(VLOOKUP($A69,'NG Pivot'!$A$37:$P$45,MATCH(D$2,'NG Pivot'!$O$36:$P$36,0)+14,FALSE),0)+IFERROR(VLOOKUP($A69,'NG Pivot'!$A$4:$AE$29,MATCH(D$2,'NG Pivot'!$X$3:$AE$3,0)+23,FALSE),0)*10</f>
        <v>0</v>
      </c>
      <c r="E69" s="220">
        <f>IFERROR(VLOOKUP($A69,'NG Pivot'!$A$37:$P$45,MATCH(E$2,'NG Pivot'!$O$36:$P$36,0)+14,FALSE),0)+IFERROR(VLOOKUP($A69,'NG Pivot'!$A$4:$AE$29,MATCH(E$2,'NG Pivot'!$X$3:$AE$3,0)+23,FALSE),0)*10</f>
        <v>0</v>
      </c>
      <c r="F69" s="220">
        <f>IFERROR(VLOOKUP($A69,'NG Pivot'!$A$37:$P$45,MATCH(F$2,'NG Pivot'!$O$36:$P$36,0)+14,FALSE),0)+IFERROR(VLOOKUP($A69,'NG Pivot'!$A$4:$AE$29,MATCH(F$2,'NG Pivot'!$X$3:$AE$3,0)+23,FALSE),0)*10</f>
        <v>0</v>
      </c>
      <c r="G69" s="220">
        <f>IFERROR(VLOOKUP($A69,'NG Pivot'!$A$37:$P$45,MATCH(G$2,'NG Pivot'!$O$36:$P$36,0)+14,FALSE),0)+IFERROR(VLOOKUP($A69,'NG Pivot'!$A$4:$AE$29,MATCH(G$2,'NG Pivot'!$X$3:$AE$3,0)+23,FALSE),0)*10</f>
        <v>0</v>
      </c>
      <c r="H69" s="220">
        <f>IFERROR(VLOOKUP($A69,'NG Pivot'!$A$37:$P$45,MATCH(H$2,'NG Pivot'!$O$36:$P$36,0)+14,FALSE),0)+IFERROR(VLOOKUP($A69,'NG Pivot'!$A$4:$AE$29,MATCH(H$2,'NG Pivot'!$X$3:$AE$3,0)+23,FALSE),0)*10</f>
        <v>0</v>
      </c>
      <c r="I69" s="220">
        <f>IFERROR(VLOOKUP($A69,'NG Pivot'!$A$37:$P$45,MATCH(I$2,'NG Pivot'!$O$36:$P$36,0)+14,FALSE),0)+IFERROR(VLOOKUP($A69,'NG Pivot'!$A$4:$AE$29,MATCH(I$2,'NG Pivot'!$X$3:$AE$3,0)+23,FALSE),0)*10</f>
        <v>0</v>
      </c>
      <c r="J69" s="220">
        <f>IFERROR(VLOOKUP($A69,'NG Pivot'!$A$37:$P$45,MATCH(J$2,'NG Pivot'!$O$36:$P$36,0)+14,FALSE),0)+IFERROR(VLOOKUP($A69,'NG Pivot'!$A$4:$AE$29,MATCH(J$2,'NG Pivot'!$X$3:$AE$3,0)+23,FALSE),0)*10</f>
        <v>0</v>
      </c>
      <c r="K69" s="220">
        <f>IFERROR(VLOOKUP($A69,'NG Pivot'!$A$37:$P$45,MATCH(K$2,'NG Pivot'!$O$36:$P$36,0)+14,FALSE),0)+IFERROR(VLOOKUP($A69,'NG Pivot'!$A$4:$AE$29,MATCH(K$2,'NG Pivot'!$X$3:$AE$3,0)+23,FALSE),0)*10</f>
        <v>0</v>
      </c>
      <c r="L69" s="220">
        <f>IFERROR(VLOOKUP($A69,'NG Pivot'!$A$37:$P$45,MATCH(L$2,'NG Pivot'!$O$36:$P$36,0)+14,FALSE),0)+IFERROR(VLOOKUP($A69,'NG Pivot'!$A$4:$AE$29,MATCH(L$2,'NG Pivot'!$X$3:$AE$3,0)+23,FALSE),0)*10</f>
        <v>0</v>
      </c>
      <c r="M69" s="220">
        <f>IFERROR(VLOOKUP($A69,'NG Pivot'!$A$37:$P$45,MATCH(M$2,'NG Pivot'!$O$36:$P$36,0)+14,FALSE),0)+IFERROR(VLOOKUP($A69,'NG Pivot'!$A$4:$AE$29,MATCH(M$2,'NG Pivot'!$X$3:$AE$3,0)+23,FALSE),0)*10</f>
        <v>0</v>
      </c>
      <c r="N69" s="220">
        <f>IFERROR(VLOOKUP($A69,'NG Pivot'!$A$37:$P$45,MATCH(N$2,'NG Pivot'!$O$36:$P$36,0)+14,FALSE),0)+IFERROR(VLOOKUP($A69,'NG Pivot'!$A$4:$AE$29,MATCH(N$2,'NG Pivot'!$X$3:$AE$3,0)+23,FALSE),0)*10</f>
        <v>0</v>
      </c>
      <c r="O69" s="220">
        <f>IFERROR(VLOOKUP($A69,'NG Pivot'!$A$37:$P$45,MATCH(O$2,'NG Pivot'!$O$36:$P$36,0)+14,FALSE),0)+IFERROR(VLOOKUP($A69,'NG Pivot'!$A$4:$AE$29,MATCH(O$2,'NG Pivot'!$X$3:$AE$3,0)+23,FALSE),0)*10</f>
        <v>0</v>
      </c>
      <c r="P69" s="220">
        <f>IFERROR(VLOOKUP($A69,'NG Pivot'!$A$37:$P$45,MATCH(P$2,'NG Pivot'!$O$36:$P$36,0)+14,FALSE),0)+IFERROR(VLOOKUP($A69,'NG Pivot'!$A$4:$AE$29,MATCH(P$2,'NG Pivot'!$X$3:$AE$3,0)+23,FALSE),0)*10</f>
        <v>0</v>
      </c>
      <c r="Q69" s="220">
        <f>IFERROR(VLOOKUP($A69,'NG Pivot'!$A$37:$P$45,MATCH(Q$2,'NG Pivot'!$O$36:$P$36,0)+14,FALSE),0)+IFERROR(VLOOKUP($A69,'NG Pivot'!$A$4:$AE$29,MATCH(Q$2,'NG Pivot'!$X$3:$AE$3,0)+23,FALSE),0)*10</f>
        <v>0</v>
      </c>
      <c r="R69" s="220">
        <f>IFERROR(VLOOKUP($A69,'NG Pivot'!$A$37:$P$45,MATCH(R$2,'NG Pivot'!$O$36:$P$36,0)+14,FALSE),0)+IFERROR(VLOOKUP($A69,'NG Pivot'!$A$4:$AE$29,MATCH(R$2,'NG Pivot'!$X$3:$AE$3,0)+23,FALSE),0)*10</f>
        <v>0</v>
      </c>
      <c r="S69" s="220">
        <f>IFERROR(VLOOKUP($A69,'NG Pivot'!$A$37:$P$45,MATCH(S$2,'NG Pivot'!$O$36:$P$36,0)+14,FALSE),0)+IFERROR(VLOOKUP($A69,'NG Pivot'!$A$4:$AE$29,MATCH(S$2,'NG Pivot'!$X$3:$AE$3,0)+23,FALSE),0)*10</f>
        <v>0</v>
      </c>
      <c r="T69" s="220">
        <f>IFERROR(VLOOKUP($A69,'NG Pivot'!$A$37:$P$45,MATCH(T$2,'NG Pivot'!$O$36:$P$36,0)+14,FALSE),0)+IFERROR(VLOOKUP($A69,'NG Pivot'!$A$4:$AE$29,MATCH(T$2,'NG Pivot'!$X$3:$AE$3,0)+23,FALSE),0)*10</f>
        <v>0</v>
      </c>
      <c r="U69" s="220">
        <f>IFERROR(VLOOKUP($A69,'NG Pivot'!$A$37:$P$45,MATCH(U$2,'NG Pivot'!$O$36:$P$36,0)+14,FALSE),0)+IFERROR(VLOOKUP($A69,'NG Pivot'!$A$4:$AE$29,MATCH(U$2,'NG Pivot'!$X$3:$AE$3,0)+23,FALSE),0)*10</f>
        <v>0</v>
      </c>
      <c r="V69" s="220">
        <f>IFERROR(VLOOKUP($A69,'NG Pivot'!$A$37:$P$45,MATCH(V$2,'NG Pivot'!$O$36:$P$36,0)+14,FALSE),0)+IFERROR(VLOOKUP($A69,'NG Pivot'!$A$4:$AE$29,MATCH(V$2,'NG Pivot'!$X$3:$AE$3,0)+23,FALSE),0)*10</f>
        <v>0</v>
      </c>
      <c r="W69" s="220">
        <f>IFERROR(VLOOKUP($A69,'NG Pivot'!$A$37:$P$45,MATCH(W$2,'NG Pivot'!$O$36:$P$36,0)+14,FALSE),0)+IFERROR(VLOOKUP($A69,'NG Pivot'!$A$4:$AE$29,MATCH(W$2,'NG Pivot'!$X$3:$AE$3,0)+23,FALSE),0)*10</f>
        <v>0</v>
      </c>
      <c r="X69" s="220">
        <f>IFERROR(VLOOKUP($A69,'NG Pivot'!$A$37:$P$45,MATCH(X$2,'NG Pivot'!$O$36:$P$36,0)+14,FALSE),0)+IFERROR(VLOOKUP($A69,'NG Pivot'!$A$4:$AE$29,MATCH(X$2,'NG Pivot'!$X$3:$AE$3,0)+23,FALSE),0)*10</f>
        <v>0</v>
      </c>
      <c r="Y69" s="220">
        <f>IFERROR(VLOOKUP($A69,'NG Pivot'!$A$37:$P$45,MATCH(Y$2,'NG Pivot'!$O$36:$P$36,0)+14,FALSE),0)+IFERROR(VLOOKUP($A69,'NG Pivot'!$A$4:$AE$29,MATCH(Y$2,'NG Pivot'!$X$3:$AE$3,0)+23,FALSE),0)*10</f>
        <v>0</v>
      </c>
      <c r="Z69" s="220">
        <f>IFERROR(VLOOKUP($A69,'NG Pivot'!$A$37:$P$45,MATCH(Z$2,'NG Pivot'!$O$36:$P$36,0)+14,FALSE),0)+IFERROR(VLOOKUP($A69,'NG Pivot'!$A$4:$AE$29,MATCH(Z$2,'NG Pivot'!$X$3:$AE$3,0)+23,FALSE),0)*10</f>
        <v>0</v>
      </c>
      <c r="AA69" s="220">
        <f>IFERROR(VLOOKUP($A69,'NG Pivot'!$A$37:$P$45,MATCH(AA$2,'NG Pivot'!$O$36:$P$36,0)+14,FALSE),0)+IFERROR(VLOOKUP($A69,'NG Pivot'!$A$4:$AE$29,MATCH(AA$2,'NG Pivot'!$X$3:$AE$3,0)+23,FALSE),0)*10</f>
        <v>0</v>
      </c>
      <c r="AB69" s="220">
        <f>IFERROR(VLOOKUP($A69,'NG Pivot'!$A$37:$P$45,MATCH(AB$2,'NG Pivot'!$O$36:$P$36,0)+14,FALSE),0)+IFERROR(VLOOKUP($A69,'NG Pivot'!$A$4:$AE$29,MATCH(AB$2,'NG Pivot'!$X$3:$AE$3,0)+23,FALSE),0)*10</f>
        <v>0</v>
      </c>
      <c r="AC69" s="220">
        <f>IFERROR(VLOOKUP($A69,'NG Pivot'!$A$37:$P$45,MATCH(AC$2,'NG Pivot'!$O$36:$P$36,0)+14,FALSE),0)+IFERROR(VLOOKUP($A69,'NG Pivot'!$A$4:$AE$29,MATCH(AC$2,'NG Pivot'!$X$3:$AE$3,0)+23,FALSE),0)*10</f>
        <v>0</v>
      </c>
      <c r="AD69" s="220">
        <f>IFERROR(VLOOKUP($A69,'NG Pivot'!$A$37:$P$45,MATCH(AD$2,'NG Pivot'!$O$36:$P$36,0)+14,FALSE),0)+IFERROR(VLOOKUP($A69,'NG Pivot'!$A$4:$AE$29,MATCH(AD$2,'NG Pivot'!$X$3:$AE$3,0)+23,FALSE),0)*10</f>
        <v>0</v>
      </c>
    </row>
    <row r="71" spans="1:30">
      <c r="A71" s="228" t="s">
        <v>1301</v>
      </c>
    </row>
    <row r="72" spans="1:30">
      <c r="A72" s="221" t="s">
        <v>1268</v>
      </c>
      <c r="B72" s="220">
        <v>1993</v>
      </c>
      <c r="C72" s="220">
        <v>1994</v>
      </c>
      <c r="D72" s="220">
        <v>1995</v>
      </c>
      <c r="E72" s="220">
        <v>1996</v>
      </c>
      <c r="F72" s="220">
        <v>1997</v>
      </c>
      <c r="G72" s="220">
        <v>1998</v>
      </c>
      <c r="H72" s="220">
        <v>1999</v>
      </c>
      <c r="I72" s="220">
        <v>2000</v>
      </c>
      <c r="J72" s="220">
        <v>2001</v>
      </c>
      <c r="K72" s="220">
        <v>2002</v>
      </c>
      <c r="L72" s="220">
        <v>2003</v>
      </c>
      <c r="M72" s="220">
        <v>2004</v>
      </c>
      <c r="N72" s="220">
        <v>2005</v>
      </c>
      <c r="O72" s="220">
        <v>2006</v>
      </c>
      <c r="P72" s="220">
        <v>2007</v>
      </c>
      <c r="Q72" s="220">
        <v>2008</v>
      </c>
      <c r="R72" s="220">
        <v>2009</v>
      </c>
      <c r="S72" s="220">
        <v>2010</v>
      </c>
      <c r="T72" s="220">
        <v>2011</v>
      </c>
      <c r="U72" s="220">
        <v>2012</v>
      </c>
      <c r="V72" s="220">
        <v>2013</v>
      </c>
      <c r="W72" s="220">
        <v>2014</v>
      </c>
      <c r="X72" s="220">
        <v>2015</v>
      </c>
      <c r="Y72" s="220">
        <v>2016</v>
      </c>
      <c r="Z72" s="220">
        <v>2017</v>
      </c>
      <c r="AA72" s="220">
        <v>2018</v>
      </c>
      <c r="AB72" s="220">
        <v>2019</v>
      </c>
      <c r="AC72" s="220">
        <v>2020</v>
      </c>
      <c r="AD72" s="220">
        <v>2021</v>
      </c>
    </row>
    <row r="73" spans="1:30">
      <c r="A73" s="228" t="s">
        <v>80</v>
      </c>
      <c r="B73" s="220">
        <f>SUM(B74:B104)</f>
        <v>0</v>
      </c>
      <c r="C73" s="220">
        <f t="shared" ref="C73" si="29">SUM(C74:C104)</f>
        <v>0</v>
      </c>
      <c r="D73" s="220">
        <f t="shared" ref="D73" si="30">SUM(D74:D104)</f>
        <v>0</v>
      </c>
      <c r="E73" s="220">
        <f t="shared" ref="E73" si="31">SUM(E74:E104)</f>
        <v>0</v>
      </c>
      <c r="F73" s="220">
        <f t="shared" ref="F73" si="32">SUM(F74:F104)</f>
        <v>0</v>
      </c>
      <c r="G73" s="220">
        <f t="shared" ref="G73" si="33">SUM(G74:G104)</f>
        <v>0</v>
      </c>
      <c r="H73" s="220">
        <f t="shared" ref="H73" si="34">SUM(H74:H104)</f>
        <v>0</v>
      </c>
      <c r="I73" s="220">
        <f t="shared" ref="I73" si="35">SUM(I74:I104)</f>
        <v>0</v>
      </c>
      <c r="J73" s="220">
        <f t="shared" ref="J73" si="36">SUM(J74:J104)</f>
        <v>0</v>
      </c>
      <c r="K73" s="220">
        <f t="shared" ref="K73" si="37">SUM(K74:K104)</f>
        <v>0</v>
      </c>
      <c r="L73" s="220">
        <f t="shared" ref="L73" si="38">SUM(L74:L104)</f>
        <v>0</v>
      </c>
      <c r="M73" s="220">
        <f t="shared" ref="M73" si="39">SUM(M74:M104)</f>
        <v>0</v>
      </c>
      <c r="N73" s="220">
        <f t="shared" ref="N73" si="40">SUM(N74:N104)</f>
        <v>0</v>
      </c>
      <c r="O73" s="220">
        <f t="shared" ref="O73" si="41">SUM(O74:O104)</f>
        <v>0</v>
      </c>
      <c r="P73" s="220">
        <f t="shared" ref="P73" si="42">SUM(P74:P104)</f>
        <v>0</v>
      </c>
      <c r="Q73" s="220">
        <f t="shared" ref="Q73" si="43">SUM(Q74:Q104)</f>
        <v>0</v>
      </c>
      <c r="R73" s="220">
        <f t="shared" ref="R73" si="44">SUM(R74:R104)</f>
        <v>936</v>
      </c>
      <c r="S73" s="220">
        <f t="shared" ref="S73" si="45">SUM(S74:S104)</f>
        <v>0</v>
      </c>
      <c r="T73" s="220">
        <f t="shared" ref="T73" si="46">SUM(T74:T104)</f>
        <v>0</v>
      </c>
      <c r="U73" s="220">
        <f t="shared" ref="U73" si="47">SUM(U74:U104)</f>
        <v>0</v>
      </c>
      <c r="V73" s="220">
        <f t="shared" ref="V73" si="48">SUM(V74:V104)</f>
        <v>0</v>
      </c>
      <c r="W73" s="220">
        <f t="shared" ref="W73" si="49">SUM(W74:W104)</f>
        <v>1545</v>
      </c>
      <c r="X73" s="220">
        <f t="shared" ref="X73" si="50">SUM(X74:X104)</f>
        <v>156.8</v>
      </c>
      <c r="Y73" s="220">
        <f t="shared" ref="Y73" si="51">SUM(Y74:Y104)</f>
        <v>37.8</v>
      </c>
      <c r="Z73" s="220">
        <f t="shared" ref="Z73" si="52">SUM(Z74:Z104)</f>
        <v>241.8</v>
      </c>
      <c r="AA73" s="220">
        <f t="shared" ref="AA73" si="53">SUM(AA74:AA104)</f>
        <v>554.5</v>
      </c>
      <c r="AB73" s="220">
        <f t="shared" ref="AB73" si="54">SUM(AB74:AB104)</f>
        <v>601.8</v>
      </c>
      <c r="AC73" s="220">
        <f t="shared" ref="AC73" si="55">SUM(AC74:AC104)</f>
        <v>404.6</v>
      </c>
      <c r="AD73" s="220">
        <f t="shared" ref="AD73" si="56">SUM(AD74:AD104)</f>
        <v>56.3</v>
      </c>
    </row>
    <row r="74" spans="1:30">
      <c r="A74" s="223" t="s">
        <v>1269</v>
      </c>
      <c r="B74" s="220">
        <f>IFERROR(VLOOKUP($A74,'NG Pivot'!$A$4:$W$29,MATCH(B$2,'NG Pivot'!$O$3:$W$3,0)+14,FALSE),0)*10</f>
        <v>0</v>
      </c>
      <c r="C74" s="220">
        <f>IFERROR(VLOOKUP($A74,'NG Pivot'!$A$4:$W$29,MATCH(C$2,'NG Pivot'!$O$3:$W$3,0)+14,FALSE),0)*10</f>
        <v>0</v>
      </c>
      <c r="D74" s="220">
        <f>IFERROR(VLOOKUP($A74,'NG Pivot'!$A$4:$W$29,MATCH(D$2,'NG Pivot'!$O$3:$W$3,0)+14,FALSE),0)*10</f>
        <v>0</v>
      </c>
      <c r="E74" s="220">
        <f>IFERROR(VLOOKUP($A74,'NG Pivot'!$A$4:$W$29,MATCH(E$2,'NG Pivot'!$O$3:$W$3,0)+14,FALSE),0)*10</f>
        <v>0</v>
      </c>
      <c r="F74" s="220">
        <f>IFERROR(VLOOKUP($A74,'NG Pivot'!$A$4:$W$29,MATCH(F$2,'NG Pivot'!$O$3:$W$3,0)+14,FALSE),0)*10</f>
        <v>0</v>
      </c>
      <c r="G74" s="220">
        <f>IFERROR(VLOOKUP($A74,'NG Pivot'!$A$4:$W$29,MATCH(G$2,'NG Pivot'!$O$3:$W$3,0)+14,FALSE),0)*10</f>
        <v>0</v>
      </c>
      <c r="H74" s="220">
        <f>IFERROR(VLOOKUP($A74,'NG Pivot'!$A$4:$W$29,MATCH(H$2,'NG Pivot'!$O$3:$W$3,0)+14,FALSE),0)*10</f>
        <v>0</v>
      </c>
      <c r="I74" s="220">
        <f>IFERROR(VLOOKUP($A74,'NG Pivot'!$A$4:$W$29,MATCH(I$2,'NG Pivot'!$O$3:$W$3,0)+14,FALSE),0)*10</f>
        <v>0</v>
      </c>
      <c r="J74" s="220">
        <f>IFERROR(VLOOKUP($A74,'NG Pivot'!$A$4:$W$29,MATCH(J$2,'NG Pivot'!$O$3:$W$3,0)+14,FALSE),0)*10</f>
        <v>0</v>
      </c>
      <c r="K74" s="220">
        <f>IFERROR(VLOOKUP($A74,'NG Pivot'!$A$4:$W$29,MATCH(K$2,'NG Pivot'!$O$3:$W$3,0)+14,FALSE),0)*10</f>
        <v>0</v>
      </c>
      <c r="L74" s="220">
        <f>IFERROR(VLOOKUP($A74,'NG Pivot'!$A$4:$W$29,MATCH(L$2,'NG Pivot'!$O$3:$W$3,0)+14,FALSE),0)*10</f>
        <v>0</v>
      </c>
      <c r="M74" s="220">
        <f>IFERROR(VLOOKUP($A74,'NG Pivot'!$A$4:$W$29,MATCH(M$2,'NG Pivot'!$O$3:$W$3,0)+14,FALSE),0)*10</f>
        <v>0</v>
      </c>
      <c r="N74" s="220">
        <f>IFERROR(VLOOKUP($A74,'NG Pivot'!$A$4:$W$29,MATCH(N$2,'NG Pivot'!$O$3:$W$3,0)+14,FALSE),0)*10</f>
        <v>0</v>
      </c>
      <c r="O74" s="220">
        <f>IFERROR(VLOOKUP($A74,'NG Pivot'!$A$4:$W$29,MATCH(O$2,'NG Pivot'!$O$3:$W$3,0)+14,FALSE),0)*10</f>
        <v>0</v>
      </c>
      <c r="P74" s="220">
        <f>IFERROR(VLOOKUP($A74,'NG Pivot'!$A$4:$W$29,MATCH(P$2,'NG Pivot'!$O$3:$W$3,0)+14,FALSE),0)*10</f>
        <v>0</v>
      </c>
      <c r="Q74" s="220">
        <f>IFERROR(VLOOKUP($A74,'NG Pivot'!$A$4:$W$29,MATCH(Q$2,'NG Pivot'!$O$3:$W$3,0)+14,FALSE),0)*10</f>
        <v>0</v>
      </c>
      <c r="R74" s="220">
        <f>IFERROR(VLOOKUP($A74,'NG Pivot'!$A$4:$W$29,MATCH(R$2,'NG Pivot'!$O$3:$W$3,0)+14,FALSE),0)*10</f>
        <v>0</v>
      </c>
      <c r="S74" s="220">
        <f>IFERROR(VLOOKUP($A74,'NG Pivot'!$A$4:$W$29,MATCH(S$2,'NG Pivot'!$O$3:$W$3,0)+14,FALSE),0)*10</f>
        <v>0</v>
      </c>
      <c r="T74" s="220">
        <f>IFERROR(VLOOKUP($A74,'NG Pivot'!$A$4:$W$29,MATCH(T$2,'NG Pivot'!$O$3:$W$3,0)+14,FALSE),0)*10</f>
        <v>0</v>
      </c>
      <c r="U74" s="220">
        <f>IFERROR(VLOOKUP($A74,'NG Pivot'!$A$4:$W$29,MATCH(U$2,'NG Pivot'!$O$3:$W$3,0)+14,FALSE),0)*10</f>
        <v>0</v>
      </c>
      <c r="V74" s="220">
        <f>IFERROR(VLOOKUP($A74,'NG Pivot'!$A$4:$W$29,MATCH(V$2,'NG Pivot'!$O$3:$W$3,0)+14,FALSE),0)*10</f>
        <v>0</v>
      </c>
      <c r="W74" s="220">
        <f>IFERROR(VLOOKUP($A74,'NG Pivot'!$A$4:$W$29,MATCH(W$2,'NG Pivot'!$O$3:$W$3,0)+14,FALSE),0)*10</f>
        <v>0</v>
      </c>
      <c r="X74" s="220">
        <f>IFERROR(VLOOKUP($A74,'NG Pivot'!$A$4:$W$29,MATCH(X$2,'NG Pivot'!$O$3:$W$3,0)+14,FALSE),0)*10</f>
        <v>0</v>
      </c>
      <c r="Y74" s="220">
        <f>IFERROR(VLOOKUP($A74,'NG Pivot'!$A$4:$W$29,MATCH(Y$2,'NG Pivot'!$O$3:$W$3,0)+14,FALSE),0)*10</f>
        <v>0</v>
      </c>
      <c r="Z74" s="220">
        <f>IFERROR(VLOOKUP($A74,'NG Pivot'!$A$4:$W$29,MATCH(Z$2,'NG Pivot'!$O$3:$W$3,0)+14,FALSE),0)*10</f>
        <v>0</v>
      </c>
      <c r="AA74" s="220">
        <f>IFERROR(VLOOKUP($A74,'NG Pivot'!$A$4:$W$29,MATCH(AA$2,'NG Pivot'!$O$3:$W$3,0)+14,FALSE),0)*10</f>
        <v>75</v>
      </c>
      <c r="AB74" s="220">
        <f>IFERROR(VLOOKUP($A74,'NG Pivot'!$A$4:$W$29,MATCH(AB$2,'NG Pivot'!$O$3:$W$3,0)+14,FALSE),0)*10</f>
        <v>75</v>
      </c>
      <c r="AC74" s="220">
        <f>IFERROR(VLOOKUP($A74,'NG Pivot'!$A$4:$W$29,MATCH(AC$2,'NG Pivot'!$O$3:$W$3,0)+14,FALSE),0)*10</f>
        <v>67</v>
      </c>
      <c r="AD74" s="220">
        <f>IFERROR(VLOOKUP($A74,'NG Pivot'!$A$4:$W$29,MATCH(AD$2,'NG Pivot'!$O$3:$W$3,0)+14,FALSE),0)*10</f>
        <v>0</v>
      </c>
    </row>
    <row r="75" spans="1:30">
      <c r="A75" s="223" t="s">
        <v>1270</v>
      </c>
      <c r="B75" s="220">
        <f>IFERROR(VLOOKUP($A75,'NG Pivot'!$A$4:$W$29,MATCH(B$2,'NG Pivot'!$O$3:$W$3,0)+14,FALSE),0)*10</f>
        <v>0</v>
      </c>
      <c r="C75" s="220">
        <f>IFERROR(VLOOKUP($A75,'NG Pivot'!$A$4:$W$29,MATCH(C$2,'NG Pivot'!$O$3:$W$3,0)+14,FALSE),0)*10</f>
        <v>0</v>
      </c>
      <c r="D75" s="220">
        <f>IFERROR(VLOOKUP($A75,'NG Pivot'!$A$4:$W$29,MATCH(D$2,'NG Pivot'!$O$3:$W$3,0)+14,FALSE),0)*10</f>
        <v>0</v>
      </c>
      <c r="E75" s="220">
        <f>IFERROR(VLOOKUP($A75,'NG Pivot'!$A$4:$W$29,MATCH(E$2,'NG Pivot'!$O$3:$W$3,0)+14,FALSE),0)*10</f>
        <v>0</v>
      </c>
      <c r="F75" s="220">
        <f>IFERROR(VLOOKUP($A75,'NG Pivot'!$A$4:$W$29,MATCH(F$2,'NG Pivot'!$O$3:$W$3,0)+14,FALSE),0)*10</f>
        <v>0</v>
      </c>
      <c r="G75" s="220">
        <f>IFERROR(VLOOKUP($A75,'NG Pivot'!$A$4:$W$29,MATCH(G$2,'NG Pivot'!$O$3:$W$3,0)+14,FALSE),0)*10</f>
        <v>0</v>
      </c>
      <c r="H75" s="220">
        <f>IFERROR(VLOOKUP($A75,'NG Pivot'!$A$4:$W$29,MATCH(H$2,'NG Pivot'!$O$3:$W$3,0)+14,FALSE),0)*10</f>
        <v>0</v>
      </c>
      <c r="I75" s="220">
        <f>IFERROR(VLOOKUP($A75,'NG Pivot'!$A$4:$W$29,MATCH(I$2,'NG Pivot'!$O$3:$W$3,0)+14,FALSE),0)*10</f>
        <v>0</v>
      </c>
      <c r="J75" s="220">
        <f>IFERROR(VLOOKUP($A75,'NG Pivot'!$A$4:$W$29,MATCH(J$2,'NG Pivot'!$O$3:$W$3,0)+14,FALSE),0)*10</f>
        <v>0</v>
      </c>
      <c r="K75" s="220">
        <f>IFERROR(VLOOKUP($A75,'NG Pivot'!$A$4:$W$29,MATCH(K$2,'NG Pivot'!$O$3:$W$3,0)+14,FALSE),0)*10</f>
        <v>0</v>
      </c>
      <c r="L75" s="220">
        <f>IFERROR(VLOOKUP($A75,'NG Pivot'!$A$4:$W$29,MATCH(L$2,'NG Pivot'!$O$3:$W$3,0)+14,FALSE),0)*10</f>
        <v>0</v>
      </c>
      <c r="M75" s="220">
        <f>IFERROR(VLOOKUP($A75,'NG Pivot'!$A$4:$W$29,MATCH(M$2,'NG Pivot'!$O$3:$W$3,0)+14,FALSE),0)*10</f>
        <v>0</v>
      </c>
      <c r="N75" s="220">
        <f>IFERROR(VLOOKUP($A75,'NG Pivot'!$A$4:$W$29,MATCH(N$2,'NG Pivot'!$O$3:$W$3,0)+14,FALSE),0)*10</f>
        <v>0</v>
      </c>
      <c r="O75" s="220">
        <f>IFERROR(VLOOKUP($A75,'NG Pivot'!$A$4:$W$29,MATCH(O$2,'NG Pivot'!$O$3:$W$3,0)+14,FALSE),0)*10</f>
        <v>0</v>
      </c>
      <c r="P75" s="220">
        <f>IFERROR(VLOOKUP($A75,'NG Pivot'!$A$4:$W$29,MATCH(P$2,'NG Pivot'!$O$3:$W$3,0)+14,FALSE),0)*10</f>
        <v>0</v>
      </c>
      <c r="Q75" s="220">
        <f>IFERROR(VLOOKUP($A75,'NG Pivot'!$A$4:$W$29,MATCH(Q$2,'NG Pivot'!$O$3:$W$3,0)+14,FALSE),0)*10</f>
        <v>0</v>
      </c>
      <c r="R75" s="220">
        <f>IFERROR(VLOOKUP($A75,'NG Pivot'!$A$4:$W$29,MATCH(R$2,'NG Pivot'!$O$3:$W$3,0)+14,FALSE),0)*10</f>
        <v>0</v>
      </c>
      <c r="S75" s="220">
        <f>IFERROR(VLOOKUP($A75,'NG Pivot'!$A$4:$W$29,MATCH(S$2,'NG Pivot'!$O$3:$W$3,0)+14,FALSE),0)*10</f>
        <v>0</v>
      </c>
      <c r="T75" s="220">
        <f>IFERROR(VLOOKUP($A75,'NG Pivot'!$A$4:$W$29,MATCH(T$2,'NG Pivot'!$O$3:$W$3,0)+14,FALSE),0)*10</f>
        <v>0</v>
      </c>
      <c r="U75" s="220">
        <f>IFERROR(VLOOKUP($A75,'NG Pivot'!$A$4:$W$29,MATCH(U$2,'NG Pivot'!$O$3:$W$3,0)+14,FALSE),0)*10</f>
        <v>0</v>
      </c>
      <c r="V75" s="220">
        <f>IFERROR(VLOOKUP($A75,'NG Pivot'!$A$4:$W$29,MATCH(V$2,'NG Pivot'!$O$3:$W$3,0)+14,FALSE),0)*10</f>
        <v>0</v>
      </c>
      <c r="W75" s="220">
        <f>IFERROR(VLOOKUP($A75,'NG Pivot'!$A$4:$W$29,MATCH(W$2,'NG Pivot'!$O$3:$W$3,0)+14,FALSE),0)*10</f>
        <v>400</v>
      </c>
      <c r="X75" s="220">
        <f>IFERROR(VLOOKUP($A75,'NG Pivot'!$A$4:$W$29,MATCH(X$2,'NG Pivot'!$O$3:$W$3,0)+14,FALSE),0)*10</f>
        <v>0</v>
      </c>
      <c r="Y75" s="220">
        <f>IFERROR(VLOOKUP($A75,'NG Pivot'!$A$4:$W$29,MATCH(Y$2,'NG Pivot'!$O$3:$W$3,0)+14,FALSE),0)*10</f>
        <v>0</v>
      </c>
      <c r="Z75" s="220">
        <f>IFERROR(VLOOKUP($A75,'NG Pivot'!$A$4:$W$29,MATCH(Z$2,'NG Pivot'!$O$3:$W$3,0)+14,FALSE),0)*10</f>
        <v>0</v>
      </c>
      <c r="AA75" s="220">
        <f>IFERROR(VLOOKUP($A75,'NG Pivot'!$A$4:$W$29,MATCH(AA$2,'NG Pivot'!$O$3:$W$3,0)+14,FALSE),0)*10</f>
        <v>119.4</v>
      </c>
      <c r="AB75" s="220">
        <f>IFERROR(VLOOKUP($A75,'NG Pivot'!$A$4:$W$29,MATCH(AB$2,'NG Pivot'!$O$3:$W$3,0)+14,FALSE),0)*10</f>
        <v>0</v>
      </c>
      <c r="AC75" s="220">
        <f>IFERROR(VLOOKUP($A75,'NG Pivot'!$A$4:$W$29,MATCH(AC$2,'NG Pivot'!$O$3:$W$3,0)+14,FALSE),0)*10</f>
        <v>0</v>
      </c>
      <c r="AD75" s="220">
        <f>IFERROR(VLOOKUP($A75,'NG Pivot'!$A$4:$W$29,MATCH(AD$2,'NG Pivot'!$O$3:$W$3,0)+14,FALSE),0)*10</f>
        <v>0</v>
      </c>
    </row>
    <row r="76" spans="1:30">
      <c r="A76" s="223" t="s">
        <v>1271</v>
      </c>
      <c r="B76" s="220">
        <f>IFERROR(VLOOKUP($A76,'NG Pivot'!$A$4:$W$29,MATCH(B$2,'NG Pivot'!$O$3:$W$3,0)+14,FALSE),0)*10</f>
        <v>0</v>
      </c>
      <c r="C76" s="220">
        <f>IFERROR(VLOOKUP($A76,'NG Pivot'!$A$4:$W$29,MATCH(C$2,'NG Pivot'!$O$3:$W$3,0)+14,FALSE),0)*10</f>
        <v>0</v>
      </c>
      <c r="D76" s="220">
        <f>IFERROR(VLOOKUP($A76,'NG Pivot'!$A$4:$W$29,MATCH(D$2,'NG Pivot'!$O$3:$W$3,0)+14,FALSE),0)*10</f>
        <v>0</v>
      </c>
      <c r="E76" s="220">
        <f>IFERROR(VLOOKUP($A76,'NG Pivot'!$A$4:$W$29,MATCH(E$2,'NG Pivot'!$O$3:$W$3,0)+14,FALSE),0)*10</f>
        <v>0</v>
      </c>
      <c r="F76" s="220">
        <f>IFERROR(VLOOKUP($A76,'NG Pivot'!$A$4:$W$29,MATCH(F$2,'NG Pivot'!$O$3:$W$3,0)+14,FALSE),0)*10</f>
        <v>0</v>
      </c>
      <c r="G76" s="220">
        <f>IFERROR(VLOOKUP($A76,'NG Pivot'!$A$4:$W$29,MATCH(G$2,'NG Pivot'!$O$3:$W$3,0)+14,FALSE),0)*10</f>
        <v>0</v>
      </c>
      <c r="H76" s="220">
        <f>IFERROR(VLOOKUP($A76,'NG Pivot'!$A$4:$W$29,MATCH(H$2,'NG Pivot'!$O$3:$W$3,0)+14,FALSE),0)*10</f>
        <v>0</v>
      </c>
      <c r="I76" s="220">
        <f>IFERROR(VLOOKUP($A76,'NG Pivot'!$A$4:$W$29,MATCH(I$2,'NG Pivot'!$O$3:$W$3,0)+14,FALSE),0)*10</f>
        <v>0</v>
      </c>
      <c r="J76" s="220">
        <f>IFERROR(VLOOKUP($A76,'NG Pivot'!$A$4:$W$29,MATCH(J$2,'NG Pivot'!$O$3:$W$3,0)+14,FALSE),0)*10</f>
        <v>0</v>
      </c>
      <c r="K76" s="220">
        <f>IFERROR(VLOOKUP($A76,'NG Pivot'!$A$4:$W$29,MATCH(K$2,'NG Pivot'!$O$3:$W$3,0)+14,FALSE),0)*10</f>
        <v>0</v>
      </c>
      <c r="L76" s="220">
        <f>IFERROR(VLOOKUP($A76,'NG Pivot'!$A$4:$W$29,MATCH(L$2,'NG Pivot'!$O$3:$W$3,0)+14,FALSE),0)*10</f>
        <v>0</v>
      </c>
      <c r="M76" s="220">
        <f>IFERROR(VLOOKUP($A76,'NG Pivot'!$A$4:$W$29,MATCH(M$2,'NG Pivot'!$O$3:$W$3,0)+14,FALSE),0)*10</f>
        <v>0</v>
      </c>
      <c r="N76" s="220">
        <f>IFERROR(VLOOKUP($A76,'NG Pivot'!$A$4:$W$29,MATCH(N$2,'NG Pivot'!$O$3:$W$3,0)+14,FALSE),0)*10</f>
        <v>0</v>
      </c>
      <c r="O76" s="220">
        <f>IFERROR(VLOOKUP($A76,'NG Pivot'!$A$4:$W$29,MATCH(O$2,'NG Pivot'!$O$3:$W$3,0)+14,FALSE),0)*10</f>
        <v>0</v>
      </c>
      <c r="P76" s="220">
        <f>IFERROR(VLOOKUP($A76,'NG Pivot'!$A$4:$W$29,MATCH(P$2,'NG Pivot'!$O$3:$W$3,0)+14,FALSE),0)*10</f>
        <v>0</v>
      </c>
      <c r="Q76" s="220">
        <f>IFERROR(VLOOKUP($A76,'NG Pivot'!$A$4:$W$29,MATCH(Q$2,'NG Pivot'!$O$3:$W$3,0)+14,FALSE),0)*10</f>
        <v>0</v>
      </c>
      <c r="R76" s="220">
        <f>IFERROR(VLOOKUP($A76,'NG Pivot'!$A$4:$W$29,MATCH(R$2,'NG Pivot'!$O$3:$W$3,0)+14,FALSE),0)*10</f>
        <v>0</v>
      </c>
      <c r="S76" s="220">
        <f>IFERROR(VLOOKUP($A76,'NG Pivot'!$A$4:$W$29,MATCH(S$2,'NG Pivot'!$O$3:$W$3,0)+14,FALSE),0)*10</f>
        <v>0</v>
      </c>
      <c r="T76" s="220">
        <f>IFERROR(VLOOKUP($A76,'NG Pivot'!$A$4:$W$29,MATCH(T$2,'NG Pivot'!$O$3:$W$3,0)+14,FALSE),0)*10</f>
        <v>0</v>
      </c>
      <c r="U76" s="220">
        <f>IFERROR(VLOOKUP($A76,'NG Pivot'!$A$4:$W$29,MATCH(U$2,'NG Pivot'!$O$3:$W$3,0)+14,FALSE),0)*10</f>
        <v>0</v>
      </c>
      <c r="V76" s="220">
        <f>IFERROR(VLOOKUP($A76,'NG Pivot'!$A$4:$W$29,MATCH(V$2,'NG Pivot'!$O$3:$W$3,0)+14,FALSE),0)*10</f>
        <v>0</v>
      </c>
      <c r="W76" s="220">
        <f>IFERROR(VLOOKUP($A76,'NG Pivot'!$A$4:$W$29,MATCH(W$2,'NG Pivot'!$O$3:$W$3,0)+14,FALSE),0)*10</f>
        <v>0</v>
      </c>
      <c r="X76" s="220">
        <f>IFERROR(VLOOKUP($A76,'NG Pivot'!$A$4:$W$29,MATCH(X$2,'NG Pivot'!$O$3:$W$3,0)+14,FALSE),0)*10</f>
        <v>0</v>
      </c>
      <c r="Y76" s="220">
        <f>IFERROR(VLOOKUP($A76,'NG Pivot'!$A$4:$W$29,MATCH(Y$2,'NG Pivot'!$O$3:$W$3,0)+14,FALSE),0)*10</f>
        <v>0</v>
      </c>
      <c r="Z76" s="220">
        <f>IFERROR(VLOOKUP($A76,'NG Pivot'!$A$4:$W$29,MATCH(Z$2,'NG Pivot'!$O$3:$W$3,0)+14,FALSE),0)*10</f>
        <v>0</v>
      </c>
      <c r="AA76" s="220">
        <f>IFERROR(VLOOKUP($A76,'NG Pivot'!$A$4:$W$29,MATCH(AA$2,'NG Pivot'!$O$3:$W$3,0)+14,FALSE),0)*10</f>
        <v>0</v>
      </c>
      <c r="AB76" s="220">
        <f>IFERROR(VLOOKUP($A76,'NG Pivot'!$A$4:$W$29,MATCH(AB$2,'NG Pivot'!$O$3:$W$3,0)+14,FALSE),0)*10</f>
        <v>0</v>
      </c>
      <c r="AC76" s="220">
        <f>IFERROR(VLOOKUP($A76,'NG Pivot'!$A$4:$W$29,MATCH(AC$2,'NG Pivot'!$O$3:$W$3,0)+14,FALSE),0)*10</f>
        <v>12.6</v>
      </c>
      <c r="AD76" s="220">
        <f>IFERROR(VLOOKUP($A76,'NG Pivot'!$A$4:$W$29,MATCH(AD$2,'NG Pivot'!$O$3:$W$3,0)+14,FALSE),0)*10</f>
        <v>0</v>
      </c>
    </row>
    <row r="77" spans="1:30">
      <c r="A77" s="223" t="s">
        <v>1272</v>
      </c>
      <c r="B77" s="220">
        <f>IFERROR(VLOOKUP($A77,'NG Pivot'!$A$4:$W$29,MATCH(B$2,'NG Pivot'!$O$3:$W$3,0)+14,FALSE),0)*10</f>
        <v>0</v>
      </c>
      <c r="C77" s="220">
        <f>IFERROR(VLOOKUP($A77,'NG Pivot'!$A$4:$W$29,MATCH(C$2,'NG Pivot'!$O$3:$W$3,0)+14,FALSE),0)*10</f>
        <v>0</v>
      </c>
      <c r="D77" s="220">
        <f>IFERROR(VLOOKUP($A77,'NG Pivot'!$A$4:$W$29,MATCH(D$2,'NG Pivot'!$O$3:$W$3,0)+14,FALSE),0)*10</f>
        <v>0</v>
      </c>
      <c r="E77" s="220">
        <f>IFERROR(VLOOKUP($A77,'NG Pivot'!$A$4:$W$29,MATCH(E$2,'NG Pivot'!$O$3:$W$3,0)+14,FALSE),0)*10</f>
        <v>0</v>
      </c>
      <c r="F77" s="220">
        <f>IFERROR(VLOOKUP($A77,'NG Pivot'!$A$4:$W$29,MATCH(F$2,'NG Pivot'!$O$3:$W$3,0)+14,FALSE),0)*10</f>
        <v>0</v>
      </c>
      <c r="G77" s="220">
        <f>IFERROR(VLOOKUP($A77,'NG Pivot'!$A$4:$W$29,MATCH(G$2,'NG Pivot'!$O$3:$W$3,0)+14,FALSE),0)*10</f>
        <v>0</v>
      </c>
      <c r="H77" s="220">
        <f>IFERROR(VLOOKUP($A77,'NG Pivot'!$A$4:$W$29,MATCH(H$2,'NG Pivot'!$O$3:$W$3,0)+14,FALSE),0)*10</f>
        <v>0</v>
      </c>
      <c r="I77" s="220">
        <f>IFERROR(VLOOKUP($A77,'NG Pivot'!$A$4:$W$29,MATCH(I$2,'NG Pivot'!$O$3:$W$3,0)+14,FALSE),0)*10</f>
        <v>0</v>
      </c>
      <c r="J77" s="220">
        <f>IFERROR(VLOOKUP($A77,'NG Pivot'!$A$4:$W$29,MATCH(J$2,'NG Pivot'!$O$3:$W$3,0)+14,FALSE),0)*10</f>
        <v>0</v>
      </c>
      <c r="K77" s="220">
        <f>IFERROR(VLOOKUP($A77,'NG Pivot'!$A$4:$W$29,MATCH(K$2,'NG Pivot'!$O$3:$W$3,0)+14,FALSE),0)*10</f>
        <v>0</v>
      </c>
      <c r="L77" s="220">
        <f>IFERROR(VLOOKUP($A77,'NG Pivot'!$A$4:$W$29,MATCH(L$2,'NG Pivot'!$O$3:$W$3,0)+14,FALSE),0)*10</f>
        <v>0</v>
      </c>
      <c r="M77" s="220">
        <f>IFERROR(VLOOKUP($A77,'NG Pivot'!$A$4:$W$29,MATCH(M$2,'NG Pivot'!$O$3:$W$3,0)+14,FALSE),0)*10</f>
        <v>0</v>
      </c>
      <c r="N77" s="220">
        <f>IFERROR(VLOOKUP($A77,'NG Pivot'!$A$4:$W$29,MATCH(N$2,'NG Pivot'!$O$3:$W$3,0)+14,FALSE),0)*10</f>
        <v>0</v>
      </c>
      <c r="O77" s="220">
        <f>IFERROR(VLOOKUP($A77,'NG Pivot'!$A$4:$W$29,MATCH(O$2,'NG Pivot'!$O$3:$W$3,0)+14,FALSE),0)*10</f>
        <v>0</v>
      </c>
      <c r="P77" s="220">
        <f>IFERROR(VLOOKUP($A77,'NG Pivot'!$A$4:$W$29,MATCH(P$2,'NG Pivot'!$O$3:$W$3,0)+14,FALSE),0)*10</f>
        <v>0</v>
      </c>
      <c r="Q77" s="220">
        <f>IFERROR(VLOOKUP($A77,'NG Pivot'!$A$4:$W$29,MATCH(Q$2,'NG Pivot'!$O$3:$W$3,0)+14,FALSE),0)*10</f>
        <v>0</v>
      </c>
      <c r="R77" s="220">
        <f>IFERROR(VLOOKUP($A77,'NG Pivot'!$A$4:$W$29,MATCH(R$2,'NG Pivot'!$O$3:$W$3,0)+14,FALSE),0)*10</f>
        <v>0</v>
      </c>
      <c r="S77" s="220">
        <f>IFERROR(VLOOKUP($A77,'NG Pivot'!$A$4:$W$29,MATCH(S$2,'NG Pivot'!$O$3:$W$3,0)+14,FALSE),0)*10</f>
        <v>0</v>
      </c>
      <c r="T77" s="220">
        <f>IFERROR(VLOOKUP($A77,'NG Pivot'!$A$4:$W$29,MATCH(T$2,'NG Pivot'!$O$3:$W$3,0)+14,FALSE),0)*10</f>
        <v>0</v>
      </c>
      <c r="U77" s="220">
        <f>IFERROR(VLOOKUP($A77,'NG Pivot'!$A$4:$W$29,MATCH(U$2,'NG Pivot'!$O$3:$W$3,0)+14,FALSE),0)*10</f>
        <v>0</v>
      </c>
      <c r="V77" s="220">
        <f>IFERROR(VLOOKUP($A77,'NG Pivot'!$A$4:$W$29,MATCH(V$2,'NG Pivot'!$O$3:$W$3,0)+14,FALSE),0)*10</f>
        <v>0</v>
      </c>
      <c r="W77" s="220">
        <f>IFERROR(VLOOKUP($A77,'NG Pivot'!$A$4:$W$29,MATCH(W$2,'NG Pivot'!$O$3:$W$3,0)+14,FALSE),0)*10</f>
        <v>0</v>
      </c>
      <c r="X77" s="220">
        <f>IFERROR(VLOOKUP($A77,'NG Pivot'!$A$4:$W$29,MATCH(X$2,'NG Pivot'!$O$3:$W$3,0)+14,FALSE),0)*10</f>
        <v>0</v>
      </c>
      <c r="Y77" s="220">
        <f>IFERROR(VLOOKUP($A77,'NG Pivot'!$A$4:$W$29,MATCH(Y$2,'NG Pivot'!$O$3:$W$3,0)+14,FALSE),0)*10</f>
        <v>0</v>
      </c>
      <c r="Z77" s="220">
        <f>IFERROR(VLOOKUP($A77,'NG Pivot'!$A$4:$W$29,MATCH(Z$2,'NG Pivot'!$O$3:$W$3,0)+14,FALSE),0)*10</f>
        <v>0</v>
      </c>
      <c r="AA77" s="220">
        <f>IFERROR(VLOOKUP($A77,'NG Pivot'!$A$4:$W$29,MATCH(AA$2,'NG Pivot'!$O$3:$W$3,0)+14,FALSE),0)*10</f>
        <v>0</v>
      </c>
      <c r="AB77" s="220">
        <f>IFERROR(VLOOKUP($A77,'NG Pivot'!$A$4:$W$29,MATCH(AB$2,'NG Pivot'!$O$3:$W$3,0)+14,FALSE),0)*10</f>
        <v>0</v>
      </c>
      <c r="AC77" s="220">
        <f>IFERROR(VLOOKUP($A77,'NG Pivot'!$A$4:$W$29,MATCH(AC$2,'NG Pivot'!$O$3:$W$3,0)+14,FALSE),0)*10</f>
        <v>0</v>
      </c>
      <c r="AD77" s="220">
        <f>IFERROR(VLOOKUP($A77,'NG Pivot'!$A$4:$W$29,MATCH(AD$2,'NG Pivot'!$O$3:$W$3,0)+14,FALSE),0)*10</f>
        <v>0</v>
      </c>
    </row>
    <row r="78" spans="1:30">
      <c r="A78" s="223" t="s">
        <v>1273</v>
      </c>
      <c r="B78" s="220">
        <f>IFERROR(VLOOKUP($A78,'NG Pivot'!$A$4:$W$29,MATCH(B$2,'NG Pivot'!$O$3:$W$3,0)+14,FALSE),0)*10</f>
        <v>0</v>
      </c>
      <c r="C78" s="220">
        <f>IFERROR(VLOOKUP($A78,'NG Pivot'!$A$4:$W$29,MATCH(C$2,'NG Pivot'!$O$3:$W$3,0)+14,FALSE),0)*10</f>
        <v>0</v>
      </c>
      <c r="D78" s="220">
        <f>IFERROR(VLOOKUP($A78,'NG Pivot'!$A$4:$W$29,MATCH(D$2,'NG Pivot'!$O$3:$W$3,0)+14,FALSE),0)*10</f>
        <v>0</v>
      </c>
      <c r="E78" s="220">
        <f>IFERROR(VLOOKUP($A78,'NG Pivot'!$A$4:$W$29,MATCH(E$2,'NG Pivot'!$O$3:$W$3,0)+14,FALSE),0)*10</f>
        <v>0</v>
      </c>
      <c r="F78" s="220">
        <f>IFERROR(VLOOKUP($A78,'NG Pivot'!$A$4:$W$29,MATCH(F$2,'NG Pivot'!$O$3:$W$3,0)+14,FALSE),0)*10</f>
        <v>0</v>
      </c>
      <c r="G78" s="220">
        <f>IFERROR(VLOOKUP($A78,'NG Pivot'!$A$4:$W$29,MATCH(G$2,'NG Pivot'!$O$3:$W$3,0)+14,FALSE),0)*10</f>
        <v>0</v>
      </c>
      <c r="H78" s="220">
        <f>IFERROR(VLOOKUP($A78,'NG Pivot'!$A$4:$W$29,MATCH(H$2,'NG Pivot'!$O$3:$W$3,0)+14,FALSE),0)*10</f>
        <v>0</v>
      </c>
      <c r="I78" s="220">
        <f>IFERROR(VLOOKUP($A78,'NG Pivot'!$A$4:$W$29,MATCH(I$2,'NG Pivot'!$O$3:$W$3,0)+14,FALSE),0)*10</f>
        <v>0</v>
      </c>
      <c r="J78" s="220">
        <f>IFERROR(VLOOKUP($A78,'NG Pivot'!$A$4:$W$29,MATCH(J$2,'NG Pivot'!$O$3:$W$3,0)+14,FALSE),0)*10</f>
        <v>0</v>
      </c>
      <c r="K78" s="220">
        <f>IFERROR(VLOOKUP($A78,'NG Pivot'!$A$4:$W$29,MATCH(K$2,'NG Pivot'!$O$3:$W$3,0)+14,FALSE),0)*10</f>
        <v>0</v>
      </c>
      <c r="L78" s="220">
        <f>IFERROR(VLOOKUP($A78,'NG Pivot'!$A$4:$W$29,MATCH(L$2,'NG Pivot'!$O$3:$W$3,0)+14,FALSE),0)*10</f>
        <v>0</v>
      </c>
      <c r="M78" s="220">
        <f>IFERROR(VLOOKUP($A78,'NG Pivot'!$A$4:$W$29,MATCH(M$2,'NG Pivot'!$O$3:$W$3,0)+14,FALSE),0)*10</f>
        <v>0</v>
      </c>
      <c r="N78" s="220">
        <f>IFERROR(VLOOKUP($A78,'NG Pivot'!$A$4:$W$29,MATCH(N$2,'NG Pivot'!$O$3:$W$3,0)+14,FALSE),0)*10</f>
        <v>0</v>
      </c>
      <c r="O78" s="220">
        <f>IFERROR(VLOOKUP($A78,'NG Pivot'!$A$4:$W$29,MATCH(O$2,'NG Pivot'!$O$3:$W$3,0)+14,FALSE),0)*10</f>
        <v>0</v>
      </c>
      <c r="P78" s="220">
        <f>IFERROR(VLOOKUP($A78,'NG Pivot'!$A$4:$W$29,MATCH(P$2,'NG Pivot'!$O$3:$W$3,0)+14,FALSE),0)*10</f>
        <v>0</v>
      </c>
      <c r="Q78" s="220">
        <f>IFERROR(VLOOKUP($A78,'NG Pivot'!$A$4:$W$29,MATCH(Q$2,'NG Pivot'!$O$3:$W$3,0)+14,FALSE),0)*10</f>
        <v>0</v>
      </c>
      <c r="R78" s="220">
        <f>IFERROR(VLOOKUP($A78,'NG Pivot'!$A$4:$W$29,MATCH(R$2,'NG Pivot'!$O$3:$W$3,0)+14,FALSE),0)*10</f>
        <v>0</v>
      </c>
      <c r="S78" s="220">
        <f>IFERROR(VLOOKUP($A78,'NG Pivot'!$A$4:$W$29,MATCH(S$2,'NG Pivot'!$O$3:$W$3,0)+14,FALSE),0)*10</f>
        <v>0</v>
      </c>
      <c r="T78" s="220">
        <f>IFERROR(VLOOKUP($A78,'NG Pivot'!$A$4:$W$29,MATCH(T$2,'NG Pivot'!$O$3:$W$3,0)+14,FALSE),0)*10</f>
        <v>0</v>
      </c>
      <c r="U78" s="220">
        <f>IFERROR(VLOOKUP($A78,'NG Pivot'!$A$4:$W$29,MATCH(U$2,'NG Pivot'!$O$3:$W$3,0)+14,FALSE),0)*10</f>
        <v>0</v>
      </c>
      <c r="V78" s="220">
        <f>IFERROR(VLOOKUP($A78,'NG Pivot'!$A$4:$W$29,MATCH(V$2,'NG Pivot'!$O$3:$W$3,0)+14,FALSE),0)*10</f>
        <v>0</v>
      </c>
      <c r="W78" s="220">
        <f>IFERROR(VLOOKUP($A78,'NG Pivot'!$A$4:$W$29,MATCH(W$2,'NG Pivot'!$O$3:$W$3,0)+14,FALSE),0)*10</f>
        <v>0</v>
      </c>
      <c r="X78" s="220">
        <f>IFERROR(VLOOKUP($A78,'NG Pivot'!$A$4:$W$29,MATCH(X$2,'NG Pivot'!$O$3:$W$3,0)+14,FALSE),0)*10</f>
        <v>0</v>
      </c>
      <c r="Y78" s="220">
        <f>IFERROR(VLOOKUP($A78,'NG Pivot'!$A$4:$W$29,MATCH(Y$2,'NG Pivot'!$O$3:$W$3,0)+14,FALSE),0)*10</f>
        <v>0</v>
      </c>
      <c r="Z78" s="220">
        <f>IFERROR(VLOOKUP($A78,'NG Pivot'!$A$4:$W$29,MATCH(Z$2,'NG Pivot'!$O$3:$W$3,0)+14,FALSE),0)*10</f>
        <v>0</v>
      </c>
      <c r="AA78" s="220">
        <f>IFERROR(VLOOKUP($A78,'NG Pivot'!$A$4:$W$29,MATCH(AA$2,'NG Pivot'!$O$3:$W$3,0)+14,FALSE),0)*10</f>
        <v>0</v>
      </c>
      <c r="AB78" s="220">
        <f>IFERROR(VLOOKUP($A78,'NG Pivot'!$A$4:$W$29,MATCH(AB$2,'NG Pivot'!$O$3:$W$3,0)+14,FALSE),0)*10</f>
        <v>0</v>
      </c>
      <c r="AC78" s="220">
        <f>IFERROR(VLOOKUP($A78,'NG Pivot'!$A$4:$W$29,MATCH(AC$2,'NG Pivot'!$O$3:$W$3,0)+14,FALSE),0)*10</f>
        <v>0</v>
      </c>
      <c r="AD78" s="220">
        <f>IFERROR(VLOOKUP($A78,'NG Pivot'!$A$4:$W$29,MATCH(AD$2,'NG Pivot'!$O$3:$W$3,0)+14,FALSE),0)*10</f>
        <v>0</v>
      </c>
    </row>
    <row r="79" spans="1:30">
      <c r="A79" s="223" t="s">
        <v>1274</v>
      </c>
      <c r="B79" s="220">
        <f>IFERROR(VLOOKUP($A79,'NG Pivot'!$A$4:$W$29,MATCH(B$2,'NG Pivot'!$O$3:$W$3,0)+14,FALSE),0)*10</f>
        <v>0</v>
      </c>
      <c r="C79" s="220">
        <f>IFERROR(VLOOKUP($A79,'NG Pivot'!$A$4:$W$29,MATCH(C$2,'NG Pivot'!$O$3:$W$3,0)+14,FALSE),0)*10</f>
        <v>0</v>
      </c>
      <c r="D79" s="220">
        <f>IFERROR(VLOOKUP($A79,'NG Pivot'!$A$4:$W$29,MATCH(D$2,'NG Pivot'!$O$3:$W$3,0)+14,FALSE),0)*10</f>
        <v>0</v>
      </c>
      <c r="E79" s="220">
        <f>IFERROR(VLOOKUP($A79,'NG Pivot'!$A$4:$W$29,MATCH(E$2,'NG Pivot'!$O$3:$W$3,0)+14,FALSE),0)*10</f>
        <v>0</v>
      </c>
      <c r="F79" s="220">
        <f>IFERROR(VLOOKUP($A79,'NG Pivot'!$A$4:$W$29,MATCH(F$2,'NG Pivot'!$O$3:$W$3,0)+14,FALSE),0)*10</f>
        <v>0</v>
      </c>
      <c r="G79" s="220">
        <f>IFERROR(VLOOKUP($A79,'NG Pivot'!$A$4:$W$29,MATCH(G$2,'NG Pivot'!$O$3:$W$3,0)+14,FALSE),0)*10</f>
        <v>0</v>
      </c>
      <c r="H79" s="220">
        <f>IFERROR(VLOOKUP($A79,'NG Pivot'!$A$4:$W$29,MATCH(H$2,'NG Pivot'!$O$3:$W$3,0)+14,FALSE),0)*10</f>
        <v>0</v>
      </c>
      <c r="I79" s="220">
        <f>IFERROR(VLOOKUP($A79,'NG Pivot'!$A$4:$W$29,MATCH(I$2,'NG Pivot'!$O$3:$W$3,0)+14,FALSE),0)*10</f>
        <v>0</v>
      </c>
      <c r="J79" s="220">
        <f>IFERROR(VLOOKUP($A79,'NG Pivot'!$A$4:$W$29,MATCH(J$2,'NG Pivot'!$O$3:$W$3,0)+14,FALSE),0)*10</f>
        <v>0</v>
      </c>
      <c r="K79" s="220">
        <f>IFERROR(VLOOKUP($A79,'NG Pivot'!$A$4:$W$29,MATCH(K$2,'NG Pivot'!$O$3:$W$3,0)+14,FALSE),0)*10</f>
        <v>0</v>
      </c>
      <c r="L79" s="220">
        <f>IFERROR(VLOOKUP($A79,'NG Pivot'!$A$4:$W$29,MATCH(L$2,'NG Pivot'!$O$3:$W$3,0)+14,FALSE),0)*10</f>
        <v>0</v>
      </c>
      <c r="M79" s="220">
        <f>IFERROR(VLOOKUP($A79,'NG Pivot'!$A$4:$W$29,MATCH(M$2,'NG Pivot'!$O$3:$W$3,0)+14,FALSE),0)*10</f>
        <v>0</v>
      </c>
      <c r="N79" s="220">
        <f>IFERROR(VLOOKUP($A79,'NG Pivot'!$A$4:$W$29,MATCH(N$2,'NG Pivot'!$O$3:$W$3,0)+14,FALSE),0)*10</f>
        <v>0</v>
      </c>
      <c r="O79" s="220">
        <f>IFERROR(VLOOKUP($A79,'NG Pivot'!$A$4:$W$29,MATCH(O$2,'NG Pivot'!$O$3:$W$3,0)+14,FALSE),0)*10</f>
        <v>0</v>
      </c>
      <c r="P79" s="220">
        <f>IFERROR(VLOOKUP($A79,'NG Pivot'!$A$4:$W$29,MATCH(P$2,'NG Pivot'!$O$3:$W$3,0)+14,FALSE),0)*10</f>
        <v>0</v>
      </c>
      <c r="Q79" s="220">
        <f>IFERROR(VLOOKUP($A79,'NG Pivot'!$A$4:$W$29,MATCH(Q$2,'NG Pivot'!$O$3:$W$3,0)+14,FALSE),0)*10</f>
        <v>0</v>
      </c>
      <c r="R79" s="220">
        <f>IFERROR(VLOOKUP($A79,'NG Pivot'!$A$4:$W$29,MATCH(R$2,'NG Pivot'!$O$3:$W$3,0)+14,FALSE),0)*10</f>
        <v>0</v>
      </c>
      <c r="S79" s="220">
        <f>IFERROR(VLOOKUP($A79,'NG Pivot'!$A$4:$W$29,MATCH(S$2,'NG Pivot'!$O$3:$W$3,0)+14,FALSE),0)*10</f>
        <v>0</v>
      </c>
      <c r="T79" s="220">
        <f>IFERROR(VLOOKUP($A79,'NG Pivot'!$A$4:$W$29,MATCH(T$2,'NG Pivot'!$O$3:$W$3,0)+14,FALSE),0)*10</f>
        <v>0</v>
      </c>
      <c r="U79" s="220">
        <f>IFERROR(VLOOKUP($A79,'NG Pivot'!$A$4:$W$29,MATCH(U$2,'NG Pivot'!$O$3:$W$3,0)+14,FALSE),0)*10</f>
        <v>0</v>
      </c>
      <c r="V79" s="220">
        <f>IFERROR(VLOOKUP($A79,'NG Pivot'!$A$4:$W$29,MATCH(V$2,'NG Pivot'!$O$3:$W$3,0)+14,FALSE),0)*10</f>
        <v>0</v>
      </c>
      <c r="W79" s="220">
        <f>IFERROR(VLOOKUP($A79,'NG Pivot'!$A$4:$W$29,MATCH(W$2,'NG Pivot'!$O$3:$W$3,0)+14,FALSE),0)*10</f>
        <v>0</v>
      </c>
      <c r="X79" s="220">
        <f>IFERROR(VLOOKUP($A79,'NG Pivot'!$A$4:$W$29,MATCH(X$2,'NG Pivot'!$O$3:$W$3,0)+14,FALSE),0)*10</f>
        <v>0</v>
      </c>
      <c r="Y79" s="220">
        <f>IFERROR(VLOOKUP($A79,'NG Pivot'!$A$4:$W$29,MATCH(Y$2,'NG Pivot'!$O$3:$W$3,0)+14,FALSE),0)*10</f>
        <v>0</v>
      </c>
      <c r="Z79" s="220">
        <f>IFERROR(VLOOKUP($A79,'NG Pivot'!$A$4:$W$29,MATCH(Z$2,'NG Pivot'!$O$3:$W$3,0)+14,FALSE),0)*10</f>
        <v>0</v>
      </c>
      <c r="AA79" s="220">
        <f>IFERROR(VLOOKUP($A79,'NG Pivot'!$A$4:$W$29,MATCH(AA$2,'NG Pivot'!$O$3:$W$3,0)+14,FALSE),0)*10</f>
        <v>0</v>
      </c>
      <c r="AB79" s="220">
        <f>IFERROR(VLOOKUP($A79,'NG Pivot'!$A$4:$W$29,MATCH(AB$2,'NG Pivot'!$O$3:$W$3,0)+14,FALSE),0)*10</f>
        <v>0</v>
      </c>
      <c r="AC79" s="220">
        <f>IFERROR(VLOOKUP($A79,'NG Pivot'!$A$4:$W$29,MATCH(AC$2,'NG Pivot'!$O$3:$W$3,0)+14,FALSE),0)*10</f>
        <v>0</v>
      </c>
      <c r="AD79" s="220">
        <f>IFERROR(VLOOKUP($A79,'NG Pivot'!$A$4:$W$29,MATCH(AD$2,'NG Pivot'!$O$3:$W$3,0)+14,FALSE),0)*10</f>
        <v>0</v>
      </c>
    </row>
    <row r="80" spans="1:30">
      <c r="A80" s="223" t="s">
        <v>1275</v>
      </c>
      <c r="B80" s="220">
        <f>IFERROR(VLOOKUP($A80,'NG Pivot'!$A$4:$W$29,MATCH(B$2,'NG Pivot'!$O$3:$W$3,0)+14,FALSE),0)*10</f>
        <v>0</v>
      </c>
      <c r="C80" s="220">
        <f>IFERROR(VLOOKUP($A80,'NG Pivot'!$A$4:$W$29,MATCH(C$2,'NG Pivot'!$O$3:$W$3,0)+14,FALSE),0)*10</f>
        <v>0</v>
      </c>
      <c r="D80" s="220">
        <f>IFERROR(VLOOKUP($A80,'NG Pivot'!$A$4:$W$29,MATCH(D$2,'NG Pivot'!$O$3:$W$3,0)+14,FALSE),0)*10</f>
        <v>0</v>
      </c>
      <c r="E80" s="220">
        <f>IFERROR(VLOOKUP($A80,'NG Pivot'!$A$4:$W$29,MATCH(E$2,'NG Pivot'!$O$3:$W$3,0)+14,FALSE),0)*10</f>
        <v>0</v>
      </c>
      <c r="F80" s="220">
        <f>IFERROR(VLOOKUP($A80,'NG Pivot'!$A$4:$W$29,MATCH(F$2,'NG Pivot'!$O$3:$W$3,0)+14,FALSE),0)*10</f>
        <v>0</v>
      </c>
      <c r="G80" s="220">
        <f>IFERROR(VLOOKUP($A80,'NG Pivot'!$A$4:$W$29,MATCH(G$2,'NG Pivot'!$O$3:$W$3,0)+14,FALSE),0)*10</f>
        <v>0</v>
      </c>
      <c r="H80" s="220">
        <f>IFERROR(VLOOKUP($A80,'NG Pivot'!$A$4:$W$29,MATCH(H$2,'NG Pivot'!$O$3:$W$3,0)+14,FALSE),0)*10</f>
        <v>0</v>
      </c>
      <c r="I80" s="220">
        <f>IFERROR(VLOOKUP($A80,'NG Pivot'!$A$4:$W$29,MATCH(I$2,'NG Pivot'!$O$3:$W$3,0)+14,FALSE),0)*10</f>
        <v>0</v>
      </c>
      <c r="J80" s="220">
        <f>IFERROR(VLOOKUP($A80,'NG Pivot'!$A$4:$W$29,MATCH(J$2,'NG Pivot'!$O$3:$W$3,0)+14,FALSE),0)*10</f>
        <v>0</v>
      </c>
      <c r="K80" s="220">
        <f>IFERROR(VLOOKUP($A80,'NG Pivot'!$A$4:$W$29,MATCH(K$2,'NG Pivot'!$O$3:$W$3,0)+14,FALSE),0)*10</f>
        <v>0</v>
      </c>
      <c r="L80" s="220">
        <f>IFERROR(VLOOKUP($A80,'NG Pivot'!$A$4:$W$29,MATCH(L$2,'NG Pivot'!$O$3:$W$3,0)+14,FALSE),0)*10</f>
        <v>0</v>
      </c>
      <c r="M80" s="220">
        <f>IFERROR(VLOOKUP($A80,'NG Pivot'!$A$4:$W$29,MATCH(M$2,'NG Pivot'!$O$3:$W$3,0)+14,FALSE),0)*10</f>
        <v>0</v>
      </c>
      <c r="N80" s="220">
        <f>IFERROR(VLOOKUP($A80,'NG Pivot'!$A$4:$W$29,MATCH(N$2,'NG Pivot'!$O$3:$W$3,0)+14,FALSE),0)*10</f>
        <v>0</v>
      </c>
      <c r="O80" s="220">
        <f>IFERROR(VLOOKUP($A80,'NG Pivot'!$A$4:$W$29,MATCH(O$2,'NG Pivot'!$O$3:$W$3,0)+14,FALSE),0)*10</f>
        <v>0</v>
      </c>
      <c r="P80" s="220">
        <f>IFERROR(VLOOKUP($A80,'NG Pivot'!$A$4:$W$29,MATCH(P$2,'NG Pivot'!$O$3:$W$3,0)+14,FALSE),0)*10</f>
        <v>0</v>
      </c>
      <c r="Q80" s="220">
        <f>IFERROR(VLOOKUP($A80,'NG Pivot'!$A$4:$W$29,MATCH(Q$2,'NG Pivot'!$O$3:$W$3,0)+14,FALSE),0)*10</f>
        <v>0</v>
      </c>
      <c r="R80" s="220">
        <f>IFERROR(VLOOKUP($A80,'NG Pivot'!$A$4:$W$29,MATCH(R$2,'NG Pivot'!$O$3:$W$3,0)+14,FALSE),0)*10</f>
        <v>0</v>
      </c>
      <c r="S80" s="220">
        <f>IFERROR(VLOOKUP($A80,'NG Pivot'!$A$4:$W$29,MATCH(S$2,'NG Pivot'!$O$3:$W$3,0)+14,FALSE),0)*10</f>
        <v>0</v>
      </c>
      <c r="T80" s="220">
        <f>IFERROR(VLOOKUP($A80,'NG Pivot'!$A$4:$W$29,MATCH(T$2,'NG Pivot'!$O$3:$W$3,0)+14,FALSE),0)*10</f>
        <v>0</v>
      </c>
      <c r="U80" s="220">
        <f>IFERROR(VLOOKUP($A80,'NG Pivot'!$A$4:$W$29,MATCH(U$2,'NG Pivot'!$O$3:$W$3,0)+14,FALSE),0)*10</f>
        <v>0</v>
      </c>
      <c r="V80" s="220">
        <f>IFERROR(VLOOKUP($A80,'NG Pivot'!$A$4:$W$29,MATCH(V$2,'NG Pivot'!$O$3:$W$3,0)+14,FALSE),0)*10</f>
        <v>0</v>
      </c>
      <c r="W80" s="220">
        <f>IFERROR(VLOOKUP($A80,'NG Pivot'!$A$4:$W$29,MATCH(W$2,'NG Pivot'!$O$3:$W$3,0)+14,FALSE),0)*10</f>
        <v>0</v>
      </c>
      <c r="X80" s="220">
        <f>IFERROR(VLOOKUP($A80,'NG Pivot'!$A$4:$W$29,MATCH(X$2,'NG Pivot'!$O$3:$W$3,0)+14,FALSE),0)*10</f>
        <v>0</v>
      </c>
      <c r="Y80" s="220">
        <f>IFERROR(VLOOKUP($A80,'NG Pivot'!$A$4:$W$29,MATCH(Y$2,'NG Pivot'!$O$3:$W$3,0)+14,FALSE),0)*10</f>
        <v>0</v>
      </c>
      <c r="Z80" s="220">
        <f>IFERROR(VLOOKUP($A80,'NG Pivot'!$A$4:$W$29,MATCH(Z$2,'NG Pivot'!$O$3:$W$3,0)+14,FALSE),0)*10</f>
        <v>0</v>
      </c>
      <c r="AA80" s="220">
        <f>IFERROR(VLOOKUP($A80,'NG Pivot'!$A$4:$W$29,MATCH(AA$2,'NG Pivot'!$O$3:$W$3,0)+14,FALSE),0)*10</f>
        <v>0</v>
      </c>
      <c r="AB80" s="220">
        <f>IFERROR(VLOOKUP($A80,'NG Pivot'!$A$4:$W$29,MATCH(AB$2,'NG Pivot'!$O$3:$W$3,0)+14,FALSE),0)*10</f>
        <v>0</v>
      </c>
      <c r="AC80" s="220">
        <f>IFERROR(VLOOKUP($A80,'NG Pivot'!$A$4:$W$29,MATCH(AC$2,'NG Pivot'!$O$3:$W$3,0)+14,FALSE),0)*10</f>
        <v>0</v>
      </c>
      <c r="AD80" s="220">
        <f>IFERROR(VLOOKUP($A80,'NG Pivot'!$A$4:$W$29,MATCH(AD$2,'NG Pivot'!$O$3:$W$3,0)+14,FALSE),0)*10</f>
        <v>0</v>
      </c>
    </row>
    <row r="81" spans="1:30">
      <c r="A81" s="223" t="s">
        <v>1276</v>
      </c>
      <c r="B81" s="220">
        <f>IFERROR(VLOOKUP($A81,'NG Pivot'!$A$4:$W$29,MATCH(B$2,'NG Pivot'!$O$3:$W$3,0)+14,FALSE),0)*10</f>
        <v>0</v>
      </c>
      <c r="C81" s="220">
        <f>IFERROR(VLOOKUP($A81,'NG Pivot'!$A$4:$W$29,MATCH(C$2,'NG Pivot'!$O$3:$W$3,0)+14,FALSE),0)*10</f>
        <v>0</v>
      </c>
      <c r="D81" s="220">
        <f>IFERROR(VLOOKUP($A81,'NG Pivot'!$A$4:$W$29,MATCH(D$2,'NG Pivot'!$O$3:$W$3,0)+14,FALSE),0)*10</f>
        <v>0</v>
      </c>
      <c r="E81" s="220">
        <f>IFERROR(VLOOKUP($A81,'NG Pivot'!$A$4:$W$29,MATCH(E$2,'NG Pivot'!$O$3:$W$3,0)+14,FALSE),0)*10</f>
        <v>0</v>
      </c>
      <c r="F81" s="220">
        <f>IFERROR(VLOOKUP($A81,'NG Pivot'!$A$4:$W$29,MATCH(F$2,'NG Pivot'!$O$3:$W$3,0)+14,FALSE),0)*10</f>
        <v>0</v>
      </c>
      <c r="G81" s="220">
        <f>IFERROR(VLOOKUP($A81,'NG Pivot'!$A$4:$W$29,MATCH(G$2,'NG Pivot'!$O$3:$W$3,0)+14,FALSE),0)*10</f>
        <v>0</v>
      </c>
      <c r="H81" s="220">
        <f>IFERROR(VLOOKUP($A81,'NG Pivot'!$A$4:$W$29,MATCH(H$2,'NG Pivot'!$O$3:$W$3,0)+14,FALSE),0)*10</f>
        <v>0</v>
      </c>
      <c r="I81" s="220">
        <f>IFERROR(VLOOKUP($A81,'NG Pivot'!$A$4:$W$29,MATCH(I$2,'NG Pivot'!$O$3:$W$3,0)+14,FALSE),0)*10</f>
        <v>0</v>
      </c>
      <c r="J81" s="220">
        <f>IFERROR(VLOOKUP($A81,'NG Pivot'!$A$4:$W$29,MATCH(J$2,'NG Pivot'!$O$3:$W$3,0)+14,FALSE),0)*10</f>
        <v>0</v>
      </c>
      <c r="K81" s="220">
        <f>IFERROR(VLOOKUP($A81,'NG Pivot'!$A$4:$W$29,MATCH(K$2,'NG Pivot'!$O$3:$W$3,0)+14,FALSE),0)*10</f>
        <v>0</v>
      </c>
      <c r="L81" s="220">
        <f>IFERROR(VLOOKUP($A81,'NG Pivot'!$A$4:$W$29,MATCH(L$2,'NG Pivot'!$O$3:$W$3,0)+14,FALSE),0)*10</f>
        <v>0</v>
      </c>
      <c r="M81" s="220">
        <f>IFERROR(VLOOKUP($A81,'NG Pivot'!$A$4:$W$29,MATCH(M$2,'NG Pivot'!$O$3:$W$3,0)+14,FALSE),0)*10</f>
        <v>0</v>
      </c>
      <c r="N81" s="220">
        <f>IFERROR(VLOOKUP($A81,'NG Pivot'!$A$4:$W$29,MATCH(N$2,'NG Pivot'!$O$3:$W$3,0)+14,FALSE),0)*10</f>
        <v>0</v>
      </c>
      <c r="O81" s="220">
        <f>IFERROR(VLOOKUP($A81,'NG Pivot'!$A$4:$W$29,MATCH(O$2,'NG Pivot'!$O$3:$W$3,0)+14,FALSE),0)*10</f>
        <v>0</v>
      </c>
      <c r="P81" s="220">
        <f>IFERROR(VLOOKUP($A81,'NG Pivot'!$A$4:$W$29,MATCH(P$2,'NG Pivot'!$O$3:$W$3,0)+14,FALSE),0)*10</f>
        <v>0</v>
      </c>
      <c r="Q81" s="220">
        <f>IFERROR(VLOOKUP($A81,'NG Pivot'!$A$4:$W$29,MATCH(Q$2,'NG Pivot'!$O$3:$W$3,0)+14,FALSE),0)*10</f>
        <v>0</v>
      </c>
      <c r="R81" s="220">
        <f>IFERROR(VLOOKUP($A81,'NG Pivot'!$A$4:$W$29,MATCH(R$2,'NG Pivot'!$O$3:$W$3,0)+14,FALSE),0)*10</f>
        <v>0</v>
      </c>
      <c r="S81" s="220">
        <f>IFERROR(VLOOKUP($A81,'NG Pivot'!$A$4:$W$29,MATCH(S$2,'NG Pivot'!$O$3:$W$3,0)+14,FALSE),0)*10</f>
        <v>0</v>
      </c>
      <c r="T81" s="220">
        <f>IFERROR(VLOOKUP($A81,'NG Pivot'!$A$4:$W$29,MATCH(T$2,'NG Pivot'!$O$3:$W$3,0)+14,FALSE),0)*10</f>
        <v>0</v>
      </c>
      <c r="U81" s="220">
        <f>IFERROR(VLOOKUP($A81,'NG Pivot'!$A$4:$W$29,MATCH(U$2,'NG Pivot'!$O$3:$W$3,0)+14,FALSE),0)*10</f>
        <v>0</v>
      </c>
      <c r="V81" s="220">
        <f>IFERROR(VLOOKUP($A81,'NG Pivot'!$A$4:$W$29,MATCH(V$2,'NG Pivot'!$O$3:$W$3,0)+14,FALSE),0)*10</f>
        <v>0</v>
      </c>
      <c r="W81" s="220">
        <f>IFERROR(VLOOKUP($A81,'NG Pivot'!$A$4:$W$29,MATCH(W$2,'NG Pivot'!$O$3:$W$3,0)+14,FALSE),0)*10</f>
        <v>0</v>
      </c>
      <c r="X81" s="220">
        <f>IFERROR(VLOOKUP($A81,'NG Pivot'!$A$4:$W$29,MATCH(X$2,'NG Pivot'!$O$3:$W$3,0)+14,FALSE),0)*10</f>
        <v>0</v>
      </c>
      <c r="Y81" s="220">
        <f>IFERROR(VLOOKUP($A81,'NG Pivot'!$A$4:$W$29,MATCH(Y$2,'NG Pivot'!$O$3:$W$3,0)+14,FALSE),0)*10</f>
        <v>0</v>
      </c>
      <c r="Z81" s="220">
        <f>IFERROR(VLOOKUP($A81,'NG Pivot'!$A$4:$W$29,MATCH(Z$2,'NG Pivot'!$O$3:$W$3,0)+14,FALSE),0)*10</f>
        <v>0</v>
      </c>
      <c r="AA81" s="220">
        <f>IFERROR(VLOOKUP($A81,'NG Pivot'!$A$4:$W$29,MATCH(AA$2,'NG Pivot'!$O$3:$W$3,0)+14,FALSE),0)*10</f>
        <v>0</v>
      </c>
      <c r="AB81" s="220">
        <f>IFERROR(VLOOKUP($A81,'NG Pivot'!$A$4:$W$29,MATCH(AB$2,'NG Pivot'!$O$3:$W$3,0)+14,FALSE),0)*10</f>
        <v>0</v>
      </c>
      <c r="AC81" s="220">
        <f>IFERROR(VLOOKUP($A81,'NG Pivot'!$A$4:$W$29,MATCH(AC$2,'NG Pivot'!$O$3:$W$3,0)+14,FALSE),0)*10</f>
        <v>0</v>
      </c>
      <c r="AD81" s="220">
        <f>IFERROR(VLOOKUP($A81,'NG Pivot'!$A$4:$W$29,MATCH(AD$2,'NG Pivot'!$O$3:$W$3,0)+14,FALSE),0)*10</f>
        <v>0</v>
      </c>
    </row>
    <row r="82" spans="1:30">
      <c r="A82" s="223" t="s">
        <v>1277</v>
      </c>
      <c r="B82" s="220">
        <f>IFERROR(VLOOKUP($A82,'NG Pivot'!$A$4:$W$29,MATCH(B$2,'NG Pivot'!$O$3:$W$3,0)+14,FALSE),0)*10</f>
        <v>0</v>
      </c>
      <c r="C82" s="220">
        <f>IFERROR(VLOOKUP($A82,'NG Pivot'!$A$4:$W$29,MATCH(C$2,'NG Pivot'!$O$3:$W$3,0)+14,FALSE),0)*10</f>
        <v>0</v>
      </c>
      <c r="D82" s="220">
        <f>IFERROR(VLOOKUP($A82,'NG Pivot'!$A$4:$W$29,MATCH(D$2,'NG Pivot'!$O$3:$W$3,0)+14,FALSE),0)*10</f>
        <v>0</v>
      </c>
      <c r="E82" s="220">
        <f>IFERROR(VLOOKUP($A82,'NG Pivot'!$A$4:$W$29,MATCH(E$2,'NG Pivot'!$O$3:$W$3,0)+14,FALSE),0)*10</f>
        <v>0</v>
      </c>
      <c r="F82" s="220">
        <f>IFERROR(VLOOKUP($A82,'NG Pivot'!$A$4:$W$29,MATCH(F$2,'NG Pivot'!$O$3:$W$3,0)+14,FALSE),0)*10</f>
        <v>0</v>
      </c>
      <c r="G82" s="220">
        <f>IFERROR(VLOOKUP($A82,'NG Pivot'!$A$4:$W$29,MATCH(G$2,'NG Pivot'!$O$3:$W$3,0)+14,FALSE),0)*10</f>
        <v>0</v>
      </c>
      <c r="H82" s="220">
        <f>IFERROR(VLOOKUP($A82,'NG Pivot'!$A$4:$W$29,MATCH(H$2,'NG Pivot'!$O$3:$W$3,0)+14,FALSE),0)*10</f>
        <v>0</v>
      </c>
      <c r="I82" s="220">
        <f>IFERROR(VLOOKUP($A82,'NG Pivot'!$A$4:$W$29,MATCH(I$2,'NG Pivot'!$O$3:$W$3,0)+14,FALSE),0)*10</f>
        <v>0</v>
      </c>
      <c r="J82" s="220">
        <f>IFERROR(VLOOKUP($A82,'NG Pivot'!$A$4:$W$29,MATCH(J$2,'NG Pivot'!$O$3:$W$3,0)+14,FALSE),0)*10</f>
        <v>0</v>
      </c>
      <c r="K82" s="220">
        <f>IFERROR(VLOOKUP($A82,'NG Pivot'!$A$4:$W$29,MATCH(K$2,'NG Pivot'!$O$3:$W$3,0)+14,FALSE),0)*10</f>
        <v>0</v>
      </c>
      <c r="L82" s="220">
        <f>IFERROR(VLOOKUP($A82,'NG Pivot'!$A$4:$W$29,MATCH(L$2,'NG Pivot'!$O$3:$W$3,0)+14,FALSE),0)*10</f>
        <v>0</v>
      </c>
      <c r="M82" s="220">
        <f>IFERROR(VLOOKUP($A82,'NG Pivot'!$A$4:$W$29,MATCH(M$2,'NG Pivot'!$O$3:$W$3,0)+14,FALSE),0)*10</f>
        <v>0</v>
      </c>
      <c r="N82" s="220">
        <f>IFERROR(VLOOKUP($A82,'NG Pivot'!$A$4:$W$29,MATCH(N$2,'NG Pivot'!$O$3:$W$3,0)+14,FALSE),0)*10</f>
        <v>0</v>
      </c>
      <c r="O82" s="220">
        <f>IFERROR(VLOOKUP($A82,'NG Pivot'!$A$4:$W$29,MATCH(O$2,'NG Pivot'!$O$3:$W$3,0)+14,FALSE),0)*10</f>
        <v>0</v>
      </c>
      <c r="P82" s="220">
        <f>IFERROR(VLOOKUP($A82,'NG Pivot'!$A$4:$W$29,MATCH(P$2,'NG Pivot'!$O$3:$W$3,0)+14,FALSE),0)*10</f>
        <v>0</v>
      </c>
      <c r="Q82" s="220">
        <f>IFERROR(VLOOKUP($A82,'NG Pivot'!$A$4:$W$29,MATCH(Q$2,'NG Pivot'!$O$3:$W$3,0)+14,FALSE),0)*10</f>
        <v>0</v>
      </c>
      <c r="R82" s="220">
        <f>IFERROR(VLOOKUP($A82,'NG Pivot'!$A$4:$W$29,MATCH(R$2,'NG Pivot'!$O$3:$W$3,0)+14,FALSE),0)*10</f>
        <v>0</v>
      </c>
      <c r="S82" s="220">
        <f>IFERROR(VLOOKUP($A82,'NG Pivot'!$A$4:$W$29,MATCH(S$2,'NG Pivot'!$O$3:$W$3,0)+14,FALSE),0)*10</f>
        <v>0</v>
      </c>
      <c r="T82" s="220">
        <f>IFERROR(VLOOKUP($A82,'NG Pivot'!$A$4:$W$29,MATCH(T$2,'NG Pivot'!$O$3:$W$3,0)+14,FALSE),0)*10</f>
        <v>0</v>
      </c>
      <c r="U82" s="220">
        <f>IFERROR(VLOOKUP($A82,'NG Pivot'!$A$4:$W$29,MATCH(U$2,'NG Pivot'!$O$3:$W$3,0)+14,FALSE),0)*10</f>
        <v>0</v>
      </c>
      <c r="V82" s="220">
        <f>IFERROR(VLOOKUP($A82,'NG Pivot'!$A$4:$W$29,MATCH(V$2,'NG Pivot'!$O$3:$W$3,0)+14,FALSE),0)*10</f>
        <v>0</v>
      </c>
      <c r="W82" s="220">
        <f>IFERROR(VLOOKUP($A82,'NG Pivot'!$A$4:$W$29,MATCH(W$2,'NG Pivot'!$O$3:$W$3,0)+14,FALSE),0)*10</f>
        <v>0</v>
      </c>
      <c r="X82" s="220">
        <f>IFERROR(VLOOKUP($A82,'NG Pivot'!$A$4:$W$29,MATCH(X$2,'NG Pivot'!$O$3:$W$3,0)+14,FALSE),0)*10</f>
        <v>150.8</v>
      </c>
      <c r="Y82" s="220">
        <f>IFERROR(VLOOKUP($A82,'NG Pivot'!$A$4:$W$29,MATCH(Y$2,'NG Pivot'!$O$3:$W$3,0)+14,FALSE),0)*10</f>
        <v>30.8</v>
      </c>
      <c r="Z82" s="220">
        <f>IFERROR(VLOOKUP($A82,'NG Pivot'!$A$4:$W$29,MATCH(Z$2,'NG Pivot'!$O$3:$W$3,0)+14,FALSE),0)*10</f>
        <v>0</v>
      </c>
      <c r="AA82" s="220">
        <f>IFERROR(VLOOKUP($A82,'NG Pivot'!$A$4:$W$29,MATCH(AA$2,'NG Pivot'!$O$3:$W$3,0)+14,FALSE),0)*10</f>
        <v>8.6</v>
      </c>
      <c r="AB82" s="220">
        <f>IFERROR(VLOOKUP($A82,'NG Pivot'!$A$4:$W$29,MATCH(AB$2,'NG Pivot'!$O$3:$W$3,0)+14,FALSE),0)*10</f>
        <v>67.4</v>
      </c>
      <c r="AC82" s="220">
        <f>IFERROR(VLOOKUP($A82,'NG Pivot'!$A$4:$W$29,MATCH(AC$2,'NG Pivot'!$O$3:$W$3,0)+14,FALSE),0)*10</f>
        <v>0</v>
      </c>
      <c r="AD82" s="220">
        <f>IFERROR(VLOOKUP($A82,'NG Pivot'!$A$4:$W$29,MATCH(AD$2,'NG Pivot'!$O$3:$W$3,0)+14,FALSE),0)*10</f>
        <v>0</v>
      </c>
    </row>
    <row r="83" spans="1:30">
      <c r="A83" s="223" t="s">
        <v>1278</v>
      </c>
      <c r="B83" s="220">
        <f>IFERROR(VLOOKUP($A83,'NG Pivot'!$A$4:$W$29,MATCH(B$2,'NG Pivot'!$O$3:$W$3,0)+14,FALSE),0)*10</f>
        <v>0</v>
      </c>
      <c r="C83" s="220">
        <f>IFERROR(VLOOKUP($A83,'NG Pivot'!$A$4:$W$29,MATCH(C$2,'NG Pivot'!$O$3:$W$3,0)+14,FALSE),0)*10</f>
        <v>0</v>
      </c>
      <c r="D83" s="220">
        <f>IFERROR(VLOOKUP($A83,'NG Pivot'!$A$4:$W$29,MATCH(D$2,'NG Pivot'!$O$3:$W$3,0)+14,FALSE),0)*10</f>
        <v>0</v>
      </c>
      <c r="E83" s="220">
        <f>IFERROR(VLOOKUP($A83,'NG Pivot'!$A$4:$W$29,MATCH(E$2,'NG Pivot'!$O$3:$W$3,0)+14,FALSE),0)*10</f>
        <v>0</v>
      </c>
      <c r="F83" s="220">
        <f>IFERROR(VLOOKUP($A83,'NG Pivot'!$A$4:$W$29,MATCH(F$2,'NG Pivot'!$O$3:$W$3,0)+14,FALSE),0)*10</f>
        <v>0</v>
      </c>
      <c r="G83" s="220">
        <f>IFERROR(VLOOKUP($A83,'NG Pivot'!$A$4:$W$29,MATCH(G$2,'NG Pivot'!$O$3:$W$3,0)+14,FALSE),0)*10</f>
        <v>0</v>
      </c>
      <c r="H83" s="220">
        <f>IFERROR(VLOOKUP($A83,'NG Pivot'!$A$4:$W$29,MATCH(H$2,'NG Pivot'!$O$3:$W$3,0)+14,FALSE),0)*10</f>
        <v>0</v>
      </c>
      <c r="I83" s="220">
        <f>IFERROR(VLOOKUP($A83,'NG Pivot'!$A$4:$W$29,MATCH(I$2,'NG Pivot'!$O$3:$W$3,0)+14,FALSE),0)*10</f>
        <v>0</v>
      </c>
      <c r="J83" s="220">
        <f>IFERROR(VLOOKUP($A83,'NG Pivot'!$A$4:$W$29,MATCH(J$2,'NG Pivot'!$O$3:$W$3,0)+14,FALSE),0)*10</f>
        <v>0</v>
      </c>
      <c r="K83" s="220">
        <f>IFERROR(VLOOKUP($A83,'NG Pivot'!$A$4:$W$29,MATCH(K$2,'NG Pivot'!$O$3:$W$3,0)+14,FALSE),0)*10</f>
        <v>0</v>
      </c>
      <c r="L83" s="220">
        <f>IFERROR(VLOOKUP($A83,'NG Pivot'!$A$4:$W$29,MATCH(L$2,'NG Pivot'!$O$3:$W$3,0)+14,FALSE),0)*10</f>
        <v>0</v>
      </c>
      <c r="M83" s="220">
        <f>IFERROR(VLOOKUP($A83,'NG Pivot'!$A$4:$W$29,MATCH(M$2,'NG Pivot'!$O$3:$W$3,0)+14,FALSE),0)*10</f>
        <v>0</v>
      </c>
      <c r="N83" s="220">
        <f>IFERROR(VLOOKUP($A83,'NG Pivot'!$A$4:$W$29,MATCH(N$2,'NG Pivot'!$O$3:$W$3,0)+14,FALSE),0)*10</f>
        <v>0</v>
      </c>
      <c r="O83" s="220">
        <f>IFERROR(VLOOKUP($A83,'NG Pivot'!$A$4:$W$29,MATCH(O$2,'NG Pivot'!$O$3:$W$3,0)+14,FALSE),0)*10</f>
        <v>0</v>
      </c>
      <c r="P83" s="220">
        <f>IFERROR(VLOOKUP($A83,'NG Pivot'!$A$4:$W$29,MATCH(P$2,'NG Pivot'!$O$3:$W$3,0)+14,FALSE),0)*10</f>
        <v>0</v>
      </c>
      <c r="Q83" s="220">
        <f>IFERROR(VLOOKUP($A83,'NG Pivot'!$A$4:$W$29,MATCH(Q$2,'NG Pivot'!$O$3:$W$3,0)+14,FALSE),0)*10</f>
        <v>0</v>
      </c>
      <c r="R83" s="220">
        <f>IFERROR(VLOOKUP($A83,'NG Pivot'!$A$4:$W$29,MATCH(R$2,'NG Pivot'!$O$3:$W$3,0)+14,FALSE),0)*10</f>
        <v>0</v>
      </c>
      <c r="S83" s="220">
        <f>IFERROR(VLOOKUP($A83,'NG Pivot'!$A$4:$W$29,MATCH(S$2,'NG Pivot'!$O$3:$W$3,0)+14,FALSE),0)*10</f>
        <v>0</v>
      </c>
      <c r="T83" s="220">
        <f>IFERROR(VLOOKUP($A83,'NG Pivot'!$A$4:$W$29,MATCH(T$2,'NG Pivot'!$O$3:$W$3,0)+14,FALSE),0)*10</f>
        <v>0</v>
      </c>
      <c r="U83" s="220">
        <f>IFERROR(VLOOKUP($A83,'NG Pivot'!$A$4:$W$29,MATCH(U$2,'NG Pivot'!$O$3:$W$3,0)+14,FALSE),0)*10</f>
        <v>0</v>
      </c>
      <c r="V83" s="220">
        <f>IFERROR(VLOOKUP($A83,'NG Pivot'!$A$4:$W$29,MATCH(V$2,'NG Pivot'!$O$3:$W$3,0)+14,FALSE),0)*10</f>
        <v>0</v>
      </c>
      <c r="W83" s="220">
        <f>IFERROR(VLOOKUP($A83,'NG Pivot'!$A$4:$W$29,MATCH(W$2,'NG Pivot'!$O$3:$W$3,0)+14,FALSE),0)*10</f>
        <v>4</v>
      </c>
      <c r="X83" s="220">
        <f>IFERROR(VLOOKUP($A83,'NG Pivot'!$A$4:$W$29,MATCH(X$2,'NG Pivot'!$O$3:$W$3,0)+14,FALSE),0)*10</f>
        <v>6</v>
      </c>
      <c r="Y83" s="220">
        <f>IFERROR(VLOOKUP($A83,'NG Pivot'!$A$4:$W$29,MATCH(Y$2,'NG Pivot'!$O$3:$W$3,0)+14,FALSE),0)*10</f>
        <v>6</v>
      </c>
      <c r="Z83" s="220">
        <f>IFERROR(VLOOKUP($A83,'NG Pivot'!$A$4:$W$29,MATCH(Z$2,'NG Pivot'!$O$3:$W$3,0)+14,FALSE),0)*10</f>
        <v>0</v>
      </c>
      <c r="AA83" s="220">
        <f>IFERROR(VLOOKUP($A83,'NG Pivot'!$A$4:$W$29,MATCH(AA$2,'NG Pivot'!$O$3:$W$3,0)+14,FALSE),0)*10</f>
        <v>6.5</v>
      </c>
      <c r="AB83" s="220">
        <f>IFERROR(VLOOKUP($A83,'NG Pivot'!$A$4:$W$29,MATCH(AB$2,'NG Pivot'!$O$3:$W$3,0)+14,FALSE),0)*10</f>
        <v>80</v>
      </c>
      <c r="AC83" s="220">
        <f>IFERROR(VLOOKUP($A83,'NG Pivot'!$A$4:$W$29,MATCH(AC$2,'NG Pivot'!$O$3:$W$3,0)+14,FALSE),0)*10</f>
        <v>0</v>
      </c>
      <c r="AD83" s="220">
        <f>IFERROR(VLOOKUP($A83,'NG Pivot'!$A$4:$W$29,MATCH(AD$2,'NG Pivot'!$O$3:$W$3,0)+14,FALSE),0)*10</f>
        <v>0</v>
      </c>
    </row>
    <row r="84" spans="1:30">
      <c r="A84" s="223" t="s">
        <v>1279</v>
      </c>
      <c r="B84" s="220">
        <f>IFERROR(VLOOKUP($A84,'NG Pivot'!$A$4:$W$29,MATCH(B$2,'NG Pivot'!$O$3:$W$3,0)+14,FALSE),0)*10</f>
        <v>0</v>
      </c>
      <c r="C84" s="220">
        <f>IFERROR(VLOOKUP($A84,'NG Pivot'!$A$4:$W$29,MATCH(C$2,'NG Pivot'!$O$3:$W$3,0)+14,FALSE),0)*10</f>
        <v>0</v>
      </c>
      <c r="D84" s="220">
        <f>IFERROR(VLOOKUP($A84,'NG Pivot'!$A$4:$W$29,MATCH(D$2,'NG Pivot'!$O$3:$W$3,0)+14,FALSE),0)*10</f>
        <v>0</v>
      </c>
      <c r="E84" s="220">
        <f>IFERROR(VLOOKUP($A84,'NG Pivot'!$A$4:$W$29,MATCH(E$2,'NG Pivot'!$O$3:$W$3,0)+14,FALSE),0)*10</f>
        <v>0</v>
      </c>
      <c r="F84" s="220">
        <f>IFERROR(VLOOKUP($A84,'NG Pivot'!$A$4:$W$29,MATCH(F$2,'NG Pivot'!$O$3:$W$3,0)+14,FALSE),0)*10</f>
        <v>0</v>
      </c>
      <c r="G84" s="220">
        <f>IFERROR(VLOOKUP($A84,'NG Pivot'!$A$4:$W$29,MATCH(G$2,'NG Pivot'!$O$3:$W$3,0)+14,FALSE),0)*10</f>
        <v>0</v>
      </c>
      <c r="H84" s="220">
        <f>IFERROR(VLOOKUP($A84,'NG Pivot'!$A$4:$W$29,MATCH(H$2,'NG Pivot'!$O$3:$W$3,0)+14,FALSE),0)*10</f>
        <v>0</v>
      </c>
      <c r="I84" s="220">
        <f>IFERROR(VLOOKUP($A84,'NG Pivot'!$A$4:$W$29,MATCH(I$2,'NG Pivot'!$O$3:$W$3,0)+14,FALSE),0)*10</f>
        <v>0</v>
      </c>
      <c r="J84" s="220">
        <f>IFERROR(VLOOKUP($A84,'NG Pivot'!$A$4:$W$29,MATCH(J$2,'NG Pivot'!$O$3:$W$3,0)+14,FALSE),0)*10</f>
        <v>0</v>
      </c>
      <c r="K84" s="220">
        <f>IFERROR(VLOOKUP($A84,'NG Pivot'!$A$4:$W$29,MATCH(K$2,'NG Pivot'!$O$3:$W$3,0)+14,FALSE),0)*10</f>
        <v>0</v>
      </c>
      <c r="L84" s="220">
        <f>IFERROR(VLOOKUP($A84,'NG Pivot'!$A$4:$W$29,MATCH(L$2,'NG Pivot'!$O$3:$W$3,0)+14,FALSE),0)*10</f>
        <v>0</v>
      </c>
      <c r="M84" s="220">
        <f>IFERROR(VLOOKUP($A84,'NG Pivot'!$A$4:$W$29,MATCH(M$2,'NG Pivot'!$O$3:$W$3,0)+14,FALSE),0)*10</f>
        <v>0</v>
      </c>
      <c r="N84" s="220">
        <f>IFERROR(VLOOKUP($A84,'NG Pivot'!$A$4:$W$29,MATCH(N$2,'NG Pivot'!$O$3:$W$3,0)+14,FALSE),0)*10</f>
        <v>0</v>
      </c>
      <c r="O84" s="220">
        <f>IFERROR(VLOOKUP($A84,'NG Pivot'!$A$4:$W$29,MATCH(O$2,'NG Pivot'!$O$3:$W$3,0)+14,FALSE),0)*10</f>
        <v>0</v>
      </c>
      <c r="P84" s="220">
        <f>IFERROR(VLOOKUP($A84,'NG Pivot'!$A$4:$W$29,MATCH(P$2,'NG Pivot'!$O$3:$W$3,0)+14,FALSE),0)*10</f>
        <v>0</v>
      </c>
      <c r="Q84" s="220">
        <f>IFERROR(VLOOKUP($A84,'NG Pivot'!$A$4:$W$29,MATCH(Q$2,'NG Pivot'!$O$3:$W$3,0)+14,FALSE),0)*10</f>
        <v>0</v>
      </c>
      <c r="R84" s="220">
        <f>IFERROR(VLOOKUP($A84,'NG Pivot'!$A$4:$W$29,MATCH(R$2,'NG Pivot'!$O$3:$W$3,0)+14,FALSE),0)*10</f>
        <v>0</v>
      </c>
      <c r="S84" s="220">
        <f>IFERROR(VLOOKUP($A84,'NG Pivot'!$A$4:$W$29,MATCH(S$2,'NG Pivot'!$O$3:$W$3,0)+14,FALSE),0)*10</f>
        <v>0</v>
      </c>
      <c r="T84" s="220">
        <f>IFERROR(VLOOKUP($A84,'NG Pivot'!$A$4:$W$29,MATCH(T$2,'NG Pivot'!$O$3:$W$3,0)+14,FALSE),0)*10</f>
        <v>0</v>
      </c>
      <c r="U84" s="220">
        <f>IFERROR(VLOOKUP($A84,'NG Pivot'!$A$4:$W$29,MATCH(U$2,'NG Pivot'!$O$3:$W$3,0)+14,FALSE),0)*10</f>
        <v>0</v>
      </c>
      <c r="V84" s="220">
        <f>IFERROR(VLOOKUP($A84,'NG Pivot'!$A$4:$W$29,MATCH(V$2,'NG Pivot'!$O$3:$W$3,0)+14,FALSE),0)*10</f>
        <v>0</v>
      </c>
      <c r="W84" s="220">
        <f>IFERROR(VLOOKUP($A84,'NG Pivot'!$A$4:$W$29,MATCH(W$2,'NG Pivot'!$O$3:$W$3,0)+14,FALSE),0)*10</f>
        <v>0</v>
      </c>
      <c r="X84" s="220">
        <f>IFERROR(VLOOKUP($A84,'NG Pivot'!$A$4:$W$29,MATCH(X$2,'NG Pivot'!$O$3:$W$3,0)+14,FALSE),0)*10</f>
        <v>0</v>
      </c>
      <c r="Y84" s="220">
        <f>IFERROR(VLOOKUP($A84,'NG Pivot'!$A$4:$W$29,MATCH(Y$2,'NG Pivot'!$O$3:$W$3,0)+14,FALSE),0)*10</f>
        <v>0</v>
      </c>
      <c r="Z84" s="220">
        <f>IFERROR(VLOOKUP($A84,'NG Pivot'!$A$4:$W$29,MATCH(Z$2,'NG Pivot'!$O$3:$W$3,0)+14,FALSE),0)*10</f>
        <v>0</v>
      </c>
      <c r="AA84" s="220">
        <f>IFERROR(VLOOKUP($A84,'NG Pivot'!$A$4:$W$29,MATCH(AA$2,'NG Pivot'!$O$3:$W$3,0)+14,FALSE),0)*10</f>
        <v>0</v>
      </c>
      <c r="AB84" s="220">
        <f>IFERROR(VLOOKUP($A84,'NG Pivot'!$A$4:$W$29,MATCH(AB$2,'NG Pivot'!$O$3:$W$3,0)+14,FALSE),0)*10</f>
        <v>29.9</v>
      </c>
      <c r="AC84" s="220">
        <f>IFERROR(VLOOKUP($A84,'NG Pivot'!$A$4:$W$29,MATCH(AC$2,'NG Pivot'!$O$3:$W$3,0)+14,FALSE),0)*10</f>
        <v>0</v>
      </c>
      <c r="AD84" s="220">
        <f>IFERROR(VLOOKUP($A84,'NG Pivot'!$A$4:$W$29,MATCH(AD$2,'NG Pivot'!$O$3:$W$3,0)+14,FALSE),0)*10</f>
        <v>0</v>
      </c>
    </row>
    <row r="85" spans="1:30">
      <c r="A85" s="223" t="s">
        <v>1280</v>
      </c>
      <c r="B85" s="220">
        <f>IFERROR(VLOOKUP($A85,'NG Pivot'!$A$4:$W$29,MATCH(B$2,'NG Pivot'!$O$3:$W$3,0)+14,FALSE),0)*10</f>
        <v>0</v>
      </c>
      <c r="C85" s="220">
        <f>IFERROR(VLOOKUP($A85,'NG Pivot'!$A$4:$W$29,MATCH(C$2,'NG Pivot'!$O$3:$W$3,0)+14,FALSE),0)*10</f>
        <v>0</v>
      </c>
      <c r="D85" s="220">
        <f>IFERROR(VLOOKUP($A85,'NG Pivot'!$A$4:$W$29,MATCH(D$2,'NG Pivot'!$O$3:$W$3,0)+14,FALSE),0)*10</f>
        <v>0</v>
      </c>
      <c r="E85" s="220">
        <f>IFERROR(VLOOKUP($A85,'NG Pivot'!$A$4:$W$29,MATCH(E$2,'NG Pivot'!$O$3:$W$3,0)+14,FALSE),0)*10</f>
        <v>0</v>
      </c>
      <c r="F85" s="220">
        <f>IFERROR(VLOOKUP($A85,'NG Pivot'!$A$4:$W$29,MATCH(F$2,'NG Pivot'!$O$3:$W$3,0)+14,FALSE),0)*10</f>
        <v>0</v>
      </c>
      <c r="G85" s="220">
        <f>IFERROR(VLOOKUP($A85,'NG Pivot'!$A$4:$W$29,MATCH(G$2,'NG Pivot'!$O$3:$W$3,0)+14,FALSE),0)*10</f>
        <v>0</v>
      </c>
      <c r="H85" s="220">
        <f>IFERROR(VLOOKUP($A85,'NG Pivot'!$A$4:$W$29,MATCH(H$2,'NG Pivot'!$O$3:$W$3,0)+14,FALSE),0)*10</f>
        <v>0</v>
      </c>
      <c r="I85" s="220">
        <f>IFERROR(VLOOKUP($A85,'NG Pivot'!$A$4:$W$29,MATCH(I$2,'NG Pivot'!$O$3:$W$3,0)+14,FALSE),0)*10</f>
        <v>0</v>
      </c>
      <c r="J85" s="220">
        <f>IFERROR(VLOOKUP($A85,'NG Pivot'!$A$4:$W$29,MATCH(J$2,'NG Pivot'!$O$3:$W$3,0)+14,FALSE),0)*10</f>
        <v>0</v>
      </c>
      <c r="K85" s="220">
        <f>IFERROR(VLOOKUP($A85,'NG Pivot'!$A$4:$W$29,MATCH(K$2,'NG Pivot'!$O$3:$W$3,0)+14,FALSE),0)*10</f>
        <v>0</v>
      </c>
      <c r="L85" s="220">
        <f>IFERROR(VLOOKUP($A85,'NG Pivot'!$A$4:$W$29,MATCH(L$2,'NG Pivot'!$O$3:$W$3,0)+14,FALSE),0)*10</f>
        <v>0</v>
      </c>
      <c r="M85" s="220">
        <f>IFERROR(VLOOKUP($A85,'NG Pivot'!$A$4:$W$29,MATCH(M$2,'NG Pivot'!$O$3:$W$3,0)+14,FALSE),0)*10</f>
        <v>0</v>
      </c>
      <c r="N85" s="220">
        <f>IFERROR(VLOOKUP($A85,'NG Pivot'!$A$4:$W$29,MATCH(N$2,'NG Pivot'!$O$3:$W$3,0)+14,FALSE),0)*10</f>
        <v>0</v>
      </c>
      <c r="O85" s="220">
        <f>IFERROR(VLOOKUP($A85,'NG Pivot'!$A$4:$W$29,MATCH(O$2,'NG Pivot'!$O$3:$W$3,0)+14,FALSE),0)*10</f>
        <v>0</v>
      </c>
      <c r="P85" s="220">
        <f>IFERROR(VLOOKUP($A85,'NG Pivot'!$A$4:$W$29,MATCH(P$2,'NG Pivot'!$O$3:$W$3,0)+14,FALSE),0)*10</f>
        <v>0</v>
      </c>
      <c r="Q85" s="220">
        <f>IFERROR(VLOOKUP($A85,'NG Pivot'!$A$4:$W$29,MATCH(Q$2,'NG Pivot'!$O$3:$W$3,0)+14,FALSE),0)*10</f>
        <v>0</v>
      </c>
      <c r="R85" s="220">
        <f>IFERROR(VLOOKUP($A85,'NG Pivot'!$A$4:$W$29,MATCH(R$2,'NG Pivot'!$O$3:$W$3,0)+14,FALSE),0)*10</f>
        <v>0</v>
      </c>
      <c r="S85" s="220">
        <f>IFERROR(VLOOKUP($A85,'NG Pivot'!$A$4:$W$29,MATCH(S$2,'NG Pivot'!$O$3:$W$3,0)+14,FALSE),0)*10</f>
        <v>0</v>
      </c>
      <c r="T85" s="220">
        <f>IFERROR(VLOOKUP($A85,'NG Pivot'!$A$4:$W$29,MATCH(T$2,'NG Pivot'!$O$3:$W$3,0)+14,FALSE),0)*10</f>
        <v>0</v>
      </c>
      <c r="U85" s="220">
        <f>IFERROR(VLOOKUP($A85,'NG Pivot'!$A$4:$W$29,MATCH(U$2,'NG Pivot'!$O$3:$W$3,0)+14,FALSE),0)*10</f>
        <v>0</v>
      </c>
      <c r="V85" s="220">
        <f>IFERROR(VLOOKUP($A85,'NG Pivot'!$A$4:$W$29,MATCH(V$2,'NG Pivot'!$O$3:$W$3,0)+14,FALSE),0)*10</f>
        <v>0</v>
      </c>
      <c r="W85" s="220">
        <f>IFERROR(VLOOKUP($A85,'NG Pivot'!$A$4:$W$29,MATCH(W$2,'NG Pivot'!$O$3:$W$3,0)+14,FALSE),0)*10</f>
        <v>0</v>
      </c>
      <c r="X85" s="220">
        <f>IFERROR(VLOOKUP($A85,'NG Pivot'!$A$4:$W$29,MATCH(X$2,'NG Pivot'!$O$3:$W$3,0)+14,FALSE),0)*10</f>
        <v>0</v>
      </c>
      <c r="Y85" s="220">
        <f>IFERROR(VLOOKUP($A85,'NG Pivot'!$A$4:$W$29,MATCH(Y$2,'NG Pivot'!$O$3:$W$3,0)+14,FALSE),0)*10</f>
        <v>0</v>
      </c>
      <c r="Z85" s="220">
        <f>IFERROR(VLOOKUP($A85,'NG Pivot'!$A$4:$W$29,MATCH(Z$2,'NG Pivot'!$O$3:$W$3,0)+14,FALSE),0)*10</f>
        <v>0</v>
      </c>
      <c r="AA85" s="220">
        <f>IFERROR(VLOOKUP($A85,'NG Pivot'!$A$4:$W$29,MATCH(AA$2,'NG Pivot'!$O$3:$W$3,0)+14,FALSE),0)*10</f>
        <v>0</v>
      </c>
      <c r="AB85" s="220">
        <f>IFERROR(VLOOKUP($A85,'NG Pivot'!$A$4:$W$29,MATCH(AB$2,'NG Pivot'!$O$3:$W$3,0)+14,FALSE),0)*10</f>
        <v>0</v>
      </c>
      <c r="AC85" s="220">
        <f>IFERROR(VLOOKUP($A85,'NG Pivot'!$A$4:$W$29,MATCH(AC$2,'NG Pivot'!$O$3:$W$3,0)+14,FALSE),0)*10</f>
        <v>0</v>
      </c>
      <c r="AD85" s="220">
        <f>IFERROR(VLOOKUP($A85,'NG Pivot'!$A$4:$W$29,MATCH(AD$2,'NG Pivot'!$O$3:$W$3,0)+14,FALSE),0)*10</f>
        <v>0</v>
      </c>
    </row>
    <row r="86" spans="1:30">
      <c r="A86" s="223" t="s">
        <v>1281</v>
      </c>
      <c r="B86" s="220">
        <f>IFERROR(VLOOKUP($A86,'NG Pivot'!$A$4:$W$29,MATCH(B$2,'NG Pivot'!$O$3:$W$3,0)+14,FALSE),0)*10</f>
        <v>0</v>
      </c>
      <c r="C86" s="220">
        <f>IFERROR(VLOOKUP($A86,'NG Pivot'!$A$4:$W$29,MATCH(C$2,'NG Pivot'!$O$3:$W$3,0)+14,FALSE),0)*10</f>
        <v>0</v>
      </c>
      <c r="D86" s="220">
        <f>IFERROR(VLOOKUP($A86,'NG Pivot'!$A$4:$W$29,MATCH(D$2,'NG Pivot'!$O$3:$W$3,0)+14,FALSE),0)*10</f>
        <v>0</v>
      </c>
      <c r="E86" s="220">
        <f>IFERROR(VLOOKUP($A86,'NG Pivot'!$A$4:$W$29,MATCH(E$2,'NG Pivot'!$O$3:$W$3,0)+14,FALSE),0)*10</f>
        <v>0</v>
      </c>
      <c r="F86" s="220">
        <f>IFERROR(VLOOKUP($A86,'NG Pivot'!$A$4:$W$29,MATCH(F$2,'NG Pivot'!$O$3:$W$3,0)+14,FALSE),0)*10</f>
        <v>0</v>
      </c>
      <c r="G86" s="220">
        <f>IFERROR(VLOOKUP($A86,'NG Pivot'!$A$4:$W$29,MATCH(G$2,'NG Pivot'!$O$3:$W$3,0)+14,FALSE),0)*10</f>
        <v>0</v>
      </c>
      <c r="H86" s="220">
        <f>IFERROR(VLOOKUP($A86,'NG Pivot'!$A$4:$W$29,MATCH(H$2,'NG Pivot'!$O$3:$W$3,0)+14,FALSE),0)*10</f>
        <v>0</v>
      </c>
      <c r="I86" s="220">
        <f>IFERROR(VLOOKUP($A86,'NG Pivot'!$A$4:$W$29,MATCH(I$2,'NG Pivot'!$O$3:$W$3,0)+14,FALSE),0)*10</f>
        <v>0</v>
      </c>
      <c r="J86" s="220">
        <f>IFERROR(VLOOKUP($A86,'NG Pivot'!$A$4:$W$29,MATCH(J$2,'NG Pivot'!$O$3:$W$3,0)+14,FALSE),0)*10</f>
        <v>0</v>
      </c>
      <c r="K86" s="220">
        <f>IFERROR(VLOOKUP($A86,'NG Pivot'!$A$4:$W$29,MATCH(K$2,'NG Pivot'!$O$3:$W$3,0)+14,FALSE),0)*10</f>
        <v>0</v>
      </c>
      <c r="L86" s="220">
        <f>IFERROR(VLOOKUP($A86,'NG Pivot'!$A$4:$W$29,MATCH(L$2,'NG Pivot'!$O$3:$W$3,0)+14,FALSE),0)*10</f>
        <v>0</v>
      </c>
      <c r="M86" s="220">
        <f>IFERROR(VLOOKUP($A86,'NG Pivot'!$A$4:$W$29,MATCH(M$2,'NG Pivot'!$O$3:$W$3,0)+14,FALSE),0)*10</f>
        <v>0</v>
      </c>
      <c r="N86" s="220">
        <f>IFERROR(VLOOKUP($A86,'NG Pivot'!$A$4:$W$29,MATCH(N$2,'NG Pivot'!$O$3:$W$3,0)+14,FALSE),0)*10</f>
        <v>0</v>
      </c>
      <c r="O86" s="220">
        <f>IFERROR(VLOOKUP($A86,'NG Pivot'!$A$4:$W$29,MATCH(O$2,'NG Pivot'!$O$3:$W$3,0)+14,FALSE),0)*10</f>
        <v>0</v>
      </c>
      <c r="P86" s="220">
        <f>IFERROR(VLOOKUP($A86,'NG Pivot'!$A$4:$W$29,MATCH(P$2,'NG Pivot'!$O$3:$W$3,0)+14,FALSE),0)*10</f>
        <v>0</v>
      </c>
      <c r="Q86" s="220">
        <f>IFERROR(VLOOKUP($A86,'NG Pivot'!$A$4:$W$29,MATCH(Q$2,'NG Pivot'!$O$3:$W$3,0)+14,FALSE),0)*10</f>
        <v>0</v>
      </c>
      <c r="R86" s="220">
        <f>IFERROR(VLOOKUP($A86,'NG Pivot'!$A$4:$W$29,MATCH(R$2,'NG Pivot'!$O$3:$W$3,0)+14,FALSE),0)*10</f>
        <v>0</v>
      </c>
      <c r="S86" s="220">
        <f>IFERROR(VLOOKUP($A86,'NG Pivot'!$A$4:$W$29,MATCH(S$2,'NG Pivot'!$O$3:$W$3,0)+14,FALSE),0)*10</f>
        <v>0</v>
      </c>
      <c r="T86" s="220">
        <f>IFERROR(VLOOKUP($A86,'NG Pivot'!$A$4:$W$29,MATCH(T$2,'NG Pivot'!$O$3:$W$3,0)+14,FALSE),0)*10</f>
        <v>0</v>
      </c>
      <c r="U86" s="220">
        <f>IFERROR(VLOOKUP($A86,'NG Pivot'!$A$4:$W$29,MATCH(U$2,'NG Pivot'!$O$3:$W$3,0)+14,FALSE),0)*10</f>
        <v>0</v>
      </c>
      <c r="V86" s="220">
        <f>IFERROR(VLOOKUP($A86,'NG Pivot'!$A$4:$W$29,MATCH(V$2,'NG Pivot'!$O$3:$W$3,0)+14,FALSE),0)*10</f>
        <v>0</v>
      </c>
      <c r="W86" s="220">
        <f>IFERROR(VLOOKUP($A86,'NG Pivot'!$A$4:$W$29,MATCH(W$2,'NG Pivot'!$O$3:$W$3,0)+14,FALSE),0)*10</f>
        <v>0</v>
      </c>
      <c r="X86" s="220">
        <f>IFERROR(VLOOKUP($A86,'NG Pivot'!$A$4:$W$29,MATCH(X$2,'NG Pivot'!$O$3:$W$3,0)+14,FALSE),0)*10</f>
        <v>0</v>
      </c>
      <c r="Y86" s="220">
        <f>IFERROR(VLOOKUP($A86,'NG Pivot'!$A$4:$W$29,MATCH(Y$2,'NG Pivot'!$O$3:$W$3,0)+14,FALSE),0)*10</f>
        <v>0</v>
      </c>
      <c r="Z86" s="220">
        <f>IFERROR(VLOOKUP($A86,'NG Pivot'!$A$4:$W$29,MATCH(Z$2,'NG Pivot'!$O$3:$W$3,0)+14,FALSE),0)*10</f>
        <v>31.8</v>
      </c>
      <c r="AA86" s="220">
        <f>IFERROR(VLOOKUP($A86,'NG Pivot'!$A$4:$W$29,MATCH(AA$2,'NG Pivot'!$O$3:$W$3,0)+14,FALSE),0)*10</f>
        <v>0</v>
      </c>
      <c r="AB86" s="220">
        <f>IFERROR(VLOOKUP($A86,'NG Pivot'!$A$4:$W$29,MATCH(AB$2,'NG Pivot'!$O$3:$W$3,0)+14,FALSE),0)*10</f>
        <v>0</v>
      </c>
      <c r="AC86" s="220">
        <f>IFERROR(VLOOKUP($A86,'NG Pivot'!$A$4:$W$29,MATCH(AC$2,'NG Pivot'!$O$3:$W$3,0)+14,FALSE),0)*10</f>
        <v>0</v>
      </c>
      <c r="AD86" s="220">
        <f>IFERROR(VLOOKUP($A86,'NG Pivot'!$A$4:$W$29,MATCH(AD$2,'NG Pivot'!$O$3:$W$3,0)+14,FALSE),0)*10</f>
        <v>0</v>
      </c>
    </row>
    <row r="87" spans="1:30">
      <c r="A87" s="223" t="s">
        <v>1282</v>
      </c>
      <c r="B87" s="220">
        <f>IFERROR(VLOOKUP($A87,'NG Pivot'!$A$4:$W$29,MATCH(B$2,'NG Pivot'!$O$3:$W$3,0)+14,FALSE),0)*10</f>
        <v>0</v>
      </c>
      <c r="C87" s="220">
        <f>IFERROR(VLOOKUP($A87,'NG Pivot'!$A$4:$W$29,MATCH(C$2,'NG Pivot'!$O$3:$W$3,0)+14,FALSE),0)*10</f>
        <v>0</v>
      </c>
      <c r="D87" s="220">
        <f>IFERROR(VLOOKUP($A87,'NG Pivot'!$A$4:$W$29,MATCH(D$2,'NG Pivot'!$O$3:$W$3,0)+14,FALSE),0)*10</f>
        <v>0</v>
      </c>
      <c r="E87" s="220">
        <f>IFERROR(VLOOKUP($A87,'NG Pivot'!$A$4:$W$29,MATCH(E$2,'NG Pivot'!$O$3:$W$3,0)+14,FALSE),0)*10</f>
        <v>0</v>
      </c>
      <c r="F87" s="220">
        <f>IFERROR(VLOOKUP($A87,'NG Pivot'!$A$4:$W$29,MATCH(F$2,'NG Pivot'!$O$3:$W$3,0)+14,FALSE),0)*10</f>
        <v>0</v>
      </c>
      <c r="G87" s="220">
        <f>IFERROR(VLOOKUP($A87,'NG Pivot'!$A$4:$W$29,MATCH(G$2,'NG Pivot'!$O$3:$W$3,0)+14,FALSE),0)*10</f>
        <v>0</v>
      </c>
      <c r="H87" s="220">
        <f>IFERROR(VLOOKUP($A87,'NG Pivot'!$A$4:$W$29,MATCH(H$2,'NG Pivot'!$O$3:$W$3,0)+14,FALSE),0)*10</f>
        <v>0</v>
      </c>
      <c r="I87" s="220">
        <f>IFERROR(VLOOKUP($A87,'NG Pivot'!$A$4:$W$29,MATCH(I$2,'NG Pivot'!$O$3:$W$3,0)+14,FALSE),0)*10</f>
        <v>0</v>
      </c>
      <c r="J87" s="220">
        <f>IFERROR(VLOOKUP($A87,'NG Pivot'!$A$4:$W$29,MATCH(J$2,'NG Pivot'!$O$3:$W$3,0)+14,FALSE),0)*10</f>
        <v>0</v>
      </c>
      <c r="K87" s="220">
        <f>IFERROR(VLOOKUP($A87,'NG Pivot'!$A$4:$W$29,MATCH(K$2,'NG Pivot'!$O$3:$W$3,0)+14,FALSE),0)*10</f>
        <v>0</v>
      </c>
      <c r="L87" s="220">
        <f>IFERROR(VLOOKUP($A87,'NG Pivot'!$A$4:$W$29,MATCH(L$2,'NG Pivot'!$O$3:$W$3,0)+14,FALSE),0)*10</f>
        <v>0</v>
      </c>
      <c r="M87" s="220">
        <f>IFERROR(VLOOKUP($A87,'NG Pivot'!$A$4:$W$29,MATCH(M$2,'NG Pivot'!$O$3:$W$3,0)+14,FALSE),0)*10</f>
        <v>0</v>
      </c>
      <c r="N87" s="220">
        <f>IFERROR(VLOOKUP($A87,'NG Pivot'!$A$4:$W$29,MATCH(N$2,'NG Pivot'!$O$3:$W$3,0)+14,FALSE),0)*10</f>
        <v>0</v>
      </c>
      <c r="O87" s="220">
        <f>IFERROR(VLOOKUP($A87,'NG Pivot'!$A$4:$W$29,MATCH(O$2,'NG Pivot'!$O$3:$W$3,0)+14,FALSE),0)*10</f>
        <v>0</v>
      </c>
      <c r="P87" s="220">
        <f>IFERROR(VLOOKUP($A87,'NG Pivot'!$A$4:$W$29,MATCH(P$2,'NG Pivot'!$O$3:$W$3,0)+14,FALSE),0)*10</f>
        <v>0</v>
      </c>
      <c r="Q87" s="220">
        <f>IFERROR(VLOOKUP($A87,'NG Pivot'!$A$4:$W$29,MATCH(Q$2,'NG Pivot'!$O$3:$W$3,0)+14,FALSE),0)*10</f>
        <v>0</v>
      </c>
      <c r="R87" s="220">
        <f>IFERROR(VLOOKUP($A87,'NG Pivot'!$A$4:$W$29,MATCH(R$2,'NG Pivot'!$O$3:$W$3,0)+14,FALSE),0)*10</f>
        <v>0</v>
      </c>
      <c r="S87" s="220">
        <f>IFERROR(VLOOKUP($A87,'NG Pivot'!$A$4:$W$29,MATCH(S$2,'NG Pivot'!$O$3:$W$3,0)+14,FALSE),0)*10</f>
        <v>0</v>
      </c>
      <c r="T87" s="220">
        <f>IFERROR(VLOOKUP($A87,'NG Pivot'!$A$4:$W$29,MATCH(T$2,'NG Pivot'!$O$3:$W$3,0)+14,FALSE),0)*10</f>
        <v>0</v>
      </c>
      <c r="U87" s="220">
        <f>IFERROR(VLOOKUP($A87,'NG Pivot'!$A$4:$W$29,MATCH(U$2,'NG Pivot'!$O$3:$W$3,0)+14,FALSE),0)*10</f>
        <v>0</v>
      </c>
      <c r="V87" s="220">
        <f>IFERROR(VLOOKUP($A87,'NG Pivot'!$A$4:$W$29,MATCH(V$2,'NG Pivot'!$O$3:$W$3,0)+14,FALSE),0)*10</f>
        <v>0</v>
      </c>
      <c r="W87" s="220">
        <f>IFERROR(VLOOKUP($A87,'NG Pivot'!$A$4:$W$29,MATCH(W$2,'NG Pivot'!$O$3:$W$3,0)+14,FALSE),0)*10</f>
        <v>87</v>
      </c>
      <c r="X87" s="220">
        <f>IFERROR(VLOOKUP($A87,'NG Pivot'!$A$4:$W$29,MATCH(X$2,'NG Pivot'!$O$3:$W$3,0)+14,FALSE),0)*10</f>
        <v>0</v>
      </c>
      <c r="Y87" s="220">
        <f>IFERROR(VLOOKUP($A87,'NG Pivot'!$A$4:$W$29,MATCH(Y$2,'NG Pivot'!$O$3:$W$3,0)+14,FALSE),0)*10</f>
        <v>0</v>
      </c>
      <c r="Z87" s="220">
        <f>IFERROR(VLOOKUP($A87,'NG Pivot'!$A$4:$W$29,MATCH(Z$2,'NG Pivot'!$O$3:$W$3,0)+14,FALSE),0)*10</f>
        <v>0</v>
      </c>
      <c r="AA87" s="220">
        <f>IFERROR(VLOOKUP($A87,'NG Pivot'!$A$4:$W$29,MATCH(AA$2,'NG Pivot'!$O$3:$W$3,0)+14,FALSE),0)*10</f>
        <v>0</v>
      </c>
      <c r="AB87" s="220">
        <f>IFERROR(VLOOKUP($A87,'NG Pivot'!$A$4:$W$29,MATCH(AB$2,'NG Pivot'!$O$3:$W$3,0)+14,FALSE),0)*10</f>
        <v>0</v>
      </c>
      <c r="AC87" s="220">
        <f>IFERROR(VLOOKUP($A87,'NG Pivot'!$A$4:$W$29,MATCH(AC$2,'NG Pivot'!$O$3:$W$3,0)+14,FALSE),0)*10</f>
        <v>0</v>
      </c>
      <c r="AD87" s="220">
        <f>IFERROR(VLOOKUP($A87,'NG Pivot'!$A$4:$W$29,MATCH(AD$2,'NG Pivot'!$O$3:$W$3,0)+14,FALSE),0)*10</f>
        <v>0</v>
      </c>
    </row>
    <row r="88" spans="1:30">
      <c r="A88" s="223" t="s">
        <v>1283</v>
      </c>
      <c r="B88" s="220">
        <f>IFERROR(VLOOKUP($A88,'NG Pivot'!$A$4:$W$29,MATCH(B$2,'NG Pivot'!$O$3:$W$3,0)+14,FALSE),0)*10</f>
        <v>0</v>
      </c>
      <c r="C88" s="220">
        <f>IFERROR(VLOOKUP($A88,'NG Pivot'!$A$4:$W$29,MATCH(C$2,'NG Pivot'!$O$3:$W$3,0)+14,FALSE),0)*10</f>
        <v>0</v>
      </c>
      <c r="D88" s="220">
        <f>IFERROR(VLOOKUP($A88,'NG Pivot'!$A$4:$W$29,MATCH(D$2,'NG Pivot'!$O$3:$W$3,0)+14,FALSE),0)*10</f>
        <v>0</v>
      </c>
      <c r="E88" s="220">
        <f>IFERROR(VLOOKUP($A88,'NG Pivot'!$A$4:$W$29,MATCH(E$2,'NG Pivot'!$O$3:$W$3,0)+14,FALSE),0)*10</f>
        <v>0</v>
      </c>
      <c r="F88" s="220">
        <f>IFERROR(VLOOKUP($A88,'NG Pivot'!$A$4:$W$29,MATCH(F$2,'NG Pivot'!$O$3:$W$3,0)+14,FALSE),0)*10</f>
        <v>0</v>
      </c>
      <c r="G88" s="220">
        <f>IFERROR(VLOOKUP($A88,'NG Pivot'!$A$4:$W$29,MATCH(G$2,'NG Pivot'!$O$3:$W$3,0)+14,FALSE),0)*10</f>
        <v>0</v>
      </c>
      <c r="H88" s="220">
        <f>IFERROR(VLOOKUP($A88,'NG Pivot'!$A$4:$W$29,MATCH(H$2,'NG Pivot'!$O$3:$W$3,0)+14,FALSE),0)*10</f>
        <v>0</v>
      </c>
      <c r="I88" s="220">
        <f>IFERROR(VLOOKUP($A88,'NG Pivot'!$A$4:$W$29,MATCH(I$2,'NG Pivot'!$O$3:$W$3,0)+14,FALSE),0)*10</f>
        <v>0</v>
      </c>
      <c r="J88" s="220">
        <f>IFERROR(VLOOKUP($A88,'NG Pivot'!$A$4:$W$29,MATCH(J$2,'NG Pivot'!$O$3:$W$3,0)+14,FALSE),0)*10</f>
        <v>0</v>
      </c>
      <c r="K88" s="220">
        <f>IFERROR(VLOOKUP($A88,'NG Pivot'!$A$4:$W$29,MATCH(K$2,'NG Pivot'!$O$3:$W$3,0)+14,FALSE),0)*10</f>
        <v>0</v>
      </c>
      <c r="L88" s="220">
        <f>IFERROR(VLOOKUP($A88,'NG Pivot'!$A$4:$W$29,MATCH(L$2,'NG Pivot'!$O$3:$W$3,0)+14,FALSE),0)*10</f>
        <v>0</v>
      </c>
      <c r="M88" s="220">
        <f>IFERROR(VLOOKUP($A88,'NG Pivot'!$A$4:$W$29,MATCH(M$2,'NG Pivot'!$O$3:$W$3,0)+14,FALSE),0)*10</f>
        <v>0</v>
      </c>
      <c r="N88" s="220">
        <f>IFERROR(VLOOKUP($A88,'NG Pivot'!$A$4:$W$29,MATCH(N$2,'NG Pivot'!$O$3:$W$3,0)+14,FALSE),0)*10</f>
        <v>0</v>
      </c>
      <c r="O88" s="220">
        <f>IFERROR(VLOOKUP($A88,'NG Pivot'!$A$4:$W$29,MATCH(O$2,'NG Pivot'!$O$3:$W$3,0)+14,FALSE),0)*10</f>
        <v>0</v>
      </c>
      <c r="P88" s="220">
        <f>IFERROR(VLOOKUP($A88,'NG Pivot'!$A$4:$W$29,MATCH(P$2,'NG Pivot'!$O$3:$W$3,0)+14,FALSE),0)*10</f>
        <v>0</v>
      </c>
      <c r="Q88" s="220">
        <f>IFERROR(VLOOKUP($A88,'NG Pivot'!$A$4:$W$29,MATCH(Q$2,'NG Pivot'!$O$3:$W$3,0)+14,FALSE),0)*10</f>
        <v>0</v>
      </c>
      <c r="R88" s="220">
        <f>IFERROR(VLOOKUP($A88,'NG Pivot'!$A$4:$W$29,MATCH(R$2,'NG Pivot'!$O$3:$W$3,0)+14,FALSE),0)*10</f>
        <v>0</v>
      </c>
      <c r="S88" s="220">
        <f>IFERROR(VLOOKUP($A88,'NG Pivot'!$A$4:$W$29,MATCH(S$2,'NG Pivot'!$O$3:$W$3,0)+14,FALSE),0)*10</f>
        <v>0</v>
      </c>
      <c r="T88" s="220">
        <f>IFERROR(VLOOKUP($A88,'NG Pivot'!$A$4:$W$29,MATCH(T$2,'NG Pivot'!$O$3:$W$3,0)+14,FALSE),0)*10</f>
        <v>0</v>
      </c>
      <c r="U88" s="220">
        <f>IFERROR(VLOOKUP($A88,'NG Pivot'!$A$4:$W$29,MATCH(U$2,'NG Pivot'!$O$3:$W$3,0)+14,FALSE),0)*10</f>
        <v>0</v>
      </c>
      <c r="V88" s="220">
        <f>IFERROR(VLOOKUP($A88,'NG Pivot'!$A$4:$W$29,MATCH(V$2,'NG Pivot'!$O$3:$W$3,0)+14,FALSE),0)*10</f>
        <v>0</v>
      </c>
      <c r="W88" s="220">
        <f>IFERROR(VLOOKUP($A88,'NG Pivot'!$A$4:$W$29,MATCH(W$2,'NG Pivot'!$O$3:$W$3,0)+14,FALSE),0)*10</f>
        <v>0</v>
      </c>
      <c r="X88" s="220">
        <f>IFERROR(VLOOKUP($A88,'NG Pivot'!$A$4:$W$29,MATCH(X$2,'NG Pivot'!$O$3:$W$3,0)+14,FALSE),0)*10</f>
        <v>0</v>
      </c>
      <c r="Y88" s="220">
        <f>IFERROR(VLOOKUP($A88,'NG Pivot'!$A$4:$W$29,MATCH(Y$2,'NG Pivot'!$O$3:$W$3,0)+14,FALSE),0)*10</f>
        <v>1</v>
      </c>
      <c r="Z88" s="220">
        <f>IFERROR(VLOOKUP($A88,'NG Pivot'!$A$4:$W$29,MATCH(Z$2,'NG Pivot'!$O$3:$W$3,0)+14,FALSE),0)*10</f>
        <v>0</v>
      </c>
      <c r="AA88" s="220">
        <f>IFERROR(VLOOKUP($A88,'NG Pivot'!$A$4:$W$29,MATCH(AA$2,'NG Pivot'!$O$3:$W$3,0)+14,FALSE),0)*10</f>
        <v>0</v>
      </c>
      <c r="AB88" s="220">
        <f>IFERROR(VLOOKUP($A88,'NG Pivot'!$A$4:$W$29,MATCH(AB$2,'NG Pivot'!$O$3:$W$3,0)+14,FALSE),0)*10</f>
        <v>0</v>
      </c>
      <c r="AC88" s="220">
        <f>IFERROR(VLOOKUP($A88,'NG Pivot'!$A$4:$W$29,MATCH(AC$2,'NG Pivot'!$O$3:$W$3,0)+14,FALSE),0)*10</f>
        <v>0</v>
      </c>
      <c r="AD88" s="220">
        <f>IFERROR(VLOOKUP($A88,'NG Pivot'!$A$4:$W$29,MATCH(AD$2,'NG Pivot'!$O$3:$W$3,0)+14,FALSE),0)*10</f>
        <v>0</v>
      </c>
    </row>
    <row r="89" spans="1:30">
      <c r="A89" s="223" t="s">
        <v>1284</v>
      </c>
      <c r="B89" s="220">
        <f>IFERROR(VLOOKUP($A89,'NG Pivot'!$A$4:$W$29,MATCH(B$2,'NG Pivot'!$O$3:$W$3,0)+14,FALSE),0)*10</f>
        <v>0</v>
      </c>
      <c r="C89" s="220">
        <f>IFERROR(VLOOKUP($A89,'NG Pivot'!$A$4:$W$29,MATCH(C$2,'NG Pivot'!$O$3:$W$3,0)+14,FALSE),0)*10</f>
        <v>0</v>
      </c>
      <c r="D89" s="220">
        <f>IFERROR(VLOOKUP($A89,'NG Pivot'!$A$4:$W$29,MATCH(D$2,'NG Pivot'!$O$3:$W$3,0)+14,FALSE),0)*10</f>
        <v>0</v>
      </c>
      <c r="E89" s="220">
        <f>IFERROR(VLOOKUP($A89,'NG Pivot'!$A$4:$W$29,MATCH(E$2,'NG Pivot'!$O$3:$W$3,0)+14,FALSE),0)*10</f>
        <v>0</v>
      </c>
      <c r="F89" s="220">
        <f>IFERROR(VLOOKUP($A89,'NG Pivot'!$A$4:$W$29,MATCH(F$2,'NG Pivot'!$O$3:$W$3,0)+14,FALSE),0)*10</f>
        <v>0</v>
      </c>
      <c r="G89" s="220">
        <f>IFERROR(VLOOKUP($A89,'NG Pivot'!$A$4:$W$29,MATCH(G$2,'NG Pivot'!$O$3:$W$3,0)+14,FALSE),0)*10</f>
        <v>0</v>
      </c>
      <c r="H89" s="220">
        <f>IFERROR(VLOOKUP($A89,'NG Pivot'!$A$4:$W$29,MATCH(H$2,'NG Pivot'!$O$3:$W$3,0)+14,FALSE),0)*10</f>
        <v>0</v>
      </c>
      <c r="I89" s="220">
        <f>IFERROR(VLOOKUP($A89,'NG Pivot'!$A$4:$W$29,MATCH(I$2,'NG Pivot'!$O$3:$W$3,0)+14,FALSE),0)*10</f>
        <v>0</v>
      </c>
      <c r="J89" s="220">
        <f>IFERROR(VLOOKUP($A89,'NG Pivot'!$A$4:$W$29,MATCH(J$2,'NG Pivot'!$O$3:$W$3,0)+14,FALSE),0)*10</f>
        <v>0</v>
      </c>
      <c r="K89" s="220">
        <f>IFERROR(VLOOKUP($A89,'NG Pivot'!$A$4:$W$29,MATCH(K$2,'NG Pivot'!$O$3:$W$3,0)+14,FALSE),0)*10</f>
        <v>0</v>
      </c>
      <c r="L89" s="220">
        <f>IFERROR(VLOOKUP($A89,'NG Pivot'!$A$4:$W$29,MATCH(L$2,'NG Pivot'!$O$3:$W$3,0)+14,FALSE),0)*10</f>
        <v>0</v>
      </c>
      <c r="M89" s="220">
        <f>IFERROR(VLOOKUP($A89,'NG Pivot'!$A$4:$W$29,MATCH(M$2,'NG Pivot'!$O$3:$W$3,0)+14,FALSE),0)*10</f>
        <v>0</v>
      </c>
      <c r="N89" s="220">
        <f>IFERROR(VLOOKUP($A89,'NG Pivot'!$A$4:$W$29,MATCH(N$2,'NG Pivot'!$O$3:$W$3,0)+14,FALSE),0)*10</f>
        <v>0</v>
      </c>
      <c r="O89" s="220">
        <f>IFERROR(VLOOKUP($A89,'NG Pivot'!$A$4:$W$29,MATCH(O$2,'NG Pivot'!$O$3:$W$3,0)+14,FALSE),0)*10</f>
        <v>0</v>
      </c>
      <c r="P89" s="220">
        <f>IFERROR(VLOOKUP($A89,'NG Pivot'!$A$4:$W$29,MATCH(P$2,'NG Pivot'!$O$3:$W$3,0)+14,FALSE),0)*10</f>
        <v>0</v>
      </c>
      <c r="Q89" s="220">
        <f>IFERROR(VLOOKUP($A89,'NG Pivot'!$A$4:$W$29,MATCH(Q$2,'NG Pivot'!$O$3:$W$3,0)+14,FALSE),0)*10</f>
        <v>0</v>
      </c>
      <c r="R89" s="220">
        <f>IFERROR(VLOOKUP($A89,'NG Pivot'!$A$4:$W$29,MATCH(R$2,'NG Pivot'!$O$3:$W$3,0)+14,FALSE),0)*10</f>
        <v>0</v>
      </c>
      <c r="S89" s="220">
        <f>IFERROR(VLOOKUP($A89,'NG Pivot'!$A$4:$W$29,MATCH(S$2,'NG Pivot'!$O$3:$W$3,0)+14,FALSE),0)*10</f>
        <v>0</v>
      </c>
      <c r="T89" s="220">
        <f>IFERROR(VLOOKUP($A89,'NG Pivot'!$A$4:$W$29,MATCH(T$2,'NG Pivot'!$O$3:$W$3,0)+14,FALSE),0)*10</f>
        <v>0</v>
      </c>
      <c r="U89" s="220">
        <f>IFERROR(VLOOKUP($A89,'NG Pivot'!$A$4:$W$29,MATCH(U$2,'NG Pivot'!$O$3:$W$3,0)+14,FALSE),0)*10</f>
        <v>0</v>
      </c>
      <c r="V89" s="220">
        <f>IFERROR(VLOOKUP($A89,'NG Pivot'!$A$4:$W$29,MATCH(V$2,'NG Pivot'!$O$3:$W$3,0)+14,FALSE),0)*10</f>
        <v>0</v>
      </c>
      <c r="W89" s="220">
        <f>IFERROR(VLOOKUP($A89,'NG Pivot'!$A$4:$W$29,MATCH(W$2,'NG Pivot'!$O$3:$W$3,0)+14,FALSE),0)*10</f>
        <v>0</v>
      </c>
      <c r="X89" s="220">
        <f>IFERROR(VLOOKUP($A89,'NG Pivot'!$A$4:$W$29,MATCH(X$2,'NG Pivot'!$O$3:$W$3,0)+14,FALSE),0)*10</f>
        <v>0</v>
      </c>
      <c r="Y89" s="220">
        <f>IFERROR(VLOOKUP($A89,'NG Pivot'!$A$4:$W$29,MATCH(Y$2,'NG Pivot'!$O$3:$W$3,0)+14,FALSE),0)*10</f>
        <v>0</v>
      </c>
      <c r="Z89" s="220">
        <f>IFERROR(VLOOKUP($A89,'NG Pivot'!$A$4:$W$29,MATCH(Z$2,'NG Pivot'!$O$3:$W$3,0)+14,FALSE),0)*10</f>
        <v>0</v>
      </c>
      <c r="AA89" s="220">
        <f>IFERROR(VLOOKUP($A89,'NG Pivot'!$A$4:$W$29,MATCH(AA$2,'NG Pivot'!$O$3:$W$3,0)+14,FALSE),0)*10</f>
        <v>0</v>
      </c>
      <c r="AB89" s="220">
        <f>IFERROR(VLOOKUP($A89,'NG Pivot'!$A$4:$W$29,MATCH(AB$2,'NG Pivot'!$O$3:$W$3,0)+14,FALSE),0)*10</f>
        <v>0</v>
      </c>
      <c r="AC89" s="220">
        <f>IFERROR(VLOOKUP($A89,'NG Pivot'!$A$4:$W$29,MATCH(AC$2,'NG Pivot'!$O$3:$W$3,0)+14,FALSE),0)*10</f>
        <v>0</v>
      </c>
      <c r="AD89" s="220">
        <f>IFERROR(VLOOKUP($A89,'NG Pivot'!$A$4:$W$29,MATCH(AD$2,'NG Pivot'!$O$3:$W$3,0)+14,FALSE),0)*10</f>
        <v>0</v>
      </c>
    </row>
    <row r="90" spans="1:30">
      <c r="A90" s="223" t="s">
        <v>1285</v>
      </c>
      <c r="B90" s="220">
        <f>IFERROR(VLOOKUP($A90,'NG Pivot'!$A$4:$W$29,MATCH(B$2,'NG Pivot'!$O$3:$W$3,0)+14,FALSE),0)*10</f>
        <v>0</v>
      </c>
      <c r="C90" s="220">
        <f>IFERROR(VLOOKUP($A90,'NG Pivot'!$A$4:$W$29,MATCH(C$2,'NG Pivot'!$O$3:$W$3,0)+14,FALSE),0)*10</f>
        <v>0</v>
      </c>
      <c r="D90" s="220">
        <f>IFERROR(VLOOKUP($A90,'NG Pivot'!$A$4:$W$29,MATCH(D$2,'NG Pivot'!$O$3:$W$3,0)+14,FALSE),0)*10</f>
        <v>0</v>
      </c>
      <c r="E90" s="220">
        <f>IFERROR(VLOOKUP($A90,'NG Pivot'!$A$4:$W$29,MATCH(E$2,'NG Pivot'!$O$3:$W$3,0)+14,FALSE),0)*10</f>
        <v>0</v>
      </c>
      <c r="F90" s="220">
        <f>IFERROR(VLOOKUP($A90,'NG Pivot'!$A$4:$W$29,MATCH(F$2,'NG Pivot'!$O$3:$W$3,0)+14,FALSE),0)*10</f>
        <v>0</v>
      </c>
      <c r="G90" s="220">
        <f>IFERROR(VLOOKUP($A90,'NG Pivot'!$A$4:$W$29,MATCH(G$2,'NG Pivot'!$O$3:$W$3,0)+14,FALSE),0)*10</f>
        <v>0</v>
      </c>
      <c r="H90" s="220">
        <f>IFERROR(VLOOKUP($A90,'NG Pivot'!$A$4:$W$29,MATCH(H$2,'NG Pivot'!$O$3:$W$3,0)+14,FALSE),0)*10</f>
        <v>0</v>
      </c>
      <c r="I90" s="220">
        <f>IFERROR(VLOOKUP($A90,'NG Pivot'!$A$4:$W$29,MATCH(I$2,'NG Pivot'!$O$3:$W$3,0)+14,FALSE),0)*10</f>
        <v>0</v>
      </c>
      <c r="J90" s="220">
        <f>IFERROR(VLOOKUP($A90,'NG Pivot'!$A$4:$W$29,MATCH(J$2,'NG Pivot'!$O$3:$W$3,0)+14,FALSE),0)*10</f>
        <v>0</v>
      </c>
      <c r="K90" s="220">
        <f>IFERROR(VLOOKUP($A90,'NG Pivot'!$A$4:$W$29,MATCH(K$2,'NG Pivot'!$O$3:$W$3,0)+14,FALSE),0)*10</f>
        <v>0</v>
      </c>
      <c r="L90" s="220">
        <f>IFERROR(VLOOKUP($A90,'NG Pivot'!$A$4:$W$29,MATCH(L$2,'NG Pivot'!$O$3:$W$3,0)+14,FALSE),0)*10</f>
        <v>0</v>
      </c>
      <c r="M90" s="220">
        <f>IFERROR(VLOOKUP($A90,'NG Pivot'!$A$4:$W$29,MATCH(M$2,'NG Pivot'!$O$3:$W$3,0)+14,FALSE),0)*10</f>
        <v>0</v>
      </c>
      <c r="N90" s="220">
        <f>IFERROR(VLOOKUP($A90,'NG Pivot'!$A$4:$W$29,MATCH(N$2,'NG Pivot'!$O$3:$W$3,0)+14,FALSE),0)*10</f>
        <v>0</v>
      </c>
      <c r="O90" s="220">
        <f>IFERROR(VLOOKUP($A90,'NG Pivot'!$A$4:$W$29,MATCH(O$2,'NG Pivot'!$O$3:$W$3,0)+14,FALSE),0)*10</f>
        <v>0</v>
      </c>
      <c r="P90" s="220">
        <f>IFERROR(VLOOKUP($A90,'NG Pivot'!$A$4:$W$29,MATCH(P$2,'NG Pivot'!$O$3:$W$3,0)+14,FALSE),0)*10</f>
        <v>0</v>
      </c>
      <c r="Q90" s="220">
        <f>IFERROR(VLOOKUP($A90,'NG Pivot'!$A$4:$W$29,MATCH(Q$2,'NG Pivot'!$O$3:$W$3,0)+14,FALSE),0)*10</f>
        <v>0</v>
      </c>
      <c r="R90" s="220">
        <f>IFERROR(VLOOKUP($A90,'NG Pivot'!$A$4:$W$29,MATCH(R$2,'NG Pivot'!$O$3:$W$3,0)+14,FALSE),0)*10</f>
        <v>0</v>
      </c>
      <c r="S90" s="220">
        <f>IFERROR(VLOOKUP($A90,'NG Pivot'!$A$4:$W$29,MATCH(S$2,'NG Pivot'!$O$3:$W$3,0)+14,FALSE),0)*10</f>
        <v>0</v>
      </c>
      <c r="T90" s="220">
        <f>IFERROR(VLOOKUP($A90,'NG Pivot'!$A$4:$W$29,MATCH(T$2,'NG Pivot'!$O$3:$W$3,0)+14,FALSE),0)*10</f>
        <v>0</v>
      </c>
      <c r="U90" s="220">
        <f>IFERROR(VLOOKUP($A90,'NG Pivot'!$A$4:$W$29,MATCH(U$2,'NG Pivot'!$O$3:$W$3,0)+14,FALSE),0)*10</f>
        <v>0</v>
      </c>
      <c r="V90" s="220">
        <f>IFERROR(VLOOKUP($A90,'NG Pivot'!$A$4:$W$29,MATCH(V$2,'NG Pivot'!$O$3:$W$3,0)+14,FALSE),0)*10</f>
        <v>0</v>
      </c>
      <c r="W90" s="220">
        <f>IFERROR(VLOOKUP($A90,'NG Pivot'!$A$4:$W$29,MATCH(W$2,'NG Pivot'!$O$3:$W$3,0)+14,FALSE),0)*10</f>
        <v>0</v>
      </c>
      <c r="X90" s="220">
        <f>IFERROR(VLOOKUP($A90,'NG Pivot'!$A$4:$W$29,MATCH(X$2,'NG Pivot'!$O$3:$W$3,0)+14,FALSE),0)*10</f>
        <v>0</v>
      </c>
      <c r="Y90" s="220">
        <f>IFERROR(VLOOKUP($A90,'NG Pivot'!$A$4:$W$29,MATCH(Y$2,'NG Pivot'!$O$3:$W$3,0)+14,FALSE),0)*10</f>
        <v>0</v>
      </c>
      <c r="Z90" s="220">
        <f>IFERROR(VLOOKUP($A90,'NG Pivot'!$A$4:$W$29,MATCH(Z$2,'NG Pivot'!$O$3:$W$3,0)+14,FALSE),0)*10</f>
        <v>0</v>
      </c>
      <c r="AA90" s="220">
        <f>IFERROR(VLOOKUP($A90,'NG Pivot'!$A$4:$W$29,MATCH(AA$2,'NG Pivot'!$O$3:$W$3,0)+14,FALSE),0)*10</f>
        <v>0</v>
      </c>
      <c r="AB90" s="220">
        <f>IFERROR(VLOOKUP($A90,'NG Pivot'!$A$4:$W$29,MATCH(AB$2,'NG Pivot'!$O$3:$W$3,0)+14,FALSE),0)*10</f>
        <v>0</v>
      </c>
      <c r="AC90" s="220">
        <f>IFERROR(VLOOKUP($A90,'NG Pivot'!$A$4:$W$29,MATCH(AC$2,'NG Pivot'!$O$3:$W$3,0)+14,FALSE),0)*10</f>
        <v>0</v>
      </c>
      <c r="AD90" s="220">
        <f>IFERROR(VLOOKUP($A90,'NG Pivot'!$A$4:$W$29,MATCH(AD$2,'NG Pivot'!$O$3:$W$3,0)+14,FALSE),0)*10</f>
        <v>0</v>
      </c>
    </row>
    <row r="91" spans="1:30">
      <c r="A91" s="223" t="s">
        <v>1286</v>
      </c>
      <c r="B91" s="220">
        <f>IFERROR(VLOOKUP($A91,'NG Pivot'!$A$4:$W$29,MATCH(B$2,'NG Pivot'!$O$3:$W$3,0)+14,FALSE),0)*10</f>
        <v>0</v>
      </c>
      <c r="C91" s="220">
        <f>IFERROR(VLOOKUP($A91,'NG Pivot'!$A$4:$W$29,MATCH(C$2,'NG Pivot'!$O$3:$W$3,0)+14,FALSE),0)*10</f>
        <v>0</v>
      </c>
      <c r="D91" s="220">
        <f>IFERROR(VLOOKUP($A91,'NG Pivot'!$A$4:$W$29,MATCH(D$2,'NG Pivot'!$O$3:$W$3,0)+14,FALSE),0)*10</f>
        <v>0</v>
      </c>
      <c r="E91" s="220">
        <f>IFERROR(VLOOKUP($A91,'NG Pivot'!$A$4:$W$29,MATCH(E$2,'NG Pivot'!$O$3:$W$3,0)+14,FALSE),0)*10</f>
        <v>0</v>
      </c>
      <c r="F91" s="220">
        <f>IFERROR(VLOOKUP($A91,'NG Pivot'!$A$4:$W$29,MATCH(F$2,'NG Pivot'!$O$3:$W$3,0)+14,FALSE),0)*10</f>
        <v>0</v>
      </c>
      <c r="G91" s="220">
        <f>IFERROR(VLOOKUP($A91,'NG Pivot'!$A$4:$W$29,MATCH(G$2,'NG Pivot'!$O$3:$W$3,0)+14,FALSE),0)*10</f>
        <v>0</v>
      </c>
      <c r="H91" s="220">
        <f>IFERROR(VLOOKUP($A91,'NG Pivot'!$A$4:$W$29,MATCH(H$2,'NG Pivot'!$O$3:$W$3,0)+14,FALSE),0)*10</f>
        <v>0</v>
      </c>
      <c r="I91" s="220">
        <f>IFERROR(VLOOKUP($A91,'NG Pivot'!$A$4:$W$29,MATCH(I$2,'NG Pivot'!$O$3:$W$3,0)+14,FALSE),0)*10</f>
        <v>0</v>
      </c>
      <c r="J91" s="220">
        <f>IFERROR(VLOOKUP($A91,'NG Pivot'!$A$4:$W$29,MATCH(J$2,'NG Pivot'!$O$3:$W$3,0)+14,FALSE),0)*10</f>
        <v>0</v>
      </c>
      <c r="K91" s="220">
        <f>IFERROR(VLOOKUP($A91,'NG Pivot'!$A$4:$W$29,MATCH(K$2,'NG Pivot'!$O$3:$W$3,0)+14,FALSE),0)*10</f>
        <v>0</v>
      </c>
      <c r="L91" s="220">
        <f>IFERROR(VLOOKUP($A91,'NG Pivot'!$A$4:$W$29,MATCH(L$2,'NG Pivot'!$O$3:$W$3,0)+14,FALSE),0)*10</f>
        <v>0</v>
      </c>
      <c r="M91" s="220">
        <f>IFERROR(VLOOKUP($A91,'NG Pivot'!$A$4:$W$29,MATCH(M$2,'NG Pivot'!$O$3:$W$3,0)+14,FALSE),0)*10</f>
        <v>0</v>
      </c>
      <c r="N91" s="220">
        <f>IFERROR(VLOOKUP($A91,'NG Pivot'!$A$4:$W$29,MATCH(N$2,'NG Pivot'!$O$3:$W$3,0)+14,FALSE),0)*10</f>
        <v>0</v>
      </c>
      <c r="O91" s="220">
        <f>IFERROR(VLOOKUP($A91,'NG Pivot'!$A$4:$W$29,MATCH(O$2,'NG Pivot'!$O$3:$W$3,0)+14,FALSE),0)*10</f>
        <v>0</v>
      </c>
      <c r="P91" s="220">
        <f>IFERROR(VLOOKUP($A91,'NG Pivot'!$A$4:$W$29,MATCH(P$2,'NG Pivot'!$O$3:$W$3,0)+14,FALSE),0)*10</f>
        <v>0</v>
      </c>
      <c r="Q91" s="220">
        <f>IFERROR(VLOOKUP($A91,'NG Pivot'!$A$4:$W$29,MATCH(Q$2,'NG Pivot'!$O$3:$W$3,0)+14,FALSE),0)*10</f>
        <v>0</v>
      </c>
      <c r="R91" s="220">
        <f>IFERROR(VLOOKUP($A91,'NG Pivot'!$A$4:$W$29,MATCH(R$2,'NG Pivot'!$O$3:$W$3,0)+14,FALSE),0)*10</f>
        <v>0</v>
      </c>
      <c r="S91" s="220">
        <f>IFERROR(VLOOKUP($A91,'NG Pivot'!$A$4:$W$29,MATCH(S$2,'NG Pivot'!$O$3:$W$3,0)+14,FALSE),0)*10</f>
        <v>0</v>
      </c>
      <c r="T91" s="220">
        <f>IFERROR(VLOOKUP($A91,'NG Pivot'!$A$4:$W$29,MATCH(T$2,'NG Pivot'!$O$3:$W$3,0)+14,FALSE),0)*10</f>
        <v>0</v>
      </c>
      <c r="U91" s="220">
        <f>IFERROR(VLOOKUP($A91,'NG Pivot'!$A$4:$W$29,MATCH(U$2,'NG Pivot'!$O$3:$W$3,0)+14,FALSE),0)*10</f>
        <v>0</v>
      </c>
      <c r="V91" s="220">
        <f>IFERROR(VLOOKUP($A91,'NG Pivot'!$A$4:$W$29,MATCH(V$2,'NG Pivot'!$O$3:$W$3,0)+14,FALSE),0)*10</f>
        <v>0</v>
      </c>
      <c r="W91" s="220">
        <f>IFERROR(VLOOKUP($A91,'NG Pivot'!$A$4:$W$29,MATCH(W$2,'NG Pivot'!$O$3:$W$3,0)+14,FALSE),0)*10</f>
        <v>0</v>
      </c>
      <c r="X91" s="220">
        <f>IFERROR(VLOOKUP($A91,'NG Pivot'!$A$4:$W$29,MATCH(X$2,'NG Pivot'!$O$3:$W$3,0)+14,FALSE),0)*10</f>
        <v>0</v>
      </c>
      <c r="Y91" s="220">
        <f>IFERROR(VLOOKUP($A91,'NG Pivot'!$A$4:$W$29,MATCH(Y$2,'NG Pivot'!$O$3:$W$3,0)+14,FALSE),0)*10</f>
        <v>0</v>
      </c>
      <c r="Z91" s="220">
        <f>IFERROR(VLOOKUP($A91,'NG Pivot'!$A$4:$W$29,MATCH(Z$2,'NG Pivot'!$O$3:$W$3,0)+14,FALSE),0)*10</f>
        <v>0</v>
      </c>
      <c r="AA91" s="220">
        <f>IFERROR(VLOOKUP($A91,'NG Pivot'!$A$4:$W$29,MATCH(AA$2,'NG Pivot'!$O$3:$W$3,0)+14,FALSE),0)*10</f>
        <v>0</v>
      </c>
      <c r="AB91" s="220">
        <f>IFERROR(VLOOKUP($A91,'NG Pivot'!$A$4:$W$29,MATCH(AB$2,'NG Pivot'!$O$3:$W$3,0)+14,FALSE),0)*10</f>
        <v>0</v>
      </c>
      <c r="AC91" s="220">
        <f>IFERROR(VLOOKUP($A91,'NG Pivot'!$A$4:$W$29,MATCH(AC$2,'NG Pivot'!$O$3:$W$3,0)+14,FALSE),0)*10</f>
        <v>0</v>
      </c>
      <c r="AD91" s="220">
        <f>IFERROR(VLOOKUP($A91,'NG Pivot'!$A$4:$W$29,MATCH(AD$2,'NG Pivot'!$O$3:$W$3,0)+14,FALSE),0)*10</f>
        <v>0</v>
      </c>
    </row>
    <row r="92" spans="1:30">
      <c r="A92" s="223" t="s">
        <v>1287</v>
      </c>
      <c r="B92" s="220">
        <f>IFERROR(VLOOKUP($A92,'NG Pivot'!$A$4:$W$29,MATCH(B$2,'NG Pivot'!$O$3:$W$3,0)+14,FALSE),0)*10</f>
        <v>0</v>
      </c>
      <c r="C92" s="220">
        <f>IFERROR(VLOOKUP($A92,'NG Pivot'!$A$4:$W$29,MATCH(C$2,'NG Pivot'!$O$3:$W$3,0)+14,FALSE),0)*10</f>
        <v>0</v>
      </c>
      <c r="D92" s="220">
        <f>IFERROR(VLOOKUP($A92,'NG Pivot'!$A$4:$W$29,MATCH(D$2,'NG Pivot'!$O$3:$W$3,0)+14,FALSE),0)*10</f>
        <v>0</v>
      </c>
      <c r="E92" s="220">
        <f>IFERROR(VLOOKUP($A92,'NG Pivot'!$A$4:$W$29,MATCH(E$2,'NG Pivot'!$O$3:$W$3,0)+14,FALSE),0)*10</f>
        <v>0</v>
      </c>
      <c r="F92" s="220">
        <f>IFERROR(VLOOKUP($A92,'NG Pivot'!$A$4:$W$29,MATCH(F$2,'NG Pivot'!$O$3:$W$3,0)+14,FALSE),0)*10</f>
        <v>0</v>
      </c>
      <c r="G92" s="220">
        <f>IFERROR(VLOOKUP($A92,'NG Pivot'!$A$4:$W$29,MATCH(G$2,'NG Pivot'!$O$3:$W$3,0)+14,FALSE),0)*10</f>
        <v>0</v>
      </c>
      <c r="H92" s="220">
        <f>IFERROR(VLOOKUP($A92,'NG Pivot'!$A$4:$W$29,MATCH(H$2,'NG Pivot'!$O$3:$W$3,0)+14,FALSE),0)*10</f>
        <v>0</v>
      </c>
      <c r="I92" s="220">
        <f>IFERROR(VLOOKUP($A92,'NG Pivot'!$A$4:$W$29,MATCH(I$2,'NG Pivot'!$O$3:$W$3,0)+14,FALSE),0)*10</f>
        <v>0</v>
      </c>
      <c r="J92" s="220">
        <f>IFERROR(VLOOKUP($A92,'NG Pivot'!$A$4:$W$29,MATCH(J$2,'NG Pivot'!$O$3:$W$3,0)+14,FALSE),0)*10</f>
        <v>0</v>
      </c>
      <c r="K92" s="220">
        <f>IFERROR(VLOOKUP($A92,'NG Pivot'!$A$4:$W$29,MATCH(K$2,'NG Pivot'!$O$3:$W$3,0)+14,FALSE),0)*10</f>
        <v>0</v>
      </c>
      <c r="L92" s="220">
        <f>IFERROR(VLOOKUP($A92,'NG Pivot'!$A$4:$W$29,MATCH(L$2,'NG Pivot'!$O$3:$W$3,0)+14,FALSE),0)*10</f>
        <v>0</v>
      </c>
      <c r="M92" s="220">
        <f>IFERROR(VLOOKUP($A92,'NG Pivot'!$A$4:$W$29,MATCH(M$2,'NG Pivot'!$O$3:$W$3,0)+14,FALSE),0)*10</f>
        <v>0</v>
      </c>
      <c r="N92" s="220">
        <f>IFERROR(VLOOKUP($A92,'NG Pivot'!$A$4:$W$29,MATCH(N$2,'NG Pivot'!$O$3:$W$3,0)+14,FALSE),0)*10</f>
        <v>0</v>
      </c>
      <c r="O92" s="220">
        <f>IFERROR(VLOOKUP($A92,'NG Pivot'!$A$4:$W$29,MATCH(O$2,'NG Pivot'!$O$3:$W$3,0)+14,FALSE),0)*10</f>
        <v>0</v>
      </c>
      <c r="P92" s="220">
        <f>IFERROR(VLOOKUP($A92,'NG Pivot'!$A$4:$W$29,MATCH(P$2,'NG Pivot'!$O$3:$W$3,0)+14,FALSE),0)*10</f>
        <v>0</v>
      </c>
      <c r="Q92" s="220">
        <f>IFERROR(VLOOKUP($A92,'NG Pivot'!$A$4:$W$29,MATCH(Q$2,'NG Pivot'!$O$3:$W$3,0)+14,FALSE),0)*10</f>
        <v>0</v>
      </c>
      <c r="R92" s="220">
        <f>IFERROR(VLOOKUP($A92,'NG Pivot'!$A$4:$W$29,MATCH(R$2,'NG Pivot'!$O$3:$W$3,0)+14,FALSE),0)*10</f>
        <v>936</v>
      </c>
      <c r="S92" s="220">
        <f>IFERROR(VLOOKUP($A92,'NG Pivot'!$A$4:$W$29,MATCH(S$2,'NG Pivot'!$O$3:$W$3,0)+14,FALSE),0)*10</f>
        <v>0</v>
      </c>
      <c r="T92" s="220">
        <f>IFERROR(VLOOKUP($A92,'NG Pivot'!$A$4:$W$29,MATCH(T$2,'NG Pivot'!$O$3:$W$3,0)+14,FALSE),0)*10</f>
        <v>0</v>
      </c>
      <c r="U92" s="220">
        <f>IFERROR(VLOOKUP($A92,'NG Pivot'!$A$4:$W$29,MATCH(U$2,'NG Pivot'!$O$3:$W$3,0)+14,FALSE),0)*10</f>
        <v>0</v>
      </c>
      <c r="V92" s="220">
        <f>IFERROR(VLOOKUP($A92,'NG Pivot'!$A$4:$W$29,MATCH(V$2,'NG Pivot'!$O$3:$W$3,0)+14,FALSE),0)*10</f>
        <v>0</v>
      </c>
      <c r="W92" s="220">
        <f>IFERROR(VLOOKUP($A92,'NG Pivot'!$A$4:$W$29,MATCH(W$2,'NG Pivot'!$O$3:$W$3,0)+14,FALSE),0)*10</f>
        <v>0</v>
      </c>
      <c r="X92" s="220">
        <f>IFERROR(VLOOKUP($A92,'NG Pivot'!$A$4:$W$29,MATCH(X$2,'NG Pivot'!$O$3:$W$3,0)+14,FALSE),0)*10</f>
        <v>0</v>
      </c>
      <c r="Y92" s="220">
        <f>IFERROR(VLOOKUP($A92,'NG Pivot'!$A$4:$W$29,MATCH(Y$2,'NG Pivot'!$O$3:$W$3,0)+14,FALSE),0)*10</f>
        <v>0</v>
      </c>
      <c r="Z92" s="220">
        <f>IFERROR(VLOOKUP($A92,'NG Pivot'!$A$4:$W$29,MATCH(Z$2,'NG Pivot'!$O$3:$W$3,0)+14,FALSE),0)*10</f>
        <v>0</v>
      </c>
      <c r="AA92" s="220">
        <f>IFERROR(VLOOKUP($A92,'NG Pivot'!$A$4:$W$29,MATCH(AA$2,'NG Pivot'!$O$3:$W$3,0)+14,FALSE),0)*10</f>
        <v>344.5</v>
      </c>
      <c r="AB92" s="220">
        <f>IFERROR(VLOOKUP($A92,'NG Pivot'!$A$4:$W$29,MATCH(AB$2,'NG Pivot'!$O$3:$W$3,0)+14,FALSE),0)*10</f>
        <v>349.5</v>
      </c>
      <c r="AC92" s="220">
        <f>IFERROR(VLOOKUP($A92,'NG Pivot'!$A$4:$W$29,MATCH(AC$2,'NG Pivot'!$O$3:$W$3,0)+14,FALSE),0)*10</f>
        <v>175</v>
      </c>
      <c r="AD92" s="220">
        <f>IFERROR(VLOOKUP($A92,'NG Pivot'!$A$4:$W$29,MATCH(AD$2,'NG Pivot'!$O$3:$W$3,0)+14,FALSE),0)*10</f>
        <v>0</v>
      </c>
    </row>
    <row r="93" spans="1:30">
      <c r="A93" s="223" t="s">
        <v>1288</v>
      </c>
      <c r="B93" s="220">
        <f>IFERROR(VLOOKUP($A93,'NG Pivot'!$A$4:$W$29,MATCH(B$2,'NG Pivot'!$O$3:$W$3,0)+14,FALSE),0)*10</f>
        <v>0</v>
      </c>
      <c r="C93" s="220">
        <f>IFERROR(VLOOKUP($A93,'NG Pivot'!$A$4:$W$29,MATCH(C$2,'NG Pivot'!$O$3:$W$3,0)+14,FALSE),0)*10</f>
        <v>0</v>
      </c>
      <c r="D93" s="220">
        <f>IFERROR(VLOOKUP($A93,'NG Pivot'!$A$4:$W$29,MATCH(D$2,'NG Pivot'!$O$3:$W$3,0)+14,FALSE),0)*10</f>
        <v>0</v>
      </c>
      <c r="E93" s="220">
        <f>IFERROR(VLOOKUP($A93,'NG Pivot'!$A$4:$W$29,MATCH(E$2,'NG Pivot'!$O$3:$W$3,0)+14,FALSE),0)*10</f>
        <v>0</v>
      </c>
      <c r="F93" s="220">
        <f>IFERROR(VLOOKUP($A93,'NG Pivot'!$A$4:$W$29,MATCH(F$2,'NG Pivot'!$O$3:$W$3,0)+14,FALSE),0)*10</f>
        <v>0</v>
      </c>
      <c r="G93" s="220">
        <f>IFERROR(VLOOKUP($A93,'NG Pivot'!$A$4:$W$29,MATCH(G$2,'NG Pivot'!$O$3:$W$3,0)+14,FALSE),0)*10</f>
        <v>0</v>
      </c>
      <c r="H93" s="220">
        <f>IFERROR(VLOOKUP($A93,'NG Pivot'!$A$4:$W$29,MATCH(H$2,'NG Pivot'!$O$3:$W$3,0)+14,FALSE),0)*10</f>
        <v>0</v>
      </c>
      <c r="I93" s="220">
        <f>IFERROR(VLOOKUP($A93,'NG Pivot'!$A$4:$W$29,MATCH(I$2,'NG Pivot'!$O$3:$W$3,0)+14,FALSE),0)*10</f>
        <v>0</v>
      </c>
      <c r="J93" s="220">
        <f>IFERROR(VLOOKUP($A93,'NG Pivot'!$A$4:$W$29,MATCH(J$2,'NG Pivot'!$O$3:$W$3,0)+14,FALSE),0)*10</f>
        <v>0</v>
      </c>
      <c r="K93" s="220">
        <f>IFERROR(VLOOKUP($A93,'NG Pivot'!$A$4:$W$29,MATCH(K$2,'NG Pivot'!$O$3:$W$3,0)+14,FALSE),0)*10</f>
        <v>0</v>
      </c>
      <c r="L93" s="220">
        <f>IFERROR(VLOOKUP($A93,'NG Pivot'!$A$4:$W$29,MATCH(L$2,'NG Pivot'!$O$3:$W$3,0)+14,FALSE),0)*10</f>
        <v>0</v>
      </c>
      <c r="M93" s="220">
        <f>IFERROR(VLOOKUP($A93,'NG Pivot'!$A$4:$W$29,MATCH(M$2,'NG Pivot'!$O$3:$W$3,0)+14,FALSE),0)*10</f>
        <v>0</v>
      </c>
      <c r="N93" s="220">
        <f>IFERROR(VLOOKUP($A93,'NG Pivot'!$A$4:$W$29,MATCH(N$2,'NG Pivot'!$O$3:$W$3,0)+14,FALSE),0)*10</f>
        <v>0</v>
      </c>
      <c r="O93" s="220">
        <f>IFERROR(VLOOKUP($A93,'NG Pivot'!$A$4:$W$29,MATCH(O$2,'NG Pivot'!$O$3:$W$3,0)+14,FALSE),0)*10</f>
        <v>0</v>
      </c>
      <c r="P93" s="220">
        <f>IFERROR(VLOOKUP($A93,'NG Pivot'!$A$4:$W$29,MATCH(P$2,'NG Pivot'!$O$3:$W$3,0)+14,FALSE),0)*10</f>
        <v>0</v>
      </c>
      <c r="Q93" s="220">
        <f>IFERROR(VLOOKUP($A93,'NG Pivot'!$A$4:$W$29,MATCH(Q$2,'NG Pivot'!$O$3:$W$3,0)+14,FALSE),0)*10</f>
        <v>0</v>
      </c>
      <c r="R93" s="220">
        <f>IFERROR(VLOOKUP($A93,'NG Pivot'!$A$4:$W$29,MATCH(R$2,'NG Pivot'!$O$3:$W$3,0)+14,FALSE),0)*10</f>
        <v>0</v>
      </c>
      <c r="S93" s="220">
        <f>IFERROR(VLOOKUP($A93,'NG Pivot'!$A$4:$W$29,MATCH(S$2,'NG Pivot'!$O$3:$W$3,0)+14,FALSE),0)*10</f>
        <v>0</v>
      </c>
      <c r="T93" s="220">
        <f>IFERROR(VLOOKUP($A93,'NG Pivot'!$A$4:$W$29,MATCH(T$2,'NG Pivot'!$O$3:$W$3,0)+14,FALSE),0)*10</f>
        <v>0</v>
      </c>
      <c r="U93" s="220">
        <f>IFERROR(VLOOKUP($A93,'NG Pivot'!$A$4:$W$29,MATCH(U$2,'NG Pivot'!$O$3:$W$3,0)+14,FALSE),0)*10</f>
        <v>0</v>
      </c>
      <c r="V93" s="220">
        <f>IFERROR(VLOOKUP($A93,'NG Pivot'!$A$4:$W$29,MATCH(V$2,'NG Pivot'!$O$3:$W$3,0)+14,FALSE),0)*10</f>
        <v>0</v>
      </c>
      <c r="W93" s="220">
        <f>IFERROR(VLOOKUP($A93,'NG Pivot'!$A$4:$W$29,MATCH(W$2,'NG Pivot'!$O$3:$W$3,0)+14,FALSE),0)*10</f>
        <v>120</v>
      </c>
      <c r="X93" s="220">
        <f>IFERROR(VLOOKUP($A93,'NG Pivot'!$A$4:$W$29,MATCH(X$2,'NG Pivot'!$O$3:$W$3,0)+14,FALSE),0)*10</f>
        <v>0</v>
      </c>
      <c r="Y93" s="220">
        <f>IFERROR(VLOOKUP($A93,'NG Pivot'!$A$4:$W$29,MATCH(Y$2,'NG Pivot'!$O$3:$W$3,0)+14,FALSE),0)*10</f>
        <v>0</v>
      </c>
      <c r="Z93" s="220">
        <f>IFERROR(VLOOKUP($A93,'NG Pivot'!$A$4:$W$29,MATCH(Z$2,'NG Pivot'!$O$3:$W$3,0)+14,FALSE),0)*10</f>
        <v>210</v>
      </c>
      <c r="AA93" s="220">
        <f>IFERROR(VLOOKUP($A93,'NG Pivot'!$A$4:$W$29,MATCH(AA$2,'NG Pivot'!$O$3:$W$3,0)+14,FALSE),0)*10</f>
        <v>0</v>
      </c>
      <c r="AB93" s="220">
        <f>IFERROR(VLOOKUP($A93,'NG Pivot'!$A$4:$W$29,MATCH(AB$2,'NG Pivot'!$O$3:$W$3,0)+14,FALSE),0)*10</f>
        <v>0</v>
      </c>
      <c r="AC93" s="220">
        <f>IFERROR(VLOOKUP($A93,'NG Pivot'!$A$4:$W$29,MATCH(AC$2,'NG Pivot'!$O$3:$W$3,0)+14,FALSE),0)*10</f>
        <v>150</v>
      </c>
      <c r="AD93" s="220">
        <f>IFERROR(VLOOKUP($A93,'NG Pivot'!$A$4:$W$29,MATCH(AD$2,'NG Pivot'!$O$3:$W$3,0)+14,FALSE),0)*10</f>
        <v>0</v>
      </c>
    </row>
    <row r="94" spans="1:30">
      <c r="A94" s="223" t="s">
        <v>1289</v>
      </c>
      <c r="B94" s="220">
        <f>IFERROR(VLOOKUP($A94,'NG Pivot'!$A$4:$W$29,MATCH(B$2,'NG Pivot'!$O$3:$W$3,0)+14,FALSE),0)*10</f>
        <v>0</v>
      </c>
      <c r="C94" s="220">
        <f>IFERROR(VLOOKUP($A94,'NG Pivot'!$A$4:$W$29,MATCH(C$2,'NG Pivot'!$O$3:$W$3,0)+14,FALSE),0)*10</f>
        <v>0</v>
      </c>
      <c r="D94" s="220">
        <f>IFERROR(VLOOKUP($A94,'NG Pivot'!$A$4:$W$29,MATCH(D$2,'NG Pivot'!$O$3:$W$3,0)+14,FALSE),0)*10</f>
        <v>0</v>
      </c>
      <c r="E94" s="220">
        <f>IFERROR(VLOOKUP($A94,'NG Pivot'!$A$4:$W$29,MATCH(E$2,'NG Pivot'!$O$3:$W$3,0)+14,FALSE),0)*10</f>
        <v>0</v>
      </c>
      <c r="F94" s="220">
        <f>IFERROR(VLOOKUP($A94,'NG Pivot'!$A$4:$W$29,MATCH(F$2,'NG Pivot'!$O$3:$W$3,0)+14,FALSE),0)*10</f>
        <v>0</v>
      </c>
      <c r="G94" s="220">
        <f>IFERROR(VLOOKUP($A94,'NG Pivot'!$A$4:$W$29,MATCH(G$2,'NG Pivot'!$O$3:$W$3,0)+14,FALSE),0)*10</f>
        <v>0</v>
      </c>
      <c r="H94" s="220">
        <f>IFERROR(VLOOKUP($A94,'NG Pivot'!$A$4:$W$29,MATCH(H$2,'NG Pivot'!$O$3:$W$3,0)+14,FALSE),0)*10</f>
        <v>0</v>
      </c>
      <c r="I94" s="220">
        <f>IFERROR(VLOOKUP($A94,'NG Pivot'!$A$4:$W$29,MATCH(I$2,'NG Pivot'!$O$3:$W$3,0)+14,FALSE),0)*10</f>
        <v>0</v>
      </c>
      <c r="J94" s="220">
        <f>IFERROR(VLOOKUP($A94,'NG Pivot'!$A$4:$W$29,MATCH(J$2,'NG Pivot'!$O$3:$W$3,0)+14,FALSE),0)*10</f>
        <v>0</v>
      </c>
      <c r="K94" s="220">
        <f>IFERROR(VLOOKUP($A94,'NG Pivot'!$A$4:$W$29,MATCH(K$2,'NG Pivot'!$O$3:$W$3,0)+14,FALSE),0)*10</f>
        <v>0</v>
      </c>
      <c r="L94" s="220">
        <f>IFERROR(VLOOKUP($A94,'NG Pivot'!$A$4:$W$29,MATCH(L$2,'NG Pivot'!$O$3:$W$3,0)+14,FALSE),0)*10</f>
        <v>0</v>
      </c>
      <c r="M94" s="220">
        <f>IFERROR(VLOOKUP($A94,'NG Pivot'!$A$4:$W$29,MATCH(M$2,'NG Pivot'!$O$3:$W$3,0)+14,FALSE),0)*10</f>
        <v>0</v>
      </c>
      <c r="N94" s="220">
        <f>IFERROR(VLOOKUP($A94,'NG Pivot'!$A$4:$W$29,MATCH(N$2,'NG Pivot'!$O$3:$W$3,0)+14,FALSE),0)*10</f>
        <v>0</v>
      </c>
      <c r="O94" s="220">
        <f>IFERROR(VLOOKUP($A94,'NG Pivot'!$A$4:$W$29,MATCH(O$2,'NG Pivot'!$O$3:$W$3,0)+14,FALSE),0)*10</f>
        <v>0</v>
      </c>
      <c r="P94" s="220">
        <f>IFERROR(VLOOKUP($A94,'NG Pivot'!$A$4:$W$29,MATCH(P$2,'NG Pivot'!$O$3:$W$3,0)+14,FALSE),0)*10</f>
        <v>0</v>
      </c>
      <c r="Q94" s="220">
        <f>IFERROR(VLOOKUP($A94,'NG Pivot'!$A$4:$W$29,MATCH(Q$2,'NG Pivot'!$O$3:$W$3,0)+14,FALSE),0)*10</f>
        <v>0</v>
      </c>
      <c r="R94" s="220">
        <f>IFERROR(VLOOKUP($A94,'NG Pivot'!$A$4:$W$29,MATCH(R$2,'NG Pivot'!$O$3:$W$3,0)+14,FALSE),0)*10</f>
        <v>0</v>
      </c>
      <c r="S94" s="220">
        <f>IFERROR(VLOOKUP($A94,'NG Pivot'!$A$4:$W$29,MATCH(S$2,'NG Pivot'!$O$3:$W$3,0)+14,FALSE),0)*10</f>
        <v>0</v>
      </c>
      <c r="T94" s="220">
        <f>IFERROR(VLOOKUP($A94,'NG Pivot'!$A$4:$W$29,MATCH(T$2,'NG Pivot'!$O$3:$W$3,0)+14,FALSE),0)*10</f>
        <v>0</v>
      </c>
      <c r="U94" s="220">
        <f>IFERROR(VLOOKUP($A94,'NG Pivot'!$A$4:$W$29,MATCH(U$2,'NG Pivot'!$O$3:$W$3,0)+14,FALSE),0)*10</f>
        <v>0</v>
      </c>
      <c r="V94" s="220">
        <f>IFERROR(VLOOKUP($A94,'NG Pivot'!$A$4:$W$29,MATCH(V$2,'NG Pivot'!$O$3:$W$3,0)+14,FALSE),0)*10</f>
        <v>0</v>
      </c>
      <c r="W94" s="220">
        <f>IFERROR(VLOOKUP($A94,'NG Pivot'!$A$4:$W$29,MATCH(W$2,'NG Pivot'!$O$3:$W$3,0)+14,FALSE),0)*10</f>
        <v>0</v>
      </c>
      <c r="X94" s="220">
        <f>IFERROR(VLOOKUP($A94,'NG Pivot'!$A$4:$W$29,MATCH(X$2,'NG Pivot'!$O$3:$W$3,0)+14,FALSE),0)*10</f>
        <v>0</v>
      </c>
      <c r="Y94" s="220">
        <f>IFERROR(VLOOKUP($A94,'NG Pivot'!$A$4:$W$29,MATCH(Y$2,'NG Pivot'!$O$3:$W$3,0)+14,FALSE),0)*10</f>
        <v>0</v>
      </c>
      <c r="Z94" s="220">
        <f>IFERROR(VLOOKUP($A94,'NG Pivot'!$A$4:$W$29,MATCH(Z$2,'NG Pivot'!$O$3:$W$3,0)+14,FALSE),0)*10</f>
        <v>0</v>
      </c>
      <c r="AA94" s="220">
        <f>IFERROR(VLOOKUP($A94,'NG Pivot'!$A$4:$W$29,MATCH(AA$2,'NG Pivot'!$O$3:$W$3,0)+14,FALSE),0)*10</f>
        <v>0</v>
      </c>
      <c r="AB94" s="220">
        <f>IFERROR(VLOOKUP($A94,'NG Pivot'!$A$4:$W$29,MATCH(AB$2,'NG Pivot'!$O$3:$W$3,0)+14,FALSE),0)*10</f>
        <v>0</v>
      </c>
      <c r="AC94" s="220">
        <f>IFERROR(VLOOKUP($A94,'NG Pivot'!$A$4:$W$29,MATCH(AC$2,'NG Pivot'!$O$3:$W$3,0)+14,FALSE),0)*10</f>
        <v>0</v>
      </c>
      <c r="AD94" s="220">
        <f>IFERROR(VLOOKUP($A94,'NG Pivot'!$A$4:$W$29,MATCH(AD$2,'NG Pivot'!$O$3:$W$3,0)+14,FALSE),0)*10</f>
        <v>0</v>
      </c>
    </row>
    <row r="95" spans="1:30">
      <c r="A95" s="223" t="s">
        <v>1290</v>
      </c>
      <c r="B95" s="220">
        <f>IFERROR(VLOOKUP($A95,'NG Pivot'!$A$4:$W$29,MATCH(B$2,'NG Pivot'!$O$3:$W$3,0)+14,FALSE),0)*10</f>
        <v>0</v>
      </c>
      <c r="C95" s="220">
        <f>IFERROR(VLOOKUP($A95,'NG Pivot'!$A$4:$W$29,MATCH(C$2,'NG Pivot'!$O$3:$W$3,0)+14,FALSE),0)*10</f>
        <v>0</v>
      </c>
      <c r="D95" s="220">
        <f>IFERROR(VLOOKUP($A95,'NG Pivot'!$A$4:$W$29,MATCH(D$2,'NG Pivot'!$O$3:$W$3,0)+14,FALSE),0)*10</f>
        <v>0</v>
      </c>
      <c r="E95" s="220">
        <f>IFERROR(VLOOKUP($A95,'NG Pivot'!$A$4:$W$29,MATCH(E$2,'NG Pivot'!$O$3:$W$3,0)+14,FALSE),0)*10</f>
        <v>0</v>
      </c>
      <c r="F95" s="220">
        <f>IFERROR(VLOOKUP($A95,'NG Pivot'!$A$4:$W$29,MATCH(F$2,'NG Pivot'!$O$3:$W$3,0)+14,FALSE),0)*10</f>
        <v>0</v>
      </c>
      <c r="G95" s="220">
        <f>IFERROR(VLOOKUP($A95,'NG Pivot'!$A$4:$W$29,MATCH(G$2,'NG Pivot'!$O$3:$W$3,0)+14,FALSE),0)*10</f>
        <v>0</v>
      </c>
      <c r="H95" s="220">
        <f>IFERROR(VLOOKUP($A95,'NG Pivot'!$A$4:$W$29,MATCH(H$2,'NG Pivot'!$O$3:$W$3,0)+14,FALSE),0)*10</f>
        <v>0</v>
      </c>
      <c r="I95" s="220">
        <f>IFERROR(VLOOKUP($A95,'NG Pivot'!$A$4:$W$29,MATCH(I$2,'NG Pivot'!$O$3:$W$3,0)+14,FALSE),0)*10</f>
        <v>0</v>
      </c>
      <c r="J95" s="220">
        <f>IFERROR(VLOOKUP($A95,'NG Pivot'!$A$4:$W$29,MATCH(J$2,'NG Pivot'!$O$3:$W$3,0)+14,FALSE),0)*10</f>
        <v>0</v>
      </c>
      <c r="K95" s="220">
        <f>IFERROR(VLOOKUP($A95,'NG Pivot'!$A$4:$W$29,MATCH(K$2,'NG Pivot'!$O$3:$W$3,0)+14,FALSE),0)*10</f>
        <v>0</v>
      </c>
      <c r="L95" s="220">
        <f>IFERROR(VLOOKUP($A95,'NG Pivot'!$A$4:$W$29,MATCH(L$2,'NG Pivot'!$O$3:$W$3,0)+14,FALSE),0)*10</f>
        <v>0</v>
      </c>
      <c r="M95" s="220">
        <f>IFERROR(VLOOKUP($A95,'NG Pivot'!$A$4:$W$29,MATCH(M$2,'NG Pivot'!$O$3:$W$3,0)+14,FALSE),0)*10</f>
        <v>0</v>
      </c>
      <c r="N95" s="220">
        <f>IFERROR(VLOOKUP($A95,'NG Pivot'!$A$4:$W$29,MATCH(N$2,'NG Pivot'!$O$3:$W$3,0)+14,FALSE),0)*10</f>
        <v>0</v>
      </c>
      <c r="O95" s="220">
        <f>IFERROR(VLOOKUP($A95,'NG Pivot'!$A$4:$W$29,MATCH(O$2,'NG Pivot'!$O$3:$W$3,0)+14,FALSE),0)*10</f>
        <v>0</v>
      </c>
      <c r="P95" s="220">
        <f>IFERROR(VLOOKUP($A95,'NG Pivot'!$A$4:$W$29,MATCH(P$2,'NG Pivot'!$O$3:$W$3,0)+14,FALSE),0)*10</f>
        <v>0</v>
      </c>
      <c r="Q95" s="220">
        <f>IFERROR(VLOOKUP($A95,'NG Pivot'!$A$4:$W$29,MATCH(Q$2,'NG Pivot'!$O$3:$W$3,0)+14,FALSE),0)*10</f>
        <v>0</v>
      </c>
      <c r="R95" s="220">
        <f>IFERROR(VLOOKUP($A95,'NG Pivot'!$A$4:$W$29,MATCH(R$2,'NG Pivot'!$O$3:$W$3,0)+14,FALSE),0)*10</f>
        <v>0</v>
      </c>
      <c r="S95" s="220">
        <f>IFERROR(VLOOKUP($A95,'NG Pivot'!$A$4:$W$29,MATCH(S$2,'NG Pivot'!$O$3:$W$3,0)+14,FALSE),0)*10</f>
        <v>0</v>
      </c>
      <c r="T95" s="220">
        <f>IFERROR(VLOOKUP($A95,'NG Pivot'!$A$4:$W$29,MATCH(T$2,'NG Pivot'!$O$3:$W$3,0)+14,FALSE),0)*10</f>
        <v>0</v>
      </c>
      <c r="U95" s="220">
        <f>IFERROR(VLOOKUP($A95,'NG Pivot'!$A$4:$W$29,MATCH(U$2,'NG Pivot'!$O$3:$W$3,0)+14,FALSE),0)*10</f>
        <v>0</v>
      </c>
      <c r="V95" s="220">
        <f>IFERROR(VLOOKUP($A95,'NG Pivot'!$A$4:$W$29,MATCH(V$2,'NG Pivot'!$O$3:$W$3,0)+14,FALSE),0)*10</f>
        <v>0</v>
      </c>
      <c r="W95" s="220">
        <f>IFERROR(VLOOKUP($A95,'NG Pivot'!$A$4:$W$29,MATCH(W$2,'NG Pivot'!$O$3:$W$3,0)+14,FALSE),0)*10</f>
        <v>934</v>
      </c>
      <c r="X95" s="220">
        <f>IFERROR(VLOOKUP($A95,'NG Pivot'!$A$4:$W$29,MATCH(X$2,'NG Pivot'!$O$3:$W$3,0)+14,FALSE),0)*10</f>
        <v>0</v>
      </c>
      <c r="Y95" s="220">
        <f>IFERROR(VLOOKUP($A95,'NG Pivot'!$A$4:$W$29,MATCH(Y$2,'NG Pivot'!$O$3:$W$3,0)+14,FALSE),0)*10</f>
        <v>0</v>
      </c>
      <c r="Z95" s="220">
        <f>IFERROR(VLOOKUP($A95,'NG Pivot'!$A$4:$W$29,MATCH(Z$2,'NG Pivot'!$O$3:$W$3,0)+14,FALSE),0)*10</f>
        <v>0</v>
      </c>
      <c r="AA95" s="220">
        <f>IFERROR(VLOOKUP($A95,'NG Pivot'!$A$4:$W$29,MATCH(AA$2,'NG Pivot'!$O$3:$W$3,0)+14,FALSE),0)*10</f>
        <v>0</v>
      </c>
      <c r="AB95" s="220">
        <f>IFERROR(VLOOKUP($A95,'NG Pivot'!$A$4:$W$29,MATCH(AB$2,'NG Pivot'!$O$3:$W$3,0)+14,FALSE),0)*10</f>
        <v>0</v>
      </c>
      <c r="AC95" s="220">
        <f>IFERROR(VLOOKUP($A95,'NG Pivot'!$A$4:$W$29,MATCH(AC$2,'NG Pivot'!$O$3:$W$3,0)+14,FALSE),0)*10</f>
        <v>0</v>
      </c>
      <c r="AD95" s="220">
        <f>IFERROR(VLOOKUP($A95,'NG Pivot'!$A$4:$W$29,MATCH(AD$2,'NG Pivot'!$O$3:$W$3,0)+14,FALSE),0)*10</f>
        <v>0</v>
      </c>
    </row>
    <row r="96" spans="1:30">
      <c r="A96" s="223" t="s">
        <v>1291</v>
      </c>
      <c r="B96" s="220">
        <f>IFERROR(VLOOKUP($A96,'NG Pivot'!$A$4:$W$29,MATCH(B$2,'NG Pivot'!$O$3:$W$3,0)+14,FALSE),0)*10</f>
        <v>0</v>
      </c>
      <c r="C96" s="220">
        <f>IFERROR(VLOOKUP($A96,'NG Pivot'!$A$4:$W$29,MATCH(C$2,'NG Pivot'!$O$3:$W$3,0)+14,FALSE),0)*10</f>
        <v>0</v>
      </c>
      <c r="D96" s="220">
        <f>IFERROR(VLOOKUP($A96,'NG Pivot'!$A$4:$W$29,MATCH(D$2,'NG Pivot'!$O$3:$W$3,0)+14,FALSE),0)*10</f>
        <v>0</v>
      </c>
      <c r="E96" s="220">
        <f>IFERROR(VLOOKUP($A96,'NG Pivot'!$A$4:$W$29,MATCH(E$2,'NG Pivot'!$O$3:$W$3,0)+14,FALSE),0)*10</f>
        <v>0</v>
      </c>
      <c r="F96" s="220">
        <f>IFERROR(VLOOKUP($A96,'NG Pivot'!$A$4:$W$29,MATCH(F$2,'NG Pivot'!$O$3:$W$3,0)+14,FALSE),0)*10</f>
        <v>0</v>
      </c>
      <c r="G96" s="220">
        <f>IFERROR(VLOOKUP($A96,'NG Pivot'!$A$4:$W$29,MATCH(G$2,'NG Pivot'!$O$3:$W$3,0)+14,FALSE),0)*10</f>
        <v>0</v>
      </c>
      <c r="H96" s="220">
        <f>IFERROR(VLOOKUP($A96,'NG Pivot'!$A$4:$W$29,MATCH(H$2,'NG Pivot'!$O$3:$W$3,0)+14,FALSE),0)*10</f>
        <v>0</v>
      </c>
      <c r="I96" s="220">
        <f>IFERROR(VLOOKUP($A96,'NG Pivot'!$A$4:$W$29,MATCH(I$2,'NG Pivot'!$O$3:$W$3,0)+14,FALSE),0)*10</f>
        <v>0</v>
      </c>
      <c r="J96" s="220">
        <f>IFERROR(VLOOKUP($A96,'NG Pivot'!$A$4:$W$29,MATCH(J$2,'NG Pivot'!$O$3:$W$3,0)+14,FALSE),0)*10</f>
        <v>0</v>
      </c>
      <c r="K96" s="220">
        <f>IFERROR(VLOOKUP($A96,'NG Pivot'!$A$4:$W$29,MATCH(K$2,'NG Pivot'!$O$3:$W$3,0)+14,FALSE),0)*10</f>
        <v>0</v>
      </c>
      <c r="L96" s="220">
        <f>IFERROR(VLOOKUP($A96,'NG Pivot'!$A$4:$W$29,MATCH(L$2,'NG Pivot'!$O$3:$W$3,0)+14,FALSE),0)*10</f>
        <v>0</v>
      </c>
      <c r="M96" s="220">
        <f>IFERROR(VLOOKUP($A96,'NG Pivot'!$A$4:$W$29,MATCH(M$2,'NG Pivot'!$O$3:$W$3,0)+14,FALSE),0)*10</f>
        <v>0</v>
      </c>
      <c r="N96" s="220">
        <f>IFERROR(VLOOKUP($A96,'NG Pivot'!$A$4:$W$29,MATCH(N$2,'NG Pivot'!$O$3:$W$3,0)+14,FALSE),0)*10</f>
        <v>0</v>
      </c>
      <c r="O96" s="220">
        <f>IFERROR(VLOOKUP($A96,'NG Pivot'!$A$4:$W$29,MATCH(O$2,'NG Pivot'!$O$3:$W$3,0)+14,FALSE),0)*10</f>
        <v>0</v>
      </c>
      <c r="P96" s="220">
        <f>IFERROR(VLOOKUP($A96,'NG Pivot'!$A$4:$W$29,MATCH(P$2,'NG Pivot'!$O$3:$W$3,0)+14,FALSE),0)*10</f>
        <v>0</v>
      </c>
      <c r="Q96" s="220">
        <f>IFERROR(VLOOKUP($A96,'NG Pivot'!$A$4:$W$29,MATCH(Q$2,'NG Pivot'!$O$3:$W$3,0)+14,FALSE),0)*10</f>
        <v>0</v>
      </c>
      <c r="R96" s="220">
        <f>IFERROR(VLOOKUP($A96,'NG Pivot'!$A$4:$W$29,MATCH(R$2,'NG Pivot'!$O$3:$W$3,0)+14,FALSE),0)*10</f>
        <v>0</v>
      </c>
      <c r="S96" s="220">
        <f>IFERROR(VLOOKUP($A96,'NG Pivot'!$A$4:$W$29,MATCH(S$2,'NG Pivot'!$O$3:$W$3,0)+14,FALSE),0)*10</f>
        <v>0</v>
      </c>
      <c r="T96" s="220">
        <f>IFERROR(VLOOKUP($A96,'NG Pivot'!$A$4:$W$29,MATCH(T$2,'NG Pivot'!$O$3:$W$3,0)+14,FALSE),0)*10</f>
        <v>0</v>
      </c>
      <c r="U96" s="220">
        <f>IFERROR(VLOOKUP($A96,'NG Pivot'!$A$4:$W$29,MATCH(U$2,'NG Pivot'!$O$3:$W$3,0)+14,FALSE),0)*10</f>
        <v>0</v>
      </c>
      <c r="V96" s="220">
        <f>IFERROR(VLOOKUP($A96,'NG Pivot'!$A$4:$W$29,MATCH(V$2,'NG Pivot'!$O$3:$W$3,0)+14,FALSE),0)*10</f>
        <v>0</v>
      </c>
      <c r="W96" s="220">
        <f>IFERROR(VLOOKUP($A96,'NG Pivot'!$A$4:$W$29,MATCH(W$2,'NG Pivot'!$O$3:$W$3,0)+14,FALSE),0)*10</f>
        <v>0</v>
      </c>
      <c r="X96" s="220">
        <f>IFERROR(VLOOKUP($A96,'NG Pivot'!$A$4:$W$29,MATCH(X$2,'NG Pivot'!$O$3:$W$3,0)+14,FALSE),0)*10</f>
        <v>0</v>
      </c>
      <c r="Y96" s="220">
        <f>IFERROR(VLOOKUP($A96,'NG Pivot'!$A$4:$W$29,MATCH(Y$2,'NG Pivot'!$O$3:$W$3,0)+14,FALSE),0)*10</f>
        <v>0</v>
      </c>
      <c r="Z96" s="220">
        <f>IFERROR(VLOOKUP($A96,'NG Pivot'!$A$4:$W$29,MATCH(Z$2,'NG Pivot'!$O$3:$W$3,0)+14,FALSE),0)*10</f>
        <v>0</v>
      </c>
      <c r="AA96" s="220">
        <f>IFERROR(VLOOKUP($A96,'NG Pivot'!$A$4:$W$29,MATCH(AA$2,'NG Pivot'!$O$3:$W$3,0)+14,FALSE),0)*10</f>
        <v>0.5</v>
      </c>
      <c r="AB96" s="220">
        <f>IFERROR(VLOOKUP($A96,'NG Pivot'!$A$4:$W$29,MATCH(AB$2,'NG Pivot'!$O$3:$W$3,0)+14,FALSE),0)*10</f>
        <v>0</v>
      </c>
      <c r="AC96" s="220">
        <f>IFERROR(VLOOKUP($A96,'NG Pivot'!$A$4:$W$29,MATCH(AC$2,'NG Pivot'!$O$3:$W$3,0)+14,FALSE),0)*10</f>
        <v>0</v>
      </c>
      <c r="AD96" s="220">
        <f>IFERROR(VLOOKUP($A96,'NG Pivot'!$A$4:$W$29,MATCH(AD$2,'NG Pivot'!$O$3:$W$3,0)+14,FALSE),0)*10</f>
        <v>0</v>
      </c>
    </row>
    <row r="97" spans="1:30">
      <c r="A97" s="223" t="s">
        <v>1292</v>
      </c>
      <c r="B97" s="220">
        <f>IFERROR(VLOOKUP($A97,'NG Pivot'!$A$4:$W$29,MATCH(B$2,'NG Pivot'!$O$3:$W$3,0)+14,FALSE),0)*10</f>
        <v>0</v>
      </c>
      <c r="C97" s="220">
        <f>IFERROR(VLOOKUP($A97,'NG Pivot'!$A$4:$W$29,MATCH(C$2,'NG Pivot'!$O$3:$W$3,0)+14,FALSE),0)*10</f>
        <v>0</v>
      </c>
      <c r="D97" s="220">
        <f>IFERROR(VLOOKUP($A97,'NG Pivot'!$A$4:$W$29,MATCH(D$2,'NG Pivot'!$O$3:$W$3,0)+14,FALSE),0)*10</f>
        <v>0</v>
      </c>
      <c r="E97" s="220">
        <f>IFERROR(VLOOKUP($A97,'NG Pivot'!$A$4:$W$29,MATCH(E$2,'NG Pivot'!$O$3:$W$3,0)+14,FALSE),0)*10</f>
        <v>0</v>
      </c>
      <c r="F97" s="220">
        <f>IFERROR(VLOOKUP($A97,'NG Pivot'!$A$4:$W$29,MATCH(F$2,'NG Pivot'!$O$3:$W$3,0)+14,FALSE),0)*10</f>
        <v>0</v>
      </c>
      <c r="G97" s="220">
        <f>IFERROR(VLOOKUP($A97,'NG Pivot'!$A$4:$W$29,MATCH(G$2,'NG Pivot'!$O$3:$W$3,0)+14,FALSE),0)*10</f>
        <v>0</v>
      </c>
      <c r="H97" s="220">
        <f>IFERROR(VLOOKUP($A97,'NG Pivot'!$A$4:$W$29,MATCH(H$2,'NG Pivot'!$O$3:$W$3,0)+14,FALSE),0)*10</f>
        <v>0</v>
      </c>
      <c r="I97" s="220">
        <f>IFERROR(VLOOKUP($A97,'NG Pivot'!$A$4:$W$29,MATCH(I$2,'NG Pivot'!$O$3:$W$3,0)+14,FALSE),0)*10</f>
        <v>0</v>
      </c>
      <c r="J97" s="220">
        <f>IFERROR(VLOOKUP($A97,'NG Pivot'!$A$4:$W$29,MATCH(J$2,'NG Pivot'!$O$3:$W$3,0)+14,FALSE),0)*10</f>
        <v>0</v>
      </c>
      <c r="K97" s="220">
        <f>IFERROR(VLOOKUP($A97,'NG Pivot'!$A$4:$W$29,MATCH(K$2,'NG Pivot'!$O$3:$W$3,0)+14,FALSE),0)*10</f>
        <v>0</v>
      </c>
      <c r="L97" s="220">
        <f>IFERROR(VLOOKUP($A97,'NG Pivot'!$A$4:$W$29,MATCH(L$2,'NG Pivot'!$O$3:$W$3,0)+14,FALSE),0)*10</f>
        <v>0</v>
      </c>
      <c r="M97" s="220">
        <f>IFERROR(VLOOKUP($A97,'NG Pivot'!$A$4:$W$29,MATCH(M$2,'NG Pivot'!$O$3:$W$3,0)+14,FALSE),0)*10</f>
        <v>0</v>
      </c>
      <c r="N97" s="220">
        <f>IFERROR(VLOOKUP($A97,'NG Pivot'!$A$4:$W$29,MATCH(N$2,'NG Pivot'!$O$3:$W$3,0)+14,FALSE),0)*10</f>
        <v>0</v>
      </c>
      <c r="O97" s="220">
        <f>IFERROR(VLOOKUP($A97,'NG Pivot'!$A$4:$W$29,MATCH(O$2,'NG Pivot'!$O$3:$W$3,0)+14,FALSE),0)*10</f>
        <v>0</v>
      </c>
      <c r="P97" s="220">
        <f>IFERROR(VLOOKUP($A97,'NG Pivot'!$A$4:$W$29,MATCH(P$2,'NG Pivot'!$O$3:$W$3,0)+14,FALSE),0)*10</f>
        <v>0</v>
      </c>
      <c r="Q97" s="220">
        <f>IFERROR(VLOOKUP($A97,'NG Pivot'!$A$4:$W$29,MATCH(Q$2,'NG Pivot'!$O$3:$W$3,0)+14,FALSE),0)*10</f>
        <v>0</v>
      </c>
      <c r="R97" s="220">
        <f>IFERROR(VLOOKUP($A97,'NG Pivot'!$A$4:$W$29,MATCH(R$2,'NG Pivot'!$O$3:$W$3,0)+14,FALSE),0)*10</f>
        <v>0</v>
      </c>
      <c r="S97" s="220">
        <f>IFERROR(VLOOKUP($A97,'NG Pivot'!$A$4:$W$29,MATCH(S$2,'NG Pivot'!$O$3:$W$3,0)+14,FALSE),0)*10</f>
        <v>0</v>
      </c>
      <c r="T97" s="220">
        <f>IFERROR(VLOOKUP($A97,'NG Pivot'!$A$4:$W$29,MATCH(T$2,'NG Pivot'!$O$3:$W$3,0)+14,FALSE),0)*10</f>
        <v>0</v>
      </c>
      <c r="U97" s="220">
        <f>IFERROR(VLOOKUP($A97,'NG Pivot'!$A$4:$W$29,MATCH(U$2,'NG Pivot'!$O$3:$W$3,0)+14,FALSE),0)*10</f>
        <v>0</v>
      </c>
      <c r="V97" s="220">
        <f>IFERROR(VLOOKUP($A97,'NG Pivot'!$A$4:$W$29,MATCH(V$2,'NG Pivot'!$O$3:$W$3,0)+14,FALSE),0)*10</f>
        <v>0</v>
      </c>
      <c r="W97" s="220">
        <f>IFERROR(VLOOKUP($A97,'NG Pivot'!$A$4:$W$29,MATCH(W$2,'NG Pivot'!$O$3:$W$3,0)+14,FALSE),0)*10</f>
        <v>0</v>
      </c>
      <c r="X97" s="220">
        <f>IFERROR(VLOOKUP($A97,'NG Pivot'!$A$4:$W$29,MATCH(X$2,'NG Pivot'!$O$3:$W$3,0)+14,FALSE),0)*10</f>
        <v>0</v>
      </c>
      <c r="Y97" s="220">
        <f>IFERROR(VLOOKUP($A97,'NG Pivot'!$A$4:$W$29,MATCH(Y$2,'NG Pivot'!$O$3:$W$3,0)+14,FALSE),0)*10</f>
        <v>0</v>
      </c>
      <c r="Z97" s="220">
        <f>IFERROR(VLOOKUP($A97,'NG Pivot'!$A$4:$W$29,MATCH(Z$2,'NG Pivot'!$O$3:$W$3,0)+14,FALSE),0)*10</f>
        <v>0</v>
      </c>
      <c r="AA97" s="220">
        <f>IFERROR(VLOOKUP($A97,'NG Pivot'!$A$4:$W$29,MATCH(AA$2,'NG Pivot'!$O$3:$W$3,0)+14,FALSE),0)*10</f>
        <v>0</v>
      </c>
      <c r="AB97" s="220">
        <f>IFERROR(VLOOKUP($A97,'NG Pivot'!$A$4:$W$29,MATCH(AB$2,'NG Pivot'!$O$3:$W$3,0)+14,FALSE),0)*10</f>
        <v>0</v>
      </c>
      <c r="AC97" s="220">
        <f>IFERROR(VLOOKUP($A97,'NG Pivot'!$A$4:$W$29,MATCH(AC$2,'NG Pivot'!$O$3:$W$3,0)+14,FALSE),0)*10</f>
        <v>0</v>
      </c>
      <c r="AD97" s="220">
        <f>IFERROR(VLOOKUP($A97,'NG Pivot'!$A$4:$W$29,MATCH(AD$2,'NG Pivot'!$O$3:$W$3,0)+14,FALSE),0)*10</f>
        <v>56.3</v>
      </c>
    </row>
    <row r="98" spans="1:30">
      <c r="A98" s="223" t="s">
        <v>1293</v>
      </c>
      <c r="B98" s="220">
        <f>IFERROR(VLOOKUP($A98,'NG Pivot'!$A$4:$W$29,MATCH(B$2,'NG Pivot'!$O$3:$W$3,0)+14,FALSE),0)*10</f>
        <v>0</v>
      </c>
      <c r="C98" s="220">
        <f>IFERROR(VLOOKUP($A98,'NG Pivot'!$A$4:$W$29,MATCH(C$2,'NG Pivot'!$O$3:$W$3,0)+14,FALSE),0)*10</f>
        <v>0</v>
      </c>
      <c r="D98" s="220">
        <f>IFERROR(VLOOKUP($A98,'NG Pivot'!$A$4:$W$29,MATCH(D$2,'NG Pivot'!$O$3:$W$3,0)+14,FALSE),0)*10</f>
        <v>0</v>
      </c>
      <c r="E98" s="220">
        <f>IFERROR(VLOOKUP($A98,'NG Pivot'!$A$4:$W$29,MATCH(E$2,'NG Pivot'!$O$3:$W$3,0)+14,FALSE),0)*10</f>
        <v>0</v>
      </c>
      <c r="F98" s="220">
        <f>IFERROR(VLOOKUP($A98,'NG Pivot'!$A$4:$W$29,MATCH(F$2,'NG Pivot'!$O$3:$W$3,0)+14,FALSE),0)*10</f>
        <v>0</v>
      </c>
      <c r="G98" s="220">
        <f>IFERROR(VLOOKUP($A98,'NG Pivot'!$A$4:$W$29,MATCH(G$2,'NG Pivot'!$O$3:$W$3,0)+14,FALSE),0)*10</f>
        <v>0</v>
      </c>
      <c r="H98" s="220">
        <f>IFERROR(VLOOKUP($A98,'NG Pivot'!$A$4:$W$29,MATCH(H$2,'NG Pivot'!$O$3:$W$3,0)+14,FALSE),0)*10</f>
        <v>0</v>
      </c>
      <c r="I98" s="220">
        <f>IFERROR(VLOOKUP($A98,'NG Pivot'!$A$4:$W$29,MATCH(I$2,'NG Pivot'!$O$3:$W$3,0)+14,FALSE),0)*10</f>
        <v>0</v>
      </c>
      <c r="J98" s="220">
        <f>IFERROR(VLOOKUP($A98,'NG Pivot'!$A$4:$W$29,MATCH(J$2,'NG Pivot'!$O$3:$W$3,0)+14,FALSE),0)*10</f>
        <v>0</v>
      </c>
      <c r="K98" s="220">
        <f>IFERROR(VLOOKUP($A98,'NG Pivot'!$A$4:$W$29,MATCH(K$2,'NG Pivot'!$O$3:$W$3,0)+14,FALSE),0)*10</f>
        <v>0</v>
      </c>
      <c r="L98" s="220">
        <f>IFERROR(VLOOKUP($A98,'NG Pivot'!$A$4:$W$29,MATCH(L$2,'NG Pivot'!$O$3:$W$3,0)+14,FALSE),0)*10</f>
        <v>0</v>
      </c>
      <c r="M98" s="220">
        <f>IFERROR(VLOOKUP($A98,'NG Pivot'!$A$4:$W$29,MATCH(M$2,'NG Pivot'!$O$3:$W$3,0)+14,FALSE),0)*10</f>
        <v>0</v>
      </c>
      <c r="N98" s="220">
        <f>IFERROR(VLOOKUP($A98,'NG Pivot'!$A$4:$W$29,MATCH(N$2,'NG Pivot'!$O$3:$W$3,0)+14,FALSE),0)*10</f>
        <v>0</v>
      </c>
      <c r="O98" s="220">
        <f>IFERROR(VLOOKUP($A98,'NG Pivot'!$A$4:$W$29,MATCH(O$2,'NG Pivot'!$O$3:$W$3,0)+14,FALSE),0)*10</f>
        <v>0</v>
      </c>
      <c r="P98" s="220">
        <f>IFERROR(VLOOKUP($A98,'NG Pivot'!$A$4:$W$29,MATCH(P$2,'NG Pivot'!$O$3:$W$3,0)+14,FALSE),0)*10</f>
        <v>0</v>
      </c>
      <c r="Q98" s="220">
        <f>IFERROR(VLOOKUP($A98,'NG Pivot'!$A$4:$W$29,MATCH(Q$2,'NG Pivot'!$O$3:$W$3,0)+14,FALSE),0)*10</f>
        <v>0</v>
      </c>
      <c r="R98" s="220">
        <f>IFERROR(VLOOKUP($A98,'NG Pivot'!$A$4:$W$29,MATCH(R$2,'NG Pivot'!$O$3:$W$3,0)+14,FALSE),0)*10</f>
        <v>0</v>
      </c>
      <c r="S98" s="220">
        <f>IFERROR(VLOOKUP($A98,'NG Pivot'!$A$4:$W$29,MATCH(S$2,'NG Pivot'!$O$3:$W$3,0)+14,FALSE),0)*10</f>
        <v>0</v>
      </c>
      <c r="T98" s="220">
        <f>IFERROR(VLOOKUP($A98,'NG Pivot'!$A$4:$W$29,MATCH(T$2,'NG Pivot'!$O$3:$W$3,0)+14,FALSE),0)*10</f>
        <v>0</v>
      </c>
      <c r="U98" s="220">
        <f>IFERROR(VLOOKUP($A98,'NG Pivot'!$A$4:$W$29,MATCH(U$2,'NG Pivot'!$O$3:$W$3,0)+14,FALSE),0)*10</f>
        <v>0</v>
      </c>
      <c r="V98" s="220">
        <f>IFERROR(VLOOKUP($A98,'NG Pivot'!$A$4:$W$29,MATCH(V$2,'NG Pivot'!$O$3:$W$3,0)+14,FALSE),0)*10</f>
        <v>0</v>
      </c>
      <c r="W98" s="220">
        <f>IFERROR(VLOOKUP($A98,'NG Pivot'!$A$4:$W$29,MATCH(W$2,'NG Pivot'!$O$3:$W$3,0)+14,FALSE),0)*10</f>
        <v>0</v>
      </c>
      <c r="X98" s="220">
        <f>IFERROR(VLOOKUP($A98,'NG Pivot'!$A$4:$W$29,MATCH(X$2,'NG Pivot'!$O$3:$W$3,0)+14,FALSE),0)*10</f>
        <v>0</v>
      </c>
      <c r="Y98" s="220">
        <f>IFERROR(VLOOKUP($A98,'NG Pivot'!$A$4:$W$29,MATCH(Y$2,'NG Pivot'!$O$3:$W$3,0)+14,FALSE),0)*10</f>
        <v>0</v>
      </c>
      <c r="Z98" s="220">
        <f>IFERROR(VLOOKUP($A98,'NG Pivot'!$A$4:$W$29,MATCH(Z$2,'NG Pivot'!$O$3:$W$3,0)+14,FALSE),0)*10</f>
        <v>0</v>
      </c>
      <c r="AA98" s="220">
        <f>IFERROR(VLOOKUP($A98,'NG Pivot'!$A$4:$W$29,MATCH(AA$2,'NG Pivot'!$O$3:$W$3,0)+14,FALSE),0)*10</f>
        <v>0</v>
      </c>
      <c r="AB98" s="220">
        <f>IFERROR(VLOOKUP($A98,'NG Pivot'!$A$4:$W$29,MATCH(AB$2,'NG Pivot'!$O$3:$W$3,0)+14,FALSE),0)*10</f>
        <v>0</v>
      </c>
      <c r="AC98" s="220">
        <f>IFERROR(VLOOKUP($A98,'NG Pivot'!$A$4:$W$29,MATCH(AC$2,'NG Pivot'!$O$3:$W$3,0)+14,FALSE),0)*10</f>
        <v>0</v>
      </c>
      <c r="AD98" s="220">
        <f>IFERROR(VLOOKUP($A98,'NG Pivot'!$A$4:$W$29,MATCH(AD$2,'NG Pivot'!$O$3:$W$3,0)+14,FALSE),0)*10</f>
        <v>0</v>
      </c>
    </row>
    <row r="99" spans="1:30">
      <c r="A99" s="223" t="s">
        <v>1294</v>
      </c>
      <c r="B99" s="220">
        <f>IFERROR(VLOOKUP($A99,'NG Pivot'!$A$4:$W$29,MATCH(B$2,'NG Pivot'!$O$3:$W$3,0)+14,FALSE),0)*10</f>
        <v>0</v>
      </c>
      <c r="C99" s="220">
        <f>IFERROR(VLOOKUP($A99,'NG Pivot'!$A$4:$W$29,MATCH(C$2,'NG Pivot'!$O$3:$W$3,0)+14,FALSE),0)*10</f>
        <v>0</v>
      </c>
      <c r="D99" s="220">
        <f>IFERROR(VLOOKUP($A99,'NG Pivot'!$A$4:$W$29,MATCH(D$2,'NG Pivot'!$O$3:$W$3,0)+14,FALSE),0)*10</f>
        <v>0</v>
      </c>
      <c r="E99" s="220">
        <f>IFERROR(VLOOKUP($A99,'NG Pivot'!$A$4:$W$29,MATCH(E$2,'NG Pivot'!$O$3:$W$3,0)+14,FALSE),0)*10</f>
        <v>0</v>
      </c>
      <c r="F99" s="220">
        <f>IFERROR(VLOOKUP($A99,'NG Pivot'!$A$4:$W$29,MATCH(F$2,'NG Pivot'!$O$3:$W$3,0)+14,FALSE),0)*10</f>
        <v>0</v>
      </c>
      <c r="G99" s="220">
        <f>IFERROR(VLOOKUP($A99,'NG Pivot'!$A$4:$W$29,MATCH(G$2,'NG Pivot'!$O$3:$W$3,0)+14,FALSE),0)*10</f>
        <v>0</v>
      </c>
      <c r="H99" s="220">
        <f>IFERROR(VLOOKUP($A99,'NG Pivot'!$A$4:$W$29,MATCH(H$2,'NG Pivot'!$O$3:$W$3,0)+14,FALSE),0)*10</f>
        <v>0</v>
      </c>
      <c r="I99" s="220">
        <f>IFERROR(VLOOKUP($A99,'NG Pivot'!$A$4:$W$29,MATCH(I$2,'NG Pivot'!$O$3:$W$3,0)+14,FALSE),0)*10</f>
        <v>0</v>
      </c>
      <c r="J99" s="220">
        <f>IFERROR(VLOOKUP($A99,'NG Pivot'!$A$4:$W$29,MATCH(J$2,'NG Pivot'!$O$3:$W$3,0)+14,FALSE),0)*10</f>
        <v>0</v>
      </c>
      <c r="K99" s="220">
        <f>IFERROR(VLOOKUP($A99,'NG Pivot'!$A$4:$W$29,MATCH(K$2,'NG Pivot'!$O$3:$W$3,0)+14,FALSE),0)*10</f>
        <v>0</v>
      </c>
      <c r="L99" s="220">
        <f>IFERROR(VLOOKUP($A99,'NG Pivot'!$A$4:$W$29,MATCH(L$2,'NG Pivot'!$O$3:$W$3,0)+14,FALSE),0)*10</f>
        <v>0</v>
      </c>
      <c r="M99" s="220">
        <f>IFERROR(VLOOKUP($A99,'NG Pivot'!$A$4:$W$29,MATCH(M$2,'NG Pivot'!$O$3:$W$3,0)+14,FALSE),0)*10</f>
        <v>0</v>
      </c>
      <c r="N99" s="220">
        <f>IFERROR(VLOOKUP($A99,'NG Pivot'!$A$4:$W$29,MATCH(N$2,'NG Pivot'!$O$3:$W$3,0)+14,FALSE),0)*10</f>
        <v>0</v>
      </c>
      <c r="O99" s="220">
        <f>IFERROR(VLOOKUP($A99,'NG Pivot'!$A$4:$W$29,MATCH(O$2,'NG Pivot'!$O$3:$W$3,0)+14,FALSE),0)*10</f>
        <v>0</v>
      </c>
      <c r="P99" s="220">
        <f>IFERROR(VLOOKUP($A99,'NG Pivot'!$A$4:$W$29,MATCH(P$2,'NG Pivot'!$O$3:$W$3,0)+14,FALSE),0)*10</f>
        <v>0</v>
      </c>
      <c r="Q99" s="220">
        <f>IFERROR(VLOOKUP($A99,'NG Pivot'!$A$4:$W$29,MATCH(Q$2,'NG Pivot'!$O$3:$W$3,0)+14,FALSE),0)*10</f>
        <v>0</v>
      </c>
      <c r="R99" s="220">
        <f>IFERROR(VLOOKUP($A99,'NG Pivot'!$A$4:$W$29,MATCH(R$2,'NG Pivot'!$O$3:$W$3,0)+14,FALSE),0)*10</f>
        <v>0</v>
      </c>
      <c r="S99" s="220">
        <f>IFERROR(VLOOKUP($A99,'NG Pivot'!$A$4:$W$29,MATCH(S$2,'NG Pivot'!$O$3:$W$3,0)+14,FALSE),0)*10</f>
        <v>0</v>
      </c>
      <c r="T99" s="220">
        <f>IFERROR(VLOOKUP($A99,'NG Pivot'!$A$4:$W$29,MATCH(T$2,'NG Pivot'!$O$3:$W$3,0)+14,FALSE),0)*10</f>
        <v>0</v>
      </c>
      <c r="U99" s="220">
        <f>IFERROR(VLOOKUP($A99,'NG Pivot'!$A$4:$W$29,MATCH(U$2,'NG Pivot'!$O$3:$W$3,0)+14,FALSE),0)*10</f>
        <v>0</v>
      </c>
      <c r="V99" s="220">
        <f>IFERROR(VLOOKUP($A99,'NG Pivot'!$A$4:$W$29,MATCH(V$2,'NG Pivot'!$O$3:$W$3,0)+14,FALSE),0)*10</f>
        <v>0</v>
      </c>
      <c r="W99" s="220">
        <f>IFERROR(VLOOKUP($A99,'NG Pivot'!$A$4:$W$29,MATCH(W$2,'NG Pivot'!$O$3:$W$3,0)+14,FALSE),0)*10</f>
        <v>0</v>
      </c>
      <c r="X99" s="220">
        <f>IFERROR(VLOOKUP($A99,'NG Pivot'!$A$4:$W$29,MATCH(X$2,'NG Pivot'!$O$3:$W$3,0)+14,FALSE),0)*10</f>
        <v>0</v>
      </c>
      <c r="Y99" s="220">
        <f>IFERROR(VLOOKUP($A99,'NG Pivot'!$A$4:$W$29,MATCH(Y$2,'NG Pivot'!$O$3:$W$3,0)+14,FALSE),0)*10</f>
        <v>0</v>
      </c>
      <c r="Z99" s="220">
        <f>IFERROR(VLOOKUP($A99,'NG Pivot'!$A$4:$W$29,MATCH(Z$2,'NG Pivot'!$O$3:$W$3,0)+14,FALSE),0)*10</f>
        <v>0</v>
      </c>
      <c r="AA99" s="220">
        <f>IFERROR(VLOOKUP($A99,'NG Pivot'!$A$4:$W$29,MATCH(AA$2,'NG Pivot'!$O$3:$W$3,0)+14,FALSE),0)*10</f>
        <v>0</v>
      </c>
      <c r="AB99" s="220">
        <f>IFERROR(VLOOKUP($A99,'NG Pivot'!$A$4:$W$29,MATCH(AB$2,'NG Pivot'!$O$3:$W$3,0)+14,FALSE),0)*10</f>
        <v>0</v>
      </c>
      <c r="AC99" s="220">
        <f>IFERROR(VLOOKUP($A99,'NG Pivot'!$A$4:$W$29,MATCH(AC$2,'NG Pivot'!$O$3:$W$3,0)+14,FALSE),0)*10</f>
        <v>0</v>
      </c>
      <c r="AD99" s="220">
        <f>IFERROR(VLOOKUP($A99,'NG Pivot'!$A$4:$W$29,MATCH(AD$2,'NG Pivot'!$O$3:$W$3,0)+14,FALSE),0)*10</f>
        <v>0</v>
      </c>
    </row>
    <row r="100" spans="1:30">
      <c r="A100" s="223" t="s">
        <v>1295</v>
      </c>
      <c r="B100" s="220">
        <f>IFERROR(VLOOKUP($A100,'NG Pivot'!$A$4:$W$29,MATCH(B$2,'NG Pivot'!$O$3:$W$3,0)+14,FALSE),0)*10</f>
        <v>0</v>
      </c>
      <c r="C100" s="220">
        <f>IFERROR(VLOOKUP($A100,'NG Pivot'!$A$4:$W$29,MATCH(C$2,'NG Pivot'!$O$3:$W$3,0)+14,FALSE),0)*10</f>
        <v>0</v>
      </c>
      <c r="D100" s="220">
        <f>IFERROR(VLOOKUP($A100,'NG Pivot'!$A$4:$W$29,MATCH(D$2,'NG Pivot'!$O$3:$W$3,0)+14,FALSE),0)*10</f>
        <v>0</v>
      </c>
      <c r="E100" s="220">
        <f>IFERROR(VLOOKUP($A100,'NG Pivot'!$A$4:$W$29,MATCH(E$2,'NG Pivot'!$O$3:$W$3,0)+14,FALSE),0)*10</f>
        <v>0</v>
      </c>
      <c r="F100" s="220">
        <f>IFERROR(VLOOKUP($A100,'NG Pivot'!$A$4:$W$29,MATCH(F$2,'NG Pivot'!$O$3:$W$3,0)+14,FALSE),0)*10</f>
        <v>0</v>
      </c>
      <c r="G100" s="220">
        <f>IFERROR(VLOOKUP($A100,'NG Pivot'!$A$4:$W$29,MATCH(G$2,'NG Pivot'!$O$3:$W$3,0)+14,FALSE),0)*10</f>
        <v>0</v>
      </c>
      <c r="H100" s="220">
        <f>IFERROR(VLOOKUP($A100,'NG Pivot'!$A$4:$W$29,MATCH(H$2,'NG Pivot'!$O$3:$W$3,0)+14,FALSE),0)*10</f>
        <v>0</v>
      </c>
      <c r="I100" s="220">
        <f>IFERROR(VLOOKUP($A100,'NG Pivot'!$A$4:$W$29,MATCH(I$2,'NG Pivot'!$O$3:$W$3,0)+14,FALSE),0)*10</f>
        <v>0</v>
      </c>
      <c r="J100" s="220">
        <f>IFERROR(VLOOKUP($A100,'NG Pivot'!$A$4:$W$29,MATCH(J$2,'NG Pivot'!$O$3:$W$3,0)+14,FALSE),0)*10</f>
        <v>0</v>
      </c>
      <c r="K100" s="220">
        <f>IFERROR(VLOOKUP($A100,'NG Pivot'!$A$4:$W$29,MATCH(K$2,'NG Pivot'!$O$3:$W$3,0)+14,FALSE),0)*10</f>
        <v>0</v>
      </c>
      <c r="L100" s="220">
        <f>IFERROR(VLOOKUP($A100,'NG Pivot'!$A$4:$W$29,MATCH(L$2,'NG Pivot'!$O$3:$W$3,0)+14,FALSE),0)*10</f>
        <v>0</v>
      </c>
      <c r="M100" s="220">
        <f>IFERROR(VLOOKUP($A100,'NG Pivot'!$A$4:$W$29,MATCH(M$2,'NG Pivot'!$O$3:$W$3,0)+14,FALSE),0)*10</f>
        <v>0</v>
      </c>
      <c r="N100" s="220">
        <f>IFERROR(VLOOKUP($A100,'NG Pivot'!$A$4:$W$29,MATCH(N$2,'NG Pivot'!$O$3:$W$3,0)+14,FALSE),0)*10</f>
        <v>0</v>
      </c>
      <c r="O100" s="220">
        <f>IFERROR(VLOOKUP($A100,'NG Pivot'!$A$4:$W$29,MATCH(O$2,'NG Pivot'!$O$3:$W$3,0)+14,FALSE),0)*10</f>
        <v>0</v>
      </c>
      <c r="P100" s="220">
        <f>IFERROR(VLOOKUP($A100,'NG Pivot'!$A$4:$W$29,MATCH(P$2,'NG Pivot'!$O$3:$W$3,0)+14,FALSE),0)*10</f>
        <v>0</v>
      </c>
      <c r="Q100" s="220">
        <f>IFERROR(VLOOKUP($A100,'NG Pivot'!$A$4:$W$29,MATCH(Q$2,'NG Pivot'!$O$3:$W$3,0)+14,FALSE),0)*10</f>
        <v>0</v>
      </c>
      <c r="R100" s="220">
        <f>IFERROR(VLOOKUP($A100,'NG Pivot'!$A$4:$W$29,MATCH(R$2,'NG Pivot'!$O$3:$W$3,0)+14,FALSE),0)*10</f>
        <v>0</v>
      </c>
      <c r="S100" s="220">
        <f>IFERROR(VLOOKUP($A100,'NG Pivot'!$A$4:$W$29,MATCH(S$2,'NG Pivot'!$O$3:$W$3,0)+14,FALSE),0)*10</f>
        <v>0</v>
      </c>
      <c r="T100" s="220">
        <f>IFERROR(VLOOKUP($A100,'NG Pivot'!$A$4:$W$29,MATCH(T$2,'NG Pivot'!$O$3:$W$3,0)+14,FALSE),0)*10</f>
        <v>0</v>
      </c>
      <c r="U100" s="220">
        <f>IFERROR(VLOOKUP($A100,'NG Pivot'!$A$4:$W$29,MATCH(U$2,'NG Pivot'!$O$3:$W$3,0)+14,FALSE),0)*10</f>
        <v>0</v>
      </c>
      <c r="V100" s="220">
        <f>IFERROR(VLOOKUP($A100,'NG Pivot'!$A$4:$W$29,MATCH(V$2,'NG Pivot'!$O$3:$W$3,0)+14,FALSE),0)*10</f>
        <v>0</v>
      </c>
      <c r="W100" s="220">
        <f>IFERROR(VLOOKUP($A100,'NG Pivot'!$A$4:$W$29,MATCH(W$2,'NG Pivot'!$O$3:$W$3,0)+14,FALSE),0)*10</f>
        <v>0</v>
      </c>
      <c r="X100" s="220">
        <f>IFERROR(VLOOKUP($A100,'NG Pivot'!$A$4:$W$29,MATCH(X$2,'NG Pivot'!$O$3:$W$3,0)+14,FALSE),0)*10</f>
        <v>0</v>
      </c>
      <c r="Y100" s="220">
        <f>IFERROR(VLOOKUP($A100,'NG Pivot'!$A$4:$W$29,MATCH(Y$2,'NG Pivot'!$O$3:$W$3,0)+14,FALSE),0)*10</f>
        <v>0</v>
      </c>
      <c r="Z100" s="220">
        <f>IFERROR(VLOOKUP($A100,'NG Pivot'!$A$4:$W$29,MATCH(Z$2,'NG Pivot'!$O$3:$W$3,0)+14,FALSE),0)*10</f>
        <v>0</v>
      </c>
      <c r="AA100" s="220">
        <f>IFERROR(VLOOKUP($A100,'NG Pivot'!$A$4:$W$29,MATCH(AA$2,'NG Pivot'!$O$3:$W$3,0)+14,FALSE),0)*10</f>
        <v>0</v>
      </c>
      <c r="AB100" s="220">
        <f>IFERROR(VLOOKUP($A100,'NG Pivot'!$A$4:$W$29,MATCH(AB$2,'NG Pivot'!$O$3:$W$3,0)+14,FALSE),0)*10</f>
        <v>0</v>
      </c>
      <c r="AC100" s="220">
        <f>IFERROR(VLOOKUP($A100,'NG Pivot'!$A$4:$W$29,MATCH(AC$2,'NG Pivot'!$O$3:$W$3,0)+14,FALSE),0)*10</f>
        <v>0</v>
      </c>
      <c r="AD100" s="220">
        <f>IFERROR(VLOOKUP($A100,'NG Pivot'!$A$4:$W$29,MATCH(AD$2,'NG Pivot'!$O$3:$W$3,0)+14,FALSE),0)*10</f>
        <v>0</v>
      </c>
    </row>
    <row r="101" spans="1:30">
      <c r="A101" s="223" t="s">
        <v>1296</v>
      </c>
      <c r="B101" s="220">
        <f>IFERROR(VLOOKUP($A101,'NG Pivot'!$A$4:$W$29,MATCH(B$2,'NG Pivot'!$O$3:$W$3,0)+14,FALSE),0)*10</f>
        <v>0</v>
      </c>
      <c r="C101" s="220">
        <f>IFERROR(VLOOKUP($A101,'NG Pivot'!$A$4:$W$29,MATCH(C$2,'NG Pivot'!$O$3:$W$3,0)+14,FALSE),0)*10</f>
        <v>0</v>
      </c>
      <c r="D101" s="220">
        <f>IFERROR(VLOOKUP($A101,'NG Pivot'!$A$4:$W$29,MATCH(D$2,'NG Pivot'!$O$3:$W$3,0)+14,FALSE),0)*10</f>
        <v>0</v>
      </c>
      <c r="E101" s="220">
        <f>IFERROR(VLOOKUP($A101,'NG Pivot'!$A$4:$W$29,MATCH(E$2,'NG Pivot'!$O$3:$W$3,0)+14,FALSE),0)*10</f>
        <v>0</v>
      </c>
      <c r="F101" s="220">
        <f>IFERROR(VLOOKUP($A101,'NG Pivot'!$A$4:$W$29,MATCH(F$2,'NG Pivot'!$O$3:$W$3,0)+14,FALSE),0)*10</f>
        <v>0</v>
      </c>
      <c r="G101" s="220">
        <f>IFERROR(VLOOKUP($A101,'NG Pivot'!$A$4:$W$29,MATCH(G$2,'NG Pivot'!$O$3:$W$3,0)+14,FALSE),0)*10</f>
        <v>0</v>
      </c>
      <c r="H101" s="220">
        <f>IFERROR(VLOOKUP($A101,'NG Pivot'!$A$4:$W$29,MATCH(H$2,'NG Pivot'!$O$3:$W$3,0)+14,FALSE),0)*10</f>
        <v>0</v>
      </c>
      <c r="I101" s="220">
        <f>IFERROR(VLOOKUP($A101,'NG Pivot'!$A$4:$W$29,MATCH(I$2,'NG Pivot'!$O$3:$W$3,0)+14,FALSE),0)*10</f>
        <v>0</v>
      </c>
      <c r="J101" s="220">
        <f>IFERROR(VLOOKUP($A101,'NG Pivot'!$A$4:$W$29,MATCH(J$2,'NG Pivot'!$O$3:$W$3,0)+14,FALSE),0)*10</f>
        <v>0</v>
      </c>
      <c r="K101" s="220">
        <f>IFERROR(VLOOKUP($A101,'NG Pivot'!$A$4:$W$29,MATCH(K$2,'NG Pivot'!$O$3:$W$3,0)+14,FALSE),0)*10</f>
        <v>0</v>
      </c>
      <c r="L101" s="220">
        <f>IFERROR(VLOOKUP($A101,'NG Pivot'!$A$4:$W$29,MATCH(L$2,'NG Pivot'!$O$3:$W$3,0)+14,FALSE),0)*10</f>
        <v>0</v>
      </c>
      <c r="M101" s="220">
        <f>IFERROR(VLOOKUP($A101,'NG Pivot'!$A$4:$W$29,MATCH(M$2,'NG Pivot'!$O$3:$W$3,0)+14,FALSE),0)*10</f>
        <v>0</v>
      </c>
      <c r="N101" s="220">
        <f>IFERROR(VLOOKUP($A101,'NG Pivot'!$A$4:$W$29,MATCH(N$2,'NG Pivot'!$O$3:$W$3,0)+14,FALSE),0)*10</f>
        <v>0</v>
      </c>
      <c r="O101" s="220">
        <f>IFERROR(VLOOKUP($A101,'NG Pivot'!$A$4:$W$29,MATCH(O$2,'NG Pivot'!$O$3:$W$3,0)+14,FALSE),0)*10</f>
        <v>0</v>
      </c>
      <c r="P101" s="220">
        <f>IFERROR(VLOOKUP($A101,'NG Pivot'!$A$4:$W$29,MATCH(P$2,'NG Pivot'!$O$3:$W$3,0)+14,FALSE),0)*10</f>
        <v>0</v>
      </c>
      <c r="Q101" s="220">
        <f>IFERROR(VLOOKUP($A101,'NG Pivot'!$A$4:$W$29,MATCH(Q$2,'NG Pivot'!$O$3:$W$3,0)+14,FALSE),0)*10</f>
        <v>0</v>
      </c>
      <c r="R101" s="220">
        <f>IFERROR(VLOOKUP($A101,'NG Pivot'!$A$4:$W$29,MATCH(R$2,'NG Pivot'!$O$3:$W$3,0)+14,FALSE),0)*10</f>
        <v>0</v>
      </c>
      <c r="S101" s="220">
        <f>IFERROR(VLOOKUP($A101,'NG Pivot'!$A$4:$W$29,MATCH(S$2,'NG Pivot'!$O$3:$W$3,0)+14,FALSE),0)*10</f>
        <v>0</v>
      </c>
      <c r="T101" s="220">
        <f>IFERROR(VLOOKUP($A101,'NG Pivot'!$A$4:$W$29,MATCH(T$2,'NG Pivot'!$O$3:$W$3,0)+14,FALSE),0)*10</f>
        <v>0</v>
      </c>
      <c r="U101" s="220">
        <f>IFERROR(VLOOKUP($A101,'NG Pivot'!$A$4:$W$29,MATCH(U$2,'NG Pivot'!$O$3:$W$3,0)+14,FALSE),0)*10</f>
        <v>0</v>
      </c>
      <c r="V101" s="220">
        <f>IFERROR(VLOOKUP($A101,'NG Pivot'!$A$4:$W$29,MATCH(V$2,'NG Pivot'!$O$3:$W$3,0)+14,FALSE),0)*10</f>
        <v>0</v>
      </c>
      <c r="W101" s="220">
        <f>IFERROR(VLOOKUP($A101,'NG Pivot'!$A$4:$W$29,MATCH(W$2,'NG Pivot'!$O$3:$W$3,0)+14,FALSE),0)*10</f>
        <v>0</v>
      </c>
      <c r="X101" s="220">
        <f>IFERROR(VLOOKUP($A101,'NG Pivot'!$A$4:$W$29,MATCH(X$2,'NG Pivot'!$O$3:$W$3,0)+14,FALSE),0)*10</f>
        <v>0</v>
      </c>
      <c r="Y101" s="220">
        <f>IFERROR(VLOOKUP($A101,'NG Pivot'!$A$4:$W$29,MATCH(Y$2,'NG Pivot'!$O$3:$W$3,0)+14,FALSE),0)*10</f>
        <v>0</v>
      </c>
      <c r="Z101" s="220">
        <f>IFERROR(VLOOKUP($A101,'NG Pivot'!$A$4:$W$29,MATCH(Z$2,'NG Pivot'!$O$3:$W$3,0)+14,FALSE),0)*10</f>
        <v>0</v>
      </c>
      <c r="AA101" s="220">
        <f>IFERROR(VLOOKUP($A101,'NG Pivot'!$A$4:$W$29,MATCH(AA$2,'NG Pivot'!$O$3:$W$3,0)+14,FALSE),0)*10</f>
        <v>0</v>
      </c>
      <c r="AB101" s="220">
        <f>IFERROR(VLOOKUP($A101,'NG Pivot'!$A$4:$W$29,MATCH(AB$2,'NG Pivot'!$O$3:$W$3,0)+14,FALSE),0)*10</f>
        <v>0</v>
      </c>
      <c r="AC101" s="220">
        <f>IFERROR(VLOOKUP($A101,'NG Pivot'!$A$4:$W$29,MATCH(AC$2,'NG Pivot'!$O$3:$W$3,0)+14,FALSE),0)*10</f>
        <v>0</v>
      </c>
      <c r="AD101" s="220">
        <f>IFERROR(VLOOKUP($A101,'NG Pivot'!$A$4:$W$29,MATCH(AD$2,'NG Pivot'!$O$3:$W$3,0)+14,FALSE),0)*10</f>
        <v>0</v>
      </c>
    </row>
    <row r="102" spans="1:30">
      <c r="A102" s="223" t="s">
        <v>1297</v>
      </c>
      <c r="B102" s="220">
        <f>IFERROR(VLOOKUP($A102,'NG Pivot'!$A$4:$W$29,MATCH(B$2,'NG Pivot'!$O$3:$W$3,0)+14,FALSE),0)*10</f>
        <v>0</v>
      </c>
      <c r="C102" s="220">
        <f>IFERROR(VLOOKUP($A102,'NG Pivot'!$A$4:$W$29,MATCH(C$2,'NG Pivot'!$O$3:$W$3,0)+14,FALSE),0)*10</f>
        <v>0</v>
      </c>
      <c r="D102" s="220">
        <f>IFERROR(VLOOKUP($A102,'NG Pivot'!$A$4:$W$29,MATCH(D$2,'NG Pivot'!$O$3:$W$3,0)+14,FALSE),0)*10</f>
        <v>0</v>
      </c>
      <c r="E102" s="220">
        <f>IFERROR(VLOOKUP($A102,'NG Pivot'!$A$4:$W$29,MATCH(E$2,'NG Pivot'!$O$3:$W$3,0)+14,FALSE),0)*10</f>
        <v>0</v>
      </c>
      <c r="F102" s="220">
        <f>IFERROR(VLOOKUP($A102,'NG Pivot'!$A$4:$W$29,MATCH(F$2,'NG Pivot'!$O$3:$W$3,0)+14,FALSE),0)*10</f>
        <v>0</v>
      </c>
      <c r="G102" s="220">
        <f>IFERROR(VLOOKUP($A102,'NG Pivot'!$A$4:$W$29,MATCH(G$2,'NG Pivot'!$O$3:$W$3,0)+14,FALSE),0)*10</f>
        <v>0</v>
      </c>
      <c r="H102" s="220">
        <f>IFERROR(VLOOKUP($A102,'NG Pivot'!$A$4:$W$29,MATCH(H$2,'NG Pivot'!$O$3:$W$3,0)+14,FALSE),0)*10</f>
        <v>0</v>
      </c>
      <c r="I102" s="220">
        <f>IFERROR(VLOOKUP($A102,'NG Pivot'!$A$4:$W$29,MATCH(I$2,'NG Pivot'!$O$3:$W$3,0)+14,FALSE),0)*10</f>
        <v>0</v>
      </c>
      <c r="J102" s="220">
        <f>IFERROR(VLOOKUP($A102,'NG Pivot'!$A$4:$W$29,MATCH(J$2,'NG Pivot'!$O$3:$W$3,0)+14,FALSE),0)*10</f>
        <v>0</v>
      </c>
      <c r="K102" s="220">
        <f>IFERROR(VLOOKUP($A102,'NG Pivot'!$A$4:$W$29,MATCH(K$2,'NG Pivot'!$O$3:$W$3,0)+14,FALSE),0)*10</f>
        <v>0</v>
      </c>
      <c r="L102" s="220">
        <f>IFERROR(VLOOKUP($A102,'NG Pivot'!$A$4:$W$29,MATCH(L$2,'NG Pivot'!$O$3:$W$3,0)+14,FALSE),0)*10</f>
        <v>0</v>
      </c>
      <c r="M102" s="220">
        <f>IFERROR(VLOOKUP($A102,'NG Pivot'!$A$4:$W$29,MATCH(M$2,'NG Pivot'!$O$3:$W$3,0)+14,FALSE),0)*10</f>
        <v>0</v>
      </c>
      <c r="N102" s="220">
        <f>IFERROR(VLOOKUP($A102,'NG Pivot'!$A$4:$W$29,MATCH(N$2,'NG Pivot'!$O$3:$W$3,0)+14,FALSE),0)*10</f>
        <v>0</v>
      </c>
      <c r="O102" s="220">
        <f>IFERROR(VLOOKUP($A102,'NG Pivot'!$A$4:$W$29,MATCH(O$2,'NG Pivot'!$O$3:$W$3,0)+14,FALSE),0)*10</f>
        <v>0</v>
      </c>
      <c r="P102" s="220">
        <f>IFERROR(VLOOKUP($A102,'NG Pivot'!$A$4:$W$29,MATCH(P$2,'NG Pivot'!$O$3:$W$3,0)+14,FALSE),0)*10</f>
        <v>0</v>
      </c>
      <c r="Q102" s="220">
        <f>IFERROR(VLOOKUP($A102,'NG Pivot'!$A$4:$W$29,MATCH(Q$2,'NG Pivot'!$O$3:$W$3,0)+14,FALSE),0)*10</f>
        <v>0</v>
      </c>
      <c r="R102" s="220">
        <f>IFERROR(VLOOKUP($A102,'NG Pivot'!$A$4:$W$29,MATCH(R$2,'NG Pivot'!$O$3:$W$3,0)+14,FALSE),0)*10</f>
        <v>0</v>
      </c>
      <c r="S102" s="220">
        <f>IFERROR(VLOOKUP($A102,'NG Pivot'!$A$4:$W$29,MATCH(S$2,'NG Pivot'!$O$3:$W$3,0)+14,FALSE),0)*10</f>
        <v>0</v>
      </c>
      <c r="T102" s="220">
        <f>IFERROR(VLOOKUP($A102,'NG Pivot'!$A$4:$W$29,MATCH(T$2,'NG Pivot'!$O$3:$W$3,0)+14,FALSE),0)*10</f>
        <v>0</v>
      </c>
      <c r="U102" s="220">
        <f>IFERROR(VLOOKUP($A102,'NG Pivot'!$A$4:$W$29,MATCH(U$2,'NG Pivot'!$O$3:$W$3,0)+14,FALSE),0)*10</f>
        <v>0</v>
      </c>
      <c r="V102" s="220">
        <f>IFERROR(VLOOKUP($A102,'NG Pivot'!$A$4:$W$29,MATCH(V$2,'NG Pivot'!$O$3:$W$3,0)+14,FALSE),0)*10</f>
        <v>0</v>
      </c>
      <c r="W102" s="220">
        <f>IFERROR(VLOOKUP($A102,'NG Pivot'!$A$4:$W$29,MATCH(W$2,'NG Pivot'!$O$3:$W$3,0)+14,FALSE),0)*10</f>
        <v>0</v>
      </c>
      <c r="X102" s="220">
        <f>IFERROR(VLOOKUP($A102,'NG Pivot'!$A$4:$W$29,MATCH(X$2,'NG Pivot'!$O$3:$W$3,0)+14,FALSE),0)*10</f>
        <v>0</v>
      </c>
      <c r="Y102" s="220">
        <f>IFERROR(VLOOKUP($A102,'NG Pivot'!$A$4:$W$29,MATCH(Y$2,'NG Pivot'!$O$3:$W$3,0)+14,FALSE),0)*10</f>
        <v>0</v>
      </c>
      <c r="Z102" s="220">
        <f>IFERROR(VLOOKUP($A102,'NG Pivot'!$A$4:$W$29,MATCH(Z$2,'NG Pivot'!$O$3:$W$3,0)+14,FALSE),0)*10</f>
        <v>0</v>
      </c>
      <c r="AA102" s="220">
        <f>IFERROR(VLOOKUP($A102,'NG Pivot'!$A$4:$W$29,MATCH(AA$2,'NG Pivot'!$O$3:$W$3,0)+14,FALSE),0)*10</f>
        <v>0</v>
      </c>
      <c r="AB102" s="220">
        <f>IFERROR(VLOOKUP($A102,'NG Pivot'!$A$4:$W$29,MATCH(AB$2,'NG Pivot'!$O$3:$W$3,0)+14,FALSE),0)*10</f>
        <v>0</v>
      </c>
      <c r="AC102" s="220">
        <f>IFERROR(VLOOKUP($A102,'NG Pivot'!$A$4:$W$29,MATCH(AC$2,'NG Pivot'!$O$3:$W$3,0)+14,FALSE),0)*10</f>
        <v>0</v>
      </c>
      <c r="AD102" s="220">
        <f>IFERROR(VLOOKUP($A102,'NG Pivot'!$A$4:$W$29,MATCH(AD$2,'NG Pivot'!$O$3:$W$3,0)+14,FALSE),0)*10</f>
        <v>0</v>
      </c>
    </row>
    <row r="103" spans="1:30">
      <c r="A103" s="223" t="s">
        <v>1298</v>
      </c>
      <c r="B103" s="220">
        <f>IFERROR(VLOOKUP($A103,'NG Pivot'!$A$4:$W$29,MATCH(B$2,'NG Pivot'!$O$3:$W$3,0)+14,FALSE),0)*10</f>
        <v>0</v>
      </c>
      <c r="C103" s="220">
        <f>IFERROR(VLOOKUP($A103,'NG Pivot'!$A$4:$W$29,MATCH(C$2,'NG Pivot'!$O$3:$W$3,0)+14,FALSE),0)*10</f>
        <v>0</v>
      </c>
      <c r="D103" s="220">
        <f>IFERROR(VLOOKUP($A103,'NG Pivot'!$A$4:$W$29,MATCH(D$2,'NG Pivot'!$O$3:$W$3,0)+14,FALSE),0)*10</f>
        <v>0</v>
      </c>
      <c r="E103" s="220">
        <f>IFERROR(VLOOKUP($A103,'NG Pivot'!$A$4:$W$29,MATCH(E$2,'NG Pivot'!$O$3:$W$3,0)+14,FALSE),0)*10</f>
        <v>0</v>
      </c>
      <c r="F103" s="220">
        <f>IFERROR(VLOOKUP($A103,'NG Pivot'!$A$4:$W$29,MATCH(F$2,'NG Pivot'!$O$3:$W$3,0)+14,FALSE),0)*10</f>
        <v>0</v>
      </c>
      <c r="G103" s="220">
        <f>IFERROR(VLOOKUP($A103,'NG Pivot'!$A$4:$W$29,MATCH(G$2,'NG Pivot'!$O$3:$W$3,0)+14,FALSE),0)*10</f>
        <v>0</v>
      </c>
      <c r="H103" s="220">
        <f>IFERROR(VLOOKUP($A103,'NG Pivot'!$A$4:$W$29,MATCH(H$2,'NG Pivot'!$O$3:$W$3,0)+14,FALSE),0)*10</f>
        <v>0</v>
      </c>
      <c r="I103" s="220">
        <f>IFERROR(VLOOKUP($A103,'NG Pivot'!$A$4:$W$29,MATCH(I$2,'NG Pivot'!$O$3:$W$3,0)+14,FALSE),0)*10</f>
        <v>0</v>
      </c>
      <c r="J103" s="220">
        <f>IFERROR(VLOOKUP($A103,'NG Pivot'!$A$4:$W$29,MATCH(J$2,'NG Pivot'!$O$3:$W$3,0)+14,FALSE),0)*10</f>
        <v>0</v>
      </c>
      <c r="K103" s="220">
        <f>IFERROR(VLOOKUP($A103,'NG Pivot'!$A$4:$W$29,MATCH(K$2,'NG Pivot'!$O$3:$W$3,0)+14,FALSE),0)*10</f>
        <v>0</v>
      </c>
      <c r="L103" s="220">
        <f>IFERROR(VLOOKUP($A103,'NG Pivot'!$A$4:$W$29,MATCH(L$2,'NG Pivot'!$O$3:$W$3,0)+14,FALSE),0)*10</f>
        <v>0</v>
      </c>
      <c r="M103" s="220">
        <f>IFERROR(VLOOKUP($A103,'NG Pivot'!$A$4:$W$29,MATCH(M$2,'NG Pivot'!$O$3:$W$3,0)+14,FALSE),0)*10</f>
        <v>0</v>
      </c>
      <c r="N103" s="220">
        <f>IFERROR(VLOOKUP($A103,'NG Pivot'!$A$4:$W$29,MATCH(N$2,'NG Pivot'!$O$3:$W$3,0)+14,FALSE),0)*10</f>
        <v>0</v>
      </c>
      <c r="O103" s="220">
        <f>IFERROR(VLOOKUP($A103,'NG Pivot'!$A$4:$W$29,MATCH(O$2,'NG Pivot'!$O$3:$W$3,0)+14,FALSE),0)*10</f>
        <v>0</v>
      </c>
      <c r="P103" s="220">
        <f>IFERROR(VLOOKUP($A103,'NG Pivot'!$A$4:$W$29,MATCH(P$2,'NG Pivot'!$O$3:$W$3,0)+14,FALSE),0)*10</f>
        <v>0</v>
      </c>
      <c r="Q103" s="220">
        <f>IFERROR(VLOOKUP($A103,'NG Pivot'!$A$4:$W$29,MATCH(Q$2,'NG Pivot'!$O$3:$W$3,0)+14,FALSE),0)*10</f>
        <v>0</v>
      </c>
      <c r="R103" s="220">
        <f>IFERROR(VLOOKUP($A103,'NG Pivot'!$A$4:$W$29,MATCH(R$2,'NG Pivot'!$O$3:$W$3,0)+14,FALSE),0)*10</f>
        <v>0</v>
      </c>
      <c r="S103" s="220">
        <f>IFERROR(VLOOKUP($A103,'NG Pivot'!$A$4:$W$29,MATCH(S$2,'NG Pivot'!$O$3:$W$3,0)+14,FALSE),0)*10</f>
        <v>0</v>
      </c>
      <c r="T103" s="220">
        <f>IFERROR(VLOOKUP($A103,'NG Pivot'!$A$4:$W$29,MATCH(T$2,'NG Pivot'!$O$3:$W$3,0)+14,FALSE),0)*10</f>
        <v>0</v>
      </c>
      <c r="U103" s="220">
        <f>IFERROR(VLOOKUP($A103,'NG Pivot'!$A$4:$W$29,MATCH(U$2,'NG Pivot'!$O$3:$W$3,0)+14,FALSE),0)*10</f>
        <v>0</v>
      </c>
      <c r="V103" s="220">
        <f>IFERROR(VLOOKUP($A103,'NG Pivot'!$A$4:$W$29,MATCH(V$2,'NG Pivot'!$O$3:$W$3,0)+14,FALSE),0)*10</f>
        <v>0</v>
      </c>
      <c r="W103" s="220">
        <f>IFERROR(VLOOKUP($A103,'NG Pivot'!$A$4:$W$29,MATCH(W$2,'NG Pivot'!$O$3:$W$3,0)+14,FALSE),0)*10</f>
        <v>0</v>
      </c>
      <c r="X103" s="220">
        <f>IFERROR(VLOOKUP($A103,'NG Pivot'!$A$4:$W$29,MATCH(X$2,'NG Pivot'!$O$3:$W$3,0)+14,FALSE),0)*10</f>
        <v>0</v>
      </c>
      <c r="Y103" s="220">
        <f>IFERROR(VLOOKUP($A103,'NG Pivot'!$A$4:$W$29,MATCH(Y$2,'NG Pivot'!$O$3:$W$3,0)+14,FALSE),0)*10</f>
        <v>0</v>
      </c>
      <c r="Z103" s="220">
        <f>IFERROR(VLOOKUP($A103,'NG Pivot'!$A$4:$W$29,MATCH(Z$2,'NG Pivot'!$O$3:$W$3,0)+14,FALSE),0)*10</f>
        <v>0</v>
      </c>
      <c r="AA103" s="220">
        <f>IFERROR(VLOOKUP($A103,'NG Pivot'!$A$4:$W$29,MATCH(AA$2,'NG Pivot'!$O$3:$W$3,0)+14,FALSE),0)*10</f>
        <v>0</v>
      </c>
      <c r="AB103" s="220">
        <f>IFERROR(VLOOKUP($A103,'NG Pivot'!$A$4:$W$29,MATCH(AB$2,'NG Pivot'!$O$3:$W$3,0)+14,FALSE),0)*10</f>
        <v>0</v>
      </c>
      <c r="AC103" s="220">
        <f>IFERROR(VLOOKUP($A103,'NG Pivot'!$A$4:$W$29,MATCH(AC$2,'NG Pivot'!$O$3:$W$3,0)+14,FALSE),0)*10</f>
        <v>0</v>
      </c>
      <c r="AD103" s="220">
        <f>IFERROR(VLOOKUP($A103,'NG Pivot'!$A$4:$W$29,MATCH(AD$2,'NG Pivot'!$O$3:$W$3,0)+14,FALSE),0)*10</f>
        <v>0</v>
      </c>
    </row>
    <row r="104" spans="1:30">
      <c r="A104" s="223" t="s">
        <v>1299</v>
      </c>
      <c r="B104" s="220">
        <f>IFERROR(VLOOKUP($A104,'NG Pivot'!$A$4:$W$29,MATCH(B$2,'NG Pivot'!$O$3:$W$3,0)+14,FALSE),0)*10</f>
        <v>0</v>
      </c>
      <c r="C104" s="220">
        <f>IFERROR(VLOOKUP($A104,'NG Pivot'!$A$4:$W$29,MATCH(C$2,'NG Pivot'!$O$3:$W$3,0)+14,FALSE),0)*10</f>
        <v>0</v>
      </c>
      <c r="D104" s="220">
        <f>IFERROR(VLOOKUP($A104,'NG Pivot'!$A$4:$W$29,MATCH(D$2,'NG Pivot'!$O$3:$W$3,0)+14,FALSE),0)*10</f>
        <v>0</v>
      </c>
      <c r="E104" s="220">
        <f>IFERROR(VLOOKUP($A104,'NG Pivot'!$A$4:$W$29,MATCH(E$2,'NG Pivot'!$O$3:$W$3,0)+14,FALSE),0)*10</f>
        <v>0</v>
      </c>
      <c r="F104" s="220">
        <f>IFERROR(VLOOKUP($A104,'NG Pivot'!$A$4:$W$29,MATCH(F$2,'NG Pivot'!$O$3:$W$3,0)+14,FALSE),0)*10</f>
        <v>0</v>
      </c>
      <c r="G104" s="220">
        <f>IFERROR(VLOOKUP($A104,'NG Pivot'!$A$4:$W$29,MATCH(G$2,'NG Pivot'!$O$3:$W$3,0)+14,FALSE),0)*10</f>
        <v>0</v>
      </c>
      <c r="H104" s="220">
        <f>IFERROR(VLOOKUP($A104,'NG Pivot'!$A$4:$W$29,MATCH(H$2,'NG Pivot'!$O$3:$W$3,0)+14,FALSE),0)*10</f>
        <v>0</v>
      </c>
      <c r="I104" s="220">
        <f>IFERROR(VLOOKUP($A104,'NG Pivot'!$A$4:$W$29,MATCH(I$2,'NG Pivot'!$O$3:$W$3,0)+14,FALSE),0)*10</f>
        <v>0</v>
      </c>
      <c r="J104" s="220">
        <f>IFERROR(VLOOKUP($A104,'NG Pivot'!$A$4:$W$29,MATCH(J$2,'NG Pivot'!$O$3:$W$3,0)+14,FALSE),0)*10</f>
        <v>0</v>
      </c>
      <c r="K104" s="220">
        <f>IFERROR(VLOOKUP($A104,'NG Pivot'!$A$4:$W$29,MATCH(K$2,'NG Pivot'!$O$3:$W$3,0)+14,FALSE),0)*10</f>
        <v>0</v>
      </c>
      <c r="L104" s="220">
        <f>IFERROR(VLOOKUP($A104,'NG Pivot'!$A$4:$W$29,MATCH(L$2,'NG Pivot'!$O$3:$W$3,0)+14,FALSE),0)*10</f>
        <v>0</v>
      </c>
      <c r="M104" s="220">
        <f>IFERROR(VLOOKUP($A104,'NG Pivot'!$A$4:$W$29,MATCH(M$2,'NG Pivot'!$O$3:$W$3,0)+14,FALSE),0)*10</f>
        <v>0</v>
      </c>
      <c r="N104" s="220">
        <f>IFERROR(VLOOKUP($A104,'NG Pivot'!$A$4:$W$29,MATCH(N$2,'NG Pivot'!$O$3:$W$3,0)+14,FALSE),0)*10</f>
        <v>0</v>
      </c>
      <c r="O104" s="220">
        <f>IFERROR(VLOOKUP($A104,'NG Pivot'!$A$4:$W$29,MATCH(O$2,'NG Pivot'!$O$3:$W$3,0)+14,FALSE),0)*10</f>
        <v>0</v>
      </c>
      <c r="P104" s="220">
        <f>IFERROR(VLOOKUP($A104,'NG Pivot'!$A$4:$W$29,MATCH(P$2,'NG Pivot'!$O$3:$W$3,0)+14,FALSE),0)*10</f>
        <v>0</v>
      </c>
      <c r="Q104" s="220">
        <f>IFERROR(VLOOKUP($A104,'NG Pivot'!$A$4:$W$29,MATCH(Q$2,'NG Pivot'!$O$3:$W$3,0)+14,FALSE),0)*10</f>
        <v>0</v>
      </c>
      <c r="R104" s="220">
        <f>IFERROR(VLOOKUP($A104,'NG Pivot'!$A$4:$W$29,MATCH(R$2,'NG Pivot'!$O$3:$W$3,0)+14,FALSE),0)*10</f>
        <v>0</v>
      </c>
      <c r="S104" s="220">
        <f>IFERROR(VLOOKUP($A104,'NG Pivot'!$A$4:$W$29,MATCH(S$2,'NG Pivot'!$O$3:$W$3,0)+14,FALSE),0)*10</f>
        <v>0</v>
      </c>
      <c r="T104" s="220">
        <f>IFERROR(VLOOKUP($A104,'NG Pivot'!$A$4:$W$29,MATCH(T$2,'NG Pivot'!$O$3:$W$3,0)+14,FALSE),0)*10</f>
        <v>0</v>
      </c>
      <c r="U104" s="220">
        <f>IFERROR(VLOOKUP($A104,'NG Pivot'!$A$4:$W$29,MATCH(U$2,'NG Pivot'!$O$3:$W$3,0)+14,FALSE),0)*10</f>
        <v>0</v>
      </c>
      <c r="V104" s="220">
        <f>IFERROR(VLOOKUP($A104,'NG Pivot'!$A$4:$W$29,MATCH(V$2,'NG Pivot'!$O$3:$W$3,0)+14,FALSE),0)*10</f>
        <v>0</v>
      </c>
      <c r="W104" s="220">
        <f>IFERROR(VLOOKUP($A104,'NG Pivot'!$A$4:$W$29,MATCH(W$2,'NG Pivot'!$O$3:$W$3,0)+14,FALSE),0)*10</f>
        <v>0</v>
      </c>
      <c r="X104" s="220">
        <f>IFERROR(VLOOKUP($A104,'NG Pivot'!$A$4:$W$29,MATCH(X$2,'NG Pivot'!$O$3:$W$3,0)+14,FALSE),0)*10</f>
        <v>0</v>
      </c>
      <c r="Y104" s="220">
        <f>IFERROR(VLOOKUP($A104,'NG Pivot'!$A$4:$W$29,MATCH(Y$2,'NG Pivot'!$O$3:$W$3,0)+14,FALSE),0)*10</f>
        <v>0</v>
      </c>
      <c r="Z104" s="220">
        <f>IFERROR(VLOOKUP($A104,'NG Pivot'!$A$4:$W$29,MATCH(Z$2,'NG Pivot'!$O$3:$W$3,0)+14,FALSE),0)*10</f>
        <v>0</v>
      </c>
      <c r="AA104" s="220">
        <f>IFERROR(VLOOKUP($A104,'NG Pivot'!$A$4:$W$29,MATCH(AA$2,'NG Pivot'!$O$3:$W$3,0)+14,FALSE),0)*10</f>
        <v>0</v>
      </c>
      <c r="AB104" s="220">
        <f>IFERROR(VLOOKUP($A104,'NG Pivot'!$A$4:$W$29,MATCH(AB$2,'NG Pivot'!$O$3:$W$3,0)+14,FALSE),0)*10</f>
        <v>0</v>
      </c>
      <c r="AC104" s="220">
        <f>IFERROR(VLOOKUP($A104,'NG Pivot'!$A$4:$W$29,MATCH(AC$2,'NG Pivot'!$O$3:$W$3,0)+14,FALSE),0)*10</f>
        <v>0</v>
      </c>
      <c r="AD104" s="220">
        <f>IFERROR(VLOOKUP($A104,'NG Pivot'!$A$4:$W$29,MATCH(AD$2,'NG Pivot'!$O$3:$W$3,0)+14,FALSE),0)*10</f>
        <v>0</v>
      </c>
    </row>
    <row r="106" spans="1:30">
      <c r="A106" s="228" t="s">
        <v>1302</v>
      </c>
    </row>
    <row r="107" spans="1:30">
      <c r="A107" s="221" t="s">
        <v>1268</v>
      </c>
      <c r="B107" s="220">
        <v>1993</v>
      </c>
      <c r="C107" s="220">
        <v>1994</v>
      </c>
      <c r="D107" s="220">
        <v>1995</v>
      </c>
      <c r="E107" s="220">
        <v>1996</v>
      </c>
      <c r="F107" s="220">
        <v>1997</v>
      </c>
      <c r="G107" s="220">
        <v>1998</v>
      </c>
      <c r="H107" s="220">
        <v>1999</v>
      </c>
      <c r="I107" s="220">
        <v>2000</v>
      </c>
      <c r="J107" s="220">
        <v>2001</v>
      </c>
      <c r="K107" s="220">
        <v>2002</v>
      </c>
      <c r="L107" s="220">
        <v>2003</v>
      </c>
      <c r="M107" s="220">
        <v>2004</v>
      </c>
      <c r="N107" s="220">
        <v>2005</v>
      </c>
      <c r="O107" s="220">
        <v>2006</v>
      </c>
      <c r="P107" s="220">
        <v>2007</v>
      </c>
      <c r="Q107" s="220">
        <v>2008</v>
      </c>
      <c r="R107" s="220">
        <v>2009</v>
      </c>
      <c r="S107" s="220">
        <v>2010</v>
      </c>
      <c r="T107" s="220">
        <v>2011</v>
      </c>
      <c r="U107" s="220">
        <v>2012</v>
      </c>
      <c r="V107" s="220">
        <v>2013</v>
      </c>
      <c r="W107" s="220">
        <v>2014</v>
      </c>
      <c r="X107" s="220">
        <v>2015</v>
      </c>
      <c r="Y107" s="220">
        <v>2016</v>
      </c>
      <c r="Z107" s="220">
        <v>2017</v>
      </c>
      <c r="AA107" s="220">
        <v>2018</v>
      </c>
      <c r="AB107" s="220">
        <v>2019</v>
      </c>
      <c r="AC107" s="220">
        <v>2020</v>
      </c>
      <c r="AD107" s="220">
        <v>2021</v>
      </c>
    </row>
    <row r="108" spans="1:30">
      <c r="A108" s="228" t="s">
        <v>80</v>
      </c>
      <c r="B108" s="220">
        <f>SUM(B109:B139)</f>
        <v>0</v>
      </c>
      <c r="C108" s="220">
        <f t="shared" ref="C108" si="57">SUM(C109:C139)</f>
        <v>0</v>
      </c>
      <c r="D108" s="220">
        <f t="shared" ref="D108" si="58">SUM(D109:D139)</f>
        <v>0</v>
      </c>
      <c r="E108" s="220">
        <f t="shared" ref="E108" si="59">SUM(E109:E139)</f>
        <v>0</v>
      </c>
      <c r="F108" s="220">
        <f t="shared" ref="F108" si="60">SUM(F109:F139)</f>
        <v>0</v>
      </c>
      <c r="G108" s="220">
        <f t="shared" ref="G108" si="61">SUM(G109:G139)</f>
        <v>0</v>
      </c>
      <c r="H108" s="220">
        <f t="shared" ref="H108" si="62">SUM(H109:H139)</f>
        <v>0</v>
      </c>
      <c r="I108" s="220">
        <f t="shared" ref="I108" si="63">SUM(I109:I139)</f>
        <v>0</v>
      </c>
      <c r="J108" s="220">
        <f t="shared" ref="J108" si="64">SUM(J109:J139)</f>
        <v>0</v>
      </c>
      <c r="K108" s="220">
        <f t="shared" ref="K108" si="65">SUM(K109:K139)</f>
        <v>0</v>
      </c>
      <c r="L108" s="220">
        <f t="shared" ref="L108" si="66">SUM(L109:L139)</f>
        <v>0</v>
      </c>
      <c r="M108" s="220">
        <f t="shared" ref="M108" si="67">SUM(M109:M139)</f>
        <v>0</v>
      </c>
      <c r="N108" s="220">
        <f t="shared" ref="N108" si="68">SUM(N109:N139)</f>
        <v>0</v>
      </c>
      <c r="O108" s="220">
        <f t="shared" ref="O108" si="69">SUM(O109:O139)</f>
        <v>0</v>
      </c>
      <c r="P108" s="220">
        <f t="shared" ref="P108" si="70">SUM(P109:P139)</f>
        <v>0</v>
      </c>
      <c r="Q108" s="220">
        <f t="shared" ref="Q108" si="71">SUM(Q109:Q139)</f>
        <v>0</v>
      </c>
      <c r="R108" s="220">
        <f t="shared" ref="R108" si="72">SUM(R109:R139)</f>
        <v>5</v>
      </c>
      <c r="S108" s="220">
        <f t="shared" ref="S108" si="73">SUM(S109:S139)</f>
        <v>1.9</v>
      </c>
      <c r="T108" s="220">
        <f t="shared" ref="T108" si="74">SUM(T109:T139)</f>
        <v>3.1</v>
      </c>
      <c r="U108" s="220">
        <f t="shared" ref="U108" si="75">SUM(U109:U139)</f>
        <v>34.8</v>
      </c>
      <c r="V108" s="220">
        <f t="shared" ref="V108" si="76">SUM(V109:V139)</f>
        <v>10.8</v>
      </c>
      <c r="W108" s="220">
        <f t="shared" ref="W108" si="77">SUM(W109:W139)</f>
        <v>0</v>
      </c>
      <c r="X108" s="220">
        <f t="shared" ref="X108" si="78">SUM(X109:X139)</f>
        <v>0</v>
      </c>
      <c r="Y108" s="220">
        <f t="shared" ref="Y108" si="79">SUM(Y109:Y139)</f>
        <v>0</v>
      </c>
      <c r="Z108" s="220">
        <f t="shared" ref="Z108" si="80">SUM(Z109:Z139)</f>
        <v>0</v>
      </c>
      <c r="AA108" s="220">
        <f t="shared" ref="AA108" si="81">SUM(AA109:AA139)</f>
        <v>8.9</v>
      </c>
      <c r="AB108" s="220">
        <f t="shared" ref="AB108" si="82">SUM(AB109:AB139)</f>
        <v>14.2</v>
      </c>
      <c r="AC108" s="220">
        <f t="shared" ref="AC108" si="83">SUM(AC109:AC139)</f>
        <v>12</v>
      </c>
      <c r="AD108" s="220">
        <f t="shared" ref="AD108" si="84">SUM(AD109:AD139)</f>
        <v>133.9</v>
      </c>
    </row>
    <row r="109" spans="1:30">
      <c r="A109" s="223" t="s">
        <v>1269</v>
      </c>
      <c r="B109" s="220">
        <f>IFERROR(VLOOKUP($A109,'NG Pivot'!$A$4:$AN$29,MATCH(B$2,'NG Pivot'!$AF$3:$AN$3,0)+31,FALSE),0)*10</f>
        <v>0</v>
      </c>
      <c r="C109" s="220">
        <f>IFERROR(VLOOKUP($A109,'NG Pivot'!$A$4:$AN$29,MATCH(C$2,'NG Pivot'!$AF$3:$AN$3,0)+31,FALSE),0)*10</f>
        <v>0</v>
      </c>
      <c r="D109" s="220">
        <f>IFERROR(VLOOKUP($A109,'NG Pivot'!$A$4:$AN$29,MATCH(D$2,'NG Pivot'!$AF$3:$AN$3,0)+31,FALSE),0)*10</f>
        <v>0</v>
      </c>
      <c r="E109" s="220">
        <f>IFERROR(VLOOKUP($A109,'NG Pivot'!$A$4:$AN$29,MATCH(E$2,'NG Pivot'!$AF$3:$AN$3,0)+31,FALSE),0)*10</f>
        <v>0</v>
      </c>
      <c r="F109" s="220">
        <f>IFERROR(VLOOKUP($A109,'NG Pivot'!$A$4:$AN$29,MATCH(F$2,'NG Pivot'!$AF$3:$AN$3,0)+31,FALSE),0)*10</f>
        <v>0</v>
      </c>
      <c r="G109" s="220">
        <f>IFERROR(VLOOKUP($A109,'NG Pivot'!$A$4:$AN$29,MATCH(G$2,'NG Pivot'!$AF$3:$AN$3,0)+31,FALSE),0)*10</f>
        <v>0</v>
      </c>
      <c r="H109" s="220">
        <f>IFERROR(VLOOKUP($A109,'NG Pivot'!$A$4:$AN$29,MATCH(H$2,'NG Pivot'!$AF$3:$AN$3,0)+31,FALSE),0)*10</f>
        <v>0</v>
      </c>
      <c r="I109" s="220">
        <f>IFERROR(VLOOKUP($A109,'NG Pivot'!$A$4:$AN$29,MATCH(I$2,'NG Pivot'!$AF$3:$AN$3,0)+31,FALSE),0)*10</f>
        <v>0</v>
      </c>
      <c r="J109" s="220">
        <f>IFERROR(VLOOKUP($A109,'NG Pivot'!$A$4:$AN$29,MATCH(J$2,'NG Pivot'!$AF$3:$AN$3,0)+31,FALSE),0)*10</f>
        <v>0</v>
      </c>
      <c r="K109" s="220">
        <f>IFERROR(VLOOKUP($A109,'NG Pivot'!$A$4:$AN$29,MATCH(K$2,'NG Pivot'!$AF$3:$AN$3,0)+31,FALSE),0)*10</f>
        <v>0</v>
      </c>
      <c r="L109" s="220">
        <f>IFERROR(VLOOKUP($A109,'NG Pivot'!$A$4:$AN$29,MATCH(L$2,'NG Pivot'!$AF$3:$AN$3,0)+31,FALSE),0)*10</f>
        <v>0</v>
      </c>
      <c r="M109" s="220">
        <f>IFERROR(VLOOKUP($A109,'NG Pivot'!$A$4:$AN$29,MATCH(M$2,'NG Pivot'!$AF$3:$AN$3,0)+31,FALSE),0)*10</f>
        <v>0</v>
      </c>
      <c r="N109" s="220">
        <f>IFERROR(VLOOKUP($A109,'NG Pivot'!$A$4:$AN$29,MATCH(N$2,'NG Pivot'!$AF$3:$AN$3,0)+31,FALSE),0)*10</f>
        <v>0</v>
      </c>
      <c r="O109" s="220">
        <f>IFERROR(VLOOKUP($A109,'NG Pivot'!$A$4:$AN$29,MATCH(O$2,'NG Pivot'!$AF$3:$AN$3,0)+31,FALSE),0)*10</f>
        <v>0</v>
      </c>
      <c r="P109" s="220">
        <f>IFERROR(VLOOKUP($A109,'NG Pivot'!$A$4:$AN$29,MATCH(P$2,'NG Pivot'!$AF$3:$AN$3,0)+31,FALSE),0)*10</f>
        <v>0</v>
      </c>
      <c r="Q109" s="220">
        <f>IFERROR(VLOOKUP($A109,'NG Pivot'!$A$4:$AN$29,MATCH(Q$2,'NG Pivot'!$AF$3:$AN$3,0)+31,FALSE),0)*10</f>
        <v>0</v>
      </c>
      <c r="R109" s="220">
        <f>IFERROR(VLOOKUP($A109,'NG Pivot'!$A$4:$AN$29,MATCH(R$2,'NG Pivot'!$AF$3:$AN$3,0)+31,FALSE),0)*10</f>
        <v>0</v>
      </c>
      <c r="S109" s="220">
        <f>IFERROR(VLOOKUP($A109,'NG Pivot'!$A$4:$AN$29,MATCH(S$2,'NG Pivot'!$AF$3:$AN$3,0)+31,FALSE),0)*10</f>
        <v>0</v>
      </c>
      <c r="T109" s="220">
        <f>IFERROR(VLOOKUP($A109,'NG Pivot'!$A$4:$AN$29,MATCH(T$2,'NG Pivot'!$AF$3:$AN$3,0)+31,FALSE),0)*10</f>
        <v>0</v>
      </c>
      <c r="U109" s="220">
        <f>IFERROR(VLOOKUP($A109,'NG Pivot'!$A$4:$AN$29,MATCH(U$2,'NG Pivot'!$AF$3:$AN$3,0)+31,FALSE),0)*10</f>
        <v>0</v>
      </c>
      <c r="V109" s="220">
        <f>IFERROR(VLOOKUP($A109,'NG Pivot'!$A$4:$AN$29,MATCH(V$2,'NG Pivot'!$AF$3:$AN$3,0)+31,FALSE),0)*10</f>
        <v>0</v>
      </c>
      <c r="W109" s="220">
        <f>IFERROR(VLOOKUP($A109,'NG Pivot'!$A$4:$AN$29,MATCH(W$2,'NG Pivot'!$AF$3:$AN$3,0)+31,FALSE),0)*10</f>
        <v>0</v>
      </c>
      <c r="X109" s="220">
        <f>IFERROR(VLOOKUP($A109,'NG Pivot'!$A$4:$AN$29,MATCH(X$2,'NG Pivot'!$AF$3:$AN$3,0)+31,FALSE),0)*10</f>
        <v>0</v>
      </c>
      <c r="Y109" s="220">
        <f>IFERROR(VLOOKUP($A109,'NG Pivot'!$A$4:$AN$29,MATCH(Y$2,'NG Pivot'!$AF$3:$AN$3,0)+31,FALSE),0)*10</f>
        <v>0</v>
      </c>
      <c r="Z109" s="220">
        <f>IFERROR(VLOOKUP($A109,'NG Pivot'!$A$4:$AN$29,MATCH(Z$2,'NG Pivot'!$AF$3:$AN$3,0)+31,FALSE),0)*10</f>
        <v>0</v>
      </c>
      <c r="AA109" s="220">
        <f>IFERROR(VLOOKUP($A109,'NG Pivot'!$A$4:$AN$29,MATCH(AA$2,'NG Pivot'!$AF$3:$AN$3,0)+31,FALSE),0)*10</f>
        <v>0</v>
      </c>
      <c r="AB109" s="220">
        <f>IFERROR(VLOOKUP($A109,'NG Pivot'!$A$4:$AN$29,MATCH(AB$2,'NG Pivot'!$AF$3:$AN$3,0)+31,FALSE),0)*10</f>
        <v>0</v>
      </c>
      <c r="AC109" s="220">
        <f>IFERROR(VLOOKUP($A109,'NG Pivot'!$A$4:$AN$29,MATCH(AC$2,'NG Pivot'!$AF$3:$AN$3,0)+31,FALSE),0)*10</f>
        <v>0</v>
      </c>
      <c r="AD109" s="220">
        <f>IFERROR(VLOOKUP($A109,'NG Pivot'!$A$4:$AN$29,MATCH(AD$2,'NG Pivot'!$AF$3:$AN$3,0)+31,FALSE),0)*10</f>
        <v>6.2</v>
      </c>
    </row>
    <row r="110" spans="1:30">
      <c r="A110" s="223" t="s">
        <v>1270</v>
      </c>
      <c r="B110" s="220">
        <f>IFERROR(VLOOKUP($A110,'NG Pivot'!$A$4:$AN$29,MATCH(B$2,'NG Pivot'!$AF$3:$AN$3,0)+31,FALSE),0)*10</f>
        <v>0</v>
      </c>
      <c r="C110" s="220">
        <f>IFERROR(VLOOKUP($A110,'NG Pivot'!$A$4:$AN$29,MATCH(C$2,'NG Pivot'!$AF$3:$AN$3,0)+31,FALSE),0)*10</f>
        <v>0</v>
      </c>
      <c r="D110" s="220">
        <f>IFERROR(VLOOKUP($A110,'NG Pivot'!$A$4:$AN$29,MATCH(D$2,'NG Pivot'!$AF$3:$AN$3,0)+31,FALSE),0)*10</f>
        <v>0</v>
      </c>
      <c r="E110" s="220">
        <f>IFERROR(VLOOKUP($A110,'NG Pivot'!$A$4:$AN$29,MATCH(E$2,'NG Pivot'!$AF$3:$AN$3,0)+31,FALSE),0)*10</f>
        <v>0</v>
      </c>
      <c r="F110" s="220">
        <f>IFERROR(VLOOKUP($A110,'NG Pivot'!$A$4:$AN$29,MATCH(F$2,'NG Pivot'!$AF$3:$AN$3,0)+31,FALSE),0)*10</f>
        <v>0</v>
      </c>
      <c r="G110" s="220">
        <f>IFERROR(VLOOKUP($A110,'NG Pivot'!$A$4:$AN$29,MATCH(G$2,'NG Pivot'!$AF$3:$AN$3,0)+31,FALSE),0)*10</f>
        <v>0</v>
      </c>
      <c r="H110" s="220">
        <f>IFERROR(VLOOKUP($A110,'NG Pivot'!$A$4:$AN$29,MATCH(H$2,'NG Pivot'!$AF$3:$AN$3,0)+31,FALSE),0)*10</f>
        <v>0</v>
      </c>
      <c r="I110" s="220">
        <f>IFERROR(VLOOKUP($A110,'NG Pivot'!$A$4:$AN$29,MATCH(I$2,'NG Pivot'!$AF$3:$AN$3,0)+31,FALSE),0)*10</f>
        <v>0</v>
      </c>
      <c r="J110" s="220">
        <f>IFERROR(VLOOKUP($A110,'NG Pivot'!$A$4:$AN$29,MATCH(J$2,'NG Pivot'!$AF$3:$AN$3,0)+31,FALSE),0)*10</f>
        <v>0</v>
      </c>
      <c r="K110" s="220">
        <f>IFERROR(VLOOKUP($A110,'NG Pivot'!$A$4:$AN$29,MATCH(K$2,'NG Pivot'!$AF$3:$AN$3,0)+31,FALSE),0)*10</f>
        <v>0</v>
      </c>
      <c r="L110" s="220">
        <f>IFERROR(VLOOKUP($A110,'NG Pivot'!$A$4:$AN$29,MATCH(L$2,'NG Pivot'!$AF$3:$AN$3,0)+31,FALSE),0)*10</f>
        <v>0</v>
      </c>
      <c r="M110" s="220">
        <f>IFERROR(VLOOKUP($A110,'NG Pivot'!$A$4:$AN$29,MATCH(M$2,'NG Pivot'!$AF$3:$AN$3,0)+31,FALSE),0)*10</f>
        <v>0</v>
      </c>
      <c r="N110" s="220">
        <f>IFERROR(VLOOKUP($A110,'NG Pivot'!$A$4:$AN$29,MATCH(N$2,'NG Pivot'!$AF$3:$AN$3,0)+31,FALSE),0)*10</f>
        <v>0</v>
      </c>
      <c r="O110" s="220">
        <f>IFERROR(VLOOKUP($A110,'NG Pivot'!$A$4:$AN$29,MATCH(O$2,'NG Pivot'!$AF$3:$AN$3,0)+31,FALSE),0)*10</f>
        <v>0</v>
      </c>
      <c r="P110" s="220">
        <f>IFERROR(VLOOKUP($A110,'NG Pivot'!$A$4:$AN$29,MATCH(P$2,'NG Pivot'!$AF$3:$AN$3,0)+31,FALSE),0)*10</f>
        <v>0</v>
      </c>
      <c r="Q110" s="220">
        <f>IFERROR(VLOOKUP($A110,'NG Pivot'!$A$4:$AN$29,MATCH(Q$2,'NG Pivot'!$AF$3:$AN$3,0)+31,FALSE),0)*10</f>
        <v>0</v>
      </c>
      <c r="R110" s="220">
        <f>IFERROR(VLOOKUP($A110,'NG Pivot'!$A$4:$AN$29,MATCH(R$2,'NG Pivot'!$AF$3:$AN$3,0)+31,FALSE),0)*10</f>
        <v>0</v>
      </c>
      <c r="S110" s="220">
        <f>IFERROR(VLOOKUP($A110,'NG Pivot'!$A$4:$AN$29,MATCH(S$2,'NG Pivot'!$AF$3:$AN$3,0)+31,FALSE),0)*10</f>
        <v>0</v>
      </c>
      <c r="T110" s="220">
        <f>IFERROR(VLOOKUP($A110,'NG Pivot'!$A$4:$AN$29,MATCH(T$2,'NG Pivot'!$AF$3:$AN$3,0)+31,FALSE),0)*10</f>
        <v>0</v>
      </c>
      <c r="U110" s="220">
        <f>IFERROR(VLOOKUP($A110,'NG Pivot'!$A$4:$AN$29,MATCH(U$2,'NG Pivot'!$AF$3:$AN$3,0)+31,FALSE),0)*10</f>
        <v>0</v>
      </c>
      <c r="V110" s="220">
        <f>IFERROR(VLOOKUP($A110,'NG Pivot'!$A$4:$AN$29,MATCH(V$2,'NG Pivot'!$AF$3:$AN$3,0)+31,FALSE),0)*10</f>
        <v>0</v>
      </c>
      <c r="W110" s="220">
        <f>IFERROR(VLOOKUP($A110,'NG Pivot'!$A$4:$AN$29,MATCH(W$2,'NG Pivot'!$AF$3:$AN$3,0)+31,FALSE),0)*10</f>
        <v>0</v>
      </c>
      <c r="X110" s="220">
        <f>IFERROR(VLOOKUP($A110,'NG Pivot'!$A$4:$AN$29,MATCH(X$2,'NG Pivot'!$AF$3:$AN$3,0)+31,FALSE),0)*10</f>
        <v>0</v>
      </c>
      <c r="Y110" s="220">
        <f>IFERROR(VLOOKUP($A110,'NG Pivot'!$A$4:$AN$29,MATCH(Y$2,'NG Pivot'!$AF$3:$AN$3,0)+31,FALSE),0)*10</f>
        <v>0</v>
      </c>
      <c r="Z110" s="220">
        <f>IFERROR(VLOOKUP($A110,'NG Pivot'!$A$4:$AN$29,MATCH(Z$2,'NG Pivot'!$AF$3:$AN$3,0)+31,FALSE),0)*10</f>
        <v>0</v>
      </c>
      <c r="AA110" s="220">
        <f>IFERROR(VLOOKUP($A110,'NG Pivot'!$A$4:$AN$29,MATCH(AA$2,'NG Pivot'!$AF$3:$AN$3,0)+31,FALSE),0)*10</f>
        <v>0</v>
      </c>
      <c r="AB110" s="220">
        <f>IFERROR(VLOOKUP($A110,'NG Pivot'!$A$4:$AN$29,MATCH(AB$2,'NG Pivot'!$AF$3:$AN$3,0)+31,FALSE),0)*10</f>
        <v>0</v>
      </c>
      <c r="AC110" s="220">
        <f>IFERROR(VLOOKUP($A110,'NG Pivot'!$A$4:$AN$29,MATCH(AC$2,'NG Pivot'!$AF$3:$AN$3,0)+31,FALSE),0)*10</f>
        <v>0</v>
      </c>
      <c r="AD110" s="220">
        <f>IFERROR(VLOOKUP($A110,'NG Pivot'!$A$4:$AN$29,MATCH(AD$2,'NG Pivot'!$AF$3:$AN$3,0)+31,FALSE),0)*10</f>
        <v>0</v>
      </c>
    </row>
    <row r="111" spans="1:30">
      <c r="A111" s="223" t="s">
        <v>1271</v>
      </c>
      <c r="B111" s="220">
        <f>IFERROR(VLOOKUP($A111,'NG Pivot'!$A$4:$AN$29,MATCH(B$2,'NG Pivot'!$AF$3:$AN$3,0)+31,FALSE),0)*10</f>
        <v>0</v>
      </c>
      <c r="C111" s="220">
        <f>IFERROR(VLOOKUP($A111,'NG Pivot'!$A$4:$AN$29,MATCH(C$2,'NG Pivot'!$AF$3:$AN$3,0)+31,FALSE),0)*10</f>
        <v>0</v>
      </c>
      <c r="D111" s="220">
        <f>IFERROR(VLOOKUP($A111,'NG Pivot'!$A$4:$AN$29,MATCH(D$2,'NG Pivot'!$AF$3:$AN$3,0)+31,FALSE),0)*10</f>
        <v>0</v>
      </c>
      <c r="E111" s="220">
        <f>IFERROR(VLOOKUP($A111,'NG Pivot'!$A$4:$AN$29,MATCH(E$2,'NG Pivot'!$AF$3:$AN$3,0)+31,FALSE),0)*10</f>
        <v>0</v>
      </c>
      <c r="F111" s="220">
        <f>IFERROR(VLOOKUP($A111,'NG Pivot'!$A$4:$AN$29,MATCH(F$2,'NG Pivot'!$AF$3:$AN$3,0)+31,FALSE),0)*10</f>
        <v>0</v>
      </c>
      <c r="G111" s="220">
        <f>IFERROR(VLOOKUP($A111,'NG Pivot'!$A$4:$AN$29,MATCH(G$2,'NG Pivot'!$AF$3:$AN$3,0)+31,FALSE),0)*10</f>
        <v>0</v>
      </c>
      <c r="H111" s="220">
        <f>IFERROR(VLOOKUP($A111,'NG Pivot'!$A$4:$AN$29,MATCH(H$2,'NG Pivot'!$AF$3:$AN$3,0)+31,FALSE),0)*10</f>
        <v>0</v>
      </c>
      <c r="I111" s="220">
        <f>IFERROR(VLOOKUP($A111,'NG Pivot'!$A$4:$AN$29,MATCH(I$2,'NG Pivot'!$AF$3:$AN$3,0)+31,FALSE),0)*10</f>
        <v>0</v>
      </c>
      <c r="J111" s="220">
        <f>IFERROR(VLOOKUP($A111,'NG Pivot'!$A$4:$AN$29,MATCH(J$2,'NG Pivot'!$AF$3:$AN$3,0)+31,FALSE),0)*10</f>
        <v>0</v>
      </c>
      <c r="K111" s="220">
        <f>IFERROR(VLOOKUP($A111,'NG Pivot'!$A$4:$AN$29,MATCH(K$2,'NG Pivot'!$AF$3:$AN$3,0)+31,FALSE),0)*10</f>
        <v>0</v>
      </c>
      <c r="L111" s="220">
        <f>IFERROR(VLOOKUP($A111,'NG Pivot'!$A$4:$AN$29,MATCH(L$2,'NG Pivot'!$AF$3:$AN$3,0)+31,FALSE),0)*10</f>
        <v>0</v>
      </c>
      <c r="M111" s="220">
        <f>IFERROR(VLOOKUP($A111,'NG Pivot'!$A$4:$AN$29,MATCH(M$2,'NG Pivot'!$AF$3:$AN$3,0)+31,FALSE),0)*10</f>
        <v>0</v>
      </c>
      <c r="N111" s="220">
        <f>IFERROR(VLOOKUP($A111,'NG Pivot'!$A$4:$AN$29,MATCH(N$2,'NG Pivot'!$AF$3:$AN$3,0)+31,FALSE),0)*10</f>
        <v>0</v>
      </c>
      <c r="O111" s="220">
        <f>IFERROR(VLOOKUP($A111,'NG Pivot'!$A$4:$AN$29,MATCH(O$2,'NG Pivot'!$AF$3:$AN$3,0)+31,FALSE),0)*10</f>
        <v>0</v>
      </c>
      <c r="P111" s="220">
        <f>IFERROR(VLOOKUP($A111,'NG Pivot'!$A$4:$AN$29,MATCH(P$2,'NG Pivot'!$AF$3:$AN$3,0)+31,FALSE),0)*10</f>
        <v>0</v>
      </c>
      <c r="Q111" s="220">
        <f>IFERROR(VLOOKUP($A111,'NG Pivot'!$A$4:$AN$29,MATCH(Q$2,'NG Pivot'!$AF$3:$AN$3,0)+31,FALSE),0)*10</f>
        <v>0</v>
      </c>
      <c r="R111" s="220">
        <f>IFERROR(VLOOKUP($A111,'NG Pivot'!$A$4:$AN$29,MATCH(R$2,'NG Pivot'!$AF$3:$AN$3,0)+31,FALSE),0)*10</f>
        <v>0</v>
      </c>
      <c r="S111" s="220">
        <f>IFERROR(VLOOKUP($A111,'NG Pivot'!$A$4:$AN$29,MATCH(S$2,'NG Pivot'!$AF$3:$AN$3,0)+31,FALSE),0)*10</f>
        <v>0</v>
      </c>
      <c r="T111" s="220">
        <f>IFERROR(VLOOKUP($A111,'NG Pivot'!$A$4:$AN$29,MATCH(T$2,'NG Pivot'!$AF$3:$AN$3,0)+31,FALSE),0)*10</f>
        <v>0</v>
      </c>
      <c r="U111" s="220">
        <f>IFERROR(VLOOKUP($A111,'NG Pivot'!$A$4:$AN$29,MATCH(U$2,'NG Pivot'!$AF$3:$AN$3,0)+31,FALSE),0)*10</f>
        <v>0</v>
      </c>
      <c r="V111" s="220">
        <f>IFERROR(VLOOKUP($A111,'NG Pivot'!$A$4:$AN$29,MATCH(V$2,'NG Pivot'!$AF$3:$AN$3,0)+31,FALSE),0)*10</f>
        <v>0</v>
      </c>
      <c r="W111" s="220">
        <f>IFERROR(VLOOKUP($A111,'NG Pivot'!$A$4:$AN$29,MATCH(W$2,'NG Pivot'!$AF$3:$AN$3,0)+31,FALSE),0)*10</f>
        <v>0</v>
      </c>
      <c r="X111" s="220">
        <f>IFERROR(VLOOKUP($A111,'NG Pivot'!$A$4:$AN$29,MATCH(X$2,'NG Pivot'!$AF$3:$AN$3,0)+31,FALSE),0)*10</f>
        <v>0</v>
      </c>
      <c r="Y111" s="220">
        <f>IFERROR(VLOOKUP($A111,'NG Pivot'!$A$4:$AN$29,MATCH(Y$2,'NG Pivot'!$AF$3:$AN$3,0)+31,FALSE),0)*10</f>
        <v>0</v>
      </c>
      <c r="Z111" s="220">
        <f>IFERROR(VLOOKUP($A111,'NG Pivot'!$A$4:$AN$29,MATCH(Z$2,'NG Pivot'!$AF$3:$AN$3,0)+31,FALSE),0)*10</f>
        <v>0</v>
      </c>
      <c r="AA111" s="220">
        <f>IFERROR(VLOOKUP($A111,'NG Pivot'!$A$4:$AN$29,MATCH(AA$2,'NG Pivot'!$AF$3:$AN$3,0)+31,FALSE),0)*10</f>
        <v>0</v>
      </c>
      <c r="AB111" s="220">
        <f>IFERROR(VLOOKUP($A111,'NG Pivot'!$A$4:$AN$29,MATCH(AB$2,'NG Pivot'!$AF$3:$AN$3,0)+31,FALSE),0)*10</f>
        <v>0</v>
      </c>
      <c r="AC111" s="220">
        <f>IFERROR(VLOOKUP($A111,'NG Pivot'!$A$4:$AN$29,MATCH(AC$2,'NG Pivot'!$AF$3:$AN$3,0)+31,FALSE),0)*10</f>
        <v>0</v>
      </c>
      <c r="AD111" s="220">
        <f>IFERROR(VLOOKUP($A111,'NG Pivot'!$A$4:$AN$29,MATCH(AD$2,'NG Pivot'!$AF$3:$AN$3,0)+31,FALSE),0)*10</f>
        <v>1.2</v>
      </c>
    </row>
    <row r="112" spans="1:30">
      <c r="A112" s="223" t="s">
        <v>1272</v>
      </c>
      <c r="B112" s="220">
        <f>IFERROR(VLOOKUP($A112,'NG Pivot'!$A$4:$AN$29,MATCH(B$2,'NG Pivot'!$AF$3:$AN$3,0)+31,FALSE),0)*10</f>
        <v>0</v>
      </c>
      <c r="C112" s="220">
        <f>IFERROR(VLOOKUP($A112,'NG Pivot'!$A$4:$AN$29,MATCH(C$2,'NG Pivot'!$AF$3:$AN$3,0)+31,FALSE),0)*10</f>
        <v>0</v>
      </c>
      <c r="D112" s="220">
        <f>IFERROR(VLOOKUP($A112,'NG Pivot'!$A$4:$AN$29,MATCH(D$2,'NG Pivot'!$AF$3:$AN$3,0)+31,FALSE),0)*10</f>
        <v>0</v>
      </c>
      <c r="E112" s="220">
        <f>IFERROR(VLOOKUP($A112,'NG Pivot'!$A$4:$AN$29,MATCH(E$2,'NG Pivot'!$AF$3:$AN$3,0)+31,FALSE),0)*10</f>
        <v>0</v>
      </c>
      <c r="F112" s="220">
        <f>IFERROR(VLOOKUP($A112,'NG Pivot'!$A$4:$AN$29,MATCH(F$2,'NG Pivot'!$AF$3:$AN$3,0)+31,FALSE),0)*10</f>
        <v>0</v>
      </c>
      <c r="G112" s="220">
        <f>IFERROR(VLOOKUP($A112,'NG Pivot'!$A$4:$AN$29,MATCH(G$2,'NG Pivot'!$AF$3:$AN$3,0)+31,FALSE),0)*10</f>
        <v>0</v>
      </c>
      <c r="H112" s="220">
        <f>IFERROR(VLOOKUP($A112,'NG Pivot'!$A$4:$AN$29,MATCH(H$2,'NG Pivot'!$AF$3:$AN$3,0)+31,FALSE),0)*10</f>
        <v>0</v>
      </c>
      <c r="I112" s="220">
        <f>IFERROR(VLOOKUP($A112,'NG Pivot'!$A$4:$AN$29,MATCH(I$2,'NG Pivot'!$AF$3:$AN$3,0)+31,FALSE),0)*10</f>
        <v>0</v>
      </c>
      <c r="J112" s="220">
        <f>IFERROR(VLOOKUP($A112,'NG Pivot'!$A$4:$AN$29,MATCH(J$2,'NG Pivot'!$AF$3:$AN$3,0)+31,FALSE),0)*10</f>
        <v>0</v>
      </c>
      <c r="K112" s="220">
        <f>IFERROR(VLOOKUP($A112,'NG Pivot'!$A$4:$AN$29,MATCH(K$2,'NG Pivot'!$AF$3:$AN$3,0)+31,FALSE),0)*10</f>
        <v>0</v>
      </c>
      <c r="L112" s="220">
        <f>IFERROR(VLOOKUP($A112,'NG Pivot'!$A$4:$AN$29,MATCH(L$2,'NG Pivot'!$AF$3:$AN$3,0)+31,FALSE),0)*10</f>
        <v>0</v>
      </c>
      <c r="M112" s="220">
        <f>IFERROR(VLOOKUP($A112,'NG Pivot'!$A$4:$AN$29,MATCH(M$2,'NG Pivot'!$AF$3:$AN$3,0)+31,FALSE),0)*10</f>
        <v>0</v>
      </c>
      <c r="N112" s="220">
        <f>IFERROR(VLOOKUP($A112,'NG Pivot'!$A$4:$AN$29,MATCH(N$2,'NG Pivot'!$AF$3:$AN$3,0)+31,FALSE),0)*10</f>
        <v>0</v>
      </c>
      <c r="O112" s="220">
        <f>IFERROR(VLOOKUP($A112,'NG Pivot'!$A$4:$AN$29,MATCH(O$2,'NG Pivot'!$AF$3:$AN$3,0)+31,FALSE),0)*10</f>
        <v>0</v>
      </c>
      <c r="P112" s="220">
        <f>IFERROR(VLOOKUP($A112,'NG Pivot'!$A$4:$AN$29,MATCH(P$2,'NG Pivot'!$AF$3:$AN$3,0)+31,FALSE),0)*10</f>
        <v>0</v>
      </c>
      <c r="Q112" s="220">
        <f>IFERROR(VLOOKUP($A112,'NG Pivot'!$A$4:$AN$29,MATCH(Q$2,'NG Pivot'!$AF$3:$AN$3,0)+31,FALSE),0)*10</f>
        <v>0</v>
      </c>
      <c r="R112" s="220">
        <f>IFERROR(VLOOKUP($A112,'NG Pivot'!$A$4:$AN$29,MATCH(R$2,'NG Pivot'!$AF$3:$AN$3,0)+31,FALSE),0)*10</f>
        <v>0</v>
      </c>
      <c r="S112" s="220">
        <f>IFERROR(VLOOKUP($A112,'NG Pivot'!$A$4:$AN$29,MATCH(S$2,'NG Pivot'!$AF$3:$AN$3,0)+31,FALSE),0)*10</f>
        <v>0</v>
      </c>
      <c r="T112" s="220">
        <f>IFERROR(VLOOKUP($A112,'NG Pivot'!$A$4:$AN$29,MATCH(T$2,'NG Pivot'!$AF$3:$AN$3,0)+31,FALSE),0)*10</f>
        <v>0</v>
      </c>
      <c r="U112" s="220">
        <f>IFERROR(VLOOKUP($A112,'NG Pivot'!$A$4:$AN$29,MATCH(U$2,'NG Pivot'!$AF$3:$AN$3,0)+31,FALSE),0)*10</f>
        <v>0</v>
      </c>
      <c r="V112" s="220">
        <f>IFERROR(VLOOKUP($A112,'NG Pivot'!$A$4:$AN$29,MATCH(V$2,'NG Pivot'!$AF$3:$AN$3,0)+31,FALSE),0)*10</f>
        <v>0</v>
      </c>
      <c r="W112" s="220">
        <f>IFERROR(VLOOKUP($A112,'NG Pivot'!$A$4:$AN$29,MATCH(W$2,'NG Pivot'!$AF$3:$AN$3,0)+31,FALSE),0)*10</f>
        <v>0</v>
      </c>
      <c r="X112" s="220">
        <f>IFERROR(VLOOKUP($A112,'NG Pivot'!$A$4:$AN$29,MATCH(X$2,'NG Pivot'!$AF$3:$AN$3,0)+31,FALSE),0)*10</f>
        <v>0</v>
      </c>
      <c r="Y112" s="220">
        <f>IFERROR(VLOOKUP($A112,'NG Pivot'!$A$4:$AN$29,MATCH(Y$2,'NG Pivot'!$AF$3:$AN$3,0)+31,FALSE),0)*10</f>
        <v>0</v>
      </c>
      <c r="Z112" s="220">
        <f>IFERROR(VLOOKUP($A112,'NG Pivot'!$A$4:$AN$29,MATCH(Z$2,'NG Pivot'!$AF$3:$AN$3,0)+31,FALSE),0)*10</f>
        <v>0</v>
      </c>
      <c r="AA112" s="220">
        <f>IFERROR(VLOOKUP($A112,'NG Pivot'!$A$4:$AN$29,MATCH(AA$2,'NG Pivot'!$AF$3:$AN$3,0)+31,FALSE),0)*10</f>
        <v>0</v>
      </c>
      <c r="AB112" s="220">
        <f>IFERROR(VLOOKUP($A112,'NG Pivot'!$A$4:$AN$29,MATCH(AB$2,'NG Pivot'!$AF$3:$AN$3,0)+31,FALSE),0)*10</f>
        <v>0</v>
      </c>
      <c r="AC112" s="220">
        <f>IFERROR(VLOOKUP($A112,'NG Pivot'!$A$4:$AN$29,MATCH(AC$2,'NG Pivot'!$AF$3:$AN$3,0)+31,FALSE),0)*10</f>
        <v>0</v>
      </c>
      <c r="AD112" s="220">
        <f>IFERROR(VLOOKUP($A112,'NG Pivot'!$A$4:$AN$29,MATCH(AD$2,'NG Pivot'!$AF$3:$AN$3,0)+31,FALSE),0)*10</f>
        <v>0</v>
      </c>
    </row>
    <row r="113" spans="1:30">
      <c r="A113" s="223" t="s">
        <v>1273</v>
      </c>
      <c r="B113" s="220">
        <f>IFERROR(VLOOKUP($A113,'NG Pivot'!$A$4:$AN$29,MATCH(B$2,'NG Pivot'!$AF$3:$AN$3,0)+31,FALSE),0)*10</f>
        <v>0</v>
      </c>
      <c r="C113" s="220">
        <f>IFERROR(VLOOKUP($A113,'NG Pivot'!$A$4:$AN$29,MATCH(C$2,'NG Pivot'!$AF$3:$AN$3,0)+31,FALSE),0)*10</f>
        <v>0</v>
      </c>
      <c r="D113" s="220">
        <f>IFERROR(VLOOKUP($A113,'NG Pivot'!$A$4:$AN$29,MATCH(D$2,'NG Pivot'!$AF$3:$AN$3,0)+31,FALSE),0)*10</f>
        <v>0</v>
      </c>
      <c r="E113" s="220">
        <f>IFERROR(VLOOKUP($A113,'NG Pivot'!$A$4:$AN$29,MATCH(E$2,'NG Pivot'!$AF$3:$AN$3,0)+31,FALSE),0)*10</f>
        <v>0</v>
      </c>
      <c r="F113" s="220">
        <f>IFERROR(VLOOKUP($A113,'NG Pivot'!$A$4:$AN$29,MATCH(F$2,'NG Pivot'!$AF$3:$AN$3,0)+31,FALSE),0)*10</f>
        <v>0</v>
      </c>
      <c r="G113" s="220">
        <f>IFERROR(VLOOKUP($A113,'NG Pivot'!$A$4:$AN$29,MATCH(G$2,'NG Pivot'!$AF$3:$AN$3,0)+31,FALSE),0)*10</f>
        <v>0</v>
      </c>
      <c r="H113" s="220">
        <f>IFERROR(VLOOKUP($A113,'NG Pivot'!$A$4:$AN$29,MATCH(H$2,'NG Pivot'!$AF$3:$AN$3,0)+31,FALSE),0)*10</f>
        <v>0</v>
      </c>
      <c r="I113" s="220">
        <f>IFERROR(VLOOKUP($A113,'NG Pivot'!$A$4:$AN$29,MATCH(I$2,'NG Pivot'!$AF$3:$AN$3,0)+31,FALSE),0)*10</f>
        <v>0</v>
      </c>
      <c r="J113" s="220">
        <f>IFERROR(VLOOKUP($A113,'NG Pivot'!$A$4:$AN$29,MATCH(J$2,'NG Pivot'!$AF$3:$AN$3,0)+31,FALSE),0)*10</f>
        <v>0</v>
      </c>
      <c r="K113" s="220">
        <f>IFERROR(VLOOKUP($A113,'NG Pivot'!$A$4:$AN$29,MATCH(K$2,'NG Pivot'!$AF$3:$AN$3,0)+31,FALSE),0)*10</f>
        <v>0</v>
      </c>
      <c r="L113" s="220">
        <f>IFERROR(VLOOKUP($A113,'NG Pivot'!$A$4:$AN$29,MATCH(L$2,'NG Pivot'!$AF$3:$AN$3,0)+31,FALSE),0)*10</f>
        <v>0</v>
      </c>
      <c r="M113" s="220">
        <f>IFERROR(VLOOKUP($A113,'NG Pivot'!$A$4:$AN$29,MATCH(M$2,'NG Pivot'!$AF$3:$AN$3,0)+31,FALSE),0)*10</f>
        <v>0</v>
      </c>
      <c r="N113" s="220">
        <f>IFERROR(VLOOKUP($A113,'NG Pivot'!$A$4:$AN$29,MATCH(N$2,'NG Pivot'!$AF$3:$AN$3,0)+31,FALSE),0)*10</f>
        <v>0</v>
      </c>
      <c r="O113" s="220">
        <f>IFERROR(VLOOKUP($A113,'NG Pivot'!$A$4:$AN$29,MATCH(O$2,'NG Pivot'!$AF$3:$AN$3,0)+31,FALSE),0)*10</f>
        <v>0</v>
      </c>
      <c r="P113" s="220">
        <f>IFERROR(VLOOKUP($A113,'NG Pivot'!$A$4:$AN$29,MATCH(P$2,'NG Pivot'!$AF$3:$AN$3,0)+31,FALSE),0)*10</f>
        <v>0</v>
      </c>
      <c r="Q113" s="220">
        <f>IFERROR(VLOOKUP($A113,'NG Pivot'!$A$4:$AN$29,MATCH(Q$2,'NG Pivot'!$AF$3:$AN$3,0)+31,FALSE),0)*10</f>
        <v>0</v>
      </c>
      <c r="R113" s="220">
        <f>IFERROR(VLOOKUP($A113,'NG Pivot'!$A$4:$AN$29,MATCH(R$2,'NG Pivot'!$AF$3:$AN$3,0)+31,FALSE),0)*10</f>
        <v>0</v>
      </c>
      <c r="S113" s="220">
        <f>IFERROR(VLOOKUP($A113,'NG Pivot'!$A$4:$AN$29,MATCH(S$2,'NG Pivot'!$AF$3:$AN$3,0)+31,FALSE),0)*10</f>
        <v>0</v>
      </c>
      <c r="T113" s="220">
        <f>IFERROR(VLOOKUP($A113,'NG Pivot'!$A$4:$AN$29,MATCH(T$2,'NG Pivot'!$AF$3:$AN$3,0)+31,FALSE),0)*10</f>
        <v>0</v>
      </c>
      <c r="U113" s="220">
        <f>IFERROR(VLOOKUP($A113,'NG Pivot'!$A$4:$AN$29,MATCH(U$2,'NG Pivot'!$AF$3:$AN$3,0)+31,FALSE),0)*10</f>
        <v>0</v>
      </c>
      <c r="V113" s="220">
        <f>IFERROR(VLOOKUP($A113,'NG Pivot'!$A$4:$AN$29,MATCH(V$2,'NG Pivot'!$AF$3:$AN$3,0)+31,FALSE),0)*10</f>
        <v>0</v>
      </c>
      <c r="W113" s="220">
        <f>IFERROR(VLOOKUP($A113,'NG Pivot'!$A$4:$AN$29,MATCH(W$2,'NG Pivot'!$AF$3:$AN$3,0)+31,FALSE),0)*10</f>
        <v>0</v>
      </c>
      <c r="X113" s="220">
        <f>IFERROR(VLOOKUP($A113,'NG Pivot'!$A$4:$AN$29,MATCH(X$2,'NG Pivot'!$AF$3:$AN$3,0)+31,FALSE),0)*10</f>
        <v>0</v>
      </c>
      <c r="Y113" s="220">
        <f>IFERROR(VLOOKUP($A113,'NG Pivot'!$A$4:$AN$29,MATCH(Y$2,'NG Pivot'!$AF$3:$AN$3,0)+31,FALSE),0)*10</f>
        <v>0</v>
      </c>
      <c r="Z113" s="220">
        <f>IFERROR(VLOOKUP($A113,'NG Pivot'!$A$4:$AN$29,MATCH(Z$2,'NG Pivot'!$AF$3:$AN$3,0)+31,FALSE),0)*10</f>
        <v>0</v>
      </c>
      <c r="AA113" s="220">
        <f>IFERROR(VLOOKUP($A113,'NG Pivot'!$A$4:$AN$29,MATCH(AA$2,'NG Pivot'!$AF$3:$AN$3,0)+31,FALSE),0)*10</f>
        <v>0</v>
      </c>
      <c r="AB113" s="220">
        <f>IFERROR(VLOOKUP($A113,'NG Pivot'!$A$4:$AN$29,MATCH(AB$2,'NG Pivot'!$AF$3:$AN$3,0)+31,FALSE),0)*10</f>
        <v>0</v>
      </c>
      <c r="AC113" s="220">
        <f>IFERROR(VLOOKUP($A113,'NG Pivot'!$A$4:$AN$29,MATCH(AC$2,'NG Pivot'!$AF$3:$AN$3,0)+31,FALSE),0)*10</f>
        <v>0</v>
      </c>
      <c r="AD113" s="220">
        <f>IFERROR(VLOOKUP($A113,'NG Pivot'!$A$4:$AN$29,MATCH(AD$2,'NG Pivot'!$AF$3:$AN$3,0)+31,FALSE),0)*10</f>
        <v>0</v>
      </c>
    </row>
    <row r="114" spans="1:30">
      <c r="A114" s="223" t="s">
        <v>1274</v>
      </c>
      <c r="B114" s="220">
        <f>IFERROR(VLOOKUP($A114,'NG Pivot'!$A$4:$AN$29,MATCH(B$2,'NG Pivot'!$AF$3:$AN$3,0)+31,FALSE),0)*10</f>
        <v>0</v>
      </c>
      <c r="C114" s="220">
        <f>IFERROR(VLOOKUP($A114,'NG Pivot'!$A$4:$AN$29,MATCH(C$2,'NG Pivot'!$AF$3:$AN$3,0)+31,FALSE),0)*10</f>
        <v>0</v>
      </c>
      <c r="D114" s="220">
        <f>IFERROR(VLOOKUP($A114,'NG Pivot'!$A$4:$AN$29,MATCH(D$2,'NG Pivot'!$AF$3:$AN$3,0)+31,FALSE),0)*10</f>
        <v>0</v>
      </c>
      <c r="E114" s="220">
        <f>IFERROR(VLOOKUP($A114,'NG Pivot'!$A$4:$AN$29,MATCH(E$2,'NG Pivot'!$AF$3:$AN$3,0)+31,FALSE),0)*10</f>
        <v>0</v>
      </c>
      <c r="F114" s="220">
        <f>IFERROR(VLOOKUP($A114,'NG Pivot'!$A$4:$AN$29,MATCH(F$2,'NG Pivot'!$AF$3:$AN$3,0)+31,FALSE),0)*10</f>
        <v>0</v>
      </c>
      <c r="G114" s="220">
        <f>IFERROR(VLOOKUP($A114,'NG Pivot'!$A$4:$AN$29,MATCH(G$2,'NG Pivot'!$AF$3:$AN$3,0)+31,FALSE),0)*10</f>
        <v>0</v>
      </c>
      <c r="H114" s="220">
        <f>IFERROR(VLOOKUP($A114,'NG Pivot'!$A$4:$AN$29,MATCH(H$2,'NG Pivot'!$AF$3:$AN$3,0)+31,FALSE),0)*10</f>
        <v>0</v>
      </c>
      <c r="I114" s="220">
        <f>IFERROR(VLOOKUP($A114,'NG Pivot'!$A$4:$AN$29,MATCH(I$2,'NG Pivot'!$AF$3:$AN$3,0)+31,FALSE),0)*10</f>
        <v>0</v>
      </c>
      <c r="J114" s="220">
        <f>IFERROR(VLOOKUP($A114,'NG Pivot'!$A$4:$AN$29,MATCH(J$2,'NG Pivot'!$AF$3:$AN$3,0)+31,FALSE),0)*10</f>
        <v>0</v>
      </c>
      <c r="K114" s="220">
        <f>IFERROR(VLOOKUP($A114,'NG Pivot'!$A$4:$AN$29,MATCH(K$2,'NG Pivot'!$AF$3:$AN$3,0)+31,FALSE),0)*10</f>
        <v>0</v>
      </c>
      <c r="L114" s="220">
        <f>IFERROR(VLOOKUP($A114,'NG Pivot'!$A$4:$AN$29,MATCH(L$2,'NG Pivot'!$AF$3:$AN$3,0)+31,FALSE),0)*10</f>
        <v>0</v>
      </c>
      <c r="M114" s="220">
        <f>IFERROR(VLOOKUP($A114,'NG Pivot'!$A$4:$AN$29,MATCH(M$2,'NG Pivot'!$AF$3:$AN$3,0)+31,FALSE),0)*10</f>
        <v>0</v>
      </c>
      <c r="N114" s="220">
        <f>IFERROR(VLOOKUP($A114,'NG Pivot'!$A$4:$AN$29,MATCH(N$2,'NG Pivot'!$AF$3:$AN$3,0)+31,FALSE),0)*10</f>
        <v>0</v>
      </c>
      <c r="O114" s="220">
        <f>IFERROR(VLOOKUP($A114,'NG Pivot'!$A$4:$AN$29,MATCH(O$2,'NG Pivot'!$AF$3:$AN$3,0)+31,FALSE),0)*10</f>
        <v>0</v>
      </c>
      <c r="P114" s="220">
        <f>IFERROR(VLOOKUP($A114,'NG Pivot'!$A$4:$AN$29,MATCH(P$2,'NG Pivot'!$AF$3:$AN$3,0)+31,FALSE),0)*10</f>
        <v>0</v>
      </c>
      <c r="Q114" s="220">
        <f>IFERROR(VLOOKUP($A114,'NG Pivot'!$A$4:$AN$29,MATCH(Q$2,'NG Pivot'!$AF$3:$AN$3,0)+31,FALSE),0)*10</f>
        <v>0</v>
      </c>
      <c r="R114" s="220">
        <f>IFERROR(VLOOKUP($A114,'NG Pivot'!$A$4:$AN$29,MATCH(R$2,'NG Pivot'!$AF$3:$AN$3,0)+31,FALSE),0)*10</f>
        <v>0</v>
      </c>
      <c r="S114" s="220">
        <f>IFERROR(VLOOKUP($A114,'NG Pivot'!$A$4:$AN$29,MATCH(S$2,'NG Pivot'!$AF$3:$AN$3,0)+31,FALSE),0)*10</f>
        <v>0</v>
      </c>
      <c r="T114" s="220">
        <f>IFERROR(VLOOKUP($A114,'NG Pivot'!$A$4:$AN$29,MATCH(T$2,'NG Pivot'!$AF$3:$AN$3,0)+31,FALSE),0)*10</f>
        <v>0</v>
      </c>
      <c r="U114" s="220">
        <f>IFERROR(VLOOKUP($A114,'NG Pivot'!$A$4:$AN$29,MATCH(U$2,'NG Pivot'!$AF$3:$AN$3,0)+31,FALSE),0)*10</f>
        <v>0</v>
      </c>
      <c r="V114" s="220">
        <f>IFERROR(VLOOKUP($A114,'NG Pivot'!$A$4:$AN$29,MATCH(V$2,'NG Pivot'!$AF$3:$AN$3,0)+31,FALSE),0)*10</f>
        <v>0</v>
      </c>
      <c r="W114" s="220">
        <f>IFERROR(VLOOKUP($A114,'NG Pivot'!$A$4:$AN$29,MATCH(W$2,'NG Pivot'!$AF$3:$AN$3,0)+31,FALSE),0)*10</f>
        <v>0</v>
      </c>
      <c r="X114" s="220">
        <f>IFERROR(VLOOKUP($A114,'NG Pivot'!$A$4:$AN$29,MATCH(X$2,'NG Pivot'!$AF$3:$AN$3,0)+31,FALSE),0)*10</f>
        <v>0</v>
      </c>
      <c r="Y114" s="220">
        <f>IFERROR(VLOOKUP($A114,'NG Pivot'!$A$4:$AN$29,MATCH(Y$2,'NG Pivot'!$AF$3:$AN$3,0)+31,FALSE),0)*10</f>
        <v>0</v>
      </c>
      <c r="Z114" s="220">
        <f>IFERROR(VLOOKUP($A114,'NG Pivot'!$A$4:$AN$29,MATCH(Z$2,'NG Pivot'!$AF$3:$AN$3,0)+31,FALSE),0)*10</f>
        <v>0</v>
      </c>
      <c r="AA114" s="220">
        <f>IFERROR(VLOOKUP($A114,'NG Pivot'!$A$4:$AN$29,MATCH(AA$2,'NG Pivot'!$AF$3:$AN$3,0)+31,FALSE),0)*10</f>
        <v>0</v>
      </c>
      <c r="AB114" s="220">
        <f>IFERROR(VLOOKUP($A114,'NG Pivot'!$A$4:$AN$29,MATCH(AB$2,'NG Pivot'!$AF$3:$AN$3,0)+31,FALSE),0)*10</f>
        <v>0</v>
      </c>
      <c r="AC114" s="220">
        <f>IFERROR(VLOOKUP($A114,'NG Pivot'!$A$4:$AN$29,MATCH(AC$2,'NG Pivot'!$AF$3:$AN$3,0)+31,FALSE),0)*10</f>
        <v>0</v>
      </c>
      <c r="AD114" s="220">
        <f>IFERROR(VLOOKUP($A114,'NG Pivot'!$A$4:$AN$29,MATCH(AD$2,'NG Pivot'!$AF$3:$AN$3,0)+31,FALSE),0)*10</f>
        <v>0</v>
      </c>
    </row>
    <row r="115" spans="1:30">
      <c r="A115" s="223" t="s">
        <v>1275</v>
      </c>
      <c r="B115" s="220">
        <f>IFERROR(VLOOKUP($A115,'NG Pivot'!$A$4:$AN$29,MATCH(B$2,'NG Pivot'!$AF$3:$AN$3,0)+31,FALSE),0)*10</f>
        <v>0</v>
      </c>
      <c r="C115" s="220">
        <f>IFERROR(VLOOKUP($A115,'NG Pivot'!$A$4:$AN$29,MATCH(C$2,'NG Pivot'!$AF$3:$AN$3,0)+31,FALSE),0)*10</f>
        <v>0</v>
      </c>
      <c r="D115" s="220">
        <f>IFERROR(VLOOKUP($A115,'NG Pivot'!$A$4:$AN$29,MATCH(D$2,'NG Pivot'!$AF$3:$AN$3,0)+31,FALSE),0)*10</f>
        <v>0</v>
      </c>
      <c r="E115" s="220">
        <f>IFERROR(VLOOKUP($A115,'NG Pivot'!$A$4:$AN$29,MATCH(E$2,'NG Pivot'!$AF$3:$AN$3,0)+31,FALSE),0)*10</f>
        <v>0</v>
      </c>
      <c r="F115" s="220">
        <f>IFERROR(VLOOKUP($A115,'NG Pivot'!$A$4:$AN$29,MATCH(F$2,'NG Pivot'!$AF$3:$AN$3,0)+31,FALSE),0)*10</f>
        <v>0</v>
      </c>
      <c r="G115" s="220">
        <f>IFERROR(VLOOKUP($A115,'NG Pivot'!$A$4:$AN$29,MATCH(G$2,'NG Pivot'!$AF$3:$AN$3,0)+31,FALSE),0)*10</f>
        <v>0</v>
      </c>
      <c r="H115" s="220">
        <f>IFERROR(VLOOKUP($A115,'NG Pivot'!$A$4:$AN$29,MATCH(H$2,'NG Pivot'!$AF$3:$AN$3,0)+31,FALSE),0)*10</f>
        <v>0</v>
      </c>
      <c r="I115" s="220">
        <f>IFERROR(VLOOKUP($A115,'NG Pivot'!$A$4:$AN$29,MATCH(I$2,'NG Pivot'!$AF$3:$AN$3,0)+31,FALSE),0)*10</f>
        <v>0</v>
      </c>
      <c r="J115" s="220">
        <f>IFERROR(VLOOKUP($A115,'NG Pivot'!$A$4:$AN$29,MATCH(J$2,'NG Pivot'!$AF$3:$AN$3,0)+31,FALSE),0)*10</f>
        <v>0</v>
      </c>
      <c r="K115" s="220">
        <f>IFERROR(VLOOKUP($A115,'NG Pivot'!$A$4:$AN$29,MATCH(K$2,'NG Pivot'!$AF$3:$AN$3,0)+31,FALSE),0)*10</f>
        <v>0</v>
      </c>
      <c r="L115" s="220">
        <f>IFERROR(VLOOKUP($A115,'NG Pivot'!$A$4:$AN$29,MATCH(L$2,'NG Pivot'!$AF$3:$AN$3,0)+31,FALSE),0)*10</f>
        <v>0</v>
      </c>
      <c r="M115" s="220">
        <f>IFERROR(VLOOKUP($A115,'NG Pivot'!$A$4:$AN$29,MATCH(M$2,'NG Pivot'!$AF$3:$AN$3,0)+31,FALSE),0)*10</f>
        <v>0</v>
      </c>
      <c r="N115" s="220">
        <f>IFERROR(VLOOKUP($A115,'NG Pivot'!$A$4:$AN$29,MATCH(N$2,'NG Pivot'!$AF$3:$AN$3,0)+31,FALSE),0)*10</f>
        <v>0</v>
      </c>
      <c r="O115" s="220">
        <f>IFERROR(VLOOKUP($A115,'NG Pivot'!$A$4:$AN$29,MATCH(O$2,'NG Pivot'!$AF$3:$AN$3,0)+31,FALSE),0)*10</f>
        <v>0</v>
      </c>
      <c r="P115" s="220">
        <f>IFERROR(VLOOKUP($A115,'NG Pivot'!$A$4:$AN$29,MATCH(P$2,'NG Pivot'!$AF$3:$AN$3,0)+31,FALSE),0)*10</f>
        <v>0</v>
      </c>
      <c r="Q115" s="220">
        <f>IFERROR(VLOOKUP($A115,'NG Pivot'!$A$4:$AN$29,MATCH(Q$2,'NG Pivot'!$AF$3:$AN$3,0)+31,FALSE),0)*10</f>
        <v>0</v>
      </c>
      <c r="R115" s="220">
        <f>IFERROR(VLOOKUP($A115,'NG Pivot'!$A$4:$AN$29,MATCH(R$2,'NG Pivot'!$AF$3:$AN$3,0)+31,FALSE),0)*10</f>
        <v>0</v>
      </c>
      <c r="S115" s="220">
        <f>IFERROR(VLOOKUP($A115,'NG Pivot'!$A$4:$AN$29,MATCH(S$2,'NG Pivot'!$AF$3:$AN$3,0)+31,FALSE),0)*10</f>
        <v>0</v>
      </c>
      <c r="T115" s="220">
        <f>IFERROR(VLOOKUP($A115,'NG Pivot'!$A$4:$AN$29,MATCH(T$2,'NG Pivot'!$AF$3:$AN$3,0)+31,FALSE),0)*10</f>
        <v>0</v>
      </c>
      <c r="U115" s="220">
        <f>IFERROR(VLOOKUP($A115,'NG Pivot'!$A$4:$AN$29,MATCH(U$2,'NG Pivot'!$AF$3:$AN$3,0)+31,FALSE),0)*10</f>
        <v>0</v>
      </c>
      <c r="V115" s="220">
        <f>IFERROR(VLOOKUP($A115,'NG Pivot'!$A$4:$AN$29,MATCH(V$2,'NG Pivot'!$AF$3:$AN$3,0)+31,FALSE),0)*10</f>
        <v>0</v>
      </c>
      <c r="W115" s="220">
        <f>IFERROR(VLOOKUP($A115,'NG Pivot'!$A$4:$AN$29,MATCH(W$2,'NG Pivot'!$AF$3:$AN$3,0)+31,FALSE),0)*10</f>
        <v>0</v>
      </c>
      <c r="X115" s="220">
        <f>IFERROR(VLOOKUP($A115,'NG Pivot'!$A$4:$AN$29,MATCH(X$2,'NG Pivot'!$AF$3:$AN$3,0)+31,FALSE),0)*10</f>
        <v>0</v>
      </c>
      <c r="Y115" s="220">
        <f>IFERROR(VLOOKUP($A115,'NG Pivot'!$A$4:$AN$29,MATCH(Y$2,'NG Pivot'!$AF$3:$AN$3,0)+31,FALSE),0)*10</f>
        <v>0</v>
      </c>
      <c r="Z115" s="220">
        <f>IFERROR(VLOOKUP($A115,'NG Pivot'!$A$4:$AN$29,MATCH(Z$2,'NG Pivot'!$AF$3:$AN$3,0)+31,FALSE),0)*10</f>
        <v>0</v>
      </c>
      <c r="AA115" s="220">
        <f>IFERROR(VLOOKUP($A115,'NG Pivot'!$A$4:$AN$29,MATCH(AA$2,'NG Pivot'!$AF$3:$AN$3,0)+31,FALSE),0)*10</f>
        <v>0</v>
      </c>
      <c r="AB115" s="220">
        <f>IFERROR(VLOOKUP($A115,'NG Pivot'!$A$4:$AN$29,MATCH(AB$2,'NG Pivot'!$AF$3:$AN$3,0)+31,FALSE),0)*10</f>
        <v>0</v>
      </c>
      <c r="AC115" s="220">
        <f>IFERROR(VLOOKUP($A115,'NG Pivot'!$A$4:$AN$29,MATCH(AC$2,'NG Pivot'!$AF$3:$AN$3,0)+31,FALSE),0)*10</f>
        <v>0</v>
      </c>
      <c r="AD115" s="220">
        <f>IFERROR(VLOOKUP($A115,'NG Pivot'!$A$4:$AN$29,MATCH(AD$2,'NG Pivot'!$AF$3:$AN$3,0)+31,FALSE),0)*10</f>
        <v>0</v>
      </c>
    </row>
    <row r="116" spans="1:30">
      <c r="A116" s="223" t="s">
        <v>1276</v>
      </c>
      <c r="B116" s="220">
        <f>IFERROR(VLOOKUP($A116,'NG Pivot'!$A$4:$AN$29,MATCH(B$2,'NG Pivot'!$AF$3:$AN$3,0)+31,FALSE),0)*10</f>
        <v>0</v>
      </c>
      <c r="C116" s="220">
        <f>IFERROR(VLOOKUP($A116,'NG Pivot'!$A$4:$AN$29,MATCH(C$2,'NG Pivot'!$AF$3:$AN$3,0)+31,FALSE),0)*10</f>
        <v>0</v>
      </c>
      <c r="D116" s="220">
        <f>IFERROR(VLOOKUP($A116,'NG Pivot'!$A$4:$AN$29,MATCH(D$2,'NG Pivot'!$AF$3:$AN$3,0)+31,FALSE),0)*10</f>
        <v>0</v>
      </c>
      <c r="E116" s="220">
        <f>IFERROR(VLOOKUP($A116,'NG Pivot'!$A$4:$AN$29,MATCH(E$2,'NG Pivot'!$AF$3:$AN$3,0)+31,FALSE),0)*10</f>
        <v>0</v>
      </c>
      <c r="F116" s="220">
        <f>IFERROR(VLOOKUP($A116,'NG Pivot'!$A$4:$AN$29,MATCH(F$2,'NG Pivot'!$AF$3:$AN$3,0)+31,FALSE),0)*10</f>
        <v>0</v>
      </c>
      <c r="G116" s="220">
        <f>IFERROR(VLOOKUP($A116,'NG Pivot'!$A$4:$AN$29,MATCH(G$2,'NG Pivot'!$AF$3:$AN$3,0)+31,FALSE),0)*10</f>
        <v>0</v>
      </c>
      <c r="H116" s="220">
        <f>IFERROR(VLOOKUP($A116,'NG Pivot'!$A$4:$AN$29,MATCH(H$2,'NG Pivot'!$AF$3:$AN$3,0)+31,FALSE),0)*10</f>
        <v>0</v>
      </c>
      <c r="I116" s="220">
        <f>IFERROR(VLOOKUP($A116,'NG Pivot'!$A$4:$AN$29,MATCH(I$2,'NG Pivot'!$AF$3:$AN$3,0)+31,FALSE),0)*10</f>
        <v>0</v>
      </c>
      <c r="J116" s="220">
        <f>IFERROR(VLOOKUP($A116,'NG Pivot'!$A$4:$AN$29,MATCH(J$2,'NG Pivot'!$AF$3:$AN$3,0)+31,FALSE),0)*10</f>
        <v>0</v>
      </c>
      <c r="K116" s="220">
        <f>IFERROR(VLOOKUP($A116,'NG Pivot'!$A$4:$AN$29,MATCH(K$2,'NG Pivot'!$AF$3:$AN$3,0)+31,FALSE),0)*10</f>
        <v>0</v>
      </c>
      <c r="L116" s="220">
        <f>IFERROR(VLOOKUP($A116,'NG Pivot'!$A$4:$AN$29,MATCH(L$2,'NG Pivot'!$AF$3:$AN$3,0)+31,FALSE),0)*10</f>
        <v>0</v>
      </c>
      <c r="M116" s="220">
        <f>IFERROR(VLOOKUP($A116,'NG Pivot'!$A$4:$AN$29,MATCH(M$2,'NG Pivot'!$AF$3:$AN$3,0)+31,FALSE),0)*10</f>
        <v>0</v>
      </c>
      <c r="N116" s="220">
        <f>IFERROR(VLOOKUP($A116,'NG Pivot'!$A$4:$AN$29,MATCH(N$2,'NG Pivot'!$AF$3:$AN$3,0)+31,FALSE),0)*10</f>
        <v>0</v>
      </c>
      <c r="O116" s="220">
        <f>IFERROR(VLOOKUP($A116,'NG Pivot'!$A$4:$AN$29,MATCH(O$2,'NG Pivot'!$AF$3:$AN$3,0)+31,FALSE),0)*10</f>
        <v>0</v>
      </c>
      <c r="P116" s="220">
        <f>IFERROR(VLOOKUP($A116,'NG Pivot'!$A$4:$AN$29,MATCH(P$2,'NG Pivot'!$AF$3:$AN$3,0)+31,FALSE),0)*10</f>
        <v>0</v>
      </c>
      <c r="Q116" s="220">
        <f>IFERROR(VLOOKUP($A116,'NG Pivot'!$A$4:$AN$29,MATCH(Q$2,'NG Pivot'!$AF$3:$AN$3,0)+31,FALSE),0)*10</f>
        <v>0</v>
      </c>
      <c r="R116" s="220">
        <f>IFERROR(VLOOKUP($A116,'NG Pivot'!$A$4:$AN$29,MATCH(R$2,'NG Pivot'!$AF$3:$AN$3,0)+31,FALSE),0)*10</f>
        <v>0</v>
      </c>
      <c r="S116" s="220">
        <f>IFERROR(VLOOKUP($A116,'NG Pivot'!$A$4:$AN$29,MATCH(S$2,'NG Pivot'!$AF$3:$AN$3,0)+31,FALSE),0)*10</f>
        <v>0</v>
      </c>
      <c r="T116" s="220">
        <f>IFERROR(VLOOKUP($A116,'NG Pivot'!$A$4:$AN$29,MATCH(T$2,'NG Pivot'!$AF$3:$AN$3,0)+31,FALSE),0)*10</f>
        <v>0</v>
      </c>
      <c r="U116" s="220">
        <f>IFERROR(VLOOKUP($A116,'NG Pivot'!$A$4:$AN$29,MATCH(U$2,'NG Pivot'!$AF$3:$AN$3,0)+31,FALSE),0)*10</f>
        <v>24</v>
      </c>
      <c r="V116" s="220">
        <f>IFERROR(VLOOKUP($A116,'NG Pivot'!$A$4:$AN$29,MATCH(V$2,'NG Pivot'!$AF$3:$AN$3,0)+31,FALSE),0)*10</f>
        <v>0</v>
      </c>
      <c r="W116" s="220">
        <f>IFERROR(VLOOKUP($A116,'NG Pivot'!$A$4:$AN$29,MATCH(W$2,'NG Pivot'!$AF$3:$AN$3,0)+31,FALSE),0)*10</f>
        <v>0</v>
      </c>
      <c r="X116" s="220">
        <f>IFERROR(VLOOKUP($A116,'NG Pivot'!$A$4:$AN$29,MATCH(X$2,'NG Pivot'!$AF$3:$AN$3,0)+31,FALSE),0)*10</f>
        <v>0</v>
      </c>
      <c r="Y116" s="220">
        <f>IFERROR(VLOOKUP($A116,'NG Pivot'!$A$4:$AN$29,MATCH(Y$2,'NG Pivot'!$AF$3:$AN$3,0)+31,FALSE),0)*10</f>
        <v>0</v>
      </c>
      <c r="Z116" s="220">
        <f>IFERROR(VLOOKUP($A116,'NG Pivot'!$A$4:$AN$29,MATCH(Z$2,'NG Pivot'!$AF$3:$AN$3,0)+31,FALSE),0)*10</f>
        <v>0</v>
      </c>
      <c r="AA116" s="220">
        <f>IFERROR(VLOOKUP($A116,'NG Pivot'!$A$4:$AN$29,MATCH(AA$2,'NG Pivot'!$AF$3:$AN$3,0)+31,FALSE),0)*10</f>
        <v>0</v>
      </c>
      <c r="AB116" s="220">
        <f>IFERROR(VLOOKUP($A116,'NG Pivot'!$A$4:$AN$29,MATCH(AB$2,'NG Pivot'!$AF$3:$AN$3,0)+31,FALSE),0)*10</f>
        <v>0</v>
      </c>
      <c r="AC116" s="220">
        <f>IFERROR(VLOOKUP($A116,'NG Pivot'!$A$4:$AN$29,MATCH(AC$2,'NG Pivot'!$AF$3:$AN$3,0)+31,FALSE),0)*10</f>
        <v>0</v>
      </c>
      <c r="AD116" s="220">
        <f>IFERROR(VLOOKUP($A116,'NG Pivot'!$A$4:$AN$29,MATCH(AD$2,'NG Pivot'!$AF$3:$AN$3,0)+31,FALSE),0)*10</f>
        <v>0</v>
      </c>
    </row>
    <row r="117" spans="1:30">
      <c r="A117" s="223" t="s">
        <v>1277</v>
      </c>
      <c r="B117" s="220">
        <f>IFERROR(VLOOKUP($A117,'NG Pivot'!$A$4:$AN$29,MATCH(B$2,'NG Pivot'!$AF$3:$AN$3,0)+31,FALSE),0)*10</f>
        <v>0</v>
      </c>
      <c r="C117" s="220">
        <f>IFERROR(VLOOKUP($A117,'NG Pivot'!$A$4:$AN$29,MATCH(C$2,'NG Pivot'!$AF$3:$AN$3,0)+31,FALSE),0)*10</f>
        <v>0</v>
      </c>
      <c r="D117" s="220">
        <f>IFERROR(VLOOKUP($A117,'NG Pivot'!$A$4:$AN$29,MATCH(D$2,'NG Pivot'!$AF$3:$AN$3,0)+31,FALSE),0)*10</f>
        <v>0</v>
      </c>
      <c r="E117" s="220">
        <f>IFERROR(VLOOKUP($A117,'NG Pivot'!$A$4:$AN$29,MATCH(E$2,'NG Pivot'!$AF$3:$AN$3,0)+31,FALSE),0)*10</f>
        <v>0</v>
      </c>
      <c r="F117" s="220">
        <f>IFERROR(VLOOKUP($A117,'NG Pivot'!$A$4:$AN$29,MATCH(F$2,'NG Pivot'!$AF$3:$AN$3,0)+31,FALSE),0)*10</f>
        <v>0</v>
      </c>
      <c r="G117" s="220">
        <f>IFERROR(VLOOKUP($A117,'NG Pivot'!$A$4:$AN$29,MATCH(G$2,'NG Pivot'!$AF$3:$AN$3,0)+31,FALSE),0)*10</f>
        <v>0</v>
      </c>
      <c r="H117" s="220">
        <f>IFERROR(VLOOKUP($A117,'NG Pivot'!$A$4:$AN$29,MATCH(H$2,'NG Pivot'!$AF$3:$AN$3,0)+31,FALSE),0)*10</f>
        <v>0</v>
      </c>
      <c r="I117" s="220">
        <f>IFERROR(VLOOKUP($A117,'NG Pivot'!$A$4:$AN$29,MATCH(I$2,'NG Pivot'!$AF$3:$AN$3,0)+31,FALSE),0)*10</f>
        <v>0</v>
      </c>
      <c r="J117" s="220">
        <f>IFERROR(VLOOKUP($A117,'NG Pivot'!$A$4:$AN$29,MATCH(J$2,'NG Pivot'!$AF$3:$AN$3,0)+31,FALSE),0)*10</f>
        <v>0</v>
      </c>
      <c r="K117" s="220">
        <f>IFERROR(VLOOKUP($A117,'NG Pivot'!$A$4:$AN$29,MATCH(K$2,'NG Pivot'!$AF$3:$AN$3,0)+31,FALSE),0)*10</f>
        <v>0</v>
      </c>
      <c r="L117" s="220">
        <f>IFERROR(VLOOKUP($A117,'NG Pivot'!$A$4:$AN$29,MATCH(L$2,'NG Pivot'!$AF$3:$AN$3,0)+31,FALSE),0)*10</f>
        <v>0</v>
      </c>
      <c r="M117" s="220">
        <f>IFERROR(VLOOKUP($A117,'NG Pivot'!$A$4:$AN$29,MATCH(M$2,'NG Pivot'!$AF$3:$AN$3,0)+31,FALSE),0)*10</f>
        <v>0</v>
      </c>
      <c r="N117" s="220">
        <f>IFERROR(VLOOKUP($A117,'NG Pivot'!$A$4:$AN$29,MATCH(N$2,'NG Pivot'!$AF$3:$AN$3,0)+31,FALSE),0)*10</f>
        <v>0</v>
      </c>
      <c r="O117" s="220">
        <f>IFERROR(VLOOKUP($A117,'NG Pivot'!$A$4:$AN$29,MATCH(O$2,'NG Pivot'!$AF$3:$AN$3,0)+31,FALSE),0)*10</f>
        <v>0</v>
      </c>
      <c r="P117" s="220">
        <f>IFERROR(VLOOKUP($A117,'NG Pivot'!$A$4:$AN$29,MATCH(P$2,'NG Pivot'!$AF$3:$AN$3,0)+31,FALSE),0)*10</f>
        <v>0</v>
      </c>
      <c r="Q117" s="220">
        <f>IFERROR(VLOOKUP($A117,'NG Pivot'!$A$4:$AN$29,MATCH(Q$2,'NG Pivot'!$AF$3:$AN$3,0)+31,FALSE),0)*10</f>
        <v>0</v>
      </c>
      <c r="R117" s="220">
        <f>IFERROR(VLOOKUP($A117,'NG Pivot'!$A$4:$AN$29,MATCH(R$2,'NG Pivot'!$AF$3:$AN$3,0)+31,FALSE),0)*10</f>
        <v>0</v>
      </c>
      <c r="S117" s="220">
        <f>IFERROR(VLOOKUP($A117,'NG Pivot'!$A$4:$AN$29,MATCH(S$2,'NG Pivot'!$AF$3:$AN$3,0)+31,FALSE),0)*10</f>
        <v>0</v>
      </c>
      <c r="T117" s="220">
        <f>IFERROR(VLOOKUP($A117,'NG Pivot'!$A$4:$AN$29,MATCH(T$2,'NG Pivot'!$AF$3:$AN$3,0)+31,FALSE),0)*10</f>
        <v>0</v>
      </c>
      <c r="U117" s="220">
        <f>IFERROR(VLOOKUP($A117,'NG Pivot'!$A$4:$AN$29,MATCH(U$2,'NG Pivot'!$AF$3:$AN$3,0)+31,FALSE),0)*10</f>
        <v>0</v>
      </c>
      <c r="V117" s="220">
        <f>IFERROR(VLOOKUP($A117,'NG Pivot'!$A$4:$AN$29,MATCH(V$2,'NG Pivot'!$AF$3:$AN$3,0)+31,FALSE),0)*10</f>
        <v>9.8</v>
      </c>
      <c r="W117" s="220">
        <f>IFERROR(VLOOKUP($A117,'NG Pivot'!$A$4:$AN$29,MATCH(W$2,'NG Pivot'!$AF$3:$AN$3,0)+31,FALSE),0)*10</f>
        <v>0</v>
      </c>
      <c r="X117" s="220">
        <f>IFERROR(VLOOKUP($A117,'NG Pivot'!$A$4:$AN$29,MATCH(X$2,'NG Pivot'!$AF$3:$AN$3,0)+31,FALSE),0)*10</f>
        <v>0</v>
      </c>
      <c r="Y117" s="220">
        <f>IFERROR(VLOOKUP($A117,'NG Pivot'!$A$4:$AN$29,MATCH(Y$2,'NG Pivot'!$AF$3:$AN$3,0)+31,FALSE),0)*10</f>
        <v>0</v>
      </c>
      <c r="Z117" s="220">
        <f>IFERROR(VLOOKUP($A117,'NG Pivot'!$A$4:$AN$29,MATCH(Z$2,'NG Pivot'!$AF$3:$AN$3,0)+31,FALSE),0)*10</f>
        <v>0</v>
      </c>
      <c r="AA117" s="220">
        <f>IFERROR(VLOOKUP($A117,'NG Pivot'!$A$4:$AN$29,MATCH(AA$2,'NG Pivot'!$AF$3:$AN$3,0)+31,FALSE),0)*10</f>
        <v>0</v>
      </c>
      <c r="AB117" s="220">
        <f>IFERROR(VLOOKUP($A117,'NG Pivot'!$A$4:$AN$29,MATCH(AB$2,'NG Pivot'!$AF$3:$AN$3,0)+31,FALSE),0)*10</f>
        <v>0</v>
      </c>
      <c r="AC117" s="220">
        <f>IFERROR(VLOOKUP($A117,'NG Pivot'!$A$4:$AN$29,MATCH(AC$2,'NG Pivot'!$AF$3:$AN$3,0)+31,FALSE),0)*10</f>
        <v>0</v>
      </c>
      <c r="AD117" s="220">
        <f>IFERROR(VLOOKUP($A117,'NG Pivot'!$A$4:$AN$29,MATCH(AD$2,'NG Pivot'!$AF$3:$AN$3,0)+31,FALSE),0)*10</f>
        <v>0</v>
      </c>
    </row>
    <row r="118" spans="1:30">
      <c r="A118" s="223" t="s">
        <v>1278</v>
      </c>
      <c r="B118" s="220">
        <f>IFERROR(VLOOKUP($A118,'NG Pivot'!$A$4:$AN$29,MATCH(B$2,'NG Pivot'!$AF$3:$AN$3,0)+31,FALSE),0)*10</f>
        <v>0</v>
      </c>
      <c r="C118" s="220">
        <f>IFERROR(VLOOKUP($A118,'NG Pivot'!$A$4:$AN$29,MATCH(C$2,'NG Pivot'!$AF$3:$AN$3,0)+31,FALSE),0)*10</f>
        <v>0</v>
      </c>
      <c r="D118" s="220">
        <f>IFERROR(VLOOKUP($A118,'NG Pivot'!$A$4:$AN$29,MATCH(D$2,'NG Pivot'!$AF$3:$AN$3,0)+31,FALSE),0)*10</f>
        <v>0</v>
      </c>
      <c r="E118" s="220">
        <f>IFERROR(VLOOKUP($A118,'NG Pivot'!$A$4:$AN$29,MATCH(E$2,'NG Pivot'!$AF$3:$AN$3,0)+31,FALSE),0)*10</f>
        <v>0</v>
      </c>
      <c r="F118" s="220">
        <f>IFERROR(VLOOKUP($A118,'NG Pivot'!$A$4:$AN$29,MATCH(F$2,'NG Pivot'!$AF$3:$AN$3,0)+31,FALSE),0)*10</f>
        <v>0</v>
      </c>
      <c r="G118" s="220">
        <f>IFERROR(VLOOKUP($A118,'NG Pivot'!$A$4:$AN$29,MATCH(G$2,'NG Pivot'!$AF$3:$AN$3,0)+31,FALSE),0)*10</f>
        <v>0</v>
      </c>
      <c r="H118" s="220">
        <f>IFERROR(VLOOKUP($A118,'NG Pivot'!$A$4:$AN$29,MATCH(H$2,'NG Pivot'!$AF$3:$AN$3,0)+31,FALSE),0)*10</f>
        <v>0</v>
      </c>
      <c r="I118" s="220">
        <f>IFERROR(VLOOKUP($A118,'NG Pivot'!$A$4:$AN$29,MATCH(I$2,'NG Pivot'!$AF$3:$AN$3,0)+31,FALSE),0)*10</f>
        <v>0</v>
      </c>
      <c r="J118" s="220">
        <f>IFERROR(VLOOKUP($A118,'NG Pivot'!$A$4:$AN$29,MATCH(J$2,'NG Pivot'!$AF$3:$AN$3,0)+31,FALSE),0)*10</f>
        <v>0</v>
      </c>
      <c r="K118" s="220">
        <f>IFERROR(VLOOKUP($A118,'NG Pivot'!$A$4:$AN$29,MATCH(K$2,'NG Pivot'!$AF$3:$AN$3,0)+31,FALSE),0)*10</f>
        <v>0</v>
      </c>
      <c r="L118" s="220">
        <f>IFERROR(VLOOKUP($A118,'NG Pivot'!$A$4:$AN$29,MATCH(L$2,'NG Pivot'!$AF$3:$AN$3,0)+31,FALSE),0)*10</f>
        <v>0</v>
      </c>
      <c r="M118" s="220">
        <f>IFERROR(VLOOKUP($A118,'NG Pivot'!$A$4:$AN$29,MATCH(M$2,'NG Pivot'!$AF$3:$AN$3,0)+31,FALSE),0)*10</f>
        <v>0</v>
      </c>
      <c r="N118" s="220">
        <f>IFERROR(VLOOKUP($A118,'NG Pivot'!$A$4:$AN$29,MATCH(N$2,'NG Pivot'!$AF$3:$AN$3,0)+31,FALSE),0)*10</f>
        <v>0</v>
      </c>
      <c r="O118" s="220">
        <f>IFERROR(VLOOKUP($A118,'NG Pivot'!$A$4:$AN$29,MATCH(O$2,'NG Pivot'!$AF$3:$AN$3,0)+31,FALSE),0)*10</f>
        <v>0</v>
      </c>
      <c r="P118" s="220">
        <f>IFERROR(VLOOKUP($A118,'NG Pivot'!$A$4:$AN$29,MATCH(P$2,'NG Pivot'!$AF$3:$AN$3,0)+31,FALSE),0)*10</f>
        <v>0</v>
      </c>
      <c r="Q118" s="220">
        <f>IFERROR(VLOOKUP($A118,'NG Pivot'!$A$4:$AN$29,MATCH(Q$2,'NG Pivot'!$AF$3:$AN$3,0)+31,FALSE),0)*10</f>
        <v>0</v>
      </c>
      <c r="R118" s="220">
        <f>IFERROR(VLOOKUP($A118,'NG Pivot'!$A$4:$AN$29,MATCH(R$2,'NG Pivot'!$AF$3:$AN$3,0)+31,FALSE),0)*10</f>
        <v>0</v>
      </c>
      <c r="S118" s="220">
        <f>IFERROR(VLOOKUP($A118,'NG Pivot'!$A$4:$AN$29,MATCH(S$2,'NG Pivot'!$AF$3:$AN$3,0)+31,FALSE),0)*10</f>
        <v>0</v>
      </c>
      <c r="T118" s="220">
        <f>IFERROR(VLOOKUP($A118,'NG Pivot'!$A$4:$AN$29,MATCH(T$2,'NG Pivot'!$AF$3:$AN$3,0)+31,FALSE),0)*10</f>
        <v>0</v>
      </c>
      <c r="U118" s="220">
        <f>IFERROR(VLOOKUP($A118,'NG Pivot'!$A$4:$AN$29,MATCH(U$2,'NG Pivot'!$AF$3:$AN$3,0)+31,FALSE),0)*10</f>
        <v>5.8</v>
      </c>
      <c r="V118" s="220">
        <f>IFERROR(VLOOKUP($A118,'NG Pivot'!$A$4:$AN$29,MATCH(V$2,'NG Pivot'!$AF$3:$AN$3,0)+31,FALSE),0)*10</f>
        <v>0</v>
      </c>
      <c r="W118" s="220">
        <f>IFERROR(VLOOKUP($A118,'NG Pivot'!$A$4:$AN$29,MATCH(W$2,'NG Pivot'!$AF$3:$AN$3,0)+31,FALSE),0)*10</f>
        <v>0</v>
      </c>
      <c r="X118" s="220">
        <f>IFERROR(VLOOKUP($A118,'NG Pivot'!$A$4:$AN$29,MATCH(X$2,'NG Pivot'!$AF$3:$AN$3,0)+31,FALSE),0)*10</f>
        <v>0</v>
      </c>
      <c r="Y118" s="220">
        <f>IFERROR(VLOOKUP($A118,'NG Pivot'!$A$4:$AN$29,MATCH(Y$2,'NG Pivot'!$AF$3:$AN$3,0)+31,FALSE),0)*10</f>
        <v>0</v>
      </c>
      <c r="Z118" s="220">
        <f>IFERROR(VLOOKUP($A118,'NG Pivot'!$A$4:$AN$29,MATCH(Z$2,'NG Pivot'!$AF$3:$AN$3,0)+31,FALSE),0)*10</f>
        <v>0</v>
      </c>
      <c r="AA118" s="220">
        <f>IFERROR(VLOOKUP($A118,'NG Pivot'!$A$4:$AN$29,MATCH(AA$2,'NG Pivot'!$AF$3:$AN$3,0)+31,FALSE),0)*10</f>
        <v>0</v>
      </c>
      <c r="AB118" s="220">
        <f>IFERROR(VLOOKUP($A118,'NG Pivot'!$A$4:$AN$29,MATCH(AB$2,'NG Pivot'!$AF$3:$AN$3,0)+31,FALSE),0)*10</f>
        <v>0</v>
      </c>
      <c r="AC118" s="220">
        <f>IFERROR(VLOOKUP($A118,'NG Pivot'!$A$4:$AN$29,MATCH(AC$2,'NG Pivot'!$AF$3:$AN$3,0)+31,FALSE),0)*10</f>
        <v>0</v>
      </c>
      <c r="AD118" s="220">
        <f>IFERROR(VLOOKUP($A118,'NG Pivot'!$A$4:$AN$29,MATCH(AD$2,'NG Pivot'!$AF$3:$AN$3,0)+31,FALSE),0)*10</f>
        <v>0</v>
      </c>
    </row>
    <row r="119" spans="1:30">
      <c r="A119" s="223" t="s">
        <v>1279</v>
      </c>
      <c r="B119" s="220">
        <f>IFERROR(VLOOKUP($A119,'NG Pivot'!$A$4:$AN$29,MATCH(B$2,'NG Pivot'!$AF$3:$AN$3,0)+31,FALSE),0)*10</f>
        <v>0</v>
      </c>
      <c r="C119" s="220">
        <f>IFERROR(VLOOKUP($A119,'NG Pivot'!$A$4:$AN$29,MATCH(C$2,'NG Pivot'!$AF$3:$AN$3,0)+31,FALSE),0)*10</f>
        <v>0</v>
      </c>
      <c r="D119" s="220">
        <f>IFERROR(VLOOKUP($A119,'NG Pivot'!$A$4:$AN$29,MATCH(D$2,'NG Pivot'!$AF$3:$AN$3,0)+31,FALSE),0)*10</f>
        <v>0</v>
      </c>
      <c r="E119" s="220">
        <f>IFERROR(VLOOKUP($A119,'NG Pivot'!$A$4:$AN$29,MATCH(E$2,'NG Pivot'!$AF$3:$AN$3,0)+31,FALSE),0)*10</f>
        <v>0</v>
      </c>
      <c r="F119" s="220">
        <f>IFERROR(VLOOKUP($A119,'NG Pivot'!$A$4:$AN$29,MATCH(F$2,'NG Pivot'!$AF$3:$AN$3,0)+31,FALSE),0)*10</f>
        <v>0</v>
      </c>
      <c r="G119" s="220">
        <f>IFERROR(VLOOKUP($A119,'NG Pivot'!$A$4:$AN$29,MATCH(G$2,'NG Pivot'!$AF$3:$AN$3,0)+31,FALSE),0)*10</f>
        <v>0</v>
      </c>
      <c r="H119" s="220">
        <f>IFERROR(VLOOKUP($A119,'NG Pivot'!$A$4:$AN$29,MATCH(H$2,'NG Pivot'!$AF$3:$AN$3,0)+31,FALSE),0)*10</f>
        <v>0</v>
      </c>
      <c r="I119" s="220">
        <f>IFERROR(VLOOKUP($A119,'NG Pivot'!$A$4:$AN$29,MATCH(I$2,'NG Pivot'!$AF$3:$AN$3,0)+31,FALSE),0)*10</f>
        <v>0</v>
      </c>
      <c r="J119" s="220">
        <f>IFERROR(VLOOKUP($A119,'NG Pivot'!$A$4:$AN$29,MATCH(J$2,'NG Pivot'!$AF$3:$AN$3,0)+31,FALSE),0)*10</f>
        <v>0</v>
      </c>
      <c r="K119" s="220">
        <f>IFERROR(VLOOKUP($A119,'NG Pivot'!$A$4:$AN$29,MATCH(K$2,'NG Pivot'!$AF$3:$AN$3,0)+31,FALSE),0)*10</f>
        <v>0</v>
      </c>
      <c r="L119" s="220">
        <f>IFERROR(VLOOKUP($A119,'NG Pivot'!$A$4:$AN$29,MATCH(L$2,'NG Pivot'!$AF$3:$AN$3,0)+31,FALSE),0)*10</f>
        <v>0</v>
      </c>
      <c r="M119" s="220">
        <f>IFERROR(VLOOKUP($A119,'NG Pivot'!$A$4:$AN$29,MATCH(M$2,'NG Pivot'!$AF$3:$AN$3,0)+31,FALSE),0)*10</f>
        <v>0</v>
      </c>
      <c r="N119" s="220">
        <f>IFERROR(VLOOKUP($A119,'NG Pivot'!$A$4:$AN$29,MATCH(N$2,'NG Pivot'!$AF$3:$AN$3,0)+31,FALSE),0)*10</f>
        <v>0</v>
      </c>
      <c r="O119" s="220">
        <f>IFERROR(VLOOKUP($A119,'NG Pivot'!$A$4:$AN$29,MATCH(O$2,'NG Pivot'!$AF$3:$AN$3,0)+31,FALSE),0)*10</f>
        <v>0</v>
      </c>
      <c r="P119" s="220">
        <f>IFERROR(VLOOKUP($A119,'NG Pivot'!$A$4:$AN$29,MATCH(P$2,'NG Pivot'!$AF$3:$AN$3,0)+31,FALSE),0)*10</f>
        <v>0</v>
      </c>
      <c r="Q119" s="220">
        <f>IFERROR(VLOOKUP($A119,'NG Pivot'!$A$4:$AN$29,MATCH(Q$2,'NG Pivot'!$AF$3:$AN$3,0)+31,FALSE),0)*10</f>
        <v>0</v>
      </c>
      <c r="R119" s="220">
        <f>IFERROR(VLOOKUP($A119,'NG Pivot'!$A$4:$AN$29,MATCH(R$2,'NG Pivot'!$AF$3:$AN$3,0)+31,FALSE),0)*10</f>
        <v>0</v>
      </c>
      <c r="S119" s="220">
        <f>IFERROR(VLOOKUP($A119,'NG Pivot'!$A$4:$AN$29,MATCH(S$2,'NG Pivot'!$AF$3:$AN$3,0)+31,FALSE),0)*10</f>
        <v>0</v>
      </c>
      <c r="T119" s="220">
        <f>IFERROR(VLOOKUP($A119,'NG Pivot'!$A$4:$AN$29,MATCH(T$2,'NG Pivot'!$AF$3:$AN$3,0)+31,FALSE),0)*10</f>
        <v>0</v>
      </c>
      <c r="U119" s="220">
        <f>IFERROR(VLOOKUP($A119,'NG Pivot'!$A$4:$AN$29,MATCH(U$2,'NG Pivot'!$AF$3:$AN$3,0)+31,FALSE),0)*10</f>
        <v>0</v>
      </c>
      <c r="V119" s="220">
        <f>IFERROR(VLOOKUP($A119,'NG Pivot'!$A$4:$AN$29,MATCH(V$2,'NG Pivot'!$AF$3:$AN$3,0)+31,FALSE),0)*10</f>
        <v>0</v>
      </c>
      <c r="W119" s="220">
        <f>IFERROR(VLOOKUP($A119,'NG Pivot'!$A$4:$AN$29,MATCH(W$2,'NG Pivot'!$AF$3:$AN$3,0)+31,FALSE),0)*10</f>
        <v>0</v>
      </c>
      <c r="X119" s="220">
        <f>IFERROR(VLOOKUP($A119,'NG Pivot'!$A$4:$AN$29,MATCH(X$2,'NG Pivot'!$AF$3:$AN$3,0)+31,FALSE),0)*10</f>
        <v>0</v>
      </c>
      <c r="Y119" s="220">
        <f>IFERROR(VLOOKUP($A119,'NG Pivot'!$A$4:$AN$29,MATCH(Y$2,'NG Pivot'!$AF$3:$AN$3,0)+31,FALSE),0)*10</f>
        <v>0</v>
      </c>
      <c r="Z119" s="220">
        <f>IFERROR(VLOOKUP($A119,'NG Pivot'!$A$4:$AN$29,MATCH(Z$2,'NG Pivot'!$AF$3:$AN$3,0)+31,FALSE),0)*10</f>
        <v>0</v>
      </c>
      <c r="AA119" s="220">
        <f>IFERROR(VLOOKUP($A119,'NG Pivot'!$A$4:$AN$29,MATCH(AA$2,'NG Pivot'!$AF$3:$AN$3,0)+31,FALSE),0)*10</f>
        <v>0</v>
      </c>
      <c r="AB119" s="220">
        <f>IFERROR(VLOOKUP($A119,'NG Pivot'!$A$4:$AN$29,MATCH(AB$2,'NG Pivot'!$AF$3:$AN$3,0)+31,FALSE),0)*10</f>
        <v>0</v>
      </c>
      <c r="AC119" s="220">
        <f>IFERROR(VLOOKUP($A119,'NG Pivot'!$A$4:$AN$29,MATCH(AC$2,'NG Pivot'!$AF$3:$AN$3,0)+31,FALSE),0)*10</f>
        <v>0</v>
      </c>
      <c r="AD119" s="220">
        <f>IFERROR(VLOOKUP($A119,'NG Pivot'!$A$4:$AN$29,MATCH(AD$2,'NG Pivot'!$AF$3:$AN$3,0)+31,FALSE),0)*10</f>
        <v>0</v>
      </c>
    </row>
    <row r="120" spans="1:30">
      <c r="A120" s="223" t="s">
        <v>1280</v>
      </c>
      <c r="B120" s="220">
        <f>IFERROR(VLOOKUP($A120,'NG Pivot'!$A$4:$AN$29,MATCH(B$2,'NG Pivot'!$AF$3:$AN$3,0)+31,FALSE),0)*10</f>
        <v>0</v>
      </c>
      <c r="C120" s="220">
        <f>IFERROR(VLOOKUP($A120,'NG Pivot'!$A$4:$AN$29,MATCH(C$2,'NG Pivot'!$AF$3:$AN$3,0)+31,FALSE),0)*10</f>
        <v>0</v>
      </c>
      <c r="D120" s="220">
        <f>IFERROR(VLOOKUP($A120,'NG Pivot'!$A$4:$AN$29,MATCH(D$2,'NG Pivot'!$AF$3:$AN$3,0)+31,FALSE),0)*10</f>
        <v>0</v>
      </c>
      <c r="E120" s="220">
        <f>IFERROR(VLOOKUP($A120,'NG Pivot'!$A$4:$AN$29,MATCH(E$2,'NG Pivot'!$AF$3:$AN$3,0)+31,FALSE),0)*10</f>
        <v>0</v>
      </c>
      <c r="F120" s="220">
        <f>IFERROR(VLOOKUP($A120,'NG Pivot'!$A$4:$AN$29,MATCH(F$2,'NG Pivot'!$AF$3:$AN$3,0)+31,FALSE),0)*10</f>
        <v>0</v>
      </c>
      <c r="G120" s="220">
        <f>IFERROR(VLOOKUP($A120,'NG Pivot'!$A$4:$AN$29,MATCH(G$2,'NG Pivot'!$AF$3:$AN$3,0)+31,FALSE),0)*10</f>
        <v>0</v>
      </c>
      <c r="H120" s="220">
        <f>IFERROR(VLOOKUP($A120,'NG Pivot'!$A$4:$AN$29,MATCH(H$2,'NG Pivot'!$AF$3:$AN$3,0)+31,FALSE),0)*10</f>
        <v>0</v>
      </c>
      <c r="I120" s="220">
        <f>IFERROR(VLOOKUP($A120,'NG Pivot'!$A$4:$AN$29,MATCH(I$2,'NG Pivot'!$AF$3:$AN$3,0)+31,FALSE),0)*10</f>
        <v>0</v>
      </c>
      <c r="J120" s="220">
        <f>IFERROR(VLOOKUP($A120,'NG Pivot'!$A$4:$AN$29,MATCH(J$2,'NG Pivot'!$AF$3:$AN$3,0)+31,FALSE),0)*10</f>
        <v>0</v>
      </c>
      <c r="K120" s="220">
        <f>IFERROR(VLOOKUP($A120,'NG Pivot'!$A$4:$AN$29,MATCH(K$2,'NG Pivot'!$AF$3:$AN$3,0)+31,FALSE),0)*10</f>
        <v>0</v>
      </c>
      <c r="L120" s="220">
        <f>IFERROR(VLOOKUP($A120,'NG Pivot'!$A$4:$AN$29,MATCH(L$2,'NG Pivot'!$AF$3:$AN$3,0)+31,FALSE),0)*10</f>
        <v>0</v>
      </c>
      <c r="M120" s="220">
        <f>IFERROR(VLOOKUP($A120,'NG Pivot'!$A$4:$AN$29,MATCH(M$2,'NG Pivot'!$AF$3:$AN$3,0)+31,FALSE),0)*10</f>
        <v>0</v>
      </c>
      <c r="N120" s="220">
        <f>IFERROR(VLOOKUP($A120,'NG Pivot'!$A$4:$AN$29,MATCH(N$2,'NG Pivot'!$AF$3:$AN$3,0)+31,FALSE),0)*10</f>
        <v>0</v>
      </c>
      <c r="O120" s="220">
        <f>IFERROR(VLOOKUP($A120,'NG Pivot'!$A$4:$AN$29,MATCH(O$2,'NG Pivot'!$AF$3:$AN$3,0)+31,FALSE),0)*10</f>
        <v>0</v>
      </c>
      <c r="P120" s="220">
        <f>IFERROR(VLOOKUP($A120,'NG Pivot'!$A$4:$AN$29,MATCH(P$2,'NG Pivot'!$AF$3:$AN$3,0)+31,FALSE),0)*10</f>
        <v>0</v>
      </c>
      <c r="Q120" s="220">
        <f>IFERROR(VLOOKUP($A120,'NG Pivot'!$A$4:$AN$29,MATCH(Q$2,'NG Pivot'!$AF$3:$AN$3,0)+31,FALSE),0)*10</f>
        <v>0</v>
      </c>
      <c r="R120" s="220">
        <f>IFERROR(VLOOKUP($A120,'NG Pivot'!$A$4:$AN$29,MATCH(R$2,'NG Pivot'!$AF$3:$AN$3,0)+31,FALSE),0)*10</f>
        <v>0</v>
      </c>
      <c r="S120" s="220">
        <f>IFERROR(VLOOKUP($A120,'NG Pivot'!$A$4:$AN$29,MATCH(S$2,'NG Pivot'!$AF$3:$AN$3,0)+31,FALSE),0)*10</f>
        <v>0</v>
      </c>
      <c r="T120" s="220">
        <f>IFERROR(VLOOKUP($A120,'NG Pivot'!$A$4:$AN$29,MATCH(T$2,'NG Pivot'!$AF$3:$AN$3,0)+31,FALSE),0)*10</f>
        <v>0</v>
      </c>
      <c r="U120" s="220">
        <f>IFERROR(VLOOKUP($A120,'NG Pivot'!$A$4:$AN$29,MATCH(U$2,'NG Pivot'!$AF$3:$AN$3,0)+31,FALSE),0)*10</f>
        <v>0</v>
      </c>
      <c r="V120" s="220">
        <f>IFERROR(VLOOKUP($A120,'NG Pivot'!$A$4:$AN$29,MATCH(V$2,'NG Pivot'!$AF$3:$AN$3,0)+31,FALSE),0)*10</f>
        <v>0</v>
      </c>
      <c r="W120" s="220">
        <f>IFERROR(VLOOKUP($A120,'NG Pivot'!$A$4:$AN$29,MATCH(W$2,'NG Pivot'!$AF$3:$AN$3,0)+31,FALSE),0)*10</f>
        <v>0</v>
      </c>
      <c r="X120" s="220">
        <f>IFERROR(VLOOKUP($A120,'NG Pivot'!$A$4:$AN$29,MATCH(X$2,'NG Pivot'!$AF$3:$AN$3,0)+31,FALSE),0)*10</f>
        <v>0</v>
      </c>
      <c r="Y120" s="220">
        <f>IFERROR(VLOOKUP($A120,'NG Pivot'!$A$4:$AN$29,MATCH(Y$2,'NG Pivot'!$AF$3:$AN$3,0)+31,FALSE),0)*10</f>
        <v>0</v>
      </c>
      <c r="Z120" s="220">
        <f>IFERROR(VLOOKUP($A120,'NG Pivot'!$A$4:$AN$29,MATCH(Z$2,'NG Pivot'!$AF$3:$AN$3,0)+31,FALSE),0)*10</f>
        <v>0</v>
      </c>
      <c r="AA120" s="220">
        <f>IFERROR(VLOOKUP($A120,'NG Pivot'!$A$4:$AN$29,MATCH(AA$2,'NG Pivot'!$AF$3:$AN$3,0)+31,FALSE),0)*10</f>
        <v>0</v>
      </c>
      <c r="AB120" s="220">
        <f>IFERROR(VLOOKUP($A120,'NG Pivot'!$A$4:$AN$29,MATCH(AB$2,'NG Pivot'!$AF$3:$AN$3,0)+31,FALSE),0)*10</f>
        <v>0</v>
      </c>
      <c r="AC120" s="220">
        <f>IFERROR(VLOOKUP($A120,'NG Pivot'!$A$4:$AN$29,MATCH(AC$2,'NG Pivot'!$AF$3:$AN$3,0)+31,FALSE),0)*10</f>
        <v>0</v>
      </c>
      <c r="AD120" s="220">
        <f>IFERROR(VLOOKUP($A120,'NG Pivot'!$A$4:$AN$29,MATCH(AD$2,'NG Pivot'!$AF$3:$AN$3,0)+31,FALSE),0)*10</f>
        <v>0</v>
      </c>
    </row>
    <row r="121" spans="1:30">
      <c r="A121" s="223" t="s">
        <v>1281</v>
      </c>
      <c r="B121" s="220">
        <f>IFERROR(VLOOKUP($A121,'NG Pivot'!$A$4:$AN$29,MATCH(B$2,'NG Pivot'!$AF$3:$AN$3,0)+31,FALSE),0)*10</f>
        <v>0</v>
      </c>
      <c r="C121" s="220">
        <f>IFERROR(VLOOKUP($A121,'NG Pivot'!$A$4:$AN$29,MATCH(C$2,'NG Pivot'!$AF$3:$AN$3,0)+31,FALSE),0)*10</f>
        <v>0</v>
      </c>
      <c r="D121" s="220">
        <f>IFERROR(VLOOKUP($A121,'NG Pivot'!$A$4:$AN$29,MATCH(D$2,'NG Pivot'!$AF$3:$AN$3,0)+31,FALSE),0)*10</f>
        <v>0</v>
      </c>
      <c r="E121" s="220">
        <f>IFERROR(VLOOKUP($A121,'NG Pivot'!$A$4:$AN$29,MATCH(E$2,'NG Pivot'!$AF$3:$AN$3,0)+31,FALSE),0)*10</f>
        <v>0</v>
      </c>
      <c r="F121" s="220">
        <f>IFERROR(VLOOKUP($A121,'NG Pivot'!$A$4:$AN$29,MATCH(F$2,'NG Pivot'!$AF$3:$AN$3,0)+31,FALSE),0)*10</f>
        <v>0</v>
      </c>
      <c r="G121" s="220">
        <f>IFERROR(VLOOKUP($A121,'NG Pivot'!$A$4:$AN$29,MATCH(G$2,'NG Pivot'!$AF$3:$AN$3,0)+31,FALSE),0)*10</f>
        <v>0</v>
      </c>
      <c r="H121" s="220">
        <f>IFERROR(VLOOKUP($A121,'NG Pivot'!$A$4:$AN$29,MATCH(H$2,'NG Pivot'!$AF$3:$AN$3,0)+31,FALSE),0)*10</f>
        <v>0</v>
      </c>
      <c r="I121" s="220">
        <f>IFERROR(VLOOKUP($A121,'NG Pivot'!$A$4:$AN$29,MATCH(I$2,'NG Pivot'!$AF$3:$AN$3,0)+31,FALSE),0)*10</f>
        <v>0</v>
      </c>
      <c r="J121" s="220">
        <f>IFERROR(VLOOKUP($A121,'NG Pivot'!$A$4:$AN$29,MATCH(J$2,'NG Pivot'!$AF$3:$AN$3,0)+31,FALSE),0)*10</f>
        <v>0</v>
      </c>
      <c r="K121" s="220">
        <f>IFERROR(VLOOKUP($A121,'NG Pivot'!$A$4:$AN$29,MATCH(K$2,'NG Pivot'!$AF$3:$AN$3,0)+31,FALSE),0)*10</f>
        <v>0</v>
      </c>
      <c r="L121" s="220">
        <f>IFERROR(VLOOKUP($A121,'NG Pivot'!$A$4:$AN$29,MATCH(L$2,'NG Pivot'!$AF$3:$AN$3,0)+31,FALSE),0)*10</f>
        <v>0</v>
      </c>
      <c r="M121" s="220">
        <f>IFERROR(VLOOKUP($A121,'NG Pivot'!$A$4:$AN$29,MATCH(M$2,'NG Pivot'!$AF$3:$AN$3,0)+31,FALSE),0)*10</f>
        <v>0</v>
      </c>
      <c r="N121" s="220">
        <f>IFERROR(VLOOKUP($A121,'NG Pivot'!$A$4:$AN$29,MATCH(N$2,'NG Pivot'!$AF$3:$AN$3,0)+31,FALSE),0)*10</f>
        <v>0</v>
      </c>
      <c r="O121" s="220">
        <f>IFERROR(VLOOKUP($A121,'NG Pivot'!$A$4:$AN$29,MATCH(O$2,'NG Pivot'!$AF$3:$AN$3,0)+31,FALSE),0)*10</f>
        <v>0</v>
      </c>
      <c r="P121" s="220">
        <f>IFERROR(VLOOKUP($A121,'NG Pivot'!$A$4:$AN$29,MATCH(P$2,'NG Pivot'!$AF$3:$AN$3,0)+31,FALSE),0)*10</f>
        <v>0</v>
      </c>
      <c r="Q121" s="220">
        <f>IFERROR(VLOOKUP($A121,'NG Pivot'!$A$4:$AN$29,MATCH(Q$2,'NG Pivot'!$AF$3:$AN$3,0)+31,FALSE),0)*10</f>
        <v>0</v>
      </c>
      <c r="R121" s="220">
        <f>IFERROR(VLOOKUP($A121,'NG Pivot'!$A$4:$AN$29,MATCH(R$2,'NG Pivot'!$AF$3:$AN$3,0)+31,FALSE),0)*10</f>
        <v>0</v>
      </c>
      <c r="S121" s="220">
        <f>IFERROR(VLOOKUP($A121,'NG Pivot'!$A$4:$AN$29,MATCH(S$2,'NG Pivot'!$AF$3:$AN$3,0)+31,FALSE),0)*10</f>
        <v>0</v>
      </c>
      <c r="T121" s="220">
        <f>IFERROR(VLOOKUP($A121,'NG Pivot'!$A$4:$AN$29,MATCH(T$2,'NG Pivot'!$AF$3:$AN$3,0)+31,FALSE),0)*10</f>
        <v>0</v>
      </c>
      <c r="U121" s="220">
        <f>IFERROR(VLOOKUP($A121,'NG Pivot'!$A$4:$AN$29,MATCH(U$2,'NG Pivot'!$AF$3:$AN$3,0)+31,FALSE),0)*10</f>
        <v>0</v>
      </c>
      <c r="V121" s="220">
        <f>IFERROR(VLOOKUP($A121,'NG Pivot'!$A$4:$AN$29,MATCH(V$2,'NG Pivot'!$AF$3:$AN$3,0)+31,FALSE),0)*10</f>
        <v>0</v>
      </c>
      <c r="W121" s="220">
        <f>IFERROR(VLOOKUP($A121,'NG Pivot'!$A$4:$AN$29,MATCH(W$2,'NG Pivot'!$AF$3:$AN$3,0)+31,FALSE),0)*10</f>
        <v>0</v>
      </c>
      <c r="X121" s="220">
        <f>IFERROR(VLOOKUP($A121,'NG Pivot'!$A$4:$AN$29,MATCH(X$2,'NG Pivot'!$AF$3:$AN$3,0)+31,FALSE),0)*10</f>
        <v>0</v>
      </c>
      <c r="Y121" s="220">
        <f>IFERROR(VLOOKUP($A121,'NG Pivot'!$A$4:$AN$29,MATCH(Y$2,'NG Pivot'!$AF$3:$AN$3,0)+31,FALSE),0)*10</f>
        <v>0</v>
      </c>
      <c r="Z121" s="220">
        <f>IFERROR(VLOOKUP($A121,'NG Pivot'!$A$4:$AN$29,MATCH(Z$2,'NG Pivot'!$AF$3:$AN$3,0)+31,FALSE),0)*10</f>
        <v>0</v>
      </c>
      <c r="AA121" s="220">
        <f>IFERROR(VLOOKUP($A121,'NG Pivot'!$A$4:$AN$29,MATCH(AA$2,'NG Pivot'!$AF$3:$AN$3,0)+31,FALSE),0)*10</f>
        <v>0</v>
      </c>
      <c r="AB121" s="220">
        <f>IFERROR(VLOOKUP($A121,'NG Pivot'!$A$4:$AN$29,MATCH(AB$2,'NG Pivot'!$AF$3:$AN$3,0)+31,FALSE),0)*10</f>
        <v>0</v>
      </c>
      <c r="AC121" s="220">
        <f>IFERROR(VLOOKUP($A121,'NG Pivot'!$A$4:$AN$29,MATCH(AC$2,'NG Pivot'!$AF$3:$AN$3,0)+31,FALSE),0)*10</f>
        <v>0</v>
      </c>
      <c r="AD121" s="220">
        <f>IFERROR(VLOOKUP($A121,'NG Pivot'!$A$4:$AN$29,MATCH(AD$2,'NG Pivot'!$AF$3:$AN$3,0)+31,FALSE),0)*10</f>
        <v>0</v>
      </c>
    </row>
    <row r="122" spans="1:30">
      <c r="A122" s="223" t="s">
        <v>1282</v>
      </c>
      <c r="B122" s="220">
        <f>IFERROR(VLOOKUP($A122,'NG Pivot'!$A$4:$AN$29,MATCH(B$2,'NG Pivot'!$AF$3:$AN$3,0)+31,FALSE),0)*10</f>
        <v>0</v>
      </c>
      <c r="C122" s="220">
        <f>IFERROR(VLOOKUP($A122,'NG Pivot'!$A$4:$AN$29,MATCH(C$2,'NG Pivot'!$AF$3:$AN$3,0)+31,FALSE),0)*10</f>
        <v>0</v>
      </c>
      <c r="D122" s="220">
        <f>IFERROR(VLOOKUP($A122,'NG Pivot'!$A$4:$AN$29,MATCH(D$2,'NG Pivot'!$AF$3:$AN$3,0)+31,FALSE),0)*10</f>
        <v>0</v>
      </c>
      <c r="E122" s="220">
        <f>IFERROR(VLOOKUP($A122,'NG Pivot'!$A$4:$AN$29,MATCH(E$2,'NG Pivot'!$AF$3:$AN$3,0)+31,FALSE),0)*10</f>
        <v>0</v>
      </c>
      <c r="F122" s="220">
        <f>IFERROR(VLOOKUP($A122,'NG Pivot'!$A$4:$AN$29,MATCH(F$2,'NG Pivot'!$AF$3:$AN$3,0)+31,FALSE),0)*10</f>
        <v>0</v>
      </c>
      <c r="G122" s="220">
        <f>IFERROR(VLOOKUP($A122,'NG Pivot'!$A$4:$AN$29,MATCH(G$2,'NG Pivot'!$AF$3:$AN$3,0)+31,FALSE),0)*10</f>
        <v>0</v>
      </c>
      <c r="H122" s="220">
        <f>IFERROR(VLOOKUP($A122,'NG Pivot'!$A$4:$AN$29,MATCH(H$2,'NG Pivot'!$AF$3:$AN$3,0)+31,FALSE),0)*10</f>
        <v>0</v>
      </c>
      <c r="I122" s="220">
        <f>IFERROR(VLOOKUP($A122,'NG Pivot'!$A$4:$AN$29,MATCH(I$2,'NG Pivot'!$AF$3:$AN$3,0)+31,FALSE),0)*10</f>
        <v>0</v>
      </c>
      <c r="J122" s="220">
        <f>IFERROR(VLOOKUP($A122,'NG Pivot'!$A$4:$AN$29,MATCH(J$2,'NG Pivot'!$AF$3:$AN$3,0)+31,FALSE),0)*10</f>
        <v>0</v>
      </c>
      <c r="K122" s="220">
        <f>IFERROR(VLOOKUP($A122,'NG Pivot'!$A$4:$AN$29,MATCH(K$2,'NG Pivot'!$AF$3:$AN$3,0)+31,FALSE),0)*10</f>
        <v>0</v>
      </c>
      <c r="L122" s="220">
        <f>IFERROR(VLOOKUP($A122,'NG Pivot'!$A$4:$AN$29,MATCH(L$2,'NG Pivot'!$AF$3:$AN$3,0)+31,FALSE),0)*10</f>
        <v>0</v>
      </c>
      <c r="M122" s="220">
        <f>IFERROR(VLOOKUP($A122,'NG Pivot'!$A$4:$AN$29,MATCH(M$2,'NG Pivot'!$AF$3:$AN$3,0)+31,FALSE),0)*10</f>
        <v>0</v>
      </c>
      <c r="N122" s="220">
        <f>IFERROR(VLOOKUP($A122,'NG Pivot'!$A$4:$AN$29,MATCH(N$2,'NG Pivot'!$AF$3:$AN$3,0)+31,FALSE),0)*10</f>
        <v>0</v>
      </c>
      <c r="O122" s="220">
        <f>IFERROR(VLOOKUP($A122,'NG Pivot'!$A$4:$AN$29,MATCH(O$2,'NG Pivot'!$AF$3:$AN$3,0)+31,FALSE),0)*10</f>
        <v>0</v>
      </c>
      <c r="P122" s="220">
        <f>IFERROR(VLOOKUP($A122,'NG Pivot'!$A$4:$AN$29,MATCH(P$2,'NG Pivot'!$AF$3:$AN$3,0)+31,FALSE),0)*10</f>
        <v>0</v>
      </c>
      <c r="Q122" s="220">
        <f>IFERROR(VLOOKUP($A122,'NG Pivot'!$A$4:$AN$29,MATCH(Q$2,'NG Pivot'!$AF$3:$AN$3,0)+31,FALSE),0)*10</f>
        <v>0</v>
      </c>
      <c r="R122" s="220">
        <f>IFERROR(VLOOKUP($A122,'NG Pivot'!$A$4:$AN$29,MATCH(R$2,'NG Pivot'!$AF$3:$AN$3,0)+31,FALSE),0)*10</f>
        <v>0</v>
      </c>
      <c r="S122" s="220">
        <f>IFERROR(VLOOKUP($A122,'NG Pivot'!$A$4:$AN$29,MATCH(S$2,'NG Pivot'!$AF$3:$AN$3,0)+31,FALSE),0)*10</f>
        <v>0</v>
      </c>
      <c r="T122" s="220">
        <f>IFERROR(VLOOKUP($A122,'NG Pivot'!$A$4:$AN$29,MATCH(T$2,'NG Pivot'!$AF$3:$AN$3,0)+31,FALSE),0)*10</f>
        <v>0</v>
      </c>
      <c r="U122" s="220">
        <f>IFERROR(VLOOKUP($A122,'NG Pivot'!$A$4:$AN$29,MATCH(U$2,'NG Pivot'!$AF$3:$AN$3,0)+31,FALSE),0)*10</f>
        <v>0</v>
      </c>
      <c r="V122" s="220">
        <f>IFERROR(VLOOKUP($A122,'NG Pivot'!$A$4:$AN$29,MATCH(V$2,'NG Pivot'!$AF$3:$AN$3,0)+31,FALSE),0)*10</f>
        <v>0</v>
      </c>
      <c r="W122" s="220">
        <f>IFERROR(VLOOKUP($A122,'NG Pivot'!$A$4:$AN$29,MATCH(W$2,'NG Pivot'!$AF$3:$AN$3,0)+31,FALSE),0)*10</f>
        <v>0</v>
      </c>
      <c r="X122" s="220">
        <f>IFERROR(VLOOKUP($A122,'NG Pivot'!$A$4:$AN$29,MATCH(X$2,'NG Pivot'!$AF$3:$AN$3,0)+31,FALSE),0)*10</f>
        <v>0</v>
      </c>
      <c r="Y122" s="220">
        <f>IFERROR(VLOOKUP($A122,'NG Pivot'!$A$4:$AN$29,MATCH(Y$2,'NG Pivot'!$AF$3:$AN$3,0)+31,FALSE),0)*10</f>
        <v>0</v>
      </c>
      <c r="Z122" s="220">
        <f>IFERROR(VLOOKUP($A122,'NG Pivot'!$A$4:$AN$29,MATCH(Z$2,'NG Pivot'!$AF$3:$AN$3,0)+31,FALSE),0)*10</f>
        <v>0</v>
      </c>
      <c r="AA122" s="220">
        <f>IFERROR(VLOOKUP($A122,'NG Pivot'!$A$4:$AN$29,MATCH(AA$2,'NG Pivot'!$AF$3:$AN$3,0)+31,FALSE),0)*10</f>
        <v>0</v>
      </c>
      <c r="AB122" s="220">
        <f>IFERROR(VLOOKUP($A122,'NG Pivot'!$A$4:$AN$29,MATCH(AB$2,'NG Pivot'!$AF$3:$AN$3,0)+31,FALSE),0)*10</f>
        <v>0</v>
      </c>
      <c r="AC122" s="220">
        <f>IFERROR(VLOOKUP($A122,'NG Pivot'!$A$4:$AN$29,MATCH(AC$2,'NG Pivot'!$AF$3:$AN$3,0)+31,FALSE),0)*10</f>
        <v>12</v>
      </c>
      <c r="AD122" s="220">
        <f>IFERROR(VLOOKUP($A122,'NG Pivot'!$A$4:$AN$29,MATCH(AD$2,'NG Pivot'!$AF$3:$AN$3,0)+31,FALSE),0)*10</f>
        <v>0</v>
      </c>
    </row>
    <row r="123" spans="1:30">
      <c r="A123" s="223" t="s">
        <v>1283</v>
      </c>
      <c r="B123" s="220">
        <f>IFERROR(VLOOKUP($A123,'NG Pivot'!$A$4:$AN$29,MATCH(B$2,'NG Pivot'!$AF$3:$AN$3,0)+31,FALSE),0)*10</f>
        <v>0</v>
      </c>
      <c r="C123" s="220">
        <f>IFERROR(VLOOKUP($A123,'NG Pivot'!$A$4:$AN$29,MATCH(C$2,'NG Pivot'!$AF$3:$AN$3,0)+31,FALSE),0)*10</f>
        <v>0</v>
      </c>
      <c r="D123" s="220">
        <f>IFERROR(VLOOKUP($A123,'NG Pivot'!$A$4:$AN$29,MATCH(D$2,'NG Pivot'!$AF$3:$AN$3,0)+31,FALSE),0)*10</f>
        <v>0</v>
      </c>
      <c r="E123" s="220">
        <f>IFERROR(VLOOKUP($A123,'NG Pivot'!$A$4:$AN$29,MATCH(E$2,'NG Pivot'!$AF$3:$AN$3,0)+31,FALSE),0)*10</f>
        <v>0</v>
      </c>
      <c r="F123" s="220">
        <f>IFERROR(VLOOKUP($A123,'NG Pivot'!$A$4:$AN$29,MATCH(F$2,'NG Pivot'!$AF$3:$AN$3,0)+31,FALSE),0)*10</f>
        <v>0</v>
      </c>
      <c r="G123" s="220">
        <f>IFERROR(VLOOKUP($A123,'NG Pivot'!$A$4:$AN$29,MATCH(G$2,'NG Pivot'!$AF$3:$AN$3,0)+31,FALSE),0)*10</f>
        <v>0</v>
      </c>
      <c r="H123" s="220">
        <f>IFERROR(VLOOKUP($A123,'NG Pivot'!$A$4:$AN$29,MATCH(H$2,'NG Pivot'!$AF$3:$AN$3,0)+31,FALSE),0)*10</f>
        <v>0</v>
      </c>
      <c r="I123" s="220">
        <f>IFERROR(VLOOKUP($A123,'NG Pivot'!$A$4:$AN$29,MATCH(I$2,'NG Pivot'!$AF$3:$AN$3,0)+31,FALSE),0)*10</f>
        <v>0</v>
      </c>
      <c r="J123" s="220">
        <f>IFERROR(VLOOKUP($A123,'NG Pivot'!$A$4:$AN$29,MATCH(J$2,'NG Pivot'!$AF$3:$AN$3,0)+31,FALSE),0)*10</f>
        <v>0</v>
      </c>
      <c r="K123" s="220">
        <f>IFERROR(VLOOKUP($A123,'NG Pivot'!$A$4:$AN$29,MATCH(K$2,'NG Pivot'!$AF$3:$AN$3,0)+31,FALSE),0)*10</f>
        <v>0</v>
      </c>
      <c r="L123" s="220">
        <f>IFERROR(VLOOKUP($A123,'NG Pivot'!$A$4:$AN$29,MATCH(L$2,'NG Pivot'!$AF$3:$AN$3,0)+31,FALSE),0)*10</f>
        <v>0</v>
      </c>
      <c r="M123" s="220">
        <f>IFERROR(VLOOKUP($A123,'NG Pivot'!$A$4:$AN$29,MATCH(M$2,'NG Pivot'!$AF$3:$AN$3,0)+31,FALSE),0)*10</f>
        <v>0</v>
      </c>
      <c r="N123" s="220">
        <f>IFERROR(VLOOKUP($A123,'NG Pivot'!$A$4:$AN$29,MATCH(N$2,'NG Pivot'!$AF$3:$AN$3,0)+31,FALSE),0)*10</f>
        <v>0</v>
      </c>
      <c r="O123" s="220">
        <f>IFERROR(VLOOKUP($A123,'NG Pivot'!$A$4:$AN$29,MATCH(O$2,'NG Pivot'!$AF$3:$AN$3,0)+31,FALSE),0)*10</f>
        <v>0</v>
      </c>
      <c r="P123" s="220">
        <f>IFERROR(VLOOKUP($A123,'NG Pivot'!$A$4:$AN$29,MATCH(P$2,'NG Pivot'!$AF$3:$AN$3,0)+31,FALSE),0)*10</f>
        <v>0</v>
      </c>
      <c r="Q123" s="220">
        <f>IFERROR(VLOOKUP($A123,'NG Pivot'!$A$4:$AN$29,MATCH(Q$2,'NG Pivot'!$AF$3:$AN$3,0)+31,FALSE),0)*10</f>
        <v>0</v>
      </c>
      <c r="R123" s="220">
        <f>IFERROR(VLOOKUP($A123,'NG Pivot'!$A$4:$AN$29,MATCH(R$2,'NG Pivot'!$AF$3:$AN$3,0)+31,FALSE),0)*10</f>
        <v>0</v>
      </c>
      <c r="S123" s="220">
        <f>IFERROR(VLOOKUP($A123,'NG Pivot'!$A$4:$AN$29,MATCH(S$2,'NG Pivot'!$AF$3:$AN$3,0)+31,FALSE),0)*10</f>
        <v>0</v>
      </c>
      <c r="T123" s="220">
        <f>IFERROR(VLOOKUP($A123,'NG Pivot'!$A$4:$AN$29,MATCH(T$2,'NG Pivot'!$AF$3:$AN$3,0)+31,FALSE),0)*10</f>
        <v>3.1</v>
      </c>
      <c r="U123" s="220">
        <f>IFERROR(VLOOKUP($A123,'NG Pivot'!$A$4:$AN$29,MATCH(U$2,'NG Pivot'!$AF$3:$AN$3,0)+31,FALSE),0)*10</f>
        <v>4</v>
      </c>
      <c r="V123" s="220">
        <f>IFERROR(VLOOKUP($A123,'NG Pivot'!$A$4:$AN$29,MATCH(V$2,'NG Pivot'!$AF$3:$AN$3,0)+31,FALSE),0)*10</f>
        <v>0</v>
      </c>
      <c r="W123" s="220">
        <f>IFERROR(VLOOKUP($A123,'NG Pivot'!$A$4:$AN$29,MATCH(W$2,'NG Pivot'!$AF$3:$AN$3,0)+31,FALSE),0)*10</f>
        <v>0</v>
      </c>
      <c r="X123" s="220">
        <f>IFERROR(VLOOKUP($A123,'NG Pivot'!$A$4:$AN$29,MATCH(X$2,'NG Pivot'!$AF$3:$AN$3,0)+31,FALSE),0)*10</f>
        <v>0</v>
      </c>
      <c r="Y123" s="220">
        <f>IFERROR(VLOOKUP($A123,'NG Pivot'!$A$4:$AN$29,MATCH(Y$2,'NG Pivot'!$AF$3:$AN$3,0)+31,FALSE),0)*10</f>
        <v>0</v>
      </c>
      <c r="Z123" s="220">
        <f>IFERROR(VLOOKUP($A123,'NG Pivot'!$A$4:$AN$29,MATCH(Z$2,'NG Pivot'!$AF$3:$AN$3,0)+31,FALSE),0)*10</f>
        <v>0</v>
      </c>
      <c r="AA123" s="220">
        <f>IFERROR(VLOOKUP($A123,'NG Pivot'!$A$4:$AN$29,MATCH(AA$2,'NG Pivot'!$AF$3:$AN$3,0)+31,FALSE),0)*10</f>
        <v>0</v>
      </c>
      <c r="AB123" s="220">
        <f>IFERROR(VLOOKUP($A123,'NG Pivot'!$A$4:$AN$29,MATCH(AB$2,'NG Pivot'!$AF$3:$AN$3,0)+31,FALSE),0)*10</f>
        <v>0</v>
      </c>
      <c r="AC123" s="220">
        <f>IFERROR(VLOOKUP($A123,'NG Pivot'!$A$4:$AN$29,MATCH(AC$2,'NG Pivot'!$AF$3:$AN$3,0)+31,FALSE),0)*10</f>
        <v>0</v>
      </c>
      <c r="AD123" s="220">
        <f>IFERROR(VLOOKUP($A123,'NG Pivot'!$A$4:$AN$29,MATCH(AD$2,'NG Pivot'!$AF$3:$AN$3,0)+31,FALSE),0)*10</f>
        <v>0</v>
      </c>
    </row>
    <row r="124" spans="1:30">
      <c r="A124" s="223" t="s">
        <v>1284</v>
      </c>
      <c r="B124" s="220">
        <f>IFERROR(VLOOKUP($A124,'NG Pivot'!$A$4:$AN$29,MATCH(B$2,'NG Pivot'!$AF$3:$AN$3,0)+31,FALSE),0)*10</f>
        <v>0</v>
      </c>
      <c r="C124" s="220">
        <f>IFERROR(VLOOKUP($A124,'NG Pivot'!$A$4:$AN$29,MATCH(C$2,'NG Pivot'!$AF$3:$AN$3,0)+31,FALSE),0)*10</f>
        <v>0</v>
      </c>
      <c r="D124" s="220">
        <f>IFERROR(VLOOKUP($A124,'NG Pivot'!$A$4:$AN$29,MATCH(D$2,'NG Pivot'!$AF$3:$AN$3,0)+31,FALSE),0)*10</f>
        <v>0</v>
      </c>
      <c r="E124" s="220">
        <f>IFERROR(VLOOKUP($A124,'NG Pivot'!$A$4:$AN$29,MATCH(E$2,'NG Pivot'!$AF$3:$AN$3,0)+31,FALSE),0)*10</f>
        <v>0</v>
      </c>
      <c r="F124" s="220">
        <f>IFERROR(VLOOKUP($A124,'NG Pivot'!$A$4:$AN$29,MATCH(F$2,'NG Pivot'!$AF$3:$AN$3,0)+31,FALSE),0)*10</f>
        <v>0</v>
      </c>
      <c r="G124" s="220">
        <f>IFERROR(VLOOKUP($A124,'NG Pivot'!$A$4:$AN$29,MATCH(G$2,'NG Pivot'!$AF$3:$AN$3,0)+31,FALSE),0)*10</f>
        <v>0</v>
      </c>
      <c r="H124" s="220">
        <f>IFERROR(VLOOKUP($A124,'NG Pivot'!$A$4:$AN$29,MATCH(H$2,'NG Pivot'!$AF$3:$AN$3,0)+31,FALSE),0)*10</f>
        <v>0</v>
      </c>
      <c r="I124" s="220">
        <f>IFERROR(VLOOKUP($A124,'NG Pivot'!$A$4:$AN$29,MATCH(I$2,'NG Pivot'!$AF$3:$AN$3,0)+31,FALSE),0)*10</f>
        <v>0</v>
      </c>
      <c r="J124" s="220">
        <f>IFERROR(VLOOKUP($A124,'NG Pivot'!$A$4:$AN$29,MATCH(J$2,'NG Pivot'!$AF$3:$AN$3,0)+31,FALSE),0)*10</f>
        <v>0</v>
      </c>
      <c r="K124" s="220">
        <f>IFERROR(VLOOKUP($A124,'NG Pivot'!$A$4:$AN$29,MATCH(K$2,'NG Pivot'!$AF$3:$AN$3,0)+31,FALSE),0)*10</f>
        <v>0</v>
      </c>
      <c r="L124" s="220">
        <f>IFERROR(VLOOKUP($A124,'NG Pivot'!$A$4:$AN$29,MATCH(L$2,'NG Pivot'!$AF$3:$AN$3,0)+31,FALSE),0)*10</f>
        <v>0</v>
      </c>
      <c r="M124" s="220">
        <f>IFERROR(VLOOKUP($A124,'NG Pivot'!$A$4:$AN$29,MATCH(M$2,'NG Pivot'!$AF$3:$AN$3,0)+31,FALSE),0)*10</f>
        <v>0</v>
      </c>
      <c r="N124" s="220">
        <f>IFERROR(VLOOKUP($A124,'NG Pivot'!$A$4:$AN$29,MATCH(N$2,'NG Pivot'!$AF$3:$AN$3,0)+31,FALSE),0)*10</f>
        <v>0</v>
      </c>
      <c r="O124" s="220">
        <f>IFERROR(VLOOKUP($A124,'NG Pivot'!$A$4:$AN$29,MATCH(O$2,'NG Pivot'!$AF$3:$AN$3,0)+31,FALSE),0)*10</f>
        <v>0</v>
      </c>
      <c r="P124" s="220">
        <f>IFERROR(VLOOKUP($A124,'NG Pivot'!$A$4:$AN$29,MATCH(P$2,'NG Pivot'!$AF$3:$AN$3,0)+31,FALSE),0)*10</f>
        <v>0</v>
      </c>
      <c r="Q124" s="220">
        <f>IFERROR(VLOOKUP($A124,'NG Pivot'!$A$4:$AN$29,MATCH(Q$2,'NG Pivot'!$AF$3:$AN$3,0)+31,FALSE),0)*10</f>
        <v>0</v>
      </c>
      <c r="R124" s="220">
        <f>IFERROR(VLOOKUP($A124,'NG Pivot'!$A$4:$AN$29,MATCH(R$2,'NG Pivot'!$AF$3:$AN$3,0)+31,FALSE),0)*10</f>
        <v>0</v>
      </c>
      <c r="S124" s="220">
        <f>IFERROR(VLOOKUP($A124,'NG Pivot'!$A$4:$AN$29,MATCH(S$2,'NG Pivot'!$AF$3:$AN$3,0)+31,FALSE),0)*10</f>
        <v>0</v>
      </c>
      <c r="T124" s="220">
        <f>IFERROR(VLOOKUP($A124,'NG Pivot'!$A$4:$AN$29,MATCH(T$2,'NG Pivot'!$AF$3:$AN$3,0)+31,FALSE),0)*10</f>
        <v>0</v>
      </c>
      <c r="U124" s="220">
        <f>IFERROR(VLOOKUP($A124,'NG Pivot'!$A$4:$AN$29,MATCH(U$2,'NG Pivot'!$AF$3:$AN$3,0)+31,FALSE),0)*10</f>
        <v>0</v>
      </c>
      <c r="V124" s="220">
        <f>IFERROR(VLOOKUP($A124,'NG Pivot'!$A$4:$AN$29,MATCH(V$2,'NG Pivot'!$AF$3:$AN$3,0)+31,FALSE),0)*10</f>
        <v>0</v>
      </c>
      <c r="W124" s="220">
        <f>IFERROR(VLOOKUP($A124,'NG Pivot'!$A$4:$AN$29,MATCH(W$2,'NG Pivot'!$AF$3:$AN$3,0)+31,FALSE),0)*10</f>
        <v>0</v>
      </c>
      <c r="X124" s="220">
        <f>IFERROR(VLOOKUP($A124,'NG Pivot'!$A$4:$AN$29,MATCH(X$2,'NG Pivot'!$AF$3:$AN$3,0)+31,FALSE),0)*10</f>
        <v>0</v>
      </c>
      <c r="Y124" s="220">
        <f>IFERROR(VLOOKUP($A124,'NG Pivot'!$A$4:$AN$29,MATCH(Y$2,'NG Pivot'!$AF$3:$AN$3,0)+31,FALSE),0)*10</f>
        <v>0</v>
      </c>
      <c r="Z124" s="220">
        <f>IFERROR(VLOOKUP($A124,'NG Pivot'!$A$4:$AN$29,MATCH(Z$2,'NG Pivot'!$AF$3:$AN$3,0)+31,FALSE),0)*10</f>
        <v>0</v>
      </c>
      <c r="AA124" s="220">
        <f>IFERROR(VLOOKUP($A124,'NG Pivot'!$A$4:$AN$29,MATCH(AA$2,'NG Pivot'!$AF$3:$AN$3,0)+31,FALSE),0)*10</f>
        <v>0</v>
      </c>
      <c r="AB124" s="220">
        <f>IFERROR(VLOOKUP($A124,'NG Pivot'!$A$4:$AN$29,MATCH(AB$2,'NG Pivot'!$AF$3:$AN$3,0)+31,FALSE),0)*10</f>
        <v>0</v>
      </c>
      <c r="AC124" s="220">
        <f>IFERROR(VLOOKUP($A124,'NG Pivot'!$A$4:$AN$29,MATCH(AC$2,'NG Pivot'!$AF$3:$AN$3,0)+31,FALSE),0)*10</f>
        <v>0</v>
      </c>
      <c r="AD124" s="220">
        <f>IFERROR(VLOOKUP($A124,'NG Pivot'!$A$4:$AN$29,MATCH(AD$2,'NG Pivot'!$AF$3:$AN$3,0)+31,FALSE),0)*10</f>
        <v>0</v>
      </c>
    </row>
    <row r="125" spans="1:30">
      <c r="A125" s="223" t="s">
        <v>1285</v>
      </c>
      <c r="B125" s="220">
        <f>IFERROR(VLOOKUP($A125,'NG Pivot'!$A$4:$AN$29,MATCH(B$2,'NG Pivot'!$AF$3:$AN$3,0)+31,FALSE),0)*10</f>
        <v>0</v>
      </c>
      <c r="C125" s="220">
        <f>IFERROR(VLOOKUP($A125,'NG Pivot'!$A$4:$AN$29,MATCH(C$2,'NG Pivot'!$AF$3:$AN$3,0)+31,FALSE),0)*10</f>
        <v>0</v>
      </c>
      <c r="D125" s="220">
        <f>IFERROR(VLOOKUP($A125,'NG Pivot'!$A$4:$AN$29,MATCH(D$2,'NG Pivot'!$AF$3:$AN$3,0)+31,FALSE),0)*10</f>
        <v>0</v>
      </c>
      <c r="E125" s="220">
        <f>IFERROR(VLOOKUP($A125,'NG Pivot'!$A$4:$AN$29,MATCH(E$2,'NG Pivot'!$AF$3:$AN$3,0)+31,FALSE),0)*10</f>
        <v>0</v>
      </c>
      <c r="F125" s="220">
        <f>IFERROR(VLOOKUP($A125,'NG Pivot'!$A$4:$AN$29,MATCH(F$2,'NG Pivot'!$AF$3:$AN$3,0)+31,FALSE),0)*10</f>
        <v>0</v>
      </c>
      <c r="G125" s="220">
        <f>IFERROR(VLOOKUP($A125,'NG Pivot'!$A$4:$AN$29,MATCH(G$2,'NG Pivot'!$AF$3:$AN$3,0)+31,FALSE),0)*10</f>
        <v>0</v>
      </c>
      <c r="H125" s="220">
        <f>IFERROR(VLOOKUP($A125,'NG Pivot'!$A$4:$AN$29,MATCH(H$2,'NG Pivot'!$AF$3:$AN$3,0)+31,FALSE),0)*10</f>
        <v>0</v>
      </c>
      <c r="I125" s="220">
        <f>IFERROR(VLOOKUP($A125,'NG Pivot'!$A$4:$AN$29,MATCH(I$2,'NG Pivot'!$AF$3:$AN$3,0)+31,FALSE),0)*10</f>
        <v>0</v>
      </c>
      <c r="J125" s="220">
        <f>IFERROR(VLOOKUP($A125,'NG Pivot'!$A$4:$AN$29,MATCH(J$2,'NG Pivot'!$AF$3:$AN$3,0)+31,FALSE),0)*10</f>
        <v>0</v>
      </c>
      <c r="K125" s="220">
        <f>IFERROR(VLOOKUP($A125,'NG Pivot'!$A$4:$AN$29,MATCH(K$2,'NG Pivot'!$AF$3:$AN$3,0)+31,FALSE),0)*10</f>
        <v>0</v>
      </c>
      <c r="L125" s="220">
        <f>IFERROR(VLOOKUP($A125,'NG Pivot'!$A$4:$AN$29,MATCH(L$2,'NG Pivot'!$AF$3:$AN$3,0)+31,FALSE),0)*10</f>
        <v>0</v>
      </c>
      <c r="M125" s="220">
        <f>IFERROR(VLOOKUP($A125,'NG Pivot'!$A$4:$AN$29,MATCH(M$2,'NG Pivot'!$AF$3:$AN$3,0)+31,FALSE),0)*10</f>
        <v>0</v>
      </c>
      <c r="N125" s="220">
        <f>IFERROR(VLOOKUP($A125,'NG Pivot'!$A$4:$AN$29,MATCH(N$2,'NG Pivot'!$AF$3:$AN$3,0)+31,FALSE),0)*10</f>
        <v>0</v>
      </c>
      <c r="O125" s="220">
        <f>IFERROR(VLOOKUP($A125,'NG Pivot'!$A$4:$AN$29,MATCH(O$2,'NG Pivot'!$AF$3:$AN$3,0)+31,FALSE),0)*10</f>
        <v>0</v>
      </c>
      <c r="P125" s="220">
        <f>IFERROR(VLOOKUP($A125,'NG Pivot'!$A$4:$AN$29,MATCH(P$2,'NG Pivot'!$AF$3:$AN$3,0)+31,FALSE),0)*10</f>
        <v>0</v>
      </c>
      <c r="Q125" s="220">
        <f>IFERROR(VLOOKUP($A125,'NG Pivot'!$A$4:$AN$29,MATCH(Q$2,'NG Pivot'!$AF$3:$AN$3,0)+31,FALSE),0)*10</f>
        <v>0</v>
      </c>
      <c r="R125" s="220">
        <f>IFERROR(VLOOKUP($A125,'NG Pivot'!$A$4:$AN$29,MATCH(R$2,'NG Pivot'!$AF$3:$AN$3,0)+31,FALSE),0)*10</f>
        <v>0</v>
      </c>
      <c r="S125" s="220">
        <f>IFERROR(VLOOKUP($A125,'NG Pivot'!$A$4:$AN$29,MATCH(S$2,'NG Pivot'!$AF$3:$AN$3,0)+31,FALSE),0)*10</f>
        <v>1.9</v>
      </c>
      <c r="T125" s="220">
        <f>IFERROR(VLOOKUP($A125,'NG Pivot'!$A$4:$AN$29,MATCH(T$2,'NG Pivot'!$AF$3:$AN$3,0)+31,FALSE),0)*10</f>
        <v>0</v>
      </c>
      <c r="U125" s="220">
        <f>IFERROR(VLOOKUP($A125,'NG Pivot'!$A$4:$AN$29,MATCH(U$2,'NG Pivot'!$AF$3:$AN$3,0)+31,FALSE),0)*10</f>
        <v>1</v>
      </c>
      <c r="V125" s="220">
        <f>IFERROR(VLOOKUP($A125,'NG Pivot'!$A$4:$AN$29,MATCH(V$2,'NG Pivot'!$AF$3:$AN$3,0)+31,FALSE),0)*10</f>
        <v>0</v>
      </c>
      <c r="W125" s="220">
        <f>IFERROR(VLOOKUP($A125,'NG Pivot'!$A$4:$AN$29,MATCH(W$2,'NG Pivot'!$AF$3:$AN$3,0)+31,FALSE),0)*10</f>
        <v>0</v>
      </c>
      <c r="X125" s="220">
        <f>IFERROR(VLOOKUP($A125,'NG Pivot'!$A$4:$AN$29,MATCH(X$2,'NG Pivot'!$AF$3:$AN$3,0)+31,FALSE),0)*10</f>
        <v>0</v>
      </c>
      <c r="Y125" s="220">
        <f>IFERROR(VLOOKUP($A125,'NG Pivot'!$A$4:$AN$29,MATCH(Y$2,'NG Pivot'!$AF$3:$AN$3,0)+31,FALSE),0)*10</f>
        <v>0</v>
      </c>
      <c r="Z125" s="220">
        <f>IFERROR(VLOOKUP($A125,'NG Pivot'!$A$4:$AN$29,MATCH(Z$2,'NG Pivot'!$AF$3:$AN$3,0)+31,FALSE),0)*10</f>
        <v>0</v>
      </c>
      <c r="AA125" s="220">
        <f>IFERROR(VLOOKUP($A125,'NG Pivot'!$A$4:$AN$29,MATCH(AA$2,'NG Pivot'!$AF$3:$AN$3,0)+31,FALSE),0)*10</f>
        <v>0</v>
      </c>
      <c r="AB125" s="220">
        <f>IFERROR(VLOOKUP($A125,'NG Pivot'!$A$4:$AN$29,MATCH(AB$2,'NG Pivot'!$AF$3:$AN$3,0)+31,FALSE),0)*10</f>
        <v>0</v>
      </c>
      <c r="AC125" s="220">
        <f>IFERROR(VLOOKUP($A125,'NG Pivot'!$A$4:$AN$29,MATCH(AC$2,'NG Pivot'!$AF$3:$AN$3,0)+31,FALSE),0)*10</f>
        <v>0</v>
      </c>
      <c r="AD125" s="220">
        <f>IFERROR(VLOOKUP($A125,'NG Pivot'!$A$4:$AN$29,MATCH(AD$2,'NG Pivot'!$AF$3:$AN$3,0)+31,FALSE),0)*10</f>
        <v>0</v>
      </c>
    </row>
    <row r="126" spans="1:30">
      <c r="A126" s="223" t="s">
        <v>1286</v>
      </c>
      <c r="B126" s="220">
        <f>IFERROR(VLOOKUP($A126,'NG Pivot'!$A$4:$AN$29,MATCH(B$2,'NG Pivot'!$AF$3:$AN$3,0)+31,FALSE),0)*10</f>
        <v>0</v>
      </c>
      <c r="C126" s="220">
        <f>IFERROR(VLOOKUP($A126,'NG Pivot'!$A$4:$AN$29,MATCH(C$2,'NG Pivot'!$AF$3:$AN$3,0)+31,FALSE),0)*10</f>
        <v>0</v>
      </c>
      <c r="D126" s="220">
        <f>IFERROR(VLOOKUP($A126,'NG Pivot'!$A$4:$AN$29,MATCH(D$2,'NG Pivot'!$AF$3:$AN$3,0)+31,FALSE),0)*10</f>
        <v>0</v>
      </c>
      <c r="E126" s="220">
        <f>IFERROR(VLOOKUP($A126,'NG Pivot'!$A$4:$AN$29,MATCH(E$2,'NG Pivot'!$AF$3:$AN$3,0)+31,FALSE),0)*10</f>
        <v>0</v>
      </c>
      <c r="F126" s="220">
        <f>IFERROR(VLOOKUP($A126,'NG Pivot'!$A$4:$AN$29,MATCH(F$2,'NG Pivot'!$AF$3:$AN$3,0)+31,FALSE),0)*10</f>
        <v>0</v>
      </c>
      <c r="G126" s="220">
        <f>IFERROR(VLOOKUP($A126,'NG Pivot'!$A$4:$AN$29,MATCH(G$2,'NG Pivot'!$AF$3:$AN$3,0)+31,FALSE),0)*10</f>
        <v>0</v>
      </c>
      <c r="H126" s="220">
        <f>IFERROR(VLOOKUP($A126,'NG Pivot'!$A$4:$AN$29,MATCH(H$2,'NG Pivot'!$AF$3:$AN$3,0)+31,FALSE),0)*10</f>
        <v>0</v>
      </c>
      <c r="I126" s="220">
        <f>IFERROR(VLOOKUP($A126,'NG Pivot'!$A$4:$AN$29,MATCH(I$2,'NG Pivot'!$AF$3:$AN$3,0)+31,FALSE),0)*10</f>
        <v>0</v>
      </c>
      <c r="J126" s="220">
        <f>IFERROR(VLOOKUP($A126,'NG Pivot'!$A$4:$AN$29,MATCH(J$2,'NG Pivot'!$AF$3:$AN$3,0)+31,FALSE),0)*10</f>
        <v>0</v>
      </c>
      <c r="K126" s="220">
        <f>IFERROR(VLOOKUP($A126,'NG Pivot'!$A$4:$AN$29,MATCH(K$2,'NG Pivot'!$AF$3:$AN$3,0)+31,FALSE),0)*10</f>
        <v>0</v>
      </c>
      <c r="L126" s="220">
        <f>IFERROR(VLOOKUP($A126,'NG Pivot'!$A$4:$AN$29,MATCH(L$2,'NG Pivot'!$AF$3:$AN$3,0)+31,FALSE),0)*10</f>
        <v>0</v>
      </c>
      <c r="M126" s="220">
        <f>IFERROR(VLOOKUP($A126,'NG Pivot'!$A$4:$AN$29,MATCH(M$2,'NG Pivot'!$AF$3:$AN$3,0)+31,FALSE),0)*10</f>
        <v>0</v>
      </c>
      <c r="N126" s="220">
        <f>IFERROR(VLOOKUP($A126,'NG Pivot'!$A$4:$AN$29,MATCH(N$2,'NG Pivot'!$AF$3:$AN$3,0)+31,FALSE),0)*10</f>
        <v>0</v>
      </c>
      <c r="O126" s="220">
        <f>IFERROR(VLOOKUP($A126,'NG Pivot'!$A$4:$AN$29,MATCH(O$2,'NG Pivot'!$AF$3:$AN$3,0)+31,FALSE),0)*10</f>
        <v>0</v>
      </c>
      <c r="P126" s="220">
        <f>IFERROR(VLOOKUP($A126,'NG Pivot'!$A$4:$AN$29,MATCH(P$2,'NG Pivot'!$AF$3:$AN$3,0)+31,FALSE),0)*10</f>
        <v>0</v>
      </c>
      <c r="Q126" s="220">
        <f>IFERROR(VLOOKUP($A126,'NG Pivot'!$A$4:$AN$29,MATCH(Q$2,'NG Pivot'!$AF$3:$AN$3,0)+31,FALSE),0)*10</f>
        <v>0</v>
      </c>
      <c r="R126" s="220">
        <f>IFERROR(VLOOKUP($A126,'NG Pivot'!$A$4:$AN$29,MATCH(R$2,'NG Pivot'!$AF$3:$AN$3,0)+31,FALSE),0)*10</f>
        <v>0</v>
      </c>
      <c r="S126" s="220">
        <f>IFERROR(VLOOKUP($A126,'NG Pivot'!$A$4:$AN$29,MATCH(S$2,'NG Pivot'!$AF$3:$AN$3,0)+31,FALSE),0)*10</f>
        <v>0</v>
      </c>
      <c r="T126" s="220">
        <f>IFERROR(VLOOKUP($A126,'NG Pivot'!$A$4:$AN$29,MATCH(T$2,'NG Pivot'!$AF$3:$AN$3,0)+31,FALSE),0)*10</f>
        <v>0</v>
      </c>
      <c r="U126" s="220">
        <f>IFERROR(VLOOKUP($A126,'NG Pivot'!$A$4:$AN$29,MATCH(U$2,'NG Pivot'!$AF$3:$AN$3,0)+31,FALSE),0)*10</f>
        <v>0</v>
      </c>
      <c r="V126" s="220">
        <f>IFERROR(VLOOKUP($A126,'NG Pivot'!$A$4:$AN$29,MATCH(V$2,'NG Pivot'!$AF$3:$AN$3,0)+31,FALSE),0)*10</f>
        <v>0</v>
      </c>
      <c r="W126" s="220">
        <f>IFERROR(VLOOKUP($A126,'NG Pivot'!$A$4:$AN$29,MATCH(W$2,'NG Pivot'!$AF$3:$AN$3,0)+31,FALSE),0)*10</f>
        <v>0</v>
      </c>
      <c r="X126" s="220">
        <f>IFERROR(VLOOKUP($A126,'NG Pivot'!$A$4:$AN$29,MATCH(X$2,'NG Pivot'!$AF$3:$AN$3,0)+31,FALSE),0)*10</f>
        <v>0</v>
      </c>
      <c r="Y126" s="220">
        <f>IFERROR(VLOOKUP($A126,'NG Pivot'!$A$4:$AN$29,MATCH(Y$2,'NG Pivot'!$AF$3:$AN$3,0)+31,FALSE),0)*10</f>
        <v>0</v>
      </c>
      <c r="Z126" s="220">
        <f>IFERROR(VLOOKUP($A126,'NG Pivot'!$A$4:$AN$29,MATCH(Z$2,'NG Pivot'!$AF$3:$AN$3,0)+31,FALSE),0)*10</f>
        <v>0</v>
      </c>
      <c r="AA126" s="220">
        <f>IFERROR(VLOOKUP($A126,'NG Pivot'!$A$4:$AN$29,MATCH(AA$2,'NG Pivot'!$AF$3:$AN$3,0)+31,FALSE),0)*10</f>
        <v>0</v>
      </c>
      <c r="AB126" s="220">
        <f>IFERROR(VLOOKUP($A126,'NG Pivot'!$A$4:$AN$29,MATCH(AB$2,'NG Pivot'!$AF$3:$AN$3,0)+31,FALSE),0)*10</f>
        <v>0</v>
      </c>
      <c r="AC126" s="220">
        <f>IFERROR(VLOOKUP($A126,'NG Pivot'!$A$4:$AN$29,MATCH(AC$2,'NG Pivot'!$AF$3:$AN$3,0)+31,FALSE),0)*10</f>
        <v>0</v>
      </c>
      <c r="AD126" s="220">
        <f>IFERROR(VLOOKUP($A126,'NG Pivot'!$A$4:$AN$29,MATCH(AD$2,'NG Pivot'!$AF$3:$AN$3,0)+31,FALSE),0)*10</f>
        <v>30</v>
      </c>
    </row>
    <row r="127" spans="1:30">
      <c r="A127" s="223" t="s">
        <v>1287</v>
      </c>
      <c r="B127" s="220">
        <f>IFERROR(VLOOKUP($A127,'NG Pivot'!$A$4:$AN$29,MATCH(B$2,'NG Pivot'!$AF$3:$AN$3,0)+31,FALSE),0)*10</f>
        <v>0</v>
      </c>
      <c r="C127" s="220">
        <f>IFERROR(VLOOKUP($A127,'NG Pivot'!$A$4:$AN$29,MATCH(C$2,'NG Pivot'!$AF$3:$AN$3,0)+31,FALSE),0)*10</f>
        <v>0</v>
      </c>
      <c r="D127" s="220">
        <f>IFERROR(VLOOKUP($A127,'NG Pivot'!$A$4:$AN$29,MATCH(D$2,'NG Pivot'!$AF$3:$AN$3,0)+31,FALSE),0)*10</f>
        <v>0</v>
      </c>
      <c r="E127" s="220">
        <f>IFERROR(VLOOKUP($A127,'NG Pivot'!$A$4:$AN$29,MATCH(E$2,'NG Pivot'!$AF$3:$AN$3,0)+31,FALSE),0)*10</f>
        <v>0</v>
      </c>
      <c r="F127" s="220">
        <f>IFERROR(VLOOKUP($A127,'NG Pivot'!$A$4:$AN$29,MATCH(F$2,'NG Pivot'!$AF$3:$AN$3,0)+31,FALSE),0)*10</f>
        <v>0</v>
      </c>
      <c r="G127" s="220">
        <f>IFERROR(VLOOKUP($A127,'NG Pivot'!$A$4:$AN$29,MATCH(G$2,'NG Pivot'!$AF$3:$AN$3,0)+31,FALSE),0)*10</f>
        <v>0</v>
      </c>
      <c r="H127" s="220">
        <f>IFERROR(VLOOKUP($A127,'NG Pivot'!$A$4:$AN$29,MATCH(H$2,'NG Pivot'!$AF$3:$AN$3,0)+31,FALSE),0)*10</f>
        <v>0</v>
      </c>
      <c r="I127" s="220">
        <f>IFERROR(VLOOKUP($A127,'NG Pivot'!$A$4:$AN$29,MATCH(I$2,'NG Pivot'!$AF$3:$AN$3,0)+31,FALSE),0)*10</f>
        <v>0</v>
      </c>
      <c r="J127" s="220">
        <f>IFERROR(VLOOKUP($A127,'NG Pivot'!$A$4:$AN$29,MATCH(J$2,'NG Pivot'!$AF$3:$AN$3,0)+31,FALSE),0)*10</f>
        <v>0</v>
      </c>
      <c r="K127" s="220">
        <f>IFERROR(VLOOKUP($A127,'NG Pivot'!$A$4:$AN$29,MATCH(K$2,'NG Pivot'!$AF$3:$AN$3,0)+31,FALSE),0)*10</f>
        <v>0</v>
      </c>
      <c r="L127" s="220">
        <f>IFERROR(VLOOKUP($A127,'NG Pivot'!$A$4:$AN$29,MATCH(L$2,'NG Pivot'!$AF$3:$AN$3,0)+31,FALSE),0)*10</f>
        <v>0</v>
      </c>
      <c r="M127" s="220">
        <f>IFERROR(VLOOKUP($A127,'NG Pivot'!$A$4:$AN$29,MATCH(M$2,'NG Pivot'!$AF$3:$AN$3,0)+31,FALSE),0)*10</f>
        <v>0</v>
      </c>
      <c r="N127" s="220">
        <f>IFERROR(VLOOKUP($A127,'NG Pivot'!$A$4:$AN$29,MATCH(N$2,'NG Pivot'!$AF$3:$AN$3,0)+31,FALSE),0)*10</f>
        <v>0</v>
      </c>
      <c r="O127" s="220">
        <f>IFERROR(VLOOKUP($A127,'NG Pivot'!$A$4:$AN$29,MATCH(O$2,'NG Pivot'!$AF$3:$AN$3,0)+31,FALSE),0)*10</f>
        <v>0</v>
      </c>
      <c r="P127" s="220">
        <f>IFERROR(VLOOKUP($A127,'NG Pivot'!$A$4:$AN$29,MATCH(P$2,'NG Pivot'!$AF$3:$AN$3,0)+31,FALSE),0)*10</f>
        <v>0</v>
      </c>
      <c r="Q127" s="220">
        <f>IFERROR(VLOOKUP($A127,'NG Pivot'!$A$4:$AN$29,MATCH(Q$2,'NG Pivot'!$AF$3:$AN$3,0)+31,FALSE),0)*10</f>
        <v>0</v>
      </c>
      <c r="R127" s="220">
        <f>IFERROR(VLOOKUP($A127,'NG Pivot'!$A$4:$AN$29,MATCH(R$2,'NG Pivot'!$AF$3:$AN$3,0)+31,FALSE),0)*10</f>
        <v>0</v>
      </c>
      <c r="S127" s="220">
        <f>IFERROR(VLOOKUP($A127,'NG Pivot'!$A$4:$AN$29,MATCH(S$2,'NG Pivot'!$AF$3:$AN$3,0)+31,FALSE),0)*10</f>
        <v>0</v>
      </c>
      <c r="T127" s="220">
        <f>IFERROR(VLOOKUP($A127,'NG Pivot'!$A$4:$AN$29,MATCH(T$2,'NG Pivot'!$AF$3:$AN$3,0)+31,FALSE),0)*10</f>
        <v>0</v>
      </c>
      <c r="U127" s="220">
        <f>IFERROR(VLOOKUP($A127,'NG Pivot'!$A$4:$AN$29,MATCH(U$2,'NG Pivot'!$AF$3:$AN$3,0)+31,FALSE),0)*10</f>
        <v>0</v>
      </c>
      <c r="V127" s="220">
        <f>IFERROR(VLOOKUP($A127,'NG Pivot'!$A$4:$AN$29,MATCH(V$2,'NG Pivot'!$AF$3:$AN$3,0)+31,FALSE),0)*10</f>
        <v>0</v>
      </c>
      <c r="W127" s="220">
        <f>IFERROR(VLOOKUP($A127,'NG Pivot'!$A$4:$AN$29,MATCH(W$2,'NG Pivot'!$AF$3:$AN$3,0)+31,FALSE),0)*10</f>
        <v>0</v>
      </c>
      <c r="X127" s="220">
        <f>IFERROR(VLOOKUP($A127,'NG Pivot'!$A$4:$AN$29,MATCH(X$2,'NG Pivot'!$AF$3:$AN$3,0)+31,FALSE),0)*10</f>
        <v>0</v>
      </c>
      <c r="Y127" s="220">
        <f>IFERROR(VLOOKUP($A127,'NG Pivot'!$A$4:$AN$29,MATCH(Y$2,'NG Pivot'!$AF$3:$AN$3,0)+31,FALSE),0)*10</f>
        <v>0</v>
      </c>
      <c r="Z127" s="220">
        <f>IFERROR(VLOOKUP($A127,'NG Pivot'!$A$4:$AN$29,MATCH(Z$2,'NG Pivot'!$AF$3:$AN$3,0)+31,FALSE),0)*10</f>
        <v>0</v>
      </c>
      <c r="AA127" s="220">
        <f>IFERROR(VLOOKUP($A127,'NG Pivot'!$A$4:$AN$29,MATCH(AA$2,'NG Pivot'!$AF$3:$AN$3,0)+31,FALSE),0)*10</f>
        <v>0</v>
      </c>
      <c r="AB127" s="220">
        <f>IFERROR(VLOOKUP($A127,'NG Pivot'!$A$4:$AN$29,MATCH(AB$2,'NG Pivot'!$AF$3:$AN$3,0)+31,FALSE),0)*10</f>
        <v>14.2</v>
      </c>
      <c r="AC127" s="220">
        <f>IFERROR(VLOOKUP($A127,'NG Pivot'!$A$4:$AN$29,MATCH(AC$2,'NG Pivot'!$AF$3:$AN$3,0)+31,FALSE),0)*10</f>
        <v>0</v>
      </c>
      <c r="AD127" s="220">
        <f>IFERROR(VLOOKUP($A127,'NG Pivot'!$A$4:$AN$29,MATCH(AD$2,'NG Pivot'!$AF$3:$AN$3,0)+31,FALSE),0)*10</f>
        <v>96.5</v>
      </c>
    </row>
    <row r="128" spans="1:30">
      <c r="A128" s="223" t="s">
        <v>1288</v>
      </c>
      <c r="B128" s="220">
        <f>IFERROR(VLOOKUP($A128,'NG Pivot'!$A$4:$AN$29,MATCH(B$2,'NG Pivot'!$AF$3:$AN$3,0)+31,FALSE),0)*10</f>
        <v>0</v>
      </c>
      <c r="C128" s="220">
        <f>IFERROR(VLOOKUP($A128,'NG Pivot'!$A$4:$AN$29,MATCH(C$2,'NG Pivot'!$AF$3:$AN$3,0)+31,FALSE),0)*10</f>
        <v>0</v>
      </c>
      <c r="D128" s="220">
        <f>IFERROR(VLOOKUP($A128,'NG Pivot'!$A$4:$AN$29,MATCH(D$2,'NG Pivot'!$AF$3:$AN$3,0)+31,FALSE),0)*10</f>
        <v>0</v>
      </c>
      <c r="E128" s="220">
        <f>IFERROR(VLOOKUP($A128,'NG Pivot'!$A$4:$AN$29,MATCH(E$2,'NG Pivot'!$AF$3:$AN$3,0)+31,FALSE),0)*10</f>
        <v>0</v>
      </c>
      <c r="F128" s="220">
        <f>IFERROR(VLOOKUP($A128,'NG Pivot'!$A$4:$AN$29,MATCH(F$2,'NG Pivot'!$AF$3:$AN$3,0)+31,FALSE),0)*10</f>
        <v>0</v>
      </c>
      <c r="G128" s="220">
        <f>IFERROR(VLOOKUP($A128,'NG Pivot'!$A$4:$AN$29,MATCH(G$2,'NG Pivot'!$AF$3:$AN$3,0)+31,FALSE),0)*10</f>
        <v>0</v>
      </c>
      <c r="H128" s="220">
        <f>IFERROR(VLOOKUP($A128,'NG Pivot'!$A$4:$AN$29,MATCH(H$2,'NG Pivot'!$AF$3:$AN$3,0)+31,FALSE),0)*10</f>
        <v>0</v>
      </c>
      <c r="I128" s="220">
        <f>IFERROR(VLOOKUP($A128,'NG Pivot'!$A$4:$AN$29,MATCH(I$2,'NG Pivot'!$AF$3:$AN$3,0)+31,FALSE),0)*10</f>
        <v>0</v>
      </c>
      <c r="J128" s="220">
        <f>IFERROR(VLOOKUP($A128,'NG Pivot'!$A$4:$AN$29,MATCH(J$2,'NG Pivot'!$AF$3:$AN$3,0)+31,FALSE),0)*10</f>
        <v>0</v>
      </c>
      <c r="K128" s="220">
        <f>IFERROR(VLOOKUP($A128,'NG Pivot'!$A$4:$AN$29,MATCH(K$2,'NG Pivot'!$AF$3:$AN$3,0)+31,FALSE),0)*10</f>
        <v>0</v>
      </c>
      <c r="L128" s="220">
        <f>IFERROR(VLOOKUP($A128,'NG Pivot'!$A$4:$AN$29,MATCH(L$2,'NG Pivot'!$AF$3:$AN$3,0)+31,FALSE),0)*10</f>
        <v>0</v>
      </c>
      <c r="M128" s="220">
        <f>IFERROR(VLOOKUP($A128,'NG Pivot'!$A$4:$AN$29,MATCH(M$2,'NG Pivot'!$AF$3:$AN$3,0)+31,FALSE),0)*10</f>
        <v>0</v>
      </c>
      <c r="N128" s="220">
        <f>IFERROR(VLOOKUP($A128,'NG Pivot'!$A$4:$AN$29,MATCH(N$2,'NG Pivot'!$AF$3:$AN$3,0)+31,FALSE),0)*10</f>
        <v>0</v>
      </c>
      <c r="O128" s="220">
        <f>IFERROR(VLOOKUP($A128,'NG Pivot'!$A$4:$AN$29,MATCH(O$2,'NG Pivot'!$AF$3:$AN$3,0)+31,FALSE),0)*10</f>
        <v>0</v>
      </c>
      <c r="P128" s="220">
        <f>IFERROR(VLOOKUP($A128,'NG Pivot'!$A$4:$AN$29,MATCH(P$2,'NG Pivot'!$AF$3:$AN$3,0)+31,FALSE),0)*10</f>
        <v>0</v>
      </c>
      <c r="Q128" s="220">
        <f>IFERROR(VLOOKUP($A128,'NG Pivot'!$A$4:$AN$29,MATCH(Q$2,'NG Pivot'!$AF$3:$AN$3,0)+31,FALSE),0)*10</f>
        <v>0</v>
      </c>
      <c r="R128" s="220">
        <f>IFERROR(VLOOKUP($A128,'NG Pivot'!$A$4:$AN$29,MATCH(R$2,'NG Pivot'!$AF$3:$AN$3,0)+31,FALSE),0)*10</f>
        <v>0</v>
      </c>
      <c r="S128" s="220">
        <f>IFERROR(VLOOKUP($A128,'NG Pivot'!$A$4:$AN$29,MATCH(S$2,'NG Pivot'!$AF$3:$AN$3,0)+31,FALSE),0)*10</f>
        <v>0</v>
      </c>
      <c r="T128" s="220">
        <f>IFERROR(VLOOKUP($A128,'NG Pivot'!$A$4:$AN$29,MATCH(T$2,'NG Pivot'!$AF$3:$AN$3,0)+31,FALSE),0)*10</f>
        <v>0</v>
      </c>
      <c r="U128" s="220">
        <f>IFERROR(VLOOKUP($A128,'NG Pivot'!$A$4:$AN$29,MATCH(U$2,'NG Pivot'!$AF$3:$AN$3,0)+31,FALSE),0)*10</f>
        <v>0</v>
      </c>
      <c r="V128" s="220">
        <f>IFERROR(VLOOKUP($A128,'NG Pivot'!$A$4:$AN$29,MATCH(V$2,'NG Pivot'!$AF$3:$AN$3,0)+31,FALSE),0)*10</f>
        <v>1</v>
      </c>
      <c r="W128" s="220">
        <f>IFERROR(VLOOKUP($A128,'NG Pivot'!$A$4:$AN$29,MATCH(W$2,'NG Pivot'!$AF$3:$AN$3,0)+31,FALSE),0)*10</f>
        <v>0</v>
      </c>
      <c r="X128" s="220">
        <f>IFERROR(VLOOKUP($A128,'NG Pivot'!$A$4:$AN$29,MATCH(X$2,'NG Pivot'!$AF$3:$AN$3,0)+31,FALSE),0)*10</f>
        <v>0</v>
      </c>
      <c r="Y128" s="220">
        <f>IFERROR(VLOOKUP($A128,'NG Pivot'!$A$4:$AN$29,MATCH(Y$2,'NG Pivot'!$AF$3:$AN$3,0)+31,FALSE),0)*10</f>
        <v>0</v>
      </c>
      <c r="Z128" s="220">
        <f>IFERROR(VLOOKUP($A128,'NG Pivot'!$A$4:$AN$29,MATCH(Z$2,'NG Pivot'!$AF$3:$AN$3,0)+31,FALSE),0)*10</f>
        <v>0</v>
      </c>
      <c r="AA128" s="220">
        <f>IFERROR(VLOOKUP($A128,'NG Pivot'!$A$4:$AN$29,MATCH(AA$2,'NG Pivot'!$AF$3:$AN$3,0)+31,FALSE),0)*10</f>
        <v>0</v>
      </c>
      <c r="AB128" s="220">
        <f>IFERROR(VLOOKUP($A128,'NG Pivot'!$A$4:$AN$29,MATCH(AB$2,'NG Pivot'!$AF$3:$AN$3,0)+31,FALSE),0)*10</f>
        <v>0</v>
      </c>
      <c r="AC128" s="220">
        <f>IFERROR(VLOOKUP($A128,'NG Pivot'!$A$4:$AN$29,MATCH(AC$2,'NG Pivot'!$AF$3:$AN$3,0)+31,FALSE),0)*10</f>
        <v>0</v>
      </c>
      <c r="AD128" s="220">
        <f>IFERROR(VLOOKUP($A128,'NG Pivot'!$A$4:$AN$29,MATCH(AD$2,'NG Pivot'!$AF$3:$AN$3,0)+31,FALSE),0)*10</f>
        <v>0</v>
      </c>
    </row>
    <row r="129" spans="1:30">
      <c r="A129" s="223" t="s">
        <v>1289</v>
      </c>
      <c r="B129" s="220">
        <f>IFERROR(VLOOKUP($A129,'NG Pivot'!$A$4:$AN$29,MATCH(B$2,'NG Pivot'!$AF$3:$AN$3,0)+31,FALSE),0)*10</f>
        <v>0</v>
      </c>
      <c r="C129" s="220">
        <f>IFERROR(VLOOKUP($A129,'NG Pivot'!$A$4:$AN$29,MATCH(C$2,'NG Pivot'!$AF$3:$AN$3,0)+31,FALSE),0)*10</f>
        <v>0</v>
      </c>
      <c r="D129" s="220">
        <f>IFERROR(VLOOKUP($A129,'NG Pivot'!$A$4:$AN$29,MATCH(D$2,'NG Pivot'!$AF$3:$AN$3,0)+31,FALSE),0)*10</f>
        <v>0</v>
      </c>
      <c r="E129" s="220">
        <f>IFERROR(VLOOKUP($A129,'NG Pivot'!$A$4:$AN$29,MATCH(E$2,'NG Pivot'!$AF$3:$AN$3,0)+31,FALSE),0)*10</f>
        <v>0</v>
      </c>
      <c r="F129" s="220">
        <f>IFERROR(VLOOKUP($A129,'NG Pivot'!$A$4:$AN$29,MATCH(F$2,'NG Pivot'!$AF$3:$AN$3,0)+31,FALSE),0)*10</f>
        <v>0</v>
      </c>
      <c r="G129" s="220">
        <f>IFERROR(VLOOKUP($A129,'NG Pivot'!$A$4:$AN$29,MATCH(G$2,'NG Pivot'!$AF$3:$AN$3,0)+31,FALSE),0)*10</f>
        <v>0</v>
      </c>
      <c r="H129" s="220">
        <f>IFERROR(VLOOKUP($A129,'NG Pivot'!$A$4:$AN$29,MATCH(H$2,'NG Pivot'!$AF$3:$AN$3,0)+31,FALSE),0)*10</f>
        <v>0</v>
      </c>
      <c r="I129" s="220">
        <f>IFERROR(VLOOKUP($A129,'NG Pivot'!$A$4:$AN$29,MATCH(I$2,'NG Pivot'!$AF$3:$AN$3,0)+31,FALSE),0)*10</f>
        <v>0</v>
      </c>
      <c r="J129" s="220">
        <f>IFERROR(VLOOKUP($A129,'NG Pivot'!$A$4:$AN$29,MATCH(J$2,'NG Pivot'!$AF$3:$AN$3,0)+31,FALSE),0)*10</f>
        <v>0</v>
      </c>
      <c r="K129" s="220">
        <f>IFERROR(VLOOKUP($A129,'NG Pivot'!$A$4:$AN$29,MATCH(K$2,'NG Pivot'!$AF$3:$AN$3,0)+31,FALSE),0)*10</f>
        <v>0</v>
      </c>
      <c r="L129" s="220">
        <f>IFERROR(VLOOKUP($A129,'NG Pivot'!$A$4:$AN$29,MATCH(L$2,'NG Pivot'!$AF$3:$AN$3,0)+31,FALSE),0)*10</f>
        <v>0</v>
      </c>
      <c r="M129" s="220">
        <f>IFERROR(VLOOKUP($A129,'NG Pivot'!$A$4:$AN$29,MATCH(M$2,'NG Pivot'!$AF$3:$AN$3,0)+31,FALSE),0)*10</f>
        <v>0</v>
      </c>
      <c r="N129" s="220">
        <f>IFERROR(VLOOKUP($A129,'NG Pivot'!$A$4:$AN$29,MATCH(N$2,'NG Pivot'!$AF$3:$AN$3,0)+31,FALSE),0)*10</f>
        <v>0</v>
      </c>
      <c r="O129" s="220">
        <f>IFERROR(VLOOKUP($A129,'NG Pivot'!$A$4:$AN$29,MATCH(O$2,'NG Pivot'!$AF$3:$AN$3,0)+31,FALSE),0)*10</f>
        <v>0</v>
      </c>
      <c r="P129" s="220">
        <f>IFERROR(VLOOKUP($A129,'NG Pivot'!$A$4:$AN$29,MATCH(P$2,'NG Pivot'!$AF$3:$AN$3,0)+31,FALSE),0)*10</f>
        <v>0</v>
      </c>
      <c r="Q129" s="220">
        <f>IFERROR(VLOOKUP($A129,'NG Pivot'!$A$4:$AN$29,MATCH(Q$2,'NG Pivot'!$AF$3:$AN$3,0)+31,FALSE),0)*10</f>
        <v>0</v>
      </c>
      <c r="R129" s="220">
        <f>IFERROR(VLOOKUP($A129,'NG Pivot'!$A$4:$AN$29,MATCH(R$2,'NG Pivot'!$AF$3:$AN$3,0)+31,FALSE),0)*10</f>
        <v>0</v>
      </c>
      <c r="S129" s="220">
        <f>IFERROR(VLOOKUP($A129,'NG Pivot'!$A$4:$AN$29,MATCH(S$2,'NG Pivot'!$AF$3:$AN$3,0)+31,FALSE),0)*10</f>
        <v>0</v>
      </c>
      <c r="T129" s="220">
        <f>IFERROR(VLOOKUP($A129,'NG Pivot'!$A$4:$AN$29,MATCH(T$2,'NG Pivot'!$AF$3:$AN$3,0)+31,FALSE),0)*10</f>
        <v>0</v>
      </c>
      <c r="U129" s="220">
        <f>IFERROR(VLOOKUP($A129,'NG Pivot'!$A$4:$AN$29,MATCH(U$2,'NG Pivot'!$AF$3:$AN$3,0)+31,FALSE),0)*10</f>
        <v>0</v>
      </c>
      <c r="V129" s="220">
        <f>IFERROR(VLOOKUP($A129,'NG Pivot'!$A$4:$AN$29,MATCH(V$2,'NG Pivot'!$AF$3:$AN$3,0)+31,FALSE),0)*10</f>
        <v>0</v>
      </c>
      <c r="W129" s="220">
        <f>IFERROR(VLOOKUP($A129,'NG Pivot'!$A$4:$AN$29,MATCH(W$2,'NG Pivot'!$AF$3:$AN$3,0)+31,FALSE),0)*10</f>
        <v>0</v>
      </c>
      <c r="X129" s="220">
        <f>IFERROR(VLOOKUP($A129,'NG Pivot'!$A$4:$AN$29,MATCH(X$2,'NG Pivot'!$AF$3:$AN$3,0)+31,FALSE),0)*10</f>
        <v>0</v>
      </c>
      <c r="Y129" s="220">
        <f>IFERROR(VLOOKUP($A129,'NG Pivot'!$A$4:$AN$29,MATCH(Y$2,'NG Pivot'!$AF$3:$AN$3,0)+31,FALSE),0)*10</f>
        <v>0</v>
      </c>
      <c r="Z129" s="220">
        <f>IFERROR(VLOOKUP($A129,'NG Pivot'!$A$4:$AN$29,MATCH(Z$2,'NG Pivot'!$AF$3:$AN$3,0)+31,FALSE),0)*10</f>
        <v>0</v>
      </c>
      <c r="AA129" s="220">
        <f>IFERROR(VLOOKUP($A129,'NG Pivot'!$A$4:$AN$29,MATCH(AA$2,'NG Pivot'!$AF$3:$AN$3,0)+31,FALSE),0)*10</f>
        <v>0</v>
      </c>
      <c r="AB129" s="220">
        <f>IFERROR(VLOOKUP($A129,'NG Pivot'!$A$4:$AN$29,MATCH(AB$2,'NG Pivot'!$AF$3:$AN$3,0)+31,FALSE),0)*10</f>
        <v>0</v>
      </c>
      <c r="AC129" s="220">
        <f>IFERROR(VLOOKUP($A129,'NG Pivot'!$A$4:$AN$29,MATCH(AC$2,'NG Pivot'!$AF$3:$AN$3,0)+31,FALSE),0)*10</f>
        <v>0</v>
      </c>
      <c r="AD129" s="220">
        <f>IFERROR(VLOOKUP($A129,'NG Pivot'!$A$4:$AN$29,MATCH(AD$2,'NG Pivot'!$AF$3:$AN$3,0)+31,FALSE),0)*10</f>
        <v>0</v>
      </c>
    </row>
    <row r="130" spans="1:30">
      <c r="A130" s="223" t="s">
        <v>1290</v>
      </c>
      <c r="B130" s="220">
        <f>IFERROR(VLOOKUP($A130,'NG Pivot'!$A$4:$AN$29,MATCH(B$2,'NG Pivot'!$AF$3:$AN$3,0)+31,FALSE),0)*10</f>
        <v>0</v>
      </c>
      <c r="C130" s="220">
        <f>IFERROR(VLOOKUP($A130,'NG Pivot'!$A$4:$AN$29,MATCH(C$2,'NG Pivot'!$AF$3:$AN$3,0)+31,FALSE),0)*10</f>
        <v>0</v>
      </c>
      <c r="D130" s="220">
        <f>IFERROR(VLOOKUP($A130,'NG Pivot'!$A$4:$AN$29,MATCH(D$2,'NG Pivot'!$AF$3:$AN$3,0)+31,FALSE),0)*10</f>
        <v>0</v>
      </c>
      <c r="E130" s="220">
        <f>IFERROR(VLOOKUP($A130,'NG Pivot'!$A$4:$AN$29,MATCH(E$2,'NG Pivot'!$AF$3:$AN$3,0)+31,FALSE),0)*10</f>
        <v>0</v>
      </c>
      <c r="F130" s="220">
        <f>IFERROR(VLOOKUP($A130,'NG Pivot'!$A$4:$AN$29,MATCH(F$2,'NG Pivot'!$AF$3:$AN$3,0)+31,FALSE),0)*10</f>
        <v>0</v>
      </c>
      <c r="G130" s="220">
        <f>IFERROR(VLOOKUP($A130,'NG Pivot'!$A$4:$AN$29,MATCH(G$2,'NG Pivot'!$AF$3:$AN$3,0)+31,FALSE),0)*10</f>
        <v>0</v>
      </c>
      <c r="H130" s="220">
        <f>IFERROR(VLOOKUP($A130,'NG Pivot'!$A$4:$AN$29,MATCH(H$2,'NG Pivot'!$AF$3:$AN$3,0)+31,FALSE),0)*10</f>
        <v>0</v>
      </c>
      <c r="I130" s="220">
        <f>IFERROR(VLOOKUP($A130,'NG Pivot'!$A$4:$AN$29,MATCH(I$2,'NG Pivot'!$AF$3:$AN$3,0)+31,FALSE),0)*10</f>
        <v>0</v>
      </c>
      <c r="J130" s="220">
        <f>IFERROR(VLOOKUP($A130,'NG Pivot'!$A$4:$AN$29,MATCH(J$2,'NG Pivot'!$AF$3:$AN$3,0)+31,FALSE),0)*10</f>
        <v>0</v>
      </c>
      <c r="K130" s="220">
        <f>IFERROR(VLOOKUP($A130,'NG Pivot'!$A$4:$AN$29,MATCH(K$2,'NG Pivot'!$AF$3:$AN$3,0)+31,FALSE),0)*10</f>
        <v>0</v>
      </c>
      <c r="L130" s="220">
        <f>IFERROR(VLOOKUP($A130,'NG Pivot'!$A$4:$AN$29,MATCH(L$2,'NG Pivot'!$AF$3:$AN$3,0)+31,FALSE),0)*10</f>
        <v>0</v>
      </c>
      <c r="M130" s="220">
        <f>IFERROR(VLOOKUP($A130,'NG Pivot'!$A$4:$AN$29,MATCH(M$2,'NG Pivot'!$AF$3:$AN$3,0)+31,FALSE),0)*10</f>
        <v>0</v>
      </c>
      <c r="N130" s="220">
        <f>IFERROR(VLOOKUP($A130,'NG Pivot'!$A$4:$AN$29,MATCH(N$2,'NG Pivot'!$AF$3:$AN$3,0)+31,FALSE),0)*10</f>
        <v>0</v>
      </c>
      <c r="O130" s="220">
        <f>IFERROR(VLOOKUP($A130,'NG Pivot'!$A$4:$AN$29,MATCH(O$2,'NG Pivot'!$AF$3:$AN$3,0)+31,FALSE),0)*10</f>
        <v>0</v>
      </c>
      <c r="P130" s="220">
        <f>IFERROR(VLOOKUP($A130,'NG Pivot'!$A$4:$AN$29,MATCH(P$2,'NG Pivot'!$AF$3:$AN$3,0)+31,FALSE),0)*10</f>
        <v>0</v>
      </c>
      <c r="Q130" s="220">
        <f>IFERROR(VLOOKUP($A130,'NG Pivot'!$A$4:$AN$29,MATCH(Q$2,'NG Pivot'!$AF$3:$AN$3,0)+31,FALSE),0)*10</f>
        <v>0</v>
      </c>
      <c r="R130" s="220">
        <f>IFERROR(VLOOKUP($A130,'NG Pivot'!$A$4:$AN$29,MATCH(R$2,'NG Pivot'!$AF$3:$AN$3,0)+31,FALSE),0)*10</f>
        <v>0</v>
      </c>
      <c r="S130" s="220">
        <f>IFERROR(VLOOKUP($A130,'NG Pivot'!$A$4:$AN$29,MATCH(S$2,'NG Pivot'!$AF$3:$AN$3,0)+31,FALSE),0)*10</f>
        <v>0</v>
      </c>
      <c r="T130" s="220">
        <f>IFERROR(VLOOKUP($A130,'NG Pivot'!$A$4:$AN$29,MATCH(T$2,'NG Pivot'!$AF$3:$AN$3,0)+31,FALSE),0)*10</f>
        <v>0</v>
      </c>
      <c r="U130" s="220">
        <f>IFERROR(VLOOKUP($A130,'NG Pivot'!$A$4:$AN$29,MATCH(U$2,'NG Pivot'!$AF$3:$AN$3,0)+31,FALSE),0)*10</f>
        <v>0</v>
      </c>
      <c r="V130" s="220">
        <f>IFERROR(VLOOKUP($A130,'NG Pivot'!$A$4:$AN$29,MATCH(V$2,'NG Pivot'!$AF$3:$AN$3,0)+31,FALSE),0)*10</f>
        <v>0</v>
      </c>
      <c r="W130" s="220">
        <f>IFERROR(VLOOKUP($A130,'NG Pivot'!$A$4:$AN$29,MATCH(W$2,'NG Pivot'!$AF$3:$AN$3,0)+31,FALSE),0)*10</f>
        <v>0</v>
      </c>
      <c r="X130" s="220">
        <f>IFERROR(VLOOKUP($A130,'NG Pivot'!$A$4:$AN$29,MATCH(X$2,'NG Pivot'!$AF$3:$AN$3,0)+31,FALSE),0)*10</f>
        <v>0</v>
      </c>
      <c r="Y130" s="220">
        <f>IFERROR(VLOOKUP($A130,'NG Pivot'!$A$4:$AN$29,MATCH(Y$2,'NG Pivot'!$AF$3:$AN$3,0)+31,FALSE),0)*10</f>
        <v>0</v>
      </c>
      <c r="Z130" s="220">
        <f>IFERROR(VLOOKUP($A130,'NG Pivot'!$A$4:$AN$29,MATCH(Z$2,'NG Pivot'!$AF$3:$AN$3,0)+31,FALSE),0)*10</f>
        <v>0</v>
      </c>
      <c r="AA130" s="220">
        <f>IFERROR(VLOOKUP($A130,'NG Pivot'!$A$4:$AN$29,MATCH(AA$2,'NG Pivot'!$AF$3:$AN$3,0)+31,FALSE),0)*10</f>
        <v>0</v>
      </c>
      <c r="AB130" s="220">
        <f>IFERROR(VLOOKUP($A130,'NG Pivot'!$A$4:$AN$29,MATCH(AB$2,'NG Pivot'!$AF$3:$AN$3,0)+31,FALSE),0)*10</f>
        <v>0</v>
      </c>
      <c r="AC130" s="220">
        <f>IFERROR(VLOOKUP($A130,'NG Pivot'!$A$4:$AN$29,MATCH(AC$2,'NG Pivot'!$AF$3:$AN$3,0)+31,FALSE),0)*10</f>
        <v>0</v>
      </c>
      <c r="AD130" s="220">
        <f>IFERROR(VLOOKUP($A130,'NG Pivot'!$A$4:$AN$29,MATCH(AD$2,'NG Pivot'!$AF$3:$AN$3,0)+31,FALSE),0)*10</f>
        <v>0</v>
      </c>
    </row>
    <row r="131" spans="1:30">
      <c r="A131" s="223" t="s">
        <v>1291</v>
      </c>
      <c r="B131" s="220">
        <f>IFERROR(VLOOKUP($A131,'NG Pivot'!$A$4:$AN$29,MATCH(B$2,'NG Pivot'!$AF$3:$AN$3,0)+31,FALSE),0)*10</f>
        <v>0</v>
      </c>
      <c r="C131" s="220">
        <f>IFERROR(VLOOKUP($A131,'NG Pivot'!$A$4:$AN$29,MATCH(C$2,'NG Pivot'!$AF$3:$AN$3,0)+31,FALSE),0)*10</f>
        <v>0</v>
      </c>
      <c r="D131" s="220">
        <f>IFERROR(VLOOKUP($A131,'NG Pivot'!$A$4:$AN$29,MATCH(D$2,'NG Pivot'!$AF$3:$AN$3,0)+31,FALSE),0)*10</f>
        <v>0</v>
      </c>
      <c r="E131" s="220">
        <f>IFERROR(VLOOKUP($A131,'NG Pivot'!$A$4:$AN$29,MATCH(E$2,'NG Pivot'!$AF$3:$AN$3,0)+31,FALSE),0)*10</f>
        <v>0</v>
      </c>
      <c r="F131" s="220">
        <f>IFERROR(VLOOKUP($A131,'NG Pivot'!$A$4:$AN$29,MATCH(F$2,'NG Pivot'!$AF$3:$AN$3,0)+31,FALSE),0)*10</f>
        <v>0</v>
      </c>
      <c r="G131" s="220">
        <f>IFERROR(VLOOKUP($A131,'NG Pivot'!$A$4:$AN$29,MATCH(G$2,'NG Pivot'!$AF$3:$AN$3,0)+31,FALSE),0)*10</f>
        <v>0</v>
      </c>
      <c r="H131" s="220">
        <f>IFERROR(VLOOKUP($A131,'NG Pivot'!$A$4:$AN$29,MATCH(H$2,'NG Pivot'!$AF$3:$AN$3,0)+31,FALSE),0)*10</f>
        <v>0</v>
      </c>
      <c r="I131" s="220">
        <f>IFERROR(VLOOKUP($A131,'NG Pivot'!$A$4:$AN$29,MATCH(I$2,'NG Pivot'!$AF$3:$AN$3,0)+31,FALSE),0)*10</f>
        <v>0</v>
      </c>
      <c r="J131" s="220">
        <f>IFERROR(VLOOKUP($A131,'NG Pivot'!$A$4:$AN$29,MATCH(J$2,'NG Pivot'!$AF$3:$AN$3,0)+31,FALSE),0)*10</f>
        <v>0</v>
      </c>
      <c r="K131" s="220">
        <f>IFERROR(VLOOKUP($A131,'NG Pivot'!$A$4:$AN$29,MATCH(K$2,'NG Pivot'!$AF$3:$AN$3,0)+31,FALSE),0)*10</f>
        <v>0</v>
      </c>
      <c r="L131" s="220">
        <f>IFERROR(VLOOKUP($A131,'NG Pivot'!$A$4:$AN$29,MATCH(L$2,'NG Pivot'!$AF$3:$AN$3,0)+31,FALSE),0)*10</f>
        <v>0</v>
      </c>
      <c r="M131" s="220">
        <f>IFERROR(VLOOKUP($A131,'NG Pivot'!$A$4:$AN$29,MATCH(M$2,'NG Pivot'!$AF$3:$AN$3,0)+31,FALSE),0)*10</f>
        <v>0</v>
      </c>
      <c r="N131" s="220">
        <f>IFERROR(VLOOKUP($A131,'NG Pivot'!$A$4:$AN$29,MATCH(N$2,'NG Pivot'!$AF$3:$AN$3,0)+31,FALSE),0)*10</f>
        <v>0</v>
      </c>
      <c r="O131" s="220">
        <f>IFERROR(VLOOKUP($A131,'NG Pivot'!$A$4:$AN$29,MATCH(O$2,'NG Pivot'!$AF$3:$AN$3,0)+31,FALSE),0)*10</f>
        <v>0</v>
      </c>
      <c r="P131" s="220">
        <f>IFERROR(VLOOKUP($A131,'NG Pivot'!$A$4:$AN$29,MATCH(P$2,'NG Pivot'!$AF$3:$AN$3,0)+31,FALSE),0)*10</f>
        <v>0</v>
      </c>
      <c r="Q131" s="220">
        <f>IFERROR(VLOOKUP($A131,'NG Pivot'!$A$4:$AN$29,MATCH(Q$2,'NG Pivot'!$AF$3:$AN$3,0)+31,FALSE),0)*10</f>
        <v>0</v>
      </c>
      <c r="R131" s="220">
        <f>IFERROR(VLOOKUP($A131,'NG Pivot'!$A$4:$AN$29,MATCH(R$2,'NG Pivot'!$AF$3:$AN$3,0)+31,FALSE),0)*10</f>
        <v>0</v>
      </c>
      <c r="S131" s="220">
        <f>IFERROR(VLOOKUP($A131,'NG Pivot'!$A$4:$AN$29,MATCH(S$2,'NG Pivot'!$AF$3:$AN$3,0)+31,FALSE),0)*10</f>
        <v>0</v>
      </c>
      <c r="T131" s="220">
        <f>IFERROR(VLOOKUP($A131,'NG Pivot'!$A$4:$AN$29,MATCH(T$2,'NG Pivot'!$AF$3:$AN$3,0)+31,FALSE),0)*10</f>
        <v>0</v>
      </c>
      <c r="U131" s="220">
        <f>IFERROR(VLOOKUP($A131,'NG Pivot'!$A$4:$AN$29,MATCH(U$2,'NG Pivot'!$AF$3:$AN$3,0)+31,FALSE),0)*10</f>
        <v>0</v>
      </c>
      <c r="V131" s="220">
        <f>IFERROR(VLOOKUP($A131,'NG Pivot'!$A$4:$AN$29,MATCH(V$2,'NG Pivot'!$AF$3:$AN$3,0)+31,FALSE),0)*10</f>
        <v>0</v>
      </c>
      <c r="W131" s="220">
        <f>IFERROR(VLOOKUP($A131,'NG Pivot'!$A$4:$AN$29,MATCH(W$2,'NG Pivot'!$AF$3:$AN$3,0)+31,FALSE),0)*10</f>
        <v>0</v>
      </c>
      <c r="X131" s="220">
        <f>IFERROR(VLOOKUP($A131,'NG Pivot'!$A$4:$AN$29,MATCH(X$2,'NG Pivot'!$AF$3:$AN$3,0)+31,FALSE),0)*10</f>
        <v>0</v>
      </c>
      <c r="Y131" s="220">
        <f>IFERROR(VLOOKUP($A131,'NG Pivot'!$A$4:$AN$29,MATCH(Y$2,'NG Pivot'!$AF$3:$AN$3,0)+31,FALSE),0)*10</f>
        <v>0</v>
      </c>
      <c r="Z131" s="220">
        <f>IFERROR(VLOOKUP($A131,'NG Pivot'!$A$4:$AN$29,MATCH(Z$2,'NG Pivot'!$AF$3:$AN$3,0)+31,FALSE),0)*10</f>
        <v>0</v>
      </c>
      <c r="AA131" s="220">
        <f>IFERROR(VLOOKUP($A131,'NG Pivot'!$A$4:$AN$29,MATCH(AA$2,'NG Pivot'!$AF$3:$AN$3,0)+31,FALSE),0)*10</f>
        <v>8.9</v>
      </c>
      <c r="AB131" s="220">
        <f>IFERROR(VLOOKUP($A131,'NG Pivot'!$A$4:$AN$29,MATCH(AB$2,'NG Pivot'!$AF$3:$AN$3,0)+31,FALSE),0)*10</f>
        <v>0</v>
      </c>
      <c r="AC131" s="220">
        <f>IFERROR(VLOOKUP($A131,'NG Pivot'!$A$4:$AN$29,MATCH(AC$2,'NG Pivot'!$AF$3:$AN$3,0)+31,FALSE),0)*10</f>
        <v>0</v>
      </c>
      <c r="AD131" s="220">
        <f>IFERROR(VLOOKUP($A131,'NG Pivot'!$A$4:$AN$29,MATCH(AD$2,'NG Pivot'!$AF$3:$AN$3,0)+31,FALSE),0)*10</f>
        <v>0</v>
      </c>
    </row>
    <row r="132" spans="1:30">
      <c r="A132" s="223" t="s">
        <v>1292</v>
      </c>
      <c r="B132" s="220">
        <f>IFERROR(VLOOKUP($A132,'NG Pivot'!$A$4:$AN$29,MATCH(B$2,'NG Pivot'!$AF$3:$AN$3,0)+31,FALSE),0)*10</f>
        <v>0</v>
      </c>
      <c r="C132" s="220">
        <f>IFERROR(VLOOKUP($A132,'NG Pivot'!$A$4:$AN$29,MATCH(C$2,'NG Pivot'!$AF$3:$AN$3,0)+31,FALSE),0)*10</f>
        <v>0</v>
      </c>
      <c r="D132" s="220">
        <f>IFERROR(VLOOKUP($A132,'NG Pivot'!$A$4:$AN$29,MATCH(D$2,'NG Pivot'!$AF$3:$AN$3,0)+31,FALSE),0)*10</f>
        <v>0</v>
      </c>
      <c r="E132" s="220">
        <f>IFERROR(VLOOKUP($A132,'NG Pivot'!$A$4:$AN$29,MATCH(E$2,'NG Pivot'!$AF$3:$AN$3,0)+31,FALSE),0)*10</f>
        <v>0</v>
      </c>
      <c r="F132" s="220">
        <f>IFERROR(VLOOKUP($A132,'NG Pivot'!$A$4:$AN$29,MATCH(F$2,'NG Pivot'!$AF$3:$AN$3,0)+31,FALSE),0)*10</f>
        <v>0</v>
      </c>
      <c r="G132" s="220">
        <f>IFERROR(VLOOKUP($A132,'NG Pivot'!$A$4:$AN$29,MATCH(G$2,'NG Pivot'!$AF$3:$AN$3,0)+31,FALSE),0)*10</f>
        <v>0</v>
      </c>
      <c r="H132" s="220">
        <f>IFERROR(VLOOKUP($A132,'NG Pivot'!$A$4:$AN$29,MATCH(H$2,'NG Pivot'!$AF$3:$AN$3,0)+31,FALSE),0)*10</f>
        <v>0</v>
      </c>
      <c r="I132" s="220">
        <f>IFERROR(VLOOKUP($A132,'NG Pivot'!$A$4:$AN$29,MATCH(I$2,'NG Pivot'!$AF$3:$AN$3,0)+31,FALSE),0)*10</f>
        <v>0</v>
      </c>
      <c r="J132" s="220">
        <f>IFERROR(VLOOKUP($A132,'NG Pivot'!$A$4:$AN$29,MATCH(J$2,'NG Pivot'!$AF$3:$AN$3,0)+31,FALSE),0)*10</f>
        <v>0</v>
      </c>
      <c r="K132" s="220">
        <f>IFERROR(VLOOKUP($A132,'NG Pivot'!$A$4:$AN$29,MATCH(K$2,'NG Pivot'!$AF$3:$AN$3,0)+31,FALSE),0)*10</f>
        <v>0</v>
      </c>
      <c r="L132" s="220">
        <f>IFERROR(VLOOKUP($A132,'NG Pivot'!$A$4:$AN$29,MATCH(L$2,'NG Pivot'!$AF$3:$AN$3,0)+31,FALSE),0)*10</f>
        <v>0</v>
      </c>
      <c r="M132" s="220">
        <f>IFERROR(VLOOKUP($A132,'NG Pivot'!$A$4:$AN$29,MATCH(M$2,'NG Pivot'!$AF$3:$AN$3,0)+31,FALSE),0)*10</f>
        <v>0</v>
      </c>
      <c r="N132" s="220">
        <f>IFERROR(VLOOKUP($A132,'NG Pivot'!$A$4:$AN$29,MATCH(N$2,'NG Pivot'!$AF$3:$AN$3,0)+31,FALSE),0)*10</f>
        <v>0</v>
      </c>
      <c r="O132" s="220">
        <f>IFERROR(VLOOKUP($A132,'NG Pivot'!$A$4:$AN$29,MATCH(O$2,'NG Pivot'!$AF$3:$AN$3,0)+31,FALSE),0)*10</f>
        <v>0</v>
      </c>
      <c r="P132" s="220">
        <f>IFERROR(VLOOKUP($A132,'NG Pivot'!$A$4:$AN$29,MATCH(P$2,'NG Pivot'!$AF$3:$AN$3,0)+31,FALSE),0)*10</f>
        <v>0</v>
      </c>
      <c r="Q132" s="220">
        <f>IFERROR(VLOOKUP($A132,'NG Pivot'!$A$4:$AN$29,MATCH(Q$2,'NG Pivot'!$AF$3:$AN$3,0)+31,FALSE),0)*10</f>
        <v>0</v>
      </c>
      <c r="R132" s="220">
        <f>IFERROR(VLOOKUP($A132,'NG Pivot'!$A$4:$AN$29,MATCH(R$2,'NG Pivot'!$AF$3:$AN$3,0)+31,FALSE),0)*10</f>
        <v>0</v>
      </c>
      <c r="S132" s="220">
        <f>IFERROR(VLOOKUP($A132,'NG Pivot'!$A$4:$AN$29,MATCH(S$2,'NG Pivot'!$AF$3:$AN$3,0)+31,FALSE),0)*10</f>
        <v>0</v>
      </c>
      <c r="T132" s="220">
        <f>IFERROR(VLOOKUP($A132,'NG Pivot'!$A$4:$AN$29,MATCH(T$2,'NG Pivot'!$AF$3:$AN$3,0)+31,FALSE),0)*10</f>
        <v>0</v>
      </c>
      <c r="U132" s="220">
        <f>IFERROR(VLOOKUP($A132,'NG Pivot'!$A$4:$AN$29,MATCH(U$2,'NG Pivot'!$AF$3:$AN$3,0)+31,FALSE),0)*10</f>
        <v>0</v>
      </c>
      <c r="V132" s="220">
        <f>IFERROR(VLOOKUP($A132,'NG Pivot'!$A$4:$AN$29,MATCH(V$2,'NG Pivot'!$AF$3:$AN$3,0)+31,FALSE),0)*10</f>
        <v>0</v>
      </c>
      <c r="W132" s="220">
        <f>IFERROR(VLOOKUP($A132,'NG Pivot'!$A$4:$AN$29,MATCH(W$2,'NG Pivot'!$AF$3:$AN$3,0)+31,FALSE),0)*10</f>
        <v>0</v>
      </c>
      <c r="X132" s="220">
        <f>IFERROR(VLOOKUP($A132,'NG Pivot'!$A$4:$AN$29,MATCH(X$2,'NG Pivot'!$AF$3:$AN$3,0)+31,FALSE),0)*10</f>
        <v>0</v>
      </c>
      <c r="Y132" s="220">
        <f>IFERROR(VLOOKUP($A132,'NG Pivot'!$A$4:$AN$29,MATCH(Y$2,'NG Pivot'!$AF$3:$AN$3,0)+31,FALSE),0)*10</f>
        <v>0</v>
      </c>
      <c r="Z132" s="220">
        <f>IFERROR(VLOOKUP($A132,'NG Pivot'!$A$4:$AN$29,MATCH(Z$2,'NG Pivot'!$AF$3:$AN$3,0)+31,FALSE),0)*10</f>
        <v>0</v>
      </c>
      <c r="AA132" s="220">
        <f>IFERROR(VLOOKUP($A132,'NG Pivot'!$A$4:$AN$29,MATCH(AA$2,'NG Pivot'!$AF$3:$AN$3,0)+31,FALSE),0)*10</f>
        <v>0</v>
      </c>
      <c r="AB132" s="220">
        <f>IFERROR(VLOOKUP($A132,'NG Pivot'!$A$4:$AN$29,MATCH(AB$2,'NG Pivot'!$AF$3:$AN$3,0)+31,FALSE),0)*10</f>
        <v>0</v>
      </c>
      <c r="AC132" s="220">
        <f>IFERROR(VLOOKUP($A132,'NG Pivot'!$A$4:$AN$29,MATCH(AC$2,'NG Pivot'!$AF$3:$AN$3,0)+31,FALSE),0)*10</f>
        <v>0</v>
      </c>
      <c r="AD132" s="220">
        <f>IFERROR(VLOOKUP($A132,'NG Pivot'!$A$4:$AN$29,MATCH(AD$2,'NG Pivot'!$AF$3:$AN$3,0)+31,FALSE),0)*10</f>
        <v>0</v>
      </c>
    </row>
    <row r="133" spans="1:30">
      <c r="A133" s="223" t="s">
        <v>1293</v>
      </c>
      <c r="B133" s="220">
        <f>IFERROR(VLOOKUP($A133,'NG Pivot'!$A$4:$AN$29,MATCH(B$2,'NG Pivot'!$AF$3:$AN$3,0)+31,FALSE),0)*10</f>
        <v>0</v>
      </c>
      <c r="C133" s="220">
        <f>IFERROR(VLOOKUP($A133,'NG Pivot'!$A$4:$AN$29,MATCH(C$2,'NG Pivot'!$AF$3:$AN$3,0)+31,FALSE),0)*10</f>
        <v>0</v>
      </c>
      <c r="D133" s="220">
        <f>IFERROR(VLOOKUP($A133,'NG Pivot'!$A$4:$AN$29,MATCH(D$2,'NG Pivot'!$AF$3:$AN$3,0)+31,FALSE),0)*10</f>
        <v>0</v>
      </c>
      <c r="E133" s="220">
        <f>IFERROR(VLOOKUP($A133,'NG Pivot'!$A$4:$AN$29,MATCH(E$2,'NG Pivot'!$AF$3:$AN$3,0)+31,FALSE),0)*10</f>
        <v>0</v>
      </c>
      <c r="F133" s="220">
        <f>IFERROR(VLOOKUP($A133,'NG Pivot'!$A$4:$AN$29,MATCH(F$2,'NG Pivot'!$AF$3:$AN$3,0)+31,FALSE),0)*10</f>
        <v>0</v>
      </c>
      <c r="G133" s="220">
        <f>IFERROR(VLOOKUP($A133,'NG Pivot'!$A$4:$AN$29,MATCH(G$2,'NG Pivot'!$AF$3:$AN$3,0)+31,FALSE),0)*10</f>
        <v>0</v>
      </c>
      <c r="H133" s="220">
        <f>IFERROR(VLOOKUP($A133,'NG Pivot'!$A$4:$AN$29,MATCH(H$2,'NG Pivot'!$AF$3:$AN$3,0)+31,FALSE),0)*10</f>
        <v>0</v>
      </c>
      <c r="I133" s="220">
        <f>IFERROR(VLOOKUP($A133,'NG Pivot'!$A$4:$AN$29,MATCH(I$2,'NG Pivot'!$AF$3:$AN$3,0)+31,FALSE),0)*10</f>
        <v>0</v>
      </c>
      <c r="J133" s="220">
        <f>IFERROR(VLOOKUP($A133,'NG Pivot'!$A$4:$AN$29,MATCH(J$2,'NG Pivot'!$AF$3:$AN$3,0)+31,FALSE),0)*10</f>
        <v>0</v>
      </c>
      <c r="K133" s="220">
        <f>IFERROR(VLOOKUP($A133,'NG Pivot'!$A$4:$AN$29,MATCH(K$2,'NG Pivot'!$AF$3:$AN$3,0)+31,FALSE),0)*10</f>
        <v>0</v>
      </c>
      <c r="L133" s="220">
        <f>IFERROR(VLOOKUP($A133,'NG Pivot'!$A$4:$AN$29,MATCH(L$2,'NG Pivot'!$AF$3:$AN$3,0)+31,FALSE),0)*10</f>
        <v>0</v>
      </c>
      <c r="M133" s="220">
        <f>IFERROR(VLOOKUP($A133,'NG Pivot'!$A$4:$AN$29,MATCH(M$2,'NG Pivot'!$AF$3:$AN$3,0)+31,FALSE),0)*10</f>
        <v>0</v>
      </c>
      <c r="N133" s="220">
        <f>IFERROR(VLOOKUP($A133,'NG Pivot'!$A$4:$AN$29,MATCH(N$2,'NG Pivot'!$AF$3:$AN$3,0)+31,FALSE),0)*10</f>
        <v>0</v>
      </c>
      <c r="O133" s="220">
        <f>IFERROR(VLOOKUP($A133,'NG Pivot'!$A$4:$AN$29,MATCH(O$2,'NG Pivot'!$AF$3:$AN$3,0)+31,FALSE),0)*10</f>
        <v>0</v>
      </c>
      <c r="P133" s="220">
        <f>IFERROR(VLOOKUP($A133,'NG Pivot'!$A$4:$AN$29,MATCH(P$2,'NG Pivot'!$AF$3:$AN$3,0)+31,FALSE),0)*10</f>
        <v>0</v>
      </c>
      <c r="Q133" s="220">
        <f>IFERROR(VLOOKUP($A133,'NG Pivot'!$A$4:$AN$29,MATCH(Q$2,'NG Pivot'!$AF$3:$AN$3,0)+31,FALSE),0)*10</f>
        <v>0</v>
      </c>
      <c r="R133" s="220">
        <f>IFERROR(VLOOKUP($A133,'NG Pivot'!$A$4:$AN$29,MATCH(R$2,'NG Pivot'!$AF$3:$AN$3,0)+31,FALSE),0)*10</f>
        <v>5</v>
      </c>
      <c r="S133" s="220">
        <f>IFERROR(VLOOKUP($A133,'NG Pivot'!$A$4:$AN$29,MATCH(S$2,'NG Pivot'!$AF$3:$AN$3,0)+31,FALSE),0)*10</f>
        <v>0</v>
      </c>
      <c r="T133" s="220">
        <f>IFERROR(VLOOKUP($A133,'NG Pivot'!$A$4:$AN$29,MATCH(T$2,'NG Pivot'!$AF$3:$AN$3,0)+31,FALSE),0)*10</f>
        <v>0</v>
      </c>
      <c r="U133" s="220">
        <f>IFERROR(VLOOKUP($A133,'NG Pivot'!$A$4:$AN$29,MATCH(U$2,'NG Pivot'!$AF$3:$AN$3,0)+31,FALSE),0)*10</f>
        <v>0</v>
      </c>
      <c r="V133" s="220">
        <f>IFERROR(VLOOKUP($A133,'NG Pivot'!$A$4:$AN$29,MATCH(V$2,'NG Pivot'!$AF$3:$AN$3,0)+31,FALSE),0)*10</f>
        <v>0</v>
      </c>
      <c r="W133" s="220">
        <f>IFERROR(VLOOKUP($A133,'NG Pivot'!$A$4:$AN$29,MATCH(W$2,'NG Pivot'!$AF$3:$AN$3,0)+31,FALSE),0)*10</f>
        <v>0</v>
      </c>
      <c r="X133" s="220">
        <f>IFERROR(VLOOKUP($A133,'NG Pivot'!$A$4:$AN$29,MATCH(X$2,'NG Pivot'!$AF$3:$AN$3,0)+31,FALSE),0)*10</f>
        <v>0</v>
      </c>
      <c r="Y133" s="220">
        <f>IFERROR(VLOOKUP($A133,'NG Pivot'!$A$4:$AN$29,MATCH(Y$2,'NG Pivot'!$AF$3:$AN$3,0)+31,FALSE),0)*10</f>
        <v>0</v>
      </c>
      <c r="Z133" s="220">
        <f>IFERROR(VLOOKUP($A133,'NG Pivot'!$A$4:$AN$29,MATCH(Z$2,'NG Pivot'!$AF$3:$AN$3,0)+31,FALSE),0)*10</f>
        <v>0</v>
      </c>
      <c r="AA133" s="220">
        <f>IFERROR(VLOOKUP($A133,'NG Pivot'!$A$4:$AN$29,MATCH(AA$2,'NG Pivot'!$AF$3:$AN$3,0)+31,FALSE),0)*10</f>
        <v>0</v>
      </c>
      <c r="AB133" s="220">
        <f>IFERROR(VLOOKUP($A133,'NG Pivot'!$A$4:$AN$29,MATCH(AB$2,'NG Pivot'!$AF$3:$AN$3,0)+31,FALSE),0)*10</f>
        <v>0</v>
      </c>
      <c r="AC133" s="220">
        <f>IFERROR(VLOOKUP($A133,'NG Pivot'!$A$4:$AN$29,MATCH(AC$2,'NG Pivot'!$AF$3:$AN$3,0)+31,FALSE),0)*10</f>
        <v>0</v>
      </c>
      <c r="AD133" s="220">
        <f>IFERROR(VLOOKUP($A133,'NG Pivot'!$A$4:$AN$29,MATCH(AD$2,'NG Pivot'!$AF$3:$AN$3,0)+31,FALSE),0)*10</f>
        <v>0</v>
      </c>
    </row>
    <row r="134" spans="1:30">
      <c r="A134" s="223" t="s">
        <v>1294</v>
      </c>
      <c r="B134" s="220">
        <f>IFERROR(VLOOKUP($A134,'NG Pivot'!$A$4:$AN$29,MATCH(B$2,'NG Pivot'!$AF$3:$AN$3,0)+31,FALSE),0)*10</f>
        <v>0</v>
      </c>
      <c r="C134" s="220">
        <f>IFERROR(VLOOKUP($A134,'NG Pivot'!$A$4:$AN$29,MATCH(C$2,'NG Pivot'!$AF$3:$AN$3,0)+31,FALSE),0)*10</f>
        <v>0</v>
      </c>
      <c r="D134" s="220">
        <f>IFERROR(VLOOKUP($A134,'NG Pivot'!$A$4:$AN$29,MATCH(D$2,'NG Pivot'!$AF$3:$AN$3,0)+31,FALSE),0)*10</f>
        <v>0</v>
      </c>
      <c r="E134" s="220">
        <f>IFERROR(VLOOKUP($A134,'NG Pivot'!$A$4:$AN$29,MATCH(E$2,'NG Pivot'!$AF$3:$AN$3,0)+31,FALSE),0)*10</f>
        <v>0</v>
      </c>
      <c r="F134" s="220">
        <f>IFERROR(VLOOKUP($A134,'NG Pivot'!$A$4:$AN$29,MATCH(F$2,'NG Pivot'!$AF$3:$AN$3,0)+31,FALSE),0)*10</f>
        <v>0</v>
      </c>
      <c r="G134" s="220">
        <f>IFERROR(VLOOKUP($A134,'NG Pivot'!$A$4:$AN$29,MATCH(G$2,'NG Pivot'!$AF$3:$AN$3,0)+31,FALSE),0)*10</f>
        <v>0</v>
      </c>
      <c r="H134" s="220">
        <f>IFERROR(VLOOKUP($A134,'NG Pivot'!$A$4:$AN$29,MATCH(H$2,'NG Pivot'!$AF$3:$AN$3,0)+31,FALSE),0)*10</f>
        <v>0</v>
      </c>
      <c r="I134" s="220">
        <f>IFERROR(VLOOKUP($A134,'NG Pivot'!$A$4:$AN$29,MATCH(I$2,'NG Pivot'!$AF$3:$AN$3,0)+31,FALSE),0)*10</f>
        <v>0</v>
      </c>
      <c r="J134" s="220">
        <f>IFERROR(VLOOKUP($A134,'NG Pivot'!$A$4:$AN$29,MATCH(J$2,'NG Pivot'!$AF$3:$AN$3,0)+31,FALSE),0)*10</f>
        <v>0</v>
      </c>
      <c r="K134" s="220">
        <f>IFERROR(VLOOKUP($A134,'NG Pivot'!$A$4:$AN$29,MATCH(K$2,'NG Pivot'!$AF$3:$AN$3,0)+31,FALSE),0)*10</f>
        <v>0</v>
      </c>
      <c r="L134" s="220">
        <f>IFERROR(VLOOKUP($A134,'NG Pivot'!$A$4:$AN$29,MATCH(L$2,'NG Pivot'!$AF$3:$AN$3,0)+31,FALSE),0)*10</f>
        <v>0</v>
      </c>
      <c r="M134" s="220">
        <f>IFERROR(VLOOKUP($A134,'NG Pivot'!$A$4:$AN$29,MATCH(M$2,'NG Pivot'!$AF$3:$AN$3,0)+31,FALSE),0)*10</f>
        <v>0</v>
      </c>
      <c r="N134" s="220">
        <f>IFERROR(VLOOKUP($A134,'NG Pivot'!$A$4:$AN$29,MATCH(N$2,'NG Pivot'!$AF$3:$AN$3,0)+31,FALSE),0)*10</f>
        <v>0</v>
      </c>
      <c r="O134" s="220">
        <f>IFERROR(VLOOKUP($A134,'NG Pivot'!$A$4:$AN$29,MATCH(O$2,'NG Pivot'!$AF$3:$AN$3,0)+31,FALSE),0)*10</f>
        <v>0</v>
      </c>
      <c r="P134" s="220">
        <f>IFERROR(VLOOKUP($A134,'NG Pivot'!$A$4:$AN$29,MATCH(P$2,'NG Pivot'!$AF$3:$AN$3,0)+31,FALSE),0)*10</f>
        <v>0</v>
      </c>
      <c r="Q134" s="220">
        <f>IFERROR(VLOOKUP($A134,'NG Pivot'!$A$4:$AN$29,MATCH(Q$2,'NG Pivot'!$AF$3:$AN$3,0)+31,FALSE),0)*10</f>
        <v>0</v>
      </c>
      <c r="R134" s="220">
        <f>IFERROR(VLOOKUP($A134,'NG Pivot'!$A$4:$AN$29,MATCH(R$2,'NG Pivot'!$AF$3:$AN$3,0)+31,FALSE),0)*10</f>
        <v>0</v>
      </c>
      <c r="S134" s="220">
        <f>IFERROR(VLOOKUP($A134,'NG Pivot'!$A$4:$AN$29,MATCH(S$2,'NG Pivot'!$AF$3:$AN$3,0)+31,FALSE),0)*10</f>
        <v>0</v>
      </c>
      <c r="T134" s="220">
        <f>IFERROR(VLOOKUP($A134,'NG Pivot'!$A$4:$AN$29,MATCH(T$2,'NG Pivot'!$AF$3:$AN$3,0)+31,FALSE),0)*10</f>
        <v>0</v>
      </c>
      <c r="U134" s="220">
        <f>IFERROR(VLOOKUP($A134,'NG Pivot'!$A$4:$AN$29,MATCH(U$2,'NG Pivot'!$AF$3:$AN$3,0)+31,FALSE),0)*10</f>
        <v>0</v>
      </c>
      <c r="V134" s="220">
        <f>IFERROR(VLOOKUP($A134,'NG Pivot'!$A$4:$AN$29,MATCH(V$2,'NG Pivot'!$AF$3:$AN$3,0)+31,FALSE),0)*10</f>
        <v>0</v>
      </c>
      <c r="W134" s="220">
        <f>IFERROR(VLOOKUP($A134,'NG Pivot'!$A$4:$AN$29,MATCH(W$2,'NG Pivot'!$AF$3:$AN$3,0)+31,FALSE),0)*10</f>
        <v>0</v>
      </c>
      <c r="X134" s="220">
        <f>IFERROR(VLOOKUP($A134,'NG Pivot'!$A$4:$AN$29,MATCH(X$2,'NG Pivot'!$AF$3:$AN$3,0)+31,FALSE),0)*10</f>
        <v>0</v>
      </c>
      <c r="Y134" s="220">
        <f>IFERROR(VLOOKUP($A134,'NG Pivot'!$A$4:$AN$29,MATCH(Y$2,'NG Pivot'!$AF$3:$AN$3,0)+31,FALSE),0)*10</f>
        <v>0</v>
      </c>
      <c r="Z134" s="220">
        <f>IFERROR(VLOOKUP($A134,'NG Pivot'!$A$4:$AN$29,MATCH(Z$2,'NG Pivot'!$AF$3:$AN$3,0)+31,FALSE),0)*10</f>
        <v>0</v>
      </c>
      <c r="AA134" s="220">
        <f>IFERROR(VLOOKUP($A134,'NG Pivot'!$A$4:$AN$29,MATCH(AA$2,'NG Pivot'!$AF$3:$AN$3,0)+31,FALSE),0)*10</f>
        <v>0</v>
      </c>
      <c r="AB134" s="220">
        <f>IFERROR(VLOOKUP($A134,'NG Pivot'!$A$4:$AN$29,MATCH(AB$2,'NG Pivot'!$AF$3:$AN$3,0)+31,FALSE),0)*10</f>
        <v>0</v>
      </c>
      <c r="AC134" s="220">
        <f>IFERROR(VLOOKUP($A134,'NG Pivot'!$A$4:$AN$29,MATCH(AC$2,'NG Pivot'!$AF$3:$AN$3,0)+31,FALSE),0)*10</f>
        <v>0</v>
      </c>
      <c r="AD134" s="220">
        <f>IFERROR(VLOOKUP($A134,'NG Pivot'!$A$4:$AN$29,MATCH(AD$2,'NG Pivot'!$AF$3:$AN$3,0)+31,FALSE),0)*10</f>
        <v>0</v>
      </c>
    </row>
    <row r="135" spans="1:30">
      <c r="A135" s="223" t="s">
        <v>1295</v>
      </c>
      <c r="B135" s="220">
        <f>IFERROR(VLOOKUP($A135,'NG Pivot'!$A$4:$AN$29,MATCH(B$2,'NG Pivot'!$AF$3:$AN$3,0)+31,FALSE),0)*10</f>
        <v>0</v>
      </c>
      <c r="C135" s="220">
        <f>IFERROR(VLOOKUP($A135,'NG Pivot'!$A$4:$AN$29,MATCH(C$2,'NG Pivot'!$AF$3:$AN$3,0)+31,FALSE),0)*10</f>
        <v>0</v>
      </c>
      <c r="D135" s="220">
        <f>IFERROR(VLOOKUP($A135,'NG Pivot'!$A$4:$AN$29,MATCH(D$2,'NG Pivot'!$AF$3:$AN$3,0)+31,FALSE),0)*10</f>
        <v>0</v>
      </c>
      <c r="E135" s="220">
        <f>IFERROR(VLOOKUP($A135,'NG Pivot'!$A$4:$AN$29,MATCH(E$2,'NG Pivot'!$AF$3:$AN$3,0)+31,FALSE),0)*10</f>
        <v>0</v>
      </c>
      <c r="F135" s="220">
        <f>IFERROR(VLOOKUP($A135,'NG Pivot'!$A$4:$AN$29,MATCH(F$2,'NG Pivot'!$AF$3:$AN$3,0)+31,FALSE),0)*10</f>
        <v>0</v>
      </c>
      <c r="G135" s="220">
        <f>IFERROR(VLOOKUP($A135,'NG Pivot'!$A$4:$AN$29,MATCH(G$2,'NG Pivot'!$AF$3:$AN$3,0)+31,FALSE),0)*10</f>
        <v>0</v>
      </c>
      <c r="H135" s="220">
        <f>IFERROR(VLOOKUP($A135,'NG Pivot'!$A$4:$AN$29,MATCH(H$2,'NG Pivot'!$AF$3:$AN$3,0)+31,FALSE),0)*10</f>
        <v>0</v>
      </c>
      <c r="I135" s="220">
        <f>IFERROR(VLOOKUP($A135,'NG Pivot'!$A$4:$AN$29,MATCH(I$2,'NG Pivot'!$AF$3:$AN$3,0)+31,FALSE),0)*10</f>
        <v>0</v>
      </c>
      <c r="J135" s="220">
        <f>IFERROR(VLOOKUP($A135,'NG Pivot'!$A$4:$AN$29,MATCH(J$2,'NG Pivot'!$AF$3:$AN$3,0)+31,FALSE),0)*10</f>
        <v>0</v>
      </c>
      <c r="K135" s="220">
        <f>IFERROR(VLOOKUP($A135,'NG Pivot'!$A$4:$AN$29,MATCH(K$2,'NG Pivot'!$AF$3:$AN$3,0)+31,FALSE),0)*10</f>
        <v>0</v>
      </c>
      <c r="L135" s="220">
        <f>IFERROR(VLOOKUP($A135,'NG Pivot'!$A$4:$AN$29,MATCH(L$2,'NG Pivot'!$AF$3:$AN$3,0)+31,FALSE),0)*10</f>
        <v>0</v>
      </c>
      <c r="M135" s="220">
        <f>IFERROR(VLOOKUP($A135,'NG Pivot'!$A$4:$AN$29,MATCH(M$2,'NG Pivot'!$AF$3:$AN$3,0)+31,FALSE),0)*10</f>
        <v>0</v>
      </c>
      <c r="N135" s="220">
        <f>IFERROR(VLOOKUP($A135,'NG Pivot'!$A$4:$AN$29,MATCH(N$2,'NG Pivot'!$AF$3:$AN$3,0)+31,FALSE),0)*10</f>
        <v>0</v>
      </c>
      <c r="O135" s="220">
        <f>IFERROR(VLOOKUP($A135,'NG Pivot'!$A$4:$AN$29,MATCH(O$2,'NG Pivot'!$AF$3:$AN$3,0)+31,FALSE),0)*10</f>
        <v>0</v>
      </c>
      <c r="P135" s="220">
        <f>IFERROR(VLOOKUP($A135,'NG Pivot'!$A$4:$AN$29,MATCH(P$2,'NG Pivot'!$AF$3:$AN$3,0)+31,FALSE),0)*10</f>
        <v>0</v>
      </c>
      <c r="Q135" s="220">
        <f>IFERROR(VLOOKUP($A135,'NG Pivot'!$A$4:$AN$29,MATCH(Q$2,'NG Pivot'!$AF$3:$AN$3,0)+31,FALSE),0)*10</f>
        <v>0</v>
      </c>
      <c r="R135" s="220">
        <f>IFERROR(VLOOKUP($A135,'NG Pivot'!$A$4:$AN$29,MATCH(R$2,'NG Pivot'!$AF$3:$AN$3,0)+31,FALSE),0)*10</f>
        <v>0</v>
      </c>
      <c r="S135" s="220">
        <f>IFERROR(VLOOKUP($A135,'NG Pivot'!$A$4:$AN$29,MATCH(S$2,'NG Pivot'!$AF$3:$AN$3,0)+31,FALSE),0)*10</f>
        <v>0</v>
      </c>
      <c r="T135" s="220">
        <f>IFERROR(VLOOKUP($A135,'NG Pivot'!$A$4:$AN$29,MATCH(T$2,'NG Pivot'!$AF$3:$AN$3,0)+31,FALSE),0)*10</f>
        <v>0</v>
      </c>
      <c r="U135" s="220">
        <f>IFERROR(VLOOKUP($A135,'NG Pivot'!$A$4:$AN$29,MATCH(U$2,'NG Pivot'!$AF$3:$AN$3,0)+31,FALSE),0)*10</f>
        <v>0</v>
      </c>
      <c r="V135" s="220">
        <f>IFERROR(VLOOKUP($A135,'NG Pivot'!$A$4:$AN$29,MATCH(V$2,'NG Pivot'!$AF$3:$AN$3,0)+31,FALSE),0)*10</f>
        <v>0</v>
      </c>
      <c r="W135" s="220">
        <f>IFERROR(VLOOKUP($A135,'NG Pivot'!$A$4:$AN$29,MATCH(W$2,'NG Pivot'!$AF$3:$AN$3,0)+31,FALSE),0)*10</f>
        <v>0</v>
      </c>
      <c r="X135" s="220">
        <f>IFERROR(VLOOKUP($A135,'NG Pivot'!$A$4:$AN$29,MATCH(X$2,'NG Pivot'!$AF$3:$AN$3,0)+31,FALSE),0)*10</f>
        <v>0</v>
      </c>
      <c r="Y135" s="220">
        <f>IFERROR(VLOOKUP($A135,'NG Pivot'!$A$4:$AN$29,MATCH(Y$2,'NG Pivot'!$AF$3:$AN$3,0)+31,FALSE),0)*10</f>
        <v>0</v>
      </c>
      <c r="Z135" s="220">
        <f>IFERROR(VLOOKUP($A135,'NG Pivot'!$A$4:$AN$29,MATCH(Z$2,'NG Pivot'!$AF$3:$AN$3,0)+31,FALSE),0)*10</f>
        <v>0</v>
      </c>
      <c r="AA135" s="220">
        <f>IFERROR(VLOOKUP($A135,'NG Pivot'!$A$4:$AN$29,MATCH(AA$2,'NG Pivot'!$AF$3:$AN$3,0)+31,FALSE),0)*10</f>
        <v>0</v>
      </c>
      <c r="AB135" s="220">
        <f>IFERROR(VLOOKUP($A135,'NG Pivot'!$A$4:$AN$29,MATCH(AB$2,'NG Pivot'!$AF$3:$AN$3,0)+31,FALSE),0)*10</f>
        <v>0</v>
      </c>
      <c r="AC135" s="220">
        <f>IFERROR(VLOOKUP($A135,'NG Pivot'!$A$4:$AN$29,MATCH(AC$2,'NG Pivot'!$AF$3:$AN$3,0)+31,FALSE),0)*10</f>
        <v>0</v>
      </c>
      <c r="AD135" s="220">
        <f>IFERROR(VLOOKUP($A135,'NG Pivot'!$A$4:$AN$29,MATCH(AD$2,'NG Pivot'!$AF$3:$AN$3,0)+31,FALSE),0)*10</f>
        <v>0</v>
      </c>
    </row>
    <row r="136" spans="1:30">
      <c r="A136" s="223" t="s">
        <v>1296</v>
      </c>
      <c r="B136" s="220">
        <f>IFERROR(VLOOKUP($A136,'NG Pivot'!$A$4:$AN$29,MATCH(B$2,'NG Pivot'!$AF$3:$AN$3,0)+31,FALSE),0)*10</f>
        <v>0</v>
      </c>
      <c r="C136" s="220">
        <f>IFERROR(VLOOKUP($A136,'NG Pivot'!$A$4:$AN$29,MATCH(C$2,'NG Pivot'!$AF$3:$AN$3,0)+31,FALSE),0)*10</f>
        <v>0</v>
      </c>
      <c r="D136" s="220">
        <f>IFERROR(VLOOKUP($A136,'NG Pivot'!$A$4:$AN$29,MATCH(D$2,'NG Pivot'!$AF$3:$AN$3,0)+31,FALSE),0)*10</f>
        <v>0</v>
      </c>
      <c r="E136" s="220">
        <f>IFERROR(VLOOKUP($A136,'NG Pivot'!$A$4:$AN$29,MATCH(E$2,'NG Pivot'!$AF$3:$AN$3,0)+31,FALSE),0)*10</f>
        <v>0</v>
      </c>
      <c r="F136" s="220">
        <f>IFERROR(VLOOKUP($A136,'NG Pivot'!$A$4:$AN$29,MATCH(F$2,'NG Pivot'!$AF$3:$AN$3,0)+31,FALSE),0)*10</f>
        <v>0</v>
      </c>
      <c r="G136" s="220">
        <f>IFERROR(VLOOKUP($A136,'NG Pivot'!$A$4:$AN$29,MATCH(G$2,'NG Pivot'!$AF$3:$AN$3,0)+31,FALSE),0)*10</f>
        <v>0</v>
      </c>
      <c r="H136" s="220">
        <f>IFERROR(VLOOKUP($A136,'NG Pivot'!$A$4:$AN$29,MATCH(H$2,'NG Pivot'!$AF$3:$AN$3,0)+31,FALSE),0)*10</f>
        <v>0</v>
      </c>
      <c r="I136" s="220">
        <f>IFERROR(VLOOKUP($A136,'NG Pivot'!$A$4:$AN$29,MATCH(I$2,'NG Pivot'!$AF$3:$AN$3,0)+31,FALSE),0)*10</f>
        <v>0</v>
      </c>
      <c r="J136" s="220">
        <f>IFERROR(VLOOKUP($A136,'NG Pivot'!$A$4:$AN$29,MATCH(J$2,'NG Pivot'!$AF$3:$AN$3,0)+31,FALSE),0)*10</f>
        <v>0</v>
      </c>
      <c r="K136" s="220">
        <f>IFERROR(VLOOKUP($A136,'NG Pivot'!$A$4:$AN$29,MATCH(K$2,'NG Pivot'!$AF$3:$AN$3,0)+31,FALSE),0)*10</f>
        <v>0</v>
      </c>
      <c r="L136" s="220">
        <f>IFERROR(VLOOKUP($A136,'NG Pivot'!$A$4:$AN$29,MATCH(L$2,'NG Pivot'!$AF$3:$AN$3,0)+31,FALSE),0)*10</f>
        <v>0</v>
      </c>
      <c r="M136" s="220">
        <f>IFERROR(VLOOKUP($A136,'NG Pivot'!$A$4:$AN$29,MATCH(M$2,'NG Pivot'!$AF$3:$AN$3,0)+31,FALSE),0)*10</f>
        <v>0</v>
      </c>
      <c r="N136" s="220">
        <f>IFERROR(VLOOKUP($A136,'NG Pivot'!$A$4:$AN$29,MATCH(N$2,'NG Pivot'!$AF$3:$AN$3,0)+31,FALSE),0)*10</f>
        <v>0</v>
      </c>
      <c r="O136" s="220">
        <f>IFERROR(VLOOKUP($A136,'NG Pivot'!$A$4:$AN$29,MATCH(O$2,'NG Pivot'!$AF$3:$AN$3,0)+31,FALSE),0)*10</f>
        <v>0</v>
      </c>
      <c r="P136" s="220">
        <f>IFERROR(VLOOKUP($A136,'NG Pivot'!$A$4:$AN$29,MATCH(P$2,'NG Pivot'!$AF$3:$AN$3,0)+31,FALSE),0)*10</f>
        <v>0</v>
      </c>
      <c r="Q136" s="220">
        <f>IFERROR(VLOOKUP($A136,'NG Pivot'!$A$4:$AN$29,MATCH(Q$2,'NG Pivot'!$AF$3:$AN$3,0)+31,FALSE),0)*10</f>
        <v>0</v>
      </c>
      <c r="R136" s="220">
        <f>IFERROR(VLOOKUP($A136,'NG Pivot'!$A$4:$AN$29,MATCH(R$2,'NG Pivot'!$AF$3:$AN$3,0)+31,FALSE),0)*10</f>
        <v>0</v>
      </c>
      <c r="S136" s="220">
        <f>IFERROR(VLOOKUP($A136,'NG Pivot'!$A$4:$AN$29,MATCH(S$2,'NG Pivot'!$AF$3:$AN$3,0)+31,FALSE),0)*10</f>
        <v>0</v>
      </c>
      <c r="T136" s="220">
        <f>IFERROR(VLOOKUP($A136,'NG Pivot'!$A$4:$AN$29,MATCH(T$2,'NG Pivot'!$AF$3:$AN$3,0)+31,FALSE),0)*10</f>
        <v>0</v>
      </c>
      <c r="U136" s="220">
        <f>IFERROR(VLOOKUP($A136,'NG Pivot'!$A$4:$AN$29,MATCH(U$2,'NG Pivot'!$AF$3:$AN$3,0)+31,FALSE),0)*10</f>
        <v>0</v>
      </c>
      <c r="V136" s="220">
        <f>IFERROR(VLOOKUP($A136,'NG Pivot'!$A$4:$AN$29,MATCH(V$2,'NG Pivot'!$AF$3:$AN$3,0)+31,FALSE),0)*10</f>
        <v>0</v>
      </c>
      <c r="W136" s="220">
        <f>IFERROR(VLOOKUP($A136,'NG Pivot'!$A$4:$AN$29,MATCH(W$2,'NG Pivot'!$AF$3:$AN$3,0)+31,FALSE),0)*10</f>
        <v>0</v>
      </c>
      <c r="X136" s="220">
        <f>IFERROR(VLOOKUP($A136,'NG Pivot'!$A$4:$AN$29,MATCH(X$2,'NG Pivot'!$AF$3:$AN$3,0)+31,FALSE),0)*10</f>
        <v>0</v>
      </c>
      <c r="Y136" s="220">
        <f>IFERROR(VLOOKUP($A136,'NG Pivot'!$A$4:$AN$29,MATCH(Y$2,'NG Pivot'!$AF$3:$AN$3,0)+31,FALSE),0)*10</f>
        <v>0</v>
      </c>
      <c r="Z136" s="220">
        <f>IFERROR(VLOOKUP($A136,'NG Pivot'!$A$4:$AN$29,MATCH(Z$2,'NG Pivot'!$AF$3:$AN$3,0)+31,FALSE),0)*10</f>
        <v>0</v>
      </c>
      <c r="AA136" s="220">
        <f>IFERROR(VLOOKUP($A136,'NG Pivot'!$A$4:$AN$29,MATCH(AA$2,'NG Pivot'!$AF$3:$AN$3,0)+31,FALSE),0)*10</f>
        <v>0</v>
      </c>
      <c r="AB136" s="220">
        <f>IFERROR(VLOOKUP($A136,'NG Pivot'!$A$4:$AN$29,MATCH(AB$2,'NG Pivot'!$AF$3:$AN$3,0)+31,FALSE),0)*10</f>
        <v>0</v>
      </c>
      <c r="AC136" s="220">
        <f>IFERROR(VLOOKUP($A136,'NG Pivot'!$A$4:$AN$29,MATCH(AC$2,'NG Pivot'!$AF$3:$AN$3,0)+31,FALSE),0)*10</f>
        <v>0</v>
      </c>
      <c r="AD136" s="220">
        <f>IFERROR(VLOOKUP($A136,'NG Pivot'!$A$4:$AN$29,MATCH(AD$2,'NG Pivot'!$AF$3:$AN$3,0)+31,FALSE),0)*10</f>
        <v>0</v>
      </c>
    </row>
    <row r="137" spans="1:30">
      <c r="A137" s="223" t="s">
        <v>1297</v>
      </c>
      <c r="B137" s="220">
        <f>IFERROR(VLOOKUP($A137,'NG Pivot'!$A$4:$AN$29,MATCH(B$2,'NG Pivot'!$AF$3:$AN$3,0)+31,FALSE),0)*10</f>
        <v>0</v>
      </c>
      <c r="C137" s="220">
        <f>IFERROR(VLOOKUP($A137,'NG Pivot'!$A$4:$AN$29,MATCH(C$2,'NG Pivot'!$AF$3:$AN$3,0)+31,FALSE),0)*10</f>
        <v>0</v>
      </c>
      <c r="D137" s="220">
        <f>IFERROR(VLOOKUP($A137,'NG Pivot'!$A$4:$AN$29,MATCH(D$2,'NG Pivot'!$AF$3:$AN$3,0)+31,FALSE),0)*10</f>
        <v>0</v>
      </c>
      <c r="E137" s="220">
        <f>IFERROR(VLOOKUP($A137,'NG Pivot'!$A$4:$AN$29,MATCH(E$2,'NG Pivot'!$AF$3:$AN$3,0)+31,FALSE),0)*10</f>
        <v>0</v>
      </c>
      <c r="F137" s="220">
        <f>IFERROR(VLOOKUP($A137,'NG Pivot'!$A$4:$AN$29,MATCH(F$2,'NG Pivot'!$AF$3:$AN$3,0)+31,FALSE),0)*10</f>
        <v>0</v>
      </c>
      <c r="G137" s="220">
        <f>IFERROR(VLOOKUP($A137,'NG Pivot'!$A$4:$AN$29,MATCH(G$2,'NG Pivot'!$AF$3:$AN$3,0)+31,FALSE),0)*10</f>
        <v>0</v>
      </c>
      <c r="H137" s="220">
        <f>IFERROR(VLOOKUP($A137,'NG Pivot'!$A$4:$AN$29,MATCH(H$2,'NG Pivot'!$AF$3:$AN$3,0)+31,FALSE),0)*10</f>
        <v>0</v>
      </c>
      <c r="I137" s="220">
        <f>IFERROR(VLOOKUP($A137,'NG Pivot'!$A$4:$AN$29,MATCH(I$2,'NG Pivot'!$AF$3:$AN$3,0)+31,FALSE),0)*10</f>
        <v>0</v>
      </c>
      <c r="J137" s="220">
        <f>IFERROR(VLOOKUP($A137,'NG Pivot'!$A$4:$AN$29,MATCH(J$2,'NG Pivot'!$AF$3:$AN$3,0)+31,FALSE),0)*10</f>
        <v>0</v>
      </c>
      <c r="K137" s="220">
        <f>IFERROR(VLOOKUP($A137,'NG Pivot'!$A$4:$AN$29,MATCH(K$2,'NG Pivot'!$AF$3:$AN$3,0)+31,FALSE),0)*10</f>
        <v>0</v>
      </c>
      <c r="L137" s="220">
        <f>IFERROR(VLOOKUP($A137,'NG Pivot'!$A$4:$AN$29,MATCH(L$2,'NG Pivot'!$AF$3:$AN$3,0)+31,FALSE),0)*10</f>
        <v>0</v>
      </c>
      <c r="M137" s="220">
        <f>IFERROR(VLOOKUP($A137,'NG Pivot'!$A$4:$AN$29,MATCH(M$2,'NG Pivot'!$AF$3:$AN$3,0)+31,FALSE),0)*10</f>
        <v>0</v>
      </c>
      <c r="N137" s="220">
        <f>IFERROR(VLOOKUP($A137,'NG Pivot'!$A$4:$AN$29,MATCH(N$2,'NG Pivot'!$AF$3:$AN$3,0)+31,FALSE),0)*10</f>
        <v>0</v>
      </c>
      <c r="O137" s="220">
        <f>IFERROR(VLOOKUP($A137,'NG Pivot'!$A$4:$AN$29,MATCH(O$2,'NG Pivot'!$AF$3:$AN$3,0)+31,FALSE),0)*10</f>
        <v>0</v>
      </c>
      <c r="P137" s="220">
        <f>IFERROR(VLOOKUP($A137,'NG Pivot'!$A$4:$AN$29,MATCH(P$2,'NG Pivot'!$AF$3:$AN$3,0)+31,FALSE),0)*10</f>
        <v>0</v>
      </c>
      <c r="Q137" s="220">
        <f>IFERROR(VLOOKUP($A137,'NG Pivot'!$A$4:$AN$29,MATCH(Q$2,'NG Pivot'!$AF$3:$AN$3,0)+31,FALSE),0)*10</f>
        <v>0</v>
      </c>
      <c r="R137" s="220">
        <f>IFERROR(VLOOKUP($A137,'NG Pivot'!$A$4:$AN$29,MATCH(R$2,'NG Pivot'!$AF$3:$AN$3,0)+31,FALSE),0)*10</f>
        <v>0</v>
      </c>
      <c r="S137" s="220">
        <f>IFERROR(VLOOKUP($A137,'NG Pivot'!$A$4:$AN$29,MATCH(S$2,'NG Pivot'!$AF$3:$AN$3,0)+31,FALSE),0)*10</f>
        <v>0</v>
      </c>
      <c r="T137" s="220">
        <f>IFERROR(VLOOKUP($A137,'NG Pivot'!$A$4:$AN$29,MATCH(T$2,'NG Pivot'!$AF$3:$AN$3,0)+31,FALSE),0)*10</f>
        <v>0</v>
      </c>
      <c r="U137" s="220">
        <f>IFERROR(VLOOKUP($A137,'NG Pivot'!$A$4:$AN$29,MATCH(U$2,'NG Pivot'!$AF$3:$AN$3,0)+31,FALSE),0)*10</f>
        <v>0</v>
      </c>
      <c r="V137" s="220">
        <f>IFERROR(VLOOKUP($A137,'NG Pivot'!$A$4:$AN$29,MATCH(V$2,'NG Pivot'!$AF$3:$AN$3,0)+31,FALSE),0)*10</f>
        <v>0</v>
      </c>
      <c r="W137" s="220">
        <f>IFERROR(VLOOKUP($A137,'NG Pivot'!$A$4:$AN$29,MATCH(W$2,'NG Pivot'!$AF$3:$AN$3,0)+31,FALSE),0)*10</f>
        <v>0</v>
      </c>
      <c r="X137" s="220">
        <f>IFERROR(VLOOKUP($A137,'NG Pivot'!$A$4:$AN$29,MATCH(X$2,'NG Pivot'!$AF$3:$AN$3,0)+31,FALSE),0)*10</f>
        <v>0</v>
      </c>
      <c r="Y137" s="220">
        <f>IFERROR(VLOOKUP($A137,'NG Pivot'!$A$4:$AN$29,MATCH(Y$2,'NG Pivot'!$AF$3:$AN$3,0)+31,FALSE),0)*10</f>
        <v>0</v>
      </c>
      <c r="Z137" s="220">
        <f>IFERROR(VLOOKUP($A137,'NG Pivot'!$A$4:$AN$29,MATCH(Z$2,'NG Pivot'!$AF$3:$AN$3,0)+31,FALSE),0)*10</f>
        <v>0</v>
      </c>
      <c r="AA137" s="220">
        <f>IFERROR(VLOOKUP($A137,'NG Pivot'!$A$4:$AN$29,MATCH(AA$2,'NG Pivot'!$AF$3:$AN$3,0)+31,FALSE),0)*10</f>
        <v>0</v>
      </c>
      <c r="AB137" s="220">
        <f>IFERROR(VLOOKUP($A137,'NG Pivot'!$A$4:$AN$29,MATCH(AB$2,'NG Pivot'!$AF$3:$AN$3,0)+31,FALSE),0)*10</f>
        <v>0</v>
      </c>
      <c r="AC137" s="220">
        <f>IFERROR(VLOOKUP($A137,'NG Pivot'!$A$4:$AN$29,MATCH(AC$2,'NG Pivot'!$AF$3:$AN$3,0)+31,FALSE),0)*10</f>
        <v>0</v>
      </c>
      <c r="AD137" s="220">
        <f>IFERROR(VLOOKUP($A137,'NG Pivot'!$A$4:$AN$29,MATCH(AD$2,'NG Pivot'!$AF$3:$AN$3,0)+31,FALSE),0)*10</f>
        <v>0</v>
      </c>
    </row>
    <row r="138" spans="1:30">
      <c r="A138" s="223" t="s">
        <v>1298</v>
      </c>
      <c r="B138" s="220">
        <f>IFERROR(VLOOKUP($A138,'NG Pivot'!$A$4:$AN$29,MATCH(B$2,'NG Pivot'!$AF$3:$AN$3,0)+31,FALSE),0)*10</f>
        <v>0</v>
      </c>
      <c r="C138" s="220">
        <f>IFERROR(VLOOKUP($A138,'NG Pivot'!$A$4:$AN$29,MATCH(C$2,'NG Pivot'!$AF$3:$AN$3,0)+31,FALSE),0)*10</f>
        <v>0</v>
      </c>
      <c r="D138" s="220">
        <f>IFERROR(VLOOKUP($A138,'NG Pivot'!$A$4:$AN$29,MATCH(D$2,'NG Pivot'!$AF$3:$AN$3,0)+31,FALSE),0)*10</f>
        <v>0</v>
      </c>
      <c r="E138" s="220">
        <f>IFERROR(VLOOKUP($A138,'NG Pivot'!$A$4:$AN$29,MATCH(E$2,'NG Pivot'!$AF$3:$AN$3,0)+31,FALSE),0)*10</f>
        <v>0</v>
      </c>
      <c r="F138" s="220">
        <f>IFERROR(VLOOKUP($A138,'NG Pivot'!$A$4:$AN$29,MATCH(F$2,'NG Pivot'!$AF$3:$AN$3,0)+31,FALSE),0)*10</f>
        <v>0</v>
      </c>
      <c r="G138" s="220">
        <f>IFERROR(VLOOKUP($A138,'NG Pivot'!$A$4:$AN$29,MATCH(G$2,'NG Pivot'!$AF$3:$AN$3,0)+31,FALSE),0)*10</f>
        <v>0</v>
      </c>
      <c r="H138" s="220">
        <f>IFERROR(VLOOKUP($A138,'NG Pivot'!$A$4:$AN$29,MATCH(H$2,'NG Pivot'!$AF$3:$AN$3,0)+31,FALSE),0)*10</f>
        <v>0</v>
      </c>
      <c r="I138" s="220">
        <f>IFERROR(VLOOKUP($A138,'NG Pivot'!$A$4:$AN$29,MATCH(I$2,'NG Pivot'!$AF$3:$AN$3,0)+31,FALSE),0)*10</f>
        <v>0</v>
      </c>
      <c r="J138" s="220">
        <f>IFERROR(VLOOKUP($A138,'NG Pivot'!$A$4:$AN$29,MATCH(J$2,'NG Pivot'!$AF$3:$AN$3,0)+31,FALSE),0)*10</f>
        <v>0</v>
      </c>
      <c r="K138" s="220">
        <f>IFERROR(VLOOKUP($A138,'NG Pivot'!$A$4:$AN$29,MATCH(K$2,'NG Pivot'!$AF$3:$AN$3,0)+31,FALSE),0)*10</f>
        <v>0</v>
      </c>
      <c r="L138" s="220">
        <f>IFERROR(VLOOKUP($A138,'NG Pivot'!$A$4:$AN$29,MATCH(L$2,'NG Pivot'!$AF$3:$AN$3,0)+31,FALSE),0)*10</f>
        <v>0</v>
      </c>
      <c r="M138" s="220">
        <f>IFERROR(VLOOKUP($A138,'NG Pivot'!$A$4:$AN$29,MATCH(M$2,'NG Pivot'!$AF$3:$AN$3,0)+31,FALSE),0)*10</f>
        <v>0</v>
      </c>
      <c r="N138" s="220">
        <f>IFERROR(VLOOKUP($A138,'NG Pivot'!$A$4:$AN$29,MATCH(N$2,'NG Pivot'!$AF$3:$AN$3,0)+31,FALSE),0)*10</f>
        <v>0</v>
      </c>
      <c r="O138" s="220">
        <f>IFERROR(VLOOKUP($A138,'NG Pivot'!$A$4:$AN$29,MATCH(O$2,'NG Pivot'!$AF$3:$AN$3,0)+31,FALSE),0)*10</f>
        <v>0</v>
      </c>
      <c r="P138" s="220">
        <f>IFERROR(VLOOKUP($A138,'NG Pivot'!$A$4:$AN$29,MATCH(P$2,'NG Pivot'!$AF$3:$AN$3,0)+31,FALSE),0)*10</f>
        <v>0</v>
      </c>
      <c r="Q138" s="220">
        <f>IFERROR(VLOOKUP($A138,'NG Pivot'!$A$4:$AN$29,MATCH(Q$2,'NG Pivot'!$AF$3:$AN$3,0)+31,FALSE),0)*10</f>
        <v>0</v>
      </c>
      <c r="R138" s="220">
        <f>IFERROR(VLOOKUP($A138,'NG Pivot'!$A$4:$AN$29,MATCH(R$2,'NG Pivot'!$AF$3:$AN$3,0)+31,FALSE),0)*10</f>
        <v>0</v>
      </c>
      <c r="S138" s="220">
        <f>IFERROR(VLOOKUP($A138,'NG Pivot'!$A$4:$AN$29,MATCH(S$2,'NG Pivot'!$AF$3:$AN$3,0)+31,FALSE),0)*10</f>
        <v>0</v>
      </c>
      <c r="T138" s="220">
        <f>IFERROR(VLOOKUP($A138,'NG Pivot'!$A$4:$AN$29,MATCH(T$2,'NG Pivot'!$AF$3:$AN$3,0)+31,FALSE),0)*10</f>
        <v>0</v>
      </c>
      <c r="U138" s="220">
        <f>IFERROR(VLOOKUP($A138,'NG Pivot'!$A$4:$AN$29,MATCH(U$2,'NG Pivot'!$AF$3:$AN$3,0)+31,FALSE),0)*10</f>
        <v>0</v>
      </c>
      <c r="V138" s="220">
        <f>IFERROR(VLOOKUP($A138,'NG Pivot'!$A$4:$AN$29,MATCH(V$2,'NG Pivot'!$AF$3:$AN$3,0)+31,FALSE),0)*10</f>
        <v>0</v>
      </c>
      <c r="W138" s="220">
        <f>IFERROR(VLOOKUP($A138,'NG Pivot'!$A$4:$AN$29,MATCH(W$2,'NG Pivot'!$AF$3:$AN$3,0)+31,FALSE),0)*10</f>
        <v>0</v>
      </c>
      <c r="X138" s="220">
        <f>IFERROR(VLOOKUP($A138,'NG Pivot'!$A$4:$AN$29,MATCH(X$2,'NG Pivot'!$AF$3:$AN$3,0)+31,FALSE),0)*10</f>
        <v>0</v>
      </c>
      <c r="Y138" s="220">
        <f>IFERROR(VLOOKUP($A138,'NG Pivot'!$A$4:$AN$29,MATCH(Y$2,'NG Pivot'!$AF$3:$AN$3,0)+31,FALSE),0)*10</f>
        <v>0</v>
      </c>
      <c r="Z138" s="220">
        <f>IFERROR(VLOOKUP($A138,'NG Pivot'!$A$4:$AN$29,MATCH(Z$2,'NG Pivot'!$AF$3:$AN$3,0)+31,FALSE),0)*10</f>
        <v>0</v>
      </c>
      <c r="AA138" s="220">
        <f>IFERROR(VLOOKUP($A138,'NG Pivot'!$A$4:$AN$29,MATCH(AA$2,'NG Pivot'!$AF$3:$AN$3,0)+31,FALSE),0)*10</f>
        <v>0</v>
      </c>
      <c r="AB138" s="220">
        <f>IFERROR(VLOOKUP($A138,'NG Pivot'!$A$4:$AN$29,MATCH(AB$2,'NG Pivot'!$AF$3:$AN$3,0)+31,FALSE),0)*10</f>
        <v>0</v>
      </c>
      <c r="AC138" s="220">
        <f>IFERROR(VLOOKUP($A138,'NG Pivot'!$A$4:$AN$29,MATCH(AC$2,'NG Pivot'!$AF$3:$AN$3,0)+31,FALSE),0)*10</f>
        <v>0</v>
      </c>
      <c r="AD138" s="220">
        <f>IFERROR(VLOOKUP($A138,'NG Pivot'!$A$4:$AN$29,MATCH(AD$2,'NG Pivot'!$AF$3:$AN$3,0)+31,FALSE),0)*10</f>
        <v>0</v>
      </c>
    </row>
    <row r="139" spans="1:30">
      <c r="A139" s="223" t="s">
        <v>1299</v>
      </c>
      <c r="B139" s="220">
        <f>IFERROR(VLOOKUP($A139,'NG Pivot'!$A$4:$AN$29,MATCH(B$2,'NG Pivot'!$AF$3:$AN$3,0)+31,FALSE),0)*10</f>
        <v>0</v>
      </c>
      <c r="C139" s="220">
        <f>IFERROR(VLOOKUP($A139,'NG Pivot'!$A$4:$AN$29,MATCH(C$2,'NG Pivot'!$AF$3:$AN$3,0)+31,FALSE),0)*10</f>
        <v>0</v>
      </c>
      <c r="D139" s="220">
        <f>IFERROR(VLOOKUP($A139,'NG Pivot'!$A$4:$AN$29,MATCH(D$2,'NG Pivot'!$AF$3:$AN$3,0)+31,FALSE),0)*10</f>
        <v>0</v>
      </c>
      <c r="E139" s="220">
        <f>IFERROR(VLOOKUP($A139,'NG Pivot'!$A$4:$AN$29,MATCH(E$2,'NG Pivot'!$AF$3:$AN$3,0)+31,FALSE),0)*10</f>
        <v>0</v>
      </c>
      <c r="F139" s="220">
        <f>IFERROR(VLOOKUP($A139,'NG Pivot'!$A$4:$AN$29,MATCH(F$2,'NG Pivot'!$AF$3:$AN$3,0)+31,FALSE),0)*10</f>
        <v>0</v>
      </c>
      <c r="G139" s="220">
        <f>IFERROR(VLOOKUP($A139,'NG Pivot'!$A$4:$AN$29,MATCH(G$2,'NG Pivot'!$AF$3:$AN$3,0)+31,FALSE),0)*10</f>
        <v>0</v>
      </c>
      <c r="H139" s="220">
        <f>IFERROR(VLOOKUP($A139,'NG Pivot'!$A$4:$AN$29,MATCH(H$2,'NG Pivot'!$AF$3:$AN$3,0)+31,FALSE),0)*10</f>
        <v>0</v>
      </c>
      <c r="I139" s="220">
        <f>IFERROR(VLOOKUP($A139,'NG Pivot'!$A$4:$AN$29,MATCH(I$2,'NG Pivot'!$AF$3:$AN$3,0)+31,FALSE),0)*10</f>
        <v>0</v>
      </c>
      <c r="J139" s="220">
        <f>IFERROR(VLOOKUP($A139,'NG Pivot'!$A$4:$AN$29,MATCH(J$2,'NG Pivot'!$AF$3:$AN$3,0)+31,FALSE),0)*10</f>
        <v>0</v>
      </c>
      <c r="K139" s="220">
        <f>IFERROR(VLOOKUP($A139,'NG Pivot'!$A$4:$AN$29,MATCH(K$2,'NG Pivot'!$AF$3:$AN$3,0)+31,FALSE),0)*10</f>
        <v>0</v>
      </c>
      <c r="L139" s="220">
        <f>IFERROR(VLOOKUP($A139,'NG Pivot'!$A$4:$AN$29,MATCH(L$2,'NG Pivot'!$AF$3:$AN$3,0)+31,FALSE),0)*10</f>
        <v>0</v>
      </c>
      <c r="M139" s="220">
        <f>IFERROR(VLOOKUP($A139,'NG Pivot'!$A$4:$AN$29,MATCH(M$2,'NG Pivot'!$AF$3:$AN$3,0)+31,FALSE),0)*10</f>
        <v>0</v>
      </c>
      <c r="N139" s="220">
        <f>IFERROR(VLOOKUP($A139,'NG Pivot'!$A$4:$AN$29,MATCH(N$2,'NG Pivot'!$AF$3:$AN$3,0)+31,FALSE),0)*10</f>
        <v>0</v>
      </c>
      <c r="O139" s="220">
        <f>IFERROR(VLOOKUP($A139,'NG Pivot'!$A$4:$AN$29,MATCH(O$2,'NG Pivot'!$AF$3:$AN$3,0)+31,FALSE),0)*10</f>
        <v>0</v>
      </c>
      <c r="P139" s="220">
        <f>IFERROR(VLOOKUP($A139,'NG Pivot'!$A$4:$AN$29,MATCH(P$2,'NG Pivot'!$AF$3:$AN$3,0)+31,FALSE),0)*10</f>
        <v>0</v>
      </c>
      <c r="Q139" s="220">
        <f>IFERROR(VLOOKUP($A139,'NG Pivot'!$A$4:$AN$29,MATCH(Q$2,'NG Pivot'!$AF$3:$AN$3,0)+31,FALSE),0)*10</f>
        <v>0</v>
      </c>
      <c r="R139" s="220">
        <f>IFERROR(VLOOKUP($A139,'NG Pivot'!$A$4:$AN$29,MATCH(R$2,'NG Pivot'!$AF$3:$AN$3,0)+31,FALSE),0)*10</f>
        <v>0</v>
      </c>
      <c r="S139" s="220">
        <f>IFERROR(VLOOKUP($A139,'NG Pivot'!$A$4:$AN$29,MATCH(S$2,'NG Pivot'!$AF$3:$AN$3,0)+31,FALSE),0)*10</f>
        <v>0</v>
      </c>
      <c r="T139" s="220">
        <f>IFERROR(VLOOKUP($A139,'NG Pivot'!$A$4:$AN$29,MATCH(T$2,'NG Pivot'!$AF$3:$AN$3,0)+31,FALSE),0)*10</f>
        <v>0</v>
      </c>
      <c r="U139" s="220">
        <f>IFERROR(VLOOKUP($A139,'NG Pivot'!$A$4:$AN$29,MATCH(U$2,'NG Pivot'!$AF$3:$AN$3,0)+31,FALSE),0)*10</f>
        <v>0</v>
      </c>
      <c r="V139" s="220">
        <f>IFERROR(VLOOKUP($A139,'NG Pivot'!$A$4:$AN$29,MATCH(V$2,'NG Pivot'!$AF$3:$AN$3,0)+31,FALSE),0)*10</f>
        <v>0</v>
      </c>
      <c r="W139" s="220">
        <f>IFERROR(VLOOKUP($A139,'NG Pivot'!$A$4:$AN$29,MATCH(W$2,'NG Pivot'!$AF$3:$AN$3,0)+31,FALSE),0)*10</f>
        <v>0</v>
      </c>
      <c r="X139" s="220">
        <f>IFERROR(VLOOKUP($A139,'NG Pivot'!$A$4:$AN$29,MATCH(X$2,'NG Pivot'!$AF$3:$AN$3,0)+31,FALSE),0)*10</f>
        <v>0</v>
      </c>
      <c r="Y139" s="220">
        <f>IFERROR(VLOOKUP($A139,'NG Pivot'!$A$4:$AN$29,MATCH(Y$2,'NG Pivot'!$AF$3:$AN$3,0)+31,FALSE),0)*10</f>
        <v>0</v>
      </c>
      <c r="Z139" s="220">
        <f>IFERROR(VLOOKUP($A139,'NG Pivot'!$A$4:$AN$29,MATCH(Z$2,'NG Pivot'!$AF$3:$AN$3,0)+31,FALSE),0)*10</f>
        <v>0</v>
      </c>
      <c r="AA139" s="220">
        <f>IFERROR(VLOOKUP($A139,'NG Pivot'!$A$4:$AN$29,MATCH(AA$2,'NG Pivot'!$AF$3:$AN$3,0)+31,FALSE),0)*10</f>
        <v>0</v>
      </c>
      <c r="AB139" s="220">
        <f>IFERROR(VLOOKUP($A139,'NG Pivot'!$A$4:$AN$29,MATCH(AB$2,'NG Pivot'!$AF$3:$AN$3,0)+31,FALSE),0)*10</f>
        <v>0</v>
      </c>
      <c r="AC139" s="220">
        <f>IFERROR(VLOOKUP($A139,'NG Pivot'!$A$4:$AN$29,MATCH(AC$2,'NG Pivot'!$AF$3:$AN$3,0)+31,FALSE),0)*10</f>
        <v>0</v>
      </c>
      <c r="AD139" s="220">
        <f>IFERROR(VLOOKUP($A139,'NG Pivot'!$A$4:$AN$29,MATCH(AD$2,'NG Pivot'!$AF$3:$AN$3,0)+31,FALSE),0)*10</f>
        <v>0</v>
      </c>
    </row>
    <row r="141" ht="13.15" spans="1:30">
      <c r="A141" s="229" t="s">
        <v>1303</v>
      </c>
    </row>
    <row r="142" s="227" customFormat="1" spans="1:30">
      <c r="A142" s="230" t="s">
        <v>1268</v>
      </c>
      <c r="B142" s="227">
        <v>1993</v>
      </c>
      <c r="C142" s="227">
        <v>1994</v>
      </c>
      <c r="D142" s="227">
        <v>1995</v>
      </c>
      <c r="E142" s="227">
        <v>1996</v>
      </c>
      <c r="F142" s="227">
        <v>1997</v>
      </c>
      <c r="G142" s="227">
        <v>1998</v>
      </c>
      <c r="H142" s="227">
        <v>1999</v>
      </c>
      <c r="I142" s="227">
        <v>2000</v>
      </c>
      <c r="J142" s="227">
        <v>2001</v>
      </c>
      <c r="K142" s="227">
        <v>2002</v>
      </c>
      <c r="L142" s="227">
        <v>2003</v>
      </c>
      <c r="M142" s="227">
        <v>2004</v>
      </c>
      <c r="N142" s="227">
        <v>2005</v>
      </c>
      <c r="O142" s="227">
        <v>2006</v>
      </c>
      <c r="P142" s="227">
        <v>2007</v>
      </c>
      <c r="Q142" s="227">
        <v>2008</v>
      </c>
      <c r="R142" s="227">
        <v>2009</v>
      </c>
      <c r="S142" s="227">
        <v>2010</v>
      </c>
      <c r="T142" s="227">
        <v>2011</v>
      </c>
      <c r="U142" s="227">
        <v>2012</v>
      </c>
      <c r="V142" s="227">
        <v>2013</v>
      </c>
      <c r="W142" s="227">
        <v>2014</v>
      </c>
      <c r="X142" s="227">
        <v>2015</v>
      </c>
      <c r="Y142" s="227">
        <v>2016</v>
      </c>
      <c r="Z142" s="227">
        <v>2017</v>
      </c>
      <c r="AA142" s="227">
        <v>2018</v>
      </c>
      <c r="AB142" s="227">
        <v>2019</v>
      </c>
      <c r="AC142" s="227">
        <v>2020</v>
      </c>
      <c r="AD142" s="227">
        <v>2021</v>
      </c>
    </row>
    <row r="143" s="227" customFormat="1" spans="1:30">
      <c r="A143" s="231" t="s">
        <v>80</v>
      </c>
      <c r="B143" s="227">
        <f>SUM(B144:B174)</f>
        <v>440</v>
      </c>
      <c r="C143" s="227">
        <f t="shared" ref="C143" si="85">SUM(C144:C174)</f>
        <v>506</v>
      </c>
      <c r="D143" s="227">
        <f t="shared" ref="D143" si="86">SUM(D144:D174)</f>
        <v>572</v>
      </c>
      <c r="E143" s="227">
        <f t="shared" ref="E143" si="87">SUM(E144:E174)</f>
        <v>572</v>
      </c>
      <c r="F143" s="227">
        <f t="shared" ref="F143" si="88">SUM(F144:F174)</f>
        <v>697</v>
      </c>
      <c r="G143" s="227">
        <f t="shared" ref="G143" si="89">SUM(G144:G174)</f>
        <v>822</v>
      </c>
      <c r="H143" s="227">
        <f t="shared" ref="H143" si="90">SUM(H144:H174)</f>
        <v>1145.2</v>
      </c>
      <c r="I143" s="227">
        <f t="shared" ref="I143" si="91">SUM(I144:I174)</f>
        <v>1145.2</v>
      </c>
      <c r="J143" s="227">
        <f t="shared" ref="J143" si="92">SUM(J144:J174)</f>
        <v>1169.2</v>
      </c>
      <c r="K143" s="227">
        <f t="shared" ref="K143" si="93">SUM(K144:K174)</f>
        <v>1181.2</v>
      </c>
      <c r="L143" s="227">
        <f t="shared" ref="L143" si="94">SUM(L144:L174)</f>
        <v>2496.2</v>
      </c>
      <c r="M143" s="227">
        <f t="shared" ref="M143" si="95">SUM(M144:M174)</f>
        <v>3396.2</v>
      </c>
      <c r="N143" s="227">
        <f t="shared" ref="N143" si="96">SUM(N144:N174)</f>
        <v>9703.2</v>
      </c>
      <c r="O143" s="227">
        <f t="shared" ref="O143" si="97">SUM(O144:O174)</f>
        <v>14498.2</v>
      </c>
      <c r="P143" s="227">
        <f t="shared" ref="P143" si="98">SUM(P144:P174)</f>
        <v>21770.02</v>
      </c>
      <c r="Q143" s="227">
        <f t="shared" ref="Q143" si="99">SUM(Q144:Q174)</f>
        <v>23354.93</v>
      </c>
      <c r="R143" s="227">
        <f t="shared" ref="R143" si="100">SUM(R144:R174)</f>
        <v>26567.91</v>
      </c>
      <c r="S143" s="227">
        <f t="shared" ref="S143" si="101">SUM(S144:S174)</f>
        <v>29161.71</v>
      </c>
      <c r="T143" s="227">
        <f t="shared" ref="T143:AD143" si="102">SUM(T144:T174)</f>
        <v>31763.11</v>
      </c>
      <c r="U143" s="227">
        <f t="shared" si="102"/>
        <v>34197.11</v>
      </c>
      <c r="V143" s="227">
        <f t="shared" si="102"/>
        <v>38583.81</v>
      </c>
      <c r="W143" s="227">
        <f t="shared" si="102"/>
        <v>48046.51</v>
      </c>
      <c r="X143" s="227">
        <f t="shared" si="102"/>
        <v>54994.01</v>
      </c>
      <c r="Y143" s="227">
        <f t="shared" si="102"/>
        <v>57136.31</v>
      </c>
      <c r="Z143" s="227">
        <f t="shared" si="102"/>
        <v>62842.91</v>
      </c>
      <c r="AA143" s="227">
        <f t="shared" si="102"/>
        <v>71672.01</v>
      </c>
      <c r="AB143" s="227">
        <f t="shared" si="102"/>
        <v>77961.51</v>
      </c>
      <c r="AC143" s="227">
        <f t="shared" si="102"/>
        <v>86189.91</v>
      </c>
      <c r="AD143" s="227">
        <f t="shared" si="102"/>
        <v>92450.21</v>
      </c>
    </row>
    <row r="144" spans="1:30">
      <c r="A144" s="223" t="s">
        <v>1269</v>
      </c>
      <c r="B144" s="226">
        <f t="shared" ref="B144:B174" si="103">B74+B39+B4</f>
        <v>0</v>
      </c>
      <c r="C144" s="226">
        <f t="shared" ref="C144:U144" si="104">C74+C39+C4+B144</f>
        <v>0</v>
      </c>
      <c r="D144" s="226">
        <f t="shared" si="104"/>
        <v>0</v>
      </c>
      <c r="E144" s="226">
        <f t="shared" si="104"/>
        <v>0</v>
      </c>
      <c r="F144" s="226">
        <f t="shared" si="104"/>
        <v>0</v>
      </c>
      <c r="G144" s="226">
        <f t="shared" si="104"/>
        <v>0</v>
      </c>
      <c r="H144" s="226">
        <f t="shared" si="104"/>
        <v>0</v>
      </c>
      <c r="I144" s="226">
        <f t="shared" si="104"/>
        <v>0</v>
      </c>
      <c r="J144" s="226">
        <f t="shared" si="104"/>
        <v>0</v>
      </c>
      <c r="K144" s="226">
        <f t="shared" si="104"/>
        <v>0</v>
      </c>
      <c r="L144" s="226">
        <f t="shared" si="104"/>
        <v>0</v>
      </c>
      <c r="M144" s="226">
        <f t="shared" si="104"/>
        <v>0</v>
      </c>
      <c r="N144" s="226">
        <f t="shared" si="104"/>
        <v>0</v>
      </c>
      <c r="O144" s="226">
        <f t="shared" si="104"/>
        <v>560</v>
      </c>
      <c r="P144" s="226">
        <f t="shared" si="104"/>
        <v>560</v>
      </c>
      <c r="Q144" s="226">
        <f t="shared" si="104"/>
        <v>1340</v>
      </c>
      <c r="R144" s="226">
        <f t="shared" si="104"/>
        <v>1459.98</v>
      </c>
      <c r="S144" s="226">
        <f t="shared" si="104"/>
        <v>1459.98</v>
      </c>
      <c r="T144" s="226">
        <f t="shared" si="104"/>
        <v>2383.38</v>
      </c>
      <c r="U144" s="226">
        <f t="shared" si="104"/>
        <v>2383.38</v>
      </c>
      <c r="V144" s="226">
        <f t="shared" ref="V144:AD144" si="105">V74+V39+V4+U144</f>
        <v>3221.38</v>
      </c>
      <c r="W144" s="226">
        <f t="shared" si="105"/>
        <v>7008.38</v>
      </c>
      <c r="X144" s="226">
        <f t="shared" si="105"/>
        <v>7958.38</v>
      </c>
      <c r="Y144" s="226">
        <f t="shared" si="105"/>
        <v>7971.68</v>
      </c>
      <c r="Z144" s="226">
        <f t="shared" si="105"/>
        <v>8969.68</v>
      </c>
      <c r="AA144" s="226">
        <f t="shared" si="105"/>
        <v>9310.68</v>
      </c>
      <c r="AB144" s="226">
        <f t="shared" si="105"/>
        <v>9465.68</v>
      </c>
      <c r="AC144" s="226">
        <f t="shared" si="105"/>
        <v>9532.68</v>
      </c>
      <c r="AD144" s="226">
        <f t="shared" si="105"/>
        <v>9532.68</v>
      </c>
    </row>
    <row r="145" spans="1:30">
      <c r="A145" s="223" t="s">
        <v>1270</v>
      </c>
      <c r="B145" s="226">
        <f t="shared" si="103"/>
        <v>0</v>
      </c>
      <c r="C145" s="226">
        <f t="shared" ref="C145:AD145" si="106">C75+C40+C5+B145</f>
        <v>0</v>
      </c>
      <c r="D145" s="226">
        <f t="shared" si="106"/>
        <v>0</v>
      </c>
      <c r="E145" s="226">
        <f t="shared" si="106"/>
        <v>0</v>
      </c>
      <c r="F145" s="226">
        <f t="shared" si="106"/>
        <v>0</v>
      </c>
      <c r="G145" s="226">
        <f t="shared" si="106"/>
        <v>0</v>
      </c>
      <c r="H145" s="226">
        <f t="shared" si="106"/>
        <v>0</v>
      </c>
      <c r="I145" s="226">
        <f t="shared" si="106"/>
        <v>0</v>
      </c>
      <c r="J145" s="226">
        <f t="shared" si="106"/>
        <v>0</v>
      </c>
      <c r="K145" s="226">
        <f t="shared" si="106"/>
        <v>0</v>
      </c>
      <c r="L145" s="226">
        <f t="shared" si="106"/>
        <v>0</v>
      </c>
      <c r="M145" s="226">
        <f t="shared" si="106"/>
        <v>0</v>
      </c>
      <c r="N145" s="226">
        <f t="shared" si="106"/>
        <v>0</v>
      </c>
      <c r="O145" s="226">
        <f t="shared" si="106"/>
        <v>0</v>
      </c>
      <c r="P145" s="226">
        <f t="shared" si="106"/>
        <v>0</v>
      </c>
      <c r="Q145" s="226">
        <f t="shared" si="106"/>
        <v>0</v>
      </c>
      <c r="R145" s="226">
        <f t="shared" si="106"/>
        <v>0</v>
      </c>
      <c r="S145" s="226">
        <f t="shared" si="106"/>
        <v>0</v>
      </c>
      <c r="T145" s="226">
        <f t="shared" si="106"/>
        <v>0</v>
      </c>
      <c r="U145" s="226">
        <f t="shared" si="106"/>
        <v>0</v>
      </c>
      <c r="V145" s="226">
        <f t="shared" si="106"/>
        <v>0</v>
      </c>
      <c r="W145" s="226">
        <f t="shared" si="106"/>
        <v>863</v>
      </c>
      <c r="X145" s="226">
        <f t="shared" si="106"/>
        <v>863.2</v>
      </c>
      <c r="Y145" s="226">
        <f t="shared" si="106"/>
        <v>1786.9</v>
      </c>
      <c r="Z145" s="226">
        <f t="shared" si="106"/>
        <v>1788.9</v>
      </c>
      <c r="AA145" s="226">
        <f t="shared" si="106"/>
        <v>2040.6</v>
      </c>
      <c r="AB145" s="226">
        <f t="shared" si="106"/>
        <v>2970.6</v>
      </c>
      <c r="AC145" s="226">
        <f t="shared" si="106"/>
        <v>3620.6</v>
      </c>
      <c r="AD145" s="226">
        <f t="shared" si="106"/>
        <v>3621</v>
      </c>
    </row>
    <row r="146" spans="1:30">
      <c r="A146" s="223" t="s">
        <v>1271</v>
      </c>
      <c r="B146" s="226">
        <f t="shared" si="103"/>
        <v>0</v>
      </c>
      <c r="C146" s="226">
        <f t="shared" ref="C146:AD146" si="107">C76+C41+C6+B146</f>
        <v>0</v>
      </c>
      <c r="D146" s="226">
        <f t="shared" si="107"/>
        <v>0</v>
      </c>
      <c r="E146" s="226">
        <f t="shared" si="107"/>
        <v>0</v>
      </c>
      <c r="F146" s="226">
        <f t="shared" si="107"/>
        <v>0</v>
      </c>
      <c r="G146" s="226">
        <f t="shared" si="107"/>
        <v>0</v>
      </c>
      <c r="H146" s="226">
        <f t="shared" si="107"/>
        <v>0</v>
      </c>
      <c r="I146" s="226">
        <f t="shared" si="107"/>
        <v>0</v>
      </c>
      <c r="J146" s="226">
        <f t="shared" si="107"/>
        <v>0</v>
      </c>
      <c r="K146" s="226">
        <f t="shared" si="107"/>
        <v>0</v>
      </c>
      <c r="L146" s="226">
        <f t="shared" si="107"/>
        <v>0</v>
      </c>
      <c r="M146" s="226">
        <f t="shared" si="107"/>
        <v>0</v>
      </c>
      <c r="N146" s="226">
        <f t="shared" si="107"/>
        <v>0</v>
      </c>
      <c r="O146" s="226">
        <f t="shared" si="107"/>
        <v>0</v>
      </c>
      <c r="P146" s="226">
        <f t="shared" si="107"/>
        <v>0</v>
      </c>
      <c r="Q146" s="226">
        <f t="shared" si="107"/>
        <v>0</v>
      </c>
      <c r="R146" s="226">
        <f t="shared" si="107"/>
        <v>0</v>
      </c>
      <c r="S146" s="226">
        <f t="shared" si="107"/>
        <v>0</v>
      </c>
      <c r="T146" s="226">
        <f t="shared" si="107"/>
        <v>0</v>
      </c>
      <c r="U146" s="226">
        <f t="shared" si="107"/>
        <v>0</v>
      </c>
      <c r="V146" s="226">
        <f t="shared" si="107"/>
        <v>0</v>
      </c>
      <c r="W146" s="226">
        <f t="shared" si="107"/>
        <v>0</v>
      </c>
      <c r="X146" s="226">
        <f t="shared" si="107"/>
        <v>0</v>
      </c>
      <c r="Y146" s="226">
        <f t="shared" si="107"/>
        <v>0</v>
      </c>
      <c r="Z146" s="226">
        <f t="shared" si="107"/>
        <v>0</v>
      </c>
      <c r="AA146" s="226">
        <f t="shared" si="107"/>
        <v>0</v>
      </c>
      <c r="AB146" s="226">
        <f t="shared" si="107"/>
        <v>453.6</v>
      </c>
      <c r="AC146" s="226">
        <f t="shared" si="107"/>
        <v>919.8</v>
      </c>
      <c r="AD146" s="226">
        <f t="shared" si="107"/>
        <v>919.8</v>
      </c>
    </row>
    <row r="147" spans="1:30">
      <c r="A147" s="223" t="s">
        <v>1272</v>
      </c>
      <c r="B147" s="226">
        <f t="shared" si="103"/>
        <v>0</v>
      </c>
      <c r="C147" s="226">
        <f t="shared" ref="C147:AD147" si="108">C77+C42+C7+B147</f>
        <v>0</v>
      </c>
      <c r="D147" s="226">
        <f t="shared" si="108"/>
        <v>0</v>
      </c>
      <c r="E147" s="226">
        <f t="shared" si="108"/>
        <v>0</v>
      </c>
      <c r="F147" s="226">
        <f t="shared" si="108"/>
        <v>0</v>
      </c>
      <c r="G147" s="226">
        <f t="shared" si="108"/>
        <v>0</v>
      </c>
      <c r="H147" s="226">
        <f t="shared" si="108"/>
        <v>0</v>
      </c>
      <c r="I147" s="226">
        <f t="shared" si="108"/>
        <v>0</v>
      </c>
      <c r="J147" s="226">
        <f t="shared" si="108"/>
        <v>0</v>
      </c>
      <c r="K147" s="226">
        <f t="shared" si="108"/>
        <v>0</v>
      </c>
      <c r="L147" s="226">
        <f t="shared" si="108"/>
        <v>0</v>
      </c>
      <c r="M147" s="226">
        <f t="shared" si="108"/>
        <v>0</v>
      </c>
      <c r="N147" s="226">
        <f t="shared" si="108"/>
        <v>0</v>
      </c>
      <c r="O147" s="226">
        <f t="shared" si="108"/>
        <v>0</v>
      </c>
      <c r="P147" s="226">
        <f t="shared" si="108"/>
        <v>0</v>
      </c>
      <c r="Q147" s="226">
        <f t="shared" si="108"/>
        <v>0</v>
      </c>
      <c r="R147" s="226">
        <f t="shared" si="108"/>
        <v>0</v>
      </c>
      <c r="S147" s="226">
        <f t="shared" si="108"/>
        <v>0</v>
      </c>
      <c r="T147" s="226">
        <f t="shared" si="108"/>
        <v>35</v>
      </c>
      <c r="U147" s="226">
        <f t="shared" si="108"/>
        <v>40</v>
      </c>
      <c r="V147" s="226">
        <f t="shared" si="108"/>
        <v>40</v>
      </c>
      <c r="W147" s="226">
        <f t="shared" si="108"/>
        <v>904</v>
      </c>
      <c r="X147" s="226">
        <f t="shared" si="108"/>
        <v>1800</v>
      </c>
      <c r="Y147" s="226">
        <f t="shared" si="108"/>
        <v>1800</v>
      </c>
      <c r="Z147" s="226">
        <f t="shared" si="108"/>
        <v>1800</v>
      </c>
      <c r="AA147" s="226">
        <f t="shared" si="108"/>
        <v>1855.8</v>
      </c>
      <c r="AB147" s="226">
        <f t="shared" si="108"/>
        <v>1855.8</v>
      </c>
      <c r="AC147" s="226">
        <f t="shared" si="108"/>
        <v>1952.8</v>
      </c>
      <c r="AD147" s="226">
        <f t="shared" si="108"/>
        <v>1962.6</v>
      </c>
    </row>
    <row r="148" spans="1:30">
      <c r="A148" s="223" t="s">
        <v>1273</v>
      </c>
      <c r="B148" s="226">
        <f t="shared" si="103"/>
        <v>0</v>
      </c>
      <c r="C148" s="226">
        <f t="shared" ref="C148:AD148" si="109">C78+C43+C8+B148</f>
        <v>0</v>
      </c>
      <c r="D148" s="226">
        <f t="shared" si="109"/>
        <v>0</v>
      </c>
      <c r="E148" s="226">
        <f t="shared" si="109"/>
        <v>0</v>
      </c>
      <c r="F148" s="226">
        <f t="shared" si="109"/>
        <v>0</v>
      </c>
      <c r="G148" s="226">
        <f t="shared" si="109"/>
        <v>0</v>
      </c>
      <c r="H148" s="226">
        <f t="shared" si="109"/>
        <v>0</v>
      </c>
      <c r="I148" s="226">
        <f t="shared" si="109"/>
        <v>0</v>
      </c>
      <c r="J148" s="226">
        <f t="shared" si="109"/>
        <v>0</v>
      </c>
      <c r="K148" s="226">
        <f t="shared" si="109"/>
        <v>0</v>
      </c>
      <c r="L148" s="226">
        <f t="shared" si="109"/>
        <v>0</v>
      </c>
      <c r="M148" s="226">
        <f t="shared" si="109"/>
        <v>0</v>
      </c>
      <c r="N148" s="226">
        <f t="shared" si="109"/>
        <v>0</v>
      </c>
      <c r="O148" s="226">
        <f t="shared" si="109"/>
        <v>390</v>
      </c>
      <c r="P148" s="226">
        <f t="shared" si="109"/>
        <v>445</v>
      </c>
      <c r="Q148" s="226">
        <f t="shared" si="109"/>
        <v>445</v>
      </c>
      <c r="R148" s="226">
        <f t="shared" si="109"/>
        <v>455</v>
      </c>
      <c r="S148" s="226">
        <f t="shared" si="109"/>
        <v>455</v>
      </c>
      <c r="T148" s="226">
        <f t="shared" si="109"/>
        <v>655</v>
      </c>
      <c r="U148" s="226">
        <f t="shared" si="109"/>
        <v>655</v>
      </c>
      <c r="V148" s="226">
        <f t="shared" si="109"/>
        <v>655</v>
      </c>
      <c r="W148" s="226">
        <f t="shared" si="109"/>
        <v>655</v>
      </c>
      <c r="X148" s="226">
        <f t="shared" si="109"/>
        <v>655</v>
      </c>
      <c r="Y148" s="226">
        <f t="shared" si="109"/>
        <v>655</v>
      </c>
      <c r="Z148" s="226">
        <f t="shared" si="109"/>
        <v>655</v>
      </c>
      <c r="AA148" s="226">
        <f t="shared" si="109"/>
        <v>655</v>
      </c>
      <c r="AB148" s="226">
        <f t="shared" si="109"/>
        <v>655</v>
      </c>
      <c r="AC148" s="226">
        <f t="shared" si="109"/>
        <v>655</v>
      </c>
      <c r="AD148" s="226">
        <f t="shared" si="109"/>
        <v>655</v>
      </c>
    </row>
    <row r="149" spans="1:30">
      <c r="A149" s="223" t="s">
        <v>1274</v>
      </c>
      <c r="B149" s="226">
        <f t="shared" si="103"/>
        <v>0</v>
      </c>
      <c r="C149" s="226">
        <f t="shared" ref="C149:AD149" si="110">C79+C44+C9+B149</f>
        <v>0</v>
      </c>
      <c r="D149" s="226">
        <f t="shared" si="110"/>
        <v>0</v>
      </c>
      <c r="E149" s="226">
        <f t="shared" si="110"/>
        <v>0</v>
      </c>
      <c r="F149" s="226">
        <f t="shared" si="110"/>
        <v>0</v>
      </c>
      <c r="G149" s="226">
        <f t="shared" si="110"/>
        <v>0</v>
      </c>
      <c r="H149" s="226">
        <f t="shared" si="110"/>
        <v>0</v>
      </c>
      <c r="I149" s="226">
        <f t="shared" si="110"/>
        <v>0</v>
      </c>
      <c r="J149" s="226">
        <f t="shared" si="110"/>
        <v>0</v>
      </c>
      <c r="K149" s="226">
        <f t="shared" si="110"/>
        <v>0</v>
      </c>
      <c r="L149" s="226">
        <f t="shared" si="110"/>
        <v>0</v>
      </c>
      <c r="M149" s="226">
        <f t="shared" si="110"/>
        <v>0</v>
      </c>
      <c r="N149" s="226">
        <f t="shared" si="110"/>
        <v>0</v>
      </c>
      <c r="O149" s="226">
        <f t="shared" si="110"/>
        <v>0</v>
      </c>
      <c r="P149" s="226">
        <f t="shared" si="110"/>
        <v>0</v>
      </c>
      <c r="Q149" s="226">
        <f t="shared" si="110"/>
        <v>0</v>
      </c>
      <c r="R149" s="226">
        <f t="shared" si="110"/>
        <v>0</v>
      </c>
      <c r="S149" s="226">
        <f t="shared" si="110"/>
        <v>0</v>
      </c>
      <c r="T149" s="226">
        <f t="shared" si="110"/>
        <v>0</v>
      </c>
      <c r="U149" s="226">
        <f t="shared" si="110"/>
        <v>0</v>
      </c>
      <c r="V149" s="226">
        <f t="shared" si="110"/>
        <v>0</v>
      </c>
      <c r="W149" s="226">
        <f t="shared" si="110"/>
        <v>0</v>
      </c>
      <c r="X149" s="226">
        <f t="shared" si="110"/>
        <v>0</v>
      </c>
      <c r="Y149" s="226">
        <f t="shared" si="110"/>
        <v>0</v>
      </c>
      <c r="Z149" s="226">
        <f t="shared" si="110"/>
        <v>0</v>
      </c>
      <c r="AA149" s="226">
        <f t="shared" si="110"/>
        <v>0</v>
      </c>
      <c r="AB149" s="226">
        <f t="shared" si="110"/>
        <v>0</v>
      </c>
      <c r="AC149" s="226">
        <f t="shared" si="110"/>
        <v>100</v>
      </c>
      <c r="AD149" s="226">
        <f t="shared" si="110"/>
        <v>100</v>
      </c>
    </row>
    <row r="150" spans="1:30">
      <c r="A150" s="223" t="s">
        <v>1275</v>
      </c>
      <c r="B150" s="226">
        <f t="shared" si="103"/>
        <v>0</v>
      </c>
      <c r="C150" s="226">
        <f t="shared" ref="C150:AD150" si="111">C80+C45+C10+B150</f>
        <v>0</v>
      </c>
      <c r="D150" s="226">
        <f t="shared" si="111"/>
        <v>0</v>
      </c>
      <c r="E150" s="226">
        <f t="shared" si="111"/>
        <v>0</v>
      </c>
      <c r="F150" s="226">
        <f t="shared" si="111"/>
        <v>0</v>
      </c>
      <c r="G150" s="226">
        <f t="shared" si="111"/>
        <v>0</v>
      </c>
      <c r="H150" s="226">
        <f t="shared" si="111"/>
        <v>0</v>
      </c>
      <c r="I150" s="226">
        <f t="shared" si="111"/>
        <v>0</v>
      </c>
      <c r="J150" s="226">
        <f t="shared" si="111"/>
        <v>0</v>
      </c>
      <c r="K150" s="226">
        <f t="shared" si="111"/>
        <v>0</v>
      </c>
      <c r="L150" s="226">
        <f t="shared" si="111"/>
        <v>0</v>
      </c>
      <c r="M150" s="226">
        <f t="shared" si="111"/>
        <v>0</v>
      </c>
      <c r="N150" s="226">
        <f t="shared" si="111"/>
        <v>0</v>
      </c>
      <c r="O150" s="226">
        <f t="shared" si="111"/>
        <v>0</v>
      </c>
      <c r="P150" s="226">
        <f t="shared" si="111"/>
        <v>0</v>
      </c>
      <c r="Q150" s="226">
        <f t="shared" si="111"/>
        <v>0</v>
      </c>
      <c r="R150" s="226">
        <f t="shared" si="111"/>
        <v>0</v>
      </c>
      <c r="S150" s="226">
        <f t="shared" si="111"/>
        <v>0</v>
      </c>
      <c r="T150" s="226">
        <f t="shared" si="111"/>
        <v>0</v>
      </c>
      <c r="U150" s="226">
        <f t="shared" si="111"/>
        <v>0</v>
      </c>
      <c r="V150" s="226">
        <f t="shared" si="111"/>
        <v>0</v>
      </c>
      <c r="W150" s="226">
        <f t="shared" si="111"/>
        <v>0</v>
      </c>
      <c r="X150" s="226">
        <f t="shared" si="111"/>
        <v>0</v>
      </c>
      <c r="Y150" s="226">
        <f t="shared" si="111"/>
        <v>0</v>
      </c>
      <c r="Z150" s="226">
        <f t="shared" si="111"/>
        <v>0</v>
      </c>
      <c r="AA150" s="226">
        <f t="shared" si="111"/>
        <v>0</v>
      </c>
      <c r="AB150" s="226">
        <f t="shared" si="111"/>
        <v>0</v>
      </c>
      <c r="AC150" s="226">
        <f t="shared" si="111"/>
        <v>0</v>
      </c>
      <c r="AD150" s="226">
        <f t="shared" si="111"/>
        <v>0</v>
      </c>
    </row>
    <row r="151" spans="1:30">
      <c r="A151" s="223" t="s">
        <v>1276</v>
      </c>
      <c r="B151" s="226">
        <f t="shared" si="103"/>
        <v>0</v>
      </c>
      <c r="C151" s="226">
        <f t="shared" ref="C151:AD151" si="112">C81+C46+C11+B151</f>
        <v>0</v>
      </c>
      <c r="D151" s="226">
        <f t="shared" si="112"/>
        <v>0</v>
      </c>
      <c r="E151" s="226">
        <f t="shared" si="112"/>
        <v>0</v>
      </c>
      <c r="F151" s="226">
        <f t="shared" si="112"/>
        <v>0</v>
      </c>
      <c r="G151" s="226">
        <f t="shared" si="112"/>
        <v>0</v>
      </c>
      <c r="H151" s="226">
        <f t="shared" si="112"/>
        <v>0</v>
      </c>
      <c r="I151" s="226">
        <f t="shared" si="112"/>
        <v>0</v>
      </c>
      <c r="J151" s="226">
        <f t="shared" si="112"/>
        <v>0</v>
      </c>
      <c r="K151" s="226">
        <f t="shared" si="112"/>
        <v>0</v>
      </c>
      <c r="L151" s="226">
        <f t="shared" si="112"/>
        <v>0</v>
      </c>
      <c r="M151" s="226">
        <f t="shared" si="112"/>
        <v>0</v>
      </c>
      <c r="N151" s="226">
        <f t="shared" si="112"/>
        <v>0</v>
      </c>
      <c r="O151" s="226">
        <f t="shared" si="112"/>
        <v>0</v>
      </c>
      <c r="P151" s="226">
        <f t="shared" si="112"/>
        <v>0</v>
      </c>
      <c r="Q151" s="226">
        <f t="shared" si="112"/>
        <v>0</v>
      </c>
      <c r="R151" s="226">
        <f t="shared" si="112"/>
        <v>0</v>
      </c>
      <c r="S151" s="226">
        <f t="shared" si="112"/>
        <v>0</v>
      </c>
      <c r="T151" s="226">
        <f t="shared" si="112"/>
        <v>0</v>
      </c>
      <c r="U151" s="226">
        <f t="shared" si="112"/>
        <v>0</v>
      </c>
      <c r="V151" s="226">
        <f t="shared" si="112"/>
        <v>0</v>
      </c>
      <c r="W151" s="226">
        <f t="shared" si="112"/>
        <v>0</v>
      </c>
      <c r="X151" s="226">
        <f t="shared" si="112"/>
        <v>0</v>
      </c>
      <c r="Y151" s="226">
        <f t="shared" si="112"/>
        <v>0</v>
      </c>
      <c r="Z151" s="226">
        <f t="shared" si="112"/>
        <v>0</v>
      </c>
      <c r="AA151" s="226">
        <f t="shared" si="112"/>
        <v>0</v>
      </c>
      <c r="AB151" s="226">
        <f t="shared" si="112"/>
        <v>65</v>
      </c>
      <c r="AC151" s="226">
        <f t="shared" si="112"/>
        <v>71</v>
      </c>
      <c r="AD151" s="226">
        <f t="shared" si="112"/>
        <v>74</v>
      </c>
    </row>
    <row r="152" spans="1:30">
      <c r="A152" s="223" t="s">
        <v>1277</v>
      </c>
      <c r="B152" s="226">
        <f t="shared" si="103"/>
        <v>0</v>
      </c>
      <c r="C152" s="226">
        <f t="shared" ref="C152:AD152" si="113">C82+C47+C12+B152</f>
        <v>0</v>
      </c>
      <c r="D152" s="226">
        <f t="shared" si="113"/>
        <v>0</v>
      </c>
      <c r="E152" s="226">
        <f t="shared" si="113"/>
        <v>0</v>
      </c>
      <c r="F152" s="226">
        <f t="shared" si="113"/>
        <v>0</v>
      </c>
      <c r="G152" s="226">
        <f t="shared" si="113"/>
        <v>0</v>
      </c>
      <c r="H152" s="226">
        <f t="shared" si="113"/>
        <v>0</v>
      </c>
      <c r="I152" s="226">
        <f t="shared" si="113"/>
        <v>0</v>
      </c>
      <c r="J152" s="226">
        <f t="shared" si="113"/>
        <v>0</v>
      </c>
      <c r="K152" s="226">
        <f t="shared" si="113"/>
        <v>0</v>
      </c>
      <c r="L152" s="226">
        <f t="shared" si="113"/>
        <v>0</v>
      </c>
      <c r="M152" s="226">
        <f t="shared" si="113"/>
        <v>0</v>
      </c>
      <c r="N152" s="226">
        <f t="shared" si="113"/>
        <v>360</v>
      </c>
      <c r="O152" s="226">
        <f t="shared" si="113"/>
        <v>1378</v>
      </c>
      <c r="P152" s="226">
        <f t="shared" si="113"/>
        <v>1378</v>
      </c>
      <c r="Q152" s="226">
        <f t="shared" si="113"/>
        <v>1378</v>
      </c>
      <c r="R152" s="226">
        <f t="shared" si="113"/>
        <v>1378</v>
      </c>
      <c r="S152" s="226">
        <f t="shared" si="113"/>
        <v>1378</v>
      </c>
      <c r="T152" s="226">
        <f t="shared" si="113"/>
        <v>2601</v>
      </c>
      <c r="U152" s="226">
        <f t="shared" si="113"/>
        <v>2601</v>
      </c>
      <c r="V152" s="226">
        <f t="shared" si="113"/>
        <v>2601</v>
      </c>
      <c r="W152" s="226">
        <f t="shared" si="113"/>
        <v>2601</v>
      </c>
      <c r="X152" s="226">
        <f t="shared" si="113"/>
        <v>3611.8</v>
      </c>
      <c r="Y152" s="226">
        <f t="shared" si="113"/>
        <v>3642.6</v>
      </c>
      <c r="Z152" s="226">
        <f t="shared" si="113"/>
        <v>3668.6</v>
      </c>
      <c r="AA152" s="226">
        <f t="shared" si="113"/>
        <v>4550</v>
      </c>
      <c r="AB152" s="226">
        <f t="shared" si="113"/>
        <v>5542.6</v>
      </c>
      <c r="AC152" s="226">
        <f t="shared" si="113"/>
        <v>5542.6</v>
      </c>
      <c r="AD152" s="226">
        <f t="shared" si="113"/>
        <v>6016.6</v>
      </c>
    </row>
    <row r="153" spans="1:30">
      <c r="A153" s="223" t="s">
        <v>1278</v>
      </c>
      <c r="B153" s="226">
        <f t="shared" si="103"/>
        <v>0</v>
      </c>
      <c r="C153" s="226">
        <f t="shared" ref="C153:AD153" si="114">C83+C48+C13+B153</f>
        <v>0</v>
      </c>
      <c r="D153" s="226">
        <f t="shared" si="114"/>
        <v>0</v>
      </c>
      <c r="E153" s="226">
        <f t="shared" si="114"/>
        <v>0</v>
      </c>
      <c r="F153" s="226">
        <f t="shared" si="114"/>
        <v>0</v>
      </c>
      <c r="G153" s="226">
        <f t="shared" si="114"/>
        <v>0</v>
      </c>
      <c r="H153" s="226">
        <f t="shared" si="114"/>
        <v>0</v>
      </c>
      <c r="I153" s="226">
        <f t="shared" si="114"/>
        <v>0</v>
      </c>
      <c r="J153" s="226">
        <f t="shared" si="114"/>
        <v>0</v>
      </c>
      <c r="K153" s="226">
        <f t="shared" si="114"/>
        <v>0</v>
      </c>
      <c r="L153" s="226">
        <f t="shared" si="114"/>
        <v>0</v>
      </c>
      <c r="M153" s="226">
        <f t="shared" si="114"/>
        <v>0</v>
      </c>
      <c r="N153" s="226">
        <f t="shared" si="114"/>
        <v>2310</v>
      </c>
      <c r="O153" s="226">
        <f t="shared" si="114"/>
        <v>2700</v>
      </c>
      <c r="P153" s="226">
        <f t="shared" si="114"/>
        <v>3480</v>
      </c>
      <c r="Q153" s="226">
        <f t="shared" si="114"/>
        <v>3480</v>
      </c>
      <c r="R153" s="226">
        <f t="shared" si="114"/>
        <v>3480</v>
      </c>
      <c r="S153" s="226">
        <f t="shared" si="114"/>
        <v>3480</v>
      </c>
      <c r="T153" s="226">
        <f t="shared" si="114"/>
        <v>3700</v>
      </c>
      <c r="U153" s="226">
        <f t="shared" si="114"/>
        <v>4862</v>
      </c>
      <c r="V153" s="226">
        <f t="shared" si="114"/>
        <v>6098.7</v>
      </c>
      <c r="W153" s="226">
        <f t="shared" si="114"/>
        <v>6102.7</v>
      </c>
      <c r="X153" s="226">
        <f t="shared" si="114"/>
        <v>8258.7</v>
      </c>
      <c r="Y153" s="226">
        <f t="shared" si="114"/>
        <v>9124.7</v>
      </c>
      <c r="Z153" s="226">
        <f t="shared" si="114"/>
        <v>12988.7</v>
      </c>
      <c r="AA153" s="226">
        <f t="shared" si="114"/>
        <v>15133.1</v>
      </c>
      <c r="AB153" s="226">
        <f t="shared" si="114"/>
        <v>16240.9</v>
      </c>
      <c r="AC153" s="226">
        <f t="shared" si="114"/>
        <v>17119.5</v>
      </c>
      <c r="AD153" s="226">
        <f t="shared" si="114"/>
        <v>19275.8</v>
      </c>
    </row>
    <row r="154" spans="1:30">
      <c r="A154" s="223" t="s">
        <v>1279</v>
      </c>
      <c r="B154" s="226">
        <f t="shared" si="103"/>
        <v>0</v>
      </c>
      <c r="C154" s="226">
        <f t="shared" ref="C154:AD154" si="115">C84+C49+C14+B154</f>
        <v>0</v>
      </c>
      <c r="D154" s="226">
        <f t="shared" si="115"/>
        <v>0</v>
      </c>
      <c r="E154" s="226">
        <f t="shared" si="115"/>
        <v>0</v>
      </c>
      <c r="F154" s="226">
        <f t="shared" si="115"/>
        <v>0</v>
      </c>
      <c r="G154" s="226">
        <f t="shared" si="115"/>
        <v>0</v>
      </c>
      <c r="H154" s="226">
        <f t="shared" si="115"/>
        <v>323.2</v>
      </c>
      <c r="I154" s="226">
        <f t="shared" si="115"/>
        <v>323.2</v>
      </c>
      <c r="J154" s="226">
        <f t="shared" si="115"/>
        <v>323.2</v>
      </c>
      <c r="K154" s="226">
        <f t="shared" si="115"/>
        <v>323.2</v>
      </c>
      <c r="L154" s="226">
        <f t="shared" si="115"/>
        <v>323.2</v>
      </c>
      <c r="M154" s="226">
        <f t="shared" si="115"/>
        <v>323.2</v>
      </c>
      <c r="N154" s="226">
        <f t="shared" si="115"/>
        <v>1890.2</v>
      </c>
      <c r="O154" s="226">
        <f t="shared" si="115"/>
        <v>2077.2</v>
      </c>
      <c r="P154" s="226">
        <f t="shared" si="115"/>
        <v>3654.02</v>
      </c>
      <c r="Q154" s="226">
        <f t="shared" si="115"/>
        <v>4458.93</v>
      </c>
      <c r="R154" s="226">
        <f t="shared" si="115"/>
        <v>4458.93</v>
      </c>
      <c r="S154" s="226">
        <f t="shared" si="115"/>
        <v>4458.93</v>
      </c>
      <c r="T154" s="226">
        <f t="shared" si="115"/>
        <v>4458.93</v>
      </c>
      <c r="U154" s="226">
        <f t="shared" si="115"/>
        <v>5725.93</v>
      </c>
      <c r="V154" s="226">
        <f t="shared" si="115"/>
        <v>8037.93</v>
      </c>
      <c r="W154" s="226">
        <f t="shared" si="115"/>
        <v>9980.33</v>
      </c>
      <c r="X154" s="226">
        <f t="shared" si="115"/>
        <v>11544.83</v>
      </c>
      <c r="Y154" s="226">
        <f t="shared" si="115"/>
        <v>11544.83</v>
      </c>
      <c r="Z154" s="226">
        <f t="shared" si="115"/>
        <v>11768.83</v>
      </c>
      <c r="AA154" s="226">
        <f t="shared" si="115"/>
        <v>12012.93</v>
      </c>
      <c r="AB154" s="226">
        <f t="shared" si="115"/>
        <v>12042.83</v>
      </c>
      <c r="AC154" s="226">
        <f t="shared" si="115"/>
        <v>12042.83</v>
      </c>
      <c r="AD154" s="226">
        <f t="shared" si="115"/>
        <v>12042.83</v>
      </c>
    </row>
    <row r="155" spans="1:30">
      <c r="A155" s="223" t="s">
        <v>1280</v>
      </c>
      <c r="B155" s="226">
        <f t="shared" si="103"/>
        <v>0</v>
      </c>
      <c r="C155" s="226">
        <f t="shared" ref="C155:AD155" si="116">C85+C50+C15+B155</f>
        <v>0</v>
      </c>
      <c r="D155" s="226">
        <f t="shared" si="116"/>
        <v>0</v>
      </c>
      <c r="E155" s="226">
        <f t="shared" si="116"/>
        <v>0</v>
      </c>
      <c r="F155" s="226">
        <f t="shared" si="116"/>
        <v>0</v>
      </c>
      <c r="G155" s="226">
        <f t="shared" si="116"/>
        <v>0</v>
      </c>
      <c r="H155" s="226">
        <f t="shared" si="116"/>
        <v>0</v>
      </c>
      <c r="I155" s="226">
        <f t="shared" si="116"/>
        <v>0</v>
      </c>
      <c r="J155" s="226">
        <f t="shared" si="116"/>
        <v>0</v>
      </c>
      <c r="K155" s="226">
        <f t="shared" si="116"/>
        <v>0</v>
      </c>
      <c r="L155" s="226">
        <f t="shared" si="116"/>
        <v>0</v>
      </c>
      <c r="M155" s="226">
        <f t="shared" si="116"/>
        <v>0</v>
      </c>
      <c r="N155" s="226">
        <f t="shared" si="116"/>
        <v>0</v>
      </c>
      <c r="O155" s="226">
        <f t="shared" si="116"/>
        <v>0</v>
      </c>
      <c r="P155" s="226">
        <f t="shared" si="116"/>
        <v>0</v>
      </c>
      <c r="Q155" s="226">
        <f t="shared" si="116"/>
        <v>0</v>
      </c>
      <c r="R155" s="226">
        <f t="shared" si="116"/>
        <v>0</v>
      </c>
      <c r="S155" s="226">
        <f t="shared" si="116"/>
        <v>0</v>
      </c>
      <c r="T155" s="226">
        <f t="shared" si="116"/>
        <v>0</v>
      </c>
      <c r="U155" s="226">
        <f t="shared" si="116"/>
        <v>0</v>
      </c>
      <c r="V155" s="226">
        <f t="shared" si="116"/>
        <v>0</v>
      </c>
      <c r="W155" s="226">
        <f t="shared" si="116"/>
        <v>76.4</v>
      </c>
      <c r="X155" s="226">
        <f t="shared" si="116"/>
        <v>76.4</v>
      </c>
      <c r="Y155" s="226">
        <f t="shared" si="116"/>
        <v>76.4</v>
      </c>
      <c r="Z155" s="226">
        <f t="shared" si="116"/>
        <v>76.4</v>
      </c>
      <c r="AA155" s="226">
        <f t="shared" si="116"/>
        <v>88.4</v>
      </c>
      <c r="AB155" s="226">
        <f t="shared" si="116"/>
        <v>88.4</v>
      </c>
      <c r="AC155" s="226">
        <f t="shared" si="116"/>
        <v>88.4</v>
      </c>
      <c r="AD155" s="226">
        <f t="shared" si="116"/>
        <v>88.4</v>
      </c>
    </row>
    <row r="156" spans="1:30">
      <c r="A156" s="223" t="s">
        <v>1281</v>
      </c>
      <c r="B156" s="226">
        <f t="shared" si="103"/>
        <v>0</v>
      </c>
      <c r="C156" s="226">
        <f t="shared" ref="C156:AD156" si="117">C86+C51+C16+B156</f>
        <v>0</v>
      </c>
      <c r="D156" s="226">
        <f t="shared" si="117"/>
        <v>0</v>
      </c>
      <c r="E156" s="226">
        <f t="shared" si="117"/>
        <v>0</v>
      </c>
      <c r="F156" s="226">
        <f t="shared" si="117"/>
        <v>0</v>
      </c>
      <c r="G156" s="226">
        <f t="shared" si="117"/>
        <v>0</v>
      </c>
      <c r="H156" s="226">
        <f t="shared" si="117"/>
        <v>0</v>
      </c>
      <c r="I156" s="226">
        <f t="shared" si="117"/>
        <v>0</v>
      </c>
      <c r="J156" s="226">
        <f t="shared" si="117"/>
        <v>0</v>
      </c>
      <c r="K156" s="226">
        <f t="shared" si="117"/>
        <v>0</v>
      </c>
      <c r="L156" s="226">
        <f t="shared" si="117"/>
        <v>0</v>
      </c>
      <c r="M156" s="226">
        <f t="shared" si="117"/>
        <v>0</v>
      </c>
      <c r="N156" s="226">
        <f t="shared" si="117"/>
        <v>0</v>
      </c>
      <c r="O156" s="226">
        <f t="shared" si="117"/>
        <v>0</v>
      </c>
      <c r="P156" s="226">
        <f t="shared" si="117"/>
        <v>0</v>
      </c>
      <c r="Q156" s="226">
        <f t="shared" si="117"/>
        <v>0</v>
      </c>
      <c r="R156" s="226">
        <f t="shared" si="117"/>
        <v>2100</v>
      </c>
      <c r="S156" s="226">
        <f t="shared" si="117"/>
        <v>3500</v>
      </c>
      <c r="T156" s="226">
        <f t="shared" si="117"/>
        <v>3500</v>
      </c>
      <c r="U156" s="226">
        <f t="shared" si="117"/>
        <v>3500</v>
      </c>
      <c r="V156" s="226">
        <f t="shared" si="117"/>
        <v>3500</v>
      </c>
      <c r="W156" s="226">
        <f t="shared" si="117"/>
        <v>3500</v>
      </c>
      <c r="X156" s="226">
        <f t="shared" si="117"/>
        <v>3500</v>
      </c>
      <c r="Y156" s="226">
        <f t="shared" si="117"/>
        <v>3500</v>
      </c>
      <c r="Z156" s="226">
        <f t="shared" si="117"/>
        <v>3531.8</v>
      </c>
      <c r="AA156" s="226">
        <f t="shared" si="117"/>
        <v>3531.8</v>
      </c>
      <c r="AB156" s="226">
        <f t="shared" si="117"/>
        <v>3534.8</v>
      </c>
      <c r="AC156" s="226">
        <f t="shared" si="117"/>
        <v>3534.8</v>
      </c>
      <c r="AD156" s="226">
        <f t="shared" si="117"/>
        <v>3534.8</v>
      </c>
    </row>
    <row r="157" spans="1:30">
      <c r="A157" s="223" t="s">
        <v>1282</v>
      </c>
      <c r="B157" s="226">
        <f t="shared" si="103"/>
        <v>0</v>
      </c>
      <c r="C157" s="226">
        <f t="shared" ref="C157:AD157" si="118">C87+C52+C17+B157</f>
        <v>0</v>
      </c>
      <c r="D157" s="226">
        <f t="shared" si="118"/>
        <v>0</v>
      </c>
      <c r="E157" s="226">
        <f t="shared" si="118"/>
        <v>0</v>
      </c>
      <c r="F157" s="226">
        <f t="shared" si="118"/>
        <v>0</v>
      </c>
      <c r="G157" s="226">
        <f t="shared" si="118"/>
        <v>0</v>
      </c>
      <c r="H157" s="226">
        <f t="shared" si="118"/>
        <v>0</v>
      </c>
      <c r="I157" s="226">
        <f t="shared" si="118"/>
        <v>0</v>
      </c>
      <c r="J157" s="226">
        <f t="shared" si="118"/>
        <v>0</v>
      </c>
      <c r="K157" s="226">
        <f t="shared" si="118"/>
        <v>0</v>
      </c>
      <c r="L157" s="226">
        <f t="shared" si="118"/>
        <v>0</v>
      </c>
      <c r="M157" s="226">
        <f t="shared" si="118"/>
        <v>0</v>
      </c>
      <c r="N157" s="226">
        <f t="shared" si="118"/>
        <v>0</v>
      </c>
      <c r="O157" s="226">
        <f t="shared" si="118"/>
        <v>0</v>
      </c>
      <c r="P157" s="226">
        <f t="shared" si="118"/>
        <v>0</v>
      </c>
      <c r="Q157" s="226">
        <f t="shared" si="118"/>
        <v>0</v>
      </c>
      <c r="R157" s="226">
        <f t="shared" si="118"/>
        <v>0</v>
      </c>
      <c r="S157" s="226">
        <f t="shared" si="118"/>
        <v>0</v>
      </c>
      <c r="T157" s="226">
        <f t="shared" si="118"/>
        <v>0</v>
      </c>
      <c r="U157" s="226">
        <f t="shared" si="118"/>
        <v>0</v>
      </c>
      <c r="V157" s="226">
        <f t="shared" si="118"/>
        <v>0</v>
      </c>
      <c r="W157" s="226">
        <f t="shared" si="118"/>
        <v>87</v>
      </c>
      <c r="X157" s="226">
        <f t="shared" si="118"/>
        <v>87</v>
      </c>
      <c r="Y157" s="226">
        <f t="shared" si="118"/>
        <v>87</v>
      </c>
      <c r="Z157" s="226">
        <f t="shared" si="118"/>
        <v>87</v>
      </c>
      <c r="AA157" s="226">
        <f t="shared" si="118"/>
        <v>87</v>
      </c>
      <c r="AB157" s="226">
        <f t="shared" si="118"/>
        <v>87</v>
      </c>
      <c r="AC157" s="226">
        <f t="shared" si="118"/>
        <v>87</v>
      </c>
      <c r="AD157" s="226">
        <f t="shared" si="118"/>
        <v>87</v>
      </c>
    </row>
    <row r="158" spans="1:30">
      <c r="A158" s="223" t="s">
        <v>1283</v>
      </c>
      <c r="B158" s="226">
        <f t="shared" si="103"/>
        <v>0</v>
      </c>
      <c r="C158" s="226">
        <f t="shared" ref="C158:AD158" si="119">C88+C53+C18+B158</f>
        <v>0</v>
      </c>
      <c r="D158" s="226">
        <f t="shared" si="119"/>
        <v>0</v>
      </c>
      <c r="E158" s="226">
        <f t="shared" si="119"/>
        <v>0</v>
      </c>
      <c r="F158" s="226">
        <f t="shared" si="119"/>
        <v>0</v>
      </c>
      <c r="G158" s="226">
        <f t="shared" si="119"/>
        <v>0</v>
      </c>
      <c r="H158" s="226">
        <f t="shared" si="119"/>
        <v>0</v>
      </c>
      <c r="I158" s="226">
        <f t="shared" si="119"/>
        <v>0</v>
      </c>
      <c r="J158" s="226">
        <f t="shared" si="119"/>
        <v>0</v>
      </c>
      <c r="K158" s="226">
        <f t="shared" si="119"/>
        <v>0</v>
      </c>
      <c r="L158" s="226">
        <f t="shared" si="119"/>
        <v>0</v>
      </c>
      <c r="M158" s="226">
        <f t="shared" si="119"/>
        <v>0</v>
      </c>
      <c r="N158" s="226">
        <f t="shared" si="119"/>
        <v>0</v>
      </c>
      <c r="O158" s="226">
        <f t="shared" si="119"/>
        <v>0</v>
      </c>
      <c r="P158" s="226">
        <f t="shared" si="119"/>
        <v>0</v>
      </c>
      <c r="Q158" s="226">
        <f t="shared" si="119"/>
        <v>0</v>
      </c>
      <c r="R158" s="226">
        <f t="shared" si="119"/>
        <v>0</v>
      </c>
      <c r="S158" s="226">
        <f t="shared" si="119"/>
        <v>150</v>
      </c>
      <c r="T158" s="226">
        <f t="shared" si="119"/>
        <v>150</v>
      </c>
      <c r="U158" s="226">
        <f t="shared" si="119"/>
        <v>150</v>
      </c>
      <c r="V158" s="226">
        <f t="shared" si="119"/>
        <v>150</v>
      </c>
      <c r="W158" s="226">
        <f t="shared" si="119"/>
        <v>150</v>
      </c>
      <c r="X158" s="226">
        <f t="shared" si="119"/>
        <v>150</v>
      </c>
      <c r="Y158" s="226">
        <f t="shared" si="119"/>
        <v>151</v>
      </c>
      <c r="Z158" s="226">
        <f t="shared" si="119"/>
        <v>151</v>
      </c>
      <c r="AA158" s="226">
        <f t="shared" si="119"/>
        <v>157</v>
      </c>
      <c r="AB158" s="226">
        <f t="shared" si="119"/>
        <v>163.6</v>
      </c>
      <c r="AC158" s="226">
        <f t="shared" si="119"/>
        <v>163.6</v>
      </c>
      <c r="AD158" s="226">
        <f t="shared" si="119"/>
        <v>183.1</v>
      </c>
    </row>
    <row r="159" spans="1:30">
      <c r="A159" s="223" t="s">
        <v>1284</v>
      </c>
      <c r="B159" s="226">
        <f t="shared" si="103"/>
        <v>0</v>
      </c>
      <c r="C159" s="226">
        <f t="shared" ref="C159:AD159" si="120">C89+C54+C19+B159</f>
        <v>0</v>
      </c>
      <c r="D159" s="226">
        <f t="shared" si="120"/>
        <v>0</v>
      </c>
      <c r="E159" s="226">
        <f t="shared" si="120"/>
        <v>0</v>
      </c>
      <c r="F159" s="226">
        <f t="shared" si="120"/>
        <v>0</v>
      </c>
      <c r="G159" s="226">
        <f t="shared" si="120"/>
        <v>0</v>
      </c>
      <c r="H159" s="226">
        <f t="shared" si="120"/>
        <v>0</v>
      </c>
      <c r="I159" s="226">
        <f t="shared" si="120"/>
        <v>0</v>
      </c>
      <c r="J159" s="226">
        <f t="shared" si="120"/>
        <v>24</v>
      </c>
      <c r="K159" s="226">
        <f t="shared" si="120"/>
        <v>24</v>
      </c>
      <c r="L159" s="226">
        <f t="shared" si="120"/>
        <v>24</v>
      </c>
      <c r="M159" s="226">
        <f t="shared" si="120"/>
        <v>24</v>
      </c>
      <c r="N159" s="226">
        <f t="shared" si="120"/>
        <v>24</v>
      </c>
      <c r="O159" s="226">
        <f t="shared" si="120"/>
        <v>24</v>
      </c>
      <c r="P159" s="226">
        <f t="shared" si="120"/>
        <v>1584</v>
      </c>
      <c r="Q159" s="226">
        <f t="shared" si="120"/>
        <v>1584</v>
      </c>
      <c r="R159" s="226">
        <f t="shared" si="120"/>
        <v>1584</v>
      </c>
      <c r="S159" s="226">
        <f t="shared" si="120"/>
        <v>1584</v>
      </c>
      <c r="T159" s="226">
        <f t="shared" si="120"/>
        <v>1584</v>
      </c>
      <c r="U159" s="226">
        <f t="shared" si="120"/>
        <v>1584</v>
      </c>
      <c r="V159" s="226">
        <f t="shared" si="120"/>
        <v>1584</v>
      </c>
      <c r="W159" s="226">
        <f t="shared" si="120"/>
        <v>1584</v>
      </c>
      <c r="X159" s="226">
        <f t="shared" si="120"/>
        <v>1584</v>
      </c>
      <c r="Y159" s="226">
        <f t="shared" si="120"/>
        <v>1584</v>
      </c>
      <c r="Z159" s="226">
        <f t="shared" si="120"/>
        <v>1620</v>
      </c>
      <c r="AA159" s="226">
        <f t="shared" si="120"/>
        <v>1970</v>
      </c>
      <c r="AB159" s="226">
        <f t="shared" si="120"/>
        <v>2320</v>
      </c>
      <c r="AC159" s="226">
        <f t="shared" si="120"/>
        <v>2520</v>
      </c>
      <c r="AD159" s="226">
        <f t="shared" si="120"/>
        <v>2520</v>
      </c>
    </row>
    <row r="160" spans="1:30">
      <c r="A160" s="223" t="s">
        <v>1285</v>
      </c>
      <c r="B160" s="226">
        <f t="shared" si="103"/>
        <v>0</v>
      </c>
      <c r="C160" s="226">
        <f t="shared" ref="C160:AD160" si="121">C90+C55+C20+B160</f>
        <v>0</v>
      </c>
      <c r="D160" s="226">
        <f t="shared" si="121"/>
        <v>0</v>
      </c>
      <c r="E160" s="226">
        <f t="shared" si="121"/>
        <v>0</v>
      </c>
      <c r="F160" s="226">
        <f t="shared" si="121"/>
        <v>0</v>
      </c>
      <c r="G160" s="226">
        <f t="shared" si="121"/>
        <v>0</v>
      </c>
      <c r="H160" s="226">
        <f t="shared" si="121"/>
        <v>0</v>
      </c>
      <c r="I160" s="226">
        <f t="shared" si="121"/>
        <v>0</v>
      </c>
      <c r="J160" s="226">
        <f t="shared" si="121"/>
        <v>0</v>
      </c>
      <c r="K160" s="226">
        <f t="shared" si="121"/>
        <v>0</v>
      </c>
      <c r="L160" s="226">
        <f t="shared" si="121"/>
        <v>0</v>
      </c>
      <c r="M160" s="226">
        <f t="shared" si="121"/>
        <v>0</v>
      </c>
      <c r="N160" s="226">
        <f t="shared" si="121"/>
        <v>0</v>
      </c>
      <c r="O160" s="226">
        <f t="shared" si="121"/>
        <v>0</v>
      </c>
      <c r="P160" s="226">
        <f t="shared" si="121"/>
        <v>0</v>
      </c>
      <c r="Q160" s="226">
        <f t="shared" si="121"/>
        <v>0</v>
      </c>
      <c r="R160" s="226">
        <f t="shared" si="121"/>
        <v>0</v>
      </c>
      <c r="S160" s="226">
        <f t="shared" si="121"/>
        <v>185</v>
      </c>
      <c r="T160" s="226">
        <f t="shared" si="121"/>
        <v>185</v>
      </c>
      <c r="U160" s="226">
        <f t="shared" si="121"/>
        <v>185</v>
      </c>
      <c r="V160" s="226">
        <f t="shared" si="121"/>
        <v>185</v>
      </c>
      <c r="W160" s="226">
        <f t="shared" si="121"/>
        <v>185</v>
      </c>
      <c r="X160" s="226">
        <f t="shared" si="121"/>
        <v>555</v>
      </c>
      <c r="Y160" s="226">
        <f t="shared" si="121"/>
        <v>555</v>
      </c>
      <c r="Z160" s="226">
        <f t="shared" si="121"/>
        <v>745.3</v>
      </c>
      <c r="AA160" s="226">
        <f t="shared" si="121"/>
        <v>745.3</v>
      </c>
      <c r="AB160" s="226">
        <f t="shared" si="121"/>
        <v>745.3</v>
      </c>
      <c r="AC160" s="226">
        <f t="shared" si="121"/>
        <v>899.3</v>
      </c>
      <c r="AD160" s="226">
        <f t="shared" si="121"/>
        <v>1144.9</v>
      </c>
    </row>
    <row r="161" spans="1:30">
      <c r="A161" s="223" t="s">
        <v>1286</v>
      </c>
      <c r="B161" s="226">
        <f t="shared" si="103"/>
        <v>0</v>
      </c>
      <c r="C161" s="226">
        <f t="shared" ref="C161:AD161" si="122">C91+C56+C21+B161</f>
        <v>0</v>
      </c>
      <c r="D161" s="226">
        <f t="shared" si="122"/>
        <v>0</v>
      </c>
      <c r="E161" s="226">
        <f t="shared" si="122"/>
        <v>0</v>
      </c>
      <c r="F161" s="226">
        <f t="shared" si="122"/>
        <v>0</v>
      </c>
      <c r="G161" s="226">
        <f t="shared" si="122"/>
        <v>0</v>
      </c>
      <c r="H161" s="226">
        <f t="shared" si="122"/>
        <v>0</v>
      </c>
      <c r="I161" s="226">
        <f t="shared" si="122"/>
        <v>0</v>
      </c>
      <c r="J161" s="226">
        <f t="shared" si="122"/>
        <v>0</v>
      </c>
      <c r="K161" s="226">
        <f t="shared" si="122"/>
        <v>0</v>
      </c>
      <c r="L161" s="226">
        <f t="shared" si="122"/>
        <v>0</v>
      </c>
      <c r="M161" s="226">
        <f t="shared" si="122"/>
        <v>0</v>
      </c>
      <c r="N161" s="226">
        <f t="shared" si="122"/>
        <v>0</v>
      </c>
      <c r="O161" s="226">
        <f t="shared" si="122"/>
        <v>0</v>
      </c>
      <c r="P161" s="226">
        <f t="shared" si="122"/>
        <v>0</v>
      </c>
      <c r="Q161" s="226">
        <f t="shared" si="122"/>
        <v>0</v>
      </c>
      <c r="R161" s="226">
        <f t="shared" si="122"/>
        <v>0</v>
      </c>
      <c r="S161" s="226">
        <f t="shared" si="122"/>
        <v>0</v>
      </c>
      <c r="T161" s="226">
        <f t="shared" si="122"/>
        <v>0</v>
      </c>
      <c r="U161" s="226">
        <f t="shared" si="122"/>
        <v>0</v>
      </c>
      <c r="V161" s="226">
        <f t="shared" si="122"/>
        <v>0</v>
      </c>
      <c r="W161" s="226">
        <f t="shared" si="122"/>
        <v>0</v>
      </c>
      <c r="X161" s="226">
        <f t="shared" si="122"/>
        <v>0</v>
      </c>
      <c r="Y161" s="226">
        <f t="shared" si="122"/>
        <v>0</v>
      </c>
      <c r="Z161" s="226">
        <f t="shared" si="122"/>
        <v>0</v>
      </c>
      <c r="AA161" s="226">
        <f t="shared" si="122"/>
        <v>10</v>
      </c>
      <c r="AB161" s="226">
        <f t="shared" si="122"/>
        <v>16.5</v>
      </c>
      <c r="AC161" s="226">
        <f t="shared" si="122"/>
        <v>16.5</v>
      </c>
      <c r="AD161" s="226">
        <f t="shared" si="122"/>
        <v>16.5</v>
      </c>
    </row>
    <row r="162" spans="1:30">
      <c r="A162" s="223" t="s">
        <v>1287</v>
      </c>
      <c r="B162" s="226">
        <f t="shared" si="103"/>
        <v>0</v>
      </c>
      <c r="C162" s="226">
        <f t="shared" ref="C162:AD162" si="123">C92+C57+C22+B162</f>
        <v>0</v>
      </c>
      <c r="D162" s="226">
        <f t="shared" si="123"/>
        <v>0</v>
      </c>
      <c r="E162" s="226">
        <f t="shared" si="123"/>
        <v>0</v>
      </c>
      <c r="F162" s="226">
        <f t="shared" si="123"/>
        <v>125</v>
      </c>
      <c r="G162" s="226">
        <f t="shared" si="123"/>
        <v>250</v>
      </c>
      <c r="H162" s="226">
        <f t="shared" si="123"/>
        <v>250</v>
      </c>
      <c r="I162" s="226">
        <f t="shared" si="123"/>
        <v>250</v>
      </c>
      <c r="J162" s="226">
        <f t="shared" si="123"/>
        <v>250</v>
      </c>
      <c r="K162" s="226">
        <f t="shared" si="123"/>
        <v>250</v>
      </c>
      <c r="L162" s="226">
        <f t="shared" si="123"/>
        <v>1565</v>
      </c>
      <c r="M162" s="226">
        <f t="shared" si="123"/>
        <v>2465</v>
      </c>
      <c r="N162" s="226">
        <f t="shared" si="123"/>
        <v>4385</v>
      </c>
      <c r="O162" s="226">
        <f t="shared" si="123"/>
        <v>6635</v>
      </c>
      <c r="P162" s="226">
        <f t="shared" si="123"/>
        <v>9935</v>
      </c>
      <c r="Q162" s="226">
        <f t="shared" si="123"/>
        <v>9935</v>
      </c>
      <c r="R162" s="226">
        <f t="shared" si="123"/>
        <v>10871</v>
      </c>
      <c r="S162" s="226">
        <f t="shared" si="123"/>
        <v>11531</v>
      </c>
      <c r="T162" s="226">
        <f t="shared" si="123"/>
        <v>11531</v>
      </c>
      <c r="U162" s="226">
        <f t="shared" si="123"/>
        <v>11531</v>
      </c>
      <c r="V162" s="226">
        <f t="shared" si="123"/>
        <v>11531</v>
      </c>
      <c r="W162" s="226">
        <f t="shared" si="123"/>
        <v>12311</v>
      </c>
      <c r="X162" s="226">
        <f t="shared" si="123"/>
        <v>12311</v>
      </c>
      <c r="Y162" s="226">
        <f t="shared" si="123"/>
        <v>12311</v>
      </c>
      <c r="Z162" s="226">
        <f t="shared" si="123"/>
        <v>12311</v>
      </c>
      <c r="AA162" s="226">
        <f t="shared" si="123"/>
        <v>16803.5</v>
      </c>
      <c r="AB162" s="226">
        <f t="shared" si="123"/>
        <v>18533</v>
      </c>
      <c r="AC162" s="226">
        <f t="shared" si="123"/>
        <v>22947.6</v>
      </c>
      <c r="AD162" s="226">
        <f t="shared" si="123"/>
        <v>25397.4</v>
      </c>
    </row>
    <row r="163" spans="1:30">
      <c r="A163" s="223" t="s">
        <v>1288</v>
      </c>
      <c r="B163" s="226">
        <f t="shared" si="103"/>
        <v>0</v>
      </c>
      <c r="C163" s="226">
        <f t="shared" ref="C163:AD163" si="124">C93+C58+C23+B163</f>
        <v>0</v>
      </c>
      <c r="D163" s="226">
        <f t="shared" si="124"/>
        <v>0</v>
      </c>
      <c r="E163" s="226">
        <f t="shared" si="124"/>
        <v>0</v>
      </c>
      <c r="F163" s="226">
        <f t="shared" si="124"/>
        <v>0</v>
      </c>
      <c r="G163" s="226">
        <f t="shared" si="124"/>
        <v>0</v>
      </c>
      <c r="H163" s="226">
        <f t="shared" si="124"/>
        <v>0</v>
      </c>
      <c r="I163" s="226">
        <f t="shared" si="124"/>
        <v>0</v>
      </c>
      <c r="J163" s="226">
        <f t="shared" si="124"/>
        <v>0</v>
      </c>
      <c r="K163" s="226">
        <f t="shared" si="124"/>
        <v>0</v>
      </c>
      <c r="L163" s="226">
        <f t="shared" si="124"/>
        <v>0</v>
      </c>
      <c r="M163" s="226">
        <f t="shared" si="124"/>
        <v>0</v>
      </c>
      <c r="N163" s="226">
        <f t="shared" si="124"/>
        <v>0</v>
      </c>
      <c r="O163" s="226">
        <f t="shared" si="124"/>
        <v>0</v>
      </c>
      <c r="P163" s="226">
        <f t="shared" si="124"/>
        <v>0</v>
      </c>
      <c r="Q163" s="226">
        <f t="shared" si="124"/>
        <v>0</v>
      </c>
      <c r="R163" s="226">
        <f t="shared" si="124"/>
        <v>0</v>
      </c>
      <c r="S163" s="226">
        <f t="shared" si="124"/>
        <v>0</v>
      </c>
      <c r="T163" s="226">
        <f t="shared" si="124"/>
        <v>0</v>
      </c>
      <c r="U163" s="226">
        <f t="shared" si="124"/>
        <v>0</v>
      </c>
      <c r="V163" s="226">
        <f t="shared" si="124"/>
        <v>0</v>
      </c>
      <c r="W163" s="226">
        <f t="shared" si="124"/>
        <v>120</v>
      </c>
      <c r="X163" s="226">
        <f t="shared" si="124"/>
        <v>120</v>
      </c>
      <c r="Y163" s="226">
        <f t="shared" si="124"/>
        <v>120</v>
      </c>
      <c r="Z163" s="226">
        <f t="shared" si="124"/>
        <v>330</v>
      </c>
      <c r="AA163" s="226">
        <f t="shared" si="124"/>
        <v>330</v>
      </c>
      <c r="AB163" s="226">
        <f t="shared" si="124"/>
        <v>330</v>
      </c>
      <c r="AC163" s="226">
        <f t="shared" si="124"/>
        <v>480</v>
      </c>
      <c r="AD163" s="226">
        <f t="shared" si="124"/>
        <v>480</v>
      </c>
    </row>
    <row r="164" spans="1:30">
      <c r="A164" s="223" t="s">
        <v>1289</v>
      </c>
      <c r="B164" s="226">
        <f t="shared" si="103"/>
        <v>440</v>
      </c>
      <c r="C164" s="226">
        <f t="shared" ref="C164:AD164" si="125">C94+C59+C24+B164</f>
        <v>506</v>
      </c>
      <c r="D164" s="226">
        <f t="shared" si="125"/>
        <v>572</v>
      </c>
      <c r="E164" s="226">
        <f t="shared" si="125"/>
        <v>572</v>
      </c>
      <c r="F164" s="226">
        <f t="shared" si="125"/>
        <v>572</v>
      </c>
      <c r="G164" s="226">
        <f t="shared" si="125"/>
        <v>572</v>
      </c>
      <c r="H164" s="226">
        <f t="shared" si="125"/>
        <v>572</v>
      </c>
      <c r="I164" s="226">
        <f t="shared" si="125"/>
        <v>572</v>
      </c>
      <c r="J164" s="226">
        <f t="shared" si="125"/>
        <v>572</v>
      </c>
      <c r="K164" s="226">
        <f t="shared" si="125"/>
        <v>572</v>
      </c>
      <c r="L164" s="226">
        <f t="shared" si="125"/>
        <v>572</v>
      </c>
      <c r="M164" s="226">
        <f t="shared" si="125"/>
        <v>572</v>
      </c>
      <c r="N164" s="226">
        <f t="shared" si="125"/>
        <v>722</v>
      </c>
      <c r="O164" s="226">
        <f t="shared" si="125"/>
        <v>722</v>
      </c>
      <c r="P164" s="226">
        <f t="shared" si="125"/>
        <v>722</v>
      </c>
      <c r="Q164" s="226">
        <f t="shared" si="125"/>
        <v>722</v>
      </c>
      <c r="R164" s="226">
        <f t="shared" si="125"/>
        <v>722</v>
      </c>
      <c r="S164" s="226">
        <f t="shared" si="125"/>
        <v>722</v>
      </c>
      <c r="T164" s="226">
        <f t="shared" si="125"/>
        <v>722</v>
      </c>
      <c r="U164" s="226">
        <f t="shared" si="125"/>
        <v>722</v>
      </c>
      <c r="V164" s="226">
        <f t="shared" si="125"/>
        <v>722</v>
      </c>
      <c r="W164" s="226">
        <f t="shared" si="125"/>
        <v>722</v>
      </c>
      <c r="X164" s="226">
        <f t="shared" si="125"/>
        <v>722</v>
      </c>
      <c r="Y164" s="226">
        <f t="shared" si="125"/>
        <v>722</v>
      </c>
      <c r="Z164" s="226">
        <f t="shared" si="125"/>
        <v>722</v>
      </c>
      <c r="AA164" s="226">
        <f t="shared" si="125"/>
        <v>722</v>
      </c>
      <c r="AB164" s="226">
        <f t="shared" si="125"/>
        <v>1182</v>
      </c>
      <c r="AC164" s="226">
        <f t="shared" si="125"/>
        <v>2142</v>
      </c>
      <c r="AD164" s="226">
        <f t="shared" si="125"/>
        <v>2629.1</v>
      </c>
    </row>
    <row r="165" spans="1:30">
      <c r="A165" s="223" t="s">
        <v>1290</v>
      </c>
      <c r="B165" s="226">
        <f t="shared" si="103"/>
        <v>0</v>
      </c>
      <c r="C165" s="226">
        <f t="shared" ref="C165:AD165" si="126">C95+C60+C25+B165</f>
        <v>0</v>
      </c>
      <c r="D165" s="226">
        <f t="shared" si="126"/>
        <v>0</v>
      </c>
      <c r="E165" s="226">
        <f t="shared" si="126"/>
        <v>0</v>
      </c>
      <c r="F165" s="226">
        <f t="shared" si="126"/>
        <v>0</v>
      </c>
      <c r="G165" s="226">
        <f t="shared" si="126"/>
        <v>0</v>
      </c>
      <c r="H165" s="226">
        <f t="shared" si="126"/>
        <v>0</v>
      </c>
      <c r="I165" s="226">
        <f t="shared" si="126"/>
        <v>0</v>
      </c>
      <c r="J165" s="226">
        <f t="shared" si="126"/>
        <v>0</v>
      </c>
      <c r="K165" s="226">
        <f t="shared" si="126"/>
        <v>12</v>
      </c>
      <c r="L165" s="226">
        <f t="shared" si="126"/>
        <v>12</v>
      </c>
      <c r="M165" s="226">
        <f t="shared" si="126"/>
        <v>12</v>
      </c>
      <c r="N165" s="226">
        <f t="shared" si="126"/>
        <v>12</v>
      </c>
      <c r="O165" s="226">
        <f t="shared" si="126"/>
        <v>12</v>
      </c>
      <c r="P165" s="226">
        <f t="shared" si="126"/>
        <v>12</v>
      </c>
      <c r="Q165" s="226">
        <f t="shared" si="126"/>
        <v>12</v>
      </c>
      <c r="R165" s="226">
        <f t="shared" si="126"/>
        <v>12</v>
      </c>
      <c r="S165" s="226">
        <f t="shared" si="126"/>
        <v>12</v>
      </c>
      <c r="T165" s="226">
        <f t="shared" si="126"/>
        <v>12</v>
      </c>
      <c r="U165" s="226">
        <f t="shared" si="126"/>
        <v>12</v>
      </c>
      <c r="V165" s="226">
        <f t="shared" si="126"/>
        <v>12</v>
      </c>
      <c r="W165" s="226">
        <f t="shared" si="126"/>
        <v>946</v>
      </c>
      <c r="X165" s="226">
        <f t="shared" si="126"/>
        <v>946</v>
      </c>
      <c r="Y165" s="226">
        <f t="shared" si="126"/>
        <v>946</v>
      </c>
      <c r="Z165" s="226">
        <f t="shared" si="126"/>
        <v>946</v>
      </c>
      <c r="AA165" s="226">
        <f t="shared" si="126"/>
        <v>959.5</v>
      </c>
      <c r="AB165" s="226">
        <f t="shared" si="126"/>
        <v>959.5</v>
      </c>
      <c r="AC165" s="226">
        <f t="shared" si="126"/>
        <v>959.5</v>
      </c>
      <c r="AD165" s="226">
        <f t="shared" si="126"/>
        <v>959.5</v>
      </c>
    </row>
    <row r="166" spans="1:30">
      <c r="A166" s="223" t="s">
        <v>1291</v>
      </c>
      <c r="B166" s="226">
        <f t="shared" si="103"/>
        <v>0</v>
      </c>
      <c r="C166" s="226">
        <f t="shared" ref="C166:AD166" si="127">C96+C61+C26+B166</f>
        <v>0</v>
      </c>
      <c r="D166" s="226">
        <f t="shared" si="127"/>
        <v>0</v>
      </c>
      <c r="E166" s="226">
        <f t="shared" si="127"/>
        <v>0</v>
      </c>
      <c r="F166" s="226">
        <f t="shared" si="127"/>
        <v>0</v>
      </c>
      <c r="G166" s="226">
        <f t="shared" si="127"/>
        <v>0</v>
      </c>
      <c r="H166" s="226">
        <f t="shared" si="127"/>
        <v>0</v>
      </c>
      <c r="I166" s="226">
        <f t="shared" si="127"/>
        <v>0</v>
      </c>
      <c r="J166" s="226">
        <f t="shared" si="127"/>
        <v>0</v>
      </c>
      <c r="K166" s="226">
        <f t="shared" si="127"/>
        <v>0</v>
      </c>
      <c r="L166" s="226">
        <f t="shared" si="127"/>
        <v>0</v>
      </c>
      <c r="M166" s="226">
        <f t="shared" si="127"/>
        <v>0</v>
      </c>
      <c r="N166" s="226">
        <f t="shared" si="127"/>
        <v>0</v>
      </c>
      <c r="O166" s="226">
        <f t="shared" si="127"/>
        <v>0</v>
      </c>
      <c r="P166" s="226">
        <f t="shared" si="127"/>
        <v>0</v>
      </c>
      <c r="Q166" s="226">
        <f t="shared" si="127"/>
        <v>0</v>
      </c>
      <c r="R166" s="226">
        <f t="shared" si="127"/>
        <v>13</v>
      </c>
      <c r="S166" s="226">
        <f t="shared" si="127"/>
        <v>13</v>
      </c>
      <c r="T166" s="226">
        <f t="shared" si="127"/>
        <v>13</v>
      </c>
      <c r="U166" s="226">
        <f t="shared" si="127"/>
        <v>13</v>
      </c>
      <c r="V166" s="226">
        <f t="shared" si="127"/>
        <v>13</v>
      </c>
      <c r="W166" s="226">
        <f t="shared" si="127"/>
        <v>13</v>
      </c>
      <c r="X166" s="226">
        <f t="shared" si="127"/>
        <v>13</v>
      </c>
      <c r="Y166" s="226">
        <f t="shared" si="127"/>
        <v>13</v>
      </c>
      <c r="Z166" s="226">
        <f t="shared" si="127"/>
        <v>14.5</v>
      </c>
      <c r="AA166" s="226">
        <f t="shared" si="127"/>
        <v>29.4</v>
      </c>
      <c r="AB166" s="226">
        <f t="shared" si="127"/>
        <v>29.4</v>
      </c>
      <c r="AC166" s="226">
        <f t="shared" si="127"/>
        <v>54.4</v>
      </c>
      <c r="AD166" s="226">
        <f t="shared" si="127"/>
        <v>61.9</v>
      </c>
    </row>
    <row r="167" spans="1:30">
      <c r="A167" s="223" t="s">
        <v>1292</v>
      </c>
      <c r="B167" s="226">
        <f t="shared" si="103"/>
        <v>0</v>
      </c>
      <c r="C167" s="226">
        <f t="shared" ref="C167:AD167" si="128">C97+C62+C27+B167</f>
        <v>0</v>
      </c>
      <c r="D167" s="226">
        <f t="shared" si="128"/>
        <v>0</v>
      </c>
      <c r="E167" s="226">
        <f t="shared" si="128"/>
        <v>0</v>
      </c>
      <c r="F167" s="226">
        <f t="shared" si="128"/>
        <v>0</v>
      </c>
      <c r="G167" s="226">
        <f t="shared" si="128"/>
        <v>0</v>
      </c>
      <c r="H167" s="226">
        <f t="shared" si="128"/>
        <v>0</v>
      </c>
      <c r="I167" s="226">
        <f t="shared" si="128"/>
        <v>0</v>
      </c>
      <c r="J167" s="226">
        <f t="shared" si="128"/>
        <v>0</v>
      </c>
      <c r="K167" s="226">
        <f t="shared" si="128"/>
        <v>0</v>
      </c>
      <c r="L167" s="226">
        <f t="shared" si="128"/>
        <v>0</v>
      </c>
      <c r="M167" s="226">
        <f t="shared" si="128"/>
        <v>0</v>
      </c>
      <c r="N167" s="226">
        <f t="shared" si="128"/>
        <v>0</v>
      </c>
      <c r="O167" s="226">
        <f t="shared" si="128"/>
        <v>0</v>
      </c>
      <c r="P167" s="226">
        <f t="shared" si="128"/>
        <v>0</v>
      </c>
      <c r="Q167" s="226">
        <f t="shared" si="128"/>
        <v>0</v>
      </c>
      <c r="R167" s="226">
        <f t="shared" si="128"/>
        <v>0</v>
      </c>
      <c r="S167" s="226">
        <f t="shared" si="128"/>
        <v>0</v>
      </c>
      <c r="T167" s="226">
        <f t="shared" si="128"/>
        <v>0</v>
      </c>
      <c r="U167" s="226">
        <f t="shared" si="128"/>
        <v>0</v>
      </c>
      <c r="V167" s="226">
        <f t="shared" si="128"/>
        <v>0</v>
      </c>
      <c r="W167" s="226">
        <f t="shared" si="128"/>
        <v>4.9</v>
      </c>
      <c r="X167" s="226">
        <f t="shared" si="128"/>
        <v>4.9</v>
      </c>
      <c r="Y167" s="226">
        <f t="shared" si="128"/>
        <v>7</v>
      </c>
      <c r="Z167" s="226">
        <f t="shared" si="128"/>
        <v>7</v>
      </c>
      <c r="AA167" s="226">
        <f t="shared" si="128"/>
        <v>7</v>
      </c>
      <c r="AB167" s="226">
        <f t="shared" si="128"/>
        <v>7</v>
      </c>
      <c r="AC167" s="226">
        <f t="shared" si="128"/>
        <v>7</v>
      </c>
      <c r="AD167" s="226">
        <f t="shared" si="128"/>
        <v>63.3</v>
      </c>
    </row>
    <row r="168" spans="1:30">
      <c r="A168" s="223" t="s">
        <v>1293</v>
      </c>
      <c r="B168" s="226">
        <f t="shared" si="103"/>
        <v>0</v>
      </c>
      <c r="C168" s="226">
        <f t="shared" ref="C168:AD168" si="129">C98+C63+C28+B168</f>
        <v>0</v>
      </c>
      <c r="D168" s="226">
        <f t="shared" si="129"/>
        <v>0</v>
      </c>
      <c r="E168" s="226">
        <f t="shared" si="129"/>
        <v>0</v>
      </c>
      <c r="F168" s="226">
        <f t="shared" si="129"/>
        <v>0</v>
      </c>
      <c r="G168" s="226">
        <f t="shared" si="129"/>
        <v>0</v>
      </c>
      <c r="H168" s="226">
        <f t="shared" si="129"/>
        <v>0</v>
      </c>
      <c r="I168" s="226">
        <f t="shared" si="129"/>
        <v>0</v>
      </c>
      <c r="J168" s="226">
        <f t="shared" si="129"/>
        <v>0</v>
      </c>
      <c r="K168" s="226">
        <f t="shared" si="129"/>
        <v>0</v>
      </c>
      <c r="L168" s="226">
        <f t="shared" si="129"/>
        <v>0</v>
      </c>
      <c r="M168" s="226">
        <f t="shared" si="129"/>
        <v>0</v>
      </c>
      <c r="N168" s="226">
        <f t="shared" si="129"/>
        <v>0</v>
      </c>
      <c r="O168" s="226">
        <f t="shared" si="129"/>
        <v>0</v>
      </c>
      <c r="P168" s="226">
        <f t="shared" si="129"/>
        <v>0</v>
      </c>
      <c r="Q168" s="226">
        <f t="shared" si="129"/>
        <v>0</v>
      </c>
      <c r="R168" s="226">
        <f t="shared" si="129"/>
        <v>0</v>
      </c>
      <c r="S168" s="226">
        <f t="shared" si="129"/>
        <v>0</v>
      </c>
      <c r="T168" s="226">
        <f t="shared" si="129"/>
        <v>0</v>
      </c>
      <c r="U168" s="226">
        <f t="shared" si="129"/>
        <v>0</v>
      </c>
      <c r="V168" s="226">
        <f t="shared" si="129"/>
        <v>0</v>
      </c>
      <c r="W168" s="226">
        <f t="shared" si="129"/>
        <v>0</v>
      </c>
      <c r="X168" s="226">
        <f t="shared" si="129"/>
        <v>0</v>
      </c>
      <c r="Y168" s="226">
        <f t="shared" si="129"/>
        <v>0</v>
      </c>
      <c r="Z168" s="226">
        <f t="shared" si="129"/>
        <v>0</v>
      </c>
      <c r="AA168" s="226">
        <f t="shared" si="129"/>
        <v>0</v>
      </c>
      <c r="AB168" s="226">
        <f t="shared" si="129"/>
        <v>0</v>
      </c>
      <c r="AC168" s="226">
        <f t="shared" si="129"/>
        <v>0</v>
      </c>
      <c r="AD168" s="226">
        <f t="shared" si="129"/>
        <v>0</v>
      </c>
    </row>
    <row r="169" spans="1:30">
      <c r="A169" s="223" t="s">
        <v>1294</v>
      </c>
      <c r="B169" s="226">
        <f t="shared" si="103"/>
        <v>0</v>
      </c>
      <c r="C169" s="226">
        <f t="shared" ref="C169:AD169" si="130">C99+C64+C29+B169</f>
        <v>0</v>
      </c>
      <c r="D169" s="226">
        <f t="shared" si="130"/>
        <v>0</v>
      </c>
      <c r="E169" s="226">
        <f t="shared" si="130"/>
        <v>0</v>
      </c>
      <c r="F169" s="226">
        <f t="shared" si="130"/>
        <v>0</v>
      </c>
      <c r="G169" s="226">
        <f t="shared" si="130"/>
        <v>0</v>
      </c>
      <c r="H169" s="226">
        <f t="shared" si="130"/>
        <v>0</v>
      </c>
      <c r="I169" s="226">
        <f t="shared" si="130"/>
        <v>0</v>
      </c>
      <c r="J169" s="226">
        <f t="shared" si="130"/>
        <v>0</v>
      </c>
      <c r="K169" s="226">
        <f t="shared" si="130"/>
        <v>0</v>
      </c>
      <c r="L169" s="226">
        <f t="shared" si="130"/>
        <v>0</v>
      </c>
      <c r="M169" s="226">
        <f t="shared" si="130"/>
        <v>0</v>
      </c>
      <c r="N169" s="226">
        <f t="shared" si="130"/>
        <v>0</v>
      </c>
      <c r="O169" s="226">
        <f t="shared" si="130"/>
        <v>0</v>
      </c>
      <c r="P169" s="226">
        <f t="shared" si="130"/>
        <v>0</v>
      </c>
      <c r="Q169" s="226">
        <f t="shared" si="130"/>
        <v>0</v>
      </c>
      <c r="R169" s="226">
        <f t="shared" si="130"/>
        <v>0</v>
      </c>
      <c r="S169" s="226">
        <f t="shared" si="130"/>
        <v>198.8</v>
      </c>
      <c r="T169" s="226">
        <f t="shared" si="130"/>
        <v>198.8</v>
      </c>
      <c r="U169" s="226">
        <f t="shared" si="130"/>
        <v>198.8</v>
      </c>
      <c r="V169" s="226">
        <f t="shared" si="130"/>
        <v>198.8</v>
      </c>
      <c r="W169" s="226">
        <f t="shared" si="130"/>
        <v>198.8</v>
      </c>
      <c r="X169" s="226">
        <f t="shared" si="130"/>
        <v>198.8</v>
      </c>
      <c r="Y169" s="226">
        <f t="shared" si="130"/>
        <v>198.8</v>
      </c>
      <c r="Z169" s="226">
        <f t="shared" si="130"/>
        <v>198.8</v>
      </c>
      <c r="AA169" s="226">
        <f t="shared" si="130"/>
        <v>198.8</v>
      </c>
      <c r="AB169" s="226">
        <f t="shared" si="130"/>
        <v>198.8</v>
      </c>
      <c r="AC169" s="226">
        <f t="shared" si="130"/>
        <v>198.8</v>
      </c>
      <c r="AD169" s="226">
        <f t="shared" si="130"/>
        <v>198.8</v>
      </c>
    </row>
    <row r="170" spans="1:30">
      <c r="A170" s="223" t="s">
        <v>1295</v>
      </c>
      <c r="B170" s="226">
        <f t="shared" si="103"/>
        <v>0</v>
      </c>
      <c r="C170" s="226">
        <f t="shared" ref="C170:AD170" si="131">C100+C65+C30+B170</f>
        <v>0</v>
      </c>
      <c r="D170" s="226">
        <f t="shared" si="131"/>
        <v>0</v>
      </c>
      <c r="E170" s="226">
        <f t="shared" si="131"/>
        <v>0</v>
      </c>
      <c r="F170" s="226">
        <f t="shared" si="131"/>
        <v>0</v>
      </c>
      <c r="G170" s="226">
        <f t="shared" si="131"/>
        <v>0</v>
      </c>
      <c r="H170" s="226">
        <f t="shared" si="131"/>
        <v>0</v>
      </c>
      <c r="I170" s="226">
        <f t="shared" si="131"/>
        <v>0</v>
      </c>
      <c r="J170" s="226">
        <f t="shared" si="131"/>
        <v>0</v>
      </c>
      <c r="K170" s="226">
        <f t="shared" si="131"/>
        <v>0</v>
      </c>
      <c r="L170" s="226">
        <f t="shared" si="131"/>
        <v>0</v>
      </c>
      <c r="M170" s="226">
        <f t="shared" si="131"/>
        <v>0</v>
      </c>
      <c r="N170" s="226">
        <f t="shared" si="131"/>
        <v>0</v>
      </c>
      <c r="O170" s="226">
        <f t="shared" si="131"/>
        <v>0</v>
      </c>
      <c r="P170" s="226">
        <f t="shared" si="131"/>
        <v>0</v>
      </c>
      <c r="Q170" s="226">
        <f t="shared" si="131"/>
        <v>0</v>
      </c>
      <c r="R170" s="226">
        <f t="shared" si="131"/>
        <v>0</v>
      </c>
      <c r="S170" s="226">
        <f t="shared" si="131"/>
        <v>0</v>
      </c>
      <c r="T170" s="226">
        <f t="shared" si="131"/>
        <v>0</v>
      </c>
      <c r="U170" s="226">
        <f t="shared" si="131"/>
        <v>0</v>
      </c>
      <c r="V170" s="226">
        <f t="shared" si="131"/>
        <v>0</v>
      </c>
      <c r="W170" s="226">
        <f t="shared" si="131"/>
        <v>0</v>
      </c>
      <c r="X170" s="226">
        <f t="shared" si="131"/>
        <v>0</v>
      </c>
      <c r="Y170" s="226">
        <f t="shared" si="131"/>
        <v>0</v>
      </c>
      <c r="Z170" s="226">
        <f t="shared" si="131"/>
        <v>0</v>
      </c>
      <c r="AA170" s="226">
        <f t="shared" si="131"/>
        <v>0</v>
      </c>
      <c r="AB170" s="226">
        <f t="shared" si="131"/>
        <v>0</v>
      </c>
      <c r="AC170" s="226">
        <f t="shared" si="131"/>
        <v>0</v>
      </c>
      <c r="AD170" s="226">
        <f t="shared" si="131"/>
        <v>0</v>
      </c>
    </row>
    <row r="171" spans="1:30">
      <c r="A171" s="223" t="s">
        <v>1296</v>
      </c>
      <c r="B171" s="226">
        <f t="shared" si="103"/>
        <v>0</v>
      </c>
      <c r="C171" s="226">
        <f t="shared" ref="C171:AD171" si="132">C101+C66+C31+B171</f>
        <v>0</v>
      </c>
      <c r="D171" s="226">
        <f t="shared" si="132"/>
        <v>0</v>
      </c>
      <c r="E171" s="226">
        <f t="shared" si="132"/>
        <v>0</v>
      </c>
      <c r="F171" s="226">
        <f t="shared" si="132"/>
        <v>0</v>
      </c>
      <c r="G171" s="226">
        <f t="shared" si="132"/>
        <v>0</v>
      </c>
      <c r="H171" s="226">
        <f t="shared" si="132"/>
        <v>0</v>
      </c>
      <c r="I171" s="226">
        <f t="shared" si="132"/>
        <v>0</v>
      </c>
      <c r="J171" s="226">
        <f t="shared" si="132"/>
        <v>0</v>
      </c>
      <c r="K171" s="226">
        <f t="shared" si="132"/>
        <v>0</v>
      </c>
      <c r="L171" s="226">
        <f t="shared" si="132"/>
        <v>0</v>
      </c>
      <c r="M171" s="226">
        <f t="shared" si="132"/>
        <v>0</v>
      </c>
      <c r="N171" s="226">
        <f t="shared" si="132"/>
        <v>0</v>
      </c>
      <c r="O171" s="226">
        <f t="shared" si="132"/>
        <v>0</v>
      </c>
      <c r="P171" s="226">
        <f t="shared" si="132"/>
        <v>0</v>
      </c>
      <c r="Q171" s="226">
        <f t="shared" si="132"/>
        <v>0</v>
      </c>
      <c r="R171" s="226">
        <f t="shared" si="132"/>
        <v>0</v>
      </c>
      <c r="S171" s="226">
        <f t="shared" si="132"/>
        <v>0</v>
      </c>
      <c r="T171" s="226">
        <f t="shared" si="132"/>
        <v>0</v>
      </c>
      <c r="U171" s="226">
        <f t="shared" si="132"/>
        <v>0</v>
      </c>
      <c r="V171" s="226">
        <f t="shared" si="132"/>
        <v>0</v>
      </c>
      <c r="W171" s="226">
        <f t="shared" si="132"/>
        <v>0</v>
      </c>
      <c r="X171" s="226">
        <f t="shared" si="132"/>
        <v>0</v>
      </c>
      <c r="Y171" s="226">
        <f t="shared" si="132"/>
        <v>0</v>
      </c>
      <c r="Z171" s="226">
        <f t="shared" si="132"/>
        <v>0</v>
      </c>
      <c r="AA171" s="226">
        <f t="shared" si="132"/>
        <v>0</v>
      </c>
      <c r="AB171" s="226">
        <f t="shared" si="132"/>
        <v>0</v>
      </c>
      <c r="AC171" s="226">
        <f t="shared" si="132"/>
        <v>0</v>
      </c>
      <c r="AD171" s="226">
        <f t="shared" si="132"/>
        <v>0</v>
      </c>
    </row>
    <row r="172" spans="1:30">
      <c r="A172" s="223" t="s">
        <v>1297</v>
      </c>
      <c r="B172" s="226">
        <f t="shared" si="103"/>
        <v>0</v>
      </c>
      <c r="C172" s="226">
        <f t="shared" ref="C172:AD172" si="133">C102+C67+C32+B172</f>
        <v>0</v>
      </c>
      <c r="D172" s="226">
        <f t="shared" si="133"/>
        <v>0</v>
      </c>
      <c r="E172" s="226">
        <f t="shared" si="133"/>
        <v>0</v>
      </c>
      <c r="F172" s="226">
        <f t="shared" si="133"/>
        <v>0</v>
      </c>
      <c r="G172" s="226">
        <f t="shared" si="133"/>
        <v>0</v>
      </c>
      <c r="H172" s="226">
        <f t="shared" si="133"/>
        <v>0</v>
      </c>
      <c r="I172" s="226">
        <f t="shared" si="133"/>
        <v>0</v>
      </c>
      <c r="J172" s="226">
        <f t="shared" si="133"/>
        <v>0</v>
      </c>
      <c r="K172" s="226">
        <f t="shared" si="133"/>
        <v>0</v>
      </c>
      <c r="L172" s="226">
        <f t="shared" si="133"/>
        <v>0</v>
      </c>
      <c r="M172" s="226">
        <f t="shared" si="133"/>
        <v>0</v>
      </c>
      <c r="N172" s="226">
        <f t="shared" si="133"/>
        <v>0</v>
      </c>
      <c r="O172" s="226">
        <f t="shared" si="133"/>
        <v>0</v>
      </c>
      <c r="P172" s="226">
        <f t="shared" si="133"/>
        <v>0</v>
      </c>
      <c r="Q172" s="226">
        <f t="shared" si="133"/>
        <v>0</v>
      </c>
      <c r="R172" s="226">
        <f t="shared" si="133"/>
        <v>0</v>
      </c>
      <c r="S172" s="226">
        <f t="shared" si="133"/>
        <v>0</v>
      </c>
      <c r="T172" s="226">
        <f t="shared" si="133"/>
        <v>0</v>
      </c>
      <c r="U172" s="226">
        <f t="shared" si="133"/>
        <v>0</v>
      </c>
      <c r="V172" s="226">
        <f t="shared" si="133"/>
        <v>0</v>
      </c>
      <c r="W172" s="226">
        <f t="shared" si="133"/>
        <v>0</v>
      </c>
      <c r="X172" s="226">
        <f t="shared" si="133"/>
        <v>0</v>
      </c>
      <c r="Y172" s="226">
        <f t="shared" si="133"/>
        <v>0</v>
      </c>
      <c r="Z172" s="226">
        <f t="shared" si="133"/>
        <v>0</v>
      </c>
      <c r="AA172" s="226">
        <f t="shared" si="133"/>
        <v>0</v>
      </c>
      <c r="AB172" s="226">
        <f t="shared" si="133"/>
        <v>0</v>
      </c>
      <c r="AC172" s="226">
        <f t="shared" si="133"/>
        <v>0</v>
      </c>
      <c r="AD172" s="226">
        <f t="shared" si="133"/>
        <v>0</v>
      </c>
    </row>
    <row r="173" spans="1:30">
      <c r="A173" s="223" t="s">
        <v>1298</v>
      </c>
      <c r="B173" s="226">
        <f t="shared" si="103"/>
        <v>0</v>
      </c>
      <c r="C173" s="226">
        <f t="shared" ref="C173:AD173" si="134">C103+C68+C33+B173</f>
        <v>0</v>
      </c>
      <c r="D173" s="226">
        <f t="shared" si="134"/>
        <v>0</v>
      </c>
      <c r="E173" s="226">
        <f t="shared" si="134"/>
        <v>0</v>
      </c>
      <c r="F173" s="226">
        <f t="shared" si="134"/>
        <v>0</v>
      </c>
      <c r="G173" s="226">
        <f t="shared" si="134"/>
        <v>0</v>
      </c>
      <c r="H173" s="226">
        <f t="shared" si="134"/>
        <v>0</v>
      </c>
      <c r="I173" s="226">
        <f t="shared" si="134"/>
        <v>0</v>
      </c>
      <c r="J173" s="226">
        <f t="shared" si="134"/>
        <v>0</v>
      </c>
      <c r="K173" s="226">
        <f t="shared" si="134"/>
        <v>0</v>
      </c>
      <c r="L173" s="226">
        <f t="shared" si="134"/>
        <v>0</v>
      </c>
      <c r="M173" s="226">
        <f t="shared" si="134"/>
        <v>0</v>
      </c>
      <c r="N173" s="226">
        <f t="shared" si="134"/>
        <v>0</v>
      </c>
      <c r="O173" s="226">
        <f t="shared" si="134"/>
        <v>0</v>
      </c>
      <c r="P173" s="226">
        <f t="shared" si="134"/>
        <v>0</v>
      </c>
      <c r="Q173" s="226">
        <f t="shared" si="134"/>
        <v>0</v>
      </c>
      <c r="R173" s="226">
        <f t="shared" si="134"/>
        <v>0</v>
      </c>
      <c r="S173" s="226">
        <f t="shared" si="134"/>
        <v>0</v>
      </c>
      <c r="T173" s="226">
        <f t="shared" si="134"/>
        <v>0</v>
      </c>
      <c r="U173" s="226">
        <f t="shared" si="134"/>
        <v>0</v>
      </c>
      <c r="V173" s="226">
        <f t="shared" si="134"/>
        <v>0</v>
      </c>
      <c r="W173" s="226">
        <f t="shared" si="134"/>
        <v>0</v>
      </c>
      <c r="X173" s="226">
        <f t="shared" si="134"/>
        <v>0</v>
      </c>
      <c r="Y173" s="226">
        <f t="shared" si="134"/>
        <v>0</v>
      </c>
      <c r="Z173" s="226">
        <f t="shared" si="134"/>
        <v>0</v>
      </c>
      <c r="AA173" s="226">
        <f t="shared" si="134"/>
        <v>0</v>
      </c>
      <c r="AB173" s="226">
        <f t="shared" si="134"/>
        <v>0</v>
      </c>
      <c r="AC173" s="226">
        <f t="shared" si="134"/>
        <v>0</v>
      </c>
      <c r="AD173" s="226">
        <f t="shared" si="134"/>
        <v>0</v>
      </c>
    </row>
    <row r="174" spans="1:30">
      <c r="A174" s="223" t="s">
        <v>1299</v>
      </c>
      <c r="B174" s="226">
        <f t="shared" si="103"/>
        <v>0</v>
      </c>
      <c r="C174" s="226">
        <f t="shared" ref="C174:AD174" si="135">C104+C69+C34+B174</f>
        <v>0</v>
      </c>
      <c r="D174" s="226">
        <f t="shared" si="135"/>
        <v>0</v>
      </c>
      <c r="E174" s="226">
        <f t="shared" si="135"/>
        <v>0</v>
      </c>
      <c r="F174" s="226">
        <f t="shared" si="135"/>
        <v>0</v>
      </c>
      <c r="G174" s="226">
        <f t="shared" si="135"/>
        <v>0</v>
      </c>
      <c r="H174" s="226">
        <f t="shared" si="135"/>
        <v>0</v>
      </c>
      <c r="I174" s="226">
        <f t="shared" si="135"/>
        <v>0</v>
      </c>
      <c r="J174" s="226">
        <f t="shared" si="135"/>
        <v>0</v>
      </c>
      <c r="K174" s="226">
        <f t="shared" si="135"/>
        <v>0</v>
      </c>
      <c r="L174" s="226">
        <f t="shared" si="135"/>
        <v>0</v>
      </c>
      <c r="M174" s="226">
        <f t="shared" si="135"/>
        <v>0</v>
      </c>
      <c r="N174" s="226">
        <f t="shared" si="135"/>
        <v>0</v>
      </c>
      <c r="O174" s="226">
        <f t="shared" si="135"/>
        <v>0</v>
      </c>
      <c r="P174" s="226">
        <f t="shared" si="135"/>
        <v>0</v>
      </c>
      <c r="Q174" s="226">
        <f t="shared" si="135"/>
        <v>0</v>
      </c>
      <c r="R174" s="226">
        <f t="shared" si="135"/>
        <v>34</v>
      </c>
      <c r="S174" s="226">
        <f t="shared" si="135"/>
        <v>34</v>
      </c>
      <c r="T174" s="226">
        <f t="shared" si="135"/>
        <v>34</v>
      </c>
      <c r="U174" s="226">
        <f t="shared" si="135"/>
        <v>34</v>
      </c>
      <c r="V174" s="226">
        <f t="shared" si="135"/>
        <v>34</v>
      </c>
      <c r="W174" s="226">
        <f t="shared" si="135"/>
        <v>34</v>
      </c>
      <c r="X174" s="226">
        <f t="shared" si="135"/>
        <v>34</v>
      </c>
      <c r="Y174" s="226">
        <f t="shared" si="135"/>
        <v>339.4</v>
      </c>
      <c r="Z174" s="226">
        <f t="shared" si="135"/>
        <v>462.4</v>
      </c>
      <c r="AA174" s="226">
        <f t="shared" si="135"/>
        <v>474.2</v>
      </c>
      <c r="AB174" s="226">
        <f t="shared" si="135"/>
        <v>474.2</v>
      </c>
      <c r="AC174" s="226">
        <f t="shared" si="135"/>
        <v>534.2</v>
      </c>
      <c r="AD174" s="226">
        <f t="shared" si="135"/>
        <v>885.2</v>
      </c>
    </row>
    <row r="176" spans="1:30">
      <c r="A176" s="228" t="s">
        <v>1304</v>
      </c>
    </row>
    <row r="177" ht="13.85" spans="1:37">
      <c r="A177" s="92"/>
      <c r="B177" s="92">
        <v>2001</v>
      </c>
      <c r="C177" s="92">
        <v>2002</v>
      </c>
      <c r="D177" s="92">
        <v>2003</v>
      </c>
      <c r="E177" s="92">
        <v>2004</v>
      </c>
      <c r="F177" s="92">
        <v>2005</v>
      </c>
      <c r="G177" s="92">
        <v>2006</v>
      </c>
      <c r="H177" s="92">
        <v>2007</v>
      </c>
      <c r="J177" s="92">
        <v>2001</v>
      </c>
      <c r="K177" s="92">
        <v>2002</v>
      </c>
      <c r="L177" s="92">
        <v>2003</v>
      </c>
      <c r="M177" s="92">
        <v>2004</v>
      </c>
      <c r="N177" s="92">
        <v>2005</v>
      </c>
      <c r="O177" s="92">
        <v>2006</v>
      </c>
      <c r="P177" s="92">
        <v>2007</v>
      </c>
      <c r="Q177" s="92">
        <v>2008</v>
      </c>
      <c r="R177" s="92">
        <v>2009</v>
      </c>
      <c r="S177" s="92">
        <v>2010</v>
      </c>
      <c r="T177" s="92">
        <v>2011</v>
      </c>
      <c r="U177" s="92">
        <v>2012</v>
      </c>
      <c r="V177" s="92">
        <v>2013</v>
      </c>
      <c r="W177" s="92">
        <v>2014</v>
      </c>
      <c r="X177" s="92">
        <v>2015</v>
      </c>
      <c r="Y177" s="92">
        <v>2016</v>
      </c>
      <c r="Z177" s="92">
        <v>2017</v>
      </c>
      <c r="AA177" s="92">
        <v>2018</v>
      </c>
      <c r="AB177" s="92">
        <v>2019</v>
      </c>
      <c r="AC177" s="92">
        <v>2020</v>
      </c>
      <c r="AD177" s="92">
        <v>2021</v>
      </c>
      <c r="AF177" s="92">
        <v>2016</v>
      </c>
      <c r="AG177" s="92">
        <v>2017</v>
      </c>
      <c r="AH177" s="92">
        <v>2018</v>
      </c>
      <c r="AI177" s="92">
        <v>2019</v>
      </c>
      <c r="AJ177" s="92">
        <v>2020</v>
      </c>
      <c r="AK177" s="92">
        <v>2021</v>
      </c>
    </row>
    <row r="178" ht="27" spans="1:37">
      <c r="A178" s="92"/>
      <c r="B178" s="208" t="s">
        <v>1305</v>
      </c>
      <c r="C178" s="208" t="s">
        <v>1305</v>
      </c>
      <c r="D178" s="208" t="s">
        <v>1305</v>
      </c>
      <c r="E178" s="208" t="s">
        <v>1305</v>
      </c>
      <c r="F178" s="208" t="s">
        <v>1305</v>
      </c>
      <c r="G178" s="208" t="s">
        <v>1305</v>
      </c>
      <c r="H178" s="208" t="s">
        <v>1305</v>
      </c>
      <c r="J178" s="208" t="s">
        <v>1305</v>
      </c>
      <c r="K178" s="208" t="s">
        <v>1305</v>
      </c>
      <c r="L178" s="208" t="s">
        <v>1305</v>
      </c>
      <c r="M178" s="208" t="s">
        <v>1305</v>
      </c>
      <c r="N178" s="208" t="s">
        <v>1305</v>
      </c>
      <c r="O178" s="208" t="s">
        <v>1305</v>
      </c>
      <c r="P178" s="208" t="s">
        <v>1305</v>
      </c>
      <c r="Q178" s="208" t="s">
        <v>1305</v>
      </c>
      <c r="R178" s="208" t="s">
        <v>1305</v>
      </c>
      <c r="S178" s="208" t="s">
        <v>1305</v>
      </c>
      <c r="T178" s="208" t="s">
        <v>1305</v>
      </c>
      <c r="U178" s="208" t="s">
        <v>1305</v>
      </c>
      <c r="Y178" s="208" t="s">
        <v>1306</v>
      </c>
      <c r="Z178" s="208" t="s">
        <v>1306</v>
      </c>
      <c r="AA178" s="208" t="s">
        <v>1306</v>
      </c>
      <c r="AB178" s="208" t="s">
        <v>1306</v>
      </c>
      <c r="AC178" s="208" t="s">
        <v>1306</v>
      </c>
      <c r="AD178" s="208" t="s">
        <v>1306</v>
      </c>
      <c r="AF178" s="208" t="s">
        <v>1307</v>
      </c>
      <c r="AG178" s="208" t="s">
        <v>1307</v>
      </c>
      <c r="AH178" s="208" t="s">
        <v>1307</v>
      </c>
      <c r="AI178" s="208" t="s">
        <v>1307</v>
      </c>
      <c r="AJ178" s="208" t="s">
        <v>1307</v>
      </c>
      <c r="AK178" s="208" t="s">
        <v>1307</v>
      </c>
    </row>
    <row r="179" ht="13.85" spans="1:37">
      <c r="A179" s="92"/>
      <c r="B179" s="209" t="s">
        <v>1308</v>
      </c>
      <c r="C179" s="209" t="s">
        <v>1308</v>
      </c>
      <c r="D179" s="209" t="s">
        <v>1308</v>
      </c>
      <c r="E179" s="209" t="s">
        <v>1308</v>
      </c>
      <c r="F179" s="209" t="s">
        <v>1308</v>
      </c>
      <c r="G179" s="209" t="s">
        <v>1308</v>
      </c>
      <c r="H179" s="209" t="s">
        <v>1308</v>
      </c>
      <c r="J179" s="208" t="s">
        <v>1309</v>
      </c>
      <c r="K179" s="208" t="s">
        <v>1309</v>
      </c>
      <c r="L179" s="208" t="s">
        <v>1309</v>
      </c>
      <c r="M179" s="208" t="s">
        <v>1309</v>
      </c>
      <c r="N179" s="208" t="s">
        <v>1309</v>
      </c>
      <c r="O179" s="208" t="s">
        <v>1309</v>
      </c>
      <c r="P179" s="208" t="s">
        <v>1309</v>
      </c>
      <c r="Q179" s="208" t="s">
        <v>1309</v>
      </c>
      <c r="R179" s="208" t="s">
        <v>1309</v>
      </c>
      <c r="S179" s="208" t="s">
        <v>1309</v>
      </c>
      <c r="T179" s="208" t="s">
        <v>1309</v>
      </c>
      <c r="U179" s="208" t="s">
        <v>1309</v>
      </c>
      <c r="Y179" s="208" t="s">
        <v>1309</v>
      </c>
      <c r="Z179" s="208" t="s">
        <v>1309</v>
      </c>
      <c r="AA179" s="208" t="s">
        <v>1309</v>
      </c>
      <c r="AB179" s="208" t="s">
        <v>1309</v>
      </c>
      <c r="AC179" s="208" t="s">
        <v>1309</v>
      </c>
      <c r="AD179" s="208" t="s">
        <v>1309</v>
      </c>
      <c r="AF179" s="208" t="s">
        <v>1309</v>
      </c>
      <c r="AG179" s="208" t="s">
        <v>1309</v>
      </c>
      <c r="AH179" s="208" t="s">
        <v>1309</v>
      </c>
      <c r="AI179" s="208" t="s">
        <v>1309</v>
      </c>
      <c r="AJ179" s="208" t="s">
        <v>1309</v>
      </c>
      <c r="AK179" s="208" t="s">
        <v>1309</v>
      </c>
    </row>
    <row r="180" ht="13.5" spans="1:37">
      <c r="A180" s="209" t="s">
        <v>1310</v>
      </c>
      <c r="B180" s="211">
        <v>576.84</v>
      </c>
      <c r="C180" s="211">
        <v>649.11</v>
      </c>
      <c r="D180" s="211">
        <v>706.38</v>
      </c>
      <c r="E180" s="211">
        <v>885.98</v>
      </c>
      <c r="F180" s="211">
        <v>1471.59</v>
      </c>
      <c r="G180" s="211">
        <v>1947.21</v>
      </c>
      <c r="H180" s="211">
        <v>2510.77</v>
      </c>
      <c r="J180" s="232">
        <f t="shared" ref="J180:J211" si="136">B180*10</f>
        <v>5768.4</v>
      </c>
      <c r="K180" s="232">
        <f t="shared" ref="K180:K211" si="137">C180*10</f>
        <v>6491.1</v>
      </c>
      <c r="L180" s="232">
        <f t="shared" ref="L180:L211" si="138">D180*10</f>
        <v>7063.8</v>
      </c>
      <c r="M180" s="232">
        <f t="shared" ref="M180:M211" si="139">E180*10</f>
        <v>8859.8</v>
      </c>
      <c r="N180" s="232">
        <f t="shared" ref="N180:N211" si="140">F180*10</f>
        <v>14715.9</v>
      </c>
      <c r="O180" s="232">
        <f t="shared" ref="O180:O211" si="141">G180*10</f>
        <v>19472.1</v>
      </c>
      <c r="P180" s="232">
        <f t="shared" ref="P180:P211" si="142">H180*10</f>
        <v>25107.7</v>
      </c>
      <c r="Q180" s="232"/>
      <c r="R180" s="232"/>
      <c r="S180" s="232"/>
      <c r="T180" s="232"/>
      <c r="U180" s="232">
        <f>SUM(U181:U211)</f>
        <v>40278.3</v>
      </c>
      <c r="V180" s="232"/>
      <c r="W180" s="232"/>
      <c r="X180" s="232"/>
      <c r="Y180" s="232">
        <f t="shared" ref="Y180:AD180" si="143">SUM(Y181:Y211)</f>
        <v>70110</v>
      </c>
      <c r="Z180" s="232">
        <f t="shared" si="143"/>
        <v>75725</v>
      </c>
      <c r="AA180" s="232">
        <f t="shared" si="143"/>
        <v>83799</v>
      </c>
      <c r="AB180" s="232">
        <f t="shared" si="143"/>
        <v>90254</v>
      </c>
      <c r="AC180" s="232">
        <f t="shared" si="143"/>
        <v>99745</v>
      </c>
      <c r="AD180" s="232">
        <f t="shared" si="143"/>
        <v>108950</v>
      </c>
      <c r="AE180" s="232"/>
      <c r="AF180" s="232">
        <v>450</v>
      </c>
      <c r="AG180" s="232">
        <v>470</v>
      </c>
      <c r="AH180" s="232">
        <v>580</v>
      </c>
      <c r="AI180" s="232">
        <v>712</v>
      </c>
      <c r="AJ180" s="232">
        <v>900</v>
      </c>
      <c r="AK180" s="232">
        <v>1110</v>
      </c>
    </row>
    <row r="181" ht="13.5" spans="1:37">
      <c r="A181" s="214" t="s">
        <v>82</v>
      </c>
      <c r="B181" s="211">
        <v>3.5</v>
      </c>
      <c r="C181" s="211">
        <v>3.5</v>
      </c>
      <c r="D181" s="211">
        <v>3.5</v>
      </c>
      <c r="E181" s="211">
        <v>3.5</v>
      </c>
      <c r="F181" s="211">
        <v>41</v>
      </c>
      <c r="G181" s="211">
        <v>41</v>
      </c>
      <c r="H181" s="211">
        <v>41</v>
      </c>
      <c r="J181" s="232">
        <f t="shared" si="136"/>
        <v>35</v>
      </c>
      <c r="K181" s="232">
        <f t="shared" si="137"/>
        <v>35</v>
      </c>
      <c r="L181" s="232">
        <f t="shared" si="138"/>
        <v>35</v>
      </c>
      <c r="M181" s="232">
        <f t="shared" si="139"/>
        <v>35</v>
      </c>
      <c r="N181" s="232">
        <f t="shared" si="140"/>
        <v>410</v>
      </c>
      <c r="O181" s="232">
        <f t="shared" si="141"/>
        <v>410</v>
      </c>
      <c r="P181" s="232">
        <f t="shared" si="142"/>
        <v>410</v>
      </c>
      <c r="Q181" s="232"/>
      <c r="R181" s="232"/>
      <c r="S181" s="232"/>
      <c r="T181" s="232"/>
      <c r="U181" s="232">
        <f>IFERROR(VLOOKUP(A144,'NG2012'!$A$4:$D$24,3,FALSE)*10,0)</f>
        <v>2868</v>
      </c>
      <c r="V181" s="232"/>
      <c r="W181" s="232"/>
      <c r="X181" s="232"/>
      <c r="Y181" s="232">
        <v>8500</v>
      </c>
      <c r="Z181" s="232">
        <v>9500</v>
      </c>
      <c r="AA181" s="232">
        <v>9850</v>
      </c>
      <c r="AB181" s="232">
        <v>9930</v>
      </c>
      <c r="AC181" s="232">
        <v>10000</v>
      </c>
      <c r="AD181" s="232">
        <v>10000</v>
      </c>
      <c r="AE181" s="232"/>
      <c r="AF181" s="232">
        <v>10</v>
      </c>
      <c r="AG181" s="232">
        <v>10</v>
      </c>
      <c r="AH181" s="232">
        <v>0</v>
      </c>
      <c r="AI181" s="232">
        <v>0</v>
      </c>
      <c r="AJ181" s="232">
        <v>20</v>
      </c>
      <c r="AK181" s="232">
        <v>20</v>
      </c>
    </row>
    <row r="182" ht="13.5" spans="1:37">
      <c r="A182" s="209" t="s">
        <v>84</v>
      </c>
      <c r="B182" s="211">
        <v>3.8</v>
      </c>
      <c r="C182" s="211">
        <v>3.8</v>
      </c>
      <c r="D182" s="211">
        <v>3.8</v>
      </c>
      <c r="E182" s="211">
        <v>3.8</v>
      </c>
      <c r="F182" s="211">
        <v>3.8</v>
      </c>
      <c r="G182" s="211">
        <v>3.8</v>
      </c>
      <c r="H182" s="211">
        <v>3.8</v>
      </c>
      <c r="J182" s="232">
        <f t="shared" si="136"/>
        <v>38</v>
      </c>
      <c r="K182" s="232">
        <f t="shared" si="137"/>
        <v>38</v>
      </c>
      <c r="L182" s="232">
        <f t="shared" si="138"/>
        <v>38</v>
      </c>
      <c r="M182" s="232">
        <f t="shared" si="139"/>
        <v>38</v>
      </c>
      <c r="N182" s="232">
        <f t="shared" si="140"/>
        <v>38</v>
      </c>
      <c r="O182" s="232">
        <f t="shared" si="141"/>
        <v>38</v>
      </c>
      <c r="P182" s="232">
        <f t="shared" si="142"/>
        <v>38</v>
      </c>
      <c r="Q182" s="232"/>
      <c r="R182" s="232"/>
      <c r="S182" s="232"/>
      <c r="T182" s="232"/>
      <c r="U182" s="232">
        <f>IFERROR(VLOOKUP(A145,'NG2012'!$A$4:$D$24,3,FALSE)*10,0)</f>
        <v>247</v>
      </c>
      <c r="V182" s="232"/>
      <c r="W182" s="232"/>
      <c r="X182" s="232"/>
      <c r="Y182" s="232">
        <v>2770</v>
      </c>
      <c r="Z182" s="232">
        <v>3040</v>
      </c>
      <c r="AA182" s="232">
        <v>3170</v>
      </c>
      <c r="AB182" s="232">
        <v>3820</v>
      </c>
      <c r="AC182" s="232">
        <v>3820</v>
      </c>
      <c r="AD182" s="232">
        <v>5640</v>
      </c>
      <c r="AE182" s="232"/>
      <c r="AF182" s="232">
        <v>0</v>
      </c>
      <c r="AG182" s="232">
        <v>0</v>
      </c>
      <c r="AH182" s="232">
        <v>0</v>
      </c>
      <c r="AI182" s="232">
        <v>0</v>
      </c>
      <c r="AJ182" s="232">
        <v>0</v>
      </c>
      <c r="AK182" s="232">
        <v>0</v>
      </c>
    </row>
    <row r="183" ht="13.5" spans="1:37">
      <c r="A183" s="209" t="s">
        <v>86</v>
      </c>
      <c r="B183" s="217"/>
      <c r="C183" s="217"/>
      <c r="D183" s="217"/>
      <c r="E183" s="217"/>
      <c r="F183" s="217"/>
      <c r="G183" s="217"/>
      <c r="H183" s="217">
        <v>5.7</v>
      </c>
      <c r="J183" s="232">
        <f t="shared" si="136"/>
        <v>0</v>
      </c>
      <c r="K183" s="232">
        <f t="shared" si="137"/>
        <v>0</v>
      </c>
      <c r="L183" s="232">
        <f t="shared" si="138"/>
        <v>0</v>
      </c>
      <c r="M183" s="232">
        <f t="shared" si="139"/>
        <v>0</v>
      </c>
      <c r="N183" s="232">
        <f t="shared" si="140"/>
        <v>0</v>
      </c>
      <c r="O183" s="232">
        <f t="shared" si="141"/>
        <v>0</v>
      </c>
      <c r="P183" s="232">
        <f t="shared" si="142"/>
        <v>57</v>
      </c>
      <c r="Q183" s="232"/>
      <c r="R183" s="232"/>
      <c r="S183" s="232"/>
      <c r="T183" s="232"/>
      <c r="U183" s="232">
        <f>IFERROR(VLOOKUP(A146,'NG2012'!$A$4:$D$24,3,FALSE)*10,0)</f>
        <v>0</v>
      </c>
      <c r="V183" s="232"/>
      <c r="W183" s="232"/>
      <c r="X183" s="232"/>
      <c r="Y183" s="232">
        <v>30</v>
      </c>
      <c r="Z183" s="232">
        <v>30</v>
      </c>
      <c r="AA183" s="232">
        <v>30</v>
      </c>
      <c r="AB183" s="232">
        <v>30</v>
      </c>
      <c r="AC183" s="232">
        <v>940</v>
      </c>
      <c r="AD183" s="232">
        <v>920</v>
      </c>
      <c r="AE183" s="232"/>
      <c r="AF183" s="232">
        <v>10</v>
      </c>
      <c r="AG183" s="232">
        <v>10</v>
      </c>
      <c r="AH183" s="232">
        <v>10</v>
      </c>
      <c r="AI183" s="232">
        <v>7</v>
      </c>
      <c r="AJ183" s="232">
        <v>20</v>
      </c>
      <c r="AK183" s="232">
        <v>20</v>
      </c>
    </row>
    <row r="184" ht="13.5" spans="1:37">
      <c r="A184" s="209" t="s">
        <v>88</v>
      </c>
      <c r="B184" s="211"/>
      <c r="C184" s="211">
        <v>1.2</v>
      </c>
      <c r="D184" s="211">
        <v>1.2</v>
      </c>
      <c r="E184" s="211">
        <v>1.2</v>
      </c>
      <c r="F184" s="211">
        <v>8.1</v>
      </c>
      <c r="G184" s="211">
        <v>9</v>
      </c>
      <c r="H184" s="211">
        <v>9</v>
      </c>
      <c r="J184" s="232">
        <f t="shared" si="136"/>
        <v>0</v>
      </c>
      <c r="K184" s="232">
        <f t="shared" si="137"/>
        <v>12</v>
      </c>
      <c r="L184" s="232">
        <f t="shared" si="138"/>
        <v>12</v>
      </c>
      <c r="M184" s="232">
        <f t="shared" si="139"/>
        <v>12</v>
      </c>
      <c r="N184" s="232">
        <f t="shared" si="140"/>
        <v>81</v>
      </c>
      <c r="O184" s="232">
        <f t="shared" si="141"/>
        <v>90</v>
      </c>
      <c r="P184" s="232">
        <f t="shared" si="142"/>
        <v>90</v>
      </c>
      <c r="Q184" s="232"/>
      <c r="R184" s="232"/>
      <c r="S184" s="232"/>
      <c r="T184" s="232"/>
      <c r="U184" s="232">
        <f>IFERROR(VLOOKUP(A147,'NG2012'!$A$4:$D$24,3,FALSE)*10,0)</f>
        <v>824.2</v>
      </c>
      <c r="V184" s="232"/>
      <c r="W184" s="232"/>
      <c r="X184" s="232"/>
      <c r="Y184" s="232">
        <v>2790</v>
      </c>
      <c r="Z184" s="232">
        <v>2910</v>
      </c>
      <c r="AA184" s="232">
        <v>3010</v>
      </c>
      <c r="AB184" s="232">
        <v>3340</v>
      </c>
      <c r="AC184" s="232">
        <v>3480</v>
      </c>
      <c r="AD184" s="232">
        <v>3470</v>
      </c>
      <c r="AE184" s="232"/>
      <c r="AF184" s="232">
        <v>150</v>
      </c>
      <c r="AG184" s="232">
        <v>90</v>
      </c>
      <c r="AH184" s="232">
        <v>100</v>
      </c>
      <c r="AI184" s="232">
        <v>114</v>
      </c>
      <c r="AJ184" s="232">
        <v>10</v>
      </c>
      <c r="AK184" s="232">
        <v>10</v>
      </c>
    </row>
    <row r="185" ht="13.5" spans="1:37">
      <c r="A185" s="209" t="s">
        <v>208</v>
      </c>
      <c r="B185" s="211"/>
      <c r="C185" s="211"/>
      <c r="D185" s="211"/>
      <c r="E185" s="211"/>
      <c r="F185" s="211"/>
      <c r="G185" s="211">
        <v>28.2</v>
      </c>
      <c r="H185" s="211">
        <v>28.2</v>
      </c>
      <c r="J185" s="232">
        <f t="shared" si="136"/>
        <v>0</v>
      </c>
      <c r="K185" s="232">
        <f t="shared" si="137"/>
        <v>0</v>
      </c>
      <c r="L185" s="232">
        <f t="shared" si="138"/>
        <v>0</v>
      </c>
      <c r="M185" s="232">
        <f t="shared" si="139"/>
        <v>0</v>
      </c>
      <c r="N185" s="232">
        <f t="shared" si="140"/>
        <v>0</v>
      </c>
      <c r="O185" s="232">
        <f t="shared" si="141"/>
        <v>282</v>
      </c>
      <c r="P185" s="232">
        <f t="shared" si="142"/>
        <v>282</v>
      </c>
      <c r="Q185" s="232"/>
      <c r="R185" s="232"/>
      <c r="S185" s="232"/>
      <c r="T185" s="232"/>
      <c r="U185" s="232">
        <f>IFERROR(VLOOKUP(A148,'NG2012'!$A$4:$D$24,3,FALSE)*10,0)</f>
        <v>390</v>
      </c>
      <c r="V185" s="232"/>
      <c r="W185" s="232"/>
      <c r="X185" s="232"/>
      <c r="Y185" s="232">
        <v>420</v>
      </c>
      <c r="Z185" s="232">
        <v>420</v>
      </c>
      <c r="AA185" s="232">
        <v>420</v>
      </c>
      <c r="AB185" s="232">
        <v>420</v>
      </c>
      <c r="AC185" s="232">
        <v>740</v>
      </c>
      <c r="AD185" s="232">
        <v>1060</v>
      </c>
      <c r="AE185" s="232"/>
      <c r="AF185" s="232">
        <v>0</v>
      </c>
      <c r="AG185" s="232">
        <v>0</v>
      </c>
      <c r="AH185" s="232">
        <v>0</v>
      </c>
      <c r="AI185" s="232">
        <v>1</v>
      </c>
      <c r="AJ185" s="232">
        <v>1</v>
      </c>
      <c r="AK185" s="232">
        <v>3</v>
      </c>
    </row>
    <row r="186" ht="13.5" spans="1:37">
      <c r="A186" s="209" t="s">
        <v>92</v>
      </c>
      <c r="B186" s="211">
        <v>7.2</v>
      </c>
      <c r="C186" s="211">
        <v>7.2</v>
      </c>
      <c r="D186" s="211">
        <v>7.2</v>
      </c>
      <c r="E186" s="211">
        <v>7.2</v>
      </c>
      <c r="F186" s="211"/>
      <c r="G186" s="211">
        <v>30</v>
      </c>
      <c r="H186" s="211">
        <v>30</v>
      </c>
      <c r="J186" s="232">
        <f t="shared" si="136"/>
        <v>72</v>
      </c>
      <c r="K186" s="232">
        <f t="shared" si="137"/>
        <v>72</v>
      </c>
      <c r="L186" s="232">
        <f t="shared" si="138"/>
        <v>72</v>
      </c>
      <c r="M186" s="232">
        <f t="shared" si="139"/>
        <v>72</v>
      </c>
      <c r="N186" s="232">
        <f t="shared" si="140"/>
        <v>0</v>
      </c>
      <c r="O186" s="232">
        <f t="shared" si="141"/>
        <v>300</v>
      </c>
      <c r="P186" s="232">
        <f t="shared" si="142"/>
        <v>300</v>
      </c>
      <c r="Q186" s="232"/>
      <c r="R186" s="232"/>
      <c r="S186" s="232"/>
      <c r="T186" s="232"/>
      <c r="U186" s="232">
        <f>IFERROR(VLOOKUP(A149,'NG2012'!$A$4:$D$24,3,FALSE)*10,0)</f>
        <v>300</v>
      </c>
      <c r="V186" s="232"/>
      <c r="W186" s="232"/>
      <c r="X186" s="232"/>
      <c r="Y186" s="232">
        <v>40</v>
      </c>
      <c r="Z186" s="232">
        <v>50</v>
      </c>
      <c r="AA186" s="232">
        <v>50</v>
      </c>
      <c r="AB186" s="232">
        <v>60</v>
      </c>
      <c r="AC186" s="232">
        <v>60</v>
      </c>
      <c r="AD186" s="232">
        <v>30</v>
      </c>
      <c r="AE186" s="232"/>
      <c r="AF186" s="232">
        <v>0</v>
      </c>
      <c r="AG186" s="232">
        <v>0</v>
      </c>
      <c r="AH186" s="232">
        <v>0</v>
      </c>
      <c r="AI186" s="232">
        <v>0</v>
      </c>
      <c r="AJ186" s="232">
        <v>20</v>
      </c>
      <c r="AK186" s="232">
        <v>30</v>
      </c>
    </row>
    <row r="187" ht="13.5" spans="1:37">
      <c r="A187" s="209" t="s">
        <v>94</v>
      </c>
      <c r="B187" s="211"/>
      <c r="C187" s="211">
        <v>0.6</v>
      </c>
      <c r="D187" s="211">
        <v>0.6</v>
      </c>
      <c r="E187" s="211">
        <v>0.6</v>
      </c>
      <c r="F187" s="211">
        <v>5</v>
      </c>
      <c r="G187" s="211">
        <v>5</v>
      </c>
      <c r="H187" s="211">
        <v>5</v>
      </c>
      <c r="J187" s="232">
        <f t="shared" si="136"/>
        <v>0</v>
      </c>
      <c r="K187" s="232">
        <f t="shared" si="137"/>
        <v>6</v>
      </c>
      <c r="L187" s="232">
        <f t="shared" si="138"/>
        <v>6</v>
      </c>
      <c r="M187" s="232">
        <f t="shared" si="139"/>
        <v>6</v>
      </c>
      <c r="N187" s="232">
        <f t="shared" si="140"/>
        <v>50</v>
      </c>
      <c r="O187" s="232">
        <f t="shared" si="141"/>
        <v>50</v>
      </c>
      <c r="P187" s="232">
        <f t="shared" si="142"/>
        <v>50</v>
      </c>
      <c r="Q187" s="232"/>
      <c r="R187" s="232"/>
      <c r="S187" s="232"/>
      <c r="T187" s="232"/>
      <c r="U187" s="232">
        <f>IFERROR(VLOOKUP(A150,'NG2012'!$A$4:$D$24,3,FALSE)*10,0)</f>
        <v>50</v>
      </c>
      <c r="V187" s="232"/>
      <c r="W187" s="232"/>
      <c r="X187" s="232"/>
      <c r="Y187" s="232">
        <v>0</v>
      </c>
      <c r="Z187" s="232">
        <v>5</v>
      </c>
      <c r="AA187" s="232">
        <v>5</v>
      </c>
      <c r="AB187" s="232">
        <v>10</v>
      </c>
      <c r="AC187" s="232">
        <v>10</v>
      </c>
      <c r="AD187" s="232">
        <v>20</v>
      </c>
      <c r="AE187" s="232"/>
      <c r="AF187" s="232">
        <v>0</v>
      </c>
      <c r="AG187" s="232">
        <v>3</v>
      </c>
      <c r="AH187" s="232">
        <v>3</v>
      </c>
      <c r="AI187" s="232">
        <v>3</v>
      </c>
      <c r="AJ187" s="232">
        <v>10</v>
      </c>
      <c r="AK187" s="232">
        <v>10</v>
      </c>
    </row>
    <row r="188" ht="13.5" spans="1:37">
      <c r="A188" s="209" t="s">
        <v>96</v>
      </c>
      <c r="B188" s="211">
        <v>10.9</v>
      </c>
      <c r="C188" s="211">
        <v>8.5</v>
      </c>
      <c r="D188" s="211">
        <v>8.5</v>
      </c>
      <c r="E188" s="211">
        <v>8.5</v>
      </c>
      <c r="F188" s="211">
        <v>8.5</v>
      </c>
      <c r="G188" s="211">
        <v>8.5</v>
      </c>
      <c r="H188" s="211">
        <v>9.75</v>
      </c>
      <c r="J188" s="232">
        <f t="shared" si="136"/>
        <v>109</v>
      </c>
      <c r="K188" s="232">
        <f t="shared" si="137"/>
        <v>85</v>
      </c>
      <c r="L188" s="232">
        <f t="shared" si="138"/>
        <v>85</v>
      </c>
      <c r="M188" s="232">
        <f t="shared" si="139"/>
        <v>85</v>
      </c>
      <c r="N188" s="232">
        <f t="shared" si="140"/>
        <v>85</v>
      </c>
      <c r="O188" s="232">
        <f t="shared" si="141"/>
        <v>85</v>
      </c>
      <c r="P188" s="232">
        <f t="shared" si="142"/>
        <v>97.5</v>
      </c>
      <c r="Q188" s="232"/>
      <c r="R188" s="232"/>
      <c r="S188" s="232"/>
      <c r="T188" s="232"/>
      <c r="U188" s="232">
        <f>IFERROR(VLOOKUP(A151,'NG2012'!$A$4:$D$24,3,FALSE)*10,0)</f>
        <v>0</v>
      </c>
      <c r="V188" s="232"/>
      <c r="W188" s="232"/>
      <c r="X188" s="232"/>
      <c r="Y188" s="232">
        <v>120</v>
      </c>
      <c r="Z188" s="232">
        <v>120</v>
      </c>
      <c r="AA188" s="232">
        <v>120</v>
      </c>
      <c r="AB188" s="232">
        <v>120</v>
      </c>
      <c r="AC188" s="232">
        <v>140</v>
      </c>
      <c r="AD188" s="232">
        <v>150</v>
      </c>
      <c r="AE188" s="232"/>
      <c r="AF188" s="232">
        <v>0</v>
      </c>
      <c r="AG188" s="232">
        <v>4</v>
      </c>
      <c r="AH188" s="232">
        <v>4</v>
      </c>
      <c r="AI188" s="232">
        <v>6</v>
      </c>
      <c r="AJ188" s="232">
        <v>20</v>
      </c>
      <c r="AK188" s="232">
        <v>20</v>
      </c>
    </row>
    <row r="189" ht="13.5" spans="1:37">
      <c r="A189" s="209" t="s">
        <v>98</v>
      </c>
      <c r="B189" s="211">
        <v>54.97</v>
      </c>
      <c r="C189" s="211">
        <v>54.97</v>
      </c>
      <c r="D189" s="211">
        <v>54.97</v>
      </c>
      <c r="E189" s="211">
        <v>54.97</v>
      </c>
      <c r="F189" s="211">
        <v>163.57</v>
      </c>
      <c r="G189" s="211">
        <v>283.57</v>
      </c>
      <c r="H189" s="211">
        <v>283.57</v>
      </c>
      <c r="J189" s="232">
        <f t="shared" si="136"/>
        <v>549.7</v>
      </c>
      <c r="K189" s="232">
        <f t="shared" si="137"/>
        <v>549.7</v>
      </c>
      <c r="L189" s="232">
        <f t="shared" si="138"/>
        <v>549.7</v>
      </c>
      <c r="M189" s="232">
        <f t="shared" si="139"/>
        <v>549.7</v>
      </c>
      <c r="N189" s="232">
        <f t="shared" si="140"/>
        <v>1635.7</v>
      </c>
      <c r="O189" s="232">
        <f t="shared" si="141"/>
        <v>2835.7</v>
      </c>
      <c r="P189" s="232">
        <f t="shared" si="142"/>
        <v>2835.7</v>
      </c>
      <c r="Q189" s="232"/>
      <c r="R189" s="232"/>
      <c r="S189" s="232"/>
      <c r="T189" s="232"/>
      <c r="U189" s="232">
        <f>IFERROR(VLOOKUP(A152,'NG2012'!$A$4:$D$24,3,FALSE)*10,0)</f>
        <v>5112.6</v>
      </c>
      <c r="V189" s="232"/>
      <c r="W189" s="232"/>
      <c r="X189" s="232"/>
      <c r="Y189" s="232">
        <v>5700</v>
      </c>
      <c r="Z189" s="232">
        <v>5730</v>
      </c>
      <c r="AA189" s="232">
        <v>6620</v>
      </c>
      <c r="AB189" s="232">
        <v>7650</v>
      </c>
      <c r="AC189" s="232">
        <v>7660</v>
      </c>
      <c r="AD189" s="232">
        <v>8140</v>
      </c>
      <c r="AE189" s="232"/>
      <c r="AF189" s="232">
        <v>20</v>
      </c>
      <c r="AG189" s="232">
        <v>20</v>
      </c>
      <c r="AH189" s="232">
        <v>20</v>
      </c>
      <c r="AI189" s="232">
        <v>18</v>
      </c>
      <c r="AJ189" s="232">
        <v>20</v>
      </c>
      <c r="AK189" s="232">
        <v>30</v>
      </c>
    </row>
    <row r="190" ht="13.5" spans="1:37">
      <c r="A190" s="209" t="s">
        <v>100</v>
      </c>
      <c r="B190" s="211">
        <v>6.759</v>
      </c>
      <c r="C190" s="211">
        <v>55.04</v>
      </c>
      <c r="D190" s="211">
        <v>66.67</v>
      </c>
      <c r="E190" s="211">
        <v>66.67</v>
      </c>
      <c r="F190" s="211">
        <v>302.67</v>
      </c>
      <c r="G190" s="211">
        <v>358</v>
      </c>
      <c r="H190" s="211">
        <v>396</v>
      </c>
      <c r="J190" s="232">
        <f t="shared" si="136"/>
        <v>67.59</v>
      </c>
      <c r="K190" s="232">
        <f t="shared" si="137"/>
        <v>550.4</v>
      </c>
      <c r="L190" s="232">
        <f t="shared" si="138"/>
        <v>666.7</v>
      </c>
      <c r="M190" s="232">
        <f t="shared" si="139"/>
        <v>666.7</v>
      </c>
      <c r="N190" s="232">
        <f t="shared" si="140"/>
        <v>3026.7</v>
      </c>
      <c r="O190" s="232">
        <f t="shared" si="141"/>
        <v>3580</v>
      </c>
      <c r="P190" s="232">
        <f t="shared" si="142"/>
        <v>3960</v>
      </c>
      <c r="Q190" s="232"/>
      <c r="R190" s="232"/>
      <c r="S190" s="232"/>
      <c r="T190" s="232"/>
      <c r="U190" s="232">
        <f>IFERROR(VLOOKUP(A153,'NG2012'!$A$4:$D$24,3,FALSE)*10,0)</f>
        <v>6461</v>
      </c>
      <c r="V190" s="232"/>
      <c r="W190" s="232"/>
      <c r="X190" s="232"/>
      <c r="Y190" s="232">
        <v>9570</v>
      </c>
      <c r="Z190" s="232">
        <v>13480</v>
      </c>
      <c r="AA190" s="232">
        <v>15020</v>
      </c>
      <c r="AB190" s="232">
        <v>16100</v>
      </c>
      <c r="AC190" s="232">
        <v>17000</v>
      </c>
      <c r="AD190" s="232">
        <v>19150</v>
      </c>
      <c r="AE190" s="232"/>
      <c r="AF190" s="232">
        <v>20</v>
      </c>
      <c r="AG190" s="232">
        <v>40</v>
      </c>
      <c r="AH190" s="232">
        <v>70</v>
      </c>
      <c r="AI190" s="232">
        <v>68</v>
      </c>
      <c r="AJ190" s="232">
        <v>80</v>
      </c>
      <c r="AK190" s="232">
        <v>90</v>
      </c>
    </row>
    <row r="191" ht="13.5" spans="1:37">
      <c r="A191" s="209" t="s">
        <v>102</v>
      </c>
      <c r="B191" s="211">
        <v>83.7</v>
      </c>
      <c r="C191" s="211">
        <v>80.3</v>
      </c>
      <c r="D191" s="211">
        <v>85.64</v>
      </c>
      <c r="E191" s="211">
        <v>85.64</v>
      </c>
      <c r="F191" s="211">
        <v>235.37</v>
      </c>
      <c r="G191" s="211">
        <v>213.47</v>
      </c>
      <c r="H191" s="211">
        <v>366.79</v>
      </c>
      <c r="J191" s="232">
        <f t="shared" si="136"/>
        <v>837</v>
      </c>
      <c r="K191" s="232">
        <f t="shared" si="137"/>
        <v>803</v>
      </c>
      <c r="L191" s="232">
        <f t="shared" si="138"/>
        <v>856.4</v>
      </c>
      <c r="M191" s="232">
        <f t="shared" si="139"/>
        <v>856.4</v>
      </c>
      <c r="N191" s="232">
        <f t="shared" si="140"/>
        <v>2353.7</v>
      </c>
      <c r="O191" s="232">
        <f t="shared" si="141"/>
        <v>2134.7</v>
      </c>
      <c r="P191" s="232">
        <f t="shared" si="142"/>
        <v>3667.9</v>
      </c>
      <c r="Q191" s="232"/>
      <c r="R191" s="232"/>
      <c r="S191" s="232"/>
      <c r="T191" s="232"/>
      <c r="U191" s="232">
        <f>IFERROR(VLOOKUP(A154,'NG2012'!$A$4:$D$24,3,FALSE)*10,0)</f>
        <v>4812.8</v>
      </c>
      <c r="V191" s="232"/>
      <c r="W191" s="232"/>
      <c r="X191" s="232"/>
      <c r="Y191" s="232">
        <v>12280</v>
      </c>
      <c r="Z191" s="232">
        <v>12300</v>
      </c>
      <c r="AA191" s="232">
        <v>12590</v>
      </c>
      <c r="AB191" s="232">
        <v>12610</v>
      </c>
      <c r="AC191" s="232">
        <v>12620</v>
      </c>
      <c r="AD191" s="232">
        <v>12630</v>
      </c>
      <c r="AE191" s="232"/>
      <c r="AF191" s="232">
        <v>10</v>
      </c>
      <c r="AG191" s="232">
        <v>40</v>
      </c>
      <c r="AH191" s="232">
        <v>50</v>
      </c>
      <c r="AI191" s="232">
        <v>56</v>
      </c>
      <c r="AJ191" s="232">
        <v>60</v>
      </c>
      <c r="AK191" s="232">
        <v>70</v>
      </c>
    </row>
    <row r="192" ht="13.5" spans="1:37">
      <c r="A192" s="209" t="s">
        <v>104</v>
      </c>
      <c r="B192" s="211">
        <v>11.44</v>
      </c>
      <c r="C192" s="211">
        <v>7.6</v>
      </c>
      <c r="D192" s="211">
        <v>7.6</v>
      </c>
      <c r="E192" s="211">
        <v>7.6</v>
      </c>
      <c r="F192" s="211">
        <v>7.6</v>
      </c>
      <c r="G192" s="211">
        <v>8.2</v>
      </c>
      <c r="H192" s="211">
        <v>15.9</v>
      </c>
      <c r="J192" s="232">
        <f t="shared" si="136"/>
        <v>114.4</v>
      </c>
      <c r="K192" s="232">
        <f t="shared" si="137"/>
        <v>76</v>
      </c>
      <c r="L192" s="232">
        <f t="shared" si="138"/>
        <v>76</v>
      </c>
      <c r="M192" s="232">
        <f t="shared" si="139"/>
        <v>76</v>
      </c>
      <c r="N192" s="232">
        <f t="shared" si="140"/>
        <v>76</v>
      </c>
      <c r="O192" s="232">
        <f t="shared" si="141"/>
        <v>82</v>
      </c>
      <c r="P192" s="232">
        <f t="shared" si="142"/>
        <v>159</v>
      </c>
      <c r="Q192" s="232"/>
      <c r="R192" s="232"/>
      <c r="S192" s="232"/>
      <c r="T192" s="232"/>
      <c r="U192" s="232">
        <f>IFERROR(VLOOKUP(A155,'NG2012'!$A$4:$D$24,3,FALSE)*10,0)</f>
        <v>0</v>
      </c>
      <c r="V192" s="232"/>
      <c r="W192" s="232"/>
      <c r="X192" s="232"/>
      <c r="Y192" s="232">
        <v>110</v>
      </c>
      <c r="Z192" s="232">
        <v>120</v>
      </c>
      <c r="AA192" s="232">
        <v>140</v>
      </c>
      <c r="AB192" s="232">
        <v>140</v>
      </c>
      <c r="AC192" s="232">
        <v>140</v>
      </c>
      <c r="AD192" s="232">
        <v>130</v>
      </c>
      <c r="AE192" s="232"/>
      <c r="AF192" s="232">
        <v>10</v>
      </c>
      <c r="AG192" s="232">
        <v>10</v>
      </c>
      <c r="AH192" s="232">
        <v>10</v>
      </c>
      <c r="AI192" s="232">
        <v>13</v>
      </c>
      <c r="AJ192" s="232">
        <v>0</v>
      </c>
      <c r="AK192" s="232">
        <v>20</v>
      </c>
    </row>
    <row r="193" ht="13.5" spans="1:37">
      <c r="A193" s="209" t="s">
        <v>106</v>
      </c>
      <c r="B193" s="211">
        <v>10</v>
      </c>
      <c r="C193" s="211">
        <v>10.8</v>
      </c>
      <c r="D193" s="211">
        <v>10.8</v>
      </c>
      <c r="E193" s="211">
        <v>10.8</v>
      </c>
      <c r="F193" s="211">
        <v>10</v>
      </c>
      <c r="G193" s="211">
        <v>10</v>
      </c>
      <c r="H193" s="211">
        <v>0</v>
      </c>
      <c r="J193" s="232">
        <f t="shared" si="136"/>
        <v>100</v>
      </c>
      <c r="K193" s="232">
        <f t="shared" si="137"/>
        <v>108</v>
      </c>
      <c r="L193" s="232">
        <f t="shared" si="138"/>
        <v>108</v>
      </c>
      <c r="M193" s="232">
        <f t="shared" si="139"/>
        <v>108</v>
      </c>
      <c r="N193" s="232">
        <f t="shared" si="140"/>
        <v>100</v>
      </c>
      <c r="O193" s="232">
        <f t="shared" si="141"/>
        <v>100</v>
      </c>
      <c r="P193" s="232">
        <f t="shared" si="142"/>
        <v>0</v>
      </c>
      <c r="Q193" s="232"/>
      <c r="R193" s="232"/>
      <c r="S193" s="232"/>
      <c r="T193" s="232"/>
      <c r="U193" s="232">
        <f>IFERROR(VLOOKUP(A156,'NG2012'!$A$4:$D$24,3,FALSE)*10,0)</f>
        <v>4058</v>
      </c>
      <c r="V193" s="232"/>
      <c r="W193" s="232"/>
      <c r="X193" s="232"/>
      <c r="Y193" s="232">
        <v>3870</v>
      </c>
      <c r="Z193" s="232">
        <v>3900</v>
      </c>
      <c r="AA193" s="232">
        <v>3910</v>
      </c>
      <c r="AB193" s="232">
        <v>3910</v>
      </c>
      <c r="AC193" s="232">
        <v>3910</v>
      </c>
      <c r="AD193" s="232">
        <v>3930</v>
      </c>
      <c r="AE193" s="232"/>
      <c r="AF193" s="232">
        <v>10</v>
      </c>
      <c r="AG193" s="232">
        <v>4</v>
      </c>
      <c r="AH193" s="232">
        <v>6</v>
      </c>
      <c r="AI193" s="232">
        <v>10</v>
      </c>
      <c r="AJ193" s="232">
        <v>20</v>
      </c>
      <c r="AK193" s="232">
        <v>30</v>
      </c>
    </row>
    <row r="194" ht="13.5" spans="1:37">
      <c r="A194" s="209" t="s">
        <v>108</v>
      </c>
      <c r="B194" s="211"/>
      <c r="C194" s="211"/>
      <c r="D194" s="211"/>
      <c r="E194" s="211"/>
      <c r="F194" s="211"/>
      <c r="G194" s="211">
        <v>50</v>
      </c>
      <c r="H194" s="211">
        <v>50</v>
      </c>
      <c r="J194" s="232">
        <f t="shared" si="136"/>
        <v>0</v>
      </c>
      <c r="K194" s="232">
        <f t="shared" si="137"/>
        <v>0</v>
      </c>
      <c r="L194" s="232">
        <f t="shared" si="138"/>
        <v>0</v>
      </c>
      <c r="M194" s="232">
        <f t="shared" si="139"/>
        <v>0</v>
      </c>
      <c r="N194" s="232">
        <f t="shared" si="140"/>
        <v>0</v>
      </c>
      <c r="O194" s="232">
        <f t="shared" si="141"/>
        <v>500</v>
      </c>
      <c r="P194" s="232">
        <f t="shared" si="142"/>
        <v>500</v>
      </c>
      <c r="Q194" s="232"/>
      <c r="R194" s="232"/>
      <c r="S194" s="232"/>
      <c r="T194" s="232"/>
      <c r="U194" s="232">
        <f>IFERROR(VLOOKUP(A157,'NG2012'!$A$4:$D$24,3,FALSE)*10,0)</f>
        <v>0</v>
      </c>
      <c r="V194" s="232"/>
      <c r="W194" s="232"/>
      <c r="X194" s="232"/>
      <c r="Y194" s="232">
        <v>100</v>
      </c>
      <c r="Z194" s="232">
        <v>100</v>
      </c>
      <c r="AA194" s="232">
        <v>100</v>
      </c>
      <c r="AB194" s="232">
        <v>130</v>
      </c>
      <c r="AC194" s="232">
        <v>140</v>
      </c>
      <c r="AD194" s="232">
        <v>140</v>
      </c>
      <c r="AE194" s="232"/>
      <c r="AF194" s="232">
        <v>0</v>
      </c>
      <c r="AG194" s="232">
        <v>10</v>
      </c>
      <c r="AH194" s="232">
        <v>10</v>
      </c>
      <c r="AI194" s="232">
        <v>31</v>
      </c>
      <c r="AJ194" s="232">
        <v>40</v>
      </c>
      <c r="AK194" s="232">
        <v>40</v>
      </c>
    </row>
    <row r="195" ht="13.5" spans="1:37">
      <c r="A195" s="209" t="s">
        <v>110</v>
      </c>
      <c r="B195" s="211"/>
      <c r="C195" s="211">
        <v>10.6</v>
      </c>
      <c r="D195" s="211">
        <v>10.6</v>
      </c>
      <c r="E195" s="211">
        <v>10.6</v>
      </c>
      <c r="F195" s="211">
        <v>5.6</v>
      </c>
      <c r="G195" s="211">
        <v>5.6</v>
      </c>
      <c r="H195" s="211">
        <v>5.6</v>
      </c>
      <c r="J195" s="232">
        <f t="shared" si="136"/>
        <v>0</v>
      </c>
      <c r="K195" s="232">
        <f t="shared" si="137"/>
        <v>106</v>
      </c>
      <c r="L195" s="232">
        <f t="shared" si="138"/>
        <v>106</v>
      </c>
      <c r="M195" s="232">
        <f t="shared" si="139"/>
        <v>106</v>
      </c>
      <c r="N195" s="232">
        <f t="shared" si="140"/>
        <v>56</v>
      </c>
      <c r="O195" s="232">
        <f t="shared" si="141"/>
        <v>56</v>
      </c>
      <c r="P195" s="232">
        <f t="shared" si="142"/>
        <v>56</v>
      </c>
      <c r="Q195" s="232"/>
      <c r="R195" s="232"/>
      <c r="S195" s="232"/>
      <c r="T195" s="232"/>
      <c r="U195" s="232">
        <f>IFERROR(VLOOKUP(A158,'NG2012'!$A$4:$D$24,3,FALSE)*10,0)</f>
        <v>459.6</v>
      </c>
      <c r="V195" s="232"/>
      <c r="W195" s="232"/>
      <c r="X195" s="232"/>
      <c r="Y195" s="232">
        <v>60</v>
      </c>
      <c r="Z195" s="232">
        <v>50</v>
      </c>
      <c r="AA195" s="232">
        <v>80</v>
      </c>
      <c r="AB195" s="232">
        <v>80</v>
      </c>
      <c r="AC195" s="232">
        <v>110</v>
      </c>
      <c r="AD195" s="232">
        <v>120</v>
      </c>
      <c r="AE195" s="232"/>
      <c r="AF195" s="232">
        <v>60</v>
      </c>
      <c r="AG195" s="232">
        <v>50</v>
      </c>
      <c r="AH195" s="232">
        <v>80</v>
      </c>
      <c r="AI195" s="232">
        <v>67</v>
      </c>
      <c r="AJ195" s="232">
        <v>100</v>
      </c>
      <c r="AK195" s="232">
        <v>110</v>
      </c>
    </row>
    <row r="196" ht="13.5" spans="1:37">
      <c r="A196" s="209" t="s">
        <v>112</v>
      </c>
      <c r="B196" s="211">
        <v>7.6</v>
      </c>
      <c r="C196" s="211">
        <v>22.3</v>
      </c>
      <c r="D196" s="211">
        <v>22.3</v>
      </c>
      <c r="E196" s="211">
        <v>22.3</v>
      </c>
      <c r="F196" s="211"/>
      <c r="G196" s="211"/>
      <c r="H196" s="211">
        <v>117</v>
      </c>
      <c r="J196" s="232">
        <f t="shared" si="136"/>
        <v>76</v>
      </c>
      <c r="K196" s="232">
        <f t="shared" si="137"/>
        <v>223</v>
      </c>
      <c r="L196" s="232">
        <f t="shared" si="138"/>
        <v>223</v>
      </c>
      <c r="M196" s="232">
        <f t="shared" si="139"/>
        <v>223</v>
      </c>
      <c r="N196" s="232">
        <f t="shared" si="140"/>
        <v>0</v>
      </c>
      <c r="O196" s="232">
        <f t="shared" si="141"/>
        <v>0</v>
      </c>
      <c r="P196" s="232">
        <f t="shared" si="142"/>
        <v>1170</v>
      </c>
      <c r="Q196" s="232"/>
      <c r="R196" s="232"/>
      <c r="S196" s="232"/>
      <c r="T196" s="232"/>
      <c r="U196" s="232">
        <f>IFERROR(VLOOKUP(A159,'NG2012'!$A$4:$D$24,3,FALSE)*10,0)</f>
        <v>1560</v>
      </c>
      <c r="V196" s="232"/>
      <c r="W196" s="232"/>
      <c r="X196" s="232"/>
      <c r="Y196" s="232">
        <v>1610</v>
      </c>
      <c r="Z196" s="232">
        <v>1640</v>
      </c>
      <c r="AA196" s="232">
        <v>2290</v>
      </c>
      <c r="AB196" s="232">
        <v>2950</v>
      </c>
      <c r="AC196" s="232">
        <v>3440</v>
      </c>
      <c r="AD196" s="232">
        <v>3440</v>
      </c>
      <c r="AE196" s="232"/>
      <c r="AF196" s="232">
        <v>0</v>
      </c>
      <c r="AG196" s="232">
        <v>40</v>
      </c>
      <c r="AH196" s="232">
        <v>40</v>
      </c>
      <c r="AI196" s="232">
        <v>36</v>
      </c>
      <c r="AJ196" s="232">
        <v>90</v>
      </c>
      <c r="AK196" s="232">
        <v>90</v>
      </c>
    </row>
    <row r="197" ht="13.5" spans="1:37">
      <c r="A197" s="209" t="s">
        <v>114</v>
      </c>
      <c r="B197" s="211"/>
      <c r="C197" s="211">
        <v>12</v>
      </c>
      <c r="D197" s="211">
        <v>12</v>
      </c>
      <c r="E197" s="211">
        <v>12</v>
      </c>
      <c r="F197" s="211">
        <v>12.3</v>
      </c>
      <c r="G197" s="211">
        <v>18.85</v>
      </c>
      <c r="H197" s="211">
        <v>18.85</v>
      </c>
      <c r="J197" s="232">
        <f t="shared" si="136"/>
        <v>0</v>
      </c>
      <c r="K197" s="232">
        <f t="shared" si="137"/>
        <v>120</v>
      </c>
      <c r="L197" s="232">
        <f t="shared" si="138"/>
        <v>120</v>
      </c>
      <c r="M197" s="232">
        <f t="shared" si="139"/>
        <v>120</v>
      </c>
      <c r="N197" s="232">
        <f t="shared" si="140"/>
        <v>123</v>
      </c>
      <c r="O197" s="232">
        <f t="shared" si="141"/>
        <v>188.5</v>
      </c>
      <c r="P197" s="232">
        <f t="shared" si="142"/>
        <v>188.5</v>
      </c>
      <c r="Q197" s="232"/>
      <c r="R197" s="232"/>
      <c r="S197" s="232"/>
      <c r="T197" s="232"/>
      <c r="U197" s="232">
        <f>IFERROR(VLOOKUP(A160,'NG2012'!$A$4:$D$24,3,FALSE)*10,0)</f>
        <v>361.5</v>
      </c>
      <c r="V197" s="232"/>
      <c r="W197" s="232"/>
      <c r="X197" s="232"/>
      <c r="Y197" s="232">
        <v>760</v>
      </c>
      <c r="Z197" s="232">
        <v>960</v>
      </c>
      <c r="AA197" s="232">
        <v>940</v>
      </c>
      <c r="AB197" s="232">
        <v>1010</v>
      </c>
      <c r="AC197" s="232">
        <v>1120</v>
      </c>
      <c r="AD197" s="232">
        <v>1380</v>
      </c>
      <c r="AE197" s="232"/>
      <c r="AF197" s="232">
        <v>10</v>
      </c>
      <c r="AG197" s="232">
        <v>10</v>
      </c>
      <c r="AH197" s="232">
        <v>20</v>
      </c>
      <c r="AI197" s="232">
        <v>33</v>
      </c>
      <c r="AJ197" s="232">
        <v>40</v>
      </c>
      <c r="AK197" s="232">
        <v>50</v>
      </c>
    </row>
    <row r="198" ht="13.5" spans="1:37">
      <c r="A198" s="209" t="s">
        <v>116</v>
      </c>
      <c r="B198" s="211"/>
      <c r="C198" s="211">
        <v>3</v>
      </c>
      <c r="D198" s="211">
        <v>3</v>
      </c>
      <c r="E198" s="211">
        <v>3</v>
      </c>
      <c r="F198" s="211">
        <v>7.2</v>
      </c>
      <c r="G198" s="211">
        <v>10.8</v>
      </c>
      <c r="H198" s="211">
        <v>13.65</v>
      </c>
      <c r="J198" s="232">
        <f t="shared" si="136"/>
        <v>0</v>
      </c>
      <c r="K198" s="232">
        <f t="shared" si="137"/>
        <v>30</v>
      </c>
      <c r="L198" s="232">
        <f t="shared" si="138"/>
        <v>30</v>
      </c>
      <c r="M198" s="232">
        <f t="shared" si="139"/>
        <v>30</v>
      </c>
      <c r="N198" s="232">
        <f t="shared" si="140"/>
        <v>72</v>
      </c>
      <c r="O198" s="232">
        <f t="shared" si="141"/>
        <v>108</v>
      </c>
      <c r="P198" s="232">
        <f t="shared" si="142"/>
        <v>136.5</v>
      </c>
      <c r="Q198" s="232"/>
      <c r="R198" s="232"/>
      <c r="S198" s="232"/>
      <c r="T198" s="232"/>
      <c r="U198" s="232">
        <f>IFERROR(VLOOKUP(A161,'NG2012'!$A$4:$D$24,3,FALSE)*10,0)</f>
        <v>0</v>
      </c>
      <c r="V198" s="232"/>
      <c r="W198" s="232"/>
      <c r="X198" s="232"/>
      <c r="Y198" s="232">
        <v>100</v>
      </c>
      <c r="Z198" s="232">
        <v>30</v>
      </c>
      <c r="AA198" s="232">
        <v>70</v>
      </c>
      <c r="AB198" s="232">
        <v>80</v>
      </c>
      <c r="AC198" s="232">
        <v>80</v>
      </c>
      <c r="AD198" s="232">
        <v>110</v>
      </c>
      <c r="AE198" s="232"/>
      <c r="AF198" s="232">
        <v>90</v>
      </c>
      <c r="AG198" s="232">
        <v>10</v>
      </c>
      <c r="AH198" s="232">
        <v>30</v>
      </c>
      <c r="AI198" s="232">
        <v>27</v>
      </c>
      <c r="AJ198" s="232">
        <v>60</v>
      </c>
      <c r="AK198" s="232">
        <v>90</v>
      </c>
    </row>
    <row r="199" ht="13.5" spans="1:37">
      <c r="A199" s="209" t="s">
        <v>118</v>
      </c>
      <c r="B199" s="211">
        <v>265.194</v>
      </c>
      <c r="C199" s="211">
        <v>288.83</v>
      </c>
      <c r="D199" s="211">
        <v>329.13</v>
      </c>
      <c r="E199" s="211">
        <v>329.13</v>
      </c>
      <c r="F199" s="211">
        <v>441.49</v>
      </c>
      <c r="G199" s="211">
        <v>655.99</v>
      </c>
      <c r="H199" s="211">
        <v>877.24</v>
      </c>
      <c r="J199" s="232">
        <f t="shared" si="136"/>
        <v>2651.94</v>
      </c>
      <c r="K199" s="232">
        <f t="shared" si="137"/>
        <v>2888.3</v>
      </c>
      <c r="L199" s="232">
        <f t="shared" si="138"/>
        <v>3291.3</v>
      </c>
      <c r="M199" s="232">
        <f t="shared" si="139"/>
        <v>3291.3</v>
      </c>
      <c r="N199" s="232">
        <f t="shared" si="140"/>
        <v>4414.9</v>
      </c>
      <c r="O199" s="232">
        <f t="shared" si="141"/>
        <v>6559.9</v>
      </c>
      <c r="P199" s="232">
        <f t="shared" si="142"/>
        <v>8772.4</v>
      </c>
      <c r="Q199" s="232"/>
      <c r="R199" s="232"/>
      <c r="S199" s="232"/>
      <c r="T199" s="232"/>
      <c r="U199" s="232">
        <f>IFERROR(VLOOKUP(A162,'NG2012'!$A$4:$D$24,3,FALSE)*10,0)</f>
        <v>10856.3</v>
      </c>
      <c r="V199" s="232"/>
      <c r="W199" s="232"/>
      <c r="X199" s="232"/>
      <c r="Y199" s="232">
        <v>15690</v>
      </c>
      <c r="Z199" s="232">
        <v>15710</v>
      </c>
      <c r="AA199" s="232">
        <v>19630</v>
      </c>
      <c r="AB199" s="232">
        <v>22170</v>
      </c>
      <c r="AC199" s="232">
        <v>26960</v>
      </c>
      <c r="AD199" s="232">
        <v>30800</v>
      </c>
      <c r="AE199" s="232"/>
      <c r="AF199" s="232">
        <v>40</v>
      </c>
      <c r="AG199" s="232">
        <v>70</v>
      </c>
      <c r="AH199" s="232">
        <v>90</v>
      </c>
      <c r="AI199" s="232">
        <v>133</v>
      </c>
      <c r="AJ199" s="232">
        <v>160</v>
      </c>
      <c r="AK199" s="232">
        <v>260</v>
      </c>
    </row>
    <row r="200" ht="13.5" spans="1:37">
      <c r="A200" s="209" t="s">
        <v>819</v>
      </c>
      <c r="B200" s="215">
        <v>8.208</v>
      </c>
      <c r="C200" s="215"/>
      <c r="D200" s="215"/>
      <c r="E200" s="215"/>
      <c r="F200" s="215"/>
      <c r="G200" s="215"/>
      <c r="H200" s="215"/>
      <c r="J200" s="232">
        <f t="shared" si="136"/>
        <v>82.08</v>
      </c>
      <c r="K200" s="232">
        <f t="shared" si="137"/>
        <v>0</v>
      </c>
      <c r="L200" s="232">
        <f t="shared" si="138"/>
        <v>0</v>
      </c>
      <c r="M200" s="232">
        <f t="shared" si="139"/>
        <v>0</v>
      </c>
      <c r="N200" s="232">
        <f t="shared" si="140"/>
        <v>0</v>
      </c>
      <c r="O200" s="232">
        <f t="shared" si="141"/>
        <v>0</v>
      </c>
      <c r="P200" s="232">
        <f t="shared" si="142"/>
        <v>0</v>
      </c>
      <c r="Q200" s="232"/>
      <c r="R200" s="232"/>
      <c r="S200" s="232"/>
      <c r="T200" s="232"/>
      <c r="U200" s="232">
        <f>IFERROR(VLOOKUP(A163,'NG2012'!$A$4:$D$24,3,FALSE)*10,0)</f>
        <v>0</v>
      </c>
      <c r="V200" s="232"/>
      <c r="W200" s="232"/>
      <c r="X200" s="232"/>
      <c r="Y200" s="232">
        <v>120</v>
      </c>
      <c r="Z200" s="232">
        <v>350</v>
      </c>
      <c r="AA200" s="232">
        <v>350</v>
      </c>
      <c r="AB200" s="232">
        <v>350</v>
      </c>
      <c r="AC200" s="232">
        <v>540</v>
      </c>
      <c r="AD200" s="232">
        <v>530</v>
      </c>
      <c r="AE200" s="232"/>
      <c r="AF200" s="232">
        <v>0</v>
      </c>
      <c r="AG200" s="232">
        <v>20</v>
      </c>
      <c r="AH200" s="232">
        <v>20</v>
      </c>
      <c r="AI200" s="232">
        <v>18</v>
      </c>
      <c r="AJ200" s="232">
        <v>30</v>
      </c>
      <c r="AK200" s="232">
        <v>20</v>
      </c>
    </row>
    <row r="201" ht="13.5" spans="1:37">
      <c r="A201" s="209" t="s">
        <v>122</v>
      </c>
      <c r="B201" s="211">
        <v>56.839</v>
      </c>
      <c r="C201" s="211">
        <v>22.69</v>
      </c>
      <c r="D201" s="211">
        <v>22.69</v>
      </c>
      <c r="E201" s="211">
        <v>22.69</v>
      </c>
      <c r="F201" s="211">
        <v>113</v>
      </c>
      <c r="G201" s="211">
        <v>146</v>
      </c>
      <c r="H201" s="211">
        <v>146</v>
      </c>
      <c r="J201" s="232">
        <f t="shared" si="136"/>
        <v>568.39</v>
      </c>
      <c r="K201" s="232">
        <f t="shared" si="137"/>
        <v>226.9</v>
      </c>
      <c r="L201" s="232">
        <f t="shared" si="138"/>
        <v>226.9</v>
      </c>
      <c r="M201" s="232">
        <f t="shared" si="139"/>
        <v>226.9</v>
      </c>
      <c r="N201" s="232">
        <f t="shared" si="140"/>
        <v>1130</v>
      </c>
      <c r="O201" s="232">
        <f t="shared" si="141"/>
        <v>1460</v>
      </c>
      <c r="P201" s="232">
        <f t="shared" si="142"/>
        <v>1460</v>
      </c>
      <c r="Q201" s="232"/>
      <c r="R201" s="232"/>
      <c r="S201" s="232"/>
      <c r="T201" s="232"/>
      <c r="U201" s="232">
        <f>IFERROR(VLOOKUP(A164,'NG2012'!$A$4:$D$24,3,FALSE)*10,0)</f>
        <v>529.6</v>
      </c>
      <c r="V201" s="232"/>
      <c r="W201" s="232"/>
      <c r="X201" s="232"/>
      <c r="Y201" s="232">
        <v>720</v>
      </c>
      <c r="Z201" s="232">
        <v>730</v>
      </c>
      <c r="AA201" s="232">
        <v>730</v>
      </c>
      <c r="AB201" s="232">
        <v>730</v>
      </c>
      <c r="AC201" s="232">
        <v>1690</v>
      </c>
      <c r="AD201" s="232">
        <v>2150</v>
      </c>
      <c r="AE201" s="232"/>
      <c r="AF201" s="232">
        <v>0</v>
      </c>
      <c r="AG201" s="232">
        <v>3</v>
      </c>
      <c r="AH201" s="232">
        <v>3</v>
      </c>
      <c r="AI201" s="232">
        <v>5</v>
      </c>
      <c r="AJ201" s="232">
        <v>0</v>
      </c>
      <c r="AK201" s="232">
        <v>10</v>
      </c>
    </row>
    <row r="202" ht="13.5" spans="1:37">
      <c r="A202" s="209" t="s">
        <v>124</v>
      </c>
      <c r="B202" s="215"/>
      <c r="C202" s="215">
        <v>7.36</v>
      </c>
      <c r="D202" s="215">
        <v>7.36</v>
      </c>
      <c r="E202" s="215">
        <v>7.36</v>
      </c>
      <c r="F202" s="215">
        <v>3.68</v>
      </c>
      <c r="G202" s="215">
        <v>3.51</v>
      </c>
      <c r="H202" s="215"/>
      <c r="J202" s="232">
        <f t="shared" si="136"/>
        <v>0</v>
      </c>
      <c r="K202" s="232">
        <f t="shared" si="137"/>
        <v>73.6</v>
      </c>
      <c r="L202" s="232">
        <f t="shared" si="138"/>
        <v>73.6</v>
      </c>
      <c r="M202" s="232">
        <f t="shared" si="139"/>
        <v>73.6</v>
      </c>
      <c r="N202" s="232">
        <f t="shared" si="140"/>
        <v>36.8</v>
      </c>
      <c r="O202" s="232">
        <f t="shared" si="141"/>
        <v>35.1</v>
      </c>
      <c r="P202" s="232">
        <f t="shared" si="142"/>
        <v>0</v>
      </c>
      <c r="Q202" s="232"/>
      <c r="R202" s="232"/>
      <c r="S202" s="232"/>
      <c r="T202" s="232"/>
      <c r="U202" s="232">
        <f>IFERROR(VLOOKUP(A165,'NG2012'!$A$4:$D$24,3,FALSE)*10,0)</f>
        <v>0</v>
      </c>
      <c r="V202" s="232"/>
      <c r="W202" s="232"/>
      <c r="X202" s="232"/>
      <c r="Y202" s="232">
        <v>1620</v>
      </c>
      <c r="Z202" s="232">
        <v>1680</v>
      </c>
      <c r="AA202" s="232">
        <v>1680</v>
      </c>
      <c r="AB202" s="232">
        <v>1680</v>
      </c>
      <c r="AC202" s="232">
        <v>1490</v>
      </c>
      <c r="AD202" s="232">
        <v>1410</v>
      </c>
      <c r="AE202" s="232"/>
      <c r="AF202" s="232">
        <v>0</v>
      </c>
      <c r="AG202" s="232">
        <v>10</v>
      </c>
      <c r="AH202" s="232">
        <v>10</v>
      </c>
      <c r="AI202" s="232">
        <v>6</v>
      </c>
      <c r="AJ202" s="232">
        <v>10</v>
      </c>
      <c r="AK202" s="232">
        <v>10</v>
      </c>
    </row>
    <row r="203" ht="13.5" spans="1:37">
      <c r="A203" s="209" t="s">
        <v>126</v>
      </c>
      <c r="B203" s="211">
        <v>11.01</v>
      </c>
      <c r="C203" s="211">
        <v>17.92</v>
      </c>
      <c r="D203" s="211">
        <v>17.92</v>
      </c>
      <c r="E203" s="211">
        <v>17.92</v>
      </c>
      <c r="F203" s="211">
        <v>7.32</v>
      </c>
      <c r="G203" s="211">
        <v>27.52</v>
      </c>
      <c r="H203" s="211">
        <v>27.52</v>
      </c>
      <c r="J203" s="232">
        <f t="shared" si="136"/>
        <v>110.1</v>
      </c>
      <c r="K203" s="232">
        <f t="shared" si="137"/>
        <v>179.2</v>
      </c>
      <c r="L203" s="232">
        <f t="shared" si="138"/>
        <v>179.2</v>
      </c>
      <c r="M203" s="232">
        <f t="shared" si="139"/>
        <v>179.2</v>
      </c>
      <c r="N203" s="232">
        <f t="shared" si="140"/>
        <v>73.2</v>
      </c>
      <c r="O203" s="232">
        <f t="shared" si="141"/>
        <v>275.2</v>
      </c>
      <c r="P203" s="232">
        <f t="shared" si="142"/>
        <v>275.2</v>
      </c>
      <c r="Q203" s="232"/>
      <c r="R203" s="232"/>
      <c r="S203" s="232"/>
      <c r="T203" s="232"/>
      <c r="U203" s="232">
        <f>IFERROR(VLOOKUP(A166,'NG2012'!$A$4:$D$24,3,FALSE)*10,0)</f>
        <v>231.2</v>
      </c>
      <c r="V203" s="232"/>
      <c r="W203" s="232"/>
      <c r="X203" s="232"/>
      <c r="Y203" s="232">
        <v>1220</v>
      </c>
      <c r="Z203" s="232">
        <v>1260</v>
      </c>
      <c r="AA203" s="232">
        <v>1260</v>
      </c>
      <c r="AB203" s="232">
        <v>1260</v>
      </c>
      <c r="AC203" s="232">
        <v>1280</v>
      </c>
      <c r="AD203" s="232">
        <v>1200</v>
      </c>
      <c r="AE203" s="232"/>
      <c r="AF203" s="232">
        <v>0</v>
      </c>
      <c r="AG203" s="232">
        <v>20</v>
      </c>
      <c r="AH203" s="232">
        <v>30</v>
      </c>
      <c r="AI203" s="232">
        <v>35</v>
      </c>
      <c r="AJ203" s="232">
        <v>50</v>
      </c>
      <c r="AK203" s="232">
        <v>50</v>
      </c>
    </row>
    <row r="204" ht="13.5" spans="1:37">
      <c r="A204" s="209" t="s">
        <v>128</v>
      </c>
      <c r="B204" s="215">
        <v>8.82</v>
      </c>
      <c r="C204" s="215"/>
      <c r="D204" s="215"/>
      <c r="E204" s="215"/>
      <c r="F204" s="215"/>
      <c r="G204" s="215"/>
      <c r="H204" s="215"/>
      <c r="J204" s="232">
        <f t="shared" si="136"/>
        <v>88.2</v>
      </c>
      <c r="K204" s="232">
        <f t="shared" si="137"/>
        <v>0</v>
      </c>
      <c r="L204" s="232">
        <f t="shared" si="138"/>
        <v>0</v>
      </c>
      <c r="M204" s="232">
        <f t="shared" si="139"/>
        <v>0</v>
      </c>
      <c r="N204" s="232">
        <f t="shared" si="140"/>
        <v>0</v>
      </c>
      <c r="O204" s="232">
        <f t="shared" si="141"/>
        <v>0</v>
      </c>
      <c r="P204" s="232">
        <f t="shared" si="142"/>
        <v>0</v>
      </c>
      <c r="Q204" s="232"/>
      <c r="R204" s="232"/>
      <c r="S204" s="232"/>
      <c r="T204" s="232"/>
      <c r="U204" s="232">
        <f>IFERROR(VLOOKUP(A167,'NG2012'!$A$4:$D$24,3,FALSE)*10,0)</f>
        <v>0</v>
      </c>
      <c r="V204" s="232"/>
      <c r="W204" s="232"/>
      <c r="X204" s="232"/>
      <c r="Y204" s="232">
        <v>0</v>
      </c>
      <c r="Z204" s="232">
        <v>0</v>
      </c>
      <c r="AA204" s="232">
        <v>0</v>
      </c>
      <c r="AB204" s="232">
        <v>0</v>
      </c>
      <c r="AC204" s="232">
        <v>560</v>
      </c>
      <c r="AD204" s="232">
        <v>620</v>
      </c>
      <c r="AE204" s="232"/>
      <c r="AF204" s="232">
        <v>0</v>
      </c>
      <c r="AG204" s="232">
        <v>0</v>
      </c>
      <c r="AH204" s="232">
        <v>0</v>
      </c>
      <c r="AI204" s="232">
        <v>0</v>
      </c>
      <c r="AJ204" s="232">
        <v>0</v>
      </c>
      <c r="AK204" s="232">
        <v>0</v>
      </c>
    </row>
    <row r="205" ht="13.5" spans="1:37">
      <c r="A205" s="209" t="s">
        <v>130</v>
      </c>
      <c r="B205" s="215"/>
      <c r="C205" s="215"/>
      <c r="D205" s="215"/>
      <c r="E205" s="215"/>
      <c r="F205" s="215"/>
      <c r="G205" s="215"/>
      <c r="H205" s="215"/>
      <c r="J205" s="232">
        <f t="shared" si="136"/>
        <v>0</v>
      </c>
      <c r="K205" s="232">
        <f t="shared" si="137"/>
        <v>0</v>
      </c>
      <c r="L205" s="232">
        <f t="shared" si="138"/>
        <v>0</v>
      </c>
      <c r="M205" s="232">
        <f t="shared" si="139"/>
        <v>0</v>
      </c>
      <c r="N205" s="232">
        <f t="shared" si="140"/>
        <v>0</v>
      </c>
      <c r="O205" s="232">
        <f t="shared" si="141"/>
        <v>0</v>
      </c>
      <c r="P205" s="232">
        <f t="shared" si="142"/>
        <v>0</v>
      </c>
      <c r="Q205" s="232"/>
      <c r="R205" s="232"/>
      <c r="S205" s="232"/>
      <c r="T205" s="232"/>
      <c r="U205" s="232">
        <f>IFERROR(VLOOKUP(A168,'NG2012'!$A$4:$D$24,3,FALSE)*10,0)</f>
        <v>0</v>
      </c>
      <c r="V205" s="232"/>
      <c r="W205" s="232"/>
      <c r="X205" s="232"/>
      <c r="Y205" s="232">
        <v>20</v>
      </c>
      <c r="Z205" s="232">
        <v>20</v>
      </c>
      <c r="AA205" s="232">
        <v>30</v>
      </c>
      <c r="AB205" s="232">
        <v>30</v>
      </c>
      <c r="AC205" s="232">
        <v>30</v>
      </c>
      <c r="AD205" s="232">
        <v>30</v>
      </c>
      <c r="AE205" s="232"/>
      <c r="AF205" s="232">
        <v>0</v>
      </c>
      <c r="AG205" s="232">
        <v>0</v>
      </c>
      <c r="AH205" s="232">
        <v>0</v>
      </c>
      <c r="AI205" s="232">
        <v>0</v>
      </c>
      <c r="AJ205" s="232">
        <v>2</v>
      </c>
      <c r="AK205" s="232">
        <v>4</v>
      </c>
    </row>
    <row r="206" ht="13.5" spans="1:37">
      <c r="A206" s="209" t="s">
        <v>124</v>
      </c>
      <c r="B206" s="215"/>
      <c r="C206" s="215">
        <v>7.36</v>
      </c>
      <c r="D206" s="215">
        <v>7.36</v>
      </c>
      <c r="E206" s="215">
        <v>7.36</v>
      </c>
      <c r="F206" s="215">
        <v>3.68</v>
      </c>
      <c r="G206" s="215">
        <v>3.51</v>
      </c>
      <c r="H206" s="215"/>
      <c r="J206" s="232">
        <f t="shared" si="136"/>
        <v>0</v>
      </c>
      <c r="K206" s="232">
        <f t="shared" si="137"/>
        <v>73.6</v>
      </c>
      <c r="L206" s="232">
        <f t="shared" si="138"/>
        <v>73.6</v>
      </c>
      <c r="M206" s="232">
        <f t="shared" si="139"/>
        <v>73.6</v>
      </c>
      <c r="N206" s="232">
        <f t="shared" si="140"/>
        <v>36.8</v>
      </c>
      <c r="O206" s="232">
        <f t="shared" si="141"/>
        <v>35.1</v>
      </c>
      <c r="P206" s="232">
        <f t="shared" si="142"/>
        <v>0</v>
      </c>
      <c r="Q206" s="232"/>
      <c r="R206" s="232"/>
      <c r="S206" s="232"/>
      <c r="T206" s="232"/>
      <c r="U206" s="232">
        <f>IFERROR(VLOOKUP(A169,'NG2012'!$A$4:$D$24,3,FALSE)*10,0)</f>
        <v>180</v>
      </c>
      <c r="V206" s="232"/>
      <c r="W206" s="232"/>
      <c r="X206" s="232"/>
      <c r="Y206" s="232">
        <v>0</v>
      </c>
      <c r="Z206" s="232">
        <v>0</v>
      </c>
      <c r="AA206" s="232">
        <v>0</v>
      </c>
      <c r="AB206" s="232">
        <v>0</v>
      </c>
      <c r="AC206" s="232">
        <v>0</v>
      </c>
      <c r="AD206" s="232">
        <v>0</v>
      </c>
      <c r="AE206" s="232"/>
      <c r="AF206" s="232">
        <v>0</v>
      </c>
      <c r="AG206" s="232">
        <v>0</v>
      </c>
      <c r="AH206" s="232">
        <v>0</v>
      </c>
      <c r="AI206" s="232">
        <v>0</v>
      </c>
      <c r="AJ206" s="232">
        <v>0</v>
      </c>
      <c r="AK206" s="232">
        <v>0</v>
      </c>
    </row>
    <row r="207" ht="13.5" spans="1:37">
      <c r="A207" s="209" t="s">
        <v>134</v>
      </c>
      <c r="B207" s="211">
        <v>6</v>
      </c>
      <c r="C207" s="211">
        <v>5.5</v>
      </c>
      <c r="D207" s="211">
        <v>5.5</v>
      </c>
      <c r="E207" s="211">
        <v>5.5</v>
      </c>
      <c r="F207" s="211">
        <v>5.5</v>
      </c>
      <c r="G207" s="211">
        <v>5.5</v>
      </c>
      <c r="H207" s="211">
        <v>5.5</v>
      </c>
      <c r="J207" s="232">
        <f t="shared" si="136"/>
        <v>60</v>
      </c>
      <c r="K207" s="232">
        <f t="shared" si="137"/>
        <v>55</v>
      </c>
      <c r="L207" s="232">
        <f t="shared" si="138"/>
        <v>55</v>
      </c>
      <c r="M207" s="232">
        <f t="shared" si="139"/>
        <v>55</v>
      </c>
      <c r="N207" s="232">
        <f t="shared" si="140"/>
        <v>55</v>
      </c>
      <c r="O207" s="232">
        <f t="shared" si="141"/>
        <v>55</v>
      </c>
      <c r="P207" s="232">
        <f t="shared" si="142"/>
        <v>55</v>
      </c>
      <c r="Q207" s="232"/>
      <c r="R207" s="232"/>
      <c r="S207" s="232"/>
      <c r="T207" s="232"/>
      <c r="U207" s="232">
        <f>IFERROR(VLOOKUP(A170,'NG2012'!$A$4:$D$24,3,FALSE)*10,0)</f>
        <v>264</v>
      </c>
      <c r="V207" s="232"/>
      <c r="W207" s="232"/>
      <c r="X207" s="232"/>
      <c r="Y207" s="232">
        <v>0</v>
      </c>
      <c r="Z207" s="232">
        <v>0</v>
      </c>
      <c r="AA207" s="232">
        <v>110</v>
      </c>
      <c r="AB207" s="232">
        <v>80</v>
      </c>
      <c r="AC207" s="232">
        <v>220</v>
      </c>
      <c r="AD207" s="232">
        <v>220</v>
      </c>
      <c r="AE207" s="232"/>
      <c r="AF207" s="232">
        <v>0</v>
      </c>
      <c r="AG207" s="232">
        <v>0</v>
      </c>
      <c r="AH207" s="232">
        <v>0</v>
      </c>
      <c r="AI207" s="232">
        <v>17</v>
      </c>
      <c r="AJ207" s="232">
        <v>20</v>
      </c>
      <c r="AK207" s="232">
        <v>20</v>
      </c>
    </row>
    <row r="208" ht="13.5" spans="1:37">
      <c r="A208" s="209" t="s">
        <v>136</v>
      </c>
      <c r="B208" s="211"/>
      <c r="C208" s="211">
        <v>4.5</v>
      </c>
      <c r="D208" s="211">
        <v>4.5</v>
      </c>
      <c r="E208" s="211">
        <v>4.5</v>
      </c>
      <c r="F208" s="211">
        <v>69</v>
      </c>
      <c r="G208" s="211">
        <v>3.8</v>
      </c>
      <c r="H208" s="211">
        <v>3.8</v>
      </c>
      <c r="J208" s="232">
        <f t="shared" si="136"/>
        <v>0</v>
      </c>
      <c r="K208" s="232">
        <f t="shared" si="137"/>
        <v>45</v>
      </c>
      <c r="L208" s="232">
        <f t="shared" si="138"/>
        <v>45</v>
      </c>
      <c r="M208" s="232">
        <f t="shared" si="139"/>
        <v>45</v>
      </c>
      <c r="N208" s="232">
        <f t="shared" si="140"/>
        <v>690</v>
      </c>
      <c r="O208" s="232">
        <f t="shared" si="141"/>
        <v>38</v>
      </c>
      <c r="P208" s="232">
        <f t="shared" si="142"/>
        <v>38</v>
      </c>
      <c r="Q208" s="232"/>
      <c r="R208" s="232"/>
      <c r="S208" s="232"/>
      <c r="T208" s="232"/>
      <c r="U208" s="232">
        <f>IFERROR(VLOOKUP(A171,'NG2012'!$A$4:$D$24,3,FALSE)*10,0)</f>
        <v>0</v>
      </c>
      <c r="V208" s="232"/>
      <c r="W208" s="232"/>
      <c r="X208" s="232"/>
      <c r="Y208" s="232">
        <v>70</v>
      </c>
      <c r="Z208" s="232">
        <v>60</v>
      </c>
      <c r="AA208" s="232">
        <v>60</v>
      </c>
      <c r="AB208" s="232">
        <v>10</v>
      </c>
      <c r="AC208" s="232">
        <v>10</v>
      </c>
      <c r="AD208" s="232">
        <v>0</v>
      </c>
      <c r="AE208" s="232"/>
      <c r="AF208" s="232">
        <v>0</v>
      </c>
      <c r="AG208" s="232">
        <v>0</v>
      </c>
      <c r="AH208" s="232">
        <v>0</v>
      </c>
      <c r="AI208" s="232">
        <v>0</v>
      </c>
      <c r="AJ208" s="232">
        <v>0</v>
      </c>
      <c r="AK208" s="232">
        <v>0</v>
      </c>
    </row>
    <row r="209" ht="13.5" spans="1:37">
      <c r="A209" s="209" t="s">
        <v>138</v>
      </c>
      <c r="B209" s="211"/>
      <c r="C209" s="211"/>
      <c r="D209" s="211"/>
      <c r="E209" s="211"/>
      <c r="F209" s="211"/>
      <c r="G209" s="211"/>
      <c r="H209" s="211">
        <v>30</v>
      </c>
      <c r="J209" s="232">
        <f t="shared" si="136"/>
        <v>0</v>
      </c>
      <c r="K209" s="232">
        <f t="shared" si="137"/>
        <v>0</v>
      </c>
      <c r="L209" s="232">
        <f t="shared" si="138"/>
        <v>0</v>
      </c>
      <c r="M209" s="232">
        <f t="shared" si="139"/>
        <v>0</v>
      </c>
      <c r="N209" s="232">
        <f t="shared" si="140"/>
        <v>0</v>
      </c>
      <c r="O209" s="232">
        <f t="shared" si="141"/>
        <v>0</v>
      </c>
      <c r="P209" s="232">
        <f t="shared" si="142"/>
        <v>300</v>
      </c>
      <c r="Q209" s="232"/>
      <c r="R209" s="232"/>
      <c r="S209" s="232"/>
      <c r="T209" s="232"/>
      <c r="U209" s="232">
        <f>IFERROR(VLOOKUP(A172,'NG2012'!$A$4:$D$24,3,FALSE)*10,0)</f>
        <v>390</v>
      </c>
      <c r="V209" s="232"/>
      <c r="W209" s="232"/>
      <c r="X209" s="232"/>
      <c r="Y209" s="232">
        <v>330</v>
      </c>
      <c r="Z209" s="232">
        <v>0</v>
      </c>
      <c r="AA209" s="232">
        <v>4</v>
      </c>
      <c r="AB209" s="232">
        <v>4</v>
      </c>
      <c r="AC209" s="232">
        <v>5</v>
      </c>
      <c r="AD209" s="232">
        <v>10</v>
      </c>
      <c r="AE209" s="232"/>
      <c r="AF209" s="232">
        <v>0</v>
      </c>
      <c r="AG209" s="232">
        <v>0</v>
      </c>
      <c r="AH209" s="232">
        <v>4</v>
      </c>
      <c r="AI209" s="232">
        <v>4</v>
      </c>
      <c r="AJ209" s="232">
        <v>5</v>
      </c>
      <c r="AK209" s="232">
        <v>10</v>
      </c>
    </row>
    <row r="210" ht="13.5" spans="1:37">
      <c r="A210" s="209" t="s">
        <v>1311</v>
      </c>
      <c r="B210" s="215"/>
      <c r="C210" s="215"/>
      <c r="D210" s="215"/>
      <c r="E210" s="215"/>
      <c r="F210" s="215"/>
      <c r="G210" s="215"/>
      <c r="H210" s="215"/>
      <c r="J210" s="232">
        <f t="shared" si="136"/>
        <v>0</v>
      </c>
      <c r="K210" s="232">
        <f t="shared" si="137"/>
        <v>0</v>
      </c>
      <c r="L210" s="232">
        <f t="shared" si="138"/>
        <v>0</v>
      </c>
      <c r="M210" s="232">
        <f t="shared" si="139"/>
        <v>0</v>
      </c>
      <c r="N210" s="232">
        <f t="shared" si="140"/>
        <v>0</v>
      </c>
      <c r="O210" s="232">
        <f t="shared" si="141"/>
        <v>0</v>
      </c>
      <c r="P210" s="232">
        <f t="shared" si="142"/>
        <v>0</v>
      </c>
      <c r="Q210" s="232"/>
      <c r="R210" s="232"/>
      <c r="S210" s="232"/>
      <c r="T210" s="232"/>
      <c r="U210" s="232">
        <f>IFERROR(VLOOKUP(A173,'NG2012'!$A$4:$D$24,3,FALSE)*10,0)</f>
        <v>128</v>
      </c>
      <c r="V210" s="232"/>
      <c r="W210" s="232"/>
      <c r="X210" s="232"/>
      <c r="Y210" s="232">
        <v>810</v>
      </c>
      <c r="Z210" s="232">
        <v>700</v>
      </c>
      <c r="AA210" s="232">
        <v>700</v>
      </c>
      <c r="AB210" s="232">
        <v>700</v>
      </c>
      <c r="AC210" s="232">
        <v>700</v>
      </c>
      <c r="AD210" s="232">
        <v>530</v>
      </c>
      <c r="AE210" s="232"/>
      <c r="AF210" s="232">
        <v>0</v>
      </c>
      <c r="AG210" s="232">
        <v>0</v>
      </c>
      <c r="AH210" s="232">
        <v>0</v>
      </c>
      <c r="AI210" s="232">
        <v>0</v>
      </c>
      <c r="AJ210" s="232">
        <v>0</v>
      </c>
      <c r="AK210" s="232">
        <v>0</v>
      </c>
    </row>
    <row r="211" ht="13.5" spans="1:37">
      <c r="A211" s="209" t="s">
        <v>918</v>
      </c>
      <c r="B211" s="211">
        <v>20.9</v>
      </c>
      <c r="C211" s="211">
        <v>20.9</v>
      </c>
      <c r="D211" s="211">
        <v>20.9</v>
      </c>
      <c r="E211" s="211">
        <v>20.9</v>
      </c>
      <c r="F211" s="211">
        <v>20.9</v>
      </c>
      <c r="G211" s="211">
        <v>20.9</v>
      </c>
      <c r="H211" s="211">
        <v>20.9</v>
      </c>
      <c r="J211" s="232">
        <f t="shared" si="136"/>
        <v>209</v>
      </c>
      <c r="K211" s="232">
        <f t="shared" si="137"/>
        <v>209</v>
      </c>
      <c r="L211" s="232">
        <f t="shared" si="138"/>
        <v>209</v>
      </c>
      <c r="M211" s="232">
        <f t="shared" si="139"/>
        <v>209</v>
      </c>
      <c r="N211" s="232">
        <f t="shared" si="140"/>
        <v>209</v>
      </c>
      <c r="O211" s="232">
        <f t="shared" si="141"/>
        <v>209</v>
      </c>
      <c r="P211" s="232">
        <f t="shared" si="142"/>
        <v>209</v>
      </c>
      <c r="Q211" s="232"/>
      <c r="R211" s="232"/>
      <c r="S211" s="232"/>
      <c r="T211" s="232"/>
      <c r="U211" s="232">
        <f>IFERROR(VLOOKUP(A174,'NG2012'!$A$4:$D$24,3,FALSE)*10,0)</f>
        <v>194.5</v>
      </c>
      <c r="V211" s="232"/>
      <c r="W211" s="232"/>
      <c r="X211" s="232"/>
      <c r="Y211" s="232">
        <v>680</v>
      </c>
      <c r="Z211" s="232">
        <v>830</v>
      </c>
      <c r="AA211" s="232">
        <v>830</v>
      </c>
      <c r="AB211" s="232">
        <v>850</v>
      </c>
      <c r="AC211" s="232">
        <v>850</v>
      </c>
      <c r="AD211" s="232">
        <v>990</v>
      </c>
      <c r="AE211" s="232"/>
      <c r="AF211" s="232">
        <v>0</v>
      </c>
      <c r="AG211" s="232">
        <v>2</v>
      </c>
      <c r="AH211" s="232">
        <v>0</v>
      </c>
      <c r="AI211" s="232">
        <v>3</v>
      </c>
      <c r="AJ211" s="232">
        <v>3</v>
      </c>
      <c r="AK211" s="232">
        <v>0</v>
      </c>
    </row>
    <row r="213" spans="1:37">
      <c r="A213" s="228" t="s">
        <v>1312</v>
      </c>
    </row>
    <row r="214" ht="26.25" spans="1:37">
      <c r="B214" s="208" t="s">
        <v>1313</v>
      </c>
      <c r="C214" s="208" t="s">
        <v>1314</v>
      </c>
      <c r="D214" s="208" t="s">
        <v>1315</v>
      </c>
    </row>
    <row r="215" ht="13.5" spans="1:37">
      <c r="B215" s="208" t="s">
        <v>1309</v>
      </c>
      <c r="C215" s="208" t="s">
        <v>1309</v>
      </c>
      <c r="D215" s="208" t="s">
        <v>1309</v>
      </c>
    </row>
    <row r="216" ht="13.5" spans="1:37">
      <c r="A216" s="209" t="s">
        <v>1310</v>
      </c>
      <c r="B216" s="232"/>
      <c r="C216" s="232"/>
    </row>
    <row r="217" ht="13.5" spans="1:37">
      <c r="A217" s="214" t="s">
        <v>82</v>
      </c>
      <c r="B217" s="232">
        <f t="shared" ref="B217:B247" si="144">MAX(J181-J144,0)</f>
        <v>35</v>
      </c>
      <c r="C217" s="232">
        <f t="shared" ref="C217:C247" si="145">MAX((U181-P181)-(U144-Q144),0)</f>
        <v>1414.62</v>
      </c>
      <c r="D217" s="232">
        <f t="shared" ref="D217:D247" si="146">MAX((Y181-U181-AF181)-(V144-R144),0)</f>
        <v>3860.6</v>
      </c>
      <c r="I217" s="226"/>
    </row>
    <row r="218" ht="13.5" spans="1:37">
      <c r="A218" s="209" t="s">
        <v>84</v>
      </c>
      <c r="B218" s="232">
        <f t="shared" si="144"/>
        <v>38</v>
      </c>
      <c r="C218" s="232">
        <f t="shared" si="145"/>
        <v>209</v>
      </c>
      <c r="D218" s="232">
        <f t="shared" si="146"/>
        <v>2523</v>
      </c>
    </row>
    <row r="219" ht="13.5" spans="1:37">
      <c r="A219" s="209" t="s">
        <v>86</v>
      </c>
      <c r="B219" s="232">
        <f t="shared" si="144"/>
        <v>0</v>
      </c>
      <c r="C219" s="232">
        <f t="shared" si="145"/>
        <v>0</v>
      </c>
      <c r="D219" s="232">
        <f t="shared" si="146"/>
        <v>20</v>
      </c>
    </row>
    <row r="220" ht="13.5" spans="1:37">
      <c r="A220" s="209" t="s">
        <v>88</v>
      </c>
      <c r="B220" s="232">
        <f t="shared" si="144"/>
        <v>0</v>
      </c>
      <c r="C220" s="232">
        <f t="shared" si="145"/>
        <v>694.2</v>
      </c>
      <c r="D220" s="232">
        <f t="shared" si="146"/>
        <v>1775.8</v>
      </c>
    </row>
    <row r="221" ht="13.5" spans="1:37">
      <c r="A221" s="209" t="s">
        <v>208</v>
      </c>
      <c r="B221" s="232">
        <f t="shared" si="144"/>
        <v>0</v>
      </c>
      <c r="C221" s="232">
        <f t="shared" si="145"/>
        <v>0</v>
      </c>
      <c r="D221" s="232">
        <f t="shared" si="146"/>
        <v>0</v>
      </c>
    </row>
    <row r="222" ht="13.5" spans="1:37">
      <c r="A222" s="209" t="s">
        <v>92</v>
      </c>
      <c r="B222" s="232">
        <f t="shared" si="144"/>
        <v>72</v>
      </c>
      <c r="C222" s="232">
        <f t="shared" si="145"/>
        <v>0</v>
      </c>
      <c r="D222" s="232">
        <f t="shared" si="146"/>
        <v>0</v>
      </c>
    </row>
    <row r="223" ht="13.5" spans="1:37">
      <c r="A223" s="209" t="s">
        <v>94</v>
      </c>
      <c r="B223" s="232">
        <f t="shared" si="144"/>
        <v>0</v>
      </c>
      <c r="C223" s="232">
        <f t="shared" si="145"/>
        <v>0</v>
      </c>
      <c r="D223" s="232">
        <f t="shared" si="146"/>
        <v>0</v>
      </c>
    </row>
    <row r="224" ht="13.5" spans="1:37">
      <c r="A224" s="209" t="s">
        <v>96</v>
      </c>
      <c r="B224" s="232">
        <f t="shared" si="144"/>
        <v>109</v>
      </c>
      <c r="C224" s="232">
        <f t="shared" si="145"/>
        <v>0</v>
      </c>
      <c r="D224" s="232">
        <f t="shared" si="146"/>
        <v>120</v>
      </c>
    </row>
    <row r="225" ht="13.5" spans="1:4">
      <c r="A225" s="209" t="s">
        <v>98</v>
      </c>
      <c r="B225" s="232">
        <f t="shared" si="144"/>
        <v>549.7</v>
      </c>
      <c r="C225" s="232">
        <f t="shared" si="145"/>
        <v>1053.9</v>
      </c>
      <c r="D225" s="232">
        <f t="shared" si="146"/>
        <v>0</v>
      </c>
    </row>
    <row r="226" ht="13.5" spans="1:4">
      <c r="A226" s="209" t="s">
        <v>100</v>
      </c>
      <c r="B226" s="232">
        <f t="shared" si="144"/>
        <v>67.59</v>
      </c>
      <c r="C226" s="232">
        <f t="shared" si="145"/>
        <v>1119</v>
      </c>
      <c r="D226" s="232">
        <f t="shared" si="146"/>
        <v>470.3</v>
      </c>
    </row>
    <row r="227" ht="13.5" spans="1:4">
      <c r="A227" s="209" t="s">
        <v>102</v>
      </c>
      <c r="B227" s="232">
        <f t="shared" si="144"/>
        <v>513.8</v>
      </c>
      <c r="C227" s="232">
        <f t="shared" si="145"/>
        <v>0</v>
      </c>
      <c r="D227" s="232">
        <f t="shared" si="146"/>
        <v>3878.2</v>
      </c>
    </row>
    <row r="228" ht="13.5" spans="1:4">
      <c r="A228" s="209" t="s">
        <v>104</v>
      </c>
      <c r="B228" s="232">
        <f t="shared" si="144"/>
        <v>114.4</v>
      </c>
      <c r="C228" s="232">
        <f t="shared" si="145"/>
        <v>0</v>
      </c>
      <c r="D228" s="232">
        <f t="shared" si="146"/>
        <v>100</v>
      </c>
    </row>
    <row r="229" ht="13.5" spans="1:4">
      <c r="A229" s="209" t="s">
        <v>106</v>
      </c>
      <c r="B229" s="232">
        <f t="shared" si="144"/>
        <v>100</v>
      </c>
      <c r="C229" s="232">
        <f t="shared" si="145"/>
        <v>558</v>
      </c>
      <c r="D229" s="232">
        <f t="shared" si="146"/>
        <v>0</v>
      </c>
    </row>
    <row r="230" ht="13.5" spans="1:4">
      <c r="A230" s="209" t="s">
        <v>108</v>
      </c>
      <c r="B230" s="232">
        <f t="shared" si="144"/>
        <v>0</v>
      </c>
      <c r="C230" s="232">
        <f t="shared" si="145"/>
        <v>0</v>
      </c>
      <c r="D230" s="232">
        <f t="shared" si="146"/>
        <v>100</v>
      </c>
    </row>
    <row r="231" ht="13.5" spans="1:4">
      <c r="A231" s="209" t="s">
        <v>110</v>
      </c>
      <c r="B231" s="232">
        <f t="shared" si="144"/>
        <v>0</v>
      </c>
      <c r="C231" s="232">
        <f t="shared" si="145"/>
        <v>253.6</v>
      </c>
      <c r="D231" s="232">
        <f t="shared" si="146"/>
        <v>0</v>
      </c>
    </row>
    <row r="232" ht="13.5" spans="1:4">
      <c r="A232" s="209" t="s">
        <v>112</v>
      </c>
      <c r="B232" s="232">
        <f t="shared" si="144"/>
        <v>52</v>
      </c>
      <c r="C232" s="232">
        <f t="shared" si="145"/>
        <v>390</v>
      </c>
      <c r="D232" s="232">
        <f t="shared" si="146"/>
        <v>50</v>
      </c>
    </row>
    <row r="233" ht="13.5" spans="1:4">
      <c r="A233" s="209" t="s">
        <v>114</v>
      </c>
      <c r="B233" s="232">
        <f t="shared" si="144"/>
        <v>0</v>
      </c>
      <c r="C233" s="232">
        <f t="shared" si="145"/>
        <v>0</v>
      </c>
      <c r="D233" s="232">
        <f t="shared" si="146"/>
        <v>203.5</v>
      </c>
    </row>
    <row r="234" ht="13.5" spans="1:4">
      <c r="A234" s="209" t="s">
        <v>116</v>
      </c>
      <c r="B234" s="232">
        <f t="shared" si="144"/>
        <v>0</v>
      </c>
      <c r="C234" s="232">
        <f t="shared" si="145"/>
        <v>0</v>
      </c>
      <c r="D234" s="232">
        <f t="shared" si="146"/>
        <v>10</v>
      </c>
    </row>
    <row r="235" ht="13.5" spans="1:4">
      <c r="A235" s="209" t="s">
        <v>118</v>
      </c>
      <c r="B235" s="232">
        <f t="shared" si="144"/>
        <v>2401.94</v>
      </c>
      <c r="C235" s="232">
        <f t="shared" si="145"/>
        <v>487.900000000001</v>
      </c>
      <c r="D235" s="232">
        <f t="shared" si="146"/>
        <v>4133.7</v>
      </c>
    </row>
    <row r="236" ht="13.5" spans="1:4">
      <c r="A236" s="209" t="s">
        <v>819</v>
      </c>
      <c r="B236" s="232">
        <f t="shared" si="144"/>
        <v>82.08</v>
      </c>
      <c r="C236" s="232">
        <f t="shared" si="145"/>
        <v>0</v>
      </c>
      <c r="D236" s="232">
        <f t="shared" si="146"/>
        <v>120</v>
      </c>
    </row>
    <row r="237" ht="13.5" spans="1:4">
      <c r="A237" s="209" t="s">
        <v>122</v>
      </c>
      <c r="B237" s="232">
        <f t="shared" si="144"/>
        <v>0</v>
      </c>
      <c r="C237" s="232">
        <f t="shared" si="145"/>
        <v>0</v>
      </c>
      <c r="D237" s="232">
        <f t="shared" si="146"/>
        <v>190.4</v>
      </c>
    </row>
    <row r="238" ht="13.5" spans="1:4">
      <c r="A238" s="209" t="s">
        <v>124</v>
      </c>
      <c r="B238" s="232">
        <f t="shared" si="144"/>
        <v>0</v>
      </c>
      <c r="C238" s="232">
        <f t="shared" si="145"/>
        <v>0</v>
      </c>
      <c r="D238" s="232">
        <f t="shared" si="146"/>
        <v>1620</v>
      </c>
    </row>
    <row r="239" ht="13.5" spans="1:4">
      <c r="A239" s="209" t="s">
        <v>126</v>
      </c>
      <c r="B239" s="232">
        <f t="shared" si="144"/>
        <v>110.1</v>
      </c>
      <c r="C239" s="232">
        <f t="shared" si="145"/>
        <v>0</v>
      </c>
      <c r="D239" s="232">
        <f t="shared" si="146"/>
        <v>988.8</v>
      </c>
    </row>
    <row r="240" ht="13.5" spans="1:4">
      <c r="A240" s="209" t="s">
        <v>128</v>
      </c>
      <c r="B240" s="232">
        <f t="shared" si="144"/>
        <v>88.2</v>
      </c>
      <c r="C240" s="232">
        <f t="shared" si="145"/>
        <v>0</v>
      </c>
      <c r="D240" s="232">
        <f t="shared" si="146"/>
        <v>0</v>
      </c>
    </row>
    <row r="241" ht="13.5" spans="1:4">
      <c r="A241" s="209" t="s">
        <v>130</v>
      </c>
      <c r="B241" s="232">
        <f t="shared" si="144"/>
        <v>0</v>
      </c>
      <c r="C241" s="232">
        <f t="shared" si="145"/>
        <v>0</v>
      </c>
      <c r="D241" s="232">
        <f t="shared" si="146"/>
        <v>20</v>
      </c>
    </row>
    <row r="242" ht="13.5" spans="1:4">
      <c r="A242" s="209" t="s">
        <v>124</v>
      </c>
      <c r="B242" s="232">
        <f t="shared" si="144"/>
        <v>0</v>
      </c>
      <c r="C242" s="232">
        <f t="shared" si="145"/>
        <v>0</v>
      </c>
      <c r="D242" s="232">
        <f t="shared" si="146"/>
        <v>0</v>
      </c>
    </row>
    <row r="243" ht="13.5" spans="1:4">
      <c r="A243" s="209" t="s">
        <v>134</v>
      </c>
      <c r="B243" s="232">
        <f t="shared" si="144"/>
        <v>60</v>
      </c>
      <c r="C243" s="232">
        <f t="shared" si="145"/>
        <v>209</v>
      </c>
      <c r="D243" s="232">
        <f t="shared" si="146"/>
        <v>0</v>
      </c>
    </row>
    <row r="244" ht="13.5" spans="1:4">
      <c r="A244" s="209" t="s">
        <v>136</v>
      </c>
      <c r="B244" s="232">
        <f t="shared" si="144"/>
        <v>0</v>
      </c>
      <c r="C244" s="232">
        <f t="shared" si="145"/>
        <v>0</v>
      </c>
      <c r="D244" s="232">
        <f t="shared" si="146"/>
        <v>70</v>
      </c>
    </row>
    <row r="245" ht="13.5" spans="1:4">
      <c r="A245" s="209" t="s">
        <v>138</v>
      </c>
      <c r="B245" s="232">
        <f t="shared" si="144"/>
        <v>0</v>
      </c>
      <c r="C245" s="232">
        <f t="shared" si="145"/>
        <v>90</v>
      </c>
      <c r="D245" s="232">
        <f t="shared" si="146"/>
        <v>0</v>
      </c>
    </row>
    <row r="246" ht="13.5" spans="1:4">
      <c r="A246" s="209" t="s">
        <v>1311</v>
      </c>
      <c r="B246" s="232">
        <f t="shared" si="144"/>
        <v>0</v>
      </c>
      <c r="C246" s="232">
        <f t="shared" si="145"/>
        <v>128</v>
      </c>
      <c r="D246" s="232">
        <f t="shared" si="146"/>
        <v>682</v>
      </c>
    </row>
    <row r="247" ht="13.5" spans="1:4">
      <c r="A247" s="209" t="s">
        <v>918</v>
      </c>
      <c r="B247" s="232">
        <f t="shared" si="144"/>
        <v>209</v>
      </c>
      <c r="C247" s="232">
        <f t="shared" si="145"/>
        <v>0</v>
      </c>
      <c r="D247" s="232">
        <f t="shared" si="146"/>
        <v>485.5</v>
      </c>
    </row>
  </sheetData>
  <conditionalFormatting sqref="B2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0:B201 B203:B211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0:C201 C203:C21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:D201 D203:D2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0:E201 E203:E2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0:F201 F203:F21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0:G201 G203:G21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0:H201 H203:H21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5"/>
  <sheetViews>
    <sheetView workbookViewId="0">
      <pane xSplit="1" ySplit="2" topLeftCell="C3" activePane="bottomRight" state="frozen"/>
      <selection/>
      <selection pane="topRight"/>
      <selection pane="bottomLeft"/>
      <selection pane="bottomRight" activeCell="S18" sqref="S18"/>
    </sheetView>
  </sheetViews>
  <sheetFormatPr defaultColWidth="9" defaultRowHeight="13.1"/>
  <cols>
    <col min="1" max="1" width="17.7079646017699" style="220" customWidth="1"/>
    <col min="2" max="16384" width="9.13274336283186" style="220"/>
  </cols>
  <sheetData>
    <row r="1" spans="1:30">
      <c r="A1" s="220" t="s">
        <v>167</v>
      </c>
    </row>
    <row r="2" spans="1:30">
      <c r="A2" s="221" t="s">
        <v>1268</v>
      </c>
      <c r="B2" s="220">
        <v>1993</v>
      </c>
      <c r="C2" s="220">
        <v>1994</v>
      </c>
      <c r="D2" s="220">
        <v>1995</v>
      </c>
      <c r="E2" s="220">
        <v>1996</v>
      </c>
      <c r="F2" s="220">
        <v>1997</v>
      </c>
      <c r="G2" s="220">
        <v>1998</v>
      </c>
      <c r="H2" s="220">
        <v>1999</v>
      </c>
      <c r="I2" s="220">
        <v>2000</v>
      </c>
      <c r="J2" s="220">
        <v>2001</v>
      </c>
      <c r="K2" s="220">
        <v>2002</v>
      </c>
      <c r="L2" s="220">
        <v>2003</v>
      </c>
      <c r="M2" s="220">
        <v>2004</v>
      </c>
      <c r="N2" s="220">
        <v>2005</v>
      </c>
      <c r="O2" s="220">
        <v>2006</v>
      </c>
      <c r="P2" s="220">
        <v>2007</v>
      </c>
      <c r="Q2" s="220">
        <v>2008</v>
      </c>
      <c r="R2" s="220">
        <v>2009</v>
      </c>
      <c r="S2" s="220">
        <v>2010</v>
      </c>
      <c r="T2" s="220">
        <v>2011</v>
      </c>
      <c r="U2" s="220">
        <v>2012</v>
      </c>
      <c r="V2" s="220">
        <v>2013</v>
      </c>
      <c r="W2" s="220">
        <v>2014</v>
      </c>
      <c r="X2" s="220">
        <v>2015</v>
      </c>
      <c r="Y2" s="220">
        <v>2016</v>
      </c>
      <c r="Z2" s="220">
        <v>2017</v>
      </c>
      <c r="AA2" s="220">
        <v>2018</v>
      </c>
      <c r="AB2" s="220">
        <v>2019</v>
      </c>
      <c r="AC2" s="220">
        <v>2020</v>
      </c>
      <c r="AD2" s="220">
        <v>2021</v>
      </c>
    </row>
    <row r="3" spans="1:30">
      <c r="A3" s="222" t="s">
        <v>80</v>
      </c>
      <c r="B3" s="220">
        <f t="shared" ref="B3:AD3" si="0">SUM(B4:B34)</f>
        <v>951.4</v>
      </c>
      <c r="C3" s="220">
        <f t="shared" si="0"/>
        <v>577.4</v>
      </c>
      <c r="D3" s="220">
        <f t="shared" si="0"/>
        <v>577.4</v>
      </c>
      <c r="E3" s="220">
        <f t="shared" si="0"/>
        <v>511.4</v>
      </c>
      <c r="F3" s="220">
        <f t="shared" si="0"/>
        <v>636.4</v>
      </c>
      <c r="G3" s="220">
        <f t="shared" si="0"/>
        <v>636.4</v>
      </c>
      <c r="H3" s="220">
        <f t="shared" si="0"/>
        <v>834.6</v>
      </c>
      <c r="I3" s="220">
        <f t="shared" si="0"/>
        <v>511.4</v>
      </c>
      <c r="J3" s="220">
        <f t="shared" si="0"/>
        <v>535.4</v>
      </c>
      <c r="K3" s="220">
        <f t="shared" si="0"/>
        <v>1410</v>
      </c>
      <c r="L3" s="220">
        <f t="shared" si="0"/>
        <v>572</v>
      </c>
      <c r="M3" s="220">
        <f t="shared" si="0"/>
        <v>0</v>
      </c>
      <c r="N3" s="220">
        <f t="shared" si="0"/>
        <v>8148</v>
      </c>
      <c r="O3" s="220">
        <f t="shared" si="0"/>
        <v>5629</v>
      </c>
      <c r="P3" s="220">
        <f t="shared" si="0"/>
        <v>5772</v>
      </c>
      <c r="Q3" s="220">
        <f t="shared" si="0"/>
        <v>2906.31</v>
      </c>
      <c r="R3" s="220">
        <f t="shared" si="0"/>
        <v>3598.38</v>
      </c>
      <c r="S3" s="220">
        <f t="shared" si="0"/>
        <v>3915.2</v>
      </c>
      <c r="T3" s="220">
        <f t="shared" si="0"/>
        <v>3922.8</v>
      </c>
      <c r="U3" s="220">
        <f t="shared" si="0"/>
        <v>3755.4</v>
      </c>
      <c r="V3" s="220">
        <f t="shared" si="0"/>
        <v>9742.4</v>
      </c>
      <c r="W3" s="220">
        <f t="shared" si="0"/>
        <v>13273.4</v>
      </c>
      <c r="X3" s="220">
        <f t="shared" si="0"/>
        <v>12146.4</v>
      </c>
      <c r="Y3" s="220">
        <f t="shared" si="0"/>
        <v>7460.2</v>
      </c>
      <c r="Z3" s="220">
        <f t="shared" si="0"/>
        <v>5464.8</v>
      </c>
      <c r="AA3" s="220">
        <f t="shared" si="0"/>
        <v>8274.6</v>
      </c>
      <c r="AB3" s="220">
        <f t="shared" si="0"/>
        <v>5687.7</v>
      </c>
      <c r="AC3" s="220">
        <f t="shared" si="0"/>
        <v>7823.8</v>
      </c>
      <c r="AD3" s="220">
        <f t="shared" si="0"/>
        <v>6204</v>
      </c>
    </row>
    <row r="4" spans="1:30">
      <c r="A4" s="223" t="s">
        <v>1269</v>
      </c>
      <c r="B4" s="220">
        <f>'NG Stock Track'!B4+'NG Stock Track'!B39+ROUND('NG Stock Track'!$B217/9,1)</f>
        <v>3.9</v>
      </c>
      <c r="C4" s="220">
        <f>'NG Stock Track'!C4+'NG Stock Track'!C39+ROUND('NG Stock Track'!$B217/9,1)</f>
        <v>3.9</v>
      </c>
      <c r="D4" s="220">
        <f>'NG Stock Track'!D4+'NG Stock Track'!D39+ROUND('NG Stock Track'!$B217/9,1)</f>
        <v>3.9</v>
      </c>
      <c r="E4" s="220">
        <f>'NG Stock Track'!E4+'NG Stock Track'!E39+ROUND('NG Stock Track'!$B217/9,1)</f>
        <v>3.9</v>
      </c>
      <c r="F4" s="220">
        <f>'NG Stock Track'!F4+'NG Stock Track'!F39+ROUND('NG Stock Track'!$B217/9,1)</f>
        <v>3.9</v>
      </c>
      <c r="G4" s="220">
        <f>'NG Stock Track'!G4+'NG Stock Track'!G39+ROUND('NG Stock Track'!$B217/9,1)</f>
        <v>3.9</v>
      </c>
      <c r="H4" s="220">
        <f>'NG Stock Track'!H4+'NG Stock Track'!H39+ROUND('NG Stock Track'!$B217/9,1)</f>
        <v>3.9</v>
      </c>
      <c r="I4" s="220">
        <f>'NG Stock Track'!I4+'NG Stock Track'!I39+ROUND('NG Stock Track'!$B217/9,1)</f>
        <v>3.9</v>
      </c>
      <c r="J4" s="220">
        <f>'NG Stock Track'!J4+'NG Stock Track'!J39+ROUND('NG Stock Track'!$B217/9,1)</f>
        <v>3.9</v>
      </c>
      <c r="K4" s="220">
        <f>MAX(ROUND('NG Stock Track'!K181-'NG Stock Track'!J181,0)-K39,0)</f>
        <v>0</v>
      </c>
      <c r="L4" s="220">
        <f>MAX(ROUND('NG Stock Track'!L181-'NG Stock Track'!K181,0)-L39,0)</f>
        <v>0</v>
      </c>
      <c r="M4" s="220">
        <f>MAX(ROUND('NG Stock Track'!M181-'NG Stock Track'!L181,0)-M39,0)</f>
        <v>0</v>
      </c>
      <c r="N4" s="220">
        <f>MAX(ROUND('NG Stock Track'!N181-'NG Stock Track'!M181,0)-N39,0)</f>
        <v>375</v>
      </c>
      <c r="O4" s="220">
        <f>MAX(ROUND('NG Stock Track'!O181-'NG Stock Track'!N181,0)-O39,0)</f>
        <v>0</v>
      </c>
      <c r="P4" s="220">
        <f>MAX(ROUND('NG Stock Track'!P181-'NG Stock Track'!O181,0)-P39,0)</f>
        <v>0</v>
      </c>
      <c r="Q4" s="220">
        <f>'NG Stock Track'!Q4+'NG Stock Track'!Q39+ROUND('NG Stock Track'!$C217/5,1)</f>
        <v>1062.9</v>
      </c>
      <c r="R4" s="220">
        <f>'NG Stock Track'!R4+'NG Stock Track'!R39+ROUND('NG Stock Track'!$C217/5,1)</f>
        <v>402.88</v>
      </c>
      <c r="S4" s="220">
        <f>'NG Stock Track'!S4+'NG Stock Track'!S39+ROUND('NG Stock Track'!$C217/5,1)</f>
        <v>282.9</v>
      </c>
      <c r="T4" s="220">
        <f>'NG Stock Track'!T4+'NG Stock Track'!T39+ROUND('NG Stock Track'!$C217/5,1)</f>
        <v>1206.3</v>
      </c>
      <c r="U4" s="220">
        <f>'NG Stock Track'!U4+'NG Stock Track'!U39+ROUND('NG Stock Track'!$C217/5,1)</f>
        <v>282.9</v>
      </c>
      <c r="V4" s="220">
        <f>'NG Stock Track'!V4+'NG Stock Track'!V39+ROUND('NG Stock Track'!$D217/4,1)</f>
        <v>1803.2</v>
      </c>
      <c r="W4" s="220">
        <f>'NG Stock Track'!W4+'NG Stock Track'!W39+ROUND('NG Stock Track'!$D217/4,1)</f>
        <v>4752.2</v>
      </c>
      <c r="X4" s="220">
        <f>'NG Stock Track'!X4+'NG Stock Track'!X39+ROUND('NG Stock Track'!$D217/4,1)</f>
        <v>1915.2</v>
      </c>
      <c r="Y4" s="220">
        <f>'NG Stock Track'!Y4+'NG Stock Track'!Y39+ROUND('NG Stock Track'!$D217/4,1)</f>
        <v>978.5</v>
      </c>
      <c r="Z4" s="220">
        <f>'NG Stock Track'!Z4+'NG Stock Track'!Z39</f>
        <v>998</v>
      </c>
      <c r="AA4" s="220">
        <f>'NG Stock Track'!AA4+'NG Stock Track'!AA39</f>
        <v>266</v>
      </c>
      <c r="AB4" s="220">
        <f>'NG Stock Track'!AB4+'NG Stock Track'!AB39</f>
        <v>80</v>
      </c>
      <c r="AC4" s="220">
        <f>'NG Stock Track'!AC4+'NG Stock Track'!AC39</f>
        <v>0</v>
      </c>
      <c r="AD4" s="220">
        <f>'NG Stock Track'!AD4+'NG Stock Track'!AD39</f>
        <v>0</v>
      </c>
    </row>
    <row r="5" spans="1:30">
      <c r="A5" s="223" t="s">
        <v>1270</v>
      </c>
      <c r="B5" s="220">
        <f>'NG Stock Track'!B5+'NG Stock Track'!B40+ROUND('NG Stock Track'!$B218/9,1)</f>
        <v>4.2</v>
      </c>
      <c r="C5" s="220">
        <f>'NG Stock Track'!C5+'NG Stock Track'!C40+ROUND('NG Stock Track'!$B218/9,1)</f>
        <v>4.2</v>
      </c>
      <c r="D5" s="220">
        <f>'NG Stock Track'!D5+'NG Stock Track'!D40+ROUND('NG Stock Track'!$B218/9,1)</f>
        <v>4.2</v>
      </c>
      <c r="E5" s="220">
        <f>'NG Stock Track'!E5+'NG Stock Track'!E40+ROUND('NG Stock Track'!$B218/9,1)</f>
        <v>4.2</v>
      </c>
      <c r="F5" s="220">
        <f>'NG Stock Track'!F5+'NG Stock Track'!F40+ROUND('NG Stock Track'!$B218/9,1)</f>
        <v>4.2</v>
      </c>
      <c r="G5" s="220">
        <f>'NG Stock Track'!G5+'NG Stock Track'!G40+ROUND('NG Stock Track'!$B218/9,1)</f>
        <v>4.2</v>
      </c>
      <c r="H5" s="220">
        <f>'NG Stock Track'!H5+'NG Stock Track'!H40+ROUND('NG Stock Track'!$B218/9,1)</f>
        <v>4.2</v>
      </c>
      <c r="I5" s="220">
        <f>'NG Stock Track'!I5+'NG Stock Track'!I40+ROUND('NG Stock Track'!$B218/9,1)</f>
        <v>4.2</v>
      </c>
      <c r="J5" s="220">
        <f>'NG Stock Track'!J5+'NG Stock Track'!J40+ROUND('NG Stock Track'!$B218/9,1)</f>
        <v>4.2</v>
      </c>
      <c r="K5" s="220">
        <f>MAX(ROUND('NG Stock Track'!K182-'NG Stock Track'!J182,0)-K40,0)</f>
        <v>0</v>
      </c>
      <c r="L5" s="220">
        <f>MAX(ROUND('NG Stock Track'!L182-'NG Stock Track'!K182,0)-L40,0)</f>
        <v>0</v>
      </c>
      <c r="M5" s="220">
        <f>MAX(ROUND('NG Stock Track'!M182-'NG Stock Track'!L182,0)-M40,0)</f>
        <v>0</v>
      </c>
      <c r="N5" s="220">
        <f>MAX(ROUND('NG Stock Track'!N182-'NG Stock Track'!M182,0)-N40,0)</f>
        <v>0</v>
      </c>
      <c r="O5" s="220">
        <f>MAX(ROUND('NG Stock Track'!O182-'NG Stock Track'!N182,0)-O40,0)</f>
        <v>0</v>
      </c>
      <c r="P5" s="220">
        <f>MAX(ROUND('NG Stock Track'!P182-'NG Stock Track'!O182,0)-P40,0)</f>
        <v>0</v>
      </c>
      <c r="Q5" s="220">
        <f>'NG Stock Track'!Q5+'NG Stock Track'!Q40+ROUND('NG Stock Track'!$C218/5,1)</f>
        <v>41.8</v>
      </c>
      <c r="R5" s="220">
        <f>'NG Stock Track'!R5+'NG Stock Track'!R40+ROUND('NG Stock Track'!$C218/5,1)</f>
        <v>41.8</v>
      </c>
      <c r="S5" s="220">
        <f>'NG Stock Track'!S5+'NG Stock Track'!S40+ROUND('NG Stock Track'!$C218/5,1)</f>
        <v>41.8</v>
      </c>
      <c r="T5" s="220">
        <f>'NG Stock Track'!T5+'NG Stock Track'!T40+ROUND('NG Stock Track'!$C218/5,1)</f>
        <v>41.8</v>
      </c>
      <c r="U5" s="220">
        <f>'NG Stock Track'!U5+'NG Stock Track'!U40+ROUND('NG Stock Track'!$C218/5,1)</f>
        <v>41.8</v>
      </c>
      <c r="V5" s="220">
        <f>'NG Stock Track'!V5+'NG Stock Track'!V40+ROUND('NG Stock Track'!$D218/4,1)</f>
        <v>630.8</v>
      </c>
      <c r="W5" s="220">
        <f>'NG Stock Track'!W5+'NG Stock Track'!W40+ROUND('NG Stock Track'!$D218/4,1)</f>
        <v>1093.8</v>
      </c>
      <c r="X5" s="220">
        <f>'NG Stock Track'!X5+'NG Stock Track'!X40+ROUND('NG Stock Track'!$D218/4,1)</f>
        <v>631</v>
      </c>
      <c r="Y5" s="220">
        <f>'NG Stock Track'!Y5+'NG Stock Track'!Y40+ROUND('NG Stock Track'!$D218/4,1)</f>
        <v>1554.5</v>
      </c>
      <c r="Z5" s="220">
        <f>'NG Stock Track'!Z5+'NG Stock Track'!Z40</f>
        <v>2</v>
      </c>
      <c r="AA5" s="220">
        <f>'NG Stock Track'!AA5+'NG Stock Track'!AA40</f>
        <v>132.3</v>
      </c>
      <c r="AB5" s="220">
        <f>'NG Stock Track'!AB5+'NG Stock Track'!AB40</f>
        <v>930</v>
      </c>
      <c r="AC5" s="220">
        <f>'NG Stock Track'!AC5+'NG Stock Track'!AC40</f>
        <v>650</v>
      </c>
      <c r="AD5" s="220">
        <f>'NG Stock Track'!AD5+'NG Stock Track'!AD40</f>
        <v>0.4</v>
      </c>
    </row>
    <row r="6" spans="1:30">
      <c r="A6" s="223" t="s">
        <v>1271</v>
      </c>
      <c r="B6" s="220">
        <f>'NG Stock Track'!B6+'NG Stock Track'!B41+ROUND('NG Stock Track'!$B219/9,1)</f>
        <v>0</v>
      </c>
      <c r="C6" s="220">
        <f>'NG Stock Track'!C6+'NG Stock Track'!C41+ROUND('NG Stock Track'!$B219/9,1)</f>
        <v>0</v>
      </c>
      <c r="D6" s="220">
        <f>'NG Stock Track'!D6+'NG Stock Track'!D41+ROUND('NG Stock Track'!$B219/9,1)</f>
        <v>0</v>
      </c>
      <c r="E6" s="220">
        <f>'NG Stock Track'!E6+'NG Stock Track'!E41+ROUND('NG Stock Track'!$B219/9,1)</f>
        <v>0</v>
      </c>
      <c r="F6" s="220">
        <f>'NG Stock Track'!F6+'NG Stock Track'!F41+ROUND('NG Stock Track'!$B219/9,1)</f>
        <v>0</v>
      </c>
      <c r="G6" s="220">
        <f>'NG Stock Track'!G6+'NG Stock Track'!G41+ROUND('NG Stock Track'!$B219/9,1)</f>
        <v>0</v>
      </c>
      <c r="H6" s="220">
        <f>'NG Stock Track'!H6+'NG Stock Track'!H41+ROUND('NG Stock Track'!$B219/9,1)</f>
        <v>0</v>
      </c>
      <c r="I6" s="220">
        <f>'NG Stock Track'!I6+'NG Stock Track'!I41+ROUND('NG Stock Track'!$B219/9,1)</f>
        <v>0</v>
      </c>
      <c r="J6" s="220">
        <f>'NG Stock Track'!J6+'NG Stock Track'!J41+ROUND('NG Stock Track'!$B219/9,1)</f>
        <v>0</v>
      </c>
      <c r="K6" s="220">
        <f>MAX(ROUND('NG Stock Track'!K183-'NG Stock Track'!J183,0)-K41,0)</f>
        <v>0</v>
      </c>
      <c r="L6" s="220">
        <f>MAX(ROUND('NG Stock Track'!L183-'NG Stock Track'!K183,0)-L41,0)</f>
        <v>0</v>
      </c>
      <c r="M6" s="220">
        <f>MAX(ROUND('NG Stock Track'!M183-'NG Stock Track'!L183,0)-M41,0)</f>
        <v>0</v>
      </c>
      <c r="N6" s="220">
        <f>MAX(ROUND('NG Stock Track'!N183-'NG Stock Track'!M183,0)-N41,0)</f>
        <v>0</v>
      </c>
      <c r="O6" s="220">
        <f>MAX(ROUND('NG Stock Track'!O183-'NG Stock Track'!N183,0)-O41,0)</f>
        <v>0</v>
      </c>
      <c r="P6" s="220">
        <f>MAX(ROUND('NG Stock Track'!P183-'NG Stock Track'!O183,0)-P41,0)</f>
        <v>57</v>
      </c>
      <c r="Q6" s="220">
        <f>'NG Stock Track'!Q6+'NG Stock Track'!Q41+ROUND('NG Stock Track'!$C219/5,1)</f>
        <v>0</v>
      </c>
      <c r="R6" s="220">
        <f>'NG Stock Track'!R6+'NG Stock Track'!R41+ROUND('NG Stock Track'!$C219/5,1)</f>
        <v>0</v>
      </c>
      <c r="S6" s="220">
        <f>'NG Stock Track'!S6+'NG Stock Track'!S41+ROUND('NG Stock Track'!$C219/5,1)</f>
        <v>0</v>
      </c>
      <c r="T6" s="220">
        <f>'NG Stock Track'!T6+'NG Stock Track'!T41+ROUND('NG Stock Track'!$C219/5,1)</f>
        <v>0</v>
      </c>
      <c r="U6" s="220">
        <f>'NG Stock Track'!U6+'NG Stock Track'!U41+ROUND('NG Stock Track'!$C219/5,1)</f>
        <v>0</v>
      </c>
      <c r="V6" s="220">
        <f>'NG Stock Track'!V6+'NG Stock Track'!V41+ROUND('NG Stock Track'!$D219/4,1)</f>
        <v>5</v>
      </c>
      <c r="W6" s="220">
        <f>'NG Stock Track'!W6+'NG Stock Track'!W41+ROUND('NG Stock Track'!$D219/4,1)</f>
        <v>5</v>
      </c>
      <c r="X6" s="220">
        <f>'NG Stock Track'!X6+'NG Stock Track'!X41+ROUND('NG Stock Track'!$D219/4,1)</f>
        <v>5</v>
      </c>
      <c r="Y6" s="220">
        <f>'NG Stock Track'!Y6+'NG Stock Track'!Y41+ROUND('NG Stock Track'!$D219/4,1)</f>
        <v>5</v>
      </c>
      <c r="Z6" s="220">
        <f>'NG Stock Track'!Z6+'NG Stock Track'!Z41</f>
        <v>0</v>
      </c>
      <c r="AA6" s="220">
        <f>'NG Stock Track'!AA6+'NG Stock Track'!AA41</f>
        <v>0</v>
      </c>
      <c r="AB6" s="220">
        <f>'NG Stock Track'!AB6+'NG Stock Track'!AB41</f>
        <v>453.6</v>
      </c>
      <c r="AC6" s="220">
        <f>'NG Stock Track'!AC6+'NG Stock Track'!AC41</f>
        <v>453.6</v>
      </c>
      <c r="AD6" s="220">
        <f>'NG Stock Track'!AD6+'NG Stock Track'!AD41</f>
        <v>0</v>
      </c>
    </row>
    <row r="7" spans="1:30">
      <c r="A7" s="223" t="s">
        <v>1272</v>
      </c>
      <c r="B7" s="220">
        <f>'NG Stock Track'!B7+'NG Stock Track'!B42+ROUND('NG Stock Track'!$B220/9,1)</f>
        <v>0</v>
      </c>
      <c r="C7" s="220">
        <f>'NG Stock Track'!C7+'NG Stock Track'!C42+ROUND('NG Stock Track'!$B220/9,1)</f>
        <v>0</v>
      </c>
      <c r="D7" s="220">
        <f>'NG Stock Track'!D7+'NG Stock Track'!D42+ROUND('NG Stock Track'!$B220/9,1)</f>
        <v>0</v>
      </c>
      <c r="E7" s="220">
        <f>'NG Stock Track'!E7+'NG Stock Track'!E42+ROUND('NG Stock Track'!$B220/9,1)</f>
        <v>0</v>
      </c>
      <c r="F7" s="220">
        <f>'NG Stock Track'!F7+'NG Stock Track'!F42+ROUND('NG Stock Track'!$B220/9,1)</f>
        <v>0</v>
      </c>
      <c r="G7" s="220">
        <f>'NG Stock Track'!G7+'NG Stock Track'!G42+ROUND('NG Stock Track'!$B220/9,1)</f>
        <v>0</v>
      </c>
      <c r="H7" s="220">
        <f>'NG Stock Track'!H7+'NG Stock Track'!H42+ROUND('NG Stock Track'!$B220/9,1)</f>
        <v>0</v>
      </c>
      <c r="I7" s="220">
        <f>'NG Stock Track'!I7+'NG Stock Track'!I42+ROUND('NG Stock Track'!$B220/9,1)</f>
        <v>0</v>
      </c>
      <c r="J7" s="220">
        <f>'NG Stock Track'!J7+'NG Stock Track'!J42+ROUND('NG Stock Track'!$B220/9,1)</f>
        <v>0</v>
      </c>
      <c r="K7" s="220">
        <f>MAX(ROUND('NG Stock Track'!K184-'NG Stock Track'!J184,0)-K42,0)</f>
        <v>12</v>
      </c>
      <c r="L7" s="220">
        <f>MAX(ROUND('NG Stock Track'!L184-'NG Stock Track'!K184,0)-L42,0)</f>
        <v>0</v>
      </c>
      <c r="M7" s="220">
        <f>MAX(ROUND('NG Stock Track'!M184-'NG Stock Track'!L184,0)-M42,0)</f>
        <v>0</v>
      </c>
      <c r="N7" s="220">
        <f>MAX(ROUND('NG Stock Track'!N184-'NG Stock Track'!M184,0)-N42,0)</f>
        <v>69</v>
      </c>
      <c r="O7" s="220">
        <f>MAX(ROUND('NG Stock Track'!O184-'NG Stock Track'!N184,0)-O42,0)</f>
        <v>9</v>
      </c>
      <c r="P7" s="220">
        <f>MAX(ROUND('NG Stock Track'!P184-'NG Stock Track'!O184,0)-P42,0)</f>
        <v>0</v>
      </c>
      <c r="Q7" s="220">
        <f>'NG Stock Track'!Q7+'NG Stock Track'!Q42+ROUND('NG Stock Track'!$C220/5,1)</f>
        <v>138.8</v>
      </c>
      <c r="R7" s="220">
        <f>'NG Stock Track'!R7+'NG Stock Track'!R42+ROUND('NG Stock Track'!$C220/5,1)</f>
        <v>138.8</v>
      </c>
      <c r="S7" s="220">
        <f>'NG Stock Track'!S7+'NG Stock Track'!S42+ROUND('NG Stock Track'!$C220/5,1)</f>
        <v>138.8</v>
      </c>
      <c r="T7" s="220">
        <f>'NG Stock Track'!T7+'NG Stock Track'!T42+ROUND('NG Stock Track'!$C220/5,1)</f>
        <v>173.8</v>
      </c>
      <c r="U7" s="220">
        <f>'NG Stock Track'!U7+'NG Stock Track'!U42+ROUND('NG Stock Track'!$C220/5,1)</f>
        <v>143.8</v>
      </c>
      <c r="V7" s="220">
        <f>'NG Stock Track'!V7+'NG Stock Track'!V42+ROUND('NG Stock Track'!$D220/4,1)</f>
        <v>444</v>
      </c>
      <c r="W7" s="220">
        <f>'NG Stock Track'!W7+'NG Stock Track'!W42+ROUND('NG Stock Track'!$D220/4,1)</f>
        <v>1308</v>
      </c>
      <c r="X7" s="220">
        <f>'NG Stock Track'!X7+'NG Stock Track'!X42+ROUND('NG Stock Track'!$D220/4,1)</f>
        <v>1340</v>
      </c>
      <c r="Y7" s="220">
        <f>'NG Stock Track'!Y7+'NG Stock Track'!Y42+ROUND('NG Stock Track'!$D220/4,1)</f>
        <v>444</v>
      </c>
      <c r="Z7" s="220">
        <f>'NG Stock Track'!Z7+'NG Stock Track'!Z42</f>
        <v>0</v>
      </c>
      <c r="AA7" s="220">
        <f>'NG Stock Track'!AA7+'NG Stock Track'!AA42</f>
        <v>55.8</v>
      </c>
      <c r="AB7" s="220">
        <f>'NG Stock Track'!AB7+'NG Stock Track'!AB42</f>
        <v>0</v>
      </c>
      <c r="AC7" s="220">
        <f>'NG Stock Track'!AC7+'NG Stock Track'!AC42</f>
        <v>97</v>
      </c>
      <c r="AD7" s="220">
        <f>'NG Stock Track'!AD7+'NG Stock Track'!AD42</f>
        <v>9.8</v>
      </c>
    </row>
    <row r="8" spans="1:30">
      <c r="A8" s="223" t="s">
        <v>1273</v>
      </c>
      <c r="B8" s="220">
        <f>'NG Stock Track'!B8+'NG Stock Track'!B43+ROUND('NG Stock Track'!$B221/9,1)</f>
        <v>0</v>
      </c>
      <c r="C8" s="220">
        <f>'NG Stock Track'!C8+'NG Stock Track'!C43+ROUND('NG Stock Track'!$B221/9,1)</f>
        <v>0</v>
      </c>
      <c r="D8" s="220">
        <f>'NG Stock Track'!D8+'NG Stock Track'!D43+ROUND('NG Stock Track'!$B221/9,1)</f>
        <v>0</v>
      </c>
      <c r="E8" s="220">
        <f>'NG Stock Track'!E8+'NG Stock Track'!E43+ROUND('NG Stock Track'!$B221/9,1)</f>
        <v>0</v>
      </c>
      <c r="F8" s="220">
        <f>'NG Stock Track'!F8+'NG Stock Track'!F43+ROUND('NG Stock Track'!$B221/9,1)</f>
        <v>0</v>
      </c>
      <c r="G8" s="220">
        <f>'NG Stock Track'!G8+'NG Stock Track'!G43+ROUND('NG Stock Track'!$B221/9,1)</f>
        <v>0</v>
      </c>
      <c r="H8" s="220">
        <f>'NG Stock Track'!H8+'NG Stock Track'!H43+ROUND('NG Stock Track'!$B221/9,1)</f>
        <v>0</v>
      </c>
      <c r="I8" s="220">
        <f>'NG Stock Track'!I8+'NG Stock Track'!I43+ROUND('NG Stock Track'!$B221/9,1)</f>
        <v>0</v>
      </c>
      <c r="J8" s="220">
        <f>'NG Stock Track'!J8+'NG Stock Track'!J43+ROUND('NG Stock Track'!$B221/9,1)</f>
        <v>0</v>
      </c>
      <c r="K8" s="220">
        <f>MAX(ROUND('NG Stock Track'!K185-'NG Stock Track'!J185,0)-K43,0)</f>
        <v>0</v>
      </c>
      <c r="L8" s="220">
        <f>MAX(ROUND('NG Stock Track'!L185-'NG Stock Track'!K185,0)-L43,0)</f>
        <v>0</v>
      </c>
      <c r="M8" s="220">
        <f>MAX(ROUND('NG Stock Track'!M185-'NG Stock Track'!L185,0)-M43,0)</f>
        <v>0</v>
      </c>
      <c r="N8" s="220">
        <f>MAX(ROUND('NG Stock Track'!N185-'NG Stock Track'!M185,0)-N43,0)</f>
        <v>0</v>
      </c>
      <c r="O8" s="220">
        <f>MAX(ROUND('NG Stock Track'!O185-'NG Stock Track'!N185,0)-O43,0)</f>
        <v>282</v>
      </c>
      <c r="P8" s="220">
        <f>MAX(ROUND('NG Stock Track'!P185-'NG Stock Track'!O185,0)-P43,0)</f>
        <v>0</v>
      </c>
      <c r="Q8" s="220">
        <f>'NG Stock Track'!Q8+'NG Stock Track'!Q43+ROUND('NG Stock Track'!$C221/5,1)</f>
        <v>0</v>
      </c>
      <c r="R8" s="220">
        <f>'NG Stock Track'!R8+'NG Stock Track'!R43+ROUND('NG Stock Track'!$C221/5,1)</f>
        <v>10</v>
      </c>
      <c r="S8" s="220">
        <f>'NG Stock Track'!S8+'NG Stock Track'!S43+ROUND('NG Stock Track'!$C221/5,1)</f>
        <v>0</v>
      </c>
      <c r="T8" s="220">
        <f>'NG Stock Track'!T8+'NG Stock Track'!T43+ROUND('NG Stock Track'!$C221/5,1)</f>
        <v>200</v>
      </c>
      <c r="U8" s="220">
        <f>'NG Stock Track'!U8+'NG Stock Track'!U43+ROUND('NG Stock Track'!$C221/5,1)</f>
        <v>0</v>
      </c>
      <c r="V8" s="220">
        <f>'NG Stock Track'!V8+'NG Stock Track'!V43+ROUND('NG Stock Track'!$D221/4,1)</f>
        <v>0</v>
      </c>
      <c r="W8" s="220">
        <f>'NG Stock Track'!W8+'NG Stock Track'!W43+ROUND('NG Stock Track'!$D221/4,1)</f>
        <v>0</v>
      </c>
      <c r="X8" s="220">
        <f>'NG Stock Track'!X8+'NG Stock Track'!X43+ROUND('NG Stock Track'!$D221/4,1)</f>
        <v>0</v>
      </c>
      <c r="Y8" s="220">
        <f>'NG Stock Track'!Y8+'NG Stock Track'!Y43+ROUND('NG Stock Track'!$D221/4,1)</f>
        <v>0</v>
      </c>
      <c r="Z8" s="220">
        <f>'NG Stock Track'!Z8+'NG Stock Track'!Z43</f>
        <v>0</v>
      </c>
      <c r="AA8" s="220">
        <f>'NG Stock Track'!AA8+'NG Stock Track'!AA43</f>
        <v>0</v>
      </c>
      <c r="AB8" s="220">
        <f>'NG Stock Track'!AB8+'NG Stock Track'!AB43</f>
        <v>0</v>
      </c>
      <c r="AC8" s="220">
        <f>'NG Stock Track'!AC8+'NG Stock Track'!AC43</f>
        <v>0</v>
      </c>
      <c r="AD8" s="220">
        <f>'NG Stock Track'!AD8+'NG Stock Track'!AD43</f>
        <v>0</v>
      </c>
    </row>
    <row r="9" spans="1:30">
      <c r="A9" s="223" t="s">
        <v>1274</v>
      </c>
      <c r="B9" s="220">
        <f>'NG Stock Track'!B9+'NG Stock Track'!B44+ROUND('NG Stock Track'!$B222/9,1)</f>
        <v>8</v>
      </c>
      <c r="C9" s="220">
        <f>'NG Stock Track'!C9+'NG Stock Track'!C44+ROUND('NG Stock Track'!$B222/9,1)</f>
        <v>8</v>
      </c>
      <c r="D9" s="220">
        <f>'NG Stock Track'!D9+'NG Stock Track'!D44+ROUND('NG Stock Track'!$B222/9,1)</f>
        <v>8</v>
      </c>
      <c r="E9" s="220">
        <f>'NG Stock Track'!E9+'NG Stock Track'!E44+ROUND('NG Stock Track'!$B222/9,1)</f>
        <v>8</v>
      </c>
      <c r="F9" s="220">
        <f>'NG Stock Track'!F9+'NG Stock Track'!F44+ROUND('NG Stock Track'!$B222/9,1)</f>
        <v>8</v>
      </c>
      <c r="G9" s="220">
        <f>'NG Stock Track'!G9+'NG Stock Track'!G44+ROUND('NG Stock Track'!$B222/9,1)</f>
        <v>8</v>
      </c>
      <c r="H9" s="220">
        <f>'NG Stock Track'!H9+'NG Stock Track'!H44+ROUND('NG Stock Track'!$B222/9,1)</f>
        <v>8</v>
      </c>
      <c r="I9" s="220">
        <f>'NG Stock Track'!I9+'NG Stock Track'!I44+ROUND('NG Stock Track'!$B222/9,1)</f>
        <v>8</v>
      </c>
      <c r="J9" s="220">
        <f>'NG Stock Track'!J9+'NG Stock Track'!J44+ROUND('NG Stock Track'!$B222/9,1)</f>
        <v>8</v>
      </c>
      <c r="K9" s="220">
        <f>MAX(ROUND('NG Stock Track'!K186-'NG Stock Track'!J186,0)-K44,0)</f>
        <v>0</v>
      </c>
      <c r="L9" s="220">
        <f>MAX(ROUND('NG Stock Track'!L186-'NG Stock Track'!K186,0)-L44,0)</f>
        <v>0</v>
      </c>
      <c r="M9" s="220">
        <f>MAX(ROUND('NG Stock Track'!M186-'NG Stock Track'!L186,0)-M44,0)</f>
        <v>0</v>
      </c>
      <c r="N9" s="220">
        <f>MAX(ROUND('NG Stock Track'!N186-'NG Stock Track'!M186,0)-N44,0)</f>
        <v>0</v>
      </c>
      <c r="O9" s="220">
        <f>MAX(ROUND('NG Stock Track'!O186-'NG Stock Track'!N186,0)-O44,0)</f>
        <v>300</v>
      </c>
      <c r="P9" s="220">
        <f>MAX(ROUND('NG Stock Track'!P186-'NG Stock Track'!O186,0)-P44,0)</f>
        <v>0</v>
      </c>
      <c r="Q9" s="220">
        <f>'NG Stock Track'!Q9+'NG Stock Track'!Q44+ROUND('NG Stock Track'!$C222/5,1)</f>
        <v>0</v>
      </c>
      <c r="R9" s="220">
        <f>'NG Stock Track'!R9+'NG Stock Track'!R44+ROUND('NG Stock Track'!$C222/5,1)</f>
        <v>0</v>
      </c>
      <c r="S9" s="220">
        <f>'NG Stock Track'!S9+'NG Stock Track'!S44+ROUND('NG Stock Track'!$C222/5,1)</f>
        <v>0</v>
      </c>
      <c r="T9" s="220">
        <f>'NG Stock Track'!T9+'NG Stock Track'!T44+ROUND('NG Stock Track'!$C222/5,1)</f>
        <v>0</v>
      </c>
      <c r="U9" s="220">
        <f>'NG Stock Track'!U9+'NG Stock Track'!U44+ROUND('NG Stock Track'!$C222/5,1)</f>
        <v>0</v>
      </c>
      <c r="V9" s="220">
        <f>'NG Stock Track'!V9+'NG Stock Track'!V44+ROUND('NG Stock Track'!$D222/4,1)</f>
        <v>0</v>
      </c>
      <c r="W9" s="220">
        <f>'NG Stock Track'!W9+'NG Stock Track'!W44+ROUND('NG Stock Track'!$D222/4,1)</f>
        <v>0</v>
      </c>
      <c r="X9" s="220">
        <f>'NG Stock Track'!X9+'NG Stock Track'!X44+ROUND('NG Stock Track'!$D222/4,1)</f>
        <v>0</v>
      </c>
      <c r="Y9" s="220">
        <f>'NG Stock Track'!Y9+'NG Stock Track'!Y44+ROUND('NG Stock Track'!$D222/4,1)</f>
        <v>0</v>
      </c>
      <c r="Z9" s="220">
        <f>'NG Stock Track'!Z9+'NG Stock Track'!Z44</f>
        <v>0</v>
      </c>
      <c r="AA9" s="220">
        <f>'NG Stock Track'!AA9+'NG Stock Track'!AA44</f>
        <v>0</v>
      </c>
      <c r="AB9" s="220">
        <f>'NG Stock Track'!AB9+'NG Stock Track'!AB44</f>
        <v>0</v>
      </c>
      <c r="AC9" s="220">
        <f>'NG Stock Track'!AC9+'NG Stock Track'!AC44</f>
        <v>100</v>
      </c>
      <c r="AD9" s="220">
        <f>'NG Stock Track'!AD9+'NG Stock Track'!AD44</f>
        <v>0</v>
      </c>
    </row>
    <row r="10" spans="1:30">
      <c r="A10" s="223" t="s">
        <v>1275</v>
      </c>
      <c r="B10" s="220">
        <f>'NG Stock Track'!B10+'NG Stock Track'!B45+ROUND('NG Stock Track'!$B223/9,1)</f>
        <v>0</v>
      </c>
      <c r="C10" s="220">
        <f>'NG Stock Track'!C10+'NG Stock Track'!C45+ROUND('NG Stock Track'!$B223/9,1)</f>
        <v>0</v>
      </c>
      <c r="D10" s="220">
        <f>'NG Stock Track'!D10+'NG Stock Track'!D45+ROUND('NG Stock Track'!$B223/9,1)</f>
        <v>0</v>
      </c>
      <c r="E10" s="220">
        <f>'NG Stock Track'!E10+'NG Stock Track'!E45+ROUND('NG Stock Track'!$B223/9,1)</f>
        <v>0</v>
      </c>
      <c r="F10" s="220">
        <f>'NG Stock Track'!F10+'NG Stock Track'!F45+ROUND('NG Stock Track'!$B223/9,1)</f>
        <v>0</v>
      </c>
      <c r="G10" s="220">
        <f>'NG Stock Track'!G10+'NG Stock Track'!G45+ROUND('NG Stock Track'!$B223/9,1)</f>
        <v>0</v>
      </c>
      <c r="H10" s="220">
        <f>'NG Stock Track'!H10+'NG Stock Track'!H45+ROUND('NG Stock Track'!$B223/9,1)</f>
        <v>0</v>
      </c>
      <c r="I10" s="220">
        <f>'NG Stock Track'!I10+'NG Stock Track'!I45+ROUND('NG Stock Track'!$B223/9,1)</f>
        <v>0</v>
      </c>
      <c r="J10" s="220">
        <f>'NG Stock Track'!J10+'NG Stock Track'!J45+ROUND('NG Stock Track'!$B223/9,1)</f>
        <v>0</v>
      </c>
      <c r="K10" s="220">
        <f>MAX(ROUND('NG Stock Track'!K187-'NG Stock Track'!J187,0)-K45,0)</f>
        <v>6</v>
      </c>
      <c r="L10" s="220">
        <f>MAX(ROUND('NG Stock Track'!L187-'NG Stock Track'!K187,0)-L45,0)</f>
        <v>0</v>
      </c>
      <c r="M10" s="220">
        <f>MAX(ROUND('NG Stock Track'!M187-'NG Stock Track'!L187,0)-M45,0)</f>
        <v>0</v>
      </c>
      <c r="N10" s="220">
        <f>MAX(ROUND('NG Stock Track'!N187-'NG Stock Track'!M187,0)-N45,0)</f>
        <v>44</v>
      </c>
      <c r="O10" s="220">
        <f>MAX(ROUND('NG Stock Track'!O187-'NG Stock Track'!N187,0)-O45,0)</f>
        <v>0</v>
      </c>
      <c r="P10" s="220">
        <f>MAX(ROUND('NG Stock Track'!P187-'NG Stock Track'!O187,0)-P45,0)</f>
        <v>0</v>
      </c>
      <c r="Q10" s="220">
        <f>'NG Stock Track'!Q10+'NG Stock Track'!Q45+ROUND('NG Stock Track'!$C223/5,1)</f>
        <v>0</v>
      </c>
      <c r="R10" s="220">
        <f>'NG Stock Track'!R10+'NG Stock Track'!R45+ROUND('NG Stock Track'!$C223/5,1)</f>
        <v>0</v>
      </c>
      <c r="S10" s="220">
        <f>'NG Stock Track'!S10+'NG Stock Track'!S45+ROUND('NG Stock Track'!$C223/5,1)</f>
        <v>0</v>
      </c>
      <c r="T10" s="220">
        <f>'NG Stock Track'!T10+'NG Stock Track'!T45+ROUND('NG Stock Track'!$C223/5,1)</f>
        <v>0</v>
      </c>
      <c r="U10" s="220">
        <f>'NG Stock Track'!U10+'NG Stock Track'!U45+ROUND('NG Stock Track'!$C223/5,1)</f>
        <v>0</v>
      </c>
      <c r="V10" s="220">
        <f>'NG Stock Track'!V10+'NG Stock Track'!V45+ROUND('NG Stock Track'!$D223/4,1)</f>
        <v>0</v>
      </c>
      <c r="W10" s="220">
        <f>'NG Stock Track'!W10+'NG Stock Track'!W45+ROUND('NG Stock Track'!$D223/4,1)</f>
        <v>0</v>
      </c>
      <c r="X10" s="220">
        <f>'NG Stock Track'!X10+'NG Stock Track'!X45+ROUND('NG Stock Track'!$D223/4,1)</f>
        <v>0</v>
      </c>
      <c r="Y10" s="220">
        <f>'NG Stock Track'!Y10+'NG Stock Track'!Y45+ROUND('NG Stock Track'!$D223/4,1)</f>
        <v>0</v>
      </c>
      <c r="Z10" s="220">
        <f>'NG Stock Track'!Z10+'NG Stock Track'!Z45</f>
        <v>0</v>
      </c>
      <c r="AA10" s="220">
        <f>'NG Stock Track'!AA10+'NG Stock Track'!AA45</f>
        <v>0</v>
      </c>
      <c r="AB10" s="220">
        <f>'NG Stock Track'!AB10+'NG Stock Track'!AB45</f>
        <v>0</v>
      </c>
      <c r="AC10" s="220">
        <f>'NG Stock Track'!AC10+'NG Stock Track'!AC45</f>
        <v>0</v>
      </c>
      <c r="AD10" s="220">
        <f>'NG Stock Track'!AD10+'NG Stock Track'!AD45</f>
        <v>0</v>
      </c>
    </row>
    <row r="11" spans="1:30">
      <c r="A11" s="223" t="s">
        <v>1276</v>
      </c>
      <c r="B11" s="220">
        <f>'NG Stock Track'!B11+'NG Stock Track'!B46+ROUND('NG Stock Track'!$B224/9,1)</f>
        <v>12.1</v>
      </c>
      <c r="C11" s="220">
        <f>'NG Stock Track'!C11+'NG Stock Track'!C46+ROUND('NG Stock Track'!$B224/9,1)</f>
        <v>12.1</v>
      </c>
      <c r="D11" s="220">
        <f>'NG Stock Track'!D11+'NG Stock Track'!D46+ROUND('NG Stock Track'!$B224/9,1)</f>
        <v>12.1</v>
      </c>
      <c r="E11" s="220">
        <f>'NG Stock Track'!E11+'NG Stock Track'!E46+ROUND('NG Stock Track'!$B224/9,1)</f>
        <v>12.1</v>
      </c>
      <c r="F11" s="220">
        <f>'NG Stock Track'!F11+'NG Stock Track'!F46+ROUND('NG Stock Track'!$B224/9,1)</f>
        <v>12.1</v>
      </c>
      <c r="G11" s="220">
        <f>'NG Stock Track'!G11+'NG Stock Track'!G46+ROUND('NG Stock Track'!$B224/9,1)</f>
        <v>12.1</v>
      </c>
      <c r="H11" s="220">
        <f>'NG Stock Track'!H11+'NG Stock Track'!H46+ROUND('NG Stock Track'!$B224/9,1)</f>
        <v>12.1</v>
      </c>
      <c r="I11" s="220">
        <f>'NG Stock Track'!I11+'NG Stock Track'!I46+ROUND('NG Stock Track'!$B224/9,1)</f>
        <v>12.1</v>
      </c>
      <c r="J11" s="220">
        <f>'NG Stock Track'!J11+'NG Stock Track'!J46+ROUND('NG Stock Track'!$B224/9,1)</f>
        <v>12.1</v>
      </c>
      <c r="K11" s="220">
        <f>MAX(ROUND('NG Stock Track'!K188-'NG Stock Track'!J188,0)-K46,0)</f>
        <v>0</v>
      </c>
      <c r="L11" s="220">
        <f>MAX(ROUND('NG Stock Track'!L188-'NG Stock Track'!K188,0)-L46,0)</f>
        <v>0</v>
      </c>
      <c r="M11" s="220">
        <f>MAX(ROUND('NG Stock Track'!M188-'NG Stock Track'!L188,0)-M46,0)</f>
        <v>0</v>
      </c>
      <c r="N11" s="220">
        <f>MAX(ROUND('NG Stock Track'!N188-'NG Stock Track'!M188,0)-N46,0)</f>
        <v>0</v>
      </c>
      <c r="O11" s="220">
        <f>MAX(ROUND('NG Stock Track'!O188-'NG Stock Track'!N188,0)-O46,0)</f>
        <v>0</v>
      </c>
      <c r="P11" s="220">
        <f>MAX(ROUND('NG Stock Track'!P188-'NG Stock Track'!O188,0)-P46,0)</f>
        <v>13</v>
      </c>
      <c r="Q11" s="220">
        <f>'NG Stock Track'!Q11+'NG Stock Track'!Q46+ROUND('NG Stock Track'!$C224/5,1)</f>
        <v>0</v>
      </c>
      <c r="R11" s="220">
        <f>'NG Stock Track'!R11+'NG Stock Track'!R46+ROUND('NG Stock Track'!$C224/5,1)</f>
        <v>0</v>
      </c>
      <c r="S11" s="220">
        <f>'NG Stock Track'!S11+'NG Stock Track'!S46+ROUND('NG Stock Track'!$C224/5,1)</f>
        <v>0</v>
      </c>
      <c r="T11" s="220">
        <f>'NG Stock Track'!T11+'NG Stock Track'!T46+ROUND('NG Stock Track'!$C224/5,1)</f>
        <v>0</v>
      </c>
      <c r="U11" s="220">
        <f>'NG Stock Track'!U11+'NG Stock Track'!U46+ROUND('NG Stock Track'!$C224/5,1)</f>
        <v>0</v>
      </c>
      <c r="V11" s="220">
        <f>'NG Stock Track'!V11+'NG Stock Track'!V46+ROUND('NG Stock Track'!$D224/4,1)</f>
        <v>30</v>
      </c>
      <c r="W11" s="220">
        <f>'NG Stock Track'!W11+'NG Stock Track'!W46+ROUND('NG Stock Track'!$D224/4,1)</f>
        <v>30</v>
      </c>
      <c r="X11" s="220">
        <f>'NG Stock Track'!X11+'NG Stock Track'!X46+ROUND('NG Stock Track'!$D224/4,1)</f>
        <v>30</v>
      </c>
      <c r="Y11" s="220">
        <f>'NG Stock Track'!Y11+'NG Stock Track'!Y46+ROUND('NG Stock Track'!$D224/4,1)</f>
        <v>30</v>
      </c>
      <c r="Z11" s="220">
        <f>'NG Stock Track'!Z11+'NG Stock Track'!Z46</f>
        <v>0</v>
      </c>
      <c r="AA11" s="220">
        <f>'NG Stock Track'!AA11+'NG Stock Track'!AA46</f>
        <v>0</v>
      </c>
      <c r="AB11" s="220">
        <f>'NG Stock Track'!AB11+'NG Stock Track'!AB46</f>
        <v>65</v>
      </c>
      <c r="AC11" s="220">
        <f>'NG Stock Track'!AC11+'NG Stock Track'!AC46</f>
        <v>6</v>
      </c>
      <c r="AD11" s="220">
        <f>'NG Stock Track'!AD11+'NG Stock Track'!AD46</f>
        <v>3</v>
      </c>
    </row>
    <row r="12" spans="1:30">
      <c r="A12" s="223" t="s">
        <v>1277</v>
      </c>
      <c r="B12" s="220">
        <f>'NG Stock Track'!B12+'NG Stock Track'!B47+ROUND('NG Stock Track'!$B225/9,1)</f>
        <v>61.1</v>
      </c>
      <c r="C12" s="220">
        <f>'NG Stock Track'!C12+'NG Stock Track'!C47+ROUND('NG Stock Track'!$B225/9,1)</f>
        <v>61.1</v>
      </c>
      <c r="D12" s="220">
        <f>'NG Stock Track'!D12+'NG Stock Track'!D47+ROUND('NG Stock Track'!$B225/9,1)</f>
        <v>61.1</v>
      </c>
      <c r="E12" s="220">
        <f>'NG Stock Track'!E12+'NG Stock Track'!E47+ROUND('NG Stock Track'!$B225/9,1)</f>
        <v>61.1</v>
      </c>
      <c r="F12" s="220">
        <f>'NG Stock Track'!F12+'NG Stock Track'!F47+ROUND('NG Stock Track'!$B225/9,1)</f>
        <v>61.1</v>
      </c>
      <c r="G12" s="220">
        <f>'NG Stock Track'!G12+'NG Stock Track'!G47+ROUND('NG Stock Track'!$B225/9,1)</f>
        <v>61.1</v>
      </c>
      <c r="H12" s="220">
        <f>'NG Stock Track'!H12+'NG Stock Track'!H47+ROUND('NG Stock Track'!$B225/9,1)</f>
        <v>61.1</v>
      </c>
      <c r="I12" s="220">
        <f>'NG Stock Track'!I12+'NG Stock Track'!I47+ROUND('NG Stock Track'!$B225/9,1)</f>
        <v>61.1</v>
      </c>
      <c r="J12" s="220">
        <f>'NG Stock Track'!J12+'NG Stock Track'!J47+ROUND('NG Stock Track'!$B225/9,1)</f>
        <v>61.1</v>
      </c>
      <c r="K12" s="220">
        <f>MAX(ROUND('NG Stock Track'!K189-'NG Stock Track'!J189,0)-K47,0)</f>
        <v>0</v>
      </c>
      <c r="L12" s="220">
        <f>MAX(ROUND('NG Stock Track'!L189-'NG Stock Track'!K189,0)-L47,0)</f>
        <v>0</v>
      </c>
      <c r="M12" s="220">
        <f>MAX(ROUND('NG Stock Track'!M189-'NG Stock Track'!L189,0)-M47,0)</f>
        <v>0</v>
      </c>
      <c r="N12" s="220">
        <f>MAX(ROUND('NG Stock Track'!N189-'NG Stock Track'!M189,0)-N47,0)</f>
        <v>1086</v>
      </c>
      <c r="O12" s="220">
        <f>MAX(ROUND('NG Stock Track'!O189-'NG Stock Track'!N189,0)-O47,0)</f>
        <v>1200</v>
      </c>
      <c r="P12" s="220">
        <f>MAX(ROUND('NG Stock Track'!P189-'NG Stock Track'!O189,0)-P47,0)</f>
        <v>0</v>
      </c>
      <c r="Q12" s="220">
        <f>'NG Stock Track'!Q12+'NG Stock Track'!Q47+ROUND('NG Stock Track'!$C225/5,1)</f>
        <v>210.8</v>
      </c>
      <c r="R12" s="220">
        <f>'NG Stock Track'!R12+'NG Stock Track'!R47+ROUND('NG Stock Track'!$C225/5,1)</f>
        <v>210.8</v>
      </c>
      <c r="S12" s="220">
        <f>'NG Stock Track'!S12+'NG Stock Track'!S47+ROUND('NG Stock Track'!$C225/5,1)</f>
        <v>210.8</v>
      </c>
      <c r="T12" s="220">
        <f>'NG Stock Track'!T12+'NG Stock Track'!T47+ROUND('NG Stock Track'!$C225/5,1)</f>
        <v>1433.8</v>
      </c>
      <c r="U12" s="220">
        <f>'NG Stock Track'!U12+'NG Stock Track'!U47+ROUND('NG Stock Track'!$C225/5,1)</f>
        <v>210.8</v>
      </c>
      <c r="V12" s="220">
        <f>'NG Stock Track'!V12+'NG Stock Track'!V47+ROUND('NG Stock Track'!$D225/4,1)</f>
        <v>0</v>
      </c>
      <c r="W12" s="220">
        <f>'NG Stock Track'!W12+'NG Stock Track'!W47+ROUND('NG Stock Track'!$D225/4,1)</f>
        <v>0</v>
      </c>
      <c r="X12" s="220">
        <f>'NG Stock Track'!X12+'NG Stock Track'!X47+ROUND('NG Stock Track'!$D225/4,1)</f>
        <v>860</v>
      </c>
      <c r="Y12" s="220">
        <f>'NG Stock Track'!Y12+'NG Stock Track'!Y47+ROUND('NG Stock Track'!$D225/4,1)</f>
        <v>0</v>
      </c>
      <c r="Z12" s="220">
        <f>'NG Stock Track'!Z12+'NG Stock Track'!Z47</f>
        <v>26</v>
      </c>
      <c r="AA12" s="220">
        <f>'NG Stock Track'!AA12+'NG Stock Track'!AA47</f>
        <v>872.8</v>
      </c>
      <c r="AB12" s="220">
        <f>'NG Stock Track'!AB12+'NG Stock Track'!AB47</f>
        <v>925.2</v>
      </c>
      <c r="AC12" s="220">
        <f>'NG Stock Track'!AC12+'NG Stock Track'!AC47</f>
        <v>0</v>
      </c>
      <c r="AD12" s="220">
        <f>'NG Stock Track'!AD12+'NG Stock Track'!AD47</f>
        <v>474</v>
      </c>
    </row>
    <row r="13" spans="1:30">
      <c r="A13" s="223" t="s">
        <v>1278</v>
      </c>
      <c r="B13" s="220">
        <f>'NG Stock Track'!B13+'NG Stock Track'!B48+ROUND('NG Stock Track'!$B226/9,1)</f>
        <v>7.5</v>
      </c>
      <c r="C13" s="220">
        <f>'NG Stock Track'!C13+'NG Stock Track'!C48+ROUND('NG Stock Track'!$B226/9,1)</f>
        <v>7.5</v>
      </c>
      <c r="D13" s="220">
        <f>'NG Stock Track'!D13+'NG Stock Track'!D48+ROUND('NG Stock Track'!$B226/9,1)</f>
        <v>7.5</v>
      </c>
      <c r="E13" s="220">
        <f>'NG Stock Track'!E13+'NG Stock Track'!E48+ROUND('NG Stock Track'!$B226/9,1)</f>
        <v>7.5</v>
      </c>
      <c r="F13" s="220">
        <f>'NG Stock Track'!F13+'NG Stock Track'!F48+ROUND('NG Stock Track'!$B226/9,1)</f>
        <v>7.5</v>
      </c>
      <c r="G13" s="220">
        <f>'NG Stock Track'!G13+'NG Stock Track'!G48+ROUND('NG Stock Track'!$B226/9,1)</f>
        <v>7.5</v>
      </c>
      <c r="H13" s="220">
        <f>'NG Stock Track'!H13+'NG Stock Track'!H48+ROUND('NG Stock Track'!$B226/9,1)</f>
        <v>7.5</v>
      </c>
      <c r="I13" s="220">
        <f>'NG Stock Track'!I13+'NG Stock Track'!I48+ROUND('NG Stock Track'!$B226/9,1)</f>
        <v>7.5</v>
      </c>
      <c r="J13" s="220">
        <f>'NG Stock Track'!J13+'NG Stock Track'!J48+ROUND('NG Stock Track'!$B226/9,1)</f>
        <v>7.5</v>
      </c>
      <c r="K13" s="220">
        <f>MAX(ROUND('NG Stock Track'!K190-'NG Stock Track'!J190,0)-K48,0)</f>
        <v>483</v>
      </c>
      <c r="L13" s="220">
        <f>MAX(ROUND('NG Stock Track'!L190-'NG Stock Track'!K190,0)-L48,0)</f>
        <v>116</v>
      </c>
      <c r="M13" s="220">
        <f>MAX(ROUND('NG Stock Track'!M190-'NG Stock Track'!L190,0)-M48,0)</f>
        <v>0</v>
      </c>
      <c r="N13" s="220">
        <f>MAX(ROUND('NG Stock Track'!N190-'NG Stock Track'!M190,0)-N48,0)</f>
        <v>2360</v>
      </c>
      <c r="O13" s="220">
        <f>MAX(ROUND('NG Stock Track'!O190-'NG Stock Track'!N190,0)-O48,0)</f>
        <v>553</v>
      </c>
      <c r="P13" s="220">
        <f>MAX(ROUND('NG Stock Track'!P190-'NG Stock Track'!O190,0)-P48,0)</f>
        <v>380</v>
      </c>
      <c r="Q13" s="220">
        <f>'NG Stock Track'!Q13+'NG Stock Track'!Q48+ROUND('NG Stock Track'!$C226/5,1)</f>
        <v>223.8</v>
      </c>
      <c r="R13" s="220">
        <f>'NG Stock Track'!R13+'NG Stock Track'!R48+ROUND('NG Stock Track'!$C226/5,1)</f>
        <v>223.8</v>
      </c>
      <c r="S13" s="220">
        <f>'NG Stock Track'!S13+'NG Stock Track'!S48+ROUND('NG Stock Track'!$C226/5,1)</f>
        <v>223.8</v>
      </c>
      <c r="T13" s="220">
        <f>'NG Stock Track'!T13+'NG Stock Track'!T48+ROUND('NG Stock Track'!$C226/5,1)</f>
        <v>443.8</v>
      </c>
      <c r="U13" s="220">
        <f>'NG Stock Track'!U13+'NG Stock Track'!U48+ROUND('NG Stock Track'!$C226/5,1)</f>
        <v>1385.8</v>
      </c>
      <c r="V13" s="220">
        <f>'NG Stock Track'!V13+'NG Stock Track'!V48+ROUND('NG Stock Track'!$D226/4,1)</f>
        <v>1354.3</v>
      </c>
      <c r="W13" s="220">
        <f>'NG Stock Track'!W13+'NG Stock Track'!W48+ROUND('NG Stock Track'!$D226/4,1)</f>
        <v>117.6</v>
      </c>
      <c r="X13" s="220">
        <f>'NG Stock Track'!X13+'NG Stock Track'!X48+ROUND('NG Stock Track'!$D226/4,1)</f>
        <v>2267.6</v>
      </c>
      <c r="Y13" s="220">
        <f>'NG Stock Track'!Y13+'NG Stock Track'!Y48+ROUND('NG Stock Track'!$D226/4,1)</f>
        <v>977.6</v>
      </c>
      <c r="Z13" s="220">
        <f>'NG Stock Track'!Z13+'NG Stock Track'!Z48</f>
        <v>3864</v>
      </c>
      <c r="AA13" s="220">
        <f>'NG Stock Track'!AA13+'NG Stock Track'!AA48</f>
        <v>2137.9</v>
      </c>
      <c r="AB13" s="220">
        <f>'NG Stock Track'!AB13+'NG Stock Track'!AB48</f>
        <v>1027.8</v>
      </c>
      <c r="AC13" s="220">
        <f>'NG Stock Track'!AC13+'NG Stock Track'!AC48</f>
        <v>878.6</v>
      </c>
      <c r="AD13" s="220">
        <f>'NG Stock Track'!AD13+'NG Stock Track'!AD48</f>
        <v>2156.3</v>
      </c>
    </row>
    <row r="14" spans="1:30">
      <c r="A14" s="223" t="s">
        <v>1279</v>
      </c>
      <c r="B14" s="220">
        <f>'NG Stock Track'!B14+'NG Stock Track'!B49+ROUND('NG Stock Track'!$B227/9,1)</f>
        <v>57.1</v>
      </c>
      <c r="C14" s="220">
        <f>'NG Stock Track'!C14+'NG Stock Track'!C49+ROUND('NG Stock Track'!$B227/9,1)</f>
        <v>57.1</v>
      </c>
      <c r="D14" s="220">
        <f>'NG Stock Track'!D14+'NG Stock Track'!D49+ROUND('NG Stock Track'!$B227/9,1)</f>
        <v>57.1</v>
      </c>
      <c r="E14" s="220">
        <f>'NG Stock Track'!E14+'NG Stock Track'!E49+ROUND('NG Stock Track'!$B227/9,1)</f>
        <v>57.1</v>
      </c>
      <c r="F14" s="220">
        <f>'NG Stock Track'!F14+'NG Stock Track'!F49+ROUND('NG Stock Track'!$B227/9,1)</f>
        <v>57.1</v>
      </c>
      <c r="G14" s="220">
        <f>'NG Stock Track'!G14+'NG Stock Track'!G49+ROUND('NG Stock Track'!$B227/9,1)</f>
        <v>57.1</v>
      </c>
      <c r="H14" s="220">
        <f>'NG Stock Track'!H14+'NG Stock Track'!H49+ROUND('NG Stock Track'!$B227/9,1)</f>
        <v>380.3</v>
      </c>
      <c r="I14" s="220">
        <f>'NG Stock Track'!I14+'NG Stock Track'!I49+ROUND('NG Stock Track'!$B227/9,1)</f>
        <v>57.1</v>
      </c>
      <c r="J14" s="220">
        <f>'NG Stock Track'!J14+'NG Stock Track'!J49+ROUND('NG Stock Track'!$B227/9,1)</f>
        <v>57.1</v>
      </c>
      <c r="K14" s="220">
        <f>MAX(ROUND('NG Stock Track'!K191-'NG Stock Track'!J191,0)-K49,0)</f>
        <v>0</v>
      </c>
      <c r="L14" s="220">
        <f>MAX(ROUND('NG Stock Track'!L191-'NG Stock Track'!K191,0)-L49,0)</f>
        <v>53</v>
      </c>
      <c r="M14" s="220">
        <f>MAX(ROUND('NG Stock Track'!M191-'NG Stock Track'!L191,0)-M49,0)</f>
        <v>0</v>
      </c>
      <c r="N14" s="220">
        <f>MAX(ROUND('NG Stock Track'!N191-'NG Stock Track'!M191,0)-N49,0)</f>
        <v>1497</v>
      </c>
      <c r="O14" s="220">
        <f>MAX(ROUND('NG Stock Track'!O191-'NG Stock Track'!N191,0)-O49,0)</f>
        <v>0</v>
      </c>
      <c r="P14" s="220">
        <f>MAX(ROUND('NG Stock Track'!P191-'NG Stock Track'!O191,0)-P49,0)</f>
        <v>1533</v>
      </c>
      <c r="Q14" s="220">
        <f>'NG Stock Track'!Q14+'NG Stock Track'!Q49+ROUND('NG Stock Track'!$C227/5,1)</f>
        <v>804.91</v>
      </c>
      <c r="R14" s="220">
        <f>'NG Stock Track'!R14+'NG Stock Track'!R49+ROUND('NG Stock Track'!$C227/5,1)</f>
        <v>0</v>
      </c>
      <c r="S14" s="220">
        <f>'NG Stock Track'!S14+'NG Stock Track'!S49+ROUND('NG Stock Track'!$C227/5,1)</f>
        <v>0</v>
      </c>
      <c r="T14" s="220">
        <f>'NG Stock Track'!T14+'NG Stock Track'!T49+ROUND('NG Stock Track'!$C227/5,1)</f>
        <v>0</v>
      </c>
      <c r="U14" s="220">
        <f>'NG Stock Track'!U14+'NG Stock Track'!U49+ROUND('NG Stock Track'!$C227/5,1)</f>
        <v>1267</v>
      </c>
      <c r="V14" s="220">
        <f>'NG Stock Track'!V14+'NG Stock Track'!V49+ROUND('NG Stock Track'!$D227/4,1)</f>
        <v>3281.6</v>
      </c>
      <c r="W14" s="220">
        <f>'NG Stock Track'!W14+'NG Stock Track'!W49+ROUND('NG Stock Track'!$D227/4,1)</f>
        <v>2912</v>
      </c>
      <c r="X14" s="220">
        <f>'NG Stock Track'!X14+'NG Stock Track'!X49+ROUND('NG Stock Track'!$D227/4,1)</f>
        <v>2534.1</v>
      </c>
      <c r="Y14" s="220">
        <f>'NG Stock Track'!Y14+'NG Stock Track'!Y49+ROUND('NG Stock Track'!$D227/4,1)</f>
        <v>969.6</v>
      </c>
      <c r="Z14" s="220">
        <f>'NG Stock Track'!Z14+'NG Stock Track'!Z49</f>
        <v>224</v>
      </c>
      <c r="AA14" s="220">
        <f>'NG Stock Track'!AA14+'NG Stock Track'!AA49</f>
        <v>244.1</v>
      </c>
      <c r="AB14" s="220">
        <f>'NG Stock Track'!AB14+'NG Stock Track'!AB49</f>
        <v>0</v>
      </c>
      <c r="AC14" s="220">
        <f>'NG Stock Track'!AC14+'NG Stock Track'!AC49</f>
        <v>0</v>
      </c>
      <c r="AD14" s="220">
        <f>'NG Stock Track'!AD14+'NG Stock Track'!AD49</f>
        <v>0</v>
      </c>
    </row>
    <row r="15" spans="1:30">
      <c r="A15" s="223" t="s">
        <v>1280</v>
      </c>
      <c r="B15" s="220">
        <f>'NG Stock Track'!B15+'NG Stock Track'!B50+ROUND('NG Stock Track'!$B228/9,1)</f>
        <v>12.7</v>
      </c>
      <c r="C15" s="220">
        <f>'NG Stock Track'!C15+'NG Stock Track'!C50+ROUND('NG Stock Track'!$B228/9,1)</f>
        <v>12.7</v>
      </c>
      <c r="D15" s="220">
        <f>'NG Stock Track'!D15+'NG Stock Track'!D50+ROUND('NG Stock Track'!$B228/9,1)</f>
        <v>12.7</v>
      </c>
      <c r="E15" s="220">
        <f>'NG Stock Track'!E15+'NG Stock Track'!E50+ROUND('NG Stock Track'!$B228/9,1)</f>
        <v>12.7</v>
      </c>
      <c r="F15" s="220">
        <f>'NG Stock Track'!F15+'NG Stock Track'!F50+ROUND('NG Stock Track'!$B228/9,1)</f>
        <v>12.7</v>
      </c>
      <c r="G15" s="220">
        <f>'NG Stock Track'!G15+'NG Stock Track'!G50+ROUND('NG Stock Track'!$B228/9,1)</f>
        <v>12.7</v>
      </c>
      <c r="H15" s="220">
        <f>'NG Stock Track'!H15+'NG Stock Track'!H50+ROUND('NG Stock Track'!$B228/9,1)</f>
        <v>12.7</v>
      </c>
      <c r="I15" s="220">
        <f>'NG Stock Track'!I15+'NG Stock Track'!I50+ROUND('NG Stock Track'!$B228/9,1)</f>
        <v>12.7</v>
      </c>
      <c r="J15" s="220">
        <f>'NG Stock Track'!J15+'NG Stock Track'!J50+ROUND('NG Stock Track'!$B228/9,1)</f>
        <v>12.7</v>
      </c>
      <c r="K15" s="220">
        <f>MAX(ROUND('NG Stock Track'!K192-'NG Stock Track'!J192,0)-K50,0)</f>
        <v>0</v>
      </c>
      <c r="L15" s="220">
        <f>MAX(ROUND('NG Stock Track'!L192-'NG Stock Track'!K192,0)-L50,0)</f>
        <v>0</v>
      </c>
      <c r="M15" s="220">
        <f>MAX(ROUND('NG Stock Track'!M192-'NG Stock Track'!L192,0)-M50,0)</f>
        <v>0</v>
      </c>
      <c r="N15" s="220">
        <f>MAX(ROUND('NG Stock Track'!N192-'NG Stock Track'!M192,0)-N50,0)</f>
        <v>0</v>
      </c>
      <c r="O15" s="220">
        <f>MAX(ROUND('NG Stock Track'!O192-'NG Stock Track'!N192,0)-O50,0)</f>
        <v>6</v>
      </c>
      <c r="P15" s="220">
        <f>MAX(ROUND('NG Stock Track'!P192-'NG Stock Track'!O192,0)-P50,0)</f>
        <v>77</v>
      </c>
      <c r="Q15" s="220">
        <f>'NG Stock Track'!Q15+'NG Stock Track'!Q50+ROUND('NG Stock Track'!$C228/5,1)</f>
        <v>0</v>
      </c>
      <c r="R15" s="220">
        <f>'NG Stock Track'!R15+'NG Stock Track'!R50+ROUND('NG Stock Track'!$C228/5,1)</f>
        <v>0</v>
      </c>
      <c r="S15" s="220">
        <f>'NG Stock Track'!S15+'NG Stock Track'!S50+ROUND('NG Stock Track'!$C228/5,1)</f>
        <v>0</v>
      </c>
      <c r="T15" s="220">
        <f>'NG Stock Track'!T15+'NG Stock Track'!T50+ROUND('NG Stock Track'!$C228/5,1)</f>
        <v>0</v>
      </c>
      <c r="U15" s="220">
        <f>'NG Stock Track'!U15+'NG Stock Track'!U50+ROUND('NG Stock Track'!$C228/5,1)</f>
        <v>0</v>
      </c>
      <c r="V15" s="220">
        <f>'NG Stock Track'!V15+'NG Stock Track'!V50+ROUND('NG Stock Track'!$D228/4,1)</f>
        <v>25</v>
      </c>
      <c r="W15" s="220">
        <f>'NG Stock Track'!W15+'NG Stock Track'!W50+ROUND('NG Stock Track'!$D228/4,1)</f>
        <v>101.4</v>
      </c>
      <c r="X15" s="220">
        <f>'NG Stock Track'!X15+'NG Stock Track'!X50+ROUND('NG Stock Track'!$D228/4,1)</f>
        <v>25</v>
      </c>
      <c r="Y15" s="220">
        <f>'NG Stock Track'!Y15+'NG Stock Track'!Y50+ROUND('NG Stock Track'!$D228/4,1)</f>
        <v>25</v>
      </c>
      <c r="Z15" s="220">
        <f>'NG Stock Track'!Z15+'NG Stock Track'!Z50</f>
        <v>0</v>
      </c>
      <c r="AA15" s="220">
        <f>'NG Stock Track'!AA15+'NG Stock Track'!AA50</f>
        <v>12</v>
      </c>
      <c r="AB15" s="220">
        <f>'NG Stock Track'!AB15+'NG Stock Track'!AB50</f>
        <v>0</v>
      </c>
      <c r="AC15" s="220">
        <f>'NG Stock Track'!AC15+'NG Stock Track'!AC50</f>
        <v>0</v>
      </c>
      <c r="AD15" s="220">
        <f>'NG Stock Track'!AD15+'NG Stock Track'!AD50</f>
        <v>0</v>
      </c>
    </row>
    <row r="16" spans="1:30">
      <c r="A16" s="223" t="s">
        <v>1281</v>
      </c>
      <c r="B16" s="220">
        <f>'NG Stock Track'!B16+'NG Stock Track'!B51+ROUND('NG Stock Track'!$B229/9,1)</f>
        <v>11.1</v>
      </c>
      <c r="C16" s="220">
        <f>'NG Stock Track'!C16+'NG Stock Track'!C51+ROUND('NG Stock Track'!$B229/9,1)</f>
        <v>11.1</v>
      </c>
      <c r="D16" s="220">
        <f>'NG Stock Track'!D16+'NG Stock Track'!D51+ROUND('NG Stock Track'!$B229/9,1)</f>
        <v>11.1</v>
      </c>
      <c r="E16" s="220">
        <f>'NG Stock Track'!E16+'NG Stock Track'!E51+ROUND('NG Stock Track'!$B229/9,1)</f>
        <v>11.1</v>
      </c>
      <c r="F16" s="220">
        <f>'NG Stock Track'!F16+'NG Stock Track'!F51+ROUND('NG Stock Track'!$B229/9,1)</f>
        <v>11.1</v>
      </c>
      <c r="G16" s="220">
        <f>'NG Stock Track'!G16+'NG Stock Track'!G51+ROUND('NG Stock Track'!$B229/9,1)</f>
        <v>11.1</v>
      </c>
      <c r="H16" s="220">
        <f>'NG Stock Track'!H16+'NG Stock Track'!H51+ROUND('NG Stock Track'!$B229/9,1)</f>
        <v>11.1</v>
      </c>
      <c r="I16" s="220">
        <f>'NG Stock Track'!I16+'NG Stock Track'!I51+ROUND('NG Stock Track'!$B229/9,1)</f>
        <v>11.1</v>
      </c>
      <c r="J16" s="220">
        <f>'NG Stock Track'!J16+'NG Stock Track'!J51+ROUND('NG Stock Track'!$B229/9,1)</f>
        <v>11.1</v>
      </c>
      <c r="K16" s="220">
        <f>MAX(ROUND('NG Stock Track'!K193-'NG Stock Track'!J193,0)-K51,0)</f>
        <v>8</v>
      </c>
      <c r="L16" s="220">
        <f>MAX(ROUND('NG Stock Track'!L193-'NG Stock Track'!K193,0)-L51,0)</f>
        <v>0</v>
      </c>
      <c r="M16" s="220">
        <f>MAX(ROUND('NG Stock Track'!M193-'NG Stock Track'!L193,0)-M51,0)</f>
        <v>0</v>
      </c>
      <c r="N16" s="220">
        <f>MAX(ROUND('NG Stock Track'!N193-'NG Stock Track'!M193,0)-N51,0)</f>
        <v>0</v>
      </c>
      <c r="O16" s="220">
        <f>MAX(ROUND('NG Stock Track'!O193-'NG Stock Track'!N193,0)-O51,0)</f>
        <v>0</v>
      </c>
      <c r="P16" s="220">
        <f>MAX(ROUND('NG Stock Track'!P193-'NG Stock Track'!O193,0)-P51,0)</f>
        <v>0</v>
      </c>
      <c r="Q16" s="220">
        <f>'NG Stock Track'!Q16+'NG Stock Track'!Q51+ROUND('NG Stock Track'!$C229/5,1)</f>
        <v>111.6</v>
      </c>
      <c r="R16" s="220">
        <f>'NG Stock Track'!R16+'NG Stock Track'!R51+ROUND('NG Stock Track'!$C229/5,1)</f>
        <v>2211.6</v>
      </c>
      <c r="S16" s="220">
        <f>'NG Stock Track'!S16+'NG Stock Track'!S51+ROUND('NG Stock Track'!$C229/5,1)</f>
        <v>1511.6</v>
      </c>
      <c r="T16" s="220">
        <f>'NG Stock Track'!T16+'NG Stock Track'!T51+ROUND('NG Stock Track'!$C229/5,1)</f>
        <v>111.6</v>
      </c>
      <c r="U16" s="220">
        <f>'NG Stock Track'!U16+'NG Stock Track'!U51+ROUND('NG Stock Track'!$C229/5,1)</f>
        <v>111.6</v>
      </c>
      <c r="V16" s="220">
        <f>'NG Stock Track'!V16+'NG Stock Track'!V51+ROUND('NG Stock Track'!$D229/4,1)</f>
        <v>0</v>
      </c>
      <c r="W16" s="220">
        <f>'NG Stock Track'!W16+'NG Stock Track'!W51+ROUND('NG Stock Track'!$D229/4,1)</f>
        <v>0</v>
      </c>
      <c r="X16" s="220">
        <f>'NG Stock Track'!X16+'NG Stock Track'!X51+ROUND('NG Stock Track'!$D229/4,1)</f>
        <v>0</v>
      </c>
      <c r="Y16" s="220">
        <f>'NG Stock Track'!Y16+'NG Stock Track'!Y51+ROUND('NG Stock Track'!$D229/4,1)</f>
        <v>0</v>
      </c>
      <c r="Z16" s="220">
        <f>'NG Stock Track'!Z16+'NG Stock Track'!Z51</f>
        <v>0</v>
      </c>
      <c r="AA16" s="220">
        <f>'NG Stock Track'!AA16+'NG Stock Track'!AA51</f>
        <v>0</v>
      </c>
      <c r="AB16" s="220">
        <f>'NG Stock Track'!AB16+'NG Stock Track'!AB51</f>
        <v>3</v>
      </c>
      <c r="AC16" s="220">
        <f>'NG Stock Track'!AC16+'NG Stock Track'!AC51</f>
        <v>0</v>
      </c>
      <c r="AD16" s="220">
        <f>'NG Stock Track'!AD16+'NG Stock Track'!AD51</f>
        <v>0</v>
      </c>
    </row>
    <row r="17" spans="1:30">
      <c r="A17" s="223" t="s">
        <v>1282</v>
      </c>
      <c r="B17" s="220">
        <f>'NG Stock Track'!B17+'NG Stock Track'!B52+ROUND('NG Stock Track'!$B230/9,1)</f>
        <v>0</v>
      </c>
      <c r="C17" s="220">
        <f>'NG Stock Track'!C17+'NG Stock Track'!C52+ROUND('NG Stock Track'!$B230/9,1)</f>
        <v>0</v>
      </c>
      <c r="D17" s="220">
        <f>'NG Stock Track'!D17+'NG Stock Track'!D52+ROUND('NG Stock Track'!$B230/9,1)</f>
        <v>0</v>
      </c>
      <c r="E17" s="220">
        <f>'NG Stock Track'!E17+'NG Stock Track'!E52+ROUND('NG Stock Track'!$B230/9,1)</f>
        <v>0</v>
      </c>
      <c r="F17" s="220">
        <f>'NG Stock Track'!F17+'NG Stock Track'!F52+ROUND('NG Stock Track'!$B230/9,1)</f>
        <v>0</v>
      </c>
      <c r="G17" s="220">
        <f>'NG Stock Track'!G17+'NG Stock Track'!G52+ROUND('NG Stock Track'!$B230/9,1)</f>
        <v>0</v>
      </c>
      <c r="H17" s="220">
        <f>'NG Stock Track'!H17+'NG Stock Track'!H52+ROUND('NG Stock Track'!$B230/9,1)</f>
        <v>0</v>
      </c>
      <c r="I17" s="220">
        <f>'NG Stock Track'!I17+'NG Stock Track'!I52+ROUND('NG Stock Track'!$B230/9,1)</f>
        <v>0</v>
      </c>
      <c r="J17" s="220">
        <f>'NG Stock Track'!J17+'NG Stock Track'!J52+ROUND('NG Stock Track'!$B230/9,1)</f>
        <v>0</v>
      </c>
      <c r="K17" s="220">
        <f>MAX(ROUND('NG Stock Track'!K194-'NG Stock Track'!J194,0)-K52,0)</f>
        <v>0</v>
      </c>
      <c r="L17" s="220">
        <f>MAX(ROUND('NG Stock Track'!L194-'NG Stock Track'!K194,0)-L52,0)</f>
        <v>0</v>
      </c>
      <c r="M17" s="220">
        <f>MAX(ROUND('NG Stock Track'!M194-'NG Stock Track'!L194,0)-M52,0)</f>
        <v>0</v>
      </c>
      <c r="N17" s="220">
        <f>MAX(ROUND('NG Stock Track'!N194-'NG Stock Track'!M194,0)-N52,0)</f>
        <v>0</v>
      </c>
      <c r="O17" s="220">
        <f>MAX(ROUND('NG Stock Track'!O194-'NG Stock Track'!N194,0)-O52,0)</f>
        <v>500</v>
      </c>
      <c r="P17" s="220">
        <f>MAX(ROUND('NG Stock Track'!P194-'NG Stock Track'!O194,0)-P52,0)</f>
        <v>0</v>
      </c>
      <c r="Q17" s="220">
        <f>'NG Stock Track'!Q17+'NG Stock Track'!Q52+ROUND('NG Stock Track'!$C230/5,1)</f>
        <v>0</v>
      </c>
      <c r="R17" s="220">
        <f>'NG Stock Track'!R17+'NG Stock Track'!R52+ROUND('NG Stock Track'!$C230/5,1)</f>
        <v>0</v>
      </c>
      <c r="S17" s="220">
        <f>'NG Stock Track'!S17+'NG Stock Track'!S52+ROUND('NG Stock Track'!$C230/5,1)</f>
        <v>0</v>
      </c>
      <c r="T17" s="220">
        <f>'NG Stock Track'!T17+'NG Stock Track'!T52+ROUND('NG Stock Track'!$C230/5,1)</f>
        <v>0</v>
      </c>
      <c r="U17" s="220">
        <f>'NG Stock Track'!U17+'NG Stock Track'!U52+ROUND('NG Stock Track'!$C230/5,1)</f>
        <v>0</v>
      </c>
      <c r="V17" s="220">
        <f>'NG Stock Track'!V17+'NG Stock Track'!V52+ROUND('NG Stock Track'!$D230/4,1)</f>
        <v>25</v>
      </c>
      <c r="W17" s="220">
        <f>'NG Stock Track'!W17+'NG Stock Track'!W52+ROUND('NG Stock Track'!$D230/4,1)</f>
        <v>25</v>
      </c>
      <c r="X17" s="220">
        <f>'NG Stock Track'!X17+'NG Stock Track'!X52+ROUND('NG Stock Track'!$D230/4,1)</f>
        <v>25</v>
      </c>
      <c r="Y17" s="220">
        <f>'NG Stock Track'!Y17+'NG Stock Track'!Y52+ROUND('NG Stock Track'!$D230/4,1)</f>
        <v>25</v>
      </c>
      <c r="Z17" s="220">
        <f>'NG Stock Track'!Z17+'NG Stock Track'!Z52</f>
        <v>0</v>
      </c>
      <c r="AA17" s="220">
        <f>'NG Stock Track'!AA17+'NG Stock Track'!AA52</f>
        <v>0</v>
      </c>
      <c r="AB17" s="220">
        <f>'NG Stock Track'!AB17+'NG Stock Track'!AB52</f>
        <v>0</v>
      </c>
      <c r="AC17" s="220">
        <f>'NG Stock Track'!AC17+'NG Stock Track'!AC52</f>
        <v>0</v>
      </c>
      <c r="AD17" s="220">
        <f>'NG Stock Track'!AD17+'NG Stock Track'!AD52</f>
        <v>0</v>
      </c>
    </row>
    <row r="18" spans="1:30">
      <c r="A18" s="223" t="s">
        <v>1283</v>
      </c>
      <c r="B18" s="220">
        <f>'NG Stock Track'!B18+'NG Stock Track'!B53+ROUND('NG Stock Track'!$B231/9,1)</f>
        <v>0</v>
      </c>
      <c r="C18" s="220">
        <f>'NG Stock Track'!C18+'NG Stock Track'!C53+ROUND('NG Stock Track'!$B231/9,1)</f>
        <v>0</v>
      </c>
      <c r="D18" s="220">
        <f>'NG Stock Track'!D18+'NG Stock Track'!D53+ROUND('NG Stock Track'!$B231/9,1)</f>
        <v>0</v>
      </c>
      <c r="E18" s="220">
        <f>'NG Stock Track'!E18+'NG Stock Track'!E53+ROUND('NG Stock Track'!$B231/9,1)</f>
        <v>0</v>
      </c>
      <c r="F18" s="220">
        <f>'NG Stock Track'!F18+'NG Stock Track'!F53+ROUND('NG Stock Track'!$B231/9,1)</f>
        <v>0</v>
      </c>
      <c r="G18" s="220">
        <f>'NG Stock Track'!G18+'NG Stock Track'!G53+ROUND('NG Stock Track'!$B231/9,1)</f>
        <v>0</v>
      </c>
      <c r="H18" s="220">
        <f>'NG Stock Track'!H18+'NG Stock Track'!H53+ROUND('NG Stock Track'!$B231/9,1)</f>
        <v>0</v>
      </c>
      <c r="I18" s="220">
        <f>'NG Stock Track'!I18+'NG Stock Track'!I53+ROUND('NG Stock Track'!$B231/9,1)</f>
        <v>0</v>
      </c>
      <c r="J18" s="220">
        <f>'NG Stock Track'!J18+'NG Stock Track'!J53+ROUND('NG Stock Track'!$B231/9,1)</f>
        <v>0</v>
      </c>
      <c r="K18" s="220">
        <f>MAX(ROUND('NG Stock Track'!K195-'NG Stock Track'!J195,0)-K53,0)</f>
        <v>106</v>
      </c>
      <c r="L18" s="220">
        <f>MAX(ROUND('NG Stock Track'!L195-'NG Stock Track'!K195,0)-L53,0)</f>
        <v>0</v>
      </c>
      <c r="M18" s="220">
        <f>MAX(ROUND('NG Stock Track'!M195-'NG Stock Track'!L195,0)-M53,0)</f>
        <v>0</v>
      </c>
      <c r="N18" s="220">
        <f>MAX(ROUND('NG Stock Track'!N195-'NG Stock Track'!M195,0)-N53,0)</f>
        <v>0</v>
      </c>
      <c r="O18" s="220">
        <f>MAX(ROUND('NG Stock Track'!O195-'NG Stock Track'!N195,0)-O53,0)</f>
        <v>0</v>
      </c>
      <c r="P18" s="220">
        <f>MAX(ROUND('NG Stock Track'!P195-'NG Stock Track'!O195,0)-P53,0)</f>
        <v>0</v>
      </c>
      <c r="Q18" s="220">
        <f>'NG Stock Track'!Q18+'NG Stock Track'!Q53+ROUND('NG Stock Track'!$C231/5,1)</f>
        <v>50.7</v>
      </c>
      <c r="R18" s="220">
        <f>'NG Stock Track'!R18+'NG Stock Track'!R53+ROUND('NG Stock Track'!$C231/5,1)</f>
        <v>50.7</v>
      </c>
      <c r="S18" s="220">
        <f>'NG Stock Track'!S18+'NG Stock Track'!S53+ROUND('NG Stock Track'!$C231/5,1)</f>
        <v>200.7</v>
      </c>
      <c r="T18" s="220">
        <f>'NG Stock Track'!T18+'NG Stock Track'!T53+ROUND('NG Stock Track'!$C231/5,1)</f>
        <v>50.7</v>
      </c>
      <c r="U18" s="220">
        <f>'NG Stock Track'!U18+'NG Stock Track'!U53+ROUND('NG Stock Track'!$C231/5,1)</f>
        <v>50.7</v>
      </c>
      <c r="V18" s="220">
        <f>'NG Stock Track'!V18+'NG Stock Track'!V53+ROUND('NG Stock Track'!$D231/4,1)</f>
        <v>0</v>
      </c>
      <c r="W18" s="220">
        <f>'NG Stock Track'!W18+'NG Stock Track'!W53+ROUND('NG Stock Track'!$D231/4,1)</f>
        <v>0</v>
      </c>
      <c r="X18" s="220">
        <f>'NG Stock Track'!X18+'NG Stock Track'!X53+ROUND('NG Stock Track'!$D231/4,1)</f>
        <v>0</v>
      </c>
      <c r="Y18" s="220">
        <f>'NG Stock Track'!Y18+'NG Stock Track'!Y53+ROUND('NG Stock Track'!$D231/4,1)</f>
        <v>0</v>
      </c>
      <c r="Z18" s="220">
        <f>'NG Stock Track'!Z18+'NG Stock Track'!Z53</f>
        <v>0</v>
      </c>
      <c r="AA18" s="220">
        <f>'NG Stock Track'!AA18+'NG Stock Track'!AA53</f>
        <v>6</v>
      </c>
      <c r="AB18" s="220">
        <f>'NG Stock Track'!AB18+'NG Stock Track'!AB53</f>
        <v>6.6</v>
      </c>
      <c r="AC18" s="220">
        <f>'NG Stock Track'!AC18+'NG Stock Track'!AC53</f>
        <v>0</v>
      </c>
      <c r="AD18" s="220">
        <f>'NG Stock Track'!AD18+'NG Stock Track'!AD53</f>
        <v>19.5</v>
      </c>
    </row>
    <row r="19" spans="1:30">
      <c r="A19" s="223" t="s">
        <v>1284</v>
      </c>
      <c r="B19" s="220">
        <f>'NG Stock Track'!B19+'NG Stock Track'!B54+ROUND('NG Stock Track'!$B232/9,1)</f>
        <v>5.8</v>
      </c>
      <c r="C19" s="220">
        <f>'NG Stock Track'!C19+'NG Stock Track'!C54+ROUND('NG Stock Track'!$B232/9,1)</f>
        <v>5.8</v>
      </c>
      <c r="D19" s="220">
        <f>'NG Stock Track'!D19+'NG Stock Track'!D54+ROUND('NG Stock Track'!$B232/9,1)</f>
        <v>5.8</v>
      </c>
      <c r="E19" s="220">
        <f>'NG Stock Track'!E19+'NG Stock Track'!E54+ROUND('NG Stock Track'!$B232/9,1)</f>
        <v>5.8</v>
      </c>
      <c r="F19" s="220">
        <f>'NG Stock Track'!F19+'NG Stock Track'!F54+ROUND('NG Stock Track'!$B232/9,1)</f>
        <v>5.8</v>
      </c>
      <c r="G19" s="220">
        <f>'NG Stock Track'!G19+'NG Stock Track'!G54+ROUND('NG Stock Track'!$B232/9,1)</f>
        <v>5.8</v>
      </c>
      <c r="H19" s="220">
        <f>'NG Stock Track'!H19+'NG Stock Track'!H54+ROUND('NG Stock Track'!$B232/9,1)</f>
        <v>5.8</v>
      </c>
      <c r="I19" s="220">
        <f>'NG Stock Track'!I19+'NG Stock Track'!I54+ROUND('NG Stock Track'!$B232/9,1)</f>
        <v>5.8</v>
      </c>
      <c r="J19" s="220">
        <f>'NG Stock Track'!J19+'NG Stock Track'!J54+ROUND('NG Stock Track'!$B232/9,1)</f>
        <v>29.8</v>
      </c>
      <c r="K19" s="220">
        <f>MAX(ROUND('NG Stock Track'!K196-'NG Stock Track'!J196,0)-K54,0)</f>
        <v>147</v>
      </c>
      <c r="L19" s="220">
        <f>MAX(ROUND('NG Stock Track'!L196-'NG Stock Track'!K196,0)-L54,0)</f>
        <v>0</v>
      </c>
      <c r="M19" s="220">
        <f>MAX(ROUND('NG Stock Track'!M196-'NG Stock Track'!L196,0)-M54,0)</f>
        <v>0</v>
      </c>
      <c r="N19" s="220">
        <f>MAX(ROUND('NG Stock Track'!N196-'NG Stock Track'!M196,0)-N54,0)</f>
        <v>0</v>
      </c>
      <c r="O19" s="220">
        <f>MAX(ROUND('NG Stock Track'!O196-'NG Stock Track'!N196,0)-O54,0)</f>
        <v>0</v>
      </c>
      <c r="P19" s="220">
        <f>MAX(ROUND('NG Stock Track'!P196-'NG Stock Track'!O196,0)-P54,0)</f>
        <v>1170</v>
      </c>
      <c r="Q19" s="220">
        <f>'NG Stock Track'!Q19+'NG Stock Track'!Q54+ROUND('NG Stock Track'!$C232/5,1)</f>
        <v>78</v>
      </c>
      <c r="R19" s="220">
        <f>'NG Stock Track'!R19+'NG Stock Track'!R54+ROUND('NG Stock Track'!$C232/5,1)</f>
        <v>78</v>
      </c>
      <c r="S19" s="220">
        <f>'NG Stock Track'!S19+'NG Stock Track'!S54+ROUND('NG Stock Track'!$C232/5,1)</f>
        <v>78</v>
      </c>
      <c r="T19" s="220">
        <f>'NG Stock Track'!T19+'NG Stock Track'!T54+ROUND('NG Stock Track'!$C232/5,1)</f>
        <v>78</v>
      </c>
      <c r="U19" s="220">
        <f>'NG Stock Track'!U19+'NG Stock Track'!U54+ROUND('NG Stock Track'!$C232/5,1)</f>
        <v>78</v>
      </c>
      <c r="V19" s="220">
        <f>'NG Stock Track'!V19+'NG Stock Track'!V54+ROUND('NG Stock Track'!$D232/4,1)</f>
        <v>12.5</v>
      </c>
      <c r="W19" s="220">
        <f>'NG Stock Track'!W19+'NG Stock Track'!W54+ROUND('NG Stock Track'!$D232/4,1)</f>
        <v>12.5</v>
      </c>
      <c r="X19" s="220">
        <f>'NG Stock Track'!X19+'NG Stock Track'!X54+ROUND('NG Stock Track'!$D232/4,1)</f>
        <v>12.5</v>
      </c>
      <c r="Y19" s="220">
        <f>'NG Stock Track'!Y19+'NG Stock Track'!Y54+ROUND('NG Stock Track'!$D232/4,1)</f>
        <v>12.5</v>
      </c>
      <c r="Z19" s="220">
        <f>'NG Stock Track'!Z19+'NG Stock Track'!Z54</f>
        <v>36</v>
      </c>
      <c r="AA19" s="220">
        <f>'NG Stock Track'!AA19+'NG Stock Track'!AA54</f>
        <v>350</v>
      </c>
      <c r="AB19" s="220">
        <f>'NG Stock Track'!AB19+'NG Stock Track'!AB54</f>
        <v>350</v>
      </c>
      <c r="AC19" s="220">
        <f>'NG Stock Track'!AC19+'NG Stock Track'!AC54</f>
        <v>200</v>
      </c>
      <c r="AD19" s="220">
        <f>'NG Stock Track'!AD19+'NG Stock Track'!AD54</f>
        <v>0</v>
      </c>
    </row>
    <row r="20" spans="1:30">
      <c r="A20" s="223" t="s">
        <v>1285</v>
      </c>
      <c r="B20" s="220">
        <f>'NG Stock Track'!B20+'NG Stock Track'!B55+ROUND('NG Stock Track'!$B233/9,1)</f>
        <v>0</v>
      </c>
      <c r="C20" s="220">
        <f>'NG Stock Track'!C20+'NG Stock Track'!C55+ROUND('NG Stock Track'!$B233/9,1)</f>
        <v>0</v>
      </c>
      <c r="D20" s="220">
        <f>'NG Stock Track'!D20+'NG Stock Track'!D55+ROUND('NG Stock Track'!$B233/9,1)</f>
        <v>0</v>
      </c>
      <c r="E20" s="220">
        <f>'NG Stock Track'!E20+'NG Stock Track'!E55+ROUND('NG Stock Track'!$B233/9,1)</f>
        <v>0</v>
      </c>
      <c r="F20" s="220">
        <f>'NG Stock Track'!F20+'NG Stock Track'!F55+ROUND('NG Stock Track'!$B233/9,1)</f>
        <v>0</v>
      </c>
      <c r="G20" s="220">
        <f>'NG Stock Track'!G20+'NG Stock Track'!G55+ROUND('NG Stock Track'!$B233/9,1)</f>
        <v>0</v>
      </c>
      <c r="H20" s="220">
        <f>'NG Stock Track'!H20+'NG Stock Track'!H55+ROUND('NG Stock Track'!$B233/9,1)</f>
        <v>0</v>
      </c>
      <c r="I20" s="220">
        <f>'NG Stock Track'!I20+'NG Stock Track'!I55+ROUND('NG Stock Track'!$B233/9,1)</f>
        <v>0</v>
      </c>
      <c r="J20" s="220">
        <f>'NG Stock Track'!J20+'NG Stock Track'!J55+ROUND('NG Stock Track'!$B233/9,1)</f>
        <v>0</v>
      </c>
      <c r="K20" s="220">
        <f>MAX(ROUND('NG Stock Track'!K197-'NG Stock Track'!J197,0)-K55,0)</f>
        <v>120</v>
      </c>
      <c r="L20" s="220">
        <f>MAX(ROUND('NG Stock Track'!L197-'NG Stock Track'!K197,0)-L55,0)</f>
        <v>0</v>
      </c>
      <c r="M20" s="220">
        <f>MAX(ROUND('NG Stock Track'!M197-'NG Stock Track'!L197,0)-M55,0)</f>
        <v>0</v>
      </c>
      <c r="N20" s="220">
        <f>MAX(ROUND('NG Stock Track'!N197-'NG Stock Track'!M197,0)-N55,0)</f>
        <v>3</v>
      </c>
      <c r="O20" s="220">
        <f>MAX(ROUND('NG Stock Track'!O197-'NG Stock Track'!N197,0)-O55,0)</f>
        <v>66</v>
      </c>
      <c r="P20" s="220">
        <f>MAX(ROUND('NG Stock Track'!P197-'NG Stock Track'!O197,0)-P55,0)</f>
        <v>0</v>
      </c>
      <c r="Q20" s="220">
        <f>'NG Stock Track'!Q20+'NG Stock Track'!Q55+ROUND('NG Stock Track'!$C233/5,1)</f>
        <v>0</v>
      </c>
      <c r="R20" s="220">
        <f>'NG Stock Track'!R20+'NG Stock Track'!R55+ROUND('NG Stock Track'!$C233/5,1)</f>
        <v>0</v>
      </c>
      <c r="S20" s="220">
        <f>'NG Stock Track'!S20+'NG Stock Track'!S55+ROUND('NG Stock Track'!$C233/5,1)</f>
        <v>185</v>
      </c>
      <c r="T20" s="220">
        <f>'NG Stock Track'!T20+'NG Stock Track'!T55+ROUND('NG Stock Track'!$C233/5,1)</f>
        <v>0</v>
      </c>
      <c r="U20" s="220">
        <f>'NG Stock Track'!U20+'NG Stock Track'!U55+ROUND('NG Stock Track'!$C233/5,1)</f>
        <v>0</v>
      </c>
      <c r="V20" s="220">
        <f>'NG Stock Track'!V20+'NG Stock Track'!V55+ROUND('NG Stock Track'!$D233/4,1)</f>
        <v>50.9</v>
      </c>
      <c r="W20" s="220">
        <f>'NG Stock Track'!W20+'NG Stock Track'!W55+ROUND('NG Stock Track'!$D233/4,1)</f>
        <v>50.9</v>
      </c>
      <c r="X20" s="220">
        <f>'NG Stock Track'!X20+'NG Stock Track'!X55+ROUND('NG Stock Track'!$D233/4,1)</f>
        <v>420.9</v>
      </c>
      <c r="Y20" s="220">
        <f>'NG Stock Track'!Y20+'NG Stock Track'!Y55+ROUND('NG Stock Track'!$D233/4,1)</f>
        <v>50.9</v>
      </c>
      <c r="Z20" s="220">
        <f>'NG Stock Track'!Z20+'NG Stock Track'!Z55</f>
        <v>190.3</v>
      </c>
      <c r="AA20" s="220">
        <f>'NG Stock Track'!AA20+'NG Stock Track'!AA55</f>
        <v>0</v>
      </c>
      <c r="AB20" s="220">
        <f>'NG Stock Track'!AB20+'NG Stock Track'!AB55</f>
        <v>0</v>
      </c>
      <c r="AC20" s="220">
        <f>'NG Stock Track'!AC20+'NG Stock Track'!AC55</f>
        <v>154</v>
      </c>
      <c r="AD20" s="220">
        <f>'NG Stock Track'!AD20+'NG Stock Track'!AD55</f>
        <v>245.6</v>
      </c>
    </row>
    <row r="21" spans="1:30">
      <c r="A21" s="223" t="s">
        <v>1286</v>
      </c>
      <c r="B21" s="220">
        <f>'NG Stock Track'!B21+'NG Stock Track'!B56+ROUND('NG Stock Track'!$B234/9,1)</f>
        <v>0</v>
      </c>
      <c r="C21" s="220">
        <f>'NG Stock Track'!C21+'NG Stock Track'!C56+ROUND('NG Stock Track'!$B234/9,1)</f>
        <v>0</v>
      </c>
      <c r="D21" s="220">
        <f>'NG Stock Track'!D21+'NG Stock Track'!D56+ROUND('NG Stock Track'!$B234/9,1)</f>
        <v>0</v>
      </c>
      <c r="E21" s="220">
        <f>'NG Stock Track'!E21+'NG Stock Track'!E56+ROUND('NG Stock Track'!$B234/9,1)</f>
        <v>0</v>
      </c>
      <c r="F21" s="220">
        <f>'NG Stock Track'!F21+'NG Stock Track'!F56+ROUND('NG Stock Track'!$B234/9,1)</f>
        <v>0</v>
      </c>
      <c r="G21" s="220">
        <f>'NG Stock Track'!G21+'NG Stock Track'!G56+ROUND('NG Stock Track'!$B234/9,1)</f>
        <v>0</v>
      </c>
      <c r="H21" s="220">
        <f>'NG Stock Track'!H21+'NG Stock Track'!H56+ROUND('NG Stock Track'!$B234/9,1)</f>
        <v>0</v>
      </c>
      <c r="I21" s="220">
        <f>'NG Stock Track'!I21+'NG Stock Track'!I56+ROUND('NG Stock Track'!$B234/9,1)</f>
        <v>0</v>
      </c>
      <c r="J21" s="220">
        <f>'NG Stock Track'!J21+'NG Stock Track'!J56+ROUND('NG Stock Track'!$B234/9,1)</f>
        <v>0</v>
      </c>
      <c r="K21" s="220">
        <f>MAX(ROUND('NG Stock Track'!K198-'NG Stock Track'!J198,0)-K56,0)</f>
        <v>30</v>
      </c>
      <c r="L21" s="220">
        <f>MAX(ROUND('NG Stock Track'!L198-'NG Stock Track'!K198,0)-L56,0)</f>
        <v>0</v>
      </c>
      <c r="M21" s="220">
        <f>MAX(ROUND('NG Stock Track'!M198-'NG Stock Track'!L198,0)-M56,0)</f>
        <v>0</v>
      </c>
      <c r="N21" s="220">
        <f>MAX(ROUND('NG Stock Track'!N198-'NG Stock Track'!M198,0)-N56,0)</f>
        <v>42</v>
      </c>
      <c r="O21" s="220">
        <f>MAX(ROUND('NG Stock Track'!O198-'NG Stock Track'!N198,0)-O56,0)</f>
        <v>36</v>
      </c>
      <c r="P21" s="220">
        <f>MAX(ROUND('NG Stock Track'!P198-'NG Stock Track'!O198,0)-P56,0)</f>
        <v>29</v>
      </c>
      <c r="Q21" s="220">
        <f>'NG Stock Track'!Q21+'NG Stock Track'!Q56+ROUND('NG Stock Track'!$C234/5,1)</f>
        <v>0</v>
      </c>
      <c r="R21" s="220">
        <f>'NG Stock Track'!R21+'NG Stock Track'!R56+ROUND('NG Stock Track'!$C234/5,1)</f>
        <v>0</v>
      </c>
      <c r="S21" s="220">
        <f>'NG Stock Track'!S21+'NG Stock Track'!S56+ROUND('NG Stock Track'!$C234/5,1)</f>
        <v>0</v>
      </c>
      <c r="T21" s="220">
        <f>'NG Stock Track'!T21+'NG Stock Track'!T56+ROUND('NG Stock Track'!$C234/5,1)</f>
        <v>0</v>
      </c>
      <c r="U21" s="220">
        <f>'NG Stock Track'!U21+'NG Stock Track'!U56+ROUND('NG Stock Track'!$C234/5,1)</f>
        <v>0</v>
      </c>
      <c r="V21" s="220">
        <f>'NG Stock Track'!V21+'NG Stock Track'!V56+ROUND('NG Stock Track'!$D234/4,1)</f>
        <v>2.5</v>
      </c>
      <c r="W21" s="220">
        <f>'NG Stock Track'!W21+'NG Stock Track'!W56+ROUND('NG Stock Track'!$D234/4,1)</f>
        <v>2.5</v>
      </c>
      <c r="X21" s="220">
        <f>'NG Stock Track'!X21+'NG Stock Track'!X56+ROUND('NG Stock Track'!$D234/4,1)</f>
        <v>2.5</v>
      </c>
      <c r="Y21" s="220">
        <f>'NG Stock Track'!Y21+'NG Stock Track'!Y56+ROUND('NG Stock Track'!$D234/4,1)</f>
        <v>2.5</v>
      </c>
      <c r="Z21" s="220">
        <f>'NG Stock Track'!Z21+'NG Stock Track'!Z56</f>
        <v>0</v>
      </c>
      <c r="AA21" s="220">
        <f>'NG Stock Track'!AA21+'NG Stock Track'!AA56</f>
        <v>10</v>
      </c>
      <c r="AB21" s="220">
        <f>'NG Stock Track'!AB21+'NG Stock Track'!AB56</f>
        <v>6.5</v>
      </c>
      <c r="AC21" s="220">
        <f>'NG Stock Track'!AC21+'NG Stock Track'!AC56</f>
        <v>0</v>
      </c>
      <c r="AD21" s="220">
        <f>'NG Stock Track'!AD21+'NG Stock Track'!AD56</f>
        <v>0</v>
      </c>
    </row>
    <row r="22" spans="1:30">
      <c r="A22" s="223" t="s">
        <v>1287</v>
      </c>
      <c r="B22" s="220">
        <f>'NG Stock Track'!B22+'NG Stock Track'!B57+ROUND('NG Stock Track'!$B235/9,1)</f>
        <v>266.9</v>
      </c>
      <c r="C22" s="220">
        <f>'NG Stock Track'!C22+'NG Stock Track'!C57+ROUND('NG Stock Track'!$B235/9,1)</f>
        <v>266.9</v>
      </c>
      <c r="D22" s="220">
        <f>'NG Stock Track'!D22+'NG Stock Track'!D57+ROUND('NG Stock Track'!$B235/9,1)</f>
        <v>266.9</v>
      </c>
      <c r="E22" s="220">
        <f>'NG Stock Track'!E22+'NG Stock Track'!E57+ROUND('NG Stock Track'!$B235/9,1)</f>
        <v>266.9</v>
      </c>
      <c r="F22" s="220">
        <f>'NG Stock Track'!F22+'NG Stock Track'!F57+ROUND('NG Stock Track'!$B235/9,1)</f>
        <v>391.9</v>
      </c>
      <c r="G22" s="220">
        <f>'NG Stock Track'!G22+'NG Stock Track'!G57+ROUND('NG Stock Track'!$B235/9,1)</f>
        <v>391.9</v>
      </c>
      <c r="H22" s="220">
        <f>'NG Stock Track'!H22+'NG Stock Track'!H57+ROUND('NG Stock Track'!$B235/9,1)</f>
        <v>266.9</v>
      </c>
      <c r="I22" s="220">
        <f>'NG Stock Track'!I22+'NG Stock Track'!I57+ROUND('NG Stock Track'!$B235/9,1)</f>
        <v>266.9</v>
      </c>
      <c r="J22" s="220">
        <f>'NG Stock Track'!J22+'NG Stock Track'!J57+ROUND('NG Stock Track'!$B235/9,1)</f>
        <v>266.9</v>
      </c>
      <c r="K22" s="220">
        <f>MAX(ROUND('NG Stock Track'!K199-'NG Stock Track'!J199,0)-K57,0)</f>
        <v>236</v>
      </c>
      <c r="L22" s="220">
        <f>MAX(ROUND('NG Stock Track'!L199-'NG Stock Track'!K199,0)-L57,0)</f>
        <v>403</v>
      </c>
      <c r="M22" s="220">
        <f>MAX(ROUND('NG Stock Track'!M199-'NG Stock Track'!L199,0)-M57,0)</f>
        <v>0</v>
      </c>
      <c r="N22" s="220">
        <f>MAX(ROUND('NG Stock Track'!N199-'NG Stock Track'!M199,0)-N57,0)</f>
        <v>1124</v>
      </c>
      <c r="O22" s="220">
        <f>MAX(ROUND('NG Stock Track'!O199-'NG Stock Track'!N199,0)-O57,0)</f>
        <v>2145</v>
      </c>
      <c r="P22" s="220">
        <f>MAX(ROUND('NG Stock Track'!P199-'NG Stock Track'!O199,0)-P57,0)</f>
        <v>2213</v>
      </c>
      <c r="Q22" s="220">
        <f>'NG Stock Track'!Q22+'NG Stock Track'!Q57+ROUND('NG Stock Track'!$C235/5,1)</f>
        <v>97.6</v>
      </c>
      <c r="R22" s="220">
        <f>'NG Stock Track'!R22+'NG Stock Track'!R57+ROUND('NG Stock Track'!$C235/5,1)</f>
        <v>97.6</v>
      </c>
      <c r="S22" s="220">
        <f>'NG Stock Track'!S22+'NG Stock Track'!S57+ROUND('NG Stock Track'!$C235/5,1)</f>
        <v>757.6</v>
      </c>
      <c r="T22" s="220">
        <f>'NG Stock Track'!T22+'NG Stock Track'!T57+ROUND('NG Stock Track'!$C235/5,1)</f>
        <v>97.6</v>
      </c>
      <c r="U22" s="220">
        <f>'NG Stock Track'!U22+'NG Stock Track'!U57+ROUND('NG Stock Track'!$C235/5,1)</f>
        <v>97.6</v>
      </c>
      <c r="V22" s="220">
        <f>'NG Stock Track'!V22+'NG Stock Track'!V57+ROUND('NG Stock Track'!$D235/4,1)</f>
        <v>1033.4</v>
      </c>
      <c r="W22" s="220">
        <f>'NG Stock Track'!W22+'NG Stock Track'!W57+ROUND('NG Stock Track'!$D235/4,1)</f>
        <v>1813.4</v>
      </c>
      <c r="X22" s="220">
        <f>'NG Stock Track'!X22+'NG Stock Track'!X57+ROUND('NG Stock Track'!$D235/4,1)</f>
        <v>1033.4</v>
      </c>
      <c r="Y22" s="220">
        <f>'NG Stock Track'!Y22+'NG Stock Track'!Y57+ROUND('NG Stock Track'!$D235/4,1)</f>
        <v>1033.4</v>
      </c>
      <c r="Z22" s="220">
        <f>'NG Stock Track'!Z22+'NG Stock Track'!Z57</f>
        <v>0</v>
      </c>
      <c r="AA22" s="220">
        <f>'NG Stock Track'!AA22+'NG Stock Track'!AA57</f>
        <v>4148</v>
      </c>
      <c r="AB22" s="220">
        <f>'NG Stock Track'!AB22+'NG Stock Track'!AB57</f>
        <v>1380</v>
      </c>
      <c r="AC22" s="220">
        <f>'NG Stock Track'!AC22+'NG Stock Track'!AC57</f>
        <v>4239.6</v>
      </c>
      <c r="AD22" s="220">
        <f>'NG Stock Track'!AD22+'NG Stock Track'!AD57</f>
        <v>2449.8</v>
      </c>
    </row>
    <row r="23" spans="1:30">
      <c r="A23" s="223" t="s">
        <v>1288</v>
      </c>
      <c r="B23" s="220">
        <f>'NG Stock Track'!B23+'NG Stock Track'!B58+ROUND('NG Stock Track'!$B236/9,1)</f>
        <v>9.1</v>
      </c>
      <c r="C23" s="220">
        <f>'NG Stock Track'!C23+'NG Stock Track'!C58+ROUND('NG Stock Track'!$B236/9,1)</f>
        <v>9.1</v>
      </c>
      <c r="D23" s="220">
        <f>'NG Stock Track'!D23+'NG Stock Track'!D58+ROUND('NG Stock Track'!$B236/9,1)</f>
        <v>9.1</v>
      </c>
      <c r="E23" s="220">
        <f>'NG Stock Track'!E23+'NG Stock Track'!E58+ROUND('NG Stock Track'!$B236/9,1)</f>
        <v>9.1</v>
      </c>
      <c r="F23" s="220">
        <f>'NG Stock Track'!F23+'NG Stock Track'!F58+ROUND('NG Stock Track'!$B236/9,1)</f>
        <v>9.1</v>
      </c>
      <c r="G23" s="220">
        <f>'NG Stock Track'!G23+'NG Stock Track'!G58+ROUND('NG Stock Track'!$B236/9,1)</f>
        <v>9.1</v>
      </c>
      <c r="H23" s="220">
        <f>'NG Stock Track'!H23+'NG Stock Track'!H58+ROUND('NG Stock Track'!$B236/9,1)</f>
        <v>9.1</v>
      </c>
      <c r="I23" s="220">
        <f>'NG Stock Track'!I23+'NG Stock Track'!I58+ROUND('NG Stock Track'!$B236/9,1)</f>
        <v>9.1</v>
      </c>
      <c r="J23" s="220">
        <f>'NG Stock Track'!J23+'NG Stock Track'!J58+ROUND('NG Stock Track'!$B236/9,1)</f>
        <v>9.1</v>
      </c>
      <c r="K23" s="220">
        <f>MAX(ROUND('NG Stock Track'!K200-'NG Stock Track'!J200,0)-K58,0)</f>
        <v>0</v>
      </c>
      <c r="L23" s="220">
        <f>MAX(ROUND('NG Stock Track'!L200-'NG Stock Track'!K200,0)-L58,0)</f>
        <v>0</v>
      </c>
      <c r="M23" s="220">
        <f>MAX(ROUND('NG Stock Track'!M200-'NG Stock Track'!L200,0)-M58,0)</f>
        <v>0</v>
      </c>
      <c r="N23" s="220">
        <f>MAX(ROUND('NG Stock Track'!N200-'NG Stock Track'!M200,0)-N58,0)</f>
        <v>0</v>
      </c>
      <c r="O23" s="220">
        <f>MAX(ROUND('NG Stock Track'!O200-'NG Stock Track'!N200,0)-O58,0)</f>
        <v>0</v>
      </c>
      <c r="P23" s="220">
        <f>MAX(ROUND('NG Stock Track'!P200-'NG Stock Track'!O200,0)-P58,0)</f>
        <v>0</v>
      </c>
      <c r="Q23" s="220">
        <f>'NG Stock Track'!Q23+'NG Stock Track'!Q58+ROUND('NG Stock Track'!$C236/5,1)</f>
        <v>0</v>
      </c>
      <c r="R23" s="220">
        <f>'NG Stock Track'!R23+'NG Stock Track'!R58+ROUND('NG Stock Track'!$C236/5,1)</f>
        <v>0</v>
      </c>
      <c r="S23" s="220">
        <f>'NG Stock Track'!S23+'NG Stock Track'!S58+ROUND('NG Stock Track'!$C236/5,1)</f>
        <v>0</v>
      </c>
      <c r="T23" s="220">
        <f>'NG Stock Track'!T23+'NG Stock Track'!T58+ROUND('NG Stock Track'!$C236/5,1)</f>
        <v>0</v>
      </c>
      <c r="U23" s="220">
        <f>'NG Stock Track'!U23+'NG Stock Track'!U58+ROUND('NG Stock Track'!$C236/5,1)</f>
        <v>0</v>
      </c>
      <c r="V23" s="220">
        <f>'NG Stock Track'!V23+'NG Stock Track'!V58+ROUND('NG Stock Track'!$D236/4,1)</f>
        <v>30</v>
      </c>
      <c r="W23" s="220">
        <f>'NG Stock Track'!W23+'NG Stock Track'!W58+ROUND('NG Stock Track'!$D236/4,1)</f>
        <v>30</v>
      </c>
      <c r="X23" s="220">
        <f>'NG Stock Track'!X23+'NG Stock Track'!X58+ROUND('NG Stock Track'!$D236/4,1)</f>
        <v>30</v>
      </c>
      <c r="Y23" s="220">
        <f>'NG Stock Track'!Y23+'NG Stock Track'!Y58+ROUND('NG Stock Track'!$D236/4,1)</f>
        <v>30</v>
      </c>
      <c r="Z23" s="220">
        <f>'NG Stock Track'!Z23+'NG Stock Track'!Z58</f>
        <v>0</v>
      </c>
      <c r="AA23" s="220">
        <f>'NG Stock Track'!AA23+'NG Stock Track'!AA58</f>
        <v>0</v>
      </c>
      <c r="AB23" s="220">
        <f>'NG Stock Track'!AB23+'NG Stock Track'!AB58</f>
        <v>0</v>
      </c>
      <c r="AC23" s="220">
        <f>'NG Stock Track'!AC23+'NG Stock Track'!AC58</f>
        <v>0</v>
      </c>
      <c r="AD23" s="220">
        <f>'NG Stock Track'!AD23+'NG Stock Track'!AD58</f>
        <v>0</v>
      </c>
    </row>
    <row r="24" spans="1:30">
      <c r="A24" s="223" t="s">
        <v>1289</v>
      </c>
      <c r="B24" s="220">
        <f>'NG Stock Track'!B24+'NG Stock Track'!B59+ROUND('NG Stock Track'!$B237/9,1)</f>
        <v>440</v>
      </c>
      <c r="C24" s="220">
        <f>'NG Stock Track'!C24+'NG Stock Track'!C59+ROUND('NG Stock Track'!$B237/9,1)</f>
        <v>66</v>
      </c>
      <c r="D24" s="220">
        <f>'NG Stock Track'!D24+'NG Stock Track'!D59+ROUND('NG Stock Track'!$B237/9,1)</f>
        <v>66</v>
      </c>
      <c r="E24" s="220">
        <f>'NG Stock Track'!E24+'NG Stock Track'!E59+ROUND('NG Stock Track'!$B237/9,1)</f>
        <v>0</v>
      </c>
      <c r="F24" s="220">
        <f>'NG Stock Track'!F24+'NG Stock Track'!F59+ROUND('NG Stock Track'!$B237/9,1)</f>
        <v>0</v>
      </c>
      <c r="G24" s="220">
        <f>'NG Stock Track'!G24+'NG Stock Track'!G59+ROUND('NG Stock Track'!$B237/9,1)</f>
        <v>0</v>
      </c>
      <c r="H24" s="220">
        <f>'NG Stock Track'!H24+'NG Stock Track'!H59+ROUND('NG Stock Track'!$B237/9,1)</f>
        <v>0</v>
      </c>
      <c r="I24" s="220">
        <f>'NG Stock Track'!I24+'NG Stock Track'!I59+ROUND('NG Stock Track'!$B237/9,1)</f>
        <v>0</v>
      </c>
      <c r="J24" s="220">
        <f>'NG Stock Track'!J24+'NG Stock Track'!J59+ROUND('NG Stock Track'!$B237/9,1)</f>
        <v>0</v>
      </c>
      <c r="K24" s="220">
        <f>MAX(ROUND('NG Stock Track'!K201-'NG Stock Track'!J201,0)-K59,0)</f>
        <v>0</v>
      </c>
      <c r="L24" s="220">
        <f>MAX(ROUND('NG Stock Track'!L201-'NG Stock Track'!K201,0)-L59,0)</f>
        <v>0</v>
      </c>
      <c r="M24" s="220">
        <f>MAX(ROUND('NG Stock Track'!M201-'NG Stock Track'!L201,0)-M59,0)</f>
        <v>0</v>
      </c>
      <c r="N24" s="220">
        <f>MAX(ROUND('NG Stock Track'!N201-'NG Stock Track'!M201,0)-N59,0)</f>
        <v>903</v>
      </c>
      <c r="O24" s="220">
        <f>MAX(ROUND('NG Stock Track'!O201-'NG Stock Track'!N201,0)-O59,0)</f>
        <v>330</v>
      </c>
      <c r="P24" s="220">
        <f>MAX(ROUND('NG Stock Track'!P201-'NG Stock Track'!O201,0)-P59,0)</f>
        <v>0</v>
      </c>
      <c r="Q24" s="220">
        <f>'NG Stock Track'!Q24+'NG Stock Track'!Q59+ROUND('NG Stock Track'!$C237/5,1)</f>
        <v>0</v>
      </c>
      <c r="R24" s="220">
        <f>'NG Stock Track'!R24+'NG Stock Track'!R59+ROUND('NG Stock Track'!$C237/5,1)</f>
        <v>0</v>
      </c>
      <c r="S24" s="220">
        <f>'NG Stock Track'!S24+'NG Stock Track'!S59+ROUND('NG Stock Track'!$C237/5,1)</f>
        <v>0</v>
      </c>
      <c r="T24" s="220">
        <f>'NG Stock Track'!T24+'NG Stock Track'!T59+ROUND('NG Stock Track'!$C237/5,1)</f>
        <v>0</v>
      </c>
      <c r="U24" s="220">
        <f>'NG Stock Track'!U24+'NG Stock Track'!U59+ROUND('NG Stock Track'!$C237/5,1)</f>
        <v>0</v>
      </c>
      <c r="V24" s="220">
        <f>'NG Stock Track'!V24+'NG Stock Track'!V59+ROUND('NG Stock Track'!$D237/4,1)</f>
        <v>47.6</v>
      </c>
      <c r="W24" s="220">
        <f>'NG Stock Track'!W24+'NG Stock Track'!W59+ROUND('NG Stock Track'!$D237/4,1)</f>
        <v>47.6</v>
      </c>
      <c r="X24" s="220">
        <f>'NG Stock Track'!X24+'NG Stock Track'!X59+ROUND('NG Stock Track'!$D237/4,1)</f>
        <v>47.6</v>
      </c>
      <c r="Y24" s="220">
        <f>'NG Stock Track'!Y24+'NG Stock Track'!Y59+ROUND('NG Stock Track'!$D237/4,1)</f>
        <v>47.6</v>
      </c>
      <c r="Z24" s="220">
        <f>'NG Stock Track'!Z24+'NG Stock Track'!Z59</f>
        <v>0</v>
      </c>
      <c r="AA24" s="220">
        <f>'NG Stock Track'!AA24+'NG Stock Track'!AA59</f>
        <v>0</v>
      </c>
      <c r="AB24" s="220">
        <f>'NG Stock Track'!AB24+'NG Stock Track'!AB59</f>
        <v>460</v>
      </c>
      <c r="AC24" s="220">
        <f>'NG Stock Track'!AC24+'NG Stock Track'!AC59</f>
        <v>960</v>
      </c>
      <c r="AD24" s="220">
        <f>'NG Stock Track'!AD24+'NG Stock Track'!AD59</f>
        <v>487.1</v>
      </c>
    </row>
    <row r="25" spans="1:30">
      <c r="A25" s="223" t="s">
        <v>1290</v>
      </c>
      <c r="B25" s="220">
        <f>'NG Stock Track'!B25+'NG Stock Track'!B60+ROUND('NG Stock Track'!$B238/9,1)</f>
        <v>0</v>
      </c>
      <c r="C25" s="220">
        <f>'NG Stock Track'!C25+'NG Stock Track'!C60+ROUND('NG Stock Track'!$B238/9,1)</f>
        <v>0</v>
      </c>
      <c r="D25" s="220">
        <f>'NG Stock Track'!D25+'NG Stock Track'!D60+ROUND('NG Stock Track'!$B238/9,1)</f>
        <v>0</v>
      </c>
      <c r="E25" s="220">
        <f>'NG Stock Track'!E25+'NG Stock Track'!E60+ROUND('NG Stock Track'!$B238/9,1)</f>
        <v>0</v>
      </c>
      <c r="F25" s="220">
        <f>'NG Stock Track'!F25+'NG Stock Track'!F60+ROUND('NG Stock Track'!$B238/9,1)</f>
        <v>0</v>
      </c>
      <c r="G25" s="220">
        <f>'NG Stock Track'!G25+'NG Stock Track'!G60+ROUND('NG Stock Track'!$B238/9,1)</f>
        <v>0</v>
      </c>
      <c r="H25" s="220">
        <f>'NG Stock Track'!H25+'NG Stock Track'!H60+ROUND('NG Stock Track'!$B238/9,1)</f>
        <v>0</v>
      </c>
      <c r="I25" s="220">
        <f>'NG Stock Track'!I25+'NG Stock Track'!I60+ROUND('NG Stock Track'!$B238/9,1)</f>
        <v>0</v>
      </c>
      <c r="J25" s="220">
        <f>'NG Stock Track'!J25+'NG Stock Track'!J60+ROUND('NG Stock Track'!$B238/9,1)</f>
        <v>0</v>
      </c>
      <c r="K25" s="220">
        <f>MAX(ROUND('NG Stock Track'!K202-'NG Stock Track'!J202,0)-K60,0)</f>
        <v>74</v>
      </c>
      <c r="L25" s="220">
        <f>MAX(ROUND('NG Stock Track'!L202-'NG Stock Track'!K202,0)-L60,0)</f>
        <v>0</v>
      </c>
      <c r="M25" s="220">
        <f>MAX(ROUND('NG Stock Track'!M202-'NG Stock Track'!L202,0)-M60,0)</f>
        <v>0</v>
      </c>
      <c r="N25" s="220">
        <f>MAX(ROUND('NG Stock Track'!N202-'NG Stock Track'!M202,0)-N60,0)</f>
        <v>0</v>
      </c>
      <c r="O25" s="220">
        <f>MAX(ROUND('NG Stock Track'!O202-'NG Stock Track'!N202,0)-O60,0)</f>
        <v>0</v>
      </c>
      <c r="P25" s="220">
        <f>MAX(ROUND('NG Stock Track'!P202-'NG Stock Track'!O202,0)-P60,0)</f>
        <v>0</v>
      </c>
      <c r="Q25" s="220">
        <f>'NG Stock Track'!Q25+'NG Stock Track'!Q60+ROUND('NG Stock Track'!$C238/5,1)</f>
        <v>0</v>
      </c>
      <c r="R25" s="220">
        <f>'NG Stock Track'!R25+'NG Stock Track'!R60+ROUND('NG Stock Track'!$C238/5,1)</f>
        <v>0</v>
      </c>
      <c r="S25" s="220">
        <f>'NG Stock Track'!S25+'NG Stock Track'!S60+ROUND('NG Stock Track'!$C238/5,1)</f>
        <v>0</v>
      </c>
      <c r="T25" s="220">
        <f>'NG Stock Track'!T25+'NG Stock Track'!T60+ROUND('NG Stock Track'!$C238/5,1)</f>
        <v>0</v>
      </c>
      <c r="U25" s="220">
        <f>'NG Stock Track'!U25+'NG Stock Track'!U60+ROUND('NG Stock Track'!$C238/5,1)</f>
        <v>0</v>
      </c>
      <c r="V25" s="220">
        <f>'NG Stock Track'!V25+'NG Stock Track'!V60+ROUND('NG Stock Track'!$D238/4,1)</f>
        <v>405</v>
      </c>
      <c r="W25" s="220">
        <f>'NG Stock Track'!W25+'NG Stock Track'!W60+ROUND('NG Stock Track'!$D238/4,1)</f>
        <v>405</v>
      </c>
      <c r="X25" s="220">
        <f>'NG Stock Track'!X25+'NG Stock Track'!X60+ROUND('NG Stock Track'!$D238/4,1)</f>
        <v>405</v>
      </c>
      <c r="Y25" s="220">
        <f>'NG Stock Track'!Y25+'NG Stock Track'!Y60+ROUND('NG Stock Track'!$D238/4,1)</f>
        <v>405</v>
      </c>
      <c r="Z25" s="220">
        <f>'NG Stock Track'!Z25+'NG Stock Track'!Z60</f>
        <v>0</v>
      </c>
      <c r="AA25" s="220">
        <f>'NG Stock Track'!AA25+'NG Stock Track'!AA60</f>
        <v>13.5</v>
      </c>
      <c r="AB25" s="220">
        <f>'NG Stock Track'!AB25+'NG Stock Track'!AB60</f>
        <v>0</v>
      </c>
      <c r="AC25" s="220">
        <f>'NG Stock Track'!AC25+'NG Stock Track'!AC60</f>
        <v>0</v>
      </c>
      <c r="AD25" s="220">
        <f>'NG Stock Track'!AD25+'NG Stock Track'!AD60</f>
        <v>0</v>
      </c>
    </row>
    <row r="26" spans="1:30">
      <c r="A26" s="223" t="s">
        <v>1291</v>
      </c>
      <c r="B26" s="220">
        <f>'NG Stock Track'!B26+'NG Stock Track'!B61+ROUND('NG Stock Track'!$B239/9,1)</f>
        <v>12.2</v>
      </c>
      <c r="C26" s="220">
        <f>'NG Stock Track'!C26+'NG Stock Track'!C61+ROUND('NG Stock Track'!$B239/9,1)</f>
        <v>12.2</v>
      </c>
      <c r="D26" s="220">
        <f>'NG Stock Track'!D26+'NG Stock Track'!D61+ROUND('NG Stock Track'!$B239/9,1)</f>
        <v>12.2</v>
      </c>
      <c r="E26" s="220">
        <f>'NG Stock Track'!E26+'NG Stock Track'!E61+ROUND('NG Stock Track'!$B239/9,1)</f>
        <v>12.2</v>
      </c>
      <c r="F26" s="220">
        <f>'NG Stock Track'!F26+'NG Stock Track'!F61+ROUND('NG Stock Track'!$B239/9,1)</f>
        <v>12.2</v>
      </c>
      <c r="G26" s="220">
        <f>'NG Stock Track'!G26+'NG Stock Track'!G61+ROUND('NG Stock Track'!$B239/9,1)</f>
        <v>12.2</v>
      </c>
      <c r="H26" s="220">
        <f>'NG Stock Track'!H26+'NG Stock Track'!H61+ROUND('NG Stock Track'!$B239/9,1)</f>
        <v>12.2</v>
      </c>
      <c r="I26" s="220">
        <f>'NG Stock Track'!I26+'NG Stock Track'!I61+ROUND('NG Stock Track'!$B239/9,1)</f>
        <v>12.2</v>
      </c>
      <c r="J26" s="220">
        <f>'NG Stock Track'!J26+'NG Stock Track'!J61+ROUND('NG Stock Track'!$B239/9,1)</f>
        <v>12.2</v>
      </c>
      <c r="K26" s="220">
        <f>MAX(ROUND('NG Stock Track'!K203-'NG Stock Track'!J203,0)-K61,0)</f>
        <v>69</v>
      </c>
      <c r="L26" s="220">
        <f>MAX(ROUND('NG Stock Track'!L203-'NG Stock Track'!K203,0)-L61,0)</f>
        <v>0</v>
      </c>
      <c r="M26" s="220">
        <f>MAX(ROUND('NG Stock Track'!M203-'NG Stock Track'!L203,0)-M61,0)</f>
        <v>0</v>
      </c>
      <c r="N26" s="220">
        <f>MAX(ROUND('NG Stock Track'!N203-'NG Stock Track'!M203,0)-N61,0)</f>
        <v>0</v>
      </c>
      <c r="O26" s="220">
        <f>MAX(ROUND('NG Stock Track'!O203-'NG Stock Track'!N203,0)-O61,0)</f>
        <v>202</v>
      </c>
      <c r="P26" s="220">
        <f>MAX(ROUND('NG Stock Track'!P203-'NG Stock Track'!O203,0)-P61,0)</f>
        <v>0</v>
      </c>
      <c r="Q26" s="220">
        <f>'NG Stock Track'!Q26+'NG Stock Track'!Q61+ROUND('NG Stock Track'!$C239/5,1)</f>
        <v>0</v>
      </c>
      <c r="R26" s="220">
        <f>'NG Stock Track'!R26+'NG Stock Track'!R61+ROUND('NG Stock Track'!$C239/5,1)</f>
        <v>13</v>
      </c>
      <c r="S26" s="220">
        <f>'NG Stock Track'!S26+'NG Stock Track'!S61+ROUND('NG Stock Track'!$C239/5,1)</f>
        <v>0</v>
      </c>
      <c r="T26" s="220">
        <f>'NG Stock Track'!T26+'NG Stock Track'!T61+ROUND('NG Stock Track'!$C239/5,1)</f>
        <v>0</v>
      </c>
      <c r="U26" s="220">
        <f>'NG Stock Track'!U26+'NG Stock Track'!U61+ROUND('NG Stock Track'!$C239/5,1)</f>
        <v>0</v>
      </c>
      <c r="V26" s="220">
        <f>'NG Stock Track'!V26+'NG Stock Track'!V61+ROUND('NG Stock Track'!$D239/4,1)</f>
        <v>247.2</v>
      </c>
      <c r="W26" s="220">
        <f>'NG Stock Track'!W26+'NG Stock Track'!W61+ROUND('NG Stock Track'!$D239/4,1)</f>
        <v>247.2</v>
      </c>
      <c r="X26" s="220">
        <f>'NG Stock Track'!X26+'NG Stock Track'!X61+ROUND('NG Stock Track'!$D239/4,1)</f>
        <v>247.2</v>
      </c>
      <c r="Y26" s="220">
        <f>'NG Stock Track'!Y26+'NG Stock Track'!Y61+ROUND('NG Stock Track'!$D239/4,1)</f>
        <v>247.2</v>
      </c>
      <c r="Z26" s="220">
        <f>'NG Stock Track'!Z26+'NG Stock Track'!Z61</f>
        <v>1.5</v>
      </c>
      <c r="AA26" s="220">
        <f>'NG Stock Track'!AA26+'NG Stock Track'!AA61</f>
        <v>14.4</v>
      </c>
      <c r="AB26" s="220">
        <f>'NG Stock Track'!AB26+'NG Stock Track'!AB61</f>
        <v>0</v>
      </c>
      <c r="AC26" s="220">
        <f>'NG Stock Track'!AC26+'NG Stock Track'!AC61</f>
        <v>25</v>
      </c>
      <c r="AD26" s="220">
        <f>'NG Stock Track'!AD26+'NG Stock Track'!AD61</f>
        <v>7.5</v>
      </c>
    </row>
    <row r="27" spans="1:30">
      <c r="A27" s="223" t="s">
        <v>1292</v>
      </c>
      <c r="B27" s="220">
        <f>'NG Stock Track'!B27+'NG Stock Track'!B62+ROUND('NG Stock Track'!$B240/9,1)</f>
        <v>9.8</v>
      </c>
      <c r="C27" s="220">
        <f>'NG Stock Track'!C27+'NG Stock Track'!C62+ROUND('NG Stock Track'!$B240/9,1)</f>
        <v>9.8</v>
      </c>
      <c r="D27" s="220">
        <f>'NG Stock Track'!D27+'NG Stock Track'!D62+ROUND('NG Stock Track'!$B240/9,1)</f>
        <v>9.8</v>
      </c>
      <c r="E27" s="220">
        <f>'NG Stock Track'!E27+'NG Stock Track'!E62+ROUND('NG Stock Track'!$B240/9,1)</f>
        <v>9.8</v>
      </c>
      <c r="F27" s="220">
        <f>'NG Stock Track'!F27+'NG Stock Track'!F62+ROUND('NG Stock Track'!$B240/9,1)</f>
        <v>9.8</v>
      </c>
      <c r="G27" s="220">
        <f>'NG Stock Track'!G27+'NG Stock Track'!G62+ROUND('NG Stock Track'!$B240/9,1)</f>
        <v>9.8</v>
      </c>
      <c r="H27" s="220">
        <f>'NG Stock Track'!H27+'NG Stock Track'!H62+ROUND('NG Stock Track'!$B240/9,1)</f>
        <v>9.8</v>
      </c>
      <c r="I27" s="220">
        <f>'NG Stock Track'!I27+'NG Stock Track'!I62+ROUND('NG Stock Track'!$B240/9,1)</f>
        <v>9.8</v>
      </c>
      <c r="J27" s="220">
        <f>'NG Stock Track'!J27+'NG Stock Track'!J62+ROUND('NG Stock Track'!$B240/9,1)</f>
        <v>9.8</v>
      </c>
      <c r="K27" s="220">
        <f>MAX(ROUND('NG Stock Track'!K204-'NG Stock Track'!J204,0)-K62,0)</f>
        <v>0</v>
      </c>
      <c r="L27" s="220">
        <f>MAX(ROUND('NG Stock Track'!L204-'NG Stock Track'!K204,0)-L62,0)</f>
        <v>0</v>
      </c>
      <c r="M27" s="220">
        <f>MAX(ROUND('NG Stock Track'!M204-'NG Stock Track'!L204,0)-M62,0)</f>
        <v>0</v>
      </c>
      <c r="N27" s="220">
        <f>MAX(ROUND('NG Stock Track'!N204-'NG Stock Track'!M204,0)-N62,0)</f>
        <v>0</v>
      </c>
      <c r="O27" s="220">
        <f>MAX(ROUND('NG Stock Track'!O204-'NG Stock Track'!N204,0)-O62,0)</f>
        <v>0</v>
      </c>
      <c r="P27" s="220">
        <f>MAX(ROUND('NG Stock Track'!P204-'NG Stock Track'!O204,0)-P62,0)</f>
        <v>0</v>
      </c>
      <c r="Q27" s="220">
        <f>'NG Stock Track'!Q27+'NG Stock Track'!Q62+ROUND('NG Stock Track'!$C240/5,1)</f>
        <v>0</v>
      </c>
      <c r="R27" s="220">
        <f>'NG Stock Track'!R27+'NG Stock Track'!R62+ROUND('NG Stock Track'!$C240/5,1)</f>
        <v>0</v>
      </c>
      <c r="S27" s="220">
        <f>'NG Stock Track'!S27+'NG Stock Track'!S62+ROUND('NG Stock Track'!$C240/5,1)</f>
        <v>0</v>
      </c>
      <c r="T27" s="220">
        <f>'NG Stock Track'!T27+'NG Stock Track'!T62+ROUND('NG Stock Track'!$C240/5,1)</f>
        <v>0</v>
      </c>
      <c r="U27" s="220">
        <f>'NG Stock Track'!U27+'NG Stock Track'!U62+ROUND('NG Stock Track'!$C240/5,1)</f>
        <v>0</v>
      </c>
      <c r="V27" s="220">
        <f>'NG Stock Track'!V27+'NG Stock Track'!V62+ROUND('NG Stock Track'!$D240/4,1)</f>
        <v>0</v>
      </c>
      <c r="W27" s="220">
        <f>'NG Stock Track'!W27+'NG Stock Track'!W62+ROUND('NG Stock Track'!$D240/4,1)</f>
        <v>4.9</v>
      </c>
      <c r="X27" s="220">
        <f>'NG Stock Track'!X27+'NG Stock Track'!X62+ROUND('NG Stock Track'!$D240/4,1)</f>
        <v>0</v>
      </c>
      <c r="Y27" s="220">
        <f>'NG Stock Track'!Y27+'NG Stock Track'!Y62+ROUND('NG Stock Track'!$D240/4,1)</f>
        <v>2.1</v>
      </c>
      <c r="Z27" s="220">
        <f>'NG Stock Track'!Z27+'NG Stock Track'!Z62</f>
        <v>0</v>
      </c>
      <c r="AA27" s="220">
        <f>'NG Stock Track'!AA27+'NG Stock Track'!AA62</f>
        <v>0</v>
      </c>
      <c r="AB27" s="220">
        <f>'NG Stock Track'!AB27+'NG Stock Track'!AB62</f>
        <v>0</v>
      </c>
      <c r="AC27" s="220">
        <f>'NG Stock Track'!AC27+'NG Stock Track'!AC62</f>
        <v>0</v>
      </c>
      <c r="AD27" s="220">
        <f>'NG Stock Track'!AD27+'NG Stock Track'!AD62</f>
        <v>0</v>
      </c>
    </row>
    <row r="28" spans="1:30">
      <c r="A28" s="223" t="s">
        <v>1293</v>
      </c>
      <c r="B28" s="220">
        <f>'NG Stock Track'!B28+'NG Stock Track'!B63+ROUND('NG Stock Track'!$B241/9,1)</f>
        <v>0</v>
      </c>
      <c r="C28" s="220">
        <f>'NG Stock Track'!C28+'NG Stock Track'!C63+ROUND('NG Stock Track'!$B241/9,1)</f>
        <v>0</v>
      </c>
      <c r="D28" s="220">
        <f>'NG Stock Track'!D28+'NG Stock Track'!D63+ROUND('NG Stock Track'!$B241/9,1)</f>
        <v>0</v>
      </c>
      <c r="E28" s="220">
        <f>'NG Stock Track'!E28+'NG Stock Track'!E63+ROUND('NG Stock Track'!$B241/9,1)</f>
        <v>0</v>
      </c>
      <c r="F28" s="220">
        <f>'NG Stock Track'!F28+'NG Stock Track'!F63+ROUND('NG Stock Track'!$B241/9,1)</f>
        <v>0</v>
      </c>
      <c r="G28" s="220">
        <f>'NG Stock Track'!G28+'NG Stock Track'!G63+ROUND('NG Stock Track'!$B241/9,1)</f>
        <v>0</v>
      </c>
      <c r="H28" s="220">
        <f>'NG Stock Track'!H28+'NG Stock Track'!H63+ROUND('NG Stock Track'!$B241/9,1)</f>
        <v>0</v>
      </c>
      <c r="I28" s="220">
        <f>'NG Stock Track'!I28+'NG Stock Track'!I63+ROUND('NG Stock Track'!$B241/9,1)</f>
        <v>0</v>
      </c>
      <c r="J28" s="220">
        <f>'NG Stock Track'!J28+'NG Stock Track'!J63+ROUND('NG Stock Track'!$B241/9,1)</f>
        <v>0</v>
      </c>
      <c r="K28" s="220">
        <f>MAX(ROUND('NG Stock Track'!K205-'NG Stock Track'!J205,0)-K63,0)</f>
        <v>0</v>
      </c>
      <c r="L28" s="220">
        <f>MAX(ROUND('NG Stock Track'!L205-'NG Stock Track'!K205,0)-L63,0)</f>
        <v>0</v>
      </c>
      <c r="M28" s="220">
        <f>MAX(ROUND('NG Stock Track'!M205-'NG Stock Track'!L205,0)-M63,0)</f>
        <v>0</v>
      </c>
      <c r="N28" s="220">
        <f>MAX(ROUND('NG Stock Track'!N205-'NG Stock Track'!M205,0)-N63,0)</f>
        <v>0</v>
      </c>
      <c r="O28" s="220">
        <f>MAX(ROUND('NG Stock Track'!O205-'NG Stock Track'!N205,0)-O63,0)</f>
        <v>0</v>
      </c>
      <c r="P28" s="220">
        <f>MAX(ROUND('NG Stock Track'!P205-'NG Stock Track'!O205,0)-P63,0)</f>
        <v>0</v>
      </c>
      <c r="Q28" s="220">
        <f>'NG Stock Track'!Q28+'NG Stock Track'!Q63+ROUND('NG Stock Track'!$C241/5,1)</f>
        <v>0</v>
      </c>
      <c r="R28" s="220">
        <f>'NG Stock Track'!R28+'NG Stock Track'!R63+ROUND('NG Stock Track'!$C241/5,1)</f>
        <v>0</v>
      </c>
      <c r="S28" s="220">
        <f>'NG Stock Track'!S28+'NG Stock Track'!S63+ROUND('NG Stock Track'!$C241/5,1)</f>
        <v>0</v>
      </c>
      <c r="T28" s="220">
        <f>'NG Stock Track'!T28+'NG Stock Track'!T63+ROUND('NG Stock Track'!$C241/5,1)</f>
        <v>0</v>
      </c>
      <c r="U28" s="220">
        <f>'NG Stock Track'!U28+'NG Stock Track'!U63+ROUND('NG Stock Track'!$C241/5,1)</f>
        <v>0</v>
      </c>
      <c r="V28" s="220">
        <f>'NG Stock Track'!V28+'NG Stock Track'!V63+ROUND('NG Stock Track'!$D241/4,1)</f>
        <v>5</v>
      </c>
      <c r="W28" s="220">
        <f>'NG Stock Track'!W28+'NG Stock Track'!W63+ROUND('NG Stock Track'!$D241/4,1)</f>
        <v>5</v>
      </c>
      <c r="X28" s="220">
        <f>'NG Stock Track'!X28+'NG Stock Track'!X63+ROUND('NG Stock Track'!$D241/4,1)</f>
        <v>5</v>
      </c>
      <c r="Y28" s="220">
        <f>'NG Stock Track'!Y28+'NG Stock Track'!Y63+ROUND('NG Stock Track'!$D241/4,1)</f>
        <v>5</v>
      </c>
      <c r="Z28" s="220">
        <f>'NG Stock Track'!Z28+'NG Stock Track'!Z63</f>
        <v>0</v>
      </c>
      <c r="AA28" s="220">
        <f>'NG Stock Track'!AA28+'NG Stock Track'!AA63</f>
        <v>0</v>
      </c>
      <c r="AB28" s="220">
        <f>'NG Stock Track'!AB28+'NG Stock Track'!AB63</f>
        <v>0</v>
      </c>
      <c r="AC28" s="220">
        <f>'NG Stock Track'!AC28+'NG Stock Track'!AC63</f>
        <v>0</v>
      </c>
      <c r="AD28" s="220">
        <f>'NG Stock Track'!AD28+'NG Stock Track'!AD63</f>
        <v>0</v>
      </c>
    </row>
    <row r="29" spans="1:30">
      <c r="A29" s="223" t="s">
        <v>1294</v>
      </c>
      <c r="B29" s="220">
        <f>'NG Stock Track'!B29+'NG Stock Track'!B64+ROUND('NG Stock Track'!$B242/9,1)</f>
        <v>0</v>
      </c>
      <c r="C29" s="220">
        <f>'NG Stock Track'!C29+'NG Stock Track'!C64+ROUND('NG Stock Track'!$B242/9,1)</f>
        <v>0</v>
      </c>
      <c r="D29" s="220">
        <f>'NG Stock Track'!D29+'NG Stock Track'!D64+ROUND('NG Stock Track'!$B242/9,1)</f>
        <v>0</v>
      </c>
      <c r="E29" s="220">
        <f>'NG Stock Track'!E29+'NG Stock Track'!E64+ROUND('NG Stock Track'!$B242/9,1)</f>
        <v>0</v>
      </c>
      <c r="F29" s="220">
        <f>'NG Stock Track'!F29+'NG Stock Track'!F64+ROUND('NG Stock Track'!$B242/9,1)</f>
        <v>0</v>
      </c>
      <c r="G29" s="220">
        <f>'NG Stock Track'!G29+'NG Stock Track'!G64+ROUND('NG Stock Track'!$B242/9,1)</f>
        <v>0</v>
      </c>
      <c r="H29" s="220">
        <f>'NG Stock Track'!H29+'NG Stock Track'!H64+ROUND('NG Stock Track'!$B242/9,1)</f>
        <v>0</v>
      </c>
      <c r="I29" s="220">
        <f>'NG Stock Track'!I29+'NG Stock Track'!I64+ROUND('NG Stock Track'!$B242/9,1)</f>
        <v>0</v>
      </c>
      <c r="J29" s="220">
        <f>'NG Stock Track'!J29+'NG Stock Track'!J64+ROUND('NG Stock Track'!$B242/9,1)</f>
        <v>0</v>
      </c>
      <c r="K29" s="220">
        <f>MAX(ROUND('NG Stock Track'!K206-'NG Stock Track'!J206,0)-K64,0)</f>
        <v>74</v>
      </c>
      <c r="L29" s="220">
        <f>MAX(ROUND('NG Stock Track'!L206-'NG Stock Track'!K206,0)-L64,0)</f>
        <v>0</v>
      </c>
      <c r="M29" s="220">
        <f>MAX(ROUND('NG Stock Track'!M206-'NG Stock Track'!L206,0)-M64,0)</f>
        <v>0</v>
      </c>
      <c r="N29" s="220">
        <f>MAX(ROUND('NG Stock Track'!N206-'NG Stock Track'!M206,0)-N64,0)</f>
        <v>0</v>
      </c>
      <c r="O29" s="220">
        <f>MAX(ROUND('NG Stock Track'!O206-'NG Stock Track'!N206,0)-O64,0)</f>
        <v>0</v>
      </c>
      <c r="P29" s="220">
        <f>MAX(ROUND('NG Stock Track'!P206-'NG Stock Track'!O206,0)-P64,0)</f>
        <v>0</v>
      </c>
      <c r="Q29" s="220">
        <f>'NG Stock Track'!Q29+'NG Stock Track'!Q64+ROUND('NG Stock Track'!$C242/5,1)</f>
        <v>0</v>
      </c>
      <c r="R29" s="220">
        <f>'NG Stock Track'!R29+'NG Stock Track'!R64+ROUND('NG Stock Track'!$C242/5,1)</f>
        <v>0</v>
      </c>
      <c r="S29" s="220">
        <f>'NG Stock Track'!S29+'NG Stock Track'!S64+ROUND('NG Stock Track'!$C242/5,1)</f>
        <v>198.8</v>
      </c>
      <c r="T29" s="220">
        <f>'NG Stock Track'!T29+'NG Stock Track'!T64+ROUND('NG Stock Track'!$C242/5,1)</f>
        <v>0</v>
      </c>
      <c r="U29" s="220">
        <f>'NG Stock Track'!U29+'NG Stock Track'!U64+ROUND('NG Stock Track'!$C242/5,1)</f>
        <v>0</v>
      </c>
      <c r="V29" s="220">
        <f>'NG Stock Track'!V29+'NG Stock Track'!V64+ROUND('NG Stock Track'!$D242/4,1)</f>
        <v>0</v>
      </c>
      <c r="W29" s="220">
        <f>'NG Stock Track'!W29+'NG Stock Track'!W64+ROUND('NG Stock Track'!$D242/4,1)</f>
        <v>0</v>
      </c>
      <c r="X29" s="220">
        <f>'NG Stock Track'!X29+'NG Stock Track'!X64+ROUND('NG Stock Track'!$D242/4,1)</f>
        <v>0</v>
      </c>
      <c r="Y29" s="220">
        <f>'NG Stock Track'!Y29+'NG Stock Track'!Y64+ROUND('NG Stock Track'!$D242/4,1)</f>
        <v>0</v>
      </c>
      <c r="Z29" s="220">
        <f>'NG Stock Track'!Z29+'NG Stock Track'!Z64</f>
        <v>0</v>
      </c>
      <c r="AA29" s="220">
        <f>'NG Stock Track'!AA29+'NG Stock Track'!AA64</f>
        <v>0</v>
      </c>
      <c r="AB29" s="220">
        <f>'NG Stock Track'!AB29+'NG Stock Track'!AB64</f>
        <v>0</v>
      </c>
      <c r="AC29" s="220">
        <f>'NG Stock Track'!AC29+'NG Stock Track'!AC64</f>
        <v>0</v>
      </c>
      <c r="AD29" s="220">
        <f>'NG Stock Track'!AD29+'NG Stock Track'!AD64</f>
        <v>0</v>
      </c>
    </row>
    <row r="30" spans="1:30">
      <c r="A30" s="223" t="s">
        <v>1295</v>
      </c>
      <c r="B30" s="220">
        <f>'NG Stock Track'!B30+'NG Stock Track'!B65+ROUND('NG Stock Track'!$B243/9,1)</f>
        <v>6.7</v>
      </c>
      <c r="C30" s="220">
        <f>'NG Stock Track'!C30+'NG Stock Track'!C65+ROUND('NG Stock Track'!$B243/9,1)</f>
        <v>6.7</v>
      </c>
      <c r="D30" s="220">
        <f>'NG Stock Track'!D30+'NG Stock Track'!D65+ROUND('NG Stock Track'!$B243/9,1)</f>
        <v>6.7</v>
      </c>
      <c r="E30" s="220">
        <f>'NG Stock Track'!E30+'NG Stock Track'!E65+ROUND('NG Stock Track'!$B243/9,1)</f>
        <v>6.7</v>
      </c>
      <c r="F30" s="220">
        <f>'NG Stock Track'!F30+'NG Stock Track'!F65+ROUND('NG Stock Track'!$B243/9,1)</f>
        <v>6.7</v>
      </c>
      <c r="G30" s="220">
        <f>'NG Stock Track'!G30+'NG Stock Track'!G65+ROUND('NG Stock Track'!$B243/9,1)</f>
        <v>6.7</v>
      </c>
      <c r="H30" s="220">
        <f>'NG Stock Track'!H30+'NG Stock Track'!H65+ROUND('NG Stock Track'!$B243/9,1)</f>
        <v>6.7</v>
      </c>
      <c r="I30" s="220">
        <f>'NG Stock Track'!I30+'NG Stock Track'!I65+ROUND('NG Stock Track'!$B243/9,1)</f>
        <v>6.7</v>
      </c>
      <c r="J30" s="220">
        <f>'NG Stock Track'!J30+'NG Stock Track'!J65+ROUND('NG Stock Track'!$B243/9,1)</f>
        <v>6.7</v>
      </c>
      <c r="K30" s="220">
        <f>MAX(ROUND('NG Stock Track'!K207-'NG Stock Track'!J207,0)-K65,0)</f>
        <v>0</v>
      </c>
      <c r="L30" s="220">
        <f>MAX(ROUND('NG Stock Track'!L207-'NG Stock Track'!K207,0)-L65,0)</f>
        <v>0</v>
      </c>
      <c r="M30" s="220">
        <f>MAX(ROUND('NG Stock Track'!M207-'NG Stock Track'!L207,0)-M65,0)</f>
        <v>0</v>
      </c>
      <c r="N30" s="220">
        <f>MAX(ROUND('NG Stock Track'!N207-'NG Stock Track'!M207,0)-N65,0)</f>
        <v>0</v>
      </c>
      <c r="O30" s="220">
        <f>MAX(ROUND('NG Stock Track'!O207-'NG Stock Track'!N207,0)-O65,0)</f>
        <v>0</v>
      </c>
      <c r="P30" s="220">
        <f>MAX(ROUND('NG Stock Track'!P207-'NG Stock Track'!O207,0)-P65,0)</f>
        <v>0</v>
      </c>
      <c r="Q30" s="220">
        <f>'NG Stock Track'!Q30+'NG Stock Track'!Q65+ROUND('NG Stock Track'!$C243/5,1)</f>
        <v>41.8</v>
      </c>
      <c r="R30" s="220">
        <f>'NG Stock Track'!R30+'NG Stock Track'!R65+ROUND('NG Stock Track'!$C243/5,1)</f>
        <v>41.8</v>
      </c>
      <c r="S30" s="220">
        <f>'NG Stock Track'!S30+'NG Stock Track'!S65+ROUND('NG Stock Track'!$C243/5,1)</f>
        <v>41.8</v>
      </c>
      <c r="T30" s="220">
        <f>'NG Stock Track'!T30+'NG Stock Track'!T65+ROUND('NG Stock Track'!$C243/5,1)</f>
        <v>41.8</v>
      </c>
      <c r="U30" s="220">
        <f>'NG Stock Track'!U30+'NG Stock Track'!U65+ROUND('NG Stock Track'!$C243/5,1)</f>
        <v>41.8</v>
      </c>
      <c r="V30" s="220">
        <f>'NG Stock Track'!V30+'NG Stock Track'!V65+ROUND('NG Stock Track'!$D243/4,1)</f>
        <v>0</v>
      </c>
      <c r="W30" s="220">
        <f>'NG Stock Track'!W30+'NG Stock Track'!W65+ROUND('NG Stock Track'!$D243/4,1)</f>
        <v>0</v>
      </c>
      <c r="X30" s="220">
        <f>'NG Stock Track'!X30+'NG Stock Track'!X65+ROUND('NG Stock Track'!$D243/4,1)</f>
        <v>0</v>
      </c>
      <c r="Y30" s="220">
        <f>'NG Stock Track'!Y30+'NG Stock Track'!Y65+ROUND('NG Stock Track'!$D243/4,1)</f>
        <v>0</v>
      </c>
      <c r="Z30" s="220">
        <f>'NG Stock Track'!Z30+'NG Stock Track'!Z65</f>
        <v>0</v>
      </c>
      <c r="AA30" s="220">
        <f>'NG Stock Track'!AA30+'NG Stock Track'!AA65</f>
        <v>0</v>
      </c>
      <c r="AB30" s="220">
        <f>'NG Stock Track'!AB30+'NG Stock Track'!AB65</f>
        <v>0</v>
      </c>
      <c r="AC30" s="220">
        <f>'NG Stock Track'!AC30+'NG Stock Track'!AC65</f>
        <v>0</v>
      </c>
      <c r="AD30" s="220">
        <f>'NG Stock Track'!AD30+'NG Stock Track'!AD65</f>
        <v>0</v>
      </c>
    </row>
    <row r="31" spans="1:30">
      <c r="A31" s="223" t="s">
        <v>1296</v>
      </c>
      <c r="B31" s="220">
        <f>'NG Stock Track'!B31+'NG Stock Track'!B66+ROUND('NG Stock Track'!$B244/9,1)</f>
        <v>0</v>
      </c>
      <c r="C31" s="220">
        <f>'NG Stock Track'!C31+'NG Stock Track'!C66+ROUND('NG Stock Track'!$B244/9,1)</f>
        <v>0</v>
      </c>
      <c r="D31" s="220">
        <f>'NG Stock Track'!D31+'NG Stock Track'!D66+ROUND('NG Stock Track'!$B244/9,1)</f>
        <v>0</v>
      </c>
      <c r="E31" s="220">
        <f>'NG Stock Track'!E31+'NG Stock Track'!E66+ROUND('NG Stock Track'!$B244/9,1)</f>
        <v>0</v>
      </c>
      <c r="F31" s="220">
        <f>'NG Stock Track'!F31+'NG Stock Track'!F66+ROUND('NG Stock Track'!$B244/9,1)</f>
        <v>0</v>
      </c>
      <c r="G31" s="220">
        <f>'NG Stock Track'!G31+'NG Stock Track'!G66+ROUND('NG Stock Track'!$B244/9,1)</f>
        <v>0</v>
      </c>
      <c r="H31" s="220">
        <f>'NG Stock Track'!H31+'NG Stock Track'!H66+ROUND('NG Stock Track'!$B244/9,1)</f>
        <v>0</v>
      </c>
      <c r="I31" s="220">
        <f>'NG Stock Track'!I31+'NG Stock Track'!I66+ROUND('NG Stock Track'!$B244/9,1)</f>
        <v>0</v>
      </c>
      <c r="J31" s="220">
        <f>'NG Stock Track'!J31+'NG Stock Track'!J66+ROUND('NG Stock Track'!$B244/9,1)</f>
        <v>0</v>
      </c>
      <c r="K31" s="220">
        <f>MAX(ROUND('NG Stock Track'!K208-'NG Stock Track'!J208,0)-K66,0)</f>
        <v>45</v>
      </c>
      <c r="L31" s="220">
        <f>MAX(ROUND('NG Stock Track'!L208-'NG Stock Track'!K208,0)-L66,0)</f>
        <v>0</v>
      </c>
      <c r="M31" s="220">
        <f>MAX(ROUND('NG Stock Track'!M208-'NG Stock Track'!L208,0)-M66,0)</f>
        <v>0</v>
      </c>
      <c r="N31" s="220">
        <f>MAX(ROUND('NG Stock Track'!N208-'NG Stock Track'!M208,0)-N66,0)</f>
        <v>645</v>
      </c>
      <c r="O31" s="220">
        <f>MAX(ROUND('NG Stock Track'!O208-'NG Stock Track'!N208,0)-O66,0)</f>
        <v>0</v>
      </c>
      <c r="P31" s="220">
        <f>MAX(ROUND('NG Stock Track'!P208-'NG Stock Track'!O208,0)-P66,0)</f>
        <v>0</v>
      </c>
      <c r="Q31" s="220">
        <f>'NG Stock Track'!Q31+'NG Stock Track'!Q66+ROUND('NG Stock Track'!$C244/5,1)</f>
        <v>0</v>
      </c>
      <c r="R31" s="220">
        <f>'NG Stock Track'!R31+'NG Stock Track'!R66+ROUND('NG Stock Track'!$C244/5,1)</f>
        <v>0</v>
      </c>
      <c r="S31" s="220">
        <f>'NG Stock Track'!S31+'NG Stock Track'!S66+ROUND('NG Stock Track'!$C244/5,1)</f>
        <v>0</v>
      </c>
      <c r="T31" s="220">
        <f>'NG Stock Track'!T31+'NG Stock Track'!T66+ROUND('NG Stock Track'!$C244/5,1)</f>
        <v>0</v>
      </c>
      <c r="U31" s="220">
        <f>'NG Stock Track'!U31+'NG Stock Track'!U66+ROUND('NG Stock Track'!$C244/5,1)</f>
        <v>0</v>
      </c>
      <c r="V31" s="220">
        <f>'NG Stock Track'!V31+'NG Stock Track'!V66+ROUND('NG Stock Track'!$D244/4,1)</f>
        <v>17.5</v>
      </c>
      <c r="W31" s="220">
        <f>'NG Stock Track'!W31+'NG Stock Track'!W66+ROUND('NG Stock Track'!$D244/4,1)</f>
        <v>17.5</v>
      </c>
      <c r="X31" s="220">
        <f>'NG Stock Track'!X31+'NG Stock Track'!X66+ROUND('NG Stock Track'!$D244/4,1)</f>
        <v>17.5</v>
      </c>
      <c r="Y31" s="220">
        <f>'NG Stock Track'!Y31+'NG Stock Track'!Y66+ROUND('NG Stock Track'!$D244/4,1)</f>
        <v>17.5</v>
      </c>
      <c r="Z31" s="220">
        <f>'NG Stock Track'!Z31+'NG Stock Track'!Z66</f>
        <v>0</v>
      </c>
      <c r="AA31" s="220">
        <f>'NG Stock Track'!AA31+'NG Stock Track'!AA66</f>
        <v>0</v>
      </c>
      <c r="AB31" s="220">
        <f>'NG Stock Track'!AB31+'NG Stock Track'!AB66</f>
        <v>0</v>
      </c>
      <c r="AC31" s="220">
        <f>'NG Stock Track'!AC31+'NG Stock Track'!AC66</f>
        <v>0</v>
      </c>
      <c r="AD31" s="220">
        <f>'NG Stock Track'!AD31+'NG Stock Track'!AD66</f>
        <v>0</v>
      </c>
    </row>
    <row r="32" spans="1:30">
      <c r="A32" s="223" t="s">
        <v>1297</v>
      </c>
      <c r="B32" s="220">
        <f>'NG Stock Track'!B32+'NG Stock Track'!B67+ROUND('NG Stock Track'!$B245/9,1)</f>
        <v>0</v>
      </c>
      <c r="C32" s="220">
        <f>'NG Stock Track'!C32+'NG Stock Track'!C67+ROUND('NG Stock Track'!$B245/9,1)</f>
        <v>0</v>
      </c>
      <c r="D32" s="220">
        <f>'NG Stock Track'!D32+'NG Stock Track'!D67+ROUND('NG Stock Track'!$B245/9,1)</f>
        <v>0</v>
      </c>
      <c r="E32" s="220">
        <f>'NG Stock Track'!E32+'NG Stock Track'!E67+ROUND('NG Stock Track'!$B245/9,1)</f>
        <v>0</v>
      </c>
      <c r="F32" s="220">
        <f>'NG Stock Track'!F32+'NG Stock Track'!F67+ROUND('NG Stock Track'!$B245/9,1)</f>
        <v>0</v>
      </c>
      <c r="G32" s="220">
        <f>'NG Stock Track'!G32+'NG Stock Track'!G67+ROUND('NG Stock Track'!$B245/9,1)</f>
        <v>0</v>
      </c>
      <c r="H32" s="220">
        <f>'NG Stock Track'!H32+'NG Stock Track'!H67+ROUND('NG Stock Track'!$B245/9,1)</f>
        <v>0</v>
      </c>
      <c r="I32" s="220">
        <f>'NG Stock Track'!I32+'NG Stock Track'!I67+ROUND('NG Stock Track'!$B245/9,1)</f>
        <v>0</v>
      </c>
      <c r="J32" s="220">
        <f>'NG Stock Track'!J32+'NG Stock Track'!J67+ROUND('NG Stock Track'!$B245/9,1)</f>
        <v>0</v>
      </c>
      <c r="K32" s="220">
        <f>MAX(ROUND('NG Stock Track'!K209-'NG Stock Track'!J209,0)-K67,0)</f>
        <v>0</v>
      </c>
      <c r="L32" s="220">
        <f>MAX(ROUND('NG Stock Track'!L209-'NG Stock Track'!K209,0)-L67,0)</f>
        <v>0</v>
      </c>
      <c r="M32" s="220">
        <f>MAX(ROUND('NG Stock Track'!M209-'NG Stock Track'!L209,0)-M67,0)</f>
        <v>0</v>
      </c>
      <c r="N32" s="220">
        <f>MAX(ROUND('NG Stock Track'!N209-'NG Stock Track'!M209,0)-N67,0)</f>
        <v>0</v>
      </c>
      <c r="O32" s="220">
        <f>MAX(ROUND('NG Stock Track'!O209-'NG Stock Track'!N209,0)-O67,0)</f>
        <v>0</v>
      </c>
      <c r="P32" s="220">
        <f>MAX(ROUND('NG Stock Track'!P209-'NG Stock Track'!O209,0)-P67,0)</f>
        <v>300</v>
      </c>
      <c r="Q32" s="220">
        <f>'NG Stock Track'!Q32+'NG Stock Track'!Q67+ROUND('NG Stock Track'!$C245/5,1)</f>
        <v>18</v>
      </c>
      <c r="R32" s="220">
        <f>'NG Stock Track'!R32+'NG Stock Track'!R67+ROUND('NG Stock Track'!$C245/5,1)</f>
        <v>18</v>
      </c>
      <c r="S32" s="220">
        <f>'NG Stock Track'!S32+'NG Stock Track'!S67+ROUND('NG Stock Track'!$C245/5,1)</f>
        <v>18</v>
      </c>
      <c r="T32" s="220">
        <f>'NG Stock Track'!T32+'NG Stock Track'!T67+ROUND('NG Stock Track'!$C245/5,1)</f>
        <v>18</v>
      </c>
      <c r="U32" s="220">
        <f>'NG Stock Track'!U32+'NG Stock Track'!U67+ROUND('NG Stock Track'!$C245/5,1)</f>
        <v>18</v>
      </c>
      <c r="V32" s="220">
        <f>'NG Stock Track'!V32+'NG Stock Track'!V67+ROUND('NG Stock Track'!$D245/4,1)</f>
        <v>0</v>
      </c>
      <c r="W32" s="220">
        <f>'NG Stock Track'!W32+'NG Stock Track'!W67+ROUND('NG Stock Track'!$D245/4,1)</f>
        <v>0</v>
      </c>
      <c r="X32" s="220">
        <f>'NG Stock Track'!X32+'NG Stock Track'!X67+ROUND('NG Stock Track'!$D245/4,1)</f>
        <v>0</v>
      </c>
      <c r="Y32" s="220">
        <f>'NG Stock Track'!Y32+'NG Stock Track'!Y67+ROUND('NG Stock Track'!$D245/4,1)</f>
        <v>0</v>
      </c>
      <c r="Z32" s="220">
        <f>'NG Stock Track'!Z32+'NG Stock Track'!Z67</f>
        <v>0</v>
      </c>
      <c r="AA32" s="220">
        <f>'NG Stock Track'!AA32+'NG Stock Track'!AA67</f>
        <v>0</v>
      </c>
      <c r="AB32" s="220">
        <f>'NG Stock Track'!AB32+'NG Stock Track'!AB67</f>
        <v>0</v>
      </c>
      <c r="AC32" s="220">
        <f>'NG Stock Track'!AC32+'NG Stock Track'!AC67</f>
        <v>0</v>
      </c>
      <c r="AD32" s="220">
        <f>'NG Stock Track'!AD32+'NG Stock Track'!AD67</f>
        <v>0</v>
      </c>
    </row>
    <row r="33" spans="1:30">
      <c r="A33" s="223" t="s">
        <v>1298</v>
      </c>
      <c r="B33" s="220">
        <f>'NG Stock Track'!B33+'NG Stock Track'!B68+ROUND('NG Stock Track'!$B246/9,1)</f>
        <v>0</v>
      </c>
      <c r="C33" s="220">
        <f>'NG Stock Track'!C33+'NG Stock Track'!C68+ROUND('NG Stock Track'!$B246/9,1)</f>
        <v>0</v>
      </c>
      <c r="D33" s="220">
        <f>'NG Stock Track'!D33+'NG Stock Track'!D68+ROUND('NG Stock Track'!$B246/9,1)</f>
        <v>0</v>
      </c>
      <c r="E33" s="220">
        <f>'NG Stock Track'!E33+'NG Stock Track'!E68+ROUND('NG Stock Track'!$B246/9,1)</f>
        <v>0</v>
      </c>
      <c r="F33" s="220">
        <f>'NG Stock Track'!F33+'NG Stock Track'!F68+ROUND('NG Stock Track'!$B246/9,1)</f>
        <v>0</v>
      </c>
      <c r="G33" s="220">
        <f>'NG Stock Track'!G33+'NG Stock Track'!G68+ROUND('NG Stock Track'!$B246/9,1)</f>
        <v>0</v>
      </c>
      <c r="H33" s="220">
        <f>'NG Stock Track'!H33+'NG Stock Track'!H68+ROUND('NG Stock Track'!$B246/9,1)</f>
        <v>0</v>
      </c>
      <c r="I33" s="220">
        <f>'NG Stock Track'!I33+'NG Stock Track'!I68+ROUND('NG Stock Track'!$B246/9,1)</f>
        <v>0</v>
      </c>
      <c r="J33" s="220">
        <f>'NG Stock Track'!J33+'NG Stock Track'!J68+ROUND('NG Stock Track'!$B246/9,1)</f>
        <v>0</v>
      </c>
      <c r="K33" s="220">
        <f>MAX(ROUND('NG Stock Track'!K210-'NG Stock Track'!J210,0)-K68,0)</f>
        <v>0</v>
      </c>
      <c r="L33" s="220">
        <f>MAX(ROUND('NG Stock Track'!L210-'NG Stock Track'!K210,0)-L68,0)</f>
        <v>0</v>
      </c>
      <c r="M33" s="220">
        <f>MAX(ROUND('NG Stock Track'!M210-'NG Stock Track'!L210,0)-M68,0)</f>
        <v>0</v>
      </c>
      <c r="N33" s="220">
        <f>MAX(ROUND('NG Stock Track'!N210-'NG Stock Track'!M210,0)-N68,0)</f>
        <v>0</v>
      </c>
      <c r="O33" s="220">
        <f>MAX(ROUND('NG Stock Track'!O210-'NG Stock Track'!N210,0)-O68,0)</f>
        <v>0</v>
      </c>
      <c r="P33" s="220">
        <f>MAX(ROUND('NG Stock Track'!P210-'NG Stock Track'!O210,0)-P68,0)</f>
        <v>0</v>
      </c>
      <c r="Q33" s="220">
        <f>'NG Stock Track'!Q33+'NG Stock Track'!Q68+ROUND('NG Stock Track'!$C246/5,1)</f>
        <v>25.6</v>
      </c>
      <c r="R33" s="220">
        <f>'NG Stock Track'!R33+'NG Stock Track'!R68+ROUND('NG Stock Track'!$C246/5,1)</f>
        <v>25.6</v>
      </c>
      <c r="S33" s="220">
        <f>'NG Stock Track'!S33+'NG Stock Track'!S68+ROUND('NG Stock Track'!$C246/5,1)</f>
        <v>25.6</v>
      </c>
      <c r="T33" s="220">
        <f>'NG Stock Track'!T33+'NG Stock Track'!T68+ROUND('NG Stock Track'!$C246/5,1)</f>
        <v>25.6</v>
      </c>
      <c r="U33" s="220">
        <f>'NG Stock Track'!U33+'NG Stock Track'!U68+ROUND('NG Stock Track'!$C246/5,1)</f>
        <v>25.6</v>
      </c>
      <c r="V33" s="220">
        <f>'NG Stock Track'!V33+'NG Stock Track'!V68+ROUND('NG Stock Track'!$D246/4,1)</f>
        <v>170.5</v>
      </c>
      <c r="W33" s="220">
        <f>'NG Stock Track'!W33+'NG Stock Track'!W68+ROUND('NG Stock Track'!$D246/4,1)</f>
        <v>170.5</v>
      </c>
      <c r="X33" s="220">
        <f>'NG Stock Track'!X33+'NG Stock Track'!X68+ROUND('NG Stock Track'!$D246/4,1)</f>
        <v>170.5</v>
      </c>
      <c r="Y33" s="220">
        <f>'NG Stock Track'!Y33+'NG Stock Track'!Y68+ROUND('NG Stock Track'!$D246/4,1)</f>
        <v>170.5</v>
      </c>
      <c r="Z33" s="220">
        <f>'NG Stock Track'!Z33+'NG Stock Track'!Z68</f>
        <v>0</v>
      </c>
      <c r="AA33" s="220">
        <f>'NG Stock Track'!AA33+'NG Stock Track'!AA68</f>
        <v>0</v>
      </c>
      <c r="AB33" s="220">
        <f>'NG Stock Track'!AB33+'NG Stock Track'!AB68</f>
        <v>0</v>
      </c>
      <c r="AC33" s="220">
        <f>'NG Stock Track'!AC33+'NG Stock Track'!AC68</f>
        <v>0</v>
      </c>
      <c r="AD33" s="220">
        <f>'NG Stock Track'!AD33+'NG Stock Track'!AD68</f>
        <v>0</v>
      </c>
    </row>
    <row r="34" spans="1:30">
      <c r="A34" s="223" t="s">
        <v>1299</v>
      </c>
      <c r="B34" s="220">
        <f>'NG Stock Track'!B34+'NG Stock Track'!B69+ROUND('NG Stock Track'!$B247/9,1)</f>
        <v>23.2</v>
      </c>
      <c r="C34" s="220">
        <f>'NG Stock Track'!C34+'NG Stock Track'!C69+ROUND('NG Stock Track'!$B247/9,1)</f>
        <v>23.2</v>
      </c>
      <c r="D34" s="220">
        <f>'NG Stock Track'!D34+'NG Stock Track'!D69+ROUND('NG Stock Track'!$B247/9,1)</f>
        <v>23.2</v>
      </c>
      <c r="E34" s="220">
        <f>'NG Stock Track'!E34+'NG Stock Track'!E69+ROUND('NG Stock Track'!$B247/9,1)</f>
        <v>23.2</v>
      </c>
      <c r="F34" s="220">
        <f>'NG Stock Track'!F34+'NG Stock Track'!F69+ROUND('NG Stock Track'!$B247/9,1)</f>
        <v>23.2</v>
      </c>
      <c r="G34" s="220">
        <f>'NG Stock Track'!G34+'NG Stock Track'!G69+ROUND('NG Stock Track'!$B247/9,1)</f>
        <v>23.2</v>
      </c>
      <c r="H34" s="220">
        <f>'NG Stock Track'!H34+'NG Stock Track'!H69+ROUND('NG Stock Track'!$B247/9,1)</f>
        <v>23.2</v>
      </c>
      <c r="I34" s="220">
        <f>'NG Stock Track'!I34+'NG Stock Track'!I69+ROUND('NG Stock Track'!$B247/9,1)</f>
        <v>23.2</v>
      </c>
      <c r="J34" s="220">
        <f>'NG Stock Track'!J34+'NG Stock Track'!J69+ROUND('NG Stock Track'!$B247/9,1)</f>
        <v>23.2</v>
      </c>
      <c r="K34" s="220">
        <f>MAX(ROUND('NG Stock Track'!K211-'NG Stock Track'!J211,0)-K69,0)</f>
        <v>0</v>
      </c>
      <c r="L34" s="220">
        <f>MAX(ROUND('NG Stock Track'!L211-'NG Stock Track'!K211,0)-L69,0)</f>
        <v>0</v>
      </c>
      <c r="M34" s="220">
        <f>MAX(ROUND('NG Stock Track'!M211-'NG Stock Track'!L211,0)-M69,0)</f>
        <v>0</v>
      </c>
      <c r="N34" s="220">
        <f>MAX(ROUND('NG Stock Track'!N211-'NG Stock Track'!M211,0)-N69,0)</f>
        <v>0</v>
      </c>
      <c r="O34" s="220">
        <f>MAX(ROUND('NG Stock Track'!O211-'NG Stock Track'!N211,0)-O69,0)</f>
        <v>0</v>
      </c>
      <c r="P34" s="220">
        <f>MAX(ROUND('NG Stock Track'!P211-'NG Stock Track'!O211,0)-P69,0)</f>
        <v>0</v>
      </c>
      <c r="Q34" s="220">
        <f>'NG Stock Track'!Q34+'NG Stock Track'!Q69+ROUND('NG Stock Track'!$C247/5,1)</f>
        <v>0</v>
      </c>
      <c r="R34" s="220">
        <f>'NG Stock Track'!R34+'NG Stock Track'!R69+ROUND('NG Stock Track'!$C247/5,1)</f>
        <v>34</v>
      </c>
      <c r="S34" s="220">
        <f>'NG Stock Track'!S34+'NG Stock Track'!S69+ROUND('NG Stock Track'!$C247/5,1)</f>
        <v>0</v>
      </c>
      <c r="T34" s="220">
        <f>'NG Stock Track'!T34+'NG Stock Track'!T69+ROUND('NG Stock Track'!$C247/5,1)</f>
        <v>0</v>
      </c>
      <c r="U34" s="220">
        <f>'NG Stock Track'!U34+'NG Stock Track'!U69+ROUND('NG Stock Track'!$C247/5,1)</f>
        <v>0</v>
      </c>
      <c r="V34" s="220">
        <f>'NG Stock Track'!V34+'NG Stock Track'!V69+ROUND('NG Stock Track'!$D247/4,1)</f>
        <v>121.4</v>
      </c>
      <c r="W34" s="220">
        <f>'NG Stock Track'!W34+'NG Stock Track'!W69+ROUND('NG Stock Track'!$D247/4,1)</f>
        <v>121.4</v>
      </c>
      <c r="X34" s="220">
        <f>'NG Stock Track'!X34+'NG Stock Track'!X69+ROUND('NG Stock Track'!$D247/4,1)</f>
        <v>121.4</v>
      </c>
      <c r="Y34" s="220">
        <f>'NG Stock Track'!Y34+'NG Stock Track'!Y69+ROUND('NG Stock Track'!$D247/4,1)</f>
        <v>426.8</v>
      </c>
      <c r="Z34" s="220">
        <f>'NG Stock Track'!Z34+'NG Stock Track'!Z69</f>
        <v>123</v>
      </c>
      <c r="AA34" s="220">
        <f>'NG Stock Track'!AA34+'NG Stock Track'!AA69</f>
        <v>11.8</v>
      </c>
      <c r="AB34" s="220">
        <f>'NG Stock Track'!AB34+'NG Stock Track'!AB69</f>
        <v>0</v>
      </c>
      <c r="AC34" s="220">
        <f>'NG Stock Track'!AC34+'NG Stock Track'!AC69</f>
        <v>60</v>
      </c>
      <c r="AD34" s="220">
        <f>'NG Stock Track'!AD34+'NG Stock Track'!AD69</f>
        <v>351</v>
      </c>
    </row>
    <row r="36" spans="1:30">
      <c r="A36" s="220" t="s">
        <v>1316</v>
      </c>
    </row>
    <row r="37" spans="1:30">
      <c r="A37" s="221" t="s">
        <v>1268</v>
      </c>
      <c r="B37" s="220">
        <v>1993</v>
      </c>
      <c r="C37" s="220">
        <v>1994</v>
      </c>
      <c r="D37" s="220">
        <v>1995</v>
      </c>
      <c r="E37" s="220">
        <v>1996</v>
      </c>
      <c r="F37" s="220">
        <v>1997</v>
      </c>
      <c r="G37" s="220">
        <v>1998</v>
      </c>
      <c r="H37" s="220">
        <v>1999</v>
      </c>
      <c r="I37" s="220">
        <v>2000</v>
      </c>
      <c r="J37" s="220">
        <v>2001</v>
      </c>
      <c r="K37" s="220">
        <v>2002</v>
      </c>
      <c r="L37" s="220">
        <v>2003</v>
      </c>
      <c r="M37" s="220">
        <v>2004</v>
      </c>
      <c r="N37" s="220">
        <v>2005</v>
      </c>
      <c r="O37" s="220">
        <v>2006</v>
      </c>
      <c r="P37" s="220">
        <v>2007</v>
      </c>
      <c r="Q37" s="220">
        <v>2008</v>
      </c>
      <c r="R37" s="220">
        <v>2009</v>
      </c>
      <c r="S37" s="220">
        <v>2010</v>
      </c>
      <c r="T37" s="220">
        <v>2011</v>
      </c>
      <c r="U37" s="220">
        <v>2012</v>
      </c>
      <c r="V37" s="220">
        <v>2013</v>
      </c>
      <c r="W37" s="220">
        <v>2014</v>
      </c>
      <c r="X37" s="220">
        <v>2015</v>
      </c>
      <c r="Y37" s="220">
        <v>2016</v>
      </c>
      <c r="Z37" s="220">
        <v>2017</v>
      </c>
      <c r="AA37" s="220">
        <v>2018</v>
      </c>
      <c r="AB37" s="220">
        <v>2019</v>
      </c>
      <c r="AC37" s="220">
        <v>2020</v>
      </c>
      <c r="AD37" s="220">
        <v>2021</v>
      </c>
    </row>
    <row r="38" spans="1:30">
      <c r="A38" s="222" t="s">
        <v>80</v>
      </c>
      <c r="B38" s="220">
        <f t="shared" ref="B38:AD38" si="1">SUM(B39:B69)</f>
        <v>0</v>
      </c>
      <c r="C38" s="220">
        <f t="shared" si="1"/>
        <v>0</v>
      </c>
      <c r="D38" s="220">
        <f t="shared" si="1"/>
        <v>0</v>
      </c>
      <c r="E38" s="220">
        <f t="shared" si="1"/>
        <v>0</v>
      </c>
      <c r="F38" s="220">
        <f t="shared" si="1"/>
        <v>0</v>
      </c>
      <c r="G38" s="220">
        <f t="shared" si="1"/>
        <v>0</v>
      </c>
      <c r="H38" s="220">
        <f t="shared" si="1"/>
        <v>0</v>
      </c>
      <c r="I38" s="220">
        <f t="shared" si="1"/>
        <v>0</v>
      </c>
      <c r="J38" s="220">
        <f t="shared" si="1"/>
        <v>0</v>
      </c>
      <c r="K38" s="220">
        <f t="shared" si="1"/>
        <v>0</v>
      </c>
      <c r="L38" s="220">
        <f t="shared" si="1"/>
        <v>0</v>
      </c>
      <c r="M38" s="220">
        <f t="shared" si="1"/>
        <v>0</v>
      </c>
      <c r="N38" s="220">
        <f t="shared" si="1"/>
        <v>0</v>
      </c>
      <c r="O38" s="220">
        <f t="shared" si="1"/>
        <v>0</v>
      </c>
      <c r="P38" s="220">
        <f t="shared" si="1"/>
        <v>0</v>
      </c>
      <c r="Q38" s="220">
        <f t="shared" si="1"/>
        <v>0</v>
      </c>
      <c r="R38" s="220">
        <f t="shared" si="1"/>
        <v>936</v>
      </c>
      <c r="S38" s="220">
        <f t="shared" si="1"/>
        <v>0</v>
      </c>
      <c r="T38" s="220">
        <f t="shared" si="1"/>
        <v>0</v>
      </c>
      <c r="U38" s="220">
        <f t="shared" si="1"/>
        <v>0</v>
      </c>
      <c r="V38" s="220">
        <f t="shared" si="1"/>
        <v>0</v>
      </c>
      <c r="W38" s="220">
        <f t="shared" si="1"/>
        <v>1545</v>
      </c>
      <c r="X38" s="220">
        <f t="shared" si="1"/>
        <v>156.8</v>
      </c>
      <c r="Y38" s="220">
        <f t="shared" si="1"/>
        <v>37.8</v>
      </c>
      <c r="Z38" s="220">
        <f t="shared" si="1"/>
        <v>241.8</v>
      </c>
      <c r="AA38" s="220">
        <f t="shared" si="1"/>
        <v>554.5</v>
      </c>
      <c r="AB38" s="220">
        <f t="shared" si="1"/>
        <v>601.8</v>
      </c>
      <c r="AC38" s="220">
        <f t="shared" si="1"/>
        <v>404.6</v>
      </c>
      <c r="AD38" s="220">
        <f t="shared" si="1"/>
        <v>56.3</v>
      </c>
    </row>
    <row r="39" spans="1:30">
      <c r="A39" s="223" t="s">
        <v>1269</v>
      </c>
      <c r="B39" s="220">
        <f>'NG Stock Track'!B74</f>
        <v>0</v>
      </c>
      <c r="C39" s="220">
        <f>'NG Stock Track'!C74</f>
        <v>0</v>
      </c>
      <c r="D39" s="220">
        <f>'NG Stock Track'!D74</f>
        <v>0</v>
      </c>
      <c r="E39" s="220">
        <f>'NG Stock Track'!E74</f>
        <v>0</v>
      </c>
      <c r="F39" s="220">
        <f>'NG Stock Track'!F74</f>
        <v>0</v>
      </c>
      <c r="G39" s="220">
        <f>'NG Stock Track'!G74</f>
        <v>0</v>
      </c>
      <c r="H39" s="220">
        <f>'NG Stock Track'!H74</f>
        <v>0</v>
      </c>
      <c r="I39" s="220">
        <f>'NG Stock Track'!I74</f>
        <v>0</v>
      </c>
      <c r="J39" s="220">
        <f>'NG Stock Track'!J74</f>
        <v>0</v>
      </c>
      <c r="K39" s="220">
        <f>'NG Stock Track'!K74</f>
        <v>0</v>
      </c>
      <c r="L39" s="220">
        <f>'NG Stock Track'!L74</f>
        <v>0</v>
      </c>
      <c r="M39" s="220">
        <f>'NG Stock Track'!M74</f>
        <v>0</v>
      </c>
      <c r="N39" s="220">
        <f>'NG Stock Track'!N74</f>
        <v>0</v>
      </c>
      <c r="O39" s="220">
        <f>'NG Stock Track'!O74</f>
        <v>0</v>
      </c>
      <c r="P39" s="220">
        <f>'NG Stock Track'!P74</f>
        <v>0</v>
      </c>
      <c r="Q39" s="220">
        <f>'NG Stock Track'!Q74</f>
        <v>0</v>
      </c>
      <c r="R39" s="220">
        <f>'NG Stock Track'!R74</f>
        <v>0</v>
      </c>
      <c r="S39" s="220">
        <f>'NG Stock Track'!S74</f>
        <v>0</v>
      </c>
      <c r="T39" s="220">
        <f>'NG Stock Track'!T74</f>
        <v>0</v>
      </c>
      <c r="U39" s="220">
        <f>'NG Stock Track'!U74</f>
        <v>0</v>
      </c>
      <c r="V39" s="220">
        <f>'NG Stock Track'!V74</f>
        <v>0</v>
      </c>
      <c r="W39" s="220">
        <f>'NG Stock Track'!W74</f>
        <v>0</v>
      </c>
      <c r="X39" s="220">
        <f>'NG Stock Track'!X74</f>
        <v>0</v>
      </c>
      <c r="Y39" s="220">
        <f>'NG Stock Track'!Y74</f>
        <v>0</v>
      </c>
      <c r="Z39" s="220">
        <f>'NG Stock Track'!Z74</f>
        <v>0</v>
      </c>
      <c r="AA39" s="220">
        <f>'NG Stock Track'!AA74</f>
        <v>75</v>
      </c>
      <c r="AB39" s="220">
        <f>'NG Stock Track'!AB74</f>
        <v>75</v>
      </c>
      <c r="AC39" s="220">
        <f>'NG Stock Track'!AC74</f>
        <v>67</v>
      </c>
      <c r="AD39" s="220">
        <f>'NG Stock Track'!AD74</f>
        <v>0</v>
      </c>
    </row>
    <row r="40" spans="1:30">
      <c r="A40" s="223" t="s">
        <v>1270</v>
      </c>
      <c r="B40" s="220">
        <f>'NG Stock Track'!B75</f>
        <v>0</v>
      </c>
      <c r="C40" s="220">
        <f>'NG Stock Track'!C75</f>
        <v>0</v>
      </c>
      <c r="D40" s="220">
        <f>'NG Stock Track'!D75</f>
        <v>0</v>
      </c>
      <c r="E40" s="220">
        <f>'NG Stock Track'!E75</f>
        <v>0</v>
      </c>
      <c r="F40" s="220">
        <f>'NG Stock Track'!F75</f>
        <v>0</v>
      </c>
      <c r="G40" s="220">
        <f>'NG Stock Track'!G75</f>
        <v>0</v>
      </c>
      <c r="H40" s="220">
        <f>'NG Stock Track'!H75</f>
        <v>0</v>
      </c>
      <c r="I40" s="220">
        <f>'NG Stock Track'!I75</f>
        <v>0</v>
      </c>
      <c r="J40" s="220">
        <f>'NG Stock Track'!J75</f>
        <v>0</v>
      </c>
      <c r="K40" s="220">
        <f>'NG Stock Track'!K75</f>
        <v>0</v>
      </c>
      <c r="L40" s="220">
        <f>'NG Stock Track'!L75</f>
        <v>0</v>
      </c>
      <c r="M40" s="220">
        <f>'NG Stock Track'!M75</f>
        <v>0</v>
      </c>
      <c r="N40" s="220">
        <f>'NG Stock Track'!N75</f>
        <v>0</v>
      </c>
      <c r="O40" s="220">
        <f>'NG Stock Track'!O75</f>
        <v>0</v>
      </c>
      <c r="P40" s="220">
        <f>'NG Stock Track'!P75</f>
        <v>0</v>
      </c>
      <c r="Q40" s="220">
        <f>'NG Stock Track'!Q75</f>
        <v>0</v>
      </c>
      <c r="R40" s="220">
        <f>'NG Stock Track'!R75</f>
        <v>0</v>
      </c>
      <c r="S40" s="220">
        <f>'NG Stock Track'!S75</f>
        <v>0</v>
      </c>
      <c r="T40" s="220">
        <f>'NG Stock Track'!T75</f>
        <v>0</v>
      </c>
      <c r="U40" s="220">
        <f>'NG Stock Track'!U75</f>
        <v>0</v>
      </c>
      <c r="V40" s="220">
        <f>'NG Stock Track'!V75</f>
        <v>0</v>
      </c>
      <c r="W40" s="220">
        <f>'NG Stock Track'!W75</f>
        <v>400</v>
      </c>
      <c r="X40" s="220">
        <f>'NG Stock Track'!X75</f>
        <v>0</v>
      </c>
      <c r="Y40" s="220">
        <f>'NG Stock Track'!Y75</f>
        <v>0</v>
      </c>
      <c r="Z40" s="220">
        <f>'NG Stock Track'!Z75</f>
        <v>0</v>
      </c>
      <c r="AA40" s="220">
        <f>'NG Stock Track'!AA75</f>
        <v>119.4</v>
      </c>
      <c r="AB40" s="220">
        <f>'NG Stock Track'!AB75</f>
        <v>0</v>
      </c>
      <c r="AC40" s="220">
        <f>'NG Stock Track'!AC75</f>
        <v>0</v>
      </c>
      <c r="AD40" s="220">
        <f>'NG Stock Track'!AD75</f>
        <v>0</v>
      </c>
    </row>
    <row r="41" spans="1:30">
      <c r="A41" s="223" t="s">
        <v>1271</v>
      </c>
      <c r="B41" s="220">
        <f>'NG Stock Track'!B76</f>
        <v>0</v>
      </c>
      <c r="C41" s="220">
        <f>'NG Stock Track'!C76</f>
        <v>0</v>
      </c>
      <c r="D41" s="220">
        <f>'NG Stock Track'!D76</f>
        <v>0</v>
      </c>
      <c r="E41" s="220">
        <f>'NG Stock Track'!E76</f>
        <v>0</v>
      </c>
      <c r="F41" s="220">
        <f>'NG Stock Track'!F76</f>
        <v>0</v>
      </c>
      <c r="G41" s="220">
        <f>'NG Stock Track'!G76</f>
        <v>0</v>
      </c>
      <c r="H41" s="220">
        <f>'NG Stock Track'!H76</f>
        <v>0</v>
      </c>
      <c r="I41" s="220">
        <f>'NG Stock Track'!I76</f>
        <v>0</v>
      </c>
      <c r="J41" s="220">
        <f>'NG Stock Track'!J76</f>
        <v>0</v>
      </c>
      <c r="K41" s="220">
        <f>'NG Stock Track'!K76</f>
        <v>0</v>
      </c>
      <c r="L41" s="220">
        <f>'NG Stock Track'!L76</f>
        <v>0</v>
      </c>
      <c r="M41" s="220">
        <f>'NG Stock Track'!M76</f>
        <v>0</v>
      </c>
      <c r="N41" s="220">
        <f>'NG Stock Track'!N76</f>
        <v>0</v>
      </c>
      <c r="O41" s="220">
        <f>'NG Stock Track'!O76</f>
        <v>0</v>
      </c>
      <c r="P41" s="220">
        <f>'NG Stock Track'!P76</f>
        <v>0</v>
      </c>
      <c r="Q41" s="220">
        <f>'NG Stock Track'!Q76</f>
        <v>0</v>
      </c>
      <c r="R41" s="220">
        <f>'NG Stock Track'!R76</f>
        <v>0</v>
      </c>
      <c r="S41" s="220">
        <f>'NG Stock Track'!S76</f>
        <v>0</v>
      </c>
      <c r="T41" s="220">
        <f>'NG Stock Track'!T76</f>
        <v>0</v>
      </c>
      <c r="U41" s="220">
        <f>'NG Stock Track'!U76</f>
        <v>0</v>
      </c>
      <c r="V41" s="220">
        <f>'NG Stock Track'!V76</f>
        <v>0</v>
      </c>
      <c r="W41" s="220">
        <f>'NG Stock Track'!W76</f>
        <v>0</v>
      </c>
      <c r="X41" s="220">
        <f>'NG Stock Track'!X76</f>
        <v>0</v>
      </c>
      <c r="Y41" s="220">
        <f>'NG Stock Track'!Y76</f>
        <v>0</v>
      </c>
      <c r="Z41" s="220">
        <f>'NG Stock Track'!Z76</f>
        <v>0</v>
      </c>
      <c r="AA41" s="220">
        <f>'NG Stock Track'!AA76</f>
        <v>0</v>
      </c>
      <c r="AB41" s="220">
        <f>'NG Stock Track'!AB76</f>
        <v>0</v>
      </c>
      <c r="AC41" s="220">
        <f>'NG Stock Track'!AC76</f>
        <v>12.6</v>
      </c>
      <c r="AD41" s="220">
        <f>'NG Stock Track'!AD76</f>
        <v>0</v>
      </c>
    </row>
    <row r="42" spans="1:30">
      <c r="A42" s="223" t="s">
        <v>1272</v>
      </c>
      <c r="B42" s="220">
        <f>'NG Stock Track'!B77</f>
        <v>0</v>
      </c>
      <c r="C42" s="220">
        <f>'NG Stock Track'!C77</f>
        <v>0</v>
      </c>
      <c r="D42" s="220">
        <f>'NG Stock Track'!D77</f>
        <v>0</v>
      </c>
      <c r="E42" s="220">
        <f>'NG Stock Track'!E77</f>
        <v>0</v>
      </c>
      <c r="F42" s="220">
        <f>'NG Stock Track'!F77</f>
        <v>0</v>
      </c>
      <c r="G42" s="220">
        <f>'NG Stock Track'!G77</f>
        <v>0</v>
      </c>
      <c r="H42" s="220">
        <f>'NG Stock Track'!H77</f>
        <v>0</v>
      </c>
      <c r="I42" s="220">
        <f>'NG Stock Track'!I77</f>
        <v>0</v>
      </c>
      <c r="J42" s="220">
        <f>'NG Stock Track'!J77</f>
        <v>0</v>
      </c>
      <c r="K42" s="220">
        <f>'NG Stock Track'!K77</f>
        <v>0</v>
      </c>
      <c r="L42" s="220">
        <f>'NG Stock Track'!L77</f>
        <v>0</v>
      </c>
      <c r="M42" s="220">
        <f>'NG Stock Track'!M77</f>
        <v>0</v>
      </c>
      <c r="N42" s="220">
        <f>'NG Stock Track'!N77</f>
        <v>0</v>
      </c>
      <c r="O42" s="220">
        <f>'NG Stock Track'!O77</f>
        <v>0</v>
      </c>
      <c r="P42" s="220">
        <f>'NG Stock Track'!P77</f>
        <v>0</v>
      </c>
      <c r="Q42" s="220">
        <f>'NG Stock Track'!Q77</f>
        <v>0</v>
      </c>
      <c r="R42" s="220">
        <f>'NG Stock Track'!R77</f>
        <v>0</v>
      </c>
      <c r="S42" s="220">
        <f>'NG Stock Track'!S77</f>
        <v>0</v>
      </c>
      <c r="T42" s="220">
        <f>'NG Stock Track'!T77</f>
        <v>0</v>
      </c>
      <c r="U42" s="220">
        <f>'NG Stock Track'!U77</f>
        <v>0</v>
      </c>
      <c r="V42" s="220">
        <f>'NG Stock Track'!V77</f>
        <v>0</v>
      </c>
      <c r="W42" s="220">
        <f>'NG Stock Track'!W77</f>
        <v>0</v>
      </c>
      <c r="X42" s="220">
        <f>'NG Stock Track'!X77</f>
        <v>0</v>
      </c>
      <c r="Y42" s="220">
        <f>'NG Stock Track'!Y77</f>
        <v>0</v>
      </c>
      <c r="Z42" s="220">
        <f>'NG Stock Track'!Z77</f>
        <v>0</v>
      </c>
      <c r="AA42" s="220">
        <f>'NG Stock Track'!AA77</f>
        <v>0</v>
      </c>
      <c r="AB42" s="220">
        <f>'NG Stock Track'!AB77</f>
        <v>0</v>
      </c>
      <c r="AC42" s="220">
        <f>'NG Stock Track'!AC77</f>
        <v>0</v>
      </c>
      <c r="AD42" s="220">
        <f>'NG Stock Track'!AD77</f>
        <v>0</v>
      </c>
    </row>
    <row r="43" spans="1:30">
      <c r="A43" s="223" t="s">
        <v>1273</v>
      </c>
      <c r="B43" s="220">
        <f>'NG Stock Track'!B78</f>
        <v>0</v>
      </c>
      <c r="C43" s="220">
        <f>'NG Stock Track'!C78</f>
        <v>0</v>
      </c>
      <c r="D43" s="220">
        <f>'NG Stock Track'!D78</f>
        <v>0</v>
      </c>
      <c r="E43" s="220">
        <f>'NG Stock Track'!E78</f>
        <v>0</v>
      </c>
      <c r="F43" s="220">
        <f>'NG Stock Track'!F78</f>
        <v>0</v>
      </c>
      <c r="G43" s="220">
        <f>'NG Stock Track'!G78</f>
        <v>0</v>
      </c>
      <c r="H43" s="220">
        <f>'NG Stock Track'!H78</f>
        <v>0</v>
      </c>
      <c r="I43" s="220">
        <f>'NG Stock Track'!I78</f>
        <v>0</v>
      </c>
      <c r="J43" s="220">
        <f>'NG Stock Track'!J78</f>
        <v>0</v>
      </c>
      <c r="K43" s="220">
        <f>'NG Stock Track'!K78</f>
        <v>0</v>
      </c>
      <c r="L43" s="220">
        <f>'NG Stock Track'!L78</f>
        <v>0</v>
      </c>
      <c r="M43" s="220">
        <f>'NG Stock Track'!M78</f>
        <v>0</v>
      </c>
      <c r="N43" s="220">
        <f>'NG Stock Track'!N78</f>
        <v>0</v>
      </c>
      <c r="O43" s="220">
        <f>'NG Stock Track'!O78</f>
        <v>0</v>
      </c>
      <c r="P43" s="220">
        <f>'NG Stock Track'!P78</f>
        <v>0</v>
      </c>
      <c r="Q43" s="220">
        <f>'NG Stock Track'!Q78</f>
        <v>0</v>
      </c>
      <c r="R43" s="220">
        <f>'NG Stock Track'!R78</f>
        <v>0</v>
      </c>
      <c r="S43" s="220">
        <f>'NG Stock Track'!S78</f>
        <v>0</v>
      </c>
      <c r="T43" s="220">
        <f>'NG Stock Track'!T78</f>
        <v>0</v>
      </c>
      <c r="U43" s="220">
        <f>'NG Stock Track'!U78</f>
        <v>0</v>
      </c>
      <c r="V43" s="220">
        <f>'NG Stock Track'!V78</f>
        <v>0</v>
      </c>
      <c r="W43" s="220">
        <f>'NG Stock Track'!W78</f>
        <v>0</v>
      </c>
      <c r="X43" s="220">
        <f>'NG Stock Track'!X78</f>
        <v>0</v>
      </c>
      <c r="Y43" s="220">
        <f>'NG Stock Track'!Y78</f>
        <v>0</v>
      </c>
      <c r="Z43" s="220">
        <f>'NG Stock Track'!Z78</f>
        <v>0</v>
      </c>
      <c r="AA43" s="220">
        <f>'NG Stock Track'!AA78</f>
        <v>0</v>
      </c>
      <c r="AB43" s="220">
        <f>'NG Stock Track'!AB78</f>
        <v>0</v>
      </c>
      <c r="AC43" s="220">
        <f>'NG Stock Track'!AC78</f>
        <v>0</v>
      </c>
      <c r="AD43" s="220">
        <f>'NG Stock Track'!AD78</f>
        <v>0</v>
      </c>
    </row>
    <row r="44" spans="1:30">
      <c r="A44" s="223" t="s">
        <v>1274</v>
      </c>
      <c r="B44" s="220">
        <f>'NG Stock Track'!B79</f>
        <v>0</v>
      </c>
      <c r="C44" s="220">
        <f>'NG Stock Track'!C79</f>
        <v>0</v>
      </c>
      <c r="D44" s="220">
        <f>'NG Stock Track'!D79</f>
        <v>0</v>
      </c>
      <c r="E44" s="220">
        <f>'NG Stock Track'!E79</f>
        <v>0</v>
      </c>
      <c r="F44" s="220">
        <f>'NG Stock Track'!F79</f>
        <v>0</v>
      </c>
      <c r="G44" s="220">
        <f>'NG Stock Track'!G79</f>
        <v>0</v>
      </c>
      <c r="H44" s="220">
        <f>'NG Stock Track'!H79</f>
        <v>0</v>
      </c>
      <c r="I44" s="220">
        <f>'NG Stock Track'!I79</f>
        <v>0</v>
      </c>
      <c r="J44" s="220">
        <f>'NG Stock Track'!J79</f>
        <v>0</v>
      </c>
      <c r="K44" s="220">
        <f>'NG Stock Track'!K79</f>
        <v>0</v>
      </c>
      <c r="L44" s="220">
        <f>'NG Stock Track'!L79</f>
        <v>0</v>
      </c>
      <c r="M44" s="220">
        <f>'NG Stock Track'!M79</f>
        <v>0</v>
      </c>
      <c r="N44" s="220">
        <f>'NG Stock Track'!N79</f>
        <v>0</v>
      </c>
      <c r="O44" s="220">
        <f>'NG Stock Track'!O79</f>
        <v>0</v>
      </c>
      <c r="P44" s="220">
        <f>'NG Stock Track'!P79</f>
        <v>0</v>
      </c>
      <c r="Q44" s="220">
        <f>'NG Stock Track'!Q79</f>
        <v>0</v>
      </c>
      <c r="R44" s="220">
        <f>'NG Stock Track'!R79</f>
        <v>0</v>
      </c>
      <c r="S44" s="220">
        <f>'NG Stock Track'!S79</f>
        <v>0</v>
      </c>
      <c r="T44" s="220">
        <f>'NG Stock Track'!T79</f>
        <v>0</v>
      </c>
      <c r="U44" s="220">
        <f>'NG Stock Track'!U79</f>
        <v>0</v>
      </c>
      <c r="V44" s="220">
        <f>'NG Stock Track'!V79</f>
        <v>0</v>
      </c>
      <c r="W44" s="220">
        <f>'NG Stock Track'!W79</f>
        <v>0</v>
      </c>
      <c r="X44" s="220">
        <f>'NG Stock Track'!X79</f>
        <v>0</v>
      </c>
      <c r="Y44" s="220">
        <f>'NG Stock Track'!Y79</f>
        <v>0</v>
      </c>
      <c r="Z44" s="220">
        <f>'NG Stock Track'!Z79</f>
        <v>0</v>
      </c>
      <c r="AA44" s="220">
        <f>'NG Stock Track'!AA79</f>
        <v>0</v>
      </c>
      <c r="AB44" s="220">
        <f>'NG Stock Track'!AB79</f>
        <v>0</v>
      </c>
      <c r="AC44" s="220">
        <f>'NG Stock Track'!AC79</f>
        <v>0</v>
      </c>
      <c r="AD44" s="220">
        <f>'NG Stock Track'!AD79</f>
        <v>0</v>
      </c>
    </row>
    <row r="45" spans="1:30">
      <c r="A45" s="223" t="s">
        <v>1275</v>
      </c>
      <c r="B45" s="220">
        <f>'NG Stock Track'!B80</f>
        <v>0</v>
      </c>
      <c r="C45" s="220">
        <f>'NG Stock Track'!C80</f>
        <v>0</v>
      </c>
      <c r="D45" s="220">
        <f>'NG Stock Track'!D80</f>
        <v>0</v>
      </c>
      <c r="E45" s="220">
        <f>'NG Stock Track'!E80</f>
        <v>0</v>
      </c>
      <c r="F45" s="220">
        <f>'NG Stock Track'!F80</f>
        <v>0</v>
      </c>
      <c r="G45" s="220">
        <f>'NG Stock Track'!G80</f>
        <v>0</v>
      </c>
      <c r="H45" s="220">
        <f>'NG Stock Track'!H80</f>
        <v>0</v>
      </c>
      <c r="I45" s="220">
        <f>'NG Stock Track'!I80</f>
        <v>0</v>
      </c>
      <c r="J45" s="220">
        <f>'NG Stock Track'!J80</f>
        <v>0</v>
      </c>
      <c r="K45" s="220">
        <f>'NG Stock Track'!K80</f>
        <v>0</v>
      </c>
      <c r="L45" s="220">
        <f>'NG Stock Track'!L80</f>
        <v>0</v>
      </c>
      <c r="M45" s="220">
        <f>'NG Stock Track'!M80</f>
        <v>0</v>
      </c>
      <c r="N45" s="220">
        <f>'NG Stock Track'!N80</f>
        <v>0</v>
      </c>
      <c r="O45" s="220">
        <f>'NG Stock Track'!O80</f>
        <v>0</v>
      </c>
      <c r="P45" s="220">
        <f>'NG Stock Track'!P80</f>
        <v>0</v>
      </c>
      <c r="Q45" s="220">
        <f>'NG Stock Track'!Q80</f>
        <v>0</v>
      </c>
      <c r="R45" s="220">
        <f>'NG Stock Track'!R80</f>
        <v>0</v>
      </c>
      <c r="S45" s="220">
        <f>'NG Stock Track'!S80</f>
        <v>0</v>
      </c>
      <c r="T45" s="220">
        <f>'NG Stock Track'!T80</f>
        <v>0</v>
      </c>
      <c r="U45" s="220">
        <f>'NG Stock Track'!U80</f>
        <v>0</v>
      </c>
      <c r="V45" s="220">
        <f>'NG Stock Track'!V80</f>
        <v>0</v>
      </c>
      <c r="W45" s="220">
        <f>'NG Stock Track'!W80</f>
        <v>0</v>
      </c>
      <c r="X45" s="220">
        <f>'NG Stock Track'!X80</f>
        <v>0</v>
      </c>
      <c r="Y45" s="220">
        <f>'NG Stock Track'!Y80</f>
        <v>0</v>
      </c>
      <c r="Z45" s="220">
        <f>'NG Stock Track'!Z80</f>
        <v>0</v>
      </c>
      <c r="AA45" s="220">
        <f>'NG Stock Track'!AA80</f>
        <v>0</v>
      </c>
      <c r="AB45" s="220">
        <f>'NG Stock Track'!AB80</f>
        <v>0</v>
      </c>
      <c r="AC45" s="220">
        <f>'NG Stock Track'!AC80</f>
        <v>0</v>
      </c>
      <c r="AD45" s="220">
        <f>'NG Stock Track'!AD80</f>
        <v>0</v>
      </c>
    </row>
    <row r="46" spans="1:30">
      <c r="A46" s="223" t="s">
        <v>1276</v>
      </c>
      <c r="B46" s="220">
        <f>'NG Stock Track'!B81</f>
        <v>0</v>
      </c>
      <c r="C46" s="220">
        <f>'NG Stock Track'!C81</f>
        <v>0</v>
      </c>
      <c r="D46" s="220">
        <f>'NG Stock Track'!D81</f>
        <v>0</v>
      </c>
      <c r="E46" s="220">
        <f>'NG Stock Track'!E81</f>
        <v>0</v>
      </c>
      <c r="F46" s="220">
        <f>'NG Stock Track'!F81</f>
        <v>0</v>
      </c>
      <c r="G46" s="220">
        <f>'NG Stock Track'!G81</f>
        <v>0</v>
      </c>
      <c r="H46" s="220">
        <f>'NG Stock Track'!H81</f>
        <v>0</v>
      </c>
      <c r="I46" s="220">
        <f>'NG Stock Track'!I81</f>
        <v>0</v>
      </c>
      <c r="J46" s="220">
        <f>'NG Stock Track'!J81</f>
        <v>0</v>
      </c>
      <c r="K46" s="220">
        <f>'NG Stock Track'!K81</f>
        <v>0</v>
      </c>
      <c r="L46" s="220">
        <f>'NG Stock Track'!L81</f>
        <v>0</v>
      </c>
      <c r="M46" s="220">
        <f>'NG Stock Track'!M81</f>
        <v>0</v>
      </c>
      <c r="N46" s="220">
        <f>'NG Stock Track'!N81</f>
        <v>0</v>
      </c>
      <c r="O46" s="220">
        <f>'NG Stock Track'!O81</f>
        <v>0</v>
      </c>
      <c r="P46" s="220">
        <f>'NG Stock Track'!P81</f>
        <v>0</v>
      </c>
      <c r="Q46" s="220">
        <f>'NG Stock Track'!Q81</f>
        <v>0</v>
      </c>
      <c r="R46" s="220">
        <f>'NG Stock Track'!R81</f>
        <v>0</v>
      </c>
      <c r="S46" s="220">
        <f>'NG Stock Track'!S81</f>
        <v>0</v>
      </c>
      <c r="T46" s="220">
        <f>'NG Stock Track'!T81</f>
        <v>0</v>
      </c>
      <c r="U46" s="220">
        <f>'NG Stock Track'!U81</f>
        <v>0</v>
      </c>
      <c r="V46" s="220">
        <f>'NG Stock Track'!V81</f>
        <v>0</v>
      </c>
      <c r="W46" s="220">
        <f>'NG Stock Track'!W81</f>
        <v>0</v>
      </c>
      <c r="X46" s="220">
        <f>'NG Stock Track'!X81</f>
        <v>0</v>
      </c>
      <c r="Y46" s="220">
        <f>'NG Stock Track'!Y81</f>
        <v>0</v>
      </c>
      <c r="Z46" s="220">
        <f>'NG Stock Track'!Z81</f>
        <v>0</v>
      </c>
      <c r="AA46" s="220">
        <f>'NG Stock Track'!AA81</f>
        <v>0</v>
      </c>
      <c r="AB46" s="220">
        <f>'NG Stock Track'!AB81</f>
        <v>0</v>
      </c>
      <c r="AC46" s="220">
        <f>'NG Stock Track'!AC81</f>
        <v>0</v>
      </c>
      <c r="AD46" s="220">
        <f>'NG Stock Track'!AD81</f>
        <v>0</v>
      </c>
    </row>
    <row r="47" spans="1:30">
      <c r="A47" s="223" t="s">
        <v>1277</v>
      </c>
      <c r="B47" s="220">
        <f>'NG Stock Track'!B82</f>
        <v>0</v>
      </c>
      <c r="C47" s="220">
        <f>'NG Stock Track'!C82</f>
        <v>0</v>
      </c>
      <c r="D47" s="220">
        <f>'NG Stock Track'!D82</f>
        <v>0</v>
      </c>
      <c r="E47" s="220">
        <f>'NG Stock Track'!E82</f>
        <v>0</v>
      </c>
      <c r="F47" s="220">
        <f>'NG Stock Track'!F82</f>
        <v>0</v>
      </c>
      <c r="G47" s="220">
        <f>'NG Stock Track'!G82</f>
        <v>0</v>
      </c>
      <c r="H47" s="220">
        <f>'NG Stock Track'!H82</f>
        <v>0</v>
      </c>
      <c r="I47" s="220">
        <f>'NG Stock Track'!I82</f>
        <v>0</v>
      </c>
      <c r="J47" s="220">
        <f>'NG Stock Track'!J82</f>
        <v>0</v>
      </c>
      <c r="K47" s="220">
        <f>'NG Stock Track'!K82</f>
        <v>0</v>
      </c>
      <c r="L47" s="220">
        <f>'NG Stock Track'!L82</f>
        <v>0</v>
      </c>
      <c r="M47" s="220">
        <f>'NG Stock Track'!M82</f>
        <v>0</v>
      </c>
      <c r="N47" s="220">
        <f>'NG Stock Track'!N82</f>
        <v>0</v>
      </c>
      <c r="O47" s="220">
        <f>'NG Stock Track'!O82</f>
        <v>0</v>
      </c>
      <c r="P47" s="220">
        <f>'NG Stock Track'!P82</f>
        <v>0</v>
      </c>
      <c r="Q47" s="220">
        <f>'NG Stock Track'!Q82</f>
        <v>0</v>
      </c>
      <c r="R47" s="220">
        <f>'NG Stock Track'!R82</f>
        <v>0</v>
      </c>
      <c r="S47" s="220">
        <f>'NG Stock Track'!S82</f>
        <v>0</v>
      </c>
      <c r="T47" s="220">
        <f>'NG Stock Track'!T82</f>
        <v>0</v>
      </c>
      <c r="U47" s="220">
        <f>'NG Stock Track'!U82</f>
        <v>0</v>
      </c>
      <c r="V47" s="220">
        <f>'NG Stock Track'!V82</f>
        <v>0</v>
      </c>
      <c r="W47" s="220">
        <f>'NG Stock Track'!W82</f>
        <v>0</v>
      </c>
      <c r="X47" s="220">
        <f>'NG Stock Track'!X82</f>
        <v>150.8</v>
      </c>
      <c r="Y47" s="220">
        <f>'NG Stock Track'!Y82</f>
        <v>30.8</v>
      </c>
      <c r="Z47" s="220">
        <f>'NG Stock Track'!Z82</f>
        <v>0</v>
      </c>
      <c r="AA47" s="220">
        <f>'NG Stock Track'!AA82</f>
        <v>8.6</v>
      </c>
      <c r="AB47" s="220">
        <f>'NG Stock Track'!AB82</f>
        <v>67.4</v>
      </c>
      <c r="AC47" s="220">
        <f>'NG Stock Track'!AC82</f>
        <v>0</v>
      </c>
      <c r="AD47" s="220">
        <f>'NG Stock Track'!AD82</f>
        <v>0</v>
      </c>
    </row>
    <row r="48" spans="1:30">
      <c r="A48" s="223" t="s">
        <v>1278</v>
      </c>
      <c r="B48" s="220">
        <f>'NG Stock Track'!B83</f>
        <v>0</v>
      </c>
      <c r="C48" s="220">
        <f>'NG Stock Track'!C83</f>
        <v>0</v>
      </c>
      <c r="D48" s="220">
        <f>'NG Stock Track'!D83</f>
        <v>0</v>
      </c>
      <c r="E48" s="220">
        <f>'NG Stock Track'!E83</f>
        <v>0</v>
      </c>
      <c r="F48" s="220">
        <f>'NG Stock Track'!F83</f>
        <v>0</v>
      </c>
      <c r="G48" s="220">
        <f>'NG Stock Track'!G83</f>
        <v>0</v>
      </c>
      <c r="H48" s="220">
        <f>'NG Stock Track'!H83</f>
        <v>0</v>
      </c>
      <c r="I48" s="220">
        <f>'NG Stock Track'!I83</f>
        <v>0</v>
      </c>
      <c r="J48" s="220">
        <f>'NG Stock Track'!J83</f>
        <v>0</v>
      </c>
      <c r="K48" s="220">
        <f>'NG Stock Track'!K83</f>
        <v>0</v>
      </c>
      <c r="L48" s="220">
        <f>'NG Stock Track'!L83</f>
        <v>0</v>
      </c>
      <c r="M48" s="220">
        <f>'NG Stock Track'!M83</f>
        <v>0</v>
      </c>
      <c r="N48" s="220">
        <f>'NG Stock Track'!N83</f>
        <v>0</v>
      </c>
      <c r="O48" s="220">
        <f>'NG Stock Track'!O83</f>
        <v>0</v>
      </c>
      <c r="P48" s="220">
        <f>'NG Stock Track'!P83</f>
        <v>0</v>
      </c>
      <c r="Q48" s="220">
        <f>'NG Stock Track'!Q83</f>
        <v>0</v>
      </c>
      <c r="R48" s="220">
        <f>'NG Stock Track'!R83</f>
        <v>0</v>
      </c>
      <c r="S48" s="220">
        <f>'NG Stock Track'!S83</f>
        <v>0</v>
      </c>
      <c r="T48" s="220">
        <f>'NG Stock Track'!T83</f>
        <v>0</v>
      </c>
      <c r="U48" s="220">
        <f>'NG Stock Track'!U83</f>
        <v>0</v>
      </c>
      <c r="V48" s="220">
        <f>'NG Stock Track'!V83</f>
        <v>0</v>
      </c>
      <c r="W48" s="220">
        <f>'NG Stock Track'!W83</f>
        <v>4</v>
      </c>
      <c r="X48" s="220">
        <f>'NG Stock Track'!X83</f>
        <v>6</v>
      </c>
      <c r="Y48" s="220">
        <f>'NG Stock Track'!Y83</f>
        <v>6</v>
      </c>
      <c r="Z48" s="220">
        <f>'NG Stock Track'!Z83</f>
        <v>0</v>
      </c>
      <c r="AA48" s="220">
        <f>'NG Stock Track'!AA83</f>
        <v>6.5</v>
      </c>
      <c r="AB48" s="220">
        <f>'NG Stock Track'!AB83</f>
        <v>80</v>
      </c>
      <c r="AC48" s="220">
        <f>'NG Stock Track'!AC83</f>
        <v>0</v>
      </c>
      <c r="AD48" s="220">
        <f>'NG Stock Track'!AD83</f>
        <v>0</v>
      </c>
    </row>
    <row r="49" spans="1:30">
      <c r="A49" s="223" t="s">
        <v>1279</v>
      </c>
      <c r="B49" s="220">
        <f>'NG Stock Track'!B84</f>
        <v>0</v>
      </c>
      <c r="C49" s="220">
        <f>'NG Stock Track'!C84</f>
        <v>0</v>
      </c>
      <c r="D49" s="220">
        <f>'NG Stock Track'!D84</f>
        <v>0</v>
      </c>
      <c r="E49" s="220">
        <f>'NG Stock Track'!E84</f>
        <v>0</v>
      </c>
      <c r="F49" s="220">
        <f>'NG Stock Track'!F84</f>
        <v>0</v>
      </c>
      <c r="G49" s="220">
        <f>'NG Stock Track'!G84</f>
        <v>0</v>
      </c>
      <c r="H49" s="220">
        <f>'NG Stock Track'!H84</f>
        <v>0</v>
      </c>
      <c r="I49" s="220">
        <f>'NG Stock Track'!I84</f>
        <v>0</v>
      </c>
      <c r="J49" s="220">
        <f>'NG Stock Track'!J84</f>
        <v>0</v>
      </c>
      <c r="K49" s="220">
        <f>'NG Stock Track'!K84</f>
        <v>0</v>
      </c>
      <c r="L49" s="220">
        <f>'NG Stock Track'!L84</f>
        <v>0</v>
      </c>
      <c r="M49" s="220">
        <f>'NG Stock Track'!M84</f>
        <v>0</v>
      </c>
      <c r="N49" s="220">
        <f>'NG Stock Track'!N84</f>
        <v>0</v>
      </c>
      <c r="O49" s="220">
        <f>'NG Stock Track'!O84</f>
        <v>0</v>
      </c>
      <c r="P49" s="220">
        <f>'NG Stock Track'!P84</f>
        <v>0</v>
      </c>
      <c r="Q49" s="220">
        <f>'NG Stock Track'!Q84</f>
        <v>0</v>
      </c>
      <c r="R49" s="220">
        <f>'NG Stock Track'!R84</f>
        <v>0</v>
      </c>
      <c r="S49" s="220">
        <f>'NG Stock Track'!S84</f>
        <v>0</v>
      </c>
      <c r="T49" s="220">
        <f>'NG Stock Track'!T84</f>
        <v>0</v>
      </c>
      <c r="U49" s="220">
        <f>'NG Stock Track'!U84</f>
        <v>0</v>
      </c>
      <c r="V49" s="220">
        <f>'NG Stock Track'!V84</f>
        <v>0</v>
      </c>
      <c r="W49" s="220">
        <f>'NG Stock Track'!W84</f>
        <v>0</v>
      </c>
      <c r="X49" s="220">
        <f>'NG Stock Track'!X84</f>
        <v>0</v>
      </c>
      <c r="Y49" s="220">
        <f>'NG Stock Track'!Y84</f>
        <v>0</v>
      </c>
      <c r="Z49" s="220">
        <f>'NG Stock Track'!Z84</f>
        <v>0</v>
      </c>
      <c r="AA49" s="220">
        <f>'NG Stock Track'!AA84</f>
        <v>0</v>
      </c>
      <c r="AB49" s="220">
        <f>'NG Stock Track'!AB84</f>
        <v>29.9</v>
      </c>
      <c r="AC49" s="220">
        <f>'NG Stock Track'!AC84</f>
        <v>0</v>
      </c>
      <c r="AD49" s="220">
        <f>'NG Stock Track'!AD84</f>
        <v>0</v>
      </c>
    </row>
    <row r="50" spans="1:30">
      <c r="A50" s="223" t="s">
        <v>1280</v>
      </c>
      <c r="B50" s="220">
        <f>'NG Stock Track'!B85</f>
        <v>0</v>
      </c>
      <c r="C50" s="220">
        <f>'NG Stock Track'!C85</f>
        <v>0</v>
      </c>
      <c r="D50" s="220">
        <f>'NG Stock Track'!D85</f>
        <v>0</v>
      </c>
      <c r="E50" s="220">
        <f>'NG Stock Track'!E85</f>
        <v>0</v>
      </c>
      <c r="F50" s="220">
        <f>'NG Stock Track'!F85</f>
        <v>0</v>
      </c>
      <c r="G50" s="220">
        <f>'NG Stock Track'!G85</f>
        <v>0</v>
      </c>
      <c r="H50" s="220">
        <f>'NG Stock Track'!H85</f>
        <v>0</v>
      </c>
      <c r="I50" s="220">
        <f>'NG Stock Track'!I85</f>
        <v>0</v>
      </c>
      <c r="J50" s="220">
        <f>'NG Stock Track'!J85</f>
        <v>0</v>
      </c>
      <c r="K50" s="220">
        <f>'NG Stock Track'!K85</f>
        <v>0</v>
      </c>
      <c r="L50" s="220">
        <f>'NG Stock Track'!L85</f>
        <v>0</v>
      </c>
      <c r="M50" s="220">
        <f>'NG Stock Track'!M85</f>
        <v>0</v>
      </c>
      <c r="N50" s="220">
        <f>'NG Stock Track'!N85</f>
        <v>0</v>
      </c>
      <c r="O50" s="220">
        <f>'NG Stock Track'!O85</f>
        <v>0</v>
      </c>
      <c r="P50" s="220">
        <f>'NG Stock Track'!P85</f>
        <v>0</v>
      </c>
      <c r="Q50" s="220">
        <f>'NG Stock Track'!Q85</f>
        <v>0</v>
      </c>
      <c r="R50" s="220">
        <f>'NG Stock Track'!R85</f>
        <v>0</v>
      </c>
      <c r="S50" s="220">
        <f>'NG Stock Track'!S85</f>
        <v>0</v>
      </c>
      <c r="T50" s="220">
        <f>'NG Stock Track'!T85</f>
        <v>0</v>
      </c>
      <c r="U50" s="220">
        <f>'NG Stock Track'!U85</f>
        <v>0</v>
      </c>
      <c r="V50" s="220">
        <f>'NG Stock Track'!V85</f>
        <v>0</v>
      </c>
      <c r="W50" s="220">
        <f>'NG Stock Track'!W85</f>
        <v>0</v>
      </c>
      <c r="X50" s="220">
        <f>'NG Stock Track'!X85</f>
        <v>0</v>
      </c>
      <c r="Y50" s="220">
        <f>'NG Stock Track'!Y85</f>
        <v>0</v>
      </c>
      <c r="Z50" s="220">
        <f>'NG Stock Track'!Z85</f>
        <v>0</v>
      </c>
      <c r="AA50" s="220">
        <f>'NG Stock Track'!AA85</f>
        <v>0</v>
      </c>
      <c r="AB50" s="220">
        <f>'NG Stock Track'!AB85</f>
        <v>0</v>
      </c>
      <c r="AC50" s="220">
        <f>'NG Stock Track'!AC85</f>
        <v>0</v>
      </c>
      <c r="AD50" s="220">
        <f>'NG Stock Track'!AD85</f>
        <v>0</v>
      </c>
    </row>
    <row r="51" spans="1:30">
      <c r="A51" s="223" t="s">
        <v>1281</v>
      </c>
      <c r="B51" s="220">
        <f>'NG Stock Track'!B86</f>
        <v>0</v>
      </c>
      <c r="C51" s="220">
        <f>'NG Stock Track'!C86</f>
        <v>0</v>
      </c>
      <c r="D51" s="220">
        <f>'NG Stock Track'!D86</f>
        <v>0</v>
      </c>
      <c r="E51" s="220">
        <f>'NG Stock Track'!E86</f>
        <v>0</v>
      </c>
      <c r="F51" s="220">
        <f>'NG Stock Track'!F86</f>
        <v>0</v>
      </c>
      <c r="G51" s="220">
        <f>'NG Stock Track'!G86</f>
        <v>0</v>
      </c>
      <c r="H51" s="220">
        <f>'NG Stock Track'!H86</f>
        <v>0</v>
      </c>
      <c r="I51" s="220">
        <f>'NG Stock Track'!I86</f>
        <v>0</v>
      </c>
      <c r="J51" s="220">
        <f>'NG Stock Track'!J86</f>
        <v>0</v>
      </c>
      <c r="K51" s="220">
        <f>'NG Stock Track'!K86</f>
        <v>0</v>
      </c>
      <c r="L51" s="220">
        <f>'NG Stock Track'!L86</f>
        <v>0</v>
      </c>
      <c r="M51" s="220">
        <f>'NG Stock Track'!M86</f>
        <v>0</v>
      </c>
      <c r="N51" s="220">
        <f>'NG Stock Track'!N86</f>
        <v>0</v>
      </c>
      <c r="O51" s="220">
        <f>'NG Stock Track'!O86</f>
        <v>0</v>
      </c>
      <c r="P51" s="220">
        <f>'NG Stock Track'!P86</f>
        <v>0</v>
      </c>
      <c r="Q51" s="220">
        <f>'NG Stock Track'!Q86</f>
        <v>0</v>
      </c>
      <c r="R51" s="220">
        <f>'NG Stock Track'!R86</f>
        <v>0</v>
      </c>
      <c r="S51" s="220">
        <f>'NG Stock Track'!S86</f>
        <v>0</v>
      </c>
      <c r="T51" s="220">
        <f>'NG Stock Track'!T86</f>
        <v>0</v>
      </c>
      <c r="U51" s="220">
        <f>'NG Stock Track'!U86</f>
        <v>0</v>
      </c>
      <c r="V51" s="220">
        <f>'NG Stock Track'!V86</f>
        <v>0</v>
      </c>
      <c r="W51" s="220">
        <f>'NG Stock Track'!W86</f>
        <v>0</v>
      </c>
      <c r="X51" s="220">
        <f>'NG Stock Track'!X86</f>
        <v>0</v>
      </c>
      <c r="Y51" s="220">
        <f>'NG Stock Track'!Y86</f>
        <v>0</v>
      </c>
      <c r="Z51" s="220">
        <f>'NG Stock Track'!Z86</f>
        <v>31.8</v>
      </c>
      <c r="AA51" s="220">
        <f>'NG Stock Track'!AA86</f>
        <v>0</v>
      </c>
      <c r="AB51" s="220">
        <f>'NG Stock Track'!AB86</f>
        <v>0</v>
      </c>
      <c r="AC51" s="220">
        <f>'NG Stock Track'!AC86</f>
        <v>0</v>
      </c>
      <c r="AD51" s="220">
        <f>'NG Stock Track'!AD86</f>
        <v>0</v>
      </c>
    </row>
    <row r="52" spans="1:30">
      <c r="A52" s="223" t="s">
        <v>1282</v>
      </c>
      <c r="B52" s="220">
        <f>'NG Stock Track'!B87</f>
        <v>0</v>
      </c>
      <c r="C52" s="220">
        <f>'NG Stock Track'!C87</f>
        <v>0</v>
      </c>
      <c r="D52" s="220">
        <f>'NG Stock Track'!D87</f>
        <v>0</v>
      </c>
      <c r="E52" s="220">
        <f>'NG Stock Track'!E87</f>
        <v>0</v>
      </c>
      <c r="F52" s="220">
        <f>'NG Stock Track'!F87</f>
        <v>0</v>
      </c>
      <c r="G52" s="220">
        <f>'NG Stock Track'!G87</f>
        <v>0</v>
      </c>
      <c r="H52" s="220">
        <f>'NG Stock Track'!H87</f>
        <v>0</v>
      </c>
      <c r="I52" s="220">
        <f>'NG Stock Track'!I87</f>
        <v>0</v>
      </c>
      <c r="J52" s="220">
        <f>'NG Stock Track'!J87</f>
        <v>0</v>
      </c>
      <c r="K52" s="220">
        <f>'NG Stock Track'!K87</f>
        <v>0</v>
      </c>
      <c r="L52" s="220">
        <f>'NG Stock Track'!L87</f>
        <v>0</v>
      </c>
      <c r="M52" s="220">
        <f>'NG Stock Track'!M87</f>
        <v>0</v>
      </c>
      <c r="N52" s="220">
        <f>'NG Stock Track'!N87</f>
        <v>0</v>
      </c>
      <c r="O52" s="220">
        <f>'NG Stock Track'!O87</f>
        <v>0</v>
      </c>
      <c r="P52" s="220">
        <f>'NG Stock Track'!P87</f>
        <v>0</v>
      </c>
      <c r="Q52" s="220">
        <f>'NG Stock Track'!Q87</f>
        <v>0</v>
      </c>
      <c r="R52" s="220">
        <f>'NG Stock Track'!R87</f>
        <v>0</v>
      </c>
      <c r="S52" s="220">
        <f>'NG Stock Track'!S87</f>
        <v>0</v>
      </c>
      <c r="T52" s="220">
        <f>'NG Stock Track'!T87</f>
        <v>0</v>
      </c>
      <c r="U52" s="220">
        <f>'NG Stock Track'!U87</f>
        <v>0</v>
      </c>
      <c r="V52" s="220">
        <f>'NG Stock Track'!V87</f>
        <v>0</v>
      </c>
      <c r="W52" s="220">
        <f>'NG Stock Track'!W87</f>
        <v>87</v>
      </c>
      <c r="X52" s="220">
        <f>'NG Stock Track'!X87</f>
        <v>0</v>
      </c>
      <c r="Y52" s="220">
        <f>'NG Stock Track'!Y87</f>
        <v>0</v>
      </c>
      <c r="Z52" s="220">
        <f>'NG Stock Track'!Z87</f>
        <v>0</v>
      </c>
      <c r="AA52" s="220">
        <f>'NG Stock Track'!AA87</f>
        <v>0</v>
      </c>
      <c r="AB52" s="220">
        <f>'NG Stock Track'!AB87</f>
        <v>0</v>
      </c>
      <c r="AC52" s="220">
        <f>'NG Stock Track'!AC87</f>
        <v>0</v>
      </c>
      <c r="AD52" s="220">
        <f>'NG Stock Track'!AD87</f>
        <v>0</v>
      </c>
    </row>
    <row r="53" spans="1:30">
      <c r="A53" s="223" t="s">
        <v>1283</v>
      </c>
      <c r="B53" s="220">
        <f>'NG Stock Track'!B88</f>
        <v>0</v>
      </c>
      <c r="C53" s="220">
        <f>'NG Stock Track'!C88</f>
        <v>0</v>
      </c>
      <c r="D53" s="220">
        <f>'NG Stock Track'!D88</f>
        <v>0</v>
      </c>
      <c r="E53" s="220">
        <f>'NG Stock Track'!E88</f>
        <v>0</v>
      </c>
      <c r="F53" s="220">
        <f>'NG Stock Track'!F88</f>
        <v>0</v>
      </c>
      <c r="G53" s="220">
        <f>'NG Stock Track'!G88</f>
        <v>0</v>
      </c>
      <c r="H53" s="220">
        <f>'NG Stock Track'!H88</f>
        <v>0</v>
      </c>
      <c r="I53" s="220">
        <f>'NG Stock Track'!I88</f>
        <v>0</v>
      </c>
      <c r="J53" s="220">
        <f>'NG Stock Track'!J88</f>
        <v>0</v>
      </c>
      <c r="K53" s="220">
        <f>'NG Stock Track'!K88</f>
        <v>0</v>
      </c>
      <c r="L53" s="220">
        <f>'NG Stock Track'!L88</f>
        <v>0</v>
      </c>
      <c r="M53" s="220">
        <f>'NG Stock Track'!M88</f>
        <v>0</v>
      </c>
      <c r="N53" s="220">
        <f>'NG Stock Track'!N88</f>
        <v>0</v>
      </c>
      <c r="O53" s="220">
        <f>'NG Stock Track'!O88</f>
        <v>0</v>
      </c>
      <c r="P53" s="220">
        <f>'NG Stock Track'!P88</f>
        <v>0</v>
      </c>
      <c r="Q53" s="220">
        <f>'NG Stock Track'!Q88</f>
        <v>0</v>
      </c>
      <c r="R53" s="220">
        <f>'NG Stock Track'!R88</f>
        <v>0</v>
      </c>
      <c r="S53" s="220">
        <f>'NG Stock Track'!S88</f>
        <v>0</v>
      </c>
      <c r="T53" s="220">
        <f>'NG Stock Track'!T88</f>
        <v>0</v>
      </c>
      <c r="U53" s="220">
        <f>'NG Stock Track'!U88</f>
        <v>0</v>
      </c>
      <c r="V53" s="220">
        <f>'NG Stock Track'!V88</f>
        <v>0</v>
      </c>
      <c r="W53" s="220">
        <f>'NG Stock Track'!W88</f>
        <v>0</v>
      </c>
      <c r="X53" s="220">
        <f>'NG Stock Track'!X88</f>
        <v>0</v>
      </c>
      <c r="Y53" s="220">
        <f>'NG Stock Track'!Y88</f>
        <v>1</v>
      </c>
      <c r="Z53" s="220">
        <f>'NG Stock Track'!Z88</f>
        <v>0</v>
      </c>
      <c r="AA53" s="220">
        <f>'NG Stock Track'!AA88</f>
        <v>0</v>
      </c>
      <c r="AB53" s="220">
        <f>'NG Stock Track'!AB88</f>
        <v>0</v>
      </c>
      <c r="AC53" s="220">
        <f>'NG Stock Track'!AC88</f>
        <v>0</v>
      </c>
      <c r="AD53" s="220">
        <f>'NG Stock Track'!AD88</f>
        <v>0</v>
      </c>
    </row>
    <row r="54" spans="1:30">
      <c r="A54" s="223" t="s">
        <v>1284</v>
      </c>
      <c r="B54" s="220">
        <f>'NG Stock Track'!B89</f>
        <v>0</v>
      </c>
      <c r="C54" s="220">
        <f>'NG Stock Track'!C89</f>
        <v>0</v>
      </c>
      <c r="D54" s="220">
        <f>'NG Stock Track'!D89</f>
        <v>0</v>
      </c>
      <c r="E54" s="220">
        <f>'NG Stock Track'!E89</f>
        <v>0</v>
      </c>
      <c r="F54" s="220">
        <f>'NG Stock Track'!F89</f>
        <v>0</v>
      </c>
      <c r="G54" s="220">
        <f>'NG Stock Track'!G89</f>
        <v>0</v>
      </c>
      <c r="H54" s="220">
        <f>'NG Stock Track'!H89</f>
        <v>0</v>
      </c>
      <c r="I54" s="220">
        <f>'NG Stock Track'!I89</f>
        <v>0</v>
      </c>
      <c r="J54" s="220">
        <f>'NG Stock Track'!J89</f>
        <v>0</v>
      </c>
      <c r="K54" s="220">
        <f>'NG Stock Track'!K89</f>
        <v>0</v>
      </c>
      <c r="L54" s="220">
        <f>'NG Stock Track'!L89</f>
        <v>0</v>
      </c>
      <c r="M54" s="220">
        <f>'NG Stock Track'!M89</f>
        <v>0</v>
      </c>
      <c r="N54" s="220">
        <f>'NG Stock Track'!N89</f>
        <v>0</v>
      </c>
      <c r="O54" s="220">
        <f>'NG Stock Track'!O89</f>
        <v>0</v>
      </c>
      <c r="P54" s="220">
        <f>'NG Stock Track'!P89</f>
        <v>0</v>
      </c>
      <c r="Q54" s="220">
        <f>'NG Stock Track'!Q89</f>
        <v>0</v>
      </c>
      <c r="R54" s="220">
        <f>'NG Stock Track'!R89</f>
        <v>0</v>
      </c>
      <c r="S54" s="220">
        <f>'NG Stock Track'!S89</f>
        <v>0</v>
      </c>
      <c r="T54" s="220">
        <f>'NG Stock Track'!T89</f>
        <v>0</v>
      </c>
      <c r="U54" s="220">
        <f>'NG Stock Track'!U89</f>
        <v>0</v>
      </c>
      <c r="V54" s="220">
        <f>'NG Stock Track'!V89</f>
        <v>0</v>
      </c>
      <c r="W54" s="220">
        <f>'NG Stock Track'!W89</f>
        <v>0</v>
      </c>
      <c r="X54" s="220">
        <f>'NG Stock Track'!X89</f>
        <v>0</v>
      </c>
      <c r="Y54" s="220">
        <f>'NG Stock Track'!Y89</f>
        <v>0</v>
      </c>
      <c r="Z54" s="220">
        <f>'NG Stock Track'!Z89</f>
        <v>0</v>
      </c>
      <c r="AA54" s="220">
        <f>'NG Stock Track'!AA89</f>
        <v>0</v>
      </c>
      <c r="AB54" s="220">
        <f>'NG Stock Track'!AB89</f>
        <v>0</v>
      </c>
      <c r="AC54" s="220">
        <f>'NG Stock Track'!AC89</f>
        <v>0</v>
      </c>
      <c r="AD54" s="220">
        <f>'NG Stock Track'!AD89</f>
        <v>0</v>
      </c>
    </row>
    <row r="55" spans="1:30">
      <c r="A55" s="223" t="s">
        <v>1285</v>
      </c>
      <c r="B55" s="220">
        <f>'NG Stock Track'!B90</f>
        <v>0</v>
      </c>
      <c r="C55" s="220">
        <f>'NG Stock Track'!C90</f>
        <v>0</v>
      </c>
      <c r="D55" s="220">
        <f>'NG Stock Track'!D90</f>
        <v>0</v>
      </c>
      <c r="E55" s="220">
        <f>'NG Stock Track'!E90</f>
        <v>0</v>
      </c>
      <c r="F55" s="220">
        <f>'NG Stock Track'!F90</f>
        <v>0</v>
      </c>
      <c r="G55" s="220">
        <f>'NG Stock Track'!G90</f>
        <v>0</v>
      </c>
      <c r="H55" s="220">
        <f>'NG Stock Track'!H90</f>
        <v>0</v>
      </c>
      <c r="I55" s="220">
        <f>'NG Stock Track'!I90</f>
        <v>0</v>
      </c>
      <c r="J55" s="220">
        <f>'NG Stock Track'!J90</f>
        <v>0</v>
      </c>
      <c r="K55" s="220">
        <f>'NG Stock Track'!K90</f>
        <v>0</v>
      </c>
      <c r="L55" s="220">
        <f>'NG Stock Track'!L90</f>
        <v>0</v>
      </c>
      <c r="M55" s="220">
        <f>'NG Stock Track'!M90</f>
        <v>0</v>
      </c>
      <c r="N55" s="220">
        <f>'NG Stock Track'!N90</f>
        <v>0</v>
      </c>
      <c r="O55" s="220">
        <f>'NG Stock Track'!O90</f>
        <v>0</v>
      </c>
      <c r="P55" s="220">
        <f>'NG Stock Track'!P90</f>
        <v>0</v>
      </c>
      <c r="Q55" s="220">
        <f>'NG Stock Track'!Q90</f>
        <v>0</v>
      </c>
      <c r="R55" s="220">
        <f>'NG Stock Track'!R90</f>
        <v>0</v>
      </c>
      <c r="S55" s="220">
        <f>'NG Stock Track'!S90</f>
        <v>0</v>
      </c>
      <c r="T55" s="220">
        <f>'NG Stock Track'!T90</f>
        <v>0</v>
      </c>
      <c r="U55" s="220">
        <f>'NG Stock Track'!U90</f>
        <v>0</v>
      </c>
      <c r="V55" s="220">
        <f>'NG Stock Track'!V90</f>
        <v>0</v>
      </c>
      <c r="W55" s="220">
        <f>'NG Stock Track'!W90</f>
        <v>0</v>
      </c>
      <c r="X55" s="220">
        <f>'NG Stock Track'!X90</f>
        <v>0</v>
      </c>
      <c r="Y55" s="220">
        <f>'NG Stock Track'!Y90</f>
        <v>0</v>
      </c>
      <c r="Z55" s="220">
        <f>'NG Stock Track'!Z90</f>
        <v>0</v>
      </c>
      <c r="AA55" s="220">
        <f>'NG Stock Track'!AA90</f>
        <v>0</v>
      </c>
      <c r="AB55" s="220">
        <f>'NG Stock Track'!AB90</f>
        <v>0</v>
      </c>
      <c r="AC55" s="220">
        <f>'NG Stock Track'!AC90</f>
        <v>0</v>
      </c>
      <c r="AD55" s="220">
        <f>'NG Stock Track'!AD90</f>
        <v>0</v>
      </c>
    </row>
    <row r="56" spans="1:30">
      <c r="A56" s="223" t="s">
        <v>1286</v>
      </c>
      <c r="B56" s="220">
        <f>'NG Stock Track'!B91</f>
        <v>0</v>
      </c>
      <c r="C56" s="220">
        <f>'NG Stock Track'!C91</f>
        <v>0</v>
      </c>
      <c r="D56" s="220">
        <f>'NG Stock Track'!D91</f>
        <v>0</v>
      </c>
      <c r="E56" s="220">
        <f>'NG Stock Track'!E91</f>
        <v>0</v>
      </c>
      <c r="F56" s="220">
        <f>'NG Stock Track'!F91</f>
        <v>0</v>
      </c>
      <c r="G56" s="220">
        <f>'NG Stock Track'!G91</f>
        <v>0</v>
      </c>
      <c r="H56" s="220">
        <f>'NG Stock Track'!H91</f>
        <v>0</v>
      </c>
      <c r="I56" s="220">
        <f>'NG Stock Track'!I91</f>
        <v>0</v>
      </c>
      <c r="J56" s="220">
        <f>'NG Stock Track'!J91</f>
        <v>0</v>
      </c>
      <c r="K56" s="220">
        <f>'NG Stock Track'!K91</f>
        <v>0</v>
      </c>
      <c r="L56" s="220">
        <f>'NG Stock Track'!L91</f>
        <v>0</v>
      </c>
      <c r="M56" s="220">
        <f>'NG Stock Track'!M91</f>
        <v>0</v>
      </c>
      <c r="N56" s="220">
        <f>'NG Stock Track'!N91</f>
        <v>0</v>
      </c>
      <c r="O56" s="220">
        <f>'NG Stock Track'!O91</f>
        <v>0</v>
      </c>
      <c r="P56" s="220">
        <f>'NG Stock Track'!P91</f>
        <v>0</v>
      </c>
      <c r="Q56" s="220">
        <f>'NG Stock Track'!Q91</f>
        <v>0</v>
      </c>
      <c r="R56" s="220">
        <f>'NG Stock Track'!R91</f>
        <v>0</v>
      </c>
      <c r="S56" s="220">
        <f>'NG Stock Track'!S91</f>
        <v>0</v>
      </c>
      <c r="T56" s="220">
        <f>'NG Stock Track'!T91</f>
        <v>0</v>
      </c>
      <c r="U56" s="220">
        <f>'NG Stock Track'!U91</f>
        <v>0</v>
      </c>
      <c r="V56" s="220">
        <f>'NG Stock Track'!V91</f>
        <v>0</v>
      </c>
      <c r="W56" s="220">
        <f>'NG Stock Track'!W91</f>
        <v>0</v>
      </c>
      <c r="X56" s="220">
        <f>'NG Stock Track'!X91</f>
        <v>0</v>
      </c>
      <c r="Y56" s="220">
        <f>'NG Stock Track'!Y91</f>
        <v>0</v>
      </c>
      <c r="Z56" s="220">
        <f>'NG Stock Track'!Z91</f>
        <v>0</v>
      </c>
      <c r="AA56" s="220">
        <f>'NG Stock Track'!AA91</f>
        <v>0</v>
      </c>
      <c r="AB56" s="220">
        <f>'NG Stock Track'!AB91</f>
        <v>0</v>
      </c>
      <c r="AC56" s="220">
        <f>'NG Stock Track'!AC91</f>
        <v>0</v>
      </c>
      <c r="AD56" s="220">
        <f>'NG Stock Track'!AD91</f>
        <v>0</v>
      </c>
    </row>
    <row r="57" spans="1:30">
      <c r="A57" s="223" t="s">
        <v>1287</v>
      </c>
      <c r="B57" s="220">
        <f>'NG Stock Track'!B92</f>
        <v>0</v>
      </c>
      <c r="C57" s="220">
        <f>'NG Stock Track'!C92</f>
        <v>0</v>
      </c>
      <c r="D57" s="220">
        <f>'NG Stock Track'!D92</f>
        <v>0</v>
      </c>
      <c r="E57" s="220">
        <f>'NG Stock Track'!E92</f>
        <v>0</v>
      </c>
      <c r="F57" s="220">
        <f>'NG Stock Track'!F92</f>
        <v>0</v>
      </c>
      <c r="G57" s="220">
        <f>'NG Stock Track'!G92</f>
        <v>0</v>
      </c>
      <c r="H57" s="220">
        <f>'NG Stock Track'!H92</f>
        <v>0</v>
      </c>
      <c r="I57" s="220">
        <f>'NG Stock Track'!I92</f>
        <v>0</v>
      </c>
      <c r="J57" s="220">
        <f>'NG Stock Track'!J92</f>
        <v>0</v>
      </c>
      <c r="K57" s="220">
        <f>'NG Stock Track'!K92</f>
        <v>0</v>
      </c>
      <c r="L57" s="220">
        <f>'NG Stock Track'!L92</f>
        <v>0</v>
      </c>
      <c r="M57" s="220">
        <f>'NG Stock Track'!M92</f>
        <v>0</v>
      </c>
      <c r="N57" s="220">
        <f>'NG Stock Track'!N92</f>
        <v>0</v>
      </c>
      <c r="O57" s="220">
        <f>'NG Stock Track'!O92</f>
        <v>0</v>
      </c>
      <c r="P57" s="220">
        <f>'NG Stock Track'!P92</f>
        <v>0</v>
      </c>
      <c r="Q57" s="220">
        <f>'NG Stock Track'!Q92</f>
        <v>0</v>
      </c>
      <c r="R57" s="220">
        <f>'NG Stock Track'!R92</f>
        <v>936</v>
      </c>
      <c r="S57" s="220">
        <f>'NG Stock Track'!S92</f>
        <v>0</v>
      </c>
      <c r="T57" s="220">
        <f>'NG Stock Track'!T92</f>
        <v>0</v>
      </c>
      <c r="U57" s="220">
        <f>'NG Stock Track'!U92</f>
        <v>0</v>
      </c>
      <c r="V57" s="220">
        <f>'NG Stock Track'!V92</f>
        <v>0</v>
      </c>
      <c r="W57" s="220">
        <f>'NG Stock Track'!W92</f>
        <v>0</v>
      </c>
      <c r="X57" s="220">
        <f>'NG Stock Track'!X92</f>
        <v>0</v>
      </c>
      <c r="Y57" s="220">
        <f>'NG Stock Track'!Y92</f>
        <v>0</v>
      </c>
      <c r="Z57" s="220">
        <f>'NG Stock Track'!Z92</f>
        <v>0</v>
      </c>
      <c r="AA57" s="220">
        <f>'NG Stock Track'!AA92</f>
        <v>344.5</v>
      </c>
      <c r="AB57" s="220">
        <f>'NG Stock Track'!AB92</f>
        <v>349.5</v>
      </c>
      <c r="AC57" s="220">
        <f>'NG Stock Track'!AC92</f>
        <v>175</v>
      </c>
      <c r="AD57" s="220">
        <f>'NG Stock Track'!AD92</f>
        <v>0</v>
      </c>
    </row>
    <row r="58" spans="1:30">
      <c r="A58" s="223" t="s">
        <v>1288</v>
      </c>
      <c r="B58" s="220">
        <f>'NG Stock Track'!B93</f>
        <v>0</v>
      </c>
      <c r="C58" s="220">
        <f>'NG Stock Track'!C93</f>
        <v>0</v>
      </c>
      <c r="D58" s="220">
        <f>'NG Stock Track'!D93</f>
        <v>0</v>
      </c>
      <c r="E58" s="220">
        <f>'NG Stock Track'!E93</f>
        <v>0</v>
      </c>
      <c r="F58" s="220">
        <f>'NG Stock Track'!F93</f>
        <v>0</v>
      </c>
      <c r="G58" s="220">
        <f>'NG Stock Track'!G93</f>
        <v>0</v>
      </c>
      <c r="H58" s="220">
        <f>'NG Stock Track'!H93</f>
        <v>0</v>
      </c>
      <c r="I58" s="220">
        <f>'NG Stock Track'!I93</f>
        <v>0</v>
      </c>
      <c r="J58" s="220">
        <f>'NG Stock Track'!J93</f>
        <v>0</v>
      </c>
      <c r="K58" s="220">
        <f>'NG Stock Track'!K93</f>
        <v>0</v>
      </c>
      <c r="L58" s="220">
        <f>'NG Stock Track'!L93</f>
        <v>0</v>
      </c>
      <c r="M58" s="220">
        <f>'NG Stock Track'!M93</f>
        <v>0</v>
      </c>
      <c r="N58" s="220">
        <f>'NG Stock Track'!N93</f>
        <v>0</v>
      </c>
      <c r="O58" s="220">
        <f>'NG Stock Track'!O93</f>
        <v>0</v>
      </c>
      <c r="P58" s="220">
        <f>'NG Stock Track'!P93</f>
        <v>0</v>
      </c>
      <c r="Q58" s="220">
        <f>'NG Stock Track'!Q93</f>
        <v>0</v>
      </c>
      <c r="R58" s="220">
        <f>'NG Stock Track'!R93</f>
        <v>0</v>
      </c>
      <c r="S58" s="220">
        <f>'NG Stock Track'!S93</f>
        <v>0</v>
      </c>
      <c r="T58" s="220">
        <f>'NG Stock Track'!T93</f>
        <v>0</v>
      </c>
      <c r="U58" s="220">
        <f>'NG Stock Track'!U93</f>
        <v>0</v>
      </c>
      <c r="V58" s="220">
        <f>'NG Stock Track'!V93</f>
        <v>0</v>
      </c>
      <c r="W58" s="220">
        <f>'NG Stock Track'!W93</f>
        <v>120</v>
      </c>
      <c r="X58" s="220">
        <f>'NG Stock Track'!X93</f>
        <v>0</v>
      </c>
      <c r="Y58" s="220">
        <f>'NG Stock Track'!Y93</f>
        <v>0</v>
      </c>
      <c r="Z58" s="220">
        <f>'NG Stock Track'!Z93</f>
        <v>210</v>
      </c>
      <c r="AA58" s="220">
        <f>'NG Stock Track'!AA93</f>
        <v>0</v>
      </c>
      <c r="AB58" s="220">
        <f>'NG Stock Track'!AB93</f>
        <v>0</v>
      </c>
      <c r="AC58" s="220">
        <f>'NG Stock Track'!AC93</f>
        <v>150</v>
      </c>
      <c r="AD58" s="220">
        <f>'NG Stock Track'!AD93</f>
        <v>0</v>
      </c>
    </row>
    <row r="59" spans="1:30">
      <c r="A59" s="223" t="s">
        <v>1289</v>
      </c>
      <c r="B59" s="220">
        <f>'NG Stock Track'!B94</f>
        <v>0</v>
      </c>
      <c r="C59" s="220">
        <f>'NG Stock Track'!C94</f>
        <v>0</v>
      </c>
      <c r="D59" s="220">
        <f>'NG Stock Track'!D94</f>
        <v>0</v>
      </c>
      <c r="E59" s="220">
        <f>'NG Stock Track'!E94</f>
        <v>0</v>
      </c>
      <c r="F59" s="220">
        <f>'NG Stock Track'!F94</f>
        <v>0</v>
      </c>
      <c r="G59" s="220">
        <f>'NG Stock Track'!G94</f>
        <v>0</v>
      </c>
      <c r="H59" s="220">
        <f>'NG Stock Track'!H94</f>
        <v>0</v>
      </c>
      <c r="I59" s="220">
        <f>'NG Stock Track'!I94</f>
        <v>0</v>
      </c>
      <c r="J59" s="220">
        <f>'NG Stock Track'!J94</f>
        <v>0</v>
      </c>
      <c r="K59" s="220">
        <f>'NG Stock Track'!K94</f>
        <v>0</v>
      </c>
      <c r="L59" s="220">
        <f>'NG Stock Track'!L94</f>
        <v>0</v>
      </c>
      <c r="M59" s="220">
        <f>'NG Stock Track'!M94</f>
        <v>0</v>
      </c>
      <c r="N59" s="220">
        <f>'NG Stock Track'!N94</f>
        <v>0</v>
      </c>
      <c r="O59" s="220">
        <f>'NG Stock Track'!O94</f>
        <v>0</v>
      </c>
      <c r="P59" s="220">
        <f>'NG Stock Track'!P94</f>
        <v>0</v>
      </c>
      <c r="Q59" s="220">
        <f>'NG Stock Track'!Q94</f>
        <v>0</v>
      </c>
      <c r="R59" s="220">
        <f>'NG Stock Track'!R94</f>
        <v>0</v>
      </c>
      <c r="S59" s="220">
        <f>'NG Stock Track'!S94</f>
        <v>0</v>
      </c>
      <c r="T59" s="220">
        <f>'NG Stock Track'!T94</f>
        <v>0</v>
      </c>
      <c r="U59" s="220">
        <f>'NG Stock Track'!U94</f>
        <v>0</v>
      </c>
      <c r="V59" s="220">
        <f>'NG Stock Track'!V94</f>
        <v>0</v>
      </c>
      <c r="W59" s="220">
        <f>'NG Stock Track'!W94</f>
        <v>0</v>
      </c>
      <c r="X59" s="220">
        <f>'NG Stock Track'!X94</f>
        <v>0</v>
      </c>
      <c r="Y59" s="220">
        <f>'NG Stock Track'!Y94</f>
        <v>0</v>
      </c>
      <c r="Z59" s="220">
        <f>'NG Stock Track'!Z94</f>
        <v>0</v>
      </c>
      <c r="AA59" s="220">
        <f>'NG Stock Track'!AA94</f>
        <v>0</v>
      </c>
      <c r="AB59" s="220">
        <f>'NG Stock Track'!AB94</f>
        <v>0</v>
      </c>
      <c r="AC59" s="220">
        <f>'NG Stock Track'!AC94</f>
        <v>0</v>
      </c>
      <c r="AD59" s="220">
        <f>'NG Stock Track'!AD94</f>
        <v>0</v>
      </c>
    </row>
    <row r="60" spans="1:30">
      <c r="A60" s="223" t="s">
        <v>1290</v>
      </c>
      <c r="B60" s="220">
        <f>'NG Stock Track'!B95</f>
        <v>0</v>
      </c>
      <c r="C60" s="220">
        <f>'NG Stock Track'!C95</f>
        <v>0</v>
      </c>
      <c r="D60" s="220">
        <f>'NG Stock Track'!D95</f>
        <v>0</v>
      </c>
      <c r="E60" s="220">
        <f>'NG Stock Track'!E95</f>
        <v>0</v>
      </c>
      <c r="F60" s="220">
        <f>'NG Stock Track'!F95</f>
        <v>0</v>
      </c>
      <c r="G60" s="220">
        <f>'NG Stock Track'!G95</f>
        <v>0</v>
      </c>
      <c r="H60" s="220">
        <f>'NG Stock Track'!H95</f>
        <v>0</v>
      </c>
      <c r="I60" s="220">
        <f>'NG Stock Track'!I95</f>
        <v>0</v>
      </c>
      <c r="J60" s="220">
        <f>'NG Stock Track'!J95</f>
        <v>0</v>
      </c>
      <c r="K60" s="220">
        <f>'NG Stock Track'!K95</f>
        <v>0</v>
      </c>
      <c r="L60" s="220">
        <f>'NG Stock Track'!L95</f>
        <v>0</v>
      </c>
      <c r="M60" s="220">
        <f>'NG Stock Track'!M95</f>
        <v>0</v>
      </c>
      <c r="N60" s="220">
        <f>'NG Stock Track'!N95</f>
        <v>0</v>
      </c>
      <c r="O60" s="220">
        <f>'NG Stock Track'!O95</f>
        <v>0</v>
      </c>
      <c r="P60" s="220">
        <f>'NG Stock Track'!P95</f>
        <v>0</v>
      </c>
      <c r="Q60" s="220">
        <f>'NG Stock Track'!Q95</f>
        <v>0</v>
      </c>
      <c r="R60" s="220">
        <f>'NG Stock Track'!R95</f>
        <v>0</v>
      </c>
      <c r="S60" s="220">
        <f>'NG Stock Track'!S95</f>
        <v>0</v>
      </c>
      <c r="T60" s="220">
        <f>'NG Stock Track'!T95</f>
        <v>0</v>
      </c>
      <c r="U60" s="220">
        <f>'NG Stock Track'!U95</f>
        <v>0</v>
      </c>
      <c r="V60" s="220">
        <f>'NG Stock Track'!V95</f>
        <v>0</v>
      </c>
      <c r="W60" s="220">
        <f>'NG Stock Track'!W95</f>
        <v>934</v>
      </c>
      <c r="X60" s="220">
        <f>'NG Stock Track'!X95</f>
        <v>0</v>
      </c>
      <c r="Y60" s="220">
        <f>'NG Stock Track'!Y95</f>
        <v>0</v>
      </c>
      <c r="Z60" s="220">
        <f>'NG Stock Track'!Z95</f>
        <v>0</v>
      </c>
      <c r="AA60" s="220">
        <f>'NG Stock Track'!AA95</f>
        <v>0</v>
      </c>
      <c r="AB60" s="220">
        <f>'NG Stock Track'!AB95</f>
        <v>0</v>
      </c>
      <c r="AC60" s="220">
        <f>'NG Stock Track'!AC95</f>
        <v>0</v>
      </c>
      <c r="AD60" s="220">
        <f>'NG Stock Track'!AD95</f>
        <v>0</v>
      </c>
    </row>
    <row r="61" spans="1:30">
      <c r="A61" s="223" t="s">
        <v>1291</v>
      </c>
      <c r="B61" s="220">
        <f>'NG Stock Track'!B96</f>
        <v>0</v>
      </c>
      <c r="C61" s="220">
        <f>'NG Stock Track'!C96</f>
        <v>0</v>
      </c>
      <c r="D61" s="220">
        <f>'NG Stock Track'!D96</f>
        <v>0</v>
      </c>
      <c r="E61" s="220">
        <f>'NG Stock Track'!E96</f>
        <v>0</v>
      </c>
      <c r="F61" s="220">
        <f>'NG Stock Track'!F96</f>
        <v>0</v>
      </c>
      <c r="G61" s="220">
        <f>'NG Stock Track'!G96</f>
        <v>0</v>
      </c>
      <c r="H61" s="220">
        <f>'NG Stock Track'!H96</f>
        <v>0</v>
      </c>
      <c r="I61" s="220">
        <f>'NG Stock Track'!I96</f>
        <v>0</v>
      </c>
      <c r="J61" s="220">
        <f>'NG Stock Track'!J96</f>
        <v>0</v>
      </c>
      <c r="K61" s="220">
        <f>'NG Stock Track'!K96</f>
        <v>0</v>
      </c>
      <c r="L61" s="220">
        <f>'NG Stock Track'!L96</f>
        <v>0</v>
      </c>
      <c r="M61" s="220">
        <f>'NG Stock Track'!M96</f>
        <v>0</v>
      </c>
      <c r="N61" s="220">
        <f>'NG Stock Track'!N96</f>
        <v>0</v>
      </c>
      <c r="O61" s="220">
        <f>'NG Stock Track'!O96</f>
        <v>0</v>
      </c>
      <c r="P61" s="220">
        <f>'NG Stock Track'!P96</f>
        <v>0</v>
      </c>
      <c r="Q61" s="220">
        <f>'NG Stock Track'!Q96</f>
        <v>0</v>
      </c>
      <c r="R61" s="220">
        <f>'NG Stock Track'!R96</f>
        <v>0</v>
      </c>
      <c r="S61" s="220">
        <f>'NG Stock Track'!S96</f>
        <v>0</v>
      </c>
      <c r="T61" s="220">
        <f>'NG Stock Track'!T96</f>
        <v>0</v>
      </c>
      <c r="U61" s="220">
        <f>'NG Stock Track'!U96</f>
        <v>0</v>
      </c>
      <c r="V61" s="220">
        <f>'NG Stock Track'!V96</f>
        <v>0</v>
      </c>
      <c r="W61" s="220">
        <f>'NG Stock Track'!W96</f>
        <v>0</v>
      </c>
      <c r="X61" s="220">
        <f>'NG Stock Track'!X96</f>
        <v>0</v>
      </c>
      <c r="Y61" s="220">
        <f>'NG Stock Track'!Y96</f>
        <v>0</v>
      </c>
      <c r="Z61" s="220">
        <f>'NG Stock Track'!Z96</f>
        <v>0</v>
      </c>
      <c r="AA61" s="220">
        <f>'NG Stock Track'!AA96</f>
        <v>0.5</v>
      </c>
      <c r="AB61" s="220">
        <f>'NG Stock Track'!AB96</f>
        <v>0</v>
      </c>
      <c r="AC61" s="220">
        <f>'NG Stock Track'!AC96</f>
        <v>0</v>
      </c>
      <c r="AD61" s="220">
        <f>'NG Stock Track'!AD96</f>
        <v>0</v>
      </c>
    </row>
    <row r="62" spans="1:30">
      <c r="A62" s="223" t="s">
        <v>1292</v>
      </c>
      <c r="B62" s="220">
        <f>'NG Stock Track'!B97</f>
        <v>0</v>
      </c>
      <c r="C62" s="220">
        <f>'NG Stock Track'!C97</f>
        <v>0</v>
      </c>
      <c r="D62" s="220">
        <f>'NG Stock Track'!D97</f>
        <v>0</v>
      </c>
      <c r="E62" s="220">
        <f>'NG Stock Track'!E97</f>
        <v>0</v>
      </c>
      <c r="F62" s="220">
        <f>'NG Stock Track'!F97</f>
        <v>0</v>
      </c>
      <c r="G62" s="220">
        <f>'NG Stock Track'!G97</f>
        <v>0</v>
      </c>
      <c r="H62" s="220">
        <f>'NG Stock Track'!H97</f>
        <v>0</v>
      </c>
      <c r="I62" s="220">
        <f>'NG Stock Track'!I97</f>
        <v>0</v>
      </c>
      <c r="J62" s="220">
        <f>'NG Stock Track'!J97</f>
        <v>0</v>
      </c>
      <c r="K62" s="220">
        <f>'NG Stock Track'!K97</f>
        <v>0</v>
      </c>
      <c r="L62" s="220">
        <f>'NG Stock Track'!L97</f>
        <v>0</v>
      </c>
      <c r="M62" s="220">
        <f>'NG Stock Track'!M97</f>
        <v>0</v>
      </c>
      <c r="N62" s="220">
        <f>'NG Stock Track'!N97</f>
        <v>0</v>
      </c>
      <c r="O62" s="220">
        <f>'NG Stock Track'!O97</f>
        <v>0</v>
      </c>
      <c r="P62" s="220">
        <f>'NG Stock Track'!P97</f>
        <v>0</v>
      </c>
      <c r="Q62" s="220">
        <f>'NG Stock Track'!Q97</f>
        <v>0</v>
      </c>
      <c r="R62" s="220">
        <f>'NG Stock Track'!R97</f>
        <v>0</v>
      </c>
      <c r="S62" s="220">
        <f>'NG Stock Track'!S97</f>
        <v>0</v>
      </c>
      <c r="T62" s="220">
        <f>'NG Stock Track'!T97</f>
        <v>0</v>
      </c>
      <c r="U62" s="220">
        <f>'NG Stock Track'!U97</f>
        <v>0</v>
      </c>
      <c r="V62" s="220">
        <f>'NG Stock Track'!V97</f>
        <v>0</v>
      </c>
      <c r="W62" s="220">
        <f>'NG Stock Track'!W97</f>
        <v>0</v>
      </c>
      <c r="X62" s="220">
        <f>'NG Stock Track'!X97</f>
        <v>0</v>
      </c>
      <c r="Y62" s="220">
        <f>'NG Stock Track'!Y97</f>
        <v>0</v>
      </c>
      <c r="Z62" s="220">
        <f>'NG Stock Track'!Z97</f>
        <v>0</v>
      </c>
      <c r="AA62" s="220">
        <f>'NG Stock Track'!AA97</f>
        <v>0</v>
      </c>
      <c r="AB62" s="220">
        <f>'NG Stock Track'!AB97</f>
        <v>0</v>
      </c>
      <c r="AC62" s="220">
        <f>'NG Stock Track'!AC97</f>
        <v>0</v>
      </c>
      <c r="AD62" s="220">
        <f>'NG Stock Track'!AD97</f>
        <v>56.3</v>
      </c>
    </row>
    <row r="63" spans="1:30">
      <c r="A63" s="223" t="s">
        <v>1293</v>
      </c>
      <c r="B63" s="220">
        <f>'NG Stock Track'!B98</f>
        <v>0</v>
      </c>
      <c r="C63" s="220">
        <f>'NG Stock Track'!C98</f>
        <v>0</v>
      </c>
      <c r="D63" s="220">
        <f>'NG Stock Track'!D98</f>
        <v>0</v>
      </c>
      <c r="E63" s="220">
        <f>'NG Stock Track'!E98</f>
        <v>0</v>
      </c>
      <c r="F63" s="220">
        <f>'NG Stock Track'!F98</f>
        <v>0</v>
      </c>
      <c r="G63" s="220">
        <f>'NG Stock Track'!G98</f>
        <v>0</v>
      </c>
      <c r="H63" s="220">
        <f>'NG Stock Track'!H98</f>
        <v>0</v>
      </c>
      <c r="I63" s="220">
        <f>'NG Stock Track'!I98</f>
        <v>0</v>
      </c>
      <c r="J63" s="220">
        <f>'NG Stock Track'!J98</f>
        <v>0</v>
      </c>
      <c r="K63" s="220">
        <f>'NG Stock Track'!K98</f>
        <v>0</v>
      </c>
      <c r="L63" s="220">
        <f>'NG Stock Track'!L98</f>
        <v>0</v>
      </c>
      <c r="M63" s="220">
        <f>'NG Stock Track'!M98</f>
        <v>0</v>
      </c>
      <c r="N63" s="220">
        <f>'NG Stock Track'!N98</f>
        <v>0</v>
      </c>
      <c r="O63" s="220">
        <f>'NG Stock Track'!O98</f>
        <v>0</v>
      </c>
      <c r="P63" s="220">
        <f>'NG Stock Track'!P98</f>
        <v>0</v>
      </c>
      <c r="Q63" s="220">
        <f>'NG Stock Track'!Q98</f>
        <v>0</v>
      </c>
      <c r="R63" s="220">
        <f>'NG Stock Track'!R98</f>
        <v>0</v>
      </c>
      <c r="S63" s="220">
        <f>'NG Stock Track'!S98</f>
        <v>0</v>
      </c>
      <c r="T63" s="220">
        <f>'NG Stock Track'!T98</f>
        <v>0</v>
      </c>
      <c r="U63" s="220">
        <f>'NG Stock Track'!U98</f>
        <v>0</v>
      </c>
      <c r="V63" s="220">
        <f>'NG Stock Track'!V98</f>
        <v>0</v>
      </c>
      <c r="W63" s="220">
        <f>'NG Stock Track'!W98</f>
        <v>0</v>
      </c>
      <c r="X63" s="220">
        <f>'NG Stock Track'!X98</f>
        <v>0</v>
      </c>
      <c r="Y63" s="220">
        <f>'NG Stock Track'!Y98</f>
        <v>0</v>
      </c>
      <c r="Z63" s="220">
        <f>'NG Stock Track'!Z98</f>
        <v>0</v>
      </c>
      <c r="AA63" s="220">
        <f>'NG Stock Track'!AA98</f>
        <v>0</v>
      </c>
      <c r="AB63" s="220">
        <f>'NG Stock Track'!AB98</f>
        <v>0</v>
      </c>
      <c r="AC63" s="220">
        <f>'NG Stock Track'!AC98</f>
        <v>0</v>
      </c>
      <c r="AD63" s="220">
        <f>'NG Stock Track'!AD98</f>
        <v>0</v>
      </c>
    </row>
    <row r="64" spans="1:30">
      <c r="A64" s="223" t="s">
        <v>1294</v>
      </c>
      <c r="B64" s="220">
        <f>'NG Stock Track'!B99</f>
        <v>0</v>
      </c>
      <c r="C64" s="220">
        <f>'NG Stock Track'!C99</f>
        <v>0</v>
      </c>
      <c r="D64" s="220">
        <f>'NG Stock Track'!D99</f>
        <v>0</v>
      </c>
      <c r="E64" s="220">
        <f>'NG Stock Track'!E99</f>
        <v>0</v>
      </c>
      <c r="F64" s="220">
        <f>'NG Stock Track'!F99</f>
        <v>0</v>
      </c>
      <c r="G64" s="220">
        <f>'NG Stock Track'!G99</f>
        <v>0</v>
      </c>
      <c r="H64" s="220">
        <f>'NG Stock Track'!H99</f>
        <v>0</v>
      </c>
      <c r="I64" s="220">
        <f>'NG Stock Track'!I99</f>
        <v>0</v>
      </c>
      <c r="J64" s="220">
        <f>'NG Stock Track'!J99</f>
        <v>0</v>
      </c>
      <c r="K64" s="220">
        <f>'NG Stock Track'!K99</f>
        <v>0</v>
      </c>
      <c r="L64" s="220">
        <f>'NG Stock Track'!L99</f>
        <v>0</v>
      </c>
      <c r="M64" s="220">
        <f>'NG Stock Track'!M99</f>
        <v>0</v>
      </c>
      <c r="N64" s="220">
        <f>'NG Stock Track'!N99</f>
        <v>0</v>
      </c>
      <c r="O64" s="220">
        <f>'NG Stock Track'!O99</f>
        <v>0</v>
      </c>
      <c r="P64" s="220">
        <f>'NG Stock Track'!P99</f>
        <v>0</v>
      </c>
      <c r="Q64" s="220">
        <f>'NG Stock Track'!Q99</f>
        <v>0</v>
      </c>
      <c r="R64" s="220">
        <f>'NG Stock Track'!R99</f>
        <v>0</v>
      </c>
      <c r="S64" s="220">
        <f>'NG Stock Track'!S99</f>
        <v>0</v>
      </c>
      <c r="T64" s="220">
        <f>'NG Stock Track'!T99</f>
        <v>0</v>
      </c>
      <c r="U64" s="220">
        <f>'NG Stock Track'!U99</f>
        <v>0</v>
      </c>
      <c r="V64" s="220">
        <f>'NG Stock Track'!V99</f>
        <v>0</v>
      </c>
      <c r="W64" s="220">
        <f>'NG Stock Track'!W99</f>
        <v>0</v>
      </c>
      <c r="X64" s="220">
        <f>'NG Stock Track'!X99</f>
        <v>0</v>
      </c>
      <c r="Y64" s="220">
        <f>'NG Stock Track'!Y99</f>
        <v>0</v>
      </c>
      <c r="Z64" s="220">
        <f>'NG Stock Track'!Z99</f>
        <v>0</v>
      </c>
      <c r="AA64" s="220">
        <f>'NG Stock Track'!AA99</f>
        <v>0</v>
      </c>
      <c r="AB64" s="220">
        <f>'NG Stock Track'!AB99</f>
        <v>0</v>
      </c>
      <c r="AC64" s="220">
        <f>'NG Stock Track'!AC99</f>
        <v>0</v>
      </c>
      <c r="AD64" s="220">
        <f>'NG Stock Track'!AD99</f>
        <v>0</v>
      </c>
    </row>
    <row r="65" spans="1:30">
      <c r="A65" s="223" t="s">
        <v>1295</v>
      </c>
      <c r="B65" s="220">
        <f>'NG Stock Track'!B100</f>
        <v>0</v>
      </c>
      <c r="C65" s="220">
        <f>'NG Stock Track'!C100</f>
        <v>0</v>
      </c>
      <c r="D65" s="220">
        <f>'NG Stock Track'!D100</f>
        <v>0</v>
      </c>
      <c r="E65" s="220">
        <f>'NG Stock Track'!E100</f>
        <v>0</v>
      </c>
      <c r="F65" s="220">
        <f>'NG Stock Track'!F100</f>
        <v>0</v>
      </c>
      <c r="G65" s="220">
        <f>'NG Stock Track'!G100</f>
        <v>0</v>
      </c>
      <c r="H65" s="220">
        <f>'NG Stock Track'!H100</f>
        <v>0</v>
      </c>
      <c r="I65" s="220">
        <f>'NG Stock Track'!I100</f>
        <v>0</v>
      </c>
      <c r="J65" s="220">
        <f>'NG Stock Track'!J100</f>
        <v>0</v>
      </c>
      <c r="K65" s="220">
        <f>'NG Stock Track'!K100</f>
        <v>0</v>
      </c>
      <c r="L65" s="220">
        <f>'NG Stock Track'!L100</f>
        <v>0</v>
      </c>
      <c r="M65" s="220">
        <f>'NG Stock Track'!M100</f>
        <v>0</v>
      </c>
      <c r="N65" s="220">
        <f>'NG Stock Track'!N100</f>
        <v>0</v>
      </c>
      <c r="O65" s="220">
        <f>'NG Stock Track'!O100</f>
        <v>0</v>
      </c>
      <c r="P65" s="220">
        <f>'NG Stock Track'!P100</f>
        <v>0</v>
      </c>
      <c r="Q65" s="220">
        <f>'NG Stock Track'!Q100</f>
        <v>0</v>
      </c>
      <c r="R65" s="220">
        <f>'NG Stock Track'!R100</f>
        <v>0</v>
      </c>
      <c r="S65" s="220">
        <f>'NG Stock Track'!S100</f>
        <v>0</v>
      </c>
      <c r="T65" s="220">
        <f>'NG Stock Track'!T100</f>
        <v>0</v>
      </c>
      <c r="U65" s="220">
        <f>'NG Stock Track'!U100</f>
        <v>0</v>
      </c>
      <c r="V65" s="220">
        <f>'NG Stock Track'!V100</f>
        <v>0</v>
      </c>
      <c r="W65" s="220">
        <f>'NG Stock Track'!W100</f>
        <v>0</v>
      </c>
      <c r="X65" s="220">
        <f>'NG Stock Track'!X100</f>
        <v>0</v>
      </c>
      <c r="Y65" s="220">
        <f>'NG Stock Track'!Y100</f>
        <v>0</v>
      </c>
      <c r="Z65" s="220">
        <f>'NG Stock Track'!Z100</f>
        <v>0</v>
      </c>
      <c r="AA65" s="220">
        <f>'NG Stock Track'!AA100</f>
        <v>0</v>
      </c>
      <c r="AB65" s="220">
        <f>'NG Stock Track'!AB100</f>
        <v>0</v>
      </c>
      <c r="AC65" s="220">
        <f>'NG Stock Track'!AC100</f>
        <v>0</v>
      </c>
      <c r="AD65" s="220">
        <f>'NG Stock Track'!AD100</f>
        <v>0</v>
      </c>
    </row>
    <row r="66" spans="1:30">
      <c r="A66" s="223" t="s">
        <v>1296</v>
      </c>
      <c r="B66" s="220">
        <f>'NG Stock Track'!B101</f>
        <v>0</v>
      </c>
      <c r="C66" s="220">
        <f>'NG Stock Track'!C101</f>
        <v>0</v>
      </c>
      <c r="D66" s="220">
        <f>'NG Stock Track'!D101</f>
        <v>0</v>
      </c>
      <c r="E66" s="220">
        <f>'NG Stock Track'!E101</f>
        <v>0</v>
      </c>
      <c r="F66" s="220">
        <f>'NG Stock Track'!F101</f>
        <v>0</v>
      </c>
      <c r="G66" s="220">
        <f>'NG Stock Track'!G101</f>
        <v>0</v>
      </c>
      <c r="H66" s="220">
        <f>'NG Stock Track'!H101</f>
        <v>0</v>
      </c>
      <c r="I66" s="220">
        <f>'NG Stock Track'!I101</f>
        <v>0</v>
      </c>
      <c r="J66" s="220">
        <f>'NG Stock Track'!J101</f>
        <v>0</v>
      </c>
      <c r="K66" s="220">
        <f>'NG Stock Track'!K101</f>
        <v>0</v>
      </c>
      <c r="L66" s="220">
        <f>'NG Stock Track'!L101</f>
        <v>0</v>
      </c>
      <c r="M66" s="220">
        <f>'NG Stock Track'!M101</f>
        <v>0</v>
      </c>
      <c r="N66" s="220">
        <f>'NG Stock Track'!N101</f>
        <v>0</v>
      </c>
      <c r="O66" s="220">
        <f>'NG Stock Track'!O101</f>
        <v>0</v>
      </c>
      <c r="P66" s="220">
        <f>'NG Stock Track'!P101</f>
        <v>0</v>
      </c>
      <c r="Q66" s="220">
        <f>'NG Stock Track'!Q101</f>
        <v>0</v>
      </c>
      <c r="R66" s="220">
        <f>'NG Stock Track'!R101</f>
        <v>0</v>
      </c>
      <c r="S66" s="220">
        <f>'NG Stock Track'!S101</f>
        <v>0</v>
      </c>
      <c r="T66" s="220">
        <f>'NG Stock Track'!T101</f>
        <v>0</v>
      </c>
      <c r="U66" s="220">
        <f>'NG Stock Track'!U101</f>
        <v>0</v>
      </c>
      <c r="V66" s="220">
        <f>'NG Stock Track'!V101</f>
        <v>0</v>
      </c>
      <c r="W66" s="220">
        <f>'NG Stock Track'!W101</f>
        <v>0</v>
      </c>
      <c r="X66" s="220">
        <f>'NG Stock Track'!X101</f>
        <v>0</v>
      </c>
      <c r="Y66" s="220">
        <f>'NG Stock Track'!Y101</f>
        <v>0</v>
      </c>
      <c r="Z66" s="220">
        <f>'NG Stock Track'!Z101</f>
        <v>0</v>
      </c>
      <c r="AA66" s="220">
        <f>'NG Stock Track'!AA101</f>
        <v>0</v>
      </c>
      <c r="AB66" s="220">
        <f>'NG Stock Track'!AB101</f>
        <v>0</v>
      </c>
      <c r="AC66" s="220">
        <f>'NG Stock Track'!AC101</f>
        <v>0</v>
      </c>
      <c r="AD66" s="220">
        <f>'NG Stock Track'!AD101</f>
        <v>0</v>
      </c>
    </row>
    <row r="67" spans="1:30">
      <c r="A67" s="223" t="s">
        <v>1297</v>
      </c>
      <c r="B67" s="220">
        <f>'NG Stock Track'!B102</f>
        <v>0</v>
      </c>
      <c r="C67" s="220">
        <f>'NG Stock Track'!C102</f>
        <v>0</v>
      </c>
      <c r="D67" s="220">
        <f>'NG Stock Track'!D102</f>
        <v>0</v>
      </c>
      <c r="E67" s="220">
        <f>'NG Stock Track'!E102</f>
        <v>0</v>
      </c>
      <c r="F67" s="220">
        <f>'NG Stock Track'!F102</f>
        <v>0</v>
      </c>
      <c r="G67" s="220">
        <f>'NG Stock Track'!G102</f>
        <v>0</v>
      </c>
      <c r="H67" s="220">
        <f>'NG Stock Track'!H102</f>
        <v>0</v>
      </c>
      <c r="I67" s="220">
        <f>'NG Stock Track'!I102</f>
        <v>0</v>
      </c>
      <c r="J67" s="220">
        <f>'NG Stock Track'!J102</f>
        <v>0</v>
      </c>
      <c r="K67" s="220">
        <f>'NG Stock Track'!K102</f>
        <v>0</v>
      </c>
      <c r="L67" s="220">
        <f>'NG Stock Track'!L102</f>
        <v>0</v>
      </c>
      <c r="M67" s="220">
        <f>'NG Stock Track'!M102</f>
        <v>0</v>
      </c>
      <c r="N67" s="220">
        <f>'NG Stock Track'!N102</f>
        <v>0</v>
      </c>
      <c r="O67" s="220">
        <f>'NG Stock Track'!O102</f>
        <v>0</v>
      </c>
      <c r="P67" s="220">
        <f>'NG Stock Track'!P102</f>
        <v>0</v>
      </c>
      <c r="Q67" s="220">
        <f>'NG Stock Track'!Q102</f>
        <v>0</v>
      </c>
      <c r="R67" s="220">
        <f>'NG Stock Track'!R102</f>
        <v>0</v>
      </c>
      <c r="S67" s="220">
        <f>'NG Stock Track'!S102</f>
        <v>0</v>
      </c>
      <c r="T67" s="220">
        <f>'NG Stock Track'!T102</f>
        <v>0</v>
      </c>
      <c r="U67" s="220">
        <f>'NG Stock Track'!U102</f>
        <v>0</v>
      </c>
      <c r="V67" s="220">
        <f>'NG Stock Track'!V102</f>
        <v>0</v>
      </c>
      <c r="W67" s="220">
        <f>'NG Stock Track'!W102</f>
        <v>0</v>
      </c>
      <c r="X67" s="220">
        <f>'NG Stock Track'!X102</f>
        <v>0</v>
      </c>
      <c r="Y67" s="220">
        <f>'NG Stock Track'!Y102</f>
        <v>0</v>
      </c>
      <c r="Z67" s="220">
        <f>'NG Stock Track'!Z102</f>
        <v>0</v>
      </c>
      <c r="AA67" s="220">
        <f>'NG Stock Track'!AA102</f>
        <v>0</v>
      </c>
      <c r="AB67" s="220">
        <f>'NG Stock Track'!AB102</f>
        <v>0</v>
      </c>
      <c r="AC67" s="220">
        <f>'NG Stock Track'!AC102</f>
        <v>0</v>
      </c>
      <c r="AD67" s="220">
        <f>'NG Stock Track'!AD102</f>
        <v>0</v>
      </c>
    </row>
    <row r="68" spans="1:30">
      <c r="A68" s="223" t="s">
        <v>1298</v>
      </c>
      <c r="B68" s="220">
        <f>'NG Stock Track'!B103</f>
        <v>0</v>
      </c>
      <c r="C68" s="220">
        <f>'NG Stock Track'!C103</f>
        <v>0</v>
      </c>
      <c r="D68" s="220">
        <f>'NG Stock Track'!D103</f>
        <v>0</v>
      </c>
      <c r="E68" s="220">
        <f>'NG Stock Track'!E103</f>
        <v>0</v>
      </c>
      <c r="F68" s="220">
        <f>'NG Stock Track'!F103</f>
        <v>0</v>
      </c>
      <c r="G68" s="220">
        <f>'NG Stock Track'!G103</f>
        <v>0</v>
      </c>
      <c r="H68" s="220">
        <f>'NG Stock Track'!H103</f>
        <v>0</v>
      </c>
      <c r="I68" s="220">
        <f>'NG Stock Track'!I103</f>
        <v>0</v>
      </c>
      <c r="J68" s="220">
        <f>'NG Stock Track'!J103</f>
        <v>0</v>
      </c>
      <c r="K68" s="220">
        <f>'NG Stock Track'!K103</f>
        <v>0</v>
      </c>
      <c r="L68" s="220">
        <f>'NG Stock Track'!L103</f>
        <v>0</v>
      </c>
      <c r="M68" s="220">
        <f>'NG Stock Track'!M103</f>
        <v>0</v>
      </c>
      <c r="N68" s="220">
        <f>'NG Stock Track'!N103</f>
        <v>0</v>
      </c>
      <c r="O68" s="220">
        <f>'NG Stock Track'!O103</f>
        <v>0</v>
      </c>
      <c r="P68" s="220">
        <f>'NG Stock Track'!P103</f>
        <v>0</v>
      </c>
      <c r="Q68" s="220">
        <f>'NG Stock Track'!Q103</f>
        <v>0</v>
      </c>
      <c r="R68" s="220">
        <f>'NG Stock Track'!R103</f>
        <v>0</v>
      </c>
      <c r="S68" s="220">
        <f>'NG Stock Track'!S103</f>
        <v>0</v>
      </c>
      <c r="T68" s="220">
        <f>'NG Stock Track'!T103</f>
        <v>0</v>
      </c>
      <c r="U68" s="220">
        <f>'NG Stock Track'!U103</f>
        <v>0</v>
      </c>
      <c r="V68" s="220">
        <f>'NG Stock Track'!V103</f>
        <v>0</v>
      </c>
      <c r="W68" s="220">
        <f>'NG Stock Track'!W103</f>
        <v>0</v>
      </c>
      <c r="X68" s="220">
        <f>'NG Stock Track'!X103</f>
        <v>0</v>
      </c>
      <c r="Y68" s="220">
        <f>'NG Stock Track'!Y103</f>
        <v>0</v>
      </c>
      <c r="Z68" s="220">
        <f>'NG Stock Track'!Z103</f>
        <v>0</v>
      </c>
      <c r="AA68" s="220">
        <f>'NG Stock Track'!AA103</f>
        <v>0</v>
      </c>
      <c r="AB68" s="220">
        <f>'NG Stock Track'!AB103</f>
        <v>0</v>
      </c>
      <c r="AC68" s="220">
        <f>'NG Stock Track'!AC103</f>
        <v>0</v>
      </c>
      <c r="AD68" s="220">
        <f>'NG Stock Track'!AD103</f>
        <v>0</v>
      </c>
    </row>
    <row r="69" spans="1:30">
      <c r="A69" s="223" t="s">
        <v>1299</v>
      </c>
      <c r="B69" s="220">
        <f>'NG Stock Track'!B104</f>
        <v>0</v>
      </c>
      <c r="C69" s="220">
        <f>'NG Stock Track'!C104</f>
        <v>0</v>
      </c>
      <c r="D69" s="220">
        <f>'NG Stock Track'!D104</f>
        <v>0</v>
      </c>
      <c r="E69" s="220">
        <f>'NG Stock Track'!E104</f>
        <v>0</v>
      </c>
      <c r="F69" s="220">
        <f>'NG Stock Track'!F104</f>
        <v>0</v>
      </c>
      <c r="G69" s="220">
        <f>'NG Stock Track'!G104</f>
        <v>0</v>
      </c>
      <c r="H69" s="220">
        <f>'NG Stock Track'!H104</f>
        <v>0</v>
      </c>
      <c r="I69" s="220">
        <f>'NG Stock Track'!I104</f>
        <v>0</v>
      </c>
      <c r="J69" s="220">
        <f>'NG Stock Track'!J104</f>
        <v>0</v>
      </c>
      <c r="K69" s="220">
        <f>'NG Stock Track'!K104</f>
        <v>0</v>
      </c>
      <c r="L69" s="220">
        <f>'NG Stock Track'!L104</f>
        <v>0</v>
      </c>
      <c r="M69" s="220">
        <f>'NG Stock Track'!M104</f>
        <v>0</v>
      </c>
      <c r="N69" s="220">
        <f>'NG Stock Track'!N104</f>
        <v>0</v>
      </c>
      <c r="O69" s="220">
        <f>'NG Stock Track'!O104</f>
        <v>0</v>
      </c>
      <c r="P69" s="220">
        <f>'NG Stock Track'!P104</f>
        <v>0</v>
      </c>
      <c r="Q69" s="220">
        <f>'NG Stock Track'!Q104</f>
        <v>0</v>
      </c>
      <c r="R69" s="220">
        <f>'NG Stock Track'!R104</f>
        <v>0</v>
      </c>
      <c r="S69" s="220">
        <f>'NG Stock Track'!S104</f>
        <v>0</v>
      </c>
      <c r="T69" s="220">
        <f>'NG Stock Track'!T104</f>
        <v>0</v>
      </c>
      <c r="U69" s="220">
        <f>'NG Stock Track'!U104</f>
        <v>0</v>
      </c>
      <c r="V69" s="220">
        <f>'NG Stock Track'!V104</f>
        <v>0</v>
      </c>
      <c r="W69" s="220">
        <f>'NG Stock Track'!W104</f>
        <v>0</v>
      </c>
      <c r="X69" s="220">
        <f>'NG Stock Track'!X104</f>
        <v>0</v>
      </c>
      <c r="Y69" s="220">
        <f>'NG Stock Track'!Y104</f>
        <v>0</v>
      </c>
      <c r="Z69" s="220">
        <f>'NG Stock Track'!Z104</f>
        <v>0</v>
      </c>
      <c r="AA69" s="220">
        <f>'NG Stock Track'!AA104</f>
        <v>0</v>
      </c>
      <c r="AB69" s="220">
        <f>'NG Stock Track'!AB104</f>
        <v>0</v>
      </c>
      <c r="AC69" s="220">
        <f>'NG Stock Track'!AC104</f>
        <v>0</v>
      </c>
      <c r="AD69" s="220">
        <f>'NG Stock Track'!AD104</f>
        <v>0</v>
      </c>
    </row>
    <row r="71" spans="1:30">
      <c r="A71" s="220" t="s">
        <v>1317</v>
      </c>
      <c r="L71" s="224" t="s">
        <v>1318</v>
      </c>
      <c r="M71" s="225"/>
      <c r="N71" s="225"/>
      <c r="O71" s="225"/>
      <c r="P71" s="225"/>
      <c r="Q71" s="225"/>
      <c r="R71" s="225"/>
      <c r="S71" s="225"/>
      <c r="W71" s="224" t="s">
        <v>1319</v>
      </c>
      <c r="X71" s="225"/>
      <c r="Y71" s="225"/>
      <c r="Z71" s="225"/>
      <c r="AA71" s="225"/>
      <c r="AB71" s="225"/>
      <c r="AC71" s="225"/>
      <c r="AD71" s="225"/>
    </row>
    <row r="72" spans="1:30">
      <c r="A72" s="221" t="s">
        <v>1268</v>
      </c>
      <c r="H72" s="220">
        <v>2014</v>
      </c>
      <c r="I72" s="220">
        <v>2015</v>
      </c>
      <c r="J72" s="220">
        <v>2016</v>
      </c>
      <c r="K72" s="220">
        <v>2017</v>
      </c>
      <c r="L72" s="220">
        <v>2014</v>
      </c>
      <c r="M72" s="220">
        <v>2015</v>
      </c>
      <c r="N72" s="220">
        <v>2016</v>
      </c>
      <c r="O72" s="220">
        <v>2017</v>
      </c>
      <c r="P72" s="220">
        <v>2018</v>
      </c>
      <c r="Q72" s="220">
        <v>2019</v>
      </c>
      <c r="R72" s="220">
        <v>2020</v>
      </c>
      <c r="S72" s="220">
        <v>2021</v>
      </c>
      <c r="T72" s="220">
        <v>2011</v>
      </c>
      <c r="U72" s="220">
        <v>2012</v>
      </c>
      <c r="V72" s="220">
        <v>2013</v>
      </c>
      <c r="W72" s="220">
        <v>2014</v>
      </c>
      <c r="X72" s="220">
        <v>2015</v>
      </c>
      <c r="Y72" s="220">
        <v>2016</v>
      </c>
      <c r="Z72" s="220">
        <v>2017</v>
      </c>
      <c r="AA72" s="220">
        <v>2018</v>
      </c>
      <c r="AB72" s="220">
        <v>2019</v>
      </c>
      <c r="AC72" s="220">
        <v>2020</v>
      </c>
      <c r="AD72" s="220">
        <v>2021</v>
      </c>
    </row>
    <row r="73" spans="1:30">
      <c r="A73" s="222" t="s">
        <v>80</v>
      </c>
      <c r="W73" s="220">
        <v>56970</v>
      </c>
      <c r="X73" s="220">
        <v>66030</v>
      </c>
    </row>
    <row r="74" spans="1:30">
      <c r="A74" s="223" t="s">
        <v>1269</v>
      </c>
    </row>
    <row r="75" spans="1:30">
      <c r="A75" s="223" t="s">
        <v>1270</v>
      </c>
    </row>
    <row r="76" spans="1:30">
      <c r="A76" s="223" t="s">
        <v>1271</v>
      </c>
    </row>
    <row r="77" spans="1:30">
      <c r="A77" s="223" t="s">
        <v>1272</v>
      </c>
    </row>
    <row r="78" spans="1:30">
      <c r="A78" s="223" t="s">
        <v>1273</v>
      </c>
    </row>
    <row r="79" spans="1:30">
      <c r="A79" s="223" t="s">
        <v>1274</v>
      </c>
    </row>
    <row r="80" spans="1:30">
      <c r="A80" s="223" t="s">
        <v>1275</v>
      </c>
    </row>
    <row r="81" spans="1:1">
      <c r="A81" s="223" t="s">
        <v>1276</v>
      </c>
    </row>
    <row r="82" spans="1:1">
      <c r="A82" s="223" t="s">
        <v>1277</v>
      </c>
    </row>
    <row r="83" spans="1:1">
      <c r="A83" s="223" t="s">
        <v>1278</v>
      </c>
    </row>
    <row r="84" spans="1:1">
      <c r="A84" s="223" t="s">
        <v>1279</v>
      </c>
    </row>
    <row r="85" spans="1:1">
      <c r="A85" s="223" t="s">
        <v>1280</v>
      </c>
    </row>
    <row r="86" spans="1:1">
      <c r="A86" s="223" t="s">
        <v>1281</v>
      </c>
    </row>
    <row r="87" spans="1:1">
      <c r="A87" s="223" t="s">
        <v>1282</v>
      </c>
    </row>
    <row r="88" spans="1:1">
      <c r="A88" s="223" t="s">
        <v>1283</v>
      </c>
    </row>
    <row r="89" spans="1:1">
      <c r="A89" s="223" t="s">
        <v>1284</v>
      </c>
    </row>
    <row r="90" spans="1:1">
      <c r="A90" s="223" t="s">
        <v>1285</v>
      </c>
    </row>
    <row r="91" spans="1:1">
      <c r="A91" s="223" t="s">
        <v>1286</v>
      </c>
    </row>
    <row r="92" spans="1:1">
      <c r="A92" s="223" t="s">
        <v>1287</v>
      </c>
    </row>
    <row r="93" spans="1:1">
      <c r="A93" s="223" t="s">
        <v>1288</v>
      </c>
    </row>
    <row r="94" spans="1:1">
      <c r="A94" s="223" t="s">
        <v>1289</v>
      </c>
    </row>
    <row r="95" spans="1:1">
      <c r="A95" s="223" t="s">
        <v>1290</v>
      </c>
    </row>
    <row r="96" spans="1:1">
      <c r="A96" s="223" t="s">
        <v>1291</v>
      </c>
    </row>
    <row r="97" spans="1:30">
      <c r="A97" s="223" t="s">
        <v>1292</v>
      </c>
    </row>
    <row r="98" spans="1:30">
      <c r="A98" s="223" t="s">
        <v>1293</v>
      </c>
    </row>
    <row r="99" spans="1:30">
      <c r="A99" s="223" t="s">
        <v>1294</v>
      </c>
    </row>
    <row r="100" spans="1:30">
      <c r="A100" s="223" t="s">
        <v>1295</v>
      </c>
    </row>
    <row r="101" spans="1:30">
      <c r="A101" s="223" t="s">
        <v>1296</v>
      </c>
    </row>
    <row r="102" spans="1:30">
      <c r="A102" s="223" t="s">
        <v>1297</v>
      </c>
    </row>
    <row r="103" spans="1:30">
      <c r="A103" s="223" t="s">
        <v>1298</v>
      </c>
    </row>
    <row r="104" spans="1:30">
      <c r="A104" s="223" t="s">
        <v>1299</v>
      </c>
    </row>
    <row r="107" spans="1:30">
      <c r="A107" s="220" t="s">
        <v>1320</v>
      </c>
    </row>
    <row r="108" spans="1:30">
      <c r="A108" s="221" t="s">
        <v>1268</v>
      </c>
      <c r="B108" s="220">
        <v>1993</v>
      </c>
      <c r="C108" s="220">
        <v>1994</v>
      </c>
      <c r="D108" s="220">
        <v>1995</v>
      </c>
      <c r="E108" s="220">
        <v>1996</v>
      </c>
      <c r="F108" s="220">
        <v>1997</v>
      </c>
      <c r="G108" s="220">
        <v>1998</v>
      </c>
      <c r="H108" s="220">
        <v>1999</v>
      </c>
      <c r="I108" s="220">
        <v>2000</v>
      </c>
      <c r="J108" s="220">
        <v>2001</v>
      </c>
      <c r="K108" s="220">
        <v>2002</v>
      </c>
      <c r="L108" s="220">
        <v>2003</v>
      </c>
      <c r="M108" s="220">
        <v>2004</v>
      </c>
      <c r="N108" s="220">
        <v>2005</v>
      </c>
      <c r="O108" s="220">
        <v>2006</v>
      </c>
      <c r="P108" s="220">
        <v>2007</v>
      </c>
      <c r="Q108" s="220">
        <v>2008</v>
      </c>
      <c r="R108" s="220">
        <v>2009</v>
      </c>
      <c r="S108" s="220">
        <v>2010</v>
      </c>
      <c r="T108" s="220">
        <v>2011</v>
      </c>
      <c r="U108" s="220">
        <v>2012</v>
      </c>
      <c r="V108" s="220">
        <v>2013</v>
      </c>
      <c r="W108" s="220">
        <v>2014</v>
      </c>
      <c r="X108" s="220">
        <v>2015</v>
      </c>
      <c r="Y108" s="220">
        <v>2016</v>
      </c>
      <c r="Z108" s="220">
        <v>2017</v>
      </c>
      <c r="AA108" s="220">
        <v>2018</v>
      </c>
      <c r="AB108" s="220">
        <v>2019</v>
      </c>
      <c r="AC108" s="220">
        <v>2020</v>
      </c>
      <c r="AD108" s="220">
        <v>2021</v>
      </c>
    </row>
    <row r="109" spans="1:30">
      <c r="A109" s="222" t="s">
        <v>80</v>
      </c>
      <c r="B109" s="226">
        <f t="shared" ref="B109:AD109" si="2">SUM(B110:B140)</f>
        <v>671.799999999999</v>
      </c>
      <c r="C109" s="226">
        <f t="shared" si="2"/>
        <v>944.499999999999</v>
      </c>
      <c r="D109" s="226">
        <f t="shared" si="2"/>
        <v>1217.2</v>
      </c>
      <c r="E109" s="226">
        <f t="shared" si="2"/>
        <v>1489.9</v>
      </c>
      <c r="F109" s="226">
        <f t="shared" si="2"/>
        <v>1887.6</v>
      </c>
      <c r="G109" s="226">
        <f t="shared" si="2"/>
        <v>2285.3</v>
      </c>
      <c r="H109" s="226">
        <f t="shared" si="2"/>
        <v>2563.2</v>
      </c>
      <c r="I109" s="226">
        <f t="shared" si="2"/>
        <v>2897</v>
      </c>
      <c r="J109" s="226">
        <f t="shared" si="2"/>
        <v>3254.8</v>
      </c>
      <c r="K109" s="226">
        <f t="shared" si="2"/>
        <v>3642.6</v>
      </c>
      <c r="L109" s="226">
        <f t="shared" si="2"/>
        <v>4045.6</v>
      </c>
      <c r="M109" s="226">
        <f t="shared" si="2"/>
        <v>4045.6</v>
      </c>
      <c r="N109" s="226">
        <f t="shared" si="2"/>
        <v>7011.3</v>
      </c>
      <c r="O109" s="226">
        <f t="shared" si="2"/>
        <v>11483</v>
      </c>
      <c r="P109" s="226">
        <f t="shared" si="2"/>
        <v>15559.29</v>
      </c>
      <c r="Q109" s="226">
        <f t="shared" si="2"/>
        <v>16974.4</v>
      </c>
      <c r="R109" s="226">
        <f t="shared" si="2"/>
        <v>20674</v>
      </c>
      <c r="S109" s="226">
        <f t="shared" si="2"/>
        <v>23640.8</v>
      </c>
      <c r="T109" s="226">
        <f t="shared" si="2"/>
        <v>26026.8</v>
      </c>
      <c r="U109" s="226">
        <f t="shared" si="2"/>
        <v>29237.4</v>
      </c>
      <c r="V109" s="226">
        <f t="shared" si="2"/>
        <v>36353.8</v>
      </c>
      <c r="W109" s="226">
        <f t="shared" si="2"/>
        <v>49395.9</v>
      </c>
      <c r="X109" s="226">
        <f t="shared" si="2"/>
        <v>61665.6</v>
      </c>
      <c r="Y109" s="226">
        <f t="shared" si="2"/>
        <v>69148.4</v>
      </c>
      <c r="Z109" s="226">
        <f t="shared" si="2"/>
        <v>74855</v>
      </c>
      <c r="AA109" s="226">
        <f t="shared" si="2"/>
        <v>83684.1</v>
      </c>
      <c r="AB109" s="226">
        <f t="shared" si="2"/>
        <v>89543</v>
      </c>
      <c r="AC109" s="226">
        <f t="shared" si="2"/>
        <v>98854</v>
      </c>
      <c r="AD109" s="226">
        <f t="shared" si="2"/>
        <v>107833</v>
      </c>
    </row>
    <row r="110" spans="1:30">
      <c r="A110" s="223" t="s">
        <v>1269</v>
      </c>
      <c r="B110" s="220">
        <f t="shared" ref="B110:AA110" si="3">MAX(C110-C4-C39,0)</f>
        <v>0</v>
      </c>
      <c r="C110" s="220">
        <f t="shared" si="3"/>
        <v>0</v>
      </c>
      <c r="D110" s="220">
        <f t="shared" si="3"/>
        <v>0</v>
      </c>
      <c r="E110" s="220">
        <f t="shared" si="3"/>
        <v>0</v>
      </c>
      <c r="F110" s="220">
        <f t="shared" si="3"/>
        <v>0</v>
      </c>
      <c r="G110" s="220">
        <f t="shared" si="3"/>
        <v>0</v>
      </c>
      <c r="H110" s="220">
        <f t="shared" si="3"/>
        <v>0</v>
      </c>
      <c r="I110" s="220">
        <f t="shared" si="3"/>
        <v>0</v>
      </c>
      <c r="J110" s="220">
        <f t="shared" si="3"/>
        <v>0</v>
      </c>
      <c r="K110" s="220">
        <f t="shared" si="3"/>
        <v>0</v>
      </c>
      <c r="L110" s="220">
        <f t="shared" si="3"/>
        <v>0</v>
      </c>
      <c r="M110" s="220">
        <f t="shared" si="3"/>
        <v>0</v>
      </c>
      <c r="N110" s="220">
        <f t="shared" si="3"/>
        <v>0</v>
      </c>
      <c r="O110" s="220">
        <f t="shared" si="3"/>
        <v>0</v>
      </c>
      <c r="P110" s="220">
        <f t="shared" si="3"/>
        <v>0</v>
      </c>
      <c r="Q110" s="220">
        <f t="shared" si="3"/>
        <v>0</v>
      </c>
      <c r="R110" s="220">
        <f t="shared" si="3"/>
        <v>0</v>
      </c>
      <c r="S110" s="220">
        <f t="shared" si="3"/>
        <v>0</v>
      </c>
      <c r="T110" s="220">
        <f t="shared" si="3"/>
        <v>0</v>
      </c>
      <c r="U110" s="220">
        <f t="shared" si="3"/>
        <v>0</v>
      </c>
      <c r="V110" s="220">
        <f t="shared" si="3"/>
        <v>790.1</v>
      </c>
      <c r="W110" s="220">
        <f t="shared" si="3"/>
        <v>5542.3</v>
      </c>
      <c r="X110" s="220">
        <f t="shared" si="3"/>
        <v>7457.5</v>
      </c>
      <c r="Y110" s="220">
        <f t="shared" si="3"/>
        <v>8436</v>
      </c>
      <c r="Z110" s="220">
        <f t="shared" si="3"/>
        <v>9434</v>
      </c>
      <c r="AA110" s="220">
        <f t="shared" si="3"/>
        <v>9775</v>
      </c>
      <c r="AB110" s="220">
        <f>'NG Stock Track'!AB181-'NG Stock Track'!AI181</f>
        <v>9930</v>
      </c>
      <c r="AC110" s="220">
        <f>'NG Stock Track'!AC181-'NG Stock Track'!AJ181</f>
        <v>9980</v>
      </c>
      <c r="AD110" s="220">
        <f>'NG Stock Track'!AD181-'NG Stock Track'!AK181</f>
        <v>9980</v>
      </c>
    </row>
    <row r="111" spans="1:30">
      <c r="A111" s="223" t="s">
        <v>1270</v>
      </c>
      <c r="B111" s="220">
        <f t="shared" ref="B111:AA111" si="4">MAX(C111-C5-C40,0)</f>
        <v>0</v>
      </c>
      <c r="C111" s="220">
        <f t="shared" si="4"/>
        <v>0</v>
      </c>
      <c r="D111" s="220">
        <f t="shared" si="4"/>
        <v>0</v>
      </c>
      <c r="E111" s="220">
        <f t="shared" si="4"/>
        <v>0</v>
      </c>
      <c r="F111" s="220">
        <f t="shared" si="4"/>
        <v>0</v>
      </c>
      <c r="G111" s="220">
        <f t="shared" si="4"/>
        <v>0</v>
      </c>
      <c r="H111" s="220">
        <f t="shared" si="4"/>
        <v>0</v>
      </c>
      <c r="I111" s="220">
        <f t="shared" si="4"/>
        <v>0</v>
      </c>
      <c r="J111" s="220">
        <f t="shared" si="4"/>
        <v>0</v>
      </c>
      <c r="K111" s="220">
        <f t="shared" si="4"/>
        <v>0</v>
      </c>
      <c r="L111" s="220">
        <f t="shared" si="4"/>
        <v>0</v>
      </c>
      <c r="M111" s="220">
        <f t="shared" si="4"/>
        <v>0</v>
      </c>
      <c r="N111" s="220">
        <f t="shared" si="4"/>
        <v>0</v>
      </c>
      <c r="O111" s="220">
        <f t="shared" si="4"/>
        <v>0</v>
      </c>
      <c r="P111" s="220">
        <f t="shared" si="4"/>
        <v>0</v>
      </c>
      <c r="Q111" s="220">
        <f t="shared" si="4"/>
        <v>0</v>
      </c>
      <c r="R111" s="220">
        <f t="shared" si="4"/>
        <v>0</v>
      </c>
      <c r="S111" s="220">
        <f t="shared" si="4"/>
        <v>0</v>
      </c>
      <c r="T111" s="220">
        <f t="shared" si="4"/>
        <v>0</v>
      </c>
      <c r="U111" s="220">
        <f t="shared" si="4"/>
        <v>0</v>
      </c>
      <c r="V111" s="220">
        <f t="shared" si="4"/>
        <v>0</v>
      </c>
      <c r="W111" s="220">
        <f t="shared" si="4"/>
        <v>450.8</v>
      </c>
      <c r="X111" s="220">
        <f t="shared" si="4"/>
        <v>1081.8</v>
      </c>
      <c r="Y111" s="220">
        <f t="shared" si="4"/>
        <v>2636.3</v>
      </c>
      <c r="Z111" s="220">
        <f t="shared" si="4"/>
        <v>2638.3</v>
      </c>
      <c r="AA111" s="220">
        <f t="shared" si="4"/>
        <v>2890</v>
      </c>
      <c r="AB111" s="220">
        <f>'NG Stock Track'!AB182-'NG Stock Track'!AI182</f>
        <v>3820</v>
      </c>
      <c r="AC111" s="220">
        <f>'NG Stock Track'!AC182-'NG Stock Track'!AJ182</f>
        <v>3820</v>
      </c>
      <c r="AD111" s="220">
        <f>'NG Stock Track'!AD182-'NG Stock Track'!AK182</f>
        <v>5640</v>
      </c>
    </row>
    <row r="112" spans="1:30">
      <c r="A112" s="223" t="s">
        <v>1271</v>
      </c>
      <c r="B112" s="220">
        <f t="shared" ref="B112:AA112" si="5">MAX(C112-C6-C41,0)</f>
        <v>0</v>
      </c>
      <c r="C112" s="220">
        <f t="shared" si="5"/>
        <v>0</v>
      </c>
      <c r="D112" s="220">
        <f t="shared" si="5"/>
        <v>0</v>
      </c>
      <c r="E112" s="220">
        <f t="shared" si="5"/>
        <v>0</v>
      </c>
      <c r="F112" s="220">
        <f t="shared" si="5"/>
        <v>0</v>
      </c>
      <c r="G112" s="220">
        <f t="shared" si="5"/>
        <v>0</v>
      </c>
      <c r="H112" s="220">
        <f t="shared" si="5"/>
        <v>0</v>
      </c>
      <c r="I112" s="220">
        <f t="shared" si="5"/>
        <v>0</v>
      </c>
      <c r="J112" s="220">
        <f t="shared" si="5"/>
        <v>0</v>
      </c>
      <c r="K112" s="220">
        <f t="shared" si="5"/>
        <v>0</v>
      </c>
      <c r="L112" s="220">
        <f t="shared" si="5"/>
        <v>0</v>
      </c>
      <c r="M112" s="220">
        <f t="shared" si="5"/>
        <v>0</v>
      </c>
      <c r="N112" s="220">
        <f t="shared" si="5"/>
        <v>0</v>
      </c>
      <c r="O112" s="220">
        <f t="shared" si="5"/>
        <v>0</v>
      </c>
      <c r="P112" s="220">
        <f t="shared" si="5"/>
        <v>0</v>
      </c>
      <c r="Q112" s="220">
        <f t="shared" si="5"/>
        <v>0</v>
      </c>
      <c r="R112" s="220">
        <f t="shared" si="5"/>
        <v>0</v>
      </c>
      <c r="S112" s="220">
        <f t="shared" si="5"/>
        <v>0</v>
      </c>
      <c r="T112" s="220">
        <f t="shared" si="5"/>
        <v>0</v>
      </c>
      <c r="U112" s="220">
        <f t="shared" si="5"/>
        <v>0</v>
      </c>
      <c r="V112" s="220">
        <f t="shared" si="5"/>
        <v>0</v>
      </c>
      <c r="W112" s="220">
        <f t="shared" si="5"/>
        <v>0</v>
      </c>
      <c r="X112" s="220">
        <f t="shared" si="5"/>
        <v>0</v>
      </c>
      <c r="Y112" s="220">
        <f t="shared" si="5"/>
        <v>0</v>
      </c>
      <c r="Z112" s="220">
        <f t="shared" si="5"/>
        <v>0</v>
      </c>
      <c r="AA112" s="220">
        <f t="shared" si="5"/>
        <v>0</v>
      </c>
      <c r="AB112" s="220">
        <f>'NG Stock Track'!AB183-'NG Stock Track'!AI183</f>
        <v>23</v>
      </c>
      <c r="AC112" s="220">
        <f>'NG Stock Track'!AC183-'NG Stock Track'!AJ183</f>
        <v>920</v>
      </c>
      <c r="AD112" s="220">
        <f>'NG Stock Track'!AD183-'NG Stock Track'!AK183</f>
        <v>900</v>
      </c>
    </row>
    <row r="113" spans="1:30">
      <c r="A113" s="223" t="s">
        <v>1272</v>
      </c>
      <c r="B113" s="220">
        <f t="shared" ref="B113:AA113" si="6">MAX(C113-C7-C42,0)</f>
        <v>0</v>
      </c>
      <c r="C113" s="220">
        <f t="shared" si="6"/>
        <v>0</v>
      </c>
      <c r="D113" s="220">
        <f t="shared" si="6"/>
        <v>0</v>
      </c>
      <c r="E113" s="220">
        <f t="shared" si="6"/>
        <v>0</v>
      </c>
      <c r="F113" s="220">
        <f t="shared" si="6"/>
        <v>0</v>
      </c>
      <c r="G113" s="220">
        <f t="shared" si="6"/>
        <v>0</v>
      </c>
      <c r="H113" s="220">
        <f t="shared" si="6"/>
        <v>0</v>
      </c>
      <c r="I113" s="220">
        <f t="shared" si="6"/>
        <v>0</v>
      </c>
      <c r="J113" s="220">
        <f t="shared" si="6"/>
        <v>0</v>
      </c>
      <c r="K113" s="220">
        <f t="shared" si="6"/>
        <v>0</v>
      </c>
      <c r="L113" s="220">
        <f t="shared" si="6"/>
        <v>0</v>
      </c>
      <c r="M113" s="220">
        <f t="shared" si="6"/>
        <v>0</v>
      </c>
      <c r="N113" s="220">
        <f t="shared" si="6"/>
        <v>0</v>
      </c>
      <c r="O113" s="220">
        <f t="shared" si="6"/>
        <v>0</v>
      </c>
      <c r="P113" s="220">
        <f t="shared" si="6"/>
        <v>0</v>
      </c>
      <c r="Q113" s="220">
        <f t="shared" si="6"/>
        <v>0</v>
      </c>
      <c r="R113" s="220">
        <f t="shared" si="6"/>
        <v>0</v>
      </c>
      <c r="S113" s="220">
        <f t="shared" si="6"/>
        <v>0</v>
      </c>
      <c r="T113" s="220">
        <f t="shared" si="6"/>
        <v>0</v>
      </c>
      <c r="U113" s="220">
        <f t="shared" si="6"/>
        <v>0</v>
      </c>
      <c r="V113" s="220">
        <f t="shared" si="6"/>
        <v>78.1999999999998</v>
      </c>
      <c r="W113" s="220">
        <f t="shared" si="6"/>
        <v>1386.2</v>
      </c>
      <c r="X113" s="220">
        <f t="shared" si="6"/>
        <v>2726.2</v>
      </c>
      <c r="Y113" s="220">
        <f t="shared" si="6"/>
        <v>3170.2</v>
      </c>
      <c r="Z113" s="220">
        <f t="shared" si="6"/>
        <v>3170.2</v>
      </c>
      <c r="AA113" s="220">
        <f t="shared" si="6"/>
        <v>3226</v>
      </c>
      <c r="AB113" s="220">
        <f>'NG Stock Track'!AB184-'NG Stock Track'!AI184</f>
        <v>3226</v>
      </c>
      <c r="AC113" s="220">
        <f>'NG Stock Track'!AC184-'NG Stock Track'!AJ184</f>
        <v>3470</v>
      </c>
      <c r="AD113" s="220">
        <f>'NG Stock Track'!AD184-'NG Stock Track'!AK184</f>
        <v>3460</v>
      </c>
    </row>
    <row r="114" spans="1:30">
      <c r="A114" s="223" t="s">
        <v>1273</v>
      </c>
      <c r="B114" s="220">
        <f t="shared" ref="B114:AA114" si="7">MAX(C114-C8-C43,0)</f>
        <v>0</v>
      </c>
      <c r="C114" s="220">
        <f t="shared" si="7"/>
        <v>0</v>
      </c>
      <c r="D114" s="220">
        <f t="shared" si="7"/>
        <v>0</v>
      </c>
      <c r="E114" s="220">
        <f t="shared" si="7"/>
        <v>0</v>
      </c>
      <c r="F114" s="220">
        <f t="shared" si="7"/>
        <v>0</v>
      </c>
      <c r="G114" s="220">
        <f t="shared" si="7"/>
        <v>0</v>
      </c>
      <c r="H114" s="220">
        <f t="shared" si="7"/>
        <v>0</v>
      </c>
      <c r="I114" s="220">
        <f t="shared" si="7"/>
        <v>0</v>
      </c>
      <c r="J114" s="220">
        <f t="shared" si="7"/>
        <v>0</v>
      </c>
      <c r="K114" s="220">
        <f t="shared" si="7"/>
        <v>0</v>
      </c>
      <c r="L114" s="220">
        <f t="shared" si="7"/>
        <v>0</v>
      </c>
      <c r="M114" s="220">
        <f t="shared" si="7"/>
        <v>0</v>
      </c>
      <c r="N114" s="220">
        <f t="shared" si="7"/>
        <v>0</v>
      </c>
      <c r="O114" s="220">
        <f t="shared" si="7"/>
        <v>209</v>
      </c>
      <c r="P114" s="220">
        <f t="shared" si="7"/>
        <v>209</v>
      </c>
      <c r="Q114" s="220">
        <f t="shared" si="7"/>
        <v>209</v>
      </c>
      <c r="R114" s="220">
        <f t="shared" si="7"/>
        <v>219</v>
      </c>
      <c r="S114" s="220">
        <f t="shared" si="7"/>
        <v>219</v>
      </c>
      <c r="T114" s="220">
        <f t="shared" si="7"/>
        <v>419</v>
      </c>
      <c r="U114" s="220">
        <f t="shared" si="7"/>
        <v>419</v>
      </c>
      <c r="V114" s="220">
        <f t="shared" si="7"/>
        <v>419</v>
      </c>
      <c r="W114" s="220">
        <f t="shared" si="7"/>
        <v>419</v>
      </c>
      <c r="X114" s="220">
        <f t="shared" si="7"/>
        <v>419</v>
      </c>
      <c r="Y114" s="220">
        <f t="shared" si="7"/>
        <v>419</v>
      </c>
      <c r="Z114" s="220">
        <f t="shared" si="7"/>
        <v>419</v>
      </c>
      <c r="AA114" s="220">
        <f t="shared" si="7"/>
        <v>419</v>
      </c>
      <c r="AB114" s="220">
        <f>'NG Stock Track'!AB185-'NG Stock Track'!AI185</f>
        <v>419</v>
      </c>
      <c r="AC114" s="220">
        <f>'NG Stock Track'!AC185-'NG Stock Track'!AJ185</f>
        <v>739</v>
      </c>
      <c r="AD114" s="220">
        <f>'NG Stock Track'!AD185-'NG Stock Track'!AK185</f>
        <v>1057</v>
      </c>
    </row>
    <row r="115" spans="1:30">
      <c r="A115" s="223" t="s">
        <v>1274</v>
      </c>
      <c r="B115" s="220">
        <f t="shared" ref="B115:AA115" si="8">MAX(C115-C9-C44,0)</f>
        <v>0</v>
      </c>
      <c r="C115" s="220">
        <f t="shared" si="8"/>
        <v>0</v>
      </c>
      <c r="D115" s="220">
        <f t="shared" si="8"/>
        <v>0</v>
      </c>
      <c r="E115" s="220">
        <f t="shared" si="8"/>
        <v>0</v>
      </c>
      <c r="F115" s="220">
        <f t="shared" si="8"/>
        <v>0</v>
      </c>
      <c r="G115" s="220">
        <f t="shared" si="8"/>
        <v>0</v>
      </c>
      <c r="H115" s="220">
        <f t="shared" si="8"/>
        <v>0</v>
      </c>
      <c r="I115" s="220">
        <f t="shared" si="8"/>
        <v>0</v>
      </c>
      <c r="J115" s="220">
        <f t="shared" si="8"/>
        <v>0</v>
      </c>
      <c r="K115" s="220">
        <f t="shared" si="8"/>
        <v>0</v>
      </c>
      <c r="L115" s="220">
        <f t="shared" si="8"/>
        <v>0</v>
      </c>
      <c r="M115" s="220">
        <f t="shared" si="8"/>
        <v>0</v>
      </c>
      <c r="N115" s="220">
        <f t="shared" si="8"/>
        <v>0</v>
      </c>
      <c r="O115" s="220">
        <f t="shared" si="8"/>
        <v>60</v>
      </c>
      <c r="P115" s="220">
        <f t="shared" si="8"/>
        <v>60</v>
      </c>
      <c r="Q115" s="220">
        <f t="shared" si="8"/>
        <v>60</v>
      </c>
      <c r="R115" s="220">
        <f t="shared" si="8"/>
        <v>60</v>
      </c>
      <c r="S115" s="220">
        <f t="shared" si="8"/>
        <v>60</v>
      </c>
      <c r="T115" s="220">
        <f t="shared" si="8"/>
        <v>60</v>
      </c>
      <c r="U115" s="220">
        <f t="shared" si="8"/>
        <v>60</v>
      </c>
      <c r="V115" s="220">
        <f t="shared" si="8"/>
        <v>60</v>
      </c>
      <c r="W115" s="220">
        <f t="shared" si="8"/>
        <v>60</v>
      </c>
      <c r="X115" s="220">
        <f t="shared" si="8"/>
        <v>60</v>
      </c>
      <c r="Y115" s="220">
        <f t="shared" si="8"/>
        <v>60</v>
      </c>
      <c r="Z115" s="220">
        <f t="shared" si="8"/>
        <v>60</v>
      </c>
      <c r="AA115" s="220">
        <f t="shared" si="8"/>
        <v>60</v>
      </c>
      <c r="AB115" s="220">
        <f>'NG Stock Track'!AB186-'NG Stock Track'!AI186</f>
        <v>60</v>
      </c>
      <c r="AC115" s="220">
        <f>'NG Stock Track'!AC186-'NG Stock Track'!AJ186</f>
        <v>40</v>
      </c>
      <c r="AD115" s="220">
        <f>'NG Stock Track'!AD186-'NG Stock Track'!AK186</f>
        <v>0</v>
      </c>
    </row>
    <row r="116" spans="1:30">
      <c r="A116" s="223" t="s">
        <v>1275</v>
      </c>
      <c r="B116" s="220">
        <f t="shared" ref="B116:AA116" si="9">MAX(C116-C10-C45,0)</f>
        <v>0</v>
      </c>
      <c r="C116" s="220">
        <f t="shared" si="9"/>
        <v>0</v>
      </c>
      <c r="D116" s="220">
        <f t="shared" si="9"/>
        <v>0</v>
      </c>
      <c r="E116" s="220">
        <f t="shared" si="9"/>
        <v>0</v>
      </c>
      <c r="F116" s="220">
        <f t="shared" si="9"/>
        <v>0</v>
      </c>
      <c r="G116" s="220">
        <f t="shared" si="9"/>
        <v>0</v>
      </c>
      <c r="H116" s="220">
        <f t="shared" si="9"/>
        <v>0</v>
      </c>
      <c r="I116" s="220">
        <f t="shared" si="9"/>
        <v>0</v>
      </c>
      <c r="J116" s="220">
        <f t="shared" si="9"/>
        <v>0</v>
      </c>
      <c r="K116" s="220">
        <f t="shared" si="9"/>
        <v>0</v>
      </c>
      <c r="L116" s="220">
        <f t="shared" si="9"/>
        <v>0</v>
      </c>
      <c r="M116" s="220">
        <f t="shared" si="9"/>
        <v>0</v>
      </c>
      <c r="N116" s="220">
        <f t="shared" si="9"/>
        <v>7</v>
      </c>
      <c r="O116" s="220">
        <f t="shared" si="9"/>
        <v>7</v>
      </c>
      <c r="P116" s="220">
        <f t="shared" si="9"/>
        <v>7</v>
      </c>
      <c r="Q116" s="220">
        <f t="shared" si="9"/>
        <v>7</v>
      </c>
      <c r="R116" s="220">
        <f t="shared" si="9"/>
        <v>7</v>
      </c>
      <c r="S116" s="220">
        <f t="shared" si="9"/>
        <v>7</v>
      </c>
      <c r="T116" s="220">
        <f t="shared" si="9"/>
        <v>7</v>
      </c>
      <c r="U116" s="220">
        <f t="shared" si="9"/>
        <v>7</v>
      </c>
      <c r="V116" s="220">
        <f t="shared" si="9"/>
        <v>7</v>
      </c>
      <c r="W116" s="220">
        <f t="shared" si="9"/>
        <v>7</v>
      </c>
      <c r="X116" s="220">
        <f t="shared" si="9"/>
        <v>7</v>
      </c>
      <c r="Y116" s="220">
        <f t="shared" si="9"/>
        <v>7</v>
      </c>
      <c r="Z116" s="220">
        <f t="shared" si="9"/>
        <v>7</v>
      </c>
      <c r="AA116" s="220">
        <f t="shared" si="9"/>
        <v>7</v>
      </c>
      <c r="AB116" s="220">
        <f>'NG Stock Track'!AB187-'NG Stock Track'!AI187</f>
        <v>7</v>
      </c>
      <c r="AC116" s="220">
        <f>'NG Stock Track'!AC187-'NG Stock Track'!AJ187</f>
        <v>0</v>
      </c>
      <c r="AD116" s="220">
        <f>'NG Stock Track'!AD187-'NG Stock Track'!AK187</f>
        <v>10</v>
      </c>
    </row>
    <row r="117" spans="1:30">
      <c r="A117" s="223" t="s">
        <v>1276</v>
      </c>
      <c r="B117" s="220">
        <f t="shared" ref="B117:AA117" si="10">MAX(C117-C11-C46,0)</f>
        <v>0</v>
      </c>
      <c r="C117" s="220">
        <f t="shared" si="10"/>
        <v>0</v>
      </c>
      <c r="D117" s="220">
        <f t="shared" si="10"/>
        <v>0</v>
      </c>
      <c r="E117" s="220">
        <f t="shared" si="10"/>
        <v>0</v>
      </c>
      <c r="F117" s="220">
        <f t="shared" si="10"/>
        <v>0</v>
      </c>
      <c r="G117" s="220">
        <f t="shared" si="10"/>
        <v>0</v>
      </c>
      <c r="H117" s="220">
        <f t="shared" si="10"/>
        <v>0</v>
      </c>
      <c r="I117" s="220">
        <f t="shared" si="10"/>
        <v>0</v>
      </c>
      <c r="J117" s="220">
        <f t="shared" si="10"/>
        <v>0</v>
      </c>
      <c r="K117" s="220">
        <f t="shared" si="10"/>
        <v>0</v>
      </c>
      <c r="L117" s="220">
        <f t="shared" si="10"/>
        <v>0</v>
      </c>
      <c r="M117" s="220">
        <f t="shared" si="10"/>
        <v>0</v>
      </c>
      <c r="N117" s="220">
        <f t="shared" si="10"/>
        <v>0</v>
      </c>
      <c r="O117" s="220">
        <f t="shared" si="10"/>
        <v>0</v>
      </c>
      <c r="P117" s="220">
        <f t="shared" si="10"/>
        <v>0</v>
      </c>
      <c r="Q117" s="220">
        <f t="shared" si="10"/>
        <v>0</v>
      </c>
      <c r="R117" s="220">
        <f t="shared" si="10"/>
        <v>0</v>
      </c>
      <c r="S117" s="220">
        <f t="shared" si="10"/>
        <v>0</v>
      </c>
      <c r="T117" s="220">
        <f t="shared" si="10"/>
        <v>0</v>
      </c>
      <c r="U117" s="220">
        <f t="shared" si="10"/>
        <v>0</v>
      </c>
      <c r="V117" s="220">
        <f t="shared" si="10"/>
        <v>0</v>
      </c>
      <c r="W117" s="220">
        <f t="shared" si="10"/>
        <v>0</v>
      </c>
      <c r="X117" s="220">
        <f t="shared" si="10"/>
        <v>19</v>
      </c>
      <c r="Y117" s="220">
        <f t="shared" si="10"/>
        <v>49</v>
      </c>
      <c r="Z117" s="220">
        <f t="shared" si="10"/>
        <v>49</v>
      </c>
      <c r="AA117" s="220">
        <f t="shared" si="10"/>
        <v>49</v>
      </c>
      <c r="AB117" s="220">
        <f>'NG Stock Track'!AB188-'NG Stock Track'!AI188</f>
        <v>114</v>
      </c>
      <c r="AC117" s="220">
        <f>'NG Stock Track'!AC188-'NG Stock Track'!AJ188</f>
        <v>120</v>
      </c>
      <c r="AD117" s="220">
        <f>'NG Stock Track'!AD188-'NG Stock Track'!AK188</f>
        <v>130</v>
      </c>
    </row>
    <row r="118" spans="1:30">
      <c r="A118" s="223" t="s">
        <v>1277</v>
      </c>
      <c r="B118" s="220">
        <f t="shared" ref="B118:AA118" si="11">MAX(C118-C12-C47,0)</f>
        <v>0</v>
      </c>
      <c r="C118" s="220">
        <f t="shared" si="11"/>
        <v>0</v>
      </c>
      <c r="D118" s="220">
        <f t="shared" si="11"/>
        <v>0</v>
      </c>
      <c r="E118" s="220">
        <f t="shared" si="11"/>
        <v>0</v>
      </c>
      <c r="F118" s="220">
        <f t="shared" si="11"/>
        <v>0</v>
      </c>
      <c r="G118" s="220">
        <f t="shared" si="11"/>
        <v>0</v>
      </c>
      <c r="H118" s="220">
        <f t="shared" si="11"/>
        <v>5.19999999999873</v>
      </c>
      <c r="I118" s="220">
        <f t="shared" si="11"/>
        <v>66.2999999999987</v>
      </c>
      <c r="J118" s="220">
        <f t="shared" si="11"/>
        <v>127.399999999999</v>
      </c>
      <c r="K118" s="220">
        <f t="shared" si="11"/>
        <v>127.399999999999</v>
      </c>
      <c r="L118" s="220">
        <f t="shared" si="11"/>
        <v>127.399999999999</v>
      </c>
      <c r="M118" s="220">
        <f t="shared" si="11"/>
        <v>127.399999999999</v>
      </c>
      <c r="N118" s="220">
        <f t="shared" si="11"/>
        <v>1213.4</v>
      </c>
      <c r="O118" s="220">
        <f t="shared" si="11"/>
        <v>2413.4</v>
      </c>
      <c r="P118" s="220">
        <f t="shared" si="11"/>
        <v>2413.4</v>
      </c>
      <c r="Q118" s="220">
        <f t="shared" si="11"/>
        <v>2624.2</v>
      </c>
      <c r="R118" s="220">
        <f t="shared" si="11"/>
        <v>2835</v>
      </c>
      <c r="S118" s="220">
        <f t="shared" si="11"/>
        <v>3045.8</v>
      </c>
      <c r="T118" s="220">
        <f t="shared" si="11"/>
        <v>4479.6</v>
      </c>
      <c r="U118" s="220">
        <f t="shared" si="11"/>
        <v>4690.4</v>
      </c>
      <c r="V118" s="220">
        <f t="shared" si="11"/>
        <v>4690.4</v>
      </c>
      <c r="W118" s="220">
        <f t="shared" si="11"/>
        <v>4690.4</v>
      </c>
      <c r="X118" s="220">
        <f t="shared" si="11"/>
        <v>5701.2</v>
      </c>
      <c r="Y118" s="220">
        <f t="shared" si="11"/>
        <v>5732</v>
      </c>
      <c r="Z118" s="220">
        <f t="shared" si="11"/>
        <v>5758</v>
      </c>
      <c r="AA118" s="220">
        <f t="shared" si="11"/>
        <v>6639.4</v>
      </c>
      <c r="AB118" s="220">
        <f>'NG Stock Track'!AB189-'NG Stock Track'!AI189</f>
        <v>7632</v>
      </c>
      <c r="AC118" s="220">
        <f>'NG Stock Track'!AC189-'NG Stock Track'!AJ189</f>
        <v>7640</v>
      </c>
      <c r="AD118" s="220">
        <f>'NG Stock Track'!AD189-'NG Stock Track'!AK189</f>
        <v>8110</v>
      </c>
    </row>
    <row r="119" spans="1:30">
      <c r="A119" s="223" t="s">
        <v>1278</v>
      </c>
      <c r="B119" s="220">
        <f t="shared" ref="B119:AA119" si="12">MAX(C119-C13-C48,0)</f>
        <v>0</v>
      </c>
      <c r="C119" s="220">
        <f t="shared" si="12"/>
        <v>0</v>
      </c>
      <c r="D119" s="220">
        <f t="shared" si="12"/>
        <v>0</v>
      </c>
      <c r="E119" s="220">
        <f t="shared" si="12"/>
        <v>0</v>
      </c>
      <c r="F119" s="220">
        <f t="shared" si="12"/>
        <v>0</v>
      </c>
      <c r="G119" s="220">
        <f t="shared" si="12"/>
        <v>0</v>
      </c>
      <c r="H119" s="220">
        <f t="shared" si="12"/>
        <v>0</v>
      </c>
      <c r="I119" s="220">
        <f t="shared" si="12"/>
        <v>0</v>
      </c>
      <c r="J119" s="220">
        <f t="shared" si="12"/>
        <v>0</v>
      </c>
      <c r="K119" s="220">
        <f t="shared" si="12"/>
        <v>0</v>
      </c>
      <c r="L119" s="220">
        <f t="shared" si="12"/>
        <v>0</v>
      </c>
      <c r="M119" s="220">
        <f t="shared" si="12"/>
        <v>0</v>
      </c>
      <c r="N119" s="220">
        <f t="shared" si="12"/>
        <v>748.699999999999</v>
      </c>
      <c r="O119" s="220">
        <f t="shared" si="12"/>
        <v>1301.7</v>
      </c>
      <c r="P119" s="220">
        <f t="shared" si="12"/>
        <v>1681.7</v>
      </c>
      <c r="Q119" s="220">
        <f t="shared" si="12"/>
        <v>1905.5</v>
      </c>
      <c r="R119" s="220">
        <f t="shared" si="12"/>
        <v>2129.3</v>
      </c>
      <c r="S119" s="220">
        <f t="shared" si="12"/>
        <v>2353.1</v>
      </c>
      <c r="T119" s="220">
        <f t="shared" si="12"/>
        <v>2796.9</v>
      </c>
      <c r="U119" s="220">
        <f t="shared" si="12"/>
        <v>4182.7</v>
      </c>
      <c r="V119" s="220">
        <f t="shared" si="12"/>
        <v>5537</v>
      </c>
      <c r="W119" s="220">
        <f t="shared" si="12"/>
        <v>5658.6</v>
      </c>
      <c r="X119" s="220">
        <f t="shared" si="12"/>
        <v>7932.2</v>
      </c>
      <c r="Y119" s="220">
        <f t="shared" si="12"/>
        <v>8915.8</v>
      </c>
      <c r="Z119" s="220">
        <f t="shared" si="12"/>
        <v>12779.8</v>
      </c>
      <c r="AA119" s="220">
        <f t="shared" si="12"/>
        <v>14924.2</v>
      </c>
      <c r="AB119" s="220">
        <f>'NG Stock Track'!AB190-'NG Stock Track'!AI190</f>
        <v>16032</v>
      </c>
      <c r="AC119" s="220">
        <f>'NG Stock Track'!AC190-'NG Stock Track'!AJ190</f>
        <v>16920</v>
      </c>
      <c r="AD119" s="220">
        <f>'NG Stock Track'!AD190-'NG Stock Track'!AK190</f>
        <v>19060</v>
      </c>
    </row>
    <row r="120" spans="1:30">
      <c r="A120" s="223" t="s">
        <v>1279</v>
      </c>
      <c r="B120" s="220">
        <f t="shared" ref="B120:AA120" si="13">MAX(C120-C14-C49,0)</f>
        <v>0</v>
      </c>
      <c r="C120" s="220">
        <f t="shared" si="13"/>
        <v>0</v>
      </c>
      <c r="D120" s="220">
        <f t="shared" si="13"/>
        <v>0</v>
      </c>
      <c r="E120" s="220">
        <f t="shared" si="13"/>
        <v>0</v>
      </c>
      <c r="F120" s="220">
        <f t="shared" si="13"/>
        <v>0</v>
      </c>
      <c r="G120" s="220">
        <f t="shared" si="13"/>
        <v>0</v>
      </c>
      <c r="H120" s="220">
        <f t="shared" si="13"/>
        <v>0</v>
      </c>
      <c r="I120" s="220">
        <f t="shared" si="13"/>
        <v>0</v>
      </c>
      <c r="J120" s="220">
        <f t="shared" si="13"/>
        <v>0</v>
      </c>
      <c r="K120" s="220">
        <f t="shared" si="13"/>
        <v>0</v>
      </c>
      <c r="L120" s="220">
        <f t="shared" si="13"/>
        <v>0</v>
      </c>
      <c r="M120" s="220">
        <f t="shared" si="13"/>
        <v>0</v>
      </c>
      <c r="N120" s="220">
        <f t="shared" si="13"/>
        <v>0</v>
      </c>
      <c r="O120" s="220">
        <f t="shared" si="13"/>
        <v>0</v>
      </c>
      <c r="P120" s="220">
        <f t="shared" si="13"/>
        <v>286.789999999999</v>
      </c>
      <c r="Q120" s="220">
        <f t="shared" si="13"/>
        <v>1091.7</v>
      </c>
      <c r="R120" s="220">
        <f t="shared" si="13"/>
        <v>1091.7</v>
      </c>
      <c r="S120" s="220">
        <f t="shared" si="13"/>
        <v>1091.7</v>
      </c>
      <c r="T120" s="220">
        <f t="shared" si="13"/>
        <v>1091.7</v>
      </c>
      <c r="U120" s="220">
        <f t="shared" si="13"/>
        <v>2358.7</v>
      </c>
      <c r="V120" s="220">
        <f t="shared" si="13"/>
        <v>5640.3</v>
      </c>
      <c r="W120" s="220">
        <f t="shared" si="13"/>
        <v>8552.3</v>
      </c>
      <c r="X120" s="220">
        <f t="shared" si="13"/>
        <v>11086.4</v>
      </c>
      <c r="Y120" s="220">
        <f t="shared" si="13"/>
        <v>12056</v>
      </c>
      <c r="Z120" s="220">
        <f t="shared" si="13"/>
        <v>12280</v>
      </c>
      <c r="AA120" s="220">
        <f t="shared" si="13"/>
        <v>12524.1</v>
      </c>
      <c r="AB120" s="220">
        <f>'NG Stock Track'!AB191-'NG Stock Track'!AI191</f>
        <v>12554</v>
      </c>
      <c r="AC120" s="220">
        <f>'NG Stock Track'!AC191-'NG Stock Track'!AJ191</f>
        <v>12560</v>
      </c>
      <c r="AD120" s="220">
        <f>'NG Stock Track'!AD191-'NG Stock Track'!AK191</f>
        <v>12560</v>
      </c>
    </row>
    <row r="121" spans="1:30">
      <c r="A121" s="223" t="s">
        <v>1280</v>
      </c>
      <c r="B121" s="220">
        <f t="shared" ref="B121:AA121" si="14">MAX(C121-C15-C50,0)</f>
        <v>0</v>
      </c>
      <c r="C121" s="220">
        <f t="shared" si="14"/>
        <v>0</v>
      </c>
      <c r="D121" s="220">
        <f t="shared" si="14"/>
        <v>0</v>
      </c>
      <c r="E121" s="220">
        <f t="shared" si="14"/>
        <v>0</v>
      </c>
      <c r="F121" s="220">
        <f t="shared" si="14"/>
        <v>0</v>
      </c>
      <c r="G121" s="220">
        <f t="shared" si="14"/>
        <v>0</v>
      </c>
      <c r="H121" s="220">
        <f t="shared" si="14"/>
        <v>0</v>
      </c>
      <c r="I121" s="220">
        <f t="shared" si="14"/>
        <v>0</v>
      </c>
      <c r="J121" s="220">
        <f t="shared" si="14"/>
        <v>0</v>
      </c>
      <c r="K121" s="220">
        <f t="shared" si="14"/>
        <v>0</v>
      </c>
      <c r="L121" s="220">
        <f t="shared" si="14"/>
        <v>0</v>
      </c>
      <c r="M121" s="220">
        <f t="shared" si="14"/>
        <v>0</v>
      </c>
      <c r="N121" s="220">
        <f t="shared" si="14"/>
        <v>0</v>
      </c>
      <c r="O121" s="220">
        <f t="shared" si="14"/>
        <v>0</v>
      </c>
      <c r="P121" s="220">
        <f t="shared" si="14"/>
        <v>0</v>
      </c>
      <c r="Q121" s="220">
        <f t="shared" si="14"/>
        <v>0</v>
      </c>
      <c r="R121" s="220">
        <f t="shared" si="14"/>
        <v>0</v>
      </c>
      <c r="S121" s="220">
        <f t="shared" si="14"/>
        <v>0</v>
      </c>
      <c r="T121" s="220">
        <f t="shared" si="14"/>
        <v>0</v>
      </c>
      <c r="U121" s="220">
        <f t="shared" si="14"/>
        <v>0</v>
      </c>
      <c r="V121" s="220">
        <f t="shared" si="14"/>
        <v>0</v>
      </c>
      <c r="W121" s="220">
        <f t="shared" si="14"/>
        <v>65</v>
      </c>
      <c r="X121" s="220">
        <f t="shared" si="14"/>
        <v>90</v>
      </c>
      <c r="Y121" s="220">
        <f t="shared" si="14"/>
        <v>115</v>
      </c>
      <c r="Z121" s="220">
        <f t="shared" si="14"/>
        <v>115</v>
      </c>
      <c r="AA121" s="220">
        <f t="shared" si="14"/>
        <v>127</v>
      </c>
      <c r="AB121" s="220">
        <f>'NG Stock Track'!AB192-'NG Stock Track'!AI192</f>
        <v>127</v>
      </c>
      <c r="AC121" s="220">
        <f>'NG Stock Track'!AC192-'NG Stock Track'!AJ192</f>
        <v>140</v>
      </c>
      <c r="AD121" s="220">
        <f>'NG Stock Track'!AD192-'NG Stock Track'!AK192</f>
        <v>110</v>
      </c>
    </row>
    <row r="122" spans="1:30">
      <c r="A122" s="223" t="s">
        <v>1281</v>
      </c>
      <c r="B122" s="220">
        <f t="shared" ref="B122:AA122" si="15">MAX(C122-C16-C51,0)</f>
        <v>0</v>
      </c>
      <c r="C122" s="220">
        <f t="shared" si="15"/>
        <v>0</v>
      </c>
      <c r="D122" s="220">
        <f t="shared" si="15"/>
        <v>0</v>
      </c>
      <c r="E122" s="220">
        <f t="shared" si="15"/>
        <v>0</v>
      </c>
      <c r="F122" s="220">
        <f t="shared" si="15"/>
        <v>0</v>
      </c>
      <c r="G122" s="220">
        <f t="shared" si="15"/>
        <v>0</v>
      </c>
      <c r="H122" s="220">
        <f t="shared" si="15"/>
        <v>0</v>
      </c>
      <c r="I122" s="220">
        <f t="shared" si="15"/>
        <v>0</v>
      </c>
      <c r="J122" s="220">
        <f t="shared" si="15"/>
        <v>0</v>
      </c>
      <c r="K122" s="220">
        <f t="shared" si="15"/>
        <v>0</v>
      </c>
      <c r="L122" s="220">
        <f t="shared" si="15"/>
        <v>0</v>
      </c>
      <c r="M122" s="220">
        <f t="shared" si="15"/>
        <v>0</v>
      </c>
      <c r="N122" s="220">
        <f t="shared" si="15"/>
        <v>0</v>
      </c>
      <c r="O122" s="220">
        <f t="shared" si="15"/>
        <v>0</v>
      </c>
      <c r="P122" s="220">
        <f t="shared" si="15"/>
        <v>0</v>
      </c>
      <c r="Q122" s="220">
        <f t="shared" si="15"/>
        <v>0</v>
      </c>
      <c r="R122" s="220">
        <f t="shared" si="15"/>
        <v>2130.4</v>
      </c>
      <c r="S122" s="220">
        <f t="shared" si="15"/>
        <v>3642</v>
      </c>
      <c r="T122" s="220">
        <f t="shared" si="15"/>
        <v>3753.6</v>
      </c>
      <c r="U122" s="220">
        <f t="shared" si="15"/>
        <v>3865.2</v>
      </c>
      <c r="V122" s="220">
        <f t="shared" si="15"/>
        <v>3865.2</v>
      </c>
      <c r="W122" s="220">
        <f t="shared" si="15"/>
        <v>3865.2</v>
      </c>
      <c r="X122" s="220">
        <f t="shared" si="15"/>
        <v>3865.2</v>
      </c>
      <c r="Y122" s="220">
        <f t="shared" si="15"/>
        <v>3865.2</v>
      </c>
      <c r="Z122" s="220">
        <f t="shared" si="15"/>
        <v>3897</v>
      </c>
      <c r="AA122" s="220">
        <f t="shared" si="15"/>
        <v>3897</v>
      </c>
      <c r="AB122" s="220">
        <f>'NG Stock Track'!AB193-'NG Stock Track'!AI193</f>
        <v>3900</v>
      </c>
      <c r="AC122" s="220">
        <f>'NG Stock Track'!AC193-'NG Stock Track'!AJ193</f>
        <v>3890</v>
      </c>
      <c r="AD122" s="220">
        <f>'NG Stock Track'!AD193-'NG Stock Track'!AK193</f>
        <v>3900</v>
      </c>
    </row>
    <row r="123" spans="1:30">
      <c r="A123" s="223" t="s">
        <v>1282</v>
      </c>
      <c r="B123" s="220">
        <f t="shared" ref="B123:AA123" si="16">MAX(C123-C17-C52,0)</f>
        <v>0</v>
      </c>
      <c r="C123" s="220">
        <f t="shared" si="16"/>
        <v>0</v>
      </c>
      <c r="D123" s="220">
        <f t="shared" si="16"/>
        <v>0</v>
      </c>
      <c r="E123" s="220">
        <f t="shared" si="16"/>
        <v>0</v>
      </c>
      <c r="F123" s="220">
        <f t="shared" si="16"/>
        <v>0</v>
      </c>
      <c r="G123" s="220">
        <f t="shared" si="16"/>
        <v>0</v>
      </c>
      <c r="H123" s="220">
        <f t="shared" si="16"/>
        <v>0</v>
      </c>
      <c r="I123" s="220">
        <f t="shared" si="16"/>
        <v>0</v>
      </c>
      <c r="J123" s="220">
        <f t="shared" si="16"/>
        <v>0</v>
      </c>
      <c r="K123" s="220">
        <f t="shared" si="16"/>
        <v>0</v>
      </c>
      <c r="L123" s="220">
        <f t="shared" si="16"/>
        <v>0</v>
      </c>
      <c r="M123" s="220">
        <f t="shared" si="16"/>
        <v>0</v>
      </c>
      <c r="N123" s="220">
        <f t="shared" si="16"/>
        <v>0</v>
      </c>
      <c r="O123" s="220">
        <f t="shared" si="16"/>
        <v>0</v>
      </c>
      <c r="P123" s="220">
        <f t="shared" si="16"/>
        <v>0</v>
      </c>
      <c r="Q123" s="220">
        <f t="shared" si="16"/>
        <v>0</v>
      </c>
      <c r="R123" s="220">
        <f t="shared" si="16"/>
        <v>0</v>
      </c>
      <c r="S123" s="220">
        <f t="shared" si="16"/>
        <v>0</v>
      </c>
      <c r="T123" s="220">
        <f t="shared" si="16"/>
        <v>0</v>
      </c>
      <c r="U123" s="220">
        <f t="shared" si="16"/>
        <v>0</v>
      </c>
      <c r="V123" s="220">
        <f t="shared" si="16"/>
        <v>0</v>
      </c>
      <c r="W123" s="220">
        <f t="shared" si="16"/>
        <v>49</v>
      </c>
      <c r="X123" s="220">
        <f t="shared" si="16"/>
        <v>74</v>
      </c>
      <c r="Y123" s="220">
        <f t="shared" si="16"/>
        <v>99</v>
      </c>
      <c r="Z123" s="220">
        <f t="shared" si="16"/>
        <v>99</v>
      </c>
      <c r="AA123" s="220">
        <f t="shared" si="16"/>
        <v>99</v>
      </c>
      <c r="AB123" s="220">
        <f>'NG Stock Track'!AB194-'NG Stock Track'!AI194</f>
        <v>99</v>
      </c>
      <c r="AC123" s="220">
        <f>'NG Stock Track'!AC194-'NG Stock Track'!AJ194</f>
        <v>100</v>
      </c>
      <c r="AD123" s="220">
        <f>'NG Stock Track'!AD194-'NG Stock Track'!AK194</f>
        <v>100</v>
      </c>
    </row>
    <row r="124" spans="1:30">
      <c r="A124" s="223" t="s">
        <v>1283</v>
      </c>
      <c r="B124" s="220">
        <f t="shared" ref="B124:AA124" si="17">MAX(C124-C18-C53,0)</f>
        <v>0</v>
      </c>
      <c r="C124" s="220">
        <f t="shared" si="17"/>
        <v>0</v>
      </c>
      <c r="D124" s="220">
        <f t="shared" si="17"/>
        <v>0</v>
      </c>
      <c r="E124" s="220">
        <f t="shared" si="17"/>
        <v>0</v>
      </c>
      <c r="F124" s="220">
        <f t="shared" si="17"/>
        <v>0</v>
      </c>
      <c r="G124" s="220">
        <f t="shared" si="17"/>
        <v>0</v>
      </c>
      <c r="H124" s="220">
        <f t="shared" si="17"/>
        <v>0</v>
      </c>
      <c r="I124" s="220">
        <f t="shared" si="17"/>
        <v>0</v>
      </c>
      <c r="J124" s="220">
        <f t="shared" si="17"/>
        <v>0</v>
      </c>
      <c r="K124" s="220">
        <f t="shared" si="17"/>
        <v>0</v>
      </c>
      <c r="L124" s="220">
        <f t="shared" si="17"/>
        <v>0</v>
      </c>
      <c r="M124" s="220">
        <f t="shared" si="17"/>
        <v>0</v>
      </c>
      <c r="N124" s="220">
        <f t="shared" si="17"/>
        <v>0</v>
      </c>
      <c r="O124" s="220">
        <f t="shared" si="17"/>
        <v>0</v>
      </c>
      <c r="P124" s="220">
        <f t="shared" si="17"/>
        <v>0</v>
      </c>
      <c r="Q124" s="220">
        <f t="shared" si="17"/>
        <v>0</v>
      </c>
      <c r="R124" s="220">
        <f t="shared" si="17"/>
        <v>0</v>
      </c>
      <c r="S124" s="220">
        <f t="shared" si="17"/>
        <v>0</v>
      </c>
      <c r="T124" s="220">
        <f t="shared" si="17"/>
        <v>0</v>
      </c>
      <c r="U124" s="220">
        <f t="shared" si="17"/>
        <v>0</v>
      </c>
      <c r="V124" s="220">
        <f t="shared" si="17"/>
        <v>0</v>
      </c>
      <c r="W124" s="220">
        <f t="shared" si="17"/>
        <v>0</v>
      </c>
      <c r="X124" s="220">
        <f t="shared" si="17"/>
        <v>0</v>
      </c>
      <c r="Y124" s="220">
        <f t="shared" si="17"/>
        <v>0.399999999999999</v>
      </c>
      <c r="Z124" s="220">
        <f t="shared" si="17"/>
        <v>0.399999999999999</v>
      </c>
      <c r="AA124" s="220">
        <f t="shared" si="17"/>
        <v>6.4</v>
      </c>
      <c r="AB124" s="220">
        <f>'NG Stock Track'!AB195-'NG Stock Track'!AI195</f>
        <v>13</v>
      </c>
      <c r="AC124" s="220">
        <f>'NG Stock Track'!AC195-'NG Stock Track'!AJ195</f>
        <v>10</v>
      </c>
      <c r="AD124" s="220">
        <f>'NG Stock Track'!AD195-'NG Stock Track'!AK195</f>
        <v>10</v>
      </c>
    </row>
    <row r="125" spans="1:30">
      <c r="A125" s="223" t="s">
        <v>1284</v>
      </c>
      <c r="B125" s="220">
        <f t="shared" ref="B125:AA125" si="18">MAX(C125-C19-C54,0)</f>
        <v>350.6</v>
      </c>
      <c r="C125" s="220">
        <f t="shared" si="18"/>
        <v>356.4</v>
      </c>
      <c r="D125" s="220">
        <f t="shared" si="18"/>
        <v>362.2</v>
      </c>
      <c r="E125" s="220">
        <f t="shared" si="18"/>
        <v>368</v>
      </c>
      <c r="F125" s="220">
        <f t="shared" si="18"/>
        <v>373.8</v>
      </c>
      <c r="G125" s="220">
        <f t="shared" si="18"/>
        <v>379.6</v>
      </c>
      <c r="H125" s="220">
        <f t="shared" si="18"/>
        <v>385.4</v>
      </c>
      <c r="I125" s="220">
        <f t="shared" si="18"/>
        <v>391.2</v>
      </c>
      <c r="J125" s="220">
        <f t="shared" si="18"/>
        <v>421</v>
      </c>
      <c r="K125" s="220">
        <f t="shared" si="18"/>
        <v>568</v>
      </c>
      <c r="L125" s="220">
        <f t="shared" si="18"/>
        <v>568</v>
      </c>
      <c r="M125" s="220">
        <f t="shared" si="18"/>
        <v>568</v>
      </c>
      <c r="N125" s="220">
        <f t="shared" si="18"/>
        <v>568</v>
      </c>
      <c r="O125" s="220">
        <f t="shared" si="18"/>
        <v>568</v>
      </c>
      <c r="P125" s="220">
        <f t="shared" si="18"/>
        <v>1738</v>
      </c>
      <c r="Q125" s="220">
        <f t="shared" si="18"/>
        <v>1816</v>
      </c>
      <c r="R125" s="220">
        <f t="shared" si="18"/>
        <v>1894</v>
      </c>
      <c r="S125" s="220">
        <f t="shared" si="18"/>
        <v>1972</v>
      </c>
      <c r="T125" s="220">
        <f t="shared" si="18"/>
        <v>2050</v>
      </c>
      <c r="U125" s="220">
        <f t="shared" si="18"/>
        <v>2128</v>
      </c>
      <c r="V125" s="220">
        <f t="shared" si="18"/>
        <v>2140.5</v>
      </c>
      <c r="W125" s="220">
        <f t="shared" si="18"/>
        <v>2153</v>
      </c>
      <c r="X125" s="220">
        <f t="shared" si="18"/>
        <v>2165.5</v>
      </c>
      <c r="Y125" s="220">
        <f t="shared" si="18"/>
        <v>2178</v>
      </c>
      <c r="Z125" s="220">
        <f t="shared" si="18"/>
        <v>2214</v>
      </c>
      <c r="AA125" s="220">
        <f t="shared" si="18"/>
        <v>2564</v>
      </c>
      <c r="AB125" s="220">
        <f>'NG Stock Track'!AB196-'NG Stock Track'!AI196</f>
        <v>2914</v>
      </c>
      <c r="AC125" s="220">
        <f>'NG Stock Track'!AC196-'NG Stock Track'!AJ196</f>
        <v>3350</v>
      </c>
      <c r="AD125" s="220">
        <f>'NG Stock Track'!AD196-'NG Stock Track'!AK196</f>
        <v>3350</v>
      </c>
    </row>
    <row r="126" spans="1:30">
      <c r="A126" s="223" t="s">
        <v>1285</v>
      </c>
      <c r="B126" s="220">
        <f t="shared" ref="B126:AA126" si="19">MAX(C126-C20-C55,0)</f>
        <v>0</v>
      </c>
      <c r="C126" s="220">
        <f t="shared" si="19"/>
        <v>0</v>
      </c>
      <c r="D126" s="220">
        <f t="shared" si="19"/>
        <v>0</v>
      </c>
      <c r="E126" s="220">
        <f t="shared" si="19"/>
        <v>0</v>
      </c>
      <c r="F126" s="220">
        <f t="shared" si="19"/>
        <v>0</v>
      </c>
      <c r="G126" s="220">
        <f t="shared" si="19"/>
        <v>0</v>
      </c>
      <c r="H126" s="220">
        <f t="shared" si="19"/>
        <v>0</v>
      </c>
      <c r="I126" s="220">
        <f t="shared" si="19"/>
        <v>0</v>
      </c>
      <c r="J126" s="220">
        <f t="shared" si="19"/>
        <v>0</v>
      </c>
      <c r="K126" s="220">
        <f t="shared" si="19"/>
        <v>0</v>
      </c>
      <c r="L126" s="220">
        <f t="shared" si="19"/>
        <v>0</v>
      </c>
      <c r="M126" s="220">
        <f t="shared" si="19"/>
        <v>0</v>
      </c>
      <c r="N126" s="220">
        <f t="shared" si="19"/>
        <v>0</v>
      </c>
      <c r="O126" s="220">
        <f t="shared" si="19"/>
        <v>28.1000000000001</v>
      </c>
      <c r="P126" s="220">
        <f t="shared" si="19"/>
        <v>28.1000000000001</v>
      </c>
      <c r="Q126" s="220">
        <f t="shared" si="19"/>
        <v>28.1000000000001</v>
      </c>
      <c r="R126" s="220">
        <f t="shared" si="19"/>
        <v>28.1000000000001</v>
      </c>
      <c r="S126" s="220">
        <f t="shared" si="19"/>
        <v>213.1</v>
      </c>
      <c r="T126" s="220">
        <f t="shared" si="19"/>
        <v>213.1</v>
      </c>
      <c r="U126" s="220">
        <f t="shared" si="19"/>
        <v>213.1</v>
      </c>
      <c r="V126" s="220">
        <f t="shared" si="19"/>
        <v>264</v>
      </c>
      <c r="W126" s="220">
        <f t="shared" si="19"/>
        <v>314.9</v>
      </c>
      <c r="X126" s="220">
        <f t="shared" si="19"/>
        <v>735.8</v>
      </c>
      <c r="Y126" s="220">
        <f t="shared" si="19"/>
        <v>786.7</v>
      </c>
      <c r="Z126" s="220">
        <f t="shared" si="19"/>
        <v>977</v>
      </c>
      <c r="AA126" s="220">
        <f t="shared" si="19"/>
        <v>977</v>
      </c>
      <c r="AB126" s="220">
        <f>'NG Stock Track'!AB197-'NG Stock Track'!AI197</f>
        <v>977</v>
      </c>
      <c r="AC126" s="220">
        <f>'NG Stock Track'!AC197-'NG Stock Track'!AJ197</f>
        <v>1080</v>
      </c>
      <c r="AD126" s="220">
        <f>'NG Stock Track'!AD197-'NG Stock Track'!AK197</f>
        <v>1330</v>
      </c>
    </row>
    <row r="127" spans="1:30">
      <c r="A127" s="223" t="s">
        <v>1286</v>
      </c>
      <c r="B127" s="220">
        <f t="shared" ref="B127:AA127" si="20">MAX(C127-C21-C56,0)</f>
        <v>0</v>
      </c>
      <c r="C127" s="220">
        <f t="shared" si="20"/>
        <v>0</v>
      </c>
      <c r="D127" s="220">
        <f t="shared" si="20"/>
        <v>0</v>
      </c>
      <c r="E127" s="220">
        <f t="shared" si="20"/>
        <v>0</v>
      </c>
      <c r="F127" s="220">
        <f t="shared" si="20"/>
        <v>0</v>
      </c>
      <c r="G127" s="220">
        <f t="shared" si="20"/>
        <v>0</v>
      </c>
      <c r="H127" s="220">
        <f t="shared" si="20"/>
        <v>0</v>
      </c>
      <c r="I127" s="220">
        <f t="shared" si="20"/>
        <v>0</v>
      </c>
      <c r="J127" s="220">
        <f t="shared" si="20"/>
        <v>0</v>
      </c>
      <c r="K127" s="220">
        <f t="shared" si="20"/>
        <v>0</v>
      </c>
      <c r="L127" s="220">
        <f t="shared" si="20"/>
        <v>0</v>
      </c>
      <c r="M127" s="220">
        <f t="shared" si="20"/>
        <v>0</v>
      </c>
      <c r="N127" s="220">
        <f t="shared" si="20"/>
        <v>0</v>
      </c>
      <c r="O127" s="220">
        <f t="shared" si="20"/>
        <v>0</v>
      </c>
      <c r="P127" s="220">
        <f t="shared" si="20"/>
        <v>26.5</v>
      </c>
      <c r="Q127" s="220">
        <f t="shared" si="20"/>
        <v>26.5</v>
      </c>
      <c r="R127" s="220">
        <f t="shared" si="20"/>
        <v>26.5</v>
      </c>
      <c r="S127" s="220">
        <f t="shared" si="20"/>
        <v>26.5</v>
      </c>
      <c r="T127" s="220">
        <f t="shared" si="20"/>
        <v>26.5</v>
      </c>
      <c r="U127" s="220">
        <f t="shared" si="20"/>
        <v>26.5</v>
      </c>
      <c r="V127" s="220">
        <f t="shared" si="20"/>
        <v>29</v>
      </c>
      <c r="W127" s="220">
        <f t="shared" si="20"/>
        <v>31.5</v>
      </c>
      <c r="X127" s="220">
        <f t="shared" si="20"/>
        <v>34</v>
      </c>
      <c r="Y127" s="220">
        <f t="shared" si="20"/>
        <v>36.5</v>
      </c>
      <c r="Z127" s="220">
        <f t="shared" si="20"/>
        <v>36.5</v>
      </c>
      <c r="AA127" s="220">
        <f t="shared" si="20"/>
        <v>46.5</v>
      </c>
      <c r="AB127" s="220">
        <f>'NG Stock Track'!AB198-'NG Stock Track'!AI198</f>
        <v>53</v>
      </c>
      <c r="AC127" s="220">
        <f>'NG Stock Track'!AC198-'NG Stock Track'!AJ198</f>
        <v>20</v>
      </c>
      <c r="AD127" s="220">
        <f>'NG Stock Track'!AD198-'NG Stock Track'!AK198</f>
        <v>20</v>
      </c>
    </row>
    <row r="128" spans="1:30">
      <c r="A128" s="223" t="s">
        <v>1287</v>
      </c>
      <c r="B128" s="220">
        <f t="shared" ref="B128:AA128" si="21">MAX(C128-C22-C57,0)</f>
        <v>311.199999999999</v>
      </c>
      <c r="C128" s="220">
        <f t="shared" si="21"/>
        <v>578.099999999999</v>
      </c>
      <c r="D128" s="220">
        <f t="shared" si="21"/>
        <v>844.999999999999</v>
      </c>
      <c r="E128" s="220">
        <f t="shared" si="21"/>
        <v>1111.9</v>
      </c>
      <c r="F128" s="220">
        <f t="shared" si="21"/>
        <v>1503.8</v>
      </c>
      <c r="G128" s="220">
        <f t="shared" si="21"/>
        <v>1895.7</v>
      </c>
      <c r="H128" s="220">
        <f t="shared" si="21"/>
        <v>2162.6</v>
      </c>
      <c r="I128" s="220">
        <f t="shared" si="21"/>
        <v>2429.5</v>
      </c>
      <c r="J128" s="220">
        <f t="shared" si="21"/>
        <v>2696.4</v>
      </c>
      <c r="K128" s="220">
        <f t="shared" si="21"/>
        <v>2932.4</v>
      </c>
      <c r="L128" s="220">
        <f t="shared" si="21"/>
        <v>3335.4</v>
      </c>
      <c r="M128" s="220">
        <f t="shared" si="21"/>
        <v>3335.4</v>
      </c>
      <c r="N128" s="220">
        <f t="shared" si="21"/>
        <v>4459.4</v>
      </c>
      <c r="O128" s="220">
        <f t="shared" si="21"/>
        <v>6604.4</v>
      </c>
      <c r="P128" s="220">
        <f t="shared" si="21"/>
        <v>8817.4</v>
      </c>
      <c r="Q128" s="220">
        <f t="shared" si="21"/>
        <v>8915</v>
      </c>
      <c r="R128" s="220">
        <f t="shared" si="21"/>
        <v>9948.6</v>
      </c>
      <c r="S128" s="220">
        <f t="shared" si="21"/>
        <v>10706.2</v>
      </c>
      <c r="T128" s="220">
        <f t="shared" si="21"/>
        <v>10803.8</v>
      </c>
      <c r="U128" s="220">
        <f t="shared" si="21"/>
        <v>10901.4</v>
      </c>
      <c r="V128" s="220">
        <f t="shared" si="21"/>
        <v>11934.8</v>
      </c>
      <c r="W128" s="220">
        <f t="shared" si="21"/>
        <v>13748.2</v>
      </c>
      <c r="X128" s="220">
        <f t="shared" si="21"/>
        <v>14781.6</v>
      </c>
      <c r="Y128" s="220">
        <f t="shared" si="21"/>
        <v>15815</v>
      </c>
      <c r="Z128" s="220">
        <f t="shared" si="21"/>
        <v>15815</v>
      </c>
      <c r="AA128" s="220">
        <f t="shared" si="21"/>
        <v>20307.5</v>
      </c>
      <c r="AB128" s="220">
        <f>'NG Stock Track'!AB199-'NG Stock Track'!AI199</f>
        <v>22037</v>
      </c>
      <c r="AC128" s="220">
        <f>'NG Stock Track'!AC199-'NG Stock Track'!AJ199</f>
        <v>26800</v>
      </c>
      <c r="AD128" s="220">
        <f>'NG Stock Track'!AD199-'NG Stock Track'!AK199</f>
        <v>30540</v>
      </c>
    </row>
    <row r="129" spans="1:30">
      <c r="A129" s="223" t="s">
        <v>1288</v>
      </c>
      <c r="B129" s="220">
        <f t="shared" ref="B129:AA129" si="22">MAX(C129-C23-C58,0)</f>
        <v>0</v>
      </c>
      <c r="C129" s="220">
        <f t="shared" si="22"/>
        <v>0</v>
      </c>
      <c r="D129" s="220">
        <f t="shared" si="22"/>
        <v>0</v>
      </c>
      <c r="E129" s="220">
        <f t="shared" si="22"/>
        <v>0</v>
      </c>
      <c r="F129" s="220">
        <f t="shared" si="22"/>
        <v>0</v>
      </c>
      <c r="G129" s="220">
        <f t="shared" si="22"/>
        <v>0</v>
      </c>
      <c r="H129" s="220">
        <f t="shared" si="22"/>
        <v>0</v>
      </c>
      <c r="I129" s="220">
        <f t="shared" si="22"/>
        <v>0</v>
      </c>
      <c r="J129" s="220">
        <f t="shared" si="22"/>
        <v>0</v>
      </c>
      <c r="K129" s="220">
        <f t="shared" si="22"/>
        <v>0</v>
      </c>
      <c r="L129" s="220">
        <f t="shared" si="22"/>
        <v>0</v>
      </c>
      <c r="M129" s="220">
        <f t="shared" si="22"/>
        <v>0</v>
      </c>
      <c r="N129" s="220">
        <f t="shared" si="22"/>
        <v>0</v>
      </c>
      <c r="O129" s="220">
        <f t="shared" si="22"/>
        <v>0</v>
      </c>
      <c r="P129" s="220">
        <f t="shared" si="22"/>
        <v>0</v>
      </c>
      <c r="Q129" s="220">
        <f t="shared" si="22"/>
        <v>0</v>
      </c>
      <c r="R129" s="220">
        <f t="shared" si="22"/>
        <v>0</v>
      </c>
      <c r="S129" s="220">
        <f t="shared" si="22"/>
        <v>0</v>
      </c>
      <c r="T129" s="220">
        <f t="shared" si="22"/>
        <v>0</v>
      </c>
      <c r="U129" s="220">
        <f t="shared" si="22"/>
        <v>0</v>
      </c>
      <c r="V129" s="220">
        <f t="shared" si="22"/>
        <v>0</v>
      </c>
      <c r="W129" s="220">
        <f t="shared" si="22"/>
        <v>62</v>
      </c>
      <c r="X129" s="220">
        <f t="shared" si="22"/>
        <v>92</v>
      </c>
      <c r="Y129" s="220">
        <f t="shared" si="22"/>
        <v>122</v>
      </c>
      <c r="Z129" s="220">
        <f t="shared" si="22"/>
        <v>332</v>
      </c>
      <c r="AA129" s="220">
        <f t="shared" si="22"/>
        <v>332</v>
      </c>
      <c r="AB129" s="220">
        <f>'NG Stock Track'!AB200-'NG Stock Track'!AI200</f>
        <v>332</v>
      </c>
      <c r="AC129" s="220">
        <f>'NG Stock Track'!AC200-'NG Stock Track'!AJ200</f>
        <v>510</v>
      </c>
      <c r="AD129" s="220">
        <f>'NG Stock Track'!AD200-'NG Stock Track'!AK200</f>
        <v>510</v>
      </c>
    </row>
    <row r="130" spans="1:30">
      <c r="A130" s="223" t="s">
        <v>1289</v>
      </c>
      <c r="B130" s="220">
        <f t="shared" ref="B130:AA130" si="23">MAX(C130-C24-C59,0)</f>
        <v>0</v>
      </c>
      <c r="C130" s="220">
        <f t="shared" si="23"/>
        <v>0</v>
      </c>
      <c r="D130" s="220">
        <f t="shared" si="23"/>
        <v>0</v>
      </c>
      <c r="E130" s="220">
        <f t="shared" si="23"/>
        <v>0</v>
      </c>
      <c r="F130" s="220">
        <f t="shared" si="23"/>
        <v>0</v>
      </c>
      <c r="G130" s="220">
        <f t="shared" si="23"/>
        <v>0</v>
      </c>
      <c r="H130" s="220">
        <f t="shared" si="23"/>
        <v>0</v>
      </c>
      <c r="I130" s="220">
        <f t="shared" si="23"/>
        <v>0</v>
      </c>
      <c r="J130" s="220">
        <f t="shared" si="23"/>
        <v>0</v>
      </c>
      <c r="K130" s="220">
        <f t="shared" si="23"/>
        <v>0</v>
      </c>
      <c r="L130" s="220">
        <f t="shared" si="23"/>
        <v>0</v>
      </c>
      <c r="M130" s="220">
        <f t="shared" si="23"/>
        <v>0</v>
      </c>
      <c r="N130" s="220">
        <f t="shared" si="23"/>
        <v>0</v>
      </c>
      <c r="O130" s="220">
        <f t="shared" si="23"/>
        <v>74.6</v>
      </c>
      <c r="P130" s="220">
        <f t="shared" si="23"/>
        <v>74.6</v>
      </c>
      <c r="Q130" s="220">
        <f t="shared" si="23"/>
        <v>74.6</v>
      </c>
      <c r="R130" s="220">
        <f t="shared" si="23"/>
        <v>74.6</v>
      </c>
      <c r="S130" s="220">
        <f t="shared" si="23"/>
        <v>74.6</v>
      </c>
      <c r="T130" s="220">
        <f t="shared" si="23"/>
        <v>74.6</v>
      </c>
      <c r="U130" s="220">
        <f t="shared" si="23"/>
        <v>74.6</v>
      </c>
      <c r="V130" s="220">
        <f t="shared" si="23"/>
        <v>122.2</v>
      </c>
      <c r="W130" s="220">
        <f t="shared" si="23"/>
        <v>169.8</v>
      </c>
      <c r="X130" s="220">
        <f t="shared" si="23"/>
        <v>217.4</v>
      </c>
      <c r="Y130" s="220">
        <f t="shared" si="23"/>
        <v>265</v>
      </c>
      <c r="Z130" s="220">
        <f t="shared" si="23"/>
        <v>265</v>
      </c>
      <c r="AA130" s="220">
        <f t="shared" si="23"/>
        <v>265</v>
      </c>
      <c r="AB130" s="220">
        <f>'NG Stock Track'!AB201-'NG Stock Track'!AI201</f>
        <v>725</v>
      </c>
      <c r="AC130" s="220">
        <f>'NG Stock Track'!AC201-'NG Stock Track'!AJ201</f>
        <v>1690</v>
      </c>
      <c r="AD130" s="220">
        <f>'NG Stock Track'!AD201-'NG Stock Track'!AK201</f>
        <v>2140</v>
      </c>
    </row>
    <row r="131" spans="1:30">
      <c r="A131" s="223" t="s">
        <v>1290</v>
      </c>
      <c r="B131" s="220">
        <f t="shared" ref="B131:AA131" si="24">MAX(C131-C25-C60,0)</f>
        <v>0</v>
      </c>
      <c r="C131" s="220">
        <f t="shared" si="24"/>
        <v>0</v>
      </c>
      <c r="D131" s="220">
        <f t="shared" si="24"/>
        <v>0</v>
      </c>
      <c r="E131" s="220">
        <f t="shared" si="24"/>
        <v>0</v>
      </c>
      <c r="F131" s="220">
        <f t="shared" si="24"/>
        <v>0</v>
      </c>
      <c r="G131" s="220">
        <f t="shared" si="24"/>
        <v>0</v>
      </c>
      <c r="H131" s="220">
        <f t="shared" si="24"/>
        <v>0</v>
      </c>
      <c r="I131" s="220">
        <f t="shared" si="24"/>
        <v>0</v>
      </c>
      <c r="J131" s="220">
        <f t="shared" si="24"/>
        <v>0</v>
      </c>
      <c r="K131" s="220">
        <f t="shared" si="24"/>
        <v>0</v>
      </c>
      <c r="L131" s="220">
        <f t="shared" si="24"/>
        <v>0</v>
      </c>
      <c r="M131" s="220">
        <f t="shared" si="24"/>
        <v>0</v>
      </c>
      <c r="N131" s="220">
        <f t="shared" si="24"/>
        <v>0</v>
      </c>
      <c r="O131" s="220">
        <f t="shared" si="24"/>
        <v>0</v>
      </c>
      <c r="P131" s="220">
        <f t="shared" si="24"/>
        <v>0</v>
      </c>
      <c r="Q131" s="220">
        <f t="shared" si="24"/>
        <v>0</v>
      </c>
      <c r="R131" s="220">
        <f t="shared" si="24"/>
        <v>0</v>
      </c>
      <c r="S131" s="220">
        <f t="shared" si="24"/>
        <v>0</v>
      </c>
      <c r="T131" s="220">
        <f t="shared" si="24"/>
        <v>0</v>
      </c>
      <c r="U131" s="220">
        <f t="shared" si="24"/>
        <v>0</v>
      </c>
      <c r="V131" s="220">
        <f t="shared" si="24"/>
        <v>0</v>
      </c>
      <c r="W131" s="220">
        <f t="shared" si="24"/>
        <v>850.5</v>
      </c>
      <c r="X131" s="220">
        <f t="shared" si="24"/>
        <v>1255.5</v>
      </c>
      <c r="Y131" s="220">
        <f t="shared" si="24"/>
        <v>1660.5</v>
      </c>
      <c r="Z131" s="220">
        <f t="shared" si="24"/>
        <v>1660.5</v>
      </c>
      <c r="AA131" s="220">
        <f t="shared" si="24"/>
        <v>1674</v>
      </c>
      <c r="AB131" s="220">
        <f>'NG Stock Track'!AB202-'NG Stock Track'!AI202</f>
        <v>1674</v>
      </c>
      <c r="AC131" s="220">
        <f>'NG Stock Track'!AC202-'NG Stock Track'!AJ202</f>
        <v>1480</v>
      </c>
      <c r="AD131" s="220">
        <f>'NG Stock Track'!AD202-'NG Stock Track'!AK202</f>
        <v>1400</v>
      </c>
    </row>
    <row r="132" spans="1:30">
      <c r="A132" s="223" t="s">
        <v>1291</v>
      </c>
      <c r="B132" s="220">
        <f t="shared" ref="B132:AA132" si="25">MAX(C132-C26-C61,0)</f>
        <v>0</v>
      </c>
      <c r="C132" s="220">
        <f t="shared" si="25"/>
        <v>0</v>
      </c>
      <c r="D132" s="220">
        <f t="shared" si="25"/>
        <v>0</v>
      </c>
      <c r="E132" s="220">
        <f t="shared" si="25"/>
        <v>0</v>
      </c>
      <c r="F132" s="220">
        <f t="shared" si="25"/>
        <v>0</v>
      </c>
      <c r="G132" s="220">
        <f t="shared" si="25"/>
        <v>0</v>
      </c>
      <c r="H132" s="220">
        <f t="shared" si="25"/>
        <v>0</v>
      </c>
      <c r="I132" s="220">
        <f t="shared" si="25"/>
        <v>0</v>
      </c>
      <c r="J132" s="220">
        <f t="shared" si="25"/>
        <v>0</v>
      </c>
      <c r="K132" s="220">
        <f t="shared" si="25"/>
        <v>4.79999999999984</v>
      </c>
      <c r="L132" s="220">
        <f t="shared" si="25"/>
        <v>4.79999999999984</v>
      </c>
      <c r="M132" s="220">
        <f t="shared" si="25"/>
        <v>4.79999999999984</v>
      </c>
      <c r="N132" s="220">
        <f t="shared" si="25"/>
        <v>4.79999999999984</v>
      </c>
      <c r="O132" s="220">
        <f t="shared" si="25"/>
        <v>206.8</v>
      </c>
      <c r="P132" s="220">
        <f t="shared" si="25"/>
        <v>206.8</v>
      </c>
      <c r="Q132" s="220">
        <f t="shared" si="25"/>
        <v>206.8</v>
      </c>
      <c r="R132" s="220">
        <f t="shared" si="25"/>
        <v>219.8</v>
      </c>
      <c r="S132" s="220">
        <f t="shared" si="25"/>
        <v>219.8</v>
      </c>
      <c r="T132" s="220">
        <f t="shared" si="25"/>
        <v>219.8</v>
      </c>
      <c r="U132" s="220">
        <f t="shared" si="25"/>
        <v>219.8</v>
      </c>
      <c r="V132" s="220">
        <f t="shared" si="25"/>
        <v>467</v>
      </c>
      <c r="W132" s="220">
        <f t="shared" si="25"/>
        <v>714.2</v>
      </c>
      <c r="X132" s="220">
        <f t="shared" si="25"/>
        <v>961.4</v>
      </c>
      <c r="Y132" s="220">
        <f t="shared" si="25"/>
        <v>1208.6</v>
      </c>
      <c r="Z132" s="220">
        <f t="shared" si="25"/>
        <v>1210.1</v>
      </c>
      <c r="AA132" s="220">
        <f t="shared" si="25"/>
        <v>1225</v>
      </c>
      <c r="AB132" s="220">
        <f>'NG Stock Track'!AB203-'NG Stock Track'!AI203</f>
        <v>1225</v>
      </c>
      <c r="AC132" s="220">
        <f>'NG Stock Track'!AC203-'NG Stock Track'!AJ203</f>
        <v>1230</v>
      </c>
      <c r="AD132" s="220">
        <f>'NG Stock Track'!AD203-'NG Stock Track'!AK203</f>
        <v>1150</v>
      </c>
    </row>
    <row r="133" spans="1:30">
      <c r="A133" s="223" t="s">
        <v>1292</v>
      </c>
      <c r="B133" s="220">
        <f t="shared" ref="B133:AA133" si="26">MAX(C133-C27-C62,0)</f>
        <v>0</v>
      </c>
      <c r="C133" s="220">
        <f t="shared" si="26"/>
        <v>0</v>
      </c>
      <c r="D133" s="220">
        <f t="shared" si="26"/>
        <v>0</v>
      </c>
      <c r="E133" s="220">
        <f t="shared" si="26"/>
        <v>0</v>
      </c>
      <c r="F133" s="220">
        <f t="shared" si="26"/>
        <v>0</v>
      </c>
      <c r="G133" s="220">
        <f t="shared" si="26"/>
        <v>0</v>
      </c>
      <c r="H133" s="220">
        <f t="shared" si="26"/>
        <v>0</v>
      </c>
      <c r="I133" s="220">
        <f t="shared" si="26"/>
        <v>0</v>
      </c>
      <c r="J133" s="220">
        <f t="shared" si="26"/>
        <v>0</v>
      </c>
      <c r="K133" s="220">
        <f t="shared" si="26"/>
        <v>0</v>
      </c>
      <c r="L133" s="220">
        <f t="shared" si="26"/>
        <v>0</v>
      </c>
      <c r="M133" s="220">
        <f t="shared" si="26"/>
        <v>0</v>
      </c>
      <c r="N133" s="220">
        <f t="shared" si="26"/>
        <v>0</v>
      </c>
      <c r="O133" s="220">
        <f t="shared" si="26"/>
        <v>0</v>
      </c>
      <c r="P133" s="220">
        <f t="shared" si="26"/>
        <v>0</v>
      </c>
      <c r="Q133" s="220">
        <f t="shared" si="26"/>
        <v>0</v>
      </c>
      <c r="R133" s="220">
        <f t="shared" si="26"/>
        <v>0</v>
      </c>
      <c r="S133" s="220">
        <f t="shared" si="26"/>
        <v>0</v>
      </c>
      <c r="T133" s="220">
        <f t="shared" si="26"/>
        <v>0</v>
      </c>
      <c r="U133" s="220">
        <f t="shared" si="26"/>
        <v>0</v>
      </c>
      <c r="V133" s="220">
        <f t="shared" si="26"/>
        <v>0</v>
      </c>
      <c r="W133" s="220">
        <f t="shared" si="26"/>
        <v>0</v>
      </c>
      <c r="X133" s="220">
        <f t="shared" si="26"/>
        <v>0</v>
      </c>
      <c r="Y133" s="220">
        <f t="shared" si="26"/>
        <v>0</v>
      </c>
      <c r="Z133" s="220">
        <f t="shared" si="26"/>
        <v>0</v>
      </c>
      <c r="AA133" s="220">
        <f t="shared" si="26"/>
        <v>0</v>
      </c>
      <c r="AB133" s="220">
        <f>'NG Stock Track'!AB204-'NG Stock Track'!AI204</f>
        <v>0</v>
      </c>
      <c r="AC133" s="220">
        <f>'NG Stock Track'!AC204-'NG Stock Track'!AJ204</f>
        <v>560</v>
      </c>
      <c r="AD133" s="220">
        <f>'NG Stock Track'!AD204-'NG Stock Track'!AK204</f>
        <v>620</v>
      </c>
    </row>
    <row r="134" spans="1:30">
      <c r="A134" s="223" t="s">
        <v>1293</v>
      </c>
      <c r="B134" s="220">
        <f t="shared" ref="B134:AA134" si="27">MAX(C134-C28-C63,0)</f>
        <v>10</v>
      </c>
      <c r="C134" s="220">
        <f t="shared" si="27"/>
        <v>10</v>
      </c>
      <c r="D134" s="220">
        <f t="shared" si="27"/>
        <v>10</v>
      </c>
      <c r="E134" s="220">
        <f t="shared" si="27"/>
        <v>10</v>
      </c>
      <c r="F134" s="220">
        <f t="shared" si="27"/>
        <v>10</v>
      </c>
      <c r="G134" s="220">
        <f t="shared" si="27"/>
        <v>10</v>
      </c>
      <c r="H134" s="220">
        <f t="shared" si="27"/>
        <v>10</v>
      </c>
      <c r="I134" s="220">
        <f t="shared" si="27"/>
        <v>10</v>
      </c>
      <c r="J134" s="220">
        <f t="shared" si="27"/>
        <v>10</v>
      </c>
      <c r="K134" s="220">
        <f t="shared" si="27"/>
        <v>10</v>
      </c>
      <c r="L134" s="220">
        <f t="shared" si="27"/>
        <v>10</v>
      </c>
      <c r="M134" s="220">
        <f t="shared" si="27"/>
        <v>10</v>
      </c>
      <c r="N134" s="220">
        <f t="shared" si="27"/>
        <v>10</v>
      </c>
      <c r="O134" s="220">
        <f t="shared" si="27"/>
        <v>10</v>
      </c>
      <c r="P134" s="220">
        <f t="shared" si="27"/>
        <v>10</v>
      </c>
      <c r="Q134" s="220">
        <f t="shared" si="27"/>
        <v>10</v>
      </c>
      <c r="R134" s="220">
        <f t="shared" si="27"/>
        <v>10</v>
      </c>
      <c r="S134" s="220">
        <f t="shared" si="27"/>
        <v>10</v>
      </c>
      <c r="T134" s="220">
        <f t="shared" si="27"/>
        <v>10</v>
      </c>
      <c r="U134" s="220">
        <f t="shared" si="27"/>
        <v>10</v>
      </c>
      <c r="V134" s="220">
        <f t="shared" si="27"/>
        <v>15</v>
      </c>
      <c r="W134" s="220">
        <f t="shared" si="27"/>
        <v>20</v>
      </c>
      <c r="X134" s="220">
        <f t="shared" si="27"/>
        <v>25</v>
      </c>
      <c r="Y134" s="220">
        <f t="shared" si="27"/>
        <v>30</v>
      </c>
      <c r="Z134" s="220">
        <f t="shared" si="27"/>
        <v>30</v>
      </c>
      <c r="AA134" s="220">
        <f t="shared" si="27"/>
        <v>30</v>
      </c>
      <c r="AB134" s="220">
        <f>'NG Stock Track'!AB205-'NG Stock Track'!AI205</f>
        <v>30</v>
      </c>
      <c r="AC134" s="220">
        <f>'NG Stock Track'!AC205-'NG Stock Track'!AJ205</f>
        <v>28</v>
      </c>
      <c r="AD134" s="220">
        <f>'NG Stock Track'!AD205-'NG Stock Track'!AK205</f>
        <v>26</v>
      </c>
    </row>
    <row r="135" spans="1:30">
      <c r="A135" s="223" t="s">
        <v>1294</v>
      </c>
      <c r="B135" s="220">
        <f t="shared" ref="B135:AA135" si="28">MAX(C135-C29-C64,0)</f>
        <v>0</v>
      </c>
      <c r="C135" s="220">
        <f t="shared" si="28"/>
        <v>0</v>
      </c>
      <c r="D135" s="220">
        <f t="shared" si="28"/>
        <v>0</v>
      </c>
      <c r="E135" s="220">
        <f t="shared" si="28"/>
        <v>0</v>
      </c>
      <c r="F135" s="220">
        <f t="shared" si="28"/>
        <v>0</v>
      </c>
      <c r="G135" s="220">
        <f t="shared" si="28"/>
        <v>0</v>
      </c>
      <c r="H135" s="220">
        <f t="shared" si="28"/>
        <v>0</v>
      </c>
      <c r="I135" s="220">
        <f t="shared" si="28"/>
        <v>0</v>
      </c>
      <c r="J135" s="220">
        <f t="shared" si="28"/>
        <v>0</v>
      </c>
      <c r="K135" s="220">
        <f t="shared" si="28"/>
        <v>0</v>
      </c>
      <c r="L135" s="220">
        <f t="shared" si="28"/>
        <v>0</v>
      </c>
      <c r="M135" s="220">
        <f t="shared" si="28"/>
        <v>0</v>
      </c>
      <c r="N135" s="220">
        <f t="shared" si="28"/>
        <v>0</v>
      </c>
      <c r="O135" s="220">
        <f t="shared" si="28"/>
        <v>0</v>
      </c>
      <c r="P135" s="220">
        <f t="shared" si="28"/>
        <v>0</v>
      </c>
      <c r="Q135" s="220">
        <f t="shared" si="28"/>
        <v>0</v>
      </c>
      <c r="R135" s="220">
        <f t="shared" si="28"/>
        <v>0</v>
      </c>
      <c r="S135" s="220">
        <f t="shared" si="28"/>
        <v>0</v>
      </c>
      <c r="T135" s="220">
        <f t="shared" si="28"/>
        <v>0</v>
      </c>
      <c r="U135" s="220">
        <f t="shared" si="28"/>
        <v>0</v>
      </c>
      <c r="V135" s="220">
        <f t="shared" si="28"/>
        <v>0</v>
      </c>
      <c r="W135" s="220">
        <f t="shared" si="28"/>
        <v>0</v>
      </c>
      <c r="X135" s="220">
        <f t="shared" si="28"/>
        <v>0</v>
      </c>
      <c r="Y135" s="220">
        <f t="shared" si="28"/>
        <v>0</v>
      </c>
      <c r="Z135" s="220">
        <f t="shared" si="28"/>
        <v>0</v>
      </c>
      <c r="AA135" s="220">
        <f t="shared" si="28"/>
        <v>0</v>
      </c>
      <c r="AB135" s="220">
        <f>'NG Stock Track'!AB206-'NG Stock Track'!AI206</f>
        <v>0</v>
      </c>
      <c r="AC135" s="220">
        <f>'NG Stock Track'!AC206-'NG Stock Track'!AJ206</f>
        <v>0</v>
      </c>
      <c r="AD135" s="220">
        <f>'NG Stock Track'!AD206-'NG Stock Track'!AK206</f>
        <v>0</v>
      </c>
    </row>
    <row r="136" spans="1:30">
      <c r="A136" s="223" t="s">
        <v>1295</v>
      </c>
      <c r="B136" s="220">
        <f t="shared" ref="B136:AA136" si="29">MAX(C136-C30-C65,0)</f>
        <v>0</v>
      </c>
      <c r="C136" s="220">
        <f t="shared" si="29"/>
        <v>0</v>
      </c>
      <c r="D136" s="220">
        <f t="shared" si="29"/>
        <v>0</v>
      </c>
      <c r="E136" s="220">
        <f t="shared" si="29"/>
        <v>0</v>
      </c>
      <c r="F136" s="220">
        <f t="shared" si="29"/>
        <v>0</v>
      </c>
      <c r="G136" s="220">
        <f t="shared" si="29"/>
        <v>0</v>
      </c>
      <c r="H136" s="220">
        <f t="shared" si="29"/>
        <v>0</v>
      </c>
      <c r="I136" s="220">
        <f t="shared" si="29"/>
        <v>0</v>
      </c>
      <c r="J136" s="220">
        <f t="shared" si="29"/>
        <v>0</v>
      </c>
      <c r="K136" s="220">
        <f t="shared" si="29"/>
        <v>0</v>
      </c>
      <c r="L136" s="220">
        <f t="shared" si="29"/>
        <v>0</v>
      </c>
      <c r="M136" s="220">
        <f t="shared" si="29"/>
        <v>0</v>
      </c>
      <c r="N136" s="220">
        <f t="shared" si="29"/>
        <v>0</v>
      </c>
      <c r="O136" s="220">
        <f t="shared" si="29"/>
        <v>0</v>
      </c>
      <c r="P136" s="220">
        <f t="shared" si="29"/>
        <v>0</v>
      </c>
      <c r="Q136" s="220">
        <f t="shared" si="29"/>
        <v>0</v>
      </c>
      <c r="R136" s="220">
        <f t="shared" si="29"/>
        <v>0</v>
      </c>
      <c r="S136" s="220">
        <f t="shared" si="29"/>
        <v>0</v>
      </c>
      <c r="T136" s="220">
        <f t="shared" si="29"/>
        <v>21.2</v>
      </c>
      <c r="U136" s="220">
        <f t="shared" si="29"/>
        <v>63</v>
      </c>
      <c r="V136" s="220">
        <f t="shared" si="29"/>
        <v>63</v>
      </c>
      <c r="W136" s="220">
        <f t="shared" si="29"/>
        <v>63</v>
      </c>
      <c r="X136" s="220">
        <f t="shared" si="29"/>
        <v>63</v>
      </c>
      <c r="Y136" s="220">
        <f t="shared" si="29"/>
        <v>63</v>
      </c>
      <c r="Z136" s="220">
        <f t="shared" si="29"/>
        <v>63</v>
      </c>
      <c r="AA136" s="220">
        <f t="shared" si="29"/>
        <v>63</v>
      </c>
      <c r="AB136" s="220">
        <f>'NG Stock Track'!AB207-'NG Stock Track'!AI207</f>
        <v>63</v>
      </c>
      <c r="AC136" s="220">
        <f>'NG Stock Track'!AC207-'NG Stock Track'!AJ207</f>
        <v>200</v>
      </c>
      <c r="AD136" s="220">
        <f>'NG Stock Track'!AD207-'NG Stock Track'!AK207</f>
        <v>200</v>
      </c>
    </row>
    <row r="137" spans="1:30">
      <c r="A137" s="223" t="s">
        <v>1296</v>
      </c>
      <c r="B137" s="220">
        <f t="shared" ref="B137:AA137" si="30">MAX(C137-C31-C66,0)</f>
        <v>0</v>
      </c>
      <c r="C137" s="220">
        <f t="shared" si="30"/>
        <v>0</v>
      </c>
      <c r="D137" s="220">
        <f t="shared" si="30"/>
        <v>0</v>
      </c>
      <c r="E137" s="220">
        <f t="shared" si="30"/>
        <v>0</v>
      </c>
      <c r="F137" s="220">
        <f t="shared" si="30"/>
        <v>0</v>
      </c>
      <c r="G137" s="220">
        <f t="shared" si="30"/>
        <v>0</v>
      </c>
      <c r="H137" s="220">
        <f t="shared" si="30"/>
        <v>0</v>
      </c>
      <c r="I137" s="220">
        <f t="shared" si="30"/>
        <v>0</v>
      </c>
      <c r="J137" s="220">
        <f t="shared" si="30"/>
        <v>0</v>
      </c>
      <c r="K137" s="220">
        <f t="shared" si="30"/>
        <v>0</v>
      </c>
      <c r="L137" s="220">
        <f t="shared" si="30"/>
        <v>0</v>
      </c>
      <c r="M137" s="220">
        <f t="shared" si="30"/>
        <v>0</v>
      </c>
      <c r="N137" s="220">
        <f t="shared" si="30"/>
        <v>0</v>
      </c>
      <c r="O137" s="220">
        <f t="shared" si="30"/>
        <v>0</v>
      </c>
      <c r="P137" s="220">
        <f t="shared" si="30"/>
        <v>0</v>
      </c>
      <c r="Q137" s="220">
        <f t="shared" si="30"/>
        <v>0</v>
      </c>
      <c r="R137" s="220">
        <f t="shared" si="30"/>
        <v>0</v>
      </c>
      <c r="S137" s="220">
        <f t="shared" si="30"/>
        <v>0</v>
      </c>
      <c r="T137" s="220">
        <f t="shared" si="30"/>
        <v>0</v>
      </c>
      <c r="U137" s="220">
        <f t="shared" si="30"/>
        <v>0</v>
      </c>
      <c r="V137" s="220">
        <f t="shared" si="30"/>
        <v>0</v>
      </c>
      <c r="W137" s="220">
        <f t="shared" si="30"/>
        <v>0</v>
      </c>
      <c r="X137" s="220">
        <f t="shared" si="30"/>
        <v>0</v>
      </c>
      <c r="Y137" s="220">
        <f t="shared" si="30"/>
        <v>10</v>
      </c>
      <c r="Z137" s="220">
        <f t="shared" si="30"/>
        <v>10</v>
      </c>
      <c r="AA137" s="220">
        <f t="shared" si="30"/>
        <v>10</v>
      </c>
      <c r="AB137" s="220">
        <f>'NG Stock Track'!AB208-'NG Stock Track'!AI208</f>
        <v>10</v>
      </c>
      <c r="AC137" s="220">
        <f>'NG Stock Track'!AC208-'NG Stock Track'!AJ208</f>
        <v>10</v>
      </c>
      <c r="AD137" s="220">
        <f>'NG Stock Track'!AD208-'NG Stock Track'!AK208</f>
        <v>0</v>
      </c>
    </row>
    <row r="138" spans="1:30">
      <c r="A138" s="223" t="s">
        <v>1297</v>
      </c>
      <c r="B138" s="220">
        <f t="shared" ref="B138:AA138" si="31">MAX(C138-C32-C67,0)</f>
        <v>0</v>
      </c>
      <c r="C138" s="220">
        <f t="shared" si="31"/>
        <v>0</v>
      </c>
      <c r="D138" s="220">
        <f t="shared" si="31"/>
        <v>0</v>
      </c>
      <c r="E138" s="220">
        <f t="shared" si="31"/>
        <v>0</v>
      </c>
      <c r="F138" s="220">
        <f t="shared" si="31"/>
        <v>0</v>
      </c>
      <c r="G138" s="220">
        <f t="shared" si="31"/>
        <v>0</v>
      </c>
      <c r="H138" s="220">
        <f t="shared" si="31"/>
        <v>0</v>
      </c>
      <c r="I138" s="220">
        <f t="shared" si="31"/>
        <v>0</v>
      </c>
      <c r="J138" s="220">
        <f t="shared" si="31"/>
        <v>0</v>
      </c>
      <c r="K138" s="220">
        <f t="shared" si="31"/>
        <v>0</v>
      </c>
      <c r="L138" s="220">
        <f t="shared" si="31"/>
        <v>0</v>
      </c>
      <c r="M138" s="220">
        <f t="shared" si="31"/>
        <v>0</v>
      </c>
      <c r="N138" s="220">
        <f t="shared" si="31"/>
        <v>0</v>
      </c>
      <c r="O138" s="220">
        <f t="shared" si="31"/>
        <v>0</v>
      </c>
      <c r="P138" s="220">
        <f t="shared" si="31"/>
        <v>0</v>
      </c>
      <c r="Q138" s="220">
        <f t="shared" si="31"/>
        <v>0</v>
      </c>
      <c r="R138" s="220">
        <f t="shared" si="31"/>
        <v>0</v>
      </c>
      <c r="S138" s="220">
        <f t="shared" si="31"/>
        <v>0</v>
      </c>
      <c r="T138" s="220">
        <f t="shared" si="31"/>
        <v>0</v>
      </c>
      <c r="U138" s="220">
        <f t="shared" si="31"/>
        <v>0</v>
      </c>
      <c r="V138" s="220">
        <f t="shared" si="31"/>
        <v>0</v>
      </c>
      <c r="W138" s="220">
        <f t="shared" si="31"/>
        <v>0</v>
      </c>
      <c r="X138" s="220">
        <f t="shared" si="31"/>
        <v>0</v>
      </c>
      <c r="Y138" s="220">
        <f t="shared" si="31"/>
        <v>0</v>
      </c>
      <c r="Z138" s="220">
        <f t="shared" si="31"/>
        <v>0</v>
      </c>
      <c r="AA138" s="220">
        <f t="shared" si="31"/>
        <v>0</v>
      </c>
      <c r="AB138" s="220">
        <f>'NG Stock Track'!AB209-'NG Stock Track'!AI209</f>
        <v>0</v>
      </c>
      <c r="AC138" s="220">
        <f>'NG Stock Track'!AC209-'NG Stock Track'!AJ209</f>
        <v>0</v>
      </c>
      <c r="AD138" s="220">
        <f>'NG Stock Track'!AD209-'NG Stock Track'!AK209</f>
        <v>0</v>
      </c>
    </row>
    <row r="139" spans="1:30">
      <c r="A139" s="223" t="s">
        <v>1298</v>
      </c>
      <c r="B139" s="220">
        <f t="shared" ref="B139:AA139" si="32">MAX(C139-C33-C68,0)</f>
        <v>0</v>
      </c>
      <c r="C139" s="220">
        <f t="shared" si="32"/>
        <v>0</v>
      </c>
      <c r="D139" s="220">
        <f t="shared" si="32"/>
        <v>0</v>
      </c>
      <c r="E139" s="220">
        <f t="shared" si="32"/>
        <v>0</v>
      </c>
      <c r="F139" s="220">
        <f t="shared" si="32"/>
        <v>0</v>
      </c>
      <c r="G139" s="220">
        <f t="shared" si="32"/>
        <v>0</v>
      </c>
      <c r="H139" s="220">
        <f t="shared" si="32"/>
        <v>0</v>
      </c>
      <c r="I139" s="220">
        <f t="shared" si="32"/>
        <v>0</v>
      </c>
      <c r="J139" s="220">
        <f t="shared" si="32"/>
        <v>0</v>
      </c>
      <c r="K139" s="220">
        <f t="shared" si="32"/>
        <v>0</v>
      </c>
      <c r="L139" s="220">
        <f t="shared" si="32"/>
        <v>0</v>
      </c>
      <c r="M139" s="220">
        <f t="shared" si="32"/>
        <v>0</v>
      </c>
      <c r="N139" s="220">
        <f t="shared" si="32"/>
        <v>0</v>
      </c>
      <c r="O139" s="220">
        <f t="shared" si="32"/>
        <v>0</v>
      </c>
      <c r="P139" s="220">
        <f t="shared" si="32"/>
        <v>0</v>
      </c>
      <c r="Q139" s="220">
        <f t="shared" si="32"/>
        <v>0</v>
      </c>
      <c r="R139" s="220">
        <f t="shared" si="32"/>
        <v>0</v>
      </c>
      <c r="S139" s="220">
        <f t="shared" si="32"/>
        <v>0</v>
      </c>
      <c r="T139" s="220">
        <f t="shared" si="32"/>
        <v>0</v>
      </c>
      <c r="U139" s="220">
        <f t="shared" si="32"/>
        <v>18</v>
      </c>
      <c r="V139" s="220">
        <f t="shared" si="32"/>
        <v>188.5</v>
      </c>
      <c r="W139" s="220">
        <f t="shared" si="32"/>
        <v>359</v>
      </c>
      <c r="X139" s="220">
        <f t="shared" si="32"/>
        <v>529.5</v>
      </c>
      <c r="Y139" s="220">
        <f t="shared" si="32"/>
        <v>700</v>
      </c>
      <c r="Z139" s="220">
        <f t="shared" si="32"/>
        <v>700</v>
      </c>
      <c r="AA139" s="220">
        <f t="shared" si="32"/>
        <v>700</v>
      </c>
      <c r="AB139" s="220">
        <f>'NG Stock Track'!AB210-'NG Stock Track'!AI210</f>
        <v>700</v>
      </c>
      <c r="AC139" s="220">
        <f>'NG Stock Track'!AC210-'NG Stock Track'!AJ210</f>
        <v>700</v>
      </c>
      <c r="AD139" s="220">
        <f>'NG Stock Track'!AD210-'NG Stock Track'!AK210</f>
        <v>530</v>
      </c>
    </row>
    <row r="140" spans="1:30">
      <c r="A140" s="223" t="s">
        <v>1299</v>
      </c>
      <c r="B140" s="220">
        <f t="shared" ref="B140:AA140" si="33">MAX(C140-C34-C69,0)</f>
        <v>0</v>
      </c>
      <c r="C140" s="220">
        <f t="shared" si="33"/>
        <v>0</v>
      </c>
      <c r="D140" s="220">
        <f t="shared" si="33"/>
        <v>0</v>
      </c>
      <c r="E140" s="220">
        <f t="shared" si="33"/>
        <v>0</v>
      </c>
      <c r="F140" s="220">
        <f t="shared" si="33"/>
        <v>0</v>
      </c>
      <c r="G140" s="220">
        <f t="shared" si="33"/>
        <v>0</v>
      </c>
      <c r="H140" s="220">
        <f t="shared" si="33"/>
        <v>0</v>
      </c>
      <c r="I140" s="220">
        <f t="shared" si="33"/>
        <v>0</v>
      </c>
      <c r="J140" s="220">
        <f t="shared" si="33"/>
        <v>0</v>
      </c>
      <c r="K140" s="220">
        <f t="shared" si="33"/>
        <v>0</v>
      </c>
      <c r="L140" s="220">
        <f t="shared" si="33"/>
        <v>0</v>
      </c>
      <c r="M140" s="220">
        <f t="shared" si="33"/>
        <v>0</v>
      </c>
      <c r="N140" s="220">
        <f t="shared" si="33"/>
        <v>0</v>
      </c>
      <c r="O140" s="220">
        <f t="shared" si="33"/>
        <v>0</v>
      </c>
      <c r="P140" s="220">
        <f t="shared" si="33"/>
        <v>0</v>
      </c>
      <c r="Q140" s="220">
        <f t="shared" si="33"/>
        <v>0</v>
      </c>
      <c r="R140" s="220">
        <f t="shared" si="33"/>
        <v>0</v>
      </c>
      <c r="S140" s="220">
        <f t="shared" si="33"/>
        <v>0</v>
      </c>
      <c r="T140" s="220">
        <f t="shared" si="33"/>
        <v>0</v>
      </c>
      <c r="U140" s="220">
        <f t="shared" si="33"/>
        <v>0</v>
      </c>
      <c r="V140" s="220">
        <f t="shared" si="33"/>
        <v>42.6000000000001</v>
      </c>
      <c r="W140" s="220">
        <f t="shared" si="33"/>
        <v>164</v>
      </c>
      <c r="X140" s="220">
        <f t="shared" si="33"/>
        <v>285.4</v>
      </c>
      <c r="Y140" s="220">
        <f t="shared" si="33"/>
        <v>712.2</v>
      </c>
      <c r="Z140" s="220">
        <f t="shared" si="33"/>
        <v>835.2</v>
      </c>
      <c r="AA140" s="220">
        <f t="shared" si="33"/>
        <v>847</v>
      </c>
      <c r="AB140" s="220">
        <f>'NG Stock Track'!AB211-'NG Stock Track'!AI211</f>
        <v>847</v>
      </c>
      <c r="AC140" s="220">
        <f>'NG Stock Track'!AC211-'NG Stock Track'!AJ211</f>
        <v>847</v>
      </c>
      <c r="AD140" s="220">
        <f>'NG Stock Track'!AD211-'NG Stock Track'!AK211</f>
        <v>990</v>
      </c>
    </row>
    <row r="142" spans="1:30">
      <c r="A142" s="220" t="s">
        <v>1321</v>
      </c>
    </row>
    <row r="143" spans="1:30">
      <c r="A143" s="221" t="s">
        <v>1268</v>
      </c>
      <c r="B143" s="220">
        <v>1993</v>
      </c>
      <c r="C143" s="220">
        <v>1994</v>
      </c>
      <c r="D143" s="220">
        <v>1995</v>
      </c>
      <c r="E143" s="220">
        <v>1996</v>
      </c>
      <c r="F143" s="220">
        <v>1997</v>
      </c>
      <c r="G143" s="220">
        <v>1998</v>
      </c>
      <c r="H143" s="220">
        <v>1999</v>
      </c>
      <c r="I143" s="220">
        <v>2000</v>
      </c>
      <c r="J143" s="220">
        <v>2001</v>
      </c>
      <c r="K143" s="220">
        <v>2002</v>
      </c>
      <c r="L143" s="220">
        <v>2003</v>
      </c>
      <c r="M143" s="220">
        <v>2004</v>
      </c>
      <c r="N143" s="220">
        <v>2005</v>
      </c>
      <c r="O143" s="220">
        <v>2006</v>
      </c>
      <c r="P143" s="220">
        <v>2007</v>
      </c>
      <c r="Q143" s="220">
        <v>2008</v>
      </c>
      <c r="R143" s="220">
        <v>2009</v>
      </c>
      <c r="S143" s="220">
        <v>2010</v>
      </c>
      <c r="T143" s="220">
        <v>2011</v>
      </c>
      <c r="U143" s="220">
        <v>2012</v>
      </c>
      <c r="V143" s="220">
        <v>2013</v>
      </c>
      <c r="W143" s="220">
        <v>2014</v>
      </c>
      <c r="X143" s="220">
        <v>2015</v>
      </c>
      <c r="Y143" s="220">
        <v>2016</v>
      </c>
      <c r="Z143" s="220">
        <v>2017</v>
      </c>
      <c r="AA143" s="220">
        <v>2018</v>
      </c>
      <c r="AB143" s="220">
        <v>2019</v>
      </c>
    </row>
    <row r="144" spans="1:30">
      <c r="A144" s="222" t="s">
        <v>80</v>
      </c>
      <c r="B144" s="226"/>
      <c r="C144" s="226">
        <f t="shared" ref="C144:AB144" si="34">SUM(C145:C175)</f>
        <v>272.7</v>
      </c>
      <c r="D144" s="226">
        <f t="shared" si="34"/>
        <v>272.7</v>
      </c>
      <c r="E144" s="226">
        <f t="shared" si="34"/>
        <v>272.7</v>
      </c>
      <c r="F144" s="226">
        <f t="shared" si="34"/>
        <v>397.7</v>
      </c>
      <c r="G144" s="226">
        <f t="shared" si="34"/>
        <v>397.7</v>
      </c>
      <c r="H144" s="226">
        <f t="shared" si="34"/>
        <v>277.899999999999</v>
      </c>
      <c r="I144" s="226">
        <f t="shared" si="34"/>
        <v>333.8</v>
      </c>
      <c r="J144" s="226">
        <f t="shared" si="34"/>
        <v>357.8</v>
      </c>
      <c r="K144" s="226">
        <f t="shared" si="34"/>
        <v>387.8</v>
      </c>
      <c r="L144" s="226">
        <f t="shared" si="34"/>
        <v>403</v>
      </c>
      <c r="M144" s="226">
        <f t="shared" si="34"/>
        <v>0</v>
      </c>
      <c r="N144" s="226">
        <f t="shared" si="34"/>
        <v>2965.7</v>
      </c>
      <c r="O144" s="226">
        <f t="shared" si="34"/>
        <v>4471.7</v>
      </c>
      <c r="P144" s="226">
        <f t="shared" si="34"/>
        <v>4076.29</v>
      </c>
      <c r="Q144" s="226">
        <f t="shared" si="34"/>
        <v>1415.11</v>
      </c>
      <c r="R144" s="226">
        <f t="shared" si="34"/>
        <v>3699.6</v>
      </c>
      <c r="S144" s="226">
        <f t="shared" si="34"/>
        <v>2966.8</v>
      </c>
      <c r="T144" s="226">
        <f t="shared" si="34"/>
        <v>2386</v>
      </c>
      <c r="U144" s="226">
        <f t="shared" si="34"/>
        <v>3210.6</v>
      </c>
      <c r="V144" s="226">
        <f t="shared" si="34"/>
        <v>7116.4</v>
      </c>
      <c r="W144" s="226">
        <f t="shared" si="34"/>
        <v>13042.1</v>
      </c>
      <c r="X144" s="226">
        <f t="shared" si="34"/>
        <v>12269.7</v>
      </c>
      <c r="Y144" s="226">
        <f t="shared" si="34"/>
        <v>7482.8</v>
      </c>
      <c r="Z144" s="226">
        <f t="shared" si="34"/>
        <v>5706.6</v>
      </c>
      <c r="AA144" s="226">
        <f t="shared" si="34"/>
        <v>8829.1</v>
      </c>
      <c r="AB144" s="226">
        <f t="shared" si="34"/>
        <v>5858.9</v>
      </c>
      <c r="AC144" s="226"/>
      <c r="AD144" s="226"/>
    </row>
    <row r="145" spans="1:30">
      <c r="A145" s="223" t="s">
        <v>1269</v>
      </c>
      <c r="B145" s="226"/>
      <c r="C145" s="226">
        <f t="shared" ref="C145:AB145" si="35">C110-B110</f>
        <v>0</v>
      </c>
      <c r="D145" s="226">
        <f t="shared" si="35"/>
        <v>0</v>
      </c>
      <c r="E145" s="226">
        <f t="shared" si="35"/>
        <v>0</v>
      </c>
      <c r="F145" s="226">
        <f t="shared" si="35"/>
        <v>0</v>
      </c>
      <c r="G145" s="226">
        <f t="shared" si="35"/>
        <v>0</v>
      </c>
      <c r="H145" s="226">
        <f t="shared" si="35"/>
        <v>0</v>
      </c>
      <c r="I145" s="226">
        <f t="shared" si="35"/>
        <v>0</v>
      </c>
      <c r="J145" s="226">
        <f t="shared" si="35"/>
        <v>0</v>
      </c>
      <c r="K145" s="226">
        <f t="shared" si="35"/>
        <v>0</v>
      </c>
      <c r="L145" s="226">
        <f t="shared" si="35"/>
        <v>0</v>
      </c>
      <c r="M145" s="226">
        <f t="shared" si="35"/>
        <v>0</v>
      </c>
      <c r="N145" s="226">
        <f t="shared" si="35"/>
        <v>0</v>
      </c>
      <c r="O145" s="226">
        <f t="shared" si="35"/>
        <v>0</v>
      </c>
      <c r="P145" s="226">
        <f t="shared" si="35"/>
        <v>0</v>
      </c>
      <c r="Q145" s="226">
        <f t="shared" si="35"/>
        <v>0</v>
      </c>
      <c r="R145" s="226">
        <f t="shared" si="35"/>
        <v>0</v>
      </c>
      <c r="S145" s="226">
        <f t="shared" si="35"/>
        <v>0</v>
      </c>
      <c r="T145" s="226">
        <f t="shared" si="35"/>
        <v>0</v>
      </c>
      <c r="U145" s="226">
        <f t="shared" si="35"/>
        <v>0</v>
      </c>
      <c r="V145" s="226">
        <f t="shared" si="35"/>
        <v>790.1</v>
      </c>
      <c r="W145" s="226">
        <f t="shared" si="35"/>
        <v>4752.2</v>
      </c>
      <c r="X145" s="226">
        <f t="shared" si="35"/>
        <v>1915.2</v>
      </c>
      <c r="Y145" s="226">
        <f t="shared" si="35"/>
        <v>978.5</v>
      </c>
      <c r="Z145" s="226">
        <f t="shared" si="35"/>
        <v>998</v>
      </c>
      <c r="AA145" s="226">
        <f t="shared" si="35"/>
        <v>341</v>
      </c>
      <c r="AB145" s="226">
        <f t="shared" si="35"/>
        <v>155</v>
      </c>
      <c r="AC145" s="226"/>
      <c r="AD145" s="226"/>
    </row>
    <row r="146" spans="1:30">
      <c r="A146" s="223" t="s">
        <v>1270</v>
      </c>
      <c r="B146" s="226"/>
      <c r="C146" s="226">
        <f t="shared" ref="C146:AB146" si="36">C111-B111</f>
        <v>0</v>
      </c>
      <c r="D146" s="226">
        <f t="shared" si="36"/>
        <v>0</v>
      </c>
      <c r="E146" s="226">
        <f t="shared" si="36"/>
        <v>0</v>
      </c>
      <c r="F146" s="226">
        <f t="shared" si="36"/>
        <v>0</v>
      </c>
      <c r="G146" s="226">
        <f t="shared" si="36"/>
        <v>0</v>
      </c>
      <c r="H146" s="226">
        <f t="shared" si="36"/>
        <v>0</v>
      </c>
      <c r="I146" s="226">
        <f t="shared" si="36"/>
        <v>0</v>
      </c>
      <c r="J146" s="226">
        <f t="shared" si="36"/>
        <v>0</v>
      </c>
      <c r="K146" s="226">
        <f t="shared" si="36"/>
        <v>0</v>
      </c>
      <c r="L146" s="226">
        <f t="shared" si="36"/>
        <v>0</v>
      </c>
      <c r="M146" s="226">
        <f t="shared" si="36"/>
        <v>0</v>
      </c>
      <c r="N146" s="226">
        <f t="shared" si="36"/>
        <v>0</v>
      </c>
      <c r="O146" s="226">
        <f t="shared" si="36"/>
        <v>0</v>
      </c>
      <c r="P146" s="226">
        <f t="shared" si="36"/>
        <v>0</v>
      </c>
      <c r="Q146" s="226">
        <f t="shared" si="36"/>
        <v>0</v>
      </c>
      <c r="R146" s="226">
        <f t="shared" si="36"/>
        <v>0</v>
      </c>
      <c r="S146" s="226">
        <f t="shared" si="36"/>
        <v>0</v>
      </c>
      <c r="T146" s="226">
        <f t="shared" si="36"/>
        <v>0</v>
      </c>
      <c r="U146" s="226">
        <f t="shared" si="36"/>
        <v>0</v>
      </c>
      <c r="V146" s="226">
        <f t="shared" si="36"/>
        <v>0</v>
      </c>
      <c r="W146" s="226">
        <f t="shared" si="36"/>
        <v>450.8</v>
      </c>
      <c r="X146" s="226">
        <f t="shared" si="36"/>
        <v>631</v>
      </c>
      <c r="Y146" s="226">
        <f t="shared" si="36"/>
        <v>1554.5</v>
      </c>
      <c r="Z146" s="226">
        <f t="shared" si="36"/>
        <v>2</v>
      </c>
      <c r="AA146" s="226">
        <f t="shared" si="36"/>
        <v>251.7</v>
      </c>
      <c r="AB146" s="226">
        <f t="shared" si="36"/>
        <v>930</v>
      </c>
      <c r="AC146" s="226"/>
      <c r="AD146" s="226"/>
    </row>
    <row r="147" spans="1:30">
      <c r="A147" s="223" t="s">
        <v>1271</v>
      </c>
      <c r="B147" s="226"/>
      <c r="C147" s="226">
        <f t="shared" ref="C147:AB147" si="37">C112-B112</f>
        <v>0</v>
      </c>
      <c r="D147" s="226">
        <f t="shared" si="37"/>
        <v>0</v>
      </c>
      <c r="E147" s="226">
        <f t="shared" si="37"/>
        <v>0</v>
      </c>
      <c r="F147" s="226">
        <f t="shared" si="37"/>
        <v>0</v>
      </c>
      <c r="G147" s="226">
        <f t="shared" si="37"/>
        <v>0</v>
      </c>
      <c r="H147" s="226">
        <f t="shared" si="37"/>
        <v>0</v>
      </c>
      <c r="I147" s="226">
        <f t="shared" si="37"/>
        <v>0</v>
      </c>
      <c r="J147" s="226">
        <f t="shared" si="37"/>
        <v>0</v>
      </c>
      <c r="K147" s="226">
        <f t="shared" si="37"/>
        <v>0</v>
      </c>
      <c r="L147" s="226">
        <f t="shared" si="37"/>
        <v>0</v>
      </c>
      <c r="M147" s="226">
        <f t="shared" si="37"/>
        <v>0</v>
      </c>
      <c r="N147" s="226">
        <f t="shared" si="37"/>
        <v>0</v>
      </c>
      <c r="O147" s="226">
        <f t="shared" si="37"/>
        <v>0</v>
      </c>
      <c r="P147" s="226">
        <f t="shared" si="37"/>
        <v>0</v>
      </c>
      <c r="Q147" s="226">
        <f t="shared" si="37"/>
        <v>0</v>
      </c>
      <c r="R147" s="226">
        <f t="shared" si="37"/>
        <v>0</v>
      </c>
      <c r="S147" s="226">
        <f t="shared" si="37"/>
        <v>0</v>
      </c>
      <c r="T147" s="226">
        <f t="shared" si="37"/>
        <v>0</v>
      </c>
      <c r="U147" s="226">
        <f t="shared" si="37"/>
        <v>0</v>
      </c>
      <c r="V147" s="226">
        <f t="shared" si="37"/>
        <v>0</v>
      </c>
      <c r="W147" s="226">
        <f t="shared" si="37"/>
        <v>0</v>
      </c>
      <c r="X147" s="226">
        <f t="shared" si="37"/>
        <v>0</v>
      </c>
      <c r="Y147" s="226">
        <f t="shared" si="37"/>
        <v>0</v>
      </c>
      <c r="Z147" s="226">
        <f t="shared" si="37"/>
        <v>0</v>
      </c>
      <c r="AA147" s="226">
        <f t="shared" si="37"/>
        <v>0</v>
      </c>
      <c r="AB147" s="226">
        <f t="shared" si="37"/>
        <v>23</v>
      </c>
      <c r="AC147" s="226"/>
      <c r="AD147" s="226"/>
    </row>
    <row r="148" spans="1:30">
      <c r="A148" s="223" t="s">
        <v>1272</v>
      </c>
      <c r="B148" s="226"/>
      <c r="C148" s="226">
        <f t="shared" ref="C148:AB148" si="38">C113-B113</f>
        <v>0</v>
      </c>
      <c r="D148" s="226">
        <f t="shared" si="38"/>
        <v>0</v>
      </c>
      <c r="E148" s="226">
        <f t="shared" si="38"/>
        <v>0</v>
      </c>
      <c r="F148" s="226">
        <f t="shared" si="38"/>
        <v>0</v>
      </c>
      <c r="G148" s="226">
        <f t="shared" si="38"/>
        <v>0</v>
      </c>
      <c r="H148" s="226">
        <f t="shared" si="38"/>
        <v>0</v>
      </c>
      <c r="I148" s="226">
        <f t="shared" si="38"/>
        <v>0</v>
      </c>
      <c r="J148" s="226">
        <f t="shared" si="38"/>
        <v>0</v>
      </c>
      <c r="K148" s="226">
        <f t="shared" si="38"/>
        <v>0</v>
      </c>
      <c r="L148" s="226">
        <f t="shared" si="38"/>
        <v>0</v>
      </c>
      <c r="M148" s="226">
        <f t="shared" si="38"/>
        <v>0</v>
      </c>
      <c r="N148" s="226">
        <f t="shared" si="38"/>
        <v>0</v>
      </c>
      <c r="O148" s="226">
        <f t="shared" si="38"/>
        <v>0</v>
      </c>
      <c r="P148" s="226">
        <f t="shared" si="38"/>
        <v>0</v>
      </c>
      <c r="Q148" s="226">
        <f t="shared" si="38"/>
        <v>0</v>
      </c>
      <c r="R148" s="226">
        <f t="shared" si="38"/>
        <v>0</v>
      </c>
      <c r="S148" s="226">
        <f t="shared" si="38"/>
        <v>0</v>
      </c>
      <c r="T148" s="226">
        <f t="shared" si="38"/>
        <v>0</v>
      </c>
      <c r="U148" s="226">
        <f t="shared" si="38"/>
        <v>0</v>
      </c>
      <c r="V148" s="226">
        <f t="shared" si="38"/>
        <v>78.1999999999998</v>
      </c>
      <c r="W148" s="226">
        <f t="shared" si="38"/>
        <v>1308</v>
      </c>
      <c r="X148" s="226">
        <f t="shared" si="38"/>
        <v>1340</v>
      </c>
      <c r="Y148" s="226">
        <f t="shared" si="38"/>
        <v>444</v>
      </c>
      <c r="Z148" s="226">
        <f t="shared" si="38"/>
        <v>0</v>
      </c>
      <c r="AA148" s="226">
        <f t="shared" si="38"/>
        <v>55.8000000000002</v>
      </c>
      <c r="AB148" s="226">
        <f t="shared" si="38"/>
        <v>0</v>
      </c>
      <c r="AC148" s="226"/>
      <c r="AD148" s="226"/>
    </row>
    <row r="149" spans="1:30">
      <c r="A149" s="223" t="s">
        <v>1273</v>
      </c>
      <c r="B149" s="226"/>
      <c r="C149" s="226">
        <f t="shared" ref="C149:AB149" si="39">C114-B114</f>
        <v>0</v>
      </c>
      <c r="D149" s="226">
        <f t="shared" si="39"/>
        <v>0</v>
      </c>
      <c r="E149" s="226">
        <f t="shared" si="39"/>
        <v>0</v>
      </c>
      <c r="F149" s="226">
        <f t="shared" si="39"/>
        <v>0</v>
      </c>
      <c r="G149" s="226">
        <f t="shared" si="39"/>
        <v>0</v>
      </c>
      <c r="H149" s="226">
        <f t="shared" si="39"/>
        <v>0</v>
      </c>
      <c r="I149" s="226">
        <f t="shared" si="39"/>
        <v>0</v>
      </c>
      <c r="J149" s="226">
        <f t="shared" si="39"/>
        <v>0</v>
      </c>
      <c r="K149" s="226">
        <f t="shared" si="39"/>
        <v>0</v>
      </c>
      <c r="L149" s="226">
        <f t="shared" si="39"/>
        <v>0</v>
      </c>
      <c r="M149" s="226">
        <f t="shared" si="39"/>
        <v>0</v>
      </c>
      <c r="N149" s="226">
        <f t="shared" si="39"/>
        <v>0</v>
      </c>
      <c r="O149" s="226">
        <f t="shared" si="39"/>
        <v>209</v>
      </c>
      <c r="P149" s="226">
        <f t="shared" si="39"/>
        <v>0</v>
      </c>
      <c r="Q149" s="226">
        <f t="shared" si="39"/>
        <v>0</v>
      </c>
      <c r="R149" s="226">
        <f t="shared" si="39"/>
        <v>10</v>
      </c>
      <c r="S149" s="226">
        <f t="shared" si="39"/>
        <v>0</v>
      </c>
      <c r="T149" s="226">
        <f t="shared" si="39"/>
        <v>200</v>
      </c>
      <c r="U149" s="226">
        <f t="shared" si="39"/>
        <v>0</v>
      </c>
      <c r="V149" s="226">
        <f t="shared" si="39"/>
        <v>0</v>
      </c>
      <c r="W149" s="226">
        <f t="shared" si="39"/>
        <v>0</v>
      </c>
      <c r="X149" s="226">
        <f t="shared" si="39"/>
        <v>0</v>
      </c>
      <c r="Y149" s="226">
        <f t="shared" si="39"/>
        <v>0</v>
      </c>
      <c r="Z149" s="226">
        <f t="shared" si="39"/>
        <v>0</v>
      </c>
      <c r="AA149" s="226">
        <f t="shared" si="39"/>
        <v>0</v>
      </c>
      <c r="AB149" s="226">
        <f t="shared" si="39"/>
        <v>0</v>
      </c>
      <c r="AC149" s="226"/>
      <c r="AD149" s="226"/>
    </row>
    <row r="150" spans="1:30">
      <c r="A150" s="223" t="s">
        <v>1274</v>
      </c>
      <c r="B150" s="226"/>
      <c r="C150" s="226">
        <f t="shared" ref="C150:AB150" si="40">C115-B115</f>
        <v>0</v>
      </c>
      <c r="D150" s="226">
        <f t="shared" si="40"/>
        <v>0</v>
      </c>
      <c r="E150" s="226">
        <f t="shared" si="40"/>
        <v>0</v>
      </c>
      <c r="F150" s="226">
        <f t="shared" si="40"/>
        <v>0</v>
      </c>
      <c r="G150" s="226">
        <f t="shared" si="40"/>
        <v>0</v>
      </c>
      <c r="H150" s="226">
        <f t="shared" si="40"/>
        <v>0</v>
      </c>
      <c r="I150" s="226">
        <f t="shared" si="40"/>
        <v>0</v>
      </c>
      <c r="J150" s="226">
        <f t="shared" si="40"/>
        <v>0</v>
      </c>
      <c r="K150" s="226">
        <f t="shared" si="40"/>
        <v>0</v>
      </c>
      <c r="L150" s="226">
        <f t="shared" si="40"/>
        <v>0</v>
      </c>
      <c r="M150" s="226">
        <f t="shared" si="40"/>
        <v>0</v>
      </c>
      <c r="N150" s="226">
        <f t="shared" si="40"/>
        <v>0</v>
      </c>
      <c r="O150" s="226">
        <f t="shared" si="40"/>
        <v>60</v>
      </c>
      <c r="P150" s="226">
        <f t="shared" si="40"/>
        <v>0</v>
      </c>
      <c r="Q150" s="226">
        <f t="shared" si="40"/>
        <v>0</v>
      </c>
      <c r="R150" s="226">
        <f t="shared" si="40"/>
        <v>0</v>
      </c>
      <c r="S150" s="226">
        <f t="shared" si="40"/>
        <v>0</v>
      </c>
      <c r="T150" s="226">
        <f t="shared" si="40"/>
        <v>0</v>
      </c>
      <c r="U150" s="226">
        <f t="shared" si="40"/>
        <v>0</v>
      </c>
      <c r="V150" s="226">
        <f t="shared" si="40"/>
        <v>0</v>
      </c>
      <c r="W150" s="226">
        <f t="shared" si="40"/>
        <v>0</v>
      </c>
      <c r="X150" s="226">
        <f t="shared" si="40"/>
        <v>0</v>
      </c>
      <c r="Y150" s="226">
        <f t="shared" si="40"/>
        <v>0</v>
      </c>
      <c r="Z150" s="226">
        <f t="shared" si="40"/>
        <v>0</v>
      </c>
      <c r="AA150" s="226">
        <f t="shared" si="40"/>
        <v>0</v>
      </c>
      <c r="AB150" s="226">
        <f t="shared" si="40"/>
        <v>0</v>
      </c>
      <c r="AC150" s="226"/>
      <c r="AD150" s="226"/>
    </row>
    <row r="151" spans="1:30">
      <c r="A151" s="223" t="s">
        <v>1275</v>
      </c>
      <c r="B151" s="226"/>
      <c r="C151" s="226">
        <f t="shared" ref="C151:AB151" si="41">C116-B116</f>
        <v>0</v>
      </c>
      <c r="D151" s="226">
        <f t="shared" si="41"/>
        <v>0</v>
      </c>
      <c r="E151" s="226">
        <f t="shared" si="41"/>
        <v>0</v>
      </c>
      <c r="F151" s="226">
        <f t="shared" si="41"/>
        <v>0</v>
      </c>
      <c r="G151" s="226">
        <f t="shared" si="41"/>
        <v>0</v>
      </c>
      <c r="H151" s="226">
        <f t="shared" si="41"/>
        <v>0</v>
      </c>
      <c r="I151" s="226">
        <f t="shared" si="41"/>
        <v>0</v>
      </c>
      <c r="J151" s="226">
        <f t="shared" si="41"/>
        <v>0</v>
      </c>
      <c r="K151" s="226">
        <f t="shared" si="41"/>
        <v>0</v>
      </c>
      <c r="L151" s="226">
        <f t="shared" si="41"/>
        <v>0</v>
      </c>
      <c r="M151" s="226">
        <f t="shared" si="41"/>
        <v>0</v>
      </c>
      <c r="N151" s="226">
        <f t="shared" si="41"/>
        <v>7</v>
      </c>
      <c r="O151" s="226">
        <f t="shared" si="41"/>
        <v>0</v>
      </c>
      <c r="P151" s="226">
        <f t="shared" si="41"/>
        <v>0</v>
      </c>
      <c r="Q151" s="226">
        <f t="shared" si="41"/>
        <v>0</v>
      </c>
      <c r="R151" s="226">
        <f t="shared" si="41"/>
        <v>0</v>
      </c>
      <c r="S151" s="226">
        <f t="shared" si="41"/>
        <v>0</v>
      </c>
      <c r="T151" s="226">
        <f t="shared" si="41"/>
        <v>0</v>
      </c>
      <c r="U151" s="226">
        <f t="shared" si="41"/>
        <v>0</v>
      </c>
      <c r="V151" s="226">
        <f t="shared" si="41"/>
        <v>0</v>
      </c>
      <c r="W151" s="226">
        <f t="shared" si="41"/>
        <v>0</v>
      </c>
      <c r="X151" s="226">
        <f t="shared" si="41"/>
        <v>0</v>
      </c>
      <c r="Y151" s="226">
        <f t="shared" si="41"/>
        <v>0</v>
      </c>
      <c r="Z151" s="226">
        <f t="shared" si="41"/>
        <v>0</v>
      </c>
      <c r="AA151" s="226">
        <f t="shared" si="41"/>
        <v>0</v>
      </c>
      <c r="AB151" s="226">
        <f t="shared" si="41"/>
        <v>0</v>
      </c>
      <c r="AC151" s="226"/>
      <c r="AD151" s="226"/>
    </row>
    <row r="152" spans="1:30">
      <c r="A152" s="223" t="s">
        <v>1276</v>
      </c>
      <c r="B152" s="226"/>
      <c r="C152" s="226">
        <f t="shared" ref="C152:AB152" si="42">C117-B117</f>
        <v>0</v>
      </c>
      <c r="D152" s="226">
        <f t="shared" si="42"/>
        <v>0</v>
      </c>
      <c r="E152" s="226">
        <f t="shared" si="42"/>
        <v>0</v>
      </c>
      <c r="F152" s="226">
        <f t="shared" si="42"/>
        <v>0</v>
      </c>
      <c r="G152" s="226">
        <f t="shared" si="42"/>
        <v>0</v>
      </c>
      <c r="H152" s="226">
        <f t="shared" si="42"/>
        <v>0</v>
      </c>
      <c r="I152" s="226">
        <f t="shared" si="42"/>
        <v>0</v>
      </c>
      <c r="J152" s="226">
        <f t="shared" si="42"/>
        <v>0</v>
      </c>
      <c r="K152" s="226">
        <f t="shared" si="42"/>
        <v>0</v>
      </c>
      <c r="L152" s="226">
        <f t="shared" si="42"/>
        <v>0</v>
      </c>
      <c r="M152" s="226">
        <f t="shared" si="42"/>
        <v>0</v>
      </c>
      <c r="N152" s="226">
        <f t="shared" si="42"/>
        <v>0</v>
      </c>
      <c r="O152" s="226">
        <f t="shared" si="42"/>
        <v>0</v>
      </c>
      <c r="P152" s="226">
        <f t="shared" si="42"/>
        <v>0</v>
      </c>
      <c r="Q152" s="226">
        <f t="shared" si="42"/>
        <v>0</v>
      </c>
      <c r="R152" s="226">
        <f t="shared" si="42"/>
        <v>0</v>
      </c>
      <c r="S152" s="226">
        <f t="shared" si="42"/>
        <v>0</v>
      </c>
      <c r="T152" s="226">
        <f t="shared" si="42"/>
        <v>0</v>
      </c>
      <c r="U152" s="226">
        <f t="shared" si="42"/>
        <v>0</v>
      </c>
      <c r="V152" s="226">
        <f t="shared" si="42"/>
        <v>0</v>
      </c>
      <c r="W152" s="226">
        <f t="shared" si="42"/>
        <v>0</v>
      </c>
      <c r="X152" s="226">
        <f t="shared" si="42"/>
        <v>19</v>
      </c>
      <c r="Y152" s="226">
        <f t="shared" si="42"/>
        <v>30</v>
      </c>
      <c r="Z152" s="226">
        <f t="shared" si="42"/>
        <v>0</v>
      </c>
      <c r="AA152" s="226">
        <f t="shared" si="42"/>
        <v>0</v>
      </c>
      <c r="AB152" s="226">
        <f t="shared" si="42"/>
        <v>65</v>
      </c>
      <c r="AC152" s="226"/>
      <c r="AD152" s="226"/>
    </row>
    <row r="153" spans="1:30">
      <c r="A153" s="223" t="s">
        <v>1277</v>
      </c>
      <c r="B153" s="226"/>
      <c r="C153" s="226">
        <f t="shared" ref="C153:AB153" si="43">C118-B118</f>
        <v>0</v>
      </c>
      <c r="D153" s="226">
        <f t="shared" si="43"/>
        <v>0</v>
      </c>
      <c r="E153" s="226">
        <f t="shared" si="43"/>
        <v>0</v>
      </c>
      <c r="F153" s="226">
        <f t="shared" si="43"/>
        <v>0</v>
      </c>
      <c r="G153" s="226">
        <f t="shared" si="43"/>
        <v>0</v>
      </c>
      <c r="H153" s="226">
        <f t="shared" si="43"/>
        <v>5.19999999999873</v>
      </c>
      <c r="I153" s="226">
        <f t="shared" si="43"/>
        <v>61.1</v>
      </c>
      <c r="J153" s="226">
        <f t="shared" si="43"/>
        <v>61.1</v>
      </c>
      <c r="K153" s="226">
        <f t="shared" si="43"/>
        <v>0</v>
      </c>
      <c r="L153" s="226">
        <f t="shared" si="43"/>
        <v>0</v>
      </c>
      <c r="M153" s="226">
        <f t="shared" si="43"/>
        <v>0</v>
      </c>
      <c r="N153" s="226">
        <f t="shared" si="43"/>
        <v>1086</v>
      </c>
      <c r="O153" s="226">
        <f t="shared" si="43"/>
        <v>1200</v>
      </c>
      <c r="P153" s="226">
        <f t="shared" si="43"/>
        <v>0</v>
      </c>
      <c r="Q153" s="226">
        <f t="shared" si="43"/>
        <v>210.8</v>
      </c>
      <c r="R153" s="226">
        <f t="shared" si="43"/>
        <v>210.8</v>
      </c>
      <c r="S153" s="226">
        <f t="shared" si="43"/>
        <v>210.8</v>
      </c>
      <c r="T153" s="226">
        <f t="shared" si="43"/>
        <v>1433.8</v>
      </c>
      <c r="U153" s="226">
        <f t="shared" si="43"/>
        <v>210.8</v>
      </c>
      <c r="V153" s="226">
        <f t="shared" si="43"/>
        <v>0</v>
      </c>
      <c r="W153" s="226">
        <f t="shared" si="43"/>
        <v>0</v>
      </c>
      <c r="X153" s="226">
        <f t="shared" si="43"/>
        <v>1010.8</v>
      </c>
      <c r="Y153" s="226">
        <f t="shared" si="43"/>
        <v>30.8000000000002</v>
      </c>
      <c r="Z153" s="226">
        <f t="shared" si="43"/>
        <v>26</v>
      </c>
      <c r="AA153" s="226">
        <f t="shared" si="43"/>
        <v>881.400000000001</v>
      </c>
      <c r="AB153" s="226">
        <f t="shared" si="43"/>
        <v>992.599999999999</v>
      </c>
      <c r="AC153" s="226"/>
      <c r="AD153" s="226"/>
    </row>
    <row r="154" spans="1:30">
      <c r="A154" s="223" t="s">
        <v>1278</v>
      </c>
      <c r="B154" s="226"/>
      <c r="C154" s="226">
        <f t="shared" ref="C154:AB154" si="44">C119-B119</f>
        <v>0</v>
      </c>
      <c r="D154" s="226">
        <f t="shared" si="44"/>
        <v>0</v>
      </c>
      <c r="E154" s="226">
        <f t="shared" si="44"/>
        <v>0</v>
      </c>
      <c r="F154" s="226">
        <f t="shared" si="44"/>
        <v>0</v>
      </c>
      <c r="G154" s="226">
        <f t="shared" si="44"/>
        <v>0</v>
      </c>
      <c r="H154" s="226">
        <f t="shared" si="44"/>
        <v>0</v>
      </c>
      <c r="I154" s="226">
        <f t="shared" si="44"/>
        <v>0</v>
      </c>
      <c r="J154" s="226">
        <f t="shared" si="44"/>
        <v>0</v>
      </c>
      <c r="K154" s="226">
        <f t="shared" si="44"/>
        <v>0</v>
      </c>
      <c r="L154" s="226">
        <f t="shared" si="44"/>
        <v>0</v>
      </c>
      <c r="M154" s="226">
        <f t="shared" si="44"/>
        <v>0</v>
      </c>
      <c r="N154" s="226">
        <f t="shared" si="44"/>
        <v>748.699999999999</v>
      </c>
      <c r="O154" s="226">
        <f t="shared" si="44"/>
        <v>553</v>
      </c>
      <c r="P154" s="226">
        <f t="shared" si="44"/>
        <v>380</v>
      </c>
      <c r="Q154" s="226">
        <f t="shared" si="44"/>
        <v>223.8</v>
      </c>
      <c r="R154" s="226">
        <f t="shared" si="44"/>
        <v>223.8</v>
      </c>
      <c r="S154" s="226">
        <f t="shared" si="44"/>
        <v>223.8</v>
      </c>
      <c r="T154" s="226">
        <f t="shared" si="44"/>
        <v>443.8</v>
      </c>
      <c r="U154" s="226">
        <f t="shared" si="44"/>
        <v>1385.8</v>
      </c>
      <c r="V154" s="226">
        <f t="shared" si="44"/>
        <v>1354.3</v>
      </c>
      <c r="W154" s="226">
        <f t="shared" si="44"/>
        <v>121.6</v>
      </c>
      <c r="X154" s="226">
        <f t="shared" si="44"/>
        <v>2273.6</v>
      </c>
      <c r="Y154" s="226">
        <f t="shared" si="44"/>
        <v>983.6</v>
      </c>
      <c r="Z154" s="226">
        <f t="shared" si="44"/>
        <v>3864</v>
      </c>
      <c r="AA154" s="226">
        <f t="shared" si="44"/>
        <v>2144.4</v>
      </c>
      <c r="AB154" s="226">
        <f t="shared" si="44"/>
        <v>1107.8</v>
      </c>
      <c r="AC154" s="226"/>
      <c r="AD154" s="226"/>
    </row>
    <row r="155" spans="1:30">
      <c r="A155" s="223" t="s">
        <v>1279</v>
      </c>
      <c r="B155" s="226"/>
      <c r="C155" s="226">
        <f t="shared" ref="C155:AB155" si="45">C120-B120</f>
        <v>0</v>
      </c>
      <c r="D155" s="226">
        <f t="shared" si="45"/>
        <v>0</v>
      </c>
      <c r="E155" s="226">
        <f t="shared" si="45"/>
        <v>0</v>
      </c>
      <c r="F155" s="226">
        <f t="shared" si="45"/>
        <v>0</v>
      </c>
      <c r="G155" s="226">
        <f t="shared" si="45"/>
        <v>0</v>
      </c>
      <c r="H155" s="226">
        <f t="shared" si="45"/>
        <v>0</v>
      </c>
      <c r="I155" s="226">
        <f t="shared" si="45"/>
        <v>0</v>
      </c>
      <c r="J155" s="226">
        <f t="shared" si="45"/>
        <v>0</v>
      </c>
      <c r="K155" s="226">
        <f t="shared" si="45"/>
        <v>0</v>
      </c>
      <c r="L155" s="226">
        <f t="shared" si="45"/>
        <v>0</v>
      </c>
      <c r="M155" s="226">
        <f t="shared" si="45"/>
        <v>0</v>
      </c>
      <c r="N155" s="226">
        <f t="shared" si="45"/>
        <v>0</v>
      </c>
      <c r="O155" s="226">
        <f t="shared" si="45"/>
        <v>0</v>
      </c>
      <c r="P155" s="226">
        <f t="shared" si="45"/>
        <v>286.789999999999</v>
      </c>
      <c r="Q155" s="226">
        <f t="shared" si="45"/>
        <v>804.91</v>
      </c>
      <c r="R155" s="226">
        <f t="shared" si="45"/>
        <v>0</v>
      </c>
      <c r="S155" s="226">
        <f t="shared" si="45"/>
        <v>0</v>
      </c>
      <c r="T155" s="226">
        <f t="shared" si="45"/>
        <v>0</v>
      </c>
      <c r="U155" s="226">
        <f t="shared" si="45"/>
        <v>1267</v>
      </c>
      <c r="V155" s="226">
        <f t="shared" si="45"/>
        <v>3281.6</v>
      </c>
      <c r="W155" s="226">
        <f t="shared" si="45"/>
        <v>2912</v>
      </c>
      <c r="X155" s="226">
        <f t="shared" si="45"/>
        <v>2534.1</v>
      </c>
      <c r="Y155" s="226">
        <f t="shared" si="45"/>
        <v>969.6</v>
      </c>
      <c r="Z155" s="226">
        <f t="shared" si="45"/>
        <v>224</v>
      </c>
      <c r="AA155" s="226">
        <f t="shared" si="45"/>
        <v>244.1</v>
      </c>
      <c r="AB155" s="226">
        <f t="shared" si="45"/>
        <v>29.8999999999996</v>
      </c>
      <c r="AC155" s="226"/>
      <c r="AD155" s="226"/>
    </row>
    <row r="156" spans="1:30">
      <c r="A156" s="223" t="s">
        <v>1280</v>
      </c>
      <c r="B156" s="226"/>
      <c r="C156" s="226">
        <f t="shared" ref="C156:AB156" si="46">C121-B121</f>
        <v>0</v>
      </c>
      <c r="D156" s="226">
        <f t="shared" si="46"/>
        <v>0</v>
      </c>
      <c r="E156" s="226">
        <f t="shared" si="46"/>
        <v>0</v>
      </c>
      <c r="F156" s="226">
        <f t="shared" si="46"/>
        <v>0</v>
      </c>
      <c r="G156" s="226">
        <f t="shared" si="46"/>
        <v>0</v>
      </c>
      <c r="H156" s="226">
        <f t="shared" si="46"/>
        <v>0</v>
      </c>
      <c r="I156" s="226">
        <f t="shared" si="46"/>
        <v>0</v>
      </c>
      <c r="J156" s="226">
        <f t="shared" si="46"/>
        <v>0</v>
      </c>
      <c r="K156" s="226">
        <f t="shared" si="46"/>
        <v>0</v>
      </c>
      <c r="L156" s="226">
        <f t="shared" si="46"/>
        <v>0</v>
      </c>
      <c r="M156" s="226">
        <f t="shared" si="46"/>
        <v>0</v>
      </c>
      <c r="N156" s="226">
        <f t="shared" si="46"/>
        <v>0</v>
      </c>
      <c r="O156" s="226">
        <f t="shared" si="46"/>
        <v>0</v>
      </c>
      <c r="P156" s="226">
        <f t="shared" si="46"/>
        <v>0</v>
      </c>
      <c r="Q156" s="226">
        <f t="shared" si="46"/>
        <v>0</v>
      </c>
      <c r="R156" s="226">
        <f t="shared" si="46"/>
        <v>0</v>
      </c>
      <c r="S156" s="226">
        <f t="shared" si="46"/>
        <v>0</v>
      </c>
      <c r="T156" s="226">
        <f t="shared" si="46"/>
        <v>0</v>
      </c>
      <c r="U156" s="226">
        <f t="shared" si="46"/>
        <v>0</v>
      </c>
      <c r="V156" s="226">
        <f t="shared" si="46"/>
        <v>0</v>
      </c>
      <c r="W156" s="226">
        <f t="shared" si="46"/>
        <v>65</v>
      </c>
      <c r="X156" s="226">
        <f t="shared" si="46"/>
        <v>25</v>
      </c>
      <c r="Y156" s="226">
        <f t="shared" si="46"/>
        <v>25</v>
      </c>
      <c r="Z156" s="226">
        <f t="shared" si="46"/>
        <v>0</v>
      </c>
      <c r="AA156" s="226">
        <f t="shared" si="46"/>
        <v>12</v>
      </c>
      <c r="AB156" s="226">
        <f t="shared" si="46"/>
        <v>0</v>
      </c>
      <c r="AC156" s="226"/>
      <c r="AD156" s="226"/>
    </row>
    <row r="157" spans="1:30">
      <c r="A157" s="223" t="s">
        <v>1281</v>
      </c>
      <c r="B157" s="226"/>
      <c r="C157" s="226">
        <f t="shared" ref="C157:AB157" si="47">C122-B122</f>
        <v>0</v>
      </c>
      <c r="D157" s="226">
        <f t="shared" si="47"/>
        <v>0</v>
      </c>
      <c r="E157" s="226">
        <f t="shared" si="47"/>
        <v>0</v>
      </c>
      <c r="F157" s="226">
        <f t="shared" si="47"/>
        <v>0</v>
      </c>
      <c r="G157" s="226">
        <f t="shared" si="47"/>
        <v>0</v>
      </c>
      <c r="H157" s="226">
        <f t="shared" si="47"/>
        <v>0</v>
      </c>
      <c r="I157" s="226">
        <f t="shared" si="47"/>
        <v>0</v>
      </c>
      <c r="J157" s="226">
        <f t="shared" si="47"/>
        <v>0</v>
      </c>
      <c r="K157" s="226">
        <f t="shared" si="47"/>
        <v>0</v>
      </c>
      <c r="L157" s="226">
        <f t="shared" si="47"/>
        <v>0</v>
      </c>
      <c r="M157" s="226">
        <f t="shared" si="47"/>
        <v>0</v>
      </c>
      <c r="N157" s="226">
        <f t="shared" si="47"/>
        <v>0</v>
      </c>
      <c r="O157" s="226">
        <f t="shared" si="47"/>
        <v>0</v>
      </c>
      <c r="P157" s="226">
        <f t="shared" si="47"/>
        <v>0</v>
      </c>
      <c r="Q157" s="226">
        <f t="shared" si="47"/>
        <v>0</v>
      </c>
      <c r="R157" s="226">
        <f t="shared" si="47"/>
        <v>2130.4</v>
      </c>
      <c r="S157" s="226">
        <f t="shared" si="47"/>
        <v>1511.6</v>
      </c>
      <c r="T157" s="226">
        <f t="shared" si="47"/>
        <v>111.6</v>
      </c>
      <c r="U157" s="226">
        <f t="shared" si="47"/>
        <v>111.6</v>
      </c>
      <c r="V157" s="226">
        <f t="shared" si="47"/>
        <v>0</v>
      </c>
      <c r="W157" s="226">
        <f t="shared" si="47"/>
        <v>0</v>
      </c>
      <c r="X157" s="226">
        <f t="shared" si="47"/>
        <v>0</v>
      </c>
      <c r="Y157" s="226">
        <f t="shared" si="47"/>
        <v>0</v>
      </c>
      <c r="Z157" s="226">
        <f t="shared" si="47"/>
        <v>31.8000000000002</v>
      </c>
      <c r="AA157" s="226">
        <f t="shared" si="47"/>
        <v>0</v>
      </c>
      <c r="AB157" s="226">
        <f t="shared" si="47"/>
        <v>3</v>
      </c>
      <c r="AC157" s="226"/>
      <c r="AD157" s="226"/>
    </row>
    <row r="158" spans="1:30">
      <c r="A158" s="223" t="s">
        <v>1282</v>
      </c>
      <c r="B158" s="226"/>
      <c r="C158" s="226">
        <f t="shared" ref="C158:AB158" si="48">C123-B123</f>
        <v>0</v>
      </c>
      <c r="D158" s="226">
        <f t="shared" si="48"/>
        <v>0</v>
      </c>
      <c r="E158" s="226">
        <f t="shared" si="48"/>
        <v>0</v>
      </c>
      <c r="F158" s="226">
        <f t="shared" si="48"/>
        <v>0</v>
      </c>
      <c r="G158" s="226">
        <f t="shared" si="48"/>
        <v>0</v>
      </c>
      <c r="H158" s="226">
        <f t="shared" si="48"/>
        <v>0</v>
      </c>
      <c r="I158" s="226">
        <f t="shared" si="48"/>
        <v>0</v>
      </c>
      <c r="J158" s="226">
        <f t="shared" si="48"/>
        <v>0</v>
      </c>
      <c r="K158" s="226">
        <f t="shared" si="48"/>
        <v>0</v>
      </c>
      <c r="L158" s="226">
        <f t="shared" si="48"/>
        <v>0</v>
      </c>
      <c r="M158" s="226">
        <f t="shared" si="48"/>
        <v>0</v>
      </c>
      <c r="N158" s="226">
        <f t="shared" si="48"/>
        <v>0</v>
      </c>
      <c r="O158" s="226">
        <f t="shared" si="48"/>
        <v>0</v>
      </c>
      <c r="P158" s="226">
        <f t="shared" si="48"/>
        <v>0</v>
      </c>
      <c r="Q158" s="226">
        <f t="shared" si="48"/>
        <v>0</v>
      </c>
      <c r="R158" s="226">
        <f t="shared" si="48"/>
        <v>0</v>
      </c>
      <c r="S158" s="226">
        <f t="shared" si="48"/>
        <v>0</v>
      </c>
      <c r="T158" s="226">
        <f t="shared" si="48"/>
        <v>0</v>
      </c>
      <c r="U158" s="226">
        <f t="shared" si="48"/>
        <v>0</v>
      </c>
      <c r="V158" s="226">
        <f t="shared" si="48"/>
        <v>0</v>
      </c>
      <c r="W158" s="226">
        <f t="shared" si="48"/>
        <v>49</v>
      </c>
      <c r="X158" s="226">
        <f t="shared" si="48"/>
        <v>25</v>
      </c>
      <c r="Y158" s="226">
        <f t="shared" si="48"/>
        <v>25</v>
      </c>
      <c r="Z158" s="226">
        <f t="shared" si="48"/>
        <v>0</v>
      </c>
      <c r="AA158" s="226">
        <f t="shared" si="48"/>
        <v>0</v>
      </c>
      <c r="AB158" s="226">
        <f t="shared" si="48"/>
        <v>0</v>
      </c>
      <c r="AC158" s="226"/>
      <c r="AD158" s="226"/>
    </row>
    <row r="159" spans="1:30">
      <c r="A159" s="223" t="s">
        <v>1283</v>
      </c>
      <c r="B159" s="226"/>
      <c r="C159" s="226">
        <f t="shared" ref="C159:AB159" si="49">C124-B124</f>
        <v>0</v>
      </c>
      <c r="D159" s="226">
        <f t="shared" si="49"/>
        <v>0</v>
      </c>
      <c r="E159" s="226">
        <f t="shared" si="49"/>
        <v>0</v>
      </c>
      <c r="F159" s="226">
        <f t="shared" si="49"/>
        <v>0</v>
      </c>
      <c r="G159" s="226">
        <f t="shared" si="49"/>
        <v>0</v>
      </c>
      <c r="H159" s="226">
        <f t="shared" si="49"/>
        <v>0</v>
      </c>
      <c r="I159" s="226">
        <f t="shared" si="49"/>
        <v>0</v>
      </c>
      <c r="J159" s="226">
        <f t="shared" si="49"/>
        <v>0</v>
      </c>
      <c r="K159" s="226">
        <f t="shared" si="49"/>
        <v>0</v>
      </c>
      <c r="L159" s="226">
        <f t="shared" si="49"/>
        <v>0</v>
      </c>
      <c r="M159" s="226">
        <f t="shared" si="49"/>
        <v>0</v>
      </c>
      <c r="N159" s="226">
        <f t="shared" si="49"/>
        <v>0</v>
      </c>
      <c r="O159" s="226">
        <f t="shared" si="49"/>
        <v>0</v>
      </c>
      <c r="P159" s="226">
        <f t="shared" si="49"/>
        <v>0</v>
      </c>
      <c r="Q159" s="226">
        <f t="shared" si="49"/>
        <v>0</v>
      </c>
      <c r="R159" s="226">
        <f t="shared" si="49"/>
        <v>0</v>
      </c>
      <c r="S159" s="226">
        <f t="shared" si="49"/>
        <v>0</v>
      </c>
      <c r="T159" s="226">
        <f t="shared" si="49"/>
        <v>0</v>
      </c>
      <c r="U159" s="226">
        <f t="shared" si="49"/>
        <v>0</v>
      </c>
      <c r="V159" s="226">
        <f t="shared" si="49"/>
        <v>0</v>
      </c>
      <c r="W159" s="226">
        <f t="shared" si="49"/>
        <v>0</v>
      </c>
      <c r="X159" s="226">
        <f t="shared" si="49"/>
        <v>0</v>
      </c>
      <c r="Y159" s="226">
        <f t="shared" si="49"/>
        <v>0.399999999999999</v>
      </c>
      <c r="Z159" s="226">
        <f t="shared" si="49"/>
        <v>0</v>
      </c>
      <c r="AA159" s="226">
        <f t="shared" si="49"/>
        <v>6</v>
      </c>
      <c r="AB159" s="226">
        <f t="shared" si="49"/>
        <v>6.6</v>
      </c>
      <c r="AC159" s="226"/>
      <c r="AD159" s="226"/>
    </row>
    <row r="160" spans="1:30">
      <c r="A160" s="223" t="s">
        <v>1284</v>
      </c>
      <c r="B160" s="226"/>
      <c r="C160" s="226">
        <f t="shared" ref="C160:AB160" si="50">C125-B125</f>
        <v>5.80000000000001</v>
      </c>
      <c r="D160" s="226">
        <f t="shared" si="50"/>
        <v>5.80000000000001</v>
      </c>
      <c r="E160" s="226">
        <f t="shared" si="50"/>
        <v>5.80000000000001</v>
      </c>
      <c r="F160" s="226">
        <f t="shared" si="50"/>
        <v>5.80000000000001</v>
      </c>
      <c r="G160" s="226">
        <f t="shared" si="50"/>
        <v>5.80000000000001</v>
      </c>
      <c r="H160" s="226">
        <f t="shared" si="50"/>
        <v>5.80000000000001</v>
      </c>
      <c r="I160" s="226">
        <f t="shared" si="50"/>
        <v>5.80000000000001</v>
      </c>
      <c r="J160" s="226">
        <f t="shared" si="50"/>
        <v>29.8</v>
      </c>
      <c r="K160" s="226">
        <f t="shared" si="50"/>
        <v>147</v>
      </c>
      <c r="L160" s="226">
        <f t="shared" si="50"/>
        <v>0</v>
      </c>
      <c r="M160" s="226">
        <f t="shared" si="50"/>
        <v>0</v>
      </c>
      <c r="N160" s="226">
        <f t="shared" si="50"/>
        <v>0</v>
      </c>
      <c r="O160" s="226">
        <f t="shared" si="50"/>
        <v>0</v>
      </c>
      <c r="P160" s="226">
        <f t="shared" si="50"/>
        <v>1170</v>
      </c>
      <c r="Q160" s="226">
        <f t="shared" si="50"/>
        <v>78</v>
      </c>
      <c r="R160" s="226">
        <f t="shared" si="50"/>
        <v>78</v>
      </c>
      <c r="S160" s="226">
        <f t="shared" si="50"/>
        <v>78</v>
      </c>
      <c r="T160" s="226">
        <f t="shared" si="50"/>
        <v>78</v>
      </c>
      <c r="U160" s="226">
        <f t="shared" si="50"/>
        <v>78</v>
      </c>
      <c r="V160" s="226">
        <f t="shared" si="50"/>
        <v>12.5</v>
      </c>
      <c r="W160" s="226">
        <f t="shared" si="50"/>
        <v>12.5</v>
      </c>
      <c r="X160" s="226">
        <f t="shared" si="50"/>
        <v>12.5</v>
      </c>
      <c r="Y160" s="226">
        <f t="shared" si="50"/>
        <v>12.5</v>
      </c>
      <c r="Z160" s="226">
        <f t="shared" si="50"/>
        <v>36</v>
      </c>
      <c r="AA160" s="226">
        <f t="shared" si="50"/>
        <v>350</v>
      </c>
      <c r="AB160" s="226">
        <f t="shared" si="50"/>
        <v>350</v>
      </c>
      <c r="AC160" s="226"/>
      <c r="AD160" s="226"/>
    </row>
    <row r="161" spans="1:30">
      <c r="A161" s="223" t="s">
        <v>1285</v>
      </c>
      <c r="B161" s="226"/>
      <c r="C161" s="226">
        <f t="shared" ref="C161:AB161" si="51">C126-B126</f>
        <v>0</v>
      </c>
      <c r="D161" s="226">
        <f t="shared" si="51"/>
        <v>0</v>
      </c>
      <c r="E161" s="226">
        <f t="shared" si="51"/>
        <v>0</v>
      </c>
      <c r="F161" s="226">
        <f t="shared" si="51"/>
        <v>0</v>
      </c>
      <c r="G161" s="226">
        <f t="shared" si="51"/>
        <v>0</v>
      </c>
      <c r="H161" s="226">
        <f t="shared" si="51"/>
        <v>0</v>
      </c>
      <c r="I161" s="226">
        <f t="shared" si="51"/>
        <v>0</v>
      </c>
      <c r="J161" s="226">
        <f t="shared" si="51"/>
        <v>0</v>
      </c>
      <c r="K161" s="226">
        <f t="shared" si="51"/>
        <v>0</v>
      </c>
      <c r="L161" s="226">
        <f t="shared" si="51"/>
        <v>0</v>
      </c>
      <c r="M161" s="226">
        <f t="shared" si="51"/>
        <v>0</v>
      </c>
      <c r="N161" s="226">
        <f t="shared" si="51"/>
        <v>0</v>
      </c>
      <c r="O161" s="226">
        <f t="shared" si="51"/>
        <v>28.1000000000001</v>
      </c>
      <c r="P161" s="226">
        <f t="shared" si="51"/>
        <v>0</v>
      </c>
      <c r="Q161" s="226">
        <f t="shared" si="51"/>
        <v>0</v>
      </c>
      <c r="R161" s="226">
        <f t="shared" si="51"/>
        <v>0</v>
      </c>
      <c r="S161" s="226">
        <f t="shared" si="51"/>
        <v>185</v>
      </c>
      <c r="T161" s="226">
        <f t="shared" si="51"/>
        <v>0</v>
      </c>
      <c r="U161" s="226">
        <f t="shared" si="51"/>
        <v>0</v>
      </c>
      <c r="V161" s="226">
        <f t="shared" si="51"/>
        <v>50.9</v>
      </c>
      <c r="W161" s="226">
        <f t="shared" si="51"/>
        <v>50.9</v>
      </c>
      <c r="X161" s="226">
        <f t="shared" si="51"/>
        <v>420.9</v>
      </c>
      <c r="Y161" s="226">
        <f t="shared" si="51"/>
        <v>50.9</v>
      </c>
      <c r="Z161" s="226">
        <f t="shared" si="51"/>
        <v>190.3</v>
      </c>
      <c r="AA161" s="226">
        <f t="shared" si="51"/>
        <v>0</v>
      </c>
      <c r="AB161" s="226">
        <f t="shared" si="51"/>
        <v>0</v>
      </c>
      <c r="AC161" s="226"/>
      <c r="AD161" s="226"/>
    </row>
    <row r="162" spans="1:30">
      <c r="A162" s="223" t="s">
        <v>1286</v>
      </c>
      <c r="B162" s="226"/>
      <c r="C162" s="226">
        <f t="shared" ref="C162:AB162" si="52">C127-B127</f>
        <v>0</v>
      </c>
      <c r="D162" s="226">
        <f t="shared" si="52"/>
        <v>0</v>
      </c>
      <c r="E162" s="226">
        <f t="shared" si="52"/>
        <v>0</v>
      </c>
      <c r="F162" s="226">
        <f t="shared" si="52"/>
        <v>0</v>
      </c>
      <c r="G162" s="226">
        <f t="shared" si="52"/>
        <v>0</v>
      </c>
      <c r="H162" s="226">
        <f t="shared" si="52"/>
        <v>0</v>
      </c>
      <c r="I162" s="226">
        <f t="shared" si="52"/>
        <v>0</v>
      </c>
      <c r="J162" s="226">
        <f t="shared" si="52"/>
        <v>0</v>
      </c>
      <c r="K162" s="226">
        <f t="shared" si="52"/>
        <v>0</v>
      </c>
      <c r="L162" s="226">
        <f t="shared" si="52"/>
        <v>0</v>
      </c>
      <c r="M162" s="226">
        <f t="shared" si="52"/>
        <v>0</v>
      </c>
      <c r="N162" s="226">
        <f t="shared" si="52"/>
        <v>0</v>
      </c>
      <c r="O162" s="226">
        <f t="shared" si="52"/>
        <v>0</v>
      </c>
      <c r="P162" s="226">
        <f t="shared" si="52"/>
        <v>26.5</v>
      </c>
      <c r="Q162" s="226">
        <f t="shared" si="52"/>
        <v>0</v>
      </c>
      <c r="R162" s="226">
        <f t="shared" si="52"/>
        <v>0</v>
      </c>
      <c r="S162" s="226">
        <f t="shared" si="52"/>
        <v>0</v>
      </c>
      <c r="T162" s="226">
        <f t="shared" si="52"/>
        <v>0</v>
      </c>
      <c r="U162" s="226">
        <f t="shared" si="52"/>
        <v>0</v>
      </c>
      <c r="V162" s="226">
        <f t="shared" si="52"/>
        <v>2.5</v>
      </c>
      <c r="W162" s="226">
        <f t="shared" si="52"/>
        <v>2.5</v>
      </c>
      <c r="X162" s="226">
        <f t="shared" si="52"/>
        <v>2.5</v>
      </c>
      <c r="Y162" s="226">
        <f t="shared" si="52"/>
        <v>2.5</v>
      </c>
      <c r="Z162" s="226">
        <f t="shared" si="52"/>
        <v>0</v>
      </c>
      <c r="AA162" s="226">
        <f t="shared" si="52"/>
        <v>10</v>
      </c>
      <c r="AB162" s="226">
        <f t="shared" si="52"/>
        <v>6.5</v>
      </c>
      <c r="AC162" s="226"/>
      <c r="AD162" s="226"/>
    </row>
    <row r="163" spans="1:30">
      <c r="A163" s="223" t="s">
        <v>1287</v>
      </c>
      <c r="B163" s="226"/>
      <c r="C163" s="226">
        <f t="shared" ref="C163:AB163" si="53">C128-B128</f>
        <v>266.9</v>
      </c>
      <c r="D163" s="226">
        <f t="shared" si="53"/>
        <v>266.9</v>
      </c>
      <c r="E163" s="226">
        <f t="shared" si="53"/>
        <v>266.9</v>
      </c>
      <c r="F163" s="226">
        <f t="shared" si="53"/>
        <v>391.9</v>
      </c>
      <c r="G163" s="226">
        <f t="shared" si="53"/>
        <v>391.9</v>
      </c>
      <c r="H163" s="226">
        <f t="shared" si="53"/>
        <v>266.9</v>
      </c>
      <c r="I163" s="226">
        <f t="shared" si="53"/>
        <v>266.9</v>
      </c>
      <c r="J163" s="226">
        <f t="shared" si="53"/>
        <v>266.9</v>
      </c>
      <c r="K163" s="226">
        <f t="shared" si="53"/>
        <v>236</v>
      </c>
      <c r="L163" s="226">
        <f t="shared" si="53"/>
        <v>403</v>
      </c>
      <c r="M163" s="226">
        <f t="shared" si="53"/>
        <v>0</v>
      </c>
      <c r="N163" s="226">
        <f t="shared" si="53"/>
        <v>1124</v>
      </c>
      <c r="O163" s="226">
        <f t="shared" si="53"/>
        <v>2145</v>
      </c>
      <c r="P163" s="226">
        <f t="shared" si="53"/>
        <v>2213</v>
      </c>
      <c r="Q163" s="226">
        <f t="shared" si="53"/>
        <v>97.6000000000004</v>
      </c>
      <c r="R163" s="226">
        <f t="shared" si="53"/>
        <v>1033.6</v>
      </c>
      <c r="S163" s="226">
        <f t="shared" si="53"/>
        <v>757.6</v>
      </c>
      <c r="T163" s="226">
        <f t="shared" si="53"/>
        <v>97.6000000000004</v>
      </c>
      <c r="U163" s="226">
        <f t="shared" si="53"/>
        <v>97.6000000000004</v>
      </c>
      <c r="V163" s="226">
        <f t="shared" si="53"/>
        <v>1033.4</v>
      </c>
      <c r="W163" s="226">
        <f t="shared" si="53"/>
        <v>1813.4</v>
      </c>
      <c r="X163" s="226">
        <f t="shared" si="53"/>
        <v>1033.4</v>
      </c>
      <c r="Y163" s="226">
        <f t="shared" si="53"/>
        <v>1033.4</v>
      </c>
      <c r="Z163" s="226">
        <f t="shared" si="53"/>
        <v>0</v>
      </c>
      <c r="AA163" s="226">
        <f t="shared" si="53"/>
        <v>4492.5</v>
      </c>
      <c r="AB163" s="226">
        <f t="shared" si="53"/>
        <v>1729.5</v>
      </c>
      <c r="AC163" s="226"/>
      <c r="AD163" s="226"/>
    </row>
    <row r="164" spans="1:30">
      <c r="A164" s="223" t="s">
        <v>1288</v>
      </c>
      <c r="B164" s="226"/>
      <c r="C164" s="226">
        <f t="shared" ref="C164:AB164" si="54">C129-B129</f>
        <v>0</v>
      </c>
      <c r="D164" s="226">
        <f t="shared" si="54"/>
        <v>0</v>
      </c>
      <c r="E164" s="226">
        <f t="shared" si="54"/>
        <v>0</v>
      </c>
      <c r="F164" s="226">
        <f t="shared" si="54"/>
        <v>0</v>
      </c>
      <c r="G164" s="226">
        <f t="shared" si="54"/>
        <v>0</v>
      </c>
      <c r="H164" s="226">
        <f t="shared" si="54"/>
        <v>0</v>
      </c>
      <c r="I164" s="226">
        <f t="shared" si="54"/>
        <v>0</v>
      </c>
      <c r="J164" s="226">
        <f t="shared" si="54"/>
        <v>0</v>
      </c>
      <c r="K164" s="226">
        <f t="shared" si="54"/>
        <v>0</v>
      </c>
      <c r="L164" s="226">
        <f t="shared" si="54"/>
        <v>0</v>
      </c>
      <c r="M164" s="226">
        <f t="shared" si="54"/>
        <v>0</v>
      </c>
      <c r="N164" s="226">
        <f t="shared" si="54"/>
        <v>0</v>
      </c>
      <c r="O164" s="226">
        <f t="shared" si="54"/>
        <v>0</v>
      </c>
      <c r="P164" s="226">
        <f t="shared" si="54"/>
        <v>0</v>
      </c>
      <c r="Q164" s="226">
        <f t="shared" si="54"/>
        <v>0</v>
      </c>
      <c r="R164" s="226">
        <f t="shared" si="54"/>
        <v>0</v>
      </c>
      <c r="S164" s="226">
        <f t="shared" si="54"/>
        <v>0</v>
      </c>
      <c r="T164" s="226">
        <f t="shared" si="54"/>
        <v>0</v>
      </c>
      <c r="U164" s="226">
        <f t="shared" si="54"/>
        <v>0</v>
      </c>
      <c r="V164" s="226">
        <f t="shared" si="54"/>
        <v>0</v>
      </c>
      <c r="W164" s="226">
        <f t="shared" si="54"/>
        <v>62</v>
      </c>
      <c r="X164" s="226">
        <f t="shared" si="54"/>
        <v>30</v>
      </c>
      <c r="Y164" s="226">
        <f t="shared" si="54"/>
        <v>30</v>
      </c>
      <c r="Z164" s="226">
        <f t="shared" si="54"/>
        <v>210</v>
      </c>
      <c r="AA164" s="226">
        <f t="shared" si="54"/>
        <v>0</v>
      </c>
      <c r="AB164" s="226">
        <f t="shared" si="54"/>
        <v>0</v>
      </c>
      <c r="AC164" s="226"/>
      <c r="AD164" s="226"/>
    </row>
    <row r="165" spans="1:30">
      <c r="A165" s="223" t="s">
        <v>1289</v>
      </c>
      <c r="B165" s="226"/>
      <c r="C165" s="226">
        <f t="shared" ref="C165:AB165" si="55">C130-B130</f>
        <v>0</v>
      </c>
      <c r="D165" s="226">
        <f t="shared" si="55"/>
        <v>0</v>
      </c>
      <c r="E165" s="226">
        <f t="shared" si="55"/>
        <v>0</v>
      </c>
      <c r="F165" s="226">
        <f t="shared" si="55"/>
        <v>0</v>
      </c>
      <c r="G165" s="226">
        <f t="shared" si="55"/>
        <v>0</v>
      </c>
      <c r="H165" s="226">
        <f t="shared" si="55"/>
        <v>0</v>
      </c>
      <c r="I165" s="226">
        <f t="shared" si="55"/>
        <v>0</v>
      </c>
      <c r="J165" s="226">
        <f t="shared" si="55"/>
        <v>0</v>
      </c>
      <c r="K165" s="226">
        <f t="shared" si="55"/>
        <v>0</v>
      </c>
      <c r="L165" s="226">
        <f t="shared" si="55"/>
        <v>0</v>
      </c>
      <c r="M165" s="226">
        <f t="shared" si="55"/>
        <v>0</v>
      </c>
      <c r="N165" s="226">
        <f t="shared" si="55"/>
        <v>0</v>
      </c>
      <c r="O165" s="226">
        <f t="shared" si="55"/>
        <v>74.6</v>
      </c>
      <c r="P165" s="226">
        <f t="shared" si="55"/>
        <v>0</v>
      </c>
      <c r="Q165" s="226">
        <f t="shared" si="55"/>
        <v>0</v>
      </c>
      <c r="R165" s="226">
        <f t="shared" si="55"/>
        <v>0</v>
      </c>
      <c r="S165" s="226">
        <f t="shared" si="55"/>
        <v>0</v>
      </c>
      <c r="T165" s="226">
        <f t="shared" si="55"/>
        <v>0</v>
      </c>
      <c r="U165" s="226">
        <f t="shared" si="55"/>
        <v>0</v>
      </c>
      <c r="V165" s="226">
        <f t="shared" si="55"/>
        <v>47.6</v>
      </c>
      <c r="W165" s="226">
        <f t="shared" si="55"/>
        <v>47.6</v>
      </c>
      <c r="X165" s="226">
        <f t="shared" si="55"/>
        <v>47.6</v>
      </c>
      <c r="Y165" s="226">
        <f t="shared" si="55"/>
        <v>47.6</v>
      </c>
      <c r="Z165" s="226">
        <f t="shared" si="55"/>
        <v>0</v>
      </c>
      <c r="AA165" s="226">
        <f t="shared" si="55"/>
        <v>0</v>
      </c>
      <c r="AB165" s="226">
        <f t="shared" si="55"/>
        <v>460</v>
      </c>
      <c r="AC165" s="226"/>
      <c r="AD165" s="226"/>
    </row>
    <row r="166" spans="1:30">
      <c r="A166" s="223" t="s">
        <v>1290</v>
      </c>
      <c r="B166" s="226"/>
      <c r="C166" s="226">
        <f t="shared" ref="C166:AB166" si="56">C131-B131</f>
        <v>0</v>
      </c>
      <c r="D166" s="226">
        <f t="shared" si="56"/>
        <v>0</v>
      </c>
      <c r="E166" s="226">
        <f t="shared" si="56"/>
        <v>0</v>
      </c>
      <c r="F166" s="226">
        <f t="shared" si="56"/>
        <v>0</v>
      </c>
      <c r="G166" s="226">
        <f t="shared" si="56"/>
        <v>0</v>
      </c>
      <c r="H166" s="226">
        <f t="shared" si="56"/>
        <v>0</v>
      </c>
      <c r="I166" s="226">
        <f t="shared" si="56"/>
        <v>0</v>
      </c>
      <c r="J166" s="226">
        <f t="shared" si="56"/>
        <v>0</v>
      </c>
      <c r="K166" s="226">
        <f t="shared" si="56"/>
        <v>0</v>
      </c>
      <c r="L166" s="226">
        <f t="shared" si="56"/>
        <v>0</v>
      </c>
      <c r="M166" s="226">
        <f t="shared" si="56"/>
        <v>0</v>
      </c>
      <c r="N166" s="226">
        <f t="shared" si="56"/>
        <v>0</v>
      </c>
      <c r="O166" s="226">
        <f t="shared" si="56"/>
        <v>0</v>
      </c>
      <c r="P166" s="226">
        <f t="shared" si="56"/>
        <v>0</v>
      </c>
      <c r="Q166" s="226">
        <f t="shared" si="56"/>
        <v>0</v>
      </c>
      <c r="R166" s="226">
        <f t="shared" si="56"/>
        <v>0</v>
      </c>
      <c r="S166" s="226">
        <f t="shared" si="56"/>
        <v>0</v>
      </c>
      <c r="T166" s="226">
        <f t="shared" si="56"/>
        <v>0</v>
      </c>
      <c r="U166" s="226">
        <f t="shared" si="56"/>
        <v>0</v>
      </c>
      <c r="V166" s="226">
        <f t="shared" si="56"/>
        <v>0</v>
      </c>
      <c r="W166" s="226">
        <f t="shared" si="56"/>
        <v>850.5</v>
      </c>
      <c r="X166" s="226">
        <f t="shared" si="56"/>
        <v>405</v>
      </c>
      <c r="Y166" s="226">
        <f t="shared" si="56"/>
        <v>405</v>
      </c>
      <c r="Z166" s="226">
        <f t="shared" si="56"/>
        <v>0</v>
      </c>
      <c r="AA166" s="226">
        <f t="shared" si="56"/>
        <v>13.5</v>
      </c>
      <c r="AB166" s="226">
        <f t="shared" si="56"/>
        <v>0</v>
      </c>
      <c r="AC166" s="226"/>
      <c r="AD166" s="226"/>
    </row>
    <row r="167" spans="1:30">
      <c r="A167" s="223" t="s">
        <v>1291</v>
      </c>
      <c r="B167" s="226"/>
      <c r="C167" s="226">
        <f t="shared" ref="C167:AB167" si="57">C132-B132</f>
        <v>0</v>
      </c>
      <c r="D167" s="226">
        <f t="shared" si="57"/>
        <v>0</v>
      </c>
      <c r="E167" s="226">
        <f t="shared" si="57"/>
        <v>0</v>
      </c>
      <c r="F167" s="226">
        <f t="shared" si="57"/>
        <v>0</v>
      </c>
      <c r="G167" s="226">
        <f t="shared" si="57"/>
        <v>0</v>
      </c>
      <c r="H167" s="226">
        <f t="shared" si="57"/>
        <v>0</v>
      </c>
      <c r="I167" s="226">
        <f t="shared" si="57"/>
        <v>0</v>
      </c>
      <c r="J167" s="226">
        <f t="shared" si="57"/>
        <v>0</v>
      </c>
      <c r="K167" s="226">
        <f t="shared" si="57"/>
        <v>4.79999999999984</v>
      </c>
      <c r="L167" s="226">
        <f t="shared" si="57"/>
        <v>0</v>
      </c>
      <c r="M167" s="226">
        <f t="shared" si="57"/>
        <v>0</v>
      </c>
      <c r="N167" s="226">
        <f t="shared" si="57"/>
        <v>0</v>
      </c>
      <c r="O167" s="226">
        <f t="shared" si="57"/>
        <v>202</v>
      </c>
      <c r="P167" s="226">
        <f t="shared" si="57"/>
        <v>0</v>
      </c>
      <c r="Q167" s="226">
        <f t="shared" si="57"/>
        <v>0</v>
      </c>
      <c r="R167" s="226">
        <f t="shared" si="57"/>
        <v>13</v>
      </c>
      <c r="S167" s="226">
        <f t="shared" si="57"/>
        <v>0</v>
      </c>
      <c r="T167" s="226">
        <f t="shared" si="57"/>
        <v>0</v>
      </c>
      <c r="U167" s="226">
        <f t="shared" si="57"/>
        <v>0</v>
      </c>
      <c r="V167" s="226">
        <f t="shared" si="57"/>
        <v>247.2</v>
      </c>
      <c r="W167" s="226">
        <f t="shared" si="57"/>
        <v>247.2</v>
      </c>
      <c r="X167" s="226">
        <f t="shared" si="57"/>
        <v>247.2</v>
      </c>
      <c r="Y167" s="226">
        <f t="shared" si="57"/>
        <v>247.2</v>
      </c>
      <c r="Z167" s="226">
        <f t="shared" si="57"/>
        <v>1.5</v>
      </c>
      <c r="AA167" s="226">
        <f t="shared" si="57"/>
        <v>14.9000000000001</v>
      </c>
      <c r="AB167" s="226">
        <f t="shared" si="57"/>
        <v>0</v>
      </c>
      <c r="AC167" s="226"/>
      <c r="AD167" s="226"/>
    </row>
    <row r="168" spans="1:30">
      <c r="A168" s="223" t="s">
        <v>1292</v>
      </c>
      <c r="B168" s="226"/>
      <c r="C168" s="226">
        <f t="shared" ref="C168:AB168" si="58">C133-B133</f>
        <v>0</v>
      </c>
      <c r="D168" s="226">
        <f t="shared" si="58"/>
        <v>0</v>
      </c>
      <c r="E168" s="226">
        <f t="shared" si="58"/>
        <v>0</v>
      </c>
      <c r="F168" s="226">
        <f t="shared" si="58"/>
        <v>0</v>
      </c>
      <c r="G168" s="226">
        <f t="shared" si="58"/>
        <v>0</v>
      </c>
      <c r="H168" s="226">
        <f t="shared" si="58"/>
        <v>0</v>
      </c>
      <c r="I168" s="226">
        <f t="shared" si="58"/>
        <v>0</v>
      </c>
      <c r="J168" s="226">
        <f t="shared" si="58"/>
        <v>0</v>
      </c>
      <c r="K168" s="226">
        <f t="shared" si="58"/>
        <v>0</v>
      </c>
      <c r="L168" s="226">
        <f t="shared" si="58"/>
        <v>0</v>
      </c>
      <c r="M168" s="226">
        <f t="shared" si="58"/>
        <v>0</v>
      </c>
      <c r="N168" s="226">
        <f t="shared" si="58"/>
        <v>0</v>
      </c>
      <c r="O168" s="226">
        <f t="shared" si="58"/>
        <v>0</v>
      </c>
      <c r="P168" s="226">
        <f t="shared" si="58"/>
        <v>0</v>
      </c>
      <c r="Q168" s="226">
        <f t="shared" si="58"/>
        <v>0</v>
      </c>
      <c r="R168" s="226">
        <f t="shared" si="58"/>
        <v>0</v>
      </c>
      <c r="S168" s="226">
        <f t="shared" si="58"/>
        <v>0</v>
      </c>
      <c r="T168" s="226">
        <f t="shared" si="58"/>
        <v>0</v>
      </c>
      <c r="U168" s="226">
        <f t="shared" si="58"/>
        <v>0</v>
      </c>
      <c r="V168" s="226">
        <f t="shared" si="58"/>
        <v>0</v>
      </c>
      <c r="W168" s="226">
        <f t="shared" si="58"/>
        <v>0</v>
      </c>
      <c r="X168" s="226">
        <f t="shared" si="58"/>
        <v>0</v>
      </c>
      <c r="Y168" s="226">
        <f t="shared" si="58"/>
        <v>0</v>
      </c>
      <c r="Z168" s="226">
        <f t="shared" si="58"/>
        <v>0</v>
      </c>
      <c r="AA168" s="226">
        <f t="shared" si="58"/>
        <v>0</v>
      </c>
      <c r="AB168" s="226">
        <f t="shared" si="58"/>
        <v>0</v>
      </c>
      <c r="AC168" s="226"/>
      <c r="AD168" s="226"/>
    </row>
    <row r="169" spans="1:30">
      <c r="A169" s="223" t="s">
        <v>1293</v>
      </c>
      <c r="B169" s="226"/>
      <c r="C169" s="226">
        <f t="shared" ref="C169:AB169" si="59">C134-B134</f>
        <v>0</v>
      </c>
      <c r="D169" s="226">
        <f t="shared" si="59"/>
        <v>0</v>
      </c>
      <c r="E169" s="226">
        <f t="shared" si="59"/>
        <v>0</v>
      </c>
      <c r="F169" s="226">
        <f t="shared" si="59"/>
        <v>0</v>
      </c>
      <c r="G169" s="226">
        <f t="shared" si="59"/>
        <v>0</v>
      </c>
      <c r="H169" s="226">
        <f t="shared" si="59"/>
        <v>0</v>
      </c>
      <c r="I169" s="226">
        <f t="shared" si="59"/>
        <v>0</v>
      </c>
      <c r="J169" s="226">
        <f t="shared" si="59"/>
        <v>0</v>
      </c>
      <c r="K169" s="226">
        <f t="shared" si="59"/>
        <v>0</v>
      </c>
      <c r="L169" s="226">
        <f t="shared" si="59"/>
        <v>0</v>
      </c>
      <c r="M169" s="226">
        <f t="shared" si="59"/>
        <v>0</v>
      </c>
      <c r="N169" s="226">
        <f t="shared" si="59"/>
        <v>0</v>
      </c>
      <c r="O169" s="226">
        <f t="shared" si="59"/>
        <v>0</v>
      </c>
      <c r="P169" s="226">
        <f t="shared" si="59"/>
        <v>0</v>
      </c>
      <c r="Q169" s="226">
        <f t="shared" si="59"/>
        <v>0</v>
      </c>
      <c r="R169" s="226">
        <f t="shared" si="59"/>
        <v>0</v>
      </c>
      <c r="S169" s="226">
        <f t="shared" si="59"/>
        <v>0</v>
      </c>
      <c r="T169" s="226">
        <f t="shared" si="59"/>
        <v>0</v>
      </c>
      <c r="U169" s="226">
        <f t="shared" si="59"/>
        <v>0</v>
      </c>
      <c r="V169" s="226">
        <f t="shared" si="59"/>
        <v>5</v>
      </c>
      <c r="W169" s="226">
        <f t="shared" si="59"/>
        <v>5</v>
      </c>
      <c r="X169" s="226">
        <f t="shared" si="59"/>
        <v>5</v>
      </c>
      <c r="Y169" s="226">
        <f t="shared" si="59"/>
        <v>5</v>
      </c>
      <c r="Z169" s="226">
        <f t="shared" si="59"/>
        <v>0</v>
      </c>
      <c r="AA169" s="226">
        <f t="shared" si="59"/>
        <v>0</v>
      </c>
      <c r="AB169" s="226">
        <f t="shared" si="59"/>
        <v>0</v>
      </c>
      <c r="AC169" s="226"/>
      <c r="AD169" s="226"/>
    </row>
    <row r="170" spans="1:30">
      <c r="A170" s="223" t="s">
        <v>1294</v>
      </c>
      <c r="B170" s="226"/>
      <c r="C170" s="226">
        <f t="shared" ref="C170:AB170" si="60">C135-B135</f>
        <v>0</v>
      </c>
      <c r="D170" s="226">
        <f t="shared" si="60"/>
        <v>0</v>
      </c>
      <c r="E170" s="226">
        <f t="shared" si="60"/>
        <v>0</v>
      </c>
      <c r="F170" s="226">
        <f t="shared" si="60"/>
        <v>0</v>
      </c>
      <c r="G170" s="226">
        <f t="shared" si="60"/>
        <v>0</v>
      </c>
      <c r="H170" s="226">
        <f t="shared" si="60"/>
        <v>0</v>
      </c>
      <c r="I170" s="226">
        <f t="shared" si="60"/>
        <v>0</v>
      </c>
      <c r="J170" s="226">
        <f t="shared" si="60"/>
        <v>0</v>
      </c>
      <c r="K170" s="226">
        <f t="shared" si="60"/>
        <v>0</v>
      </c>
      <c r="L170" s="226">
        <f t="shared" si="60"/>
        <v>0</v>
      </c>
      <c r="M170" s="226">
        <f t="shared" si="60"/>
        <v>0</v>
      </c>
      <c r="N170" s="226">
        <f t="shared" si="60"/>
        <v>0</v>
      </c>
      <c r="O170" s="226">
        <f t="shared" si="60"/>
        <v>0</v>
      </c>
      <c r="P170" s="226">
        <f t="shared" si="60"/>
        <v>0</v>
      </c>
      <c r="Q170" s="226">
        <f t="shared" si="60"/>
        <v>0</v>
      </c>
      <c r="R170" s="226">
        <f t="shared" si="60"/>
        <v>0</v>
      </c>
      <c r="S170" s="226">
        <f t="shared" si="60"/>
        <v>0</v>
      </c>
      <c r="T170" s="226">
        <f t="shared" si="60"/>
        <v>0</v>
      </c>
      <c r="U170" s="226">
        <f t="shared" si="60"/>
        <v>0</v>
      </c>
      <c r="V170" s="226">
        <f t="shared" si="60"/>
        <v>0</v>
      </c>
      <c r="W170" s="226">
        <f t="shared" si="60"/>
        <v>0</v>
      </c>
      <c r="X170" s="226">
        <f t="shared" si="60"/>
        <v>0</v>
      </c>
      <c r="Y170" s="226">
        <f t="shared" si="60"/>
        <v>0</v>
      </c>
      <c r="Z170" s="226">
        <f t="shared" si="60"/>
        <v>0</v>
      </c>
      <c r="AA170" s="226">
        <f t="shared" si="60"/>
        <v>0</v>
      </c>
      <c r="AB170" s="226">
        <f t="shared" si="60"/>
        <v>0</v>
      </c>
      <c r="AC170" s="226"/>
      <c r="AD170" s="226"/>
    </row>
    <row r="171" spans="1:30">
      <c r="A171" s="223" t="s">
        <v>1295</v>
      </c>
      <c r="B171" s="226"/>
      <c r="C171" s="226">
        <f t="shared" ref="C171:AB171" si="61">C136-B136</f>
        <v>0</v>
      </c>
      <c r="D171" s="226">
        <f t="shared" si="61"/>
        <v>0</v>
      </c>
      <c r="E171" s="226">
        <f t="shared" si="61"/>
        <v>0</v>
      </c>
      <c r="F171" s="226">
        <f t="shared" si="61"/>
        <v>0</v>
      </c>
      <c r="G171" s="226">
        <f t="shared" si="61"/>
        <v>0</v>
      </c>
      <c r="H171" s="226">
        <f t="shared" si="61"/>
        <v>0</v>
      </c>
      <c r="I171" s="226">
        <f t="shared" si="61"/>
        <v>0</v>
      </c>
      <c r="J171" s="226">
        <f t="shared" si="61"/>
        <v>0</v>
      </c>
      <c r="K171" s="226">
        <f t="shared" si="61"/>
        <v>0</v>
      </c>
      <c r="L171" s="226">
        <f t="shared" si="61"/>
        <v>0</v>
      </c>
      <c r="M171" s="226">
        <f t="shared" si="61"/>
        <v>0</v>
      </c>
      <c r="N171" s="226">
        <f t="shared" si="61"/>
        <v>0</v>
      </c>
      <c r="O171" s="226">
        <f t="shared" si="61"/>
        <v>0</v>
      </c>
      <c r="P171" s="226">
        <f t="shared" si="61"/>
        <v>0</v>
      </c>
      <c r="Q171" s="226">
        <f t="shared" si="61"/>
        <v>0</v>
      </c>
      <c r="R171" s="226">
        <f t="shared" si="61"/>
        <v>0</v>
      </c>
      <c r="S171" s="226">
        <f t="shared" si="61"/>
        <v>0</v>
      </c>
      <c r="T171" s="226">
        <f t="shared" si="61"/>
        <v>21.2</v>
      </c>
      <c r="U171" s="226">
        <f t="shared" si="61"/>
        <v>41.8</v>
      </c>
      <c r="V171" s="226">
        <f t="shared" si="61"/>
        <v>0</v>
      </c>
      <c r="W171" s="226">
        <f t="shared" si="61"/>
        <v>0</v>
      </c>
      <c r="X171" s="226">
        <f t="shared" si="61"/>
        <v>0</v>
      </c>
      <c r="Y171" s="226">
        <f t="shared" si="61"/>
        <v>0</v>
      </c>
      <c r="Z171" s="226">
        <f t="shared" si="61"/>
        <v>0</v>
      </c>
      <c r="AA171" s="226">
        <f t="shared" si="61"/>
        <v>0</v>
      </c>
      <c r="AB171" s="226">
        <f t="shared" si="61"/>
        <v>0</v>
      </c>
      <c r="AC171" s="226"/>
      <c r="AD171" s="226"/>
    </row>
    <row r="172" spans="1:30">
      <c r="A172" s="223" t="s">
        <v>1296</v>
      </c>
      <c r="B172" s="226"/>
      <c r="C172" s="226">
        <f t="shared" ref="C172:AB172" si="62">C137-B137</f>
        <v>0</v>
      </c>
      <c r="D172" s="226">
        <f t="shared" si="62"/>
        <v>0</v>
      </c>
      <c r="E172" s="226">
        <f t="shared" si="62"/>
        <v>0</v>
      </c>
      <c r="F172" s="226">
        <f t="shared" si="62"/>
        <v>0</v>
      </c>
      <c r="G172" s="226">
        <f t="shared" si="62"/>
        <v>0</v>
      </c>
      <c r="H172" s="226">
        <f t="shared" si="62"/>
        <v>0</v>
      </c>
      <c r="I172" s="226">
        <f t="shared" si="62"/>
        <v>0</v>
      </c>
      <c r="J172" s="226">
        <f t="shared" si="62"/>
        <v>0</v>
      </c>
      <c r="K172" s="226">
        <f t="shared" si="62"/>
        <v>0</v>
      </c>
      <c r="L172" s="226">
        <f t="shared" si="62"/>
        <v>0</v>
      </c>
      <c r="M172" s="226">
        <f t="shared" si="62"/>
        <v>0</v>
      </c>
      <c r="N172" s="226">
        <f t="shared" si="62"/>
        <v>0</v>
      </c>
      <c r="O172" s="226">
        <f t="shared" si="62"/>
        <v>0</v>
      </c>
      <c r="P172" s="226">
        <f t="shared" si="62"/>
        <v>0</v>
      </c>
      <c r="Q172" s="226">
        <f t="shared" si="62"/>
        <v>0</v>
      </c>
      <c r="R172" s="226">
        <f t="shared" si="62"/>
        <v>0</v>
      </c>
      <c r="S172" s="226">
        <f t="shared" si="62"/>
        <v>0</v>
      </c>
      <c r="T172" s="226">
        <f t="shared" si="62"/>
        <v>0</v>
      </c>
      <c r="U172" s="226">
        <f t="shared" si="62"/>
        <v>0</v>
      </c>
      <c r="V172" s="226">
        <f t="shared" si="62"/>
        <v>0</v>
      </c>
      <c r="W172" s="226">
        <f t="shared" si="62"/>
        <v>0</v>
      </c>
      <c r="X172" s="226">
        <f t="shared" si="62"/>
        <v>0</v>
      </c>
      <c r="Y172" s="226">
        <f t="shared" si="62"/>
        <v>10</v>
      </c>
      <c r="Z172" s="226">
        <f t="shared" si="62"/>
        <v>0</v>
      </c>
      <c r="AA172" s="226">
        <f t="shared" si="62"/>
        <v>0</v>
      </c>
      <c r="AB172" s="226">
        <f t="shared" si="62"/>
        <v>0</v>
      </c>
      <c r="AC172" s="226"/>
      <c r="AD172" s="226"/>
    </row>
    <row r="173" spans="1:30">
      <c r="A173" s="223" t="s">
        <v>1297</v>
      </c>
      <c r="B173" s="226"/>
      <c r="C173" s="226">
        <f t="shared" ref="C173:AB173" si="63">C138-B138</f>
        <v>0</v>
      </c>
      <c r="D173" s="226">
        <f t="shared" si="63"/>
        <v>0</v>
      </c>
      <c r="E173" s="226">
        <f t="shared" si="63"/>
        <v>0</v>
      </c>
      <c r="F173" s="226">
        <f t="shared" si="63"/>
        <v>0</v>
      </c>
      <c r="G173" s="226">
        <f t="shared" si="63"/>
        <v>0</v>
      </c>
      <c r="H173" s="226">
        <f t="shared" si="63"/>
        <v>0</v>
      </c>
      <c r="I173" s="226">
        <f t="shared" si="63"/>
        <v>0</v>
      </c>
      <c r="J173" s="226">
        <f t="shared" si="63"/>
        <v>0</v>
      </c>
      <c r="K173" s="226">
        <f t="shared" si="63"/>
        <v>0</v>
      </c>
      <c r="L173" s="226">
        <f t="shared" si="63"/>
        <v>0</v>
      </c>
      <c r="M173" s="226">
        <f t="shared" si="63"/>
        <v>0</v>
      </c>
      <c r="N173" s="226">
        <f t="shared" si="63"/>
        <v>0</v>
      </c>
      <c r="O173" s="226">
        <f t="shared" si="63"/>
        <v>0</v>
      </c>
      <c r="P173" s="226">
        <f t="shared" si="63"/>
        <v>0</v>
      </c>
      <c r="Q173" s="226">
        <f t="shared" si="63"/>
        <v>0</v>
      </c>
      <c r="R173" s="226">
        <f t="shared" si="63"/>
        <v>0</v>
      </c>
      <c r="S173" s="226">
        <f t="shared" si="63"/>
        <v>0</v>
      </c>
      <c r="T173" s="226">
        <f t="shared" si="63"/>
        <v>0</v>
      </c>
      <c r="U173" s="226">
        <f t="shared" si="63"/>
        <v>0</v>
      </c>
      <c r="V173" s="226">
        <f t="shared" si="63"/>
        <v>0</v>
      </c>
      <c r="W173" s="226">
        <f t="shared" si="63"/>
        <v>0</v>
      </c>
      <c r="X173" s="226">
        <f t="shared" si="63"/>
        <v>0</v>
      </c>
      <c r="Y173" s="226">
        <f t="shared" si="63"/>
        <v>0</v>
      </c>
      <c r="Z173" s="226">
        <f t="shared" si="63"/>
        <v>0</v>
      </c>
      <c r="AA173" s="226">
        <f t="shared" si="63"/>
        <v>0</v>
      </c>
      <c r="AB173" s="226">
        <f t="shared" si="63"/>
        <v>0</v>
      </c>
      <c r="AC173" s="226"/>
      <c r="AD173" s="226"/>
    </row>
    <row r="174" spans="1:30">
      <c r="A174" s="223" t="s">
        <v>1298</v>
      </c>
      <c r="B174" s="226"/>
      <c r="C174" s="226">
        <f t="shared" ref="C174:AB174" si="64">C139-B139</f>
        <v>0</v>
      </c>
      <c r="D174" s="226">
        <f t="shared" si="64"/>
        <v>0</v>
      </c>
      <c r="E174" s="226">
        <f t="shared" si="64"/>
        <v>0</v>
      </c>
      <c r="F174" s="226">
        <f t="shared" si="64"/>
        <v>0</v>
      </c>
      <c r="G174" s="226">
        <f t="shared" si="64"/>
        <v>0</v>
      </c>
      <c r="H174" s="226">
        <f t="shared" si="64"/>
        <v>0</v>
      </c>
      <c r="I174" s="226">
        <f t="shared" si="64"/>
        <v>0</v>
      </c>
      <c r="J174" s="226">
        <f t="shared" si="64"/>
        <v>0</v>
      </c>
      <c r="K174" s="226">
        <f t="shared" si="64"/>
        <v>0</v>
      </c>
      <c r="L174" s="226">
        <f t="shared" si="64"/>
        <v>0</v>
      </c>
      <c r="M174" s="226">
        <f t="shared" si="64"/>
        <v>0</v>
      </c>
      <c r="N174" s="226">
        <f t="shared" si="64"/>
        <v>0</v>
      </c>
      <c r="O174" s="226">
        <f t="shared" si="64"/>
        <v>0</v>
      </c>
      <c r="P174" s="226">
        <f t="shared" si="64"/>
        <v>0</v>
      </c>
      <c r="Q174" s="226">
        <f t="shared" si="64"/>
        <v>0</v>
      </c>
      <c r="R174" s="226">
        <f t="shared" si="64"/>
        <v>0</v>
      </c>
      <c r="S174" s="226">
        <f t="shared" si="64"/>
        <v>0</v>
      </c>
      <c r="T174" s="226">
        <f t="shared" si="64"/>
        <v>0</v>
      </c>
      <c r="U174" s="226">
        <f t="shared" si="64"/>
        <v>18</v>
      </c>
      <c r="V174" s="226">
        <f t="shared" si="64"/>
        <v>170.5</v>
      </c>
      <c r="W174" s="226">
        <f t="shared" si="64"/>
        <v>170.5</v>
      </c>
      <c r="X174" s="226">
        <f t="shared" si="64"/>
        <v>170.5</v>
      </c>
      <c r="Y174" s="226">
        <f t="shared" si="64"/>
        <v>170.5</v>
      </c>
      <c r="Z174" s="226">
        <f t="shared" si="64"/>
        <v>0</v>
      </c>
      <c r="AA174" s="226">
        <f t="shared" si="64"/>
        <v>0</v>
      </c>
      <c r="AB174" s="226">
        <f t="shared" si="64"/>
        <v>0</v>
      </c>
      <c r="AC174" s="226"/>
      <c r="AD174" s="226"/>
    </row>
    <row r="175" spans="1:30">
      <c r="A175" s="223" t="s">
        <v>1299</v>
      </c>
      <c r="B175" s="226"/>
      <c r="C175" s="226">
        <f t="shared" ref="C175:AB175" si="65">C140-B140</f>
        <v>0</v>
      </c>
      <c r="D175" s="226">
        <f t="shared" si="65"/>
        <v>0</v>
      </c>
      <c r="E175" s="226">
        <f t="shared" si="65"/>
        <v>0</v>
      </c>
      <c r="F175" s="226">
        <f t="shared" si="65"/>
        <v>0</v>
      </c>
      <c r="G175" s="226">
        <f t="shared" si="65"/>
        <v>0</v>
      </c>
      <c r="H175" s="226">
        <f t="shared" si="65"/>
        <v>0</v>
      </c>
      <c r="I175" s="226">
        <f t="shared" si="65"/>
        <v>0</v>
      </c>
      <c r="J175" s="226">
        <f t="shared" si="65"/>
        <v>0</v>
      </c>
      <c r="K175" s="226">
        <f t="shared" si="65"/>
        <v>0</v>
      </c>
      <c r="L175" s="226">
        <f t="shared" si="65"/>
        <v>0</v>
      </c>
      <c r="M175" s="226">
        <f t="shared" si="65"/>
        <v>0</v>
      </c>
      <c r="N175" s="226">
        <f t="shared" si="65"/>
        <v>0</v>
      </c>
      <c r="O175" s="226">
        <f t="shared" si="65"/>
        <v>0</v>
      </c>
      <c r="P175" s="226">
        <f t="shared" si="65"/>
        <v>0</v>
      </c>
      <c r="Q175" s="226">
        <f t="shared" si="65"/>
        <v>0</v>
      </c>
      <c r="R175" s="226">
        <f t="shared" si="65"/>
        <v>0</v>
      </c>
      <c r="S175" s="226">
        <f t="shared" si="65"/>
        <v>0</v>
      </c>
      <c r="T175" s="226">
        <f t="shared" si="65"/>
        <v>0</v>
      </c>
      <c r="U175" s="226">
        <f t="shared" si="65"/>
        <v>0</v>
      </c>
      <c r="V175" s="226">
        <f t="shared" si="65"/>
        <v>42.6000000000001</v>
      </c>
      <c r="W175" s="226">
        <f t="shared" si="65"/>
        <v>121.4</v>
      </c>
      <c r="X175" s="226">
        <f t="shared" si="65"/>
        <v>121.4</v>
      </c>
      <c r="Y175" s="226">
        <f t="shared" si="65"/>
        <v>426.8</v>
      </c>
      <c r="Z175" s="226">
        <f t="shared" si="65"/>
        <v>123</v>
      </c>
      <c r="AA175" s="226">
        <f t="shared" si="65"/>
        <v>11.8</v>
      </c>
      <c r="AB175" s="226">
        <f t="shared" si="65"/>
        <v>0</v>
      </c>
      <c r="AC175" s="226"/>
      <c r="AD175" s="226"/>
    </row>
  </sheetData>
  <mergeCells count="2">
    <mergeCell ref="L71:S71"/>
    <mergeCell ref="W71:AD7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15"/>
  <sheetViews>
    <sheetView zoomScale="55" zoomScaleNormal="55" topLeftCell="A158" workbookViewId="0">
      <selection activeCell="Y165" sqref="Y165"/>
    </sheetView>
  </sheetViews>
  <sheetFormatPr defaultColWidth="9" defaultRowHeight="13.85"/>
  <cols>
    <col min="1" max="4" width="9.13274336283186" style="92"/>
    <col min="5" max="11" width="10" style="92" customWidth="1"/>
    <col min="12" max="12" width="10.283185840708" style="92" customWidth="1"/>
    <col min="13" max="19" width="10" style="92" customWidth="1"/>
    <col min="20" max="20" width="10.283185840708" style="92" customWidth="1"/>
    <col min="21" max="16384" width="9.13274336283186" style="92"/>
  </cols>
  <sheetData>
    <row r="1" spans="1:44">
      <c r="E1" s="97" t="s">
        <v>1322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U1" s="97" t="s">
        <v>1323</v>
      </c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M1" s="97" t="s">
        <v>1324</v>
      </c>
      <c r="AN1" s="97"/>
      <c r="AO1" s="97"/>
      <c r="AP1" s="97"/>
      <c r="AQ1" s="97"/>
      <c r="AR1" s="97"/>
    </row>
    <row r="2" spans="1:44">
      <c r="B2" s="92" t="s">
        <v>1325</v>
      </c>
      <c r="C2" s="92" t="s">
        <v>1326</v>
      </c>
      <c r="E2" s="92">
        <v>2001</v>
      </c>
      <c r="F2" s="92">
        <v>2002</v>
      </c>
      <c r="G2" s="92">
        <v>2003</v>
      </c>
      <c r="H2" s="92">
        <v>2004</v>
      </c>
      <c r="I2" s="92">
        <v>2005</v>
      </c>
      <c r="J2" s="92">
        <v>2006</v>
      </c>
      <c r="K2" s="92">
        <v>2007</v>
      </c>
      <c r="M2" s="92">
        <v>2001</v>
      </c>
      <c r="N2" s="92">
        <v>2002</v>
      </c>
      <c r="O2" s="92">
        <v>2003</v>
      </c>
      <c r="P2" s="92">
        <v>2004</v>
      </c>
      <c r="Q2" s="92">
        <v>2005</v>
      </c>
      <c r="R2" s="92">
        <v>2006</v>
      </c>
      <c r="S2" s="92">
        <v>2007</v>
      </c>
      <c r="U2" s="92">
        <v>2008</v>
      </c>
      <c r="V2" s="92">
        <v>2009</v>
      </c>
      <c r="W2" s="92">
        <v>2010</v>
      </c>
      <c r="X2" s="92">
        <v>2011</v>
      </c>
      <c r="Y2" s="92">
        <v>2012</v>
      </c>
      <c r="Z2" s="92">
        <v>2013</v>
      </c>
      <c r="AA2" s="92">
        <v>2014</v>
      </c>
      <c r="AB2" s="92">
        <v>2015</v>
      </c>
      <c r="AC2" s="92">
        <v>2016</v>
      </c>
      <c r="AD2" s="92">
        <v>2017</v>
      </c>
      <c r="AE2" s="92">
        <v>2018</v>
      </c>
      <c r="AF2" s="92">
        <v>2019</v>
      </c>
      <c r="AG2" s="92">
        <v>2020</v>
      </c>
      <c r="AH2" s="92">
        <v>2021</v>
      </c>
      <c r="AM2" s="92">
        <v>2016</v>
      </c>
      <c r="AN2" s="92">
        <v>2017</v>
      </c>
      <c r="AO2" s="92">
        <v>2018</v>
      </c>
      <c r="AP2" s="92">
        <v>2019</v>
      </c>
      <c r="AQ2" s="92">
        <v>2020</v>
      </c>
      <c r="AR2" s="92">
        <v>2021</v>
      </c>
    </row>
    <row r="3" spans="1:44">
      <c r="B3" s="208" t="s">
        <v>1327</v>
      </c>
      <c r="C3" s="208" t="s">
        <v>1327</v>
      </c>
      <c r="D3" s="208"/>
      <c r="E3" s="208" t="s">
        <v>1327</v>
      </c>
      <c r="F3" s="208" t="s">
        <v>1327</v>
      </c>
      <c r="G3" s="208" t="s">
        <v>1327</v>
      </c>
      <c r="H3" s="208" t="s">
        <v>1327</v>
      </c>
      <c r="I3" s="208" t="s">
        <v>1327</v>
      </c>
      <c r="J3" s="208" t="s">
        <v>1327</v>
      </c>
      <c r="K3" s="208" t="s">
        <v>1327</v>
      </c>
      <c r="M3" s="208" t="s">
        <v>1327</v>
      </c>
      <c r="N3" s="208" t="s">
        <v>1327</v>
      </c>
      <c r="O3" s="208" t="s">
        <v>1327</v>
      </c>
      <c r="P3" s="208" t="s">
        <v>1327</v>
      </c>
      <c r="Q3" s="208" t="s">
        <v>1327</v>
      </c>
      <c r="R3" s="208" t="s">
        <v>1327</v>
      </c>
      <c r="S3" s="208" t="s">
        <v>1327</v>
      </c>
    </row>
    <row r="4" spans="1:44">
      <c r="B4" s="209" t="s">
        <v>1308</v>
      </c>
      <c r="C4" s="209" t="s">
        <v>1308</v>
      </c>
      <c r="D4" s="209"/>
      <c r="E4" s="209" t="s">
        <v>1308</v>
      </c>
      <c r="F4" s="209" t="s">
        <v>1308</v>
      </c>
      <c r="G4" s="209" t="s">
        <v>1308</v>
      </c>
      <c r="H4" s="209" t="s">
        <v>1308</v>
      </c>
      <c r="I4" s="209" t="s">
        <v>1308</v>
      </c>
      <c r="J4" s="209" t="s">
        <v>1308</v>
      </c>
      <c r="K4" s="209" t="s">
        <v>1308</v>
      </c>
      <c r="M4" s="209" t="s">
        <v>1328</v>
      </c>
      <c r="N4" s="209" t="s">
        <v>1328</v>
      </c>
      <c r="O4" s="209" t="s">
        <v>1328</v>
      </c>
      <c r="P4" s="209" t="s">
        <v>1328</v>
      </c>
      <c r="Q4" s="209" t="s">
        <v>1328</v>
      </c>
      <c r="R4" s="209" t="s">
        <v>1328</v>
      </c>
      <c r="S4" s="209" t="s">
        <v>1328</v>
      </c>
    </row>
    <row r="5" spans="1:44">
      <c r="A5" s="209" t="s">
        <v>1310</v>
      </c>
      <c r="B5" s="92">
        <v>1967.98</v>
      </c>
      <c r="C5" s="210">
        <f t="shared" ref="C5:C36" si="0">B5-E5</f>
        <v>1446.616</v>
      </c>
      <c r="D5" s="210"/>
      <c r="E5" s="211" cm="1">
        <f t="array" ref="E5:E36">'[1]2001'!I3:I34</f>
        <v>521.364</v>
      </c>
      <c r="F5" s="211" cm="1">
        <f t="array" ref="F5:F36">'[1]2002'!I3:I34</f>
        <v>569.58</v>
      </c>
      <c r="G5" s="211" cm="1">
        <f t="array" ref="G5:G36">'[1]2003'!I3:I34</f>
        <v>570.18</v>
      </c>
      <c r="H5" s="211" cm="1">
        <f t="array" ref="H5:H36">'[1]2004'!I3:I34</f>
        <v>573.98</v>
      </c>
      <c r="I5" s="211" cm="1">
        <f t="array" ref="I5:I36">'[1]2005'!I3:I34</f>
        <v>570.75</v>
      </c>
      <c r="J5" s="211" cm="1">
        <f t="array" ref="J5:J36">'[1]2006'!O3:O34</f>
        <v>535</v>
      </c>
      <c r="K5" s="211" cm="1">
        <f t="array" ref="K5:K36">'[1]2007'!I3:I34</f>
        <v>365.73</v>
      </c>
      <c r="M5" s="209" cm="1">
        <f t="array" ref="M5:M36">'[1]2001'!O3:O34</f>
        <v>497</v>
      </c>
      <c r="N5" s="209" cm="1">
        <f t="array" ref="N5:N36">'[1]2002'!O3:O34</f>
        <v>520</v>
      </c>
      <c r="O5" s="209" cm="1">
        <f t="array" ref="O5:O36">'[1]2003'!O3:O34</f>
        <v>521</v>
      </c>
      <c r="P5" s="209" cm="1">
        <f t="array" ref="P5:P36">'[1]2004'!O3:O34</f>
        <v>525</v>
      </c>
      <c r="Q5" s="209" cm="1">
        <f t="array" ref="Q5:Q36">'[1]2005'!O3:O34</f>
        <v>539</v>
      </c>
      <c r="R5" s="209" cm="1">
        <f t="array" ref="R5:R36">'[1]2006'!O3:O34</f>
        <v>535</v>
      </c>
      <c r="S5" s="209" cm="1">
        <f t="array" ref="S5:S36">'[1]2007'!O3:O34</f>
        <v>304</v>
      </c>
      <c r="U5" s="121">
        <v>8</v>
      </c>
      <c r="V5" s="121">
        <v>0.17</v>
      </c>
      <c r="W5" s="121">
        <v>2.98</v>
      </c>
      <c r="Z5" s="121">
        <v>15</v>
      </c>
      <c r="AM5" s="201">
        <v>210</v>
      </c>
      <c r="AN5" s="212">
        <v>197</v>
      </c>
      <c r="AO5" s="212">
        <v>173</v>
      </c>
      <c r="AP5" s="213">
        <v>175</v>
      </c>
      <c r="AQ5" s="121">
        <v>147</v>
      </c>
      <c r="AR5" s="121">
        <v>165</v>
      </c>
    </row>
    <row r="6" spans="1:44">
      <c r="A6" s="214" t="s">
        <v>82</v>
      </c>
      <c r="B6" s="92">
        <v>62.34</v>
      </c>
      <c r="C6" s="210">
        <f t="shared" si="0"/>
        <v>62.34</v>
      </c>
      <c r="D6" s="210"/>
      <c r="E6" s="215">
        <v>0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M6" s="209">
        <v>0</v>
      </c>
      <c r="N6" s="209">
        <v>0</v>
      </c>
      <c r="O6" s="209">
        <v>0</v>
      </c>
      <c r="P6" s="209">
        <v>0</v>
      </c>
      <c r="Q6" s="209">
        <v>0</v>
      </c>
      <c r="R6" s="209">
        <v>0</v>
      </c>
      <c r="S6" s="209">
        <v>0</v>
      </c>
      <c r="U6" s="121"/>
      <c r="V6" s="121"/>
      <c r="W6" s="121"/>
      <c r="Z6" s="121"/>
      <c r="AM6" s="201">
        <v>22</v>
      </c>
      <c r="AN6" s="212">
        <v>22</v>
      </c>
      <c r="AO6" s="212">
        <v>22</v>
      </c>
      <c r="AP6" s="213">
        <v>22</v>
      </c>
      <c r="AQ6" s="121">
        <v>22</v>
      </c>
      <c r="AR6" s="121">
        <v>22</v>
      </c>
    </row>
    <row r="7" spans="1:44">
      <c r="A7" s="209" t="s">
        <v>84</v>
      </c>
      <c r="B7" s="92">
        <v>96.5</v>
      </c>
      <c r="C7" s="210">
        <f t="shared" si="0"/>
        <v>96.5</v>
      </c>
      <c r="D7" s="210"/>
      <c r="E7" s="215">
        <v>0</v>
      </c>
      <c r="F7" s="211">
        <v>0</v>
      </c>
      <c r="G7" s="211">
        <v>0</v>
      </c>
      <c r="H7" s="211">
        <v>0</v>
      </c>
      <c r="I7" s="211">
        <v>0</v>
      </c>
      <c r="J7" s="211">
        <v>0</v>
      </c>
      <c r="K7" s="211">
        <v>0</v>
      </c>
      <c r="M7" s="209">
        <v>0</v>
      </c>
      <c r="N7" s="209">
        <v>0</v>
      </c>
      <c r="O7" s="209">
        <v>0</v>
      </c>
      <c r="P7" s="209">
        <v>0</v>
      </c>
      <c r="Q7" s="209">
        <v>0</v>
      </c>
      <c r="R7" s="209">
        <v>0</v>
      </c>
      <c r="S7" s="209">
        <v>0</v>
      </c>
      <c r="U7" s="121"/>
      <c r="V7" s="121"/>
      <c r="W7" s="121"/>
      <c r="Z7" s="121"/>
      <c r="AM7" s="201">
        <v>0</v>
      </c>
      <c r="AN7" s="216">
        <v>0</v>
      </c>
      <c r="AO7" s="216">
        <v>0</v>
      </c>
      <c r="AP7" s="216">
        <v>0</v>
      </c>
      <c r="AQ7" s="121">
        <v>0</v>
      </c>
      <c r="AR7" s="121">
        <v>18</v>
      </c>
    </row>
    <row r="8" spans="1:44">
      <c r="A8" s="209" t="s">
        <v>86</v>
      </c>
      <c r="B8" s="92">
        <v>0.9</v>
      </c>
      <c r="C8" s="210">
        <f t="shared" si="0"/>
        <v>0.9</v>
      </c>
      <c r="D8" s="210"/>
      <c r="E8" s="215">
        <v>0</v>
      </c>
      <c r="F8" s="217">
        <v>0</v>
      </c>
      <c r="G8" s="217">
        <v>0.6</v>
      </c>
      <c r="H8" s="217">
        <v>0.6</v>
      </c>
      <c r="I8" s="217">
        <v>0</v>
      </c>
      <c r="J8" s="217">
        <v>0</v>
      </c>
      <c r="K8" s="217">
        <v>0</v>
      </c>
      <c r="M8" s="208">
        <v>0</v>
      </c>
      <c r="N8" s="208">
        <v>0</v>
      </c>
      <c r="O8" s="208">
        <v>1</v>
      </c>
      <c r="P8" s="208">
        <v>1</v>
      </c>
      <c r="Q8" s="208">
        <v>0</v>
      </c>
      <c r="R8" s="208">
        <v>0</v>
      </c>
      <c r="S8" s="208">
        <v>0</v>
      </c>
      <c r="U8" s="121"/>
      <c r="V8" s="121"/>
      <c r="W8" s="121"/>
      <c r="Z8" s="121"/>
      <c r="AM8" s="201">
        <v>0</v>
      </c>
      <c r="AN8" s="216">
        <v>0</v>
      </c>
      <c r="AO8" s="216">
        <v>0</v>
      </c>
      <c r="AP8" s="216">
        <v>0</v>
      </c>
      <c r="AQ8" s="121">
        <v>0</v>
      </c>
      <c r="AR8" s="121">
        <v>0</v>
      </c>
    </row>
    <row r="9" spans="1:44">
      <c r="A9" s="209" t="s">
        <v>88</v>
      </c>
      <c r="C9" s="210">
        <f t="shared" si="0"/>
        <v>0</v>
      </c>
      <c r="D9" s="210"/>
      <c r="E9" s="211">
        <v>0</v>
      </c>
      <c r="F9" s="211">
        <v>0</v>
      </c>
      <c r="G9" s="211">
        <v>0</v>
      </c>
      <c r="H9" s="211">
        <v>0</v>
      </c>
      <c r="I9" s="211">
        <v>5.8</v>
      </c>
      <c r="J9" s="211">
        <v>5</v>
      </c>
      <c r="K9" s="211">
        <v>5.2</v>
      </c>
      <c r="M9" s="209">
        <v>0</v>
      </c>
      <c r="N9" s="209">
        <v>0</v>
      </c>
      <c r="O9" s="209">
        <v>0</v>
      </c>
      <c r="P9" s="209">
        <v>0</v>
      </c>
      <c r="Q9" s="209">
        <v>4</v>
      </c>
      <c r="R9" s="209">
        <v>5</v>
      </c>
      <c r="S9" s="209">
        <v>5</v>
      </c>
      <c r="U9" s="121"/>
      <c r="V9" s="121"/>
      <c r="W9" s="121"/>
      <c r="Z9" s="121"/>
      <c r="AM9" s="201">
        <v>0</v>
      </c>
      <c r="AN9" s="216">
        <v>0</v>
      </c>
      <c r="AO9" s="216">
        <v>0</v>
      </c>
      <c r="AP9" s="216">
        <v>0</v>
      </c>
      <c r="AQ9" s="121">
        <v>0</v>
      </c>
      <c r="AR9" s="121">
        <v>0</v>
      </c>
    </row>
    <row r="10" spans="1:44">
      <c r="A10" s="209" t="s">
        <v>208</v>
      </c>
      <c r="C10" s="210">
        <f t="shared" si="0"/>
        <v>0</v>
      </c>
      <c r="D10" s="210"/>
      <c r="E10" s="215">
        <v>0</v>
      </c>
      <c r="F10" s="211">
        <v>1.2</v>
      </c>
      <c r="G10" s="211">
        <v>1.2</v>
      </c>
      <c r="H10" s="211">
        <v>1.2</v>
      </c>
      <c r="I10" s="211">
        <v>1.2</v>
      </c>
      <c r="J10" s="211">
        <v>0</v>
      </c>
      <c r="K10" s="211">
        <v>0</v>
      </c>
      <c r="M10" s="209">
        <v>0</v>
      </c>
      <c r="N10" s="209">
        <v>1</v>
      </c>
      <c r="O10" s="209">
        <v>1</v>
      </c>
      <c r="P10" s="209">
        <v>1</v>
      </c>
      <c r="Q10" s="209">
        <v>1</v>
      </c>
      <c r="R10" s="209">
        <v>0</v>
      </c>
      <c r="S10" s="209">
        <v>0</v>
      </c>
      <c r="U10" s="121"/>
      <c r="V10" s="121"/>
      <c r="W10" s="121"/>
      <c r="Z10" s="121"/>
      <c r="AM10" s="201">
        <v>0</v>
      </c>
      <c r="AN10" s="216">
        <v>0</v>
      </c>
      <c r="AO10" s="216">
        <v>0</v>
      </c>
      <c r="AP10" s="216">
        <v>0</v>
      </c>
      <c r="AQ10" s="121">
        <v>0</v>
      </c>
      <c r="AR10" s="121">
        <v>0</v>
      </c>
    </row>
    <row r="11" spans="1:44">
      <c r="A11" s="209" t="s">
        <v>92</v>
      </c>
      <c r="B11" s="92">
        <v>74.73</v>
      </c>
      <c r="C11" s="210">
        <f t="shared" si="0"/>
        <v>74.73</v>
      </c>
      <c r="D11" s="210"/>
      <c r="E11" s="215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0</v>
      </c>
      <c r="K11" s="211">
        <v>0</v>
      </c>
      <c r="M11" s="209">
        <v>0</v>
      </c>
      <c r="N11" s="209">
        <v>0</v>
      </c>
      <c r="O11" s="209">
        <v>0</v>
      </c>
      <c r="P11" s="209">
        <v>0</v>
      </c>
      <c r="Q11" s="209">
        <v>0</v>
      </c>
      <c r="R11" s="209">
        <v>0</v>
      </c>
      <c r="S11" s="209">
        <v>0</v>
      </c>
      <c r="U11" s="121"/>
      <c r="V11" s="121"/>
      <c r="W11" s="121"/>
      <c r="Z11" s="121"/>
      <c r="AM11" s="201">
        <v>15</v>
      </c>
      <c r="AN11" s="212">
        <v>15</v>
      </c>
      <c r="AO11" s="212">
        <v>15</v>
      </c>
      <c r="AP11" s="213">
        <v>15</v>
      </c>
      <c r="AQ11" s="121">
        <v>15</v>
      </c>
      <c r="AR11" s="121">
        <v>15</v>
      </c>
    </row>
    <row r="12" spans="1:44">
      <c r="A12" s="209" t="s">
        <v>94</v>
      </c>
      <c r="C12" s="210">
        <f t="shared" si="0"/>
        <v>0</v>
      </c>
      <c r="D12" s="210"/>
      <c r="E12" s="215">
        <v>0</v>
      </c>
      <c r="F12" s="211">
        <v>0</v>
      </c>
      <c r="G12" s="211">
        <v>0</v>
      </c>
      <c r="H12" s="211">
        <v>0</v>
      </c>
      <c r="I12" s="211">
        <v>0</v>
      </c>
      <c r="J12" s="211">
        <v>0</v>
      </c>
      <c r="K12" s="211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09">
        <v>0</v>
      </c>
      <c r="S12" s="209">
        <v>0</v>
      </c>
      <c r="U12" s="121"/>
      <c r="V12" s="121"/>
      <c r="W12" s="121"/>
      <c r="Z12" s="121"/>
      <c r="AM12" s="201">
        <v>0</v>
      </c>
      <c r="AN12" s="216">
        <v>0</v>
      </c>
      <c r="AO12" s="216">
        <v>0</v>
      </c>
      <c r="AP12" s="216">
        <v>0</v>
      </c>
      <c r="AQ12" s="121">
        <v>0</v>
      </c>
      <c r="AR12" s="121">
        <v>0</v>
      </c>
    </row>
    <row r="13" spans="1:44">
      <c r="A13" s="209" t="s">
        <v>96</v>
      </c>
      <c r="B13" s="92">
        <v>23.75</v>
      </c>
      <c r="C13" s="210">
        <f t="shared" si="0"/>
        <v>23.75</v>
      </c>
      <c r="D13" s="210"/>
      <c r="E13" s="215">
        <v>0</v>
      </c>
      <c r="F13" s="211">
        <v>0.6</v>
      </c>
      <c r="G13" s="211">
        <v>0.6</v>
      </c>
      <c r="H13" s="211">
        <v>0.6</v>
      </c>
      <c r="I13" s="211">
        <v>0</v>
      </c>
      <c r="J13" s="211">
        <v>0</v>
      </c>
      <c r="K13" s="211">
        <v>0</v>
      </c>
      <c r="M13" s="209">
        <v>0</v>
      </c>
      <c r="N13" s="209">
        <v>1</v>
      </c>
      <c r="O13" s="209">
        <v>1</v>
      </c>
      <c r="P13" s="209">
        <v>1</v>
      </c>
      <c r="Q13" s="209">
        <v>0</v>
      </c>
      <c r="R13" s="209">
        <v>0</v>
      </c>
      <c r="S13" s="209">
        <v>0</v>
      </c>
      <c r="U13" s="121"/>
      <c r="V13" s="121"/>
      <c r="W13" s="121"/>
      <c r="Z13" s="121"/>
      <c r="AM13" s="201">
        <v>2</v>
      </c>
      <c r="AN13" s="212">
        <v>2</v>
      </c>
      <c r="AO13" s="212">
        <v>2</v>
      </c>
      <c r="AP13" s="213">
        <v>2</v>
      </c>
      <c r="AQ13" s="121">
        <v>2</v>
      </c>
      <c r="AR13" s="121">
        <v>2</v>
      </c>
    </row>
    <row r="14" spans="1:44">
      <c r="A14" s="209" t="s">
        <v>98</v>
      </c>
      <c r="B14" s="92">
        <v>152.65</v>
      </c>
      <c r="C14" s="210">
        <f t="shared" si="0"/>
        <v>152.65</v>
      </c>
      <c r="D14" s="210"/>
      <c r="E14" s="215">
        <v>0</v>
      </c>
      <c r="F14" s="211">
        <v>0</v>
      </c>
      <c r="G14" s="211">
        <v>0</v>
      </c>
      <c r="H14" s="211">
        <v>0</v>
      </c>
      <c r="I14" s="211">
        <v>0</v>
      </c>
      <c r="J14" s="211">
        <v>0</v>
      </c>
      <c r="K14" s="211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U14" s="121"/>
      <c r="V14" s="121"/>
      <c r="W14" s="121"/>
      <c r="Z14" s="121"/>
      <c r="AM14" s="201">
        <v>86</v>
      </c>
      <c r="AN14" s="212">
        <v>86</v>
      </c>
      <c r="AO14" s="212">
        <v>86</v>
      </c>
      <c r="AP14" s="213">
        <v>86</v>
      </c>
      <c r="AQ14" s="121">
        <v>61</v>
      </c>
      <c r="AR14" s="121">
        <v>61</v>
      </c>
    </row>
    <row r="15" spans="1:44">
      <c r="A15" s="209" t="s">
        <v>100</v>
      </c>
      <c r="B15" s="92">
        <v>70.53</v>
      </c>
      <c r="C15" s="210">
        <f t="shared" si="0"/>
        <v>70.53</v>
      </c>
      <c r="D15" s="210"/>
      <c r="E15" s="211">
        <v>0</v>
      </c>
      <c r="F15" s="211">
        <v>0</v>
      </c>
      <c r="G15" s="211">
        <v>0</v>
      </c>
      <c r="H15" s="211">
        <v>0</v>
      </c>
      <c r="I15" s="211">
        <v>14.65</v>
      </c>
      <c r="J15" s="211">
        <v>12</v>
      </c>
      <c r="K15" s="211">
        <v>13.99</v>
      </c>
      <c r="M15" s="209">
        <v>0</v>
      </c>
      <c r="N15" s="209">
        <v>0</v>
      </c>
      <c r="O15" s="209">
        <v>0</v>
      </c>
      <c r="P15" s="209">
        <v>0</v>
      </c>
      <c r="Q15" s="209">
        <v>15</v>
      </c>
      <c r="R15" s="209">
        <v>12</v>
      </c>
      <c r="S15" s="209">
        <v>12</v>
      </c>
      <c r="U15" s="121"/>
      <c r="V15" s="121"/>
      <c r="W15" s="121"/>
      <c r="Z15" s="121"/>
      <c r="AM15" s="201">
        <v>0</v>
      </c>
      <c r="AN15" s="216">
        <v>0</v>
      </c>
      <c r="AO15" s="216">
        <v>0</v>
      </c>
      <c r="AP15" s="216">
        <v>0</v>
      </c>
      <c r="AQ15" s="121">
        <v>0</v>
      </c>
      <c r="AR15" s="121">
        <v>0</v>
      </c>
    </row>
    <row r="16" spans="1:44">
      <c r="A16" s="209" t="s">
        <v>102</v>
      </c>
      <c r="B16" s="92">
        <v>249.31</v>
      </c>
      <c r="C16" s="210">
        <f t="shared" si="0"/>
        <v>234.961</v>
      </c>
      <c r="D16" s="210"/>
      <c r="E16" s="211">
        <v>14.349</v>
      </c>
      <c r="F16" s="211">
        <v>12.29</v>
      </c>
      <c r="G16" s="211">
        <v>12.29</v>
      </c>
      <c r="H16" s="211">
        <v>12.29</v>
      </c>
      <c r="I16" s="211">
        <v>25.13</v>
      </c>
      <c r="J16" s="211">
        <v>13</v>
      </c>
      <c r="K16" s="211">
        <v>8.73</v>
      </c>
      <c r="M16" s="209">
        <v>16</v>
      </c>
      <c r="N16" s="209">
        <v>15</v>
      </c>
      <c r="O16" s="209">
        <v>15</v>
      </c>
      <c r="P16" s="209">
        <v>15</v>
      </c>
      <c r="Q16" s="209">
        <v>23</v>
      </c>
      <c r="R16" s="209">
        <v>13</v>
      </c>
      <c r="S16" s="209">
        <v>5</v>
      </c>
      <c r="U16" s="121"/>
      <c r="V16" s="121"/>
      <c r="W16" s="121"/>
      <c r="Z16" s="121"/>
      <c r="AM16" s="201">
        <v>6</v>
      </c>
      <c r="AN16" s="212">
        <v>6</v>
      </c>
      <c r="AO16" s="212">
        <v>2</v>
      </c>
      <c r="AP16" s="213">
        <v>2</v>
      </c>
      <c r="AQ16" s="121">
        <v>2</v>
      </c>
      <c r="AR16" s="121">
        <v>2</v>
      </c>
    </row>
    <row r="17" spans="1:44">
      <c r="A17" s="209" t="s">
        <v>104</v>
      </c>
      <c r="C17" s="210">
        <f t="shared" si="0"/>
        <v>0</v>
      </c>
      <c r="D17" s="210"/>
      <c r="E17" s="211">
        <v>0</v>
      </c>
      <c r="F17" s="211">
        <v>0</v>
      </c>
      <c r="G17" s="211">
        <v>0</v>
      </c>
      <c r="H17" s="211">
        <v>0</v>
      </c>
      <c r="I17" s="211">
        <v>0</v>
      </c>
      <c r="J17" s="211">
        <v>0</v>
      </c>
      <c r="K17" s="211">
        <v>0</v>
      </c>
      <c r="M17" s="209">
        <v>0</v>
      </c>
      <c r="N17" s="209">
        <v>0</v>
      </c>
      <c r="O17" s="209">
        <v>0</v>
      </c>
      <c r="P17" s="209">
        <v>0</v>
      </c>
      <c r="Q17" s="209">
        <v>0</v>
      </c>
      <c r="R17" s="209">
        <v>0</v>
      </c>
      <c r="S17" s="209">
        <v>0</v>
      </c>
      <c r="U17" s="121"/>
      <c r="V17" s="121"/>
      <c r="W17" s="121"/>
      <c r="Z17" s="121"/>
      <c r="AM17" s="201">
        <v>0</v>
      </c>
      <c r="AN17" s="216">
        <v>0</v>
      </c>
      <c r="AO17" s="216">
        <v>0</v>
      </c>
      <c r="AP17" s="216">
        <v>0</v>
      </c>
      <c r="AQ17" s="121">
        <v>0</v>
      </c>
      <c r="AR17" s="121">
        <v>0</v>
      </c>
    </row>
    <row r="18" spans="1:44">
      <c r="A18" s="209" t="s">
        <v>106</v>
      </c>
      <c r="B18" s="92">
        <v>28.66</v>
      </c>
      <c r="C18" s="210">
        <f t="shared" si="0"/>
        <v>14.836</v>
      </c>
      <c r="D18" s="210"/>
      <c r="E18" s="211">
        <v>13.824</v>
      </c>
      <c r="F18" s="211">
        <v>18.4</v>
      </c>
      <c r="G18" s="211">
        <v>18.4</v>
      </c>
      <c r="H18" s="211">
        <v>18.4</v>
      </c>
      <c r="I18" s="211">
        <v>18.43</v>
      </c>
      <c r="J18" s="211">
        <v>16</v>
      </c>
      <c r="K18" s="211">
        <v>11.52</v>
      </c>
      <c r="M18" s="209">
        <v>12</v>
      </c>
      <c r="N18" s="209">
        <v>16</v>
      </c>
      <c r="O18" s="209">
        <v>16</v>
      </c>
      <c r="P18" s="209">
        <v>16</v>
      </c>
      <c r="Q18" s="209">
        <v>16</v>
      </c>
      <c r="R18" s="209">
        <v>16</v>
      </c>
      <c r="S18" s="209">
        <v>10</v>
      </c>
      <c r="U18" s="121"/>
      <c r="V18" s="121"/>
      <c r="W18" s="121"/>
      <c r="Z18" s="121"/>
      <c r="AM18" s="201">
        <v>1</v>
      </c>
      <c r="AN18" s="212">
        <v>1</v>
      </c>
      <c r="AO18" s="212">
        <v>1</v>
      </c>
      <c r="AP18" s="213">
        <v>1</v>
      </c>
      <c r="AQ18" s="121">
        <v>0</v>
      </c>
      <c r="AR18" s="121">
        <v>0</v>
      </c>
    </row>
    <row r="19" spans="1:44">
      <c r="A19" s="209" t="s">
        <v>108</v>
      </c>
      <c r="C19" s="210">
        <f t="shared" si="0"/>
        <v>0</v>
      </c>
      <c r="D19" s="210"/>
      <c r="E19" s="215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M19" s="209">
        <v>0</v>
      </c>
      <c r="N19" s="209">
        <v>0</v>
      </c>
      <c r="O19" s="209">
        <v>0</v>
      </c>
      <c r="P19" s="209">
        <v>0</v>
      </c>
      <c r="Q19" s="209">
        <v>0</v>
      </c>
      <c r="R19" s="209">
        <v>0</v>
      </c>
      <c r="S19" s="209">
        <v>0</v>
      </c>
      <c r="U19" s="121"/>
      <c r="V19" s="121"/>
      <c r="W19" s="121"/>
      <c r="Z19" s="121"/>
      <c r="AM19" s="201">
        <v>0</v>
      </c>
      <c r="AN19" s="216">
        <v>0</v>
      </c>
      <c r="AO19" s="216">
        <v>0</v>
      </c>
      <c r="AP19" s="216">
        <v>0</v>
      </c>
      <c r="AQ19" s="121">
        <v>0</v>
      </c>
      <c r="AR19" s="121">
        <v>0</v>
      </c>
    </row>
    <row r="20" spans="1:44">
      <c r="A20" s="209" t="s">
        <v>110</v>
      </c>
      <c r="B20" s="92">
        <v>81.77</v>
      </c>
      <c r="C20" s="210">
        <f t="shared" si="0"/>
        <v>81.77</v>
      </c>
      <c r="D20" s="210"/>
      <c r="E20" s="215">
        <v>0</v>
      </c>
      <c r="F20" s="211">
        <v>0</v>
      </c>
      <c r="G20" s="211">
        <v>0</v>
      </c>
      <c r="H20" s="211">
        <v>0</v>
      </c>
      <c r="I20" s="211">
        <v>0</v>
      </c>
      <c r="J20" s="211">
        <v>0</v>
      </c>
      <c r="K20" s="211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09">
        <v>0</v>
      </c>
      <c r="S20" s="209">
        <v>0</v>
      </c>
      <c r="U20" s="121"/>
      <c r="V20" s="121"/>
      <c r="W20" s="121"/>
      <c r="Z20" s="121"/>
      <c r="AM20" s="203">
        <v>0</v>
      </c>
      <c r="AN20" s="216">
        <v>0</v>
      </c>
      <c r="AO20" s="216">
        <v>0</v>
      </c>
      <c r="AP20" s="216">
        <v>0</v>
      </c>
      <c r="AQ20" s="121">
        <v>0</v>
      </c>
      <c r="AR20" s="121">
        <v>0</v>
      </c>
    </row>
    <row r="21" spans="1:44">
      <c r="A21" s="209" t="s">
        <v>112</v>
      </c>
      <c r="C21" s="210">
        <f t="shared" si="0"/>
        <v>0</v>
      </c>
      <c r="D21" s="210"/>
      <c r="E21" s="215">
        <v>0</v>
      </c>
      <c r="F21" s="211">
        <v>1.8</v>
      </c>
      <c r="G21" s="211">
        <v>1.8</v>
      </c>
      <c r="H21" s="211">
        <v>1.8</v>
      </c>
      <c r="I21" s="211">
        <v>0</v>
      </c>
      <c r="J21" s="211">
        <v>0</v>
      </c>
      <c r="K21" s="211">
        <v>0</v>
      </c>
      <c r="M21" s="209">
        <v>0</v>
      </c>
      <c r="N21" s="209">
        <v>3</v>
      </c>
      <c r="O21" s="209">
        <v>3</v>
      </c>
      <c r="P21" s="209">
        <v>3</v>
      </c>
      <c r="Q21" s="209">
        <v>0</v>
      </c>
      <c r="R21" s="209">
        <v>0</v>
      </c>
      <c r="S21" s="209">
        <v>0</v>
      </c>
      <c r="U21" s="121"/>
      <c r="V21" s="121"/>
      <c r="W21" s="121"/>
      <c r="Z21" s="121"/>
      <c r="AM21" s="201">
        <v>0</v>
      </c>
      <c r="AN21" s="216">
        <v>0</v>
      </c>
      <c r="AO21" s="216">
        <v>0</v>
      </c>
      <c r="AP21" s="216">
        <v>0</v>
      </c>
      <c r="AQ21" s="121">
        <v>0</v>
      </c>
      <c r="AR21" s="121">
        <v>0</v>
      </c>
    </row>
    <row r="22" spans="1:44">
      <c r="A22" s="209" t="s">
        <v>114</v>
      </c>
      <c r="B22" s="92">
        <v>37.65</v>
      </c>
      <c r="C22" s="210">
        <f t="shared" si="0"/>
        <v>37.65</v>
      </c>
      <c r="D22" s="210"/>
      <c r="E22" s="211">
        <v>0</v>
      </c>
      <c r="F22" s="211">
        <v>0</v>
      </c>
      <c r="G22" s="211">
        <v>0</v>
      </c>
      <c r="H22" s="211">
        <v>0</v>
      </c>
      <c r="I22" s="211">
        <v>0</v>
      </c>
      <c r="J22" s="211">
        <v>3</v>
      </c>
      <c r="K22" s="211">
        <v>3.6</v>
      </c>
      <c r="M22" s="209">
        <v>0</v>
      </c>
      <c r="N22" s="209">
        <v>0</v>
      </c>
      <c r="O22" s="209">
        <v>0</v>
      </c>
      <c r="P22" s="209">
        <v>0</v>
      </c>
      <c r="Q22" s="209">
        <v>0</v>
      </c>
      <c r="R22" s="209">
        <v>3</v>
      </c>
      <c r="S22" s="209">
        <v>3</v>
      </c>
      <c r="U22" s="121"/>
      <c r="V22" s="121"/>
      <c r="W22" s="121"/>
      <c r="Z22" s="121"/>
      <c r="AM22" s="201">
        <v>0</v>
      </c>
      <c r="AN22" s="216">
        <v>0</v>
      </c>
      <c r="AO22" s="216">
        <v>0</v>
      </c>
      <c r="AP22" s="216">
        <v>0</v>
      </c>
      <c r="AQ22" s="121">
        <v>0</v>
      </c>
      <c r="AR22" s="121">
        <v>0</v>
      </c>
    </row>
    <row r="23" spans="1:44">
      <c r="A23" s="209" t="s">
        <v>116</v>
      </c>
      <c r="C23" s="210">
        <f t="shared" si="0"/>
        <v>0</v>
      </c>
      <c r="D23" s="210"/>
      <c r="E23" s="211">
        <v>0</v>
      </c>
      <c r="F23" s="211">
        <v>0</v>
      </c>
      <c r="G23" s="211">
        <v>0</v>
      </c>
      <c r="H23" s="211">
        <v>0</v>
      </c>
      <c r="I23" s="211">
        <v>8</v>
      </c>
      <c r="J23" s="211">
        <v>2</v>
      </c>
      <c r="K23" s="211">
        <v>1.2</v>
      </c>
      <c r="M23" s="209">
        <v>0</v>
      </c>
      <c r="N23" s="209">
        <v>0</v>
      </c>
      <c r="O23" s="209">
        <v>0</v>
      </c>
      <c r="P23" s="209">
        <v>0</v>
      </c>
      <c r="Q23" s="209">
        <v>7</v>
      </c>
      <c r="R23" s="209">
        <v>2</v>
      </c>
      <c r="S23" s="209">
        <v>2</v>
      </c>
      <c r="U23" s="121"/>
      <c r="V23" s="121"/>
      <c r="W23" s="121"/>
      <c r="Z23" s="121"/>
      <c r="AM23" s="201">
        <v>7</v>
      </c>
      <c r="AN23" s="212">
        <v>7</v>
      </c>
      <c r="AO23" s="212">
        <v>7</v>
      </c>
      <c r="AP23" s="213">
        <v>7</v>
      </c>
      <c r="AQ23" s="121">
        <v>5</v>
      </c>
      <c r="AR23" s="121">
        <v>6</v>
      </c>
    </row>
    <row r="24" spans="1:44">
      <c r="A24" s="209" t="s">
        <v>118</v>
      </c>
      <c r="B24" s="92">
        <v>979</v>
      </c>
      <c r="C24" s="210">
        <f t="shared" si="0"/>
        <v>489.599</v>
      </c>
      <c r="D24" s="210"/>
      <c r="E24" s="211">
        <v>489.401</v>
      </c>
      <c r="F24" s="211">
        <v>499.64</v>
      </c>
      <c r="G24" s="211">
        <v>499.64</v>
      </c>
      <c r="H24" s="211">
        <v>499.64</v>
      </c>
      <c r="I24" s="211">
        <v>497.54</v>
      </c>
      <c r="J24" s="211">
        <v>483</v>
      </c>
      <c r="K24" s="211">
        <v>320.89</v>
      </c>
      <c r="M24" s="209">
        <v>466</v>
      </c>
      <c r="N24" s="209">
        <v>475</v>
      </c>
      <c r="O24" s="209">
        <v>475</v>
      </c>
      <c r="P24" s="209">
        <v>475</v>
      </c>
      <c r="Q24" s="209">
        <v>473</v>
      </c>
      <c r="R24" s="209">
        <v>483</v>
      </c>
      <c r="S24" s="209">
        <v>266</v>
      </c>
      <c r="U24" s="121"/>
      <c r="V24" s="121"/>
      <c r="W24" s="121"/>
      <c r="Z24" s="121"/>
      <c r="AM24" s="201">
        <v>33</v>
      </c>
      <c r="AN24" s="216">
        <v>21</v>
      </c>
      <c r="AO24" s="216">
        <v>0</v>
      </c>
      <c r="AP24" s="216">
        <v>0</v>
      </c>
      <c r="AQ24" s="121">
        <v>0</v>
      </c>
      <c r="AR24" s="121">
        <v>0</v>
      </c>
    </row>
    <row r="25" spans="1:44">
      <c r="A25" s="209" t="s">
        <v>819</v>
      </c>
      <c r="B25" s="92">
        <v>4.86</v>
      </c>
      <c r="C25" s="210">
        <f t="shared" si="0"/>
        <v>1.07</v>
      </c>
      <c r="D25" s="210"/>
      <c r="E25" s="215">
        <v>3.79</v>
      </c>
      <c r="F25" s="215">
        <v>4.28</v>
      </c>
      <c r="G25" s="215">
        <v>4.28</v>
      </c>
      <c r="H25" s="215">
        <v>4.28</v>
      </c>
      <c r="I25" s="215">
        <v>0</v>
      </c>
      <c r="J25" s="215">
        <v>0</v>
      </c>
      <c r="K25" s="215">
        <v>0</v>
      </c>
      <c r="M25" s="218">
        <v>3</v>
      </c>
      <c r="N25" s="218">
        <v>4</v>
      </c>
      <c r="O25" s="218">
        <v>4</v>
      </c>
      <c r="P25" s="218">
        <v>4</v>
      </c>
      <c r="Q25" s="218">
        <v>0</v>
      </c>
      <c r="R25" s="218">
        <v>0</v>
      </c>
      <c r="S25" s="218">
        <v>0</v>
      </c>
      <c r="U25" s="121"/>
      <c r="V25" s="121"/>
      <c r="W25" s="121"/>
      <c r="Z25" s="121"/>
      <c r="AM25" s="203">
        <v>0</v>
      </c>
      <c r="AN25" s="216">
        <v>0</v>
      </c>
      <c r="AO25" s="216">
        <v>0</v>
      </c>
      <c r="AP25" s="216">
        <v>0</v>
      </c>
      <c r="AQ25" s="121">
        <v>0</v>
      </c>
      <c r="AR25" s="121">
        <v>0</v>
      </c>
    </row>
    <row r="26" spans="1:44">
      <c r="A26" s="209" t="s">
        <v>122</v>
      </c>
      <c r="B26" s="92">
        <v>54.56</v>
      </c>
      <c r="C26" s="210">
        <f t="shared" si="0"/>
        <v>54.56</v>
      </c>
      <c r="D26" s="210"/>
      <c r="E26" s="215">
        <v>0</v>
      </c>
      <c r="F26" s="211">
        <v>31.37</v>
      </c>
      <c r="G26" s="211">
        <v>31.37</v>
      </c>
      <c r="H26" s="211">
        <v>31.37</v>
      </c>
      <c r="I26" s="211">
        <v>0</v>
      </c>
      <c r="J26" s="211">
        <v>0</v>
      </c>
      <c r="K26" s="211">
        <v>0</v>
      </c>
      <c r="M26" s="209">
        <v>0</v>
      </c>
      <c r="N26" s="209">
        <v>5</v>
      </c>
      <c r="O26" s="209">
        <v>5</v>
      </c>
      <c r="P26" s="209">
        <v>5</v>
      </c>
      <c r="Q26" s="209">
        <v>0</v>
      </c>
      <c r="R26" s="209">
        <v>0</v>
      </c>
      <c r="S26" s="209">
        <v>0</v>
      </c>
      <c r="U26" s="121">
        <v>2</v>
      </c>
      <c r="V26" s="121">
        <v>0.17</v>
      </c>
      <c r="W26" s="121">
        <v>0.48</v>
      </c>
      <c r="Z26" s="121"/>
      <c r="AM26" s="201">
        <v>0</v>
      </c>
      <c r="AN26" s="216">
        <v>0</v>
      </c>
      <c r="AO26" s="216">
        <v>0</v>
      </c>
      <c r="AP26" s="216">
        <v>0</v>
      </c>
      <c r="AQ26" s="121">
        <v>0</v>
      </c>
      <c r="AR26" s="121">
        <v>0</v>
      </c>
    </row>
    <row r="27" spans="1:44">
      <c r="A27" s="209" t="s">
        <v>124</v>
      </c>
      <c r="C27" s="210">
        <f t="shared" si="0"/>
        <v>0</v>
      </c>
      <c r="D27" s="210"/>
      <c r="E27" s="215">
        <v>0</v>
      </c>
      <c r="F27" s="215">
        <v>0</v>
      </c>
      <c r="G27" s="215">
        <v>0</v>
      </c>
      <c r="H27" s="215">
        <v>0</v>
      </c>
      <c r="I27" s="215">
        <v>0</v>
      </c>
      <c r="J27" s="215">
        <v>1</v>
      </c>
      <c r="K27" s="215">
        <v>0.6</v>
      </c>
      <c r="M27" s="218">
        <v>0</v>
      </c>
      <c r="N27" s="218">
        <v>0</v>
      </c>
      <c r="O27" s="218">
        <v>0</v>
      </c>
      <c r="P27" s="218">
        <v>0</v>
      </c>
      <c r="Q27" s="218">
        <v>0</v>
      </c>
      <c r="R27" s="218">
        <v>1</v>
      </c>
      <c r="S27" s="218">
        <v>1</v>
      </c>
      <c r="U27" s="121"/>
      <c r="V27" s="121"/>
      <c r="W27" s="121"/>
      <c r="Z27" s="121"/>
      <c r="AM27" s="201">
        <v>0</v>
      </c>
      <c r="AN27" s="216">
        <v>0</v>
      </c>
      <c r="AO27" s="216">
        <v>0</v>
      </c>
      <c r="AP27" s="216">
        <v>0</v>
      </c>
      <c r="AQ27" s="121">
        <v>0</v>
      </c>
      <c r="AR27" s="121">
        <v>0</v>
      </c>
    </row>
    <row r="28" spans="1:44">
      <c r="A28" s="209" t="s">
        <v>126</v>
      </c>
      <c r="C28" s="210">
        <f t="shared" si="0"/>
        <v>0</v>
      </c>
      <c r="D28" s="210"/>
      <c r="E28" s="211">
        <v>0</v>
      </c>
      <c r="F28" s="211">
        <v>0</v>
      </c>
      <c r="G28" s="211">
        <v>0</v>
      </c>
      <c r="H28" s="211">
        <v>0</v>
      </c>
      <c r="I28" s="211">
        <v>0</v>
      </c>
      <c r="J28" s="211">
        <v>0</v>
      </c>
      <c r="K28" s="211">
        <v>0</v>
      </c>
      <c r="M28" s="209">
        <v>0</v>
      </c>
      <c r="N28" s="209">
        <v>0</v>
      </c>
      <c r="O28" s="209">
        <v>0</v>
      </c>
      <c r="P28" s="209">
        <v>0</v>
      </c>
      <c r="Q28" s="209">
        <v>0</v>
      </c>
      <c r="R28" s="209">
        <v>0</v>
      </c>
      <c r="S28" s="209">
        <v>0</v>
      </c>
      <c r="U28" s="121"/>
      <c r="V28" s="121"/>
      <c r="W28" s="121"/>
      <c r="Z28" s="121">
        <v>15</v>
      </c>
      <c r="AM28" s="201">
        <v>0</v>
      </c>
      <c r="AN28" s="216">
        <v>0</v>
      </c>
      <c r="AO28" s="216">
        <v>0</v>
      </c>
      <c r="AP28" s="216">
        <v>0</v>
      </c>
      <c r="AQ28" s="121">
        <v>0</v>
      </c>
      <c r="AR28" s="121">
        <v>0</v>
      </c>
    </row>
    <row r="29" spans="1:44">
      <c r="A29" s="209" t="s">
        <v>128</v>
      </c>
      <c r="C29" s="210">
        <f t="shared" si="0"/>
        <v>0</v>
      </c>
      <c r="D29" s="210"/>
      <c r="E29" s="215">
        <v>0</v>
      </c>
      <c r="F29" s="215">
        <v>0</v>
      </c>
      <c r="G29" s="215">
        <v>0</v>
      </c>
      <c r="H29" s="215">
        <v>0</v>
      </c>
      <c r="I29" s="215">
        <v>0</v>
      </c>
      <c r="J29" s="215">
        <v>0</v>
      </c>
      <c r="K29" s="215">
        <v>0</v>
      </c>
      <c r="M29" s="218">
        <v>0</v>
      </c>
      <c r="N29" s="218">
        <v>0</v>
      </c>
      <c r="O29" s="218">
        <v>0</v>
      </c>
      <c r="P29" s="218">
        <v>0</v>
      </c>
      <c r="Q29" s="218">
        <v>0</v>
      </c>
      <c r="R29" s="218">
        <v>0</v>
      </c>
      <c r="S29" s="218">
        <v>0</v>
      </c>
      <c r="U29" s="121"/>
      <c r="V29" s="121"/>
      <c r="W29" s="121"/>
      <c r="Z29" s="121"/>
      <c r="AM29" s="201">
        <v>0</v>
      </c>
      <c r="AN29" s="216">
        <v>0</v>
      </c>
      <c r="AO29" s="216">
        <v>0</v>
      </c>
      <c r="AP29" s="216">
        <v>0</v>
      </c>
      <c r="AQ29" s="121">
        <v>0</v>
      </c>
      <c r="AR29" s="121">
        <v>0</v>
      </c>
    </row>
    <row r="30" spans="1:44">
      <c r="A30" s="209" t="s">
        <v>130</v>
      </c>
      <c r="C30" s="210">
        <f t="shared" si="0"/>
        <v>0</v>
      </c>
      <c r="D30" s="210"/>
      <c r="E30" s="215">
        <v>0</v>
      </c>
      <c r="F30" s="215">
        <v>0</v>
      </c>
      <c r="G30" s="215">
        <v>0</v>
      </c>
      <c r="H30" s="215">
        <v>0</v>
      </c>
      <c r="I30" s="215">
        <v>0</v>
      </c>
      <c r="J30" s="215">
        <v>0</v>
      </c>
      <c r="K30" s="215">
        <v>0</v>
      </c>
      <c r="M30" s="218">
        <v>0</v>
      </c>
      <c r="N30" s="218">
        <v>0</v>
      </c>
      <c r="O30" s="218">
        <v>0</v>
      </c>
      <c r="P30" s="218">
        <v>0</v>
      </c>
      <c r="Q30" s="218">
        <v>0</v>
      </c>
      <c r="R30" s="218">
        <v>0</v>
      </c>
      <c r="S30" s="218">
        <v>0</v>
      </c>
      <c r="U30" s="121"/>
      <c r="V30" s="121"/>
      <c r="W30" s="121"/>
      <c r="Z30" s="121"/>
      <c r="AM30" s="203">
        <v>0</v>
      </c>
      <c r="AN30" s="216">
        <v>0</v>
      </c>
      <c r="AO30" s="216">
        <v>0</v>
      </c>
      <c r="AP30" s="216">
        <v>0</v>
      </c>
      <c r="AQ30" s="121">
        <v>0</v>
      </c>
      <c r="AR30" s="121">
        <v>0</v>
      </c>
    </row>
    <row r="31" spans="1:44">
      <c r="A31" s="209" t="s">
        <v>1329</v>
      </c>
      <c r="B31" s="92">
        <v>3.46</v>
      </c>
      <c r="C31" s="210">
        <f t="shared" si="0"/>
        <v>3.46</v>
      </c>
      <c r="D31" s="210"/>
      <c r="E31" s="215">
        <v>0</v>
      </c>
      <c r="F31" s="215">
        <v>0</v>
      </c>
      <c r="G31" s="215">
        <v>0</v>
      </c>
      <c r="H31" s="215">
        <v>0</v>
      </c>
      <c r="I31" s="215">
        <v>0</v>
      </c>
      <c r="J31" s="215">
        <v>0</v>
      </c>
      <c r="K31" s="215">
        <v>0</v>
      </c>
      <c r="M31" s="218">
        <v>0</v>
      </c>
      <c r="N31" s="218">
        <v>0</v>
      </c>
      <c r="O31" s="218">
        <v>0</v>
      </c>
      <c r="P31" s="218">
        <v>0</v>
      </c>
      <c r="Q31" s="218">
        <v>0</v>
      </c>
      <c r="R31" s="218">
        <v>0</v>
      </c>
      <c r="S31" s="218">
        <v>0</v>
      </c>
      <c r="U31" s="121">
        <v>7</v>
      </c>
      <c r="V31" s="121"/>
      <c r="W31" s="121"/>
      <c r="Z31" s="121"/>
      <c r="AM31" s="201">
        <v>39</v>
      </c>
      <c r="AN31" s="212">
        <v>38</v>
      </c>
      <c r="AO31" s="212">
        <v>38</v>
      </c>
      <c r="AP31" s="213">
        <v>38</v>
      </c>
      <c r="AQ31" s="121">
        <v>39</v>
      </c>
      <c r="AR31" s="121">
        <v>39</v>
      </c>
    </row>
    <row r="32" spans="1:44">
      <c r="A32" s="209" t="s">
        <v>134</v>
      </c>
      <c r="C32" s="210">
        <f t="shared" si="0"/>
        <v>0</v>
      </c>
      <c r="D32" s="210"/>
      <c r="E32" s="215">
        <v>0</v>
      </c>
      <c r="F32" s="211">
        <v>0</v>
      </c>
      <c r="G32" s="211">
        <v>0</v>
      </c>
      <c r="H32" s="211">
        <v>0</v>
      </c>
      <c r="I32" s="211">
        <v>0</v>
      </c>
      <c r="J32" s="211">
        <v>0</v>
      </c>
      <c r="K32" s="211">
        <v>0</v>
      </c>
      <c r="M32" s="209">
        <v>0</v>
      </c>
      <c r="N32" s="209">
        <v>0</v>
      </c>
      <c r="O32" s="209">
        <v>0</v>
      </c>
      <c r="P32" s="209">
        <v>0</v>
      </c>
      <c r="Q32" s="209">
        <v>0</v>
      </c>
      <c r="R32" s="209">
        <v>0</v>
      </c>
      <c r="S32" s="209">
        <v>0</v>
      </c>
      <c r="U32" s="121"/>
      <c r="V32" s="121"/>
      <c r="W32" s="121"/>
      <c r="Z32" s="121"/>
      <c r="AM32" s="201">
        <v>0</v>
      </c>
      <c r="AN32" s="216">
        <v>0</v>
      </c>
      <c r="AO32" s="216">
        <v>0</v>
      </c>
      <c r="AP32" s="216">
        <v>0</v>
      </c>
      <c r="AQ32" s="121">
        <v>0</v>
      </c>
      <c r="AR32" s="121">
        <v>0</v>
      </c>
    </row>
    <row r="33" spans="1:66">
      <c r="A33" s="209" t="s">
        <v>136</v>
      </c>
      <c r="C33" s="210">
        <f t="shared" si="0"/>
        <v>0</v>
      </c>
      <c r="D33" s="210"/>
      <c r="E33" s="215">
        <v>0</v>
      </c>
      <c r="F33" s="211">
        <v>0</v>
      </c>
      <c r="G33" s="211">
        <v>0</v>
      </c>
      <c r="H33" s="211">
        <v>0</v>
      </c>
      <c r="I33" s="211">
        <v>0</v>
      </c>
      <c r="J33" s="211">
        <v>0</v>
      </c>
      <c r="K33" s="211">
        <v>0</v>
      </c>
      <c r="M33" s="209">
        <v>0</v>
      </c>
      <c r="N33" s="209">
        <v>0</v>
      </c>
      <c r="O33" s="209">
        <v>0</v>
      </c>
      <c r="P33" s="209">
        <v>0</v>
      </c>
      <c r="Q33" s="209">
        <v>0</v>
      </c>
      <c r="R33" s="209">
        <v>0</v>
      </c>
      <c r="S33" s="209">
        <v>0</v>
      </c>
      <c r="U33" s="121"/>
      <c r="V33" s="121"/>
      <c r="W33" s="121"/>
      <c r="Z33" s="121"/>
      <c r="AM33" s="204">
        <v>0</v>
      </c>
      <c r="AN33" s="216">
        <v>0</v>
      </c>
      <c r="AO33" s="216">
        <v>0</v>
      </c>
      <c r="AP33" s="216">
        <v>0</v>
      </c>
      <c r="AQ33" s="121">
        <v>0</v>
      </c>
      <c r="AR33" s="121">
        <v>0</v>
      </c>
    </row>
    <row r="34" spans="1:66">
      <c r="A34" s="209" t="s">
        <v>138</v>
      </c>
      <c r="C34" s="210">
        <f t="shared" si="0"/>
        <v>0</v>
      </c>
      <c r="D34" s="210"/>
      <c r="E34" s="215">
        <v>0</v>
      </c>
      <c r="F34" s="211">
        <v>0</v>
      </c>
      <c r="G34" s="211">
        <v>0</v>
      </c>
      <c r="H34" s="211">
        <v>0</v>
      </c>
      <c r="I34" s="211">
        <v>0</v>
      </c>
      <c r="J34" s="211">
        <v>0</v>
      </c>
      <c r="K34" s="211">
        <v>0</v>
      </c>
      <c r="M34" s="209">
        <v>0</v>
      </c>
      <c r="N34" s="209">
        <v>0</v>
      </c>
      <c r="O34" s="209">
        <v>0</v>
      </c>
      <c r="P34" s="209">
        <v>0</v>
      </c>
      <c r="Q34" s="209">
        <v>0</v>
      </c>
      <c r="R34" s="209">
        <v>0</v>
      </c>
      <c r="S34" s="209">
        <v>0</v>
      </c>
      <c r="U34" s="121"/>
      <c r="V34" s="121"/>
      <c r="W34" s="121"/>
      <c r="Z34" s="121"/>
      <c r="AM34" s="203">
        <v>0</v>
      </c>
      <c r="AN34" s="216">
        <v>0</v>
      </c>
      <c r="AO34" s="216">
        <v>0</v>
      </c>
      <c r="AP34" s="216">
        <v>0</v>
      </c>
      <c r="AQ34" s="121">
        <v>0</v>
      </c>
      <c r="AR34" s="121">
        <v>0</v>
      </c>
    </row>
    <row r="35" spans="1:66">
      <c r="A35" s="209" t="s">
        <v>1311</v>
      </c>
      <c r="C35" s="210">
        <f t="shared" si="0"/>
        <v>0</v>
      </c>
      <c r="D35" s="210"/>
      <c r="E35" s="215">
        <v>0</v>
      </c>
      <c r="F35" s="215">
        <v>0</v>
      </c>
      <c r="G35" s="215">
        <v>0</v>
      </c>
      <c r="H35" s="215">
        <v>0</v>
      </c>
      <c r="I35" s="215">
        <v>0</v>
      </c>
      <c r="J35" s="215">
        <v>0</v>
      </c>
      <c r="K35" s="215">
        <v>0</v>
      </c>
      <c r="M35" s="218">
        <v>0</v>
      </c>
      <c r="N35" s="218">
        <v>0</v>
      </c>
      <c r="O35" s="218">
        <v>0</v>
      </c>
      <c r="P35" s="218">
        <v>0</v>
      </c>
      <c r="Q35" s="218">
        <v>0</v>
      </c>
      <c r="R35" s="218">
        <v>0</v>
      </c>
      <c r="S35" s="218">
        <v>0</v>
      </c>
      <c r="U35" s="121"/>
      <c r="V35" s="121"/>
      <c r="W35" s="121"/>
      <c r="Z35" s="121"/>
      <c r="AM35" s="201">
        <v>0</v>
      </c>
      <c r="AN35" s="216">
        <v>0</v>
      </c>
      <c r="AO35" s="216">
        <v>0</v>
      </c>
      <c r="AP35" s="216">
        <v>0</v>
      </c>
      <c r="AQ35" s="121">
        <v>0</v>
      </c>
      <c r="AR35" s="121">
        <v>0</v>
      </c>
    </row>
    <row r="36" spans="1:66">
      <c r="A36" s="209" t="s">
        <v>918</v>
      </c>
      <c r="B36" s="92">
        <v>47.31</v>
      </c>
      <c r="C36" s="210">
        <f t="shared" si="0"/>
        <v>47.31</v>
      </c>
      <c r="D36" s="210"/>
      <c r="E36" s="215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v>0</v>
      </c>
      <c r="K36" s="211">
        <v>0</v>
      </c>
      <c r="M36" s="209">
        <v>0</v>
      </c>
      <c r="N36" s="209">
        <v>0</v>
      </c>
      <c r="O36" s="209">
        <v>0</v>
      </c>
      <c r="P36" s="209">
        <v>0</v>
      </c>
      <c r="Q36" s="209">
        <v>0</v>
      </c>
      <c r="R36" s="209">
        <v>0</v>
      </c>
      <c r="S36" s="209">
        <v>0</v>
      </c>
      <c r="U36" s="121"/>
      <c r="V36" s="121"/>
      <c r="W36" s="121">
        <v>2.5</v>
      </c>
      <c r="Z36" s="121"/>
      <c r="AM36" s="201">
        <v>0</v>
      </c>
      <c r="AN36" s="219">
        <v>0</v>
      </c>
      <c r="AO36" s="219">
        <v>0</v>
      </c>
      <c r="AP36" s="219">
        <v>0</v>
      </c>
      <c r="AQ36" s="121">
        <v>0</v>
      </c>
      <c r="AR36" s="121">
        <v>0</v>
      </c>
    </row>
    <row r="38" spans="1:66">
      <c r="E38" s="92">
        <v>0</v>
      </c>
      <c r="F38" s="92">
        <v>0</v>
      </c>
      <c r="G38" s="92">
        <v>0</v>
      </c>
      <c r="H38" s="92">
        <v>179.6</v>
      </c>
      <c r="I38" s="92">
        <v>-0.0100000000002183</v>
      </c>
      <c r="J38" s="92">
        <v>0</v>
      </c>
      <c r="K38" s="92">
        <v>0</v>
      </c>
      <c r="M38" s="92">
        <v>0</v>
      </c>
      <c r="N38" s="92">
        <v>0</v>
      </c>
      <c r="O38" s="92">
        <v>2</v>
      </c>
      <c r="P38" s="92">
        <v>20</v>
      </c>
      <c r="Q38" s="92">
        <v>0</v>
      </c>
      <c r="R38" s="92">
        <v>0</v>
      </c>
      <c r="S38" s="92">
        <v>0</v>
      </c>
    </row>
    <row r="42" spans="1:66">
      <c r="B42" s="97" t="s">
        <v>1330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X42" s="97" t="s">
        <v>1331</v>
      </c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T42" s="97" t="s">
        <v>1332</v>
      </c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</row>
    <row r="43" spans="1:66">
      <c r="B43" s="92">
        <v>2001</v>
      </c>
      <c r="C43" s="92">
        <v>2002</v>
      </c>
      <c r="D43" s="92">
        <v>2003</v>
      </c>
      <c r="E43" s="92">
        <v>2004</v>
      </c>
      <c r="F43" s="92">
        <v>2005</v>
      </c>
      <c r="G43" s="92">
        <v>2006</v>
      </c>
      <c r="H43" s="92">
        <v>2007</v>
      </c>
      <c r="I43" s="92">
        <v>2008</v>
      </c>
      <c r="J43" s="92">
        <v>2009</v>
      </c>
      <c r="K43" s="92">
        <v>2010</v>
      </c>
      <c r="L43" s="92">
        <v>2011</v>
      </c>
      <c r="M43" s="92">
        <v>2012</v>
      </c>
      <c r="N43" s="92">
        <v>2013</v>
      </c>
      <c r="O43" s="92">
        <v>2014</v>
      </c>
      <c r="P43" s="92">
        <v>2015</v>
      </c>
      <c r="Q43" s="92">
        <v>2016</v>
      </c>
      <c r="R43" s="92">
        <v>2017</v>
      </c>
      <c r="S43" s="92">
        <v>2018</v>
      </c>
      <c r="T43" s="92">
        <v>2019</v>
      </c>
      <c r="U43" s="92">
        <v>2020</v>
      </c>
      <c r="V43" s="92">
        <v>2021</v>
      </c>
      <c r="X43" s="92">
        <v>2001</v>
      </c>
      <c r="Y43" s="92">
        <v>2002</v>
      </c>
      <c r="Z43" s="92">
        <v>2003</v>
      </c>
      <c r="AA43" s="92">
        <v>2004</v>
      </c>
      <c r="AB43" s="92">
        <v>2005</v>
      </c>
      <c r="AC43" s="92">
        <v>2006</v>
      </c>
      <c r="AD43" s="92">
        <v>2007</v>
      </c>
      <c r="AE43" s="92">
        <v>2008</v>
      </c>
      <c r="AF43" s="92">
        <v>2009</v>
      </c>
      <c r="AG43" s="92">
        <v>2010</v>
      </c>
      <c r="AH43" s="92">
        <v>2011</v>
      </c>
      <c r="AI43" s="92">
        <v>2012</v>
      </c>
      <c r="AJ43" s="92">
        <v>2013</v>
      </c>
      <c r="AK43" s="92">
        <v>2014</v>
      </c>
      <c r="AL43" s="92">
        <v>2015</v>
      </c>
      <c r="AM43" s="92">
        <v>2016</v>
      </c>
      <c r="AN43" s="92">
        <v>2017</v>
      </c>
      <c r="AO43" s="92">
        <v>2018</v>
      </c>
      <c r="AP43" s="92">
        <v>2019</v>
      </c>
      <c r="AQ43" s="92">
        <v>2020</v>
      </c>
      <c r="AR43" s="92">
        <v>2021</v>
      </c>
      <c r="AT43" s="92">
        <v>2001</v>
      </c>
      <c r="AU43" s="92">
        <v>2002</v>
      </c>
      <c r="AV43" s="92">
        <v>2003</v>
      </c>
      <c r="AW43" s="92">
        <v>2004</v>
      </c>
      <c r="AX43" s="92">
        <v>2005</v>
      </c>
      <c r="AY43" s="92">
        <v>2006</v>
      </c>
      <c r="AZ43" s="92">
        <v>2007</v>
      </c>
      <c r="BA43" s="92">
        <v>2008</v>
      </c>
      <c r="BB43" s="92">
        <v>2009</v>
      </c>
      <c r="BC43" s="92">
        <v>2010</v>
      </c>
      <c r="BD43" s="92">
        <v>2011</v>
      </c>
      <c r="BE43" s="92">
        <v>2012</v>
      </c>
      <c r="BF43" s="92">
        <v>2013</v>
      </c>
      <c r="BG43" s="92">
        <v>2014</v>
      </c>
      <c r="BH43" s="92">
        <v>2015</v>
      </c>
      <c r="BI43" s="92">
        <v>2016</v>
      </c>
      <c r="BJ43" s="92">
        <v>2017</v>
      </c>
      <c r="BK43" s="92">
        <v>2018</v>
      </c>
      <c r="BL43" s="92">
        <v>2019</v>
      </c>
      <c r="BM43" s="92">
        <v>2020</v>
      </c>
      <c r="BN43" s="92">
        <v>2021</v>
      </c>
    </row>
    <row r="44" spans="1:66">
      <c r="A44" s="209" t="s">
        <v>1310</v>
      </c>
      <c r="B44" s="210">
        <f t="shared" ref="B44:V44" si="1">SUM(B45:B75)</f>
        <v>521.364</v>
      </c>
      <c r="C44" s="210">
        <f t="shared" si="1"/>
        <v>569.58</v>
      </c>
      <c r="D44" s="210">
        <f t="shared" si="1"/>
        <v>570.18</v>
      </c>
      <c r="E44" s="210">
        <f t="shared" si="1"/>
        <v>570.18</v>
      </c>
      <c r="F44" s="210">
        <f t="shared" si="1"/>
        <v>570.75</v>
      </c>
      <c r="G44" s="210">
        <f t="shared" si="1"/>
        <v>535</v>
      </c>
      <c r="H44" s="210">
        <f t="shared" si="1"/>
        <v>365.73</v>
      </c>
      <c r="I44" s="210">
        <f t="shared" si="1"/>
        <v>338.671111111111</v>
      </c>
      <c r="J44" s="210">
        <f t="shared" si="1"/>
        <v>302.782222222222</v>
      </c>
      <c r="K44" s="210">
        <f t="shared" si="1"/>
        <v>269.703333333333</v>
      </c>
      <c r="L44" s="210">
        <f t="shared" si="1"/>
        <v>232.925</v>
      </c>
      <c r="M44" s="210">
        <f t="shared" si="1"/>
        <v>196.146666666667</v>
      </c>
      <c r="N44" s="210">
        <f t="shared" si="1"/>
        <v>174.368333333333</v>
      </c>
      <c r="O44" s="210">
        <f t="shared" si="1"/>
        <v>132.59</v>
      </c>
      <c r="P44" s="210">
        <f t="shared" si="1"/>
        <v>90.8116666666667</v>
      </c>
      <c r="Q44" s="210">
        <f t="shared" si="1"/>
        <v>48.2</v>
      </c>
      <c r="R44" s="210">
        <f t="shared" si="1"/>
        <v>36.2</v>
      </c>
      <c r="S44" s="210">
        <f t="shared" si="1"/>
        <v>11.2</v>
      </c>
      <c r="T44" s="210">
        <f t="shared" si="1"/>
        <v>11.2</v>
      </c>
      <c r="U44" s="210">
        <f t="shared" si="1"/>
        <v>10.2</v>
      </c>
      <c r="V44" s="210">
        <f t="shared" si="1"/>
        <v>10.2</v>
      </c>
      <c r="X44" s="210"/>
      <c r="Y44" s="210">
        <f t="shared" ref="Y44:AR44" si="2">SUM(Y45:Y75)</f>
        <v>50.275</v>
      </c>
      <c r="Z44" s="210">
        <f t="shared" si="2"/>
        <v>0.6</v>
      </c>
      <c r="AA44" s="210">
        <f t="shared" si="2"/>
        <v>0</v>
      </c>
      <c r="AB44" s="210">
        <f t="shared" si="2"/>
        <v>41.32</v>
      </c>
      <c r="AC44" s="210">
        <f t="shared" si="2"/>
        <v>4</v>
      </c>
      <c r="AD44" s="210">
        <f t="shared" si="2"/>
        <v>2.79</v>
      </c>
      <c r="AE44" s="210">
        <f t="shared" si="2"/>
        <v>9</v>
      </c>
      <c r="AF44" s="210">
        <f t="shared" si="2"/>
        <v>0.17</v>
      </c>
      <c r="AG44" s="210">
        <f t="shared" si="2"/>
        <v>2.98</v>
      </c>
      <c r="AH44" s="210">
        <f t="shared" si="2"/>
        <v>0</v>
      </c>
      <c r="AI44" s="210">
        <f t="shared" si="2"/>
        <v>0</v>
      </c>
      <c r="AJ44" s="210">
        <f t="shared" si="2"/>
        <v>15</v>
      </c>
      <c r="AK44" s="210">
        <f t="shared" si="2"/>
        <v>0</v>
      </c>
      <c r="AL44" s="210">
        <f t="shared" si="2"/>
        <v>0</v>
      </c>
      <c r="AM44" s="210">
        <f t="shared" si="2"/>
        <v>0</v>
      </c>
      <c r="AN44" s="210">
        <f t="shared" si="2"/>
        <v>0</v>
      </c>
      <c r="AO44" s="210">
        <f t="shared" si="2"/>
        <v>0</v>
      </c>
      <c r="AP44" s="210">
        <f t="shared" si="2"/>
        <v>0</v>
      </c>
      <c r="AQ44" s="210">
        <f t="shared" si="2"/>
        <v>0</v>
      </c>
      <c r="AR44" s="210">
        <f t="shared" si="2"/>
        <v>0</v>
      </c>
      <c r="AT44" s="210"/>
      <c r="AU44" s="210">
        <f t="shared" ref="AU44:BN44" si="3">SUM(AU45:AU75)</f>
        <v>2.059</v>
      </c>
      <c r="AV44" s="210">
        <f t="shared" si="3"/>
        <v>0</v>
      </c>
      <c r="AW44" s="210">
        <f t="shared" si="3"/>
        <v>0</v>
      </c>
      <c r="AX44" s="210">
        <f t="shared" si="3"/>
        <v>40.75</v>
      </c>
      <c r="AY44" s="210">
        <f t="shared" si="3"/>
        <v>39.75</v>
      </c>
      <c r="AZ44" s="210">
        <f t="shared" si="3"/>
        <v>172.06</v>
      </c>
      <c r="BA44" s="210">
        <f t="shared" si="3"/>
        <v>36.0588888888889</v>
      </c>
      <c r="BB44" s="210">
        <f t="shared" si="3"/>
        <v>36.0588888888889</v>
      </c>
      <c r="BC44" s="210">
        <f t="shared" si="3"/>
        <v>36.0588888888889</v>
      </c>
      <c r="BD44" s="210">
        <f t="shared" si="3"/>
        <v>36.7783333333333</v>
      </c>
      <c r="BE44" s="210">
        <f t="shared" si="3"/>
        <v>36.7783333333333</v>
      </c>
      <c r="BF44" s="210">
        <f t="shared" si="3"/>
        <v>36.7783333333333</v>
      </c>
      <c r="BG44" s="210">
        <f t="shared" si="3"/>
        <v>41.7783333333333</v>
      </c>
      <c r="BH44" s="210">
        <f t="shared" si="3"/>
        <v>41.7783333333333</v>
      </c>
      <c r="BI44" s="210">
        <f t="shared" si="3"/>
        <v>42.6116666666667</v>
      </c>
      <c r="BJ44" s="210">
        <f t="shared" si="3"/>
        <v>12</v>
      </c>
      <c r="BK44" s="210">
        <f t="shared" si="3"/>
        <v>25</v>
      </c>
      <c r="BL44" s="210">
        <f t="shared" si="3"/>
        <v>0</v>
      </c>
      <c r="BM44" s="210">
        <f t="shared" si="3"/>
        <v>1</v>
      </c>
      <c r="BN44" s="210">
        <f t="shared" si="3"/>
        <v>0</v>
      </c>
    </row>
    <row r="45" spans="1:66">
      <c r="A45" s="214" t="s">
        <v>82</v>
      </c>
      <c r="B45" s="210">
        <f t="shared" ref="B45:B75" si="4">E6</f>
        <v>0</v>
      </c>
      <c r="C45" s="210">
        <f t="shared" ref="C45:C75" si="5">F6</f>
        <v>0</v>
      </c>
      <c r="D45" s="210">
        <f t="shared" ref="D45:D75" si="6">G6</f>
        <v>0</v>
      </c>
      <c r="E45" s="210">
        <f t="shared" ref="E45:E75" si="7">H6</f>
        <v>0</v>
      </c>
      <c r="F45" s="210">
        <f t="shared" ref="F45:F75" si="8">I6</f>
        <v>0</v>
      </c>
      <c r="G45" s="210">
        <f t="shared" ref="G45:G75" si="9">J6</f>
        <v>0</v>
      </c>
      <c r="H45" s="210">
        <f t="shared" ref="H45:H75" si="10">K6</f>
        <v>0</v>
      </c>
      <c r="I45" s="210">
        <f>H45+AE45-IF(AE45=0,($K6+SUM($AE45:AE45)-$Q45)/9,0)</f>
        <v>0</v>
      </c>
      <c r="J45" s="210">
        <f>I45+AF45-IF(AF45=0,($K6+SUM($AE45:AF45)-$Q45)/9,0)</f>
        <v>0</v>
      </c>
      <c r="K45" s="210">
        <f>J45+AG45-IF(AG45=0,($K6+SUM($AE45:AG45)-$Q45)/9,0)</f>
        <v>0</v>
      </c>
      <c r="L45" s="210">
        <f>K45+AH45-IF(AH45=0,($K6+SUM($AE45:AH45)-$Q45)/9,0)</f>
        <v>0</v>
      </c>
      <c r="M45" s="210">
        <f>L45+AI45-IF(AI45=0,($K6+SUM($AE45:AI45)-$Q45)/9,0)</f>
        <v>0</v>
      </c>
      <c r="N45" s="210">
        <f>M45+AJ45-IF(AJ45=0,($K6+SUM($AE45:AJ45)-$Q45)/9,0)</f>
        <v>0</v>
      </c>
      <c r="O45" s="210">
        <f>N45+AK45-IF(AK45=0,($K6+SUM($AE45:AK45)-$Q45)/9,0)</f>
        <v>0</v>
      </c>
      <c r="P45" s="210">
        <f>O45+AL45-IF(AL45=0,($K6+SUM($AE45:AL45)-$Q45)/9,0)</f>
        <v>0</v>
      </c>
      <c r="Q45" s="210">
        <f>MIN(MAX(AM6:$AR6),$K6+SUM($AE45:$AM45))</f>
        <v>0</v>
      </c>
      <c r="R45" s="210">
        <f>MIN(MAX(AN6:$AR6),$K6+SUM($AE45:$AM45))</f>
        <v>0</v>
      </c>
      <c r="S45" s="210">
        <f>MIN(MAX(AO6:$AR6),$K6+SUM($AE45:$AM45))</f>
        <v>0</v>
      </c>
      <c r="T45" s="210">
        <f>MIN(MAX(AP6:$AR6),$K6+SUM($AE45:$AM45))</f>
        <v>0</v>
      </c>
      <c r="U45" s="210">
        <f>MIN(MAX(AQ6:$AR6),$K6+SUM($AE45:$AM45))</f>
        <v>0</v>
      </c>
      <c r="V45" s="210">
        <f>MIN(MAX(AR6:$AR6),$K6+SUM($AE45:$AM45))</f>
        <v>0</v>
      </c>
      <c r="X45" s="210"/>
      <c r="Y45" s="210">
        <f t="shared" ref="Y45:Y75" si="11">MAX(F6-E6,0)</f>
        <v>0</v>
      </c>
      <c r="Z45" s="210">
        <f t="shared" ref="Z45:Z75" si="12">MAX(G6-F6,0)</f>
        <v>0</v>
      </c>
      <c r="AA45" s="210">
        <f t="shared" ref="AA45:AA75" si="13">MAX(H6-G6,0)</f>
        <v>0</v>
      </c>
      <c r="AB45" s="210">
        <f t="shared" ref="AB45:AB75" si="14">MAX(I6-H6,0)</f>
        <v>0</v>
      </c>
      <c r="AC45" s="210">
        <f t="shared" ref="AC45:AC75" si="15">MAX(J6-I6,0)</f>
        <v>0</v>
      </c>
      <c r="AD45" s="210">
        <f t="shared" ref="AD45:AD75" si="16">MAX(K6-J6,0)</f>
        <v>0</v>
      </c>
      <c r="AE45" s="210">
        <f t="shared" ref="AE45:AE75" si="17">U6</f>
        <v>0</v>
      </c>
      <c r="AF45" s="210">
        <f t="shared" ref="AF45:AF75" si="18">V6</f>
        <v>0</v>
      </c>
      <c r="AG45" s="210">
        <f t="shared" ref="AG45:AG75" si="19">W6</f>
        <v>0</v>
      </c>
      <c r="AH45" s="210">
        <f t="shared" ref="AH45:AH75" si="20">X6</f>
        <v>0</v>
      </c>
      <c r="AI45" s="210">
        <f t="shared" ref="AI45:AI75" si="21">Y6</f>
        <v>0</v>
      </c>
      <c r="AJ45" s="210">
        <f t="shared" ref="AJ45:AJ75" si="22">Z6</f>
        <v>0</v>
      </c>
      <c r="AK45" s="210">
        <f t="shared" ref="AK45:AK75" si="23">AA6</f>
        <v>0</v>
      </c>
      <c r="AL45" s="210">
        <f t="shared" ref="AL45:AL75" si="24">AB6</f>
        <v>0</v>
      </c>
      <c r="AM45" s="210">
        <f t="shared" ref="AM45:AM75" si="25">AC6</f>
        <v>0</v>
      </c>
      <c r="AN45" s="210">
        <f t="shared" ref="AN45:AN75" si="26">AD6</f>
        <v>0</v>
      </c>
      <c r="AO45" s="210">
        <f t="shared" ref="AO45:AO75" si="27">AE6</f>
        <v>0</v>
      </c>
      <c r="AP45" s="210">
        <f t="shared" ref="AP45:AP75" si="28">AF6</f>
        <v>0</v>
      </c>
      <c r="AQ45" s="210">
        <f t="shared" ref="AQ45:AQ75" si="29">AG6</f>
        <v>0</v>
      </c>
      <c r="AR45" s="210">
        <f t="shared" ref="AR45:AR75" si="30">AH6</f>
        <v>0</v>
      </c>
      <c r="AT45" s="210"/>
      <c r="AU45" s="210">
        <f t="shared" ref="AU45:AU75" si="31">B45-C45+Y45</f>
        <v>0</v>
      </c>
      <c r="AV45" s="210">
        <f t="shared" ref="AV45:AV75" si="32">C45-D45+Z45</f>
        <v>0</v>
      </c>
      <c r="AW45" s="210">
        <f t="shared" ref="AW45:AW75" si="33">D45-E45+AA45</f>
        <v>0</v>
      </c>
      <c r="AX45" s="210">
        <f t="shared" ref="AX45:AX75" si="34">E45-F45+AB45</f>
        <v>0</v>
      </c>
      <c r="AY45" s="210">
        <f t="shared" ref="AY45:AY75" si="35">F45-G45+AC45</f>
        <v>0</v>
      </c>
      <c r="AZ45" s="210">
        <f t="shared" ref="AZ45:AZ75" si="36">G45-H45+AD45</f>
        <v>0</v>
      </c>
      <c r="BA45" s="210">
        <f t="shared" ref="BA45:BA75" si="37">H45-I45+AE45</f>
        <v>0</v>
      </c>
      <c r="BB45" s="210">
        <f t="shared" ref="BB45:BB75" si="38">I45-J45+AF45</f>
        <v>0</v>
      </c>
      <c r="BC45" s="210">
        <f t="shared" ref="BC45:BC75" si="39">J45-K45+AG45</f>
        <v>0</v>
      </c>
      <c r="BD45" s="210">
        <f t="shared" ref="BD45:BD75" si="40">K45-L45+AH45</f>
        <v>0</v>
      </c>
      <c r="BE45" s="210">
        <f t="shared" ref="BE45:BE75" si="41">L45-M45+AI45</f>
        <v>0</v>
      </c>
      <c r="BF45" s="210">
        <f t="shared" ref="BF45:BF75" si="42">M45-N45+AJ45</f>
        <v>0</v>
      </c>
      <c r="BG45" s="210">
        <f t="shared" ref="BG45:BG75" si="43">N45-O45+AK45</f>
        <v>0</v>
      </c>
      <c r="BH45" s="210">
        <f t="shared" ref="BH45:BH75" si="44">O45-P45+AL45</f>
        <v>0</v>
      </c>
      <c r="BI45" s="210">
        <f t="shared" ref="BI45:BI75" si="45">P45-Q45+AM45</f>
        <v>0</v>
      </c>
      <c r="BJ45" s="210">
        <f t="shared" ref="BJ45:BJ75" si="46">Q45-R45+AN45</f>
        <v>0</v>
      </c>
      <c r="BK45" s="210">
        <f t="shared" ref="BK45:BK75" si="47">R45-S45+AO45</f>
        <v>0</v>
      </c>
      <c r="BL45" s="210">
        <f t="shared" ref="BL45:BL75" si="48">S45-T45+AP45</f>
        <v>0</v>
      </c>
      <c r="BM45" s="210">
        <f t="shared" ref="BM45:BM75" si="49">T45-U45+AQ45</f>
        <v>0</v>
      </c>
      <c r="BN45" s="210">
        <f t="shared" ref="BN45:BN75" si="50">U45-V45+AR45</f>
        <v>0</v>
      </c>
    </row>
    <row r="46" spans="1:66">
      <c r="A46" s="209" t="s">
        <v>84</v>
      </c>
      <c r="B46" s="210">
        <f t="shared" si="4"/>
        <v>0</v>
      </c>
      <c r="C46" s="210">
        <f t="shared" si="5"/>
        <v>0</v>
      </c>
      <c r="D46" s="210">
        <f t="shared" si="6"/>
        <v>0</v>
      </c>
      <c r="E46" s="210">
        <f t="shared" si="7"/>
        <v>0</v>
      </c>
      <c r="F46" s="210">
        <f t="shared" si="8"/>
        <v>0</v>
      </c>
      <c r="G46" s="210">
        <f t="shared" si="9"/>
        <v>0</v>
      </c>
      <c r="H46" s="210">
        <f t="shared" si="10"/>
        <v>0</v>
      </c>
      <c r="I46" s="210">
        <f>H46+AE46-IF(AE46=0,($K7+SUM($AE46:AE46)-$Q46)/9,0)</f>
        <v>0</v>
      </c>
      <c r="J46" s="210">
        <f>I46+AF46-IF(AF46=0,($K7+SUM($AE46:AF46)-$Q46)/9,0)</f>
        <v>0</v>
      </c>
      <c r="K46" s="210">
        <f>J46+AG46-IF(AG46=0,($K7+SUM($AE46:AG46)-$Q46)/9,0)</f>
        <v>0</v>
      </c>
      <c r="L46" s="210">
        <f>K46+AH46-IF(AH46=0,($K7+SUM($AE46:AH46)-$Q46)/9,0)</f>
        <v>0</v>
      </c>
      <c r="M46" s="210">
        <f>L46+AI46-IF(AI46=0,($K7+SUM($AE46:AI46)-$Q46)/9,0)</f>
        <v>0</v>
      </c>
      <c r="N46" s="210">
        <f>M46+AJ46-IF(AJ46=0,($K7+SUM($AE46:AJ46)-$Q46)/9,0)</f>
        <v>0</v>
      </c>
      <c r="O46" s="210">
        <f>N46+AK46-IF(AK46=0,($K7+SUM($AE46:AK46)-$Q46)/9,0)</f>
        <v>0</v>
      </c>
      <c r="P46" s="210">
        <f>O46+AL46-IF(AL46=0,($K7+SUM($AE46:AL46)-$Q46)/9,0)</f>
        <v>0</v>
      </c>
      <c r="Q46" s="210">
        <f>MIN(MAX(AM7:$AR7),$K7+SUM($AE46:$AM46))</f>
        <v>0</v>
      </c>
      <c r="R46" s="210">
        <f>MIN(MAX(AN7:$AR7),$K7+SUM($AE46:$AM46))</f>
        <v>0</v>
      </c>
      <c r="S46" s="210">
        <f>MIN(MAX(AO7:$AR7),$K7+SUM($AE46:$AM46))</f>
        <v>0</v>
      </c>
      <c r="T46" s="210">
        <f>MIN(MAX(AP7:$AR7),$K7+SUM($AE46:$AM46))</f>
        <v>0</v>
      </c>
      <c r="U46" s="210">
        <f>MIN(MAX(AQ7:$AR7),$K7+SUM($AE46:$AM46))</f>
        <v>0</v>
      </c>
      <c r="V46" s="210">
        <f>MIN(MAX(AR7:$AR7),$K7+SUM($AE46:$AM46))</f>
        <v>0</v>
      </c>
      <c r="X46" s="210"/>
      <c r="Y46" s="210">
        <f t="shared" si="11"/>
        <v>0</v>
      </c>
      <c r="Z46" s="210">
        <f t="shared" si="12"/>
        <v>0</v>
      </c>
      <c r="AA46" s="210">
        <f t="shared" si="13"/>
        <v>0</v>
      </c>
      <c r="AB46" s="210">
        <f t="shared" si="14"/>
        <v>0</v>
      </c>
      <c r="AC46" s="210">
        <f t="shared" si="15"/>
        <v>0</v>
      </c>
      <c r="AD46" s="210">
        <f t="shared" si="16"/>
        <v>0</v>
      </c>
      <c r="AE46" s="210">
        <f t="shared" si="17"/>
        <v>0</v>
      </c>
      <c r="AF46" s="210">
        <f t="shared" si="18"/>
        <v>0</v>
      </c>
      <c r="AG46" s="210">
        <f t="shared" si="19"/>
        <v>0</v>
      </c>
      <c r="AH46" s="210">
        <f t="shared" si="20"/>
        <v>0</v>
      </c>
      <c r="AI46" s="210">
        <f t="shared" si="21"/>
        <v>0</v>
      </c>
      <c r="AJ46" s="210">
        <f t="shared" si="22"/>
        <v>0</v>
      </c>
      <c r="AK46" s="210">
        <f t="shared" si="23"/>
        <v>0</v>
      </c>
      <c r="AL46" s="210">
        <f t="shared" si="24"/>
        <v>0</v>
      </c>
      <c r="AM46" s="210">
        <f t="shared" si="25"/>
        <v>0</v>
      </c>
      <c r="AN46" s="210">
        <f t="shared" si="26"/>
        <v>0</v>
      </c>
      <c r="AO46" s="210">
        <f t="shared" si="27"/>
        <v>0</v>
      </c>
      <c r="AP46" s="210">
        <f t="shared" si="28"/>
        <v>0</v>
      </c>
      <c r="AQ46" s="210">
        <f t="shared" si="29"/>
        <v>0</v>
      </c>
      <c r="AR46" s="210">
        <f t="shared" si="30"/>
        <v>0</v>
      </c>
      <c r="AT46" s="210"/>
      <c r="AU46" s="210">
        <f t="shared" si="31"/>
        <v>0</v>
      </c>
      <c r="AV46" s="210">
        <f t="shared" si="32"/>
        <v>0</v>
      </c>
      <c r="AW46" s="210">
        <f t="shared" si="33"/>
        <v>0</v>
      </c>
      <c r="AX46" s="210">
        <f t="shared" si="34"/>
        <v>0</v>
      </c>
      <c r="AY46" s="210">
        <f t="shared" si="35"/>
        <v>0</v>
      </c>
      <c r="AZ46" s="210">
        <f t="shared" si="36"/>
        <v>0</v>
      </c>
      <c r="BA46" s="210">
        <f t="shared" si="37"/>
        <v>0</v>
      </c>
      <c r="BB46" s="210">
        <f t="shared" si="38"/>
        <v>0</v>
      </c>
      <c r="BC46" s="210">
        <f t="shared" si="39"/>
        <v>0</v>
      </c>
      <c r="BD46" s="210">
        <f t="shared" si="40"/>
        <v>0</v>
      </c>
      <c r="BE46" s="210">
        <f t="shared" si="41"/>
        <v>0</v>
      </c>
      <c r="BF46" s="210">
        <f t="shared" si="42"/>
        <v>0</v>
      </c>
      <c r="BG46" s="210">
        <f t="shared" si="43"/>
        <v>0</v>
      </c>
      <c r="BH46" s="210">
        <f t="shared" si="44"/>
        <v>0</v>
      </c>
      <c r="BI46" s="210">
        <f t="shared" si="45"/>
        <v>0</v>
      </c>
      <c r="BJ46" s="210">
        <f t="shared" si="46"/>
        <v>0</v>
      </c>
      <c r="BK46" s="210">
        <f t="shared" si="47"/>
        <v>0</v>
      </c>
      <c r="BL46" s="210">
        <f t="shared" si="48"/>
        <v>0</v>
      </c>
      <c r="BM46" s="210">
        <f t="shared" si="49"/>
        <v>0</v>
      </c>
      <c r="BN46" s="210">
        <f t="shared" si="50"/>
        <v>0</v>
      </c>
    </row>
    <row r="47" spans="1:66">
      <c r="A47" s="209" t="s">
        <v>86</v>
      </c>
      <c r="B47" s="210">
        <f t="shared" si="4"/>
        <v>0</v>
      </c>
      <c r="C47" s="210">
        <f t="shared" si="5"/>
        <v>0</v>
      </c>
      <c r="D47" s="210">
        <f t="shared" si="6"/>
        <v>0.6</v>
      </c>
      <c r="E47" s="210">
        <f t="shared" si="7"/>
        <v>0.6</v>
      </c>
      <c r="F47" s="210">
        <f t="shared" si="8"/>
        <v>0</v>
      </c>
      <c r="G47" s="210">
        <f t="shared" si="9"/>
        <v>0</v>
      </c>
      <c r="H47" s="210">
        <f t="shared" si="10"/>
        <v>0</v>
      </c>
      <c r="I47" s="210">
        <f>H47+AE47-IF(AE47=0,($K8+SUM($AE47:AE47)-$Q47)/9,0)</f>
        <v>0</v>
      </c>
      <c r="J47" s="210">
        <f>I47+AF47-IF(AF47=0,($K8+SUM($AE47:AF47)-$Q47)/9,0)</f>
        <v>0</v>
      </c>
      <c r="K47" s="210">
        <f>J47+AG47-IF(AG47=0,($K8+SUM($AE47:AG47)-$Q47)/9,0)</f>
        <v>0</v>
      </c>
      <c r="L47" s="210">
        <f>K47+AH47-IF(AH47=0,($K8+SUM($AE47:AH47)-$Q47)/9,0)</f>
        <v>0</v>
      </c>
      <c r="M47" s="210">
        <f>L47+AI47-IF(AI47=0,($K8+SUM($AE47:AI47)-$Q47)/9,0)</f>
        <v>0</v>
      </c>
      <c r="N47" s="210">
        <f>M47+AJ47-IF(AJ47=0,($K8+SUM($AE47:AJ47)-$Q47)/9,0)</f>
        <v>0</v>
      </c>
      <c r="O47" s="210">
        <f>N47+AK47-IF(AK47=0,($K8+SUM($AE47:AK47)-$Q47)/9,0)</f>
        <v>0</v>
      </c>
      <c r="P47" s="210">
        <f>O47+AL47-IF(AL47=0,($K8+SUM($AE47:AL47)-$Q47)/9,0)</f>
        <v>0</v>
      </c>
      <c r="Q47" s="210">
        <f>MIN(MAX(AM8:$AR8),$K8+SUM($AE47:$AM47))</f>
        <v>0</v>
      </c>
      <c r="R47" s="210">
        <f>MIN(MAX(AN8:$AR8),$K8+SUM($AE47:$AM47))</f>
        <v>0</v>
      </c>
      <c r="S47" s="210">
        <f>MIN(MAX(AO8:$AR8),$K8+SUM($AE47:$AM47))</f>
        <v>0</v>
      </c>
      <c r="T47" s="210">
        <f>MIN(MAX(AP8:$AR8),$K8+SUM($AE47:$AM47))</f>
        <v>0</v>
      </c>
      <c r="U47" s="210">
        <f>MIN(MAX(AQ8:$AR8),$K8+SUM($AE47:$AM47))</f>
        <v>0</v>
      </c>
      <c r="V47" s="210">
        <f>MIN(MAX(AR8:$AR8),$K8+SUM($AE47:$AM47))</f>
        <v>0</v>
      </c>
      <c r="X47" s="210"/>
      <c r="Y47" s="210">
        <f t="shared" si="11"/>
        <v>0</v>
      </c>
      <c r="Z47" s="210">
        <f t="shared" si="12"/>
        <v>0.6</v>
      </c>
      <c r="AA47" s="210">
        <f t="shared" si="13"/>
        <v>0</v>
      </c>
      <c r="AB47" s="210">
        <f t="shared" si="14"/>
        <v>0</v>
      </c>
      <c r="AC47" s="210">
        <f t="shared" si="15"/>
        <v>0</v>
      </c>
      <c r="AD47" s="210">
        <f t="shared" si="16"/>
        <v>0</v>
      </c>
      <c r="AE47" s="210">
        <f t="shared" si="17"/>
        <v>0</v>
      </c>
      <c r="AF47" s="210">
        <f t="shared" si="18"/>
        <v>0</v>
      </c>
      <c r="AG47" s="210">
        <f t="shared" si="19"/>
        <v>0</v>
      </c>
      <c r="AH47" s="210">
        <f t="shared" si="20"/>
        <v>0</v>
      </c>
      <c r="AI47" s="210">
        <f t="shared" si="21"/>
        <v>0</v>
      </c>
      <c r="AJ47" s="210">
        <f t="shared" si="22"/>
        <v>0</v>
      </c>
      <c r="AK47" s="210">
        <f t="shared" si="23"/>
        <v>0</v>
      </c>
      <c r="AL47" s="210">
        <f t="shared" si="24"/>
        <v>0</v>
      </c>
      <c r="AM47" s="210">
        <f t="shared" si="25"/>
        <v>0</v>
      </c>
      <c r="AN47" s="210">
        <f t="shared" si="26"/>
        <v>0</v>
      </c>
      <c r="AO47" s="210">
        <f t="shared" si="27"/>
        <v>0</v>
      </c>
      <c r="AP47" s="210">
        <f t="shared" si="28"/>
        <v>0</v>
      </c>
      <c r="AQ47" s="210">
        <f t="shared" si="29"/>
        <v>0</v>
      </c>
      <c r="AR47" s="210">
        <f t="shared" si="30"/>
        <v>0</v>
      </c>
      <c r="AT47" s="210"/>
      <c r="AU47" s="210">
        <f t="shared" si="31"/>
        <v>0</v>
      </c>
      <c r="AV47" s="210">
        <f t="shared" si="32"/>
        <v>0</v>
      </c>
      <c r="AW47" s="210">
        <f t="shared" si="33"/>
        <v>0</v>
      </c>
      <c r="AX47" s="210">
        <f t="shared" si="34"/>
        <v>0.6</v>
      </c>
      <c r="AY47" s="210">
        <f t="shared" si="35"/>
        <v>0</v>
      </c>
      <c r="AZ47" s="210">
        <f t="shared" si="36"/>
        <v>0</v>
      </c>
      <c r="BA47" s="210">
        <f t="shared" si="37"/>
        <v>0</v>
      </c>
      <c r="BB47" s="210">
        <f t="shared" si="38"/>
        <v>0</v>
      </c>
      <c r="BC47" s="210">
        <f t="shared" si="39"/>
        <v>0</v>
      </c>
      <c r="BD47" s="210">
        <f t="shared" si="40"/>
        <v>0</v>
      </c>
      <c r="BE47" s="210">
        <f t="shared" si="41"/>
        <v>0</v>
      </c>
      <c r="BF47" s="210">
        <f t="shared" si="42"/>
        <v>0</v>
      </c>
      <c r="BG47" s="210">
        <f t="shared" si="43"/>
        <v>0</v>
      </c>
      <c r="BH47" s="210">
        <f t="shared" si="44"/>
        <v>0</v>
      </c>
      <c r="BI47" s="210">
        <f t="shared" si="45"/>
        <v>0</v>
      </c>
      <c r="BJ47" s="210">
        <f t="shared" si="46"/>
        <v>0</v>
      </c>
      <c r="BK47" s="210">
        <f t="shared" si="47"/>
        <v>0</v>
      </c>
      <c r="BL47" s="210">
        <f t="shared" si="48"/>
        <v>0</v>
      </c>
      <c r="BM47" s="210">
        <f t="shared" si="49"/>
        <v>0</v>
      </c>
      <c r="BN47" s="210">
        <f t="shared" si="50"/>
        <v>0</v>
      </c>
    </row>
    <row r="48" spans="1:66">
      <c r="A48" s="209" t="s">
        <v>88</v>
      </c>
      <c r="B48" s="210">
        <f t="shared" si="4"/>
        <v>0</v>
      </c>
      <c r="C48" s="210">
        <f t="shared" si="5"/>
        <v>0</v>
      </c>
      <c r="D48" s="210">
        <f t="shared" si="6"/>
        <v>0</v>
      </c>
      <c r="E48" s="210">
        <f t="shared" si="7"/>
        <v>0</v>
      </c>
      <c r="F48" s="210">
        <f t="shared" si="8"/>
        <v>5.8</v>
      </c>
      <c r="G48" s="210">
        <f t="shared" si="9"/>
        <v>5</v>
      </c>
      <c r="H48" s="210">
        <f t="shared" si="10"/>
        <v>5.2</v>
      </c>
      <c r="I48" s="210">
        <f>H48+AE48-IF(AE48=0,($K9+SUM($AE48:AE48)-$Q48)/9,0)</f>
        <v>4.62222222222222</v>
      </c>
      <c r="J48" s="210">
        <f>I48+AF48-IF(AF48=0,($K9+SUM($AE48:AF48)-$Q48)/9,0)</f>
        <v>4.04444444444445</v>
      </c>
      <c r="K48" s="210">
        <f>J48+AG48-IF(AG48=0,($K9+SUM($AE48:AG48)-$Q48)/9,0)</f>
        <v>3.46666666666667</v>
      </c>
      <c r="L48" s="210">
        <f>K48+AH48-IF(AH48=0,($K9+SUM($AE48:AH48)-$Q48)/9,0)</f>
        <v>2.88888888888889</v>
      </c>
      <c r="M48" s="210">
        <f>L48+AI48-IF(AI48=0,($K9+SUM($AE48:AI48)-$Q48)/9,0)</f>
        <v>2.31111111111111</v>
      </c>
      <c r="N48" s="210">
        <f>M48+AJ48-IF(AJ48=0,($K9+SUM($AE48:AJ48)-$Q48)/9,0)</f>
        <v>1.73333333333333</v>
      </c>
      <c r="O48" s="210">
        <f>N48+AK48-IF(AK48=0,($K9+SUM($AE48:AK48)-$Q48)/9,0)</f>
        <v>1.15555555555556</v>
      </c>
      <c r="P48" s="210">
        <f>O48+AL48-IF(AL48=0,($K9+SUM($AE48:AL48)-$Q48)/9,0)</f>
        <v>0.577777777777778</v>
      </c>
      <c r="Q48" s="210">
        <f>MIN(MAX(AM9:$AR9),$K9+SUM($AE48:$AM48))</f>
        <v>0</v>
      </c>
      <c r="R48" s="210">
        <f>MIN(MAX(AN9:$AR9),$K9+SUM($AE48:$AM48))</f>
        <v>0</v>
      </c>
      <c r="S48" s="210">
        <f>MIN(MAX(AO9:$AR9),$K9+SUM($AE48:$AM48))</f>
        <v>0</v>
      </c>
      <c r="T48" s="210">
        <f>MIN(MAX(AP9:$AR9),$K9+SUM($AE48:$AM48))</f>
        <v>0</v>
      </c>
      <c r="U48" s="210">
        <f>MIN(MAX(AQ9:$AR9),$K9+SUM($AE48:$AM48))</f>
        <v>0</v>
      </c>
      <c r="V48" s="210">
        <f>MIN(MAX(AR9:$AR9),$K9+SUM($AE48:$AM48))</f>
        <v>0</v>
      </c>
      <c r="X48" s="210"/>
      <c r="Y48" s="210">
        <f t="shared" si="11"/>
        <v>0</v>
      </c>
      <c r="Z48" s="210">
        <f t="shared" si="12"/>
        <v>0</v>
      </c>
      <c r="AA48" s="210">
        <f t="shared" si="13"/>
        <v>0</v>
      </c>
      <c r="AB48" s="210">
        <f t="shared" si="14"/>
        <v>5.8</v>
      </c>
      <c r="AC48" s="210">
        <f t="shared" si="15"/>
        <v>0</v>
      </c>
      <c r="AD48" s="210">
        <f t="shared" si="16"/>
        <v>0.2</v>
      </c>
      <c r="AE48" s="210">
        <f t="shared" si="17"/>
        <v>0</v>
      </c>
      <c r="AF48" s="210">
        <f t="shared" si="18"/>
        <v>0</v>
      </c>
      <c r="AG48" s="210">
        <f t="shared" si="19"/>
        <v>0</v>
      </c>
      <c r="AH48" s="210">
        <f t="shared" si="20"/>
        <v>0</v>
      </c>
      <c r="AI48" s="210">
        <f t="shared" si="21"/>
        <v>0</v>
      </c>
      <c r="AJ48" s="210">
        <f t="shared" si="22"/>
        <v>0</v>
      </c>
      <c r="AK48" s="210">
        <f t="shared" si="23"/>
        <v>0</v>
      </c>
      <c r="AL48" s="210">
        <f t="shared" si="24"/>
        <v>0</v>
      </c>
      <c r="AM48" s="210">
        <f t="shared" si="25"/>
        <v>0</v>
      </c>
      <c r="AN48" s="210">
        <f t="shared" si="26"/>
        <v>0</v>
      </c>
      <c r="AO48" s="210">
        <f t="shared" si="27"/>
        <v>0</v>
      </c>
      <c r="AP48" s="210">
        <f t="shared" si="28"/>
        <v>0</v>
      </c>
      <c r="AQ48" s="210">
        <f t="shared" si="29"/>
        <v>0</v>
      </c>
      <c r="AR48" s="210">
        <f t="shared" si="30"/>
        <v>0</v>
      </c>
      <c r="AT48" s="210"/>
      <c r="AU48" s="210">
        <f t="shared" si="31"/>
        <v>0</v>
      </c>
      <c r="AV48" s="210">
        <f t="shared" si="32"/>
        <v>0</v>
      </c>
      <c r="AW48" s="210">
        <f t="shared" si="33"/>
        <v>0</v>
      </c>
      <c r="AX48" s="210">
        <f t="shared" si="34"/>
        <v>0</v>
      </c>
      <c r="AY48" s="210">
        <f t="shared" si="35"/>
        <v>0.8</v>
      </c>
      <c r="AZ48" s="210">
        <f t="shared" si="36"/>
        <v>0</v>
      </c>
      <c r="BA48" s="210">
        <f t="shared" si="37"/>
        <v>0.577777777777778</v>
      </c>
      <c r="BB48" s="210">
        <f t="shared" si="38"/>
        <v>0.577777777777778</v>
      </c>
      <c r="BC48" s="210">
        <f t="shared" si="39"/>
        <v>0.577777777777778</v>
      </c>
      <c r="BD48" s="210">
        <f t="shared" si="40"/>
        <v>0.577777777777778</v>
      </c>
      <c r="BE48" s="210">
        <f t="shared" si="41"/>
        <v>0.577777777777778</v>
      </c>
      <c r="BF48" s="210">
        <f t="shared" si="42"/>
        <v>0.577777777777778</v>
      </c>
      <c r="BG48" s="210">
        <f t="shared" si="43"/>
        <v>0.577777777777778</v>
      </c>
      <c r="BH48" s="210">
        <f t="shared" si="44"/>
        <v>0.577777777777778</v>
      </c>
      <c r="BI48" s="210">
        <f t="shared" si="45"/>
        <v>0.577777777777778</v>
      </c>
      <c r="BJ48" s="210">
        <f t="shared" si="46"/>
        <v>0</v>
      </c>
      <c r="BK48" s="210">
        <f t="shared" si="47"/>
        <v>0</v>
      </c>
      <c r="BL48" s="210">
        <f t="shared" si="48"/>
        <v>0</v>
      </c>
      <c r="BM48" s="210">
        <f t="shared" si="49"/>
        <v>0</v>
      </c>
      <c r="BN48" s="210">
        <f t="shared" si="50"/>
        <v>0</v>
      </c>
    </row>
    <row r="49" spans="1:66">
      <c r="A49" s="209" t="s">
        <v>208</v>
      </c>
      <c r="B49" s="210">
        <f t="shared" si="4"/>
        <v>0</v>
      </c>
      <c r="C49" s="210">
        <f t="shared" si="5"/>
        <v>1.2</v>
      </c>
      <c r="D49" s="210">
        <f t="shared" si="6"/>
        <v>1.2</v>
      </c>
      <c r="E49" s="210">
        <f t="shared" si="7"/>
        <v>1.2</v>
      </c>
      <c r="F49" s="210">
        <f t="shared" si="8"/>
        <v>1.2</v>
      </c>
      <c r="G49" s="210">
        <f t="shared" si="9"/>
        <v>0</v>
      </c>
      <c r="H49" s="210">
        <f t="shared" si="10"/>
        <v>0</v>
      </c>
      <c r="I49" s="210">
        <f>H49+AE49-IF(AE49=0,($K10+SUM($AE49:AE49)-$Q49)/9,0)</f>
        <v>0</v>
      </c>
      <c r="J49" s="210">
        <f>I49+AF49-IF(AF49=0,($K10+SUM($AE49:AF49)-$Q49)/9,0)</f>
        <v>0</v>
      </c>
      <c r="K49" s="210">
        <f>J49+AG49-IF(AG49=0,($K10+SUM($AE49:AG49)-$Q49)/9,0)</f>
        <v>0</v>
      </c>
      <c r="L49" s="210">
        <f>K49+AH49-IF(AH49=0,($K10+SUM($AE49:AH49)-$Q49)/9,0)</f>
        <v>0</v>
      </c>
      <c r="M49" s="210">
        <f>L49+AI49-IF(AI49=0,($K10+SUM($AE49:AI49)-$Q49)/9,0)</f>
        <v>0</v>
      </c>
      <c r="N49" s="210">
        <f>M49+AJ49-IF(AJ49=0,($K10+SUM($AE49:AJ49)-$Q49)/9,0)</f>
        <v>0</v>
      </c>
      <c r="O49" s="210">
        <f>N49+AK49-IF(AK49=0,($K10+SUM($AE49:AK49)-$Q49)/9,0)</f>
        <v>0</v>
      </c>
      <c r="P49" s="210">
        <f>O49+AL49-IF(AL49=0,($K10+SUM($AE49:AL49)-$Q49)/9,0)</f>
        <v>0</v>
      </c>
      <c r="Q49" s="210">
        <f>MIN(MAX(AM10:$AR10),$K10+SUM($AE49:$AM49))</f>
        <v>0</v>
      </c>
      <c r="R49" s="210">
        <f>MIN(MAX(AN10:$AR10),$K10+SUM($AE49:$AM49))</f>
        <v>0</v>
      </c>
      <c r="S49" s="210">
        <f>MIN(MAX(AO10:$AR10),$K10+SUM($AE49:$AM49))</f>
        <v>0</v>
      </c>
      <c r="T49" s="210">
        <f>MIN(MAX(AP10:$AR10),$K10+SUM($AE49:$AM49))</f>
        <v>0</v>
      </c>
      <c r="U49" s="210">
        <f>MIN(MAX(AQ10:$AR10),$K10+SUM($AE49:$AM49))</f>
        <v>0</v>
      </c>
      <c r="V49" s="210">
        <f>MIN(MAX(AR10:$AR10),$K10+SUM($AE49:$AM49))</f>
        <v>0</v>
      </c>
      <c r="X49" s="210"/>
      <c r="Y49" s="210">
        <f t="shared" si="11"/>
        <v>1.2</v>
      </c>
      <c r="Z49" s="210">
        <f t="shared" si="12"/>
        <v>0</v>
      </c>
      <c r="AA49" s="210">
        <f t="shared" si="13"/>
        <v>0</v>
      </c>
      <c r="AB49" s="210">
        <f t="shared" si="14"/>
        <v>0</v>
      </c>
      <c r="AC49" s="210">
        <f t="shared" si="15"/>
        <v>0</v>
      </c>
      <c r="AD49" s="210">
        <f t="shared" si="16"/>
        <v>0</v>
      </c>
      <c r="AE49" s="210">
        <f t="shared" si="17"/>
        <v>0</v>
      </c>
      <c r="AF49" s="210">
        <f t="shared" si="18"/>
        <v>0</v>
      </c>
      <c r="AG49" s="210">
        <f t="shared" si="19"/>
        <v>0</v>
      </c>
      <c r="AH49" s="210">
        <f t="shared" si="20"/>
        <v>0</v>
      </c>
      <c r="AI49" s="210">
        <f t="shared" si="21"/>
        <v>0</v>
      </c>
      <c r="AJ49" s="210">
        <f t="shared" si="22"/>
        <v>0</v>
      </c>
      <c r="AK49" s="210">
        <f t="shared" si="23"/>
        <v>0</v>
      </c>
      <c r="AL49" s="210">
        <f t="shared" si="24"/>
        <v>0</v>
      </c>
      <c r="AM49" s="210">
        <f t="shared" si="25"/>
        <v>0</v>
      </c>
      <c r="AN49" s="210">
        <f t="shared" si="26"/>
        <v>0</v>
      </c>
      <c r="AO49" s="210">
        <f t="shared" si="27"/>
        <v>0</v>
      </c>
      <c r="AP49" s="210">
        <f t="shared" si="28"/>
        <v>0</v>
      </c>
      <c r="AQ49" s="210">
        <f t="shared" si="29"/>
        <v>0</v>
      </c>
      <c r="AR49" s="210">
        <f t="shared" si="30"/>
        <v>0</v>
      </c>
      <c r="AT49" s="210"/>
      <c r="AU49" s="210">
        <f t="shared" si="31"/>
        <v>0</v>
      </c>
      <c r="AV49" s="210">
        <f t="shared" si="32"/>
        <v>0</v>
      </c>
      <c r="AW49" s="210">
        <f t="shared" si="33"/>
        <v>0</v>
      </c>
      <c r="AX49" s="210">
        <f t="shared" si="34"/>
        <v>0</v>
      </c>
      <c r="AY49" s="210">
        <f t="shared" si="35"/>
        <v>1.2</v>
      </c>
      <c r="AZ49" s="210">
        <f t="shared" si="36"/>
        <v>0</v>
      </c>
      <c r="BA49" s="210">
        <f t="shared" si="37"/>
        <v>0</v>
      </c>
      <c r="BB49" s="210">
        <f t="shared" si="38"/>
        <v>0</v>
      </c>
      <c r="BC49" s="210">
        <f t="shared" si="39"/>
        <v>0</v>
      </c>
      <c r="BD49" s="210">
        <f t="shared" si="40"/>
        <v>0</v>
      </c>
      <c r="BE49" s="210">
        <f t="shared" si="41"/>
        <v>0</v>
      </c>
      <c r="BF49" s="210">
        <f t="shared" si="42"/>
        <v>0</v>
      </c>
      <c r="BG49" s="210">
        <f t="shared" si="43"/>
        <v>0</v>
      </c>
      <c r="BH49" s="210">
        <f t="shared" si="44"/>
        <v>0</v>
      </c>
      <c r="BI49" s="210">
        <f t="shared" si="45"/>
        <v>0</v>
      </c>
      <c r="BJ49" s="210">
        <f t="shared" si="46"/>
        <v>0</v>
      </c>
      <c r="BK49" s="210">
        <f t="shared" si="47"/>
        <v>0</v>
      </c>
      <c r="BL49" s="210">
        <f t="shared" si="48"/>
        <v>0</v>
      </c>
      <c r="BM49" s="210">
        <f t="shared" si="49"/>
        <v>0</v>
      </c>
      <c r="BN49" s="210">
        <f t="shared" si="50"/>
        <v>0</v>
      </c>
    </row>
    <row r="50" spans="1:66">
      <c r="A50" s="209" t="s">
        <v>92</v>
      </c>
      <c r="B50" s="210">
        <f t="shared" si="4"/>
        <v>0</v>
      </c>
      <c r="C50" s="210">
        <f t="shared" si="5"/>
        <v>0</v>
      </c>
      <c r="D50" s="210">
        <f t="shared" si="6"/>
        <v>0</v>
      </c>
      <c r="E50" s="210">
        <f t="shared" si="7"/>
        <v>0</v>
      </c>
      <c r="F50" s="210">
        <f t="shared" si="8"/>
        <v>0</v>
      </c>
      <c r="G50" s="210">
        <f t="shared" si="9"/>
        <v>0</v>
      </c>
      <c r="H50" s="210">
        <f t="shared" si="10"/>
        <v>0</v>
      </c>
      <c r="I50" s="210">
        <f>H50+AE50-IF(AE50=0,($K11+SUM($AE50:AE50)-$Q50)/9,0)</f>
        <v>0</v>
      </c>
      <c r="J50" s="210">
        <f>I50+AF50-IF(AF50=0,($K11+SUM($AE50:AF50)-$Q50)/9,0)</f>
        <v>0</v>
      </c>
      <c r="K50" s="210">
        <f>J50+AG50-IF(AG50=0,($K11+SUM($AE50:AG50)-$Q50)/9,0)</f>
        <v>0</v>
      </c>
      <c r="L50" s="210">
        <f>K50+AH50-IF(AH50=0,($K11+SUM($AE50:AH50)-$Q50)/9,0)</f>
        <v>0</v>
      </c>
      <c r="M50" s="210">
        <f>L50+AI50-IF(AI50=0,($K11+SUM($AE50:AI50)-$Q50)/9,0)</f>
        <v>0</v>
      </c>
      <c r="N50" s="210">
        <f>M50+AJ50-IF(AJ50=0,($K11+SUM($AE50:AJ50)-$Q50)/9,0)</f>
        <v>0</v>
      </c>
      <c r="O50" s="210">
        <f>N50+AK50-IF(AK50=0,($K11+SUM($AE50:AK50)-$Q50)/9,0)</f>
        <v>0</v>
      </c>
      <c r="P50" s="210">
        <f>O50+AL50-IF(AL50=0,($K11+SUM($AE50:AL50)-$Q50)/9,0)</f>
        <v>0</v>
      </c>
      <c r="Q50" s="210">
        <f>MIN(MAX(AM11:$AR11),$K11+SUM($AE50:$AM50))</f>
        <v>0</v>
      </c>
      <c r="R50" s="210">
        <f>MIN(MAX(AN11:$AR11),$K11+SUM($AE50:$AM50))</f>
        <v>0</v>
      </c>
      <c r="S50" s="210">
        <f>MIN(MAX(AO11:$AR11),$K11+SUM($AE50:$AM50))</f>
        <v>0</v>
      </c>
      <c r="T50" s="210">
        <f>MIN(MAX(AP11:$AR11),$K11+SUM($AE50:$AM50))</f>
        <v>0</v>
      </c>
      <c r="U50" s="210">
        <f>MIN(MAX(AQ11:$AR11),$K11+SUM($AE50:$AM50))</f>
        <v>0</v>
      </c>
      <c r="V50" s="210">
        <f>MIN(MAX(AR11:$AR11),$K11+SUM($AE50:$AM50))</f>
        <v>0</v>
      </c>
      <c r="X50" s="210"/>
      <c r="Y50" s="210">
        <f t="shared" si="11"/>
        <v>0</v>
      </c>
      <c r="Z50" s="210">
        <f t="shared" si="12"/>
        <v>0</v>
      </c>
      <c r="AA50" s="210">
        <f t="shared" si="13"/>
        <v>0</v>
      </c>
      <c r="AB50" s="210">
        <f t="shared" si="14"/>
        <v>0</v>
      </c>
      <c r="AC50" s="210">
        <f t="shared" si="15"/>
        <v>0</v>
      </c>
      <c r="AD50" s="210">
        <f t="shared" si="16"/>
        <v>0</v>
      </c>
      <c r="AE50" s="210">
        <f t="shared" si="17"/>
        <v>0</v>
      </c>
      <c r="AF50" s="210">
        <f t="shared" si="18"/>
        <v>0</v>
      </c>
      <c r="AG50" s="210">
        <f t="shared" si="19"/>
        <v>0</v>
      </c>
      <c r="AH50" s="210">
        <f t="shared" si="20"/>
        <v>0</v>
      </c>
      <c r="AI50" s="210">
        <f t="shared" si="21"/>
        <v>0</v>
      </c>
      <c r="AJ50" s="210">
        <f t="shared" si="22"/>
        <v>0</v>
      </c>
      <c r="AK50" s="210">
        <f t="shared" si="23"/>
        <v>0</v>
      </c>
      <c r="AL50" s="210">
        <f t="shared" si="24"/>
        <v>0</v>
      </c>
      <c r="AM50" s="210">
        <f t="shared" si="25"/>
        <v>0</v>
      </c>
      <c r="AN50" s="210">
        <f t="shared" si="26"/>
        <v>0</v>
      </c>
      <c r="AO50" s="210">
        <f t="shared" si="27"/>
        <v>0</v>
      </c>
      <c r="AP50" s="210">
        <f t="shared" si="28"/>
        <v>0</v>
      </c>
      <c r="AQ50" s="210">
        <f t="shared" si="29"/>
        <v>0</v>
      </c>
      <c r="AR50" s="210">
        <f t="shared" si="30"/>
        <v>0</v>
      </c>
      <c r="AT50" s="210"/>
      <c r="AU50" s="210">
        <f t="shared" si="31"/>
        <v>0</v>
      </c>
      <c r="AV50" s="210">
        <f t="shared" si="32"/>
        <v>0</v>
      </c>
      <c r="AW50" s="210">
        <f t="shared" si="33"/>
        <v>0</v>
      </c>
      <c r="AX50" s="210">
        <f t="shared" si="34"/>
        <v>0</v>
      </c>
      <c r="AY50" s="210">
        <f t="shared" si="35"/>
        <v>0</v>
      </c>
      <c r="AZ50" s="210">
        <f t="shared" si="36"/>
        <v>0</v>
      </c>
      <c r="BA50" s="210">
        <f t="shared" si="37"/>
        <v>0</v>
      </c>
      <c r="BB50" s="210">
        <f t="shared" si="38"/>
        <v>0</v>
      </c>
      <c r="BC50" s="210">
        <f t="shared" si="39"/>
        <v>0</v>
      </c>
      <c r="BD50" s="210">
        <f t="shared" si="40"/>
        <v>0</v>
      </c>
      <c r="BE50" s="210">
        <f t="shared" si="41"/>
        <v>0</v>
      </c>
      <c r="BF50" s="210">
        <f t="shared" si="42"/>
        <v>0</v>
      </c>
      <c r="BG50" s="210">
        <f t="shared" si="43"/>
        <v>0</v>
      </c>
      <c r="BH50" s="210">
        <f t="shared" si="44"/>
        <v>0</v>
      </c>
      <c r="BI50" s="210">
        <f t="shared" si="45"/>
        <v>0</v>
      </c>
      <c r="BJ50" s="210">
        <f t="shared" si="46"/>
        <v>0</v>
      </c>
      <c r="BK50" s="210">
        <f t="shared" si="47"/>
        <v>0</v>
      </c>
      <c r="BL50" s="210">
        <f t="shared" si="48"/>
        <v>0</v>
      </c>
      <c r="BM50" s="210">
        <f t="shared" si="49"/>
        <v>0</v>
      </c>
      <c r="BN50" s="210">
        <f t="shared" si="50"/>
        <v>0</v>
      </c>
    </row>
    <row r="51" spans="1:66">
      <c r="A51" s="209" t="s">
        <v>94</v>
      </c>
      <c r="B51" s="210">
        <f t="shared" si="4"/>
        <v>0</v>
      </c>
      <c r="C51" s="210">
        <f t="shared" si="5"/>
        <v>0</v>
      </c>
      <c r="D51" s="210">
        <f t="shared" si="6"/>
        <v>0</v>
      </c>
      <c r="E51" s="210">
        <f t="shared" si="7"/>
        <v>0</v>
      </c>
      <c r="F51" s="210">
        <f t="shared" si="8"/>
        <v>0</v>
      </c>
      <c r="G51" s="210">
        <f t="shared" si="9"/>
        <v>0</v>
      </c>
      <c r="H51" s="210">
        <f t="shared" si="10"/>
        <v>0</v>
      </c>
      <c r="I51" s="210">
        <f>H51+AE51-IF(AE51=0,($K12+SUM($AE51:AE51)-$Q51)/9,0)</f>
        <v>0</v>
      </c>
      <c r="J51" s="210">
        <f>I51+AF51-IF(AF51=0,($K12+SUM($AE51:AF51)-$Q51)/9,0)</f>
        <v>0</v>
      </c>
      <c r="K51" s="210">
        <f>J51+AG51-IF(AG51=0,($K12+SUM($AE51:AG51)-$Q51)/9,0)</f>
        <v>0</v>
      </c>
      <c r="L51" s="210">
        <f>K51+AH51-IF(AH51=0,($K12+SUM($AE51:AH51)-$Q51)/9,0)</f>
        <v>0</v>
      </c>
      <c r="M51" s="210">
        <f>L51+AI51-IF(AI51=0,($K12+SUM($AE51:AI51)-$Q51)/9,0)</f>
        <v>0</v>
      </c>
      <c r="N51" s="210">
        <f>M51+AJ51-IF(AJ51=0,($K12+SUM($AE51:AJ51)-$Q51)/9,0)</f>
        <v>0</v>
      </c>
      <c r="O51" s="210">
        <f>N51+AK51-IF(AK51=0,($K12+SUM($AE51:AK51)-$Q51)/9,0)</f>
        <v>0</v>
      </c>
      <c r="P51" s="210">
        <f>O51+AL51-IF(AL51=0,($K12+SUM($AE51:AL51)-$Q51)/9,0)</f>
        <v>0</v>
      </c>
      <c r="Q51" s="210">
        <f>MIN(MAX(AM12:$AR12),$K12+SUM($AE51:$AM51))</f>
        <v>0</v>
      </c>
      <c r="R51" s="210">
        <f>MIN(MAX(AN12:$AR12),$K12+SUM($AE51:$AM51))</f>
        <v>0</v>
      </c>
      <c r="S51" s="210">
        <f>MIN(MAX(AO12:$AR12),$K12+SUM($AE51:$AM51))</f>
        <v>0</v>
      </c>
      <c r="T51" s="210">
        <f>MIN(MAX(AP12:$AR12),$K12+SUM($AE51:$AM51))</f>
        <v>0</v>
      </c>
      <c r="U51" s="210">
        <f>MIN(MAX(AQ12:$AR12),$K12+SUM($AE51:$AM51))</f>
        <v>0</v>
      </c>
      <c r="V51" s="210">
        <f>MIN(MAX(AR12:$AR12),$K12+SUM($AE51:$AM51))</f>
        <v>0</v>
      </c>
      <c r="X51" s="210"/>
      <c r="Y51" s="210">
        <f t="shared" si="11"/>
        <v>0</v>
      </c>
      <c r="Z51" s="210">
        <f t="shared" si="12"/>
        <v>0</v>
      </c>
      <c r="AA51" s="210">
        <f t="shared" si="13"/>
        <v>0</v>
      </c>
      <c r="AB51" s="210">
        <f t="shared" si="14"/>
        <v>0</v>
      </c>
      <c r="AC51" s="210">
        <f t="shared" si="15"/>
        <v>0</v>
      </c>
      <c r="AD51" s="210">
        <f t="shared" si="16"/>
        <v>0</v>
      </c>
      <c r="AE51" s="210">
        <f t="shared" si="17"/>
        <v>0</v>
      </c>
      <c r="AF51" s="210">
        <f t="shared" si="18"/>
        <v>0</v>
      </c>
      <c r="AG51" s="210">
        <f t="shared" si="19"/>
        <v>0</v>
      </c>
      <c r="AH51" s="210">
        <f t="shared" si="20"/>
        <v>0</v>
      </c>
      <c r="AI51" s="210">
        <f t="shared" si="21"/>
        <v>0</v>
      </c>
      <c r="AJ51" s="210">
        <f t="shared" si="22"/>
        <v>0</v>
      </c>
      <c r="AK51" s="210">
        <f t="shared" si="23"/>
        <v>0</v>
      </c>
      <c r="AL51" s="210">
        <f t="shared" si="24"/>
        <v>0</v>
      </c>
      <c r="AM51" s="210">
        <f t="shared" si="25"/>
        <v>0</v>
      </c>
      <c r="AN51" s="210">
        <f t="shared" si="26"/>
        <v>0</v>
      </c>
      <c r="AO51" s="210">
        <f t="shared" si="27"/>
        <v>0</v>
      </c>
      <c r="AP51" s="210">
        <f t="shared" si="28"/>
        <v>0</v>
      </c>
      <c r="AQ51" s="210">
        <f t="shared" si="29"/>
        <v>0</v>
      </c>
      <c r="AR51" s="210">
        <f t="shared" si="30"/>
        <v>0</v>
      </c>
      <c r="AT51" s="210"/>
      <c r="AU51" s="210">
        <f t="shared" si="31"/>
        <v>0</v>
      </c>
      <c r="AV51" s="210">
        <f t="shared" si="32"/>
        <v>0</v>
      </c>
      <c r="AW51" s="210">
        <f t="shared" si="33"/>
        <v>0</v>
      </c>
      <c r="AX51" s="210">
        <f t="shared" si="34"/>
        <v>0</v>
      </c>
      <c r="AY51" s="210">
        <f t="shared" si="35"/>
        <v>0</v>
      </c>
      <c r="AZ51" s="210">
        <f t="shared" si="36"/>
        <v>0</v>
      </c>
      <c r="BA51" s="210">
        <f t="shared" si="37"/>
        <v>0</v>
      </c>
      <c r="BB51" s="210">
        <f t="shared" si="38"/>
        <v>0</v>
      </c>
      <c r="BC51" s="210">
        <f t="shared" si="39"/>
        <v>0</v>
      </c>
      <c r="BD51" s="210">
        <f t="shared" si="40"/>
        <v>0</v>
      </c>
      <c r="BE51" s="210">
        <f t="shared" si="41"/>
        <v>0</v>
      </c>
      <c r="BF51" s="210">
        <f t="shared" si="42"/>
        <v>0</v>
      </c>
      <c r="BG51" s="210">
        <f t="shared" si="43"/>
        <v>0</v>
      </c>
      <c r="BH51" s="210">
        <f t="shared" si="44"/>
        <v>0</v>
      </c>
      <c r="BI51" s="210">
        <f t="shared" si="45"/>
        <v>0</v>
      </c>
      <c r="BJ51" s="210">
        <f t="shared" si="46"/>
        <v>0</v>
      </c>
      <c r="BK51" s="210">
        <f t="shared" si="47"/>
        <v>0</v>
      </c>
      <c r="BL51" s="210">
        <f t="shared" si="48"/>
        <v>0</v>
      </c>
      <c r="BM51" s="210">
        <f t="shared" si="49"/>
        <v>0</v>
      </c>
      <c r="BN51" s="210">
        <f t="shared" si="50"/>
        <v>0</v>
      </c>
    </row>
    <row r="52" spans="1:66">
      <c r="A52" s="209" t="s">
        <v>96</v>
      </c>
      <c r="B52" s="210">
        <f t="shared" si="4"/>
        <v>0</v>
      </c>
      <c r="C52" s="210">
        <f t="shared" si="5"/>
        <v>0.6</v>
      </c>
      <c r="D52" s="210">
        <f t="shared" si="6"/>
        <v>0.6</v>
      </c>
      <c r="E52" s="210">
        <f t="shared" si="7"/>
        <v>0.6</v>
      </c>
      <c r="F52" s="210">
        <f t="shared" si="8"/>
        <v>0</v>
      </c>
      <c r="G52" s="210">
        <f t="shared" si="9"/>
        <v>0</v>
      </c>
      <c r="H52" s="210">
        <f t="shared" si="10"/>
        <v>0</v>
      </c>
      <c r="I52" s="210">
        <f>H52+AE52-IF(AE52=0,($K13+SUM($AE52:AE52)-$Q52)/9,0)</f>
        <v>0</v>
      </c>
      <c r="J52" s="210">
        <f>I52+AF52-IF(AF52=0,($K13+SUM($AE52:AF52)-$Q52)/9,0)</f>
        <v>0</v>
      </c>
      <c r="K52" s="210">
        <f>J52+AG52-IF(AG52=0,($K13+SUM($AE52:AG52)-$Q52)/9,0)</f>
        <v>0</v>
      </c>
      <c r="L52" s="210">
        <f>K52+AH52-IF(AH52=0,($K13+SUM($AE52:AH52)-$Q52)/9,0)</f>
        <v>0</v>
      </c>
      <c r="M52" s="210">
        <f>L52+AI52-IF(AI52=0,($K13+SUM($AE52:AI52)-$Q52)/9,0)</f>
        <v>0</v>
      </c>
      <c r="N52" s="210">
        <f>M52+AJ52-IF(AJ52=0,($K13+SUM($AE52:AJ52)-$Q52)/9,0)</f>
        <v>0</v>
      </c>
      <c r="O52" s="210">
        <f>N52+AK52-IF(AK52=0,($K13+SUM($AE52:AK52)-$Q52)/9,0)</f>
        <v>0</v>
      </c>
      <c r="P52" s="210">
        <f>O52+AL52-IF(AL52=0,($K13+SUM($AE52:AL52)-$Q52)/9,0)</f>
        <v>0</v>
      </c>
      <c r="Q52" s="210">
        <f>MIN(MAX(AM13:$AR13),$K13+SUM($AE52:$AM52))</f>
        <v>0</v>
      </c>
      <c r="R52" s="210">
        <f>MIN(MAX(AN13:$AR13),$K13+SUM($AE52:$AM52))</f>
        <v>0</v>
      </c>
      <c r="S52" s="210">
        <f>MIN(MAX(AO13:$AR13),$K13+SUM($AE52:$AM52))</f>
        <v>0</v>
      </c>
      <c r="T52" s="210">
        <f>MIN(MAX(AP13:$AR13),$K13+SUM($AE52:$AM52))</f>
        <v>0</v>
      </c>
      <c r="U52" s="210">
        <f>MIN(MAX(AQ13:$AR13),$K13+SUM($AE52:$AM52))</f>
        <v>0</v>
      </c>
      <c r="V52" s="210">
        <f>MIN(MAX(AR13:$AR13),$K13+SUM($AE52:$AM52))</f>
        <v>0</v>
      </c>
      <c r="X52" s="210"/>
      <c r="Y52" s="210">
        <f t="shared" si="11"/>
        <v>0.6</v>
      </c>
      <c r="Z52" s="210">
        <f t="shared" si="12"/>
        <v>0</v>
      </c>
      <c r="AA52" s="210">
        <f t="shared" si="13"/>
        <v>0</v>
      </c>
      <c r="AB52" s="210">
        <f t="shared" si="14"/>
        <v>0</v>
      </c>
      <c r="AC52" s="210">
        <f t="shared" si="15"/>
        <v>0</v>
      </c>
      <c r="AD52" s="210">
        <f t="shared" si="16"/>
        <v>0</v>
      </c>
      <c r="AE52" s="210">
        <f t="shared" si="17"/>
        <v>0</v>
      </c>
      <c r="AF52" s="210">
        <f t="shared" si="18"/>
        <v>0</v>
      </c>
      <c r="AG52" s="210">
        <f t="shared" si="19"/>
        <v>0</v>
      </c>
      <c r="AH52" s="210">
        <f t="shared" si="20"/>
        <v>0</v>
      </c>
      <c r="AI52" s="210">
        <f t="shared" si="21"/>
        <v>0</v>
      </c>
      <c r="AJ52" s="210">
        <f t="shared" si="22"/>
        <v>0</v>
      </c>
      <c r="AK52" s="210">
        <f t="shared" si="23"/>
        <v>0</v>
      </c>
      <c r="AL52" s="210">
        <f t="shared" si="24"/>
        <v>0</v>
      </c>
      <c r="AM52" s="210">
        <f t="shared" si="25"/>
        <v>0</v>
      </c>
      <c r="AN52" s="210">
        <f t="shared" si="26"/>
        <v>0</v>
      </c>
      <c r="AO52" s="210">
        <f t="shared" si="27"/>
        <v>0</v>
      </c>
      <c r="AP52" s="210">
        <f t="shared" si="28"/>
        <v>0</v>
      </c>
      <c r="AQ52" s="210">
        <f t="shared" si="29"/>
        <v>0</v>
      </c>
      <c r="AR52" s="210">
        <f t="shared" si="30"/>
        <v>0</v>
      </c>
      <c r="AT52" s="210"/>
      <c r="AU52" s="210">
        <f t="shared" si="31"/>
        <v>0</v>
      </c>
      <c r="AV52" s="210">
        <f t="shared" si="32"/>
        <v>0</v>
      </c>
      <c r="AW52" s="210">
        <f t="shared" si="33"/>
        <v>0</v>
      </c>
      <c r="AX52" s="210">
        <f t="shared" si="34"/>
        <v>0.6</v>
      </c>
      <c r="AY52" s="210">
        <f t="shared" si="35"/>
        <v>0</v>
      </c>
      <c r="AZ52" s="210">
        <f t="shared" si="36"/>
        <v>0</v>
      </c>
      <c r="BA52" s="210">
        <f t="shared" si="37"/>
        <v>0</v>
      </c>
      <c r="BB52" s="210">
        <f t="shared" si="38"/>
        <v>0</v>
      </c>
      <c r="BC52" s="210">
        <f t="shared" si="39"/>
        <v>0</v>
      </c>
      <c r="BD52" s="210">
        <f t="shared" si="40"/>
        <v>0</v>
      </c>
      <c r="BE52" s="210">
        <f t="shared" si="41"/>
        <v>0</v>
      </c>
      <c r="BF52" s="210">
        <f t="shared" si="42"/>
        <v>0</v>
      </c>
      <c r="BG52" s="210">
        <f t="shared" si="43"/>
        <v>0</v>
      </c>
      <c r="BH52" s="210">
        <f t="shared" si="44"/>
        <v>0</v>
      </c>
      <c r="BI52" s="210">
        <f t="shared" si="45"/>
        <v>0</v>
      </c>
      <c r="BJ52" s="210">
        <f t="shared" si="46"/>
        <v>0</v>
      </c>
      <c r="BK52" s="210">
        <f t="shared" si="47"/>
        <v>0</v>
      </c>
      <c r="BL52" s="210">
        <f t="shared" si="48"/>
        <v>0</v>
      </c>
      <c r="BM52" s="210">
        <f t="shared" si="49"/>
        <v>0</v>
      </c>
      <c r="BN52" s="210">
        <f t="shared" si="50"/>
        <v>0</v>
      </c>
    </row>
    <row r="53" spans="1:66">
      <c r="A53" s="209" t="s">
        <v>98</v>
      </c>
      <c r="B53" s="210">
        <f t="shared" si="4"/>
        <v>0</v>
      </c>
      <c r="C53" s="210">
        <f t="shared" si="5"/>
        <v>0</v>
      </c>
      <c r="D53" s="210">
        <f t="shared" si="6"/>
        <v>0</v>
      </c>
      <c r="E53" s="210">
        <f t="shared" si="7"/>
        <v>0</v>
      </c>
      <c r="F53" s="210">
        <f t="shared" si="8"/>
        <v>0</v>
      </c>
      <c r="G53" s="210">
        <f t="shared" si="9"/>
        <v>0</v>
      </c>
      <c r="H53" s="210">
        <f t="shared" si="10"/>
        <v>0</v>
      </c>
      <c r="I53" s="210">
        <f>H53+AE53-IF(AE53=0,($K14+SUM($AE53:AE53)-$Q53)/9,0)</f>
        <v>0</v>
      </c>
      <c r="J53" s="210">
        <f>I53+AF53-IF(AF53=0,($K14+SUM($AE53:AF53)-$Q53)/9,0)</f>
        <v>0</v>
      </c>
      <c r="K53" s="210">
        <f>J53+AG53-IF(AG53=0,($K14+SUM($AE53:AG53)-$Q53)/9,0)</f>
        <v>0</v>
      </c>
      <c r="L53" s="210">
        <f>K53+AH53-IF(AH53=0,($K14+SUM($AE53:AH53)-$Q53)/9,0)</f>
        <v>0</v>
      </c>
      <c r="M53" s="210">
        <f>L53+AI53-IF(AI53=0,($K14+SUM($AE53:AI53)-$Q53)/9,0)</f>
        <v>0</v>
      </c>
      <c r="N53" s="210">
        <f>M53+AJ53-IF(AJ53=0,($K14+SUM($AE53:AJ53)-$Q53)/9,0)</f>
        <v>0</v>
      </c>
      <c r="O53" s="210">
        <f>N53+AK53-IF(AK53=0,($K14+SUM($AE53:AK53)-$Q53)/9,0)</f>
        <v>0</v>
      </c>
      <c r="P53" s="210">
        <f>O53+AL53-IF(AL53=0,($K14+SUM($AE53:AL53)-$Q53)/9,0)</f>
        <v>0</v>
      </c>
      <c r="Q53" s="210">
        <f>MIN(MAX(AM14:$AR14),$K14+SUM($AE53:$AM53))</f>
        <v>0</v>
      </c>
      <c r="R53" s="210">
        <f>MIN(MAX(AN14:$AR14),$K14+SUM($AE53:$AM53))</f>
        <v>0</v>
      </c>
      <c r="S53" s="210">
        <f>MIN(MAX(AO14:$AR14),$K14+SUM($AE53:$AM53))</f>
        <v>0</v>
      </c>
      <c r="T53" s="210">
        <f>MIN(MAX(AP14:$AR14),$K14+SUM($AE53:$AM53))</f>
        <v>0</v>
      </c>
      <c r="U53" s="210">
        <f>MIN(MAX(AQ14:$AR14),$K14+SUM($AE53:$AM53))</f>
        <v>0</v>
      </c>
      <c r="V53" s="210">
        <f>MIN(MAX(AR14:$AR14),$K14+SUM($AE53:$AM53))</f>
        <v>0</v>
      </c>
      <c r="X53" s="210"/>
      <c r="Y53" s="210">
        <f t="shared" si="11"/>
        <v>0</v>
      </c>
      <c r="Z53" s="210">
        <f t="shared" si="12"/>
        <v>0</v>
      </c>
      <c r="AA53" s="210">
        <f t="shared" si="13"/>
        <v>0</v>
      </c>
      <c r="AB53" s="210">
        <f t="shared" si="14"/>
        <v>0</v>
      </c>
      <c r="AC53" s="210">
        <f t="shared" si="15"/>
        <v>0</v>
      </c>
      <c r="AD53" s="210">
        <f t="shared" si="16"/>
        <v>0</v>
      </c>
      <c r="AE53" s="210">
        <f t="shared" si="17"/>
        <v>0</v>
      </c>
      <c r="AF53" s="210">
        <f t="shared" si="18"/>
        <v>0</v>
      </c>
      <c r="AG53" s="210">
        <f t="shared" si="19"/>
        <v>0</v>
      </c>
      <c r="AH53" s="210">
        <f t="shared" si="20"/>
        <v>0</v>
      </c>
      <c r="AI53" s="210">
        <f t="shared" si="21"/>
        <v>0</v>
      </c>
      <c r="AJ53" s="210">
        <f t="shared" si="22"/>
        <v>0</v>
      </c>
      <c r="AK53" s="210">
        <f t="shared" si="23"/>
        <v>0</v>
      </c>
      <c r="AL53" s="210">
        <f t="shared" si="24"/>
        <v>0</v>
      </c>
      <c r="AM53" s="210">
        <f t="shared" si="25"/>
        <v>0</v>
      </c>
      <c r="AN53" s="210">
        <f t="shared" si="26"/>
        <v>0</v>
      </c>
      <c r="AO53" s="210">
        <f t="shared" si="27"/>
        <v>0</v>
      </c>
      <c r="AP53" s="210">
        <f t="shared" si="28"/>
        <v>0</v>
      </c>
      <c r="AQ53" s="210">
        <f t="shared" si="29"/>
        <v>0</v>
      </c>
      <c r="AR53" s="210">
        <f t="shared" si="30"/>
        <v>0</v>
      </c>
      <c r="AT53" s="210"/>
      <c r="AU53" s="210">
        <f t="shared" si="31"/>
        <v>0</v>
      </c>
      <c r="AV53" s="210">
        <f t="shared" si="32"/>
        <v>0</v>
      </c>
      <c r="AW53" s="210">
        <f t="shared" si="33"/>
        <v>0</v>
      </c>
      <c r="AX53" s="210">
        <f t="shared" si="34"/>
        <v>0</v>
      </c>
      <c r="AY53" s="210">
        <f t="shared" si="35"/>
        <v>0</v>
      </c>
      <c r="AZ53" s="210">
        <f t="shared" si="36"/>
        <v>0</v>
      </c>
      <c r="BA53" s="210">
        <f t="shared" si="37"/>
        <v>0</v>
      </c>
      <c r="BB53" s="210">
        <f t="shared" si="38"/>
        <v>0</v>
      </c>
      <c r="BC53" s="210">
        <f t="shared" si="39"/>
        <v>0</v>
      </c>
      <c r="BD53" s="210">
        <f t="shared" si="40"/>
        <v>0</v>
      </c>
      <c r="BE53" s="210">
        <f t="shared" si="41"/>
        <v>0</v>
      </c>
      <c r="BF53" s="210">
        <f t="shared" si="42"/>
        <v>0</v>
      </c>
      <c r="BG53" s="210">
        <f t="shared" si="43"/>
        <v>0</v>
      </c>
      <c r="BH53" s="210">
        <f t="shared" si="44"/>
        <v>0</v>
      </c>
      <c r="BI53" s="210">
        <f t="shared" si="45"/>
        <v>0</v>
      </c>
      <c r="BJ53" s="210">
        <f t="shared" si="46"/>
        <v>0</v>
      </c>
      <c r="BK53" s="210">
        <f t="shared" si="47"/>
        <v>0</v>
      </c>
      <c r="BL53" s="210">
        <f t="shared" si="48"/>
        <v>0</v>
      </c>
      <c r="BM53" s="210">
        <f t="shared" si="49"/>
        <v>0</v>
      </c>
      <c r="BN53" s="210">
        <f t="shared" si="50"/>
        <v>0</v>
      </c>
    </row>
    <row r="54" spans="1:66">
      <c r="A54" s="209" t="s">
        <v>100</v>
      </c>
      <c r="B54" s="210">
        <f t="shared" si="4"/>
        <v>0</v>
      </c>
      <c r="C54" s="210">
        <f t="shared" si="5"/>
        <v>0</v>
      </c>
      <c r="D54" s="210">
        <f t="shared" si="6"/>
        <v>0</v>
      </c>
      <c r="E54" s="210">
        <f t="shared" si="7"/>
        <v>0</v>
      </c>
      <c r="F54" s="210">
        <f t="shared" si="8"/>
        <v>14.65</v>
      </c>
      <c r="G54" s="210">
        <f t="shared" si="9"/>
        <v>12</v>
      </c>
      <c r="H54" s="210">
        <f t="shared" si="10"/>
        <v>13.99</v>
      </c>
      <c r="I54" s="210">
        <f>H54+AE54-IF(AE54=0,($K15+SUM($AE54:AE54)-$Q54)/9,0)</f>
        <v>12.4355555555556</v>
      </c>
      <c r="J54" s="210">
        <f>I54+AF54-IF(AF54=0,($K15+SUM($AE54:AF54)-$Q54)/9,0)</f>
        <v>10.8811111111111</v>
      </c>
      <c r="K54" s="210">
        <f>J54+AG54-IF(AG54=0,($K15+SUM($AE54:AG54)-$Q54)/9,0)</f>
        <v>9.32666666666667</v>
      </c>
      <c r="L54" s="210">
        <f>K54+AH54-IF(AH54=0,($K15+SUM($AE54:AH54)-$Q54)/9,0)</f>
        <v>7.77222222222222</v>
      </c>
      <c r="M54" s="210">
        <f>L54+AI54-IF(AI54=0,($K15+SUM($AE54:AI54)-$Q54)/9,0)</f>
        <v>6.21777777777778</v>
      </c>
      <c r="N54" s="210">
        <f>M54+AJ54-IF(AJ54=0,($K15+SUM($AE54:AJ54)-$Q54)/9,0)</f>
        <v>4.66333333333334</v>
      </c>
      <c r="O54" s="210">
        <f>N54+AK54-IF(AK54=0,($K15+SUM($AE54:AK54)-$Q54)/9,0)</f>
        <v>3.10888888888889</v>
      </c>
      <c r="P54" s="210">
        <f>O54+AL54-IF(AL54=0,($K15+SUM($AE54:AL54)-$Q54)/9,0)</f>
        <v>1.55444444444445</v>
      </c>
      <c r="Q54" s="210">
        <f>MIN(MAX(AM15:$AR15),$K15+SUM($AE54:$AM54))</f>
        <v>0</v>
      </c>
      <c r="R54" s="210">
        <f>MIN(MAX(AN15:$AR15),$K15+SUM($AE54:$AM54))</f>
        <v>0</v>
      </c>
      <c r="S54" s="210">
        <f>MIN(MAX(AO15:$AR15),$K15+SUM($AE54:$AM54))</f>
        <v>0</v>
      </c>
      <c r="T54" s="210">
        <f>MIN(MAX(AP15:$AR15),$K15+SUM($AE54:$AM54))</f>
        <v>0</v>
      </c>
      <c r="U54" s="210">
        <f>MIN(MAX(AQ15:$AR15),$K15+SUM($AE54:$AM54))</f>
        <v>0</v>
      </c>
      <c r="V54" s="210">
        <f>MIN(MAX(AR15:$AR15),$K15+SUM($AE54:$AM54))</f>
        <v>0</v>
      </c>
      <c r="X54" s="210"/>
      <c r="Y54" s="210">
        <f t="shared" si="11"/>
        <v>0</v>
      </c>
      <c r="Z54" s="210">
        <f t="shared" si="12"/>
        <v>0</v>
      </c>
      <c r="AA54" s="210">
        <f t="shared" si="13"/>
        <v>0</v>
      </c>
      <c r="AB54" s="210">
        <f t="shared" si="14"/>
        <v>14.65</v>
      </c>
      <c r="AC54" s="210">
        <f t="shared" si="15"/>
        <v>0</v>
      </c>
      <c r="AD54" s="210">
        <f t="shared" si="16"/>
        <v>1.99</v>
      </c>
      <c r="AE54" s="210">
        <f t="shared" si="17"/>
        <v>0</v>
      </c>
      <c r="AF54" s="210">
        <f t="shared" si="18"/>
        <v>0</v>
      </c>
      <c r="AG54" s="210">
        <f t="shared" si="19"/>
        <v>0</v>
      </c>
      <c r="AH54" s="210">
        <f t="shared" si="20"/>
        <v>0</v>
      </c>
      <c r="AI54" s="210">
        <f t="shared" si="21"/>
        <v>0</v>
      </c>
      <c r="AJ54" s="210">
        <f t="shared" si="22"/>
        <v>0</v>
      </c>
      <c r="AK54" s="210">
        <f t="shared" si="23"/>
        <v>0</v>
      </c>
      <c r="AL54" s="210">
        <f t="shared" si="24"/>
        <v>0</v>
      </c>
      <c r="AM54" s="210">
        <f t="shared" si="25"/>
        <v>0</v>
      </c>
      <c r="AN54" s="210">
        <f t="shared" si="26"/>
        <v>0</v>
      </c>
      <c r="AO54" s="210">
        <f t="shared" si="27"/>
        <v>0</v>
      </c>
      <c r="AP54" s="210">
        <f t="shared" si="28"/>
        <v>0</v>
      </c>
      <c r="AQ54" s="210">
        <f t="shared" si="29"/>
        <v>0</v>
      </c>
      <c r="AR54" s="210">
        <f t="shared" si="30"/>
        <v>0</v>
      </c>
      <c r="AT54" s="210"/>
      <c r="AU54" s="210">
        <f t="shared" si="31"/>
        <v>0</v>
      </c>
      <c r="AV54" s="210">
        <f t="shared" si="32"/>
        <v>0</v>
      </c>
      <c r="AW54" s="210">
        <f t="shared" si="33"/>
        <v>0</v>
      </c>
      <c r="AX54" s="210">
        <f t="shared" si="34"/>
        <v>0</v>
      </c>
      <c r="AY54" s="210">
        <f t="shared" si="35"/>
        <v>2.65</v>
      </c>
      <c r="AZ54" s="210">
        <f t="shared" si="36"/>
        <v>0</v>
      </c>
      <c r="BA54" s="210">
        <f t="shared" si="37"/>
        <v>1.55444444444444</v>
      </c>
      <c r="BB54" s="210">
        <f t="shared" si="38"/>
        <v>1.55444444444444</v>
      </c>
      <c r="BC54" s="210">
        <f t="shared" si="39"/>
        <v>1.55444444444444</v>
      </c>
      <c r="BD54" s="210">
        <f t="shared" si="40"/>
        <v>1.55444444444444</v>
      </c>
      <c r="BE54" s="210">
        <f t="shared" si="41"/>
        <v>1.55444444444444</v>
      </c>
      <c r="BF54" s="210">
        <f t="shared" si="42"/>
        <v>1.55444444444444</v>
      </c>
      <c r="BG54" s="210">
        <f t="shared" si="43"/>
        <v>1.55444444444444</v>
      </c>
      <c r="BH54" s="210">
        <f t="shared" si="44"/>
        <v>1.55444444444444</v>
      </c>
      <c r="BI54" s="210">
        <f t="shared" si="45"/>
        <v>1.55444444444445</v>
      </c>
      <c r="BJ54" s="210">
        <f t="shared" si="46"/>
        <v>0</v>
      </c>
      <c r="BK54" s="210">
        <f t="shared" si="47"/>
        <v>0</v>
      </c>
      <c r="BL54" s="210">
        <f t="shared" si="48"/>
        <v>0</v>
      </c>
      <c r="BM54" s="210">
        <f t="shared" si="49"/>
        <v>0</v>
      </c>
      <c r="BN54" s="210">
        <f t="shared" si="50"/>
        <v>0</v>
      </c>
    </row>
    <row r="55" spans="1:66">
      <c r="A55" s="209" t="s">
        <v>102</v>
      </c>
      <c r="B55" s="210">
        <f t="shared" si="4"/>
        <v>14.349</v>
      </c>
      <c r="C55" s="210">
        <f t="shared" si="5"/>
        <v>12.29</v>
      </c>
      <c r="D55" s="210">
        <f t="shared" si="6"/>
        <v>12.29</v>
      </c>
      <c r="E55" s="210">
        <f t="shared" si="7"/>
        <v>12.29</v>
      </c>
      <c r="F55" s="210">
        <f t="shared" si="8"/>
        <v>25.13</v>
      </c>
      <c r="G55" s="210">
        <f t="shared" si="9"/>
        <v>13</v>
      </c>
      <c r="H55" s="210">
        <f t="shared" si="10"/>
        <v>8.73</v>
      </c>
      <c r="I55" s="210">
        <f>H55+AE55-IF(AE55=0,($K16+SUM($AE55:AE55)-$Q55)/9,0)</f>
        <v>8.42666666666667</v>
      </c>
      <c r="J55" s="210">
        <f>I55+AF55-IF(AF55=0,($K16+SUM($AE55:AF55)-$Q55)/9,0)</f>
        <v>8.12333333333333</v>
      </c>
      <c r="K55" s="210">
        <f>J55+AG55-IF(AG55=0,($K16+SUM($AE55:AG55)-$Q55)/9,0)</f>
        <v>7.82</v>
      </c>
      <c r="L55" s="210">
        <f>K55+AH55-IF(AH55=0,($K16+SUM($AE55:AH55)-$Q55)/9,0)</f>
        <v>7.51666666666667</v>
      </c>
      <c r="M55" s="210">
        <f>L55+AI55-IF(AI55=0,($K16+SUM($AE55:AI55)-$Q55)/9,0)</f>
        <v>7.21333333333333</v>
      </c>
      <c r="N55" s="210">
        <f>M55+AJ55-IF(AJ55=0,($K16+SUM($AE55:AJ55)-$Q55)/9,0)</f>
        <v>6.91</v>
      </c>
      <c r="O55" s="210">
        <f>N55+AK55-IF(AK55=0,($K16+SUM($AE55:AK55)-$Q55)/9,0)</f>
        <v>6.60666666666667</v>
      </c>
      <c r="P55" s="210">
        <f>O55+AL55-IF(AL55=0,($K16+SUM($AE55:AL55)-$Q55)/9,0)</f>
        <v>6.30333333333333</v>
      </c>
      <c r="Q55" s="210">
        <f>MIN(MAX(AM16:$AR16),$K16+SUM($AE55:$AM55))</f>
        <v>6</v>
      </c>
      <c r="R55" s="210">
        <f>MIN(MAX(AN16:$AR16),$K16+SUM($AE55:$AM55))</f>
        <v>6</v>
      </c>
      <c r="S55" s="210">
        <f>MIN(MAX(AO16:$AR16),$K16+SUM($AE55:$AM55))</f>
        <v>2</v>
      </c>
      <c r="T55" s="210">
        <f>MIN(MAX(AP16:$AR16),$K16+SUM($AE55:$AM55))</f>
        <v>2</v>
      </c>
      <c r="U55" s="210">
        <f>MIN(MAX(AQ16:$AR16),$K16+SUM($AE55:$AM55))</f>
        <v>2</v>
      </c>
      <c r="V55" s="210">
        <f>MIN(MAX(AR16:$AR16),$K16+SUM($AE55:$AM55))</f>
        <v>2</v>
      </c>
      <c r="X55" s="210"/>
      <c r="Y55" s="210">
        <f t="shared" si="11"/>
        <v>0</v>
      </c>
      <c r="Z55" s="210">
        <f t="shared" si="12"/>
        <v>0</v>
      </c>
      <c r="AA55" s="210">
        <f t="shared" si="13"/>
        <v>0</v>
      </c>
      <c r="AB55" s="210">
        <f t="shared" si="14"/>
        <v>12.84</v>
      </c>
      <c r="AC55" s="210">
        <f t="shared" si="15"/>
        <v>0</v>
      </c>
      <c r="AD55" s="210">
        <f t="shared" si="16"/>
        <v>0</v>
      </c>
      <c r="AE55" s="210">
        <f t="shared" si="17"/>
        <v>0</v>
      </c>
      <c r="AF55" s="210">
        <f t="shared" si="18"/>
        <v>0</v>
      </c>
      <c r="AG55" s="210">
        <f t="shared" si="19"/>
        <v>0</v>
      </c>
      <c r="AH55" s="210">
        <f t="shared" si="20"/>
        <v>0</v>
      </c>
      <c r="AI55" s="210">
        <f t="shared" si="21"/>
        <v>0</v>
      </c>
      <c r="AJ55" s="210">
        <f t="shared" si="22"/>
        <v>0</v>
      </c>
      <c r="AK55" s="210">
        <f t="shared" si="23"/>
        <v>0</v>
      </c>
      <c r="AL55" s="210">
        <f t="shared" si="24"/>
        <v>0</v>
      </c>
      <c r="AM55" s="210">
        <f t="shared" si="25"/>
        <v>0</v>
      </c>
      <c r="AN55" s="210">
        <f t="shared" si="26"/>
        <v>0</v>
      </c>
      <c r="AO55" s="210">
        <f t="shared" si="27"/>
        <v>0</v>
      </c>
      <c r="AP55" s="210">
        <f t="shared" si="28"/>
        <v>0</v>
      </c>
      <c r="AQ55" s="210">
        <f t="shared" si="29"/>
        <v>0</v>
      </c>
      <c r="AR55" s="210">
        <f t="shared" si="30"/>
        <v>0</v>
      </c>
      <c r="AT55" s="210"/>
      <c r="AU55" s="210">
        <f t="shared" si="31"/>
        <v>2.059</v>
      </c>
      <c r="AV55" s="210">
        <f t="shared" si="32"/>
        <v>0</v>
      </c>
      <c r="AW55" s="210">
        <f t="shared" si="33"/>
        <v>0</v>
      </c>
      <c r="AX55" s="210">
        <f t="shared" si="34"/>
        <v>0</v>
      </c>
      <c r="AY55" s="210">
        <f t="shared" si="35"/>
        <v>12.13</v>
      </c>
      <c r="AZ55" s="210">
        <f t="shared" si="36"/>
        <v>4.27</v>
      </c>
      <c r="BA55" s="210">
        <f t="shared" si="37"/>
        <v>0.303333333333333</v>
      </c>
      <c r="BB55" s="210">
        <f t="shared" si="38"/>
        <v>0.303333333333333</v>
      </c>
      <c r="BC55" s="210">
        <f t="shared" si="39"/>
        <v>0.303333333333334</v>
      </c>
      <c r="BD55" s="210">
        <f t="shared" si="40"/>
        <v>0.303333333333334</v>
      </c>
      <c r="BE55" s="210">
        <f t="shared" si="41"/>
        <v>0.303333333333334</v>
      </c>
      <c r="BF55" s="210">
        <f t="shared" si="42"/>
        <v>0.303333333333334</v>
      </c>
      <c r="BG55" s="210">
        <f t="shared" si="43"/>
        <v>0.303333333333334</v>
      </c>
      <c r="BH55" s="210">
        <f t="shared" si="44"/>
        <v>0.303333333333334</v>
      </c>
      <c r="BI55" s="210">
        <f t="shared" si="45"/>
        <v>0.303333333333333</v>
      </c>
      <c r="BJ55" s="210">
        <f t="shared" si="46"/>
        <v>0</v>
      </c>
      <c r="BK55" s="210">
        <f t="shared" si="47"/>
        <v>4</v>
      </c>
      <c r="BL55" s="210">
        <f t="shared" si="48"/>
        <v>0</v>
      </c>
      <c r="BM55" s="210">
        <f t="shared" si="49"/>
        <v>0</v>
      </c>
      <c r="BN55" s="210">
        <f t="shared" si="50"/>
        <v>0</v>
      </c>
    </row>
    <row r="56" spans="1:66">
      <c r="A56" s="209" t="s">
        <v>104</v>
      </c>
      <c r="B56" s="210">
        <f t="shared" si="4"/>
        <v>0</v>
      </c>
      <c r="C56" s="210">
        <f t="shared" si="5"/>
        <v>0</v>
      </c>
      <c r="D56" s="210">
        <f t="shared" si="6"/>
        <v>0</v>
      </c>
      <c r="E56" s="210">
        <f t="shared" si="7"/>
        <v>0</v>
      </c>
      <c r="F56" s="210">
        <f t="shared" si="8"/>
        <v>0</v>
      </c>
      <c r="G56" s="210">
        <f t="shared" si="9"/>
        <v>0</v>
      </c>
      <c r="H56" s="210">
        <f t="shared" si="10"/>
        <v>0</v>
      </c>
      <c r="I56" s="210">
        <f>H56+AE56-IF(AE56=0,($K17+SUM($AE56:AE56)-$Q56)/9,0)</f>
        <v>0</v>
      </c>
      <c r="J56" s="210">
        <f>I56+AF56-IF(AF56=0,($K17+SUM($AE56:AF56)-$Q56)/9,0)</f>
        <v>0</v>
      </c>
      <c r="K56" s="210">
        <f>J56+AG56-IF(AG56=0,($K17+SUM($AE56:AG56)-$Q56)/9,0)</f>
        <v>0</v>
      </c>
      <c r="L56" s="210">
        <f>K56+AH56-IF(AH56=0,($K17+SUM($AE56:AH56)-$Q56)/9,0)</f>
        <v>0</v>
      </c>
      <c r="M56" s="210">
        <f>L56+AI56-IF(AI56=0,($K17+SUM($AE56:AI56)-$Q56)/9,0)</f>
        <v>0</v>
      </c>
      <c r="N56" s="210">
        <f>M56+AJ56-IF(AJ56=0,($K17+SUM($AE56:AJ56)-$Q56)/9,0)</f>
        <v>0</v>
      </c>
      <c r="O56" s="210">
        <f>N56+AK56-IF(AK56=0,($K17+SUM($AE56:AK56)-$Q56)/9,0)</f>
        <v>0</v>
      </c>
      <c r="P56" s="210">
        <f>O56+AL56-IF(AL56=0,($K17+SUM($AE56:AL56)-$Q56)/9,0)</f>
        <v>0</v>
      </c>
      <c r="Q56" s="210">
        <f>MIN(MAX(AM17:$AR17),$K17+SUM($AE56:$AM56))</f>
        <v>0</v>
      </c>
      <c r="R56" s="210">
        <f>MIN(MAX(AN17:$AR17),$K17+SUM($AE56:$AM56))</f>
        <v>0</v>
      </c>
      <c r="S56" s="210">
        <f>MIN(MAX(AO17:$AR17),$K17+SUM($AE56:$AM56))</f>
        <v>0</v>
      </c>
      <c r="T56" s="210">
        <f>MIN(MAX(AP17:$AR17),$K17+SUM($AE56:$AM56))</f>
        <v>0</v>
      </c>
      <c r="U56" s="210">
        <f>MIN(MAX(AQ17:$AR17),$K17+SUM($AE56:$AM56))</f>
        <v>0</v>
      </c>
      <c r="V56" s="210">
        <f>MIN(MAX(AR17:$AR17),$K17+SUM($AE56:$AM56))</f>
        <v>0</v>
      </c>
      <c r="X56" s="210"/>
      <c r="Y56" s="210">
        <f t="shared" si="11"/>
        <v>0</v>
      </c>
      <c r="Z56" s="210">
        <f t="shared" si="12"/>
        <v>0</v>
      </c>
      <c r="AA56" s="210">
        <f t="shared" si="13"/>
        <v>0</v>
      </c>
      <c r="AB56" s="210">
        <f t="shared" si="14"/>
        <v>0</v>
      </c>
      <c r="AC56" s="210">
        <f t="shared" si="15"/>
        <v>0</v>
      </c>
      <c r="AD56" s="210">
        <f t="shared" si="16"/>
        <v>0</v>
      </c>
      <c r="AE56" s="210">
        <f t="shared" si="17"/>
        <v>0</v>
      </c>
      <c r="AF56" s="210">
        <f t="shared" si="18"/>
        <v>0</v>
      </c>
      <c r="AG56" s="210">
        <f t="shared" si="19"/>
        <v>0</v>
      </c>
      <c r="AH56" s="210">
        <f t="shared" si="20"/>
        <v>0</v>
      </c>
      <c r="AI56" s="210">
        <f t="shared" si="21"/>
        <v>0</v>
      </c>
      <c r="AJ56" s="210">
        <f t="shared" si="22"/>
        <v>0</v>
      </c>
      <c r="AK56" s="210">
        <f t="shared" si="23"/>
        <v>0</v>
      </c>
      <c r="AL56" s="210">
        <f t="shared" si="24"/>
        <v>0</v>
      </c>
      <c r="AM56" s="210">
        <f t="shared" si="25"/>
        <v>0</v>
      </c>
      <c r="AN56" s="210">
        <f t="shared" si="26"/>
        <v>0</v>
      </c>
      <c r="AO56" s="210">
        <f t="shared" si="27"/>
        <v>0</v>
      </c>
      <c r="AP56" s="210">
        <f t="shared" si="28"/>
        <v>0</v>
      </c>
      <c r="AQ56" s="210">
        <f t="shared" si="29"/>
        <v>0</v>
      </c>
      <c r="AR56" s="210">
        <f t="shared" si="30"/>
        <v>0</v>
      </c>
      <c r="AT56" s="210"/>
      <c r="AU56" s="210">
        <f t="shared" si="31"/>
        <v>0</v>
      </c>
      <c r="AV56" s="210">
        <f t="shared" si="32"/>
        <v>0</v>
      </c>
      <c r="AW56" s="210">
        <f t="shared" si="33"/>
        <v>0</v>
      </c>
      <c r="AX56" s="210">
        <f t="shared" si="34"/>
        <v>0</v>
      </c>
      <c r="AY56" s="210">
        <f t="shared" si="35"/>
        <v>0</v>
      </c>
      <c r="AZ56" s="210">
        <f t="shared" si="36"/>
        <v>0</v>
      </c>
      <c r="BA56" s="210">
        <f t="shared" si="37"/>
        <v>0</v>
      </c>
      <c r="BB56" s="210">
        <f t="shared" si="38"/>
        <v>0</v>
      </c>
      <c r="BC56" s="210">
        <f t="shared" si="39"/>
        <v>0</v>
      </c>
      <c r="BD56" s="210">
        <f t="shared" si="40"/>
        <v>0</v>
      </c>
      <c r="BE56" s="210">
        <f t="shared" si="41"/>
        <v>0</v>
      </c>
      <c r="BF56" s="210">
        <f t="shared" si="42"/>
        <v>0</v>
      </c>
      <c r="BG56" s="210">
        <f t="shared" si="43"/>
        <v>0</v>
      </c>
      <c r="BH56" s="210">
        <f t="shared" si="44"/>
        <v>0</v>
      </c>
      <c r="BI56" s="210">
        <f t="shared" si="45"/>
        <v>0</v>
      </c>
      <c r="BJ56" s="210">
        <f t="shared" si="46"/>
        <v>0</v>
      </c>
      <c r="BK56" s="210">
        <f t="shared" si="47"/>
        <v>0</v>
      </c>
      <c r="BL56" s="210">
        <f t="shared" si="48"/>
        <v>0</v>
      </c>
      <c r="BM56" s="210">
        <f t="shared" si="49"/>
        <v>0</v>
      </c>
      <c r="BN56" s="210">
        <f t="shared" si="50"/>
        <v>0</v>
      </c>
    </row>
    <row r="57" spans="1:66">
      <c r="A57" s="209" t="s">
        <v>106</v>
      </c>
      <c r="B57" s="210">
        <f t="shared" si="4"/>
        <v>13.824</v>
      </c>
      <c r="C57" s="210">
        <f t="shared" si="5"/>
        <v>18.4</v>
      </c>
      <c r="D57" s="210">
        <f t="shared" si="6"/>
        <v>18.4</v>
      </c>
      <c r="E57" s="210">
        <f t="shared" si="7"/>
        <v>18.4</v>
      </c>
      <c r="F57" s="210">
        <f t="shared" si="8"/>
        <v>18.43</v>
      </c>
      <c r="G57" s="210">
        <f t="shared" si="9"/>
        <v>16</v>
      </c>
      <c r="H57" s="210">
        <f t="shared" si="10"/>
        <v>11.52</v>
      </c>
      <c r="I57" s="210">
        <f>H57+AE57-IF(AE57=0,($K18+SUM($AE57:AE57)-$Q57)/9,0)</f>
        <v>10.3511111111111</v>
      </c>
      <c r="J57" s="210">
        <f>I57+AF57-IF(AF57=0,($K18+SUM($AE57:AF57)-$Q57)/9,0)</f>
        <v>9.18222222222222</v>
      </c>
      <c r="K57" s="210">
        <f>J57+AG57-IF(AG57=0,($K18+SUM($AE57:AG57)-$Q57)/9,0)</f>
        <v>8.01333333333333</v>
      </c>
      <c r="L57" s="210">
        <f>K57+AH57-IF(AH57=0,($K18+SUM($AE57:AH57)-$Q57)/9,0)</f>
        <v>6.84444444444444</v>
      </c>
      <c r="M57" s="210">
        <f>L57+AI57-IF(AI57=0,($K18+SUM($AE57:AI57)-$Q57)/9,0)</f>
        <v>5.67555555555556</v>
      </c>
      <c r="N57" s="210">
        <f>M57+AJ57-IF(AJ57=0,($K18+SUM($AE57:AJ57)-$Q57)/9,0)</f>
        <v>4.50666666666667</v>
      </c>
      <c r="O57" s="210">
        <f>N57+AK57-IF(AK57=0,($K18+SUM($AE57:AK57)-$Q57)/9,0)</f>
        <v>3.33777777777778</v>
      </c>
      <c r="P57" s="210">
        <f>O57+AL57-IF(AL57=0,($K18+SUM($AE57:AL57)-$Q57)/9,0)</f>
        <v>2.16888888888889</v>
      </c>
      <c r="Q57" s="210">
        <f>MIN(MAX(AM18:$AR18),$K18+SUM($AE57:$AM57))</f>
        <v>1</v>
      </c>
      <c r="R57" s="210">
        <f>MIN(MAX(AN18:$AR18),$K18+SUM($AE57:$AM57))</f>
        <v>1</v>
      </c>
      <c r="S57" s="210">
        <f>MIN(MAX(AO18:$AR18),$K18+SUM($AE57:$AM57))</f>
        <v>1</v>
      </c>
      <c r="T57" s="210">
        <f>MIN(MAX(AP18:$AR18),$K18+SUM($AE57:$AM57))</f>
        <v>1</v>
      </c>
      <c r="U57" s="210">
        <f>MIN(MAX(AQ18:$AR18),$K18+SUM($AE57:$AM57))</f>
        <v>0</v>
      </c>
      <c r="V57" s="210">
        <f>MIN(MAX(AR18:$AR18),$K18+SUM($AE57:$AM57))</f>
        <v>0</v>
      </c>
      <c r="X57" s="210"/>
      <c r="Y57" s="210">
        <f t="shared" si="11"/>
        <v>4.576</v>
      </c>
      <c r="Z57" s="210">
        <f t="shared" si="12"/>
        <v>0</v>
      </c>
      <c r="AA57" s="210">
        <f t="shared" si="13"/>
        <v>0</v>
      </c>
      <c r="AB57" s="210">
        <f t="shared" si="14"/>
        <v>0.0300000000000011</v>
      </c>
      <c r="AC57" s="210">
        <f t="shared" si="15"/>
        <v>0</v>
      </c>
      <c r="AD57" s="210">
        <f t="shared" si="16"/>
        <v>0</v>
      </c>
      <c r="AE57" s="210">
        <f t="shared" si="17"/>
        <v>0</v>
      </c>
      <c r="AF57" s="210">
        <f t="shared" si="18"/>
        <v>0</v>
      </c>
      <c r="AG57" s="210">
        <f t="shared" si="19"/>
        <v>0</v>
      </c>
      <c r="AH57" s="210">
        <f t="shared" si="20"/>
        <v>0</v>
      </c>
      <c r="AI57" s="210">
        <f t="shared" si="21"/>
        <v>0</v>
      </c>
      <c r="AJ57" s="210">
        <f t="shared" si="22"/>
        <v>0</v>
      </c>
      <c r="AK57" s="210">
        <f t="shared" si="23"/>
        <v>0</v>
      </c>
      <c r="AL57" s="210">
        <f t="shared" si="24"/>
        <v>0</v>
      </c>
      <c r="AM57" s="210">
        <f t="shared" si="25"/>
        <v>0</v>
      </c>
      <c r="AN57" s="210">
        <f t="shared" si="26"/>
        <v>0</v>
      </c>
      <c r="AO57" s="210">
        <f t="shared" si="27"/>
        <v>0</v>
      </c>
      <c r="AP57" s="210">
        <f t="shared" si="28"/>
        <v>0</v>
      </c>
      <c r="AQ57" s="210">
        <f t="shared" si="29"/>
        <v>0</v>
      </c>
      <c r="AR57" s="210">
        <f t="shared" si="30"/>
        <v>0</v>
      </c>
      <c r="AT57" s="210"/>
      <c r="AU57" s="210">
        <f t="shared" si="31"/>
        <v>0</v>
      </c>
      <c r="AV57" s="210">
        <f t="shared" si="32"/>
        <v>0</v>
      </c>
      <c r="AW57" s="210">
        <f t="shared" si="33"/>
        <v>0</v>
      </c>
      <c r="AX57" s="210">
        <f t="shared" si="34"/>
        <v>0</v>
      </c>
      <c r="AY57" s="210">
        <f t="shared" si="35"/>
        <v>2.43</v>
      </c>
      <c r="AZ57" s="210">
        <f t="shared" si="36"/>
        <v>4.48</v>
      </c>
      <c r="BA57" s="210">
        <f t="shared" si="37"/>
        <v>1.16888888888889</v>
      </c>
      <c r="BB57" s="210">
        <f t="shared" si="38"/>
        <v>1.16888888888889</v>
      </c>
      <c r="BC57" s="210">
        <f t="shared" si="39"/>
        <v>1.16888888888889</v>
      </c>
      <c r="BD57" s="210">
        <f t="shared" si="40"/>
        <v>1.16888888888889</v>
      </c>
      <c r="BE57" s="210">
        <f t="shared" si="41"/>
        <v>1.16888888888889</v>
      </c>
      <c r="BF57" s="210">
        <f t="shared" si="42"/>
        <v>1.16888888888889</v>
      </c>
      <c r="BG57" s="210">
        <f t="shared" si="43"/>
        <v>1.16888888888889</v>
      </c>
      <c r="BH57" s="210">
        <f t="shared" si="44"/>
        <v>1.16888888888889</v>
      </c>
      <c r="BI57" s="210">
        <f t="shared" si="45"/>
        <v>1.16888888888889</v>
      </c>
      <c r="BJ57" s="210">
        <f t="shared" si="46"/>
        <v>0</v>
      </c>
      <c r="BK57" s="210">
        <f t="shared" si="47"/>
        <v>0</v>
      </c>
      <c r="BL57" s="210">
        <f t="shared" si="48"/>
        <v>0</v>
      </c>
      <c r="BM57" s="210">
        <f t="shared" si="49"/>
        <v>1</v>
      </c>
      <c r="BN57" s="210">
        <f t="shared" si="50"/>
        <v>0</v>
      </c>
    </row>
    <row r="58" spans="1:66">
      <c r="A58" s="209" t="s">
        <v>108</v>
      </c>
      <c r="B58" s="210">
        <f t="shared" si="4"/>
        <v>0</v>
      </c>
      <c r="C58" s="210">
        <f t="shared" si="5"/>
        <v>0</v>
      </c>
      <c r="D58" s="210">
        <f t="shared" si="6"/>
        <v>0</v>
      </c>
      <c r="E58" s="210">
        <f t="shared" si="7"/>
        <v>0</v>
      </c>
      <c r="F58" s="210">
        <f t="shared" si="8"/>
        <v>0</v>
      </c>
      <c r="G58" s="210">
        <f t="shared" si="9"/>
        <v>0</v>
      </c>
      <c r="H58" s="210">
        <f t="shared" si="10"/>
        <v>0</v>
      </c>
      <c r="I58" s="210">
        <f>H58+AE58-IF(AE58=0,($K19+SUM($AE58:AE58)-$Q58)/9,0)</f>
        <v>0</v>
      </c>
      <c r="J58" s="210">
        <f>I58+AF58-IF(AF58=0,($K19+SUM($AE58:AF58)-$Q58)/9,0)</f>
        <v>0</v>
      </c>
      <c r="K58" s="210">
        <f>J58+AG58-IF(AG58=0,($K19+SUM($AE58:AG58)-$Q58)/9,0)</f>
        <v>0</v>
      </c>
      <c r="L58" s="210">
        <f>K58+AH58-IF(AH58=0,($K19+SUM($AE58:AH58)-$Q58)/9,0)</f>
        <v>0</v>
      </c>
      <c r="M58" s="210">
        <f>L58+AI58-IF(AI58=0,($K19+SUM($AE58:AI58)-$Q58)/9,0)</f>
        <v>0</v>
      </c>
      <c r="N58" s="210">
        <f>M58+AJ58-IF(AJ58=0,($K19+SUM($AE58:AJ58)-$Q58)/9,0)</f>
        <v>0</v>
      </c>
      <c r="O58" s="210">
        <f>N58+AK58-IF(AK58=0,($K19+SUM($AE58:AK58)-$Q58)/9,0)</f>
        <v>0</v>
      </c>
      <c r="P58" s="210">
        <f>O58+AL58-IF(AL58=0,($K19+SUM($AE58:AL58)-$Q58)/9,0)</f>
        <v>0</v>
      </c>
      <c r="Q58" s="210">
        <f>MIN(MAX(AM19:$AR19),$K19+SUM($AE58:$AM58))</f>
        <v>0</v>
      </c>
      <c r="R58" s="210">
        <f>MIN(MAX(AN19:$AR19),$K19+SUM($AE58:$AM58))</f>
        <v>0</v>
      </c>
      <c r="S58" s="210">
        <f>MIN(MAX(AO19:$AR19),$K19+SUM($AE58:$AM58))</f>
        <v>0</v>
      </c>
      <c r="T58" s="210">
        <f>MIN(MAX(AP19:$AR19),$K19+SUM($AE58:$AM58))</f>
        <v>0</v>
      </c>
      <c r="U58" s="210">
        <f>MIN(MAX(AQ19:$AR19),$K19+SUM($AE58:$AM58))</f>
        <v>0</v>
      </c>
      <c r="V58" s="210">
        <f>MIN(MAX(AR19:$AR19),$K19+SUM($AE58:$AM58))</f>
        <v>0</v>
      </c>
      <c r="X58" s="210"/>
      <c r="Y58" s="210">
        <f t="shared" si="11"/>
        <v>0</v>
      </c>
      <c r="Z58" s="210">
        <f t="shared" si="12"/>
        <v>0</v>
      </c>
      <c r="AA58" s="210">
        <f t="shared" si="13"/>
        <v>0</v>
      </c>
      <c r="AB58" s="210">
        <f t="shared" si="14"/>
        <v>0</v>
      </c>
      <c r="AC58" s="210">
        <f t="shared" si="15"/>
        <v>0</v>
      </c>
      <c r="AD58" s="210">
        <f t="shared" si="16"/>
        <v>0</v>
      </c>
      <c r="AE58" s="210">
        <f t="shared" si="17"/>
        <v>0</v>
      </c>
      <c r="AF58" s="210">
        <f t="shared" si="18"/>
        <v>0</v>
      </c>
      <c r="AG58" s="210">
        <f t="shared" si="19"/>
        <v>0</v>
      </c>
      <c r="AH58" s="210">
        <f t="shared" si="20"/>
        <v>0</v>
      </c>
      <c r="AI58" s="210">
        <f t="shared" si="21"/>
        <v>0</v>
      </c>
      <c r="AJ58" s="210">
        <f t="shared" si="22"/>
        <v>0</v>
      </c>
      <c r="AK58" s="210">
        <f t="shared" si="23"/>
        <v>0</v>
      </c>
      <c r="AL58" s="210">
        <f t="shared" si="24"/>
        <v>0</v>
      </c>
      <c r="AM58" s="210">
        <f t="shared" si="25"/>
        <v>0</v>
      </c>
      <c r="AN58" s="210">
        <f t="shared" si="26"/>
        <v>0</v>
      </c>
      <c r="AO58" s="210">
        <f t="shared" si="27"/>
        <v>0</v>
      </c>
      <c r="AP58" s="210">
        <f t="shared" si="28"/>
        <v>0</v>
      </c>
      <c r="AQ58" s="210">
        <f t="shared" si="29"/>
        <v>0</v>
      </c>
      <c r="AR58" s="210">
        <f t="shared" si="30"/>
        <v>0</v>
      </c>
      <c r="AT58" s="210"/>
      <c r="AU58" s="210">
        <f t="shared" si="31"/>
        <v>0</v>
      </c>
      <c r="AV58" s="210">
        <f t="shared" si="32"/>
        <v>0</v>
      </c>
      <c r="AW58" s="210">
        <f t="shared" si="33"/>
        <v>0</v>
      </c>
      <c r="AX58" s="210">
        <f t="shared" si="34"/>
        <v>0</v>
      </c>
      <c r="AY58" s="210">
        <f t="shared" si="35"/>
        <v>0</v>
      </c>
      <c r="AZ58" s="210">
        <f t="shared" si="36"/>
        <v>0</v>
      </c>
      <c r="BA58" s="210">
        <f t="shared" si="37"/>
        <v>0</v>
      </c>
      <c r="BB58" s="210">
        <f t="shared" si="38"/>
        <v>0</v>
      </c>
      <c r="BC58" s="210">
        <f t="shared" si="39"/>
        <v>0</v>
      </c>
      <c r="BD58" s="210">
        <f t="shared" si="40"/>
        <v>0</v>
      </c>
      <c r="BE58" s="210">
        <f t="shared" si="41"/>
        <v>0</v>
      </c>
      <c r="BF58" s="210">
        <f t="shared" si="42"/>
        <v>0</v>
      </c>
      <c r="BG58" s="210">
        <f t="shared" si="43"/>
        <v>0</v>
      </c>
      <c r="BH58" s="210">
        <f t="shared" si="44"/>
        <v>0</v>
      </c>
      <c r="BI58" s="210">
        <f t="shared" si="45"/>
        <v>0</v>
      </c>
      <c r="BJ58" s="210">
        <f t="shared" si="46"/>
        <v>0</v>
      </c>
      <c r="BK58" s="210">
        <f t="shared" si="47"/>
        <v>0</v>
      </c>
      <c r="BL58" s="210">
        <f t="shared" si="48"/>
        <v>0</v>
      </c>
      <c r="BM58" s="210">
        <f t="shared" si="49"/>
        <v>0</v>
      </c>
      <c r="BN58" s="210">
        <f t="shared" si="50"/>
        <v>0</v>
      </c>
    </row>
    <row r="59" spans="1:66">
      <c r="A59" s="209" t="s">
        <v>110</v>
      </c>
      <c r="B59" s="210">
        <f t="shared" si="4"/>
        <v>0</v>
      </c>
      <c r="C59" s="210">
        <f t="shared" si="5"/>
        <v>0</v>
      </c>
      <c r="D59" s="210">
        <f t="shared" si="6"/>
        <v>0</v>
      </c>
      <c r="E59" s="210">
        <f t="shared" si="7"/>
        <v>0</v>
      </c>
      <c r="F59" s="210">
        <f t="shared" si="8"/>
        <v>0</v>
      </c>
      <c r="G59" s="210">
        <f t="shared" si="9"/>
        <v>0</v>
      </c>
      <c r="H59" s="210">
        <f t="shared" si="10"/>
        <v>0</v>
      </c>
      <c r="I59" s="210">
        <f>H59+AE59-IF(AE59=0,($K20+SUM($AE59:AE59)-$Q59)/9,0)</f>
        <v>0</v>
      </c>
      <c r="J59" s="210">
        <f>I59+AF59-IF(AF59=0,($K20+SUM($AE59:AF59)-$Q59)/9,0)</f>
        <v>0</v>
      </c>
      <c r="K59" s="210">
        <f>J59+AG59-IF(AG59=0,($K20+SUM($AE59:AG59)-$Q59)/9,0)</f>
        <v>0</v>
      </c>
      <c r="L59" s="210">
        <f>K59+AH59-IF(AH59=0,($K20+SUM($AE59:AH59)-$Q59)/9,0)</f>
        <v>0</v>
      </c>
      <c r="M59" s="210">
        <f>L59+AI59-IF(AI59=0,($K20+SUM($AE59:AI59)-$Q59)/9,0)</f>
        <v>0</v>
      </c>
      <c r="N59" s="210">
        <f>M59+AJ59-IF(AJ59=0,($K20+SUM($AE59:AJ59)-$Q59)/9,0)</f>
        <v>0</v>
      </c>
      <c r="O59" s="210">
        <f>N59+AK59-IF(AK59=0,($K20+SUM($AE59:AK59)-$Q59)/9,0)</f>
        <v>0</v>
      </c>
      <c r="P59" s="210">
        <f>O59+AL59-IF(AL59=0,($K20+SUM($AE59:AL59)-$Q59)/9,0)</f>
        <v>0</v>
      </c>
      <c r="Q59" s="210">
        <f>MIN(MAX(AM20:$AR20),$K20+SUM($AE59:$AM59))</f>
        <v>0</v>
      </c>
      <c r="R59" s="210">
        <f>MIN(MAX(AN20:$AR20),$K20+SUM($AE59:$AM59))</f>
        <v>0</v>
      </c>
      <c r="S59" s="210">
        <f>MIN(MAX(AO20:$AR20),$K20+SUM($AE59:$AM59))</f>
        <v>0</v>
      </c>
      <c r="T59" s="210">
        <f>MIN(MAX(AP20:$AR20),$K20+SUM($AE59:$AM59))</f>
        <v>0</v>
      </c>
      <c r="U59" s="210">
        <f>MIN(MAX(AQ20:$AR20),$K20+SUM($AE59:$AM59))</f>
        <v>0</v>
      </c>
      <c r="V59" s="210">
        <f>MIN(MAX(AR20:$AR20),$K20+SUM($AE59:$AM59))</f>
        <v>0</v>
      </c>
      <c r="X59" s="210"/>
      <c r="Y59" s="210">
        <f t="shared" si="11"/>
        <v>0</v>
      </c>
      <c r="Z59" s="210">
        <f t="shared" si="12"/>
        <v>0</v>
      </c>
      <c r="AA59" s="210">
        <f t="shared" si="13"/>
        <v>0</v>
      </c>
      <c r="AB59" s="210">
        <f t="shared" si="14"/>
        <v>0</v>
      </c>
      <c r="AC59" s="210">
        <f t="shared" si="15"/>
        <v>0</v>
      </c>
      <c r="AD59" s="210">
        <f t="shared" si="16"/>
        <v>0</v>
      </c>
      <c r="AE59" s="210">
        <f t="shared" si="17"/>
        <v>0</v>
      </c>
      <c r="AF59" s="210">
        <f t="shared" si="18"/>
        <v>0</v>
      </c>
      <c r="AG59" s="210">
        <f t="shared" si="19"/>
        <v>0</v>
      </c>
      <c r="AH59" s="210">
        <f t="shared" si="20"/>
        <v>0</v>
      </c>
      <c r="AI59" s="210">
        <f t="shared" si="21"/>
        <v>0</v>
      </c>
      <c r="AJ59" s="210">
        <f t="shared" si="22"/>
        <v>0</v>
      </c>
      <c r="AK59" s="210">
        <f t="shared" si="23"/>
        <v>0</v>
      </c>
      <c r="AL59" s="210">
        <f t="shared" si="24"/>
        <v>0</v>
      </c>
      <c r="AM59" s="210">
        <f t="shared" si="25"/>
        <v>0</v>
      </c>
      <c r="AN59" s="210">
        <f t="shared" si="26"/>
        <v>0</v>
      </c>
      <c r="AO59" s="210">
        <f t="shared" si="27"/>
        <v>0</v>
      </c>
      <c r="AP59" s="210">
        <f t="shared" si="28"/>
        <v>0</v>
      </c>
      <c r="AQ59" s="210">
        <f t="shared" si="29"/>
        <v>0</v>
      </c>
      <c r="AR59" s="210">
        <f t="shared" si="30"/>
        <v>0</v>
      </c>
      <c r="AT59" s="210"/>
      <c r="AU59" s="210">
        <f t="shared" si="31"/>
        <v>0</v>
      </c>
      <c r="AV59" s="210">
        <f t="shared" si="32"/>
        <v>0</v>
      </c>
      <c r="AW59" s="210">
        <f t="shared" si="33"/>
        <v>0</v>
      </c>
      <c r="AX59" s="210">
        <f t="shared" si="34"/>
        <v>0</v>
      </c>
      <c r="AY59" s="210">
        <f t="shared" si="35"/>
        <v>0</v>
      </c>
      <c r="AZ59" s="210">
        <f t="shared" si="36"/>
        <v>0</v>
      </c>
      <c r="BA59" s="210">
        <f t="shared" si="37"/>
        <v>0</v>
      </c>
      <c r="BB59" s="210">
        <f t="shared" si="38"/>
        <v>0</v>
      </c>
      <c r="BC59" s="210">
        <f t="shared" si="39"/>
        <v>0</v>
      </c>
      <c r="BD59" s="210">
        <f t="shared" si="40"/>
        <v>0</v>
      </c>
      <c r="BE59" s="210">
        <f t="shared" si="41"/>
        <v>0</v>
      </c>
      <c r="BF59" s="210">
        <f t="shared" si="42"/>
        <v>0</v>
      </c>
      <c r="BG59" s="210">
        <f t="shared" si="43"/>
        <v>0</v>
      </c>
      <c r="BH59" s="210">
        <f t="shared" si="44"/>
        <v>0</v>
      </c>
      <c r="BI59" s="210">
        <f t="shared" si="45"/>
        <v>0</v>
      </c>
      <c r="BJ59" s="210">
        <f t="shared" si="46"/>
        <v>0</v>
      </c>
      <c r="BK59" s="210">
        <f t="shared" si="47"/>
        <v>0</v>
      </c>
      <c r="BL59" s="210">
        <f t="shared" si="48"/>
        <v>0</v>
      </c>
      <c r="BM59" s="210">
        <f t="shared" si="49"/>
        <v>0</v>
      </c>
      <c r="BN59" s="210">
        <f t="shared" si="50"/>
        <v>0</v>
      </c>
    </row>
    <row r="60" spans="1:66">
      <c r="A60" s="209" t="s">
        <v>112</v>
      </c>
      <c r="B60" s="210">
        <f t="shared" si="4"/>
        <v>0</v>
      </c>
      <c r="C60" s="210">
        <f t="shared" si="5"/>
        <v>1.8</v>
      </c>
      <c r="D60" s="210">
        <f t="shared" si="6"/>
        <v>1.8</v>
      </c>
      <c r="E60" s="210">
        <f t="shared" si="7"/>
        <v>1.8</v>
      </c>
      <c r="F60" s="210">
        <f t="shared" si="8"/>
        <v>0</v>
      </c>
      <c r="G60" s="210">
        <f t="shared" si="9"/>
        <v>0</v>
      </c>
      <c r="H60" s="210">
        <f t="shared" si="10"/>
        <v>0</v>
      </c>
      <c r="I60" s="210">
        <f>H60+AE60-IF(AE60=0,($K21+SUM($AE60:AE60)-$Q60)/9,0)</f>
        <v>0</v>
      </c>
      <c r="J60" s="210">
        <f>I60+AF60-IF(AF60=0,($K21+SUM($AE60:AF60)-$Q60)/9,0)</f>
        <v>0</v>
      </c>
      <c r="K60" s="210">
        <f>J60+AG60-IF(AG60=0,($K21+SUM($AE60:AG60)-$Q60)/9,0)</f>
        <v>0</v>
      </c>
      <c r="L60" s="210">
        <f>K60+AH60-IF(AH60=0,($K21+SUM($AE60:AH60)-$Q60)/9,0)</f>
        <v>0</v>
      </c>
      <c r="M60" s="210">
        <f>L60+AI60-IF(AI60=0,($K21+SUM($AE60:AI60)-$Q60)/9,0)</f>
        <v>0</v>
      </c>
      <c r="N60" s="210">
        <f>M60+AJ60-IF(AJ60=0,($K21+SUM($AE60:AJ60)-$Q60)/9,0)</f>
        <v>0</v>
      </c>
      <c r="O60" s="210">
        <f>N60+AK60-IF(AK60=0,($K21+SUM($AE60:AK60)-$Q60)/9,0)</f>
        <v>0</v>
      </c>
      <c r="P60" s="210">
        <f>O60+AL60-IF(AL60=0,($K21+SUM($AE60:AL60)-$Q60)/9,0)</f>
        <v>0</v>
      </c>
      <c r="Q60" s="210">
        <f>MIN(MAX(AM21:$AR21),$K21+SUM($AE60:$AM60))</f>
        <v>0</v>
      </c>
      <c r="R60" s="210">
        <f>MIN(MAX(AN21:$AR21),$K21+SUM($AE60:$AM60))</f>
        <v>0</v>
      </c>
      <c r="S60" s="210">
        <f>MIN(MAX(AO21:$AR21),$K21+SUM($AE60:$AM60))</f>
        <v>0</v>
      </c>
      <c r="T60" s="210">
        <f>MIN(MAX(AP21:$AR21),$K21+SUM($AE60:$AM60))</f>
        <v>0</v>
      </c>
      <c r="U60" s="210">
        <f>MIN(MAX(AQ21:$AR21),$K21+SUM($AE60:$AM60))</f>
        <v>0</v>
      </c>
      <c r="V60" s="210">
        <f>MIN(MAX(AR21:$AR21),$K21+SUM($AE60:$AM60))</f>
        <v>0</v>
      </c>
      <c r="X60" s="210"/>
      <c r="Y60" s="210">
        <f t="shared" si="11"/>
        <v>1.8</v>
      </c>
      <c r="Z60" s="210">
        <f t="shared" si="12"/>
        <v>0</v>
      </c>
      <c r="AA60" s="210">
        <f t="shared" si="13"/>
        <v>0</v>
      </c>
      <c r="AB60" s="210">
        <f t="shared" si="14"/>
        <v>0</v>
      </c>
      <c r="AC60" s="210">
        <f t="shared" si="15"/>
        <v>0</v>
      </c>
      <c r="AD60" s="210">
        <f t="shared" si="16"/>
        <v>0</v>
      </c>
      <c r="AE60" s="210">
        <f t="shared" si="17"/>
        <v>0</v>
      </c>
      <c r="AF60" s="210">
        <f t="shared" si="18"/>
        <v>0</v>
      </c>
      <c r="AG60" s="210">
        <f t="shared" si="19"/>
        <v>0</v>
      </c>
      <c r="AH60" s="210">
        <f t="shared" si="20"/>
        <v>0</v>
      </c>
      <c r="AI60" s="210">
        <f t="shared" si="21"/>
        <v>0</v>
      </c>
      <c r="AJ60" s="210">
        <f t="shared" si="22"/>
        <v>0</v>
      </c>
      <c r="AK60" s="210">
        <f t="shared" si="23"/>
        <v>0</v>
      </c>
      <c r="AL60" s="210">
        <f t="shared" si="24"/>
        <v>0</v>
      </c>
      <c r="AM60" s="210">
        <f t="shared" si="25"/>
        <v>0</v>
      </c>
      <c r="AN60" s="210">
        <f t="shared" si="26"/>
        <v>0</v>
      </c>
      <c r="AO60" s="210">
        <f t="shared" si="27"/>
        <v>0</v>
      </c>
      <c r="AP60" s="210">
        <f t="shared" si="28"/>
        <v>0</v>
      </c>
      <c r="AQ60" s="210">
        <f t="shared" si="29"/>
        <v>0</v>
      </c>
      <c r="AR60" s="210">
        <f t="shared" si="30"/>
        <v>0</v>
      </c>
      <c r="AT60" s="210"/>
      <c r="AU60" s="210">
        <f t="shared" si="31"/>
        <v>0</v>
      </c>
      <c r="AV60" s="210">
        <f t="shared" si="32"/>
        <v>0</v>
      </c>
      <c r="AW60" s="210">
        <f t="shared" si="33"/>
        <v>0</v>
      </c>
      <c r="AX60" s="210">
        <f t="shared" si="34"/>
        <v>1.8</v>
      </c>
      <c r="AY60" s="210">
        <f t="shared" si="35"/>
        <v>0</v>
      </c>
      <c r="AZ60" s="210">
        <f t="shared" si="36"/>
        <v>0</v>
      </c>
      <c r="BA60" s="210">
        <f t="shared" si="37"/>
        <v>0</v>
      </c>
      <c r="BB60" s="210">
        <f t="shared" si="38"/>
        <v>0</v>
      </c>
      <c r="BC60" s="210">
        <f t="shared" si="39"/>
        <v>0</v>
      </c>
      <c r="BD60" s="210">
        <f t="shared" si="40"/>
        <v>0</v>
      </c>
      <c r="BE60" s="210">
        <f t="shared" si="41"/>
        <v>0</v>
      </c>
      <c r="BF60" s="210">
        <f t="shared" si="42"/>
        <v>0</v>
      </c>
      <c r="BG60" s="210">
        <f t="shared" si="43"/>
        <v>0</v>
      </c>
      <c r="BH60" s="210">
        <f t="shared" si="44"/>
        <v>0</v>
      </c>
      <c r="BI60" s="210">
        <f t="shared" si="45"/>
        <v>0</v>
      </c>
      <c r="BJ60" s="210">
        <f t="shared" si="46"/>
        <v>0</v>
      </c>
      <c r="BK60" s="210">
        <f t="shared" si="47"/>
        <v>0</v>
      </c>
      <c r="BL60" s="210">
        <f t="shared" si="48"/>
        <v>0</v>
      </c>
      <c r="BM60" s="210">
        <f t="shared" si="49"/>
        <v>0</v>
      </c>
      <c r="BN60" s="210">
        <f t="shared" si="50"/>
        <v>0</v>
      </c>
    </row>
    <row r="61" spans="1:66">
      <c r="A61" s="209" t="s">
        <v>114</v>
      </c>
      <c r="B61" s="210">
        <f t="shared" si="4"/>
        <v>0</v>
      </c>
      <c r="C61" s="210">
        <f t="shared" si="5"/>
        <v>0</v>
      </c>
      <c r="D61" s="210">
        <f t="shared" si="6"/>
        <v>0</v>
      </c>
      <c r="E61" s="210">
        <f t="shared" si="7"/>
        <v>0</v>
      </c>
      <c r="F61" s="210">
        <f t="shared" si="8"/>
        <v>0</v>
      </c>
      <c r="G61" s="210">
        <f t="shared" si="9"/>
        <v>3</v>
      </c>
      <c r="H61" s="210">
        <f t="shared" si="10"/>
        <v>3.6</v>
      </c>
      <c r="I61" s="210">
        <f>H61+AE61-IF(AE61=0,($K22+SUM($AE61:AE61)-$Q61)/9,0)</f>
        <v>3.2</v>
      </c>
      <c r="J61" s="210">
        <f>I61+AF61-IF(AF61=0,($K22+SUM($AE61:AF61)-$Q61)/9,0)</f>
        <v>2.8</v>
      </c>
      <c r="K61" s="210">
        <f>J61+AG61-IF(AG61=0,($K22+SUM($AE61:AG61)-$Q61)/9,0)</f>
        <v>2.4</v>
      </c>
      <c r="L61" s="210">
        <f>K61+AH61-IF(AH61=0,($K22+SUM($AE61:AH61)-$Q61)/9,0)</f>
        <v>2</v>
      </c>
      <c r="M61" s="210">
        <f>L61+AI61-IF(AI61=0,($K22+SUM($AE61:AI61)-$Q61)/9,0)</f>
        <v>1.6</v>
      </c>
      <c r="N61" s="210">
        <f>M61+AJ61-IF(AJ61=0,($K22+SUM($AE61:AJ61)-$Q61)/9,0)</f>
        <v>1.2</v>
      </c>
      <c r="O61" s="210">
        <f>N61+AK61-IF(AK61=0,($K22+SUM($AE61:AK61)-$Q61)/9,0)</f>
        <v>0.800000000000001</v>
      </c>
      <c r="P61" s="210">
        <f>O61+AL61-IF(AL61=0,($K22+SUM($AE61:AL61)-$Q61)/9,0)</f>
        <v>0.400000000000001</v>
      </c>
      <c r="Q61" s="210">
        <f>MIN(MAX(AM22:$AR22),$K22+SUM($AE61:$AM61))</f>
        <v>0</v>
      </c>
      <c r="R61" s="210">
        <f>MIN(MAX(AN22:$AR22),$K22+SUM($AE61:$AM61))</f>
        <v>0</v>
      </c>
      <c r="S61" s="210">
        <f>MIN(MAX(AO22:$AR22),$K22+SUM($AE61:$AM61))</f>
        <v>0</v>
      </c>
      <c r="T61" s="210">
        <f>MIN(MAX(AP22:$AR22),$K22+SUM($AE61:$AM61))</f>
        <v>0</v>
      </c>
      <c r="U61" s="210">
        <f>MIN(MAX(AQ22:$AR22),$K22+SUM($AE61:$AM61))</f>
        <v>0</v>
      </c>
      <c r="V61" s="210">
        <f>MIN(MAX(AR22:$AR22),$K22+SUM($AE61:$AM61))</f>
        <v>0</v>
      </c>
      <c r="X61" s="210"/>
      <c r="Y61" s="210">
        <f t="shared" si="11"/>
        <v>0</v>
      </c>
      <c r="Z61" s="210">
        <f t="shared" si="12"/>
        <v>0</v>
      </c>
      <c r="AA61" s="210">
        <f t="shared" si="13"/>
        <v>0</v>
      </c>
      <c r="AB61" s="210">
        <f t="shared" si="14"/>
        <v>0</v>
      </c>
      <c r="AC61" s="210">
        <f t="shared" si="15"/>
        <v>3</v>
      </c>
      <c r="AD61" s="210">
        <f t="shared" si="16"/>
        <v>0.6</v>
      </c>
      <c r="AE61" s="210">
        <f t="shared" si="17"/>
        <v>0</v>
      </c>
      <c r="AF61" s="210">
        <f t="shared" si="18"/>
        <v>0</v>
      </c>
      <c r="AG61" s="210">
        <f t="shared" si="19"/>
        <v>0</v>
      </c>
      <c r="AH61" s="210">
        <f t="shared" si="20"/>
        <v>0</v>
      </c>
      <c r="AI61" s="210">
        <f t="shared" si="21"/>
        <v>0</v>
      </c>
      <c r="AJ61" s="210">
        <f t="shared" si="22"/>
        <v>0</v>
      </c>
      <c r="AK61" s="210">
        <f t="shared" si="23"/>
        <v>0</v>
      </c>
      <c r="AL61" s="210">
        <f t="shared" si="24"/>
        <v>0</v>
      </c>
      <c r="AM61" s="210">
        <f t="shared" si="25"/>
        <v>0</v>
      </c>
      <c r="AN61" s="210">
        <f t="shared" si="26"/>
        <v>0</v>
      </c>
      <c r="AO61" s="210">
        <f t="shared" si="27"/>
        <v>0</v>
      </c>
      <c r="AP61" s="210">
        <f t="shared" si="28"/>
        <v>0</v>
      </c>
      <c r="AQ61" s="210">
        <f t="shared" si="29"/>
        <v>0</v>
      </c>
      <c r="AR61" s="210">
        <f t="shared" si="30"/>
        <v>0</v>
      </c>
      <c r="AT61" s="210"/>
      <c r="AU61" s="210">
        <f t="shared" si="31"/>
        <v>0</v>
      </c>
      <c r="AV61" s="210">
        <f t="shared" si="32"/>
        <v>0</v>
      </c>
      <c r="AW61" s="210">
        <f t="shared" si="33"/>
        <v>0</v>
      </c>
      <c r="AX61" s="210">
        <f t="shared" si="34"/>
        <v>0</v>
      </c>
      <c r="AY61" s="210">
        <f t="shared" si="35"/>
        <v>0</v>
      </c>
      <c r="AZ61" s="210">
        <f t="shared" si="36"/>
        <v>0</v>
      </c>
      <c r="BA61" s="210">
        <f t="shared" si="37"/>
        <v>0.4</v>
      </c>
      <c r="BB61" s="210">
        <f t="shared" si="38"/>
        <v>0.4</v>
      </c>
      <c r="BC61" s="210">
        <f t="shared" si="39"/>
        <v>0.4</v>
      </c>
      <c r="BD61" s="210">
        <f t="shared" si="40"/>
        <v>0.4</v>
      </c>
      <c r="BE61" s="210">
        <f t="shared" si="41"/>
        <v>0.4</v>
      </c>
      <c r="BF61" s="210">
        <f t="shared" si="42"/>
        <v>0.4</v>
      </c>
      <c r="BG61" s="210">
        <f t="shared" si="43"/>
        <v>0.4</v>
      </c>
      <c r="BH61" s="210">
        <f t="shared" si="44"/>
        <v>0.4</v>
      </c>
      <c r="BI61" s="210">
        <f t="shared" si="45"/>
        <v>0.400000000000001</v>
      </c>
      <c r="BJ61" s="210">
        <f t="shared" si="46"/>
        <v>0</v>
      </c>
      <c r="BK61" s="210">
        <f t="shared" si="47"/>
        <v>0</v>
      </c>
      <c r="BL61" s="210">
        <f t="shared" si="48"/>
        <v>0</v>
      </c>
      <c r="BM61" s="210">
        <f t="shared" si="49"/>
        <v>0</v>
      </c>
      <c r="BN61" s="210">
        <f t="shared" si="50"/>
        <v>0</v>
      </c>
    </row>
    <row r="62" spans="1:66">
      <c r="A62" s="209" t="s">
        <v>116</v>
      </c>
      <c r="B62" s="210">
        <f t="shared" si="4"/>
        <v>0</v>
      </c>
      <c r="C62" s="210">
        <f t="shared" si="5"/>
        <v>0</v>
      </c>
      <c r="D62" s="210">
        <f t="shared" si="6"/>
        <v>0</v>
      </c>
      <c r="E62" s="210">
        <f t="shared" si="7"/>
        <v>0</v>
      </c>
      <c r="F62" s="210">
        <f t="shared" si="8"/>
        <v>8</v>
      </c>
      <c r="G62" s="210">
        <f t="shared" si="9"/>
        <v>2</v>
      </c>
      <c r="H62" s="210">
        <f t="shared" si="10"/>
        <v>1.2</v>
      </c>
      <c r="I62" s="210">
        <f>H62+AE62-IF(AE62=0,($K23+SUM($AE62:AE62)-$Q62)/9,0)</f>
        <v>1.2</v>
      </c>
      <c r="J62" s="210">
        <f>I62+AF62-IF(AF62=0,($K23+SUM($AE62:AF62)-$Q62)/9,0)</f>
        <v>1.2</v>
      </c>
      <c r="K62" s="210">
        <f>J62+AG62-IF(AG62=0,($K23+SUM($AE62:AG62)-$Q62)/9,0)</f>
        <v>1.2</v>
      </c>
      <c r="L62" s="210">
        <f>K62+AH62-IF(AH62=0,($K23+SUM($AE62:AH62)-$Q62)/9,0)</f>
        <v>1.2</v>
      </c>
      <c r="M62" s="210">
        <f>L62+AI62-IF(AI62=0,($K23+SUM($AE62:AI62)-$Q62)/9,0)</f>
        <v>1.2</v>
      </c>
      <c r="N62" s="210">
        <f>M62+AJ62-IF(AJ62=0,($K23+SUM($AE62:AJ62)-$Q62)/9,0)</f>
        <v>1.2</v>
      </c>
      <c r="O62" s="210">
        <f>N62+AK62-IF(AK62=0,($K23+SUM($AE62:AK62)-$Q62)/9,0)</f>
        <v>1.2</v>
      </c>
      <c r="P62" s="210">
        <f>O62+AL62-IF(AL62=0,($K23+SUM($AE62:AL62)-$Q62)/9,0)</f>
        <v>1.2</v>
      </c>
      <c r="Q62" s="210">
        <f>MIN(MAX(AM23:$AR23),$K23+SUM($AE62:$AM62))</f>
        <v>1.2</v>
      </c>
      <c r="R62" s="210">
        <f>MIN(MAX(AN23:$AR23),$K23+SUM($AE62:$AM62))</f>
        <v>1.2</v>
      </c>
      <c r="S62" s="210">
        <f>MIN(MAX(AO23:$AR23),$K23+SUM($AE62:$AM62))</f>
        <v>1.2</v>
      </c>
      <c r="T62" s="210">
        <f>MIN(MAX(AP23:$AR23),$K23+SUM($AE62:$AM62))</f>
        <v>1.2</v>
      </c>
      <c r="U62" s="210">
        <f>MIN(MAX(AQ23:$AR23),$K23+SUM($AE62:$AM62))</f>
        <v>1.2</v>
      </c>
      <c r="V62" s="210">
        <f>MIN(MAX(AR23:$AR23),$K23+SUM($AE62:$AM62))</f>
        <v>1.2</v>
      </c>
      <c r="X62" s="210"/>
      <c r="Y62" s="210">
        <f t="shared" si="11"/>
        <v>0</v>
      </c>
      <c r="Z62" s="210">
        <f t="shared" si="12"/>
        <v>0</v>
      </c>
      <c r="AA62" s="210">
        <f t="shared" si="13"/>
        <v>0</v>
      </c>
      <c r="AB62" s="210">
        <f t="shared" si="14"/>
        <v>8</v>
      </c>
      <c r="AC62" s="210">
        <f t="shared" si="15"/>
        <v>0</v>
      </c>
      <c r="AD62" s="210">
        <f t="shared" si="16"/>
        <v>0</v>
      </c>
      <c r="AE62" s="210">
        <f t="shared" si="17"/>
        <v>0</v>
      </c>
      <c r="AF62" s="210">
        <f t="shared" si="18"/>
        <v>0</v>
      </c>
      <c r="AG62" s="210">
        <f t="shared" si="19"/>
        <v>0</v>
      </c>
      <c r="AH62" s="210">
        <f t="shared" si="20"/>
        <v>0</v>
      </c>
      <c r="AI62" s="210">
        <f t="shared" si="21"/>
        <v>0</v>
      </c>
      <c r="AJ62" s="210">
        <f t="shared" si="22"/>
        <v>0</v>
      </c>
      <c r="AK62" s="210">
        <f t="shared" si="23"/>
        <v>0</v>
      </c>
      <c r="AL62" s="210">
        <f t="shared" si="24"/>
        <v>0</v>
      </c>
      <c r="AM62" s="210">
        <f t="shared" si="25"/>
        <v>0</v>
      </c>
      <c r="AN62" s="210">
        <f t="shared" si="26"/>
        <v>0</v>
      </c>
      <c r="AO62" s="210">
        <f t="shared" si="27"/>
        <v>0</v>
      </c>
      <c r="AP62" s="210">
        <f t="shared" si="28"/>
        <v>0</v>
      </c>
      <c r="AQ62" s="210">
        <f t="shared" si="29"/>
        <v>0</v>
      </c>
      <c r="AR62" s="210">
        <f t="shared" si="30"/>
        <v>0</v>
      </c>
      <c r="AT62" s="210"/>
      <c r="AU62" s="210">
        <f t="shared" si="31"/>
        <v>0</v>
      </c>
      <c r="AV62" s="210">
        <f t="shared" si="32"/>
        <v>0</v>
      </c>
      <c r="AW62" s="210">
        <f t="shared" si="33"/>
        <v>0</v>
      </c>
      <c r="AX62" s="210">
        <f t="shared" si="34"/>
        <v>0</v>
      </c>
      <c r="AY62" s="210">
        <f t="shared" si="35"/>
        <v>6</v>
      </c>
      <c r="AZ62" s="210">
        <f t="shared" si="36"/>
        <v>0.8</v>
      </c>
      <c r="BA62" s="210">
        <f t="shared" si="37"/>
        <v>0</v>
      </c>
      <c r="BB62" s="210">
        <f t="shared" si="38"/>
        <v>0</v>
      </c>
      <c r="BC62" s="210">
        <f t="shared" si="39"/>
        <v>0</v>
      </c>
      <c r="BD62" s="210">
        <f t="shared" si="40"/>
        <v>0</v>
      </c>
      <c r="BE62" s="210">
        <f t="shared" si="41"/>
        <v>0</v>
      </c>
      <c r="BF62" s="210">
        <f t="shared" si="42"/>
        <v>0</v>
      </c>
      <c r="BG62" s="210">
        <f t="shared" si="43"/>
        <v>0</v>
      </c>
      <c r="BH62" s="210">
        <f t="shared" si="44"/>
        <v>0</v>
      </c>
      <c r="BI62" s="210">
        <f t="shared" si="45"/>
        <v>0</v>
      </c>
      <c r="BJ62" s="210">
        <f t="shared" si="46"/>
        <v>0</v>
      </c>
      <c r="BK62" s="210">
        <f t="shared" si="47"/>
        <v>0</v>
      </c>
      <c r="BL62" s="210">
        <f t="shared" si="48"/>
        <v>0</v>
      </c>
      <c r="BM62" s="210">
        <f t="shared" si="49"/>
        <v>0</v>
      </c>
      <c r="BN62" s="210">
        <f t="shared" si="50"/>
        <v>0</v>
      </c>
    </row>
    <row r="63" spans="1:66">
      <c r="A63" s="209" t="s">
        <v>118</v>
      </c>
      <c r="B63" s="210">
        <f t="shared" si="4"/>
        <v>489.401</v>
      </c>
      <c r="C63" s="210">
        <f t="shared" si="5"/>
        <v>499.64</v>
      </c>
      <c r="D63" s="210">
        <f t="shared" si="6"/>
        <v>499.64</v>
      </c>
      <c r="E63" s="210">
        <f t="shared" si="7"/>
        <v>499.64</v>
      </c>
      <c r="F63" s="210">
        <f t="shared" si="8"/>
        <v>497.54</v>
      </c>
      <c r="G63" s="210">
        <f t="shared" si="9"/>
        <v>483</v>
      </c>
      <c r="H63" s="210">
        <f t="shared" si="10"/>
        <v>320.89</v>
      </c>
      <c r="I63" s="210">
        <f>H63+AE63-IF(AE63=0,($K24+SUM($AE63:AE63)-$Q63)/9,0)</f>
        <v>288.902222222222</v>
      </c>
      <c r="J63" s="210">
        <f>I63+AF63-IF(AF63=0,($K24+SUM($AE63:AF63)-$Q63)/9,0)</f>
        <v>256.914444444444</v>
      </c>
      <c r="K63" s="210">
        <f>J63+AG63-IF(AG63=0,($K24+SUM($AE63:AG63)-$Q63)/9,0)</f>
        <v>224.926666666667</v>
      </c>
      <c r="L63" s="210">
        <f>K63+AH63-IF(AH63=0,($K24+SUM($AE63:AH63)-$Q63)/9,0)</f>
        <v>192.938888888889</v>
      </c>
      <c r="M63" s="210">
        <f>L63+AI63-IF(AI63=0,($K24+SUM($AE63:AI63)-$Q63)/9,0)</f>
        <v>160.951111111111</v>
      </c>
      <c r="N63" s="210">
        <f>M63+AJ63-IF(AJ63=0,($K24+SUM($AE63:AJ63)-$Q63)/9,0)</f>
        <v>128.963333333333</v>
      </c>
      <c r="O63" s="210">
        <f>N63+AK63-IF(AK63=0,($K24+SUM($AE63:AK63)-$Q63)/9,0)</f>
        <v>96.9755555555556</v>
      </c>
      <c r="P63" s="210">
        <f>O63+AL63-IF(AL63=0,($K24+SUM($AE63:AL63)-$Q63)/9,0)</f>
        <v>64.9877777777778</v>
      </c>
      <c r="Q63" s="210">
        <f>MIN(MAX(AM24:$AR24),$K24+SUM($AE63:$AM63))</f>
        <v>33</v>
      </c>
      <c r="R63" s="210">
        <f>MIN(MAX(AN24:$AR24),$K24+SUM($AE63:$AM63))</f>
        <v>21</v>
      </c>
      <c r="S63" s="210">
        <f>MIN(MAX(AO24:$AR24),$K24+SUM($AE63:$AM63))</f>
        <v>0</v>
      </c>
      <c r="T63" s="210">
        <f>MIN(MAX(AP24:$AR24),$K24+SUM($AE63:$AM63))</f>
        <v>0</v>
      </c>
      <c r="U63" s="210">
        <f>MIN(MAX(AQ24:$AR24),$K24+SUM($AE63:$AM63))</f>
        <v>0</v>
      </c>
      <c r="V63" s="210">
        <f>MIN(MAX(AR24:$AR24),$K24+SUM($AE63:$AM63))</f>
        <v>0</v>
      </c>
      <c r="X63" s="210"/>
      <c r="Y63" s="210">
        <f t="shared" si="11"/>
        <v>10.239</v>
      </c>
      <c r="Z63" s="210">
        <f t="shared" si="12"/>
        <v>0</v>
      </c>
      <c r="AA63" s="210">
        <f t="shared" si="13"/>
        <v>0</v>
      </c>
      <c r="AB63" s="210">
        <f t="shared" si="14"/>
        <v>0</v>
      </c>
      <c r="AC63" s="210">
        <f t="shared" si="15"/>
        <v>0</v>
      </c>
      <c r="AD63" s="210">
        <f t="shared" si="16"/>
        <v>0</v>
      </c>
      <c r="AE63" s="210">
        <f t="shared" si="17"/>
        <v>0</v>
      </c>
      <c r="AF63" s="210">
        <f t="shared" si="18"/>
        <v>0</v>
      </c>
      <c r="AG63" s="210">
        <f t="shared" si="19"/>
        <v>0</v>
      </c>
      <c r="AH63" s="210">
        <f t="shared" si="20"/>
        <v>0</v>
      </c>
      <c r="AI63" s="210">
        <f t="shared" si="21"/>
        <v>0</v>
      </c>
      <c r="AJ63" s="210">
        <f t="shared" si="22"/>
        <v>0</v>
      </c>
      <c r="AK63" s="210">
        <f t="shared" si="23"/>
        <v>0</v>
      </c>
      <c r="AL63" s="210">
        <f t="shared" si="24"/>
        <v>0</v>
      </c>
      <c r="AM63" s="210">
        <f t="shared" si="25"/>
        <v>0</v>
      </c>
      <c r="AN63" s="210">
        <f t="shared" si="26"/>
        <v>0</v>
      </c>
      <c r="AO63" s="210">
        <f t="shared" si="27"/>
        <v>0</v>
      </c>
      <c r="AP63" s="210">
        <f t="shared" si="28"/>
        <v>0</v>
      </c>
      <c r="AQ63" s="210">
        <f t="shared" si="29"/>
        <v>0</v>
      </c>
      <c r="AR63" s="210">
        <f t="shared" si="30"/>
        <v>0</v>
      </c>
      <c r="AT63" s="210"/>
      <c r="AU63" s="210">
        <f t="shared" si="31"/>
        <v>0</v>
      </c>
      <c r="AV63" s="210">
        <f t="shared" si="32"/>
        <v>0</v>
      </c>
      <c r="AW63" s="210">
        <f t="shared" si="33"/>
        <v>0</v>
      </c>
      <c r="AX63" s="210">
        <f t="shared" si="34"/>
        <v>2.09999999999997</v>
      </c>
      <c r="AY63" s="210">
        <f t="shared" si="35"/>
        <v>14.54</v>
      </c>
      <c r="AZ63" s="210">
        <f t="shared" si="36"/>
        <v>162.11</v>
      </c>
      <c r="BA63" s="210">
        <f t="shared" si="37"/>
        <v>31.9877777777778</v>
      </c>
      <c r="BB63" s="210">
        <f t="shared" si="38"/>
        <v>31.9877777777778</v>
      </c>
      <c r="BC63" s="210">
        <f t="shared" si="39"/>
        <v>31.9877777777778</v>
      </c>
      <c r="BD63" s="210">
        <f t="shared" si="40"/>
        <v>31.9877777777778</v>
      </c>
      <c r="BE63" s="210">
        <f t="shared" si="41"/>
        <v>31.9877777777778</v>
      </c>
      <c r="BF63" s="210">
        <f t="shared" si="42"/>
        <v>31.9877777777778</v>
      </c>
      <c r="BG63" s="210">
        <f t="shared" si="43"/>
        <v>31.9877777777778</v>
      </c>
      <c r="BH63" s="210">
        <f t="shared" si="44"/>
        <v>31.9877777777778</v>
      </c>
      <c r="BI63" s="210">
        <f t="shared" si="45"/>
        <v>31.9877777777778</v>
      </c>
      <c r="BJ63" s="210">
        <f t="shared" si="46"/>
        <v>12</v>
      </c>
      <c r="BK63" s="210">
        <f t="shared" si="47"/>
        <v>21</v>
      </c>
      <c r="BL63" s="210">
        <f t="shared" si="48"/>
        <v>0</v>
      </c>
      <c r="BM63" s="210">
        <f t="shared" si="49"/>
        <v>0</v>
      </c>
      <c r="BN63" s="210">
        <f t="shared" si="50"/>
        <v>0</v>
      </c>
    </row>
    <row r="64" spans="1:66">
      <c r="A64" s="209" t="s">
        <v>819</v>
      </c>
      <c r="B64" s="210">
        <f t="shared" si="4"/>
        <v>3.79</v>
      </c>
      <c r="C64" s="210">
        <f t="shared" si="5"/>
        <v>4.28</v>
      </c>
      <c r="D64" s="210">
        <f t="shared" si="6"/>
        <v>4.28</v>
      </c>
      <c r="E64" s="210">
        <f t="shared" si="7"/>
        <v>4.28</v>
      </c>
      <c r="F64" s="210">
        <f t="shared" si="8"/>
        <v>0</v>
      </c>
      <c r="G64" s="210">
        <f t="shared" si="9"/>
        <v>0</v>
      </c>
      <c r="H64" s="210">
        <f t="shared" si="10"/>
        <v>0</v>
      </c>
      <c r="I64" s="210">
        <f>H64+AE64-IF(AE64=0,($K25+SUM($AE64:AE64)-$Q64)/9,0)</f>
        <v>0</v>
      </c>
      <c r="J64" s="210">
        <f>I64+AF64-IF(AF64=0,($K25+SUM($AE64:AF64)-$Q64)/9,0)</f>
        <v>0</v>
      </c>
      <c r="K64" s="210">
        <f>J64+AG64-IF(AG64=0,($K25+SUM($AE64:AG64)-$Q64)/9,0)</f>
        <v>0</v>
      </c>
      <c r="L64" s="210">
        <f>K64+AH64-IF(AH64=0,($K25+SUM($AE64:AH64)-$Q64)/9,0)</f>
        <v>0</v>
      </c>
      <c r="M64" s="210">
        <f>L64+AI64-IF(AI64=0,($K25+SUM($AE64:AI64)-$Q64)/9,0)</f>
        <v>0</v>
      </c>
      <c r="N64" s="210">
        <f>M64+AJ64-IF(AJ64=0,($K25+SUM($AE64:AJ64)-$Q64)/9,0)</f>
        <v>0</v>
      </c>
      <c r="O64" s="210">
        <f>N64+AK64-IF(AK64=0,($K25+SUM($AE64:AK64)-$Q64)/9,0)</f>
        <v>0</v>
      </c>
      <c r="P64" s="210">
        <f>O64+AL64-IF(AL64=0,($K25+SUM($AE64:AL64)-$Q64)/9,0)</f>
        <v>0</v>
      </c>
      <c r="Q64" s="210">
        <f>MIN(MAX(AM25:$AR25),$K25+SUM($AE64:$AM64))</f>
        <v>0</v>
      </c>
      <c r="R64" s="210">
        <f>MIN(MAX(AN25:$AR25),$K25+SUM($AE64:$AM64))</f>
        <v>0</v>
      </c>
      <c r="S64" s="210">
        <f>MIN(MAX(AO25:$AR25),$K25+SUM($AE64:$AM64))</f>
        <v>0</v>
      </c>
      <c r="T64" s="210">
        <f>MIN(MAX(AP25:$AR25),$K25+SUM($AE64:$AM64))</f>
        <v>0</v>
      </c>
      <c r="U64" s="210">
        <f>MIN(MAX(AQ25:$AR25),$K25+SUM($AE64:$AM64))</f>
        <v>0</v>
      </c>
      <c r="V64" s="210">
        <f>MIN(MAX(AR25:$AR25),$K25+SUM($AE64:$AM64))</f>
        <v>0</v>
      </c>
      <c r="X64" s="210"/>
      <c r="Y64" s="210">
        <f t="shared" si="11"/>
        <v>0.49</v>
      </c>
      <c r="Z64" s="210">
        <f t="shared" si="12"/>
        <v>0</v>
      </c>
      <c r="AA64" s="210">
        <f t="shared" si="13"/>
        <v>0</v>
      </c>
      <c r="AB64" s="210">
        <f t="shared" si="14"/>
        <v>0</v>
      </c>
      <c r="AC64" s="210">
        <f t="shared" si="15"/>
        <v>0</v>
      </c>
      <c r="AD64" s="210">
        <f t="shared" si="16"/>
        <v>0</v>
      </c>
      <c r="AE64" s="210">
        <f t="shared" si="17"/>
        <v>0</v>
      </c>
      <c r="AF64" s="210">
        <f t="shared" si="18"/>
        <v>0</v>
      </c>
      <c r="AG64" s="210">
        <f t="shared" si="19"/>
        <v>0</v>
      </c>
      <c r="AH64" s="210">
        <f t="shared" si="20"/>
        <v>0</v>
      </c>
      <c r="AI64" s="210">
        <f t="shared" si="21"/>
        <v>0</v>
      </c>
      <c r="AJ64" s="210">
        <f t="shared" si="22"/>
        <v>0</v>
      </c>
      <c r="AK64" s="210">
        <f t="shared" si="23"/>
        <v>0</v>
      </c>
      <c r="AL64" s="210">
        <f t="shared" si="24"/>
        <v>0</v>
      </c>
      <c r="AM64" s="210">
        <f t="shared" si="25"/>
        <v>0</v>
      </c>
      <c r="AN64" s="210">
        <f t="shared" si="26"/>
        <v>0</v>
      </c>
      <c r="AO64" s="210">
        <f t="shared" si="27"/>
        <v>0</v>
      </c>
      <c r="AP64" s="210">
        <f t="shared" si="28"/>
        <v>0</v>
      </c>
      <c r="AQ64" s="210">
        <f t="shared" si="29"/>
        <v>0</v>
      </c>
      <c r="AR64" s="210">
        <f t="shared" si="30"/>
        <v>0</v>
      </c>
      <c r="AT64" s="210"/>
      <c r="AU64" s="210">
        <f t="shared" si="31"/>
        <v>0</v>
      </c>
      <c r="AV64" s="210">
        <f t="shared" si="32"/>
        <v>0</v>
      </c>
      <c r="AW64" s="210">
        <f t="shared" si="33"/>
        <v>0</v>
      </c>
      <c r="AX64" s="210">
        <f t="shared" si="34"/>
        <v>4.28</v>
      </c>
      <c r="AY64" s="210">
        <f t="shared" si="35"/>
        <v>0</v>
      </c>
      <c r="AZ64" s="210">
        <f t="shared" si="36"/>
        <v>0</v>
      </c>
      <c r="BA64" s="210">
        <f t="shared" si="37"/>
        <v>0</v>
      </c>
      <c r="BB64" s="210">
        <f t="shared" si="38"/>
        <v>0</v>
      </c>
      <c r="BC64" s="210">
        <f t="shared" si="39"/>
        <v>0</v>
      </c>
      <c r="BD64" s="210">
        <f t="shared" si="40"/>
        <v>0</v>
      </c>
      <c r="BE64" s="210">
        <f t="shared" si="41"/>
        <v>0</v>
      </c>
      <c r="BF64" s="210">
        <f t="shared" si="42"/>
        <v>0</v>
      </c>
      <c r="BG64" s="210">
        <f t="shared" si="43"/>
        <v>0</v>
      </c>
      <c r="BH64" s="210">
        <f t="shared" si="44"/>
        <v>0</v>
      </c>
      <c r="BI64" s="210">
        <f t="shared" si="45"/>
        <v>0</v>
      </c>
      <c r="BJ64" s="210">
        <f t="shared" si="46"/>
        <v>0</v>
      </c>
      <c r="BK64" s="210">
        <f t="shared" si="47"/>
        <v>0</v>
      </c>
      <c r="BL64" s="210">
        <f t="shared" si="48"/>
        <v>0</v>
      </c>
      <c r="BM64" s="210">
        <f t="shared" si="49"/>
        <v>0</v>
      </c>
      <c r="BN64" s="210">
        <f t="shared" si="50"/>
        <v>0</v>
      </c>
    </row>
    <row r="65" spans="1:66">
      <c r="A65" s="209" t="s">
        <v>122</v>
      </c>
      <c r="B65" s="210">
        <f t="shared" si="4"/>
        <v>0</v>
      </c>
      <c r="C65" s="210">
        <f t="shared" si="5"/>
        <v>31.37</v>
      </c>
      <c r="D65" s="210">
        <f t="shared" si="6"/>
        <v>31.37</v>
      </c>
      <c r="E65" s="210">
        <f t="shared" si="7"/>
        <v>31.37</v>
      </c>
      <c r="F65" s="210">
        <f t="shared" si="8"/>
        <v>0</v>
      </c>
      <c r="G65" s="210">
        <f t="shared" si="9"/>
        <v>0</v>
      </c>
      <c r="H65" s="210">
        <f t="shared" si="10"/>
        <v>0</v>
      </c>
      <c r="I65" s="210">
        <f>H65+AE65-IF(AE65=0,($K26+SUM($AE65:AE65)-$Q65)/9,0)</f>
        <v>2</v>
      </c>
      <c r="J65" s="210">
        <f>I65+AF65-IF(AF65=0,($K26+SUM($AE65:AF65)-$Q65)/9,0)</f>
        <v>2.17</v>
      </c>
      <c r="K65" s="210">
        <f>J65+AG65-IF(AG65=0,($K26+SUM($AE65:AG65)-$Q65)/9,0)</f>
        <v>2.65</v>
      </c>
      <c r="L65" s="210">
        <f>K65+AH65-IF(AH65=0,($K26+SUM($AE65:AH65)-$Q65)/6,0)</f>
        <v>2.20833333333333</v>
      </c>
      <c r="M65" s="210">
        <f>L65+AI65-IF(AI65=0,($K26+SUM($AE65:AI65)-$Q65)/6,0)</f>
        <v>1.76666666666667</v>
      </c>
      <c r="N65" s="210">
        <f>M65+AJ65-IF(AJ65=0,($K26+SUM($AE65:AJ65)-$Q65)/6,0)</f>
        <v>1.325</v>
      </c>
      <c r="O65" s="210">
        <f>N65+AK65-IF(AK65=0,($K26+SUM($AE65:AK65)-$Q65)/6,0)</f>
        <v>0.883333333333333</v>
      </c>
      <c r="P65" s="210">
        <f>O65+AL65-IF(AL65=0,($K26+SUM($AE65:AL65)-$Q65)/6,0)</f>
        <v>0.441666666666666</v>
      </c>
      <c r="Q65" s="210">
        <f>MIN(MAX(AM26:$AR26),$K26+SUM($AE65:$AM65))</f>
        <v>0</v>
      </c>
      <c r="R65" s="210">
        <f>MIN(MAX(AN26:$AR26),$K26+SUM($AE65:$AM65))</f>
        <v>0</v>
      </c>
      <c r="S65" s="210">
        <f>MIN(MAX(AO26:$AR26),$K26+SUM($AE65:$AM65))</f>
        <v>0</v>
      </c>
      <c r="T65" s="210">
        <f>MIN(MAX(AP26:$AR26),$K26+SUM($AE65:$AM65))</f>
        <v>0</v>
      </c>
      <c r="U65" s="210">
        <f>MIN(MAX(AQ26:$AR26),$K26+SUM($AE65:$AM65))</f>
        <v>0</v>
      </c>
      <c r="V65" s="210">
        <f>MIN(MAX(AR26:$AR26),$K26+SUM($AE65:$AM65))</f>
        <v>0</v>
      </c>
      <c r="X65" s="210"/>
      <c r="Y65" s="210">
        <f t="shared" si="11"/>
        <v>31.37</v>
      </c>
      <c r="Z65" s="210">
        <f t="shared" si="12"/>
        <v>0</v>
      </c>
      <c r="AA65" s="210">
        <f t="shared" si="13"/>
        <v>0</v>
      </c>
      <c r="AB65" s="210">
        <f t="shared" si="14"/>
        <v>0</v>
      </c>
      <c r="AC65" s="210">
        <f t="shared" si="15"/>
        <v>0</v>
      </c>
      <c r="AD65" s="210">
        <f t="shared" si="16"/>
        <v>0</v>
      </c>
      <c r="AE65" s="210">
        <f t="shared" si="17"/>
        <v>2</v>
      </c>
      <c r="AF65" s="210">
        <f t="shared" si="18"/>
        <v>0.17</v>
      </c>
      <c r="AG65" s="210">
        <f t="shared" si="19"/>
        <v>0.48</v>
      </c>
      <c r="AH65" s="210">
        <f t="shared" si="20"/>
        <v>0</v>
      </c>
      <c r="AI65" s="210">
        <f t="shared" si="21"/>
        <v>0</v>
      </c>
      <c r="AJ65" s="210">
        <f t="shared" si="22"/>
        <v>0</v>
      </c>
      <c r="AK65" s="210">
        <f t="shared" si="23"/>
        <v>0</v>
      </c>
      <c r="AL65" s="210">
        <f t="shared" si="24"/>
        <v>0</v>
      </c>
      <c r="AM65" s="210">
        <f t="shared" si="25"/>
        <v>0</v>
      </c>
      <c r="AN65" s="210">
        <f t="shared" si="26"/>
        <v>0</v>
      </c>
      <c r="AO65" s="210">
        <f t="shared" si="27"/>
        <v>0</v>
      </c>
      <c r="AP65" s="210">
        <f t="shared" si="28"/>
        <v>0</v>
      </c>
      <c r="AQ65" s="210">
        <f t="shared" si="29"/>
        <v>0</v>
      </c>
      <c r="AR65" s="210">
        <f t="shared" si="30"/>
        <v>0</v>
      </c>
      <c r="AT65" s="210"/>
      <c r="AU65" s="210">
        <f t="shared" si="31"/>
        <v>0</v>
      </c>
      <c r="AV65" s="210">
        <f t="shared" si="32"/>
        <v>0</v>
      </c>
      <c r="AW65" s="210">
        <f t="shared" si="33"/>
        <v>0</v>
      </c>
      <c r="AX65" s="210">
        <f t="shared" si="34"/>
        <v>31.37</v>
      </c>
      <c r="AY65" s="210">
        <f t="shared" si="35"/>
        <v>0</v>
      </c>
      <c r="AZ65" s="210">
        <f t="shared" si="36"/>
        <v>0</v>
      </c>
      <c r="BA65" s="210">
        <f t="shared" si="37"/>
        <v>0</v>
      </c>
      <c r="BB65" s="210">
        <f t="shared" si="38"/>
        <v>0</v>
      </c>
      <c r="BC65" s="210">
        <f t="shared" si="39"/>
        <v>0</v>
      </c>
      <c r="BD65" s="210">
        <f t="shared" si="40"/>
        <v>0.441666666666667</v>
      </c>
      <c r="BE65" s="210">
        <f t="shared" si="41"/>
        <v>0.441666666666667</v>
      </c>
      <c r="BF65" s="210">
        <f t="shared" si="42"/>
        <v>0.441666666666667</v>
      </c>
      <c r="BG65" s="210">
        <f t="shared" si="43"/>
        <v>0.441666666666667</v>
      </c>
      <c r="BH65" s="210">
        <f t="shared" si="44"/>
        <v>0.441666666666667</v>
      </c>
      <c r="BI65" s="210">
        <f t="shared" si="45"/>
        <v>0.441666666666666</v>
      </c>
      <c r="BJ65" s="210">
        <f t="shared" si="46"/>
        <v>0</v>
      </c>
      <c r="BK65" s="210">
        <f t="shared" si="47"/>
        <v>0</v>
      </c>
      <c r="BL65" s="210">
        <f t="shared" si="48"/>
        <v>0</v>
      </c>
      <c r="BM65" s="210">
        <f t="shared" si="49"/>
        <v>0</v>
      </c>
      <c r="BN65" s="210">
        <f t="shared" si="50"/>
        <v>0</v>
      </c>
    </row>
    <row r="66" spans="1:66">
      <c r="A66" s="209" t="s">
        <v>124</v>
      </c>
      <c r="B66" s="210">
        <f t="shared" si="4"/>
        <v>0</v>
      </c>
      <c r="C66" s="210">
        <f t="shared" si="5"/>
        <v>0</v>
      </c>
      <c r="D66" s="210">
        <f t="shared" si="6"/>
        <v>0</v>
      </c>
      <c r="E66" s="210">
        <f t="shared" si="7"/>
        <v>0</v>
      </c>
      <c r="F66" s="210">
        <f t="shared" si="8"/>
        <v>0</v>
      </c>
      <c r="G66" s="210">
        <f t="shared" si="9"/>
        <v>1</v>
      </c>
      <c r="H66" s="210">
        <f t="shared" si="10"/>
        <v>0.6</v>
      </c>
      <c r="I66" s="210">
        <f>H66+AE66-IF(AE66=0,($K27+SUM($AE66:AE66)-$Q66)/9,0)</f>
        <v>0.533333333333333</v>
      </c>
      <c r="J66" s="210">
        <f>I66+AF66-IF(AF66=0,($K27+SUM($AE66:AF66)-$Q66)/9,0)</f>
        <v>0.466666666666667</v>
      </c>
      <c r="K66" s="210">
        <f>J66+AG66-IF(AG66=0,($K27+SUM($AE66:AG66)-$Q66)/9,0)</f>
        <v>0.4</v>
      </c>
      <c r="L66" s="210">
        <f>K66+AH66-IF(AH66=0,($K27+SUM($AE66:AH66)-$Q66)/9,0)</f>
        <v>0.333333333333333</v>
      </c>
      <c r="M66" s="210">
        <f>L66+AI66-IF(AI66=0,($K27+SUM($AE66:AI66)-$Q66)/9,0)</f>
        <v>0.266666666666667</v>
      </c>
      <c r="N66" s="210">
        <f>M66+AJ66-IF(AJ66=0,($K27+SUM($AE66:AJ66)-$Q66)/9,0)</f>
        <v>0.2</v>
      </c>
      <c r="O66" s="210">
        <f>N66+AK66-IF(AK66=0,($K27+SUM($AE66:AK66)-$Q66)/9,0)</f>
        <v>0.133333333333333</v>
      </c>
      <c r="P66" s="210">
        <f>O66+AL66-IF(AL66=0,($K27+SUM($AE66:AL66)-$Q66)/9,0)</f>
        <v>0.0666666666666667</v>
      </c>
      <c r="Q66" s="210">
        <f>MIN(MAX(AM27:$AR27),$K27+SUM($AE66:$AM66))</f>
        <v>0</v>
      </c>
      <c r="R66" s="210">
        <f>MIN(MAX(AN27:$AR27),$K27+SUM($AE66:$AM66))</f>
        <v>0</v>
      </c>
      <c r="S66" s="210">
        <f>MIN(MAX(AO27:$AR27),$K27+SUM($AE66:$AM66))</f>
        <v>0</v>
      </c>
      <c r="T66" s="210">
        <f>MIN(MAX(AP27:$AR27),$K27+SUM($AE66:$AM66))</f>
        <v>0</v>
      </c>
      <c r="U66" s="210">
        <f>MIN(MAX(AQ27:$AR27),$K27+SUM($AE66:$AM66))</f>
        <v>0</v>
      </c>
      <c r="V66" s="210">
        <f>MIN(MAX(AR27:$AR27),$K27+SUM($AE66:$AM66))</f>
        <v>0</v>
      </c>
      <c r="X66" s="210"/>
      <c r="Y66" s="210">
        <f t="shared" si="11"/>
        <v>0</v>
      </c>
      <c r="Z66" s="210">
        <f t="shared" si="12"/>
        <v>0</v>
      </c>
      <c r="AA66" s="210">
        <f t="shared" si="13"/>
        <v>0</v>
      </c>
      <c r="AB66" s="210">
        <f t="shared" si="14"/>
        <v>0</v>
      </c>
      <c r="AC66" s="210">
        <f t="shared" si="15"/>
        <v>1</v>
      </c>
      <c r="AD66" s="210">
        <f t="shared" si="16"/>
        <v>0</v>
      </c>
      <c r="AE66" s="210">
        <f t="shared" si="17"/>
        <v>0</v>
      </c>
      <c r="AF66" s="210">
        <f t="shared" si="18"/>
        <v>0</v>
      </c>
      <c r="AG66" s="210">
        <f t="shared" si="19"/>
        <v>0</v>
      </c>
      <c r="AH66" s="210">
        <f t="shared" si="20"/>
        <v>0</v>
      </c>
      <c r="AI66" s="210">
        <f t="shared" si="21"/>
        <v>0</v>
      </c>
      <c r="AJ66" s="210">
        <f t="shared" si="22"/>
        <v>0</v>
      </c>
      <c r="AK66" s="210">
        <f t="shared" si="23"/>
        <v>0</v>
      </c>
      <c r="AL66" s="210">
        <f t="shared" si="24"/>
        <v>0</v>
      </c>
      <c r="AM66" s="210">
        <f t="shared" si="25"/>
        <v>0</v>
      </c>
      <c r="AN66" s="210">
        <f t="shared" si="26"/>
        <v>0</v>
      </c>
      <c r="AO66" s="210">
        <f t="shared" si="27"/>
        <v>0</v>
      </c>
      <c r="AP66" s="210">
        <f t="shared" si="28"/>
        <v>0</v>
      </c>
      <c r="AQ66" s="210">
        <f t="shared" si="29"/>
        <v>0</v>
      </c>
      <c r="AR66" s="210">
        <f t="shared" si="30"/>
        <v>0</v>
      </c>
      <c r="AT66" s="210"/>
      <c r="AU66" s="210">
        <f t="shared" si="31"/>
        <v>0</v>
      </c>
      <c r="AV66" s="210">
        <f t="shared" si="32"/>
        <v>0</v>
      </c>
      <c r="AW66" s="210">
        <f t="shared" si="33"/>
        <v>0</v>
      </c>
      <c r="AX66" s="210">
        <f t="shared" si="34"/>
        <v>0</v>
      </c>
      <c r="AY66" s="210">
        <f t="shared" si="35"/>
        <v>0</v>
      </c>
      <c r="AZ66" s="210">
        <f t="shared" si="36"/>
        <v>0.4</v>
      </c>
      <c r="BA66" s="210">
        <f t="shared" si="37"/>
        <v>0.0666666666666667</v>
      </c>
      <c r="BB66" s="210">
        <f t="shared" si="38"/>
        <v>0.0666666666666667</v>
      </c>
      <c r="BC66" s="210">
        <f t="shared" si="39"/>
        <v>0.0666666666666667</v>
      </c>
      <c r="BD66" s="210">
        <f t="shared" si="40"/>
        <v>0.0666666666666667</v>
      </c>
      <c r="BE66" s="210">
        <f t="shared" si="41"/>
        <v>0.0666666666666667</v>
      </c>
      <c r="BF66" s="210">
        <f t="shared" si="42"/>
        <v>0.0666666666666667</v>
      </c>
      <c r="BG66" s="210">
        <f t="shared" si="43"/>
        <v>0.0666666666666667</v>
      </c>
      <c r="BH66" s="210">
        <f t="shared" si="44"/>
        <v>0.0666666666666667</v>
      </c>
      <c r="BI66" s="210">
        <f t="shared" si="45"/>
        <v>0.0666666666666667</v>
      </c>
      <c r="BJ66" s="210">
        <f t="shared" si="46"/>
        <v>0</v>
      </c>
      <c r="BK66" s="210">
        <f t="shared" si="47"/>
        <v>0</v>
      </c>
      <c r="BL66" s="210">
        <f t="shared" si="48"/>
        <v>0</v>
      </c>
      <c r="BM66" s="210">
        <f t="shared" si="49"/>
        <v>0</v>
      </c>
      <c r="BN66" s="210">
        <f t="shared" si="50"/>
        <v>0</v>
      </c>
    </row>
    <row r="67" spans="1:66">
      <c r="A67" s="209" t="s">
        <v>126</v>
      </c>
      <c r="B67" s="210">
        <f t="shared" si="4"/>
        <v>0</v>
      </c>
      <c r="C67" s="210">
        <f t="shared" si="5"/>
        <v>0</v>
      </c>
      <c r="D67" s="210">
        <f t="shared" si="6"/>
        <v>0</v>
      </c>
      <c r="E67" s="210">
        <f t="shared" si="7"/>
        <v>0</v>
      </c>
      <c r="F67" s="210">
        <f t="shared" si="8"/>
        <v>0</v>
      </c>
      <c r="G67" s="210">
        <f t="shared" si="9"/>
        <v>0</v>
      </c>
      <c r="H67" s="210">
        <f t="shared" si="10"/>
        <v>0</v>
      </c>
      <c r="I67" s="210">
        <f>H67+AE67-IF(AE67=0,($K28+SUM($AE67:AE67)-$Q67)/9,0)</f>
        <v>0</v>
      </c>
      <c r="J67" s="210">
        <f>I67+AF67-IF(AF67=0,($K28+SUM($AE67:AF67)-$Q67)/9,0)</f>
        <v>0</v>
      </c>
      <c r="K67" s="210">
        <f>J67+AG67-IF(AG67=0,($K28+SUM($AE67:AG67)-$Q67)/9,0)</f>
        <v>0</v>
      </c>
      <c r="L67" s="210">
        <f>K67+AH67-IF(AH67=0,($K28+SUM($AE67:AH67)-$Q67)/9,0)</f>
        <v>0</v>
      </c>
      <c r="M67" s="210">
        <f>L67+AI67-IF(AI67=0,($K28+SUM($AE67:AI67)-$Q67)/9,0)</f>
        <v>0</v>
      </c>
      <c r="N67" s="210">
        <f>M67+AJ67-IF(AJ67=0,($K28+SUM($AE67:AJ67)-$Q67)/3,0)</f>
        <v>15</v>
      </c>
      <c r="O67" s="210">
        <f>N67+AK67-IF(AK67=0,($K28+SUM($AE67:AK67)-$Q67)/3,0)</f>
        <v>10</v>
      </c>
      <c r="P67" s="210">
        <f>O67+AL67-IF(AL67=0,($K28+SUM($AE67:AL67)-$Q67)/3,0)</f>
        <v>5</v>
      </c>
      <c r="Q67" s="210">
        <f>MIN(MAX(AM28:$AR28),$K28+SUM($AE67:$AM67))</f>
        <v>0</v>
      </c>
      <c r="R67" s="210">
        <f>MIN(MAX(AN28:$AR28),$K28+SUM($AE67:$AM67))</f>
        <v>0</v>
      </c>
      <c r="S67" s="210">
        <f>MIN(MAX(AO28:$AR28),$K28+SUM($AE67:$AM67))</f>
        <v>0</v>
      </c>
      <c r="T67" s="210">
        <f>MIN(MAX(AP28:$AR28),$K28+SUM($AE67:$AM67))</f>
        <v>0</v>
      </c>
      <c r="U67" s="210">
        <f>MIN(MAX(AQ28:$AR28),$K28+SUM($AE67:$AM67))</f>
        <v>0</v>
      </c>
      <c r="V67" s="210">
        <f>MIN(MAX(AR28:$AR28),$K28+SUM($AE67:$AM67))</f>
        <v>0</v>
      </c>
      <c r="X67" s="210"/>
      <c r="Y67" s="210">
        <f t="shared" si="11"/>
        <v>0</v>
      </c>
      <c r="Z67" s="210">
        <f t="shared" si="12"/>
        <v>0</v>
      </c>
      <c r="AA67" s="210">
        <f t="shared" si="13"/>
        <v>0</v>
      </c>
      <c r="AB67" s="210">
        <f t="shared" si="14"/>
        <v>0</v>
      </c>
      <c r="AC67" s="210">
        <f t="shared" si="15"/>
        <v>0</v>
      </c>
      <c r="AD67" s="210">
        <f t="shared" si="16"/>
        <v>0</v>
      </c>
      <c r="AE67" s="210">
        <f t="shared" si="17"/>
        <v>0</v>
      </c>
      <c r="AF67" s="210">
        <f t="shared" si="18"/>
        <v>0</v>
      </c>
      <c r="AG67" s="210">
        <f t="shared" si="19"/>
        <v>0</v>
      </c>
      <c r="AH67" s="210">
        <f t="shared" si="20"/>
        <v>0</v>
      </c>
      <c r="AI67" s="210">
        <f t="shared" si="21"/>
        <v>0</v>
      </c>
      <c r="AJ67" s="210">
        <f t="shared" si="22"/>
        <v>15</v>
      </c>
      <c r="AK67" s="210">
        <f t="shared" si="23"/>
        <v>0</v>
      </c>
      <c r="AL67" s="210">
        <f t="shared" si="24"/>
        <v>0</v>
      </c>
      <c r="AM67" s="210">
        <f t="shared" si="25"/>
        <v>0</v>
      </c>
      <c r="AN67" s="210">
        <f t="shared" si="26"/>
        <v>0</v>
      </c>
      <c r="AO67" s="210">
        <f t="shared" si="27"/>
        <v>0</v>
      </c>
      <c r="AP67" s="210">
        <f t="shared" si="28"/>
        <v>0</v>
      </c>
      <c r="AQ67" s="210">
        <f t="shared" si="29"/>
        <v>0</v>
      </c>
      <c r="AR67" s="210">
        <f t="shared" si="30"/>
        <v>0</v>
      </c>
      <c r="AT67" s="210"/>
      <c r="AU67" s="210">
        <f t="shared" si="31"/>
        <v>0</v>
      </c>
      <c r="AV67" s="210">
        <f t="shared" si="32"/>
        <v>0</v>
      </c>
      <c r="AW67" s="210">
        <f t="shared" si="33"/>
        <v>0</v>
      </c>
      <c r="AX67" s="210">
        <f t="shared" si="34"/>
        <v>0</v>
      </c>
      <c r="AY67" s="210">
        <f t="shared" si="35"/>
        <v>0</v>
      </c>
      <c r="AZ67" s="210">
        <f t="shared" si="36"/>
        <v>0</v>
      </c>
      <c r="BA67" s="210">
        <f t="shared" si="37"/>
        <v>0</v>
      </c>
      <c r="BB67" s="210">
        <f t="shared" si="38"/>
        <v>0</v>
      </c>
      <c r="BC67" s="210">
        <f t="shared" si="39"/>
        <v>0</v>
      </c>
      <c r="BD67" s="210">
        <f t="shared" si="40"/>
        <v>0</v>
      </c>
      <c r="BE67" s="210">
        <f t="shared" si="41"/>
        <v>0</v>
      </c>
      <c r="BF67" s="210">
        <f t="shared" si="42"/>
        <v>0</v>
      </c>
      <c r="BG67" s="210">
        <f t="shared" si="43"/>
        <v>5</v>
      </c>
      <c r="BH67" s="210">
        <f t="shared" si="44"/>
        <v>5</v>
      </c>
      <c r="BI67" s="210">
        <f t="shared" si="45"/>
        <v>5</v>
      </c>
      <c r="BJ67" s="210">
        <f t="shared" si="46"/>
        <v>0</v>
      </c>
      <c r="BK67" s="210">
        <f t="shared" si="47"/>
        <v>0</v>
      </c>
      <c r="BL67" s="210">
        <f t="shared" si="48"/>
        <v>0</v>
      </c>
      <c r="BM67" s="210">
        <f t="shared" si="49"/>
        <v>0</v>
      </c>
      <c r="BN67" s="210">
        <f t="shared" si="50"/>
        <v>0</v>
      </c>
    </row>
    <row r="68" spans="1:66">
      <c r="A68" s="209" t="s">
        <v>128</v>
      </c>
      <c r="B68" s="210">
        <f t="shared" si="4"/>
        <v>0</v>
      </c>
      <c r="C68" s="210">
        <f t="shared" si="5"/>
        <v>0</v>
      </c>
      <c r="D68" s="210">
        <f t="shared" si="6"/>
        <v>0</v>
      </c>
      <c r="E68" s="210">
        <f t="shared" si="7"/>
        <v>0</v>
      </c>
      <c r="F68" s="210">
        <f t="shared" si="8"/>
        <v>0</v>
      </c>
      <c r="G68" s="210">
        <f t="shared" si="9"/>
        <v>0</v>
      </c>
      <c r="H68" s="210">
        <f t="shared" si="10"/>
        <v>0</v>
      </c>
      <c r="I68" s="210">
        <f>H68+AE68-IF(AE68=0,($K29+SUM($AE68:AE68)-$Q68)/9,0)</f>
        <v>0</v>
      </c>
      <c r="J68" s="210">
        <f>I68+AF68-IF(AF68=0,($K29+SUM($AE68:AF68)-$Q68)/9,0)</f>
        <v>0</v>
      </c>
      <c r="K68" s="210">
        <f>J68+AG68-IF(AG68=0,($K29+SUM($AE68:AG68)-$Q68)/9,0)</f>
        <v>0</v>
      </c>
      <c r="L68" s="210">
        <f>K68+AH68-IF(AH68=0,($K29+SUM($AE68:AH68)-$Q68)/9,0)</f>
        <v>0</v>
      </c>
      <c r="M68" s="210">
        <f>L68+AI68-IF(AI68=0,($K29+SUM($AE68:AI68)-$Q68)/9,0)</f>
        <v>0</v>
      </c>
      <c r="N68" s="210">
        <f>M68+AJ68-IF(AJ68=0,($K29+SUM($AE68:AJ68)-$Q68)/9,0)</f>
        <v>0</v>
      </c>
      <c r="O68" s="210">
        <f>N68+AK68-IF(AK68=0,($K29+SUM($AE68:AK68)-$Q68)/9,0)</f>
        <v>0</v>
      </c>
      <c r="P68" s="210">
        <f>O68+AL68-IF(AL68=0,($K29+SUM($AE68:AL68)-$Q68)/9,0)</f>
        <v>0</v>
      </c>
      <c r="Q68" s="210">
        <f>MIN(MAX(AM29:$AR29),$K29+SUM($AE68:$AM68))</f>
        <v>0</v>
      </c>
      <c r="R68" s="210">
        <f>MIN(MAX(AN29:$AR29),$K29+SUM($AE68:$AM68))</f>
        <v>0</v>
      </c>
      <c r="S68" s="210">
        <f>MIN(MAX(AO29:$AR29),$K29+SUM($AE68:$AM68))</f>
        <v>0</v>
      </c>
      <c r="T68" s="210">
        <f>MIN(MAX(AP29:$AR29),$K29+SUM($AE68:$AM68))</f>
        <v>0</v>
      </c>
      <c r="U68" s="210">
        <f>MIN(MAX(AQ29:$AR29),$K29+SUM($AE68:$AM68))</f>
        <v>0</v>
      </c>
      <c r="V68" s="210">
        <f>MIN(MAX(AR29:$AR29),$K29+SUM($AE68:$AM68))</f>
        <v>0</v>
      </c>
      <c r="X68" s="210"/>
      <c r="Y68" s="210">
        <f t="shared" si="11"/>
        <v>0</v>
      </c>
      <c r="Z68" s="210">
        <f t="shared" si="12"/>
        <v>0</v>
      </c>
      <c r="AA68" s="210">
        <f t="shared" si="13"/>
        <v>0</v>
      </c>
      <c r="AB68" s="210">
        <f t="shared" si="14"/>
        <v>0</v>
      </c>
      <c r="AC68" s="210">
        <f t="shared" si="15"/>
        <v>0</v>
      </c>
      <c r="AD68" s="210">
        <f t="shared" si="16"/>
        <v>0</v>
      </c>
      <c r="AE68" s="210">
        <f t="shared" si="17"/>
        <v>0</v>
      </c>
      <c r="AF68" s="210">
        <f t="shared" si="18"/>
        <v>0</v>
      </c>
      <c r="AG68" s="210">
        <f t="shared" si="19"/>
        <v>0</v>
      </c>
      <c r="AH68" s="210">
        <f t="shared" si="20"/>
        <v>0</v>
      </c>
      <c r="AI68" s="210">
        <f t="shared" si="21"/>
        <v>0</v>
      </c>
      <c r="AJ68" s="210">
        <f t="shared" si="22"/>
        <v>0</v>
      </c>
      <c r="AK68" s="210">
        <f t="shared" si="23"/>
        <v>0</v>
      </c>
      <c r="AL68" s="210">
        <f t="shared" si="24"/>
        <v>0</v>
      </c>
      <c r="AM68" s="210">
        <f t="shared" si="25"/>
        <v>0</v>
      </c>
      <c r="AN68" s="210">
        <f t="shared" si="26"/>
        <v>0</v>
      </c>
      <c r="AO68" s="210">
        <f t="shared" si="27"/>
        <v>0</v>
      </c>
      <c r="AP68" s="210">
        <f t="shared" si="28"/>
        <v>0</v>
      </c>
      <c r="AQ68" s="210">
        <f t="shared" si="29"/>
        <v>0</v>
      </c>
      <c r="AR68" s="210">
        <f t="shared" si="30"/>
        <v>0</v>
      </c>
      <c r="AT68" s="210"/>
      <c r="AU68" s="210">
        <f t="shared" si="31"/>
        <v>0</v>
      </c>
      <c r="AV68" s="210">
        <f t="shared" si="32"/>
        <v>0</v>
      </c>
      <c r="AW68" s="210">
        <f t="shared" si="33"/>
        <v>0</v>
      </c>
      <c r="AX68" s="210">
        <f t="shared" si="34"/>
        <v>0</v>
      </c>
      <c r="AY68" s="210">
        <f t="shared" si="35"/>
        <v>0</v>
      </c>
      <c r="AZ68" s="210">
        <f t="shared" si="36"/>
        <v>0</v>
      </c>
      <c r="BA68" s="210">
        <f t="shared" si="37"/>
        <v>0</v>
      </c>
      <c r="BB68" s="210">
        <f t="shared" si="38"/>
        <v>0</v>
      </c>
      <c r="BC68" s="210">
        <f t="shared" si="39"/>
        <v>0</v>
      </c>
      <c r="BD68" s="210">
        <f t="shared" si="40"/>
        <v>0</v>
      </c>
      <c r="BE68" s="210">
        <f t="shared" si="41"/>
        <v>0</v>
      </c>
      <c r="BF68" s="210">
        <f t="shared" si="42"/>
        <v>0</v>
      </c>
      <c r="BG68" s="210">
        <f t="shared" si="43"/>
        <v>0</v>
      </c>
      <c r="BH68" s="210">
        <f t="shared" si="44"/>
        <v>0</v>
      </c>
      <c r="BI68" s="210">
        <f t="shared" si="45"/>
        <v>0</v>
      </c>
      <c r="BJ68" s="210">
        <f t="shared" si="46"/>
        <v>0</v>
      </c>
      <c r="BK68" s="210">
        <f t="shared" si="47"/>
        <v>0</v>
      </c>
      <c r="BL68" s="210">
        <f t="shared" si="48"/>
        <v>0</v>
      </c>
      <c r="BM68" s="210">
        <f t="shared" si="49"/>
        <v>0</v>
      </c>
      <c r="BN68" s="210">
        <f t="shared" si="50"/>
        <v>0</v>
      </c>
    </row>
    <row r="69" spans="1:66">
      <c r="A69" s="209" t="s">
        <v>130</v>
      </c>
      <c r="B69" s="210">
        <f t="shared" si="4"/>
        <v>0</v>
      </c>
      <c r="C69" s="210">
        <f t="shared" si="5"/>
        <v>0</v>
      </c>
      <c r="D69" s="210">
        <f t="shared" si="6"/>
        <v>0</v>
      </c>
      <c r="E69" s="210">
        <f t="shared" si="7"/>
        <v>0</v>
      </c>
      <c r="F69" s="210">
        <f t="shared" si="8"/>
        <v>0</v>
      </c>
      <c r="G69" s="210">
        <f t="shared" si="9"/>
        <v>0</v>
      </c>
      <c r="H69" s="210">
        <f t="shared" si="10"/>
        <v>0</v>
      </c>
      <c r="I69" s="210">
        <f>H69+AE69-IF(AE69=0,($K30+SUM($AE69:AE69)-$Q69)/9,0)</f>
        <v>0</v>
      </c>
      <c r="J69" s="210">
        <f>I69+AF69-IF(AF69=0,($K30+SUM($AE69:AF69)-$Q69)/9,0)</f>
        <v>0</v>
      </c>
      <c r="K69" s="210">
        <f>J69+AG69-IF(AG69=0,($K30+SUM($AE69:AG69)-$Q69)/9,0)</f>
        <v>0</v>
      </c>
      <c r="L69" s="210">
        <f>K69+AH69-IF(AH69=0,($K30+SUM($AE69:AH69)-$Q69)/9,0)</f>
        <v>0</v>
      </c>
      <c r="M69" s="210">
        <f>L69+AI69-IF(AI69=0,($K30+SUM($AE69:AI69)-$Q69)/9,0)</f>
        <v>0</v>
      </c>
      <c r="N69" s="210">
        <f>M69+AJ69-IF(AJ69=0,($K30+SUM($AE69:AJ69)-$Q69)/9,0)</f>
        <v>0</v>
      </c>
      <c r="O69" s="210">
        <f>N69+AK69-IF(AK69=0,($K30+SUM($AE69:AK69)-$Q69)/9,0)</f>
        <v>0</v>
      </c>
      <c r="P69" s="210">
        <f>O69+AL69-IF(AL69=0,($K30+SUM($AE69:AL69)-$Q69)/9,0)</f>
        <v>0</v>
      </c>
      <c r="Q69" s="210">
        <f>MIN(MAX(AM30:$AR30),$K30+SUM($AE69:$AM69))</f>
        <v>0</v>
      </c>
      <c r="R69" s="210">
        <f>MIN(MAX(AN30:$AR30),$K30+SUM($AE69:$AM69))</f>
        <v>0</v>
      </c>
      <c r="S69" s="210">
        <f>MIN(MAX(AO30:$AR30),$K30+SUM($AE69:$AM69))</f>
        <v>0</v>
      </c>
      <c r="T69" s="210">
        <f>MIN(MAX(AP30:$AR30),$K30+SUM($AE69:$AM69))</f>
        <v>0</v>
      </c>
      <c r="U69" s="210">
        <f>MIN(MAX(AQ30:$AR30),$K30+SUM($AE69:$AM69))</f>
        <v>0</v>
      </c>
      <c r="V69" s="210">
        <f>MIN(MAX(AR30:$AR30),$K30+SUM($AE69:$AM69))</f>
        <v>0</v>
      </c>
      <c r="X69" s="210"/>
      <c r="Y69" s="210">
        <f t="shared" si="11"/>
        <v>0</v>
      </c>
      <c r="Z69" s="210">
        <f t="shared" si="12"/>
        <v>0</v>
      </c>
      <c r="AA69" s="210">
        <f t="shared" si="13"/>
        <v>0</v>
      </c>
      <c r="AB69" s="210">
        <f t="shared" si="14"/>
        <v>0</v>
      </c>
      <c r="AC69" s="210">
        <f t="shared" si="15"/>
        <v>0</v>
      </c>
      <c r="AD69" s="210">
        <f t="shared" si="16"/>
        <v>0</v>
      </c>
      <c r="AE69" s="210">
        <f t="shared" si="17"/>
        <v>0</v>
      </c>
      <c r="AF69" s="210">
        <f t="shared" si="18"/>
        <v>0</v>
      </c>
      <c r="AG69" s="210">
        <f t="shared" si="19"/>
        <v>0</v>
      </c>
      <c r="AH69" s="210">
        <f t="shared" si="20"/>
        <v>0</v>
      </c>
      <c r="AI69" s="210">
        <f t="shared" si="21"/>
        <v>0</v>
      </c>
      <c r="AJ69" s="210">
        <f t="shared" si="22"/>
        <v>0</v>
      </c>
      <c r="AK69" s="210">
        <f t="shared" si="23"/>
        <v>0</v>
      </c>
      <c r="AL69" s="210">
        <f t="shared" si="24"/>
        <v>0</v>
      </c>
      <c r="AM69" s="210">
        <f t="shared" si="25"/>
        <v>0</v>
      </c>
      <c r="AN69" s="210">
        <f t="shared" si="26"/>
        <v>0</v>
      </c>
      <c r="AO69" s="210">
        <f t="shared" si="27"/>
        <v>0</v>
      </c>
      <c r="AP69" s="210">
        <f t="shared" si="28"/>
        <v>0</v>
      </c>
      <c r="AQ69" s="210">
        <f t="shared" si="29"/>
        <v>0</v>
      </c>
      <c r="AR69" s="210">
        <f t="shared" si="30"/>
        <v>0</v>
      </c>
      <c r="AT69" s="210"/>
      <c r="AU69" s="210">
        <f t="shared" si="31"/>
        <v>0</v>
      </c>
      <c r="AV69" s="210">
        <f t="shared" si="32"/>
        <v>0</v>
      </c>
      <c r="AW69" s="210">
        <f t="shared" si="33"/>
        <v>0</v>
      </c>
      <c r="AX69" s="210">
        <f t="shared" si="34"/>
        <v>0</v>
      </c>
      <c r="AY69" s="210">
        <f t="shared" si="35"/>
        <v>0</v>
      </c>
      <c r="AZ69" s="210">
        <f t="shared" si="36"/>
        <v>0</v>
      </c>
      <c r="BA69" s="210">
        <f t="shared" si="37"/>
        <v>0</v>
      </c>
      <c r="BB69" s="210">
        <f t="shared" si="38"/>
        <v>0</v>
      </c>
      <c r="BC69" s="210">
        <f t="shared" si="39"/>
        <v>0</v>
      </c>
      <c r="BD69" s="210">
        <f t="shared" si="40"/>
        <v>0</v>
      </c>
      <c r="BE69" s="210">
        <f t="shared" si="41"/>
        <v>0</v>
      </c>
      <c r="BF69" s="210">
        <f t="shared" si="42"/>
        <v>0</v>
      </c>
      <c r="BG69" s="210">
        <f t="shared" si="43"/>
        <v>0</v>
      </c>
      <c r="BH69" s="210">
        <f t="shared" si="44"/>
        <v>0</v>
      </c>
      <c r="BI69" s="210">
        <f t="shared" si="45"/>
        <v>0</v>
      </c>
      <c r="BJ69" s="210">
        <f t="shared" si="46"/>
        <v>0</v>
      </c>
      <c r="BK69" s="210">
        <f t="shared" si="47"/>
        <v>0</v>
      </c>
      <c r="BL69" s="210">
        <f t="shared" si="48"/>
        <v>0</v>
      </c>
      <c r="BM69" s="210">
        <f t="shared" si="49"/>
        <v>0</v>
      </c>
      <c r="BN69" s="210">
        <f t="shared" si="50"/>
        <v>0</v>
      </c>
    </row>
    <row r="70" spans="1:66">
      <c r="A70" s="209" t="s">
        <v>1329</v>
      </c>
      <c r="B70" s="210">
        <f t="shared" si="4"/>
        <v>0</v>
      </c>
      <c r="C70" s="210">
        <f t="shared" si="5"/>
        <v>0</v>
      </c>
      <c r="D70" s="210">
        <f t="shared" si="6"/>
        <v>0</v>
      </c>
      <c r="E70" s="210">
        <f t="shared" si="7"/>
        <v>0</v>
      </c>
      <c r="F70" s="210">
        <f t="shared" si="8"/>
        <v>0</v>
      </c>
      <c r="G70" s="210">
        <f t="shared" si="9"/>
        <v>0</v>
      </c>
      <c r="H70" s="210">
        <f t="shared" si="10"/>
        <v>0</v>
      </c>
      <c r="I70" s="210">
        <f>H70+AE70-IF(AE70=0,($K31+SUM($AE70:AE70)-$Q70)/9,0)</f>
        <v>7</v>
      </c>
      <c r="J70" s="210">
        <f>I70+AF70-IF(AF70=0,($K31+SUM($AE70:AF70)-$Q70)/9,0)</f>
        <v>7</v>
      </c>
      <c r="K70" s="210">
        <f>J70+AG70-IF(AG70=0,($K31+SUM($AE70:AG70)-$Q70)/9,0)</f>
        <v>7</v>
      </c>
      <c r="L70" s="210">
        <f>K70+AH70-IF(AH70=0,($K31+SUM($AE70:AH70)-$Q70)/9,0)</f>
        <v>7</v>
      </c>
      <c r="M70" s="210">
        <f>L70+AI70-IF(AI70=0,($K31+SUM($AE70:AI70)-$Q70)/9,0)</f>
        <v>7</v>
      </c>
      <c r="N70" s="210">
        <f>M70+AJ70-IF(AJ70=0,($K31+SUM($AE70:AJ70)-$Q70)/9,0)</f>
        <v>7</v>
      </c>
      <c r="O70" s="210">
        <f>N70+AK70-IF(AK70=0,($K31+SUM($AE70:AK70)-$Q70)/9,0)</f>
        <v>7</v>
      </c>
      <c r="P70" s="210">
        <f>O70+AL70-IF(AL70=0,($K31+SUM($AE70:AL70)-$Q70)/9,0)</f>
        <v>7</v>
      </c>
      <c r="Q70" s="210">
        <f>MIN(MAX(AM31:$AR31),$K31+SUM($AE70:$AM70))</f>
        <v>7</v>
      </c>
      <c r="R70" s="210">
        <f>MIN(MAX(AN31:$AR31),$K31+SUM($AE70:$AM70))</f>
        <v>7</v>
      </c>
      <c r="S70" s="210">
        <f>MIN(MAX(AO31:$AR31),$K31+SUM($AE70:$AM70))</f>
        <v>7</v>
      </c>
      <c r="T70" s="210">
        <f>MIN(MAX(AP31:$AR31),$K31+SUM($AE70:$AM70))</f>
        <v>7</v>
      </c>
      <c r="U70" s="210">
        <f>MIN(MAX(AQ31:$AR31),$K31+SUM($AE70:$AM70))</f>
        <v>7</v>
      </c>
      <c r="V70" s="210">
        <f>MIN(MAX(AR31:$AR31),$K31+SUM($AE70:$AM70))</f>
        <v>7</v>
      </c>
      <c r="X70" s="210"/>
      <c r="Y70" s="210">
        <f t="shared" si="11"/>
        <v>0</v>
      </c>
      <c r="Z70" s="210">
        <f t="shared" si="12"/>
        <v>0</v>
      </c>
      <c r="AA70" s="210">
        <f t="shared" si="13"/>
        <v>0</v>
      </c>
      <c r="AB70" s="210">
        <f t="shared" si="14"/>
        <v>0</v>
      </c>
      <c r="AC70" s="210">
        <f t="shared" si="15"/>
        <v>0</v>
      </c>
      <c r="AD70" s="210">
        <f t="shared" si="16"/>
        <v>0</v>
      </c>
      <c r="AE70" s="210">
        <f t="shared" si="17"/>
        <v>7</v>
      </c>
      <c r="AF70" s="210">
        <f t="shared" si="18"/>
        <v>0</v>
      </c>
      <c r="AG70" s="210">
        <f t="shared" si="19"/>
        <v>0</v>
      </c>
      <c r="AH70" s="210">
        <f t="shared" si="20"/>
        <v>0</v>
      </c>
      <c r="AI70" s="210">
        <f t="shared" si="21"/>
        <v>0</v>
      </c>
      <c r="AJ70" s="210">
        <f t="shared" si="22"/>
        <v>0</v>
      </c>
      <c r="AK70" s="210">
        <f t="shared" si="23"/>
        <v>0</v>
      </c>
      <c r="AL70" s="210">
        <f t="shared" si="24"/>
        <v>0</v>
      </c>
      <c r="AM70" s="210">
        <f t="shared" si="25"/>
        <v>0</v>
      </c>
      <c r="AN70" s="210">
        <f t="shared" si="26"/>
        <v>0</v>
      </c>
      <c r="AO70" s="210">
        <f t="shared" si="27"/>
        <v>0</v>
      </c>
      <c r="AP70" s="210">
        <f t="shared" si="28"/>
        <v>0</v>
      </c>
      <c r="AQ70" s="210">
        <f t="shared" si="29"/>
        <v>0</v>
      </c>
      <c r="AR70" s="210">
        <f t="shared" si="30"/>
        <v>0</v>
      </c>
      <c r="AT70" s="210"/>
      <c r="AU70" s="210">
        <f t="shared" si="31"/>
        <v>0</v>
      </c>
      <c r="AV70" s="210">
        <f t="shared" si="32"/>
        <v>0</v>
      </c>
      <c r="AW70" s="210">
        <f t="shared" si="33"/>
        <v>0</v>
      </c>
      <c r="AX70" s="210">
        <f t="shared" si="34"/>
        <v>0</v>
      </c>
      <c r="AY70" s="210">
        <f t="shared" si="35"/>
        <v>0</v>
      </c>
      <c r="AZ70" s="210">
        <f t="shared" si="36"/>
        <v>0</v>
      </c>
      <c r="BA70" s="210">
        <f t="shared" si="37"/>
        <v>0</v>
      </c>
      <c r="BB70" s="210">
        <f t="shared" si="38"/>
        <v>0</v>
      </c>
      <c r="BC70" s="210">
        <f t="shared" si="39"/>
        <v>0</v>
      </c>
      <c r="BD70" s="210">
        <f t="shared" si="40"/>
        <v>0</v>
      </c>
      <c r="BE70" s="210">
        <f t="shared" si="41"/>
        <v>0</v>
      </c>
      <c r="BF70" s="210">
        <f t="shared" si="42"/>
        <v>0</v>
      </c>
      <c r="BG70" s="210">
        <f t="shared" si="43"/>
        <v>0</v>
      </c>
      <c r="BH70" s="210">
        <f t="shared" si="44"/>
        <v>0</v>
      </c>
      <c r="BI70" s="210">
        <f t="shared" si="45"/>
        <v>0</v>
      </c>
      <c r="BJ70" s="210">
        <f t="shared" si="46"/>
        <v>0</v>
      </c>
      <c r="BK70" s="210">
        <f t="shared" si="47"/>
        <v>0</v>
      </c>
      <c r="BL70" s="210">
        <f t="shared" si="48"/>
        <v>0</v>
      </c>
      <c r="BM70" s="210">
        <f t="shared" si="49"/>
        <v>0</v>
      </c>
      <c r="BN70" s="210">
        <f t="shared" si="50"/>
        <v>0</v>
      </c>
    </row>
    <row r="71" spans="1:66">
      <c r="A71" s="209" t="s">
        <v>134</v>
      </c>
      <c r="B71" s="210">
        <f t="shared" si="4"/>
        <v>0</v>
      </c>
      <c r="C71" s="210">
        <f t="shared" si="5"/>
        <v>0</v>
      </c>
      <c r="D71" s="210">
        <f t="shared" si="6"/>
        <v>0</v>
      </c>
      <c r="E71" s="210">
        <f t="shared" si="7"/>
        <v>0</v>
      </c>
      <c r="F71" s="210">
        <f t="shared" si="8"/>
        <v>0</v>
      </c>
      <c r="G71" s="210">
        <f t="shared" si="9"/>
        <v>0</v>
      </c>
      <c r="H71" s="210">
        <f t="shared" si="10"/>
        <v>0</v>
      </c>
      <c r="I71" s="210">
        <f>H71+AE71-IF(AE71=0,($K32+SUM($AE71:AE71)-$Q71)/9,0)</f>
        <v>0</v>
      </c>
      <c r="J71" s="210">
        <f>I71+AF71-IF(AF71=0,($K32+SUM($AE71:AF71)-$Q71)/9,0)</f>
        <v>0</v>
      </c>
      <c r="K71" s="210">
        <f>J71+AG71-IF(AG71=0,($K32+SUM($AE71:AG71)-$Q71)/9,0)</f>
        <v>0</v>
      </c>
      <c r="L71" s="210">
        <f>K71+AH71-IF(AH71=0,($K32+SUM($AE71:AH71)-$Q71)/9,0)</f>
        <v>0</v>
      </c>
      <c r="M71" s="210">
        <f>L71+AI71-IF(AI71=0,($K32+SUM($AE71:AI71)-$Q71)/9,0)</f>
        <v>0</v>
      </c>
      <c r="N71" s="210">
        <f>M71+AJ71-IF(AJ71=0,($K32+SUM($AE71:AJ71)-$Q71)/9,0)</f>
        <v>0</v>
      </c>
      <c r="O71" s="210">
        <f>N71+AK71-IF(AK71=0,($K32+SUM($AE71:AK71)-$Q71)/9,0)</f>
        <v>0</v>
      </c>
      <c r="P71" s="210">
        <f>O71+AL71-IF(AL71=0,($K32+SUM($AE71:AL71)-$Q71)/9,0)</f>
        <v>0</v>
      </c>
      <c r="Q71" s="210">
        <f>MIN(MAX(AM32:$AR32),$K32+SUM($AE71:$AM71))</f>
        <v>0</v>
      </c>
      <c r="R71" s="210">
        <f>MIN(MAX(AN32:$AR32),$K32+SUM($AE71:$AM71))</f>
        <v>0</v>
      </c>
      <c r="S71" s="210">
        <f>MIN(MAX(AO32:$AR32),$K32+SUM($AE71:$AM71))</f>
        <v>0</v>
      </c>
      <c r="T71" s="210">
        <f>MIN(MAX(AP32:$AR32),$K32+SUM($AE71:$AM71))</f>
        <v>0</v>
      </c>
      <c r="U71" s="210">
        <f>MIN(MAX(AQ32:$AR32),$K32+SUM($AE71:$AM71))</f>
        <v>0</v>
      </c>
      <c r="V71" s="210">
        <f>MIN(MAX(AR32:$AR32),$K32+SUM($AE71:$AM71))</f>
        <v>0</v>
      </c>
      <c r="X71" s="210"/>
      <c r="Y71" s="210">
        <f t="shared" si="11"/>
        <v>0</v>
      </c>
      <c r="Z71" s="210">
        <f t="shared" si="12"/>
        <v>0</v>
      </c>
      <c r="AA71" s="210">
        <f t="shared" si="13"/>
        <v>0</v>
      </c>
      <c r="AB71" s="210">
        <f t="shared" si="14"/>
        <v>0</v>
      </c>
      <c r="AC71" s="210">
        <f t="shared" si="15"/>
        <v>0</v>
      </c>
      <c r="AD71" s="210">
        <f t="shared" si="16"/>
        <v>0</v>
      </c>
      <c r="AE71" s="210">
        <f t="shared" si="17"/>
        <v>0</v>
      </c>
      <c r="AF71" s="210">
        <f t="shared" si="18"/>
        <v>0</v>
      </c>
      <c r="AG71" s="210">
        <f t="shared" si="19"/>
        <v>0</v>
      </c>
      <c r="AH71" s="210">
        <f t="shared" si="20"/>
        <v>0</v>
      </c>
      <c r="AI71" s="210">
        <f t="shared" si="21"/>
        <v>0</v>
      </c>
      <c r="AJ71" s="210">
        <f t="shared" si="22"/>
        <v>0</v>
      </c>
      <c r="AK71" s="210">
        <f t="shared" si="23"/>
        <v>0</v>
      </c>
      <c r="AL71" s="210">
        <f t="shared" si="24"/>
        <v>0</v>
      </c>
      <c r="AM71" s="210">
        <f t="shared" si="25"/>
        <v>0</v>
      </c>
      <c r="AN71" s="210">
        <f t="shared" si="26"/>
        <v>0</v>
      </c>
      <c r="AO71" s="210">
        <f t="shared" si="27"/>
        <v>0</v>
      </c>
      <c r="AP71" s="210">
        <f t="shared" si="28"/>
        <v>0</v>
      </c>
      <c r="AQ71" s="210">
        <f t="shared" si="29"/>
        <v>0</v>
      </c>
      <c r="AR71" s="210">
        <f t="shared" si="30"/>
        <v>0</v>
      </c>
      <c r="AT71" s="210"/>
      <c r="AU71" s="210">
        <f t="shared" si="31"/>
        <v>0</v>
      </c>
      <c r="AV71" s="210">
        <f t="shared" si="32"/>
        <v>0</v>
      </c>
      <c r="AW71" s="210">
        <f t="shared" si="33"/>
        <v>0</v>
      </c>
      <c r="AX71" s="210">
        <f t="shared" si="34"/>
        <v>0</v>
      </c>
      <c r="AY71" s="210">
        <f t="shared" si="35"/>
        <v>0</v>
      </c>
      <c r="AZ71" s="210">
        <f t="shared" si="36"/>
        <v>0</v>
      </c>
      <c r="BA71" s="210">
        <f t="shared" si="37"/>
        <v>0</v>
      </c>
      <c r="BB71" s="210">
        <f t="shared" si="38"/>
        <v>0</v>
      </c>
      <c r="BC71" s="210">
        <f t="shared" si="39"/>
        <v>0</v>
      </c>
      <c r="BD71" s="210">
        <f t="shared" si="40"/>
        <v>0</v>
      </c>
      <c r="BE71" s="210">
        <f t="shared" si="41"/>
        <v>0</v>
      </c>
      <c r="BF71" s="210">
        <f t="shared" si="42"/>
        <v>0</v>
      </c>
      <c r="BG71" s="210">
        <f t="shared" si="43"/>
        <v>0</v>
      </c>
      <c r="BH71" s="210">
        <f t="shared" si="44"/>
        <v>0</v>
      </c>
      <c r="BI71" s="210">
        <f t="shared" si="45"/>
        <v>0</v>
      </c>
      <c r="BJ71" s="210">
        <f t="shared" si="46"/>
        <v>0</v>
      </c>
      <c r="BK71" s="210">
        <f t="shared" si="47"/>
        <v>0</v>
      </c>
      <c r="BL71" s="210">
        <f t="shared" si="48"/>
        <v>0</v>
      </c>
      <c r="BM71" s="210">
        <f t="shared" si="49"/>
        <v>0</v>
      </c>
      <c r="BN71" s="210">
        <f t="shared" si="50"/>
        <v>0</v>
      </c>
    </row>
    <row r="72" spans="1:66">
      <c r="A72" s="209" t="s">
        <v>136</v>
      </c>
      <c r="B72" s="210">
        <f t="shared" si="4"/>
        <v>0</v>
      </c>
      <c r="C72" s="210">
        <f t="shared" si="5"/>
        <v>0</v>
      </c>
      <c r="D72" s="210">
        <f t="shared" si="6"/>
        <v>0</v>
      </c>
      <c r="E72" s="210">
        <f t="shared" si="7"/>
        <v>0</v>
      </c>
      <c r="F72" s="210">
        <f t="shared" si="8"/>
        <v>0</v>
      </c>
      <c r="G72" s="210">
        <f t="shared" si="9"/>
        <v>0</v>
      </c>
      <c r="H72" s="210">
        <f t="shared" si="10"/>
        <v>0</v>
      </c>
      <c r="I72" s="210">
        <f>H72+AE72-IF(AE72=0,($K33+SUM($AE72:AE72)-$Q72)/9,0)</f>
        <v>0</v>
      </c>
      <c r="J72" s="210">
        <f>I72+AF72-IF(AF72=0,($K33+SUM($AE72:AF72)-$Q72)/9,0)</f>
        <v>0</v>
      </c>
      <c r="K72" s="210">
        <f>J72+AG72-IF(AG72=0,($K33+SUM($AE72:AG72)-$Q72)/9,0)</f>
        <v>0</v>
      </c>
      <c r="L72" s="210">
        <f>K72+AH72-IF(AH72=0,($K33+SUM($AE72:AH72)-$Q72)/9,0)</f>
        <v>0</v>
      </c>
      <c r="M72" s="210">
        <f>L72+AI72-IF(AI72=0,($K33+SUM($AE72:AI72)-$Q72)/9,0)</f>
        <v>0</v>
      </c>
      <c r="N72" s="210">
        <f>M72+AJ72-IF(AJ72=0,($K33+SUM($AE72:AJ72)-$Q72)/9,0)</f>
        <v>0</v>
      </c>
      <c r="O72" s="210">
        <f>N72+AK72-IF(AK72=0,($K33+SUM($AE72:AK72)-$Q72)/9,0)</f>
        <v>0</v>
      </c>
      <c r="P72" s="210">
        <f>O72+AL72-IF(AL72=0,($K33+SUM($AE72:AL72)-$Q72)/9,0)</f>
        <v>0</v>
      </c>
      <c r="Q72" s="210">
        <f>MIN(MAX(AM33:$AR33),$K33+SUM($AE72:$AM72))</f>
        <v>0</v>
      </c>
      <c r="R72" s="210">
        <f>MIN(MAX(AN33:$AR33),$K33+SUM($AE72:$AM72))</f>
        <v>0</v>
      </c>
      <c r="S72" s="210">
        <f>MIN(MAX(AO33:$AR33),$K33+SUM($AE72:$AM72))</f>
        <v>0</v>
      </c>
      <c r="T72" s="210">
        <f>MIN(MAX(AP33:$AR33),$K33+SUM($AE72:$AM72))</f>
        <v>0</v>
      </c>
      <c r="U72" s="210">
        <f>MIN(MAX(AQ33:$AR33),$K33+SUM($AE72:$AM72))</f>
        <v>0</v>
      </c>
      <c r="V72" s="210">
        <f>MIN(MAX(AR33:$AR33),$K33+SUM($AE72:$AM72))</f>
        <v>0</v>
      </c>
      <c r="X72" s="210"/>
      <c r="Y72" s="210">
        <f t="shared" si="11"/>
        <v>0</v>
      </c>
      <c r="Z72" s="210">
        <f t="shared" si="12"/>
        <v>0</v>
      </c>
      <c r="AA72" s="210">
        <f t="shared" si="13"/>
        <v>0</v>
      </c>
      <c r="AB72" s="210">
        <f t="shared" si="14"/>
        <v>0</v>
      </c>
      <c r="AC72" s="210">
        <f t="shared" si="15"/>
        <v>0</v>
      </c>
      <c r="AD72" s="210">
        <f t="shared" si="16"/>
        <v>0</v>
      </c>
      <c r="AE72" s="210">
        <f t="shared" si="17"/>
        <v>0</v>
      </c>
      <c r="AF72" s="210">
        <f t="shared" si="18"/>
        <v>0</v>
      </c>
      <c r="AG72" s="210">
        <f t="shared" si="19"/>
        <v>0</v>
      </c>
      <c r="AH72" s="210">
        <f t="shared" si="20"/>
        <v>0</v>
      </c>
      <c r="AI72" s="210">
        <f t="shared" si="21"/>
        <v>0</v>
      </c>
      <c r="AJ72" s="210">
        <f t="shared" si="22"/>
        <v>0</v>
      </c>
      <c r="AK72" s="210">
        <f t="shared" si="23"/>
        <v>0</v>
      </c>
      <c r="AL72" s="210">
        <f t="shared" si="24"/>
        <v>0</v>
      </c>
      <c r="AM72" s="210">
        <f t="shared" si="25"/>
        <v>0</v>
      </c>
      <c r="AN72" s="210">
        <f t="shared" si="26"/>
        <v>0</v>
      </c>
      <c r="AO72" s="210">
        <f t="shared" si="27"/>
        <v>0</v>
      </c>
      <c r="AP72" s="210">
        <f t="shared" si="28"/>
        <v>0</v>
      </c>
      <c r="AQ72" s="210">
        <f t="shared" si="29"/>
        <v>0</v>
      </c>
      <c r="AR72" s="210">
        <f t="shared" si="30"/>
        <v>0</v>
      </c>
      <c r="AT72" s="210"/>
      <c r="AU72" s="210">
        <f t="shared" si="31"/>
        <v>0</v>
      </c>
      <c r="AV72" s="210">
        <f t="shared" si="32"/>
        <v>0</v>
      </c>
      <c r="AW72" s="210">
        <f t="shared" si="33"/>
        <v>0</v>
      </c>
      <c r="AX72" s="210">
        <f t="shared" si="34"/>
        <v>0</v>
      </c>
      <c r="AY72" s="210">
        <f t="shared" si="35"/>
        <v>0</v>
      </c>
      <c r="AZ72" s="210">
        <f t="shared" si="36"/>
        <v>0</v>
      </c>
      <c r="BA72" s="210">
        <f t="shared" si="37"/>
        <v>0</v>
      </c>
      <c r="BB72" s="210">
        <f t="shared" si="38"/>
        <v>0</v>
      </c>
      <c r="BC72" s="210">
        <f t="shared" si="39"/>
        <v>0</v>
      </c>
      <c r="BD72" s="210">
        <f t="shared" si="40"/>
        <v>0</v>
      </c>
      <c r="BE72" s="210">
        <f t="shared" si="41"/>
        <v>0</v>
      </c>
      <c r="BF72" s="210">
        <f t="shared" si="42"/>
        <v>0</v>
      </c>
      <c r="BG72" s="210">
        <f t="shared" si="43"/>
        <v>0</v>
      </c>
      <c r="BH72" s="210">
        <f t="shared" si="44"/>
        <v>0</v>
      </c>
      <c r="BI72" s="210">
        <f t="shared" si="45"/>
        <v>0</v>
      </c>
      <c r="BJ72" s="210">
        <f t="shared" si="46"/>
        <v>0</v>
      </c>
      <c r="BK72" s="210">
        <f t="shared" si="47"/>
        <v>0</v>
      </c>
      <c r="BL72" s="210">
        <f t="shared" si="48"/>
        <v>0</v>
      </c>
      <c r="BM72" s="210">
        <f t="shared" si="49"/>
        <v>0</v>
      </c>
      <c r="BN72" s="210">
        <f t="shared" si="50"/>
        <v>0</v>
      </c>
    </row>
    <row r="73" spans="1:66">
      <c r="A73" s="209" t="s">
        <v>138</v>
      </c>
      <c r="B73" s="210">
        <f t="shared" si="4"/>
        <v>0</v>
      </c>
      <c r="C73" s="210">
        <f t="shared" si="5"/>
        <v>0</v>
      </c>
      <c r="D73" s="210">
        <f t="shared" si="6"/>
        <v>0</v>
      </c>
      <c r="E73" s="210">
        <f t="shared" si="7"/>
        <v>0</v>
      </c>
      <c r="F73" s="210">
        <f t="shared" si="8"/>
        <v>0</v>
      </c>
      <c r="G73" s="210">
        <f t="shared" si="9"/>
        <v>0</v>
      </c>
      <c r="H73" s="210">
        <f t="shared" si="10"/>
        <v>0</v>
      </c>
      <c r="I73" s="210">
        <f>H73+AE73-IF(AE73=0,($K34+SUM($AE73:AE73)-$Q73)/9,0)</f>
        <v>0</v>
      </c>
      <c r="J73" s="210">
        <f>I73+AF73-IF(AF73=0,($K34+SUM($AE73:AF73)-$Q73)/9,0)</f>
        <v>0</v>
      </c>
      <c r="K73" s="210">
        <f>J73+AG73-IF(AG73=0,($K34+SUM($AE73:AG73)-$Q73)/9,0)</f>
        <v>0</v>
      </c>
      <c r="L73" s="210">
        <f>K73+AH73-IF(AH73=0,($K34+SUM($AE73:AH73)-$Q73)/9,0)</f>
        <v>0</v>
      </c>
      <c r="M73" s="210">
        <f>L73+AI73-IF(AI73=0,($K34+SUM($AE73:AI73)-$Q73)/9,0)</f>
        <v>0</v>
      </c>
      <c r="N73" s="210">
        <f>M73+AJ73-IF(AJ73=0,($K34+SUM($AE73:AJ73)-$Q73)/9,0)</f>
        <v>0</v>
      </c>
      <c r="O73" s="210">
        <f>N73+AK73-IF(AK73=0,($K34+SUM($AE73:AK73)-$Q73)/9,0)</f>
        <v>0</v>
      </c>
      <c r="P73" s="210">
        <f>O73+AL73-IF(AL73=0,($K34+SUM($AE73:AL73)-$Q73)/9,0)</f>
        <v>0</v>
      </c>
      <c r="Q73" s="210">
        <f>MIN(MAX(AM34:$AR34),$K34+SUM($AE73:$AM73))</f>
        <v>0</v>
      </c>
      <c r="R73" s="210">
        <f>MIN(MAX(AN34:$AR34),$K34+SUM($AE73:$AM73))</f>
        <v>0</v>
      </c>
      <c r="S73" s="210">
        <f>MIN(MAX(AO34:$AR34),$K34+SUM($AE73:$AM73))</f>
        <v>0</v>
      </c>
      <c r="T73" s="210">
        <f>MIN(MAX(AP34:$AR34),$K34+SUM($AE73:$AM73))</f>
        <v>0</v>
      </c>
      <c r="U73" s="210">
        <f>MIN(MAX(AQ34:$AR34),$K34+SUM($AE73:$AM73))</f>
        <v>0</v>
      </c>
      <c r="V73" s="210">
        <f>MIN(MAX(AR34:$AR34),$K34+SUM($AE73:$AM73))</f>
        <v>0</v>
      </c>
      <c r="X73" s="210"/>
      <c r="Y73" s="210">
        <f t="shared" si="11"/>
        <v>0</v>
      </c>
      <c r="Z73" s="210">
        <f t="shared" si="12"/>
        <v>0</v>
      </c>
      <c r="AA73" s="210">
        <f t="shared" si="13"/>
        <v>0</v>
      </c>
      <c r="AB73" s="210">
        <f t="shared" si="14"/>
        <v>0</v>
      </c>
      <c r="AC73" s="210">
        <f t="shared" si="15"/>
        <v>0</v>
      </c>
      <c r="AD73" s="210">
        <f t="shared" si="16"/>
        <v>0</v>
      </c>
      <c r="AE73" s="210">
        <f t="shared" si="17"/>
        <v>0</v>
      </c>
      <c r="AF73" s="210">
        <f t="shared" si="18"/>
        <v>0</v>
      </c>
      <c r="AG73" s="210">
        <f t="shared" si="19"/>
        <v>0</v>
      </c>
      <c r="AH73" s="210">
        <f t="shared" si="20"/>
        <v>0</v>
      </c>
      <c r="AI73" s="210">
        <f t="shared" si="21"/>
        <v>0</v>
      </c>
      <c r="AJ73" s="210">
        <f t="shared" si="22"/>
        <v>0</v>
      </c>
      <c r="AK73" s="210">
        <f t="shared" si="23"/>
        <v>0</v>
      </c>
      <c r="AL73" s="210">
        <f t="shared" si="24"/>
        <v>0</v>
      </c>
      <c r="AM73" s="210">
        <f t="shared" si="25"/>
        <v>0</v>
      </c>
      <c r="AN73" s="210">
        <f t="shared" si="26"/>
        <v>0</v>
      </c>
      <c r="AO73" s="210">
        <f t="shared" si="27"/>
        <v>0</v>
      </c>
      <c r="AP73" s="210">
        <f t="shared" si="28"/>
        <v>0</v>
      </c>
      <c r="AQ73" s="210">
        <f t="shared" si="29"/>
        <v>0</v>
      </c>
      <c r="AR73" s="210">
        <f t="shared" si="30"/>
        <v>0</v>
      </c>
      <c r="AT73" s="210"/>
      <c r="AU73" s="210">
        <f t="shared" si="31"/>
        <v>0</v>
      </c>
      <c r="AV73" s="210">
        <f t="shared" si="32"/>
        <v>0</v>
      </c>
      <c r="AW73" s="210">
        <f t="shared" si="33"/>
        <v>0</v>
      </c>
      <c r="AX73" s="210">
        <f t="shared" si="34"/>
        <v>0</v>
      </c>
      <c r="AY73" s="210">
        <f t="shared" si="35"/>
        <v>0</v>
      </c>
      <c r="AZ73" s="210">
        <f t="shared" si="36"/>
        <v>0</v>
      </c>
      <c r="BA73" s="210">
        <f t="shared" si="37"/>
        <v>0</v>
      </c>
      <c r="BB73" s="210">
        <f t="shared" si="38"/>
        <v>0</v>
      </c>
      <c r="BC73" s="210">
        <f t="shared" si="39"/>
        <v>0</v>
      </c>
      <c r="BD73" s="210">
        <f t="shared" si="40"/>
        <v>0</v>
      </c>
      <c r="BE73" s="210">
        <f t="shared" si="41"/>
        <v>0</v>
      </c>
      <c r="BF73" s="210">
        <f t="shared" si="42"/>
        <v>0</v>
      </c>
      <c r="BG73" s="210">
        <f t="shared" si="43"/>
        <v>0</v>
      </c>
      <c r="BH73" s="210">
        <f t="shared" si="44"/>
        <v>0</v>
      </c>
      <c r="BI73" s="210">
        <f t="shared" si="45"/>
        <v>0</v>
      </c>
      <c r="BJ73" s="210">
        <f t="shared" si="46"/>
        <v>0</v>
      </c>
      <c r="BK73" s="210">
        <f t="shared" si="47"/>
        <v>0</v>
      </c>
      <c r="BL73" s="210">
        <f t="shared" si="48"/>
        <v>0</v>
      </c>
      <c r="BM73" s="210">
        <f t="shared" si="49"/>
        <v>0</v>
      </c>
      <c r="BN73" s="210">
        <f t="shared" si="50"/>
        <v>0</v>
      </c>
    </row>
    <row r="74" spans="1:66">
      <c r="A74" s="209" t="s">
        <v>1311</v>
      </c>
      <c r="B74" s="210">
        <f t="shared" si="4"/>
        <v>0</v>
      </c>
      <c r="C74" s="210">
        <f t="shared" si="5"/>
        <v>0</v>
      </c>
      <c r="D74" s="210">
        <f t="shared" si="6"/>
        <v>0</v>
      </c>
      <c r="E74" s="210">
        <f t="shared" si="7"/>
        <v>0</v>
      </c>
      <c r="F74" s="210">
        <f t="shared" si="8"/>
        <v>0</v>
      </c>
      <c r="G74" s="210">
        <f t="shared" si="9"/>
        <v>0</v>
      </c>
      <c r="H74" s="210">
        <f t="shared" si="10"/>
        <v>0</v>
      </c>
      <c r="I74" s="210">
        <f>H74+AE74-IF(AE74=0,($K35+SUM($AE74:AE74)-$Q74)/9,0)</f>
        <v>0</v>
      </c>
      <c r="J74" s="210">
        <f>I74+AF74-IF(AF74=0,($K35+SUM($AE74:AF74)-$Q74)/9,0)</f>
        <v>0</v>
      </c>
      <c r="K74" s="210">
        <f>J74+AG74-IF(AG74=0,($K35+SUM($AE74:AG74)-$Q74)/9,0)</f>
        <v>0</v>
      </c>
      <c r="L74" s="210">
        <f>K74+AH74-IF(AH74=0,($K35+SUM($AE74:AH74)-$Q74)/9,0)</f>
        <v>0</v>
      </c>
      <c r="M74" s="210">
        <f>L74+AI74-IF(AI74=0,($K35+SUM($AE74:AI74)-$Q74)/9,0)</f>
        <v>0</v>
      </c>
      <c r="N74" s="210">
        <f>M74+AJ74-IF(AJ74=0,($K35+SUM($AE74:AJ74)-$Q74)/9,0)</f>
        <v>0</v>
      </c>
      <c r="O74" s="210">
        <f>N74+AK74-IF(AK74=0,($K35+SUM($AE74:AK74)-$Q74)/9,0)</f>
        <v>0</v>
      </c>
      <c r="P74" s="210">
        <f>O74+AL74-IF(AL74=0,($K35+SUM($AE74:AL74)-$Q74)/9,0)</f>
        <v>0</v>
      </c>
      <c r="Q74" s="210">
        <f>MIN(MAX(AM35:$AR35),$K35+SUM($AE74:$AM74))</f>
        <v>0</v>
      </c>
      <c r="R74" s="210">
        <f>MIN(MAX(AN35:$AR35),$K35+SUM($AE74:$AM74))</f>
        <v>0</v>
      </c>
      <c r="S74" s="210">
        <f>MIN(MAX(AO35:$AR35),$K35+SUM($AE74:$AM74))</f>
        <v>0</v>
      </c>
      <c r="T74" s="210">
        <f>MIN(MAX(AP35:$AR35),$K35+SUM($AE74:$AM74))</f>
        <v>0</v>
      </c>
      <c r="U74" s="210">
        <f>MIN(MAX(AQ35:$AR35),$K35+SUM($AE74:$AM74))</f>
        <v>0</v>
      </c>
      <c r="V74" s="210">
        <f>MIN(MAX(AR35:$AR35),$K35+SUM($AE74:$AM74))</f>
        <v>0</v>
      </c>
      <c r="X74" s="210"/>
      <c r="Y74" s="210">
        <f t="shared" si="11"/>
        <v>0</v>
      </c>
      <c r="Z74" s="210">
        <f t="shared" si="12"/>
        <v>0</v>
      </c>
      <c r="AA74" s="210">
        <f t="shared" si="13"/>
        <v>0</v>
      </c>
      <c r="AB74" s="210">
        <f t="shared" si="14"/>
        <v>0</v>
      </c>
      <c r="AC74" s="210">
        <f t="shared" si="15"/>
        <v>0</v>
      </c>
      <c r="AD74" s="210">
        <f t="shared" si="16"/>
        <v>0</v>
      </c>
      <c r="AE74" s="210">
        <f t="shared" si="17"/>
        <v>0</v>
      </c>
      <c r="AF74" s="210">
        <f t="shared" si="18"/>
        <v>0</v>
      </c>
      <c r="AG74" s="210">
        <f t="shared" si="19"/>
        <v>0</v>
      </c>
      <c r="AH74" s="210">
        <f t="shared" si="20"/>
        <v>0</v>
      </c>
      <c r="AI74" s="210">
        <f t="shared" si="21"/>
        <v>0</v>
      </c>
      <c r="AJ74" s="210">
        <f t="shared" si="22"/>
        <v>0</v>
      </c>
      <c r="AK74" s="210">
        <f t="shared" si="23"/>
        <v>0</v>
      </c>
      <c r="AL74" s="210">
        <f t="shared" si="24"/>
        <v>0</v>
      </c>
      <c r="AM74" s="210">
        <f t="shared" si="25"/>
        <v>0</v>
      </c>
      <c r="AN74" s="210">
        <f t="shared" si="26"/>
        <v>0</v>
      </c>
      <c r="AO74" s="210">
        <f t="shared" si="27"/>
        <v>0</v>
      </c>
      <c r="AP74" s="210">
        <f t="shared" si="28"/>
        <v>0</v>
      </c>
      <c r="AQ74" s="210">
        <f t="shared" si="29"/>
        <v>0</v>
      </c>
      <c r="AR74" s="210">
        <f t="shared" si="30"/>
        <v>0</v>
      </c>
      <c r="AT74" s="210"/>
      <c r="AU74" s="210">
        <f t="shared" si="31"/>
        <v>0</v>
      </c>
      <c r="AV74" s="210">
        <f t="shared" si="32"/>
        <v>0</v>
      </c>
      <c r="AW74" s="210">
        <f t="shared" si="33"/>
        <v>0</v>
      </c>
      <c r="AX74" s="210">
        <f t="shared" si="34"/>
        <v>0</v>
      </c>
      <c r="AY74" s="210">
        <f t="shared" si="35"/>
        <v>0</v>
      </c>
      <c r="AZ74" s="210">
        <f t="shared" si="36"/>
        <v>0</v>
      </c>
      <c r="BA74" s="210">
        <f t="shared" si="37"/>
        <v>0</v>
      </c>
      <c r="BB74" s="210">
        <f t="shared" si="38"/>
        <v>0</v>
      </c>
      <c r="BC74" s="210">
        <f t="shared" si="39"/>
        <v>0</v>
      </c>
      <c r="BD74" s="210">
        <f t="shared" si="40"/>
        <v>0</v>
      </c>
      <c r="BE74" s="210">
        <f t="shared" si="41"/>
        <v>0</v>
      </c>
      <c r="BF74" s="210">
        <f t="shared" si="42"/>
        <v>0</v>
      </c>
      <c r="BG74" s="210">
        <f t="shared" si="43"/>
        <v>0</v>
      </c>
      <c r="BH74" s="210">
        <f t="shared" si="44"/>
        <v>0</v>
      </c>
      <c r="BI74" s="210">
        <f t="shared" si="45"/>
        <v>0</v>
      </c>
      <c r="BJ74" s="210">
        <f t="shared" si="46"/>
        <v>0</v>
      </c>
      <c r="BK74" s="210">
        <f t="shared" si="47"/>
        <v>0</v>
      </c>
      <c r="BL74" s="210">
        <f t="shared" si="48"/>
        <v>0</v>
      </c>
      <c r="BM74" s="210">
        <f t="shared" si="49"/>
        <v>0</v>
      </c>
      <c r="BN74" s="210">
        <f t="shared" si="50"/>
        <v>0</v>
      </c>
    </row>
    <row r="75" spans="1:66">
      <c r="A75" s="209" t="s">
        <v>918</v>
      </c>
      <c r="B75" s="210">
        <f t="shared" si="4"/>
        <v>0</v>
      </c>
      <c r="C75" s="210">
        <f t="shared" si="5"/>
        <v>0</v>
      </c>
      <c r="D75" s="210">
        <f t="shared" si="6"/>
        <v>0</v>
      </c>
      <c r="E75" s="210">
        <f t="shared" si="7"/>
        <v>0</v>
      </c>
      <c r="F75" s="210">
        <f t="shared" si="8"/>
        <v>0</v>
      </c>
      <c r="G75" s="210">
        <f t="shared" si="9"/>
        <v>0</v>
      </c>
      <c r="H75" s="210">
        <f t="shared" si="10"/>
        <v>0</v>
      </c>
      <c r="I75" s="210">
        <f>H75+AE75-IF(AE75=0,($K36+SUM($AE75:AE75)-$Q75)/9,0)</f>
        <v>0</v>
      </c>
      <c r="J75" s="210">
        <f>I75+AF75-IF(AF75=0,($K36+SUM($AE75:AF75)-$Q75)/9,0)</f>
        <v>0</v>
      </c>
      <c r="K75" s="210">
        <f>J75+AG75-IF(AG75=0,($K36+SUM($AE75:AG75)-$Q75)/9,0)</f>
        <v>2.5</v>
      </c>
      <c r="L75" s="210">
        <f>K75+AH75-IF(AH75=0,($K36+SUM($AE75:AH75)-$Q75)/9,0)</f>
        <v>2.22222222222222</v>
      </c>
      <c r="M75" s="210">
        <f>L75+AI75-IF(AI75=0,($K36+SUM($AE75:AI75)-$Q75)/9,0)</f>
        <v>1.94444444444444</v>
      </c>
      <c r="N75" s="210">
        <f>M75+AJ75-IF(AJ75=0,($K36+SUM($AE75:AJ75)-$Q75)/9,0)</f>
        <v>1.66666666666667</v>
      </c>
      <c r="O75" s="210">
        <f>N75+AK75-IF(AK75=0,($K36+SUM($AE75:AK75)-$Q75)/9,0)</f>
        <v>1.38888888888889</v>
      </c>
      <c r="P75" s="210">
        <f>O75+AL75-IF(AL75=0,($K36+SUM($AE75:AL75)-$Q75)/9,0)</f>
        <v>1.11111111111111</v>
      </c>
      <c r="Q75" s="210">
        <f>MIN(MAX(AM36:$AR36),$K36+SUM($AE75:$AM75))</f>
        <v>0</v>
      </c>
      <c r="R75" s="210">
        <f>MIN(MAX(AN36:$AR36),$K36+SUM($AE75:$AM75))</f>
        <v>0</v>
      </c>
      <c r="S75" s="210">
        <f>MIN(MAX(AO36:$AR36),$K36+SUM($AE75:$AM75))</f>
        <v>0</v>
      </c>
      <c r="T75" s="210">
        <f>MIN(MAX(AP36:$AR36),$K36+SUM($AE75:$AM75))</f>
        <v>0</v>
      </c>
      <c r="U75" s="210">
        <f>MIN(MAX(AQ36:$AR36),$K36+SUM($AE75:$AM75))</f>
        <v>0</v>
      </c>
      <c r="V75" s="210">
        <f>MIN(MAX(AR36:$AR36),$K36+SUM($AE75:$AM75))</f>
        <v>0</v>
      </c>
      <c r="X75" s="210"/>
      <c r="Y75" s="210">
        <f t="shared" si="11"/>
        <v>0</v>
      </c>
      <c r="Z75" s="210">
        <f t="shared" si="12"/>
        <v>0</v>
      </c>
      <c r="AA75" s="210">
        <f t="shared" si="13"/>
        <v>0</v>
      </c>
      <c r="AB75" s="210">
        <f t="shared" si="14"/>
        <v>0</v>
      </c>
      <c r="AC75" s="210">
        <f t="shared" si="15"/>
        <v>0</v>
      </c>
      <c r="AD75" s="210">
        <f t="shared" si="16"/>
        <v>0</v>
      </c>
      <c r="AE75" s="210">
        <f t="shared" si="17"/>
        <v>0</v>
      </c>
      <c r="AF75" s="210">
        <f t="shared" si="18"/>
        <v>0</v>
      </c>
      <c r="AG75" s="210">
        <f t="shared" si="19"/>
        <v>2.5</v>
      </c>
      <c r="AH75" s="210">
        <f t="shared" si="20"/>
        <v>0</v>
      </c>
      <c r="AI75" s="210">
        <f t="shared" si="21"/>
        <v>0</v>
      </c>
      <c r="AJ75" s="210">
        <f t="shared" si="22"/>
        <v>0</v>
      </c>
      <c r="AK75" s="210">
        <f t="shared" si="23"/>
        <v>0</v>
      </c>
      <c r="AL75" s="210">
        <f t="shared" si="24"/>
        <v>0</v>
      </c>
      <c r="AM75" s="210">
        <f t="shared" si="25"/>
        <v>0</v>
      </c>
      <c r="AN75" s="210">
        <f t="shared" si="26"/>
        <v>0</v>
      </c>
      <c r="AO75" s="210">
        <f t="shared" si="27"/>
        <v>0</v>
      </c>
      <c r="AP75" s="210">
        <f t="shared" si="28"/>
        <v>0</v>
      </c>
      <c r="AQ75" s="210">
        <f t="shared" si="29"/>
        <v>0</v>
      </c>
      <c r="AR75" s="210">
        <f t="shared" si="30"/>
        <v>0</v>
      </c>
      <c r="AT75" s="210"/>
      <c r="AU75" s="210">
        <f t="shared" si="31"/>
        <v>0</v>
      </c>
      <c r="AV75" s="210">
        <f t="shared" si="32"/>
        <v>0</v>
      </c>
      <c r="AW75" s="210">
        <f t="shared" si="33"/>
        <v>0</v>
      </c>
      <c r="AX75" s="210">
        <f t="shared" si="34"/>
        <v>0</v>
      </c>
      <c r="AY75" s="210">
        <f t="shared" si="35"/>
        <v>0</v>
      </c>
      <c r="AZ75" s="210">
        <f t="shared" si="36"/>
        <v>0</v>
      </c>
      <c r="BA75" s="210">
        <f t="shared" si="37"/>
        <v>0</v>
      </c>
      <c r="BB75" s="210">
        <f t="shared" si="38"/>
        <v>0</v>
      </c>
      <c r="BC75" s="210">
        <f t="shared" si="39"/>
        <v>0</v>
      </c>
      <c r="BD75" s="210">
        <f t="shared" si="40"/>
        <v>0.277777777777778</v>
      </c>
      <c r="BE75" s="210">
        <f t="shared" si="41"/>
        <v>0.277777777777778</v>
      </c>
      <c r="BF75" s="210">
        <f t="shared" si="42"/>
        <v>0.277777777777778</v>
      </c>
      <c r="BG75" s="210">
        <f t="shared" si="43"/>
        <v>0.277777777777778</v>
      </c>
      <c r="BH75" s="210">
        <f t="shared" si="44"/>
        <v>0.277777777777778</v>
      </c>
      <c r="BI75" s="210">
        <f t="shared" si="45"/>
        <v>1.11111111111111</v>
      </c>
      <c r="BJ75" s="210">
        <f t="shared" si="46"/>
        <v>0</v>
      </c>
      <c r="BK75" s="210">
        <f t="shared" si="47"/>
        <v>0</v>
      </c>
      <c r="BL75" s="210">
        <f t="shared" si="48"/>
        <v>0</v>
      </c>
      <c r="BM75" s="210">
        <f t="shared" si="49"/>
        <v>0</v>
      </c>
      <c r="BN75" s="210">
        <f t="shared" si="50"/>
        <v>0</v>
      </c>
    </row>
    <row r="76" spans="1:66">
      <c r="Q76" s="210"/>
      <c r="R76" s="210"/>
      <c r="S76" s="210"/>
      <c r="T76" s="210"/>
      <c r="U76" s="210"/>
      <c r="V76" s="210"/>
    </row>
    <row r="77" spans="1:66">
      <c r="B77" s="97" t="s">
        <v>1333</v>
      </c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X77" s="97" t="s">
        <v>1334</v>
      </c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T77" s="97" t="s">
        <v>1335</v>
      </c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</row>
    <row r="78" spans="1:66">
      <c r="B78" s="92">
        <v>2001</v>
      </c>
      <c r="C78" s="92">
        <v>2002</v>
      </c>
      <c r="D78" s="92">
        <v>2003</v>
      </c>
      <c r="E78" s="92">
        <v>2004</v>
      </c>
      <c r="F78" s="92">
        <v>2005</v>
      </c>
      <c r="G78" s="92">
        <v>2006</v>
      </c>
      <c r="H78" s="92">
        <v>2007</v>
      </c>
      <c r="I78" s="92">
        <v>2008</v>
      </c>
      <c r="J78" s="92">
        <v>2009</v>
      </c>
      <c r="K78" s="92">
        <v>2010</v>
      </c>
      <c r="L78" s="92">
        <v>2011</v>
      </c>
      <c r="M78" s="92">
        <v>2012</v>
      </c>
      <c r="N78" s="92">
        <v>2013</v>
      </c>
      <c r="O78" s="92">
        <v>2014</v>
      </c>
      <c r="P78" s="92">
        <v>2015</v>
      </c>
      <c r="Q78" s="92">
        <v>2016</v>
      </c>
      <c r="R78" s="92">
        <v>2017</v>
      </c>
      <c r="S78" s="92">
        <v>2018</v>
      </c>
      <c r="T78" s="92">
        <v>2019</v>
      </c>
      <c r="U78" s="92">
        <v>2020</v>
      </c>
      <c r="V78" s="92">
        <v>2021</v>
      </c>
      <c r="X78" s="92">
        <v>2001</v>
      </c>
      <c r="Y78" s="92">
        <v>2002</v>
      </c>
      <c r="Z78" s="92">
        <v>2003</v>
      </c>
      <c r="AA78" s="92">
        <v>2004</v>
      </c>
      <c r="AB78" s="92">
        <v>2005</v>
      </c>
      <c r="AC78" s="92">
        <v>2006</v>
      </c>
      <c r="AD78" s="92">
        <v>2007</v>
      </c>
      <c r="AE78" s="92">
        <v>2008</v>
      </c>
      <c r="AF78" s="92">
        <v>2009</v>
      </c>
      <c r="AG78" s="92">
        <v>2010</v>
      </c>
      <c r="AH78" s="92">
        <v>2011</v>
      </c>
      <c r="AI78" s="92">
        <v>2012</v>
      </c>
      <c r="AJ78" s="92">
        <v>2013</v>
      </c>
      <c r="AK78" s="92">
        <v>2014</v>
      </c>
      <c r="AL78" s="92">
        <v>2015</v>
      </c>
      <c r="AM78" s="92">
        <v>2016</v>
      </c>
      <c r="AN78" s="92">
        <v>2017</v>
      </c>
      <c r="AO78" s="92">
        <v>2018</v>
      </c>
      <c r="AP78" s="92">
        <v>2019</v>
      </c>
      <c r="AQ78" s="92">
        <v>2020</v>
      </c>
      <c r="AR78" s="92">
        <v>2021</v>
      </c>
      <c r="AT78" s="92">
        <v>2001</v>
      </c>
      <c r="AU78" s="92">
        <v>2002</v>
      </c>
      <c r="AV78" s="92">
        <v>2003</v>
      </c>
      <c r="AW78" s="92">
        <v>2004</v>
      </c>
      <c r="AX78" s="92">
        <v>2005</v>
      </c>
      <c r="AY78" s="92">
        <v>2006</v>
      </c>
      <c r="AZ78" s="92">
        <v>2007</v>
      </c>
      <c r="BA78" s="92">
        <v>2008</v>
      </c>
      <c r="BB78" s="92">
        <v>2009</v>
      </c>
      <c r="BC78" s="92">
        <v>2010</v>
      </c>
      <c r="BD78" s="92">
        <v>2011</v>
      </c>
      <c r="BE78" s="92">
        <v>2012</v>
      </c>
      <c r="BF78" s="92">
        <v>2013</v>
      </c>
      <c r="BG78" s="92">
        <v>2014</v>
      </c>
      <c r="BH78" s="92">
        <v>2015</v>
      </c>
      <c r="BI78" s="92">
        <v>2016</v>
      </c>
      <c r="BJ78" s="92">
        <v>2017</v>
      </c>
      <c r="BK78" s="92">
        <v>2018</v>
      </c>
      <c r="BL78" s="92">
        <v>2019</v>
      </c>
      <c r="BM78" s="92">
        <v>2020</v>
      </c>
      <c r="BN78" s="92">
        <v>2021</v>
      </c>
    </row>
    <row r="79" spans="1:66">
      <c r="A79" s="209" t="s">
        <v>1310</v>
      </c>
      <c r="B79" s="210">
        <f t="shared" ref="B79:V79" si="51">SUM(B80:B110)</f>
        <v>1446.616</v>
      </c>
      <c r="C79" s="210">
        <f t="shared" si="51"/>
        <v>1320.0344</v>
      </c>
      <c r="D79" s="210">
        <f t="shared" si="51"/>
        <v>1193.4528</v>
      </c>
      <c r="E79" s="210">
        <f t="shared" si="51"/>
        <v>1066.8712</v>
      </c>
      <c r="F79" s="210">
        <f t="shared" si="51"/>
        <v>940.2896</v>
      </c>
      <c r="G79" s="210">
        <f t="shared" si="51"/>
        <v>813.708</v>
      </c>
      <c r="H79" s="210">
        <f t="shared" si="51"/>
        <v>687.1264</v>
      </c>
      <c r="I79" s="210">
        <f t="shared" si="51"/>
        <v>560.5448</v>
      </c>
      <c r="J79" s="210">
        <f t="shared" si="51"/>
        <v>433.9632</v>
      </c>
      <c r="K79" s="210">
        <f t="shared" si="51"/>
        <v>307.3816</v>
      </c>
      <c r="L79" s="210">
        <f t="shared" si="51"/>
        <v>180.8</v>
      </c>
      <c r="M79" s="210">
        <f t="shared" si="51"/>
        <v>180.8</v>
      </c>
      <c r="N79" s="210">
        <f t="shared" si="51"/>
        <v>180.8</v>
      </c>
      <c r="O79" s="210">
        <f t="shared" si="51"/>
        <v>180.8</v>
      </c>
      <c r="P79" s="210">
        <f t="shared" si="51"/>
        <v>180.8</v>
      </c>
      <c r="Q79" s="210">
        <f t="shared" si="51"/>
        <v>180.8</v>
      </c>
      <c r="R79" s="210">
        <f t="shared" si="51"/>
        <v>180.8</v>
      </c>
      <c r="S79" s="210">
        <f t="shared" si="51"/>
        <v>180.8</v>
      </c>
      <c r="T79" s="210">
        <f t="shared" si="51"/>
        <v>180.8</v>
      </c>
      <c r="U79" s="210">
        <f t="shared" si="51"/>
        <v>154.8</v>
      </c>
      <c r="V79" s="210">
        <f t="shared" si="51"/>
        <v>154.8</v>
      </c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0"/>
      <c r="AN79" s="210"/>
      <c r="AO79" s="210"/>
      <c r="AP79" s="210"/>
      <c r="AQ79" s="210"/>
      <c r="AR79" s="210"/>
      <c r="AT79" s="210"/>
      <c r="AU79" s="210">
        <f t="shared" ref="AU79:BN79" si="52">SUM(AU80:AU110)</f>
        <v>130.0156</v>
      </c>
      <c r="AV79" s="210">
        <f t="shared" si="52"/>
        <v>130.0156</v>
      </c>
      <c r="AW79" s="210">
        <f t="shared" si="52"/>
        <v>130.0156</v>
      </c>
      <c r="AX79" s="210">
        <f t="shared" si="52"/>
        <v>130.0156</v>
      </c>
      <c r="AY79" s="210">
        <f t="shared" si="52"/>
        <v>130.0156</v>
      </c>
      <c r="AZ79" s="210">
        <f t="shared" si="52"/>
        <v>130.0156</v>
      </c>
      <c r="BA79" s="210">
        <f t="shared" si="52"/>
        <v>130.0156</v>
      </c>
      <c r="BB79" s="210">
        <f t="shared" si="52"/>
        <v>130.0156</v>
      </c>
      <c r="BC79" s="210">
        <f t="shared" si="52"/>
        <v>130.0156</v>
      </c>
      <c r="BD79" s="210">
        <f t="shared" si="52"/>
        <v>130.0156</v>
      </c>
      <c r="BE79" s="210">
        <f t="shared" si="52"/>
        <v>0</v>
      </c>
      <c r="BF79" s="210">
        <f t="shared" si="52"/>
        <v>0</v>
      </c>
      <c r="BG79" s="210">
        <f t="shared" si="52"/>
        <v>0</v>
      </c>
      <c r="BH79" s="210">
        <f t="shared" si="52"/>
        <v>0</v>
      </c>
      <c r="BI79" s="210">
        <f t="shared" si="52"/>
        <v>0</v>
      </c>
      <c r="BJ79" s="210">
        <f t="shared" si="52"/>
        <v>0</v>
      </c>
      <c r="BK79" s="210">
        <f t="shared" si="52"/>
        <v>0</v>
      </c>
      <c r="BL79" s="210">
        <f t="shared" si="52"/>
        <v>0</v>
      </c>
      <c r="BM79" s="210">
        <f t="shared" si="52"/>
        <v>26</v>
      </c>
      <c r="BN79" s="210">
        <f t="shared" si="52"/>
        <v>0</v>
      </c>
    </row>
    <row r="80" spans="1:66">
      <c r="A80" s="214" t="s">
        <v>82</v>
      </c>
      <c r="B80" s="210">
        <f t="shared" ref="B80:B110" si="53">C6</f>
        <v>62.34</v>
      </c>
      <c r="C80" s="210">
        <f t="shared" ref="C80:K80" si="54">B80-($B80-$L80)/10</f>
        <v>58.306</v>
      </c>
      <c r="D80" s="210">
        <f t="shared" si="54"/>
        <v>54.272</v>
      </c>
      <c r="E80" s="210">
        <f t="shared" si="54"/>
        <v>50.238</v>
      </c>
      <c r="F80" s="210">
        <f t="shared" si="54"/>
        <v>46.204</v>
      </c>
      <c r="G80" s="210">
        <f t="shared" si="54"/>
        <v>42.17</v>
      </c>
      <c r="H80" s="210">
        <f t="shared" si="54"/>
        <v>38.136</v>
      </c>
      <c r="I80" s="210">
        <f t="shared" si="54"/>
        <v>34.102</v>
      </c>
      <c r="J80" s="210">
        <f t="shared" si="54"/>
        <v>30.068</v>
      </c>
      <c r="K80" s="210">
        <f t="shared" si="54"/>
        <v>26.034</v>
      </c>
      <c r="L80" s="210">
        <f t="shared" ref="L80:P89" si="55">M80</f>
        <v>22</v>
      </c>
      <c r="M80" s="210">
        <f t="shared" si="55"/>
        <v>22</v>
      </c>
      <c r="N80" s="210">
        <f t="shared" si="55"/>
        <v>22</v>
      </c>
      <c r="O80" s="210">
        <f t="shared" si="55"/>
        <v>22</v>
      </c>
      <c r="P80" s="210">
        <f t="shared" si="55"/>
        <v>22</v>
      </c>
      <c r="Q80" s="210">
        <f>MAX(AM6:$AR6)-Q45</f>
        <v>22</v>
      </c>
      <c r="R80" s="210">
        <f>MAX(AN6:$AR6)-R45</f>
        <v>22</v>
      </c>
      <c r="S80" s="210">
        <f>MAX(AO6:$AR6)-S45</f>
        <v>22</v>
      </c>
      <c r="T80" s="210">
        <f>MAX(AP6:$AR6)-T45</f>
        <v>22</v>
      </c>
      <c r="U80" s="210">
        <f>MAX(AQ6:$AR6)-U45</f>
        <v>22</v>
      </c>
      <c r="V80" s="210">
        <f>MAX(AR6:$AR6)-V45</f>
        <v>22</v>
      </c>
      <c r="X80" s="210"/>
      <c r="Y80" s="210">
        <f t="shared" ref="Y80:Y110" si="56">MAX(C80-B80,0)</f>
        <v>0</v>
      </c>
      <c r="Z80" s="210">
        <f t="shared" ref="Z80:Z110" si="57">MAX(D80-C80,0)</f>
        <v>0</v>
      </c>
      <c r="AA80" s="210">
        <f t="shared" ref="AA80:AA110" si="58">MAX(E80-D80,0)</f>
        <v>0</v>
      </c>
      <c r="AB80" s="210">
        <f t="shared" ref="AB80:AB110" si="59">MAX(F80-E80,0)</f>
        <v>0</v>
      </c>
      <c r="AC80" s="210">
        <f t="shared" ref="AC80:AC110" si="60">MAX(G80-F80,0)</f>
        <v>0</v>
      </c>
      <c r="AD80" s="210">
        <f t="shared" ref="AD80:AD110" si="61">MAX(H80-G80,0)</f>
        <v>0</v>
      </c>
      <c r="AE80" s="210">
        <f t="shared" ref="AE80:AE110" si="62">MAX(I80-H80,0)</f>
        <v>0</v>
      </c>
      <c r="AF80" s="210">
        <f t="shared" ref="AF80:AF110" si="63">MAX(J80-I80,0)</f>
        <v>0</v>
      </c>
      <c r="AG80" s="210">
        <f t="shared" ref="AG80:AG110" si="64">MAX(K80-J80,0)</f>
        <v>0</v>
      </c>
      <c r="AH80" s="210">
        <f t="shared" ref="AH80:AH110" si="65">MAX(L80-K80,0)</f>
        <v>0</v>
      </c>
      <c r="AI80" s="210">
        <f t="shared" ref="AI80:AI110" si="66">MAX(M80-L80,0)</f>
        <v>0</v>
      </c>
      <c r="AJ80" s="210">
        <f t="shared" ref="AJ80:AJ110" si="67">MAX(N80-M80,0)</f>
        <v>0</v>
      </c>
      <c r="AK80" s="210">
        <f t="shared" ref="AK80:AK110" si="68">MAX(O80-N80,0)</f>
        <v>0</v>
      </c>
      <c r="AL80" s="210">
        <f t="shared" ref="AL80:AL110" si="69">MAX(P80-O80,0)</f>
        <v>0</v>
      </c>
      <c r="AM80" s="210">
        <f t="shared" ref="AM80:AM110" si="70">MAX(Q80-P80,0)</f>
        <v>0</v>
      </c>
      <c r="AN80" s="210">
        <f t="shared" ref="AN80:AN110" si="71">MAX(R80-Q80,0)</f>
        <v>0</v>
      </c>
      <c r="AO80" s="210">
        <f t="shared" ref="AO80:AO110" si="72">MAX(S80-R80,0)</f>
        <v>0</v>
      </c>
      <c r="AP80" s="210">
        <f t="shared" ref="AP80:AP110" si="73">MAX(T80-S80,0)</f>
        <v>0</v>
      </c>
      <c r="AQ80" s="210">
        <f t="shared" ref="AQ80:AQ110" si="74">MAX(U80-T80,0)</f>
        <v>0</v>
      </c>
      <c r="AR80" s="210">
        <f t="shared" ref="AR80:AR110" si="75">MAX(V80-U80,0)</f>
        <v>0</v>
      </c>
      <c r="AT80" s="210"/>
      <c r="AU80" s="210">
        <f t="shared" ref="AU80:AU110" si="76">B80-C80+Y80</f>
        <v>4.034</v>
      </c>
      <c r="AV80" s="210">
        <f t="shared" ref="AV80:AV110" si="77">C80-D80+Z80</f>
        <v>4.034</v>
      </c>
      <c r="AW80" s="210">
        <f t="shared" ref="AW80:AW110" si="78">D80-E80+AA80</f>
        <v>4.034</v>
      </c>
      <c r="AX80" s="210">
        <f t="shared" ref="AX80:AX110" si="79">E80-F80+AB80</f>
        <v>4.034</v>
      </c>
      <c r="AY80" s="210">
        <f t="shared" ref="AY80:AY110" si="80">F80-G80+AC80</f>
        <v>4.034</v>
      </c>
      <c r="AZ80" s="210">
        <f t="shared" ref="AZ80:AZ110" si="81">G80-H80+AD80</f>
        <v>4.034</v>
      </c>
      <c r="BA80" s="210">
        <f t="shared" ref="BA80:BA110" si="82">H80-I80+AE80</f>
        <v>4.034</v>
      </c>
      <c r="BB80" s="210">
        <f t="shared" ref="BB80:BB110" si="83">I80-J80+AF80</f>
        <v>4.034</v>
      </c>
      <c r="BC80" s="210">
        <f t="shared" ref="BC80:BC110" si="84">J80-K80+AG80</f>
        <v>4.034</v>
      </c>
      <c r="BD80" s="210">
        <f t="shared" ref="BD80:BD110" si="85">K80-L80+AH80</f>
        <v>4.03400000000001</v>
      </c>
      <c r="BE80" s="210">
        <f t="shared" ref="BE80:BE110" si="86">L80-M80+AI80</f>
        <v>0</v>
      </c>
      <c r="BF80" s="210">
        <f t="shared" ref="BF80:BF110" si="87">M80-N80+AJ80</f>
        <v>0</v>
      </c>
      <c r="BG80" s="210">
        <f t="shared" ref="BG80:BG110" si="88">N80-O80+AK80</f>
        <v>0</v>
      </c>
      <c r="BH80" s="210">
        <f t="shared" ref="BH80:BH110" si="89">O80-P80+AL80</f>
        <v>0</v>
      </c>
      <c r="BI80" s="210">
        <f t="shared" ref="BI80:BI110" si="90">P80-Q80+AM80</f>
        <v>0</v>
      </c>
      <c r="BJ80" s="210">
        <f t="shared" ref="BJ80:BJ110" si="91">Q80-R80+AN80</f>
        <v>0</v>
      </c>
      <c r="BK80" s="210">
        <f t="shared" ref="BK80:BK110" si="92">R80-S80+AO80</f>
        <v>0</v>
      </c>
      <c r="BL80" s="210">
        <f t="shared" ref="BL80:BL110" si="93">S80-T80+AP80</f>
        <v>0</v>
      </c>
      <c r="BM80" s="210">
        <f t="shared" ref="BM80:BM110" si="94">T80-U80+AQ80</f>
        <v>0</v>
      </c>
      <c r="BN80" s="210">
        <f t="shared" ref="BN80:BN110" si="95">U80-V80+AR80</f>
        <v>0</v>
      </c>
    </row>
    <row r="81" spans="1:66">
      <c r="A81" s="209" t="s">
        <v>84</v>
      </c>
      <c r="B81" s="210">
        <f t="shared" si="53"/>
        <v>96.5</v>
      </c>
      <c r="C81" s="210">
        <f t="shared" ref="C81:K81" si="96">B81-($B81-$L81)/10</f>
        <v>88.65</v>
      </c>
      <c r="D81" s="210">
        <f t="shared" si="96"/>
        <v>80.8</v>
      </c>
      <c r="E81" s="210">
        <f t="shared" si="96"/>
        <v>72.95</v>
      </c>
      <c r="F81" s="210">
        <f t="shared" si="96"/>
        <v>65.1</v>
      </c>
      <c r="G81" s="210">
        <f t="shared" si="96"/>
        <v>57.25</v>
      </c>
      <c r="H81" s="210">
        <f t="shared" si="96"/>
        <v>49.4</v>
      </c>
      <c r="I81" s="210">
        <f t="shared" si="96"/>
        <v>41.55</v>
      </c>
      <c r="J81" s="210">
        <f t="shared" si="96"/>
        <v>33.7</v>
      </c>
      <c r="K81" s="210">
        <f t="shared" si="96"/>
        <v>25.85</v>
      </c>
      <c r="L81" s="210">
        <f t="shared" si="55"/>
        <v>18</v>
      </c>
      <c r="M81" s="210">
        <f t="shared" si="55"/>
        <v>18</v>
      </c>
      <c r="N81" s="210">
        <f t="shared" si="55"/>
        <v>18</v>
      </c>
      <c r="O81" s="210">
        <f t="shared" si="55"/>
        <v>18</v>
      </c>
      <c r="P81" s="210">
        <f t="shared" si="55"/>
        <v>18</v>
      </c>
      <c r="Q81" s="210">
        <f>MAX(AM7:$AR7)-Q46</f>
        <v>18</v>
      </c>
      <c r="R81" s="210">
        <f>MAX(AN7:$AR7)-R46</f>
        <v>18</v>
      </c>
      <c r="S81" s="210">
        <f>MAX(AO7:$AR7)-S46</f>
        <v>18</v>
      </c>
      <c r="T81" s="210">
        <f>MAX(AP7:$AR7)-T46</f>
        <v>18</v>
      </c>
      <c r="U81" s="210">
        <f>MAX(AQ7:$AR7)-U46</f>
        <v>18</v>
      </c>
      <c r="V81" s="210">
        <f>MAX(AR7:$AR7)-V46</f>
        <v>18</v>
      </c>
      <c r="X81" s="210"/>
      <c r="Y81" s="210">
        <f t="shared" si="56"/>
        <v>0</v>
      </c>
      <c r="Z81" s="210">
        <f t="shared" si="57"/>
        <v>0</v>
      </c>
      <c r="AA81" s="210">
        <f t="shared" si="58"/>
        <v>0</v>
      </c>
      <c r="AB81" s="210">
        <f t="shared" si="59"/>
        <v>0</v>
      </c>
      <c r="AC81" s="210">
        <f t="shared" si="60"/>
        <v>0</v>
      </c>
      <c r="AD81" s="210">
        <f t="shared" si="61"/>
        <v>0</v>
      </c>
      <c r="AE81" s="210">
        <f t="shared" si="62"/>
        <v>0</v>
      </c>
      <c r="AF81" s="210">
        <f t="shared" si="63"/>
        <v>0</v>
      </c>
      <c r="AG81" s="210">
        <f t="shared" si="64"/>
        <v>0</v>
      </c>
      <c r="AH81" s="210">
        <f t="shared" si="65"/>
        <v>0</v>
      </c>
      <c r="AI81" s="210">
        <f t="shared" si="66"/>
        <v>0</v>
      </c>
      <c r="AJ81" s="210">
        <f t="shared" si="67"/>
        <v>0</v>
      </c>
      <c r="AK81" s="210">
        <f t="shared" si="68"/>
        <v>0</v>
      </c>
      <c r="AL81" s="210">
        <f t="shared" si="69"/>
        <v>0</v>
      </c>
      <c r="AM81" s="210">
        <f t="shared" si="70"/>
        <v>0</v>
      </c>
      <c r="AN81" s="210">
        <f t="shared" si="71"/>
        <v>0</v>
      </c>
      <c r="AO81" s="210">
        <f t="shared" si="72"/>
        <v>0</v>
      </c>
      <c r="AP81" s="210">
        <f t="shared" si="73"/>
        <v>0</v>
      </c>
      <c r="AQ81" s="210">
        <f t="shared" si="74"/>
        <v>0</v>
      </c>
      <c r="AR81" s="210">
        <f t="shared" si="75"/>
        <v>0</v>
      </c>
      <c r="AT81" s="210"/>
      <c r="AU81" s="210">
        <f t="shared" si="76"/>
        <v>7.84999999999999</v>
      </c>
      <c r="AV81" s="210">
        <f t="shared" si="77"/>
        <v>7.84999999999999</v>
      </c>
      <c r="AW81" s="210">
        <f t="shared" si="78"/>
        <v>7.84999999999999</v>
      </c>
      <c r="AX81" s="210">
        <f t="shared" si="79"/>
        <v>7.84999999999999</v>
      </c>
      <c r="AY81" s="210">
        <f t="shared" si="80"/>
        <v>7.85</v>
      </c>
      <c r="AZ81" s="210">
        <f t="shared" si="81"/>
        <v>7.85</v>
      </c>
      <c r="BA81" s="210">
        <f t="shared" si="82"/>
        <v>7.85</v>
      </c>
      <c r="BB81" s="210">
        <f t="shared" si="83"/>
        <v>7.85</v>
      </c>
      <c r="BC81" s="210">
        <f t="shared" si="84"/>
        <v>7.85</v>
      </c>
      <c r="BD81" s="210">
        <f t="shared" si="85"/>
        <v>7.85000000000002</v>
      </c>
      <c r="BE81" s="210">
        <f t="shared" si="86"/>
        <v>0</v>
      </c>
      <c r="BF81" s="210">
        <f t="shared" si="87"/>
        <v>0</v>
      </c>
      <c r="BG81" s="210">
        <f t="shared" si="88"/>
        <v>0</v>
      </c>
      <c r="BH81" s="210">
        <f t="shared" si="89"/>
        <v>0</v>
      </c>
      <c r="BI81" s="210">
        <f t="shared" si="90"/>
        <v>0</v>
      </c>
      <c r="BJ81" s="210">
        <f t="shared" si="91"/>
        <v>0</v>
      </c>
      <c r="BK81" s="210">
        <f t="shared" si="92"/>
        <v>0</v>
      </c>
      <c r="BL81" s="210">
        <f t="shared" si="93"/>
        <v>0</v>
      </c>
      <c r="BM81" s="210">
        <f t="shared" si="94"/>
        <v>0</v>
      </c>
      <c r="BN81" s="210">
        <f t="shared" si="95"/>
        <v>0</v>
      </c>
    </row>
    <row r="82" spans="1:66">
      <c r="A82" s="209" t="s">
        <v>86</v>
      </c>
      <c r="B82" s="210">
        <f t="shared" si="53"/>
        <v>0.9</v>
      </c>
      <c r="C82" s="210">
        <f t="shared" ref="C82:K82" si="97">B82-($B82-$L82)/10</f>
        <v>0.81</v>
      </c>
      <c r="D82" s="210">
        <f t="shared" si="97"/>
        <v>0.72</v>
      </c>
      <c r="E82" s="210">
        <f t="shared" si="97"/>
        <v>0.63</v>
      </c>
      <c r="F82" s="210">
        <f t="shared" si="97"/>
        <v>0.54</v>
      </c>
      <c r="G82" s="210">
        <f t="shared" si="97"/>
        <v>0.45</v>
      </c>
      <c r="H82" s="210">
        <f t="shared" si="97"/>
        <v>0.36</v>
      </c>
      <c r="I82" s="210">
        <f t="shared" si="97"/>
        <v>0.27</v>
      </c>
      <c r="J82" s="210">
        <f t="shared" si="97"/>
        <v>0.18</v>
      </c>
      <c r="K82" s="210">
        <f t="shared" si="97"/>
        <v>0.0900000000000002</v>
      </c>
      <c r="L82" s="210">
        <f t="shared" si="55"/>
        <v>0</v>
      </c>
      <c r="M82" s="210">
        <f t="shared" si="55"/>
        <v>0</v>
      </c>
      <c r="N82" s="210">
        <f t="shared" si="55"/>
        <v>0</v>
      </c>
      <c r="O82" s="210">
        <f t="shared" si="55"/>
        <v>0</v>
      </c>
      <c r="P82" s="210">
        <f t="shared" si="55"/>
        <v>0</v>
      </c>
      <c r="Q82" s="210">
        <f>MAX(AM8:$AR8)-Q47</f>
        <v>0</v>
      </c>
      <c r="R82" s="210">
        <f>MAX(AN8:$AR8)-R47</f>
        <v>0</v>
      </c>
      <c r="S82" s="210">
        <f>MAX(AO8:$AR8)-S47</f>
        <v>0</v>
      </c>
      <c r="T82" s="210">
        <f>MAX(AP8:$AR8)-T47</f>
        <v>0</v>
      </c>
      <c r="U82" s="210">
        <f>MAX(AQ8:$AR8)-U47</f>
        <v>0</v>
      </c>
      <c r="V82" s="210">
        <f>MAX(AR8:$AR8)-V47</f>
        <v>0</v>
      </c>
      <c r="X82" s="210"/>
      <c r="Y82" s="210">
        <f t="shared" si="56"/>
        <v>0</v>
      </c>
      <c r="Z82" s="210">
        <f t="shared" si="57"/>
        <v>0</v>
      </c>
      <c r="AA82" s="210">
        <f t="shared" si="58"/>
        <v>0</v>
      </c>
      <c r="AB82" s="210">
        <f t="shared" si="59"/>
        <v>0</v>
      </c>
      <c r="AC82" s="210">
        <f t="shared" si="60"/>
        <v>0</v>
      </c>
      <c r="AD82" s="210">
        <f t="shared" si="61"/>
        <v>0</v>
      </c>
      <c r="AE82" s="210">
        <f t="shared" si="62"/>
        <v>0</v>
      </c>
      <c r="AF82" s="210">
        <f t="shared" si="63"/>
        <v>0</v>
      </c>
      <c r="AG82" s="210">
        <f t="shared" si="64"/>
        <v>0</v>
      </c>
      <c r="AH82" s="210">
        <f t="shared" si="65"/>
        <v>0</v>
      </c>
      <c r="AI82" s="210">
        <f t="shared" si="66"/>
        <v>0</v>
      </c>
      <c r="AJ82" s="210">
        <f t="shared" si="67"/>
        <v>0</v>
      </c>
      <c r="AK82" s="210">
        <f t="shared" si="68"/>
        <v>0</v>
      </c>
      <c r="AL82" s="210">
        <f t="shared" si="69"/>
        <v>0</v>
      </c>
      <c r="AM82" s="210">
        <f t="shared" si="70"/>
        <v>0</v>
      </c>
      <c r="AN82" s="210">
        <f t="shared" si="71"/>
        <v>0</v>
      </c>
      <c r="AO82" s="210">
        <f t="shared" si="72"/>
        <v>0</v>
      </c>
      <c r="AP82" s="210">
        <f t="shared" si="73"/>
        <v>0</v>
      </c>
      <c r="AQ82" s="210">
        <f t="shared" si="74"/>
        <v>0</v>
      </c>
      <c r="AR82" s="210">
        <f t="shared" si="75"/>
        <v>0</v>
      </c>
      <c r="AT82" s="210"/>
      <c r="AU82" s="210">
        <f t="shared" si="76"/>
        <v>0.09</v>
      </c>
      <c r="AV82" s="210">
        <f t="shared" si="77"/>
        <v>0.09</v>
      </c>
      <c r="AW82" s="210">
        <f t="shared" si="78"/>
        <v>0.09</v>
      </c>
      <c r="AX82" s="210">
        <f t="shared" si="79"/>
        <v>0.09</v>
      </c>
      <c r="AY82" s="210">
        <f t="shared" si="80"/>
        <v>0.09</v>
      </c>
      <c r="AZ82" s="210">
        <f t="shared" si="81"/>
        <v>0.09</v>
      </c>
      <c r="BA82" s="210">
        <f t="shared" si="82"/>
        <v>0.09</v>
      </c>
      <c r="BB82" s="210">
        <f t="shared" si="83"/>
        <v>0.09</v>
      </c>
      <c r="BC82" s="210">
        <f t="shared" si="84"/>
        <v>0.09</v>
      </c>
      <c r="BD82" s="210">
        <f t="shared" si="85"/>
        <v>0.0900000000000002</v>
      </c>
      <c r="BE82" s="210">
        <f t="shared" si="86"/>
        <v>0</v>
      </c>
      <c r="BF82" s="210">
        <f t="shared" si="87"/>
        <v>0</v>
      </c>
      <c r="BG82" s="210">
        <f t="shared" si="88"/>
        <v>0</v>
      </c>
      <c r="BH82" s="210">
        <f t="shared" si="89"/>
        <v>0</v>
      </c>
      <c r="BI82" s="210">
        <f t="shared" si="90"/>
        <v>0</v>
      </c>
      <c r="BJ82" s="210">
        <f t="shared" si="91"/>
        <v>0</v>
      </c>
      <c r="BK82" s="210">
        <f t="shared" si="92"/>
        <v>0</v>
      </c>
      <c r="BL82" s="210">
        <f t="shared" si="93"/>
        <v>0</v>
      </c>
      <c r="BM82" s="210">
        <f t="shared" si="94"/>
        <v>0</v>
      </c>
      <c r="BN82" s="210">
        <f t="shared" si="95"/>
        <v>0</v>
      </c>
    </row>
    <row r="83" spans="1:66">
      <c r="A83" s="209" t="s">
        <v>88</v>
      </c>
      <c r="B83" s="210">
        <f t="shared" si="53"/>
        <v>0</v>
      </c>
      <c r="C83" s="210">
        <f t="shared" ref="C83:K83" si="98">B83-($B83-$L83)/10</f>
        <v>0</v>
      </c>
      <c r="D83" s="210">
        <f t="shared" si="98"/>
        <v>0</v>
      </c>
      <c r="E83" s="210">
        <f t="shared" si="98"/>
        <v>0</v>
      </c>
      <c r="F83" s="210">
        <f t="shared" si="98"/>
        <v>0</v>
      </c>
      <c r="G83" s="210">
        <f t="shared" si="98"/>
        <v>0</v>
      </c>
      <c r="H83" s="210">
        <f t="shared" si="98"/>
        <v>0</v>
      </c>
      <c r="I83" s="210">
        <f t="shared" si="98"/>
        <v>0</v>
      </c>
      <c r="J83" s="210">
        <f t="shared" si="98"/>
        <v>0</v>
      </c>
      <c r="K83" s="210">
        <f t="shared" si="98"/>
        <v>0</v>
      </c>
      <c r="L83" s="210">
        <f t="shared" si="55"/>
        <v>0</v>
      </c>
      <c r="M83" s="210">
        <f t="shared" si="55"/>
        <v>0</v>
      </c>
      <c r="N83" s="210">
        <f t="shared" si="55"/>
        <v>0</v>
      </c>
      <c r="O83" s="210">
        <f t="shared" si="55"/>
        <v>0</v>
      </c>
      <c r="P83" s="210">
        <f t="shared" si="55"/>
        <v>0</v>
      </c>
      <c r="Q83" s="210">
        <f>MAX(AM9:$AR9)-Q48</f>
        <v>0</v>
      </c>
      <c r="R83" s="210">
        <f>MAX(AN9:$AR9)-R48</f>
        <v>0</v>
      </c>
      <c r="S83" s="210">
        <f>MAX(AO9:$AR9)-S48</f>
        <v>0</v>
      </c>
      <c r="T83" s="210">
        <f>MAX(AP9:$AR9)-T48</f>
        <v>0</v>
      </c>
      <c r="U83" s="210">
        <f>MAX(AQ9:$AR9)-U48</f>
        <v>0</v>
      </c>
      <c r="V83" s="210">
        <f>MAX(AR9:$AR9)-V48</f>
        <v>0</v>
      </c>
      <c r="X83" s="210"/>
      <c r="Y83" s="210">
        <f t="shared" si="56"/>
        <v>0</v>
      </c>
      <c r="Z83" s="210">
        <f t="shared" si="57"/>
        <v>0</v>
      </c>
      <c r="AA83" s="210">
        <f t="shared" si="58"/>
        <v>0</v>
      </c>
      <c r="AB83" s="210">
        <f t="shared" si="59"/>
        <v>0</v>
      </c>
      <c r="AC83" s="210">
        <f t="shared" si="60"/>
        <v>0</v>
      </c>
      <c r="AD83" s="210">
        <f t="shared" si="61"/>
        <v>0</v>
      </c>
      <c r="AE83" s="210">
        <f t="shared" si="62"/>
        <v>0</v>
      </c>
      <c r="AF83" s="210">
        <f t="shared" si="63"/>
        <v>0</v>
      </c>
      <c r="AG83" s="210">
        <f t="shared" si="64"/>
        <v>0</v>
      </c>
      <c r="AH83" s="210">
        <f t="shared" si="65"/>
        <v>0</v>
      </c>
      <c r="AI83" s="210">
        <f t="shared" si="66"/>
        <v>0</v>
      </c>
      <c r="AJ83" s="210">
        <f t="shared" si="67"/>
        <v>0</v>
      </c>
      <c r="AK83" s="210">
        <f t="shared" si="68"/>
        <v>0</v>
      </c>
      <c r="AL83" s="210">
        <f t="shared" si="69"/>
        <v>0</v>
      </c>
      <c r="AM83" s="210">
        <f t="shared" si="70"/>
        <v>0</v>
      </c>
      <c r="AN83" s="210">
        <f t="shared" si="71"/>
        <v>0</v>
      </c>
      <c r="AO83" s="210">
        <f t="shared" si="72"/>
        <v>0</v>
      </c>
      <c r="AP83" s="210">
        <f t="shared" si="73"/>
        <v>0</v>
      </c>
      <c r="AQ83" s="210">
        <f t="shared" si="74"/>
        <v>0</v>
      </c>
      <c r="AR83" s="210">
        <f t="shared" si="75"/>
        <v>0</v>
      </c>
      <c r="AT83" s="210"/>
      <c r="AU83" s="210">
        <f t="shared" si="76"/>
        <v>0</v>
      </c>
      <c r="AV83" s="210">
        <f t="shared" si="77"/>
        <v>0</v>
      </c>
      <c r="AW83" s="210">
        <f t="shared" si="78"/>
        <v>0</v>
      </c>
      <c r="AX83" s="210">
        <f t="shared" si="79"/>
        <v>0</v>
      </c>
      <c r="AY83" s="210">
        <f t="shared" si="80"/>
        <v>0</v>
      </c>
      <c r="AZ83" s="210">
        <f t="shared" si="81"/>
        <v>0</v>
      </c>
      <c r="BA83" s="210">
        <f t="shared" si="82"/>
        <v>0</v>
      </c>
      <c r="BB83" s="210">
        <f t="shared" si="83"/>
        <v>0</v>
      </c>
      <c r="BC83" s="210">
        <f t="shared" si="84"/>
        <v>0</v>
      </c>
      <c r="BD83" s="210">
        <f t="shared" si="85"/>
        <v>0</v>
      </c>
      <c r="BE83" s="210">
        <f t="shared" si="86"/>
        <v>0</v>
      </c>
      <c r="BF83" s="210">
        <f t="shared" si="87"/>
        <v>0</v>
      </c>
      <c r="BG83" s="210">
        <f t="shared" si="88"/>
        <v>0</v>
      </c>
      <c r="BH83" s="210">
        <f t="shared" si="89"/>
        <v>0</v>
      </c>
      <c r="BI83" s="210">
        <f t="shared" si="90"/>
        <v>0</v>
      </c>
      <c r="BJ83" s="210">
        <f t="shared" si="91"/>
        <v>0</v>
      </c>
      <c r="BK83" s="210">
        <f t="shared" si="92"/>
        <v>0</v>
      </c>
      <c r="BL83" s="210">
        <f t="shared" si="93"/>
        <v>0</v>
      </c>
      <c r="BM83" s="210">
        <f t="shared" si="94"/>
        <v>0</v>
      </c>
      <c r="BN83" s="210">
        <f t="shared" si="95"/>
        <v>0</v>
      </c>
    </row>
    <row r="84" spans="1:66">
      <c r="A84" s="209" t="s">
        <v>208</v>
      </c>
      <c r="B84" s="210">
        <f t="shared" si="53"/>
        <v>0</v>
      </c>
      <c r="C84" s="210">
        <f t="shared" ref="C84:K84" si="99">B84-($B84-$L84)/10</f>
        <v>0</v>
      </c>
      <c r="D84" s="210">
        <f t="shared" si="99"/>
        <v>0</v>
      </c>
      <c r="E84" s="210">
        <f t="shared" si="99"/>
        <v>0</v>
      </c>
      <c r="F84" s="210">
        <f t="shared" si="99"/>
        <v>0</v>
      </c>
      <c r="G84" s="210">
        <f t="shared" si="99"/>
        <v>0</v>
      </c>
      <c r="H84" s="210">
        <f t="shared" si="99"/>
        <v>0</v>
      </c>
      <c r="I84" s="210">
        <f t="shared" si="99"/>
        <v>0</v>
      </c>
      <c r="J84" s="210">
        <f t="shared" si="99"/>
        <v>0</v>
      </c>
      <c r="K84" s="210">
        <f t="shared" si="99"/>
        <v>0</v>
      </c>
      <c r="L84" s="210">
        <f t="shared" si="55"/>
        <v>0</v>
      </c>
      <c r="M84" s="210">
        <f t="shared" si="55"/>
        <v>0</v>
      </c>
      <c r="N84" s="210">
        <f t="shared" si="55"/>
        <v>0</v>
      </c>
      <c r="O84" s="210">
        <f t="shared" si="55"/>
        <v>0</v>
      </c>
      <c r="P84" s="210">
        <f t="shared" si="55"/>
        <v>0</v>
      </c>
      <c r="Q84" s="210">
        <f>MAX(AM10:$AR10)-Q49</f>
        <v>0</v>
      </c>
      <c r="R84" s="210">
        <f>MAX(AN10:$AR10)-R49</f>
        <v>0</v>
      </c>
      <c r="S84" s="210">
        <f>MAX(AO10:$AR10)-S49</f>
        <v>0</v>
      </c>
      <c r="T84" s="210">
        <f>MAX(AP10:$AR10)-T49</f>
        <v>0</v>
      </c>
      <c r="U84" s="210">
        <f>MAX(AQ10:$AR10)-U49</f>
        <v>0</v>
      </c>
      <c r="V84" s="210">
        <f>MAX(AR10:$AR10)-V49</f>
        <v>0</v>
      </c>
      <c r="X84" s="210"/>
      <c r="Y84" s="210">
        <f t="shared" si="56"/>
        <v>0</v>
      </c>
      <c r="Z84" s="210">
        <f t="shared" si="57"/>
        <v>0</v>
      </c>
      <c r="AA84" s="210">
        <f t="shared" si="58"/>
        <v>0</v>
      </c>
      <c r="AB84" s="210">
        <f t="shared" si="59"/>
        <v>0</v>
      </c>
      <c r="AC84" s="210">
        <f t="shared" si="60"/>
        <v>0</v>
      </c>
      <c r="AD84" s="210">
        <f t="shared" si="61"/>
        <v>0</v>
      </c>
      <c r="AE84" s="210">
        <f t="shared" si="62"/>
        <v>0</v>
      </c>
      <c r="AF84" s="210">
        <f t="shared" si="63"/>
        <v>0</v>
      </c>
      <c r="AG84" s="210">
        <f t="shared" si="64"/>
        <v>0</v>
      </c>
      <c r="AH84" s="210">
        <f t="shared" si="65"/>
        <v>0</v>
      </c>
      <c r="AI84" s="210">
        <f t="shared" si="66"/>
        <v>0</v>
      </c>
      <c r="AJ84" s="210">
        <f t="shared" si="67"/>
        <v>0</v>
      </c>
      <c r="AK84" s="210">
        <f t="shared" si="68"/>
        <v>0</v>
      </c>
      <c r="AL84" s="210">
        <f t="shared" si="69"/>
        <v>0</v>
      </c>
      <c r="AM84" s="210">
        <f t="shared" si="70"/>
        <v>0</v>
      </c>
      <c r="AN84" s="210">
        <f t="shared" si="71"/>
        <v>0</v>
      </c>
      <c r="AO84" s="210">
        <f t="shared" si="72"/>
        <v>0</v>
      </c>
      <c r="AP84" s="210">
        <f t="shared" si="73"/>
        <v>0</v>
      </c>
      <c r="AQ84" s="210">
        <f t="shared" si="74"/>
        <v>0</v>
      </c>
      <c r="AR84" s="210">
        <f t="shared" si="75"/>
        <v>0</v>
      </c>
      <c r="AT84" s="210"/>
      <c r="AU84" s="210">
        <f t="shared" si="76"/>
        <v>0</v>
      </c>
      <c r="AV84" s="210">
        <f t="shared" si="77"/>
        <v>0</v>
      </c>
      <c r="AW84" s="210">
        <f t="shared" si="78"/>
        <v>0</v>
      </c>
      <c r="AX84" s="210">
        <f t="shared" si="79"/>
        <v>0</v>
      </c>
      <c r="AY84" s="210">
        <f t="shared" si="80"/>
        <v>0</v>
      </c>
      <c r="AZ84" s="210">
        <f t="shared" si="81"/>
        <v>0</v>
      </c>
      <c r="BA84" s="210">
        <f t="shared" si="82"/>
        <v>0</v>
      </c>
      <c r="BB84" s="210">
        <f t="shared" si="83"/>
        <v>0</v>
      </c>
      <c r="BC84" s="210">
        <f t="shared" si="84"/>
        <v>0</v>
      </c>
      <c r="BD84" s="210">
        <f t="shared" si="85"/>
        <v>0</v>
      </c>
      <c r="BE84" s="210">
        <f t="shared" si="86"/>
        <v>0</v>
      </c>
      <c r="BF84" s="210">
        <f t="shared" si="87"/>
        <v>0</v>
      </c>
      <c r="BG84" s="210">
        <f t="shared" si="88"/>
        <v>0</v>
      </c>
      <c r="BH84" s="210">
        <f t="shared" si="89"/>
        <v>0</v>
      </c>
      <c r="BI84" s="210">
        <f t="shared" si="90"/>
        <v>0</v>
      </c>
      <c r="BJ84" s="210">
        <f t="shared" si="91"/>
        <v>0</v>
      </c>
      <c r="BK84" s="210">
        <f t="shared" si="92"/>
        <v>0</v>
      </c>
      <c r="BL84" s="210">
        <f t="shared" si="93"/>
        <v>0</v>
      </c>
      <c r="BM84" s="210">
        <f t="shared" si="94"/>
        <v>0</v>
      </c>
      <c r="BN84" s="210">
        <f t="shared" si="95"/>
        <v>0</v>
      </c>
    </row>
    <row r="85" spans="1:66">
      <c r="A85" s="209" t="s">
        <v>92</v>
      </c>
      <c r="B85" s="210">
        <f t="shared" si="53"/>
        <v>74.73</v>
      </c>
      <c r="C85" s="210">
        <f t="shared" ref="C85:K85" si="100">B85-($B85-$L85)/10</f>
        <v>68.757</v>
      </c>
      <c r="D85" s="210">
        <f t="shared" si="100"/>
        <v>62.784</v>
      </c>
      <c r="E85" s="210">
        <f t="shared" si="100"/>
        <v>56.811</v>
      </c>
      <c r="F85" s="210">
        <f t="shared" si="100"/>
        <v>50.838</v>
      </c>
      <c r="G85" s="210">
        <f t="shared" si="100"/>
        <v>44.865</v>
      </c>
      <c r="H85" s="210">
        <f t="shared" si="100"/>
        <v>38.892</v>
      </c>
      <c r="I85" s="210">
        <f t="shared" si="100"/>
        <v>32.919</v>
      </c>
      <c r="J85" s="210">
        <f t="shared" si="100"/>
        <v>26.946</v>
      </c>
      <c r="K85" s="210">
        <f t="shared" si="100"/>
        <v>20.973</v>
      </c>
      <c r="L85" s="210">
        <f t="shared" si="55"/>
        <v>15</v>
      </c>
      <c r="M85" s="210">
        <f t="shared" si="55"/>
        <v>15</v>
      </c>
      <c r="N85" s="210">
        <f t="shared" si="55"/>
        <v>15</v>
      </c>
      <c r="O85" s="210">
        <f t="shared" si="55"/>
        <v>15</v>
      </c>
      <c r="P85" s="210">
        <f t="shared" si="55"/>
        <v>15</v>
      </c>
      <c r="Q85" s="210">
        <f>MAX(AM11:$AR11)-Q50</f>
        <v>15</v>
      </c>
      <c r="R85" s="210">
        <f>MAX(AN11:$AR11)-R50</f>
        <v>15</v>
      </c>
      <c r="S85" s="210">
        <f>MAX(AO11:$AR11)-S50</f>
        <v>15</v>
      </c>
      <c r="T85" s="210">
        <f>MAX(AP11:$AR11)-T50</f>
        <v>15</v>
      </c>
      <c r="U85" s="210">
        <f>MAX(AQ11:$AR11)-U50</f>
        <v>15</v>
      </c>
      <c r="V85" s="210">
        <f>MAX(AR11:$AR11)-V50</f>
        <v>15</v>
      </c>
      <c r="X85" s="210"/>
      <c r="Y85" s="210">
        <f t="shared" si="56"/>
        <v>0</v>
      </c>
      <c r="Z85" s="210">
        <f t="shared" si="57"/>
        <v>0</v>
      </c>
      <c r="AA85" s="210">
        <f t="shared" si="58"/>
        <v>0</v>
      </c>
      <c r="AB85" s="210">
        <f t="shared" si="59"/>
        <v>0</v>
      </c>
      <c r="AC85" s="210">
        <f t="shared" si="60"/>
        <v>0</v>
      </c>
      <c r="AD85" s="210">
        <f t="shared" si="61"/>
        <v>0</v>
      </c>
      <c r="AE85" s="210">
        <f t="shared" si="62"/>
        <v>0</v>
      </c>
      <c r="AF85" s="210">
        <f t="shared" si="63"/>
        <v>0</v>
      </c>
      <c r="AG85" s="210">
        <f t="shared" si="64"/>
        <v>0</v>
      </c>
      <c r="AH85" s="210">
        <f t="shared" si="65"/>
        <v>0</v>
      </c>
      <c r="AI85" s="210">
        <f t="shared" si="66"/>
        <v>0</v>
      </c>
      <c r="AJ85" s="210">
        <f t="shared" si="67"/>
        <v>0</v>
      </c>
      <c r="AK85" s="210">
        <f t="shared" si="68"/>
        <v>0</v>
      </c>
      <c r="AL85" s="210">
        <f t="shared" si="69"/>
        <v>0</v>
      </c>
      <c r="AM85" s="210">
        <f t="shared" si="70"/>
        <v>0</v>
      </c>
      <c r="AN85" s="210">
        <f t="shared" si="71"/>
        <v>0</v>
      </c>
      <c r="AO85" s="210">
        <f t="shared" si="72"/>
        <v>0</v>
      </c>
      <c r="AP85" s="210">
        <f t="shared" si="73"/>
        <v>0</v>
      </c>
      <c r="AQ85" s="210">
        <f t="shared" si="74"/>
        <v>0</v>
      </c>
      <c r="AR85" s="210">
        <f t="shared" si="75"/>
        <v>0</v>
      </c>
      <c r="AT85" s="210"/>
      <c r="AU85" s="210">
        <f t="shared" si="76"/>
        <v>5.973</v>
      </c>
      <c r="AV85" s="210">
        <f t="shared" si="77"/>
        <v>5.973</v>
      </c>
      <c r="AW85" s="210">
        <f t="shared" si="78"/>
        <v>5.973</v>
      </c>
      <c r="AX85" s="210">
        <f t="shared" si="79"/>
        <v>5.973</v>
      </c>
      <c r="AY85" s="210">
        <f t="shared" si="80"/>
        <v>5.973</v>
      </c>
      <c r="AZ85" s="210">
        <f t="shared" si="81"/>
        <v>5.973</v>
      </c>
      <c r="BA85" s="210">
        <f t="shared" si="82"/>
        <v>5.973</v>
      </c>
      <c r="BB85" s="210">
        <f t="shared" si="83"/>
        <v>5.973</v>
      </c>
      <c r="BC85" s="210">
        <f t="shared" si="84"/>
        <v>5.973</v>
      </c>
      <c r="BD85" s="210">
        <f t="shared" si="85"/>
        <v>5.97300000000001</v>
      </c>
      <c r="BE85" s="210">
        <f t="shared" si="86"/>
        <v>0</v>
      </c>
      <c r="BF85" s="210">
        <f t="shared" si="87"/>
        <v>0</v>
      </c>
      <c r="BG85" s="210">
        <f t="shared" si="88"/>
        <v>0</v>
      </c>
      <c r="BH85" s="210">
        <f t="shared" si="89"/>
        <v>0</v>
      </c>
      <c r="BI85" s="210">
        <f t="shared" si="90"/>
        <v>0</v>
      </c>
      <c r="BJ85" s="210">
        <f t="shared" si="91"/>
        <v>0</v>
      </c>
      <c r="BK85" s="210">
        <f t="shared" si="92"/>
        <v>0</v>
      </c>
      <c r="BL85" s="210">
        <f t="shared" si="93"/>
        <v>0</v>
      </c>
      <c r="BM85" s="210">
        <f t="shared" si="94"/>
        <v>0</v>
      </c>
      <c r="BN85" s="210">
        <f t="shared" si="95"/>
        <v>0</v>
      </c>
    </row>
    <row r="86" spans="1:66">
      <c r="A86" s="209" t="s">
        <v>94</v>
      </c>
      <c r="B86" s="210">
        <f t="shared" si="53"/>
        <v>0</v>
      </c>
      <c r="C86" s="210">
        <f t="shared" ref="C86:K86" si="101">B86-($B86-$L86)/10</f>
        <v>0</v>
      </c>
      <c r="D86" s="210">
        <f t="shared" si="101"/>
        <v>0</v>
      </c>
      <c r="E86" s="210">
        <f t="shared" si="101"/>
        <v>0</v>
      </c>
      <c r="F86" s="210">
        <f t="shared" si="101"/>
        <v>0</v>
      </c>
      <c r="G86" s="210">
        <f t="shared" si="101"/>
        <v>0</v>
      </c>
      <c r="H86" s="210">
        <f t="shared" si="101"/>
        <v>0</v>
      </c>
      <c r="I86" s="210">
        <f t="shared" si="101"/>
        <v>0</v>
      </c>
      <c r="J86" s="210">
        <f t="shared" si="101"/>
        <v>0</v>
      </c>
      <c r="K86" s="210">
        <f t="shared" si="101"/>
        <v>0</v>
      </c>
      <c r="L86" s="210">
        <f t="shared" si="55"/>
        <v>0</v>
      </c>
      <c r="M86" s="210">
        <f t="shared" si="55"/>
        <v>0</v>
      </c>
      <c r="N86" s="210">
        <f t="shared" si="55"/>
        <v>0</v>
      </c>
      <c r="O86" s="210">
        <f t="shared" si="55"/>
        <v>0</v>
      </c>
      <c r="P86" s="210">
        <f t="shared" si="55"/>
        <v>0</v>
      </c>
      <c r="Q86" s="210">
        <f>MAX(AM12:$AR12)-Q51</f>
        <v>0</v>
      </c>
      <c r="R86" s="210">
        <f>MAX(AN12:$AR12)-R51</f>
        <v>0</v>
      </c>
      <c r="S86" s="210">
        <f>MAX(AO12:$AR12)-S51</f>
        <v>0</v>
      </c>
      <c r="T86" s="210">
        <f>MAX(AP12:$AR12)-T51</f>
        <v>0</v>
      </c>
      <c r="U86" s="210">
        <f>MAX(AQ12:$AR12)-U51</f>
        <v>0</v>
      </c>
      <c r="V86" s="210">
        <f>MAX(AR12:$AR12)-V51</f>
        <v>0</v>
      </c>
      <c r="X86" s="210"/>
      <c r="Y86" s="210">
        <f t="shared" si="56"/>
        <v>0</v>
      </c>
      <c r="Z86" s="210">
        <f t="shared" si="57"/>
        <v>0</v>
      </c>
      <c r="AA86" s="210">
        <f t="shared" si="58"/>
        <v>0</v>
      </c>
      <c r="AB86" s="210">
        <f t="shared" si="59"/>
        <v>0</v>
      </c>
      <c r="AC86" s="210">
        <f t="shared" si="60"/>
        <v>0</v>
      </c>
      <c r="AD86" s="210">
        <f t="shared" si="61"/>
        <v>0</v>
      </c>
      <c r="AE86" s="210">
        <f t="shared" si="62"/>
        <v>0</v>
      </c>
      <c r="AF86" s="210">
        <f t="shared" si="63"/>
        <v>0</v>
      </c>
      <c r="AG86" s="210">
        <f t="shared" si="64"/>
        <v>0</v>
      </c>
      <c r="AH86" s="210">
        <f t="shared" si="65"/>
        <v>0</v>
      </c>
      <c r="AI86" s="210">
        <f t="shared" si="66"/>
        <v>0</v>
      </c>
      <c r="AJ86" s="210">
        <f t="shared" si="67"/>
        <v>0</v>
      </c>
      <c r="AK86" s="210">
        <f t="shared" si="68"/>
        <v>0</v>
      </c>
      <c r="AL86" s="210">
        <f t="shared" si="69"/>
        <v>0</v>
      </c>
      <c r="AM86" s="210">
        <f t="shared" si="70"/>
        <v>0</v>
      </c>
      <c r="AN86" s="210">
        <f t="shared" si="71"/>
        <v>0</v>
      </c>
      <c r="AO86" s="210">
        <f t="shared" si="72"/>
        <v>0</v>
      </c>
      <c r="AP86" s="210">
        <f t="shared" si="73"/>
        <v>0</v>
      </c>
      <c r="AQ86" s="210">
        <f t="shared" si="74"/>
        <v>0</v>
      </c>
      <c r="AR86" s="210">
        <f t="shared" si="75"/>
        <v>0</v>
      </c>
      <c r="AT86" s="210"/>
      <c r="AU86" s="210">
        <f t="shared" si="76"/>
        <v>0</v>
      </c>
      <c r="AV86" s="210">
        <f t="shared" si="77"/>
        <v>0</v>
      </c>
      <c r="AW86" s="210">
        <f t="shared" si="78"/>
        <v>0</v>
      </c>
      <c r="AX86" s="210">
        <f t="shared" si="79"/>
        <v>0</v>
      </c>
      <c r="AY86" s="210">
        <f t="shared" si="80"/>
        <v>0</v>
      </c>
      <c r="AZ86" s="210">
        <f t="shared" si="81"/>
        <v>0</v>
      </c>
      <c r="BA86" s="210">
        <f t="shared" si="82"/>
        <v>0</v>
      </c>
      <c r="BB86" s="210">
        <f t="shared" si="83"/>
        <v>0</v>
      </c>
      <c r="BC86" s="210">
        <f t="shared" si="84"/>
        <v>0</v>
      </c>
      <c r="BD86" s="210">
        <f t="shared" si="85"/>
        <v>0</v>
      </c>
      <c r="BE86" s="210">
        <f t="shared" si="86"/>
        <v>0</v>
      </c>
      <c r="BF86" s="210">
        <f t="shared" si="87"/>
        <v>0</v>
      </c>
      <c r="BG86" s="210">
        <f t="shared" si="88"/>
        <v>0</v>
      </c>
      <c r="BH86" s="210">
        <f t="shared" si="89"/>
        <v>0</v>
      </c>
      <c r="BI86" s="210">
        <f t="shared" si="90"/>
        <v>0</v>
      </c>
      <c r="BJ86" s="210">
        <f t="shared" si="91"/>
        <v>0</v>
      </c>
      <c r="BK86" s="210">
        <f t="shared" si="92"/>
        <v>0</v>
      </c>
      <c r="BL86" s="210">
        <f t="shared" si="93"/>
        <v>0</v>
      </c>
      <c r="BM86" s="210">
        <f t="shared" si="94"/>
        <v>0</v>
      </c>
      <c r="BN86" s="210">
        <f t="shared" si="95"/>
        <v>0</v>
      </c>
    </row>
    <row r="87" spans="1:66">
      <c r="A87" s="209" t="s">
        <v>96</v>
      </c>
      <c r="B87" s="210">
        <f t="shared" si="53"/>
        <v>23.75</v>
      </c>
      <c r="C87" s="210">
        <f t="shared" ref="C87:K87" si="102">B87-($B87-$L87)/10</f>
        <v>21.575</v>
      </c>
      <c r="D87" s="210">
        <f t="shared" si="102"/>
        <v>19.4</v>
      </c>
      <c r="E87" s="210">
        <f t="shared" si="102"/>
        <v>17.225</v>
      </c>
      <c r="F87" s="210">
        <f t="shared" si="102"/>
        <v>15.05</v>
      </c>
      <c r="G87" s="210">
        <f t="shared" si="102"/>
        <v>12.875</v>
      </c>
      <c r="H87" s="210">
        <f t="shared" si="102"/>
        <v>10.7</v>
      </c>
      <c r="I87" s="210">
        <f t="shared" si="102"/>
        <v>8.525</v>
      </c>
      <c r="J87" s="210">
        <f t="shared" si="102"/>
        <v>6.35</v>
      </c>
      <c r="K87" s="210">
        <f t="shared" si="102"/>
        <v>4.175</v>
      </c>
      <c r="L87" s="210">
        <f t="shared" si="55"/>
        <v>2</v>
      </c>
      <c r="M87" s="210">
        <f t="shared" si="55"/>
        <v>2</v>
      </c>
      <c r="N87" s="210">
        <f t="shared" si="55"/>
        <v>2</v>
      </c>
      <c r="O87" s="210">
        <f t="shared" si="55"/>
        <v>2</v>
      </c>
      <c r="P87" s="210">
        <f t="shared" si="55"/>
        <v>2</v>
      </c>
      <c r="Q87" s="210">
        <f>MAX(AM13:$AR13)-Q52</f>
        <v>2</v>
      </c>
      <c r="R87" s="210">
        <f>MAX(AN13:$AR13)-R52</f>
        <v>2</v>
      </c>
      <c r="S87" s="210">
        <f>MAX(AO13:$AR13)-S52</f>
        <v>2</v>
      </c>
      <c r="T87" s="210">
        <f>MAX(AP13:$AR13)-T52</f>
        <v>2</v>
      </c>
      <c r="U87" s="210">
        <f>MAX(AQ13:$AR13)-U52</f>
        <v>2</v>
      </c>
      <c r="V87" s="210">
        <f>MAX(AR13:$AR13)-V52</f>
        <v>2</v>
      </c>
      <c r="X87" s="210"/>
      <c r="Y87" s="210">
        <f t="shared" si="56"/>
        <v>0</v>
      </c>
      <c r="Z87" s="210">
        <f t="shared" si="57"/>
        <v>0</v>
      </c>
      <c r="AA87" s="210">
        <f t="shared" si="58"/>
        <v>0</v>
      </c>
      <c r="AB87" s="210">
        <f t="shared" si="59"/>
        <v>0</v>
      </c>
      <c r="AC87" s="210">
        <f t="shared" si="60"/>
        <v>0</v>
      </c>
      <c r="AD87" s="210">
        <f t="shared" si="61"/>
        <v>0</v>
      </c>
      <c r="AE87" s="210">
        <f t="shared" si="62"/>
        <v>0</v>
      </c>
      <c r="AF87" s="210">
        <f t="shared" si="63"/>
        <v>0</v>
      </c>
      <c r="AG87" s="210">
        <f t="shared" si="64"/>
        <v>0</v>
      </c>
      <c r="AH87" s="210">
        <f t="shared" si="65"/>
        <v>0</v>
      </c>
      <c r="AI87" s="210">
        <f t="shared" si="66"/>
        <v>0</v>
      </c>
      <c r="AJ87" s="210">
        <f t="shared" si="67"/>
        <v>0</v>
      </c>
      <c r="AK87" s="210">
        <f t="shared" si="68"/>
        <v>0</v>
      </c>
      <c r="AL87" s="210">
        <f t="shared" si="69"/>
        <v>0</v>
      </c>
      <c r="AM87" s="210">
        <f t="shared" si="70"/>
        <v>0</v>
      </c>
      <c r="AN87" s="210">
        <f t="shared" si="71"/>
        <v>0</v>
      </c>
      <c r="AO87" s="210">
        <f t="shared" si="72"/>
        <v>0</v>
      </c>
      <c r="AP87" s="210">
        <f t="shared" si="73"/>
        <v>0</v>
      </c>
      <c r="AQ87" s="210">
        <f t="shared" si="74"/>
        <v>0</v>
      </c>
      <c r="AR87" s="210">
        <f t="shared" si="75"/>
        <v>0</v>
      </c>
      <c r="AT87" s="210"/>
      <c r="AU87" s="210">
        <f t="shared" si="76"/>
        <v>2.175</v>
      </c>
      <c r="AV87" s="210">
        <f t="shared" si="77"/>
        <v>2.175</v>
      </c>
      <c r="AW87" s="210">
        <f t="shared" si="78"/>
        <v>2.175</v>
      </c>
      <c r="AX87" s="210">
        <f t="shared" si="79"/>
        <v>2.175</v>
      </c>
      <c r="AY87" s="210">
        <f t="shared" si="80"/>
        <v>2.175</v>
      </c>
      <c r="AZ87" s="210">
        <f t="shared" si="81"/>
        <v>2.175</v>
      </c>
      <c r="BA87" s="210">
        <f t="shared" si="82"/>
        <v>2.175</v>
      </c>
      <c r="BB87" s="210">
        <f t="shared" si="83"/>
        <v>2.175</v>
      </c>
      <c r="BC87" s="210">
        <f t="shared" si="84"/>
        <v>2.175</v>
      </c>
      <c r="BD87" s="210">
        <f t="shared" si="85"/>
        <v>2.175</v>
      </c>
      <c r="BE87" s="210">
        <f t="shared" si="86"/>
        <v>0</v>
      </c>
      <c r="BF87" s="210">
        <f t="shared" si="87"/>
        <v>0</v>
      </c>
      <c r="BG87" s="210">
        <f t="shared" si="88"/>
        <v>0</v>
      </c>
      <c r="BH87" s="210">
        <f t="shared" si="89"/>
        <v>0</v>
      </c>
      <c r="BI87" s="210">
        <f t="shared" si="90"/>
        <v>0</v>
      </c>
      <c r="BJ87" s="210">
        <f t="shared" si="91"/>
        <v>0</v>
      </c>
      <c r="BK87" s="210">
        <f t="shared" si="92"/>
        <v>0</v>
      </c>
      <c r="BL87" s="210">
        <f t="shared" si="93"/>
        <v>0</v>
      </c>
      <c r="BM87" s="210">
        <f t="shared" si="94"/>
        <v>0</v>
      </c>
      <c r="BN87" s="210">
        <f t="shared" si="95"/>
        <v>0</v>
      </c>
    </row>
    <row r="88" spans="1:66">
      <c r="A88" s="209" t="s">
        <v>98</v>
      </c>
      <c r="B88" s="210">
        <f t="shared" si="53"/>
        <v>152.65</v>
      </c>
      <c r="C88" s="210">
        <f t="shared" ref="C88:K88" si="103">B88-($B88-$L88)/10</f>
        <v>145.985</v>
      </c>
      <c r="D88" s="210">
        <f t="shared" si="103"/>
        <v>139.32</v>
      </c>
      <c r="E88" s="210">
        <f t="shared" si="103"/>
        <v>132.655</v>
      </c>
      <c r="F88" s="210">
        <f t="shared" si="103"/>
        <v>125.99</v>
      </c>
      <c r="G88" s="210">
        <f t="shared" si="103"/>
        <v>119.325</v>
      </c>
      <c r="H88" s="210">
        <f t="shared" si="103"/>
        <v>112.66</v>
      </c>
      <c r="I88" s="210">
        <f t="shared" si="103"/>
        <v>105.995</v>
      </c>
      <c r="J88" s="210">
        <f t="shared" si="103"/>
        <v>99.33</v>
      </c>
      <c r="K88" s="210">
        <f t="shared" si="103"/>
        <v>92.665</v>
      </c>
      <c r="L88" s="210">
        <f t="shared" si="55"/>
        <v>86</v>
      </c>
      <c r="M88" s="210">
        <f t="shared" si="55"/>
        <v>86</v>
      </c>
      <c r="N88" s="210">
        <f t="shared" si="55"/>
        <v>86</v>
      </c>
      <c r="O88" s="210">
        <f t="shared" si="55"/>
        <v>86</v>
      </c>
      <c r="P88" s="210">
        <f t="shared" si="55"/>
        <v>86</v>
      </c>
      <c r="Q88" s="210">
        <f>MAX(AM14:$AR14)-Q53</f>
        <v>86</v>
      </c>
      <c r="R88" s="210">
        <f>MAX(AN14:$AR14)-R53</f>
        <v>86</v>
      </c>
      <c r="S88" s="210">
        <f>MAX(AO14:$AR14)-S53</f>
        <v>86</v>
      </c>
      <c r="T88" s="210">
        <f>MAX(AP14:$AR14)-T53</f>
        <v>86</v>
      </c>
      <c r="U88" s="210">
        <f>MAX(AQ14:$AR14)-U53</f>
        <v>61</v>
      </c>
      <c r="V88" s="210">
        <f>MAX(AR14:$AR14)-V53</f>
        <v>61</v>
      </c>
      <c r="X88" s="210"/>
      <c r="Y88" s="210">
        <f t="shared" si="56"/>
        <v>0</v>
      </c>
      <c r="Z88" s="210">
        <f t="shared" si="57"/>
        <v>0</v>
      </c>
      <c r="AA88" s="210">
        <f t="shared" si="58"/>
        <v>0</v>
      </c>
      <c r="AB88" s="210">
        <f t="shared" si="59"/>
        <v>0</v>
      </c>
      <c r="AC88" s="210">
        <f t="shared" si="60"/>
        <v>0</v>
      </c>
      <c r="AD88" s="210">
        <f t="shared" si="61"/>
        <v>0</v>
      </c>
      <c r="AE88" s="210">
        <f t="shared" si="62"/>
        <v>0</v>
      </c>
      <c r="AF88" s="210">
        <f t="shared" si="63"/>
        <v>0</v>
      </c>
      <c r="AG88" s="210">
        <f t="shared" si="64"/>
        <v>0</v>
      </c>
      <c r="AH88" s="210">
        <f t="shared" si="65"/>
        <v>0</v>
      </c>
      <c r="AI88" s="210">
        <f t="shared" si="66"/>
        <v>0</v>
      </c>
      <c r="AJ88" s="210">
        <f t="shared" si="67"/>
        <v>0</v>
      </c>
      <c r="AK88" s="210">
        <f t="shared" si="68"/>
        <v>0</v>
      </c>
      <c r="AL88" s="210">
        <f t="shared" si="69"/>
        <v>0</v>
      </c>
      <c r="AM88" s="210">
        <f t="shared" si="70"/>
        <v>0</v>
      </c>
      <c r="AN88" s="210">
        <f t="shared" si="71"/>
        <v>0</v>
      </c>
      <c r="AO88" s="210">
        <f t="shared" si="72"/>
        <v>0</v>
      </c>
      <c r="AP88" s="210">
        <f t="shared" si="73"/>
        <v>0</v>
      </c>
      <c r="AQ88" s="210">
        <f t="shared" si="74"/>
        <v>0</v>
      </c>
      <c r="AR88" s="210">
        <f t="shared" si="75"/>
        <v>0</v>
      </c>
      <c r="AT88" s="210"/>
      <c r="AU88" s="210">
        <f t="shared" si="76"/>
        <v>6.66499999999999</v>
      </c>
      <c r="AV88" s="210">
        <f t="shared" si="77"/>
        <v>6.66499999999999</v>
      </c>
      <c r="AW88" s="210">
        <f t="shared" si="78"/>
        <v>6.66499999999999</v>
      </c>
      <c r="AX88" s="210">
        <f t="shared" si="79"/>
        <v>6.66500000000001</v>
      </c>
      <c r="AY88" s="210">
        <f t="shared" si="80"/>
        <v>6.66500000000001</v>
      </c>
      <c r="AZ88" s="210">
        <f t="shared" si="81"/>
        <v>6.66500000000001</v>
      </c>
      <c r="BA88" s="210">
        <f t="shared" si="82"/>
        <v>6.66500000000001</v>
      </c>
      <c r="BB88" s="210">
        <f t="shared" si="83"/>
        <v>6.66500000000001</v>
      </c>
      <c r="BC88" s="210">
        <f t="shared" si="84"/>
        <v>6.66500000000001</v>
      </c>
      <c r="BD88" s="210">
        <f t="shared" si="85"/>
        <v>6.66499999999999</v>
      </c>
      <c r="BE88" s="210">
        <f t="shared" si="86"/>
        <v>0</v>
      </c>
      <c r="BF88" s="210">
        <f t="shared" si="87"/>
        <v>0</v>
      </c>
      <c r="BG88" s="210">
        <f t="shared" si="88"/>
        <v>0</v>
      </c>
      <c r="BH88" s="210">
        <f t="shared" si="89"/>
        <v>0</v>
      </c>
      <c r="BI88" s="210">
        <f t="shared" si="90"/>
        <v>0</v>
      </c>
      <c r="BJ88" s="210">
        <f t="shared" si="91"/>
        <v>0</v>
      </c>
      <c r="BK88" s="210">
        <f t="shared" si="92"/>
        <v>0</v>
      </c>
      <c r="BL88" s="210">
        <f t="shared" si="93"/>
        <v>0</v>
      </c>
      <c r="BM88" s="210">
        <f t="shared" si="94"/>
        <v>25</v>
      </c>
      <c r="BN88" s="210">
        <f t="shared" si="95"/>
        <v>0</v>
      </c>
    </row>
    <row r="89" spans="1:66">
      <c r="A89" s="209" t="s">
        <v>100</v>
      </c>
      <c r="B89" s="210">
        <f t="shared" si="53"/>
        <v>70.53</v>
      </c>
      <c r="C89" s="210">
        <f t="shared" ref="C89:K89" si="104">B89-($B89-$L89)/10</f>
        <v>63.477</v>
      </c>
      <c r="D89" s="210">
        <f t="shared" si="104"/>
        <v>56.424</v>
      </c>
      <c r="E89" s="210">
        <f t="shared" si="104"/>
        <v>49.371</v>
      </c>
      <c r="F89" s="210">
        <f t="shared" si="104"/>
        <v>42.318</v>
      </c>
      <c r="G89" s="210">
        <f t="shared" si="104"/>
        <v>35.265</v>
      </c>
      <c r="H89" s="210">
        <f t="shared" si="104"/>
        <v>28.212</v>
      </c>
      <c r="I89" s="210">
        <f t="shared" si="104"/>
        <v>21.159</v>
      </c>
      <c r="J89" s="210">
        <f t="shared" si="104"/>
        <v>14.106</v>
      </c>
      <c r="K89" s="210">
        <f t="shared" si="104"/>
        <v>7.05300000000001</v>
      </c>
      <c r="L89" s="210">
        <f t="shared" si="55"/>
        <v>0</v>
      </c>
      <c r="M89" s="210">
        <f t="shared" si="55"/>
        <v>0</v>
      </c>
      <c r="N89" s="210">
        <f t="shared" si="55"/>
        <v>0</v>
      </c>
      <c r="O89" s="210">
        <f t="shared" si="55"/>
        <v>0</v>
      </c>
      <c r="P89" s="210">
        <f t="shared" si="55"/>
        <v>0</v>
      </c>
      <c r="Q89" s="210">
        <f>MAX(AM15:$AR15)-Q54</f>
        <v>0</v>
      </c>
      <c r="R89" s="210">
        <f>MAX(AN15:$AR15)-R54</f>
        <v>0</v>
      </c>
      <c r="S89" s="210">
        <f>MAX(AO15:$AR15)-S54</f>
        <v>0</v>
      </c>
      <c r="T89" s="210">
        <f>MAX(AP15:$AR15)-T54</f>
        <v>0</v>
      </c>
      <c r="U89" s="210">
        <f>MAX(AQ15:$AR15)-U54</f>
        <v>0</v>
      </c>
      <c r="V89" s="210">
        <f>MAX(AR15:$AR15)-V54</f>
        <v>0</v>
      </c>
      <c r="X89" s="210"/>
      <c r="Y89" s="210">
        <f t="shared" si="56"/>
        <v>0</v>
      </c>
      <c r="Z89" s="210">
        <f t="shared" si="57"/>
        <v>0</v>
      </c>
      <c r="AA89" s="210">
        <f t="shared" si="58"/>
        <v>0</v>
      </c>
      <c r="AB89" s="210">
        <f t="shared" si="59"/>
        <v>0</v>
      </c>
      <c r="AC89" s="210">
        <f t="shared" si="60"/>
        <v>0</v>
      </c>
      <c r="AD89" s="210">
        <f t="shared" si="61"/>
        <v>0</v>
      </c>
      <c r="AE89" s="210">
        <f t="shared" si="62"/>
        <v>0</v>
      </c>
      <c r="AF89" s="210">
        <f t="shared" si="63"/>
        <v>0</v>
      </c>
      <c r="AG89" s="210">
        <f t="shared" si="64"/>
        <v>0</v>
      </c>
      <c r="AH89" s="210">
        <f t="shared" si="65"/>
        <v>0</v>
      </c>
      <c r="AI89" s="210">
        <f t="shared" si="66"/>
        <v>0</v>
      </c>
      <c r="AJ89" s="210">
        <f t="shared" si="67"/>
        <v>0</v>
      </c>
      <c r="AK89" s="210">
        <f t="shared" si="68"/>
        <v>0</v>
      </c>
      <c r="AL89" s="210">
        <f t="shared" si="69"/>
        <v>0</v>
      </c>
      <c r="AM89" s="210">
        <f t="shared" si="70"/>
        <v>0</v>
      </c>
      <c r="AN89" s="210">
        <f t="shared" si="71"/>
        <v>0</v>
      </c>
      <c r="AO89" s="210">
        <f t="shared" si="72"/>
        <v>0</v>
      </c>
      <c r="AP89" s="210">
        <f t="shared" si="73"/>
        <v>0</v>
      </c>
      <c r="AQ89" s="210">
        <f t="shared" si="74"/>
        <v>0</v>
      </c>
      <c r="AR89" s="210">
        <f t="shared" si="75"/>
        <v>0</v>
      </c>
      <c r="AT89" s="210"/>
      <c r="AU89" s="210">
        <f t="shared" si="76"/>
        <v>7.053</v>
      </c>
      <c r="AV89" s="210">
        <f t="shared" si="77"/>
        <v>7.053</v>
      </c>
      <c r="AW89" s="210">
        <f t="shared" si="78"/>
        <v>7.053</v>
      </c>
      <c r="AX89" s="210">
        <f t="shared" si="79"/>
        <v>7.053</v>
      </c>
      <c r="AY89" s="210">
        <f t="shared" si="80"/>
        <v>7.053</v>
      </c>
      <c r="AZ89" s="210">
        <f t="shared" si="81"/>
        <v>7.053</v>
      </c>
      <c r="BA89" s="210">
        <f t="shared" si="82"/>
        <v>7.053</v>
      </c>
      <c r="BB89" s="210">
        <f t="shared" si="83"/>
        <v>7.053</v>
      </c>
      <c r="BC89" s="210">
        <f t="shared" si="84"/>
        <v>7.053</v>
      </c>
      <c r="BD89" s="210">
        <f t="shared" si="85"/>
        <v>7.05300000000001</v>
      </c>
      <c r="BE89" s="210">
        <f t="shared" si="86"/>
        <v>0</v>
      </c>
      <c r="BF89" s="210">
        <f t="shared" si="87"/>
        <v>0</v>
      </c>
      <c r="BG89" s="210">
        <f t="shared" si="88"/>
        <v>0</v>
      </c>
      <c r="BH89" s="210">
        <f t="shared" si="89"/>
        <v>0</v>
      </c>
      <c r="BI89" s="210">
        <f t="shared" si="90"/>
        <v>0</v>
      </c>
      <c r="BJ89" s="210">
        <f t="shared" si="91"/>
        <v>0</v>
      </c>
      <c r="BK89" s="210">
        <f t="shared" si="92"/>
        <v>0</v>
      </c>
      <c r="BL89" s="210">
        <f t="shared" si="93"/>
        <v>0</v>
      </c>
      <c r="BM89" s="210">
        <f t="shared" si="94"/>
        <v>0</v>
      </c>
      <c r="BN89" s="210">
        <f t="shared" si="95"/>
        <v>0</v>
      </c>
    </row>
    <row r="90" spans="1:66">
      <c r="A90" s="209" t="s">
        <v>102</v>
      </c>
      <c r="B90" s="210">
        <f t="shared" si="53"/>
        <v>234.961</v>
      </c>
      <c r="C90" s="210">
        <f t="shared" ref="C90:K90" si="105">B90-($B90-$L90)/10</f>
        <v>211.4649</v>
      </c>
      <c r="D90" s="210">
        <f t="shared" si="105"/>
        <v>187.9688</v>
      </c>
      <c r="E90" s="210">
        <f t="shared" si="105"/>
        <v>164.4727</v>
      </c>
      <c r="F90" s="210">
        <f t="shared" si="105"/>
        <v>140.9766</v>
      </c>
      <c r="G90" s="210">
        <f t="shared" si="105"/>
        <v>117.4805</v>
      </c>
      <c r="H90" s="210">
        <f t="shared" si="105"/>
        <v>93.9844</v>
      </c>
      <c r="I90" s="210">
        <f t="shared" si="105"/>
        <v>70.4883</v>
      </c>
      <c r="J90" s="210">
        <f t="shared" si="105"/>
        <v>46.9922</v>
      </c>
      <c r="K90" s="210">
        <f t="shared" si="105"/>
        <v>23.4961</v>
      </c>
      <c r="L90" s="210">
        <f t="shared" ref="L90:P99" si="106">M90</f>
        <v>0</v>
      </c>
      <c r="M90" s="210">
        <f t="shared" si="106"/>
        <v>0</v>
      </c>
      <c r="N90" s="210">
        <f t="shared" si="106"/>
        <v>0</v>
      </c>
      <c r="O90" s="210">
        <f t="shared" si="106"/>
        <v>0</v>
      </c>
      <c r="P90" s="210">
        <f t="shared" si="106"/>
        <v>0</v>
      </c>
      <c r="Q90" s="210">
        <f>MAX(AM16:$AR16)-Q55</f>
        <v>0</v>
      </c>
      <c r="R90" s="210">
        <f>MAX(AN16:$AR16)-R55</f>
        <v>0</v>
      </c>
      <c r="S90" s="210">
        <f>MAX(AO16:$AR16)-S55</f>
        <v>0</v>
      </c>
      <c r="T90" s="210">
        <f>MAX(AP16:$AR16)-T55</f>
        <v>0</v>
      </c>
      <c r="U90" s="210">
        <f>MAX(AQ16:$AR16)-U55</f>
        <v>0</v>
      </c>
      <c r="V90" s="210">
        <f>MAX(AR16:$AR16)-V55</f>
        <v>0</v>
      </c>
      <c r="X90" s="210"/>
      <c r="Y90" s="210">
        <f t="shared" si="56"/>
        <v>0</v>
      </c>
      <c r="Z90" s="210">
        <f t="shared" si="57"/>
        <v>0</v>
      </c>
      <c r="AA90" s="210">
        <f t="shared" si="58"/>
        <v>0</v>
      </c>
      <c r="AB90" s="210">
        <f t="shared" si="59"/>
        <v>0</v>
      </c>
      <c r="AC90" s="210">
        <f t="shared" si="60"/>
        <v>0</v>
      </c>
      <c r="AD90" s="210">
        <f t="shared" si="61"/>
        <v>0</v>
      </c>
      <c r="AE90" s="210">
        <f t="shared" si="62"/>
        <v>0</v>
      </c>
      <c r="AF90" s="210">
        <f t="shared" si="63"/>
        <v>0</v>
      </c>
      <c r="AG90" s="210">
        <f t="shared" si="64"/>
        <v>0</v>
      </c>
      <c r="AH90" s="210">
        <f t="shared" si="65"/>
        <v>0</v>
      </c>
      <c r="AI90" s="210">
        <f t="shared" si="66"/>
        <v>0</v>
      </c>
      <c r="AJ90" s="210">
        <f t="shared" si="67"/>
        <v>0</v>
      </c>
      <c r="AK90" s="210">
        <f t="shared" si="68"/>
        <v>0</v>
      </c>
      <c r="AL90" s="210">
        <f t="shared" si="69"/>
        <v>0</v>
      </c>
      <c r="AM90" s="210">
        <f t="shared" si="70"/>
        <v>0</v>
      </c>
      <c r="AN90" s="210">
        <f t="shared" si="71"/>
        <v>0</v>
      </c>
      <c r="AO90" s="210">
        <f t="shared" si="72"/>
        <v>0</v>
      </c>
      <c r="AP90" s="210">
        <f t="shared" si="73"/>
        <v>0</v>
      </c>
      <c r="AQ90" s="210">
        <f t="shared" si="74"/>
        <v>0</v>
      </c>
      <c r="AR90" s="210">
        <f t="shared" si="75"/>
        <v>0</v>
      </c>
      <c r="AT90" s="210"/>
      <c r="AU90" s="210">
        <f t="shared" si="76"/>
        <v>23.4961</v>
      </c>
      <c r="AV90" s="210">
        <f t="shared" si="77"/>
        <v>23.4961</v>
      </c>
      <c r="AW90" s="210">
        <f t="shared" si="78"/>
        <v>23.4961</v>
      </c>
      <c r="AX90" s="210">
        <f t="shared" si="79"/>
        <v>23.4961</v>
      </c>
      <c r="AY90" s="210">
        <f t="shared" si="80"/>
        <v>23.4961</v>
      </c>
      <c r="AZ90" s="210">
        <f t="shared" si="81"/>
        <v>23.4961</v>
      </c>
      <c r="BA90" s="210">
        <f t="shared" si="82"/>
        <v>23.4961</v>
      </c>
      <c r="BB90" s="210">
        <f t="shared" si="83"/>
        <v>23.4961</v>
      </c>
      <c r="BC90" s="210">
        <f t="shared" si="84"/>
        <v>23.4961</v>
      </c>
      <c r="BD90" s="210">
        <f t="shared" si="85"/>
        <v>23.4961</v>
      </c>
      <c r="BE90" s="210">
        <f t="shared" si="86"/>
        <v>0</v>
      </c>
      <c r="BF90" s="210">
        <f t="shared" si="87"/>
        <v>0</v>
      </c>
      <c r="BG90" s="210">
        <f t="shared" si="88"/>
        <v>0</v>
      </c>
      <c r="BH90" s="210">
        <f t="shared" si="89"/>
        <v>0</v>
      </c>
      <c r="BI90" s="210">
        <f t="shared" si="90"/>
        <v>0</v>
      </c>
      <c r="BJ90" s="210">
        <f t="shared" si="91"/>
        <v>0</v>
      </c>
      <c r="BK90" s="210">
        <f t="shared" si="92"/>
        <v>0</v>
      </c>
      <c r="BL90" s="210">
        <f t="shared" si="93"/>
        <v>0</v>
      </c>
      <c r="BM90" s="210">
        <f t="shared" si="94"/>
        <v>0</v>
      </c>
      <c r="BN90" s="210">
        <f t="shared" si="95"/>
        <v>0</v>
      </c>
    </row>
    <row r="91" spans="1:66">
      <c r="A91" s="209" t="s">
        <v>104</v>
      </c>
      <c r="B91" s="210">
        <f t="shared" si="53"/>
        <v>0</v>
      </c>
      <c r="C91" s="210">
        <f t="shared" ref="C91:K91" si="107">B91-($B91-$L91)/10</f>
        <v>0</v>
      </c>
      <c r="D91" s="210">
        <f t="shared" si="107"/>
        <v>0</v>
      </c>
      <c r="E91" s="210">
        <f t="shared" si="107"/>
        <v>0</v>
      </c>
      <c r="F91" s="210">
        <f t="shared" si="107"/>
        <v>0</v>
      </c>
      <c r="G91" s="210">
        <f t="shared" si="107"/>
        <v>0</v>
      </c>
      <c r="H91" s="210">
        <f t="shared" si="107"/>
        <v>0</v>
      </c>
      <c r="I91" s="210">
        <f t="shared" si="107"/>
        <v>0</v>
      </c>
      <c r="J91" s="210">
        <f t="shared" si="107"/>
        <v>0</v>
      </c>
      <c r="K91" s="210">
        <f t="shared" si="107"/>
        <v>0</v>
      </c>
      <c r="L91" s="210">
        <f t="shared" si="106"/>
        <v>0</v>
      </c>
      <c r="M91" s="210">
        <f t="shared" si="106"/>
        <v>0</v>
      </c>
      <c r="N91" s="210">
        <f t="shared" si="106"/>
        <v>0</v>
      </c>
      <c r="O91" s="210">
        <f t="shared" si="106"/>
        <v>0</v>
      </c>
      <c r="P91" s="210">
        <f t="shared" si="106"/>
        <v>0</v>
      </c>
      <c r="Q91" s="210">
        <f>MAX(AM17:$AR17)-Q56</f>
        <v>0</v>
      </c>
      <c r="R91" s="210">
        <f>MAX(AN17:$AR17)-R56</f>
        <v>0</v>
      </c>
      <c r="S91" s="210">
        <f>MAX(AO17:$AR17)-S56</f>
        <v>0</v>
      </c>
      <c r="T91" s="210">
        <f>MAX(AP17:$AR17)-T56</f>
        <v>0</v>
      </c>
      <c r="U91" s="210">
        <f>MAX(AQ17:$AR17)-U56</f>
        <v>0</v>
      </c>
      <c r="V91" s="210">
        <f>MAX(AR17:$AR17)-V56</f>
        <v>0</v>
      </c>
      <c r="X91" s="210"/>
      <c r="Y91" s="210">
        <f t="shared" si="56"/>
        <v>0</v>
      </c>
      <c r="Z91" s="210">
        <f t="shared" si="57"/>
        <v>0</v>
      </c>
      <c r="AA91" s="210">
        <f t="shared" si="58"/>
        <v>0</v>
      </c>
      <c r="AB91" s="210">
        <f t="shared" si="59"/>
        <v>0</v>
      </c>
      <c r="AC91" s="210">
        <f t="shared" si="60"/>
        <v>0</v>
      </c>
      <c r="AD91" s="210">
        <f t="shared" si="61"/>
        <v>0</v>
      </c>
      <c r="AE91" s="210">
        <f t="shared" si="62"/>
        <v>0</v>
      </c>
      <c r="AF91" s="210">
        <f t="shared" si="63"/>
        <v>0</v>
      </c>
      <c r="AG91" s="210">
        <f t="shared" si="64"/>
        <v>0</v>
      </c>
      <c r="AH91" s="210">
        <f t="shared" si="65"/>
        <v>0</v>
      </c>
      <c r="AI91" s="210">
        <f t="shared" si="66"/>
        <v>0</v>
      </c>
      <c r="AJ91" s="210">
        <f t="shared" si="67"/>
        <v>0</v>
      </c>
      <c r="AK91" s="210">
        <f t="shared" si="68"/>
        <v>0</v>
      </c>
      <c r="AL91" s="210">
        <f t="shared" si="69"/>
        <v>0</v>
      </c>
      <c r="AM91" s="210">
        <f t="shared" si="70"/>
        <v>0</v>
      </c>
      <c r="AN91" s="210">
        <f t="shared" si="71"/>
        <v>0</v>
      </c>
      <c r="AO91" s="210">
        <f t="shared" si="72"/>
        <v>0</v>
      </c>
      <c r="AP91" s="210">
        <f t="shared" si="73"/>
        <v>0</v>
      </c>
      <c r="AQ91" s="210">
        <f t="shared" si="74"/>
        <v>0</v>
      </c>
      <c r="AR91" s="210">
        <f t="shared" si="75"/>
        <v>0</v>
      </c>
      <c r="AT91" s="210"/>
      <c r="AU91" s="210">
        <f t="shared" si="76"/>
        <v>0</v>
      </c>
      <c r="AV91" s="210">
        <f t="shared" si="77"/>
        <v>0</v>
      </c>
      <c r="AW91" s="210">
        <f t="shared" si="78"/>
        <v>0</v>
      </c>
      <c r="AX91" s="210">
        <f t="shared" si="79"/>
        <v>0</v>
      </c>
      <c r="AY91" s="210">
        <f t="shared" si="80"/>
        <v>0</v>
      </c>
      <c r="AZ91" s="210">
        <f t="shared" si="81"/>
        <v>0</v>
      </c>
      <c r="BA91" s="210">
        <f t="shared" si="82"/>
        <v>0</v>
      </c>
      <c r="BB91" s="210">
        <f t="shared" si="83"/>
        <v>0</v>
      </c>
      <c r="BC91" s="210">
        <f t="shared" si="84"/>
        <v>0</v>
      </c>
      <c r="BD91" s="210">
        <f t="shared" si="85"/>
        <v>0</v>
      </c>
      <c r="BE91" s="210">
        <f t="shared" si="86"/>
        <v>0</v>
      </c>
      <c r="BF91" s="210">
        <f t="shared" si="87"/>
        <v>0</v>
      </c>
      <c r="BG91" s="210">
        <f t="shared" si="88"/>
        <v>0</v>
      </c>
      <c r="BH91" s="210">
        <f t="shared" si="89"/>
        <v>0</v>
      </c>
      <c r="BI91" s="210">
        <f t="shared" si="90"/>
        <v>0</v>
      </c>
      <c r="BJ91" s="210">
        <f t="shared" si="91"/>
        <v>0</v>
      </c>
      <c r="BK91" s="210">
        <f t="shared" si="92"/>
        <v>0</v>
      </c>
      <c r="BL91" s="210">
        <f t="shared" si="93"/>
        <v>0</v>
      </c>
      <c r="BM91" s="210">
        <f t="shared" si="94"/>
        <v>0</v>
      </c>
      <c r="BN91" s="210">
        <f t="shared" si="95"/>
        <v>0</v>
      </c>
    </row>
    <row r="92" spans="1:66">
      <c r="A92" s="209" t="s">
        <v>106</v>
      </c>
      <c r="B92" s="210">
        <f t="shared" si="53"/>
        <v>14.836</v>
      </c>
      <c r="C92" s="210">
        <f t="shared" ref="C92:K92" si="108">B92-($B92-$L92)/10</f>
        <v>13.3524</v>
      </c>
      <c r="D92" s="210">
        <f t="shared" si="108"/>
        <v>11.8688</v>
      </c>
      <c r="E92" s="210">
        <f t="shared" si="108"/>
        <v>10.3852</v>
      </c>
      <c r="F92" s="210">
        <f t="shared" si="108"/>
        <v>8.9016</v>
      </c>
      <c r="G92" s="210">
        <f t="shared" si="108"/>
        <v>7.418</v>
      </c>
      <c r="H92" s="210">
        <f t="shared" si="108"/>
        <v>5.9344</v>
      </c>
      <c r="I92" s="210">
        <f t="shared" si="108"/>
        <v>4.4508</v>
      </c>
      <c r="J92" s="210">
        <f t="shared" si="108"/>
        <v>2.9672</v>
      </c>
      <c r="K92" s="210">
        <f t="shared" si="108"/>
        <v>1.4836</v>
      </c>
      <c r="L92" s="210">
        <f t="shared" si="106"/>
        <v>0</v>
      </c>
      <c r="M92" s="210">
        <f t="shared" si="106"/>
        <v>0</v>
      </c>
      <c r="N92" s="210">
        <f t="shared" si="106"/>
        <v>0</v>
      </c>
      <c r="O92" s="210">
        <f t="shared" si="106"/>
        <v>0</v>
      </c>
      <c r="P92" s="210">
        <f t="shared" si="106"/>
        <v>0</v>
      </c>
      <c r="Q92" s="210">
        <f>MAX(AM18:$AR18)-Q57</f>
        <v>0</v>
      </c>
      <c r="R92" s="210">
        <f>MAX(AN18:$AR18)-R57</f>
        <v>0</v>
      </c>
      <c r="S92" s="210">
        <f>MAX(AO18:$AR18)-S57</f>
        <v>0</v>
      </c>
      <c r="T92" s="210">
        <f>MAX(AP18:$AR18)-T57</f>
        <v>0</v>
      </c>
      <c r="U92" s="210">
        <f>MAX(AQ18:$AR18)-U57</f>
        <v>0</v>
      </c>
      <c r="V92" s="210">
        <f>MAX(AR18:$AR18)-V57</f>
        <v>0</v>
      </c>
      <c r="X92" s="210"/>
      <c r="Y92" s="210">
        <f t="shared" si="56"/>
        <v>0</v>
      </c>
      <c r="Z92" s="210">
        <f t="shared" si="57"/>
        <v>0</v>
      </c>
      <c r="AA92" s="210">
        <f t="shared" si="58"/>
        <v>0</v>
      </c>
      <c r="AB92" s="210">
        <f t="shared" si="59"/>
        <v>0</v>
      </c>
      <c r="AC92" s="210">
        <f t="shared" si="60"/>
        <v>0</v>
      </c>
      <c r="AD92" s="210">
        <f t="shared" si="61"/>
        <v>0</v>
      </c>
      <c r="AE92" s="210">
        <f t="shared" si="62"/>
        <v>0</v>
      </c>
      <c r="AF92" s="210">
        <f t="shared" si="63"/>
        <v>0</v>
      </c>
      <c r="AG92" s="210">
        <f t="shared" si="64"/>
        <v>0</v>
      </c>
      <c r="AH92" s="210">
        <f t="shared" si="65"/>
        <v>0</v>
      </c>
      <c r="AI92" s="210">
        <f t="shared" si="66"/>
        <v>0</v>
      </c>
      <c r="AJ92" s="210">
        <f t="shared" si="67"/>
        <v>0</v>
      </c>
      <c r="AK92" s="210">
        <f t="shared" si="68"/>
        <v>0</v>
      </c>
      <c r="AL92" s="210">
        <f t="shared" si="69"/>
        <v>0</v>
      </c>
      <c r="AM92" s="210">
        <f t="shared" si="70"/>
        <v>0</v>
      </c>
      <c r="AN92" s="210">
        <f t="shared" si="71"/>
        <v>0</v>
      </c>
      <c r="AO92" s="210">
        <f t="shared" si="72"/>
        <v>0</v>
      </c>
      <c r="AP92" s="210">
        <f t="shared" si="73"/>
        <v>0</v>
      </c>
      <c r="AQ92" s="210">
        <f t="shared" si="74"/>
        <v>0</v>
      </c>
      <c r="AR92" s="210">
        <f t="shared" si="75"/>
        <v>0</v>
      </c>
      <c r="AT92" s="210"/>
      <c r="AU92" s="210">
        <f t="shared" si="76"/>
        <v>1.4836</v>
      </c>
      <c r="AV92" s="210">
        <f t="shared" si="77"/>
        <v>1.4836</v>
      </c>
      <c r="AW92" s="210">
        <f t="shared" si="78"/>
        <v>1.4836</v>
      </c>
      <c r="AX92" s="210">
        <f t="shared" si="79"/>
        <v>1.4836</v>
      </c>
      <c r="AY92" s="210">
        <f t="shared" si="80"/>
        <v>1.4836</v>
      </c>
      <c r="AZ92" s="210">
        <f t="shared" si="81"/>
        <v>1.4836</v>
      </c>
      <c r="BA92" s="210">
        <f t="shared" si="82"/>
        <v>1.4836</v>
      </c>
      <c r="BB92" s="210">
        <f t="shared" si="83"/>
        <v>1.4836</v>
      </c>
      <c r="BC92" s="210">
        <f t="shared" si="84"/>
        <v>1.4836</v>
      </c>
      <c r="BD92" s="210">
        <f t="shared" si="85"/>
        <v>1.4836</v>
      </c>
      <c r="BE92" s="210">
        <f t="shared" si="86"/>
        <v>0</v>
      </c>
      <c r="BF92" s="210">
        <f t="shared" si="87"/>
        <v>0</v>
      </c>
      <c r="BG92" s="210">
        <f t="shared" si="88"/>
        <v>0</v>
      </c>
      <c r="BH92" s="210">
        <f t="shared" si="89"/>
        <v>0</v>
      </c>
      <c r="BI92" s="210">
        <f t="shared" si="90"/>
        <v>0</v>
      </c>
      <c r="BJ92" s="210">
        <f t="shared" si="91"/>
        <v>0</v>
      </c>
      <c r="BK92" s="210">
        <f t="shared" si="92"/>
        <v>0</v>
      </c>
      <c r="BL92" s="210">
        <f t="shared" si="93"/>
        <v>0</v>
      </c>
      <c r="BM92" s="210">
        <f t="shared" si="94"/>
        <v>0</v>
      </c>
      <c r="BN92" s="210">
        <f t="shared" si="95"/>
        <v>0</v>
      </c>
    </row>
    <row r="93" spans="1:66">
      <c r="A93" s="209" t="s">
        <v>108</v>
      </c>
      <c r="B93" s="210">
        <f t="shared" si="53"/>
        <v>0</v>
      </c>
      <c r="C93" s="210">
        <f t="shared" ref="C93:K93" si="109">B93-($B93-$L93)/10</f>
        <v>0</v>
      </c>
      <c r="D93" s="210">
        <f t="shared" si="109"/>
        <v>0</v>
      </c>
      <c r="E93" s="210">
        <f t="shared" si="109"/>
        <v>0</v>
      </c>
      <c r="F93" s="210">
        <f t="shared" si="109"/>
        <v>0</v>
      </c>
      <c r="G93" s="210">
        <f t="shared" si="109"/>
        <v>0</v>
      </c>
      <c r="H93" s="210">
        <f t="shared" si="109"/>
        <v>0</v>
      </c>
      <c r="I93" s="210">
        <f t="shared" si="109"/>
        <v>0</v>
      </c>
      <c r="J93" s="210">
        <f t="shared" si="109"/>
        <v>0</v>
      </c>
      <c r="K93" s="210">
        <f t="shared" si="109"/>
        <v>0</v>
      </c>
      <c r="L93" s="210">
        <f t="shared" si="106"/>
        <v>0</v>
      </c>
      <c r="M93" s="210">
        <f t="shared" si="106"/>
        <v>0</v>
      </c>
      <c r="N93" s="210">
        <f t="shared" si="106"/>
        <v>0</v>
      </c>
      <c r="O93" s="210">
        <f t="shared" si="106"/>
        <v>0</v>
      </c>
      <c r="P93" s="210">
        <f t="shared" si="106"/>
        <v>0</v>
      </c>
      <c r="Q93" s="210">
        <f>MAX(AM19:$AR19)-Q58</f>
        <v>0</v>
      </c>
      <c r="R93" s="210">
        <f>MAX(AN19:$AR19)-R58</f>
        <v>0</v>
      </c>
      <c r="S93" s="210">
        <f>MAX(AO19:$AR19)-S58</f>
        <v>0</v>
      </c>
      <c r="T93" s="210">
        <f>MAX(AP19:$AR19)-T58</f>
        <v>0</v>
      </c>
      <c r="U93" s="210">
        <f>MAX(AQ19:$AR19)-U58</f>
        <v>0</v>
      </c>
      <c r="V93" s="210">
        <f>MAX(AR19:$AR19)-V58</f>
        <v>0</v>
      </c>
      <c r="X93" s="210"/>
      <c r="Y93" s="210">
        <f t="shared" si="56"/>
        <v>0</v>
      </c>
      <c r="Z93" s="210">
        <f t="shared" si="57"/>
        <v>0</v>
      </c>
      <c r="AA93" s="210">
        <f t="shared" si="58"/>
        <v>0</v>
      </c>
      <c r="AB93" s="210">
        <f t="shared" si="59"/>
        <v>0</v>
      </c>
      <c r="AC93" s="210">
        <f t="shared" si="60"/>
        <v>0</v>
      </c>
      <c r="AD93" s="210">
        <f t="shared" si="61"/>
        <v>0</v>
      </c>
      <c r="AE93" s="210">
        <f t="shared" si="62"/>
        <v>0</v>
      </c>
      <c r="AF93" s="210">
        <f t="shared" si="63"/>
        <v>0</v>
      </c>
      <c r="AG93" s="210">
        <f t="shared" si="64"/>
        <v>0</v>
      </c>
      <c r="AH93" s="210">
        <f t="shared" si="65"/>
        <v>0</v>
      </c>
      <c r="AI93" s="210">
        <f t="shared" si="66"/>
        <v>0</v>
      </c>
      <c r="AJ93" s="210">
        <f t="shared" si="67"/>
        <v>0</v>
      </c>
      <c r="AK93" s="210">
        <f t="shared" si="68"/>
        <v>0</v>
      </c>
      <c r="AL93" s="210">
        <f t="shared" si="69"/>
        <v>0</v>
      </c>
      <c r="AM93" s="210">
        <f t="shared" si="70"/>
        <v>0</v>
      </c>
      <c r="AN93" s="210">
        <f t="shared" si="71"/>
        <v>0</v>
      </c>
      <c r="AO93" s="210">
        <f t="shared" si="72"/>
        <v>0</v>
      </c>
      <c r="AP93" s="210">
        <f t="shared" si="73"/>
        <v>0</v>
      </c>
      <c r="AQ93" s="210">
        <f t="shared" si="74"/>
        <v>0</v>
      </c>
      <c r="AR93" s="210">
        <f t="shared" si="75"/>
        <v>0</v>
      </c>
      <c r="AT93" s="210"/>
      <c r="AU93" s="210">
        <f t="shared" si="76"/>
        <v>0</v>
      </c>
      <c r="AV93" s="210">
        <f t="shared" si="77"/>
        <v>0</v>
      </c>
      <c r="AW93" s="210">
        <f t="shared" si="78"/>
        <v>0</v>
      </c>
      <c r="AX93" s="210">
        <f t="shared" si="79"/>
        <v>0</v>
      </c>
      <c r="AY93" s="210">
        <f t="shared" si="80"/>
        <v>0</v>
      </c>
      <c r="AZ93" s="210">
        <f t="shared" si="81"/>
        <v>0</v>
      </c>
      <c r="BA93" s="210">
        <f t="shared" si="82"/>
        <v>0</v>
      </c>
      <c r="BB93" s="210">
        <f t="shared" si="83"/>
        <v>0</v>
      </c>
      <c r="BC93" s="210">
        <f t="shared" si="84"/>
        <v>0</v>
      </c>
      <c r="BD93" s="210">
        <f t="shared" si="85"/>
        <v>0</v>
      </c>
      <c r="BE93" s="210">
        <f t="shared" si="86"/>
        <v>0</v>
      </c>
      <c r="BF93" s="210">
        <f t="shared" si="87"/>
        <v>0</v>
      </c>
      <c r="BG93" s="210">
        <f t="shared" si="88"/>
        <v>0</v>
      </c>
      <c r="BH93" s="210">
        <f t="shared" si="89"/>
        <v>0</v>
      </c>
      <c r="BI93" s="210">
        <f t="shared" si="90"/>
        <v>0</v>
      </c>
      <c r="BJ93" s="210">
        <f t="shared" si="91"/>
        <v>0</v>
      </c>
      <c r="BK93" s="210">
        <f t="shared" si="92"/>
        <v>0</v>
      </c>
      <c r="BL93" s="210">
        <f t="shared" si="93"/>
        <v>0</v>
      </c>
      <c r="BM93" s="210">
        <f t="shared" si="94"/>
        <v>0</v>
      </c>
      <c r="BN93" s="210">
        <f t="shared" si="95"/>
        <v>0</v>
      </c>
    </row>
    <row r="94" spans="1:66">
      <c r="A94" s="209" t="s">
        <v>110</v>
      </c>
      <c r="B94" s="210">
        <f t="shared" si="53"/>
        <v>81.77</v>
      </c>
      <c r="C94" s="210">
        <f t="shared" ref="C94:K94" si="110">B94-($B94-$L94)/10</f>
        <v>73.593</v>
      </c>
      <c r="D94" s="210">
        <f t="shared" si="110"/>
        <v>65.416</v>
      </c>
      <c r="E94" s="210">
        <f t="shared" si="110"/>
        <v>57.239</v>
      </c>
      <c r="F94" s="210">
        <f t="shared" si="110"/>
        <v>49.062</v>
      </c>
      <c r="G94" s="210">
        <f t="shared" si="110"/>
        <v>40.885</v>
      </c>
      <c r="H94" s="210">
        <f t="shared" si="110"/>
        <v>32.708</v>
      </c>
      <c r="I94" s="210">
        <f t="shared" si="110"/>
        <v>24.531</v>
      </c>
      <c r="J94" s="210">
        <f t="shared" si="110"/>
        <v>16.354</v>
      </c>
      <c r="K94" s="210">
        <f t="shared" si="110"/>
        <v>8.177</v>
      </c>
      <c r="L94" s="210">
        <f t="shared" si="106"/>
        <v>0</v>
      </c>
      <c r="M94" s="210">
        <f t="shared" si="106"/>
        <v>0</v>
      </c>
      <c r="N94" s="210">
        <f t="shared" si="106"/>
        <v>0</v>
      </c>
      <c r="O94" s="210">
        <f t="shared" si="106"/>
        <v>0</v>
      </c>
      <c r="P94" s="210">
        <f t="shared" si="106"/>
        <v>0</v>
      </c>
      <c r="Q94" s="210">
        <f>MAX(AM20:$AR20)-Q59</f>
        <v>0</v>
      </c>
      <c r="R94" s="210">
        <f>MAX(AN20:$AR20)-R59</f>
        <v>0</v>
      </c>
      <c r="S94" s="210">
        <f>MAX(AO20:$AR20)-S59</f>
        <v>0</v>
      </c>
      <c r="T94" s="210">
        <f>MAX(AP20:$AR20)-T59</f>
        <v>0</v>
      </c>
      <c r="U94" s="210">
        <f>MAX(AQ20:$AR20)-U59</f>
        <v>0</v>
      </c>
      <c r="V94" s="210">
        <f>MAX(AR20:$AR20)-V59</f>
        <v>0</v>
      </c>
      <c r="X94" s="210"/>
      <c r="Y94" s="210">
        <f t="shared" si="56"/>
        <v>0</v>
      </c>
      <c r="Z94" s="210">
        <f t="shared" si="57"/>
        <v>0</v>
      </c>
      <c r="AA94" s="210">
        <f t="shared" si="58"/>
        <v>0</v>
      </c>
      <c r="AB94" s="210">
        <f t="shared" si="59"/>
        <v>0</v>
      </c>
      <c r="AC94" s="210">
        <f t="shared" si="60"/>
        <v>0</v>
      </c>
      <c r="AD94" s="210">
        <f t="shared" si="61"/>
        <v>0</v>
      </c>
      <c r="AE94" s="210">
        <f t="shared" si="62"/>
        <v>0</v>
      </c>
      <c r="AF94" s="210">
        <f t="shared" si="63"/>
        <v>0</v>
      </c>
      <c r="AG94" s="210">
        <f t="shared" si="64"/>
        <v>0</v>
      </c>
      <c r="AH94" s="210">
        <f t="shared" si="65"/>
        <v>0</v>
      </c>
      <c r="AI94" s="210">
        <f t="shared" si="66"/>
        <v>0</v>
      </c>
      <c r="AJ94" s="210">
        <f t="shared" si="67"/>
        <v>0</v>
      </c>
      <c r="AK94" s="210">
        <f t="shared" si="68"/>
        <v>0</v>
      </c>
      <c r="AL94" s="210">
        <f t="shared" si="69"/>
        <v>0</v>
      </c>
      <c r="AM94" s="210">
        <f t="shared" si="70"/>
        <v>0</v>
      </c>
      <c r="AN94" s="210">
        <f t="shared" si="71"/>
        <v>0</v>
      </c>
      <c r="AO94" s="210">
        <f t="shared" si="72"/>
        <v>0</v>
      </c>
      <c r="AP94" s="210">
        <f t="shared" si="73"/>
        <v>0</v>
      </c>
      <c r="AQ94" s="210">
        <f t="shared" si="74"/>
        <v>0</v>
      </c>
      <c r="AR94" s="210">
        <f t="shared" si="75"/>
        <v>0</v>
      </c>
      <c r="AT94" s="210"/>
      <c r="AU94" s="210">
        <f t="shared" si="76"/>
        <v>8.17700000000001</v>
      </c>
      <c r="AV94" s="210">
        <f t="shared" si="77"/>
        <v>8.17699999999999</v>
      </c>
      <c r="AW94" s="210">
        <f t="shared" si="78"/>
        <v>8.177</v>
      </c>
      <c r="AX94" s="210">
        <f t="shared" si="79"/>
        <v>8.177</v>
      </c>
      <c r="AY94" s="210">
        <f t="shared" si="80"/>
        <v>8.177</v>
      </c>
      <c r="AZ94" s="210">
        <f t="shared" si="81"/>
        <v>8.177</v>
      </c>
      <c r="BA94" s="210">
        <f t="shared" si="82"/>
        <v>8.177</v>
      </c>
      <c r="BB94" s="210">
        <f t="shared" si="83"/>
        <v>8.177</v>
      </c>
      <c r="BC94" s="210">
        <f t="shared" si="84"/>
        <v>8.177</v>
      </c>
      <c r="BD94" s="210">
        <f t="shared" si="85"/>
        <v>8.177</v>
      </c>
      <c r="BE94" s="210">
        <f t="shared" si="86"/>
        <v>0</v>
      </c>
      <c r="BF94" s="210">
        <f t="shared" si="87"/>
        <v>0</v>
      </c>
      <c r="BG94" s="210">
        <f t="shared" si="88"/>
        <v>0</v>
      </c>
      <c r="BH94" s="210">
        <f t="shared" si="89"/>
        <v>0</v>
      </c>
      <c r="BI94" s="210">
        <f t="shared" si="90"/>
        <v>0</v>
      </c>
      <c r="BJ94" s="210">
        <f t="shared" si="91"/>
        <v>0</v>
      </c>
      <c r="BK94" s="210">
        <f t="shared" si="92"/>
        <v>0</v>
      </c>
      <c r="BL94" s="210">
        <f t="shared" si="93"/>
        <v>0</v>
      </c>
      <c r="BM94" s="210">
        <f t="shared" si="94"/>
        <v>0</v>
      </c>
      <c r="BN94" s="210">
        <f t="shared" si="95"/>
        <v>0</v>
      </c>
    </row>
    <row r="95" spans="1:66">
      <c r="A95" s="209" t="s">
        <v>112</v>
      </c>
      <c r="B95" s="210">
        <f t="shared" si="53"/>
        <v>0</v>
      </c>
      <c r="C95" s="210">
        <f t="shared" ref="C95:K95" si="111">B95-($B95-$L95)/10</f>
        <v>0</v>
      </c>
      <c r="D95" s="210">
        <f t="shared" si="111"/>
        <v>0</v>
      </c>
      <c r="E95" s="210">
        <f t="shared" si="111"/>
        <v>0</v>
      </c>
      <c r="F95" s="210">
        <f t="shared" si="111"/>
        <v>0</v>
      </c>
      <c r="G95" s="210">
        <f t="shared" si="111"/>
        <v>0</v>
      </c>
      <c r="H95" s="210">
        <f t="shared" si="111"/>
        <v>0</v>
      </c>
      <c r="I95" s="210">
        <f t="shared" si="111"/>
        <v>0</v>
      </c>
      <c r="J95" s="210">
        <f t="shared" si="111"/>
        <v>0</v>
      </c>
      <c r="K95" s="210">
        <f t="shared" si="111"/>
        <v>0</v>
      </c>
      <c r="L95" s="210">
        <f t="shared" si="106"/>
        <v>0</v>
      </c>
      <c r="M95" s="210">
        <f t="shared" si="106"/>
        <v>0</v>
      </c>
      <c r="N95" s="210">
        <f t="shared" si="106"/>
        <v>0</v>
      </c>
      <c r="O95" s="210">
        <f t="shared" si="106"/>
        <v>0</v>
      </c>
      <c r="P95" s="210">
        <f t="shared" si="106"/>
        <v>0</v>
      </c>
      <c r="Q95" s="210">
        <f>MAX(AM21:$AR21)-Q60</f>
        <v>0</v>
      </c>
      <c r="R95" s="210">
        <f>MAX(AN21:$AR21)-R60</f>
        <v>0</v>
      </c>
      <c r="S95" s="210">
        <f>MAX(AO21:$AR21)-S60</f>
        <v>0</v>
      </c>
      <c r="T95" s="210">
        <f>MAX(AP21:$AR21)-T60</f>
        <v>0</v>
      </c>
      <c r="U95" s="210">
        <f>MAX(AQ21:$AR21)-U60</f>
        <v>0</v>
      </c>
      <c r="V95" s="210">
        <f>MAX(AR21:$AR21)-V60</f>
        <v>0</v>
      </c>
      <c r="X95" s="210"/>
      <c r="Y95" s="210">
        <f t="shared" si="56"/>
        <v>0</v>
      </c>
      <c r="Z95" s="210">
        <f t="shared" si="57"/>
        <v>0</v>
      </c>
      <c r="AA95" s="210">
        <f t="shared" si="58"/>
        <v>0</v>
      </c>
      <c r="AB95" s="210">
        <f t="shared" si="59"/>
        <v>0</v>
      </c>
      <c r="AC95" s="210">
        <f t="shared" si="60"/>
        <v>0</v>
      </c>
      <c r="AD95" s="210">
        <f t="shared" si="61"/>
        <v>0</v>
      </c>
      <c r="AE95" s="210">
        <f t="shared" si="62"/>
        <v>0</v>
      </c>
      <c r="AF95" s="210">
        <f t="shared" si="63"/>
        <v>0</v>
      </c>
      <c r="AG95" s="210">
        <f t="shared" si="64"/>
        <v>0</v>
      </c>
      <c r="AH95" s="210">
        <f t="shared" si="65"/>
        <v>0</v>
      </c>
      <c r="AI95" s="210">
        <f t="shared" si="66"/>
        <v>0</v>
      </c>
      <c r="AJ95" s="210">
        <f t="shared" si="67"/>
        <v>0</v>
      </c>
      <c r="AK95" s="210">
        <f t="shared" si="68"/>
        <v>0</v>
      </c>
      <c r="AL95" s="210">
        <f t="shared" si="69"/>
        <v>0</v>
      </c>
      <c r="AM95" s="210">
        <f t="shared" si="70"/>
        <v>0</v>
      </c>
      <c r="AN95" s="210">
        <f t="shared" si="71"/>
        <v>0</v>
      </c>
      <c r="AO95" s="210">
        <f t="shared" si="72"/>
        <v>0</v>
      </c>
      <c r="AP95" s="210">
        <f t="shared" si="73"/>
        <v>0</v>
      </c>
      <c r="AQ95" s="210">
        <f t="shared" si="74"/>
        <v>0</v>
      </c>
      <c r="AR95" s="210">
        <f t="shared" si="75"/>
        <v>0</v>
      </c>
      <c r="AT95" s="210"/>
      <c r="AU95" s="210">
        <f t="shared" si="76"/>
        <v>0</v>
      </c>
      <c r="AV95" s="210">
        <f t="shared" si="77"/>
        <v>0</v>
      </c>
      <c r="AW95" s="210">
        <f t="shared" si="78"/>
        <v>0</v>
      </c>
      <c r="AX95" s="210">
        <f t="shared" si="79"/>
        <v>0</v>
      </c>
      <c r="AY95" s="210">
        <f t="shared" si="80"/>
        <v>0</v>
      </c>
      <c r="AZ95" s="210">
        <f t="shared" si="81"/>
        <v>0</v>
      </c>
      <c r="BA95" s="210">
        <f t="shared" si="82"/>
        <v>0</v>
      </c>
      <c r="BB95" s="210">
        <f t="shared" si="83"/>
        <v>0</v>
      </c>
      <c r="BC95" s="210">
        <f t="shared" si="84"/>
        <v>0</v>
      </c>
      <c r="BD95" s="210">
        <f t="shared" si="85"/>
        <v>0</v>
      </c>
      <c r="BE95" s="210">
        <f t="shared" si="86"/>
        <v>0</v>
      </c>
      <c r="BF95" s="210">
        <f t="shared" si="87"/>
        <v>0</v>
      </c>
      <c r="BG95" s="210">
        <f t="shared" si="88"/>
        <v>0</v>
      </c>
      <c r="BH95" s="210">
        <f t="shared" si="89"/>
        <v>0</v>
      </c>
      <c r="BI95" s="210">
        <f t="shared" si="90"/>
        <v>0</v>
      </c>
      <c r="BJ95" s="210">
        <f t="shared" si="91"/>
        <v>0</v>
      </c>
      <c r="BK95" s="210">
        <f t="shared" si="92"/>
        <v>0</v>
      </c>
      <c r="BL95" s="210">
        <f t="shared" si="93"/>
        <v>0</v>
      </c>
      <c r="BM95" s="210">
        <f t="shared" si="94"/>
        <v>0</v>
      </c>
      <c r="BN95" s="210">
        <f t="shared" si="95"/>
        <v>0</v>
      </c>
    </row>
    <row r="96" spans="1:66">
      <c r="A96" s="209" t="s">
        <v>114</v>
      </c>
      <c r="B96" s="210">
        <f t="shared" si="53"/>
        <v>37.65</v>
      </c>
      <c r="C96" s="210">
        <f t="shared" ref="C96:K96" si="112">B96-($B96-$L96)/10</f>
        <v>33.885</v>
      </c>
      <c r="D96" s="210">
        <f t="shared" si="112"/>
        <v>30.12</v>
      </c>
      <c r="E96" s="210">
        <f t="shared" si="112"/>
        <v>26.355</v>
      </c>
      <c r="F96" s="210">
        <f t="shared" si="112"/>
        <v>22.59</v>
      </c>
      <c r="G96" s="210">
        <f t="shared" si="112"/>
        <v>18.825</v>
      </c>
      <c r="H96" s="210">
        <f t="shared" si="112"/>
        <v>15.06</v>
      </c>
      <c r="I96" s="210">
        <f t="shared" si="112"/>
        <v>11.295</v>
      </c>
      <c r="J96" s="210">
        <f t="shared" si="112"/>
        <v>7.52999999999999</v>
      </c>
      <c r="K96" s="210">
        <f t="shared" si="112"/>
        <v>3.765</v>
      </c>
      <c r="L96" s="210">
        <f t="shared" si="106"/>
        <v>0</v>
      </c>
      <c r="M96" s="210">
        <f t="shared" si="106"/>
        <v>0</v>
      </c>
      <c r="N96" s="210">
        <f t="shared" si="106"/>
        <v>0</v>
      </c>
      <c r="O96" s="210">
        <f t="shared" si="106"/>
        <v>0</v>
      </c>
      <c r="P96" s="210">
        <f t="shared" si="106"/>
        <v>0</v>
      </c>
      <c r="Q96" s="210">
        <f>MAX(AM22:$AR22)-Q61</f>
        <v>0</v>
      </c>
      <c r="R96" s="210">
        <f>MAX(AN22:$AR22)-R61</f>
        <v>0</v>
      </c>
      <c r="S96" s="210">
        <f>MAX(AO22:$AR22)-S61</f>
        <v>0</v>
      </c>
      <c r="T96" s="210">
        <f>MAX(AP22:$AR22)-T61</f>
        <v>0</v>
      </c>
      <c r="U96" s="210">
        <f>MAX(AQ22:$AR22)-U61</f>
        <v>0</v>
      </c>
      <c r="V96" s="210">
        <f>MAX(AR22:$AR22)-V61</f>
        <v>0</v>
      </c>
      <c r="X96" s="210"/>
      <c r="Y96" s="210">
        <f t="shared" si="56"/>
        <v>0</v>
      </c>
      <c r="Z96" s="210">
        <f t="shared" si="57"/>
        <v>0</v>
      </c>
      <c r="AA96" s="210">
        <f t="shared" si="58"/>
        <v>0</v>
      </c>
      <c r="AB96" s="210">
        <f t="shared" si="59"/>
        <v>0</v>
      </c>
      <c r="AC96" s="210">
        <f t="shared" si="60"/>
        <v>0</v>
      </c>
      <c r="AD96" s="210">
        <f t="shared" si="61"/>
        <v>0</v>
      </c>
      <c r="AE96" s="210">
        <f t="shared" si="62"/>
        <v>0</v>
      </c>
      <c r="AF96" s="210">
        <f t="shared" si="63"/>
        <v>0</v>
      </c>
      <c r="AG96" s="210">
        <f t="shared" si="64"/>
        <v>0</v>
      </c>
      <c r="AH96" s="210">
        <f t="shared" si="65"/>
        <v>0</v>
      </c>
      <c r="AI96" s="210">
        <f t="shared" si="66"/>
        <v>0</v>
      </c>
      <c r="AJ96" s="210">
        <f t="shared" si="67"/>
        <v>0</v>
      </c>
      <c r="AK96" s="210">
        <f t="shared" si="68"/>
        <v>0</v>
      </c>
      <c r="AL96" s="210">
        <f t="shared" si="69"/>
        <v>0</v>
      </c>
      <c r="AM96" s="210">
        <f t="shared" si="70"/>
        <v>0</v>
      </c>
      <c r="AN96" s="210">
        <f t="shared" si="71"/>
        <v>0</v>
      </c>
      <c r="AO96" s="210">
        <f t="shared" si="72"/>
        <v>0</v>
      </c>
      <c r="AP96" s="210">
        <f t="shared" si="73"/>
        <v>0</v>
      </c>
      <c r="AQ96" s="210">
        <f t="shared" si="74"/>
        <v>0</v>
      </c>
      <c r="AR96" s="210">
        <f t="shared" si="75"/>
        <v>0</v>
      </c>
      <c r="AT96" s="210"/>
      <c r="AU96" s="210">
        <f t="shared" si="76"/>
        <v>3.765</v>
      </c>
      <c r="AV96" s="210">
        <f t="shared" si="77"/>
        <v>3.765</v>
      </c>
      <c r="AW96" s="210">
        <f t="shared" si="78"/>
        <v>3.765</v>
      </c>
      <c r="AX96" s="210">
        <f t="shared" si="79"/>
        <v>3.765</v>
      </c>
      <c r="AY96" s="210">
        <f t="shared" si="80"/>
        <v>3.765</v>
      </c>
      <c r="AZ96" s="210">
        <f t="shared" si="81"/>
        <v>3.765</v>
      </c>
      <c r="BA96" s="210">
        <f t="shared" si="82"/>
        <v>3.765</v>
      </c>
      <c r="BB96" s="210">
        <f t="shared" si="83"/>
        <v>3.765</v>
      </c>
      <c r="BC96" s="210">
        <f t="shared" si="84"/>
        <v>3.765</v>
      </c>
      <c r="BD96" s="210">
        <f t="shared" si="85"/>
        <v>3.765</v>
      </c>
      <c r="BE96" s="210">
        <f t="shared" si="86"/>
        <v>0</v>
      </c>
      <c r="BF96" s="210">
        <f t="shared" si="87"/>
        <v>0</v>
      </c>
      <c r="BG96" s="210">
        <f t="shared" si="88"/>
        <v>0</v>
      </c>
      <c r="BH96" s="210">
        <f t="shared" si="89"/>
        <v>0</v>
      </c>
      <c r="BI96" s="210">
        <f t="shared" si="90"/>
        <v>0</v>
      </c>
      <c r="BJ96" s="210">
        <f t="shared" si="91"/>
        <v>0</v>
      </c>
      <c r="BK96" s="210">
        <f t="shared" si="92"/>
        <v>0</v>
      </c>
      <c r="BL96" s="210">
        <f t="shared" si="93"/>
        <v>0</v>
      </c>
      <c r="BM96" s="210">
        <f t="shared" si="94"/>
        <v>0</v>
      </c>
      <c r="BN96" s="210">
        <f t="shared" si="95"/>
        <v>0</v>
      </c>
    </row>
    <row r="97" spans="1:66">
      <c r="A97" s="209" t="s">
        <v>116</v>
      </c>
      <c r="B97" s="210">
        <f t="shared" si="53"/>
        <v>0</v>
      </c>
      <c r="C97" s="210">
        <f t="shared" ref="C97:K97" si="113">B97-($B97-$L97)/10</f>
        <v>0.58</v>
      </c>
      <c r="D97" s="210">
        <f t="shared" si="113"/>
        <v>1.16</v>
      </c>
      <c r="E97" s="210">
        <f t="shared" si="113"/>
        <v>1.74</v>
      </c>
      <c r="F97" s="210">
        <f t="shared" si="113"/>
        <v>2.32</v>
      </c>
      <c r="G97" s="210">
        <f t="shared" si="113"/>
        <v>2.9</v>
      </c>
      <c r="H97" s="210">
        <f t="shared" si="113"/>
        <v>3.48</v>
      </c>
      <c r="I97" s="210">
        <f t="shared" si="113"/>
        <v>4.06</v>
      </c>
      <c r="J97" s="210">
        <f t="shared" si="113"/>
        <v>4.64</v>
      </c>
      <c r="K97" s="210">
        <f t="shared" si="113"/>
        <v>5.22</v>
      </c>
      <c r="L97" s="210">
        <f t="shared" si="106"/>
        <v>5.8</v>
      </c>
      <c r="M97" s="210">
        <f t="shared" si="106"/>
        <v>5.8</v>
      </c>
      <c r="N97" s="210">
        <f t="shared" si="106"/>
        <v>5.8</v>
      </c>
      <c r="O97" s="210">
        <f t="shared" si="106"/>
        <v>5.8</v>
      </c>
      <c r="P97" s="210">
        <f t="shared" si="106"/>
        <v>5.8</v>
      </c>
      <c r="Q97" s="210">
        <f>MAX(AM23:$AR23)-Q62</f>
        <v>5.8</v>
      </c>
      <c r="R97" s="210">
        <f>MAX(AN23:$AR23)-R62</f>
        <v>5.8</v>
      </c>
      <c r="S97" s="210">
        <f>MAX(AO23:$AR23)-S62</f>
        <v>5.8</v>
      </c>
      <c r="T97" s="210">
        <f>MAX(AP23:$AR23)-T62</f>
        <v>5.8</v>
      </c>
      <c r="U97" s="210">
        <f>MAX(AQ23:$AR23)-U62</f>
        <v>4.8</v>
      </c>
      <c r="V97" s="210">
        <f>MAX(AR23:$AR23)-V62</f>
        <v>4.8</v>
      </c>
      <c r="X97" s="210"/>
      <c r="Y97" s="210">
        <f t="shared" si="56"/>
        <v>0.58</v>
      </c>
      <c r="Z97" s="210">
        <f t="shared" si="57"/>
        <v>0.58</v>
      </c>
      <c r="AA97" s="210">
        <f t="shared" si="58"/>
        <v>0.58</v>
      </c>
      <c r="AB97" s="210">
        <f t="shared" si="59"/>
        <v>0.58</v>
      </c>
      <c r="AC97" s="210">
        <f t="shared" si="60"/>
        <v>0.58</v>
      </c>
      <c r="AD97" s="210">
        <f t="shared" si="61"/>
        <v>0.58</v>
      </c>
      <c r="AE97" s="210">
        <f t="shared" si="62"/>
        <v>0.58</v>
      </c>
      <c r="AF97" s="210">
        <f t="shared" si="63"/>
        <v>0.58</v>
      </c>
      <c r="AG97" s="210">
        <f t="shared" si="64"/>
        <v>0.58</v>
      </c>
      <c r="AH97" s="210">
        <f t="shared" si="65"/>
        <v>0.58</v>
      </c>
      <c r="AI97" s="210">
        <f t="shared" si="66"/>
        <v>0</v>
      </c>
      <c r="AJ97" s="210">
        <f t="shared" si="67"/>
        <v>0</v>
      </c>
      <c r="AK97" s="210">
        <f t="shared" si="68"/>
        <v>0</v>
      </c>
      <c r="AL97" s="210">
        <f t="shared" si="69"/>
        <v>0</v>
      </c>
      <c r="AM97" s="210">
        <f t="shared" si="70"/>
        <v>0</v>
      </c>
      <c r="AN97" s="210">
        <f t="shared" si="71"/>
        <v>0</v>
      </c>
      <c r="AO97" s="210">
        <f t="shared" si="72"/>
        <v>0</v>
      </c>
      <c r="AP97" s="210">
        <f t="shared" si="73"/>
        <v>0</v>
      </c>
      <c r="AQ97" s="210">
        <f t="shared" si="74"/>
        <v>0</v>
      </c>
      <c r="AR97" s="210">
        <f t="shared" si="75"/>
        <v>0</v>
      </c>
      <c r="AT97" s="210"/>
      <c r="AU97" s="210">
        <f t="shared" si="76"/>
        <v>0</v>
      </c>
      <c r="AV97" s="210">
        <f t="shared" si="77"/>
        <v>0</v>
      </c>
      <c r="AW97" s="210">
        <f t="shared" si="78"/>
        <v>0</v>
      </c>
      <c r="AX97" s="210">
        <f t="shared" si="79"/>
        <v>0</v>
      </c>
      <c r="AY97" s="210">
        <f t="shared" si="80"/>
        <v>0</v>
      </c>
      <c r="AZ97" s="210">
        <f t="shared" si="81"/>
        <v>0</v>
      </c>
      <c r="BA97" s="210">
        <f t="shared" si="82"/>
        <v>0</v>
      </c>
      <c r="BB97" s="210">
        <f t="shared" si="83"/>
        <v>0</v>
      </c>
      <c r="BC97" s="210">
        <f t="shared" si="84"/>
        <v>0</v>
      </c>
      <c r="BD97" s="210">
        <f t="shared" si="85"/>
        <v>0</v>
      </c>
      <c r="BE97" s="210">
        <f t="shared" si="86"/>
        <v>0</v>
      </c>
      <c r="BF97" s="210">
        <f t="shared" si="87"/>
        <v>0</v>
      </c>
      <c r="BG97" s="210">
        <f t="shared" si="88"/>
        <v>0</v>
      </c>
      <c r="BH97" s="210">
        <f t="shared" si="89"/>
        <v>0</v>
      </c>
      <c r="BI97" s="210">
        <f t="shared" si="90"/>
        <v>0</v>
      </c>
      <c r="BJ97" s="210">
        <f t="shared" si="91"/>
        <v>0</v>
      </c>
      <c r="BK97" s="210">
        <f t="shared" si="92"/>
        <v>0</v>
      </c>
      <c r="BL97" s="210">
        <f t="shared" si="93"/>
        <v>0</v>
      </c>
      <c r="BM97" s="210">
        <f t="shared" si="94"/>
        <v>1</v>
      </c>
      <c r="BN97" s="210">
        <f t="shared" si="95"/>
        <v>0</v>
      </c>
    </row>
    <row r="98" spans="1:66">
      <c r="A98" s="209" t="s">
        <v>118</v>
      </c>
      <c r="B98" s="210">
        <f t="shared" si="53"/>
        <v>489.599</v>
      </c>
      <c r="C98" s="210">
        <f t="shared" ref="C98:K98" si="114">B98-($B98-$L98)/10</f>
        <v>440.6391</v>
      </c>
      <c r="D98" s="210">
        <f t="shared" si="114"/>
        <v>391.6792</v>
      </c>
      <c r="E98" s="210">
        <f t="shared" si="114"/>
        <v>342.7193</v>
      </c>
      <c r="F98" s="210">
        <f t="shared" si="114"/>
        <v>293.7594</v>
      </c>
      <c r="G98" s="210">
        <f t="shared" si="114"/>
        <v>244.7995</v>
      </c>
      <c r="H98" s="210">
        <f t="shared" si="114"/>
        <v>195.8396</v>
      </c>
      <c r="I98" s="210">
        <f t="shared" si="114"/>
        <v>146.8797</v>
      </c>
      <c r="J98" s="210">
        <f t="shared" si="114"/>
        <v>97.9198</v>
      </c>
      <c r="K98" s="210">
        <f t="shared" si="114"/>
        <v>48.9599</v>
      </c>
      <c r="L98" s="210">
        <f t="shared" si="106"/>
        <v>0</v>
      </c>
      <c r="M98" s="210">
        <f t="shared" si="106"/>
        <v>0</v>
      </c>
      <c r="N98" s="210">
        <f t="shared" si="106"/>
        <v>0</v>
      </c>
      <c r="O98" s="210">
        <f t="shared" si="106"/>
        <v>0</v>
      </c>
      <c r="P98" s="210">
        <f t="shared" si="106"/>
        <v>0</v>
      </c>
      <c r="Q98" s="210">
        <f>MAX(AM24:$AR24)-Q63</f>
        <v>0</v>
      </c>
      <c r="R98" s="210">
        <f>MAX(AN24:$AR24)-R63</f>
        <v>0</v>
      </c>
      <c r="S98" s="210">
        <f>MAX(AO24:$AR24)-S63</f>
        <v>0</v>
      </c>
      <c r="T98" s="210">
        <f>MAX(AP24:$AR24)-T63</f>
        <v>0</v>
      </c>
      <c r="U98" s="210">
        <f>MAX(AQ24:$AR24)-U63</f>
        <v>0</v>
      </c>
      <c r="V98" s="210">
        <f>MAX(AR24:$AR24)-V63</f>
        <v>0</v>
      </c>
      <c r="X98" s="210"/>
      <c r="Y98" s="210">
        <f t="shared" si="56"/>
        <v>0</v>
      </c>
      <c r="Z98" s="210">
        <f t="shared" si="57"/>
        <v>0</v>
      </c>
      <c r="AA98" s="210">
        <f t="shared" si="58"/>
        <v>0</v>
      </c>
      <c r="AB98" s="210">
        <f t="shared" si="59"/>
        <v>0</v>
      </c>
      <c r="AC98" s="210">
        <f t="shared" si="60"/>
        <v>0</v>
      </c>
      <c r="AD98" s="210">
        <f t="shared" si="61"/>
        <v>0</v>
      </c>
      <c r="AE98" s="210">
        <f t="shared" si="62"/>
        <v>0</v>
      </c>
      <c r="AF98" s="210">
        <f t="shared" si="63"/>
        <v>0</v>
      </c>
      <c r="AG98" s="210">
        <f t="shared" si="64"/>
        <v>0</v>
      </c>
      <c r="AH98" s="210">
        <f t="shared" si="65"/>
        <v>0</v>
      </c>
      <c r="AI98" s="210">
        <f t="shared" si="66"/>
        <v>0</v>
      </c>
      <c r="AJ98" s="210">
        <f t="shared" si="67"/>
        <v>0</v>
      </c>
      <c r="AK98" s="210">
        <f t="shared" si="68"/>
        <v>0</v>
      </c>
      <c r="AL98" s="210">
        <f t="shared" si="69"/>
        <v>0</v>
      </c>
      <c r="AM98" s="210">
        <f t="shared" si="70"/>
        <v>0</v>
      </c>
      <c r="AN98" s="210">
        <f t="shared" si="71"/>
        <v>0</v>
      </c>
      <c r="AO98" s="210">
        <f t="shared" si="72"/>
        <v>0</v>
      </c>
      <c r="AP98" s="210">
        <f t="shared" si="73"/>
        <v>0</v>
      </c>
      <c r="AQ98" s="210">
        <f t="shared" si="74"/>
        <v>0</v>
      </c>
      <c r="AR98" s="210">
        <f t="shared" si="75"/>
        <v>0</v>
      </c>
      <c r="AT98" s="210"/>
      <c r="AU98" s="210">
        <f t="shared" si="76"/>
        <v>48.9599</v>
      </c>
      <c r="AV98" s="210">
        <f t="shared" si="77"/>
        <v>48.9599</v>
      </c>
      <c r="AW98" s="210">
        <f t="shared" si="78"/>
        <v>48.9599</v>
      </c>
      <c r="AX98" s="210">
        <f t="shared" si="79"/>
        <v>48.9599</v>
      </c>
      <c r="AY98" s="210">
        <f t="shared" si="80"/>
        <v>48.9599</v>
      </c>
      <c r="AZ98" s="210">
        <f t="shared" si="81"/>
        <v>48.9599</v>
      </c>
      <c r="BA98" s="210">
        <f t="shared" si="82"/>
        <v>48.9599</v>
      </c>
      <c r="BB98" s="210">
        <f t="shared" si="83"/>
        <v>48.9599</v>
      </c>
      <c r="BC98" s="210">
        <f t="shared" si="84"/>
        <v>48.9599</v>
      </c>
      <c r="BD98" s="210">
        <f t="shared" si="85"/>
        <v>48.9599</v>
      </c>
      <c r="BE98" s="210">
        <f t="shared" si="86"/>
        <v>0</v>
      </c>
      <c r="BF98" s="210">
        <f t="shared" si="87"/>
        <v>0</v>
      </c>
      <c r="BG98" s="210">
        <f t="shared" si="88"/>
        <v>0</v>
      </c>
      <c r="BH98" s="210">
        <f t="shared" si="89"/>
        <v>0</v>
      </c>
      <c r="BI98" s="210">
        <f t="shared" si="90"/>
        <v>0</v>
      </c>
      <c r="BJ98" s="210">
        <f t="shared" si="91"/>
        <v>0</v>
      </c>
      <c r="BK98" s="210">
        <f t="shared" si="92"/>
        <v>0</v>
      </c>
      <c r="BL98" s="210">
        <f t="shared" si="93"/>
        <v>0</v>
      </c>
      <c r="BM98" s="210">
        <f t="shared" si="94"/>
        <v>0</v>
      </c>
      <c r="BN98" s="210">
        <f t="shared" si="95"/>
        <v>0</v>
      </c>
    </row>
    <row r="99" spans="1:66">
      <c r="A99" s="209" t="s">
        <v>819</v>
      </c>
      <c r="B99" s="210">
        <f t="shared" si="53"/>
        <v>1.07</v>
      </c>
      <c r="C99" s="210">
        <f t="shared" ref="C99:K99" si="115">B99-($B99-$L99)/10</f>
        <v>0.963</v>
      </c>
      <c r="D99" s="210">
        <f t="shared" si="115"/>
        <v>0.856</v>
      </c>
      <c r="E99" s="210">
        <f t="shared" si="115"/>
        <v>0.749</v>
      </c>
      <c r="F99" s="210">
        <f t="shared" si="115"/>
        <v>0.642</v>
      </c>
      <c r="G99" s="210">
        <f t="shared" si="115"/>
        <v>0.535</v>
      </c>
      <c r="H99" s="210">
        <f t="shared" si="115"/>
        <v>0.428</v>
      </c>
      <c r="I99" s="210">
        <f t="shared" si="115"/>
        <v>0.321</v>
      </c>
      <c r="J99" s="210">
        <f t="shared" si="115"/>
        <v>0.214</v>
      </c>
      <c r="K99" s="210">
        <f t="shared" si="115"/>
        <v>0.107</v>
      </c>
      <c r="L99" s="210">
        <f t="shared" si="106"/>
        <v>0</v>
      </c>
      <c r="M99" s="210">
        <f t="shared" si="106"/>
        <v>0</v>
      </c>
      <c r="N99" s="210">
        <f t="shared" si="106"/>
        <v>0</v>
      </c>
      <c r="O99" s="210">
        <f t="shared" si="106"/>
        <v>0</v>
      </c>
      <c r="P99" s="210">
        <f t="shared" si="106"/>
        <v>0</v>
      </c>
      <c r="Q99" s="210">
        <f>MAX(AM25:$AR25)-Q64</f>
        <v>0</v>
      </c>
      <c r="R99" s="210">
        <f>MAX(AN25:$AR25)-R64</f>
        <v>0</v>
      </c>
      <c r="S99" s="210">
        <f>MAX(AO25:$AR25)-S64</f>
        <v>0</v>
      </c>
      <c r="T99" s="210">
        <f>MAX(AP25:$AR25)-T64</f>
        <v>0</v>
      </c>
      <c r="U99" s="210">
        <f>MAX(AQ25:$AR25)-U64</f>
        <v>0</v>
      </c>
      <c r="V99" s="210">
        <f>MAX(AR25:$AR25)-V64</f>
        <v>0</v>
      </c>
      <c r="X99" s="210"/>
      <c r="Y99" s="210">
        <f t="shared" si="56"/>
        <v>0</v>
      </c>
      <c r="Z99" s="210">
        <f t="shared" si="57"/>
        <v>0</v>
      </c>
      <c r="AA99" s="210">
        <f t="shared" si="58"/>
        <v>0</v>
      </c>
      <c r="AB99" s="210">
        <f t="shared" si="59"/>
        <v>0</v>
      </c>
      <c r="AC99" s="210">
        <f t="shared" si="60"/>
        <v>0</v>
      </c>
      <c r="AD99" s="210">
        <f t="shared" si="61"/>
        <v>0</v>
      </c>
      <c r="AE99" s="210">
        <f t="shared" si="62"/>
        <v>0</v>
      </c>
      <c r="AF99" s="210">
        <f t="shared" si="63"/>
        <v>0</v>
      </c>
      <c r="AG99" s="210">
        <f t="shared" si="64"/>
        <v>0</v>
      </c>
      <c r="AH99" s="210">
        <f t="shared" si="65"/>
        <v>0</v>
      </c>
      <c r="AI99" s="210">
        <f t="shared" si="66"/>
        <v>0</v>
      </c>
      <c r="AJ99" s="210">
        <f t="shared" si="67"/>
        <v>0</v>
      </c>
      <c r="AK99" s="210">
        <f t="shared" si="68"/>
        <v>0</v>
      </c>
      <c r="AL99" s="210">
        <f t="shared" si="69"/>
        <v>0</v>
      </c>
      <c r="AM99" s="210">
        <f t="shared" si="70"/>
        <v>0</v>
      </c>
      <c r="AN99" s="210">
        <f t="shared" si="71"/>
        <v>0</v>
      </c>
      <c r="AO99" s="210">
        <f t="shared" si="72"/>
        <v>0</v>
      </c>
      <c r="AP99" s="210">
        <f t="shared" si="73"/>
        <v>0</v>
      </c>
      <c r="AQ99" s="210">
        <f t="shared" si="74"/>
        <v>0</v>
      </c>
      <c r="AR99" s="210">
        <f t="shared" si="75"/>
        <v>0</v>
      </c>
      <c r="AT99" s="210"/>
      <c r="AU99" s="210">
        <f t="shared" si="76"/>
        <v>0.107</v>
      </c>
      <c r="AV99" s="210">
        <f t="shared" si="77"/>
        <v>0.107</v>
      </c>
      <c r="AW99" s="210">
        <f t="shared" si="78"/>
        <v>0.107</v>
      </c>
      <c r="AX99" s="210">
        <f t="shared" si="79"/>
        <v>0.107</v>
      </c>
      <c r="AY99" s="210">
        <f t="shared" si="80"/>
        <v>0.107</v>
      </c>
      <c r="AZ99" s="210">
        <f t="shared" si="81"/>
        <v>0.107</v>
      </c>
      <c r="BA99" s="210">
        <f t="shared" si="82"/>
        <v>0.107</v>
      </c>
      <c r="BB99" s="210">
        <f t="shared" si="83"/>
        <v>0.107</v>
      </c>
      <c r="BC99" s="210">
        <f t="shared" si="84"/>
        <v>0.107</v>
      </c>
      <c r="BD99" s="210">
        <f t="shared" si="85"/>
        <v>0.107</v>
      </c>
      <c r="BE99" s="210">
        <f t="shared" si="86"/>
        <v>0</v>
      </c>
      <c r="BF99" s="210">
        <f t="shared" si="87"/>
        <v>0</v>
      </c>
      <c r="BG99" s="210">
        <f t="shared" si="88"/>
        <v>0</v>
      </c>
      <c r="BH99" s="210">
        <f t="shared" si="89"/>
        <v>0</v>
      </c>
      <c r="BI99" s="210">
        <f t="shared" si="90"/>
        <v>0</v>
      </c>
      <c r="BJ99" s="210">
        <f t="shared" si="91"/>
        <v>0</v>
      </c>
      <c r="BK99" s="210">
        <f t="shared" si="92"/>
        <v>0</v>
      </c>
      <c r="BL99" s="210">
        <f t="shared" si="93"/>
        <v>0</v>
      </c>
      <c r="BM99" s="210">
        <f t="shared" si="94"/>
        <v>0</v>
      </c>
      <c r="BN99" s="210">
        <f t="shared" si="95"/>
        <v>0</v>
      </c>
    </row>
    <row r="100" spans="1:66">
      <c r="A100" s="209" t="s">
        <v>122</v>
      </c>
      <c r="B100" s="210">
        <f t="shared" si="53"/>
        <v>54.56</v>
      </c>
      <c r="C100" s="210">
        <f t="shared" ref="C100:K100" si="116">B100-($B100-$L100)/10</f>
        <v>49.104</v>
      </c>
      <c r="D100" s="210">
        <f t="shared" si="116"/>
        <v>43.648</v>
      </c>
      <c r="E100" s="210">
        <f t="shared" si="116"/>
        <v>38.192</v>
      </c>
      <c r="F100" s="210">
        <f t="shared" si="116"/>
        <v>32.736</v>
      </c>
      <c r="G100" s="210">
        <f t="shared" si="116"/>
        <v>27.28</v>
      </c>
      <c r="H100" s="210">
        <f t="shared" si="116"/>
        <v>21.824</v>
      </c>
      <c r="I100" s="210">
        <f t="shared" si="116"/>
        <v>16.368</v>
      </c>
      <c r="J100" s="210">
        <f t="shared" si="116"/>
        <v>10.912</v>
      </c>
      <c r="K100" s="210">
        <f t="shared" si="116"/>
        <v>5.45599999999999</v>
      </c>
      <c r="L100" s="210">
        <f t="shared" ref="L100:P109" si="117">M100</f>
        <v>0</v>
      </c>
      <c r="M100" s="210">
        <f t="shared" si="117"/>
        <v>0</v>
      </c>
      <c r="N100" s="210">
        <f t="shared" si="117"/>
        <v>0</v>
      </c>
      <c r="O100" s="210">
        <f t="shared" si="117"/>
        <v>0</v>
      </c>
      <c r="P100" s="210">
        <f t="shared" si="117"/>
        <v>0</v>
      </c>
      <c r="Q100" s="210">
        <f>MAX(AM26:$AR26)-Q65</f>
        <v>0</v>
      </c>
      <c r="R100" s="210">
        <f>MAX(AN26:$AR26)-R65</f>
        <v>0</v>
      </c>
      <c r="S100" s="210">
        <f>MAX(AO26:$AR26)-S65</f>
        <v>0</v>
      </c>
      <c r="T100" s="210">
        <f>MAX(AP26:$AR26)-T65</f>
        <v>0</v>
      </c>
      <c r="U100" s="210">
        <f>MAX(AQ26:$AR26)-U65</f>
        <v>0</v>
      </c>
      <c r="V100" s="210">
        <f>MAX(AR26:$AR26)-V65</f>
        <v>0</v>
      </c>
      <c r="X100" s="210"/>
      <c r="Y100" s="210">
        <f t="shared" si="56"/>
        <v>0</v>
      </c>
      <c r="Z100" s="210">
        <f t="shared" si="57"/>
        <v>0</v>
      </c>
      <c r="AA100" s="210">
        <f t="shared" si="58"/>
        <v>0</v>
      </c>
      <c r="AB100" s="210">
        <f t="shared" si="59"/>
        <v>0</v>
      </c>
      <c r="AC100" s="210">
        <f t="shared" si="60"/>
        <v>0</v>
      </c>
      <c r="AD100" s="210">
        <f t="shared" si="61"/>
        <v>0</v>
      </c>
      <c r="AE100" s="210">
        <f t="shared" si="62"/>
        <v>0</v>
      </c>
      <c r="AF100" s="210">
        <f t="shared" si="63"/>
        <v>0</v>
      </c>
      <c r="AG100" s="210">
        <f t="shared" si="64"/>
        <v>0</v>
      </c>
      <c r="AH100" s="210">
        <f t="shared" si="65"/>
        <v>0</v>
      </c>
      <c r="AI100" s="210">
        <f t="shared" si="66"/>
        <v>0</v>
      </c>
      <c r="AJ100" s="210">
        <f t="shared" si="67"/>
        <v>0</v>
      </c>
      <c r="AK100" s="210">
        <f t="shared" si="68"/>
        <v>0</v>
      </c>
      <c r="AL100" s="210">
        <f t="shared" si="69"/>
        <v>0</v>
      </c>
      <c r="AM100" s="210">
        <f t="shared" si="70"/>
        <v>0</v>
      </c>
      <c r="AN100" s="210">
        <f t="shared" si="71"/>
        <v>0</v>
      </c>
      <c r="AO100" s="210">
        <f t="shared" si="72"/>
        <v>0</v>
      </c>
      <c r="AP100" s="210">
        <f t="shared" si="73"/>
        <v>0</v>
      </c>
      <c r="AQ100" s="210">
        <f t="shared" si="74"/>
        <v>0</v>
      </c>
      <c r="AR100" s="210">
        <f t="shared" si="75"/>
        <v>0</v>
      </c>
      <c r="AT100" s="210"/>
      <c r="AU100" s="210">
        <f t="shared" si="76"/>
        <v>5.456</v>
      </c>
      <c r="AV100" s="210">
        <f t="shared" si="77"/>
        <v>5.456</v>
      </c>
      <c r="AW100" s="210">
        <f t="shared" si="78"/>
        <v>5.456</v>
      </c>
      <c r="AX100" s="210">
        <f t="shared" si="79"/>
        <v>5.456</v>
      </c>
      <c r="AY100" s="210">
        <f t="shared" si="80"/>
        <v>5.456</v>
      </c>
      <c r="AZ100" s="210">
        <f t="shared" si="81"/>
        <v>5.456</v>
      </c>
      <c r="BA100" s="210">
        <f t="shared" si="82"/>
        <v>5.456</v>
      </c>
      <c r="BB100" s="210">
        <f t="shared" si="83"/>
        <v>5.456</v>
      </c>
      <c r="BC100" s="210">
        <f t="shared" si="84"/>
        <v>5.456</v>
      </c>
      <c r="BD100" s="210">
        <f t="shared" si="85"/>
        <v>5.45599999999999</v>
      </c>
      <c r="BE100" s="210">
        <f t="shared" si="86"/>
        <v>0</v>
      </c>
      <c r="BF100" s="210">
        <f t="shared" si="87"/>
        <v>0</v>
      </c>
      <c r="BG100" s="210">
        <f t="shared" si="88"/>
        <v>0</v>
      </c>
      <c r="BH100" s="210">
        <f t="shared" si="89"/>
        <v>0</v>
      </c>
      <c r="BI100" s="210">
        <f t="shared" si="90"/>
        <v>0</v>
      </c>
      <c r="BJ100" s="210">
        <f t="shared" si="91"/>
        <v>0</v>
      </c>
      <c r="BK100" s="210">
        <f t="shared" si="92"/>
        <v>0</v>
      </c>
      <c r="BL100" s="210">
        <f t="shared" si="93"/>
        <v>0</v>
      </c>
      <c r="BM100" s="210">
        <f t="shared" si="94"/>
        <v>0</v>
      </c>
      <c r="BN100" s="210">
        <f t="shared" si="95"/>
        <v>0</v>
      </c>
    </row>
    <row r="101" spans="1:66">
      <c r="A101" s="209" t="s">
        <v>124</v>
      </c>
      <c r="B101" s="210">
        <f t="shared" si="53"/>
        <v>0</v>
      </c>
      <c r="C101" s="210">
        <f t="shared" ref="C101:K101" si="118">B101-($B101-$L101)/10</f>
        <v>0</v>
      </c>
      <c r="D101" s="210">
        <f t="shared" si="118"/>
        <v>0</v>
      </c>
      <c r="E101" s="210">
        <f t="shared" si="118"/>
        <v>0</v>
      </c>
      <c r="F101" s="210">
        <f t="shared" si="118"/>
        <v>0</v>
      </c>
      <c r="G101" s="210">
        <f t="shared" si="118"/>
        <v>0</v>
      </c>
      <c r="H101" s="210">
        <f t="shared" si="118"/>
        <v>0</v>
      </c>
      <c r="I101" s="210">
        <f t="shared" si="118"/>
        <v>0</v>
      </c>
      <c r="J101" s="210">
        <f t="shared" si="118"/>
        <v>0</v>
      </c>
      <c r="K101" s="210">
        <f t="shared" si="118"/>
        <v>0</v>
      </c>
      <c r="L101" s="210">
        <f t="shared" si="117"/>
        <v>0</v>
      </c>
      <c r="M101" s="210">
        <f t="shared" si="117"/>
        <v>0</v>
      </c>
      <c r="N101" s="210">
        <f t="shared" si="117"/>
        <v>0</v>
      </c>
      <c r="O101" s="210">
        <f t="shared" si="117"/>
        <v>0</v>
      </c>
      <c r="P101" s="210">
        <f t="shared" si="117"/>
        <v>0</v>
      </c>
      <c r="Q101" s="210">
        <f>MAX(AM27:$AR27)-Q66</f>
        <v>0</v>
      </c>
      <c r="R101" s="210">
        <f>MAX(AN27:$AR27)-R66</f>
        <v>0</v>
      </c>
      <c r="S101" s="210">
        <f>MAX(AO27:$AR27)-S66</f>
        <v>0</v>
      </c>
      <c r="T101" s="210">
        <f>MAX(AP27:$AR27)-T66</f>
        <v>0</v>
      </c>
      <c r="U101" s="210">
        <f>MAX(AQ27:$AR27)-U66</f>
        <v>0</v>
      </c>
      <c r="V101" s="210">
        <f>MAX(AR27:$AR27)-V66</f>
        <v>0</v>
      </c>
      <c r="X101" s="210"/>
      <c r="Y101" s="210">
        <f t="shared" si="56"/>
        <v>0</v>
      </c>
      <c r="Z101" s="210">
        <f t="shared" si="57"/>
        <v>0</v>
      </c>
      <c r="AA101" s="210">
        <f t="shared" si="58"/>
        <v>0</v>
      </c>
      <c r="AB101" s="210">
        <f t="shared" si="59"/>
        <v>0</v>
      </c>
      <c r="AC101" s="210">
        <f t="shared" si="60"/>
        <v>0</v>
      </c>
      <c r="AD101" s="210">
        <f t="shared" si="61"/>
        <v>0</v>
      </c>
      <c r="AE101" s="210">
        <f t="shared" si="62"/>
        <v>0</v>
      </c>
      <c r="AF101" s="210">
        <f t="shared" si="63"/>
        <v>0</v>
      </c>
      <c r="AG101" s="210">
        <f t="shared" si="64"/>
        <v>0</v>
      </c>
      <c r="AH101" s="210">
        <f t="shared" si="65"/>
        <v>0</v>
      </c>
      <c r="AI101" s="210">
        <f t="shared" si="66"/>
        <v>0</v>
      </c>
      <c r="AJ101" s="210">
        <f t="shared" si="67"/>
        <v>0</v>
      </c>
      <c r="AK101" s="210">
        <f t="shared" si="68"/>
        <v>0</v>
      </c>
      <c r="AL101" s="210">
        <f t="shared" si="69"/>
        <v>0</v>
      </c>
      <c r="AM101" s="210">
        <f t="shared" si="70"/>
        <v>0</v>
      </c>
      <c r="AN101" s="210">
        <f t="shared" si="71"/>
        <v>0</v>
      </c>
      <c r="AO101" s="210">
        <f t="shared" si="72"/>
        <v>0</v>
      </c>
      <c r="AP101" s="210">
        <f t="shared" si="73"/>
        <v>0</v>
      </c>
      <c r="AQ101" s="210">
        <f t="shared" si="74"/>
        <v>0</v>
      </c>
      <c r="AR101" s="210">
        <f t="shared" si="75"/>
        <v>0</v>
      </c>
      <c r="AT101" s="210"/>
      <c r="AU101" s="210">
        <f t="shared" si="76"/>
        <v>0</v>
      </c>
      <c r="AV101" s="210">
        <f t="shared" si="77"/>
        <v>0</v>
      </c>
      <c r="AW101" s="210">
        <f t="shared" si="78"/>
        <v>0</v>
      </c>
      <c r="AX101" s="210">
        <f t="shared" si="79"/>
        <v>0</v>
      </c>
      <c r="AY101" s="210">
        <f t="shared" si="80"/>
        <v>0</v>
      </c>
      <c r="AZ101" s="210">
        <f t="shared" si="81"/>
        <v>0</v>
      </c>
      <c r="BA101" s="210">
        <f t="shared" si="82"/>
        <v>0</v>
      </c>
      <c r="BB101" s="210">
        <f t="shared" si="83"/>
        <v>0</v>
      </c>
      <c r="BC101" s="210">
        <f t="shared" si="84"/>
        <v>0</v>
      </c>
      <c r="BD101" s="210">
        <f t="shared" si="85"/>
        <v>0</v>
      </c>
      <c r="BE101" s="210">
        <f t="shared" si="86"/>
        <v>0</v>
      </c>
      <c r="BF101" s="210">
        <f t="shared" si="87"/>
        <v>0</v>
      </c>
      <c r="BG101" s="210">
        <f t="shared" si="88"/>
        <v>0</v>
      </c>
      <c r="BH101" s="210">
        <f t="shared" si="89"/>
        <v>0</v>
      </c>
      <c r="BI101" s="210">
        <f t="shared" si="90"/>
        <v>0</v>
      </c>
      <c r="BJ101" s="210">
        <f t="shared" si="91"/>
        <v>0</v>
      </c>
      <c r="BK101" s="210">
        <f t="shared" si="92"/>
        <v>0</v>
      </c>
      <c r="BL101" s="210">
        <f t="shared" si="93"/>
        <v>0</v>
      </c>
      <c r="BM101" s="210">
        <f t="shared" si="94"/>
        <v>0</v>
      </c>
      <c r="BN101" s="210">
        <f t="shared" si="95"/>
        <v>0</v>
      </c>
    </row>
    <row r="102" spans="1:66">
      <c r="A102" s="209" t="s">
        <v>126</v>
      </c>
      <c r="B102" s="210">
        <f t="shared" si="53"/>
        <v>0</v>
      </c>
      <c r="C102" s="210">
        <f t="shared" ref="C102:K102" si="119">B102-($B102-$L102)/10</f>
        <v>0</v>
      </c>
      <c r="D102" s="210">
        <f t="shared" si="119"/>
        <v>0</v>
      </c>
      <c r="E102" s="210">
        <f t="shared" si="119"/>
        <v>0</v>
      </c>
      <c r="F102" s="210">
        <f t="shared" si="119"/>
        <v>0</v>
      </c>
      <c r="G102" s="210">
        <f t="shared" si="119"/>
        <v>0</v>
      </c>
      <c r="H102" s="210">
        <f t="shared" si="119"/>
        <v>0</v>
      </c>
      <c r="I102" s="210">
        <f t="shared" si="119"/>
        <v>0</v>
      </c>
      <c r="J102" s="210">
        <f t="shared" si="119"/>
        <v>0</v>
      </c>
      <c r="K102" s="210">
        <f t="shared" si="119"/>
        <v>0</v>
      </c>
      <c r="L102" s="210">
        <f t="shared" si="117"/>
        <v>0</v>
      </c>
      <c r="M102" s="210">
        <f t="shared" si="117"/>
        <v>0</v>
      </c>
      <c r="N102" s="210">
        <f t="shared" si="117"/>
        <v>0</v>
      </c>
      <c r="O102" s="210">
        <f t="shared" si="117"/>
        <v>0</v>
      </c>
      <c r="P102" s="210">
        <f t="shared" si="117"/>
        <v>0</v>
      </c>
      <c r="Q102" s="210">
        <f>MAX(AM28:$AR28)-Q67</f>
        <v>0</v>
      </c>
      <c r="R102" s="210">
        <f>MAX(AN28:$AR28)-R67</f>
        <v>0</v>
      </c>
      <c r="S102" s="210">
        <f>MAX(AO28:$AR28)-S67</f>
        <v>0</v>
      </c>
      <c r="T102" s="210">
        <f>MAX(AP28:$AR28)-T67</f>
        <v>0</v>
      </c>
      <c r="U102" s="210">
        <f>MAX(AQ28:$AR28)-U67</f>
        <v>0</v>
      </c>
      <c r="V102" s="210">
        <f>MAX(AR28:$AR28)-V67</f>
        <v>0</v>
      </c>
      <c r="X102" s="210"/>
      <c r="Y102" s="210">
        <f t="shared" si="56"/>
        <v>0</v>
      </c>
      <c r="Z102" s="210">
        <f t="shared" si="57"/>
        <v>0</v>
      </c>
      <c r="AA102" s="210">
        <f t="shared" si="58"/>
        <v>0</v>
      </c>
      <c r="AB102" s="210">
        <f t="shared" si="59"/>
        <v>0</v>
      </c>
      <c r="AC102" s="210">
        <f t="shared" si="60"/>
        <v>0</v>
      </c>
      <c r="AD102" s="210">
        <f t="shared" si="61"/>
        <v>0</v>
      </c>
      <c r="AE102" s="210">
        <f t="shared" si="62"/>
        <v>0</v>
      </c>
      <c r="AF102" s="210">
        <f t="shared" si="63"/>
        <v>0</v>
      </c>
      <c r="AG102" s="210">
        <f t="shared" si="64"/>
        <v>0</v>
      </c>
      <c r="AH102" s="210">
        <f t="shared" si="65"/>
        <v>0</v>
      </c>
      <c r="AI102" s="210">
        <f t="shared" si="66"/>
        <v>0</v>
      </c>
      <c r="AJ102" s="210">
        <f t="shared" si="67"/>
        <v>0</v>
      </c>
      <c r="AK102" s="210">
        <f t="shared" si="68"/>
        <v>0</v>
      </c>
      <c r="AL102" s="210">
        <f t="shared" si="69"/>
        <v>0</v>
      </c>
      <c r="AM102" s="210">
        <f t="shared" si="70"/>
        <v>0</v>
      </c>
      <c r="AN102" s="210">
        <f t="shared" si="71"/>
        <v>0</v>
      </c>
      <c r="AO102" s="210">
        <f t="shared" si="72"/>
        <v>0</v>
      </c>
      <c r="AP102" s="210">
        <f t="shared" si="73"/>
        <v>0</v>
      </c>
      <c r="AQ102" s="210">
        <f t="shared" si="74"/>
        <v>0</v>
      </c>
      <c r="AR102" s="210">
        <f t="shared" si="75"/>
        <v>0</v>
      </c>
      <c r="AT102" s="210"/>
      <c r="AU102" s="210">
        <f t="shared" si="76"/>
        <v>0</v>
      </c>
      <c r="AV102" s="210">
        <f t="shared" si="77"/>
        <v>0</v>
      </c>
      <c r="AW102" s="210">
        <f t="shared" si="78"/>
        <v>0</v>
      </c>
      <c r="AX102" s="210">
        <f t="shared" si="79"/>
        <v>0</v>
      </c>
      <c r="AY102" s="210">
        <f t="shared" si="80"/>
        <v>0</v>
      </c>
      <c r="AZ102" s="210">
        <f t="shared" si="81"/>
        <v>0</v>
      </c>
      <c r="BA102" s="210">
        <f t="shared" si="82"/>
        <v>0</v>
      </c>
      <c r="BB102" s="210">
        <f t="shared" si="83"/>
        <v>0</v>
      </c>
      <c r="BC102" s="210">
        <f t="shared" si="84"/>
        <v>0</v>
      </c>
      <c r="BD102" s="210">
        <f t="shared" si="85"/>
        <v>0</v>
      </c>
      <c r="BE102" s="210">
        <f t="shared" si="86"/>
        <v>0</v>
      </c>
      <c r="BF102" s="210">
        <f t="shared" si="87"/>
        <v>0</v>
      </c>
      <c r="BG102" s="210">
        <f t="shared" si="88"/>
        <v>0</v>
      </c>
      <c r="BH102" s="210">
        <f t="shared" si="89"/>
        <v>0</v>
      </c>
      <c r="BI102" s="210">
        <f t="shared" si="90"/>
        <v>0</v>
      </c>
      <c r="BJ102" s="210">
        <f t="shared" si="91"/>
        <v>0</v>
      </c>
      <c r="BK102" s="210">
        <f t="shared" si="92"/>
        <v>0</v>
      </c>
      <c r="BL102" s="210">
        <f t="shared" si="93"/>
        <v>0</v>
      </c>
      <c r="BM102" s="210">
        <f t="shared" si="94"/>
        <v>0</v>
      </c>
      <c r="BN102" s="210">
        <f t="shared" si="95"/>
        <v>0</v>
      </c>
    </row>
    <row r="103" spans="1:66">
      <c r="A103" s="209" t="s">
        <v>128</v>
      </c>
      <c r="B103" s="210">
        <f t="shared" si="53"/>
        <v>0</v>
      </c>
      <c r="C103" s="210">
        <f t="shared" ref="C103:K103" si="120">B103-($B103-$L103)/10</f>
        <v>0</v>
      </c>
      <c r="D103" s="210">
        <f t="shared" si="120"/>
        <v>0</v>
      </c>
      <c r="E103" s="210">
        <f t="shared" si="120"/>
        <v>0</v>
      </c>
      <c r="F103" s="210">
        <f t="shared" si="120"/>
        <v>0</v>
      </c>
      <c r="G103" s="210">
        <f t="shared" si="120"/>
        <v>0</v>
      </c>
      <c r="H103" s="210">
        <f t="shared" si="120"/>
        <v>0</v>
      </c>
      <c r="I103" s="210">
        <f t="shared" si="120"/>
        <v>0</v>
      </c>
      <c r="J103" s="210">
        <f t="shared" si="120"/>
        <v>0</v>
      </c>
      <c r="K103" s="210">
        <f t="shared" si="120"/>
        <v>0</v>
      </c>
      <c r="L103" s="210">
        <f t="shared" si="117"/>
        <v>0</v>
      </c>
      <c r="M103" s="210">
        <f t="shared" si="117"/>
        <v>0</v>
      </c>
      <c r="N103" s="210">
        <f t="shared" si="117"/>
        <v>0</v>
      </c>
      <c r="O103" s="210">
        <f t="shared" si="117"/>
        <v>0</v>
      </c>
      <c r="P103" s="210">
        <f t="shared" si="117"/>
        <v>0</v>
      </c>
      <c r="Q103" s="210">
        <f>MAX(AM29:$AR29)-Q68</f>
        <v>0</v>
      </c>
      <c r="R103" s="210">
        <f>MAX(AN29:$AR29)-R68</f>
        <v>0</v>
      </c>
      <c r="S103" s="210">
        <f>MAX(AO29:$AR29)-S68</f>
        <v>0</v>
      </c>
      <c r="T103" s="210">
        <f>MAX(AP29:$AR29)-T68</f>
        <v>0</v>
      </c>
      <c r="U103" s="210">
        <f>MAX(AQ29:$AR29)-U68</f>
        <v>0</v>
      </c>
      <c r="V103" s="210">
        <f>MAX(AR29:$AR29)-V68</f>
        <v>0</v>
      </c>
      <c r="X103" s="210"/>
      <c r="Y103" s="210">
        <f t="shared" si="56"/>
        <v>0</v>
      </c>
      <c r="Z103" s="210">
        <f t="shared" si="57"/>
        <v>0</v>
      </c>
      <c r="AA103" s="210">
        <f t="shared" si="58"/>
        <v>0</v>
      </c>
      <c r="AB103" s="210">
        <f t="shared" si="59"/>
        <v>0</v>
      </c>
      <c r="AC103" s="210">
        <f t="shared" si="60"/>
        <v>0</v>
      </c>
      <c r="AD103" s="210">
        <f t="shared" si="61"/>
        <v>0</v>
      </c>
      <c r="AE103" s="210">
        <f t="shared" si="62"/>
        <v>0</v>
      </c>
      <c r="AF103" s="210">
        <f t="shared" si="63"/>
        <v>0</v>
      </c>
      <c r="AG103" s="210">
        <f t="shared" si="64"/>
        <v>0</v>
      </c>
      <c r="AH103" s="210">
        <f t="shared" si="65"/>
        <v>0</v>
      </c>
      <c r="AI103" s="210">
        <f t="shared" si="66"/>
        <v>0</v>
      </c>
      <c r="AJ103" s="210">
        <f t="shared" si="67"/>
        <v>0</v>
      </c>
      <c r="AK103" s="210">
        <f t="shared" si="68"/>
        <v>0</v>
      </c>
      <c r="AL103" s="210">
        <f t="shared" si="69"/>
        <v>0</v>
      </c>
      <c r="AM103" s="210">
        <f t="shared" si="70"/>
        <v>0</v>
      </c>
      <c r="AN103" s="210">
        <f t="shared" si="71"/>
        <v>0</v>
      </c>
      <c r="AO103" s="210">
        <f t="shared" si="72"/>
        <v>0</v>
      </c>
      <c r="AP103" s="210">
        <f t="shared" si="73"/>
        <v>0</v>
      </c>
      <c r="AQ103" s="210">
        <f t="shared" si="74"/>
        <v>0</v>
      </c>
      <c r="AR103" s="210">
        <f t="shared" si="75"/>
        <v>0</v>
      </c>
      <c r="AT103" s="210"/>
      <c r="AU103" s="210">
        <f t="shared" si="76"/>
        <v>0</v>
      </c>
      <c r="AV103" s="210">
        <f t="shared" si="77"/>
        <v>0</v>
      </c>
      <c r="AW103" s="210">
        <f t="shared" si="78"/>
        <v>0</v>
      </c>
      <c r="AX103" s="210">
        <f t="shared" si="79"/>
        <v>0</v>
      </c>
      <c r="AY103" s="210">
        <f t="shared" si="80"/>
        <v>0</v>
      </c>
      <c r="AZ103" s="210">
        <f t="shared" si="81"/>
        <v>0</v>
      </c>
      <c r="BA103" s="210">
        <f t="shared" si="82"/>
        <v>0</v>
      </c>
      <c r="BB103" s="210">
        <f t="shared" si="83"/>
        <v>0</v>
      </c>
      <c r="BC103" s="210">
        <f t="shared" si="84"/>
        <v>0</v>
      </c>
      <c r="BD103" s="210">
        <f t="shared" si="85"/>
        <v>0</v>
      </c>
      <c r="BE103" s="210">
        <f t="shared" si="86"/>
        <v>0</v>
      </c>
      <c r="BF103" s="210">
        <f t="shared" si="87"/>
        <v>0</v>
      </c>
      <c r="BG103" s="210">
        <f t="shared" si="88"/>
        <v>0</v>
      </c>
      <c r="BH103" s="210">
        <f t="shared" si="89"/>
        <v>0</v>
      </c>
      <c r="BI103" s="210">
        <f t="shared" si="90"/>
        <v>0</v>
      </c>
      <c r="BJ103" s="210">
        <f t="shared" si="91"/>
        <v>0</v>
      </c>
      <c r="BK103" s="210">
        <f t="shared" si="92"/>
        <v>0</v>
      </c>
      <c r="BL103" s="210">
        <f t="shared" si="93"/>
        <v>0</v>
      </c>
      <c r="BM103" s="210">
        <f t="shared" si="94"/>
        <v>0</v>
      </c>
      <c r="BN103" s="210">
        <f t="shared" si="95"/>
        <v>0</v>
      </c>
    </row>
    <row r="104" spans="1:66">
      <c r="A104" s="209" t="s">
        <v>130</v>
      </c>
      <c r="B104" s="210">
        <f t="shared" si="53"/>
        <v>0</v>
      </c>
      <c r="C104" s="210">
        <f t="shared" ref="C104:K104" si="121">B104-($B104-$L104)/10</f>
        <v>0</v>
      </c>
      <c r="D104" s="210">
        <f t="shared" si="121"/>
        <v>0</v>
      </c>
      <c r="E104" s="210">
        <f t="shared" si="121"/>
        <v>0</v>
      </c>
      <c r="F104" s="210">
        <f t="shared" si="121"/>
        <v>0</v>
      </c>
      <c r="G104" s="210">
        <f t="shared" si="121"/>
        <v>0</v>
      </c>
      <c r="H104" s="210">
        <f t="shared" si="121"/>
        <v>0</v>
      </c>
      <c r="I104" s="210">
        <f t="shared" si="121"/>
        <v>0</v>
      </c>
      <c r="J104" s="210">
        <f t="shared" si="121"/>
        <v>0</v>
      </c>
      <c r="K104" s="210">
        <f t="shared" si="121"/>
        <v>0</v>
      </c>
      <c r="L104" s="210">
        <f t="shared" si="117"/>
        <v>0</v>
      </c>
      <c r="M104" s="210">
        <f t="shared" si="117"/>
        <v>0</v>
      </c>
      <c r="N104" s="210">
        <f t="shared" si="117"/>
        <v>0</v>
      </c>
      <c r="O104" s="210">
        <f t="shared" si="117"/>
        <v>0</v>
      </c>
      <c r="P104" s="210">
        <f t="shared" si="117"/>
        <v>0</v>
      </c>
      <c r="Q104" s="210">
        <f>MAX(AM30:$AR30)-Q69</f>
        <v>0</v>
      </c>
      <c r="R104" s="210">
        <f>MAX(AN30:$AR30)-R69</f>
        <v>0</v>
      </c>
      <c r="S104" s="210">
        <f>MAX(AO30:$AR30)-S69</f>
        <v>0</v>
      </c>
      <c r="T104" s="210">
        <f>MAX(AP30:$AR30)-T69</f>
        <v>0</v>
      </c>
      <c r="U104" s="210">
        <f>MAX(AQ30:$AR30)-U69</f>
        <v>0</v>
      </c>
      <c r="V104" s="210">
        <f>MAX(AR30:$AR30)-V69</f>
        <v>0</v>
      </c>
      <c r="X104" s="210"/>
      <c r="Y104" s="210">
        <f t="shared" si="56"/>
        <v>0</v>
      </c>
      <c r="Z104" s="210">
        <f t="shared" si="57"/>
        <v>0</v>
      </c>
      <c r="AA104" s="210">
        <f t="shared" si="58"/>
        <v>0</v>
      </c>
      <c r="AB104" s="210">
        <f t="shared" si="59"/>
        <v>0</v>
      </c>
      <c r="AC104" s="210">
        <f t="shared" si="60"/>
        <v>0</v>
      </c>
      <c r="AD104" s="210">
        <f t="shared" si="61"/>
        <v>0</v>
      </c>
      <c r="AE104" s="210">
        <f t="shared" si="62"/>
        <v>0</v>
      </c>
      <c r="AF104" s="210">
        <f t="shared" si="63"/>
        <v>0</v>
      </c>
      <c r="AG104" s="210">
        <f t="shared" si="64"/>
        <v>0</v>
      </c>
      <c r="AH104" s="210">
        <f t="shared" si="65"/>
        <v>0</v>
      </c>
      <c r="AI104" s="210">
        <f t="shared" si="66"/>
        <v>0</v>
      </c>
      <c r="AJ104" s="210">
        <f t="shared" si="67"/>
        <v>0</v>
      </c>
      <c r="AK104" s="210">
        <f t="shared" si="68"/>
        <v>0</v>
      </c>
      <c r="AL104" s="210">
        <f t="shared" si="69"/>
        <v>0</v>
      </c>
      <c r="AM104" s="210">
        <f t="shared" si="70"/>
        <v>0</v>
      </c>
      <c r="AN104" s="210">
        <f t="shared" si="71"/>
        <v>0</v>
      </c>
      <c r="AO104" s="210">
        <f t="shared" si="72"/>
        <v>0</v>
      </c>
      <c r="AP104" s="210">
        <f t="shared" si="73"/>
        <v>0</v>
      </c>
      <c r="AQ104" s="210">
        <f t="shared" si="74"/>
        <v>0</v>
      </c>
      <c r="AR104" s="210">
        <f t="shared" si="75"/>
        <v>0</v>
      </c>
      <c r="AT104" s="210"/>
      <c r="AU104" s="210">
        <f t="shared" si="76"/>
        <v>0</v>
      </c>
      <c r="AV104" s="210">
        <f t="shared" si="77"/>
        <v>0</v>
      </c>
      <c r="AW104" s="210">
        <f t="shared" si="78"/>
        <v>0</v>
      </c>
      <c r="AX104" s="210">
        <f t="shared" si="79"/>
        <v>0</v>
      </c>
      <c r="AY104" s="210">
        <f t="shared" si="80"/>
        <v>0</v>
      </c>
      <c r="AZ104" s="210">
        <f t="shared" si="81"/>
        <v>0</v>
      </c>
      <c r="BA104" s="210">
        <f t="shared" si="82"/>
        <v>0</v>
      </c>
      <c r="BB104" s="210">
        <f t="shared" si="83"/>
        <v>0</v>
      </c>
      <c r="BC104" s="210">
        <f t="shared" si="84"/>
        <v>0</v>
      </c>
      <c r="BD104" s="210">
        <f t="shared" si="85"/>
        <v>0</v>
      </c>
      <c r="BE104" s="210">
        <f t="shared" si="86"/>
        <v>0</v>
      </c>
      <c r="BF104" s="210">
        <f t="shared" si="87"/>
        <v>0</v>
      </c>
      <c r="BG104" s="210">
        <f t="shared" si="88"/>
        <v>0</v>
      </c>
      <c r="BH104" s="210">
        <f t="shared" si="89"/>
        <v>0</v>
      </c>
      <c r="BI104" s="210">
        <f t="shared" si="90"/>
        <v>0</v>
      </c>
      <c r="BJ104" s="210">
        <f t="shared" si="91"/>
        <v>0</v>
      </c>
      <c r="BK104" s="210">
        <f t="shared" si="92"/>
        <v>0</v>
      </c>
      <c r="BL104" s="210">
        <f t="shared" si="93"/>
        <v>0</v>
      </c>
      <c r="BM104" s="210">
        <f t="shared" si="94"/>
        <v>0</v>
      </c>
      <c r="BN104" s="210">
        <f t="shared" si="95"/>
        <v>0</v>
      </c>
    </row>
    <row r="105" spans="1:66">
      <c r="A105" s="209" t="s">
        <v>1329</v>
      </c>
      <c r="B105" s="210">
        <f t="shared" si="53"/>
        <v>3.46</v>
      </c>
      <c r="C105" s="210">
        <f t="shared" ref="C105:K105" si="122">B105-($B105-$L105)/10</f>
        <v>6.314</v>
      </c>
      <c r="D105" s="210">
        <f t="shared" si="122"/>
        <v>9.168</v>
      </c>
      <c r="E105" s="210">
        <f t="shared" si="122"/>
        <v>12.022</v>
      </c>
      <c r="F105" s="210">
        <f t="shared" si="122"/>
        <v>14.876</v>
      </c>
      <c r="G105" s="210">
        <f t="shared" si="122"/>
        <v>17.73</v>
      </c>
      <c r="H105" s="210">
        <f t="shared" si="122"/>
        <v>20.584</v>
      </c>
      <c r="I105" s="210">
        <f t="shared" si="122"/>
        <v>23.438</v>
      </c>
      <c r="J105" s="210">
        <f t="shared" si="122"/>
        <v>26.292</v>
      </c>
      <c r="K105" s="210">
        <f t="shared" si="122"/>
        <v>29.146</v>
      </c>
      <c r="L105" s="210">
        <f t="shared" si="117"/>
        <v>32</v>
      </c>
      <c r="M105" s="210">
        <f t="shared" si="117"/>
        <v>32</v>
      </c>
      <c r="N105" s="210">
        <f t="shared" si="117"/>
        <v>32</v>
      </c>
      <c r="O105" s="210">
        <f t="shared" si="117"/>
        <v>32</v>
      </c>
      <c r="P105" s="210">
        <f t="shared" si="117"/>
        <v>32</v>
      </c>
      <c r="Q105" s="210">
        <f>MAX(AM31:$AR31)-Q70</f>
        <v>32</v>
      </c>
      <c r="R105" s="210">
        <f>MAX(AN31:$AR31)-R70</f>
        <v>32</v>
      </c>
      <c r="S105" s="210">
        <f>MAX(AO31:$AR31)-S70</f>
        <v>32</v>
      </c>
      <c r="T105" s="210">
        <f>MAX(AP31:$AR31)-T70</f>
        <v>32</v>
      </c>
      <c r="U105" s="210">
        <f>MAX(AQ31:$AR31)-U70</f>
        <v>32</v>
      </c>
      <c r="V105" s="210">
        <f>MAX(AR31:$AR31)-V70</f>
        <v>32</v>
      </c>
      <c r="X105" s="210"/>
      <c r="Y105" s="210">
        <f t="shared" si="56"/>
        <v>2.854</v>
      </c>
      <c r="Z105" s="210">
        <f t="shared" si="57"/>
        <v>2.854</v>
      </c>
      <c r="AA105" s="210">
        <f t="shared" si="58"/>
        <v>2.854</v>
      </c>
      <c r="AB105" s="210">
        <f t="shared" si="59"/>
        <v>2.854</v>
      </c>
      <c r="AC105" s="210">
        <f t="shared" si="60"/>
        <v>2.854</v>
      </c>
      <c r="AD105" s="210">
        <f t="shared" si="61"/>
        <v>2.854</v>
      </c>
      <c r="AE105" s="210">
        <f t="shared" si="62"/>
        <v>2.854</v>
      </c>
      <c r="AF105" s="210">
        <f t="shared" si="63"/>
        <v>2.854</v>
      </c>
      <c r="AG105" s="210">
        <f t="shared" si="64"/>
        <v>2.854</v>
      </c>
      <c r="AH105" s="210">
        <f t="shared" si="65"/>
        <v>2.85400000000001</v>
      </c>
      <c r="AI105" s="210">
        <f t="shared" si="66"/>
        <v>0</v>
      </c>
      <c r="AJ105" s="210">
        <f t="shared" si="67"/>
        <v>0</v>
      </c>
      <c r="AK105" s="210">
        <f t="shared" si="68"/>
        <v>0</v>
      </c>
      <c r="AL105" s="210">
        <f t="shared" si="69"/>
        <v>0</v>
      </c>
      <c r="AM105" s="210">
        <f t="shared" si="70"/>
        <v>0</v>
      </c>
      <c r="AN105" s="210">
        <f t="shared" si="71"/>
        <v>0</v>
      </c>
      <c r="AO105" s="210">
        <f t="shared" si="72"/>
        <v>0</v>
      </c>
      <c r="AP105" s="210">
        <f t="shared" si="73"/>
        <v>0</v>
      </c>
      <c r="AQ105" s="210">
        <f t="shared" si="74"/>
        <v>0</v>
      </c>
      <c r="AR105" s="210">
        <f t="shared" si="75"/>
        <v>0</v>
      </c>
      <c r="AT105" s="210"/>
      <c r="AU105" s="210">
        <f t="shared" si="76"/>
        <v>0</v>
      </c>
      <c r="AV105" s="210">
        <f t="shared" si="77"/>
        <v>0</v>
      </c>
      <c r="AW105" s="210">
        <f t="shared" si="78"/>
        <v>0</v>
      </c>
      <c r="AX105" s="210">
        <f t="shared" si="79"/>
        <v>0</v>
      </c>
      <c r="AY105" s="210">
        <f t="shared" si="80"/>
        <v>0</v>
      </c>
      <c r="AZ105" s="210">
        <f t="shared" si="81"/>
        <v>0</v>
      </c>
      <c r="BA105" s="210">
        <f t="shared" si="82"/>
        <v>0</v>
      </c>
      <c r="BB105" s="210">
        <f t="shared" si="83"/>
        <v>0</v>
      </c>
      <c r="BC105" s="210">
        <f t="shared" si="84"/>
        <v>0</v>
      </c>
      <c r="BD105" s="210">
        <f t="shared" si="85"/>
        <v>0</v>
      </c>
      <c r="BE105" s="210">
        <f t="shared" si="86"/>
        <v>0</v>
      </c>
      <c r="BF105" s="210">
        <f t="shared" si="87"/>
        <v>0</v>
      </c>
      <c r="BG105" s="210">
        <f t="shared" si="88"/>
        <v>0</v>
      </c>
      <c r="BH105" s="210">
        <f t="shared" si="89"/>
        <v>0</v>
      </c>
      <c r="BI105" s="210">
        <f t="shared" si="90"/>
        <v>0</v>
      </c>
      <c r="BJ105" s="210">
        <f t="shared" si="91"/>
        <v>0</v>
      </c>
      <c r="BK105" s="210">
        <f t="shared" si="92"/>
        <v>0</v>
      </c>
      <c r="BL105" s="210">
        <f t="shared" si="93"/>
        <v>0</v>
      </c>
      <c r="BM105" s="210">
        <f t="shared" si="94"/>
        <v>0</v>
      </c>
      <c r="BN105" s="210">
        <f t="shared" si="95"/>
        <v>0</v>
      </c>
    </row>
    <row r="106" spans="1:66">
      <c r="A106" s="209" t="s">
        <v>134</v>
      </c>
      <c r="B106" s="210">
        <f t="shared" si="53"/>
        <v>0</v>
      </c>
      <c r="C106" s="210">
        <f t="shared" ref="C106:K106" si="123">B106-($B106-$L106)/10</f>
        <v>0</v>
      </c>
      <c r="D106" s="210">
        <f t="shared" si="123"/>
        <v>0</v>
      </c>
      <c r="E106" s="210">
        <f t="shared" si="123"/>
        <v>0</v>
      </c>
      <c r="F106" s="210">
        <f t="shared" si="123"/>
        <v>0</v>
      </c>
      <c r="G106" s="210">
        <f t="shared" si="123"/>
        <v>0</v>
      </c>
      <c r="H106" s="210">
        <f t="shared" si="123"/>
        <v>0</v>
      </c>
      <c r="I106" s="210">
        <f t="shared" si="123"/>
        <v>0</v>
      </c>
      <c r="J106" s="210">
        <f t="shared" si="123"/>
        <v>0</v>
      </c>
      <c r="K106" s="210">
        <f t="shared" si="123"/>
        <v>0</v>
      </c>
      <c r="L106" s="210">
        <f t="shared" si="117"/>
        <v>0</v>
      </c>
      <c r="M106" s="210">
        <f t="shared" si="117"/>
        <v>0</v>
      </c>
      <c r="N106" s="210">
        <f t="shared" si="117"/>
        <v>0</v>
      </c>
      <c r="O106" s="210">
        <f t="shared" si="117"/>
        <v>0</v>
      </c>
      <c r="P106" s="210">
        <f t="shared" si="117"/>
        <v>0</v>
      </c>
      <c r="Q106" s="210">
        <f>MAX(AM32:$AR32)-Q71</f>
        <v>0</v>
      </c>
      <c r="R106" s="210">
        <f>MAX(AN32:$AR32)-R71</f>
        <v>0</v>
      </c>
      <c r="S106" s="210">
        <f>MAX(AO32:$AR32)-S71</f>
        <v>0</v>
      </c>
      <c r="T106" s="210">
        <f>MAX(AP32:$AR32)-T71</f>
        <v>0</v>
      </c>
      <c r="U106" s="210">
        <f>MAX(AQ32:$AR32)-U71</f>
        <v>0</v>
      </c>
      <c r="V106" s="210">
        <f>MAX(AR32:$AR32)-V71</f>
        <v>0</v>
      </c>
      <c r="X106" s="210"/>
      <c r="Y106" s="210">
        <f t="shared" si="56"/>
        <v>0</v>
      </c>
      <c r="Z106" s="210">
        <f t="shared" si="57"/>
        <v>0</v>
      </c>
      <c r="AA106" s="210">
        <f t="shared" si="58"/>
        <v>0</v>
      </c>
      <c r="AB106" s="210">
        <f t="shared" si="59"/>
        <v>0</v>
      </c>
      <c r="AC106" s="210">
        <f t="shared" si="60"/>
        <v>0</v>
      </c>
      <c r="AD106" s="210">
        <f t="shared" si="61"/>
        <v>0</v>
      </c>
      <c r="AE106" s="210">
        <f t="shared" si="62"/>
        <v>0</v>
      </c>
      <c r="AF106" s="210">
        <f t="shared" si="63"/>
        <v>0</v>
      </c>
      <c r="AG106" s="210">
        <f t="shared" si="64"/>
        <v>0</v>
      </c>
      <c r="AH106" s="210">
        <f t="shared" si="65"/>
        <v>0</v>
      </c>
      <c r="AI106" s="210">
        <f t="shared" si="66"/>
        <v>0</v>
      </c>
      <c r="AJ106" s="210">
        <f t="shared" si="67"/>
        <v>0</v>
      </c>
      <c r="AK106" s="210">
        <f t="shared" si="68"/>
        <v>0</v>
      </c>
      <c r="AL106" s="210">
        <f t="shared" si="69"/>
        <v>0</v>
      </c>
      <c r="AM106" s="210">
        <f t="shared" si="70"/>
        <v>0</v>
      </c>
      <c r="AN106" s="210">
        <f t="shared" si="71"/>
        <v>0</v>
      </c>
      <c r="AO106" s="210">
        <f t="shared" si="72"/>
        <v>0</v>
      </c>
      <c r="AP106" s="210">
        <f t="shared" si="73"/>
        <v>0</v>
      </c>
      <c r="AQ106" s="210">
        <f t="shared" si="74"/>
        <v>0</v>
      </c>
      <c r="AR106" s="210">
        <f t="shared" si="75"/>
        <v>0</v>
      </c>
      <c r="AT106" s="210"/>
      <c r="AU106" s="210">
        <f t="shared" si="76"/>
        <v>0</v>
      </c>
      <c r="AV106" s="210">
        <f t="shared" si="77"/>
        <v>0</v>
      </c>
      <c r="AW106" s="210">
        <f t="shared" si="78"/>
        <v>0</v>
      </c>
      <c r="AX106" s="210">
        <f t="shared" si="79"/>
        <v>0</v>
      </c>
      <c r="AY106" s="210">
        <f t="shared" si="80"/>
        <v>0</v>
      </c>
      <c r="AZ106" s="210">
        <f t="shared" si="81"/>
        <v>0</v>
      </c>
      <c r="BA106" s="210">
        <f t="shared" si="82"/>
        <v>0</v>
      </c>
      <c r="BB106" s="210">
        <f t="shared" si="83"/>
        <v>0</v>
      </c>
      <c r="BC106" s="210">
        <f t="shared" si="84"/>
        <v>0</v>
      </c>
      <c r="BD106" s="210">
        <f t="shared" si="85"/>
        <v>0</v>
      </c>
      <c r="BE106" s="210">
        <f t="shared" si="86"/>
        <v>0</v>
      </c>
      <c r="BF106" s="210">
        <f t="shared" si="87"/>
        <v>0</v>
      </c>
      <c r="BG106" s="210">
        <f t="shared" si="88"/>
        <v>0</v>
      </c>
      <c r="BH106" s="210">
        <f t="shared" si="89"/>
        <v>0</v>
      </c>
      <c r="BI106" s="210">
        <f t="shared" si="90"/>
        <v>0</v>
      </c>
      <c r="BJ106" s="210">
        <f t="shared" si="91"/>
        <v>0</v>
      </c>
      <c r="BK106" s="210">
        <f t="shared" si="92"/>
        <v>0</v>
      </c>
      <c r="BL106" s="210">
        <f t="shared" si="93"/>
        <v>0</v>
      </c>
      <c r="BM106" s="210">
        <f t="shared" si="94"/>
        <v>0</v>
      </c>
      <c r="BN106" s="210">
        <f t="shared" si="95"/>
        <v>0</v>
      </c>
    </row>
    <row r="107" spans="1:66">
      <c r="A107" s="209" t="s">
        <v>136</v>
      </c>
      <c r="B107" s="210">
        <f t="shared" si="53"/>
        <v>0</v>
      </c>
      <c r="C107" s="210">
        <f t="shared" ref="C107:K107" si="124">B107-($B107-$L107)/10</f>
        <v>0</v>
      </c>
      <c r="D107" s="210">
        <f t="shared" si="124"/>
        <v>0</v>
      </c>
      <c r="E107" s="210">
        <f t="shared" si="124"/>
        <v>0</v>
      </c>
      <c r="F107" s="210">
        <f t="shared" si="124"/>
        <v>0</v>
      </c>
      <c r="G107" s="210">
        <f t="shared" si="124"/>
        <v>0</v>
      </c>
      <c r="H107" s="210">
        <f t="shared" si="124"/>
        <v>0</v>
      </c>
      <c r="I107" s="210">
        <f t="shared" si="124"/>
        <v>0</v>
      </c>
      <c r="J107" s="210">
        <f t="shared" si="124"/>
        <v>0</v>
      </c>
      <c r="K107" s="210">
        <f t="shared" si="124"/>
        <v>0</v>
      </c>
      <c r="L107" s="210">
        <f t="shared" si="117"/>
        <v>0</v>
      </c>
      <c r="M107" s="210">
        <f t="shared" si="117"/>
        <v>0</v>
      </c>
      <c r="N107" s="210">
        <f t="shared" si="117"/>
        <v>0</v>
      </c>
      <c r="O107" s="210">
        <f t="shared" si="117"/>
        <v>0</v>
      </c>
      <c r="P107" s="210">
        <f t="shared" si="117"/>
        <v>0</v>
      </c>
      <c r="Q107" s="210">
        <f>MAX(AM33:$AR33)-Q72</f>
        <v>0</v>
      </c>
      <c r="R107" s="210">
        <f>MAX(AN33:$AR33)-R72</f>
        <v>0</v>
      </c>
      <c r="S107" s="210">
        <f>MAX(AO33:$AR33)-S72</f>
        <v>0</v>
      </c>
      <c r="T107" s="210">
        <f>MAX(AP33:$AR33)-T72</f>
        <v>0</v>
      </c>
      <c r="U107" s="210">
        <f>MAX(AQ33:$AR33)-U72</f>
        <v>0</v>
      </c>
      <c r="V107" s="210">
        <f>MAX(AR33:$AR33)-V72</f>
        <v>0</v>
      </c>
      <c r="X107" s="210"/>
      <c r="Y107" s="210">
        <f t="shared" si="56"/>
        <v>0</v>
      </c>
      <c r="Z107" s="210">
        <f t="shared" si="57"/>
        <v>0</v>
      </c>
      <c r="AA107" s="210">
        <f t="shared" si="58"/>
        <v>0</v>
      </c>
      <c r="AB107" s="210">
        <f t="shared" si="59"/>
        <v>0</v>
      </c>
      <c r="AC107" s="210">
        <f t="shared" si="60"/>
        <v>0</v>
      </c>
      <c r="AD107" s="210">
        <f t="shared" si="61"/>
        <v>0</v>
      </c>
      <c r="AE107" s="210">
        <f t="shared" si="62"/>
        <v>0</v>
      </c>
      <c r="AF107" s="210">
        <f t="shared" si="63"/>
        <v>0</v>
      </c>
      <c r="AG107" s="210">
        <f t="shared" si="64"/>
        <v>0</v>
      </c>
      <c r="AH107" s="210">
        <f t="shared" si="65"/>
        <v>0</v>
      </c>
      <c r="AI107" s="210">
        <f t="shared" si="66"/>
        <v>0</v>
      </c>
      <c r="AJ107" s="210">
        <f t="shared" si="67"/>
        <v>0</v>
      </c>
      <c r="AK107" s="210">
        <f t="shared" si="68"/>
        <v>0</v>
      </c>
      <c r="AL107" s="210">
        <f t="shared" si="69"/>
        <v>0</v>
      </c>
      <c r="AM107" s="210">
        <f t="shared" si="70"/>
        <v>0</v>
      </c>
      <c r="AN107" s="210">
        <f t="shared" si="71"/>
        <v>0</v>
      </c>
      <c r="AO107" s="210">
        <f t="shared" si="72"/>
        <v>0</v>
      </c>
      <c r="AP107" s="210">
        <f t="shared" si="73"/>
        <v>0</v>
      </c>
      <c r="AQ107" s="210">
        <f t="shared" si="74"/>
        <v>0</v>
      </c>
      <c r="AR107" s="210">
        <f t="shared" si="75"/>
        <v>0</v>
      </c>
      <c r="AT107" s="210"/>
      <c r="AU107" s="210">
        <f t="shared" si="76"/>
        <v>0</v>
      </c>
      <c r="AV107" s="210">
        <f t="shared" si="77"/>
        <v>0</v>
      </c>
      <c r="AW107" s="210">
        <f t="shared" si="78"/>
        <v>0</v>
      </c>
      <c r="AX107" s="210">
        <f t="shared" si="79"/>
        <v>0</v>
      </c>
      <c r="AY107" s="210">
        <f t="shared" si="80"/>
        <v>0</v>
      </c>
      <c r="AZ107" s="210">
        <f t="shared" si="81"/>
        <v>0</v>
      </c>
      <c r="BA107" s="210">
        <f t="shared" si="82"/>
        <v>0</v>
      </c>
      <c r="BB107" s="210">
        <f t="shared" si="83"/>
        <v>0</v>
      </c>
      <c r="BC107" s="210">
        <f t="shared" si="84"/>
        <v>0</v>
      </c>
      <c r="BD107" s="210">
        <f t="shared" si="85"/>
        <v>0</v>
      </c>
      <c r="BE107" s="210">
        <f t="shared" si="86"/>
        <v>0</v>
      </c>
      <c r="BF107" s="210">
        <f t="shared" si="87"/>
        <v>0</v>
      </c>
      <c r="BG107" s="210">
        <f t="shared" si="88"/>
        <v>0</v>
      </c>
      <c r="BH107" s="210">
        <f t="shared" si="89"/>
        <v>0</v>
      </c>
      <c r="BI107" s="210">
        <f t="shared" si="90"/>
        <v>0</v>
      </c>
      <c r="BJ107" s="210">
        <f t="shared" si="91"/>
        <v>0</v>
      </c>
      <c r="BK107" s="210">
        <f t="shared" si="92"/>
        <v>0</v>
      </c>
      <c r="BL107" s="210">
        <f t="shared" si="93"/>
        <v>0</v>
      </c>
      <c r="BM107" s="210">
        <f t="shared" si="94"/>
        <v>0</v>
      </c>
      <c r="BN107" s="210">
        <f t="shared" si="95"/>
        <v>0</v>
      </c>
    </row>
    <row r="108" spans="1:66">
      <c r="A108" s="209" t="s">
        <v>138</v>
      </c>
      <c r="B108" s="210">
        <f t="shared" si="53"/>
        <v>0</v>
      </c>
      <c r="C108" s="210">
        <f t="shared" ref="C108:K108" si="125">B108-($B108-$L108)/10</f>
        <v>0</v>
      </c>
      <c r="D108" s="210">
        <f t="shared" si="125"/>
        <v>0</v>
      </c>
      <c r="E108" s="210">
        <f t="shared" si="125"/>
        <v>0</v>
      </c>
      <c r="F108" s="210">
        <f t="shared" si="125"/>
        <v>0</v>
      </c>
      <c r="G108" s="210">
        <f t="shared" si="125"/>
        <v>0</v>
      </c>
      <c r="H108" s="210">
        <f t="shared" si="125"/>
        <v>0</v>
      </c>
      <c r="I108" s="210">
        <f t="shared" si="125"/>
        <v>0</v>
      </c>
      <c r="J108" s="210">
        <f t="shared" si="125"/>
        <v>0</v>
      </c>
      <c r="K108" s="210">
        <f t="shared" si="125"/>
        <v>0</v>
      </c>
      <c r="L108" s="210">
        <f t="shared" si="117"/>
        <v>0</v>
      </c>
      <c r="M108" s="210">
        <f t="shared" si="117"/>
        <v>0</v>
      </c>
      <c r="N108" s="210">
        <f t="shared" si="117"/>
        <v>0</v>
      </c>
      <c r="O108" s="210">
        <f t="shared" si="117"/>
        <v>0</v>
      </c>
      <c r="P108" s="210">
        <f t="shared" si="117"/>
        <v>0</v>
      </c>
      <c r="Q108" s="210">
        <f>MAX(AM34:$AR34)-Q73</f>
        <v>0</v>
      </c>
      <c r="R108" s="210">
        <f>MAX(AN34:$AR34)-R73</f>
        <v>0</v>
      </c>
      <c r="S108" s="210">
        <f>MAX(AO34:$AR34)-S73</f>
        <v>0</v>
      </c>
      <c r="T108" s="210">
        <f>MAX(AP34:$AR34)-T73</f>
        <v>0</v>
      </c>
      <c r="U108" s="210">
        <f>MAX(AQ34:$AR34)-U73</f>
        <v>0</v>
      </c>
      <c r="V108" s="210">
        <f>MAX(AR34:$AR34)-V73</f>
        <v>0</v>
      </c>
      <c r="X108" s="210"/>
      <c r="Y108" s="210">
        <f t="shared" si="56"/>
        <v>0</v>
      </c>
      <c r="Z108" s="210">
        <f t="shared" si="57"/>
        <v>0</v>
      </c>
      <c r="AA108" s="210">
        <f t="shared" si="58"/>
        <v>0</v>
      </c>
      <c r="AB108" s="210">
        <f t="shared" si="59"/>
        <v>0</v>
      </c>
      <c r="AC108" s="210">
        <f t="shared" si="60"/>
        <v>0</v>
      </c>
      <c r="AD108" s="210">
        <f t="shared" si="61"/>
        <v>0</v>
      </c>
      <c r="AE108" s="210">
        <f t="shared" si="62"/>
        <v>0</v>
      </c>
      <c r="AF108" s="210">
        <f t="shared" si="63"/>
        <v>0</v>
      </c>
      <c r="AG108" s="210">
        <f t="shared" si="64"/>
        <v>0</v>
      </c>
      <c r="AH108" s="210">
        <f t="shared" si="65"/>
        <v>0</v>
      </c>
      <c r="AI108" s="210">
        <f t="shared" si="66"/>
        <v>0</v>
      </c>
      <c r="AJ108" s="210">
        <f t="shared" si="67"/>
        <v>0</v>
      </c>
      <c r="AK108" s="210">
        <f t="shared" si="68"/>
        <v>0</v>
      </c>
      <c r="AL108" s="210">
        <f t="shared" si="69"/>
        <v>0</v>
      </c>
      <c r="AM108" s="210">
        <f t="shared" si="70"/>
        <v>0</v>
      </c>
      <c r="AN108" s="210">
        <f t="shared" si="71"/>
        <v>0</v>
      </c>
      <c r="AO108" s="210">
        <f t="shared" si="72"/>
        <v>0</v>
      </c>
      <c r="AP108" s="210">
        <f t="shared" si="73"/>
        <v>0</v>
      </c>
      <c r="AQ108" s="210">
        <f t="shared" si="74"/>
        <v>0</v>
      </c>
      <c r="AR108" s="210">
        <f t="shared" si="75"/>
        <v>0</v>
      </c>
      <c r="AT108" s="210"/>
      <c r="AU108" s="210">
        <f t="shared" si="76"/>
        <v>0</v>
      </c>
      <c r="AV108" s="210">
        <f t="shared" si="77"/>
        <v>0</v>
      </c>
      <c r="AW108" s="210">
        <f t="shared" si="78"/>
        <v>0</v>
      </c>
      <c r="AX108" s="210">
        <f t="shared" si="79"/>
        <v>0</v>
      </c>
      <c r="AY108" s="210">
        <f t="shared" si="80"/>
        <v>0</v>
      </c>
      <c r="AZ108" s="210">
        <f t="shared" si="81"/>
        <v>0</v>
      </c>
      <c r="BA108" s="210">
        <f t="shared" si="82"/>
        <v>0</v>
      </c>
      <c r="BB108" s="210">
        <f t="shared" si="83"/>
        <v>0</v>
      </c>
      <c r="BC108" s="210">
        <f t="shared" si="84"/>
        <v>0</v>
      </c>
      <c r="BD108" s="210">
        <f t="shared" si="85"/>
        <v>0</v>
      </c>
      <c r="BE108" s="210">
        <f t="shared" si="86"/>
        <v>0</v>
      </c>
      <c r="BF108" s="210">
        <f t="shared" si="87"/>
        <v>0</v>
      </c>
      <c r="BG108" s="210">
        <f t="shared" si="88"/>
        <v>0</v>
      </c>
      <c r="BH108" s="210">
        <f t="shared" si="89"/>
        <v>0</v>
      </c>
      <c r="BI108" s="210">
        <f t="shared" si="90"/>
        <v>0</v>
      </c>
      <c r="BJ108" s="210">
        <f t="shared" si="91"/>
        <v>0</v>
      </c>
      <c r="BK108" s="210">
        <f t="shared" si="92"/>
        <v>0</v>
      </c>
      <c r="BL108" s="210">
        <f t="shared" si="93"/>
        <v>0</v>
      </c>
      <c r="BM108" s="210">
        <f t="shared" si="94"/>
        <v>0</v>
      </c>
      <c r="BN108" s="210">
        <f t="shared" si="95"/>
        <v>0</v>
      </c>
    </row>
    <row r="109" spans="1:66">
      <c r="A109" s="209" t="s">
        <v>1311</v>
      </c>
      <c r="B109" s="210">
        <f t="shared" si="53"/>
        <v>0</v>
      </c>
      <c r="C109" s="210">
        <f t="shared" ref="C109:K109" si="126">B109-($B109-$L109)/10</f>
        <v>0</v>
      </c>
      <c r="D109" s="210">
        <f t="shared" si="126"/>
        <v>0</v>
      </c>
      <c r="E109" s="210">
        <f t="shared" si="126"/>
        <v>0</v>
      </c>
      <c r="F109" s="210">
        <f t="shared" si="126"/>
        <v>0</v>
      </c>
      <c r="G109" s="210">
        <f t="shared" si="126"/>
        <v>0</v>
      </c>
      <c r="H109" s="210">
        <f t="shared" si="126"/>
        <v>0</v>
      </c>
      <c r="I109" s="210">
        <f t="shared" si="126"/>
        <v>0</v>
      </c>
      <c r="J109" s="210">
        <f t="shared" si="126"/>
        <v>0</v>
      </c>
      <c r="K109" s="210">
        <f t="shared" si="126"/>
        <v>0</v>
      </c>
      <c r="L109" s="210">
        <f t="shared" si="117"/>
        <v>0</v>
      </c>
      <c r="M109" s="210">
        <f t="shared" si="117"/>
        <v>0</v>
      </c>
      <c r="N109" s="210">
        <f t="shared" si="117"/>
        <v>0</v>
      </c>
      <c r="O109" s="210">
        <f t="shared" si="117"/>
        <v>0</v>
      </c>
      <c r="P109" s="210">
        <f t="shared" si="117"/>
        <v>0</v>
      </c>
      <c r="Q109" s="210">
        <f>MAX(AM35:$AR35)-Q74</f>
        <v>0</v>
      </c>
      <c r="R109" s="210">
        <f>MAX(AN35:$AR35)-R74</f>
        <v>0</v>
      </c>
      <c r="S109" s="210">
        <f>MAX(AO35:$AR35)-S74</f>
        <v>0</v>
      </c>
      <c r="T109" s="210">
        <f>MAX(AP35:$AR35)-T74</f>
        <v>0</v>
      </c>
      <c r="U109" s="210">
        <f>MAX(AQ35:$AR35)-U74</f>
        <v>0</v>
      </c>
      <c r="V109" s="210">
        <f>MAX(AR35:$AR35)-V74</f>
        <v>0</v>
      </c>
      <c r="X109" s="210"/>
      <c r="Y109" s="210">
        <f t="shared" si="56"/>
        <v>0</v>
      </c>
      <c r="Z109" s="210">
        <f t="shared" si="57"/>
        <v>0</v>
      </c>
      <c r="AA109" s="210">
        <f t="shared" si="58"/>
        <v>0</v>
      </c>
      <c r="AB109" s="210">
        <f t="shared" si="59"/>
        <v>0</v>
      </c>
      <c r="AC109" s="210">
        <f t="shared" si="60"/>
        <v>0</v>
      </c>
      <c r="AD109" s="210">
        <f t="shared" si="61"/>
        <v>0</v>
      </c>
      <c r="AE109" s="210">
        <f t="shared" si="62"/>
        <v>0</v>
      </c>
      <c r="AF109" s="210">
        <f t="shared" si="63"/>
        <v>0</v>
      </c>
      <c r="AG109" s="210">
        <f t="shared" si="64"/>
        <v>0</v>
      </c>
      <c r="AH109" s="210">
        <f t="shared" si="65"/>
        <v>0</v>
      </c>
      <c r="AI109" s="210">
        <f t="shared" si="66"/>
        <v>0</v>
      </c>
      <c r="AJ109" s="210">
        <f t="shared" si="67"/>
        <v>0</v>
      </c>
      <c r="AK109" s="210">
        <f t="shared" si="68"/>
        <v>0</v>
      </c>
      <c r="AL109" s="210">
        <f t="shared" si="69"/>
        <v>0</v>
      </c>
      <c r="AM109" s="210">
        <f t="shared" si="70"/>
        <v>0</v>
      </c>
      <c r="AN109" s="210">
        <f t="shared" si="71"/>
        <v>0</v>
      </c>
      <c r="AO109" s="210">
        <f t="shared" si="72"/>
        <v>0</v>
      </c>
      <c r="AP109" s="210">
        <f t="shared" si="73"/>
        <v>0</v>
      </c>
      <c r="AQ109" s="210">
        <f t="shared" si="74"/>
        <v>0</v>
      </c>
      <c r="AR109" s="210">
        <f t="shared" si="75"/>
        <v>0</v>
      </c>
      <c r="AT109" s="210"/>
      <c r="AU109" s="210">
        <f t="shared" si="76"/>
        <v>0</v>
      </c>
      <c r="AV109" s="210">
        <f t="shared" si="77"/>
        <v>0</v>
      </c>
      <c r="AW109" s="210">
        <f t="shared" si="78"/>
        <v>0</v>
      </c>
      <c r="AX109" s="210">
        <f t="shared" si="79"/>
        <v>0</v>
      </c>
      <c r="AY109" s="210">
        <f t="shared" si="80"/>
        <v>0</v>
      </c>
      <c r="AZ109" s="210">
        <f t="shared" si="81"/>
        <v>0</v>
      </c>
      <c r="BA109" s="210">
        <f t="shared" si="82"/>
        <v>0</v>
      </c>
      <c r="BB109" s="210">
        <f t="shared" si="83"/>
        <v>0</v>
      </c>
      <c r="BC109" s="210">
        <f t="shared" si="84"/>
        <v>0</v>
      </c>
      <c r="BD109" s="210">
        <f t="shared" si="85"/>
        <v>0</v>
      </c>
      <c r="BE109" s="210">
        <f t="shared" si="86"/>
        <v>0</v>
      </c>
      <c r="BF109" s="210">
        <f t="shared" si="87"/>
        <v>0</v>
      </c>
      <c r="BG109" s="210">
        <f t="shared" si="88"/>
        <v>0</v>
      </c>
      <c r="BH109" s="210">
        <f t="shared" si="89"/>
        <v>0</v>
      </c>
      <c r="BI109" s="210">
        <f t="shared" si="90"/>
        <v>0</v>
      </c>
      <c r="BJ109" s="210">
        <f t="shared" si="91"/>
        <v>0</v>
      </c>
      <c r="BK109" s="210">
        <f t="shared" si="92"/>
        <v>0</v>
      </c>
      <c r="BL109" s="210">
        <f t="shared" si="93"/>
        <v>0</v>
      </c>
      <c r="BM109" s="210">
        <f t="shared" si="94"/>
        <v>0</v>
      </c>
      <c r="BN109" s="210">
        <f t="shared" si="95"/>
        <v>0</v>
      </c>
    </row>
    <row r="110" spans="1:66">
      <c r="A110" s="209" t="s">
        <v>918</v>
      </c>
      <c r="B110" s="210">
        <f t="shared" si="53"/>
        <v>47.31</v>
      </c>
      <c r="C110" s="210">
        <f t="shared" ref="C110:K110" si="127">B110-($B110-$L110)/10</f>
        <v>42.579</v>
      </c>
      <c r="D110" s="210">
        <f t="shared" si="127"/>
        <v>37.848</v>
      </c>
      <c r="E110" s="210">
        <f t="shared" si="127"/>
        <v>33.117</v>
      </c>
      <c r="F110" s="210">
        <f t="shared" si="127"/>
        <v>28.386</v>
      </c>
      <c r="G110" s="210">
        <f t="shared" si="127"/>
        <v>23.655</v>
      </c>
      <c r="H110" s="210">
        <f t="shared" si="127"/>
        <v>18.924</v>
      </c>
      <c r="I110" s="210">
        <f t="shared" si="127"/>
        <v>14.193</v>
      </c>
      <c r="J110" s="210">
        <f t="shared" si="127"/>
        <v>9.46199999999999</v>
      </c>
      <c r="K110" s="210">
        <f t="shared" si="127"/>
        <v>4.73099999999999</v>
      </c>
      <c r="L110" s="210">
        <f t="shared" ref="L110:P110" si="128">M110</f>
        <v>0</v>
      </c>
      <c r="M110" s="210">
        <f t="shared" si="128"/>
        <v>0</v>
      </c>
      <c r="N110" s="210">
        <f t="shared" si="128"/>
        <v>0</v>
      </c>
      <c r="O110" s="210">
        <f t="shared" si="128"/>
        <v>0</v>
      </c>
      <c r="P110" s="210">
        <f t="shared" si="128"/>
        <v>0</v>
      </c>
      <c r="Q110" s="210">
        <f>MAX(AM36:$AR36)-Q75</f>
        <v>0</v>
      </c>
      <c r="R110" s="210">
        <f>MAX(AN36:$AR36)-R75</f>
        <v>0</v>
      </c>
      <c r="S110" s="210">
        <f>MAX(AO36:$AR36)-S75</f>
        <v>0</v>
      </c>
      <c r="T110" s="210">
        <f>MAX(AP36:$AR36)-T75</f>
        <v>0</v>
      </c>
      <c r="U110" s="210">
        <f>MAX(AQ36:$AR36)-U75</f>
        <v>0</v>
      </c>
      <c r="V110" s="210">
        <f>MAX(AR36:$AR36)-V75</f>
        <v>0</v>
      </c>
      <c r="X110" s="210"/>
      <c r="Y110" s="210">
        <f t="shared" si="56"/>
        <v>0</v>
      </c>
      <c r="Z110" s="210">
        <f t="shared" si="57"/>
        <v>0</v>
      </c>
      <c r="AA110" s="210">
        <f t="shared" si="58"/>
        <v>0</v>
      </c>
      <c r="AB110" s="210">
        <f t="shared" si="59"/>
        <v>0</v>
      </c>
      <c r="AC110" s="210">
        <f t="shared" si="60"/>
        <v>0</v>
      </c>
      <c r="AD110" s="210">
        <f t="shared" si="61"/>
        <v>0</v>
      </c>
      <c r="AE110" s="210">
        <f t="shared" si="62"/>
        <v>0</v>
      </c>
      <c r="AF110" s="210">
        <f t="shared" si="63"/>
        <v>0</v>
      </c>
      <c r="AG110" s="210">
        <f t="shared" si="64"/>
        <v>0</v>
      </c>
      <c r="AH110" s="210">
        <f t="shared" si="65"/>
        <v>0</v>
      </c>
      <c r="AI110" s="210">
        <f t="shared" si="66"/>
        <v>0</v>
      </c>
      <c r="AJ110" s="210">
        <f t="shared" si="67"/>
        <v>0</v>
      </c>
      <c r="AK110" s="210">
        <f t="shared" si="68"/>
        <v>0</v>
      </c>
      <c r="AL110" s="210">
        <f t="shared" si="69"/>
        <v>0</v>
      </c>
      <c r="AM110" s="210">
        <f t="shared" si="70"/>
        <v>0</v>
      </c>
      <c r="AN110" s="210">
        <f t="shared" si="71"/>
        <v>0</v>
      </c>
      <c r="AO110" s="210">
        <f t="shared" si="72"/>
        <v>0</v>
      </c>
      <c r="AP110" s="210">
        <f t="shared" si="73"/>
        <v>0</v>
      </c>
      <c r="AQ110" s="210">
        <f t="shared" si="74"/>
        <v>0</v>
      </c>
      <c r="AR110" s="210">
        <f t="shared" si="75"/>
        <v>0</v>
      </c>
      <c r="AT110" s="210"/>
      <c r="AU110" s="210">
        <f t="shared" si="76"/>
        <v>4.731</v>
      </c>
      <c r="AV110" s="210">
        <f t="shared" si="77"/>
        <v>4.731</v>
      </c>
      <c r="AW110" s="210">
        <f t="shared" si="78"/>
        <v>4.731</v>
      </c>
      <c r="AX110" s="210">
        <f t="shared" si="79"/>
        <v>4.731</v>
      </c>
      <c r="AY110" s="210">
        <f t="shared" si="80"/>
        <v>4.731</v>
      </c>
      <c r="AZ110" s="210">
        <f t="shared" si="81"/>
        <v>4.731</v>
      </c>
      <c r="BA110" s="210">
        <f t="shared" si="82"/>
        <v>4.731</v>
      </c>
      <c r="BB110" s="210">
        <f t="shared" si="83"/>
        <v>4.731</v>
      </c>
      <c r="BC110" s="210">
        <f t="shared" si="84"/>
        <v>4.731</v>
      </c>
      <c r="BD110" s="210">
        <f t="shared" si="85"/>
        <v>4.73099999999999</v>
      </c>
      <c r="BE110" s="210">
        <f t="shared" si="86"/>
        <v>0</v>
      </c>
      <c r="BF110" s="210">
        <f t="shared" si="87"/>
        <v>0</v>
      </c>
      <c r="BG110" s="210">
        <f t="shared" si="88"/>
        <v>0</v>
      </c>
      <c r="BH110" s="210">
        <f t="shared" si="89"/>
        <v>0</v>
      </c>
      <c r="BI110" s="210">
        <f t="shared" si="90"/>
        <v>0</v>
      </c>
      <c r="BJ110" s="210">
        <f t="shared" si="91"/>
        <v>0</v>
      </c>
      <c r="BK110" s="210">
        <f t="shared" si="92"/>
        <v>0</v>
      </c>
      <c r="BL110" s="210">
        <f t="shared" si="93"/>
        <v>0</v>
      </c>
      <c r="BM110" s="210">
        <f t="shared" si="94"/>
        <v>0</v>
      </c>
      <c r="BN110" s="210">
        <f t="shared" si="95"/>
        <v>0</v>
      </c>
    </row>
    <row r="112" spans="1:66">
      <c r="B112" s="97" t="s">
        <v>1336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X112" s="97" t="s">
        <v>1337</v>
      </c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T112" s="97" t="s">
        <v>1338</v>
      </c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</row>
    <row r="113" spans="1:66">
      <c r="B113" s="92">
        <v>2001</v>
      </c>
      <c r="C113" s="92">
        <v>2002</v>
      </c>
      <c r="D113" s="92">
        <v>2003</v>
      </c>
      <c r="E113" s="92">
        <v>2004</v>
      </c>
      <c r="F113" s="92">
        <v>2005</v>
      </c>
      <c r="G113" s="92">
        <v>2006</v>
      </c>
      <c r="H113" s="92">
        <v>2007</v>
      </c>
      <c r="I113" s="92">
        <v>2008</v>
      </c>
      <c r="J113" s="92">
        <v>2009</v>
      </c>
      <c r="K113" s="92">
        <v>2010</v>
      </c>
      <c r="L113" s="92">
        <v>2011</v>
      </c>
      <c r="M113" s="92">
        <v>2012</v>
      </c>
      <c r="N113" s="92">
        <v>2013</v>
      </c>
      <c r="O113" s="92">
        <v>2014</v>
      </c>
      <c r="P113" s="92">
        <v>2015</v>
      </c>
      <c r="Q113" s="92">
        <v>2016</v>
      </c>
      <c r="R113" s="92">
        <v>2017</v>
      </c>
      <c r="S113" s="92">
        <v>2018</v>
      </c>
      <c r="T113" s="92">
        <v>2019</v>
      </c>
      <c r="U113" s="92">
        <v>2020</v>
      </c>
      <c r="V113" s="92">
        <v>2021</v>
      </c>
      <c r="X113" s="92">
        <v>2001</v>
      </c>
      <c r="Y113" s="92">
        <v>2002</v>
      </c>
      <c r="Z113" s="92">
        <v>2003</v>
      </c>
      <c r="AA113" s="92">
        <v>2004</v>
      </c>
      <c r="AB113" s="92">
        <v>2005</v>
      </c>
      <c r="AC113" s="92">
        <v>2006</v>
      </c>
      <c r="AD113" s="92">
        <v>2007</v>
      </c>
      <c r="AE113" s="92">
        <v>2008</v>
      </c>
      <c r="AF113" s="92">
        <v>2009</v>
      </c>
      <c r="AG113" s="92">
        <v>2010</v>
      </c>
      <c r="AH113" s="92">
        <v>2011</v>
      </c>
      <c r="AI113" s="92">
        <v>2012</v>
      </c>
      <c r="AJ113" s="92">
        <v>2013</v>
      </c>
      <c r="AK113" s="92">
        <v>2014</v>
      </c>
      <c r="AL113" s="92">
        <v>2015</v>
      </c>
      <c r="AM113" s="92">
        <v>2016</v>
      </c>
      <c r="AN113" s="92">
        <v>2017</v>
      </c>
      <c r="AO113" s="92">
        <v>2018</v>
      </c>
      <c r="AP113" s="92">
        <v>2019</v>
      </c>
      <c r="AQ113" s="92">
        <v>2020</v>
      </c>
      <c r="AR113" s="92">
        <v>2021</v>
      </c>
      <c r="AT113" s="92">
        <v>2001</v>
      </c>
      <c r="AU113" s="92">
        <v>2002</v>
      </c>
      <c r="AV113" s="92">
        <v>2003</v>
      </c>
      <c r="AW113" s="92">
        <v>2004</v>
      </c>
      <c r="AX113" s="92">
        <v>2005</v>
      </c>
      <c r="AY113" s="92">
        <v>2006</v>
      </c>
      <c r="AZ113" s="92">
        <v>2007</v>
      </c>
      <c r="BA113" s="92">
        <v>2008</v>
      </c>
      <c r="BB113" s="92">
        <v>2009</v>
      </c>
      <c r="BC113" s="92">
        <v>2010</v>
      </c>
      <c r="BD113" s="92">
        <v>2011</v>
      </c>
      <c r="BE113" s="92">
        <v>2012</v>
      </c>
      <c r="BF113" s="92">
        <v>2013</v>
      </c>
      <c r="BG113" s="92">
        <v>2014</v>
      </c>
      <c r="BH113" s="92">
        <v>2015</v>
      </c>
      <c r="BI113" s="92">
        <v>2016</v>
      </c>
      <c r="BJ113" s="92">
        <v>2017</v>
      </c>
      <c r="BK113" s="92">
        <v>2018</v>
      </c>
      <c r="BL113" s="92">
        <v>2019</v>
      </c>
      <c r="BM113" s="92">
        <v>2020</v>
      </c>
      <c r="BN113" s="92">
        <v>2021</v>
      </c>
    </row>
    <row r="114" spans="1:66">
      <c r="A114" s="209" t="s">
        <v>1310</v>
      </c>
      <c r="B114" s="210">
        <f t="shared" ref="B114:V114" si="129">SUM(B115:B145)</f>
        <v>1967.98</v>
      </c>
      <c r="C114" s="210">
        <f t="shared" si="129"/>
        <v>1889.6144</v>
      </c>
      <c r="D114" s="210">
        <f t="shared" si="129"/>
        <v>1763.6328</v>
      </c>
      <c r="E114" s="210">
        <f t="shared" si="129"/>
        <v>1637.0512</v>
      </c>
      <c r="F114" s="210">
        <f t="shared" si="129"/>
        <v>1511.0396</v>
      </c>
      <c r="G114" s="210">
        <f t="shared" si="129"/>
        <v>1348.708</v>
      </c>
      <c r="H114" s="210">
        <f t="shared" si="129"/>
        <v>1052.8564</v>
      </c>
      <c r="I114" s="210">
        <f t="shared" si="129"/>
        <v>899.215911111111</v>
      </c>
      <c r="J114" s="210">
        <f t="shared" si="129"/>
        <v>736.745422222222</v>
      </c>
      <c r="K114" s="210">
        <f t="shared" si="129"/>
        <v>577.084933333333</v>
      </c>
      <c r="L114" s="210">
        <f t="shared" si="129"/>
        <v>413.725</v>
      </c>
      <c r="M114" s="210">
        <f t="shared" si="129"/>
        <v>376.946666666667</v>
      </c>
      <c r="N114" s="210">
        <f t="shared" si="129"/>
        <v>355.168333333333</v>
      </c>
      <c r="O114" s="210">
        <f t="shared" si="129"/>
        <v>313.39</v>
      </c>
      <c r="P114" s="210">
        <f t="shared" si="129"/>
        <v>271.611666666667</v>
      </c>
      <c r="Q114" s="210">
        <f t="shared" si="129"/>
        <v>229</v>
      </c>
      <c r="R114" s="210">
        <f t="shared" si="129"/>
        <v>217</v>
      </c>
      <c r="S114" s="210">
        <f t="shared" si="129"/>
        <v>192</v>
      </c>
      <c r="T114" s="210">
        <f t="shared" si="129"/>
        <v>192</v>
      </c>
      <c r="U114" s="210">
        <f t="shared" si="129"/>
        <v>165</v>
      </c>
      <c r="V114" s="210">
        <f t="shared" si="129"/>
        <v>165</v>
      </c>
      <c r="X114" s="210"/>
      <c r="Y114" s="210">
        <f t="shared" ref="Y114:AR114" si="130">SUM(Y115:Y145)</f>
        <v>53.709</v>
      </c>
      <c r="Z114" s="210">
        <f t="shared" si="130"/>
        <v>4.034</v>
      </c>
      <c r="AA114" s="210">
        <f t="shared" si="130"/>
        <v>3.434</v>
      </c>
      <c r="AB114" s="210">
        <f t="shared" si="130"/>
        <v>44.754</v>
      </c>
      <c r="AC114" s="210">
        <f t="shared" si="130"/>
        <v>7.434</v>
      </c>
      <c r="AD114" s="210">
        <f t="shared" si="130"/>
        <v>6.224</v>
      </c>
      <c r="AE114" s="210">
        <f t="shared" si="130"/>
        <v>12.434</v>
      </c>
      <c r="AF114" s="210">
        <f t="shared" si="130"/>
        <v>3.604</v>
      </c>
      <c r="AG114" s="210">
        <f t="shared" si="130"/>
        <v>6.414</v>
      </c>
      <c r="AH114" s="210">
        <f t="shared" si="130"/>
        <v>3.43400000000001</v>
      </c>
      <c r="AI114" s="210">
        <f t="shared" si="130"/>
        <v>0</v>
      </c>
      <c r="AJ114" s="210">
        <f t="shared" si="130"/>
        <v>15</v>
      </c>
      <c r="AK114" s="210">
        <f t="shared" si="130"/>
        <v>0</v>
      </c>
      <c r="AL114" s="210">
        <f t="shared" si="130"/>
        <v>0</v>
      </c>
      <c r="AM114" s="210">
        <f t="shared" si="130"/>
        <v>0</v>
      </c>
      <c r="AN114" s="210">
        <f t="shared" si="130"/>
        <v>0</v>
      </c>
      <c r="AO114" s="210">
        <f t="shared" si="130"/>
        <v>0</v>
      </c>
      <c r="AP114" s="210">
        <f t="shared" si="130"/>
        <v>0</v>
      </c>
      <c r="AQ114" s="210">
        <f t="shared" si="130"/>
        <v>0</v>
      </c>
      <c r="AR114" s="210">
        <f t="shared" si="130"/>
        <v>0</v>
      </c>
      <c r="AT114" s="210"/>
      <c r="AU114" s="210">
        <f t="shared" ref="AU114:BN114" si="131">SUM(AU115:AU145)</f>
        <v>132.0746</v>
      </c>
      <c r="AV114" s="210">
        <f t="shared" si="131"/>
        <v>130.0156</v>
      </c>
      <c r="AW114" s="210">
        <f t="shared" si="131"/>
        <v>130.0156</v>
      </c>
      <c r="AX114" s="210">
        <f t="shared" si="131"/>
        <v>170.7656</v>
      </c>
      <c r="AY114" s="210">
        <f t="shared" si="131"/>
        <v>169.7656</v>
      </c>
      <c r="AZ114" s="210">
        <f t="shared" si="131"/>
        <v>302.0756</v>
      </c>
      <c r="BA114" s="210">
        <f t="shared" si="131"/>
        <v>166.074488888889</v>
      </c>
      <c r="BB114" s="210">
        <f t="shared" si="131"/>
        <v>166.074488888889</v>
      </c>
      <c r="BC114" s="210">
        <f t="shared" si="131"/>
        <v>166.074488888889</v>
      </c>
      <c r="BD114" s="210">
        <f t="shared" si="131"/>
        <v>166.793933333333</v>
      </c>
      <c r="BE114" s="210">
        <f t="shared" si="131"/>
        <v>36.7783333333333</v>
      </c>
      <c r="BF114" s="210">
        <f t="shared" si="131"/>
        <v>36.7783333333333</v>
      </c>
      <c r="BG114" s="210">
        <f t="shared" si="131"/>
        <v>41.7783333333333</v>
      </c>
      <c r="BH114" s="210">
        <f t="shared" si="131"/>
        <v>41.7783333333333</v>
      </c>
      <c r="BI114" s="210">
        <f t="shared" si="131"/>
        <v>42.6116666666667</v>
      </c>
      <c r="BJ114" s="210">
        <f t="shared" si="131"/>
        <v>12</v>
      </c>
      <c r="BK114" s="210">
        <f t="shared" si="131"/>
        <v>25</v>
      </c>
      <c r="BL114" s="210">
        <f t="shared" si="131"/>
        <v>0</v>
      </c>
      <c r="BM114" s="210">
        <f t="shared" si="131"/>
        <v>27</v>
      </c>
      <c r="BN114" s="210">
        <f t="shared" si="131"/>
        <v>0</v>
      </c>
    </row>
    <row r="115" spans="1:66">
      <c r="A115" s="214" t="s">
        <v>82</v>
      </c>
      <c r="B115" s="210">
        <f t="shared" ref="B115:V115" si="132">B45+B80</f>
        <v>62.34</v>
      </c>
      <c r="C115" s="210">
        <f t="shared" si="132"/>
        <v>58.306</v>
      </c>
      <c r="D115" s="210">
        <f t="shared" si="132"/>
        <v>54.272</v>
      </c>
      <c r="E115" s="210">
        <f t="shared" si="132"/>
        <v>50.238</v>
      </c>
      <c r="F115" s="210">
        <f t="shared" si="132"/>
        <v>46.204</v>
      </c>
      <c r="G115" s="210">
        <f t="shared" si="132"/>
        <v>42.17</v>
      </c>
      <c r="H115" s="210">
        <f t="shared" si="132"/>
        <v>38.136</v>
      </c>
      <c r="I115" s="210">
        <f t="shared" si="132"/>
        <v>34.102</v>
      </c>
      <c r="J115" s="210">
        <f t="shared" si="132"/>
        <v>30.068</v>
      </c>
      <c r="K115" s="210">
        <f t="shared" si="132"/>
        <v>26.034</v>
      </c>
      <c r="L115" s="210">
        <f t="shared" si="132"/>
        <v>22</v>
      </c>
      <c r="M115" s="210">
        <f t="shared" si="132"/>
        <v>22</v>
      </c>
      <c r="N115" s="210">
        <f t="shared" si="132"/>
        <v>22</v>
      </c>
      <c r="O115" s="210">
        <f t="shared" si="132"/>
        <v>22</v>
      </c>
      <c r="P115" s="210">
        <f t="shared" si="132"/>
        <v>22</v>
      </c>
      <c r="Q115" s="210">
        <f t="shared" si="132"/>
        <v>22</v>
      </c>
      <c r="R115" s="210">
        <f t="shared" si="132"/>
        <v>22</v>
      </c>
      <c r="S115" s="210">
        <f t="shared" si="132"/>
        <v>22</v>
      </c>
      <c r="T115" s="210">
        <f t="shared" si="132"/>
        <v>22</v>
      </c>
      <c r="U115" s="210">
        <f t="shared" si="132"/>
        <v>22</v>
      </c>
      <c r="V115" s="210">
        <f t="shared" si="132"/>
        <v>22</v>
      </c>
      <c r="W115" s="210"/>
      <c r="X115" s="210"/>
      <c r="Y115" s="210">
        <f t="shared" ref="Y115:AR115" si="133">Y45+Y80</f>
        <v>0</v>
      </c>
      <c r="Z115" s="210">
        <f t="shared" si="133"/>
        <v>0</v>
      </c>
      <c r="AA115" s="210">
        <f t="shared" si="133"/>
        <v>0</v>
      </c>
      <c r="AB115" s="210">
        <f t="shared" si="133"/>
        <v>0</v>
      </c>
      <c r="AC115" s="210">
        <f t="shared" si="133"/>
        <v>0</v>
      </c>
      <c r="AD115" s="210">
        <f t="shared" si="133"/>
        <v>0</v>
      </c>
      <c r="AE115" s="210">
        <f t="shared" si="133"/>
        <v>0</v>
      </c>
      <c r="AF115" s="210">
        <f t="shared" si="133"/>
        <v>0</v>
      </c>
      <c r="AG115" s="210">
        <f t="shared" si="133"/>
        <v>0</v>
      </c>
      <c r="AH115" s="210">
        <f t="shared" si="133"/>
        <v>0</v>
      </c>
      <c r="AI115" s="210">
        <f t="shared" si="133"/>
        <v>0</v>
      </c>
      <c r="AJ115" s="210">
        <f t="shared" si="133"/>
        <v>0</v>
      </c>
      <c r="AK115" s="210">
        <f t="shared" si="133"/>
        <v>0</v>
      </c>
      <c r="AL115" s="210">
        <f t="shared" si="133"/>
        <v>0</v>
      </c>
      <c r="AM115" s="210">
        <f t="shared" si="133"/>
        <v>0</v>
      </c>
      <c r="AN115" s="210">
        <f t="shared" si="133"/>
        <v>0</v>
      </c>
      <c r="AO115" s="210">
        <f t="shared" si="133"/>
        <v>0</v>
      </c>
      <c r="AP115" s="210">
        <f t="shared" si="133"/>
        <v>0</v>
      </c>
      <c r="AQ115" s="210">
        <f t="shared" si="133"/>
        <v>0</v>
      </c>
      <c r="AR115" s="210">
        <f t="shared" si="133"/>
        <v>0</v>
      </c>
      <c r="AS115" s="210"/>
      <c r="AT115" s="210"/>
      <c r="AU115" s="210">
        <f t="shared" ref="AU115:BN115" si="134">AU45+AU80</f>
        <v>4.034</v>
      </c>
      <c r="AV115" s="210">
        <f t="shared" si="134"/>
        <v>4.034</v>
      </c>
      <c r="AW115" s="210">
        <f t="shared" si="134"/>
        <v>4.034</v>
      </c>
      <c r="AX115" s="210">
        <f t="shared" si="134"/>
        <v>4.034</v>
      </c>
      <c r="AY115" s="210">
        <f t="shared" si="134"/>
        <v>4.034</v>
      </c>
      <c r="AZ115" s="210">
        <f t="shared" si="134"/>
        <v>4.034</v>
      </c>
      <c r="BA115" s="210">
        <f t="shared" si="134"/>
        <v>4.034</v>
      </c>
      <c r="BB115" s="210">
        <f t="shared" si="134"/>
        <v>4.034</v>
      </c>
      <c r="BC115" s="210">
        <f t="shared" si="134"/>
        <v>4.034</v>
      </c>
      <c r="BD115" s="210">
        <f t="shared" si="134"/>
        <v>4.03400000000001</v>
      </c>
      <c r="BE115" s="210">
        <f t="shared" si="134"/>
        <v>0</v>
      </c>
      <c r="BF115" s="210">
        <f t="shared" si="134"/>
        <v>0</v>
      </c>
      <c r="BG115" s="210">
        <f t="shared" si="134"/>
        <v>0</v>
      </c>
      <c r="BH115" s="210">
        <f t="shared" si="134"/>
        <v>0</v>
      </c>
      <c r="BI115" s="210">
        <f t="shared" si="134"/>
        <v>0</v>
      </c>
      <c r="BJ115" s="210">
        <f t="shared" si="134"/>
        <v>0</v>
      </c>
      <c r="BK115" s="210">
        <f t="shared" si="134"/>
        <v>0</v>
      </c>
      <c r="BL115" s="210">
        <f t="shared" si="134"/>
        <v>0</v>
      </c>
      <c r="BM115" s="210">
        <f t="shared" si="134"/>
        <v>0</v>
      </c>
      <c r="BN115" s="210">
        <f t="shared" si="134"/>
        <v>0</v>
      </c>
    </row>
    <row r="116" spans="1:66">
      <c r="A116" s="209" t="s">
        <v>84</v>
      </c>
      <c r="B116" s="210">
        <f t="shared" ref="B116:V116" si="135">B46+B81</f>
        <v>96.5</v>
      </c>
      <c r="C116" s="210">
        <f t="shared" si="135"/>
        <v>88.65</v>
      </c>
      <c r="D116" s="210">
        <f t="shared" si="135"/>
        <v>80.8</v>
      </c>
      <c r="E116" s="210">
        <f t="shared" si="135"/>
        <v>72.95</v>
      </c>
      <c r="F116" s="210">
        <f t="shared" si="135"/>
        <v>65.1</v>
      </c>
      <c r="G116" s="210">
        <f t="shared" si="135"/>
        <v>57.25</v>
      </c>
      <c r="H116" s="210">
        <f t="shared" si="135"/>
        <v>49.4</v>
      </c>
      <c r="I116" s="210">
        <f t="shared" si="135"/>
        <v>41.55</v>
      </c>
      <c r="J116" s="210">
        <f t="shared" si="135"/>
        <v>33.7</v>
      </c>
      <c r="K116" s="210">
        <f t="shared" si="135"/>
        <v>25.85</v>
      </c>
      <c r="L116" s="210">
        <f t="shared" si="135"/>
        <v>18</v>
      </c>
      <c r="M116" s="210">
        <f t="shared" si="135"/>
        <v>18</v>
      </c>
      <c r="N116" s="210">
        <f t="shared" si="135"/>
        <v>18</v>
      </c>
      <c r="O116" s="210">
        <f t="shared" si="135"/>
        <v>18</v>
      </c>
      <c r="P116" s="210">
        <f t="shared" si="135"/>
        <v>18</v>
      </c>
      <c r="Q116" s="210">
        <f t="shared" si="135"/>
        <v>18</v>
      </c>
      <c r="R116" s="210">
        <f t="shared" si="135"/>
        <v>18</v>
      </c>
      <c r="S116" s="210">
        <f t="shared" si="135"/>
        <v>18</v>
      </c>
      <c r="T116" s="210">
        <f t="shared" si="135"/>
        <v>18</v>
      </c>
      <c r="U116" s="210">
        <f t="shared" si="135"/>
        <v>18</v>
      </c>
      <c r="V116" s="210">
        <f t="shared" si="135"/>
        <v>18</v>
      </c>
      <c r="W116" s="210"/>
      <c r="X116" s="210"/>
      <c r="Y116" s="210">
        <f t="shared" ref="Y116:AR116" si="136">Y46+Y81</f>
        <v>0</v>
      </c>
      <c r="Z116" s="210">
        <f t="shared" si="136"/>
        <v>0</v>
      </c>
      <c r="AA116" s="210">
        <f t="shared" si="136"/>
        <v>0</v>
      </c>
      <c r="AB116" s="210">
        <f t="shared" si="136"/>
        <v>0</v>
      </c>
      <c r="AC116" s="210">
        <f t="shared" si="136"/>
        <v>0</v>
      </c>
      <c r="AD116" s="210">
        <f t="shared" si="136"/>
        <v>0</v>
      </c>
      <c r="AE116" s="210">
        <f t="shared" si="136"/>
        <v>0</v>
      </c>
      <c r="AF116" s="210">
        <f t="shared" si="136"/>
        <v>0</v>
      </c>
      <c r="AG116" s="210">
        <f t="shared" si="136"/>
        <v>0</v>
      </c>
      <c r="AH116" s="210">
        <f t="shared" si="136"/>
        <v>0</v>
      </c>
      <c r="AI116" s="210">
        <f t="shared" si="136"/>
        <v>0</v>
      </c>
      <c r="AJ116" s="210">
        <f t="shared" si="136"/>
        <v>0</v>
      </c>
      <c r="AK116" s="210">
        <f t="shared" si="136"/>
        <v>0</v>
      </c>
      <c r="AL116" s="210">
        <f t="shared" si="136"/>
        <v>0</v>
      </c>
      <c r="AM116" s="210">
        <f t="shared" si="136"/>
        <v>0</v>
      </c>
      <c r="AN116" s="210">
        <f t="shared" si="136"/>
        <v>0</v>
      </c>
      <c r="AO116" s="210">
        <f t="shared" si="136"/>
        <v>0</v>
      </c>
      <c r="AP116" s="210">
        <f t="shared" si="136"/>
        <v>0</v>
      </c>
      <c r="AQ116" s="210">
        <f t="shared" si="136"/>
        <v>0</v>
      </c>
      <c r="AR116" s="210">
        <f t="shared" si="136"/>
        <v>0</v>
      </c>
      <c r="AS116" s="210"/>
      <c r="AT116" s="210"/>
      <c r="AU116" s="210">
        <f t="shared" ref="AU116:BN116" si="137">AU46+AU81</f>
        <v>7.84999999999999</v>
      </c>
      <c r="AV116" s="210">
        <f t="shared" si="137"/>
        <v>7.84999999999999</v>
      </c>
      <c r="AW116" s="210">
        <f t="shared" si="137"/>
        <v>7.84999999999999</v>
      </c>
      <c r="AX116" s="210">
        <f t="shared" si="137"/>
        <v>7.84999999999999</v>
      </c>
      <c r="AY116" s="210">
        <f t="shared" si="137"/>
        <v>7.85</v>
      </c>
      <c r="AZ116" s="210">
        <f t="shared" si="137"/>
        <v>7.85</v>
      </c>
      <c r="BA116" s="210">
        <f t="shared" si="137"/>
        <v>7.85</v>
      </c>
      <c r="BB116" s="210">
        <f t="shared" si="137"/>
        <v>7.85</v>
      </c>
      <c r="BC116" s="210">
        <f t="shared" si="137"/>
        <v>7.85</v>
      </c>
      <c r="BD116" s="210">
        <f t="shared" si="137"/>
        <v>7.85000000000002</v>
      </c>
      <c r="BE116" s="210">
        <f t="shared" si="137"/>
        <v>0</v>
      </c>
      <c r="BF116" s="210">
        <f t="shared" si="137"/>
        <v>0</v>
      </c>
      <c r="BG116" s="210">
        <f t="shared" si="137"/>
        <v>0</v>
      </c>
      <c r="BH116" s="210">
        <f t="shared" si="137"/>
        <v>0</v>
      </c>
      <c r="BI116" s="210">
        <f t="shared" si="137"/>
        <v>0</v>
      </c>
      <c r="BJ116" s="210">
        <f t="shared" si="137"/>
        <v>0</v>
      </c>
      <c r="BK116" s="210">
        <f t="shared" si="137"/>
        <v>0</v>
      </c>
      <c r="BL116" s="210">
        <f t="shared" si="137"/>
        <v>0</v>
      </c>
      <c r="BM116" s="210">
        <f t="shared" si="137"/>
        <v>0</v>
      </c>
      <c r="BN116" s="210">
        <f t="shared" si="137"/>
        <v>0</v>
      </c>
    </row>
    <row r="117" spans="1:66">
      <c r="A117" s="209" t="s">
        <v>86</v>
      </c>
      <c r="B117" s="210">
        <f t="shared" ref="B117:V117" si="138">B47+B82</f>
        <v>0.9</v>
      </c>
      <c r="C117" s="210">
        <f t="shared" si="138"/>
        <v>0.81</v>
      </c>
      <c r="D117" s="210">
        <f t="shared" si="138"/>
        <v>1.32</v>
      </c>
      <c r="E117" s="210">
        <f t="shared" si="138"/>
        <v>1.23</v>
      </c>
      <c r="F117" s="210">
        <f t="shared" si="138"/>
        <v>0.54</v>
      </c>
      <c r="G117" s="210">
        <f t="shared" si="138"/>
        <v>0.45</v>
      </c>
      <c r="H117" s="210">
        <f t="shared" si="138"/>
        <v>0.36</v>
      </c>
      <c r="I117" s="210">
        <f t="shared" si="138"/>
        <v>0.27</v>
      </c>
      <c r="J117" s="210">
        <f t="shared" si="138"/>
        <v>0.18</v>
      </c>
      <c r="K117" s="210">
        <f t="shared" si="138"/>
        <v>0.0900000000000002</v>
      </c>
      <c r="L117" s="210">
        <f t="shared" si="138"/>
        <v>0</v>
      </c>
      <c r="M117" s="210">
        <f t="shared" si="138"/>
        <v>0</v>
      </c>
      <c r="N117" s="210">
        <f t="shared" si="138"/>
        <v>0</v>
      </c>
      <c r="O117" s="210">
        <f t="shared" si="138"/>
        <v>0</v>
      </c>
      <c r="P117" s="210">
        <f t="shared" si="138"/>
        <v>0</v>
      </c>
      <c r="Q117" s="210">
        <f t="shared" si="138"/>
        <v>0</v>
      </c>
      <c r="R117" s="210">
        <f t="shared" si="138"/>
        <v>0</v>
      </c>
      <c r="S117" s="210">
        <f t="shared" si="138"/>
        <v>0</v>
      </c>
      <c r="T117" s="210">
        <f t="shared" si="138"/>
        <v>0</v>
      </c>
      <c r="U117" s="210">
        <f t="shared" si="138"/>
        <v>0</v>
      </c>
      <c r="V117" s="210">
        <f t="shared" si="138"/>
        <v>0</v>
      </c>
      <c r="W117" s="210"/>
      <c r="X117" s="210"/>
      <c r="Y117" s="210">
        <f t="shared" ref="Y117:AR117" si="139">Y47+Y82</f>
        <v>0</v>
      </c>
      <c r="Z117" s="210">
        <f t="shared" si="139"/>
        <v>0.6</v>
      </c>
      <c r="AA117" s="210">
        <f t="shared" si="139"/>
        <v>0</v>
      </c>
      <c r="AB117" s="210">
        <f t="shared" si="139"/>
        <v>0</v>
      </c>
      <c r="AC117" s="210">
        <f t="shared" si="139"/>
        <v>0</v>
      </c>
      <c r="AD117" s="210">
        <f t="shared" si="139"/>
        <v>0</v>
      </c>
      <c r="AE117" s="210">
        <f t="shared" si="139"/>
        <v>0</v>
      </c>
      <c r="AF117" s="210">
        <f t="shared" si="139"/>
        <v>0</v>
      </c>
      <c r="AG117" s="210">
        <f t="shared" si="139"/>
        <v>0</v>
      </c>
      <c r="AH117" s="210">
        <f t="shared" si="139"/>
        <v>0</v>
      </c>
      <c r="AI117" s="210">
        <f t="shared" si="139"/>
        <v>0</v>
      </c>
      <c r="AJ117" s="210">
        <f t="shared" si="139"/>
        <v>0</v>
      </c>
      <c r="AK117" s="210">
        <f t="shared" si="139"/>
        <v>0</v>
      </c>
      <c r="AL117" s="210">
        <f t="shared" si="139"/>
        <v>0</v>
      </c>
      <c r="AM117" s="210">
        <f t="shared" si="139"/>
        <v>0</v>
      </c>
      <c r="AN117" s="210">
        <f t="shared" si="139"/>
        <v>0</v>
      </c>
      <c r="AO117" s="210">
        <f t="shared" si="139"/>
        <v>0</v>
      </c>
      <c r="AP117" s="210">
        <f t="shared" si="139"/>
        <v>0</v>
      </c>
      <c r="AQ117" s="210">
        <f t="shared" si="139"/>
        <v>0</v>
      </c>
      <c r="AR117" s="210">
        <f t="shared" si="139"/>
        <v>0</v>
      </c>
      <c r="AS117" s="210"/>
      <c r="AT117" s="210"/>
      <c r="AU117" s="210">
        <f t="shared" ref="AU117:BN117" si="140">AU47+AU82</f>
        <v>0.09</v>
      </c>
      <c r="AV117" s="210">
        <f t="shared" si="140"/>
        <v>0.09</v>
      </c>
      <c r="AW117" s="210">
        <f t="shared" si="140"/>
        <v>0.09</v>
      </c>
      <c r="AX117" s="210">
        <f t="shared" si="140"/>
        <v>0.69</v>
      </c>
      <c r="AY117" s="210">
        <f t="shared" si="140"/>
        <v>0.09</v>
      </c>
      <c r="AZ117" s="210">
        <f t="shared" si="140"/>
        <v>0.09</v>
      </c>
      <c r="BA117" s="210">
        <f t="shared" si="140"/>
        <v>0.09</v>
      </c>
      <c r="BB117" s="210">
        <f t="shared" si="140"/>
        <v>0.09</v>
      </c>
      <c r="BC117" s="210">
        <f t="shared" si="140"/>
        <v>0.09</v>
      </c>
      <c r="BD117" s="210">
        <f t="shared" si="140"/>
        <v>0.0900000000000002</v>
      </c>
      <c r="BE117" s="210">
        <f t="shared" si="140"/>
        <v>0</v>
      </c>
      <c r="BF117" s="210">
        <f t="shared" si="140"/>
        <v>0</v>
      </c>
      <c r="BG117" s="210">
        <f t="shared" si="140"/>
        <v>0</v>
      </c>
      <c r="BH117" s="210">
        <f t="shared" si="140"/>
        <v>0</v>
      </c>
      <c r="BI117" s="210">
        <f t="shared" si="140"/>
        <v>0</v>
      </c>
      <c r="BJ117" s="210">
        <f t="shared" si="140"/>
        <v>0</v>
      </c>
      <c r="BK117" s="210">
        <f t="shared" si="140"/>
        <v>0</v>
      </c>
      <c r="BL117" s="210">
        <f t="shared" si="140"/>
        <v>0</v>
      </c>
      <c r="BM117" s="210">
        <f t="shared" si="140"/>
        <v>0</v>
      </c>
      <c r="BN117" s="210">
        <f t="shared" si="140"/>
        <v>0</v>
      </c>
    </row>
    <row r="118" spans="1:66">
      <c r="A118" s="209" t="s">
        <v>88</v>
      </c>
      <c r="B118" s="210">
        <f t="shared" ref="B118:V118" si="141">B48+B83</f>
        <v>0</v>
      </c>
      <c r="C118" s="210">
        <f t="shared" si="141"/>
        <v>0</v>
      </c>
      <c r="D118" s="210">
        <f t="shared" si="141"/>
        <v>0</v>
      </c>
      <c r="E118" s="210">
        <f t="shared" si="141"/>
        <v>0</v>
      </c>
      <c r="F118" s="210">
        <f t="shared" si="141"/>
        <v>5.8</v>
      </c>
      <c r="G118" s="210">
        <f t="shared" si="141"/>
        <v>5</v>
      </c>
      <c r="H118" s="210">
        <f t="shared" si="141"/>
        <v>5.2</v>
      </c>
      <c r="I118" s="210">
        <f t="shared" si="141"/>
        <v>4.62222222222222</v>
      </c>
      <c r="J118" s="210">
        <f t="shared" si="141"/>
        <v>4.04444444444445</v>
      </c>
      <c r="K118" s="210">
        <f t="shared" si="141"/>
        <v>3.46666666666667</v>
      </c>
      <c r="L118" s="210">
        <f t="shared" si="141"/>
        <v>2.88888888888889</v>
      </c>
      <c r="M118" s="210">
        <f t="shared" si="141"/>
        <v>2.31111111111111</v>
      </c>
      <c r="N118" s="210">
        <f t="shared" si="141"/>
        <v>1.73333333333333</v>
      </c>
      <c r="O118" s="210">
        <f t="shared" si="141"/>
        <v>1.15555555555556</v>
      </c>
      <c r="P118" s="210">
        <f t="shared" si="141"/>
        <v>0.577777777777778</v>
      </c>
      <c r="Q118" s="210">
        <f t="shared" si="141"/>
        <v>0</v>
      </c>
      <c r="R118" s="210">
        <f t="shared" si="141"/>
        <v>0</v>
      </c>
      <c r="S118" s="210">
        <f t="shared" si="141"/>
        <v>0</v>
      </c>
      <c r="T118" s="210">
        <f t="shared" si="141"/>
        <v>0</v>
      </c>
      <c r="U118" s="210">
        <f t="shared" si="141"/>
        <v>0</v>
      </c>
      <c r="V118" s="210">
        <f t="shared" si="141"/>
        <v>0</v>
      </c>
      <c r="W118" s="210"/>
      <c r="X118" s="210"/>
      <c r="Y118" s="210">
        <f t="shared" ref="Y118:AR118" si="142">Y48+Y83</f>
        <v>0</v>
      </c>
      <c r="Z118" s="210">
        <f t="shared" si="142"/>
        <v>0</v>
      </c>
      <c r="AA118" s="210">
        <f t="shared" si="142"/>
        <v>0</v>
      </c>
      <c r="AB118" s="210">
        <f t="shared" si="142"/>
        <v>5.8</v>
      </c>
      <c r="AC118" s="210">
        <f t="shared" si="142"/>
        <v>0</v>
      </c>
      <c r="AD118" s="210">
        <f t="shared" si="142"/>
        <v>0.2</v>
      </c>
      <c r="AE118" s="210">
        <f t="shared" si="142"/>
        <v>0</v>
      </c>
      <c r="AF118" s="210">
        <f t="shared" si="142"/>
        <v>0</v>
      </c>
      <c r="AG118" s="210">
        <f t="shared" si="142"/>
        <v>0</v>
      </c>
      <c r="AH118" s="210">
        <f t="shared" si="142"/>
        <v>0</v>
      </c>
      <c r="AI118" s="210">
        <f t="shared" si="142"/>
        <v>0</v>
      </c>
      <c r="AJ118" s="210">
        <f t="shared" si="142"/>
        <v>0</v>
      </c>
      <c r="AK118" s="210">
        <f t="shared" si="142"/>
        <v>0</v>
      </c>
      <c r="AL118" s="210">
        <f t="shared" si="142"/>
        <v>0</v>
      </c>
      <c r="AM118" s="210">
        <f t="shared" si="142"/>
        <v>0</v>
      </c>
      <c r="AN118" s="210">
        <f t="shared" si="142"/>
        <v>0</v>
      </c>
      <c r="AO118" s="210">
        <f t="shared" si="142"/>
        <v>0</v>
      </c>
      <c r="AP118" s="210">
        <f t="shared" si="142"/>
        <v>0</v>
      </c>
      <c r="AQ118" s="210">
        <f t="shared" si="142"/>
        <v>0</v>
      </c>
      <c r="AR118" s="210">
        <f t="shared" si="142"/>
        <v>0</v>
      </c>
      <c r="AS118" s="210"/>
      <c r="AT118" s="210"/>
      <c r="AU118" s="210">
        <f t="shared" ref="AU118:BN118" si="143">AU48+AU83</f>
        <v>0</v>
      </c>
      <c r="AV118" s="210">
        <f t="shared" si="143"/>
        <v>0</v>
      </c>
      <c r="AW118" s="210">
        <f t="shared" si="143"/>
        <v>0</v>
      </c>
      <c r="AX118" s="210">
        <f t="shared" si="143"/>
        <v>0</v>
      </c>
      <c r="AY118" s="210">
        <f t="shared" si="143"/>
        <v>0.8</v>
      </c>
      <c r="AZ118" s="210">
        <f t="shared" si="143"/>
        <v>0</v>
      </c>
      <c r="BA118" s="210">
        <f t="shared" si="143"/>
        <v>0.577777777777778</v>
      </c>
      <c r="BB118" s="210">
        <f t="shared" si="143"/>
        <v>0.577777777777778</v>
      </c>
      <c r="BC118" s="210">
        <f t="shared" si="143"/>
        <v>0.577777777777778</v>
      </c>
      <c r="BD118" s="210">
        <f t="shared" si="143"/>
        <v>0.577777777777778</v>
      </c>
      <c r="BE118" s="210">
        <f t="shared" si="143"/>
        <v>0.577777777777778</v>
      </c>
      <c r="BF118" s="210">
        <f t="shared" si="143"/>
        <v>0.577777777777778</v>
      </c>
      <c r="BG118" s="210">
        <f t="shared" si="143"/>
        <v>0.577777777777778</v>
      </c>
      <c r="BH118" s="210">
        <f t="shared" si="143"/>
        <v>0.577777777777778</v>
      </c>
      <c r="BI118" s="210">
        <f t="shared" si="143"/>
        <v>0.577777777777778</v>
      </c>
      <c r="BJ118" s="210">
        <f t="shared" si="143"/>
        <v>0</v>
      </c>
      <c r="BK118" s="210">
        <f t="shared" si="143"/>
        <v>0</v>
      </c>
      <c r="BL118" s="210">
        <f t="shared" si="143"/>
        <v>0</v>
      </c>
      <c r="BM118" s="210">
        <f t="shared" si="143"/>
        <v>0</v>
      </c>
      <c r="BN118" s="210">
        <f t="shared" si="143"/>
        <v>0</v>
      </c>
    </row>
    <row r="119" spans="1:66">
      <c r="A119" s="209" t="s">
        <v>208</v>
      </c>
      <c r="B119" s="210">
        <f t="shared" ref="B119:V119" si="144">B49+B84</f>
        <v>0</v>
      </c>
      <c r="C119" s="210">
        <f t="shared" si="144"/>
        <v>1.2</v>
      </c>
      <c r="D119" s="210">
        <f t="shared" si="144"/>
        <v>1.2</v>
      </c>
      <c r="E119" s="210">
        <f t="shared" si="144"/>
        <v>1.2</v>
      </c>
      <c r="F119" s="210">
        <f t="shared" si="144"/>
        <v>1.2</v>
      </c>
      <c r="G119" s="210">
        <f t="shared" si="144"/>
        <v>0</v>
      </c>
      <c r="H119" s="210">
        <f t="shared" si="144"/>
        <v>0</v>
      </c>
      <c r="I119" s="210">
        <f t="shared" si="144"/>
        <v>0</v>
      </c>
      <c r="J119" s="210">
        <f t="shared" si="144"/>
        <v>0</v>
      </c>
      <c r="K119" s="210">
        <f t="shared" si="144"/>
        <v>0</v>
      </c>
      <c r="L119" s="210">
        <f t="shared" si="144"/>
        <v>0</v>
      </c>
      <c r="M119" s="210">
        <f t="shared" si="144"/>
        <v>0</v>
      </c>
      <c r="N119" s="210">
        <f t="shared" si="144"/>
        <v>0</v>
      </c>
      <c r="O119" s="210">
        <f t="shared" si="144"/>
        <v>0</v>
      </c>
      <c r="P119" s="210">
        <f t="shared" si="144"/>
        <v>0</v>
      </c>
      <c r="Q119" s="210">
        <f t="shared" si="144"/>
        <v>0</v>
      </c>
      <c r="R119" s="210">
        <f t="shared" si="144"/>
        <v>0</v>
      </c>
      <c r="S119" s="210">
        <f t="shared" si="144"/>
        <v>0</v>
      </c>
      <c r="T119" s="210">
        <f t="shared" si="144"/>
        <v>0</v>
      </c>
      <c r="U119" s="210">
        <f t="shared" si="144"/>
        <v>0</v>
      </c>
      <c r="V119" s="210">
        <f t="shared" si="144"/>
        <v>0</v>
      </c>
      <c r="W119" s="210"/>
      <c r="X119" s="210"/>
      <c r="Y119" s="210">
        <f t="shared" ref="Y119:AR119" si="145">Y49+Y84</f>
        <v>1.2</v>
      </c>
      <c r="Z119" s="210">
        <f t="shared" si="145"/>
        <v>0</v>
      </c>
      <c r="AA119" s="210">
        <f t="shared" si="145"/>
        <v>0</v>
      </c>
      <c r="AB119" s="210">
        <f t="shared" si="145"/>
        <v>0</v>
      </c>
      <c r="AC119" s="210">
        <f t="shared" si="145"/>
        <v>0</v>
      </c>
      <c r="AD119" s="210">
        <f t="shared" si="145"/>
        <v>0</v>
      </c>
      <c r="AE119" s="210">
        <f t="shared" si="145"/>
        <v>0</v>
      </c>
      <c r="AF119" s="210">
        <f t="shared" si="145"/>
        <v>0</v>
      </c>
      <c r="AG119" s="210">
        <f t="shared" si="145"/>
        <v>0</v>
      </c>
      <c r="AH119" s="210">
        <f t="shared" si="145"/>
        <v>0</v>
      </c>
      <c r="AI119" s="210">
        <f t="shared" si="145"/>
        <v>0</v>
      </c>
      <c r="AJ119" s="210">
        <f t="shared" si="145"/>
        <v>0</v>
      </c>
      <c r="AK119" s="210">
        <f t="shared" si="145"/>
        <v>0</v>
      </c>
      <c r="AL119" s="210">
        <f t="shared" si="145"/>
        <v>0</v>
      </c>
      <c r="AM119" s="210">
        <f t="shared" si="145"/>
        <v>0</v>
      </c>
      <c r="AN119" s="210">
        <f t="shared" si="145"/>
        <v>0</v>
      </c>
      <c r="AO119" s="210">
        <f t="shared" si="145"/>
        <v>0</v>
      </c>
      <c r="AP119" s="210">
        <f t="shared" si="145"/>
        <v>0</v>
      </c>
      <c r="AQ119" s="210">
        <f t="shared" si="145"/>
        <v>0</v>
      </c>
      <c r="AR119" s="210">
        <f t="shared" si="145"/>
        <v>0</v>
      </c>
      <c r="AS119" s="210"/>
      <c r="AT119" s="210"/>
      <c r="AU119" s="210">
        <f t="shared" ref="AU119:BN119" si="146">AU49+AU84</f>
        <v>0</v>
      </c>
      <c r="AV119" s="210">
        <f t="shared" si="146"/>
        <v>0</v>
      </c>
      <c r="AW119" s="210">
        <f t="shared" si="146"/>
        <v>0</v>
      </c>
      <c r="AX119" s="210">
        <f t="shared" si="146"/>
        <v>0</v>
      </c>
      <c r="AY119" s="210">
        <f t="shared" si="146"/>
        <v>1.2</v>
      </c>
      <c r="AZ119" s="210">
        <f t="shared" si="146"/>
        <v>0</v>
      </c>
      <c r="BA119" s="210">
        <f t="shared" si="146"/>
        <v>0</v>
      </c>
      <c r="BB119" s="210">
        <f t="shared" si="146"/>
        <v>0</v>
      </c>
      <c r="BC119" s="210">
        <f t="shared" si="146"/>
        <v>0</v>
      </c>
      <c r="BD119" s="210">
        <f t="shared" si="146"/>
        <v>0</v>
      </c>
      <c r="BE119" s="210">
        <f t="shared" si="146"/>
        <v>0</v>
      </c>
      <c r="BF119" s="210">
        <f t="shared" si="146"/>
        <v>0</v>
      </c>
      <c r="BG119" s="210">
        <f t="shared" si="146"/>
        <v>0</v>
      </c>
      <c r="BH119" s="210">
        <f t="shared" si="146"/>
        <v>0</v>
      </c>
      <c r="BI119" s="210">
        <f t="shared" si="146"/>
        <v>0</v>
      </c>
      <c r="BJ119" s="210">
        <f t="shared" si="146"/>
        <v>0</v>
      </c>
      <c r="BK119" s="210">
        <f t="shared" si="146"/>
        <v>0</v>
      </c>
      <c r="BL119" s="210">
        <f t="shared" si="146"/>
        <v>0</v>
      </c>
      <c r="BM119" s="210">
        <f t="shared" si="146"/>
        <v>0</v>
      </c>
      <c r="BN119" s="210">
        <f t="shared" si="146"/>
        <v>0</v>
      </c>
    </row>
    <row r="120" spans="1:66">
      <c r="A120" s="209" t="s">
        <v>92</v>
      </c>
      <c r="B120" s="210">
        <f t="shared" ref="B120:V120" si="147">B50+B85</f>
        <v>74.73</v>
      </c>
      <c r="C120" s="210">
        <f t="shared" si="147"/>
        <v>68.757</v>
      </c>
      <c r="D120" s="210">
        <f t="shared" si="147"/>
        <v>62.784</v>
      </c>
      <c r="E120" s="210">
        <f t="shared" si="147"/>
        <v>56.811</v>
      </c>
      <c r="F120" s="210">
        <f t="shared" si="147"/>
        <v>50.838</v>
      </c>
      <c r="G120" s="210">
        <f t="shared" si="147"/>
        <v>44.865</v>
      </c>
      <c r="H120" s="210">
        <f t="shared" si="147"/>
        <v>38.892</v>
      </c>
      <c r="I120" s="210">
        <f t="shared" si="147"/>
        <v>32.919</v>
      </c>
      <c r="J120" s="210">
        <f t="shared" si="147"/>
        <v>26.946</v>
      </c>
      <c r="K120" s="210">
        <f t="shared" si="147"/>
        <v>20.973</v>
      </c>
      <c r="L120" s="210">
        <f t="shared" si="147"/>
        <v>15</v>
      </c>
      <c r="M120" s="210">
        <f t="shared" si="147"/>
        <v>15</v>
      </c>
      <c r="N120" s="210">
        <f t="shared" si="147"/>
        <v>15</v>
      </c>
      <c r="O120" s="210">
        <f t="shared" si="147"/>
        <v>15</v>
      </c>
      <c r="P120" s="210">
        <f t="shared" si="147"/>
        <v>15</v>
      </c>
      <c r="Q120" s="210">
        <f t="shared" si="147"/>
        <v>15</v>
      </c>
      <c r="R120" s="210">
        <f t="shared" si="147"/>
        <v>15</v>
      </c>
      <c r="S120" s="210">
        <f t="shared" si="147"/>
        <v>15</v>
      </c>
      <c r="T120" s="210">
        <f t="shared" si="147"/>
        <v>15</v>
      </c>
      <c r="U120" s="210">
        <f t="shared" si="147"/>
        <v>15</v>
      </c>
      <c r="V120" s="210">
        <f t="shared" si="147"/>
        <v>15</v>
      </c>
      <c r="W120" s="210"/>
      <c r="X120" s="210"/>
      <c r="Y120" s="210">
        <f t="shared" ref="Y120:AR120" si="148">Y50+Y85</f>
        <v>0</v>
      </c>
      <c r="Z120" s="210">
        <f t="shared" si="148"/>
        <v>0</v>
      </c>
      <c r="AA120" s="210">
        <f t="shared" si="148"/>
        <v>0</v>
      </c>
      <c r="AB120" s="210">
        <f t="shared" si="148"/>
        <v>0</v>
      </c>
      <c r="AC120" s="210">
        <f t="shared" si="148"/>
        <v>0</v>
      </c>
      <c r="AD120" s="210">
        <f t="shared" si="148"/>
        <v>0</v>
      </c>
      <c r="AE120" s="210">
        <f t="shared" si="148"/>
        <v>0</v>
      </c>
      <c r="AF120" s="210">
        <f t="shared" si="148"/>
        <v>0</v>
      </c>
      <c r="AG120" s="210">
        <f t="shared" si="148"/>
        <v>0</v>
      </c>
      <c r="AH120" s="210">
        <f t="shared" si="148"/>
        <v>0</v>
      </c>
      <c r="AI120" s="210">
        <f t="shared" si="148"/>
        <v>0</v>
      </c>
      <c r="AJ120" s="210">
        <f t="shared" si="148"/>
        <v>0</v>
      </c>
      <c r="AK120" s="210">
        <f t="shared" si="148"/>
        <v>0</v>
      </c>
      <c r="AL120" s="210">
        <f t="shared" si="148"/>
        <v>0</v>
      </c>
      <c r="AM120" s="210">
        <f t="shared" si="148"/>
        <v>0</v>
      </c>
      <c r="AN120" s="210">
        <f t="shared" si="148"/>
        <v>0</v>
      </c>
      <c r="AO120" s="210">
        <f t="shared" si="148"/>
        <v>0</v>
      </c>
      <c r="AP120" s="210">
        <f t="shared" si="148"/>
        <v>0</v>
      </c>
      <c r="AQ120" s="210">
        <f t="shared" si="148"/>
        <v>0</v>
      </c>
      <c r="AR120" s="210">
        <f t="shared" si="148"/>
        <v>0</v>
      </c>
      <c r="AS120" s="210"/>
      <c r="AT120" s="210"/>
      <c r="AU120" s="210">
        <f t="shared" ref="AU120:BN120" si="149">AU50+AU85</f>
        <v>5.973</v>
      </c>
      <c r="AV120" s="210">
        <f t="shared" si="149"/>
        <v>5.973</v>
      </c>
      <c r="AW120" s="210">
        <f t="shared" si="149"/>
        <v>5.973</v>
      </c>
      <c r="AX120" s="210">
        <f t="shared" si="149"/>
        <v>5.973</v>
      </c>
      <c r="AY120" s="210">
        <f t="shared" si="149"/>
        <v>5.973</v>
      </c>
      <c r="AZ120" s="210">
        <f t="shared" si="149"/>
        <v>5.973</v>
      </c>
      <c r="BA120" s="210">
        <f t="shared" si="149"/>
        <v>5.973</v>
      </c>
      <c r="BB120" s="210">
        <f t="shared" si="149"/>
        <v>5.973</v>
      </c>
      <c r="BC120" s="210">
        <f t="shared" si="149"/>
        <v>5.973</v>
      </c>
      <c r="BD120" s="210">
        <f t="shared" si="149"/>
        <v>5.97300000000001</v>
      </c>
      <c r="BE120" s="210">
        <f t="shared" si="149"/>
        <v>0</v>
      </c>
      <c r="BF120" s="210">
        <f t="shared" si="149"/>
        <v>0</v>
      </c>
      <c r="BG120" s="210">
        <f t="shared" si="149"/>
        <v>0</v>
      </c>
      <c r="BH120" s="210">
        <f t="shared" si="149"/>
        <v>0</v>
      </c>
      <c r="BI120" s="210">
        <f t="shared" si="149"/>
        <v>0</v>
      </c>
      <c r="BJ120" s="210">
        <f t="shared" si="149"/>
        <v>0</v>
      </c>
      <c r="BK120" s="210">
        <f t="shared" si="149"/>
        <v>0</v>
      </c>
      <c r="BL120" s="210">
        <f t="shared" si="149"/>
        <v>0</v>
      </c>
      <c r="BM120" s="210">
        <f t="shared" si="149"/>
        <v>0</v>
      </c>
      <c r="BN120" s="210">
        <f t="shared" si="149"/>
        <v>0</v>
      </c>
    </row>
    <row r="121" spans="1:66">
      <c r="A121" s="209" t="s">
        <v>94</v>
      </c>
      <c r="B121" s="210">
        <f t="shared" ref="B121:V121" si="150">B51+B86</f>
        <v>0</v>
      </c>
      <c r="C121" s="210">
        <f t="shared" si="150"/>
        <v>0</v>
      </c>
      <c r="D121" s="210">
        <f t="shared" si="150"/>
        <v>0</v>
      </c>
      <c r="E121" s="210">
        <f t="shared" si="150"/>
        <v>0</v>
      </c>
      <c r="F121" s="210">
        <f t="shared" si="150"/>
        <v>0</v>
      </c>
      <c r="G121" s="210">
        <f t="shared" si="150"/>
        <v>0</v>
      </c>
      <c r="H121" s="210">
        <f t="shared" si="150"/>
        <v>0</v>
      </c>
      <c r="I121" s="210">
        <f t="shared" si="150"/>
        <v>0</v>
      </c>
      <c r="J121" s="210">
        <f t="shared" si="150"/>
        <v>0</v>
      </c>
      <c r="K121" s="210">
        <f t="shared" si="150"/>
        <v>0</v>
      </c>
      <c r="L121" s="210">
        <f t="shared" si="150"/>
        <v>0</v>
      </c>
      <c r="M121" s="210">
        <f t="shared" si="150"/>
        <v>0</v>
      </c>
      <c r="N121" s="210">
        <f t="shared" si="150"/>
        <v>0</v>
      </c>
      <c r="O121" s="210">
        <f t="shared" si="150"/>
        <v>0</v>
      </c>
      <c r="P121" s="210">
        <f t="shared" si="150"/>
        <v>0</v>
      </c>
      <c r="Q121" s="210">
        <f t="shared" si="150"/>
        <v>0</v>
      </c>
      <c r="R121" s="210">
        <f t="shared" si="150"/>
        <v>0</v>
      </c>
      <c r="S121" s="210">
        <f t="shared" si="150"/>
        <v>0</v>
      </c>
      <c r="T121" s="210">
        <f t="shared" si="150"/>
        <v>0</v>
      </c>
      <c r="U121" s="210">
        <f t="shared" si="150"/>
        <v>0</v>
      </c>
      <c r="V121" s="210">
        <f t="shared" si="150"/>
        <v>0</v>
      </c>
      <c r="W121" s="210"/>
      <c r="X121" s="210"/>
      <c r="Y121" s="210">
        <f t="shared" ref="Y121:AR121" si="151">Y51+Y86</f>
        <v>0</v>
      </c>
      <c r="Z121" s="210">
        <f t="shared" si="151"/>
        <v>0</v>
      </c>
      <c r="AA121" s="210">
        <f t="shared" si="151"/>
        <v>0</v>
      </c>
      <c r="AB121" s="210">
        <f t="shared" si="151"/>
        <v>0</v>
      </c>
      <c r="AC121" s="210">
        <f t="shared" si="151"/>
        <v>0</v>
      </c>
      <c r="AD121" s="210">
        <f t="shared" si="151"/>
        <v>0</v>
      </c>
      <c r="AE121" s="210">
        <f t="shared" si="151"/>
        <v>0</v>
      </c>
      <c r="AF121" s="210">
        <f t="shared" si="151"/>
        <v>0</v>
      </c>
      <c r="AG121" s="210">
        <f t="shared" si="151"/>
        <v>0</v>
      </c>
      <c r="AH121" s="210">
        <f t="shared" si="151"/>
        <v>0</v>
      </c>
      <c r="AI121" s="210">
        <f t="shared" si="151"/>
        <v>0</v>
      </c>
      <c r="AJ121" s="210">
        <f t="shared" si="151"/>
        <v>0</v>
      </c>
      <c r="AK121" s="210">
        <f t="shared" si="151"/>
        <v>0</v>
      </c>
      <c r="AL121" s="210">
        <f t="shared" si="151"/>
        <v>0</v>
      </c>
      <c r="AM121" s="210">
        <f t="shared" si="151"/>
        <v>0</v>
      </c>
      <c r="AN121" s="210">
        <f t="shared" si="151"/>
        <v>0</v>
      </c>
      <c r="AO121" s="210">
        <f t="shared" si="151"/>
        <v>0</v>
      </c>
      <c r="AP121" s="210">
        <f t="shared" si="151"/>
        <v>0</v>
      </c>
      <c r="AQ121" s="210">
        <f t="shared" si="151"/>
        <v>0</v>
      </c>
      <c r="AR121" s="210">
        <f t="shared" si="151"/>
        <v>0</v>
      </c>
      <c r="AS121" s="210"/>
      <c r="AT121" s="210"/>
      <c r="AU121" s="210">
        <f t="shared" ref="AU121:BN121" si="152">AU51+AU86</f>
        <v>0</v>
      </c>
      <c r="AV121" s="210">
        <f t="shared" si="152"/>
        <v>0</v>
      </c>
      <c r="AW121" s="210">
        <f t="shared" si="152"/>
        <v>0</v>
      </c>
      <c r="AX121" s="210">
        <f t="shared" si="152"/>
        <v>0</v>
      </c>
      <c r="AY121" s="210">
        <f t="shared" si="152"/>
        <v>0</v>
      </c>
      <c r="AZ121" s="210">
        <f t="shared" si="152"/>
        <v>0</v>
      </c>
      <c r="BA121" s="210">
        <f t="shared" si="152"/>
        <v>0</v>
      </c>
      <c r="BB121" s="210">
        <f t="shared" si="152"/>
        <v>0</v>
      </c>
      <c r="BC121" s="210">
        <f t="shared" si="152"/>
        <v>0</v>
      </c>
      <c r="BD121" s="210">
        <f t="shared" si="152"/>
        <v>0</v>
      </c>
      <c r="BE121" s="210">
        <f t="shared" si="152"/>
        <v>0</v>
      </c>
      <c r="BF121" s="210">
        <f t="shared" si="152"/>
        <v>0</v>
      </c>
      <c r="BG121" s="210">
        <f t="shared" si="152"/>
        <v>0</v>
      </c>
      <c r="BH121" s="210">
        <f t="shared" si="152"/>
        <v>0</v>
      </c>
      <c r="BI121" s="210">
        <f t="shared" si="152"/>
        <v>0</v>
      </c>
      <c r="BJ121" s="210">
        <f t="shared" si="152"/>
        <v>0</v>
      </c>
      <c r="BK121" s="210">
        <f t="shared" si="152"/>
        <v>0</v>
      </c>
      <c r="BL121" s="210">
        <f t="shared" si="152"/>
        <v>0</v>
      </c>
      <c r="BM121" s="210">
        <f t="shared" si="152"/>
        <v>0</v>
      </c>
      <c r="BN121" s="210">
        <f t="shared" si="152"/>
        <v>0</v>
      </c>
    </row>
    <row r="122" spans="1:66">
      <c r="A122" s="209" t="s">
        <v>96</v>
      </c>
      <c r="B122" s="210">
        <f t="shared" ref="B122:V122" si="153">B52+B87</f>
        <v>23.75</v>
      </c>
      <c r="C122" s="210">
        <f t="shared" si="153"/>
        <v>22.175</v>
      </c>
      <c r="D122" s="210">
        <f t="shared" si="153"/>
        <v>20</v>
      </c>
      <c r="E122" s="210">
        <f t="shared" si="153"/>
        <v>17.825</v>
      </c>
      <c r="F122" s="210">
        <f t="shared" si="153"/>
        <v>15.05</v>
      </c>
      <c r="G122" s="210">
        <f t="shared" si="153"/>
        <v>12.875</v>
      </c>
      <c r="H122" s="210">
        <f t="shared" si="153"/>
        <v>10.7</v>
      </c>
      <c r="I122" s="210">
        <f t="shared" si="153"/>
        <v>8.525</v>
      </c>
      <c r="J122" s="210">
        <f t="shared" si="153"/>
        <v>6.35</v>
      </c>
      <c r="K122" s="210">
        <f t="shared" si="153"/>
        <v>4.175</v>
      </c>
      <c r="L122" s="210">
        <f t="shared" si="153"/>
        <v>2</v>
      </c>
      <c r="M122" s="210">
        <f t="shared" si="153"/>
        <v>2</v>
      </c>
      <c r="N122" s="210">
        <f t="shared" si="153"/>
        <v>2</v>
      </c>
      <c r="O122" s="210">
        <f t="shared" si="153"/>
        <v>2</v>
      </c>
      <c r="P122" s="210">
        <f t="shared" si="153"/>
        <v>2</v>
      </c>
      <c r="Q122" s="210">
        <f t="shared" si="153"/>
        <v>2</v>
      </c>
      <c r="R122" s="210">
        <f t="shared" si="153"/>
        <v>2</v>
      </c>
      <c r="S122" s="210">
        <f t="shared" si="153"/>
        <v>2</v>
      </c>
      <c r="T122" s="210">
        <f t="shared" si="153"/>
        <v>2</v>
      </c>
      <c r="U122" s="210">
        <f t="shared" si="153"/>
        <v>2</v>
      </c>
      <c r="V122" s="210">
        <f t="shared" si="153"/>
        <v>2</v>
      </c>
      <c r="W122" s="210"/>
      <c r="X122" s="210"/>
      <c r="Y122" s="210">
        <f t="shared" ref="Y122:AR122" si="154">Y52+Y87</f>
        <v>0.6</v>
      </c>
      <c r="Z122" s="210">
        <f t="shared" si="154"/>
        <v>0</v>
      </c>
      <c r="AA122" s="210">
        <f t="shared" si="154"/>
        <v>0</v>
      </c>
      <c r="AB122" s="210">
        <f t="shared" si="154"/>
        <v>0</v>
      </c>
      <c r="AC122" s="210">
        <f t="shared" si="154"/>
        <v>0</v>
      </c>
      <c r="AD122" s="210">
        <f t="shared" si="154"/>
        <v>0</v>
      </c>
      <c r="AE122" s="210">
        <f t="shared" si="154"/>
        <v>0</v>
      </c>
      <c r="AF122" s="210">
        <f t="shared" si="154"/>
        <v>0</v>
      </c>
      <c r="AG122" s="210">
        <f t="shared" si="154"/>
        <v>0</v>
      </c>
      <c r="AH122" s="210">
        <f t="shared" si="154"/>
        <v>0</v>
      </c>
      <c r="AI122" s="210">
        <f t="shared" si="154"/>
        <v>0</v>
      </c>
      <c r="AJ122" s="210">
        <f t="shared" si="154"/>
        <v>0</v>
      </c>
      <c r="AK122" s="210">
        <f t="shared" si="154"/>
        <v>0</v>
      </c>
      <c r="AL122" s="210">
        <f t="shared" si="154"/>
        <v>0</v>
      </c>
      <c r="AM122" s="210">
        <f t="shared" si="154"/>
        <v>0</v>
      </c>
      <c r="AN122" s="210">
        <f t="shared" si="154"/>
        <v>0</v>
      </c>
      <c r="AO122" s="210">
        <f t="shared" si="154"/>
        <v>0</v>
      </c>
      <c r="AP122" s="210">
        <f t="shared" si="154"/>
        <v>0</v>
      </c>
      <c r="AQ122" s="210">
        <f t="shared" si="154"/>
        <v>0</v>
      </c>
      <c r="AR122" s="210">
        <f t="shared" si="154"/>
        <v>0</v>
      </c>
      <c r="AS122" s="210"/>
      <c r="AT122" s="210"/>
      <c r="AU122" s="210">
        <f t="shared" ref="AU122:BN122" si="155">AU52+AU87</f>
        <v>2.175</v>
      </c>
      <c r="AV122" s="210">
        <f t="shared" si="155"/>
        <v>2.175</v>
      </c>
      <c r="AW122" s="210">
        <f t="shared" si="155"/>
        <v>2.175</v>
      </c>
      <c r="AX122" s="210">
        <f t="shared" si="155"/>
        <v>2.775</v>
      </c>
      <c r="AY122" s="210">
        <f t="shared" si="155"/>
        <v>2.175</v>
      </c>
      <c r="AZ122" s="210">
        <f t="shared" si="155"/>
        <v>2.175</v>
      </c>
      <c r="BA122" s="210">
        <f t="shared" si="155"/>
        <v>2.175</v>
      </c>
      <c r="BB122" s="210">
        <f t="shared" si="155"/>
        <v>2.175</v>
      </c>
      <c r="BC122" s="210">
        <f t="shared" si="155"/>
        <v>2.175</v>
      </c>
      <c r="BD122" s="210">
        <f t="shared" si="155"/>
        <v>2.175</v>
      </c>
      <c r="BE122" s="210">
        <f t="shared" si="155"/>
        <v>0</v>
      </c>
      <c r="BF122" s="210">
        <f t="shared" si="155"/>
        <v>0</v>
      </c>
      <c r="BG122" s="210">
        <f t="shared" si="155"/>
        <v>0</v>
      </c>
      <c r="BH122" s="210">
        <f t="shared" si="155"/>
        <v>0</v>
      </c>
      <c r="BI122" s="210">
        <f t="shared" si="155"/>
        <v>0</v>
      </c>
      <c r="BJ122" s="210">
        <f t="shared" si="155"/>
        <v>0</v>
      </c>
      <c r="BK122" s="210">
        <f t="shared" si="155"/>
        <v>0</v>
      </c>
      <c r="BL122" s="210">
        <f t="shared" si="155"/>
        <v>0</v>
      </c>
      <c r="BM122" s="210">
        <f t="shared" si="155"/>
        <v>0</v>
      </c>
      <c r="BN122" s="210">
        <f t="shared" si="155"/>
        <v>0</v>
      </c>
    </row>
    <row r="123" spans="1:66">
      <c r="A123" s="209" t="s">
        <v>98</v>
      </c>
      <c r="B123" s="210">
        <f t="shared" ref="B123:V123" si="156">B53+B88</f>
        <v>152.65</v>
      </c>
      <c r="C123" s="210">
        <f t="shared" si="156"/>
        <v>145.985</v>
      </c>
      <c r="D123" s="210">
        <f t="shared" si="156"/>
        <v>139.32</v>
      </c>
      <c r="E123" s="210">
        <f t="shared" si="156"/>
        <v>132.655</v>
      </c>
      <c r="F123" s="210">
        <f t="shared" si="156"/>
        <v>125.99</v>
      </c>
      <c r="G123" s="210">
        <f t="shared" si="156"/>
        <v>119.325</v>
      </c>
      <c r="H123" s="210">
        <f t="shared" si="156"/>
        <v>112.66</v>
      </c>
      <c r="I123" s="210">
        <f t="shared" si="156"/>
        <v>105.995</v>
      </c>
      <c r="J123" s="210">
        <f t="shared" si="156"/>
        <v>99.33</v>
      </c>
      <c r="K123" s="210">
        <f t="shared" si="156"/>
        <v>92.665</v>
      </c>
      <c r="L123" s="210">
        <f t="shared" si="156"/>
        <v>86</v>
      </c>
      <c r="M123" s="210">
        <f t="shared" si="156"/>
        <v>86</v>
      </c>
      <c r="N123" s="210">
        <f t="shared" si="156"/>
        <v>86</v>
      </c>
      <c r="O123" s="210">
        <f t="shared" si="156"/>
        <v>86</v>
      </c>
      <c r="P123" s="210">
        <f t="shared" si="156"/>
        <v>86</v>
      </c>
      <c r="Q123" s="210">
        <f t="shared" si="156"/>
        <v>86</v>
      </c>
      <c r="R123" s="210">
        <f t="shared" si="156"/>
        <v>86</v>
      </c>
      <c r="S123" s="210">
        <f t="shared" si="156"/>
        <v>86</v>
      </c>
      <c r="T123" s="210">
        <f t="shared" si="156"/>
        <v>86</v>
      </c>
      <c r="U123" s="210">
        <f t="shared" si="156"/>
        <v>61</v>
      </c>
      <c r="V123" s="210">
        <f t="shared" si="156"/>
        <v>61</v>
      </c>
      <c r="W123" s="210"/>
      <c r="X123" s="210"/>
      <c r="Y123" s="210">
        <f t="shared" ref="Y123:AR123" si="157">Y53+Y88</f>
        <v>0</v>
      </c>
      <c r="Z123" s="210">
        <f t="shared" si="157"/>
        <v>0</v>
      </c>
      <c r="AA123" s="210">
        <f t="shared" si="157"/>
        <v>0</v>
      </c>
      <c r="AB123" s="210">
        <f t="shared" si="157"/>
        <v>0</v>
      </c>
      <c r="AC123" s="210">
        <f t="shared" si="157"/>
        <v>0</v>
      </c>
      <c r="AD123" s="210">
        <f t="shared" si="157"/>
        <v>0</v>
      </c>
      <c r="AE123" s="210">
        <f t="shared" si="157"/>
        <v>0</v>
      </c>
      <c r="AF123" s="210">
        <f t="shared" si="157"/>
        <v>0</v>
      </c>
      <c r="AG123" s="210">
        <f t="shared" si="157"/>
        <v>0</v>
      </c>
      <c r="AH123" s="210">
        <f t="shared" si="157"/>
        <v>0</v>
      </c>
      <c r="AI123" s="210">
        <f t="shared" si="157"/>
        <v>0</v>
      </c>
      <c r="AJ123" s="210">
        <f t="shared" si="157"/>
        <v>0</v>
      </c>
      <c r="AK123" s="210">
        <f t="shared" si="157"/>
        <v>0</v>
      </c>
      <c r="AL123" s="210">
        <f t="shared" si="157"/>
        <v>0</v>
      </c>
      <c r="AM123" s="210">
        <f t="shared" si="157"/>
        <v>0</v>
      </c>
      <c r="AN123" s="210">
        <f t="shared" si="157"/>
        <v>0</v>
      </c>
      <c r="AO123" s="210">
        <f t="shared" si="157"/>
        <v>0</v>
      </c>
      <c r="AP123" s="210">
        <f t="shared" si="157"/>
        <v>0</v>
      </c>
      <c r="AQ123" s="210">
        <f t="shared" si="157"/>
        <v>0</v>
      </c>
      <c r="AR123" s="210">
        <f t="shared" si="157"/>
        <v>0</v>
      </c>
      <c r="AS123" s="210"/>
      <c r="AT123" s="210"/>
      <c r="AU123" s="210">
        <f t="shared" ref="AU123:BN123" si="158">AU53+AU88</f>
        <v>6.66499999999999</v>
      </c>
      <c r="AV123" s="210">
        <f t="shared" si="158"/>
        <v>6.66499999999999</v>
      </c>
      <c r="AW123" s="210">
        <f t="shared" si="158"/>
        <v>6.66499999999999</v>
      </c>
      <c r="AX123" s="210">
        <f t="shared" si="158"/>
        <v>6.66500000000001</v>
      </c>
      <c r="AY123" s="210">
        <f t="shared" si="158"/>
        <v>6.66500000000001</v>
      </c>
      <c r="AZ123" s="210">
        <f t="shared" si="158"/>
        <v>6.66500000000001</v>
      </c>
      <c r="BA123" s="210">
        <f t="shared" si="158"/>
        <v>6.66500000000001</v>
      </c>
      <c r="BB123" s="210">
        <f t="shared" si="158"/>
        <v>6.66500000000001</v>
      </c>
      <c r="BC123" s="210">
        <f t="shared" si="158"/>
        <v>6.66500000000001</v>
      </c>
      <c r="BD123" s="210">
        <f t="shared" si="158"/>
        <v>6.66499999999999</v>
      </c>
      <c r="BE123" s="210">
        <f t="shared" si="158"/>
        <v>0</v>
      </c>
      <c r="BF123" s="210">
        <f t="shared" si="158"/>
        <v>0</v>
      </c>
      <c r="BG123" s="210">
        <f t="shared" si="158"/>
        <v>0</v>
      </c>
      <c r="BH123" s="210">
        <f t="shared" si="158"/>
        <v>0</v>
      </c>
      <c r="BI123" s="210">
        <f t="shared" si="158"/>
        <v>0</v>
      </c>
      <c r="BJ123" s="210">
        <f t="shared" si="158"/>
        <v>0</v>
      </c>
      <c r="BK123" s="210">
        <f t="shared" si="158"/>
        <v>0</v>
      </c>
      <c r="BL123" s="210">
        <f t="shared" si="158"/>
        <v>0</v>
      </c>
      <c r="BM123" s="210">
        <f t="shared" si="158"/>
        <v>25</v>
      </c>
      <c r="BN123" s="210">
        <f t="shared" si="158"/>
        <v>0</v>
      </c>
    </row>
    <row r="124" spans="1:66">
      <c r="A124" s="209" t="s">
        <v>100</v>
      </c>
      <c r="B124" s="210">
        <f t="shared" ref="B124:V124" si="159">B54+B89</f>
        <v>70.53</v>
      </c>
      <c r="C124" s="210">
        <f t="shared" si="159"/>
        <v>63.477</v>
      </c>
      <c r="D124" s="210">
        <f t="shared" si="159"/>
        <v>56.424</v>
      </c>
      <c r="E124" s="210">
        <f t="shared" si="159"/>
        <v>49.371</v>
      </c>
      <c r="F124" s="210">
        <f t="shared" si="159"/>
        <v>56.968</v>
      </c>
      <c r="G124" s="210">
        <f t="shared" si="159"/>
        <v>47.265</v>
      </c>
      <c r="H124" s="210">
        <f t="shared" si="159"/>
        <v>42.202</v>
      </c>
      <c r="I124" s="210">
        <f t="shared" si="159"/>
        <v>33.5945555555556</v>
      </c>
      <c r="J124" s="210">
        <f t="shared" si="159"/>
        <v>24.9871111111111</v>
      </c>
      <c r="K124" s="210">
        <f t="shared" si="159"/>
        <v>16.3796666666667</v>
      </c>
      <c r="L124" s="210">
        <f t="shared" si="159"/>
        <v>7.77222222222222</v>
      </c>
      <c r="M124" s="210">
        <f t="shared" si="159"/>
        <v>6.21777777777778</v>
      </c>
      <c r="N124" s="210">
        <f t="shared" si="159"/>
        <v>4.66333333333334</v>
      </c>
      <c r="O124" s="210">
        <f t="shared" si="159"/>
        <v>3.10888888888889</v>
      </c>
      <c r="P124" s="210">
        <f t="shared" si="159"/>
        <v>1.55444444444445</v>
      </c>
      <c r="Q124" s="210">
        <f t="shared" si="159"/>
        <v>0</v>
      </c>
      <c r="R124" s="210">
        <f t="shared" si="159"/>
        <v>0</v>
      </c>
      <c r="S124" s="210">
        <f t="shared" si="159"/>
        <v>0</v>
      </c>
      <c r="T124" s="210">
        <f t="shared" si="159"/>
        <v>0</v>
      </c>
      <c r="U124" s="210">
        <f t="shared" si="159"/>
        <v>0</v>
      </c>
      <c r="V124" s="210">
        <f t="shared" si="159"/>
        <v>0</v>
      </c>
      <c r="W124" s="210"/>
      <c r="X124" s="210"/>
      <c r="Y124" s="210">
        <f t="shared" ref="Y124:AR124" si="160">Y54+Y89</f>
        <v>0</v>
      </c>
      <c r="Z124" s="210">
        <f t="shared" si="160"/>
        <v>0</v>
      </c>
      <c r="AA124" s="210">
        <f t="shared" si="160"/>
        <v>0</v>
      </c>
      <c r="AB124" s="210">
        <f t="shared" si="160"/>
        <v>14.65</v>
      </c>
      <c r="AC124" s="210">
        <f t="shared" si="160"/>
        <v>0</v>
      </c>
      <c r="AD124" s="210">
        <f t="shared" si="160"/>
        <v>1.99</v>
      </c>
      <c r="AE124" s="210">
        <f t="shared" si="160"/>
        <v>0</v>
      </c>
      <c r="AF124" s="210">
        <f t="shared" si="160"/>
        <v>0</v>
      </c>
      <c r="AG124" s="210">
        <f t="shared" si="160"/>
        <v>0</v>
      </c>
      <c r="AH124" s="210">
        <f t="shared" si="160"/>
        <v>0</v>
      </c>
      <c r="AI124" s="210">
        <f t="shared" si="160"/>
        <v>0</v>
      </c>
      <c r="AJ124" s="210">
        <f t="shared" si="160"/>
        <v>0</v>
      </c>
      <c r="AK124" s="210">
        <f t="shared" si="160"/>
        <v>0</v>
      </c>
      <c r="AL124" s="210">
        <f t="shared" si="160"/>
        <v>0</v>
      </c>
      <c r="AM124" s="210">
        <f t="shared" si="160"/>
        <v>0</v>
      </c>
      <c r="AN124" s="210">
        <f t="shared" si="160"/>
        <v>0</v>
      </c>
      <c r="AO124" s="210">
        <f t="shared" si="160"/>
        <v>0</v>
      </c>
      <c r="AP124" s="210">
        <f t="shared" si="160"/>
        <v>0</v>
      </c>
      <c r="AQ124" s="210">
        <f t="shared" si="160"/>
        <v>0</v>
      </c>
      <c r="AR124" s="210">
        <f t="shared" si="160"/>
        <v>0</v>
      </c>
      <c r="AS124" s="210"/>
      <c r="AT124" s="210"/>
      <c r="AU124" s="210">
        <f t="shared" ref="AU124:BN124" si="161">AU54+AU89</f>
        <v>7.053</v>
      </c>
      <c r="AV124" s="210">
        <f t="shared" si="161"/>
        <v>7.053</v>
      </c>
      <c r="AW124" s="210">
        <f t="shared" si="161"/>
        <v>7.053</v>
      </c>
      <c r="AX124" s="210">
        <f t="shared" si="161"/>
        <v>7.053</v>
      </c>
      <c r="AY124" s="210">
        <f t="shared" si="161"/>
        <v>9.703</v>
      </c>
      <c r="AZ124" s="210">
        <f t="shared" si="161"/>
        <v>7.053</v>
      </c>
      <c r="BA124" s="210">
        <f t="shared" si="161"/>
        <v>8.60744444444444</v>
      </c>
      <c r="BB124" s="210">
        <f t="shared" si="161"/>
        <v>8.60744444444444</v>
      </c>
      <c r="BC124" s="210">
        <f t="shared" si="161"/>
        <v>8.60744444444444</v>
      </c>
      <c r="BD124" s="210">
        <f t="shared" si="161"/>
        <v>8.60744444444446</v>
      </c>
      <c r="BE124" s="210">
        <f t="shared" si="161"/>
        <v>1.55444444444444</v>
      </c>
      <c r="BF124" s="210">
        <f t="shared" si="161"/>
        <v>1.55444444444444</v>
      </c>
      <c r="BG124" s="210">
        <f t="shared" si="161"/>
        <v>1.55444444444444</v>
      </c>
      <c r="BH124" s="210">
        <f t="shared" si="161"/>
        <v>1.55444444444444</v>
      </c>
      <c r="BI124" s="210">
        <f t="shared" si="161"/>
        <v>1.55444444444445</v>
      </c>
      <c r="BJ124" s="210">
        <f t="shared" si="161"/>
        <v>0</v>
      </c>
      <c r="BK124" s="210">
        <f t="shared" si="161"/>
        <v>0</v>
      </c>
      <c r="BL124" s="210">
        <f t="shared" si="161"/>
        <v>0</v>
      </c>
      <c r="BM124" s="210">
        <f t="shared" si="161"/>
        <v>0</v>
      </c>
      <c r="BN124" s="210">
        <f t="shared" si="161"/>
        <v>0</v>
      </c>
    </row>
    <row r="125" spans="1:66">
      <c r="A125" s="209" t="s">
        <v>102</v>
      </c>
      <c r="B125" s="210">
        <f t="shared" ref="B125:V125" si="162">B55+B90</f>
        <v>249.31</v>
      </c>
      <c r="C125" s="210">
        <f t="shared" si="162"/>
        <v>223.7549</v>
      </c>
      <c r="D125" s="210">
        <f t="shared" si="162"/>
        <v>200.2588</v>
      </c>
      <c r="E125" s="210">
        <f t="shared" si="162"/>
        <v>176.7627</v>
      </c>
      <c r="F125" s="210">
        <f t="shared" si="162"/>
        <v>166.1066</v>
      </c>
      <c r="G125" s="210">
        <f t="shared" si="162"/>
        <v>130.4805</v>
      </c>
      <c r="H125" s="210">
        <f t="shared" si="162"/>
        <v>102.7144</v>
      </c>
      <c r="I125" s="210">
        <f t="shared" si="162"/>
        <v>78.9149666666666</v>
      </c>
      <c r="J125" s="210">
        <f t="shared" si="162"/>
        <v>55.1155333333333</v>
      </c>
      <c r="K125" s="210">
        <f t="shared" si="162"/>
        <v>31.3161</v>
      </c>
      <c r="L125" s="210">
        <f t="shared" si="162"/>
        <v>7.51666666666667</v>
      </c>
      <c r="M125" s="210">
        <f t="shared" si="162"/>
        <v>7.21333333333333</v>
      </c>
      <c r="N125" s="210">
        <f t="shared" si="162"/>
        <v>6.91</v>
      </c>
      <c r="O125" s="210">
        <f t="shared" si="162"/>
        <v>6.60666666666667</v>
      </c>
      <c r="P125" s="210">
        <f t="shared" si="162"/>
        <v>6.30333333333333</v>
      </c>
      <c r="Q125" s="210">
        <f t="shared" si="162"/>
        <v>6</v>
      </c>
      <c r="R125" s="210">
        <f t="shared" si="162"/>
        <v>6</v>
      </c>
      <c r="S125" s="210">
        <f t="shared" si="162"/>
        <v>2</v>
      </c>
      <c r="T125" s="210">
        <f t="shared" si="162"/>
        <v>2</v>
      </c>
      <c r="U125" s="210">
        <f t="shared" si="162"/>
        <v>2</v>
      </c>
      <c r="V125" s="210">
        <f t="shared" si="162"/>
        <v>2</v>
      </c>
      <c r="W125" s="210"/>
      <c r="X125" s="210"/>
      <c r="Y125" s="210">
        <f t="shared" ref="Y125:AR125" si="163">Y55+Y90</f>
        <v>0</v>
      </c>
      <c r="Z125" s="210">
        <f t="shared" si="163"/>
        <v>0</v>
      </c>
      <c r="AA125" s="210">
        <f t="shared" si="163"/>
        <v>0</v>
      </c>
      <c r="AB125" s="210">
        <f t="shared" si="163"/>
        <v>12.84</v>
      </c>
      <c r="AC125" s="210">
        <f t="shared" si="163"/>
        <v>0</v>
      </c>
      <c r="AD125" s="210">
        <f t="shared" si="163"/>
        <v>0</v>
      </c>
      <c r="AE125" s="210">
        <f t="shared" si="163"/>
        <v>0</v>
      </c>
      <c r="AF125" s="210">
        <f t="shared" si="163"/>
        <v>0</v>
      </c>
      <c r="AG125" s="210">
        <f t="shared" si="163"/>
        <v>0</v>
      </c>
      <c r="AH125" s="210">
        <f t="shared" si="163"/>
        <v>0</v>
      </c>
      <c r="AI125" s="210">
        <f t="shared" si="163"/>
        <v>0</v>
      </c>
      <c r="AJ125" s="210">
        <f t="shared" si="163"/>
        <v>0</v>
      </c>
      <c r="AK125" s="210">
        <f t="shared" si="163"/>
        <v>0</v>
      </c>
      <c r="AL125" s="210">
        <f t="shared" si="163"/>
        <v>0</v>
      </c>
      <c r="AM125" s="210">
        <f t="shared" si="163"/>
        <v>0</v>
      </c>
      <c r="AN125" s="210">
        <f t="shared" si="163"/>
        <v>0</v>
      </c>
      <c r="AO125" s="210">
        <f t="shared" si="163"/>
        <v>0</v>
      </c>
      <c r="AP125" s="210">
        <f t="shared" si="163"/>
        <v>0</v>
      </c>
      <c r="AQ125" s="210">
        <f t="shared" si="163"/>
        <v>0</v>
      </c>
      <c r="AR125" s="210">
        <f t="shared" si="163"/>
        <v>0</v>
      </c>
      <c r="AS125" s="210"/>
      <c r="AT125" s="210"/>
      <c r="AU125" s="210">
        <f t="shared" ref="AU125:BN125" si="164">AU55+AU90</f>
        <v>25.5551</v>
      </c>
      <c r="AV125" s="210">
        <f t="shared" si="164"/>
        <v>23.4961</v>
      </c>
      <c r="AW125" s="210">
        <f t="shared" si="164"/>
        <v>23.4961</v>
      </c>
      <c r="AX125" s="210">
        <f t="shared" si="164"/>
        <v>23.4961</v>
      </c>
      <c r="AY125" s="210">
        <f t="shared" si="164"/>
        <v>35.6261</v>
      </c>
      <c r="AZ125" s="210">
        <f t="shared" si="164"/>
        <v>27.7661</v>
      </c>
      <c r="BA125" s="210">
        <f t="shared" si="164"/>
        <v>23.7994333333333</v>
      </c>
      <c r="BB125" s="210">
        <f t="shared" si="164"/>
        <v>23.7994333333333</v>
      </c>
      <c r="BC125" s="210">
        <f t="shared" si="164"/>
        <v>23.7994333333333</v>
      </c>
      <c r="BD125" s="210">
        <f t="shared" si="164"/>
        <v>23.7994333333333</v>
      </c>
      <c r="BE125" s="210">
        <f t="shared" si="164"/>
        <v>0.303333333333334</v>
      </c>
      <c r="BF125" s="210">
        <f t="shared" si="164"/>
        <v>0.303333333333334</v>
      </c>
      <c r="BG125" s="210">
        <f t="shared" si="164"/>
        <v>0.303333333333334</v>
      </c>
      <c r="BH125" s="210">
        <f t="shared" si="164"/>
        <v>0.303333333333334</v>
      </c>
      <c r="BI125" s="210">
        <f t="shared" si="164"/>
        <v>0.303333333333333</v>
      </c>
      <c r="BJ125" s="210">
        <f t="shared" si="164"/>
        <v>0</v>
      </c>
      <c r="BK125" s="210">
        <f t="shared" si="164"/>
        <v>4</v>
      </c>
      <c r="BL125" s="210">
        <f t="shared" si="164"/>
        <v>0</v>
      </c>
      <c r="BM125" s="210">
        <f t="shared" si="164"/>
        <v>0</v>
      </c>
      <c r="BN125" s="210">
        <f t="shared" si="164"/>
        <v>0</v>
      </c>
    </row>
    <row r="126" spans="1:66">
      <c r="A126" s="209" t="s">
        <v>104</v>
      </c>
      <c r="B126" s="210">
        <f t="shared" ref="B126:V126" si="165">B56+B91</f>
        <v>0</v>
      </c>
      <c r="C126" s="210">
        <f t="shared" si="165"/>
        <v>0</v>
      </c>
      <c r="D126" s="210">
        <f t="shared" si="165"/>
        <v>0</v>
      </c>
      <c r="E126" s="210">
        <f t="shared" si="165"/>
        <v>0</v>
      </c>
      <c r="F126" s="210">
        <f t="shared" si="165"/>
        <v>0</v>
      </c>
      <c r="G126" s="210">
        <f t="shared" si="165"/>
        <v>0</v>
      </c>
      <c r="H126" s="210">
        <f t="shared" si="165"/>
        <v>0</v>
      </c>
      <c r="I126" s="210">
        <f t="shared" si="165"/>
        <v>0</v>
      </c>
      <c r="J126" s="210">
        <f t="shared" si="165"/>
        <v>0</v>
      </c>
      <c r="K126" s="210">
        <f t="shared" si="165"/>
        <v>0</v>
      </c>
      <c r="L126" s="210">
        <f t="shared" si="165"/>
        <v>0</v>
      </c>
      <c r="M126" s="210">
        <f t="shared" si="165"/>
        <v>0</v>
      </c>
      <c r="N126" s="210">
        <f t="shared" si="165"/>
        <v>0</v>
      </c>
      <c r="O126" s="210">
        <f t="shared" si="165"/>
        <v>0</v>
      </c>
      <c r="P126" s="210">
        <f t="shared" si="165"/>
        <v>0</v>
      </c>
      <c r="Q126" s="210">
        <f t="shared" si="165"/>
        <v>0</v>
      </c>
      <c r="R126" s="210">
        <f t="shared" si="165"/>
        <v>0</v>
      </c>
      <c r="S126" s="210">
        <f t="shared" si="165"/>
        <v>0</v>
      </c>
      <c r="T126" s="210">
        <f t="shared" si="165"/>
        <v>0</v>
      </c>
      <c r="U126" s="210">
        <f t="shared" si="165"/>
        <v>0</v>
      </c>
      <c r="V126" s="210">
        <f t="shared" si="165"/>
        <v>0</v>
      </c>
      <c r="W126" s="210"/>
      <c r="X126" s="210"/>
      <c r="Y126" s="210">
        <f t="shared" ref="Y126:AR126" si="166">Y56+Y91</f>
        <v>0</v>
      </c>
      <c r="Z126" s="210">
        <f t="shared" si="166"/>
        <v>0</v>
      </c>
      <c r="AA126" s="210">
        <f t="shared" si="166"/>
        <v>0</v>
      </c>
      <c r="AB126" s="210">
        <f t="shared" si="166"/>
        <v>0</v>
      </c>
      <c r="AC126" s="210">
        <f t="shared" si="166"/>
        <v>0</v>
      </c>
      <c r="AD126" s="210">
        <f t="shared" si="166"/>
        <v>0</v>
      </c>
      <c r="AE126" s="210">
        <f t="shared" si="166"/>
        <v>0</v>
      </c>
      <c r="AF126" s="210">
        <f t="shared" si="166"/>
        <v>0</v>
      </c>
      <c r="AG126" s="210">
        <f t="shared" si="166"/>
        <v>0</v>
      </c>
      <c r="AH126" s="210">
        <f t="shared" si="166"/>
        <v>0</v>
      </c>
      <c r="AI126" s="210">
        <f t="shared" si="166"/>
        <v>0</v>
      </c>
      <c r="AJ126" s="210">
        <f t="shared" si="166"/>
        <v>0</v>
      </c>
      <c r="AK126" s="210">
        <f t="shared" si="166"/>
        <v>0</v>
      </c>
      <c r="AL126" s="210">
        <f t="shared" si="166"/>
        <v>0</v>
      </c>
      <c r="AM126" s="210">
        <f t="shared" si="166"/>
        <v>0</v>
      </c>
      <c r="AN126" s="210">
        <f t="shared" si="166"/>
        <v>0</v>
      </c>
      <c r="AO126" s="210">
        <f t="shared" si="166"/>
        <v>0</v>
      </c>
      <c r="AP126" s="210">
        <f t="shared" si="166"/>
        <v>0</v>
      </c>
      <c r="AQ126" s="210">
        <f t="shared" si="166"/>
        <v>0</v>
      </c>
      <c r="AR126" s="210">
        <f t="shared" si="166"/>
        <v>0</v>
      </c>
      <c r="AS126" s="210"/>
      <c r="AT126" s="210"/>
      <c r="AU126" s="210">
        <f t="shared" ref="AU126:BN126" si="167">AU56+AU91</f>
        <v>0</v>
      </c>
      <c r="AV126" s="210">
        <f t="shared" si="167"/>
        <v>0</v>
      </c>
      <c r="AW126" s="210">
        <f t="shared" si="167"/>
        <v>0</v>
      </c>
      <c r="AX126" s="210">
        <f t="shared" si="167"/>
        <v>0</v>
      </c>
      <c r="AY126" s="210">
        <f t="shared" si="167"/>
        <v>0</v>
      </c>
      <c r="AZ126" s="210">
        <f t="shared" si="167"/>
        <v>0</v>
      </c>
      <c r="BA126" s="210">
        <f t="shared" si="167"/>
        <v>0</v>
      </c>
      <c r="BB126" s="210">
        <f t="shared" si="167"/>
        <v>0</v>
      </c>
      <c r="BC126" s="210">
        <f t="shared" si="167"/>
        <v>0</v>
      </c>
      <c r="BD126" s="210">
        <f t="shared" si="167"/>
        <v>0</v>
      </c>
      <c r="BE126" s="210">
        <f t="shared" si="167"/>
        <v>0</v>
      </c>
      <c r="BF126" s="210">
        <f t="shared" si="167"/>
        <v>0</v>
      </c>
      <c r="BG126" s="210">
        <f t="shared" si="167"/>
        <v>0</v>
      </c>
      <c r="BH126" s="210">
        <f t="shared" si="167"/>
        <v>0</v>
      </c>
      <c r="BI126" s="210">
        <f t="shared" si="167"/>
        <v>0</v>
      </c>
      <c r="BJ126" s="210">
        <f t="shared" si="167"/>
        <v>0</v>
      </c>
      <c r="BK126" s="210">
        <f t="shared" si="167"/>
        <v>0</v>
      </c>
      <c r="BL126" s="210">
        <f t="shared" si="167"/>
        <v>0</v>
      </c>
      <c r="BM126" s="210">
        <f t="shared" si="167"/>
        <v>0</v>
      </c>
      <c r="BN126" s="210">
        <f t="shared" si="167"/>
        <v>0</v>
      </c>
    </row>
    <row r="127" spans="1:66">
      <c r="A127" s="209" t="s">
        <v>106</v>
      </c>
      <c r="B127" s="210">
        <f t="shared" ref="B127:V127" si="168">B57+B92</f>
        <v>28.66</v>
      </c>
      <c r="C127" s="210">
        <f t="shared" si="168"/>
        <v>31.7524</v>
      </c>
      <c r="D127" s="210">
        <f t="shared" si="168"/>
        <v>30.2688</v>
      </c>
      <c r="E127" s="210">
        <f t="shared" si="168"/>
        <v>28.7852</v>
      </c>
      <c r="F127" s="210">
        <f t="shared" si="168"/>
        <v>27.3316</v>
      </c>
      <c r="G127" s="210">
        <f t="shared" si="168"/>
        <v>23.418</v>
      </c>
      <c r="H127" s="210">
        <f t="shared" si="168"/>
        <v>17.4544</v>
      </c>
      <c r="I127" s="210">
        <f t="shared" si="168"/>
        <v>14.8019111111111</v>
      </c>
      <c r="J127" s="210">
        <f t="shared" si="168"/>
        <v>12.1494222222222</v>
      </c>
      <c r="K127" s="210">
        <f t="shared" si="168"/>
        <v>9.49693333333333</v>
      </c>
      <c r="L127" s="210">
        <f t="shared" si="168"/>
        <v>6.84444444444444</v>
      </c>
      <c r="M127" s="210">
        <f t="shared" si="168"/>
        <v>5.67555555555556</v>
      </c>
      <c r="N127" s="210">
        <f t="shared" si="168"/>
        <v>4.50666666666667</v>
      </c>
      <c r="O127" s="210">
        <f t="shared" si="168"/>
        <v>3.33777777777778</v>
      </c>
      <c r="P127" s="210">
        <f t="shared" si="168"/>
        <v>2.16888888888889</v>
      </c>
      <c r="Q127" s="210">
        <f t="shared" si="168"/>
        <v>1</v>
      </c>
      <c r="R127" s="210">
        <f t="shared" si="168"/>
        <v>1</v>
      </c>
      <c r="S127" s="210">
        <f t="shared" si="168"/>
        <v>1</v>
      </c>
      <c r="T127" s="210">
        <f t="shared" si="168"/>
        <v>1</v>
      </c>
      <c r="U127" s="210">
        <f t="shared" si="168"/>
        <v>0</v>
      </c>
      <c r="V127" s="210">
        <f t="shared" si="168"/>
        <v>0</v>
      </c>
      <c r="W127" s="210"/>
      <c r="X127" s="210"/>
      <c r="Y127" s="210">
        <f t="shared" ref="Y127:AR127" si="169">Y57+Y92</f>
        <v>4.576</v>
      </c>
      <c r="Z127" s="210">
        <f t="shared" si="169"/>
        <v>0</v>
      </c>
      <c r="AA127" s="210">
        <f t="shared" si="169"/>
        <v>0</v>
      </c>
      <c r="AB127" s="210">
        <f t="shared" si="169"/>
        <v>0.0300000000000011</v>
      </c>
      <c r="AC127" s="210">
        <f t="shared" si="169"/>
        <v>0</v>
      </c>
      <c r="AD127" s="210">
        <f t="shared" si="169"/>
        <v>0</v>
      </c>
      <c r="AE127" s="210">
        <f t="shared" si="169"/>
        <v>0</v>
      </c>
      <c r="AF127" s="210">
        <f t="shared" si="169"/>
        <v>0</v>
      </c>
      <c r="AG127" s="210">
        <f t="shared" si="169"/>
        <v>0</v>
      </c>
      <c r="AH127" s="210">
        <f t="shared" si="169"/>
        <v>0</v>
      </c>
      <c r="AI127" s="210">
        <f t="shared" si="169"/>
        <v>0</v>
      </c>
      <c r="AJ127" s="210">
        <f t="shared" si="169"/>
        <v>0</v>
      </c>
      <c r="AK127" s="210">
        <f t="shared" si="169"/>
        <v>0</v>
      </c>
      <c r="AL127" s="210">
        <f t="shared" si="169"/>
        <v>0</v>
      </c>
      <c r="AM127" s="210">
        <f t="shared" si="169"/>
        <v>0</v>
      </c>
      <c r="AN127" s="210">
        <f t="shared" si="169"/>
        <v>0</v>
      </c>
      <c r="AO127" s="210">
        <f t="shared" si="169"/>
        <v>0</v>
      </c>
      <c r="AP127" s="210">
        <f t="shared" si="169"/>
        <v>0</v>
      </c>
      <c r="AQ127" s="210">
        <f t="shared" si="169"/>
        <v>0</v>
      </c>
      <c r="AR127" s="210">
        <f t="shared" si="169"/>
        <v>0</v>
      </c>
      <c r="AS127" s="210"/>
      <c r="AT127" s="210"/>
      <c r="AU127" s="210">
        <f t="shared" ref="AU127:BN127" si="170">AU57+AU92</f>
        <v>1.4836</v>
      </c>
      <c r="AV127" s="210">
        <f t="shared" si="170"/>
        <v>1.4836</v>
      </c>
      <c r="AW127" s="210">
        <f t="shared" si="170"/>
        <v>1.4836</v>
      </c>
      <c r="AX127" s="210">
        <f t="shared" si="170"/>
        <v>1.4836</v>
      </c>
      <c r="AY127" s="210">
        <f t="shared" si="170"/>
        <v>3.9136</v>
      </c>
      <c r="AZ127" s="210">
        <f t="shared" si="170"/>
        <v>5.9636</v>
      </c>
      <c r="BA127" s="210">
        <f t="shared" si="170"/>
        <v>2.65248888888889</v>
      </c>
      <c r="BB127" s="210">
        <f t="shared" si="170"/>
        <v>2.65248888888889</v>
      </c>
      <c r="BC127" s="210">
        <f t="shared" si="170"/>
        <v>2.65248888888889</v>
      </c>
      <c r="BD127" s="210">
        <f t="shared" si="170"/>
        <v>2.65248888888889</v>
      </c>
      <c r="BE127" s="210">
        <f t="shared" si="170"/>
        <v>1.16888888888889</v>
      </c>
      <c r="BF127" s="210">
        <f t="shared" si="170"/>
        <v>1.16888888888889</v>
      </c>
      <c r="BG127" s="210">
        <f t="shared" si="170"/>
        <v>1.16888888888889</v>
      </c>
      <c r="BH127" s="210">
        <f t="shared" si="170"/>
        <v>1.16888888888889</v>
      </c>
      <c r="BI127" s="210">
        <f t="shared" si="170"/>
        <v>1.16888888888889</v>
      </c>
      <c r="BJ127" s="210">
        <f t="shared" si="170"/>
        <v>0</v>
      </c>
      <c r="BK127" s="210">
        <f t="shared" si="170"/>
        <v>0</v>
      </c>
      <c r="BL127" s="210">
        <f t="shared" si="170"/>
        <v>0</v>
      </c>
      <c r="BM127" s="210">
        <f t="shared" si="170"/>
        <v>1</v>
      </c>
      <c r="BN127" s="210">
        <f t="shared" si="170"/>
        <v>0</v>
      </c>
    </row>
    <row r="128" spans="1:66">
      <c r="A128" s="209" t="s">
        <v>108</v>
      </c>
      <c r="B128" s="210">
        <f t="shared" ref="B128:V128" si="171">B58+B93</f>
        <v>0</v>
      </c>
      <c r="C128" s="210">
        <f t="shared" si="171"/>
        <v>0</v>
      </c>
      <c r="D128" s="210">
        <f t="shared" si="171"/>
        <v>0</v>
      </c>
      <c r="E128" s="210">
        <f t="shared" si="171"/>
        <v>0</v>
      </c>
      <c r="F128" s="210">
        <f t="shared" si="171"/>
        <v>0</v>
      </c>
      <c r="G128" s="210">
        <f t="shared" si="171"/>
        <v>0</v>
      </c>
      <c r="H128" s="210">
        <f t="shared" si="171"/>
        <v>0</v>
      </c>
      <c r="I128" s="210">
        <f t="shared" si="171"/>
        <v>0</v>
      </c>
      <c r="J128" s="210">
        <f t="shared" si="171"/>
        <v>0</v>
      </c>
      <c r="K128" s="210">
        <f t="shared" si="171"/>
        <v>0</v>
      </c>
      <c r="L128" s="210">
        <f t="shared" si="171"/>
        <v>0</v>
      </c>
      <c r="M128" s="210">
        <f t="shared" si="171"/>
        <v>0</v>
      </c>
      <c r="N128" s="210">
        <f t="shared" si="171"/>
        <v>0</v>
      </c>
      <c r="O128" s="210">
        <f t="shared" si="171"/>
        <v>0</v>
      </c>
      <c r="P128" s="210">
        <f t="shared" si="171"/>
        <v>0</v>
      </c>
      <c r="Q128" s="210">
        <f t="shared" si="171"/>
        <v>0</v>
      </c>
      <c r="R128" s="210">
        <f t="shared" si="171"/>
        <v>0</v>
      </c>
      <c r="S128" s="210">
        <f t="shared" si="171"/>
        <v>0</v>
      </c>
      <c r="T128" s="210">
        <f t="shared" si="171"/>
        <v>0</v>
      </c>
      <c r="U128" s="210">
        <f t="shared" si="171"/>
        <v>0</v>
      </c>
      <c r="V128" s="210">
        <f t="shared" si="171"/>
        <v>0</v>
      </c>
      <c r="W128" s="210"/>
      <c r="X128" s="210"/>
      <c r="Y128" s="210">
        <f t="shared" ref="Y128:AR128" si="172">Y58+Y93</f>
        <v>0</v>
      </c>
      <c r="Z128" s="210">
        <f t="shared" si="172"/>
        <v>0</v>
      </c>
      <c r="AA128" s="210">
        <f t="shared" si="172"/>
        <v>0</v>
      </c>
      <c r="AB128" s="210">
        <f t="shared" si="172"/>
        <v>0</v>
      </c>
      <c r="AC128" s="210">
        <f t="shared" si="172"/>
        <v>0</v>
      </c>
      <c r="AD128" s="210">
        <f t="shared" si="172"/>
        <v>0</v>
      </c>
      <c r="AE128" s="210">
        <f t="shared" si="172"/>
        <v>0</v>
      </c>
      <c r="AF128" s="210">
        <f t="shared" si="172"/>
        <v>0</v>
      </c>
      <c r="AG128" s="210">
        <f t="shared" si="172"/>
        <v>0</v>
      </c>
      <c r="AH128" s="210">
        <f t="shared" si="172"/>
        <v>0</v>
      </c>
      <c r="AI128" s="210">
        <f t="shared" si="172"/>
        <v>0</v>
      </c>
      <c r="AJ128" s="210">
        <f t="shared" si="172"/>
        <v>0</v>
      </c>
      <c r="AK128" s="210">
        <f t="shared" si="172"/>
        <v>0</v>
      </c>
      <c r="AL128" s="210">
        <f t="shared" si="172"/>
        <v>0</v>
      </c>
      <c r="AM128" s="210">
        <f t="shared" si="172"/>
        <v>0</v>
      </c>
      <c r="AN128" s="210">
        <f t="shared" si="172"/>
        <v>0</v>
      </c>
      <c r="AO128" s="210">
        <f t="shared" si="172"/>
        <v>0</v>
      </c>
      <c r="AP128" s="210">
        <f t="shared" si="172"/>
        <v>0</v>
      </c>
      <c r="AQ128" s="210">
        <f t="shared" si="172"/>
        <v>0</v>
      </c>
      <c r="AR128" s="210">
        <f t="shared" si="172"/>
        <v>0</v>
      </c>
      <c r="AS128" s="210"/>
      <c r="AT128" s="210"/>
      <c r="AU128" s="210">
        <f t="shared" ref="AU128:BN128" si="173">AU58+AU93</f>
        <v>0</v>
      </c>
      <c r="AV128" s="210">
        <f t="shared" si="173"/>
        <v>0</v>
      </c>
      <c r="AW128" s="210">
        <f t="shared" si="173"/>
        <v>0</v>
      </c>
      <c r="AX128" s="210">
        <f t="shared" si="173"/>
        <v>0</v>
      </c>
      <c r="AY128" s="210">
        <f t="shared" si="173"/>
        <v>0</v>
      </c>
      <c r="AZ128" s="210">
        <f t="shared" si="173"/>
        <v>0</v>
      </c>
      <c r="BA128" s="210">
        <f t="shared" si="173"/>
        <v>0</v>
      </c>
      <c r="BB128" s="210">
        <f t="shared" si="173"/>
        <v>0</v>
      </c>
      <c r="BC128" s="210">
        <f t="shared" si="173"/>
        <v>0</v>
      </c>
      <c r="BD128" s="210">
        <f t="shared" si="173"/>
        <v>0</v>
      </c>
      <c r="BE128" s="210">
        <f t="shared" si="173"/>
        <v>0</v>
      </c>
      <c r="BF128" s="210">
        <f t="shared" si="173"/>
        <v>0</v>
      </c>
      <c r="BG128" s="210">
        <f t="shared" si="173"/>
        <v>0</v>
      </c>
      <c r="BH128" s="210">
        <f t="shared" si="173"/>
        <v>0</v>
      </c>
      <c r="BI128" s="210">
        <f t="shared" si="173"/>
        <v>0</v>
      </c>
      <c r="BJ128" s="210">
        <f t="shared" si="173"/>
        <v>0</v>
      </c>
      <c r="BK128" s="210">
        <f t="shared" si="173"/>
        <v>0</v>
      </c>
      <c r="BL128" s="210">
        <f t="shared" si="173"/>
        <v>0</v>
      </c>
      <c r="BM128" s="210">
        <f t="shared" si="173"/>
        <v>0</v>
      </c>
      <c r="BN128" s="210">
        <f t="shared" si="173"/>
        <v>0</v>
      </c>
    </row>
    <row r="129" spans="1:66">
      <c r="A129" s="209" t="s">
        <v>110</v>
      </c>
      <c r="B129" s="210">
        <f t="shared" ref="B129:V129" si="174">B59+B94</f>
        <v>81.77</v>
      </c>
      <c r="C129" s="210">
        <f t="shared" si="174"/>
        <v>73.593</v>
      </c>
      <c r="D129" s="210">
        <f t="shared" si="174"/>
        <v>65.416</v>
      </c>
      <c r="E129" s="210">
        <f t="shared" si="174"/>
        <v>57.239</v>
      </c>
      <c r="F129" s="210">
        <f t="shared" si="174"/>
        <v>49.062</v>
      </c>
      <c r="G129" s="210">
        <f t="shared" si="174"/>
        <v>40.885</v>
      </c>
      <c r="H129" s="210">
        <f t="shared" si="174"/>
        <v>32.708</v>
      </c>
      <c r="I129" s="210">
        <f t="shared" si="174"/>
        <v>24.531</v>
      </c>
      <c r="J129" s="210">
        <f t="shared" si="174"/>
        <v>16.354</v>
      </c>
      <c r="K129" s="210">
        <f t="shared" si="174"/>
        <v>8.177</v>
      </c>
      <c r="L129" s="210">
        <f t="shared" si="174"/>
        <v>0</v>
      </c>
      <c r="M129" s="210">
        <f t="shared" si="174"/>
        <v>0</v>
      </c>
      <c r="N129" s="210">
        <f t="shared" si="174"/>
        <v>0</v>
      </c>
      <c r="O129" s="210">
        <f t="shared" si="174"/>
        <v>0</v>
      </c>
      <c r="P129" s="210">
        <f t="shared" si="174"/>
        <v>0</v>
      </c>
      <c r="Q129" s="210">
        <f t="shared" si="174"/>
        <v>0</v>
      </c>
      <c r="R129" s="210">
        <f t="shared" si="174"/>
        <v>0</v>
      </c>
      <c r="S129" s="210">
        <f t="shared" si="174"/>
        <v>0</v>
      </c>
      <c r="T129" s="210">
        <f t="shared" si="174"/>
        <v>0</v>
      </c>
      <c r="U129" s="210">
        <f t="shared" si="174"/>
        <v>0</v>
      </c>
      <c r="V129" s="210">
        <f t="shared" si="174"/>
        <v>0</v>
      </c>
      <c r="W129" s="210"/>
      <c r="X129" s="210"/>
      <c r="Y129" s="210">
        <f t="shared" ref="Y129:AR129" si="175">Y59+Y94</f>
        <v>0</v>
      </c>
      <c r="Z129" s="210">
        <f t="shared" si="175"/>
        <v>0</v>
      </c>
      <c r="AA129" s="210">
        <f t="shared" si="175"/>
        <v>0</v>
      </c>
      <c r="AB129" s="210">
        <f t="shared" si="175"/>
        <v>0</v>
      </c>
      <c r="AC129" s="210">
        <f t="shared" si="175"/>
        <v>0</v>
      </c>
      <c r="AD129" s="210">
        <f t="shared" si="175"/>
        <v>0</v>
      </c>
      <c r="AE129" s="210">
        <f t="shared" si="175"/>
        <v>0</v>
      </c>
      <c r="AF129" s="210">
        <f t="shared" si="175"/>
        <v>0</v>
      </c>
      <c r="AG129" s="210">
        <f t="shared" si="175"/>
        <v>0</v>
      </c>
      <c r="AH129" s="210">
        <f t="shared" si="175"/>
        <v>0</v>
      </c>
      <c r="AI129" s="210">
        <f t="shared" si="175"/>
        <v>0</v>
      </c>
      <c r="AJ129" s="210">
        <f t="shared" si="175"/>
        <v>0</v>
      </c>
      <c r="AK129" s="210">
        <f t="shared" si="175"/>
        <v>0</v>
      </c>
      <c r="AL129" s="210">
        <f t="shared" si="175"/>
        <v>0</v>
      </c>
      <c r="AM129" s="210">
        <f t="shared" si="175"/>
        <v>0</v>
      </c>
      <c r="AN129" s="210">
        <f t="shared" si="175"/>
        <v>0</v>
      </c>
      <c r="AO129" s="210">
        <f t="shared" si="175"/>
        <v>0</v>
      </c>
      <c r="AP129" s="210">
        <f t="shared" si="175"/>
        <v>0</v>
      </c>
      <c r="AQ129" s="210">
        <f t="shared" si="175"/>
        <v>0</v>
      </c>
      <c r="AR129" s="210">
        <f t="shared" si="175"/>
        <v>0</v>
      </c>
      <c r="AS129" s="210"/>
      <c r="AT129" s="210"/>
      <c r="AU129" s="210">
        <f t="shared" ref="AU129:BN129" si="176">AU59+AU94</f>
        <v>8.17700000000001</v>
      </c>
      <c r="AV129" s="210">
        <f t="shared" si="176"/>
        <v>8.17699999999999</v>
      </c>
      <c r="AW129" s="210">
        <f t="shared" si="176"/>
        <v>8.177</v>
      </c>
      <c r="AX129" s="210">
        <f t="shared" si="176"/>
        <v>8.177</v>
      </c>
      <c r="AY129" s="210">
        <f t="shared" si="176"/>
        <v>8.177</v>
      </c>
      <c r="AZ129" s="210">
        <f t="shared" si="176"/>
        <v>8.177</v>
      </c>
      <c r="BA129" s="210">
        <f t="shared" si="176"/>
        <v>8.177</v>
      </c>
      <c r="BB129" s="210">
        <f t="shared" si="176"/>
        <v>8.177</v>
      </c>
      <c r="BC129" s="210">
        <f t="shared" si="176"/>
        <v>8.177</v>
      </c>
      <c r="BD129" s="210">
        <f t="shared" si="176"/>
        <v>8.177</v>
      </c>
      <c r="BE129" s="210">
        <f t="shared" si="176"/>
        <v>0</v>
      </c>
      <c r="BF129" s="210">
        <f t="shared" si="176"/>
        <v>0</v>
      </c>
      <c r="BG129" s="210">
        <f t="shared" si="176"/>
        <v>0</v>
      </c>
      <c r="BH129" s="210">
        <f t="shared" si="176"/>
        <v>0</v>
      </c>
      <c r="BI129" s="210">
        <f t="shared" si="176"/>
        <v>0</v>
      </c>
      <c r="BJ129" s="210">
        <f t="shared" si="176"/>
        <v>0</v>
      </c>
      <c r="BK129" s="210">
        <f t="shared" si="176"/>
        <v>0</v>
      </c>
      <c r="BL129" s="210">
        <f t="shared" si="176"/>
        <v>0</v>
      </c>
      <c r="BM129" s="210">
        <f t="shared" si="176"/>
        <v>0</v>
      </c>
      <c r="BN129" s="210">
        <f t="shared" si="176"/>
        <v>0</v>
      </c>
    </row>
    <row r="130" spans="1:66">
      <c r="A130" s="209" t="s">
        <v>112</v>
      </c>
      <c r="B130" s="210">
        <f t="shared" ref="B130:V130" si="177">B60+B95</f>
        <v>0</v>
      </c>
      <c r="C130" s="210">
        <f t="shared" si="177"/>
        <v>1.8</v>
      </c>
      <c r="D130" s="210">
        <f t="shared" si="177"/>
        <v>1.8</v>
      </c>
      <c r="E130" s="210">
        <f t="shared" si="177"/>
        <v>1.8</v>
      </c>
      <c r="F130" s="210">
        <f t="shared" si="177"/>
        <v>0</v>
      </c>
      <c r="G130" s="210">
        <f t="shared" si="177"/>
        <v>0</v>
      </c>
      <c r="H130" s="210">
        <f t="shared" si="177"/>
        <v>0</v>
      </c>
      <c r="I130" s="210">
        <f t="shared" si="177"/>
        <v>0</v>
      </c>
      <c r="J130" s="210">
        <f t="shared" si="177"/>
        <v>0</v>
      </c>
      <c r="K130" s="210">
        <f t="shared" si="177"/>
        <v>0</v>
      </c>
      <c r="L130" s="210">
        <f t="shared" si="177"/>
        <v>0</v>
      </c>
      <c r="M130" s="210">
        <f t="shared" si="177"/>
        <v>0</v>
      </c>
      <c r="N130" s="210">
        <f t="shared" si="177"/>
        <v>0</v>
      </c>
      <c r="O130" s="210">
        <f t="shared" si="177"/>
        <v>0</v>
      </c>
      <c r="P130" s="210">
        <f t="shared" si="177"/>
        <v>0</v>
      </c>
      <c r="Q130" s="210">
        <f t="shared" si="177"/>
        <v>0</v>
      </c>
      <c r="R130" s="210">
        <f t="shared" si="177"/>
        <v>0</v>
      </c>
      <c r="S130" s="210">
        <f t="shared" si="177"/>
        <v>0</v>
      </c>
      <c r="T130" s="210">
        <f t="shared" si="177"/>
        <v>0</v>
      </c>
      <c r="U130" s="210">
        <f t="shared" si="177"/>
        <v>0</v>
      </c>
      <c r="V130" s="210">
        <f t="shared" si="177"/>
        <v>0</v>
      </c>
      <c r="W130" s="210"/>
      <c r="X130" s="210"/>
      <c r="Y130" s="210">
        <f t="shared" ref="Y130:AR130" si="178">Y60+Y95</f>
        <v>1.8</v>
      </c>
      <c r="Z130" s="210">
        <f t="shared" si="178"/>
        <v>0</v>
      </c>
      <c r="AA130" s="210">
        <f t="shared" si="178"/>
        <v>0</v>
      </c>
      <c r="AB130" s="210">
        <f t="shared" si="178"/>
        <v>0</v>
      </c>
      <c r="AC130" s="210">
        <f t="shared" si="178"/>
        <v>0</v>
      </c>
      <c r="AD130" s="210">
        <f t="shared" si="178"/>
        <v>0</v>
      </c>
      <c r="AE130" s="210">
        <f t="shared" si="178"/>
        <v>0</v>
      </c>
      <c r="AF130" s="210">
        <f t="shared" si="178"/>
        <v>0</v>
      </c>
      <c r="AG130" s="210">
        <f t="shared" si="178"/>
        <v>0</v>
      </c>
      <c r="AH130" s="210">
        <f t="shared" si="178"/>
        <v>0</v>
      </c>
      <c r="AI130" s="210">
        <f t="shared" si="178"/>
        <v>0</v>
      </c>
      <c r="AJ130" s="210">
        <f t="shared" si="178"/>
        <v>0</v>
      </c>
      <c r="AK130" s="210">
        <f t="shared" si="178"/>
        <v>0</v>
      </c>
      <c r="AL130" s="210">
        <f t="shared" si="178"/>
        <v>0</v>
      </c>
      <c r="AM130" s="210">
        <f t="shared" si="178"/>
        <v>0</v>
      </c>
      <c r="AN130" s="210">
        <f t="shared" si="178"/>
        <v>0</v>
      </c>
      <c r="AO130" s="210">
        <f t="shared" si="178"/>
        <v>0</v>
      </c>
      <c r="AP130" s="210">
        <f t="shared" si="178"/>
        <v>0</v>
      </c>
      <c r="AQ130" s="210">
        <f t="shared" si="178"/>
        <v>0</v>
      </c>
      <c r="AR130" s="210">
        <f t="shared" si="178"/>
        <v>0</v>
      </c>
      <c r="AS130" s="210"/>
      <c r="AT130" s="210"/>
      <c r="AU130" s="210">
        <f t="shared" ref="AU130:BN130" si="179">AU60+AU95</f>
        <v>0</v>
      </c>
      <c r="AV130" s="210">
        <f t="shared" si="179"/>
        <v>0</v>
      </c>
      <c r="AW130" s="210">
        <f t="shared" si="179"/>
        <v>0</v>
      </c>
      <c r="AX130" s="210">
        <f t="shared" si="179"/>
        <v>1.8</v>
      </c>
      <c r="AY130" s="210">
        <f t="shared" si="179"/>
        <v>0</v>
      </c>
      <c r="AZ130" s="210">
        <f t="shared" si="179"/>
        <v>0</v>
      </c>
      <c r="BA130" s="210">
        <f t="shared" si="179"/>
        <v>0</v>
      </c>
      <c r="BB130" s="210">
        <f t="shared" si="179"/>
        <v>0</v>
      </c>
      <c r="BC130" s="210">
        <f t="shared" si="179"/>
        <v>0</v>
      </c>
      <c r="BD130" s="210">
        <f t="shared" si="179"/>
        <v>0</v>
      </c>
      <c r="BE130" s="210">
        <f t="shared" si="179"/>
        <v>0</v>
      </c>
      <c r="BF130" s="210">
        <f t="shared" si="179"/>
        <v>0</v>
      </c>
      <c r="BG130" s="210">
        <f t="shared" si="179"/>
        <v>0</v>
      </c>
      <c r="BH130" s="210">
        <f t="shared" si="179"/>
        <v>0</v>
      </c>
      <c r="BI130" s="210">
        <f t="shared" si="179"/>
        <v>0</v>
      </c>
      <c r="BJ130" s="210">
        <f t="shared" si="179"/>
        <v>0</v>
      </c>
      <c r="BK130" s="210">
        <f t="shared" si="179"/>
        <v>0</v>
      </c>
      <c r="BL130" s="210">
        <f t="shared" si="179"/>
        <v>0</v>
      </c>
      <c r="BM130" s="210">
        <f t="shared" si="179"/>
        <v>0</v>
      </c>
      <c r="BN130" s="210">
        <f t="shared" si="179"/>
        <v>0</v>
      </c>
    </row>
    <row r="131" spans="1:66">
      <c r="A131" s="209" t="s">
        <v>114</v>
      </c>
      <c r="B131" s="210">
        <f t="shared" ref="B131:V131" si="180">B61+B96</f>
        <v>37.65</v>
      </c>
      <c r="C131" s="210">
        <f t="shared" si="180"/>
        <v>33.885</v>
      </c>
      <c r="D131" s="210">
        <f t="shared" si="180"/>
        <v>30.12</v>
      </c>
      <c r="E131" s="210">
        <f t="shared" si="180"/>
        <v>26.355</v>
      </c>
      <c r="F131" s="210">
        <f t="shared" si="180"/>
        <v>22.59</v>
      </c>
      <c r="G131" s="210">
        <f t="shared" si="180"/>
        <v>21.825</v>
      </c>
      <c r="H131" s="210">
        <f t="shared" si="180"/>
        <v>18.66</v>
      </c>
      <c r="I131" s="210">
        <f t="shared" si="180"/>
        <v>14.495</v>
      </c>
      <c r="J131" s="210">
        <f t="shared" si="180"/>
        <v>10.33</v>
      </c>
      <c r="K131" s="210">
        <f t="shared" si="180"/>
        <v>6.165</v>
      </c>
      <c r="L131" s="210">
        <f t="shared" si="180"/>
        <v>2</v>
      </c>
      <c r="M131" s="210">
        <f t="shared" si="180"/>
        <v>1.6</v>
      </c>
      <c r="N131" s="210">
        <f t="shared" si="180"/>
        <v>1.2</v>
      </c>
      <c r="O131" s="210">
        <f t="shared" si="180"/>
        <v>0.800000000000001</v>
      </c>
      <c r="P131" s="210">
        <f t="shared" si="180"/>
        <v>0.400000000000001</v>
      </c>
      <c r="Q131" s="210">
        <f t="shared" si="180"/>
        <v>0</v>
      </c>
      <c r="R131" s="210">
        <f t="shared" si="180"/>
        <v>0</v>
      </c>
      <c r="S131" s="210">
        <f t="shared" si="180"/>
        <v>0</v>
      </c>
      <c r="T131" s="210">
        <f t="shared" si="180"/>
        <v>0</v>
      </c>
      <c r="U131" s="210">
        <f t="shared" si="180"/>
        <v>0</v>
      </c>
      <c r="V131" s="210">
        <f t="shared" si="180"/>
        <v>0</v>
      </c>
      <c r="W131" s="210"/>
      <c r="X131" s="210"/>
      <c r="Y131" s="210">
        <f t="shared" ref="Y131:AR131" si="181">Y61+Y96</f>
        <v>0</v>
      </c>
      <c r="Z131" s="210">
        <f t="shared" si="181"/>
        <v>0</v>
      </c>
      <c r="AA131" s="210">
        <f t="shared" si="181"/>
        <v>0</v>
      </c>
      <c r="AB131" s="210">
        <f t="shared" si="181"/>
        <v>0</v>
      </c>
      <c r="AC131" s="210">
        <f t="shared" si="181"/>
        <v>3</v>
      </c>
      <c r="AD131" s="210">
        <f t="shared" si="181"/>
        <v>0.6</v>
      </c>
      <c r="AE131" s="210">
        <f t="shared" si="181"/>
        <v>0</v>
      </c>
      <c r="AF131" s="210">
        <f t="shared" si="181"/>
        <v>0</v>
      </c>
      <c r="AG131" s="210">
        <f t="shared" si="181"/>
        <v>0</v>
      </c>
      <c r="AH131" s="210">
        <f t="shared" si="181"/>
        <v>0</v>
      </c>
      <c r="AI131" s="210">
        <f t="shared" si="181"/>
        <v>0</v>
      </c>
      <c r="AJ131" s="210">
        <f t="shared" si="181"/>
        <v>0</v>
      </c>
      <c r="AK131" s="210">
        <f t="shared" si="181"/>
        <v>0</v>
      </c>
      <c r="AL131" s="210">
        <f t="shared" si="181"/>
        <v>0</v>
      </c>
      <c r="AM131" s="210">
        <f t="shared" si="181"/>
        <v>0</v>
      </c>
      <c r="AN131" s="210">
        <f t="shared" si="181"/>
        <v>0</v>
      </c>
      <c r="AO131" s="210">
        <f t="shared" si="181"/>
        <v>0</v>
      </c>
      <c r="AP131" s="210">
        <f t="shared" si="181"/>
        <v>0</v>
      </c>
      <c r="AQ131" s="210">
        <f t="shared" si="181"/>
        <v>0</v>
      </c>
      <c r="AR131" s="210">
        <f t="shared" si="181"/>
        <v>0</v>
      </c>
      <c r="AS131" s="210"/>
      <c r="AT131" s="210"/>
      <c r="AU131" s="210">
        <f t="shared" ref="AU131:BN131" si="182">AU61+AU96</f>
        <v>3.765</v>
      </c>
      <c r="AV131" s="210">
        <f t="shared" si="182"/>
        <v>3.765</v>
      </c>
      <c r="AW131" s="210">
        <f t="shared" si="182"/>
        <v>3.765</v>
      </c>
      <c r="AX131" s="210">
        <f t="shared" si="182"/>
        <v>3.765</v>
      </c>
      <c r="AY131" s="210">
        <f t="shared" si="182"/>
        <v>3.765</v>
      </c>
      <c r="AZ131" s="210">
        <f t="shared" si="182"/>
        <v>3.765</v>
      </c>
      <c r="BA131" s="210">
        <f t="shared" si="182"/>
        <v>4.165</v>
      </c>
      <c r="BB131" s="210">
        <f t="shared" si="182"/>
        <v>4.165</v>
      </c>
      <c r="BC131" s="210">
        <f t="shared" si="182"/>
        <v>4.165</v>
      </c>
      <c r="BD131" s="210">
        <f t="shared" si="182"/>
        <v>4.165</v>
      </c>
      <c r="BE131" s="210">
        <f t="shared" si="182"/>
        <v>0.4</v>
      </c>
      <c r="BF131" s="210">
        <f t="shared" si="182"/>
        <v>0.4</v>
      </c>
      <c r="BG131" s="210">
        <f t="shared" si="182"/>
        <v>0.4</v>
      </c>
      <c r="BH131" s="210">
        <f t="shared" si="182"/>
        <v>0.4</v>
      </c>
      <c r="BI131" s="210">
        <f t="shared" si="182"/>
        <v>0.400000000000001</v>
      </c>
      <c r="BJ131" s="210">
        <f t="shared" si="182"/>
        <v>0</v>
      </c>
      <c r="BK131" s="210">
        <f t="shared" si="182"/>
        <v>0</v>
      </c>
      <c r="BL131" s="210">
        <f t="shared" si="182"/>
        <v>0</v>
      </c>
      <c r="BM131" s="210">
        <f t="shared" si="182"/>
        <v>0</v>
      </c>
      <c r="BN131" s="210">
        <f t="shared" si="182"/>
        <v>0</v>
      </c>
    </row>
    <row r="132" spans="1:66">
      <c r="A132" s="209" t="s">
        <v>116</v>
      </c>
      <c r="B132" s="210">
        <f t="shared" ref="B132:V132" si="183">B62+B97</f>
        <v>0</v>
      </c>
      <c r="C132" s="210">
        <f t="shared" si="183"/>
        <v>0.58</v>
      </c>
      <c r="D132" s="210">
        <f t="shared" si="183"/>
        <v>1.16</v>
      </c>
      <c r="E132" s="210">
        <f t="shared" si="183"/>
        <v>1.74</v>
      </c>
      <c r="F132" s="210">
        <f t="shared" si="183"/>
        <v>10.32</v>
      </c>
      <c r="G132" s="210">
        <f t="shared" si="183"/>
        <v>4.9</v>
      </c>
      <c r="H132" s="210">
        <f t="shared" si="183"/>
        <v>4.68</v>
      </c>
      <c r="I132" s="210">
        <f t="shared" si="183"/>
        <v>5.26</v>
      </c>
      <c r="J132" s="210">
        <f t="shared" si="183"/>
        <v>5.84</v>
      </c>
      <c r="K132" s="210">
        <f t="shared" si="183"/>
        <v>6.42</v>
      </c>
      <c r="L132" s="210">
        <f t="shared" si="183"/>
        <v>7</v>
      </c>
      <c r="M132" s="210">
        <f t="shared" si="183"/>
        <v>7</v>
      </c>
      <c r="N132" s="210">
        <f t="shared" si="183"/>
        <v>7</v>
      </c>
      <c r="O132" s="210">
        <f t="shared" si="183"/>
        <v>7</v>
      </c>
      <c r="P132" s="210">
        <f t="shared" si="183"/>
        <v>7</v>
      </c>
      <c r="Q132" s="210">
        <f t="shared" si="183"/>
        <v>7</v>
      </c>
      <c r="R132" s="210">
        <f t="shared" si="183"/>
        <v>7</v>
      </c>
      <c r="S132" s="210">
        <f t="shared" si="183"/>
        <v>7</v>
      </c>
      <c r="T132" s="210">
        <f t="shared" si="183"/>
        <v>7</v>
      </c>
      <c r="U132" s="210">
        <f t="shared" si="183"/>
        <v>6</v>
      </c>
      <c r="V132" s="210">
        <f t="shared" si="183"/>
        <v>6</v>
      </c>
      <c r="W132" s="210"/>
      <c r="X132" s="210"/>
      <c r="Y132" s="210">
        <f t="shared" ref="Y132:AR132" si="184">Y62+Y97</f>
        <v>0.58</v>
      </c>
      <c r="Z132" s="210">
        <f t="shared" si="184"/>
        <v>0.58</v>
      </c>
      <c r="AA132" s="210">
        <f t="shared" si="184"/>
        <v>0.58</v>
      </c>
      <c r="AB132" s="210">
        <f t="shared" si="184"/>
        <v>8.58</v>
      </c>
      <c r="AC132" s="210">
        <f t="shared" si="184"/>
        <v>0.58</v>
      </c>
      <c r="AD132" s="210">
        <f t="shared" si="184"/>
        <v>0.58</v>
      </c>
      <c r="AE132" s="210">
        <f t="shared" si="184"/>
        <v>0.58</v>
      </c>
      <c r="AF132" s="210">
        <f t="shared" si="184"/>
        <v>0.58</v>
      </c>
      <c r="AG132" s="210">
        <f t="shared" si="184"/>
        <v>0.58</v>
      </c>
      <c r="AH132" s="210">
        <f t="shared" si="184"/>
        <v>0.58</v>
      </c>
      <c r="AI132" s="210">
        <f t="shared" si="184"/>
        <v>0</v>
      </c>
      <c r="AJ132" s="210">
        <f t="shared" si="184"/>
        <v>0</v>
      </c>
      <c r="AK132" s="210">
        <f t="shared" si="184"/>
        <v>0</v>
      </c>
      <c r="AL132" s="210">
        <f t="shared" si="184"/>
        <v>0</v>
      </c>
      <c r="AM132" s="210">
        <f t="shared" si="184"/>
        <v>0</v>
      </c>
      <c r="AN132" s="210">
        <f t="shared" si="184"/>
        <v>0</v>
      </c>
      <c r="AO132" s="210">
        <f t="shared" si="184"/>
        <v>0</v>
      </c>
      <c r="AP132" s="210">
        <f t="shared" si="184"/>
        <v>0</v>
      </c>
      <c r="AQ132" s="210">
        <f t="shared" si="184"/>
        <v>0</v>
      </c>
      <c r="AR132" s="210">
        <f t="shared" si="184"/>
        <v>0</v>
      </c>
      <c r="AS132" s="210"/>
      <c r="AT132" s="210"/>
      <c r="AU132" s="210">
        <f t="shared" ref="AU132:BN132" si="185">AU62+AU97</f>
        <v>0</v>
      </c>
      <c r="AV132" s="210">
        <f t="shared" si="185"/>
        <v>0</v>
      </c>
      <c r="AW132" s="210">
        <f t="shared" si="185"/>
        <v>0</v>
      </c>
      <c r="AX132" s="210">
        <f t="shared" si="185"/>
        <v>0</v>
      </c>
      <c r="AY132" s="210">
        <f t="shared" si="185"/>
        <v>6</v>
      </c>
      <c r="AZ132" s="210">
        <f t="shared" si="185"/>
        <v>0.8</v>
      </c>
      <c r="BA132" s="210">
        <f t="shared" si="185"/>
        <v>0</v>
      </c>
      <c r="BB132" s="210">
        <f t="shared" si="185"/>
        <v>0</v>
      </c>
      <c r="BC132" s="210">
        <f t="shared" si="185"/>
        <v>0</v>
      </c>
      <c r="BD132" s="210">
        <f t="shared" si="185"/>
        <v>0</v>
      </c>
      <c r="BE132" s="210">
        <f t="shared" si="185"/>
        <v>0</v>
      </c>
      <c r="BF132" s="210">
        <f t="shared" si="185"/>
        <v>0</v>
      </c>
      <c r="BG132" s="210">
        <f t="shared" si="185"/>
        <v>0</v>
      </c>
      <c r="BH132" s="210">
        <f t="shared" si="185"/>
        <v>0</v>
      </c>
      <c r="BI132" s="210">
        <f t="shared" si="185"/>
        <v>0</v>
      </c>
      <c r="BJ132" s="210">
        <f t="shared" si="185"/>
        <v>0</v>
      </c>
      <c r="BK132" s="210">
        <f t="shared" si="185"/>
        <v>0</v>
      </c>
      <c r="BL132" s="210">
        <f t="shared" si="185"/>
        <v>0</v>
      </c>
      <c r="BM132" s="210">
        <f t="shared" si="185"/>
        <v>1</v>
      </c>
      <c r="BN132" s="210">
        <f t="shared" si="185"/>
        <v>0</v>
      </c>
    </row>
    <row r="133" spans="1:66">
      <c r="A133" s="209" t="s">
        <v>118</v>
      </c>
      <c r="B133" s="210">
        <f t="shared" ref="B133:V133" si="186">B63+B98</f>
        <v>979</v>
      </c>
      <c r="C133" s="210">
        <f t="shared" si="186"/>
        <v>940.2791</v>
      </c>
      <c r="D133" s="210">
        <f t="shared" si="186"/>
        <v>891.3192</v>
      </c>
      <c r="E133" s="210">
        <f t="shared" si="186"/>
        <v>842.3593</v>
      </c>
      <c r="F133" s="210">
        <f t="shared" si="186"/>
        <v>791.2994</v>
      </c>
      <c r="G133" s="210">
        <f t="shared" si="186"/>
        <v>727.7995</v>
      </c>
      <c r="H133" s="210">
        <f t="shared" si="186"/>
        <v>516.7296</v>
      </c>
      <c r="I133" s="210">
        <f t="shared" si="186"/>
        <v>435.781922222222</v>
      </c>
      <c r="J133" s="210">
        <f t="shared" si="186"/>
        <v>354.834244444444</v>
      </c>
      <c r="K133" s="210">
        <f t="shared" si="186"/>
        <v>273.886566666667</v>
      </c>
      <c r="L133" s="210">
        <f t="shared" si="186"/>
        <v>192.938888888889</v>
      </c>
      <c r="M133" s="210">
        <f t="shared" si="186"/>
        <v>160.951111111111</v>
      </c>
      <c r="N133" s="210">
        <f t="shared" si="186"/>
        <v>128.963333333333</v>
      </c>
      <c r="O133" s="210">
        <f t="shared" si="186"/>
        <v>96.9755555555556</v>
      </c>
      <c r="P133" s="210">
        <f t="shared" si="186"/>
        <v>64.9877777777778</v>
      </c>
      <c r="Q133" s="210">
        <f t="shared" si="186"/>
        <v>33</v>
      </c>
      <c r="R133" s="210">
        <f t="shared" si="186"/>
        <v>21</v>
      </c>
      <c r="S133" s="210">
        <f t="shared" si="186"/>
        <v>0</v>
      </c>
      <c r="T133" s="210">
        <f t="shared" si="186"/>
        <v>0</v>
      </c>
      <c r="U133" s="210">
        <f t="shared" si="186"/>
        <v>0</v>
      </c>
      <c r="V133" s="210">
        <f t="shared" si="186"/>
        <v>0</v>
      </c>
      <c r="W133" s="210"/>
      <c r="X133" s="210"/>
      <c r="Y133" s="210">
        <f t="shared" ref="Y133:AR133" si="187">Y63+Y98</f>
        <v>10.239</v>
      </c>
      <c r="Z133" s="210">
        <f t="shared" si="187"/>
        <v>0</v>
      </c>
      <c r="AA133" s="210">
        <f t="shared" si="187"/>
        <v>0</v>
      </c>
      <c r="AB133" s="210">
        <f t="shared" si="187"/>
        <v>0</v>
      </c>
      <c r="AC133" s="210">
        <f t="shared" si="187"/>
        <v>0</v>
      </c>
      <c r="AD133" s="210">
        <f t="shared" si="187"/>
        <v>0</v>
      </c>
      <c r="AE133" s="210">
        <f t="shared" si="187"/>
        <v>0</v>
      </c>
      <c r="AF133" s="210">
        <f t="shared" si="187"/>
        <v>0</v>
      </c>
      <c r="AG133" s="210">
        <f t="shared" si="187"/>
        <v>0</v>
      </c>
      <c r="AH133" s="210">
        <f t="shared" si="187"/>
        <v>0</v>
      </c>
      <c r="AI133" s="210">
        <f t="shared" si="187"/>
        <v>0</v>
      </c>
      <c r="AJ133" s="210">
        <f t="shared" si="187"/>
        <v>0</v>
      </c>
      <c r="AK133" s="210">
        <f t="shared" si="187"/>
        <v>0</v>
      </c>
      <c r="AL133" s="210">
        <f t="shared" si="187"/>
        <v>0</v>
      </c>
      <c r="AM133" s="210">
        <f t="shared" si="187"/>
        <v>0</v>
      </c>
      <c r="AN133" s="210">
        <f t="shared" si="187"/>
        <v>0</v>
      </c>
      <c r="AO133" s="210">
        <f t="shared" si="187"/>
        <v>0</v>
      </c>
      <c r="AP133" s="210">
        <f t="shared" si="187"/>
        <v>0</v>
      </c>
      <c r="AQ133" s="210">
        <f t="shared" si="187"/>
        <v>0</v>
      </c>
      <c r="AR133" s="210">
        <f t="shared" si="187"/>
        <v>0</v>
      </c>
      <c r="AS133" s="210"/>
      <c r="AT133" s="210"/>
      <c r="AU133" s="210">
        <f t="shared" ref="AU133:BN133" si="188">AU63+AU98</f>
        <v>48.9599</v>
      </c>
      <c r="AV133" s="210">
        <f t="shared" si="188"/>
        <v>48.9599</v>
      </c>
      <c r="AW133" s="210">
        <f t="shared" si="188"/>
        <v>48.9599</v>
      </c>
      <c r="AX133" s="210">
        <f t="shared" si="188"/>
        <v>51.0599</v>
      </c>
      <c r="AY133" s="210">
        <f t="shared" si="188"/>
        <v>63.4999</v>
      </c>
      <c r="AZ133" s="210">
        <f t="shared" si="188"/>
        <v>211.0699</v>
      </c>
      <c r="BA133" s="210">
        <f t="shared" si="188"/>
        <v>80.9476777777778</v>
      </c>
      <c r="BB133" s="210">
        <f t="shared" si="188"/>
        <v>80.9476777777778</v>
      </c>
      <c r="BC133" s="210">
        <f t="shared" si="188"/>
        <v>80.9476777777778</v>
      </c>
      <c r="BD133" s="210">
        <f t="shared" si="188"/>
        <v>80.9476777777777</v>
      </c>
      <c r="BE133" s="210">
        <f t="shared" si="188"/>
        <v>31.9877777777778</v>
      </c>
      <c r="BF133" s="210">
        <f t="shared" si="188"/>
        <v>31.9877777777778</v>
      </c>
      <c r="BG133" s="210">
        <f t="shared" si="188"/>
        <v>31.9877777777778</v>
      </c>
      <c r="BH133" s="210">
        <f t="shared" si="188"/>
        <v>31.9877777777778</v>
      </c>
      <c r="BI133" s="210">
        <f t="shared" si="188"/>
        <v>31.9877777777778</v>
      </c>
      <c r="BJ133" s="210">
        <f t="shared" si="188"/>
        <v>12</v>
      </c>
      <c r="BK133" s="210">
        <f t="shared" si="188"/>
        <v>21</v>
      </c>
      <c r="BL133" s="210">
        <f t="shared" si="188"/>
        <v>0</v>
      </c>
      <c r="BM133" s="210">
        <f t="shared" si="188"/>
        <v>0</v>
      </c>
      <c r="BN133" s="210">
        <f t="shared" si="188"/>
        <v>0</v>
      </c>
    </row>
    <row r="134" spans="1:66">
      <c r="A134" s="209" t="s">
        <v>819</v>
      </c>
      <c r="B134" s="210">
        <f t="shared" ref="B134:V134" si="189">B64+B99</f>
        <v>4.86</v>
      </c>
      <c r="C134" s="210">
        <f t="shared" si="189"/>
        <v>5.243</v>
      </c>
      <c r="D134" s="210">
        <f t="shared" si="189"/>
        <v>5.136</v>
      </c>
      <c r="E134" s="210">
        <f t="shared" si="189"/>
        <v>5.029</v>
      </c>
      <c r="F134" s="210">
        <f t="shared" si="189"/>
        <v>0.642</v>
      </c>
      <c r="G134" s="210">
        <f t="shared" si="189"/>
        <v>0.535</v>
      </c>
      <c r="H134" s="210">
        <f t="shared" si="189"/>
        <v>0.428</v>
      </c>
      <c r="I134" s="210">
        <f t="shared" si="189"/>
        <v>0.321</v>
      </c>
      <c r="J134" s="210">
        <f t="shared" si="189"/>
        <v>0.214</v>
      </c>
      <c r="K134" s="210">
        <f t="shared" si="189"/>
        <v>0.107</v>
      </c>
      <c r="L134" s="210">
        <f t="shared" si="189"/>
        <v>0</v>
      </c>
      <c r="M134" s="210">
        <f t="shared" si="189"/>
        <v>0</v>
      </c>
      <c r="N134" s="210">
        <f t="shared" si="189"/>
        <v>0</v>
      </c>
      <c r="O134" s="210">
        <f t="shared" si="189"/>
        <v>0</v>
      </c>
      <c r="P134" s="210">
        <f t="shared" si="189"/>
        <v>0</v>
      </c>
      <c r="Q134" s="210">
        <f t="shared" si="189"/>
        <v>0</v>
      </c>
      <c r="R134" s="210">
        <f t="shared" si="189"/>
        <v>0</v>
      </c>
      <c r="S134" s="210">
        <f t="shared" si="189"/>
        <v>0</v>
      </c>
      <c r="T134" s="210">
        <f t="shared" si="189"/>
        <v>0</v>
      </c>
      <c r="U134" s="210">
        <f t="shared" si="189"/>
        <v>0</v>
      </c>
      <c r="V134" s="210">
        <f t="shared" si="189"/>
        <v>0</v>
      </c>
      <c r="W134" s="210"/>
      <c r="X134" s="210"/>
      <c r="Y134" s="210">
        <f t="shared" ref="Y134:AR134" si="190">Y64+Y99</f>
        <v>0.49</v>
      </c>
      <c r="Z134" s="210">
        <f t="shared" si="190"/>
        <v>0</v>
      </c>
      <c r="AA134" s="210">
        <f t="shared" si="190"/>
        <v>0</v>
      </c>
      <c r="AB134" s="210">
        <f t="shared" si="190"/>
        <v>0</v>
      </c>
      <c r="AC134" s="210">
        <f t="shared" si="190"/>
        <v>0</v>
      </c>
      <c r="AD134" s="210">
        <f t="shared" si="190"/>
        <v>0</v>
      </c>
      <c r="AE134" s="210">
        <f t="shared" si="190"/>
        <v>0</v>
      </c>
      <c r="AF134" s="210">
        <f t="shared" si="190"/>
        <v>0</v>
      </c>
      <c r="AG134" s="210">
        <f t="shared" si="190"/>
        <v>0</v>
      </c>
      <c r="AH134" s="210">
        <f t="shared" si="190"/>
        <v>0</v>
      </c>
      <c r="AI134" s="210">
        <f t="shared" si="190"/>
        <v>0</v>
      </c>
      <c r="AJ134" s="210">
        <f t="shared" si="190"/>
        <v>0</v>
      </c>
      <c r="AK134" s="210">
        <f t="shared" si="190"/>
        <v>0</v>
      </c>
      <c r="AL134" s="210">
        <f t="shared" si="190"/>
        <v>0</v>
      </c>
      <c r="AM134" s="210">
        <f t="shared" si="190"/>
        <v>0</v>
      </c>
      <c r="AN134" s="210">
        <f t="shared" si="190"/>
        <v>0</v>
      </c>
      <c r="AO134" s="210">
        <f t="shared" si="190"/>
        <v>0</v>
      </c>
      <c r="AP134" s="210">
        <f t="shared" si="190"/>
        <v>0</v>
      </c>
      <c r="AQ134" s="210">
        <f t="shared" si="190"/>
        <v>0</v>
      </c>
      <c r="AR134" s="210">
        <f t="shared" si="190"/>
        <v>0</v>
      </c>
      <c r="AS134" s="210"/>
      <c r="AT134" s="210"/>
      <c r="AU134" s="210">
        <f t="shared" ref="AU134:BN134" si="191">AU64+AU99</f>
        <v>0.107</v>
      </c>
      <c r="AV134" s="210">
        <f t="shared" si="191"/>
        <v>0.107</v>
      </c>
      <c r="AW134" s="210">
        <f t="shared" si="191"/>
        <v>0.107</v>
      </c>
      <c r="AX134" s="210">
        <f t="shared" si="191"/>
        <v>4.387</v>
      </c>
      <c r="AY134" s="210">
        <f t="shared" si="191"/>
        <v>0.107</v>
      </c>
      <c r="AZ134" s="210">
        <f t="shared" si="191"/>
        <v>0.107</v>
      </c>
      <c r="BA134" s="210">
        <f t="shared" si="191"/>
        <v>0.107</v>
      </c>
      <c r="BB134" s="210">
        <f t="shared" si="191"/>
        <v>0.107</v>
      </c>
      <c r="BC134" s="210">
        <f t="shared" si="191"/>
        <v>0.107</v>
      </c>
      <c r="BD134" s="210">
        <f t="shared" si="191"/>
        <v>0.107</v>
      </c>
      <c r="BE134" s="210">
        <f t="shared" si="191"/>
        <v>0</v>
      </c>
      <c r="BF134" s="210">
        <f t="shared" si="191"/>
        <v>0</v>
      </c>
      <c r="BG134" s="210">
        <f t="shared" si="191"/>
        <v>0</v>
      </c>
      <c r="BH134" s="210">
        <f t="shared" si="191"/>
        <v>0</v>
      </c>
      <c r="BI134" s="210">
        <f t="shared" si="191"/>
        <v>0</v>
      </c>
      <c r="BJ134" s="210">
        <f t="shared" si="191"/>
        <v>0</v>
      </c>
      <c r="BK134" s="210">
        <f t="shared" si="191"/>
        <v>0</v>
      </c>
      <c r="BL134" s="210">
        <f t="shared" si="191"/>
        <v>0</v>
      </c>
      <c r="BM134" s="210">
        <f t="shared" si="191"/>
        <v>0</v>
      </c>
      <c r="BN134" s="210">
        <f t="shared" si="191"/>
        <v>0</v>
      </c>
    </row>
    <row r="135" spans="1:66">
      <c r="A135" s="209" t="s">
        <v>122</v>
      </c>
      <c r="B135" s="210">
        <f t="shared" ref="B135:V135" si="192">B65+B100</f>
        <v>54.56</v>
      </c>
      <c r="C135" s="210">
        <f t="shared" si="192"/>
        <v>80.474</v>
      </c>
      <c r="D135" s="210">
        <f t="shared" si="192"/>
        <v>75.018</v>
      </c>
      <c r="E135" s="210">
        <f t="shared" si="192"/>
        <v>69.562</v>
      </c>
      <c r="F135" s="210">
        <f t="shared" si="192"/>
        <v>32.736</v>
      </c>
      <c r="G135" s="210">
        <f t="shared" si="192"/>
        <v>27.28</v>
      </c>
      <c r="H135" s="210">
        <f t="shared" si="192"/>
        <v>21.824</v>
      </c>
      <c r="I135" s="210">
        <f t="shared" si="192"/>
        <v>18.368</v>
      </c>
      <c r="J135" s="210">
        <f t="shared" si="192"/>
        <v>13.082</v>
      </c>
      <c r="K135" s="210">
        <f t="shared" si="192"/>
        <v>8.10599999999999</v>
      </c>
      <c r="L135" s="210">
        <f t="shared" si="192"/>
        <v>2.20833333333333</v>
      </c>
      <c r="M135" s="210">
        <f t="shared" si="192"/>
        <v>1.76666666666667</v>
      </c>
      <c r="N135" s="210">
        <f t="shared" si="192"/>
        <v>1.325</v>
      </c>
      <c r="O135" s="210">
        <f t="shared" si="192"/>
        <v>0.883333333333333</v>
      </c>
      <c r="P135" s="210">
        <f t="shared" si="192"/>
        <v>0.441666666666666</v>
      </c>
      <c r="Q135" s="210">
        <f t="shared" si="192"/>
        <v>0</v>
      </c>
      <c r="R135" s="210">
        <f t="shared" si="192"/>
        <v>0</v>
      </c>
      <c r="S135" s="210">
        <f t="shared" si="192"/>
        <v>0</v>
      </c>
      <c r="T135" s="210">
        <f t="shared" si="192"/>
        <v>0</v>
      </c>
      <c r="U135" s="210">
        <f t="shared" si="192"/>
        <v>0</v>
      </c>
      <c r="V135" s="210">
        <f t="shared" si="192"/>
        <v>0</v>
      </c>
      <c r="W135" s="210"/>
      <c r="X135" s="210"/>
      <c r="Y135" s="210">
        <f t="shared" ref="Y135:AR135" si="193">Y65+Y100</f>
        <v>31.37</v>
      </c>
      <c r="Z135" s="210">
        <f t="shared" si="193"/>
        <v>0</v>
      </c>
      <c r="AA135" s="210">
        <f t="shared" si="193"/>
        <v>0</v>
      </c>
      <c r="AB135" s="210">
        <f t="shared" si="193"/>
        <v>0</v>
      </c>
      <c r="AC135" s="210">
        <f t="shared" si="193"/>
        <v>0</v>
      </c>
      <c r="AD135" s="210">
        <f t="shared" si="193"/>
        <v>0</v>
      </c>
      <c r="AE135" s="210">
        <f t="shared" si="193"/>
        <v>2</v>
      </c>
      <c r="AF135" s="210">
        <f t="shared" si="193"/>
        <v>0.17</v>
      </c>
      <c r="AG135" s="210">
        <f t="shared" si="193"/>
        <v>0.48</v>
      </c>
      <c r="AH135" s="210">
        <f t="shared" si="193"/>
        <v>0</v>
      </c>
      <c r="AI135" s="210">
        <f t="shared" si="193"/>
        <v>0</v>
      </c>
      <c r="AJ135" s="210">
        <f t="shared" si="193"/>
        <v>0</v>
      </c>
      <c r="AK135" s="210">
        <f t="shared" si="193"/>
        <v>0</v>
      </c>
      <c r="AL135" s="210">
        <f t="shared" si="193"/>
        <v>0</v>
      </c>
      <c r="AM135" s="210">
        <f t="shared" si="193"/>
        <v>0</v>
      </c>
      <c r="AN135" s="210">
        <f t="shared" si="193"/>
        <v>0</v>
      </c>
      <c r="AO135" s="210">
        <f t="shared" si="193"/>
        <v>0</v>
      </c>
      <c r="AP135" s="210">
        <f t="shared" si="193"/>
        <v>0</v>
      </c>
      <c r="AQ135" s="210">
        <f t="shared" si="193"/>
        <v>0</v>
      </c>
      <c r="AR135" s="210">
        <f t="shared" si="193"/>
        <v>0</v>
      </c>
      <c r="AS135" s="210"/>
      <c r="AT135" s="210"/>
      <c r="AU135" s="210">
        <f t="shared" ref="AU135:BN135" si="194">AU65+AU100</f>
        <v>5.456</v>
      </c>
      <c r="AV135" s="210">
        <f t="shared" si="194"/>
        <v>5.456</v>
      </c>
      <c r="AW135" s="210">
        <f t="shared" si="194"/>
        <v>5.456</v>
      </c>
      <c r="AX135" s="210">
        <f t="shared" si="194"/>
        <v>36.826</v>
      </c>
      <c r="AY135" s="210">
        <f t="shared" si="194"/>
        <v>5.456</v>
      </c>
      <c r="AZ135" s="210">
        <f t="shared" si="194"/>
        <v>5.456</v>
      </c>
      <c r="BA135" s="210">
        <f t="shared" si="194"/>
        <v>5.456</v>
      </c>
      <c r="BB135" s="210">
        <f t="shared" si="194"/>
        <v>5.456</v>
      </c>
      <c r="BC135" s="210">
        <f t="shared" si="194"/>
        <v>5.456</v>
      </c>
      <c r="BD135" s="210">
        <f t="shared" si="194"/>
        <v>5.89766666666666</v>
      </c>
      <c r="BE135" s="210">
        <f t="shared" si="194"/>
        <v>0.441666666666667</v>
      </c>
      <c r="BF135" s="210">
        <f t="shared" si="194"/>
        <v>0.441666666666667</v>
      </c>
      <c r="BG135" s="210">
        <f t="shared" si="194"/>
        <v>0.441666666666667</v>
      </c>
      <c r="BH135" s="210">
        <f t="shared" si="194"/>
        <v>0.441666666666667</v>
      </c>
      <c r="BI135" s="210">
        <f t="shared" si="194"/>
        <v>0.441666666666666</v>
      </c>
      <c r="BJ135" s="210">
        <f t="shared" si="194"/>
        <v>0</v>
      </c>
      <c r="BK135" s="210">
        <f t="shared" si="194"/>
        <v>0</v>
      </c>
      <c r="BL135" s="210">
        <f t="shared" si="194"/>
        <v>0</v>
      </c>
      <c r="BM135" s="210">
        <f t="shared" si="194"/>
        <v>0</v>
      </c>
      <c r="BN135" s="210">
        <f t="shared" si="194"/>
        <v>0</v>
      </c>
    </row>
    <row r="136" spans="1:66">
      <c r="A136" s="209" t="s">
        <v>124</v>
      </c>
      <c r="B136" s="210">
        <f t="shared" ref="B136:V136" si="195">B66+B101</f>
        <v>0</v>
      </c>
      <c r="C136" s="210">
        <f t="shared" si="195"/>
        <v>0</v>
      </c>
      <c r="D136" s="210">
        <f t="shared" si="195"/>
        <v>0</v>
      </c>
      <c r="E136" s="210">
        <f t="shared" si="195"/>
        <v>0</v>
      </c>
      <c r="F136" s="210">
        <f t="shared" si="195"/>
        <v>0</v>
      </c>
      <c r="G136" s="210">
        <f t="shared" si="195"/>
        <v>1</v>
      </c>
      <c r="H136" s="210">
        <f t="shared" si="195"/>
        <v>0.6</v>
      </c>
      <c r="I136" s="210">
        <f t="shared" si="195"/>
        <v>0.533333333333333</v>
      </c>
      <c r="J136" s="210">
        <f t="shared" si="195"/>
        <v>0.466666666666667</v>
      </c>
      <c r="K136" s="210">
        <f t="shared" si="195"/>
        <v>0.4</v>
      </c>
      <c r="L136" s="210">
        <f t="shared" si="195"/>
        <v>0.333333333333333</v>
      </c>
      <c r="M136" s="210">
        <f t="shared" si="195"/>
        <v>0.266666666666667</v>
      </c>
      <c r="N136" s="210">
        <f t="shared" si="195"/>
        <v>0.2</v>
      </c>
      <c r="O136" s="210">
        <f t="shared" si="195"/>
        <v>0.133333333333333</v>
      </c>
      <c r="P136" s="210">
        <f t="shared" si="195"/>
        <v>0.0666666666666667</v>
      </c>
      <c r="Q136" s="210">
        <f t="shared" si="195"/>
        <v>0</v>
      </c>
      <c r="R136" s="210">
        <f t="shared" si="195"/>
        <v>0</v>
      </c>
      <c r="S136" s="210">
        <f t="shared" si="195"/>
        <v>0</v>
      </c>
      <c r="T136" s="210">
        <f t="shared" si="195"/>
        <v>0</v>
      </c>
      <c r="U136" s="210">
        <f t="shared" si="195"/>
        <v>0</v>
      </c>
      <c r="V136" s="210">
        <f t="shared" si="195"/>
        <v>0</v>
      </c>
      <c r="W136" s="210"/>
      <c r="X136" s="210"/>
      <c r="Y136" s="210">
        <f t="shared" ref="Y136:AR136" si="196">Y66+Y101</f>
        <v>0</v>
      </c>
      <c r="Z136" s="210">
        <f t="shared" si="196"/>
        <v>0</v>
      </c>
      <c r="AA136" s="210">
        <f t="shared" si="196"/>
        <v>0</v>
      </c>
      <c r="AB136" s="210">
        <f t="shared" si="196"/>
        <v>0</v>
      </c>
      <c r="AC136" s="210">
        <f t="shared" si="196"/>
        <v>1</v>
      </c>
      <c r="AD136" s="210">
        <f t="shared" si="196"/>
        <v>0</v>
      </c>
      <c r="AE136" s="210">
        <f t="shared" si="196"/>
        <v>0</v>
      </c>
      <c r="AF136" s="210">
        <f t="shared" si="196"/>
        <v>0</v>
      </c>
      <c r="AG136" s="210">
        <f t="shared" si="196"/>
        <v>0</v>
      </c>
      <c r="AH136" s="210">
        <f t="shared" si="196"/>
        <v>0</v>
      </c>
      <c r="AI136" s="210">
        <f t="shared" si="196"/>
        <v>0</v>
      </c>
      <c r="AJ136" s="210">
        <f t="shared" si="196"/>
        <v>0</v>
      </c>
      <c r="AK136" s="210">
        <f t="shared" si="196"/>
        <v>0</v>
      </c>
      <c r="AL136" s="210">
        <f t="shared" si="196"/>
        <v>0</v>
      </c>
      <c r="AM136" s="210">
        <f t="shared" si="196"/>
        <v>0</v>
      </c>
      <c r="AN136" s="210">
        <f t="shared" si="196"/>
        <v>0</v>
      </c>
      <c r="AO136" s="210">
        <f t="shared" si="196"/>
        <v>0</v>
      </c>
      <c r="AP136" s="210">
        <f t="shared" si="196"/>
        <v>0</v>
      </c>
      <c r="AQ136" s="210">
        <f t="shared" si="196"/>
        <v>0</v>
      </c>
      <c r="AR136" s="210">
        <f t="shared" si="196"/>
        <v>0</v>
      </c>
      <c r="AS136" s="210"/>
      <c r="AT136" s="210"/>
      <c r="AU136" s="210">
        <f t="shared" ref="AU136:BN136" si="197">AU66+AU101</f>
        <v>0</v>
      </c>
      <c r="AV136" s="210">
        <f t="shared" si="197"/>
        <v>0</v>
      </c>
      <c r="AW136" s="210">
        <f t="shared" si="197"/>
        <v>0</v>
      </c>
      <c r="AX136" s="210">
        <f t="shared" si="197"/>
        <v>0</v>
      </c>
      <c r="AY136" s="210">
        <f t="shared" si="197"/>
        <v>0</v>
      </c>
      <c r="AZ136" s="210">
        <f t="shared" si="197"/>
        <v>0.4</v>
      </c>
      <c r="BA136" s="210">
        <f t="shared" si="197"/>
        <v>0.0666666666666667</v>
      </c>
      <c r="BB136" s="210">
        <f t="shared" si="197"/>
        <v>0.0666666666666667</v>
      </c>
      <c r="BC136" s="210">
        <f t="shared" si="197"/>
        <v>0.0666666666666667</v>
      </c>
      <c r="BD136" s="210">
        <f t="shared" si="197"/>
        <v>0.0666666666666667</v>
      </c>
      <c r="BE136" s="210">
        <f t="shared" si="197"/>
        <v>0.0666666666666667</v>
      </c>
      <c r="BF136" s="210">
        <f t="shared" si="197"/>
        <v>0.0666666666666667</v>
      </c>
      <c r="BG136" s="210">
        <f t="shared" si="197"/>
        <v>0.0666666666666667</v>
      </c>
      <c r="BH136" s="210">
        <f t="shared" si="197"/>
        <v>0.0666666666666667</v>
      </c>
      <c r="BI136" s="210">
        <f t="shared" si="197"/>
        <v>0.0666666666666667</v>
      </c>
      <c r="BJ136" s="210">
        <f t="shared" si="197"/>
        <v>0</v>
      </c>
      <c r="BK136" s="210">
        <f t="shared" si="197"/>
        <v>0</v>
      </c>
      <c r="BL136" s="210">
        <f t="shared" si="197"/>
        <v>0</v>
      </c>
      <c r="BM136" s="210">
        <f t="shared" si="197"/>
        <v>0</v>
      </c>
      <c r="BN136" s="210">
        <f t="shared" si="197"/>
        <v>0</v>
      </c>
    </row>
    <row r="137" spans="1:66">
      <c r="A137" s="209" t="s">
        <v>126</v>
      </c>
      <c r="B137" s="210">
        <f t="shared" ref="B137:V137" si="198">B67+B102</f>
        <v>0</v>
      </c>
      <c r="C137" s="210">
        <f t="shared" si="198"/>
        <v>0</v>
      </c>
      <c r="D137" s="210">
        <f t="shared" si="198"/>
        <v>0</v>
      </c>
      <c r="E137" s="210">
        <f t="shared" si="198"/>
        <v>0</v>
      </c>
      <c r="F137" s="210">
        <f t="shared" si="198"/>
        <v>0</v>
      </c>
      <c r="G137" s="210">
        <f t="shared" si="198"/>
        <v>0</v>
      </c>
      <c r="H137" s="210">
        <f t="shared" si="198"/>
        <v>0</v>
      </c>
      <c r="I137" s="210">
        <f t="shared" si="198"/>
        <v>0</v>
      </c>
      <c r="J137" s="210">
        <f t="shared" si="198"/>
        <v>0</v>
      </c>
      <c r="K137" s="210">
        <f t="shared" si="198"/>
        <v>0</v>
      </c>
      <c r="L137" s="210">
        <f t="shared" si="198"/>
        <v>0</v>
      </c>
      <c r="M137" s="210">
        <f t="shared" si="198"/>
        <v>0</v>
      </c>
      <c r="N137" s="210">
        <f t="shared" si="198"/>
        <v>15</v>
      </c>
      <c r="O137" s="210">
        <f t="shared" si="198"/>
        <v>10</v>
      </c>
      <c r="P137" s="210">
        <f t="shared" si="198"/>
        <v>5</v>
      </c>
      <c r="Q137" s="210">
        <f t="shared" si="198"/>
        <v>0</v>
      </c>
      <c r="R137" s="210">
        <f t="shared" si="198"/>
        <v>0</v>
      </c>
      <c r="S137" s="210">
        <f t="shared" si="198"/>
        <v>0</v>
      </c>
      <c r="T137" s="210">
        <f t="shared" si="198"/>
        <v>0</v>
      </c>
      <c r="U137" s="210">
        <f t="shared" si="198"/>
        <v>0</v>
      </c>
      <c r="V137" s="210">
        <f t="shared" si="198"/>
        <v>0</v>
      </c>
      <c r="W137" s="210"/>
      <c r="X137" s="210"/>
      <c r="Y137" s="210">
        <f t="shared" ref="Y137:AR137" si="199">Y67+Y102</f>
        <v>0</v>
      </c>
      <c r="Z137" s="210">
        <f t="shared" si="199"/>
        <v>0</v>
      </c>
      <c r="AA137" s="210">
        <f t="shared" si="199"/>
        <v>0</v>
      </c>
      <c r="AB137" s="210">
        <f t="shared" si="199"/>
        <v>0</v>
      </c>
      <c r="AC137" s="210">
        <f t="shared" si="199"/>
        <v>0</v>
      </c>
      <c r="AD137" s="210">
        <f t="shared" si="199"/>
        <v>0</v>
      </c>
      <c r="AE137" s="210">
        <f t="shared" si="199"/>
        <v>0</v>
      </c>
      <c r="AF137" s="210">
        <f t="shared" si="199"/>
        <v>0</v>
      </c>
      <c r="AG137" s="210">
        <f t="shared" si="199"/>
        <v>0</v>
      </c>
      <c r="AH137" s="210">
        <f t="shared" si="199"/>
        <v>0</v>
      </c>
      <c r="AI137" s="210">
        <f t="shared" si="199"/>
        <v>0</v>
      </c>
      <c r="AJ137" s="210">
        <f t="shared" si="199"/>
        <v>15</v>
      </c>
      <c r="AK137" s="210">
        <f t="shared" si="199"/>
        <v>0</v>
      </c>
      <c r="AL137" s="210">
        <f t="shared" si="199"/>
        <v>0</v>
      </c>
      <c r="AM137" s="210">
        <f t="shared" si="199"/>
        <v>0</v>
      </c>
      <c r="AN137" s="210">
        <f t="shared" si="199"/>
        <v>0</v>
      </c>
      <c r="AO137" s="210">
        <f t="shared" si="199"/>
        <v>0</v>
      </c>
      <c r="AP137" s="210">
        <f t="shared" si="199"/>
        <v>0</v>
      </c>
      <c r="AQ137" s="210">
        <f t="shared" si="199"/>
        <v>0</v>
      </c>
      <c r="AR137" s="210">
        <f t="shared" si="199"/>
        <v>0</v>
      </c>
      <c r="AS137" s="210"/>
      <c r="AT137" s="210"/>
      <c r="AU137" s="210">
        <f t="shared" ref="AU137:BN137" si="200">AU67+AU102</f>
        <v>0</v>
      </c>
      <c r="AV137" s="210">
        <f t="shared" si="200"/>
        <v>0</v>
      </c>
      <c r="AW137" s="210">
        <f t="shared" si="200"/>
        <v>0</v>
      </c>
      <c r="AX137" s="210">
        <f t="shared" si="200"/>
        <v>0</v>
      </c>
      <c r="AY137" s="210">
        <f t="shared" si="200"/>
        <v>0</v>
      </c>
      <c r="AZ137" s="210">
        <f t="shared" si="200"/>
        <v>0</v>
      </c>
      <c r="BA137" s="210">
        <f t="shared" si="200"/>
        <v>0</v>
      </c>
      <c r="BB137" s="210">
        <f t="shared" si="200"/>
        <v>0</v>
      </c>
      <c r="BC137" s="210">
        <f t="shared" si="200"/>
        <v>0</v>
      </c>
      <c r="BD137" s="210">
        <f t="shared" si="200"/>
        <v>0</v>
      </c>
      <c r="BE137" s="210">
        <f t="shared" si="200"/>
        <v>0</v>
      </c>
      <c r="BF137" s="210">
        <f t="shared" si="200"/>
        <v>0</v>
      </c>
      <c r="BG137" s="210">
        <f t="shared" si="200"/>
        <v>5</v>
      </c>
      <c r="BH137" s="210">
        <f t="shared" si="200"/>
        <v>5</v>
      </c>
      <c r="BI137" s="210">
        <f t="shared" si="200"/>
        <v>5</v>
      </c>
      <c r="BJ137" s="210">
        <f t="shared" si="200"/>
        <v>0</v>
      </c>
      <c r="BK137" s="210">
        <f t="shared" si="200"/>
        <v>0</v>
      </c>
      <c r="BL137" s="210">
        <f t="shared" si="200"/>
        <v>0</v>
      </c>
      <c r="BM137" s="210">
        <f t="shared" si="200"/>
        <v>0</v>
      </c>
      <c r="BN137" s="210">
        <f t="shared" si="200"/>
        <v>0</v>
      </c>
    </row>
    <row r="138" spans="1:66">
      <c r="A138" s="209" t="s">
        <v>128</v>
      </c>
      <c r="B138" s="210">
        <f t="shared" ref="B138:V138" si="201">B68+B103</f>
        <v>0</v>
      </c>
      <c r="C138" s="210">
        <f t="shared" si="201"/>
        <v>0</v>
      </c>
      <c r="D138" s="210">
        <f t="shared" si="201"/>
        <v>0</v>
      </c>
      <c r="E138" s="210">
        <f t="shared" si="201"/>
        <v>0</v>
      </c>
      <c r="F138" s="210">
        <f t="shared" si="201"/>
        <v>0</v>
      </c>
      <c r="G138" s="210">
        <f t="shared" si="201"/>
        <v>0</v>
      </c>
      <c r="H138" s="210">
        <f t="shared" si="201"/>
        <v>0</v>
      </c>
      <c r="I138" s="210">
        <f t="shared" si="201"/>
        <v>0</v>
      </c>
      <c r="J138" s="210">
        <f t="shared" si="201"/>
        <v>0</v>
      </c>
      <c r="K138" s="210">
        <f t="shared" si="201"/>
        <v>0</v>
      </c>
      <c r="L138" s="210">
        <f t="shared" si="201"/>
        <v>0</v>
      </c>
      <c r="M138" s="210">
        <f t="shared" si="201"/>
        <v>0</v>
      </c>
      <c r="N138" s="210">
        <f t="shared" si="201"/>
        <v>0</v>
      </c>
      <c r="O138" s="210">
        <f t="shared" si="201"/>
        <v>0</v>
      </c>
      <c r="P138" s="210">
        <f t="shared" si="201"/>
        <v>0</v>
      </c>
      <c r="Q138" s="210">
        <f t="shared" si="201"/>
        <v>0</v>
      </c>
      <c r="R138" s="210">
        <f t="shared" si="201"/>
        <v>0</v>
      </c>
      <c r="S138" s="210">
        <f t="shared" si="201"/>
        <v>0</v>
      </c>
      <c r="T138" s="210">
        <f t="shared" si="201"/>
        <v>0</v>
      </c>
      <c r="U138" s="210">
        <f t="shared" si="201"/>
        <v>0</v>
      </c>
      <c r="V138" s="210">
        <f t="shared" si="201"/>
        <v>0</v>
      </c>
      <c r="W138" s="210"/>
      <c r="X138" s="210"/>
      <c r="Y138" s="210">
        <f t="shared" ref="Y138:AR138" si="202">Y68+Y103</f>
        <v>0</v>
      </c>
      <c r="Z138" s="210">
        <f t="shared" si="202"/>
        <v>0</v>
      </c>
      <c r="AA138" s="210">
        <f t="shared" si="202"/>
        <v>0</v>
      </c>
      <c r="AB138" s="210">
        <f t="shared" si="202"/>
        <v>0</v>
      </c>
      <c r="AC138" s="210">
        <f t="shared" si="202"/>
        <v>0</v>
      </c>
      <c r="AD138" s="210">
        <f t="shared" si="202"/>
        <v>0</v>
      </c>
      <c r="AE138" s="210">
        <f t="shared" si="202"/>
        <v>0</v>
      </c>
      <c r="AF138" s="210">
        <f t="shared" si="202"/>
        <v>0</v>
      </c>
      <c r="AG138" s="210">
        <f t="shared" si="202"/>
        <v>0</v>
      </c>
      <c r="AH138" s="210">
        <f t="shared" si="202"/>
        <v>0</v>
      </c>
      <c r="AI138" s="210">
        <f t="shared" si="202"/>
        <v>0</v>
      </c>
      <c r="AJ138" s="210">
        <f t="shared" si="202"/>
        <v>0</v>
      </c>
      <c r="AK138" s="210">
        <f t="shared" si="202"/>
        <v>0</v>
      </c>
      <c r="AL138" s="210">
        <f t="shared" si="202"/>
        <v>0</v>
      </c>
      <c r="AM138" s="210">
        <f t="shared" si="202"/>
        <v>0</v>
      </c>
      <c r="AN138" s="210">
        <f t="shared" si="202"/>
        <v>0</v>
      </c>
      <c r="AO138" s="210">
        <f t="shared" si="202"/>
        <v>0</v>
      </c>
      <c r="AP138" s="210">
        <f t="shared" si="202"/>
        <v>0</v>
      </c>
      <c r="AQ138" s="210">
        <f t="shared" si="202"/>
        <v>0</v>
      </c>
      <c r="AR138" s="210">
        <f t="shared" si="202"/>
        <v>0</v>
      </c>
      <c r="AS138" s="210"/>
      <c r="AT138" s="210"/>
      <c r="AU138" s="210">
        <f t="shared" ref="AU138:BN138" si="203">AU68+AU103</f>
        <v>0</v>
      </c>
      <c r="AV138" s="210">
        <f t="shared" si="203"/>
        <v>0</v>
      </c>
      <c r="AW138" s="210">
        <f t="shared" si="203"/>
        <v>0</v>
      </c>
      <c r="AX138" s="210">
        <f t="shared" si="203"/>
        <v>0</v>
      </c>
      <c r="AY138" s="210">
        <f t="shared" si="203"/>
        <v>0</v>
      </c>
      <c r="AZ138" s="210">
        <f t="shared" si="203"/>
        <v>0</v>
      </c>
      <c r="BA138" s="210">
        <f t="shared" si="203"/>
        <v>0</v>
      </c>
      <c r="BB138" s="210">
        <f t="shared" si="203"/>
        <v>0</v>
      </c>
      <c r="BC138" s="210">
        <f t="shared" si="203"/>
        <v>0</v>
      </c>
      <c r="BD138" s="210">
        <f t="shared" si="203"/>
        <v>0</v>
      </c>
      <c r="BE138" s="210">
        <f t="shared" si="203"/>
        <v>0</v>
      </c>
      <c r="BF138" s="210">
        <f t="shared" si="203"/>
        <v>0</v>
      </c>
      <c r="BG138" s="210">
        <f t="shared" si="203"/>
        <v>0</v>
      </c>
      <c r="BH138" s="210">
        <f t="shared" si="203"/>
        <v>0</v>
      </c>
      <c r="BI138" s="210">
        <f t="shared" si="203"/>
        <v>0</v>
      </c>
      <c r="BJ138" s="210">
        <f t="shared" si="203"/>
        <v>0</v>
      </c>
      <c r="BK138" s="210">
        <f t="shared" si="203"/>
        <v>0</v>
      </c>
      <c r="BL138" s="210">
        <f t="shared" si="203"/>
        <v>0</v>
      </c>
      <c r="BM138" s="210">
        <f t="shared" si="203"/>
        <v>0</v>
      </c>
      <c r="BN138" s="210">
        <f t="shared" si="203"/>
        <v>0</v>
      </c>
    </row>
    <row r="139" spans="1:66">
      <c r="A139" s="209" t="s">
        <v>130</v>
      </c>
      <c r="B139" s="210">
        <f t="shared" ref="B139:V139" si="204">B69+B104</f>
        <v>0</v>
      </c>
      <c r="C139" s="210">
        <f t="shared" si="204"/>
        <v>0</v>
      </c>
      <c r="D139" s="210">
        <f t="shared" si="204"/>
        <v>0</v>
      </c>
      <c r="E139" s="210">
        <f t="shared" si="204"/>
        <v>0</v>
      </c>
      <c r="F139" s="210">
        <f t="shared" si="204"/>
        <v>0</v>
      </c>
      <c r="G139" s="210">
        <f t="shared" si="204"/>
        <v>0</v>
      </c>
      <c r="H139" s="210">
        <f t="shared" si="204"/>
        <v>0</v>
      </c>
      <c r="I139" s="210">
        <f t="shared" si="204"/>
        <v>0</v>
      </c>
      <c r="J139" s="210">
        <f t="shared" si="204"/>
        <v>0</v>
      </c>
      <c r="K139" s="210">
        <f t="shared" si="204"/>
        <v>0</v>
      </c>
      <c r="L139" s="210">
        <f t="shared" si="204"/>
        <v>0</v>
      </c>
      <c r="M139" s="210">
        <f t="shared" si="204"/>
        <v>0</v>
      </c>
      <c r="N139" s="210">
        <f t="shared" si="204"/>
        <v>0</v>
      </c>
      <c r="O139" s="210">
        <f t="shared" si="204"/>
        <v>0</v>
      </c>
      <c r="P139" s="210">
        <f t="shared" si="204"/>
        <v>0</v>
      </c>
      <c r="Q139" s="210">
        <f t="shared" si="204"/>
        <v>0</v>
      </c>
      <c r="R139" s="210">
        <f t="shared" si="204"/>
        <v>0</v>
      </c>
      <c r="S139" s="210">
        <f t="shared" si="204"/>
        <v>0</v>
      </c>
      <c r="T139" s="210">
        <f t="shared" si="204"/>
        <v>0</v>
      </c>
      <c r="U139" s="210">
        <f t="shared" si="204"/>
        <v>0</v>
      </c>
      <c r="V139" s="210">
        <f t="shared" si="204"/>
        <v>0</v>
      </c>
      <c r="W139" s="210"/>
      <c r="X139" s="210"/>
      <c r="Y139" s="210">
        <f t="shared" ref="Y139:AR139" si="205">Y69+Y104</f>
        <v>0</v>
      </c>
      <c r="Z139" s="210">
        <f t="shared" si="205"/>
        <v>0</v>
      </c>
      <c r="AA139" s="210">
        <f t="shared" si="205"/>
        <v>0</v>
      </c>
      <c r="AB139" s="210">
        <f t="shared" si="205"/>
        <v>0</v>
      </c>
      <c r="AC139" s="210">
        <f t="shared" si="205"/>
        <v>0</v>
      </c>
      <c r="AD139" s="210">
        <f t="shared" si="205"/>
        <v>0</v>
      </c>
      <c r="AE139" s="210">
        <f t="shared" si="205"/>
        <v>0</v>
      </c>
      <c r="AF139" s="210">
        <f t="shared" si="205"/>
        <v>0</v>
      </c>
      <c r="AG139" s="210">
        <f t="shared" si="205"/>
        <v>0</v>
      </c>
      <c r="AH139" s="210">
        <f t="shared" si="205"/>
        <v>0</v>
      </c>
      <c r="AI139" s="210">
        <f t="shared" si="205"/>
        <v>0</v>
      </c>
      <c r="AJ139" s="210">
        <f t="shared" si="205"/>
        <v>0</v>
      </c>
      <c r="AK139" s="210">
        <f t="shared" si="205"/>
        <v>0</v>
      </c>
      <c r="AL139" s="210">
        <f t="shared" si="205"/>
        <v>0</v>
      </c>
      <c r="AM139" s="210">
        <f t="shared" si="205"/>
        <v>0</v>
      </c>
      <c r="AN139" s="210">
        <f t="shared" si="205"/>
        <v>0</v>
      </c>
      <c r="AO139" s="210">
        <f t="shared" si="205"/>
        <v>0</v>
      </c>
      <c r="AP139" s="210">
        <f t="shared" si="205"/>
        <v>0</v>
      </c>
      <c r="AQ139" s="210">
        <f t="shared" si="205"/>
        <v>0</v>
      </c>
      <c r="AR139" s="210">
        <f t="shared" si="205"/>
        <v>0</v>
      </c>
      <c r="AS139" s="210"/>
      <c r="AT139" s="210"/>
      <c r="AU139" s="210">
        <f t="shared" ref="AU139:BN139" si="206">AU69+AU104</f>
        <v>0</v>
      </c>
      <c r="AV139" s="210">
        <f t="shared" si="206"/>
        <v>0</v>
      </c>
      <c r="AW139" s="210">
        <f t="shared" si="206"/>
        <v>0</v>
      </c>
      <c r="AX139" s="210">
        <f t="shared" si="206"/>
        <v>0</v>
      </c>
      <c r="AY139" s="210">
        <f t="shared" si="206"/>
        <v>0</v>
      </c>
      <c r="AZ139" s="210">
        <f t="shared" si="206"/>
        <v>0</v>
      </c>
      <c r="BA139" s="210">
        <f t="shared" si="206"/>
        <v>0</v>
      </c>
      <c r="BB139" s="210">
        <f t="shared" si="206"/>
        <v>0</v>
      </c>
      <c r="BC139" s="210">
        <f t="shared" si="206"/>
        <v>0</v>
      </c>
      <c r="BD139" s="210">
        <f t="shared" si="206"/>
        <v>0</v>
      </c>
      <c r="BE139" s="210">
        <f t="shared" si="206"/>
        <v>0</v>
      </c>
      <c r="BF139" s="210">
        <f t="shared" si="206"/>
        <v>0</v>
      </c>
      <c r="BG139" s="210">
        <f t="shared" si="206"/>
        <v>0</v>
      </c>
      <c r="BH139" s="210">
        <f t="shared" si="206"/>
        <v>0</v>
      </c>
      <c r="BI139" s="210">
        <f t="shared" si="206"/>
        <v>0</v>
      </c>
      <c r="BJ139" s="210">
        <f t="shared" si="206"/>
        <v>0</v>
      </c>
      <c r="BK139" s="210">
        <f t="shared" si="206"/>
        <v>0</v>
      </c>
      <c r="BL139" s="210">
        <f t="shared" si="206"/>
        <v>0</v>
      </c>
      <c r="BM139" s="210">
        <f t="shared" si="206"/>
        <v>0</v>
      </c>
      <c r="BN139" s="210">
        <f t="shared" si="206"/>
        <v>0</v>
      </c>
    </row>
    <row r="140" spans="1:66">
      <c r="A140" s="209" t="s">
        <v>1329</v>
      </c>
      <c r="B140" s="210">
        <f t="shared" ref="B140:V140" si="207">B70+B105</f>
        <v>3.46</v>
      </c>
      <c r="C140" s="210">
        <f t="shared" si="207"/>
        <v>6.314</v>
      </c>
      <c r="D140" s="210">
        <f t="shared" si="207"/>
        <v>9.168</v>
      </c>
      <c r="E140" s="210">
        <f t="shared" si="207"/>
        <v>12.022</v>
      </c>
      <c r="F140" s="210">
        <f t="shared" si="207"/>
        <v>14.876</v>
      </c>
      <c r="G140" s="210">
        <f t="shared" si="207"/>
        <v>17.73</v>
      </c>
      <c r="H140" s="210">
        <f t="shared" si="207"/>
        <v>20.584</v>
      </c>
      <c r="I140" s="210">
        <f t="shared" si="207"/>
        <v>30.438</v>
      </c>
      <c r="J140" s="210">
        <f t="shared" si="207"/>
        <v>33.292</v>
      </c>
      <c r="K140" s="210">
        <f t="shared" si="207"/>
        <v>36.146</v>
      </c>
      <c r="L140" s="210">
        <f t="shared" si="207"/>
        <v>39</v>
      </c>
      <c r="M140" s="210">
        <f t="shared" si="207"/>
        <v>39</v>
      </c>
      <c r="N140" s="210">
        <f t="shared" si="207"/>
        <v>39</v>
      </c>
      <c r="O140" s="210">
        <f t="shared" si="207"/>
        <v>39</v>
      </c>
      <c r="P140" s="210">
        <f t="shared" si="207"/>
        <v>39</v>
      </c>
      <c r="Q140" s="210">
        <f t="shared" si="207"/>
        <v>39</v>
      </c>
      <c r="R140" s="210">
        <f t="shared" si="207"/>
        <v>39</v>
      </c>
      <c r="S140" s="210">
        <f t="shared" si="207"/>
        <v>39</v>
      </c>
      <c r="T140" s="210">
        <f t="shared" si="207"/>
        <v>39</v>
      </c>
      <c r="U140" s="210">
        <f t="shared" si="207"/>
        <v>39</v>
      </c>
      <c r="V140" s="210">
        <f t="shared" si="207"/>
        <v>39</v>
      </c>
      <c r="W140" s="210"/>
      <c r="X140" s="210"/>
      <c r="Y140" s="210">
        <f t="shared" ref="Y140:AR140" si="208">Y70+Y105</f>
        <v>2.854</v>
      </c>
      <c r="Z140" s="210">
        <f t="shared" si="208"/>
        <v>2.854</v>
      </c>
      <c r="AA140" s="210">
        <f t="shared" si="208"/>
        <v>2.854</v>
      </c>
      <c r="AB140" s="210">
        <f t="shared" si="208"/>
        <v>2.854</v>
      </c>
      <c r="AC140" s="210">
        <f t="shared" si="208"/>
        <v>2.854</v>
      </c>
      <c r="AD140" s="210">
        <f t="shared" si="208"/>
        <v>2.854</v>
      </c>
      <c r="AE140" s="210">
        <f t="shared" si="208"/>
        <v>9.854</v>
      </c>
      <c r="AF140" s="210">
        <f t="shared" si="208"/>
        <v>2.854</v>
      </c>
      <c r="AG140" s="210">
        <f t="shared" si="208"/>
        <v>2.854</v>
      </c>
      <c r="AH140" s="210">
        <f t="shared" si="208"/>
        <v>2.85400000000001</v>
      </c>
      <c r="AI140" s="210">
        <f t="shared" si="208"/>
        <v>0</v>
      </c>
      <c r="AJ140" s="210">
        <f t="shared" si="208"/>
        <v>0</v>
      </c>
      <c r="AK140" s="210">
        <f t="shared" si="208"/>
        <v>0</v>
      </c>
      <c r="AL140" s="210">
        <f t="shared" si="208"/>
        <v>0</v>
      </c>
      <c r="AM140" s="210">
        <f t="shared" si="208"/>
        <v>0</v>
      </c>
      <c r="AN140" s="210">
        <f t="shared" si="208"/>
        <v>0</v>
      </c>
      <c r="AO140" s="210">
        <f t="shared" si="208"/>
        <v>0</v>
      </c>
      <c r="AP140" s="210">
        <f t="shared" si="208"/>
        <v>0</v>
      </c>
      <c r="AQ140" s="210">
        <f t="shared" si="208"/>
        <v>0</v>
      </c>
      <c r="AR140" s="210">
        <f t="shared" si="208"/>
        <v>0</v>
      </c>
      <c r="AS140" s="210"/>
      <c r="AT140" s="210"/>
      <c r="AU140" s="210">
        <f t="shared" ref="AU140:BN140" si="209">AU70+AU105</f>
        <v>0</v>
      </c>
      <c r="AV140" s="210">
        <f t="shared" si="209"/>
        <v>0</v>
      </c>
      <c r="AW140" s="210">
        <f t="shared" si="209"/>
        <v>0</v>
      </c>
      <c r="AX140" s="210">
        <f t="shared" si="209"/>
        <v>0</v>
      </c>
      <c r="AY140" s="210">
        <f t="shared" si="209"/>
        <v>0</v>
      </c>
      <c r="AZ140" s="210">
        <f t="shared" si="209"/>
        <v>0</v>
      </c>
      <c r="BA140" s="210">
        <f t="shared" si="209"/>
        <v>0</v>
      </c>
      <c r="BB140" s="210">
        <f t="shared" si="209"/>
        <v>0</v>
      </c>
      <c r="BC140" s="210">
        <f t="shared" si="209"/>
        <v>0</v>
      </c>
      <c r="BD140" s="210">
        <f t="shared" si="209"/>
        <v>0</v>
      </c>
      <c r="BE140" s="210">
        <f t="shared" si="209"/>
        <v>0</v>
      </c>
      <c r="BF140" s="210">
        <f t="shared" si="209"/>
        <v>0</v>
      </c>
      <c r="BG140" s="210">
        <f t="shared" si="209"/>
        <v>0</v>
      </c>
      <c r="BH140" s="210">
        <f t="shared" si="209"/>
        <v>0</v>
      </c>
      <c r="BI140" s="210">
        <f t="shared" si="209"/>
        <v>0</v>
      </c>
      <c r="BJ140" s="210">
        <f t="shared" si="209"/>
        <v>0</v>
      </c>
      <c r="BK140" s="210">
        <f t="shared" si="209"/>
        <v>0</v>
      </c>
      <c r="BL140" s="210">
        <f t="shared" si="209"/>
        <v>0</v>
      </c>
      <c r="BM140" s="210">
        <f t="shared" si="209"/>
        <v>0</v>
      </c>
      <c r="BN140" s="210">
        <f t="shared" si="209"/>
        <v>0</v>
      </c>
    </row>
    <row r="141" spans="1:66">
      <c r="A141" s="209" t="s">
        <v>134</v>
      </c>
      <c r="B141" s="210">
        <f t="shared" ref="B141:V141" si="210">B71+B106</f>
        <v>0</v>
      </c>
      <c r="C141" s="210">
        <f t="shared" si="210"/>
        <v>0</v>
      </c>
      <c r="D141" s="210">
        <f t="shared" si="210"/>
        <v>0</v>
      </c>
      <c r="E141" s="210">
        <f t="shared" si="210"/>
        <v>0</v>
      </c>
      <c r="F141" s="210">
        <f t="shared" si="210"/>
        <v>0</v>
      </c>
      <c r="G141" s="210">
        <f t="shared" si="210"/>
        <v>0</v>
      </c>
      <c r="H141" s="210">
        <f t="shared" si="210"/>
        <v>0</v>
      </c>
      <c r="I141" s="210">
        <f t="shared" si="210"/>
        <v>0</v>
      </c>
      <c r="J141" s="210">
        <f t="shared" si="210"/>
        <v>0</v>
      </c>
      <c r="K141" s="210">
        <f t="shared" si="210"/>
        <v>0</v>
      </c>
      <c r="L141" s="210">
        <f t="shared" si="210"/>
        <v>0</v>
      </c>
      <c r="M141" s="210">
        <f t="shared" si="210"/>
        <v>0</v>
      </c>
      <c r="N141" s="210">
        <f t="shared" si="210"/>
        <v>0</v>
      </c>
      <c r="O141" s="210">
        <f t="shared" si="210"/>
        <v>0</v>
      </c>
      <c r="P141" s="210">
        <f t="shared" si="210"/>
        <v>0</v>
      </c>
      <c r="Q141" s="210">
        <f t="shared" si="210"/>
        <v>0</v>
      </c>
      <c r="R141" s="210">
        <f t="shared" si="210"/>
        <v>0</v>
      </c>
      <c r="S141" s="210">
        <f t="shared" si="210"/>
        <v>0</v>
      </c>
      <c r="T141" s="210">
        <f t="shared" si="210"/>
        <v>0</v>
      </c>
      <c r="U141" s="210">
        <f t="shared" si="210"/>
        <v>0</v>
      </c>
      <c r="V141" s="210">
        <f t="shared" si="210"/>
        <v>0</v>
      </c>
      <c r="W141" s="210"/>
      <c r="X141" s="210"/>
      <c r="Y141" s="210">
        <f t="shared" ref="Y141:AR141" si="211">Y71+Y106</f>
        <v>0</v>
      </c>
      <c r="Z141" s="210">
        <f t="shared" si="211"/>
        <v>0</v>
      </c>
      <c r="AA141" s="210">
        <f t="shared" si="211"/>
        <v>0</v>
      </c>
      <c r="AB141" s="210">
        <f t="shared" si="211"/>
        <v>0</v>
      </c>
      <c r="AC141" s="210">
        <f t="shared" si="211"/>
        <v>0</v>
      </c>
      <c r="AD141" s="210">
        <f t="shared" si="211"/>
        <v>0</v>
      </c>
      <c r="AE141" s="210">
        <f t="shared" si="211"/>
        <v>0</v>
      </c>
      <c r="AF141" s="210">
        <f t="shared" si="211"/>
        <v>0</v>
      </c>
      <c r="AG141" s="210">
        <f t="shared" si="211"/>
        <v>0</v>
      </c>
      <c r="AH141" s="210">
        <f t="shared" si="211"/>
        <v>0</v>
      </c>
      <c r="AI141" s="210">
        <f t="shared" si="211"/>
        <v>0</v>
      </c>
      <c r="AJ141" s="210">
        <f t="shared" si="211"/>
        <v>0</v>
      </c>
      <c r="AK141" s="210">
        <f t="shared" si="211"/>
        <v>0</v>
      </c>
      <c r="AL141" s="210">
        <f t="shared" si="211"/>
        <v>0</v>
      </c>
      <c r="AM141" s="210">
        <f t="shared" si="211"/>
        <v>0</v>
      </c>
      <c r="AN141" s="210">
        <f t="shared" si="211"/>
        <v>0</v>
      </c>
      <c r="AO141" s="210">
        <f t="shared" si="211"/>
        <v>0</v>
      </c>
      <c r="AP141" s="210">
        <f t="shared" si="211"/>
        <v>0</v>
      </c>
      <c r="AQ141" s="210">
        <f t="shared" si="211"/>
        <v>0</v>
      </c>
      <c r="AR141" s="210">
        <f t="shared" si="211"/>
        <v>0</v>
      </c>
      <c r="AS141" s="210"/>
      <c r="AT141" s="210"/>
      <c r="AU141" s="210">
        <f t="shared" ref="AU141:BN141" si="212">AU71+AU106</f>
        <v>0</v>
      </c>
      <c r="AV141" s="210">
        <f t="shared" si="212"/>
        <v>0</v>
      </c>
      <c r="AW141" s="210">
        <f t="shared" si="212"/>
        <v>0</v>
      </c>
      <c r="AX141" s="210">
        <f t="shared" si="212"/>
        <v>0</v>
      </c>
      <c r="AY141" s="210">
        <f t="shared" si="212"/>
        <v>0</v>
      </c>
      <c r="AZ141" s="210">
        <f t="shared" si="212"/>
        <v>0</v>
      </c>
      <c r="BA141" s="210">
        <f t="shared" si="212"/>
        <v>0</v>
      </c>
      <c r="BB141" s="210">
        <f t="shared" si="212"/>
        <v>0</v>
      </c>
      <c r="BC141" s="210">
        <f t="shared" si="212"/>
        <v>0</v>
      </c>
      <c r="BD141" s="210">
        <f t="shared" si="212"/>
        <v>0</v>
      </c>
      <c r="BE141" s="210">
        <f t="shared" si="212"/>
        <v>0</v>
      </c>
      <c r="BF141" s="210">
        <f t="shared" si="212"/>
        <v>0</v>
      </c>
      <c r="BG141" s="210">
        <f t="shared" si="212"/>
        <v>0</v>
      </c>
      <c r="BH141" s="210">
        <f t="shared" si="212"/>
        <v>0</v>
      </c>
      <c r="BI141" s="210">
        <f t="shared" si="212"/>
        <v>0</v>
      </c>
      <c r="BJ141" s="210">
        <f t="shared" si="212"/>
        <v>0</v>
      </c>
      <c r="BK141" s="210">
        <f t="shared" si="212"/>
        <v>0</v>
      </c>
      <c r="BL141" s="210">
        <f t="shared" si="212"/>
        <v>0</v>
      </c>
      <c r="BM141" s="210">
        <f t="shared" si="212"/>
        <v>0</v>
      </c>
      <c r="BN141" s="210">
        <f t="shared" si="212"/>
        <v>0</v>
      </c>
    </row>
    <row r="142" spans="1:66">
      <c r="A142" s="209" t="s">
        <v>136</v>
      </c>
      <c r="B142" s="210">
        <f t="shared" ref="B142:V142" si="213">B72+B107</f>
        <v>0</v>
      </c>
      <c r="C142" s="210">
        <f t="shared" si="213"/>
        <v>0</v>
      </c>
      <c r="D142" s="210">
        <f t="shared" si="213"/>
        <v>0</v>
      </c>
      <c r="E142" s="210">
        <f t="shared" si="213"/>
        <v>0</v>
      </c>
      <c r="F142" s="210">
        <f t="shared" si="213"/>
        <v>0</v>
      </c>
      <c r="G142" s="210">
        <f t="shared" si="213"/>
        <v>0</v>
      </c>
      <c r="H142" s="210">
        <f t="shared" si="213"/>
        <v>0</v>
      </c>
      <c r="I142" s="210">
        <f t="shared" si="213"/>
        <v>0</v>
      </c>
      <c r="J142" s="210">
        <f t="shared" si="213"/>
        <v>0</v>
      </c>
      <c r="K142" s="210">
        <f t="shared" si="213"/>
        <v>0</v>
      </c>
      <c r="L142" s="210">
        <f t="shared" si="213"/>
        <v>0</v>
      </c>
      <c r="M142" s="210">
        <f t="shared" si="213"/>
        <v>0</v>
      </c>
      <c r="N142" s="210">
        <f t="shared" si="213"/>
        <v>0</v>
      </c>
      <c r="O142" s="210">
        <f t="shared" si="213"/>
        <v>0</v>
      </c>
      <c r="P142" s="210">
        <f t="shared" si="213"/>
        <v>0</v>
      </c>
      <c r="Q142" s="210">
        <f t="shared" si="213"/>
        <v>0</v>
      </c>
      <c r="R142" s="210">
        <f t="shared" si="213"/>
        <v>0</v>
      </c>
      <c r="S142" s="210">
        <f t="shared" si="213"/>
        <v>0</v>
      </c>
      <c r="T142" s="210">
        <f t="shared" si="213"/>
        <v>0</v>
      </c>
      <c r="U142" s="210">
        <f t="shared" si="213"/>
        <v>0</v>
      </c>
      <c r="V142" s="210">
        <f t="shared" si="213"/>
        <v>0</v>
      </c>
      <c r="W142" s="210"/>
      <c r="X142" s="210"/>
      <c r="Y142" s="210">
        <f t="shared" ref="Y142:AR142" si="214">Y72+Y107</f>
        <v>0</v>
      </c>
      <c r="Z142" s="210">
        <f t="shared" si="214"/>
        <v>0</v>
      </c>
      <c r="AA142" s="210">
        <f t="shared" si="214"/>
        <v>0</v>
      </c>
      <c r="AB142" s="210">
        <f t="shared" si="214"/>
        <v>0</v>
      </c>
      <c r="AC142" s="210">
        <f t="shared" si="214"/>
        <v>0</v>
      </c>
      <c r="AD142" s="210">
        <f t="shared" si="214"/>
        <v>0</v>
      </c>
      <c r="AE142" s="210">
        <f t="shared" si="214"/>
        <v>0</v>
      </c>
      <c r="AF142" s="210">
        <f t="shared" si="214"/>
        <v>0</v>
      </c>
      <c r="AG142" s="210">
        <f t="shared" si="214"/>
        <v>0</v>
      </c>
      <c r="AH142" s="210">
        <f t="shared" si="214"/>
        <v>0</v>
      </c>
      <c r="AI142" s="210">
        <f t="shared" si="214"/>
        <v>0</v>
      </c>
      <c r="AJ142" s="210">
        <f t="shared" si="214"/>
        <v>0</v>
      </c>
      <c r="AK142" s="210">
        <f t="shared" si="214"/>
        <v>0</v>
      </c>
      <c r="AL142" s="210">
        <f t="shared" si="214"/>
        <v>0</v>
      </c>
      <c r="AM142" s="210">
        <f t="shared" si="214"/>
        <v>0</v>
      </c>
      <c r="AN142" s="210">
        <f t="shared" si="214"/>
        <v>0</v>
      </c>
      <c r="AO142" s="210">
        <f t="shared" si="214"/>
        <v>0</v>
      </c>
      <c r="AP142" s="210">
        <f t="shared" si="214"/>
        <v>0</v>
      </c>
      <c r="AQ142" s="210">
        <f t="shared" si="214"/>
        <v>0</v>
      </c>
      <c r="AR142" s="210">
        <f t="shared" si="214"/>
        <v>0</v>
      </c>
      <c r="AS142" s="210"/>
      <c r="AT142" s="210"/>
      <c r="AU142" s="210">
        <f t="shared" ref="AU142:BN142" si="215">AU72+AU107</f>
        <v>0</v>
      </c>
      <c r="AV142" s="210">
        <f t="shared" si="215"/>
        <v>0</v>
      </c>
      <c r="AW142" s="210">
        <f t="shared" si="215"/>
        <v>0</v>
      </c>
      <c r="AX142" s="210">
        <f t="shared" si="215"/>
        <v>0</v>
      </c>
      <c r="AY142" s="210">
        <f t="shared" si="215"/>
        <v>0</v>
      </c>
      <c r="AZ142" s="210">
        <f t="shared" si="215"/>
        <v>0</v>
      </c>
      <c r="BA142" s="210">
        <f t="shared" si="215"/>
        <v>0</v>
      </c>
      <c r="BB142" s="210">
        <f t="shared" si="215"/>
        <v>0</v>
      </c>
      <c r="BC142" s="210">
        <f t="shared" si="215"/>
        <v>0</v>
      </c>
      <c r="BD142" s="210">
        <f t="shared" si="215"/>
        <v>0</v>
      </c>
      <c r="BE142" s="210">
        <f t="shared" si="215"/>
        <v>0</v>
      </c>
      <c r="BF142" s="210">
        <f t="shared" si="215"/>
        <v>0</v>
      </c>
      <c r="BG142" s="210">
        <f t="shared" si="215"/>
        <v>0</v>
      </c>
      <c r="BH142" s="210">
        <f t="shared" si="215"/>
        <v>0</v>
      </c>
      <c r="BI142" s="210">
        <f t="shared" si="215"/>
        <v>0</v>
      </c>
      <c r="BJ142" s="210">
        <f t="shared" si="215"/>
        <v>0</v>
      </c>
      <c r="BK142" s="210">
        <f t="shared" si="215"/>
        <v>0</v>
      </c>
      <c r="BL142" s="210">
        <f t="shared" si="215"/>
        <v>0</v>
      </c>
      <c r="BM142" s="210">
        <f t="shared" si="215"/>
        <v>0</v>
      </c>
      <c r="BN142" s="210">
        <f t="shared" si="215"/>
        <v>0</v>
      </c>
    </row>
    <row r="143" spans="1:66">
      <c r="A143" s="209" t="s">
        <v>138</v>
      </c>
      <c r="B143" s="210">
        <f t="shared" ref="B143:V143" si="216">B73+B108</f>
        <v>0</v>
      </c>
      <c r="C143" s="210">
        <f t="shared" si="216"/>
        <v>0</v>
      </c>
      <c r="D143" s="210">
        <f t="shared" si="216"/>
        <v>0</v>
      </c>
      <c r="E143" s="210">
        <f t="shared" si="216"/>
        <v>0</v>
      </c>
      <c r="F143" s="210">
        <f t="shared" si="216"/>
        <v>0</v>
      </c>
      <c r="G143" s="210">
        <f t="shared" si="216"/>
        <v>0</v>
      </c>
      <c r="H143" s="210">
        <f t="shared" si="216"/>
        <v>0</v>
      </c>
      <c r="I143" s="210">
        <f t="shared" si="216"/>
        <v>0</v>
      </c>
      <c r="J143" s="210">
        <f t="shared" si="216"/>
        <v>0</v>
      </c>
      <c r="K143" s="210">
        <f t="shared" si="216"/>
        <v>0</v>
      </c>
      <c r="L143" s="210">
        <f t="shared" si="216"/>
        <v>0</v>
      </c>
      <c r="M143" s="210">
        <f t="shared" si="216"/>
        <v>0</v>
      </c>
      <c r="N143" s="210">
        <f t="shared" si="216"/>
        <v>0</v>
      </c>
      <c r="O143" s="210">
        <f t="shared" si="216"/>
        <v>0</v>
      </c>
      <c r="P143" s="210">
        <f t="shared" si="216"/>
        <v>0</v>
      </c>
      <c r="Q143" s="210">
        <f t="shared" si="216"/>
        <v>0</v>
      </c>
      <c r="R143" s="210">
        <f t="shared" si="216"/>
        <v>0</v>
      </c>
      <c r="S143" s="210">
        <f t="shared" si="216"/>
        <v>0</v>
      </c>
      <c r="T143" s="210">
        <f t="shared" si="216"/>
        <v>0</v>
      </c>
      <c r="U143" s="210">
        <f t="shared" si="216"/>
        <v>0</v>
      </c>
      <c r="V143" s="210">
        <f t="shared" si="216"/>
        <v>0</v>
      </c>
      <c r="W143" s="210"/>
      <c r="X143" s="210"/>
      <c r="Y143" s="210">
        <f t="shared" ref="Y143:AR143" si="217">Y73+Y108</f>
        <v>0</v>
      </c>
      <c r="Z143" s="210">
        <f t="shared" si="217"/>
        <v>0</v>
      </c>
      <c r="AA143" s="210">
        <f t="shared" si="217"/>
        <v>0</v>
      </c>
      <c r="AB143" s="210">
        <f t="shared" si="217"/>
        <v>0</v>
      </c>
      <c r="AC143" s="210">
        <f t="shared" si="217"/>
        <v>0</v>
      </c>
      <c r="AD143" s="210">
        <f t="shared" si="217"/>
        <v>0</v>
      </c>
      <c r="AE143" s="210">
        <f t="shared" si="217"/>
        <v>0</v>
      </c>
      <c r="AF143" s="210">
        <f t="shared" si="217"/>
        <v>0</v>
      </c>
      <c r="AG143" s="210">
        <f t="shared" si="217"/>
        <v>0</v>
      </c>
      <c r="AH143" s="210">
        <f t="shared" si="217"/>
        <v>0</v>
      </c>
      <c r="AI143" s="210">
        <f t="shared" si="217"/>
        <v>0</v>
      </c>
      <c r="AJ143" s="210">
        <f t="shared" si="217"/>
        <v>0</v>
      </c>
      <c r="AK143" s="210">
        <f t="shared" si="217"/>
        <v>0</v>
      </c>
      <c r="AL143" s="210">
        <f t="shared" si="217"/>
        <v>0</v>
      </c>
      <c r="AM143" s="210">
        <f t="shared" si="217"/>
        <v>0</v>
      </c>
      <c r="AN143" s="210">
        <f t="shared" si="217"/>
        <v>0</v>
      </c>
      <c r="AO143" s="210">
        <f t="shared" si="217"/>
        <v>0</v>
      </c>
      <c r="AP143" s="210">
        <f t="shared" si="217"/>
        <v>0</v>
      </c>
      <c r="AQ143" s="210">
        <f t="shared" si="217"/>
        <v>0</v>
      </c>
      <c r="AR143" s="210">
        <f t="shared" si="217"/>
        <v>0</v>
      </c>
      <c r="AS143" s="210"/>
      <c r="AT143" s="210"/>
      <c r="AU143" s="210">
        <f t="shared" ref="AU143:BN143" si="218">AU73+AU108</f>
        <v>0</v>
      </c>
      <c r="AV143" s="210">
        <f t="shared" si="218"/>
        <v>0</v>
      </c>
      <c r="AW143" s="210">
        <f t="shared" si="218"/>
        <v>0</v>
      </c>
      <c r="AX143" s="210">
        <f t="shared" si="218"/>
        <v>0</v>
      </c>
      <c r="AY143" s="210">
        <f t="shared" si="218"/>
        <v>0</v>
      </c>
      <c r="AZ143" s="210">
        <f t="shared" si="218"/>
        <v>0</v>
      </c>
      <c r="BA143" s="210">
        <f t="shared" si="218"/>
        <v>0</v>
      </c>
      <c r="BB143" s="210">
        <f t="shared" si="218"/>
        <v>0</v>
      </c>
      <c r="BC143" s="210">
        <f t="shared" si="218"/>
        <v>0</v>
      </c>
      <c r="BD143" s="210">
        <f t="shared" si="218"/>
        <v>0</v>
      </c>
      <c r="BE143" s="210">
        <f t="shared" si="218"/>
        <v>0</v>
      </c>
      <c r="BF143" s="210">
        <f t="shared" si="218"/>
        <v>0</v>
      </c>
      <c r="BG143" s="210">
        <f t="shared" si="218"/>
        <v>0</v>
      </c>
      <c r="BH143" s="210">
        <f t="shared" si="218"/>
        <v>0</v>
      </c>
      <c r="BI143" s="210">
        <f t="shared" si="218"/>
        <v>0</v>
      </c>
      <c r="BJ143" s="210">
        <f t="shared" si="218"/>
        <v>0</v>
      </c>
      <c r="BK143" s="210">
        <f t="shared" si="218"/>
        <v>0</v>
      </c>
      <c r="BL143" s="210">
        <f t="shared" si="218"/>
        <v>0</v>
      </c>
      <c r="BM143" s="210">
        <f t="shared" si="218"/>
        <v>0</v>
      </c>
      <c r="BN143" s="210">
        <f t="shared" si="218"/>
        <v>0</v>
      </c>
    </row>
    <row r="144" spans="1:66">
      <c r="A144" s="209" t="s">
        <v>1311</v>
      </c>
      <c r="B144" s="210">
        <f t="shared" ref="B144:V144" si="219">B74+B109</f>
        <v>0</v>
      </c>
      <c r="C144" s="210">
        <f t="shared" si="219"/>
        <v>0</v>
      </c>
      <c r="D144" s="210">
        <f t="shared" si="219"/>
        <v>0</v>
      </c>
      <c r="E144" s="210">
        <f t="shared" si="219"/>
        <v>0</v>
      </c>
      <c r="F144" s="210">
        <f t="shared" si="219"/>
        <v>0</v>
      </c>
      <c r="G144" s="210">
        <f t="shared" si="219"/>
        <v>0</v>
      </c>
      <c r="H144" s="210">
        <f t="shared" si="219"/>
        <v>0</v>
      </c>
      <c r="I144" s="210">
        <f t="shared" si="219"/>
        <v>0</v>
      </c>
      <c r="J144" s="210">
        <f t="shared" si="219"/>
        <v>0</v>
      </c>
      <c r="K144" s="210">
        <f t="shared" si="219"/>
        <v>0</v>
      </c>
      <c r="L144" s="210">
        <f t="shared" si="219"/>
        <v>0</v>
      </c>
      <c r="M144" s="210">
        <f t="shared" si="219"/>
        <v>0</v>
      </c>
      <c r="N144" s="210">
        <f t="shared" si="219"/>
        <v>0</v>
      </c>
      <c r="O144" s="210">
        <f t="shared" si="219"/>
        <v>0</v>
      </c>
      <c r="P144" s="210">
        <f t="shared" si="219"/>
        <v>0</v>
      </c>
      <c r="Q144" s="210">
        <f t="shared" si="219"/>
        <v>0</v>
      </c>
      <c r="R144" s="210">
        <f t="shared" si="219"/>
        <v>0</v>
      </c>
      <c r="S144" s="210">
        <f t="shared" si="219"/>
        <v>0</v>
      </c>
      <c r="T144" s="210">
        <f t="shared" si="219"/>
        <v>0</v>
      </c>
      <c r="U144" s="210">
        <f t="shared" si="219"/>
        <v>0</v>
      </c>
      <c r="V144" s="210">
        <f t="shared" si="219"/>
        <v>0</v>
      </c>
      <c r="W144" s="210"/>
      <c r="X144" s="210"/>
      <c r="Y144" s="210">
        <f t="shared" ref="Y144:AR144" si="220">Y74+Y109</f>
        <v>0</v>
      </c>
      <c r="Z144" s="210">
        <f t="shared" si="220"/>
        <v>0</v>
      </c>
      <c r="AA144" s="210">
        <f t="shared" si="220"/>
        <v>0</v>
      </c>
      <c r="AB144" s="210">
        <f t="shared" si="220"/>
        <v>0</v>
      </c>
      <c r="AC144" s="210">
        <f t="shared" si="220"/>
        <v>0</v>
      </c>
      <c r="AD144" s="210">
        <f t="shared" si="220"/>
        <v>0</v>
      </c>
      <c r="AE144" s="210">
        <f t="shared" si="220"/>
        <v>0</v>
      </c>
      <c r="AF144" s="210">
        <f t="shared" si="220"/>
        <v>0</v>
      </c>
      <c r="AG144" s="210">
        <f t="shared" si="220"/>
        <v>0</v>
      </c>
      <c r="AH144" s="210">
        <f t="shared" si="220"/>
        <v>0</v>
      </c>
      <c r="AI144" s="210">
        <f t="shared" si="220"/>
        <v>0</v>
      </c>
      <c r="AJ144" s="210">
        <f t="shared" si="220"/>
        <v>0</v>
      </c>
      <c r="AK144" s="210">
        <f t="shared" si="220"/>
        <v>0</v>
      </c>
      <c r="AL144" s="210">
        <f t="shared" si="220"/>
        <v>0</v>
      </c>
      <c r="AM144" s="210">
        <f t="shared" si="220"/>
        <v>0</v>
      </c>
      <c r="AN144" s="210">
        <f t="shared" si="220"/>
        <v>0</v>
      </c>
      <c r="AO144" s="210">
        <f t="shared" si="220"/>
        <v>0</v>
      </c>
      <c r="AP144" s="210">
        <f t="shared" si="220"/>
        <v>0</v>
      </c>
      <c r="AQ144" s="210">
        <f t="shared" si="220"/>
        <v>0</v>
      </c>
      <c r="AR144" s="210">
        <f t="shared" si="220"/>
        <v>0</v>
      </c>
      <c r="AS144" s="210"/>
      <c r="AT144" s="210"/>
      <c r="AU144" s="210">
        <f t="shared" ref="AU144:BN144" si="221">AU74+AU109</f>
        <v>0</v>
      </c>
      <c r="AV144" s="210">
        <f t="shared" si="221"/>
        <v>0</v>
      </c>
      <c r="AW144" s="210">
        <f t="shared" si="221"/>
        <v>0</v>
      </c>
      <c r="AX144" s="210">
        <f t="shared" si="221"/>
        <v>0</v>
      </c>
      <c r="AY144" s="210">
        <f t="shared" si="221"/>
        <v>0</v>
      </c>
      <c r="AZ144" s="210">
        <f t="shared" si="221"/>
        <v>0</v>
      </c>
      <c r="BA144" s="210">
        <f t="shared" si="221"/>
        <v>0</v>
      </c>
      <c r="BB144" s="210">
        <f t="shared" si="221"/>
        <v>0</v>
      </c>
      <c r="BC144" s="210">
        <f t="shared" si="221"/>
        <v>0</v>
      </c>
      <c r="BD144" s="210">
        <f t="shared" si="221"/>
        <v>0</v>
      </c>
      <c r="BE144" s="210">
        <f t="shared" si="221"/>
        <v>0</v>
      </c>
      <c r="BF144" s="210">
        <f t="shared" si="221"/>
        <v>0</v>
      </c>
      <c r="BG144" s="210">
        <f t="shared" si="221"/>
        <v>0</v>
      </c>
      <c r="BH144" s="210">
        <f t="shared" si="221"/>
        <v>0</v>
      </c>
      <c r="BI144" s="210">
        <f t="shared" si="221"/>
        <v>0</v>
      </c>
      <c r="BJ144" s="210">
        <f t="shared" si="221"/>
        <v>0</v>
      </c>
      <c r="BK144" s="210">
        <f t="shared" si="221"/>
        <v>0</v>
      </c>
      <c r="BL144" s="210">
        <f t="shared" si="221"/>
        <v>0</v>
      </c>
      <c r="BM144" s="210">
        <f t="shared" si="221"/>
        <v>0</v>
      </c>
      <c r="BN144" s="210">
        <f t="shared" si="221"/>
        <v>0</v>
      </c>
    </row>
    <row r="145" spans="1:66">
      <c r="A145" s="209" t="s">
        <v>918</v>
      </c>
      <c r="B145" s="210">
        <f t="shared" ref="B145:V145" si="222">B75+B110</f>
        <v>47.31</v>
      </c>
      <c r="C145" s="210">
        <f t="shared" si="222"/>
        <v>42.579</v>
      </c>
      <c r="D145" s="210">
        <f t="shared" si="222"/>
        <v>37.848</v>
      </c>
      <c r="E145" s="210">
        <f t="shared" si="222"/>
        <v>33.117</v>
      </c>
      <c r="F145" s="210">
        <f t="shared" si="222"/>
        <v>28.386</v>
      </c>
      <c r="G145" s="210">
        <f t="shared" si="222"/>
        <v>23.655</v>
      </c>
      <c r="H145" s="210">
        <f t="shared" si="222"/>
        <v>18.924</v>
      </c>
      <c r="I145" s="210">
        <f t="shared" si="222"/>
        <v>14.193</v>
      </c>
      <c r="J145" s="210">
        <f t="shared" si="222"/>
        <v>9.46199999999999</v>
      </c>
      <c r="K145" s="210">
        <f t="shared" si="222"/>
        <v>7.23099999999999</v>
      </c>
      <c r="L145" s="210">
        <f t="shared" si="222"/>
        <v>2.22222222222222</v>
      </c>
      <c r="M145" s="210">
        <f t="shared" si="222"/>
        <v>1.94444444444444</v>
      </c>
      <c r="N145" s="210">
        <f t="shared" si="222"/>
        <v>1.66666666666667</v>
      </c>
      <c r="O145" s="210">
        <f t="shared" si="222"/>
        <v>1.38888888888889</v>
      </c>
      <c r="P145" s="210">
        <f t="shared" si="222"/>
        <v>1.11111111111111</v>
      </c>
      <c r="Q145" s="210">
        <f t="shared" si="222"/>
        <v>0</v>
      </c>
      <c r="R145" s="210">
        <f t="shared" si="222"/>
        <v>0</v>
      </c>
      <c r="S145" s="210">
        <f t="shared" si="222"/>
        <v>0</v>
      </c>
      <c r="T145" s="210">
        <f t="shared" si="222"/>
        <v>0</v>
      </c>
      <c r="U145" s="210">
        <f t="shared" si="222"/>
        <v>0</v>
      </c>
      <c r="V145" s="210">
        <f t="shared" si="222"/>
        <v>0</v>
      </c>
      <c r="W145" s="210"/>
      <c r="X145" s="210"/>
      <c r="Y145" s="210">
        <f t="shared" ref="Y145:AR145" si="223">Y75+Y110</f>
        <v>0</v>
      </c>
      <c r="Z145" s="210">
        <f t="shared" si="223"/>
        <v>0</v>
      </c>
      <c r="AA145" s="210">
        <f t="shared" si="223"/>
        <v>0</v>
      </c>
      <c r="AB145" s="210">
        <f t="shared" si="223"/>
        <v>0</v>
      </c>
      <c r="AC145" s="210">
        <f t="shared" si="223"/>
        <v>0</v>
      </c>
      <c r="AD145" s="210">
        <f t="shared" si="223"/>
        <v>0</v>
      </c>
      <c r="AE145" s="210">
        <f t="shared" si="223"/>
        <v>0</v>
      </c>
      <c r="AF145" s="210">
        <f t="shared" si="223"/>
        <v>0</v>
      </c>
      <c r="AG145" s="210">
        <f t="shared" si="223"/>
        <v>2.5</v>
      </c>
      <c r="AH145" s="210">
        <f t="shared" si="223"/>
        <v>0</v>
      </c>
      <c r="AI145" s="210">
        <f t="shared" si="223"/>
        <v>0</v>
      </c>
      <c r="AJ145" s="210">
        <f t="shared" si="223"/>
        <v>0</v>
      </c>
      <c r="AK145" s="210">
        <f t="shared" si="223"/>
        <v>0</v>
      </c>
      <c r="AL145" s="210">
        <f t="shared" si="223"/>
        <v>0</v>
      </c>
      <c r="AM145" s="210">
        <f t="shared" si="223"/>
        <v>0</v>
      </c>
      <c r="AN145" s="210">
        <f t="shared" si="223"/>
        <v>0</v>
      </c>
      <c r="AO145" s="210">
        <f t="shared" si="223"/>
        <v>0</v>
      </c>
      <c r="AP145" s="210">
        <f t="shared" si="223"/>
        <v>0</v>
      </c>
      <c r="AQ145" s="210">
        <f t="shared" si="223"/>
        <v>0</v>
      </c>
      <c r="AR145" s="210">
        <f t="shared" si="223"/>
        <v>0</v>
      </c>
      <c r="AS145" s="210"/>
      <c r="AT145" s="210"/>
      <c r="AU145" s="210">
        <f t="shared" ref="AU145:BN145" si="224">AU75+AU110</f>
        <v>4.731</v>
      </c>
      <c r="AV145" s="210">
        <f t="shared" si="224"/>
        <v>4.731</v>
      </c>
      <c r="AW145" s="210">
        <f t="shared" si="224"/>
        <v>4.731</v>
      </c>
      <c r="AX145" s="210">
        <f t="shared" si="224"/>
        <v>4.731</v>
      </c>
      <c r="AY145" s="210">
        <f t="shared" si="224"/>
        <v>4.731</v>
      </c>
      <c r="AZ145" s="210">
        <f t="shared" si="224"/>
        <v>4.731</v>
      </c>
      <c r="BA145" s="210">
        <f t="shared" si="224"/>
        <v>4.731</v>
      </c>
      <c r="BB145" s="210">
        <f t="shared" si="224"/>
        <v>4.731</v>
      </c>
      <c r="BC145" s="210">
        <f t="shared" si="224"/>
        <v>4.731</v>
      </c>
      <c r="BD145" s="210">
        <f t="shared" si="224"/>
        <v>5.00877777777777</v>
      </c>
      <c r="BE145" s="210">
        <f t="shared" si="224"/>
        <v>0.277777777777778</v>
      </c>
      <c r="BF145" s="210">
        <f t="shared" si="224"/>
        <v>0.277777777777778</v>
      </c>
      <c r="BG145" s="210">
        <f t="shared" si="224"/>
        <v>0.277777777777778</v>
      </c>
      <c r="BH145" s="210">
        <f t="shared" si="224"/>
        <v>0.277777777777778</v>
      </c>
      <c r="BI145" s="210">
        <f t="shared" si="224"/>
        <v>1.11111111111111</v>
      </c>
      <c r="BJ145" s="210">
        <f t="shared" si="224"/>
        <v>0</v>
      </c>
      <c r="BK145" s="210">
        <f t="shared" si="224"/>
        <v>0</v>
      </c>
      <c r="BL145" s="210">
        <f t="shared" si="224"/>
        <v>0</v>
      </c>
      <c r="BM145" s="210">
        <f t="shared" si="224"/>
        <v>0</v>
      </c>
      <c r="BN145" s="210">
        <f t="shared" si="224"/>
        <v>0</v>
      </c>
    </row>
    <row r="147" spans="1:66">
      <c r="B147" s="97" t="s">
        <v>1339</v>
      </c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Z147" s="97" t="s">
        <v>1340</v>
      </c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</row>
    <row r="148" spans="1:66">
      <c r="B148" s="92">
        <v>2001</v>
      </c>
      <c r="C148" s="92">
        <v>2002</v>
      </c>
      <c r="D148" s="92">
        <v>2003</v>
      </c>
      <c r="E148" s="92">
        <v>2004</v>
      </c>
      <c r="F148" s="92">
        <v>2005</v>
      </c>
      <c r="G148" s="92">
        <v>2006</v>
      </c>
      <c r="H148" s="92">
        <v>2007</v>
      </c>
      <c r="I148" s="92">
        <v>2008</v>
      </c>
      <c r="J148" s="92">
        <v>2009</v>
      </c>
      <c r="K148" s="92">
        <v>2010</v>
      </c>
      <c r="L148" s="92">
        <v>2011</v>
      </c>
      <c r="M148" s="92">
        <v>2012</v>
      </c>
      <c r="N148" s="92">
        <v>2013</v>
      </c>
      <c r="O148" s="92">
        <v>2014</v>
      </c>
      <c r="P148" s="92">
        <v>2015</v>
      </c>
      <c r="Q148" s="92">
        <v>2016</v>
      </c>
      <c r="R148" s="92">
        <v>2017</v>
      </c>
      <c r="S148" s="92">
        <v>2018</v>
      </c>
      <c r="T148" s="92">
        <v>2019</v>
      </c>
      <c r="U148" s="92" t="s">
        <v>1341</v>
      </c>
      <c r="Z148" s="92">
        <v>1990</v>
      </c>
      <c r="AA148" s="92">
        <v>1991</v>
      </c>
      <c r="AB148" s="92">
        <v>1992</v>
      </c>
      <c r="AC148" s="92">
        <v>1993</v>
      </c>
      <c r="AD148" s="92">
        <v>1994</v>
      </c>
      <c r="AE148" s="92">
        <v>1995</v>
      </c>
      <c r="AF148" s="92">
        <v>1996</v>
      </c>
      <c r="AG148" s="92">
        <v>1997</v>
      </c>
      <c r="AH148" s="92">
        <v>1998</v>
      </c>
      <c r="AI148" s="92">
        <v>1999</v>
      </c>
      <c r="AJ148" s="92">
        <v>2000</v>
      </c>
      <c r="AK148" s="92">
        <v>2001</v>
      </c>
      <c r="AL148" s="92">
        <v>2002</v>
      </c>
      <c r="AM148" s="92">
        <v>2003</v>
      </c>
      <c r="AN148" s="92">
        <v>2004</v>
      </c>
      <c r="AO148" s="92">
        <v>2005</v>
      </c>
      <c r="AP148" s="92">
        <v>2006</v>
      </c>
      <c r="AQ148" s="92">
        <v>2007</v>
      </c>
      <c r="AR148" s="92">
        <v>2008</v>
      </c>
      <c r="AS148" s="92">
        <v>2009</v>
      </c>
      <c r="AT148" s="92">
        <v>2010</v>
      </c>
      <c r="AU148" s="92">
        <v>2011</v>
      </c>
      <c r="AV148" s="92">
        <v>2012</v>
      </c>
      <c r="AW148" s="92">
        <v>2013</v>
      </c>
      <c r="AX148" s="92">
        <v>2014</v>
      </c>
      <c r="AY148" s="92">
        <v>2015</v>
      </c>
      <c r="AZ148" s="92">
        <v>2016</v>
      </c>
      <c r="BA148" s="92">
        <v>2017</v>
      </c>
      <c r="BB148" s="92">
        <v>2018</v>
      </c>
      <c r="BC148" s="92">
        <v>2019</v>
      </c>
      <c r="BD148" s="92" t="s">
        <v>1341</v>
      </c>
    </row>
    <row r="149" spans="1:66">
      <c r="A149" s="209" t="s">
        <v>1310</v>
      </c>
      <c r="Y149" s="209" t="s">
        <v>1310</v>
      </c>
    </row>
    <row r="150" spans="1:66">
      <c r="A150" s="214" t="s">
        <v>82</v>
      </c>
      <c r="B150" s="210">
        <f>IF(SUM(Y45:$AP45)&gt;=$U150,0,MIN(X45,$U150-SUM(C150:$T150)))</f>
        <v>0</v>
      </c>
      <c r="C150" s="210">
        <f>IF(SUM(Z45:$AP45)&gt;=$U150,0,MIN(Y45,$U150-SUM(D150:$T150)))</f>
        <v>0</v>
      </c>
      <c r="D150" s="210">
        <f>IF(SUM(AA45:$AP45)&gt;=$U150,0,MIN(Z45,$U150-SUM(E150:$T150)))</f>
        <v>0</v>
      </c>
      <c r="E150" s="210">
        <f>IF(SUM(AB45:$AP45)&gt;=$U150,0,MIN(AA45,$U150-SUM(F150:$T150)))</f>
        <v>0</v>
      </c>
      <c r="F150" s="210">
        <f>IF(SUM(AC45:$AP45)&gt;=$U150,0,MIN(AB45,$U150-SUM(G150:$T150)))</f>
        <v>0</v>
      </c>
      <c r="G150" s="210">
        <f>IF(SUM(AD45:$AP45)&gt;=$U150,0,MIN(AC45,$U150-SUM(H150:$T150)))</f>
        <v>0</v>
      </c>
      <c r="H150" s="210">
        <f>IF(SUM(AE45:$AP45)&gt;=$U150,0,MIN(AD45,$U150-SUM(I150:$T150)))</f>
        <v>0</v>
      </c>
      <c r="I150" s="210">
        <f>IF(SUM(AF45:$AP45)&gt;=$U150,0,MIN(AE45,$U150-SUM(J150:$T150)))</f>
        <v>0</v>
      </c>
      <c r="J150" s="210">
        <f>IF(SUM(AG45:$AP45)&gt;=$U150,0,MIN(AF45,$U150-SUM(K150:$T150)))</f>
        <v>0</v>
      </c>
      <c r="K150" s="210">
        <f>IF(SUM(AH45:$AP45)&gt;=$U150,0,MIN(AG45,$U150-SUM(L150:$T150)))</f>
        <v>0</v>
      </c>
      <c r="L150" s="210">
        <f>IF(SUM(AI45:$AP45)&gt;=$U150,0,MIN(AH45,$U150-SUM(M150:$T150)))</f>
        <v>0</v>
      </c>
      <c r="M150" s="210">
        <f>IF(SUM(AJ45:$AP45)&gt;=$U150,0,MIN(AI45,$U150-SUM(N150:$T150)))</f>
        <v>0</v>
      </c>
      <c r="N150" s="210">
        <f>IF(SUM(AK45:$AP45)&gt;=$U150,0,MIN(AJ45,$U150-SUM(O150:$T150)))</f>
        <v>0</v>
      </c>
      <c r="O150" s="210">
        <f>IF(SUM(AL45:$AP45)&gt;=$U150,0,MIN(AK45,$U150-SUM(P150:$T150)))</f>
        <v>0</v>
      </c>
      <c r="P150" s="210">
        <f>IF(SUM(AM45:$AP45)&gt;=$U150,0,MIN(AL45,$U150-SUM(Q150:$T150)))</f>
        <v>0</v>
      </c>
      <c r="Q150" s="210">
        <f>IF(SUM(AN45:$AP45)&gt;=$U150,0,MIN(AM45,$U150-SUM(R150:$T150)))</f>
        <v>0</v>
      </c>
      <c r="R150" s="210">
        <f>IF(SUM(AO45:$AP45)&gt;=$U150,0,MIN(AN45,$U150-SUM(S150:$T150)))</f>
        <v>0</v>
      </c>
      <c r="S150" s="210">
        <f>IF(SUM(AP45:$AP45)&gt;=$U150,0,MIN(AO45,$U150-SUM(T150:$T150)))</f>
        <v>0</v>
      </c>
      <c r="T150" s="210">
        <f t="shared" ref="T150:T180" si="225">MIN(AP45,T45)</f>
        <v>0</v>
      </c>
      <c r="U150" s="210">
        <f t="shared" ref="U150:U180" si="226">T45</f>
        <v>0</v>
      </c>
      <c r="V150" s="210"/>
      <c r="Y150" s="214" t="s">
        <v>82</v>
      </c>
      <c r="Z150" s="210">
        <f t="shared" ref="Z150" si="227">AA150</f>
        <v>1.83333333333333</v>
      </c>
      <c r="AA150" s="210">
        <f t="shared" ref="AA150" si="228">AB150</f>
        <v>1.83333333333333</v>
      </c>
      <c r="AB150" s="210">
        <f t="shared" ref="AB150" si="229">AC150</f>
        <v>1.83333333333333</v>
      </c>
      <c r="AC150" s="210">
        <f t="shared" ref="AC150" si="230">AD150</f>
        <v>1.83333333333333</v>
      </c>
      <c r="AD150" s="210">
        <f t="shared" ref="AD150" si="231">AE150</f>
        <v>1.83333333333333</v>
      </c>
      <c r="AE150" s="210">
        <f t="shared" ref="AE150" si="232">AF150</f>
        <v>1.83333333333333</v>
      </c>
      <c r="AF150" s="210">
        <f t="shared" ref="AF150" si="233">AG150</f>
        <v>1.83333333333333</v>
      </c>
      <c r="AG150" s="210">
        <f t="shared" ref="AG150" si="234">AH150</f>
        <v>1.83333333333333</v>
      </c>
      <c r="AH150" s="210">
        <f t="shared" ref="AH150" si="235">AI150</f>
        <v>1.83333333333333</v>
      </c>
      <c r="AI150" s="210">
        <f t="shared" ref="AI150" si="236">AJ150</f>
        <v>1.83333333333333</v>
      </c>
      <c r="AJ150" s="210">
        <f t="shared" ref="AJ150" si="237">AK150</f>
        <v>1.83333333333333</v>
      </c>
      <c r="AK150" s="210">
        <f>IF(SUM(Y80:$AP80)&gt;=$BD150,0,MIN(X80,$BD150-SUM(AL150:$BC150)))/12</f>
        <v>1.83333333333333</v>
      </c>
      <c r="AL150" s="210">
        <f>IF(SUM(Z80:$AP80)&gt;=$BD150,0,MIN(Y80,$BD150-SUM(AM150:$BC150)))</f>
        <v>0</v>
      </c>
      <c r="AM150" s="210">
        <f>IF(SUM(AA80:$AP80)&gt;=$BD150,0,MIN(Z80,$BD150-SUM(AN150:$BC150)))</f>
        <v>0</v>
      </c>
      <c r="AN150" s="210">
        <f>IF(SUM(AB80:$AP80)&gt;=$BD150,0,MIN(AA80,$BD150-SUM(AO150:$BC150)))</f>
        <v>0</v>
      </c>
      <c r="AO150" s="210">
        <f>IF(SUM(AC80:$AP80)&gt;=$BD150,0,MIN(AB80,$BD150-SUM(AP150:$BC150)))</f>
        <v>0</v>
      </c>
      <c r="AP150" s="210">
        <f>IF(SUM(AD80:$AP80)&gt;=$BD150,0,MIN(AC80,$BD150-SUM(AQ150:$BC150)))</f>
        <v>0</v>
      </c>
      <c r="AQ150" s="210">
        <f>IF(SUM(AE80:$AP80)&gt;=$BD150,0,MIN(AD80,$BD150-SUM(AR150:$BC150)))</f>
        <v>0</v>
      </c>
      <c r="AR150" s="210">
        <f>IF(SUM(AF80:$AP80)&gt;=$BD150,0,MIN(AE80,$BD150-SUM(AS150:$BC150)))</f>
        <v>0</v>
      </c>
      <c r="AS150" s="210">
        <f>IF(SUM(AG80:$AP80)&gt;=$BD150,0,MIN(AF80,$BD150-SUM(AT150:$BC150)))</f>
        <v>0</v>
      </c>
      <c r="AT150" s="210">
        <f>IF(SUM(AH80:$AP80)&gt;=$BD150,0,MIN(AG80,$BD150-SUM(AU150:$BC150)))</f>
        <v>0</v>
      </c>
      <c r="AU150" s="210">
        <f>IF(SUM(AI80:$AP80)&gt;=$BD150,0,MIN(AH80,$BD150-SUM(AV150:$BC150)))</f>
        <v>0</v>
      </c>
      <c r="AV150" s="210">
        <f>IF(SUM(AJ80:$AP80)&gt;=$BD150,0,MIN(AI80,$BD150-SUM(AW150:$BC150)))</f>
        <v>0</v>
      </c>
      <c r="AW150" s="210">
        <f>IF(SUM(AK80:$AP80)&gt;=$BD150,0,MIN(AJ80,$BD150-SUM(AX150:$BC150)))</f>
        <v>0</v>
      </c>
      <c r="AX150" s="210">
        <f>IF(SUM(AL80:$AP80)&gt;=$BD150,0,MIN(AK80,$BD150-SUM(AY150:$BC150)))</f>
        <v>0</v>
      </c>
      <c r="AY150" s="210">
        <f>IF(SUM(AM80:$AP80)&gt;=$BD150,0,MIN(AL80,$BD150-SUM(AZ150:$BC150)))</f>
        <v>0</v>
      </c>
      <c r="AZ150" s="210">
        <f>IF(SUM(AN80:$AP80)&gt;=$BD150,0,MIN(AM80,$BD150-SUM(BA150:$BC150)))</f>
        <v>0</v>
      </c>
      <c r="BA150" s="210">
        <f>IF(SUM(AO80:$AP80)&gt;=$BD150,0,MIN(AN80,$BD150-SUM(BB150:$BC150)))</f>
        <v>0</v>
      </c>
      <c r="BB150" s="210">
        <f>IF(SUM(AP80:$AP80)&gt;=$BD150,0,MIN(AO80,$BD150-SUM(BC150:$BC150)))</f>
        <v>0</v>
      </c>
      <c r="BC150" s="210">
        <f t="shared" ref="BC150:BC180" si="238">MIN(AP80,T80)</f>
        <v>0</v>
      </c>
      <c r="BD150" s="210">
        <f t="shared" ref="BD150:BD180" si="239">T80</f>
        <v>22</v>
      </c>
    </row>
    <row r="151" spans="1:66">
      <c r="A151" s="209" t="s">
        <v>84</v>
      </c>
      <c r="B151" s="210">
        <f>IF(SUM(Y46:$AP46)&gt;=$U151,0,MIN(X46,$U151-SUM(C151:$T151)))</f>
        <v>0</v>
      </c>
      <c r="C151" s="210">
        <f>IF(SUM(Z46:$AP46)&gt;=$U151,0,MIN(Y46,$U151-SUM(D151:$T151)))</f>
        <v>0</v>
      </c>
      <c r="D151" s="210">
        <f>IF(SUM(AA46:$AP46)&gt;=$U151,0,MIN(Z46,$U151-SUM(E151:$T151)))</f>
        <v>0</v>
      </c>
      <c r="E151" s="210">
        <f>IF(SUM(AB46:$AP46)&gt;=$U151,0,MIN(AA46,$U151-SUM(F151:$T151)))</f>
        <v>0</v>
      </c>
      <c r="F151" s="210">
        <f>IF(SUM(AC46:$AP46)&gt;=$U151,0,MIN(AB46,$U151-SUM(G151:$T151)))</f>
        <v>0</v>
      </c>
      <c r="G151" s="210">
        <f>IF(SUM(AD46:$AP46)&gt;=$U151,0,MIN(AC46,$U151-SUM(H151:$T151)))</f>
        <v>0</v>
      </c>
      <c r="H151" s="210">
        <f>IF(SUM(AE46:$AP46)&gt;=$U151,0,MIN(AD46,$U151-SUM(I151:$T151)))</f>
        <v>0</v>
      </c>
      <c r="I151" s="210">
        <f>IF(SUM(AF46:$AP46)&gt;=$U151,0,MIN(AE46,$U151-SUM(J151:$T151)))</f>
        <v>0</v>
      </c>
      <c r="J151" s="210">
        <f>IF(SUM(AG46:$AP46)&gt;=$U151,0,MIN(AF46,$U151-SUM(K151:$T151)))</f>
        <v>0</v>
      </c>
      <c r="K151" s="210">
        <f>IF(SUM(AH46:$AP46)&gt;=$U151,0,MIN(AG46,$U151-SUM(L151:$T151)))</f>
        <v>0</v>
      </c>
      <c r="L151" s="210">
        <f>IF(SUM(AI46:$AP46)&gt;=$U151,0,MIN(AH46,$U151-SUM(M151:$T151)))</f>
        <v>0</v>
      </c>
      <c r="M151" s="210">
        <f>IF(SUM(AJ46:$AP46)&gt;=$U151,0,MIN(AI46,$U151-SUM(N151:$T151)))</f>
        <v>0</v>
      </c>
      <c r="N151" s="210">
        <f>IF(SUM(AK46:$AP46)&gt;=$U151,0,MIN(AJ46,$U151-SUM(O151:$T151)))</f>
        <v>0</v>
      </c>
      <c r="O151" s="210">
        <f>IF(SUM(AL46:$AP46)&gt;=$U151,0,MIN(AK46,$U151-SUM(P151:$T151)))</f>
        <v>0</v>
      </c>
      <c r="P151" s="210">
        <f>IF(SUM(AM46:$AP46)&gt;=$U151,0,MIN(AL46,$U151-SUM(Q151:$T151)))</f>
        <v>0</v>
      </c>
      <c r="Q151" s="210">
        <f>IF(SUM(AN46:$AP46)&gt;=$U151,0,MIN(AM46,$U151-SUM(R151:$T151)))</f>
        <v>0</v>
      </c>
      <c r="R151" s="210">
        <f>IF(SUM(AO46:$AP46)&gt;=$U151,0,MIN(AN46,$U151-SUM(S151:$T151)))</f>
        <v>0</v>
      </c>
      <c r="S151" s="210">
        <f>IF(SUM(AP46:$AP46)&gt;=$U151,0,MIN(AO46,$U151-SUM(T151:$T151)))</f>
        <v>0</v>
      </c>
      <c r="T151" s="210">
        <f t="shared" si="225"/>
        <v>0</v>
      </c>
      <c r="U151" s="210">
        <f t="shared" si="226"/>
        <v>0</v>
      </c>
      <c r="V151" s="210"/>
      <c r="Y151" s="209" t="s">
        <v>84</v>
      </c>
      <c r="Z151" s="210">
        <f t="shared" ref="Z151:Z180" si="240">AA151</f>
        <v>1.5</v>
      </c>
      <c r="AA151" s="210">
        <f t="shared" ref="AA151:AA180" si="241">AB151</f>
        <v>1.5</v>
      </c>
      <c r="AB151" s="210">
        <f t="shared" ref="AB151:AB180" si="242">AC151</f>
        <v>1.5</v>
      </c>
      <c r="AC151" s="210">
        <f t="shared" ref="AC151:AC180" si="243">AD151</f>
        <v>1.5</v>
      </c>
      <c r="AD151" s="210">
        <f t="shared" ref="AD151:AD180" si="244">AE151</f>
        <v>1.5</v>
      </c>
      <c r="AE151" s="210">
        <f t="shared" ref="AE151:AE180" si="245">AF151</f>
        <v>1.5</v>
      </c>
      <c r="AF151" s="210">
        <f t="shared" ref="AF151:AF180" si="246">AG151</f>
        <v>1.5</v>
      </c>
      <c r="AG151" s="210">
        <f t="shared" ref="AG151:AG180" si="247">AH151</f>
        <v>1.5</v>
      </c>
      <c r="AH151" s="210">
        <f t="shared" ref="AH151:AH180" si="248">AI151</f>
        <v>1.5</v>
      </c>
      <c r="AI151" s="210">
        <f t="shared" ref="AI151:AI180" si="249">AJ151</f>
        <v>1.5</v>
      </c>
      <c r="AJ151" s="210">
        <f t="shared" ref="AJ151:AJ180" si="250">AK151</f>
        <v>1.5</v>
      </c>
      <c r="AK151" s="210">
        <f>IF(SUM(Y81:$AP81)&gt;=$BD151,0,MIN(X81,$BD151-SUM(AL151:$BC151)))/12</f>
        <v>1.5</v>
      </c>
      <c r="AL151" s="210">
        <f>IF(SUM(Z81:$AP81)&gt;=$BD151,0,MIN(Y81,$BD151-SUM(AM151:$BC151)))</f>
        <v>0</v>
      </c>
      <c r="AM151" s="210">
        <f>IF(SUM(AA81:$AP81)&gt;=$BD151,0,MIN(Z81,$BD151-SUM(AN151:$BC151)))</f>
        <v>0</v>
      </c>
      <c r="AN151" s="210">
        <f>IF(SUM(AB81:$AP81)&gt;=$BD151,0,MIN(AA81,$BD151-SUM(AO151:$BC151)))</f>
        <v>0</v>
      </c>
      <c r="AO151" s="210">
        <f>IF(SUM(AC81:$AP81)&gt;=$BD151,0,MIN(AB81,$BD151-SUM(AP151:$BC151)))</f>
        <v>0</v>
      </c>
      <c r="AP151" s="210">
        <f>IF(SUM(AD81:$AP81)&gt;=$BD151,0,MIN(AC81,$BD151-SUM(AQ151:$BC151)))</f>
        <v>0</v>
      </c>
      <c r="AQ151" s="210">
        <f>IF(SUM(AE81:$AP81)&gt;=$BD151,0,MIN(AD81,$BD151-SUM(AR151:$BC151)))</f>
        <v>0</v>
      </c>
      <c r="AR151" s="210">
        <f>IF(SUM(AF81:$AP81)&gt;=$BD151,0,MIN(AE81,$BD151-SUM(AS151:$BC151)))</f>
        <v>0</v>
      </c>
      <c r="AS151" s="210">
        <f>IF(SUM(AG81:$AP81)&gt;=$BD151,0,MIN(AF81,$BD151-SUM(AT151:$BC151)))</f>
        <v>0</v>
      </c>
      <c r="AT151" s="210">
        <f>IF(SUM(AH81:$AP81)&gt;=$BD151,0,MIN(AG81,$BD151-SUM(AU151:$BC151)))</f>
        <v>0</v>
      </c>
      <c r="AU151" s="210">
        <f>IF(SUM(AI81:$AP81)&gt;=$BD151,0,MIN(AH81,$BD151-SUM(AV151:$BC151)))</f>
        <v>0</v>
      </c>
      <c r="AV151" s="210">
        <f>IF(SUM(AJ81:$AP81)&gt;=$BD151,0,MIN(AI81,$BD151-SUM(AW151:$BC151)))</f>
        <v>0</v>
      </c>
      <c r="AW151" s="210">
        <f>IF(SUM(AK81:$AP81)&gt;=$BD151,0,MIN(AJ81,$BD151-SUM(AX151:$BC151)))</f>
        <v>0</v>
      </c>
      <c r="AX151" s="210">
        <f>IF(SUM(AL81:$AP81)&gt;=$BD151,0,MIN(AK81,$BD151-SUM(AY151:$BC151)))</f>
        <v>0</v>
      </c>
      <c r="AY151" s="210">
        <f>IF(SUM(AM81:$AP81)&gt;=$BD151,0,MIN(AL81,$BD151-SUM(AZ151:$BC151)))</f>
        <v>0</v>
      </c>
      <c r="AZ151" s="210">
        <f>IF(SUM(AN81:$AP81)&gt;=$BD151,0,MIN(AM81,$BD151-SUM(BA151:$BC151)))</f>
        <v>0</v>
      </c>
      <c r="BA151" s="210">
        <f>IF(SUM(AO81:$AP81)&gt;=$BD151,0,MIN(AN81,$BD151-SUM(BB151:$BC151)))</f>
        <v>0</v>
      </c>
      <c r="BB151" s="210">
        <f>IF(SUM(AP81:$AP81)&gt;=$BD151,0,MIN(AO81,$BD151-SUM(BC151:$BC151)))</f>
        <v>0</v>
      </c>
      <c r="BC151" s="210">
        <f t="shared" si="238"/>
        <v>0</v>
      </c>
      <c r="BD151" s="210">
        <f t="shared" si="239"/>
        <v>18</v>
      </c>
    </row>
    <row r="152" spans="1:66">
      <c r="A152" s="209" t="s">
        <v>86</v>
      </c>
      <c r="B152" s="210">
        <f>IF(SUM(Y47:$AP47)&gt;=$U152,0,MIN(X47,$U152-SUM(C152:$T152)))</f>
        <v>0</v>
      </c>
      <c r="C152" s="210">
        <f>IF(SUM(Z47:$AP47)&gt;=$U152,0,MIN(Y47,$U152-SUM(D152:$T152)))</f>
        <v>0</v>
      </c>
      <c r="D152" s="210">
        <f>IF(SUM(AA47:$AP47)&gt;=$U152,0,MIN(Z47,$U152-SUM(E152:$T152)))</f>
        <v>0</v>
      </c>
      <c r="E152" s="210">
        <f>IF(SUM(AB47:$AP47)&gt;=$U152,0,MIN(AA47,$U152-SUM(F152:$T152)))</f>
        <v>0</v>
      </c>
      <c r="F152" s="210">
        <f>IF(SUM(AC47:$AP47)&gt;=$U152,0,MIN(AB47,$U152-SUM(G152:$T152)))</f>
        <v>0</v>
      </c>
      <c r="G152" s="210">
        <f>IF(SUM(AD47:$AP47)&gt;=$U152,0,MIN(AC47,$U152-SUM(H152:$T152)))</f>
        <v>0</v>
      </c>
      <c r="H152" s="210">
        <f>IF(SUM(AE47:$AP47)&gt;=$U152,0,MIN(AD47,$U152-SUM(I152:$T152)))</f>
        <v>0</v>
      </c>
      <c r="I152" s="210">
        <f>IF(SUM(AF47:$AP47)&gt;=$U152,0,MIN(AE47,$U152-SUM(J152:$T152)))</f>
        <v>0</v>
      </c>
      <c r="J152" s="210">
        <f>IF(SUM(AG47:$AP47)&gt;=$U152,0,MIN(AF47,$U152-SUM(K152:$T152)))</f>
        <v>0</v>
      </c>
      <c r="K152" s="210">
        <f>IF(SUM(AH47:$AP47)&gt;=$U152,0,MIN(AG47,$U152-SUM(L152:$T152)))</f>
        <v>0</v>
      </c>
      <c r="L152" s="210">
        <f>IF(SUM(AI47:$AP47)&gt;=$U152,0,MIN(AH47,$U152-SUM(M152:$T152)))</f>
        <v>0</v>
      </c>
      <c r="M152" s="210">
        <f>IF(SUM(AJ47:$AP47)&gt;=$U152,0,MIN(AI47,$U152-SUM(N152:$T152)))</f>
        <v>0</v>
      </c>
      <c r="N152" s="210">
        <f>IF(SUM(AK47:$AP47)&gt;=$U152,0,MIN(AJ47,$U152-SUM(O152:$T152)))</f>
        <v>0</v>
      </c>
      <c r="O152" s="210">
        <f>IF(SUM(AL47:$AP47)&gt;=$U152,0,MIN(AK47,$U152-SUM(P152:$T152)))</f>
        <v>0</v>
      </c>
      <c r="P152" s="210">
        <f>IF(SUM(AM47:$AP47)&gt;=$U152,0,MIN(AL47,$U152-SUM(Q152:$T152)))</f>
        <v>0</v>
      </c>
      <c r="Q152" s="210">
        <f>IF(SUM(AN47:$AP47)&gt;=$U152,0,MIN(AM47,$U152-SUM(R152:$T152)))</f>
        <v>0</v>
      </c>
      <c r="R152" s="210">
        <f>IF(SUM(AO47:$AP47)&gt;=$U152,0,MIN(AN47,$U152-SUM(S152:$T152)))</f>
        <v>0</v>
      </c>
      <c r="S152" s="210">
        <f>IF(SUM(AP47:$AP47)&gt;=$U152,0,MIN(AO47,$U152-SUM(T152:$T152)))</f>
        <v>0</v>
      </c>
      <c r="T152" s="210">
        <f t="shared" si="225"/>
        <v>0</v>
      </c>
      <c r="U152" s="210">
        <f t="shared" si="226"/>
        <v>0</v>
      </c>
      <c r="V152" s="210"/>
      <c r="Y152" s="209" t="s">
        <v>86</v>
      </c>
      <c r="Z152" s="210">
        <f t="shared" si="240"/>
        <v>0</v>
      </c>
      <c r="AA152" s="210">
        <f t="shared" si="241"/>
        <v>0</v>
      </c>
      <c r="AB152" s="210">
        <f t="shared" si="242"/>
        <v>0</v>
      </c>
      <c r="AC152" s="210">
        <f t="shared" si="243"/>
        <v>0</v>
      </c>
      <c r="AD152" s="210">
        <f t="shared" si="244"/>
        <v>0</v>
      </c>
      <c r="AE152" s="210">
        <f t="shared" si="245"/>
        <v>0</v>
      </c>
      <c r="AF152" s="210">
        <f t="shared" si="246"/>
        <v>0</v>
      </c>
      <c r="AG152" s="210">
        <f t="shared" si="247"/>
        <v>0</v>
      </c>
      <c r="AH152" s="210">
        <f t="shared" si="248"/>
        <v>0</v>
      </c>
      <c r="AI152" s="210">
        <f t="shared" si="249"/>
        <v>0</v>
      </c>
      <c r="AJ152" s="210">
        <f t="shared" si="250"/>
        <v>0</v>
      </c>
      <c r="AK152" s="210">
        <f>IF(SUM(Y82:$AP82)&gt;=$BD152,0,MIN(X82,$BD152-SUM(AL152:$BC152)))/12</f>
        <v>0</v>
      </c>
      <c r="AL152" s="210">
        <f>IF(SUM(Z82:$AP82)&gt;=$BD152,0,MIN(Y82,$BD152-SUM(AM152:$BC152)))</f>
        <v>0</v>
      </c>
      <c r="AM152" s="210">
        <f>IF(SUM(AA82:$AP82)&gt;=$BD152,0,MIN(Z82,$BD152-SUM(AN152:$BC152)))</f>
        <v>0</v>
      </c>
      <c r="AN152" s="210">
        <f>IF(SUM(AB82:$AP82)&gt;=$BD152,0,MIN(AA82,$BD152-SUM(AO152:$BC152)))</f>
        <v>0</v>
      </c>
      <c r="AO152" s="210">
        <f>IF(SUM(AC82:$AP82)&gt;=$BD152,0,MIN(AB82,$BD152-SUM(AP152:$BC152)))</f>
        <v>0</v>
      </c>
      <c r="AP152" s="210">
        <f>IF(SUM(AD82:$AP82)&gt;=$BD152,0,MIN(AC82,$BD152-SUM(AQ152:$BC152)))</f>
        <v>0</v>
      </c>
      <c r="AQ152" s="210">
        <f>IF(SUM(AE82:$AP82)&gt;=$BD152,0,MIN(AD82,$BD152-SUM(AR152:$BC152)))</f>
        <v>0</v>
      </c>
      <c r="AR152" s="210">
        <f>IF(SUM(AF82:$AP82)&gt;=$BD152,0,MIN(AE82,$BD152-SUM(AS152:$BC152)))</f>
        <v>0</v>
      </c>
      <c r="AS152" s="210">
        <f>IF(SUM(AG82:$AP82)&gt;=$BD152,0,MIN(AF82,$BD152-SUM(AT152:$BC152)))</f>
        <v>0</v>
      </c>
      <c r="AT152" s="210">
        <f>IF(SUM(AH82:$AP82)&gt;=$BD152,0,MIN(AG82,$BD152-SUM(AU152:$BC152)))</f>
        <v>0</v>
      </c>
      <c r="AU152" s="210">
        <f>IF(SUM(AI82:$AP82)&gt;=$BD152,0,MIN(AH82,$BD152-SUM(AV152:$BC152)))</f>
        <v>0</v>
      </c>
      <c r="AV152" s="210">
        <f>IF(SUM(AJ82:$AP82)&gt;=$BD152,0,MIN(AI82,$BD152-SUM(AW152:$BC152)))</f>
        <v>0</v>
      </c>
      <c r="AW152" s="210">
        <f>IF(SUM(AK82:$AP82)&gt;=$BD152,0,MIN(AJ82,$BD152-SUM(AX152:$BC152)))</f>
        <v>0</v>
      </c>
      <c r="AX152" s="210">
        <f>IF(SUM(AL82:$AP82)&gt;=$BD152,0,MIN(AK82,$BD152-SUM(AY152:$BC152)))</f>
        <v>0</v>
      </c>
      <c r="AY152" s="210">
        <f>IF(SUM(AM82:$AP82)&gt;=$BD152,0,MIN(AL82,$BD152-SUM(AZ152:$BC152)))</f>
        <v>0</v>
      </c>
      <c r="AZ152" s="210">
        <f>IF(SUM(AN82:$AP82)&gt;=$BD152,0,MIN(AM82,$BD152-SUM(BA152:$BC152)))</f>
        <v>0</v>
      </c>
      <c r="BA152" s="210">
        <f>IF(SUM(AO82:$AP82)&gt;=$BD152,0,MIN(AN82,$BD152-SUM(BB152:$BC152)))</f>
        <v>0</v>
      </c>
      <c r="BB152" s="210">
        <f>IF(SUM(AP82:$AP82)&gt;=$BD152,0,MIN(AO82,$BD152-SUM(BC152:$BC152)))</f>
        <v>0</v>
      </c>
      <c r="BC152" s="210">
        <f t="shared" si="238"/>
        <v>0</v>
      </c>
      <c r="BD152" s="210">
        <f t="shared" si="239"/>
        <v>0</v>
      </c>
    </row>
    <row r="153" spans="1:66">
      <c r="A153" s="209" t="s">
        <v>88</v>
      </c>
      <c r="B153" s="210">
        <f>IF(SUM(Y48:$AP48)&gt;=$U153,0,MIN(X48,$U153-SUM(C153:$T153)))</f>
        <v>0</v>
      </c>
      <c r="C153" s="210">
        <f>IF(SUM(Z48:$AP48)&gt;=$U153,0,MIN(Y48,$U153-SUM(D153:$T153)))</f>
        <v>0</v>
      </c>
      <c r="D153" s="210">
        <f>IF(SUM(AA48:$AP48)&gt;=$U153,0,MIN(Z48,$U153-SUM(E153:$T153)))</f>
        <v>0</v>
      </c>
      <c r="E153" s="210">
        <f>IF(SUM(AB48:$AP48)&gt;=$U153,0,MIN(AA48,$U153-SUM(F153:$T153)))</f>
        <v>0</v>
      </c>
      <c r="F153" s="210">
        <f>IF(SUM(AC48:$AP48)&gt;=$U153,0,MIN(AB48,$U153-SUM(G153:$T153)))</f>
        <v>0</v>
      </c>
      <c r="G153" s="210">
        <f>IF(SUM(AD48:$AP48)&gt;=$U153,0,MIN(AC48,$U153-SUM(H153:$T153)))</f>
        <v>0</v>
      </c>
      <c r="H153" s="210">
        <f>IF(SUM(AE48:$AP48)&gt;=$U153,0,MIN(AD48,$U153-SUM(I153:$T153)))</f>
        <v>0</v>
      </c>
      <c r="I153" s="210">
        <f>IF(SUM(AF48:$AP48)&gt;=$U153,0,MIN(AE48,$U153-SUM(J153:$T153)))</f>
        <v>0</v>
      </c>
      <c r="J153" s="210">
        <f>IF(SUM(AG48:$AP48)&gt;=$U153,0,MIN(AF48,$U153-SUM(K153:$T153)))</f>
        <v>0</v>
      </c>
      <c r="K153" s="210">
        <f>IF(SUM(AH48:$AP48)&gt;=$U153,0,MIN(AG48,$U153-SUM(L153:$T153)))</f>
        <v>0</v>
      </c>
      <c r="L153" s="210">
        <f>IF(SUM(AI48:$AP48)&gt;=$U153,0,MIN(AH48,$U153-SUM(M153:$T153)))</f>
        <v>0</v>
      </c>
      <c r="M153" s="210">
        <f>IF(SUM(AJ48:$AP48)&gt;=$U153,0,MIN(AI48,$U153-SUM(N153:$T153)))</f>
        <v>0</v>
      </c>
      <c r="N153" s="210">
        <f>IF(SUM(AK48:$AP48)&gt;=$U153,0,MIN(AJ48,$U153-SUM(O153:$T153)))</f>
        <v>0</v>
      </c>
      <c r="O153" s="210">
        <f>IF(SUM(AL48:$AP48)&gt;=$U153,0,MIN(AK48,$U153-SUM(P153:$T153)))</f>
        <v>0</v>
      </c>
      <c r="P153" s="210">
        <f>IF(SUM(AM48:$AP48)&gt;=$U153,0,MIN(AL48,$U153-SUM(Q153:$T153)))</f>
        <v>0</v>
      </c>
      <c r="Q153" s="210">
        <f>IF(SUM(AN48:$AP48)&gt;=$U153,0,MIN(AM48,$U153-SUM(R153:$T153)))</f>
        <v>0</v>
      </c>
      <c r="R153" s="210">
        <f>IF(SUM(AO48:$AP48)&gt;=$U153,0,MIN(AN48,$U153-SUM(S153:$T153)))</f>
        <v>0</v>
      </c>
      <c r="S153" s="210">
        <f>IF(SUM(AP48:$AP48)&gt;=$U153,0,MIN(AO48,$U153-SUM(T153:$T153)))</f>
        <v>0</v>
      </c>
      <c r="T153" s="210">
        <f t="shared" si="225"/>
        <v>0</v>
      </c>
      <c r="U153" s="210">
        <f t="shared" si="226"/>
        <v>0</v>
      </c>
      <c r="V153" s="210"/>
      <c r="Y153" s="209" t="s">
        <v>88</v>
      </c>
      <c r="Z153" s="210">
        <f t="shared" si="240"/>
        <v>0</v>
      </c>
      <c r="AA153" s="210">
        <f t="shared" si="241"/>
        <v>0</v>
      </c>
      <c r="AB153" s="210">
        <f t="shared" si="242"/>
        <v>0</v>
      </c>
      <c r="AC153" s="210">
        <f t="shared" si="243"/>
        <v>0</v>
      </c>
      <c r="AD153" s="210">
        <f t="shared" si="244"/>
        <v>0</v>
      </c>
      <c r="AE153" s="210">
        <f t="shared" si="245"/>
        <v>0</v>
      </c>
      <c r="AF153" s="210">
        <f t="shared" si="246"/>
        <v>0</v>
      </c>
      <c r="AG153" s="210">
        <f t="shared" si="247"/>
        <v>0</v>
      </c>
      <c r="AH153" s="210">
        <f t="shared" si="248"/>
        <v>0</v>
      </c>
      <c r="AI153" s="210">
        <f t="shared" si="249"/>
        <v>0</v>
      </c>
      <c r="AJ153" s="210">
        <f t="shared" si="250"/>
        <v>0</v>
      </c>
      <c r="AK153" s="210">
        <f>IF(SUM(Y83:$AP83)&gt;=$BD153,0,MIN(X83,$BD153-SUM(AL153:$BC153)))/12</f>
        <v>0</v>
      </c>
      <c r="AL153" s="210">
        <f>IF(SUM(Z83:$AP83)&gt;=$BD153,0,MIN(Y83,$BD153-SUM(AM153:$BC153)))</f>
        <v>0</v>
      </c>
      <c r="AM153" s="210">
        <f>IF(SUM(AA83:$AP83)&gt;=$BD153,0,MIN(Z83,$BD153-SUM(AN153:$BC153)))</f>
        <v>0</v>
      </c>
      <c r="AN153" s="210">
        <f>IF(SUM(AB83:$AP83)&gt;=$BD153,0,MIN(AA83,$BD153-SUM(AO153:$BC153)))</f>
        <v>0</v>
      </c>
      <c r="AO153" s="210">
        <f>IF(SUM(AC83:$AP83)&gt;=$BD153,0,MIN(AB83,$BD153-SUM(AP153:$BC153)))</f>
        <v>0</v>
      </c>
      <c r="AP153" s="210">
        <f>IF(SUM(AD83:$AP83)&gt;=$BD153,0,MIN(AC83,$BD153-SUM(AQ153:$BC153)))</f>
        <v>0</v>
      </c>
      <c r="AQ153" s="210">
        <f>IF(SUM(AE83:$AP83)&gt;=$BD153,0,MIN(AD83,$BD153-SUM(AR153:$BC153)))</f>
        <v>0</v>
      </c>
      <c r="AR153" s="210">
        <f>IF(SUM(AF83:$AP83)&gt;=$BD153,0,MIN(AE83,$BD153-SUM(AS153:$BC153)))</f>
        <v>0</v>
      </c>
      <c r="AS153" s="210">
        <f>IF(SUM(AG83:$AP83)&gt;=$BD153,0,MIN(AF83,$BD153-SUM(AT153:$BC153)))</f>
        <v>0</v>
      </c>
      <c r="AT153" s="210">
        <f>IF(SUM(AH83:$AP83)&gt;=$BD153,0,MIN(AG83,$BD153-SUM(AU153:$BC153)))</f>
        <v>0</v>
      </c>
      <c r="AU153" s="210">
        <f>IF(SUM(AI83:$AP83)&gt;=$BD153,0,MIN(AH83,$BD153-SUM(AV153:$BC153)))</f>
        <v>0</v>
      </c>
      <c r="AV153" s="210">
        <f>IF(SUM(AJ83:$AP83)&gt;=$BD153,0,MIN(AI83,$BD153-SUM(AW153:$BC153)))</f>
        <v>0</v>
      </c>
      <c r="AW153" s="210">
        <f>IF(SUM(AK83:$AP83)&gt;=$BD153,0,MIN(AJ83,$BD153-SUM(AX153:$BC153)))</f>
        <v>0</v>
      </c>
      <c r="AX153" s="210">
        <f>IF(SUM(AL83:$AP83)&gt;=$BD153,0,MIN(AK83,$BD153-SUM(AY153:$BC153)))</f>
        <v>0</v>
      </c>
      <c r="AY153" s="210">
        <f>IF(SUM(AM83:$AP83)&gt;=$BD153,0,MIN(AL83,$BD153-SUM(AZ153:$BC153)))</f>
        <v>0</v>
      </c>
      <c r="AZ153" s="210">
        <f>IF(SUM(AN83:$AP83)&gt;=$BD153,0,MIN(AM83,$BD153-SUM(BA153:$BC153)))</f>
        <v>0</v>
      </c>
      <c r="BA153" s="210">
        <f>IF(SUM(AO83:$AP83)&gt;=$BD153,0,MIN(AN83,$BD153-SUM(BB153:$BC153)))</f>
        <v>0</v>
      </c>
      <c r="BB153" s="210">
        <f>IF(SUM(AP83:$AP83)&gt;=$BD153,0,MIN(AO83,$BD153-SUM(BC153:$BC153)))</f>
        <v>0</v>
      </c>
      <c r="BC153" s="210">
        <f t="shared" si="238"/>
        <v>0</v>
      </c>
      <c r="BD153" s="210">
        <f t="shared" si="239"/>
        <v>0</v>
      </c>
    </row>
    <row r="154" spans="1:66">
      <c r="A154" s="209" t="s">
        <v>208</v>
      </c>
      <c r="B154" s="210">
        <f>IF(SUM(Y49:$AP49)&gt;=$U154,0,MIN(X49,$U154-SUM(C154:$T154)))</f>
        <v>0</v>
      </c>
      <c r="C154" s="210">
        <f>IF(SUM(Z49:$AP49)&gt;=$U154,0,MIN(Y49,$U154-SUM(D154:$T154)))</f>
        <v>0</v>
      </c>
      <c r="D154" s="210">
        <f>IF(SUM(AA49:$AP49)&gt;=$U154,0,MIN(Z49,$U154-SUM(E154:$T154)))</f>
        <v>0</v>
      </c>
      <c r="E154" s="210">
        <f>IF(SUM(AB49:$AP49)&gt;=$U154,0,MIN(AA49,$U154-SUM(F154:$T154)))</f>
        <v>0</v>
      </c>
      <c r="F154" s="210">
        <f>IF(SUM(AC49:$AP49)&gt;=$U154,0,MIN(AB49,$U154-SUM(G154:$T154)))</f>
        <v>0</v>
      </c>
      <c r="G154" s="210">
        <f>IF(SUM(AD49:$AP49)&gt;=$U154,0,MIN(AC49,$U154-SUM(H154:$T154)))</f>
        <v>0</v>
      </c>
      <c r="H154" s="210">
        <f>IF(SUM(AE49:$AP49)&gt;=$U154,0,MIN(AD49,$U154-SUM(I154:$T154)))</f>
        <v>0</v>
      </c>
      <c r="I154" s="210">
        <f>IF(SUM(AF49:$AP49)&gt;=$U154,0,MIN(AE49,$U154-SUM(J154:$T154)))</f>
        <v>0</v>
      </c>
      <c r="J154" s="210">
        <f>IF(SUM(AG49:$AP49)&gt;=$U154,0,MIN(AF49,$U154-SUM(K154:$T154)))</f>
        <v>0</v>
      </c>
      <c r="K154" s="210">
        <f>IF(SUM(AH49:$AP49)&gt;=$U154,0,MIN(AG49,$U154-SUM(L154:$T154)))</f>
        <v>0</v>
      </c>
      <c r="L154" s="210">
        <f>IF(SUM(AI49:$AP49)&gt;=$U154,0,MIN(AH49,$U154-SUM(M154:$T154)))</f>
        <v>0</v>
      </c>
      <c r="M154" s="210">
        <f>IF(SUM(AJ49:$AP49)&gt;=$U154,0,MIN(AI49,$U154-SUM(N154:$T154)))</f>
        <v>0</v>
      </c>
      <c r="N154" s="210">
        <f>IF(SUM(AK49:$AP49)&gt;=$U154,0,MIN(AJ49,$U154-SUM(O154:$T154)))</f>
        <v>0</v>
      </c>
      <c r="O154" s="210">
        <f>IF(SUM(AL49:$AP49)&gt;=$U154,0,MIN(AK49,$U154-SUM(P154:$T154)))</f>
        <v>0</v>
      </c>
      <c r="P154" s="210">
        <f>IF(SUM(AM49:$AP49)&gt;=$U154,0,MIN(AL49,$U154-SUM(Q154:$T154)))</f>
        <v>0</v>
      </c>
      <c r="Q154" s="210">
        <f>IF(SUM(AN49:$AP49)&gt;=$U154,0,MIN(AM49,$U154-SUM(R154:$T154)))</f>
        <v>0</v>
      </c>
      <c r="R154" s="210">
        <f>IF(SUM(AO49:$AP49)&gt;=$U154,0,MIN(AN49,$U154-SUM(S154:$T154)))</f>
        <v>0</v>
      </c>
      <c r="S154" s="210">
        <f>IF(SUM(AP49:$AP49)&gt;=$U154,0,MIN(AO49,$U154-SUM(T154:$T154)))</f>
        <v>0</v>
      </c>
      <c r="T154" s="210">
        <f t="shared" si="225"/>
        <v>0</v>
      </c>
      <c r="U154" s="210">
        <f t="shared" si="226"/>
        <v>0</v>
      </c>
      <c r="V154" s="210"/>
      <c r="Y154" s="209" t="s">
        <v>208</v>
      </c>
      <c r="Z154" s="210">
        <f t="shared" si="240"/>
        <v>0</v>
      </c>
      <c r="AA154" s="210">
        <f t="shared" si="241"/>
        <v>0</v>
      </c>
      <c r="AB154" s="210">
        <f t="shared" si="242"/>
        <v>0</v>
      </c>
      <c r="AC154" s="210">
        <f t="shared" si="243"/>
        <v>0</v>
      </c>
      <c r="AD154" s="210">
        <f t="shared" si="244"/>
        <v>0</v>
      </c>
      <c r="AE154" s="210">
        <f t="shared" si="245"/>
        <v>0</v>
      </c>
      <c r="AF154" s="210">
        <f t="shared" si="246"/>
        <v>0</v>
      </c>
      <c r="AG154" s="210">
        <f t="shared" si="247"/>
        <v>0</v>
      </c>
      <c r="AH154" s="210">
        <f t="shared" si="248"/>
        <v>0</v>
      </c>
      <c r="AI154" s="210">
        <f t="shared" si="249"/>
        <v>0</v>
      </c>
      <c r="AJ154" s="210">
        <f t="shared" si="250"/>
        <v>0</v>
      </c>
      <c r="AK154" s="210">
        <f>IF(SUM(Y84:$AP84)&gt;=$BD154,0,MIN(X84,$BD154-SUM(AL154:$BC154)))/12</f>
        <v>0</v>
      </c>
      <c r="AL154" s="210">
        <f>IF(SUM(Z84:$AP84)&gt;=$BD154,0,MIN(Y84,$BD154-SUM(AM154:$BC154)))</f>
        <v>0</v>
      </c>
      <c r="AM154" s="210">
        <f>IF(SUM(AA84:$AP84)&gt;=$BD154,0,MIN(Z84,$BD154-SUM(AN154:$BC154)))</f>
        <v>0</v>
      </c>
      <c r="AN154" s="210">
        <f>IF(SUM(AB84:$AP84)&gt;=$BD154,0,MIN(AA84,$BD154-SUM(AO154:$BC154)))</f>
        <v>0</v>
      </c>
      <c r="AO154" s="210">
        <f>IF(SUM(AC84:$AP84)&gt;=$BD154,0,MIN(AB84,$BD154-SUM(AP154:$BC154)))</f>
        <v>0</v>
      </c>
      <c r="AP154" s="210">
        <f>IF(SUM(AD84:$AP84)&gt;=$BD154,0,MIN(AC84,$BD154-SUM(AQ154:$BC154)))</f>
        <v>0</v>
      </c>
      <c r="AQ154" s="210">
        <f>IF(SUM(AE84:$AP84)&gt;=$BD154,0,MIN(AD84,$BD154-SUM(AR154:$BC154)))</f>
        <v>0</v>
      </c>
      <c r="AR154" s="210">
        <f>IF(SUM(AF84:$AP84)&gt;=$BD154,0,MIN(AE84,$BD154-SUM(AS154:$BC154)))</f>
        <v>0</v>
      </c>
      <c r="AS154" s="210">
        <f>IF(SUM(AG84:$AP84)&gt;=$BD154,0,MIN(AF84,$BD154-SUM(AT154:$BC154)))</f>
        <v>0</v>
      </c>
      <c r="AT154" s="210">
        <f>IF(SUM(AH84:$AP84)&gt;=$BD154,0,MIN(AG84,$BD154-SUM(AU154:$BC154)))</f>
        <v>0</v>
      </c>
      <c r="AU154" s="210">
        <f>IF(SUM(AI84:$AP84)&gt;=$BD154,0,MIN(AH84,$BD154-SUM(AV154:$BC154)))</f>
        <v>0</v>
      </c>
      <c r="AV154" s="210">
        <f>IF(SUM(AJ84:$AP84)&gt;=$BD154,0,MIN(AI84,$BD154-SUM(AW154:$BC154)))</f>
        <v>0</v>
      </c>
      <c r="AW154" s="210">
        <f>IF(SUM(AK84:$AP84)&gt;=$BD154,0,MIN(AJ84,$BD154-SUM(AX154:$BC154)))</f>
        <v>0</v>
      </c>
      <c r="AX154" s="210">
        <f>IF(SUM(AL84:$AP84)&gt;=$BD154,0,MIN(AK84,$BD154-SUM(AY154:$BC154)))</f>
        <v>0</v>
      </c>
      <c r="AY154" s="210">
        <f>IF(SUM(AM84:$AP84)&gt;=$BD154,0,MIN(AL84,$BD154-SUM(AZ154:$BC154)))</f>
        <v>0</v>
      </c>
      <c r="AZ154" s="210">
        <f>IF(SUM(AN84:$AP84)&gt;=$BD154,0,MIN(AM84,$BD154-SUM(BA154:$BC154)))</f>
        <v>0</v>
      </c>
      <c r="BA154" s="210">
        <f>IF(SUM(AO84:$AP84)&gt;=$BD154,0,MIN(AN84,$BD154-SUM(BB154:$BC154)))</f>
        <v>0</v>
      </c>
      <c r="BB154" s="210">
        <f>IF(SUM(AP84:$AP84)&gt;=$BD154,0,MIN(AO84,$BD154-SUM(BC154:$BC154)))</f>
        <v>0</v>
      </c>
      <c r="BC154" s="210">
        <f t="shared" si="238"/>
        <v>0</v>
      </c>
      <c r="BD154" s="210">
        <f t="shared" si="239"/>
        <v>0</v>
      </c>
    </row>
    <row r="155" spans="1:66">
      <c r="A155" s="209" t="s">
        <v>92</v>
      </c>
      <c r="B155" s="210">
        <f>IF(SUM(Y50:$AP50)&gt;=$U155,0,MIN(X50,$U155-SUM(C155:$T155)))</f>
        <v>0</v>
      </c>
      <c r="C155" s="210">
        <f>IF(SUM(Z50:$AP50)&gt;=$U155,0,MIN(Y50,$U155-SUM(D155:$T155)))</f>
        <v>0</v>
      </c>
      <c r="D155" s="210">
        <f>IF(SUM(AA50:$AP50)&gt;=$U155,0,MIN(Z50,$U155-SUM(E155:$T155)))</f>
        <v>0</v>
      </c>
      <c r="E155" s="210">
        <f>IF(SUM(AB50:$AP50)&gt;=$U155,0,MIN(AA50,$U155-SUM(F155:$T155)))</f>
        <v>0</v>
      </c>
      <c r="F155" s="210">
        <f>IF(SUM(AC50:$AP50)&gt;=$U155,0,MIN(AB50,$U155-SUM(G155:$T155)))</f>
        <v>0</v>
      </c>
      <c r="G155" s="210">
        <f>IF(SUM(AD50:$AP50)&gt;=$U155,0,MIN(AC50,$U155-SUM(H155:$T155)))</f>
        <v>0</v>
      </c>
      <c r="H155" s="210">
        <f>IF(SUM(AE50:$AP50)&gt;=$U155,0,MIN(AD50,$U155-SUM(I155:$T155)))</f>
        <v>0</v>
      </c>
      <c r="I155" s="210">
        <f>IF(SUM(AF50:$AP50)&gt;=$U155,0,MIN(AE50,$U155-SUM(J155:$T155)))</f>
        <v>0</v>
      </c>
      <c r="J155" s="210">
        <f>IF(SUM(AG50:$AP50)&gt;=$U155,0,MIN(AF50,$U155-SUM(K155:$T155)))</f>
        <v>0</v>
      </c>
      <c r="K155" s="210">
        <f>IF(SUM(AH50:$AP50)&gt;=$U155,0,MIN(AG50,$U155-SUM(L155:$T155)))</f>
        <v>0</v>
      </c>
      <c r="L155" s="210">
        <f>IF(SUM(AI50:$AP50)&gt;=$U155,0,MIN(AH50,$U155-SUM(M155:$T155)))</f>
        <v>0</v>
      </c>
      <c r="M155" s="210">
        <f>IF(SUM(AJ50:$AP50)&gt;=$U155,0,MIN(AI50,$U155-SUM(N155:$T155)))</f>
        <v>0</v>
      </c>
      <c r="N155" s="210">
        <f>IF(SUM(AK50:$AP50)&gt;=$U155,0,MIN(AJ50,$U155-SUM(O155:$T155)))</f>
        <v>0</v>
      </c>
      <c r="O155" s="210">
        <f>IF(SUM(AL50:$AP50)&gt;=$U155,0,MIN(AK50,$U155-SUM(P155:$T155)))</f>
        <v>0</v>
      </c>
      <c r="P155" s="210">
        <f>IF(SUM(AM50:$AP50)&gt;=$U155,0,MIN(AL50,$U155-SUM(Q155:$T155)))</f>
        <v>0</v>
      </c>
      <c r="Q155" s="210">
        <f>IF(SUM(AN50:$AP50)&gt;=$U155,0,MIN(AM50,$U155-SUM(R155:$T155)))</f>
        <v>0</v>
      </c>
      <c r="R155" s="210">
        <f>IF(SUM(AO50:$AP50)&gt;=$U155,0,MIN(AN50,$U155-SUM(S155:$T155)))</f>
        <v>0</v>
      </c>
      <c r="S155" s="210">
        <f>IF(SUM(AP50:$AP50)&gt;=$U155,0,MIN(AO50,$U155-SUM(T155:$T155)))</f>
        <v>0</v>
      </c>
      <c r="T155" s="210">
        <f t="shared" si="225"/>
        <v>0</v>
      </c>
      <c r="U155" s="210">
        <f t="shared" si="226"/>
        <v>0</v>
      </c>
      <c r="V155" s="210"/>
      <c r="Y155" s="209" t="s">
        <v>92</v>
      </c>
      <c r="Z155" s="210">
        <f t="shared" si="240"/>
        <v>1.25</v>
      </c>
      <c r="AA155" s="210">
        <f t="shared" si="241"/>
        <v>1.25</v>
      </c>
      <c r="AB155" s="210">
        <f t="shared" si="242"/>
        <v>1.25</v>
      </c>
      <c r="AC155" s="210">
        <f t="shared" si="243"/>
        <v>1.25</v>
      </c>
      <c r="AD155" s="210">
        <f t="shared" si="244"/>
        <v>1.25</v>
      </c>
      <c r="AE155" s="210">
        <f t="shared" si="245"/>
        <v>1.25</v>
      </c>
      <c r="AF155" s="210">
        <f t="shared" si="246"/>
        <v>1.25</v>
      </c>
      <c r="AG155" s="210">
        <f t="shared" si="247"/>
        <v>1.25</v>
      </c>
      <c r="AH155" s="210">
        <f t="shared" si="248"/>
        <v>1.25</v>
      </c>
      <c r="AI155" s="210">
        <f t="shared" si="249"/>
        <v>1.25</v>
      </c>
      <c r="AJ155" s="210">
        <f t="shared" si="250"/>
        <v>1.25</v>
      </c>
      <c r="AK155" s="210">
        <f>IF(SUM(Y85:$AP85)&gt;=$BD155,0,MIN(X85,$BD155-SUM(AL155:$BC155)))/12</f>
        <v>1.25</v>
      </c>
      <c r="AL155" s="210">
        <f>IF(SUM(Z85:$AP85)&gt;=$BD155,0,MIN(Y85,$BD155-SUM(AM155:$BC155)))</f>
        <v>0</v>
      </c>
      <c r="AM155" s="210">
        <f>IF(SUM(AA85:$AP85)&gt;=$BD155,0,MIN(Z85,$BD155-SUM(AN155:$BC155)))</f>
        <v>0</v>
      </c>
      <c r="AN155" s="210">
        <f>IF(SUM(AB85:$AP85)&gt;=$BD155,0,MIN(AA85,$BD155-SUM(AO155:$BC155)))</f>
        <v>0</v>
      </c>
      <c r="AO155" s="210">
        <f>IF(SUM(AC85:$AP85)&gt;=$BD155,0,MIN(AB85,$BD155-SUM(AP155:$BC155)))</f>
        <v>0</v>
      </c>
      <c r="AP155" s="210">
        <f>IF(SUM(AD85:$AP85)&gt;=$BD155,0,MIN(AC85,$BD155-SUM(AQ155:$BC155)))</f>
        <v>0</v>
      </c>
      <c r="AQ155" s="210">
        <f>IF(SUM(AE85:$AP85)&gt;=$BD155,0,MIN(AD85,$BD155-SUM(AR155:$BC155)))</f>
        <v>0</v>
      </c>
      <c r="AR155" s="210">
        <f>IF(SUM(AF85:$AP85)&gt;=$BD155,0,MIN(AE85,$BD155-SUM(AS155:$BC155)))</f>
        <v>0</v>
      </c>
      <c r="AS155" s="210">
        <f>IF(SUM(AG85:$AP85)&gt;=$BD155,0,MIN(AF85,$BD155-SUM(AT155:$BC155)))</f>
        <v>0</v>
      </c>
      <c r="AT155" s="210">
        <f>IF(SUM(AH85:$AP85)&gt;=$BD155,0,MIN(AG85,$BD155-SUM(AU155:$BC155)))</f>
        <v>0</v>
      </c>
      <c r="AU155" s="210">
        <f>IF(SUM(AI85:$AP85)&gt;=$BD155,0,MIN(AH85,$BD155-SUM(AV155:$BC155)))</f>
        <v>0</v>
      </c>
      <c r="AV155" s="210">
        <f>IF(SUM(AJ85:$AP85)&gt;=$BD155,0,MIN(AI85,$BD155-SUM(AW155:$BC155)))</f>
        <v>0</v>
      </c>
      <c r="AW155" s="210">
        <f>IF(SUM(AK85:$AP85)&gt;=$BD155,0,MIN(AJ85,$BD155-SUM(AX155:$BC155)))</f>
        <v>0</v>
      </c>
      <c r="AX155" s="210">
        <f>IF(SUM(AL85:$AP85)&gt;=$BD155,0,MIN(AK85,$BD155-SUM(AY155:$BC155)))</f>
        <v>0</v>
      </c>
      <c r="AY155" s="210">
        <f>IF(SUM(AM85:$AP85)&gt;=$BD155,0,MIN(AL85,$BD155-SUM(AZ155:$BC155)))</f>
        <v>0</v>
      </c>
      <c r="AZ155" s="210">
        <f>IF(SUM(AN85:$AP85)&gt;=$BD155,0,MIN(AM85,$BD155-SUM(BA155:$BC155)))</f>
        <v>0</v>
      </c>
      <c r="BA155" s="210">
        <f>IF(SUM(AO85:$AP85)&gt;=$BD155,0,MIN(AN85,$BD155-SUM(BB155:$BC155)))</f>
        <v>0</v>
      </c>
      <c r="BB155" s="210">
        <f>IF(SUM(AP85:$AP85)&gt;=$BD155,0,MIN(AO85,$BD155-SUM(BC155:$BC155)))</f>
        <v>0</v>
      </c>
      <c r="BC155" s="210">
        <f t="shared" si="238"/>
        <v>0</v>
      </c>
      <c r="BD155" s="210">
        <f t="shared" si="239"/>
        <v>15</v>
      </c>
    </row>
    <row r="156" spans="1:66">
      <c r="A156" s="209" t="s">
        <v>94</v>
      </c>
      <c r="B156" s="210">
        <f>IF(SUM(Y51:$AP51)&gt;=$U156,0,MIN(X51,$U156-SUM(C156:$T156)))</f>
        <v>0</v>
      </c>
      <c r="C156" s="210">
        <f>IF(SUM(Z51:$AP51)&gt;=$U156,0,MIN(Y51,$U156-SUM(D156:$T156)))</f>
        <v>0</v>
      </c>
      <c r="D156" s="210">
        <f>IF(SUM(AA51:$AP51)&gt;=$U156,0,MIN(Z51,$U156-SUM(E156:$T156)))</f>
        <v>0</v>
      </c>
      <c r="E156" s="210">
        <f>IF(SUM(AB51:$AP51)&gt;=$U156,0,MIN(AA51,$U156-SUM(F156:$T156)))</f>
        <v>0</v>
      </c>
      <c r="F156" s="210">
        <f>IF(SUM(AC51:$AP51)&gt;=$U156,0,MIN(AB51,$U156-SUM(G156:$T156)))</f>
        <v>0</v>
      </c>
      <c r="G156" s="210">
        <f>IF(SUM(AD51:$AP51)&gt;=$U156,0,MIN(AC51,$U156-SUM(H156:$T156)))</f>
        <v>0</v>
      </c>
      <c r="H156" s="210">
        <f>IF(SUM(AE51:$AP51)&gt;=$U156,0,MIN(AD51,$U156-SUM(I156:$T156)))</f>
        <v>0</v>
      </c>
      <c r="I156" s="210">
        <f>IF(SUM(AF51:$AP51)&gt;=$U156,0,MIN(AE51,$U156-SUM(J156:$T156)))</f>
        <v>0</v>
      </c>
      <c r="J156" s="210">
        <f>IF(SUM(AG51:$AP51)&gt;=$U156,0,MIN(AF51,$U156-SUM(K156:$T156)))</f>
        <v>0</v>
      </c>
      <c r="K156" s="210">
        <f>IF(SUM(AH51:$AP51)&gt;=$U156,0,MIN(AG51,$U156-SUM(L156:$T156)))</f>
        <v>0</v>
      </c>
      <c r="L156" s="210">
        <f>IF(SUM(AI51:$AP51)&gt;=$U156,0,MIN(AH51,$U156-SUM(M156:$T156)))</f>
        <v>0</v>
      </c>
      <c r="M156" s="210">
        <f>IF(SUM(AJ51:$AP51)&gt;=$U156,0,MIN(AI51,$U156-SUM(N156:$T156)))</f>
        <v>0</v>
      </c>
      <c r="N156" s="210">
        <f>IF(SUM(AK51:$AP51)&gt;=$U156,0,MIN(AJ51,$U156-SUM(O156:$T156)))</f>
        <v>0</v>
      </c>
      <c r="O156" s="210">
        <f>IF(SUM(AL51:$AP51)&gt;=$U156,0,MIN(AK51,$U156-SUM(P156:$T156)))</f>
        <v>0</v>
      </c>
      <c r="P156" s="210">
        <f>IF(SUM(AM51:$AP51)&gt;=$U156,0,MIN(AL51,$U156-SUM(Q156:$T156)))</f>
        <v>0</v>
      </c>
      <c r="Q156" s="210">
        <f>IF(SUM(AN51:$AP51)&gt;=$U156,0,MIN(AM51,$U156-SUM(R156:$T156)))</f>
        <v>0</v>
      </c>
      <c r="R156" s="210">
        <f>IF(SUM(AO51:$AP51)&gt;=$U156,0,MIN(AN51,$U156-SUM(S156:$T156)))</f>
        <v>0</v>
      </c>
      <c r="S156" s="210">
        <f>IF(SUM(AP51:$AP51)&gt;=$U156,0,MIN(AO51,$U156-SUM(T156:$T156)))</f>
        <v>0</v>
      </c>
      <c r="T156" s="210">
        <f t="shared" si="225"/>
        <v>0</v>
      </c>
      <c r="U156" s="210">
        <f t="shared" si="226"/>
        <v>0</v>
      </c>
      <c r="V156" s="210"/>
      <c r="Y156" s="209" t="s">
        <v>94</v>
      </c>
      <c r="Z156" s="210">
        <f t="shared" si="240"/>
        <v>0</v>
      </c>
      <c r="AA156" s="210">
        <f t="shared" si="241"/>
        <v>0</v>
      </c>
      <c r="AB156" s="210">
        <f t="shared" si="242"/>
        <v>0</v>
      </c>
      <c r="AC156" s="210">
        <f t="shared" si="243"/>
        <v>0</v>
      </c>
      <c r="AD156" s="210">
        <f t="shared" si="244"/>
        <v>0</v>
      </c>
      <c r="AE156" s="210">
        <f t="shared" si="245"/>
        <v>0</v>
      </c>
      <c r="AF156" s="210">
        <f t="shared" si="246"/>
        <v>0</v>
      </c>
      <c r="AG156" s="210">
        <f t="shared" si="247"/>
        <v>0</v>
      </c>
      <c r="AH156" s="210">
        <f t="shared" si="248"/>
        <v>0</v>
      </c>
      <c r="AI156" s="210">
        <f t="shared" si="249"/>
        <v>0</v>
      </c>
      <c r="AJ156" s="210">
        <f t="shared" si="250"/>
        <v>0</v>
      </c>
      <c r="AK156" s="210">
        <f>IF(SUM(Y86:$AP86)&gt;=$BD156,0,MIN(X86,$BD156-SUM(AL156:$BC156)))/12</f>
        <v>0</v>
      </c>
      <c r="AL156" s="210">
        <f>IF(SUM(Z86:$AP86)&gt;=$BD156,0,MIN(Y86,$BD156-SUM(AM156:$BC156)))</f>
        <v>0</v>
      </c>
      <c r="AM156" s="210">
        <f>IF(SUM(AA86:$AP86)&gt;=$BD156,0,MIN(Z86,$BD156-SUM(AN156:$BC156)))</f>
        <v>0</v>
      </c>
      <c r="AN156" s="210">
        <f>IF(SUM(AB86:$AP86)&gt;=$BD156,0,MIN(AA86,$BD156-SUM(AO156:$BC156)))</f>
        <v>0</v>
      </c>
      <c r="AO156" s="210">
        <f>IF(SUM(AC86:$AP86)&gt;=$BD156,0,MIN(AB86,$BD156-SUM(AP156:$BC156)))</f>
        <v>0</v>
      </c>
      <c r="AP156" s="210">
        <f>IF(SUM(AD86:$AP86)&gt;=$BD156,0,MIN(AC86,$BD156-SUM(AQ156:$BC156)))</f>
        <v>0</v>
      </c>
      <c r="AQ156" s="210">
        <f>IF(SUM(AE86:$AP86)&gt;=$BD156,0,MIN(AD86,$BD156-SUM(AR156:$BC156)))</f>
        <v>0</v>
      </c>
      <c r="AR156" s="210">
        <f>IF(SUM(AF86:$AP86)&gt;=$BD156,0,MIN(AE86,$BD156-SUM(AS156:$BC156)))</f>
        <v>0</v>
      </c>
      <c r="AS156" s="210">
        <f>IF(SUM(AG86:$AP86)&gt;=$BD156,0,MIN(AF86,$BD156-SUM(AT156:$BC156)))</f>
        <v>0</v>
      </c>
      <c r="AT156" s="210">
        <f>IF(SUM(AH86:$AP86)&gt;=$BD156,0,MIN(AG86,$BD156-SUM(AU156:$BC156)))</f>
        <v>0</v>
      </c>
      <c r="AU156" s="210">
        <f>IF(SUM(AI86:$AP86)&gt;=$BD156,0,MIN(AH86,$BD156-SUM(AV156:$BC156)))</f>
        <v>0</v>
      </c>
      <c r="AV156" s="210">
        <f>IF(SUM(AJ86:$AP86)&gt;=$BD156,0,MIN(AI86,$BD156-SUM(AW156:$BC156)))</f>
        <v>0</v>
      </c>
      <c r="AW156" s="210">
        <f>IF(SUM(AK86:$AP86)&gt;=$BD156,0,MIN(AJ86,$BD156-SUM(AX156:$BC156)))</f>
        <v>0</v>
      </c>
      <c r="AX156" s="210">
        <f>IF(SUM(AL86:$AP86)&gt;=$BD156,0,MIN(AK86,$BD156-SUM(AY156:$BC156)))</f>
        <v>0</v>
      </c>
      <c r="AY156" s="210">
        <f>IF(SUM(AM86:$AP86)&gt;=$BD156,0,MIN(AL86,$BD156-SUM(AZ156:$BC156)))</f>
        <v>0</v>
      </c>
      <c r="AZ156" s="210">
        <f>IF(SUM(AN86:$AP86)&gt;=$BD156,0,MIN(AM86,$BD156-SUM(BA156:$BC156)))</f>
        <v>0</v>
      </c>
      <c r="BA156" s="210">
        <f>IF(SUM(AO86:$AP86)&gt;=$BD156,0,MIN(AN86,$BD156-SUM(BB156:$BC156)))</f>
        <v>0</v>
      </c>
      <c r="BB156" s="210">
        <f>IF(SUM(AP86:$AP86)&gt;=$BD156,0,MIN(AO86,$BD156-SUM(BC156:$BC156)))</f>
        <v>0</v>
      </c>
      <c r="BC156" s="210">
        <f t="shared" si="238"/>
        <v>0</v>
      </c>
      <c r="BD156" s="210">
        <f t="shared" si="239"/>
        <v>0</v>
      </c>
    </row>
    <row r="157" spans="1:66">
      <c r="A157" s="209" t="s">
        <v>96</v>
      </c>
      <c r="B157" s="210">
        <f>IF(SUM(Y52:$AP52)&gt;=$U157,0,MIN(X52,$U157-SUM(C157:$T157)))</f>
        <v>0</v>
      </c>
      <c r="C157" s="210">
        <f>IF(SUM(Z52:$AP52)&gt;=$U157,0,MIN(Y52,$U157-SUM(D157:$T157)))</f>
        <v>0</v>
      </c>
      <c r="D157" s="210">
        <f>IF(SUM(AA52:$AP52)&gt;=$U157,0,MIN(Z52,$U157-SUM(E157:$T157)))</f>
        <v>0</v>
      </c>
      <c r="E157" s="210">
        <f>IF(SUM(AB52:$AP52)&gt;=$U157,0,MIN(AA52,$U157-SUM(F157:$T157)))</f>
        <v>0</v>
      </c>
      <c r="F157" s="210">
        <f>IF(SUM(AC52:$AP52)&gt;=$U157,0,MIN(AB52,$U157-SUM(G157:$T157)))</f>
        <v>0</v>
      </c>
      <c r="G157" s="210">
        <f>IF(SUM(AD52:$AP52)&gt;=$U157,0,MIN(AC52,$U157-SUM(H157:$T157)))</f>
        <v>0</v>
      </c>
      <c r="H157" s="210">
        <f>IF(SUM(AE52:$AP52)&gt;=$U157,0,MIN(AD52,$U157-SUM(I157:$T157)))</f>
        <v>0</v>
      </c>
      <c r="I157" s="210">
        <f>IF(SUM(AF52:$AP52)&gt;=$U157,0,MIN(AE52,$U157-SUM(J157:$T157)))</f>
        <v>0</v>
      </c>
      <c r="J157" s="210">
        <f>IF(SUM(AG52:$AP52)&gt;=$U157,0,MIN(AF52,$U157-SUM(K157:$T157)))</f>
        <v>0</v>
      </c>
      <c r="K157" s="210">
        <f>IF(SUM(AH52:$AP52)&gt;=$U157,0,MIN(AG52,$U157-SUM(L157:$T157)))</f>
        <v>0</v>
      </c>
      <c r="L157" s="210">
        <f>IF(SUM(AI52:$AP52)&gt;=$U157,0,MIN(AH52,$U157-SUM(M157:$T157)))</f>
        <v>0</v>
      </c>
      <c r="M157" s="210">
        <f>IF(SUM(AJ52:$AP52)&gt;=$U157,0,MIN(AI52,$U157-SUM(N157:$T157)))</f>
        <v>0</v>
      </c>
      <c r="N157" s="210">
        <f>IF(SUM(AK52:$AP52)&gt;=$U157,0,MIN(AJ52,$U157-SUM(O157:$T157)))</f>
        <v>0</v>
      </c>
      <c r="O157" s="210">
        <f>IF(SUM(AL52:$AP52)&gt;=$U157,0,MIN(AK52,$U157-SUM(P157:$T157)))</f>
        <v>0</v>
      </c>
      <c r="P157" s="210">
        <f>IF(SUM(AM52:$AP52)&gt;=$U157,0,MIN(AL52,$U157-SUM(Q157:$T157)))</f>
        <v>0</v>
      </c>
      <c r="Q157" s="210">
        <f>IF(SUM(AN52:$AP52)&gt;=$U157,0,MIN(AM52,$U157-SUM(R157:$T157)))</f>
        <v>0</v>
      </c>
      <c r="R157" s="210">
        <f>IF(SUM(AO52:$AP52)&gt;=$U157,0,MIN(AN52,$U157-SUM(S157:$T157)))</f>
        <v>0</v>
      </c>
      <c r="S157" s="210">
        <f>IF(SUM(AP52:$AP52)&gt;=$U157,0,MIN(AO52,$U157-SUM(T157:$T157)))</f>
        <v>0</v>
      </c>
      <c r="T157" s="210">
        <f t="shared" si="225"/>
        <v>0</v>
      </c>
      <c r="U157" s="210">
        <f t="shared" si="226"/>
        <v>0</v>
      </c>
      <c r="V157" s="210"/>
      <c r="Y157" s="209" t="s">
        <v>96</v>
      </c>
      <c r="Z157" s="210">
        <f t="shared" si="240"/>
        <v>0.166666666666667</v>
      </c>
      <c r="AA157" s="210">
        <f t="shared" si="241"/>
        <v>0.166666666666667</v>
      </c>
      <c r="AB157" s="210">
        <f t="shared" si="242"/>
        <v>0.166666666666667</v>
      </c>
      <c r="AC157" s="210">
        <f t="shared" si="243"/>
        <v>0.166666666666667</v>
      </c>
      <c r="AD157" s="210">
        <f t="shared" si="244"/>
        <v>0.166666666666667</v>
      </c>
      <c r="AE157" s="210">
        <f t="shared" si="245"/>
        <v>0.166666666666667</v>
      </c>
      <c r="AF157" s="210">
        <f t="shared" si="246"/>
        <v>0.166666666666667</v>
      </c>
      <c r="AG157" s="210">
        <f t="shared" si="247"/>
        <v>0.166666666666667</v>
      </c>
      <c r="AH157" s="210">
        <f t="shared" si="248"/>
        <v>0.166666666666667</v>
      </c>
      <c r="AI157" s="210">
        <f t="shared" si="249"/>
        <v>0.166666666666667</v>
      </c>
      <c r="AJ157" s="210">
        <f t="shared" si="250"/>
        <v>0.166666666666667</v>
      </c>
      <c r="AK157" s="210">
        <f>IF(SUM(Y87:$AP87)&gt;=$BD157,0,MIN(X87,$BD157-SUM(AL157:$BC157)))/12</f>
        <v>0.166666666666667</v>
      </c>
      <c r="AL157" s="210">
        <f>IF(SUM(Z87:$AP87)&gt;=$BD157,0,MIN(Y87,$BD157-SUM(AM157:$BC157)))</f>
        <v>0</v>
      </c>
      <c r="AM157" s="210">
        <f>IF(SUM(AA87:$AP87)&gt;=$BD157,0,MIN(Z87,$BD157-SUM(AN157:$BC157)))</f>
        <v>0</v>
      </c>
      <c r="AN157" s="210">
        <f>IF(SUM(AB87:$AP87)&gt;=$BD157,0,MIN(AA87,$BD157-SUM(AO157:$BC157)))</f>
        <v>0</v>
      </c>
      <c r="AO157" s="210">
        <f>IF(SUM(AC87:$AP87)&gt;=$BD157,0,MIN(AB87,$BD157-SUM(AP157:$BC157)))</f>
        <v>0</v>
      </c>
      <c r="AP157" s="210">
        <f>IF(SUM(AD87:$AP87)&gt;=$BD157,0,MIN(AC87,$BD157-SUM(AQ157:$BC157)))</f>
        <v>0</v>
      </c>
      <c r="AQ157" s="210">
        <f>IF(SUM(AE87:$AP87)&gt;=$BD157,0,MIN(AD87,$BD157-SUM(AR157:$BC157)))</f>
        <v>0</v>
      </c>
      <c r="AR157" s="210">
        <f>IF(SUM(AF87:$AP87)&gt;=$BD157,0,MIN(AE87,$BD157-SUM(AS157:$BC157)))</f>
        <v>0</v>
      </c>
      <c r="AS157" s="210">
        <f>IF(SUM(AG87:$AP87)&gt;=$BD157,0,MIN(AF87,$BD157-SUM(AT157:$BC157)))</f>
        <v>0</v>
      </c>
      <c r="AT157" s="210">
        <f>IF(SUM(AH87:$AP87)&gt;=$BD157,0,MIN(AG87,$BD157-SUM(AU157:$BC157)))</f>
        <v>0</v>
      </c>
      <c r="AU157" s="210">
        <f>IF(SUM(AI87:$AP87)&gt;=$BD157,0,MIN(AH87,$BD157-SUM(AV157:$BC157)))</f>
        <v>0</v>
      </c>
      <c r="AV157" s="210">
        <f>IF(SUM(AJ87:$AP87)&gt;=$BD157,0,MIN(AI87,$BD157-SUM(AW157:$BC157)))</f>
        <v>0</v>
      </c>
      <c r="AW157" s="210">
        <f>IF(SUM(AK87:$AP87)&gt;=$BD157,0,MIN(AJ87,$BD157-SUM(AX157:$BC157)))</f>
        <v>0</v>
      </c>
      <c r="AX157" s="210">
        <f>IF(SUM(AL87:$AP87)&gt;=$BD157,0,MIN(AK87,$BD157-SUM(AY157:$BC157)))</f>
        <v>0</v>
      </c>
      <c r="AY157" s="210">
        <f>IF(SUM(AM87:$AP87)&gt;=$BD157,0,MIN(AL87,$BD157-SUM(AZ157:$BC157)))</f>
        <v>0</v>
      </c>
      <c r="AZ157" s="210">
        <f>IF(SUM(AN87:$AP87)&gt;=$BD157,0,MIN(AM87,$BD157-SUM(BA157:$BC157)))</f>
        <v>0</v>
      </c>
      <c r="BA157" s="210">
        <f>IF(SUM(AO87:$AP87)&gt;=$BD157,0,MIN(AN87,$BD157-SUM(BB157:$BC157)))</f>
        <v>0</v>
      </c>
      <c r="BB157" s="210">
        <f>IF(SUM(AP87:$AP87)&gt;=$BD157,0,MIN(AO87,$BD157-SUM(BC157:$BC157)))</f>
        <v>0</v>
      </c>
      <c r="BC157" s="210">
        <f t="shared" si="238"/>
        <v>0</v>
      </c>
      <c r="BD157" s="210">
        <f t="shared" si="239"/>
        <v>2</v>
      </c>
    </row>
    <row r="158" spans="1:66">
      <c r="A158" s="209" t="s">
        <v>98</v>
      </c>
      <c r="B158" s="210">
        <f>IF(SUM(Y53:$AP53)&gt;=$U158,0,MIN(X53,$U158-SUM(C158:$T158)))</f>
        <v>0</v>
      </c>
      <c r="C158" s="210">
        <f>IF(SUM(Z53:$AP53)&gt;=$U158,0,MIN(Y53,$U158-SUM(D158:$T158)))</f>
        <v>0</v>
      </c>
      <c r="D158" s="210">
        <f>IF(SUM(AA53:$AP53)&gt;=$U158,0,MIN(Z53,$U158-SUM(E158:$T158)))</f>
        <v>0</v>
      </c>
      <c r="E158" s="210">
        <f>IF(SUM(AB53:$AP53)&gt;=$U158,0,MIN(AA53,$U158-SUM(F158:$T158)))</f>
        <v>0</v>
      </c>
      <c r="F158" s="210">
        <f>IF(SUM(AC53:$AP53)&gt;=$U158,0,MIN(AB53,$U158-SUM(G158:$T158)))</f>
        <v>0</v>
      </c>
      <c r="G158" s="210">
        <f>IF(SUM(AD53:$AP53)&gt;=$U158,0,MIN(AC53,$U158-SUM(H158:$T158)))</f>
        <v>0</v>
      </c>
      <c r="H158" s="210">
        <f>IF(SUM(AE53:$AP53)&gt;=$U158,0,MIN(AD53,$U158-SUM(I158:$T158)))</f>
        <v>0</v>
      </c>
      <c r="I158" s="210">
        <f>IF(SUM(AF53:$AP53)&gt;=$U158,0,MIN(AE53,$U158-SUM(J158:$T158)))</f>
        <v>0</v>
      </c>
      <c r="J158" s="210">
        <f>IF(SUM(AG53:$AP53)&gt;=$U158,0,MIN(AF53,$U158-SUM(K158:$T158)))</f>
        <v>0</v>
      </c>
      <c r="K158" s="210">
        <f>IF(SUM(AH53:$AP53)&gt;=$U158,0,MIN(AG53,$U158-SUM(L158:$T158)))</f>
        <v>0</v>
      </c>
      <c r="L158" s="210">
        <f>IF(SUM(AI53:$AP53)&gt;=$U158,0,MIN(AH53,$U158-SUM(M158:$T158)))</f>
        <v>0</v>
      </c>
      <c r="M158" s="210">
        <f>IF(SUM(AJ53:$AP53)&gt;=$U158,0,MIN(AI53,$U158-SUM(N158:$T158)))</f>
        <v>0</v>
      </c>
      <c r="N158" s="210">
        <f>IF(SUM(AK53:$AP53)&gt;=$U158,0,MIN(AJ53,$U158-SUM(O158:$T158)))</f>
        <v>0</v>
      </c>
      <c r="O158" s="210">
        <f>IF(SUM(AL53:$AP53)&gt;=$U158,0,MIN(AK53,$U158-SUM(P158:$T158)))</f>
        <v>0</v>
      </c>
      <c r="P158" s="210">
        <f>IF(SUM(AM53:$AP53)&gt;=$U158,0,MIN(AL53,$U158-SUM(Q158:$T158)))</f>
        <v>0</v>
      </c>
      <c r="Q158" s="210">
        <f>IF(SUM(AN53:$AP53)&gt;=$U158,0,MIN(AM53,$U158-SUM(R158:$T158)))</f>
        <v>0</v>
      </c>
      <c r="R158" s="210">
        <f>IF(SUM(AO53:$AP53)&gt;=$U158,0,MIN(AN53,$U158-SUM(S158:$T158)))</f>
        <v>0</v>
      </c>
      <c r="S158" s="210">
        <f>IF(SUM(AP53:$AP53)&gt;=$U158,0,MIN(AO53,$U158-SUM(T158:$T158)))</f>
        <v>0</v>
      </c>
      <c r="T158" s="210">
        <f t="shared" si="225"/>
        <v>0</v>
      </c>
      <c r="U158" s="210">
        <f t="shared" si="226"/>
        <v>0</v>
      </c>
      <c r="V158" s="210"/>
      <c r="Y158" s="209" t="s">
        <v>98</v>
      </c>
      <c r="Z158" s="210">
        <f t="shared" si="240"/>
        <v>7.16666666666667</v>
      </c>
      <c r="AA158" s="210">
        <f t="shared" si="241"/>
        <v>7.16666666666667</v>
      </c>
      <c r="AB158" s="210">
        <f t="shared" si="242"/>
        <v>7.16666666666667</v>
      </c>
      <c r="AC158" s="210">
        <f t="shared" si="243"/>
        <v>7.16666666666667</v>
      </c>
      <c r="AD158" s="210">
        <f t="shared" si="244"/>
        <v>7.16666666666667</v>
      </c>
      <c r="AE158" s="210">
        <f t="shared" si="245"/>
        <v>7.16666666666667</v>
      </c>
      <c r="AF158" s="210">
        <f t="shared" si="246"/>
        <v>7.16666666666667</v>
      </c>
      <c r="AG158" s="210">
        <f t="shared" si="247"/>
        <v>7.16666666666667</v>
      </c>
      <c r="AH158" s="210">
        <f t="shared" si="248"/>
        <v>7.16666666666667</v>
      </c>
      <c r="AI158" s="210">
        <f t="shared" si="249"/>
        <v>7.16666666666667</v>
      </c>
      <c r="AJ158" s="210">
        <f t="shared" si="250"/>
        <v>7.16666666666667</v>
      </c>
      <c r="AK158" s="210">
        <f>IF(SUM(Y88:$AP88)&gt;=$BD158,0,MIN(X88,$BD158-SUM(AL158:$BC158)))/12</f>
        <v>7.16666666666667</v>
      </c>
      <c r="AL158" s="210">
        <f>IF(SUM(Z88:$AP88)&gt;=$BD158,0,MIN(Y88,$BD158-SUM(AM158:$BC158)))</f>
        <v>0</v>
      </c>
      <c r="AM158" s="210">
        <f>IF(SUM(AA88:$AP88)&gt;=$BD158,0,MIN(Z88,$BD158-SUM(AN158:$BC158)))</f>
        <v>0</v>
      </c>
      <c r="AN158" s="210">
        <f>IF(SUM(AB88:$AP88)&gt;=$BD158,0,MIN(AA88,$BD158-SUM(AO158:$BC158)))</f>
        <v>0</v>
      </c>
      <c r="AO158" s="210">
        <f>IF(SUM(AC88:$AP88)&gt;=$BD158,0,MIN(AB88,$BD158-SUM(AP158:$BC158)))</f>
        <v>0</v>
      </c>
      <c r="AP158" s="210">
        <f>IF(SUM(AD88:$AP88)&gt;=$BD158,0,MIN(AC88,$BD158-SUM(AQ158:$BC158)))</f>
        <v>0</v>
      </c>
      <c r="AQ158" s="210">
        <f>IF(SUM(AE88:$AP88)&gt;=$BD158,0,MIN(AD88,$BD158-SUM(AR158:$BC158)))</f>
        <v>0</v>
      </c>
      <c r="AR158" s="210">
        <f>IF(SUM(AF88:$AP88)&gt;=$BD158,0,MIN(AE88,$BD158-SUM(AS158:$BC158)))</f>
        <v>0</v>
      </c>
      <c r="AS158" s="210">
        <f>IF(SUM(AG88:$AP88)&gt;=$BD158,0,MIN(AF88,$BD158-SUM(AT158:$BC158)))</f>
        <v>0</v>
      </c>
      <c r="AT158" s="210">
        <f>IF(SUM(AH88:$AP88)&gt;=$BD158,0,MIN(AG88,$BD158-SUM(AU158:$BC158)))</f>
        <v>0</v>
      </c>
      <c r="AU158" s="210">
        <f>IF(SUM(AI88:$AP88)&gt;=$BD158,0,MIN(AH88,$BD158-SUM(AV158:$BC158)))</f>
        <v>0</v>
      </c>
      <c r="AV158" s="210">
        <f>IF(SUM(AJ88:$AP88)&gt;=$BD158,0,MIN(AI88,$BD158-SUM(AW158:$BC158)))</f>
        <v>0</v>
      </c>
      <c r="AW158" s="210">
        <f>IF(SUM(AK88:$AP88)&gt;=$BD158,0,MIN(AJ88,$BD158-SUM(AX158:$BC158)))</f>
        <v>0</v>
      </c>
      <c r="AX158" s="210">
        <f>IF(SUM(AL88:$AP88)&gt;=$BD158,0,MIN(AK88,$BD158-SUM(AY158:$BC158)))</f>
        <v>0</v>
      </c>
      <c r="AY158" s="210">
        <f>IF(SUM(AM88:$AP88)&gt;=$BD158,0,MIN(AL88,$BD158-SUM(AZ158:$BC158)))</f>
        <v>0</v>
      </c>
      <c r="AZ158" s="210">
        <f>IF(SUM(AN88:$AP88)&gt;=$BD158,0,MIN(AM88,$BD158-SUM(BA158:$BC158)))</f>
        <v>0</v>
      </c>
      <c r="BA158" s="210">
        <f>IF(SUM(AO88:$AP88)&gt;=$BD158,0,MIN(AN88,$BD158-SUM(BB158:$BC158)))</f>
        <v>0</v>
      </c>
      <c r="BB158" s="210">
        <f>IF(SUM(AP88:$AP88)&gt;=$BD158,0,MIN(AO88,$BD158-SUM(BC158:$BC158)))</f>
        <v>0</v>
      </c>
      <c r="BC158" s="210">
        <f t="shared" si="238"/>
        <v>0</v>
      </c>
      <c r="BD158" s="210">
        <f t="shared" si="239"/>
        <v>86</v>
      </c>
    </row>
    <row r="159" spans="1:66">
      <c r="A159" s="209" t="s">
        <v>100</v>
      </c>
      <c r="B159" s="210">
        <f>IF(SUM(Y54:$AP54)&gt;=$U159,0,MIN(X54,$U159-SUM(C159:$T159)))</f>
        <v>0</v>
      </c>
      <c r="C159" s="210">
        <f>IF(SUM(Z54:$AP54)&gt;=$U159,0,MIN(Y54,$U159-SUM(D159:$T159)))</f>
        <v>0</v>
      </c>
      <c r="D159" s="210">
        <f>IF(SUM(AA54:$AP54)&gt;=$U159,0,MIN(Z54,$U159-SUM(E159:$T159)))</f>
        <v>0</v>
      </c>
      <c r="E159" s="210">
        <f>IF(SUM(AB54:$AP54)&gt;=$U159,0,MIN(AA54,$U159-SUM(F159:$T159)))</f>
        <v>0</v>
      </c>
      <c r="F159" s="210">
        <f>IF(SUM(AC54:$AP54)&gt;=$U159,0,MIN(AB54,$U159-SUM(G159:$T159)))</f>
        <v>0</v>
      </c>
      <c r="G159" s="210">
        <f>IF(SUM(AD54:$AP54)&gt;=$U159,0,MIN(AC54,$U159-SUM(H159:$T159)))</f>
        <v>0</v>
      </c>
      <c r="H159" s="210">
        <f>IF(SUM(AE54:$AP54)&gt;=$U159,0,MIN(AD54,$U159-SUM(I159:$T159)))</f>
        <v>0</v>
      </c>
      <c r="I159" s="210">
        <f>IF(SUM(AF54:$AP54)&gt;=$U159,0,MIN(AE54,$U159-SUM(J159:$T159)))</f>
        <v>0</v>
      </c>
      <c r="J159" s="210">
        <f>IF(SUM(AG54:$AP54)&gt;=$U159,0,MIN(AF54,$U159-SUM(K159:$T159)))</f>
        <v>0</v>
      </c>
      <c r="K159" s="210">
        <f>IF(SUM(AH54:$AP54)&gt;=$U159,0,MIN(AG54,$U159-SUM(L159:$T159)))</f>
        <v>0</v>
      </c>
      <c r="L159" s="210">
        <f>IF(SUM(AI54:$AP54)&gt;=$U159,0,MIN(AH54,$U159-SUM(M159:$T159)))</f>
        <v>0</v>
      </c>
      <c r="M159" s="210">
        <f>IF(SUM(AJ54:$AP54)&gt;=$U159,0,MIN(AI54,$U159-SUM(N159:$T159)))</f>
        <v>0</v>
      </c>
      <c r="N159" s="210">
        <f>IF(SUM(AK54:$AP54)&gt;=$U159,0,MIN(AJ54,$U159-SUM(O159:$T159)))</f>
        <v>0</v>
      </c>
      <c r="O159" s="210">
        <f>IF(SUM(AL54:$AP54)&gt;=$U159,0,MIN(AK54,$U159-SUM(P159:$T159)))</f>
        <v>0</v>
      </c>
      <c r="P159" s="210">
        <f>IF(SUM(AM54:$AP54)&gt;=$U159,0,MIN(AL54,$U159-SUM(Q159:$T159)))</f>
        <v>0</v>
      </c>
      <c r="Q159" s="210">
        <f>IF(SUM(AN54:$AP54)&gt;=$U159,0,MIN(AM54,$U159-SUM(R159:$T159)))</f>
        <v>0</v>
      </c>
      <c r="R159" s="210">
        <f>IF(SUM(AO54:$AP54)&gt;=$U159,0,MIN(AN54,$U159-SUM(S159:$T159)))</f>
        <v>0</v>
      </c>
      <c r="S159" s="210">
        <f>IF(SUM(AP54:$AP54)&gt;=$U159,0,MIN(AO54,$U159-SUM(T159:$T159)))</f>
        <v>0</v>
      </c>
      <c r="T159" s="210">
        <f t="shared" si="225"/>
        <v>0</v>
      </c>
      <c r="U159" s="210">
        <f t="shared" si="226"/>
        <v>0</v>
      </c>
      <c r="V159" s="210"/>
      <c r="Y159" s="209" t="s">
        <v>100</v>
      </c>
      <c r="Z159" s="210">
        <f t="shared" si="240"/>
        <v>0</v>
      </c>
      <c r="AA159" s="210">
        <f t="shared" si="241"/>
        <v>0</v>
      </c>
      <c r="AB159" s="210">
        <f t="shared" si="242"/>
        <v>0</v>
      </c>
      <c r="AC159" s="210">
        <f t="shared" si="243"/>
        <v>0</v>
      </c>
      <c r="AD159" s="210">
        <f t="shared" si="244"/>
        <v>0</v>
      </c>
      <c r="AE159" s="210">
        <f t="shared" si="245"/>
        <v>0</v>
      </c>
      <c r="AF159" s="210">
        <f t="shared" si="246"/>
        <v>0</v>
      </c>
      <c r="AG159" s="210">
        <f t="shared" si="247"/>
        <v>0</v>
      </c>
      <c r="AH159" s="210">
        <f t="shared" si="248"/>
        <v>0</v>
      </c>
      <c r="AI159" s="210">
        <f t="shared" si="249"/>
        <v>0</v>
      </c>
      <c r="AJ159" s="210">
        <f t="shared" si="250"/>
        <v>0</v>
      </c>
      <c r="AK159" s="210">
        <f>IF(SUM(Y89:$AP89)&gt;=$BD159,0,MIN(X89,$BD159-SUM(AL159:$BC159)))/12</f>
        <v>0</v>
      </c>
      <c r="AL159" s="210">
        <f>IF(SUM(Z89:$AP89)&gt;=$BD159,0,MIN(Y89,$BD159-SUM(AM159:$BC159)))</f>
        <v>0</v>
      </c>
      <c r="AM159" s="210">
        <f>IF(SUM(AA89:$AP89)&gt;=$BD159,0,MIN(Z89,$BD159-SUM(AN159:$BC159)))</f>
        <v>0</v>
      </c>
      <c r="AN159" s="210">
        <f>IF(SUM(AB89:$AP89)&gt;=$BD159,0,MIN(AA89,$BD159-SUM(AO159:$BC159)))</f>
        <v>0</v>
      </c>
      <c r="AO159" s="210">
        <f>IF(SUM(AC89:$AP89)&gt;=$BD159,0,MIN(AB89,$BD159-SUM(AP159:$BC159)))</f>
        <v>0</v>
      </c>
      <c r="AP159" s="210">
        <f>IF(SUM(AD89:$AP89)&gt;=$BD159,0,MIN(AC89,$BD159-SUM(AQ159:$BC159)))</f>
        <v>0</v>
      </c>
      <c r="AQ159" s="210">
        <f>IF(SUM(AE89:$AP89)&gt;=$BD159,0,MIN(AD89,$BD159-SUM(AR159:$BC159)))</f>
        <v>0</v>
      </c>
      <c r="AR159" s="210">
        <f>IF(SUM(AF89:$AP89)&gt;=$BD159,0,MIN(AE89,$BD159-SUM(AS159:$BC159)))</f>
        <v>0</v>
      </c>
      <c r="AS159" s="210">
        <f>IF(SUM(AG89:$AP89)&gt;=$BD159,0,MIN(AF89,$BD159-SUM(AT159:$BC159)))</f>
        <v>0</v>
      </c>
      <c r="AT159" s="210">
        <f>IF(SUM(AH89:$AP89)&gt;=$BD159,0,MIN(AG89,$BD159-SUM(AU159:$BC159)))</f>
        <v>0</v>
      </c>
      <c r="AU159" s="210">
        <f>IF(SUM(AI89:$AP89)&gt;=$BD159,0,MIN(AH89,$BD159-SUM(AV159:$BC159)))</f>
        <v>0</v>
      </c>
      <c r="AV159" s="210">
        <f>IF(SUM(AJ89:$AP89)&gt;=$BD159,0,MIN(AI89,$BD159-SUM(AW159:$BC159)))</f>
        <v>0</v>
      </c>
      <c r="AW159" s="210">
        <f>IF(SUM(AK89:$AP89)&gt;=$BD159,0,MIN(AJ89,$BD159-SUM(AX159:$BC159)))</f>
        <v>0</v>
      </c>
      <c r="AX159" s="210">
        <f>IF(SUM(AL89:$AP89)&gt;=$BD159,0,MIN(AK89,$BD159-SUM(AY159:$BC159)))</f>
        <v>0</v>
      </c>
      <c r="AY159" s="210">
        <f>IF(SUM(AM89:$AP89)&gt;=$BD159,0,MIN(AL89,$BD159-SUM(AZ159:$BC159)))</f>
        <v>0</v>
      </c>
      <c r="AZ159" s="210">
        <f>IF(SUM(AN89:$AP89)&gt;=$BD159,0,MIN(AM89,$BD159-SUM(BA159:$BC159)))</f>
        <v>0</v>
      </c>
      <c r="BA159" s="210">
        <f>IF(SUM(AO89:$AP89)&gt;=$BD159,0,MIN(AN89,$BD159-SUM(BB159:$BC159)))</f>
        <v>0</v>
      </c>
      <c r="BB159" s="210">
        <f>IF(SUM(AP89:$AP89)&gt;=$BD159,0,MIN(AO89,$BD159-SUM(BC159:$BC159)))</f>
        <v>0</v>
      </c>
      <c r="BC159" s="210">
        <f t="shared" si="238"/>
        <v>0</v>
      </c>
      <c r="BD159" s="210">
        <f t="shared" si="239"/>
        <v>0</v>
      </c>
    </row>
    <row r="160" spans="1:66">
      <c r="A160" s="209" t="s">
        <v>102</v>
      </c>
      <c r="B160" s="210">
        <f>IF(SUM(Y55:$AP55)&gt;=$U160,0,MIN(X55,$U160-SUM(C160:$T160)))</f>
        <v>0</v>
      </c>
      <c r="C160" s="210">
        <f>IF(SUM(Z55:$AP55)&gt;=$U160,0,MIN(Y55,$U160-SUM(D160:$T160)))</f>
        <v>0</v>
      </c>
      <c r="D160" s="210">
        <f>IF(SUM(AA55:$AP55)&gt;=$U160,0,MIN(Z55,$U160-SUM(E160:$T160)))</f>
        <v>0</v>
      </c>
      <c r="E160" s="210">
        <f>IF(SUM(AB55:$AP55)&gt;=$U160,0,MIN(AA55,$U160-SUM(F160:$T160)))</f>
        <v>0</v>
      </c>
      <c r="F160" s="210">
        <f>IF(SUM(AC55:$AP55)&gt;=$U160,0,MIN(AB55,$U160-SUM(G160:$T160)))</f>
        <v>2</v>
      </c>
      <c r="G160" s="210">
        <f>IF(SUM(AD55:$AP55)&gt;=$U160,0,MIN(AC55,$U160-SUM(H160:$T160)))</f>
        <v>0</v>
      </c>
      <c r="H160" s="210">
        <f>IF(SUM(AE55:$AP55)&gt;=$U160,0,MIN(AD55,$U160-SUM(I160:$T160)))</f>
        <v>0</v>
      </c>
      <c r="I160" s="210">
        <f>IF(SUM(AF55:$AP55)&gt;=$U160,0,MIN(AE55,$U160-SUM(J160:$T160)))</f>
        <v>0</v>
      </c>
      <c r="J160" s="210">
        <f>IF(SUM(AG55:$AP55)&gt;=$U160,0,MIN(AF55,$U160-SUM(K160:$T160)))</f>
        <v>0</v>
      </c>
      <c r="K160" s="210">
        <f>IF(SUM(AH55:$AP55)&gt;=$U160,0,MIN(AG55,$U160-SUM(L160:$T160)))</f>
        <v>0</v>
      </c>
      <c r="L160" s="210">
        <f>IF(SUM(AI55:$AP55)&gt;=$U160,0,MIN(AH55,$U160-SUM(M160:$T160)))</f>
        <v>0</v>
      </c>
      <c r="M160" s="210">
        <f>IF(SUM(AJ55:$AP55)&gt;=$U160,0,MIN(AI55,$U160-SUM(N160:$T160)))</f>
        <v>0</v>
      </c>
      <c r="N160" s="210">
        <f>IF(SUM(AK55:$AP55)&gt;=$U160,0,MIN(AJ55,$U160-SUM(O160:$T160)))</f>
        <v>0</v>
      </c>
      <c r="O160" s="210">
        <f>IF(SUM(AL55:$AP55)&gt;=$U160,0,MIN(AK55,$U160-SUM(P160:$T160)))</f>
        <v>0</v>
      </c>
      <c r="P160" s="210">
        <f>IF(SUM(AM55:$AP55)&gt;=$U160,0,MIN(AL55,$U160-SUM(Q160:$T160)))</f>
        <v>0</v>
      </c>
      <c r="Q160" s="210">
        <f>IF(SUM(AN55:$AP55)&gt;=$U160,0,MIN(AM55,$U160-SUM(R160:$T160)))</f>
        <v>0</v>
      </c>
      <c r="R160" s="210">
        <f>IF(SUM(AO55:$AP55)&gt;=$U160,0,MIN(AN55,$U160-SUM(S160:$T160)))</f>
        <v>0</v>
      </c>
      <c r="S160" s="210">
        <f>IF(SUM(AP55:$AP55)&gt;=$U160,0,MIN(AO55,$U160-SUM(T160:$T160)))</f>
        <v>0</v>
      </c>
      <c r="T160" s="210">
        <f t="shared" si="225"/>
        <v>0</v>
      </c>
      <c r="U160" s="210">
        <f t="shared" si="226"/>
        <v>2</v>
      </c>
      <c r="V160" s="210"/>
      <c r="Y160" s="209" t="s">
        <v>102</v>
      </c>
      <c r="Z160" s="210">
        <f t="shared" si="240"/>
        <v>0</v>
      </c>
      <c r="AA160" s="210">
        <f t="shared" si="241"/>
        <v>0</v>
      </c>
      <c r="AB160" s="210">
        <f t="shared" si="242"/>
        <v>0</v>
      </c>
      <c r="AC160" s="210">
        <f t="shared" si="243"/>
        <v>0</v>
      </c>
      <c r="AD160" s="210">
        <f t="shared" si="244"/>
        <v>0</v>
      </c>
      <c r="AE160" s="210">
        <f t="shared" si="245"/>
        <v>0</v>
      </c>
      <c r="AF160" s="210">
        <f t="shared" si="246"/>
        <v>0</v>
      </c>
      <c r="AG160" s="210">
        <f t="shared" si="247"/>
        <v>0</v>
      </c>
      <c r="AH160" s="210">
        <f t="shared" si="248"/>
        <v>0</v>
      </c>
      <c r="AI160" s="210">
        <f t="shared" si="249"/>
        <v>0</v>
      </c>
      <c r="AJ160" s="210">
        <f t="shared" si="250"/>
        <v>0</v>
      </c>
      <c r="AK160" s="210">
        <f>IF(SUM(Y90:$AP90)&gt;=$BD160,0,MIN(X90,$BD160-SUM(AL160:$BC160)))/12</f>
        <v>0</v>
      </c>
      <c r="AL160" s="210">
        <f>IF(SUM(Z90:$AP90)&gt;=$BD160,0,MIN(Y90,$BD160-SUM(AM160:$BC160)))</f>
        <v>0</v>
      </c>
      <c r="AM160" s="210">
        <f>IF(SUM(AA90:$AP90)&gt;=$BD160,0,MIN(Z90,$BD160-SUM(AN160:$BC160)))</f>
        <v>0</v>
      </c>
      <c r="AN160" s="210">
        <f>IF(SUM(AB90:$AP90)&gt;=$BD160,0,MIN(AA90,$BD160-SUM(AO160:$BC160)))</f>
        <v>0</v>
      </c>
      <c r="AO160" s="210">
        <f>IF(SUM(AC90:$AP90)&gt;=$BD160,0,MIN(AB90,$BD160-SUM(AP160:$BC160)))</f>
        <v>0</v>
      </c>
      <c r="AP160" s="210">
        <f>IF(SUM(AD90:$AP90)&gt;=$BD160,0,MIN(AC90,$BD160-SUM(AQ160:$BC160)))</f>
        <v>0</v>
      </c>
      <c r="AQ160" s="210">
        <f>IF(SUM(AE90:$AP90)&gt;=$BD160,0,MIN(AD90,$BD160-SUM(AR160:$BC160)))</f>
        <v>0</v>
      </c>
      <c r="AR160" s="210">
        <f>IF(SUM(AF90:$AP90)&gt;=$BD160,0,MIN(AE90,$BD160-SUM(AS160:$BC160)))</f>
        <v>0</v>
      </c>
      <c r="AS160" s="210">
        <f>IF(SUM(AG90:$AP90)&gt;=$BD160,0,MIN(AF90,$BD160-SUM(AT160:$BC160)))</f>
        <v>0</v>
      </c>
      <c r="AT160" s="210">
        <f>IF(SUM(AH90:$AP90)&gt;=$BD160,0,MIN(AG90,$BD160-SUM(AU160:$BC160)))</f>
        <v>0</v>
      </c>
      <c r="AU160" s="210">
        <f>IF(SUM(AI90:$AP90)&gt;=$BD160,0,MIN(AH90,$BD160-SUM(AV160:$BC160)))</f>
        <v>0</v>
      </c>
      <c r="AV160" s="210">
        <f>IF(SUM(AJ90:$AP90)&gt;=$BD160,0,MIN(AI90,$BD160-SUM(AW160:$BC160)))</f>
        <v>0</v>
      </c>
      <c r="AW160" s="210">
        <f>IF(SUM(AK90:$AP90)&gt;=$BD160,0,MIN(AJ90,$BD160-SUM(AX160:$BC160)))</f>
        <v>0</v>
      </c>
      <c r="AX160" s="210">
        <f>IF(SUM(AL90:$AP90)&gt;=$BD160,0,MIN(AK90,$BD160-SUM(AY160:$BC160)))</f>
        <v>0</v>
      </c>
      <c r="AY160" s="210">
        <f>IF(SUM(AM90:$AP90)&gt;=$BD160,0,MIN(AL90,$BD160-SUM(AZ160:$BC160)))</f>
        <v>0</v>
      </c>
      <c r="AZ160" s="210">
        <f>IF(SUM(AN90:$AP90)&gt;=$BD160,0,MIN(AM90,$BD160-SUM(BA160:$BC160)))</f>
        <v>0</v>
      </c>
      <c r="BA160" s="210">
        <f>IF(SUM(AO90:$AP90)&gt;=$BD160,0,MIN(AN90,$BD160-SUM(BB160:$BC160)))</f>
        <v>0</v>
      </c>
      <c r="BB160" s="210">
        <f>IF(SUM(AP90:$AP90)&gt;=$BD160,0,MIN(AO90,$BD160-SUM(BC160:$BC160)))</f>
        <v>0</v>
      </c>
      <c r="BC160" s="210">
        <f t="shared" si="238"/>
        <v>0</v>
      </c>
      <c r="BD160" s="210">
        <f t="shared" si="239"/>
        <v>0</v>
      </c>
    </row>
    <row r="161" spans="1:56">
      <c r="A161" s="209" t="s">
        <v>104</v>
      </c>
      <c r="B161" s="210">
        <f>IF(SUM(Y56:$AP56)&gt;=$U161,0,MIN(X56,$U161-SUM(C161:$T161)))</f>
        <v>0</v>
      </c>
      <c r="C161" s="210">
        <f>IF(SUM(Z56:$AP56)&gt;=$U161,0,MIN(Y56,$U161-SUM(D161:$T161)))</f>
        <v>0</v>
      </c>
      <c r="D161" s="210">
        <f>IF(SUM(AA56:$AP56)&gt;=$U161,0,MIN(Z56,$U161-SUM(E161:$T161)))</f>
        <v>0</v>
      </c>
      <c r="E161" s="210">
        <f>IF(SUM(AB56:$AP56)&gt;=$U161,0,MIN(AA56,$U161-SUM(F161:$T161)))</f>
        <v>0</v>
      </c>
      <c r="F161" s="210">
        <f>IF(SUM(AC56:$AP56)&gt;=$U161,0,MIN(AB56,$U161-SUM(G161:$T161)))</f>
        <v>0</v>
      </c>
      <c r="G161" s="210">
        <f>IF(SUM(AD56:$AP56)&gt;=$U161,0,MIN(AC56,$U161-SUM(H161:$T161)))</f>
        <v>0</v>
      </c>
      <c r="H161" s="210">
        <f>IF(SUM(AE56:$AP56)&gt;=$U161,0,MIN(AD56,$U161-SUM(I161:$T161)))</f>
        <v>0</v>
      </c>
      <c r="I161" s="210">
        <f>IF(SUM(AF56:$AP56)&gt;=$U161,0,MIN(AE56,$U161-SUM(J161:$T161)))</f>
        <v>0</v>
      </c>
      <c r="J161" s="210">
        <f>IF(SUM(AG56:$AP56)&gt;=$U161,0,MIN(AF56,$U161-SUM(K161:$T161)))</f>
        <v>0</v>
      </c>
      <c r="K161" s="210">
        <f>IF(SUM(AH56:$AP56)&gt;=$U161,0,MIN(AG56,$U161-SUM(L161:$T161)))</f>
        <v>0</v>
      </c>
      <c r="L161" s="210">
        <f>IF(SUM(AI56:$AP56)&gt;=$U161,0,MIN(AH56,$U161-SUM(M161:$T161)))</f>
        <v>0</v>
      </c>
      <c r="M161" s="210">
        <f>IF(SUM(AJ56:$AP56)&gt;=$U161,0,MIN(AI56,$U161-SUM(N161:$T161)))</f>
        <v>0</v>
      </c>
      <c r="N161" s="210">
        <f>IF(SUM(AK56:$AP56)&gt;=$U161,0,MIN(AJ56,$U161-SUM(O161:$T161)))</f>
        <v>0</v>
      </c>
      <c r="O161" s="210">
        <f>IF(SUM(AL56:$AP56)&gt;=$U161,0,MIN(AK56,$U161-SUM(P161:$T161)))</f>
        <v>0</v>
      </c>
      <c r="P161" s="210">
        <f>IF(SUM(AM56:$AP56)&gt;=$U161,0,MIN(AL56,$U161-SUM(Q161:$T161)))</f>
        <v>0</v>
      </c>
      <c r="Q161" s="210">
        <f>IF(SUM(AN56:$AP56)&gt;=$U161,0,MIN(AM56,$U161-SUM(R161:$T161)))</f>
        <v>0</v>
      </c>
      <c r="R161" s="210">
        <f>IF(SUM(AO56:$AP56)&gt;=$U161,0,MIN(AN56,$U161-SUM(S161:$T161)))</f>
        <v>0</v>
      </c>
      <c r="S161" s="210">
        <f>IF(SUM(AP56:$AP56)&gt;=$U161,0,MIN(AO56,$U161-SUM(T161:$T161)))</f>
        <v>0</v>
      </c>
      <c r="T161" s="210">
        <f t="shared" si="225"/>
        <v>0</v>
      </c>
      <c r="U161" s="210">
        <f t="shared" si="226"/>
        <v>0</v>
      </c>
      <c r="V161" s="210"/>
      <c r="Y161" s="209" t="s">
        <v>104</v>
      </c>
      <c r="Z161" s="210">
        <f t="shared" si="240"/>
        <v>0</v>
      </c>
      <c r="AA161" s="210">
        <f t="shared" si="241"/>
        <v>0</v>
      </c>
      <c r="AB161" s="210">
        <f t="shared" si="242"/>
        <v>0</v>
      </c>
      <c r="AC161" s="210">
        <f t="shared" si="243"/>
        <v>0</v>
      </c>
      <c r="AD161" s="210">
        <f t="shared" si="244"/>
        <v>0</v>
      </c>
      <c r="AE161" s="210">
        <f t="shared" si="245"/>
        <v>0</v>
      </c>
      <c r="AF161" s="210">
        <f t="shared" si="246"/>
        <v>0</v>
      </c>
      <c r="AG161" s="210">
        <f t="shared" si="247"/>
        <v>0</v>
      </c>
      <c r="AH161" s="210">
        <f t="shared" si="248"/>
        <v>0</v>
      </c>
      <c r="AI161" s="210">
        <f t="shared" si="249"/>
        <v>0</v>
      </c>
      <c r="AJ161" s="210">
        <f t="shared" si="250"/>
        <v>0</v>
      </c>
      <c r="AK161" s="210">
        <f>IF(SUM(Y91:$AP91)&gt;=$BD161,0,MIN(X91,$BD161-SUM(AL161:$BC161)))/12</f>
        <v>0</v>
      </c>
      <c r="AL161" s="210">
        <f>IF(SUM(Z91:$AP91)&gt;=$BD161,0,MIN(Y91,$BD161-SUM(AM161:$BC161)))</f>
        <v>0</v>
      </c>
      <c r="AM161" s="210">
        <f>IF(SUM(AA91:$AP91)&gt;=$BD161,0,MIN(Z91,$BD161-SUM(AN161:$BC161)))</f>
        <v>0</v>
      </c>
      <c r="AN161" s="210">
        <f>IF(SUM(AB91:$AP91)&gt;=$BD161,0,MIN(AA91,$BD161-SUM(AO161:$BC161)))</f>
        <v>0</v>
      </c>
      <c r="AO161" s="210">
        <f>IF(SUM(AC91:$AP91)&gt;=$BD161,0,MIN(AB91,$BD161-SUM(AP161:$BC161)))</f>
        <v>0</v>
      </c>
      <c r="AP161" s="210">
        <f>IF(SUM(AD91:$AP91)&gt;=$BD161,0,MIN(AC91,$BD161-SUM(AQ161:$BC161)))</f>
        <v>0</v>
      </c>
      <c r="AQ161" s="210">
        <f>IF(SUM(AE91:$AP91)&gt;=$BD161,0,MIN(AD91,$BD161-SUM(AR161:$BC161)))</f>
        <v>0</v>
      </c>
      <c r="AR161" s="210">
        <f>IF(SUM(AF91:$AP91)&gt;=$BD161,0,MIN(AE91,$BD161-SUM(AS161:$BC161)))</f>
        <v>0</v>
      </c>
      <c r="AS161" s="210">
        <f>IF(SUM(AG91:$AP91)&gt;=$BD161,0,MIN(AF91,$BD161-SUM(AT161:$BC161)))</f>
        <v>0</v>
      </c>
      <c r="AT161" s="210">
        <f>IF(SUM(AH91:$AP91)&gt;=$BD161,0,MIN(AG91,$BD161-SUM(AU161:$BC161)))</f>
        <v>0</v>
      </c>
      <c r="AU161" s="210">
        <f>IF(SUM(AI91:$AP91)&gt;=$BD161,0,MIN(AH91,$BD161-SUM(AV161:$BC161)))</f>
        <v>0</v>
      </c>
      <c r="AV161" s="210">
        <f>IF(SUM(AJ91:$AP91)&gt;=$BD161,0,MIN(AI91,$BD161-SUM(AW161:$BC161)))</f>
        <v>0</v>
      </c>
      <c r="AW161" s="210">
        <f>IF(SUM(AK91:$AP91)&gt;=$BD161,0,MIN(AJ91,$BD161-SUM(AX161:$BC161)))</f>
        <v>0</v>
      </c>
      <c r="AX161" s="210">
        <f>IF(SUM(AL91:$AP91)&gt;=$BD161,0,MIN(AK91,$BD161-SUM(AY161:$BC161)))</f>
        <v>0</v>
      </c>
      <c r="AY161" s="210">
        <f>IF(SUM(AM91:$AP91)&gt;=$BD161,0,MIN(AL91,$BD161-SUM(AZ161:$BC161)))</f>
        <v>0</v>
      </c>
      <c r="AZ161" s="210">
        <f>IF(SUM(AN91:$AP91)&gt;=$BD161,0,MIN(AM91,$BD161-SUM(BA161:$BC161)))</f>
        <v>0</v>
      </c>
      <c r="BA161" s="210">
        <f>IF(SUM(AO91:$AP91)&gt;=$BD161,0,MIN(AN91,$BD161-SUM(BB161:$BC161)))</f>
        <v>0</v>
      </c>
      <c r="BB161" s="210">
        <f>IF(SUM(AP91:$AP91)&gt;=$BD161,0,MIN(AO91,$BD161-SUM(BC161:$BC161)))</f>
        <v>0</v>
      </c>
      <c r="BC161" s="210">
        <f t="shared" si="238"/>
        <v>0</v>
      </c>
      <c r="BD161" s="210">
        <f t="shared" si="239"/>
        <v>0</v>
      </c>
    </row>
    <row r="162" spans="1:56">
      <c r="A162" s="209" t="s">
        <v>106</v>
      </c>
      <c r="B162" s="210">
        <f>IF(SUM(Y57:$AP57)&gt;=$U162,0,MIN(X57,$U162-SUM(C162:$T162)))</f>
        <v>0</v>
      </c>
      <c r="C162" s="210">
        <f>IF(SUM(Z57:$AP57)&gt;=$U162,0,MIN(Y57,$U162-SUM(D162:$T162)))</f>
        <v>0.969999999999999</v>
      </c>
      <c r="D162" s="210">
        <f>IF(SUM(AA57:$AP57)&gt;=$U162,0,MIN(Z57,$U162-SUM(E162:$T162)))</f>
        <v>0</v>
      </c>
      <c r="E162" s="210">
        <f>IF(SUM(AB57:$AP57)&gt;=$U162,0,MIN(AA57,$U162-SUM(F162:$T162)))</f>
        <v>0</v>
      </c>
      <c r="F162" s="210">
        <f>IF(SUM(AC57:$AP57)&gt;=$U162,0,MIN(AB57,$U162-SUM(G162:$T162)))</f>
        <v>0.0300000000000011</v>
      </c>
      <c r="G162" s="210">
        <f>IF(SUM(AD57:$AP57)&gt;=$U162,0,MIN(AC57,$U162-SUM(H162:$T162)))</f>
        <v>0</v>
      </c>
      <c r="H162" s="210">
        <f>IF(SUM(AE57:$AP57)&gt;=$U162,0,MIN(AD57,$U162-SUM(I162:$T162)))</f>
        <v>0</v>
      </c>
      <c r="I162" s="210">
        <f>IF(SUM(AF57:$AP57)&gt;=$U162,0,MIN(AE57,$U162-SUM(J162:$T162)))</f>
        <v>0</v>
      </c>
      <c r="J162" s="210">
        <f>IF(SUM(AG57:$AP57)&gt;=$U162,0,MIN(AF57,$U162-SUM(K162:$T162)))</f>
        <v>0</v>
      </c>
      <c r="K162" s="210">
        <f>IF(SUM(AH57:$AP57)&gt;=$U162,0,MIN(AG57,$U162-SUM(L162:$T162)))</f>
        <v>0</v>
      </c>
      <c r="L162" s="210">
        <f>IF(SUM(AI57:$AP57)&gt;=$U162,0,MIN(AH57,$U162-SUM(M162:$T162)))</f>
        <v>0</v>
      </c>
      <c r="M162" s="210">
        <f>IF(SUM(AJ57:$AP57)&gt;=$U162,0,MIN(AI57,$U162-SUM(N162:$T162)))</f>
        <v>0</v>
      </c>
      <c r="N162" s="210">
        <f>IF(SUM(AK57:$AP57)&gt;=$U162,0,MIN(AJ57,$U162-SUM(O162:$T162)))</f>
        <v>0</v>
      </c>
      <c r="O162" s="210">
        <f>IF(SUM(AL57:$AP57)&gt;=$U162,0,MIN(AK57,$U162-SUM(P162:$T162)))</f>
        <v>0</v>
      </c>
      <c r="P162" s="210">
        <f>IF(SUM(AM57:$AP57)&gt;=$U162,0,MIN(AL57,$U162-SUM(Q162:$T162)))</f>
        <v>0</v>
      </c>
      <c r="Q162" s="210">
        <f>IF(SUM(AN57:$AP57)&gt;=$U162,0,MIN(AM57,$U162-SUM(R162:$T162)))</f>
        <v>0</v>
      </c>
      <c r="R162" s="210">
        <f>IF(SUM(AO57:$AP57)&gt;=$U162,0,MIN(AN57,$U162-SUM(S162:$T162)))</f>
        <v>0</v>
      </c>
      <c r="S162" s="210">
        <f>IF(SUM(AP57:$AP57)&gt;=$U162,0,MIN(AO57,$U162-SUM(T162:$T162)))</f>
        <v>0</v>
      </c>
      <c r="T162" s="210">
        <f t="shared" si="225"/>
        <v>0</v>
      </c>
      <c r="U162" s="210">
        <f t="shared" si="226"/>
        <v>1</v>
      </c>
      <c r="V162" s="210"/>
      <c r="Y162" s="209" t="s">
        <v>106</v>
      </c>
      <c r="Z162" s="210">
        <f t="shared" si="240"/>
        <v>0</v>
      </c>
      <c r="AA162" s="210">
        <f t="shared" si="241"/>
        <v>0</v>
      </c>
      <c r="AB162" s="210">
        <f t="shared" si="242"/>
        <v>0</v>
      </c>
      <c r="AC162" s="210">
        <f t="shared" si="243"/>
        <v>0</v>
      </c>
      <c r="AD162" s="210">
        <f t="shared" si="244"/>
        <v>0</v>
      </c>
      <c r="AE162" s="210">
        <f t="shared" si="245"/>
        <v>0</v>
      </c>
      <c r="AF162" s="210">
        <f t="shared" si="246"/>
        <v>0</v>
      </c>
      <c r="AG162" s="210">
        <f t="shared" si="247"/>
        <v>0</v>
      </c>
      <c r="AH162" s="210">
        <f t="shared" si="248"/>
        <v>0</v>
      </c>
      <c r="AI162" s="210">
        <f t="shared" si="249"/>
        <v>0</v>
      </c>
      <c r="AJ162" s="210">
        <f t="shared" si="250"/>
        <v>0</v>
      </c>
      <c r="AK162" s="210">
        <f>IF(SUM(Y92:$AP92)&gt;=$BD162,0,MIN(X92,$BD162-SUM(AL162:$BC162)))/12</f>
        <v>0</v>
      </c>
      <c r="AL162" s="210">
        <f>IF(SUM(Z92:$AP92)&gt;=$BD162,0,MIN(Y92,$BD162-SUM(AM162:$BC162)))</f>
        <v>0</v>
      </c>
      <c r="AM162" s="210">
        <f>IF(SUM(AA92:$AP92)&gt;=$BD162,0,MIN(Z92,$BD162-SUM(AN162:$BC162)))</f>
        <v>0</v>
      </c>
      <c r="AN162" s="210">
        <f>IF(SUM(AB92:$AP92)&gt;=$BD162,0,MIN(AA92,$BD162-SUM(AO162:$BC162)))</f>
        <v>0</v>
      </c>
      <c r="AO162" s="210">
        <f>IF(SUM(AC92:$AP92)&gt;=$BD162,0,MIN(AB92,$BD162-SUM(AP162:$BC162)))</f>
        <v>0</v>
      </c>
      <c r="AP162" s="210">
        <f>IF(SUM(AD92:$AP92)&gt;=$BD162,0,MIN(AC92,$BD162-SUM(AQ162:$BC162)))</f>
        <v>0</v>
      </c>
      <c r="AQ162" s="210">
        <f>IF(SUM(AE92:$AP92)&gt;=$BD162,0,MIN(AD92,$BD162-SUM(AR162:$BC162)))</f>
        <v>0</v>
      </c>
      <c r="AR162" s="210">
        <f>IF(SUM(AF92:$AP92)&gt;=$BD162,0,MIN(AE92,$BD162-SUM(AS162:$BC162)))</f>
        <v>0</v>
      </c>
      <c r="AS162" s="210">
        <f>IF(SUM(AG92:$AP92)&gt;=$BD162,0,MIN(AF92,$BD162-SUM(AT162:$BC162)))</f>
        <v>0</v>
      </c>
      <c r="AT162" s="210">
        <f>IF(SUM(AH92:$AP92)&gt;=$BD162,0,MIN(AG92,$BD162-SUM(AU162:$BC162)))</f>
        <v>0</v>
      </c>
      <c r="AU162" s="210">
        <f>IF(SUM(AI92:$AP92)&gt;=$BD162,0,MIN(AH92,$BD162-SUM(AV162:$BC162)))</f>
        <v>0</v>
      </c>
      <c r="AV162" s="210">
        <f>IF(SUM(AJ92:$AP92)&gt;=$BD162,0,MIN(AI92,$BD162-SUM(AW162:$BC162)))</f>
        <v>0</v>
      </c>
      <c r="AW162" s="210">
        <f>IF(SUM(AK92:$AP92)&gt;=$BD162,0,MIN(AJ92,$BD162-SUM(AX162:$BC162)))</f>
        <v>0</v>
      </c>
      <c r="AX162" s="210">
        <f>IF(SUM(AL92:$AP92)&gt;=$BD162,0,MIN(AK92,$BD162-SUM(AY162:$BC162)))</f>
        <v>0</v>
      </c>
      <c r="AY162" s="210">
        <f>IF(SUM(AM92:$AP92)&gt;=$BD162,0,MIN(AL92,$BD162-SUM(AZ162:$BC162)))</f>
        <v>0</v>
      </c>
      <c r="AZ162" s="210">
        <f>IF(SUM(AN92:$AP92)&gt;=$BD162,0,MIN(AM92,$BD162-SUM(BA162:$BC162)))</f>
        <v>0</v>
      </c>
      <c r="BA162" s="210">
        <f>IF(SUM(AO92:$AP92)&gt;=$BD162,0,MIN(AN92,$BD162-SUM(BB162:$BC162)))</f>
        <v>0</v>
      </c>
      <c r="BB162" s="210">
        <f>IF(SUM(AP92:$AP92)&gt;=$BD162,0,MIN(AO92,$BD162-SUM(BC162:$BC162)))</f>
        <v>0</v>
      </c>
      <c r="BC162" s="210">
        <f t="shared" si="238"/>
        <v>0</v>
      </c>
      <c r="BD162" s="210">
        <f t="shared" si="239"/>
        <v>0</v>
      </c>
    </row>
    <row r="163" spans="1:56">
      <c r="A163" s="209" t="s">
        <v>108</v>
      </c>
      <c r="B163" s="210">
        <f>IF(SUM(Y58:$AP58)&gt;=$U163,0,MIN(X58,$U163-SUM(C163:$T163)))</f>
        <v>0</v>
      </c>
      <c r="C163" s="210">
        <f>IF(SUM(Z58:$AP58)&gt;=$U163,0,MIN(Y58,$U163-SUM(D163:$T163)))</f>
        <v>0</v>
      </c>
      <c r="D163" s="210">
        <f>IF(SUM(AA58:$AP58)&gt;=$U163,0,MIN(Z58,$U163-SUM(E163:$T163)))</f>
        <v>0</v>
      </c>
      <c r="E163" s="210">
        <f>IF(SUM(AB58:$AP58)&gt;=$U163,0,MIN(AA58,$U163-SUM(F163:$T163)))</f>
        <v>0</v>
      </c>
      <c r="F163" s="210">
        <f>IF(SUM(AC58:$AP58)&gt;=$U163,0,MIN(AB58,$U163-SUM(G163:$T163)))</f>
        <v>0</v>
      </c>
      <c r="G163" s="210">
        <f>IF(SUM(AD58:$AP58)&gt;=$U163,0,MIN(AC58,$U163-SUM(H163:$T163)))</f>
        <v>0</v>
      </c>
      <c r="H163" s="210">
        <f>IF(SUM(AE58:$AP58)&gt;=$U163,0,MIN(AD58,$U163-SUM(I163:$T163)))</f>
        <v>0</v>
      </c>
      <c r="I163" s="210">
        <f>IF(SUM(AF58:$AP58)&gt;=$U163,0,MIN(AE58,$U163-SUM(J163:$T163)))</f>
        <v>0</v>
      </c>
      <c r="J163" s="210">
        <f>IF(SUM(AG58:$AP58)&gt;=$U163,0,MIN(AF58,$U163-SUM(K163:$T163)))</f>
        <v>0</v>
      </c>
      <c r="K163" s="210">
        <f>IF(SUM(AH58:$AP58)&gt;=$U163,0,MIN(AG58,$U163-SUM(L163:$T163)))</f>
        <v>0</v>
      </c>
      <c r="L163" s="210">
        <f>IF(SUM(AI58:$AP58)&gt;=$U163,0,MIN(AH58,$U163-SUM(M163:$T163)))</f>
        <v>0</v>
      </c>
      <c r="M163" s="210">
        <f>IF(SUM(AJ58:$AP58)&gt;=$U163,0,MIN(AI58,$U163-SUM(N163:$T163)))</f>
        <v>0</v>
      </c>
      <c r="N163" s="210">
        <f>IF(SUM(AK58:$AP58)&gt;=$U163,0,MIN(AJ58,$U163-SUM(O163:$T163)))</f>
        <v>0</v>
      </c>
      <c r="O163" s="210">
        <f>IF(SUM(AL58:$AP58)&gt;=$U163,0,MIN(AK58,$U163-SUM(P163:$T163)))</f>
        <v>0</v>
      </c>
      <c r="P163" s="210">
        <f>IF(SUM(AM58:$AP58)&gt;=$U163,0,MIN(AL58,$U163-SUM(Q163:$T163)))</f>
        <v>0</v>
      </c>
      <c r="Q163" s="210">
        <f>IF(SUM(AN58:$AP58)&gt;=$U163,0,MIN(AM58,$U163-SUM(R163:$T163)))</f>
        <v>0</v>
      </c>
      <c r="R163" s="210">
        <f>IF(SUM(AO58:$AP58)&gt;=$U163,0,MIN(AN58,$U163-SUM(S163:$T163)))</f>
        <v>0</v>
      </c>
      <c r="S163" s="210">
        <f>IF(SUM(AP58:$AP58)&gt;=$U163,0,MIN(AO58,$U163-SUM(T163:$T163)))</f>
        <v>0</v>
      </c>
      <c r="T163" s="210">
        <f t="shared" si="225"/>
        <v>0</v>
      </c>
      <c r="U163" s="210">
        <f t="shared" si="226"/>
        <v>0</v>
      </c>
      <c r="V163" s="210"/>
      <c r="Y163" s="209" t="s">
        <v>108</v>
      </c>
      <c r="Z163" s="210">
        <f t="shared" si="240"/>
        <v>0</v>
      </c>
      <c r="AA163" s="210">
        <f t="shared" si="241"/>
        <v>0</v>
      </c>
      <c r="AB163" s="210">
        <f t="shared" si="242"/>
        <v>0</v>
      </c>
      <c r="AC163" s="210">
        <f t="shared" si="243"/>
        <v>0</v>
      </c>
      <c r="AD163" s="210">
        <f t="shared" si="244"/>
        <v>0</v>
      </c>
      <c r="AE163" s="210">
        <f t="shared" si="245"/>
        <v>0</v>
      </c>
      <c r="AF163" s="210">
        <f t="shared" si="246"/>
        <v>0</v>
      </c>
      <c r="AG163" s="210">
        <f t="shared" si="247"/>
        <v>0</v>
      </c>
      <c r="AH163" s="210">
        <f t="shared" si="248"/>
        <v>0</v>
      </c>
      <c r="AI163" s="210">
        <f t="shared" si="249"/>
        <v>0</v>
      </c>
      <c r="AJ163" s="210">
        <f t="shared" si="250"/>
        <v>0</v>
      </c>
      <c r="AK163" s="210">
        <f>IF(SUM(Y93:$AP93)&gt;=$BD163,0,MIN(X93,$BD163-SUM(AL163:$BC163)))/12</f>
        <v>0</v>
      </c>
      <c r="AL163" s="210">
        <f>IF(SUM(Z93:$AP93)&gt;=$BD163,0,MIN(Y93,$BD163-SUM(AM163:$BC163)))</f>
        <v>0</v>
      </c>
      <c r="AM163" s="210">
        <f>IF(SUM(AA93:$AP93)&gt;=$BD163,0,MIN(Z93,$BD163-SUM(AN163:$BC163)))</f>
        <v>0</v>
      </c>
      <c r="AN163" s="210">
        <f>IF(SUM(AB93:$AP93)&gt;=$BD163,0,MIN(AA93,$BD163-SUM(AO163:$BC163)))</f>
        <v>0</v>
      </c>
      <c r="AO163" s="210">
        <f>IF(SUM(AC93:$AP93)&gt;=$BD163,0,MIN(AB93,$BD163-SUM(AP163:$BC163)))</f>
        <v>0</v>
      </c>
      <c r="AP163" s="210">
        <f>IF(SUM(AD93:$AP93)&gt;=$BD163,0,MIN(AC93,$BD163-SUM(AQ163:$BC163)))</f>
        <v>0</v>
      </c>
      <c r="AQ163" s="210">
        <f>IF(SUM(AE93:$AP93)&gt;=$BD163,0,MIN(AD93,$BD163-SUM(AR163:$BC163)))</f>
        <v>0</v>
      </c>
      <c r="AR163" s="210">
        <f>IF(SUM(AF93:$AP93)&gt;=$BD163,0,MIN(AE93,$BD163-SUM(AS163:$BC163)))</f>
        <v>0</v>
      </c>
      <c r="AS163" s="210">
        <f>IF(SUM(AG93:$AP93)&gt;=$BD163,0,MIN(AF93,$BD163-SUM(AT163:$BC163)))</f>
        <v>0</v>
      </c>
      <c r="AT163" s="210">
        <f>IF(SUM(AH93:$AP93)&gt;=$BD163,0,MIN(AG93,$BD163-SUM(AU163:$BC163)))</f>
        <v>0</v>
      </c>
      <c r="AU163" s="210">
        <f>IF(SUM(AI93:$AP93)&gt;=$BD163,0,MIN(AH93,$BD163-SUM(AV163:$BC163)))</f>
        <v>0</v>
      </c>
      <c r="AV163" s="210">
        <f>IF(SUM(AJ93:$AP93)&gt;=$BD163,0,MIN(AI93,$BD163-SUM(AW163:$BC163)))</f>
        <v>0</v>
      </c>
      <c r="AW163" s="210">
        <f>IF(SUM(AK93:$AP93)&gt;=$BD163,0,MIN(AJ93,$BD163-SUM(AX163:$BC163)))</f>
        <v>0</v>
      </c>
      <c r="AX163" s="210">
        <f>IF(SUM(AL93:$AP93)&gt;=$BD163,0,MIN(AK93,$BD163-SUM(AY163:$BC163)))</f>
        <v>0</v>
      </c>
      <c r="AY163" s="210">
        <f>IF(SUM(AM93:$AP93)&gt;=$BD163,0,MIN(AL93,$BD163-SUM(AZ163:$BC163)))</f>
        <v>0</v>
      </c>
      <c r="AZ163" s="210">
        <f>IF(SUM(AN93:$AP93)&gt;=$BD163,0,MIN(AM93,$BD163-SUM(BA163:$BC163)))</f>
        <v>0</v>
      </c>
      <c r="BA163" s="210">
        <f>IF(SUM(AO93:$AP93)&gt;=$BD163,0,MIN(AN93,$BD163-SUM(BB163:$BC163)))</f>
        <v>0</v>
      </c>
      <c r="BB163" s="210">
        <f>IF(SUM(AP93:$AP93)&gt;=$BD163,0,MIN(AO93,$BD163-SUM(BC163:$BC163)))</f>
        <v>0</v>
      </c>
      <c r="BC163" s="210">
        <f t="shared" si="238"/>
        <v>0</v>
      </c>
      <c r="BD163" s="210">
        <f t="shared" si="239"/>
        <v>0</v>
      </c>
    </row>
    <row r="164" spans="1:56">
      <c r="A164" s="209" t="s">
        <v>110</v>
      </c>
      <c r="B164" s="210">
        <f>IF(SUM(Y59:$AP59)&gt;=$U164,0,MIN(X59,$U164-SUM(C164:$T164)))</f>
        <v>0</v>
      </c>
      <c r="C164" s="210">
        <f>IF(SUM(Z59:$AP59)&gt;=$U164,0,MIN(Y59,$U164-SUM(D164:$T164)))</f>
        <v>0</v>
      </c>
      <c r="D164" s="210">
        <f>IF(SUM(AA59:$AP59)&gt;=$U164,0,MIN(Z59,$U164-SUM(E164:$T164)))</f>
        <v>0</v>
      </c>
      <c r="E164" s="210">
        <f>IF(SUM(AB59:$AP59)&gt;=$U164,0,MIN(AA59,$U164-SUM(F164:$T164)))</f>
        <v>0</v>
      </c>
      <c r="F164" s="210">
        <f>IF(SUM(AC59:$AP59)&gt;=$U164,0,MIN(AB59,$U164-SUM(G164:$T164)))</f>
        <v>0</v>
      </c>
      <c r="G164" s="210">
        <f>IF(SUM(AD59:$AP59)&gt;=$U164,0,MIN(AC59,$U164-SUM(H164:$T164)))</f>
        <v>0</v>
      </c>
      <c r="H164" s="210">
        <f>IF(SUM(AE59:$AP59)&gt;=$U164,0,MIN(AD59,$U164-SUM(I164:$T164)))</f>
        <v>0</v>
      </c>
      <c r="I164" s="210">
        <f>IF(SUM(AF59:$AP59)&gt;=$U164,0,MIN(AE59,$U164-SUM(J164:$T164)))</f>
        <v>0</v>
      </c>
      <c r="J164" s="210">
        <f>IF(SUM(AG59:$AP59)&gt;=$U164,0,MIN(AF59,$U164-SUM(K164:$T164)))</f>
        <v>0</v>
      </c>
      <c r="K164" s="210">
        <f>IF(SUM(AH59:$AP59)&gt;=$U164,0,MIN(AG59,$U164-SUM(L164:$T164)))</f>
        <v>0</v>
      </c>
      <c r="L164" s="210">
        <f>IF(SUM(AI59:$AP59)&gt;=$U164,0,MIN(AH59,$U164-SUM(M164:$T164)))</f>
        <v>0</v>
      </c>
      <c r="M164" s="210">
        <f>IF(SUM(AJ59:$AP59)&gt;=$U164,0,MIN(AI59,$U164-SUM(N164:$T164)))</f>
        <v>0</v>
      </c>
      <c r="N164" s="210">
        <f>IF(SUM(AK59:$AP59)&gt;=$U164,0,MIN(AJ59,$U164-SUM(O164:$T164)))</f>
        <v>0</v>
      </c>
      <c r="O164" s="210">
        <f>IF(SUM(AL59:$AP59)&gt;=$U164,0,MIN(AK59,$U164-SUM(P164:$T164)))</f>
        <v>0</v>
      </c>
      <c r="P164" s="210">
        <f>IF(SUM(AM59:$AP59)&gt;=$U164,0,MIN(AL59,$U164-SUM(Q164:$T164)))</f>
        <v>0</v>
      </c>
      <c r="Q164" s="210">
        <f>IF(SUM(AN59:$AP59)&gt;=$U164,0,MIN(AM59,$U164-SUM(R164:$T164)))</f>
        <v>0</v>
      </c>
      <c r="R164" s="210">
        <f>IF(SUM(AO59:$AP59)&gt;=$U164,0,MIN(AN59,$U164-SUM(S164:$T164)))</f>
        <v>0</v>
      </c>
      <c r="S164" s="210">
        <f>IF(SUM(AP59:$AP59)&gt;=$U164,0,MIN(AO59,$U164-SUM(T164:$T164)))</f>
        <v>0</v>
      </c>
      <c r="T164" s="210">
        <f t="shared" si="225"/>
        <v>0</v>
      </c>
      <c r="U164" s="210">
        <f t="shared" si="226"/>
        <v>0</v>
      </c>
      <c r="V164" s="210"/>
      <c r="Y164" s="209" t="s">
        <v>110</v>
      </c>
      <c r="Z164" s="210">
        <f t="shared" si="240"/>
        <v>0</v>
      </c>
      <c r="AA164" s="210">
        <f t="shared" si="241"/>
        <v>0</v>
      </c>
      <c r="AB164" s="210">
        <f t="shared" si="242"/>
        <v>0</v>
      </c>
      <c r="AC164" s="210">
        <f t="shared" si="243"/>
        <v>0</v>
      </c>
      <c r="AD164" s="210">
        <f t="shared" si="244"/>
        <v>0</v>
      </c>
      <c r="AE164" s="210">
        <f t="shared" si="245"/>
        <v>0</v>
      </c>
      <c r="AF164" s="210">
        <f t="shared" si="246"/>
        <v>0</v>
      </c>
      <c r="AG164" s="210">
        <f t="shared" si="247"/>
        <v>0</v>
      </c>
      <c r="AH164" s="210">
        <f t="shared" si="248"/>
        <v>0</v>
      </c>
      <c r="AI164" s="210">
        <f t="shared" si="249"/>
        <v>0</v>
      </c>
      <c r="AJ164" s="210">
        <f t="shared" si="250"/>
        <v>0</v>
      </c>
      <c r="AK164" s="210">
        <f>IF(SUM(Y94:$AP94)&gt;=$BD164,0,MIN(X94,$BD164-SUM(AL164:$BC164)))/12</f>
        <v>0</v>
      </c>
      <c r="AL164" s="210">
        <f>IF(SUM(Z94:$AP94)&gt;=$BD164,0,MIN(Y94,$BD164-SUM(AM164:$BC164)))</f>
        <v>0</v>
      </c>
      <c r="AM164" s="210">
        <f>IF(SUM(AA94:$AP94)&gt;=$BD164,0,MIN(Z94,$BD164-SUM(AN164:$BC164)))</f>
        <v>0</v>
      </c>
      <c r="AN164" s="210">
        <f>IF(SUM(AB94:$AP94)&gt;=$BD164,0,MIN(AA94,$BD164-SUM(AO164:$BC164)))</f>
        <v>0</v>
      </c>
      <c r="AO164" s="210">
        <f>IF(SUM(AC94:$AP94)&gt;=$BD164,0,MIN(AB94,$BD164-SUM(AP164:$BC164)))</f>
        <v>0</v>
      </c>
      <c r="AP164" s="210">
        <f>IF(SUM(AD94:$AP94)&gt;=$BD164,0,MIN(AC94,$BD164-SUM(AQ164:$BC164)))</f>
        <v>0</v>
      </c>
      <c r="AQ164" s="210">
        <f>IF(SUM(AE94:$AP94)&gt;=$BD164,0,MIN(AD94,$BD164-SUM(AR164:$BC164)))</f>
        <v>0</v>
      </c>
      <c r="AR164" s="210">
        <f>IF(SUM(AF94:$AP94)&gt;=$BD164,0,MIN(AE94,$BD164-SUM(AS164:$BC164)))</f>
        <v>0</v>
      </c>
      <c r="AS164" s="210">
        <f>IF(SUM(AG94:$AP94)&gt;=$BD164,0,MIN(AF94,$BD164-SUM(AT164:$BC164)))</f>
        <v>0</v>
      </c>
      <c r="AT164" s="210">
        <f>IF(SUM(AH94:$AP94)&gt;=$BD164,0,MIN(AG94,$BD164-SUM(AU164:$BC164)))</f>
        <v>0</v>
      </c>
      <c r="AU164" s="210">
        <f>IF(SUM(AI94:$AP94)&gt;=$BD164,0,MIN(AH94,$BD164-SUM(AV164:$BC164)))</f>
        <v>0</v>
      </c>
      <c r="AV164" s="210">
        <f>IF(SUM(AJ94:$AP94)&gt;=$BD164,0,MIN(AI94,$BD164-SUM(AW164:$BC164)))</f>
        <v>0</v>
      </c>
      <c r="AW164" s="210">
        <f>IF(SUM(AK94:$AP94)&gt;=$BD164,0,MIN(AJ94,$BD164-SUM(AX164:$BC164)))</f>
        <v>0</v>
      </c>
      <c r="AX164" s="210">
        <f>IF(SUM(AL94:$AP94)&gt;=$BD164,0,MIN(AK94,$BD164-SUM(AY164:$BC164)))</f>
        <v>0</v>
      </c>
      <c r="AY164" s="210">
        <f>IF(SUM(AM94:$AP94)&gt;=$BD164,0,MIN(AL94,$BD164-SUM(AZ164:$BC164)))</f>
        <v>0</v>
      </c>
      <c r="AZ164" s="210">
        <f>IF(SUM(AN94:$AP94)&gt;=$BD164,0,MIN(AM94,$BD164-SUM(BA164:$BC164)))</f>
        <v>0</v>
      </c>
      <c r="BA164" s="210">
        <f>IF(SUM(AO94:$AP94)&gt;=$BD164,0,MIN(AN94,$BD164-SUM(BB164:$BC164)))</f>
        <v>0</v>
      </c>
      <c r="BB164" s="210">
        <f>IF(SUM(AP94:$AP94)&gt;=$BD164,0,MIN(AO94,$BD164-SUM(BC164:$BC164)))</f>
        <v>0</v>
      </c>
      <c r="BC164" s="210">
        <f t="shared" si="238"/>
        <v>0</v>
      </c>
      <c r="BD164" s="210">
        <f t="shared" si="239"/>
        <v>0</v>
      </c>
    </row>
    <row r="165" spans="1:56">
      <c r="A165" s="209" t="s">
        <v>112</v>
      </c>
      <c r="B165" s="210">
        <f>IF(SUM(Y60:$AP60)&gt;=$U165,0,MIN(X60,$U165-SUM(C165:$T165)))</f>
        <v>0</v>
      </c>
      <c r="C165" s="210">
        <f>IF(SUM(Z60:$AP60)&gt;=$U165,0,MIN(Y60,$U165-SUM(D165:$T165)))</f>
        <v>0</v>
      </c>
      <c r="D165" s="210">
        <f>IF(SUM(AA60:$AP60)&gt;=$U165,0,MIN(Z60,$U165-SUM(E165:$T165)))</f>
        <v>0</v>
      </c>
      <c r="E165" s="210">
        <f>IF(SUM(AB60:$AP60)&gt;=$U165,0,MIN(AA60,$U165-SUM(F165:$T165)))</f>
        <v>0</v>
      </c>
      <c r="F165" s="210">
        <f>IF(SUM(AC60:$AP60)&gt;=$U165,0,MIN(AB60,$U165-SUM(G165:$T165)))</f>
        <v>0</v>
      </c>
      <c r="G165" s="210">
        <f>IF(SUM(AD60:$AP60)&gt;=$U165,0,MIN(AC60,$U165-SUM(H165:$T165)))</f>
        <v>0</v>
      </c>
      <c r="H165" s="210">
        <f>IF(SUM(AE60:$AP60)&gt;=$U165,0,MIN(AD60,$U165-SUM(I165:$T165)))</f>
        <v>0</v>
      </c>
      <c r="I165" s="210">
        <f>IF(SUM(AF60:$AP60)&gt;=$U165,0,MIN(AE60,$U165-SUM(J165:$T165)))</f>
        <v>0</v>
      </c>
      <c r="J165" s="210">
        <f>IF(SUM(AG60:$AP60)&gt;=$U165,0,MIN(AF60,$U165-SUM(K165:$T165)))</f>
        <v>0</v>
      </c>
      <c r="K165" s="210">
        <f>IF(SUM(AH60:$AP60)&gt;=$U165,0,MIN(AG60,$U165-SUM(L165:$T165)))</f>
        <v>0</v>
      </c>
      <c r="L165" s="210">
        <f>IF(SUM(AI60:$AP60)&gt;=$U165,0,MIN(AH60,$U165-SUM(M165:$T165)))</f>
        <v>0</v>
      </c>
      <c r="M165" s="210">
        <f>IF(SUM(AJ60:$AP60)&gt;=$U165,0,MIN(AI60,$U165-SUM(N165:$T165)))</f>
        <v>0</v>
      </c>
      <c r="N165" s="210">
        <f>IF(SUM(AK60:$AP60)&gt;=$U165,0,MIN(AJ60,$U165-SUM(O165:$T165)))</f>
        <v>0</v>
      </c>
      <c r="O165" s="210">
        <f>IF(SUM(AL60:$AP60)&gt;=$U165,0,MIN(AK60,$U165-SUM(P165:$T165)))</f>
        <v>0</v>
      </c>
      <c r="P165" s="210">
        <f>IF(SUM(AM60:$AP60)&gt;=$U165,0,MIN(AL60,$U165-SUM(Q165:$T165)))</f>
        <v>0</v>
      </c>
      <c r="Q165" s="210">
        <f>IF(SUM(AN60:$AP60)&gt;=$U165,0,MIN(AM60,$U165-SUM(R165:$T165)))</f>
        <v>0</v>
      </c>
      <c r="R165" s="210">
        <f>IF(SUM(AO60:$AP60)&gt;=$U165,0,MIN(AN60,$U165-SUM(S165:$T165)))</f>
        <v>0</v>
      </c>
      <c r="S165" s="210">
        <f>IF(SUM(AP60:$AP60)&gt;=$U165,0,MIN(AO60,$U165-SUM(T165:$T165)))</f>
        <v>0</v>
      </c>
      <c r="T165" s="210">
        <f t="shared" si="225"/>
        <v>0</v>
      </c>
      <c r="U165" s="210">
        <f t="shared" si="226"/>
        <v>0</v>
      </c>
      <c r="V165" s="210"/>
      <c r="Y165" s="209" t="s">
        <v>112</v>
      </c>
      <c r="Z165" s="210">
        <f t="shared" si="240"/>
        <v>0</v>
      </c>
      <c r="AA165" s="210">
        <f t="shared" si="241"/>
        <v>0</v>
      </c>
      <c r="AB165" s="210">
        <f t="shared" si="242"/>
        <v>0</v>
      </c>
      <c r="AC165" s="210">
        <f t="shared" si="243"/>
        <v>0</v>
      </c>
      <c r="AD165" s="210">
        <f t="shared" si="244"/>
        <v>0</v>
      </c>
      <c r="AE165" s="210">
        <f t="shared" si="245"/>
        <v>0</v>
      </c>
      <c r="AF165" s="210">
        <f t="shared" si="246"/>
        <v>0</v>
      </c>
      <c r="AG165" s="210">
        <f t="shared" si="247"/>
        <v>0</v>
      </c>
      <c r="AH165" s="210">
        <f t="shared" si="248"/>
        <v>0</v>
      </c>
      <c r="AI165" s="210">
        <f t="shared" si="249"/>
        <v>0</v>
      </c>
      <c r="AJ165" s="210">
        <f t="shared" si="250"/>
        <v>0</v>
      </c>
      <c r="AK165" s="210">
        <f>IF(SUM(Y95:$AP95)&gt;=$BD165,0,MIN(X95,$BD165-SUM(AL165:$BC165)))/12</f>
        <v>0</v>
      </c>
      <c r="AL165" s="210">
        <f>IF(SUM(Z95:$AP95)&gt;=$BD165,0,MIN(Y95,$BD165-SUM(AM165:$BC165)))</f>
        <v>0</v>
      </c>
      <c r="AM165" s="210">
        <f>IF(SUM(AA95:$AP95)&gt;=$BD165,0,MIN(Z95,$BD165-SUM(AN165:$BC165)))</f>
        <v>0</v>
      </c>
      <c r="AN165" s="210">
        <f>IF(SUM(AB95:$AP95)&gt;=$BD165,0,MIN(AA95,$BD165-SUM(AO165:$BC165)))</f>
        <v>0</v>
      </c>
      <c r="AO165" s="210">
        <f>IF(SUM(AC95:$AP95)&gt;=$BD165,0,MIN(AB95,$BD165-SUM(AP165:$BC165)))</f>
        <v>0</v>
      </c>
      <c r="AP165" s="210">
        <f>IF(SUM(AD95:$AP95)&gt;=$BD165,0,MIN(AC95,$BD165-SUM(AQ165:$BC165)))</f>
        <v>0</v>
      </c>
      <c r="AQ165" s="210">
        <f>IF(SUM(AE95:$AP95)&gt;=$BD165,0,MIN(AD95,$BD165-SUM(AR165:$BC165)))</f>
        <v>0</v>
      </c>
      <c r="AR165" s="210">
        <f>IF(SUM(AF95:$AP95)&gt;=$BD165,0,MIN(AE95,$BD165-SUM(AS165:$BC165)))</f>
        <v>0</v>
      </c>
      <c r="AS165" s="210">
        <f>IF(SUM(AG95:$AP95)&gt;=$BD165,0,MIN(AF95,$BD165-SUM(AT165:$BC165)))</f>
        <v>0</v>
      </c>
      <c r="AT165" s="210">
        <f>IF(SUM(AH95:$AP95)&gt;=$BD165,0,MIN(AG95,$BD165-SUM(AU165:$BC165)))</f>
        <v>0</v>
      </c>
      <c r="AU165" s="210">
        <f>IF(SUM(AI95:$AP95)&gt;=$BD165,0,MIN(AH95,$BD165-SUM(AV165:$BC165)))</f>
        <v>0</v>
      </c>
      <c r="AV165" s="210">
        <f>IF(SUM(AJ95:$AP95)&gt;=$BD165,0,MIN(AI95,$BD165-SUM(AW165:$BC165)))</f>
        <v>0</v>
      </c>
      <c r="AW165" s="210">
        <f>IF(SUM(AK95:$AP95)&gt;=$BD165,0,MIN(AJ95,$BD165-SUM(AX165:$BC165)))</f>
        <v>0</v>
      </c>
      <c r="AX165" s="210">
        <f>IF(SUM(AL95:$AP95)&gt;=$BD165,0,MIN(AK95,$BD165-SUM(AY165:$BC165)))</f>
        <v>0</v>
      </c>
      <c r="AY165" s="210">
        <f>IF(SUM(AM95:$AP95)&gt;=$BD165,0,MIN(AL95,$BD165-SUM(AZ165:$BC165)))</f>
        <v>0</v>
      </c>
      <c r="AZ165" s="210">
        <f>IF(SUM(AN95:$AP95)&gt;=$BD165,0,MIN(AM95,$BD165-SUM(BA165:$BC165)))</f>
        <v>0</v>
      </c>
      <c r="BA165" s="210">
        <f>IF(SUM(AO95:$AP95)&gt;=$BD165,0,MIN(AN95,$BD165-SUM(BB165:$BC165)))</f>
        <v>0</v>
      </c>
      <c r="BB165" s="210">
        <f>IF(SUM(AP95:$AP95)&gt;=$BD165,0,MIN(AO95,$BD165-SUM(BC165:$BC165)))</f>
        <v>0</v>
      </c>
      <c r="BC165" s="210">
        <f t="shared" si="238"/>
        <v>0</v>
      </c>
      <c r="BD165" s="210">
        <f t="shared" si="239"/>
        <v>0</v>
      </c>
    </row>
    <row r="166" spans="1:56">
      <c r="A166" s="209" t="s">
        <v>114</v>
      </c>
      <c r="B166" s="210">
        <f>IF(SUM(Y61:$AP61)&gt;=$U166,0,MIN(X61,$U166-SUM(C166:$T166)))</f>
        <v>0</v>
      </c>
      <c r="C166" s="210">
        <f>IF(SUM(Z61:$AP61)&gt;=$U166,0,MIN(Y61,$U166-SUM(D166:$T166)))</f>
        <v>0</v>
      </c>
      <c r="D166" s="210">
        <f>IF(SUM(AA61:$AP61)&gt;=$U166,0,MIN(Z61,$U166-SUM(E166:$T166)))</f>
        <v>0</v>
      </c>
      <c r="E166" s="210">
        <f>IF(SUM(AB61:$AP61)&gt;=$U166,0,MIN(AA61,$U166-SUM(F166:$T166)))</f>
        <v>0</v>
      </c>
      <c r="F166" s="210">
        <f>IF(SUM(AC61:$AP61)&gt;=$U166,0,MIN(AB61,$U166-SUM(G166:$T166)))</f>
        <v>0</v>
      </c>
      <c r="G166" s="210">
        <f>IF(SUM(AD61:$AP61)&gt;=$U166,0,MIN(AC61,$U166-SUM(H166:$T166)))</f>
        <v>0</v>
      </c>
      <c r="H166" s="210">
        <f>IF(SUM(AE61:$AP61)&gt;=$U166,0,MIN(AD61,$U166-SUM(I166:$T166)))</f>
        <v>0</v>
      </c>
      <c r="I166" s="210">
        <f>IF(SUM(AF61:$AP61)&gt;=$U166,0,MIN(AE61,$U166-SUM(J166:$T166)))</f>
        <v>0</v>
      </c>
      <c r="J166" s="210">
        <f>IF(SUM(AG61:$AP61)&gt;=$U166,0,MIN(AF61,$U166-SUM(K166:$T166)))</f>
        <v>0</v>
      </c>
      <c r="K166" s="210">
        <f>IF(SUM(AH61:$AP61)&gt;=$U166,0,MIN(AG61,$U166-SUM(L166:$T166)))</f>
        <v>0</v>
      </c>
      <c r="L166" s="210">
        <f>IF(SUM(AI61:$AP61)&gt;=$U166,0,MIN(AH61,$U166-SUM(M166:$T166)))</f>
        <v>0</v>
      </c>
      <c r="M166" s="210">
        <f>IF(SUM(AJ61:$AP61)&gt;=$U166,0,MIN(AI61,$U166-SUM(N166:$T166)))</f>
        <v>0</v>
      </c>
      <c r="N166" s="210">
        <f>IF(SUM(AK61:$AP61)&gt;=$U166,0,MIN(AJ61,$U166-SUM(O166:$T166)))</f>
        <v>0</v>
      </c>
      <c r="O166" s="210">
        <f>IF(SUM(AL61:$AP61)&gt;=$U166,0,MIN(AK61,$U166-SUM(P166:$T166)))</f>
        <v>0</v>
      </c>
      <c r="P166" s="210">
        <f>IF(SUM(AM61:$AP61)&gt;=$U166,0,MIN(AL61,$U166-SUM(Q166:$T166)))</f>
        <v>0</v>
      </c>
      <c r="Q166" s="210">
        <f>IF(SUM(AN61:$AP61)&gt;=$U166,0,MIN(AM61,$U166-SUM(R166:$T166)))</f>
        <v>0</v>
      </c>
      <c r="R166" s="210">
        <f>IF(SUM(AO61:$AP61)&gt;=$U166,0,MIN(AN61,$U166-SUM(S166:$T166)))</f>
        <v>0</v>
      </c>
      <c r="S166" s="210">
        <f>IF(SUM(AP61:$AP61)&gt;=$U166,0,MIN(AO61,$U166-SUM(T166:$T166)))</f>
        <v>0</v>
      </c>
      <c r="T166" s="210">
        <f t="shared" si="225"/>
        <v>0</v>
      </c>
      <c r="U166" s="210">
        <f t="shared" si="226"/>
        <v>0</v>
      </c>
      <c r="V166" s="210"/>
      <c r="Y166" s="209" t="s">
        <v>114</v>
      </c>
      <c r="Z166" s="210">
        <f t="shared" si="240"/>
        <v>0</v>
      </c>
      <c r="AA166" s="210">
        <f t="shared" si="241"/>
        <v>0</v>
      </c>
      <c r="AB166" s="210">
        <f t="shared" si="242"/>
        <v>0</v>
      </c>
      <c r="AC166" s="210">
        <f t="shared" si="243"/>
        <v>0</v>
      </c>
      <c r="AD166" s="210">
        <f t="shared" si="244"/>
        <v>0</v>
      </c>
      <c r="AE166" s="210">
        <f t="shared" si="245"/>
        <v>0</v>
      </c>
      <c r="AF166" s="210">
        <f t="shared" si="246"/>
        <v>0</v>
      </c>
      <c r="AG166" s="210">
        <f t="shared" si="247"/>
        <v>0</v>
      </c>
      <c r="AH166" s="210">
        <f t="shared" si="248"/>
        <v>0</v>
      </c>
      <c r="AI166" s="210">
        <f t="shared" si="249"/>
        <v>0</v>
      </c>
      <c r="AJ166" s="210">
        <f t="shared" si="250"/>
        <v>0</v>
      </c>
      <c r="AK166" s="210">
        <f>IF(SUM(Y96:$AP96)&gt;=$BD166,0,MIN(X96,$BD166-SUM(AL166:$BC166)))/12</f>
        <v>0</v>
      </c>
      <c r="AL166" s="210">
        <f>IF(SUM(Z96:$AP96)&gt;=$BD166,0,MIN(Y96,$BD166-SUM(AM166:$BC166)))</f>
        <v>0</v>
      </c>
      <c r="AM166" s="210">
        <f>IF(SUM(AA96:$AP96)&gt;=$BD166,0,MIN(Z96,$BD166-SUM(AN166:$BC166)))</f>
        <v>0</v>
      </c>
      <c r="AN166" s="210">
        <f>IF(SUM(AB96:$AP96)&gt;=$BD166,0,MIN(AA96,$BD166-SUM(AO166:$BC166)))</f>
        <v>0</v>
      </c>
      <c r="AO166" s="210">
        <f>IF(SUM(AC96:$AP96)&gt;=$BD166,0,MIN(AB96,$BD166-SUM(AP166:$BC166)))</f>
        <v>0</v>
      </c>
      <c r="AP166" s="210">
        <f>IF(SUM(AD96:$AP96)&gt;=$BD166,0,MIN(AC96,$BD166-SUM(AQ166:$BC166)))</f>
        <v>0</v>
      </c>
      <c r="AQ166" s="210">
        <f>IF(SUM(AE96:$AP96)&gt;=$BD166,0,MIN(AD96,$BD166-SUM(AR166:$BC166)))</f>
        <v>0</v>
      </c>
      <c r="AR166" s="210">
        <f>IF(SUM(AF96:$AP96)&gt;=$BD166,0,MIN(AE96,$BD166-SUM(AS166:$BC166)))</f>
        <v>0</v>
      </c>
      <c r="AS166" s="210">
        <f>IF(SUM(AG96:$AP96)&gt;=$BD166,0,MIN(AF96,$BD166-SUM(AT166:$BC166)))</f>
        <v>0</v>
      </c>
      <c r="AT166" s="210">
        <f>IF(SUM(AH96:$AP96)&gt;=$BD166,0,MIN(AG96,$BD166-SUM(AU166:$BC166)))</f>
        <v>0</v>
      </c>
      <c r="AU166" s="210">
        <f>IF(SUM(AI96:$AP96)&gt;=$BD166,0,MIN(AH96,$BD166-SUM(AV166:$BC166)))</f>
        <v>0</v>
      </c>
      <c r="AV166" s="210">
        <f>IF(SUM(AJ96:$AP96)&gt;=$BD166,0,MIN(AI96,$BD166-SUM(AW166:$BC166)))</f>
        <v>0</v>
      </c>
      <c r="AW166" s="210">
        <f>IF(SUM(AK96:$AP96)&gt;=$BD166,0,MIN(AJ96,$BD166-SUM(AX166:$BC166)))</f>
        <v>0</v>
      </c>
      <c r="AX166" s="210">
        <f>IF(SUM(AL96:$AP96)&gt;=$BD166,0,MIN(AK96,$BD166-SUM(AY166:$BC166)))</f>
        <v>0</v>
      </c>
      <c r="AY166" s="210">
        <f>IF(SUM(AM96:$AP96)&gt;=$BD166,0,MIN(AL96,$BD166-SUM(AZ166:$BC166)))</f>
        <v>0</v>
      </c>
      <c r="AZ166" s="210">
        <f>IF(SUM(AN96:$AP96)&gt;=$BD166,0,MIN(AM96,$BD166-SUM(BA166:$BC166)))</f>
        <v>0</v>
      </c>
      <c r="BA166" s="210">
        <f>IF(SUM(AO96:$AP96)&gt;=$BD166,0,MIN(AN96,$BD166-SUM(BB166:$BC166)))</f>
        <v>0</v>
      </c>
      <c r="BB166" s="210">
        <f>IF(SUM(AP96:$AP96)&gt;=$BD166,0,MIN(AO96,$BD166-SUM(BC166:$BC166)))</f>
        <v>0</v>
      </c>
      <c r="BC166" s="210">
        <f t="shared" si="238"/>
        <v>0</v>
      </c>
      <c r="BD166" s="210">
        <f t="shared" si="239"/>
        <v>0</v>
      </c>
    </row>
    <row r="167" spans="1:56">
      <c r="A167" s="209" t="s">
        <v>116</v>
      </c>
      <c r="B167" s="210">
        <f>IF(SUM(Y62:$AP62)&gt;=$U167,0,MIN(X62,$U167-SUM(C167:$T167)))</f>
        <v>0</v>
      </c>
      <c r="C167" s="210">
        <f>IF(SUM(Z62:$AP62)&gt;=$U167,0,MIN(Y62,$U167-SUM(D167:$T167)))</f>
        <v>0</v>
      </c>
      <c r="D167" s="210">
        <f>IF(SUM(AA62:$AP62)&gt;=$U167,0,MIN(Z62,$U167-SUM(E167:$T167)))</f>
        <v>0</v>
      </c>
      <c r="E167" s="210">
        <f>IF(SUM(AB62:$AP62)&gt;=$U167,0,MIN(AA62,$U167-SUM(F167:$T167)))</f>
        <v>0</v>
      </c>
      <c r="F167" s="210">
        <f>IF(SUM(AC62:$AP62)&gt;=$U167,0,MIN(AB62,$U167-SUM(G167:$T167)))</f>
        <v>1.2</v>
      </c>
      <c r="G167" s="210">
        <f>IF(SUM(AD62:$AP62)&gt;=$U167,0,MIN(AC62,$U167-SUM(H167:$T167)))</f>
        <v>0</v>
      </c>
      <c r="H167" s="210">
        <f>IF(SUM(AE62:$AP62)&gt;=$U167,0,MIN(AD62,$U167-SUM(I167:$T167)))</f>
        <v>0</v>
      </c>
      <c r="I167" s="210">
        <f>IF(SUM(AF62:$AP62)&gt;=$U167,0,MIN(AE62,$U167-SUM(J167:$T167)))</f>
        <v>0</v>
      </c>
      <c r="J167" s="210">
        <f>IF(SUM(AG62:$AP62)&gt;=$U167,0,MIN(AF62,$U167-SUM(K167:$T167)))</f>
        <v>0</v>
      </c>
      <c r="K167" s="210">
        <f>IF(SUM(AH62:$AP62)&gt;=$U167,0,MIN(AG62,$U167-SUM(L167:$T167)))</f>
        <v>0</v>
      </c>
      <c r="L167" s="210">
        <f>IF(SUM(AI62:$AP62)&gt;=$U167,0,MIN(AH62,$U167-SUM(M167:$T167)))</f>
        <v>0</v>
      </c>
      <c r="M167" s="210">
        <f>IF(SUM(AJ62:$AP62)&gt;=$U167,0,MIN(AI62,$U167-SUM(N167:$T167)))</f>
        <v>0</v>
      </c>
      <c r="N167" s="210">
        <f>IF(SUM(AK62:$AP62)&gt;=$U167,0,MIN(AJ62,$U167-SUM(O167:$T167)))</f>
        <v>0</v>
      </c>
      <c r="O167" s="210">
        <f>IF(SUM(AL62:$AP62)&gt;=$U167,0,MIN(AK62,$U167-SUM(P167:$T167)))</f>
        <v>0</v>
      </c>
      <c r="P167" s="210">
        <f>IF(SUM(AM62:$AP62)&gt;=$U167,0,MIN(AL62,$U167-SUM(Q167:$T167)))</f>
        <v>0</v>
      </c>
      <c r="Q167" s="210">
        <f>IF(SUM(AN62:$AP62)&gt;=$U167,0,MIN(AM62,$U167-SUM(R167:$T167)))</f>
        <v>0</v>
      </c>
      <c r="R167" s="210">
        <f>IF(SUM(AO62:$AP62)&gt;=$U167,0,MIN(AN62,$U167-SUM(S167:$T167)))</f>
        <v>0</v>
      </c>
      <c r="S167" s="210">
        <f>IF(SUM(AP62:$AP62)&gt;=$U167,0,MIN(AO62,$U167-SUM(T167:$T167)))</f>
        <v>0</v>
      </c>
      <c r="T167" s="210">
        <f t="shared" si="225"/>
        <v>0</v>
      </c>
      <c r="U167" s="210">
        <f t="shared" si="226"/>
        <v>1.2</v>
      </c>
      <c r="V167" s="210"/>
      <c r="Y167" s="209" t="s">
        <v>116</v>
      </c>
      <c r="Z167" s="210">
        <f t="shared" si="240"/>
        <v>0</v>
      </c>
      <c r="AA167" s="210">
        <f t="shared" si="241"/>
        <v>0</v>
      </c>
      <c r="AB167" s="210">
        <f t="shared" si="242"/>
        <v>0</v>
      </c>
      <c r="AC167" s="210">
        <f t="shared" si="243"/>
        <v>0</v>
      </c>
      <c r="AD167" s="210">
        <f t="shared" si="244"/>
        <v>0</v>
      </c>
      <c r="AE167" s="210">
        <f t="shared" si="245"/>
        <v>0</v>
      </c>
      <c r="AF167" s="210">
        <f t="shared" si="246"/>
        <v>0</v>
      </c>
      <c r="AG167" s="210">
        <f t="shared" si="247"/>
        <v>0</v>
      </c>
      <c r="AH167" s="210">
        <f t="shared" si="248"/>
        <v>0</v>
      </c>
      <c r="AI167" s="210">
        <f t="shared" si="249"/>
        <v>0</v>
      </c>
      <c r="AJ167" s="210">
        <f t="shared" si="250"/>
        <v>0</v>
      </c>
      <c r="AK167" s="210">
        <f>IF(SUM(Y97:$AP97)&gt;=$BD167,0,MIN(X97,$BD167-SUM(AL167:$BC167)))/12</f>
        <v>0</v>
      </c>
      <c r="AL167" s="210">
        <f>IF(SUM(Z97:$AP97)&gt;=$BD167,0,MIN(Y97,$BD167-SUM(AM167:$BC167)))</f>
        <v>0.58</v>
      </c>
      <c r="AM167" s="210">
        <f>IF(SUM(AA97:$AP97)&gt;=$BD167,0,MIN(Z97,$BD167-SUM(AN167:$BC167)))</f>
        <v>0.58</v>
      </c>
      <c r="AN167" s="210">
        <f>IF(SUM(AB97:$AP97)&gt;=$BD167,0,MIN(AA97,$BD167-SUM(AO167:$BC167)))</f>
        <v>0.58</v>
      </c>
      <c r="AO167" s="210">
        <f>IF(SUM(AC97:$AP97)&gt;=$BD167,0,MIN(AB97,$BD167-SUM(AP167:$BC167)))</f>
        <v>0.58</v>
      </c>
      <c r="AP167" s="210">
        <f>IF(SUM(AD97:$AP97)&gt;=$BD167,0,MIN(AC97,$BD167-SUM(AQ167:$BC167)))</f>
        <v>0.58</v>
      </c>
      <c r="AQ167" s="210">
        <f>IF(SUM(AE97:$AP97)&gt;=$BD167,0,MIN(AD97,$BD167-SUM(AR167:$BC167)))</f>
        <v>0.58</v>
      </c>
      <c r="AR167" s="210">
        <f>IF(SUM(AF97:$AP97)&gt;=$BD167,0,MIN(AE97,$BD167-SUM(AS167:$BC167)))</f>
        <v>0.58</v>
      </c>
      <c r="AS167" s="210">
        <f>IF(SUM(AG97:$AP97)&gt;=$BD167,0,MIN(AF97,$BD167-SUM(AT167:$BC167)))</f>
        <v>0.58</v>
      </c>
      <c r="AT167" s="210">
        <f>IF(SUM(AH97:$AP97)&gt;=$BD167,0,MIN(AG97,$BD167-SUM(AU167:$BC167)))</f>
        <v>0.58</v>
      </c>
      <c r="AU167" s="210">
        <f>IF(SUM(AI97:$AP97)&gt;=$BD167,0,MIN(AH97,$BD167-SUM(AV167:$BC167)))</f>
        <v>0.58</v>
      </c>
      <c r="AV167" s="210">
        <f>IF(SUM(AJ97:$AP97)&gt;=$BD167,0,MIN(AI97,$BD167-SUM(AW167:$BC167)))</f>
        <v>0</v>
      </c>
      <c r="AW167" s="210">
        <f>IF(SUM(AK97:$AP97)&gt;=$BD167,0,MIN(AJ97,$BD167-SUM(AX167:$BC167)))</f>
        <v>0</v>
      </c>
      <c r="AX167" s="210">
        <f>IF(SUM(AL97:$AP97)&gt;=$BD167,0,MIN(AK97,$BD167-SUM(AY167:$BC167)))</f>
        <v>0</v>
      </c>
      <c r="AY167" s="210">
        <f>IF(SUM(AM97:$AP97)&gt;=$BD167,0,MIN(AL97,$BD167-SUM(AZ167:$BC167)))</f>
        <v>0</v>
      </c>
      <c r="AZ167" s="210">
        <f>IF(SUM(AN97:$AP97)&gt;=$BD167,0,MIN(AM97,$BD167-SUM(BA167:$BC167)))</f>
        <v>0</v>
      </c>
      <c r="BA167" s="210">
        <f>IF(SUM(AO97:$AP97)&gt;=$BD167,0,MIN(AN97,$BD167-SUM(BB167:$BC167)))</f>
        <v>0</v>
      </c>
      <c r="BB167" s="210">
        <f>IF(SUM(AP97:$AP97)&gt;=$BD167,0,MIN(AO97,$BD167-SUM(BC167:$BC167)))</f>
        <v>0</v>
      </c>
      <c r="BC167" s="210">
        <f t="shared" si="238"/>
        <v>0</v>
      </c>
      <c r="BD167" s="210">
        <f t="shared" si="239"/>
        <v>5.8</v>
      </c>
    </row>
    <row r="168" spans="1:56">
      <c r="A168" s="209" t="s">
        <v>118</v>
      </c>
      <c r="B168" s="210">
        <f>IF(SUM(Y63:$AP63)&gt;=$U168,0,MIN(X63,$U168-SUM(C168:$T168)))</f>
        <v>0</v>
      </c>
      <c r="C168" s="210">
        <f>IF(SUM(Z63:$AP63)&gt;=$U168,0,MIN(Y63,$U168-SUM(D168:$T168)))</f>
        <v>0</v>
      </c>
      <c r="D168" s="210">
        <f>IF(SUM(AA63:$AP63)&gt;=$U168,0,MIN(Z63,$U168-SUM(E168:$T168)))</f>
        <v>0</v>
      </c>
      <c r="E168" s="210">
        <f>IF(SUM(AB63:$AP63)&gt;=$U168,0,MIN(AA63,$U168-SUM(F168:$T168)))</f>
        <v>0</v>
      </c>
      <c r="F168" s="210">
        <f>IF(SUM(AC63:$AP63)&gt;=$U168,0,MIN(AB63,$U168-SUM(G168:$T168)))</f>
        <v>0</v>
      </c>
      <c r="G168" s="210">
        <f>IF(SUM(AD63:$AP63)&gt;=$U168,0,MIN(AC63,$U168-SUM(H168:$T168)))</f>
        <v>0</v>
      </c>
      <c r="H168" s="210">
        <f>IF(SUM(AE63:$AP63)&gt;=$U168,0,MIN(AD63,$U168-SUM(I168:$T168)))</f>
        <v>0</v>
      </c>
      <c r="I168" s="210">
        <f>IF(SUM(AF63:$AP63)&gt;=$U168,0,MIN(AE63,$U168-SUM(J168:$T168)))</f>
        <v>0</v>
      </c>
      <c r="J168" s="210">
        <f>IF(SUM(AG63:$AP63)&gt;=$U168,0,MIN(AF63,$U168-SUM(K168:$T168)))</f>
        <v>0</v>
      </c>
      <c r="K168" s="210">
        <f>IF(SUM(AH63:$AP63)&gt;=$U168,0,MIN(AG63,$U168-SUM(L168:$T168)))</f>
        <v>0</v>
      </c>
      <c r="L168" s="210">
        <f>IF(SUM(AI63:$AP63)&gt;=$U168,0,MIN(AH63,$U168-SUM(M168:$T168)))</f>
        <v>0</v>
      </c>
      <c r="M168" s="210">
        <f>IF(SUM(AJ63:$AP63)&gt;=$U168,0,MIN(AI63,$U168-SUM(N168:$T168)))</f>
        <v>0</v>
      </c>
      <c r="N168" s="210">
        <f>IF(SUM(AK63:$AP63)&gt;=$U168,0,MIN(AJ63,$U168-SUM(O168:$T168)))</f>
        <v>0</v>
      </c>
      <c r="O168" s="210">
        <f>IF(SUM(AL63:$AP63)&gt;=$U168,0,MIN(AK63,$U168-SUM(P168:$T168)))</f>
        <v>0</v>
      </c>
      <c r="P168" s="210">
        <f>IF(SUM(AM63:$AP63)&gt;=$U168,0,MIN(AL63,$U168-SUM(Q168:$T168)))</f>
        <v>0</v>
      </c>
      <c r="Q168" s="210">
        <f>IF(SUM(AN63:$AP63)&gt;=$U168,0,MIN(AM63,$U168-SUM(R168:$T168)))</f>
        <v>0</v>
      </c>
      <c r="R168" s="210">
        <f>IF(SUM(AO63:$AP63)&gt;=$U168,0,MIN(AN63,$U168-SUM(S168:$T168)))</f>
        <v>0</v>
      </c>
      <c r="S168" s="210">
        <f>IF(SUM(AP63:$AP63)&gt;=$U168,0,MIN(AO63,$U168-SUM(T168:$T168)))</f>
        <v>0</v>
      </c>
      <c r="T168" s="210">
        <f t="shared" si="225"/>
        <v>0</v>
      </c>
      <c r="U168" s="210">
        <f t="shared" si="226"/>
        <v>0</v>
      </c>
      <c r="V168" s="210"/>
      <c r="Y168" s="209" t="s">
        <v>118</v>
      </c>
      <c r="Z168" s="210">
        <f t="shared" si="240"/>
        <v>0</v>
      </c>
      <c r="AA168" s="210">
        <f t="shared" si="241"/>
        <v>0</v>
      </c>
      <c r="AB168" s="210">
        <f t="shared" si="242"/>
        <v>0</v>
      </c>
      <c r="AC168" s="210">
        <f t="shared" si="243"/>
        <v>0</v>
      </c>
      <c r="AD168" s="210">
        <f t="shared" si="244"/>
        <v>0</v>
      </c>
      <c r="AE168" s="210">
        <f t="shared" si="245"/>
        <v>0</v>
      </c>
      <c r="AF168" s="210">
        <f t="shared" si="246"/>
        <v>0</v>
      </c>
      <c r="AG168" s="210">
        <f t="shared" si="247"/>
        <v>0</v>
      </c>
      <c r="AH168" s="210">
        <f t="shared" si="248"/>
        <v>0</v>
      </c>
      <c r="AI168" s="210">
        <f t="shared" si="249"/>
        <v>0</v>
      </c>
      <c r="AJ168" s="210">
        <f t="shared" si="250"/>
        <v>0</v>
      </c>
      <c r="AK168" s="210">
        <f>IF(SUM(Y98:$AP98)&gt;=$BD168,0,MIN(X98,$BD168-SUM(AL168:$BC168)))/12</f>
        <v>0</v>
      </c>
      <c r="AL168" s="210">
        <f>IF(SUM(Z98:$AP98)&gt;=$BD168,0,MIN(Y98,$BD168-SUM(AM168:$BC168)))</f>
        <v>0</v>
      </c>
      <c r="AM168" s="210">
        <f>IF(SUM(AA98:$AP98)&gt;=$BD168,0,MIN(Z98,$BD168-SUM(AN168:$BC168)))</f>
        <v>0</v>
      </c>
      <c r="AN168" s="210">
        <f>IF(SUM(AB98:$AP98)&gt;=$BD168,0,MIN(AA98,$BD168-SUM(AO168:$BC168)))</f>
        <v>0</v>
      </c>
      <c r="AO168" s="210">
        <f>IF(SUM(AC98:$AP98)&gt;=$BD168,0,MIN(AB98,$BD168-SUM(AP168:$BC168)))</f>
        <v>0</v>
      </c>
      <c r="AP168" s="210">
        <f>IF(SUM(AD98:$AP98)&gt;=$BD168,0,MIN(AC98,$BD168-SUM(AQ168:$BC168)))</f>
        <v>0</v>
      </c>
      <c r="AQ168" s="210">
        <f>IF(SUM(AE98:$AP98)&gt;=$BD168,0,MIN(AD98,$BD168-SUM(AR168:$BC168)))</f>
        <v>0</v>
      </c>
      <c r="AR168" s="210">
        <f>IF(SUM(AF98:$AP98)&gt;=$BD168,0,MIN(AE98,$BD168-SUM(AS168:$BC168)))</f>
        <v>0</v>
      </c>
      <c r="AS168" s="210">
        <f>IF(SUM(AG98:$AP98)&gt;=$BD168,0,MIN(AF98,$BD168-SUM(AT168:$BC168)))</f>
        <v>0</v>
      </c>
      <c r="AT168" s="210">
        <f>IF(SUM(AH98:$AP98)&gt;=$BD168,0,MIN(AG98,$BD168-SUM(AU168:$BC168)))</f>
        <v>0</v>
      </c>
      <c r="AU168" s="210">
        <f>IF(SUM(AI98:$AP98)&gt;=$BD168,0,MIN(AH98,$BD168-SUM(AV168:$BC168)))</f>
        <v>0</v>
      </c>
      <c r="AV168" s="210">
        <f>IF(SUM(AJ98:$AP98)&gt;=$BD168,0,MIN(AI98,$BD168-SUM(AW168:$BC168)))</f>
        <v>0</v>
      </c>
      <c r="AW168" s="210">
        <f>IF(SUM(AK98:$AP98)&gt;=$BD168,0,MIN(AJ98,$BD168-SUM(AX168:$BC168)))</f>
        <v>0</v>
      </c>
      <c r="AX168" s="210">
        <f>IF(SUM(AL98:$AP98)&gt;=$BD168,0,MIN(AK98,$BD168-SUM(AY168:$BC168)))</f>
        <v>0</v>
      </c>
      <c r="AY168" s="210">
        <f>IF(SUM(AM98:$AP98)&gt;=$BD168,0,MIN(AL98,$BD168-SUM(AZ168:$BC168)))</f>
        <v>0</v>
      </c>
      <c r="AZ168" s="210">
        <f>IF(SUM(AN98:$AP98)&gt;=$BD168,0,MIN(AM98,$BD168-SUM(BA168:$BC168)))</f>
        <v>0</v>
      </c>
      <c r="BA168" s="210">
        <f>IF(SUM(AO98:$AP98)&gt;=$BD168,0,MIN(AN98,$BD168-SUM(BB168:$BC168)))</f>
        <v>0</v>
      </c>
      <c r="BB168" s="210">
        <f>IF(SUM(AP98:$AP98)&gt;=$BD168,0,MIN(AO98,$BD168-SUM(BC168:$BC168)))</f>
        <v>0</v>
      </c>
      <c r="BC168" s="210">
        <f t="shared" si="238"/>
        <v>0</v>
      </c>
      <c r="BD168" s="210">
        <f t="shared" si="239"/>
        <v>0</v>
      </c>
    </row>
    <row r="169" spans="1:56">
      <c r="A169" s="209" t="s">
        <v>819</v>
      </c>
      <c r="B169" s="210">
        <f>IF(SUM(Y64:$AP64)&gt;=$U169,0,MIN(X64,$U169-SUM(C169:$T169)))</f>
        <v>0</v>
      </c>
      <c r="C169" s="210">
        <f>IF(SUM(Z64:$AP64)&gt;=$U169,0,MIN(Y64,$U169-SUM(D169:$T169)))</f>
        <v>0</v>
      </c>
      <c r="D169" s="210">
        <f>IF(SUM(AA64:$AP64)&gt;=$U169,0,MIN(Z64,$U169-SUM(E169:$T169)))</f>
        <v>0</v>
      </c>
      <c r="E169" s="210">
        <f>IF(SUM(AB64:$AP64)&gt;=$U169,0,MIN(AA64,$U169-SUM(F169:$T169)))</f>
        <v>0</v>
      </c>
      <c r="F169" s="210">
        <f>IF(SUM(AC64:$AP64)&gt;=$U169,0,MIN(AB64,$U169-SUM(G169:$T169)))</f>
        <v>0</v>
      </c>
      <c r="G169" s="210">
        <f>IF(SUM(AD64:$AP64)&gt;=$U169,0,MIN(AC64,$U169-SUM(H169:$T169)))</f>
        <v>0</v>
      </c>
      <c r="H169" s="210">
        <f>IF(SUM(AE64:$AP64)&gt;=$U169,0,MIN(AD64,$U169-SUM(I169:$T169)))</f>
        <v>0</v>
      </c>
      <c r="I169" s="210">
        <f>IF(SUM(AF64:$AP64)&gt;=$U169,0,MIN(AE64,$U169-SUM(J169:$T169)))</f>
        <v>0</v>
      </c>
      <c r="J169" s="210">
        <f>IF(SUM(AG64:$AP64)&gt;=$U169,0,MIN(AF64,$U169-SUM(K169:$T169)))</f>
        <v>0</v>
      </c>
      <c r="K169" s="210">
        <f>IF(SUM(AH64:$AP64)&gt;=$U169,0,MIN(AG64,$U169-SUM(L169:$T169)))</f>
        <v>0</v>
      </c>
      <c r="L169" s="210">
        <f>IF(SUM(AI64:$AP64)&gt;=$U169,0,MIN(AH64,$U169-SUM(M169:$T169)))</f>
        <v>0</v>
      </c>
      <c r="M169" s="210">
        <f>IF(SUM(AJ64:$AP64)&gt;=$U169,0,MIN(AI64,$U169-SUM(N169:$T169)))</f>
        <v>0</v>
      </c>
      <c r="N169" s="210">
        <f>IF(SUM(AK64:$AP64)&gt;=$U169,0,MIN(AJ64,$U169-SUM(O169:$T169)))</f>
        <v>0</v>
      </c>
      <c r="O169" s="210">
        <f>IF(SUM(AL64:$AP64)&gt;=$U169,0,MIN(AK64,$U169-SUM(P169:$T169)))</f>
        <v>0</v>
      </c>
      <c r="P169" s="210">
        <f>IF(SUM(AM64:$AP64)&gt;=$U169,0,MIN(AL64,$U169-SUM(Q169:$T169)))</f>
        <v>0</v>
      </c>
      <c r="Q169" s="210">
        <f>IF(SUM(AN64:$AP64)&gt;=$U169,0,MIN(AM64,$U169-SUM(R169:$T169)))</f>
        <v>0</v>
      </c>
      <c r="R169" s="210">
        <f>IF(SUM(AO64:$AP64)&gt;=$U169,0,MIN(AN64,$U169-SUM(S169:$T169)))</f>
        <v>0</v>
      </c>
      <c r="S169" s="210">
        <f>IF(SUM(AP64:$AP64)&gt;=$U169,0,MIN(AO64,$U169-SUM(T169:$T169)))</f>
        <v>0</v>
      </c>
      <c r="T169" s="210">
        <f t="shared" si="225"/>
        <v>0</v>
      </c>
      <c r="U169" s="210">
        <f t="shared" si="226"/>
        <v>0</v>
      </c>
      <c r="V169" s="210"/>
      <c r="Y169" s="209" t="s">
        <v>819</v>
      </c>
      <c r="Z169" s="210">
        <f t="shared" si="240"/>
        <v>0</v>
      </c>
      <c r="AA169" s="210">
        <f t="shared" si="241"/>
        <v>0</v>
      </c>
      <c r="AB169" s="210">
        <f t="shared" si="242"/>
        <v>0</v>
      </c>
      <c r="AC169" s="210">
        <f t="shared" si="243"/>
        <v>0</v>
      </c>
      <c r="AD169" s="210">
        <f t="shared" si="244"/>
        <v>0</v>
      </c>
      <c r="AE169" s="210">
        <f t="shared" si="245"/>
        <v>0</v>
      </c>
      <c r="AF169" s="210">
        <f t="shared" si="246"/>
        <v>0</v>
      </c>
      <c r="AG169" s="210">
        <f t="shared" si="247"/>
        <v>0</v>
      </c>
      <c r="AH169" s="210">
        <f t="shared" si="248"/>
        <v>0</v>
      </c>
      <c r="AI169" s="210">
        <f t="shared" si="249"/>
        <v>0</v>
      </c>
      <c r="AJ169" s="210">
        <f t="shared" si="250"/>
        <v>0</v>
      </c>
      <c r="AK169" s="210">
        <f>IF(SUM(Y99:$AP99)&gt;=$BD169,0,MIN(X99,$BD169-SUM(AL169:$BC169)))/12</f>
        <v>0</v>
      </c>
      <c r="AL169" s="210">
        <f>IF(SUM(Z99:$AP99)&gt;=$BD169,0,MIN(Y99,$BD169-SUM(AM169:$BC169)))</f>
        <v>0</v>
      </c>
      <c r="AM169" s="210">
        <f>IF(SUM(AA99:$AP99)&gt;=$BD169,0,MIN(Z99,$BD169-SUM(AN169:$BC169)))</f>
        <v>0</v>
      </c>
      <c r="AN169" s="210">
        <f>IF(SUM(AB99:$AP99)&gt;=$BD169,0,MIN(AA99,$BD169-SUM(AO169:$BC169)))</f>
        <v>0</v>
      </c>
      <c r="AO169" s="210">
        <f>IF(SUM(AC99:$AP99)&gt;=$BD169,0,MIN(AB99,$BD169-SUM(AP169:$BC169)))</f>
        <v>0</v>
      </c>
      <c r="AP169" s="210">
        <f>IF(SUM(AD99:$AP99)&gt;=$BD169,0,MIN(AC99,$BD169-SUM(AQ169:$BC169)))</f>
        <v>0</v>
      </c>
      <c r="AQ169" s="210">
        <f>IF(SUM(AE99:$AP99)&gt;=$BD169,0,MIN(AD99,$BD169-SUM(AR169:$BC169)))</f>
        <v>0</v>
      </c>
      <c r="AR169" s="210">
        <f>IF(SUM(AF99:$AP99)&gt;=$BD169,0,MIN(AE99,$BD169-SUM(AS169:$BC169)))</f>
        <v>0</v>
      </c>
      <c r="AS169" s="210">
        <f>IF(SUM(AG99:$AP99)&gt;=$BD169,0,MIN(AF99,$BD169-SUM(AT169:$BC169)))</f>
        <v>0</v>
      </c>
      <c r="AT169" s="210">
        <f>IF(SUM(AH99:$AP99)&gt;=$BD169,0,MIN(AG99,$BD169-SUM(AU169:$BC169)))</f>
        <v>0</v>
      </c>
      <c r="AU169" s="210">
        <f>IF(SUM(AI99:$AP99)&gt;=$BD169,0,MIN(AH99,$BD169-SUM(AV169:$BC169)))</f>
        <v>0</v>
      </c>
      <c r="AV169" s="210">
        <f>IF(SUM(AJ99:$AP99)&gt;=$BD169,0,MIN(AI99,$BD169-SUM(AW169:$BC169)))</f>
        <v>0</v>
      </c>
      <c r="AW169" s="210">
        <f>IF(SUM(AK99:$AP99)&gt;=$BD169,0,MIN(AJ99,$BD169-SUM(AX169:$BC169)))</f>
        <v>0</v>
      </c>
      <c r="AX169" s="210">
        <f>IF(SUM(AL99:$AP99)&gt;=$BD169,0,MIN(AK99,$BD169-SUM(AY169:$BC169)))</f>
        <v>0</v>
      </c>
      <c r="AY169" s="210">
        <f>IF(SUM(AM99:$AP99)&gt;=$BD169,0,MIN(AL99,$BD169-SUM(AZ169:$BC169)))</f>
        <v>0</v>
      </c>
      <c r="AZ169" s="210">
        <f>IF(SUM(AN99:$AP99)&gt;=$BD169,0,MIN(AM99,$BD169-SUM(BA169:$BC169)))</f>
        <v>0</v>
      </c>
      <c r="BA169" s="210">
        <f>IF(SUM(AO99:$AP99)&gt;=$BD169,0,MIN(AN99,$BD169-SUM(BB169:$BC169)))</f>
        <v>0</v>
      </c>
      <c r="BB169" s="210">
        <f>IF(SUM(AP99:$AP99)&gt;=$BD169,0,MIN(AO99,$BD169-SUM(BC169:$BC169)))</f>
        <v>0</v>
      </c>
      <c r="BC169" s="210">
        <f t="shared" si="238"/>
        <v>0</v>
      </c>
      <c r="BD169" s="210">
        <f t="shared" si="239"/>
        <v>0</v>
      </c>
    </row>
    <row r="170" spans="1:56">
      <c r="A170" s="209" t="s">
        <v>122</v>
      </c>
      <c r="B170" s="210">
        <f>IF(SUM(Y65:$AP65)&gt;=$U170,0,MIN(X65,$U170-SUM(C170:$T170)))</f>
        <v>0</v>
      </c>
      <c r="C170" s="210">
        <f>IF(SUM(Z65:$AP65)&gt;=$U170,0,MIN(Y65,$U170-SUM(D170:$T170)))</f>
        <v>0</v>
      </c>
      <c r="D170" s="210">
        <f>IF(SUM(AA65:$AP65)&gt;=$U170,0,MIN(Z65,$U170-SUM(E170:$T170)))</f>
        <v>0</v>
      </c>
      <c r="E170" s="210">
        <f>IF(SUM(AB65:$AP65)&gt;=$U170,0,MIN(AA65,$U170-SUM(F170:$T170)))</f>
        <v>0</v>
      </c>
      <c r="F170" s="210">
        <f>IF(SUM(AC65:$AP65)&gt;=$U170,0,MIN(AB65,$U170-SUM(G170:$T170)))</f>
        <v>0</v>
      </c>
      <c r="G170" s="210">
        <f>IF(SUM(AD65:$AP65)&gt;=$U170,0,MIN(AC65,$U170-SUM(H170:$T170)))</f>
        <v>0</v>
      </c>
      <c r="H170" s="210">
        <f>IF(SUM(AE65:$AP65)&gt;=$U170,0,MIN(AD65,$U170-SUM(I170:$T170)))</f>
        <v>0</v>
      </c>
      <c r="I170" s="210">
        <f>IF(SUM(AF65:$AP65)&gt;=$U170,0,MIN(AE65,$U170-SUM(J170:$T170)))</f>
        <v>0</v>
      </c>
      <c r="J170" s="210">
        <f>IF(SUM(AG65:$AP65)&gt;=$U170,0,MIN(AF65,$U170-SUM(K170:$T170)))</f>
        <v>0</v>
      </c>
      <c r="K170" s="210">
        <f>IF(SUM(AH65:$AP65)&gt;=$U170,0,MIN(AG65,$U170-SUM(L170:$T170)))</f>
        <v>0</v>
      </c>
      <c r="L170" s="210">
        <f>IF(SUM(AI65:$AP65)&gt;=$U170,0,MIN(AH65,$U170-SUM(M170:$T170)))</f>
        <v>0</v>
      </c>
      <c r="M170" s="210">
        <f>IF(SUM(AJ65:$AP65)&gt;=$U170,0,MIN(AI65,$U170-SUM(N170:$T170)))</f>
        <v>0</v>
      </c>
      <c r="N170" s="210">
        <f>IF(SUM(AK65:$AP65)&gt;=$U170,0,MIN(AJ65,$U170-SUM(O170:$T170)))</f>
        <v>0</v>
      </c>
      <c r="O170" s="210">
        <f>IF(SUM(AL65:$AP65)&gt;=$U170,0,MIN(AK65,$U170-SUM(P170:$T170)))</f>
        <v>0</v>
      </c>
      <c r="P170" s="210">
        <f>IF(SUM(AM65:$AP65)&gt;=$U170,0,MIN(AL65,$U170-SUM(Q170:$T170)))</f>
        <v>0</v>
      </c>
      <c r="Q170" s="210">
        <f>IF(SUM(AN65:$AP65)&gt;=$U170,0,MIN(AM65,$U170-SUM(R170:$T170)))</f>
        <v>0</v>
      </c>
      <c r="R170" s="210">
        <f>IF(SUM(AO65:$AP65)&gt;=$U170,0,MIN(AN65,$U170-SUM(S170:$T170)))</f>
        <v>0</v>
      </c>
      <c r="S170" s="210">
        <f>IF(SUM(AP65:$AP65)&gt;=$U170,0,MIN(AO65,$U170-SUM(T170:$T170)))</f>
        <v>0</v>
      </c>
      <c r="T170" s="210">
        <f t="shared" si="225"/>
        <v>0</v>
      </c>
      <c r="U170" s="210">
        <f t="shared" si="226"/>
        <v>0</v>
      </c>
      <c r="V170" s="210"/>
      <c r="Y170" s="209" t="s">
        <v>122</v>
      </c>
      <c r="Z170" s="210">
        <f t="shared" si="240"/>
        <v>0</v>
      </c>
      <c r="AA170" s="210">
        <f t="shared" si="241"/>
        <v>0</v>
      </c>
      <c r="AB170" s="210">
        <f t="shared" si="242"/>
        <v>0</v>
      </c>
      <c r="AC170" s="210">
        <f t="shared" si="243"/>
        <v>0</v>
      </c>
      <c r="AD170" s="210">
        <f t="shared" si="244"/>
        <v>0</v>
      </c>
      <c r="AE170" s="210">
        <f t="shared" si="245"/>
        <v>0</v>
      </c>
      <c r="AF170" s="210">
        <f t="shared" si="246"/>
        <v>0</v>
      </c>
      <c r="AG170" s="210">
        <f t="shared" si="247"/>
        <v>0</v>
      </c>
      <c r="AH170" s="210">
        <f t="shared" si="248"/>
        <v>0</v>
      </c>
      <c r="AI170" s="210">
        <f t="shared" si="249"/>
        <v>0</v>
      </c>
      <c r="AJ170" s="210">
        <f t="shared" si="250"/>
        <v>0</v>
      </c>
      <c r="AK170" s="210">
        <f>IF(SUM(Y100:$AP100)&gt;=$BD170,0,MIN(X100,$BD170-SUM(AL170:$BC170)))/12</f>
        <v>0</v>
      </c>
      <c r="AL170" s="210">
        <f>IF(SUM(Z100:$AP100)&gt;=$BD170,0,MIN(Y100,$BD170-SUM(AM170:$BC170)))</f>
        <v>0</v>
      </c>
      <c r="AM170" s="210">
        <f>IF(SUM(AA100:$AP100)&gt;=$BD170,0,MIN(Z100,$BD170-SUM(AN170:$BC170)))</f>
        <v>0</v>
      </c>
      <c r="AN170" s="210">
        <f>IF(SUM(AB100:$AP100)&gt;=$BD170,0,MIN(AA100,$BD170-SUM(AO170:$BC170)))</f>
        <v>0</v>
      </c>
      <c r="AO170" s="210">
        <f>IF(SUM(AC100:$AP100)&gt;=$BD170,0,MIN(AB100,$BD170-SUM(AP170:$BC170)))</f>
        <v>0</v>
      </c>
      <c r="AP170" s="210">
        <f>IF(SUM(AD100:$AP100)&gt;=$BD170,0,MIN(AC100,$BD170-SUM(AQ170:$BC170)))</f>
        <v>0</v>
      </c>
      <c r="AQ170" s="210">
        <f>IF(SUM(AE100:$AP100)&gt;=$BD170,0,MIN(AD100,$BD170-SUM(AR170:$BC170)))</f>
        <v>0</v>
      </c>
      <c r="AR170" s="210">
        <f>IF(SUM(AF100:$AP100)&gt;=$BD170,0,MIN(AE100,$BD170-SUM(AS170:$BC170)))</f>
        <v>0</v>
      </c>
      <c r="AS170" s="210">
        <f>IF(SUM(AG100:$AP100)&gt;=$BD170,0,MIN(AF100,$BD170-SUM(AT170:$BC170)))</f>
        <v>0</v>
      </c>
      <c r="AT170" s="210">
        <f>IF(SUM(AH100:$AP100)&gt;=$BD170,0,MIN(AG100,$BD170-SUM(AU170:$BC170)))</f>
        <v>0</v>
      </c>
      <c r="AU170" s="210">
        <f>IF(SUM(AI100:$AP100)&gt;=$BD170,0,MIN(AH100,$BD170-SUM(AV170:$BC170)))</f>
        <v>0</v>
      </c>
      <c r="AV170" s="210">
        <f>IF(SUM(AJ100:$AP100)&gt;=$BD170,0,MIN(AI100,$BD170-SUM(AW170:$BC170)))</f>
        <v>0</v>
      </c>
      <c r="AW170" s="210">
        <f>IF(SUM(AK100:$AP100)&gt;=$BD170,0,MIN(AJ100,$BD170-SUM(AX170:$BC170)))</f>
        <v>0</v>
      </c>
      <c r="AX170" s="210">
        <f>IF(SUM(AL100:$AP100)&gt;=$BD170,0,MIN(AK100,$BD170-SUM(AY170:$BC170)))</f>
        <v>0</v>
      </c>
      <c r="AY170" s="210">
        <f>IF(SUM(AM100:$AP100)&gt;=$BD170,0,MIN(AL100,$BD170-SUM(AZ170:$BC170)))</f>
        <v>0</v>
      </c>
      <c r="AZ170" s="210">
        <f>IF(SUM(AN100:$AP100)&gt;=$BD170,0,MIN(AM100,$BD170-SUM(BA170:$BC170)))</f>
        <v>0</v>
      </c>
      <c r="BA170" s="210">
        <f>IF(SUM(AO100:$AP100)&gt;=$BD170,0,MIN(AN100,$BD170-SUM(BB170:$BC170)))</f>
        <v>0</v>
      </c>
      <c r="BB170" s="210">
        <f>IF(SUM(AP100:$AP100)&gt;=$BD170,0,MIN(AO100,$BD170-SUM(BC170:$BC170)))</f>
        <v>0</v>
      </c>
      <c r="BC170" s="210">
        <f t="shared" si="238"/>
        <v>0</v>
      </c>
      <c r="BD170" s="210">
        <f t="shared" si="239"/>
        <v>0</v>
      </c>
    </row>
    <row r="171" spans="1:56">
      <c r="A171" s="209" t="s">
        <v>124</v>
      </c>
      <c r="B171" s="210">
        <f>IF(SUM(Y66:$AP66)&gt;=$U171,0,MIN(X66,$U171-SUM(C171:$T171)))</f>
        <v>0</v>
      </c>
      <c r="C171" s="210">
        <f>IF(SUM(Z66:$AP66)&gt;=$U171,0,MIN(Y66,$U171-SUM(D171:$T171)))</f>
        <v>0</v>
      </c>
      <c r="D171" s="210">
        <f>IF(SUM(AA66:$AP66)&gt;=$U171,0,MIN(Z66,$U171-SUM(E171:$T171)))</f>
        <v>0</v>
      </c>
      <c r="E171" s="210">
        <f>IF(SUM(AB66:$AP66)&gt;=$U171,0,MIN(AA66,$U171-SUM(F171:$T171)))</f>
        <v>0</v>
      </c>
      <c r="F171" s="210">
        <f>IF(SUM(AC66:$AP66)&gt;=$U171,0,MIN(AB66,$U171-SUM(G171:$T171)))</f>
        <v>0</v>
      </c>
      <c r="G171" s="210">
        <f>IF(SUM(AD66:$AP66)&gt;=$U171,0,MIN(AC66,$U171-SUM(H171:$T171)))</f>
        <v>0</v>
      </c>
      <c r="H171" s="210">
        <f>IF(SUM(AE66:$AP66)&gt;=$U171,0,MIN(AD66,$U171-SUM(I171:$T171)))</f>
        <v>0</v>
      </c>
      <c r="I171" s="210">
        <f>IF(SUM(AF66:$AP66)&gt;=$U171,0,MIN(AE66,$U171-SUM(J171:$T171)))</f>
        <v>0</v>
      </c>
      <c r="J171" s="210">
        <f>IF(SUM(AG66:$AP66)&gt;=$U171,0,MIN(AF66,$U171-SUM(K171:$T171)))</f>
        <v>0</v>
      </c>
      <c r="K171" s="210">
        <f>IF(SUM(AH66:$AP66)&gt;=$U171,0,MIN(AG66,$U171-SUM(L171:$T171)))</f>
        <v>0</v>
      </c>
      <c r="L171" s="210">
        <f>IF(SUM(AI66:$AP66)&gt;=$U171,0,MIN(AH66,$U171-SUM(M171:$T171)))</f>
        <v>0</v>
      </c>
      <c r="M171" s="210">
        <f>IF(SUM(AJ66:$AP66)&gt;=$U171,0,MIN(AI66,$U171-SUM(N171:$T171)))</f>
        <v>0</v>
      </c>
      <c r="N171" s="210">
        <f>IF(SUM(AK66:$AP66)&gt;=$U171,0,MIN(AJ66,$U171-SUM(O171:$T171)))</f>
        <v>0</v>
      </c>
      <c r="O171" s="210">
        <f>IF(SUM(AL66:$AP66)&gt;=$U171,0,MIN(AK66,$U171-SUM(P171:$T171)))</f>
        <v>0</v>
      </c>
      <c r="P171" s="210">
        <f>IF(SUM(AM66:$AP66)&gt;=$U171,0,MIN(AL66,$U171-SUM(Q171:$T171)))</f>
        <v>0</v>
      </c>
      <c r="Q171" s="210">
        <f>IF(SUM(AN66:$AP66)&gt;=$U171,0,MIN(AM66,$U171-SUM(R171:$T171)))</f>
        <v>0</v>
      </c>
      <c r="R171" s="210">
        <f>IF(SUM(AO66:$AP66)&gt;=$U171,0,MIN(AN66,$U171-SUM(S171:$T171)))</f>
        <v>0</v>
      </c>
      <c r="S171" s="210">
        <f>IF(SUM(AP66:$AP66)&gt;=$U171,0,MIN(AO66,$U171-SUM(T171:$T171)))</f>
        <v>0</v>
      </c>
      <c r="T171" s="210">
        <f t="shared" si="225"/>
        <v>0</v>
      </c>
      <c r="U171" s="210">
        <f t="shared" si="226"/>
        <v>0</v>
      </c>
      <c r="V171" s="210"/>
      <c r="Y171" s="209" t="s">
        <v>124</v>
      </c>
      <c r="Z171" s="210">
        <f t="shared" si="240"/>
        <v>0</v>
      </c>
      <c r="AA171" s="210">
        <f t="shared" si="241"/>
        <v>0</v>
      </c>
      <c r="AB171" s="210">
        <f t="shared" si="242"/>
        <v>0</v>
      </c>
      <c r="AC171" s="210">
        <f t="shared" si="243"/>
        <v>0</v>
      </c>
      <c r="AD171" s="210">
        <f t="shared" si="244"/>
        <v>0</v>
      </c>
      <c r="AE171" s="210">
        <f t="shared" si="245"/>
        <v>0</v>
      </c>
      <c r="AF171" s="210">
        <f t="shared" si="246"/>
        <v>0</v>
      </c>
      <c r="AG171" s="210">
        <f t="shared" si="247"/>
        <v>0</v>
      </c>
      <c r="AH171" s="210">
        <f t="shared" si="248"/>
        <v>0</v>
      </c>
      <c r="AI171" s="210">
        <f t="shared" si="249"/>
        <v>0</v>
      </c>
      <c r="AJ171" s="210">
        <f t="shared" si="250"/>
        <v>0</v>
      </c>
      <c r="AK171" s="210">
        <f>IF(SUM(Y101:$AP101)&gt;=$BD171,0,MIN(X101,$BD171-SUM(AL171:$BC171)))/12</f>
        <v>0</v>
      </c>
      <c r="AL171" s="210">
        <f>IF(SUM(Z101:$AP101)&gt;=$BD171,0,MIN(Y101,$BD171-SUM(AM171:$BC171)))</f>
        <v>0</v>
      </c>
      <c r="AM171" s="210">
        <f>IF(SUM(AA101:$AP101)&gt;=$BD171,0,MIN(Z101,$BD171-SUM(AN171:$BC171)))</f>
        <v>0</v>
      </c>
      <c r="AN171" s="210">
        <f>IF(SUM(AB101:$AP101)&gt;=$BD171,0,MIN(AA101,$BD171-SUM(AO171:$BC171)))</f>
        <v>0</v>
      </c>
      <c r="AO171" s="210">
        <f>IF(SUM(AC101:$AP101)&gt;=$BD171,0,MIN(AB101,$BD171-SUM(AP171:$BC171)))</f>
        <v>0</v>
      </c>
      <c r="AP171" s="210">
        <f>IF(SUM(AD101:$AP101)&gt;=$BD171,0,MIN(AC101,$BD171-SUM(AQ171:$BC171)))</f>
        <v>0</v>
      </c>
      <c r="AQ171" s="210">
        <f>IF(SUM(AE101:$AP101)&gt;=$BD171,0,MIN(AD101,$BD171-SUM(AR171:$BC171)))</f>
        <v>0</v>
      </c>
      <c r="AR171" s="210">
        <f>IF(SUM(AF101:$AP101)&gt;=$BD171,0,MIN(AE101,$BD171-SUM(AS171:$BC171)))</f>
        <v>0</v>
      </c>
      <c r="AS171" s="210">
        <f>IF(SUM(AG101:$AP101)&gt;=$BD171,0,MIN(AF101,$BD171-SUM(AT171:$BC171)))</f>
        <v>0</v>
      </c>
      <c r="AT171" s="210">
        <f>IF(SUM(AH101:$AP101)&gt;=$BD171,0,MIN(AG101,$BD171-SUM(AU171:$BC171)))</f>
        <v>0</v>
      </c>
      <c r="AU171" s="210">
        <f>IF(SUM(AI101:$AP101)&gt;=$BD171,0,MIN(AH101,$BD171-SUM(AV171:$BC171)))</f>
        <v>0</v>
      </c>
      <c r="AV171" s="210">
        <f>IF(SUM(AJ101:$AP101)&gt;=$BD171,0,MIN(AI101,$BD171-SUM(AW171:$BC171)))</f>
        <v>0</v>
      </c>
      <c r="AW171" s="210">
        <f>IF(SUM(AK101:$AP101)&gt;=$BD171,0,MIN(AJ101,$BD171-SUM(AX171:$BC171)))</f>
        <v>0</v>
      </c>
      <c r="AX171" s="210">
        <f>IF(SUM(AL101:$AP101)&gt;=$BD171,0,MIN(AK101,$BD171-SUM(AY171:$BC171)))</f>
        <v>0</v>
      </c>
      <c r="AY171" s="210">
        <f>IF(SUM(AM101:$AP101)&gt;=$BD171,0,MIN(AL101,$BD171-SUM(AZ171:$BC171)))</f>
        <v>0</v>
      </c>
      <c r="AZ171" s="210">
        <f>IF(SUM(AN101:$AP101)&gt;=$BD171,0,MIN(AM101,$BD171-SUM(BA171:$BC171)))</f>
        <v>0</v>
      </c>
      <c r="BA171" s="210">
        <f>IF(SUM(AO101:$AP101)&gt;=$BD171,0,MIN(AN101,$BD171-SUM(BB171:$BC171)))</f>
        <v>0</v>
      </c>
      <c r="BB171" s="210">
        <f>IF(SUM(AP101:$AP101)&gt;=$BD171,0,MIN(AO101,$BD171-SUM(BC171:$BC171)))</f>
        <v>0</v>
      </c>
      <c r="BC171" s="210">
        <f t="shared" si="238"/>
        <v>0</v>
      </c>
      <c r="BD171" s="210">
        <f t="shared" si="239"/>
        <v>0</v>
      </c>
    </row>
    <row r="172" spans="1:56">
      <c r="A172" s="209" t="s">
        <v>126</v>
      </c>
      <c r="B172" s="210">
        <f>IF(SUM(Y67:$AP67)&gt;=$U172,0,MIN(X67,$U172-SUM(C172:$T172)))</f>
        <v>0</v>
      </c>
      <c r="C172" s="210">
        <f>IF(SUM(Z67:$AP67)&gt;=$U172,0,MIN(Y67,$U172-SUM(D172:$T172)))</f>
        <v>0</v>
      </c>
      <c r="D172" s="210">
        <f>IF(SUM(AA67:$AP67)&gt;=$U172,0,MIN(Z67,$U172-SUM(E172:$T172)))</f>
        <v>0</v>
      </c>
      <c r="E172" s="210">
        <f>IF(SUM(AB67:$AP67)&gt;=$U172,0,MIN(AA67,$U172-SUM(F172:$T172)))</f>
        <v>0</v>
      </c>
      <c r="F172" s="210">
        <f>IF(SUM(AC67:$AP67)&gt;=$U172,0,MIN(AB67,$U172-SUM(G172:$T172)))</f>
        <v>0</v>
      </c>
      <c r="G172" s="210">
        <f>IF(SUM(AD67:$AP67)&gt;=$U172,0,MIN(AC67,$U172-SUM(H172:$T172)))</f>
        <v>0</v>
      </c>
      <c r="H172" s="210">
        <f>IF(SUM(AE67:$AP67)&gt;=$U172,0,MIN(AD67,$U172-SUM(I172:$T172)))</f>
        <v>0</v>
      </c>
      <c r="I172" s="210">
        <f>IF(SUM(AF67:$AP67)&gt;=$U172,0,MIN(AE67,$U172-SUM(J172:$T172)))</f>
        <v>0</v>
      </c>
      <c r="J172" s="210">
        <f>IF(SUM(AG67:$AP67)&gt;=$U172,0,MIN(AF67,$U172-SUM(K172:$T172)))</f>
        <v>0</v>
      </c>
      <c r="K172" s="210">
        <f>IF(SUM(AH67:$AP67)&gt;=$U172,0,MIN(AG67,$U172-SUM(L172:$T172)))</f>
        <v>0</v>
      </c>
      <c r="L172" s="210">
        <f>IF(SUM(AI67:$AP67)&gt;=$U172,0,MIN(AH67,$U172-SUM(M172:$T172)))</f>
        <v>0</v>
      </c>
      <c r="M172" s="210">
        <f>IF(SUM(AJ67:$AP67)&gt;=$U172,0,MIN(AI67,$U172-SUM(N172:$T172)))</f>
        <v>0</v>
      </c>
      <c r="N172" s="210">
        <f>IF(SUM(AK67:$AP67)&gt;=$U172,0,MIN(AJ67,$U172-SUM(O172:$T172)))</f>
        <v>0</v>
      </c>
      <c r="O172" s="210">
        <f>IF(SUM(AL67:$AP67)&gt;=$U172,0,MIN(AK67,$U172-SUM(P172:$T172)))</f>
        <v>0</v>
      </c>
      <c r="P172" s="210">
        <f>IF(SUM(AM67:$AP67)&gt;=$U172,0,MIN(AL67,$U172-SUM(Q172:$T172)))</f>
        <v>0</v>
      </c>
      <c r="Q172" s="210">
        <f>IF(SUM(AN67:$AP67)&gt;=$U172,0,MIN(AM67,$U172-SUM(R172:$T172)))</f>
        <v>0</v>
      </c>
      <c r="R172" s="210">
        <f>IF(SUM(AO67:$AP67)&gt;=$U172,0,MIN(AN67,$U172-SUM(S172:$T172)))</f>
        <v>0</v>
      </c>
      <c r="S172" s="210">
        <f>IF(SUM(AP67:$AP67)&gt;=$U172,0,MIN(AO67,$U172-SUM(T172:$T172)))</f>
        <v>0</v>
      </c>
      <c r="T172" s="210">
        <f t="shared" si="225"/>
        <v>0</v>
      </c>
      <c r="U172" s="210">
        <f t="shared" si="226"/>
        <v>0</v>
      </c>
      <c r="V172" s="210"/>
      <c r="Y172" s="209" t="s">
        <v>126</v>
      </c>
      <c r="Z172" s="210">
        <f t="shared" si="240"/>
        <v>0</v>
      </c>
      <c r="AA172" s="210">
        <f t="shared" si="241"/>
        <v>0</v>
      </c>
      <c r="AB172" s="210">
        <f t="shared" si="242"/>
        <v>0</v>
      </c>
      <c r="AC172" s="210">
        <f t="shared" si="243"/>
        <v>0</v>
      </c>
      <c r="AD172" s="210">
        <f t="shared" si="244"/>
        <v>0</v>
      </c>
      <c r="AE172" s="210">
        <f t="shared" si="245"/>
        <v>0</v>
      </c>
      <c r="AF172" s="210">
        <f t="shared" si="246"/>
        <v>0</v>
      </c>
      <c r="AG172" s="210">
        <f t="shared" si="247"/>
        <v>0</v>
      </c>
      <c r="AH172" s="210">
        <f t="shared" si="248"/>
        <v>0</v>
      </c>
      <c r="AI172" s="210">
        <f t="shared" si="249"/>
        <v>0</v>
      </c>
      <c r="AJ172" s="210">
        <f t="shared" si="250"/>
        <v>0</v>
      </c>
      <c r="AK172" s="210">
        <f>IF(SUM(Y102:$AP102)&gt;=$BD172,0,MIN(X102,$BD172-SUM(AL172:$BC172)))/12</f>
        <v>0</v>
      </c>
      <c r="AL172" s="210">
        <f>IF(SUM(Z102:$AP102)&gt;=$BD172,0,MIN(Y102,$BD172-SUM(AM172:$BC172)))</f>
        <v>0</v>
      </c>
      <c r="AM172" s="210">
        <f>IF(SUM(AA102:$AP102)&gt;=$BD172,0,MIN(Z102,$BD172-SUM(AN172:$BC172)))</f>
        <v>0</v>
      </c>
      <c r="AN172" s="210">
        <f>IF(SUM(AB102:$AP102)&gt;=$BD172,0,MIN(AA102,$BD172-SUM(AO172:$BC172)))</f>
        <v>0</v>
      </c>
      <c r="AO172" s="210">
        <f>IF(SUM(AC102:$AP102)&gt;=$BD172,0,MIN(AB102,$BD172-SUM(AP172:$BC172)))</f>
        <v>0</v>
      </c>
      <c r="AP172" s="210">
        <f>IF(SUM(AD102:$AP102)&gt;=$BD172,0,MIN(AC102,$BD172-SUM(AQ172:$BC172)))</f>
        <v>0</v>
      </c>
      <c r="AQ172" s="210">
        <f>IF(SUM(AE102:$AP102)&gt;=$BD172,0,MIN(AD102,$BD172-SUM(AR172:$BC172)))</f>
        <v>0</v>
      </c>
      <c r="AR172" s="210">
        <f>IF(SUM(AF102:$AP102)&gt;=$BD172,0,MIN(AE102,$BD172-SUM(AS172:$BC172)))</f>
        <v>0</v>
      </c>
      <c r="AS172" s="210">
        <f>IF(SUM(AG102:$AP102)&gt;=$BD172,0,MIN(AF102,$BD172-SUM(AT172:$BC172)))</f>
        <v>0</v>
      </c>
      <c r="AT172" s="210">
        <f>IF(SUM(AH102:$AP102)&gt;=$BD172,0,MIN(AG102,$BD172-SUM(AU172:$BC172)))</f>
        <v>0</v>
      </c>
      <c r="AU172" s="210">
        <f>IF(SUM(AI102:$AP102)&gt;=$BD172,0,MIN(AH102,$BD172-SUM(AV172:$BC172)))</f>
        <v>0</v>
      </c>
      <c r="AV172" s="210">
        <f>IF(SUM(AJ102:$AP102)&gt;=$BD172,0,MIN(AI102,$BD172-SUM(AW172:$BC172)))</f>
        <v>0</v>
      </c>
      <c r="AW172" s="210">
        <f>IF(SUM(AK102:$AP102)&gt;=$BD172,0,MIN(AJ102,$BD172-SUM(AX172:$BC172)))</f>
        <v>0</v>
      </c>
      <c r="AX172" s="210">
        <f>IF(SUM(AL102:$AP102)&gt;=$BD172,0,MIN(AK102,$BD172-SUM(AY172:$BC172)))</f>
        <v>0</v>
      </c>
      <c r="AY172" s="210">
        <f>IF(SUM(AM102:$AP102)&gt;=$BD172,0,MIN(AL102,$BD172-SUM(AZ172:$BC172)))</f>
        <v>0</v>
      </c>
      <c r="AZ172" s="210">
        <f>IF(SUM(AN102:$AP102)&gt;=$BD172,0,MIN(AM102,$BD172-SUM(BA172:$BC172)))</f>
        <v>0</v>
      </c>
      <c r="BA172" s="210">
        <f>IF(SUM(AO102:$AP102)&gt;=$BD172,0,MIN(AN102,$BD172-SUM(BB172:$BC172)))</f>
        <v>0</v>
      </c>
      <c r="BB172" s="210">
        <f>IF(SUM(AP102:$AP102)&gt;=$BD172,0,MIN(AO102,$BD172-SUM(BC172:$BC172)))</f>
        <v>0</v>
      </c>
      <c r="BC172" s="210">
        <f t="shared" si="238"/>
        <v>0</v>
      </c>
      <c r="BD172" s="210">
        <f t="shared" si="239"/>
        <v>0</v>
      </c>
    </row>
    <row r="173" spans="1:56">
      <c r="A173" s="209" t="s">
        <v>128</v>
      </c>
      <c r="B173" s="210">
        <f>IF(SUM(Y68:$AP68)&gt;=$U173,0,MIN(X68,$U173-SUM(C173:$T173)))</f>
        <v>0</v>
      </c>
      <c r="C173" s="210">
        <f>IF(SUM(Z68:$AP68)&gt;=$U173,0,MIN(Y68,$U173-SUM(D173:$T173)))</f>
        <v>0</v>
      </c>
      <c r="D173" s="210">
        <f>IF(SUM(AA68:$AP68)&gt;=$U173,0,MIN(Z68,$U173-SUM(E173:$T173)))</f>
        <v>0</v>
      </c>
      <c r="E173" s="210">
        <f>IF(SUM(AB68:$AP68)&gt;=$U173,0,MIN(AA68,$U173-SUM(F173:$T173)))</f>
        <v>0</v>
      </c>
      <c r="F173" s="210">
        <f>IF(SUM(AC68:$AP68)&gt;=$U173,0,MIN(AB68,$U173-SUM(G173:$T173)))</f>
        <v>0</v>
      </c>
      <c r="G173" s="210">
        <f>IF(SUM(AD68:$AP68)&gt;=$U173,0,MIN(AC68,$U173-SUM(H173:$T173)))</f>
        <v>0</v>
      </c>
      <c r="H173" s="210">
        <f>IF(SUM(AE68:$AP68)&gt;=$U173,0,MIN(AD68,$U173-SUM(I173:$T173)))</f>
        <v>0</v>
      </c>
      <c r="I173" s="210">
        <f>IF(SUM(AF68:$AP68)&gt;=$U173,0,MIN(AE68,$U173-SUM(J173:$T173)))</f>
        <v>0</v>
      </c>
      <c r="J173" s="210">
        <f>IF(SUM(AG68:$AP68)&gt;=$U173,0,MIN(AF68,$U173-SUM(K173:$T173)))</f>
        <v>0</v>
      </c>
      <c r="K173" s="210">
        <f>IF(SUM(AH68:$AP68)&gt;=$U173,0,MIN(AG68,$U173-SUM(L173:$T173)))</f>
        <v>0</v>
      </c>
      <c r="L173" s="210">
        <f>IF(SUM(AI68:$AP68)&gt;=$U173,0,MIN(AH68,$U173-SUM(M173:$T173)))</f>
        <v>0</v>
      </c>
      <c r="M173" s="210">
        <f>IF(SUM(AJ68:$AP68)&gt;=$U173,0,MIN(AI68,$U173-SUM(N173:$T173)))</f>
        <v>0</v>
      </c>
      <c r="N173" s="210">
        <f>IF(SUM(AK68:$AP68)&gt;=$U173,0,MIN(AJ68,$U173-SUM(O173:$T173)))</f>
        <v>0</v>
      </c>
      <c r="O173" s="210">
        <f>IF(SUM(AL68:$AP68)&gt;=$U173,0,MIN(AK68,$U173-SUM(P173:$T173)))</f>
        <v>0</v>
      </c>
      <c r="P173" s="210">
        <f>IF(SUM(AM68:$AP68)&gt;=$U173,0,MIN(AL68,$U173-SUM(Q173:$T173)))</f>
        <v>0</v>
      </c>
      <c r="Q173" s="210">
        <f>IF(SUM(AN68:$AP68)&gt;=$U173,0,MIN(AM68,$U173-SUM(R173:$T173)))</f>
        <v>0</v>
      </c>
      <c r="R173" s="210">
        <f>IF(SUM(AO68:$AP68)&gt;=$U173,0,MIN(AN68,$U173-SUM(S173:$T173)))</f>
        <v>0</v>
      </c>
      <c r="S173" s="210">
        <f>IF(SUM(AP68:$AP68)&gt;=$U173,0,MIN(AO68,$U173-SUM(T173:$T173)))</f>
        <v>0</v>
      </c>
      <c r="T173" s="210">
        <f t="shared" si="225"/>
        <v>0</v>
      </c>
      <c r="U173" s="210">
        <f t="shared" si="226"/>
        <v>0</v>
      </c>
      <c r="V173" s="210"/>
      <c r="Y173" s="209" t="s">
        <v>128</v>
      </c>
      <c r="Z173" s="210">
        <f t="shared" si="240"/>
        <v>0</v>
      </c>
      <c r="AA173" s="210">
        <f t="shared" si="241"/>
        <v>0</v>
      </c>
      <c r="AB173" s="210">
        <f t="shared" si="242"/>
        <v>0</v>
      </c>
      <c r="AC173" s="210">
        <f t="shared" si="243"/>
        <v>0</v>
      </c>
      <c r="AD173" s="210">
        <f t="shared" si="244"/>
        <v>0</v>
      </c>
      <c r="AE173" s="210">
        <f t="shared" si="245"/>
        <v>0</v>
      </c>
      <c r="AF173" s="210">
        <f t="shared" si="246"/>
        <v>0</v>
      </c>
      <c r="AG173" s="210">
        <f t="shared" si="247"/>
        <v>0</v>
      </c>
      <c r="AH173" s="210">
        <f t="shared" si="248"/>
        <v>0</v>
      </c>
      <c r="AI173" s="210">
        <f t="shared" si="249"/>
        <v>0</v>
      </c>
      <c r="AJ173" s="210">
        <f t="shared" si="250"/>
        <v>0</v>
      </c>
      <c r="AK173" s="210">
        <f>IF(SUM(Y103:$AP103)&gt;=$BD173,0,MIN(X103,$BD173-SUM(AL173:$BC173)))/12</f>
        <v>0</v>
      </c>
      <c r="AL173" s="210">
        <f>IF(SUM(Z103:$AP103)&gt;=$BD173,0,MIN(Y103,$BD173-SUM(AM173:$BC173)))</f>
        <v>0</v>
      </c>
      <c r="AM173" s="210">
        <f>IF(SUM(AA103:$AP103)&gt;=$BD173,0,MIN(Z103,$BD173-SUM(AN173:$BC173)))</f>
        <v>0</v>
      </c>
      <c r="AN173" s="210">
        <f>IF(SUM(AB103:$AP103)&gt;=$BD173,0,MIN(AA103,$BD173-SUM(AO173:$BC173)))</f>
        <v>0</v>
      </c>
      <c r="AO173" s="210">
        <f>IF(SUM(AC103:$AP103)&gt;=$BD173,0,MIN(AB103,$BD173-SUM(AP173:$BC173)))</f>
        <v>0</v>
      </c>
      <c r="AP173" s="210">
        <f>IF(SUM(AD103:$AP103)&gt;=$BD173,0,MIN(AC103,$BD173-SUM(AQ173:$BC173)))</f>
        <v>0</v>
      </c>
      <c r="AQ173" s="210">
        <f>IF(SUM(AE103:$AP103)&gt;=$BD173,0,MIN(AD103,$BD173-SUM(AR173:$BC173)))</f>
        <v>0</v>
      </c>
      <c r="AR173" s="210">
        <f>IF(SUM(AF103:$AP103)&gt;=$BD173,0,MIN(AE103,$BD173-SUM(AS173:$BC173)))</f>
        <v>0</v>
      </c>
      <c r="AS173" s="210">
        <f>IF(SUM(AG103:$AP103)&gt;=$BD173,0,MIN(AF103,$BD173-SUM(AT173:$BC173)))</f>
        <v>0</v>
      </c>
      <c r="AT173" s="210">
        <f>IF(SUM(AH103:$AP103)&gt;=$BD173,0,MIN(AG103,$BD173-SUM(AU173:$BC173)))</f>
        <v>0</v>
      </c>
      <c r="AU173" s="210">
        <f>IF(SUM(AI103:$AP103)&gt;=$BD173,0,MIN(AH103,$BD173-SUM(AV173:$BC173)))</f>
        <v>0</v>
      </c>
      <c r="AV173" s="210">
        <f>IF(SUM(AJ103:$AP103)&gt;=$BD173,0,MIN(AI103,$BD173-SUM(AW173:$BC173)))</f>
        <v>0</v>
      </c>
      <c r="AW173" s="210">
        <f>IF(SUM(AK103:$AP103)&gt;=$BD173,0,MIN(AJ103,$BD173-SUM(AX173:$BC173)))</f>
        <v>0</v>
      </c>
      <c r="AX173" s="210">
        <f>IF(SUM(AL103:$AP103)&gt;=$BD173,0,MIN(AK103,$BD173-SUM(AY173:$BC173)))</f>
        <v>0</v>
      </c>
      <c r="AY173" s="210">
        <f>IF(SUM(AM103:$AP103)&gt;=$BD173,0,MIN(AL103,$BD173-SUM(AZ173:$BC173)))</f>
        <v>0</v>
      </c>
      <c r="AZ173" s="210">
        <f>IF(SUM(AN103:$AP103)&gt;=$BD173,0,MIN(AM103,$BD173-SUM(BA173:$BC173)))</f>
        <v>0</v>
      </c>
      <c r="BA173" s="210">
        <f>IF(SUM(AO103:$AP103)&gt;=$BD173,0,MIN(AN103,$BD173-SUM(BB173:$BC173)))</f>
        <v>0</v>
      </c>
      <c r="BB173" s="210">
        <f>IF(SUM(AP103:$AP103)&gt;=$BD173,0,MIN(AO103,$BD173-SUM(BC173:$BC173)))</f>
        <v>0</v>
      </c>
      <c r="BC173" s="210">
        <f t="shared" si="238"/>
        <v>0</v>
      </c>
      <c r="BD173" s="210">
        <f t="shared" si="239"/>
        <v>0</v>
      </c>
    </row>
    <row r="174" spans="1:56">
      <c r="A174" s="209" t="s">
        <v>130</v>
      </c>
      <c r="B174" s="210">
        <f>IF(SUM(Y69:$AP69)&gt;=$U174,0,MIN(X69,$U174-SUM(C174:$T174)))</f>
        <v>0</v>
      </c>
      <c r="C174" s="210">
        <f>IF(SUM(Z69:$AP69)&gt;=$U174,0,MIN(Y69,$U174-SUM(D174:$T174)))</f>
        <v>0</v>
      </c>
      <c r="D174" s="210">
        <f>IF(SUM(AA69:$AP69)&gt;=$U174,0,MIN(Z69,$U174-SUM(E174:$T174)))</f>
        <v>0</v>
      </c>
      <c r="E174" s="210">
        <f>IF(SUM(AB69:$AP69)&gt;=$U174,0,MIN(AA69,$U174-SUM(F174:$T174)))</f>
        <v>0</v>
      </c>
      <c r="F174" s="210">
        <f>IF(SUM(AC69:$AP69)&gt;=$U174,0,MIN(AB69,$U174-SUM(G174:$T174)))</f>
        <v>0</v>
      </c>
      <c r="G174" s="210">
        <f>IF(SUM(AD69:$AP69)&gt;=$U174,0,MIN(AC69,$U174-SUM(H174:$T174)))</f>
        <v>0</v>
      </c>
      <c r="H174" s="210">
        <f>IF(SUM(AE69:$AP69)&gt;=$U174,0,MIN(AD69,$U174-SUM(I174:$T174)))</f>
        <v>0</v>
      </c>
      <c r="I174" s="210">
        <f>IF(SUM(AF69:$AP69)&gt;=$U174,0,MIN(AE69,$U174-SUM(J174:$T174)))</f>
        <v>0</v>
      </c>
      <c r="J174" s="210">
        <f>IF(SUM(AG69:$AP69)&gt;=$U174,0,MIN(AF69,$U174-SUM(K174:$T174)))</f>
        <v>0</v>
      </c>
      <c r="K174" s="210">
        <f>IF(SUM(AH69:$AP69)&gt;=$U174,0,MIN(AG69,$U174-SUM(L174:$T174)))</f>
        <v>0</v>
      </c>
      <c r="L174" s="210">
        <f>IF(SUM(AI69:$AP69)&gt;=$U174,0,MIN(AH69,$U174-SUM(M174:$T174)))</f>
        <v>0</v>
      </c>
      <c r="M174" s="210">
        <f>IF(SUM(AJ69:$AP69)&gt;=$U174,0,MIN(AI69,$U174-SUM(N174:$T174)))</f>
        <v>0</v>
      </c>
      <c r="N174" s="210">
        <f>IF(SUM(AK69:$AP69)&gt;=$U174,0,MIN(AJ69,$U174-SUM(O174:$T174)))</f>
        <v>0</v>
      </c>
      <c r="O174" s="210">
        <f>IF(SUM(AL69:$AP69)&gt;=$U174,0,MIN(AK69,$U174-SUM(P174:$T174)))</f>
        <v>0</v>
      </c>
      <c r="P174" s="210">
        <f>IF(SUM(AM69:$AP69)&gt;=$U174,0,MIN(AL69,$U174-SUM(Q174:$T174)))</f>
        <v>0</v>
      </c>
      <c r="Q174" s="210">
        <f>IF(SUM(AN69:$AP69)&gt;=$U174,0,MIN(AM69,$U174-SUM(R174:$T174)))</f>
        <v>0</v>
      </c>
      <c r="R174" s="210">
        <f>IF(SUM(AO69:$AP69)&gt;=$U174,0,MIN(AN69,$U174-SUM(S174:$T174)))</f>
        <v>0</v>
      </c>
      <c r="S174" s="210">
        <f>IF(SUM(AP69:$AP69)&gt;=$U174,0,MIN(AO69,$U174-SUM(T174:$T174)))</f>
        <v>0</v>
      </c>
      <c r="T174" s="210">
        <f t="shared" si="225"/>
        <v>0</v>
      </c>
      <c r="U174" s="210">
        <f t="shared" si="226"/>
        <v>0</v>
      </c>
      <c r="V174" s="210"/>
      <c r="Y174" s="209" t="s">
        <v>130</v>
      </c>
      <c r="Z174" s="210">
        <f t="shared" si="240"/>
        <v>0</v>
      </c>
      <c r="AA174" s="210">
        <f t="shared" si="241"/>
        <v>0</v>
      </c>
      <c r="AB174" s="210">
        <f t="shared" si="242"/>
        <v>0</v>
      </c>
      <c r="AC174" s="210">
        <f t="shared" si="243"/>
        <v>0</v>
      </c>
      <c r="AD174" s="210">
        <f t="shared" si="244"/>
        <v>0</v>
      </c>
      <c r="AE174" s="210">
        <f t="shared" si="245"/>
        <v>0</v>
      </c>
      <c r="AF174" s="210">
        <f t="shared" si="246"/>
        <v>0</v>
      </c>
      <c r="AG174" s="210">
        <f t="shared" si="247"/>
        <v>0</v>
      </c>
      <c r="AH174" s="210">
        <f t="shared" si="248"/>
        <v>0</v>
      </c>
      <c r="AI174" s="210">
        <f t="shared" si="249"/>
        <v>0</v>
      </c>
      <c r="AJ174" s="210">
        <f t="shared" si="250"/>
        <v>0</v>
      </c>
      <c r="AK174" s="210">
        <f>IF(SUM(Y104:$AP104)&gt;=$BD174,0,MIN(X104,$BD174-SUM(AL174:$BC174)))/12</f>
        <v>0</v>
      </c>
      <c r="AL174" s="210">
        <f>IF(SUM(Z104:$AP104)&gt;=$BD174,0,MIN(Y104,$BD174-SUM(AM174:$BC174)))</f>
        <v>0</v>
      </c>
      <c r="AM174" s="210">
        <f>IF(SUM(AA104:$AP104)&gt;=$BD174,0,MIN(Z104,$BD174-SUM(AN174:$BC174)))</f>
        <v>0</v>
      </c>
      <c r="AN174" s="210">
        <f>IF(SUM(AB104:$AP104)&gt;=$BD174,0,MIN(AA104,$BD174-SUM(AO174:$BC174)))</f>
        <v>0</v>
      </c>
      <c r="AO174" s="210">
        <f>IF(SUM(AC104:$AP104)&gt;=$BD174,0,MIN(AB104,$BD174-SUM(AP174:$BC174)))</f>
        <v>0</v>
      </c>
      <c r="AP174" s="210">
        <f>IF(SUM(AD104:$AP104)&gt;=$BD174,0,MIN(AC104,$BD174-SUM(AQ174:$BC174)))</f>
        <v>0</v>
      </c>
      <c r="AQ174" s="210">
        <f>IF(SUM(AE104:$AP104)&gt;=$BD174,0,MIN(AD104,$BD174-SUM(AR174:$BC174)))</f>
        <v>0</v>
      </c>
      <c r="AR174" s="210">
        <f>IF(SUM(AF104:$AP104)&gt;=$BD174,0,MIN(AE104,$BD174-SUM(AS174:$BC174)))</f>
        <v>0</v>
      </c>
      <c r="AS174" s="210">
        <f>IF(SUM(AG104:$AP104)&gt;=$BD174,0,MIN(AF104,$BD174-SUM(AT174:$BC174)))</f>
        <v>0</v>
      </c>
      <c r="AT174" s="210">
        <f>IF(SUM(AH104:$AP104)&gt;=$BD174,0,MIN(AG104,$BD174-SUM(AU174:$BC174)))</f>
        <v>0</v>
      </c>
      <c r="AU174" s="210">
        <f>IF(SUM(AI104:$AP104)&gt;=$BD174,0,MIN(AH104,$BD174-SUM(AV174:$BC174)))</f>
        <v>0</v>
      </c>
      <c r="AV174" s="210">
        <f>IF(SUM(AJ104:$AP104)&gt;=$BD174,0,MIN(AI104,$BD174-SUM(AW174:$BC174)))</f>
        <v>0</v>
      </c>
      <c r="AW174" s="210">
        <f>IF(SUM(AK104:$AP104)&gt;=$BD174,0,MIN(AJ104,$BD174-SUM(AX174:$BC174)))</f>
        <v>0</v>
      </c>
      <c r="AX174" s="210">
        <f>IF(SUM(AL104:$AP104)&gt;=$BD174,0,MIN(AK104,$BD174-SUM(AY174:$BC174)))</f>
        <v>0</v>
      </c>
      <c r="AY174" s="210">
        <f>IF(SUM(AM104:$AP104)&gt;=$BD174,0,MIN(AL104,$BD174-SUM(AZ174:$BC174)))</f>
        <v>0</v>
      </c>
      <c r="AZ174" s="210">
        <f>IF(SUM(AN104:$AP104)&gt;=$BD174,0,MIN(AM104,$BD174-SUM(BA174:$BC174)))</f>
        <v>0</v>
      </c>
      <c r="BA174" s="210">
        <f>IF(SUM(AO104:$AP104)&gt;=$BD174,0,MIN(AN104,$BD174-SUM(BB174:$BC174)))</f>
        <v>0</v>
      </c>
      <c r="BB174" s="210">
        <f>IF(SUM(AP104:$AP104)&gt;=$BD174,0,MIN(AO104,$BD174-SUM(BC174:$BC174)))</f>
        <v>0</v>
      </c>
      <c r="BC174" s="210">
        <f t="shared" si="238"/>
        <v>0</v>
      </c>
      <c r="BD174" s="210">
        <f t="shared" si="239"/>
        <v>0</v>
      </c>
    </row>
    <row r="175" spans="1:56">
      <c r="A175" s="209" t="s">
        <v>1329</v>
      </c>
      <c r="B175" s="210">
        <f>IF(SUM(Y70:$AP70)&gt;=$U175,0,MIN(X70,$U175-SUM(C175:$T175)))</f>
        <v>0</v>
      </c>
      <c r="C175" s="210">
        <f>IF(SUM(Z70:$AP70)&gt;=$U175,0,MIN(Y70,$U175-SUM(D175:$T175)))</f>
        <v>0</v>
      </c>
      <c r="D175" s="210">
        <f>IF(SUM(AA70:$AP70)&gt;=$U175,0,MIN(Z70,$U175-SUM(E175:$T175)))</f>
        <v>0</v>
      </c>
      <c r="E175" s="210">
        <f>IF(SUM(AB70:$AP70)&gt;=$U175,0,MIN(AA70,$U175-SUM(F175:$T175)))</f>
        <v>0</v>
      </c>
      <c r="F175" s="210">
        <f>IF(SUM(AC70:$AP70)&gt;=$U175,0,MIN(AB70,$U175-SUM(G175:$T175)))</f>
        <v>0</v>
      </c>
      <c r="G175" s="210">
        <f>IF(SUM(AD70:$AP70)&gt;=$U175,0,MIN(AC70,$U175-SUM(H175:$T175)))</f>
        <v>0</v>
      </c>
      <c r="H175" s="210">
        <f>IF(SUM(AE70:$AP70)&gt;=$U175,0,MIN(AD70,$U175-SUM(I175:$T175)))</f>
        <v>0</v>
      </c>
      <c r="I175" s="210">
        <f>IF(SUM(AF70:$AP70)&gt;=$U175,0,MIN(AE70,$U175-SUM(J175:$T175)))</f>
        <v>7</v>
      </c>
      <c r="J175" s="210">
        <f>IF(SUM(AG70:$AP70)&gt;=$U175,0,MIN(AF70,$U175-SUM(K175:$T175)))</f>
        <v>0</v>
      </c>
      <c r="K175" s="210">
        <f>IF(SUM(AH70:$AP70)&gt;=$U175,0,MIN(AG70,$U175-SUM(L175:$T175)))</f>
        <v>0</v>
      </c>
      <c r="L175" s="210">
        <f>IF(SUM(AI70:$AP70)&gt;=$U175,0,MIN(AH70,$U175-SUM(M175:$T175)))</f>
        <v>0</v>
      </c>
      <c r="M175" s="210">
        <f>IF(SUM(AJ70:$AP70)&gt;=$U175,0,MIN(AI70,$U175-SUM(N175:$T175)))</f>
        <v>0</v>
      </c>
      <c r="N175" s="210">
        <f>IF(SUM(AK70:$AP70)&gt;=$U175,0,MIN(AJ70,$U175-SUM(O175:$T175)))</f>
        <v>0</v>
      </c>
      <c r="O175" s="210">
        <f>IF(SUM(AL70:$AP70)&gt;=$U175,0,MIN(AK70,$U175-SUM(P175:$T175)))</f>
        <v>0</v>
      </c>
      <c r="P175" s="210">
        <f>IF(SUM(AM70:$AP70)&gt;=$U175,0,MIN(AL70,$U175-SUM(Q175:$T175)))</f>
        <v>0</v>
      </c>
      <c r="Q175" s="210">
        <f>IF(SUM(AN70:$AP70)&gt;=$U175,0,MIN(AM70,$U175-SUM(R175:$T175)))</f>
        <v>0</v>
      </c>
      <c r="R175" s="210">
        <f>IF(SUM(AO70:$AP70)&gt;=$U175,0,MIN(AN70,$U175-SUM(S175:$T175)))</f>
        <v>0</v>
      </c>
      <c r="S175" s="210">
        <f>IF(SUM(AP70:$AP70)&gt;=$U175,0,MIN(AO70,$U175-SUM(T175:$T175)))</f>
        <v>0</v>
      </c>
      <c r="T175" s="210">
        <f t="shared" si="225"/>
        <v>0</v>
      </c>
      <c r="U175" s="210">
        <f t="shared" si="226"/>
        <v>7</v>
      </c>
      <c r="V175" s="210"/>
      <c r="Y175" s="209" t="s">
        <v>1329</v>
      </c>
      <c r="Z175" s="210">
        <f t="shared" si="240"/>
        <v>0.288333333333333</v>
      </c>
      <c r="AA175" s="210">
        <f t="shared" si="241"/>
        <v>0.288333333333333</v>
      </c>
      <c r="AB175" s="210">
        <f t="shared" si="242"/>
        <v>0.288333333333333</v>
      </c>
      <c r="AC175" s="210">
        <f t="shared" si="243"/>
        <v>0.288333333333333</v>
      </c>
      <c r="AD175" s="210">
        <f t="shared" si="244"/>
        <v>0.288333333333333</v>
      </c>
      <c r="AE175" s="210">
        <f t="shared" si="245"/>
        <v>0.288333333333333</v>
      </c>
      <c r="AF175" s="210">
        <f t="shared" si="246"/>
        <v>0.288333333333333</v>
      </c>
      <c r="AG175" s="210">
        <f t="shared" si="247"/>
        <v>0.288333333333333</v>
      </c>
      <c r="AH175" s="210">
        <f t="shared" si="248"/>
        <v>0.288333333333333</v>
      </c>
      <c r="AI175" s="210">
        <f t="shared" si="249"/>
        <v>0.288333333333333</v>
      </c>
      <c r="AJ175" s="210">
        <f t="shared" si="250"/>
        <v>0.288333333333333</v>
      </c>
      <c r="AK175" s="210">
        <f>IF(SUM(Y105:$AP105)&gt;=$BD175,0,MIN(X105,$BD175-SUM(AL175:$BC175)))/12</f>
        <v>0.288333333333333</v>
      </c>
      <c r="AL175" s="210">
        <f>IF(SUM(Z105:$AP105)&gt;=$BD175,0,MIN(Y105,$BD175-SUM(AM175:$BC175)))</f>
        <v>2.854</v>
      </c>
      <c r="AM175" s="210">
        <f>IF(SUM(AA105:$AP105)&gt;=$BD175,0,MIN(Z105,$BD175-SUM(AN175:$BC175)))</f>
        <v>2.854</v>
      </c>
      <c r="AN175" s="210">
        <f>IF(SUM(AB105:$AP105)&gt;=$BD175,0,MIN(AA105,$BD175-SUM(AO175:$BC175)))</f>
        <v>2.854</v>
      </c>
      <c r="AO175" s="210">
        <f>IF(SUM(AC105:$AP105)&gt;=$BD175,0,MIN(AB105,$BD175-SUM(AP175:$BC175)))</f>
        <v>2.854</v>
      </c>
      <c r="AP175" s="210">
        <f>IF(SUM(AD105:$AP105)&gt;=$BD175,0,MIN(AC105,$BD175-SUM(AQ175:$BC175)))</f>
        <v>2.854</v>
      </c>
      <c r="AQ175" s="210">
        <f>IF(SUM(AE105:$AP105)&gt;=$BD175,0,MIN(AD105,$BD175-SUM(AR175:$BC175)))</f>
        <v>2.854</v>
      </c>
      <c r="AR175" s="210">
        <f>IF(SUM(AF105:$AP105)&gt;=$BD175,0,MIN(AE105,$BD175-SUM(AS175:$BC175)))</f>
        <v>2.854</v>
      </c>
      <c r="AS175" s="210">
        <f>IF(SUM(AG105:$AP105)&gt;=$BD175,0,MIN(AF105,$BD175-SUM(AT175:$BC175)))</f>
        <v>2.854</v>
      </c>
      <c r="AT175" s="210">
        <f>IF(SUM(AH105:$AP105)&gt;=$BD175,0,MIN(AG105,$BD175-SUM(AU175:$BC175)))</f>
        <v>2.854</v>
      </c>
      <c r="AU175" s="210">
        <f>IF(SUM(AI105:$AP105)&gt;=$BD175,0,MIN(AH105,$BD175-SUM(AV175:$BC175)))</f>
        <v>2.85400000000001</v>
      </c>
      <c r="AV175" s="210">
        <f>IF(SUM(AJ105:$AP105)&gt;=$BD175,0,MIN(AI105,$BD175-SUM(AW175:$BC175)))</f>
        <v>0</v>
      </c>
      <c r="AW175" s="210">
        <f>IF(SUM(AK105:$AP105)&gt;=$BD175,0,MIN(AJ105,$BD175-SUM(AX175:$BC175)))</f>
        <v>0</v>
      </c>
      <c r="AX175" s="210">
        <f>IF(SUM(AL105:$AP105)&gt;=$BD175,0,MIN(AK105,$BD175-SUM(AY175:$BC175)))</f>
        <v>0</v>
      </c>
      <c r="AY175" s="210">
        <f>IF(SUM(AM105:$AP105)&gt;=$BD175,0,MIN(AL105,$BD175-SUM(AZ175:$BC175)))</f>
        <v>0</v>
      </c>
      <c r="AZ175" s="210">
        <f>IF(SUM(AN105:$AP105)&gt;=$BD175,0,MIN(AM105,$BD175-SUM(BA175:$BC175)))</f>
        <v>0</v>
      </c>
      <c r="BA175" s="210">
        <f>IF(SUM(AO105:$AP105)&gt;=$BD175,0,MIN(AN105,$BD175-SUM(BB175:$BC175)))</f>
        <v>0</v>
      </c>
      <c r="BB175" s="210">
        <f>IF(SUM(AP105:$AP105)&gt;=$BD175,0,MIN(AO105,$BD175-SUM(BC175:$BC175)))</f>
        <v>0</v>
      </c>
      <c r="BC175" s="210">
        <f t="shared" si="238"/>
        <v>0</v>
      </c>
      <c r="BD175" s="210">
        <f t="shared" si="239"/>
        <v>32</v>
      </c>
    </row>
    <row r="176" spans="1:56">
      <c r="A176" s="209" t="s">
        <v>134</v>
      </c>
      <c r="B176" s="210">
        <f>IF(SUM(Y71:$AP71)&gt;=$U176,0,MIN(X71,$U176-SUM(C176:$T176)))</f>
        <v>0</v>
      </c>
      <c r="C176" s="210">
        <f>IF(SUM(Z71:$AP71)&gt;=$U176,0,MIN(Y71,$U176-SUM(D176:$T176)))</f>
        <v>0</v>
      </c>
      <c r="D176" s="210">
        <f>IF(SUM(AA71:$AP71)&gt;=$U176,0,MIN(Z71,$U176-SUM(E176:$T176)))</f>
        <v>0</v>
      </c>
      <c r="E176" s="210">
        <f>IF(SUM(AB71:$AP71)&gt;=$U176,0,MIN(AA71,$U176-SUM(F176:$T176)))</f>
        <v>0</v>
      </c>
      <c r="F176" s="210">
        <f>IF(SUM(AC71:$AP71)&gt;=$U176,0,MIN(AB71,$U176-SUM(G176:$T176)))</f>
        <v>0</v>
      </c>
      <c r="G176" s="210">
        <f>IF(SUM(AD71:$AP71)&gt;=$U176,0,MIN(AC71,$U176-SUM(H176:$T176)))</f>
        <v>0</v>
      </c>
      <c r="H176" s="210">
        <f>IF(SUM(AE71:$AP71)&gt;=$U176,0,MIN(AD71,$U176-SUM(I176:$T176)))</f>
        <v>0</v>
      </c>
      <c r="I176" s="210">
        <f>IF(SUM(AF71:$AP71)&gt;=$U176,0,MIN(AE71,$U176-SUM(J176:$T176)))</f>
        <v>0</v>
      </c>
      <c r="J176" s="210">
        <f>IF(SUM(AG71:$AP71)&gt;=$U176,0,MIN(AF71,$U176-SUM(K176:$T176)))</f>
        <v>0</v>
      </c>
      <c r="K176" s="210">
        <f>IF(SUM(AH71:$AP71)&gt;=$U176,0,MIN(AG71,$U176-SUM(L176:$T176)))</f>
        <v>0</v>
      </c>
      <c r="L176" s="210">
        <f>IF(SUM(AI71:$AP71)&gt;=$U176,0,MIN(AH71,$U176-SUM(M176:$T176)))</f>
        <v>0</v>
      </c>
      <c r="M176" s="210">
        <f>IF(SUM(AJ71:$AP71)&gt;=$U176,0,MIN(AI71,$U176-SUM(N176:$T176)))</f>
        <v>0</v>
      </c>
      <c r="N176" s="210">
        <f>IF(SUM(AK71:$AP71)&gt;=$U176,0,MIN(AJ71,$U176-SUM(O176:$T176)))</f>
        <v>0</v>
      </c>
      <c r="O176" s="210">
        <f>IF(SUM(AL71:$AP71)&gt;=$U176,0,MIN(AK71,$U176-SUM(P176:$T176)))</f>
        <v>0</v>
      </c>
      <c r="P176" s="210">
        <f>IF(SUM(AM71:$AP71)&gt;=$U176,0,MIN(AL71,$U176-SUM(Q176:$T176)))</f>
        <v>0</v>
      </c>
      <c r="Q176" s="210">
        <f>IF(SUM(AN71:$AP71)&gt;=$U176,0,MIN(AM71,$U176-SUM(R176:$T176)))</f>
        <v>0</v>
      </c>
      <c r="R176" s="210">
        <f>IF(SUM(AO71:$AP71)&gt;=$U176,0,MIN(AN71,$U176-SUM(S176:$T176)))</f>
        <v>0</v>
      </c>
      <c r="S176" s="210">
        <f>IF(SUM(AP71:$AP71)&gt;=$U176,0,MIN(AO71,$U176-SUM(T176:$T176)))</f>
        <v>0</v>
      </c>
      <c r="T176" s="210">
        <f t="shared" si="225"/>
        <v>0</v>
      </c>
      <c r="U176" s="210">
        <f t="shared" si="226"/>
        <v>0</v>
      </c>
      <c r="V176" s="210"/>
      <c r="Y176" s="209" t="s">
        <v>134</v>
      </c>
      <c r="Z176" s="210">
        <f t="shared" si="240"/>
        <v>0</v>
      </c>
      <c r="AA176" s="210">
        <f t="shared" si="241"/>
        <v>0</v>
      </c>
      <c r="AB176" s="210">
        <f t="shared" si="242"/>
        <v>0</v>
      </c>
      <c r="AC176" s="210">
        <f t="shared" si="243"/>
        <v>0</v>
      </c>
      <c r="AD176" s="210">
        <f t="shared" si="244"/>
        <v>0</v>
      </c>
      <c r="AE176" s="210">
        <f t="shared" si="245"/>
        <v>0</v>
      </c>
      <c r="AF176" s="210">
        <f t="shared" si="246"/>
        <v>0</v>
      </c>
      <c r="AG176" s="210">
        <f t="shared" si="247"/>
        <v>0</v>
      </c>
      <c r="AH176" s="210">
        <f t="shared" si="248"/>
        <v>0</v>
      </c>
      <c r="AI176" s="210">
        <f t="shared" si="249"/>
        <v>0</v>
      </c>
      <c r="AJ176" s="210">
        <f t="shared" si="250"/>
        <v>0</v>
      </c>
      <c r="AK176" s="210">
        <f>IF(SUM(Y106:$AP106)&gt;=$BD176,0,MIN(X106,$BD176-SUM(AL176:$BC176)))/12</f>
        <v>0</v>
      </c>
      <c r="AL176" s="210">
        <f>IF(SUM(Z106:$AP106)&gt;=$BD176,0,MIN(Y106,$BD176-SUM(AM176:$BC176)))</f>
        <v>0</v>
      </c>
      <c r="AM176" s="210">
        <f>IF(SUM(AA106:$AP106)&gt;=$BD176,0,MIN(Z106,$BD176-SUM(AN176:$BC176)))</f>
        <v>0</v>
      </c>
      <c r="AN176" s="210">
        <f>IF(SUM(AB106:$AP106)&gt;=$BD176,0,MIN(AA106,$BD176-SUM(AO176:$BC176)))</f>
        <v>0</v>
      </c>
      <c r="AO176" s="210">
        <f>IF(SUM(AC106:$AP106)&gt;=$BD176,0,MIN(AB106,$BD176-SUM(AP176:$BC176)))</f>
        <v>0</v>
      </c>
      <c r="AP176" s="210">
        <f>IF(SUM(AD106:$AP106)&gt;=$BD176,0,MIN(AC106,$BD176-SUM(AQ176:$BC176)))</f>
        <v>0</v>
      </c>
      <c r="AQ176" s="210">
        <f>IF(SUM(AE106:$AP106)&gt;=$BD176,0,MIN(AD106,$BD176-SUM(AR176:$BC176)))</f>
        <v>0</v>
      </c>
      <c r="AR176" s="210">
        <f>IF(SUM(AF106:$AP106)&gt;=$BD176,0,MIN(AE106,$BD176-SUM(AS176:$BC176)))</f>
        <v>0</v>
      </c>
      <c r="AS176" s="210">
        <f>IF(SUM(AG106:$AP106)&gt;=$BD176,0,MIN(AF106,$BD176-SUM(AT176:$BC176)))</f>
        <v>0</v>
      </c>
      <c r="AT176" s="210">
        <f>IF(SUM(AH106:$AP106)&gt;=$BD176,0,MIN(AG106,$BD176-SUM(AU176:$BC176)))</f>
        <v>0</v>
      </c>
      <c r="AU176" s="210">
        <f>IF(SUM(AI106:$AP106)&gt;=$BD176,0,MIN(AH106,$BD176-SUM(AV176:$BC176)))</f>
        <v>0</v>
      </c>
      <c r="AV176" s="210">
        <f>IF(SUM(AJ106:$AP106)&gt;=$BD176,0,MIN(AI106,$BD176-SUM(AW176:$BC176)))</f>
        <v>0</v>
      </c>
      <c r="AW176" s="210">
        <f>IF(SUM(AK106:$AP106)&gt;=$BD176,0,MIN(AJ106,$BD176-SUM(AX176:$BC176)))</f>
        <v>0</v>
      </c>
      <c r="AX176" s="210">
        <f>IF(SUM(AL106:$AP106)&gt;=$BD176,0,MIN(AK106,$BD176-SUM(AY176:$BC176)))</f>
        <v>0</v>
      </c>
      <c r="AY176" s="210">
        <f>IF(SUM(AM106:$AP106)&gt;=$BD176,0,MIN(AL106,$BD176-SUM(AZ176:$BC176)))</f>
        <v>0</v>
      </c>
      <c r="AZ176" s="210">
        <f>IF(SUM(AN106:$AP106)&gt;=$BD176,0,MIN(AM106,$BD176-SUM(BA176:$BC176)))</f>
        <v>0</v>
      </c>
      <c r="BA176" s="210">
        <f>IF(SUM(AO106:$AP106)&gt;=$BD176,0,MIN(AN106,$BD176-SUM(BB176:$BC176)))</f>
        <v>0</v>
      </c>
      <c r="BB176" s="210">
        <f>IF(SUM(AP106:$AP106)&gt;=$BD176,0,MIN(AO106,$BD176-SUM(BC176:$BC176)))</f>
        <v>0</v>
      </c>
      <c r="BC176" s="210">
        <f t="shared" si="238"/>
        <v>0</v>
      </c>
      <c r="BD176" s="210">
        <f t="shared" si="239"/>
        <v>0</v>
      </c>
    </row>
    <row r="177" spans="1:56">
      <c r="A177" s="209" t="s">
        <v>136</v>
      </c>
      <c r="B177" s="210">
        <f>IF(SUM(Y72:$AP72)&gt;=$U177,0,MIN(X72,$U177-SUM(C177:$T177)))</f>
        <v>0</v>
      </c>
      <c r="C177" s="210">
        <f>IF(SUM(Z72:$AP72)&gt;=$U177,0,MIN(Y72,$U177-SUM(D177:$T177)))</f>
        <v>0</v>
      </c>
      <c r="D177" s="210">
        <f>IF(SUM(AA72:$AP72)&gt;=$U177,0,MIN(Z72,$U177-SUM(E177:$T177)))</f>
        <v>0</v>
      </c>
      <c r="E177" s="210">
        <f>IF(SUM(AB72:$AP72)&gt;=$U177,0,MIN(AA72,$U177-SUM(F177:$T177)))</f>
        <v>0</v>
      </c>
      <c r="F177" s="210">
        <f>IF(SUM(AC72:$AP72)&gt;=$U177,0,MIN(AB72,$U177-SUM(G177:$T177)))</f>
        <v>0</v>
      </c>
      <c r="G177" s="210">
        <f>IF(SUM(AD72:$AP72)&gt;=$U177,0,MIN(AC72,$U177-SUM(H177:$T177)))</f>
        <v>0</v>
      </c>
      <c r="H177" s="210">
        <f>IF(SUM(AE72:$AP72)&gt;=$U177,0,MIN(AD72,$U177-SUM(I177:$T177)))</f>
        <v>0</v>
      </c>
      <c r="I177" s="210">
        <f>IF(SUM(AF72:$AP72)&gt;=$U177,0,MIN(AE72,$U177-SUM(J177:$T177)))</f>
        <v>0</v>
      </c>
      <c r="J177" s="210">
        <f>IF(SUM(AG72:$AP72)&gt;=$U177,0,MIN(AF72,$U177-SUM(K177:$T177)))</f>
        <v>0</v>
      </c>
      <c r="K177" s="210">
        <f>IF(SUM(AH72:$AP72)&gt;=$U177,0,MIN(AG72,$U177-SUM(L177:$T177)))</f>
        <v>0</v>
      </c>
      <c r="L177" s="210">
        <f>IF(SUM(AI72:$AP72)&gt;=$U177,0,MIN(AH72,$U177-SUM(M177:$T177)))</f>
        <v>0</v>
      </c>
      <c r="M177" s="210">
        <f>IF(SUM(AJ72:$AP72)&gt;=$U177,0,MIN(AI72,$U177-SUM(N177:$T177)))</f>
        <v>0</v>
      </c>
      <c r="N177" s="210">
        <f>IF(SUM(AK72:$AP72)&gt;=$U177,0,MIN(AJ72,$U177-SUM(O177:$T177)))</f>
        <v>0</v>
      </c>
      <c r="O177" s="210">
        <f>IF(SUM(AL72:$AP72)&gt;=$U177,0,MIN(AK72,$U177-SUM(P177:$T177)))</f>
        <v>0</v>
      </c>
      <c r="P177" s="210">
        <f>IF(SUM(AM72:$AP72)&gt;=$U177,0,MIN(AL72,$U177-SUM(Q177:$T177)))</f>
        <v>0</v>
      </c>
      <c r="Q177" s="210">
        <f>IF(SUM(AN72:$AP72)&gt;=$U177,0,MIN(AM72,$U177-SUM(R177:$T177)))</f>
        <v>0</v>
      </c>
      <c r="R177" s="210">
        <f>IF(SUM(AO72:$AP72)&gt;=$U177,0,MIN(AN72,$U177-SUM(S177:$T177)))</f>
        <v>0</v>
      </c>
      <c r="S177" s="210">
        <f>IF(SUM(AP72:$AP72)&gt;=$U177,0,MIN(AO72,$U177-SUM(T177:$T177)))</f>
        <v>0</v>
      </c>
      <c r="T177" s="210">
        <f t="shared" si="225"/>
        <v>0</v>
      </c>
      <c r="U177" s="210">
        <f t="shared" si="226"/>
        <v>0</v>
      </c>
      <c r="V177" s="210"/>
      <c r="Y177" s="209" t="s">
        <v>136</v>
      </c>
      <c r="Z177" s="210">
        <f t="shared" si="240"/>
        <v>0</v>
      </c>
      <c r="AA177" s="210">
        <f t="shared" si="241"/>
        <v>0</v>
      </c>
      <c r="AB177" s="210">
        <f t="shared" si="242"/>
        <v>0</v>
      </c>
      <c r="AC177" s="210">
        <f t="shared" si="243"/>
        <v>0</v>
      </c>
      <c r="AD177" s="210">
        <f t="shared" si="244"/>
        <v>0</v>
      </c>
      <c r="AE177" s="210">
        <f t="shared" si="245"/>
        <v>0</v>
      </c>
      <c r="AF177" s="210">
        <f t="shared" si="246"/>
        <v>0</v>
      </c>
      <c r="AG177" s="210">
        <f t="shared" si="247"/>
        <v>0</v>
      </c>
      <c r="AH177" s="210">
        <f t="shared" si="248"/>
        <v>0</v>
      </c>
      <c r="AI177" s="210">
        <f t="shared" si="249"/>
        <v>0</v>
      </c>
      <c r="AJ177" s="210">
        <f t="shared" si="250"/>
        <v>0</v>
      </c>
      <c r="AK177" s="210">
        <f>IF(SUM(Y107:$AP107)&gt;=$BD177,0,MIN(X107,$BD177-SUM(AL177:$BC177)))/12</f>
        <v>0</v>
      </c>
      <c r="AL177" s="210">
        <f>IF(SUM(Z107:$AP107)&gt;=$BD177,0,MIN(Y107,$BD177-SUM(AM177:$BC177)))</f>
        <v>0</v>
      </c>
      <c r="AM177" s="210">
        <f>IF(SUM(AA107:$AP107)&gt;=$BD177,0,MIN(Z107,$BD177-SUM(AN177:$BC177)))</f>
        <v>0</v>
      </c>
      <c r="AN177" s="210">
        <f>IF(SUM(AB107:$AP107)&gt;=$BD177,0,MIN(AA107,$BD177-SUM(AO177:$BC177)))</f>
        <v>0</v>
      </c>
      <c r="AO177" s="210">
        <f>IF(SUM(AC107:$AP107)&gt;=$BD177,0,MIN(AB107,$BD177-SUM(AP177:$BC177)))</f>
        <v>0</v>
      </c>
      <c r="AP177" s="210">
        <f>IF(SUM(AD107:$AP107)&gt;=$BD177,0,MIN(AC107,$BD177-SUM(AQ177:$BC177)))</f>
        <v>0</v>
      </c>
      <c r="AQ177" s="210">
        <f>IF(SUM(AE107:$AP107)&gt;=$BD177,0,MIN(AD107,$BD177-SUM(AR177:$BC177)))</f>
        <v>0</v>
      </c>
      <c r="AR177" s="210">
        <f>IF(SUM(AF107:$AP107)&gt;=$BD177,0,MIN(AE107,$BD177-SUM(AS177:$BC177)))</f>
        <v>0</v>
      </c>
      <c r="AS177" s="210">
        <f>IF(SUM(AG107:$AP107)&gt;=$BD177,0,MIN(AF107,$BD177-SUM(AT177:$BC177)))</f>
        <v>0</v>
      </c>
      <c r="AT177" s="210">
        <f>IF(SUM(AH107:$AP107)&gt;=$BD177,0,MIN(AG107,$BD177-SUM(AU177:$BC177)))</f>
        <v>0</v>
      </c>
      <c r="AU177" s="210">
        <f>IF(SUM(AI107:$AP107)&gt;=$BD177,0,MIN(AH107,$BD177-SUM(AV177:$BC177)))</f>
        <v>0</v>
      </c>
      <c r="AV177" s="210">
        <f>IF(SUM(AJ107:$AP107)&gt;=$BD177,0,MIN(AI107,$BD177-SUM(AW177:$BC177)))</f>
        <v>0</v>
      </c>
      <c r="AW177" s="210">
        <f>IF(SUM(AK107:$AP107)&gt;=$BD177,0,MIN(AJ107,$BD177-SUM(AX177:$BC177)))</f>
        <v>0</v>
      </c>
      <c r="AX177" s="210">
        <f>IF(SUM(AL107:$AP107)&gt;=$BD177,0,MIN(AK107,$BD177-SUM(AY177:$BC177)))</f>
        <v>0</v>
      </c>
      <c r="AY177" s="210">
        <f>IF(SUM(AM107:$AP107)&gt;=$BD177,0,MIN(AL107,$BD177-SUM(AZ177:$BC177)))</f>
        <v>0</v>
      </c>
      <c r="AZ177" s="210">
        <f>IF(SUM(AN107:$AP107)&gt;=$BD177,0,MIN(AM107,$BD177-SUM(BA177:$BC177)))</f>
        <v>0</v>
      </c>
      <c r="BA177" s="210">
        <f>IF(SUM(AO107:$AP107)&gt;=$BD177,0,MIN(AN107,$BD177-SUM(BB177:$BC177)))</f>
        <v>0</v>
      </c>
      <c r="BB177" s="210">
        <f>IF(SUM(AP107:$AP107)&gt;=$BD177,0,MIN(AO107,$BD177-SUM(BC177:$BC177)))</f>
        <v>0</v>
      </c>
      <c r="BC177" s="210">
        <f t="shared" si="238"/>
        <v>0</v>
      </c>
      <c r="BD177" s="210">
        <f t="shared" si="239"/>
        <v>0</v>
      </c>
    </row>
    <row r="178" spans="1:56">
      <c r="A178" s="209" t="s">
        <v>138</v>
      </c>
      <c r="B178" s="210">
        <f>IF(SUM(Y73:$AP73)&gt;=$U178,0,MIN(X73,$U178-SUM(C178:$T178)))</f>
        <v>0</v>
      </c>
      <c r="C178" s="210">
        <f>IF(SUM(Z73:$AP73)&gt;=$U178,0,MIN(Y73,$U178-SUM(D178:$T178)))</f>
        <v>0</v>
      </c>
      <c r="D178" s="210">
        <f>IF(SUM(AA73:$AP73)&gt;=$U178,0,MIN(Z73,$U178-SUM(E178:$T178)))</f>
        <v>0</v>
      </c>
      <c r="E178" s="210">
        <f>IF(SUM(AB73:$AP73)&gt;=$U178,0,MIN(AA73,$U178-SUM(F178:$T178)))</f>
        <v>0</v>
      </c>
      <c r="F178" s="210">
        <f>IF(SUM(AC73:$AP73)&gt;=$U178,0,MIN(AB73,$U178-SUM(G178:$T178)))</f>
        <v>0</v>
      </c>
      <c r="G178" s="210">
        <f>IF(SUM(AD73:$AP73)&gt;=$U178,0,MIN(AC73,$U178-SUM(H178:$T178)))</f>
        <v>0</v>
      </c>
      <c r="H178" s="210">
        <f>IF(SUM(AE73:$AP73)&gt;=$U178,0,MIN(AD73,$U178-SUM(I178:$T178)))</f>
        <v>0</v>
      </c>
      <c r="I178" s="210">
        <f>IF(SUM(AF73:$AP73)&gt;=$U178,0,MIN(AE73,$U178-SUM(J178:$T178)))</f>
        <v>0</v>
      </c>
      <c r="J178" s="210">
        <f>IF(SUM(AG73:$AP73)&gt;=$U178,0,MIN(AF73,$U178-SUM(K178:$T178)))</f>
        <v>0</v>
      </c>
      <c r="K178" s="210">
        <f>IF(SUM(AH73:$AP73)&gt;=$U178,0,MIN(AG73,$U178-SUM(L178:$T178)))</f>
        <v>0</v>
      </c>
      <c r="L178" s="210">
        <f>IF(SUM(AI73:$AP73)&gt;=$U178,0,MIN(AH73,$U178-SUM(M178:$T178)))</f>
        <v>0</v>
      </c>
      <c r="M178" s="210">
        <f>IF(SUM(AJ73:$AP73)&gt;=$U178,0,MIN(AI73,$U178-SUM(N178:$T178)))</f>
        <v>0</v>
      </c>
      <c r="N178" s="210">
        <f>IF(SUM(AK73:$AP73)&gt;=$U178,0,MIN(AJ73,$U178-SUM(O178:$T178)))</f>
        <v>0</v>
      </c>
      <c r="O178" s="210">
        <f>IF(SUM(AL73:$AP73)&gt;=$U178,0,MIN(AK73,$U178-SUM(P178:$T178)))</f>
        <v>0</v>
      </c>
      <c r="P178" s="210">
        <f>IF(SUM(AM73:$AP73)&gt;=$U178,0,MIN(AL73,$U178-SUM(Q178:$T178)))</f>
        <v>0</v>
      </c>
      <c r="Q178" s="210">
        <f>IF(SUM(AN73:$AP73)&gt;=$U178,0,MIN(AM73,$U178-SUM(R178:$T178)))</f>
        <v>0</v>
      </c>
      <c r="R178" s="210">
        <f>IF(SUM(AO73:$AP73)&gt;=$U178,0,MIN(AN73,$U178-SUM(S178:$T178)))</f>
        <v>0</v>
      </c>
      <c r="S178" s="210">
        <f>IF(SUM(AP73:$AP73)&gt;=$U178,0,MIN(AO73,$U178-SUM(T178:$T178)))</f>
        <v>0</v>
      </c>
      <c r="T178" s="210">
        <f t="shared" si="225"/>
        <v>0</v>
      </c>
      <c r="U178" s="210">
        <f t="shared" si="226"/>
        <v>0</v>
      </c>
      <c r="V178" s="210"/>
      <c r="Y178" s="209" t="s">
        <v>138</v>
      </c>
      <c r="Z178" s="210">
        <f t="shared" si="240"/>
        <v>0</v>
      </c>
      <c r="AA178" s="210">
        <f t="shared" si="241"/>
        <v>0</v>
      </c>
      <c r="AB178" s="210">
        <f t="shared" si="242"/>
        <v>0</v>
      </c>
      <c r="AC178" s="210">
        <f t="shared" si="243"/>
        <v>0</v>
      </c>
      <c r="AD178" s="210">
        <f t="shared" si="244"/>
        <v>0</v>
      </c>
      <c r="AE178" s="210">
        <f t="shared" si="245"/>
        <v>0</v>
      </c>
      <c r="AF178" s="210">
        <f t="shared" si="246"/>
        <v>0</v>
      </c>
      <c r="AG178" s="210">
        <f t="shared" si="247"/>
        <v>0</v>
      </c>
      <c r="AH178" s="210">
        <f t="shared" si="248"/>
        <v>0</v>
      </c>
      <c r="AI178" s="210">
        <f t="shared" si="249"/>
        <v>0</v>
      </c>
      <c r="AJ178" s="210">
        <f t="shared" si="250"/>
        <v>0</v>
      </c>
      <c r="AK178" s="210">
        <f>IF(SUM(Y108:$AP108)&gt;=$BD178,0,MIN(X108,$BD178-SUM(AL178:$BC178)))/12</f>
        <v>0</v>
      </c>
      <c r="AL178" s="210">
        <f>IF(SUM(Z108:$AP108)&gt;=$BD178,0,MIN(Y108,$BD178-SUM(AM178:$BC178)))</f>
        <v>0</v>
      </c>
      <c r="AM178" s="210">
        <f>IF(SUM(AA108:$AP108)&gt;=$BD178,0,MIN(Z108,$BD178-SUM(AN178:$BC178)))</f>
        <v>0</v>
      </c>
      <c r="AN178" s="210">
        <f>IF(SUM(AB108:$AP108)&gt;=$BD178,0,MIN(AA108,$BD178-SUM(AO178:$BC178)))</f>
        <v>0</v>
      </c>
      <c r="AO178" s="210">
        <f>IF(SUM(AC108:$AP108)&gt;=$BD178,0,MIN(AB108,$BD178-SUM(AP178:$BC178)))</f>
        <v>0</v>
      </c>
      <c r="AP178" s="210">
        <f>IF(SUM(AD108:$AP108)&gt;=$BD178,0,MIN(AC108,$BD178-SUM(AQ178:$BC178)))</f>
        <v>0</v>
      </c>
      <c r="AQ178" s="210">
        <f>IF(SUM(AE108:$AP108)&gt;=$BD178,0,MIN(AD108,$BD178-SUM(AR178:$BC178)))</f>
        <v>0</v>
      </c>
      <c r="AR178" s="210">
        <f>IF(SUM(AF108:$AP108)&gt;=$BD178,0,MIN(AE108,$BD178-SUM(AS178:$BC178)))</f>
        <v>0</v>
      </c>
      <c r="AS178" s="210">
        <f>IF(SUM(AG108:$AP108)&gt;=$BD178,0,MIN(AF108,$BD178-SUM(AT178:$BC178)))</f>
        <v>0</v>
      </c>
      <c r="AT178" s="210">
        <f>IF(SUM(AH108:$AP108)&gt;=$BD178,0,MIN(AG108,$BD178-SUM(AU178:$BC178)))</f>
        <v>0</v>
      </c>
      <c r="AU178" s="210">
        <f>IF(SUM(AI108:$AP108)&gt;=$BD178,0,MIN(AH108,$BD178-SUM(AV178:$BC178)))</f>
        <v>0</v>
      </c>
      <c r="AV178" s="210">
        <f>IF(SUM(AJ108:$AP108)&gt;=$BD178,0,MIN(AI108,$BD178-SUM(AW178:$BC178)))</f>
        <v>0</v>
      </c>
      <c r="AW178" s="210">
        <f>IF(SUM(AK108:$AP108)&gt;=$BD178,0,MIN(AJ108,$BD178-SUM(AX178:$BC178)))</f>
        <v>0</v>
      </c>
      <c r="AX178" s="210">
        <f>IF(SUM(AL108:$AP108)&gt;=$BD178,0,MIN(AK108,$BD178-SUM(AY178:$BC178)))</f>
        <v>0</v>
      </c>
      <c r="AY178" s="210">
        <f>IF(SUM(AM108:$AP108)&gt;=$BD178,0,MIN(AL108,$BD178-SUM(AZ178:$BC178)))</f>
        <v>0</v>
      </c>
      <c r="AZ178" s="210">
        <f>IF(SUM(AN108:$AP108)&gt;=$BD178,0,MIN(AM108,$BD178-SUM(BA178:$BC178)))</f>
        <v>0</v>
      </c>
      <c r="BA178" s="210">
        <f>IF(SUM(AO108:$AP108)&gt;=$BD178,0,MIN(AN108,$BD178-SUM(BB178:$BC178)))</f>
        <v>0</v>
      </c>
      <c r="BB178" s="210">
        <f>IF(SUM(AP108:$AP108)&gt;=$BD178,0,MIN(AO108,$BD178-SUM(BC178:$BC178)))</f>
        <v>0</v>
      </c>
      <c r="BC178" s="210">
        <f t="shared" si="238"/>
        <v>0</v>
      </c>
      <c r="BD178" s="210">
        <f t="shared" si="239"/>
        <v>0</v>
      </c>
    </row>
    <row r="179" spans="1:56">
      <c r="A179" s="209" t="s">
        <v>1311</v>
      </c>
      <c r="B179" s="210">
        <f>IF(SUM(Y74:$AP74)&gt;=$U179,0,MIN(X74,$U179-SUM(C179:$T179)))</f>
        <v>0</v>
      </c>
      <c r="C179" s="210">
        <f>IF(SUM(Z74:$AP74)&gt;=$U179,0,MIN(Y74,$U179-SUM(D179:$T179)))</f>
        <v>0</v>
      </c>
      <c r="D179" s="210">
        <f>IF(SUM(AA74:$AP74)&gt;=$U179,0,MIN(Z74,$U179-SUM(E179:$T179)))</f>
        <v>0</v>
      </c>
      <c r="E179" s="210">
        <f>IF(SUM(AB74:$AP74)&gt;=$U179,0,MIN(AA74,$U179-SUM(F179:$T179)))</f>
        <v>0</v>
      </c>
      <c r="F179" s="210">
        <f>IF(SUM(AC74:$AP74)&gt;=$U179,0,MIN(AB74,$U179-SUM(G179:$T179)))</f>
        <v>0</v>
      </c>
      <c r="G179" s="210">
        <f>IF(SUM(AD74:$AP74)&gt;=$U179,0,MIN(AC74,$U179-SUM(H179:$T179)))</f>
        <v>0</v>
      </c>
      <c r="H179" s="210">
        <f>IF(SUM(AE74:$AP74)&gt;=$U179,0,MIN(AD74,$U179-SUM(I179:$T179)))</f>
        <v>0</v>
      </c>
      <c r="I179" s="210">
        <f>IF(SUM(AF74:$AP74)&gt;=$U179,0,MIN(AE74,$U179-SUM(J179:$T179)))</f>
        <v>0</v>
      </c>
      <c r="J179" s="210">
        <f>IF(SUM(AG74:$AP74)&gt;=$U179,0,MIN(AF74,$U179-SUM(K179:$T179)))</f>
        <v>0</v>
      </c>
      <c r="K179" s="210">
        <f>IF(SUM(AH74:$AP74)&gt;=$U179,0,MIN(AG74,$U179-SUM(L179:$T179)))</f>
        <v>0</v>
      </c>
      <c r="L179" s="210">
        <f>IF(SUM(AI74:$AP74)&gt;=$U179,0,MIN(AH74,$U179-SUM(M179:$T179)))</f>
        <v>0</v>
      </c>
      <c r="M179" s="210">
        <f>IF(SUM(AJ74:$AP74)&gt;=$U179,0,MIN(AI74,$U179-SUM(N179:$T179)))</f>
        <v>0</v>
      </c>
      <c r="N179" s="210">
        <f>IF(SUM(AK74:$AP74)&gt;=$U179,0,MIN(AJ74,$U179-SUM(O179:$T179)))</f>
        <v>0</v>
      </c>
      <c r="O179" s="210">
        <f>IF(SUM(AL74:$AP74)&gt;=$U179,0,MIN(AK74,$U179-SUM(P179:$T179)))</f>
        <v>0</v>
      </c>
      <c r="P179" s="210">
        <f>IF(SUM(AM74:$AP74)&gt;=$U179,0,MIN(AL74,$U179-SUM(Q179:$T179)))</f>
        <v>0</v>
      </c>
      <c r="Q179" s="210">
        <f>IF(SUM(AN74:$AP74)&gt;=$U179,0,MIN(AM74,$U179-SUM(R179:$T179)))</f>
        <v>0</v>
      </c>
      <c r="R179" s="210">
        <f>IF(SUM(AO74:$AP74)&gt;=$U179,0,MIN(AN74,$U179-SUM(S179:$T179)))</f>
        <v>0</v>
      </c>
      <c r="S179" s="210">
        <f>IF(SUM(AP74:$AP74)&gt;=$U179,0,MIN(AO74,$U179-SUM(T179:$T179)))</f>
        <v>0</v>
      </c>
      <c r="T179" s="210">
        <f t="shared" si="225"/>
        <v>0</v>
      </c>
      <c r="U179" s="210">
        <f t="shared" si="226"/>
        <v>0</v>
      </c>
      <c r="V179" s="210"/>
      <c r="Y179" s="209" t="s">
        <v>1311</v>
      </c>
      <c r="Z179" s="210">
        <f t="shared" si="240"/>
        <v>0</v>
      </c>
      <c r="AA179" s="210">
        <f t="shared" si="241"/>
        <v>0</v>
      </c>
      <c r="AB179" s="210">
        <f t="shared" si="242"/>
        <v>0</v>
      </c>
      <c r="AC179" s="210">
        <f t="shared" si="243"/>
        <v>0</v>
      </c>
      <c r="AD179" s="210">
        <f t="shared" si="244"/>
        <v>0</v>
      </c>
      <c r="AE179" s="210">
        <f t="shared" si="245"/>
        <v>0</v>
      </c>
      <c r="AF179" s="210">
        <f t="shared" si="246"/>
        <v>0</v>
      </c>
      <c r="AG179" s="210">
        <f t="shared" si="247"/>
        <v>0</v>
      </c>
      <c r="AH179" s="210">
        <f t="shared" si="248"/>
        <v>0</v>
      </c>
      <c r="AI179" s="210">
        <f t="shared" si="249"/>
        <v>0</v>
      </c>
      <c r="AJ179" s="210">
        <f t="shared" si="250"/>
        <v>0</v>
      </c>
      <c r="AK179" s="210">
        <f>IF(SUM(Y109:$AP109)&gt;=$BD179,0,MIN(X109,$BD179-SUM(AL179:$BC179)))/12</f>
        <v>0</v>
      </c>
      <c r="AL179" s="210">
        <f>IF(SUM(Z109:$AP109)&gt;=$BD179,0,MIN(Y109,$BD179-SUM(AM179:$BC179)))</f>
        <v>0</v>
      </c>
      <c r="AM179" s="210">
        <f>IF(SUM(AA109:$AP109)&gt;=$BD179,0,MIN(Z109,$BD179-SUM(AN179:$BC179)))</f>
        <v>0</v>
      </c>
      <c r="AN179" s="210">
        <f>IF(SUM(AB109:$AP109)&gt;=$BD179,0,MIN(AA109,$BD179-SUM(AO179:$BC179)))</f>
        <v>0</v>
      </c>
      <c r="AO179" s="210">
        <f>IF(SUM(AC109:$AP109)&gt;=$BD179,0,MIN(AB109,$BD179-SUM(AP179:$BC179)))</f>
        <v>0</v>
      </c>
      <c r="AP179" s="210">
        <f>IF(SUM(AD109:$AP109)&gt;=$BD179,0,MIN(AC109,$BD179-SUM(AQ179:$BC179)))</f>
        <v>0</v>
      </c>
      <c r="AQ179" s="210">
        <f>IF(SUM(AE109:$AP109)&gt;=$BD179,0,MIN(AD109,$BD179-SUM(AR179:$BC179)))</f>
        <v>0</v>
      </c>
      <c r="AR179" s="210">
        <f>IF(SUM(AF109:$AP109)&gt;=$BD179,0,MIN(AE109,$BD179-SUM(AS179:$BC179)))</f>
        <v>0</v>
      </c>
      <c r="AS179" s="210">
        <f>IF(SUM(AG109:$AP109)&gt;=$BD179,0,MIN(AF109,$BD179-SUM(AT179:$BC179)))</f>
        <v>0</v>
      </c>
      <c r="AT179" s="210">
        <f>IF(SUM(AH109:$AP109)&gt;=$BD179,0,MIN(AG109,$BD179-SUM(AU179:$BC179)))</f>
        <v>0</v>
      </c>
      <c r="AU179" s="210">
        <f>IF(SUM(AI109:$AP109)&gt;=$BD179,0,MIN(AH109,$BD179-SUM(AV179:$BC179)))</f>
        <v>0</v>
      </c>
      <c r="AV179" s="210">
        <f>IF(SUM(AJ109:$AP109)&gt;=$BD179,0,MIN(AI109,$BD179-SUM(AW179:$BC179)))</f>
        <v>0</v>
      </c>
      <c r="AW179" s="210">
        <f>IF(SUM(AK109:$AP109)&gt;=$BD179,0,MIN(AJ109,$BD179-SUM(AX179:$BC179)))</f>
        <v>0</v>
      </c>
      <c r="AX179" s="210">
        <f>IF(SUM(AL109:$AP109)&gt;=$BD179,0,MIN(AK109,$BD179-SUM(AY179:$BC179)))</f>
        <v>0</v>
      </c>
      <c r="AY179" s="210">
        <f>IF(SUM(AM109:$AP109)&gt;=$BD179,0,MIN(AL109,$BD179-SUM(AZ179:$BC179)))</f>
        <v>0</v>
      </c>
      <c r="AZ179" s="210">
        <f>IF(SUM(AN109:$AP109)&gt;=$BD179,0,MIN(AM109,$BD179-SUM(BA179:$BC179)))</f>
        <v>0</v>
      </c>
      <c r="BA179" s="210">
        <f>IF(SUM(AO109:$AP109)&gt;=$BD179,0,MIN(AN109,$BD179-SUM(BB179:$BC179)))</f>
        <v>0</v>
      </c>
      <c r="BB179" s="210">
        <f>IF(SUM(AP109:$AP109)&gt;=$BD179,0,MIN(AO109,$BD179-SUM(BC179:$BC179)))</f>
        <v>0</v>
      </c>
      <c r="BC179" s="210">
        <f t="shared" si="238"/>
        <v>0</v>
      </c>
      <c r="BD179" s="210">
        <f t="shared" si="239"/>
        <v>0</v>
      </c>
    </row>
    <row r="180" spans="1:56">
      <c r="A180" s="209" t="s">
        <v>918</v>
      </c>
      <c r="B180" s="210">
        <f>IF(SUM(Y75:$AP75)&gt;=$U180,0,MIN(X75,$U180-SUM(C180:$T180)))</f>
        <v>0</v>
      </c>
      <c r="C180" s="210">
        <f>IF(SUM(Z75:$AP75)&gt;=$U180,0,MIN(Y75,$U180-SUM(D180:$T180)))</f>
        <v>0</v>
      </c>
      <c r="D180" s="210">
        <f>IF(SUM(AA75:$AP75)&gt;=$U180,0,MIN(Z75,$U180-SUM(E180:$T180)))</f>
        <v>0</v>
      </c>
      <c r="E180" s="210">
        <f>IF(SUM(AB75:$AP75)&gt;=$U180,0,MIN(AA75,$U180-SUM(F180:$T180)))</f>
        <v>0</v>
      </c>
      <c r="F180" s="210">
        <f>IF(SUM(AC75:$AP75)&gt;=$U180,0,MIN(AB75,$U180-SUM(G180:$T180)))</f>
        <v>0</v>
      </c>
      <c r="G180" s="210">
        <f>IF(SUM(AD75:$AP75)&gt;=$U180,0,MIN(AC75,$U180-SUM(H180:$T180)))</f>
        <v>0</v>
      </c>
      <c r="H180" s="210">
        <f>IF(SUM(AE75:$AP75)&gt;=$U180,0,MIN(AD75,$U180-SUM(I180:$T180)))</f>
        <v>0</v>
      </c>
      <c r="I180" s="210">
        <f>IF(SUM(AF75:$AP75)&gt;=$U180,0,MIN(AE75,$U180-SUM(J180:$T180)))</f>
        <v>0</v>
      </c>
      <c r="J180" s="210">
        <f>IF(SUM(AG75:$AP75)&gt;=$U180,0,MIN(AF75,$U180-SUM(K180:$T180)))</f>
        <v>0</v>
      </c>
      <c r="K180" s="210">
        <f>IF(SUM(AH75:$AP75)&gt;=$U180,0,MIN(AG75,$U180-SUM(L180:$T180)))</f>
        <v>0</v>
      </c>
      <c r="L180" s="210">
        <f>IF(SUM(AI75:$AP75)&gt;=$U180,0,MIN(AH75,$U180-SUM(M180:$T180)))</f>
        <v>0</v>
      </c>
      <c r="M180" s="210">
        <f>IF(SUM(AJ75:$AP75)&gt;=$U180,0,MIN(AI75,$U180-SUM(N180:$T180)))</f>
        <v>0</v>
      </c>
      <c r="N180" s="210">
        <f>IF(SUM(AK75:$AP75)&gt;=$U180,0,MIN(AJ75,$U180-SUM(O180:$T180)))</f>
        <v>0</v>
      </c>
      <c r="O180" s="210">
        <f>IF(SUM(AL75:$AP75)&gt;=$U180,0,MIN(AK75,$U180-SUM(P180:$T180)))</f>
        <v>0</v>
      </c>
      <c r="P180" s="210">
        <f>IF(SUM(AM75:$AP75)&gt;=$U180,0,MIN(AL75,$U180-SUM(Q180:$T180)))</f>
        <v>0</v>
      </c>
      <c r="Q180" s="210">
        <f>IF(SUM(AN75:$AP75)&gt;=$U180,0,MIN(AM75,$U180-SUM(R180:$T180)))</f>
        <v>0</v>
      </c>
      <c r="R180" s="210">
        <f>IF(SUM(AO75:$AP75)&gt;=$U180,0,MIN(AN75,$U180-SUM(S180:$T180)))</f>
        <v>0</v>
      </c>
      <c r="S180" s="210">
        <f>IF(SUM(AP75:$AP75)&gt;=$U180,0,MIN(AO75,$U180-SUM(T180:$T180)))</f>
        <v>0</v>
      </c>
      <c r="T180" s="210">
        <f t="shared" si="225"/>
        <v>0</v>
      </c>
      <c r="U180" s="210">
        <f t="shared" si="226"/>
        <v>0</v>
      </c>
      <c r="V180" s="210"/>
      <c r="Y180" s="209" t="s">
        <v>918</v>
      </c>
      <c r="Z180" s="210">
        <f t="shared" si="240"/>
        <v>0</v>
      </c>
      <c r="AA180" s="210">
        <f t="shared" si="241"/>
        <v>0</v>
      </c>
      <c r="AB180" s="210">
        <f t="shared" si="242"/>
        <v>0</v>
      </c>
      <c r="AC180" s="210">
        <f t="shared" si="243"/>
        <v>0</v>
      </c>
      <c r="AD180" s="210">
        <f t="shared" si="244"/>
        <v>0</v>
      </c>
      <c r="AE180" s="210">
        <f t="shared" si="245"/>
        <v>0</v>
      </c>
      <c r="AF180" s="210">
        <f t="shared" si="246"/>
        <v>0</v>
      </c>
      <c r="AG180" s="210">
        <f t="shared" si="247"/>
        <v>0</v>
      </c>
      <c r="AH180" s="210">
        <f t="shared" si="248"/>
        <v>0</v>
      </c>
      <c r="AI180" s="210">
        <f t="shared" si="249"/>
        <v>0</v>
      </c>
      <c r="AJ180" s="210">
        <f t="shared" si="250"/>
        <v>0</v>
      </c>
      <c r="AK180" s="210">
        <f>IF(SUM(Y110:$AP110)&gt;=$BD180,0,MIN(X110,$BD180-SUM(AL180:$BC180)))/12</f>
        <v>0</v>
      </c>
      <c r="AL180" s="210">
        <f>IF(SUM(Z110:$AP110)&gt;=$BD180,0,MIN(Y110,$BD180-SUM(AM180:$BC180)))</f>
        <v>0</v>
      </c>
      <c r="AM180" s="210">
        <f>IF(SUM(AA110:$AP110)&gt;=$BD180,0,MIN(Z110,$BD180-SUM(AN180:$BC180)))</f>
        <v>0</v>
      </c>
      <c r="AN180" s="210">
        <f>IF(SUM(AB110:$AP110)&gt;=$BD180,0,MIN(AA110,$BD180-SUM(AO180:$BC180)))</f>
        <v>0</v>
      </c>
      <c r="AO180" s="210">
        <f>IF(SUM(AC110:$AP110)&gt;=$BD180,0,MIN(AB110,$BD180-SUM(AP180:$BC180)))</f>
        <v>0</v>
      </c>
      <c r="AP180" s="210">
        <f>IF(SUM(AD110:$AP110)&gt;=$BD180,0,MIN(AC110,$BD180-SUM(AQ180:$BC180)))</f>
        <v>0</v>
      </c>
      <c r="AQ180" s="210">
        <f>IF(SUM(AE110:$AP110)&gt;=$BD180,0,MIN(AD110,$BD180-SUM(AR180:$BC180)))</f>
        <v>0</v>
      </c>
      <c r="AR180" s="210">
        <f>IF(SUM(AF110:$AP110)&gt;=$BD180,0,MIN(AE110,$BD180-SUM(AS180:$BC180)))</f>
        <v>0</v>
      </c>
      <c r="AS180" s="210">
        <f>IF(SUM(AG110:$AP110)&gt;=$BD180,0,MIN(AF110,$BD180-SUM(AT180:$BC180)))</f>
        <v>0</v>
      </c>
      <c r="AT180" s="210">
        <f>IF(SUM(AH110:$AP110)&gt;=$BD180,0,MIN(AG110,$BD180-SUM(AU180:$BC180)))</f>
        <v>0</v>
      </c>
      <c r="AU180" s="210">
        <f>IF(SUM(AI110:$AP110)&gt;=$BD180,0,MIN(AH110,$BD180-SUM(AV180:$BC180)))</f>
        <v>0</v>
      </c>
      <c r="AV180" s="210">
        <f>IF(SUM(AJ110:$AP110)&gt;=$BD180,0,MIN(AI110,$BD180-SUM(AW180:$BC180)))</f>
        <v>0</v>
      </c>
      <c r="AW180" s="210">
        <f>IF(SUM(AK110:$AP110)&gt;=$BD180,0,MIN(AJ110,$BD180-SUM(AX180:$BC180)))</f>
        <v>0</v>
      </c>
      <c r="AX180" s="210">
        <f>IF(SUM(AL110:$AP110)&gt;=$BD180,0,MIN(AK110,$BD180-SUM(AY180:$BC180)))</f>
        <v>0</v>
      </c>
      <c r="AY180" s="210">
        <f>IF(SUM(AM110:$AP110)&gt;=$BD180,0,MIN(AL110,$BD180-SUM(AZ180:$BC180)))</f>
        <v>0</v>
      </c>
      <c r="AZ180" s="210">
        <f>IF(SUM(AN110:$AP110)&gt;=$BD180,0,MIN(AM110,$BD180-SUM(BA180:$BC180)))</f>
        <v>0</v>
      </c>
      <c r="BA180" s="210">
        <f>IF(SUM(AO110:$AP110)&gt;=$BD180,0,MIN(AN110,$BD180-SUM(BB180:$BC180)))</f>
        <v>0</v>
      </c>
      <c r="BB180" s="210">
        <f>IF(SUM(AP110:$AP110)&gt;=$BD180,0,MIN(AO110,$BD180-SUM(BC180:$BC180)))</f>
        <v>0</v>
      </c>
      <c r="BC180" s="210">
        <f t="shared" si="238"/>
        <v>0</v>
      </c>
      <c r="BD180" s="210">
        <f t="shared" si="239"/>
        <v>0</v>
      </c>
    </row>
    <row r="181" spans="1:56">
      <c r="W181" s="210"/>
    </row>
    <row r="182" spans="1:56">
      <c r="B182" s="97" t="s">
        <v>1342</v>
      </c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</row>
    <row r="183" spans="1:56">
      <c r="B183" s="92">
        <v>1990</v>
      </c>
      <c r="C183" s="92">
        <v>1991</v>
      </c>
      <c r="D183" s="92">
        <v>1992</v>
      </c>
      <c r="E183" s="92">
        <v>1993</v>
      </c>
      <c r="F183" s="92">
        <v>1994</v>
      </c>
      <c r="G183" s="92">
        <v>1995</v>
      </c>
      <c r="H183" s="92">
        <v>1996</v>
      </c>
      <c r="I183" s="92">
        <v>1997</v>
      </c>
      <c r="J183" s="92">
        <v>1998</v>
      </c>
      <c r="K183" s="92">
        <v>1999</v>
      </c>
      <c r="L183" s="92">
        <v>2000</v>
      </c>
      <c r="M183" s="92">
        <v>2001</v>
      </c>
      <c r="N183" s="92">
        <v>2002</v>
      </c>
      <c r="O183" s="92">
        <v>2003</v>
      </c>
      <c r="P183" s="92">
        <v>2004</v>
      </c>
      <c r="Q183" s="92">
        <v>2005</v>
      </c>
      <c r="R183" s="92">
        <v>2006</v>
      </c>
      <c r="S183" s="92">
        <v>2007</v>
      </c>
      <c r="T183" s="92">
        <v>2008</v>
      </c>
      <c r="U183" s="92">
        <v>2009</v>
      </c>
      <c r="V183" s="92">
        <v>2010</v>
      </c>
      <c r="W183" s="92">
        <v>2011</v>
      </c>
      <c r="X183" s="92">
        <v>2012</v>
      </c>
      <c r="Y183" s="92">
        <v>2013</v>
      </c>
      <c r="Z183" s="92">
        <v>2014</v>
      </c>
      <c r="AA183" s="92">
        <v>2015</v>
      </c>
      <c r="AB183" s="92">
        <v>2016</v>
      </c>
      <c r="AC183" s="92">
        <v>2017</v>
      </c>
      <c r="AD183" s="92">
        <v>2018</v>
      </c>
      <c r="AE183" s="92">
        <v>2019</v>
      </c>
      <c r="AF183" s="92" t="s">
        <v>1341</v>
      </c>
    </row>
    <row r="184" spans="1:56">
      <c r="A184" s="41" t="s">
        <v>80</v>
      </c>
      <c r="B184" s="210">
        <f t="shared" ref="B184:L184" si="251">SUM(B185:B215)</f>
        <v>12.205</v>
      </c>
      <c r="C184" s="210">
        <f t="shared" si="251"/>
        <v>12.205</v>
      </c>
      <c r="D184" s="210">
        <f t="shared" si="251"/>
        <v>12.205</v>
      </c>
      <c r="E184" s="210">
        <f t="shared" si="251"/>
        <v>12.205</v>
      </c>
      <c r="F184" s="210">
        <f t="shared" si="251"/>
        <v>12.205</v>
      </c>
      <c r="G184" s="210">
        <f t="shared" si="251"/>
        <v>12.205</v>
      </c>
      <c r="H184" s="210">
        <f t="shared" si="251"/>
        <v>12.205</v>
      </c>
      <c r="I184" s="210">
        <f t="shared" si="251"/>
        <v>12.205</v>
      </c>
      <c r="J184" s="210">
        <f t="shared" si="251"/>
        <v>12.205</v>
      </c>
      <c r="K184" s="210">
        <f t="shared" si="251"/>
        <v>12.205</v>
      </c>
      <c r="L184" s="210">
        <f t="shared" si="251"/>
        <v>12.205</v>
      </c>
      <c r="M184" s="210">
        <f t="shared" ref="M184:AF184" si="252">SUM(M185:M215)</f>
        <v>12.205</v>
      </c>
      <c r="N184" s="210">
        <f t="shared" si="252"/>
        <v>4.404</v>
      </c>
      <c r="O184" s="210">
        <f t="shared" si="252"/>
        <v>3.434</v>
      </c>
      <c r="P184" s="210">
        <f t="shared" si="252"/>
        <v>3.434</v>
      </c>
      <c r="Q184" s="210">
        <f t="shared" si="252"/>
        <v>6.664</v>
      </c>
      <c r="R184" s="210">
        <f t="shared" si="252"/>
        <v>3.434</v>
      </c>
      <c r="S184" s="210">
        <f t="shared" si="252"/>
        <v>3.434</v>
      </c>
      <c r="T184" s="210">
        <f t="shared" si="252"/>
        <v>10.434</v>
      </c>
      <c r="U184" s="210">
        <f t="shared" si="252"/>
        <v>3.434</v>
      </c>
      <c r="V184" s="210">
        <f t="shared" si="252"/>
        <v>3.434</v>
      </c>
      <c r="W184" s="210">
        <f t="shared" si="252"/>
        <v>3.43400000000001</v>
      </c>
      <c r="X184" s="210">
        <f t="shared" si="252"/>
        <v>0</v>
      </c>
      <c r="Y184" s="210">
        <f t="shared" si="252"/>
        <v>0</v>
      </c>
      <c r="Z184" s="210">
        <f t="shared" si="252"/>
        <v>0</v>
      </c>
      <c r="AA184" s="210">
        <f t="shared" si="252"/>
        <v>0</v>
      </c>
      <c r="AB184" s="210">
        <f t="shared" si="252"/>
        <v>0</v>
      </c>
      <c r="AC184" s="210">
        <f t="shared" si="252"/>
        <v>0</v>
      </c>
      <c r="AD184" s="210">
        <f t="shared" si="252"/>
        <v>0</v>
      </c>
      <c r="AE184" s="210">
        <f t="shared" si="252"/>
        <v>0</v>
      </c>
      <c r="AF184" s="210">
        <f t="shared" si="252"/>
        <v>1920</v>
      </c>
    </row>
    <row r="185" spans="1:56">
      <c r="A185" s="44" t="s">
        <v>82</v>
      </c>
      <c r="B185" s="210">
        <f t="shared" ref="B185:B215" si="253">Z150</f>
        <v>1.83333333333333</v>
      </c>
      <c r="C185" s="210">
        <f t="shared" ref="C185:C215" si="254">AA150</f>
        <v>1.83333333333333</v>
      </c>
      <c r="D185" s="210">
        <f t="shared" ref="D185:D215" si="255">AB150</f>
        <v>1.83333333333333</v>
      </c>
      <c r="E185" s="210">
        <f t="shared" ref="E185:E215" si="256">AC150</f>
        <v>1.83333333333333</v>
      </c>
      <c r="F185" s="210">
        <f t="shared" ref="F185:F215" si="257">AD150</f>
        <v>1.83333333333333</v>
      </c>
      <c r="G185" s="210">
        <f t="shared" ref="G185:G215" si="258">AE150</f>
        <v>1.83333333333333</v>
      </c>
      <c r="H185" s="210">
        <f t="shared" ref="H185:H215" si="259">AF150</f>
        <v>1.83333333333333</v>
      </c>
      <c r="I185" s="210">
        <f t="shared" ref="I185:I215" si="260">AG150</f>
        <v>1.83333333333333</v>
      </c>
      <c r="J185" s="210">
        <f t="shared" ref="J185:J215" si="261">AH150</f>
        <v>1.83333333333333</v>
      </c>
      <c r="K185" s="210">
        <f t="shared" ref="K185:K215" si="262">AI150</f>
        <v>1.83333333333333</v>
      </c>
      <c r="L185" s="210">
        <f t="shared" ref="L185:L215" si="263">AJ150</f>
        <v>1.83333333333333</v>
      </c>
      <c r="M185" s="210">
        <f t="shared" ref="M185:M215" si="264">AK150+B150</f>
        <v>1.83333333333333</v>
      </c>
      <c r="N185" s="210">
        <f t="shared" ref="N185:N215" si="265">AL150+C150</f>
        <v>0</v>
      </c>
      <c r="O185" s="210">
        <f t="shared" ref="O185:O215" si="266">AM150+D150</f>
        <v>0</v>
      </c>
      <c r="P185" s="210">
        <f t="shared" ref="P185:P215" si="267">AN150+E150</f>
        <v>0</v>
      </c>
      <c r="Q185" s="210">
        <f t="shared" ref="Q185:Q215" si="268">AO150+F150</f>
        <v>0</v>
      </c>
      <c r="R185" s="210">
        <f t="shared" ref="R185:R215" si="269">AP150+G150</f>
        <v>0</v>
      </c>
      <c r="S185" s="210">
        <f t="shared" ref="S185:S215" si="270">AQ150+H150</f>
        <v>0</v>
      </c>
      <c r="T185" s="210">
        <f t="shared" ref="T185:T215" si="271">AR150+I150</f>
        <v>0</v>
      </c>
      <c r="U185" s="210">
        <f t="shared" ref="U185:U215" si="272">AS150+J150</f>
        <v>0</v>
      </c>
      <c r="V185" s="210">
        <f t="shared" ref="V185:V215" si="273">AT150+K150</f>
        <v>0</v>
      </c>
      <c r="W185" s="210">
        <f t="shared" ref="W185:W215" si="274">AU150+L150</f>
        <v>0</v>
      </c>
      <c r="X185" s="210">
        <f t="shared" ref="X185:X215" si="275">AV150+M150</f>
        <v>0</v>
      </c>
      <c r="Y185" s="210">
        <f t="shared" ref="Y185:Y215" si="276">AW150+N150</f>
        <v>0</v>
      </c>
      <c r="Z185" s="210">
        <f t="shared" ref="Z185:Z215" si="277">AX150+O150</f>
        <v>0</v>
      </c>
      <c r="AA185" s="210">
        <f t="shared" ref="AA185:AA215" si="278">AY150+P150</f>
        <v>0</v>
      </c>
      <c r="AB185" s="210">
        <f t="shared" ref="AB185:AB215" si="279">AZ150+Q150</f>
        <v>0</v>
      </c>
      <c r="AC185" s="210">
        <f t="shared" ref="AC185:AC215" si="280">BA150+R150</f>
        <v>0</v>
      </c>
      <c r="AD185" s="210">
        <f t="shared" ref="AD185:AD215" si="281">BB150+S150</f>
        <v>0</v>
      </c>
      <c r="AE185" s="210">
        <f t="shared" ref="AE185:AE215" si="282">BC150+T150</f>
        <v>0</v>
      </c>
      <c r="AF185" s="210">
        <f t="shared" ref="AF185:AF215" si="283">(U150+BD150)*10</f>
        <v>220</v>
      </c>
    </row>
    <row r="186" spans="1:56">
      <c r="A186" s="44" t="s">
        <v>84</v>
      </c>
      <c r="B186" s="210">
        <f t="shared" si="253"/>
        <v>1.5</v>
      </c>
      <c r="C186" s="210">
        <f t="shared" si="254"/>
        <v>1.5</v>
      </c>
      <c r="D186" s="210">
        <f t="shared" si="255"/>
        <v>1.5</v>
      </c>
      <c r="E186" s="210">
        <f t="shared" si="256"/>
        <v>1.5</v>
      </c>
      <c r="F186" s="210">
        <f t="shared" si="257"/>
        <v>1.5</v>
      </c>
      <c r="G186" s="210">
        <f t="shared" si="258"/>
        <v>1.5</v>
      </c>
      <c r="H186" s="210">
        <f t="shared" si="259"/>
        <v>1.5</v>
      </c>
      <c r="I186" s="210">
        <f t="shared" si="260"/>
        <v>1.5</v>
      </c>
      <c r="J186" s="210">
        <f t="shared" si="261"/>
        <v>1.5</v>
      </c>
      <c r="K186" s="210">
        <f t="shared" si="262"/>
        <v>1.5</v>
      </c>
      <c r="L186" s="210">
        <f t="shared" si="263"/>
        <v>1.5</v>
      </c>
      <c r="M186" s="210">
        <f t="shared" si="264"/>
        <v>1.5</v>
      </c>
      <c r="N186" s="210">
        <f t="shared" si="265"/>
        <v>0</v>
      </c>
      <c r="O186" s="210">
        <f t="shared" si="266"/>
        <v>0</v>
      </c>
      <c r="P186" s="210">
        <f t="shared" si="267"/>
        <v>0</v>
      </c>
      <c r="Q186" s="210">
        <f t="shared" si="268"/>
        <v>0</v>
      </c>
      <c r="R186" s="210">
        <f t="shared" si="269"/>
        <v>0</v>
      </c>
      <c r="S186" s="210">
        <f t="shared" si="270"/>
        <v>0</v>
      </c>
      <c r="T186" s="210">
        <f t="shared" si="271"/>
        <v>0</v>
      </c>
      <c r="U186" s="210">
        <f t="shared" si="272"/>
        <v>0</v>
      </c>
      <c r="V186" s="210">
        <f t="shared" si="273"/>
        <v>0</v>
      </c>
      <c r="W186" s="210">
        <f t="shared" si="274"/>
        <v>0</v>
      </c>
      <c r="X186" s="210">
        <f t="shared" si="275"/>
        <v>0</v>
      </c>
      <c r="Y186" s="210">
        <f t="shared" si="276"/>
        <v>0</v>
      </c>
      <c r="Z186" s="210">
        <f t="shared" si="277"/>
        <v>0</v>
      </c>
      <c r="AA186" s="210">
        <f t="shared" si="278"/>
        <v>0</v>
      </c>
      <c r="AB186" s="210">
        <f t="shared" si="279"/>
        <v>0</v>
      </c>
      <c r="AC186" s="210">
        <f t="shared" si="280"/>
        <v>0</v>
      </c>
      <c r="AD186" s="210">
        <f t="shared" si="281"/>
        <v>0</v>
      </c>
      <c r="AE186" s="210">
        <f t="shared" si="282"/>
        <v>0</v>
      </c>
      <c r="AF186" s="210">
        <f t="shared" si="283"/>
        <v>180</v>
      </c>
    </row>
    <row r="187" spans="1:56">
      <c r="A187" s="44" t="s">
        <v>86</v>
      </c>
      <c r="B187" s="210">
        <f t="shared" si="253"/>
        <v>0</v>
      </c>
      <c r="C187" s="210">
        <f t="shared" si="254"/>
        <v>0</v>
      </c>
      <c r="D187" s="210">
        <f t="shared" si="255"/>
        <v>0</v>
      </c>
      <c r="E187" s="210">
        <f t="shared" si="256"/>
        <v>0</v>
      </c>
      <c r="F187" s="210">
        <f t="shared" si="257"/>
        <v>0</v>
      </c>
      <c r="G187" s="210">
        <f t="shared" si="258"/>
        <v>0</v>
      </c>
      <c r="H187" s="210">
        <f t="shared" si="259"/>
        <v>0</v>
      </c>
      <c r="I187" s="210">
        <f t="shared" si="260"/>
        <v>0</v>
      </c>
      <c r="J187" s="210">
        <f t="shared" si="261"/>
        <v>0</v>
      </c>
      <c r="K187" s="210">
        <f t="shared" si="262"/>
        <v>0</v>
      </c>
      <c r="L187" s="210">
        <f t="shared" si="263"/>
        <v>0</v>
      </c>
      <c r="M187" s="210">
        <f t="shared" si="264"/>
        <v>0</v>
      </c>
      <c r="N187" s="210">
        <f t="shared" si="265"/>
        <v>0</v>
      </c>
      <c r="O187" s="210">
        <f t="shared" si="266"/>
        <v>0</v>
      </c>
      <c r="P187" s="210">
        <f t="shared" si="267"/>
        <v>0</v>
      </c>
      <c r="Q187" s="210">
        <f t="shared" si="268"/>
        <v>0</v>
      </c>
      <c r="R187" s="210">
        <f t="shared" si="269"/>
        <v>0</v>
      </c>
      <c r="S187" s="210">
        <f t="shared" si="270"/>
        <v>0</v>
      </c>
      <c r="T187" s="210">
        <f t="shared" si="271"/>
        <v>0</v>
      </c>
      <c r="U187" s="210">
        <f t="shared" si="272"/>
        <v>0</v>
      </c>
      <c r="V187" s="210">
        <f t="shared" si="273"/>
        <v>0</v>
      </c>
      <c r="W187" s="210">
        <f t="shared" si="274"/>
        <v>0</v>
      </c>
      <c r="X187" s="210">
        <f t="shared" si="275"/>
        <v>0</v>
      </c>
      <c r="Y187" s="210">
        <f t="shared" si="276"/>
        <v>0</v>
      </c>
      <c r="Z187" s="210">
        <f t="shared" si="277"/>
        <v>0</v>
      </c>
      <c r="AA187" s="210">
        <f t="shared" si="278"/>
        <v>0</v>
      </c>
      <c r="AB187" s="210">
        <f t="shared" si="279"/>
        <v>0</v>
      </c>
      <c r="AC187" s="210">
        <f t="shared" si="280"/>
        <v>0</v>
      </c>
      <c r="AD187" s="210">
        <f t="shared" si="281"/>
        <v>0</v>
      </c>
      <c r="AE187" s="210">
        <f t="shared" si="282"/>
        <v>0</v>
      </c>
      <c r="AF187" s="210">
        <f t="shared" si="283"/>
        <v>0</v>
      </c>
    </row>
    <row r="188" spans="1:56">
      <c r="A188" s="44" t="s">
        <v>88</v>
      </c>
      <c r="B188" s="210">
        <f t="shared" si="253"/>
        <v>0</v>
      </c>
      <c r="C188" s="210">
        <f t="shared" si="254"/>
        <v>0</v>
      </c>
      <c r="D188" s="210">
        <f t="shared" si="255"/>
        <v>0</v>
      </c>
      <c r="E188" s="210">
        <f t="shared" si="256"/>
        <v>0</v>
      </c>
      <c r="F188" s="210">
        <f t="shared" si="257"/>
        <v>0</v>
      </c>
      <c r="G188" s="210">
        <f t="shared" si="258"/>
        <v>0</v>
      </c>
      <c r="H188" s="210">
        <f t="shared" si="259"/>
        <v>0</v>
      </c>
      <c r="I188" s="210">
        <f t="shared" si="260"/>
        <v>0</v>
      </c>
      <c r="J188" s="210">
        <f t="shared" si="261"/>
        <v>0</v>
      </c>
      <c r="K188" s="210">
        <f t="shared" si="262"/>
        <v>0</v>
      </c>
      <c r="L188" s="210">
        <f t="shared" si="263"/>
        <v>0</v>
      </c>
      <c r="M188" s="210">
        <f t="shared" si="264"/>
        <v>0</v>
      </c>
      <c r="N188" s="210">
        <f t="shared" si="265"/>
        <v>0</v>
      </c>
      <c r="O188" s="210">
        <f t="shared" si="266"/>
        <v>0</v>
      </c>
      <c r="P188" s="210">
        <f t="shared" si="267"/>
        <v>0</v>
      </c>
      <c r="Q188" s="210">
        <f t="shared" si="268"/>
        <v>0</v>
      </c>
      <c r="R188" s="210">
        <f t="shared" si="269"/>
        <v>0</v>
      </c>
      <c r="S188" s="210">
        <f t="shared" si="270"/>
        <v>0</v>
      </c>
      <c r="T188" s="210">
        <f t="shared" si="271"/>
        <v>0</v>
      </c>
      <c r="U188" s="210">
        <f t="shared" si="272"/>
        <v>0</v>
      </c>
      <c r="V188" s="210">
        <f t="shared" si="273"/>
        <v>0</v>
      </c>
      <c r="W188" s="210">
        <f t="shared" si="274"/>
        <v>0</v>
      </c>
      <c r="X188" s="210">
        <f t="shared" si="275"/>
        <v>0</v>
      </c>
      <c r="Y188" s="210">
        <f t="shared" si="276"/>
        <v>0</v>
      </c>
      <c r="Z188" s="210">
        <f t="shared" si="277"/>
        <v>0</v>
      </c>
      <c r="AA188" s="210">
        <f t="shared" si="278"/>
        <v>0</v>
      </c>
      <c r="AB188" s="210">
        <f t="shared" si="279"/>
        <v>0</v>
      </c>
      <c r="AC188" s="210">
        <f t="shared" si="280"/>
        <v>0</v>
      </c>
      <c r="AD188" s="210">
        <f t="shared" si="281"/>
        <v>0</v>
      </c>
      <c r="AE188" s="210">
        <f t="shared" si="282"/>
        <v>0</v>
      </c>
      <c r="AF188" s="210">
        <f t="shared" si="283"/>
        <v>0</v>
      </c>
    </row>
    <row r="189" spans="1:56">
      <c r="A189" s="44" t="s">
        <v>90</v>
      </c>
      <c r="B189" s="210">
        <f t="shared" si="253"/>
        <v>0</v>
      </c>
      <c r="C189" s="210">
        <f t="shared" si="254"/>
        <v>0</v>
      </c>
      <c r="D189" s="210">
        <f t="shared" si="255"/>
        <v>0</v>
      </c>
      <c r="E189" s="210">
        <f t="shared" si="256"/>
        <v>0</v>
      </c>
      <c r="F189" s="210">
        <f t="shared" si="257"/>
        <v>0</v>
      </c>
      <c r="G189" s="210">
        <f t="shared" si="258"/>
        <v>0</v>
      </c>
      <c r="H189" s="210">
        <f t="shared" si="259"/>
        <v>0</v>
      </c>
      <c r="I189" s="210">
        <f t="shared" si="260"/>
        <v>0</v>
      </c>
      <c r="J189" s="210">
        <f t="shared" si="261"/>
        <v>0</v>
      </c>
      <c r="K189" s="210">
        <f t="shared" si="262"/>
        <v>0</v>
      </c>
      <c r="L189" s="210">
        <f t="shared" si="263"/>
        <v>0</v>
      </c>
      <c r="M189" s="210">
        <f t="shared" si="264"/>
        <v>0</v>
      </c>
      <c r="N189" s="210">
        <f t="shared" si="265"/>
        <v>0</v>
      </c>
      <c r="O189" s="210">
        <f t="shared" si="266"/>
        <v>0</v>
      </c>
      <c r="P189" s="210">
        <f t="shared" si="267"/>
        <v>0</v>
      </c>
      <c r="Q189" s="210">
        <f t="shared" si="268"/>
        <v>0</v>
      </c>
      <c r="R189" s="210">
        <f t="shared" si="269"/>
        <v>0</v>
      </c>
      <c r="S189" s="210">
        <f t="shared" si="270"/>
        <v>0</v>
      </c>
      <c r="T189" s="210">
        <f t="shared" si="271"/>
        <v>0</v>
      </c>
      <c r="U189" s="210">
        <f t="shared" si="272"/>
        <v>0</v>
      </c>
      <c r="V189" s="210">
        <f t="shared" si="273"/>
        <v>0</v>
      </c>
      <c r="W189" s="210">
        <f t="shared" si="274"/>
        <v>0</v>
      </c>
      <c r="X189" s="210">
        <f t="shared" si="275"/>
        <v>0</v>
      </c>
      <c r="Y189" s="210">
        <f t="shared" si="276"/>
        <v>0</v>
      </c>
      <c r="Z189" s="210">
        <f t="shared" si="277"/>
        <v>0</v>
      </c>
      <c r="AA189" s="210">
        <f t="shared" si="278"/>
        <v>0</v>
      </c>
      <c r="AB189" s="210">
        <f t="shared" si="279"/>
        <v>0</v>
      </c>
      <c r="AC189" s="210">
        <f t="shared" si="280"/>
        <v>0</v>
      </c>
      <c r="AD189" s="210">
        <f t="shared" si="281"/>
        <v>0</v>
      </c>
      <c r="AE189" s="210">
        <f t="shared" si="282"/>
        <v>0</v>
      </c>
      <c r="AF189" s="210">
        <f t="shared" si="283"/>
        <v>0</v>
      </c>
    </row>
    <row r="190" spans="1:56">
      <c r="A190" s="44" t="s">
        <v>92</v>
      </c>
      <c r="B190" s="210">
        <f t="shared" si="253"/>
        <v>1.25</v>
      </c>
      <c r="C190" s="210">
        <f t="shared" si="254"/>
        <v>1.25</v>
      </c>
      <c r="D190" s="210">
        <f t="shared" si="255"/>
        <v>1.25</v>
      </c>
      <c r="E190" s="210">
        <f t="shared" si="256"/>
        <v>1.25</v>
      </c>
      <c r="F190" s="210">
        <f t="shared" si="257"/>
        <v>1.25</v>
      </c>
      <c r="G190" s="210">
        <f t="shared" si="258"/>
        <v>1.25</v>
      </c>
      <c r="H190" s="210">
        <f t="shared" si="259"/>
        <v>1.25</v>
      </c>
      <c r="I190" s="210">
        <f t="shared" si="260"/>
        <v>1.25</v>
      </c>
      <c r="J190" s="210">
        <f t="shared" si="261"/>
        <v>1.25</v>
      </c>
      <c r="K190" s="210">
        <f t="shared" si="262"/>
        <v>1.25</v>
      </c>
      <c r="L190" s="210">
        <f t="shared" si="263"/>
        <v>1.25</v>
      </c>
      <c r="M190" s="210">
        <f t="shared" si="264"/>
        <v>1.25</v>
      </c>
      <c r="N190" s="210">
        <f t="shared" si="265"/>
        <v>0</v>
      </c>
      <c r="O190" s="210">
        <f t="shared" si="266"/>
        <v>0</v>
      </c>
      <c r="P190" s="210">
        <f t="shared" si="267"/>
        <v>0</v>
      </c>
      <c r="Q190" s="210">
        <f t="shared" si="268"/>
        <v>0</v>
      </c>
      <c r="R190" s="210">
        <f t="shared" si="269"/>
        <v>0</v>
      </c>
      <c r="S190" s="210">
        <f t="shared" si="270"/>
        <v>0</v>
      </c>
      <c r="T190" s="210">
        <f t="shared" si="271"/>
        <v>0</v>
      </c>
      <c r="U190" s="210">
        <f t="shared" si="272"/>
        <v>0</v>
      </c>
      <c r="V190" s="210">
        <f t="shared" si="273"/>
        <v>0</v>
      </c>
      <c r="W190" s="210">
        <f t="shared" si="274"/>
        <v>0</v>
      </c>
      <c r="X190" s="210">
        <f t="shared" si="275"/>
        <v>0</v>
      </c>
      <c r="Y190" s="210">
        <f t="shared" si="276"/>
        <v>0</v>
      </c>
      <c r="Z190" s="210">
        <f t="shared" si="277"/>
        <v>0</v>
      </c>
      <c r="AA190" s="210">
        <f t="shared" si="278"/>
        <v>0</v>
      </c>
      <c r="AB190" s="210">
        <f t="shared" si="279"/>
        <v>0</v>
      </c>
      <c r="AC190" s="210">
        <f t="shared" si="280"/>
        <v>0</v>
      </c>
      <c r="AD190" s="210">
        <f t="shared" si="281"/>
        <v>0</v>
      </c>
      <c r="AE190" s="210">
        <f t="shared" si="282"/>
        <v>0</v>
      </c>
      <c r="AF190" s="210">
        <f t="shared" si="283"/>
        <v>150</v>
      </c>
    </row>
    <row r="191" spans="1:56">
      <c r="A191" s="44" t="s">
        <v>94</v>
      </c>
      <c r="B191" s="210">
        <f t="shared" si="253"/>
        <v>0</v>
      </c>
      <c r="C191" s="210">
        <f t="shared" si="254"/>
        <v>0</v>
      </c>
      <c r="D191" s="210">
        <f t="shared" si="255"/>
        <v>0</v>
      </c>
      <c r="E191" s="210">
        <f t="shared" si="256"/>
        <v>0</v>
      </c>
      <c r="F191" s="210">
        <f t="shared" si="257"/>
        <v>0</v>
      </c>
      <c r="G191" s="210">
        <f t="shared" si="258"/>
        <v>0</v>
      </c>
      <c r="H191" s="210">
        <f t="shared" si="259"/>
        <v>0</v>
      </c>
      <c r="I191" s="210">
        <f t="shared" si="260"/>
        <v>0</v>
      </c>
      <c r="J191" s="210">
        <f t="shared" si="261"/>
        <v>0</v>
      </c>
      <c r="K191" s="210">
        <f t="shared" si="262"/>
        <v>0</v>
      </c>
      <c r="L191" s="210">
        <f t="shared" si="263"/>
        <v>0</v>
      </c>
      <c r="M191" s="210">
        <f t="shared" si="264"/>
        <v>0</v>
      </c>
      <c r="N191" s="210">
        <f t="shared" si="265"/>
        <v>0</v>
      </c>
      <c r="O191" s="210">
        <f t="shared" si="266"/>
        <v>0</v>
      </c>
      <c r="P191" s="210">
        <f t="shared" si="267"/>
        <v>0</v>
      </c>
      <c r="Q191" s="210">
        <f t="shared" si="268"/>
        <v>0</v>
      </c>
      <c r="R191" s="210">
        <f t="shared" si="269"/>
        <v>0</v>
      </c>
      <c r="S191" s="210">
        <f t="shared" si="270"/>
        <v>0</v>
      </c>
      <c r="T191" s="210">
        <f t="shared" si="271"/>
        <v>0</v>
      </c>
      <c r="U191" s="210">
        <f t="shared" si="272"/>
        <v>0</v>
      </c>
      <c r="V191" s="210">
        <f t="shared" si="273"/>
        <v>0</v>
      </c>
      <c r="W191" s="210">
        <f t="shared" si="274"/>
        <v>0</v>
      </c>
      <c r="X191" s="210">
        <f t="shared" si="275"/>
        <v>0</v>
      </c>
      <c r="Y191" s="210">
        <f t="shared" si="276"/>
        <v>0</v>
      </c>
      <c r="Z191" s="210">
        <f t="shared" si="277"/>
        <v>0</v>
      </c>
      <c r="AA191" s="210">
        <f t="shared" si="278"/>
        <v>0</v>
      </c>
      <c r="AB191" s="210">
        <f t="shared" si="279"/>
        <v>0</v>
      </c>
      <c r="AC191" s="210">
        <f t="shared" si="280"/>
        <v>0</v>
      </c>
      <c r="AD191" s="210">
        <f t="shared" si="281"/>
        <v>0</v>
      </c>
      <c r="AE191" s="210">
        <f t="shared" si="282"/>
        <v>0</v>
      </c>
      <c r="AF191" s="210">
        <f t="shared" si="283"/>
        <v>0</v>
      </c>
    </row>
    <row r="192" spans="1:56">
      <c r="A192" s="44" t="s">
        <v>96</v>
      </c>
      <c r="B192" s="210">
        <f t="shared" si="253"/>
        <v>0.166666666666667</v>
      </c>
      <c r="C192" s="210">
        <f t="shared" si="254"/>
        <v>0.166666666666667</v>
      </c>
      <c r="D192" s="210">
        <f t="shared" si="255"/>
        <v>0.166666666666667</v>
      </c>
      <c r="E192" s="210">
        <f t="shared" si="256"/>
        <v>0.166666666666667</v>
      </c>
      <c r="F192" s="210">
        <f t="shared" si="257"/>
        <v>0.166666666666667</v>
      </c>
      <c r="G192" s="210">
        <f t="shared" si="258"/>
        <v>0.166666666666667</v>
      </c>
      <c r="H192" s="210">
        <f t="shared" si="259"/>
        <v>0.166666666666667</v>
      </c>
      <c r="I192" s="210">
        <f t="shared" si="260"/>
        <v>0.166666666666667</v>
      </c>
      <c r="J192" s="210">
        <f t="shared" si="261"/>
        <v>0.166666666666667</v>
      </c>
      <c r="K192" s="210">
        <f t="shared" si="262"/>
        <v>0.166666666666667</v>
      </c>
      <c r="L192" s="210">
        <f t="shared" si="263"/>
        <v>0.166666666666667</v>
      </c>
      <c r="M192" s="210">
        <f t="shared" si="264"/>
        <v>0.166666666666667</v>
      </c>
      <c r="N192" s="210">
        <f t="shared" si="265"/>
        <v>0</v>
      </c>
      <c r="O192" s="210">
        <f t="shared" si="266"/>
        <v>0</v>
      </c>
      <c r="P192" s="210">
        <f t="shared" si="267"/>
        <v>0</v>
      </c>
      <c r="Q192" s="210">
        <f t="shared" si="268"/>
        <v>0</v>
      </c>
      <c r="R192" s="210">
        <f t="shared" si="269"/>
        <v>0</v>
      </c>
      <c r="S192" s="210">
        <f t="shared" si="270"/>
        <v>0</v>
      </c>
      <c r="T192" s="210">
        <f t="shared" si="271"/>
        <v>0</v>
      </c>
      <c r="U192" s="210">
        <f t="shared" si="272"/>
        <v>0</v>
      </c>
      <c r="V192" s="210">
        <f t="shared" si="273"/>
        <v>0</v>
      </c>
      <c r="W192" s="210">
        <f t="shared" si="274"/>
        <v>0</v>
      </c>
      <c r="X192" s="210">
        <f t="shared" si="275"/>
        <v>0</v>
      </c>
      <c r="Y192" s="210">
        <f t="shared" si="276"/>
        <v>0</v>
      </c>
      <c r="Z192" s="210">
        <f t="shared" si="277"/>
        <v>0</v>
      </c>
      <c r="AA192" s="210">
        <f t="shared" si="278"/>
        <v>0</v>
      </c>
      <c r="AB192" s="210">
        <f t="shared" si="279"/>
        <v>0</v>
      </c>
      <c r="AC192" s="210">
        <f t="shared" si="280"/>
        <v>0</v>
      </c>
      <c r="AD192" s="210">
        <f t="shared" si="281"/>
        <v>0</v>
      </c>
      <c r="AE192" s="210">
        <f t="shared" si="282"/>
        <v>0</v>
      </c>
      <c r="AF192" s="210">
        <f t="shared" si="283"/>
        <v>20</v>
      </c>
    </row>
    <row r="193" spans="1:32">
      <c r="A193" s="44" t="s">
        <v>98</v>
      </c>
      <c r="B193" s="210">
        <f t="shared" si="253"/>
        <v>7.16666666666667</v>
      </c>
      <c r="C193" s="210">
        <f t="shared" si="254"/>
        <v>7.16666666666667</v>
      </c>
      <c r="D193" s="210">
        <f t="shared" si="255"/>
        <v>7.16666666666667</v>
      </c>
      <c r="E193" s="210">
        <f t="shared" si="256"/>
        <v>7.16666666666667</v>
      </c>
      <c r="F193" s="210">
        <f t="shared" si="257"/>
        <v>7.16666666666667</v>
      </c>
      <c r="G193" s="210">
        <f t="shared" si="258"/>
        <v>7.16666666666667</v>
      </c>
      <c r="H193" s="210">
        <f t="shared" si="259"/>
        <v>7.16666666666667</v>
      </c>
      <c r="I193" s="210">
        <f t="shared" si="260"/>
        <v>7.16666666666667</v>
      </c>
      <c r="J193" s="210">
        <f t="shared" si="261"/>
        <v>7.16666666666667</v>
      </c>
      <c r="K193" s="210">
        <f t="shared" si="262"/>
        <v>7.16666666666667</v>
      </c>
      <c r="L193" s="210">
        <f t="shared" si="263"/>
        <v>7.16666666666667</v>
      </c>
      <c r="M193" s="210">
        <f t="shared" si="264"/>
        <v>7.16666666666667</v>
      </c>
      <c r="N193" s="210">
        <f t="shared" si="265"/>
        <v>0</v>
      </c>
      <c r="O193" s="210">
        <f t="shared" si="266"/>
        <v>0</v>
      </c>
      <c r="P193" s="210">
        <f t="shared" si="267"/>
        <v>0</v>
      </c>
      <c r="Q193" s="210">
        <f t="shared" si="268"/>
        <v>0</v>
      </c>
      <c r="R193" s="210">
        <f t="shared" si="269"/>
        <v>0</v>
      </c>
      <c r="S193" s="210">
        <f t="shared" si="270"/>
        <v>0</v>
      </c>
      <c r="T193" s="210">
        <f t="shared" si="271"/>
        <v>0</v>
      </c>
      <c r="U193" s="210">
        <f t="shared" si="272"/>
        <v>0</v>
      </c>
      <c r="V193" s="210">
        <f t="shared" si="273"/>
        <v>0</v>
      </c>
      <c r="W193" s="210">
        <f t="shared" si="274"/>
        <v>0</v>
      </c>
      <c r="X193" s="210">
        <f t="shared" si="275"/>
        <v>0</v>
      </c>
      <c r="Y193" s="210">
        <f t="shared" si="276"/>
        <v>0</v>
      </c>
      <c r="Z193" s="210">
        <f t="shared" si="277"/>
        <v>0</v>
      </c>
      <c r="AA193" s="210">
        <f t="shared" si="278"/>
        <v>0</v>
      </c>
      <c r="AB193" s="210">
        <f t="shared" si="279"/>
        <v>0</v>
      </c>
      <c r="AC193" s="210">
        <f t="shared" si="280"/>
        <v>0</v>
      </c>
      <c r="AD193" s="210">
        <f t="shared" si="281"/>
        <v>0</v>
      </c>
      <c r="AE193" s="210">
        <f t="shared" si="282"/>
        <v>0</v>
      </c>
      <c r="AF193" s="210">
        <f t="shared" si="283"/>
        <v>860</v>
      </c>
    </row>
    <row r="194" spans="1:32">
      <c r="A194" s="44" t="s">
        <v>100</v>
      </c>
      <c r="B194" s="210">
        <f t="shared" si="253"/>
        <v>0</v>
      </c>
      <c r="C194" s="210">
        <f t="shared" si="254"/>
        <v>0</v>
      </c>
      <c r="D194" s="210">
        <f t="shared" si="255"/>
        <v>0</v>
      </c>
      <c r="E194" s="210">
        <f t="shared" si="256"/>
        <v>0</v>
      </c>
      <c r="F194" s="210">
        <f t="shared" si="257"/>
        <v>0</v>
      </c>
      <c r="G194" s="210">
        <f t="shared" si="258"/>
        <v>0</v>
      </c>
      <c r="H194" s="210">
        <f t="shared" si="259"/>
        <v>0</v>
      </c>
      <c r="I194" s="210">
        <f t="shared" si="260"/>
        <v>0</v>
      </c>
      <c r="J194" s="210">
        <f t="shared" si="261"/>
        <v>0</v>
      </c>
      <c r="K194" s="210">
        <f t="shared" si="262"/>
        <v>0</v>
      </c>
      <c r="L194" s="210">
        <f t="shared" si="263"/>
        <v>0</v>
      </c>
      <c r="M194" s="210">
        <f t="shared" si="264"/>
        <v>0</v>
      </c>
      <c r="N194" s="210">
        <f t="shared" si="265"/>
        <v>0</v>
      </c>
      <c r="O194" s="210">
        <f t="shared" si="266"/>
        <v>0</v>
      </c>
      <c r="P194" s="210">
        <f t="shared" si="267"/>
        <v>0</v>
      </c>
      <c r="Q194" s="210">
        <f t="shared" si="268"/>
        <v>0</v>
      </c>
      <c r="R194" s="210">
        <f t="shared" si="269"/>
        <v>0</v>
      </c>
      <c r="S194" s="210">
        <f t="shared" si="270"/>
        <v>0</v>
      </c>
      <c r="T194" s="210">
        <f t="shared" si="271"/>
        <v>0</v>
      </c>
      <c r="U194" s="210">
        <f t="shared" si="272"/>
        <v>0</v>
      </c>
      <c r="V194" s="210">
        <f t="shared" si="273"/>
        <v>0</v>
      </c>
      <c r="W194" s="210">
        <f t="shared" si="274"/>
        <v>0</v>
      </c>
      <c r="X194" s="210">
        <f t="shared" si="275"/>
        <v>0</v>
      </c>
      <c r="Y194" s="210">
        <f t="shared" si="276"/>
        <v>0</v>
      </c>
      <c r="Z194" s="210">
        <f t="shared" si="277"/>
        <v>0</v>
      </c>
      <c r="AA194" s="210">
        <f t="shared" si="278"/>
        <v>0</v>
      </c>
      <c r="AB194" s="210">
        <f t="shared" si="279"/>
        <v>0</v>
      </c>
      <c r="AC194" s="210">
        <f t="shared" si="280"/>
        <v>0</v>
      </c>
      <c r="AD194" s="210">
        <f t="shared" si="281"/>
        <v>0</v>
      </c>
      <c r="AE194" s="210">
        <f t="shared" si="282"/>
        <v>0</v>
      </c>
      <c r="AF194" s="210">
        <f t="shared" si="283"/>
        <v>0</v>
      </c>
    </row>
    <row r="195" spans="1:32">
      <c r="A195" s="44" t="s">
        <v>102</v>
      </c>
      <c r="B195" s="210">
        <f t="shared" si="253"/>
        <v>0</v>
      </c>
      <c r="C195" s="210">
        <f t="shared" si="254"/>
        <v>0</v>
      </c>
      <c r="D195" s="210">
        <f t="shared" si="255"/>
        <v>0</v>
      </c>
      <c r="E195" s="210">
        <f t="shared" si="256"/>
        <v>0</v>
      </c>
      <c r="F195" s="210">
        <f t="shared" si="257"/>
        <v>0</v>
      </c>
      <c r="G195" s="210">
        <f t="shared" si="258"/>
        <v>0</v>
      </c>
      <c r="H195" s="210">
        <f t="shared" si="259"/>
        <v>0</v>
      </c>
      <c r="I195" s="210">
        <f t="shared" si="260"/>
        <v>0</v>
      </c>
      <c r="J195" s="210">
        <f t="shared" si="261"/>
        <v>0</v>
      </c>
      <c r="K195" s="210">
        <f t="shared" si="262"/>
        <v>0</v>
      </c>
      <c r="L195" s="210">
        <f t="shared" si="263"/>
        <v>0</v>
      </c>
      <c r="M195" s="210">
        <f t="shared" si="264"/>
        <v>0</v>
      </c>
      <c r="N195" s="210">
        <f t="shared" si="265"/>
        <v>0</v>
      </c>
      <c r="O195" s="210">
        <f t="shared" si="266"/>
        <v>0</v>
      </c>
      <c r="P195" s="210">
        <f t="shared" si="267"/>
        <v>0</v>
      </c>
      <c r="Q195" s="210">
        <f t="shared" si="268"/>
        <v>2</v>
      </c>
      <c r="R195" s="210">
        <f t="shared" si="269"/>
        <v>0</v>
      </c>
      <c r="S195" s="210">
        <f t="shared" si="270"/>
        <v>0</v>
      </c>
      <c r="T195" s="210">
        <f t="shared" si="271"/>
        <v>0</v>
      </c>
      <c r="U195" s="210">
        <f t="shared" si="272"/>
        <v>0</v>
      </c>
      <c r="V195" s="210">
        <f t="shared" si="273"/>
        <v>0</v>
      </c>
      <c r="W195" s="210">
        <f t="shared" si="274"/>
        <v>0</v>
      </c>
      <c r="X195" s="210">
        <f t="shared" si="275"/>
        <v>0</v>
      </c>
      <c r="Y195" s="210">
        <f t="shared" si="276"/>
        <v>0</v>
      </c>
      <c r="Z195" s="210">
        <f t="shared" si="277"/>
        <v>0</v>
      </c>
      <c r="AA195" s="210">
        <f t="shared" si="278"/>
        <v>0</v>
      </c>
      <c r="AB195" s="210">
        <f t="shared" si="279"/>
        <v>0</v>
      </c>
      <c r="AC195" s="210">
        <f t="shared" si="280"/>
        <v>0</v>
      </c>
      <c r="AD195" s="210">
        <f t="shared" si="281"/>
        <v>0</v>
      </c>
      <c r="AE195" s="210">
        <f t="shared" si="282"/>
        <v>0</v>
      </c>
      <c r="AF195" s="210">
        <f t="shared" si="283"/>
        <v>20</v>
      </c>
    </row>
    <row r="196" spans="1:32">
      <c r="A196" s="44" t="s">
        <v>104</v>
      </c>
      <c r="B196" s="210">
        <f t="shared" si="253"/>
        <v>0</v>
      </c>
      <c r="C196" s="210">
        <f t="shared" si="254"/>
        <v>0</v>
      </c>
      <c r="D196" s="210">
        <f t="shared" si="255"/>
        <v>0</v>
      </c>
      <c r="E196" s="210">
        <f t="shared" si="256"/>
        <v>0</v>
      </c>
      <c r="F196" s="210">
        <f t="shared" si="257"/>
        <v>0</v>
      </c>
      <c r="G196" s="210">
        <f t="shared" si="258"/>
        <v>0</v>
      </c>
      <c r="H196" s="210">
        <f t="shared" si="259"/>
        <v>0</v>
      </c>
      <c r="I196" s="210">
        <f t="shared" si="260"/>
        <v>0</v>
      </c>
      <c r="J196" s="210">
        <f t="shared" si="261"/>
        <v>0</v>
      </c>
      <c r="K196" s="210">
        <f t="shared" si="262"/>
        <v>0</v>
      </c>
      <c r="L196" s="210">
        <f t="shared" si="263"/>
        <v>0</v>
      </c>
      <c r="M196" s="210">
        <f t="shared" si="264"/>
        <v>0</v>
      </c>
      <c r="N196" s="210">
        <f t="shared" si="265"/>
        <v>0</v>
      </c>
      <c r="O196" s="210">
        <f t="shared" si="266"/>
        <v>0</v>
      </c>
      <c r="P196" s="210">
        <f t="shared" si="267"/>
        <v>0</v>
      </c>
      <c r="Q196" s="210">
        <f t="shared" si="268"/>
        <v>0</v>
      </c>
      <c r="R196" s="210">
        <f t="shared" si="269"/>
        <v>0</v>
      </c>
      <c r="S196" s="210">
        <f t="shared" si="270"/>
        <v>0</v>
      </c>
      <c r="T196" s="210">
        <f t="shared" si="271"/>
        <v>0</v>
      </c>
      <c r="U196" s="210">
        <f t="shared" si="272"/>
        <v>0</v>
      </c>
      <c r="V196" s="210">
        <f t="shared" si="273"/>
        <v>0</v>
      </c>
      <c r="W196" s="210">
        <f t="shared" si="274"/>
        <v>0</v>
      </c>
      <c r="X196" s="210">
        <f t="shared" si="275"/>
        <v>0</v>
      </c>
      <c r="Y196" s="210">
        <f t="shared" si="276"/>
        <v>0</v>
      </c>
      <c r="Z196" s="210">
        <f t="shared" si="277"/>
        <v>0</v>
      </c>
      <c r="AA196" s="210">
        <f t="shared" si="278"/>
        <v>0</v>
      </c>
      <c r="AB196" s="210">
        <f t="shared" si="279"/>
        <v>0</v>
      </c>
      <c r="AC196" s="210">
        <f t="shared" si="280"/>
        <v>0</v>
      </c>
      <c r="AD196" s="210">
        <f t="shared" si="281"/>
        <v>0</v>
      </c>
      <c r="AE196" s="210">
        <f t="shared" si="282"/>
        <v>0</v>
      </c>
      <c r="AF196" s="210">
        <f t="shared" si="283"/>
        <v>0</v>
      </c>
    </row>
    <row r="197" spans="1:32">
      <c r="A197" s="44" t="s">
        <v>106</v>
      </c>
      <c r="B197" s="210">
        <f t="shared" si="253"/>
        <v>0</v>
      </c>
      <c r="C197" s="210">
        <f t="shared" si="254"/>
        <v>0</v>
      </c>
      <c r="D197" s="210">
        <f t="shared" si="255"/>
        <v>0</v>
      </c>
      <c r="E197" s="210">
        <f t="shared" si="256"/>
        <v>0</v>
      </c>
      <c r="F197" s="210">
        <f t="shared" si="257"/>
        <v>0</v>
      </c>
      <c r="G197" s="210">
        <f t="shared" si="258"/>
        <v>0</v>
      </c>
      <c r="H197" s="210">
        <f t="shared" si="259"/>
        <v>0</v>
      </c>
      <c r="I197" s="210">
        <f t="shared" si="260"/>
        <v>0</v>
      </c>
      <c r="J197" s="210">
        <f t="shared" si="261"/>
        <v>0</v>
      </c>
      <c r="K197" s="210">
        <f t="shared" si="262"/>
        <v>0</v>
      </c>
      <c r="L197" s="210">
        <f t="shared" si="263"/>
        <v>0</v>
      </c>
      <c r="M197" s="210">
        <f t="shared" si="264"/>
        <v>0</v>
      </c>
      <c r="N197" s="210">
        <f t="shared" si="265"/>
        <v>0.969999999999999</v>
      </c>
      <c r="O197" s="210">
        <f t="shared" si="266"/>
        <v>0</v>
      </c>
      <c r="P197" s="210">
        <f t="shared" si="267"/>
        <v>0</v>
      </c>
      <c r="Q197" s="210">
        <f t="shared" si="268"/>
        <v>0.0300000000000011</v>
      </c>
      <c r="R197" s="210">
        <f t="shared" si="269"/>
        <v>0</v>
      </c>
      <c r="S197" s="210">
        <f t="shared" si="270"/>
        <v>0</v>
      </c>
      <c r="T197" s="210">
        <f t="shared" si="271"/>
        <v>0</v>
      </c>
      <c r="U197" s="210">
        <f t="shared" si="272"/>
        <v>0</v>
      </c>
      <c r="V197" s="210">
        <f t="shared" si="273"/>
        <v>0</v>
      </c>
      <c r="W197" s="210">
        <f t="shared" si="274"/>
        <v>0</v>
      </c>
      <c r="X197" s="210">
        <f t="shared" si="275"/>
        <v>0</v>
      </c>
      <c r="Y197" s="210">
        <f t="shared" si="276"/>
        <v>0</v>
      </c>
      <c r="Z197" s="210">
        <f t="shared" si="277"/>
        <v>0</v>
      </c>
      <c r="AA197" s="210">
        <f t="shared" si="278"/>
        <v>0</v>
      </c>
      <c r="AB197" s="210">
        <f t="shared" si="279"/>
        <v>0</v>
      </c>
      <c r="AC197" s="210">
        <f t="shared" si="280"/>
        <v>0</v>
      </c>
      <c r="AD197" s="210">
        <f t="shared" si="281"/>
        <v>0</v>
      </c>
      <c r="AE197" s="210">
        <f t="shared" si="282"/>
        <v>0</v>
      </c>
      <c r="AF197" s="210">
        <f t="shared" si="283"/>
        <v>10</v>
      </c>
    </row>
    <row r="198" spans="1:32">
      <c r="A198" s="44" t="s">
        <v>108</v>
      </c>
      <c r="B198" s="210">
        <f t="shared" si="253"/>
        <v>0</v>
      </c>
      <c r="C198" s="210">
        <f t="shared" si="254"/>
        <v>0</v>
      </c>
      <c r="D198" s="210">
        <f t="shared" si="255"/>
        <v>0</v>
      </c>
      <c r="E198" s="210">
        <f t="shared" si="256"/>
        <v>0</v>
      </c>
      <c r="F198" s="210">
        <f t="shared" si="257"/>
        <v>0</v>
      </c>
      <c r="G198" s="210">
        <f t="shared" si="258"/>
        <v>0</v>
      </c>
      <c r="H198" s="210">
        <f t="shared" si="259"/>
        <v>0</v>
      </c>
      <c r="I198" s="210">
        <f t="shared" si="260"/>
        <v>0</v>
      </c>
      <c r="J198" s="210">
        <f t="shared" si="261"/>
        <v>0</v>
      </c>
      <c r="K198" s="210">
        <f t="shared" si="262"/>
        <v>0</v>
      </c>
      <c r="L198" s="210">
        <f t="shared" si="263"/>
        <v>0</v>
      </c>
      <c r="M198" s="210">
        <f t="shared" si="264"/>
        <v>0</v>
      </c>
      <c r="N198" s="210">
        <f t="shared" si="265"/>
        <v>0</v>
      </c>
      <c r="O198" s="210">
        <f t="shared" si="266"/>
        <v>0</v>
      </c>
      <c r="P198" s="210">
        <f t="shared" si="267"/>
        <v>0</v>
      </c>
      <c r="Q198" s="210">
        <f t="shared" si="268"/>
        <v>0</v>
      </c>
      <c r="R198" s="210">
        <f t="shared" si="269"/>
        <v>0</v>
      </c>
      <c r="S198" s="210">
        <f t="shared" si="270"/>
        <v>0</v>
      </c>
      <c r="T198" s="210">
        <f t="shared" si="271"/>
        <v>0</v>
      </c>
      <c r="U198" s="210">
        <f t="shared" si="272"/>
        <v>0</v>
      </c>
      <c r="V198" s="210">
        <f t="shared" si="273"/>
        <v>0</v>
      </c>
      <c r="W198" s="210">
        <f t="shared" si="274"/>
        <v>0</v>
      </c>
      <c r="X198" s="210">
        <f t="shared" si="275"/>
        <v>0</v>
      </c>
      <c r="Y198" s="210">
        <f t="shared" si="276"/>
        <v>0</v>
      </c>
      <c r="Z198" s="210">
        <f t="shared" si="277"/>
        <v>0</v>
      </c>
      <c r="AA198" s="210">
        <f t="shared" si="278"/>
        <v>0</v>
      </c>
      <c r="AB198" s="210">
        <f t="shared" si="279"/>
        <v>0</v>
      </c>
      <c r="AC198" s="210">
        <f t="shared" si="280"/>
        <v>0</v>
      </c>
      <c r="AD198" s="210">
        <f t="shared" si="281"/>
        <v>0</v>
      </c>
      <c r="AE198" s="210">
        <f t="shared" si="282"/>
        <v>0</v>
      </c>
      <c r="AF198" s="210">
        <f t="shared" si="283"/>
        <v>0</v>
      </c>
    </row>
    <row r="199" spans="1:32">
      <c r="A199" s="44" t="s">
        <v>110</v>
      </c>
      <c r="B199" s="210">
        <f t="shared" si="253"/>
        <v>0</v>
      </c>
      <c r="C199" s="210">
        <f t="shared" si="254"/>
        <v>0</v>
      </c>
      <c r="D199" s="210">
        <f t="shared" si="255"/>
        <v>0</v>
      </c>
      <c r="E199" s="210">
        <f t="shared" si="256"/>
        <v>0</v>
      </c>
      <c r="F199" s="210">
        <f t="shared" si="257"/>
        <v>0</v>
      </c>
      <c r="G199" s="210">
        <f t="shared" si="258"/>
        <v>0</v>
      </c>
      <c r="H199" s="210">
        <f t="shared" si="259"/>
        <v>0</v>
      </c>
      <c r="I199" s="210">
        <f t="shared" si="260"/>
        <v>0</v>
      </c>
      <c r="J199" s="210">
        <f t="shared" si="261"/>
        <v>0</v>
      </c>
      <c r="K199" s="210">
        <f t="shared" si="262"/>
        <v>0</v>
      </c>
      <c r="L199" s="210">
        <f t="shared" si="263"/>
        <v>0</v>
      </c>
      <c r="M199" s="210">
        <f t="shared" si="264"/>
        <v>0</v>
      </c>
      <c r="N199" s="210">
        <f t="shared" si="265"/>
        <v>0</v>
      </c>
      <c r="O199" s="210">
        <f t="shared" si="266"/>
        <v>0</v>
      </c>
      <c r="P199" s="210">
        <f t="shared" si="267"/>
        <v>0</v>
      </c>
      <c r="Q199" s="210">
        <f t="shared" si="268"/>
        <v>0</v>
      </c>
      <c r="R199" s="210">
        <f t="shared" si="269"/>
        <v>0</v>
      </c>
      <c r="S199" s="210">
        <f t="shared" si="270"/>
        <v>0</v>
      </c>
      <c r="T199" s="210">
        <f t="shared" si="271"/>
        <v>0</v>
      </c>
      <c r="U199" s="210">
        <f t="shared" si="272"/>
        <v>0</v>
      </c>
      <c r="V199" s="210">
        <f t="shared" si="273"/>
        <v>0</v>
      </c>
      <c r="W199" s="210">
        <f t="shared" si="274"/>
        <v>0</v>
      </c>
      <c r="X199" s="210">
        <f t="shared" si="275"/>
        <v>0</v>
      </c>
      <c r="Y199" s="210">
        <f t="shared" si="276"/>
        <v>0</v>
      </c>
      <c r="Z199" s="210">
        <f t="shared" si="277"/>
        <v>0</v>
      </c>
      <c r="AA199" s="210">
        <f t="shared" si="278"/>
        <v>0</v>
      </c>
      <c r="AB199" s="210">
        <f t="shared" si="279"/>
        <v>0</v>
      </c>
      <c r="AC199" s="210">
        <f t="shared" si="280"/>
        <v>0</v>
      </c>
      <c r="AD199" s="210">
        <f t="shared" si="281"/>
        <v>0</v>
      </c>
      <c r="AE199" s="210">
        <f t="shared" si="282"/>
        <v>0</v>
      </c>
      <c r="AF199" s="210">
        <f t="shared" si="283"/>
        <v>0</v>
      </c>
    </row>
    <row r="200" spans="1:32">
      <c r="A200" s="44" t="s">
        <v>112</v>
      </c>
      <c r="B200" s="210">
        <f t="shared" si="253"/>
        <v>0</v>
      </c>
      <c r="C200" s="210">
        <f t="shared" si="254"/>
        <v>0</v>
      </c>
      <c r="D200" s="210">
        <f t="shared" si="255"/>
        <v>0</v>
      </c>
      <c r="E200" s="210">
        <f t="shared" si="256"/>
        <v>0</v>
      </c>
      <c r="F200" s="210">
        <f t="shared" si="257"/>
        <v>0</v>
      </c>
      <c r="G200" s="210">
        <f t="shared" si="258"/>
        <v>0</v>
      </c>
      <c r="H200" s="210">
        <f t="shared" si="259"/>
        <v>0</v>
      </c>
      <c r="I200" s="210">
        <f t="shared" si="260"/>
        <v>0</v>
      </c>
      <c r="J200" s="210">
        <f t="shared" si="261"/>
        <v>0</v>
      </c>
      <c r="K200" s="210">
        <f t="shared" si="262"/>
        <v>0</v>
      </c>
      <c r="L200" s="210">
        <f t="shared" si="263"/>
        <v>0</v>
      </c>
      <c r="M200" s="210">
        <f t="shared" si="264"/>
        <v>0</v>
      </c>
      <c r="N200" s="210">
        <f t="shared" si="265"/>
        <v>0</v>
      </c>
      <c r="O200" s="210">
        <f t="shared" si="266"/>
        <v>0</v>
      </c>
      <c r="P200" s="210">
        <f t="shared" si="267"/>
        <v>0</v>
      </c>
      <c r="Q200" s="210">
        <f t="shared" si="268"/>
        <v>0</v>
      </c>
      <c r="R200" s="210">
        <f t="shared" si="269"/>
        <v>0</v>
      </c>
      <c r="S200" s="210">
        <f t="shared" si="270"/>
        <v>0</v>
      </c>
      <c r="T200" s="210">
        <f t="shared" si="271"/>
        <v>0</v>
      </c>
      <c r="U200" s="210">
        <f t="shared" si="272"/>
        <v>0</v>
      </c>
      <c r="V200" s="210">
        <f t="shared" si="273"/>
        <v>0</v>
      </c>
      <c r="W200" s="210">
        <f t="shared" si="274"/>
        <v>0</v>
      </c>
      <c r="X200" s="210">
        <f t="shared" si="275"/>
        <v>0</v>
      </c>
      <c r="Y200" s="210">
        <f t="shared" si="276"/>
        <v>0</v>
      </c>
      <c r="Z200" s="210">
        <f t="shared" si="277"/>
        <v>0</v>
      </c>
      <c r="AA200" s="210">
        <f t="shared" si="278"/>
        <v>0</v>
      </c>
      <c r="AB200" s="210">
        <f t="shared" si="279"/>
        <v>0</v>
      </c>
      <c r="AC200" s="210">
        <f t="shared" si="280"/>
        <v>0</v>
      </c>
      <c r="AD200" s="210">
        <f t="shared" si="281"/>
        <v>0</v>
      </c>
      <c r="AE200" s="210">
        <f t="shared" si="282"/>
        <v>0</v>
      </c>
      <c r="AF200" s="210">
        <f t="shared" si="283"/>
        <v>0</v>
      </c>
    </row>
    <row r="201" spans="1:32">
      <c r="A201" s="44" t="s">
        <v>114</v>
      </c>
      <c r="B201" s="210">
        <f t="shared" si="253"/>
        <v>0</v>
      </c>
      <c r="C201" s="210">
        <f t="shared" si="254"/>
        <v>0</v>
      </c>
      <c r="D201" s="210">
        <f t="shared" si="255"/>
        <v>0</v>
      </c>
      <c r="E201" s="210">
        <f t="shared" si="256"/>
        <v>0</v>
      </c>
      <c r="F201" s="210">
        <f t="shared" si="257"/>
        <v>0</v>
      </c>
      <c r="G201" s="210">
        <f t="shared" si="258"/>
        <v>0</v>
      </c>
      <c r="H201" s="210">
        <f t="shared" si="259"/>
        <v>0</v>
      </c>
      <c r="I201" s="210">
        <f t="shared" si="260"/>
        <v>0</v>
      </c>
      <c r="J201" s="210">
        <f t="shared" si="261"/>
        <v>0</v>
      </c>
      <c r="K201" s="210">
        <f t="shared" si="262"/>
        <v>0</v>
      </c>
      <c r="L201" s="210">
        <f t="shared" si="263"/>
        <v>0</v>
      </c>
      <c r="M201" s="210">
        <f t="shared" si="264"/>
        <v>0</v>
      </c>
      <c r="N201" s="210">
        <f t="shared" si="265"/>
        <v>0</v>
      </c>
      <c r="O201" s="210">
        <f t="shared" si="266"/>
        <v>0</v>
      </c>
      <c r="P201" s="210">
        <f t="shared" si="267"/>
        <v>0</v>
      </c>
      <c r="Q201" s="210">
        <f t="shared" si="268"/>
        <v>0</v>
      </c>
      <c r="R201" s="210">
        <f t="shared" si="269"/>
        <v>0</v>
      </c>
      <c r="S201" s="210">
        <f t="shared" si="270"/>
        <v>0</v>
      </c>
      <c r="T201" s="210">
        <f t="shared" si="271"/>
        <v>0</v>
      </c>
      <c r="U201" s="210">
        <f t="shared" si="272"/>
        <v>0</v>
      </c>
      <c r="V201" s="210">
        <f t="shared" si="273"/>
        <v>0</v>
      </c>
      <c r="W201" s="210">
        <f t="shared" si="274"/>
        <v>0</v>
      </c>
      <c r="X201" s="210">
        <f t="shared" si="275"/>
        <v>0</v>
      </c>
      <c r="Y201" s="210">
        <f t="shared" si="276"/>
        <v>0</v>
      </c>
      <c r="Z201" s="210">
        <f t="shared" si="277"/>
        <v>0</v>
      </c>
      <c r="AA201" s="210">
        <f t="shared" si="278"/>
        <v>0</v>
      </c>
      <c r="AB201" s="210">
        <f t="shared" si="279"/>
        <v>0</v>
      </c>
      <c r="AC201" s="210">
        <f t="shared" si="280"/>
        <v>0</v>
      </c>
      <c r="AD201" s="210">
        <f t="shared" si="281"/>
        <v>0</v>
      </c>
      <c r="AE201" s="210">
        <f t="shared" si="282"/>
        <v>0</v>
      </c>
      <c r="AF201" s="210">
        <f t="shared" si="283"/>
        <v>0</v>
      </c>
    </row>
    <row r="202" spans="1:32">
      <c r="A202" s="44" t="s">
        <v>116</v>
      </c>
      <c r="B202" s="210">
        <f t="shared" si="253"/>
        <v>0</v>
      </c>
      <c r="C202" s="210">
        <f t="shared" si="254"/>
        <v>0</v>
      </c>
      <c r="D202" s="210">
        <f t="shared" si="255"/>
        <v>0</v>
      </c>
      <c r="E202" s="210">
        <f t="shared" si="256"/>
        <v>0</v>
      </c>
      <c r="F202" s="210">
        <f t="shared" si="257"/>
        <v>0</v>
      </c>
      <c r="G202" s="210">
        <f t="shared" si="258"/>
        <v>0</v>
      </c>
      <c r="H202" s="210">
        <f t="shared" si="259"/>
        <v>0</v>
      </c>
      <c r="I202" s="210">
        <f t="shared" si="260"/>
        <v>0</v>
      </c>
      <c r="J202" s="210">
        <f t="shared" si="261"/>
        <v>0</v>
      </c>
      <c r="K202" s="210">
        <f t="shared" si="262"/>
        <v>0</v>
      </c>
      <c r="L202" s="210">
        <f t="shared" si="263"/>
        <v>0</v>
      </c>
      <c r="M202" s="210">
        <f t="shared" si="264"/>
        <v>0</v>
      </c>
      <c r="N202" s="210">
        <f t="shared" si="265"/>
        <v>0.58</v>
      </c>
      <c r="O202" s="210">
        <f t="shared" si="266"/>
        <v>0.58</v>
      </c>
      <c r="P202" s="210">
        <f t="shared" si="267"/>
        <v>0.58</v>
      </c>
      <c r="Q202" s="210">
        <f t="shared" si="268"/>
        <v>1.78</v>
      </c>
      <c r="R202" s="210">
        <f t="shared" si="269"/>
        <v>0.58</v>
      </c>
      <c r="S202" s="210">
        <f t="shared" si="270"/>
        <v>0.58</v>
      </c>
      <c r="T202" s="210">
        <f t="shared" si="271"/>
        <v>0.58</v>
      </c>
      <c r="U202" s="210">
        <f t="shared" si="272"/>
        <v>0.58</v>
      </c>
      <c r="V202" s="210">
        <f t="shared" si="273"/>
        <v>0.58</v>
      </c>
      <c r="W202" s="210">
        <f t="shared" si="274"/>
        <v>0.58</v>
      </c>
      <c r="X202" s="210">
        <f t="shared" si="275"/>
        <v>0</v>
      </c>
      <c r="Y202" s="210">
        <f t="shared" si="276"/>
        <v>0</v>
      </c>
      <c r="Z202" s="210">
        <f t="shared" si="277"/>
        <v>0</v>
      </c>
      <c r="AA202" s="210">
        <f t="shared" si="278"/>
        <v>0</v>
      </c>
      <c r="AB202" s="210">
        <f t="shared" si="279"/>
        <v>0</v>
      </c>
      <c r="AC202" s="210">
        <f t="shared" si="280"/>
        <v>0</v>
      </c>
      <c r="AD202" s="210">
        <f t="shared" si="281"/>
        <v>0</v>
      </c>
      <c r="AE202" s="210">
        <f t="shared" si="282"/>
        <v>0</v>
      </c>
      <c r="AF202" s="210">
        <f t="shared" si="283"/>
        <v>70</v>
      </c>
    </row>
    <row r="203" spans="1:32">
      <c r="A203" s="44" t="s">
        <v>118</v>
      </c>
      <c r="B203" s="210">
        <f t="shared" si="253"/>
        <v>0</v>
      </c>
      <c r="C203" s="210">
        <f t="shared" si="254"/>
        <v>0</v>
      </c>
      <c r="D203" s="210">
        <f t="shared" si="255"/>
        <v>0</v>
      </c>
      <c r="E203" s="210">
        <f t="shared" si="256"/>
        <v>0</v>
      </c>
      <c r="F203" s="210">
        <f t="shared" si="257"/>
        <v>0</v>
      </c>
      <c r="G203" s="210">
        <f t="shared" si="258"/>
        <v>0</v>
      </c>
      <c r="H203" s="210">
        <f t="shared" si="259"/>
        <v>0</v>
      </c>
      <c r="I203" s="210">
        <f t="shared" si="260"/>
        <v>0</v>
      </c>
      <c r="J203" s="210">
        <f t="shared" si="261"/>
        <v>0</v>
      </c>
      <c r="K203" s="210">
        <f t="shared" si="262"/>
        <v>0</v>
      </c>
      <c r="L203" s="210">
        <f t="shared" si="263"/>
        <v>0</v>
      </c>
      <c r="M203" s="210">
        <f t="shared" si="264"/>
        <v>0</v>
      </c>
      <c r="N203" s="210">
        <f t="shared" si="265"/>
        <v>0</v>
      </c>
      <c r="O203" s="210">
        <f t="shared" si="266"/>
        <v>0</v>
      </c>
      <c r="P203" s="210">
        <f t="shared" si="267"/>
        <v>0</v>
      </c>
      <c r="Q203" s="210">
        <f t="shared" si="268"/>
        <v>0</v>
      </c>
      <c r="R203" s="210">
        <f t="shared" si="269"/>
        <v>0</v>
      </c>
      <c r="S203" s="210">
        <f t="shared" si="270"/>
        <v>0</v>
      </c>
      <c r="T203" s="210">
        <f t="shared" si="271"/>
        <v>0</v>
      </c>
      <c r="U203" s="210">
        <f t="shared" si="272"/>
        <v>0</v>
      </c>
      <c r="V203" s="210">
        <f t="shared" si="273"/>
        <v>0</v>
      </c>
      <c r="W203" s="210">
        <f t="shared" si="274"/>
        <v>0</v>
      </c>
      <c r="X203" s="210">
        <f t="shared" si="275"/>
        <v>0</v>
      </c>
      <c r="Y203" s="210">
        <f t="shared" si="276"/>
        <v>0</v>
      </c>
      <c r="Z203" s="210">
        <f t="shared" si="277"/>
        <v>0</v>
      </c>
      <c r="AA203" s="210">
        <f t="shared" si="278"/>
        <v>0</v>
      </c>
      <c r="AB203" s="210">
        <f t="shared" si="279"/>
        <v>0</v>
      </c>
      <c r="AC203" s="210">
        <f t="shared" si="280"/>
        <v>0</v>
      </c>
      <c r="AD203" s="210">
        <f t="shared" si="281"/>
        <v>0</v>
      </c>
      <c r="AE203" s="210">
        <f t="shared" si="282"/>
        <v>0</v>
      </c>
      <c r="AF203" s="210">
        <f t="shared" si="283"/>
        <v>0</v>
      </c>
    </row>
    <row r="204" spans="1:32">
      <c r="A204" s="44" t="s">
        <v>120</v>
      </c>
      <c r="B204" s="210">
        <f t="shared" si="253"/>
        <v>0</v>
      </c>
      <c r="C204" s="210">
        <f t="shared" si="254"/>
        <v>0</v>
      </c>
      <c r="D204" s="210">
        <f t="shared" si="255"/>
        <v>0</v>
      </c>
      <c r="E204" s="210">
        <f t="shared" si="256"/>
        <v>0</v>
      </c>
      <c r="F204" s="210">
        <f t="shared" si="257"/>
        <v>0</v>
      </c>
      <c r="G204" s="210">
        <f t="shared" si="258"/>
        <v>0</v>
      </c>
      <c r="H204" s="210">
        <f t="shared" si="259"/>
        <v>0</v>
      </c>
      <c r="I204" s="210">
        <f t="shared" si="260"/>
        <v>0</v>
      </c>
      <c r="J204" s="210">
        <f t="shared" si="261"/>
        <v>0</v>
      </c>
      <c r="K204" s="210">
        <f t="shared" si="262"/>
        <v>0</v>
      </c>
      <c r="L204" s="210">
        <f t="shared" si="263"/>
        <v>0</v>
      </c>
      <c r="M204" s="210">
        <f t="shared" si="264"/>
        <v>0</v>
      </c>
      <c r="N204" s="210">
        <f t="shared" si="265"/>
        <v>0</v>
      </c>
      <c r="O204" s="210">
        <f t="shared" si="266"/>
        <v>0</v>
      </c>
      <c r="P204" s="210">
        <f t="shared" si="267"/>
        <v>0</v>
      </c>
      <c r="Q204" s="210">
        <f t="shared" si="268"/>
        <v>0</v>
      </c>
      <c r="R204" s="210">
        <f t="shared" si="269"/>
        <v>0</v>
      </c>
      <c r="S204" s="210">
        <f t="shared" si="270"/>
        <v>0</v>
      </c>
      <c r="T204" s="210">
        <f t="shared" si="271"/>
        <v>0</v>
      </c>
      <c r="U204" s="210">
        <f t="shared" si="272"/>
        <v>0</v>
      </c>
      <c r="V204" s="210">
        <f t="shared" si="273"/>
        <v>0</v>
      </c>
      <c r="W204" s="210">
        <f t="shared" si="274"/>
        <v>0</v>
      </c>
      <c r="X204" s="210">
        <f t="shared" si="275"/>
        <v>0</v>
      </c>
      <c r="Y204" s="210">
        <f t="shared" si="276"/>
        <v>0</v>
      </c>
      <c r="Z204" s="210">
        <f t="shared" si="277"/>
        <v>0</v>
      </c>
      <c r="AA204" s="210">
        <f t="shared" si="278"/>
        <v>0</v>
      </c>
      <c r="AB204" s="210">
        <f t="shared" si="279"/>
        <v>0</v>
      </c>
      <c r="AC204" s="210">
        <f t="shared" si="280"/>
        <v>0</v>
      </c>
      <c r="AD204" s="210">
        <f t="shared" si="281"/>
        <v>0</v>
      </c>
      <c r="AE204" s="210">
        <f t="shared" si="282"/>
        <v>0</v>
      </c>
      <c r="AF204" s="210">
        <f t="shared" si="283"/>
        <v>0</v>
      </c>
    </row>
    <row r="205" spans="1:32">
      <c r="A205" s="44" t="s">
        <v>122</v>
      </c>
      <c r="B205" s="210">
        <f t="shared" si="253"/>
        <v>0</v>
      </c>
      <c r="C205" s="210">
        <f t="shared" si="254"/>
        <v>0</v>
      </c>
      <c r="D205" s="210">
        <f t="shared" si="255"/>
        <v>0</v>
      </c>
      <c r="E205" s="210">
        <f t="shared" si="256"/>
        <v>0</v>
      </c>
      <c r="F205" s="210">
        <f t="shared" si="257"/>
        <v>0</v>
      </c>
      <c r="G205" s="210">
        <f t="shared" si="258"/>
        <v>0</v>
      </c>
      <c r="H205" s="210">
        <f t="shared" si="259"/>
        <v>0</v>
      </c>
      <c r="I205" s="210">
        <f t="shared" si="260"/>
        <v>0</v>
      </c>
      <c r="J205" s="210">
        <f t="shared" si="261"/>
        <v>0</v>
      </c>
      <c r="K205" s="210">
        <f t="shared" si="262"/>
        <v>0</v>
      </c>
      <c r="L205" s="210">
        <f t="shared" si="263"/>
        <v>0</v>
      </c>
      <c r="M205" s="210">
        <f t="shared" si="264"/>
        <v>0</v>
      </c>
      <c r="N205" s="210">
        <f t="shared" si="265"/>
        <v>0</v>
      </c>
      <c r="O205" s="210">
        <f t="shared" si="266"/>
        <v>0</v>
      </c>
      <c r="P205" s="210">
        <f t="shared" si="267"/>
        <v>0</v>
      </c>
      <c r="Q205" s="210">
        <f t="shared" si="268"/>
        <v>0</v>
      </c>
      <c r="R205" s="210">
        <f t="shared" si="269"/>
        <v>0</v>
      </c>
      <c r="S205" s="210">
        <f t="shared" si="270"/>
        <v>0</v>
      </c>
      <c r="T205" s="210">
        <f t="shared" si="271"/>
        <v>0</v>
      </c>
      <c r="U205" s="210">
        <f t="shared" si="272"/>
        <v>0</v>
      </c>
      <c r="V205" s="210">
        <f t="shared" si="273"/>
        <v>0</v>
      </c>
      <c r="W205" s="210">
        <f t="shared" si="274"/>
        <v>0</v>
      </c>
      <c r="X205" s="210">
        <f t="shared" si="275"/>
        <v>0</v>
      </c>
      <c r="Y205" s="210">
        <f t="shared" si="276"/>
        <v>0</v>
      </c>
      <c r="Z205" s="210">
        <f t="shared" si="277"/>
        <v>0</v>
      </c>
      <c r="AA205" s="210">
        <f t="shared" si="278"/>
        <v>0</v>
      </c>
      <c r="AB205" s="210">
        <f t="shared" si="279"/>
        <v>0</v>
      </c>
      <c r="AC205" s="210">
        <f t="shared" si="280"/>
        <v>0</v>
      </c>
      <c r="AD205" s="210">
        <f t="shared" si="281"/>
        <v>0</v>
      </c>
      <c r="AE205" s="210">
        <f t="shared" si="282"/>
        <v>0</v>
      </c>
      <c r="AF205" s="210">
        <f t="shared" si="283"/>
        <v>0</v>
      </c>
    </row>
    <row r="206" spans="1:32">
      <c r="A206" s="44" t="s">
        <v>124</v>
      </c>
      <c r="B206" s="210">
        <f t="shared" si="253"/>
        <v>0</v>
      </c>
      <c r="C206" s="210">
        <f t="shared" si="254"/>
        <v>0</v>
      </c>
      <c r="D206" s="210">
        <f t="shared" si="255"/>
        <v>0</v>
      </c>
      <c r="E206" s="210">
        <f t="shared" si="256"/>
        <v>0</v>
      </c>
      <c r="F206" s="210">
        <f t="shared" si="257"/>
        <v>0</v>
      </c>
      <c r="G206" s="210">
        <f t="shared" si="258"/>
        <v>0</v>
      </c>
      <c r="H206" s="210">
        <f t="shared" si="259"/>
        <v>0</v>
      </c>
      <c r="I206" s="210">
        <f t="shared" si="260"/>
        <v>0</v>
      </c>
      <c r="J206" s="210">
        <f t="shared" si="261"/>
        <v>0</v>
      </c>
      <c r="K206" s="210">
        <f t="shared" si="262"/>
        <v>0</v>
      </c>
      <c r="L206" s="210">
        <f t="shared" si="263"/>
        <v>0</v>
      </c>
      <c r="M206" s="210">
        <f t="shared" si="264"/>
        <v>0</v>
      </c>
      <c r="N206" s="210">
        <f t="shared" si="265"/>
        <v>0</v>
      </c>
      <c r="O206" s="210">
        <f t="shared" si="266"/>
        <v>0</v>
      </c>
      <c r="P206" s="210">
        <f t="shared" si="267"/>
        <v>0</v>
      </c>
      <c r="Q206" s="210">
        <f t="shared" si="268"/>
        <v>0</v>
      </c>
      <c r="R206" s="210">
        <f t="shared" si="269"/>
        <v>0</v>
      </c>
      <c r="S206" s="210">
        <f t="shared" si="270"/>
        <v>0</v>
      </c>
      <c r="T206" s="210">
        <f t="shared" si="271"/>
        <v>0</v>
      </c>
      <c r="U206" s="210">
        <f t="shared" si="272"/>
        <v>0</v>
      </c>
      <c r="V206" s="210">
        <f t="shared" si="273"/>
        <v>0</v>
      </c>
      <c r="W206" s="210">
        <f t="shared" si="274"/>
        <v>0</v>
      </c>
      <c r="X206" s="210">
        <f t="shared" si="275"/>
        <v>0</v>
      </c>
      <c r="Y206" s="210">
        <f t="shared" si="276"/>
        <v>0</v>
      </c>
      <c r="Z206" s="210">
        <f t="shared" si="277"/>
        <v>0</v>
      </c>
      <c r="AA206" s="210">
        <f t="shared" si="278"/>
        <v>0</v>
      </c>
      <c r="AB206" s="210">
        <f t="shared" si="279"/>
        <v>0</v>
      </c>
      <c r="AC206" s="210">
        <f t="shared" si="280"/>
        <v>0</v>
      </c>
      <c r="AD206" s="210">
        <f t="shared" si="281"/>
        <v>0</v>
      </c>
      <c r="AE206" s="210">
        <f t="shared" si="282"/>
        <v>0</v>
      </c>
      <c r="AF206" s="210">
        <f t="shared" si="283"/>
        <v>0</v>
      </c>
    </row>
    <row r="207" spans="1:32">
      <c r="A207" s="44" t="s">
        <v>126</v>
      </c>
      <c r="B207" s="210">
        <f t="shared" si="253"/>
        <v>0</v>
      </c>
      <c r="C207" s="210">
        <f t="shared" si="254"/>
        <v>0</v>
      </c>
      <c r="D207" s="210">
        <f t="shared" si="255"/>
        <v>0</v>
      </c>
      <c r="E207" s="210">
        <f t="shared" si="256"/>
        <v>0</v>
      </c>
      <c r="F207" s="210">
        <f t="shared" si="257"/>
        <v>0</v>
      </c>
      <c r="G207" s="210">
        <f t="shared" si="258"/>
        <v>0</v>
      </c>
      <c r="H207" s="210">
        <f t="shared" si="259"/>
        <v>0</v>
      </c>
      <c r="I207" s="210">
        <f t="shared" si="260"/>
        <v>0</v>
      </c>
      <c r="J207" s="210">
        <f t="shared" si="261"/>
        <v>0</v>
      </c>
      <c r="K207" s="210">
        <f t="shared" si="262"/>
        <v>0</v>
      </c>
      <c r="L207" s="210">
        <f t="shared" si="263"/>
        <v>0</v>
      </c>
      <c r="M207" s="210">
        <f t="shared" si="264"/>
        <v>0</v>
      </c>
      <c r="N207" s="210">
        <f t="shared" si="265"/>
        <v>0</v>
      </c>
      <c r="O207" s="210">
        <f t="shared" si="266"/>
        <v>0</v>
      </c>
      <c r="P207" s="210">
        <f t="shared" si="267"/>
        <v>0</v>
      </c>
      <c r="Q207" s="210">
        <f t="shared" si="268"/>
        <v>0</v>
      </c>
      <c r="R207" s="210">
        <f t="shared" si="269"/>
        <v>0</v>
      </c>
      <c r="S207" s="210">
        <f t="shared" si="270"/>
        <v>0</v>
      </c>
      <c r="T207" s="210">
        <f t="shared" si="271"/>
        <v>0</v>
      </c>
      <c r="U207" s="210">
        <f t="shared" si="272"/>
        <v>0</v>
      </c>
      <c r="V207" s="210">
        <f t="shared" si="273"/>
        <v>0</v>
      </c>
      <c r="W207" s="210">
        <f t="shared" si="274"/>
        <v>0</v>
      </c>
      <c r="X207" s="210">
        <f t="shared" si="275"/>
        <v>0</v>
      </c>
      <c r="Y207" s="210">
        <f t="shared" si="276"/>
        <v>0</v>
      </c>
      <c r="Z207" s="210">
        <f t="shared" si="277"/>
        <v>0</v>
      </c>
      <c r="AA207" s="210">
        <f t="shared" si="278"/>
        <v>0</v>
      </c>
      <c r="AB207" s="210">
        <f t="shared" si="279"/>
        <v>0</v>
      </c>
      <c r="AC207" s="210">
        <f t="shared" si="280"/>
        <v>0</v>
      </c>
      <c r="AD207" s="210">
        <f t="shared" si="281"/>
        <v>0</v>
      </c>
      <c r="AE207" s="210">
        <f t="shared" si="282"/>
        <v>0</v>
      </c>
      <c r="AF207" s="210">
        <f t="shared" si="283"/>
        <v>0</v>
      </c>
    </row>
    <row r="208" spans="1:32">
      <c r="A208" s="44" t="s">
        <v>128</v>
      </c>
      <c r="B208" s="210">
        <f t="shared" si="253"/>
        <v>0</v>
      </c>
      <c r="C208" s="210">
        <f t="shared" si="254"/>
        <v>0</v>
      </c>
      <c r="D208" s="210">
        <f t="shared" si="255"/>
        <v>0</v>
      </c>
      <c r="E208" s="210">
        <f t="shared" si="256"/>
        <v>0</v>
      </c>
      <c r="F208" s="210">
        <f t="shared" si="257"/>
        <v>0</v>
      </c>
      <c r="G208" s="210">
        <f t="shared" si="258"/>
        <v>0</v>
      </c>
      <c r="H208" s="210">
        <f t="shared" si="259"/>
        <v>0</v>
      </c>
      <c r="I208" s="210">
        <f t="shared" si="260"/>
        <v>0</v>
      </c>
      <c r="J208" s="210">
        <f t="shared" si="261"/>
        <v>0</v>
      </c>
      <c r="K208" s="210">
        <f t="shared" si="262"/>
        <v>0</v>
      </c>
      <c r="L208" s="210">
        <f t="shared" si="263"/>
        <v>0</v>
      </c>
      <c r="M208" s="210">
        <f t="shared" si="264"/>
        <v>0</v>
      </c>
      <c r="N208" s="210">
        <f t="shared" si="265"/>
        <v>0</v>
      </c>
      <c r="O208" s="210">
        <f t="shared" si="266"/>
        <v>0</v>
      </c>
      <c r="P208" s="210">
        <f t="shared" si="267"/>
        <v>0</v>
      </c>
      <c r="Q208" s="210">
        <f t="shared" si="268"/>
        <v>0</v>
      </c>
      <c r="R208" s="210">
        <f t="shared" si="269"/>
        <v>0</v>
      </c>
      <c r="S208" s="210">
        <f t="shared" si="270"/>
        <v>0</v>
      </c>
      <c r="T208" s="210">
        <f t="shared" si="271"/>
        <v>0</v>
      </c>
      <c r="U208" s="210">
        <f t="shared" si="272"/>
        <v>0</v>
      </c>
      <c r="V208" s="210">
        <f t="shared" si="273"/>
        <v>0</v>
      </c>
      <c r="W208" s="210">
        <f t="shared" si="274"/>
        <v>0</v>
      </c>
      <c r="X208" s="210">
        <f t="shared" si="275"/>
        <v>0</v>
      </c>
      <c r="Y208" s="210">
        <f t="shared" si="276"/>
        <v>0</v>
      </c>
      <c r="Z208" s="210">
        <f t="shared" si="277"/>
        <v>0</v>
      </c>
      <c r="AA208" s="210">
        <f t="shared" si="278"/>
        <v>0</v>
      </c>
      <c r="AB208" s="210">
        <f t="shared" si="279"/>
        <v>0</v>
      </c>
      <c r="AC208" s="210">
        <f t="shared" si="280"/>
        <v>0</v>
      </c>
      <c r="AD208" s="210">
        <f t="shared" si="281"/>
        <v>0</v>
      </c>
      <c r="AE208" s="210">
        <f t="shared" si="282"/>
        <v>0</v>
      </c>
      <c r="AF208" s="210">
        <f t="shared" si="283"/>
        <v>0</v>
      </c>
    </row>
    <row r="209" spans="1:32">
      <c r="A209" s="44" t="s">
        <v>130</v>
      </c>
      <c r="B209" s="210">
        <f t="shared" si="253"/>
        <v>0</v>
      </c>
      <c r="C209" s="210">
        <f t="shared" si="254"/>
        <v>0</v>
      </c>
      <c r="D209" s="210">
        <f t="shared" si="255"/>
        <v>0</v>
      </c>
      <c r="E209" s="210">
        <f t="shared" si="256"/>
        <v>0</v>
      </c>
      <c r="F209" s="210">
        <f t="shared" si="257"/>
        <v>0</v>
      </c>
      <c r="G209" s="210">
        <f t="shared" si="258"/>
        <v>0</v>
      </c>
      <c r="H209" s="210">
        <f t="shared" si="259"/>
        <v>0</v>
      </c>
      <c r="I209" s="210">
        <f t="shared" si="260"/>
        <v>0</v>
      </c>
      <c r="J209" s="210">
        <f t="shared" si="261"/>
        <v>0</v>
      </c>
      <c r="K209" s="210">
        <f t="shared" si="262"/>
        <v>0</v>
      </c>
      <c r="L209" s="210">
        <f t="shared" si="263"/>
        <v>0</v>
      </c>
      <c r="M209" s="210">
        <f t="shared" si="264"/>
        <v>0</v>
      </c>
      <c r="N209" s="210">
        <f t="shared" si="265"/>
        <v>0</v>
      </c>
      <c r="O209" s="210">
        <f t="shared" si="266"/>
        <v>0</v>
      </c>
      <c r="P209" s="210">
        <f t="shared" si="267"/>
        <v>0</v>
      </c>
      <c r="Q209" s="210">
        <f t="shared" si="268"/>
        <v>0</v>
      </c>
      <c r="R209" s="210">
        <f t="shared" si="269"/>
        <v>0</v>
      </c>
      <c r="S209" s="210">
        <f t="shared" si="270"/>
        <v>0</v>
      </c>
      <c r="T209" s="210">
        <f t="shared" si="271"/>
        <v>0</v>
      </c>
      <c r="U209" s="210">
        <f t="shared" si="272"/>
        <v>0</v>
      </c>
      <c r="V209" s="210">
        <f t="shared" si="273"/>
        <v>0</v>
      </c>
      <c r="W209" s="210">
        <f t="shared" si="274"/>
        <v>0</v>
      </c>
      <c r="X209" s="210">
        <f t="shared" si="275"/>
        <v>0</v>
      </c>
      <c r="Y209" s="210">
        <f t="shared" si="276"/>
        <v>0</v>
      </c>
      <c r="Z209" s="210">
        <f t="shared" si="277"/>
        <v>0</v>
      </c>
      <c r="AA209" s="210">
        <f t="shared" si="278"/>
        <v>0</v>
      </c>
      <c r="AB209" s="210">
        <f t="shared" si="279"/>
        <v>0</v>
      </c>
      <c r="AC209" s="210">
        <f t="shared" si="280"/>
        <v>0</v>
      </c>
      <c r="AD209" s="210">
        <f t="shared" si="281"/>
        <v>0</v>
      </c>
      <c r="AE209" s="210">
        <f t="shared" si="282"/>
        <v>0</v>
      </c>
      <c r="AF209" s="210">
        <f t="shared" si="283"/>
        <v>0</v>
      </c>
    </row>
    <row r="210" spans="1:32">
      <c r="A210" s="44" t="s">
        <v>132</v>
      </c>
      <c r="B210" s="210">
        <f t="shared" si="253"/>
        <v>0.288333333333333</v>
      </c>
      <c r="C210" s="210">
        <f t="shared" si="254"/>
        <v>0.288333333333333</v>
      </c>
      <c r="D210" s="210">
        <f t="shared" si="255"/>
        <v>0.288333333333333</v>
      </c>
      <c r="E210" s="210">
        <f t="shared" si="256"/>
        <v>0.288333333333333</v>
      </c>
      <c r="F210" s="210">
        <f t="shared" si="257"/>
        <v>0.288333333333333</v>
      </c>
      <c r="G210" s="210">
        <f t="shared" si="258"/>
        <v>0.288333333333333</v>
      </c>
      <c r="H210" s="210">
        <f t="shared" si="259"/>
        <v>0.288333333333333</v>
      </c>
      <c r="I210" s="210">
        <f t="shared" si="260"/>
        <v>0.288333333333333</v>
      </c>
      <c r="J210" s="210">
        <f t="shared" si="261"/>
        <v>0.288333333333333</v>
      </c>
      <c r="K210" s="210">
        <f t="shared" si="262"/>
        <v>0.288333333333333</v>
      </c>
      <c r="L210" s="210">
        <f t="shared" si="263"/>
        <v>0.288333333333333</v>
      </c>
      <c r="M210" s="210">
        <f t="shared" si="264"/>
        <v>0.288333333333333</v>
      </c>
      <c r="N210" s="210">
        <f t="shared" si="265"/>
        <v>2.854</v>
      </c>
      <c r="O210" s="210">
        <f t="shared" si="266"/>
        <v>2.854</v>
      </c>
      <c r="P210" s="210">
        <f t="shared" si="267"/>
        <v>2.854</v>
      </c>
      <c r="Q210" s="210">
        <f t="shared" si="268"/>
        <v>2.854</v>
      </c>
      <c r="R210" s="210">
        <f t="shared" si="269"/>
        <v>2.854</v>
      </c>
      <c r="S210" s="210">
        <f t="shared" si="270"/>
        <v>2.854</v>
      </c>
      <c r="T210" s="210">
        <f t="shared" si="271"/>
        <v>9.854</v>
      </c>
      <c r="U210" s="210">
        <f t="shared" si="272"/>
        <v>2.854</v>
      </c>
      <c r="V210" s="210">
        <f t="shared" si="273"/>
        <v>2.854</v>
      </c>
      <c r="W210" s="210">
        <f t="shared" si="274"/>
        <v>2.85400000000001</v>
      </c>
      <c r="X210" s="210">
        <f t="shared" si="275"/>
        <v>0</v>
      </c>
      <c r="Y210" s="210">
        <f t="shared" si="276"/>
        <v>0</v>
      </c>
      <c r="Z210" s="210">
        <f t="shared" si="277"/>
        <v>0</v>
      </c>
      <c r="AA210" s="210">
        <f t="shared" si="278"/>
        <v>0</v>
      </c>
      <c r="AB210" s="210">
        <f t="shared" si="279"/>
        <v>0</v>
      </c>
      <c r="AC210" s="210">
        <f t="shared" si="280"/>
        <v>0</v>
      </c>
      <c r="AD210" s="210">
        <f t="shared" si="281"/>
        <v>0</v>
      </c>
      <c r="AE210" s="210">
        <f t="shared" si="282"/>
        <v>0</v>
      </c>
      <c r="AF210" s="210">
        <f t="shared" si="283"/>
        <v>390</v>
      </c>
    </row>
    <row r="211" spans="1:32">
      <c r="A211" s="44" t="s">
        <v>134</v>
      </c>
      <c r="B211" s="210">
        <f t="shared" si="253"/>
        <v>0</v>
      </c>
      <c r="C211" s="210">
        <f t="shared" si="254"/>
        <v>0</v>
      </c>
      <c r="D211" s="210">
        <f t="shared" si="255"/>
        <v>0</v>
      </c>
      <c r="E211" s="210">
        <f t="shared" si="256"/>
        <v>0</v>
      </c>
      <c r="F211" s="210">
        <f t="shared" si="257"/>
        <v>0</v>
      </c>
      <c r="G211" s="210">
        <f t="shared" si="258"/>
        <v>0</v>
      </c>
      <c r="H211" s="210">
        <f t="shared" si="259"/>
        <v>0</v>
      </c>
      <c r="I211" s="210">
        <f t="shared" si="260"/>
        <v>0</v>
      </c>
      <c r="J211" s="210">
        <f t="shared" si="261"/>
        <v>0</v>
      </c>
      <c r="K211" s="210">
        <f t="shared" si="262"/>
        <v>0</v>
      </c>
      <c r="L211" s="210">
        <f t="shared" si="263"/>
        <v>0</v>
      </c>
      <c r="M211" s="210">
        <f t="shared" si="264"/>
        <v>0</v>
      </c>
      <c r="N211" s="210">
        <f t="shared" si="265"/>
        <v>0</v>
      </c>
      <c r="O211" s="210">
        <f t="shared" si="266"/>
        <v>0</v>
      </c>
      <c r="P211" s="210">
        <f t="shared" si="267"/>
        <v>0</v>
      </c>
      <c r="Q211" s="210">
        <f t="shared" si="268"/>
        <v>0</v>
      </c>
      <c r="R211" s="210">
        <f t="shared" si="269"/>
        <v>0</v>
      </c>
      <c r="S211" s="210">
        <f t="shared" si="270"/>
        <v>0</v>
      </c>
      <c r="T211" s="210">
        <f t="shared" si="271"/>
        <v>0</v>
      </c>
      <c r="U211" s="210">
        <f t="shared" si="272"/>
        <v>0</v>
      </c>
      <c r="V211" s="210">
        <f t="shared" si="273"/>
        <v>0</v>
      </c>
      <c r="W211" s="210">
        <f t="shared" si="274"/>
        <v>0</v>
      </c>
      <c r="X211" s="210">
        <f t="shared" si="275"/>
        <v>0</v>
      </c>
      <c r="Y211" s="210">
        <f t="shared" si="276"/>
        <v>0</v>
      </c>
      <c r="Z211" s="210">
        <f t="shared" si="277"/>
        <v>0</v>
      </c>
      <c r="AA211" s="210">
        <f t="shared" si="278"/>
        <v>0</v>
      </c>
      <c r="AB211" s="210">
        <f t="shared" si="279"/>
        <v>0</v>
      </c>
      <c r="AC211" s="210">
        <f t="shared" si="280"/>
        <v>0</v>
      </c>
      <c r="AD211" s="210">
        <f t="shared" si="281"/>
        <v>0</v>
      </c>
      <c r="AE211" s="210">
        <f t="shared" si="282"/>
        <v>0</v>
      </c>
      <c r="AF211" s="210">
        <f t="shared" si="283"/>
        <v>0</v>
      </c>
    </row>
    <row r="212" spans="1:32">
      <c r="A212" s="44" t="s">
        <v>136</v>
      </c>
      <c r="B212" s="210">
        <f t="shared" si="253"/>
        <v>0</v>
      </c>
      <c r="C212" s="210">
        <f t="shared" si="254"/>
        <v>0</v>
      </c>
      <c r="D212" s="210">
        <f t="shared" si="255"/>
        <v>0</v>
      </c>
      <c r="E212" s="210">
        <f t="shared" si="256"/>
        <v>0</v>
      </c>
      <c r="F212" s="210">
        <f t="shared" si="257"/>
        <v>0</v>
      </c>
      <c r="G212" s="210">
        <f t="shared" si="258"/>
        <v>0</v>
      </c>
      <c r="H212" s="210">
        <f t="shared" si="259"/>
        <v>0</v>
      </c>
      <c r="I212" s="210">
        <f t="shared" si="260"/>
        <v>0</v>
      </c>
      <c r="J212" s="210">
        <f t="shared" si="261"/>
        <v>0</v>
      </c>
      <c r="K212" s="210">
        <f t="shared" si="262"/>
        <v>0</v>
      </c>
      <c r="L212" s="210">
        <f t="shared" si="263"/>
        <v>0</v>
      </c>
      <c r="M212" s="210">
        <f t="shared" si="264"/>
        <v>0</v>
      </c>
      <c r="N212" s="210">
        <f t="shared" si="265"/>
        <v>0</v>
      </c>
      <c r="O212" s="210">
        <f t="shared" si="266"/>
        <v>0</v>
      </c>
      <c r="P212" s="210">
        <f t="shared" si="267"/>
        <v>0</v>
      </c>
      <c r="Q212" s="210">
        <f t="shared" si="268"/>
        <v>0</v>
      </c>
      <c r="R212" s="210">
        <f t="shared" si="269"/>
        <v>0</v>
      </c>
      <c r="S212" s="210">
        <f t="shared" si="270"/>
        <v>0</v>
      </c>
      <c r="T212" s="210">
        <f t="shared" si="271"/>
        <v>0</v>
      </c>
      <c r="U212" s="210">
        <f t="shared" si="272"/>
        <v>0</v>
      </c>
      <c r="V212" s="210">
        <f t="shared" si="273"/>
        <v>0</v>
      </c>
      <c r="W212" s="210">
        <f t="shared" si="274"/>
        <v>0</v>
      </c>
      <c r="X212" s="210">
        <f t="shared" si="275"/>
        <v>0</v>
      </c>
      <c r="Y212" s="210">
        <f t="shared" si="276"/>
        <v>0</v>
      </c>
      <c r="Z212" s="210">
        <f t="shared" si="277"/>
        <v>0</v>
      </c>
      <c r="AA212" s="210">
        <f t="shared" si="278"/>
        <v>0</v>
      </c>
      <c r="AB212" s="210">
        <f t="shared" si="279"/>
        <v>0</v>
      </c>
      <c r="AC212" s="210">
        <f t="shared" si="280"/>
        <v>0</v>
      </c>
      <c r="AD212" s="210">
        <f t="shared" si="281"/>
        <v>0</v>
      </c>
      <c r="AE212" s="210">
        <f t="shared" si="282"/>
        <v>0</v>
      </c>
      <c r="AF212" s="210">
        <f t="shared" si="283"/>
        <v>0</v>
      </c>
    </row>
    <row r="213" spans="1:32">
      <c r="A213" s="44" t="s">
        <v>138</v>
      </c>
      <c r="B213" s="210">
        <f t="shared" si="253"/>
        <v>0</v>
      </c>
      <c r="C213" s="210">
        <f t="shared" si="254"/>
        <v>0</v>
      </c>
      <c r="D213" s="210">
        <f t="shared" si="255"/>
        <v>0</v>
      </c>
      <c r="E213" s="210">
        <f t="shared" si="256"/>
        <v>0</v>
      </c>
      <c r="F213" s="210">
        <f t="shared" si="257"/>
        <v>0</v>
      </c>
      <c r="G213" s="210">
        <f t="shared" si="258"/>
        <v>0</v>
      </c>
      <c r="H213" s="210">
        <f t="shared" si="259"/>
        <v>0</v>
      </c>
      <c r="I213" s="210">
        <f t="shared" si="260"/>
        <v>0</v>
      </c>
      <c r="J213" s="210">
        <f t="shared" si="261"/>
        <v>0</v>
      </c>
      <c r="K213" s="210">
        <f t="shared" si="262"/>
        <v>0</v>
      </c>
      <c r="L213" s="210">
        <f t="shared" si="263"/>
        <v>0</v>
      </c>
      <c r="M213" s="210">
        <f t="shared" si="264"/>
        <v>0</v>
      </c>
      <c r="N213" s="210">
        <f t="shared" si="265"/>
        <v>0</v>
      </c>
      <c r="O213" s="210">
        <f t="shared" si="266"/>
        <v>0</v>
      </c>
      <c r="P213" s="210">
        <f t="shared" si="267"/>
        <v>0</v>
      </c>
      <c r="Q213" s="210">
        <f t="shared" si="268"/>
        <v>0</v>
      </c>
      <c r="R213" s="210">
        <f t="shared" si="269"/>
        <v>0</v>
      </c>
      <c r="S213" s="210">
        <f t="shared" si="270"/>
        <v>0</v>
      </c>
      <c r="T213" s="210">
        <f t="shared" si="271"/>
        <v>0</v>
      </c>
      <c r="U213" s="210">
        <f t="shared" si="272"/>
        <v>0</v>
      </c>
      <c r="V213" s="210">
        <f t="shared" si="273"/>
        <v>0</v>
      </c>
      <c r="W213" s="210">
        <f t="shared" si="274"/>
        <v>0</v>
      </c>
      <c r="X213" s="210">
        <f t="shared" si="275"/>
        <v>0</v>
      </c>
      <c r="Y213" s="210">
        <f t="shared" si="276"/>
        <v>0</v>
      </c>
      <c r="Z213" s="210">
        <f t="shared" si="277"/>
        <v>0</v>
      </c>
      <c r="AA213" s="210">
        <f t="shared" si="278"/>
        <v>0</v>
      </c>
      <c r="AB213" s="210">
        <f t="shared" si="279"/>
        <v>0</v>
      </c>
      <c r="AC213" s="210">
        <f t="shared" si="280"/>
        <v>0</v>
      </c>
      <c r="AD213" s="210">
        <f t="shared" si="281"/>
        <v>0</v>
      </c>
      <c r="AE213" s="210">
        <f t="shared" si="282"/>
        <v>0</v>
      </c>
      <c r="AF213" s="210">
        <f t="shared" si="283"/>
        <v>0</v>
      </c>
    </row>
    <row r="214" spans="1:32">
      <c r="A214" s="44" t="s">
        <v>140</v>
      </c>
      <c r="B214" s="210">
        <f t="shared" si="253"/>
        <v>0</v>
      </c>
      <c r="C214" s="210">
        <f t="shared" si="254"/>
        <v>0</v>
      </c>
      <c r="D214" s="210">
        <f t="shared" si="255"/>
        <v>0</v>
      </c>
      <c r="E214" s="210">
        <f t="shared" si="256"/>
        <v>0</v>
      </c>
      <c r="F214" s="210">
        <f t="shared" si="257"/>
        <v>0</v>
      </c>
      <c r="G214" s="210">
        <f t="shared" si="258"/>
        <v>0</v>
      </c>
      <c r="H214" s="210">
        <f t="shared" si="259"/>
        <v>0</v>
      </c>
      <c r="I214" s="210">
        <f t="shared" si="260"/>
        <v>0</v>
      </c>
      <c r="J214" s="210">
        <f t="shared" si="261"/>
        <v>0</v>
      </c>
      <c r="K214" s="210">
        <f t="shared" si="262"/>
        <v>0</v>
      </c>
      <c r="L214" s="210">
        <f t="shared" si="263"/>
        <v>0</v>
      </c>
      <c r="M214" s="210">
        <f t="shared" si="264"/>
        <v>0</v>
      </c>
      <c r="N214" s="210">
        <f t="shared" si="265"/>
        <v>0</v>
      </c>
      <c r="O214" s="210">
        <f t="shared" si="266"/>
        <v>0</v>
      </c>
      <c r="P214" s="210">
        <f t="shared" si="267"/>
        <v>0</v>
      </c>
      <c r="Q214" s="210">
        <f t="shared" si="268"/>
        <v>0</v>
      </c>
      <c r="R214" s="210">
        <f t="shared" si="269"/>
        <v>0</v>
      </c>
      <c r="S214" s="210">
        <f t="shared" si="270"/>
        <v>0</v>
      </c>
      <c r="T214" s="210">
        <f t="shared" si="271"/>
        <v>0</v>
      </c>
      <c r="U214" s="210">
        <f t="shared" si="272"/>
        <v>0</v>
      </c>
      <c r="V214" s="210">
        <f t="shared" si="273"/>
        <v>0</v>
      </c>
      <c r="W214" s="210">
        <f t="shared" si="274"/>
        <v>0</v>
      </c>
      <c r="X214" s="210">
        <f t="shared" si="275"/>
        <v>0</v>
      </c>
      <c r="Y214" s="210">
        <f t="shared" si="276"/>
        <v>0</v>
      </c>
      <c r="Z214" s="210">
        <f t="shared" si="277"/>
        <v>0</v>
      </c>
      <c r="AA214" s="210">
        <f t="shared" si="278"/>
        <v>0</v>
      </c>
      <c r="AB214" s="210">
        <f t="shared" si="279"/>
        <v>0</v>
      </c>
      <c r="AC214" s="210">
        <f t="shared" si="280"/>
        <v>0</v>
      </c>
      <c r="AD214" s="210">
        <f t="shared" si="281"/>
        <v>0</v>
      </c>
      <c r="AE214" s="210">
        <f t="shared" si="282"/>
        <v>0</v>
      </c>
      <c r="AF214" s="210">
        <f t="shared" si="283"/>
        <v>0</v>
      </c>
    </row>
    <row r="215" spans="1:32">
      <c r="A215" s="44" t="s">
        <v>142</v>
      </c>
      <c r="B215" s="210">
        <f t="shared" si="253"/>
        <v>0</v>
      </c>
      <c r="C215" s="210">
        <f t="shared" si="254"/>
        <v>0</v>
      </c>
      <c r="D215" s="210">
        <f t="shared" si="255"/>
        <v>0</v>
      </c>
      <c r="E215" s="210">
        <f t="shared" si="256"/>
        <v>0</v>
      </c>
      <c r="F215" s="210">
        <f t="shared" si="257"/>
        <v>0</v>
      </c>
      <c r="G215" s="210">
        <f t="shared" si="258"/>
        <v>0</v>
      </c>
      <c r="H215" s="210">
        <f t="shared" si="259"/>
        <v>0</v>
      </c>
      <c r="I215" s="210">
        <f t="shared" si="260"/>
        <v>0</v>
      </c>
      <c r="J215" s="210">
        <f t="shared" si="261"/>
        <v>0</v>
      </c>
      <c r="K215" s="210">
        <f t="shared" si="262"/>
        <v>0</v>
      </c>
      <c r="L215" s="210">
        <f t="shared" si="263"/>
        <v>0</v>
      </c>
      <c r="M215" s="210">
        <f t="shared" si="264"/>
        <v>0</v>
      </c>
      <c r="N215" s="210">
        <f t="shared" si="265"/>
        <v>0</v>
      </c>
      <c r="O215" s="210">
        <f t="shared" si="266"/>
        <v>0</v>
      </c>
      <c r="P215" s="210">
        <f t="shared" si="267"/>
        <v>0</v>
      </c>
      <c r="Q215" s="210">
        <f t="shared" si="268"/>
        <v>0</v>
      </c>
      <c r="R215" s="210">
        <f t="shared" si="269"/>
        <v>0</v>
      </c>
      <c r="S215" s="210">
        <f t="shared" si="270"/>
        <v>0</v>
      </c>
      <c r="T215" s="210">
        <f t="shared" si="271"/>
        <v>0</v>
      </c>
      <c r="U215" s="210">
        <f t="shared" si="272"/>
        <v>0</v>
      </c>
      <c r="V215" s="210">
        <f t="shared" si="273"/>
        <v>0</v>
      </c>
      <c r="W215" s="210">
        <f t="shared" si="274"/>
        <v>0</v>
      </c>
      <c r="X215" s="210">
        <f t="shared" si="275"/>
        <v>0</v>
      </c>
      <c r="Y215" s="210">
        <f t="shared" si="276"/>
        <v>0</v>
      </c>
      <c r="Z215" s="210">
        <f t="shared" si="277"/>
        <v>0</v>
      </c>
      <c r="AA215" s="210">
        <f t="shared" si="278"/>
        <v>0</v>
      </c>
      <c r="AB215" s="210">
        <f t="shared" si="279"/>
        <v>0</v>
      </c>
      <c r="AC215" s="210">
        <f t="shared" si="280"/>
        <v>0</v>
      </c>
      <c r="AD215" s="210">
        <f t="shared" si="281"/>
        <v>0</v>
      </c>
      <c r="AE215" s="210">
        <f t="shared" si="282"/>
        <v>0</v>
      </c>
      <c r="AF215" s="210">
        <f t="shared" si="283"/>
        <v>0</v>
      </c>
    </row>
  </sheetData>
  <mergeCells count="15">
    <mergeCell ref="E1:S1"/>
    <mergeCell ref="U1:AH1"/>
    <mergeCell ref="AM1:AR1"/>
    <mergeCell ref="B42:V42"/>
    <mergeCell ref="X42:AR42"/>
    <mergeCell ref="AT42:BN42"/>
    <mergeCell ref="B77:V77"/>
    <mergeCell ref="X77:AR77"/>
    <mergeCell ref="AT77:BN77"/>
    <mergeCell ref="B112:V112"/>
    <mergeCell ref="X112:AR112"/>
    <mergeCell ref="AT112:BN112"/>
    <mergeCell ref="B147:W147"/>
    <mergeCell ref="Z147:BC147"/>
    <mergeCell ref="B182:AF182"/>
  </mergeCells>
  <conditionalFormatting sqref="E5:E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3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3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3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3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3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5:V145 B80:V110 B45:V7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{a8f4c170-2044-459d-a36a-20a781752e46}</x14:id>
        </ext>
      </extLst>
    </cfRule>
  </conditionalFormatting>
  <conditionalFormatting sqref="Y115:AR145 Y80:AR110 Y45:AR7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{5c68b003-b01a-4df0-b67f-447e777952d1}</x14:id>
        </ext>
      </extLst>
    </cfRule>
  </conditionalFormatting>
  <conditionalFormatting sqref="AU115:BN145 AU80:BN110 AU45:BN7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{e8ae0823-0565-4534-b8a0-243f1ab01795}</x14:id>
        </ext>
      </extLst>
    </cfRule>
  </conditionalFormatting>
  <conditionalFormatting sqref="B150:T180 B185:AE215 Z150:BC180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{30544abe-016e-40f0-b2ce-270dbb045205}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f4c170-2044-459d-a36a-20a781752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B115:V145 B80:V110 B45:V75</xm:sqref>
        </x14:conditionalFormatting>
        <x14:conditionalFormatting xmlns:xm="http://schemas.microsoft.com/office/excel/2006/main">
          <x14:cfRule type="dataBar" id="{5c68b003-b01a-4df0-b67f-447e777952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Y115:AR145 Y80:AR110 Y45:AR75</xm:sqref>
        </x14:conditionalFormatting>
        <x14:conditionalFormatting xmlns:xm="http://schemas.microsoft.com/office/excel/2006/main">
          <x14:cfRule type="dataBar" id="{e8ae0823-0565-4534-b8a0-243f1ab017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AU115:BN145 AU80:BN110 AU45:BN75</xm:sqref>
        </x14:conditionalFormatting>
        <x14:conditionalFormatting xmlns:xm="http://schemas.microsoft.com/office/excel/2006/main">
          <x14:cfRule type="dataBar" id="{30544abe-016e-40f0-b2ce-270dbb0452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B150:T180 B185:AE215 Z150:BC180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5"/>
  <sheetViews>
    <sheetView zoomScale="85" zoomScaleNormal="85" topLeftCell="A44" workbookViewId="0">
      <selection activeCell="I82" sqref="I82"/>
    </sheetView>
  </sheetViews>
  <sheetFormatPr defaultColWidth="9" defaultRowHeight="12.75"/>
  <cols>
    <col min="1" max="1" width="17.4247787610619" customWidth="1"/>
    <col min="33" max="33" width="10.283185840708" customWidth="1"/>
  </cols>
  <sheetData>
    <row r="1" spans="1:33">
      <c r="B1" s="190" t="s">
        <v>1343</v>
      </c>
      <c r="C1" s="191"/>
      <c r="D1" s="191"/>
      <c r="E1" s="191"/>
      <c r="F1" s="192" t="s">
        <v>1344</v>
      </c>
      <c r="G1" s="193"/>
      <c r="H1" s="193"/>
      <c r="I1" s="193"/>
      <c r="J1" s="193"/>
      <c r="K1" s="193"/>
      <c r="L1" s="193"/>
      <c r="M1" s="193"/>
      <c r="N1" s="194" t="s">
        <v>1345</v>
      </c>
      <c r="O1" s="192" t="s">
        <v>1344</v>
      </c>
      <c r="P1" s="193"/>
      <c r="Q1" s="193"/>
      <c r="R1" s="193"/>
      <c r="S1" s="193"/>
      <c r="T1" s="193"/>
      <c r="U1" s="193"/>
      <c r="V1" s="193"/>
      <c r="W1" s="194" t="s">
        <v>1345</v>
      </c>
      <c r="X1" s="192" t="s">
        <v>1344</v>
      </c>
      <c r="Y1" s="193"/>
      <c r="Z1" s="193"/>
      <c r="AA1" s="193"/>
      <c r="AB1" s="193"/>
      <c r="AC1" s="193"/>
      <c r="AD1" s="193"/>
      <c r="AE1" s="193"/>
      <c r="AF1" s="194" t="s">
        <v>1345</v>
      </c>
      <c r="AG1" s="194" t="s">
        <v>1346</v>
      </c>
    </row>
    <row r="2" spans="1:33">
      <c r="A2" s="195" t="s">
        <v>1347</v>
      </c>
      <c r="B2" s="196" t="s">
        <v>1348</v>
      </c>
      <c r="C2" s="196"/>
      <c r="D2" s="196"/>
      <c r="E2" s="197"/>
      <c r="F2" s="22">
        <v>2009</v>
      </c>
      <c r="G2" s="22">
        <v>2010</v>
      </c>
      <c r="H2" s="22">
        <v>2011</v>
      </c>
      <c r="I2" s="22">
        <v>2012</v>
      </c>
      <c r="J2" s="22">
        <v>2013</v>
      </c>
      <c r="K2" s="22">
        <v>2014</v>
      </c>
      <c r="L2" s="22">
        <v>2015</v>
      </c>
      <c r="M2" s="22">
        <v>2016</v>
      </c>
      <c r="N2" s="198"/>
      <c r="O2" s="22">
        <v>2009</v>
      </c>
      <c r="P2" s="22">
        <v>2010</v>
      </c>
      <c r="Q2" s="22">
        <v>2011</v>
      </c>
      <c r="R2" s="22">
        <v>2012</v>
      </c>
      <c r="S2" s="22">
        <v>2013</v>
      </c>
      <c r="T2" s="22">
        <v>2014</v>
      </c>
      <c r="U2" s="22">
        <v>2015</v>
      </c>
      <c r="V2" s="22">
        <v>2016</v>
      </c>
      <c r="W2" s="198"/>
      <c r="X2" s="22">
        <v>2009</v>
      </c>
      <c r="Y2" s="22">
        <v>2010</v>
      </c>
      <c r="Z2" s="22">
        <v>2011</v>
      </c>
      <c r="AA2" s="22">
        <v>2012</v>
      </c>
      <c r="AB2" s="22">
        <v>2013</v>
      </c>
      <c r="AC2" s="22">
        <v>2014</v>
      </c>
      <c r="AD2" s="22">
        <v>2015</v>
      </c>
      <c r="AE2" s="22">
        <v>2016</v>
      </c>
      <c r="AF2" s="198"/>
      <c r="AG2" s="194"/>
    </row>
    <row r="3" ht="38.25" spans="1:33">
      <c r="A3" s="195"/>
      <c r="B3" s="199" t="s">
        <v>1349</v>
      </c>
      <c r="C3" s="199" t="s">
        <v>1350</v>
      </c>
      <c r="D3" s="199" t="s">
        <v>1351</v>
      </c>
      <c r="E3" s="199" t="s">
        <v>1352</v>
      </c>
      <c r="F3" s="194" t="s">
        <v>1350</v>
      </c>
      <c r="G3" s="194" t="s">
        <v>1350</v>
      </c>
      <c r="H3" s="194" t="s">
        <v>1350</v>
      </c>
      <c r="I3" s="194" t="s">
        <v>1350</v>
      </c>
      <c r="J3" s="194" t="s">
        <v>1350</v>
      </c>
      <c r="K3" s="194" t="s">
        <v>1350</v>
      </c>
      <c r="L3" s="194" t="s">
        <v>1350</v>
      </c>
      <c r="M3" s="194" t="s">
        <v>1350</v>
      </c>
      <c r="N3" s="194" t="s">
        <v>1350</v>
      </c>
      <c r="O3" s="194" t="s">
        <v>1351</v>
      </c>
      <c r="P3" s="194" t="s">
        <v>1351</v>
      </c>
      <c r="Q3" s="194" t="s">
        <v>1351</v>
      </c>
      <c r="R3" s="194" t="s">
        <v>1351</v>
      </c>
      <c r="S3" s="194" t="s">
        <v>1351</v>
      </c>
      <c r="T3" s="194" t="s">
        <v>1351</v>
      </c>
      <c r="U3" s="194" t="s">
        <v>1351</v>
      </c>
      <c r="V3" s="194" t="s">
        <v>1351</v>
      </c>
      <c r="W3" s="194" t="s">
        <v>1351</v>
      </c>
      <c r="X3" s="194" t="s">
        <v>1352</v>
      </c>
      <c r="Y3" s="194" t="s">
        <v>1352</v>
      </c>
      <c r="Z3" s="194" t="s">
        <v>1352</v>
      </c>
      <c r="AA3" s="194" t="s">
        <v>1352</v>
      </c>
      <c r="AB3" s="194" t="s">
        <v>1352</v>
      </c>
      <c r="AC3" s="194" t="s">
        <v>1352</v>
      </c>
      <c r="AD3" s="194" t="s">
        <v>1352</v>
      </c>
      <c r="AE3" s="194" t="s">
        <v>1352</v>
      </c>
      <c r="AF3" s="194" t="s">
        <v>1352</v>
      </c>
      <c r="AG3" s="194"/>
    </row>
    <row r="4" spans="1:33">
      <c r="A4" s="200" t="s">
        <v>80</v>
      </c>
      <c r="B4" s="201">
        <v>1396</v>
      </c>
      <c r="C4" s="201">
        <v>45</v>
      </c>
      <c r="D4" s="201">
        <v>576</v>
      </c>
      <c r="E4" s="201">
        <v>776</v>
      </c>
      <c r="F4" s="22">
        <f>SUM(F5:F35)</f>
        <v>0.05</v>
      </c>
      <c r="G4" s="22">
        <f t="shared" ref="G4:M4" si="0">SUM(G5:G35)</f>
        <v>0.19</v>
      </c>
      <c r="H4" s="22">
        <f t="shared" si="0"/>
        <v>0</v>
      </c>
      <c r="I4" s="22">
        <f t="shared" si="0"/>
        <v>3.48</v>
      </c>
      <c r="J4" s="22">
        <f t="shared" si="0"/>
        <v>1.08</v>
      </c>
      <c r="K4" s="22">
        <f t="shared" si="0"/>
        <v>0</v>
      </c>
      <c r="L4" s="22">
        <f t="shared" si="0"/>
        <v>0</v>
      </c>
      <c r="M4" s="22">
        <f t="shared" si="0"/>
        <v>0</v>
      </c>
      <c r="N4" s="202">
        <f>IFERROR(MIN(SUM(F4:M4)/C4,1),"")</f>
        <v>0.106666666666667</v>
      </c>
      <c r="O4" s="22">
        <f>SUM(O5:O35)</f>
        <v>11.34</v>
      </c>
      <c r="P4" s="22">
        <f t="shared" ref="P4" si="1">SUM(P5:P35)</f>
        <v>14.03</v>
      </c>
      <c r="Q4" s="22">
        <f t="shared" ref="Q4" si="2">SUM(Q5:Q35)</f>
        <v>25.68</v>
      </c>
      <c r="R4" s="22">
        <f t="shared" ref="R4" si="3">SUM(R5:R35)</f>
        <v>20.02</v>
      </c>
      <c r="S4" s="22">
        <f t="shared" ref="S4" si="4">SUM(S5:S35)</f>
        <v>34.2</v>
      </c>
      <c r="T4" s="22">
        <f t="shared" ref="T4" si="5">SUM(T5:T35)</f>
        <v>21.4</v>
      </c>
      <c r="U4" s="22">
        <f t="shared" ref="U4" si="6">SUM(U5:U35)</f>
        <v>6.05</v>
      </c>
      <c r="V4" s="22">
        <f t="shared" ref="V4" si="7">SUM(V5:V35)</f>
        <v>25.75</v>
      </c>
      <c r="W4" s="202">
        <f>IFERROR(MIN(SUM(O4:V4)/D4,1),"")</f>
        <v>0.275121527777778</v>
      </c>
      <c r="X4" s="22">
        <f>SUM(X5:X35)</f>
        <v>23.2</v>
      </c>
      <c r="Y4" s="22">
        <f t="shared" ref="Y4" si="8">SUM(Y5:Y35)</f>
        <v>43.11</v>
      </c>
      <c r="Z4" s="22">
        <f t="shared" ref="Z4" si="9">SUM(Z5:Z35)</f>
        <v>65.4</v>
      </c>
      <c r="AA4" s="22">
        <f t="shared" ref="AA4" si="10">SUM(AA5:AA35)</f>
        <v>75.2</v>
      </c>
      <c r="AB4" s="22">
        <f t="shared" ref="AB4" si="11">SUM(AB5:AB35)</f>
        <v>56.4</v>
      </c>
      <c r="AC4" s="22">
        <f t="shared" ref="AC4" si="12">SUM(AC5:AC35)</f>
        <v>70.52</v>
      </c>
      <c r="AD4" s="22">
        <f t="shared" ref="AD4" si="13">SUM(AD5:AD35)</f>
        <v>47.4</v>
      </c>
      <c r="AE4" s="22">
        <f t="shared" ref="AE4" si="14">SUM(AE5:AE35)</f>
        <v>63.35</v>
      </c>
      <c r="AF4" s="202">
        <f>IFERROR(MIN(SUM(X4:AE4)/E4,1),"")</f>
        <v>0.572912371134021</v>
      </c>
      <c r="AG4" s="202">
        <f>IFERROR(MIN((SUM(X4:AE4)+SUM(F4:M4))/(C4+E4),1),"")</f>
        <v>0.547356881851401</v>
      </c>
    </row>
    <row r="5" spans="1:33">
      <c r="A5" s="200" t="s">
        <v>82</v>
      </c>
      <c r="B5" s="201">
        <v>14</v>
      </c>
      <c r="C5" s="201">
        <v>1</v>
      </c>
      <c r="D5" s="201">
        <v>13</v>
      </c>
      <c r="E5" s="203"/>
      <c r="F5" s="22">
        <f>SUMIFS('08-21addition'!$L:$L,'08-21addition'!$B:$B,F$2,'08-21addition'!$A:$A,'Biomass&amp;MSW'!$A5)</f>
        <v>0</v>
      </c>
      <c r="G5" s="22">
        <f>SUMIFS('08-21addition'!$L:$L,'08-21addition'!$B:$B,G$2,'08-21addition'!$A:$A,'Biomass&amp;MSW'!$A5)</f>
        <v>0</v>
      </c>
      <c r="H5" s="22">
        <f>SUMIFS('08-21addition'!$L:$L,'08-21addition'!$B:$B,H$2,'08-21addition'!$A:$A,'Biomass&amp;MSW'!$A5)</f>
        <v>0</v>
      </c>
      <c r="I5" s="22">
        <f>SUMIFS('08-21addition'!$L:$L,'08-21addition'!$B:$B,I$2,'08-21addition'!$A:$A,'Biomass&amp;MSW'!$A5)</f>
        <v>0</v>
      </c>
      <c r="J5" s="22">
        <f>SUMIFS('08-21addition'!$L:$L,'08-21addition'!$B:$B,J$2,'08-21addition'!$A:$A,'Biomass&amp;MSW'!$A5)</f>
        <v>0</v>
      </c>
      <c r="K5" s="22">
        <f>SUMIFS('08-21addition'!$L:$L,'08-21addition'!$B:$B,K$2,'08-21addition'!$A:$A,'Biomass&amp;MSW'!$A5)</f>
        <v>0</v>
      </c>
      <c r="L5" s="22">
        <f>SUMIFS('08-21addition'!$L:$L,'08-21addition'!$B:$B,L$2,'08-21addition'!$A:$A,'Biomass&amp;MSW'!$A5)</f>
        <v>0</v>
      </c>
      <c r="M5" s="22">
        <f>SUMIFS('08-21addition'!$L:$L,'08-21addition'!$B:$B,M$2,'08-21addition'!$A:$A,'Biomass&amp;MSW'!$A5)</f>
        <v>0</v>
      </c>
      <c r="N5" s="202">
        <f t="shared" ref="N5:N35" si="15">IFERROR(MIN(SUM(F5:M5)/C5,1),"")</f>
        <v>0</v>
      </c>
      <c r="O5" s="22">
        <f>SUMIFS('08-21addition'!$F:$F,'08-21addition'!$B:$B,O$2,'08-21addition'!$A:$A,'Biomass&amp;MSW'!$A5)</f>
        <v>0</v>
      </c>
      <c r="P5" s="22">
        <f>SUMIFS('08-21addition'!$F:$F,'08-21addition'!$B:$B,P$2,'08-21addition'!$A:$A,'Biomass&amp;MSW'!$A5)</f>
        <v>0</v>
      </c>
      <c r="Q5" s="22">
        <f>SUMIFS('08-21addition'!$F:$F,'08-21addition'!$B:$B,Q$2,'08-21addition'!$A:$A,'Biomass&amp;MSW'!$A5)</f>
        <v>0</v>
      </c>
      <c r="R5" s="22">
        <f>SUMIFS('08-21addition'!$F:$F,'08-21addition'!$B:$B,R$2,'08-21addition'!$A:$A,'Biomass&amp;MSW'!$A5)</f>
        <v>0</v>
      </c>
      <c r="S5" s="22">
        <f>SUMIFS('08-21addition'!$F:$F,'08-21addition'!$B:$B,S$2,'08-21addition'!$A:$A,'Biomass&amp;MSW'!$A5)</f>
        <v>0</v>
      </c>
      <c r="T5" s="22">
        <f>SUMIFS('08-21addition'!$F:$F,'08-21addition'!$B:$B,T$2,'08-21addition'!$A:$A,'Biomass&amp;MSW'!$A5)</f>
        <v>0</v>
      </c>
      <c r="U5" s="22">
        <f>SUMIFS('08-21addition'!$F:$F,'08-21addition'!$B:$B,U$2,'08-21addition'!$A:$A,'Biomass&amp;MSW'!$A5)</f>
        <v>0</v>
      </c>
      <c r="V5" s="22">
        <f>SUMIFS('08-21addition'!$F:$F,'08-21addition'!$B:$B,V$2,'08-21addition'!$A:$A,'Biomass&amp;MSW'!$A5)</f>
        <v>0</v>
      </c>
      <c r="W5" s="202">
        <f t="shared" ref="W5:W35" si="16">IFERROR(MIN(SUM(O5:V5)/D5,1),"")</f>
        <v>0</v>
      </c>
      <c r="X5" s="22">
        <f>SUMIFS('08-21addition'!$E:$E,'08-21addition'!$B:$B,X$2,'08-21addition'!$A:$A,'Biomass&amp;MSW'!$A5)</f>
        <v>0</v>
      </c>
      <c r="Y5" s="22">
        <f>SUMIFS('08-21addition'!$E:$E,'08-21addition'!$B:$B,Y$2,'08-21addition'!$A:$A,'Biomass&amp;MSW'!$A5)</f>
        <v>0</v>
      </c>
      <c r="Z5" s="22">
        <f>SUMIFS('08-21addition'!$E:$E,'08-21addition'!$B:$B,Z$2,'08-21addition'!$A:$A,'Biomass&amp;MSW'!$A5)</f>
        <v>0</v>
      </c>
      <c r="AA5" s="22">
        <f>SUMIFS('08-21addition'!$E:$E,'08-21addition'!$B:$B,AA$2,'08-21addition'!$A:$A,'Biomass&amp;MSW'!$A5)</f>
        <v>0</v>
      </c>
      <c r="AB5" s="22">
        <f>SUMIFS('08-21addition'!$E:$E,'08-21addition'!$B:$B,AB$2,'08-21addition'!$A:$A,'Biomass&amp;MSW'!$A5)</f>
        <v>0</v>
      </c>
      <c r="AC5" s="22">
        <f>SUMIFS('08-21addition'!$E:$E,'08-21addition'!$B:$B,AC$2,'08-21addition'!$A:$A,'Biomass&amp;MSW'!$A5)</f>
        <v>0</v>
      </c>
      <c r="AD5" s="22">
        <f>SUMIFS('08-21addition'!$E:$E,'08-21addition'!$B:$B,AD$2,'08-21addition'!$A:$A,'Biomass&amp;MSW'!$A5)</f>
        <v>0</v>
      </c>
      <c r="AE5" s="22">
        <f>SUMIFS('08-21addition'!$E:$E,'08-21addition'!$B:$B,AE$2,'08-21addition'!$A:$A,'Biomass&amp;MSW'!$A5)</f>
        <v>0</v>
      </c>
      <c r="AF5" s="202" t="str">
        <f t="shared" ref="AF5:AF35" si="17">IFERROR(MIN(SUM(X5:AE5)/E5,1),"")</f>
        <v/>
      </c>
      <c r="AG5" s="202">
        <f t="shared" ref="AG5:AG35" si="18">IFERROR(MIN((SUM(X5:AE5)+SUM(F5:M5))/(C5+E5),1),"")</f>
        <v>0</v>
      </c>
    </row>
    <row r="6" spans="1:33">
      <c r="A6" s="200" t="s">
        <v>84</v>
      </c>
      <c r="B6" s="203">
        <v>10</v>
      </c>
      <c r="C6" s="203"/>
      <c r="D6" s="203">
        <v>10</v>
      </c>
      <c r="E6" s="203"/>
      <c r="F6" s="22">
        <f>SUMIFS('08-21addition'!$L:$L,'08-21addition'!$B:$B,F$2,'08-21addition'!$A:$A,'Biomass&amp;MSW'!$A6)</f>
        <v>0</v>
      </c>
      <c r="G6" s="22">
        <f>SUMIFS('08-21addition'!$L:$L,'08-21addition'!$B:$B,G$2,'08-21addition'!$A:$A,'Biomass&amp;MSW'!$A6)</f>
        <v>0</v>
      </c>
      <c r="H6" s="22">
        <f>SUMIFS('08-21addition'!$L:$L,'08-21addition'!$B:$B,H$2,'08-21addition'!$A:$A,'Biomass&amp;MSW'!$A6)</f>
        <v>0</v>
      </c>
      <c r="I6" s="22">
        <f>SUMIFS('08-21addition'!$L:$L,'08-21addition'!$B:$B,I$2,'08-21addition'!$A:$A,'Biomass&amp;MSW'!$A6)</f>
        <v>0</v>
      </c>
      <c r="J6" s="22">
        <f>SUMIFS('08-21addition'!$L:$L,'08-21addition'!$B:$B,J$2,'08-21addition'!$A:$A,'Biomass&amp;MSW'!$A6)</f>
        <v>0</v>
      </c>
      <c r="K6" s="22">
        <f>SUMIFS('08-21addition'!$L:$L,'08-21addition'!$B:$B,K$2,'08-21addition'!$A:$A,'Biomass&amp;MSW'!$A6)</f>
        <v>0</v>
      </c>
      <c r="L6" s="22">
        <f>SUMIFS('08-21addition'!$L:$L,'08-21addition'!$B:$B,L$2,'08-21addition'!$A:$A,'Biomass&amp;MSW'!$A6)</f>
        <v>0</v>
      </c>
      <c r="M6" s="22">
        <f>SUMIFS('08-21addition'!$L:$L,'08-21addition'!$B:$B,M$2,'08-21addition'!$A:$A,'Biomass&amp;MSW'!$A6)</f>
        <v>0</v>
      </c>
      <c r="N6" s="202" t="str">
        <f t="shared" si="15"/>
        <v/>
      </c>
      <c r="O6" s="22">
        <f>SUMIFS('08-21addition'!$F:$F,'08-21addition'!$B:$B,O$2,'08-21addition'!$A:$A,'Biomass&amp;MSW'!$A6)</f>
        <v>0</v>
      </c>
      <c r="P6" s="22">
        <f>SUMIFS('08-21addition'!$F:$F,'08-21addition'!$B:$B,P$2,'08-21addition'!$A:$A,'Biomass&amp;MSW'!$A6)</f>
        <v>0</v>
      </c>
      <c r="Q6" s="22">
        <f>SUMIFS('08-21addition'!$F:$F,'08-21addition'!$B:$B,Q$2,'08-21addition'!$A:$A,'Biomass&amp;MSW'!$A6)</f>
        <v>0</v>
      </c>
      <c r="R6" s="22">
        <f>SUMIFS('08-21addition'!$F:$F,'08-21addition'!$B:$B,R$2,'08-21addition'!$A:$A,'Biomass&amp;MSW'!$A6)</f>
        <v>0</v>
      </c>
      <c r="S6" s="22">
        <f>SUMIFS('08-21addition'!$F:$F,'08-21addition'!$B:$B,S$2,'08-21addition'!$A:$A,'Biomass&amp;MSW'!$A6)</f>
        <v>0</v>
      </c>
      <c r="T6" s="22">
        <f>SUMIFS('08-21addition'!$F:$F,'08-21addition'!$B:$B,T$2,'08-21addition'!$A:$A,'Biomass&amp;MSW'!$A6)</f>
        <v>0</v>
      </c>
      <c r="U6" s="22">
        <f>SUMIFS('08-21addition'!$F:$F,'08-21addition'!$B:$B,U$2,'08-21addition'!$A:$A,'Biomass&amp;MSW'!$A6)</f>
        <v>0</v>
      </c>
      <c r="V6" s="22">
        <f>SUMIFS('08-21addition'!$F:$F,'08-21addition'!$B:$B,V$2,'08-21addition'!$A:$A,'Biomass&amp;MSW'!$A6)</f>
        <v>1.2</v>
      </c>
      <c r="W6" s="202">
        <f t="shared" si="16"/>
        <v>0.12</v>
      </c>
      <c r="X6" s="22">
        <f>SUMIFS('08-21addition'!$E:$E,'08-21addition'!$B:$B,X$2,'08-21addition'!$A:$A,'Biomass&amp;MSW'!$A6)</f>
        <v>0</v>
      </c>
      <c r="Y6" s="22">
        <f>SUMIFS('08-21addition'!$E:$E,'08-21addition'!$B:$B,Y$2,'08-21addition'!$A:$A,'Biomass&amp;MSW'!$A6)</f>
        <v>0</v>
      </c>
      <c r="Z6" s="22">
        <f>SUMIFS('08-21addition'!$E:$E,'08-21addition'!$B:$B,Z$2,'08-21addition'!$A:$A,'Biomass&amp;MSW'!$A6)</f>
        <v>0</v>
      </c>
      <c r="AA6" s="22">
        <f>SUMIFS('08-21addition'!$E:$E,'08-21addition'!$B:$B,AA$2,'08-21addition'!$A:$A,'Biomass&amp;MSW'!$A6)</f>
        <v>0</v>
      </c>
      <c r="AB6" s="22">
        <f>SUMIFS('08-21addition'!$E:$E,'08-21addition'!$B:$B,AB$2,'08-21addition'!$A:$A,'Biomass&amp;MSW'!$A6)</f>
        <v>0</v>
      </c>
      <c r="AC6" s="22">
        <f>SUMIFS('08-21addition'!$E:$E,'08-21addition'!$B:$B,AC$2,'08-21addition'!$A:$A,'Biomass&amp;MSW'!$A6)</f>
        <v>0</v>
      </c>
      <c r="AD6" s="22">
        <f>SUMIFS('08-21addition'!$E:$E,'08-21addition'!$B:$B,AD$2,'08-21addition'!$A:$A,'Biomass&amp;MSW'!$A6)</f>
        <v>0.6</v>
      </c>
      <c r="AE6" s="22">
        <f>SUMIFS('08-21addition'!$E:$E,'08-21addition'!$B:$B,AE$2,'08-21addition'!$A:$A,'Biomass&amp;MSW'!$A6)</f>
        <v>0</v>
      </c>
      <c r="AF6" s="202" t="str">
        <f t="shared" si="17"/>
        <v/>
      </c>
      <c r="AG6" s="202" t="str">
        <f t="shared" si="18"/>
        <v/>
      </c>
    </row>
    <row r="7" spans="1:33">
      <c r="A7" s="200" t="s">
        <v>86</v>
      </c>
      <c r="B7" s="201">
        <v>55</v>
      </c>
      <c r="C7" s="201">
        <v>1</v>
      </c>
      <c r="D7" s="201">
        <v>16</v>
      </c>
      <c r="E7" s="201">
        <v>38</v>
      </c>
      <c r="F7" s="22">
        <f>SUMIFS('08-21addition'!$L:$L,'08-21addition'!$B:$B,F$2,'08-21addition'!$A:$A,'Biomass&amp;MSW'!$A7)</f>
        <v>0</v>
      </c>
      <c r="G7" s="22">
        <f>SUMIFS('08-21addition'!$L:$L,'08-21addition'!$B:$B,G$2,'08-21addition'!$A:$A,'Biomass&amp;MSW'!$A7)</f>
        <v>0</v>
      </c>
      <c r="H7" s="22">
        <f>SUMIFS('08-21addition'!$L:$L,'08-21addition'!$B:$B,H$2,'08-21addition'!$A:$A,'Biomass&amp;MSW'!$A7)</f>
        <v>0</v>
      </c>
      <c r="I7" s="22">
        <f>SUMIFS('08-21addition'!$L:$L,'08-21addition'!$B:$B,I$2,'08-21addition'!$A:$A,'Biomass&amp;MSW'!$A7)</f>
        <v>0</v>
      </c>
      <c r="J7" s="22">
        <f>SUMIFS('08-21addition'!$L:$L,'08-21addition'!$B:$B,J$2,'08-21addition'!$A:$A,'Biomass&amp;MSW'!$A7)</f>
        <v>0</v>
      </c>
      <c r="K7" s="22">
        <f>SUMIFS('08-21addition'!$L:$L,'08-21addition'!$B:$B,K$2,'08-21addition'!$A:$A,'Biomass&amp;MSW'!$A7)</f>
        <v>0</v>
      </c>
      <c r="L7" s="22">
        <f>SUMIFS('08-21addition'!$L:$L,'08-21addition'!$B:$B,L$2,'08-21addition'!$A:$A,'Biomass&amp;MSW'!$A7)</f>
        <v>0</v>
      </c>
      <c r="M7" s="22">
        <f>SUMIFS('08-21addition'!$L:$L,'08-21addition'!$B:$B,M$2,'08-21addition'!$A:$A,'Biomass&amp;MSW'!$A7)</f>
        <v>0</v>
      </c>
      <c r="N7" s="202">
        <f t="shared" si="15"/>
        <v>0</v>
      </c>
      <c r="O7" s="22">
        <f>SUMIFS('08-21addition'!$F:$F,'08-21addition'!$B:$B,O$2,'08-21addition'!$A:$A,'Biomass&amp;MSW'!$A7)</f>
        <v>0.6</v>
      </c>
      <c r="P7" s="22">
        <f>SUMIFS('08-21addition'!$F:$F,'08-21addition'!$B:$B,P$2,'08-21addition'!$A:$A,'Biomass&amp;MSW'!$A7)</f>
        <v>1.8</v>
      </c>
      <c r="Q7" s="22">
        <f>SUMIFS('08-21addition'!$F:$F,'08-21addition'!$B:$B,Q$2,'08-21addition'!$A:$A,'Biomass&amp;MSW'!$A7)</f>
        <v>0</v>
      </c>
      <c r="R7" s="22">
        <f>SUMIFS('08-21addition'!$F:$F,'08-21addition'!$B:$B,R$2,'08-21addition'!$A:$A,'Biomass&amp;MSW'!$A7)</f>
        <v>3.6</v>
      </c>
      <c r="S7" s="22">
        <f>SUMIFS('08-21addition'!$F:$F,'08-21addition'!$B:$B,S$2,'08-21addition'!$A:$A,'Biomass&amp;MSW'!$A7)</f>
        <v>1.2</v>
      </c>
      <c r="T7" s="22">
        <f>SUMIFS('08-21addition'!$F:$F,'08-21addition'!$B:$B,T$2,'08-21addition'!$A:$A,'Biomass&amp;MSW'!$A7)</f>
        <v>0</v>
      </c>
      <c r="U7" s="22">
        <f>SUMIFS('08-21addition'!$F:$F,'08-21addition'!$B:$B,U$2,'08-21addition'!$A:$A,'Biomass&amp;MSW'!$A7)</f>
        <v>0</v>
      </c>
      <c r="V7" s="22">
        <f>SUMIFS('08-21addition'!$F:$F,'08-21addition'!$B:$B,V$2,'08-21addition'!$A:$A,'Biomass&amp;MSW'!$A7)</f>
        <v>2.4</v>
      </c>
      <c r="W7" s="202">
        <f t="shared" si="16"/>
        <v>0.6</v>
      </c>
      <c r="X7" s="22">
        <f>SUMIFS('08-21addition'!$E:$E,'08-21addition'!$B:$B,X$2,'08-21addition'!$A:$A,'Biomass&amp;MSW'!$A7)</f>
        <v>0</v>
      </c>
      <c r="Y7" s="22">
        <f>SUMIFS('08-21addition'!$E:$E,'08-21addition'!$B:$B,Y$2,'08-21addition'!$A:$A,'Biomass&amp;MSW'!$A7)</f>
        <v>6</v>
      </c>
      <c r="Z7" s="22">
        <f>SUMIFS('08-21addition'!$E:$E,'08-21addition'!$B:$B,Z$2,'08-21addition'!$A:$A,'Biomass&amp;MSW'!$A7)</f>
        <v>5.4</v>
      </c>
      <c r="AA7" s="22">
        <f>SUMIFS('08-21addition'!$E:$E,'08-21addition'!$B:$B,AA$2,'08-21addition'!$A:$A,'Biomass&amp;MSW'!$A7)</f>
        <v>18</v>
      </c>
      <c r="AB7" s="22">
        <f>SUMIFS('08-21addition'!$E:$E,'08-21addition'!$B:$B,AB$2,'08-21addition'!$A:$A,'Biomass&amp;MSW'!$A7)</f>
        <v>0</v>
      </c>
      <c r="AC7" s="22">
        <f>SUMIFS('08-21addition'!$E:$E,'08-21addition'!$B:$B,AC$2,'08-21addition'!$A:$A,'Biomass&amp;MSW'!$A7)</f>
        <v>0</v>
      </c>
      <c r="AD7" s="22">
        <f>SUMIFS('08-21addition'!$E:$E,'08-21addition'!$B:$B,AD$2,'08-21addition'!$A:$A,'Biomass&amp;MSW'!$A7)</f>
        <v>4.5</v>
      </c>
      <c r="AE7" s="22">
        <f>SUMIFS('08-21addition'!$E:$E,'08-21addition'!$B:$B,AE$2,'08-21addition'!$A:$A,'Biomass&amp;MSW'!$A7)</f>
        <v>6</v>
      </c>
      <c r="AF7" s="202">
        <f t="shared" si="17"/>
        <v>1</v>
      </c>
      <c r="AG7" s="202">
        <f t="shared" si="18"/>
        <v>1</v>
      </c>
    </row>
    <row r="8" spans="1:33">
      <c r="A8" s="200" t="s">
        <v>88</v>
      </c>
      <c r="B8" s="201">
        <v>44</v>
      </c>
      <c r="C8" s="201">
        <v>15</v>
      </c>
      <c r="D8" s="201">
        <v>11</v>
      </c>
      <c r="E8" s="201">
        <v>19</v>
      </c>
      <c r="F8" s="22">
        <f>SUMIFS('08-21addition'!$L:$L,'08-21addition'!$B:$B,F$2,'08-21addition'!$A:$A,'Biomass&amp;MSW'!$A8)</f>
        <v>0</v>
      </c>
      <c r="G8" s="22">
        <f>SUMIFS('08-21addition'!$L:$L,'08-21addition'!$B:$B,G$2,'08-21addition'!$A:$A,'Biomass&amp;MSW'!$A8)</f>
        <v>0</v>
      </c>
      <c r="H8" s="22">
        <f>SUMIFS('08-21addition'!$L:$L,'08-21addition'!$B:$B,H$2,'08-21addition'!$A:$A,'Biomass&amp;MSW'!$A8)</f>
        <v>0</v>
      </c>
      <c r="I8" s="22">
        <f>SUMIFS('08-21addition'!$L:$L,'08-21addition'!$B:$B,I$2,'08-21addition'!$A:$A,'Biomass&amp;MSW'!$A8)</f>
        <v>0</v>
      </c>
      <c r="J8" s="22">
        <f>SUMIFS('08-21addition'!$L:$L,'08-21addition'!$B:$B,J$2,'08-21addition'!$A:$A,'Biomass&amp;MSW'!$A8)</f>
        <v>0</v>
      </c>
      <c r="K8" s="22">
        <f>SUMIFS('08-21addition'!$L:$L,'08-21addition'!$B:$B,K$2,'08-21addition'!$A:$A,'Biomass&amp;MSW'!$A8)</f>
        <v>0</v>
      </c>
      <c r="L8" s="22">
        <f>SUMIFS('08-21addition'!$L:$L,'08-21addition'!$B:$B,L$2,'08-21addition'!$A:$A,'Biomass&amp;MSW'!$A8)</f>
        <v>0</v>
      </c>
      <c r="M8" s="22">
        <f>SUMIFS('08-21addition'!$L:$L,'08-21addition'!$B:$B,M$2,'08-21addition'!$A:$A,'Biomass&amp;MSW'!$A8)</f>
        <v>0</v>
      </c>
      <c r="N8" s="202">
        <f t="shared" si="15"/>
        <v>0</v>
      </c>
      <c r="O8" s="22">
        <f>SUMIFS('08-21addition'!$F:$F,'08-21addition'!$B:$B,O$2,'08-21addition'!$A:$A,'Biomass&amp;MSW'!$A8)</f>
        <v>0</v>
      </c>
      <c r="P8" s="22">
        <f>SUMIFS('08-21addition'!$F:$F,'08-21addition'!$B:$B,P$2,'08-21addition'!$A:$A,'Biomass&amp;MSW'!$A8)</f>
        <v>0</v>
      </c>
      <c r="Q8" s="22">
        <f>SUMIFS('08-21addition'!$F:$F,'08-21addition'!$B:$B,Q$2,'08-21addition'!$A:$A,'Biomass&amp;MSW'!$A8)</f>
        <v>0</v>
      </c>
      <c r="R8" s="22">
        <f>SUMIFS('08-21addition'!$F:$F,'08-21addition'!$B:$B,R$2,'08-21addition'!$A:$A,'Biomass&amp;MSW'!$A8)</f>
        <v>0</v>
      </c>
      <c r="S8" s="22">
        <f>SUMIFS('08-21addition'!$F:$F,'08-21addition'!$B:$B,S$2,'08-21addition'!$A:$A,'Biomass&amp;MSW'!$A8)</f>
        <v>0</v>
      </c>
      <c r="T8" s="22">
        <f>SUMIFS('08-21addition'!$F:$F,'08-21addition'!$B:$B,T$2,'08-21addition'!$A:$A,'Biomass&amp;MSW'!$A8)</f>
        <v>0</v>
      </c>
      <c r="U8" s="22">
        <f>SUMIFS('08-21addition'!$F:$F,'08-21addition'!$B:$B,U$2,'08-21addition'!$A:$A,'Biomass&amp;MSW'!$A8)</f>
        <v>0</v>
      </c>
      <c r="V8" s="22">
        <f>SUMIFS('08-21addition'!$F:$F,'08-21addition'!$B:$B,V$2,'08-21addition'!$A:$A,'Biomass&amp;MSW'!$A8)</f>
        <v>0</v>
      </c>
      <c r="W8" s="202">
        <f t="shared" si="16"/>
        <v>0</v>
      </c>
      <c r="X8" s="22">
        <f>SUMIFS('08-21addition'!$E:$E,'08-21addition'!$B:$B,X$2,'08-21addition'!$A:$A,'Biomass&amp;MSW'!$A8)</f>
        <v>0</v>
      </c>
      <c r="Y8" s="22">
        <f>SUMIFS('08-21addition'!$E:$E,'08-21addition'!$B:$B,Y$2,'08-21addition'!$A:$A,'Biomass&amp;MSW'!$A8)</f>
        <v>0.6</v>
      </c>
      <c r="Z8" s="22">
        <f>SUMIFS('08-21addition'!$E:$E,'08-21addition'!$B:$B,Z$2,'08-21addition'!$A:$A,'Biomass&amp;MSW'!$A8)</f>
        <v>0</v>
      </c>
      <c r="AA8" s="22">
        <f>SUMIFS('08-21addition'!$E:$E,'08-21addition'!$B:$B,AA$2,'08-21addition'!$A:$A,'Biomass&amp;MSW'!$A8)</f>
        <v>0</v>
      </c>
      <c r="AB8" s="22">
        <f>SUMIFS('08-21addition'!$E:$E,'08-21addition'!$B:$B,AB$2,'08-21addition'!$A:$A,'Biomass&amp;MSW'!$A8)</f>
        <v>0</v>
      </c>
      <c r="AC8" s="22">
        <f>SUMIFS('08-21addition'!$E:$E,'08-21addition'!$B:$B,AC$2,'08-21addition'!$A:$A,'Biomass&amp;MSW'!$A8)</f>
        <v>0</v>
      </c>
      <c r="AD8" s="22">
        <f>SUMIFS('08-21addition'!$E:$E,'08-21addition'!$B:$B,AD$2,'08-21addition'!$A:$A,'Biomass&amp;MSW'!$A8)</f>
        <v>1.2</v>
      </c>
      <c r="AE8" s="22">
        <f>SUMIFS('08-21addition'!$E:$E,'08-21addition'!$B:$B,AE$2,'08-21addition'!$A:$A,'Biomass&amp;MSW'!$A8)</f>
        <v>0</v>
      </c>
      <c r="AF8" s="202">
        <f t="shared" si="17"/>
        <v>0.0947368421052631</v>
      </c>
      <c r="AG8" s="202">
        <f t="shared" si="18"/>
        <v>0.0529411764705882</v>
      </c>
    </row>
    <row r="9" spans="1:33">
      <c r="A9" s="200" t="s">
        <v>90</v>
      </c>
      <c r="B9" s="201">
        <v>16</v>
      </c>
      <c r="C9" s="203"/>
      <c r="D9" s="201">
        <v>4</v>
      </c>
      <c r="E9" s="201">
        <v>12</v>
      </c>
      <c r="F9" s="22">
        <f>SUMIFS('08-21addition'!$L:$L,'08-21addition'!$B:$B,F$2,'08-21addition'!$A:$A,'Biomass&amp;MSW'!$A9)</f>
        <v>0</v>
      </c>
      <c r="G9" s="22">
        <f>SUMIFS('08-21addition'!$L:$L,'08-21addition'!$B:$B,G$2,'08-21addition'!$A:$A,'Biomass&amp;MSW'!$A9)</f>
        <v>0</v>
      </c>
      <c r="H9" s="22">
        <f>SUMIFS('08-21addition'!$L:$L,'08-21addition'!$B:$B,H$2,'08-21addition'!$A:$A,'Biomass&amp;MSW'!$A9)</f>
        <v>0</v>
      </c>
      <c r="I9" s="22">
        <f>SUMIFS('08-21addition'!$L:$L,'08-21addition'!$B:$B,I$2,'08-21addition'!$A:$A,'Biomass&amp;MSW'!$A9)</f>
        <v>0</v>
      </c>
      <c r="J9" s="22">
        <f>SUMIFS('08-21addition'!$L:$L,'08-21addition'!$B:$B,J$2,'08-21addition'!$A:$A,'Biomass&amp;MSW'!$A9)</f>
        <v>0</v>
      </c>
      <c r="K9" s="22">
        <f>SUMIFS('08-21addition'!$L:$L,'08-21addition'!$B:$B,K$2,'08-21addition'!$A:$A,'Biomass&amp;MSW'!$A9)</f>
        <v>0</v>
      </c>
      <c r="L9" s="22">
        <f>SUMIFS('08-21addition'!$L:$L,'08-21addition'!$B:$B,L$2,'08-21addition'!$A:$A,'Biomass&amp;MSW'!$A9)</f>
        <v>0</v>
      </c>
      <c r="M9" s="22">
        <f>SUMIFS('08-21addition'!$L:$L,'08-21addition'!$B:$B,M$2,'08-21addition'!$A:$A,'Biomass&amp;MSW'!$A9)</f>
        <v>0</v>
      </c>
      <c r="N9" s="202" t="str">
        <f t="shared" si="15"/>
        <v/>
      </c>
      <c r="O9" s="22">
        <f>SUMIFS('08-21addition'!$F:$F,'08-21addition'!$B:$B,O$2,'08-21addition'!$A:$A,'Biomass&amp;MSW'!$A9)</f>
        <v>0</v>
      </c>
      <c r="P9" s="22">
        <f>SUMIFS('08-21addition'!$F:$F,'08-21addition'!$B:$B,P$2,'08-21addition'!$A:$A,'Biomass&amp;MSW'!$A9)</f>
        <v>0</v>
      </c>
      <c r="Q9" s="22">
        <f>SUMIFS('08-21addition'!$F:$F,'08-21addition'!$B:$B,Q$2,'08-21addition'!$A:$A,'Biomass&amp;MSW'!$A9)</f>
        <v>0</v>
      </c>
      <c r="R9" s="22">
        <f>SUMIFS('08-21addition'!$F:$F,'08-21addition'!$B:$B,R$2,'08-21addition'!$A:$A,'Biomass&amp;MSW'!$A9)</f>
        <v>0</v>
      </c>
      <c r="S9" s="22">
        <f>SUMIFS('08-21addition'!$F:$F,'08-21addition'!$B:$B,S$2,'08-21addition'!$A:$A,'Biomass&amp;MSW'!$A9)</f>
        <v>3.6</v>
      </c>
      <c r="T9" s="22">
        <f>SUMIFS('08-21addition'!$F:$F,'08-21addition'!$B:$B,T$2,'08-21addition'!$A:$A,'Biomass&amp;MSW'!$A9)</f>
        <v>0</v>
      </c>
      <c r="U9" s="22">
        <f>SUMIFS('08-21addition'!$F:$F,'08-21addition'!$B:$B,U$2,'08-21addition'!$A:$A,'Biomass&amp;MSW'!$A9)</f>
        <v>0</v>
      </c>
      <c r="V9" s="22">
        <f>SUMIFS('08-21addition'!$F:$F,'08-21addition'!$B:$B,V$2,'08-21addition'!$A:$A,'Biomass&amp;MSW'!$A9)</f>
        <v>0</v>
      </c>
      <c r="W9" s="202">
        <f t="shared" si="16"/>
        <v>0.9</v>
      </c>
      <c r="X9" s="22">
        <f>SUMIFS('08-21addition'!$E:$E,'08-21addition'!$B:$B,X$2,'08-21addition'!$A:$A,'Biomass&amp;MSW'!$A9)</f>
        <v>1.2</v>
      </c>
      <c r="Y9" s="22">
        <f>SUMIFS('08-21addition'!$E:$E,'08-21addition'!$B:$B,Y$2,'08-21addition'!$A:$A,'Biomass&amp;MSW'!$A9)</f>
        <v>1.8</v>
      </c>
      <c r="Z9" s="22">
        <f>SUMIFS('08-21addition'!$E:$E,'08-21addition'!$B:$B,Z$2,'08-21addition'!$A:$A,'Biomass&amp;MSW'!$A9)</f>
        <v>4.8</v>
      </c>
      <c r="AA9" s="22">
        <f>SUMIFS('08-21addition'!$E:$E,'08-21addition'!$B:$B,AA$2,'08-21addition'!$A:$A,'Biomass&amp;MSW'!$A9)</f>
        <v>0</v>
      </c>
      <c r="AB9" s="22">
        <f>SUMIFS('08-21addition'!$E:$E,'08-21addition'!$B:$B,AB$2,'08-21addition'!$A:$A,'Biomass&amp;MSW'!$A9)</f>
        <v>0</v>
      </c>
      <c r="AC9" s="22">
        <f>SUMIFS('08-21addition'!$E:$E,'08-21addition'!$B:$B,AC$2,'08-21addition'!$A:$A,'Biomass&amp;MSW'!$A9)</f>
        <v>0</v>
      </c>
      <c r="AD9" s="22">
        <f>SUMIFS('08-21addition'!$E:$E,'08-21addition'!$B:$B,AD$2,'08-21addition'!$A:$A,'Biomass&amp;MSW'!$A9)</f>
        <v>0</v>
      </c>
      <c r="AE9" s="22">
        <f>SUMIFS('08-21addition'!$E:$E,'08-21addition'!$B:$B,AE$2,'08-21addition'!$A:$A,'Biomass&amp;MSW'!$A9)</f>
        <v>0</v>
      </c>
      <c r="AF9" s="202">
        <f t="shared" si="17"/>
        <v>0.65</v>
      </c>
      <c r="AG9" s="202">
        <f t="shared" si="18"/>
        <v>0.65</v>
      </c>
    </row>
    <row r="10" spans="1:33">
      <c r="A10" s="200" t="s">
        <v>92</v>
      </c>
      <c r="B10" s="201">
        <v>8</v>
      </c>
      <c r="C10" s="203"/>
      <c r="D10" s="201">
        <v>3</v>
      </c>
      <c r="E10" s="201">
        <v>5</v>
      </c>
      <c r="F10" s="22">
        <f>SUMIFS('08-21addition'!$L:$L,'08-21addition'!$B:$B,F$2,'08-21addition'!$A:$A,'Biomass&amp;MSW'!$A10)</f>
        <v>0</v>
      </c>
      <c r="G10" s="22">
        <f>SUMIFS('08-21addition'!$L:$L,'08-21addition'!$B:$B,G$2,'08-21addition'!$A:$A,'Biomass&amp;MSW'!$A10)</f>
        <v>0</v>
      </c>
      <c r="H10" s="22">
        <f>SUMIFS('08-21addition'!$L:$L,'08-21addition'!$B:$B,H$2,'08-21addition'!$A:$A,'Biomass&amp;MSW'!$A10)</f>
        <v>0</v>
      </c>
      <c r="I10" s="22">
        <f>SUMIFS('08-21addition'!$L:$L,'08-21addition'!$B:$B,I$2,'08-21addition'!$A:$A,'Biomass&amp;MSW'!$A10)</f>
        <v>0</v>
      </c>
      <c r="J10" s="22">
        <f>SUMIFS('08-21addition'!$L:$L,'08-21addition'!$B:$B,J$2,'08-21addition'!$A:$A,'Biomass&amp;MSW'!$A10)</f>
        <v>0</v>
      </c>
      <c r="K10" s="22">
        <f>SUMIFS('08-21addition'!$L:$L,'08-21addition'!$B:$B,K$2,'08-21addition'!$A:$A,'Biomass&amp;MSW'!$A10)</f>
        <v>0</v>
      </c>
      <c r="L10" s="22">
        <f>SUMIFS('08-21addition'!$L:$L,'08-21addition'!$B:$B,L$2,'08-21addition'!$A:$A,'Biomass&amp;MSW'!$A10)</f>
        <v>0</v>
      </c>
      <c r="M10" s="22">
        <f>SUMIFS('08-21addition'!$L:$L,'08-21addition'!$B:$B,M$2,'08-21addition'!$A:$A,'Biomass&amp;MSW'!$A10)</f>
        <v>0</v>
      </c>
      <c r="N10" s="202" t="str">
        <f t="shared" si="15"/>
        <v/>
      </c>
      <c r="O10" s="22">
        <f>SUMIFS('08-21addition'!$F:$F,'08-21addition'!$B:$B,O$2,'08-21addition'!$A:$A,'Biomass&amp;MSW'!$A10)</f>
        <v>0</v>
      </c>
      <c r="P10" s="22">
        <f>SUMIFS('08-21addition'!$F:$F,'08-21addition'!$B:$B,P$2,'08-21addition'!$A:$A,'Biomass&amp;MSW'!$A10)</f>
        <v>0</v>
      </c>
      <c r="Q10" s="22">
        <f>SUMIFS('08-21addition'!$F:$F,'08-21addition'!$B:$B,Q$2,'08-21addition'!$A:$A,'Biomass&amp;MSW'!$A10)</f>
        <v>0</v>
      </c>
      <c r="R10" s="22">
        <f>SUMIFS('08-21addition'!$F:$F,'08-21addition'!$B:$B,R$2,'08-21addition'!$A:$A,'Biomass&amp;MSW'!$A10)</f>
        <v>0</v>
      </c>
      <c r="S10" s="22">
        <f>SUMIFS('08-21addition'!$F:$F,'08-21addition'!$B:$B,S$2,'08-21addition'!$A:$A,'Biomass&amp;MSW'!$A10)</f>
        <v>0</v>
      </c>
      <c r="T10" s="22">
        <f>SUMIFS('08-21addition'!$F:$F,'08-21addition'!$B:$B,T$2,'08-21addition'!$A:$A,'Biomass&amp;MSW'!$A10)</f>
        <v>0</v>
      </c>
      <c r="U10" s="22">
        <f>SUMIFS('08-21addition'!$F:$F,'08-21addition'!$B:$B,U$2,'08-21addition'!$A:$A,'Biomass&amp;MSW'!$A10)</f>
        <v>0</v>
      </c>
      <c r="V10" s="22">
        <f>SUMIFS('08-21addition'!$F:$F,'08-21addition'!$B:$B,V$2,'08-21addition'!$A:$A,'Biomass&amp;MSW'!$A10)</f>
        <v>0</v>
      </c>
      <c r="W10" s="202">
        <f t="shared" si="16"/>
        <v>0</v>
      </c>
      <c r="X10" s="22">
        <f>SUMIFS('08-21addition'!$E:$E,'08-21addition'!$B:$B,X$2,'08-21addition'!$A:$A,'Biomass&amp;MSW'!$A10)</f>
        <v>0</v>
      </c>
      <c r="Y10" s="22">
        <f>SUMIFS('08-21addition'!$E:$E,'08-21addition'!$B:$B,Y$2,'08-21addition'!$A:$A,'Biomass&amp;MSW'!$A10)</f>
        <v>0</v>
      </c>
      <c r="Z10" s="22">
        <f>SUMIFS('08-21addition'!$E:$E,'08-21addition'!$B:$B,Z$2,'08-21addition'!$A:$A,'Biomass&amp;MSW'!$A10)</f>
        <v>0</v>
      </c>
      <c r="AA10" s="22">
        <f>SUMIFS('08-21addition'!$E:$E,'08-21addition'!$B:$B,AA$2,'08-21addition'!$A:$A,'Biomass&amp;MSW'!$A10)</f>
        <v>11.1</v>
      </c>
      <c r="AB10" s="22">
        <f>SUMIFS('08-21addition'!$E:$E,'08-21addition'!$B:$B,AB$2,'08-21addition'!$A:$A,'Biomass&amp;MSW'!$A10)</f>
        <v>6</v>
      </c>
      <c r="AC10" s="22">
        <f>SUMIFS('08-21addition'!$E:$E,'08-21addition'!$B:$B,AC$2,'08-21addition'!$A:$A,'Biomass&amp;MSW'!$A10)</f>
        <v>0</v>
      </c>
      <c r="AD10" s="22">
        <f>SUMIFS('08-21addition'!$E:$E,'08-21addition'!$B:$B,AD$2,'08-21addition'!$A:$A,'Biomass&amp;MSW'!$A10)</f>
        <v>0</v>
      </c>
      <c r="AE10" s="22">
        <f>SUMIFS('08-21addition'!$E:$E,'08-21addition'!$B:$B,AE$2,'08-21addition'!$A:$A,'Biomass&amp;MSW'!$A10)</f>
        <v>0</v>
      </c>
      <c r="AF10" s="202">
        <f t="shared" si="17"/>
        <v>1</v>
      </c>
      <c r="AG10" s="202">
        <f t="shared" si="18"/>
        <v>1</v>
      </c>
    </row>
    <row r="11" spans="1:33">
      <c r="A11" s="200" t="s">
        <v>94</v>
      </c>
      <c r="B11" s="201">
        <v>52</v>
      </c>
      <c r="C11" s="201">
        <v>0</v>
      </c>
      <c r="D11" s="201">
        <v>12</v>
      </c>
      <c r="E11" s="201">
        <v>40</v>
      </c>
      <c r="F11" s="22">
        <f>SUMIFS('08-21addition'!$L:$L,'08-21addition'!$B:$B,F$2,'08-21addition'!$A:$A,'Biomass&amp;MSW'!$A11)</f>
        <v>0</v>
      </c>
      <c r="G11" s="22">
        <f>SUMIFS('08-21addition'!$L:$L,'08-21addition'!$B:$B,G$2,'08-21addition'!$A:$A,'Biomass&amp;MSW'!$A11)</f>
        <v>0</v>
      </c>
      <c r="H11" s="22">
        <f>SUMIFS('08-21addition'!$L:$L,'08-21addition'!$B:$B,H$2,'08-21addition'!$A:$A,'Biomass&amp;MSW'!$A11)</f>
        <v>0</v>
      </c>
      <c r="I11" s="22">
        <f>SUMIFS('08-21addition'!$L:$L,'08-21addition'!$B:$B,I$2,'08-21addition'!$A:$A,'Biomass&amp;MSW'!$A11)</f>
        <v>0</v>
      </c>
      <c r="J11" s="22">
        <f>SUMIFS('08-21addition'!$L:$L,'08-21addition'!$B:$B,J$2,'08-21addition'!$A:$A,'Biomass&amp;MSW'!$A11)</f>
        <v>0</v>
      </c>
      <c r="K11" s="22">
        <f>SUMIFS('08-21addition'!$L:$L,'08-21addition'!$B:$B,K$2,'08-21addition'!$A:$A,'Biomass&amp;MSW'!$A11)</f>
        <v>0</v>
      </c>
      <c r="L11" s="22">
        <f>SUMIFS('08-21addition'!$L:$L,'08-21addition'!$B:$B,L$2,'08-21addition'!$A:$A,'Biomass&amp;MSW'!$A11)</f>
        <v>0</v>
      </c>
      <c r="M11" s="22">
        <f>SUMIFS('08-21addition'!$L:$L,'08-21addition'!$B:$B,M$2,'08-21addition'!$A:$A,'Biomass&amp;MSW'!$A11)</f>
        <v>0</v>
      </c>
      <c r="N11" s="202" t="str">
        <f t="shared" si="15"/>
        <v/>
      </c>
      <c r="O11" s="22">
        <f>SUMIFS('08-21addition'!$F:$F,'08-21addition'!$B:$B,O$2,'08-21addition'!$A:$A,'Biomass&amp;MSW'!$A11)</f>
        <v>4.2</v>
      </c>
      <c r="P11" s="22">
        <f>SUMIFS('08-21addition'!$F:$F,'08-21addition'!$B:$B,P$2,'08-21addition'!$A:$A,'Biomass&amp;MSW'!$A11)</f>
        <v>3.1</v>
      </c>
      <c r="Q11" s="22">
        <f>SUMIFS('08-21addition'!$F:$F,'08-21addition'!$B:$B,Q$2,'08-21addition'!$A:$A,'Biomass&amp;MSW'!$A11)</f>
        <v>0</v>
      </c>
      <c r="R11" s="22">
        <f>SUMIFS('08-21addition'!$F:$F,'08-21addition'!$B:$B,R$2,'08-21addition'!$A:$A,'Biomass&amp;MSW'!$A11)</f>
        <v>0</v>
      </c>
      <c r="S11" s="22">
        <f>SUMIFS('08-21addition'!$F:$F,'08-21addition'!$B:$B,S$2,'08-21addition'!$A:$A,'Biomass&amp;MSW'!$A11)</f>
        <v>0</v>
      </c>
      <c r="T11" s="22">
        <f>SUMIFS('08-21addition'!$F:$F,'08-21addition'!$B:$B,T$2,'08-21addition'!$A:$A,'Biomass&amp;MSW'!$A11)</f>
        <v>1.5</v>
      </c>
      <c r="U11" s="22">
        <f>SUMIFS('08-21addition'!$F:$F,'08-21addition'!$B:$B,U$2,'08-21addition'!$A:$A,'Biomass&amp;MSW'!$A11)</f>
        <v>0</v>
      </c>
      <c r="V11" s="22">
        <f>SUMIFS('08-21addition'!$F:$F,'08-21addition'!$B:$B,V$2,'08-21addition'!$A:$A,'Biomass&amp;MSW'!$A11)</f>
        <v>0</v>
      </c>
      <c r="W11" s="202">
        <f t="shared" si="16"/>
        <v>0.733333333333333</v>
      </c>
      <c r="X11" s="22">
        <f>SUMIFS('08-21addition'!$E:$E,'08-21addition'!$B:$B,X$2,'08-21addition'!$A:$A,'Biomass&amp;MSW'!$A11)</f>
        <v>3</v>
      </c>
      <c r="Y11" s="22">
        <f>SUMIFS('08-21addition'!$E:$E,'08-21addition'!$B:$B,Y$2,'08-21addition'!$A:$A,'Biomass&amp;MSW'!$A11)</f>
        <v>0.89</v>
      </c>
      <c r="Z11" s="22">
        <f>SUMIFS('08-21addition'!$E:$E,'08-21addition'!$B:$B,Z$2,'08-21addition'!$A:$A,'Biomass&amp;MSW'!$A11)</f>
        <v>5.5</v>
      </c>
      <c r="AA11" s="22">
        <f>SUMIFS('08-21addition'!$E:$E,'08-21addition'!$B:$B,AA$2,'08-21addition'!$A:$A,'Biomass&amp;MSW'!$A11)</f>
        <v>1.5</v>
      </c>
      <c r="AB11" s="22">
        <f>SUMIFS('08-21addition'!$E:$E,'08-21addition'!$B:$B,AB$2,'08-21addition'!$A:$A,'Biomass&amp;MSW'!$A11)</f>
        <v>0</v>
      </c>
      <c r="AC11" s="22">
        <f>SUMIFS('08-21addition'!$E:$E,'08-21addition'!$B:$B,AC$2,'08-21addition'!$A:$A,'Biomass&amp;MSW'!$A11)</f>
        <v>7.5</v>
      </c>
      <c r="AD11" s="22">
        <f>SUMIFS('08-21addition'!$E:$E,'08-21addition'!$B:$B,AD$2,'08-21addition'!$A:$A,'Biomass&amp;MSW'!$A11)</f>
        <v>6</v>
      </c>
      <c r="AE11" s="22">
        <f>SUMIFS('08-21addition'!$E:$E,'08-21addition'!$B:$B,AE$2,'08-21addition'!$A:$A,'Biomass&amp;MSW'!$A11)</f>
        <v>3</v>
      </c>
      <c r="AF11" s="202">
        <f t="shared" si="17"/>
        <v>0.68475</v>
      </c>
      <c r="AG11" s="202">
        <f t="shared" si="18"/>
        <v>0.68475</v>
      </c>
    </row>
    <row r="12" spans="1:33">
      <c r="A12" s="200" t="s">
        <v>96</v>
      </c>
      <c r="B12" s="201">
        <v>80</v>
      </c>
      <c r="C12" s="201">
        <v>0</v>
      </c>
      <c r="D12" s="201">
        <v>7</v>
      </c>
      <c r="E12" s="201">
        <v>73</v>
      </c>
      <c r="F12" s="22">
        <f>SUMIFS('08-21addition'!$L:$L,'08-21addition'!$B:$B,F$2,'08-21addition'!$A:$A,'Biomass&amp;MSW'!$A12)</f>
        <v>0</v>
      </c>
      <c r="G12" s="22">
        <f>SUMIFS('08-21addition'!$L:$L,'08-21addition'!$B:$B,G$2,'08-21addition'!$A:$A,'Biomass&amp;MSW'!$A12)</f>
        <v>0</v>
      </c>
      <c r="H12" s="22">
        <f>SUMIFS('08-21addition'!$L:$L,'08-21addition'!$B:$B,H$2,'08-21addition'!$A:$A,'Biomass&amp;MSW'!$A12)</f>
        <v>0</v>
      </c>
      <c r="I12" s="22">
        <f>SUMIFS('08-21addition'!$L:$L,'08-21addition'!$B:$B,I$2,'08-21addition'!$A:$A,'Biomass&amp;MSW'!$A12)</f>
        <v>2.4</v>
      </c>
      <c r="J12" s="22">
        <f>SUMIFS('08-21addition'!$L:$L,'08-21addition'!$B:$B,J$2,'08-21addition'!$A:$A,'Biomass&amp;MSW'!$A12)</f>
        <v>0</v>
      </c>
      <c r="K12" s="22">
        <f>SUMIFS('08-21addition'!$L:$L,'08-21addition'!$B:$B,K$2,'08-21addition'!$A:$A,'Biomass&amp;MSW'!$A12)</f>
        <v>0</v>
      </c>
      <c r="L12" s="22">
        <f>SUMIFS('08-21addition'!$L:$L,'08-21addition'!$B:$B,L$2,'08-21addition'!$A:$A,'Biomass&amp;MSW'!$A12)</f>
        <v>0</v>
      </c>
      <c r="M12" s="22">
        <f>SUMIFS('08-21addition'!$L:$L,'08-21addition'!$B:$B,M$2,'08-21addition'!$A:$A,'Biomass&amp;MSW'!$A12)</f>
        <v>0</v>
      </c>
      <c r="N12" s="202" t="str">
        <f t="shared" si="15"/>
        <v/>
      </c>
      <c r="O12" s="22">
        <f>SUMIFS('08-21addition'!$F:$F,'08-21addition'!$B:$B,O$2,'08-21addition'!$A:$A,'Biomass&amp;MSW'!$A12)</f>
        <v>0.09</v>
      </c>
      <c r="P12" s="22">
        <f>SUMIFS('08-21addition'!$F:$F,'08-21addition'!$B:$B,P$2,'08-21addition'!$A:$A,'Biomass&amp;MSW'!$A12)</f>
        <v>0</v>
      </c>
      <c r="Q12" s="22">
        <f>SUMIFS('08-21addition'!$F:$F,'08-21addition'!$B:$B,Q$2,'08-21addition'!$A:$A,'Biomass&amp;MSW'!$A12)</f>
        <v>0</v>
      </c>
      <c r="R12" s="22">
        <f>SUMIFS('08-21addition'!$F:$F,'08-21addition'!$B:$B,R$2,'08-21addition'!$A:$A,'Biomass&amp;MSW'!$A12)</f>
        <v>0</v>
      </c>
      <c r="S12" s="22">
        <f>SUMIFS('08-21addition'!$F:$F,'08-21addition'!$B:$B,S$2,'08-21addition'!$A:$A,'Biomass&amp;MSW'!$A12)</f>
        <v>0</v>
      </c>
      <c r="T12" s="22">
        <f>SUMIFS('08-21addition'!$F:$F,'08-21addition'!$B:$B,T$2,'08-21addition'!$A:$A,'Biomass&amp;MSW'!$A12)</f>
        <v>1.2</v>
      </c>
      <c r="U12" s="22">
        <f>SUMIFS('08-21addition'!$F:$F,'08-21addition'!$B:$B,U$2,'08-21addition'!$A:$A,'Biomass&amp;MSW'!$A12)</f>
        <v>0</v>
      </c>
      <c r="V12" s="22">
        <f>SUMIFS('08-21addition'!$F:$F,'08-21addition'!$B:$B,V$2,'08-21addition'!$A:$A,'Biomass&amp;MSW'!$A12)</f>
        <v>0</v>
      </c>
      <c r="W12" s="202">
        <f t="shared" si="16"/>
        <v>0.184285714285714</v>
      </c>
      <c r="X12" s="22">
        <f>SUMIFS('08-21addition'!$E:$E,'08-21addition'!$B:$B,X$2,'08-21addition'!$A:$A,'Biomass&amp;MSW'!$A12)</f>
        <v>0.3</v>
      </c>
      <c r="Y12" s="22">
        <f>SUMIFS('08-21addition'!$E:$E,'08-21addition'!$B:$B,Y$2,'08-21addition'!$A:$A,'Biomass&amp;MSW'!$A12)</f>
        <v>9</v>
      </c>
      <c r="Z12" s="22">
        <f>SUMIFS('08-21addition'!$E:$E,'08-21addition'!$B:$B,Z$2,'08-21addition'!$A:$A,'Biomass&amp;MSW'!$A12)</f>
        <v>0.6</v>
      </c>
      <c r="AA12" s="22">
        <f>SUMIFS('08-21addition'!$E:$E,'08-21addition'!$B:$B,AA$2,'08-21addition'!$A:$A,'Biomass&amp;MSW'!$A12)</f>
        <v>5.4</v>
      </c>
      <c r="AB12" s="22">
        <f>SUMIFS('08-21addition'!$E:$E,'08-21addition'!$B:$B,AB$2,'08-21addition'!$A:$A,'Biomass&amp;MSW'!$A12)</f>
        <v>3.3</v>
      </c>
      <c r="AC12" s="22">
        <f>SUMIFS('08-21addition'!$E:$E,'08-21addition'!$B:$B,AC$2,'08-21addition'!$A:$A,'Biomass&amp;MSW'!$A12)</f>
        <v>5.81</v>
      </c>
      <c r="AD12" s="22">
        <f>SUMIFS('08-21addition'!$E:$E,'08-21addition'!$B:$B,AD$2,'08-21addition'!$A:$A,'Biomass&amp;MSW'!$A12)</f>
        <v>6.6</v>
      </c>
      <c r="AE12" s="22">
        <f>SUMIFS('08-21addition'!$E:$E,'08-21addition'!$B:$B,AE$2,'08-21addition'!$A:$A,'Biomass&amp;MSW'!$A12)</f>
        <v>9.6</v>
      </c>
      <c r="AF12" s="202">
        <f t="shared" si="17"/>
        <v>0.556301369863014</v>
      </c>
      <c r="AG12" s="202">
        <f t="shared" si="18"/>
        <v>0.589178082191781</v>
      </c>
    </row>
    <row r="13" spans="1:33">
      <c r="A13" s="200" t="s">
        <v>98</v>
      </c>
      <c r="B13" s="201">
        <v>24</v>
      </c>
      <c r="C13" s="201">
        <v>2</v>
      </c>
      <c r="D13" s="201">
        <v>22</v>
      </c>
      <c r="E13" s="203"/>
      <c r="F13" s="22">
        <f>SUMIFS('08-21addition'!$L:$L,'08-21addition'!$B:$B,F$2,'08-21addition'!$A:$A,'Biomass&amp;MSW'!$A13)</f>
        <v>0</v>
      </c>
      <c r="G13" s="22">
        <f>SUMIFS('08-21addition'!$L:$L,'08-21addition'!$B:$B,G$2,'08-21addition'!$A:$A,'Biomass&amp;MSW'!$A13)</f>
        <v>0</v>
      </c>
      <c r="H13" s="22">
        <f>SUMIFS('08-21addition'!$L:$L,'08-21addition'!$B:$B,H$2,'08-21addition'!$A:$A,'Biomass&amp;MSW'!$A13)</f>
        <v>0</v>
      </c>
      <c r="I13" s="22">
        <f>SUMIFS('08-21addition'!$L:$L,'08-21addition'!$B:$B,I$2,'08-21addition'!$A:$A,'Biomass&amp;MSW'!$A13)</f>
        <v>0</v>
      </c>
      <c r="J13" s="22">
        <f>SUMIFS('08-21addition'!$L:$L,'08-21addition'!$B:$B,J$2,'08-21addition'!$A:$A,'Biomass&amp;MSW'!$A13)</f>
        <v>0.98</v>
      </c>
      <c r="K13" s="22">
        <f>SUMIFS('08-21addition'!$L:$L,'08-21addition'!$B:$B,K$2,'08-21addition'!$A:$A,'Biomass&amp;MSW'!$A13)</f>
        <v>0</v>
      </c>
      <c r="L13" s="22">
        <f>SUMIFS('08-21addition'!$L:$L,'08-21addition'!$B:$B,L$2,'08-21addition'!$A:$A,'Biomass&amp;MSW'!$A13)</f>
        <v>0</v>
      </c>
      <c r="M13" s="22">
        <f>SUMIFS('08-21addition'!$L:$L,'08-21addition'!$B:$B,M$2,'08-21addition'!$A:$A,'Biomass&amp;MSW'!$A13)</f>
        <v>0</v>
      </c>
      <c r="N13" s="202">
        <f t="shared" si="15"/>
        <v>0.49</v>
      </c>
      <c r="O13" s="22">
        <f>SUMIFS('08-21addition'!$F:$F,'08-21addition'!$B:$B,O$2,'08-21addition'!$A:$A,'Biomass&amp;MSW'!$A13)</f>
        <v>0</v>
      </c>
      <c r="P13" s="22">
        <f>SUMIFS('08-21addition'!$F:$F,'08-21addition'!$B:$B,P$2,'08-21addition'!$A:$A,'Biomass&amp;MSW'!$A13)</f>
        <v>0</v>
      </c>
      <c r="Q13" s="22">
        <f>SUMIFS('08-21addition'!$F:$F,'08-21addition'!$B:$B,Q$2,'08-21addition'!$A:$A,'Biomass&amp;MSW'!$A13)</f>
        <v>0</v>
      </c>
      <c r="R13" s="22">
        <f>SUMIFS('08-21addition'!$F:$F,'08-21addition'!$B:$B,R$2,'08-21addition'!$A:$A,'Biomass&amp;MSW'!$A13)</f>
        <v>0</v>
      </c>
      <c r="S13" s="22">
        <f>SUMIFS('08-21addition'!$F:$F,'08-21addition'!$B:$B,S$2,'08-21addition'!$A:$A,'Biomass&amp;MSW'!$A13)</f>
        <v>7.5</v>
      </c>
      <c r="T13" s="22">
        <f>SUMIFS('08-21addition'!$F:$F,'08-21addition'!$B:$B,T$2,'08-21addition'!$A:$A,'Biomass&amp;MSW'!$A13)</f>
        <v>4</v>
      </c>
      <c r="U13" s="22">
        <f>SUMIFS('08-21addition'!$F:$F,'08-21addition'!$B:$B,U$2,'08-21addition'!$A:$A,'Biomass&amp;MSW'!$A13)</f>
        <v>0</v>
      </c>
      <c r="V13" s="22">
        <f>SUMIFS('08-21addition'!$F:$F,'08-21addition'!$B:$B,V$2,'08-21addition'!$A:$A,'Biomass&amp;MSW'!$A13)</f>
        <v>0</v>
      </c>
      <c r="W13" s="202">
        <f t="shared" si="16"/>
        <v>0.522727272727273</v>
      </c>
      <c r="X13" s="22">
        <f>SUMIFS('08-21addition'!$E:$E,'08-21addition'!$B:$B,X$2,'08-21addition'!$A:$A,'Biomass&amp;MSW'!$A13)</f>
        <v>0</v>
      </c>
      <c r="Y13" s="22">
        <f>SUMIFS('08-21addition'!$E:$E,'08-21addition'!$B:$B,Y$2,'08-21addition'!$A:$A,'Biomass&amp;MSW'!$A13)</f>
        <v>0</v>
      </c>
      <c r="Z13" s="22">
        <f>SUMIFS('08-21addition'!$E:$E,'08-21addition'!$B:$B,Z$2,'08-21addition'!$A:$A,'Biomass&amp;MSW'!$A13)</f>
        <v>0</v>
      </c>
      <c r="AA13" s="22">
        <f>SUMIFS('08-21addition'!$E:$E,'08-21addition'!$B:$B,AA$2,'08-21addition'!$A:$A,'Biomass&amp;MSW'!$A13)</f>
        <v>0</v>
      </c>
      <c r="AB13" s="22">
        <f>SUMIFS('08-21addition'!$E:$E,'08-21addition'!$B:$B,AB$2,'08-21addition'!$A:$A,'Biomass&amp;MSW'!$A13)</f>
        <v>0</v>
      </c>
      <c r="AC13" s="22">
        <f>SUMIFS('08-21addition'!$E:$E,'08-21addition'!$B:$B,AC$2,'08-21addition'!$A:$A,'Biomass&amp;MSW'!$A13)</f>
        <v>0</v>
      </c>
      <c r="AD13" s="22">
        <f>SUMIFS('08-21addition'!$E:$E,'08-21addition'!$B:$B,AD$2,'08-21addition'!$A:$A,'Biomass&amp;MSW'!$A13)</f>
        <v>0</v>
      </c>
      <c r="AE13" s="22">
        <f>SUMIFS('08-21addition'!$E:$E,'08-21addition'!$B:$B,AE$2,'08-21addition'!$A:$A,'Biomass&amp;MSW'!$A13)</f>
        <v>5.4</v>
      </c>
      <c r="AF13" s="202" t="str">
        <f t="shared" si="17"/>
        <v/>
      </c>
      <c r="AG13" s="202">
        <f t="shared" si="18"/>
        <v>1</v>
      </c>
    </row>
    <row r="14" spans="1:33">
      <c r="A14" s="200" t="s">
        <v>100</v>
      </c>
      <c r="B14" s="201">
        <v>125</v>
      </c>
      <c r="C14" s="201">
        <v>2</v>
      </c>
      <c r="D14" s="201">
        <v>79</v>
      </c>
      <c r="E14" s="201">
        <v>44</v>
      </c>
      <c r="F14" s="22">
        <f>SUMIFS('08-21addition'!$L:$L,'08-21addition'!$B:$B,F$2,'08-21addition'!$A:$A,'Biomass&amp;MSW'!$A14)</f>
        <v>0</v>
      </c>
      <c r="G14" s="22">
        <f>SUMIFS('08-21addition'!$L:$L,'08-21addition'!$B:$B,G$2,'08-21addition'!$A:$A,'Biomass&amp;MSW'!$A14)</f>
        <v>0</v>
      </c>
      <c r="H14" s="22">
        <f>SUMIFS('08-21addition'!$L:$L,'08-21addition'!$B:$B,H$2,'08-21addition'!$A:$A,'Biomass&amp;MSW'!$A14)</f>
        <v>0</v>
      </c>
      <c r="I14" s="22">
        <f>SUMIFS('08-21addition'!$L:$L,'08-21addition'!$B:$B,I$2,'08-21addition'!$A:$A,'Biomass&amp;MSW'!$A14)</f>
        <v>0.58</v>
      </c>
      <c r="J14" s="22">
        <f>SUMIFS('08-21addition'!$L:$L,'08-21addition'!$B:$B,J$2,'08-21addition'!$A:$A,'Biomass&amp;MSW'!$A14)</f>
        <v>0</v>
      </c>
      <c r="K14" s="22">
        <f>SUMIFS('08-21addition'!$L:$L,'08-21addition'!$B:$B,K$2,'08-21addition'!$A:$A,'Biomass&amp;MSW'!$A14)</f>
        <v>0</v>
      </c>
      <c r="L14" s="22">
        <f>SUMIFS('08-21addition'!$L:$L,'08-21addition'!$B:$B,L$2,'08-21addition'!$A:$A,'Biomass&amp;MSW'!$A14)</f>
        <v>0</v>
      </c>
      <c r="M14" s="22">
        <f>SUMIFS('08-21addition'!$L:$L,'08-21addition'!$B:$B,M$2,'08-21addition'!$A:$A,'Biomass&amp;MSW'!$A14)</f>
        <v>0</v>
      </c>
      <c r="N14" s="202">
        <f t="shared" si="15"/>
        <v>0.29</v>
      </c>
      <c r="O14" s="22">
        <f>SUMIFS('08-21addition'!$F:$F,'08-21addition'!$B:$B,O$2,'08-21addition'!$A:$A,'Biomass&amp;MSW'!$A14)</f>
        <v>4.55</v>
      </c>
      <c r="P14" s="22">
        <f>SUMIFS('08-21addition'!$F:$F,'08-21addition'!$B:$B,P$2,'08-21addition'!$A:$A,'Biomass&amp;MSW'!$A14)</f>
        <v>6.2</v>
      </c>
      <c r="Q14" s="22">
        <f>SUMIFS('08-21addition'!$F:$F,'08-21addition'!$B:$B,Q$2,'08-21addition'!$A:$A,'Biomass&amp;MSW'!$A14)</f>
        <v>6.85</v>
      </c>
      <c r="R14" s="22">
        <f>SUMIFS('08-21addition'!$F:$F,'08-21addition'!$B:$B,R$2,'08-21addition'!$A:$A,'Biomass&amp;MSW'!$A14)</f>
        <v>0.75</v>
      </c>
      <c r="S14" s="22">
        <f>SUMIFS('08-21addition'!$F:$F,'08-21addition'!$B:$B,S$2,'08-21addition'!$A:$A,'Biomass&amp;MSW'!$A14)</f>
        <v>11.7</v>
      </c>
      <c r="T14" s="22">
        <f>SUMIFS('08-21addition'!$F:$F,'08-21addition'!$B:$B,T$2,'08-21addition'!$A:$A,'Biomass&amp;MSW'!$A14)</f>
        <v>0</v>
      </c>
      <c r="U14" s="22">
        <f>SUMIFS('08-21addition'!$F:$F,'08-21addition'!$B:$B,U$2,'08-21addition'!$A:$A,'Biomass&amp;MSW'!$A14)</f>
        <v>2.2</v>
      </c>
      <c r="V14" s="22">
        <f>SUMIFS('08-21addition'!$F:$F,'08-21addition'!$B:$B,V$2,'08-21addition'!$A:$A,'Biomass&amp;MSW'!$A14)</f>
        <v>0.6</v>
      </c>
      <c r="W14" s="202">
        <f t="shared" si="16"/>
        <v>0.415822784810127</v>
      </c>
      <c r="X14" s="22">
        <f>SUMIFS('08-21addition'!$E:$E,'08-21addition'!$B:$B,X$2,'08-21addition'!$A:$A,'Biomass&amp;MSW'!$A14)</f>
        <v>6.9</v>
      </c>
      <c r="Y14" s="22">
        <f>SUMIFS('08-21addition'!$E:$E,'08-21addition'!$B:$B,Y$2,'08-21addition'!$A:$A,'Biomass&amp;MSW'!$A14)</f>
        <v>0</v>
      </c>
      <c r="Z14" s="22">
        <f>SUMIFS('08-21addition'!$E:$E,'08-21addition'!$B:$B,Z$2,'08-21addition'!$A:$A,'Biomass&amp;MSW'!$A14)</f>
        <v>1.6</v>
      </c>
      <c r="AA14" s="22">
        <f>SUMIFS('08-21addition'!$E:$E,'08-21addition'!$B:$B,AA$2,'08-21addition'!$A:$A,'Biomass&amp;MSW'!$A14)</f>
        <v>5.4</v>
      </c>
      <c r="AB14" s="22">
        <f>SUMIFS('08-21addition'!$E:$E,'08-21addition'!$B:$B,AB$2,'08-21addition'!$A:$A,'Biomass&amp;MSW'!$A14)</f>
        <v>1.5</v>
      </c>
      <c r="AC14" s="22">
        <f>SUMIFS('08-21addition'!$E:$E,'08-21addition'!$B:$B,AC$2,'08-21addition'!$A:$A,'Biomass&amp;MSW'!$A14)</f>
        <v>0</v>
      </c>
      <c r="AD14" s="22">
        <f>SUMIFS('08-21addition'!$E:$E,'08-21addition'!$B:$B,AD$2,'08-21addition'!$A:$A,'Biomass&amp;MSW'!$A14)</f>
        <v>3</v>
      </c>
      <c r="AE14" s="22">
        <f>SUMIFS('08-21addition'!$E:$E,'08-21addition'!$B:$B,AE$2,'08-21addition'!$A:$A,'Biomass&amp;MSW'!$A14)</f>
        <v>6.5</v>
      </c>
      <c r="AF14" s="202">
        <f t="shared" si="17"/>
        <v>0.565909090909091</v>
      </c>
      <c r="AG14" s="202">
        <f t="shared" si="18"/>
        <v>0.553913043478261</v>
      </c>
    </row>
    <row r="15" spans="1:33">
      <c r="A15" s="200" t="s">
        <v>102</v>
      </c>
      <c r="B15" s="201">
        <v>122</v>
      </c>
      <c r="C15" s="201">
        <v>1</v>
      </c>
      <c r="D15" s="201">
        <v>102</v>
      </c>
      <c r="E15" s="201">
        <v>19</v>
      </c>
      <c r="F15" s="22">
        <f>SUMIFS('08-21addition'!$L:$L,'08-21addition'!$B:$B,F$2,'08-21addition'!$A:$A,'Biomass&amp;MSW'!$A15)</f>
        <v>0</v>
      </c>
      <c r="G15" s="22">
        <f>SUMIFS('08-21addition'!$L:$L,'08-21addition'!$B:$B,G$2,'08-21addition'!$A:$A,'Biomass&amp;MSW'!$A15)</f>
        <v>0</v>
      </c>
      <c r="H15" s="22">
        <f>SUMIFS('08-21addition'!$L:$L,'08-21addition'!$B:$B,H$2,'08-21addition'!$A:$A,'Biomass&amp;MSW'!$A15)</f>
        <v>0</v>
      </c>
      <c r="I15" s="22">
        <f>SUMIFS('08-21addition'!$L:$L,'08-21addition'!$B:$B,I$2,'08-21addition'!$A:$A,'Biomass&amp;MSW'!$A15)</f>
        <v>0</v>
      </c>
      <c r="J15" s="22">
        <f>SUMIFS('08-21addition'!$L:$L,'08-21addition'!$B:$B,J$2,'08-21addition'!$A:$A,'Biomass&amp;MSW'!$A15)</f>
        <v>0</v>
      </c>
      <c r="K15" s="22">
        <f>SUMIFS('08-21addition'!$L:$L,'08-21addition'!$B:$B,K$2,'08-21addition'!$A:$A,'Biomass&amp;MSW'!$A15)</f>
        <v>0</v>
      </c>
      <c r="L15" s="22">
        <f>SUMIFS('08-21addition'!$L:$L,'08-21addition'!$B:$B,L$2,'08-21addition'!$A:$A,'Biomass&amp;MSW'!$A15)</f>
        <v>0</v>
      </c>
      <c r="M15" s="22">
        <f>SUMIFS('08-21addition'!$L:$L,'08-21addition'!$B:$B,M$2,'08-21addition'!$A:$A,'Biomass&amp;MSW'!$A15)</f>
        <v>0</v>
      </c>
      <c r="N15" s="202">
        <f t="shared" si="15"/>
        <v>0</v>
      </c>
      <c r="O15" s="22">
        <f>SUMIFS('08-21addition'!$F:$F,'08-21addition'!$B:$B,O$2,'08-21addition'!$A:$A,'Biomass&amp;MSW'!$A15)</f>
        <v>0</v>
      </c>
      <c r="P15" s="22">
        <f>SUMIFS('08-21addition'!$F:$F,'08-21addition'!$B:$B,P$2,'08-21addition'!$A:$A,'Biomass&amp;MSW'!$A15)</f>
        <v>0</v>
      </c>
      <c r="Q15" s="22">
        <f>SUMIFS('08-21addition'!$F:$F,'08-21addition'!$B:$B,Q$2,'08-21addition'!$A:$A,'Biomass&amp;MSW'!$A15)</f>
        <v>0</v>
      </c>
      <c r="R15" s="22">
        <f>SUMIFS('08-21addition'!$F:$F,'08-21addition'!$B:$B,R$2,'08-21addition'!$A:$A,'Biomass&amp;MSW'!$A15)</f>
        <v>0</v>
      </c>
      <c r="S15" s="22">
        <f>SUMIFS('08-21addition'!$F:$F,'08-21addition'!$B:$B,S$2,'08-21addition'!$A:$A,'Biomass&amp;MSW'!$A15)</f>
        <v>0</v>
      </c>
      <c r="T15" s="22">
        <f>SUMIFS('08-21addition'!$F:$F,'08-21addition'!$B:$B,T$2,'08-21addition'!$A:$A,'Biomass&amp;MSW'!$A15)</f>
        <v>0</v>
      </c>
      <c r="U15" s="22">
        <f>SUMIFS('08-21addition'!$F:$F,'08-21addition'!$B:$B,U$2,'08-21addition'!$A:$A,'Biomass&amp;MSW'!$A15)</f>
        <v>0</v>
      </c>
      <c r="V15" s="22">
        <f>SUMIFS('08-21addition'!$F:$F,'08-21addition'!$B:$B,V$2,'08-21addition'!$A:$A,'Biomass&amp;MSW'!$A15)</f>
        <v>3.25</v>
      </c>
      <c r="W15" s="202">
        <f t="shared" si="16"/>
        <v>0.0318627450980392</v>
      </c>
      <c r="X15" s="22">
        <f>SUMIFS('08-21addition'!$E:$E,'08-21addition'!$B:$B,X$2,'08-21addition'!$A:$A,'Biomass&amp;MSW'!$A15)</f>
        <v>0</v>
      </c>
      <c r="Y15" s="22">
        <f>SUMIFS('08-21addition'!$E:$E,'08-21addition'!$B:$B,Y$2,'08-21addition'!$A:$A,'Biomass&amp;MSW'!$A15)</f>
        <v>0</v>
      </c>
      <c r="Z15" s="22">
        <f>SUMIFS('08-21addition'!$E:$E,'08-21addition'!$B:$B,Z$2,'08-21addition'!$A:$A,'Biomass&amp;MSW'!$A15)</f>
        <v>0</v>
      </c>
      <c r="AA15" s="22">
        <f>SUMIFS('08-21addition'!$E:$E,'08-21addition'!$B:$B,AA$2,'08-21addition'!$A:$A,'Biomass&amp;MSW'!$A15)</f>
        <v>0</v>
      </c>
      <c r="AB15" s="22">
        <f>SUMIFS('08-21addition'!$E:$E,'08-21addition'!$B:$B,AB$2,'08-21addition'!$A:$A,'Biomass&amp;MSW'!$A15)</f>
        <v>0</v>
      </c>
      <c r="AC15" s="22">
        <f>SUMIFS('08-21addition'!$E:$E,'08-21addition'!$B:$B,AC$2,'08-21addition'!$A:$A,'Biomass&amp;MSW'!$A15)</f>
        <v>3</v>
      </c>
      <c r="AD15" s="22">
        <f>SUMIFS('08-21addition'!$E:$E,'08-21addition'!$B:$B,AD$2,'08-21addition'!$A:$A,'Biomass&amp;MSW'!$A15)</f>
        <v>1.5</v>
      </c>
      <c r="AE15" s="22">
        <f>SUMIFS('08-21addition'!$E:$E,'08-21addition'!$B:$B,AE$2,'08-21addition'!$A:$A,'Biomass&amp;MSW'!$A15)</f>
        <v>5.95</v>
      </c>
      <c r="AF15" s="202">
        <f t="shared" si="17"/>
        <v>0.55</v>
      </c>
      <c r="AG15" s="202">
        <f t="shared" si="18"/>
        <v>0.5225</v>
      </c>
    </row>
    <row r="16" spans="1:33">
      <c r="A16" s="200" t="s">
        <v>104</v>
      </c>
      <c r="B16" s="201">
        <v>95</v>
      </c>
      <c r="C16" s="201">
        <v>1</v>
      </c>
      <c r="D16" s="201">
        <v>29</v>
      </c>
      <c r="E16" s="201">
        <v>66</v>
      </c>
      <c r="F16" s="22">
        <f>SUMIFS('08-21addition'!$L:$L,'08-21addition'!$B:$B,F$2,'08-21addition'!$A:$A,'Biomass&amp;MSW'!$A16)</f>
        <v>0</v>
      </c>
      <c r="G16" s="22">
        <f>SUMIFS('08-21addition'!$L:$L,'08-21addition'!$B:$B,G$2,'08-21addition'!$A:$A,'Biomass&amp;MSW'!$A16)</f>
        <v>0</v>
      </c>
      <c r="H16" s="22">
        <f>SUMIFS('08-21addition'!$L:$L,'08-21addition'!$B:$B,H$2,'08-21addition'!$A:$A,'Biomass&amp;MSW'!$A16)</f>
        <v>0</v>
      </c>
      <c r="I16" s="22">
        <f>SUMIFS('08-21addition'!$L:$L,'08-21addition'!$B:$B,I$2,'08-21addition'!$A:$A,'Biomass&amp;MSW'!$A16)</f>
        <v>0</v>
      </c>
      <c r="J16" s="22">
        <f>SUMIFS('08-21addition'!$L:$L,'08-21addition'!$B:$B,J$2,'08-21addition'!$A:$A,'Biomass&amp;MSW'!$A16)</f>
        <v>0</v>
      </c>
      <c r="K16" s="22">
        <f>SUMIFS('08-21addition'!$L:$L,'08-21addition'!$B:$B,K$2,'08-21addition'!$A:$A,'Biomass&amp;MSW'!$A16)</f>
        <v>0</v>
      </c>
      <c r="L16" s="22">
        <f>SUMIFS('08-21addition'!$L:$L,'08-21addition'!$B:$B,L$2,'08-21addition'!$A:$A,'Biomass&amp;MSW'!$A16)</f>
        <v>0</v>
      </c>
      <c r="M16" s="22">
        <f>SUMIFS('08-21addition'!$L:$L,'08-21addition'!$B:$B,M$2,'08-21addition'!$A:$A,'Biomass&amp;MSW'!$A16)</f>
        <v>0</v>
      </c>
      <c r="N16" s="202">
        <f t="shared" si="15"/>
        <v>0</v>
      </c>
      <c r="O16" s="22">
        <f>SUMIFS('08-21addition'!$F:$F,'08-21addition'!$B:$B,O$2,'08-21addition'!$A:$A,'Biomass&amp;MSW'!$A16)</f>
        <v>0</v>
      </c>
      <c r="P16" s="22">
        <f>SUMIFS('08-21addition'!$F:$F,'08-21addition'!$B:$B,P$2,'08-21addition'!$A:$A,'Biomass&amp;MSW'!$A16)</f>
        <v>0</v>
      </c>
      <c r="Q16" s="22">
        <f>SUMIFS('08-21addition'!$F:$F,'08-21addition'!$B:$B,Q$2,'08-21addition'!$A:$A,'Biomass&amp;MSW'!$A16)</f>
        <v>0</v>
      </c>
      <c r="R16" s="22">
        <f>SUMIFS('08-21addition'!$F:$F,'08-21addition'!$B:$B,R$2,'08-21addition'!$A:$A,'Biomass&amp;MSW'!$A16)</f>
        <v>0.1</v>
      </c>
      <c r="S16" s="22">
        <f>SUMIFS('08-21addition'!$F:$F,'08-21addition'!$B:$B,S$2,'08-21addition'!$A:$A,'Biomass&amp;MSW'!$A16)</f>
        <v>0</v>
      </c>
      <c r="T16" s="22">
        <f>SUMIFS('08-21addition'!$F:$F,'08-21addition'!$B:$B,T$2,'08-21addition'!$A:$A,'Biomass&amp;MSW'!$A16)</f>
        <v>6</v>
      </c>
      <c r="U16" s="22">
        <f>SUMIFS('08-21addition'!$F:$F,'08-21addition'!$B:$B,U$2,'08-21addition'!$A:$A,'Biomass&amp;MSW'!$A16)</f>
        <v>1.2</v>
      </c>
      <c r="V16" s="22">
        <f>SUMIFS('08-21addition'!$F:$F,'08-21addition'!$B:$B,V$2,'08-21addition'!$A:$A,'Biomass&amp;MSW'!$A16)</f>
        <v>0</v>
      </c>
      <c r="W16" s="202">
        <f t="shared" si="16"/>
        <v>0.251724137931034</v>
      </c>
      <c r="X16" s="22">
        <f>SUMIFS('08-21addition'!$E:$E,'08-21addition'!$B:$B,X$2,'08-21addition'!$A:$A,'Biomass&amp;MSW'!$A16)</f>
        <v>4.9</v>
      </c>
      <c r="Y16" s="22">
        <f>SUMIFS('08-21addition'!$E:$E,'08-21addition'!$B:$B,Y$2,'08-21addition'!$A:$A,'Biomass&amp;MSW'!$A16)</f>
        <v>3.6</v>
      </c>
      <c r="Z16" s="22">
        <f>SUMIFS('08-21addition'!$E:$E,'08-21addition'!$B:$B,Z$2,'08-21addition'!$A:$A,'Biomass&amp;MSW'!$A16)</f>
        <v>12</v>
      </c>
      <c r="AA16" s="22">
        <f>SUMIFS('08-21addition'!$E:$E,'08-21addition'!$B:$B,AA$2,'08-21addition'!$A:$A,'Biomass&amp;MSW'!$A16)</f>
        <v>3</v>
      </c>
      <c r="AB16" s="22">
        <f>SUMIFS('08-21addition'!$E:$E,'08-21addition'!$B:$B,AB$2,'08-21addition'!$A:$A,'Biomass&amp;MSW'!$A16)</f>
        <v>12</v>
      </c>
      <c r="AC16" s="22">
        <f>SUMIFS('08-21addition'!$E:$E,'08-21addition'!$B:$B,AC$2,'08-21addition'!$A:$A,'Biomass&amp;MSW'!$A16)</f>
        <v>11.4</v>
      </c>
      <c r="AD16" s="22">
        <f>SUMIFS('08-21addition'!$E:$E,'08-21addition'!$B:$B,AD$2,'08-21addition'!$A:$A,'Biomass&amp;MSW'!$A16)</f>
        <v>3</v>
      </c>
      <c r="AE16" s="22">
        <f>SUMIFS('08-21addition'!$E:$E,'08-21addition'!$B:$B,AE$2,'08-21addition'!$A:$A,'Biomass&amp;MSW'!$A16)</f>
        <v>0</v>
      </c>
      <c r="AF16" s="202">
        <f t="shared" si="17"/>
        <v>0.756060606060606</v>
      </c>
      <c r="AG16" s="202">
        <f t="shared" si="18"/>
        <v>0.744776119402985</v>
      </c>
    </row>
    <row r="17" spans="1:33">
      <c r="A17" s="200" t="s">
        <v>106</v>
      </c>
      <c r="B17" s="201">
        <v>36</v>
      </c>
      <c r="C17" s="201">
        <v>1</v>
      </c>
      <c r="D17" s="201">
        <v>30</v>
      </c>
      <c r="E17" s="201">
        <v>5</v>
      </c>
      <c r="F17" s="22">
        <f>SUMIFS('08-21addition'!$L:$L,'08-21addition'!$B:$B,F$2,'08-21addition'!$A:$A,'Biomass&amp;MSW'!$A17)</f>
        <v>0</v>
      </c>
      <c r="G17" s="22">
        <f>SUMIFS('08-21addition'!$L:$L,'08-21addition'!$B:$B,G$2,'08-21addition'!$A:$A,'Biomass&amp;MSW'!$A17)</f>
        <v>0</v>
      </c>
      <c r="H17" s="22">
        <f>SUMIFS('08-21addition'!$L:$L,'08-21addition'!$B:$B,H$2,'08-21addition'!$A:$A,'Biomass&amp;MSW'!$A17)</f>
        <v>0</v>
      </c>
      <c r="I17" s="22">
        <f>SUMIFS('08-21addition'!$L:$L,'08-21addition'!$B:$B,I$2,'08-21addition'!$A:$A,'Biomass&amp;MSW'!$A17)</f>
        <v>0</v>
      </c>
      <c r="J17" s="22">
        <f>SUMIFS('08-21addition'!$L:$L,'08-21addition'!$B:$B,J$2,'08-21addition'!$A:$A,'Biomass&amp;MSW'!$A17)</f>
        <v>0</v>
      </c>
      <c r="K17" s="22">
        <f>SUMIFS('08-21addition'!$L:$L,'08-21addition'!$B:$B,K$2,'08-21addition'!$A:$A,'Biomass&amp;MSW'!$A17)</f>
        <v>0</v>
      </c>
      <c r="L17" s="22">
        <f>SUMIFS('08-21addition'!$L:$L,'08-21addition'!$B:$B,L$2,'08-21addition'!$A:$A,'Biomass&amp;MSW'!$A17)</f>
        <v>0</v>
      </c>
      <c r="M17" s="22">
        <f>SUMIFS('08-21addition'!$L:$L,'08-21addition'!$B:$B,M$2,'08-21addition'!$A:$A,'Biomass&amp;MSW'!$A17)</f>
        <v>0</v>
      </c>
      <c r="N17" s="202">
        <f t="shared" si="15"/>
        <v>0</v>
      </c>
      <c r="O17" s="22">
        <f>SUMIFS('08-21addition'!$F:$F,'08-21addition'!$B:$B,O$2,'08-21addition'!$A:$A,'Biomass&amp;MSW'!$A17)</f>
        <v>0</v>
      </c>
      <c r="P17" s="22">
        <f>SUMIFS('08-21addition'!$F:$F,'08-21addition'!$B:$B,P$2,'08-21addition'!$A:$A,'Biomass&amp;MSW'!$A17)</f>
        <v>0</v>
      </c>
      <c r="Q17" s="22">
        <f>SUMIFS('08-21addition'!$F:$F,'08-21addition'!$B:$B,Q$2,'08-21addition'!$A:$A,'Biomass&amp;MSW'!$A17)</f>
        <v>0</v>
      </c>
      <c r="R17" s="22">
        <f>SUMIFS('08-21addition'!$F:$F,'08-21addition'!$B:$B,R$2,'08-21addition'!$A:$A,'Biomass&amp;MSW'!$A17)</f>
        <v>0</v>
      </c>
      <c r="S17" s="22">
        <f>SUMIFS('08-21addition'!$F:$F,'08-21addition'!$B:$B,S$2,'08-21addition'!$A:$A,'Biomass&amp;MSW'!$A17)</f>
        <v>0</v>
      </c>
      <c r="T17" s="22">
        <f>SUMIFS('08-21addition'!$F:$F,'08-21addition'!$B:$B,T$2,'08-21addition'!$A:$A,'Biomass&amp;MSW'!$A17)</f>
        <v>0</v>
      </c>
      <c r="U17" s="22">
        <f>SUMIFS('08-21addition'!$F:$F,'08-21addition'!$B:$B,U$2,'08-21addition'!$A:$A,'Biomass&amp;MSW'!$A17)</f>
        <v>1.2</v>
      </c>
      <c r="V17" s="22">
        <f>SUMIFS('08-21addition'!$F:$F,'08-21addition'!$B:$B,V$2,'08-21addition'!$A:$A,'Biomass&amp;MSW'!$A17)</f>
        <v>0.6</v>
      </c>
      <c r="W17" s="202">
        <f t="shared" si="16"/>
        <v>0.06</v>
      </c>
      <c r="X17" s="22">
        <f>SUMIFS('08-21addition'!$E:$E,'08-21addition'!$B:$B,X$2,'08-21addition'!$A:$A,'Biomass&amp;MSW'!$A17)</f>
        <v>0</v>
      </c>
      <c r="Y17" s="22">
        <f>SUMIFS('08-21addition'!$E:$E,'08-21addition'!$B:$B,Y$2,'08-21addition'!$A:$A,'Biomass&amp;MSW'!$A17)</f>
        <v>0</v>
      </c>
      <c r="Z17" s="22">
        <f>SUMIFS('08-21addition'!$E:$E,'08-21addition'!$B:$B,Z$2,'08-21addition'!$A:$A,'Biomass&amp;MSW'!$A17)</f>
        <v>0</v>
      </c>
      <c r="AA17" s="22">
        <f>SUMIFS('08-21addition'!$E:$E,'08-21addition'!$B:$B,AA$2,'08-21addition'!$A:$A,'Biomass&amp;MSW'!$A17)</f>
        <v>0</v>
      </c>
      <c r="AB17" s="22">
        <f>SUMIFS('08-21addition'!$E:$E,'08-21addition'!$B:$B,AB$2,'08-21addition'!$A:$A,'Biomass&amp;MSW'!$A17)</f>
        <v>0</v>
      </c>
      <c r="AC17" s="22">
        <f>SUMIFS('08-21addition'!$E:$E,'08-21addition'!$B:$B,AC$2,'08-21addition'!$A:$A,'Biomass&amp;MSW'!$A17)</f>
        <v>1.5</v>
      </c>
      <c r="AD17" s="22">
        <f>SUMIFS('08-21addition'!$E:$E,'08-21addition'!$B:$B,AD$2,'08-21addition'!$A:$A,'Biomass&amp;MSW'!$A17)</f>
        <v>0</v>
      </c>
      <c r="AE17" s="22">
        <f>SUMIFS('08-21addition'!$E:$E,'08-21addition'!$B:$B,AE$2,'08-21addition'!$A:$A,'Biomass&amp;MSW'!$A17)</f>
        <v>0</v>
      </c>
      <c r="AF17" s="202">
        <f t="shared" si="17"/>
        <v>0.3</v>
      </c>
      <c r="AG17" s="202">
        <f t="shared" si="18"/>
        <v>0.25</v>
      </c>
    </row>
    <row r="18" spans="1:33">
      <c r="A18" s="200" t="s">
        <v>108</v>
      </c>
      <c r="B18" s="201">
        <v>28</v>
      </c>
      <c r="C18" s="201">
        <v>0</v>
      </c>
      <c r="D18" s="201">
        <v>7</v>
      </c>
      <c r="E18" s="201">
        <v>20</v>
      </c>
      <c r="F18" s="22">
        <f>SUMIFS('08-21addition'!$L:$L,'08-21addition'!$B:$B,F$2,'08-21addition'!$A:$A,'Biomass&amp;MSW'!$A18)</f>
        <v>0</v>
      </c>
      <c r="G18" s="22">
        <f>SUMIFS('08-21addition'!$L:$L,'08-21addition'!$B:$B,G$2,'08-21addition'!$A:$A,'Biomass&amp;MSW'!$A18)</f>
        <v>0</v>
      </c>
      <c r="H18" s="22">
        <f>SUMIFS('08-21addition'!$L:$L,'08-21addition'!$B:$B,H$2,'08-21addition'!$A:$A,'Biomass&amp;MSW'!$A18)</f>
        <v>0</v>
      </c>
      <c r="I18" s="22">
        <f>SUMIFS('08-21addition'!$L:$L,'08-21addition'!$B:$B,I$2,'08-21addition'!$A:$A,'Biomass&amp;MSW'!$A18)</f>
        <v>0</v>
      </c>
      <c r="J18" s="22">
        <f>SUMIFS('08-21addition'!$L:$L,'08-21addition'!$B:$B,J$2,'08-21addition'!$A:$A,'Biomass&amp;MSW'!$A18)</f>
        <v>0</v>
      </c>
      <c r="K18" s="22">
        <f>SUMIFS('08-21addition'!$L:$L,'08-21addition'!$B:$B,K$2,'08-21addition'!$A:$A,'Biomass&amp;MSW'!$A18)</f>
        <v>0</v>
      </c>
      <c r="L18" s="22">
        <f>SUMIFS('08-21addition'!$L:$L,'08-21addition'!$B:$B,L$2,'08-21addition'!$A:$A,'Biomass&amp;MSW'!$A18)</f>
        <v>0</v>
      </c>
      <c r="M18" s="22">
        <f>SUMIFS('08-21addition'!$L:$L,'08-21addition'!$B:$B,M$2,'08-21addition'!$A:$A,'Biomass&amp;MSW'!$A18)</f>
        <v>0</v>
      </c>
      <c r="N18" s="202" t="str">
        <f t="shared" si="15"/>
        <v/>
      </c>
      <c r="O18" s="22">
        <f>SUMIFS('08-21addition'!$F:$F,'08-21addition'!$B:$B,O$2,'08-21addition'!$A:$A,'Biomass&amp;MSW'!$A18)</f>
        <v>0</v>
      </c>
      <c r="P18" s="22">
        <f>SUMIFS('08-21addition'!$F:$F,'08-21addition'!$B:$B,P$2,'08-21addition'!$A:$A,'Biomass&amp;MSW'!$A18)</f>
        <v>0</v>
      </c>
      <c r="Q18" s="22">
        <f>SUMIFS('08-21addition'!$F:$F,'08-21addition'!$B:$B,Q$2,'08-21addition'!$A:$A,'Biomass&amp;MSW'!$A18)</f>
        <v>0</v>
      </c>
      <c r="R18" s="22">
        <f>SUMIFS('08-21addition'!$F:$F,'08-21addition'!$B:$B,R$2,'08-21addition'!$A:$A,'Biomass&amp;MSW'!$A18)</f>
        <v>0</v>
      </c>
      <c r="S18" s="22">
        <f>SUMIFS('08-21addition'!$F:$F,'08-21addition'!$B:$B,S$2,'08-21addition'!$A:$A,'Biomass&amp;MSW'!$A18)</f>
        <v>0</v>
      </c>
      <c r="T18" s="22">
        <f>SUMIFS('08-21addition'!$F:$F,'08-21addition'!$B:$B,T$2,'08-21addition'!$A:$A,'Biomass&amp;MSW'!$A18)</f>
        <v>0</v>
      </c>
      <c r="U18" s="22">
        <f>SUMIFS('08-21addition'!$F:$F,'08-21addition'!$B:$B,U$2,'08-21addition'!$A:$A,'Biomass&amp;MSW'!$A18)</f>
        <v>0</v>
      </c>
      <c r="V18" s="22">
        <f>SUMIFS('08-21addition'!$F:$F,'08-21addition'!$B:$B,V$2,'08-21addition'!$A:$A,'Biomass&amp;MSW'!$A18)</f>
        <v>0.9</v>
      </c>
      <c r="W18" s="202">
        <f t="shared" si="16"/>
        <v>0.128571428571429</v>
      </c>
      <c r="X18" s="22">
        <f>SUMIFS('08-21addition'!$E:$E,'08-21addition'!$B:$B,X$2,'08-21addition'!$A:$A,'Biomass&amp;MSW'!$A18)</f>
        <v>0</v>
      </c>
      <c r="Y18" s="22">
        <f>SUMIFS('08-21addition'!$E:$E,'08-21addition'!$B:$B,Y$2,'08-21addition'!$A:$A,'Biomass&amp;MSW'!$A18)</f>
        <v>0</v>
      </c>
      <c r="Z18" s="22">
        <f>SUMIFS('08-21addition'!$E:$E,'08-21addition'!$B:$B,Z$2,'08-21addition'!$A:$A,'Biomass&amp;MSW'!$A18)</f>
        <v>0</v>
      </c>
      <c r="AA18" s="22">
        <f>SUMIFS('08-21addition'!$E:$E,'08-21addition'!$B:$B,AA$2,'08-21addition'!$A:$A,'Biomass&amp;MSW'!$A18)</f>
        <v>0</v>
      </c>
      <c r="AB18" s="22">
        <f>SUMIFS('08-21addition'!$E:$E,'08-21addition'!$B:$B,AB$2,'08-21addition'!$A:$A,'Biomass&amp;MSW'!$A18)</f>
        <v>0</v>
      </c>
      <c r="AC18" s="22">
        <f>SUMIFS('08-21addition'!$E:$E,'08-21addition'!$B:$B,AC$2,'08-21addition'!$A:$A,'Biomass&amp;MSW'!$A18)</f>
        <v>0</v>
      </c>
      <c r="AD18" s="22">
        <f>SUMIFS('08-21addition'!$E:$E,'08-21addition'!$B:$B,AD$2,'08-21addition'!$A:$A,'Biomass&amp;MSW'!$A18)</f>
        <v>3</v>
      </c>
      <c r="AE18" s="22">
        <f>SUMIFS('08-21addition'!$E:$E,'08-21addition'!$B:$B,AE$2,'08-21addition'!$A:$A,'Biomass&amp;MSW'!$A18)</f>
        <v>0</v>
      </c>
      <c r="AF18" s="202">
        <f t="shared" si="17"/>
        <v>0.15</v>
      </c>
      <c r="AG18" s="202">
        <f t="shared" si="18"/>
        <v>0.15</v>
      </c>
    </row>
    <row r="19" spans="1:33">
      <c r="A19" s="200" t="s">
        <v>110</v>
      </c>
      <c r="B19" s="201">
        <v>179</v>
      </c>
      <c r="C19" s="201">
        <v>6</v>
      </c>
      <c r="D19" s="201">
        <v>56</v>
      </c>
      <c r="E19" s="201">
        <v>117</v>
      </c>
      <c r="F19" s="22">
        <f>SUMIFS('08-21addition'!$L:$L,'08-21addition'!$B:$B,F$2,'08-21addition'!$A:$A,'Biomass&amp;MSW'!$A19)</f>
        <v>0</v>
      </c>
      <c r="G19" s="22">
        <f>SUMIFS('08-21addition'!$L:$L,'08-21addition'!$B:$B,G$2,'08-21addition'!$A:$A,'Biomass&amp;MSW'!$A19)</f>
        <v>0</v>
      </c>
      <c r="H19" s="22">
        <f>SUMIFS('08-21addition'!$L:$L,'08-21addition'!$B:$B,H$2,'08-21addition'!$A:$A,'Biomass&amp;MSW'!$A19)</f>
        <v>0</v>
      </c>
      <c r="I19" s="22">
        <f>SUMIFS('08-21addition'!$L:$L,'08-21addition'!$B:$B,I$2,'08-21addition'!$A:$A,'Biomass&amp;MSW'!$A19)</f>
        <v>0.4</v>
      </c>
      <c r="J19" s="22">
        <f>SUMIFS('08-21addition'!$L:$L,'08-21addition'!$B:$B,J$2,'08-21addition'!$A:$A,'Biomass&amp;MSW'!$A19)</f>
        <v>0</v>
      </c>
      <c r="K19" s="22">
        <f>SUMIFS('08-21addition'!$L:$L,'08-21addition'!$B:$B,K$2,'08-21addition'!$A:$A,'Biomass&amp;MSW'!$A19)</f>
        <v>0</v>
      </c>
      <c r="L19" s="22">
        <f>SUMIFS('08-21addition'!$L:$L,'08-21addition'!$B:$B,L$2,'08-21addition'!$A:$A,'Biomass&amp;MSW'!$A19)</f>
        <v>0</v>
      </c>
      <c r="M19" s="22">
        <f>SUMIFS('08-21addition'!$L:$L,'08-21addition'!$B:$B,M$2,'08-21addition'!$A:$A,'Biomass&amp;MSW'!$A19)</f>
        <v>0</v>
      </c>
      <c r="N19" s="202">
        <f t="shared" si="15"/>
        <v>0.0666666666666667</v>
      </c>
      <c r="O19" s="22">
        <f>SUMIFS('08-21addition'!$F:$F,'08-21addition'!$B:$B,O$2,'08-21addition'!$A:$A,'Biomass&amp;MSW'!$A19)</f>
        <v>1.8</v>
      </c>
      <c r="P19" s="22">
        <f>SUMIFS('08-21addition'!$F:$F,'08-21addition'!$B:$B,P$2,'08-21addition'!$A:$A,'Biomass&amp;MSW'!$A19)</f>
        <v>0.3</v>
      </c>
      <c r="Q19" s="22">
        <f>SUMIFS('08-21addition'!$F:$F,'08-21addition'!$B:$B,Q$2,'08-21addition'!$A:$A,'Biomass&amp;MSW'!$A19)</f>
        <v>4.91</v>
      </c>
      <c r="R19" s="22">
        <f>SUMIFS('08-21addition'!$F:$F,'08-21addition'!$B:$B,R$2,'08-21addition'!$A:$A,'Biomass&amp;MSW'!$A19)</f>
        <v>4.77</v>
      </c>
      <c r="S19" s="22">
        <f>SUMIFS('08-21addition'!$F:$F,'08-21addition'!$B:$B,S$2,'08-21addition'!$A:$A,'Biomass&amp;MSW'!$A19)</f>
        <v>5.1</v>
      </c>
      <c r="T19" s="22">
        <f>SUMIFS('08-21addition'!$F:$F,'08-21addition'!$B:$B,T$2,'08-21addition'!$A:$A,'Biomass&amp;MSW'!$A19)</f>
        <v>6.3</v>
      </c>
      <c r="U19" s="22">
        <f>SUMIFS('08-21addition'!$F:$F,'08-21addition'!$B:$B,U$2,'08-21addition'!$A:$A,'Biomass&amp;MSW'!$A19)</f>
        <v>0</v>
      </c>
      <c r="V19" s="22">
        <f>SUMIFS('08-21addition'!$F:$F,'08-21addition'!$B:$B,V$2,'08-21addition'!$A:$A,'Biomass&amp;MSW'!$A19)</f>
        <v>0</v>
      </c>
      <c r="W19" s="202">
        <f t="shared" si="16"/>
        <v>0.413928571428571</v>
      </c>
      <c r="X19" s="22">
        <f>SUMIFS('08-21addition'!$E:$E,'08-21addition'!$B:$B,X$2,'08-21addition'!$A:$A,'Biomass&amp;MSW'!$A19)</f>
        <v>3.3</v>
      </c>
      <c r="Y19" s="22">
        <f>SUMIFS('08-21addition'!$E:$E,'08-21addition'!$B:$B,Y$2,'08-21addition'!$A:$A,'Biomass&amp;MSW'!$A19)</f>
        <v>0.9</v>
      </c>
      <c r="Z19" s="22">
        <f>SUMIFS('08-21addition'!$E:$E,'08-21addition'!$B:$B,Z$2,'08-21addition'!$A:$A,'Biomass&amp;MSW'!$A19)</f>
        <v>19.5</v>
      </c>
      <c r="AA19" s="22">
        <f>SUMIFS('08-21addition'!$E:$E,'08-21addition'!$B:$B,AA$2,'08-21addition'!$A:$A,'Biomass&amp;MSW'!$A19)</f>
        <v>10.8</v>
      </c>
      <c r="AB19" s="22">
        <f>SUMIFS('08-21addition'!$E:$E,'08-21addition'!$B:$B,AB$2,'08-21addition'!$A:$A,'Biomass&amp;MSW'!$A19)</f>
        <v>13.1</v>
      </c>
      <c r="AC19" s="22">
        <f>SUMIFS('08-21addition'!$E:$E,'08-21addition'!$B:$B,AC$2,'08-21addition'!$A:$A,'Biomass&amp;MSW'!$A19)</f>
        <v>4.2</v>
      </c>
      <c r="AD19" s="22">
        <f>SUMIFS('08-21addition'!$E:$E,'08-21addition'!$B:$B,AD$2,'08-21addition'!$A:$A,'Biomass&amp;MSW'!$A19)</f>
        <v>9</v>
      </c>
      <c r="AE19" s="22">
        <f>SUMIFS('08-21addition'!$E:$E,'08-21addition'!$B:$B,AE$2,'08-21addition'!$A:$A,'Biomass&amp;MSW'!$A19)</f>
        <v>17.9</v>
      </c>
      <c r="AF19" s="202">
        <f t="shared" si="17"/>
        <v>0.672649572649573</v>
      </c>
      <c r="AG19" s="202">
        <f t="shared" si="18"/>
        <v>0.643089430894309</v>
      </c>
    </row>
    <row r="20" spans="1:33">
      <c r="A20" s="200" t="s">
        <v>112</v>
      </c>
      <c r="B20" s="201">
        <v>47</v>
      </c>
      <c r="C20" s="203"/>
      <c r="D20" s="201">
        <v>8</v>
      </c>
      <c r="E20" s="201">
        <v>39</v>
      </c>
      <c r="F20" s="22">
        <f>SUMIFS('08-21addition'!$L:$L,'08-21addition'!$B:$B,F$2,'08-21addition'!$A:$A,'Biomass&amp;MSW'!$A20)</f>
        <v>0</v>
      </c>
      <c r="G20" s="22">
        <f>SUMIFS('08-21addition'!$L:$L,'08-21addition'!$B:$B,G$2,'08-21addition'!$A:$A,'Biomass&amp;MSW'!$A20)</f>
        <v>0</v>
      </c>
      <c r="H20" s="22">
        <f>SUMIFS('08-21addition'!$L:$L,'08-21addition'!$B:$B,H$2,'08-21addition'!$A:$A,'Biomass&amp;MSW'!$A20)</f>
        <v>0</v>
      </c>
      <c r="I20" s="22">
        <f>SUMIFS('08-21addition'!$L:$L,'08-21addition'!$B:$B,I$2,'08-21addition'!$A:$A,'Biomass&amp;MSW'!$A20)</f>
        <v>0</v>
      </c>
      <c r="J20" s="22">
        <f>SUMIFS('08-21addition'!$L:$L,'08-21addition'!$B:$B,J$2,'08-21addition'!$A:$A,'Biomass&amp;MSW'!$A20)</f>
        <v>0</v>
      </c>
      <c r="K20" s="22">
        <f>SUMIFS('08-21addition'!$L:$L,'08-21addition'!$B:$B,K$2,'08-21addition'!$A:$A,'Biomass&amp;MSW'!$A20)</f>
        <v>0</v>
      </c>
      <c r="L20" s="22">
        <f>SUMIFS('08-21addition'!$L:$L,'08-21addition'!$B:$B,L$2,'08-21addition'!$A:$A,'Biomass&amp;MSW'!$A20)</f>
        <v>0</v>
      </c>
      <c r="M20" s="22">
        <f>SUMIFS('08-21addition'!$L:$L,'08-21addition'!$B:$B,M$2,'08-21addition'!$A:$A,'Biomass&amp;MSW'!$A20)</f>
        <v>0</v>
      </c>
      <c r="N20" s="202" t="str">
        <f t="shared" si="15"/>
        <v/>
      </c>
      <c r="O20" s="22">
        <f>SUMIFS('08-21addition'!$F:$F,'08-21addition'!$B:$B,O$2,'08-21addition'!$A:$A,'Biomass&amp;MSW'!$A20)</f>
        <v>0</v>
      </c>
      <c r="P20" s="22">
        <f>SUMIFS('08-21addition'!$F:$F,'08-21addition'!$B:$B,P$2,'08-21addition'!$A:$A,'Biomass&amp;MSW'!$A20)</f>
        <v>0</v>
      </c>
      <c r="Q20" s="22">
        <f>SUMIFS('08-21addition'!$F:$F,'08-21addition'!$B:$B,Q$2,'08-21addition'!$A:$A,'Biomass&amp;MSW'!$A20)</f>
        <v>0</v>
      </c>
      <c r="R20" s="22">
        <f>SUMIFS('08-21addition'!$F:$F,'08-21addition'!$B:$B,R$2,'08-21addition'!$A:$A,'Biomass&amp;MSW'!$A20)</f>
        <v>0</v>
      </c>
      <c r="S20" s="22">
        <f>SUMIFS('08-21addition'!$F:$F,'08-21addition'!$B:$B,S$2,'08-21addition'!$A:$A,'Biomass&amp;MSW'!$A20)</f>
        <v>0</v>
      </c>
      <c r="T20" s="22">
        <f>SUMIFS('08-21addition'!$F:$F,'08-21addition'!$B:$B,T$2,'08-21addition'!$A:$A,'Biomass&amp;MSW'!$A20)</f>
        <v>0</v>
      </c>
      <c r="U20" s="22">
        <f>SUMIFS('08-21addition'!$F:$F,'08-21addition'!$B:$B,U$2,'08-21addition'!$A:$A,'Biomass&amp;MSW'!$A20)</f>
        <v>0</v>
      </c>
      <c r="V20" s="22">
        <f>SUMIFS('08-21addition'!$F:$F,'08-21addition'!$B:$B,V$2,'08-21addition'!$A:$A,'Biomass&amp;MSW'!$A20)</f>
        <v>0</v>
      </c>
      <c r="W20" s="202">
        <f t="shared" si="16"/>
        <v>0</v>
      </c>
      <c r="X20" s="22">
        <f>SUMIFS('08-21addition'!$E:$E,'08-21addition'!$B:$B,X$2,'08-21addition'!$A:$A,'Biomass&amp;MSW'!$A20)</f>
        <v>3.6</v>
      </c>
      <c r="Y20" s="22">
        <f>SUMIFS('08-21addition'!$E:$E,'08-21addition'!$B:$B,Y$2,'08-21addition'!$A:$A,'Biomass&amp;MSW'!$A20)</f>
        <v>0</v>
      </c>
      <c r="Z20" s="22">
        <f>SUMIFS('08-21addition'!$E:$E,'08-21addition'!$B:$B,Z$2,'08-21addition'!$A:$A,'Biomass&amp;MSW'!$A20)</f>
        <v>1.5</v>
      </c>
      <c r="AA20" s="22">
        <f>SUMIFS('08-21addition'!$E:$E,'08-21addition'!$B:$B,AA$2,'08-21addition'!$A:$A,'Biomass&amp;MSW'!$A20)</f>
        <v>1.5</v>
      </c>
      <c r="AB20" s="22">
        <f>SUMIFS('08-21addition'!$E:$E,'08-21addition'!$B:$B,AB$2,'08-21addition'!$A:$A,'Biomass&amp;MSW'!$A20)</f>
        <v>0</v>
      </c>
      <c r="AC20" s="22">
        <f>SUMIFS('08-21addition'!$E:$E,'08-21addition'!$B:$B,AC$2,'08-21addition'!$A:$A,'Biomass&amp;MSW'!$A20)</f>
        <v>3.4</v>
      </c>
      <c r="AD20" s="22">
        <f>SUMIFS('08-21addition'!$E:$E,'08-21addition'!$B:$B,AD$2,'08-21addition'!$A:$A,'Biomass&amp;MSW'!$A20)</f>
        <v>0</v>
      </c>
      <c r="AE20" s="22">
        <f>SUMIFS('08-21addition'!$E:$E,'08-21addition'!$B:$B,AE$2,'08-21addition'!$A:$A,'Biomass&amp;MSW'!$A20)</f>
        <v>0</v>
      </c>
      <c r="AF20" s="202">
        <f t="shared" si="17"/>
        <v>0.256410256410256</v>
      </c>
      <c r="AG20" s="202">
        <f t="shared" si="18"/>
        <v>0.256410256410256</v>
      </c>
    </row>
    <row r="21" spans="1:33">
      <c r="A21" s="200" t="s">
        <v>114</v>
      </c>
      <c r="B21" s="201">
        <v>65</v>
      </c>
      <c r="C21" s="201">
        <v>1</v>
      </c>
      <c r="D21" s="201">
        <v>21</v>
      </c>
      <c r="E21" s="201">
        <v>43</v>
      </c>
      <c r="F21" s="22">
        <f>SUMIFS('08-21addition'!$L:$L,'08-21addition'!$B:$B,F$2,'08-21addition'!$A:$A,'Biomass&amp;MSW'!$A21)</f>
        <v>0</v>
      </c>
      <c r="G21" s="22">
        <f>SUMIFS('08-21addition'!$L:$L,'08-21addition'!$B:$B,G$2,'08-21addition'!$A:$A,'Biomass&amp;MSW'!$A21)</f>
        <v>0.19</v>
      </c>
      <c r="H21" s="22">
        <f>SUMIFS('08-21addition'!$L:$L,'08-21addition'!$B:$B,H$2,'08-21addition'!$A:$A,'Biomass&amp;MSW'!$A21)</f>
        <v>0</v>
      </c>
      <c r="I21" s="22">
        <f>SUMIFS('08-21addition'!$L:$L,'08-21addition'!$B:$B,I$2,'08-21addition'!$A:$A,'Biomass&amp;MSW'!$A21)</f>
        <v>0.1</v>
      </c>
      <c r="J21" s="22">
        <f>SUMIFS('08-21addition'!$L:$L,'08-21addition'!$B:$B,J$2,'08-21addition'!$A:$A,'Biomass&amp;MSW'!$A21)</f>
        <v>0</v>
      </c>
      <c r="K21" s="22">
        <f>SUMIFS('08-21addition'!$L:$L,'08-21addition'!$B:$B,K$2,'08-21addition'!$A:$A,'Biomass&amp;MSW'!$A21)</f>
        <v>0</v>
      </c>
      <c r="L21" s="22">
        <f>SUMIFS('08-21addition'!$L:$L,'08-21addition'!$B:$B,L$2,'08-21addition'!$A:$A,'Biomass&amp;MSW'!$A21)</f>
        <v>0</v>
      </c>
      <c r="M21" s="22">
        <f>SUMIFS('08-21addition'!$L:$L,'08-21addition'!$B:$B,M$2,'08-21addition'!$A:$A,'Biomass&amp;MSW'!$A21)</f>
        <v>0</v>
      </c>
      <c r="N21" s="202">
        <f t="shared" si="15"/>
        <v>0.29</v>
      </c>
      <c r="O21" s="22">
        <f>SUMIFS('08-21addition'!$F:$F,'08-21addition'!$B:$B,O$2,'08-21addition'!$A:$A,'Biomass&amp;MSW'!$A21)</f>
        <v>0</v>
      </c>
      <c r="P21" s="22">
        <f>SUMIFS('08-21addition'!$F:$F,'08-21addition'!$B:$B,P$2,'08-21addition'!$A:$A,'Biomass&amp;MSW'!$A21)</f>
        <v>2.4</v>
      </c>
      <c r="Q21" s="22">
        <f>SUMIFS('08-21addition'!$F:$F,'08-21addition'!$B:$B,Q$2,'08-21addition'!$A:$A,'Biomass&amp;MSW'!$A21)</f>
        <v>0</v>
      </c>
      <c r="R21" s="22">
        <f>SUMIFS('08-21addition'!$F:$F,'08-21addition'!$B:$B,R$2,'08-21addition'!$A:$A,'Biomass&amp;MSW'!$A21)</f>
        <v>6</v>
      </c>
      <c r="S21" s="22">
        <f>SUMIFS('08-21addition'!$F:$F,'08-21addition'!$B:$B,S$2,'08-21addition'!$A:$A,'Biomass&amp;MSW'!$A21)</f>
        <v>2.5</v>
      </c>
      <c r="T21" s="22">
        <f>SUMIFS('08-21addition'!$F:$F,'08-21addition'!$B:$B,T$2,'08-21addition'!$A:$A,'Biomass&amp;MSW'!$A21)</f>
        <v>0</v>
      </c>
      <c r="U21" s="22">
        <f>SUMIFS('08-21addition'!$F:$F,'08-21addition'!$B:$B,U$2,'08-21addition'!$A:$A,'Biomass&amp;MSW'!$A21)</f>
        <v>0</v>
      </c>
      <c r="V21" s="22">
        <f>SUMIFS('08-21addition'!$F:$F,'08-21addition'!$B:$B,V$2,'08-21addition'!$A:$A,'Biomass&amp;MSW'!$A21)</f>
        <v>1.4</v>
      </c>
      <c r="W21" s="202">
        <f t="shared" si="16"/>
        <v>0.585714285714286</v>
      </c>
      <c r="X21" s="22">
        <f>SUMIFS('08-21addition'!$E:$E,'08-21addition'!$B:$B,X$2,'08-21addition'!$A:$A,'Biomass&amp;MSW'!$A21)</f>
        <v>0</v>
      </c>
      <c r="Y21" s="22">
        <f>SUMIFS('08-21addition'!$E:$E,'08-21addition'!$B:$B,Y$2,'08-21addition'!$A:$A,'Biomass&amp;MSW'!$A21)</f>
        <v>2.4</v>
      </c>
      <c r="Z21" s="22">
        <f>SUMIFS('08-21addition'!$E:$E,'08-21addition'!$B:$B,Z$2,'08-21addition'!$A:$A,'Biomass&amp;MSW'!$A21)</f>
        <v>0</v>
      </c>
      <c r="AA21" s="22">
        <f>SUMIFS('08-21addition'!$E:$E,'08-21addition'!$B:$B,AA$2,'08-21addition'!$A:$A,'Biomass&amp;MSW'!$A21)</f>
        <v>12.5</v>
      </c>
      <c r="AB21" s="22">
        <f>SUMIFS('08-21addition'!$E:$E,'08-21addition'!$B:$B,AB$2,'08-21addition'!$A:$A,'Biomass&amp;MSW'!$A21)</f>
        <v>6</v>
      </c>
      <c r="AC21" s="22">
        <f>SUMIFS('08-21addition'!$E:$E,'08-21addition'!$B:$B,AC$2,'08-21addition'!$A:$A,'Biomass&amp;MSW'!$A21)</f>
        <v>8</v>
      </c>
      <c r="AD21" s="22">
        <f>SUMIFS('08-21addition'!$E:$E,'08-21addition'!$B:$B,AD$2,'08-21addition'!$A:$A,'Biomass&amp;MSW'!$A21)</f>
        <v>3</v>
      </c>
      <c r="AE21" s="22">
        <f>SUMIFS('08-21addition'!$E:$E,'08-21addition'!$B:$B,AE$2,'08-21addition'!$A:$A,'Biomass&amp;MSW'!$A21)</f>
        <v>0</v>
      </c>
      <c r="AF21" s="202">
        <f t="shared" si="17"/>
        <v>0.741860465116279</v>
      </c>
      <c r="AG21" s="202">
        <f t="shared" si="18"/>
        <v>0.731590909090909</v>
      </c>
    </row>
    <row r="22" spans="1:33">
      <c r="A22" s="200" t="s">
        <v>116</v>
      </c>
      <c r="B22" s="201">
        <v>40</v>
      </c>
      <c r="C22" s="201">
        <v>9</v>
      </c>
      <c r="D22" s="201">
        <v>10</v>
      </c>
      <c r="E22" s="201">
        <v>21</v>
      </c>
      <c r="F22" s="22">
        <f>SUMIFS('08-21addition'!$L:$L,'08-21addition'!$B:$B,F$2,'08-21addition'!$A:$A,'Biomass&amp;MSW'!$A22)</f>
        <v>0</v>
      </c>
      <c r="G22" s="22">
        <f>SUMIFS('08-21addition'!$L:$L,'08-21addition'!$B:$B,G$2,'08-21addition'!$A:$A,'Biomass&amp;MSW'!$A22)</f>
        <v>0</v>
      </c>
      <c r="H22" s="22">
        <f>SUMIFS('08-21addition'!$L:$L,'08-21addition'!$B:$B,H$2,'08-21addition'!$A:$A,'Biomass&amp;MSW'!$A22)</f>
        <v>0</v>
      </c>
      <c r="I22" s="22">
        <f>SUMIFS('08-21addition'!$L:$L,'08-21addition'!$B:$B,I$2,'08-21addition'!$A:$A,'Biomass&amp;MSW'!$A22)</f>
        <v>0</v>
      </c>
      <c r="J22" s="22">
        <f>SUMIFS('08-21addition'!$L:$L,'08-21addition'!$B:$B,J$2,'08-21addition'!$A:$A,'Biomass&amp;MSW'!$A22)</f>
        <v>0</v>
      </c>
      <c r="K22" s="22">
        <f>SUMIFS('08-21addition'!$L:$L,'08-21addition'!$B:$B,K$2,'08-21addition'!$A:$A,'Biomass&amp;MSW'!$A22)</f>
        <v>0</v>
      </c>
      <c r="L22" s="22">
        <f>SUMIFS('08-21addition'!$L:$L,'08-21addition'!$B:$B,L$2,'08-21addition'!$A:$A,'Biomass&amp;MSW'!$A22)</f>
        <v>0</v>
      </c>
      <c r="M22" s="22">
        <f>SUMIFS('08-21addition'!$L:$L,'08-21addition'!$B:$B,M$2,'08-21addition'!$A:$A,'Biomass&amp;MSW'!$A22)</f>
        <v>0</v>
      </c>
      <c r="N22" s="202">
        <f t="shared" si="15"/>
        <v>0</v>
      </c>
      <c r="O22" s="22">
        <f>SUMIFS('08-21addition'!$F:$F,'08-21addition'!$B:$B,O$2,'08-21addition'!$A:$A,'Biomass&amp;MSW'!$A22)</f>
        <v>0.1</v>
      </c>
      <c r="P22" s="22">
        <f>SUMIFS('08-21addition'!$F:$F,'08-21addition'!$B:$B,P$2,'08-21addition'!$A:$A,'Biomass&amp;MSW'!$A22)</f>
        <v>0.1</v>
      </c>
      <c r="Q22" s="22">
        <f>SUMIFS('08-21addition'!$F:$F,'08-21addition'!$B:$B,Q$2,'08-21addition'!$A:$A,'Biomass&amp;MSW'!$A22)</f>
        <v>2.52</v>
      </c>
      <c r="R22" s="22">
        <f>SUMIFS('08-21addition'!$F:$F,'08-21addition'!$B:$B,R$2,'08-21addition'!$A:$A,'Biomass&amp;MSW'!$A22)</f>
        <v>0</v>
      </c>
      <c r="S22" s="22">
        <f>SUMIFS('08-21addition'!$F:$F,'08-21addition'!$B:$B,S$2,'08-21addition'!$A:$A,'Biomass&amp;MSW'!$A22)</f>
        <v>0.1</v>
      </c>
      <c r="T22" s="22">
        <f>SUMIFS('08-21addition'!$F:$F,'08-21addition'!$B:$B,T$2,'08-21addition'!$A:$A,'Biomass&amp;MSW'!$A22)</f>
        <v>0</v>
      </c>
      <c r="U22" s="22">
        <f>SUMIFS('08-21addition'!$F:$F,'08-21addition'!$B:$B,U$2,'08-21addition'!$A:$A,'Biomass&amp;MSW'!$A22)</f>
        <v>1.2</v>
      </c>
      <c r="V22" s="22">
        <f>SUMIFS('08-21addition'!$F:$F,'08-21addition'!$B:$B,V$2,'08-21addition'!$A:$A,'Biomass&amp;MSW'!$A22)</f>
        <v>0</v>
      </c>
      <c r="W22" s="202">
        <f t="shared" si="16"/>
        <v>0.402</v>
      </c>
      <c r="X22" s="22">
        <f>SUMIFS('08-21addition'!$E:$E,'08-21addition'!$B:$B,X$2,'08-21addition'!$A:$A,'Biomass&amp;MSW'!$A22)</f>
        <v>0</v>
      </c>
      <c r="Y22" s="22">
        <f>SUMIFS('08-21addition'!$E:$E,'08-21addition'!$B:$B,Y$2,'08-21addition'!$A:$A,'Biomass&amp;MSW'!$A22)</f>
        <v>4.8</v>
      </c>
      <c r="Z22" s="22">
        <f>SUMIFS('08-21addition'!$E:$E,'08-21addition'!$B:$B,Z$2,'08-21addition'!$A:$A,'Biomass&amp;MSW'!$A22)</f>
        <v>1.5</v>
      </c>
      <c r="AA22" s="22">
        <f>SUMIFS('08-21addition'!$E:$E,'08-21addition'!$B:$B,AA$2,'08-21addition'!$A:$A,'Biomass&amp;MSW'!$A22)</f>
        <v>6</v>
      </c>
      <c r="AB22" s="22">
        <f>SUMIFS('08-21addition'!$E:$E,'08-21addition'!$B:$B,AB$2,'08-21addition'!$A:$A,'Biomass&amp;MSW'!$A22)</f>
        <v>3</v>
      </c>
      <c r="AC22" s="22">
        <f>SUMIFS('08-21addition'!$E:$E,'08-21addition'!$B:$B,AC$2,'08-21addition'!$A:$A,'Biomass&amp;MSW'!$A22)</f>
        <v>6.21</v>
      </c>
      <c r="AD22" s="22">
        <f>SUMIFS('08-21addition'!$E:$E,'08-21addition'!$B:$B,AD$2,'08-21addition'!$A:$A,'Biomass&amp;MSW'!$A22)</f>
        <v>0</v>
      </c>
      <c r="AE22" s="22">
        <f>SUMIFS('08-21addition'!$E:$E,'08-21addition'!$B:$B,AE$2,'08-21addition'!$A:$A,'Biomass&amp;MSW'!$A22)</f>
        <v>1.5</v>
      </c>
      <c r="AF22" s="202">
        <f t="shared" si="17"/>
        <v>1</v>
      </c>
      <c r="AG22" s="202">
        <f t="shared" si="18"/>
        <v>0.767</v>
      </c>
    </row>
    <row r="23" spans="1:33">
      <c r="A23" s="200" t="s">
        <v>118</v>
      </c>
      <c r="B23" s="201">
        <v>82</v>
      </c>
      <c r="C23" s="201">
        <v>4</v>
      </c>
      <c r="D23" s="201">
        <v>62</v>
      </c>
      <c r="E23" s="201">
        <v>16</v>
      </c>
      <c r="F23" s="22">
        <f>SUMIFS('08-21addition'!$L:$L,'08-21addition'!$B:$B,F$2,'08-21addition'!$A:$A,'Biomass&amp;MSW'!$A23)</f>
        <v>0</v>
      </c>
      <c r="G23" s="22">
        <f>SUMIFS('08-21addition'!$L:$L,'08-21addition'!$B:$B,G$2,'08-21addition'!$A:$A,'Biomass&amp;MSW'!$A23)</f>
        <v>0</v>
      </c>
      <c r="H23" s="22">
        <f>SUMIFS('08-21addition'!$L:$L,'08-21addition'!$B:$B,H$2,'08-21addition'!$A:$A,'Biomass&amp;MSW'!$A23)</f>
        <v>0</v>
      </c>
      <c r="I23" s="22">
        <f>SUMIFS('08-21addition'!$L:$L,'08-21addition'!$B:$B,I$2,'08-21addition'!$A:$A,'Biomass&amp;MSW'!$A23)</f>
        <v>0</v>
      </c>
      <c r="J23" s="22">
        <f>SUMIFS('08-21addition'!$L:$L,'08-21addition'!$B:$B,J$2,'08-21addition'!$A:$A,'Biomass&amp;MSW'!$A23)</f>
        <v>0</v>
      </c>
      <c r="K23" s="22">
        <f>SUMIFS('08-21addition'!$L:$L,'08-21addition'!$B:$B,K$2,'08-21addition'!$A:$A,'Biomass&amp;MSW'!$A23)</f>
        <v>0</v>
      </c>
      <c r="L23" s="22">
        <f>SUMIFS('08-21addition'!$L:$L,'08-21addition'!$B:$B,L$2,'08-21addition'!$A:$A,'Biomass&amp;MSW'!$A23)</f>
        <v>0</v>
      </c>
      <c r="M23" s="22">
        <f>SUMIFS('08-21addition'!$L:$L,'08-21addition'!$B:$B,M$2,'08-21addition'!$A:$A,'Biomass&amp;MSW'!$A23)</f>
        <v>0</v>
      </c>
      <c r="N23" s="202">
        <f t="shared" si="15"/>
        <v>0</v>
      </c>
      <c r="O23" s="22">
        <f>SUMIFS('08-21addition'!$F:$F,'08-21addition'!$B:$B,O$2,'08-21addition'!$A:$A,'Biomass&amp;MSW'!$A23)</f>
        <v>0</v>
      </c>
      <c r="P23" s="22">
        <f>SUMIFS('08-21addition'!$F:$F,'08-21addition'!$B:$B,P$2,'08-21addition'!$A:$A,'Biomass&amp;MSW'!$A23)</f>
        <v>0</v>
      </c>
      <c r="Q23" s="22">
        <f>SUMIFS('08-21addition'!$F:$F,'08-21addition'!$B:$B,Q$2,'08-21addition'!$A:$A,'Biomass&amp;MSW'!$A23)</f>
        <v>5.4</v>
      </c>
      <c r="R23" s="22">
        <f>SUMIFS('08-21addition'!$F:$F,'08-21addition'!$B:$B,R$2,'08-21addition'!$A:$A,'Biomass&amp;MSW'!$A23)</f>
        <v>0</v>
      </c>
      <c r="S23" s="22">
        <f>SUMIFS('08-21addition'!$F:$F,'08-21addition'!$B:$B,S$2,'08-21addition'!$A:$A,'Biomass&amp;MSW'!$A23)</f>
        <v>0</v>
      </c>
      <c r="T23" s="22">
        <f>SUMIFS('08-21addition'!$F:$F,'08-21addition'!$B:$B,T$2,'08-21addition'!$A:$A,'Biomass&amp;MSW'!$A23)</f>
        <v>0</v>
      </c>
      <c r="U23" s="22">
        <f>SUMIFS('08-21addition'!$F:$F,'08-21addition'!$B:$B,U$2,'08-21addition'!$A:$A,'Biomass&amp;MSW'!$A23)</f>
        <v>0</v>
      </c>
      <c r="V23" s="22">
        <f>SUMIFS('08-21addition'!$F:$F,'08-21addition'!$B:$B,V$2,'08-21addition'!$A:$A,'Biomass&amp;MSW'!$A23)</f>
        <v>0</v>
      </c>
      <c r="W23" s="202">
        <f t="shared" si="16"/>
        <v>0.0870967741935484</v>
      </c>
      <c r="X23" s="22">
        <f>SUMIFS('08-21addition'!$E:$E,'08-21addition'!$B:$B,X$2,'08-21addition'!$A:$A,'Biomass&amp;MSW'!$A23)</f>
        <v>0</v>
      </c>
      <c r="Y23" s="22">
        <f>SUMIFS('08-21addition'!$E:$E,'08-21addition'!$B:$B,Y$2,'08-21addition'!$A:$A,'Biomass&amp;MSW'!$A23)</f>
        <v>0</v>
      </c>
      <c r="Z23" s="22">
        <f>SUMIFS('08-21addition'!$E:$E,'08-21addition'!$B:$B,Z$2,'08-21addition'!$A:$A,'Biomass&amp;MSW'!$A23)</f>
        <v>10</v>
      </c>
      <c r="AA23" s="22">
        <f>SUMIFS('08-21addition'!$E:$E,'08-21addition'!$B:$B,AA$2,'08-21addition'!$A:$A,'Biomass&amp;MSW'!$A23)</f>
        <v>0</v>
      </c>
      <c r="AB23" s="22">
        <f>SUMIFS('08-21addition'!$E:$E,'08-21addition'!$B:$B,AB$2,'08-21addition'!$A:$A,'Biomass&amp;MSW'!$A23)</f>
        <v>0</v>
      </c>
      <c r="AC23" s="22">
        <f>SUMIFS('08-21addition'!$E:$E,'08-21addition'!$B:$B,AC$2,'08-21addition'!$A:$A,'Biomass&amp;MSW'!$A23)</f>
        <v>0</v>
      </c>
      <c r="AD23" s="22">
        <f>SUMIFS('08-21addition'!$E:$E,'08-21addition'!$B:$B,AD$2,'08-21addition'!$A:$A,'Biomass&amp;MSW'!$A23)</f>
        <v>0</v>
      </c>
      <c r="AE23" s="22">
        <f>SUMIFS('08-21addition'!$E:$E,'08-21addition'!$B:$B,AE$2,'08-21addition'!$A:$A,'Biomass&amp;MSW'!$A23)</f>
        <v>0</v>
      </c>
      <c r="AF23" s="202">
        <f t="shared" si="17"/>
        <v>0.625</v>
      </c>
      <c r="AG23" s="202">
        <f t="shared" si="18"/>
        <v>0.5</v>
      </c>
    </row>
    <row r="24" spans="1:33">
      <c r="A24" s="200" t="s">
        <v>120</v>
      </c>
      <c r="B24" s="201">
        <v>163</v>
      </c>
      <c r="C24" s="203"/>
      <c r="D24" s="201">
        <v>8</v>
      </c>
      <c r="E24" s="201">
        <v>155</v>
      </c>
      <c r="F24" s="22">
        <f>SUMIFS('08-21addition'!$L:$L,'08-21addition'!$B:$B,F$2,'08-21addition'!$A:$A,'Biomass&amp;MSW'!$A24)</f>
        <v>0</v>
      </c>
      <c r="G24" s="22">
        <f>SUMIFS('08-21addition'!$L:$L,'08-21addition'!$B:$B,G$2,'08-21addition'!$A:$A,'Biomass&amp;MSW'!$A24)</f>
        <v>0</v>
      </c>
      <c r="H24" s="22">
        <f>SUMIFS('08-21addition'!$L:$L,'08-21addition'!$B:$B,H$2,'08-21addition'!$A:$A,'Biomass&amp;MSW'!$A24)</f>
        <v>0</v>
      </c>
      <c r="I24" s="22">
        <f>SUMIFS('08-21addition'!$L:$L,'08-21addition'!$B:$B,I$2,'08-21addition'!$A:$A,'Biomass&amp;MSW'!$A24)</f>
        <v>0</v>
      </c>
      <c r="J24" s="22">
        <f>SUMIFS('08-21addition'!$L:$L,'08-21addition'!$B:$B,J$2,'08-21addition'!$A:$A,'Biomass&amp;MSW'!$A24)</f>
        <v>0.1</v>
      </c>
      <c r="K24" s="22">
        <f>SUMIFS('08-21addition'!$L:$L,'08-21addition'!$B:$B,K$2,'08-21addition'!$A:$A,'Biomass&amp;MSW'!$A24)</f>
        <v>0</v>
      </c>
      <c r="L24" s="22">
        <f>SUMIFS('08-21addition'!$L:$L,'08-21addition'!$B:$B,L$2,'08-21addition'!$A:$A,'Biomass&amp;MSW'!$A24)</f>
        <v>0</v>
      </c>
      <c r="M24" s="22">
        <f>SUMIFS('08-21addition'!$L:$L,'08-21addition'!$B:$B,M$2,'08-21addition'!$A:$A,'Biomass&amp;MSW'!$A24)</f>
        <v>0</v>
      </c>
      <c r="N24" s="202" t="str">
        <f t="shared" si="15"/>
        <v/>
      </c>
      <c r="O24" s="22">
        <f>SUMIFS('08-21addition'!$F:$F,'08-21addition'!$B:$B,O$2,'08-21addition'!$A:$A,'Biomass&amp;MSW'!$A24)</f>
        <v>0</v>
      </c>
      <c r="P24" s="22">
        <f>SUMIFS('08-21addition'!$F:$F,'08-21addition'!$B:$B,P$2,'08-21addition'!$A:$A,'Biomass&amp;MSW'!$A24)</f>
        <v>0</v>
      </c>
      <c r="Q24" s="22">
        <f>SUMIFS('08-21addition'!$F:$F,'08-21addition'!$B:$B,Q$2,'08-21addition'!$A:$A,'Biomass&amp;MSW'!$A24)</f>
        <v>0</v>
      </c>
      <c r="R24" s="22">
        <f>SUMIFS('08-21addition'!$F:$F,'08-21addition'!$B:$B,R$2,'08-21addition'!$A:$A,'Biomass&amp;MSW'!$A24)</f>
        <v>0</v>
      </c>
      <c r="S24" s="22">
        <f>SUMIFS('08-21addition'!$F:$F,'08-21addition'!$B:$B,S$2,'08-21addition'!$A:$A,'Biomass&amp;MSW'!$A24)</f>
        <v>0</v>
      </c>
      <c r="T24" s="22">
        <f>SUMIFS('08-21addition'!$F:$F,'08-21addition'!$B:$B,T$2,'08-21addition'!$A:$A,'Biomass&amp;MSW'!$A24)</f>
        <v>0</v>
      </c>
      <c r="U24" s="22">
        <f>SUMIFS('08-21addition'!$F:$F,'08-21addition'!$B:$B,U$2,'08-21addition'!$A:$A,'Biomass&amp;MSW'!$A24)</f>
        <v>0</v>
      </c>
      <c r="V24" s="22">
        <f>SUMIFS('08-21addition'!$F:$F,'08-21addition'!$B:$B,V$2,'08-21addition'!$A:$A,'Biomass&amp;MSW'!$A24)</f>
        <v>6</v>
      </c>
      <c r="W24" s="202">
        <f t="shared" si="16"/>
        <v>0.75</v>
      </c>
      <c r="X24" s="22">
        <f>SUMIFS('08-21addition'!$E:$E,'08-21addition'!$B:$B,X$2,'08-21addition'!$A:$A,'Biomass&amp;MSW'!$A24)</f>
        <v>0</v>
      </c>
      <c r="Y24" s="22">
        <f>SUMIFS('08-21addition'!$E:$E,'08-21addition'!$B:$B,Y$2,'08-21addition'!$A:$A,'Biomass&amp;MSW'!$A24)</f>
        <v>13.12</v>
      </c>
      <c r="Z24" s="22">
        <f>SUMIFS('08-21addition'!$E:$E,'08-21addition'!$B:$B,Z$2,'08-21addition'!$A:$A,'Biomass&amp;MSW'!$A24)</f>
        <v>3</v>
      </c>
      <c r="AA24" s="22">
        <f>SUMIFS('08-21addition'!$E:$E,'08-21addition'!$B:$B,AA$2,'08-21addition'!$A:$A,'Biomass&amp;MSW'!$A24)</f>
        <v>0</v>
      </c>
      <c r="AB24" s="22">
        <f>SUMIFS('08-21addition'!$E:$E,'08-21addition'!$B:$B,AB$2,'08-21addition'!$A:$A,'Biomass&amp;MSW'!$A24)</f>
        <v>3</v>
      </c>
      <c r="AC24" s="22">
        <f>SUMIFS('08-21addition'!$E:$E,'08-21addition'!$B:$B,AC$2,'08-21addition'!$A:$A,'Biomass&amp;MSW'!$A24)</f>
        <v>0</v>
      </c>
      <c r="AD24" s="22">
        <f>SUMIFS('08-21addition'!$E:$E,'08-21addition'!$B:$B,AD$2,'08-21addition'!$A:$A,'Biomass&amp;MSW'!$A24)</f>
        <v>6</v>
      </c>
      <c r="AE24" s="22">
        <f>SUMIFS('08-21addition'!$E:$E,'08-21addition'!$B:$B,AE$2,'08-21addition'!$A:$A,'Biomass&amp;MSW'!$A24)</f>
        <v>0</v>
      </c>
      <c r="AF24" s="202">
        <f t="shared" si="17"/>
        <v>0.162064516129032</v>
      </c>
      <c r="AG24" s="202">
        <f t="shared" si="18"/>
        <v>0.162709677419355</v>
      </c>
    </row>
    <row r="25" spans="1:33">
      <c r="A25" s="200" t="s">
        <v>122</v>
      </c>
      <c r="B25" s="201">
        <v>7</v>
      </c>
      <c r="C25" s="201">
        <v>0</v>
      </c>
      <c r="D25" s="201">
        <v>7</v>
      </c>
      <c r="E25" s="203"/>
      <c r="F25" s="22">
        <f>SUMIFS('08-21addition'!$L:$L,'08-21addition'!$B:$B,F$2,'08-21addition'!$A:$A,'Biomass&amp;MSW'!$A25)</f>
        <v>0</v>
      </c>
      <c r="G25" s="22">
        <f>SUMIFS('08-21addition'!$L:$L,'08-21addition'!$B:$B,G$2,'08-21addition'!$A:$A,'Biomass&amp;MSW'!$A25)</f>
        <v>0</v>
      </c>
      <c r="H25" s="22">
        <f>SUMIFS('08-21addition'!$L:$L,'08-21addition'!$B:$B,H$2,'08-21addition'!$A:$A,'Biomass&amp;MSW'!$A25)</f>
        <v>0</v>
      </c>
      <c r="I25" s="22">
        <f>SUMIFS('08-21addition'!$L:$L,'08-21addition'!$B:$B,I$2,'08-21addition'!$A:$A,'Biomass&amp;MSW'!$A25)</f>
        <v>0</v>
      </c>
      <c r="J25" s="22">
        <f>SUMIFS('08-21addition'!$L:$L,'08-21addition'!$B:$B,J$2,'08-21addition'!$A:$A,'Biomass&amp;MSW'!$A25)</f>
        <v>0</v>
      </c>
      <c r="K25" s="22">
        <f>SUMIFS('08-21addition'!$L:$L,'08-21addition'!$B:$B,K$2,'08-21addition'!$A:$A,'Biomass&amp;MSW'!$A25)</f>
        <v>0</v>
      </c>
      <c r="L25" s="22">
        <f>SUMIFS('08-21addition'!$L:$L,'08-21addition'!$B:$B,L$2,'08-21addition'!$A:$A,'Biomass&amp;MSW'!$A25)</f>
        <v>0</v>
      </c>
      <c r="M25" s="22">
        <f>SUMIFS('08-21addition'!$L:$L,'08-21addition'!$B:$B,M$2,'08-21addition'!$A:$A,'Biomass&amp;MSW'!$A25)</f>
        <v>0</v>
      </c>
      <c r="N25" s="202" t="str">
        <f t="shared" si="15"/>
        <v/>
      </c>
      <c r="O25" s="22">
        <f>SUMIFS('08-21addition'!$F:$F,'08-21addition'!$B:$B,O$2,'08-21addition'!$A:$A,'Biomass&amp;MSW'!$A25)</f>
        <v>0</v>
      </c>
      <c r="P25" s="22">
        <f>SUMIFS('08-21addition'!$F:$F,'08-21addition'!$B:$B,P$2,'08-21addition'!$A:$A,'Biomass&amp;MSW'!$A25)</f>
        <v>0</v>
      </c>
      <c r="Q25" s="22">
        <f>SUMIFS('08-21addition'!$F:$F,'08-21addition'!$B:$B,Q$2,'08-21addition'!$A:$A,'Biomass&amp;MSW'!$A25)</f>
        <v>2.4</v>
      </c>
      <c r="R25" s="22">
        <f>SUMIFS('08-21addition'!$F:$F,'08-21addition'!$B:$B,R$2,'08-21addition'!$A:$A,'Biomass&amp;MSW'!$A25)</f>
        <v>0</v>
      </c>
      <c r="S25" s="22">
        <f>SUMIFS('08-21addition'!$F:$F,'08-21addition'!$B:$B,S$2,'08-21addition'!$A:$A,'Biomass&amp;MSW'!$A25)</f>
        <v>0</v>
      </c>
      <c r="T25" s="22">
        <f>SUMIFS('08-21addition'!$F:$F,'08-21addition'!$B:$B,T$2,'08-21addition'!$A:$A,'Biomass&amp;MSW'!$A25)</f>
        <v>0</v>
      </c>
      <c r="U25" s="22">
        <f>SUMIFS('08-21addition'!$F:$F,'08-21addition'!$B:$B,U$2,'08-21addition'!$A:$A,'Biomass&amp;MSW'!$A25)</f>
        <v>0</v>
      </c>
      <c r="V25" s="22">
        <f>SUMIFS('08-21addition'!$F:$F,'08-21addition'!$B:$B,V$2,'08-21addition'!$A:$A,'Biomass&amp;MSW'!$A25)</f>
        <v>0</v>
      </c>
      <c r="W25" s="202">
        <f t="shared" si="16"/>
        <v>0.342857142857143</v>
      </c>
      <c r="X25" s="22">
        <f>SUMIFS('08-21addition'!$E:$E,'08-21addition'!$B:$B,X$2,'08-21addition'!$A:$A,'Biomass&amp;MSW'!$A25)</f>
        <v>0</v>
      </c>
      <c r="Y25" s="22">
        <f>SUMIFS('08-21addition'!$E:$E,'08-21addition'!$B:$B,Y$2,'08-21addition'!$A:$A,'Biomass&amp;MSW'!$A25)</f>
        <v>0</v>
      </c>
      <c r="Z25" s="22">
        <f>SUMIFS('08-21addition'!$E:$E,'08-21addition'!$B:$B,Z$2,'08-21addition'!$A:$A,'Biomass&amp;MSW'!$A25)</f>
        <v>0</v>
      </c>
      <c r="AA25" s="22">
        <f>SUMIFS('08-21addition'!$E:$E,'08-21addition'!$B:$B,AA$2,'08-21addition'!$A:$A,'Biomass&amp;MSW'!$A25)</f>
        <v>0</v>
      </c>
      <c r="AB25" s="22">
        <f>SUMIFS('08-21addition'!$E:$E,'08-21addition'!$B:$B,AB$2,'08-21addition'!$A:$A,'Biomass&amp;MSW'!$A25)</f>
        <v>0</v>
      </c>
      <c r="AC25" s="22">
        <f>SUMIFS('08-21addition'!$E:$E,'08-21addition'!$B:$B,AC$2,'08-21addition'!$A:$A,'Biomass&amp;MSW'!$A25)</f>
        <v>0</v>
      </c>
      <c r="AD25" s="22">
        <f>SUMIFS('08-21addition'!$E:$E,'08-21addition'!$B:$B,AD$2,'08-21addition'!$A:$A,'Biomass&amp;MSW'!$A25)</f>
        <v>0</v>
      </c>
      <c r="AE25" s="22">
        <f>SUMIFS('08-21addition'!$E:$E,'08-21addition'!$B:$B,AE$2,'08-21addition'!$A:$A,'Biomass&amp;MSW'!$A25)</f>
        <v>0</v>
      </c>
      <c r="AF25" s="202" t="str">
        <f t="shared" si="17"/>
        <v/>
      </c>
      <c r="AG25" s="202" t="str">
        <f t="shared" si="18"/>
        <v/>
      </c>
    </row>
    <row r="26" spans="1:33">
      <c r="A26" s="200" t="s">
        <v>124</v>
      </c>
      <c r="B26" s="201">
        <v>15</v>
      </c>
      <c r="C26" s="201">
        <v>0</v>
      </c>
      <c r="D26" s="201">
        <v>10</v>
      </c>
      <c r="E26" s="201">
        <v>4</v>
      </c>
      <c r="F26" s="22">
        <f>SUMIFS('08-21addition'!$L:$L,'08-21addition'!$B:$B,F$2,'08-21addition'!$A:$A,'Biomass&amp;MSW'!$A26)</f>
        <v>0</v>
      </c>
      <c r="G26" s="22">
        <f>SUMIFS('08-21addition'!$L:$L,'08-21addition'!$B:$B,G$2,'08-21addition'!$A:$A,'Biomass&amp;MSW'!$A26)</f>
        <v>0</v>
      </c>
      <c r="H26" s="22">
        <f>SUMIFS('08-21addition'!$L:$L,'08-21addition'!$B:$B,H$2,'08-21addition'!$A:$A,'Biomass&amp;MSW'!$A26)</f>
        <v>0</v>
      </c>
      <c r="I26" s="22">
        <f>SUMIFS('08-21addition'!$L:$L,'08-21addition'!$B:$B,I$2,'08-21addition'!$A:$A,'Biomass&amp;MSW'!$A26)</f>
        <v>0</v>
      </c>
      <c r="J26" s="22">
        <f>SUMIFS('08-21addition'!$L:$L,'08-21addition'!$B:$B,J$2,'08-21addition'!$A:$A,'Biomass&amp;MSW'!$A26)</f>
        <v>0</v>
      </c>
      <c r="K26" s="22">
        <f>SUMIFS('08-21addition'!$L:$L,'08-21addition'!$B:$B,K$2,'08-21addition'!$A:$A,'Biomass&amp;MSW'!$A26)</f>
        <v>0</v>
      </c>
      <c r="L26" s="22">
        <f>SUMIFS('08-21addition'!$L:$L,'08-21addition'!$B:$B,L$2,'08-21addition'!$A:$A,'Biomass&amp;MSW'!$A26)</f>
        <v>0</v>
      </c>
      <c r="M26" s="22">
        <f>SUMIFS('08-21addition'!$L:$L,'08-21addition'!$B:$B,M$2,'08-21addition'!$A:$A,'Biomass&amp;MSW'!$A26)</f>
        <v>0</v>
      </c>
      <c r="N26" s="202" t="str">
        <f t="shared" si="15"/>
        <v/>
      </c>
      <c r="O26" s="22">
        <f>SUMIFS('08-21addition'!$F:$F,'08-21addition'!$B:$B,O$2,'08-21addition'!$A:$A,'Biomass&amp;MSW'!$A26)</f>
        <v>0</v>
      </c>
      <c r="P26" s="22">
        <f>SUMIFS('08-21addition'!$F:$F,'08-21addition'!$B:$B,P$2,'08-21addition'!$A:$A,'Biomass&amp;MSW'!$A26)</f>
        <v>0</v>
      </c>
      <c r="Q26" s="22">
        <f>SUMIFS('08-21addition'!$F:$F,'08-21addition'!$B:$B,Q$2,'08-21addition'!$A:$A,'Biomass&amp;MSW'!$A26)</f>
        <v>0</v>
      </c>
      <c r="R26" s="22">
        <f>SUMIFS('08-21addition'!$F:$F,'08-21addition'!$B:$B,R$2,'08-21addition'!$A:$A,'Biomass&amp;MSW'!$A26)</f>
        <v>0</v>
      </c>
      <c r="S26" s="22">
        <f>SUMIFS('08-21addition'!$F:$F,'08-21addition'!$B:$B,S$2,'08-21addition'!$A:$A,'Biomass&amp;MSW'!$A26)</f>
        <v>0</v>
      </c>
      <c r="T26" s="22">
        <f>SUMIFS('08-21addition'!$F:$F,'08-21addition'!$B:$B,T$2,'08-21addition'!$A:$A,'Biomass&amp;MSW'!$A26)</f>
        <v>0</v>
      </c>
      <c r="U26" s="22">
        <f>SUMIFS('08-21addition'!$F:$F,'08-21addition'!$B:$B,U$2,'08-21addition'!$A:$A,'Biomass&amp;MSW'!$A26)</f>
        <v>0</v>
      </c>
      <c r="V26" s="22">
        <f>SUMIFS('08-21addition'!$F:$F,'08-21addition'!$B:$B,V$2,'08-21addition'!$A:$A,'Biomass&amp;MSW'!$A26)</f>
        <v>2.7</v>
      </c>
      <c r="W26" s="202">
        <f t="shared" si="16"/>
        <v>0.27</v>
      </c>
      <c r="X26" s="22">
        <f>SUMIFS('08-21addition'!$E:$E,'08-21addition'!$B:$B,X$2,'08-21addition'!$A:$A,'Biomass&amp;MSW'!$A26)</f>
        <v>0</v>
      </c>
      <c r="Y26" s="22">
        <f>SUMIFS('08-21addition'!$E:$E,'08-21addition'!$B:$B,Y$2,'08-21addition'!$A:$A,'Biomass&amp;MSW'!$A26)</f>
        <v>0</v>
      </c>
      <c r="Z26" s="22">
        <f>SUMIFS('08-21addition'!$E:$E,'08-21addition'!$B:$B,Z$2,'08-21addition'!$A:$A,'Biomass&amp;MSW'!$A26)</f>
        <v>0</v>
      </c>
      <c r="AA26" s="22">
        <f>SUMIFS('08-21addition'!$E:$E,'08-21addition'!$B:$B,AA$2,'08-21addition'!$A:$A,'Biomass&amp;MSW'!$A26)</f>
        <v>0</v>
      </c>
      <c r="AB26" s="22">
        <f>SUMIFS('08-21addition'!$E:$E,'08-21addition'!$B:$B,AB$2,'08-21addition'!$A:$A,'Biomass&amp;MSW'!$A26)</f>
        <v>3</v>
      </c>
      <c r="AC26" s="22">
        <f>SUMIFS('08-21addition'!$E:$E,'08-21addition'!$B:$B,AC$2,'08-21addition'!$A:$A,'Biomass&amp;MSW'!$A26)</f>
        <v>0</v>
      </c>
      <c r="AD26" s="22">
        <f>SUMIFS('08-21addition'!$E:$E,'08-21addition'!$B:$B,AD$2,'08-21addition'!$A:$A,'Biomass&amp;MSW'!$A26)</f>
        <v>0</v>
      </c>
      <c r="AE26" s="22">
        <f>SUMIFS('08-21addition'!$E:$E,'08-21addition'!$B:$B,AE$2,'08-21addition'!$A:$A,'Biomass&amp;MSW'!$A26)</f>
        <v>0</v>
      </c>
      <c r="AF26" s="202">
        <f t="shared" si="17"/>
        <v>0.75</v>
      </c>
      <c r="AG26" s="202">
        <f t="shared" si="18"/>
        <v>0.75</v>
      </c>
    </row>
    <row r="27" spans="1:33">
      <c r="A27" s="200" t="s">
        <v>126</v>
      </c>
      <c r="B27" s="204">
        <v>30</v>
      </c>
      <c r="C27" s="203"/>
      <c r="D27" s="204">
        <v>27</v>
      </c>
      <c r="E27" s="204">
        <v>3</v>
      </c>
      <c r="F27" s="22">
        <f>SUMIFS('08-21addition'!$L:$L,'08-21addition'!$B:$B,F$2,'08-21addition'!$A:$A,'Biomass&amp;MSW'!$A27)</f>
        <v>0</v>
      </c>
      <c r="G27" s="22">
        <f>SUMIFS('08-21addition'!$L:$L,'08-21addition'!$B:$B,G$2,'08-21addition'!$A:$A,'Biomass&amp;MSW'!$A27)</f>
        <v>0</v>
      </c>
      <c r="H27" s="22">
        <f>SUMIFS('08-21addition'!$L:$L,'08-21addition'!$B:$B,H$2,'08-21addition'!$A:$A,'Biomass&amp;MSW'!$A27)</f>
        <v>0</v>
      </c>
      <c r="I27" s="22">
        <f>SUMIFS('08-21addition'!$L:$L,'08-21addition'!$B:$B,I$2,'08-21addition'!$A:$A,'Biomass&amp;MSW'!$A27)</f>
        <v>0</v>
      </c>
      <c r="J27" s="22">
        <f>SUMIFS('08-21addition'!$L:$L,'08-21addition'!$B:$B,J$2,'08-21addition'!$A:$A,'Biomass&amp;MSW'!$A27)</f>
        <v>0</v>
      </c>
      <c r="K27" s="22">
        <f>SUMIFS('08-21addition'!$L:$L,'08-21addition'!$B:$B,K$2,'08-21addition'!$A:$A,'Biomass&amp;MSW'!$A27)</f>
        <v>0</v>
      </c>
      <c r="L27" s="22">
        <f>SUMIFS('08-21addition'!$L:$L,'08-21addition'!$B:$B,L$2,'08-21addition'!$A:$A,'Biomass&amp;MSW'!$A27)</f>
        <v>0</v>
      </c>
      <c r="M27" s="22">
        <f>SUMIFS('08-21addition'!$L:$L,'08-21addition'!$B:$B,M$2,'08-21addition'!$A:$A,'Biomass&amp;MSW'!$A27)</f>
        <v>0</v>
      </c>
      <c r="N27" s="202" t="str">
        <f t="shared" si="15"/>
        <v/>
      </c>
      <c r="O27" s="22">
        <f>SUMIFS('08-21addition'!$F:$F,'08-21addition'!$B:$B,O$2,'08-21addition'!$A:$A,'Biomass&amp;MSW'!$A27)</f>
        <v>0</v>
      </c>
      <c r="P27" s="22">
        <f>SUMIFS('08-21addition'!$F:$F,'08-21addition'!$B:$B,P$2,'08-21addition'!$A:$A,'Biomass&amp;MSW'!$A27)</f>
        <v>0</v>
      </c>
      <c r="Q27" s="22">
        <f>SUMIFS('08-21addition'!$F:$F,'08-21addition'!$B:$B,Q$2,'08-21addition'!$A:$A,'Biomass&amp;MSW'!$A27)</f>
        <v>3.6</v>
      </c>
      <c r="R27" s="22">
        <f>SUMIFS('08-21addition'!$F:$F,'08-21addition'!$B:$B,R$2,'08-21addition'!$A:$A,'Biomass&amp;MSW'!$A27)</f>
        <v>4.8</v>
      </c>
      <c r="S27" s="22">
        <f>SUMIFS('08-21addition'!$F:$F,'08-21addition'!$B:$B,S$2,'08-21addition'!$A:$A,'Biomass&amp;MSW'!$A27)</f>
        <v>1.2</v>
      </c>
      <c r="T27" s="22">
        <f>SUMIFS('08-21addition'!$F:$F,'08-21addition'!$B:$B,T$2,'08-21addition'!$A:$A,'Biomass&amp;MSW'!$A27)</f>
        <v>2.4</v>
      </c>
      <c r="U27" s="22">
        <f>SUMIFS('08-21addition'!$F:$F,'08-21addition'!$B:$B,U$2,'08-21addition'!$A:$A,'Biomass&amp;MSW'!$A27)</f>
        <v>0</v>
      </c>
      <c r="V27" s="22">
        <f>SUMIFS('08-21addition'!$F:$F,'08-21addition'!$B:$B,V$2,'08-21addition'!$A:$A,'Biomass&amp;MSW'!$A27)</f>
        <v>1.5</v>
      </c>
      <c r="W27" s="202">
        <f t="shared" si="16"/>
        <v>0.5</v>
      </c>
      <c r="X27" s="22">
        <f>SUMIFS('08-21addition'!$E:$E,'08-21addition'!$B:$B,X$2,'08-21addition'!$A:$A,'Biomass&amp;MSW'!$A27)</f>
        <v>0</v>
      </c>
      <c r="Y27" s="22">
        <f>SUMIFS('08-21addition'!$E:$E,'08-21addition'!$B:$B,Y$2,'08-21addition'!$A:$A,'Biomass&amp;MSW'!$A27)</f>
        <v>0</v>
      </c>
      <c r="Z27" s="22">
        <f>SUMIFS('08-21addition'!$E:$E,'08-21addition'!$B:$B,Z$2,'08-21addition'!$A:$A,'Biomass&amp;MSW'!$A27)</f>
        <v>0</v>
      </c>
      <c r="AA27" s="22">
        <f>SUMIFS('08-21addition'!$E:$E,'08-21addition'!$B:$B,AA$2,'08-21addition'!$A:$A,'Biomass&amp;MSW'!$A27)</f>
        <v>0</v>
      </c>
      <c r="AB27" s="22">
        <f>SUMIFS('08-21addition'!$E:$E,'08-21addition'!$B:$B,AB$2,'08-21addition'!$A:$A,'Biomass&amp;MSW'!$A27)</f>
        <v>0</v>
      </c>
      <c r="AC27" s="22">
        <f>SUMIFS('08-21addition'!$E:$E,'08-21addition'!$B:$B,AC$2,'08-21addition'!$A:$A,'Biomass&amp;MSW'!$A27)</f>
        <v>0</v>
      </c>
      <c r="AD27" s="22">
        <f>SUMIFS('08-21addition'!$E:$E,'08-21addition'!$B:$B,AD$2,'08-21addition'!$A:$A,'Biomass&amp;MSW'!$A27)</f>
        <v>0</v>
      </c>
      <c r="AE27" s="22">
        <f>SUMIFS('08-21addition'!$E:$E,'08-21addition'!$B:$B,AE$2,'08-21addition'!$A:$A,'Biomass&amp;MSW'!$A27)</f>
        <v>0.3</v>
      </c>
      <c r="AF27" s="202">
        <f t="shared" si="17"/>
        <v>0.1</v>
      </c>
      <c r="AG27" s="202">
        <f t="shared" si="18"/>
        <v>0.1</v>
      </c>
    </row>
    <row r="28" spans="1:33">
      <c r="A28" s="200" t="s">
        <v>128</v>
      </c>
      <c r="B28" s="201">
        <v>8</v>
      </c>
      <c r="C28" s="203"/>
      <c r="D28" s="201">
        <v>2</v>
      </c>
      <c r="E28" s="201">
        <v>6</v>
      </c>
      <c r="F28" s="22">
        <f>SUMIFS('08-21addition'!$L:$L,'08-21addition'!$B:$B,F$2,'08-21addition'!$A:$A,'Biomass&amp;MSW'!$A28)</f>
        <v>0</v>
      </c>
      <c r="G28" s="22">
        <f>SUMIFS('08-21addition'!$L:$L,'08-21addition'!$B:$B,G$2,'08-21addition'!$A:$A,'Biomass&amp;MSW'!$A28)</f>
        <v>0</v>
      </c>
      <c r="H28" s="22">
        <f>SUMIFS('08-21addition'!$L:$L,'08-21addition'!$B:$B,H$2,'08-21addition'!$A:$A,'Biomass&amp;MSW'!$A28)</f>
        <v>0</v>
      </c>
      <c r="I28" s="22">
        <f>SUMIFS('08-21addition'!$L:$L,'08-21addition'!$B:$B,I$2,'08-21addition'!$A:$A,'Biomass&amp;MSW'!$A28)</f>
        <v>0</v>
      </c>
      <c r="J28" s="22">
        <f>SUMIFS('08-21addition'!$L:$L,'08-21addition'!$B:$B,J$2,'08-21addition'!$A:$A,'Biomass&amp;MSW'!$A28)</f>
        <v>0</v>
      </c>
      <c r="K28" s="22">
        <f>SUMIFS('08-21addition'!$L:$L,'08-21addition'!$B:$B,K$2,'08-21addition'!$A:$A,'Biomass&amp;MSW'!$A28)</f>
        <v>0</v>
      </c>
      <c r="L28" s="22">
        <f>SUMIFS('08-21addition'!$L:$L,'08-21addition'!$B:$B,L$2,'08-21addition'!$A:$A,'Biomass&amp;MSW'!$A28)</f>
        <v>0</v>
      </c>
      <c r="M28" s="22">
        <f>SUMIFS('08-21addition'!$L:$L,'08-21addition'!$B:$B,M$2,'08-21addition'!$A:$A,'Biomass&amp;MSW'!$A28)</f>
        <v>0</v>
      </c>
      <c r="N28" s="202" t="str">
        <f t="shared" si="15"/>
        <v/>
      </c>
      <c r="O28" s="22">
        <f>SUMIFS('08-21addition'!$F:$F,'08-21addition'!$B:$B,O$2,'08-21addition'!$A:$A,'Biomass&amp;MSW'!$A28)</f>
        <v>0</v>
      </c>
      <c r="P28" s="22">
        <f>SUMIFS('08-21addition'!$F:$F,'08-21addition'!$B:$B,P$2,'08-21addition'!$A:$A,'Biomass&amp;MSW'!$A28)</f>
        <v>0</v>
      </c>
      <c r="Q28" s="22">
        <f>SUMIFS('08-21addition'!$F:$F,'08-21addition'!$B:$B,Q$2,'08-21addition'!$A:$A,'Biomass&amp;MSW'!$A28)</f>
        <v>0</v>
      </c>
      <c r="R28" s="22">
        <f>SUMIFS('08-21addition'!$F:$F,'08-21addition'!$B:$B,R$2,'08-21addition'!$A:$A,'Biomass&amp;MSW'!$A28)</f>
        <v>0</v>
      </c>
      <c r="S28" s="22">
        <f>SUMIFS('08-21addition'!$F:$F,'08-21addition'!$B:$B,S$2,'08-21addition'!$A:$A,'Biomass&amp;MSW'!$A28)</f>
        <v>0</v>
      </c>
      <c r="T28" s="22">
        <f>SUMIFS('08-21addition'!$F:$F,'08-21addition'!$B:$B,T$2,'08-21addition'!$A:$A,'Biomass&amp;MSW'!$A28)</f>
        <v>0</v>
      </c>
      <c r="U28" s="22">
        <f>SUMIFS('08-21addition'!$F:$F,'08-21addition'!$B:$B,U$2,'08-21addition'!$A:$A,'Biomass&amp;MSW'!$A28)</f>
        <v>0</v>
      </c>
      <c r="V28" s="22">
        <f>SUMIFS('08-21addition'!$F:$F,'08-21addition'!$B:$B,V$2,'08-21addition'!$A:$A,'Biomass&amp;MSW'!$A28)</f>
        <v>0</v>
      </c>
      <c r="W28" s="202">
        <f t="shared" si="16"/>
        <v>0</v>
      </c>
      <c r="X28" s="22">
        <f>SUMIFS('08-21addition'!$E:$E,'08-21addition'!$B:$B,X$2,'08-21addition'!$A:$A,'Biomass&amp;MSW'!$A28)</f>
        <v>0</v>
      </c>
      <c r="Y28" s="22">
        <f>SUMIFS('08-21addition'!$E:$E,'08-21addition'!$B:$B,Y$2,'08-21addition'!$A:$A,'Biomass&amp;MSW'!$A28)</f>
        <v>0</v>
      </c>
      <c r="Z28" s="22">
        <f>SUMIFS('08-21addition'!$E:$E,'08-21addition'!$B:$B,Z$2,'08-21addition'!$A:$A,'Biomass&amp;MSW'!$A28)</f>
        <v>0</v>
      </c>
      <c r="AA28" s="22">
        <f>SUMIFS('08-21addition'!$E:$E,'08-21addition'!$B:$B,AA$2,'08-21addition'!$A:$A,'Biomass&amp;MSW'!$A28)</f>
        <v>0</v>
      </c>
      <c r="AB28" s="22">
        <f>SUMIFS('08-21addition'!$E:$E,'08-21addition'!$B:$B,AB$2,'08-21addition'!$A:$A,'Biomass&amp;MSW'!$A28)</f>
        <v>0</v>
      </c>
      <c r="AC28" s="22">
        <f>SUMIFS('08-21addition'!$E:$E,'08-21addition'!$B:$B,AC$2,'08-21addition'!$A:$A,'Biomass&amp;MSW'!$A28)</f>
        <v>3</v>
      </c>
      <c r="AD28" s="22">
        <f>SUMIFS('08-21addition'!$E:$E,'08-21addition'!$B:$B,AD$2,'08-21addition'!$A:$A,'Biomass&amp;MSW'!$A28)</f>
        <v>0</v>
      </c>
      <c r="AE28" s="22">
        <f>SUMIFS('08-21addition'!$E:$E,'08-21addition'!$B:$B,AE$2,'08-21addition'!$A:$A,'Biomass&amp;MSW'!$A28)</f>
        <v>0</v>
      </c>
      <c r="AF28" s="202">
        <f t="shared" si="17"/>
        <v>0.5</v>
      </c>
      <c r="AG28" s="202">
        <f t="shared" si="18"/>
        <v>0.5</v>
      </c>
    </row>
    <row r="29" spans="1:33">
      <c r="A29" s="200" t="s">
        <v>130</v>
      </c>
      <c r="B29" s="204">
        <v>30</v>
      </c>
      <c r="C29" s="203"/>
      <c r="D29" s="204">
        <v>10</v>
      </c>
      <c r="E29" s="204">
        <v>20</v>
      </c>
      <c r="F29" s="22">
        <f>SUMIFS('08-21addition'!$L:$L,'08-21addition'!$B:$B,F$2,'08-21addition'!$A:$A,'Biomass&amp;MSW'!$A29)</f>
        <v>0.05</v>
      </c>
      <c r="G29" s="22">
        <f>SUMIFS('08-21addition'!$L:$L,'08-21addition'!$B:$B,G$2,'08-21addition'!$A:$A,'Biomass&amp;MSW'!$A29)</f>
        <v>0</v>
      </c>
      <c r="H29" s="22">
        <f>SUMIFS('08-21addition'!$L:$L,'08-21addition'!$B:$B,H$2,'08-21addition'!$A:$A,'Biomass&amp;MSW'!$A29)</f>
        <v>0</v>
      </c>
      <c r="I29" s="22">
        <f>SUMIFS('08-21addition'!$L:$L,'08-21addition'!$B:$B,I$2,'08-21addition'!$A:$A,'Biomass&amp;MSW'!$A29)</f>
        <v>0</v>
      </c>
      <c r="J29" s="22">
        <f>SUMIFS('08-21addition'!$L:$L,'08-21addition'!$B:$B,J$2,'08-21addition'!$A:$A,'Biomass&amp;MSW'!$A29)</f>
        <v>0</v>
      </c>
      <c r="K29" s="22">
        <f>SUMIFS('08-21addition'!$L:$L,'08-21addition'!$B:$B,K$2,'08-21addition'!$A:$A,'Biomass&amp;MSW'!$A29)</f>
        <v>0</v>
      </c>
      <c r="L29" s="22">
        <f>SUMIFS('08-21addition'!$L:$L,'08-21addition'!$B:$B,L$2,'08-21addition'!$A:$A,'Biomass&amp;MSW'!$A29)</f>
        <v>0</v>
      </c>
      <c r="M29" s="22">
        <f>SUMIFS('08-21addition'!$L:$L,'08-21addition'!$B:$B,M$2,'08-21addition'!$A:$A,'Biomass&amp;MSW'!$A29)</f>
        <v>0</v>
      </c>
      <c r="N29" s="202" t="str">
        <f t="shared" si="15"/>
        <v/>
      </c>
      <c r="O29" s="22">
        <f>SUMIFS('08-21addition'!$F:$F,'08-21addition'!$B:$B,O$2,'08-21addition'!$A:$A,'Biomass&amp;MSW'!$A29)</f>
        <v>0</v>
      </c>
      <c r="P29" s="22">
        <f>SUMIFS('08-21addition'!$F:$F,'08-21addition'!$B:$B,P$2,'08-21addition'!$A:$A,'Biomass&amp;MSW'!$A29)</f>
        <v>0</v>
      </c>
      <c r="Q29" s="22">
        <f>SUMIFS('08-21addition'!$F:$F,'08-21addition'!$B:$B,Q$2,'08-21addition'!$A:$A,'Biomass&amp;MSW'!$A29)</f>
        <v>0</v>
      </c>
      <c r="R29" s="22">
        <f>SUMIFS('08-21addition'!$F:$F,'08-21addition'!$B:$B,R$2,'08-21addition'!$A:$A,'Biomass&amp;MSW'!$A29)</f>
        <v>0</v>
      </c>
      <c r="S29" s="22">
        <f>SUMIFS('08-21addition'!$F:$F,'08-21addition'!$B:$B,S$2,'08-21addition'!$A:$A,'Biomass&amp;MSW'!$A29)</f>
        <v>1.2</v>
      </c>
      <c r="T29" s="22">
        <f>SUMIFS('08-21addition'!$F:$F,'08-21addition'!$B:$B,T$2,'08-21addition'!$A:$A,'Biomass&amp;MSW'!$A29)</f>
        <v>0</v>
      </c>
      <c r="U29" s="22">
        <f>SUMIFS('08-21addition'!$F:$F,'08-21addition'!$B:$B,U$2,'08-21addition'!$A:$A,'Biomass&amp;MSW'!$A29)</f>
        <v>0</v>
      </c>
      <c r="V29" s="22">
        <f>SUMIFS('08-21addition'!$F:$F,'08-21addition'!$B:$B,V$2,'08-21addition'!$A:$A,'Biomass&amp;MSW'!$A29)</f>
        <v>0</v>
      </c>
      <c r="W29" s="202">
        <f t="shared" si="16"/>
        <v>0.12</v>
      </c>
      <c r="X29" s="22">
        <f>SUMIFS('08-21addition'!$E:$E,'08-21addition'!$B:$B,X$2,'08-21addition'!$A:$A,'Biomass&amp;MSW'!$A29)</f>
        <v>0</v>
      </c>
      <c r="Y29" s="22">
        <f>SUMIFS('08-21addition'!$E:$E,'08-21addition'!$B:$B,Y$2,'08-21addition'!$A:$A,'Biomass&amp;MSW'!$A29)</f>
        <v>0</v>
      </c>
      <c r="Z29" s="22">
        <f>SUMIFS('08-21addition'!$E:$E,'08-21addition'!$B:$B,Z$2,'08-21addition'!$A:$A,'Biomass&amp;MSW'!$A29)</f>
        <v>0</v>
      </c>
      <c r="AA29" s="22">
        <f>SUMIFS('08-21addition'!$E:$E,'08-21addition'!$B:$B,AA$2,'08-21addition'!$A:$A,'Biomass&amp;MSW'!$A29)</f>
        <v>0</v>
      </c>
      <c r="AB29" s="22">
        <f>SUMIFS('08-21addition'!$E:$E,'08-21addition'!$B:$B,AB$2,'08-21addition'!$A:$A,'Biomass&amp;MSW'!$A29)</f>
        <v>0</v>
      </c>
      <c r="AC29" s="22">
        <f>SUMIFS('08-21addition'!$E:$E,'08-21addition'!$B:$B,AC$2,'08-21addition'!$A:$A,'Biomass&amp;MSW'!$A29)</f>
        <v>0</v>
      </c>
      <c r="AD29" s="22">
        <f>SUMIFS('08-21addition'!$E:$E,'08-21addition'!$B:$B,AD$2,'08-21addition'!$A:$A,'Biomass&amp;MSW'!$A29)</f>
        <v>0</v>
      </c>
      <c r="AE29" s="22">
        <f>SUMIFS('08-21addition'!$E:$E,'08-21addition'!$B:$B,AE$2,'08-21addition'!$A:$A,'Biomass&amp;MSW'!$A29)</f>
        <v>0</v>
      </c>
      <c r="AF29" s="202">
        <f t="shared" si="17"/>
        <v>0</v>
      </c>
      <c r="AG29" s="202">
        <f t="shared" si="18"/>
        <v>0.0025</v>
      </c>
    </row>
    <row r="30" spans="1:33">
      <c r="A30" s="200" t="s">
        <v>132</v>
      </c>
      <c r="B30" s="203"/>
      <c r="C30" s="203"/>
      <c r="D30" s="203"/>
      <c r="E30" s="203"/>
      <c r="F30" s="22">
        <f>SUMIFS('08-21addition'!$L:$L,'08-21addition'!$B:$B,F$2,'08-21addition'!$A:$A,'Biomass&amp;MSW'!$A30)</f>
        <v>0</v>
      </c>
      <c r="G30" s="22">
        <f>SUMIFS('08-21addition'!$L:$L,'08-21addition'!$B:$B,G$2,'08-21addition'!$A:$A,'Biomass&amp;MSW'!$A30)</f>
        <v>0</v>
      </c>
      <c r="H30" s="22">
        <f>SUMIFS('08-21addition'!$L:$L,'08-21addition'!$B:$B,H$2,'08-21addition'!$A:$A,'Biomass&amp;MSW'!$A30)</f>
        <v>0</v>
      </c>
      <c r="I30" s="22">
        <f>SUMIFS('08-21addition'!$L:$L,'08-21addition'!$B:$B,I$2,'08-21addition'!$A:$A,'Biomass&amp;MSW'!$A30)</f>
        <v>0</v>
      </c>
      <c r="J30" s="22">
        <f>SUMIFS('08-21addition'!$L:$L,'08-21addition'!$B:$B,J$2,'08-21addition'!$A:$A,'Biomass&amp;MSW'!$A30)</f>
        <v>0</v>
      </c>
      <c r="K30" s="22">
        <f>SUMIFS('08-21addition'!$L:$L,'08-21addition'!$B:$B,K$2,'08-21addition'!$A:$A,'Biomass&amp;MSW'!$A30)</f>
        <v>0</v>
      </c>
      <c r="L30" s="22">
        <f>SUMIFS('08-21addition'!$L:$L,'08-21addition'!$B:$B,L$2,'08-21addition'!$A:$A,'Biomass&amp;MSW'!$A30)</f>
        <v>0</v>
      </c>
      <c r="M30" s="22">
        <f>SUMIFS('08-21addition'!$L:$L,'08-21addition'!$B:$B,M$2,'08-21addition'!$A:$A,'Biomass&amp;MSW'!$A30)</f>
        <v>0</v>
      </c>
      <c r="N30" s="202" t="str">
        <f t="shared" si="15"/>
        <v/>
      </c>
      <c r="O30" s="22">
        <f>SUMIFS('08-21addition'!$F:$F,'08-21addition'!$B:$B,O$2,'08-21addition'!$A:$A,'Biomass&amp;MSW'!$A30)</f>
        <v>0</v>
      </c>
      <c r="P30" s="22">
        <f>SUMIFS('08-21addition'!$F:$F,'08-21addition'!$B:$B,P$2,'08-21addition'!$A:$A,'Biomass&amp;MSW'!$A30)</f>
        <v>0</v>
      </c>
      <c r="Q30" s="22">
        <f>SUMIFS('08-21addition'!$F:$F,'08-21addition'!$B:$B,Q$2,'08-21addition'!$A:$A,'Biomass&amp;MSW'!$A30)</f>
        <v>0</v>
      </c>
      <c r="R30" s="22">
        <f>SUMIFS('08-21addition'!$F:$F,'08-21addition'!$B:$B,R$2,'08-21addition'!$A:$A,'Biomass&amp;MSW'!$A30)</f>
        <v>0</v>
      </c>
      <c r="S30" s="22">
        <f>SUMIFS('08-21addition'!$F:$F,'08-21addition'!$B:$B,S$2,'08-21addition'!$A:$A,'Biomass&amp;MSW'!$A30)</f>
        <v>0</v>
      </c>
      <c r="T30" s="22">
        <f>SUMIFS('08-21addition'!$F:$F,'08-21addition'!$B:$B,T$2,'08-21addition'!$A:$A,'Biomass&amp;MSW'!$A30)</f>
        <v>0</v>
      </c>
      <c r="U30" s="22">
        <f>SUMIFS('08-21addition'!$F:$F,'08-21addition'!$B:$B,U$2,'08-21addition'!$A:$A,'Biomass&amp;MSW'!$A30)</f>
        <v>0</v>
      </c>
      <c r="V30" s="22">
        <f>SUMIFS('08-21addition'!$F:$F,'08-21addition'!$B:$B,V$2,'08-21addition'!$A:$A,'Biomass&amp;MSW'!$A30)</f>
        <v>0</v>
      </c>
      <c r="W30" s="202" t="str">
        <f t="shared" si="16"/>
        <v/>
      </c>
      <c r="X30" s="22">
        <f>SUMIFS('08-21addition'!$E:$E,'08-21addition'!$B:$B,X$2,'08-21addition'!$A:$A,'Biomass&amp;MSW'!$A30)</f>
        <v>0</v>
      </c>
      <c r="Y30" s="22">
        <f>SUMIFS('08-21addition'!$E:$E,'08-21addition'!$B:$B,Y$2,'08-21addition'!$A:$A,'Biomass&amp;MSW'!$A30)</f>
        <v>0</v>
      </c>
      <c r="Z30" s="22">
        <f>SUMIFS('08-21addition'!$E:$E,'08-21addition'!$B:$B,Z$2,'08-21addition'!$A:$A,'Biomass&amp;MSW'!$A30)</f>
        <v>0</v>
      </c>
      <c r="AA30" s="22">
        <f>SUMIFS('08-21addition'!$E:$E,'08-21addition'!$B:$B,AA$2,'08-21addition'!$A:$A,'Biomass&amp;MSW'!$A30)</f>
        <v>0</v>
      </c>
      <c r="AB30" s="22">
        <f>SUMIFS('08-21addition'!$E:$E,'08-21addition'!$B:$B,AB$2,'08-21addition'!$A:$A,'Biomass&amp;MSW'!$A30)</f>
        <v>0</v>
      </c>
      <c r="AC30" s="22">
        <f>SUMIFS('08-21addition'!$E:$E,'08-21addition'!$B:$B,AC$2,'08-21addition'!$A:$A,'Biomass&amp;MSW'!$A30)</f>
        <v>0</v>
      </c>
      <c r="AD30" s="22">
        <f>SUMIFS('08-21addition'!$E:$E,'08-21addition'!$B:$B,AD$2,'08-21addition'!$A:$A,'Biomass&amp;MSW'!$A30)</f>
        <v>0</v>
      </c>
      <c r="AE30" s="22">
        <f>SUMIFS('08-21addition'!$E:$E,'08-21addition'!$B:$B,AE$2,'08-21addition'!$A:$A,'Biomass&amp;MSW'!$A30)</f>
        <v>0</v>
      </c>
      <c r="AF30" s="202" t="str">
        <f t="shared" si="17"/>
        <v/>
      </c>
      <c r="AG30" s="202" t="str">
        <f t="shared" si="18"/>
        <v/>
      </c>
    </row>
    <row r="31" spans="1:33">
      <c r="A31" s="200" t="s">
        <v>134</v>
      </c>
      <c r="B31" s="203">
        <v>2</v>
      </c>
      <c r="C31" s="203"/>
      <c r="D31" s="203">
        <v>2</v>
      </c>
      <c r="E31" s="203"/>
      <c r="F31" s="22">
        <f>SUMIFS('08-21addition'!$L:$L,'08-21addition'!$B:$B,F$2,'08-21addition'!$A:$A,'Biomass&amp;MSW'!$A31)</f>
        <v>0</v>
      </c>
      <c r="G31" s="22">
        <f>SUMIFS('08-21addition'!$L:$L,'08-21addition'!$B:$B,G$2,'08-21addition'!$A:$A,'Biomass&amp;MSW'!$A31)</f>
        <v>0</v>
      </c>
      <c r="H31" s="22">
        <f>SUMIFS('08-21addition'!$L:$L,'08-21addition'!$B:$B,H$2,'08-21addition'!$A:$A,'Biomass&amp;MSW'!$A31)</f>
        <v>0</v>
      </c>
      <c r="I31" s="22">
        <f>SUMIFS('08-21addition'!$L:$L,'08-21addition'!$B:$B,I$2,'08-21addition'!$A:$A,'Biomass&amp;MSW'!$A31)</f>
        <v>0</v>
      </c>
      <c r="J31" s="22">
        <f>SUMIFS('08-21addition'!$L:$L,'08-21addition'!$B:$B,J$2,'08-21addition'!$A:$A,'Biomass&amp;MSW'!$A31)</f>
        <v>0</v>
      </c>
      <c r="K31" s="22">
        <f>SUMIFS('08-21addition'!$L:$L,'08-21addition'!$B:$B,K$2,'08-21addition'!$A:$A,'Biomass&amp;MSW'!$A31)</f>
        <v>0</v>
      </c>
      <c r="L31" s="22">
        <f>SUMIFS('08-21addition'!$L:$L,'08-21addition'!$B:$B,L$2,'08-21addition'!$A:$A,'Biomass&amp;MSW'!$A31)</f>
        <v>0</v>
      </c>
      <c r="M31" s="22">
        <f>SUMIFS('08-21addition'!$L:$L,'08-21addition'!$B:$B,M$2,'08-21addition'!$A:$A,'Biomass&amp;MSW'!$A31)</f>
        <v>0</v>
      </c>
      <c r="N31" s="202" t="str">
        <f t="shared" si="15"/>
        <v/>
      </c>
      <c r="O31" s="22">
        <f>SUMIFS('08-21addition'!$F:$F,'08-21addition'!$B:$B,O$2,'08-21addition'!$A:$A,'Biomass&amp;MSW'!$A31)</f>
        <v>0</v>
      </c>
      <c r="P31" s="22">
        <f>SUMIFS('08-21addition'!$F:$F,'08-21addition'!$B:$B,P$2,'08-21addition'!$A:$A,'Biomass&amp;MSW'!$A31)</f>
        <v>0.13</v>
      </c>
      <c r="Q31" s="22">
        <f>SUMIFS('08-21addition'!$F:$F,'08-21addition'!$B:$B,Q$2,'08-21addition'!$A:$A,'Biomass&amp;MSW'!$A31)</f>
        <v>0</v>
      </c>
      <c r="R31" s="22">
        <f>SUMIFS('08-21addition'!$F:$F,'08-21addition'!$B:$B,R$2,'08-21addition'!$A:$A,'Biomass&amp;MSW'!$A31)</f>
        <v>0</v>
      </c>
      <c r="S31" s="22">
        <f>SUMIFS('08-21addition'!$F:$F,'08-21addition'!$B:$B,S$2,'08-21addition'!$A:$A,'Biomass&amp;MSW'!$A31)</f>
        <v>0</v>
      </c>
      <c r="T31" s="22">
        <f>SUMIFS('08-21addition'!$F:$F,'08-21addition'!$B:$B,T$2,'08-21addition'!$A:$A,'Biomass&amp;MSW'!$A31)</f>
        <v>0</v>
      </c>
      <c r="U31" s="22">
        <f>SUMIFS('08-21addition'!$F:$F,'08-21addition'!$B:$B,U$2,'08-21addition'!$A:$A,'Biomass&amp;MSW'!$A31)</f>
        <v>0</v>
      </c>
      <c r="V31" s="22">
        <f>SUMIFS('08-21addition'!$F:$F,'08-21addition'!$B:$B,V$2,'08-21addition'!$A:$A,'Biomass&amp;MSW'!$A31)</f>
        <v>0</v>
      </c>
      <c r="W31" s="202">
        <f t="shared" si="16"/>
        <v>0.065</v>
      </c>
      <c r="X31" s="22">
        <f>SUMIFS('08-21addition'!$E:$E,'08-21addition'!$B:$B,X$2,'08-21addition'!$A:$A,'Biomass&amp;MSW'!$A31)</f>
        <v>0</v>
      </c>
      <c r="Y31" s="22">
        <f>SUMIFS('08-21addition'!$E:$E,'08-21addition'!$B:$B,Y$2,'08-21addition'!$A:$A,'Biomass&amp;MSW'!$A31)</f>
        <v>0</v>
      </c>
      <c r="Z31" s="22">
        <f>SUMIFS('08-21addition'!$E:$E,'08-21addition'!$B:$B,Z$2,'08-21addition'!$A:$A,'Biomass&amp;MSW'!$A31)</f>
        <v>0</v>
      </c>
      <c r="AA31" s="22">
        <f>SUMIFS('08-21addition'!$E:$E,'08-21addition'!$B:$B,AA$2,'08-21addition'!$A:$A,'Biomass&amp;MSW'!$A31)</f>
        <v>0</v>
      </c>
      <c r="AB31" s="22">
        <f>SUMIFS('08-21addition'!$E:$E,'08-21addition'!$B:$B,AB$2,'08-21addition'!$A:$A,'Biomass&amp;MSW'!$A31)</f>
        <v>0</v>
      </c>
      <c r="AC31" s="22">
        <f>SUMIFS('08-21addition'!$E:$E,'08-21addition'!$B:$B,AC$2,'08-21addition'!$A:$A,'Biomass&amp;MSW'!$A31)</f>
        <v>0</v>
      </c>
      <c r="AD31" s="22">
        <f>SUMIFS('08-21addition'!$E:$E,'08-21addition'!$B:$B,AD$2,'08-21addition'!$A:$A,'Biomass&amp;MSW'!$A31)</f>
        <v>0</v>
      </c>
      <c r="AE31" s="22">
        <f>SUMIFS('08-21addition'!$E:$E,'08-21addition'!$B:$B,AE$2,'08-21addition'!$A:$A,'Biomass&amp;MSW'!$A31)</f>
        <v>0</v>
      </c>
      <c r="AF31" s="202" t="str">
        <f t="shared" si="17"/>
        <v/>
      </c>
      <c r="AG31" s="202" t="str">
        <f t="shared" si="18"/>
        <v/>
      </c>
    </row>
    <row r="32" spans="1:33">
      <c r="A32" s="200" t="s">
        <v>136</v>
      </c>
      <c r="B32" s="201">
        <v>8</v>
      </c>
      <c r="C32" s="203"/>
      <c r="D32" s="201">
        <v>5</v>
      </c>
      <c r="E32" s="201">
        <v>3</v>
      </c>
      <c r="F32" s="22">
        <f>SUMIFS('08-21addition'!$L:$L,'08-21addition'!$B:$B,F$2,'08-21addition'!$A:$A,'Biomass&amp;MSW'!$A32)</f>
        <v>0</v>
      </c>
      <c r="G32" s="22">
        <f>SUMIFS('08-21addition'!$L:$L,'08-21addition'!$B:$B,G$2,'08-21addition'!$A:$A,'Biomass&amp;MSW'!$A32)</f>
        <v>0</v>
      </c>
      <c r="H32" s="22">
        <f>SUMIFS('08-21addition'!$L:$L,'08-21addition'!$B:$B,H$2,'08-21addition'!$A:$A,'Biomass&amp;MSW'!$A32)</f>
        <v>0</v>
      </c>
      <c r="I32" s="22">
        <f>SUMIFS('08-21addition'!$L:$L,'08-21addition'!$B:$B,I$2,'08-21addition'!$A:$A,'Biomass&amp;MSW'!$A32)</f>
        <v>0</v>
      </c>
      <c r="J32" s="22">
        <f>SUMIFS('08-21addition'!$L:$L,'08-21addition'!$B:$B,J$2,'08-21addition'!$A:$A,'Biomass&amp;MSW'!$A32)</f>
        <v>0</v>
      </c>
      <c r="K32" s="22">
        <f>SUMIFS('08-21addition'!$L:$L,'08-21addition'!$B:$B,K$2,'08-21addition'!$A:$A,'Biomass&amp;MSW'!$A32)</f>
        <v>0</v>
      </c>
      <c r="L32" s="22">
        <f>SUMIFS('08-21addition'!$L:$L,'08-21addition'!$B:$B,L$2,'08-21addition'!$A:$A,'Biomass&amp;MSW'!$A32)</f>
        <v>0</v>
      </c>
      <c r="M32" s="22">
        <f>SUMIFS('08-21addition'!$L:$L,'08-21addition'!$B:$B,M$2,'08-21addition'!$A:$A,'Biomass&amp;MSW'!$A32)</f>
        <v>0</v>
      </c>
      <c r="N32" s="202" t="str">
        <f t="shared" si="15"/>
        <v/>
      </c>
      <c r="O32" s="22">
        <f>SUMIFS('08-21addition'!$F:$F,'08-21addition'!$B:$B,O$2,'08-21addition'!$A:$A,'Biomass&amp;MSW'!$A32)</f>
        <v>0</v>
      </c>
      <c r="P32" s="22">
        <f>SUMIFS('08-21addition'!$F:$F,'08-21addition'!$B:$B,P$2,'08-21addition'!$A:$A,'Biomass&amp;MSW'!$A32)</f>
        <v>0</v>
      </c>
      <c r="Q32" s="22">
        <f>SUMIFS('08-21addition'!$F:$F,'08-21addition'!$B:$B,Q$2,'08-21addition'!$A:$A,'Biomass&amp;MSW'!$A32)</f>
        <v>0</v>
      </c>
      <c r="R32" s="22">
        <f>SUMIFS('08-21addition'!$F:$F,'08-21addition'!$B:$B,R$2,'08-21addition'!$A:$A,'Biomass&amp;MSW'!$A32)</f>
        <v>0</v>
      </c>
      <c r="S32" s="22">
        <f>SUMIFS('08-21addition'!$F:$F,'08-21addition'!$B:$B,S$2,'08-21addition'!$A:$A,'Biomass&amp;MSW'!$A32)</f>
        <v>0</v>
      </c>
      <c r="T32" s="22">
        <f>SUMIFS('08-21addition'!$F:$F,'08-21addition'!$B:$B,T$2,'08-21addition'!$A:$A,'Biomass&amp;MSW'!$A32)</f>
        <v>0</v>
      </c>
      <c r="U32" s="22">
        <f>SUMIFS('08-21addition'!$F:$F,'08-21addition'!$B:$B,U$2,'08-21addition'!$A:$A,'Biomass&amp;MSW'!$A32)</f>
        <v>0</v>
      </c>
      <c r="V32" s="22">
        <f>SUMIFS('08-21addition'!$F:$F,'08-21addition'!$B:$B,V$2,'08-21addition'!$A:$A,'Biomass&amp;MSW'!$A32)</f>
        <v>5.2</v>
      </c>
      <c r="W32" s="202">
        <f t="shared" si="16"/>
        <v>1</v>
      </c>
      <c r="X32" s="22">
        <f>SUMIFS('08-21addition'!$E:$E,'08-21addition'!$B:$B,X$2,'08-21addition'!$A:$A,'Biomass&amp;MSW'!$A32)</f>
        <v>0</v>
      </c>
      <c r="Y32" s="22">
        <f>SUMIFS('08-21addition'!$E:$E,'08-21addition'!$B:$B,Y$2,'08-21addition'!$A:$A,'Biomass&amp;MSW'!$A32)</f>
        <v>0</v>
      </c>
      <c r="Z32" s="22">
        <f>SUMIFS('08-21addition'!$E:$E,'08-21addition'!$B:$B,Z$2,'08-21addition'!$A:$A,'Biomass&amp;MSW'!$A32)</f>
        <v>0</v>
      </c>
      <c r="AA32" s="22">
        <f>SUMIFS('08-21addition'!$E:$E,'08-21addition'!$B:$B,AA$2,'08-21addition'!$A:$A,'Biomass&amp;MSW'!$A32)</f>
        <v>0</v>
      </c>
      <c r="AB32" s="22">
        <f>SUMIFS('08-21addition'!$E:$E,'08-21addition'!$B:$B,AB$2,'08-21addition'!$A:$A,'Biomass&amp;MSW'!$A32)</f>
        <v>0</v>
      </c>
      <c r="AC32" s="22">
        <f>SUMIFS('08-21addition'!$E:$E,'08-21addition'!$B:$B,AC$2,'08-21addition'!$A:$A,'Biomass&amp;MSW'!$A32)</f>
        <v>3</v>
      </c>
      <c r="AD32" s="22">
        <f>SUMIFS('08-21addition'!$E:$E,'08-21addition'!$B:$B,AD$2,'08-21addition'!$A:$A,'Biomass&amp;MSW'!$A32)</f>
        <v>0</v>
      </c>
      <c r="AE32" s="22">
        <f>SUMIFS('08-21addition'!$E:$E,'08-21addition'!$B:$B,AE$2,'08-21addition'!$A:$A,'Biomass&amp;MSW'!$A32)</f>
        <v>0</v>
      </c>
      <c r="AF32" s="202">
        <f t="shared" si="17"/>
        <v>1</v>
      </c>
      <c r="AG32" s="202">
        <f t="shared" si="18"/>
        <v>1</v>
      </c>
    </row>
    <row r="33" spans="1:33">
      <c r="A33" s="200" t="s">
        <v>138</v>
      </c>
      <c r="B33" s="203"/>
      <c r="C33" s="203"/>
      <c r="D33" s="203"/>
      <c r="E33" s="203"/>
      <c r="F33" s="22">
        <f>SUMIFS('08-21addition'!$L:$L,'08-21addition'!$B:$B,F$2,'08-21addition'!$A:$A,'Biomass&amp;MSW'!$A33)</f>
        <v>0</v>
      </c>
      <c r="G33" s="22">
        <f>SUMIFS('08-21addition'!$L:$L,'08-21addition'!$B:$B,G$2,'08-21addition'!$A:$A,'Biomass&amp;MSW'!$A33)</f>
        <v>0</v>
      </c>
      <c r="H33" s="22">
        <f>SUMIFS('08-21addition'!$L:$L,'08-21addition'!$B:$B,H$2,'08-21addition'!$A:$A,'Biomass&amp;MSW'!$A33)</f>
        <v>0</v>
      </c>
      <c r="I33" s="22">
        <f>SUMIFS('08-21addition'!$L:$L,'08-21addition'!$B:$B,I$2,'08-21addition'!$A:$A,'Biomass&amp;MSW'!$A33)</f>
        <v>0</v>
      </c>
      <c r="J33" s="22">
        <f>SUMIFS('08-21addition'!$L:$L,'08-21addition'!$B:$B,J$2,'08-21addition'!$A:$A,'Biomass&amp;MSW'!$A33)</f>
        <v>0</v>
      </c>
      <c r="K33" s="22">
        <f>SUMIFS('08-21addition'!$L:$L,'08-21addition'!$B:$B,K$2,'08-21addition'!$A:$A,'Biomass&amp;MSW'!$A33)</f>
        <v>0</v>
      </c>
      <c r="L33" s="22">
        <f>SUMIFS('08-21addition'!$L:$L,'08-21addition'!$B:$B,L$2,'08-21addition'!$A:$A,'Biomass&amp;MSW'!$A33)</f>
        <v>0</v>
      </c>
      <c r="M33" s="22">
        <f>SUMIFS('08-21addition'!$L:$L,'08-21addition'!$B:$B,M$2,'08-21addition'!$A:$A,'Biomass&amp;MSW'!$A33)</f>
        <v>0</v>
      </c>
      <c r="N33" s="202" t="str">
        <f t="shared" si="15"/>
        <v/>
      </c>
      <c r="O33" s="22">
        <f>SUMIFS('08-21addition'!$F:$F,'08-21addition'!$B:$B,O$2,'08-21addition'!$A:$A,'Biomass&amp;MSW'!$A33)</f>
        <v>0</v>
      </c>
      <c r="P33" s="22">
        <f>SUMIFS('08-21addition'!$F:$F,'08-21addition'!$B:$B,P$2,'08-21addition'!$A:$A,'Biomass&amp;MSW'!$A33)</f>
        <v>0</v>
      </c>
      <c r="Q33" s="22">
        <f>SUMIFS('08-21addition'!$F:$F,'08-21addition'!$B:$B,Q$2,'08-21addition'!$A:$A,'Biomass&amp;MSW'!$A33)</f>
        <v>0</v>
      </c>
      <c r="R33" s="22">
        <f>SUMIFS('08-21addition'!$F:$F,'08-21addition'!$B:$B,R$2,'08-21addition'!$A:$A,'Biomass&amp;MSW'!$A33)</f>
        <v>0</v>
      </c>
      <c r="S33" s="22">
        <f>SUMIFS('08-21addition'!$F:$F,'08-21addition'!$B:$B,S$2,'08-21addition'!$A:$A,'Biomass&amp;MSW'!$A33)</f>
        <v>0.1</v>
      </c>
      <c r="T33" s="22">
        <f>SUMIFS('08-21addition'!$F:$F,'08-21addition'!$B:$B,T$2,'08-21addition'!$A:$A,'Biomass&amp;MSW'!$A33)</f>
        <v>0</v>
      </c>
      <c r="U33" s="22">
        <f>SUMIFS('08-21addition'!$F:$F,'08-21addition'!$B:$B,U$2,'08-21addition'!$A:$A,'Biomass&amp;MSW'!$A33)</f>
        <v>0.25</v>
      </c>
      <c r="V33" s="22">
        <f>SUMIFS('08-21addition'!$F:$F,'08-21addition'!$B:$B,V$2,'08-21addition'!$A:$A,'Biomass&amp;MSW'!$A33)</f>
        <v>0</v>
      </c>
      <c r="W33" s="202" t="str">
        <f t="shared" si="16"/>
        <v/>
      </c>
      <c r="X33" s="22">
        <f>SUMIFS('08-21addition'!$E:$E,'08-21addition'!$B:$B,X$2,'08-21addition'!$A:$A,'Biomass&amp;MSW'!$A33)</f>
        <v>0</v>
      </c>
      <c r="Y33" s="22">
        <f>SUMIFS('08-21addition'!$E:$E,'08-21addition'!$B:$B,Y$2,'08-21addition'!$A:$A,'Biomass&amp;MSW'!$A33)</f>
        <v>0</v>
      </c>
      <c r="Z33" s="22">
        <f>SUMIFS('08-21addition'!$E:$E,'08-21addition'!$B:$B,Z$2,'08-21addition'!$A:$A,'Biomass&amp;MSW'!$A33)</f>
        <v>0</v>
      </c>
      <c r="AA33" s="22">
        <f>SUMIFS('08-21addition'!$E:$E,'08-21addition'!$B:$B,AA$2,'08-21addition'!$A:$A,'Biomass&amp;MSW'!$A33)</f>
        <v>0</v>
      </c>
      <c r="AB33" s="22">
        <f>SUMIFS('08-21addition'!$E:$E,'08-21addition'!$B:$B,AB$2,'08-21addition'!$A:$A,'Biomass&amp;MSW'!$A33)</f>
        <v>0</v>
      </c>
      <c r="AC33" s="22">
        <f>SUMIFS('08-21addition'!$E:$E,'08-21addition'!$B:$B,AC$2,'08-21addition'!$A:$A,'Biomass&amp;MSW'!$A33)</f>
        <v>0</v>
      </c>
      <c r="AD33" s="22">
        <f>SUMIFS('08-21addition'!$E:$E,'08-21addition'!$B:$B,AD$2,'08-21addition'!$A:$A,'Biomass&amp;MSW'!$A33)</f>
        <v>0</v>
      </c>
      <c r="AE33" s="22">
        <f>SUMIFS('08-21addition'!$E:$E,'08-21addition'!$B:$B,AE$2,'08-21addition'!$A:$A,'Biomass&amp;MSW'!$A33)</f>
        <v>0</v>
      </c>
      <c r="AF33" s="202" t="str">
        <f t="shared" si="17"/>
        <v/>
      </c>
      <c r="AG33" s="202" t="str">
        <f t="shared" si="18"/>
        <v/>
      </c>
    </row>
    <row r="34" spans="1:33">
      <c r="A34" s="200" t="s">
        <v>140</v>
      </c>
      <c r="B34" s="201">
        <v>7</v>
      </c>
      <c r="C34" s="203"/>
      <c r="D34" s="201">
        <v>2</v>
      </c>
      <c r="E34" s="201">
        <v>5</v>
      </c>
      <c r="F34" s="22">
        <f>SUMIFS('08-21addition'!$L:$L,'08-21addition'!$B:$B,F$2,'08-21addition'!$A:$A,'Biomass&amp;MSW'!$A34)</f>
        <v>0</v>
      </c>
      <c r="G34" s="22">
        <f>SUMIFS('08-21addition'!$L:$L,'08-21addition'!$B:$B,G$2,'08-21addition'!$A:$A,'Biomass&amp;MSW'!$A34)</f>
        <v>0</v>
      </c>
      <c r="H34" s="22">
        <f>SUMIFS('08-21addition'!$L:$L,'08-21addition'!$B:$B,H$2,'08-21addition'!$A:$A,'Biomass&amp;MSW'!$A34)</f>
        <v>0</v>
      </c>
      <c r="I34" s="22">
        <f>SUMIFS('08-21addition'!$L:$L,'08-21addition'!$B:$B,I$2,'08-21addition'!$A:$A,'Biomass&amp;MSW'!$A34)</f>
        <v>0</v>
      </c>
      <c r="J34" s="22">
        <f>SUMIFS('08-21addition'!$L:$L,'08-21addition'!$B:$B,J$2,'08-21addition'!$A:$A,'Biomass&amp;MSW'!$A34)</f>
        <v>0</v>
      </c>
      <c r="K34" s="22">
        <f>SUMIFS('08-21addition'!$L:$L,'08-21addition'!$B:$B,K$2,'08-21addition'!$A:$A,'Biomass&amp;MSW'!$A34)</f>
        <v>0</v>
      </c>
      <c r="L34" s="22">
        <f>SUMIFS('08-21addition'!$L:$L,'08-21addition'!$B:$B,L$2,'08-21addition'!$A:$A,'Biomass&amp;MSW'!$A34)</f>
        <v>0</v>
      </c>
      <c r="M34" s="22">
        <f>SUMIFS('08-21addition'!$L:$L,'08-21addition'!$B:$B,M$2,'08-21addition'!$A:$A,'Biomass&amp;MSW'!$A34)</f>
        <v>0</v>
      </c>
      <c r="N34" s="202" t="str">
        <f t="shared" si="15"/>
        <v/>
      </c>
      <c r="O34" s="22">
        <f>SUMIFS('08-21addition'!$F:$F,'08-21addition'!$B:$B,O$2,'08-21addition'!$A:$A,'Biomass&amp;MSW'!$A34)</f>
        <v>0</v>
      </c>
      <c r="P34" s="22">
        <f>SUMIFS('08-21addition'!$F:$F,'08-21addition'!$B:$B,P$2,'08-21addition'!$A:$A,'Biomass&amp;MSW'!$A34)</f>
        <v>0</v>
      </c>
      <c r="Q34" s="22">
        <f>SUMIFS('08-21addition'!$F:$F,'08-21addition'!$B:$B,Q$2,'08-21addition'!$A:$A,'Biomass&amp;MSW'!$A34)</f>
        <v>0</v>
      </c>
      <c r="R34" s="22">
        <f>SUMIFS('08-21addition'!$F:$F,'08-21addition'!$B:$B,R$2,'08-21addition'!$A:$A,'Biomass&amp;MSW'!$A34)</f>
        <v>0</v>
      </c>
      <c r="S34" s="22">
        <f>SUMIFS('08-21addition'!$F:$F,'08-21addition'!$B:$B,S$2,'08-21addition'!$A:$A,'Biomass&amp;MSW'!$A34)</f>
        <v>0</v>
      </c>
      <c r="T34" s="22">
        <f>SUMIFS('08-21addition'!$F:$F,'08-21addition'!$B:$B,T$2,'08-21addition'!$A:$A,'Biomass&amp;MSW'!$A34)</f>
        <v>0</v>
      </c>
      <c r="U34" s="22">
        <f>SUMIFS('08-21addition'!$F:$F,'08-21addition'!$B:$B,U$2,'08-21addition'!$A:$A,'Biomass&amp;MSW'!$A34)</f>
        <v>0</v>
      </c>
      <c r="V34" s="22">
        <f>SUMIFS('08-21addition'!$F:$F,'08-21addition'!$B:$B,V$2,'08-21addition'!$A:$A,'Biomass&amp;MSW'!$A34)</f>
        <v>0</v>
      </c>
      <c r="W34" s="202">
        <f t="shared" si="16"/>
        <v>0</v>
      </c>
      <c r="X34" s="22">
        <f>SUMIFS('08-21addition'!$E:$E,'08-21addition'!$B:$B,X$2,'08-21addition'!$A:$A,'Biomass&amp;MSW'!$A34)</f>
        <v>0</v>
      </c>
      <c r="Y34" s="22">
        <f>SUMIFS('08-21addition'!$E:$E,'08-21addition'!$B:$B,Y$2,'08-21addition'!$A:$A,'Biomass&amp;MSW'!$A34)</f>
        <v>0</v>
      </c>
      <c r="Z34" s="22">
        <f>SUMIFS('08-21addition'!$E:$E,'08-21addition'!$B:$B,Z$2,'08-21addition'!$A:$A,'Biomass&amp;MSW'!$A34)</f>
        <v>0</v>
      </c>
      <c r="AA34" s="22">
        <f>SUMIFS('08-21addition'!$E:$E,'08-21addition'!$B:$B,AA$2,'08-21addition'!$A:$A,'Biomass&amp;MSW'!$A34)</f>
        <v>0</v>
      </c>
      <c r="AB34" s="22">
        <f>SUMIFS('08-21addition'!$E:$E,'08-21addition'!$B:$B,AB$2,'08-21addition'!$A:$A,'Biomass&amp;MSW'!$A34)</f>
        <v>0</v>
      </c>
      <c r="AC34" s="22">
        <f>SUMIFS('08-21addition'!$E:$E,'08-21addition'!$B:$B,AC$2,'08-21addition'!$A:$A,'Biomass&amp;MSW'!$A34)</f>
        <v>0</v>
      </c>
      <c r="AD34" s="22">
        <f>SUMIFS('08-21addition'!$E:$E,'08-21addition'!$B:$B,AD$2,'08-21addition'!$A:$A,'Biomass&amp;MSW'!$A34)</f>
        <v>0</v>
      </c>
      <c r="AE34" s="22">
        <f>SUMIFS('08-21addition'!$E:$E,'08-21addition'!$B:$B,AE$2,'08-21addition'!$A:$A,'Biomass&amp;MSW'!$A34)</f>
        <v>0</v>
      </c>
      <c r="AF34" s="202">
        <f t="shared" si="17"/>
        <v>0</v>
      </c>
      <c r="AG34" s="202">
        <f t="shared" si="18"/>
        <v>0</v>
      </c>
    </row>
    <row r="35" spans="1:33">
      <c r="A35" s="200" t="s">
        <v>142</v>
      </c>
      <c r="B35" s="204">
        <v>3</v>
      </c>
      <c r="C35" s="203"/>
      <c r="D35" s="203"/>
      <c r="E35" s="204">
        <v>3</v>
      </c>
      <c r="F35" s="22">
        <f>SUMIFS('08-21addition'!$L:$L,'08-21addition'!$B:$B,F$2,'08-21addition'!$A:$A,'Biomass&amp;MSW'!$A35)</f>
        <v>0</v>
      </c>
      <c r="G35" s="22">
        <f>SUMIFS('08-21addition'!$L:$L,'08-21addition'!$B:$B,G$2,'08-21addition'!$A:$A,'Biomass&amp;MSW'!$A35)</f>
        <v>0</v>
      </c>
      <c r="H35" s="22">
        <f>SUMIFS('08-21addition'!$L:$L,'08-21addition'!$B:$B,H$2,'08-21addition'!$A:$A,'Biomass&amp;MSW'!$A35)</f>
        <v>0</v>
      </c>
      <c r="I35" s="22">
        <f>SUMIFS('08-21addition'!$L:$L,'08-21addition'!$B:$B,I$2,'08-21addition'!$A:$A,'Biomass&amp;MSW'!$A35)</f>
        <v>0</v>
      </c>
      <c r="J35" s="22">
        <f>SUMIFS('08-21addition'!$L:$L,'08-21addition'!$B:$B,J$2,'08-21addition'!$A:$A,'Biomass&amp;MSW'!$A35)</f>
        <v>0</v>
      </c>
      <c r="K35" s="22">
        <f>SUMIFS('08-21addition'!$L:$L,'08-21addition'!$B:$B,K$2,'08-21addition'!$A:$A,'Biomass&amp;MSW'!$A35)</f>
        <v>0</v>
      </c>
      <c r="L35" s="22">
        <f>SUMIFS('08-21addition'!$L:$L,'08-21addition'!$B:$B,L$2,'08-21addition'!$A:$A,'Biomass&amp;MSW'!$A35)</f>
        <v>0</v>
      </c>
      <c r="M35" s="22">
        <f>SUMIFS('08-21addition'!$L:$L,'08-21addition'!$B:$B,M$2,'08-21addition'!$A:$A,'Biomass&amp;MSW'!$A35)</f>
        <v>0</v>
      </c>
      <c r="N35" s="202" t="str">
        <f t="shared" si="15"/>
        <v/>
      </c>
      <c r="O35" s="22">
        <f>SUMIFS('08-21addition'!$F:$F,'08-21addition'!$B:$B,O$2,'08-21addition'!$A:$A,'Biomass&amp;MSW'!$A35)</f>
        <v>0</v>
      </c>
      <c r="P35" s="22">
        <f>SUMIFS('08-21addition'!$F:$F,'08-21addition'!$B:$B,P$2,'08-21addition'!$A:$A,'Biomass&amp;MSW'!$A35)</f>
        <v>0</v>
      </c>
      <c r="Q35" s="22">
        <f>SUMIFS('08-21addition'!$F:$F,'08-21addition'!$B:$B,Q$2,'08-21addition'!$A:$A,'Biomass&amp;MSW'!$A35)</f>
        <v>0</v>
      </c>
      <c r="R35" s="22">
        <f>SUMIFS('08-21addition'!$F:$F,'08-21addition'!$B:$B,R$2,'08-21addition'!$A:$A,'Biomass&amp;MSW'!$A35)</f>
        <v>0</v>
      </c>
      <c r="S35" s="22">
        <f>SUMIFS('08-21addition'!$F:$F,'08-21addition'!$B:$B,S$2,'08-21addition'!$A:$A,'Biomass&amp;MSW'!$A35)</f>
        <v>0</v>
      </c>
      <c r="T35" s="22">
        <f>SUMIFS('08-21addition'!$F:$F,'08-21addition'!$B:$B,T$2,'08-21addition'!$A:$A,'Biomass&amp;MSW'!$A35)</f>
        <v>0</v>
      </c>
      <c r="U35" s="22">
        <f>SUMIFS('08-21addition'!$F:$F,'08-21addition'!$B:$B,U$2,'08-21addition'!$A:$A,'Biomass&amp;MSW'!$A35)</f>
        <v>0</v>
      </c>
      <c r="V35" s="22">
        <f>SUMIFS('08-21addition'!$F:$F,'08-21addition'!$B:$B,V$2,'08-21addition'!$A:$A,'Biomass&amp;MSW'!$A35)</f>
        <v>0</v>
      </c>
      <c r="W35" s="202" t="str">
        <f t="shared" si="16"/>
        <v/>
      </c>
      <c r="X35" s="22">
        <f>SUMIFS('08-21addition'!$E:$E,'08-21addition'!$B:$B,X$2,'08-21addition'!$A:$A,'Biomass&amp;MSW'!$A35)</f>
        <v>0</v>
      </c>
      <c r="Y35" s="22">
        <f>SUMIFS('08-21addition'!$E:$E,'08-21addition'!$B:$B,Y$2,'08-21addition'!$A:$A,'Biomass&amp;MSW'!$A35)</f>
        <v>0</v>
      </c>
      <c r="Z35" s="22">
        <f>SUMIFS('08-21addition'!$E:$E,'08-21addition'!$B:$B,Z$2,'08-21addition'!$A:$A,'Biomass&amp;MSW'!$A35)</f>
        <v>0</v>
      </c>
      <c r="AA35" s="22">
        <f>SUMIFS('08-21addition'!$E:$E,'08-21addition'!$B:$B,AA$2,'08-21addition'!$A:$A,'Biomass&amp;MSW'!$A35)</f>
        <v>0</v>
      </c>
      <c r="AB35" s="22">
        <f>SUMIFS('08-21addition'!$E:$E,'08-21addition'!$B:$B,AB$2,'08-21addition'!$A:$A,'Biomass&amp;MSW'!$A35)</f>
        <v>5.5</v>
      </c>
      <c r="AC35" s="22">
        <f>SUMIFS('08-21addition'!$E:$E,'08-21addition'!$B:$B,AC$2,'08-21addition'!$A:$A,'Biomass&amp;MSW'!$A35)</f>
        <v>13.5</v>
      </c>
      <c r="AD35" s="22">
        <f>SUMIFS('08-21addition'!$E:$E,'08-21addition'!$B:$B,AD$2,'08-21addition'!$A:$A,'Biomass&amp;MSW'!$A35)</f>
        <v>0</v>
      </c>
      <c r="AE35" s="22">
        <f>SUMIFS('08-21addition'!$E:$E,'08-21addition'!$B:$B,AE$2,'08-21addition'!$A:$A,'Biomass&amp;MSW'!$A35)</f>
        <v>7.2</v>
      </c>
      <c r="AF35" s="202">
        <f t="shared" si="17"/>
        <v>1</v>
      </c>
      <c r="AG35" s="202">
        <f t="shared" si="18"/>
        <v>1</v>
      </c>
    </row>
    <row r="37" ht="13.1" spans="1:33">
      <c r="A37" s="205" t="s">
        <v>1353</v>
      </c>
    </row>
    <row r="38" spans="1:33">
      <c r="A38" s="27" t="s">
        <v>144</v>
      </c>
      <c r="B38" s="193">
        <v>2001</v>
      </c>
      <c r="C38" s="193">
        <v>2002</v>
      </c>
      <c r="D38" s="193">
        <v>2003</v>
      </c>
      <c r="E38" s="193">
        <v>2004</v>
      </c>
      <c r="F38" s="193">
        <v>2005</v>
      </c>
      <c r="G38" s="193">
        <v>2006</v>
      </c>
      <c r="H38" s="193">
        <v>2007</v>
      </c>
      <c r="I38" s="193">
        <v>2008</v>
      </c>
      <c r="J38" s="18">
        <v>2009</v>
      </c>
      <c r="K38" s="18">
        <v>2010</v>
      </c>
      <c r="L38" s="18">
        <v>2011</v>
      </c>
      <c r="M38" s="18">
        <v>2012</v>
      </c>
      <c r="N38" s="18">
        <v>2013</v>
      </c>
      <c r="O38" s="18">
        <v>2014</v>
      </c>
      <c r="P38" s="18">
        <v>2015</v>
      </c>
      <c r="Q38" s="18">
        <v>2016</v>
      </c>
      <c r="R38" s="18">
        <v>2017</v>
      </c>
      <c r="S38" s="18">
        <v>2018</v>
      </c>
      <c r="T38" s="18">
        <v>2019</v>
      </c>
      <c r="U38" s="18">
        <v>2020</v>
      </c>
      <c r="V38" s="18">
        <v>2021</v>
      </c>
    </row>
    <row r="39" spans="1:33">
      <c r="A39" s="22" t="s">
        <v>80</v>
      </c>
      <c r="B39" s="206">
        <f t="shared" ref="B39:V39" si="19">SUM(B40:B70)</f>
        <v>514.75</v>
      </c>
      <c r="C39" s="206">
        <f t="shared" si="19"/>
        <v>514.75</v>
      </c>
      <c r="D39" s="206">
        <f t="shared" si="19"/>
        <v>514.75</v>
      </c>
      <c r="E39" s="206">
        <f t="shared" si="19"/>
        <v>514.75</v>
      </c>
      <c r="F39" s="206">
        <f t="shared" si="19"/>
        <v>514.75</v>
      </c>
      <c r="G39" s="206">
        <f t="shared" si="19"/>
        <v>514.75</v>
      </c>
      <c r="H39" s="206">
        <f t="shared" si="19"/>
        <v>514.75</v>
      </c>
      <c r="I39" s="206">
        <f t="shared" si="19"/>
        <v>514.75</v>
      </c>
      <c r="J39" s="207">
        <f t="shared" si="19"/>
        <v>232.5</v>
      </c>
      <c r="K39" s="207">
        <f t="shared" si="19"/>
        <v>433</v>
      </c>
      <c r="L39" s="207">
        <f t="shared" si="19"/>
        <v>654</v>
      </c>
      <c r="M39" s="207">
        <f t="shared" si="19"/>
        <v>786.8</v>
      </c>
      <c r="N39" s="207">
        <f t="shared" si="19"/>
        <v>574.8</v>
      </c>
      <c r="O39" s="207">
        <f t="shared" si="19"/>
        <v>705.2</v>
      </c>
      <c r="P39" s="207">
        <f t="shared" si="19"/>
        <v>474</v>
      </c>
      <c r="Q39" s="207">
        <f t="shared" si="19"/>
        <v>633.5</v>
      </c>
      <c r="R39" s="207">
        <f t="shared" si="19"/>
        <v>810</v>
      </c>
      <c r="S39" s="207">
        <f t="shared" si="19"/>
        <v>952.6</v>
      </c>
      <c r="T39" s="207">
        <f t="shared" si="19"/>
        <v>1189.5</v>
      </c>
      <c r="U39" s="207">
        <f t="shared" si="19"/>
        <v>2230.5</v>
      </c>
      <c r="V39" s="207">
        <f t="shared" si="19"/>
        <v>2245.2</v>
      </c>
    </row>
    <row r="40" spans="1:33">
      <c r="A40" s="22" t="s">
        <v>82</v>
      </c>
      <c r="B40" s="206">
        <f>(IFERROR((1-$AG5),0)*($C5+$E5))/8*10</f>
        <v>1.25</v>
      </c>
      <c r="C40" s="206">
        <f t="shared" ref="C40:I40" si="20">(IFERROR((1-$AG5),0)*($C5+$E5))/8*10</f>
        <v>1.25</v>
      </c>
      <c r="D40" s="206">
        <f t="shared" si="20"/>
        <v>1.25</v>
      </c>
      <c r="E40" s="206">
        <f t="shared" si="20"/>
        <v>1.25</v>
      </c>
      <c r="F40" s="206">
        <f t="shared" si="20"/>
        <v>1.25</v>
      </c>
      <c r="G40" s="206">
        <f t="shared" si="20"/>
        <v>1.25</v>
      </c>
      <c r="H40" s="206">
        <f t="shared" si="20"/>
        <v>1.25</v>
      </c>
      <c r="I40" s="206">
        <f t="shared" si="20"/>
        <v>1.25</v>
      </c>
      <c r="J40" s="207">
        <f>SUMIFS('08-21addition'!$L:$L,'08-21addition'!$B:$B,J$38,'08-21addition'!$A:$A,'Biomass&amp;MSW'!$A41)*10+SUMIFS('08-21addition'!$E:$E,'08-21addition'!$B:$B,J$38,'08-21addition'!$A:$A,'Biomass&amp;MSW'!$A41)*10</f>
        <v>0</v>
      </c>
      <c r="K40" s="207">
        <f>SUMIFS('08-21addition'!$L:$L,'08-21addition'!$B:$B,K$38,'08-21addition'!$A:$A,'Biomass&amp;MSW'!$A41)*10+SUMIFS('08-21addition'!$E:$E,'08-21addition'!$B:$B,K$38,'08-21addition'!$A:$A,'Biomass&amp;MSW'!$A41)*10</f>
        <v>0</v>
      </c>
      <c r="L40" s="207">
        <f>SUMIFS('08-21addition'!$L:$L,'08-21addition'!$B:$B,L$38,'08-21addition'!$A:$A,'Biomass&amp;MSW'!$A41)*10+SUMIFS('08-21addition'!$E:$E,'08-21addition'!$B:$B,L$38,'08-21addition'!$A:$A,'Biomass&amp;MSW'!$A41)*10</f>
        <v>0</v>
      </c>
      <c r="M40" s="207">
        <f>SUMIFS('08-21addition'!$L:$L,'08-21addition'!$B:$B,M$38,'08-21addition'!$A:$A,'Biomass&amp;MSW'!$A41)*10+SUMIFS('08-21addition'!$E:$E,'08-21addition'!$B:$B,M$38,'08-21addition'!$A:$A,'Biomass&amp;MSW'!$A41)*10</f>
        <v>0</v>
      </c>
      <c r="N40" s="207">
        <f>SUMIFS('08-21addition'!$L:$L,'08-21addition'!$B:$B,N$38,'08-21addition'!$A:$A,'Biomass&amp;MSW'!$A41)*10+SUMIFS('08-21addition'!$E:$E,'08-21addition'!$B:$B,N$38,'08-21addition'!$A:$A,'Biomass&amp;MSW'!$A41)*10</f>
        <v>0</v>
      </c>
      <c r="O40" s="207">
        <f>SUMIFS('08-21addition'!$L:$L,'08-21addition'!$B:$B,O$38,'08-21addition'!$A:$A,'Biomass&amp;MSW'!$A41)*10+SUMIFS('08-21addition'!$E:$E,'08-21addition'!$B:$B,O$38,'08-21addition'!$A:$A,'Biomass&amp;MSW'!$A41)*10</f>
        <v>0</v>
      </c>
      <c r="P40" s="207">
        <f>SUMIFS('08-21addition'!$L:$L,'08-21addition'!$B:$B,P$38,'08-21addition'!$A:$A,'Biomass&amp;MSW'!$A41)*10+SUMIFS('08-21addition'!$E:$E,'08-21addition'!$B:$B,P$38,'08-21addition'!$A:$A,'Biomass&amp;MSW'!$A41)*10</f>
        <v>6</v>
      </c>
      <c r="Q40" s="207">
        <f>SUMIFS('08-21addition'!$L:$L,'08-21addition'!$B:$B,Q$38,'08-21addition'!$A:$A,'Biomass&amp;MSW'!$A41)*10+SUMIFS('08-21addition'!$E:$E,'08-21addition'!$B:$B,Q$38,'08-21addition'!$A:$A,'Biomass&amp;MSW'!$A41)*10</f>
        <v>0</v>
      </c>
      <c r="R40" s="207">
        <f>SUMIFS('08-21addition'!$L:$L,'08-21addition'!$B:$B,R$38,'08-21addition'!$A:$A,'Biomass&amp;MSW'!$A41)*10+SUMIFS('08-21addition'!$E:$E,'08-21addition'!$B:$B,R$38,'08-21addition'!$A:$A,'Biomass&amp;MSW'!$A41)*10</f>
        <v>0</v>
      </c>
      <c r="S40" s="207">
        <f>SUMIFS('08-21addition'!$L:$L,'08-21addition'!$B:$B,S$38,'08-21addition'!$A:$A,'Biomass&amp;MSW'!$A41)*10+SUMIFS('08-21addition'!$E:$E,'08-21addition'!$B:$B,S$38,'08-21addition'!$A:$A,'Biomass&amp;MSW'!$A41)*10</f>
        <v>37.5</v>
      </c>
      <c r="T40" s="207">
        <f>SUMIFS('08-21addition'!$L:$L,'08-21addition'!$B:$B,T$38,'08-21addition'!$A:$A,'Biomass&amp;MSW'!$A41)*10+SUMIFS('08-21addition'!$E:$E,'08-21addition'!$B:$B,T$38,'08-21addition'!$A:$A,'Biomass&amp;MSW'!$A41)*10</f>
        <v>0</v>
      </c>
      <c r="U40" s="207">
        <f>SUMIFS('08-21addition'!$L:$L,'08-21addition'!$B:$B,U$38,'08-21addition'!$A:$A,'Biomass&amp;MSW'!$A41)*10+SUMIFS('08-21addition'!$E:$E,'08-21addition'!$B:$B,U$38,'08-21addition'!$A:$A,'Biomass&amp;MSW'!$A41)*10</f>
        <v>0</v>
      </c>
      <c r="V40" s="207">
        <f>SUMIFS('08-21addition'!$L:$L,'08-21addition'!$B:$B,V$38,'08-21addition'!$A:$A,'Biomass&amp;MSW'!$A41)*10+SUMIFS('08-21addition'!$E:$E,'08-21addition'!$B:$B,V$38,'08-21addition'!$A:$A,'Biomass&amp;MSW'!$A41)*10</f>
        <v>0</v>
      </c>
    </row>
    <row r="41" spans="1:33">
      <c r="A41" s="22" t="s">
        <v>84</v>
      </c>
      <c r="B41" s="206">
        <f t="shared" ref="B41:I41" si="21">(IFERROR((1-$AG6),0)*($C6+$E6))/8*10</f>
        <v>0</v>
      </c>
      <c r="C41" s="206">
        <f t="shared" si="21"/>
        <v>0</v>
      </c>
      <c r="D41" s="206">
        <f t="shared" si="21"/>
        <v>0</v>
      </c>
      <c r="E41" s="206">
        <f t="shared" si="21"/>
        <v>0</v>
      </c>
      <c r="F41" s="206">
        <f t="shared" si="21"/>
        <v>0</v>
      </c>
      <c r="G41" s="206">
        <f t="shared" si="21"/>
        <v>0</v>
      </c>
      <c r="H41" s="206">
        <f t="shared" si="21"/>
        <v>0</v>
      </c>
      <c r="I41" s="206">
        <f t="shared" si="21"/>
        <v>0</v>
      </c>
      <c r="J41" s="207">
        <f>SUMIFS('08-21addition'!$L:$L,'08-21addition'!$B:$B,J$38,'08-21addition'!$A:$A,'Biomass&amp;MSW'!$A42)*10+SUMIFS('08-21addition'!$E:$E,'08-21addition'!$B:$B,J$38,'08-21addition'!$A:$A,'Biomass&amp;MSW'!$A42)*10</f>
        <v>0</v>
      </c>
      <c r="K41" s="207">
        <f>SUMIFS('08-21addition'!$L:$L,'08-21addition'!$B:$B,K$38,'08-21addition'!$A:$A,'Biomass&amp;MSW'!$A42)*10+SUMIFS('08-21addition'!$E:$E,'08-21addition'!$B:$B,K$38,'08-21addition'!$A:$A,'Biomass&amp;MSW'!$A42)*10</f>
        <v>60</v>
      </c>
      <c r="L41" s="207">
        <f>SUMIFS('08-21addition'!$L:$L,'08-21addition'!$B:$B,L$38,'08-21addition'!$A:$A,'Biomass&amp;MSW'!$A42)*10+SUMIFS('08-21addition'!$E:$E,'08-21addition'!$B:$B,L$38,'08-21addition'!$A:$A,'Biomass&amp;MSW'!$A42)*10</f>
        <v>54</v>
      </c>
      <c r="M41" s="207">
        <f>SUMIFS('08-21addition'!$L:$L,'08-21addition'!$B:$B,M$38,'08-21addition'!$A:$A,'Biomass&amp;MSW'!$A42)*10+SUMIFS('08-21addition'!$E:$E,'08-21addition'!$B:$B,M$38,'08-21addition'!$A:$A,'Biomass&amp;MSW'!$A42)*10</f>
        <v>180</v>
      </c>
      <c r="N41" s="207">
        <f>SUMIFS('08-21addition'!$L:$L,'08-21addition'!$B:$B,N$38,'08-21addition'!$A:$A,'Biomass&amp;MSW'!$A42)*10+SUMIFS('08-21addition'!$E:$E,'08-21addition'!$B:$B,N$38,'08-21addition'!$A:$A,'Biomass&amp;MSW'!$A42)*10</f>
        <v>0</v>
      </c>
      <c r="O41" s="207">
        <f>SUMIFS('08-21addition'!$L:$L,'08-21addition'!$B:$B,O$38,'08-21addition'!$A:$A,'Biomass&amp;MSW'!$A42)*10+SUMIFS('08-21addition'!$E:$E,'08-21addition'!$B:$B,O$38,'08-21addition'!$A:$A,'Biomass&amp;MSW'!$A42)*10</f>
        <v>0</v>
      </c>
      <c r="P41" s="207">
        <f>SUMIFS('08-21addition'!$L:$L,'08-21addition'!$B:$B,P$38,'08-21addition'!$A:$A,'Biomass&amp;MSW'!$A42)*10+SUMIFS('08-21addition'!$E:$E,'08-21addition'!$B:$B,P$38,'08-21addition'!$A:$A,'Biomass&amp;MSW'!$A42)*10</f>
        <v>45</v>
      </c>
      <c r="Q41" s="207">
        <f>SUMIFS('08-21addition'!$L:$L,'08-21addition'!$B:$B,Q$38,'08-21addition'!$A:$A,'Biomass&amp;MSW'!$A42)*10+SUMIFS('08-21addition'!$E:$E,'08-21addition'!$B:$B,Q$38,'08-21addition'!$A:$A,'Biomass&amp;MSW'!$A42)*10</f>
        <v>60</v>
      </c>
      <c r="R41" s="207">
        <f>SUMIFS('08-21addition'!$L:$L,'08-21addition'!$B:$B,R$38,'08-21addition'!$A:$A,'Biomass&amp;MSW'!$A42)*10+SUMIFS('08-21addition'!$E:$E,'08-21addition'!$B:$B,R$38,'08-21addition'!$A:$A,'Biomass&amp;MSW'!$A42)*10</f>
        <v>60</v>
      </c>
      <c r="S41" s="207">
        <f>SUMIFS('08-21addition'!$L:$L,'08-21addition'!$B:$B,S$38,'08-21addition'!$A:$A,'Biomass&amp;MSW'!$A42)*10+SUMIFS('08-21addition'!$E:$E,'08-21addition'!$B:$B,S$38,'08-21addition'!$A:$A,'Biomass&amp;MSW'!$A42)*10</f>
        <v>30</v>
      </c>
      <c r="T41" s="207">
        <f>SUMIFS('08-21addition'!$L:$L,'08-21addition'!$B:$B,T$38,'08-21addition'!$A:$A,'Biomass&amp;MSW'!$A42)*10+SUMIFS('08-21addition'!$E:$E,'08-21addition'!$B:$B,T$38,'08-21addition'!$A:$A,'Biomass&amp;MSW'!$A42)*10</f>
        <v>12</v>
      </c>
      <c r="U41" s="207">
        <f>SUMIFS('08-21addition'!$L:$L,'08-21addition'!$B:$B,U$38,'08-21addition'!$A:$A,'Biomass&amp;MSW'!$A42)*10+SUMIFS('08-21addition'!$E:$E,'08-21addition'!$B:$B,U$38,'08-21addition'!$A:$A,'Biomass&amp;MSW'!$A42)*10</f>
        <v>133.5</v>
      </c>
      <c r="V41" s="207">
        <f>SUMIFS('08-21addition'!$L:$L,'08-21addition'!$B:$B,V$38,'08-21addition'!$A:$A,'Biomass&amp;MSW'!$A42)*10+SUMIFS('08-21addition'!$E:$E,'08-21addition'!$B:$B,V$38,'08-21addition'!$A:$A,'Biomass&amp;MSW'!$A42)*10</f>
        <v>46.2</v>
      </c>
    </row>
    <row r="42" spans="1:33">
      <c r="A42" s="22" t="s">
        <v>86</v>
      </c>
      <c r="B42" s="206">
        <f t="shared" ref="B42:I42" si="22">(IFERROR((1-$AG7),0)*($C7+$E7))/8*10</f>
        <v>0</v>
      </c>
      <c r="C42" s="206">
        <f t="shared" si="22"/>
        <v>0</v>
      </c>
      <c r="D42" s="206">
        <f t="shared" si="22"/>
        <v>0</v>
      </c>
      <c r="E42" s="206">
        <f t="shared" si="22"/>
        <v>0</v>
      </c>
      <c r="F42" s="206">
        <f t="shared" si="22"/>
        <v>0</v>
      </c>
      <c r="G42" s="206">
        <f t="shared" si="22"/>
        <v>0</v>
      </c>
      <c r="H42" s="206">
        <f t="shared" si="22"/>
        <v>0</v>
      </c>
      <c r="I42" s="206">
        <f t="shared" si="22"/>
        <v>0</v>
      </c>
      <c r="J42" s="207">
        <f>SUMIFS('08-21addition'!$L:$L,'08-21addition'!$B:$B,J$38,'08-21addition'!$A:$A,'Biomass&amp;MSW'!$A43)*10+SUMIFS('08-21addition'!$E:$E,'08-21addition'!$B:$B,J$38,'08-21addition'!$A:$A,'Biomass&amp;MSW'!$A43)*10</f>
        <v>0</v>
      </c>
      <c r="K42" s="207">
        <f>SUMIFS('08-21addition'!$L:$L,'08-21addition'!$B:$B,K$38,'08-21addition'!$A:$A,'Biomass&amp;MSW'!$A43)*10+SUMIFS('08-21addition'!$E:$E,'08-21addition'!$B:$B,K$38,'08-21addition'!$A:$A,'Biomass&amp;MSW'!$A43)*10</f>
        <v>6</v>
      </c>
      <c r="L42" s="207">
        <f>SUMIFS('08-21addition'!$L:$L,'08-21addition'!$B:$B,L$38,'08-21addition'!$A:$A,'Biomass&amp;MSW'!$A43)*10+SUMIFS('08-21addition'!$E:$E,'08-21addition'!$B:$B,L$38,'08-21addition'!$A:$A,'Biomass&amp;MSW'!$A43)*10</f>
        <v>0</v>
      </c>
      <c r="M42" s="207">
        <f>SUMIFS('08-21addition'!$L:$L,'08-21addition'!$B:$B,M$38,'08-21addition'!$A:$A,'Biomass&amp;MSW'!$A43)*10+SUMIFS('08-21addition'!$E:$E,'08-21addition'!$B:$B,M$38,'08-21addition'!$A:$A,'Biomass&amp;MSW'!$A43)*10</f>
        <v>0</v>
      </c>
      <c r="N42" s="207">
        <f>SUMIFS('08-21addition'!$L:$L,'08-21addition'!$B:$B,N$38,'08-21addition'!$A:$A,'Biomass&amp;MSW'!$A43)*10+SUMIFS('08-21addition'!$E:$E,'08-21addition'!$B:$B,N$38,'08-21addition'!$A:$A,'Biomass&amp;MSW'!$A43)*10</f>
        <v>0</v>
      </c>
      <c r="O42" s="207">
        <f>SUMIFS('08-21addition'!$L:$L,'08-21addition'!$B:$B,O$38,'08-21addition'!$A:$A,'Biomass&amp;MSW'!$A43)*10+SUMIFS('08-21addition'!$E:$E,'08-21addition'!$B:$B,O$38,'08-21addition'!$A:$A,'Biomass&amp;MSW'!$A43)*10</f>
        <v>0</v>
      </c>
      <c r="P42" s="207">
        <f>SUMIFS('08-21addition'!$L:$L,'08-21addition'!$B:$B,P$38,'08-21addition'!$A:$A,'Biomass&amp;MSW'!$A43)*10+SUMIFS('08-21addition'!$E:$E,'08-21addition'!$B:$B,P$38,'08-21addition'!$A:$A,'Biomass&amp;MSW'!$A43)*10</f>
        <v>12</v>
      </c>
      <c r="Q42" s="207">
        <f>SUMIFS('08-21addition'!$L:$L,'08-21addition'!$B:$B,Q$38,'08-21addition'!$A:$A,'Biomass&amp;MSW'!$A43)*10+SUMIFS('08-21addition'!$E:$E,'08-21addition'!$B:$B,Q$38,'08-21addition'!$A:$A,'Biomass&amp;MSW'!$A43)*10</f>
        <v>0</v>
      </c>
      <c r="R42" s="207">
        <f>SUMIFS('08-21addition'!$L:$L,'08-21addition'!$B:$B,R$38,'08-21addition'!$A:$A,'Biomass&amp;MSW'!$A43)*10+SUMIFS('08-21addition'!$E:$E,'08-21addition'!$B:$B,R$38,'08-21addition'!$A:$A,'Biomass&amp;MSW'!$A43)*10</f>
        <v>0</v>
      </c>
      <c r="S42" s="207">
        <f>SUMIFS('08-21addition'!$L:$L,'08-21addition'!$B:$B,S$38,'08-21addition'!$A:$A,'Biomass&amp;MSW'!$A43)*10+SUMIFS('08-21addition'!$E:$E,'08-21addition'!$B:$B,S$38,'08-21addition'!$A:$A,'Biomass&amp;MSW'!$A43)*10</f>
        <v>0</v>
      </c>
      <c r="T42" s="207">
        <f>SUMIFS('08-21addition'!$L:$L,'08-21addition'!$B:$B,T$38,'08-21addition'!$A:$A,'Biomass&amp;MSW'!$A43)*10+SUMIFS('08-21addition'!$E:$E,'08-21addition'!$B:$B,T$38,'08-21addition'!$A:$A,'Biomass&amp;MSW'!$A43)*10</f>
        <v>0</v>
      </c>
      <c r="U42" s="207">
        <f>SUMIFS('08-21addition'!$L:$L,'08-21addition'!$B:$B,U$38,'08-21addition'!$A:$A,'Biomass&amp;MSW'!$A43)*10+SUMIFS('08-21addition'!$E:$E,'08-21addition'!$B:$B,U$38,'08-21addition'!$A:$A,'Biomass&amp;MSW'!$A43)*10</f>
        <v>18</v>
      </c>
      <c r="V42" s="207">
        <f>SUMIFS('08-21addition'!$L:$L,'08-21addition'!$B:$B,V$38,'08-21addition'!$A:$A,'Biomass&amp;MSW'!$A43)*10+SUMIFS('08-21addition'!$E:$E,'08-21addition'!$B:$B,V$38,'08-21addition'!$A:$A,'Biomass&amp;MSW'!$A43)*10</f>
        <v>144</v>
      </c>
    </row>
    <row r="43" spans="1:33">
      <c r="A43" s="22" t="s">
        <v>88</v>
      </c>
      <c r="B43" s="206">
        <f t="shared" ref="B43:I43" si="23">(IFERROR((1-$AG8),0)*($C8+$E8))/8*10</f>
        <v>40.25</v>
      </c>
      <c r="C43" s="206">
        <f t="shared" si="23"/>
        <v>40.25</v>
      </c>
      <c r="D43" s="206">
        <f t="shared" si="23"/>
        <v>40.25</v>
      </c>
      <c r="E43" s="206">
        <f t="shared" si="23"/>
        <v>40.25</v>
      </c>
      <c r="F43" s="206">
        <f t="shared" si="23"/>
        <v>40.25</v>
      </c>
      <c r="G43" s="206">
        <f t="shared" si="23"/>
        <v>40.25</v>
      </c>
      <c r="H43" s="206">
        <f t="shared" si="23"/>
        <v>40.25</v>
      </c>
      <c r="I43" s="206">
        <f t="shared" si="23"/>
        <v>40.25</v>
      </c>
      <c r="J43" s="207">
        <f>SUMIFS('08-21addition'!$L:$L,'08-21addition'!$B:$B,J$38,'08-21addition'!$A:$A,'Biomass&amp;MSW'!$A44)*10+SUMIFS('08-21addition'!$E:$E,'08-21addition'!$B:$B,J$38,'08-21addition'!$A:$A,'Biomass&amp;MSW'!$A44)*10</f>
        <v>12</v>
      </c>
      <c r="K43" s="207">
        <f>SUMIFS('08-21addition'!$L:$L,'08-21addition'!$B:$B,K$38,'08-21addition'!$A:$A,'Biomass&amp;MSW'!$A44)*10+SUMIFS('08-21addition'!$E:$E,'08-21addition'!$B:$B,K$38,'08-21addition'!$A:$A,'Biomass&amp;MSW'!$A44)*10</f>
        <v>18</v>
      </c>
      <c r="L43" s="207">
        <f>SUMIFS('08-21addition'!$L:$L,'08-21addition'!$B:$B,L$38,'08-21addition'!$A:$A,'Biomass&amp;MSW'!$A44)*10+SUMIFS('08-21addition'!$E:$E,'08-21addition'!$B:$B,L$38,'08-21addition'!$A:$A,'Biomass&amp;MSW'!$A44)*10</f>
        <v>48</v>
      </c>
      <c r="M43" s="207">
        <f>SUMIFS('08-21addition'!$L:$L,'08-21addition'!$B:$B,M$38,'08-21addition'!$A:$A,'Biomass&amp;MSW'!$A44)*10+SUMIFS('08-21addition'!$E:$E,'08-21addition'!$B:$B,M$38,'08-21addition'!$A:$A,'Biomass&amp;MSW'!$A44)*10</f>
        <v>0</v>
      </c>
      <c r="N43" s="207">
        <f>SUMIFS('08-21addition'!$L:$L,'08-21addition'!$B:$B,N$38,'08-21addition'!$A:$A,'Biomass&amp;MSW'!$A44)*10+SUMIFS('08-21addition'!$E:$E,'08-21addition'!$B:$B,N$38,'08-21addition'!$A:$A,'Biomass&amp;MSW'!$A44)*10</f>
        <v>0</v>
      </c>
      <c r="O43" s="207">
        <f>SUMIFS('08-21addition'!$L:$L,'08-21addition'!$B:$B,O$38,'08-21addition'!$A:$A,'Biomass&amp;MSW'!$A44)*10+SUMIFS('08-21addition'!$E:$E,'08-21addition'!$B:$B,O$38,'08-21addition'!$A:$A,'Biomass&amp;MSW'!$A44)*10</f>
        <v>0</v>
      </c>
      <c r="P43" s="207">
        <f>SUMIFS('08-21addition'!$L:$L,'08-21addition'!$B:$B,P$38,'08-21addition'!$A:$A,'Biomass&amp;MSW'!$A44)*10+SUMIFS('08-21addition'!$E:$E,'08-21addition'!$B:$B,P$38,'08-21addition'!$A:$A,'Biomass&amp;MSW'!$A44)*10</f>
        <v>0</v>
      </c>
      <c r="Q43" s="207">
        <f>SUMIFS('08-21addition'!$L:$L,'08-21addition'!$B:$B,Q$38,'08-21addition'!$A:$A,'Biomass&amp;MSW'!$A44)*10+SUMIFS('08-21addition'!$E:$E,'08-21addition'!$B:$B,Q$38,'08-21addition'!$A:$A,'Biomass&amp;MSW'!$A44)*10</f>
        <v>0</v>
      </c>
      <c r="R43" s="207">
        <f>SUMIFS('08-21addition'!$L:$L,'08-21addition'!$B:$B,R$38,'08-21addition'!$A:$A,'Biomass&amp;MSW'!$A44)*10+SUMIFS('08-21addition'!$E:$E,'08-21addition'!$B:$B,R$38,'08-21addition'!$A:$A,'Biomass&amp;MSW'!$A44)*10</f>
        <v>0</v>
      </c>
      <c r="S43" s="207">
        <f>SUMIFS('08-21addition'!$L:$L,'08-21addition'!$B:$B,S$38,'08-21addition'!$A:$A,'Biomass&amp;MSW'!$A44)*10+SUMIFS('08-21addition'!$E:$E,'08-21addition'!$B:$B,S$38,'08-21addition'!$A:$A,'Biomass&amp;MSW'!$A44)*10</f>
        <v>0</v>
      </c>
      <c r="T43" s="207">
        <f>SUMIFS('08-21addition'!$L:$L,'08-21addition'!$B:$B,T$38,'08-21addition'!$A:$A,'Biomass&amp;MSW'!$A44)*10+SUMIFS('08-21addition'!$E:$E,'08-21addition'!$B:$B,T$38,'08-21addition'!$A:$A,'Biomass&amp;MSW'!$A44)*10</f>
        <v>0</v>
      </c>
      <c r="U43" s="207">
        <f>SUMIFS('08-21addition'!$L:$L,'08-21addition'!$B:$B,U$38,'08-21addition'!$A:$A,'Biomass&amp;MSW'!$A44)*10+SUMIFS('08-21addition'!$E:$E,'08-21addition'!$B:$B,U$38,'08-21addition'!$A:$A,'Biomass&amp;MSW'!$A44)*10</f>
        <v>60</v>
      </c>
      <c r="V43" s="207">
        <f>SUMIFS('08-21addition'!$L:$L,'08-21addition'!$B:$B,V$38,'08-21addition'!$A:$A,'Biomass&amp;MSW'!$A44)*10+SUMIFS('08-21addition'!$E:$E,'08-21addition'!$B:$B,V$38,'08-21addition'!$A:$A,'Biomass&amp;MSW'!$A44)*10</f>
        <v>102.5</v>
      </c>
    </row>
    <row r="44" spans="1:33">
      <c r="A44" s="22" t="s">
        <v>90</v>
      </c>
      <c r="B44" s="206">
        <f t="shared" ref="B44:I44" si="24">(IFERROR((1-$AG9),0)*($C9+$E9))/8*10</f>
        <v>5.25</v>
      </c>
      <c r="C44" s="206">
        <f t="shared" si="24"/>
        <v>5.25</v>
      </c>
      <c r="D44" s="206">
        <f t="shared" si="24"/>
        <v>5.25</v>
      </c>
      <c r="E44" s="206">
        <f t="shared" si="24"/>
        <v>5.25</v>
      </c>
      <c r="F44" s="206">
        <f t="shared" si="24"/>
        <v>5.25</v>
      </c>
      <c r="G44" s="206">
        <f t="shared" si="24"/>
        <v>5.25</v>
      </c>
      <c r="H44" s="206">
        <f t="shared" si="24"/>
        <v>5.25</v>
      </c>
      <c r="I44" s="206">
        <f t="shared" si="24"/>
        <v>5.25</v>
      </c>
      <c r="J44" s="207">
        <f>SUMIFS('08-21addition'!$L:$L,'08-21addition'!$B:$B,J$38,'08-21addition'!$A:$A,'Biomass&amp;MSW'!$A45)*10+SUMIFS('08-21addition'!$E:$E,'08-21addition'!$B:$B,J$38,'08-21addition'!$A:$A,'Biomass&amp;MSW'!$A45)*10</f>
        <v>0</v>
      </c>
      <c r="K44" s="207">
        <f>SUMIFS('08-21addition'!$L:$L,'08-21addition'!$B:$B,K$38,'08-21addition'!$A:$A,'Biomass&amp;MSW'!$A45)*10+SUMIFS('08-21addition'!$E:$E,'08-21addition'!$B:$B,K$38,'08-21addition'!$A:$A,'Biomass&amp;MSW'!$A45)*10</f>
        <v>0</v>
      </c>
      <c r="L44" s="207">
        <f>SUMIFS('08-21addition'!$L:$L,'08-21addition'!$B:$B,L$38,'08-21addition'!$A:$A,'Biomass&amp;MSW'!$A45)*10+SUMIFS('08-21addition'!$E:$E,'08-21addition'!$B:$B,L$38,'08-21addition'!$A:$A,'Biomass&amp;MSW'!$A45)*10</f>
        <v>0</v>
      </c>
      <c r="M44" s="207">
        <f>SUMIFS('08-21addition'!$L:$L,'08-21addition'!$B:$B,M$38,'08-21addition'!$A:$A,'Biomass&amp;MSW'!$A45)*10+SUMIFS('08-21addition'!$E:$E,'08-21addition'!$B:$B,M$38,'08-21addition'!$A:$A,'Biomass&amp;MSW'!$A45)*10</f>
        <v>111</v>
      </c>
      <c r="N44" s="207">
        <f>SUMIFS('08-21addition'!$L:$L,'08-21addition'!$B:$B,N$38,'08-21addition'!$A:$A,'Biomass&amp;MSW'!$A45)*10+SUMIFS('08-21addition'!$E:$E,'08-21addition'!$B:$B,N$38,'08-21addition'!$A:$A,'Biomass&amp;MSW'!$A45)*10</f>
        <v>60</v>
      </c>
      <c r="O44" s="207">
        <f>SUMIFS('08-21addition'!$L:$L,'08-21addition'!$B:$B,O$38,'08-21addition'!$A:$A,'Biomass&amp;MSW'!$A45)*10+SUMIFS('08-21addition'!$E:$E,'08-21addition'!$B:$B,O$38,'08-21addition'!$A:$A,'Biomass&amp;MSW'!$A45)*10</f>
        <v>0</v>
      </c>
      <c r="P44" s="207">
        <f>SUMIFS('08-21addition'!$L:$L,'08-21addition'!$B:$B,P$38,'08-21addition'!$A:$A,'Biomass&amp;MSW'!$A45)*10+SUMIFS('08-21addition'!$E:$E,'08-21addition'!$B:$B,P$38,'08-21addition'!$A:$A,'Biomass&amp;MSW'!$A45)*10</f>
        <v>0</v>
      </c>
      <c r="Q44" s="207">
        <f>SUMIFS('08-21addition'!$L:$L,'08-21addition'!$B:$B,Q$38,'08-21addition'!$A:$A,'Biomass&amp;MSW'!$A45)*10+SUMIFS('08-21addition'!$E:$E,'08-21addition'!$B:$B,Q$38,'08-21addition'!$A:$A,'Biomass&amp;MSW'!$A45)*10</f>
        <v>0</v>
      </c>
      <c r="R44" s="207">
        <f>SUMIFS('08-21addition'!$L:$L,'08-21addition'!$B:$B,R$38,'08-21addition'!$A:$A,'Biomass&amp;MSW'!$A45)*10+SUMIFS('08-21addition'!$E:$E,'08-21addition'!$B:$B,R$38,'08-21addition'!$A:$A,'Biomass&amp;MSW'!$A45)*10</f>
        <v>0</v>
      </c>
      <c r="S44" s="207">
        <f>SUMIFS('08-21addition'!$L:$L,'08-21addition'!$B:$B,S$38,'08-21addition'!$A:$A,'Biomass&amp;MSW'!$A45)*10+SUMIFS('08-21addition'!$E:$E,'08-21addition'!$B:$B,S$38,'08-21addition'!$A:$A,'Biomass&amp;MSW'!$A45)*10</f>
        <v>0</v>
      </c>
      <c r="T44" s="207">
        <f>SUMIFS('08-21addition'!$L:$L,'08-21addition'!$B:$B,T$38,'08-21addition'!$A:$A,'Biomass&amp;MSW'!$A45)*10+SUMIFS('08-21addition'!$E:$E,'08-21addition'!$B:$B,T$38,'08-21addition'!$A:$A,'Biomass&amp;MSW'!$A45)*10</f>
        <v>0</v>
      </c>
      <c r="U44" s="207">
        <f>SUMIFS('08-21addition'!$L:$L,'08-21addition'!$B:$B,U$38,'08-21addition'!$A:$A,'Biomass&amp;MSW'!$A45)*10+SUMIFS('08-21addition'!$E:$E,'08-21addition'!$B:$B,U$38,'08-21addition'!$A:$A,'Biomass&amp;MSW'!$A45)*10</f>
        <v>61.2</v>
      </c>
      <c r="V44" s="207">
        <f>SUMIFS('08-21addition'!$L:$L,'08-21addition'!$B:$B,V$38,'08-21addition'!$A:$A,'Biomass&amp;MSW'!$A45)*10+SUMIFS('08-21addition'!$E:$E,'08-21addition'!$B:$B,V$38,'08-21addition'!$A:$A,'Biomass&amp;MSW'!$A45)*10</f>
        <v>104</v>
      </c>
    </row>
    <row r="45" spans="1:33">
      <c r="A45" s="22" t="s">
        <v>92</v>
      </c>
      <c r="B45" s="206">
        <f t="shared" ref="B45:I45" si="25">(IFERROR((1-$AG10),0)*($C10+$E10))/8*10</f>
        <v>0</v>
      </c>
      <c r="C45" s="206">
        <f t="shared" si="25"/>
        <v>0</v>
      </c>
      <c r="D45" s="206">
        <f t="shared" si="25"/>
        <v>0</v>
      </c>
      <c r="E45" s="206">
        <f t="shared" si="25"/>
        <v>0</v>
      </c>
      <c r="F45" s="206">
        <f t="shared" si="25"/>
        <v>0</v>
      </c>
      <c r="G45" s="206">
        <f t="shared" si="25"/>
        <v>0</v>
      </c>
      <c r="H45" s="206">
        <f t="shared" si="25"/>
        <v>0</v>
      </c>
      <c r="I45" s="206">
        <f t="shared" si="25"/>
        <v>0</v>
      </c>
      <c r="J45" s="207">
        <f>SUMIFS('08-21addition'!$L:$L,'08-21addition'!$B:$B,J$38,'08-21addition'!$A:$A,'Biomass&amp;MSW'!$A46)*10+SUMIFS('08-21addition'!$E:$E,'08-21addition'!$B:$B,J$38,'08-21addition'!$A:$A,'Biomass&amp;MSW'!$A46)*10</f>
        <v>30</v>
      </c>
      <c r="K45" s="207">
        <f>SUMIFS('08-21addition'!$L:$L,'08-21addition'!$B:$B,K$38,'08-21addition'!$A:$A,'Biomass&amp;MSW'!$A46)*10+SUMIFS('08-21addition'!$E:$E,'08-21addition'!$B:$B,K$38,'08-21addition'!$A:$A,'Biomass&amp;MSW'!$A46)*10</f>
        <v>8.9</v>
      </c>
      <c r="L45" s="207">
        <f>SUMIFS('08-21addition'!$L:$L,'08-21addition'!$B:$B,L$38,'08-21addition'!$A:$A,'Biomass&amp;MSW'!$A46)*10+SUMIFS('08-21addition'!$E:$E,'08-21addition'!$B:$B,L$38,'08-21addition'!$A:$A,'Biomass&amp;MSW'!$A46)*10</f>
        <v>55</v>
      </c>
      <c r="M45" s="207">
        <f>SUMIFS('08-21addition'!$L:$L,'08-21addition'!$B:$B,M$38,'08-21addition'!$A:$A,'Biomass&amp;MSW'!$A46)*10+SUMIFS('08-21addition'!$E:$E,'08-21addition'!$B:$B,M$38,'08-21addition'!$A:$A,'Biomass&amp;MSW'!$A46)*10</f>
        <v>15</v>
      </c>
      <c r="N45" s="207">
        <f>SUMIFS('08-21addition'!$L:$L,'08-21addition'!$B:$B,N$38,'08-21addition'!$A:$A,'Biomass&amp;MSW'!$A46)*10+SUMIFS('08-21addition'!$E:$E,'08-21addition'!$B:$B,N$38,'08-21addition'!$A:$A,'Biomass&amp;MSW'!$A46)*10</f>
        <v>0</v>
      </c>
      <c r="O45" s="207">
        <f>SUMIFS('08-21addition'!$L:$L,'08-21addition'!$B:$B,O$38,'08-21addition'!$A:$A,'Biomass&amp;MSW'!$A46)*10+SUMIFS('08-21addition'!$E:$E,'08-21addition'!$B:$B,O$38,'08-21addition'!$A:$A,'Biomass&amp;MSW'!$A46)*10</f>
        <v>75</v>
      </c>
      <c r="P45" s="207">
        <f>SUMIFS('08-21addition'!$L:$L,'08-21addition'!$B:$B,P$38,'08-21addition'!$A:$A,'Biomass&amp;MSW'!$A46)*10+SUMIFS('08-21addition'!$E:$E,'08-21addition'!$B:$B,P$38,'08-21addition'!$A:$A,'Biomass&amp;MSW'!$A46)*10</f>
        <v>60</v>
      </c>
      <c r="Q45" s="207">
        <f>SUMIFS('08-21addition'!$L:$L,'08-21addition'!$B:$B,Q$38,'08-21addition'!$A:$A,'Biomass&amp;MSW'!$A46)*10+SUMIFS('08-21addition'!$E:$E,'08-21addition'!$B:$B,Q$38,'08-21addition'!$A:$A,'Biomass&amp;MSW'!$A46)*10</f>
        <v>30</v>
      </c>
      <c r="R45" s="207">
        <f>SUMIFS('08-21addition'!$L:$L,'08-21addition'!$B:$B,R$38,'08-21addition'!$A:$A,'Biomass&amp;MSW'!$A46)*10+SUMIFS('08-21addition'!$E:$E,'08-21addition'!$B:$B,R$38,'08-21addition'!$A:$A,'Biomass&amp;MSW'!$A46)*10</f>
        <v>0</v>
      </c>
      <c r="S45" s="207">
        <f>SUMIFS('08-21addition'!$L:$L,'08-21addition'!$B:$B,S$38,'08-21addition'!$A:$A,'Biomass&amp;MSW'!$A46)*10+SUMIFS('08-21addition'!$E:$E,'08-21addition'!$B:$B,S$38,'08-21addition'!$A:$A,'Biomass&amp;MSW'!$A46)*10</f>
        <v>0</v>
      </c>
      <c r="T45" s="207">
        <f>SUMIFS('08-21addition'!$L:$L,'08-21addition'!$B:$B,T$38,'08-21addition'!$A:$A,'Biomass&amp;MSW'!$A46)*10+SUMIFS('08-21addition'!$E:$E,'08-21addition'!$B:$B,T$38,'08-21addition'!$A:$A,'Biomass&amp;MSW'!$A46)*10</f>
        <v>0</v>
      </c>
      <c r="U45" s="207">
        <f>SUMIFS('08-21addition'!$L:$L,'08-21addition'!$B:$B,U$38,'08-21addition'!$A:$A,'Biomass&amp;MSW'!$A46)*10+SUMIFS('08-21addition'!$E:$E,'08-21addition'!$B:$B,U$38,'08-21addition'!$A:$A,'Biomass&amp;MSW'!$A46)*10</f>
        <v>35</v>
      </c>
      <c r="V45" s="207">
        <f>SUMIFS('08-21addition'!$L:$L,'08-21addition'!$B:$B,V$38,'08-21addition'!$A:$A,'Biomass&amp;MSW'!$A46)*10+SUMIFS('08-21addition'!$E:$E,'08-21addition'!$B:$B,V$38,'08-21addition'!$A:$A,'Biomass&amp;MSW'!$A46)*10</f>
        <v>125</v>
      </c>
    </row>
    <row r="46" spans="1:33">
      <c r="A46" s="22" t="s">
        <v>94</v>
      </c>
      <c r="B46" s="206">
        <f t="shared" ref="B46:I46" si="26">(IFERROR((1-$AG11),0)*($C11+$E11))/8*10</f>
        <v>15.7625</v>
      </c>
      <c r="C46" s="206">
        <f t="shared" si="26"/>
        <v>15.7625</v>
      </c>
      <c r="D46" s="206">
        <f t="shared" si="26"/>
        <v>15.7625</v>
      </c>
      <c r="E46" s="206">
        <f t="shared" si="26"/>
        <v>15.7625</v>
      </c>
      <c r="F46" s="206">
        <f t="shared" si="26"/>
        <v>15.7625</v>
      </c>
      <c r="G46" s="206">
        <f t="shared" si="26"/>
        <v>15.7625</v>
      </c>
      <c r="H46" s="206">
        <f t="shared" si="26"/>
        <v>15.7625</v>
      </c>
      <c r="I46" s="206">
        <f t="shared" si="26"/>
        <v>15.7625</v>
      </c>
      <c r="J46" s="207">
        <f>SUMIFS('08-21addition'!$L:$L,'08-21addition'!$B:$B,J$38,'08-21addition'!$A:$A,'Biomass&amp;MSW'!$A47)*10+SUMIFS('08-21addition'!$E:$E,'08-21addition'!$B:$B,J$38,'08-21addition'!$A:$A,'Biomass&amp;MSW'!$A47)*10</f>
        <v>3</v>
      </c>
      <c r="K46" s="207">
        <f>SUMIFS('08-21addition'!$L:$L,'08-21addition'!$B:$B,K$38,'08-21addition'!$A:$A,'Biomass&amp;MSW'!$A47)*10+SUMIFS('08-21addition'!$E:$E,'08-21addition'!$B:$B,K$38,'08-21addition'!$A:$A,'Biomass&amp;MSW'!$A47)*10</f>
        <v>90</v>
      </c>
      <c r="L46" s="207">
        <f>SUMIFS('08-21addition'!$L:$L,'08-21addition'!$B:$B,L$38,'08-21addition'!$A:$A,'Biomass&amp;MSW'!$A47)*10+SUMIFS('08-21addition'!$E:$E,'08-21addition'!$B:$B,L$38,'08-21addition'!$A:$A,'Biomass&amp;MSW'!$A47)*10</f>
        <v>6</v>
      </c>
      <c r="M46" s="207">
        <f>SUMIFS('08-21addition'!$L:$L,'08-21addition'!$B:$B,M$38,'08-21addition'!$A:$A,'Biomass&amp;MSW'!$A47)*10+SUMIFS('08-21addition'!$E:$E,'08-21addition'!$B:$B,M$38,'08-21addition'!$A:$A,'Biomass&amp;MSW'!$A47)*10</f>
        <v>78</v>
      </c>
      <c r="N46" s="207">
        <f>SUMIFS('08-21addition'!$L:$L,'08-21addition'!$B:$B,N$38,'08-21addition'!$A:$A,'Biomass&amp;MSW'!$A47)*10+SUMIFS('08-21addition'!$E:$E,'08-21addition'!$B:$B,N$38,'08-21addition'!$A:$A,'Biomass&amp;MSW'!$A47)*10</f>
        <v>33</v>
      </c>
      <c r="O46" s="207">
        <f>SUMIFS('08-21addition'!$L:$L,'08-21addition'!$B:$B,O$38,'08-21addition'!$A:$A,'Biomass&amp;MSW'!$A47)*10+SUMIFS('08-21addition'!$E:$E,'08-21addition'!$B:$B,O$38,'08-21addition'!$A:$A,'Biomass&amp;MSW'!$A47)*10</f>
        <v>58.1</v>
      </c>
      <c r="P46" s="207">
        <f>SUMIFS('08-21addition'!$L:$L,'08-21addition'!$B:$B,P$38,'08-21addition'!$A:$A,'Biomass&amp;MSW'!$A47)*10+SUMIFS('08-21addition'!$E:$E,'08-21addition'!$B:$B,P$38,'08-21addition'!$A:$A,'Biomass&amp;MSW'!$A47)*10</f>
        <v>66</v>
      </c>
      <c r="Q46" s="207">
        <f>SUMIFS('08-21addition'!$L:$L,'08-21addition'!$B:$B,Q$38,'08-21addition'!$A:$A,'Biomass&amp;MSW'!$A47)*10+SUMIFS('08-21addition'!$E:$E,'08-21addition'!$B:$B,Q$38,'08-21addition'!$A:$A,'Biomass&amp;MSW'!$A47)*10</f>
        <v>96</v>
      </c>
      <c r="R46" s="207">
        <f>SUMIFS('08-21addition'!$L:$L,'08-21addition'!$B:$B,R$38,'08-21addition'!$A:$A,'Biomass&amp;MSW'!$A47)*10+SUMIFS('08-21addition'!$E:$E,'08-21addition'!$B:$B,R$38,'08-21addition'!$A:$A,'Biomass&amp;MSW'!$A47)*10</f>
        <v>90</v>
      </c>
      <c r="S46" s="207">
        <f>SUMIFS('08-21addition'!$L:$L,'08-21addition'!$B:$B,S$38,'08-21addition'!$A:$A,'Biomass&amp;MSW'!$A47)*10+SUMIFS('08-21addition'!$E:$E,'08-21addition'!$B:$B,S$38,'08-21addition'!$A:$A,'Biomass&amp;MSW'!$A47)*10</f>
        <v>45</v>
      </c>
      <c r="T46" s="207">
        <f>SUMIFS('08-21addition'!$L:$L,'08-21addition'!$B:$B,T$38,'08-21addition'!$A:$A,'Biomass&amp;MSW'!$A47)*10+SUMIFS('08-21addition'!$E:$E,'08-21addition'!$B:$B,T$38,'08-21addition'!$A:$A,'Biomass&amp;MSW'!$A47)*10</f>
        <v>309.8</v>
      </c>
      <c r="U46" s="207">
        <f>SUMIFS('08-21addition'!$L:$L,'08-21addition'!$B:$B,U$38,'08-21addition'!$A:$A,'Biomass&amp;MSW'!$A47)*10+SUMIFS('08-21addition'!$E:$E,'08-21addition'!$B:$B,U$38,'08-21addition'!$A:$A,'Biomass&amp;MSW'!$A47)*10</f>
        <v>324</v>
      </c>
      <c r="V46" s="207">
        <f>SUMIFS('08-21addition'!$L:$L,'08-21addition'!$B:$B,V$38,'08-21addition'!$A:$A,'Biomass&amp;MSW'!$A47)*10+SUMIFS('08-21addition'!$E:$E,'08-21addition'!$B:$B,V$38,'08-21addition'!$A:$A,'Biomass&amp;MSW'!$A47)*10</f>
        <v>715</v>
      </c>
    </row>
    <row r="47" spans="1:33">
      <c r="A47" s="22" t="s">
        <v>96</v>
      </c>
      <c r="B47" s="206">
        <f t="shared" ref="B47:I47" si="27">(IFERROR((1-$AG12),0)*($C12+$E12))/8*10</f>
        <v>37.4875</v>
      </c>
      <c r="C47" s="206">
        <f t="shared" si="27"/>
        <v>37.4875</v>
      </c>
      <c r="D47" s="206">
        <f t="shared" si="27"/>
        <v>37.4875</v>
      </c>
      <c r="E47" s="206">
        <f t="shared" si="27"/>
        <v>37.4875</v>
      </c>
      <c r="F47" s="206">
        <f t="shared" si="27"/>
        <v>37.4875</v>
      </c>
      <c r="G47" s="206">
        <f t="shared" si="27"/>
        <v>37.4875</v>
      </c>
      <c r="H47" s="206">
        <f t="shared" si="27"/>
        <v>37.4875</v>
      </c>
      <c r="I47" s="206">
        <f t="shared" si="27"/>
        <v>37.4875</v>
      </c>
      <c r="J47" s="207">
        <f>SUMIFS('08-21addition'!$L:$L,'08-21addition'!$B:$B,J$38,'08-21addition'!$A:$A,'Biomass&amp;MSW'!$A48)*10+SUMIFS('08-21addition'!$E:$E,'08-21addition'!$B:$B,J$38,'08-21addition'!$A:$A,'Biomass&amp;MSW'!$A48)*10</f>
        <v>0</v>
      </c>
      <c r="K47" s="207">
        <f>SUMIFS('08-21addition'!$L:$L,'08-21addition'!$B:$B,K$38,'08-21addition'!$A:$A,'Biomass&amp;MSW'!$A48)*10+SUMIFS('08-21addition'!$E:$E,'08-21addition'!$B:$B,K$38,'08-21addition'!$A:$A,'Biomass&amp;MSW'!$A48)*10</f>
        <v>0</v>
      </c>
      <c r="L47" s="207">
        <f>SUMIFS('08-21addition'!$L:$L,'08-21addition'!$B:$B,L$38,'08-21addition'!$A:$A,'Biomass&amp;MSW'!$A48)*10+SUMIFS('08-21addition'!$E:$E,'08-21addition'!$B:$B,L$38,'08-21addition'!$A:$A,'Biomass&amp;MSW'!$A48)*10</f>
        <v>0</v>
      </c>
      <c r="M47" s="207">
        <f>SUMIFS('08-21addition'!$L:$L,'08-21addition'!$B:$B,M$38,'08-21addition'!$A:$A,'Biomass&amp;MSW'!$A48)*10+SUMIFS('08-21addition'!$E:$E,'08-21addition'!$B:$B,M$38,'08-21addition'!$A:$A,'Biomass&amp;MSW'!$A48)*10</f>
        <v>0</v>
      </c>
      <c r="N47" s="207">
        <f>SUMIFS('08-21addition'!$L:$L,'08-21addition'!$B:$B,N$38,'08-21addition'!$A:$A,'Biomass&amp;MSW'!$A48)*10+SUMIFS('08-21addition'!$E:$E,'08-21addition'!$B:$B,N$38,'08-21addition'!$A:$A,'Biomass&amp;MSW'!$A48)*10</f>
        <v>9.8</v>
      </c>
      <c r="O47" s="207">
        <f>SUMIFS('08-21addition'!$L:$L,'08-21addition'!$B:$B,O$38,'08-21addition'!$A:$A,'Biomass&amp;MSW'!$A48)*10+SUMIFS('08-21addition'!$E:$E,'08-21addition'!$B:$B,O$38,'08-21addition'!$A:$A,'Biomass&amp;MSW'!$A48)*10</f>
        <v>0</v>
      </c>
      <c r="P47" s="207">
        <f>SUMIFS('08-21addition'!$L:$L,'08-21addition'!$B:$B,P$38,'08-21addition'!$A:$A,'Biomass&amp;MSW'!$A48)*10+SUMIFS('08-21addition'!$E:$E,'08-21addition'!$B:$B,P$38,'08-21addition'!$A:$A,'Biomass&amp;MSW'!$A48)*10</f>
        <v>0</v>
      </c>
      <c r="Q47" s="207">
        <f>SUMIFS('08-21addition'!$L:$L,'08-21addition'!$B:$B,Q$38,'08-21addition'!$A:$A,'Biomass&amp;MSW'!$A48)*10+SUMIFS('08-21addition'!$E:$E,'08-21addition'!$B:$B,Q$38,'08-21addition'!$A:$A,'Biomass&amp;MSW'!$A48)*10</f>
        <v>54</v>
      </c>
      <c r="R47" s="207">
        <f>SUMIFS('08-21addition'!$L:$L,'08-21addition'!$B:$B,R$38,'08-21addition'!$A:$A,'Biomass&amp;MSW'!$A48)*10+SUMIFS('08-21addition'!$E:$E,'08-21addition'!$B:$B,R$38,'08-21addition'!$A:$A,'Biomass&amp;MSW'!$A48)*10</f>
        <v>0</v>
      </c>
      <c r="S47" s="207">
        <f>SUMIFS('08-21addition'!$L:$L,'08-21addition'!$B:$B,S$38,'08-21addition'!$A:$A,'Biomass&amp;MSW'!$A48)*10+SUMIFS('08-21addition'!$E:$E,'08-21addition'!$B:$B,S$38,'08-21addition'!$A:$A,'Biomass&amp;MSW'!$A48)*10</f>
        <v>0</v>
      </c>
      <c r="T47" s="207">
        <f>SUMIFS('08-21addition'!$L:$L,'08-21addition'!$B:$B,T$38,'08-21addition'!$A:$A,'Biomass&amp;MSW'!$A48)*10+SUMIFS('08-21addition'!$E:$E,'08-21addition'!$B:$B,T$38,'08-21addition'!$A:$A,'Biomass&amp;MSW'!$A48)*10</f>
        <v>0</v>
      </c>
      <c r="U47" s="207">
        <f>SUMIFS('08-21addition'!$L:$L,'08-21addition'!$B:$B,U$38,'08-21addition'!$A:$A,'Biomass&amp;MSW'!$A48)*10+SUMIFS('08-21addition'!$E:$E,'08-21addition'!$B:$B,U$38,'08-21addition'!$A:$A,'Biomass&amp;MSW'!$A48)*10</f>
        <v>0</v>
      </c>
      <c r="V47" s="207">
        <f>SUMIFS('08-21addition'!$L:$L,'08-21addition'!$B:$B,V$38,'08-21addition'!$A:$A,'Biomass&amp;MSW'!$A48)*10+SUMIFS('08-21addition'!$E:$E,'08-21addition'!$B:$B,V$38,'08-21addition'!$A:$A,'Biomass&amp;MSW'!$A48)*10</f>
        <v>0</v>
      </c>
    </row>
    <row r="48" spans="1:33">
      <c r="A48" s="22" t="s">
        <v>98</v>
      </c>
      <c r="B48" s="206">
        <f t="shared" ref="B48:I48" si="28">(IFERROR((1-$AG13),0)*($C13+$E13))/8*10</f>
        <v>0</v>
      </c>
      <c r="C48" s="206">
        <f t="shared" si="28"/>
        <v>0</v>
      </c>
      <c r="D48" s="206">
        <f t="shared" si="28"/>
        <v>0</v>
      </c>
      <c r="E48" s="206">
        <f t="shared" si="28"/>
        <v>0</v>
      </c>
      <c r="F48" s="206">
        <f t="shared" si="28"/>
        <v>0</v>
      </c>
      <c r="G48" s="206">
        <f t="shared" si="28"/>
        <v>0</v>
      </c>
      <c r="H48" s="206">
        <f t="shared" si="28"/>
        <v>0</v>
      </c>
      <c r="I48" s="206">
        <f t="shared" si="28"/>
        <v>0</v>
      </c>
      <c r="J48" s="207">
        <f>SUMIFS('08-21addition'!$L:$L,'08-21addition'!$B:$B,J$38,'08-21addition'!$A:$A,'Biomass&amp;MSW'!$A49)*10+SUMIFS('08-21addition'!$E:$E,'08-21addition'!$B:$B,J$38,'08-21addition'!$A:$A,'Biomass&amp;MSW'!$A49)*10</f>
        <v>69</v>
      </c>
      <c r="K48" s="207">
        <f>SUMIFS('08-21addition'!$L:$L,'08-21addition'!$B:$B,K$38,'08-21addition'!$A:$A,'Biomass&amp;MSW'!$A49)*10+SUMIFS('08-21addition'!$E:$E,'08-21addition'!$B:$B,K$38,'08-21addition'!$A:$A,'Biomass&amp;MSW'!$A49)*10</f>
        <v>0</v>
      </c>
      <c r="L48" s="207">
        <f>SUMIFS('08-21addition'!$L:$L,'08-21addition'!$B:$B,L$38,'08-21addition'!$A:$A,'Biomass&amp;MSW'!$A49)*10+SUMIFS('08-21addition'!$E:$E,'08-21addition'!$B:$B,L$38,'08-21addition'!$A:$A,'Biomass&amp;MSW'!$A49)*10</f>
        <v>16</v>
      </c>
      <c r="M48" s="207">
        <f>SUMIFS('08-21addition'!$L:$L,'08-21addition'!$B:$B,M$38,'08-21addition'!$A:$A,'Biomass&amp;MSW'!$A49)*10+SUMIFS('08-21addition'!$E:$E,'08-21addition'!$B:$B,M$38,'08-21addition'!$A:$A,'Biomass&amp;MSW'!$A49)*10</f>
        <v>59.8</v>
      </c>
      <c r="N48" s="207">
        <f>SUMIFS('08-21addition'!$L:$L,'08-21addition'!$B:$B,N$38,'08-21addition'!$A:$A,'Biomass&amp;MSW'!$A49)*10+SUMIFS('08-21addition'!$E:$E,'08-21addition'!$B:$B,N$38,'08-21addition'!$A:$A,'Biomass&amp;MSW'!$A49)*10</f>
        <v>15</v>
      </c>
      <c r="O48" s="207">
        <f>SUMIFS('08-21addition'!$L:$L,'08-21addition'!$B:$B,O$38,'08-21addition'!$A:$A,'Biomass&amp;MSW'!$A49)*10+SUMIFS('08-21addition'!$E:$E,'08-21addition'!$B:$B,O$38,'08-21addition'!$A:$A,'Biomass&amp;MSW'!$A49)*10</f>
        <v>0</v>
      </c>
      <c r="P48" s="207">
        <f>SUMIFS('08-21addition'!$L:$L,'08-21addition'!$B:$B,P$38,'08-21addition'!$A:$A,'Biomass&amp;MSW'!$A49)*10+SUMIFS('08-21addition'!$E:$E,'08-21addition'!$B:$B,P$38,'08-21addition'!$A:$A,'Biomass&amp;MSW'!$A49)*10</f>
        <v>30</v>
      </c>
      <c r="Q48" s="207">
        <f>SUMIFS('08-21addition'!$L:$L,'08-21addition'!$B:$B,Q$38,'08-21addition'!$A:$A,'Biomass&amp;MSW'!$A49)*10+SUMIFS('08-21addition'!$E:$E,'08-21addition'!$B:$B,Q$38,'08-21addition'!$A:$A,'Biomass&amp;MSW'!$A49)*10</f>
        <v>65</v>
      </c>
      <c r="R48" s="207">
        <f>SUMIFS('08-21addition'!$L:$L,'08-21addition'!$B:$B,R$38,'08-21addition'!$A:$A,'Biomass&amp;MSW'!$A49)*10+SUMIFS('08-21addition'!$E:$E,'08-21addition'!$B:$B,R$38,'08-21addition'!$A:$A,'Biomass&amp;MSW'!$A49)*10</f>
        <v>60</v>
      </c>
      <c r="S48" s="207">
        <f>SUMIFS('08-21addition'!$L:$L,'08-21addition'!$B:$B,S$38,'08-21addition'!$A:$A,'Biomass&amp;MSW'!$A49)*10+SUMIFS('08-21addition'!$E:$E,'08-21addition'!$B:$B,S$38,'08-21addition'!$A:$A,'Biomass&amp;MSW'!$A49)*10</f>
        <v>30</v>
      </c>
      <c r="T48" s="207">
        <f>SUMIFS('08-21addition'!$L:$L,'08-21addition'!$B:$B,T$38,'08-21addition'!$A:$A,'Biomass&amp;MSW'!$A49)*10+SUMIFS('08-21addition'!$E:$E,'08-21addition'!$B:$B,T$38,'08-21addition'!$A:$A,'Biomass&amp;MSW'!$A49)*10</f>
        <v>75</v>
      </c>
      <c r="U48" s="207">
        <f>SUMIFS('08-21addition'!$L:$L,'08-21addition'!$B:$B,U$38,'08-21addition'!$A:$A,'Biomass&amp;MSW'!$A49)*10+SUMIFS('08-21addition'!$E:$E,'08-21addition'!$B:$B,U$38,'08-21addition'!$A:$A,'Biomass&amp;MSW'!$A49)*10</f>
        <v>205</v>
      </c>
      <c r="V48" s="207">
        <f>SUMIFS('08-21addition'!$L:$L,'08-21addition'!$B:$B,V$38,'08-21addition'!$A:$A,'Biomass&amp;MSW'!$A49)*10+SUMIFS('08-21addition'!$E:$E,'08-21addition'!$B:$B,V$38,'08-21addition'!$A:$A,'Biomass&amp;MSW'!$A49)*10</f>
        <v>80</v>
      </c>
    </row>
    <row r="49" spans="1:22">
      <c r="A49" s="22" t="s">
        <v>100</v>
      </c>
      <c r="B49" s="206">
        <f t="shared" ref="B49:I49" si="29">(IFERROR((1-$AG14),0)*($C14+$E14))/8*10</f>
        <v>25.65</v>
      </c>
      <c r="C49" s="206">
        <f t="shared" si="29"/>
        <v>25.65</v>
      </c>
      <c r="D49" s="206">
        <f t="shared" si="29"/>
        <v>25.65</v>
      </c>
      <c r="E49" s="206">
        <f t="shared" si="29"/>
        <v>25.65</v>
      </c>
      <c r="F49" s="206">
        <f t="shared" si="29"/>
        <v>25.65</v>
      </c>
      <c r="G49" s="206">
        <f t="shared" si="29"/>
        <v>25.65</v>
      </c>
      <c r="H49" s="206">
        <f t="shared" si="29"/>
        <v>25.65</v>
      </c>
      <c r="I49" s="206">
        <f t="shared" si="29"/>
        <v>25.65</v>
      </c>
      <c r="J49" s="207">
        <f>SUMIFS('08-21addition'!$L:$L,'08-21addition'!$B:$B,J$38,'08-21addition'!$A:$A,'Biomass&amp;MSW'!$A50)*10+SUMIFS('08-21addition'!$E:$E,'08-21addition'!$B:$B,J$38,'08-21addition'!$A:$A,'Biomass&amp;MSW'!$A50)*10</f>
        <v>0</v>
      </c>
      <c r="K49" s="207">
        <f>SUMIFS('08-21addition'!$L:$L,'08-21addition'!$B:$B,K$38,'08-21addition'!$A:$A,'Biomass&amp;MSW'!$A50)*10+SUMIFS('08-21addition'!$E:$E,'08-21addition'!$B:$B,K$38,'08-21addition'!$A:$A,'Biomass&amp;MSW'!$A50)*10</f>
        <v>0</v>
      </c>
      <c r="L49" s="207">
        <f>SUMIFS('08-21addition'!$L:$L,'08-21addition'!$B:$B,L$38,'08-21addition'!$A:$A,'Biomass&amp;MSW'!$A50)*10+SUMIFS('08-21addition'!$E:$E,'08-21addition'!$B:$B,L$38,'08-21addition'!$A:$A,'Biomass&amp;MSW'!$A50)*10</f>
        <v>0</v>
      </c>
      <c r="M49" s="207">
        <f>SUMIFS('08-21addition'!$L:$L,'08-21addition'!$B:$B,M$38,'08-21addition'!$A:$A,'Biomass&amp;MSW'!$A50)*10+SUMIFS('08-21addition'!$E:$E,'08-21addition'!$B:$B,M$38,'08-21addition'!$A:$A,'Biomass&amp;MSW'!$A50)*10</f>
        <v>0</v>
      </c>
      <c r="N49" s="207">
        <f>SUMIFS('08-21addition'!$L:$L,'08-21addition'!$B:$B,N$38,'08-21addition'!$A:$A,'Biomass&amp;MSW'!$A50)*10+SUMIFS('08-21addition'!$E:$E,'08-21addition'!$B:$B,N$38,'08-21addition'!$A:$A,'Biomass&amp;MSW'!$A50)*10</f>
        <v>0</v>
      </c>
      <c r="O49" s="207">
        <f>SUMIFS('08-21addition'!$L:$L,'08-21addition'!$B:$B,O$38,'08-21addition'!$A:$A,'Biomass&amp;MSW'!$A50)*10+SUMIFS('08-21addition'!$E:$E,'08-21addition'!$B:$B,O$38,'08-21addition'!$A:$A,'Biomass&amp;MSW'!$A50)*10</f>
        <v>30</v>
      </c>
      <c r="P49" s="207">
        <f>SUMIFS('08-21addition'!$L:$L,'08-21addition'!$B:$B,P$38,'08-21addition'!$A:$A,'Biomass&amp;MSW'!$A50)*10+SUMIFS('08-21addition'!$E:$E,'08-21addition'!$B:$B,P$38,'08-21addition'!$A:$A,'Biomass&amp;MSW'!$A50)*10</f>
        <v>15</v>
      </c>
      <c r="Q49" s="207">
        <f>SUMIFS('08-21addition'!$L:$L,'08-21addition'!$B:$B,Q$38,'08-21addition'!$A:$A,'Biomass&amp;MSW'!$A50)*10+SUMIFS('08-21addition'!$E:$E,'08-21addition'!$B:$B,Q$38,'08-21addition'!$A:$A,'Biomass&amp;MSW'!$A50)*10</f>
        <v>59.5</v>
      </c>
      <c r="R49" s="207">
        <f>SUMIFS('08-21addition'!$L:$L,'08-21addition'!$B:$B,R$38,'08-21addition'!$A:$A,'Biomass&amp;MSW'!$A50)*10+SUMIFS('08-21addition'!$E:$E,'08-21addition'!$B:$B,R$38,'08-21addition'!$A:$A,'Biomass&amp;MSW'!$A50)*10</f>
        <v>32</v>
      </c>
      <c r="S49" s="207">
        <f>SUMIFS('08-21addition'!$L:$L,'08-21addition'!$B:$B,S$38,'08-21addition'!$A:$A,'Biomass&amp;MSW'!$A50)*10+SUMIFS('08-21addition'!$E:$E,'08-21addition'!$B:$B,S$38,'08-21addition'!$A:$A,'Biomass&amp;MSW'!$A50)*10</f>
        <v>15</v>
      </c>
      <c r="T49" s="207">
        <f>SUMIFS('08-21addition'!$L:$L,'08-21addition'!$B:$B,T$38,'08-21addition'!$A:$A,'Biomass&amp;MSW'!$A50)*10+SUMIFS('08-21addition'!$E:$E,'08-21addition'!$B:$B,T$38,'08-21addition'!$A:$A,'Biomass&amp;MSW'!$A50)*10</f>
        <v>15</v>
      </c>
      <c r="U49" s="207">
        <f>SUMIFS('08-21addition'!$L:$L,'08-21addition'!$B:$B,U$38,'08-21addition'!$A:$A,'Biomass&amp;MSW'!$A50)*10+SUMIFS('08-21addition'!$E:$E,'08-21addition'!$B:$B,U$38,'08-21addition'!$A:$A,'Biomass&amp;MSW'!$A50)*10</f>
        <v>15</v>
      </c>
      <c r="V49" s="207">
        <f>SUMIFS('08-21addition'!$L:$L,'08-21addition'!$B:$B,V$38,'08-21addition'!$A:$A,'Biomass&amp;MSW'!$A50)*10+SUMIFS('08-21addition'!$E:$E,'08-21addition'!$B:$B,V$38,'08-21addition'!$A:$A,'Biomass&amp;MSW'!$A50)*10</f>
        <v>0</v>
      </c>
    </row>
    <row r="50" spans="1:22">
      <c r="A50" s="22" t="s">
        <v>102</v>
      </c>
      <c r="B50" s="206">
        <f t="shared" ref="B50:I50" si="30">(IFERROR((1-$AG15),0)*($C15+$E15))/8*10</f>
        <v>11.9375</v>
      </c>
      <c r="C50" s="206">
        <f t="shared" si="30"/>
        <v>11.9375</v>
      </c>
      <c r="D50" s="206">
        <f t="shared" si="30"/>
        <v>11.9375</v>
      </c>
      <c r="E50" s="206">
        <f t="shared" si="30"/>
        <v>11.9375</v>
      </c>
      <c r="F50" s="206">
        <f t="shared" si="30"/>
        <v>11.9375</v>
      </c>
      <c r="G50" s="206">
        <f t="shared" si="30"/>
        <v>11.9375</v>
      </c>
      <c r="H50" s="206">
        <f t="shared" si="30"/>
        <v>11.9375</v>
      </c>
      <c r="I50" s="206">
        <f t="shared" si="30"/>
        <v>11.9375</v>
      </c>
      <c r="J50" s="207">
        <f>SUMIFS('08-21addition'!$L:$L,'08-21addition'!$B:$B,J$38,'08-21addition'!$A:$A,'Biomass&amp;MSW'!$A51)*10+SUMIFS('08-21addition'!$E:$E,'08-21addition'!$B:$B,J$38,'08-21addition'!$A:$A,'Biomass&amp;MSW'!$A51)*10</f>
        <v>49</v>
      </c>
      <c r="K50" s="207">
        <f>SUMIFS('08-21addition'!$L:$L,'08-21addition'!$B:$B,K$38,'08-21addition'!$A:$A,'Biomass&amp;MSW'!$A51)*10+SUMIFS('08-21addition'!$E:$E,'08-21addition'!$B:$B,K$38,'08-21addition'!$A:$A,'Biomass&amp;MSW'!$A51)*10</f>
        <v>36</v>
      </c>
      <c r="L50" s="207">
        <f>SUMIFS('08-21addition'!$L:$L,'08-21addition'!$B:$B,L$38,'08-21addition'!$A:$A,'Biomass&amp;MSW'!$A51)*10+SUMIFS('08-21addition'!$E:$E,'08-21addition'!$B:$B,L$38,'08-21addition'!$A:$A,'Biomass&amp;MSW'!$A51)*10</f>
        <v>120</v>
      </c>
      <c r="M50" s="207">
        <f>SUMIFS('08-21addition'!$L:$L,'08-21addition'!$B:$B,M$38,'08-21addition'!$A:$A,'Biomass&amp;MSW'!$A51)*10+SUMIFS('08-21addition'!$E:$E,'08-21addition'!$B:$B,M$38,'08-21addition'!$A:$A,'Biomass&amp;MSW'!$A51)*10</f>
        <v>30</v>
      </c>
      <c r="N50" s="207">
        <f>SUMIFS('08-21addition'!$L:$L,'08-21addition'!$B:$B,N$38,'08-21addition'!$A:$A,'Biomass&amp;MSW'!$A51)*10+SUMIFS('08-21addition'!$E:$E,'08-21addition'!$B:$B,N$38,'08-21addition'!$A:$A,'Biomass&amp;MSW'!$A51)*10</f>
        <v>120</v>
      </c>
      <c r="O50" s="207">
        <f>SUMIFS('08-21addition'!$L:$L,'08-21addition'!$B:$B,O$38,'08-21addition'!$A:$A,'Biomass&amp;MSW'!$A51)*10+SUMIFS('08-21addition'!$E:$E,'08-21addition'!$B:$B,O$38,'08-21addition'!$A:$A,'Biomass&amp;MSW'!$A51)*10</f>
        <v>114</v>
      </c>
      <c r="P50" s="207">
        <f>SUMIFS('08-21addition'!$L:$L,'08-21addition'!$B:$B,P$38,'08-21addition'!$A:$A,'Biomass&amp;MSW'!$A51)*10+SUMIFS('08-21addition'!$E:$E,'08-21addition'!$B:$B,P$38,'08-21addition'!$A:$A,'Biomass&amp;MSW'!$A51)*10</f>
        <v>30</v>
      </c>
      <c r="Q50" s="207">
        <f>SUMIFS('08-21addition'!$L:$L,'08-21addition'!$B:$B,Q$38,'08-21addition'!$A:$A,'Biomass&amp;MSW'!$A51)*10+SUMIFS('08-21addition'!$E:$E,'08-21addition'!$B:$B,Q$38,'08-21addition'!$A:$A,'Biomass&amp;MSW'!$A51)*10</f>
        <v>0</v>
      </c>
      <c r="R50" s="207">
        <f>SUMIFS('08-21addition'!$L:$L,'08-21addition'!$B:$B,R$38,'08-21addition'!$A:$A,'Biomass&amp;MSW'!$A51)*10+SUMIFS('08-21addition'!$E:$E,'08-21addition'!$B:$B,R$38,'08-21addition'!$A:$A,'Biomass&amp;MSW'!$A51)*10</f>
        <v>190</v>
      </c>
      <c r="S50" s="207">
        <f>SUMIFS('08-21addition'!$L:$L,'08-21addition'!$B:$B,S$38,'08-21addition'!$A:$A,'Biomass&amp;MSW'!$A51)*10+SUMIFS('08-21addition'!$E:$E,'08-21addition'!$B:$B,S$38,'08-21addition'!$A:$A,'Biomass&amp;MSW'!$A51)*10</f>
        <v>367.2</v>
      </c>
      <c r="T50" s="207">
        <f>SUMIFS('08-21addition'!$L:$L,'08-21addition'!$B:$B,T$38,'08-21addition'!$A:$A,'Biomass&amp;MSW'!$A51)*10+SUMIFS('08-21addition'!$E:$E,'08-21addition'!$B:$B,T$38,'08-21addition'!$A:$A,'Biomass&amp;MSW'!$A51)*10</f>
        <v>108.5</v>
      </c>
      <c r="U50" s="207">
        <f>SUMIFS('08-21addition'!$L:$L,'08-21addition'!$B:$B,U$38,'08-21addition'!$A:$A,'Biomass&amp;MSW'!$A51)*10+SUMIFS('08-21addition'!$E:$E,'08-21addition'!$B:$B,U$38,'08-21addition'!$A:$A,'Biomass&amp;MSW'!$A51)*10</f>
        <v>140</v>
      </c>
      <c r="V50" s="207">
        <f>SUMIFS('08-21addition'!$L:$L,'08-21addition'!$B:$B,V$38,'08-21addition'!$A:$A,'Biomass&amp;MSW'!$A51)*10+SUMIFS('08-21addition'!$E:$E,'08-21addition'!$B:$B,V$38,'08-21addition'!$A:$A,'Biomass&amp;MSW'!$A51)*10</f>
        <v>72</v>
      </c>
    </row>
    <row r="51" spans="1:22">
      <c r="A51" s="22" t="s">
        <v>104</v>
      </c>
      <c r="B51" s="206">
        <f t="shared" ref="B51:I51" si="31">(IFERROR((1-$AG16),0)*($C16+$E16))/8*10</f>
        <v>21.375</v>
      </c>
      <c r="C51" s="206">
        <f t="shared" si="31"/>
        <v>21.375</v>
      </c>
      <c r="D51" s="206">
        <f t="shared" si="31"/>
        <v>21.375</v>
      </c>
      <c r="E51" s="206">
        <f t="shared" si="31"/>
        <v>21.375</v>
      </c>
      <c r="F51" s="206">
        <f t="shared" si="31"/>
        <v>21.375</v>
      </c>
      <c r="G51" s="206">
        <f t="shared" si="31"/>
        <v>21.375</v>
      </c>
      <c r="H51" s="206">
        <f t="shared" si="31"/>
        <v>21.375</v>
      </c>
      <c r="I51" s="206">
        <f t="shared" si="31"/>
        <v>21.375</v>
      </c>
      <c r="J51" s="207">
        <f>SUMIFS('08-21addition'!$L:$L,'08-21addition'!$B:$B,J$38,'08-21addition'!$A:$A,'Biomass&amp;MSW'!$A52)*10+SUMIFS('08-21addition'!$E:$E,'08-21addition'!$B:$B,J$38,'08-21addition'!$A:$A,'Biomass&amp;MSW'!$A52)*10</f>
        <v>0</v>
      </c>
      <c r="K51" s="207">
        <f>SUMIFS('08-21addition'!$L:$L,'08-21addition'!$B:$B,K$38,'08-21addition'!$A:$A,'Biomass&amp;MSW'!$A52)*10+SUMIFS('08-21addition'!$E:$E,'08-21addition'!$B:$B,K$38,'08-21addition'!$A:$A,'Biomass&amp;MSW'!$A52)*10</f>
        <v>0</v>
      </c>
      <c r="L51" s="207">
        <f>SUMIFS('08-21addition'!$L:$L,'08-21addition'!$B:$B,L$38,'08-21addition'!$A:$A,'Biomass&amp;MSW'!$A52)*10+SUMIFS('08-21addition'!$E:$E,'08-21addition'!$B:$B,L$38,'08-21addition'!$A:$A,'Biomass&amp;MSW'!$A52)*10</f>
        <v>0</v>
      </c>
      <c r="M51" s="207">
        <f>SUMIFS('08-21addition'!$L:$L,'08-21addition'!$B:$B,M$38,'08-21addition'!$A:$A,'Biomass&amp;MSW'!$A52)*10+SUMIFS('08-21addition'!$E:$E,'08-21addition'!$B:$B,M$38,'08-21addition'!$A:$A,'Biomass&amp;MSW'!$A52)*10</f>
        <v>0</v>
      </c>
      <c r="N51" s="207">
        <f>SUMIFS('08-21addition'!$L:$L,'08-21addition'!$B:$B,N$38,'08-21addition'!$A:$A,'Biomass&amp;MSW'!$A52)*10+SUMIFS('08-21addition'!$E:$E,'08-21addition'!$B:$B,N$38,'08-21addition'!$A:$A,'Biomass&amp;MSW'!$A52)*10</f>
        <v>0</v>
      </c>
      <c r="O51" s="207">
        <f>SUMIFS('08-21addition'!$L:$L,'08-21addition'!$B:$B,O$38,'08-21addition'!$A:$A,'Biomass&amp;MSW'!$A52)*10+SUMIFS('08-21addition'!$E:$E,'08-21addition'!$B:$B,O$38,'08-21addition'!$A:$A,'Biomass&amp;MSW'!$A52)*10</f>
        <v>15</v>
      </c>
      <c r="P51" s="207">
        <f>SUMIFS('08-21addition'!$L:$L,'08-21addition'!$B:$B,P$38,'08-21addition'!$A:$A,'Biomass&amp;MSW'!$A52)*10+SUMIFS('08-21addition'!$E:$E,'08-21addition'!$B:$B,P$38,'08-21addition'!$A:$A,'Biomass&amp;MSW'!$A52)*10</f>
        <v>0</v>
      </c>
      <c r="Q51" s="207">
        <f>SUMIFS('08-21addition'!$L:$L,'08-21addition'!$B:$B,Q$38,'08-21addition'!$A:$A,'Biomass&amp;MSW'!$A52)*10+SUMIFS('08-21addition'!$E:$E,'08-21addition'!$B:$B,Q$38,'08-21addition'!$A:$A,'Biomass&amp;MSW'!$A52)*10</f>
        <v>0</v>
      </c>
      <c r="R51" s="207">
        <f>SUMIFS('08-21addition'!$L:$L,'08-21addition'!$B:$B,R$38,'08-21addition'!$A:$A,'Biomass&amp;MSW'!$A52)*10+SUMIFS('08-21addition'!$E:$E,'08-21addition'!$B:$B,R$38,'08-21addition'!$A:$A,'Biomass&amp;MSW'!$A52)*10</f>
        <v>0</v>
      </c>
      <c r="S51" s="207">
        <f>SUMIFS('08-21addition'!$L:$L,'08-21addition'!$B:$B,S$38,'08-21addition'!$A:$A,'Biomass&amp;MSW'!$A52)*10+SUMIFS('08-21addition'!$E:$E,'08-21addition'!$B:$B,S$38,'08-21addition'!$A:$A,'Biomass&amp;MSW'!$A52)*10</f>
        <v>0</v>
      </c>
      <c r="T51" s="207">
        <f>SUMIFS('08-21addition'!$L:$L,'08-21addition'!$B:$B,T$38,'08-21addition'!$A:$A,'Biomass&amp;MSW'!$A52)*10+SUMIFS('08-21addition'!$E:$E,'08-21addition'!$B:$B,T$38,'08-21addition'!$A:$A,'Biomass&amp;MSW'!$A52)*10</f>
        <v>0</v>
      </c>
      <c r="U51" s="207">
        <f>SUMIFS('08-21addition'!$L:$L,'08-21addition'!$B:$B,U$38,'08-21addition'!$A:$A,'Biomass&amp;MSW'!$A52)*10+SUMIFS('08-21addition'!$E:$E,'08-21addition'!$B:$B,U$38,'08-21addition'!$A:$A,'Biomass&amp;MSW'!$A52)*10</f>
        <v>0</v>
      </c>
      <c r="V51" s="207">
        <f>SUMIFS('08-21addition'!$L:$L,'08-21addition'!$B:$B,V$38,'08-21addition'!$A:$A,'Biomass&amp;MSW'!$A52)*10+SUMIFS('08-21addition'!$E:$E,'08-21addition'!$B:$B,V$38,'08-21addition'!$A:$A,'Biomass&amp;MSW'!$A52)*10</f>
        <v>0</v>
      </c>
    </row>
    <row r="52" spans="1:22">
      <c r="A52" s="22" t="s">
        <v>106</v>
      </c>
      <c r="B52" s="206">
        <f t="shared" ref="B52:I52" si="32">(IFERROR((1-$AG17),0)*($C17+$E17))/8*10</f>
        <v>5.625</v>
      </c>
      <c r="C52" s="206">
        <f t="shared" si="32"/>
        <v>5.625</v>
      </c>
      <c r="D52" s="206">
        <f t="shared" si="32"/>
        <v>5.625</v>
      </c>
      <c r="E52" s="206">
        <f t="shared" si="32"/>
        <v>5.625</v>
      </c>
      <c r="F52" s="206">
        <f t="shared" si="32"/>
        <v>5.625</v>
      </c>
      <c r="G52" s="206">
        <f t="shared" si="32"/>
        <v>5.625</v>
      </c>
      <c r="H52" s="206">
        <f t="shared" si="32"/>
        <v>5.625</v>
      </c>
      <c r="I52" s="206">
        <f t="shared" si="32"/>
        <v>5.625</v>
      </c>
      <c r="J52" s="207">
        <f>SUMIFS('08-21addition'!$L:$L,'08-21addition'!$B:$B,J$38,'08-21addition'!$A:$A,'Biomass&amp;MSW'!$A53)*10+SUMIFS('08-21addition'!$E:$E,'08-21addition'!$B:$B,J$38,'08-21addition'!$A:$A,'Biomass&amp;MSW'!$A53)*10</f>
        <v>0</v>
      </c>
      <c r="K52" s="207">
        <f>SUMIFS('08-21addition'!$L:$L,'08-21addition'!$B:$B,K$38,'08-21addition'!$A:$A,'Biomass&amp;MSW'!$A53)*10+SUMIFS('08-21addition'!$E:$E,'08-21addition'!$B:$B,K$38,'08-21addition'!$A:$A,'Biomass&amp;MSW'!$A53)*10</f>
        <v>0</v>
      </c>
      <c r="L52" s="207">
        <f>SUMIFS('08-21addition'!$L:$L,'08-21addition'!$B:$B,L$38,'08-21addition'!$A:$A,'Biomass&amp;MSW'!$A53)*10+SUMIFS('08-21addition'!$E:$E,'08-21addition'!$B:$B,L$38,'08-21addition'!$A:$A,'Biomass&amp;MSW'!$A53)*10</f>
        <v>0</v>
      </c>
      <c r="M52" s="207">
        <f>SUMIFS('08-21addition'!$L:$L,'08-21addition'!$B:$B,M$38,'08-21addition'!$A:$A,'Biomass&amp;MSW'!$A53)*10+SUMIFS('08-21addition'!$E:$E,'08-21addition'!$B:$B,M$38,'08-21addition'!$A:$A,'Biomass&amp;MSW'!$A53)*10</f>
        <v>0</v>
      </c>
      <c r="N52" s="207">
        <f>SUMIFS('08-21addition'!$L:$L,'08-21addition'!$B:$B,N$38,'08-21addition'!$A:$A,'Biomass&amp;MSW'!$A53)*10+SUMIFS('08-21addition'!$E:$E,'08-21addition'!$B:$B,N$38,'08-21addition'!$A:$A,'Biomass&amp;MSW'!$A53)*10</f>
        <v>0</v>
      </c>
      <c r="O52" s="207">
        <f>SUMIFS('08-21addition'!$L:$L,'08-21addition'!$B:$B,O$38,'08-21addition'!$A:$A,'Biomass&amp;MSW'!$A53)*10+SUMIFS('08-21addition'!$E:$E,'08-21addition'!$B:$B,O$38,'08-21addition'!$A:$A,'Biomass&amp;MSW'!$A53)*10</f>
        <v>0</v>
      </c>
      <c r="P52" s="207">
        <f>SUMIFS('08-21addition'!$L:$L,'08-21addition'!$B:$B,P$38,'08-21addition'!$A:$A,'Biomass&amp;MSW'!$A53)*10+SUMIFS('08-21addition'!$E:$E,'08-21addition'!$B:$B,P$38,'08-21addition'!$A:$A,'Biomass&amp;MSW'!$A53)*10</f>
        <v>30</v>
      </c>
      <c r="Q52" s="207">
        <f>SUMIFS('08-21addition'!$L:$L,'08-21addition'!$B:$B,Q$38,'08-21addition'!$A:$A,'Biomass&amp;MSW'!$A53)*10+SUMIFS('08-21addition'!$E:$E,'08-21addition'!$B:$B,Q$38,'08-21addition'!$A:$A,'Biomass&amp;MSW'!$A53)*10</f>
        <v>0</v>
      </c>
      <c r="R52" s="207">
        <f>SUMIFS('08-21addition'!$L:$L,'08-21addition'!$B:$B,R$38,'08-21addition'!$A:$A,'Biomass&amp;MSW'!$A53)*10+SUMIFS('08-21addition'!$E:$E,'08-21addition'!$B:$B,R$38,'08-21addition'!$A:$A,'Biomass&amp;MSW'!$A53)*10</f>
        <v>0</v>
      </c>
      <c r="S52" s="207">
        <f>SUMIFS('08-21addition'!$L:$L,'08-21addition'!$B:$B,S$38,'08-21addition'!$A:$A,'Biomass&amp;MSW'!$A53)*10+SUMIFS('08-21addition'!$E:$E,'08-21addition'!$B:$B,S$38,'08-21addition'!$A:$A,'Biomass&amp;MSW'!$A53)*10</f>
        <v>0</v>
      </c>
      <c r="T52" s="207">
        <f>SUMIFS('08-21addition'!$L:$L,'08-21addition'!$B:$B,T$38,'08-21addition'!$A:$A,'Biomass&amp;MSW'!$A53)*10+SUMIFS('08-21addition'!$E:$E,'08-21addition'!$B:$B,T$38,'08-21addition'!$A:$A,'Biomass&amp;MSW'!$A53)*10</f>
        <v>0</v>
      </c>
      <c r="U52" s="207">
        <f>SUMIFS('08-21addition'!$L:$L,'08-21addition'!$B:$B,U$38,'08-21addition'!$A:$A,'Biomass&amp;MSW'!$A53)*10+SUMIFS('08-21addition'!$E:$E,'08-21addition'!$B:$B,U$38,'08-21addition'!$A:$A,'Biomass&amp;MSW'!$A53)*10</f>
        <v>72</v>
      </c>
      <c r="V52" s="207">
        <f>SUMIFS('08-21addition'!$L:$L,'08-21addition'!$B:$B,V$38,'08-21addition'!$A:$A,'Biomass&amp;MSW'!$A53)*10+SUMIFS('08-21addition'!$E:$E,'08-21addition'!$B:$B,V$38,'08-21addition'!$A:$A,'Biomass&amp;MSW'!$A53)*10</f>
        <v>60</v>
      </c>
    </row>
    <row r="53" spans="1:22">
      <c r="A53" s="22" t="s">
        <v>108</v>
      </c>
      <c r="B53" s="206">
        <f t="shared" ref="B53:I53" si="33">(IFERROR((1-$AG18),0)*($C18+$E18))/8*10</f>
        <v>21.25</v>
      </c>
      <c r="C53" s="206">
        <f t="shared" si="33"/>
        <v>21.25</v>
      </c>
      <c r="D53" s="206">
        <f t="shared" si="33"/>
        <v>21.25</v>
      </c>
      <c r="E53" s="206">
        <f t="shared" si="33"/>
        <v>21.25</v>
      </c>
      <c r="F53" s="206">
        <f t="shared" si="33"/>
        <v>21.25</v>
      </c>
      <c r="G53" s="206">
        <f t="shared" si="33"/>
        <v>21.25</v>
      </c>
      <c r="H53" s="206">
        <f t="shared" si="33"/>
        <v>21.25</v>
      </c>
      <c r="I53" s="206">
        <f t="shared" si="33"/>
        <v>21.25</v>
      </c>
      <c r="J53" s="207">
        <f>SUMIFS('08-21addition'!$L:$L,'08-21addition'!$B:$B,J$38,'08-21addition'!$A:$A,'Biomass&amp;MSW'!$A54)*10+SUMIFS('08-21addition'!$E:$E,'08-21addition'!$B:$B,J$38,'08-21addition'!$A:$A,'Biomass&amp;MSW'!$A54)*10</f>
        <v>33</v>
      </c>
      <c r="K53" s="207">
        <f>SUMIFS('08-21addition'!$L:$L,'08-21addition'!$B:$B,K$38,'08-21addition'!$A:$A,'Biomass&amp;MSW'!$A54)*10+SUMIFS('08-21addition'!$E:$E,'08-21addition'!$B:$B,K$38,'08-21addition'!$A:$A,'Biomass&amp;MSW'!$A54)*10</f>
        <v>9</v>
      </c>
      <c r="L53" s="207">
        <f>SUMIFS('08-21addition'!$L:$L,'08-21addition'!$B:$B,L$38,'08-21addition'!$A:$A,'Biomass&amp;MSW'!$A54)*10+SUMIFS('08-21addition'!$E:$E,'08-21addition'!$B:$B,L$38,'08-21addition'!$A:$A,'Biomass&amp;MSW'!$A54)*10</f>
        <v>195</v>
      </c>
      <c r="M53" s="207">
        <f>SUMIFS('08-21addition'!$L:$L,'08-21addition'!$B:$B,M$38,'08-21addition'!$A:$A,'Biomass&amp;MSW'!$A54)*10+SUMIFS('08-21addition'!$E:$E,'08-21addition'!$B:$B,M$38,'08-21addition'!$A:$A,'Biomass&amp;MSW'!$A54)*10</f>
        <v>112</v>
      </c>
      <c r="N53" s="207">
        <f>SUMIFS('08-21addition'!$L:$L,'08-21addition'!$B:$B,N$38,'08-21addition'!$A:$A,'Biomass&amp;MSW'!$A54)*10+SUMIFS('08-21addition'!$E:$E,'08-21addition'!$B:$B,N$38,'08-21addition'!$A:$A,'Biomass&amp;MSW'!$A54)*10</f>
        <v>131</v>
      </c>
      <c r="O53" s="207">
        <f>SUMIFS('08-21addition'!$L:$L,'08-21addition'!$B:$B,O$38,'08-21addition'!$A:$A,'Biomass&amp;MSW'!$A54)*10+SUMIFS('08-21addition'!$E:$E,'08-21addition'!$B:$B,O$38,'08-21addition'!$A:$A,'Biomass&amp;MSW'!$A54)*10</f>
        <v>42</v>
      </c>
      <c r="P53" s="207">
        <f>SUMIFS('08-21addition'!$L:$L,'08-21addition'!$B:$B,P$38,'08-21addition'!$A:$A,'Biomass&amp;MSW'!$A54)*10+SUMIFS('08-21addition'!$E:$E,'08-21addition'!$B:$B,P$38,'08-21addition'!$A:$A,'Biomass&amp;MSW'!$A54)*10</f>
        <v>90</v>
      </c>
      <c r="Q53" s="207">
        <f>SUMIFS('08-21addition'!$L:$L,'08-21addition'!$B:$B,Q$38,'08-21addition'!$A:$A,'Biomass&amp;MSW'!$A54)*10+SUMIFS('08-21addition'!$E:$E,'08-21addition'!$B:$B,Q$38,'08-21addition'!$A:$A,'Biomass&amp;MSW'!$A54)*10</f>
        <v>179</v>
      </c>
      <c r="R53" s="207">
        <f>SUMIFS('08-21addition'!$L:$L,'08-21addition'!$B:$B,R$38,'08-21addition'!$A:$A,'Biomass&amp;MSW'!$A54)*10+SUMIFS('08-21addition'!$E:$E,'08-21addition'!$B:$B,R$38,'08-21addition'!$A:$A,'Biomass&amp;MSW'!$A54)*10</f>
        <v>140</v>
      </c>
      <c r="S53" s="207">
        <f>SUMIFS('08-21addition'!$L:$L,'08-21addition'!$B:$B,S$38,'08-21addition'!$A:$A,'Biomass&amp;MSW'!$A54)*10+SUMIFS('08-21addition'!$E:$E,'08-21addition'!$B:$B,S$38,'08-21addition'!$A:$A,'Biomass&amp;MSW'!$A54)*10</f>
        <v>183</v>
      </c>
      <c r="T53" s="207">
        <f>SUMIFS('08-21addition'!$L:$L,'08-21addition'!$B:$B,T$38,'08-21addition'!$A:$A,'Biomass&amp;MSW'!$A54)*10+SUMIFS('08-21addition'!$E:$E,'08-21addition'!$B:$B,T$38,'08-21addition'!$A:$A,'Biomass&amp;MSW'!$A54)*10</f>
        <v>300</v>
      </c>
      <c r="U53" s="207">
        <f>SUMIFS('08-21addition'!$L:$L,'08-21addition'!$B:$B,U$38,'08-21addition'!$A:$A,'Biomass&amp;MSW'!$A54)*10+SUMIFS('08-21addition'!$E:$E,'08-21addition'!$B:$B,U$38,'08-21addition'!$A:$A,'Biomass&amp;MSW'!$A54)*10</f>
        <v>395.8</v>
      </c>
      <c r="V53" s="207">
        <f>SUMIFS('08-21addition'!$L:$L,'08-21addition'!$B:$B,V$38,'08-21addition'!$A:$A,'Biomass&amp;MSW'!$A54)*10+SUMIFS('08-21addition'!$E:$E,'08-21addition'!$B:$B,V$38,'08-21addition'!$A:$A,'Biomass&amp;MSW'!$A54)*10</f>
        <v>192</v>
      </c>
    </row>
    <row r="54" spans="1:22">
      <c r="A54" s="22" t="s">
        <v>110</v>
      </c>
      <c r="B54" s="206">
        <f t="shared" ref="B54:I54" si="34">(IFERROR((1-$AG19),0)*($C19+$E19))/8*10</f>
        <v>54.875</v>
      </c>
      <c r="C54" s="206">
        <f t="shared" si="34"/>
        <v>54.875</v>
      </c>
      <c r="D54" s="206">
        <f t="shared" si="34"/>
        <v>54.875</v>
      </c>
      <c r="E54" s="206">
        <f t="shared" si="34"/>
        <v>54.875</v>
      </c>
      <c r="F54" s="206">
        <f t="shared" si="34"/>
        <v>54.875</v>
      </c>
      <c r="G54" s="206">
        <f t="shared" si="34"/>
        <v>54.875</v>
      </c>
      <c r="H54" s="206">
        <f t="shared" si="34"/>
        <v>54.875</v>
      </c>
      <c r="I54" s="206">
        <f t="shared" si="34"/>
        <v>54.875</v>
      </c>
      <c r="J54" s="207">
        <f>SUMIFS('08-21addition'!$L:$L,'08-21addition'!$B:$B,J$38,'08-21addition'!$A:$A,'Biomass&amp;MSW'!$A55)*10+SUMIFS('08-21addition'!$E:$E,'08-21addition'!$B:$B,J$38,'08-21addition'!$A:$A,'Biomass&amp;MSW'!$A55)*10</f>
        <v>36</v>
      </c>
      <c r="K54" s="207">
        <f>SUMIFS('08-21addition'!$L:$L,'08-21addition'!$B:$B,K$38,'08-21addition'!$A:$A,'Biomass&amp;MSW'!$A55)*10+SUMIFS('08-21addition'!$E:$E,'08-21addition'!$B:$B,K$38,'08-21addition'!$A:$A,'Biomass&amp;MSW'!$A55)*10</f>
        <v>0</v>
      </c>
      <c r="L54" s="207">
        <f>SUMIFS('08-21addition'!$L:$L,'08-21addition'!$B:$B,L$38,'08-21addition'!$A:$A,'Biomass&amp;MSW'!$A55)*10+SUMIFS('08-21addition'!$E:$E,'08-21addition'!$B:$B,L$38,'08-21addition'!$A:$A,'Biomass&amp;MSW'!$A55)*10</f>
        <v>15</v>
      </c>
      <c r="M54" s="207">
        <f>SUMIFS('08-21addition'!$L:$L,'08-21addition'!$B:$B,M$38,'08-21addition'!$A:$A,'Biomass&amp;MSW'!$A55)*10+SUMIFS('08-21addition'!$E:$E,'08-21addition'!$B:$B,M$38,'08-21addition'!$A:$A,'Biomass&amp;MSW'!$A55)*10</f>
        <v>15</v>
      </c>
      <c r="N54" s="207">
        <f>SUMIFS('08-21addition'!$L:$L,'08-21addition'!$B:$B,N$38,'08-21addition'!$A:$A,'Biomass&amp;MSW'!$A55)*10+SUMIFS('08-21addition'!$E:$E,'08-21addition'!$B:$B,N$38,'08-21addition'!$A:$A,'Biomass&amp;MSW'!$A55)*10</f>
        <v>0</v>
      </c>
      <c r="O54" s="207">
        <f>SUMIFS('08-21addition'!$L:$L,'08-21addition'!$B:$B,O$38,'08-21addition'!$A:$A,'Biomass&amp;MSW'!$A55)*10+SUMIFS('08-21addition'!$E:$E,'08-21addition'!$B:$B,O$38,'08-21addition'!$A:$A,'Biomass&amp;MSW'!$A55)*10</f>
        <v>34</v>
      </c>
      <c r="P54" s="207">
        <f>SUMIFS('08-21addition'!$L:$L,'08-21addition'!$B:$B,P$38,'08-21addition'!$A:$A,'Biomass&amp;MSW'!$A55)*10+SUMIFS('08-21addition'!$E:$E,'08-21addition'!$B:$B,P$38,'08-21addition'!$A:$A,'Biomass&amp;MSW'!$A55)*10</f>
        <v>0</v>
      </c>
      <c r="Q54" s="207">
        <f>SUMIFS('08-21addition'!$L:$L,'08-21addition'!$B:$B,Q$38,'08-21addition'!$A:$A,'Biomass&amp;MSW'!$A55)*10+SUMIFS('08-21addition'!$E:$E,'08-21addition'!$B:$B,Q$38,'08-21addition'!$A:$A,'Biomass&amp;MSW'!$A55)*10</f>
        <v>0</v>
      </c>
      <c r="R54" s="207">
        <f>SUMIFS('08-21addition'!$L:$L,'08-21addition'!$B:$B,R$38,'08-21addition'!$A:$A,'Biomass&amp;MSW'!$A55)*10+SUMIFS('08-21addition'!$E:$E,'08-21addition'!$B:$B,R$38,'08-21addition'!$A:$A,'Biomass&amp;MSW'!$A55)*10</f>
        <v>12</v>
      </c>
      <c r="S54" s="207">
        <f>SUMIFS('08-21addition'!$L:$L,'08-21addition'!$B:$B,S$38,'08-21addition'!$A:$A,'Biomass&amp;MSW'!$A55)*10+SUMIFS('08-21addition'!$E:$E,'08-21addition'!$B:$B,S$38,'08-21addition'!$A:$A,'Biomass&amp;MSW'!$A55)*10</f>
        <v>60</v>
      </c>
      <c r="T54" s="207">
        <f>SUMIFS('08-21addition'!$L:$L,'08-21addition'!$B:$B,T$38,'08-21addition'!$A:$A,'Biomass&amp;MSW'!$A55)*10+SUMIFS('08-21addition'!$E:$E,'08-21addition'!$B:$B,T$38,'08-21addition'!$A:$A,'Biomass&amp;MSW'!$A55)*10</f>
        <v>18</v>
      </c>
      <c r="U54" s="207">
        <f>SUMIFS('08-21addition'!$L:$L,'08-21addition'!$B:$B,U$38,'08-21addition'!$A:$A,'Biomass&amp;MSW'!$A55)*10+SUMIFS('08-21addition'!$E:$E,'08-21addition'!$B:$B,U$38,'08-21addition'!$A:$A,'Biomass&amp;MSW'!$A55)*10</f>
        <v>463.5</v>
      </c>
      <c r="V54" s="207">
        <f>SUMIFS('08-21addition'!$L:$L,'08-21addition'!$B:$B,V$38,'08-21addition'!$A:$A,'Biomass&amp;MSW'!$A55)*10+SUMIFS('08-21addition'!$E:$E,'08-21addition'!$B:$B,V$38,'08-21addition'!$A:$A,'Biomass&amp;MSW'!$A55)*10</f>
        <v>239</v>
      </c>
    </row>
    <row r="55" spans="1:22">
      <c r="A55" s="22" t="s">
        <v>112</v>
      </c>
      <c r="B55" s="206">
        <f t="shared" ref="B55:I55" si="35">(IFERROR((1-$AG20),0)*($C20+$E20))/8*10</f>
        <v>36.25</v>
      </c>
      <c r="C55" s="206">
        <f t="shared" si="35"/>
        <v>36.25</v>
      </c>
      <c r="D55" s="206">
        <f t="shared" si="35"/>
        <v>36.25</v>
      </c>
      <c r="E55" s="206">
        <f t="shared" si="35"/>
        <v>36.25</v>
      </c>
      <c r="F55" s="206">
        <f t="shared" si="35"/>
        <v>36.25</v>
      </c>
      <c r="G55" s="206">
        <f t="shared" si="35"/>
        <v>36.25</v>
      </c>
      <c r="H55" s="206">
        <f t="shared" si="35"/>
        <v>36.25</v>
      </c>
      <c r="I55" s="206">
        <f t="shared" si="35"/>
        <v>36.25</v>
      </c>
      <c r="J55" s="207">
        <f>SUMIFS('08-21addition'!$L:$L,'08-21addition'!$B:$B,J$38,'08-21addition'!$A:$A,'Biomass&amp;MSW'!$A56)*10+SUMIFS('08-21addition'!$E:$E,'08-21addition'!$B:$B,J$38,'08-21addition'!$A:$A,'Biomass&amp;MSW'!$A56)*10</f>
        <v>0</v>
      </c>
      <c r="K55" s="207">
        <f>SUMIFS('08-21addition'!$L:$L,'08-21addition'!$B:$B,K$38,'08-21addition'!$A:$A,'Biomass&amp;MSW'!$A56)*10+SUMIFS('08-21addition'!$E:$E,'08-21addition'!$B:$B,K$38,'08-21addition'!$A:$A,'Biomass&amp;MSW'!$A56)*10</f>
        <v>25.9</v>
      </c>
      <c r="L55" s="207">
        <f>SUMIFS('08-21addition'!$L:$L,'08-21addition'!$B:$B,L$38,'08-21addition'!$A:$A,'Biomass&amp;MSW'!$A56)*10+SUMIFS('08-21addition'!$E:$E,'08-21addition'!$B:$B,L$38,'08-21addition'!$A:$A,'Biomass&amp;MSW'!$A56)*10</f>
        <v>0</v>
      </c>
      <c r="M55" s="207">
        <f>SUMIFS('08-21addition'!$L:$L,'08-21addition'!$B:$B,M$38,'08-21addition'!$A:$A,'Biomass&amp;MSW'!$A56)*10+SUMIFS('08-21addition'!$E:$E,'08-21addition'!$B:$B,M$38,'08-21addition'!$A:$A,'Biomass&amp;MSW'!$A56)*10</f>
        <v>126</v>
      </c>
      <c r="N55" s="207">
        <f>SUMIFS('08-21addition'!$L:$L,'08-21addition'!$B:$B,N$38,'08-21addition'!$A:$A,'Biomass&amp;MSW'!$A56)*10+SUMIFS('08-21addition'!$E:$E,'08-21addition'!$B:$B,N$38,'08-21addition'!$A:$A,'Biomass&amp;MSW'!$A56)*10</f>
        <v>60</v>
      </c>
      <c r="O55" s="207">
        <f>SUMIFS('08-21addition'!$L:$L,'08-21addition'!$B:$B,O$38,'08-21addition'!$A:$A,'Biomass&amp;MSW'!$A56)*10+SUMIFS('08-21addition'!$E:$E,'08-21addition'!$B:$B,O$38,'08-21addition'!$A:$A,'Biomass&amp;MSW'!$A56)*10</f>
        <v>80</v>
      </c>
      <c r="P55" s="207">
        <f>SUMIFS('08-21addition'!$L:$L,'08-21addition'!$B:$B,P$38,'08-21addition'!$A:$A,'Biomass&amp;MSW'!$A56)*10+SUMIFS('08-21addition'!$E:$E,'08-21addition'!$B:$B,P$38,'08-21addition'!$A:$A,'Biomass&amp;MSW'!$A56)*10</f>
        <v>30</v>
      </c>
      <c r="Q55" s="207">
        <f>SUMIFS('08-21addition'!$L:$L,'08-21addition'!$B:$B,Q$38,'08-21addition'!$A:$A,'Biomass&amp;MSW'!$A56)*10+SUMIFS('08-21addition'!$E:$E,'08-21addition'!$B:$B,Q$38,'08-21addition'!$A:$A,'Biomass&amp;MSW'!$A56)*10</f>
        <v>0</v>
      </c>
      <c r="R55" s="207">
        <f>SUMIFS('08-21addition'!$L:$L,'08-21addition'!$B:$B,R$38,'08-21addition'!$A:$A,'Biomass&amp;MSW'!$A56)*10+SUMIFS('08-21addition'!$E:$E,'08-21addition'!$B:$B,R$38,'08-21addition'!$A:$A,'Biomass&amp;MSW'!$A56)*10</f>
        <v>50</v>
      </c>
      <c r="S55" s="207">
        <f>SUMIFS('08-21addition'!$L:$L,'08-21addition'!$B:$B,S$38,'08-21addition'!$A:$A,'Biomass&amp;MSW'!$A56)*10+SUMIFS('08-21addition'!$E:$E,'08-21addition'!$B:$B,S$38,'08-21addition'!$A:$A,'Biomass&amp;MSW'!$A56)*10</f>
        <v>0</v>
      </c>
      <c r="T55" s="207">
        <f>SUMIFS('08-21addition'!$L:$L,'08-21addition'!$B:$B,T$38,'08-21addition'!$A:$A,'Biomass&amp;MSW'!$A56)*10+SUMIFS('08-21addition'!$E:$E,'08-21addition'!$B:$B,T$38,'08-21addition'!$A:$A,'Biomass&amp;MSW'!$A56)*10</f>
        <v>140</v>
      </c>
      <c r="U55" s="207">
        <f>SUMIFS('08-21addition'!$L:$L,'08-21addition'!$B:$B,U$38,'08-21addition'!$A:$A,'Biomass&amp;MSW'!$A56)*10+SUMIFS('08-21addition'!$E:$E,'08-21addition'!$B:$B,U$38,'08-21addition'!$A:$A,'Biomass&amp;MSW'!$A56)*10</f>
        <v>86</v>
      </c>
      <c r="V55" s="207">
        <f>SUMIFS('08-21addition'!$L:$L,'08-21addition'!$B:$B,V$38,'08-21addition'!$A:$A,'Biomass&amp;MSW'!$A56)*10+SUMIFS('08-21addition'!$E:$E,'08-21addition'!$B:$B,V$38,'08-21addition'!$A:$A,'Biomass&amp;MSW'!$A56)*10</f>
        <v>0</v>
      </c>
    </row>
    <row r="56" spans="1:22">
      <c r="A56" s="22" t="s">
        <v>114</v>
      </c>
      <c r="B56" s="206">
        <f t="shared" ref="B56:I56" si="36">(IFERROR((1-$AG21),0)*($C21+$E21))/8*10</f>
        <v>14.7625</v>
      </c>
      <c r="C56" s="206">
        <f t="shared" si="36"/>
        <v>14.7625</v>
      </c>
      <c r="D56" s="206">
        <f t="shared" si="36"/>
        <v>14.7625</v>
      </c>
      <c r="E56" s="206">
        <f t="shared" si="36"/>
        <v>14.7625</v>
      </c>
      <c r="F56" s="206">
        <f t="shared" si="36"/>
        <v>14.7625</v>
      </c>
      <c r="G56" s="206">
        <f t="shared" si="36"/>
        <v>14.7625</v>
      </c>
      <c r="H56" s="206">
        <f t="shared" si="36"/>
        <v>14.7625</v>
      </c>
      <c r="I56" s="206">
        <f t="shared" si="36"/>
        <v>14.7625</v>
      </c>
      <c r="J56" s="207">
        <f>SUMIFS('08-21addition'!$L:$L,'08-21addition'!$B:$B,J$38,'08-21addition'!$A:$A,'Biomass&amp;MSW'!$A57)*10+SUMIFS('08-21addition'!$E:$E,'08-21addition'!$B:$B,J$38,'08-21addition'!$A:$A,'Biomass&amp;MSW'!$A57)*10</f>
        <v>0</v>
      </c>
      <c r="K56" s="207">
        <f>SUMIFS('08-21addition'!$L:$L,'08-21addition'!$B:$B,K$38,'08-21addition'!$A:$A,'Biomass&amp;MSW'!$A57)*10+SUMIFS('08-21addition'!$E:$E,'08-21addition'!$B:$B,K$38,'08-21addition'!$A:$A,'Biomass&amp;MSW'!$A57)*10</f>
        <v>48</v>
      </c>
      <c r="L56" s="207">
        <f>SUMIFS('08-21addition'!$L:$L,'08-21addition'!$B:$B,L$38,'08-21addition'!$A:$A,'Biomass&amp;MSW'!$A57)*10+SUMIFS('08-21addition'!$E:$E,'08-21addition'!$B:$B,L$38,'08-21addition'!$A:$A,'Biomass&amp;MSW'!$A57)*10</f>
        <v>15</v>
      </c>
      <c r="M56" s="207">
        <f>SUMIFS('08-21addition'!$L:$L,'08-21addition'!$B:$B,M$38,'08-21addition'!$A:$A,'Biomass&amp;MSW'!$A57)*10+SUMIFS('08-21addition'!$E:$E,'08-21addition'!$B:$B,M$38,'08-21addition'!$A:$A,'Biomass&amp;MSW'!$A57)*10</f>
        <v>60</v>
      </c>
      <c r="N56" s="207">
        <f>SUMIFS('08-21addition'!$L:$L,'08-21addition'!$B:$B,N$38,'08-21addition'!$A:$A,'Biomass&amp;MSW'!$A57)*10+SUMIFS('08-21addition'!$E:$E,'08-21addition'!$B:$B,N$38,'08-21addition'!$A:$A,'Biomass&amp;MSW'!$A57)*10</f>
        <v>30</v>
      </c>
      <c r="O56" s="207">
        <f>SUMIFS('08-21addition'!$L:$L,'08-21addition'!$B:$B,O$38,'08-21addition'!$A:$A,'Biomass&amp;MSW'!$A57)*10+SUMIFS('08-21addition'!$E:$E,'08-21addition'!$B:$B,O$38,'08-21addition'!$A:$A,'Biomass&amp;MSW'!$A57)*10</f>
        <v>62.1</v>
      </c>
      <c r="P56" s="207">
        <f>SUMIFS('08-21addition'!$L:$L,'08-21addition'!$B:$B,P$38,'08-21addition'!$A:$A,'Biomass&amp;MSW'!$A57)*10+SUMIFS('08-21addition'!$E:$E,'08-21addition'!$B:$B,P$38,'08-21addition'!$A:$A,'Biomass&amp;MSW'!$A57)*10</f>
        <v>0</v>
      </c>
      <c r="Q56" s="207">
        <f>SUMIFS('08-21addition'!$L:$L,'08-21addition'!$B:$B,Q$38,'08-21addition'!$A:$A,'Biomass&amp;MSW'!$A57)*10+SUMIFS('08-21addition'!$E:$E,'08-21addition'!$B:$B,Q$38,'08-21addition'!$A:$A,'Biomass&amp;MSW'!$A57)*10</f>
        <v>15</v>
      </c>
      <c r="R56" s="207">
        <f>SUMIFS('08-21addition'!$L:$L,'08-21addition'!$B:$B,R$38,'08-21addition'!$A:$A,'Biomass&amp;MSW'!$A57)*10+SUMIFS('08-21addition'!$E:$E,'08-21addition'!$B:$B,R$38,'08-21addition'!$A:$A,'Biomass&amp;MSW'!$A57)*10</f>
        <v>30</v>
      </c>
      <c r="S56" s="207">
        <f>SUMIFS('08-21addition'!$L:$L,'08-21addition'!$B:$B,S$38,'08-21addition'!$A:$A,'Biomass&amp;MSW'!$A57)*10+SUMIFS('08-21addition'!$E:$E,'08-21addition'!$B:$B,S$38,'08-21addition'!$A:$A,'Biomass&amp;MSW'!$A57)*10</f>
        <v>20</v>
      </c>
      <c r="T56" s="207">
        <f>SUMIFS('08-21addition'!$L:$L,'08-21addition'!$B:$B,T$38,'08-21addition'!$A:$A,'Biomass&amp;MSW'!$A57)*10+SUMIFS('08-21addition'!$E:$E,'08-21addition'!$B:$B,T$38,'08-21addition'!$A:$A,'Biomass&amp;MSW'!$A57)*10</f>
        <v>15</v>
      </c>
      <c r="U56" s="207">
        <f>SUMIFS('08-21addition'!$L:$L,'08-21addition'!$B:$B,U$38,'08-21addition'!$A:$A,'Biomass&amp;MSW'!$A57)*10+SUMIFS('08-21addition'!$E:$E,'08-21addition'!$B:$B,U$38,'08-21addition'!$A:$A,'Biomass&amp;MSW'!$A57)*10</f>
        <v>0</v>
      </c>
      <c r="V56" s="207">
        <f>SUMIFS('08-21addition'!$L:$L,'08-21addition'!$B:$B,V$38,'08-21addition'!$A:$A,'Biomass&amp;MSW'!$A57)*10+SUMIFS('08-21addition'!$E:$E,'08-21addition'!$B:$B,V$38,'08-21addition'!$A:$A,'Biomass&amp;MSW'!$A57)*10</f>
        <v>50</v>
      </c>
    </row>
    <row r="57" spans="1:22">
      <c r="A57" s="22" t="s">
        <v>116</v>
      </c>
      <c r="B57" s="206">
        <f t="shared" ref="B57:I57" si="37">(IFERROR((1-$AG22),0)*($C22+$E22))/8*10</f>
        <v>8.7375</v>
      </c>
      <c r="C57" s="206">
        <f t="shared" si="37"/>
        <v>8.7375</v>
      </c>
      <c r="D57" s="206">
        <f t="shared" si="37"/>
        <v>8.7375</v>
      </c>
      <c r="E57" s="206">
        <f t="shared" si="37"/>
        <v>8.7375</v>
      </c>
      <c r="F57" s="206">
        <f t="shared" si="37"/>
        <v>8.7375</v>
      </c>
      <c r="G57" s="206">
        <f t="shared" si="37"/>
        <v>8.7375</v>
      </c>
      <c r="H57" s="206">
        <f t="shared" si="37"/>
        <v>8.7375</v>
      </c>
      <c r="I57" s="206">
        <f t="shared" si="37"/>
        <v>8.7375</v>
      </c>
      <c r="J57" s="207">
        <f>SUMIFS('08-21addition'!$L:$L,'08-21addition'!$B:$B,J$38,'08-21addition'!$A:$A,'Biomass&amp;MSW'!$A58)*10+SUMIFS('08-21addition'!$E:$E,'08-21addition'!$B:$B,J$38,'08-21addition'!$A:$A,'Biomass&amp;MSW'!$A58)*10</f>
        <v>0</v>
      </c>
      <c r="K57" s="207">
        <f>SUMIFS('08-21addition'!$L:$L,'08-21addition'!$B:$B,K$38,'08-21addition'!$A:$A,'Biomass&amp;MSW'!$A58)*10+SUMIFS('08-21addition'!$E:$E,'08-21addition'!$B:$B,K$38,'08-21addition'!$A:$A,'Biomass&amp;MSW'!$A58)*10</f>
        <v>0</v>
      </c>
      <c r="L57" s="207">
        <f>SUMIFS('08-21addition'!$L:$L,'08-21addition'!$B:$B,L$38,'08-21addition'!$A:$A,'Biomass&amp;MSW'!$A58)*10+SUMIFS('08-21addition'!$E:$E,'08-21addition'!$B:$B,L$38,'08-21addition'!$A:$A,'Biomass&amp;MSW'!$A58)*10</f>
        <v>100</v>
      </c>
      <c r="M57" s="207">
        <f>SUMIFS('08-21addition'!$L:$L,'08-21addition'!$B:$B,M$38,'08-21addition'!$A:$A,'Biomass&amp;MSW'!$A58)*10+SUMIFS('08-21addition'!$E:$E,'08-21addition'!$B:$B,M$38,'08-21addition'!$A:$A,'Biomass&amp;MSW'!$A58)*10</f>
        <v>0</v>
      </c>
      <c r="N57" s="207">
        <f>SUMIFS('08-21addition'!$L:$L,'08-21addition'!$B:$B,N$38,'08-21addition'!$A:$A,'Biomass&amp;MSW'!$A58)*10+SUMIFS('08-21addition'!$E:$E,'08-21addition'!$B:$B,N$38,'08-21addition'!$A:$A,'Biomass&amp;MSW'!$A58)*10</f>
        <v>0</v>
      </c>
      <c r="O57" s="207">
        <f>SUMIFS('08-21addition'!$L:$L,'08-21addition'!$B:$B,O$38,'08-21addition'!$A:$A,'Biomass&amp;MSW'!$A58)*10+SUMIFS('08-21addition'!$E:$E,'08-21addition'!$B:$B,O$38,'08-21addition'!$A:$A,'Biomass&amp;MSW'!$A58)*10</f>
        <v>0</v>
      </c>
      <c r="P57" s="207">
        <f>SUMIFS('08-21addition'!$L:$L,'08-21addition'!$B:$B,P$38,'08-21addition'!$A:$A,'Biomass&amp;MSW'!$A58)*10+SUMIFS('08-21addition'!$E:$E,'08-21addition'!$B:$B,P$38,'08-21addition'!$A:$A,'Biomass&amp;MSW'!$A58)*10</f>
        <v>0</v>
      </c>
      <c r="Q57" s="207">
        <f>SUMIFS('08-21addition'!$L:$L,'08-21addition'!$B:$B,Q$38,'08-21addition'!$A:$A,'Biomass&amp;MSW'!$A58)*10+SUMIFS('08-21addition'!$E:$E,'08-21addition'!$B:$B,Q$38,'08-21addition'!$A:$A,'Biomass&amp;MSW'!$A58)*10</f>
        <v>0</v>
      </c>
      <c r="R57" s="207">
        <f>SUMIFS('08-21addition'!$L:$L,'08-21addition'!$B:$B,R$38,'08-21addition'!$A:$A,'Biomass&amp;MSW'!$A58)*10+SUMIFS('08-21addition'!$E:$E,'08-21addition'!$B:$B,R$38,'08-21addition'!$A:$A,'Biomass&amp;MSW'!$A58)*10</f>
        <v>0</v>
      </c>
      <c r="S57" s="207">
        <f>SUMIFS('08-21addition'!$L:$L,'08-21addition'!$B:$B,S$38,'08-21addition'!$A:$A,'Biomass&amp;MSW'!$A58)*10+SUMIFS('08-21addition'!$E:$E,'08-21addition'!$B:$B,S$38,'08-21addition'!$A:$A,'Biomass&amp;MSW'!$A58)*10</f>
        <v>0</v>
      </c>
      <c r="T57" s="207">
        <f>SUMIFS('08-21addition'!$L:$L,'08-21addition'!$B:$B,T$38,'08-21addition'!$A:$A,'Biomass&amp;MSW'!$A58)*10+SUMIFS('08-21addition'!$E:$E,'08-21addition'!$B:$B,T$38,'08-21addition'!$A:$A,'Biomass&amp;MSW'!$A58)*10</f>
        <v>14.2</v>
      </c>
      <c r="U57" s="207">
        <f>SUMIFS('08-21addition'!$L:$L,'08-21addition'!$B:$B,U$38,'08-21addition'!$A:$A,'Biomass&amp;MSW'!$A58)*10+SUMIFS('08-21addition'!$E:$E,'08-21addition'!$B:$B,U$38,'08-21addition'!$A:$A,'Biomass&amp;MSW'!$A58)*10</f>
        <v>0</v>
      </c>
      <c r="V57" s="207">
        <f>SUMIFS('08-21addition'!$L:$L,'08-21addition'!$B:$B,V$38,'08-21addition'!$A:$A,'Biomass&amp;MSW'!$A58)*10+SUMIFS('08-21addition'!$E:$E,'08-21addition'!$B:$B,V$38,'08-21addition'!$A:$A,'Biomass&amp;MSW'!$A58)*10</f>
        <v>166.5</v>
      </c>
    </row>
    <row r="58" spans="1:22">
      <c r="A58" s="22" t="s">
        <v>118</v>
      </c>
      <c r="B58" s="206">
        <f t="shared" ref="B58:I58" si="38">(IFERROR((1-$AG23),0)*($C23+$E23))/8*10</f>
        <v>12.5</v>
      </c>
      <c r="C58" s="206">
        <f t="shared" si="38"/>
        <v>12.5</v>
      </c>
      <c r="D58" s="206">
        <f t="shared" si="38"/>
        <v>12.5</v>
      </c>
      <c r="E58" s="206">
        <f t="shared" si="38"/>
        <v>12.5</v>
      </c>
      <c r="F58" s="206">
        <f t="shared" si="38"/>
        <v>12.5</v>
      </c>
      <c r="G58" s="206">
        <f t="shared" si="38"/>
        <v>12.5</v>
      </c>
      <c r="H58" s="206">
        <f t="shared" si="38"/>
        <v>12.5</v>
      </c>
      <c r="I58" s="206">
        <f t="shared" si="38"/>
        <v>12.5</v>
      </c>
      <c r="J58" s="207">
        <f>SUMIFS('08-21addition'!$L:$L,'08-21addition'!$B:$B,J$38,'08-21addition'!$A:$A,'Biomass&amp;MSW'!$A59)*10+SUMIFS('08-21addition'!$E:$E,'08-21addition'!$B:$B,J$38,'08-21addition'!$A:$A,'Biomass&amp;MSW'!$A59)*10</f>
        <v>0</v>
      </c>
      <c r="K58" s="207">
        <f>SUMIFS('08-21addition'!$L:$L,'08-21addition'!$B:$B,K$38,'08-21addition'!$A:$A,'Biomass&amp;MSW'!$A59)*10+SUMIFS('08-21addition'!$E:$E,'08-21addition'!$B:$B,K$38,'08-21addition'!$A:$A,'Biomass&amp;MSW'!$A59)*10</f>
        <v>131.2</v>
      </c>
      <c r="L58" s="207">
        <f>SUMIFS('08-21addition'!$L:$L,'08-21addition'!$B:$B,L$38,'08-21addition'!$A:$A,'Biomass&amp;MSW'!$A59)*10+SUMIFS('08-21addition'!$E:$E,'08-21addition'!$B:$B,L$38,'08-21addition'!$A:$A,'Biomass&amp;MSW'!$A59)*10</f>
        <v>30</v>
      </c>
      <c r="M58" s="207">
        <f>SUMIFS('08-21addition'!$L:$L,'08-21addition'!$B:$B,M$38,'08-21addition'!$A:$A,'Biomass&amp;MSW'!$A59)*10+SUMIFS('08-21addition'!$E:$E,'08-21addition'!$B:$B,M$38,'08-21addition'!$A:$A,'Biomass&amp;MSW'!$A59)*10</f>
        <v>0</v>
      </c>
      <c r="N58" s="207">
        <f>SUMIFS('08-21addition'!$L:$L,'08-21addition'!$B:$B,N$38,'08-21addition'!$A:$A,'Biomass&amp;MSW'!$A59)*10+SUMIFS('08-21addition'!$E:$E,'08-21addition'!$B:$B,N$38,'08-21addition'!$A:$A,'Biomass&amp;MSW'!$A59)*10</f>
        <v>31</v>
      </c>
      <c r="O58" s="207">
        <f>SUMIFS('08-21addition'!$L:$L,'08-21addition'!$B:$B,O$38,'08-21addition'!$A:$A,'Biomass&amp;MSW'!$A59)*10+SUMIFS('08-21addition'!$E:$E,'08-21addition'!$B:$B,O$38,'08-21addition'!$A:$A,'Biomass&amp;MSW'!$A59)*10</f>
        <v>0</v>
      </c>
      <c r="P58" s="207">
        <f>SUMIFS('08-21addition'!$L:$L,'08-21addition'!$B:$B,P$38,'08-21addition'!$A:$A,'Biomass&amp;MSW'!$A59)*10+SUMIFS('08-21addition'!$E:$E,'08-21addition'!$B:$B,P$38,'08-21addition'!$A:$A,'Biomass&amp;MSW'!$A59)*10</f>
        <v>60</v>
      </c>
      <c r="Q58" s="207">
        <f>SUMIFS('08-21addition'!$L:$L,'08-21addition'!$B:$B,Q$38,'08-21addition'!$A:$A,'Biomass&amp;MSW'!$A59)*10+SUMIFS('08-21addition'!$E:$E,'08-21addition'!$B:$B,Q$38,'08-21addition'!$A:$A,'Biomass&amp;MSW'!$A59)*10</f>
        <v>0</v>
      </c>
      <c r="R58" s="207">
        <f>SUMIFS('08-21addition'!$L:$L,'08-21addition'!$B:$B,R$38,'08-21addition'!$A:$A,'Biomass&amp;MSW'!$A59)*10+SUMIFS('08-21addition'!$E:$E,'08-21addition'!$B:$B,R$38,'08-21addition'!$A:$A,'Biomass&amp;MSW'!$A59)*10</f>
        <v>86</v>
      </c>
      <c r="S58" s="207">
        <f>SUMIFS('08-21addition'!$L:$L,'08-21addition'!$B:$B,S$38,'08-21addition'!$A:$A,'Biomass&amp;MSW'!$A59)*10+SUMIFS('08-21addition'!$E:$E,'08-21addition'!$B:$B,S$38,'08-21addition'!$A:$A,'Biomass&amp;MSW'!$A59)*10</f>
        <v>120</v>
      </c>
      <c r="T58" s="207">
        <f>SUMIFS('08-21addition'!$L:$L,'08-21addition'!$B:$B,T$38,'08-21addition'!$A:$A,'Biomass&amp;MSW'!$A59)*10+SUMIFS('08-21addition'!$E:$E,'08-21addition'!$B:$B,T$38,'08-21addition'!$A:$A,'Biomass&amp;MSW'!$A59)*10</f>
        <v>67</v>
      </c>
      <c r="U58" s="207">
        <f>SUMIFS('08-21addition'!$L:$L,'08-21addition'!$B:$B,U$38,'08-21addition'!$A:$A,'Biomass&amp;MSW'!$A59)*10+SUMIFS('08-21addition'!$E:$E,'08-21addition'!$B:$B,U$38,'08-21addition'!$A:$A,'Biomass&amp;MSW'!$A59)*10</f>
        <v>161.5</v>
      </c>
      <c r="V58" s="207">
        <f>SUMIFS('08-21addition'!$L:$L,'08-21addition'!$B:$B,V$38,'08-21addition'!$A:$A,'Biomass&amp;MSW'!$A59)*10+SUMIFS('08-21addition'!$E:$E,'08-21addition'!$B:$B,V$38,'08-21addition'!$A:$A,'Biomass&amp;MSW'!$A59)*10</f>
        <v>79</v>
      </c>
    </row>
    <row r="59" spans="1:22">
      <c r="A59" s="22" t="s">
        <v>120</v>
      </c>
      <c r="B59" s="206">
        <f t="shared" ref="B59:I59" si="39">(IFERROR((1-$AG24),0)*($C24+$E24))/8*10</f>
        <v>162.225</v>
      </c>
      <c r="C59" s="206">
        <f t="shared" si="39"/>
        <v>162.225</v>
      </c>
      <c r="D59" s="206">
        <f t="shared" si="39"/>
        <v>162.225</v>
      </c>
      <c r="E59" s="206">
        <f t="shared" si="39"/>
        <v>162.225</v>
      </c>
      <c r="F59" s="206">
        <f t="shared" si="39"/>
        <v>162.225</v>
      </c>
      <c r="G59" s="206">
        <f t="shared" si="39"/>
        <v>162.225</v>
      </c>
      <c r="H59" s="206">
        <f t="shared" si="39"/>
        <v>162.225</v>
      </c>
      <c r="I59" s="206">
        <f t="shared" si="39"/>
        <v>162.225</v>
      </c>
      <c r="J59" s="207">
        <f>SUMIFS('08-21addition'!$L:$L,'08-21addition'!$B:$B,J$38,'08-21addition'!$A:$A,'Biomass&amp;MSW'!$A60)*10+SUMIFS('08-21addition'!$E:$E,'08-21addition'!$B:$B,J$38,'08-21addition'!$A:$A,'Biomass&amp;MSW'!$A60)*10</f>
        <v>0</v>
      </c>
      <c r="K59" s="207">
        <f>SUMIFS('08-21addition'!$L:$L,'08-21addition'!$B:$B,K$38,'08-21addition'!$A:$A,'Biomass&amp;MSW'!$A60)*10+SUMIFS('08-21addition'!$E:$E,'08-21addition'!$B:$B,K$38,'08-21addition'!$A:$A,'Biomass&amp;MSW'!$A60)*10</f>
        <v>0</v>
      </c>
      <c r="L59" s="207">
        <f>SUMIFS('08-21addition'!$L:$L,'08-21addition'!$B:$B,L$38,'08-21addition'!$A:$A,'Biomass&amp;MSW'!$A60)*10+SUMIFS('08-21addition'!$E:$E,'08-21addition'!$B:$B,L$38,'08-21addition'!$A:$A,'Biomass&amp;MSW'!$A60)*10</f>
        <v>0</v>
      </c>
      <c r="M59" s="207">
        <f>SUMIFS('08-21addition'!$L:$L,'08-21addition'!$B:$B,M$38,'08-21addition'!$A:$A,'Biomass&amp;MSW'!$A60)*10+SUMIFS('08-21addition'!$E:$E,'08-21addition'!$B:$B,M$38,'08-21addition'!$A:$A,'Biomass&amp;MSW'!$A60)*10</f>
        <v>0</v>
      </c>
      <c r="N59" s="207">
        <f>SUMIFS('08-21addition'!$L:$L,'08-21addition'!$B:$B,N$38,'08-21addition'!$A:$A,'Biomass&amp;MSW'!$A60)*10+SUMIFS('08-21addition'!$E:$E,'08-21addition'!$B:$B,N$38,'08-21addition'!$A:$A,'Biomass&amp;MSW'!$A60)*10</f>
        <v>0</v>
      </c>
      <c r="O59" s="207">
        <f>SUMIFS('08-21addition'!$L:$L,'08-21addition'!$B:$B,O$38,'08-21addition'!$A:$A,'Biomass&amp;MSW'!$A60)*10+SUMIFS('08-21addition'!$E:$E,'08-21addition'!$B:$B,O$38,'08-21addition'!$A:$A,'Biomass&amp;MSW'!$A60)*10</f>
        <v>0</v>
      </c>
      <c r="P59" s="207">
        <f>SUMIFS('08-21addition'!$L:$L,'08-21addition'!$B:$B,P$38,'08-21addition'!$A:$A,'Biomass&amp;MSW'!$A60)*10+SUMIFS('08-21addition'!$E:$E,'08-21addition'!$B:$B,P$38,'08-21addition'!$A:$A,'Biomass&amp;MSW'!$A60)*10</f>
        <v>0</v>
      </c>
      <c r="Q59" s="207">
        <f>SUMIFS('08-21addition'!$L:$L,'08-21addition'!$B:$B,Q$38,'08-21addition'!$A:$A,'Biomass&amp;MSW'!$A60)*10+SUMIFS('08-21addition'!$E:$E,'08-21addition'!$B:$B,Q$38,'08-21addition'!$A:$A,'Biomass&amp;MSW'!$A60)*10</f>
        <v>0</v>
      </c>
      <c r="R59" s="207">
        <f>SUMIFS('08-21addition'!$L:$L,'08-21addition'!$B:$B,R$38,'08-21addition'!$A:$A,'Biomass&amp;MSW'!$A60)*10+SUMIFS('08-21addition'!$E:$E,'08-21addition'!$B:$B,R$38,'08-21addition'!$A:$A,'Biomass&amp;MSW'!$A60)*10</f>
        <v>0</v>
      </c>
      <c r="S59" s="207">
        <f>SUMIFS('08-21addition'!$L:$L,'08-21addition'!$B:$B,S$38,'08-21addition'!$A:$A,'Biomass&amp;MSW'!$A60)*10+SUMIFS('08-21addition'!$E:$E,'08-21addition'!$B:$B,S$38,'08-21addition'!$A:$A,'Biomass&amp;MSW'!$A60)*10</f>
        <v>0</v>
      </c>
      <c r="T59" s="207">
        <f>SUMIFS('08-21addition'!$L:$L,'08-21addition'!$B:$B,T$38,'08-21addition'!$A:$A,'Biomass&amp;MSW'!$A60)*10+SUMIFS('08-21addition'!$E:$E,'08-21addition'!$B:$B,T$38,'08-21addition'!$A:$A,'Biomass&amp;MSW'!$A60)*10</f>
        <v>0</v>
      </c>
      <c r="U59" s="207">
        <f>SUMIFS('08-21addition'!$L:$L,'08-21addition'!$B:$B,U$38,'08-21addition'!$A:$A,'Biomass&amp;MSW'!$A60)*10+SUMIFS('08-21addition'!$E:$E,'08-21addition'!$B:$B,U$38,'08-21addition'!$A:$A,'Biomass&amp;MSW'!$A60)*10</f>
        <v>0</v>
      </c>
      <c r="V59" s="207">
        <f>SUMIFS('08-21addition'!$L:$L,'08-21addition'!$B:$B,V$38,'08-21addition'!$A:$A,'Biomass&amp;MSW'!$A60)*10+SUMIFS('08-21addition'!$E:$E,'08-21addition'!$B:$B,V$38,'08-21addition'!$A:$A,'Biomass&amp;MSW'!$A60)*10</f>
        <v>0</v>
      </c>
    </row>
    <row r="60" spans="1:22">
      <c r="A60" s="22" t="s">
        <v>122</v>
      </c>
      <c r="B60" s="206">
        <f t="shared" ref="B60:I60" si="40">(IFERROR((1-$AG25),0)*($C25+$E25))/8*10</f>
        <v>0</v>
      </c>
      <c r="C60" s="206">
        <f t="shared" si="40"/>
        <v>0</v>
      </c>
      <c r="D60" s="206">
        <f t="shared" si="40"/>
        <v>0</v>
      </c>
      <c r="E60" s="206">
        <f t="shared" si="40"/>
        <v>0</v>
      </c>
      <c r="F60" s="206">
        <f t="shared" si="40"/>
        <v>0</v>
      </c>
      <c r="G60" s="206">
        <f t="shared" si="40"/>
        <v>0</v>
      </c>
      <c r="H60" s="206">
        <f t="shared" si="40"/>
        <v>0</v>
      </c>
      <c r="I60" s="206">
        <f t="shared" si="40"/>
        <v>0</v>
      </c>
      <c r="J60" s="207">
        <f>SUMIFS('08-21addition'!$L:$L,'08-21addition'!$B:$B,J$38,'08-21addition'!$A:$A,'Biomass&amp;MSW'!$A61)*10+SUMIFS('08-21addition'!$E:$E,'08-21addition'!$B:$B,J$38,'08-21addition'!$A:$A,'Biomass&amp;MSW'!$A61)*10</f>
        <v>0</v>
      </c>
      <c r="K60" s="207">
        <f>SUMIFS('08-21addition'!$L:$L,'08-21addition'!$B:$B,K$38,'08-21addition'!$A:$A,'Biomass&amp;MSW'!$A61)*10+SUMIFS('08-21addition'!$E:$E,'08-21addition'!$B:$B,K$38,'08-21addition'!$A:$A,'Biomass&amp;MSW'!$A61)*10</f>
        <v>0</v>
      </c>
      <c r="L60" s="207">
        <f>SUMIFS('08-21addition'!$L:$L,'08-21addition'!$B:$B,L$38,'08-21addition'!$A:$A,'Biomass&amp;MSW'!$A61)*10+SUMIFS('08-21addition'!$E:$E,'08-21addition'!$B:$B,L$38,'08-21addition'!$A:$A,'Biomass&amp;MSW'!$A61)*10</f>
        <v>0</v>
      </c>
      <c r="M60" s="207">
        <f>SUMIFS('08-21addition'!$L:$L,'08-21addition'!$B:$B,M$38,'08-21addition'!$A:$A,'Biomass&amp;MSW'!$A61)*10+SUMIFS('08-21addition'!$E:$E,'08-21addition'!$B:$B,M$38,'08-21addition'!$A:$A,'Biomass&amp;MSW'!$A61)*10</f>
        <v>0</v>
      </c>
      <c r="N60" s="207">
        <f>SUMIFS('08-21addition'!$L:$L,'08-21addition'!$B:$B,N$38,'08-21addition'!$A:$A,'Biomass&amp;MSW'!$A61)*10+SUMIFS('08-21addition'!$E:$E,'08-21addition'!$B:$B,N$38,'08-21addition'!$A:$A,'Biomass&amp;MSW'!$A61)*10</f>
        <v>30</v>
      </c>
      <c r="O60" s="207">
        <f>SUMIFS('08-21addition'!$L:$L,'08-21addition'!$B:$B,O$38,'08-21addition'!$A:$A,'Biomass&amp;MSW'!$A61)*10+SUMIFS('08-21addition'!$E:$E,'08-21addition'!$B:$B,O$38,'08-21addition'!$A:$A,'Biomass&amp;MSW'!$A61)*10</f>
        <v>0</v>
      </c>
      <c r="P60" s="207">
        <f>SUMIFS('08-21addition'!$L:$L,'08-21addition'!$B:$B,P$38,'08-21addition'!$A:$A,'Biomass&amp;MSW'!$A61)*10+SUMIFS('08-21addition'!$E:$E,'08-21addition'!$B:$B,P$38,'08-21addition'!$A:$A,'Biomass&amp;MSW'!$A61)*10</f>
        <v>0</v>
      </c>
      <c r="Q60" s="207">
        <f>SUMIFS('08-21addition'!$L:$L,'08-21addition'!$B:$B,Q$38,'08-21addition'!$A:$A,'Biomass&amp;MSW'!$A61)*10+SUMIFS('08-21addition'!$E:$E,'08-21addition'!$B:$B,Q$38,'08-21addition'!$A:$A,'Biomass&amp;MSW'!$A61)*10</f>
        <v>0</v>
      </c>
      <c r="R60" s="207">
        <f>SUMIFS('08-21addition'!$L:$L,'08-21addition'!$B:$B,R$38,'08-21addition'!$A:$A,'Biomass&amp;MSW'!$A61)*10+SUMIFS('08-21addition'!$E:$E,'08-21addition'!$B:$B,R$38,'08-21addition'!$A:$A,'Biomass&amp;MSW'!$A61)*10</f>
        <v>30</v>
      </c>
      <c r="S60" s="207">
        <f>SUMIFS('08-21addition'!$L:$L,'08-21addition'!$B:$B,S$38,'08-21addition'!$A:$A,'Biomass&amp;MSW'!$A61)*10+SUMIFS('08-21addition'!$E:$E,'08-21addition'!$B:$B,S$38,'08-21addition'!$A:$A,'Biomass&amp;MSW'!$A61)*10</f>
        <v>0</v>
      </c>
      <c r="T60" s="207">
        <f>SUMIFS('08-21addition'!$L:$L,'08-21addition'!$B:$B,T$38,'08-21addition'!$A:$A,'Biomass&amp;MSW'!$A61)*10+SUMIFS('08-21addition'!$E:$E,'08-21addition'!$B:$B,T$38,'08-21addition'!$A:$A,'Biomass&amp;MSW'!$A61)*10</f>
        <v>0</v>
      </c>
      <c r="U60" s="207">
        <f>SUMIFS('08-21addition'!$L:$L,'08-21addition'!$B:$B,U$38,'08-21addition'!$A:$A,'Biomass&amp;MSW'!$A61)*10+SUMIFS('08-21addition'!$E:$E,'08-21addition'!$B:$B,U$38,'08-21addition'!$A:$A,'Biomass&amp;MSW'!$A61)*10</f>
        <v>0</v>
      </c>
      <c r="V60" s="207">
        <f>SUMIFS('08-21addition'!$L:$L,'08-21addition'!$B:$B,V$38,'08-21addition'!$A:$A,'Biomass&amp;MSW'!$A61)*10+SUMIFS('08-21addition'!$E:$E,'08-21addition'!$B:$B,V$38,'08-21addition'!$A:$A,'Biomass&amp;MSW'!$A61)*10</f>
        <v>0</v>
      </c>
    </row>
    <row r="61" spans="1:22">
      <c r="A61" s="22" t="s">
        <v>124</v>
      </c>
      <c r="B61" s="206">
        <f t="shared" ref="B61:I61" si="41">(IFERROR((1-$AG26),0)*($C26+$E26))/8*10</f>
        <v>1.25</v>
      </c>
      <c r="C61" s="206">
        <f t="shared" si="41"/>
        <v>1.25</v>
      </c>
      <c r="D61" s="206">
        <f t="shared" si="41"/>
        <v>1.25</v>
      </c>
      <c r="E61" s="206">
        <f t="shared" si="41"/>
        <v>1.25</v>
      </c>
      <c r="F61" s="206">
        <f t="shared" si="41"/>
        <v>1.25</v>
      </c>
      <c r="G61" s="206">
        <f t="shared" si="41"/>
        <v>1.25</v>
      </c>
      <c r="H61" s="206">
        <f t="shared" si="41"/>
        <v>1.25</v>
      </c>
      <c r="I61" s="206">
        <f t="shared" si="41"/>
        <v>1.25</v>
      </c>
      <c r="J61" s="207">
        <f>SUMIFS('08-21addition'!$L:$L,'08-21addition'!$B:$B,J$38,'08-21addition'!$A:$A,'Biomass&amp;MSW'!$A62)*10+SUMIFS('08-21addition'!$E:$E,'08-21addition'!$B:$B,J$38,'08-21addition'!$A:$A,'Biomass&amp;MSW'!$A62)*10</f>
        <v>0</v>
      </c>
      <c r="K61" s="207">
        <f>SUMIFS('08-21addition'!$L:$L,'08-21addition'!$B:$B,K$38,'08-21addition'!$A:$A,'Biomass&amp;MSW'!$A62)*10+SUMIFS('08-21addition'!$E:$E,'08-21addition'!$B:$B,K$38,'08-21addition'!$A:$A,'Biomass&amp;MSW'!$A62)*10</f>
        <v>0</v>
      </c>
      <c r="L61" s="207">
        <f>SUMIFS('08-21addition'!$L:$L,'08-21addition'!$B:$B,L$38,'08-21addition'!$A:$A,'Biomass&amp;MSW'!$A62)*10+SUMIFS('08-21addition'!$E:$E,'08-21addition'!$B:$B,L$38,'08-21addition'!$A:$A,'Biomass&amp;MSW'!$A62)*10</f>
        <v>0</v>
      </c>
      <c r="M61" s="207">
        <f>SUMIFS('08-21addition'!$L:$L,'08-21addition'!$B:$B,M$38,'08-21addition'!$A:$A,'Biomass&amp;MSW'!$A62)*10+SUMIFS('08-21addition'!$E:$E,'08-21addition'!$B:$B,M$38,'08-21addition'!$A:$A,'Biomass&amp;MSW'!$A62)*10</f>
        <v>0</v>
      </c>
      <c r="N61" s="207">
        <f>SUMIFS('08-21addition'!$L:$L,'08-21addition'!$B:$B,N$38,'08-21addition'!$A:$A,'Biomass&amp;MSW'!$A62)*10+SUMIFS('08-21addition'!$E:$E,'08-21addition'!$B:$B,N$38,'08-21addition'!$A:$A,'Biomass&amp;MSW'!$A62)*10</f>
        <v>0</v>
      </c>
      <c r="O61" s="207">
        <f>SUMIFS('08-21addition'!$L:$L,'08-21addition'!$B:$B,O$38,'08-21addition'!$A:$A,'Biomass&amp;MSW'!$A62)*10+SUMIFS('08-21addition'!$E:$E,'08-21addition'!$B:$B,O$38,'08-21addition'!$A:$A,'Biomass&amp;MSW'!$A62)*10</f>
        <v>0</v>
      </c>
      <c r="P61" s="207">
        <f>SUMIFS('08-21addition'!$L:$L,'08-21addition'!$B:$B,P$38,'08-21addition'!$A:$A,'Biomass&amp;MSW'!$A62)*10+SUMIFS('08-21addition'!$E:$E,'08-21addition'!$B:$B,P$38,'08-21addition'!$A:$A,'Biomass&amp;MSW'!$A62)*10</f>
        <v>0</v>
      </c>
      <c r="Q61" s="207">
        <f>SUMIFS('08-21addition'!$L:$L,'08-21addition'!$B:$B,Q$38,'08-21addition'!$A:$A,'Biomass&amp;MSW'!$A62)*10+SUMIFS('08-21addition'!$E:$E,'08-21addition'!$B:$B,Q$38,'08-21addition'!$A:$A,'Biomass&amp;MSW'!$A62)*10</f>
        <v>3</v>
      </c>
      <c r="R61" s="207">
        <f>SUMIFS('08-21addition'!$L:$L,'08-21addition'!$B:$B,R$38,'08-21addition'!$A:$A,'Biomass&amp;MSW'!$A62)*10+SUMIFS('08-21addition'!$E:$E,'08-21addition'!$B:$B,R$38,'08-21addition'!$A:$A,'Biomass&amp;MSW'!$A62)*10</f>
        <v>0</v>
      </c>
      <c r="S61" s="207">
        <f>SUMIFS('08-21addition'!$L:$L,'08-21addition'!$B:$B,S$38,'08-21addition'!$A:$A,'Biomass&amp;MSW'!$A62)*10+SUMIFS('08-21addition'!$E:$E,'08-21addition'!$B:$B,S$38,'08-21addition'!$A:$A,'Biomass&amp;MSW'!$A62)*10</f>
        <v>44.9</v>
      </c>
      <c r="T61" s="207">
        <f>SUMIFS('08-21addition'!$L:$L,'08-21addition'!$B:$B,T$38,'08-21addition'!$A:$A,'Biomass&amp;MSW'!$A62)*10+SUMIFS('08-21addition'!$E:$E,'08-21addition'!$B:$B,T$38,'08-21addition'!$A:$A,'Biomass&amp;MSW'!$A62)*10</f>
        <v>60</v>
      </c>
      <c r="U61" s="207">
        <f>SUMIFS('08-21addition'!$L:$L,'08-21addition'!$B:$B,U$38,'08-21addition'!$A:$A,'Biomass&amp;MSW'!$A62)*10+SUMIFS('08-21addition'!$E:$E,'08-21addition'!$B:$B,U$38,'08-21addition'!$A:$A,'Biomass&amp;MSW'!$A62)*10</f>
        <v>30</v>
      </c>
      <c r="V61" s="207">
        <f>SUMIFS('08-21addition'!$L:$L,'08-21addition'!$B:$B,V$38,'08-21addition'!$A:$A,'Biomass&amp;MSW'!$A62)*10+SUMIFS('08-21addition'!$E:$E,'08-21addition'!$B:$B,V$38,'08-21addition'!$A:$A,'Biomass&amp;MSW'!$A62)*10</f>
        <v>0</v>
      </c>
    </row>
    <row r="62" spans="1:22">
      <c r="A62" s="22" t="s">
        <v>126</v>
      </c>
      <c r="B62" s="206">
        <f t="shared" ref="B62:I62" si="42">(IFERROR((1-$AG27),0)*($C27+$E27))/8*10</f>
        <v>3.375</v>
      </c>
      <c r="C62" s="206">
        <f t="shared" si="42"/>
        <v>3.375</v>
      </c>
      <c r="D62" s="206">
        <f t="shared" si="42"/>
        <v>3.375</v>
      </c>
      <c r="E62" s="206">
        <f t="shared" si="42"/>
        <v>3.375</v>
      </c>
      <c r="F62" s="206">
        <f t="shared" si="42"/>
        <v>3.375</v>
      </c>
      <c r="G62" s="206">
        <f t="shared" si="42"/>
        <v>3.375</v>
      </c>
      <c r="H62" s="206">
        <f t="shared" si="42"/>
        <v>3.375</v>
      </c>
      <c r="I62" s="206">
        <f t="shared" si="42"/>
        <v>3.375</v>
      </c>
      <c r="J62" s="207">
        <f>SUMIFS('08-21addition'!$L:$L,'08-21addition'!$B:$B,J$38,'08-21addition'!$A:$A,'Biomass&amp;MSW'!$A63)*10+SUMIFS('08-21addition'!$E:$E,'08-21addition'!$B:$B,J$38,'08-21addition'!$A:$A,'Biomass&amp;MSW'!$A63)*10</f>
        <v>0</v>
      </c>
      <c r="K62" s="207">
        <f>SUMIFS('08-21addition'!$L:$L,'08-21addition'!$B:$B,K$38,'08-21addition'!$A:$A,'Biomass&amp;MSW'!$A63)*10+SUMIFS('08-21addition'!$E:$E,'08-21addition'!$B:$B,K$38,'08-21addition'!$A:$A,'Biomass&amp;MSW'!$A63)*10</f>
        <v>0</v>
      </c>
      <c r="L62" s="207">
        <f>SUMIFS('08-21addition'!$L:$L,'08-21addition'!$B:$B,L$38,'08-21addition'!$A:$A,'Biomass&amp;MSW'!$A63)*10+SUMIFS('08-21addition'!$E:$E,'08-21addition'!$B:$B,L$38,'08-21addition'!$A:$A,'Biomass&amp;MSW'!$A63)*10</f>
        <v>0</v>
      </c>
      <c r="M62" s="207">
        <f>SUMIFS('08-21addition'!$L:$L,'08-21addition'!$B:$B,M$38,'08-21addition'!$A:$A,'Biomass&amp;MSW'!$A63)*10+SUMIFS('08-21addition'!$E:$E,'08-21addition'!$B:$B,M$38,'08-21addition'!$A:$A,'Biomass&amp;MSW'!$A63)*10</f>
        <v>0</v>
      </c>
      <c r="N62" s="207">
        <f>SUMIFS('08-21addition'!$L:$L,'08-21addition'!$B:$B,N$38,'08-21addition'!$A:$A,'Biomass&amp;MSW'!$A63)*10+SUMIFS('08-21addition'!$E:$E,'08-21addition'!$B:$B,N$38,'08-21addition'!$A:$A,'Biomass&amp;MSW'!$A63)*10</f>
        <v>0</v>
      </c>
      <c r="O62" s="207">
        <f>SUMIFS('08-21addition'!$L:$L,'08-21addition'!$B:$B,O$38,'08-21addition'!$A:$A,'Biomass&amp;MSW'!$A63)*10+SUMIFS('08-21addition'!$E:$E,'08-21addition'!$B:$B,O$38,'08-21addition'!$A:$A,'Biomass&amp;MSW'!$A63)*10</f>
        <v>30</v>
      </c>
      <c r="P62" s="207">
        <f>SUMIFS('08-21addition'!$L:$L,'08-21addition'!$B:$B,P$38,'08-21addition'!$A:$A,'Biomass&amp;MSW'!$A63)*10+SUMIFS('08-21addition'!$E:$E,'08-21addition'!$B:$B,P$38,'08-21addition'!$A:$A,'Biomass&amp;MSW'!$A63)*10</f>
        <v>0</v>
      </c>
      <c r="Q62" s="207">
        <f>SUMIFS('08-21addition'!$L:$L,'08-21addition'!$B:$B,Q$38,'08-21addition'!$A:$A,'Biomass&amp;MSW'!$A63)*10+SUMIFS('08-21addition'!$E:$E,'08-21addition'!$B:$B,Q$38,'08-21addition'!$A:$A,'Biomass&amp;MSW'!$A63)*10</f>
        <v>0</v>
      </c>
      <c r="R62" s="207">
        <f>SUMIFS('08-21addition'!$L:$L,'08-21addition'!$B:$B,R$38,'08-21addition'!$A:$A,'Biomass&amp;MSW'!$A63)*10+SUMIFS('08-21addition'!$E:$E,'08-21addition'!$B:$B,R$38,'08-21addition'!$A:$A,'Biomass&amp;MSW'!$A63)*10</f>
        <v>0</v>
      </c>
      <c r="S62" s="207">
        <f>SUMIFS('08-21addition'!$L:$L,'08-21addition'!$B:$B,S$38,'08-21addition'!$A:$A,'Biomass&amp;MSW'!$A63)*10+SUMIFS('08-21addition'!$E:$E,'08-21addition'!$B:$B,S$38,'08-21addition'!$A:$A,'Biomass&amp;MSW'!$A63)*10</f>
        <v>0</v>
      </c>
      <c r="T62" s="207">
        <f>SUMIFS('08-21addition'!$L:$L,'08-21addition'!$B:$B,T$38,'08-21addition'!$A:$A,'Biomass&amp;MSW'!$A63)*10+SUMIFS('08-21addition'!$E:$E,'08-21addition'!$B:$B,T$38,'08-21addition'!$A:$A,'Biomass&amp;MSW'!$A63)*10</f>
        <v>0</v>
      </c>
      <c r="U62" s="207">
        <f>SUMIFS('08-21addition'!$L:$L,'08-21addition'!$B:$B,U$38,'08-21addition'!$A:$A,'Biomass&amp;MSW'!$A63)*10+SUMIFS('08-21addition'!$E:$E,'08-21addition'!$B:$B,U$38,'08-21addition'!$A:$A,'Biomass&amp;MSW'!$A63)*10</f>
        <v>0</v>
      </c>
      <c r="V62" s="207">
        <f>SUMIFS('08-21addition'!$L:$L,'08-21addition'!$B:$B,V$38,'08-21addition'!$A:$A,'Biomass&amp;MSW'!$A63)*10+SUMIFS('08-21addition'!$E:$E,'08-21addition'!$B:$B,V$38,'08-21addition'!$A:$A,'Biomass&amp;MSW'!$A63)*10</f>
        <v>0</v>
      </c>
    </row>
    <row r="63" spans="1:22">
      <c r="A63" s="22" t="s">
        <v>128</v>
      </c>
      <c r="B63" s="206">
        <f t="shared" ref="B63:I63" si="43">(IFERROR((1-$AG28),0)*($C28+$E28))/8*10</f>
        <v>3.75</v>
      </c>
      <c r="C63" s="206">
        <f t="shared" si="43"/>
        <v>3.75</v>
      </c>
      <c r="D63" s="206">
        <f t="shared" si="43"/>
        <v>3.75</v>
      </c>
      <c r="E63" s="206">
        <f t="shared" si="43"/>
        <v>3.75</v>
      </c>
      <c r="F63" s="206">
        <f t="shared" si="43"/>
        <v>3.75</v>
      </c>
      <c r="G63" s="206">
        <f t="shared" si="43"/>
        <v>3.75</v>
      </c>
      <c r="H63" s="206">
        <f t="shared" si="43"/>
        <v>3.75</v>
      </c>
      <c r="I63" s="206">
        <f t="shared" si="43"/>
        <v>3.75</v>
      </c>
      <c r="J63" s="207">
        <f>SUMIFS('08-21addition'!$L:$L,'08-21addition'!$B:$B,J$38,'08-21addition'!$A:$A,'Biomass&amp;MSW'!$A64)*10+SUMIFS('08-21addition'!$E:$E,'08-21addition'!$B:$B,J$38,'08-21addition'!$A:$A,'Biomass&amp;MSW'!$A64)*10</f>
        <v>0.5</v>
      </c>
      <c r="K63" s="207">
        <f>SUMIFS('08-21addition'!$L:$L,'08-21addition'!$B:$B,K$38,'08-21addition'!$A:$A,'Biomass&amp;MSW'!$A64)*10+SUMIFS('08-21addition'!$E:$E,'08-21addition'!$B:$B,K$38,'08-21addition'!$A:$A,'Biomass&amp;MSW'!$A64)*10</f>
        <v>0</v>
      </c>
      <c r="L63" s="207">
        <f>SUMIFS('08-21addition'!$L:$L,'08-21addition'!$B:$B,L$38,'08-21addition'!$A:$A,'Biomass&amp;MSW'!$A64)*10+SUMIFS('08-21addition'!$E:$E,'08-21addition'!$B:$B,L$38,'08-21addition'!$A:$A,'Biomass&amp;MSW'!$A64)*10</f>
        <v>0</v>
      </c>
      <c r="M63" s="207">
        <f>SUMIFS('08-21addition'!$L:$L,'08-21addition'!$B:$B,M$38,'08-21addition'!$A:$A,'Biomass&amp;MSW'!$A64)*10+SUMIFS('08-21addition'!$E:$E,'08-21addition'!$B:$B,M$38,'08-21addition'!$A:$A,'Biomass&amp;MSW'!$A64)*10</f>
        <v>0</v>
      </c>
      <c r="N63" s="207">
        <f>SUMIFS('08-21addition'!$L:$L,'08-21addition'!$B:$B,N$38,'08-21addition'!$A:$A,'Biomass&amp;MSW'!$A64)*10+SUMIFS('08-21addition'!$E:$E,'08-21addition'!$B:$B,N$38,'08-21addition'!$A:$A,'Biomass&amp;MSW'!$A64)*10</f>
        <v>0</v>
      </c>
      <c r="O63" s="207">
        <f>SUMIFS('08-21addition'!$L:$L,'08-21addition'!$B:$B,O$38,'08-21addition'!$A:$A,'Biomass&amp;MSW'!$A64)*10+SUMIFS('08-21addition'!$E:$E,'08-21addition'!$B:$B,O$38,'08-21addition'!$A:$A,'Biomass&amp;MSW'!$A64)*10</f>
        <v>0</v>
      </c>
      <c r="P63" s="207">
        <f>SUMIFS('08-21addition'!$L:$L,'08-21addition'!$B:$B,P$38,'08-21addition'!$A:$A,'Biomass&amp;MSW'!$A64)*10+SUMIFS('08-21addition'!$E:$E,'08-21addition'!$B:$B,P$38,'08-21addition'!$A:$A,'Biomass&amp;MSW'!$A64)*10</f>
        <v>0</v>
      </c>
      <c r="Q63" s="207">
        <f>SUMIFS('08-21addition'!$L:$L,'08-21addition'!$B:$B,Q$38,'08-21addition'!$A:$A,'Biomass&amp;MSW'!$A64)*10+SUMIFS('08-21addition'!$E:$E,'08-21addition'!$B:$B,Q$38,'08-21addition'!$A:$A,'Biomass&amp;MSW'!$A64)*10</f>
        <v>0</v>
      </c>
      <c r="R63" s="207">
        <f>SUMIFS('08-21addition'!$L:$L,'08-21addition'!$B:$B,R$38,'08-21addition'!$A:$A,'Biomass&amp;MSW'!$A64)*10+SUMIFS('08-21addition'!$E:$E,'08-21addition'!$B:$B,R$38,'08-21addition'!$A:$A,'Biomass&amp;MSW'!$A64)*10</f>
        <v>0</v>
      </c>
      <c r="S63" s="207">
        <f>SUMIFS('08-21addition'!$L:$L,'08-21addition'!$B:$B,S$38,'08-21addition'!$A:$A,'Biomass&amp;MSW'!$A64)*10+SUMIFS('08-21addition'!$E:$E,'08-21addition'!$B:$B,S$38,'08-21addition'!$A:$A,'Biomass&amp;MSW'!$A64)*10</f>
        <v>0</v>
      </c>
      <c r="T63" s="207">
        <f>SUMIFS('08-21addition'!$L:$L,'08-21addition'!$B:$B,T$38,'08-21addition'!$A:$A,'Biomass&amp;MSW'!$A64)*10+SUMIFS('08-21addition'!$E:$E,'08-21addition'!$B:$B,T$38,'08-21addition'!$A:$A,'Biomass&amp;MSW'!$A64)*10</f>
        <v>0</v>
      </c>
      <c r="U63" s="207">
        <f>SUMIFS('08-21addition'!$L:$L,'08-21addition'!$B:$B,U$38,'08-21addition'!$A:$A,'Biomass&amp;MSW'!$A64)*10+SUMIFS('08-21addition'!$E:$E,'08-21addition'!$B:$B,U$38,'08-21addition'!$A:$A,'Biomass&amp;MSW'!$A64)*10</f>
        <v>0</v>
      </c>
      <c r="V63" s="207">
        <f>SUMIFS('08-21addition'!$L:$L,'08-21addition'!$B:$B,V$38,'08-21addition'!$A:$A,'Biomass&amp;MSW'!$A64)*10+SUMIFS('08-21addition'!$E:$E,'08-21addition'!$B:$B,V$38,'08-21addition'!$A:$A,'Biomass&amp;MSW'!$A64)*10</f>
        <v>0</v>
      </c>
    </row>
    <row r="64" spans="1:22">
      <c r="A64" s="22" t="s">
        <v>130</v>
      </c>
      <c r="B64" s="206">
        <f t="shared" ref="B64:I64" si="44">(IFERROR((1-$AG29),0)*($C29+$E29))/8*10</f>
        <v>24.9375</v>
      </c>
      <c r="C64" s="206">
        <f t="shared" si="44"/>
        <v>24.9375</v>
      </c>
      <c r="D64" s="206">
        <f t="shared" si="44"/>
        <v>24.9375</v>
      </c>
      <c r="E64" s="206">
        <f t="shared" si="44"/>
        <v>24.9375</v>
      </c>
      <c r="F64" s="206">
        <f t="shared" si="44"/>
        <v>24.9375</v>
      </c>
      <c r="G64" s="206">
        <f t="shared" si="44"/>
        <v>24.9375</v>
      </c>
      <c r="H64" s="206">
        <f t="shared" si="44"/>
        <v>24.9375</v>
      </c>
      <c r="I64" s="206">
        <f t="shared" si="44"/>
        <v>24.9375</v>
      </c>
      <c r="J64" s="207">
        <f>SUMIFS('08-21addition'!$L:$L,'08-21addition'!$B:$B,J$38,'08-21addition'!$A:$A,'Biomass&amp;MSW'!$A65)*10+SUMIFS('08-21addition'!$E:$E,'08-21addition'!$B:$B,J$38,'08-21addition'!$A:$A,'Biomass&amp;MSW'!$A65)*10</f>
        <v>0</v>
      </c>
      <c r="K64" s="207">
        <f>SUMIFS('08-21addition'!$L:$L,'08-21addition'!$B:$B,K$38,'08-21addition'!$A:$A,'Biomass&amp;MSW'!$A65)*10+SUMIFS('08-21addition'!$E:$E,'08-21addition'!$B:$B,K$38,'08-21addition'!$A:$A,'Biomass&amp;MSW'!$A65)*10</f>
        <v>0</v>
      </c>
      <c r="L64" s="207">
        <f>SUMIFS('08-21addition'!$L:$L,'08-21addition'!$B:$B,L$38,'08-21addition'!$A:$A,'Biomass&amp;MSW'!$A65)*10+SUMIFS('08-21addition'!$E:$E,'08-21addition'!$B:$B,L$38,'08-21addition'!$A:$A,'Biomass&amp;MSW'!$A65)*10</f>
        <v>0</v>
      </c>
      <c r="M64" s="207">
        <f>SUMIFS('08-21addition'!$L:$L,'08-21addition'!$B:$B,M$38,'08-21addition'!$A:$A,'Biomass&amp;MSW'!$A65)*10+SUMIFS('08-21addition'!$E:$E,'08-21addition'!$B:$B,M$38,'08-21addition'!$A:$A,'Biomass&amp;MSW'!$A65)*10</f>
        <v>0</v>
      </c>
      <c r="N64" s="207">
        <f>SUMIFS('08-21addition'!$L:$L,'08-21addition'!$B:$B,N$38,'08-21addition'!$A:$A,'Biomass&amp;MSW'!$A65)*10+SUMIFS('08-21addition'!$E:$E,'08-21addition'!$B:$B,N$38,'08-21addition'!$A:$A,'Biomass&amp;MSW'!$A65)*10</f>
        <v>0</v>
      </c>
      <c r="O64" s="207">
        <f>SUMIFS('08-21addition'!$L:$L,'08-21addition'!$B:$B,O$38,'08-21addition'!$A:$A,'Biomass&amp;MSW'!$A65)*10+SUMIFS('08-21addition'!$E:$E,'08-21addition'!$B:$B,O$38,'08-21addition'!$A:$A,'Biomass&amp;MSW'!$A65)*10</f>
        <v>0</v>
      </c>
      <c r="P64" s="207">
        <f>SUMIFS('08-21addition'!$L:$L,'08-21addition'!$B:$B,P$38,'08-21addition'!$A:$A,'Biomass&amp;MSW'!$A65)*10+SUMIFS('08-21addition'!$E:$E,'08-21addition'!$B:$B,P$38,'08-21addition'!$A:$A,'Biomass&amp;MSW'!$A65)*10</f>
        <v>0</v>
      </c>
      <c r="Q64" s="207">
        <f>SUMIFS('08-21addition'!$L:$L,'08-21addition'!$B:$B,Q$38,'08-21addition'!$A:$A,'Biomass&amp;MSW'!$A65)*10+SUMIFS('08-21addition'!$E:$E,'08-21addition'!$B:$B,Q$38,'08-21addition'!$A:$A,'Biomass&amp;MSW'!$A65)*10</f>
        <v>0</v>
      </c>
      <c r="R64" s="207">
        <f>SUMIFS('08-21addition'!$L:$L,'08-21addition'!$B:$B,R$38,'08-21addition'!$A:$A,'Biomass&amp;MSW'!$A65)*10+SUMIFS('08-21addition'!$E:$E,'08-21addition'!$B:$B,R$38,'08-21addition'!$A:$A,'Biomass&amp;MSW'!$A65)*10</f>
        <v>0</v>
      </c>
      <c r="S64" s="207">
        <f>SUMIFS('08-21addition'!$L:$L,'08-21addition'!$B:$B,S$38,'08-21addition'!$A:$A,'Biomass&amp;MSW'!$A65)*10+SUMIFS('08-21addition'!$E:$E,'08-21addition'!$B:$B,S$38,'08-21addition'!$A:$A,'Biomass&amp;MSW'!$A65)*10</f>
        <v>0</v>
      </c>
      <c r="T64" s="207">
        <f>SUMIFS('08-21addition'!$L:$L,'08-21addition'!$B:$B,T$38,'08-21addition'!$A:$A,'Biomass&amp;MSW'!$A65)*10+SUMIFS('08-21addition'!$E:$E,'08-21addition'!$B:$B,T$38,'08-21addition'!$A:$A,'Biomass&amp;MSW'!$A65)*10</f>
        <v>0</v>
      </c>
      <c r="U64" s="207">
        <f>SUMIFS('08-21addition'!$L:$L,'08-21addition'!$B:$B,U$38,'08-21addition'!$A:$A,'Biomass&amp;MSW'!$A65)*10+SUMIFS('08-21addition'!$E:$E,'08-21addition'!$B:$B,U$38,'08-21addition'!$A:$A,'Biomass&amp;MSW'!$A65)*10</f>
        <v>0</v>
      </c>
      <c r="V64" s="207">
        <f>SUMIFS('08-21addition'!$L:$L,'08-21addition'!$B:$B,V$38,'08-21addition'!$A:$A,'Biomass&amp;MSW'!$A65)*10+SUMIFS('08-21addition'!$E:$E,'08-21addition'!$B:$B,V$38,'08-21addition'!$A:$A,'Biomass&amp;MSW'!$A65)*10</f>
        <v>0</v>
      </c>
    </row>
    <row r="65" spans="1:22">
      <c r="A65" s="22" t="s">
        <v>132</v>
      </c>
      <c r="B65" s="206">
        <f t="shared" ref="B65:I65" si="45">(IFERROR((1-$AG30),0)*($C30+$E30))/8*10</f>
        <v>0</v>
      </c>
      <c r="C65" s="206">
        <f t="shared" si="45"/>
        <v>0</v>
      </c>
      <c r="D65" s="206">
        <f t="shared" si="45"/>
        <v>0</v>
      </c>
      <c r="E65" s="206">
        <f t="shared" si="45"/>
        <v>0</v>
      </c>
      <c r="F65" s="206">
        <f t="shared" si="45"/>
        <v>0</v>
      </c>
      <c r="G65" s="206">
        <f t="shared" si="45"/>
        <v>0</v>
      </c>
      <c r="H65" s="206">
        <f t="shared" si="45"/>
        <v>0</v>
      </c>
      <c r="I65" s="206">
        <f t="shared" si="45"/>
        <v>0</v>
      </c>
      <c r="J65" s="207">
        <f>SUMIFS('08-21addition'!$L:$L,'08-21addition'!$B:$B,J$38,'08-21addition'!$A:$A,'Biomass&amp;MSW'!$A66)*10+SUMIFS('08-21addition'!$E:$E,'08-21addition'!$B:$B,J$38,'08-21addition'!$A:$A,'Biomass&amp;MSW'!$A66)*10</f>
        <v>0</v>
      </c>
      <c r="K65" s="207">
        <f>SUMIFS('08-21addition'!$L:$L,'08-21addition'!$B:$B,K$38,'08-21addition'!$A:$A,'Biomass&amp;MSW'!$A66)*10+SUMIFS('08-21addition'!$E:$E,'08-21addition'!$B:$B,K$38,'08-21addition'!$A:$A,'Biomass&amp;MSW'!$A66)*10</f>
        <v>0</v>
      </c>
      <c r="L65" s="207">
        <f>SUMIFS('08-21addition'!$L:$L,'08-21addition'!$B:$B,L$38,'08-21addition'!$A:$A,'Biomass&amp;MSW'!$A66)*10+SUMIFS('08-21addition'!$E:$E,'08-21addition'!$B:$B,L$38,'08-21addition'!$A:$A,'Biomass&amp;MSW'!$A66)*10</f>
        <v>0</v>
      </c>
      <c r="M65" s="207">
        <f>SUMIFS('08-21addition'!$L:$L,'08-21addition'!$B:$B,M$38,'08-21addition'!$A:$A,'Biomass&amp;MSW'!$A66)*10+SUMIFS('08-21addition'!$E:$E,'08-21addition'!$B:$B,M$38,'08-21addition'!$A:$A,'Biomass&amp;MSW'!$A66)*10</f>
        <v>0</v>
      </c>
      <c r="N65" s="207">
        <f>SUMIFS('08-21addition'!$L:$L,'08-21addition'!$B:$B,N$38,'08-21addition'!$A:$A,'Biomass&amp;MSW'!$A66)*10+SUMIFS('08-21addition'!$E:$E,'08-21addition'!$B:$B,N$38,'08-21addition'!$A:$A,'Biomass&amp;MSW'!$A66)*10</f>
        <v>0</v>
      </c>
      <c r="O65" s="207">
        <f>SUMIFS('08-21addition'!$L:$L,'08-21addition'!$B:$B,O$38,'08-21addition'!$A:$A,'Biomass&amp;MSW'!$A66)*10+SUMIFS('08-21addition'!$E:$E,'08-21addition'!$B:$B,O$38,'08-21addition'!$A:$A,'Biomass&amp;MSW'!$A66)*10</f>
        <v>0</v>
      </c>
      <c r="P65" s="207">
        <f>SUMIFS('08-21addition'!$L:$L,'08-21addition'!$B:$B,P$38,'08-21addition'!$A:$A,'Biomass&amp;MSW'!$A66)*10+SUMIFS('08-21addition'!$E:$E,'08-21addition'!$B:$B,P$38,'08-21addition'!$A:$A,'Biomass&amp;MSW'!$A66)*10</f>
        <v>0</v>
      </c>
      <c r="Q65" s="207">
        <f>SUMIFS('08-21addition'!$L:$L,'08-21addition'!$B:$B,Q$38,'08-21addition'!$A:$A,'Biomass&amp;MSW'!$A66)*10+SUMIFS('08-21addition'!$E:$E,'08-21addition'!$B:$B,Q$38,'08-21addition'!$A:$A,'Biomass&amp;MSW'!$A66)*10</f>
        <v>0</v>
      </c>
      <c r="R65" s="207">
        <f>SUMIFS('08-21addition'!$L:$L,'08-21addition'!$B:$B,R$38,'08-21addition'!$A:$A,'Biomass&amp;MSW'!$A66)*10+SUMIFS('08-21addition'!$E:$E,'08-21addition'!$B:$B,R$38,'08-21addition'!$A:$A,'Biomass&amp;MSW'!$A66)*10</f>
        <v>30</v>
      </c>
      <c r="S65" s="207">
        <f>SUMIFS('08-21addition'!$L:$L,'08-21addition'!$B:$B,S$38,'08-21addition'!$A:$A,'Biomass&amp;MSW'!$A66)*10+SUMIFS('08-21addition'!$E:$E,'08-21addition'!$B:$B,S$38,'08-21addition'!$A:$A,'Biomass&amp;MSW'!$A66)*10</f>
        <v>0</v>
      </c>
      <c r="T65" s="207">
        <f>SUMIFS('08-21addition'!$L:$L,'08-21addition'!$B:$B,T$38,'08-21addition'!$A:$A,'Biomass&amp;MSW'!$A66)*10+SUMIFS('08-21addition'!$E:$E,'08-21addition'!$B:$B,T$38,'08-21addition'!$A:$A,'Biomass&amp;MSW'!$A66)*10</f>
        <v>40</v>
      </c>
      <c r="U65" s="207">
        <f>SUMIFS('08-21addition'!$L:$L,'08-21addition'!$B:$B,U$38,'08-21addition'!$A:$A,'Biomass&amp;MSW'!$A66)*10+SUMIFS('08-21addition'!$E:$E,'08-21addition'!$B:$B,U$38,'08-21addition'!$A:$A,'Biomass&amp;MSW'!$A66)*10</f>
        <v>0</v>
      </c>
      <c r="V65" s="207">
        <f>SUMIFS('08-21addition'!$L:$L,'08-21addition'!$B:$B,V$38,'08-21addition'!$A:$A,'Biomass&amp;MSW'!$A66)*10+SUMIFS('08-21addition'!$E:$E,'08-21addition'!$B:$B,V$38,'08-21addition'!$A:$A,'Biomass&amp;MSW'!$A66)*10</f>
        <v>40</v>
      </c>
    </row>
    <row r="66" spans="1:22">
      <c r="A66" s="22" t="s">
        <v>134</v>
      </c>
      <c r="B66" s="206">
        <f t="shared" ref="B66:I66" si="46">(IFERROR((1-$AG31),0)*($C31+$E31))/8*10</f>
        <v>0</v>
      </c>
      <c r="C66" s="206">
        <f t="shared" si="46"/>
        <v>0</v>
      </c>
      <c r="D66" s="206">
        <f t="shared" si="46"/>
        <v>0</v>
      </c>
      <c r="E66" s="206">
        <f t="shared" si="46"/>
        <v>0</v>
      </c>
      <c r="F66" s="206">
        <f t="shared" si="46"/>
        <v>0</v>
      </c>
      <c r="G66" s="206">
        <f t="shared" si="46"/>
        <v>0</v>
      </c>
      <c r="H66" s="206">
        <f t="shared" si="46"/>
        <v>0</v>
      </c>
      <c r="I66" s="206">
        <f t="shared" si="46"/>
        <v>0</v>
      </c>
      <c r="J66" s="207">
        <f>SUMIFS('08-21addition'!$L:$L,'08-21addition'!$B:$B,J$38,'08-21addition'!$A:$A,'Biomass&amp;MSW'!$A67)*10+SUMIFS('08-21addition'!$E:$E,'08-21addition'!$B:$B,J$38,'08-21addition'!$A:$A,'Biomass&amp;MSW'!$A67)*10</f>
        <v>0</v>
      </c>
      <c r="K66" s="207">
        <f>SUMIFS('08-21addition'!$L:$L,'08-21addition'!$B:$B,K$38,'08-21addition'!$A:$A,'Biomass&amp;MSW'!$A67)*10+SUMIFS('08-21addition'!$E:$E,'08-21addition'!$B:$B,K$38,'08-21addition'!$A:$A,'Biomass&amp;MSW'!$A67)*10</f>
        <v>0</v>
      </c>
      <c r="L66" s="207">
        <f>SUMIFS('08-21addition'!$L:$L,'08-21addition'!$B:$B,L$38,'08-21addition'!$A:$A,'Biomass&amp;MSW'!$A67)*10+SUMIFS('08-21addition'!$E:$E,'08-21addition'!$B:$B,L$38,'08-21addition'!$A:$A,'Biomass&amp;MSW'!$A67)*10</f>
        <v>0</v>
      </c>
      <c r="M66" s="207">
        <f>SUMIFS('08-21addition'!$L:$L,'08-21addition'!$B:$B,M$38,'08-21addition'!$A:$A,'Biomass&amp;MSW'!$A67)*10+SUMIFS('08-21addition'!$E:$E,'08-21addition'!$B:$B,M$38,'08-21addition'!$A:$A,'Biomass&amp;MSW'!$A67)*10</f>
        <v>0</v>
      </c>
      <c r="N66" s="207">
        <f>SUMIFS('08-21addition'!$L:$L,'08-21addition'!$B:$B,N$38,'08-21addition'!$A:$A,'Biomass&amp;MSW'!$A67)*10+SUMIFS('08-21addition'!$E:$E,'08-21addition'!$B:$B,N$38,'08-21addition'!$A:$A,'Biomass&amp;MSW'!$A67)*10</f>
        <v>0</v>
      </c>
      <c r="O66" s="207">
        <f>SUMIFS('08-21addition'!$L:$L,'08-21addition'!$B:$B,O$38,'08-21addition'!$A:$A,'Biomass&amp;MSW'!$A67)*10+SUMIFS('08-21addition'!$E:$E,'08-21addition'!$B:$B,O$38,'08-21addition'!$A:$A,'Biomass&amp;MSW'!$A67)*10</f>
        <v>30</v>
      </c>
      <c r="P66" s="207">
        <f>SUMIFS('08-21addition'!$L:$L,'08-21addition'!$B:$B,P$38,'08-21addition'!$A:$A,'Biomass&amp;MSW'!$A67)*10+SUMIFS('08-21addition'!$E:$E,'08-21addition'!$B:$B,P$38,'08-21addition'!$A:$A,'Biomass&amp;MSW'!$A67)*10</f>
        <v>0</v>
      </c>
      <c r="Q66" s="207">
        <f>SUMIFS('08-21addition'!$L:$L,'08-21addition'!$B:$B,Q$38,'08-21addition'!$A:$A,'Biomass&amp;MSW'!$A67)*10+SUMIFS('08-21addition'!$E:$E,'08-21addition'!$B:$B,Q$38,'08-21addition'!$A:$A,'Biomass&amp;MSW'!$A67)*10</f>
        <v>0</v>
      </c>
      <c r="R66" s="207">
        <f>SUMIFS('08-21addition'!$L:$L,'08-21addition'!$B:$B,R$38,'08-21addition'!$A:$A,'Biomass&amp;MSW'!$A67)*10+SUMIFS('08-21addition'!$E:$E,'08-21addition'!$B:$B,R$38,'08-21addition'!$A:$A,'Biomass&amp;MSW'!$A67)*10</f>
        <v>0</v>
      </c>
      <c r="S66" s="207">
        <f>SUMIFS('08-21addition'!$L:$L,'08-21addition'!$B:$B,S$38,'08-21addition'!$A:$A,'Biomass&amp;MSW'!$A67)*10+SUMIFS('08-21addition'!$E:$E,'08-21addition'!$B:$B,S$38,'08-21addition'!$A:$A,'Biomass&amp;MSW'!$A67)*10</f>
        <v>0</v>
      </c>
      <c r="T66" s="207">
        <f>SUMIFS('08-21addition'!$L:$L,'08-21addition'!$B:$B,T$38,'08-21addition'!$A:$A,'Biomass&amp;MSW'!$A67)*10+SUMIFS('08-21addition'!$E:$E,'08-21addition'!$B:$B,T$38,'08-21addition'!$A:$A,'Biomass&amp;MSW'!$A67)*10</f>
        <v>0</v>
      </c>
      <c r="U66" s="207">
        <f>SUMIFS('08-21addition'!$L:$L,'08-21addition'!$B:$B,U$38,'08-21addition'!$A:$A,'Biomass&amp;MSW'!$A67)*10+SUMIFS('08-21addition'!$E:$E,'08-21addition'!$B:$B,U$38,'08-21addition'!$A:$A,'Biomass&amp;MSW'!$A67)*10</f>
        <v>30</v>
      </c>
      <c r="V66" s="207">
        <f>SUMIFS('08-21addition'!$L:$L,'08-21addition'!$B:$B,V$38,'08-21addition'!$A:$A,'Biomass&amp;MSW'!$A67)*10+SUMIFS('08-21addition'!$E:$E,'08-21addition'!$B:$B,V$38,'08-21addition'!$A:$A,'Biomass&amp;MSW'!$A67)*10</f>
        <v>0</v>
      </c>
    </row>
    <row r="67" spans="1:22">
      <c r="A67" s="22" t="s">
        <v>136</v>
      </c>
      <c r="B67" s="206">
        <f t="shared" ref="B67:I67" si="47">(IFERROR((1-$AG32),0)*($C32+$E32))/8*10</f>
        <v>0</v>
      </c>
      <c r="C67" s="206">
        <f t="shared" si="47"/>
        <v>0</v>
      </c>
      <c r="D67" s="206">
        <f t="shared" si="47"/>
        <v>0</v>
      </c>
      <c r="E67" s="206">
        <f t="shared" si="47"/>
        <v>0</v>
      </c>
      <c r="F67" s="206">
        <f t="shared" si="47"/>
        <v>0</v>
      </c>
      <c r="G67" s="206">
        <f t="shared" si="47"/>
        <v>0</v>
      </c>
      <c r="H67" s="206">
        <f t="shared" si="47"/>
        <v>0</v>
      </c>
      <c r="I67" s="206">
        <f t="shared" si="47"/>
        <v>0</v>
      </c>
      <c r="J67" s="207">
        <f>SUMIFS('08-21addition'!$L:$L,'08-21addition'!$B:$B,J$38,'08-21addition'!$A:$A,'Biomass&amp;MSW'!$A68)*10+SUMIFS('08-21addition'!$E:$E,'08-21addition'!$B:$B,J$38,'08-21addition'!$A:$A,'Biomass&amp;MSW'!$A68)*10</f>
        <v>0</v>
      </c>
      <c r="K67" s="207">
        <f>SUMIFS('08-21addition'!$L:$L,'08-21addition'!$B:$B,K$38,'08-21addition'!$A:$A,'Biomass&amp;MSW'!$A68)*10+SUMIFS('08-21addition'!$E:$E,'08-21addition'!$B:$B,K$38,'08-21addition'!$A:$A,'Biomass&amp;MSW'!$A68)*10</f>
        <v>0</v>
      </c>
      <c r="L67" s="207">
        <f>SUMIFS('08-21addition'!$L:$L,'08-21addition'!$B:$B,L$38,'08-21addition'!$A:$A,'Biomass&amp;MSW'!$A68)*10+SUMIFS('08-21addition'!$E:$E,'08-21addition'!$B:$B,L$38,'08-21addition'!$A:$A,'Biomass&amp;MSW'!$A68)*10</f>
        <v>0</v>
      </c>
      <c r="M67" s="207">
        <f>SUMIFS('08-21addition'!$L:$L,'08-21addition'!$B:$B,M$38,'08-21addition'!$A:$A,'Biomass&amp;MSW'!$A68)*10+SUMIFS('08-21addition'!$E:$E,'08-21addition'!$B:$B,M$38,'08-21addition'!$A:$A,'Biomass&amp;MSW'!$A68)*10</f>
        <v>0</v>
      </c>
      <c r="N67" s="207">
        <f>SUMIFS('08-21addition'!$L:$L,'08-21addition'!$B:$B,N$38,'08-21addition'!$A:$A,'Biomass&amp;MSW'!$A68)*10+SUMIFS('08-21addition'!$E:$E,'08-21addition'!$B:$B,N$38,'08-21addition'!$A:$A,'Biomass&amp;MSW'!$A68)*10</f>
        <v>0</v>
      </c>
      <c r="O67" s="207">
        <f>SUMIFS('08-21addition'!$L:$L,'08-21addition'!$B:$B,O$38,'08-21addition'!$A:$A,'Biomass&amp;MSW'!$A68)*10+SUMIFS('08-21addition'!$E:$E,'08-21addition'!$B:$B,O$38,'08-21addition'!$A:$A,'Biomass&amp;MSW'!$A68)*10</f>
        <v>0</v>
      </c>
      <c r="P67" s="207">
        <f>SUMIFS('08-21addition'!$L:$L,'08-21addition'!$B:$B,P$38,'08-21addition'!$A:$A,'Biomass&amp;MSW'!$A68)*10+SUMIFS('08-21addition'!$E:$E,'08-21addition'!$B:$B,P$38,'08-21addition'!$A:$A,'Biomass&amp;MSW'!$A68)*10</f>
        <v>0</v>
      </c>
      <c r="Q67" s="207">
        <f>SUMIFS('08-21addition'!$L:$L,'08-21addition'!$B:$B,Q$38,'08-21addition'!$A:$A,'Biomass&amp;MSW'!$A68)*10+SUMIFS('08-21addition'!$E:$E,'08-21addition'!$B:$B,Q$38,'08-21addition'!$A:$A,'Biomass&amp;MSW'!$A68)*10</f>
        <v>0</v>
      </c>
      <c r="R67" s="207">
        <f>SUMIFS('08-21addition'!$L:$L,'08-21addition'!$B:$B,R$38,'08-21addition'!$A:$A,'Biomass&amp;MSW'!$A68)*10+SUMIFS('08-21addition'!$E:$E,'08-21addition'!$B:$B,R$38,'08-21addition'!$A:$A,'Biomass&amp;MSW'!$A68)*10</f>
        <v>0</v>
      </c>
      <c r="S67" s="207">
        <f>SUMIFS('08-21addition'!$L:$L,'08-21addition'!$B:$B,S$38,'08-21addition'!$A:$A,'Biomass&amp;MSW'!$A68)*10+SUMIFS('08-21addition'!$E:$E,'08-21addition'!$B:$B,S$38,'08-21addition'!$A:$A,'Biomass&amp;MSW'!$A68)*10</f>
        <v>0</v>
      </c>
      <c r="T67" s="207">
        <f>SUMIFS('08-21addition'!$L:$L,'08-21addition'!$B:$B,T$38,'08-21addition'!$A:$A,'Biomass&amp;MSW'!$A68)*10+SUMIFS('08-21addition'!$E:$E,'08-21addition'!$B:$B,T$38,'08-21addition'!$A:$A,'Biomass&amp;MSW'!$A68)*10</f>
        <v>0</v>
      </c>
      <c r="U67" s="207">
        <f>SUMIFS('08-21addition'!$L:$L,'08-21addition'!$B:$B,U$38,'08-21addition'!$A:$A,'Biomass&amp;MSW'!$A68)*10+SUMIFS('08-21addition'!$E:$E,'08-21addition'!$B:$B,U$38,'08-21addition'!$A:$A,'Biomass&amp;MSW'!$A68)*10</f>
        <v>0</v>
      </c>
      <c r="V67" s="207">
        <f>SUMIFS('08-21addition'!$L:$L,'08-21addition'!$B:$B,V$38,'08-21addition'!$A:$A,'Biomass&amp;MSW'!$A68)*10+SUMIFS('08-21addition'!$E:$E,'08-21addition'!$B:$B,V$38,'08-21addition'!$A:$A,'Biomass&amp;MSW'!$A68)*10</f>
        <v>0</v>
      </c>
    </row>
    <row r="68" spans="1:22">
      <c r="A68" s="22" t="s">
        <v>138</v>
      </c>
      <c r="B68" s="206">
        <f t="shared" ref="B68:I68" si="48">(IFERROR((1-$AG33),0)*($C33+$E33))/8*10</f>
        <v>0</v>
      </c>
      <c r="C68" s="206">
        <f t="shared" si="48"/>
        <v>0</v>
      </c>
      <c r="D68" s="206">
        <f t="shared" si="48"/>
        <v>0</v>
      </c>
      <c r="E68" s="206">
        <f t="shared" si="48"/>
        <v>0</v>
      </c>
      <c r="F68" s="206">
        <f t="shared" si="48"/>
        <v>0</v>
      </c>
      <c r="G68" s="206">
        <f t="shared" si="48"/>
        <v>0</v>
      </c>
      <c r="H68" s="206">
        <f t="shared" si="48"/>
        <v>0</v>
      </c>
      <c r="I68" s="206">
        <f t="shared" si="48"/>
        <v>0</v>
      </c>
      <c r="J68" s="207">
        <f>SUMIFS('08-21addition'!$L:$L,'08-21addition'!$B:$B,J$38,'08-21addition'!$A:$A,'Biomass&amp;MSW'!$A69)*10+SUMIFS('08-21addition'!$E:$E,'08-21addition'!$B:$B,J$38,'08-21addition'!$A:$A,'Biomass&amp;MSW'!$A69)*10</f>
        <v>0</v>
      </c>
      <c r="K68" s="207">
        <f>SUMIFS('08-21addition'!$L:$L,'08-21addition'!$B:$B,K$38,'08-21addition'!$A:$A,'Biomass&amp;MSW'!$A69)*10+SUMIFS('08-21addition'!$E:$E,'08-21addition'!$B:$B,K$38,'08-21addition'!$A:$A,'Biomass&amp;MSW'!$A69)*10</f>
        <v>0</v>
      </c>
      <c r="L68" s="207">
        <f>SUMIFS('08-21addition'!$L:$L,'08-21addition'!$B:$B,L$38,'08-21addition'!$A:$A,'Biomass&amp;MSW'!$A69)*10+SUMIFS('08-21addition'!$E:$E,'08-21addition'!$B:$B,L$38,'08-21addition'!$A:$A,'Biomass&amp;MSW'!$A69)*10</f>
        <v>0</v>
      </c>
      <c r="M68" s="207">
        <f>SUMIFS('08-21addition'!$L:$L,'08-21addition'!$B:$B,M$38,'08-21addition'!$A:$A,'Biomass&amp;MSW'!$A69)*10+SUMIFS('08-21addition'!$E:$E,'08-21addition'!$B:$B,M$38,'08-21addition'!$A:$A,'Biomass&amp;MSW'!$A69)*10</f>
        <v>0</v>
      </c>
      <c r="N68" s="207">
        <f>SUMIFS('08-21addition'!$L:$L,'08-21addition'!$B:$B,N$38,'08-21addition'!$A:$A,'Biomass&amp;MSW'!$A69)*10+SUMIFS('08-21addition'!$E:$E,'08-21addition'!$B:$B,N$38,'08-21addition'!$A:$A,'Biomass&amp;MSW'!$A69)*10</f>
        <v>0</v>
      </c>
      <c r="O68" s="207">
        <f>SUMIFS('08-21addition'!$L:$L,'08-21addition'!$B:$B,O$38,'08-21addition'!$A:$A,'Biomass&amp;MSW'!$A69)*10+SUMIFS('08-21addition'!$E:$E,'08-21addition'!$B:$B,O$38,'08-21addition'!$A:$A,'Biomass&amp;MSW'!$A69)*10</f>
        <v>0</v>
      </c>
      <c r="P68" s="207">
        <f>SUMIFS('08-21addition'!$L:$L,'08-21addition'!$B:$B,P$38,'08-21addition'!$A:$A,'Biomass&amp;MSW'!$A69)*10+SUMIFS('08-21addition'!$E:$E,'08-21addition'!$B:$B,P$38,'08-21addition'!$A:$A,'Biomass&amp;MSW'!$A69)*10</f>
        <v>0</v>
      </c>
      <c r="Q68" s="207">
        <f>SUMIFS('08-21addition'!$L:$L,'08-21addition'!$B:$B,Q$38,'08-21addition'!$A:$A,'Biomass&amp;MSW'!$A69)*10+SUMIFS('08-21addition'!$E:$E,'08-21addition'!$B:$B,Q$38,'08-21addition'!$A:$A,'Biomass&amp;MSW'!$A69)*10</f>
        <v>0</v>
      </c>
      <c r="R68" s="207">
        <f>SUMIFS('08-21addition'!$L:$L,'08-21addition'!$B:$B,R$38,'08-21addition'!$A:$A,'Biomass&amp;MSW'!$A69)*10+SUMIFS('08-21addition'!$E:$E,'08-21addition'!$B:$B,R$38,'08-21addition'!$A:$A,'Biomass&amp;MSW'!$A69)*10</f>
        <v>0</v>
      </c>
      <c r="S68" s="207">
        <f>SUMIFS('08-21addition'!$L:$L,'08-21addition'!$B:$B,S$38,'08-21addition'!$A:$A,'Biomass&amp;MSW'!$A69)*10+SUMIFS('08-21addition'!$E:$E,'08-21addition'!$B:$B,S$38,'08-21addition'!$A:$A,'Biomass&amp;MSW'!$A69)*10</f>
        <v>0</v>
      </c>
      <c r="T68" s="207">
        <f>SUMIFS('08-21addition'!$L:$L,'08-21addition'!$B:$B,T$38,'08-21addition'!$A:$A,'Biomass&amp;MSW'!$A69)*10+SUMIFS('08-21addition'!$E:$E,'08-21addition'!$B:$B,T$38,'08-21addition'!$A:$A,'Biomass&amp;MSW'!$A69)*10</f>
        <v>0</v>
      </c>
      <c r="U68" s="207">
        <f>SUMIFS('08-21addition'!$L:$L,'08-21addition'!$B:$B,U$38,'08-21addition'!$A:$A,'Biomass&amp;MSW'!$A69)*10+SUMIFS('08-21addition'!$E:$E,'08-21addition'!$B:$B,U$38,'08-21addition'!$A:$A,'Biomass&amp;MSW'!$A69)*10</f>
        <v>0</v>
      </c>
      <c r="V68" s="207">
        <f>SUMIFS('08-21addition'!$L:$L,'08-21addition'!$B:$B,V$38,'08-21addition'!$A:$A,'Biomass&amp;MSW'!$A69)*10+SUMIFS('08-21addition'!$E:$E,'08-21addition'!$B:$B,V$38,'08-21addition'!$A:$A,'Biomass&amp;MSW'!$A69)*10</f>
        <v>0</v>
      </c>
    </row>
    <row r="69" spans="1:22">
      <c r="A69" s="22" t="s">
        <v>140</v>
      </c>
      <c r="B69" s="206">
        <f t="shared" ref="B69:I69" si="49">(IFERROR((1-$AG34),0)*($C34+$E34))/8*10</f>
        <v>6.25</v>
      </c>
      <c r="C69" s="206">
        <f t="shared" si="49"/>
        <v>6.25</v>
      </c>
      <c r="D69" s="206">
        <f t="shared" si="49"/>
        <v>6.25</v>
      </c>
      <c r="E69" s="206">
        <f t="shared" si="49"/>
        <v>6.25</v>
      </c>
      <c r="F69" s="206">
        <f t="shared" si="49"/>
        <v>6.25</v>
      </c>
      <c r="G69" s="206">
        <f t="shared" si="49"/>
        <v>6.25</v>
      </c>
      <c r="H69" s="206">
        <f t="shared" si="49"/>
        <v>6.25</v>
      </c>
      <c r="I69" s="206">
        <f t="shared" si="49"/>
        <v>6.25</v>
      </c>
      <c r="J69" s="207">
        <f>SUMIFS('08-21addition'!$L:$L,'08-21addition'!$B:$B,J$38,'08-21addition'!$A:$A,'Biomass&amp;MSW'!$A70)*10+SUMIFS('08-21addition'!$E:$E,'08-21addition'!$B:$B,J$38,'08-21addition'!$A:$A,'Biomass&amp;MSW'!$A70)*10</f>
        <v>0</v>
      </c>
      <c r="K69" s="207">
        <f>SUMIFS('08-21addition'!$L:$L,'08-21addition'!$B:$B,K$38,'08-21addition'!$A:$A,'Biomass&amp;MSW'!$A70)*10+SUMIFS('08-21addition'!$E:$E,'08-21addition'!$B:$B,K$38,'08-21addition'!$A:$A,'Biomass&amp;MSW'!$A70)*10</f>
        <v>0</v>
      </c>
      <c r="L69" s="207">
        <f>SUMIFS('08-21addition'!$L:$L,'08-21addition'!$B:$B,L$38,'08-21addition'!$A:$A,'Biomass&amp;MSW'!$A70)*10+SUMIFS('08-21addition'!$E:$E,'08-21addition'!$B:$B,L$38,'08-21addition'!$A:$A,'Biomass&amp;MSW'!$A70)*10</f>
        <v>0</v>
      </c>
      <c r="M69" s="207">
        <f>SUMIFS('08-21addition'!$L:$L,'08-21addition'!$B:$B,M$38,'08-21addition'!$A:$A,'Biomass&amp;MSW'!$A70)*10+SUMIFS('08-21addition'!$E:$E,'08-21addition'!$B:$B,M$38,'08-21addition'!$A:$A,'Biomass&amp;MSW'!$A70)*10</f>
        <v>0</v>
      </c>
      <c r="N69" s="207">
        <f>SUMIFS('08-21addition'!$L:$L,'08-21addition'!$B:$B,N$38,'08-21addition'!$A:$A,'Biomass&amp;MSW'!$A70)*10+SUMIFS('08-21addition'!$E:$E,'08-21addition'!$B:$B,N$38,'08-21addition'!$A:$A,'Biomass&amp;MSW'!$A70)*10</f>
        <v>55</v>
      </c>
      <c r="O69" s="207">
        <f>SUMIFS('08-21addition'!$L:$L,'08-21addition'!$B:$B,O$38,'08-21addition'!$A:$A,'Biomass&amp;MSW'!$A70)*10+SUMIFS('08-21addition'!$E:$E,'08-21addition'!$B:$B,O$38,'08-21addition'!$A:$A,'Biomass&amp;MSW'!$A70)*10</f>
        <v>135</v>
      </c>
      <c r="P69" s="207">
        <f>SUMIFS('08-21addition'!$L:$L,'08-21addition'!$B:$B,P$38,'08-21addition'!$A:$A,'Biomass&amp;MSW'!$A70)*10+SUMIFS('08-21addition'!$E:$E,'08-21addition'!$B:$B,P$38,'08-21addition'!$A:$A,'Biomass&amp;MSW'!$A70)*10</f>
        <v>0</v>
      </c>
      <c r="Q69" s="207">
        <f>SUMIFS('08-21addition'!$L:$L,'08-21addition'!$B:$B,Q$38,'08-21addition'!$A:$A,'Biomass&amp;MSW'!$A70)*10+SUMIFS('08-21addition'!$E:$E,'08-21addition'!$B:$B,Q$38,'08-21addition'!$A:$A,'Biomass&amp;MSW'!$A70)*10</f>
        <v>72</v>
      </c>
      <c r="R69" s="207">
        <f>SUMIFS('08-21addition'!$L:$L,'08-21addition'!$B:$B,R$38,'08-21addition'!$A:$A,'Biomass&amp;MSW'!$A70)*10+SUMIFS('08-21addition'!$E:$E,'08-21addition'!$B:$B,R$38,'08-21addition'!$A:$A,'Biomass&amp;MSW'!$A70)*10</f>
        <v>0</v>
      </c>
      <c r="S69" s="207">
        <f>SUMIFS('08-21addition'!$L:$L,'08-21addition'!$B:$B,S$38,'08-21addition'!$A:$A,'Biomass&amp;MSW'!$A70)*10+SUMIFS('08-21addition'!$E:$E,'08-21addition'!$B:$B,S$38,'08-21addition'!$A:$A,'Biomass&amp;MSW'!$A70)*10</f>
        <v>0</v>
      </c>
      <c r="T69" s="207">
        <f>SUMIFS('08-21addition'!$L:$L,'08-21addition'!$B:$B,T$38,'08-21addition'!$A:$A,'Biomass&amp;MSW'!$A70)*10+SUMIFS('08-21addition'!$E:$E,'08-21addition'!$B:$B,T$38,'08-21addition'!$A:$A,'Biomass&amp;MSW'!$A70)*10</f>
        <v>15</v>
      </c>
      <c r="U69" s="207">
        <f>SUMIFS('08-21addition'!$L:$L,'08-21addition'!$B:$B,U$38,'08-21addition'!$A:$A,'Biomass&amp;MSW'!$A70)*10+SUMIFS('08-21addition'!$E:$E,'08-21addition'!$B:$B,U$38,'08-21addition'!$A:$A,'Biomass&amp;MSW'!$A70)*10</f>
        <v>0</v>
      </c>
      <c r="V69" s="207">
        <f>SUMIFS('08-21addition'!$L:$L,'08-21addition'!$B:$B,V$38,'08-21addition'!$A:$A,'Biomass&amp;MSW'!$A70)*10+SUMIFS('08-21addition'!$E:$E,'08-21addition'!$B:$B,V$38,'08-21addition'!$A:$A,'Biomass&amp;MSW'!$A70)*10</f>
        <v>30</v>
      </c>
    </row>
    <row r="70" spans="1:22">
      <c r="A70" s="22" t="s">
        <v>142</v>
      </c>
      <c r="B70" s="206">
        <f t="shared" ref="B70:I70" si="50">(IFERROR((1-$AG35),0)*($C35+$E35))/8*10</f>
        <v>0</v>
      </c>
      <c r="C70" s="206">
        <f t="shared" si="50"/>
        <v>0</v>
      </c>
      <c r="D70" s="206">
        <f t="shared" si="50"/>
        <v>0</v>
      </c>
      <c r="E70" s="206">
        <f t="shared" si="50"/>
        <v>0</v>
      </c>
      <c r="F70" s="206">
        <f t="shared" si="50"/>
        <v>0</v>
      </c>
      <c r="G70" s="206">
        <f t="shared" si="50"/>
        <v>0</v>
      </c>
      <c r="H70" s="206">
        <f t="shared" si="50"/>
        <v>0</v>
      </c>
      <c r="I70" s="206">
        <f t="shared" si="50"/>
        <v>0</v>
      </c>
      <c r="J70" s="207">
        <f>SUMIFS('08-21addition'!$L:$L,'08-21addition'!$B:$B,J$38,'08-21addition'!$A:$A,'Biomass&amp;MSW'!#REF!)*10+SUMIFS('08-21addition'!$E:$E,'08-21addition'!$B:$B,J$38,'08-21addition'!$A:$A,'Biomass&amp;MSW'!#REF!)*10</f>
        <v>0</v>
      </c>
      <c r="K70" s="207">
        <f>SUMIFS('08-21addition'!$L:$L,'08-21addition'!$B:$B,K$38,'08-21addition'!$A:$A,'Biomass&amp;MSW'!#REF!)*10+SUMIFS('08-21addition'!$E:$E,'08-21addition'!$B:$B,K$38,'08-21addition'!$A:$A,'Biomass&amp;MSW'!#REF!)*10</f>
        <v>0</v>
      </c>
      <c r="L70" s="207">
        <f>SUMIFS('08-21addition'!$L:$L,'08-21addition'!$B:$B,L$38,'08-21addition'!$A:$A,'Biomass&amp;MSW'!#REF!)*10+SUMIFS('08-21addition'!$E:$E,'08-21addition'!$B:$B,L$38,'08-21addition'!$A:$A,'Biomass&amp;MSW'!#REF!)*10</f>
        <v>0</v>
      </c>
      <c r="M70" s="207">
        <f>SUMIFS('08-21addition'!$L:$L,'08-21addition'!$B:$B,M$38,'08-21addition'!$A:$A,'Biomass&amp;MSW'!#REF!)*10+SUMIFS('08-21addition'!$E:$E,'08-21addition'!$B:$B,M$38,'08-21addition'!$A:$A,'Biomass&amp;MSW'!#REF!)*10</f>
        <v>0</v>
      </c>
      <c r="N70" s="207">
        <f>SUMIFS('08-21addition'!$L:$L,'08-21addition'!$B:$B,N$38,'08-21addition'!$A:$A,'Biomass&amp;MSW'!#REF!)*10+SUMIFS('08-21addition'!$E:$E,'08-21addition'!$B:$B,N$38,'08-21addition'!$A:$A,'Biomass&amp;MSW'!#REF!)*10</f>
        <v>0</v>
      </c>
      <c r="O70" s="207">
        <f>SUMIFS('08-21addition'!$L:$L,'08-21addition'!$B:$B,O$38,'08-21addition'!$A:$A,'Biomass&amp;MSW'!#REF!)*10+SUMIFS('08-21addition'!$E:$E,'08-21addition'!$B:$B,O$38,'08-21addition'!$A:$A,'Biomass&amp;MSW'!#REF!)*10</f>
        <v>0</v>
      </c>
      <c r="P70" s="207">
        <f>SUMIFS('08-21addition'!$L:$L,'08-21addition'!$B:$B,P$38,'08-21addition'!$A:$A,'Biomass&amp;MSW'!#REF!)*10+SUMIFS('08-21addition'!$E:$E,'08-21addition'!$B:$B,P$38,'08-21addition'!$A:$A,'Biomass&amp;MSW'!#REF!)*10</f>
        <v>0</v>
      </c>
      <c r="Q70" s="207">
        <f>SUMIFS('08-21addition'!$L:$L,'08-21addition'!$B:$B,Q$38,'08-21addition'!$A:$A,'Biomass&amp;MSW'!#REF!)*10+SUMIFS('08-21addition'!$E:$E,'08-21addition'!$B:$B,Q$38,'08-21addition'!$A:$A,'Biomass&amp;MSW'!#REF!)*10</f>
        <v>0</v>
      </c>
      <c r="R70" s="207">
        <f>SUMIFS('08-21addition'!$L:$L,'08-21addition'!$B:$B,R$38,'08-21addition'!$A:$A,'Biomass&amp;MSW'!#REF!)*10+SUMIFS('08-21addition'!$E:$E,'08-21addition'!$B:$B,R$38,'08-21addition'!$A:$A,'Biomass&amp;MSW'!#REF!)*10</f>
        <v>0</v>
      </c>
      <c r="S70" s="207">
        <f>SUMIFS('08-21addition'!$L:$L,'08-21addition'!$B:$B,S$38,'08-21addition'!$A:$A,'Biomass&amp;MSW'!#REF!)*10+SUMIFS('08-21addition'!$E:$E,'08-21addition'!$B:$B,S$38,'08-21addition'!$A:$A,'Biomass&amp;MSW'!#REF!)*10</f>
        <v>0</v>
      </c>
      <c r="T70" s="207">
        <f>SUMIFS('08-21addition'!$L:$L,'08-21addition'!$B:$B,T$38,'08-21addition'!$A:$A,'Biomass&amp;MSW'!#REF!)*10+SUMIFS('08-21addition'!$E:$E,'08-21addition'!$B:$B,T$38,'08-21addition'!$A:$A,'Biomass&amp;MSW'!#REF!)*10</f>
        <v>0</v>
      </c>
      <c r="U70" s="207">
        <f>SUMIFS('08-21addition'!$L:$L,'08-21addition'!$B:$B,U$38,'08-21addition'!$A:$A,'Biomass&amp;MSW'!#REF!)*10+SUMIFS('08-21addition'!$E:$E,'08-21addition'!$B:$B,U$38,'08-21addition'!$A:$A,'Biomass&amp;MSW'!#REF!)*10</f>
        <v>0</v>
      </c>
      <c r="V70" s="207">
        <f>SUMIFS('08-21addition'!$L:$L,'08-21addition'!$B:$B,V$38,'08-21addition'!$A:$A,'Biomass&amp;MSW'!#REF!)*10+SUMIFS('08-21addition'!$E:$E,'08-21addition'!$B:$B,V$38,'08-21addition'!$A:$A,'Biomass&amp;MSW'!#REF!)*10</f>
        <v>0</v>
      </c>
    </row>
    <row r="72" ht="13.1" spans="1:22">
      <c r="A72" s="205" t="s">
        <v>1354</v>
      </c>
    </row>
    <row r="73" spans="1:22">
      <c r="A73" s="27" t="s">
        <v>144</v>
      </c>
      <c r="B73" s="193">
        <v>2001</v>
      </c>
      <c r="C73" s="193">
        <v>2002</v>
      </c>
      <c r="D73" s="193">
        <v>2003</v>
      </c>
      <c r="E73" s="193">
        <v>2004</v>
      </c>
      <c r="F73" s="193">
        <v>2005</v>
      </c>
      <c r="G73" s="193">
        <v>2006</v>
      </c>
      <c r="H73" s="193">
        <v>2007</v>
      </c>
      <c r="I73" s="193">
        <v>2008</v>
      </c>
      <c r="J73" s="18">
        <v>2009</v>
      </c>
      <c r="K73" s="18">
        <v>2010</v>
      </c>
      <c r="L73" s="18">
        <v>2011</v>
      </c>
      <c r="M73" s="18">
        <v>2012</v>
      </c>
      <c r="N73" s="18">
        <v>2013</v>
      </c>
      <c r="O73" s="18">
        <v>2014</v>
      </c>
      <c r="P73" s="18">
        <v>2015</v>
      </c>
      <c r="Q73" s="18">
        <v>2016</v>
      </c>
      <c r="R73" s="18">
        <v>2017</v>
      </c>
      <c r="S73" s="18">
        <v>2018</v>
      </c>
      <c r="T73" s="18">
        <v>2019</v>
      </c>
      <c r="U73" s="18">
        <v>2020</v>
      </c>
      <c r="V73" s="18">
        <v>2021</v>
      </c>
    </row>
    <row r="74" spans="1:22">
      <c r="A74" s="22" t="s">
        <v>80</v>
      </c>
      <c r="B74" s="206">
        <f t="shared" ref="B74:V74" si="51">SUM(B75:B105)</f>
        <v>521.35</v>
      </c>
      <c r="C74" s="206">
        <f t="shared" si="51"/>
        <v>521.35</v>
      </c>
      <c r="D74" s="206">
        <f t="shared" si="51"/>
        <v>521.35</v>
      </c>
      <c r="E74" s="206">
        <f t="shared" si="51"/>
        <v>521.35</v>
      </c>
      <c r="F74" s="206">
        <f t="shared" si="51"/>
        <v>521.35</v>
      </c>
      <c r="G74" s="206">
        <f t="shared" si="51"/>
        <v>521.35</v>
      </c>
      <c r="H74" s="206">
        <f t="shared" si="51"/>
        <v>521.35</v>
      </c>
      <c r="I74" s="206">
        <f t="shared" si="51"/>
        <v>521.35</v>
      </c>
      <c r="J74" s="207">
        <f t="shared" si="51"/>
        <v>113.4</v>
      </c>
      <c r="K74" s="207">
        <f t="shared" si="51"/>
        <v>140.3</v>
      </c>
      <c r="L74" s="207">
        <f t="shared" si="51"/>
        <v>256.8</v>
      </c>
      <c r="M74" s="207">
        <f t="shared" si="51"/>
        <v>200.2</v>
      </c>
      <c r="N74" s="207">
        <f t="shared" si="51"/>
        <v>342</v>
      </c>
      <c r="O74" s="207">
        <f t="shared" si="51"/>
        <v>214</v>
      </c>
      <c r="P74" s="207">
        <f t="shared" si="51"/>
        <v>60.5</v>
      </c>
      <c r="Q74" s="207">
        <f t="shared" si="51"/>
        <v>257.5</v>
      </c>
      <c r="R74" s="207">
        <f t="shared" si="51"/>
        <v>1163.3</v>
      </c>
      <c r="S74" s="207">
        <f t="shared" si="51"/>
        <v>1410.5</v>
      </c>
      <c r="T74" s="207">
        <f t="shared" si="51"/>
        <v>2626.6</v>
      </c>
      <c r="U74" s="207">
        <f t="shared" si="51"/>
        <v>2982.3</v>
      </c>
      <c r="V74" s="207">
        <f t="shared" si="51"/>
        <v>6297.6</v>
      </c>
    </row>
    <row r="75" spans="1:22">
      <c r="A75" s="22" t="s">
        <v>82</v>
      </c>
      <c r="B75" s="206">
        <f>(IFERROR((1-$W5),0)*$D5)/8*10</f>
        <v>16.25</v>
      </c>
      <c r="C75" s="206">
        <f t="shared" ref="C75:I75" si="52">(IFERROR((1-$W5),0)*$D5)/8*10</f>
        <v>16.25</v>
      </c>
      <c r="D75" s="206">
        <f t="shared" si="52"/>
        <v>16.25</v>
      </c>
      <c r="E75" s="206">
        <f t="shared" si="52"/>
        <v>16.25</v>
      </c>
      <c r="F75" s="206">
        <f t="shared" si="52"/>
        <v>16.25</v>
      </c>
      <c r="G75" s="206">
        <f t="shared" si="52"/>
        <v>16.25</v>
      </c>
      <c r="H75" s="206">
        <f t="shared" si="52"/>
        <v>16.25</v>
      </c>
      <c r="I75" s="206">
        <f t="shared" si="52"/>
        <v>16.25</v>
      </c>
      <c r="J75" s="207">
        <f>SUMIFS('08-21addition'!$F:$F,'08-21addition'!$B:$B,J$38,'08-21addition'!$A:$A,'Biomass&amp;MSW'!$A76)*10</f>
        <v>0</v>
      </c>
      <c r="K75" s="207">
        <f>SUMIFS('08-21addition'!$F:$F,'08-21addition'!$B:$B,K$38,'08-21addition'!$A:$A,'Biomass&amp;MSW'!$A76)*10</f>
        <v>0</v>
      </c>
      <c r="L75" s="207">
        <f>SUMIFS('08-21addition'!$F:$F,'08-21addition'!$B:$B,L$38,'08-21addition'!$A:$A,'Biomass&amp;MSW'!$A76)*10</f>
        <v>0</v>
      </c>
      <c r="M75" s="207">
        <f>SUMIFS('08-21addition'!$F:$F,'08-21addition'!$B:$B,M$38,'08-21addition'!$A:$A,'Biomass&amp;MSW'!$A76)*10</f>
        <v>0</v>
      </c>
      <c r="N75" s="207">
        <f>SUMIFS('08-21addition'!$F:$F,'08-21addition'!$B:$B,N$38,'08-21addition'!$A:$A,'Biomass&amp;MSW'!$A76)*10</f>
        <v>0</v>
      </c>
      <c r="O75" s="207">
        <f>SUMIFS('08-21addition'!$F:$F,'08-21addition'!$B:$B,O$38,'08-21addition'!$A:$A,'Biomass&amp;MSW'!$A76)*10</f>
        <v>0</v>
      </c>
      <c r="P75" s="207">
        <f>SUMIFS('08-21addition'!$F:$F,'08-21addition'!$B:$B,P$38,'08-21addition'!$A:$A,'Biomass&amp;MSW'!$A76)*10</f>
        <v>0</v>
      </c>
      <c r="Q75" s="207">
        <f>SUMIFS('08-21addition'!$F:$F,'08-21addition'!$B:$B,Q$38,'08-21addition'!$A:$A,'Biomass&amp;MSW'!$A76)*10</f>
        <v>12</v>
      </c>
      <c r="R75" s="207">
        <f>SUMIFS('08-21addition'!$F:$F,'08-21addition'!$B:$B,R$38,'08-21addition'!$A:$A,'Biomass&amp;MSW'!$A76)*10</f>
        <v>0</v>
      </c>
      <c r="S75" s="207">
        <f>SUMIFS('08-21addition'!$F:$F,'08-21addition'!$B:$B,S$38,'08-21addition'!$A:$A,'Biomass&amp;MSW'!$A76)*10</f>
        <v>0</v>
      </c>
      <c r="T75" s="207">
        <f>SUMIFS('08-21addition'!$F:$F,'08-21addition'!$B:$B,T$38,'08-21addition'!$A:$A,'Biomass&amp;MSW'!$A76)*10</f>
        <v>20</v>
      </c>
      <c r="U75" s="207">
        <f>SUMIFS('08-21addition'!$F:$F,'08-21addition'!$B:$B,U$38,'08-21addition'!$A:$A,'Biomass&amp;MSW'!$A76)*10</f>
        <v>171</v>
      </c>
      <c r="V75" s="207">
        <f>SUMIFS('08-21addition'!$F:$F,'08-21addition'!$B:$B,V$38,'08-21addition'!$A:$A,'Biomass&amp;MSW'!$A76)*10</f>
        <v>106</v>
      </c>
    </row>
    <row r="76" spans="1:22">
      <c r="A76" s="22" t="s">
        <v>84</v>
      </c>
      <c r="B76" s="206">
        <f t="shared" ref="B76:I76" si="53">(IFERROR((1-$W6),0)*$D6)/8*10</f>
        <v>11</v>
      </c>
      <c r="C76" s="206">
        <f t="shared" si="53"/>
        <v>11</v>
      </c>
      <c r="D76" s="206">
        <f t="shared" si="53"/>
        <v>11</v>
      </c>
      <c r="E76" s="206">
        <f t="shared" si="53"/>
        <v>11</v>
      </c>
      <c r="F76" s="206">
        <f t="shared" si="53"/>
        <v>11</v>
      </c>
      <c r="G76" s="206">
        <f t="shared" si="53"/>
        <v>11</v>
      </c>
      <c r="H76" s="206">
        <f t="shared" si="53"/>
        <v>11</v>
      </c>
      <c r="I76" s="206">
        <f t="shared" si="53"/>
        <v>11</v>
      </c>
      <c r="J76" s="207">
        <f>SUMIFS('08-21addition'!$F:$F,'08-21addition'!$B:$B,J$38,'08-21addition'!$A:$A,'Biomass&amp;MSW'!$A77)*10</f>
        <v>6</v>
      </c>
      <c r="K76" s="207">
        <f>SUMIFS('08-21addition'!$F:$F,'08-21addition'!$B:$B,K$38,'08-21addition'!$A:$A,'Biomass&amp;MSW'!$A77)*10</f>
        <v>18</v>
      </c>
      <c r="L76" s="207">
        <f>SUMIFS('08-21addition'!$F:$F,'08-21addition'!$B:$B,L$38,'08-21addition'!$A:$A,'Biomass&amp;MSW'!$A77)*10</f>
        <v>0</v>
      </c>
      <c r="M76" s="207">
        <f>SUMIFS('08-21addition'!$F:$F,'08-21addition'!$B:$B,M$38,'08-21addition'!$A:$A,'Biomass&amp;MSW'!$A77)*10</f>
        <v>36</v>
      </c>
      <c r="N76" s="207">
        <f>SUMIFS('08-21addition'!$F:$F,'08-21addition'!$B:$B,N$38,'08-21addition'!$A:$A,'Biomass&amp;MSW'!$A77)*10</f>
        <v>12</v>
      </c>
      <c r="O76" s="207">
        <f>SUMIFS('08-21addition'!$F:$F,'08-21addition'!$B:$B,O$38,'08-21addition'!$A:$A,'Biomass&amp;MSW'!$A77)*10</f>
        <v>0</v>
      </c>
      <c r="P76" s="207">
        <f>SUMIFS('08-21addition'!$F:$F,'08-21addition'!$B:$B,P$38,'08-21addition'!$A:$A,'Biomass&amp;MSW'!$A77)*10</f>
        <v>0</v>
      </c>
      <c r="Q76" s="207">
        <f>SUMIFS('08-21addition'!$F:$F,'08-21addition'!$B:$B,Q$38,'08-21addition'!$A:$A,'Biomass&amp;MSW'!$A77)*10</f>
        <v>24</v>
      </c>
      <c r="R76" s="207">
        <f>SUMIFS('08-21addition'!$F:$F,'08-21addition'!$B:$B,R$38,'08-21addition'!$A:$A,'Biomass&amp;MSW'!$A77)*10</f>
        <v>45</v>
      </c>
      <c r="S76" s="207">
        <f>SUMIFS('08-21addition'!$F:$F,'08-21addition'!$B:$B,S$38,'08-21addition'!$A:$A,'Biomass&amp;MSW'!$A77)*10</f>
        <v>18</v>
      </c>
      <c r="T76" s="207">
        <f>SUMIFS('08-21addition'!$F:$F,'08-21addition'!$B:$B,T$38,'08-21addition'!$A:$A,'Biomass&amp;MSW'!$A77)*10</f>
        <v>101.5</v>
      </c>
      <c r="U76" s="207">
        <f>SUMIFS('08-21addition'!$F:$F,'08-21addition'!$B:$B,U$38,'08-21addition'!$A:$A,'Biomass&amp;MSW'!$A77)*10</f>
        <v>91</v>
      </c>
      <c r="V76" s="207">
        <f>SUMIFS('08-21addition'!$F:$F,'08-21addition'!$B:$B,V$38,'08-21addition'!$A:$A,'Biomass&amp;MSW'!$A77)*10</f>
        <v>872</v>
      </c>
    </row>
    <row r="77" spans="1:22">
      <c r="A77" s="22" t="s">
        <v>86</v>
      </c>
      <c r="B77" s="206">
        <f t="shared" ref="B77:I77" si="54">(IFERROR((1-$W7),0)*$D7)/8*10</f>
        <v>8</v>
      </c>
      <c r="C77" s="206">
        <f t="shared" si="54"/>
        <v>8</v>
      </c>
      <c r="D77" s="206">
        <f t="shared" si="54"/>
        <v>8</v>
      </c>
      <c r="E77" s="206">
        <f t="shared" si="54"/>
        <v>8</v>
      </c>
      <c r="F77" s="206">
        <f t="shared" si="54"/>
        <v>8</v>
      </c>
      <c r="G77" s="206">
        <f t="shared" si="54"/>
        <v>8</v>
      </c>
      <c r="H77" s="206">
        <f t="shared" si="54"/>
        <v>8</v>
      </c>
      <c r="I77" s="206">
        <f t="shared" si="54"/>
        <v>8</v>
      </c>
      <c r="J77" s="207">
        <f>SUMIFS('08-21addition'!$F:$F,'08-21addition'!$B:$B,J$38,'08-21addition'!$A:$A,'Biomass&amp;MSW'!$A78)*10</f>
        <v>0</v>
      </c>
      <c r="K77" s="207">
        <f>SUMIFS('08-21addition'!$F:$F,'08-21addition'!$B:$B,K$38,'08-21addition'!$A:$A,'Biomass&amp;MSW'!$A78)*10</f>
        <v>0</v>
      </c>
      <c r="L77" s="207">
        <f>SUMIFS('08-21addition'!$F:$F,'08-21addition'!$B:$B,L$38,'08-21addition'!$A:$A,'Biomass&amp;MSW'!$A78)*10</f>
        <v>0</v>
      </c>
      <c r="M77" s="207">
        <f>SUMIFS('08-21addition'!$F:$F,'08-21addition'!$B:$B,M$38,'08-21addition'!$A:$A,'Biomass&amp;MSW'!$A78)*10</f>
        <v>0</v>
      </c>
      <c r="N77" s="207">
        <f>SUMIFS('08-21addition'!$F:$F,'08-21addition'!$B:$B,N$38,'08-21addition'!$A:$A,'Biomass&amp;MSW'!$A78)*10</f>
        <v>0</v>
      </c>
      <c r="O77" s="207">
        <f>SUMIFS('08-21addition'!$F:$F,'08-21addition'!$B:$B,O$38,'08-21addition'!$A:$A,'Biomass&amp;MSW'!$A78)*10</f>
        <v>0</v>
      </c>
      <c r="P77" s="207">
        <f>SUMIFS('08-21addition'!$F:$F,'08-21addition'!$B:$B,P$38,'08-21addition'!$A:$A,'Biomass&amp;MSW'!$A78)*10</f>
        <v>0</v>
      </c>
      <c r="Q77" s="207">
        <f>SUMIFS('08-21addition'!$F:$F,'08-21addition'!$B:$B,Q$38,'08-21addition'!$A:$A,'Biomass&amp;MSW'!$A78)*10</f>
        <v>0</v>
      </c>
      <c r="R77" s="207">
        <f>SUMIFS('08-21addition'!$F:$F,'08-21addition'!$B:$B,R$38,'08-21addition'!$A:$A,'Biomass&amp;MSW'!$A78)*10</f>
        <v>0</v>
      </c>
      <c r="S77" s="207">
        <f>SUMIFS('08-21addition'!$F:$F,'08-21addition'!$B:$B,S$38,'08-21addition'!$A:$A,'Biomass&amp;MSW'!$A78)*10</f>
        <v>0</v>
      </c>
      <c r="T77" s="207">
        <f>SUMIFS('08-21addition'!$F:$F,'08-21addition'!$B:$B,T$38,'08-21addition'!$A:$A,'Biomass&amp;MSW'!$A78)*10</f>
        <v>0</v>
      </c>
      <c r="U77" s="207">
        <f>SUMIFS('08-21addition'!$F:$F,'08-21addition'!$B:$B,U$38,'08-21addition'!$A:$A,'Biomass&amp;MSW'!$A78)*10</f>
        <v>0</v>
      </c>
      <c r="V77" s="207">
        <f>SUMIFS('08-21addition'!$F:$F,'08-21addition'!$B:$B,V$38,'08-21addition'!$A:$A,'Biomass&amp;MSW'!$A78)*10</f>
        <v>63</v>
      </c>
    </row>
    <row r="78" spans="1:22">
      <c r="A78" s="22" t="s">
        <v>88</v>
      </c>
      <c r="B78" s="206">
        <f t="shared" ref="B78:I78" si="55">(IFERROR((1-$W8),0)*$D8)/8*10</f>
        <v>13.75</v>
      </c>
      <c r="C78" s="206">
        <f t="shared" si="55"/>
        <v>13.75</v>
      </c>
      <c r="D78" s="206">
        <f t="shared" si="55"/>
        <v>13.75</v>
      </c>
      <c r="E78" s="206">
        <f t="shared" si="55"/>
        <v>13.75</v>
      </c>
      <c r="F78" s="206">
        <f t="shared" si="55"/>
        <v>13.75</v>
      </c>
      <c r="G78" s="206">
        <f t="shared" si="55"/>
        <v>13.75</v>
      </c>
      <c r="H78" s="206">
        <f t="shared" si="55"/>
        <v>13.75</v>
      </c>
      <c r="I78" s="206">
        <f t="shared" si="55"/>
        <v>13.75</v>
      </c>
      <c r="J78" s="207">
        <f>SUMIFS('08-21addition'!$F:$F,'08-21addition'!$B:$B,J$38,'08-21addition'!$A:$A,'Biomass&amp;MSW'!$A79)*10</f>
        <v>0</v>
      </c>
      <c r="K78" s="207">
        <f>SUMIFS('08-21addition'!$F:$F,'08-21addition'!$B:$B,K$38,'08-21addition'!$A:$A,'Biomass&amp;MSW'!$A79)*10</f>
        <v>0</v>
      </c>
      <c r="L78" s="207">
        <f>SUMIFS('08-21addition'!$F:$F,'08-21addition'!$B:$B,L$38,'08-21addition'!$A:$A,'Biomass&amp;MSW'!$A79)*10</f>
        <v>0</v>
      </c>
      <c r="M78" s="207">
        <f>SUMIFS('08-21addition'!$F:$F,'08-21addition'!$B:$B,M$38,'08-21addition'!$A:$A,'Biomass&amp;MSW'!$A79)*10</f>
        <v>0</v>
      </c>
      <c r="N78" s="207">
        <f>SUMIFS('08-21addition'!$F:$F,'08-21addition'!$B:$B,N$38,'08-21addition'!$A:$A,'Biomass&amp;MSW'!$A79)*10</f>
        <v>36</v>
      </c>
      <c r="O78" s="207">
        <f>SUMIFS('08-21addition'!$F:$F,'08-21addition'!$B:$B,O$38,'08-21addition'!$A:$A,'Biomass&amp;MSW'!$A79)*10</f>
        <v>0</v>
      </c>
      <c r="P78" s="207">
        <f>SUMIFS('08-21addition'!$F:$F,'08-21addition'!$B:$B,P$38,'08-21addition'!$A:$A,'Biomass&amp;MSW'!$A79)*10</f>
        <v>0</v>
      </c>
      <c r="Q78" s="207">
        <f>SUMIFS('08-21addition'!$F:$F,'08-21addition'!$B:$B,Q$38,'08-21addition'!$A:$A,'Biomass&amp;MSW'!$A79)*10</f>
        <v>0</v>
      </c>
      <c r="R78" s="207">
        <f>SUMIFS('08-21addition'!$F:$F,'08-21addition'!$B:$B,R$38,'08-21addition'!$A:$A,'Biomass&amp;MSW'!$A79)*10</f>
        <v>0</v>
      </c>
      <c r="S78" s="207">
        <f>SUMIFS('08-21addition'!$F:$F,'08-21addition'!$B:$B,S$38,'08-21addition'!$A:$A,'Biomass&amp;MSW'!$A79)*10</f>
        <v>0</v>
      </c>
      <c r="T78" s="207">
        <f>SUMIFS('08-21addition'!$F:$F,'08-21addition'!$B:$B,T$38,'08-21addition'!$A:$A,'Biomass&amp;MSW'!$A79)*10</f>
        <v>0</v>
      </c>
      <c r="U78" s="207">
        <f>SUMIFS('08-21addition'!$F:$F,'08-21addition'!$B:$B,U$38,'08-21addition'!$A:$A,'Biomass&amp;MSW'!$A79)*10</f>
        <v>15</v>
      </c>
      <c r="V78" s="207">
        <f>SUMIFS('08-21addition'!$F:$F,'08-21addition'!$B:$B,V$38,'08-21addition'!$A:$A,'Biomass&amp;MSW'!$A79)*10</f>
        <v>39</v>
      </c>
    </row>
    <row r="79" spans="1:22">
      <c r="A79" s="22" t="s">
        <v>90</v>
      </c>
      <c r="B79" s="206">
        <f t="shared" ref="B79:I79" si="56">(IFERROR((1-$W9),0)*$D9)/8*10</f>
        <v>0.5</v>
      </c>
      <c r="C79" s="206">
        <f t="shared" si="56"/>
        <v>0.5</v>
      </c>
      <c r="D79" s="206">
        <f t="shared" si="56"/>
        <v>0.5</v>
      </c>
      <c r="E79" s="206">
        <f t="shared" si="56"/>
        <v>0.5</v>
      </c>
      <c r="F79" s="206">
        <f t="shared" si="56"/>
        <v>0.5</v>
      </c>
      <c r="G79" s="206">
        <f t="shared" si="56"/>
        <v>0.5</v>
      </c>
      <c r="H79" s="206">
        <f t="shared" si="56"/>
        <v>0.5</v>
      </c>
      <c r="I79" s="206">
        <f t="shared" si="56"/>
        <v>0.5</v>
      </c>
      <c r="J79" s="207">
        <f>SUMIFS('08-21addition'!$F:$F,'08-21addition'!$B:$B,J$38,'08-21addition'!$A:$A,'Biomass&amp;MSW'!$A80)*10</f>
        <v>0</v>
      </c>
      <c r="K79" s="207">
        <f>SUMIFS('08-21addition'!$F:$F,'08-21addition'!$B:$B,K$38,'08-21addition'!$A:$A,'Biomass&amp;MSW'!$A80)*10</f>
        <v>0</v>
      </c>
      <c r="L79" s="207">
        <f>SUMIFS('08-21addition'!$F:$F,'08-21addition'!$B:$B,L$38,'08-21addition'!$A:$A,'Biomass&amp;MSW'!$A80)*10</f>
        <v>0</v>
      </c>
      <c r="M79" s="207">
        <f>SUMIFS('08-21addition'!$F:$F,'08-21addition'!$B:$B,M$38,'08-21addition'!$A:$A,'Biomass&amp;MSW'!$A80)*10</f>
        <v>0</v>
      </c>
      <c r="N79" s="207">
        <f>SUMIFS('08-21addition'!$F:$F,'08-21addition'!$B:$B,N$38,'08-21addition'!$A:$A,'Biomass&amp;MSW'!$A80)*10</f>
        <v>0</v>
      </c>
      <c r="O79" s="207">
        <f>SUMIFS('08-21addition'!$F:$F,'08-21addition'!$B:$B,O$38,'08-21addition'!$A:$A,'Biomass&amp;MSW'!$A80)*10</f>
        <v>0</v>
      </c>
      <c r="P79" s="207">
        <f>SUMIFS('08-21addition'!$F:$F,'08-21addition'!$B:$B,P$38,'08-21addition'!$A:$A,'Biomass&amp;MSW'!$A80)*10</f>
        <v>0</v>
      </c>
      <c r="Q79" s="207">
        <f>SUMIFS('08-21addition'!$F:$F,'08-21addition'!$B:$B,Q$38,'08-21addition'!$A:$A,'Biomass&amp;MSW'!$A80)*10</f>
        <v>0</v>
      </c>
      <c r="R79" s="207">
        <f>SUMIFS('08-21addition'!$F:$F,'08-21addition'!$B:$B,R$38,'08-21addition'!$A:$A,'Biomass&amp;MSW'!$A80)*10</f>
        <v>0</v>
      </c>
      <c r="S79" s="207">
        <f>SUMIFS('08-21addition'!$F:$F,'08-21addition'!$B:$B,S$38,'08-21addition'!$A:$A,'Biomass&amp;MSW'!$A80)*10</f>
        <v>0</v>
      </c>
      <c r="T79" s="207">
        <f>SUMIFS('08-21addition'!$F:$F,'08-21addition'!$B:$B,T$38,'08-21addition'!$A:$A,'Biomass&amp;MSW'!$A80)*10</f>
        <v>0</v>
      </c>
      <c r="U79" s="207">
        <f>SUMIFS('08-21addition'!$F:$F,'08-21addition'!$B:$B,U$38,'08-21addition'!$A:$A,'Biomass&amp;MSW'!$A80)*10</f>
        <v>18</v>
      </c>
      <c r="V79" s="207">
        <f>SUMIFS('08-21addition'!$F:$F,'08-21addition'!$B:$B,V$38,'08-21addition'!$A:$A,'Biomass&amp;MSW'!$A80)*10</f>
        <v>203</v>
      </c>
    </row>
    <row r="80" spans="1:22">
      <c r="A80" s="22" t="s">
        <v>92</v>
      </c>
      <c r="B80" s="206">
        <f t="shared" ref="B80:I80" si="57">(IFERROR((1-$W10),0)*$D10)/8*10</f>
        <v>3.75</v>
      </c>
      <c r="C80" s="206">
        <f t="shared" si="57"/>
        <v>3.75</v>
      </c>
      <c r="D80" s="206">
        <f t="shared" si="57"/>
        <v>3.75</v>
      </c>
      <c r="E80" s="206">
        <f t="shared" si="57"/>
        <v>3.75</v>
      </c>
      <c r="F80" s="206">
        <f t="shared" si="57"/>
        <v>3.75</v>
      </c>
      <c r="G80" s="206">
        <f t="shared" si="57"/>
        <v>3.75</v>
      </c>
      <c r="H80" s="206">
        <f t="shared" si="57"/>
        <v>3.75</v>
      </c>
      <c r="I80" s="206">
        <f t="shared" si="57"/>
        <v>3.75</v>
      </c>
      <c r="J80" s="207">
        <f>SUMIFS('08-21addition'!$F:$F,'08-21addition'!$B:$B,J$38,'08-21addition'!$A:$A,'Biomass&amp;MSW'!$A81)*10</f>
        <v>42</v>
      </c>
      <c r="K80" s="207">
        <f>SUMIFS('08-21addition'!$F:$F,'08-21addition'!$B:$B,K$38,'08-21addition'!$A:$A,'Biomass&amp;MSW'!$A81)*10</f>
        <v>31</v>
      </c>
      <c r="L80" s="207">
        <f>SUMIFS('08-21addition'!$F:$F,'08-21addition'!$B:$B,L$38,'08-21addition'!$A:$A,'Biomass&amp;MSW'!$A81)*10</f>
        <v>0</v>
      </c>
      <c r="M80" s="207">
        <f>SUMIFS('08-21addition'!$F:$F,'08-21addition'!$B:$B,M$38,'08-21addition'!$A:$A,'Biomass&amp;MSW'!$A81)*10</f>
        <v>0</v>
      </c>
      <c r="N80" s="207">
        <f>SUMIFS('08-21addition'!$F:$F,'08-21addition'!$B:$B,N$38,'08-21addition'!$A:$A,'Biomass&amp;MSW'!$A81)*10</f>
        <v>0</v>
      </c>
      <c r="O80" s="207">
        <f>SUMIFS('08-21addition'!$F:$F,'08-21addition'!$B:$B,O$38,'08-21addition'!$A:$A,'Biomass&amp;MSW'!$A81)*10</f>
        <v>15</v>
      </c>
      <c r="P80" s="207">
        <f>SUMIFS('08-21addition'!$F:$F,'08-21addition'!$B:$B,P$38,'08-21addition'!$A:$A,'Biomass&amp;MSW'!$A81)*10</f>
        <v>0</v>
      </c>
      <c r="Q80" s="207">
        <f>SUMIFS('08-21addition'!$F:$F,'08-21addition'!$B:$B,Q$38,'08-21addition'!$A:$A,'Biomass&amp;MSW'!$A81)*10</f>
        <v>0</v>
      </c>
      <c r="R80" s="207">
        <f>SUMIFS('08-21addition'!$F:$F,'08-21addition'!$B:$B,R$38,'08-21addition'!$A:$A,'Biomass&amp;MSW'!$A81)*10</f>
        <v>0</v>
      </c>
      <c r="S80" s="207">
        <f>SUMIFS('08-21addition'!$F:$F,'08-21addition'!$B:$B,S$38,'08-21addition'!$A:$A,'Biomass&amp;MSW'!$A81)*10</f>
        <v>0</v>
      </c>
      <c r="T80" s="207">
        <f>SUMIFS('08-21addition'!$F:$F,'08-21addition'!$B:$B,T$38,'08-21addition'!$A:$A,'Biomass&amp;MSW'!$A81)*10</f>
        <v>0</v>
      </c>
      <c r="U80" s="207">
        <f>SUMIFS('08-21addition'!$F:$F,'08-21addition'!$B:$B,U$38,'08-21addition'!$A:$A,'Biomass&amp;MSW'!$A81)*10</f>
        <v>0</v>
      </c>
      <c r="V80" s="207">
        <f>SUMIFS('08-21addition'!$F:$F,'08-21addition'!$B:$B,V$38,'08-21addition'!$A:$A,'Biomass&amp;MSW'!$A81)*10</f>
        <v>28.5</v>
      </c>
    </row>
    <row r="81" spans="1:22">
      <c r="A81" s="22" t="s">
        <v>94</v>
      </c>
      <c r="B81" s="206">
        <f t="shared" ref="B81:I81" si="58">(IFERROR((1-$W11),0)*$D11)/8*10</f>
        <v>4</v>
      </c>
      <c r="C81" s="206">
        <f t="shared" si="58"/>
        <v>4</v>
      </c>
      <c r="D81" s="206">
        <f t="shared" si="58"/>
        <v>4</v>
      </c>
      <c r="E81" s="206">
        <f t="shared" si="58"/>
        <v>4</v>
      </c>
      <c r="F81" s="206">
        <f t="shared" si="58"/>
        <v>4</v>
      </c>
      <c r="G81" s="206">
        <f t="shared" si="58"/>
        <v>4</v>
      </c>
      <c r="H81" s="206">
        <f t="shared" si="58"/>
        <v>4</v>
      </c>
      <c r="I81" s="206">
        <f t="shared" si="58"/>
        <v>4</v>
      </c>
      <c r="J81" s="207">
        <f>SUMIFS('08-21addition'!$F:$F,'08-21addition'!$B:$B,J$38,'08-21addition'!$A:$A,'Biomass&amp;MSW'!$A82)*10</f>
        <v>0.9</v>
      </c>
      <c r="K81" s="207">
        <f>SUMIFS('08-21addition'!$F:$F,'08-21addition'!$B:$B,K$38,'08-21addition'!$A:$A,'Biomass&amp;MSW'!$A82)*10</f>
        <v>0</v>
      </c>
      <c r="L81" s="207">
        <f>SUMIFS('08-21addition'!$F:$F,'08-21addition'!$B:$B,L$38,'08-21addition'!$A:$A,'Biomass&amp;MSW'!$A82)*10</f>
        <v>0</v>
      </c>
      <c r="M81" s="207">
        <f>SUMIFS('08-21addition'!$F:$F,'08-21addition'!$B:$B,M$38,'08-21addition'!$A:$A,'Biomass&amp;MSW'!$A82)*10</f>
        <v>0</v>
      </c>
      <c r="N81" s="207">
        <f>SUMIFS('08-21addition'!$F:$F,'08-21addition'!$B:$B,N$38,'08-21addition'!$A:$A,'Biomass&amp;MSW'!$A82)*10</f>
        <v>0</v>
      </c>
      <c r="O81" s="207">
        <f>SUMIFS('08-21addition'!$F:$F,'08-21addition'!$B:$B,O$38,'08-21addition'!$A:$A,'Biomass&amp;MSW'!$A82)*10</f>
        <v>12</v>
      </c>
      <c r="P81" s="207">
        <f>SUMIFS('08-21addition'!$F:$F,'08-21addition'!$B:$B,P$38,'08-21addition'!$A:$A,'Biomass&amp;MSW'!$A82)*10</f>
        <v>0</v>
      </c>
      <c r="Q81" s="207">
        <f>SUMIFS('08-21addition'!$F:$F,'08-21addition'!$B:$B,Q$38,'08-21addition'!$A:$A,'Biomass&amp;MSW'!$A82)*10</f>
        <v>0</v>
      </c>
      <c r="R81" s="207">
        <f>SUMIFS('08-21addition'!$F:$F,'08-21addition'!$B:$B,R$38,'08-21addition'!$A:$A,'Biomass&amp;MSW'!$A82)*10</f>
        <v>15</v>
      </c>
      <c r="S81" s="207">
        <f>SUMIFS('08-21addition'!$F:$F,'08-21addition'!$B:$B,S$38,'08-21addition'!$A:$A,'Biomass&amp;MSW'!$A82)*10</f>
        <v>31.5</v>
      </c>
      <c r="T81" s="207">
        <f>SUMIFS('08-21addition'!$F:$F,'08-21addition'!$B:$B,T$38,'08-21addition'!$A:$A,'Biomass&amp;MSW'!$A82)*10</f>
        <v>15</v>
      </c>
      <c r="U81" s="207">
        <f>SUMIFS('08-21addition'!$F:$F,'08-21addition'!$B:$B,U$38,'08-21addition'!$A:$A,'Biomass&amp;MSW'!$A82)*10</f>
        <v>24</v>
      </c>
      <c r="V81" s="207">
        <f>SUMIFS('08-21addition'!$F:$F,'08-21addition'!$B:$B,V$38,'08-21addition'!$A:$A,'Biomass&amp;MSW'!$A82)*10</f>
        <v>7.5</v>
      </c>
    </row>
    <row r="82" spans="1:22">
      <c r="A82" s="22" t="s">
        <v>96</v>
      </c>
      <c r="B82" s="206">
        <f t="shared" ref="B82:I82" si="59">(IFERROR((1-$W12),0)*$D12)/8*10</f>
        <v>7.1375</v>
      </c>
      <c r="C82" s="206">
        <f t="shared" si="59"/>
        <v>7.1375</v>
      </c>
      <c r="D82" s="206">
        <f t="shared" si="59"/>
        <v>7.1375</v>
      </c>
      <c r="E82" s="206">
        <f t="shared" si="59"/>
        <v>7.1375</v>
      </c>
      <c r="F82" s="206">
        <f t="shared" si="59"/>
        <v>7.1375</v>
      </c>
      <c r="G82" s="206">
        <f t="shared" si="59"/>
        <v>7.1375</v>
      </c>
      <c r="H82" s="206">
        <f t="shared" si="59"/>
        <v>7.1375</v>
      </c>
      <c r="I82" s="206">
        <f t="shared" si="59"/>
        <v>7.1375</v>
      </c>
      <c r="J82" s="207">
        <f>SUMIFS('08-21addition'!$F:$F,'08-21addition'!$B:$B,J$38,'08-21addition'!$A:$A,'Biomass&amp;MSW'!$A83)*10</f>
        <v>0</v>
      </c>
      <c r="K82" s="207">
        <f>SUMIFS('08-21addition'!$F:$F,'08-21addition'!$B:$B,K$38,'08-21addition'!$A:$A,'Biomass&amp;MSW'!$A83)*10</f>
        <v>0</v>
      </c>
      <c r="L82" s="207">
        <f>SUMIFS('08-21addition'!$F:$F,'08-21addition'!$B:$B,L$38,'08-21addition'!$A:$A,'Biomass&amp;MSW'!$A83)*10</f>
        <v>0</v>
      </c>
      <c r="M82" s="207">
        <f>SUMIFS('08-21addition'!$F:$F,'08-21addition'!$B:$B,M$38,'08-21addition'!$A:$A,'Biomass&amp;MSW'!$A83)*10</f>
        <v>0</v>
      </c>
      <c r="N82" s="207">
        <f>SUMIFS('08-21addition'!$F:$F,'08-21addition'!$B:$B,N$38,'08-21addition'!$A:$A,'Biomass&amp;MSW'!$A83)*10</f>
        <v>75</v>
      </c>
      <c r="O82" s="207">
        <f>SUMIFS('08-21addition'!$F:$F,'08-21addition'!$B:$B,O$38,'08-21addition'!$A:$A,'Biomass&amp;MSW'!$A83)*10</f>
        <v>40</v>
      </c>
      <c r="P82" s="207">
        <f>SUMIFS('08-21addition'!$F:$F,'08-21addition'!$B:$B,P$38,'08-21addition'!$A:$A,'Biomass&amp;MSW'!$A83)*10</f>
        <v>0</v>
      </c>
      <c r="Q82" s="207">
        <f>SUMIFS('08-21addition'!$F:$F,'08-21addition'!$B:$B,Q$38,'08-21addition'!$A:$A,'Biomass&amp;MSW'!$A83)*10</f>
        <v>0</v>
      </c>
      <c r="R82" s="207">
        <f>SUMIFS('08-21addition'!$F:$F,'08-21addition'!$B:$B,R$38,'08-21addition'!$A:$A,'Biomass&amp;MSW'!$A83)*10</f>
        <v>36</v>
      </c>
      <c r="S82" s="207">
        <f>SUMIFS('08-21addition'!$F:$F,'08-21addition'!$B:$B,S$38,'08-21addition'!$A:$A,'Biomass&amp;MSW'!$A83)*10</f>
        <v>0</v>
      </c>
      <c r="T82" s="207">
        <f>SUMIFS('08-21addition'!$F:$F,'08-21addition'!$B:$B,T$38,'08-21addition'!$A:$A,'Biomass&amp;MSW'!$A83)*10</f>
        <v>150</v>
      </c>
      <c r="U82" s="207">
        <f>SUMIFS('08-21addition'!$F:$F,'08-21addition'!$B:$B,U$38,'08-21addition'!$A:$A,'Biomass&amp;MSW'!$A83)*10</f>
        <v>0</v>
      </c>
      <c r="V82" s="207">
        <f>SUMIFS('08-21addition'!$F:$F,'08-21addition'!$B:$B,V$38,'08-21addition'!$A:$A,'Biomass&amp;MSW'!$A83)*10</f>
        <v>120</v>
      </c>
    </row>
    <row r="83" spans="1:22">
      <c r="A83" s="22" t="s">
        <v>98</v>
      </c>
      <c r="B83" s="206">
        <f t="shared" ref="B83:I83" si="60">(IFERROR((1-$W13),0)*$D13)/8*10</f>
        <v>13.125</v>
      </c>
      <c r="C83" s="206">
        <f t="shared" si="60"/>
        <v>13.125</v>
      </c>
      <c r="D83" s="206">
        <f t="shared" si="60"/>
        <v>13.125</v>
      </c>
      <c r="E83" s="206">
        <f t="shared" si="60"/>
        <v>13.125</v>
      </c>
      <c r="F83" s="206">
        <f t="shared" si="60"/>
        <v>13.125</v>
      </c>
      <c r="G83" s="206">
        <f t="shared" si="60"/>
        <v>13.125</v>
      </c>
      <c r="H83" s="206">
        <f t="shared" si="60"/>
        <v>13.125</v>
      </c>
      <c r="I83" s="206">
        <f t="shared" si="60"/>
        <v>13.125</v>
      </c>
      <c r="J83" s="207">
        <f>SUMIFS('08-21addition'!$F:$F,'08-21addition'!$B:$B,J$38,'08-21addition'!$A:$A,'Biomass&amp;MSW'!$A84)*10</f>
        <v>45.5</v>
      </c>
      <c r="K83" s="207">
        <f>SUMIFS('08-21addition'!$F:$F,'08-21addition'!$B:$B,K$38,'08-21addition'!$A:$A,'Biomass&amp;MSW'!$A84)*10</f>
        <v>62</v>
      </c>
      <c r="L83" s="207">
        <f>SUMIFS('08-21addition'!$F:$F,'08-21addition'!$B:$B,L$38,'08-21addition'!$A:$A,'Biomass&amp;MSW'!$A84)*10</f>
        <v>68.5</v>
      </c>
      <c r="M83" s="207">
        <f>SUMIFS('08-21addition'!$F:$F,'08-21addition'!$B:$B,M$38,'08-21addition'!$A:$A,'Biomass&amp;MSW'!$A84)*10</f>
        <v>7.5</v>
      </c>
      <c r="N83" s="207">
        <f>SUMIFS('08-21addition'!$F:$F,'08-21addition'!$B:$B,N$38,'08-21addition'!$A:$A,'Biomass&amp;MSW'!$A84)*10</f>
        <v>117</v>
      </c>
      <c r="O83" s="207">
        <f>SUMIFS('08-21addition'!$F:$F,'08-21addition'!$B:$B,O$38,'08-21addition'!$A:$A,'Biomass&amp;MSW'!$A84)*10</f>
        <v>0</v>
      </c>
      <c r="P83" s="207">
        <f>SUMIFS('08-21addition'!$F:$F,'08-21addition'!$B:$B,P$38,'08-21addition'!$A:$A,'Biomass&amp;MSW'!$A84)*10</f>
        <v>22</v>
      </c>
      <c r="Q83" s="207">
        <f>SUMIFS('08-21addition'!$F:$F,'08-21addition'!$B:$B,Q$38,'08-21addition'!$A:$A,'Biomass&amp;MSW'!$A84)*10</f>
        <v>6</v>
      </c>
      <c r="R83" s="207">
        <f>SUMIFS('08-21addition'!$F:$F,'08-21addition'!$B:$B,R$38,'08-21addition'!$A:$A,'Biomass&amp;MSW'!$A84)*10</f>
        <v>120</v>
      </c>
      <c r="S83" s="207">
        <f>SUMIFS('08-21addition'!$F:$F,'08-21addition'!$B:$B,S$38,'08-21addition'!$A:$A,'Biomass&amp;MSW'!$A84)*10</f>
        <v>123.5</v>
      </c>
      <c r="T83" s="207">
        <f>SUMIFS('08-21addition'!$F:$F,'08-21addition'!$B:$B,T$38,'08-21addition'!$A:$A,'Biomass&amp;MSW'!$A84)*10</f>
        <v>336.7</v>
      </c>
      <c r="U83" s="207">
        <f>SUMIFS('08-21addition'!$F:$F,'08-21addition'!$B:$B,U$38,'08-21addition'!$A:$A,'Biomass&amp;MSW'!$A84)*10</f>
        <v>241</v>
      </c>
      <c r="V83" s="207">
        <f>SUMIFS('08-21addition'!$F:$F,'08-21addition'!$B:$B,V$38,'08-21addition'!$A:$A,'Biomass&amp;MSW'!$A84)*10</f>
        <v>442</v>
      </c>
    </row>
    <row r="84" spans="1:22">
      <c r="A84" s="22" t="s">
        <v>100</v>
      </c>
      <c r="B84" s="206">
        <f t="shared" ref="B84:I84" si="61">(IFERROR((1-$W14),0)*$D14)/8*10</f>
        <v>57.6875</v>
      </c>
      <c r="C84" s="206">
        <f t="shared" si="61"/>
        <v>57.6875</v>
      </c>
      <c r="D84" s="206">
        <f t="shared" si="61"/>
        <v>57.6875</v>
      </c>
      <c r="E84" s="206">
        <f t="shared" si="61"/>
        <v>57.6875</v>
      </c>
      <c r="F84" s="206">
        <f t="shared" si="61"/>
        <v>57.6875</v>
      </c>
      <c r="G84" s="206">
        <f t="shared" si="61"/>
        <v>57.6875</v>
      </c>
      <c r="H84" s="206">
        <f t="shared" si="61"/>
        <v>57.6875</v>
      </c>
      <c r="I84" s="206">
        <f t="shared" si="61"/>
        <v>57.6875</v>
      </c>
      <c r="J84" s="207">
        <f>SUMIFS('08-21addition'!$F:$F,'08-21addition'!$B:$B,J$38,'08-21addition'!$A:$A,'Biomass&amp;MSW'!$A85)*10</f>
        <v>0</v>
      </c>
      <c r="K84" s="207">
        <f>SUMIFS('08-21addition'!$F:$F,'08-21addition'!$B:$B,K$38,'08-21addition'!$A:$A,'Biomass&amp;MSW'!$A85)*10</f>
        <v>0</v>
      </c>
      <c r="L84" s="207">
        <f>SUMIFS('08-21addition'!$F:$F,'08-21addition'!$B:$B,L$38,'08-21addition'!$A:$A,'Biomass&amp;MSW'!$A85)*10</f>
        <v>0</v>
      </c>
      <c r="M84" s="207">
        <f>SUMIFS('08-21addition'!$F:$F,'08-21addition'!$B:$B,M$38,'08-21addition'!$A:$A,'Biomass&amp;MSW'!$A85)*10</f>
        <v>0</v>
      </c>
      <c r="N84" s="207">
        <f>SUMIFS('08-21addition'!$F:$F,'08-21addition'!$B:$B,N$38,'08-21addition'!$A:$A,'Biomass&amp;MSW'!$A85)*10</f>
        <v>0</v>
      </c>
      <c r="O84" s="207">
        <f>SUMIFS('08-21addition'!$F:$F,'08-21addition'!$B:$B,O$38,'08-21addition'!$A:$A,'Biomass&amp;MSW'!$A85)*10</f>
        <v>0</v>
      </c>
      <c r="P84" s="207">
        <f>SUMIFS('08-21addition'!$F:$F,'08-21addition'!$B:$B,P$38,'08-21addition'!$A:$A,'Biomass&amp;MSW'!$A85)*10</f>
        <v>0</v>
      </c>
      <c r="Q84" s="207">
        <f>SUMIFS('08-21addition'!$F:$F,'08-21addition'!$B:$B,Q$38,'08-21addition'!$A:$A,'Biomass&amp;MSW'!$A85)*10</f>
        <v>32.5</v>
      </c>
      <c r="R84" s="207">
        <f>SUMIFS('08-21addition'!$F:$F,'08-21addition'!$B:$B,R$38,'08-21addition'!$A:$A,'Biomass&amp;MSW'!$A85)*10</f>
        <v>256.5</v>
      </c>
      <c r="S84" s="207">
        <f>SUMIFS('08-21addition'!$F:$F,'08-21addition'!$B:$B,S$38,'08-21addition'!$A:$A,'Biomass&amp;MSW'!$A85)*10</f>
        <v>314</v>
      </c>
      <c r="T84" s="207">
        <f>SUMIFS('08-21addition'!$F:$F,'08-21addition'!$B:$B,T$38,'08-21addition'!$A:$A,'Biomass&amp;MSW'!$A85)*10</f>
        <v>183</v>
      </c>
      <c r="U84" s="207">
        <f>SUMIFS('08-21addition'!$F:$F,'08-21addition'!$B:$B,U$38,'08-21addition'!$A:$A,'Biomass&amp;MSW'!$A85)*10</f>
        <v>501</v>
      </c>
      <c r="V84" s="207">
        <f>SUMIFS('08-21addition'!$F:$F,'08-21addition'!$B:$B,V$38,'08-21addition'!$A:$A,'Biomass&amp;MSW'!$A85)*10</f>
        <v>580.5</v>
      </c>
    </row>
    <row r="85" spans="1:22">
      <c r="A85" s="22" t="s">
        <v>102</v>
      </c>
      <c r="B85" s="206">
        <f t="shared" ref="B85:I85" si="62">(IFERROR((1-$W15),0)*$D15)/8*10</f>
        <v>123.4375</v>
      </c>
      <c r="C85" s="206">
        <f t="shared" si="62"/>
        <v>123.4375</v>
      </c>
      <c r="D85" s="206">
        <f t="shared" si="62"/>
        <v>123.4375</v>
      </c>
      <c r="E85" s="206">
        <f t="shared" si="62"/>
        <v>123.4375</v>
      </c>
      <c r="F85" s="206">
        <f t="shared" si="62"/>
        <v>123.4375</v>
      </c>
      <c r="G85" s="206">
        <f t="shared" si="62"/>
        <v>123.4375</v>
      </c>
      <c r="H85" s="206">
        <f t="shared" si="62"/>
        <v>123.4375</v>
      </c>
      <c r="I85" s="206">
        <f t="shared" si="62"/>
        <v>123.4375</v>
      </c>
      <c r="J85" s="207">
        <f>SUMIFS('08-21addition'!$F:$F,'08-21addition'!$B:$B,J$38,'08-21addition'!$A:$A,'Biomass&amp;MSW'!$A86)*10</f>
        <v>0</v>
      </c>
      <c r="K85" s="207">
        <f>SUMIFS('08-21addition'!$F:$F,'08-21addition'!$B:$B,K$38,'08-21addition'!$A:$A,'Biomass&amp;MSW'!$A86)*10</f>
        <v>0</v>
      </c>
      <c r="L85" s="207">
        <f>SUMIFS('08-21addition'!$F:$F,'08-21addition'!$B:$B,L$38,'08-21addition'!$A:$A,'Biomass&amp;MSW'!$A86)*10</f>
        <v>0</v>
      </c>
      <c r="M85" s="207">
        <f>SUMIFS('08-21addition'!$F:$F,'08-21addition'!$B:$B,M$38,'08-21addition'!$A:$A,'Biomass&amp;MSW'!$A86)*10</f>
        <v>1</v>
      </c>
      <c r="N85" s="207">
        <f>SUMIFS('08-21addition'!$F:$F,'08-21addition'!$B:$B,N$38,'08-21addition'!$A:$A,'Biomass&amp;MSW'!$A86)*10</f>
        <v>0</v>
      </c>
      <c r="O85" s="207">
        <f>SUMIFS('08-21addition'!$F:$F,'08-21addition'!$B:$B,O$38,'08-21addition'!$A:$A,'Biomass&amp;MSW'!$A86)*10</f>
        <v>60</v>
      </c>
      <c r="P85" s="207">
        <f>SUMIFS('08-21addition'!$F:$F,'08-21addition'!$B:$B,P$38,'08-21addition'!$A:$A,'Biomass&amp;MSW'!$A86)*10</f>
        <v>12</v>
      </c>
      <c r="Q85" s="207">
        <f>SUMIFS('08-21addition'!$F:$F,'08-21addition'!$B:$B,Q$38,'08-21addition'!$A:$A,'Biomass&amp;MSW'!$A86)*10</f>
        <v>0</v>
      </c>
      <c r="R85" s="207">
        <f>SUMIFS('08-21addition'!$F:$F,'08-21addition'!$B:$B,R$38,'08-21addition'!$A:$A,'Biomass&amp;MSW'!$A86)*10</f>
        <v>98</v>
      </c>
      <c r="S85" s="207">
        <f>SUMIFS('08-21addition'!$F:$F,'08-21addition'!$B:$B,S$38,'08-21addition'!$A:$A,'Biomass&amp;MSW'!$A86)*10</f>
        <v>108</v>
      </c>
      <c r="T85" s="207">
        <f>SUMIFS('08-21addition'!$F:$F,'08-21addition'!$B:$B,T$38,'08-21addition'!$A:$A,'Biomass&amp;MSW'!$A86)*10</f>
        <v>97.5</v>
      </c>
      <c r="U85" s="207">
        <f>SUMIFS('08-21addition'!$F:$F,'08-21addition'!$B:$B,U$38,'08-21addition'!$A:$A,'Biomass&amp;MSW'!$A86)*10</f>
        <v>101.5</v>
      </c>
      <c r="V85" s="207">
        <f>SUMIFS('08-21addition'!$F:$F,'08-21addition'!$B:$B,V$38,'08-21addition'!$A:$A,'Biomass&amp;MSW'!$A86)*10</f>
        <v>192.8</v>
      </c>
    </row>
    <row r="86" spans="1:22">
      <c r="A86" s="22" t="s">
        <v>104</v>
      </c>
      <c r="B86" s="206">
        <f t="shared" ref="B86:I86" si="63">(IFERROR((1-$W16),0)*$D16)/8*10</f>
        <v>27.125</v>
      </c>
      <c r="C86" s="206">
        <f t="shared" si="63"/>
        <v>27.125</v>
      </c>
      <c r="D86" s="206">
        <f t="shared" si="63"/>
        <v>27.125</v>
      </c>
      <c r="E86" s="206">
        <f t="shared" si="63"/>
        <v>27.125</v>
      </c>
      <c r="F86" s="206">
        <f t="shared" si="63"/>
        <v>27.125</v>
      </c>
      <c r="G86" s="206">
        <f t="shared" si="63"/>
        <v>27.125</v>
      </c>
      <c r="H86" s="206">
        <f t="shared" si="63"/>
        <v>27.125</v>
      </c>
      <c r="I86" s="206">
        <f t="shared" si="63"/>
        <v>27.125</v>
      </c>
      <c r="J86" s="207">
        <f>SUMIFS('08-21addition'!$F:$F,'08-21addition'!$B:$B,J$38,'08-21addition'!$A:$A,'Biomass&amp;MSW'!$A87)*10</f>
        <v>0</v>
      </c>
      <c r="K86" s="207">
        <f>SUMIFS('08-21addition'!$F:$F,'08-21addition'!$B:$B,K$38,'08-21addition'!$A:$A,'Biomass&amp;MSW'!$A87)*10</f>
        <v>0</v>
      </c>
      <c r="L86" s="207">
        <f>SUMIFS('08-21addition'!$F:$F,'08-21addition'!$B:$B,L$38,'08-21addition'!$A:$A,'Biomass&amp;MSW'!$A87)*10</f>
        <v>0</v>
      </c>
      <c r="M86" s="207">
        <f>SUMIFS('08-21addition'!$F:$F,'08-21addition'!$B:$B,M$38,'08-21addition'!$A:$A,'Biomass&amp;MSW'!$A87)*10</f>
        <v>0</v>
      </c>
      <c r="N86" s="207">
        <f>SUMIFS('08-21addition'!$F:$F,'08-21addition'!$B:$B,N$38,'08-21addition'!$A:$A,'Biomass&amp;MSW'!$A87)*10</f>
        <v>0</v>
      </c>
      <c r="O86" s="207">
        <f>SUMIFS('08-21addition'!$F:$F,'08-21addition'!$B:$B,O$38,'08-21addition'!$A:$A,'Biomass&amp;MSW'!$A87)*10</f>
        <v>0</v>
      </c>
      <c r="P86" s="207">
        <f>SUMIFS('08-21addition'!$F:$F,'08-21addition'!$B:$B,P$38,'08-21addition'!$A:$A,'Biomass&amp;MSW'!$A87)*10</f>
        <v>12</v>
      </c>
      <c r="Q86" s="207">
        <f>SUMIFS('08-21addition'!$F:$F,'08-21addition'!$B:$B,Q$38,'08-21addition'!$A:$A,'Biomass&amp;MSW'!$A87)*10</f>
        <v>6</v>
      </c>
      <c r="R86" s="207">
        <f>SUMIFS('08-21addition'!$F:$F,'08-21addition'!$B:$B,R$38,'08-21addition'!$A:$A,'Biomass&amp;MSW'!$A87)*10</f>
        <v>87</v>
      </c>
      <c r="S86" s="207">
        <f>SUMIFS('08-21addition'!$F:$F,'08-21addition'!$B:$B,S$38,'08-21addition'!$A:$A,'Biomass&amp;MSW'!$A87)*10</f>
        <v>48</v>
      </c>
      <c r="T86" s="207">
        <f>SUMIFS('08-21addition'!$F:$F,'08-21addition'!$B:$B,T$38,'08-21addition'!$A:$A,'Biomass&amp;MSW'!$A87)*10</f>
        <v>72</v>
      </c>
      <c r="U86" s="207">
        <f>SUMIFS('08-21addition'!$F:$F,'08-21addition'!$B:$B,U$38,'08-21addition'!$A:$A,'Biomass&amp;MSW'!$A87)*10</f>
        <v>204.8</v>
      </c>
      <c r="V86" s="207">
        <f>SUMIFS('08-21addition'!$F:$F,'08-21addition'!$B:$B,V$38,'08-21addition'!$A:$A,'Biomass&amp;MSW'!$A87)*10</f>
        <v>125</v>
      </c>
    </row>
    <row r="87" spans="1:22">
      <c r="A87" s="22" t="s">
        <v>106</v>
      </c>
      <c r="B87" s="206">
        <f t="shared" ref="B87:I87" si="64">(IFERROR((1-$W17),0)*$D17)/8*10</f>
        <v>35.25</v>
      </c>
      <c r="C87" s="206">
        <f t="shared" si="64"/>
        <v>35.25</v>
      </c>
      <c r="D87" s="206">
        <f t="shared" si="64"/>
        <v>35.25</v>
      </c>
      <c r="E87" s="206">
        <f t="shared" si="64"/>
        <v>35.25</v>
      </c>
      <c r="F87" s="206">
        <f t="shared" si="64"/>
        <v>35.25</v>
      </c>
      <c r="G87" s="206">
        <f t="shared" si="64"/>
        <v>35.25</v>
      </c>
      <c r="H87" s="206">
        <f t="shared" si="64"/>
        <v>35.25</v>
      </c>
      <c r="I87" s="206">
        <f t="shared" si="64"/>
        <v>35.25</v>
      </c>
      <c r="J87" s="207">
        <f>SUMIFS('08-21addition'!$F:$F,'08-21addition'!$B:$B,J$38,'08-21addition'!$A:$A,'Biomass&amp;MSW'!$A88)*10</f>
        <v>0</v>
      </c>
      <c r="K87" s="207">
        <f>SUMIFS('08-21addition'!$F:$F,'08-21addition'!$B:$B,K$38,'08-21addition'!$A:$A,'Biomass&amp;MSW'!$A88)*10</f>
        <v>0</v>
      </c>
      <c r="L87" s="207">
        <f>SUMIFS('08-21addition'!$F:$F,'08-21addition'!$B:$B,L$38,'08-21addition'!$A:$A,'Biomass&amp;MSW'!$A88)*10</f>
        <v>0</v>
      </c>
      <c r="M87" s="207">
        <f>SUMIFS('08-21addition'!$F:$F,'08-21addition'!$B:$B,M$38,'08-21addition'!$A:$A,'Biomass&amp;MSW'!$A88)*10</f>
        <v>0</v>
      </c>
      <c r="N87" s="207">
        <f>SUMIFS('08-21addition'!$F:$F,'08-21addition'!$B:$B,N$38,'08-21addition'!$A:$A,'Biomass&amp;MSW'!$A88)*10</f>
        <v>0</v>
      </c>
      <c r="O87" s="207">
        <f>SUMIFS('08-21addition'!$F:$F,'08-21addition'!$B:$B,O$38,'08-21addition'!$A:$A,'Biomass&amp;MSW'!$A88)*10</f>
        <v>0</v>
      </c>
      <c r="P87" s="207">
        <f>SUMIFS('08-21addition'!$F:$F,'08-21addition'!$B:$B,P$38,'08-21addition'!$A:$A,'Biomass&amp;MSW'!$A88)*10</f>
        <v>0</v>
      </c>
      <c r="Q87" s="207">
        <f>SUMIFS('08-21addition'!$F:$F,'08-21addition'!$B:$B,Q$38,'08-21addition'!$A:$A,'Biomass&amp;MSW'!$A88)*10</f>
        <v>9</v>
      </c>
      <c r="R87" s="207">
        <f>SUMIFS('08-21addition'!$F:$F,'08-21addition'!$B:$B,R$38,'08-21addition'!$A:$A,'Biomass&amp;MSW'!$A88)*10</f>
        <v>0</v>
      </c>
      <c r="S87" s="207">
        <f>SUMIFS('08-21addition'!$F:$F,'08-21addition'!$B:$B,S$38,'08-21addition'!$A:$A,'Biomass&amp;MSW'!$A88)*10</f>
        <v>0</v>
      </c>
      <c r="T87" s="207">
        <f>SUMIFS('08-21addition'!$F:$F,'08-21addition'!$B:$B,T$38,'08-21addition'!$A:$A,'Biomass&amp;MSW'!$A88)*10</f>
        <v>0</v>
      </c>
      <c r="U87" s="207">
        <f>SUMIFS('08-21addition'!$F:$F,'08-21addition'!$B:$B,U$38,'08-21addition'!$A:$A,'Biomass&amp;MSW'!$A88)*10</f>
        <v>246.5</v>
      </c>
      <c r="V87" s="207">
        <f>SUMIFS('08-21addition'!$F:$F,'08-21addition'!$B:$B,V$38,'08-21addition'!$A:$A,'Biomass&amp;MSW'!$A88)*10</f>
        <v>305</v>
      </c>
    </row>
    <row r="88" spans="1:22">
      <c r="A88" s="22" t="s">
        <v>108</v>
      </c>
      <c r="B88" s="206">
        <f t="shared" ref="B88:I88" si="65">(IFERROR((1-$W18),0)*$D18)/8*10</f>
        <v>7.625</v>
      </c>
      <c r="C88" s="206">
        <f t="shared" si="65"/>
        <v>7.625</v>
      </c>
      <c r="D88" s="206">
        <f t="shared" si="65"/>
        <v>7.625</v>
      </c>
      <c r="E88" s="206">
        <f t="shared" si="65"/>
        <v>7.625</v>
      </c>
      <c r="F88" s="206">
        <f t="shared" si="65"/>
        <v>7.625</v>
      </c>
      <c r="G88" s="206">
        <f t="shared" si="65"/>
        <v>7.625</v>
      </c>
      <c r="H88" s="206">
        <f t="shared" si="65"/>
        <v>7.625</v>
      </c>
      <c r="I88" s="206">
        <f t="shared" si="65"/>
        <v>7.625</v>
      </c>
      <c r="J88" s="207">
        <f>SUMIFS('08-21addition'!$F:$F,'08-21addition'!$B:$B,J$38,'08-21addition'!$A:$A,'Biomass&amp;MSW'!$A89)*10</f>
        <v>18</v>
      </c>
      <c r="K88" s="207">
        <f>SUMIFS('08-21addition'!$F:$F,'08-21addition'!$B:$B,K$38,'08-21addition'!$A:$A,'Biomass&amp;MSW'!$A89)*10</f>
        <v>3</v>
      </c>
      <c r="L88" s="207">
        <f>SUMIFS('08-21addition'!$F:$F,'08-21addition'!$B:$B,L$38,'08-21addition'!$A:$A,'Biomass&amp;MSW'!$A89)*10</f>
        <v>49.1</v>
      </c>
      <c r="M88" s="207">
        <f>SUMIFS('08-21addition'!$F:$F,'08-21addition'!$B:$B,M$38,'08-21addition'!$A:$A,'Biomass&amp;MSW'!$A89)*10</f>
        <v>47.7</v>
      </c>
      <c r="N88" s="207">
        <f>SUMIFS('08-21addition'!$F:$F,'08-21addition'!$B:$B,N$38,'08-21addition'!$A:$A,'Biomass&amp;MSW'!$A89)*10</f>
        <v>51</v>
      </c>
      <c r="O88" s="207">
        <f>SUMIFS('08-21addition'!$F:$F,'08-21addition'!$B:$B,O$38,'08-21addition'!$A:$A,'Biomass&amp;MSW'!$A89)*10</f>
        <v>63</v>
      </c>
      <c r="P88" s="207">
        <f>SUMIFS('08-21addition'!$F:$F,'08-21addition'!$B:$B,P$38,'08-21addition'!$A:$A,'Biomass&amp;MSW'!$A89)*10</f>
        <v>0</v>
      </c>
      <c r="Q88" s="207">
        <f>SUMIFS('08-21addition'!$F:$F,'08-21addition'!$B:$B,Q$38,'08-21addition'!$A:$A,'Biomass&amp;MSW'!$A89)*10</f>
        <v>0</v>
      </c>
      <c r="R88" s="207">
        <f>SUMIFS('08-21addition'!$F:$F,'08-21addition'!$B:$B,R$38,'08-21addition'!$A:$A,'Biomass&amp;MSW'!$A89)*10</f>
        <v>255.5</v>
      </c>
      <c r="S88" s="207">
        <f>SUMIFS('08-21addition'!$F:$F,'08-21addition'!$B:$B,S$38,'08-21addition'!$A:$A,'Biomass&amp;MSW'!$A89)*10</f>
        <v>280</v>
      </c>
      <c r="T88" s="207">
        <f>SUMIFS('08-21addition'!$F:$F,'08-21addition'!$B:$B,T$38,'08-21addition'!$A:$A,'Biomass&amp;MSW'!$A89)*10</f>
        <v>306</v>
      </c>
      <c r="U88" s="207">
        <f>SUMIFS('08-21addition'!$F:$F,'08-21addition'!$B:$B,U$38,'08-21addition'!$A:$A,'Biomass&amp;MSW'!$A89)*10</f>
        <v>327</v>
      </c>
      <c r="V88" s="207">
        <f>SUMIFS('08-21addition'!$F:$F,'08-21addition'!$B:$B,V$38,'08-21addition'!$A:$A,'Biomass&amp;MSW'!$A89)*10</f>
        <v>419</v>
      </c>
    </row>
    <row r="89" spans="1:22">
      <c r="A89" s="22" t="s">
        <v>110</v>
      </c>
      <c r="B89" s="206">
        <f t="shared" ref="B89:I89" si="66">(IFERROR((1-$W19),0)*$D19)/8*10</f>
        <v>41.025</v>
      </c>
      <c r="C89" s="206">
        <f t="shared" si="66"/>
        <v>41.025</v>
      </c>
      <c r="D89" s="206">
        <f t="shared" si="66"/>
        <v>41.025</v>
      </c>
      <c r="E89" s="206">
        <f t="shared" si="66"/>
        <v>41.025</v>
      </c>
      <c r="F89" s="206">
        <f t="shared" si="66"/>
        <v>41.025</v>
      </c>
      <c r="G89" s="206">
        <f t="shared" si="66"/>
        <v>41.025</v>
      </c>
      <c r="H89" s="206">
        <f t="shared" si="66"/>
        <v>41.025</v>
      </c>
      <c r="I89" s="206">
        <f t="shared" si="66"/>
        <v>41.025</v>
      </c>
      <c r="J89" s="207">
        <f>SUMIFS('08-21addition'!$F:$F,'08-21addition'!$B:$B,J$38,'08-21addition'!$A:$A,'Biomass&amp;MSW'!$A90)*10</f>
        <v>0</v>
      </c>
      <c r="K89" s="207">
        <f>SUMIFS('08-21addition'!$F:$F,'08-21addition'!$B:$B,K$38,'08-21addition'!$A:$A,'Biomass&amp;MSW'!$A90)*10</f>
        <v>0</v>
      </c>
      <c r="L89" s="207">
        <f>SUMIFS('08-21addition'!$F:$F,'08-21addition'!$B:$B,L$38,'08-21addition'!$A:$A,'Biomass&amp;MSW'!$A90)*10</f>
        <v>0</v>
      </c>
      <c r="M89" s="207">
        <f>SUMIFS('08-21addition'!$F:$F,'08-21addition'!$B:$B,M$38,'08-21addition'!$A:$A,'Biomass&amp;MSW'!$A90)*10</f>
        <v>0</v>
      </c>
      <c r="N89" s="207">
        <f>SUMIFS('08-21addition'!$F:$F,'08-21addition'!$B:$B,N$38,'08-21addition'!$A:$A,'Biomass&amp;MSW'!$A90)*10</f>
        <v>0</v>
      </c>
      <c r="O89" s="207">
        <f>SUMIFS('08-21addition'!$F:$F,'08-21addition'!$B:$B,O$38,'08-21addition'!$A:$A,'Biomass&amp;MSW'!$A90)*10</f>
        <v>0</v>
      </c>
      <c r="P89" s="207">
        <f>SUMIFS('08-21addition'!$F:$F,'08-21addition'!$B:$B,P$38,'08-21addition'!$A:$A,'Biomass&amp;MSW'!$A90)*10</f>
        <v>0</v>
      </c>
      <c r="Q89" s="207">
        <f>SUMIFS('08-21addition'!$F:$F,'08-21addition'!$B:$B,Q$38,'08-21addition'!$A:$A,'Biomass&amp;MSW'!$A90)*10</f>
        <v>0</v>
      </c>
      <c r="R89" s="207">
        <f>SUMIFS('08-21addition'!$F:$F,'08-21addition'!$B:$B,R$38,'08-21addition'!$A:$A,'Biomass&amp;MSW'!$A90)*10</f>
        <v>0</v>
      </c>
      <c r="S89" s="207">
        <f>SUMIFS('08-21addition'!$F:$F,'08-21addition'!$B:$B,S$38,'08-21addition'!$A:$A,'Biomass&amp;MSW'!$A90)*10</f>
        <v>65</v>
      </c>
      <c r="T89" s="207">
        <f>SUMIFS('08-21addition'!$F:$F,'08-21addition'!$B:$B,T$38,'08-21addition'!$A:$A,'Biomass&amp;MSW'!$A90)*10</f>
        <v>79.5</v>
      </c>
      <c r="U89" s="207">
        <f>SUMIFS('08-21addition'!$F:$F,'08-21addition'!$B:$B,U$38,'08-21addition'!$A:$A,'Biomass&amp;MSW'!$A90)*10</f>
        <v>281</v>
      </c>
      <c r="V89" s="207">
        <f>SUMIFS('08-21addition'!$F:$F,'08-21addition'!$B:$B,V$38,'08-21addition'!$A:$A,'Biomass&amp;MSW'!$A90)*10</f>
        <v>547.5</v>
      </c>
    </row>
    <row r="90" spans="1:22">
      <c r="A90" s="22" t="s">
        <v>112</v>
      </c>
      <c r="B90" s="206">
        <f t="shared" ref="B90:I90" si="67">(IFERROR((1-$W20),0)*$D20)/8*10</f>
        <v>10</v>
      </c>
      <c r="C90" s="206">
        <f t="shared" si="67"/>
        <v>10</v>
      </c>
      <c r="D90" s="206">
        <f t="shared" si="67"/>
        <v>10</v>
      </c>
      <c r="E90" s="206">
        <f t="shared" si="67"/>
        <v>10</v>
      </c>
      <c r="F90" s="206">
        <f t="shared" si="67"/>
        <v>10</v>
      </c>
      <c r="G90" s="206">
        <f t="shared" si="67"/>
        <v>10</v>
      </c>
      <c r="H90" s="206">
        <f t="shared" si="67"/>
        <v>10</v>
      </c>
      <c r="I90" s="206">
        <f t="shared" si="67"/>
        <v>10</v>
      </c>
      <c r="J90" s="207">
        <f>SUMIFS('08-21addition'!$F:$F,'08-21addition'!$B:$B,J$38,'08-21addition'!$A:$A,'Biomass&amp;MSW'!$A91)*10</f>
        <v>0</v>
      </c>
      <c r="K90" s="207">
        <f>SUMIFS('08-21addition'!$F:$F,'08-21addition'!$B:$B,K$38,'08-21addition'!$A:$A,'Biomass&amp;MSW'!$A91)*10</f>
        <v>24</v>
      </c>
      <c r="L90" s="207">
        <f>SUMIFS('08-21addition'!$F:$F,'08-21addition'!$B:$B,L$38,'08-21addition'!$A:$A,'Biomass&amp;MSW'!$A91)*10</f>
        <v>0</v>
      </c>
      <c r="M90" s="207">
        <f>SUMIFS('08-21addition'!$F:$F,'08-21addition'!$B:$B,M$38,'08-21addition'!$A:$A,'Biomass&amp;MSW'!$A91)*10</f>
        <v>60</v>
      </c>
      <c r="N90" s="207">
        <f>SUMIFS('08-21addition'!$F:$F,'08-21addition'!$B:$B,N$38,'08-21addition'!$A:$A,'Biomass&amp;MSW'!$A91)*10</f>
        <v>25</v>
      </c>
      <c r="O90" s="207">
        <f>SUMIFS('08-21addition'!$F:$F,'08-21addition'!$B:$B,O$38,'08-21addition'!$A:$A,'Biomass&amp;MSW'!$A91)*10</f>
        <v>0</v>
      </c>
      <c r="P90" s="207">
        <f>SUMIFS('08-21addition'!$F:$F,'08-21addition'!$B:$B,P$38,'08-21addition'!$A:$A,'Biomass&amp;MSW'!$A91)*10</f>
        <v>0</v>
      </c>
      <c r="Q90" s="207">
        <f>SUMIFS('08-21addition'!$F:$F,'08-21addition'!$B:$B,Q$38,'08-21addition'!$A:$A,'Biomass&amp;MSW'!$A91)*10</f>
        <v>14</v>
      </c>
      <c r="R90" s="207">
        <f>SUMIFS('08-21addition'!$F:$F,'08-21addition'!$B:$B,R$38,'08-21addition'!$A:$A,'Biomass&amp;MSW'!$A91)*10</f>
        <v>24</v>
      </c>
      <c r="S90" s="207">
        <f>SUMIFS('08-21addition'!$F:$F,'08-21addition'!$B:$B,S$38,'08-21addition'!$A:$A,'Biomass&amp;MSW'!$A91)*10</f>
        <v>9</v>
      </c>
      <c r="T90" s="207">
        <f>SUMIFS('08-21addition'!$F:$F,'08-21addition'!$B:$B,T$38,'08-21addition'!$A:$A,'Biomass&amp;MSW'!$A91)*10</f>
        <v>17.5</v>
      </c>
      <c r="U90" s="207">
        <f>SUMIFS('08-21addition'!$F:$F,'08-21addition'!$B:$B,U$38,'08-21addition'!$A:$A,'Biomass&amp;MSW'!$A91)*10</f>
        <v>96.5</v>
      </c>
      <c r="V90" s="207">
        <f>SUMIFS('08-21addition'!$F:$F,'08-21addition'!$B:$B,V$38,'08-21addition'!$A:$A,'Biomass&amp;MSW'!$A91)*10</f>
        <v>111</v>
      </c>
    </row>
    <row r="91" spans="1:22">
      <c r="A91" s="22" t="s">
        <v>114</v>
      </c>
      <c r="B91" s="206">
        <f t="shared" ref="B91:I91" si="68">(IFERROR((1-$W21),0)*$D21)/8*10</f>
        <v>10.875</v>
      </c>
      <c r="C91" s="206">
        <f t="shared" si="68"/>
        <v>10.875</v>
      </c>
      <c r="D91" s="206">
        <f t="shared" si="68"/>
        <v>10.875</v>
      </c>
      <c r="E91" s="206">
        <f t="shared" si="68"/>
        <v>10.875</v>
      </c>
      <c r="F91" s="206">
        <f t="shared" si="68"/>
        <v>10.875</v>
      </c>
      <c r="G91" s="206">
        <f t="shared" si="68"/>
        <v>10.875</v>
      </c>
      <c r="H91" s="206">
        <f t="shared" si="68"/>
        <v>10.875</v>
      </c>
      <c r="I91" s="206">
        <f t="shared" si="68"/>
        <v>10.875</v>
      </c>
      <c r="J91" s="207">
        <f>SUMIFS('08-21addition'!$F:$F,'08-21addition'!$B:$B,J$38,'08-21addition'!$A:$A,'Biomass&amp;MSW'!$A92)*10</f>
        <v>1</v>
      </c>
      <c r="K91" s="207">
        <f>SUMIFS('08-21addition'!$F:$F,'08-21addition'!$B:$B,K$38,'08-21addition'!$A:$A,'Biomass&amp;MSW'!$A92)*10</f>
        <v>1</v>
      </c>
      <c r="L91" s="207">
        <f>SUMIFS('08-21addition'!$F:$F,'08-21addition'!$B:$B,L$38,'08-21addition'!$A:$A,'Biomass&amp;MSW'!$A92)*10</f>
        <v>25.2</v>
      </c>
      <c r="M91" s="207">
        <f>SUMIFS('08-21addition'!$F:$F,'08-21addition'!$B:$B,M$38,'08-21addition'!$A:$A,'Biomass&amp;MSW'!$A92)*10</f>
        <v>0</v>
      </c>
      <c r="N91" s="207">
        <f>SUMIFS('08-21addition'!$F:$F,'08-21addition'!$B:$B,N$38,'08-21addition'!$A:$A,'Biomass&amp;MSW'!$A92)*10</f>
        <v>1</v>
      </c>
      <c r="O91" s="207">
        <f>SUMIFS('08-21addition'!$F:$F,'08-21addition'!$B:$B,O$38,'08-21addition'!$A:$A,'Biomass&amp;MSW'!$A92)*10</f>
        <v>0</v>
      </c>
      <c r="P91" s="207">
        <f>SUMIFS('08-21addition'!$F:$F,'08-21addition'!$B:$B,P$38,'08-21addition'!$A:$A,'Biomass&amp;MSW'!$A92)*10</f>
        <v>12</v>
      </c>
      <c r="Q91" s="207">
        <f>SUMIFS('08-21addition'!$F:$F,'08-21addition'!$B:$B,Q$38,'08-21addition'!$A:$A,'Biomass&amp;MSW'!$A92)*10</f>
        <v>0</v>
      </c>
      <c r="R91" s="207">
        <f>SUMIFS('08-21addition'!$F:$F,'08-21addition'!$B:$B,R$38,'08-21addition'!$A:$A,'Biomass&amp;MSW'!$A92)*10</f>
        <v>43</v>
      </c>
      <c r="S91" s="207">
        <f>SUMIFS('08-21addition'!$F:$F,'08-21addition'!$B:$B,S$38,'08-21addition'!$A:$A,'Biomass&amp;MSW'!$A92)*10</f>
        <v>128.5</v>
      </c>
      <c r="T91" s="207">
        <f>SUMIFS('08-21addition'!$F:$F,'08-21addition'!$B:$B,T$38,'08-21addition'!$A:$A,'Biomass&amp;MSW'!$A92)*10</f>
        <v>15</v>
      </c>
      <c r="U91" s="207">
        <f>SUMIFS('08-21addition'!$F:$F,'08-21addition'!$B:$B,U$38,'08-21addition'!$A:$A,'Biomass&amp;MSW'!$A92)*10</f>
        <v>6</v>
      </c>
      <c r="V91" s="207">
        <f>SUMIFS('08-21addition'!$F:$F,'08-21addition'!$B:$B,V$38,'08-21addition'!$A:$A,'Biomass&amp;MSW'!$A92)*10</f>
        <v>217.5</v>
      </c>
    </row>
    <row r="92" spans="1:22">
      <c r="A92" s="22" t="s">
        <v>116</v>
      </c>
      <c r="B92" s="206">
        <f t="shared" ref="B92:I92" si="69">(IFERROR((1-$W22),0)*$D22)/8*10</f>
        <v>7.475</v>
      </c>
      <c r="C92" s="206">
        <f t="shared" si="69"/>
        <v>7.475</v>
      </c>
      <c r="D92" s="206">
        <f t="shared" si="69"/>
        <v>7.475</v>
      </c>
      <c r="E92" s="206">
        <f t="shared" si="69"/>
        <v>7.475</v>
      </c>
      <c r="F92" s="206">
        <f t="shared" si="69"/>
        <v>7.475</v>
      </c>
      <c r="G92" s="206">
        <f t="shared" si="69"/>
        <v>7.475</v>
      </c>
      <c r="H92" s="206">
        <f t="shared" si="69"/>
        <v>7.475</v>
      </c>
      <c r="I92" s="206">
        <f t="shared" si="69"/>
        <v>7.475</v>
      </c>
      <c r="J92" s="207">
        <f>SUMIFS('08-21addition'!$F:$F,'08-21addition'!$B:$B,J$38,'08-21addition'!$A:$A,'Biomass&amp;MSW'!$A93)*10</f>
        <v>0</v>
      </c>
      <c r="K92" s="207">
        <f>SUMIFS('08-21addition'!$F:$F,'08-21addition'!$B:$B,K$38,'08-21addition'!$A:$A,'Biomass&amp;MSW'!$A93)*10</f>
        <v>0</v>
      </c>
      <c r="L92" s="207">
        <f>SUMIFS('08-21addition'!$F:$F,'08-21addition'!$B:$B,L$38,'08-21addition'!$A:$A,'Biomass&amp;MSW'!$A93)*10</f>
        <v>54</v>
      </c>
      <c r="M92" s="207">
        <f>SUMIFS('08-21addition'!$F:$F,'08-21addition'!$B:$B,M$38,'08-21addition'!$A:$A,'Biomass&amp;MSW'!$A93)*10</f>
        <v>0</v>
      </c>
      <c r="N92" s="207">
        <f>SUMIFS('08-21addition'!$F:$F,'08-21addition'!$B:$B,N$38,'08-21addition'!$A:$A,'Biomass&amp;MSW'!$A93)*10</f>
        <v>0</v>
      </c>
      <c r="O92" s="207">
        <f>SUMIFS('08-21addition'!$F:$F,'08-21addition'!$B:$B,O$38,'08-21addition'!$A:$A,'Biomass&amp;MSW'!$A93)*10</f>
        <v>0</v>
      </c>
      <c r="P92" s="207">
        <f>SUMIFS('08-21addition'!$F:$F,'08-21addition'!$B:$B,P$38,'08-21addition'!$A:$A,'Biomass&amp;MSW'!$A93)*10</f>
        <v>0</v>
      </c>
      <c r="Q92" s="207">
        <f>SUMIFS('08-21addition'!$F:$F,'08-21addition'!$B:$B,Q$38,'08-21addition'!$A:$A,'Biomass&amp;MSW'!$A93)*10</f>
        <v>0</v>
      </c>
      <c r="R92" s="207">
        <f>SUMIFS('08-21addition'!$F:$F,'08-21addition'!$B:$B,R$38,'08-21addition'!$A:$A,'Biomass&amp;MSW'!$A93)*10</f>
        <v>0</v>
      </c>
      <c r="S92" s="207">
        <f>SUMIFS('08-21addition'!$F:$F,'08-21addition'!$B:$B,S$38,'08-21addition'!$A:$A,'Biomass&amp;MSW'!$A93)*10</f>
        <v>0</v>
      </c>
      <c r="T92" s="207">
        <f>SUMIFS('08-21addition'!$F:$F,'08-21addition'!$B:$B,T$38,'08-21addition'!$A:$A,'Biomass&amp;MSW'!$A93)*10</f>
        <v>711</v>
      </c>
      <c r="U92" s="207">
        <f>SUMIFS('08-21addition'!$F:$F,'08-21addition'!$B:$B,U$38,'08-21addition'!$A:$A,'Biomass&amp;MSW'!$A93)*10</f>
        <v>0</v>
      </c>
      <c r="V92" s="207">
        <f>SUMIFS('08-21addition'!$F:$F,'08-21addition'!$B:$B,V$38,'08-21addition'!$A:$A,'Biomass&amp;MSW'!$A93)*10</f>
        <v>772.5</v>
      </c>
    </row>
    <row r="93" spans="1:22">
      <c r="A93" s="22" t="s">
        <v>118</v>
      </c>
      <c r="B93" s="206">
        <f t="shared" ref="B93:I93" si="70">(IFERROR((1-$W23),0)*$D23)/8*10</f>
        <v>70.75</v>
      </c>
      <c r="C93" s="206">
        <f t="shared" si="70"/>
        <v>70.75</v>
      </c>
      <c r="D93" s="206">
        <f t="shared" si="70"/>
        <v>70.75</v>
      </c>
      <c r="E93" s="206">
        <f t="shared" si="70"/>
        <v>70.75</v>
      </c>
      <c r="F93" s="206">
        <f t="shared" si="70"/>
        <v>70.75</v>
      </c>
      <c r="G93" s="206">
        <f t="shared" si="70"/>
        <v>70.75</v>
      </c>
      <c r="H93" s="206">
        <f t="shared" si="70"/>
        <v>70.75</v>
      </c>
      <c r="I93" s="206">
        <f t="shared" si="70"/>
        <v>70.75</v>
      </c>
      <c r="J93" s="207">
        <f>SUMIFS('08-21addition'!$F:$F,'08-21addition'!$B:$B,J$38,'08-21addition'!$A:$A,'Biomass&amp;MSW'!$A94)*10</f>
        <v>0</v>
      </c>
      <c r="K93" s="207">
        <f>SUMIFS('08-21addition'!$F:$F,'08-21addition'!$B:$B,K$38,'08-21addition'!$A:$A,'Biomass&amp;MSW'!$A94)*10</f>
        <v>0</v>
      </c>
      <c r="L93" s="207">
        <f>SUMIFS('08-21addition'!$F:$F,'08-21addition'!$B:$B,L$38,'08-21addition'!$A:$A,'Biomass&amp;MSW'!$A94)*10</f>
        <v>0</v>
      </c>
      <c r="M93" s="207">
        <f>SUMIFS('08-21addition'!$F:$F,'08-21addition'!$B:$B,M$38,'08-21addition'!$A:$A,'Biomass&amp;MSW'!$A94)*10</f>
        <v>0</v>
      </c>
      <c r="N93" s="207">
        <f>SUMIFS('08-21addition'!$F:$F,'08-21addition'!$B:$B,N$38,'08-21addition'!$A:$A,'Biomass&amp;MSW'!$A94)*10</f>
        <v>0</v>
      </c>
      <c r="O93" s="207">
        <f>SUMIFS('08-21addition'!$F:$F,'08-21addition'!$B:$B,O$38,'08-21addition'!$A:$A,'Biomass&amp;MSW'!$A94)*10</f>
        <v>0</v>
      </c>
      <c r="P93" s="207">
        <f>SUMIFS('08-21addition'!$F:$F,'08-21addition'!$B:$B,P$38,'08-21addition'!$A:$A,'Biomass&amp;MSW'!$A94)*10</f>
        <v>0</v>
      </c>
      <c r="Q93" s="207">
        <f>SUMIFS('08-21addition'!$F:$F,'08-21addition'!$B:$B,Q$38,'08-21addition'!$A:$A,'Biomass&amp;MSW'!$A94)*10</f>
        <v>60</v>
      </c>
      <c r="R93" s="207">
        <f>SUMIFS('08-21addition'!$F:$F,'08-21addition'!$B:$B,R$38,'08-21addition'!$A:$A,'Biomass&amp;MSW'!$A94)*10</f>
        <v>9</v>
      </c>
      <c r="S93" s="207">
        <f>SUMIFS('08-21addition'!$F:$F,'08-21addition'!$B:$B,S$38,'08-21addition'!$A:$A,'Biomass&amp;MSW'!$A94)*10</f>
        <v>24</v>
      </c>
      <c r="T93" s="207">
        <f>SUMIFS('08-21addition'!$F:$F,'08-21addition'!$B:$B,T$38,'08-21addition'!$A:$A,'Biomass&amp;MSW'!$A94)*10</f>
        <v>47</v>
      </c>
      <c r="U93" s="207">
        <f>SUMIFS('08-21addition'!$F:$F,'08-21addition'!$B:$B,U$38,'08-21addition'!$A:$A,'Biomass&amp;MSW'!$A94)*10</f>
        <v>61</v>
      </c>
      <c r="V93" s="207">
        <f>SUMIFS('08-21addition'!$F:$F,'08-21addition'!$B:$B,V$38,'08-21addition'!$A:$A,'Biomass&amp;MSW'!$A94)*10</f>
        <v>195</v>
      </c>
    </row>
    <row r="94" spans="1:22">
      <c r="A94" s="22" t="s">
        <v>120</v>
      </c>
      <c r="B94" s="206">
        <f t="shared" ref="B94:I94" si="71">(IFERROR((1-$W24),0)*$D24)/8*10</f>
        <v>2.5</v>
      </c>
      <c r="C94" s="206">
        <f t="shared" si="71"/>
        <v>2.5</v>
      </c>
      <c r="D94" s="206">
        <f t="shared" si="71"/>
        <v>2.5</v>
      </c>
      <c r="E94" s="206">
        <f t="shared" si="71"/>
        <v>2.5</v>
      </c>
      <c r="F94" s="206">
        <f t="shared" si="71"/>
        <v>2.5</v>
      </c>
      <c r="G94" s="206">
        <f t="shared" si="71"/>
        <v>2.5</v>
      </c>
      <c r="H94" s="206">
        <f t="shared" si="71"/>
        <v>2.5</v>
      </c>
      <c r="I94" s="206">
        <f t="shared" si="71"/>
        <v>2.5</v>
      </c>
      <c r="J94" s="207">
        <f>SUMIFS('08-21addition'!$F:$F,'08-21addition'!$B:$B,J$38,'08-21addition'!$A:$A,'Biomass&amp;MSW'!$A95)*10</f>
        <v>0</v>
      </c>
      <c r="K94" s="207">
        <f>SUMIFS('08-21addition'!$F:$F,'08-21addition'!$B:$B,K$38,'08-21addition'!$A:$A,'Biomass&amp;MSW'!$A95)*10</f>
        <v>0</v>
      </c>
      <c r="L94" s="207">
        <f>SUMIFS('08-21addition'!$F:$F,'08-21addition'!$B:$B,L$38,'08-21addition'!$A:$A,'Biomass&amp;MSW'!$A95)*10</f>
        <v>24</v>
      </c>
      <c r="M94" s="207">
        <f>SUMIFS('08-21addition'!$F:$F,'08-21addition'!$B:$B,M$38,'08-21addition'!$A:$A,'Biomass&amp;MSW'!$A95)*10</f>
        <v>0</v>
      </c>
      <c r="N94" s="207">
        <f>SUMIFS('08-21addition'!$F:$F,'08-21addition'!$B:$B,N$38,'08-21addition'!$A:$A,'Biomass&amp;MSW'!$A95)*10</f>
        <v>0</v>
      </c>
      <c r="O94" s="207">
        <f>SUMIFS('08-21addition'!$F:$F,'08-21addition'!$B:$B,O$38,'08-21addition'!$A:$A,'Biomass&amp;MSW'!$A95)*10</f>
        <v>0</v>
      </c>
      <c r="P94" s="207">
        <f>SUMIFS('08-21addition'!$F:$F,'08-21addition'!$B:$B,P$38,'08-21addition'!$A:$A,'Biomass&amp;MSW'!$A95)*10</f>
        <v>0</v>
      </c>
      <c r="Q94" s="207">
        <f>SUMIFS('08-21addition'!$F:$F,'08-21addition'!$B:$B,Q$38,'08-21addition'!$A:$A,'Biomass&amp;MSW'!$A95)*10</f>
        <v>0</v>
      </c>
      <c r="R94" s="207">
        <f>SUMIFS('08-21addition'!$F:$F,'08-21addition'!$B:$B,R$38,'08-21addition'!$A:$A,'Biomass&amp;MSW'!$A95)*10</f>
        <v>0</v>
      </c>
      <c r="S94" s="207">
        <f>SUMIFS('08-21addition'!$F:$F,'08-21addition'!$B:$B,S$38,'08-21addition'!$A:$A,'Biomass&amp;MSW'!$A95)*10</f>
        <v>0</v>
      </c>
      <c r="T94" s="207">
        <f>SUMIFS('08-21addition'!$F:$F,'08-21addition'!$B:$B,T$38,'08-21addition'!$A:$A,'Biomass&amp;MSW'!$A95)*10</f>
        <v>0</v>
      </c>
      <c r="U94" s="207">
        <f>SUMIFS('08-21addition'!$F:$F,'08-21addition'!$B:$B,U$38,'08-21addition'!$A:$A,'Biomass&amp;MSW'!$A95)*10</f>
        <v>20</v>
      </c>
      <c r="V94" s="207">
        <f>SUMIFS('08-21addition'!$F:$F,'08-21addition'!$B:$B,V$38,'08-21addition'!$A:$A,'Biomass&amp;MSW'!$A95)*10</f>
        <v>95.8</v>
      </c>
    </row>
    <row r="95" spans="1:22">
      <c r="A95" s="22" t="s">
        <v>122</v>
      </c>
      <c r="B95" s="206">
        <f t="shared" ref="B95:I95" si="72">(IFERROR((1-$W25),0)*$D25)/8*10</f>
        <v>5.75</v>
      </c>
      <c r="C95" s="206">
        <f t="shared" si="72"/>
        <v>5.75</v>
      </c>
      <c r="D95" s="206">
        <f t="shared" si="72"/>
        <v>5.75</v>
      </c>
      <c r="E95" s="206">
        <f t="shared" si="72"/>
        <v>5.75</v>
      </c>
      <c r="F95" s="206">
        <f t="shared" si="72"/>
        <v>5.75</v>
      </c>
      <c r="G95" s="206">
        <f t="shared" si="72"/>
        <v>5.75</v>
      </c>
      <c r="H95" s="206">
        <f t="shared" si="72"/>
        <v>5.75</v>
      </c>
      <c r="I95" s="206">
        <f t="shared" si="72"/>
        <v>5.75</v>
      </c>
      <c r="J95" s="207">
        <f>SUMIFS('08-21addition'!$F:$F,'08-21addition'!$B:$B,J$38,'08-21addition'!$A:$A,'Biomass&amp;MSW'!$A96)*10</f>
        <v>0</v>
      </c>
      <c r="K95" s="207">
        <f>SUMIFS('08-21addition'!$F:$F,'08-21addition'!$B:$B,K$38,'08-21addition'!$A:$A,'Biomass&amp;MSW'!$A96)*10</f>
        <v>0</v>
      </c>
      <c r="L95" s="207">
        <f>SUMIFS('08-21addition'!$F:$F,'08-21addition'!$B:$B,L$38,'08-21addition'!$A:$A,'Biomass&amp;MSW'!$A96)*10</f>
        <v>0</v>
      </c>
      <c r="M95" s="207">
        <f>SUMIFS('08-21addition'!$F:$F,'08-21addition'!$B:$B,M$38,'08-21addition'!$A:$A,'Biomass&amp;MSW'!$A96)*10</f>
        <v>0</v>
      </c>
      <c r="N95" s="207">
        <f>SUMIFS('08-21addition'!$F:$F,'08-21addition'!$B:$B,N$38,'08-21addition'!$A:$A,'Biomass&amp;MSW'!$A96)*10</f>
        <v>0</v>
      </c>
      <c r="O95" s="207">
        <f>SUMIFS('08-21addition'!$F:$F,'08-21addition'!$B:$B,O$38,'08-21addition'!$A:$A,'Biomass&amp;MSW'!$A96)*10</f>
        <v>0</v>
      </c>
      <c r="P95" s="207">
        <f>SUMIFS('08-21addition'!$F:$F,'08-21addition'!$B:$B,P$38,'08-21addition'!$A:$A,'Biomass&amp;MSW'!$A96)*10</f>
        <v>0</v>
      </c>
      <c r="Q95" s="207">
        <f>SUMIFS('08-21addition'!$F:$F,'08-21addition'!$B:$B,Q$38,'08-21addition'!$A:$A,'Biomass&amp;MSW'!$A96)*10</f>
        <v>27</v>
      </c>
      <c r="R95" s="207">
        <f>SUMIFS('08-21addition'!$F:$F,'08-21addition'!$B:$B,R$38,'08-21addition'!$A:$A,'Biomass&amp;MSW'!$A96)*10</f>
        <v>12</v>
      </c>
      <c r="S95" s="207">
        <f>SUMIFS('08-21addition'!$F:$F,'08-21addition'!$B:$B,S$38,'08-21addition'!$A:$A,'Biomass&amp;MSW'!$A96)*10</f>
        <v>228</v>
      </c>
      <c r="T95" s="207">
        <f>SUMIFS('08-21addition'!$F:$F,'08-21addition'!$B:$B,T$38,'08-21addition'!$A:$A,'Biomass&amp;MSW'!$A96)*10</f>
        <v>0</v>
      </c>
      <c r="U95" s="207">
        <f>SUMIFS('08-21addition'!$F:$F,'08-21addition'!$B:$B,U$38,'08-21addition'!$A:$A,'Biomass&amp;MSW'!$A96)*10</f>
        <v>121.5</v>
      </c>
      <c r="V95" s="207">
        <f>SUMIFS('08-21addition'!$F:$F,'08-21addition'!$B:$B,V$38,'08-21addition'!$A:$A,'Biomass&amp;MSW'!$A96)*10</f>
        <v>167</v>
      </c>
    </row>
    <row r="96" spans="1:22">
      <c r="A96" s="22" t="s">
        <v>124</v>
      </c>
      <c r="B96" s="206">
        <f t="shared" ref="B96:I96" si="73">(IFERROR((1-$W26),0)*$D26)/8*10</f>
        <v>9.125</v>
      </c>
      <c r="C96" s="206">
        <f t="shared" si="73"/>
        <v>9.125</v>
      </c>
      <c r="D96" s="206">
        <f t="shared" si="73"/>
        <v>9.125</v>
      </c>
      <c r="E96" s="206">
        <f t="shared" si="73"/>
        <v>9.125</v>
      </c>
      <c r="F96" s="206">
        <f t="shared" si="73"/>
        <v>9.125</v>
      </c>
      <c r="G96" s="206">
        <f t="shared" si="73"/>
        <v>9.125</v>
      </c>
      <c r="H96" s="206">
        <f t="shared" si="73"/>
        <v>9.125</v>
      </c>
      <c r="I96" s="206">
        <f t="shared" si="73"/>
        <v>9.125</v>
      </c>
      <c r="J96" s="207">
        <f>SUMIFS('08-21addition'!$F:$F,'08-21addition'!$B:$B,J$38,'08-21addition'!$A:$A,'Biomass&amp;MSW'!$A97)*10</f>
        <v>0</v>
      </c>
      <c r="K96" s="207">
        <f>SUMIFS('08-21addition'!$F:$F,'08-21addition'!$B:$B,K$38,'08-21addition'!$A:$A,'Biomass&amp;MSW'!$A97)*10</f>
        <v>0</v>
      </c>
      <c r="L96" s="207">
        <f>SUMIFS('08-21addition'!$F:$F,'08-21addition'!$B:$B,L$38,'08-21addition'!$A:$A,'Biomass&amp;MSW'!$A97)*10</f>
        <v>36</v>
      </c>
      <c r="M96" s="207">
        <f>SUMIFS('08-21addition'!$F:$F,'08-21addition'!$B:$B,M$38,'08-21addition'!$A:$A,'Biomass&amp;MSW'!$A97)*10</f>
        <v>48</v>
      </c>
      <c r="N96" s="207">
        <f>SUMIFS('08-21addition'!$F:$F,'08-21addition'!$B:$B,N$38,'08-21addition'!$A:$A,'Biomass&amp;MSW'!$A97)*10</f>
        <v>12</v>
      </c>
      <c r="O96" s="207">
        <f>SUMIFS('08-21addition'!$F:$F,'08-21addition'!$B:$B,O$38,'08-21addition'!$A:$A,'Biomass&amp;MSW'!$A97)*10</f>
        <v>24</v>
      </c>
      <c r="P96" s="207">
        <f>SUMIFS('08-21addition'!$F:$F,'08-21addition'!$B:$B,P$38,'08-21addition'!$A:$A,'Biomass&amp;MSW'!$A97)*10</f>
        <v>0</v>
      </c>
      <c r="Q96" s="207">
        <f>SUMIFS('08-21addition'!$F:$F,'08-21addition'!$B:$B,Q$38,'08-21addition'!$A:$A,'Biomass&amp;MSW'!$A97)*10</f>
        <v>15</v>
      </c>
      <c r="R96" s="207">
        <f>SUMIFS('08-21addition'!$F:$F,'08-21addition'!$B:$B,R$38,'08-21addition'!$A:$A,'Biomass&amp;MSW'!$A97)*10</f>
        <v>142.8</v>
      </c>
      <c r="S96" s="207">
        <f>SUMIFS('08-21addition'!$F:$F,'08-21addition'!$B:$B,S$38,'08-21addition'!$A:$A,'Biomass&amp;MSW'!$A97)*10</f>
        <v>21</v>
      </c>
      <c r="T96" s="207">
        <f>SUMIFS('08-21addition'!$F:$F,'08-21addition'!$B:$B,T$38,'08-21addition'!$A:$A,'Biomass&amp;MSW'!$A97)*10</f>
        <v>138.9</v>
      </c>
      <c r="U96" s="207">
        <f>SUMIFS('08-21addition'!$F:$F,'08-21addition'!$B:$B,U$38,'08-21addition'!$A:$A,'Biomass&amp;MSW'!$A97)*10</f>
        <v>171.5</v>
      </c>
      <c r="V96" s="207">
        <f>SUMIFS('08-21addition'!$F:$F,'08-21addition'!$B:$B,V$38,'08-21addition'!$A:$A,'Biomass&amp;MSW'!$A97)*10</f>
        <v>340</v>
      </c>
    </row>
    <row r="97" spans="1:22">
      <c r="A97" s="22" t="s">
        <v>126</v>
      </c>
      <c r="B97" s="206">
        <f t="shared" ref="B97:I97" si="74">(IFERROR((1-$W27),0)*$D27)/8*10</f>
        <v>16.875</v>
      </c>
      <c r="C97" s="206">
        <f t="shared" si="74"/>
        <v>16.875</v>
      </c>
      <c r="D97" s="206">
        <f t="shared" si="74"/>
        <v>16.875</v>
      </c>
      <c r="E97" s="206">
        <f t="shared" si="74"/>
        <v>16.875</v>
      </c>
      <c r="F97" s="206">
        <f t="shared" si="74"/>
        <v>16.875</v>
      </c>
      <c r="G97" s="206">
        <f t="shared" si="74"/>
        <v>16.875</v>
      </c>
      <c r="H97" s="206">
        <f t="shared" si="74"/>
        <v>16.875</v>
      </c>
      <c r="I97" s="206">
        <f t="shared" si="74"/>
        <v>16.875</v>
      </c>
      <c r="J97" s="207">
        <f>SUMIFS('08-21addition'!$F:$F,'08-21addition'!$B:$B,J$38,'08-21addition'!$A:$A,'Biomass&amp;MSW'!$A98)*10</f>
        <v>0</v>
      </c>
      <c r="K97" s="207">
        <f>SUMIFS('08-21addition'!$F:$F,'08-21addition'!$B:$B,K$38,'08-21addition'!$A:$A,'Biomass&amp;MSW'!$A98)*10</f>
        <v>0</v>
      </c>
      <c r="L97" s="207">
        <f>SUMIFS('08-21addition'!$F:$F,'08-21addition'!$B:$B,L$38,'08-21addition'!$A:$A,'Biomass&amp;MSW'!$A98)*10</f>
        <v>0</v>
      </c>
      <c r="M97" s="207">
        <f>SUMIFS('08-21addition'!$F:$F,'08-21addition'!$B:$B,M$38,'08-21addition'!$A:$A,'Biomass&amp;MSW'!$A98)*10</f>
        <v>0</v>
      </c>
      <c r="N97" s="207">
        <f>SUMIFS('08-21addition'!$F:$F,'08-21addition'!$B:$B,N$38,'08-21addition'!$A:$A,'Biomass&amp;MSW'!$A98)*10</f>
        <v>0</v>
      </c>
      <c r="O97" s="207">
        <f>SUMIFS('08-21addition'!$F:$F,'08-21addition'!$B:$B,O$38,'08-21addition'!$A:$A,'Biomass&amp;MSW'!$A98)*10</f>
        <v>0</v>
      </c>
      <c r="P97" s="207">
        <f>SUMIFS('08-21addition'!$F:$F,'08-21addition'!$B:$B,P$38,'08-21addition'!$A:$A,'Biomass&amp;MSW'!$A98)*10</f>
        <v>0</v>
      </c>
      <c r="Q97" s="207">
        <f>SUMIFS('08-21addition'!$F:$F,'08-21addition'!$B:$B,Q$38,'08-21addition'!$A:$A,'Biomass&amp;MSW'!$A98)*10</f>
        <v>0</v>
      </c>
      <c r="R97" s="207">
        <f>SUMIFS('08-21addition'!$F:$F,'08-21addition'!$B:$B,R$38,'08-21addition'!$A:$A,'Biomass&amp;MSW'!$A98)*10</f>
        <v>0</v>
      </c>
      <c r="S97" s="207">
        <f>SUMIFS('08-21addition'!$F:$F,'08-21addition'!$B:$B,S$38,'08-21addition'!$A:$A,'Biomass&amp;MSW'!$A98)*10</f>
        <v>0</v>
      </c>
      <c r="T97" s="207">
        <f>SUMIFS('08-21addition'!$F:$F,'08-21addition'!$B:$B,T$38,'08-21addition'!$A:$A,'Biomass&amp;MSW'!$A98)*10</f>
        <v>240</v>
      </c>
      <c r="U97" s="207">
        <f>SUMIFS('08-21addition'!$F:$F,'08-21addition'!$B:$B,U$38,'08-21addition'!$A:$A,'Biomass&amp;MSW'!$A98)*10</f>
        <v>60</v>
      </c>
      <c r="V97" s="207">
        <f>SUMIFS('08-21addition'!$F:$F,'08-21addition'!$B:$B,V$38,'08-21addition'!$A:$A,'Biomass&amp;MSW'!$A98)*10</f>
        <v>70</v>
      </c>
    </row>
    <row r="98" spans="1:22">
      <c r="A98" s="22" t="s">
        <v>128</v>
      </c>
      <c r="B98" s="206">
        <f t="shared" ref="B98:I98" si="75">(IFERROR((1-$W28),0)*$D28)/8*10</f>
        <v>2.5</v>
      </c>
      <c r="C98" s="206">
        <f t="shared" si="75"/>
        <v>2.5</v>
      </c>
      <c r="D98" s="206">
        <f t="shared" si="75"/>
        <v>2.5</v>
      </c>
      <c r="E98" s="206">
        <f t="shared" si="75"/>
        <v>2.5</v>
      </c>
      <c r="F98" s="206">
        <f t="shared" si="75"/>
        <v>2.5</v>
      </c>
      <c r="G98" s="206">
        <f t="shared" si="75"/>
        <v>2.5</v>
      </c>
      <c r="H98" s="206">
        <f t="shared" si="75"/>
        <v>2.5</v>
      </c>
      <c r="I98" s="206">
        <f t="shared" si="75"/>
        <v>2.5</v>
      </c>
      <c r="J98" s="207">
        <f>SUMIFS('08-21addition'!$F:$F,'08-21addition'!$B:$B,J$38,'08-21addition'!$A:$A,'Biomass&amp;MSW'!$A99)*10</f>
        <v>0</v>
      </c>
      <c r="K98" s="207">
        <f>SUMIFS('08-21addition'!$F:$F,'08-21addition'!$B:$B,K$38,'08-21addition'!$A:$A,'Biomass&amp;MSW'!$A99)*10</f>
        <v>0</v>
      </c>
      <c r="L98" s="207">
        <f>SUMIFS('08-21addition'!$F:$F,'08-21addition'!$B:$B,L$38,'08-21addition'!$A:$A,'Biomass&amp;MSW'!$A99)*10</f>
        <v>0</v>
      </c>
      <c r="M98" s="207">
        <f>SUMIFS('08-21addition'!$F:$F,'08-21addition'!$B:$B,M$38,'08-21addition'!$A:$A,'Biomass&amp;MSW'!$A99)*10</f>
        <v>0</v>
      </c>
      <c r="N98" s="207">
        <f>SUMIFS('08-21addition'!$F:$F,'08-21addition'!$B:$B,N$38,'08-21addition'!$A:$A,'Biomass&amp;MSW'!$A99)*10</f>
        <v>12</v>
      </c>
      <c r="O98" s="207">
        <f>SUMIFS('08-21addition'!$F:$F,'08-21addition'!$B:$B,O$38,'08-21addition'!$A:$A,'Biomass&amp;MSW'!$A99)*10</f>
        <v>0</v>
      </c>
      <c r="P98" s="207">
        <f>SUMIFS('08-21addition'!$F:$F,'08-21addition'!$B:$B,P$38,'08-21addition'!$A:$A,'Biomass&amp;MSW'!$A99)*10</f>
        <v>0</v>
      </c>
      <c r="Q98" s="207">
        <f>SUMIFS('08-21addition'!$F:$F,'08-21addition'!$B:$B,Q$38,'08-21addition'!$A:$A,'Biomass&amp;MSW'!$A99)*10</f>
        <v>0</v>
      </c>
      <c r="R98" s="207">
        <f>SUMIFS('08-21addition'!$F:$F,'08-21addition'!$B:$B,R$38,'08-21addition'!$A:$A,'Biomass&amp;MSW'!$A99)*10</f>
        <v>0</v>
      </c>
      <c r="S98" s="207">
        <f>SUMIFS('08-21addition'!$F:$F,'08-21addition'!$B:$B,S$38,'08-21addition'!$A:$A,'Biomass&amp;MSW'!$A99)*10</f>
        <v>0</v>
      </c>
      <c r="T98" s="207">
        <f>SUMIFS('08-21addition'!$F:$F,'08-21addition'!$B:$B,T$38,'08-21addition'!$A:$A,'Biomass&amp;MSW'!$A99)*10</f>
        <v>0</v>
      </c>
      <c r="U98" s="207">
        <f>SUMIFS('08-21addition'!$F:$F,'08-21addition'!$B:$B,U$38,'08-21addition'!$A:$A,'Biomass&amp;MSW'!$A99)*10</f>
        <v>50</v>
      </c>
      <c r="V98" s="207">
        <f>SUMIFS('08-21addition'!$F:$F,'08-21addition'!$B:$B,V$38,'08-21addition'!$A:$A,'Biomass&amp;MSW'!$A99)*10</f>
        <v>105</v>
      </c>
    </row>
    <row r="99" spans="1:22">
      <c r="A99" s="22" t="s">
        <v>130</v>
      </c>
      <c r="B99" s="206">
        <f t="shared" ref="B99:I99" si="76">(IFERROR((1-$W29),0)*$D29)/8*10</f>
        <v>11</v>
      </c>
      <c r="C99" s="206">
        <f t="shared" si="76"/>
        <v>11</v>
      </c>
      <c r="D99" s="206">
        <f t="shared" si="76"/>
        <v>11</v>
      </c>
      <c r="E99" s="206">
        <f t="shared" si="76"/>
        <v>11</v>
      </c>
      <c r="F99" s="206">
        <f t="shared" si="76"/>
        <v>11</v>
      </c>
      <c r="G99" s="206">
        <f t="shared" si="76"/>
        <v>11</v>
      </c>
      <c r="H99" s="206">
        <f t="shared" si="76"/>
        <v>11</v>
      </c>
      <c r="I99" s="206">
        <f t="shared" si="76"/>
        <v>11</v>
      </c>
      <c r="J99" s="207">
        <f>SUMIFS('08-21addition'!$F:$F,'08-21addition'!$B:$B,J$38,'08-21addition'!$A:$A,'Biomass&amp;MSW'!$A100)*10</f>
        <v>0</v>
      </c>
      <c r="K99" s="207">
        <f>SUMIFS('08-21addition'!$F:$F,'08-21addition'!$B:$B,K$38,'08-21addition'!$A:$A,'Biomass&amp;MSW'!$A100)*10</f>
        <v>0</v>
      </c>
      <c r="L99" s="207">
        <f>SUMIFS('08-21addition'!$F:$F,'08-21addition'!$B:$B,L$38,'08-21addition'!$A:$A,'Biomass&amp;MSW'!$A100)*10</f>
        <v>0</v>
      </c>
      <c r="M99" s="207">
        <f>SUMIFS('08-21addition'!$F:$F,'08-21addition'!$B:$B,M$38,'08-21addition'!$A:$A,'Biomass&amp;MSW'!$A100)*10</f>
        <v>0</v>
      </c>
      <c r="N99" s="207">
        <f>SUMIFS('08-21addition'!$F:$F,'08-21addition'!$B:$B,N$38,'08-21addition'!$A:$A,'Biomass&amp;MSW'!$A100)*10</f>
        <v>0</v>
      </c>
      <c r="O99" s="207">
        <f>SUMIFS('08-21addition'!$F:$F,'08-21addition'!$B:$B,O$38,'08-21addition'!$A:$A,'Biomass&amp;MSW'!$A100)*10</f>
        <v>0</v>
      </c>
      <c r="P99" s="207">
        <f>SUMIFS('08-21addition'!$F:$F,'08-21addition'!$B:$B,P$38,'08-21addition'!$A:$A,'Biomass&amp;MSW'!$A100)*10</f>
        <v>0</v>
      </c>
      <c r="Q99" s="207">
        <f>SUMIFS('08-21addition'!$F:$F,'08-21addition'!$B:$B,Q$38,'08-21addition'!$A:$A,'Biomass&amp;MSW'!$A100)*10</f>
        <v>0</v>
      </c>
      <c r="R99" s="207">
        <f>SUMIFS('08-21addition'!$F:$F,'08-21addition'!$B:$B,R$38,'08-21addition'!$A:$A,'Biomass&amp;MSW'!$A100)*10</f>
        <v>0</v>
      </c>
      <c r="S99" s="207">
        <f>SUMIFS('08-21addition'!$F:$F,'08-21addition'!$B:$B,S$38,'08-21addition'!$A:$A,'Biomass&amp;MSW'!$A100)*10</f>
        <v>0</v>
      </c>
      <c r="T99" s="207">
        <f>SUMIFS('08-21addition'!$F:$F,'08-21addition'!$B:$B,T$38,'08-21addition'!$A:$A,'Biomass&amp;MSW'!$A100)*10</f>
        <v>0</v>
      </c>
      <c r="U99" s="207">
        <f>SUMIFS('08-21addition'!$F:$F,'08-21addition'!$B:$B,U$38,'08-21addition'!$A:$A,'Biomass&amp;MSW'!$A100)*10</f>
        <v>0</v>
      </c>
      <c r="V99" s="207">
        <f>SUMIFS('08-21addition'!$F:$F,'08-21addition'!$B:$B,V$38,'08-21addition'!$A:$A,'Biomass&amp;MSW'!$A100)*10</f>
        <v>0</v>
      </c>
    </row>
    <row r="100" spans="1:22">
      <c r="A100" s="22" t="s">
        <v>132</v>
      </c>
      <c r="B100" s="206">
        <f t="shared" ref="B100:I100" si="77">(IFERROR((1-$W30),0)*$D30)/8*10</f>
        <v>0</v>
      </c>
      <c r="C100" s="206">
        <f t="shared" si="77"/>
        <v>0</v>
      </c>
      <c r="D100" s="206">
        <f t="shared" si="77"/>
        <v>0</v>
      </c>
      <c r="E100" s="206">
        <f t="shared" si="77"/>
        <v>0</v>
      </c>
      <c r="F100" s="206">
        <f t="shared" si="77"/>
        <v>0</v>
      </c>
      <c r="G100" s="206">
        <f t="shared" si="77"/>
        <v>0</v>
      </c>
      <c r="H100" s="206">
        <f t="shared" si="77"/>
        <v>0</v>
      </c>
      <c r="I100" s="206">
        <f t="shared" si="77"/>
        <v>0</v>
      </c>
      <c r="J100" s="207">
        <f>SUMIFS('08-21addition'!$F:$F,'08-21addition'!$B:$B,J$38,'08-21addition'!$A:$A,'Biomass&amp;MSW'!$A101)*10</f>
        <v>0</v>
      </c>
      <c r="K100" s="207">
        <f>SUMIFS('08-21addition'!$F:$F,'08-21addition'!$B:$B,K$38,'08-21addition'!$A:$A,'Biomass&amp;MSW'!$A101)*10</f>
        <v>1.3</v>
      </c>
      <c r="L100" s="207">
        <f>SUMIFS('08-21addition'!$F:$F,'08-21addition'!$B:$B,L$38,'08-21addition'!$A:$A,'Biomass&amp;MSW'!$A101)*10</f>
        <v>0</v>
      </c>
      <c r="M100" s="207">
        <f>SUMIFS('08-21addition'!$F:$F,'08-21addition'!$B:$B,M$38,'08-21addition'!$A:$A,'Biomass&amp;MSW'!$A101)*10</f>
        <v>0</v>
      </c>
      <c r="N100" s="207">
        <f>SUMIFS('08-21addition'!$F:$F,'08-21addition'!$B:$B,N$38,'08-21addition'!$A:$A,'Biomass&amp;MSW'!$A101)*10</f>
        <v>0</v>
      </c>
      <c r="O100" s="207">
        <f>SUMIFS('08-21addition'!$F:$F,'08-21addition'!$B:$B,O$38,'08-21addition'!$A:$A,'Biomass&amp;MSW'!$A101)*10</f>
        <v>0</v>
      </c>
      <c r="P100" s="207">
        <f>SUMIFS('08-21addition'!$F:$F,'08-21addition'!$B:$B,P$38,'08-21addition'!$A:$A,'Biomass&amp;MSW'!$A101)*10</f>
        <v>0</v>
      </c>
      <c r="Q100" s="207">
        <f>SUMIFS('08-21addition'!$F:$F,'08-21addition'!$B:$B,Q$38,'08-21addition'!$A:$A,'Biomass&amp;MSW'!$A101)*10</f>
        <v>0</v>
      </c>
      <c r="R100" s="207">
        <f>SUMIFS('08-21addition'!$F:$F,'08-21addition'!$B:$B,R$38,'08-21addition'!$A:$A,'Biomass&amp;MSW'!$A101)*10</f>
        <v>13.5</v>
      </c>
      <c r="S100" s="207">
        <f>SUMIFS('08-21addition'!$F:$F,'08-21addition'!$B:$B,S$38,'08-21addition'!$A:$A,'Biomass&amp;MSW'!$A101)*10</f>
        <v>0</v>
      </c>
      <c r="T100" s="207">
        <f>SUMIFS('08-21addition'!$F:$F,'08-21addition'!$B:$B,T$38,'08-21addition'!$A:$A,'Biomass&amp;MSW'!$A101)*10</f>
        <v>60</v>
      </c>
      <c r="U100" s="207">
        <f>SUMIFS('08-21addition'!$F:$F,'08-21addition'!$B:$B,U$38,'08-21addition'!$A:$A,'Biomass&amp;MSW'!$A101)*10</f>
        <v>150</v>
      </c>
      <c r="V100" s="207">
        <f>SUMIFS('08-21addition'!$F:$F,'08-21addition'!$B:$B,V$38,'08-21addition'!$A:$A,'Biomass&amp;MSW'!$A101)*10</f>
        <v>15</v>
      </c>
    </row>
    <row r="101" spans="1:22">
      <c r="A101" s="22" t="s">
        <v>134</v>
      </c>
      <c r="B101" s="206">
        <f t="shared" ref="B101:I101" si="78">(IFERROR((1-$W31),0)*$D31)/8*10</f>
        <v>2.3375</v>
      </c>
      <c r="C101" s="206">
        <f t="shared" si="78"/>
        <v>2.3375</v>
      </c>
      <c r="D101" s="206">
        <f t="shared" si="78"/>
        <v>2.3375</v>
      </c>
      <c r="E101" s="206">
        <f t="shared" si="78"/>
        <v>2.3375</v>
      </c>
      <c r="F101" s="206">
        <f t="shared" si="78"/>
        <v>2.3375</v>
      </c>
      <c r="G101" s="206">
        <f t="shared" si="78"/>
        <v>2.3375</v>
      </c>
      <c r="H101" s="206">
        <f t="shared" si="78"/>
        <v>2.3375</v>
      </c>
      <c r="I101" s="206">
        <f t="shared" si="78"/>
        <v>2.3375</v>
      </c>
      <c r="J101" s="207">
        <f>SUMIFS('08-21addition'!$F:$F,'08-21addition'!$B:$B,J$38,'08-21addition'!$A:$A,'Biomass&amp;MSW'!$A102)*10</f>
        <v>0</v>
      </c>
      <c r="K101" s="207">
        <f>SUMIFS('08-21addition'!$F:$F,'08-21addition'!$B:$B,K$38,'08-21addition'!$A:$A,'Biomass&amp;MSW'!$A102)*10</f>
        <v>0</v>
      </c>
      <c r="L101" s="207">
        <f>SUMIFS('08-21addition'!$F:$F,'08-21addition'!$B:$B,L$38,'08-21addition'!$A:$A,'Biomass&amp;MSW'!$A102)*10</f>
        <v>0</v>
      </c>
      <c r="M101" s="207">
        <f>SUMIFS('08-21addition'!$F:$F,'08-21addition'!$B:$B,M$38,'08-21addition'!$A:$A,'Biomass&amp;MSW'!$A102)*10</f>
        <v>0</v>
      </c>
      <c r="N101" s="207">
        <f>SUMIFS('08-21addition'!$F:$F,'08-21addition'!$B:$B,N$38,'08-21addition'!$A:$A,'Biomass&amp;MSW'!$A102)*10</f>
        <v>0</v>
      </c>
      <c r="O101" s="207">
        <f>SUMIFS('08-21addition'!$F:$F,'08-21addition'!$B:$B,O$38,'08-21addition'!$A:$A,'Biomass&amp;MSW'!$A102)*10</f>
        <v>0</v>
      </c>
      <c r="P101" s="207">
        <f>SUMIFS('08-21addition'!$F:$F,'08-21addition'!$B:$B,P$38,'08-21addition'!$A:$A,'Biomass&amp;MSW'!$A102)*10</f>
        <v>0</v>
      </c>
      <c r="Q101" s="207">
        <f>SUMIFS('08-21addition'!$F:$F,'08-21addition'!$B:$B,Q$38,'08-21addition'!$A:$A,'Biomass&amp;MSW'!$A102)*10</f>
        <v>52</v>
      </c>
      <c r="R101" s="207">
        <f>SUMIFS('08-21addition'!$F:$F,'08-21addition'!$B:$B,R$38,'08-21addition'!$A:$A,'Biomass&amp;MSW'!$A102)*10</f>
        <v>6</v>
      </c>
      <c r="S101" s="207">
        <f>SUMIFS('08-21addition'!$F:$F,'08-21addition'!$B:$B,S$38,'08-21addition'!$A:$A,'Biomass&amp;MSW'!$A102)*10</f>
        <v>12</v>
      </c>
      <c r="T101" s="207">
        <f>SUMIFS('08-21addition'!$F:$F,'08-21addition'!$B:$B,T$38,'08-21addition'!$A:$A,'Biomass&amp;MSW'!$A102)*10</f>
        <v>0</v>
      </c>
      <c r="U101" s="207">
        <f>SUMIFS('08-21addition'!$F:$F,'08-21addition'!$B:$B,U$38,'08-21addition'!$A:$A,'Biomass&amp;MSW'!$A102)*10</f>
        <v>12</v>
      </c>
      <c r="V101" s="207">
        <f>SUMIFS('08-21addition'!$F:$F,'08-21addition'!$B:$B,V$38,'08-21addition'!$A:$A,'Biomass&amp;MSW'!$A102)*10</f>
        <v>60</v>
      </c>
    </row>
    <row r="102" spans="1:22">
      <c r="A102" s="22" t="s">
        <v>136</v>
      </c>
      <c r="B102" s="206">
        <f t="shared" ref="B102:I102" si="79">(IFERROR((1-$W32),0)*$D32)/8*10</f>
        <v>0</v>
      </c>
      <c r="C102" s="206">
        <f t="shared" si="79"/>
        <v>0</v>
      </c>
      <c r="D102" s="206">
        <f t="shared" si="79"/>
        <v>0</v>
      </c>
      <c r="E102" s="206">
        <f t="shared" si="79"/>
        <v>0</v>
      </c>
      <c r="F102" s="206">
        <f t="shared" si="79"/>
        <v>0</v>
      </c>
      <c r="G102" s="206">
        <f t="shared" si="79"/>
        <v>0</v>
      </c>
      <c r="H102" s="206">
        <f t="shared" si="79"/>
        <v>0</v>
      </c>
      <c r="I102" s="206">
        <f t="shared" si="79"/>
        <v>0</v>
      </c>
      <c r="J102" s="207">
        <f>SUMIFS('08-21addition'!$F:$F,'08-21addition'!$B:$B,J$38,'08-21addition'!$A:$A,'Biomass&amp;MSW'!$A103)*10</f>
        <v>0</v>
      </c>
      <c r="K102" s="207">
        <f>SUMIFS('08-21addition'!$F:$F,'08-21addition'!$B:$B,K$38,'08-21addition'!$A:$A,'Biomass&amp;MSW'!$A103)*10</f>
        <v>0</v>
      </c>
      <c r="L102" s="207">
        <f>SUMIFS('08-21addition'!$F:$F,'08-21addition'!$B:$B,L$38,'08-21addition'!$A:$A,'Biomass&amp;MSW'!$A103)*10</f>
        <v>0</v>
      </c>
      <c r="M102" s="207">
        <f>SUMIFS('08-21addition'!$F:$F,'08-21addition'!$B:$B,M$38,'08-21addition'!$A:$A,'Biomass&amp;MSW'!$A103)*10</f>
        <v>0</v>
      </c>
      <c r="N102" s="207">
        <f>SUMIFS('08-21addition'!$F:$F,'08-21addition'!$B:$B,N$38,'08-21addition'!$A:$A,'Biomass&amp;MSW'!$A103)*10</f>
        <v>1</v>
      </c>
      <c r="O102" s="207">
        <f>SUMIFS('08-21addition'!$F:$F,'08-21addition'!$B:$B,O$38,'08-21addition'!$A:$A,'Biomass&amp;MSW'!$A103)*10</f>
        <v>0</v>
      </c>
      <c r="P102" s="207">
        <f>SUMIFS('08-21addition'!$F:$F,'08-21addition'!$B:$B,P$38,'08-21addition'!$A:$A,'Biomass&amp;MSW'!$A103)*10</f>
        <v>2.5</v>
      </c>
      <c r="Q102" s="207">
        <f>SUMIFS('08-21addition'!$F:$F,'08-21addition'!$B:$B,Q$38,'08-21addition'!$A:$A,'Biomass&amp;MSW'!$A103)*10</f>
        <v>0</v>
      </c>
      <c r="R102" s="207">
        <f>SUMIFS('08-21addition'!$F:$F,'08-21addition'!$B:$B,R$38,'08-21addition'!$A:$A,'Biomass&amp;MSW'!$A103)*10</f>
        <v>0</v>
      </c>
      <c r="S102" s="207">
        <f>SUMIFS('08-21addition'!$F:$F,'08-21addition'!$B:$B,S$38,'08-21addition'!$A:$A,'Biomass&amp;MSW'!$A103)*10</f>
        <v>0</v>
      </c>
      <c r="T102" s="207">
        <f>SUMIFS('08-21addition'!$F:$F,'08-21addition'!$B:$B,T$38,'08-21addition'!$A:$A,'Biomass&amp;MSW'!$A103)*10</f>
        <v>0</v>
      </c>
      <c r="U102" s="207">
        <f>SUMIFS('08-21addition'!$F:$F,'08-21addition'!$B:$B,U$38,'08-21addition'!$A:$A,'Biomass&amp;MSW'!$A103)*10</f>
        <v>0</v>
      </c>
      <c r="V102" s="207">
        <f>SUMIFS('08-21addition'!$F:$F,'08-21addition'!$B:$B,V$38,'08-21addition'!$A:$A,'Biomass&amp;MSW'!$A103)*10</f>
        <v>0</v>
      </c>
    </row>
    <row r="103" spans="1:22">
      <c r="A103" s="22" t="s">
        <v>138</v>
      </c>
      <c r="B103" s="206">
        <f t="shared" ref="B103:I103" si="80">(IFERROR((1-$W33),0)*$D33)/8*10</f>
        <v>0</v>
      </c>
      <c r="C103" s="206">
        <f t="shared" si="80"/>
        <v>0</v>
      </c>
      <c r="D103" s="206">
        <f t="shared" si="80"/>
        <v>0</v>
      </c>
      <c r="E103" s="206">
        <f t="shared" si="80"/>
        <v>0</v>
      </c>
      <c r="F103" s="206">
        <f t="shared" si="80"/>
        <v>0</v>
      </c>
      <c r="G103" s="206">
        <f t="shared" si="80"/>
        <v>0</v>
      </c>
      <c r="H103" s="206">
        <f t="shared" si="80"/>
        <v>0</v>
      </c>
      <c r="I103" s="206">
        <f t="shared" si="80"/>
        <v>0</v>
      </c>
      <c r="J103" s="207">
        <f>SUMIFS('08-21addition'!$F:$F,'08-21addition'!$B:$B,J$38,'08-21addition'!$A:$A,'Biomass&amp;MSW'!$A104)*10</f>
        <v>0</v>
      </c>
      <c r="K103" s="207">
        <f>SUMIFS('08-21addition'!$F:$F,'08-21addition'!$B:$B,K$38,'08-21addition'!$A:$A,'Biomass&amp;MSW'!$A104)*10</f>
        <v>0</v>
      </c>
      <c r="L103" s="207">
        <f>SUMIFS('08-21addition'!$F:$F,'08-21addition'!$B:$B,L$38,'08-21addition'!$A:$A,'Biomass&amp;MSW'!$A104)*10</f>
        <v>0</v>
      </c>
      <c r="M103" s="207">
        <f>SUMIFS('08-21addition'!$F:$F,'08-21addition'!$B:$B,M$38,'08-21addition'!$A:$A,'Biomass&amp;MSW'!$A104)*10</f>
        <v>0</v>
      </c>
      <c r="N103" s="207">
        <f>SUMIFS('08-21addition'!$F:$F,'08-21addition'!$B:$B,N$38,'08-21addition'!$A:$A,'Biomass&amp;MSW'!$A104)*10</f>
        <v>0</v>
      </c>
      <c r="O103" s="207">
        <f>SUMIFS('08-21addition'!$F:$F,'08-21addition'!$B:$B,O$38,'08-21addition'!$A:$A,'Biomass&amp;MSW'!$A104)*10</f>
        <v>0</v>
      </c>
      <c r="P103" s="207">
        <f>SUMIFS('08-21addition'!$F:$F,'08-21addition'!$B:$B,P$38,'08-21addition'!$A:$A,'Biomass&amp;MSW'!$A104)*10</f>
        <v>0</v>
      </c>
      <c r="Q103" s="207">
        <f>SUMIFS('08-21addition'!$F:$F,'08-21addition'!$B:$B,Q$38,'08-21addition'!$A:$A,'Biomass&amp;MSW'!$A104)*10</f>
        <v>0</v>
      </c>
      <c r="R103" s="207">
        <f>SUMIFS('08-21addition'!$F:$F,'08-21addition'!$B:$B,R$38,'08-21addition'!$A:$A,'Biomass&amp;MSW'!$A104)*10</f>
        <v>0</v>
      </c>
      <c r="S103" s="207">
        <f>SUMIFS('08-21addition'!$F:$F,'08-21addition'!$B:$B,S$38,'08-21addition'!$A:$A,'Biomass&amp;MSW'!$A104)*10</f>
        <v>0</v>
      </c>
      <c r="T103" s="207">
        <f>SUMIFS('08-21addition'!$F:$F,'08-21addition'!$B:$B,T$38,'08-21addition'!$A:$A,'Biomass&amp;MSW'!$A104)*10</f>
        <v>0</v>
      </c>
      <c r="U103" s="207">
        <f>SUMIFS('08-21addition'!$F:$F,'08-21addition'!$B:$B,U$38,'08-21addition'!$A:$A,'Biomass&amp;MSW'!$A104)*10</f>
        <v>0</v>
      </c>
      <c r="V103" s="207">
        <f>SUMIFS('08-21addition'!$F:$F,'08-21addition'!$B:$B,V$38,'08-21addition'!$A:$A,'Biomass&amp;MSW'!$A104)*10</f>
        <v>12</v>
      </c>
    </row>
    <row r="104" spans="1:22">
      <c r="A104" s="22" t="s">
        <v>140</v>
      </c>
      <c r="B104" s="206">
        <f t="shared" ref="B104:I104" si="81">(IFERROR((1-$W34),0)*$D34)/8*10</f>
        <v>2.5</v>
      </c>
      <c r="C104" s="206">
        <f t="shared" si="81"/>
        <v>2.5</v>
      </c>
      <c r="D104" s="206">
        <f t="shared" si="81"/>
        <v>2.5</v>
      </c>
      <c r="E104" s="206">
        <f t="shared" si="81"/>
        <v>2.5</v>
      </c>
      <c r="F104" s="206">
        <f t="shared" si="81"/>
        <v>2.5</v>
      </c>
      <c r="G104" s="206">
        <f t="shared" si="81"/>
        <v>2.5</v>
      </c>
      <c r="H104" s="206">
        <f t="shared" si="81"/>
        <v>2.5</v>
      </c>
      <c r="I104" s="206">
        <f t="shared" si="81"/>
        <v>2.5</v>
      </c>
      <c r="J104" s="207">
        <f>SUMIFS('08-21addition'!$F:$F,'08-21addition'!$B:$B,J$38,'08-21addition'!$A:$A,'Biomass&amp;MSW'!$A105)*10</f>
        <v>0</v>
      </c>
      <c r="K104" s="207">
        <f>SUMIFS('08-21addition'!$F:$F,'08-21addition'!$B:$B,K$38,'08-21addition'!$A:$A,'Biomass&amp;MSW'!$A105)*10</f>
        <v>0</v>
      </c>
      <c r="L104" s="207">
        <f>SUMIFS('08-21addition'!$F:$F,'08-21addition'!$B:$B,L$38,'08-21addition'!$A:$A,'Biomass&amp;MSW'!$A105)*10</f>
        <v>0</v>
      </c>
      <c r="M104" s="207">
        <f>SUMIFS('08-21addition'!$F:$F,'08-21addition'!$B:$B,M$38,'08-21addition'!$A:$A,'Biomass&amp;MSW'!$A105)*10</f>
        <v>0</v>
      </c>
      <c r="N104" s="207">
        <f>SUMIFS('08-21addition'!$F:$F,'08-21addition'!$B:$B,N$38,'08-21addition'!$A:$A,'Biomass&amp;MSW'!$A105)*10</f>
        <v>0</v>
      </c>
      <c r="O104" s="207">
        <f>SUMIFS('08-21addition'!$F:$F,'08-21addition'!$B:$B,O$38,'08-21addition'!$A:$A,'Biomass&amp;MSW'!$A105)*10</f>
        <v>0</v>
      </c>
      <c r="P104" s="207">
        <f>SUMIFS('08-21addition'!$F:$F,'08-21addition'!$B:$B,P$38,'08-21addition'!$A:$A,'Biomass&amp;MSW'!$A105)*10</f>
        <v>0</v>
      </c>
      <c r="Q104" s="207">
        <f>SUMIFS('08-21addition'!$F:$F,'08-21addition'!$B:$B,Q$38,'08-21addition'!$A:$A,'Biomass&amp;MSW'!$A105)*10</f>
        <v>0</v>
      </c>
      <c r="R104" s="207">
        <f>SUMIFS('08-21addition'!$F:$F,'08-21addition'!$B:$B,R$38,'08-21addition'!$A:$A,'Biomass&amp;MSW'!$A105)*10</f>
        <v>0</v>
      </c>
      <c r="S104" s="207">
        <f>SUMIFS('08-21addition'!$F:$F,'08-21addition'!$B:$B,S$38,'08-21addition'!$A:$A,'Biomass&amp;MSW'!$A105)*10</f>
        <v>0</v>
      </c>
      <c r="T104" s="207">
        <f>SUMIFS('08-21addition'!$F:$F,'08-21addition'!$B:$B,T$38,'08-21addition'!$A:$A,'Biomass&amp;MSW'!$A105)*10</f>
        <v>36</v>
      </c>
      <c r="U104" s="207">
        <f>SUMIFS('08-21addition'!$F:$F,'08-21addition'!$B:$B,U$38,'08-21addition'!$A:$A,'Biomass&amp;MSW'!$A105)*10</f>
        <v>12</v>
      </c>
      <c r="V104" s="207">
        <f>SUMIFS('08-21addition'!$F:$F,'08-21addition'!$B:$B,V$38,'08-21addition'!$A:$A,'Biomass&amp;MSW'!$A105)*10</f>
        <v>86</v>
      </c>
    </row>
    <row r="105" spans="1:22">
      <c r="A105" s="22" t="s">
        <v>142</v>
      </c>
      <c r="B105" s="206">
        <f t="shared" ref="B105:I105" si="82">(IFERROR((1-$W35),0)*$D35)/8*10</f>
        <v>0</v>
      </c>
      <c r="C105" s="206">
        <f t="shared" si="82"/>
        <v>0</v>
      </c>
      <c r="D105" s="206">
        <f t="shared" si="82"/>
        <v>0</v>
      </c>
      <c r="E105" s="206">
        <f t="shared" si="82"/>
        <v>0</v>
      </c>
      <c r="F105" s="206">
        <f t="shared" si="82"/>
        <v>0</v>
      </c>
      <c r="G105" s="206">
        <f t="shared" si="82"/>
        <v>0</v>
      </c>
      <c r="H105" s="206">
        <f t="shared" si="82"/>
        <v>0</v>
      </c>
      <c r="I105" s="206">
        <f t="shared" si="82"/>
        <v>0</v>
      </c>
      <c r="J105" s="207">
        <f>SUMIFS('08-21addition'!$F:$F,'08-21addition'!$B:$B,J$38,'08-21addition'!$A:$A,'Biomass&amp;MSW'!$A106)*10</f>
        <v>0</v>
      </c>
      <c r="K105" s="207">
        <f>SUMIFS('08-21addition'!$F:$F,'08-21addition'!$B:$B,K$38,'08-21addition'!$A:$A,'Biomass&amp;MSW'!$A106)*10</f>
        <v>0</v>
      </c>
      <c r="L105" s="207">
        <f>SUMIFS('08-21addition'!$F:$F,'08-21addition'!$B:$B,L$38,'08-21addition'!$A:$A,'Biomass&amp;MSW'!$A106)*10</f>
        <v>0</v>
      </c>
      <c r="M105" s="207">
        <f>SUMIFS('08-21addition'!$F:$F,'08-21addition'!$B:$B,M$38,'08-21addition'!$A:$A,'Biomass&amp;MSW'!$A106)*10</f>
        <v>0</v>
      </c>
      <c r="N105" s="207">
        <f>SUMIFS('08-21addition'!$F:$F,'08-21addition'!$B:$B,N$38,'08-21addition'!$A:$A,'Biomass&amp;MSW'!$A106)*10</f>
        <v>0</v>
      </c>
      <c r="O105" s="207">
        <f>SUMIFS('08-21addition'!$F:$F,'08-21addition'!$B:$B,O$38,'08-21addition'!$A:$A,'Biomass&amp;MSW'!$A106)*10</f>
        <v>0</v>
      </c>
      <c r="P105" s="207">
        <f>SUMIFS('08-21addition'!$F:$F,'08-21addition'!$B:$B,P$38,'08-21addition'!$A:$A,'Biomass&amp;MSW'!$A106)*10</f>
        <v>0</v>
      </c>
      <c r="Q105" s="207">
        <f>SUMIFS('08-21addition'!$F:$F,'08-21addition'!$B:$B,Q$38,'08-21addition'!$A:$A,'Biomass&amp;MSW'!$A106)*10</f>
        <v>0</v>
      </c>
      <c r="R105" s="207">
        <f>SUMIFS('08-21addition'!$F:$F,'08-21addition'!$B:$B,R$38,'08-21addition'!$A:$A,'Biomass&amp;MSW'!$A106)*10</f>
        <v>0</v>
      </c>
      <c r="S105" s="207">
        <f>SUMIFS('08-21addition'!$F:$F,'08-21addition'!$B:$B,S$38,'08-21addition'!$A:$A,'Biomass&amp;MSW'!$A106)*10</f>
        <v>0</v>
      </c>
      <c r="T105" s="207">
        <f>SUMIFS('08-21addition'!$F:$F,'08-21addition'!$B:$B,T$38,'08-21addition'!$A:$A,'Biomass&amp;MSW'!$A106)*10</f>
        <v>0</v>
      </c>
      <c r="U105" s="207">
        <f>SUMIFS('08-21addition'!$F:$F,'08-21addition'!$B:$B,U$38,'08-21addition'!$A:$A,'Biomass&amp;MSW'!$A106)*10</f>
        <v>0</v>
      </c>
      <c r="V105" s="207">
        <f>SUMIFS('08-21addition'!$F:$F,'08-21addition'!$B:$B,V$38,'08-21addition'!$A:$A,'Biomass&amp;MSW'!$A106)*10</f>
        <v>0</v>
      </c>
    </row>
  </sheetData>
  <mergeCells count="10">
    <mergeCell ref="B1:E1"/>
    <mergeCell ref="F1:M1"/>
    <mergeCell ref="O1:V1"/>
    <mergeCell ref="X1:AE1"/>
    <mergeCell ref="B2:E2"/>
    <mergeCell ref="A2:A3"/>
    <mergeCell ref="N1:N2"/>
    <mergeCell ref="W1:W2"/>
    <mergeCell ref="AF1:AF2"/>
    <mergeCell ref="AG1:AG3"/>
  </mergeCells>
  <conditionalFormatting sqref="AG4:AG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35 W4:W35 AF4:AF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33"/>
  <sheetViews>
    <sheetView topLeftCell="F1" workbookViewId="0">
      <selection activeCell="L39" sqref="L39"/>
    </sheetView>
  </sheetViews>
  <sheetFormatPr defaultColWidth="9" defaultRowHeight="13.85"/>
  <cols>
    <col min="1" max="1" width="8.70796460176991" style="92" customWidth="1"/>
    <col min="2" max="2" width="97.283185840708" style="92" hidden="1" customWidth="1"/>
    <col min="3" max="3" width="74.7079646017699" style="92" customWidth="1"/>
    <col min="4" max="4" width="15.283185840708" style="92" customWidth="1"/>
    <col min="5" max="5" width="26.4247787610619" style="92" customWidth="1"/>
    <col min="6" max="6" width="18.1327433628319" style="92" customWidth="1"/>
    <col min="7" max="7" width="10.1327433628319" style="92" customWidth="1"/>
    <col min="8" max="8" width="15.283185840708" style="92" customWidth="1"/>
    <col min="9" max="10" width="9.13274336283186" style="92"/>
    <col min="11" max="11" width="15.283185840708" style="92" customWidth="1"/>
    <col min="12" max="16384" width="9.13274336283186" style="92"/>
  </cols>
  <sheetData>
    <row r="1" ht="14.25" spans="1:36">
      <c r="A1" s="183" t="s">
        <v>1355</v>
      </c>
      <c r="B1" s="183" t="s">
        <v>1356</v>
      </c>
      <c r="C1" s="183" t="s">
        <v>1357</v>
      </c>
      <c r="D1" s="183" t="s">
        <v>1358</v>
      </c>
      <c r="E1" s="183" t="s">
        <v>1359</v>
      </c>
      <c r="F1" s="183" t="s">
        <v>1360</v>
      </c>
      <c r="G1" s="183" t="s">
        <v>1361</v>
      </c>
      <c r="H1" s="183" t="s">
        <v>1362</v>
      </c>
    </row>
    <row r="2" ht="15" customHeight="1" spans="1:36">
      <c r="A2" s="184" t="s">
        <v>1363</v>
      </c>
      <c r="B2" s="184" t="s">
        <v>1364</v>
      </c>
      <c r="C2" s="184" t="s">
        <v>1365</v>
      </c>
      <c r="D2" s="184">
        <v>102</v>
      </c>
      <c r="E2" s="184" t="s">
        <v>1366</v>
      </c>
      <c r="F2" s="184" t="s">
        <v>1367</v>
      </c>
      <c r="G2" s="184">
        <v>2009</v>
      </c>
      <c r="H2" s="184" t="s">
        <v>1368</v>
      </c>
      <c r="K2" s="185" t="s">
        <v>1369</v>
      </c>
    </row>
    <row r="3" spans="1:36">
      <c r="A3" s="184" t="s">
        <v>1363</v>
      </c>
      <c r="B3" s="184" t="s">
        <v>1370</v>
      </c>
      <c r="C3" s="184" t="s">
        <v>1371</v>
      </c>
      <c r="D3" s="184">
        <v>32</v>
      </c>
      <c r="E3" s="184" t="s">
        <v>1366</v>
      </c>
      <c r="F3" s="184" t="s">
        <v>1367</v>
      </c>
      <c r="G3" s="184">
        <v>2011</v>
      </c>
      <c r="H3" s="184" t="s">
        <v>1372</v>
      </c>
      <c r="K3" s="186" t="s">
        <v>1362</v>
      </c>
      <c r="L3" s="184" t="s">
        <v>1367</v>
      </c>
      <c r="M3" s="184" t="s">
        <v>1367</v>
      </c>
      <c r="N3" s="184" t="s">
        <v>1367</v>
      </c>
      <c r="O3" s="184" t="s">
        <v>1367</v>
      </c>
      <c r="P3" s="184" t="s">
        <v>1367</v>
      </c>
      <c r="Q3" s="184" t="s">
        <v>1367</v>
      </c>
      <c r="R3" s="184" t="s">
        <v>1367</v>
      </c>
      <c r="S3" s="184" t="s">
        <v>1367</v>
      </c>
      <c r="T3" s="184" t="s">
        <v>1367</v>
      </c>
      <c r="U3" s="184" t="s">
        <v>1367</v>
      </c>
      <c r="V3" s="184" t="s">
        <v>1367</v>
      </c>
      <c r="W3" s="184" t="s">
        <v>1367</v>
      </c>
      <c r="X3" s="184" t="s">
        <v>1367</v>
      </c>
      <c r="Y3" s="184" t="s">
        <v>1373</v>
      </c>
      <c r="Z3" s="184" t="s">
        <v>1373</v>
      </c>
      <c r="AA3" s="184" t="s">
        <v>1373</v>
      </c>
      <c r="AB3" s="184" t="s">
        <v>1373</v>
      </c>
      <c r="AC3" s="184" t="s">
        <v>1373</v>
      </c>
      <c r="AD3" s="184" t="s">
        <v>1373</v>
      </c>
      <c r="AE3" s="184" t="s">
        <v>1374</v>
      </c>
      <c r="AF3" s="184" t="s">
        <v>1374</v>
      </c>
      <c r="AG3" s="184" t="s">
        <v>1374</v>
      </c>
      <c r="AH3" s="184" t="s">
        <v>1374</v>
      </c>
      <c r="AI3" s="184" t="s">
        <v>1374</v>
      </c>
      <c r="AJ3" s="184" t="s">
        <v>1374</v>
      </c>
    </row>
    <row r="4" spans="1:36">
      <c r="A4" s="184" t="s">
        <v>1363</v>
      </c>
      <c r="B4" s="184" t="s">
        <v>1375</v>
      </c>
      <c r="C4" s="184" t="s">
        <v>1376</v>
      </c>
      <c r="D4" s="184">
        <v>141</v>
      </c>
      <c r="E4" s="184" t="s">
        <v>1366</v>
      </c>
      <c r="F4" s="184" t="s">
        <v>1367</v>
      </c>
      <c r="G4" s="184">
        <v>2012</v>
      </c>
      <c r="H4" s="184" t="s">
        <v>1372</v>
      </c>
      <c r="K4" s="187"/>
      <c r="L4" s="184">
        <v>2009</v>
      </c>
      <c r="M4" s="184">
        <v>2011</v>
      </c>
      <c r="N4" s="184">
        <v>2012</v>
      </c>
      <c r="O4" s="184">
        <v>2014</v>
      </c>
      <c r="P4" s="184">
        <v>2015</v>
      </c>
      <c r="Q4" s="184">
        <v>2016</v>
      </c>
      <c r="R4" s="184">
        <v>2017</v>
      </c>
      <c r="S4" s="184">
        <v>2018</v>
      </c>
      <c r="T4" s="184">
        <v>2019</v>
      </c>
      <c r="U4" s="184">
        <v>2020</v>
      </c>
      <c r="V4" s="184">
        <v>2021</v>
      </c>
      <c r="W4" s="184">
        <v>2022</v>
      </c>
      <c r="X4" s="184">
        <v>2023</v>
      </c>
      <c r="Y4" s="184">
        <v>2023</v>
      </c>
      <c r="Z4" s="184">
        <v>2024</v>
      </c>
      <c r="AA4" s="184">
        <v>2025</v>
      </c>
      <c r="AB4" s="184">
        <v>2026</v>
      </c>
      <c r="AC4" s="184">
        <v>2027</v>
      </c>
      <c r="AD4" s="188"/>
      <c r="AE4" s="184">
        <v>2023</v>
      </c>
      <c r="AF4" s="184">
        <v>2024</v>
      </c>
      <c r="AG4" s="184">
        <v>2025</v>
      </c>
      <c r="AH4" s="184">
        <v>2026</v>
      </c>
      <c r="AI4" s="184">
        <v>2028</v>
      </c>
      <c r="AJ4" s="188"/>
    </row>
    <row r="5" spans="1:36">
      <c r="A5" s="184" t="s">
        <v>1363</v>
      </c>
      <c r="B5" s="184" t="s">
        <v>1375</v>
      </c>
      <c r="C5" s="184" t="s">
        <v>1377</v>
      </c>
      <c r="D5" s="184">
        <v>54</v>
      </c>
      <c r="E5" s="184" t="s">
        <v>1366</v>
      </c>
      <c r="F5" s="184" t="s">
        <v>1367</v>
      </c>
      <c r="G5" s="184">
        <v>2012</v>
      </c>
      <c r="H5" s="184" t="s">
        <v>1372</v>
      </c>
      <c r="J5" s="184" t="s">
        <v>106</v>
      </c>
      <c r="K5" s="184" t="s">
        <v>1378</v>
      </c>
      <c r="L5" s="92">
        <f t="shared" ref="L5:AA15" si="0">SUMIFS($D:$D,$F:$F,L$3,$G:$G,L$4,$H:$H,$K5)</f>
        <v>0</v>
      </c>
      <c r="M5" s="92">
        <f t="shared" si="0"/>
        <v>0</v>
      </c>
      <c r="N5" s="92">
        <f t="shared" si="0"/>
        <v>0</v>
      </c>
      <c r="O5" s="92">
        <f t="shared" si="0"/>
        <v>0</v>
      </c>
      <c r="P5" s="92">
        <f t="shared" si="0"/>
        <v>0</v>
      </c>
      <c r="Q5" s="92">
        <f t="shared" si="0"/>
        <v>50</v>
      </c>
      <c r="R5" s="92">
        <f t="shared" si="0"/>
        <v>0</v>
      </c>
      <c r="S5" s="92">
        <f t="shared" si="0"/>
        <v>77</v>
      </c>
      <c r="T5" s="92">
        <f t="shared" si="0"/>
        <v>0</v>
      </c>
      <c r="U5" s="92">
        <f t="shared" si="0"/>
        <v>500</v>
      </c>
      <c r="V5" s="92">
        <f t="shared" si="0"/>
        <v>2517</v>
      </c>
      <c r="W5" s="92">
        <f t="shared" si="0"/>
        <v>308</v>
      </c>
      <c r="X5" s="92">
        <f t="shared" si="0"/>
        <v>291</v>
      </c>
      <c r="Y5" s="92">
        <f t="shared" si="0"/>
        <v>402</v>
      </c>
      <c r="Z5" s="92">
        <f t="shared" si="0"/>
        <v>804</v>
      </c>
      <c r="AA5" s="92">
        <f t="shared" si="0"/>
        <v>0</v>
      </c>
      <c r="AB5" s="92">
        <f t="shared" ref="AB5:AJ15" si="1">SUMIFS($D:$D,$F:$F,AB$3,$G:$G,AB$4,$H:$H,$K5)</f>
        <v>0</v>
      </c>
      <c r="AC5" s="92">
        <f t="shared" si="1"/>
        <v>0</v>
      </c>
      <c r="AD5" s="92">
        <f t="shared" si="1"/>
        <v>0</v>
      </c>
      <c r="AE5" s="92">
        <f t="shared" si="1"/>
        <v>300</v>
      </c>
      <c r="AF5" s="92">
        <f t="shared" si="1"/>
        <v>0</v>
      </c>
      <c r="AG5" s="92">
        <f t="shared" si="1"/>
        <v>401</v>
      </c>
      <c r="AH5" s="92">
        <f t="shared" si="1"/>
        <v>400</v>
      </c>
      <c r="AI5" s="92">
        <f t="shared" si="1"/>
        <v>0</v>
      </c>
      <c r="AJ5" s="92">
        <f t="shared" si="1"/>
        <v>0</v>
      </c>
    </row>
    <row r="6" spans="1:36">
      <c r="A6" s="184" t="s">
        <v>1363</v>
      </c>
      <c r="B6" s="184" t="s">
        <v>1379</v>
      </c>
      <c r="C6" s="184" t="s">
        <v>1380</v>
      </c>
      <c r="D6" s="184">
        <v>15</v>
      </c>
      <c r="E6" s="184" t="s">
        <v>1366</v>
      </c>
      <c r="F6" s="184" t="s">
        <v>1367</v>
      </c>
      <c r="G6" s="184">
        <v>2012</v>
      </c>
      <c r="H6" s="184" t="s">
        <v>1368</v>
      </c>
      <c r="J6" s="184" t="s">
        <v>122</v>
      </c>
      <c r="K6" s="184" t="s">
        <v>1381</v>
      </c>
      <c r="L6" s="92">
        <f t="shared" si="0"/>
        <v>0</v>
      </c>
      <c r="M6" s="92">
        <f t="shared" si="0"/>
        <v>0</v>
      </c>
      <c r="N6" s="92">
        <f t="shared" si="0"/>
        <v>0</v>
      </c>
      <c r="O6" s="92">
        <f t="shared" si="0"/>
        <v>0</v>
      </c>
      <c r="P6" s="92">
        <f t="shared" si="0"/>
        <v>0</v>
      </c>
      <c r="Q6" s="92">
        <f t="shared" si="0"/>
        <v>0</v>
      </c>
      <c r="R6" s="92">
        <f t="shared" si="0"/>
        <v>0</v>
      </c>
      <c r="S6" s="92">
        <f t="shared" si="0"/>
        <v>0</v>
      </c>
      <c r="T6" s="92">
        <f t="shared" si="0"/>
        <v>0</v>
      </c>
      <c r="U6" s="92">
        <f t="shared" si="0"/>
        <v>0</v>
      </c>
      <c r="V6" s="92">
        <f t="shared" si="0"/>
        <v>0</v>
      </c>
      <c r="W6" s="92">
        <f t="shared" si="0"/>
        <v>0</v>
      </c>
      <c r="X6" s="92">
        <f t="shared" si="0"/>
        <v>0</v>
      </c>
      <c r="Y6" s="92">
        <f t="shared" si="0"/>
        <v>0</v>
      </c>
      <c r="Z6" s="92">
        <f t="shared" si="0"/>
        <v>0</v>
      </c>
      <c r="AA6" s="92">
        <f t="shared" si="0"/>
        <v>200</v>
      </c>
      <c r="AB6" s="92">
        <f t="shared" si="1"/>
        <v>1500</v>
      </c>
      <c r="AC6" s="92">
        <f t="shared" si="1"/>
        <v>800</v>
      </c>
      <c r="AD6" s="92">
        <f t="shared" si="1"/>
        <v>0</v>
      </c>
      <c r="AE6" s="92">
        <f t="shared" si="1"/>
        <v>0</v>
      </c>
      <c r="AF6" s="92">
        <f t="shared" si="1"/>
        <v>0</v>
      </c>
      <c r="AG6" s="92">
        <f t="shared" si="1"/>
        <v>0</v>
      </c>
      <c r="AH6" s="92">
        <f t="shared" si="1"/>
        <v>1500</v>
      </c>
      <c r="AI6" s="92">
        <f t="shared" si="1"/>
        <v>0</v>
      </c>
      <c r="AJ6" s="92">
        <f t="shared" si="1"/>
        <v>0</v>
      </c>
    </row>
    <row r="7" spans="1:36">
      <c r="A7" s="184" t="s">
        <v>1363</v>
      </c>
      <c r="B7" s="184" t="s">
        <v>1364</v>
      </c>
      <c r="C7" s="184" t="s">
        <v>1382</v>
      </c>
      <c r="D7" s="184">
        <v>102</v>
      </c>
      <c r="E7" s="184" t="s">
        <v>1366</v>
      </c>
      <c r="F7" s="184" t="s">
        <v>1367</v>
      </c>
      <c r="G7" s="184">
        <v>2014</v>
      </c>
      <c r="H7" s="184" t="s">
        <v>1368</v>
      </c>
      <c r="J7" s="184" t="s">
        <v>118</v>
      </c>
      <c r="K7" s="184" t="s">
        <v>1383</v>
      </c>
      <c r="L7" s="92">
        <f t="shared" si="0"/>
        <v>0</v>
      </c>
      <c r="M7" s="92">
        <f t="shared" si="0"/>
        <v>0</v>
      </c>
      <c r="N7" s="92">
        <f t="shared" si="0"/>
        <v>0</v>
      </c>
      <c r="O7" s="92">
        <f t="shared" si="0"/>
        <v>0</v>
      </c>
      <c r="P7" s="92">
        <f t="shared" si="0"/>
        <v>0</v>
      </c>
      <c r="Q7" s="92">
        <f t="shared" si="0"/>
        <v>0</v>
      </c>
      <c r="R7" s="92">
        <f t="shared" si="0"/>
        <v>0</v>
      </c>
      <c r="S7" s="92">
        <f t="shared" si="0"/>
        <v>0</v>
      </c>
      <c r="T7" s="92">
        <f t="shared" si="0"/>
        <v>198</v>
      </c>
      <c r="U7" s="92">
        <f t="shared" si="0"/>
        <v>402</v>
      </c>
      <c r="V7" s="92">
        <f t="shared" si="0"/>
        <v>4833</v>
      </c>
      <c r="W7" s="92">
        <f t="shared" si="0"/>
        <v>2512</v>
      </c>
      <c r="X7" s="92">
        <f t="shared" si="0"/>
        <v>502</v>
      </c>
      <c r="Y7" s="92">
        <f t="shared" si="0"/>
        <v>2061</v>
      </c>
      <c r="Z7" s="92">
        <f t="shared" si="0"/>
        <v>6902</v>
      </c>
      <c r="AA7" s="92">
        <f t="shared" si="0"/>
        <v>0</v>
      </c>
      <c r="AB7" s="92">
        <f t="shared" si="1"/>
        <v>0</v>
      </c>
      <c r="AC7" s="92">
        <f t="shared" si="1"/>
        <v>0</v>
      </c>
      <c r="AD7" s="92">
        <f t="shared" si="1"/>
        <v>0</v>
      </c>
      <c r="AE7" s="92">
        <f t="shared" si="1"/>
        <v>0</v>
      </c>
      <c r="AF7" s="92">
        <f t="shared" si="1"/>
        <v>2655</v>
      </c>
      <c r="AG7" s="92">
        <f t="shared" si="1"/>
        <v>5000</v>
      </c>
      <c r="AH7" s="92">
        <f t="shared" si="1"/>
        <v>0</v>
      </c>
      <c r="AI7" s="92">
        <f t="shared" si="1"/>
        <v>1000</v>
      </c>
      <c r="AJ7" s="92">
        <f t="shared" si="1"/>
        <v>0</v>
      </c>
    </row>
    <row r="8" spans="1:36">
      <c r="A8" s="184" t="s">
        <v>1363</v>
      </c>
      <c r="B8" s="184" t="s">
        <v>1384</v>
      </c>
      <c r="C8" s="184" t="s">
        <v>1385</v>
      </c>
      <c r="D8" s="184">
        <v>12</v>
      </c>
      <c r="E8" s="184" t="s">
        <v>1386</v>
      </c>
      <c r="F8" s="184" t="s">
        <v>1367</v>
      </c>
      <c r="G8" s="184">
        <v>2015</v>
      </c>
      <c r="H8" s="184" t="s">
        <v>1372</v>
      </c>
      <c r="J8" s="184" t="s">
        <v>92</v>
      </c>
      <c r="K8" s="184" t="s">
        <v>1387</v>
      </c>
      <c r="L8" s="92">
        <f t="shared" si="0"/>
        <v>0</v>
      </c>
      <c r="M8" s="92">
        <f t="shared" si="0"/>
        <v>0</v>
      </c>
      <c r="N8" s="92">
        <f t="shared" si="0"/>
        <v>0</v>
      </c>
      <c r="O8" s="92">
        <f t="shared" si="0"/>
        <v>0</v>
      </c>
      <c r="P8" s="92">
        <f t="shared" si="0"/>
        <v>0</v>
      </c>
      <c r="Q8" s="92">
        <f t="shared" si="0"/>
        <v>0</v>
      </c>
      <c r="R8" s="92">
        <f t="shared" si="0"/>
        <v>0</v>
      </c>
      <c r="S8" s="92">
        <f t="shared" si="0"/>
        <v>0</v>
      </c>
      <c r="T8" s="92">
        <f t="shared" si="0"/>
        <v>0</v>
      </c>
      <c r="U8" s="92">
        <f t="shared" si="0"/>
        <v>299</v>
      </c>
      <c r="V8" s="92">
        <f t="shared" si="0"/>
        <v>650</v>
      </c>
      <c r="W8" s="92">
        <f t="shared" si="0"/>
        <v>0</v>
      </c>
      <c r="X8" s="92">
        <f t="shared" si="0"/>
        <v>0</v>
      </c>
      <c r="Y8" s="92">
        <f t="shared" si="0"/>
        <v>0</v>
      </c>
      <c r="Z8" s="92">
        <f t="shared" si="0"/>
        <v>0</v>
      </c>
      <c r="AA8" s="92">
        <f t="shared" si="0"/>
        <v>0</v>
      </c>
      <c r="AB8" s="92">
        <f t="shared" si="1"/>
        <v>0</v>
      </c>
      <c r="AC8" s="92">
        <f t="shared" si="1"/>
        <v>0</v>
      </c>
      <c r="AD8" s="92">
        <f t="shared" si="1"/>
        <v>0</v>
      </c>
      <c r="AE8" s="92">
        <f t="shared" si="1"/>
        <v>200</v>
      </c>
      <c r="AF8" s="92">
        <f t="shared" si="1"/>
        <v>0</v>
      </c>
      <c r="AG8" s="92">
        <f t="shared" si="1"/>
        <v>400</v>
      </c>
      <c r="AH8" s="92">
        <f t="shared" si="1"/>
        <v>0</v>
      </c>
      <c r="AI8" s="92">
        <f t="shared" si="1"/>
        <v>0</v>
      </c>
      <c r="AJ8" s="92">
        <f t="shared" si="1"/>
        <v>0</v>
      </c>
    </row>
    <row r="9" spans="1:36">
      <c r="A9" s="184" t="s">
        <v>1363</v>
      </c>
      <c r="B9" s="184" t="s">
        <v>1388</v>
      </c>
      <c r="C9" s="184" t="s">
        <v>1389</v>
      </c>
      <c r="D9" s="184">
        <v>50</v>
      </c>
      <c r="E9" s="184" t="s">
        <v>1366</v>
      </c>
      <c r="F9" s="184" t="s">
        <v>1367</v>
      </c>
      <c r="G9" s="184">
        <v>2016</v>
      </c>
      <c r="H9" s="184" t="s">
        <v>1378</v>
      </c>
      <c r="J9" s="184" t="s">
        <v>110</v>
      </c>
      <c r="K9" s="184" t="s">
        <v>1390</v>
      </c>
      <c r="L9" s="92">
        <f t="shared" si="0"/>
        <v>0</v>
      </c>
      <c r="M9" s="92">
        <f t="shared" si="0"/>
        <v>0</v>
      </c>
      <c r="N9" s="92">
        <f t="shared" si="0"/>
        <v>0</v>
      </c>
      <c r="O9" s="92">
        <f t="shared" si="0"/>
        <v>0</v>
      </c>
      <c r="P9" s="92">
        <f t="shared" si="0"/>
        <v>0</v>
      </c>
      <c r="Q9" s="92">
        <f t="shared" si="0"/>
        <v>0</v>
      </c>
      <c r="R9" s="92">
        <f t="shared" si="0"/>
        <v>0</v>
      </c>
      <c r="S9" s="92">
        <f t="shared" si="0"/>
        <v>0</v>
      </c>
      <c r="T9" s="92">
        <f t="shared" si="0"/>
        <v>0</v>
      </c>
      <c r="U9" s="92">
        <f t="shared" si="0"/>
        <v>0</v>
      </c>
      <c r="V9" s="92">
        <f t="shared" si="0"/>
        <v>604</v>
      </c>
      <c r="W9" s="92">
        <f t="shared" si="0"/>
        <v>2503.5</v>
      </c>
      <c r="X9" s="92">
        <f t="shared" si="0"/>
        <v>501.5</v>
      </c>
      <c r="Y9" s="92">
        <f t="shared" si="0"/>
        <v>601</v>
      </c>
      <c r="Z9" s="92">
        <f t="shared" si="0"/>
        <v>510</v>
      </c>
      <c r="AA9" s="92">
        <f t="shared" si="0"/>
        <v>0</v>
      </c>
      <c r="AB9" s="92">
        <f t="shared" si="1"/>
        <v>0</v>
      </c>
      <c r="AC9" s="92">
        <f t="shared" si="1"/>
        <v>0</v>
      </c>
      <c r="AD9" s="92">
        <f t="shared" si="1"/>
        <v>0</v>
      </c>
      <c r="AE9" s="92">
        <f t="shared" si="1"/>
        <v>0</v>
      </c>
      <c r="AF9" s="92">
        <f t="shared" si="1"/>
        <v>0</v>
      </c>
      <c r="AG9" s="92">
        <f t="shared" si="1"/>
        <v>0</v>
      </c>
      <c r="AH9" s="92">
        <f t="shared" si="1"/>
        <v>0</v>
      </c>
      <c r="AI9" s="92">
        <f t="shared" si="1"/>
        <v>0</v>
      </c>
      <c r="AJ9" s="92">
        <f t="shared" si="1"/>
        <v>0</v>
      </c>
    </row>
    <row r="10" spans="1:36">
      <c r="A10" s="184" t="s">
        <v>1363</v>
      </c>
      <c r="B10" s="184" t="s">
        <v>1391</v>
      </c>
      <c r="C10" s="184" t="s">
        <v>1392</v>
      </c>
      <c r="D10" s="184">
        <v>100</v>
      </c>
      <c r="E10" s="184" t="s">
        <v>1366</v>
      </c>
      <c r="F10" s="184" t="s">
        <v>1367</v>
      </c>
      <c r="G10" s="184">
        <v>2016</v>
      </c>
      <c r="H10" s="184" t="s">
        <v>1372</v>
      </c>
      <c r="J10" s="184" t="s">
        <v>102</v>
      </c>
      <c r="K10" s="184" t="s">
        <v>1393</v>
      </c>
      <c r="L10" s="92">
        <f t="shared" si="0"/>
        <v>0</v>
      </c>
      <c r="M10" s="92">
        <f t="shared" si="0"/>
        <v>0</v>
      </c>
      <c r="N10" s="92">
        <f t="shared" si="0"/>
        <v>0</v>
      </c>
      <c r="O10" s="92">
        <f t="shared" si="0"/>
        <v>0</v>
      </c>
      <c r="P10" s="92">
        <f t="shared" si="0"/>
        <v>0</v>
      </c>
      <c r="Q10" s="92">
        <f t="shared" si="0"/>
        <v>0</v>
      </c>
      <c r="R10" s="92">
        <f t="shared" si="0"/>
        <v>0</v>
      </c>
      <c r="S10" s="92">
        <f t="shared" si="0"/>
        <v>0</v>
      </c>
      <c r="T10" s="92">
        <f t="shared" si="0"/>
        <v>252</v>
      </c>
      <c r="U10" s="92">
        <f t="shared" si="0"/>
        <v>234</v>
      </c>
      <c r="V10" s="92">
        <f t="shared" si="0"/>
        <v>1535</v>
      </c>
      <c r="W10" s="92">
        <f t="shared" si="0"/>
        <v>1101</v>
      </c>
      <c r="X10" s="92">
        <f t="shared" si="0"/>
        <v>300</v>
      </c>
      <c r="Y10" s="92">
        <f t="shared" si="0"/>
        <v>805</v>
      </c>
      <c r="Z10" s="92">
        <f t="shared" si="0"/>
        <v>804</v>
      </c>
      <c r="AA10" s="92">
        <f t="shared" si="0"/>
        <v>504</v>
      </c>
      <c r="AB10" s="92">
        <f t="shared" si="1"/>
        <v>0</v>
      </c>
      <c r="AC10" s="92">
        <f t="shared" si="1"/>
        <v>0</v>
      </c>
      <c r="AD10" s="92">
        <f t="shared" si="1"/>
        <v>0</v>
      </c>
      <c r="AE10" s="92">
        <f t="shared" si="1"/>
        <v>0</v>
      </c>
      <c r="AF10" s="92">
        <f t="shared" si="1"/>
        <v>0</v>
      </c>
      <c r="AG10" s="92">
        <f t="shared" si="1"/>
        <v>0</v>
      </c>
      <c r="AH10" s="92">
        <f t="shared" si="1"/>
        <v>0</v>
      </c>
      <c r="AI10" s="92">
        <f t="shared" si="1"/>
        <v>0</v>
      </c>
      <c r="AJ10" s="92">
        <f t="shared" si="1"/>
        <v>0</v>
      </c>
    </row>
    <row r="11" spans="1:36">
      <c r="A11" s="184" t="s">
        <v>1363</v>
      </c>
      <c r="B11" s="184" t="s">
        <v>1394</v>
      </c>
      <c r="C11" s="184" t="s">
        <v>1395</v>
      </c>
      <c r="D11" s="184">
        <v>200</v>
      </c>
      <c r="E11" s="184" t="s">
        <v>1366</v>
      </c>
      <c r="F11" s="184" t="s">
        <v>1367</v>
      </c>
      <c r="G11" s="184">
        <v>2016</v>
      </c>
      <c r="H11" s="184" t="s">
        <v>1372</v>
      </c>
      <c r="J11" s="184" t="s">
        <v>1396</v>
      </c>
      <c r="K11" s="184" t="s">
        <v>1397</v>
      </c>
      <c r="L11" s="92">
        <f t="shared" si="0"/>
        <v>0</v>
      </c>
      <c r="M11" s="92">
        <f t="shared" si="0"/>
        <v>0</v>
      </c>
      <c r="N11" s="92">
        <f t="shared" si="0"/>
        <v>0</v>
      </c>
      <c r="O11" s="92">
        <f t="shared" si="0"/>
        <v>0</v>
      </c>
      <c r="P11" s="92">
        <f t="shared" si="0"/>
        <v>0</v>
      </c>
      <c r="Q11" s="92">
        <f t="shared" si="0"/>
        <v>0</v>
      </c>
      <c r="R11" s="92">
        <f t="shared" si="0"/>
        <v>0</v>
      </c>
      <c r="S11" s="92">
        <f t="shared" si="0"/>
        <v>0</v>
      </c>
      <c r="T11" s="92">
        <f t="shared" si="0"/>
        <v>0</v>
      </c>
      <c r="U11" s="92">
        <f t="shared" si="0"/>
        <v>0</v>
      </c>
      <c r="V11" s="92">
        <f t="shared" si="0"/>
        <v>0</v>
      </c>
      <c r="W11" s="92">
        <f t="shared" si="0"/>
        <v>0</v>
      </c>
      <c r="X11" s="92">
        <f t="shared" si="0"/>
        <v>0</v>
      </c>
      <c r="Y11" s="92">
        <f t="shared" si="0"/>
        <v>0</v>
      </c>
      <c r="Z11" s="92">
        <f t="shared" si="0"/>
        <v>0</v>
      </c>
      <c r="AA11" s="92">
        <f t="shared" si="0"/>
        <v>0</v>
      </c>
      <c r="AB11" s="92">
        <f t="shared" si="1"/>
        <v>0</v>
      </c>
      <c r="AC11" s="92">
        <f t="shared" si="1"/>
        <v>0</v>
      </c>
      <c r="AD11" s="92">
        <f t="shared" si="1"/>
        <v>0</v>
      </c>
      <c r="AE11" s="92">
        <f t="shared" si="1"/>
        <v>0</v>
      </c>
      <c r="AF11" s="92">
        <f t="shared" si="1"/>
        <v>0</v>
      </c>
      <c r="AG11" s="92">
        <f t="shared" si="1"/>
        <v>0</v>
      </c>
      <c r="AH11" s="92">
        <f t="shared" si="1"/>
        <v>0</v>
      </c>
      <c r="AI11" s="92">
        <f t="shared" si="1"/>
        <v>0</v>
      </c>
      <c r="AJ11" s="92">
        <f t="shared" si="1"/>
        <v>0</v>
      </c>
    </row>
    <row r="12" spans="1:36">
      <c r="A12" s="184" t="s">
        <v>1363</v>
      </c>
      <c r="B12" s="184" t="s">
        <v>1398</v>
      </c>
      <c r="C12" s="184" t="s">
        <v>1399</v>
      </c>
      <c r="D12" s="184">
        <v>152</v>
      </c>
      <c r="E12" s="184" t="s">
        <v>1366</v>
      </c>
      <c r="F12" s="184" t="s">
        <v>1367</v>
      </c>
      <c r="G12" s="184">
        <v>2016</v>
      </c>
      <c r="H12" s="184" t="s">
        <v>1372</v>
      </c>
      <c r="J12" s="184" t="s">
        <v>86</v>
      </c>
      <c r="K12" s="184" t="s">
        <v>1400</v>
      </c>
      <c r="L12" s="92">
        <f t="shared" si="0"/>
        <v>0</v>
      </c>
      <c r="M12" s="92">
        <f t="shared" si="0"/>
        <v>0</v>
      </c>
      <c r="N12" s="92">
        <f t="shared" si="0"/>
        <v>0</v>
      </c>
      <c r="O12" s="92">
        <f t="shared" si="0"/>
        <v>0</v>
      </c>
      <c r="P12" s="92">
        <f t="shared" si="0"/>
        <v>0</v>
      </c>
      <c r="Q12" s="92">
        <f t="shared" si="0"/>
        <v>0</v>
      </c>
      <c r="R12" s="92">
        <f t="shared" si="0"/>
        <v>0</v>
      </c>
      <c r="S12" s="92">
        <f t="shared" si="0"/>
        <v>0</v>
      </c>
      <c r="T12" s="92">
        <f t="shared" si="0"/>
        <v>0</v>
      </c>
      <c r="U12" s="92">
        <f t="shared" si="0"/>
        <v>300</v>
      </c>
      <c r="V12" s="92">
        <f t="shared" si="0"/>
        <v>0</v>
      </c>
      <c r="W12" s="92">
        <f t="shared" si="0"/>
        <v>0</v>
      </c>
      <c r="X12" s="92">
        <f t="shared" si="0"/>
        <v>0</v>
      </c>
      <c r="Y12" s="92">
        <f t="shared" si="0"/>
        <v>0</v>
      </c>
      <c r="Z12" s="92">
        <f t="shared" si="0"/>
        <v>0</v>
      </c>
      <c r="AA12" s="92">
        <f t="shared" si="0"/>
        <v>0</v>
      </c>
      <c r="AB12" s="92">
        <f t="shared" si="1"/>
        <v>0</v>
      </c>
      <c r="AC12" s="92">
        <f t="shared" si="1"/>
        <v>0</v>
      </c>
      <c r="AD12" s="92">
        <f t="shared" si="1"/>
        <v>0</v>
      </c>
      <c r="AE12" s="92">
        <f t="shared" si="1"/>
        <v>0</v>
      </c>
      <c r="AF12" s="92">
        <f t="shared" si="1"/>
        <v>0</v>
      </c>
      <c r="AG12" s="92">
        <f t="shared" si="1"/>
        <v>0</v>
      </c>
      <c r="AH12" s="92">
        <f t="shared" si="1"/>
        <v>0</v>
      </c>
      <c r="AI12" s="92">
        <f t="shared" si="1"/>
        <v>0</v>
      </c>
      <c r="AJ12" s="92">
        <f t="shared" si="1"/>
        <v>0</v>
      </c>
    </row>
    <row r="13" spans="1:36">
      <c r="A13" s="184" t="s">
        <v>1363</v>
      </c>
      <c r="B13" s="184" t="s">
        <v>1401</v>
      </c>
      <c r="C13" s="184" t="s">
        <v>1402</v>
      </c>
      <c r="D13" s="184">
        <v>100</v>
      </c>
      <c r="E13" s="184" t="s">
        <v>1366</v>
      </c>
      <c r="F13" s="184" t="s">
        <v>1367</v>
      </c>
      <c r="G13" s="184">
        <v>2016</v>
      </c>
      <c r="H13" s="184" t="s">
        <v>1372</v>
      </c>
      <c r="J13" s="184" t="s">
        <v>100</v>
      </c>
      <c r="K13" s="184" t="s">
        <v>1372</v>
      </c>
      <c r="L13" s="92">
        <f t="shared" si="0"/>
        <v>0</v>
      </c>
      <c r="M13" s="92">
        <f t="shared" si="0"/>
        <v>32</v>
      </c>
      <c r="N13" s="92">
        <f t="shared" si="0"/>
        <v>195</v>
      </c>
      <c r="O13" s="92">
        <f t="shared" si="0"/>
        <v>0</v>
      </c>
      <c r="P13" s="92">
        <f t="shared" si="0"/>
        <v>12</v>
      </c>
      <c r="Q13" s="92">
        <f t="shared" si="0"/>
        <v>754</v>
      </c>
      <c r="R13" s="92">
        <f t="shared" si="0"/>
        <v>502</v>
      </c>
      <c r="S13" s="92">
        <f t="shared" si="0"/>
        <v>900</v>
      </c>
      <c r="T13" s="92">
        <f t="shared" si="0"/>
        <v>1709</v>
      </c>
      <c r="U13" s="92">
        <f t="shared" si="0"/>
        <v>908</v>
      </c>
      <c r="V13" s="92">
        <f t="shared" si="0"/>
        <v>6631</v>
      </c>
      <c r="W13" s="92">
        <f t="shared" si="0"/>
        <v>303</v>
      </c>
      <c r="X13" s="92">
        <f t="shared" si="0"/>
        <v>0</v>
      </c>
      <c r="Y13" s="92">
        <f t="shared" si="0"/>
        <v>0</v>
      </c>
      <c r="Z13" s="92">
        <f t="shared" si="0"/>
        <v>0</v>
      </c>
      <c r="AA13" s="92">
        <f t="shared" si="0"/>
        <v>0</v>
      </c>
      <c r="AB13" s="92">
        <f t="shared" si="1"/>
        <v>0</v>
      </c>
      <c r="AC13" s="92">
        <f t="shared" si="1"/>
        <v>0</v>
      </c>
      <c r="AD13" s="92">
        <f t="shared" si="1"/>
        <v>0</v>
      </c>
      <c r="AE13" s="92">
        <f t="shared" si="1"/>
        <v>206</v>
      </c>
      <c r="AF13" s="92">
        <f t="shared" si="1"/>
        <v>1300</v>
      </c>
      <c r="AG13" s="92">
        <f t="shared" si="1"/>
        <v>0</v>
      </c>
      <c r="AH13" s="92">
        <f t="shared" si="1"/>
        <v>200</v>
      </c>
      <c r="AI13" s="92">
        <f t="shared" si="1"/>
        <v>0</v>
      </c>
      <c r="AJ13" s="92">
        <f t="shared" si="1"/>
        <v>0</v>
      </c>
    </row>
    <row r="14" spans="1:36">
      <c r="A14" s="184" t="s">
        <v>1363</v>
      </c>
      <c r="B14" s="184" t="s">
        <v>1403</v>
      </c>
      <c r="C14" s="184" t="s">
        <v>1404</v>
      </c>
      <c r="D14" s="184">
        <v>202</v>
      </c>
      <c r="E14" s="184" t="s">
        <v>1366</v>
      </c>
      <c r="F14" s="184" t="s">
        <v>1367</v>
      </c>
      <c r="G14" s="184">
        <v>2016</v>
      </c>
      <c r="H14" s="184" t="s">
        <v>1372</v>
      </c>
      <c r="J14" s="184" t="s">
        <v>98</v>
      </c>
      <c r="K14" s="184" t="s">
        <v>1368</v>
      </c>
      <c r="L14" s="92">
        <f t="shared" si="0"/>
        <v>102</v>
      </c>
      <c r="M14" s="92">
        <f t="shared" si="0"/>
        <v>0</v>
      </c>
      <c r="N14" s="92">
        <f t="shared" si="0"/>
        <v>15</v>
      </c>
      <c r="O14" s="92">
        <f t="shared" si="0"/>
        <v>102</v>
      </c>
      <c r="P14" s="92">
        <f t="shared" si="0"/>
        <v>0</v>
      </c>
      <c r="Q14" s="92">
        <f t="shared" si="0"/>
        <v>0</v>
      </c>
      <c r="R14" s="92">
        <f t="shared" si="0"/>
        <v>101</v>
      </c>
      <c r="S14" s="92">
        <f t="shared" si="0"/>
        <v>0</v>
      </c>
      <c r="T14" s="92">
        <f t="shared" si="0"/>
        <v>106</v>
      </c>
      <c r="U14" s="92">
        <f t="shared" si="0"/>
        <v>0</v>
      </c>
      <c r="V14" s="92">
        <f t="shared" si="0"/>
        <v>251.5</v>
      </c>
      <c r="W14" s="92">
        <f t="shared" si="0"/>
        <v>0</v>
      </c>
      <c r="X14" s="92">
        <f t="shared" si="0"/>
        <v>0</v>
      </c>
      <c r="Y14" s="92">
        <f t="shared" si="0"/>
        <v>0</v>
      </c>
      <c r="Z14" s="92">
        <f t="shared" si="0"/>
        <v>0</v>
      </c>
      <c r="AA14" s="92">
        <f t="shared" si="0"/>
        <v>0</v>
      </c>
      <c r="AB14" s="92">
        <f t="shared" si="1"/>
        <v>0</v>
      </c>
      <c r="AC14" s="92">
        <f t="shared" si="1"/>
        <v>0</v>
      </c>
      <c r="AD14" s="92">
        <f t="shared" si="1"/>
        <v>0</v>
      </c>
      <c r="AE14" s="92">
        <f t="shared" si="1"/>
        <v>0</v>
      </c>
      <c r="AF14" s="92">
        <f t="shared" si="1"/>
        <v>0</v>
      </c>
      <c r="AG14" s="92">
        <f t="shared" si="1"/>
        <v>0</v>
      </c>
      <c r="AH14" s="92">
        <f t="shared" si="1"/>
        <v>0</v>
      </c>
      <c r="AI14" s="92">
        <f t="shared" si="1"/>
        <v>0</v>
      </c>
      <c r="AJ14" s="92">
        <f t="shared" si="1"/>
        <v>0</v>
      </c>
    </row>
    <row r="15" spans="1:36">
      <c r="A15" s="184" t="s">
        <v>1363</v>
      </c>
      <c r="B15" s="184" t="s">
        <v>1405</v>
      </c>
      <c r="C15" s="184" t="s">
        <v>1406</v>
      </c>
      <c r="D15" s="184">
        <v>302</v>
      </c>
      <c r="E15" s="184" t="s">
        <v>1366</v>
      </c>
      <c r="F15" s="184" t="s">
        <v>1367</v>
      </c>
      <c r="G15" s="184">
        <v>2017</v>
      </c>
      <c r="H15" s="184" t="s">
        <v>1372</v>
      </c>
      <c r="J15" s="184" t="s">
        <v>84</v>
      </c>
      <c r="K15" s="184" t="s">
        <v>1407</v>
      </c>
      <c r="L15" s="92">
        <f t="shared" si="0"/>
        <v>0</v>
      </c>
      <c r="M15" s="92">
        <f t="shared" si="0"/>
        <v>0</v>
      </c>
      <c r="N15" s="92">
        <f t="shared" si="0"/>
        <v>0</v>
      </c>
      <c r="O15" s="92">
        <f t="shared" si="0"/>
        <v>0</v>
      </c>
      <c r="P15" s="92">
        <f t="shared" si="0"/>
        <v>0</v>
      </c>
      <c r="Q15" s="92">
        <f t="shared" si="0"/>
        <v>0</v>
      </c>
      <c r="R15" s="92">
        <f t="shared" si="0"/>
        <v>0</v>
      </c>
      <c r="S15" s="92">
        <f t="shared" si="0"/>
        <v>0</v>
      </c>
      <c r="T15" s="92">
        <f t="shared" si="0"/>
        <v>90</v>
      </c>
      <c r="U15" s="92">
        <f t="shared" si="0"/>
        <v>0</v>
      </c>
      <c r="V15" s="92">
        <f t="shared" si="0"/>
        <v>0</v>
      </c>
      <c r="W15" s="92">
        <f t="shared" si="0"/>
        <v>0</v>
      </c>
      <c r="X15" s="92">
        <f t="shared" si="0"/>
        <v>0</v>
      </c>
      <c r="Y15" s="92">
        <f t="shared" si="0"/>
        <v>0</v>
      </c>
      <c r="Z15" s="92">
        <f t="shared" si="0"/>
        <v>0</v>
      </c>
      <c r="AA15" s="92">
        <f t="shared" si="0"/>
        <v>0</v>
      </c>
      <c r="AB15" s="92">
        <f t="shared" si="1"/>
        <v>0</v>
      </c>
      <c r="AC15" s="92">
        <f t="shared" si="1"/>
        <v>0</v>
      </c>
      <c r="AD15" s="92">
        <f t="shared" si="1"/>
        <v>0</v>
      </c>
      <c r="AE15" s="92">
        <f t="shared" si="1"/>
        <v>0</v>
      </c>
      <c r="AF15" s="92">
        <f t="shared" si="1"/>
        <v>0</v>
      </c>
      <c r="AG15" s="92">
        <f t="shared" si="1"/>
        <v>0</v>
      </c>
      <c r="AH15" s="92">
        <f t="shared" si="1"/>
        <v>0</v>
      </c>
      <c r="AI15" s="92">
        <f t="shared" si="1"/>
        <v>0</v>
      </c>
      <c r="AJ15" s="92">
        <f t="shared" si="1"/>
        <v>0</v>
      </c>
    </row>
    <row r="16" spans="1:36">
      <c r="A16" s="184" t="s">
        <v>1363</v>
      </c>
      <c r="B16" s="184" t="s">
        <v>1408</v>
      </c>
      <c r="C16" s="184" t="s">
        <v>1409</v>
      </c>
      <c r="D16" s="184">
        <v>200</v>
      </c>
      <c r="E16" s="184" t="s">
        <v>1366</v>
      </c>
      <c r="F16" s="184" t="s">
        <v>1367</v>
      </c>
      <c r="G16" s="184">
        <v>2017</v>
      </c>
      <c r="H16" s="184" t="s">
        <v>1372</v>
      </c>
      <c r="J16" s="184" t="s">
        <v>80</v>
      </c>
      <c r="K16" s="184" t="s">
        <v>1410</v>
      </c>
      <c r="L16" s="92">
        <f t="shared" ref="L16:AJ16" si="2">SUM(L5:L15)</f>
        <v>102</v>
      </c>
      <c r="M16" s="92">
        <f t="shared" si="2"/>
        <v>32</v>
      </c>
      <c r="N16" s="92">
        <f t="shared" si="2"/>
        <v>210</v>
      </c>
      <c r="O16" s="92">
        <f t="shared" si="2"/>
        <v>102</v>
      </c>
      <c r="P16" s="92">
        <f t="shared" si="2"/>
        <v>12</v>
      </c>
      <c r="Q16" s="92">
        <f t="shared" si="2"/>
        <v>804</v>
      </c>
      <c r="R16" s="92">
        <f t="shared" si="2"/>
        <v>603</v>
      </c>
      <c r="S16" s="92">
        <f t="shared" si="2"/>
        <v>977</v>
      </c>
      <c r="T16" s="92">
        <f t="shared" si="2"/>
        <v>2355</v>
      </c>
      <c r="U16" s="92">
        <f t="shared" si="2"/>
        <v>2643</v>
      </c>
      <c r="V16" s="92">
        <f t="shared" si="2"/>
        <v>17021.5</v>
      </c>
      <c r="W16" s="92">
        <f t="shared" si="2"/>
        <v>6727.5</v>
      </c>
      <c r="X16" s="92">
        <f t="shared" si="2"/>
        <v>1594.5</v>
      </c>
      <c r="Y16" s="92">
        <f t="shared" si="2"/>
        <v>3869</v>
      </c>
      <c r="Z16" s="92">
        <f t="shared" si="2"/>
        <v>9020</v>
      </c>
      <c r="AA16" s="92">
        <f t="shared" si="2"/>
        <v>704</v>
      </c>
      <c r="AB16" s="92">
        <f t="shared" si="2"/>
        <v>1500</v>
      </c>
      <c r="AC16" s="92">
        <f t="shared" si="2"/>
        <v>800</v>
      </c>
      <c r="AD16" s="92">
        <f t="shared" si="2"/>
        <v>0</v>
      </c>
      <c r="AE16" s="92">
        <f t="shared" si="2"/>
        <v>706</v>
      </c>
      <c r="AF16" s="92">
        <f t="shared" si="2"/>
        <v>3955</v>
      </c>
      <c r="AG16" s="92">
        <f t="shared" si="2"/>
        <v>5801</v>
      </c>
      <c r="AH16" s="92">
        <f t="shared" si="2"/>
        <v>2100</v>
      </c>
      <c r="AI16" s="92">
        <f t="shared" si="2"/>
        <v>1000</v>
      </c>
      <c r="AJ16" s="92">
        <f t="shared" si="2"/>
        <v>0</v>
      </c>
    </row>
    <row r="17" spans="1:33">
      <c r="A17" s="184" t="s">
        <v>1363</v>
      </c>
      <c r="B17" s="184" t="s">
        <v>1411</v>
      </c>
      <c r="C17" s="184" t="s">
        <v>1412</v>
      </c>
      <c r="D17" s="184">
        <v>101</v>
      </c>
      <c r="E17" s="184" t="s">
        <v>1366</v>
      </c>
      <c r="F17" s="184" t="s">
        <v>1367</v>
      </c>
      <c r="G17" s="184">
        <v>2017</v>
      </c>
      <c r="H17" s="184" t="s">
        <v>1368</v>
      </c>
    </row>
    <row r="18" spans="1:33">
      <c r="A18" s="184" t="s">
        <v>1363</v>
      </c>
      <c r="B18" s="184" t="s">
        <v>1413</v>
      </c>
      <c r="C18" s="184" t="s">
        <v>1414</v>
      </c>
      <c r="D18" s="184">
        <v>77</v>
      </c>
      <c r="E18" s="184" t="s">
        <v>1366</v>
      </c>
      <c r="F18" s="184" t="s">
        <v>1367</v>
      </c>
      <c r="G18" s="184">
        <v>2018</v>
      </c>
      <c r="H18" s="184" t="s">
        <v>1378</v>
      </c>
      <c r="K18" s="185" t="s">
        <v>1415</v>
      </c>
    </row>
    <row r="19" spans="1:33">
      <c r="A19" s="184" t="s">
        <v>1363</v>
      </c>
      <c r="B19" s="184" t="s">
        <v>1416</v>
      </c>
      <c r="C19" s="184" t="s">
        <v>1417</v>
      </c>
      <c r="D19" s="184">
        <v>400</v>
      </c>
      <c r="E19" s="184" t="s">
        <v>1366</v>
      </c>
      <c r="F19" s="184" t="s">
        <v>1367</v>
      </c>
      <c r="G19" s="184">
        <v>2018</v>
      </c>
      <c r="H19" s="184" t="s">
        <v>1372</v>
      </c>
      <c r="L19" s="92">
        <v>2009</v>
      </c>
      <c r="M19" s="92">
        <v>2010</v>
      </c>
      <c r="N19" s="92">
        <v>2011</v>
      </c>
      <c r="O19" s="92">
        <v>2012</v>
      </c>
      <c r="P19" s="92">
        <v>2013</v>
      </c>
      <c r="Q19" s="92">
        <v>2014</v>
      </c>
      <c r="R19" s="92">
        <v>2015</v>
      </c>
      <c r="S19" s="92">
        <v>2016</v>
      </c>
      <c r="T19" s="92">
        <v>2017</v>
      </c>
      <c r="U19" s="92">
        <v>2018</v>
      </c>
      <c r="V19" s="92">
        <v>2019</v>
      </c>
      <c r="W19" s="92">
        <v>2020</v>
      </c>
      <c r="X19" s="92">
        <v>2021</v>
      </c>
      <c r="Y19" s="92">
        <v>2022</v>
      </c>
      <c r="Z19" s="92">
        <v>2023</v>
      </c>
      <c r="AA19" s="92">
        <v>2024</v>
      </c>
      <c r="AB19" s="92">
        <v>2025</v>
      </c>
      <c r="AC19" s="92">
        <v>2026</v>
      </c>
      <c r="AD19" s="92">
        <v>2027</v>
      </c>
      <c r="AE19" s="92">
        <v>2028</v>
      </c>
      <c r="AF19" s="92">
        <v>2029</v>
      </c>
      <c r="AG19" s="92">
        <v>2030</v>
      </c>
    </row>
    <row r="20" spans="1:33">
      <c r="A20" s="184" t="s">
        <v>1363</v>
      </c>
      <c r="B20" s="184" t="s">
        <v>1418</v>
      </c>
      <c r="C20" s="184" t="s">
        <v>1419</v>
      </c>
      <c r="D20" s="184">
        <v>200</v>
      </c>
      <c r="E20" s="184" t="s">
        <v>1366</v>
      </c>
      <c r="F20" s="184" t="s">
        <v>1367</v>
      </c>
      <c r="G20" s="184">
        <v>2018</v>
      </c>
      <c r="H20" s="184" t="s">
        <v>1372</v>
      </c>
      <c r="J20" s="184" t="s">
        <v>106</v>
      </c>
      <c r="K20" s="184" t="s">
        <v>1378</v>
      </c>
      <c r="L20" s="92">
        <f t="shared" ref="L20:AG31" si="3">SUMIFS($L5:$AJ5,$L$4:$AJ$4,L$19)</f>
        <v>0</v>
      </c>
      <c r="M20" s="92">
        <f t="shared" si="3"/>
        <v>0</v>
      </c>
      <c r="N20" s="92">
        <f t="shared" si="3"/>
        <v>0</v>
      </c>
      <c r="O20" s="92">
        <f t="shared" si="3"/>
        <v>0</v>
      </c>
      <c r="P20" s="92">
        <f t="shared" si="3"/>
        <v>0</v>
      </c>
      <c r="Q20" s="92">
        <f t="shared" si="3"/>
        <v>0</v>
      </c>
      <c r="R20" s="92">
        <f t="shared" si="3"/>
        <v>0</v>
      </c>
      <c r="S20" s="92">
        <f t="shared" si="3"/>
        <v>50</v>
      </c>
      <c r="T20" s="92">
        <f t="shared" si="3"/>
        <v>0</v>
      </c>
      <c r="U20" s="92">
        <f t="shared" si="3"/>
        <v>77</v>
      </c>
      <c r="V20" s="92">
        <f t="shared" si="3"/>
        <v>0</v>
      </c>
      <c r="W20" s="92">
        <f t="shared" si="3"/>
        <v>500</v>
      </c>
      <c r="X20" s="92">
        <f t="shared" si="3"/>
        <v>2517</v>
      </c>
      <c r="Y20" s="92">
        <f t="shared" si="3"/>
        <v>308</v>
      </c>
      <c r="Z20" s="92">
        <f t="shared" si="3"/>
        <v>993</v>
      </c>
      <c r="AA20" s="92">
        <f t="shared" si="3"/>
        <v>804</v>
      </c>
      <c r="AB20" s="92">
        <f t="shared" si="3"/>
        <v>401</v>
      </c>
      <c r="AC20" s="92">
        <f t="shared" si="3"/>
        <v>400</v>
      </c>
      <c r="AD20" s="92">
        <f t="shared" si="3"/>
        <v>0</v>
      </c>
      <c r="AE20" s="92">
        <f t="shared" si="3"/>
        <v>0</v>
      </c>
      <c r="AF20" s="92">
        <f t="shared" si="3"/>
        <v>0</v>
      </c>
      <c r="AG20" s="92">
        <f t="shared" si="3"/>
        <v>0</v>
      </c>
    </row>
    <row r="21" spans="1:33">
      <c r="A21" s="184" t="s">
        <v>1363</v>
      </c>
      <c r="B21" s="184" t="s">
        <v>1420</v>
      </c>
      <c r="C21" s="184" t="s">
        <v>1421</v>
      </c>
      <c r="D21" s="184">
        <v>300</v>
      </c>
      <c r="E21" s="184" t="s">
        <v>1366</v>
      </c>
      <c r="F21" s="184" t="s">
        <v>1367</v>
      </c>
      <c r="G21" s="184">
        <v>2018</v>
      </c>
      <c r="H21" s="184" t="s">
        <v>1372</v>
      </c>
      <c r="J21" s="184" t="s">
        <v>122</v>
      </c>
      <c r="K21" s="184" t="s">
        <v>1381</v>
      </c>
      <c r="L21" s="92">
        <f t="shared" si="3"/>
        <v>0</v>
      </c>
      <c r="M21" s="92">
        <f t="shared" si="3"/>
        <v>0</v>
      </c>
      <c r="N21" s="92">
        <f t="shared" si="3"/>
        <v>0</v>
      </c>
      <c r="O21" s="92">
        <f t="shared" si="3"/>
        <v>0</v>
      </c>
      <c r="P21" s="92">
        <f t="shared" si="3"/>
        <v>0</v>
      </c>
      <c r="Q21" s="92">
        <f t="shared" si="3"/>
        <v>0</v>
      </c>
      <c r="R21" s="92">
        <f t="shared" si="3"/>
        <v>0</v>
      </c>
      <c r="S21" s="92">
        <f t="shared" si="3"/>
        <v>0</v>
      </c>
      <c r="T21" s="92">
        <f t="shared" si="3"/>
        <v>0</v>
      </c>
      <c r="U21" s="92">
        <f t="shared" si="3"/>
        <v>0</v>
      </c>
      <c r="V21" s="92">
        <f t="shared" si="3"/>
        <v>0</v>
      </c>
      <c r="W21" s="92">
        <f t="shared" si="3"/>
        <v>0</v>
      </c>
      <c r="X21" s="92">
        <f t="shared" si="3"/>
        <v>0</v>
      </c>
      <c r="Y21" s="92">
        <f t="shared" si="3"/>
        <v>0</v>
      </c>
      <c r="Z21" s="92">
        <f t="shared" si="3"/>
        <v>0</v>
      </c>
      <c r="AA21" s="92">
        <f t="shared" si="3"/>
        <v>0</v>
      </c>
      <c r="AB21" s="92">
        <f t="shared" si="3"/>
        <v>200</v>
      </c>
      <c r="AC21" s="92">
        <f t="shared" si="3"/>
        <v>3000</v>
      </c>
      <c r="AD21" s="92">
        <f t="shared" si="3"/>
        <v>800</v>
      </c>
      <c r="AE21" s="92">
        <f t="shared" si="3"/>
        <v>0</v>
      </c>
      <c r="AF21" s="92">
        <f t="shared" si="3"/>
        <v>0</v>
      </c>
      <c r="AG21" s="92">
        <f t="shared" si="3"/>
        <v>0</v>
      </c>
    </row>
    <row r="22" spans="1:33">
      <c r="A22" s="184" t="s">
        <v>1363</v>
      </c>
      <c r="B22" s="184" t="s">
        <v>1422</v>
      </c>
      <c r="C22" s="184" t="s">
        <v>1423</v>
      </c>
      <c r="D22" s="184">
        <v>302</v>
      </c>
      <c r="E22" s="184" t="s">
        <v>1366</v>
      </c>
      <c r="F22" s="184" t="s">
        <v>1367</v>
      </c>
      <c r="G22" s="184">
        <v>2019</v>
      </c>
      <c r="H22" s="184" t="s">
        <v>1372</v>
      </c>
      <c r="J22" s="184" t="s">
        <v>118</v>
      </c>
      <c r="K22" s="184" t="s">
        <v>1383</v>
      </c>
      <c r="L22" s="92">
        <f t="shared" si="3"/>
        <v>0</v>
      </c>
      <c r="M22" s="92">
        <f t="shared" si="3"/>
        <v>0</v>
      </c>
      <c r="N22" s="92">
        <f t="shared" si="3"/>
        <v>0</v>
      </c>
      <c r="O22" s="92">
        <f t="shared" si="3"/>
        <v>0</v>
      </c>
      <c r="P22" s="92">
        <f t="shared" si="3"/>
        <v>0</v>
      </c>
      <c r="Q22" s="92">
        <f t="shared" si="3"/>
        <v>0</v>
      </c>
      <c r="R22" s="92">
        <f t="shared" si="3"/>
        <v>0</v>
      </c>
      <c r="S22" s="92">
        <f t="shared" si="3"/>
        <v>0</v>
      </c>
      <c r="T22" s="92">
        <f t="shared" si="3"/>
        <v>0</v>
      </c>
      <c r="U22" s="92">
        <f t="shared" si="3"/>
        <v>0</v>
      </c>
      <c r="V22" s="92">
        <f t="shared" si="3"/>
        <v>198</v>
      </c>
      <c r="W22" s="92">
        <f t="shared" si="3"/>
        <v>402</v>
      </c>
      <c r="X22" s="92">
        <f t="shared" si="3"/>
        <v>4833</v>
      </c>
      <c r="Y22" s="92">
        <f t="shared" si="3"/>
        <v>2512</v>
      </c>
      <c r="Z22" s="92">
        <f t="shared" si="3"/>
        <v>2563</v>
      </c>
      <c r="AA22" s="92">
        <f t="shared" si="3"/>
        <v>9557</v>
      </c>
      <c r="AB22" s="92">
        <f t="shared" si="3"/>
        <v>5000</v>
      </c>
      <c r="AC22" s="92">
        <f t="shared" si="3"/>
        <v>0</v>
      </c>
      <c r="AD22" s="92">
        <f t="shared" si="3"/>
        <v>0</v>
      </c>
      <c r="AE22" s="92">
        <f t="shared" si="3"/>
        <v>1000</v>
      </c>
      <c r="AF22" s="92">
        <f t="shared" si="3"/>
        <v>0</v>
      </c>
      <c r="AG22" s="92">
        <f t="shared" si="3"/>
        <v>0</v>
      </c>
    </row>
    <row r="23" spans="1:33">
      <c r="A23" s="184" t="s">
        <v>1363</v>
      </c>
      <c r="B23" s="184" t="s">
        <v>1424</v>
      </c>
      <c r="C23" s="184" t="s">
        <v>1425</v>
      </c>
      <c r="D23" s="184">
        <v>198</v>
      </c>
      <c r="E23" s="184" t="s">
        <v>1366</v>
      </c>
      <c r="F23" s="184" t="s">
        <v>1367</v>
      </c>
      <c r="G23" s="184">
        <v>2019</v>
      </c>
      <c r="H23" s="184" t="s">
        <v>1383</v>
      </c>
      <c r="J23" s="184" t="s">
        <v>92</v>
      </c>
      <c r="K23" s="184" t="s">
        <v>1387</v>
      </c>
      <c r="L23" s="92">
        <f t="shared" si="3"/>
        <v>0</v>
      </c>
      <c r="M23" s="92">
        <f t="shared" si="3"/>
        <v>0</v>
      </c>
      <c r="N23" s="92">
        <f t="shared" si="3"/>
        <v>0</v>
      </c>
      <c r="O23" s="92">
        <f t="shared" si="3"/>
        <v>0</v>
      </c>
      <c r="P23" s="92">
        <f t="shared" si="3"/>
        <v>0</v>
      </c>
      <c r="Q23" s="92">
        <f t="shared" si="3"/>
        <v>0</v>
      </c>
      <c r="R23" s="92">
        <f t="shared" si="3"/>
        <v>0</v>
      </c>
      <c r="S23" s="92">
        <f t="shared" si="3"/>
        <v>0</v>
      </c>
      <c r="T23" s="92">
        <f t="shared" si="3"/>
        <v>0</v>
      </c>
      <c r="U23" s="92">
        <f t="shared" si="3"/>
        <v>0</v>
      </c>
      <c r="V23" s="92">
        <f t="shared" si="3"/>
        <v>0</v>
      </c>
      <c r="W23" s="92">
        <f t="shared" si="3"/>
        <v>299</v>
      </c>
      <c r="X23" s="92">
        <f t="shared" si="3"/>
        <v>650</v>
      </c>
      <c r="Y23" s="92">
        <f t="shared" si="3"/>
        <v>0</v>
      </c>
      <c r="Z23" s="92">
        <f t="shared" si="3"/>
        <v>200</v>
      </c>
      <c r="AA23" s="92">
        <f t="shared" si="3"/>
        <v>0</v>
      </c>
      <c r="AB23" s="92">
        <f t="shared" si="3"/>
        <v>400</v>
      </c>
      <c r="AC23" s="92">
        <f t="shared" si="3"/>
        <v>0</v>
      </c>
      <c r="AD23" s="92">
        <f t="shared" si="3"/>
        <v>0</v>
      </c>
      <c r="AE23" s="92">
        <f t="shared" si="3"/>
        <v>0</v>
      </c>
      <c r="AF23" s="92">
        <f t="shared" si="3"/>
        <v>0</v>
      </c>
      <c r="AG23" s="92">
        <f t="shared" si="3"/>
        <v>0</v>
      </c>
    </row>
    <row r="24" spans="1:33">
      <c r="A24" s="184" t="s">
        <v>1363</v>
      </c>
      <c r="B24" s="184" t="s">
        <v>1426</v>
      </c>
      <c r="C24" s="184" t="s">
        <v>1427</v>
      </c>
      <c r="D24" s="184">
        <v>302</v>
      </c>
      <c r="E24" s="184" t="s">
        <v>1366</v>
      </c>
      <c r="F24" s="184" t="s">
        <v>1367</v>
      </c>
      <c r="G24" s="184">
        <v>2019</v>
      </c>
      <c r="H24" s="184" t="s">
        <v>1372</v>
      </c>
      <c r="J24" s="184" t="s">
        <v>110</v>
      </c>
      <c r="K24" s="184" t="s">
        <v>1390</v>
      </c>
      <c r="L24" s="92">
        <f t="shared" si="3"/>
        <v>0</v>
      </c>
      <c r="M24" s="92">
        <f t="shared" si="3"/>
        <v>0</v>
      </c>
      <c r="N24" s="92">
        <f t="shared" si="3"/>
        <v>0</v>
      </c>
      <c r="O24" s="92">
        <f t="shared" si="3"/>
        <v>0</v>
      </c>
      <c r="P24" s="92">
        <f t="shared" si="3"/>
        <v>0</v>
      </c>
      <c r="Q24" s="92">
        <f t="shared" si="3"/>
        <v>0</v>
      </c>
      <c r="R24" s="92">
        <f t="shared" si="3"/>
        <v>0</v>
      </c>
      <c r="S24" s="92">
        <f t="shared" si="3"/>
        <v>0</v>
      </c>
      <c r="T24" s="92">
        <f t="shared" si="3"/>
        <v>0</v>
      </c>
      <c r="U24" s="92">
        <f t="shared" si="3"/>
        <v>0</v>
      </c>
      <c r="V24" s="92">
        <f t="shared" si="3"/>
        <v>0</v>
      </c>
      <c r="W24" s="92">
        <f t="shared" si="3"/>
        <v>0</v>
      </c>
      <c r="X24" s="92">
        <f t="shared" si="3"/>
        <v>604</v>
      </c>
      <c r="Y24" s="92">
        <f t="shared" si="3"/>
        <v>2503.5</v>
      </c>
      <c r="Z24" s="92">
        <f t="shared" si="3"/>
        <v>1102.5</v>
      </c>
      <c r="AA24" s="92">
        <f t="shared" si="3"/>
        <v>510</v>
      </c>
      <c r="AB24" s="92">
        <f t="shared" si="3"/>
        <v>0</v>
      </c>
      <c r="AC24" s="92">
        <f t="shared" si="3"/>
        <v>0</v>
      </c>
      <c r="AD24" s="92">
        <f t="shared" si="3"/>
        <v>0</v>
      </c>
      <c r="AE24" s="92">
        <f t="shared" si="3"/>
        <v>0</v>
      </c>
      <c r="AF24" s="92">
        <f t="shared" si="3"/>
        <v>0</v>
      </c>
      <c r="AG24" s="92">
        <f t="shared" si="3"/>
        <v>0</v>
      </c>
    </row>
    <row r="25" spans="1:33">
      <c r="A25" s="184" t="s">
        <v>1363</v>
      </c>
      <c r="B25" s="184" t="s">
        <v>1428</v>
      </c>
      <c r="C25" s="184" t="s">
        <v>1429</v>
      </c>
      <c r="D25" s="184">
        <v>301</v>
      </c>
      <c r="E25" s="184" t="s">
        <v>1366</v>
      </c>
      <c r="F25" s="184" t="s">
        <v>1367</v>
      </c>
      <c r="G25" s="184">
        <v>2019</v>
      </c>
      <c r="H25" s="184" t="s">
        <v>1372</v>
      </c>
      <c r="J25" s="184" t="s">
        <v>102</v>
      </c>
      <c r="K25" s="184" t="s">
        <v>1393</v>
      </c>
      <c r="L25" s="92">
        <f t="shared" si="3"/>
        <v>0</v>
      </c>
      <c r="M25" s="92">
        <f t="shared" si="3"/>
        <v>0</v>
      </c>
      <c r="N25" s="92">
        <f t="shared" si="3"/>
        <v>0</v>
      </c>
      <c r="O25" s="92">
        <f t="shared" si="3"/>
        <v>0</v>
      </c>
      <c r="P25" s="92">
        <f t="shared" si="3"/>
        <v>0</v>
      </c>
      <c r="Q25" s="92">
        <f t="shared" si="3"/>
        <v>0</v>
      </c>
      <c r="R25" s="92">
        <f t="shared" si="3"/>
        <v>0</v>
      </c>
      <c r="S25" s="92">
        <f t="shared" si="3"/>
        <v>0</v>
      </c>
      <c r="T25" s="92">
        <f t="shared" si="3"/>
        <v>0</v>
      </c>
      <c r="U25" s="92">
        <f t="shared" si="3"/>
        <v>0</v>
      </c>
      <c r="V25" s="92">
        <f t="shared" si="3"/>
        <v>252</v>
      </c>
      <c r="W25" s="92">
        <f t="shared" si="3"/>
        <v>234</v>
      </c>
      <c r="X25" s="92">
        <f t="shared" si="3"/>
        <v>1535</v>
      </c>
      <c r="Y25" s="92">
        <f t="shared" si="3"/>
        <v>1101</v>
      </c>
      <c r="Z25" s="92">
        <f t="shared" si="3"/>
        <v>1105</v>
      </c>
      <c r="AA25" s="92">
        <f t="shared" si="3"/>
        <v>804</v>
      </c>
      <c r="AB25" s="92">
        <f t="shared" si="3"/>
        <v>504</v>
      </c>
      <c r="AC25" s="92">
        <f t="shared" si="3"/>
        <v>0</v>
      </c>
      <c r="AD25" s="92">
        <f t="shared" si="3"/>
        <v>0</v>
      </c>
      <c r="AE25" s="92">
        <f t="shared" si="3"/>
        <v>0</v>
      </c>
      <c r="AF25" s="92">
        <f t="shared" si="3"/>
        <v>0</v>
      </c>
      <c r="AG25" s="92">
        <f t="shared" si="3"/>
        <v>0</v>
      </c>
    </row>
    <row r="26" spans="1:33">
      <c r="A26" s="184" t="s">
        <v>1363</v>
      </c>
      <c r="B26" s="184" t="s">
        <v>1430</v>
      </c>
      <c r="C26" s="184" t="s">
        <v>1431</v>
      </c>
      <c r="D26" s="184">
        <v>302</v>
      </c>
      <c r="E26" s="184" t="s">
        <v>1366</v>
      </c>
      <c r="F26" s="184" t="s">
        <v>1367</v>
      </c>
      <c r="G26" s="184">
        <v>2019</v>
      </c>
      <c r="H26" s="184" t="s">
        <v>1372</v>
      </c>
      <c r="J26" s="184" t="s">
        <v>1396</v>
      </c>
      <c r="K26" s="184" t="s">
        <v>1397</v>
      </c>
      <c r="L26" s="92">
        <f t="shared" si="3"/>
        <v>0</v>
      </c>
      <c r="M26" s="92">
        <f t="shared" si="3"/>
        <v>0</v>
      </c>
      <c r="N26" s="92">
        <f t="shared" si="3"/>
        <v>0</v>
      </c>
      <c r="O26" s="92">
        <f t="shared" si="3"/>
        <v>0</v>
      </c>
      <c r="P26" s="92">
        <f t="shared" si="3"/>
        <v>0</v>
      </c>
      <c r="Q26" s="92">
        <f t="shared" si="3"/>
        <v>0</v>
      </c>
      <c r="R26" s="92">
        <f t="shared" si="3"/>
        <v>0</v>
      </c>
      <c r="S26" s="92">
        <f t="shared" si="3"/>
        <v>0</v>
      </c>
      <c r="T26" s="92">
        <f t="shared" si="3"/>
        <v>0</v>
      </c>
      <c r="U26" s="92">
        <f t="shared" si="3"/>
        <v>0</v>
      </c>
      <c r="V26" s="92">
        <f t="shared" si="3"/>
        <v>0</v>
      </c>
      <c r="W26" s="92">
        <f t="shared" si="3"/>
        <v>0</v>
      </c>
      <c r="X26" s="92">
        <f t="shared" si="3"/>
        <v>0</v>
      </c>
      <c r="Y26" s="92">
        <f t="shared" si="3"/>
        <v>0</v>
      </c>
      <c r="Z26" s="92">
        <f t="shared" si="3"/>
        <v>0</v>
      </c>
      <c r="AA26" s="92">
        <f t="shared" si="3"/>
        <v>0</v>
      </c>
      <c r="AB26" s="92">
        <f t="shared" si="3"/>
        <v>0</v>
      </c>
      <c r="AC26" s="92">
        <f t="shared" si="3"/>
        <v>0</v>
      </c>
      <c r="AD26" s="92">
        <f t="shared" si="3"/>
        <v>0</v>
      </c>
      <c r="AE26" s="92">
        <f t="shared" si="3"/>
        <v>0</v>
      </c>
      <c r="AF26" s="92">
        <f t="shared" si="3"/>
        <v>0</v>
      </c>
      <c r="AG26" s="92">
        <f t="shared" si="3"/>
        <v>0</v>
      </c>
    </row>
    <row r="27" spans="1:33">
      <c r="A27" s="184" t="s">
        <v>1363</v>
      </c>
      <c r="B27" s="184" t="s">
        <v>1432</v>
      </c>
      <c r="C27" s="184" t="s">
        <v>1433</v>
      </c>
      <c r="D27" s="184">
        <v>302</v>
      </c>
      <c r="E27" s="184" t="s">
        <v>1366</v>
      </c>
      <c r="F27" s="184" t="s">
        <v>1367</v>
      </c>
      <c r="G27" s="184">
        <v>2019</v>
      </c>
      <c r="H27" s="184" t="s">
        <v>1372</v>
      </c>
      <c r="J27" s="184" t="s">
        <v>86</v>
      </c>
      <c r="K27" s="184" t="s">
        <v>1400</v>
      </c>
      <c r="L27" s="92">
        <f t="shared" si="3"/>
        <v>0</v>
      </c>
      <c r="M27" s="92">
        <f t="shared" si="3"/>
        <v>0</v>
      </c>
      <c r="N27" s="92">
        <f t="shared" si="3"/>
        <v>0</v>
      </c>
      <c r="O27" s="92">
        <f t="shared" si="3"/>
        <v>0</v>
      </c>
      <c r="P27" s="92">
        <f t="shared" si="3"/>
        <v>0</v>
      </c>
      <c r="Q27" s="92">
        <f t="shared" si="3"/>
        <v>0</v>
      </c>
      <c r="R27" s="92">
        <f t="shared" si="3"/>
        <v>0</v>
      </c>
      <c r="S27" s="92">
        <f t="shared" si="3"/>
        <v>0</v>
      </c>
      <c r="T27" s="92">
        <f t="shared" si="3"/>
        <v>0</v>
      </c>
      <c r="U27" s="92">
        <f t="shared" si="3"/>
        <v>0</v>
      </c>
      <c r="V27" s="92">
        <f t="shared" si="3"/>
        <v>0</v>
      </c>
      <c r="W27" s="92">
        <f t="shared" si="3"/>
        <v>300</v>
      </c>
      <c r="X27" s="92">
        <f t="shared" si="3"/>
        <v>0</v>
      </c>
      <c r="Y27" s="92">
        <f t="shared" si="3"/>
        <v>0</v>
      </c>
      <c r="Z27" s="92">
        <f t="shared" si="3"/>
        <v>0</v>
      </c>
      <c r="AA27" s="92">
        <f t="shared" si="3"/>
        <v>0</v>
      </c>
      <c r="AB27" s="92">
        <f t="shared" si="3"/>
        <v>0</v>
      </c>
      <c r="AC27" s="92">
        <f t="shared" si="3"/>
        <v>0</v>
      </c>
      <c r="AD27" s="92">
        <f t="shared" si="3"/>
        <v>0</v>
      </c>
      <c r="AE27" s="92">
        <f t="shared" si="3"/>
        <v>0</v>
      </c>
      <c r="AF27" s="92">
        <f t="shared" si="3"/>
        <v>0</v>
      </c>
      <c r="AG27" s="92">
        <f t="shared" si="3"/>
        <v>0</v>
      </c>
    </row>
    <row r="28" spans="1:33">
      <c r="A28" s="184" t="s">
        <v>1363</v>
      </c>
      <c r="B28" s="184" t="s">
        <v>1434</v>
      </c>
      <c r="C28" s="184" t="s">
        <v>1435</v>
      </c>
      <c r="D28" s="184">
        <v>200</v>
      </c>
      <c r="E28" s="184" t="s">
        <v>1366</v>
      </c>
      <c r="F28" s="184" t="s">
        <v>1367</v>
      </c>
      <c r="G28" s="184">
        <v>2019</v>
      </c>
      <c r="H28" s="184" t="s">
        <v>1372</v>
      </c>
      <c r="J28" s="184" t="s">
        <v>100</v>
      </c>
      <c r="K28" s="184" t="s">
        <v>1372</v>
      </c>
      <c r="L28" s="92">
        <f t="shared" si="3"/>
        <v>0</v>
      </c>
      <c r="M28" s="92">
        <f t="shared" si="3"/>
        <v>0</v>
      </c>
      <c r="N28" s="92">
        <f t="shared" si="3"/>
        <v>32</v>
      </c>
      <c r="O28" s="92">
        <f t="shared" si="3"/>
        <v>195</v>
      </c>
      <c r="P28" s="92">
        <f t="shared" si="3"/>
        <v>0</v>
      </c>
      <c r="Q28" s="92">
        <f t="shared" si="3"/>
        <v>0</v>
      </c>
      <c r="R28" s="92">
        <f t="shared" si="3"/>
        <v>12</v>
      </c>
      <c r="S28" s="92">
        <f t="shared" si="3"/>
        <v>754</v>
      </c>
      <c r="T28" s="92">
        <f t="shared" si="3"/>
        <v>502</v>
      </c>
      <c r="U28" s="92">
        <f t="shared" si="3"/>
        <v>900</v>
      </c>
      <c r="V28" s="92">
        <f t="shared" si="3"/>
        <v>1709</v>
      </c>
      <c r="W28" s="92">
        <f t="shared" si="3"/>
        <v>908</v>
      </c>
      <c r="X28" s="92">
        <f t="shared" si="3"/>
        <v>6631</v>
      </c>
      <c r="Y28" s="92">
        <f t="shared" si="3"/>
        <v>303</v>
      </c>
      <c r="Z28" s="92">
        <f t="shared" si="3"/>
        <v>206</v>
      </c>
      <c r="AA28" s="92">
        <f t="shared" si="3"/>
        <v>1300</v>
      </c>
      <c r="AB28" s="92">
        <f t="shared" si="3"/>
        <v>0</v>
      </c>
      <c r="AC28" s="92">
        <f t="shared" si="3"/>
        <v>200</v>
      </c>
      <c r="AD28" s="92">
        <f t="shared" si="3"/>
        <v>0</v>
      </c>
      <c r="AE28" s="92">
        <f t="shared" si="3"/>
        <v>0</v>
      </c>
      <c r="AF28" s="92">
        <f t="shared" si="3"/>
        <v>0</v>
      </c>
      <c r="AG28" s="92">
        <f t="shared" si="3"/>
        <v>0</v>
      </c>
    </row>
    <row r="29" spans="1:33">
      <c r="A29" s="184" t="s">
        <v>1363</v>
      </c>
      <c r="B29" s="184" t="s">
        <v>1411</v>
      </c>
      <c r="C29" s="184" t="s">
        <v>1436</v>
      </c>
      <c r="D29" s="184">
        <v>106</v>
      </c>
      <c r="E29" s="184" t="s">
        <v>1366</v>
      </c>
      <c r="F29" s="184" t="s">
        <v>1367</v>
      </c>
      <c r="G29" s="184">
        <v>2019</v>
      </c>
      <c r="H29" s="184" t="s">
        <v>1368</v>
      </c>
      <c r="J29" s="184" t="s">
        <v>98</v>
      </c>
      <c r="K29" s="184" t="s">
        <v>1368</v>
      </c>
      <c r="L29" s="92">
        <f t="shared" si="3"/>
        <v>102</v>
      </c>
      <c r="M29" s="92">
        <f t="shared" si="3"/>
        <v>0</v>
      </c>
      <c r="N29" s="92">
        <f t="shared" si="3"/>
        <v>0</v>
      </c>
      <c r="O29" s="92">
        <f t="shared" si="3"/>
        <v>15</v>
      </c>
      <c r="P29" s="92">
        <f t="shared" si="3"/>
        <v>0</v>
      </c>
      <c r="Q29" s="92">
        <f t="shared" si="3"/>
        <v>102</v>
      </c>
      <c r="R29" s="92">
        <f t="shared" si="3"/>
        <v>0</v>
      </c>
      <c r="S29" s="92">
        <f t="shared" si="3"/>
        <v>0</v>
      </c>
      <c r="T29" s="92">
        <f t="shared" si="3"/>
        <v>101</v>
      </c>
      <c r="U29" s="92">
        <f t="shared" si="3"/>
        <v>0</v>
      </c>
      <c r="V29" s="92">
        <f t="shared" si="3"/>
        <v>106</v>
      </c>
      <c r="W29" s="92">
        <f t="shared" si="3"/>
        <v>0</v>
      </c>
      <c r="X29" s="92">
        <f t="shared" si="3"/>
        <v>251.5</v>
      </c>
      <c r="Y29" s="92">
        <f t="shared" si="3"/>
        <v>0</v>
      </c>
      <c r="Z29" s="92">
        <f t="shared" si="3"/>
        <v>0</v>
      </c>
      <c r="AA29" s="92">
        <f t="shared" si="3"/>
        <v>0</v>
      </c>
      <c r="AB29" s="92">
        <f t="shared" si="3"/>
        <v>0</v>
      </c>
      <c r="AC29" s="92">
        <f t="shared" si="3"/>
        <v>0</v>
      </c>
      <c r="AD29" s="92">
        <f t="shared" si="3"/>
        <v>0</v>
      </c>
      <c r="AE29" s="92">
        <f t="shared" si="3"/>
        <v>0</v>
      </c>
      <c r="AF29" s="92">
        <f t="shared" si="3"/>
        <v>0</v>
      </c>
      <c r="AG29" s="92">
        <f t="shared" si="3"/>
        <v>0</v>
      </c>
    </row>
    <row r="30" spans="1:33">
      <c r="A30" s="184" t="s">
        <v>1363</v>
      </c>
      <c r="B30" s="184" t="s">
        <v>1437</v>
      </c>
      <c r="C30" s="184" t="s">
        <v>1438</v>
      </c>
      <c r="D30" s="184">
        <v>90</v>
      </c>
      <c r="E30" s="184" t="s">
        <v>1366</v>
      </c>
      <c r="F30" s="184" t="s">
        <v>1367</v>
      </c>
      <c r="G30" s="184">
        <v>2019</v>
      </c>
      <c r="H30" s="184" t="s">
        <v>1407</v>
      </c>
      <c r="J30" s="184" t="s">
        <v>84</v>
      </c>
      <c r="K30" s="184" t="s">
        <v>1407</v>
      </c>
      <c r="L30" s="92">
        <f t="shared" si="3"/>
        <v>0</v>
      </c>
      <c r="M30" s="92">
        <f t="shared" si="3"/>
        <v>0</v>
      </c>
      <c r="N30" s="92">
        <f t="shared" si="3"/>
        <v>0</v>
      </c>
      <c r="O30" s="92">
        <f t="shared" si="3"/>
        <v>0</v>
      </c>
      <c r="P30" s="92">
        <f t="shared" si="3"/>
        <v>0</v>
      </c>
      <c r="Q30" s="92">
        <f t="shared" si="3"/>
        <v>0</v>
      </c>
      <c r="R30" s="92">
        <f t="shared" si="3"/>
        <v>0</v>
      </c>
      <c r="S30" s="92">
        <f t="shared" si="3"/>
        <v>0</v>
      </c>
      <c r="T30" s="92">
        <f t="shared" si="3"/>
        <v>0</v>
      </c>
      <c r="U30" s="92">
        <f t="shared" si="3"/>
        <v>0</v>
      </c>
      <c r="V30" s="92">
        <f t="shared" si="3"/>
        <v>90</v>
      </c>
      <c r="W30" s="92">
        <f t="shared" si="3"/>
        <v>0</v>
      </c>
      <c r="X30" s="92">
        <f t="shared" si="3"/>
        <v>0</v>
      </c>
      <c r="Y30" s="92">
        <f t="shared" si="3"/>
        <v>0</v>
      </c>
      <c r="Z30" s="92">
        <f t="shared" si="3"/>
        <v>0</v>
      </c>
      <c r="AA30" s="92">
        <f t="shared" si="3"/>
        <v>0</v>
      </c>
      <c r="AB30" s="92">
        <f t="shared" si="3"/>
        <v>0</v>
      </c>
      <c r="AC30" s="92">
        <f t="shared" si="3"/>
        <v>0</v>
      </c>
      <c r="AD30" s="92">
        <f t="shared" si="3"/>
        <v>0</v>
      </c>
      <c r="AE30" s="92">
        <f t="shared" si="3"/>
        <v>0</v>
      </c>
      <c r="AF30" s="92">
        <f t="shared" si="3"/>
        <v>0</v>
      </c>
      <c r="AG30" s="92">
        <f t="shared" si="3"/>
        <v>0</v>
      </c>
    </row>
    <row r="31" spans="1:33">
      <c r="A31" s="184" t="s">
        <v>1363</v>
      </c>
      <c r="B31" s="184" t="s">
        <v>1439</v>
      </c>
      <c r="C31" s="184" t="s">
        <v>1440</v>
      </c>
      <c r="D31" s="184">
        <v>252</v>
      </c>
      <c r="E31" s="184" t="s">
        <v>1366</v>
      </c>
      <c r="F31" s="184" t="s">
        <v>1367</v>
      </c>
      <c r="G31" s="184">
        <v>2019</v>
      </c>
      <c r="H31" s="184" t="s">
        <v>1393</v>
      </c>
      <c r="J31" s="184" t="s">
        <v>80</v>
      </c>
      <c r="K31" s="184" t="s">
        <v>1410</v>
      </c>
      <c r="L31" s="92">
        <f t="shared" si="3"/>
        <v>102</v>
      </c>
      <c r="M31" s="92">
        <f t="shared" si="3"/>
        <v>0</v>
      </c>
      <c r="N31" s="92">
        <f t="shared" si="3"/>
        <v>32</v>
      </c>
      <c r="O31" s="92">
        <f t="shared" si="3"/>
        <v>210</v>
      </c>
      <c r="P31" s="92">
        <f t="shared" si="3"/>
        <v>0</v>
      </c>
      <c r="Q31" s="92">
        <f t="shared" si="3"/>
        <v>102</v>
      </c>
      <c r="R31" s="92">
        <f t="shared" si="3"/>
        <v>12</v>
      </c>
      <c r="S31" s="92">
        <f t="shared" si="3"/>
        <v>804</v>
      </c>
      <c r="T31" s="92">
        <f t="shared" si="3"/>
        <v>603</v>
      </c>
      <c r="U31" s="92">
        <f t="shared" si="3"/>
        <v>977</v>
      </c>
      <c r="V31" s="92">
        <f t="shared" si="3"/>
        <v>2355</v>
      </c>
      <c r="W31" s="92">
        <f t="shared" si="3"/>
        <v>2643</v>
      </c>
      <c r="X31" s="92">
        <f t="shared" si="3"/>
        <v>17021.5</v>
      </c>
      <c r="Y31" s="92">
        <f t="shared" ref="Y31:AG31" si="4">SUMIFS($L16:$AJ16,$L$4:$AJ$4,Y$19)</f>
        <v>6727.5</v>
      </c>
      <c r="Z31" s="92">
        <f t="shared" si="4"/>
        <v>6169.5</v>
      </c>
      <c r="AA31" s="92">
        <f t="shared" si="4"/>
        <v>12975</v>
      </c>
      <c r="AB31" s="92">
        <f t="shared" si="4"/>
        <v>6505</v>
      </c>
      <c r="AC31" s="92">
        <f t="shared" si="4"/>
        <v>3600</v>
      </c>
      <c r="AD31" s="92">
        <f t="shared" si="4"/>
        <v>800</v>
      </c>
      <c r="AE31" s="92">
        <f t="shared" si="4"/>
        <v>1000</v>
      </c>
      <c r="AF31" s="92">
        <f t="shared" si="4"/>
        <v>0</v>
      </c>
      <c r="AG31" s="92">
        <f t="shared" si="4"/>
        <v>0</v>
      </c>
    </row>
    <row r="32" spans="1:33">
      <c r="A32" s="184" t="s">
        <v>1363</v>
      </c>
      <c r="B32" s="184" t="s">
        <v>1441</v>
      </c>
      <c r="C32" s="184" t="s">
        <v>1442</v>
      </c>
      <c r="D32" s="184">
        <v>280</v>
      </c>
      <c r="E32" s="184" t="s">
        <v>1366</v>
      </c>
      <c r="F32" s="184" t="s">
        <v>1367</v>
      </c>
      <c r="G32" s="184">
        <v>2020</v>
      </c>
      <c r="H32" s="184" t="s">
        <v>1378</v>
      </c>
    </row>
    <row r="33" spans="1:23">
      <c r="A33" s="184" t="s">
        <v>1363</v>
      </c>
      <c r="B33" s="184" t="s">
        <v>1443</v>
      </c>
      <c r="C33" s="184" t="s">
        <v>1444</v>
      </c>
      <c r="D33" s="184">
        <v>402</v>
      </c>
      <c r="E33" s="184" t="s">
        <v>1366</v>
      </c>
      <c r="F33" s="184" t="s">
        <v>1367</v>
      </c>
      <c r="G33" s="184">
        <v>2020</v>
      </c>
      <c r="H33" s="184" t="s">
        <v>1383</v>
      </c>
      <c r="K33" s="185" t="s">
        <v>1445</v>
      </c>
    </row>
    <row r="34" spans="1:23">
      <c r="A34" s="184" t="s">
        <v>1363</v>
      </c>
      <c r="B34" s="184" t="s">
        <v>1446</v>
      </c>
      <c r="C34" s="184" t="s">
        <v>1447</v>
      </c>
      <c r="D34" s="184">
        <v>300</v>
      </c>
      <c r="E34" s="184" t="s">
        <v>1366</v>
      </c>
      <c r="F34" s="184" t="s">
        <v>1367</v>
      </c>
      <c r="G34" s="184">
        <v>2020</v>
      </c>
      <c r="H34" s="184" t="s">
        <v>1400</v>
      </c>
      <c r="L34" s="92">
        <v>2019</v>
      </c>
      <c r="M34" s="92">
        <v>2020</v>
      </c>
      <c r="N34" s="92">
        <v>2021</v>
      </c>
      <c r="O34" s="92">
        <v>2022</v>
      </c>
      <c r="P34" s="92">
        <v>2023</v>
      </c>
      <c r="Q34" s="92">
        <v>2024</v>
      </c>
      <c r="R34" s="92">
        <v>2025</v>
      </c>
      <c r="S34" s="92">
        <v>2026</v>
      </c>
      <c r="T34" s="92">
        <v>2027</v>
      </c>
      <c r="U34" s="92">
        <v>2028</v>
      </c>
      <c r="V34" s="92">
        <v>2029</v>
      </c>
      <c r="W34" s="92">
        <v>2030</v>
      </c>
    </row>
    <row r="35" spans="1:23">
      <c r="A35" s="184" t="s">
        <v>1363</v>
      </c>
      <c r="B35" s="184" t="s">
        <v>1430</v>
      </c>
      <c r="C35" s="184" t="s">
        <v>1448</v>
      </c>
      <c r="D35" s="184">
        <v>104</v>
      </c>
      <c r="E35" s="184" t="s">
        <v>1366</v>
      </c>
      <c r="F35" s="184" t="s">
        <v>1367</v>
      </c>
      <c r="G35" s="184">
        <v>2020</v>
      </c>
      <c r="H35" s="184" t="s">
        <v>1372</v>
      </c>
      <c r="J35" s="184" t="s">
        <v>106</v>
      </c>
      <c r="K35" s="184" t="s">
        <v>1378</v>
      </c>
      <c r="L35" s="189">
        <f>SUM($L20:V20)</f>
        <v>127</v>
      </c>
      <c r="M35" s="189">
        <f>SUM($L20:W20)</f>
        <v>627</v>
      </c>
      <c r="N35" s="189">
        <f>SUM($L20:X20)</f>
        <v>3144</v>
      </c>
      <c r="O35" s="189">
        <f>SUM($L20:Y20)</f>
        <v>3452</v>
      </c>
      <c r="P35" s="189">
        <f>SUM($L20:Z20)</f>
        <v>4445</v>
      </c>
      <c r="Q35" s="189">
        <f>SUM($L20:AA20)</f>
        <v>5249</v>
      </c>
      <c r="R35" s="189">
        <f>SUM($L20:AB20)</f>
        <v>5650</v>
      </c>
      <c r="S35" s="189">
        <f>SUM($L20:AC20)</f>
        <v>6050</v>
      </c>
      <c r="T35" s="189">
        <f>SUM($L20:AD20)</f>
        <v>6050</v>
      </c>
      <c r="U35" s="189">
        <f>SUM($L20:AE20)</f>
        <v>6050</v>
      </c>
      <c r="V35" s="189">
        <f>SUM($L20:AF20)</f>
        <v>6050</v>
      </c>
      <c r="W35" s="189">
        <f>SUM($L20:AG20)</f>
        <v>6050</v>
      </c>
    </row>
    <row r="36" spans="1:23">
      <c r="A36" s="184" t="s">
        <v>1363</v>
      </c>
      <c r="B36" s="184" t="s">
        <v>1449</v>
      </c>
      <c r="C36" s="184" t="s">
        <v>1450</v>
      </c>
      <c r="D36" s="184">
        <v>302</v>
      </c>
      <c r="E36" s="184" t="s">
        <v>1366</v>
      </c>
      <c r="F36" s="184" t="s">
        <v>1367</v>
      </c>
      <c r="G36" s="184">
        <v>2020</v>
      </c>
      <c r="H36" s="184" t="s">
        <v>1372</v>
      </c>
      <c r="J36" s="184" t="s">
        <v>122</v>
      </c>
      <c r="K36" s="184" t="s">
        <v>1381</v>
      </c>
      <c r="L36" s="189">
        <f>SUM($L21:V21)</f>
        <v>0</v>
      </c>
      <c r="M36" s="189">
        <f>SUM($L21:W21)</f>
        <v>0</v>
      </c>
      <c r="N36" s="189">
        <f>SUM($L21:X21)</f>
        <v>0</v>
      </c>
      <c r="O36" s="189">
        <f>SUM($L21:Y21)</f>
        <v>0</v>
      </c>
      <c r="P36" s="189">
        <f>SUM($L21:Z21)</f>
        <v>0</v>
      </c>
      <c r="Q36" s="189">
        <f>SUM($L21:AA21)</f>
        <v>0</v>
      </c>
      <c r="R36" s="189">
        <f>SUM($L21:AB21)</f>
        <v>200</v>
      </c>
      <c r="S36" s="189">
        <f>SUM($L21:AC21)</f>
        <v>3200</v>
      </c>
      <c r="T36" s="189">
        <f>SUM($L21:AD21)</f>
        <v>4000</v>
      </c>
      <c r="U36" s="189">
        <f>SUM($L21:AE21)</f>
        <v>4000</v>
      </c>
      <c r="V36" s="189">
        <f>SUM($L21:AF21)</f>
        <v>4000</v>
      </c>
      <c r="W36" s="189">
        <f>SUM($L21:AG21)</f>
        <v>4000</v>
      </c>
    </row>
    <row r="37" spans="1:23">
      <c r="A37" s="184" t="s">
        <v>1363</v>
      </c>
      <c r="B37" s="184" t="s">
        <v>1451</v>
      </c>
      <c r="C37" s="184" t="s">
        <v>1452</v>
      </c>
      <c r="D37" s="184">
        <v>200</v>
      </c>
      <c r="E37" s="184" t="s">
        <v>1366</v>
      </c>
      <c r="F37" s="184" t="s">
        <v>1367</v>
      </c>
      <c r="G37" s="184">
        <v>2020</v>
      </c>
      <c r="H37" s="184" t="s">
        <v>1372</v>
      </c>
      <c r="J37" s="184" t="s">
        <v>118</v>
      </c>
      <c r="K37" s="184" t="s">
        <v>1383</v>
      </c>
      <c r="L37" s="189">
        <f>SUM($L22:V22)</f>
        <v>198</v>
      </c>
      <c r="M37" s="189">
        <f>SUM($L22:W22)</f>
        <v>600</v>
      </c>
      <c r="N37" s="189">
        <f>SUM($L22:X22)</f>
        <v>5433</v>
      </c>
      <c r="O37" s="189">
        <f>SUM($L22:Y22)</f>
        <v>7945</v>
      </c>
      <c r="P37" s="189">
        <f>SUM($L22:Z22)</f>
        <v>10508</v>
      </c>
      <c r="Q37" s="189">
        <f>SUM($L22:AA22)</f>
        <v>20065</v>
      </c>
      <c r="R37" s="189">
        <f>SUM($L22:AB22)</f>
        <v>25065</v>
      </c>
      <c r="S37" s="189">
        <f>SUM($L22:AC22)</f>
        <v>25065</v>
      </c>
      <c r="T37" s="189">
        <f>SUM($L22:AD22)</f>
        <v>25065</v>
      </c>
      <c r="U37" s="189">
        <f>SUM($L22:AE22)</f>
        <v>26065</v>
      </c>
      <c r="V37" s="189">
        <f>SUM($L22:AF22)</f>
        <v>26065</v>
      </c>
      <c r="W37" s="189">
        <f>SUM($L22:AG22)</f>
        <v>26065</v>
      </c>
    </row>
    <row r="38" spans="1:23">
      <c r="A38" s="184" t="s">
        <v>1363</v>
      </c>
      <c r="B38" s="184" t="s">
        <v>1453</v>
      </c>
      <c r="C38" s="184" t="s">
        <v>1454</v>
      </c>
      <c r="D38" s="184">
        <v>220</v>
      </c>
      <c r="E38" s="184" t="s">
        <v>1366</v>
      </c>
      <c r="F38" s="184" t="s">
        <v>1367</v>
      </c>
      <c r="G38" s="184">
        <v>2020</v>
      </c>
      <c r="H38" s="184" t="s">
        <v>1378</v>
      </c>
      <c r="J38" s="184" t="s">
        <v>92</v>
      </c>
      <c r="K38" s="184" t="s">
        <v>1387</v>
      </c>
      <c r="L38" s="189">
        <f>SUM($L23:V23)</f>
        <v>0</v>
      </c>
      <c r="M38" s="189">
        <f>SUM($L23:W23)</f>
        <v>299</v>
      </c>
      <c r="N38" s="189">
        <f>SUM($L23:X23)</f>
        <v>949</v>
      </c>
      <c r="O38" s="189">
        <f>SUM($L23:Y23)</f>
        <v>949</v>
      </c>
      <c r="P38" s="189">
        <f>SUM($L23:Z23)</f>
        <v>1149</v>
      </c>
      <c r="Q38" s="189">
        <f>SUM($L23:AA23)</f>
        <v>1149</v>
      </c>
      <c r="R38" s="189">
        <f>SUM($L23:AB23)</f>
        <v>1549</v>
      </c>
      <c r="S38" s="189">
        <f>SUM($L23:AC23)</f>
        <v>1549</v>
      </c>
      <c r="T38" s="189">
        <f>SUM($L23:AD23)</f>
        <v>1549</v>
      </c>
      <c r="U38" s="189">
        <f>SUM($L23:AE23)</f>
        <v>1549</v>
      </c>
      <c r="V38" s="189">
        <f>SUM($L23:AF23)</f>
        <v>1549</v>
      </c>
      <c r="W38" s="189">
        <f>SUM($L23:AG23)</f>
        <v>1549</v>
      </c>
    </row>
    <row r="39" spans="1:23">
      <c r="A39" s="184" t="s">
        <v>1363</v>
      </c>
      <c r="B39" s="184" t="s">
        <v>1455</v>
      </c>
      <c r="C39" s="184" t="s">
        <v>1456</v>
      </c>
      <c r="D39" s="184">
        <v>299</v>
      </c>
      <c r="E39" s="184" t="s">
        <v>1366</v>
      </c>
      <c r="F39" s="184" t="s">
        <v>1367</v>
      </c>
      <c r="G39" s="184">
        <v>2020</v>
      </c>
      <c r="H39" s="184" t="s">
        <v>1387</v>
      </c>
      <c r="J39" s="184" t="s">
        <v>110</v>
      </c>
      <c r="K39" s="184" t="s">
        <v>1390</v>
      </c>
      <c r="L39" s="189">
        <f>SUM($L24:V24)</f>
        <v>0</v>
      </c>
      <c r="M39" s="189">
        <f>SUM($L24:W24)</f>
        <v>0</v>
      </c>
      <c r="N39" s="189">
        <f>SUM($L24:X24)</f>
        <v>604</v>
      </c>
      <c r="O39" s="189">
        <f>SUM($L24:Y24)</f>
        <v>3107.5</v>
      </c>
      <c r="P39" s="189">
        <f>SUM($L24:Z24)</f>
        <v>4210</v>
      </c>
      <c r="Q39" s="189">
        <f>SUM($L24:AA24)</f>
        <v>4720</v>
      </c>
      <c r="R39" s="189">
        <f>SUM($L24:AB24)</f>
        <v>4720</v>
      </c>
      <c r="S39" s="189">
        <f>SUM($L24:AC24)</f>
        <v>4720</v>
      </c>
      <c r="T39" s="189">
        <f>SUM($L24:AD24)</f>
        <v>4720</v>
      </c>
      <c r="U39" s="189">
        <f>SUM($L24:AE24)</f>
        <v>4720</v>
      </c>
      <c r="V39" s="189">
        <f>SUM($L24:AF24)</f>
        <v>4720</v>
      </c>
      <c r="W39" s="189">
        <f>SUM($L24:AG24)</f>
        <v>4720</v>
      </c>
    </row>
    <row r="40" spans="1:23">
      <c r="A40" s="184" t="s">
        <v>1363</v>
      </c>
      <c r="B40" s="184" t="s">
        <v>1457</v>
      </c>
      <c r="C40" s="184" t="s">
        <v>1458</v>
      </c>
      <c r="D40" s="184">
        <v>302</v>
      </c>
      <c r="E40" s="184" t="s">
        <v>1366</v>
      </c>
      <c r="F40" s="184" t="s">
        <v>1367</v>
      </c>
      <c r="G40" s="184">
        <v>2020</v>
      </c>
      <c r="H40" s="184" t="s">
        <v>1372</v>
      </c>
      <c r="J40" s="184" t="s">
        <v>102</v>
      </c>
      <c r="K40" s="184" t="s">
        <v>1393</v>
      </c>
      <c r="L40" s="189">
        <f>SUM($L25:V25)</f>
        <v>252</v>
      </c>
      <c r="M40" s="189">
        <f>SUM($L25:W25)</f>
        <v>486</v>
      </c>
      <c r="N40" s="189">
        <f>SUM($L25:X25)</f>
        <v>2021</v>
      </c>
      <c r="O40" s="189">
        <f>SUM($L25:Y25)</f>
        <v>3122</v>
      </c>
      <c r="P40" s="189">
        <f>SUM($L25:Z25)</f>
        <v>4227</v>
      </c>
      <c r="Q40" s="189">
        <f>SUM($L25:AA25)</f>
        <v>5031</v>
      </c>
      <c r="R40" s="189">
        <f>SUM($L25:AB25)</f>
        <v>5535</v>
      </c>
      <c r="S40" s="189">
        <f>SUM($L25:AC25)</f>
        <v>5535</v>
      </c>
      <c r="T40" s="189">
        <f>SUM($L25:AD25)</f>
        <v>5535</v>
      </c>
      <c r="U40" s="189">
        <f>SUM($L25:AE25)</f>
        <v>5535</v>
      </c>
      <c r="V40" s="189">
        <f>SUM($L25:AF25)</f>
        <v>5535</v>
      </c>
      <c r="W40" s="189">
        <f>SUM($L25:AG25)</f>
        <v>5535</v>
      </c>
    </row>
    <row r="41" spans="1:23">
      <c r="A41" s="184" t="s">
        <v>1363</v>
      </c>
      <c r="B41" s="184" t="s">
        <v>1459</v>
      </c>
      <c r="C41" s="184" t="s">
        <v>1460</v>
      </c>
      <c r="D41" s="184">
        <v>234</v>
      </c>
      <c r="E41" s="184" t="s">
        <v>1366</v>
      </c>
      <c r="F41" s="184" t="s">
        <v>1367</v>
      </c>
      <c r="G41" s="184">
        <v>2020</v>
      </c>
      <c r="H41" s="184" t="s">
        <v>1393</v>
      </c>
      <c r="J41" s="184" t="s">
        <v>1396</v>
      </c>
      <c r="K41" s="184" t="s">
        <v>1397</v>
      </c>
      <c r="L41" s="189">
        <f>SUM($L26:V26)</f>
        <v>0</v>
      </c>
      <c r="M41" s="189">
        <f>SUM($L26:W26)</f>
        <v>0</v>
      </c>
      <c r="N41" s="189">
        <f>SUM($L26:X26)</f>
        <v>0</v>
      </c>
      <c r="O41" s="189">
        <f>SUM($L26:Y26)</f>
        <v>0</v>
      </c>
      <c r="P41" s="189">
        <f>SUM($L26:Z26)</f>
        <v>0</v>
      </c>
      <c r="Q41" s="189">
        <f>SUM($L26:AA26)</f>
        <v>0</v>
      </c>
      <c r="R41" s="189">
        <f>SUM($L26:AB26)</f>
        <v>0</v>
      </c>
      <c r="S41" s="189">
        <f>SUM($L26:AC26)</f>
        <v>0</v>
      </c>
      <c r="T41" s="189">
        <f>SUM($L26:AD26)</f>
        <v>0</v>
      </c>
      <c r="U41" s="189">
        <f>SUM($L26:AE26)</f>
        <v>0</v>
      </c>
      <c r="V41" s="189">
        <f>SUM($L26:AF26)</f>
        <v>0</v>
      </c>
      <c r="W41" s="189">
        <f>SUM($L26:AG26)</f>
        <v>0</v>
      </c>
    </row>
    <row r="42" spans="1:23">
      <c r="A42" s="184" t="s">
        <v>1363</v>
      </c>
      <c r="B42" s="184" t="s">
        <v>1461</v>
      </c>
      <c r="C42" s="184" t="s">
        <v>1462</v>
      </c>
      <c r="D42" s="184">
        <v>206</v>
      </c>
      <c r="E42" s="184" t="s">
        <v>1366</v>
      </c>
      <c r="F42" s="184" t="s">
        <v>1367</v>
      </c>
      <c r="G42" s="184">
        <v>2021</v>
      </c>
      <c r="H42" s="184" t="s">
        <v>1372</v>
      </c>
      <c r="J42" s="184" t="s">
        <v>86</v>
      </c>
      <c r="K42" s="184" t="s">
        <v>1400</v>
      </c>
      <c r="L42" s="189">
        <f>SUM($L27:V27)</f>
        <v>0</v>
      </c>
      <c r="M42" s="189">
        <f>SUM($L27:W27)</f>
        <v>300</v>
      </c>
      <c r="N42" s="189">
        <f>SUM($L27:X27)</f>
        <v>300</v>
      </c>
      <c r="O42" s="189">
        <f>SUM($L27:Y27)</f>
        <v>300</v>
      </c>
      <c r="P42" s="189">
        <f>SUM($L27:Z27)</f>
        <v>300</v>
      </c>
      <c r="Q42" s="189">
        <f>SUM($L27:AA27)</f>
        <v>300</v>
      </c>
      <c r="R42" s="189">
        <f>SUM($L27:AB27)</f>
        <v>300</v>
      </c>
      <c r="S42" s="189">
        <f>SUM($L27:AC27)</f>
        <v>300</v>
      </c>
      <c r="T42" s="189">
        <f>SUM($L27:AD27)</f>
        <v>300</v>
      </c>
      <c r="U42" s="189">
        <f>SUM($L27:AE27)</f>
        <v>300</v>
      </c>
      <c r="V42" s="189">
        <f>SUM($L27:AF27)</f>
        <v>300</v>
      </c>
      <c r="W42" s="189">
        <f>SUM($L27:AG27)</f>
        <v>300</v>
      </c>
    </row>
    <row r="43" spans="1:23">
      <c r="A43" s="184" t="s">
        <v>1363</v>
      </c>
      <c r="B43" s="184" t="s">
        <v>1463</v>
      </c>
      <c r="C43" s="184" t="s">
        <v>1464</v>
      </c>
      <c r="D43" s="184">
        <v>240</v>
      </c>
      <c r="E43" s="184" t="s">
        <v>1366</v>
      </c>
      <c r="F43" s="184" t="s">
        <v>1367</v>
      </c>
      <c r="G43" s="184">
        <v>2021</v>
      </c>
      <c r="H43" s="184" t="s">
        <v>1378</v>
      </c>
      <c r="J43" s="184" t="s">
        <v>100</v>
      </c>
      <c r="K43" s="184" t="s">
        <v>1372</v>
      </c>
      <c r="L43" s="189">
        <f>SUM($L28:V28)</f>
        <v>4104</v>
      </c>
      <c r="M43" s="189">
        <f>SUM($L28:W28)</f>
        <v>5012</v>
      </c>
      <c r="N43" s="189">
        <f>SUM($L28:X28)</f>
        <v>11643</v>
      </c>
      <c r="O43" s="189">
        <f>SUM($L28:Y28)</f>
        <v>11946</v>
      </c>
      <c r="P43" s="189">
        <f>SUM($L28:Z28)</f>
        <v>12152</v>
      </c>
      <c r="Q43" s="189">
        <f>SUM($L28:AA28)</f>
        <v>13452</v>
      </c>
      <c r="R43" s="189">
        <f>SUM($L28:AB28)</f>
        <v>13452</v>
      </c>
      <c r="S43" s="189">
        <f>SUM($L28:AC28)</f>
        <v>13652</v>
      </c>
      <c r="T43" s="189">
        <f>SUM($L28:AD28)</f>
        <v>13652</v>
      </c>
      <c r="U43" s="189">
        <f>SUM($L28:AE28)</f>
        <v>13652</v>
      </c>
      <c r="V43" s="189">
        <f>SUM($L28:AF28)</f>
        <v>13652</v>
      </c>
      <c r="W43" s="189">
        <f>SUM($L28:AG28)</f>
        <v>13652</v>
      </c>
    </row>
    <row r="44" spans="1:23">
      <c r="A44" s="184" t="s">
        <v>1363</v>
      </c>
      <c r="B44" s="184" t="s">
        <v>1465</v>
      </c>
      <c r="C44" s="184" t="s">
        <v>1466</v>
      </c>
      <c r="D44" s="184">
        <v>34</v>
      </c>
      <c r="E44" s="184" t="s">
        <v>1366</v>
      </c>
      <c r="F44" s="184" t="s">
        <v>1367</v>
      </c>
      <c r="G44" s="184">
        <v>2021</v>
      </c>
      <c r="H44" s="184" t="s">
        <v>1378</v>
      </c>
      <c r="J44" s="184" t="s">
        <v>98</v>
      </c>
      <c r="K44" s="184" t="s">
        <v>1368</v>
      </c>
      <c r="L44" s="189">
        <f>SUM($L29:V29)</f>
        <v>426</v>
      </c>
      <c r="M44" s="189">
        <f>SUM($L29:W29)</f>
        <v>426</v>
      </c>
      <c r="N44" s="189">
        <f>SUM($L29:X29)</f>
        <v>677.5</v>
      </c>
      <c r="O44" s="189">
        <f>SUM($L29:Y29)</f>
        <v>677.5</v>
      </c>
      <c r="P44" s="189">
        <f>SUM($L29:Z29)</f>
        <v>677.5</v>
      </c>
      <c r="Q44" s="189">
        <f>SUM($L29:AA29)</f>
        <v>677.5</v>
      </c>
      <c r="R44" s="189">
        <f>SUM($L29:AB29)</f>
        <v>677.5</v>
      </c>
      <c r="S44" s="189">
        <f>SUM($L29:AC29)</f>
        <v>677.5</v>
      </c>
      <c r="T44" s="189">
        <f>SUM($L29:AD29)</f>
        <v>677.5</v>
      </c>
      <c r="U44" s="189">
        <f>SUM($L29:AE29)</f>
        <v>677.5</v>
      </c>
      <c r="V44" s="189">
        <f>SUM($L29:AF29)</f>
        <v>677.5</v>
      </c>
      <c r="W44" s="189">
        <f>SUM($L29:AG29)</f>
        <v>677.5</v>
      </c>
    </row>
    <row r="45" spans="1:23">
      <c r="A45" s="184" t="s">
        <v>1363</v>
      </c>
      <c r="B45" s="184" t="s">
        <v>1388</v>
      </c>
      <c r="C45" s="184" t="s">
        <v>1467</v>
      </c>
      <c r="D45" s="184">
        <v>210</v>
      </c>
      <c r="E45" s="184" t="s">
        <v>1366</v>
      </c>
      <c r="F45" s="184" t="s">
        <v>1367</v>
      </c>
      <c r="G45" s="184">
        <v>2021</v>
      </c>
      <c r="H45" s="184" t="s">
        <v>1378</v>
      </c>
      <c r="J45" s="184" t="s">
        <v>84</v>
      </c>
      <c r="K45" s="184" t="s">
        <v>1407</v>
      </c>
      <c r="L45" s="189">
        <f>SUM($L30:V30)</f>
        <v>90</v>
      </c>
      <c r="M45" s="189">
        <f>SUM($L30:W30)</f>
        <v>90</v>
      </c>
      <c r="N45" s="189">
        <f>SUM($L30:X30)</f>
        <v>90</v>
      </c>
      <c r="O45" s="189">
        <f>SUM($L30:Y30)</f>
        <v>90</v>
      </c>
      <c r="P45" s="189">
        <f>SUM($L30:Z30)</f>
        <v>90</v>
      </c>
      <c r="Q45" s="189">
        <f>SUM($L30:AA30)</f>
        <v>90</v>
      </c>
      <c r="R45" s="189">
        <f>SUM($L30:AB30)</f>
        <v>90</v>
      </c>
      <c r="S45" s="189">
        <f>SUM($L30:AC30)</f>
        <v>90</v>
      </c>
      <c r="T45" s="189">
        <f>SUM($L30:AD30)</f>
        <v>90</v>
      </c>
      <c r="U45" s="189">
        <f>SUM($L30:AE30)</f>
        <v>90</v>
      </c>
      <c r="V45" s="189">
        <f>SUM($L30:AF30)</f>
        <v>90</v>
      </c>
      <c r="W45" s="189">
        <f>SUM($L30:AG30)</f>
        <v>90</v>
      </c>
    </row>
    <row r="46" spans="1:23">
      <c r="A46" s="184" t="s">
        <v>1363</v>
      </c>
      <c r="B46" s="184" t="s">
        <v>1388</v>
      </c>
      <c r="C46" s="184" t="s">
        <v>1468</v>
      </c>
      <c r="D46" s="184">
        <v>246</v>
      </c>
      <c r="E46" s="184" t="s">
        <v>1366</v>
      </c>
      <c r="F46" s="184" t="s">
        <v>1367</v>
      </c>
      <c r="G46" s="184">
        <v>2021</v>
      </c>
      <c r="H46" s="184" t="s">
        <v>1378</v>
      </c>
      <c r="J46" s="184" t="s">
        <v>80</v>
      </c>
      <c r="K46" s="184" t="s">
        <v>1410</v>
      </c>
      <c r="L46" s="189">
        <f>SUM($L31:V31)</f>
        <v>5197</v>
      </c>
      <c r="M46" s="189">
        <f>SUM($L31:W31)</f>
        <v>7840</v>
      </c>
      <c r="N46" s="189">
        <f>SUM($L31:X31)</f>
        <v>24861.5</v>
      </c>
      <c r="O46" s="189">
        <f>SUM($L31:Y31)</f>
        <v>31589</v>
      </c>
      <c r="P46" s="189">
        <f>SUM($L31:Z31)</f>
        <v>37758.5</v>
      </c>
      <c r="Q46" s="189">
        <f>SUM($L31:AA31)</f>
        <v>50733.5</v>
      </c>
      <c r="R46" s="189">
        <f>SUM($L31:AB31)</f>
        <v>57238.5</v>
      </c>
      <c r="S46" s="189">
        <f>SUM($L31:AC31)</f>
        <v>60838.5</v>
      </c>
      <c r="T46" s="189">
        <f>SUM($L31:AD31)</f>
        <v>61638.5</v>
      </c>
      <c r="U46" s="189">
        <f>SUM($L31:AE31)</f>
        <v>62638.5</v>
      </c>
      <c r="V46" s="189">
        <f>SUM($L31:AF31)</f>
        <v>62638.5</v>
      </c>
      <c r="W46" s="189">
        <f>SUM($L31:AG31)</f>
        <v>62638.5</v>
      </c>
    </row>
    <row r="47" spans="1:23">
      <c r="A47" s="184" t="s">
        <v>1363</v>
      </c>
      <c r="B47" s="184" t="s">
        <v>1469</v>
      </c>
      <c r="C47" s="184" t="s">
        <v>1470</v>
      </c>
      <c r="D47" s="184">
        <v>196</v>
      </c>
      <c r="E47" s="184" t="s">
        <v>1366</v>
      </c>
      <c r="F47" s="184" t="s">
        <v>1367</v>
      </c>
      <c r="G47" s="184">
        <v>2021</v>
      </c>
      <c r="H47" s="184" t="s">
        <v>1378</v>
      </c>
    </row>
    <row r="48" spans="1:23">
      <c r="A48" s="184" t="s">
        <v>1363</v>
      </c>
      <c r="B48" s="184" t="s">
        <v>1471</v>
      </c>
      <c r="C48" s="184" t="s">
        <v>1472</v>
      </c>
      <c r="D48" s="184">
        <v>300</v>
      </c>
      <c r="E48" s="184" t="s">
        <v>1366</v>
      </c>
      <c r="F48" s="184" t="s">
        <v>1367</v>
      </c>
      <c r="G48" s="184">
        <v>2021</v>
      </c>
      <c r="H48" s="184" t="s">
        <v>1378</v>
      </c>
    </row>
    <row r="49" spans="1:8">
      <c r="A49" s="184" t="s">
        <v>1363</v>
      </c>
      <c r="B49" s="184" t="s">
        <v>1473</v>
      </c>
      <c r="C49" s="184" t="s">
        <v>1474</v>
      </c>
      <c r="D49" s="184">
        <v>496</v>
      </c>
      <c r="E49" s="184" t="s">
        <v>1366</v>
      </c>
      <c r="F49" s="184" t="s">
        <v>1367</v>
      </c>
      <c r="G49" s="184">
        <v>2021</v>
      </c>
      <c r="H49" s="184" t="s">
        <v>1378</v>
      </c>
    </row>
    <row r="50" spans="1:8">
      <c r="A50" s="184" t="s">
        <v>1363</v>
      </c>
      <c r="B50" s="184" t="s">
        <v>1475</v>
      </c>
      <c r="C50" s="184" t="s">
        <v>1476</v>
      </c>
      <c r="D50" s="184">
        <v>299</v>
      </c>
      <c r="E50" s="184" t="s">
        <v>1366</v>
      </c>
      <c r="F50" s="184" t="s">
        <v>1367</v>
      </c>
      <c r="G50" s="184">
        <v>2021</v>
      </c>
      <c r="H50" s="184" t="s">
        <v>1378</v>
      </c>
    </row>
    <row r="51" spans="1:8">
      <c r="A51" s="184" t="s">
        <v>1363</v>
      </c>
      <c r="B51" s="184" t="s">
        <v>1477</v>
      </c>
      <c r="C51" s="184" t="s">
        <v>1478</v>
      </c>
      <c r="D51" s="184">
        <v>250</v>
      </c>
      <c r="E51" s="184" t="s">
        <v>1366</v>
      </c>
      <c r="F51" s="184" t="s">
        <v>1367</v>
      </c>
      <c r="G51" s="184">
        <v>2021</v>
      </c>
      <c r="H51" s="184" t="s">
        <v>1383</v>
      </c>
    </row>
    <row r="52" spans="1:8">
      <c r="A52" s="184" t="s">
        <v>1363</v>
      </c>
      <c r="B52" s="184" t="s">
        <v>1479</v>
      </c>
      <c r="C52" s="184" t="s">
        <v>1480</v>
      </c>
      <c r="D52" s="184">
        <v>316</v>
      </c>
      <c r="E52" s="184" t="s">
        <v>1366</v>
      </c>
      <c r="F52" s="184" t="s">
        <v>1367</v>
      </c>
      <c r="G52" s="184">
        <v>2021</v>
      </c>
      <c r="H52" s="184" t="s">
        <v>1383</v>
      </c>
    </row>
    <row r="53" spans="1:8">
      <c r="A53" s="184" t="s">
        <v>1363</v>
      </c>
      <c r="B53" s="184" t="s">
        <v>1481</v>
      </c>
      <c r="C53" s="184" t="s">
        <v>1482</v>
      </c>
      <c r="D53" s="184">
        <v>245</v>
      </c>
      <c r="E53" s="184" t="s">
        <v>1366</v>
      </c>
      <c r="F53" s="184" t="s">
        <v>1367</v>
      </c>
      <c r="G53" s="184">
        <v>2021</v>
      </c>
      <c r="H53" s="184" t="s">
        <v>1383</v>
      </c>
    </row>
    <row r="54" spans="1:8">
      <c r="A54" s="184" t="s">
        <v>1363</v>
      </c>
      <c r="B54" s="184" t="s">
        <v>1483</v>
      </c>
      <c r="C54" s="184" t="s">
        <v>1484</v>
      </c>
      <c r="D54" s="184">
        <v>500</v>
      </c>
      <c r="E54" s="184" t="s">
        <v>1366</v>
      </c>
      <c r="F54" s="184" t="s">
        <v>1367</v>
      </c>
      <c r="G54" s="184">
        <v>2021</v>
      </c>
      <c r="H54" s="184" t="s">
        <v>1383</v>
      </c>
    </row>
    <row r="55" spans="1:8">
      <c r="A55" s="184" t="s">
        <v>1363</v>
      </c>
      <c r="B55" s="184" t="s">
        <v>1485</v>
      </c>
      <c r="C55" s="184" t="s">
        <v>1486</v>
      </c>
      <c r="D55" s="184">
        <v>302</v>
      </c>
      <c r="E55" s="184" t="s">
        <v>1366</v>
      </c>
      <c r="F55" s="184" t="s">
        <v>1367</v>
      </c>
      <c r="G55" s="184">
        <v>2021</v>
      </c>
      <c r="H55" s="184" t="s">
        <v>1383</v>
      </c>
    </row>
    <row r="56" spans="1:8">
      <c r="A56" s="184" t="s">
        <v>1363</v>
      </c>
      <c r="B56" s="184" t="s">
        <v>1487</v>
      </c>
      <c r="C56" s="184" t="s">
        <v>1488</v>
      </c>
      <c r="D56" s="184">
        <v>302</v>
      </c>
      <c r="E56" s="184" t="s">
        <v>1366</v>
      </c>
      <c r="F56" s="184" t="s">
        <v>1367</v>
      </c>
      <c r="G56" s="184">
        <v>2021</v>
      </c>
      <c r="H56" s="184" t="s">
        <v>1383</v>
      </c>
    </row>
    <row r="57" spans="1:8">
      <c r="A57" s="184" t="s">
        <v>1363</v>
      </c>
      <c r="B57" s="184" t="s">
        <v>1489</v>
      </c>
      <c r="C57" s="184" t="s">
        <v>1490</v>
      </c>
      <c r="D57" s="184">
        <v>300</v>
      </c>
      <c r="E57" s="184" t="s">
        <v>1366</v>
      </c>
      <c r="F57" s="184" t="s">
        <v>1367</v>
      </c>
      <c r="G57" s="184">
        <v>2021</v>
      </c>
      <c r="H57" s="184" t="s">
        <v>1383</v>
      </c>
    </row>
    <row r="58" spans="1:8">
      <c r="A58" s="184" t="s">
        <v>1363</v>
      </c>
      <c r="B58" s="184" t="s">
        <v>1491</v>
      </c>
      <c r="C58" s="184" t="s">
        <v>1492</v>
      </c>
      <c r="D58" s="184">
        <v>400</v>
      </c>
      <c r="E58" s="184" t="s">
        <v>1366</v>
      </c>
      <c r="F58" s="184" t="s">
        <v>1367</v>
      </c>
      <c r="G58" s="184">
        <v>2021</v>
      </c>
      <c r="H58" s="184" t="s">
        <v>1383</v>
      </c>
    </row>
    <row r="59" spans="1:8">
      <c r="A59" s="184" t="s">
        <v>1363</v>
      </c>
      <c r="B59" s="184" t="s">
        <v>1491</v>
      </c>
      <c r="C59" s="184" t="s">
        <v>1493</v>
      </c>
      <c r="D59" s="184">
        <v>400</v>
      </c>
      <c r="E59" s="184" t="s">
        <v>1366</v>
      </c>
      <c r="F59" s="184" t="s">
        <v>1367</v>
      </c>
      <c r="G59" s="184">
        <v>2021</v>
      </c>
      <c r="H59" s="184" t="s">
        <v>1383</v>
      </c>
    </row>
    <row r="60" spans="1:8">
      <c r="A60" s="184" t="s">
        <v>1363</v>
      </c>
      <c r="B60" s="184" t="s">
        <v>1491</v>
      </c>
      <c r="C60" s="184" t="s">
        <v>1494</v>
      </c>
      <c r="D60" s="184">
        <v>301</v>
      </c>
      <c r="E60" s="184" t="s">
        <v>1366</v>
      </c>
      <c r="F60" s="184" t="s">
        <v>1367</v>
      </c>
      <c r="G60" s="184">
        <v>2021</v>
      </c>
      <c r="H60" s="184" t="s">
        <v>1383</v>
      </c>
    </row>
    <row r="61" spans="1:8">
      <c r="A61" s="184" t="s">
        <v>1363</v>
      </c>
      <c r="B61" s="184" t="s">
        <v>1491</v>
      </c>
      <c r="C61" s="184" t="s">
        <v>1495</v>
      </c>
      <c r="D61" s="184">
        <v>303</v>
      </c>
      <c r="E61" s="184" t="s">
        <v>1366</v>
      </c>
      <c r="F61" s="184" t="s">
        <v>1367</v>
      </c>
      <c r="G61" s="184">
        <v>2021</v>
      </c>
      <c r="H61" s="184" t="s">
        <v>1383</v>
      </c>
    </row>
    <row r="62" spans="1:8">
      <c r="A62" s="184" t="s">
        <v>1363</v>
      </c>
      <c r="B62" s="184" t="s">
        <v>1491</v>
      </c>
      <c r="C62" s="184" t="s">
        <v>1496</v>
      </c>
      <c r="D62" s="184">
        <v>302</v>
      </c>
      <c r="E62" s="184" t="s">
        <v>1366</v>
      </c>
      <c r="F62" s="184" t="s">
        <v>1367</v>
      </c>
      <c r="G62" s="184">
        <v>2021</v>
      </c>
      <c r="H62" s="184" t="s">
        <v>1383</v>
      </c>
    </row>
    <row r="63" spans="1:8">
      <c r="A63" s="184" t="s">
        <v>1363</v>
      </c>
      <c r="B63" s="184" t="s">
        <v>1424</v>
      </c>
      <c r="C63" s="184" t="s">
        <v>1497</v>
      </c>
      <c r="D63" s="184">
        <v>200</v>
      </c>
      <c r="E63" s="184" t="s">
        <v>1366</v>
      </c>
      <c r="F63" s="184" t="s">
        <v>1367</v>
      </c>
      <c r="G63" s="184">
        <v>2021</v>
      </c>
      <c r="H63" s="184" t="s">
        <v>1383</v>
      </c>
    </row>
    <row r="64" spans="1:8">
      <c r="A64" s="184" t="s">
        <v>1363</v>
      </c>
      <c r="B64" s="184" t="s">
        <v>1498</v>
      </c>
      <c r="C64" s="184" t="s">
        <v>1499</v>
      </c>
      <c r="D64" s="184">
        <v>200</v>
      </c>
      <c r="E64" s="184" t="s">
        <v>1366</v>
      </c>
      <c r="F64" s="184" t="s">
        <v>1367</v>
      </c>
      <c r="G64" s="184">
        <v>2021</v>
      </c>
      <c r="H64" s="184" t="s">
        <v>1383</v>
      </c>
    </row>
    <row r="65" spans="1:8">
      <c r="A65" s="184" t="s">
        <v>1363</v>
      </c>
      <c r="B65" s="184" t="s">
        <v>1500</v>
      </c>
      <c r="C65" s="184" t="s">
        <v>1501</v>
      </c>
      <c r="D65" s="184">
        <v>90</v>
      </c>
      <c r="E65" s="184" t="s">
        <v>1366</v>
      </c>
      <c r="F65" s="184" t="s">
        <v>1367</v>
      </c>
      <c r="G65" s="184">
        <v>2021</v>
      </c>
      <c r="H65" s="184" t="s">
        <v>1383</v>
      </c>
    </row>
    <row r="66" spans="1:8">
      <c r="A66" s="184" t="s">
        <v>1363</v>
      </c>
      <c r="B66" s="184" t="s">
        <v>1502</v>
      </c>
      <c r="C66" s="184" t="s">
        <v>1503</v>
      </c>
      <c r="D66" s="184">
        <v>120</v>
      </c>
      <c r="E66" s="184" t="s">
        <v>1366</v>
      </c>
      <c r="F66" s="184" t="s">
        <v>1367</v>
      </c>
      <c r="G66" s="184">
        <v>2021</v>
      </c>
      <c r="H66" s="184" t="s">
        <v>1383</v>
      </c>
    </row>
    <row r="67" spans="1:8">
      <c r="A67" s="184" t="s">
        <v>1363</v>
      </c>
      <c r="B67" s="184" t="s">
        <v>1504</v>
      </c>
      <c r="C67" s="184" t="s">
        <v>1505</v>
      </c>
      <c r="D67" s="184">
        <v>302</v>
      </c>
      <c r="E67" s="184" t="s">
        <v>1366</v>
      </c>
      <c r="F67" s="184" t="s">
        <v>1367</v>
      </c>
      <c r="G67" s="184">
        <v>2021</v>
      </c>
      <c r="H67" s="184" t="s">
        <v>1383</v>
      </c>
    </row>
    <row r="68" spans="1:8">
      <c r="A68" s="184" t="s">
        <v>1363</v>
      </c>
      <c r="B68" s="184" t="s">
        <v>1506</v>
      </c>
      <c r="C68" s="184" t="s">
        <v>1507</v>
      </c>
      <c r="D68" s="184">
        <v>350</v>
      </c>
      <c r="E68" s="184" t="s">
        <v>1366</v>
      </c>
      <c r="F68" s="184" t="s">
        <v>1367</v>
      </c>
      <c r="G68" s="184">
        <v>2021</v>
      </c>
      <c r="H68" s="184" t="s">
        <v>1387</v>
      </c>
    </row>
    <row r="69" spans="1:8">
      <c r="A69" s="184" t="s">
        <v>1363</v>
      </c>
      <c r="B69" s="184" t="s">
        <v>1508</v>
      </c>
      <c r="C69" s="184" t="s">
        <v>1509</v>
      </c>
      <c r="D69" s="184">
        <v>300</v>
      </c>
      <c r="E69" s="184" t="s">
        <v>1366</v>
      </c>
      <c r="F69" s="184" t="s">
        <v>1367</v>
      </c>
      <c r="G69" s="184">
        <v>2021</v>
      </c>
      <c r="H69" s="184" t="s">
        <v>1387</v>
      </c>
    </row>
    <row r="70" spans="1:8">
      <c r="A70" s="184" t="s">
        <v>1363</v>
      </c>
      <c r="B70" s="184" t="s">
        <v>1510</v>
      </c>
      <c r="C70" s="184" t="s">
        <v>1511</v>
      </c>
      <c r="D70" s="184">
        <v>300</v>
      </c>
      <c r="E70" s="184" t="s">
        <v>1366</v>
      </c>
      <c r="F70" s="184" t="s">
        <v>1367</v>
      </c>
      <c r="G70" s="184">
        <v>2021</v>
      </c>
      <c r="H70" s="184" t="s">
        <v>1372</v>
      </c>
    </row>
    <row r="71" spans="1:8">
      <c r="A71" s="184" t="s">
        <v>1363</v>
      </c>
      <c r="B71" s="184" t="s">
        <v>1512</v>
      </c>
      <c r="C71" s="184" t="s">
        <v>1513</v>
      </c>
      <c r="D71" s="184">
        <v>155</v>
      </c>
      <c r="E71" s="184" t="s">
        <v>1366</v>
      </c>
      <c r="F71" s="184" t="s">
        <v>1367</v>
      </c>
      <c r="G71" s="184">
        <v>2021</v>
      </c>
      <c r="H71" s="184" t="s">
        <v>1372</v>
      </c>
    </row>
    <row r="72" spans="1:8">
      <c r="A72" s="184" t="s">
        <v>1363</v>
      </c>
      <c r="B72" s="184" t="s">
        <v>1514</v>
      </c>
      <c r="C72" s="184" t="s">
        <v>1515</v>
      </c>
      <c r="D72" s="184">
        <v>300</v>
      </c>
      <c r="E72" s="184" t="s">
        <v>1366</v>
      </c>
      <c r="F72" s="184" t="s">
        <v>1367</v>
      </c>
      <c r="G72" s="184">
        <v>2021</v>
      </c>
      <c r="H72" s="184" t="s">
        <v>1372</v>
      </c>
    </row>
    <row r="73" spans="1:8">
      <c r="A73" s="184" t="s">
        <v>1363</v>
      </c>
      <c r="B73" s="184" t="s">
        <v>1516</v>
      </c>
      <c r="C73" s="184" t="s">
        <v>1517</v>
      </c>
      <c r="D73" s="184">
        <v>252</v>
      </c>
      <c r="E73" s="184" t="s">
        <v>1366</v>
      </c>
      <c r="F73" s="184" t="s">
        <v>1367</v>
      </c>
      <c r="G73" s="184">
        <v>2021</v>
      </c>
      <c r="H73" s="184" t="s">
        <v>1372</v>
      </c>
    </row>
    <row r="74" spans="1:8">
      <c r="A74" s="184" t="s">
        <v>1363</v>
      </c>
      <c r="B74" s="184" t="s">
        <v>1516</v>
      </c>
      <c r="C74" s="184" t="s">
        <v>1518</v>
      </c>
      <c r="D74" s="184">
        <v>252</v>
      </c>
      <c r="E74" s="184" t="s">
        <v>1366</v>
      </c>
      <c r="F74" s="184" t="s">
        <v>1367</v>
      </c>
      <c r="G74" s="184">
        <v>2021</v>
      </c>
      <c r="H74" s="184" t="s">
        <v>1372</v>
      </c>
    </row>
    <row r="75" spans="1:8">
      <c r="A75" s="184" t="s">
        <v>1363</v>
      </c>
      <c r="B75" s="184" t="s">
        <v>1516</v>
      </c>
      <c r="C75" s="184" t="s">
        <v>1519</v>
      </c>
      <c r="D75" s="184">
        <v>300</v>
      </c>
      <c r="E75" s="184" t="s">
        <v>1366</v>
      </c>
      <c r="F75" s="184" t="s">
        <v>1367</v>
      </c>
      <c r="G75" s="184">
        <v>2021</v>
      </c>
      <c r="H75" s="184" t="s">
        <v>1372</v>
      </c>
    </row>
    <row r="76" spans="1:8">
      <c r="A76" s="184" t="s">
        <v>1363</v>
      </c>
      <c r="B76" s="184" t="s">
        <v>1520</v>
      </c>
      <c r="C76" s="184" t="s">
        <v>1521</v>
      </c>
      <c r="D76" s="184">
        <v>200</v>
      </c>
      <c r="E76" s="184" t="s">
        <v>1366</v>
      </c>
      <c r="F76" s="184" t="s">
        <v>1367</v>
      </c>
      <c r="G76" s="184">
        <v>2021</v>
      </c>
      <c r="H76" s="184" t="s">
        <v>1372</v>
      </c>
    </row>
    <row r="77" spans="1:8">
      <c r="A77" s="184" t="s">
        <v>1363</v>
      </c>
      <c r="B77" s="184" t="s">
        <v>1522</v>
      </c>
      <c r="C77" s="184" t="s">
        <v>1523</v>
      </c>
      <c r="D77" s="184">
        <v>350</v>
      </c>
      <c r="E77" s="184" t="s">
        <v>1366</v>
      </c>
      <c r="F77" s="184" t="s">
        <v>1367</v>
      </c>
      <c r="G77" s="184">
        <v>2021</v>
      </c>
      <c r="H77" s="184" t="s">
        <v>1372</v>
      </c>
    </row>
    <row r="78" spans="1:8">
      <c r="A78" s="184" t="s">
        <v>1363</v>
      </c>
      <c r="B78" s="184" t="s">
        <v>1524</v>
      </c>
      <c r="C78" s="184" t="s">
        <v>1525</v>
      </c>
      <c r="D78" s="184">
        <v>400</v>
      </c>
      <c r="E78" s="184" t="s">
        <v>1366</v>
      </c>
      <c r="F78" s="184" t="s">
        <v>1367</v>
      </c>
      <c r="G78" s="184">
        <v>2021</v>
      </c>
      <c r="H78" s="184" t="s">
        <v>1372</v>
      </c>
    </row>
    <row r="79" spans="1:8">
      <c r="A79" s="184" t="s">
        <v>1363</v>
      </c>
      <c r="B79" s="184" t="s">
        <v>1526</v>
      </c>
      <c r="C79" s="184" t="s">
        <v>1527</v>
      </c>
      <c r="D79" s="184">
        <v>400</v>
      </c>
      <c r="E79" s="184" t="s">
        <v>1366</v>
      </c>
      <c r="F79" s="184" t="s">
        <v>1367</v>
      </c>
      <c r="G79" s="184">
        <v>2021</v>
      </c>
      <c r="H79" s="184" t="s">
        <v>1372</v>
      </c>
    </row>
    <row r="80" spans="1:8">
      <c r="A80" s="184" t="s">
        <v>1363</v>
      </c>
      <c r="B80" s="184" t="s">
        <v>1528</v>
      </c>
      <c r="C80" s="184" t="s">
        <v>1529</v>
      </c>
      <c r="D80" s="184">
        <v>300</v>
      </c>
      <c r="E80" s="184" t="s">
        <v>1366</v>
      </c>
      <c r="F80" s="184" t="s">
        <v>1367</v>
      </c>
      <c r="G80" s="184">
        <v>2021</v>
      </c>
      <c r="H80" s="184" t="s">
        <v>1372</v>
      </c>
    </row>
    <row r="81" spans="1:8">
      <c r="A81" s="184" t="s">
        <v>1363</v>
      </c>
      <c r="B81" s="184" t="s">
        <v>1530</v>
      </c>
      <c r="C81" s="184" t="s">
        <v>1531</v>
      </c>
      <c r="D81" s="184">
        <v>400</v>
      </c>
      <c r="E81" s="184" t="s">
        <v>1366</v>
      </c>
      <c r="F81" s="184" t="s">
        <v>1367</v>
      </c>
      <c r="G81" s="184">
        <v>2021</v>
      </c>
      <c r="H81" s="184" t="s">
        <v>1372</v>
      </c>
    </row>
    <row r="82" spans="1:8">
      <c r="A82" s="184" t="s">
        <v>1363</v>
      </c>
      <c r="B82" s="184" t="s">
        <v>1532</v>
      </c>
      <c r="C82" s="184" t="s">
        <v>1533</v>
      </c>
      <c r="D82" s="184">
        <v>302</v>
      </c>
      <c r="E82" s="184" t="s">
        <v>1366</v>
      </c>
      <c r="F82" s="184" t="s">
        <v>1367</v>
      </c>
      <c r="G82" s="184">
        <v>2021</v>
      </c>
      <c r="H82" s="184" t="s">
        <v>1372</v>
      </c>
    </row>
    <row r="83" spans="1:8">
      <c r="A83" s="184" t="s">
        <v>1363</v>
      </c>
      <c r="B83" s="184" t="s">
        <v>1534</v>
      </c>
      <c r="C83" s="184" t="s">
        <v>1535</v>
      </c>
      <c r="D83" s="184">
        <v>200</v>
      </c>
      <c r="E83" s="184" t="s">
        <v>1366</v>
      </c>
      <c r="F83" s="184" t="s">
        <v>1367</v>
      </c>
      <c r="G83" s="184">
        <v>2021</v>
      </c>
      <c r="H83" s="184" t="s">
        <v>1372</v>
      </c>
    </row>
    <row r="84" spans="1:8">
      <c r="A84" s="184" t="s">
        <v>1363</v>
      </c>
      <c r="B84" s="184" t="s">
        <v>1420</v>
      </c>
      <c r="C84" s="184" t="s">
        <v>1421</v>
      </c>
      <c r="D84" s="184">
        <v>50</v>
      </c>
      <c r="E84" s="184" t="s">
        <v>1366</v>
      </c>
      <c r="F84" s="184" t="s">
        <v>1367</v>
      </c>
      <c r="G84" s="184">
        <v>2021</v>
      </c>
      <c r="H84" s="184" t="s">
        <v>1372</v>
      </c>
    </row>
    <row r="85" spans="1:8">
      <c r="A85" s="184" t="s">
        <v>1363</v>
      </c>
      <c r="B85" s="184" t="s">
        <v>1536</v>
      </c>
      <c r="C85" s="184" t="s">
        <v>1537</v>
      </c>
      <c r="D85" s="184">
        <v>303</v>
      </c>
      <c r="E85" s="184" t="s">
        <v>1366</v>
      </c>
      <c r="F85" s="184" t="s">
        <v>1367</v>
      </c>
      <c r="G85" s="184">
        <v>2021</v>
      </c>
      <c r="H85" s="184" t="s">
        <v>1372</v>
      </c>
    </row>
    <row r="86" spans="1:8">
      <c r="A86" s="184" t="s">
        <v>1363</v>
      </c>
      <c r="B86" s="184" t="s">
        <v>1538</v>
      </c>
      <c r="C86" s="184" t="s">
        <v>1539</v>
      </c>
      <c r="D86" s="184">
        <v>303</v>
      </c>
      <c r="E86" s="184" t="s">
        <v>1366</v>
      </c>
      <c r="F86" s="184" t="s">
        <v>1367</v>
      </c>
      <c r="G86" s="184">
        <v>2021</v>
      </c>
      <c r="H86" s="184" t="s">
        <v>1372</v>
      </c>
    </row>
    <row r="87" spans="1:8">
      <c r="A87" s="184" t="s">
        <v>1363</v>
      </c>
      <c r="B87" s="184" t="s">
        <v>1540</v>
      </c>
      <c r="C87" s="184" t="s">
        <v>1541</v>
      </c>
      <c r="D87" s="184">
        <v>104</v>
      </c>
      <c r="E87" s="184" t="s">
        <v>1366</v>
      </c>
      <c r="F87" s="184" t="s">
        <v>1367</v>
      </c>
      <c r="G87" s="184">
        <v>2021</v>
      </c>
      <c r="H87" s="184" t="s">
        <v>1372</v>
      </c>
    </row>
    <row r="88" spans="1:8">
      <c r="A88" s="184" t="s">
        <v>1363</v>
      </c>
      <c r="B88" s="184" t="s">
        <v>1542</v>
      </c>
      <c r="C88" s="184" t="s">
        <v>1543</v>
      </c>
      <c r="D88" s="184">
        <v>302</v>
      </c>
      <c r="E88" s="184" t="s">
        <v>1366</v>
      </c>
      <c r="F88" s="184" t="s">
        <v>1367</v>
      </c>
      <c r="G88" s="184">
        <v>2021</v>
      </c>
      <c r="H88" s="184" t="s">
        <v>1372</v>
      </c>
    </row>
    <row r="89" spans="1:8">
      <c r="A89" s="184" t="s">
        <v>1363</v>
      </c>
      <c r="B89" s="184" t="s">
        <v>1544</v>
      </c>
      <c r="C89" s="184" t="s">
        <v>1545</v>
      </c>
      <c r="D89" s="184">
        <v>152</v>
      </c>
      <c r="E89" s="184" t="s">
        <v>1366</v>
      </c>
      <c r="F89" s="184" t="s">
        <v>1367</v>
      </c>
      <c r="G89" s="184">
        <v>2021</v>
      </c>
      <c r="H89" s="184" t="s">
        <v>1372</v>
      </c>
    </row>
    <row r="90" spans="1:8">
      <c r="A90" s="184" t="s">
        <v>1363</v>
      </c>
      <c r="B90" s="184" t="s">
        <v>1546</v>
      </c>
      <c r="C90" s="184" t="s">
        <v>1547</v>
      </c>
      <c r="D90" s="184">
        <v>400</v>
      </c>
      <c r="E90" s="184" t="s">
        <v>1366</v>
      </c>
      <c r="F90" s="184" t="s">
        <v>1367</v>
      </c>
      <c r="G90" s="184">
        <v>2021</v>
      </c>
      <c r="H90" s="184" t="s">
        <v>1372</v>
      </c>
    </row>
    <row r="91" spans="1:8">
      <c r="A91" s="184" t="s">
        <v>1363</v>
      </c>
      <c r="B91" s="184" t="s">
        <v>1548</v>
      </c>
      <c r="C91" s="184" t="s">
        <v>1549</v>
      </c>
      <c r="D91" s="184">
        <v>400</v>
      </c>
      <c r="E91" s="184" t="s">
        <v>1366</v>
      </c>
      <c r="F91" s="184" t="s">
        <v>1367</v>
      </c>
      <c r="G91" s="184">
        <v>2021</v>
      </c>
      <c r="H91" s="184" t="s">
        <v>1372</v>
      </c>
    </row>
    <row r="92" spans="1:8">
      <c r="A92" s="184" t="s">
        <v>1363</v>
      </c>
      <c r="B92" s="184" t="s">
        <v>1550</v>
      </c>
      <c r="C92" s="184" t="s">
        <v>1551</v>
      </c>
      <c r="D92" s="184">
        <v>302</v>
      </c>
      <c r="E92" s="184" t="s">
        <v>1366</v>
      </c>
      <c r="F92" s="184" t="s">
        <v>1367</v>
      </c>
      <c r="G92" s="184">
        <v>2021</v>
      </c>
      <c r="H92" s="184" t="s">
        <v>1390</v>
      </c>
    </row>
    <row r="93" spans="1:8">
      <c r="A93" s="184" t="s">
        <v>1363</v>
      </c>
      <c r="B93" s="184" t="s">
        <v>1552</v>
      </c>
      <c r="C93" s="184" t="s">
        <v>1553</v>
      </c>
      <c r="D93" s="184">
        <v>302</v>
      </c>
      <c r="E93" s="184" t="s">
        <v>1366</v>
      </c>
      <c r="F93" s="184" t="s">
        <v>1367</v>
      </c>
      <c r="G93" s="184">
        <v>2021</v>
      </c>
      <c r="H93" s="184" t="s">
        <v>1390</v>
      </c>
    </row>
    <row r="94" spans="1:8">
      <c r="A94" s="184" t="s">
        <v>1363</v>
      </c>
      <c r="B94" s="184" t="s">
        <v>1364</v>
      </c>
      <c r="C94" s="184" t="s">
        <v>1554</v>
      </c>
      <c r="D94" s="184">
        <v>45.5</v>
      </c>
      <c r="E94" s="184" t="s">
        <v>1366</v>
      </c>
      <c r="F94" s="184" t="s">
        <v>1367</v>
      </c>
      <c r="G94" s="184">
        <v>2021</v>
      </c>
      <c r="H94" s="184" t="s">
        <v>1368</v>
      </c>
    </row>
    <row r="95" spans="1:8">
      <c r="A95" s="184" t="s">
        <v>1363</v>
      </c>
      <c r="B95" s="184" t="s">
        <v>1555</v>
      </c>
      <c r="C95" s="184" t="s">
        <v>1556</v>
      </c>
      <c r="D95" s="184">
        <v>206</v>
      </c>
      <c r="E95" s="184" t="s">
        <v>1366</v>
      </c>
      <c r="F95" s="184" t="s">
        <v>1367</v>
      </c>
      <c r="G95" s="184">
        <v>2021</v>
      </c>
      <c r="H95" s="184" t="s">
        <v>1368</v>
      </c>
    </row>
    <row r="96" spans="1:8">
      <c r="A96" s="184" t="s">
        <v>1363</v>
      </c>
      <c r="B96" s="184" t="s">
        <v>1557</v>
      </c>
      <c r="C96" s="184" t="s">
        <v>1558</v>
      </c>
      <c r="D96" s="184">
        <v>496</v>
      </c>
      <c r="E96" s="184" t="s">
        <v>1386</v>
      </c>
      <c r="F96" s="184" t="s">
        <v>1367</v>
      </c>
      <c r="G96" s="184">
        <v>2021</v>
      </c>
      <c r="H96" s="184" t="s">
        <v>1378</v>
      </c>
    </row>
    <row r="97" spans="1:8">
      <c r="A97" s="184" t="s">
        <v>1363</v>
      </c>
      <c r="B97" s="184" t="s">
        <v>1559</v>
      </c>
      <c r="C97" s="184" t="s">
        <v>1560</v>
      </c>
      <c r="D97" s="184">
        <v>300</v>
      </c>
      <c r="E97" s="184" t="s">
        <v>1366</v>
      </c>
      <c r="F97" s="184" t="s">
        <v>1367</v>
      </c>
      <c r="G97" s="184">
        <v>2021</v>
      </c>
      <c r="H97" s="184" t="s">
        <v>1393</v>
      </c>
    </row>
    <row r="98" spans="1:8">
      <c r="A98" s="184" t="s">
        <v>1363</v>
      </c>
      <c r="B98" s="184" t="s">
        <v>1561</v>
      </c>
      <c r="C98" s="184" t="s">
        <v>1562</v>
      </c>
      <c r="D98" s="184">
        <v>300</v>
      </c>
      <c r="E98" s="184" t="s">
        <v>1366</v>
      </c>
      <c r="F98" s="184" t="s">
        <v>1367</v>
      </c>
      <c r="G98" s="184">
        <v>2021</v>
      </c>
      <c r="H98" s="184" t="s">
        <v>1393</v>
      </c>
    </row>
    <row r="99" spans="1:8">
      <c r="A99" s="184" t="s">
        <v>1363</v>
      </c>
      <c r="B99" s="184" t="s">
        <v>1563</v>
      </c>
      <c r="C99" s="184" t="s">
        <v>1564</v>
      </c>
      <c r="D99" s="184">
        <v>400</v>
      </c>
      <c r="E99" s="184" t="s">
        <v>1366</v>
      </c>
      <c r="F99" s="184" t="s">
        <v>1367</v>
      </c>
      <c r="G99" s="184">
        <v>2021</v>
      </c>
      <c r="H99" s="184" t="s">
        <v>1393</v>
      </c>
    </row>
    <row r="100" spans="1:8">
      <c r="A100" s="184" t="s">
        <v>1363</v>
      </c>
      <c r="B100" s="184" t="s">
        <v>1565</v>
      </c>
      <c r="C100" s="184" t="s">
        <v>1566</v>
      </c>
      <c r="D100" s="184">
        <v>281</v>
      </c>
      <c r="E100" s="184" t="s">
        <v>1366</v>
      </c>
      <c r="F100" s="184" t="s">
        <v>1367</v>
      </c>
      <c r="G100" s="184">
        <v>2021</v>
      </c>
      <c r="H100" s="184" t="s">
        <v>1393</v>
      </c>
    </row>
    <row r="101" spans="1:8">
      <c r="A101" s="184" t="s">
        <v>1363</v>
      </c>
      <c r="B101" s="184" t="s">
        <v>1567</v>
      </c>
      <c r="C101" s="184" t="s">
        <v>1568</v>
      </c>
      <c r="D101" s="184">
        <v>254</v>
      </c>
      <c r="E101" s="184" t="s">
        <v>1366</v>
      </c>
      <c r="F101" s="184" t="s">
        <v>1367</v>
      </c>
      <c r="G101" s="184">
        <v>2021</v>
      </c>
      <c r="H101" s="184" t="s">
        <v>1393</v>
      </c>
    </row>
    <row r="102" spans="1:8">
      <c r="A102" s="184" t="s">
        <v>1363</v>
      </c>
      <c r="B102" s="184" t="s">
        <v>1569</v>
      </c>
      <c r="C102" s="184" t="s">
        <v>1570</v>
      </c>
      <c r="D102" s="184">
        <v>300</v>
      </c>
      <c r="E102" s="184" t="s">
        <v>1366</v>
      </c>
      <c r="F102" s="184" t="s">
        <v>1367</v>
      </c>
      <c r="G102" s="184">
        <v>2021</v>
      </c>
      <c r="H102" s="184" t="s">
        <v>1372</v>
      </c>
    </row>
    <row r="103" spans="1:8">
      <c r="A103" s="184" t="s">
        <v>1363</v>
      </c>
      <c r="B103" s="184" t="s">
        <v>1571</v>
      </c>
      <c r="C103" s="184" t="s">
        <v>1572</v>
      </c>
      <c r="D103" s="184">
        <v>399.5</v>
      </c>
      <c r="E103" s="184" t="s">
        <v>1366</v>
      </c>
      <c r="F103" s="184" t="s">
        <v>1367</v>
      </c>
      <c r="G103" s="184">
        <v>2022</v>
      </c>
      <c r="H103" s="184" t="s">
        <v>1390</v>
      </c>
    </row>
    <row r="104" spans="1:8">
      <c r="A104" s="184" t="s">
        <v>1363</v>
      </c>
      <c r="B104" s="184" t="s">
        <v>1388</v>
      </c>
      <c r="C104" s="184" t="s">
        <v>1573</v>
      </c>
      <c r="D104" s="184">
        <v>308</v>
      </c>
      <c r="E104" s="184" t="s">
        <v>1366</v>
      </c>
      <c r="F104" s="184" t="s">
        <v>1367</v>
      </c>
      <c r="G104" s="184">
        <v>2022</v>
      </c>
      <c r="H104" s="184" t="s">
        <v>1378</v>
      </c>
    </row>
    <row r="105" spans="1:8">
      <c r="A105" s="184" t="s">
        <v>1363</v>
      </c>
      <c r="B105" s="184" t="s">
        <v>1574</v>
      </c>
      <c r="C105" s="184" t="s">
        <v>1575</v>
      </c>
      <c r="D105" s="184">
        <v>303</v>
      </c>
      <c r="E105" s="184" t="s">
        <v>1366</v>
      </c>
      <c r="F105" s="184" t="s">
        <v>1367</v>
      </c>
      <c r="G105" s="184">
        <v>2022</v>
      </c>
      <c r="H105" s="184" t="s">
        <v>1372</v>
      </c>
    </row>
    <row r="106" spans="1:8">
      <c r="A106" s="184" t="s">
        <v>1363</v>
      </c>
      <c r="B106" s="184" t="s">
        <v>1576</v>
      </c>
      <c r="C106" s="184" t="s">
        <v>1577</v>
      </c>
      <c r="D106" s="184">
        <v>500</v>
      </c>
      <c r="E106" s="184" t="s">
        <v>1366</v>
      </c>
      <c r="F106" s="184" t="s">
        <v>1367</v>
      </c>
      <c r="G106" s="184">
        <v>2022</v>
      </c>
      <c r="H106" s="184" t="s">
        <v>1383</v>
      </c>
    </row>
    <row r="107" spans="1:8">
      <c r="A107" s="184" t="s">
        <v>1363</v>
      </c>
      <c r="B107" s="184" t="s">
        <v>1578</v>
      </c>
      <c r="C107" s="184" t="s">
        <v>1579</v>
      </c>
      <c r="D107" s="184">
        <v>400</v>
      </c>
      <c r="E107" s="184" t="s">
        <v>1366</v>
      </c>
      <c r="F107" s="184" t="s">
        <v>1367</v>
      </c>
      <c r="G107" s="184">
        <v>2022</v>
      </c>
      <c r="H107" s="184" t="s">
        <v>1383</v>
      </c>
    </row>
    <row r="108" spans="1:8">
      <c r="A108" s="184" t="s">
        <v>1363</v>
      </c>
      <c r="B108" s="184" t="s">
        <v>1580</v>
      </c>
      <c r="C108" s="184" t="s">
        <v>1581</v>
      </c>
      <c r="D108" s="184">
        <v>503</v>
      </c>
      <c r="E108" s="184" t="s">
        <v>1366</v>
      </c>
      <c r="F108" s="184" t="s">
        <v>1367</v>
      </c>
      <c r="G108" s="184">
        <v>2022</v>
      </c>
      <c r="H108" s="184" t="s">
        <v>1383</v>
      </c>
    </row>
    <row r="109" spans="1:8">
      <c r="A109" s="184" t="s">
        <v>1363</v>
      </c>
      <c r="B109" s="184" t="s">
        <v>1582</v>
      </c>
      <c r="C109" s="184" t="s">
        <v>1583</v>
      </c>
      <c r="D109" s="184">
        <v>503</v>
      </c>
      <c r="E109" s="184" t="s">
        <v>1366</v>
      </c>
      <c r="F109" s="184" t="s">
        <v>1367</v>
      </c>
      <c r="G109" s="184">
        <v>2022</v>
      </c>
      <c r="H109" s="184" t="s">
        <v>1383</v>
      </c>
    </row>
    <row r="110" spans="1:8">
      <c r="A110" s="184" t="s">
        <v>1363</v>
      </c>
      <c r="B110" s="184" t="s">
        <v>1584</v>
      </c>
      <c r="C110" s="184" t="s">
        <v>1585</v>
      </c>
      <c r="D110" s="184">
        <v>606</v>
      </c>
      <c r="E110" s="184" t="s">
        <v>1366</v>
      </c>
      <c r="F110" s="184" t="s">
        <v>1367</v>
      </c>
      <c r="G110" s="184">
        <v>2022</v>
      </c>
      <c r="H110" s="184" t="s">
        <v>1383</v>
      </c>
    </row>
    <row r="111" spans="1:8">
      <c r="A111" s="184" t="s">
        <v>1363</v>
      </c>
      <c r="B111" s="184" t="s">
        <v>1586</v>
      </c>
      <c r="C111" s="184" t="s">
        <v>1587</v>
      </c>
      <c r="D111" s="184">
        <v>500</v>
      </c>
      <c r="E111" s="184" t="s">
        <v>1366</v>
      </c>
      <c r="F111" s="184" t="s">
        <v>1367</v>
      </c>
      <c r="G111" s="184">
        <v>2022</v>
      </c>
      <c r="H111" s="184" t="s">
        <v>1390</v>
      </c>
    </row>
    <row r="112" spans="1:8">
      <c r="A112" s="184" t="s">
        <v>1363</v>
      </c>
      <c r="B112" s="184" t="s">
        <v>1588</v>
      </c>
      <c r="C112" s="184" t="s">
        <v>1589</v>
      </c>
      <c r="D112" s="184">
        <v>501</v>
      </c>
      <c r="E112" s="184" t="s">
        <v>1366</v>
      </c>
      <c r="F112" s="184" t="s">
        <v>1367</v>
      </c>
      <c r="G112" s="184">
        <v>2022</v>
      </c>
      <c r="H112" s="184" t="s">
        <v>1390</v>
      </c>
    </row>
    <row r="113" spans="1:8">
      <c r="A113" s="184" t="s">
        <v>1363</v>
      </c>
      <c r="B113" s="184" t="s">
        <v>1590</v>
      </c>
      <c r="C113" s="184" t="s">
        <v>1591</v>
      </c>
      <c r="D113" s="184">
        <v>300</v>
      </c>
      <c r="E113" s="184" t="s">
        <v>1366</v>
      </c>
      <c r="F113" s="184" t="s">
        <v>1367</v>
      </c>
      <c r="G113" s="184">
        <v>2022</v>
      </c>
      <c r="H113" s="184" t="s">
        <v>1390</v>
      </c>
    </row>
    <row r="114" spans="1:8">
      <c r="A114" s="184" t="s">
        <v>1363</v>
      </c>
      <c r="B114" s="184" t="s">
        <v>1592</v>
      </c>
      <c r="C114" s="184" t="s">
        <v>1593</v>
      </c>
      <c r="D114" s="184">
        <v>303</v>
      </c>
      <c r="E114" s="184" t="s">
        <v>1366</v>
      </c>
      <c r="F114" s="184" t="s">
        <v>1367</v>
      </c>
      <c r="G114" s="184">
        <v>2022</v>
      </c>
      <c r="H114" s="184" t="s">
        <v>1390</v>
      </c>
    </row>
    <row r="115" spans="1:8">
      <c r="A115" s="184" t="s">
        <v>1363</v>
      </c>
      <c r="B115" s="184" t="s">
        <v>1594</v>
      </c>
      <c r="C115" s="184" t="s">
        <v>1595</v>
      </c>
      <c r="D115" s="184">
        <v>500</v>
      </c>
      <c r="E115" s="184" t="s">
        <v>1366</v>
      </c>
      <c r="F115" s="184" t="s">
        <v>1367</v>
      </c>
      <c r="G115" s="184">
        <v>2022</v>
      </c>
      <c r="H115" s="184" t="s">
        <v>1390</v>
      </c>
    </row>
    <row r="116" spans="1:8">
      <c r="A116" s="184" t="s">
        <v>1363</v>
      </c>
      <c r="B116" s="184" t="s">
        <v>1596</v>
      </c>
      <c r="C116" s="184" t="s">
        <v>1597</v>
      </c>
      <c r="D116" s="184">
        <v>400</v>
      </c>
      <c r="E116" s="184" t="s">
        <v>1366</v>
      </c>
      <c r="F116" s="184" t="s">
        <v>1367</v>
      </c>
      <c r="G116" s="184">
        <v>2022</v>
      </c>
      <c r="H116" s="184" t="s">
        <v>1393</v>
      </c>
    </row>
    <row r="117" spans="1:8">
      <c r="A117" s="184" t="s">
        <v>1363</v>
      </c>
      <c r="B117" s="184" t="s">
        <v>1598</v>
      </c>
      <c r="C117" s="184" t="s">
        <v>1599</v>
      </c>
      <c r="D117" s="184">
        <v>400</v>
      </c>
      <c r="E117" s="184" t="s">
        <v>1366</v>
      </c>
      <c r="F117" s="184" t="s">
        <v>1367</v>
      </c>
      <c r="G117" s="184">
        <v>2022</v>
      </c>
      <c r="H117" s="184" t="s">
        <v>1393</v>
      </c>
    </row>
    <row r="118" spans="1:8">
      <c r="A118" s="184" t="s">
        <v>1363</v>
      </c>
      <c r="B118" s="184" t="s">
        <v>1600</v>
      </c>
      <c r="C118" s="184" t="s">
        <v>1601</v>
      </c>
      <c r="D118" s="184">
        <v>301</v>
      </c>
      <c r="E118" s="184" t="s">
        <v>1366</v>
      </c>
      <c r="F118" s="184" t="s">
        <v>1367</v>
      </c>
      <c r="G118" s="184">
        <v>2022</v>
      </c>
      <c r="H118" s="184" t="s">
        <v>1393</v>
      </c>
    </row>
    <row r="119" spans="1:8">
      <c r="A119" s="184" t="s">
        <v>1363</v>
      </c>
      <c r="B119" s="184" t="s">
        <v>1602</v>
      </c>
      <c r="C119" s="184" t="s">
        <v>1603</v>
      </c>
      <c r="D119" s="184">
        <v>300</v>
      </c>
      <c r="E119" s="184" t="s">
        <v>1366</v>
      </c>
      <c r="F119" s="184" t="s">
        <v>1374</v>
      </c>
      <c r="G119" s="184">
        <v>2023</v>
      </c>
      <c r="H119" s="184" t="s">
        <v>1378</v>
      </c>
    </row>
    <row r="120" spans="1:8">
      <c r="A120" s="184" t="s">
        <v>1363</v>
      </c>
      <c r="B120" s="184" t="s">
        <v>1604</v>
      </c>
      <c r="C120" s="184" t="s">
        <v>1605</v>
      </c>
      <c r="D120" s="184">
        <v>111</v>
      </c>
      <c r="E120" s="184" t="s">
        <v>1366</v>
      </c>
      <c r="F120" s="184" t="s">
        <v>1367</v>
      </c>
      <c r="G120" s="184">
        <v>2023</v>
      </c>
      <c r="H120" s="184" t="s">
        <v>1378</v>
      </c>
    </row>
    <row r="121" spans="1:8">
      <c r="A121" s="184" t="s">
        <v>1363</v>
      </c>
      <c r="B121" s="184" t="s">
        <v>1606</v>
      </c>
      <c r="C121" s="184" t="s">
        <v>1607</v>
      </c>
      <c r="D121" s="184">
        <v>402</v>
      </c>
      <c r="E121" s="184" t="s">
        <v>1366</v>
      </c>
      <c r="F121" s="184" t="s">
        <v>1373</v>
      </c>
      <c r="G121" s="184">
        <v>2023</v>
      </c>
      <c r="H121" s="184" t="s">
        <v>1378</v>
      </c>
    </row>
    <row r="122" spans="1:8">
      <c r="A122" s="184" t="s">
        <v>1363</v>
      </c>
      <c r="B122" s="184" t="s">
        <v>1608</v>
      </c>
      <c r="C122" s="184" t="s">
        <v>1609</v>
      </c>
      <c r="D122" s="184">
        <v>450</v>
      </c>
      <c r="E122" s="184" t="s">
        <v>1366</v>
      </c>
      <c r="F122" s="184" t="s">
        <v>1373</v>
      </c>
      <c r="G122" s="184">
        <v>2023</v>
      </c>
      <c r="H122" s="184" t="s">
        <v>1383</v>
      </c>
    </row>
    <row r="123" spans="1:8">
      <c r="A123" s="184" t="s">
        <v>1363</v>
      </c>
      <c r="B123" s="184" t="s">
        <v>1608</v>
      </c>
      <c r="C123" s="184" t="s">
        <v>1610</v>
      </c>
      <c r="D123" s="184">
        <v>300</v>
      </c>
      <c r="E123" s="184" t="s">
        <v>1366</v>
      </c>
      <c r="F123" s="184" t="s">
        <v>1373</v>
      </c>
      <c r="G123" s="184">
        <v>2023</v>
      </c>
      <c r="H123" s="184" t="s">
        <v>1383</v>
      </c>
    </row>
    <row r="124" spans="1:8">
      <c r="A124" s="184" t="s">
        <v>1363</v>
      </c>
      <c r="B124" s="184" t="s">
        <v>1611</v>
      </c>
      <c r="C124" s="184" t="s">
        <v>1612</v>
      </c>
      <c r="D124" s="184">
        <v>502</v>
      </c>
      <c r="E124" s="184" t="s">
        <v>1366</v>
      </c>
      <c r="F124" s="184" t="s">
        <v>1367</v>
      </c>
      <c r="G124" s="184">
        <v>2023</v>
      </c>
      <c r="H124" s="184" t="s">
        <v>1383</v>
      </c>
    </row>
    <row r="125" spans="1:8">
      <c r="A125" s="184" t="s">
        <v>1363</v>
      </c>
      <c r="B125" s="184" t="s">
        <v>1613</v>
      </c>
      <c r="C125" s="184" t="s">
        <v>1614</v>
      </c>
      <c r="D125" s="184">
        <v>406</v>
      </c>
      <c r="E125" s="184" t="s">
        <v>1366</v>
      </c>
      <c r="F125" s="184" t="s">
        <v>1373</v>
      </c>
      <c r="G125" s="184">
        <v>2023</v>
      </c>
      <c r="H125" s="184" t="s">
        <v>1383</v>
      </c>
    </row>
    <row r="126" spans="1:8">
      <c r="A126" s="184" t="s">
        <v>1363</v>
      </c>
      <c r="B126" s="184" t="s">
        <v>1615</v>
      </c>
      <c r="C126" s="184" t="s">
        <v>1616</v>
      </c>
      <c r="D126" s="184">
        <v>505</v>
      </c>
      <c r="E126" s="184" t="s">
        <v>1366</v>
      </c>
      <c r="F126" s="184" t="s">
        <v>1373</v>
      </c>
      <c r="G126" s="184">
        <v>2023</v>
      </c>
      <c r="H126" s="184" t="s">
        <v>1383</v>
      </c>
    </row>
    <row r="127" spans="1:8">
      <c r="A127" s="184" t="s">
        <v>1363</v>
      </c>
      <c r="B127" s="184" t="s">
        <v>1617</v>
      </c>
      <c r="C127" s="184" t="s">
        <v>1618</v>
      </c>
      <c r="D127" s="184">
        <v>400</v>
      </c>
      <c r="E127" s="184" t="s">
        <v>1366</v>
      </c>
      <c r="F127" s="184" t="s">
        <v>1373</v>
      </c>
      <c r="G127" s="184">
        <v>2023</v>
      </c>
      <c r="H127" s="184" t="s">
        <v>1383</v>
      </c>
    </row>
    <row r="128" spans="1:8">
      <c r="A128" s="184" t="s">
        <v>1363</v>
      </c>
      <c r="B128" s="184" t="s">
        <v>1619</v>
      </c>
      <c r="C128" s="184" t="s">
        <v>1620</v>
      </c>
      <c r="D128" s="184">
        <v>501.5</v>
      </c>
      <c r="E128" s="184" t="s">
        <v>1366</v>
      </c>
      <c r="F128" s="184" t="s">
        <v>1367</v>
      </c>
      <c r="G128" s="188">
        <v>2023</v>
      </c>
      <c r="H128" s="184" t="s">
        <v>1390</v>
      </c>
    </row>
    <row r="129" spans="1:8">
      <c r="A129" s="184" t="s">
        <v>1363</v>
      </c>
      <c r="B129" s="184" t="s">
        <v>1621</v>
      </c>
      <c r="C129" s="184" t="s">
        <v>1622</v>
      </c>
      <c r="D129" s="184">
        <v>200</v>
      </c>
      <c r="E129" s="184" t="s">
        <v>1366</v>
      </c>
      <c r="F129" s="184" t="s">
        <v>1374</v>
      </c>
      <c r="G129" s="184">
        <v>2023</v>
      </c>
      <c r="H129" s="184" t="s">
        <v>1387</v>
      </c>
    </row>
    <row r="130" spans="1:8">
      <c r="A130" s="184" t="s">
        <v>1363</v>
      </c>
      <c r="B130" s="184" t="s">
        <v>1623</v>
      </c>
      <c r="C130" s="184" t="s">
        <v>1624</v>
      </c>
      <c r="D130" s="184">
        <v>206</v>
      </c>
      <c r="E130" s="184" t="s">
        <v>1366</v>
      </c>
      <c r="F130" s="184" t="s">
        <v>1374</v>
      </c>
      <c r="G130" s="184">
        <v>2023</v>
      </c>
      <c r="H130" s="184" t="s">
        <v>1372</v>
      </c>
    </row>
    <row r="131" spans="1:8">
      <c r="A131" s="184" t="s">
        <v>1363</v>
      </c>
      <c r="B131" s="184" t="s">
        <v>1453</v>
      </c>
      <c r="C131" s="184" t="s">
        <v>1625</v>
      </c>
      <c r="D131" s="184">
        <v>180</v>
      </c>
      <c r="E131" s="184" t="s">
        <v>1366</v>
      </c>
      <c r="F131" s="184" t="s">
        <v>1367</v>
      </c>
      <c r="G131" s="188">
        <v>2023</v>
      </c>
      <c r="H131" s="184" t="s">
        <v>1378</v>
      </c>
    </row>
    <row r="132" spans="1:8">
      <c r="A132" s="184" t="s">
        <v>1363</v>
      </c>
      <c r="B132" s="184" t="s">
        <v>1626</v>
      </c>
      <c r="C132" s="184" t="s">
        <v>1627</v>
      </c>
      <c r="D132" s="184">
        <v>300</v>
      </c>
      <c r="E132" s="184" t="s">
        <v>1386</v>
      </c>
      <c r="F132" s="184" t="s">
        <v>1373</v>
      </c>
      <c r="G132" s="184">
        <v>2023</v>
      </c>
      <c r="H132" s="184" t="s">
        <v>1390</v>
      </c>
    </row>
    <row r="133" spans="1:8">
      <c r="A133" s="184" t="s">
        <v>1363</v>
      </c>
      <c r="B133" s="184" t="s">
        <v>1628</v>
      </c>
      <c r="C133" s="184" t="s">
        <v>1629</v>
      </c>
      <c r="D133" s="184">
        <v>301</v>
      </c>
      <c r="E133" s="184" t="s">
        <v>1366</v>
      </c>
      <c r="F133" s="184" t="s">
        <v>1373</v>
      </c>
      <c r="G133" s="184">
        <v>2023</v>
      </c>
      <c r="H133" s="184" t="s">
        <v>1390</v>
      </c>
    </row>
    <row r="134" spans="1:8">
      <c r="A134" s="184" t="s">
        <v>1363</v>
      </c>
      <c r="B134" s="184" t="s">
        <v>1630</v>
      </c>
      <c r="C134" s="184" t="s">
        <v>1631</v>
      </c>
      <c r="D134" s="184">
        <v>301</v>
      </c>
      <c r="E134" s="184" t="s">
        <v>1366</v>
      </c>
      <c r="F134" s="184" t="s">
        <v>1373</v>
      </c>
      <c r="G134" s="184">
        <v>2023</v>
      </c>
      <c r="H134" s="184" t="s">
        <v>1393</v>
      </c>
    </row>
    <row r="135" spans="1:8">
      <c r="A135" s="184" t="s">
        <v>1363</v>
      </c>
      <c r="B135" s="184" t="s">
        <v>1632</v>
      </c>
      <c r="C135" s="184" t="s">
        <v>1633</v>
      </c>
      <c r="D135" s="184">
        <v>300</v>
      </c>
      <c r="E135" s="184" t="s">
        <v>1366</v>
      </c>
      <c r="F135" s="184" t="s">
        <v>1367</v>
      </c>
      <c r="G135" s="184">
        <v>2023</v>
      </c>
      <c r="H135" s="184" t="s">
        <v>1393</v>
      </c>
    </row>
    <row r="136" spans="1:8">
      <c r="A136" s="184" t="s">
        <v>1363</v>
      </c>
      <c r="B136" s="184" t="s">
        <v>1567</v>
      </c>
      <c r="C136" s="184" t="s">
        <v>1634</v>
      </c>
      <c r="D136" s="184">
        <v>504</v>
      </c>
      <c r="E136" s="184" t="s">
        <v>1366</v>
      </c>
      <c r="F136" s="184" t="s">
        <v>1373</v>
      </c>
      <c r="G136" s="184">
        <v>2023</v>
      </c>
      <c r="H136" s="184" t="s">
        <v>1393</v>
      </c>
    </row>
    <row r="137" spans="1:8">
      <c r="A137" s="184" t="s">
        <v>1363</v>
      </c>
      <c r="B137" s="184" t="s">
        <v>1606</v>
      </c>
      <c r="C137" s="184" t="s">
        <v>1635</v>
      </c>
      <c r="D137" s="184">
        <v>404</v>
      </c>
      <c r="E137" s="184" t="s">
        <v>1366</v>
      </c>
      <c r="F137" s="184" t="s">
        <v>1373</v>
      </c>
      <c r="G137" s="184">
        <v>2024</v>
      </c>
      <c r="H137" s="184" t="s">
        <v>1378</v>
      </c>
    </row>
    <row r="138" spans="1:8">
      <c r="A138" s="184" t="s">
        <v>1363</v>
      </c>
      <c r="B138" s="184" t="s">
        <v>1636</v>
      </c>
      <c r="C138" s="184" t="s">
        <v>1637</v>
      </c>
      <c r="D138" s="184">
        <v>150</v>
      </c>
      <c r="E138" s="184" t="s">
        <v>1366</v>
      </c>
      <c r="F138" s="184" t="s">
        <v>1374</v>
      </c>
      <c r="G138" s="184">
        <v>2024</v>
      </c>
      <c r="H138" s="184" t="s">
        <v>1383</v>
      </c>
    </row>
    <row r="139" spans="1:8">
      <c r="A139" s="184" t="s">
        <v>1363</v>
      </c>
      <c r="B139" s="184" t="s">
        <v>1638</v>
      </c>
      <c r="C139" s="184" t="s">
        <v>1639</v>
      </c>
      <c r="D139" s="184">
        <v>553</v>
      </c>
      <c r="E139" s="184" t="s">
        <v>1366</v>
      </c>
      <c r="F139" s="184" t="s">
        <v>1374</v>
      </c>
      <c r="G139" s="184">
        <v>2024</v>
      </c>
      <c r="H139" s="184" t="s">
        <v>1383</v>
      </c>
    </row>
    <row r="140" spans="1:8">
      <c r="A140" s="184" t="s">
        <v>1363</v>
      </c>
      <c r="B140" s="184" t="s">
        <v>1640</v>
      </c>
      <c r="C140" s="184" t="s">
        <v>1641</v>
      </c>
      <c r="D140" s="184">
        <v>700</v>
      </c>
      <c r="E140" s="184" t="s">
        <v>1366</v>
      </c>
      <c r="F140" s="184" t="s">
        <v>1374</v>
      </c>
      <c r="G140" s="184">
        <v>2024</v>
      </c>
      <c r="H140" s="184" t="s">
        <v>1383</v>
      </c>
    </row>
    <row r="141" spans="1:8">
      <c r="A141" s="184" t="s">
        <v>1363</v>
      </c>
      <c r="B141" s="184" t="s">
        <v>1642</v>
      </c>
      <c r="C141" s="184" t="s">
        <v>1643</v>
      </c>
      <c r="D141" s="184">
        <v>301</v>
      </c>
      <c r="E141" s="184" t="s">
        <v>1366</v>
      </c>
      <c r="F141" s="184" t="s">
        <v>1373</v>
      </c>
      <c r="G141" s="184">
        <v>2024</v>
      </c>
      <c r="H141" s="184" t="s">
        <v>1383</v>
      </c>
    </row>
    <row r="142" spans="1:8">
      <c r="A142" s="184" t="s">
        <v>1363</v>
      </c>
      <c r="B142" s="184" t="s">
        <v>1644</v>
      </c>
      <c r="C142" s="184" t="s">
        <v>1645</v>
      </c>
      <c r="D142" s="184">
        <v>1001</v>
      </c>
      <c r="E142" s="184" t="s">
        <v>1366</v>
      </c>
      <c r="F142" s="184" t="s">
        <v>1373</v>
      </c>
      <c r="G142" s="184">
        <v>2024</v>
      </c>
      <c r="H142" s="184" t="s">
        <v>1383</v>
      </c>
    </row>
    <row r="143" spans="1:8">
      <c r="A143" s="184" t="s">
        <v>1363</v>
      </c>
      <c r="B143" s="184" t="s">
        <v>1646</v>
      </c>
      <c r="C143" s="184" t="s">
        <v>1647</v>
      </c>
      <c r="D143" s="184">
        <v>1000</v>
      </c>
      <c r="E143" s="184" t="s">
        <v>1366</v>
      </c>
      <c r="F143" s="184" t="s">
        <v>1373</v>
      </c>
      <c r="G143" s="184">
        <v>2024</v>
      </c>
      <c r="H143" s="184" t="s">
        <v>1383</v>
      </c>
    </row>
    <row r="144" spans="1:8">
      <c r="A144" s="184" t="s">
        <v>1363</v>
      </c>
      <c r="B144" s="184" t="s">
        <v>1646</v>
      </c>
      <c r="C144" s="184" t="s">
        <v>1648</v>
      </c>
      <c r="D144" s="184">
        <v>1000</v>
      </c>
      <c r="E144" s="184" t="s">
        <v>1366</v>
      </c>
      <c r="F144" s="184" t="s">
        <v>1373</v>
      </c>
      <c r="G144" s="184">
        <v>2024</v>
      </c>
      <c r="H144" s="184" t="s">
        <v>1383</v>
      </c>
    </row>
    <row r="145" spans="1:8">
      <c r="A145" s="184" t="s">
        <v>1363</v>
      </c>
      <c r="B145" s="184" t="s">
        <v>1649</v>
      </c>
      <c r="C145" s="184" t="s">
        <v>1650</v>
      </c>
      <c r="D145" s="184">
        <v>600</v>
      </c>
      <c r="E145" s="184" t="s">
        <v>1366</v>
      </c>
      <c r="F145" s="184" t="s">
        <v>1373</v>
      </c>
      <c r="G145" s="184">
        <v>2024</v>
      </c>
      <c r="H145" s="184" t="s">
        <v>1383</v>
      </c>
    </row>
    <row r="146" spans="1:8">
      <c r="A146" s="184" t="s">
        <v>1363</v>
      </c>
      <c r="B146" s="184" t="s">
        <v>1651</v>
      </c>
      <c r="C146" s="184" t="s">
        <v>1652</v>
      </c>
      <c r="D146" s="184">
        <v>1000</v>
      </c>
      <c r="E146" s="184" t="s">
        <v>1366</v>
      </c>
      <c r="F146" s="184" t="s">
        <v>1373</v>
      </c>
      <c r="G146" s="184">
        <v>2024</v>
      </c>
      <c r="H146" s="184" t="s">
        <v>1383</v>
      </c>
    </row>
    <row r="147" spans="1:8">
      <c r="A147" s="184" t="s">
        <v>1363</v>
      </c>
      <c r="B147" s="184" t="s">
        <v>1653</v>
      </c>
      <c r="C147" s="184" t="s">
        <v>1654</v>
      </c>
      <c r="D147" s="184">
        <v>1000</v>
      </c>
      <c r="E147" s="184" t="s">
        <v>1366</v>
      </c>
      <c r="F147" s="184" t="s">
        <v>1373</v>
      </c>
      <c r="G147" s="184">
        <v>2024</v>
      </c>
      <c r="H147" s="184" t="s">
        <v>1383</v>
      </c>
    </row>
    <row r="148" spans="1:8">
      <c r="A148" s="184" t="s">
        <v>1363</v>
      </c>
      <c r="B148" s="184" t="s">
        <v>1655</v>
      </c>
      <c r="C148" s="184" t="s">
        <v>1656</v>
      </c>
      <c r="D148" s="184">
        <v>1000</v>
      </c>
      <c r="E148" s="184" t="s">
        <v>1366</v>
      </c>
      <c r="F148" s="184" t="s">
        <v>1373</v>
      </c>
      <c r="G148" s="184">
        <v>2024</v>
      </c>
      <c r="H148" s="184" t="s">
        <v>1383</v>
      </c>
    </row>
    <row r="149" spans="1:8">
      <c r="A149" s="184" t="s">
        <v>1363</v>
      </c>
      <c r="B149" s="184" t="s">
        <v>1584</v>
      </c>
      <c r="C149" s="184" t="s">
        <v>1657</v>
      </c>
      <c r="D149" s="184">
        <v>300</v>
      </c>
      <c r="E149" s="184" t="s">
        <v>1386</v>
      </c>
      <c r="F149" s="184" t="s">
        <v>1374</v>
      </c>
      <c r="G149" s="184">
        <v>2024</v>
      </c>
      <c r="H149" s="184" t="s">
        <v>1383</v>
      </c>
    </row>
    <row r="150" spans="1:8">
      <c r="A150" s="184" t="s">
        <v>1363</v>
      </c>
      <c r="B150" s="184" t="s">
        <v>1658</v>
      </c>
      <c r="C150" s="184" t="s">
        <v>1659</v>
      </c>
      <c r="D150" s="184">
        <v>510</v>
      </c>
      <c r="E150" s="184" t="s">
        <v>1366</v>
      </c>
      <c r="F150" s="184" t="s">
        <v>1373</v>
      </c>
      <c r="G150" s="184">
        <v>2024</v>
      </c>
      <c r="H150" s="184" t="s">
        <v>1390</v>
      </c>
    </row>
    <row r="151" spans="1:8">
      <c r="A151" s="184" t="s">
        <v>1363</v>
      </c>
      <c r="B151" s="184" t="s">
        <v>1660</v>
      </c>
      <c r="C151" s="184" t="s">
        <v>1661</v>
      </c>
      <c r="D151" s="184">
        <v>504</v>
      </c>
      <c r="E151" s="184" t="s">
        <v>1386</v>
      </c>
      <c r="F151" s="184" t="s">
        <v>1373</v>
      </c>
      <c r="G151" s="184">
        <v>2024</v>
      </c>
      <c r="H151" s="184" t="s">
        <v>1393</v>
      </c>
    </row>
    <row r="152" spans="1:8">
      <c r="A152" s="184" t="s">
        <v>1363</v>
      </c>
      <c r="B152" s="184" t="s">
        <v>1662</v>
      </c>
      <c r="C152" s="184" t="s">
        <v>1663</v>
      </c>
      <c r="D152" s="184">
        <v>200</v>
      </c>
      <c r="E152" s="184" t="s">
        <v>1366</v>
      </c>
      <c r="F152" s="184" t="s">
        <v>1374</v>
      </c>
      <c r="G152" s="184">
        <v>2024</v>
      </c>
      <c r="H152" s="184" t="s">
        <v>1372</v>
      </c>
    </row>
    <row r="153" spans="1:8">
      <c r="A153" s="184" t="s">
        <v>1363</v>
      </c>
      <c r="B153" s="184" t="s">
        <v>1664</v>
      </c>
      <c r="C153" s="184" t="s">
        <v>1665</v>
      </c>
      <c r="D153" s="184">
        <v>200</v>
      </c>
      <c r="E153" s="184" t="s">
        <v>1366</v>
      </c>
      <c r="F153" s="184" t="s">
        <v>1374</v>
      </c>
      <c r="G153" s="184">
        <v>2024</v>
      </c>
      <c r="H153" s="184" t="s">
        <v>1372</v>
      </c>
    </row>
    <row r="154" spans="1:8">
      <c r="A154" s="184" t="s">
        <v>1363</v>
      </c>
      <c r="B154" s="184" t="s">
        <v>1666</v>
      </c>
      <c r="C154" s="184" t="s">
        <v>1667</v>
      </c>
      <c r="D154" s="184">
        <v>200</v>
      </c>
      <c r="E154" s="184" t="s">
        <v>1366</v>
      </c>
      <c r="F154" s="184" t="s">
        <v>1374</v>
      </c>
      <c r="G154" s="184">
        <v>2024</v>
      </c>
      <c r="H154" s="184" t="s">
        <v>1372</v>
      </c>
    </row>
    <row r="155" spans="1:8">
      <c r="A155" s="184" t="s">
        <v>1363</v>
      </c>
      <c r="B155" s="184" t="s">
        <v>1481</v>
      </c>
      <c r="C155" s="184" t="s">
        <v>1668</v>
      </c>
      <c r="D155" s="184">
        <v>352</v>
      </c>
      <c r="E155" s="184" t="s">
        <v>1366</v>
      </c>
      <c r="F155" s="184" t="s">
        <v>1374</v>
      </c>
      <c r="G155" s="184">
        <v>2024</v>
      </c>
      <c r="H155" s="184" t="s">
        <v>1383</v>
      </c>
    </row>
    <row r="156" spans="1:8">
      <c r="A156" s="184" t="s">
        <v>1363</v>
      </c>
      <c r="B156" s="184" t="s">
        <v>1669</v>
      </c>
      <c r="C156" s="184" t="s">
        <v>1670</v>
      </c>
      <c r="D156" s="184">
        <v>400</v>
      </c>
      <c r="E156" s="184" t="s">
        <v>1366</v>
      </c>
      <c r="F156" s="184" t="s">
        <v>1373</v>
      </c>
      <c r="G156" s="184">
        <v>2024</v>
      </c>
      <c r="H156" s="184" t="s">
        <v>1378</v>
      </c>
    </row>
    <row r="157" spans="1:8">
      <c r="A157" s="184" t="s">
        <v>1363</v>
      </c>
      <c r="B157" s="184" t="s">
        <v>1671</v>
      </c>
      <c r="C157" s="184" t="s">
        <v>1672</v>
      </c>
      <c r="D157" s="184">
        <v>600</v>
      </c>
      <c r="E157" s="184" t="s">
        <v>1366</v>
      </c>
      <c r="F157" s="184" t="s">
        <v>1374</v>
      </c>
      <c r="G157" s="184">
        <v>2024</v>
      </c>
      <c r="H157" s="184" t="s">
        <v>1383</v>
      </c>
    </row>
    <row r="158" spans="1:8">
      <c r="A158" s="184" t="s">
        <v>1363</v>
      </c>
      <c r="B158" s="184" t="s">
        <v>1673</v>
      </c>
      <c r="C158" s="184" t="s">
        <v>1674</v>
      </c>
      <c r="D158" s="184">
        <v>300</v>
      </c>
      <c r="E158" s="184" t="s">
        <v>1366</v>
      </c>
      <c r="F158" s="184" t="s">
        <v>1374</v>
      </c>
      <c r="G158" s="184">
        <v>2024</v>
      </c>
      <c r="H158" s="184" t="s">
        <v>1372</v>
      </c>
    </row>
    <row r="159" spans="1:8">
      <c r="A159" s="184" t="s">
        <v>1363</v>
      </c>
      <c r="B159" s="184" t="s">
        <v>1675</v>
      </c>
      <c r="C159" s="184" t="s">
        <v>1676</v>
      </c>
      <c r="D159" s="184">
        <v>400</v>
      </c>
      <c r="E159" s="184" t="s">
        <v>1366</v>
      </c>
      <c r="F159" s="184" t="s">
        <v>1374</v>
      </c>
      <c r="G159" s="184">
        <v>2024</v>
      </c>
      <c r="H159" s="184" t="s">
        <v>1372</v>
      </c>
    </row>
    <row r="160" spans="1:8">
      <c r="A160" s="184" t="s">
        <v>1363</v>
      </c>
      <c r="B160" s="184" t="s">
        <v>1677</v>
      </c>
      <c r="C160" s="184" t="s">
        <v>1678</v>
      </c>
      <c r="D160" s="184">
        <v>300</v>
      </c>
      <c r="E160" s="184" t="s">
        <v>1366</v>
      </c>
      <c r="F160" s="184" t="s">
        <v>1373</v>
      </c>
      <c r="G160" s="184">
        <v>2024</v>
      </c>
      <c r="H160" s="184" t="s">
        <v>1393</v>
      </c>
    </row>
    <row r="161" spans="1:8">
      <c r="A161" s="184" t="s">
        <v>1363</v>
      </c>
      <c r="B161" s="184" t="s">
        <v>1602</v>
      </c>
      <c r="C161" s="184" t="s">
        <v>1679</v>
      </c>
      <c r="D161" s="184">
        <v>200</v>
      </c>
      <c r="E161" s="184" t="s">
        <v>1366</v>
      </c>
      <c r="F161" s="184" t="s">
        <v>1374</v>
      </c>
      <c r="G161" s="184">
        <v>2025</v>
      </c>
      <c r="H161" s="184" t="s">
        <v>1378</v>
      </c>
    </row>
    <row r="162" spans="1:8">
      <c r="A162" s="184" t="s">
        <v>1363</v>
      </c>
      <c r="B162" s="184" t="s">
        <v>1606</v>
      </c>
      <c r="C162" s="184" t="s">
        <v>1680</v>
      </c>
      <c r="D162" s="184">
        <v>201</v>
      </c>
      <c r="E162" s="184" t="s">
        <v>1366</v>
      </c>
      <c r="F162" s="184" t="s">
        <v>1374</v>
      </c>
      <c r="G162" s="184">
        <v>2025</v>
      </c>
      <c r="H162" s="184" t="s">
        <v>1378</v>
      </c>
    </row>
    <row r="163" spans="1:8">
      <c r="A163" s="184" t="s">
        <v>1363</v>
      </c>
      <c r="B163" s="184" t="s">
        <v>1681</v>
      </c>
      <c r="C163" s="184" t="s">
        <v>1682</v>
      </c>
      <c r="D163" s="184">
        <v>1000</v>
      </c>
      <c r="E163" s="184" t="s">
        <v>1366</v>
      </c>
      <c r="F163" s="184" t="s">
        <v>1374</v>
      </c>
      <c r="G163" s="184">
        <v>2025</v>
      </c>
      <c r="H163" s="184" t="s">
        <v>1383</v>
      </c>
    </row>
    <row r="164" spans="1:8">
      <c r="A164" s="184" t="s">
        <v>1363</v>
      </c>
      <c r="B164" s="184" t="s">
        <v>1683</v>
      </c>
      <c r="C164" s="184" t="s">
        <v>1684</v>
      </c>
      <c r="D164" s="184">
        <v>3000</v>
      </c>
      <c r="E164" s="184" t="s">
        <v>1366</v>
      </c>
      <c r="F164" s="184" t="s">
        <v>1374</v>
      </c>
      <c r="G164" s="184">
        <v>2025</v>
      </c>
      <c r="H164" s="184" t="s">
        <v>1383</v>
      </c>
    </row>
    <row r="165" spans="1:8">
      <c r="A165" s="184" t="s">
        <v>1363</v>
      </c>
      <c r="B165" s="184" t="s">
        <v>1685</v>
      </c>
      <c r="C165" s="184" t="s">
        <v>1686</v>
      </c>
      <c r="D165" s="184">
        <v>1000</v>
      </c>
      <c r="E165" s="184" t="s">
        <v>1366</v>
      </c>
      <c r="F165" s="184" t="s">
        <v>1374</v>
      </c>
      <c r="G165" s="184">
        <v>2025</v>
      </c>
      <c r="H165" s="184" t="s">
        <v>1383</v>
      </c>
    </row>
    <row r="166" spans="1:8">
      <c r="A166" s="184" t="s">
        <v>1363</v>
      </c>
      <c r="B166" s="184" t="s">
        <v>1687</v>
      </c>
      <c r="C166" s="184" t="s">
        <v>1688</v>
      </c>
      <c r="D166" s="184">
        <v>200</v>
      </c>
      <c r="E166" s="184" t="s">
        <v>1689</v>
      </c>
      <c r="F166" s="184" t="s">
        <v>1373</v>
      </c>
      <c r="G166" s="184">
        <v>2025</v>
      </c>
      <c r="H166" s="184" t="s">
        <v>1381</v>
      </c>
    </row>
    <row r="167" spans="1:8">
      <c r="A167" s="184" t="s">
        <v>1363</v>
      </c>
      <c r="B167" s="184" t="s">
        <v>1690</v>
      </c>
      <c r="C167" s="184" t="s">
        <v>1661</v>
      </c>
      <c r="D167" s="184">
        <v>504</v>
      </c>
      <c r="E167" s="184" t="s">
        <v>1366</v>
      </c>
      <c r="F167" s="184" t="s">
        <v>1373</v>
      </c>
      <c r="G167" s="184">
        <v>2025</v>
      </c>
      <c r="H167" s="184" t="s">
        <v>1393</v>
      </c>
    </row>
    <row r="168" spans="1:8">
      <c r="A168" s="184" t="s">
        <v>1363</v>
      </c>
      <c r="B168" s="184" t="s">
        <v>1691</v>
      </c>
      <c r="C168" s="184" t="s">
        <v>1692</v>
      </c>
      <c r="D168" s="184">
        <v>400</v>
      </c>
      <c r="E168" s="184" t="s">
        <v>1366</v>
      </c>
      <c r="F168" s="184" t="s">
        <v>1374</v>
      </c>
      <c r="G168" s="184">
        <v>2025</v>
      </c>
      <c r="H168" s="184" t="s">
        <v>1387</v>
      </c>
    </row>
    <row r="169" spans="1:8">
      <c r="A169" s="184" t="s">
        <v>1363</v>
      </c>
      <c r="B169" s="184" t="s">
        <v>1602</v>
      </c>
      <c r="C169" s="184" t="s">
        <v>1693</v>
      </c>
      <c r="D169" s="184">
        <v>400</v>
      </c>
      <c r="E169" s="184" t="s">
        <v>1366</v>
      </c>
      <c r="F169" s="184" t="s">
        <v>1374</v>
      </c>
      <c r="G169" s="184">
        <v>2026</v>
      </c>
      <c r="H169" s="184" t="s">
        <v>1378</v>
      </c>
    </row>
    <row r="170" spans="1:8">
      <c r="A170" s="184" t="s">
        <v>1363</v>
      </c>
      <c r="B170" s="184" t="s">
        <v>1602</v>
      </c>
      <c r="C170" s="184" t="s">
        <v>1694</v>
      </c>
      <c r="D170" s="184">
        <v>400</v>
      </c>
      <c r="E170" s="184" t="s">
        <v>1366</v>
      </c>
      <c r="F170" s="184" t="s">
        <v>1695</v>
      </c>
      <c r="G170" s="184">
        <v>2026</v>
      </c>
      <c r="H170" s="184" t="s">
        <v>1378</v>
      </c>
    </row>
    <row r="171" spans="1:8">
      <c r="A171" s="184" t="s">
        <v>1363</v>
      </c>
      <c r="B171" s="184" t="s">
        <v>1696</v>
      </c>
      <c r="C171" s="184" t="s">
        <v>1697</v>
      </c>
      <c r="D171" s="184">
        <v>1500</v>
      </c>
      <c r="E171" s="184" t="s">
        <v>1366</v>
      </c>
      <c r="F171" s="184" t="s">
        <v>1374</v>
      </c>
      <c r="G171" s="184">
        <v>2026</v>
      </c>
      <c r="H171" s="184" t="s">
        <v>1381</v>
      </c>
    </row>
    <row r="172" spans="1:8">
      <c r="A172" s="184" t="s">
        <v>1363</v>
      </c>
      <c r="B172" s="184" t="s">
        <v>1698</v>
      </c>
      <c r="C172" s="184" t="s">
        <v>1699</v>
      </c>
      <c r="D172" s="184">
        <v>1500</v>
      </c>
      <c r="E172" s="184" t="s">
        <v>1366</v>
      </c>
      <c r="F172" s="184" t="s">
        <v>1373</v>
      </c>
      <c r="G172" s="184">
        <v>2026</v>
      </c>
      <c r="H172" s="184" t="s">
        <v>1381</v>
      </c>
    </row>
    <row r="173" spans="1:8">
      <c r="A173" s="184" t="s">
        <v>1363</v>
      </c>
      <c r="B173" s="184" t="s">
        <v>1700</v>
      </c>
      <c r="C173" s="184" t="s">
        <v>1701</v>
      </c>
      <c r="D173" s="184">
        <v>200</v>
      </c>
      <c r="E173" s="184" t="s">
        <v>1366</v>
      </c>
      <c r="F173" s="184" t="s">
        <v>1374</v>
      </c>
      <c r="G173" s="184">
        <v>2026</v>
      </c>
      <c r="H173" s="184" t="s">
        <v>1372</v>
      </c>
    </row>
    <row r="174" spans="1:8">
      <c r="A174" s="184" t="s">
        <v>1363</v>
      </c>
      <c r="B174" s="184" t="s">
        <v>1687</v>
      </c>
      <c r="C174" s="184" t="s">
        <v>1702</v>
      </c>
      <c r="D174" s="184">
        <v>800</v>
      </c>
      <c r="E174" s="184" t="s">
        <v>1689</v>
      </c>
      <c r="F174" s="184" t="s">
        <v>1373</v>
      </c>
      <c r="G174" s="184">
        <v>2027</v>
      </c>
      <c r="H174" s="184" t="s">
        <v>1381</v>
      </c>
    </row>
    <row r="175" spans="1:8">
      <c r="A175" s="184" t="s">
        <v>1363</v>
      </c>
      <c r="B175" s="184" t="s">
        <v>1703</v>
      </c>
      <c r="C175" s="184" t="s">
        <v>1704</v>
      </c>
      <c r="D175" s="184">
        <v>1000</v>
      </c>
      <c r="E175" s="184" t="s">
        <v>1689</v>
      </c>
      <c r="F175" s="184" t="s">
        <v>1374</v>
      </c>
      <c r="G175" s="184">
        <v>2028</v>
      </c>
      <c r="H175" s="184" t="s">
        <v>1383</v>
      </c>
    </row>
    <row r="176" spans="1:8">
      <c r="A176" s="184" t="s">
        <v>1363</v>
      </c>
      <c r="B176" s="184" t="s">
        <v>1705</v>
      </c>
      <c r="C176" s="184" t="s">
        <v>1706</v>
      </c>
      <c r="D176" s="184">
        <v>250</v>
      </c>
      <c r="E176" s="184" t="s">
        <v>1366</v>
      </c>
      <c r="F176" s="184" t="s">
        <v>1373</v>
      </c>
      <c r="G176" s="188"/>
      <c r="H176" s="184" t="s">
        <v>1387</v>
      </c>
    </row>
    <row r="177" spans="1:8">
      <c r="A177" s="184" t="s">
        <v>1363</v>
      </c>
      <c r="B177" s="184" t="s">
        <v>1707</v>
      </c>
      <c r="C177" s="184" t="s">
        <v>1708</v>
      </c>
      <c r="D177" s="184">
        <v>1200</v>
      </c>
      <c r="E177" s="184" t="s">
        <v>1366</v>
      </c>
      <c r="F177" s="184" t="s">
        <v>1374</v>
      </c>
      <c r="G177" s="188"/>
      <c r="H177" s="184" t="s">
        <v>1381</v>
      </c>
    </row>
    <row r="178" spans="1:8">
      <c r="A178" s="184" t="s">
        <v>1363</v>
      </c>
      <c r="B178" s="184" t="s">
        <v>1364</v>
      </c>
      <c r="C178" s="184" t="s">
        <v>1709</v>
      </c>
      <c r="D178" s="184">
        <v>150</v>
      </c>
      <c r="E178" s="184" t="s">
        <v>1386</v>
      </c>
      <c r="F178" s="184" t="s">
        <v>1374</v>
      </c>
      <c r="G178" s="188"/>
      <c r="H178" s="184" t="s">
        <v>1368</v>
      </c>
    </row>
    <row r="179" spans="1:8">
      <c r="A179" s="184" t="s">
        <v>1363</v>
      </c>
      <c r="B179" s="184" t="s">
        <v>1555</v>
      </c>
      <c r="C179" s="184" t="s">
        <v>1710</v>
      </c>
      <c r="D179" s="184">
        <v>250</v>
      </c>
      <c r="E179" s="184" t="s">
        <v>1386</v>
      </c>
      <c r="F179" s="184" t="s">
        <v>1374</v>
      </c>
      <c r="G179" s="188"/>
      <c r="H179" s="184" t="s">
        <v>1368</v>
      </c>
    </row>
    <row r="180" spans="1:8">
      <c r="A180" s="184" t="s">
        <v>1363</v>
      </c>
      <c r="B180" s="184" t="s">
        <v>1555</v>
      </c>
      <c r="C180" s="184" t="s">
        <v>1711</v>
      </c>
      <c r="D180" s="184">
        <v>200</v>
      </c>
      <c r="E180" s="184" t="s">
        <v>1386</v>
      </c>
      <c r="F180" s="184" t="s">
        <v>1374</v>
      </c>
      <c r="G180" s="188"/>
      <c r="H180" s="184" t="s">
        <v>1368</v>
      </c>
    </row>
    <row r="181" spans="1:8">
      <c r="A181" s="184" t="s">
        <v>1363</v>
      </c>
      <c r="B181" s="184" t="s">
        <v>1712</v>
      </c>
      <c r="C181" s="184" t="s">
        <v>1713</v>
      </c>
      <c r="D181" s="184">
        <v>185</v>
      </c>
      <c r="E181" s="184" t="s">
        <v>1366</v>
      </c>
      <c r="F181" s="184" t="s">
        <v>1373</v>
      </c>
      <c r="G181" s="188"/>
      <c r="H181" s="184" t="s">
        <v>1378</v>
      </c>
    </row>
    <row r="182" spans="1:8">
      <c r="A182" s="184" t="s">
        <v>1363</v>
      </c>
      <c r="B182" s="184" t="s">
        <v>1714</v>
      </c>
      <c r="C182" s="184" t="s">
        <v>1715</v>
      </c>
      <c r="D182" s="184">
        <v>100</v>
      </c>
      <c r="E182" s="184" t="s">
        <v>1366</v>
      </c>
      <c r="F182" s="184" t="s">
        <v>1374</v>
      </c>
      <c r="G182" s="188"/>
      <c r="H182" s="184" t="s">
        <v>1378</v>
      </c>
    </row>
    <row r="183" spans="1:8">
      <c r="A183" s="184" t="s">
        <v>1363</v>
      </c>
      <c r="B183" s="184" t="s">
        <v>1716</v>
      </c>
      <c r="C183" s="184" t="s">
        <v>1717</v>
      </c>
      <c r="D183" s="184">
        <v>500</v>
      </c>
      <c r="E183" s="184" t="s">
        <v>1366</v>
      </c>
      <c r="F183" s="184" t="s">
        <v>1374</v>
      </c>
      <c r="G183" s="188"/>
      <c r="H183" s="184" t="s">
        <v>1383</v>
      </c>
    </row>
    <row r="184" spans="1:8">
      <c r="A184" s="184" t="s">
        <v>1363</v>
      </c>
      <c r="B184" s="184" t="s">
        <v>1718</v>
      </c>
      <c r="C184" s="184" t="s">
        <v>1719</v>
      </c>
      <c r="D184" s="184">
        <v>1000</v>
      </c>
      <c r="E184" s="184" t="s">
        <v>1366</v>
      </c>
      <c r="F184" s="184" t="s">
        <v>1374</v>
      </c>
      <c r="G184" s="188"/>
      <c r="H184" s="184" t="s">
        <v>1383</v>
      </c>
    </row>
    <row r="185" spans="1:8">
      <c r="A185" s="184" t="s">
        <v>1363</v>
      </c>
      <c r="B185" s="184" t="s">
        <v>1720</v>
      </c>
      <c r="C185" s="184" t="s">
        <v>1721</v>
      </c>
      <c r="D185" s="184">
        <v>1000</v>
      </c>
      <c r="E185" s="184" t="s">
        <v>1366</v>
      </c>
      <c r="F185" s="184" t="s">
        <v>1374</v>
      </c>
      <c r="G185" s="188"/>
      <c r="H185" s="184" t="s">
        <v>1383</v>
      </c>
    </row>
    <row r="186" spans="1:8">
      <c r="A186" s="184" t="s">
        <v>1363</v>
      </c>
      <c r="B186" s="184" t="s">
        <v>1722</v>
      </c>
      <c r="C186" s="184" t="s">
        <v>1723</v>
      </c>
      <c r="D186" s="184">
        <v>800</v>
      </c>
      <c r="E186" s="184" t="s">
        <v>1366</v>
      </c>
      <c r="F186" s="184" t="s">
        <v>1374</v>
      </c>
      <c r="G186" s="188"/>
      <c r="H186" s="184" t="s">
        <v>1383</v>
      </c>
    </row>
    <row r="187" spans="1:8">
      <c r="A187" s="184" t="s">
        <v>1363</v>
      </c>
      <c r="B187" s="184" t="s">
        <v>1724</v>
      </c>
      <c r="C187" s="184" t="s">
        <v>1725</v>
      </c>
      <c r="D187" s="184">
        <v>500</v>
      </c>
      <c r="E187" s="184" t="s">
        <v>1366</v>
      </c>
      <c r="F187" s="184" t="s">
        <v>1374</v>
      </c>
      <c r="G187" s="188"/>
      <c r="H187" s="184" t="s">
        <v>1383</v>
      </c>
    </row>
    <row r="188" spans="1:8">
      <c r="A188" s="184" t="s">
        <v>1363</v>
      </c>
      <c r="B188" s="184" t="s">
        <v>1726</v>
      </c>
      <c r="C188" s="184" t="s">
        <v>1727</v>
      </c>
      <c r="D188" s="184">
        <v>1200</v>
      </c>
      <c r="E188" s="184" t="s">
        <v>1366</v>
      </c>
      <c r="F188" s="184" t="s">
        <v>1374</v>
      </c>
      <c r="G188" s="188"/>
      <c r="H188" s="184" t="s">
        <v>1383</v>
      </c>
    </row>
    <row r="189" spans="1:8">
      <c r="A189" s="184" t="s">
        <v>1363</v>
      </c>
      <c r="B189" s="184" t="s">
        <v>1728</v>
      </c>
      <c r="C189" s="184" t="s">
        <v>1729</v>
      </c>
      <c r="D189" s="184">
        <v>700</v>
      </c>
      <c r="E189" s="184" t="s">
        <v>1386</v>
      </c>
      <c r="F189" s="184" t="s">
        <v>1373</v>
      </c>
      <c r="G189" s="188"/>
      <c r="H189" s="184" t="s">
        <v>1397</v>
      </c>
    </row>
    <row r="190" spans="1:8">
      <c r="A190" s="184" t="s">
        <v>1363</v>
      </c>
      <c r="B190" s="184" t="s">
        <v>1730</v>
      </c>
      <c r="C190" s="184" t="s">
        <v>1731</v>
      </c>
      <c r="D190" s="184">
        <v>600</v>
      </c>
      <c r="E190" s="184" t="s">
        <v>1386</v>
      </c>
      <c r="F190" s="184" t="s">
        <v>1373</v>
      </c>
      <c r="G190" s="188"/>
      <c r="H190" s="184" t="s">
        <v>1390</v>
      </c>
    </row>
    <row r="191" spans="1:8">
      <c r="A191" s="184" t="s">
        <v>1363</v>
      </c>
      <c r="B191" s="184" t="s">
        <v>1732</v>
      </c>
      <c r="C191" s="184" t="s">
        <v>1733</v>
      </c>
      <c r="D191" s="184">
        <v>297.5</v>
      </c>
      <c r="E191" s="184" t="s">
        <v>1366</v>
      </c>
      <c r="F191" s="184" t="s">
        <v>1373</v>
      </c>
      <c r="G191" s="188"/>
      <c r="H191" s="184" t="s">
        <v>1390</v>
      </c>
    </row>
    <row r="192" spans="1:8">
      <c r="A192" s="184" t="s">
        <v>1363</v>
      </c>
      <c r="B192" s="184" t="s">
        <v>1732</v>
      </c>
      <c r="C192" s="184" t="s">
        <v>1734</v>
      </c>
      <c r="D192" s="184">
        <v>306</v>
      </c>
      <c r="E192" s="184" t="s">
        <v>1366</v>
      </c>
      <c r="F192" s="184" t="s">
        <v>1373</v>
      </c>
      <c r="G192" s="188"/>
      <c r="H192" s="184" t="s">
        <v>1390</v>
      </c>
    </row>
    <row r="193" spans="1:8">
      <c r="A193" s="184" t="s">
        <v>1363</v>
      </c>
      <c r="B193" s="184" t="s">
        <v>1735</v>
      </c>
      <c r="C193" s="184" t="s">
        <v>1736</v>
      </c>
      <c r="D193" s="184">
        <v>800</v>
      </c>
      <c r="E193" s="184" t="s">
        <v>1366</v>
      </c>
      <c r="F193" s="184" t="s">
        <v>1374</v>
      </c>
      <c r="G193" s="188"/>
      <c r="H193" s="184" t="s">
        <v>1390</v>
      </c>
    </row>
    <row r="194" spans="1:8">
      <c r="A194" s="184" t="s">
        <v>1363</v>
      </c>
      <c r="B194" s="184" t="s">
        <v>1636</v>
      </c>
      <c r="C194" s="184" t="s">
        <v>1737</v>
      </c>
      <c r="D194" s="184">
        <v>400</v>
      </c>
      <c r="E194" s="184" t="s">
        <v>1386</v>
      </c>
      <c r="F194" s="184" t="s">
        <v>1374</v>
      </c>
      <c r="G194" s="188"/>
      <c r="H194" s="184" t="s">
        <v>1383</v>
      </c>
    </row>
    <row r="195" spans="1:8">
      <c r="A195" s="184" t="s">
        <v>1363</v>
      </c>
      <c r="B195" s="184" t="s">
        <v>1738</v>
      </c>
      <c r="C195" s="184" t="s">
        <v>1739</v>
      </c>
      <c r="D195" s="184">
        <v>1200</v>
      </c>
      <c r="E195" s="184" t="s">
        <v>1366</v>
      </c>
      <c r="F195" s="184" t="s">
        <v>1373</v>
      </c>
      <c r="G195" s="188"/>
      <c r="H195" s="184" t="s">
        <v>1381</v>
      </c>
    </row>
    <row r="196" spans="1:8">
      <c r="A196" s="184" t="s">
        <v>1363</v>
      </c>
      <c r="B196" s="184" t="s">
        <v>1740</v>
      </c>
      <c r="C196" s="184" t="s">
        <v>1741</v>
      </c>
      <c r="D196" s="184">
        <v>2050</v>
      </c>
      <c r="E196" s="184" t="s">
        <v>1366</v>
      </c>
      <c r="F196" s="184" t="s">
        <v>1374</v>
      </c>
      <c r="G196" s="188"/>
      <c r="H196" s="184" t="s">
        <v>1387</v>
      </c>
    </row>
    <row r="197" spans="1:8">
      <c r="A197" s="184" t="s">
        <v>1363</v>
      </c>
      <c r="B197" s="184" t="s">
        <v>1742</v>
      </c>
      <c r="C197" s="184" t="s">
        <v>1743</v>
      </c>
      <c r="D197" s="184">
        <v>504</v>
      </c>
      <c r="E197" s="184" t="s">
        <v>1366</v>
      </c>
      <c r="F197" s="184" t="s">
        <v>1374</v>
      </c>
      <c r="G197" s="188"/>
      <c r="H197" s="184" t="s">
        <v>1390</v>
      </c>
    </row>
    <row r="198" spans="1:8">
      <c r="A198" s="184" t="s">
        <v>1363</v>
      </c>
      <c r="B198" s="184" t="s">
        <v>1744</v>
      </c>
      <c r="C198" s="184" t="s">
        <v>1745</v>
      </c>
      <c r="D198" s="184">
        <v>504</v>
      </c>
      <c r="E198" s="184" t="s">
        <v>1366</v>
      </c>
      <c r="F198" s="184" t="s">
        <v>1374</v>
      </c>
      <c r="G198" s="188"/>
      <c r="H198" s="184" t="s">
        <v>1390</v>
      </c>
    </row>
    <row r="199" spans="1:8">
      <c r="A199" s="184" t="s">
        <v>1363</v>
      </c>
      <c r="B199" s="184" t="s">
        <v>1746</v>
      </c>
      <c r="C199" s="184" t="s">
        <v>1747</v>
      </c>
      <c r="D199" s="184">
        <v>700</v>
      </c>
      <c r="E199" s="184" t="s">
        <v>1366</v>
      </c>
      <c r="F199" s="184" t="s">
        <v>1374</v>
      </c>
      <c r="G199" s="188"/>
      <c r="H199" s="184" t="s">
        <v>1378</v>
      </c>
    </row>
    <row r="200" spans="1:8">
      <c r="A200" s="184" t="s">
        <v>1363</v>
      </c>
      <c r="B200" s="184" t="s">
        <v>1748</v>
      </c>
      <c r="C200" s="184" t="s">
        <v>1749</v>
      </c>
      <c r="D200" s="184">
        <v>200</v>
      </c>
      <c r="E200" s="184" t="s">
        <v>1366</v>
      </c>
      <c r="F200" s="184" t="s">
        <v>1374</v>
      </c>
      <c r="G200" s="188"/>
      <c r="H200" s="184" t="s">
        <v>1372</v>
      </c>
    </row>
    <row r="201" spans="1:8">
      <c r="A201" s="184" t="s">
        <v>1363</v>
      </c>
      <c r="B201" s="184" t="s">
        <v>1750</v>
      </c>
      <c r="C201" s="184" t="s">
        <v>1751</v>
      </c>
      <c r="D201" s="184">
        <v>300</v>
      </c>
      <c r="E201" s="184" t="s">
        <v>1366</v>
      </c>
      <c r="F201" s="184" t="s">
        <v>1374</v>
      </c>
      <c r="G201" s="188"/>
      <c r="H201" s="184" t="s">
        <v>1372</v>
      </c>
    </row>
    <row r="202" spans="1:8">
      <c r="A202" s="184" t="s">
        <v>1363</v>
      </c>
      <c r="B202" s="184" t="s">
        <v>1752</v>
      </c>
      <c r="C202" s="184" t="s">
        <v>1753</v>
      </c>
      <c r="D202" s="184">
        <v>300</v>
      </c>
      <c r="E202" s="184" t="s">
        <v>1366</v>
      </c>
      <c r="F202" s="184" t="s">
        <v>1374</v>
      </c>
      <c r="G202" s="188"/>
      <c r="H202" s="184" t="s">
        <v>1372</v>
      </c>
    </row>
    <row r="203" spans="1:8">
      <c r="A203" s="184" t="s">
        <v>1363</v>
      </c>
      <c r="B203" s="184" t="s">
        <v>1754</v>
      </c>
      <c r="C203" s="184" t="s">
        <v>1755</v>
      </c>
      <c r="D203" s="184">
        <v>200</v>
      </c>
      <c r="E203" s="184" t="s">
        <v>1386</v>
      </c>
      <c r="F203" s="184" t="s">
        <v>1374</v>
      </c>
      <c r="G203" s="188"/>
      <c r="H203" s="184" t="s">
        <v>1368</v>
      </c>
    </row>
    <row r="204" spans="1:8">
      <c r="A204" s="184" t="s">
        <v>1363</v>
      </c>
      <c r="B204" s="184" t="s">
        <v>1756</v>
      </c>
      <c r="C204" s="184" t="s">
        <v>1757</v>
      </c>
      <c r="D204" s="184">
        <v>500</v>
      </c>
      <c r="E204" s="184" t="s">
        <v>1386</v>
      </c>
      <c r="F204" s="184" t="s">
        <v>1374</v>
      </c>
      <c r="G204" s="188"/>
      <c r="H204" s="184" t="s">
        <v>1381</v>
      </c>
    </row>
    <row r="205" spans="1:8">
      <c r="A205" s="184" t="s">
        <v>1363</v>
      </c>
      <c r="B205" s="184" t="s">
        <v>1758</v>
      </c>
      <c r="C205" s="184" t="s">
        <v>1759</v>
      </c>
      <c r="D205" s="184">
        <v>300</v>
      </c>
      <c r="E205" s="184" t="s">
        <v>1366</v>
      </c>
      <c r="F205" s="184" t="s">
        <v>1374</v>
      </c>
      <c r="G205" s="188"/>
      <c r="H205" s="184" t="s">
        <v>1378</v>
      </c>
    </row>
    <row r="206" spans="1:8">
      <c r="A206" s="184" t="s">
        <v>1363</v>
      </c>
      <c r="B206" s="184" t="s">
        <v>1760</v>
      </c>
      <c r="C206" s="184" t="s">
        <v>1761</v>
      </c>
      <c r="D206" s="184">
        <v>450</v>
      </c>
      <c r="E206" s="184" t="s">
        <v>1366</v>
      </c>
      <c r="F206" s="184" t="s">
        <v>1374</v>
      </c>
      <c r="G206" s="188"/>
      <c r="H206" s="184" t="s">
        <v>1378</v>
      </c>
    </row>
    <row r="207" spans="1:8">
      <c r="A207" s="184" t="s">
        <v>1363</v>
      </c>
      <c r="B207" s="184" t="s">
        <v>1762</v>
      </c>
      <c r="C207" s="184" t="s">
        <v>1763</v>
      </c>
      <c r="D207" s="184">
        <v>750</v>
      </c>
      <c r="E207" s="184" t="s">
        <v>1366</v>
      </c>
      <c r="F207" s="184" t="s">
        <v>1374</v>
      </c>
      <c r="G207" s="188"/>
      <c r="H207" s="184" t="s">
        <v>1378</v>
      </c>
    </row>
    <row r="208" spans="1:8">
      <c r="A208" s="184" t="s">
        <v>1363</v>
      </c>
      <c r="B208" s="184" t="s">
        <v>1764</v>
      </c>
      <c r="C208" s="184" t="s">
        <v>1765</v>
      </c>
      <c r="D208" s="184">
        <v>400</v>
      </c>
      <c r="E208" s="184" t="s">
        <v>1366</v>
      </c>
      <c r="F208" s="184" t="s">
        <v>1374</v>
      </c>
      <c r="G208" s="188"/>
      <c r="H208" s="184" t="s">
        <v>1378</v>
      </c>
    </row>
    <row r="209" spans="1:8">
      <c r="A209" s="184" t="s">
        <v>1363</v>
      </c>
      <c r="B209" s="184" t="s">
        <v>1766</v>
      </c>
      <c r="C209" s="184" t="s">
        <v>1767</v>
      </c>
      <c r="D209" s="184">
        <v>400</v>
      </c>
      <c r="E209" s="184" t="s">
        <v>1386</v>
      </c>
      <c r="F209" s="184" t="s">
        <v>1374</v>
      </c>
      <c r="G209" s="188"/>
      <c r="H209" s="184" t="s">
        <v>1378</v>
      </c>
    </row>
    <row r="210" spans="1:8">
      <c r="A210" s="184" t="s">
        <v>1363</v>
      </c>
      <c r="B210" s="184" t="s">
        <v>1768</v>
      </c>
      <c r="C210" s="184" t="s">
        <v>1769</v>
      </c>
      <c r="D210" s="184">
        <v>250</v>
      </c>
      <c r="E210" s="184" t="s">
        <v>1386</v>
      </c>
      <c r="F210" s="184" t="s">
        <v>1373</v>
      </c>
      <c r="G210" s="188"/>
      <c r="H210" s="184" t="s">
        <v>1387</v>
      </c>
    </row>
    <row r="211" spans="1:8">
      <c r="A211" s="184" t="s">
        <v>1363</v>
      </c>
      <c r="B211" s="184" t="s">
        <v>1770</v>
      </c>
      <c r="C211" s="184" t="s">
        <v>1771</v>
      </c>
      <c r="D211" s="184">
        <v>196</v>
      </c>
      <c r="E211" s="184" t="s">
        <v>1366</v>
      </c>
      <c r="F211" s="184" t="s">
        <v>1374</v>
      </c>
      <c r="G211" s="188"/>
      <c r="H211" s="184" t="s">
        <v>1407</v>
      </c>
    </row>
    <row r="212" spans="1:8">
      <c r="A212" s="184" t="s">
        <v>1363</v>
      </c>
      <c r="B212" s="184" t="s">
        <v>1772</v>
      </c>
      <c r="C212" s="184" t="s">
        <v>1773</v>
      </c>
      <c r="D212" s="184">
        <v>300</v>
      </c>
      <c r="E212" s="184" t="s">
        <v>1366</v>
      </c>
      <c r="F212" s="184" t="s">
        <v>1373</v>
      </c>
      <c r="G212" s="188"/>
      <c r="H212" s="184" t="s">
        <v>1390</v>
      </c>
    </row>
    <row r="213" spans="1:8">
      <c r="A213" s="184" t="s">
        <v>1363</v>
      </c>
      <c r="B213" s="184" t="s">
        <v>1774</v>
      </c>
      <c r="C213" s="184" t="s">
        <v>1775</v>
      </c>
      <c r="D213" s="184">
        <v>450</v>
      </c>
      <c r="E213" s="184" t="s">
        <v>1366</v>
      </c>
      <c r="F213" s="184" t="s">
        <v>1373</v>
      </c>
      <c r="G213" s="188"/>
      <c r="H213" s="184" t="s">
        <v>1390</v>
      </c>
    </row>
    <row r="214" spans="1:8">
      <c r="A214" s="184" t="s">
        <v>1363</v>
      </c>
      <c r="B214" s="184" t="s">
        <v>1776</v>
      </c>
      <c r="C214" s="184" t="s">
        <v>1777</v>
      </c>
      <c r="D214" s="184">
        <v>450</v>
      </c>
      <c r="E214" s="184" t="s">
        <v>1386</v>
      </c>
      <c r="F214" s="184" t="s">
        <v>1374</v>
      </c>
      <c r="G214" s="188"/>
      <c r="H214" s="184" t="s">
        <v>1390</v>
      </c>
    </row>
    <row r="215" spans="1:8">
      <c r="A215" s="184" t="s">
        <v>1363</v>
      </c>
      <c r="B215" s="184" t="s">
        <v>1778</v>
      </c>
      <c r="C215" s="184" t="s">
        <v>1779</v>
      </c>
      <c r="D215" s="184">
        <v>500</v>
      </c>
      <c r="E215" s="184" t="s">
        <v>1386</v>
      </c>
      <c r="F215" s="184" t="s">
        <v>1374</v>
      </c>
      <c r="G215" s="188"/>
      <c r="H215" s="184" t="s">
        <v>1400</v>
      </c>
    </row>
    <row r="216" spans="1:8">
      <c r="A216" s="184" t="s">
        <v>1363</v>
      </c>
      <c r="B216" s="184" t="s">
        <v>1780</v>
      </c>
      <c r="C216" s="184" t="s">
        <v>1781</v>
      </c>
      <c r="D216" s="184">
        <v>1000</v>
      </c>
      <c r="E216" s="184" t="s">
        <v>1366</v>
      </c>
      <c r="F216" s="184" t="s">
        <v>1374</v>
      </c>
      <c r="G216" s="188"/>
      <c r="H216" s="184" t="s">
        <v>1383</v>
      </c>
    </row>
    <row r="217" spans="1:8">
      <c r="A217" s="184" t="s">
        <v>1363</v>
      </c>
      <c r="B217" s="184" t="s">
        <v>1780</v>
      </c>
      <c r="C217" s="184" t="s">
        <v>1782</v>
      </c>
      <c r="D217" s="184">
        <v>1000</v>
      </c>
      <c r="E217" s="184" t="s">
        <v>1366</v>
      </c>
      <c r="F217" s="184" t="s">
        <v>1374</v>
      </c>
      <c r="G217" s="188"/>
      <c r="H217" s="184" t="s">
        <v>1383</v>
      </c>
    </row>
    <row r="218" spans="1:8">
      <c r="A218" s="184" t="s">
        <v>1363</v>
      </c>
      <c r="B218" s="184" t="s">
        <v>1780</v>
      </c>
      <c r="C218" s="184" t="s">
        <v>1783</v>
      </c>
      <c r="D218" s="184">
        <v>1000</v>
      </c>
      <c r="E218" s="184" t="s">
        <v>1366</v>
      </c>
      <c r="F218" s="184" t="s">
        <v>1374</v>
      </c>
      <c r="G218" s="188"/>
      <c r="H218" s="184" t="s">
        <v>1383</v>
      </c>
    </row>
    <row r="219" spans="1:8">
      <c r="A219" s="184" t="s">
        <v>1363</v>
      </c>
      <c r="B219" s="184" t="s">
        <v>1784</v>
      </c>
      <c r="C219" s="184" t="s">
        <v>1785</v>
      </c>
      <c r="D219" s="184">
        <v>1000</v>
      </c>
      <c r="E219" s="184" t="s">
        <v>1366</v>
      </c>
      <c r="F219" s="184" t="s">
        <v>1374</v>
      </c>
      <c r="G219" s="188"/>
      <c r="H219" s="184" t="s">
        <v>1383</v>
      </c>
    </row>
    <row r="220" spans="1:8">
      <c r="A220" s="184" t="s">
        <v>1363</v>
      </c>
      <c r="B220" s="184" t="s">
        <v>1784</v>
      </c>
      <c r="C220" s="184" t="s">
        <v>1786</v>
      </c>
      <c r="D220" s="184">
        <v>1000</v>
      </c>
      <c r="E220" s="184" t="s">
        <v>1366</v>
      </c>
      <c r="F220" s="184" t="s">
        <v>1374</v>
      </c>
      <c r="G220" s="188"/>
      <c r="H220" s="184" t="s">
        <v>1383</v>
      </c>
    </row>
    <row r="221" spans="1:8">
      <c r="A221" s="184" t="s">
        <v>1363</v>
      </c>
      <c r="B221" s="184" t="s">
        <v>1784</v>
      </c>
      <c r="C221" s="184" t="s">
        <v>1787</v>
      </c>
      <c r="D221" s="184">
        <v>500</v>
      </c>
      <c r="E221" s="184" t="s">
        <v>1366</v>
      </c>
      <c r="F221" s="184" t="s">
        <v>1374</v>
      </c>
      <c r="G221" s="188"/>
      <c r="H221" s="184" t="s">
        <v>1383</v>
      </c>
    </row>
    <row r="222" spans="1:8">
      <c r="A222" s="184" t="s">
        <v>1363</v>
      </c>
      <c r="B222" s="184" t="s">
        <v>1784</v>
      </c>
      <c r="C222" s="184" t="s">
        <v>1788</v>
      </c>
      <c r="D222" s="184">
        <v>1000</v>
      </c>
      <c r="E222" s="184" t="s">
        <v>1366</v>
      </c>
      <c r="F222" s="184" t="s">
        <v>1374</v>
      </c>
      <c r="G222" s="188"/>
      <c r="H222" s="184" t="s">
        <v>1383</v>
      </c>
    </row>
    <row r="223" spans="1:8">
      <c r="A223" s="184" t="s">
        <v>1363</v>
      </c>
      <c r="B223" s="184" t="s">
        <v>1754</v>
      </c>
      <c r="C223" s="184" t="s">
        <v>1789</v>
      </c>
      <c r="D223" s="184">
        <v>306</v>
      </c>
      <c r="E223" s="184" t="s">
        <v>1366</v>
      </c>
      <c r="F223" s="184" t="s">
        <v>1374</v>
      </c>
      <c r="G223" s="188"/>
      <c r="H223" s="184" t="s">
        <v>1368</v>
      </c>
    </row>
    <row r="224" spans="1:8">
      <c r="A224" s="184" t="s">
        <v>1363</v>
      </c>
      <c r="B224" s="184" t="s">
        <v>1790</v>
      </c>
      <c r="C224" s="184" t="s">
        <v>1791</v>
      </c>
      <c r="D224" s="184">
        <v>200</v>
      </c>
      <c r="E224" s="184" t="s">
        <v>1366</v>
      </c>
      <c r="F224" s="184" t="s">
        <v>1374</v>
      </c>
      <c r="G224" s="188"/>
      <c r="H224" s="184" t="s">
        <v>1372</v>
      </c>
    </row>
    <row r="225" spans="1:8">
      <c r="A225" s="184" t="s">
        <v>1363</v>
      </c>
      <c r="B225" s="184" t="s">
        <v>1792</v>
      </c>
      <c r="C225" s="184" t="s">
        <v>1793</v>
      </c>
      <c r="D225" s="184">
        <v>300</v>
      </c>
      <c r="E225" s="184" t="s">
        <v>1366</v>
      </c>
      <c r="F225" s="184" t="s">
        <v>1374</v>
      </c>
      <c r="G225" s="188"/>
      <c r="H225" s="184" t="s">
        <v>1378</v>
      </c>
    </row>
    <row r="226" spans="1:8">
      <c r="A226" s="184" t="s">
        <v>1363</v>
      </c>
      <c r="B226" s="184" t="s">
        <v>1794</v>
      </c>
      <c r="C226" s="184" t="s">
        <v>1795</v>
      </c>
      <c r="D226" s="184">
        <v>650</v>
      </c>
      <c r="E226" s="184" t="s">
        <v>1366</v>
      </c>
      <c r="F226" s="184" t="s">
        <v>1374</v>
      </c>
      <c r="G226" s="188"/>
      <c r="H226" s="184" t="s">
        <v>1378</v>
      </c>
    </row>
    <row r="227" spans="1:8">
      <c r="A227" s="184" t="s">
        <v>1363</v>
      </c>
      <c r="B227" s="184" t="s">
        <v>1796</v>
      </c>
      <c r="C227" s="184" t="s">
        <v>1797</v>
      </c>
      <c r="D227" s="184">
        <v>550</v>
      </c>
      <c r="E227" s="184" t="s">
        <v>1366</v>
      </c>
      <c r="F227" s="184" t="s">
        <v>1374</v>
      </c>
      <c r="G227" s="188"/>
      <c r="H227" s="184" t="s">
        <v>1378</v>
      </c>
    </row>
    <row r="228" spans="1:8">
      <c r="A228" s="184" t="s">
        <v>1363</v>
      </c>
      <c r="B228" s="184" t="s">
        <v>1798</v>
      </c>
      <c r="C228" s="184" t="s">
        <v>1799</v>
      </c>
      <c r="D228" s="184">
        <v>304</v>
      </c>
      <c r="E228" s="184" t="s">
        <v>1366</v>
      </c>
      <c r="F228" s="184" t="s">
        <v>1373</v>
      </c>
      <c r="G228" s="188"/>
      <c r="H228" s="184" t="s">
        <v>1393</v>
      </c>
    </row>
    <row r="229" spans="1:8">
      <c r="A229" s="184" t="s">
        <v>1363</v>
      </c>
      <c r="B229" s="184" t="s">
        <v>1800</v>
      </c>
      <c r="C229" s="184" t="s">
        <v>1801</v>
      </c>
      <c r="D229" s="184">
        <v>400</v>
      </c>
      <c r="E229" s="184" t="s">
        <v>1366</v>
      </c>
      <c r="F229" s="184" t="s">
        <v>1374</v>
      </c>
      <c r="G229" s="188"/>
      <c r="H229" s="184" t="s">
        <v>1393</v>
      </c>
    </row>
    <row r="230" spans="1:8">
      <c r="A230" s="184" t="s">
        <v>1363</v>
      </c>
      <c r="B230" s="184" t="s">
        <v>1802</v>
      </c>
      <c r="C230" s="184" t="s">
        <v>1803</v>
      </c>
      <c r="D230" s="184">
        <v>600</v>
      </c>
      <c r="E230" s="184" t="s">
        <v>1366</v>
      </c>
      <c r="F230" s="184" t="s">
        <v>1374</v>
      </c>
      <c r="G230" s="188"/>
      <c r="H230" s="184" t="s">
        <v>1393</v>
      </c>
    </row>
    <row r="231" spans="1:8">
      <c r="A231" s="184" t="s">
        <v>1363</v>
      </c>
      <c r="B231" s="184" t="s">
        <v>1804</v>
      </c>
      <c r="C231" s="184" t="s">
        <v>1805</v>
      </c>
      <c r="D231" s="184">
        <v>300</v>
      </c>
      <c r="E231" s="184" t="s">
        <v>1366</v>
      </c>
      <c r="F231" s="184" t="s">
        <v>1373</v>
      </c>
      <c r="G231" s="188"/>
      <c r="H231" s="184" t="s">
        <v>1393</v>
      </c>
    </row>
    <row r="232" spans="1:8">
      <c r="A232" s="184" t="s">
        <v>1363</v>
      </c>
      <c r="B232" s="184" t="s">
        <v>1806</v>
      </c>
      <c r="C232" s="184" t="s">
        <v>1807</v>
      </c>
      <c r="D232" s="184">
        <v>400</v>
      </c>
      <c r="E232" s="184" t="s">
        <v>1366</v>
      </c>
      <c r="F232" s="184" t="s">
        <v>1374</v>
      </c>
      <c r="G232" s="188"/>
      <c r="H232" s="184" t="s">
        <v>1393</v>
      </c>
    </row>
    <row r="233" spans="1:8">
      <c r="A233" s="184" t="s">
        <v>1363</v>
      </c>
      <c r="B233" s="184" t="s">
        <v>1808</v>
      </c>
      <c r="C233" s="184" t="s">
        <v>1809</v>
      </c>
      <c r="D233" s="184">
        <v>34</v>
      </c>
      <c r="E233" s="184" t="s">
        <v>1386</v>
      </c>
      <c r="F233" s="184" t="s">
        <v>1374</v>
      </c>
      <c r="G233" s="188"/>
      <c r="H233" s="184" t="s">
        <v>1390</v>
      </c>
    </row>
  </sheetData>
  <autoFilter xmlns:etc="http://www.wps.cn/officeDocument/2017/etCustomData" ref="A1:H233" etc:filterBottomFollowUsedRange="0">
    <sortState ref="A1:H233">
      <sortCondition ref="G1:G233"/>
    </sortState>
    <extLst/>
  </autoFilter>
  <mergeCells count="1">
    <mergeCell ref="K3:K4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2"/>
  <sheetViews>
    <sheetView zoomScale="145" zoomScaleNormal="145" topLeftCell="L77" workbookViewId="0">
      <selection activeCell="R92" sqref="A1:R92"/>
    </sheetView>
  </sheetViews>
  <sheetFormatPr defaultColWidth="9" defaultRowHeight="12.75"/>
  <cols>
    <col min="1" max="1" width="10.283185840708" style="161" customWidth="1"/>
    <col min="2" max="2" width="22.5752212389381" style="161" customWidth="1"/>
    <col min="3" max="3" width="17.4247787610619" style="161" customWidth="1"/>
    <col min="4" max="5" width="13.7079646017699" style="161" customWidth="1"/>
    <col min="6" max="6" width="19" style="161" customWidth="1"/>
    <col min="7" max="7" width="10.283185840708" style="161" customWidth="1"/>
    <col min="8" max="8" width="15.283185840708" style="161" customWidth="1"/>
    <col min="9" max="9" width="10" style="161" customWidth="1"/>
    <col min="10" max="10" width="15.283185840708" style="161" customWidth="1"/>
    <col min="11" max="11" width="10.7079646017699" style="162" customWidth="1"/>
    <col min="12" max="12" width="10" style="162" customWidth="1"/>
    <col min="13" max="13" width="19.4247787610619" style="161" customWidth="1"/>
    <col min="14" max="14" width="15.283185840708" style="161" customWidth="1"/>
    <col min="15" max="15" width="17.1327433628319" style="163" customWidth="1"/>
    <col min="16" max="17" width="14.283185840708" style="163" customWidth="1"/>
    <col min="18" max="18" width="13.7079646017699" style="161" customWidth="1"/>
    <col min="19" max="16384" width="9.13274336283186" style="161"/>
  </cols>
  <sheetData>
    <row r="1" spans="1:18">
      <c r="A1" s="164" t="s">
        <v>1151</v>
      </c>
      <c r="B1" s="164" t="s">
        <v>1810</v>
      </c>
      <c r="C1" s="165" t="s">
        <v>1811</v>
      </c>
      <c r="D1" s="165" t="s">
        <v>1812</v>
      </c>
      <c r="E1" s="165" t="s">
        <v>1813</v>
      </c>
      <c r="F1" s="164" t="s">
        <v>1814</v>
      </c>
      <c r="G1" s="164" t="s">
        <v>1815</v>
      </c>
      <c r="H1" s="165" t="s">
        <v>591</v>
      </c>
      <c r="I1" s="165" t="s">
        <v>1816</v>
      </c>
      <c r="J1" s="165" t="s">
        <v>1817</v>
      </c>
      <c r="K1" s="166" t="s">
        <v>1818</v>
      </c>
      <c r="L1" s="166" t="s">
        <v>1819</v>
      </c>
      <c r="M1" s="164" t="s">
        <v>1820</v>
      </c>
      <c r="N1" s="164" t="s">
        <v>1821</v>
      </c>
      <c r="O1" s="167" t="s">
        <v>1822</v>
      </c>
      <c r="P1" s="167" t="s">
        <v>1823</v>
      </c>
      <c r="Q1" s="167" t="s">
        <v>1824</v>
      </c>
      <c r="R1" s="165" t="s">
        <v>1825</v>
      </c>
    </row>
    <row r="2" spans="1:18">
      <c r="A2" s="168">
        <v>1</v>
      </c>
      <c r="B2" s="168" t="s">
        <v>1826</v>
      </c>
      <c r="C2" s="169" t="s">
        <v>1827</v>
      </c>
      <c r="D2" s="169" t="s">
        <v>1828</v>
      </c>
      <c r="E2" s="169" t="s">
        <v>1829</v>
      </c>
      <c r="F2" s="168" t="s">
        <v>1830</v>
      </c>
      <c r="G2" s="170" t="s">
        <v>1831</v>
      </c>
      <c r="H2" s="165" t="s">
        <v>106</v>
      </c>
      <c r="I2" s="165" t="s">
        <v>1832</v>
      </c>
      <c r="J2" s="165" t="s">
        <v>1833</v>
      </c>
      <c r="K2" s="166">
        <v>119.44923877716</v>
      </c>
      <c r="L2" s="166">
        <v>25.4407750158799</v>
      </c>
      <c r="M2" s="168">
        <v>1089</v>
      </c>
      <c r="N2" s="168" t="s">
        <v>1834</v>
      </c>
      <c r="O2" s="171">
        <v>39773</v>
      </c>
      <c r="P2" s="171">
        <v>41871</v>
      </c>
      <c r="Q2" s="171">
        <v>41962</v>
      </c>
      <c r="R2" s="165">
        <v>2014</v>
      </c>
    </row>
    <row r="3" spans="1:18">
      <c r="A3" s="170">
        <v>2</v>
      </c>
      <c r="B3" s="170" t="s">
        <v>1835</v>
      </c>
      <c r="C3" s="169" t="s">
        <v>1827</v>
      </c>
      <c r="D3" s="169" t="s">
        <v>1828</v>
      </c>
      <c r="E3" s="169" t="s">
        <v>1836</v>
      </c>
      <c r="F3" s="170" t="s">
        <v>1830</v>
      </c>
      <c r="G3" s="168" t="s">
        <v>1831</v>
      </c>
      <c r="H3" s="165" t="s">
        <v>106</v>
      </c>
      <c r="I3" s="165" t="s">
        <v>1832</v>
      </c>
      <c r="J3" s="165" t="s">
        <v>1833</v>
      </c>
      <c r="K3" s="166">
        <v>119.44923877716</v>
      </c>
      <c r="L3" s="166">
        <v>25.4407750158799</v>
      </c>
      <c r="M3" s="170">
        <v>1089</v>
      </c>
      <c r="N3" s="170" t="s">
        <v>1834</v>
      </c>
      <c r="O3" s="172">
        <v>39981</v>
      </c>
      <c r="P3" s="172">
        <v>42222</v>
      </c>
      <c r="Q3" s="172">
        <v>42293</v>
      </c>
      <c r="R3" s="165">
        <v>2015</v>
      </c>
    </row>
    <row r="4" spans="1:18">
      <c r="A4" s="168">
        <v>3</v>
      </c>
      <c r="B4" s="168" t="s">
        <v>1837</v>
      </c>
      <c r="C4" s="169" t="s">
        <v>1827</v>
      </c>
      <c r="D4" s="169" t="s">
        <v>1828</v>
      </c>
      <c r="E4" s="169" t="s">
        <v>1838</v>
      </c>
      <c r="F4" s="168" t="s">
        <v>1830</v>
      </c>
      <c r="G4" s="170" t="s">
        <v>1831</v>
      </c>
      <c r="H4" s="165" t="s">
        <v>106</v>
      </c>
      <c r="I4" s="165" t="s">
        <v>1832</v>
      </c>
      <c r="J4" s="165" t="s">
        <v>1833</v>
      </c>
      <c r="K4" s="166">
        <v>119.44923877716</v>
      </c>
      <c r="L4" s="166">
        <v>25.4407750158799</v>
      </c>
      <c r="M4" s="168">
        <v>1089</v>
      </c>
      <c r="N4" s="168" t="s">
        <v>1834</v>
      </c>
      <c r="O4" s="171">
        <v>40543</v>
      </c>
      <c r="P4" s="171">
        <v>42620</v>
      </c>
      <c r="Q4" s="171">
        <v>42667</v>
      </c>
      <c r="R4" s="165">
        <v>2016</v>
      </c>
    </row>
    <row r="5" spans="1:18">
      <c r="A5" s="170">
        <v>4</v>
      </c>
      <c r="B5" s="170" t="s">
        <v>1839</v>
      </c>
      <c r="C5" s="169" t="s">
        <v>1827</v>
      </c>
      <c r="D5" s="169" t="s">
        <v>1828</v>
      </c>
      <c r="E5" s="169" t="s">
        <v>1840</v>
      </c>
      <c r="F5" s="170" t="s">
        <v>1830</v>
      </c>
      <c r="G5" s="168" t="s">
        <v>1831</v>
      </c>
      <c r="H5" s="165" t="s">
        <v>106</v>
      </c>
      <c r="I5" s="165" t="s">
        <v>1832</v>
      </c>
      <c r="J5" s="165" t="s">
        <v>1833</v>
      </c>
      <c r="K5" s="166">
        <v>119.44923877716</v>
      </c>
      <c r="L5" s="166">
        <v>25.4407750158799</v>
      </c>
      <c r="M5" s="170">
        <v>1089</v>
      </c>
      <c r="N5" s="170" t="s">
        <v>1834</v>
      </c>
      <c r="O5" s="172">
        <v>41230</v>
      </c>
      <c r="P5" s="172">
        <v>42945</v>
      </c>
      <c r="Q5" s="172">
        <v>42995</v>
      </c>
      <c r="R5" s="165">
        <v>2017</v>
      </c>
    </row>
    <row r="6" spans="1:18">
      <c r="A6" s="168">
        <v>5</v>
      </c>
      <c r="B6" s="168" t="s">
        <v>1841</v>
      </c>
      <c r="C6" s="169" t="s">
        <v>1827</v>
      </c>
      <c r="D6" s="169" t="s">
        <v>1828</v>
      </c>
      <c r="E6" s="169" t="s">
        <v>1842</v>
      </c>
      <c r="F6" s="168" t="s">
        <v>1843</v>
      </c>
      <c r="G6" s="170" t="s">
        <v>1831</v>
      </c>
      <c r="H6" s="165" t="s">
        <v>106</v>
      </c>
      <c r="I6" s="165" t="s">
        <v>1832</v>
      </c>
      <c r="J6" s="165" t="s">
        <v>1833</v>
      </c>
      <c r="K6" s="166">
        <v>119.44923877716</v>
      </c>
      <c r="L6" s="166">
        <v>25.4407750158799</v>
      </c>
      <c r="M6" s="168">
        <v>1161</v>
      </c>
      <c r="N6" s="168" t="s">
        <v>1834</v>
      </c>
      <c r="O6" s="171">
        <v>42131</v>
      </c>
      <c r="P6" s="171">
        <v>44162</v>
      </c>
      <c r="Q6" s="171">
        <v>44225</v>
      </c>
      <c r="R6" s="165">
        <v>2020</v>
      </c>
    </row>
    <row r="7" spans="1:18">
      <c r="A7" s="170">
        <v>6</v>
      </c>
      <c r="B7" s="170" t="s">
        <v>1844</v>
      </c>
      <c r="C7" s="169" t="s">
        <v>1827</v>
      </c>
      <c r="D7" s="169" t="s">
        <v>1828</v>
      </c>
      <c r="E7" s="169" t="s">
        <v>1845</v>
      </c>
      <c r="F7" s="170" t="s">
        <v>1843</v>
      </c>
      <c r="G7" s="168" t="s">
        <v>1831</v>
      </c>
      <c r="H7" s="165" t="s">
        <v>106</v>
      </c>
      <c r="I7" s="165" t="s">
        <v>1832</v>
      </c>
      <c r="J7" s="165" t="s">
        <v>1833</v>
      </c>
      <c r="K7" s="166">
        <v>119.44923877716</v>
      </c>
      <c r="L7" s="166">
        <v>25.4407750158799</v>
      </c>
      <c r="M7" s="170">
        <v>1161</v>
      </c>
      <c r="N7" s="170" t="s">
        <v>1834</v>
      </c>
      <c r="O7" s="172">
        <v>42360</v>
      </c>
      <c r="P7" s="172">
        <v>44562</v>
      </c>
      <c r="Q7" s="172">
        <v>44562</v>
      </c>
      <c r="R7" s="165">
        <v>2022</v>
      </c>
    </row>
    <row r="8" spans="1:18">
      <c r="A8" s="168">
        <v>7</v>
      </c>
      <c r="B8" s="168" t="s">
        <v>1846</v>
      </c>
      <c r="C8" s="169" t="s">
        <v>1847</v>
      </c>
      <c r="D8" s="169" t="s">
        <v>1828</v>
      </c>
      <c r="E8" s="169" t="s">
        <v>1829</v>
      </c>
      <c r="F8" s="168" t="s">
        <v>1848</v>
      </c>
      <c r="G8" s="170" t="s">
        <v>1831</v>
      </c>
      <c r="H8" s="165" t="s">
        <v>106</v>
      </c>
      <c r="I8" s="165" t="s">
        <v>1849</v>
      </c>
      <c r="J8" s="165" t="s">
        <v>1850</v>
      </c>
      <c r="K8" s="166">
        <v>120.2846006</v>
      </c>
      <c r="L8" s="166">
        <v>27.0425839</v>
      </c>
      <c r="M8" s="168">
        <v>1089</v>
      </c>
      <c r="N8" s="168" t="s">
        <v>1851</v>
      </c>
      <c r="O8" s="171">
        <v>39496</v>
      </c>
      <c r="P8" s="171">
        <v>41271</v>
      </c>
      <c r="Q8" s="171">
        <v>41379</v>
      </c>
      <c r="R8" s="165">
        <v>2012</v>
      </c>
    </row>
    <row r="9" spans="1:18">
      <c r="A9" s="170">
        <v>8</v>
      </c>
      <c r="B9" s="170" t="s">
        <v>1852</v>
      </c>
      <c r="C9" s="169" t="s">
        <v>1847</v>
      </c>
      <c r="D9" s="169" t="s">
        <v>1828</v>
      </c>
      <c r="E9" s="169" t="s">
        <v>1836</v>
      </c>
      <c r="F9" s="170" t="s">
        <v>1848</v>
      </c>
      <c r="G9" s="168" t="s">
        <v>1831</v>
      </c>
      <c r="H9" s="165" t="s">
        <v>106</v>
      </c>
      <c r="I9" s="165" t="s">
        <v>1849</v>
      </c>
      <c r="J9" s="165" t="s">
        <v>1850</v>
      </c>
      <c r="K9" s="166">
        <v>120.2846006</v>
      </c>
      <c r="L9" s="166">
        <v>27.0425839</v>
      </c>
      <c r="M9" s="170">
        <v>1089</v>
      </c>
      <c r="N9" s="170" t="s">
        <v>1851</v>
      </c>
      <c r="O9" s="172">
        <v>39764</v>
      </c>
      <c r="P9" s="172">
        <v>41643</v>
      </c>
      <c r="Q9" s="172">
        <v>41763</v>
      </c>
      <c r="R9" s="165">
        <v>2014</v>
      </c>
    </row>
    <row r="10" spans="1:18">
      <c r="A10" s="168">
        <v>9</v>
      </c>
      <c r="B10" s="168" t="s">
        <v>1853</v>
      </c>
      <c r="C10" s="169" t="s">
        <v>1847</v>
      </c>
      <c r="D10" s="169" t="s">
        <v>1828</v>
      </c>
      <c r="E10" s="169" t="s">
        <v>1838</v>
      </c>
      <c r="F10" s="168" t="s">
        <v>1848</v>
      </c>
      <c r="G10" s="170" t="s">
        <v>1831</v>
      </c>
      <c r="H10" s="165" t="s">
        <v>106</v>
      </c>
      <c r="I10" s="165" t="s">
        <v>1849</v>
      </c>
      <c r="J10" s="165" t="s">
        <v>1850</v>
      </c>
      <c r="K10" s="166">
        <v>120.2846006</v>
      </c>
      <c r="L10" s="166">
        <v>27.0425839</v>
      </c>
      <c r="M10" s="168">
        <v>1089</v>
      </c>
      <c r="N10" s="168" t="s">
        <v>1851</v>
      </c>
      <c r="O10" s="171">
        <v>40186</v>
      </c>
      <c r="P10" s="171">
        <v>42084</v>
      </c>
      <c r="Q10" s="171">
        <v>42165</v>
      </c>
      <c r="R10" s="165">
        <v>2015</v>
      </c>
    </row>
    <row r="11" spans="1:18">
      <c r="A11" s="170">
        <v>10</v>
      </c>
      <c r="B11" s="170" t="s">
        <v>1854</v>
      </c>
      <c r="C11" s="169" t="s">
        <v>1847</v>
      </c>
      <c r="D11" s="169" t="s">
        <v>1828</v>
      </c>
      <c r="E11" s="169" t="s">
        <v>1840</v>
      </c>
      <c r="F11" s="170" t="s">
        <v>1848</v>
      </c>
      <c r="G11" s="168" t="s">
        <v>1831</v>
      </c>
      <c r="H11" s="165" t="s">
        <v>106</v>
      </c>
      <c r="I11" s="165" t="s">
        <v>1849</v>
      </c>
      <c r="J11" s="165" t="s">
        <v>1850</v>
      </c>
      <c r="K11" s="166">
        <v>120.2846006</v>
      </c>
      <c r="L11" s="166">
        <v>27.0425839</v>
      </c>
      <c r="M11" s="170">
        <v>1089</v>
      </c>
      <c r="N11" s="170" t="s">
        <v>1851</v>
      </c>
      <c r="O11" s="172">
        <v>40450</v>
      </c>
      <c r="P11" s="172">
        <v>42458</v>
      </c>
      <c r="Q11" s="172">
        <v>42572</v>
      </c>
      <c r="R11" s="165">
        <v>2016</v>
      </c>
    </row>
    <row r="12" spans="1:18">
      <c r="A12" s="168">
        <v>11</v>
      </c>
      <c r="B12" s="170" t="s">
        <v>1855</v>
      </c>
      <c r="C12" s="165" t="s">
        <v>1856</v>
      </c>
      <c r="D12" s="169" t="s">
        <v>1828</v>
      </c>
      <c r="E12" s="169" t="s">
        <v>1829</v>
      </c>
      <c r="F12" s="170" t="s">
        <v>1857</v>
      </c>
      <c r="G12" s="170" t="s">
        <v>633</v>
      </c>
      <c r="H12" s="165" t="s">
        <v>106</v>
      </c>
      <c r="I12" s="165" t="s">
        <v>1849</v>
      </c>
      <c r="J12" s="165" t="s">
        <v>1858</v>
      </c>
      <c r="K12" s="166">
        <v>120.1526911</v>
      </c>
      <c r="L12" s="166">
        <v>26.80127</v>
      </c>
      <c r="M12" s="170">
        <v>600</v>
      </c>
      <c r="N12" s="170" t="s">
        <v>1834</v>
      </c>
      <c r="O12" s="172">
        <v>43098</v>
      </c>
      <c r="P12" s="172"/>
      <c r="Q12" s="172"/>
      <c r="R12" s="165">
        <v>2023</v>
      </c>
    </row>
    <row r="13" spans="1:18">
      <c r="A13" s="170">
        <v>12</v>
      </c>
      <c r="B13" s="168" t="s">
        <v>1859</v>
      </c>
      <c r="C13" s="165" t="s">
        <v>1856</v>
      </c>
      <c r="D13" s="169" t="s">
        <v>1828</v>
      </c>
      <c r="E13" s="169" t="s">
        <v>1836</v>
      </c>
      <c r="F13" s="168" t="s">
        <v>1857</v>
      </c>
      <c r="G13" s="168" t="s">
        <v>633</v>
      </c>
      <c r="H13" s="165" t="s">
        <v>106</v>
      </c>
      <c r="I13" s="165" t="s">
        <v>1849</v>
      </c>
      <c r="J13" s="165" t="s">
        <v>1858</v>
      </c>
      <c r="K13" s="166">
        <v>120.1526911</v>
      </c>
      <c r="L13" s="166">
        <v>26.80127</v>
      </c>
      <c r="M13" s="168">
        <v>600</v>
      </c>
      <c r="N13" s="168" t="s">
        <v>1834</v>
      </c>
      <c r="O13" s="171">
        <v>44192</v>
      </c>
      <c r="P13" s="171"/>
      <c r="Q13" s="171"/>
      <c r="R13" s="165">
        <v>2026</v>
      </c>
    </row>
    <row r="14" spans="1:18">
      <c r="A14" s="168">
        <v>13</v>
      </c>
      <c r="B14" s="170" t="s">
        <v>1860</v>
      </c>
      <c r="C14" s="165" t="s">
        <v>1861</v>
      </c>
      <c r="D14" s="169" t="s">
        <v>1828</v>
      </c>
      <c r="E14" s="169" t="s">
        <v>1829</v>
      </c>
      <c r="F14" s="170" t="s">
        <v>1843</v>
      </c>
      <c r="G14" s="170" t="s">
        <v>633</v>
      </c>
      <c r="H14" s="165" t="s">
        <v>106</v>
      </c>
      <c r="I14" s="165" t="s">
        <v>1862</v>
      </c>
      <c r="J14" s="165" t="s">
        <v>1863</v>
      </c>
      <c r="K14" s="166">
        <v>117.4913999</v>
      </c>
      <c r="L14" s="166">
        <v>23.8307232</v>
      </c>
      <c r="M14" s="170">
        <v>1212</v>
      </c>
      <c r="N14" s="170" t="s">
        <v>1834</v>
      </c>
      <c r="O14" s="172">
        <v>43754</v>
      </c>
      <c r="P14" s="172"/>
      <c r="Q14" s="172"/>
      <c r="R14" s="165">
        <v>2024</v>
      </c>
    </row>
    <row r="15" spans="1:18">
      <c r="A15" s="170">
        <v>14</v>
      </c>
      <c r="B15" s="168" t="s">
        <v>1864</v>
      </c>
      <c r="C15" s="165" t="s">
        <v>1861</v>
      </c>
      <c r="D15" s="169" t="s">
        <v>1828</v>
      </c>
      <c r="E15" s="169" t="s">
        <v>1836</v>
      </c>
      <c r="F15" s="168" t="s">
        <v>1843</v>
      </c>
      <c r="G15" s="168" t="s">
        <v>633</v>
      </c>
      <c r="H15" s="165" t="s">
        <v>106</v>
      </c>
      <c r="I15" s="165" t="s">
        <v>1862</v>
      </c>
      <c r="J15" s="165" t="s">
        <v>1863</v>
      </c>
      <c r="K15" s="166">
        <v>117.4913999</v>
      </c>
      <c r="L15" s="166">
        <v>23.8307232</v>
      </c>
      <c r="M15" s="168">
        <v>1212</v>
      </c>
      <c r="N15" s="168" t="s">
        <v>1834</v>
      </c>
      <c r="O15" s="171">
        <v>44078</v>
      </c>
      <c r="P15" s="171"/>
      <c r="Q15" s="171"/>
      <c r="R15" s="165">
        <v>2025</v>
      </c>
    </row>
    <row r="16" spans="1:18">
      <c r="A16" s="168">
        <v>15</v>
      </c>
      <c r="B16" s="170" t="s">
        <v>1865</v>
      </c>
      <c r="C16" s="165" t="s">
        <v>1861</v>
      </c>
      <c r="D16" s="169" t="s">
        <v>1866</v>
      </c>
      <c r="E16" s="169" t="s">
        <v>1838</v>
      </c>
      <c r="F16" s="170" t="s">
        <v>1843</v>
      </c>
      <c r="G16" s="170" t="s">
        <v>1867</v>
      </c>
      <c r="H16" s="165" t="s">
        <v>106</v>
      </c>
      <c r="I16" s="165" t="s">
        <v>1862</v>
      </c>
      <c r="J16" s="165" t="s">
        <v>1863</v>
      </c>
      <c r="K16" s="166">
        <v>117.4913999</v>
      </c>
      <c r="L16" s="166">
        <v>23.8307232</v>
      </c>
      <c r="M16" s="170">
        <v>1212</v>
      </c>
      <c r="N16" s="170" t="s">
        <v>1834</v>
      </c>
      <c r="O16" s="172" t="s">
        <v>1868</v>
      </c>
      <c r="P16" s="172"/>
      <c r="Q16" s="172"/>
      <c r="R16" s="165"/>
    </row>
    <row r="17" spans="1:18">
      <c r="A17" s="170">
        <v>16</v>
      </c>
      <c r="B17" s="168" t="s">
        <v>1869</v>
      </c>
      <c r="C17" s="165" t="s">
        <v>1861</v>
      </c>
      <c r="D17" s="169" t="s">
        <v>1866</v>
      </c>
      <c r="E17" s="169" t="s">
        <v>1840</v>
      </c>
      <c r="F17" s="168" t="s">
        <v>1843</v>
      </c>
      <c r="G17" s="168" t="s">
        <v>1867</v>
      </c>
      <c r="H17" s="165" t="s">
        <v>106</v>
      </c>
      <c r="I17" s="165" t="s">
        <v>1862</v>
      </c>
      <c r="J17" s="165" t="s">
        <v>1863</v>
      </c>
      <c r="K17" s="166">
        <v>117.4913999</v>
      </c>
      <c r="L17" s="166">
        <v>23.8307232</v>
      </c>
      <c r="M17" s="168">
        <v>1212</v>
      </c>
      <c r="N17" s="168" t="s">
        <v>1834</v>
      </c>
      <c r="O17" s="172" t="s">
        <v>1868</v>
      </c>
      <c r="P17" s="171"/>
      <c r="Q17" s="171"/>
      <c r="R17" s="165">
        <v>2028</v>
      </c>
    </row>
    <row r="18" spans="1:18">
      <c r="A18" s="168">
        <v>17</v>
      </c>
      <c r="B18" s="168" t="s">
        <v>1870</v>
      </c>
      <c r="C18" s="169" t="s">
        <v>1871</v>
      </c>
      <c r="D18" s="169" t="s">
        <v>1828</v>
      </c>
      <c r="E18" s="169" t="s">
        <v>1829</v>
      </c>
      <c r="F18" s="168" t="s">
        <v>1872</v>
      </c>
      <c r="G18" s="170" t="s">
        <v>1831</v>
      </c>
      <c r="H18" s="165" t="s">
        <v>118</v>
      </c>
      <c r="I18" s="165" t="s">
        <v>1873</v>
      </c>
      <c r="J18" s="165" t="s">
        <v>1874</v>
      </c>
      <c r="K18" s="166">
        <v>114.5446691</v>
      </c>
      <c r="L18" s="166">
        <v>22.5967728</v>
      </c>
      <c r="M18" s="168">
        <v>984</v>
      </c>
      <c r="N18" s="168" t="s">
        <v>1851</v>
      </c>
      <c r="O18" s="171">
        <v>31996</v>
      </c>
      <c r="P18" s="171">
        <v>34212</v>
      </c>
      <c r="Q18" s="171">
        <v>34366</v>
      </c>
      <c r="R18" s="165">
        <v>1993</v>
      </c>
    </row>
    <row r="19" spans="1:18">
      <c r="A19" s="170">
        <v>18</v>
      </c>
      <c r="B19" s="170" t="s">
        <v>1875</v>
      </c>
      <c r="C19" s="169" t="s">
        <v>1871</v>
      </c>
      <c r="D19" s="169" t="s">
        <v>1828</v>
      </c>
      <c r="E19" s="169" t="s">
        <v>1836</v>
      </c>
      <c r="F19" s="170" t="s">
        <v>1872</v>
      </c>
      <c r="G19" s="168" t="s">
        <v>1831</v>
      </c>
      <c r="H19" s="165" t="s">
        <v>118</v>
      </c>
      <c r="I19" s="165" t="s">
        <v>1873</v>
      </c>
      <c r="J19" s="165" t="s">
        <v>1874</v>
      </c>
      <c r="K19" s="166">
        <v>114.5446691</v>
      </c>
      <c r="L19" s="166">
        <v>22.5967728</v>
      </c>
      <c r="M19" s="170">
        <v>984</v>
      </c>
      <c r="N19" s="170" t="s">
        <v>1851</v>
      </c>
      <c r="O19" s="172">
        <v>32240</v>
      </c>
      <c r="P19" s="172">
        <v>34372</v>
      </c>
      <c r="Q19" s="172">
        <v>34460</v>
      </c>
      <c r="R19" s="165">
        <v>1994</v>
      </c>
    </row>
    <row r="20" spans="1:18">
      <c r="A20" s="168">
        <v>19</v>
      </c>
      <c r="B20" s="168" t="s">
        <v>1876</v>
      </c>
      <c r="C20" s="169" t="s">
        <v>1877</v>
      </c>
      <c r="D20" s="169" t="s">
        <v>1828</v>
      </c>
      <c r="E20" s="169" t="s">
        <v>1829</v>
      </c>
      <c r="F20" s="168" t="s">
        <v>1872</v>
      </c>
      <c r="G20" s="170" t="s">
        <v>1831</v>
      </c>
      <c r="H20" s="165" t="s">
        <v>118</v>
      </c>
      <c r="I20" s="165" t="s">
        <v>1873</v>
      </c>
      <c r="J20" s="165" t="s">
        <v>1874</v>
      </c>
      <c r="K20" s="166">
        <v>114.5530613</v>
      </c>
      <c r="L20" s="166">
        <v>22.6061383</v>
      </c>
      <c r="M20" s="168">
        <v>990</v>
      </c>
      <c r="N20" s="168" t="s">
        <v>1851</v>
      </c>
      <c r="O20" s="171">
        <v>35565</v>
      </c>
      <c r="P20" s="171">
        <v>37313</v>
      </c>
      <c r="Q20" s="171">
        <v>37404</v>
      </c>
      <c r="R20" s="165">
        <v>2002</v>
      </c>
    </row>
    <row r="21" spans="1:18">
      <c r="A21" s="170">
        <v>20</v>
      </c>
      <c r="B21" s="170" t="s">
        <v>1878</v>
      </c>
      <c r="C21" s="169" t="s">
        <v>1877</v>
      </c>
      <c r="D21" s="169" t="s">
        <v>1828</v>
      </c>
      <c r="E21" s="169" t="s">
        <v>1836</v>
      </c>
      <c r="F21" s="170" t="s">
        <v>1872</v>
      </c>
      <c r="G21" s="168" t="s">
        <v>1831</v>
      </c>
      <c r="H21" s="165" t="s">
        <v>118</v>
      </c>
      <c r="I21" s="165" t="s">
        <v>1873</v>
      </c>
      <c r="J21" s="165" t="s">
        <v>1874</v>
      </c>
      <c r="K21" s="166">
        <v>114.5530613</v>
      </c>
      <c r="L21" s="166">
        <v>22.6061383</v>
      </c>
      <c r="M21" s="170">
        <v>990</v>
      </c>
      <c r="N21" s="170" t="s">
        <v>1851</v>
      </c>
      <c r="O21" s="172">
        <v>35762</v>
      </c>
      <c r="P21" s="172">
        <v>37513</v>
      </c>
      <c r="Q21" s="172">
        <v>37629</v>
      </c>
      <c r="R21" s="165">
        <v>2002</v>
      </c>
    </row>
    <row r="22" spans="1:18">
      <c r="A22" s="168">
        <v>21</v>
      </c>
      <c r="B22" s="168" t="s">
        <v>1879</v>
      </c>
      <c r="C22" s="169" t="s">
        <v>1877</v>
      </c>
      <c r="D22" s="169" t="s">
        <v>1866</v>
      </c>
      <c r="E22" s="169" t="s">
        <v>1838</v>
      </c>
      <c r="F22" s="168" t="s">
        <v>1848</v>
      </c>
      <c r="G22" s="170" t="s">
        <v>1831</v>
      </c>
      <c r="H22" s="165" t="s">
        <v>118</v>
      </c>
      <c r="I22" s="165" t="s">
        <v>1873</v>
      </c>
      <c r="J22" s="165" t="s">
        <v>1874</v>
      </c>
      <c r="K22" s="166">
        <v>114.5530613</v>
      </c>
      <c r="L22" s="166">
        <v>22.6061383</v>
      </c>
      <c r="M22" s="168">
        <v>1086</v>
      </c>
      <c r="N22" s="168" t="s">
        <v>1851</v>
      </c>
      <c r="O22" s="171">
        <v>38701</v>
      </c>
      <c r="P22" s="171">
        <v>40374</v>
      </c>
      <c r="Q22" s="171">
        <v>40436</v>
      </c>
      <c r="R22" s="165">
        <v>2010</v>
      </c>
    </row>
    <row r="23" spans="1:18">
      <c r="A23" s="170">
        <v>22</v>
      </c>
      <c r="B23" s="170" t="s">
        <v>1880</v>
      </c>
      <c r="C23" s="169" t="s">
        <v>1877</v>
      </c>
      <c r="D23" s="169" t="s">
        <v>1866</v>
      </c>
      <c r="E23" s="169" t="s">
        <v>1840</v>
      </c>
      <c r="F23" s="170" t="s">
        <v>1848</v>
      </c>
      <c r="G23" s="168" t="s">
        <v>1831</v>
      </c>
      <c r="H23" s="165" t="s">
        <v>118</v>
      </c>
      <c r="I23" s="165" t="s">
        <v>1873</v>
      </c>
      <c r="J23" s="165" t="s">
        <v>1874</v>
      </c>
      <c r="K23" s="166">
        <v>114.5530613</v>
      </c>
      <c r="L23" s="166">
        <v>22.6061383</v>
      </c>
      <c r="M23" s="170">
        <v>1086</v>
      </c>
      <c r="N23" s="170" t="s">
        <v>1851</v>
      </c>
      <c r="O23" s="172">
        <v>38883</v>
      </c>
      <c r="P23" s="172">
        <v>40666</v>
      </c>
      <c r="Q23" s="172">
        <v>40762</v>
      </c>
      <c r="R23" s="165">
        <v>2011</v>
      </c>
    </row>
    <row r="24" spans="1:18">
      <c r="A24" s="168">
        <v>23</v>
      </c>
      <c r="B24" s="170" t="s">
        <v>1881</v>
      </c>
      <c r="C24" s="169" t="s">
        <v>1882</v>
      </c>
      <c r="D24" s="169" t="s">
        <v>1828</v>
      </c>
      <c r="E24" s="169" t="s">
        <v>1829</v>
      </c>
      <c r="F24" s="170" t="s">
        <v>1883</v>
      </c>
      <c r="G24" s="170" t="s">
        <v>1831</v>
      </c>
      <c r="H24" s="165" t="s">
        <v>118</v>
      </c>
      <c r="I24" s="165" t="s">
        <v>1884</v>
      </c>
      <c r="J24" s="165" t="s">
        <v>1885</v>
      </c>
      <c r="K24" s="166">
        <v>112.9820519</v>
      </c>
      <c r="L24" s="166">
        <v>21.9178825</v>
      </c>
      <c r="M24" s="170">
        <v>1750</v>
      </c>
      <c r="N24" s="170" t="s">
        <v>1851</v>
      </c>
      <c r="O24" s="172">
        <v>40135</v>
      </c>
      <c r="P24" s="172">
        <v>43280</v>
      </c>
      <c r="Q24" s="172">
        <v>43447</v>
      </c>
      <c r="R24" s="165">
        <v>2018</v>
      </c>
    </row>
    <row r="25" spans="1:18">
      <c r="A25" s="170">
        <v>24</v>
      </c>
      <c r="B25" s="168" t="s">
        <v>1886</v>
      </c>
      <c r="C25" s="169" t="s">
        <v>1882</v>
      </c>
      <c r="D25" s="169" t="s">
        <v>1828</v>
      </c>
      <c r="E25" s="169" t="s">
        <v>1836</v>
      </c>
      <c r="F25" s="168" t="s">
        <v>1883</v>
      </c>
      <c r="G25" s="168" t="s">
        <v>1831</v>
      </c>
      <c r="H25" s="165" t="s">
        <v>118</v>
      </c>
      <c r="I25" s="165" t="s">
        <v>1884</v>
      </c>
      <c r="J25" s="165" t="s">
        <v>1885</v>
      </c>
      <c r="K25" s="166">
        <v>112.9820519</v>
      </c>
      <c r="L25" s="166">
        <v>21.9178825</v>
      </c>
      <c r="M25" s="168">
        <v>1750</v>
      </c>
      <c r="N25" s="168" t="s">
        <v>1851</v>
      </c>
      <c r="O25" s="171">
        <v>40283</v>
      </c>
      <c r="P25" s="171">
        <v>43639</v>
      </c>
      <c r="Q25" s="171">
        <v>43715</v>
      </c>
      <c r="R25" s="165">
        <v>2019</v>
      </c>
    </row>
    <row r="26" spans="1:18">
      <c r="A26" s="168">
        <v>25</v>
      </c>
      <c r="B26" s="170" t="s">
        <v>1887</v>
      </c>
      <c r="C26" s="165" t="s">
        <v>1888</v>
      </c>
      <c r="D26" s="169" t="s">
        <v>1828</v>
      </c>
      <c r="E26" s="169" t="s">
        <v>1829</v>
      </c>
      <c r="F26" s="170" t="s">
        <v>1843</v>
      </c>
      <c r="G26" s="170" t="s">
        <v>633</v>
      </c>
      <c r="H26" s="165" t="s">
        <v>118</v>
      </c>
      <c r="I26" s="165" t="s">
        <v>1889</v>
      </c>
      <c r="J26" s="165" t="s">
        <v>1890</v>
      </c>
      <c r="K26" s="166">
        <v>114.9844541</v>
      </c>
      <c r="L26" s="166">
        <v>22.6929774</v>
      </c>
      <c r="M26" s="170">
        <v>1202</v>
      </c>
      <c r="N26" s="170" t="s">
        <v>1851</v>
      </c>
      <c r="O26" s="172">
        <v>43825</v>
      </c>
      <c r="P26" s="172"/>
      <c r="Q26" s="172"/>
      <c r="R26" s="165">
        <v>2025</v>
      </c>
    </row>
    <row r="27" spans="1:18">
      <c r="A27" s="170">
        <v>26</v>
      </c>
      <c r="B27" s="168" t="s">
        <v>1891</v>
      </c>
      <c r="C27" s="165" t="s">
        <v>1888</v>
      </c>
      <c r="D27" s="169" t="s">
        <v>1828</v>
      </c>
      <c r="E27" s="169" t="s">
        <v>1836</v>
      </c>
      <c r="F27" s="168" t="s">
        <v>1843</v>
      </c>
      <c r="G27" s="168" t="s">
        <v>633</v>
      </c>
      <c r="H27" s="165" t="s">
        <v>118</v>
      </c>
      <c r="I27" s="165" t="s">
        <v>1889</v>
      </c>
      <c r="J27" s="165" t="s">
        <v>1890</v>
      </c>
      <c r="K27" s="166">
        <v>114.9844541</v>
      </c>
      <c r="L27" s="166">
        <v>22.6929774</v>
      </c>
      <c r="M27" s="168">
        <v>1202</v>
      </c>
      <c r="N27" s="168" t="s">
        <v>1851</v>
      </c>
      <c r="O27" s="171">
        <v>44119</v>
      </c>
      <c r="P27" s="171"/>
      <c r="Q27" s="171"/>
      <c r="R27" s="165">
        <v>2026</v>
      </c>
    </row>
    <row r="28" spans="1:18">
      <c r="A28" s="168">
        <v>27</v>
      </c>
      <c r="B28" s="173" t="s">
        <v>1892</v>
      </c>
      <c r="C28" s="174" t="s">
        <v>1893</v>
      </c>
      <c r="D28" s="174" t="s">
        <v>1828</v>
      </c>
      <c r="E28" s="174" t="s">
        <v>1829</v>
      </c>
      <c r="F28" s="173" t="s">
        <v>1848</v>
      </c>
      <c r="G28" s="173" t="s">
        <v>1831</v>
      </c>
      <c r="H28" s="165" t="str">
        <f>VLOOKUP($C28,[2]电厂名单!$A$2:$G$26,2,FALSE)</f>
        <v>广东省</v>
      </c>
      <c r="I28" s="165" t="str">
        <f>VLOOKUP($C28,[2]电厂名单!$A$2:$G$26,3,FALSE)</f>
        <v>阳江市</v>
      </c>
      <c r="J28" s="165" t="str">
        <f>VLOOKUP($C28,[2]电厂名单!$A$2:$G$26,4,FALSE)</f>
        <v>阳东县</v>
      </c>
      <c r="K28" s="175">
        <f>VLOOKUP($C28,[2]电厂名单!$A$2:$G$26,6,FALSE)</f>
        <v>112.2595573</v>
      </c>
      <c r="L28" s="175">
        <f>VLOOKUP($C28,[2]电厂名单!$A$2:$G$26,7,FALSE)</f>
        <v>21.7075933</v>
      </c>
      <c r="M28" s="173">
        <v>1086</v>
      </c>
      <c r="N28" s="173" t="s">
        <v>1851</v>
      </c>
      <c r="O28" s="176" t="s">
        <v>1894</v>
      </c>
      <c r="P28" s="176" t="s">
        <v>1895</v>
      </c>
      <c r="Q28" s="176" t="s">
        <v>1896</v>
      </c>
      <c r="R28" s="165">
        <v>2013</v>
      </c>
    </row>
    <row r="29" spans="1:18">
      <c r="A29" s="170">
        <v>28</v>
      </c>
      <c r="B29" s="177" t="s">
        <v>1897</v>
      </c>
      <c r="C29" s="174" t="s">
        <v>1893</v>
      </c>
      <c r="D29" s="174" t="s">
        <v>1828</v>
      </c>
      <c r="E29" s="174" t="s">
        <v>1836</v>
      </c>
      <c r="F29" s="177" t="s">
        <v>1848</v>
      </c>
      <c r="G29" s="177" t="s">
        <v>1831</v>
      </c>
      <c r="H29" s="165" t="str">
        <f>VLOOKUP($C29,[2]电厂名单!$A$2:$G$26,2,FALSE)</f>
        <v>广东省</v>
      </c>
      <c r="I29" s="165" t="str">
        <f>VLOOKUP($C29,[2]电厂名单!$A$2:$G$26,3,FALSE)</f>
        <v>阳江市</v>
      </c>
      <c r="J29" s="165" t="str">
        <f>VLOOKUP($C29,[2]电厂名单!$A$2:$G$26,4,FALSE)</f>
        <v>阳东县</v>
      </c>
      <c r="K29" s="175">
        <f>VLOOKUP($C29,[2]电厂名单!$A$2:$G$26,6,FALSE)</f>
        <v>112.2595573</v>
      </c>
      <c r="L29" s="175">
        <f>VLOOKUP($C29,[2]电厂名单!$A$2:$G$26,7,FALSE)</f>
        <v>21.7075933</v>
      </c>
      <c r="M29" s="177">
        <v>1086</v>
      </c>
      <c r="N29" s="177" t="s">
        <v>1851</v>
      </c>
      <c r="O29" s="178" t="s">
        <v>1898</v>
      </c>
      <c r="P29" s="178" t="s">
        <v>1899</v>
      </c>
      <c r="Q29" s="178" t="s">
        <v>1900</v>
      </c>
      <c r="R29" s="165">
        <v>2015</v>
      </c>
    </row>
    <row r="30" spans="1:18">
      <c r="A30" s="168">
        <v>29</v>
      </c>
      <c r="B30" s="173" t="s">
        <v>1901</v>
      </c>
      <c r="C30" s="174" t="s">
        <v>1893</v>
      </c>
      <c r="D30" s="174" t="s">
        <v>1828</v>
      </c>
      <c r="E30" s="174" t="s">
        <v>1838</v>
      </c>
      <c r="F30" s="173" t="s">
        <v>1848</v>
      </c>
      <c r="G30" s="173" t="s">
        <v>1831</v>
      </c>
      <c r="H30" s="165" t="str">
        <f>VLOOKUP($C30,[2]电厂名单!$A$2:$G$26,2,FALSE)</f>
        <v>广东省</v>
      </c>
      <c r="I30" s="165" t="str">
        <f>VLOOKUP($C30,[2]电厂名单!$A$2:$G$26,3,FALSE)</f>
        <v>阳江市</v>
      </c>
      <c r="J30" s="165" t="str">
        <f>VLOOKUP($C30,[2]电厂名单!$A$2:$G$26,4,FALSE)</f>
        <v>阳东县</v>
      </c>
      <c r="K30" s="175">
        <f>VLOOKUP($C30,[2]电厂名单!$A$2:$G$26,6,FALSE)</f>
        <v>112.2595573</v>
      </c>
      <c r="L30" s="175">
        <f>VLOOKUP($C30,[2]电厂名单!$A$2:$G$26,7,FALSE)</f>
        <v>21.7075933</v>
      </c>
      <c r="M30" s="173">
        <v>1086</v>
      </c>
      <c r="N30" s="173" t="s">
        <v>1851</v>
      </c>
      <c r="O30" s="176" t="s">
        <v>1902</v>
      </c>
      <c r="P30" s="176" t="s">
        <v>1903</v>
      </c>
      <c r="Q30" s="176" t="s">
        <v>1904</v>
      </c>
      <c r="R30" s="165">
        <v>2015</v>
      </c>
    </row>
    <row r="31" spans="1:18">
      <c r="A31" s="170">
        <v>30</v>
      </c>
      <c r="B31" s="177" t="s">
        <v>1905</v>
      </c>
      <c r="C31" s="174" t="s">
        <v>1893</v>
      </c>
      <c r="D31" s="174" t="s">
        <v>1828</v>
      </c>
      <c r="E31" s="174" t="s">
        <v>1840</v>
      </c>
      <c r="F31" s="177" t="s">
        <v>1848</v>
      </c>
      <c r="G31" s="177" t="s">
        <v>1831</v>
      </c>
      <c r="H31" s="165" t="str">
        <f>VLOOKUP($C31,[2]电厂名单!$A$2:$G$26,2,FALSE)</f>
        <v>广东省</v>
      </c>
      <c r="I31" s="165" t="str">
        <f>VLOOKUP($C31,[2]电厂名单!$A$2:$G$26,3,FALSE)</f>
        <v>阳江市</v>
      </c>
      <c r="J31" s="165" t="str">
        <f>VLOOKUP($C31,[2]电厂名单!$A$2:$G$26,4,FALSE)</f>
        <v>阳东县</v>
      </c>
      <c r="K31" s="175">
        <f>VLOOKUP($C31,[2]电厂名单!$A$2:$G$26,6,FALSE)</f>
        <v>112.2595573</v>
      </c>
      <c r="L31" s="175">
        <f>VLOOKUP($C31,[2]电厂名单!$A$2:$G$26,7,FALSE)</f>
        <v>21.7075933</v>
      </c>
      <c r="M31" s="177">
        <v>1086</v>
      </c>
      <c r="N31" s="177" t="s">
        <v>1851</v>
      </c>
      <c r="O31" s="178" t="s">
        <v>1906</v>
      </c>
      <c r="P31" s="178" t="s">
        <v>1907</v>
      </c>
      <c r="Q31" s="178" t="s">
        <v>1908</v>
      </c>
      <c r="R31" s="165">
        <v>2017</v>
      </c>
    </row>
    <row r="32" spans="1:18">
      <c r="A32" s="168">
        <v>31</v>
      </c>
      <c r="B32" s="173" t="s">
        <v>1909</v>
      </c>
      <c r="C32" s="174" t="s">
        <v>1893</v>
      </c>
      <c r="D32" s="174" t="s">
        <v>1828</v>
      </c>
      <c r="E32" s="174" t="s">
        <v>1842</v>
      </c>
      <c r="F32" s="173" t="s">
        <v>1910</v>
      </c>
      <c r="G32" s="173" t="s">
        <v>1831</v>
      </c>
      <c r="H32" s="165" t="str">
        <f>VLOOKUP($C32,[2]电厂名单!$A$2:$G$26,2,FALSE)</f>
        <v>广东省</v>
      </c>
      <c r="I32" s="165" t="str">
        <f>VLOOKUP($C32,[2]电厂名单!$A$2:$G$26,3,FALSE)</f>
        <v>阳江市</v>
      </c>
      <c r="J32" s="165" t="str">
        <f>VLOOKUP($C32,[2]电厂名单!$A$2:$G$26,4,FALSE)</f>
        <v>阳东县</v>
      </c>
      <c r="K32" s="175">
        <f>VLOOKUP($C32,[2]电厂名单!$A$2:$G$26,6,FALSE)</f>
        <v>112.2595573</v>
      </c>
      <c r="L32" s="175">
        <f>VLOOKUP($C32,[2]电厂名单!$A$2:$G$26,7,FALSE)</f>
        <v>21.7075933</v>
      </c>
      <c r="M32" s="173">
        <v>1086</v>
      </c>
      <c r="N32" s="173" t="s">
        <v>1851</v>
      </c>
      <c r="O32" s="176" t="s">
        <v>1911</v>
      </c>
      <c r="P32" s="176" t="s">
        <v>1912</v>
      </c>
      <c r="Q32" s="176" t="s">
        <v>1913</v>
      </c>
      <c r="R32" s="165">
        <v>2018</v>
      </c>
    </row>
    <row r="33" spans="1:18">
      <c r="A33" s="170">
        <v>32</v>
      </c>
      <c r="B33" s="177" t="s">
        <v>1914</v>
      </c>
      <c r="C33" s="174" t="s">
        <v>1893</v>
      </c>
      <c r="D33" s="174" t="s">
        <v>1828</v>
      </c>
      <c r="E33" s="174" t="s">
        <v>1845</v>
      </c>
      <c r="F33" s="177" t="s">
        <v>1910</v>
      </c>
      <c r="G33" s="177" t="s">
        <v>1831</v>
      </c>
      <c r="H33" s="165" t="str">
        <f>VLOOKUP($C33,[2]电厂名单!$A$2:$G$26,2,FALSE)</f>
        <v>广东省</v>
      </c>
      <c r="I33" s="165" t="str">
        <f>VLOOKUP($C33,[2]电厂名单!$A$2:$G$26,3,FALSE)</f>
        <v>阳江市</v>
      </c>
      <c r="J33" s="165" t="str">
        <f>VLOOKUP($C33,[2]电厂名单!$A$2:$G$26,4,FALSE)</f>
        <v>阳东县</v>
      </c>
      <c r="K33" s="175">
        <f>VLOOKUP($C33,[2]电厂名单!$A$2:$G$26,6,FALSE)</f>
        <v>112.2595573</v>
      </c>
      <c r="L33" s="175">
        <f>VLOOKUP($C33,[2]电厂名单!$A$2:$G$26,7,FALSE)</f>
        <v>21.7075933</v>
      </c>
      <c r="M33" s="177">
        <v>1086</v>
      </c>
      <c r="N33" s="177" t="s">
        <v>1851</v>
      </c>
      <c r="O33" s="178" t="s">
        <v>1915</v>
      </c>
      <c r="P33" s="178" t="s">
        <v>1916</v>
      </c>
      <c r="Q33" s="178" t="s">
        <v>1917</v>
      </c>
      <c r="R33" s="165">
        <v>2019</v>
      </c>
    </row>
    <row r="34" spans="1:18">
      <c r="A34" s="168">
        <v>33</v>
      </c>
      <c r="B34" s="173" t="s">
        <v>1860</v>
      </c>
      <c r="C34" s="179" t="s">
        <v>1861</v>
      </c>
      <c r="D34" s="174" t="s">
        <v>1828</v>
      </c>
      <c r="E34" s="174" t="s">
        <v>1829</v>
      </c>
      <c r="F34" s="173" t="s">
        <v>1843</v>
      </c>
      <c r="G34" s="173" t="s">
        <v>633</v>
      </c>
      <c r="H34" s="165" t="str">
        <f>VLOOKUP($C34,[2]电厂名单!$A$2:$G$26,2,FALSE)</f>
        <v>福建省</v>
      </c>
      <c r="I34" s="165" t="str">
        <f>VLOOKUP($C34,[2]电厂名单!$A$2:$G$26,3,FALSE)</f>
        <v>漳州市</v>
      </c>
      <c r="J34" s="165" t="str">
        <f>VLOOKUP($C34,[2]电厂名单!$A$2:$G$26,4,FALSE)</f>
        <v>东山县</v>
      </c>
      <c r="K34" s="175">
        <f>VLOOKUP($C34,[2]电厂名单!$A$2:$G$26,6,FALSE)</f>
        <v>117.4913999</v>
      </c>
      <c r="L34" s="175">
        <f>VLOOKUP($C34,[2]电厂名单!$A$2:$G$26,7,FALSE)</f>
        <v>23.8307232</v>
      </c>
      <c r="M34" s="173">
        <v>1212</v>
      </c>
      <c r="N34" s="173" t="s">
        <v>1834</v>
      </c>
      <c r="O34" s="176" t="s">
        <v>1918</v>
      </c>
      <c r="P34" s="176"/>
      <c r="Q34" s="176"/>
      <c r="R34" s="165">
        <v>2026</v>
      </c>
    </row>
    <row r="35" spans="1:18">
      <c r="A35" s="170">
        <v>34</v>
      </c>
      <c r="B35" s="177" t="s">
        <v>1864</v>
      </c>
      <c r="C35" s="179" t="s">
        <v>1861</v>
      </c>
      <c r="D35" s="174" t="s">
        <v>1828</v>
      </c>
      <c r="E35" s="174" t="s">
        <v>1836</v>
      </c>
      <c r="F35" s="177" t="s">
        <v>1843</v>
      </c>
      <c r="G35" s="177" t="s">
        <v>633</v>
      </c>
      <c r="H35" s="165" t="str">
        <f>VLOOKUP($C35,[2]电厂名单!$A$2:$G$26,2,FALSE)</f>
        <v>福建省</v>
      </c>
      <c r="I35" s="165" t="str">
        <f>VLOOKUP($C35,[2]电厂名单!$A$2:$G$26,3,FALSE)</f>
        <v>漳州市</v>
      </c>
      <c r="J35" s="165" t="str">
        <f>VLOOKUP($C35,[2]电厂名单!$A$2:$G$26,4,FALSE)</f>
        <v>东山县</v>
      </c>
      <c r="K35" s="175">
        <f>VLOOKUP($C35,[2]电厂名单!$A$2:$G$26,6,FALSE)</f>
        <v>117.4913999</v>
      </c>
      <c r="L35" s="175">
        <f>VLOOKUP($C35,[2]电厂名单!$A$2:$G$26,7,FALSE)</f>
        <v>23.8307232</v>
      </c>
      <c r="M35" s="177">
        <v>1212</v>
      </c>
      <c r="N35" s="177" t="s">
        <v>1834</v>
      </c>
      <c r="O35" s="178" t="s">
        <v>1919</v>
      </c>
      <c r="P35" s="178"/>
      <c r="Q35" s="178"/>
      <c r="R35" s="165">
        <v>2027</v>
      </c>
    </row>
    <row r="36" spans="1:18">
      <c r="A36" s="168">
        <v>35</v>
      </c>
      <c r="B36" s="173" t="s">
        <v>1865</v>
      </c>
      <c r="C36" s="179" t="s">
        <v>1861</v>
      </c>
      <c r="D36" s="174" t="s">
        <v>1866</v>
      </c>
      <c r="E36" s="174" t="s">
        <v>1838</v>
      </c>
      <c r="F36" s="173" t="s">
        <v>1843</v>
      </c>
      <c r="G36" s="173" t="s">
        <v>1867</v>
      </c>
      <c r="H36" s="165" t="str">
        <f>VLOOKUP($C36,[2]电厂名单!$A$2:$G$26,2,FALSE)</f>
        <v>福建省</v>
      </c>
      <c r="I36" s="165" t="str">
        <f>VLOOKUP($C36,[2]电厂名单!$A$2:$G$26,3,FALSE)</f>
        <v>漳州市</v>
      </c>
      <c r="J36" s="165" t="str">
        <f>VLOOKUP($C36,[2]电厂名单!$A$2:$G$26,4,FALSE)</f>
        <v>东山县</v>
      </c>
      <c r="K36" s="175">
        <f>VLOOKUP($C36,[2]电厂名单!$A$2:$G$26,6,FALSE)</f>
        <v>117.4913999</v>
      </c>
      <c r="L36" s="175">
        <f>VLOOKUP($C36,[2]电厂名单!$A$2:$G$26,7,FALSE)</f>
        <v>23.8307232</v>
      </c>
      <c r="M36" s="173">
        <v>1212</v>
      </c>
      <c r="N36" s="173" t="s">
        <v>1834</v>
      </c>
      <c r="O36" s="176" t="s">
        <v>1920</v>
      </c>
      <c r="P36" s="176"/>
      <c r="Q36" s="176"/>
      <c r="R36" s="165">
        <v>2029</v>
      </c>
    </row>
    <row r="37" spans="1:18">
      <c r="A37" s="170">
        <v>36</v>
      </c>
      <c r="B37" s="177" t="s">
        <v>1869</v>
      </c>
      <c r="C37" s="179" t="s">
        <v>1861</v>
      </c>
      <c r="D37" s="174" t="s">
        <v>1866</v>
      </c>
      <c r="E37" s="174" t="s">
        <v>1840</v>
      </c>
      <c r="F37" s="177" t="s">
        <v>1843</v>
      </c>
      <c r="G37" s="177" t="s">
        <v>1867</v>
      </c>
      <c r="H37" s="165" t="str">
        <f>VLOOKUP($C37,[2]电厂名单!$A$2:$G$26,2,FALSE)</f>
        <v>福建省</v>
      </c>
      <c r="I37" s="165" t="str">
        <f>VLOOKUP($C37,[2]电厂名单!$A$2:$G$26,3,FALSE)</f>
        <v>漳州市</v>
      </c>
      <c r="J37" s="165" t="str">
        <f>VLOOKUP($C37,[2]电厂名单!$A$2:$G$26,4,FALSE)</f>
        <v>东山县</v>
      </c>
      <c r="K37" s="175">
        <f>VLOOKUP($C37,[2]电厂名单!$A$2:$G$26,6,FALSE)</f>
        <v>117.4913999</v>
      </c>
      <c r="L37" s="175">
        <f>VLOOKUP($C37,[2]电厂名单!$A$2:$G$26,7,FALSE)</f>
        <v>23.8307232</v>
      </c>
      <c r="M37" s="177">
        <v>1212</v>
      </c>
      <c r="N37" s="177" t="s">
        <v>1834</v>
      </c>
      <c r="O37" s="176" t="s">
        <v>1920</v>
      </c>
      <c r="P37" s="178"/>
      <c r="Q37" s="178"/>
      <c r="R37" s="180">
        <v>2029</v>
      </c>
    </row>
    <row r="38" spans="1:18">
      <c r="A38" s="168">
        <v>37</v>
      </c>
      <c r="B38" s="168" t="s">
        <v>1921</v>
      </c>
      <c r="C38" s="169" t="s">
        <v>1922</v>
      </c>
      <c r="D38" s="169" t="s">
        <v>1828</v>
      </c>
      <c r="E38" s="169" t="s">
        <v>1829</v>
      </c>
      <c r="F38" s="168" t="s">
        <v>1848</v>
      </c>
      <c r="G38" s="170" t="s">
        <v>1831</v>
      </c>
      <c r="H38" s="165" t="s">
        <v>120</v>
      </c>
      <c r="I38" s="165" t="s">
        <v>1923</v>
      </c>
      <c r="J38" s="165" t="s">
        <v>1924</v>
      </c>
      <c r="K38" s="166">
        <v>108.5629969</v>
      </c>
      <c r="L38" s="166">
        <v>21.6667467</v>
      </c>
      <c r="M38" s="168">
        <v>1086</v>
      </c>
      <c r="N38" s="168" t="s">
        <v>1851</v>
      </c>
      <c r="O38" s="171">
        <v>40389</v>
      </c>
      <c r="P38" s="171">
        <v>42302</v>
      </c>
      <c r="Q38" s="171">
        <v>42370</v>
      </c>
      <c r="R38" s="165">
        <v>2015</v>
      </c>
    </row>
    <row r="39" spans="1:18">
      <c r="A39" s="170">
        <v>38</v>
      </c>
      <c r="B39" s="170" t="s">
        <v>1925</v>
      </c>
      <c r="C39" s="169" t="s">
        <v>1922</v>
      </c>
      <c r="D39" s="169" t="s">
        <v>1828</v>
      </c>
      <c r="E39" s="169" t="s">
        <v>1836</v>
      </c>
      <c r="F39" s="170" t="s">
        <v>1848</v>
      </c>
      <c r="G39" s="168" t="s">
        <v>1831</v>
      </c>
      <c r="H39" s="165" t="s">
        <v>120</v>
      </c>
      <c r="I39" s="165" t="s">
        <v>1923</v>
      </c>
      <c r="J39" s="165" t="s">
        <v>1924</v>
      </c>
      <c r="K39" s="166">
        <v>108.5629969</v>
      </c>
      <c r="L39" s="166">
        <v>21.6667467</v>
      </c>
      <c r="M39" s="170">
        <v>1086</v>
      </c>
      <c r="N39" s="170" t="s">
        <v>1851</v>
      </c>
      <c r="O39" s="172">
        <v>40535</v>
      </c>
      <c r="P39" s="172">
        <v>42566</v>
      </c>
      <c r="Q39" s="172">
        <v>42644</v>
      </c>
      <c r="R39" s="165">
        <v>2016</v>
      </c>
    </row>
    <row r="40" spans="1:18">
      <c r="A40" s="168">
        <v>39</v>
      </c>
      <c r="B40" s="168" t="s">
        <v>1926</v>
      </c>
      <c r="C40" s="169" t="s">
        <v>1922</v>
      </c>
      <c r="D40" s="169" t="s">
        <v>1866</v>
      </c>
      <c r="E40" s="169" t="s">
        <v>1927</v>
      </c>
      <c r="F40" s="168" t="s">
        <v>1843</v>
      </c>
      <c r="G40" s="168" t="s">
        <v>633</v>
      </c>
      <c r="H40" s="165" t="s">
        <v>120</v>
      </c>
      <c r="I40" s="165" t="s">
        <v>1923</v>
      </c>
      <c r="J40" s="165" t="s">
        <v>1924</v>
      </c>
      <c r="K40" s="166">
        <v>108.5629969</v>
      </c>
      <c r="L40" s="166">
        <v>21.6667467</v>
      </c>
      <c r="M40" s="168">
        <v>1180</v>
      </c>
      <c r="N40" s="168" t="s">
        <v>1851</v>
      </c>
      <c r="O40" s="171">
        <v>42362</v>
      </c>
      <c r="P40" s="171">
        <v>44939</v>
      </c>
      <c r="Q40" s="171"/>
      <c r="R40" s="165">
        <v>2023</v>
      </c>
    </row>
    <row r="41" spans="1:18">
      <c r="A41" s="170">
        <v>40</v>
      </c>
      <c r="B41" s="170" t="s">
        <v>1928</v>
      </c>
      <c r="C41" s="169" t="s">
        <v>1922</v>
      </c>
      <c r="D41" s="169" t="s">
        <v>1866</v>
      </c>
      <c r="E41" s="169" t="s">
        <v>1929</v>
      </c>
      <c r="F41" s="170" t="s">
        <v>1843</v>
      </c>
      <c r="G41" s="170" t="s">
        <v>633</v>
      </c>
      <c r="H41" s="165" t="s">
        <v>120</v>
      </c>
      <c r="I41" s="165" t="s">
        <v>1923</v>
      </c>
      <c r="J41" s="165" t="s">
        <v>1924</v>
      </c>
      <c r="K41" s="166">
        <v>108.5629969</v>
      </c>
      <c r="L41" s="166">
        <v>21.6667467</v>
      </c>
      <c r="M41" s="170">
        <v>1180</v>
      </c>
      <c r="N41" s="170" t="s">
        <v>1851</v>
      </c>
      <c r="O41" s="172">
        <v>42727</v>
      </c>
      <c r="P41" s="172"/>
      <c r="Q41" s="172"/>
      <c r="R41" s="165">
        <v>2023</v>
      </c>
    </row>
    <row r="42" spans="1:18">
      <c r="A42" s="168">
        <v>41</v>
      </c>
      <c r="B42" s="170" t="s">
        <v>1930</v>
      </c>
      <c r="C42" s="169" t="s">
        <v>1931</v>
      </c>
      <c r="D42" s="169" t="s">
        <v>1828</v>
      </c>
      <c r="E42" s="169" t="s">
        <v>1829</v>
      </c>
      <c r="F42" s="170" t="s">
        <v>1932</v>
      </c>
      <c r="G42" s="170" t="s">
        <v>1831</v>
      </c>
      <c r="H42" s="165" t="s">
        <v>122</v>
      </c>
      <c r="I42" s="165" t="s">
        <v>239</v>
      </c>
      <c r="J42" s="165" t="s">
        <v>1933</v>
      </c>
      <c r="K42" s="166">
        <v>108.8987239</v>
      </c>
      <c r="L42" s="166">
        <v>19.4599337</v>
      </c>
      <c r="M42" s="170">
        <v>650</v>
      </c>
      <c r="N42" s="170" t="s">
        <v>1834</v>
      </c>
      <c r="O42" s="172">
        <v>40293</v>
      </c>
      <c r="P42" s="172">
        <v>42315</v>
      </c>
      <c r="Q42" s="172">
        <v>42363</v>
      </c>
      <c r="R42" s="165">
        <v>2015</v>
      </c>
    </row>
    <row r="43" spans="1:18">
      <c r="A43" s="170">
        <v>42</v>
      </c>
      <c r="B43" s="168" t="s">
        <v>1934</v>
      </c>
      <c r="C43" s="169" t="s">
        <v>1931</v>
      </c>
      <c r="D43" s="169" t="s">
        <v>1828</v>
      </c>
      <c r="E43" s="169" t="s">
        <v>1836</v>
      </c>
      <c r="F43" s="168" t="s">
        <v>1932</v>
      </c>
      <c r="G43" s="168" t="s">
        <v>1831</v>
      </c>
      <c r="H43" s="165" t="s">
        <v>122</v>
      </c>
      <c r="I43" s="165" t="s">
        <v>239</v>
      </c>
      <c r="J43" s="165" t="s">
        <v>1933</v>
      </c>
      <c r="K43" s="166">
        <v>108.8987239</v>
      </c>
      <c r="L43" s="166">
        <v>19.4599337</v>
      </c>
      <c r="M43" s="168">
        <v>650</v>
      </c>
      <c r="N43" s="168" t="s">
        <v>1834</v>
      </c>
      <c r="O43" s="171">
        <v>40503</v>
      </c>
      <c r="P43" s="171">
        <v>42541</v>
      </c>
      <c r="Q43" s="171">
        <v>42594</v>
      </c>
      <c r="R43" s="165">
        <v>2016</v>
      </c>
    </row>
    <row r="44" spans="1:18">
      <c r="A44" s="168">
        <v>43</v>
      </c>
      <c r="B44" s="170" t="s">
        <v>1935</v>
      </c>
      <c r="C44" s="169" t="s">
        <v>1931</v>
      </c>
      <c r="D44" s="169" t="s">
        <v>1866</v>
      </c>
      <c r="E44" s="169" t="s">
        <v>1838</v>
      </c>
      <c r="F44" s="170" t="s">
        <v>1843</v>
      </c>
      <c r="G44" s="170" t="s">
        <v>633</v>
      </c>
      <c r="H44" s="165" t="s">
        <v>122</v>
      </c>
      <c r="I44" s="165" t="s">
        <v>239</v>
      </c>
      <c r="J44" s="165" t="s">
        <v>1933</v>
      </c>
      <c r="K44" s="166">
        <v>108.8987239</v>
      </c>
      <c r="L44" s="166">
        <v>19.4599337</v>
      </c>
      <c r="M44" s="170">
        <v>1200</v>
      </c>
      <c r="N44" s="170" t="s">
        <v>1936</v>
      </c>
      <c r="O44" s="172">
        <v>44286</v>
      </c>
      <c r="P44" s="172"/>
      <c r="Q44" s="172"/>
      <c r="R44" s="165">
        <v>2026</v>
      </c>
    </row>
    <row r="45" spans="1:18">
      <c r="A45" s="170">
        <v>44</v>
      </c>
      <c r="B45" s="168" t="s">
        <v>1937</v>
      </c>
      <c r="C45" s="169" t="s">
        <v>1931</v>
      </c>
      <c r="D45" s="169" t="s">
        <v>1866</v>
      </c>
      <c r="E45" s="169" t="s">
        <v>1840</v>
      </c>
      <c r="F45" s="168" t="s">
        <v>1843</v>
      </c>
      <c r="G45" s="168" t="s">
        <v>633</v>
      </c>
      <c r="H45" s="165" t="s">
        <v>122</v>
      </c>
      <c r="I45" s="165" t="s">
        <v>239</v>
      </c>
      <c r="J45" s="165" t="s">
        <v>1933</v>
      </c>
      <c r="K45" s="166">
        <v>108.8987239</v>
      </c>
      <c r="L45" s="166">
        <v>19.4599337</v>
      </c>
      <c r="M45" s="168">
        <v>1200</v>
      </c>
      <c r="N45" s="168" t="s">
        <v>1936</v>
      </c>
      <c r="O45" s="171">
        <v>44558</v>
      </c>
      <c r="P45" s="171"/>
      <c r="Q45" s="171"/>
      <c r="R45" s="165">
        <v>2027</v>
      </c>
    </row>
    <row r="46" spans="1:18">
      <c r="A46" s="168">
        <v>45</v>
      </c>
      <c r="B46" s="170" t="s">
        <v>1938</v>
      </c>
      <c r="C46" s="169" t="s">
        <v>1931</v>
      </c>
      <c r="D46" s="169" t="s">
        <v>1866</v>
      </c>
      <c r="E46" s="165" t="s">
        <v>1939</v>
      </c>
      <c r="F46" s="170" t="s">
        <v>1940</v>
      </c>
      <c r="G46" s="170" t="s">
        <v>633</v>
      </c>
      <c r="H46" s="165" t="s">
        <v>122</v>
      </c>
      <c r="I46" s="165" t="s">
        <v>239</v>
      </c>
      <c r="J46" s="165" t="s">
        <v>1933</v>
      </c>
      <c r="K46" s="166">
        <v>108.8987239</v>
      </c>
      <c r="L46" s="166">
        <v>19.4599337</v>
      </c>
      <c r="M46" s="170">
        <v>125</v>
      </c>
      <c r="N46" s="170" t="s">
        <v>1834</v>
      </c>
      <c r="O46" s="172">
        <v>44390</v>
      </c>
      <c r="P46" s="172"/>
      <c r="Q46" s="172"/>
      <c r="R46" s="165">
        <v>2026</v>
      </c>
    </row>
    <row r="47" spans="1:18">
      <c r="A47" s="170">
        <v>46</v>
      </c>
      <c r="B47" s="170" t="s">
        <v>1941</v>
      </c>
      <c r="C47" s="169" t="s">
        <v>1942</v>
      </c>
      <c r="D47" s="169" t="s">
        <v>1828</v>
      </c>
      <c r="E47" s="169" t="s">
        <v>1829</v>
      </c>
      <c r="F47" s="170" t="s">
        <v>1943</v>
      </c>
      <c r="G47" s="170" t="s">
        <v>1831</v>
      </c>
      <c r="H47" s="165" t="s">
        <v>100</v>
      </c>
      <c r="I47" s="165" t="s">
        <v>1944</v>
      </c>
      <c r="J47" s="165" t="s">
        <v>1945</v>
      </c>
      <c r="K47" s="166">
        <v>119.4581987</v>
      </c>
      <c r="L47" s="166">
        <v>34.6880666</v>
      </c>
      <c r="M47" s="170">
        <v>1060</v>
      </c>
      <c r="N47" s="170" t="s">
        <v>1946</v>
      </c>
      <c r="O47" s="172">
        <v>36453</v>
      </c>
      <c r="P47" s="172">
        <v>38849</v>
      </c>
      <c r="Q47" s="172">
        <v>39219</v>
      </c>
      <c r="R47" s="165">
        <v>2006</v>
      </c>
    </row>
    <row r="48" spans="1:18">
      <c r="A48" s="168">
        <v>47</v>
      </c>
      <c r="B48" s="168" t="s">
        <v>1947</v>
      </c>
      <c r="C48" s="169" t="s">
        <v>1942</v>
      </c>
      <c r="D48" s="169" t="s">
        <v>1828</v>
      </c>
      <c r="E48" s="169" t="s">
        <v>1836</v>
      </c>
      <c r="F48" s="168" t="s">
        <v>1943</v>
      </c>
      <c r="G48" s="168" t="s">
        <v>1831</v>
      </c>
      <c r="H48" s="165" t="s">
        <v>100</v>
      </c>
      <c r="I48" s="165" t="s">
        <v>1944</v>
      </c>
      <c r="J48" s="165" t="s">
        <v>1945</v>
      </c>
      <c r="K48" s="166">
        <v>119.4581987</v>
      </c>
      <c r="L48" s="166">
        <v>34.6880666</v>
      </c>
      <c r="M48" s="168">
        <v>1060</v>
      </c>
      <c r="N48" s="168" t="s">
        <v>1946</v>
      </c>
      <c r="O48" s="171">
        <v>36789</v>
      </c>
      <c r="P48" s="171">
        <v>39216</v>
      </c>
      <c r="Q48" s="171">
        <v>39310</v>
      </c>
      <c r="R48" s="165">
        <v>2007</v>
      </c>
    </row>
    <row r="49" spans="1:18">
      <c r="A49" s="170">
        <v>48</v>
      </c>
      <c r="B49" s="170" t="s">
        <v>1948</v>
      </c>
      <c r="C49" s="169" t="s">
        <v>1942</v>
      </c>
      <c r="D49" s="169" t="s">
        <v>1866</v>
      </c>
      <c r="E49" s="169" t="s">
        <v>1838</v>
      </c>
      <c r="F49" s="170" t="s">
        <v>1949</v>
      </c>
      <c r="G49" s="170" t="s">
        <v>1831</v>
      </c>
      <c r="H49" s="165" t="s">
        <v>100</v>
      </c>
      <c r="I49" s="165" t="s">
        <v>1944</v>
      </c>
      <c r="J49" s="165" t="s">
        <v>1945</v>
      </c>
      <c r="K49" s="166">
        <v>119.4581987</v>
      </c>
      <c r="L49" s="166">
        <v>34.6880666</v>
      </c>
      <c r="M49" s="170">
        <v>1126</v>
      </c>
      <c r="N49" s="170" t="s">
        <v>1946</v>
      </c>
      <c r="O49" s="172">
        <v>41270</v>
      </c>
      <c r="P49" s="172">
        <v>43099</v>
      </c>
      <c r="Q49" s="172">
        <v>43146</v>
      </c>
      <c r="R49" s="165">
        <v>2017</v>
      </c>
    </row>
    <row r="50" spans="1:18">
      <c r="A50" s="168">
        <v>49</v>
      </c>
      <c r="B50" s="168" t="s">
        <v>1950</v>
      </c>
      <c r="C50" s="169" t="s">
        <v>1942</v>
      </c>
      <c r="D50" s="169" t="s">
        <v>1866</v>
      </c>
      <c r="E50" s="169" t="s">
        <v>1840</v>
      </c>
      <c r="F50" s="168" t="s">
        <v>1949</v>
      </c>
      <c r="G50" s="168" t="s">
        <v>1831</v>
      </c>
      <c r="H50" s="165" t="s">
        <v>100</v>
      </c>
      <c r="I50" s="165" t="s">
        <v>1944</v>
      </c>
      <c r="J50" s="165" t="s">
        <v>1945</v>
      </c>
      <c r="K50" s="166">
        <v>119.4581987</v>
      </c>
      <c r="L50" s="166">
        <v>34.6880666</v>
      </c>
      <c r="M50" s="168">
        <v>1126</v>
      </c>
      <c r="N50" s="168" t="s">
        <v>1946</v>
      </c>
      <c r="O50" s="171">
        <v>41544</v>
      </c>
      <c r="P50" s="171">
        <v>43400</v>
      </c>
      <c r="Q50" s="171">
        <v>43456</v>
      </c>
      <c r="R50" s="165">
        <v>2018</v>
      </c>
    </row>
    <row r="51" spans="1:18">
      <c r="A51" s="170">
        <v>50</v>
      </c>
      <c r="B51" s="170" t="s">
        <v>1951</v>
      </c>
      <c r="C51" s="169" t="s">
        <v>1942</v>
      </c>
      <c r="D51" s="169" t="s">
        <v>1952</v>
      </c>
      <c r="E51" s="169" t="s">
        <v>1842</v>
      </c>
      <c r="F51" s="170" t="s">
        <v>1953</v>
      </c>
      <c r="G51" s="170" t="s">
        <v>1831</v>
      </c>
      <c r="H51" s="165" t="s">
        <v>100</v>
      </c>
      <c r="I51" s="165" t="s">
        <v>1944</v>
      </c>
      <c r="J51" s="165" t="s">
        <v>1945</v>
      </c>
      <c r="K51" s="166">
        <v>119.4581987</v>
      </c>
      <c r="L51" s="166">
        <v>34.6880666</v>
      </c>
      <c r="M51" s="170">
        <v>1118</v>
      </c>
      <c r="N51" s="170" t="s">
        <v>1946</v>
      </c>
      <c r="O51" s="172">
        <v>42365</v>
      </c>
      <c r="P51" s="172">
        <v>44051</v>
      </c>
      <c r="Q51" s="172">
        <v>44082</v>
      </c>
      <c r="R51" s="165">
        <v>2020</v>
      </c>
    </row>
    <row r="52" spans="1:18">
      <c r="A52" s="168">
        <v>51</v>
      </c>
      <c r="B52" s="168" t="s">
        <v>1954</v>
      </c>
      <c r="C52" s="169" t="s">
        <v>1942</v>
      </c>
      <c r="D52" s="169" t="s">
        <v>1952</v>
      </c>
      <c r="E52" s="169" t="s">
        <v>1845</v>
      </c>
      <c r="F52" s="168" t="s">
        <v>1953</v>
      </c>
      <c r="G52" s="168" t="s">
        <v>1831</v>
      </c>
      <c r="H52" s="165" t="s">
        <v>100</v>
      </c>
      <c r="I52" s="165" t="s">
        <v>1944</v>
      </c>
      <c r="J52" s="165" t="s">
        <v>1945</v>
      </c>
      <c r="K52" s="166">
        <v>119.4581987</v>
      </c>
      <c r="L52" s="166">
        <v>34.6880666</v>
      </c>
      <c r="M52" s="168">
        <v>1118</v>
      </c>
      <c r="N52" s="168" t="s">
        <v>1946</v>
      </c>
      <c r="O52" s="171">
        <v>42620</v>
      </c>
      <c r="P52" s="171">
        <v>44327</v>
      </c>
      <c r="Q52" s="171">
        <v>44349</v>
      </c>
      <c r="R52" s="165">
        <v>2021</v>
      </c>
    </row>
    <row r="53" spans="1:18">
      <c r="A53" s="170">
        <v>52</v>
      </c>
      <c r="B53" s="170" t="s">
        <v>1955</v>
      </c>
      <c r="C53" s="169" t="s">
        <v>1942</v>
      </c>
      <c r="D53" s="169" t="s">
        <v>1956</v>
      </c>
      <c r="E53" s="169" t="s">
        <v>1957</v>
      </c>
      <c r="F53" s="170" t="s">
        <v>1958</v>
      </c>
      <c r="G53" s="170" t="s">
        <v>633</v>
      </c>
      <c r="H53" s="165" t="s">
        <v>100</v>
      </c>
      <c r="I53" s="165" t="s">
        <v>1944</v>
      </c>
      <c r="J53" s="165" t="s">
        <v>1945</v>
      </c>
      <c r="K53" s="166">
        <v>119.4581987</v>
      </c>
      <c r="L53" s="166">
        <v>34.6880666</v>
      </c>
      <c r="M53" s="170">
        <v>1274</v>
      </c>
      <c r="N53" s="170" t="s">
        <v>1946</v>
      </c>
      <c r="O53" s="172">
        <v>44335</v>
      </c>
      <c r="P53" s="172"/>
      <c r="Q53" s="172"/>
      <c r="R53" s="180">
        <v>2029</v>
      </c>
    </row>
    <row r="54" spans="1:18">
      <c r="A54" s="168">
        <v>53</v>
      </c>
      <c r="B54" s="168" t="s">
        <v>1959</v>
      </c>
      <c r="C54" s="169" t="s">
        <v>1942</v>
      </c>
      <c r="D54" s="169" t="s">
        <v>1956</v>
      </c>
      <c r="E54" s="169" t="s">
        <v>1960</v>
      </c>
      <c r="F54" s="168" t="s">
        <v>1958</v>
      </c>
      <c r="G54" s="168" t="s">
        <v>633</v>
      </c>
      <c r="H54" s="165" t="s">
        <v>100</v>
      </c>
      <c r="I54" s="165" t="s">
        <v>1944</v>
      </c>
      <c r="J54" s="165" t="s">
        <v>1945</v>
      </c>
      <c r="K54" s="166">
        <v>119.4581987</v>
      </c>
      <c r="L54" s="166">
        <v>34.6880666</v>
      </c>
      <c r="M54" s="168">
        <v>1265</v>
      </c>
      <c r="N54" s="168" t="s">
        <v>1946</v>
      </c>
      <c r="O54" s="171">
        <v>44617</v>
      </c>
      <c r="P54" s="171"/>
      <c r="Q54" s="171"/>
      <c r="R54" s="165"/>
    </row>
    <row r="55" spans="1:18">
      <c r="A55" s="170">
        <v>54</v>
      </c>
      <c r="B55" s="168" t="s">
        <v>1961</v>
      </c>
      <c r="C55" s="169" t="s">
        <v>1962</v>
      </c>
      <c r="D55" s="169" t="s">
        <v>1828</v>
      </c>
      <c r="E55" s="169" t="s">
        <v>1829</v>
      </c>
      <c r="F55" s="168" t="s">
        <v>1963</v>
      </c>
      <c r="G55" s="168" t="s">
        <v>1831</v>
      </c>
      <c r="H55" s="165" t="s">
        <v>92</v>
      </c>
      <c r="I55" s="165" t="s">
        <v>1964</v>
      </c>
      <c r="J55" s="165" t="s">
        <v>1965</v>
      </c>
      <c r="K55" s="166">
        <v>121.4766563</v>
      </c>
      <c r="L55" s="166">
        <v>39.7970864</v>
      </c>
      <c r="M55" s="168">
        <v>1118.79</v>
      </c>
      <c r="N55" s="168" t="s">
        <v>1966</v>
      </c>
      <c r="O55" s="171">
        <v>39312</v>
      </c>
      <c r="P55" s="171">
        <v>41312</v>
      </c>
      <c r="Q55" s="171">
        <v>41431</v>
      </c>
      <c r="R55" s="165">
        <v>2013</v>
      </c>
    </row>
    <row r="56" spans="1:18">
      <c r="A56" s="168">
        <v>55</v>
      </c>
      <c r="B56" s="170" t="s">
        <v>1967</v>
      </c>
      <c r="C56" s="169" t="s">
        <v>1962</v>
      </c>
      <c r="D56" s="169" t="s">
        <v>1828</v>
      </c>
      <c r="E56" s="169" t="s">
        <v>1836</v>
      </c>
      <c r="F56" s="170" t="s">
        <v>1963</v>
      </c>
      <c r="G56" s="170" t="s">
        <v>1831</v>
      </c>
      <c r="H56" s="165" t="s">
        <v>92</v>
      </c>
      <c r="I56" s="165" t="s">
        <v>1964</v>
      </c>
      <c r="J56" s="165" t="s">
        <v>1965</v>
      </c>
      <c r="K56" s="166">
        <v>121.4766563</v>
      </c>
      <c r="L56" s="166">
        <v>39.7970864</v>
      </c>
      <c r="M56" s="170">
        <v>1118.79</v>
      </c>
      <c r="N56" s="170" t="s">
        <v>1966</v>
      </c>
      <c r="O56" s="172">
        <v>39535</v>
      </c>
      <c r="P56" s="172">
        <v>41601</v>
      </c>
      <c r="Q56" s="172">
        <v>41772</v>
      </c>
      <c r="R56" s="165">
        <v>2013</v>
      </c>
    </row>
    <row r="57" spans="1:18">
      <c r="A57" s="170">
        <v>56</v>
      </c>
      <c r="B57" s="168" t="s">
        <v>1968</v>
      </c>
      <c r="C57" s="169" t="s">
        <v>1962</v>
      </c>
      <c r="D57" s="169" t="s">
        <v>1828</v>
      </c>
      <c r="E57" s="169" t="s">
        <v>1838</v>
      </c>
      <c r="F57" s="168" t="s">
        <v>1963</v>
      </c>
      <c r="G57" s="168" t="s">
        <v>1831</v>
      </c>
      <c r="H57" s="165" t="s">
        <v>92</v>
      </c>
      <c r="I57" s="165" t="s">
        <v>1964</v>
      </c>
      <c r="J57" s="165" t="s">
        <v>1965</v>
      </c>
      <c r="K57" s="166">
        <v>121.4766563</v>
      </c>
      <c r="L57" s="166">
        <v>39.7970864</v>
      </c>
      <c r="M57" s="168">
        <v>1118.79</v>
      </c>
      <c r="N57" s="168" t="s">
        <v>1966</v>
      </c>
      <c r="O57" s="171">
        <v>39879</v>
      </c>
      <c r="P57" s="171">
        <v>42086</v>
      </c>
      <c r="Q57" s="171">
        <v>42232</v>
      </c>
      <c r="R57" s="165">
        <v>2015</v>
      </c>
    </row>
    <row r="58" spans="1:18">
      <c r="A58" s="168">
        <v>57</v>
      </c>
      <c r="B58" s="170" t="s">
        <v>1969</v>
      </c>
      <c r="C58" s="169" t="s">
        <v>1962</v>
      </c>
      <c r="D58" s="169" t="s">
        <v>1828</v>
      </c>
      <c r="E58" s="169" t="s">
        <v>1840</v>
      </c>
      <c r="F58" s="170" t="s">
        <v>1963</v>
      </c>
      <c r="G58" s="170" t="s">
        <v>1831</v>
      </c>
      <c r="H58" s="165" t="s">
        <v>92</v>
      </c>
      <c r="I58" s="165" t="s">
        <v>1964</v>
      </c>
      <c r="J58" s="165" t="s">
        <v>1965</v>
      </c>
      <c r="K58" s="166">
        <v>121.4766563</v>
      </c>
      <c r="L58" s="166">
        <v>39.7970864</v>
      </c>
      <c r="M58" s="170">
        <v>1118.79</v>
      </c>
      <c r="N58" s="170" t="s">
        <v>1966</v>
      </c>
      <c r="O58" s="172">
        <v>40040</v>
      </c>
      <c r="P58" s="172">
        <v>42461</v>
      </c>
      <c r="Q58" s="172">
        <v>42529</v>
      </c>
      <c r="R58" s="165">
        <v>2016</v>
      </c>
    </row>
    <row r="59" spans="1:18">
      <c r="A59" s="170">
        <v>58</v>
      </c>
      <c r="B59" s="168" t="s">
        <v>1970</v>
      </c>
      <c r="C59" s="169" t="s">
        <v>1962</v>
      </c>
      <c r="D59" s="169" t="s">
        <v>1866</v>
      </c>
      <c r="E59" s="169" t="s">
        <v>1842</v>
      </c>
      <c r="F59" s="168" t="s">
        <v>1971</v>
      </c>
      <c r="G59" s="168" t="s">
        <v>1831</v>
      </c>
      <c r="H59" s="165" t="s">
        <v>92</v>
      </c>
      <c r="I59" s="165" t="s">
        <v>1964</v>
      </c>
      <c r="J59" s="165" t="s">
        <v>1965</v>
      </c>
      <c r="K59" s="166">
        <v>121.4766563</v>
      </c>
      <c r="L59" s="166">
        <v>39.7970864</v>
      </c>
      <c r="M59" s="168">
        <v>1118.79</v>
      </c>
      <c r="N59" s="168" t="s">
        <v>1966</v>
      </c>
      <c r="O59" s="171">
        <v>42092</v>
      </c>
      <c r="P59" s="171">
        <v>44372</v>
      </c>
      <c r="Q59" s="171">
        <v>44408</v>
      </c>
      <c r="R59" s="165">
        <v>2021</v>
      </c>
    </row>
    <row r="60" spans="1:18">
      <c r="A60" s="168">
        <v>59</v>
      </c>
      <c r="B60" s="170" t="s">
        <v>1972</v>
      </c>
      <c r="C60" s="169" t="s">
        <v>1962</v>
      </c>
      <c r="D60" s="169" t="s">
        <v>1866</v>
      </c>
      <c r="E60" s="169" t="s">
        <v>1845</v>
      </c>
      <c r="F60" s="170" t="s">
        <v>1971</v>
      </c>
      <c r="G60" s="170" t="s">
        <v>1831</v>
      </c>
      <c r="H60" s="165" t="s">
        <v>92</v>
      </c>
      <c r="I60" s="165" t="s">
        <v>1964</v>
      </c>
      <c r="J60" s="165" t="s">
        <v>1965</v>
      </c>
      <c r="K60" s="166">
        <v>121.4766563</v>
      </c>
      <c r="L60" s="166">
        <v>39.7970864</v>
      </c>
      <c r="M60" s="170">
        <v>1119</v>
      </c>
      <c r="N60" s="170" t="s">
        <v>1966</v>
      </c>
      <c r="O60" s="172">
        <v>42209</v>
      </c>
      <c r="P60" s="172">
        <v>44683</v>
      </c>
      <c r="Q60" s="172">
        <v>44735</v>
      </c>
      <c r="R60" s="165">
        <v>2022</v>
      </c>
    </row>
    <row r="61" spans="1:18">
      <c r="A61" s="170">
        <v>60</v>
      </c>
      <c r="B61" s="170" t="s">
        <v>1973</v>
      </c>
      <c r="C61" s="165" t="s">
        <v>1974</v>
      </c>
      <c r="D61" s="169" t="s">
        <v>1866</v>
      </c>
      <c r="E61" s="169" t="s">
        <v>1838</v>
      </c>
      <c r="F61" s="170" t="s">
        <v>1958</v>
      </c>
      <c r="G61" s="170" t="s">
        <v>633</v>
      </c>
      <c r="H61" s="165" t="s">
        <v>92</v>
      </c>
      <c r="I61" s="165" t="s">
        <v>1975</v>
      </c>
      <c r="J61" s="165" t="s">
        <v>1976</v>
      </c>
      <c r="K61" s="166">
        <v>120.5466135</v>
      </c>
      <c r="L61" s="166">
        <v>40.3498397</v>
      </c>
      <c r="M61" s="170">
        <v>1274</v>
      </c>
      <c r="N61" s="170" t="s">
        <v>1946</v>
      </c>
      <c r="O61" s="172">
        <v>44405</v>
      </c>
      <c r="P61" s="172"/>
      <c r="Q61" s="172"/>
      <c r="R61" s="165">
        <v>2027</v>
      </c>
    </row>
    <row r="62" spans="1:18">
      <c r="A62" s="168">
        <v>61</v>
      </c>
      <c r="B62" s="168" t="s">
        <v>1977</v>
      </c>
      <c r="C62" s="165" t="s">
        <v>1974</v>
      </c>
      <c r="D62" s="169" t="s">
        <v>1866</v>
      </c>
      <c r="E62" s="169" t="s">
        <v>1840</v>
      </c>
      <c r="F62" s="168" t="s">
        <v>1958</v>
      </c>
      <c r="G62" s="168" t="s">
        <v>633</v>
      </c>
      <c r="H62" s="165" t="s">
        <v>92</v>
      </c>
      <c r="I62" s="165" t="s">
        <v>1975</v>
      </c>
      <c r="J62" s="165" t="s">
        <v>1976</v>
      </c>
      <c r="K62" s="166">
        <v>120.5466135</v>
      </c>
      <c r="L62" s="166">
        <v>40.3498397</v>
      </c>
      <c r="M62" s="168">
        <v>1274</v>
      </c>
      <c r="N62" s="168" t="s">
        <v>1946</v>
      </c>
      <c r="O62" s="171">
        <v>44700</v>
      </c>
      <c r="P62" s="171"/>
      <c r="Q62" s="171"/>
      <c r="R62" s="165">
        <v>2028</v>
      </c>
    </row>
    <row r="63" spans="1:18">
      <c r="A63" s="170">
        <v>62</v>
      </c>
      <c r="B63" s="168" t="s">
        <v>1978</v>
      </c>
      <c r="C63" s="165" t="s">
        <v>1979</v>
      </c>
      <c r="D63" s="169" t="s">
        <v>1828</v>
      </c>
      <c r="E63" s="169" t="s">
        <v>1829</v>
      </c>
      <c r="F63" s="168" t="s">
        <v>1980</v>
      </c>
      <c r="G63" s="168" t="s">
        <v>633</v>
      </c>
      <c r="H63" s="165" t="s">
        <v>110</v>
      </c>
      <c r="I63" s="165" t="s">
        <v>1981</v>
      </c>
      <c r="J63" s="165" t="s">
        <v>1982</v>
      </c>
      <c r="K63" s="166">
        <v>122.5189394</v>
      </c>
      <c r="L63" s="166">
        <v>36.9656812</v>
      </c>
      <c r="M63" s="168">
        <v>1534</v>
      </c>
      <c r="N63" s="168" t="s">
        <v>1983</v>
      </c>
      <c r="O63" s="171">
        <v>43556</v>
      </c>
      <c r="P63" s="171"/>
      <c r="Q63" s="171"/>
      <c r="R63" s="180">
        <v>2025</v>
      </c>
    </row>
    <row r="64" spans="1:18">
      <c r="A64" s="168">
        <v>63</v>
      </c>
      <c r="B64" s="170" t="s">
        <v>1984</v>
      </c>
      <c r="C64" s="165" t="s">
        <v>1979</v>
      </c>
      <c r="D64" s="169" t="s">
        <v>1828</v>
      </c>
      <c r="E64" s="169" t="s">
        <v>1836</v>
      </c>
      <c r="F64" s="170" t="s">
        <v>1980</v>
      </c>
      <c r="G64" s="170" t="s">
        <v>633</v>
      </c>
      <c r="H64" s="165" t="s">
        <v>110</v>
      </c>
      <c r="I64" s="165" t="s">
        <v>1981</v>
      </c>
      <c r="J64" s="165" t="s">
        <v>1982</v>
      </c>
      <c r="K64" s="166">
        <v>122.5189394</v>
      </c>
      <c r="L64" s="166">
        <v>36.9656812</v>
      </c>
      <c r="M64" s="170">
        <v>1534</v>
      </c>
      <c r="N64" s="170" t="s">
        <v>1983</v>
      </c>
      <c r="O64" s="172">
        <v>43770</v>
      </c>
      <c r="P64" s="172"/>
      <c r="Q64" s="172"/>
      <c r="R64" s="180">
        <v>2025</v>
      </c>
    </row>
    <row r="65" spans="1:18">
      <c r="A65" s="170">
        <v>64</v>
      </c>
      <c r="B65" s="168" t="s">
        <v>1985</v>
      </c>
      <c r="C65" s="169" t="s">
        <v>1986</v>
      </c>
      <c r="D65" s="169" t="s">
        <v>1828</v>
      </c>
      <c r="E65" s="169" t="s">
        <v>1829</v>
      </c>
      <c r="F65" s="168" t="s">
        <v>1987</v>
      </c>
      <c r="G65" s="168" t="s">
        <v>1831</v>
      </c>
      <c r="H65" s="165" t="s">
        <v>110</v>
      </c>
      <c r="I65" s="165" t="s">
        <v>1988</v>
      </c>
      <c r="J65" s="165" t="s">
        <v>1989</v>
      </c>
      <c r="K65" s="166">
        <v>121.3812616</v>
      </c>
      <c r="L65" s="166">
        <v>36.7091849</v>
      </c>
      <c r="M65" s="168">
        <v>1253</v>
      </c>
      <c r="N65" s="168" t="s">
        <v>1983</v>
      </c>
      <c r="O65" s="171">
        <v>40080</v>
      </c>
      <c r="P65" s="171">
        <v>43329</v>
      </c>
      <c r="Q65" s="171">
        <v>43395</v>
      </c>
      <c r="R65" s="165">
        <v>2018</v>
      </c>
    </row>
    <row r="66" spans="1:18">
      <c r="A66" s="168">
        <v>65</v>
      </c>
      <c r="B66" s="170" t="s">
        <v>1990</v>
      </c>
      <c r="C66" s="169" t="s">
        <v>1986</v>
      </c>
      <c r="D66" s="169" t="s">
        <v>1828</v>
      </c>
      <c r="E66" s="169" t="s">
        <v>1836</v>
      </c>
      <c r="F66" s="170" t="s">
        <v>1987</v>
      </c>
      <c r="G66" s="170" t="s">
        <v>1831</v>
      </c>
      <c r="H66" s="165" t="s">
        <v>110</v>
      </c>
      <c r="I66" s="165" t="s">
        <v>1988</v>
      </c>
      <c r="J66" s="165" t="s">
        <v>1989</v>
      </c>
      <c r="K66" s="166">
        <v>121.3812616</v>
      </c>
      <c r="L66" s="166">
        <v>36.7091849</v>
      </c>
      <c r="M66" s="170">
        <v>1253</v>
      </c>
      <c r="N66" s="170" t="s">
        <v>1983</v>
      </c>
      <c r="O66" s="172">
        <v>40350</v>
      </c>
      <c r="P66" s="172">
        <v>43386</v>
      </c>
      <c r="Q66" s="172">
        <v>43474</v>
      </c>
      <c r="R66" s="165">
        <v>2018</v>
      </c>
    </row>
    <row r="67" spans="1:18">
      <c r="A67" s="170">
        <v>66</v>
      </c>
      <c r="B67" s="168" t="s">
        <v>1991</v>
      </c>
      <c r="C67" s="169" t="s">
        <v>1986</v>
      </c>
      <c r="D67" s="169" t="s">
        <v>1866</v>
      </c>
      <c r="E67" s="169" t="s">
        <v>1927</v>
      </c>
      <c r="F67" s="168" t="s">
        <v>1992</v>
      </c>
      <c r="G67" s="168" t="s">
        <v>633</v>
      </c>
      <c r="H67" s="165" t="s">
        <v>110</v>
      </c>
      <c r="I67" s="165" t="s">
        <v>1988</v>
      </c>
      <c r="J67" s="165" t="s">
        <v>1989</v>
      </c>
      <c r="K67" s="166">
        <v>121.3812616</v>
      </c>
      <c r="L67" s="166">
        <v>36.7091849</v>
      </c>
      <c r="M67" s="168">
        <v>1253</v>
      </c>
      <c r="N67" s="168" t="s">
        <v>1983</v>
      </c>
      <c r="O67" s="171">
        <v>44756</v>
      </c>
      <c r="P67" s="171"/>
      <c r="Q67" s="171"/>
      <c r="R67" s="165">
        <v>2028</v>
      </c>
    </row>
    <row r="68" spans="1:18">
      <c r="A68" s="168">
        <v>67</v>
      </c>
      <c r="B68" s="170" t="s">
        <v>1993</v>
      </c>
      <c r="C68" s="169" t="s">
        <v>1986</v>
      </c>
      <c r="D68" s="169" t="s">
        <v>1866</v>
      </c>
      <c r="E68" s="169" t="s">
        <v>1929</v>
      </c>
      <c r="F68" s="170" t="s">
        <v>1992</v>
      </c>
      <c r="G68" s="170" t="s">
        <v>633</v>
      </c>
      <c r="H68" s="165" t="s">
        <v>110</v>
      </c>
      <c r="I68" s="165" t="s">
        <v>1988</v>
      </c>
      <c r="J68" s="165" t="s">
        <v>1989</v>
      </c>
      <c r="K68" s="166">
        <v>121.3812616</v>
      </c>
      <c r="L68" s="166">
        <v>36.7091849</v>
      </c>
      <c r="M68" s="170">
        <v>1253</v>
      </c>
      <c r="N68" s="170" t="s">
        <v>1983</v>
      </c>
      <c r="O68" s="172">
        <v>44756</v>
      </c>
      <c r="P68" s="172"/>
      <c r="Q68" s="172"/>
      <c r="R68" s="165">
        <v>2028</v>
      </c>
    </row>
    <row r="69" spans="1:18">
      <c r="A69" s="170">
        <v>68</v>
      </c>
      <c r="B69" s="168" t="s">
        <v>1994</v>
      </c>
      <c r="C69" s="169" t="s">
        <v>1995</v>
      </c>
      <c r="D69" s="169" t="s">
        <v>1828</v>
      </c>
      <c r="E69" s="169" t="s">
        <v>1829</v>
      </c>
      <c r="F69" s="168" t="s">
        <v>1996</v>
      </c>
      <c r="G69" s="168" t="s">
        <v>1831</v>
      </c>
      <c r="H69" s="165" t="s">
        <v>110</v>
      </c>
      <c r="I69" s="165" t="s">
        <v>1981</v>
      </c>
      <c r="J69" s="165" t="s">
        <v>1982</v>
      </c>
      <c r="K69" s="166">
        <v>122.5189394</v>
      </c>
      <c r="L69" s="166">
        <v>36.9656812</v>
      </c>
      <c r="M69" s="168">
        <v>211</v>
      </c>
      <c r="N69" s="168" t="s">
        <v>1997</v>
      </c>
      <c r="O69" s="171">
        <v>41252</v>
      </c>
      <c r="P69" s="171">
        <v>44544</v>
      </c>
      <c r="Q69" s="171">
        <v>45266</v>
      </c>
      <c r="R69" s="165">
        <v>2023</v>
      </c>
    </row>
    <row r="70" spans="1:18">
      <c r="A70" s="168">
        <v>69</v>
      </c>
      <c r="B70" s="168" t="s">
        <v>1998</v>
      </c>
      <c r="C70" s="169" t="s">
        <v>1999</v>
      </c>
      <c r="D70" s="169" t="s">
        <v>1828</v>
      </c>
      <c r="E70" s="169" t="s">
        <v>1829</v>
      </c>
      <c r="F70" s="168" t="s">
        <v>1953</v>
      </c>
      <c r="G70" s="168" t="s">
        <v>1831</v>
      </c>
      <c r="H70" s="165" t="s">
        <v>102</v>
      </c>
      <c r="I70" s="165" t="s">
        <v>2000</v>
      </c>
      <c r="J70" s="165" t="s">
        <v>2001</v>
      </c>
      <c r="K70" s="166">
        <v>120.9417771</v>
      </c>
      <c r="L70" s="166">
        <v>30.4404042</v>
      </c>
      <c r="M70" s="168">
        <v>1089</v>
      </c>
      <c r="N70" s="168" t="s">
        <v>1946</v>
      </c>
      <c r="O70" s="171">
        <v>39808</v>
      </c>
      <c r="P70" s="171">
        <v>41947</v>
      </c>
      <c r="Q70" s="171">
        <v>41988</v>
      </c>
      <c r="R70" s="165">
        <v>2014</v>
      </c>
    </row>
    <row r="71" spans="1:18">
      <c r="A71" s="170">
        <v>70</v>
      </c>
      <c r="B71" s="170" t="s">
        <v>2002</v>
      </c>
      <c r="C71" s="169" t="s">
        <v>1999</v>
      </c>
      <c r="D71" s="169" t="s">
        <v>1828</v>
      </c>
      <c r="E71" s="169" t="s">
        <v>1836</v>
      </c>
      <c r="F71" s="170" t="s">
        <v>1953</v>
      </c>
      <c r="G71" s="170" t="s">
        <v>1831</v>
      </c>
      <c r="H71" s="165" t="s">
        <v>102</v>
      </c>
      <c r="I71" s="165" t="s">
        <v>2000</v>
      </c>
      <c r="J71" s="165" t="s">
        <v>2001</v>
      </c>
      <c r="K71" s="166">
        <v>120.9417771</v>
      </c>
      <c r="L71" s="166">
        <v>30.4404042</v>
      </c>
      <c r="M71" s="170">
        <v>1089</v>
      </c>
      <c r="N71" s="170" t="s">
        <v>1946</v>
      </c>
      <c r="O71" s="172">
        <v>40011</v>
      </c>
      <c r="P71" s="172">
        <v>42016</v>
      </c>
      <c r="Q71" s="172">
        <v>42047</v>
      </c>
      <c r="R71" s="165">
        <v>2015</v>
      </c>
    </row>
    <row r="72" spans="1:18">
      <c r="A72" s="168">
        <v>71</v>
      </c>
      <c r="B72" s="168" t="s">
        <v>2003</v>
      </c>
      <c r="C72" s="169" t="s">
        <v>2004</v>
      </c>
      <c r="D72" s="169" t="s">
        <v>1866</v>
      </c>
      <c r="E72" s="169" t="s">
        <v>1829</v>
      </c>
      <c r="F72" s="168" t="s">
        <v>2005</v>
      </c>
      <c r="G72" s="168" t="s">
        <v>1831</v>
      </c>
      <c r="H72" s="165" t="s">
        <v>102</v>
      </c>
      <c r="I72" s="165" t="s">
        <v>2000</v>
      </c>
      <c r="J72" s="165" t="s">
        <v>2001</v>
      </c>
      <c r="K72" s="166">
        <v>120.950559</v>
      </c>
      <c r="L72" s="166">
        <v>30.4412792</v>
      </c>
      <c r="M72" s="168">
        <v>650</v>
      </c>
      <c r="N72" s="168" t="s">
        <v>1946</v>
      </c>
      <c r="O72" s="171">
        <v>35218</v>
      </c>
      <c r="P72" s="171">
        <v>37293</v>
      </c>
      <c r="Q72" s="171">
        <v>37361</v>
      </c>
      <c r="R72" s="165">
        <v>2002</v>
      </c>
    </row>
    <row r="73" spans="1:18">
      <c r="A73" s="170">
        <v>72</v>
      </c>
      <c r="B73" s="170" t="s">
        <v>2006</v>
      </c>
      <c r="C73" s="169" t="s">
        <v>2004</v>
      </c>
      <c r="D73" s="169" t="s">
        <v>1866</v>
      </c>
      <c r="E73" s="169" t="s">
        <v>1836</v>
      </c>
      <c r="F73" s="170" t="s">
        <v>2005</v>
      </c>
      <c r="G73" s="170" t="s">
        <v>1831</v>
      </c>
      <c r="H73" s="165" t="s">
        <v>102</v>
      </c>
      <c r="I73" s="165" t="s">
        <v>2000</v>
      </c>
      <c r="J73" s="165" t="s">
        <v>2001</v>
      </c>
      <c r="K73" s="166">
        <v>120.950559</v>
      </c>
      <c r="L73" s="166">
        <v>30.4412792</v>
      </c>
      <c r="M73" s="170">
        <v>650</v>
      </c>
      <c r="N73" s="170" t="s">
        <v>1946</v>
      </c>
      <c r="O73" s="172">
        <v>35521</v>
      </c>
      <c r="P73" s="172">
        <v>38057</v>
      </c>
      <c r="Q73" s="172">
        <v>38110</v>
      </c>
      <c r="R73" s="165">
        <v>2004</v>
      </c>
    </row>
    <row r="74" spans="1:18">
      <c r="A74" s="168">
        <v>73</v>
      </c>
      <c r="B74" s="168" t="s">
        <v>2007</v>
      </c>
      <c r="C74" s="169" t="s">
        <v>2004</v>
      </c>
      <c r="D74" s="169" t="s">
        <v>1866</v>
      </c>
      <c r="E74" s="169" t="s">
        <v>1838</v>
      </c>
      <c r="F74" s="168" t="s">
        <v>2005</v>
      </c>
      <c r="G74" s="168" t="s">
        <v>1831</v>
      </c>
      <c r="H74" s="165" t="s">
        <v>102</v>
      </c>
      <c r="I74" s="165" t="s">
        <v>2000</v>
      </c>
      <c r="J74" s="165" t="s">
        <v>2001</v>
      </c>
      <c r="K74" s="166">
        <v>120.950559</v>
      </c>
      <c r="L74" s="166">
        <v>30.4412792</v>
      </c>
      <c r="M74" s="168">
        <v>660</v>
      </c>
      <c r="N74" s="168" t="s">
        <v>1946</v>
      </c>
      <c r="O74" s="171">
        <v>38835</v>
      </c>
      <c r="P74" s="171">
        <v>40391</v>
      </c>
      <c r="Q74" s="171">
        <v>40456</v>
      </c>
      <c r="R74" s="165">
        <v>2010</v>
      </c>
    </row>
    <row r="75" spans="1:18">
      <c r="A75" s="170">
        <v>74</v>
      </c>
      <c r="B75" s="170" t="s">
        <v>2008</v>
      </c>
      <c r="C75" s="169" t="s">
        <v>2004</v>
      </c>
      <c r="D75" s="169" t="s">
        <v>1866</v>
      </c>
      <c r="E75" s="169" t="s">
        <v>1840</v>
      </c>
      <c r="F75" s="170" t="s">
        <v>2005</v>
      </c>
      <c r="G75" s="170" t="s">
        <v>1831</v>
      </c>
      <c r="H75" s="165" t="s">
        <v>102</v>
      </c>
      <c r="I75" s="165" t="s">
        <v>2000</v>
      </c>
      <c r="J75" s="165" t="s">
        <v>2001</v>
      </c>
      <c r="K75" s="166">
        <v>120.950559</v>
      </c>
      <c r="L75" s="166">
        <v>30.4412792</v>
      </c>
      <c r="M75" s="170">
        <v>660</v>
      </c>
      <c r="N75" s="170" t="s">
        <v>1946</v>
      </c>
      <c r="O75" s="172">
        <v>39110</v>
      </c>
      <c r="P75" s="172">
        <v>40872</v>
      </c>
      <c r="Q75" s="172">
        <v>40907</v>
      </c>
      <c r="R75" s="165">
        <v>2011</v>
      </c>
    </row>
    <row r="76" spans="1:18">
      <c r="A76" s="168">
        <v>75</v>
      </c>
      <c r="B76" s="168" t="s">
        <v>2009</v>
      </c>
      <c r="C76" s="169" t="s">
        <v>2010</v>
      </c>
      <c r="D76" s="169" t="s">
        <v>1952</v>
      </c>
      <c r="E76" s="169" t="s">
        <v>1829</v>
      </c>
      <c r="F76" s="168" t="s">
        <v>2011</v>
      </c>
      <c r="G76" s="168" t="s">
        <v>1831</v>
      </c>
      <c r="H76" s="165" t="s">
        <v>102</v>
      </c>
      <c r="I76" s="165" t="s">
        <v>2000</v>
      </c>
      <c r="J76" s="165" t="s">
        <v>2001</v>
      </c>
      <c r="K76" s="166">
        <v>120.9584601</v>
      </c>
      <c r="L76" s="166">
        <v>30.4361652</v>
      </c>
      <c r="M76" s="168">
        <v>728</v>
      </c>
      <c r="N76" s="168" t="s">
        <v>1946</v>
      </c>
      <c r="O76" s="171">
        <v>35954</v>
      </c>
      <c r="P76" s="171">
        <v>37579</v>
      </c>
      <c r="Q76" s="171">
        <v>37621</v>
      </c>
      <c r="R76" s="165">
        <v>2002</v>
      </c>
    </row>
    <row r="77" spans="1:18">
      <c r="A77" s="170">
        <v>76</v>
      </c>
      <c r="B77" s="170" t="s">
        <v>2012</v>
      </c>
      <c r="C77" s="169" t="s">
        <v>2010</v>
      </c>
      <c r="D77" s="169" t="s">
        <v>1952</v>
      </c>
      <c r="E77" s="169" t="s">
        <v>1836</v>
      </c>
      <c r="F77" s="170" t="s">
        <v>2011</v>
      </c>
      <c r="G77" s="170" t="s">
        <v>1831</v>
      </c>
      <c r="H77" s="165" t="s">
        <v>102</v>
      </c>
      <c r="I77" s="165" t="s">
        <v>2000</v>
      </c>
      <c r="J77" s="165" t="s">
        <v>2001</v>
      </c>
      <c r="K77" s="166">
        <v>120.9584601</v>
      </c>
      <c r="L77" s="166">
        <v>30.4361652</v>
      </c>
      <c r="M77" s="170">
        <v>728</v>
      </c>
      <c r="N77" s="170" t="s">
        <v>1946</v>
      </c>
      <c r="O77" s="172">
        <v>36063</v>
      </c>
      <c r="P77" s="172">
        <v>37784</v>
      </c>
      <c r="Q77" s="172">
        <v>37826</v>
      </c>
      <c r="R77" s="165">
        <v>2003</v>
      </c>
    </row>
    <row r="78" spans="1:18">
      <c r="A78" s="168">
        <v>77</v>
      </c>
      <c r="B78" s="168" t="s">
        <v>2013</v>
      </c>
      <c r="C78" s="169" t="s">
        <v>2014</v>
      </c>
      <c r="D78" s="169" t="s">
        <v>1828</v>
      </c>
      <c r="E78" s="169" t="s">
        <v>1829</v>
      </c>
      <c r="F78" s="168" t="s">
        <v>2015</v>
      </c>
      <c r="G78" s="168" t="s">
        <v>1831</v>
      </c>
      <c r="H78" s="165" t="s">
        <v>102</v>
      </c>
      <c r="I78" s="165" t="s">
        <v>2000</v>
      </c>
      <c r="J78" s="165" t="s">
        <v>2001</v>
      </c>
      <c r="K78" s="166">
        <v>120.9424173</v>
      </c>
      <c r="L78" s="166">
        <v>30.4203734</v>
      </c>
      <c r="M78" s="168">
        <v>330</v>
      </c>
      <c r="N78" s="168" t="s">
        <v>1946</v>
      </c>
      <c r="O78" s="171">
        <v>31126</v>
      </c>
      <c r="P78" s="171">
        <v>33587</v>
      </c>
      <c r="Q78" s="171">
        <v>34425</v>
      </c>
      <c r="R78" s="165">
        <v>1991</v>
      </c>
    </row>
    <row r="79" spans="1:18">
      <c r="A79" s="170">
        <v>78</v>
      </c>
      <c r="B79" s="170" t="s">
        <v>2016</v>
      </c>
      <c r="C79" s="165" t="s">
        <v>2017</v>
      </c>
      <c r="D79" s="169" t="s">
        <v>1828</v>
      </c>
      <c r="E79" s="169" t="s">
        <v>1829</v>
      </c>
      <c r="F79" s="170" t="s">
        <v>2018</v>
      </c>
      <c r="G79" s="170" t="s">
        <v>633</v>
      </c>
      <c r="H79" s="165" t="s">
        <v>102</v>
      </c>
      <c r="I79" s="165" t="s">
        <v>2019</v>
      </c>
      <c r="J79" s="165" t="s">
        <v>2020</v>
      </c>
      <c r="K79" s="166">
        <v>120.5150979</v>
      </c>
      <c r="L79" s="166">
        <v>27.2012966</v>
      </c>
      <c r="M79" s="170">
        <v>1210</v>
      </c>
      <c r="N79" s="170" t="s">
        <v>1966</v>
      </c>
      <c r="O79" s="172">
        <v>44196</v>
      </c>
      <c r="P79" s="172"/>
      <c r="Q79" s="172"/>
      <c r="R79" s="165">
        <v>2026</v>
      </c>
    </row>
    <row r="80" spans="1:18">
      <c r="A80" s="168">
        <v>79</v>
      </c>
      <c r="B80" s="168" t="s">
        <v>2021</v>
      </c>
      <c r="C80" s="165" t="s">
        <v>2017</v>
      </c>
      <c r="D80" s="169" t="s">
        <v>1828</v>
      </c>
      <c r="E80" s="169" t="s">
        <v>1836</v>
      </c>
      <c r="F80" s="168" t="s">
        <v>2018</v>
      </c>
      <c r="G80" s="168" t="s">
        <v>633</v>
      </c>
      <c r="H80" s="165" t="s">
        <v>102</v>
      </c>
      <c r="I80" s="165" t="s">
        <v>2019</v>
      </c>
      <c r="J80" s="165" t="s">
        <v>2020</v>
      </c>
      <c r="K80" s="166">
        <v>120.5150979</v>
      </c>
      <c r="L80" s="166">
        <v>27.2012966</v>
      </c>
      <c r="M80" s="168">
        <v>1210</v>
      </c>
      <c r="N80" s="168" t="s">
        <v>1966</v>
      </c>
      <c r="O80" s="171">
        <v>44560</v>
      </c>
      <c r="P80" s="171"/>
      <c r="Q80" s="171"/>
      <c r="R80" s="165">
        <v>2027</v>
      </c>
    </row>
    <row r="81" spans="1:18">
      <c r="A81" s="170">
        <v>80</v>
      </c>
      <c r="B81" s="170" t="s">
        <v>2022</v>
      </c>
      <c r="C81" s="169" t="s">
        <v>2023</v>
      </c>
      <c r="D81" s="169" t="s">
        <v>1828</v>
      </c>
      <c r="E81" s="169" t="s">
        <v>1829</v>
      </c>
      <c r="F81" s="170" t="s">
        <v>1987</v>
      </c>
      <c r="G81" s="170" t="s">
        <v>1831</v>
      </c>
      <c r="H81" s="165" t="s">
        <v>102</v>
      </c>
      <c r="I81" s="165" t="s">
        <v>2024</v>
      </c>
      <c r="J81" s="165" t="s">
        <v>2025</v>
      </c>
      <c r="K81" s="166">
        <v>121.638018</v>
      </c>
      <c r="L81" s="166">
        <v>29.1018862</v>
      </c>
      <c r="M81" s="170">
        <v>1251</v>
      </c>
      <c r="N81" s="170" t="s">
        <v>1946</v>
      </c>
      <c r="O81" s="172">
        <v>39922</v>
      </c>
      <c r="P81" s="172">
        <v>43281</v>
      </c>
      <c r="Q81" s="172">
        <v>43364</v>
      </c>
      <c r="R81" s="165">
        <v>2018</v>
      </c>
    </row>
    <row r="82" spans="1:18">
      <c r="A82" s="168">
        <v>81</v>
      </c>
      <c r="B82" s="168" t="s">
        <v>2026</v>
      </c>
      <c r="C82" s="169" t="s">
        <v>2023</v>
      </c>
      <c r="D82" s="169" t="s">
        <v>1828</v>
      </c>
      <c r="E82" s="169" t="s">
        <v>1836</v>
      </c>
      <c r="F82" s="168" t="s">
        <v>1987</v>
      </c>
      <c r="G82" s="168" t="s">
        <v>1831</v>
      </c>
      <c r="H82" s="165" t="s">
        <v>102</v>
      </c>
      <c r="I82" s="165" t="s">
        <v>2024</v>
      </c>
      <c r="J82" s="165" t="s">
        <v>2025</v>
      </c>
      <c r="K82" s="166">
        <v>121.638018</v>
      </c>
      <c r="L82" s="166">
        <v>29.1018862</v>
      </c>
      <c r="M82" s="168">
        <v>1251</v>
      </c>
      <c r="N82" s="168" t="s">
        <v>1946</v>
      </c>
      <c r="O82" s="171">
        <v>40162</v>
      </c>
      <c r="P82" s="171">
        <v>43336</v>
      </c>
      <c r="Q82" s="171">
        <v>43409</v>
      </c>
      <c r="R82" s="165">
        <v>2018</v>
      </c>
    </row>
    <row r="83" spans="1:18">
      <c r="A83" s="170">
        <v>82</v>
      </c>
      <c r="B83" s="170" t="s">
        <v>2027</v>
      </c>
      <c r="C83" s="165" t="s">
        <v>2023</v>
      </c>
      <c r="D83" s="169" t="s">
        <v>1866</v>
      </c>
      <c r="E83" s="169" t="s">
        <v>1838</v>
      </c>
      <c r="F83" s="170" t="s">
        <v>1992</v>
      </c>
      <c r="G83" s="170" t="s">
        <v>633</v>
      </c>
      <c r="H83" s="165" t="s">
        <v>102</v>
      </c>
      <c r="I83" s="165" t="s">
        <v>2024</v>
      </c>
      <c r="J83" s="165" t="s">
        <v>2025</v>
      </c>
      <c r="K83" s="166">
        <v>121.638018</v>
      </c>
      <c r="L83" s="166">
        <v>29.1018862</v>
      </c>
      <c r="M83" s="170">
        <v>1250</v>
      </c>
      <c r="N83" s="170" t="s">
        <v>1946</v>
      </c>
      <c r="O83" s="172">
        <v>44740</v>
      </c>
      <c r="P83" s="172"/>
      <c r="Q83" s="172"/>
      <c r="R83" s="165">
        <v>2027</v>
      </c>
    </row>
    <row r="84" spans="1:18">
      <c r="A84" s="168">
        <v>83</v>
      </c>
      <c r="B84" s="165" t="s">
        <v>2028</v>
      </c>
      <c r="C84" s="165" t="s">
        <v>2023</v>
      </c>
      <c r="D84" s="169" t="s">
        <v>1866</v>
      </c>
      <c r="E84" s="169" t="s">
        <v>1840</v>
      </c>
      <c r="F84" s="170" t="s">
        <v>1992</v>
      </c>
      <c r="G84" s="170" t="s">
        <v>1867</v>
      </c>
      <c r="H84" s="165" t="s">
        <v>102</v>
      </c>
      <c r="I84" s="165" t="s">
        <v>2024</v>
      </c>
      <c r="J84" s="165" t="s">
        <v>2025</v>
      </c>
      <c r="K84" s="166">
        <v>121.638018</v>
      </c>
      <c r="L84" s="166">
        <v>29.1018862</v>
      </c>
      <c r="M84" s="170">
        <v>1250</v>
      </c>
      <c r="N84" s="170" t="s">
        <v>1946</v>
      </c>
      <c r="O84" s="172" t="s">
        <v>2029</v>
      </c>
      <c r="P84" s="181"/>
      <c r="Q84" s="181"/>
      <c r="R84" s="180">
        <v>2029</v>
      </c>
    </row>
    <row r="85" spans="1:18">
      <c r="A85" s="170">
        <v>84</v>
      </c>
      <c r="B85" s="165" t="s">
        <v>2030</v>
      </c>
      <c r="C85" s="76" t="s">
        <v>2031</v>
      </c>
      <c r="D85" s="169" t="s">
        <v>1828</v>
      </c>
      <c r="E85" s="169" t="s">
        <v>1829</v>
      </c>
      <c r="F85" s="165" t="s">
        <v>2032</v>
      </c>
      <c r="G85" s="165" t="s">
        <v>2033</v>
      </c>
      <c r="H85" s="76" t="s">
        <v>2034</v>
      </c>
      <c r="I85" s="76" t="s">
        <v>2035</v>
      </c>
      <c r="J85" s="76" t="s">
        <v>2036</v>
      </c>
      <c r="K85" s="182">
        <v>121.5875634</v>
      </c>
      <c r="L85" s="182">
        <v>25.2863566</v>
      </c>
      <c r="M85" s="165">
        <v>604</v>
      </c>
      <c r="N85" s="165"/>
      <c r="O85" s="181">
        <v>26086</v>
      </c>
      <c r="P85" s="181">
        <v>28445</v>
      </c>
      <c r="Q85" s="181">
        <v>28834</v>
      </c>
      <c r="R85" s="165">
        <v>1977</v>
      </c>
    </row>
    <row r="86" spans="1:18">
      <c r="A86" s="168">
        <v>85</v>
      </c>
      <c r="B86" s="165" t="s">
        <v>2037</v>
      </c>
      <c r="C86" s="76" t="s">
        <v>2038</v>
      </c>
      <c r="D86" s="169" t="s">
        <v>1828</v>
      </c>
      <c r="E86" s="169" t="s">
        <v>1836</v>
      </c>
      <c r="F86" s="165" t="s">
        <v>2039</v>
      </c>
      <c r="G86" s="165" t="s">
        <v>1831</v>
      </c>
      <c r="H86" s="76" t="s">
        <v>2034</v>
      </c>
      <c r="I86" s="76" t="s">
        <v>2035</v>
      </c>
      <c r="J86" s="76" t="s">
        <v>2040</v>
      </c>
      <c r="K86" s="182">
        <v>121.6624599</v>
      </c>
      <c r="L86" s="182">
        <v>25.2026842</v>
      </c>
      <c r="M86" s="165">
        <v>985</v>
      </c>
      <c r="N86" s="165"/>
      <c r="O86" s="181">
        <v>27652</v>
      </c>
      <c r="P86" s="181">
        <v>30131</v>
      </c>
      <c r="Q86" s="181">
        <v>30390</v>
      </c>
      <c r="R86" s="165">
        <v>1982</v>
      </c>
    </row>
    <row r="87" spans="1:18">
      <c r="A87" s="170">
        <v>86</v>
      </c>
      <c r="B87" s="165" t="s">
        <v>2041</v>
      </c>
      <c r="C87" s="76" t="s">
        <v>2042</v>
      </c>
      <c r="D87" s="169" t="s">
        <v>1828</v>
      </c>
      <c r="E87" s="169" t="s">
        <v>1829</v>
      </c>
      <c r="F87" s="165" t="s">
        <v>2043</v>
      </c>
      <c r="G87" s="165" t="s">
        <v>1831</v>
      </c>
      <c r="H87" s="76" t="s">
        <v>2034</v>
      </c>
      <c r="I87" s="76" t="s">
        <v>2044</v>
      </c>
      <c r="J87" s="165"/>
      <c r="K87" s="182">
        <v>120.751901</v>
      </c>
      <c r="L87" s="182">
        <v>21.9576402</v>
      </c>
      <c r="M87" s="165">
        <v>936</v>
      </c>
      <c r="N87" s="165"/>
      <c r="O87" s="181">
        <v>28723</v>
      </c>
      <c r="P87" s="181">
        <v>30811</v>
      </c>
      <c r="Q87" s="181">
        <v>30890</v>
      </c>
      <c r="R87" s="165">
        <v>1984</v>
      </c>
    </row>
    <row r="88" spans="1:18">
      <c r="A88" s="168">
        <v>87</v>
      </c>
      <c r="B88" s="165" t="s">
        <v>2045</v>
      </c>
      <c r="C88" s="76" t="s">
        <v>2042</v>
      </c>
      <c r="D88" s="169" t="s">
        <v>1828</v>
      </c>
      <c r="E88" s="169" t="s">
        <v>1836</v>
      </c>
      <c r="F88" s="165" t="s">
        <v>2043</v>
      </c>
      <c r="G88" s="165" t="s">
        <v>1831</v>
      </c>
      <c r="H88" s="76" t="s">
        <v>2034</v>
      </c>
      <c r="I88" s="76" t="s">
        <v>2044</v>
      </c>
      <c r="J88" s="165"/>
      <c r="K88" s="182">
        <v>120.751901</v>
      </c>
      <c r="L88" s="182">
        <v>21.9576402</v>
      </c>
      <c r="M88" s="165">
        <v>938</v>
      </c>
      <c r="N88" s="165"/>
      <c r="O88" s="181">
        <v>28907</v>
      </c>
      <c r="P88" s="181">
        <v>23798</v>
      </c>
      <c r="Q88" s="181">
        <v>31185</v>
      </c>
      <c r="R88" s="165">
        <v>1965</v>
      </c>
    </row>
    <row r="89" spans="1:18">
      <c r="A89" s="170"/>
      <c r="B89" s="165" t="s">
        <v>2046</v>
      </c>
      <c r="C89" s="76" t="s">
        <v>2031</v>
      </c>
      <c r="D89" s="169" t="s">
        <v>1828</v>
      </c>
      <c r="E89" s="169" t="s">
        <v>1836</v>
      </c>
      <c r="F89" s="165" t="s">
        <v>2032</v>
      </c>
      <c r="G89" s="165" t="s">
        <v>2033</v>
      </c>
      <c r="H89" s="76" t="s">
        <v>2034</v>
      </c>
      <c r="I89" s="76" t="s">
        <v>2035</v>
      </c>
      <c r="J89" s="76" t="s">
        <v>2036</v>
      </c>
      <c r="K89" s="182">
        <v>121.5875634</v>
      </c>
      <c r="L89" s="182">
        <v>25.2863566</v>
      </c>
      <c r="M89" s="165">
        <v>604</v>
      </c>
      <c r="N89" s="165"/>
      <c r="O89" s="181">
        <v>27005</v>
      </c>
      <c r="P89" s="181">
        <v>28843</v>
      </c>
      <c r="Q89" s="181">
        <v>29051</v>
      </c>
      <c r="R89" s="165">
        <v>1978</v>
      </c>
    </row>
    <row r="90" spans="1:18">
      <c r="A90" s="170"/>
      <c r="B90" s="165" t="s">
        <v>2047</v>
      </c>
      <c r="C90" s="76" t="s">
        <v>2038</v>
      </c>
      <c r="D90" s="169" t="s">
        <v>1828</v>
      </c>
      <c r="E90" s="169" t="s">
        <v>1829</v>
      </c>
      <c r="F90" s="165" t="s">
        <v>2039</v>
      </c>
      <c r="G90" s="165" t="s">
        <v>2033</v>
      </c>
      <c r="H90" s="76" t="s">
        <v>2034</v>
      </c>
      <c r="I90" s="76" t="s">
        <v>2035</v>
      </c>
      <c r="J90" s="76" t="s">
        <v>2040</v>
      </c>
      <c r="K90" s="182">
        <v>121.6624599</v>
      </c>
      <c r="L90" s="182">
        <v>25.2026842</v>
      </c>
      <c r="M90" s="165">
        <v>985</v>
      </c>
      <c r="N90" s="165"/>
      <c r="O90" s="181">
        <v>27717</v>
      </c>
      <c r="P90" s="181">
        <v>29082</v>
      </c>
      <c r="Q90" s="181">
        <v>29948</v>
      </c>
      <c r="R90" s="165">
        <v>1979</v>
      </c>
    </row>
    <row r="91" spans="1:18">
      <c r="A91" s="165"/>
      <c r="B91" s="165" t="s">
        <v>2048</v>
      </c>
      <c r="C91" s="76" t="s">
        <v>2049</v>
      </c>
      <c r="D91" s="169" t="s">
        <v>1828</v>
      </c>
      <c r="E91" s="169" t="s">
        <v>1829</v>
      </c>
      <c r="F91" s="165" t="s">
        <v>2050</v>
      </c>
      <c r="G91" s="165" t="s">
        <v>2051</v>
      </c>
      <c r="H91" s="76" t="s">
        <v>2034</v>
      </c>
      <c r="I91" s="76" t="s">
        <v>2035</v>
      </c>
      <c r="J91" s="76" t="s">
        <v>2052</v>
      </c>
      <c r="K91" s="182">
        <v>121.9244984</v>
      </c>
      <c r="L91" s="182">
        <v>25.0383246</v>
      </c>
      <c r="M91" s="165">
        <v>1350</v>
      </c>
      <c r="N91" s="165"/>
      <c r="O91" s="181">
        <v>36236</v>
      </c>
      <c r="P91" s="181"/>
      <c r="Q91" s="181"/>
      <c r="R91" s="165"/>
    </row>
    <row r="92" spans="1:18">
      <c r="A92" s="165"/>
      <c r="B92" s="165" t="s">
        <v>2053</v>
      </c>
      <c r="C92" s="76" t="s">
        <v>2049</v>
      </c>
      <c r="D92" s="169" t="s">
        <v>1828</v>
      </c>
      <c r="E92" s="169" t="s">
        <v>1836</v>
      </c>
      <c r="F92" s="165" t="s">
        <v>2050</v>
      </c>
      <c r="G92" s="165" t="s">
        <v>2051</v>
      </c>
      <c r="H92" s="76" t="s">
        <v>2034</v>
      </c>
      <c r="I92" s="76" t="s">
        <v>2035</v>
      </c>
      <c r="J92" s="76" t="s">
        <v>2052</v>
      </c>
      <c r="K92" s="182">
        <v>121.9244984</v>
      </c>
      <c r="L92" s="182">
        <v>25.0383246</v>
      </c>
      <c r="M92" s="165">
        <v>1350</v>
      </c>
      <c r="N92" s="165"/>
      <c r="O92" s="181">
        <v>36236</v>
      </c>
      <c r="P92" s="181"/>
      <c r="Q92" s="181"/>
      <c r="R92" s="165"/>
    </row>
  </sheetData>
  <autoFilter xmlns:etc="http://www.wps.cn/officeDocument/2017/etCustomData" ref="A1:R92" etc:filterBottomFollowUsedRange="0">
    <sortState ref="A1:R92">
      <sortCondition ref="R1:R92"/>
    </sortState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topLeftCell="A37" workbookViewId="0">
      <selection activeCell="E54" sqref="E54"/>
    </sheetView>
  </sheetViews>
  <sheetFormatPr defaultColWidth="9" defaultRowHeight="13.85"/>
  <cols>
    <col min="1" max="1" width="12.283185840708" style="92" customWidth="1"/>
    <col min="2" max="2" width="33.858407079646" style="97" customWidth="1"/>
    <col min="3" max="3" width="9.13274336283186" style="92"/>
    <col min="4" max="4" width="10.4247787610619" style="92" customWidth="1"/>
    <col min="5" max="6" width="9.13274336283186" style="92"/>
    <col min="7" max="7" width="10.4247787610619" style="92" customWidth="1"/>
    <col min="8" max="8" width="9.13274336283186" style="92"/>
    <col min="9" max="14" width="10.4247787610619" style="92" customWidth="1"/>
    <col min="15" max="15" width="9.13274336283186" style="92"/>
    <col min="16" max="16" width="10.4247787610619" style="92" customWidth="1"/>
    <col min="17" max="17" width="9.13274336283186" style="92"/>
    <col min="18" max="18" width="10.4247787610619" style="92" customWidth="1"/>
    <col min="19" max="19" width="11.4247787610619" style="92" customWidth="1"/>
    <col min="20" max="20" width="9.13274336283186" style="92"/>
    <col min="21" max="21" width="10.4247787610619" style="92" customWidth="1"/>
    <col min="22" max="16384" width="9.13274336283186" style="92"/>
  </cols>
  <sheetData>
    <row r="1" spans="2:20">
      <c r="B1" s="121"/>
      <c r="C1" s="122" t="s">
        <v>2054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2:20">
      <c r="B2" s="121" t="s">
        <v>160</v>
      </c>
      <c r="C2" s="44">
        <v>1990</v>
      </c>
      <c r="D2" s="44">
        <v>1991</v>
      </c>
      <c r="E2" s="44">
        <v>1992</v>
      </c>
      <c r="F2" s="44">
        <v>1993</v>
      </c>
      <c r="G2" s="44">
        <v>1994</v>
      </c>
      <c r="H2" s="44">
        <v>1995</v>
      </c>
      <c r="I2" s="44">
        <v>1996</v>
      </c>
      <c r="J2" s="44">
        <v>1997</v>
      </c>
      <c r="K2" s="44">
        <v>1998</v>
      </c>
      <c r="L2" s="44">
        <v>1999</v>
      </c>
      <c r="M2" s="44">
        <v>2000</v>
      </c>
      <c r="N2" s="44">
        <v>2001</v>
      </c>
      <c r="O2" s="44">
        <v>2002</v>
      </c>
      <c r="P2" s="44">
        <v>2003</v>
      </c>
      <c r="Q2" s="44">
        <v>2004</v>
      </c>
      <c r="R2" s="44">
        <v>2005</v>
      </c>
      <c r="S2" s="44">
        <v>2006</v>
      </c>
      <c r="T2" s="44">
        <v>2007</v>
      </c>
    </row>
    <row r="3" spans="2:20">
      <c r="B3" s="124" t="s">
        <v>200</v>
      </c>
      <c r="C3" s="44">
        <f>SUM(C4:C34)</f>
        <v>33</v>
      </c>
      <c r="D3" s="44">
        <f t="shared" ref="D3:E3" si="0">SUM(D4:D34)</f>
        <v>453</v>
      </c>
      <c r="E3" s="44">
        <f t="shared" si="0"/>
        <v>453</v>
      </c>
      <c r="F3" s="44">
        <f t="shared" ref="F3:T3" si="1">SUM(F4:F34)</f>
        <v>503</v>
      </c>
      <c r="G3" s="44">
        <f t="shared" si="1"/>
        <v>1703</v>
      </c>
      <c r="H3" s="44">
        <f t="shared" si="1"/>
        <v>1703</v>
      </c>
      <c r="I3" s="44">
        <f t="shared" si="1"/>
        <v>1703</v>
      </c>
      <c r="J3" s="44">
        <f t="shared" si="1"/>
        <v>2593</v>
      </c>
      <c r="K3" s="44">
        <f t="shared" si="1"/>
        <v>4473</v>
      </c>
      <c r="L3" s="44">
        <f t="shared" si="1"/>
        <v>4473</v>
      </c>
      <c r="M3" s="44">
        <f t="shared" si="1"/>
        <v>5673</v>
      </c>
      <c r="N3" s="44">
        <f t="shared" si="1"/>
        <v>5823</v>
      </c>
      <c r="O3" s="44">
        <f t="shared" si="1"/>
        <v>5923</v>
      </c>
      <c r="P3" s="44">
        <f t="shared" si="1"/>
        <v>5923</v>
      </c>
      <c r="Q3" s="44">
        <f t="shared" si="1"/>
        <v>5923</v>
      </c>
      <c r="R3" s="44">
        <f t="shared" si="1"/>
        <v>7243</v>
      </c>
      <c r="S3" s="44">
        <f t="shared" si="1"/>
        <v>9143</v>
      </c>
      <c r="T3" s="44">
        <f t="shared" si="1"/>
        <v>10143</v>
      </c>
    </row>
    <row r="4" spans="2:20">
      <c r="B4" s="124" t="s">
        <v>82</v>
      </c>
      <c r="C4" s="44">
        <f t="shared" ref="C4:R34" si="2">SUMIFS($G$38:$G$69,$N$38:$N$69,"&lt;="&amp;C$2,$E$38:$E$69,$B4)+SUMIFS($G$78:$G$93,$N$78:$N$93,"&lt;="&amp;C$2,$E$78:$E$93,$B4)</f>
        <v>22</v>
      </c>
      <c r="D4" s="44">
        <f t="shared" si="2"/>
        <v>22</v>
      </c>
      <c r="E4" s="44">
        <f t="shared" si="2"/>
        <v>22</v>
      </c>
      <c r="F4" s="44">
        <f t="shared" si="2"/>
        <v>22</v>
      </c>
      <c r="G4" s="44">
        <f t="shared" si="2"/>
        <v>22</v>
      </c>
      <c r="H4" s="44">
        <f t="shared" si="2"/>
        <v>22</v>
      </c>
      <c r="I4" s="44">
        <f t="shared" si="2"/>
        <v>22</v>
      </c>
      <c r="J4" s="44">
        <f t="shared" si="2"/>
        <v>822</v>
      </c>
      <c r="K4" s="44">
        <f t="shared" si="2"/>
        <v>822</v>
      </c>
      <c r="L4" s="44">
        <f t="shared" si="2"/>
        <v>822</v>
      </c>
      <c r="M4" s="44">
        <f t="shared" si="2"/>
        <v>822</v>
      </c>
      <c r="N4" s="44">
        <f t="shared" si="2"/>
        <v>822</v>
      </c>
      <c r="O4" s="44">
        <f t="shared" si="2"/>
        <v>822</v>
      </c>
      <c r="P4" s="44">
        <f t="shared" si="2"/>
        <v>822</v>
      </c>
      <c r="Q4" s="44">
        <f t="shared" si="2"/>
        <v>822</v>
      </c>
      <c r="R4" s="44">
        <f t="shared" si="2"/>
        <v>822</v>
      </c>
      <c r="S4" s="44">
        <f t="shared" ref="F4:T19" si="3">SUMIFS($G$38:$G$69,$N$38:$N$69,"&lt;="&amp;S$2,$E$38:$E$69,$B4)+SUMIFS($G$78:$G$93,$N$78:$N$93,"&lt;="&amp;S$2,$E$78:$E$93,$B4)</f>
        <v>822</v>
      </c>
      <c r="T4" s="44">
        <f t="shared" si="3"/>
        <v>822</v>
      </c>
    </row>
    <row r="5" spans="2:20">
      <c r="B5" s="124" t="s">
        <v>84</v>
      </c>
      <c r="C5" s="44">
        <f t="shared" si="2"/>
        <v>0</v>
      </c>
      <c r="D5" s="44">
        <f t="shared" si="2"/>
        <v>0</v>
      </c>
      <c r="E5" s="44">
        <f t="shared" si="2"/>
        <v>0</v>
      </c>
      <c r="F5" s="44">
        <f t="shared" si="3"/>
        <v>0</v>
      </c>
      <c r="G5" s="44">
        <f t="shared" si="3"/>
        <v>0</v>
      </c>
      <c r="H5" s="44">
        <f t="shared" si="3"/>
        <v>0</v>
      </c>
      <c r="I5" s="44">
        <f t="shared" si="3"/>
        <v>0</v>
      </c>
      <c r="J5" s="44">
        <f t="shared" si="3"/>
        <v>0</v>
      </c>
      <c r="K5" s="44">
        <f t="shared" si="3"/>
        <v>0</v>
      </c>
      <c r="L5" s="44">
        <f t="shared" si="3"/>
        <v>0</v>
      </c>
      <c r="M5" s="44">
        <f t="shared" si="3"/>
        <v>0</v>
      </c>
      <c r="N5" s="44">
        <f t="shared" si="3"/>
        <v>0</v>
      </c>
      <c r="O5" s="44">
        <f t="shared" si="3"/>
        <v>0</v>
      </c>
      <c r="P5" s="44">
        <f t="shared" si="3"/>
        <v>0</v>
      </c>
      <c r="Q5" s="44">
        <f t="shared" si="3"/>
        <v>0</v>
      </c>
      <c r="R5" s="44">
        <f t="shared" si="3"/>
        <v>0</v>
      </c>
      <c r="S5" s="44">
        <f t="shared" si="3"/>
        <v>0</v>
      </c>
      <c r="T5" s="44">
        <f t="shared" si="3"/>
        <v>0</v>
      </c>
    </row>
    <row r="6" spans="2:20">
      <c r="B6" s="124" t="s">
        <v>86</v>
      </c>
      <c r="C6" s="44">
        <f t="shared" si="2"/>
        <v>11</v>
      </c>
      <c r="D6" s="44">
        <f t="shared" si="2"/>
        <v>431</v>
      </c>
      <c r="E6" s="44">
        <f t="shared" si="2"/>
        <v>431</v>
      </c>
      <c r="F6" s="44">
        <f t="shared" si="3"/>
        <v>431</v>
      </c>
      <c r="G6" s="44">
        <f t="shared" si="3"/>
        <v>431</v>
      </c>
      <c r="H6" s="44">
        <f t="shared" si="3"/>
        <v>431</v>
      </c>
      <c r="I6" s="44">
        <f t="shared" si="3"/>
        <v>431</v>
      </c>
      <c r="J6" s="44">
        <f t="shared" si="3"/>
        <v>431</v>
      </c>
      <c r="K6" s="44">
        <f t="shared" si="3"/>
        <v>431</v>
      </c>
      <c r="L6" s="44">
        <f t="shared" si="3"/>
        <v>431</v>
      </c>
      <c r="M6" s="44">
        <f t="shared" si="3"/>
        <v>431</v>
      </c>
      <c r="N6" s="44">
        <f t="shared" si="3"/>
        <v>431</v>
      </c>
      <c r="O6" s="44">
        <f t="shared" si="3"/>
        <v>431</v>
      </c>
      <c r="P6" s="44">
        <f t="shared" si="3"/>
        <v>431</v>
      </c>
      <c r="Q6" s="44">
        <f t="shared" si="3"/>
        <v>431</v>
      </c>
      <c r="R6" s="44">
        <f t="shared" si="3"/>
        <v>431</v>
      </c>
      <c r="S6" s="44">
        <f t="shared" si="3"/>
        <v>431</v>
      </c>
      <c r="T6" s="44">
        <f t="shared" si="3"/>
        <v>1431</v>
      </c>
    </row>
    <row r="7" spans="2:20">
      <c r="B7" s="124" t="s">
        <v>88</v>
      </c>
      <c r="C7" s="44">
        <f t="shared" si="2"/>
        <v>0</v>
      </c>
      <c r="D7" s="44">
        <f t="shared" si="2"/>
        <v>0</v>
      </c>
      <c r="E7" s="44">
        <f t="shared" si="2"/>
        <v>0</v>
      </c>
      <c r="F7" s="44">
        <f t="shared" si="3"/>
        <v>0</v>
      </c>
      <c r="G7" s="44">
        <f t="shared" si="3"/>
        <v>0</v>
      </c>
      <c r="H7" s="44">
        <f t="shared" si="3"/>
        <v>0</v>
      </c>
      <c r="I7" s="44">
        <f t="shared" si="3"/>
        <v>0</v>
      </c>
      <c r="J7" s="44">
        <f t="shared" si="3"/>
        <v>0</v>
      </c>
      <c r="K7" s="44">
        <f t="shared" si="3"/>
        <v>0</v>
      </c>
      <c r="L7" s="44">
        <f t="shared" si="3"/>
        <v>0</v>
      </c>
      <c r="M7" s="44">
        <f t="shared" si="3"/>
        <v>0</v>
      </c>
      <c r="N7" s="44">
        <f t="shared" si="3"/>
        <v>0</v>
      </c>
      <c r="O7" s="44">
        <f t="shared" si="3"/>
        <v>0</v>
      </c>
      <c r="P7" s="44">
        <f t="shared" si="3"/>
        <v>0</v>
      </c>
      <c r="Q7" s="44">
        <f t="shared" si="3"/>
        <v>0</v>
      </c>
      <c r="R7" s="44">
        <f t="shared" si="3"/>
        <v>0</v>
      </c>
      <c r="S7" s="44">
        <f t="shared" si="3"/>
        <v>0</v>
      </c>
      <c r="T7" s="44">
        <f t="shared" si="3"/>
        <v>0</v>
      </c>
    </row>
    <row r="8" spans="2:20">
      <c r="B8" s="124" t="s">
        <v>90</v>
      </c>
      <c r="C8" s="44">
        <f t="shared" si="2"/>
        <v>0</v>
      </c>
      <c r="D8" s="44">
        <f t="shared" si="2"/>
        <v>0</v>
      </c>
      <c r="E8" s="44">
        <f t="shared" si="2"/>
        <v>0</v>
      </c>
      <c r="F8" s="44">
        <f t="shared" si="3"/>
        <v>0</v>
      </c>
      <c r="G8" s="44">
        <f t="shared" si="3"/>
        <v>0</v>
      </c>
      <c r="H8" s="44">
        <f t="shared" si="3"/>
        <v>0</v>
      </c>
      <c r="I8" s="44">
        <f t="shared" si="3"/>
        <v>0</v>
      </c>
      <c r="J8" s="44">
        <f t="shared" si="3"/>
        <v>0</v>
      </c>
      <c r="K8" s="44">
        <f t="shared" si="3"/>
        <v>0</v>
      </c>
      <c r="L8" s="44">
        <f t="shared" si="3"/>
        <v>0</v>
      </c>
      <c r="M8" s="44">
        <f t="shared" si="3"/>
        <v>0</v>
      </c>
      <c r="N8" s="44">
        <f t="shared" si="3"/>
        <v>0</v>
      </c>
      <c r="O8" s="44">
        <f t="shared" si="3"/>
        <v>0</v>
      </c>
      <c r="P8" s="44">
        <f t="shared" si="3"/>
        <v>0</v>
      </c>
      <c r="Q8" s="44">
        <f t="shared" si="3"/>
        <v>0</v>
      </c>
      <c r="R8" s="44">
        <f t="shared" si="3"/>
        <v>0</v>
      </c>
      <c r="S8" s="44">
        <f t="shared" si="3"/>
        <v>0</v>
      </c>
      <c r="T8" s="44">
        <f t="shared" si="3"/>
        <v>0</v>
      </c>
    </row>
    <row r="9" spans="2:20">
      <c r="B9" s="124" t="s">
        <v>92</v>
      </c>
      <c r="C9" s="44">
        <f t="shared" si="2"/>
        <v>0</v>
      </c>
      <c r="D9" s="44">
        <f t="shared" si="2"/>
        <v>0</v>
      </c>
      <c r="E9" s="44">
        <f t="shared" si="2"/>
        <v>0</v>
      </c>
      <c r="F9" s="44">
        <f t="shared" si="3"/>
        <v>0</v>
      </c>
      <c r="G9" s="44">
        <f t="shared" si="3"/>
        <v>0</v>
      </c>
      <c r="H9" s="44">
        <f t="shared" si="3"/>
        <v>0</v>
      </c>
      <c r="I9" s="44">
        <f t="shared" si="3"/>
        <v>0</v>
      </c>
      <c r="J9" s="44">
        <f t="shared" si="3"/>
        <v>0</v>
      </c>
      <c r="K9" s="44">
        <f t="shared" si="3"/>
        <v>0</v>
      </c>
      <c r="L9" s="44">
        <f t="shared" si="3"/>
        <v>0</v>
      </c>
      <c r="M9" s="44">
        <f t="shared" si="3"/>
        <v>0</v>
      </c>
      <c r="N9" s="44">
        <f t="shared" si="3"/>
        <v>0</v>
      </c>
      <c r="O9" s="44">
        <f t="shared" si="3"/>
        <v>0</v>
      </c>
      <c r="P9" s="44">
        <f t="shared" si="3"/>
        <v>0</v>
      </c>
      <c r="Q9" s="44">
        <f t="shared" si="3"/>
        <v>0</v>
      </c>
      <c r="R9" s="44">
        <f t="shared" si="3"/>
        <v>0</v>
      </c>
      <c r="S9" s="44">
        <f t="shared" si="3"/>
        <v>0</v>
      </c>
      <c r="T9" s="44">
        <f t="shared" si="3"/>
        <v>0</v>
      </c>
    </row>
    <row r="10" spans="2:20">
      <c r="B10" s="124" t="s">
        <v>94</v>
      </c>
      <c r="C10" s="44">
        <f t="shared" si="2"/>
        <v>0</v>
      </c>
      <c r="D10" s="44">
        <f t="shared" si="2"/>
        <v>0</v>
      </c>
      <c r="E10" s="44">
        <f t="shared" si="2"/>
        <v>0</v>
      </c>
      <c r="F10" s="44">
        <f t="shared" si="3"/>
        <v>0</v>
      </c>
      <c r="G10" s="44">
        <f t="shared" si="3"/>
        <v>0</v>
      </c>
      <c r="H10" s="44">
        <f t="shared" si="3"/>
        <v>0</v>
      </c>
      <c r="I10" s="44">
        <f t="shared" si="3"/>
        <v>0</v>
      </c>
      <c r="J10" s="44">
        <f t="shared" si="3"/>
        <v>0</v>
      </c>
      <c r="K10" s="44">
        <f t="shared" si="3"/>
        <v>0</v>
      </c>
      <c r="L10" s="44">
        <f t="shared" si="3"/>
        <v>0</v>
      </c>
      <c r="M10" s="44">
        <f t="shared" si="3"/>
        <v>0</v>
      </c>
      <c r="N10" s="44">
        <f t="shared" si="3"/>
        <v>0</v>
      </c>
      <c r="O10" s="44">
        <f t="shared" si="3"/>
        <v>0</v>
      </c>
      <c r="P10" s="44">
        <f t="shared" si="3"/>
        <v>0</v>
      </c>
      <c r="Q10" s="44">
        <f t="shared" si="3"/>
        <v>0</v>
      </c>
      <c r="R10" s="44">
        <f t="shared" si="3"/>
        <v>0</v>
      </c>
      <c r="S10" s="44">
        <f t="shared" si="3"/>
        <v>300</v>
      </c>
      <c r="T10" s="44">
        <f t="shared" si="3"/>
        <v>300</v>
      </c>
    </row>
    <row r="11" spans="2:20">
      <c r="B11" s="124" t="s">
        <v>96</v>
      </c>
      <c r="C11" s="44">
        <f t="shared" si="2"/>
        <v>0</v>
      </c>
      <c r="D11" s="44">
        <f t="shared" si="2"/>
        <v>0</v>
      </c>
      <c r="E11" s="44">
        <f t="shared" si="2"/>
        <v>0</v>
      </c>
      <c r="F11" s="44">
        <f t="shared" si="3"/>
        <v>0</v>
      </c>
      <c r="G11" s="44">
        <f t="shared" si="3"/>
        <v>0</v>
      </c>
      <c r="H11" s="44">
        <f t="shared" si="3"/>
        <v>0</v>
      </c>
      <c r="I11" s="44">
        <f t="shared" si="3"/>
        <v>0</v>
      </c>
      <c r="J11" s="44">
        <f t="shared" si="3"/>
        <v>0</v>
      </c>
      <c r="K11" s="44">
        <f t="shared" si="3"/>
        <v>0</v>
      </c>
      <c r="L11" s="44">
        <f t="shared" si="3"/>
        <v>0</v>
      </c>
      <c r="M11" s="44">
        <f t="shared" si="3"/>
        <v>0</v>
      </c>
      <c r="N11" s="44">
        <f t="shared" si="3"/>
        <v>0</v>
      </c>
      <c r="O11" s="44">
        <f t="shared" si="3"/>
        <v>0</v>
      </c>
      <c r="P11" s="44">
        <f t="shared" si="3"/>
        <v>0</v>
      </c>
      <c r="Q11" s="44">
        <f t="shared" si="3"/>
        <v>0</v>
      </c>
      <c r="R11" s="44">
        <f t="shared" si="3"/>
        <v>0</v>
      </c>
      <c r="S11" s="44">
        <f t="shared" si="3"/>
        <v>0</v>
      </c>
      <c r="T11" s="44">
        <f t="shared" si="3"/>
        <v>0</v>
      </c>
    </row>
    <row r="12" spans="2:20">
      <c r="B12" s="124" t="s">
        <v>98</v>
      </c>
      <c r="C12" s="44">
        <f t="shared" si="2"/>
        <v>0</v>
      </c>
      <c r="D12" s="44">
        <f t="shared" si="2"/>
        <v>0</v>
      </c>
      <c r="E12" s="44">
        <f t="shared" si="2"/>
        <v>0</v>
      </c>
      <c r="F12" s="44">
        <f t="shared" si="3"/>
        <v>0</v>
      </c>
      <c r="G12" s="44">
        <f t="shared" si="3"/>
        <v>0</v>
      </c>
      <c r="H12" s="44">
        <f t="shared" si="3"/>
        <v>0</v>
      </c>
      <c r="I12" s="44">
        <f t="shared" si="3"/>
        <v>0</v>
      </c>
      <c r="J12" s="44">
        <f t="shared" si="3"/>
        <v>0</v>
      </c>
      <c r="K12" s="44">
        <f t="shared" si="3"/>
        <v>0</v>
      </c>
      <c r="L12" s="44">
        <f t="shared" si="3"/>
        <v>0</v>
      </c>
      <c r="M12" s="44">
        <f t="shared" si="3"/>
        <v>0</v>
      </c>
      <c r="N12" s="44">
        <f t="shared" si="3"/>
        <v>0</v>
      </c>
      <c r="O12" s="44">
        <f t="shared" si="3"/>
        <v>0</v>
      </c>
      <c r="P12" s="44">
        <f t="shared" si="3"/>
        <v>0</v>
      </c>
      <c r="Q12" s="44">
        <f t="shared" si="3"/>
        <v>0</v>
      </c>
      <c r="R12" s="44">
        <f t="shared" si="3"/>
        <v>0</v>
      </c>
      <c r="S12" s="44">
        <f t="shared" si="3"/>
        <v>0</v>
      </c>
      <c r="T12" s="44">
        <f t="shared" si="3"/>
        <v>0</v>
      </c>
    </row>
    <row r="13" spans="2:20">
      <c r="B13" s="124" t="s">
        <v>100</v>
      </c>
      <c r="C13" s="44">
        <f t="shared" si="2"/>
        <v>0</v>
      </c>
      <c r="D13" s="44">
        <f t="shared" si="2"/>
        <v>0</v>
      </c>
      <c r="E13" s="44">
        <f t="shared" si="2"/>
        <v>0</v>
      </c>
      <c r="F13" s="44">
        <f t="shared" si="3"/>
        <v>0</v>
      </c>
      <c r="G13" s="44">
        <f t="shared" si="3"/>
        <v>0</v>
      </c>
      <c r="H13" s="44">
        <f t="shared" si="3"/>
        <v>0</v>
      </c>
      <c r="I13" s="44">
        <f t="shared" si="3"/>
        <v>0</v>
      </c>
      <c r="J13" s="44">
        <f t="shared" si="3"/>
        <v>0</v>
      </c>
      <c r="K13" s="44">
        <f t="shared" si="3"/>
        <v>0</v>
      </c>
      <c r="L13" s="44">
        <f t="shared" si="3"/>
        <v>0</v>
      </c>
      <c r="M13" s="44">
        <f t="shared" si="3"/>
        <v>0</v>
      </c>
      <c r="N13" s="44">
        <f t="shared" si="3"/>
        <v>0</v>
      </c>
      <c r="O13" s="44">
        <f t="shared" si="3"/>
        <v>100</v>
      </c>
      <c r="P13" s="44">
        <f t="shared" si="3"/>
        <v>100</v>
      </c>
      <c r="Q13" s="44">
        <f t="shared" si="3"/>
        <v>100</v>
      </c>
      <c r="R13" s="44">
        <f t="shared" si="3"/>
        <v>100</v>
      </c>
      <c r="S13" s="44">
        <f t="shared" si="3"/>
        <v>100</v>
      </c>
      <c r="T13" s="44">
        <f t="shared" si="3"/>
        <v>100</v>
      </c>
    </row>
    <row r="14" spans="2:20">
      <c r="B14" s="124" t="s">
        <v>102</v>
      </c>
      <c r="C14" s="44">
        <f t="shared" si="2"/>
        <v>0</v>
      </c>
      <c r="D14" s="44">
        <f t="shared" si="2"/>
        <v>0</v>
      </c>
      <c r="E14" s="44">
        <f t="shared" si="2"/>
        <v>0</v>
      </c>
      <c r="F14" s="44">
        <f t="shared" si="3"/>
        <v>0</v>
      </c>
      <c r="G14" s="44">
        <f t="shared" si="3"/>
        <v>0</v>
      </c>
      <c r="H14" s="44">
        <f t="shared" si="3"/>
        <v>0</v>
      </c>
      <c r="I14" s="44">
        <f t="shared" si="3"/>
        <v>0</v>
      </c>
      <c r="J14" s="44">
        <f t="shared" si="3"/>
        <v>0</v>
      </c>
      <c r="K14" s="44">
        <f t="shared" si="3"/>
        <v>1880</v>
      </c>
      <c r="L14" s="44">
        <f t="shared" si="3"/>
        <v>1880</v>
      </c>
      <c r="M14" s="44">
        <f t="shared" si="3"/>
        <v>1880</v>
      </c>
      <c r="N14" s="44">
        <f t="shared" si="3"/>
        <v>1880</v>
      </c>
      <c r="O14" s="44">
        <f t="shared" si="3"/>
        <v>1880</v>
      </c>
      <c r="P14" s="44">
        <f t="shared" si="3"/>
        <v>1880</v>
      </c>
      <c r="Q14" s="44">
        <f t="shared" si="3"/>
        <v>1880</v>
      </c>
      <c r="R14" s="44">
        <f t="shared" si="3"/>
        <v>3080</v>
      </c>
      <c r="S14" s="44">
        <f t="shared" si="3"/>
        <v>3080</v>
      </c>
      <c r="T14" s="44">
        <f t="shared" si="3"/>
        <v>3080</v>
      </c>
    </row>
    <row r="15" spans="2:20">
      <c r="B15" s="124" t="s">
        <v>104</v>
      </c>
      <c r="C15" s="44">
        <f t="shared" si="2"/>
        <v>0</v>
      </c>
      <c r="D15" s="44">
        <f t="shared" si="2"/>
        <v>0</v>
      </c>
      <c r="E15" s="44">
        <f t="shared" si="2"/>
        <v>0</v>
      </c>
      <c r="F15" s="44">
        <f t="shared" si="3"/>
        <v>0</v>
      </c>
      <c r="G15" s="44">
        <f t="shared" si="3"/>
        <v>0</v>
      </c>
      <c r="H15" s="44">
        <f t="shared" si="3"/>
        <v>0</v>
      </c>
      <c r="I15" s="44">
        <f t="shared" si="3"/>
        <v>0</v>
      </c>
      <c r="J15" s="44">
        <f t="shared" si="3"/>
        <v>0</v>
      </c>
      <c r="K15" s="44">
        <f t="shared" si="3"/>
        <v>0</v>
      </c>
      <c r="L15" s="44">
        <f t="shared" si="3"/>
        <v>0</v>
      </c>
      <c r="M15" s="44">
        <f t="shared" si="3"/>
        <v>0</v>
      </c>
      <c r="N15" s="44">
        <f t="shared" si="3"/>
        <v>80</v>
      </c>
      <c r="O15" s="44">
        <f t="shared" si="3"/>
        <v>80</v>
      </c>
      <c r="P15" s="44">
        <f t="shared" si="3"/>
        <v>80</v>
      </c>
      <c r="Q15" s="44">
        <f t="shared" si="3"/>
        <v>80</v>
      </c>
      <c r="R15" s="44">
        <f t="shared" si="3"/>
        <v>80</v>
      </c>
      <c r="S15" s="44">
        <f t="shared" si="3"/>
        <v>680</v>
      </c>
      <c r="T15" s="44">
        <f t="shared" si="3"/>
        <v>680</v>
      </c>
    </row>
    <row r="16" spans="2:20">
      <c r="B16" s="124" t="s">
        <v>106</v>
      </c>
      <c r="C16" s="44">
        <f t="shared" si="2"/>
        <v>0</v>
      </c>
      <c r="D16" s="44">
        <f t="shared" si="2"/>
        <v>0</v>
      </c>
      <c r="E16" s="44">
        <f t="shared" si="2"/>
        <v>0</v>
      </c>
      <c r="F16" s="44">
        <f t="shared" si="3"/>
        <v>0</v>
      </c>
      <c r="G16" s="44">
        <f t="shared" si="3"/>
        <v>0</v>
      </c>
      <c r="H16" s="44">
        <f t="shared" si="3"/>
        <v>0</v>
      </c>
      <c r="I16" s="44">
        <f t="shared" si="3"/>
        <v>0</v>
      </c>
      <c r="J16" s="44">
        <f t="shared" si="3"/>
        <v>0</v>
      </c>
      <c r="K16" s="44">
        <f t="shared" si="3"/>
        <v>0</v>
      </c>
      <c r="L16" s="44">
        <f t="shared" si="3"/>
        <v>0</v>
      </c>
      <c r="M16" s="44">
        <f t="shared" si="3"/>
        <v>0</v>
      </c>
      <c r="N16" s="44">
        <f t="shared" si="3"/>
        <v>0</v>
      </c>
      <c r="O16" s="44">
        <f t="shared" si="3"/>
        <v>0</v>
      </c>
      <c r="P16" s="44">
        <f t="shared" si="3"/>
        <v>0</v>
      </c>
      <c r="Q16" s="44">
        <f t="shared" si="3"/>
        <v>0</v>
      </c>
      <c r="R16" s="44">
        <f t="shared" si="3"/>
        <v>0</v>
      </c>
      <c r="S16" s="44">
        <f t="shared" si="3"/>
        <v>0</v>
      </c>
      <c r="T16" s="44">
        <f t="shared" si="3"/>
        <v>0</v>
      </c>
    </row>
    <row r="17" spans="2:20">
      <c r="B17" s="124" t="s">
        <v>108</v>
      </c>
      <c r="C17" s="44">
        <f t="shared" si="2"/>
        <v>0</v>
      </c>
      <c r="D17" s="44">
        <f t="shared" si="2"/>
        <v>0</v>
      </c>
      <c r="E17" s="44">
        <f t="shared" si="2"/>
        <v>0</v>
      </c>
      <c r="F17" s="44">
        <f t="shared" si="3"/>
        <v>0</v>
      </c>
      <c r="G17" s="44">
        <f t="shared" si="3"/>
        <v>0</v>
      </c>
      <c r="H17" s="44">
        <f t="shared" si="3"/>
        <v>0</v>
      </c>
      <c r="I17" s="44">
        <f t="shared" si="3"/>
        <v>0</v>
      </c>
      <c r="J17" s="44">
        <f t="shared" si="3"/>
        <v>0</v>
      </c>
      <c r="K17" s="44">
        <f t="shared" si="3"/>
        <v>0</v>
      </c>
      <c r="L17" s="44">
        <f t="shared" si="3"/>
        <v>0</v>
      </c>
      <c r="M17" s="44">
        <f t="shared" si="3"/>
        <v>0</v>
      </c>
      <c r="N17" s="44">
        <f t="shared" si="3"/>
        <v>0</v>
      </c>
      <c r="O17" s="44">
        <f t="shared" si="3"/>
        <v>0</v>
      </c>
      <c r="P17" s="44">
        <f t="shared" si="3"/>
        <v>0</v>
      </c>
      <c r="Q17" s="44">
        <f t="shared" si="3"/>
        <v>0</v>
      </c>
      <c r="R17" s="44">
        <f t="shared" si="3"/>
        <v>0</v>
      </c>
      <c r="S17" s="44">
        <f t="shared" si="3"/>
        <v>0</v>
      </c>
      <c r="T17" s="44">
        <f t="shared" si="3"/>
        <v>0</v>
      </c>
    </row>
    <row r="18" spans="2:20">
      <c r="B18" s="124" t="s">
        <v>110</v>
      </c>
      <c r="C18" s="44">
        <f t="shared" si="2"/>
        <v>0</v>
      </c>
      <c r="D18" s="44">
        <f t="shared" si="2"/>
        <v>0</v>
      </c>
      <c r="E18" s="44">
        <f t="shared" si="2"/>
        <v>0</v>
      </c>
      <c r="F18" s="44">
        <f t="shared" si="3"/>
        <v>0</v>
      </c>
      <c r="G18" s="44">
        <f t="shared" si="3"/>
        <v>0</v>
      </c>
      <c r="H18" s="44">
        <f t="shared" si="3"/>
        <v>0</v>
      </c>
      <c r="I18" s="44">
        <f t="shared" si="3"/>
        <v>0</v>
      </c>
      <c r="J18" s="44">
        <f t="shared" si="3"/>
        <v>0</v>
      </c>
      <c r="K18" s="44">
        <f t="shared" si="3"/>
        <v>0</v>
      </c>
      <c r="L18" s="44">
        <f t="shared" si="3"/>
        <v>0</v>
      </c>
      <c r="M18" s="44">
        <f t="shared" si="3"/>
        <v>0</v>
      </c>
      <c r="N18" s="44">
        <f t="shared" si="3"/>
        <v>0</v>
      </c>
      <c r="O18" s="44">
        <f t="shared" si="3"/>
        <v>0</v>
      </c>
      <c r="P18" s="44">
        <f t="shared" si="3"/>
        <v>0</v>
      </c>
      <c r="Q18" s="44">
        <f t="shared" si="3"/>
        <v>0</v>
      </c>
      <c r="R18" s="44">
        <f t="shared" si="3"/>
        <v>0</v>
      </c>
      <c r="S18" s="44">
        <f t="shared" si="3"/>
        <v>1000</v>
      </c>
      <c r="T18" s="44">
        <f t="shared" si="3"/>
        <v>1000</v>
      </c>
    </row>
    <row r="19" spans="2:20">
      <c r="B19" s="124" t="s">
        <v>112</v>
      </c>
      <c r="C19" s="44">
        <f t="shared" si="2"/>
        <v>0</v>
      </c>
      <c r="D19" s="44">
        <f t="shared" si="2"/>
        <v>0</v>
      </c>
      <c r="E19" s="44">
        <f t="shared" si="2"/>
        <v>0</v>
      </c>
      <c r="F19" s="44">
        <f t="shared" si="3"/>
        <v>0</v>
      </c>
      <c r="G19" s="44">
        <f t="shared" si="3"/>
        <v>0</v>
      </c>
      <c r="H19" s="44">
        <f t="shared" si="3"/>
        <v>0</v>
      </c>
      <c r="I19" s="44">
        <f t="shared" si="3"/>
        <v>0</v>
      </c>
      <c r="J19" s="44">
        <f t="shared" si="3"/>
        <v>0</v>
      </c>
      <c r="K19" s="44">
        <f t="shared" si="3"/>
        <v>0</v>
      </c>
      <c r="L19" s="44">
        <f t="shared" si="3"/>
        <v>0</v>
      </c>
      <c r="M19" s="44">
        <f t="shared" si="3"/>
        <v>0</v>
      </c>
      <c r="N19" s="44">
        <f t="shared" si="3"/>
        <v>0</v>
      </c>
      <c r="O19" s="44">
        <f t="shared" si="3"/>
        <v>0</v>
      </c>
      <c r="P19" s="44">
        <f t="shared" si="3"/>
        <v>0</v>
      </c>
      <c r="Q19" s="44">
        <f t="shared" si="3"/>
        <v>0</v>
      </c>
      <c r="R19" s="44">
        <f t="shared" si="3"/>
        <v>120</v>
      </c>
      <c r="S19" s="44">
        <f t="shared" si="3"/>
        <v>120</v>
      </c>
      <c r="T19" s="44">
        <f t="shared" si="3"/>
        <v>120</v>
      </c>
    </row>
    <row r="20" spans="2:20">
      <c r="B20" s="124" t="s">
        <v>114</v>
      </c>
      <c r="C20" s="44">
        <f t="shared" si="2"/>
        <v>0</v>
      </c>
      <c r="D20" s="44">
        <f t="shared" si="2"/>
        <v>0</v>
      </c>
      <c r="E20" s="44">
        <f t="shared" si="2"/>
        <v>0</v>
      </c>
      <c r="F20" s="44">
        <f t="shared" ref="F20:T34" si="4">SUMIFS($G$38:$G$69,$N$38:$N$69,"&lt;="&amp;F$2,$E$38:$E$69,$B20)+SUMIFS($G$78:$G$93,$N$78:$N$93,"&lt;="&amp;F$2,$E$78:$E$93,$B20)</f>
        <v>0</v>
      </c>
      <c r="G20" s="44">
        <f t="shared" si="4"/>
        <v>0</v>
      </c>
      <c r="H20" s="44">
        <f t="shared" si="4"/>
        <v>0</v>
      </c>
      <c r="I20" s="44">
        <f t="shared" si="4"/>
        <v>0</v>
      </c>
      <c r="J20" s="44">
        <f t="shared" si="4"/>
        <v>0</v>
      </c>
      <c r="K20" s="44">
        <f t="shared" si="4"/>
        <v>0</v>
      </c>
      <c r="L20" s="44">
        <f t="shared" si="4"/>
        <v>0</v>
      </c>
      <c r="M20" s="44">
        <f t="shared" si="4"/>
        <v>0</v>
      </c>
      <c r="N20" s="44">
        <f t="shared" si="4"/>
        <v>70</v>
      </c>
      <c r="O20" s="44">
        <f t="shared" si="4"/>
        <v>70</v>
      </c>
      <c r="P20" s="44">
        <f t="shared" si="4"/>
        <v>70</v>
      </c>
      <c r="Q20" s="44">
        <f t="shared" si="4"/>
        <v>70</v>
      </c>
      <c r="R20" s="44">
        <f t="shared" si="4"/>
        <v>70</v>
      </c>
      <c r="S20" s="44">
        <f t="shared" si="4"/>
        <v>70</v>
      </c>
      <c r="T20" s="44">
        <f t="shared" si="4"/>
        <v>70</v>
      </c>
    </row>
    <row r="21" spans="2:20">
      <c r="B21" s="124" t="s">
        <v>116</v>
      </c>
      <c r="C21" s="44">
        <f t="shared" si="2"/>
        <v>0</v>
      </c>
      <c r="D21" s="44">
        <f t="shared" si="2"/>
        <v>0</v>
      </c>
      <c r="E21" s="44">
        <f t="shared" si="2"/>
        <v>0</v>
      </c>
      <c r="F21" s="44">
        <f t="shared" si="4"/>
        <v>0</v>
      </c>
      <c r="G21" s="44">
        <f t="shared" si="4"/>
        <v>0</v>
      </c>
      <c r="H21" s="44">
        <f t="shared" si="4"/>
        <v>0</v>
      </c>
      <c r="I21" s="44">
        <f t="shared" si="4"/>
        <v>0</v>
      </c>
      <c r="J21" s="44">
        <f t="shared" si="4"/>
        <v>0</v>
      </c>
      <c r="K21" s="44">
        <f t="shared" si="4"/>
        <v>0</v>
      </c>
      <c r="L21" s="44">
        <f t="shared" si="4"/>
        <v>0</v>
      </c>
      <c r="M21" s="44">
        <f t="shared" si="4"/>
        <v>0</v>
      </c>
      <c r="N21" s="44">
        <f t="shared" si="4"/>
        <v>0</v>
      </c>
      <c r="O21" s="44">
        <f t="shared" si="4"/>
        <v>0</v>
      </c>
      <c r="P21" s="44">
        <f t="shared" si="4"/>
        <v>0</v>
      </c>
      <c r="Q21" s="44">
        <f t="shared" si="4"/>
        <v>0</v>
      </c>
      <c r="R21" s="44">
        <f t="shared" si="4"/>
        <v>0</v>
      </c>
      <c r="S21" s="44">
        <f t="shared" si="4"/>
        <v>0</v>
      </c>
      <c r="T21" s="44">
        <f t="shared" si="4"/>
        <v>0</v>
      </c>
    </row>
    <row r="22" spans="2:20">
      <c r="B22" s="124" t="s">
        <v>118</v>
      </c>
      <c r="C22" s="44">
        <f t="shared" si="2"/>
        <v>0</v>
      </c>
      <c r="D22" s="44">
        <f t="shared" si="2"/>
        <v>0</v>
      </c>
      <c r="E22" s="44">
        <f t="shared" si="2"/>
        <v>0</v>
      </c>
      <c r="F22" s="44">
        <f t="shared" si="4"/>
        <v>0</v>
      </c>
      <c r="G22" s="44">
        <f t="shared" si="4"/>
        <v>1200</v>
      </c>
      <c r="H22" s="44">
        <f t="shared" si="4"/>
        <v>1200</v>
      </c>
      <c r="I22" s="44">
        <f t="shared" si="4"/>
        <v>1200</v>
      </c>
      <c r="J22" s="44">
        <f t="shared" si="4"/>
        <v>1200</v>
      </c>
      <c r="K22" s="44">
        <f t="shared" si="4"/>
        <v>1200</v>
      </c>
      <c r="L22" s="44">
        <f t="shared" si="4"/>
        <v>1200</v>
      </c>
      <c r="M22" s="44">
        <f t="shared" si="4"/>
        <v>2400</v>
      </c>
      <c r="N22" s="44">
        <f t="shared" si="4"/>
        <v>2400</v>
      </c>
      <c r="O22" s="44">
        <f t="shared" si="4"/>
        <v>2400</v>
      </c>
      <c r="P22" s="44">
        <f t="shared" si="4"/>
        <v>2400</v>
      </c>
      <c r="Q22" s="44">
        <f t="shared" si="4"/>
        <v>2400</v>
      </c>
      <c r="R22" s="44">
        <f t="shared" si="4"/>
        <v>2400</v>
      </c>
      <c r="S22" s="44">
        <f t="shared" si="4"/>
        <v>2400</v>
      </c>
      <c r="T22" s="44">
        <f t="shared" si="4"/>
        <v>2400</v>
      </c>
    </row>
    <row r="23" spans="2:20">
      <c r="B23" s="124" t="s">
        <v>120</v>
      </c>
      <c r="C23" s="44">
        <f t="shared" si="2"/>
        <v>0</v>
      </c>
      <c r="D23" s="44">
        <f t="shared" si="2"/>
        <v>0</v>
      </c>
      <c r="E23" s="44">
        <f t="shared" si="2"/>
        <v>0</v>
      </c>
      <c r="F23" s="44">
        <f t="shared" si="4"/>
        <v>0</v>
      </c>
      <c r="G23" s="44">
        <f t="shared" si="4"/>
        <v>0</v>
      </c>
      <c r="H23" s="44">
        <f t="shared" si="4"/>
        <v>0</v>
      </c>
      <c r="I23" s="44">
        <f t="shared" si="4"/>
        <v>0</v>
      </c>
      <c r="J23" s="44">
        <f t="shared" si="4"/>
        <v>0</v>
      </c>
      <c r="K23" s="44">
        <f t="shared" si="4"/>
        <v>0</v>
      </c>
      <c r="L23" s="44">
        <f t="shared" si="4"/>
        <v>0</v>
      </c>
      <c r="M23" s="44">
        <f t="shared" si="4"/>
        <v>0</v>
      </c>
      <c r="N23" s="44">
        <f t="shared" si="4"/>
        <v>0</v>
      </c>
      <c r="O23" s="44">
        <f t="shared" si="4"/>
        <v>0</v>
      </c>
      <c r="P23" s="44">
        <f t="shared" si="4"/>
        <v>0</v>
      </c>
      <c r="Q23" s="44">
        <f t="shared" si="4"/>
        <v>0</v>
      </c>
      <c r="R23" s="44">
        <f t="shared" si="4"/>
        <v>0</v>
      </c>
      <c r="S23" s="44">
        <f t="shared" si="4"/>
        <v>0</v>
      </c>
      <c r="T23" s="44">
        <f t="shared" si="4"/>
        <v>0</v>
      </c>
    </row>
    <row r="24" spans="2:20">
      <c r="B24" s="124" t="s">
        <v>122</v>
      </c>
      <c r="C24" s="44">
        <f t="shared" si="2"/>
        <v>0</v>
      </c>
      <c r="D24" s="44">
        <f t="shared" si="2"/>
        <v>0</v>
      </c>
      <c r="E24" s="44">
        <f t="shared" si="2"/>
        <v>0</v>
      </c>
      <c r="F24" s="44">
        <f t="shared" si="4"/>
        <v>0</v>
      </c>
      <c r="G24" s="44">
        <f t="shared" si="4"/>
        <v>0</v>
      </c>
      <c r="H24" s="44">
        <f t="shared" si="4"/>
        <v>0</v>
      </c>
      <c r="I24" s="44">
        <f t="shared" si="4"/>
        <v>0</v>
      </c>
      <c r="J24" s="44">
        <f t="shared" si="4"/>
        <v>0</v>
      </c>
      <c r="K24" s="44">
        <f t="shared" si="4"/>
        <v>0</v>
      </c>
      <c r="L24" s="44">
        <f t="shared" si="4"/>
        <v>0</v>
      </c>
      <c r="M24" s="44">
        <f t="shared" si="4"/>
        <v>0</v>
      </c>
      <c r="N24" s="44">
        <f t="shared" si="4"/>
        <v>0</v>
      </c>
      <c r="O24" s="44">
        <f t="shared" si="4"/>
        <v>0</v>
      </c>
      <c r="P24" s="44">
        <f t="shared" si="4"/>
        <v>0</v>
      </c>
      <c r="Q24" s="44">
        <f t="shared" si="4"/>
        <v>0</v>
      </c>
      <c r="R24" s="44">
        <f t="shared" si="4"/>
        <v>0</v>
      </c>
      <c r="S24" s="44">
        <f t="shared" si="4"/>
        <v>0</v>
      </c>
      <c r="T24" s="44">
        <f t="shared" si="4"/>
        <v>0</v>
      </c>
    </row>
    <row r="25" spans="2:20">
      <c r="B25" s="124" t="s">
        <v>124</v>
      </c>
      <c r="C25" s="44">
        <f t="shared" si="2"/>
        <v>0</v>
      </c>
      <c r="D25" s="44">
        <f t="shared" si="2"/>
        <v>0</v>
      </c>
      <c r="E25" s="44">
        <f t="shared" si="2"/>
        <v>0</v>
      </c>
      <c r="F25" s="44">
        <f t="shared" si="4"/>
        <v>0</v>
      </c>
      <c r="G25" s="44">
        <f t="shared" si="4"/>
        <v>0</v>
      </c>
      <c r="H25" s="44">
        <f t="shared" si="4"/>
        <v>0</v>
      </c>
      <c r="I25" s="44">
        <f t="shared" si="4"/>
        <v>0</v>
      </c>
      <c r="J25" s="44">
        <f t="shared" si="4"/>
        <v>0</v>
      </c>
      <c r="K25" s="44">
        <f t="shared" si="4"/>
        <v>0</v>
      </c>
      <c r="L25" s="44">
        <f t="shared" si="4"/>
        <v>0</v>
      </c>
      <c r="M25" s="44">
        <f t="shared" si="4"/>
        <v>0</v>
      </c>
      <c r="N25" s="44">
        <f t="shared" si="4"/>
        <v>0</v>
      </c>
      <c r="O25" s="44">
        <f t="shared" si="4"/>
        <v>0</v>
      </c>
      <c r="P25" s="44">
        <f t="shared" si="4"/>
        <v>0</v>
      </c>
      <c r="Q25" s="44">
        <f t="shared" si="4"/>
        <v>0</v>
      </c>
      <c r="R25" s="44">
        <f t="shared" si="4"/>
        <v>0</v>
      </c>
      <c r="S25" s="44">
        <f t="shared" si="4"/>
        <v>0</v>
      </c>
      <c r="T25" s="44">
        <f t="shared" si="4"/>
        <v>0</v>
      </c>
    </row>
    <row r="26" spans="2:20">
      <c r="B26" s="124" t="s">
        <v>126</v>
      </c>
      <c r="C26" s="44">
        <f t="shared" si="2"/>
        <v>0</v>
      </c>
      <c r="D26" s="44">
        <f t="shared" si="2"/>
        <v>0</v>
      </c>
      <c r="E26" s="44">
        <f t="shared" si="2"/>
        <v>0</v>
      </c>
      <c r="F26" s="44">
        <f t="shared" si="4"/>
        <v>50</v>
      </c>
      <c r="G26" s="44">
        <f t="shared" si="4"/>
        <v>50</v>
      </c>
      <c r="H26" s="44">
        <f t="shared" si="4"/>
        <v>50</v>
      </c>
      <c r="I26" s="44">
        <f t="shared" si="4"/>
        <v>50</v>
      </c>
      <c r="J26" s="44">
        <f t="shared" si="4"/>
        <v>50</v>
      </c>
      <c r="K26" s="44">
        <f t="shared" si="4"/>
        <v>50</v>
      </c>
      <c r="L26" s="44">
        <f t="shared" si="4"/>
        <v>50</v>
      </c>
      <c r="M26" s="44">
        <f t="shared" si="4"/>
        <v>50</v>
      </c>
      <c r="N26" s="44">
        <f t="shared" si="4"/>
        <v>50</v>
      </c>
      <c r="O26" s="44">
        <f t="shared" si="4"/>
        <v>50</v>
      </c>
      <c r="P26" s="44">
        <f t="shared" si="4"/>
        <v>50</v>
      </c>
      <c r="Q26" s="44">
        <f t="shared" si="4"/>
        <v>50</v>
      </c>
      <c r="R26" s="44">
        <f t="shared" si="4"/>
        <v>50</v>
      </c>
      <c r="S26" s="44">
        <f t="shared" si="4"/>
        <v>50</v>
      </c>
      <c r="T26" s="44">
        <f t="shared" si="4"/>
        <v>50</v>
      </c>
    </row>
    <row r="27" spans="2:20">
      <c r="B27" s="124" t="s">
        <v>128</v>
      </c>
      <c r="C27" s="44">
        <f t="shared" si="2"/>
        <v>0</v>
      </c>
      <c r="D27" s="44">
        <f t="shared" si="2"/>
        <v>0</v>
      </c>
      <c r="E27" s="44">
        <f t="shared" si="2"/>
        <v>0</v>
      </c>
      <c r="F27" s="44">
        <f t="shared" si="4"/>
        <v>0</v>
      </c>
      <c r="G27" s="44">
        <f t="shared" si="4"/>
        <v>0</v>
      </c>
      <c r="H27" s="44">
        <f t="shared" si="4"/>
        <v>0</v>
      </c>
      <c r="I27" s="44">
        <f t="shared" si="4"/>
        <v>0</v>
      </c>
      <c r="J27" s="44">
        <f t="shared" si="4"/>
        <v>0</v>
      </c>
      <c r="K27" s="44">
        <f t="shared" si="4"/>
        <v>0</v>
      </c>
      <c r="L27" s="44">
        <f t="shared" si="4"/>
        <v>0</v>
      </c>
      <c r="M27" s="44">
        <f t="shared" si="4"/>
        <v>0</v>
      </c>
      <c r="N27" s="44">
        <f t="shared" si="4"/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</row>
    <row r="28" spans="2:20">
      <c r="B28" s="124" t="s">
        <v>130</v>
      </c>
      <c r="C28" s="44">
        <f t="shared" si="2"/>
        <v>0</v>
      </c>
      <c r="D28" s="44">
        <f t="shared" si="2"/>
        <v>0</v>
      </c>
      <c r="E28" s="44">
        <f t="shared" si="2"/>
        <v>0</v>
      </c>
      <c r="F28" s="44">
        <f t="shared" si="4"/>
        <v>0</v>
      </c>
      <c r="G28" s="44">
        <f t="shared" si="4"/>
        <v>0</v>
      </c>
      <c r="H28" s="44">
        <f t="shared" si="4"/>
        <v>0</v>
      </c>
      <c r="I28" s="44">
        <f t="shared" si="4"/>
        <v>0</v>
      </c>
      <c r="J28" s="44">
        <f t="shared" si="4"/>
        <v>0</v>
      </c>
      <c r="K28" s="44">
        <f t="shared" si="4"/>
        <v>0</v>
      </c>
      <c r="L28" s="44">
        <f t="shared" si="4"/>
        <v>0</v>
      </c>
      <c r="M28" s="44">
        <f t="shared" si="4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</row>
    <row r="29" spans="2:20">
      <c r="B29" s="124" t="s">
        <v>132</v>
      </c>
      <c r="C29" s="44">
        <f t="shared" si="2"/>
        <v>0</v>
      </c>
      <c r="D29" s="44">
        <f t="shared" si="2"/>
        <v>0</v>
      </c>
      <c r="E29" s="44">
        <f t="shared" si="2"/>
        <v>0</v>
      </c>
      <c r="F29" s="44">
        <f t="shared" si="4"/>
        <v>0</v>
      </c>
      <c r="G29" s="44">
        <f t="shared" si="4"/>
        <v>0</v>
      </c>
      <c r="H29" s="44">
        <f t="shared" si="4"/>
        <v>0</v>
      </c>
      <c r="I29" s="44">
        <f t="shared" si="4"/>
        <v>0</v>
      </c>
      <c r="J29" s="44">
        <f t="shared" si="4"/>
        <v>90</v>
      </c>
      <c r="K29" s="44">
        <f t="shared" si="4"/>
        <v>90</v>
      </c>
      <c r="L29" s="44">
        <f t="shared" si="4"/>
        <v>90</v>
      </c>
      <c r="M29" s="44">
        <f t="shared" si="4"/>
        <v>90</v>
      </c>
      <c r="N29" s="44">
        <f t="shared" si="4"/>
        <v>90</v>
      </c>
      <c r="O29" s="44">
        <f t="shared" si="4"/>
        <v>90</v>
      </c>
      <c r="P29" s="44">
        <f t="shared" si="4"/>
        <v>90</v>
      </c>
      <c r="Q29" s="44">
        <f t="shared" si="4"/>
        <v>90</v>
      </c>
      <c r="R29" s="44">
        <f t="shared" si="4"/>
        <v>90</v>
      </c>
      <c r="S29" s="44">
        <f t="shared" si="4"/>
        <v>90</v>
      </c>
      <c r="T29" s="44">
        <f t="shared" si="4"/>
        <v>90</v>
      </c>
    </row>
    <row r="30" spans="2:20">
      <c r="B30" s="124" t="s">
        <v>134</v>
      </c>
      <c r="C30" s="44">
        <f t="shared" si="2"/>
        <v>0</v>
      </c>
      <c r="D30" s="44">
        <f t="shared" si="2"/>
        <v>0</v>
      </c>
      <c r="E30" s="44">
        <f t="shared" si="2"/>
        <v>0</v>
      </c>
      <c r="F30" s="44">
        <f t="shared" si="4"/>
        <v>0</v>
      </c>
      <c r="G30" s="44">
        <f t="shared" si="4"/>
        <v>0</v>
      </c>
      <c r="H30" s="44">
        <f t="shared" si="4"/>
        <v>0</v>
      </c>
      <c r="I30" s="44">
        <f t="shared" si="4"/>
        <v>0</v>
      </c>
      <c r="J30" s="44">
        <f t="shared" si="4"/>
        <v>0</v>
      </c>
      <c r="K30" s="44">
        <f t="shared" si="4"/>
        <v>0</v>
      </c>
      <c r="L30" s="44">
        <f t="shared" si="4"/>
        <v>0</v>
      </c>
      <c r="M30" s="44">
        <f t="shared" si="4"/>
        <v>0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0</v>
      </c>
      <c r="R30" s="44">
        <f t="shared" si="4"/>
        <v>0</v>
      </c>
      <c r="S30" s="44">
        <f t="shared" si="4"/>
        <v>0</v>
      </c>
      <c r="T30" s="44">
        <f t="shared" si="4"/>
        <v>0</v>
      </c>
    </row>
    <row r="31" spans="2:20">
      <c r="B31" s="124" t="s">
        <v>136</v>
      </c>
      <c r="C31" s="44">
        <f t="shared" si="2"/>
        <v>0</v>
      </c>
      <c r="D31" s="44">
        <f t="shared" si="2"/>
        <v>0</v>
      </c>
      <c r="E31" s="44">
        <f t="shared" si="2"/>
        <v>0</v>
      </c>
      <c r="F31" s="44">
        <f t="shared" si="4"/>
        <v>0</v>
      </c>
      <c r="G31" s="44">
        <f t="shared" si="4"/>
        <v>0</v>
      </c>
      <c r="H31" s="44">
        <f t="shared" si="4"/>
        <v>0</v>
      </c>
      <c r="I31" s="44">
        <f t="shared" si="4"/>
        <v>0</v>
      </c>
      <c r="J31" s="44">
        <f t="shared" si="4"/>
        <v>0</v>
      </c>
      <c r="K31" s="44">
        <f t="shared" si="4"/>
        <v>0</v>
      </c>
      <c r="L31" s="44">
        <f t="shared" si="4"/>
        <v>0</v>
      </c>
      <c r="M31" s="44">
        <f t="shared" si="4"/>
        <v>0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0</v>
      </c>
      <c r="R31" s="44">
        <f t="shared" si="4"/>
        <v>0</v>
      </c>
      <c r="S31" s="44">
        <f t="shared" si="4"/>
        <v>0</v>
      </c>
      <c r="T31" s="44">
        <f t="shared" si="4"/>
        <v>0</v>
      </c>
    </row>
    <row r="32" spans="2:20">
      <c r="B32" s="124" t="s">
        <v>138</v>
      </c>
      <c r="C32" s="44">
        <f t="shared" si="2"/>
        <v>0</v>
      </c>
      <c r="D32" s="44">
        <f t="shared" si="2"/>
        <v>0</v>
      </c>
      <c r="E32" s="44">
        <f t="shared" si="2"/>
        <v>0</v>
      </c>
      <c r="F32" s="44">
        <f t="shared" si="4"/>
        <v>0</v>
      </c>
      <c r="G32" s="44">
        <f t="shared" si="4"/>
        <v>0</v>
      </c>
      <c r="H32" s="44">
        <f t="shared" si="4"/>
        <v>0</v>
      </c>
      <c r="I32" s="44">
        <f t="shared" si="4"/>
        <v>0</v>
      </c>
      <c r="J32" s="44">
        <f t="shared" si="4"/>
        <v>0</v>
      </c>
      <c r="K32" s="44">
        <f t="shared" si="4"/>
        <v>0</v>
      </c>
      <c r="L32" s="44">
        <f t="shared" si="4"/>
        <v>0</v>
      </c>
      <c r="M32" s="44">
        <f t="shared" si="4"/>
        <v>0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0</v>
      </c>
      <c r="R32" s="44">
        <f t="shared" si="4"/>
        <v>0</v>
      </c>
      <c r="S32" s="44">
        <f t="shared" si="4"/>
        <v>0</v>
      </c>
      <c r="T32" s="44">
        <f t="shared" si="4"/>
        <v>0</v>
      </c>
    </row>
    <row r="33" spans="1:21">
      <c r="B33" s="124" t="s">
        <v>140</v>
      </c>
      <c r="C33" s="44">
        <f t="shared" si="2"/>
        <v>0</v>
      </c>
      <c r="D33" s="44">
        <f t="shared" si="2"/>
        <v>0</v>
      </c>
      <c r="E33" s="44">
        <f t="shared" si="2"/>
        <v>0</v>
      </c>
      <c r="F33" s="44">
        <f t="shared" si="4"/>
        <v>0</v>
      </c>
      <c r="G33" s="44">
        <f t="shared" si="4"/>
        <v>0</v>
      </c>
      <c r="H33" s="44">
        <f t="shared" si="4"/>
        <v>0</v>
      </c>
      <c r="I33" s="44">
        <f t="shared" si="4"/>
        <v>0</v>
      </c>
      <c r="J33" s="44">
        <f t="shared" si="4"/>
        <v>0</v>
      </c>
      <c r="K33" s="44">
        <f t="shared" si="4"/>
        <v>0</v>
      </c>
      <c r="L33" s="44">
        <f t="shared" si="4"/>
        <v>0</v>
      </c>
      <c r="M33" s="44">
        <f t="shared" si="4"/>
        <v>0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0</v>
      </c>
      <c r="R33" s="44">
        <f t="shared" si="4"/>
        <v>0</v>
      </c>
      <c r="S33" s="44">
        <f t="shared" si="4"/>
        <v>0</v>
      </c>
      <c r="T33" s="44">
        <f t="shared" si="4"/>
        <v>0</v>
      </c>
    </row>
    <row r="34" spans="1:21">
      <c r="B34" s="124" t="s">
        <v>142</v>
      </c>
      <c r="C34" s="44">
        <f t="shared" si="2"/>
        <v>0</v>
      </c>
      <c r="D34" s="44">
        <f t="shared" si="2"/>
        <v>0</v>
      </c>
      <c r="E34" s="44">
        <f t="shared" si="2"/>
        <v>0</v>
      </c>
      <c r="F34" s="44">
        <f t="shared" si="4"/>
        <v>0</v>
      </c>
      <c r="G34" s="44">
        <f t="shared" si="4"/>
        <v>0</v>
      </c>
      <c r="H34" s="44">
        <f t="shared" si="4"/>
        <v>0</v>
      </c>
      <c r="I34" s="44">
        <f t="shared" si="4"/>
        <v>0</v>
      </c>
      <c r="J34" s="44">
        <f t="shared" si="4"/>
        <v>0</v>
      </c>
      <c r="K34" s="44">
        <f t="shared" si="4"/>
        <v>0</v>
      </c>
      <c r="L34" s="44">
        <f t="shared" si="4"/>
        <v>0</v>
      </c>
      <c r="M34" s="44">
        <f t="shared" si="4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</row>
    <row r="35" spans="1:21">
      <c r="B35" s="125"/>
      <c r="H35" s="125"/>
    </row>
    <row r="36" spans="1:21">
      <c r="A36" s="121" t="s">
        <v>2055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</row>
    <row r="37" s="117" customFormat="1" ht="55.5" spans="1:21">
      <c r="A37" s="126" t="s">
        <v>2056</v>
      </c>
      <c r="B37" s="127" t="s">
        <v>2057</v>
      </c>
      <c r="C37" s="127" t="s">
        <v>2058</v>
      </c>
      <c r="D37" s="127" t="s">
        <v>2059</v>
      </c>
      <c r="E37" s="127" t="s">
        <v>591</v>
      </c>
      <c r="F37" s="127" t="s">
        <v>2060</v>
      </c>
      <c r="G37" s="127" t="s">
        <v>592</v>
      </c>
      <c r="H37" s="127" t="s">
        <v>2061</v>
      </c>
      <c r="I37" s="127" t="s">
        <v>2062</v>
      </c>
      <c r="J37" s="128" t="s">
        <v>2063</v>
      </c>
      <c r="K37" s="127" t="s">
        <v>2064</v>
      </c>
      <c r="L37" s="127" t="s">
        <v>2065</v>
      </c>
      <c r="M37" s="129" t="s">
        <v>2066</v>
      </c>
      <c r="N37" s="129" t="s">
        <v>2067</v>
      </c>
      <c r="O37" s="127" t="s">
        <v>1815</v>
      </c>
      <c r="P37" s="127" t="s">
        <v>2068</v>
      </c>
      <c r="Q37" s="127" t="s">
        <v>2069</v>
      </c>
      <c r="R37" s="130" t="s">
        <v>2070</v>
      </c>
      <c r="S37" s="130" t="s">
        <v>2071</v>
      </c>
      <c r="T37" s="131" t="s">
        <v>2072</v>
      </c>
      <c r="U37" s="132" t="s">
        <v>2073</v>
      </c>
    </row>
    <row r="38" s="118" customFormat="1" spans="1:21">
      <c r="A38" s="133">
        <v>130801</v>
      </c>
      <c r="B38" s="134" t="s">
        <v>2074</v>
      </c>
      <c r="C38" s="134" t="s">
        <v>2075</v>
      </c>
      <c r="D38" s="134">
        <v>130100</v>
      </c>
      <c r="E38" s="135" t="s">
        <v>86</v>
      </c>
      <c r="F38" s="134" t="s">
        <v>2076</v>
      </c>
      <c r="G38" s="134">
        <v>11</v>
      </c>
      <c r="H38" s="134" t="s">
        <v>2077</v>
      </c>
      <c r="I38" s="134"/>
      <c r="J38" s="136"/>
      <c r="K38" s="134"/>
      <c r="L38" s="134"/>
      <c r="M38" s="137">
        <v>24838</v>
      </c>
      <c r="N38" s="134">
        <v>1968</v>
      </c>
      <c r="O38" s="134" t="s">
        <v>599</v>
      </c>
      <c r="P38" s="134">
        <v>1</v>
      </c>
      <c r="Q38" s="134"/>
      <c r="R38" s="138"/>
      <c r="S38" s="139">
        <v>44792</v>
      </c>
      <c r="T38" s="140" t="s">
        <v>2078</v>
      </c>
      <c r="U38" s="141">
        <v>1968</v>
      </c>
    </row>
    <row r="39" s="118" customFormat="1" spans="1:21">
      <c r="A39" s="133">
        <v>110801</v>
      </c>
      <c r="B39" s="134" t="s">
        <v>2079</v>
      </c>
      <c r="C39" s="134" t="s">
        <v>2080</v>
      </c>
      <c r="D39" s="134">
        <v>110100</v>
      </c>
      <c r="E39" s="135" t="s">
        <v>82</v>
      </c>
      <c r="F39" s="134" t="s">
        <v>82</v>
      </c>
      <c r="G39" s="134">
        <v>22</v>
      </c>
      <c r="H39" s="134" t="s">
        <v>2081</v>
      </c>
      <c r="I39" s="134"/>
      <c r="J39" s="136"/>
      <c r="K39" s="134"/>
      <c r="L39" s="134"/>
      <c r="M39" s="137">
        <v>27395</v>
      </c>
      <c r="N39" s="134">
        <v>1975</v>
      </c>
      <c r="O39" s="134" t="s">
        <v>599</v>
      </c>
      <c r="P39" s="134">
        <v>1</v>
      </c>
      <c r="Q39" s="134"/>
      <c r="R39" s="138"/>
      <c r="S39" s="139">
        <v>44792</v>
      </c>
      <c r="T39" s="140" t="s">
        <v>2082</v>
      </c>
      <c r="U39" s="141">
        <v>1975</v>
      </c>
    </row>
    <row r="40" s="118" customFormat="1" spans="1:21">
      <c r="A40" s="133">
        <v>130802</v>
      </c>
      <c r="B40" s="135" t="s">
        <v>2083</v>
      </c>
      <c r="C40" s="135" t="s">
        <v>2084</v>
      </c>
      <c r="D40" s="135">
        <v>130200</v>
      </c>
      <c r="E40" s="135" t="s">
        <v>86</v>
      </c>
      <c r="F40" s="135" t="s">
        <v>2085</v>
      </c>
      <c r="G40" s="134">
        <v>420</v>
      </c>
      <c r="H40" s="135"/>
      <c r="I40" s="135"/>
      <c r="J40" s="142"/>
      <c r="K40" s="135"/>
      <c r="L40" s="134"/>
      <c r="M40" s="143">
        <v>33482</v>
      </c>
      <c r="N40" s="134">
        <v>1991</v>
      </c>
      <c r="O40" s="134" t="s">
        <v>599</v>
      </c>
      <c r="P40" s="134">
        <v>1</v>
      </c>
      <c r="Q40" s="135"/>
      <c r="R40" s="144"/>
      <c r="S40" s="139">
        <v>44792</v>
      </c>
      <c r="T40" s="145"/>
      <c r="U40" s="141">
        <v>1991</v>
      </c>
    </row>
    <row r="41" s="118" customFormat="1" spans="1:21">
      <c r="A41" s="133">
        <v>510801</v>
      </c>
      <c r="B41" s="146" t="s">
        <v>2086</v>
      </c>
      <c r="C41" s="146" t="s">
        <v>2087</v>
      </c>
      <c r="D41" s="146">
        <v>510900</v>
      </c>
      <c r="E41" s="146" t="s">
        <v>126</v>
      </c>
      <c r="F41" s="146" t="s">
        <v>2088</v>
      </c>
      <c r="G41" s="134">
        <v>50</v>
      </c>
      <c r="H41" s="146"/>
      <c r="I41" s="146"/>
      <c r="J41" s="147"/>
      <c r="K41" s="146"/>
      <c r="L41" s="146"/>
      <c r="M41" s="137">
        <v>33970</v>
      </c>
      <c r="N41" s="134">
        <v>1993</v>
      </c>
      <c r="O41" s="134" t="s">
        <v>599</v>
      </c>
      <c r="P41" s="134">
        <v>1</v>
      </c>
      <c r="Q41" s="146"/>
      <c r="R41" s="148"/>
      <c r="S41" s="139">
        <v>44792</v>
      </c>
      <c r="T41" s="140" t="s">
        <v>2089</v>
      </c>
      <c r="U41" s="141">
        <v>1993</v>
      </c>
    </row>
    <row r="42" s="118" customFormat="1" spans="1:21">
      <c r="A42" s="133">
        <v>440801</v>
      </c>
      <c r="B42" s="135" t="s">
        <v>2090</v>
      </c>
      <c r="C42" s="135" t="s">
        <v>2091</v>
      </c>
      <c r="D42" s="135">
        <v>440100</v>
      </c>
      <c r="E42" s="135" t="s">
        <v>118</v>
      </c>
      <c r="F42" s="135" t="s">
        <v>2092</v>
      </c>
      <c r="G42" s="134">
        <v>1200</v>
      </c>
      <c r="H42" s="135" t="s">
        <v>2093</v>
      </c>
      <c r="I42" s="135">
        <v>65</v>
      </c>
      <c r="J42" s="142">
        <v>5.41666666666667</v>
      </c>
      <c r="K42" s="135">
        <v>23.8</v>
      </c>
      <c r="L42" s="135">
        <v>1989</v>
      </c>
      <c r="M42" s="143">
        <v>34405</v>
      </c>
      <c r="N42" s="134">
        <v>1994</v>
      </c>
      <c r="O42" s="134" t="s">
        <v>599</v>
      </c>
      <c r="P42" s="134">
        <v>1</v>
      </c>
      <c r="Q42" s="135" t="s">
        <v>2094</v>
      </c>
      <c r="R42" s="144">
        <v>0</v>
      </c>
      <c r="S42" s="139">
        <v>44792</v>
      </c>
      <c r="T42" s="140" t="s">
        <v>2095</v>
      </c>
      <c r="U42" s="141">
        <v>1994</v>
      </c>
    </row>
    <row r="43" s="118" customFormat="1" spans="1:21">
      <c r="A43" s="133">
        <v>110802</v>
      </c>
      <c r="B43" s="135" t="s">
        <v>2096</v>
      </c>
      <c r="C43" s="135" t="s">
        <v>2097</v>
      </c>
      <c r="D43" s="135">
        <v>110100</v>
      </c>
      <c r="E43" s="135" t="s">
        <v>82</v>
      </c>
      <c r="F43" s="135" t="s">
        <v>82</v>
      </c>
      <c r="G43" s="134">
        <v>800</v>
      </c>
      <c r="H43" s="135"/>
      <c r="I43" s="135"/>
      <c r="J43" s="142"/>
      <c r="K43" s="135"/>
      <c r="L43" s="134"/>
      <c r="M43" s="143">
        <v>35034</v>
      </c>
      <c r="N43" s="134">
        <v>1997</v>
      </c>
      <c r="O43" s="134" t="s">
        <v>599</v>
      </c>
      <c r="P43" s="134">
        <v>1</v>
      </c>
      <c r="Q43" s="135"/>
      <c r="R43" s="144"/>
      <c r="S43" s="139">
        <v>44792</v>
      </c>
      <c r="T43" s="140" t="s">
        <v>2098</v>
      </c>
      <c r="U43" s="141">
        <v>1995</v>
      </c>
    </row>
    <row r="44" s="118" customFormat="1" spans="1:21">
      <c r="A44" s="133">
        <v>540801</v>
      </c>
      <c r="B44" s="135" t="s">
        <v>2099</v>
      </c>
      <c r="C44" s="135" t="s">
        <v>2100</v>
      </c>
      <c r="D44" s="135">
        <v>540100</v>
      </c>
      <c r="E44" s="135" t="s">
        <v>132</v>
      </c>
      <c r="F44" s="135" t="s">
        <v>2101</v>
      </c>
      <c r="G44" s="134">
        <v>90</v>
      </c>
      <c r="H44" s="135"/>
      <c r="I44" s="135"/>
      <c r="J44" s="142"/>
      <c r="K44" s="135"/>
      <c r="L44" s="134"/>
      <c r="M44" s="137">
        <v>35431</v>
      </c>
      <c r="N44" s="134">
        <v>1997</v>
      </c>
      <c r="O44" s="134" t="s">
        <v>599</v>
      </c>
      <c r="P44" s="134">
        <v>1</v>
      </c>
      <c r="Q44" s="135"/>
      <c r="R44" s="144"/>
      <c r="S44" s="139">
        <v>44792</v>
      </c>
      <c r="T44" s="140" t="s">
        <v>2102</v>
      </c>
      <c r="U44" s="141">
        <v>1997</v>
      </c>
    </row>
    <row r="45" s="118" customFormat="1" spans="1:21">
      <c r="A45" s="133">
        <v>330801</v>
      </c>
      <c r="B45" s="135" t="s">
        <v>2103</v>
      </c>
      <c r="C45" s="135" t="s">
        <v>2104</v>
      </c>
      <c r="D45" s="135">
        <v>330500</v>
      </c>
      <c r="E45" s="135" t="s">
        <v>102</v>
      </c>
      <c r="F45" s="135" t="s">
        <v>2105</v>
      </c>
      <c r="G45" s="134">
        <v>1800</v>
      </c>
      <c r="H45" s="135" t="s">
        <v>2106</v>
      </c>
      <c r="I45" s="135">
        <v>73.77</v>
      </c>
      <c r="J45" s="142">
        <v>4.09833333333333</v>
      </c>
      <c r="K45" s="135">
        <v>31.6</v>
      </c>
      <c r="L45" s="134">
        <v>1994</v>
      </c>
      <c r="M45" s="137">
        <v>35796</v>
      </c>
      <c r="N45" s="134">
        <v>1998</v>
      </c>
      <c r="O45" s="134" t="s">
        <v>599</v>
      </c>
      <c r="P45" s="134">
        <v>1</v>
      </c>
      <c r="Q45" s="135" t="s">
        <v>2107</v>
      </c>
      <c r="R45" s="144">
        <v>0.416667</v>
      </c>
      <c r="S45" s="139">
        <v>44792</v>
      </c>
      <c r="T45" s="141"/>
      <c r="U45" s="141">
        <v>1998</v>
      </c>
    </row>
    <row r="46" s="118" customFormat="1" spans="1:21">
      <c r="A46" s="133">
        <v>330802</v>
      </c>
      <c r="B46" s="135" t="s">
        <v>2108</v>
      </c>
      <c r="C46" s="135" t="s">
        <v>2109</v>
      </c>
      <c r="D46" s="135">
        <v>330200</v>
      </c>
      <c r="E46" s="135" t="s">
        <v>102</v>
      </c>
      <c r="F46" s="135" t="s">
        <v>2110</v>
      </c>
      <c r="G46" s="134">
        <v>80</v>
      </c>
      <c r="H46" s="135"/>
      <c r="I46" s="135"/>
      <c r="J46" s="142"/>
      <c r="K46" s="135"/>
      <c r="L46" s="134"/>
      <c r="M46" s="137">
        <v>35954</v>
      </c>
      <c r="N46" s="134">
        <v>1998</v>
      </c>
      <c r="O46" s="134" t="s">
        <v>599</v>
      </c>
      <c r="P46" s="134">
        <v>1</v>
      </c>
      <c r="Q46" s="135"/>
      <c r="R46" s="144"/>
      <c r="S46" s="139">
        <v>44792</v>
      </c>
      <c r="T46" s="140" t="s">
        <v>2111</v>
      </c>
      <c r="U46" s="141">
        <v>1998</v>
      </c>
    </row>
    <row r="47" s="118" customFormat="1" spans="1:21">
      <c r="A47" s="133">
        <v>440802</v>
      </c>
      <c r="B47" s="135" t="s">
        <v>2112</v>
      </c>
      <c r="C47" s="135" t="s">
        <v>2113</v>
      </c>
      <c r="D47" s="135">
        <v>440100</v>
      </c>
      <c r="E47" s="135" t="s">
        <v>118</v>
      </c>
      <c r="F47" s="135" t="s">
        <v>2092</v>
      </c>
      <c r="G47" s="134">
        <v>1200</v>
      </c>
      <c r="H47" s="135" t="s">
        <v>2093</v>
      </c>
      <c r="I47" s="135"/>
      <c r="J47" s="142"/>
      <c r="K47" s="135">
        <v>25.089</v>
      </c>
      <c r="L47" s="135">
        <v>1994</v>
      </c>
      <c r="M47" s="143">
        <v>36678</v>
      </c>
      <c r="N47" s="134">
        <v>2000</v>
      </c>
      <c r="O47" s="134" t="s">
        <v>599</v>
      </c>
      <c r="P47" s="134">
        <v>1</v>
      </c>
      <c r="Q47" s="135" t="s">
        <v>2094</v>
      </c>
      <c r="R47" s="144">
        <v>0</v>
      </c>
      <c r="S47" s="139">
        <v>44792</v>
      </c>
      <c r="T47" s="140" t="s">
        <v>2114</v>
      </c>
      <c r="U47" s="141">
        <v>2000</v>
      </c>
    </row>
    <row r="48" s="118" customFormat="1" spans="1:21">
      <c r="A48" s="133">
        <v>340801</v>
      </c>
      <c r="B48" s="135" t="s">
        <v>2115</v>
      </c>
      <c r="C48" s="135" t="s">
        <v>2116</v>
      </c>
      <c r="D48" s="135">
        <v>341500</v>
      </c>
      <c r="E48" s="135" t="s">
        <v>104</v>
      </c>
      <c r="F48" s="135" t="s">
        <v>2117</v>
      </c>
      <c r="G48" s="134">
        <v>80</v>
      </c>
      <c r="H48" s="135" t="s">
        <v>2118</v>
      </c>
      <c r="I48" s="135">
        <v>4.56</v>
      </c>
      <c r="J48" s="142">
        <v>5.7</v>
      </c>
      <c r="K48" s="135">
        <v>2.44</v>
      </c>
      <c r="L48" s="134">
        <v>1959</v>
      </c>
      <c r="M48" s="137">
        <v>36892</v>
      </c>
      <c r="N48" s="134">
        <v>2001</v>
      </c>
      <c r="O48" s="134" t="s">
        <v>599</v>
      </c>
      <c r="P48" s="134">
        <v>1</v>
      </c>
      <c r="Q48" s="135" t="s">
        <v>2119</v>
      </c>
      <c r="R48" s="144">
        <v>0.55</v>
      </c>
      <c r="S48" s="139">
        <v>44792</v>
      </c>
      <c r="T48" s="140" t="s">
        <v>2120</v>
      </c>
      <c r="U48" s="141">
        <v>2001</v>
      </c>
    </row>
    <row r="49" s="118" customFormat="1" spans="1:21">
      <c r="A49" s="133">
        <v>420801</v>
      </c>
      <c r="B49" s="135" t="s">
        <v>2121</v>
      </c>
      <c r="C49" s="135" t="s">
        <v>2122</v>
      </c>
      <c r="D49" s="135">
        <v>421100</v>
      </c>
      <c r="E49" s="135" t="s">
        <v>114</v>
      </c>
      <c r="F49" s="135" t="s">
        <v>2123</v>
      </c>
      <c r="G49" s="134">
        <v>70</v>
      </c>
      <c r="H49" s="135"/>
      <c r="I49" s="135"/>
      <c r="J49" s="142"/>
      <c r="K49" s="135"/>
      <c r="L49" s="134"/>
      <c r="M49" s="143">
        <v>36951</v>
      </c>
      <c r="N49" s="134">
        <v>2001</v>
      </c>
      <c r="O49" s="134" t="s">
        <v>599</v>
      </c>
      <c r="P49" s="134">
        <v>1</v>
      </c>
      <c r="Q49" s="135"/>
      <c r="R49" s="144"/>
      <c r="S49" s="139">
        <v>44792</v>
      </c>
      <c r="T49" s="140" t="s">
        <v>2124</v>
      </c>
      <c r="U49" s="141">
        <v>2001</v>
      </c>
    </row>
    <row r="50" s="118" customFormat="1" spans="1:21">
      <c r="A50" s="133">
        <v>320801</v>
      </c>
      <c r="B50" s="135" t="s">
        <v>2125</v>
      </c>
      <c r="C50" s="135" t="s">
        <v>2126</v>
      </c>
      <c r="D50" s="135">
        <v>320400</v>
      </c>
      <c r="E50" s="135" t="s">
        <v>100</v>
      </c>
      <c r="F50" s="135" t="s">
        <v>2127</v>
      </c>
      <c r="G50" s="134">
        <v>100</v>
      </c>
      <c r="H50" s="135"/>
      <c r="I50" s="135"/>
      <c r="J50" s="142"/>
      <c r="K50" s="135"/>
      <c r="L50" s="134"/>
      <c r="M50" s="137">
        <v>37429</v>
      </c>
      <c r="N50" s="134">
        <v>2002</v>
      </c>
      <c r="O50" s="134" t="s">
        <v>599</v>
      </c>
      <c r="P50" s="134">
        <v>1</v>
      </c>
      <c r="Q50" s="135"/>
      <c r="R50" s="144"/>
      <c r="S50" s="139">
        <v>44792</v>
      </c>
      <c r="T50" s="140" t="s">
        <v>2128</v>
      </c>
      <c r="U50" s="141">
        <v>2002</v>
      </c>
    </row>
    <row r="51" s="118" customFormat="1" spans="1:21">
      <c r="A51" s="133">
        <v>330803</v>
      </c>
      <c r="B51" s="135" t="s">
        <v>2129</v>
      </c>
      <c r="C51" s="135" t="s">
        <v>2130</v>
      </c>
      <c r="D51" s="135">
        <v>331000</v>
      </c>
      <c r="E51" s="135" t="s">
        <v>102</v>
      </c>
      <c r="F51" s="135" t="s">
        <v>2024</v>
      </c>
      <c r="G51" s="134">
        <v>1200</v>
      </c>
      <c r="H51" s="135" t="s">
        <v>2093</v>
      </c>
      <c r="I51" s="135">
        <v>42</v>
      </c>
      <c r="J51" s="142">
        <v>3.5</v>
      </c>
      <c r="K51" s="135">
        <v>21.18</v>
      </c>
      <c r="L51" s="134">
        <v>2001</v>
      </c>
      <c r="M51" s="137">
        <v>38353</v>
      </c>
      <c r="N51" s="134">
        <v>2005</v>
      </c>
      <c r="O51" s="134" t="s">
        <v>599</v>
      </c>
      <c r="P51" s="134">
        <v>1</v>
      </c>
      <c r="Q51" s="135" t="s">
        <v>2131</v>
      </c>
      <c r="R51" s="144">
        <v>0.52</v>
      </c>
      <c r="S51" s="139">
        <v>44792</v>
      </c>
      <c r="T51" s="141"/>
      <c r="U51" s="141">
        <v>2005</v>
      </c>
    </row>
    <row r="52" s="118" customFormat="1" spans="1:21">
      <c r="A52" s="133">
        <v>410801</v>
      </c>
      <c r="B52" s="135" t="s">
        <v>2132</v>
      </c>
      <c r="C52" s="135" t="s">
        <v>2133</v>
      </c>
      <c r="D52" s="135">
        <v>411300</v>
      </c>
      <c r="E52" s="135" t="s">
        <v>112</v>
      </c>
      <c r="F52" s="135" t="s">
        <v>2134</v>
      </c>
      <c r="G52" s="134">
        <v>120</v>
      </c>
      <c r="H52" s="135"/>
      <c r="I52" s="135"/>
      <c r="J52" s="142"/>
      <c r="K52" s="135"/>
      <c r="L52" s="134"/>
      <c r="M52" s="143">
        <v>38596</v>
      </c>
      <c r="N52" s="134">
        <v>2005</v>
      </c>
      <c r="O52" s="134" t="s">
        <v>599</v>
      </c>
      <c r="P52" s="134">
        <v>1</v>
      </c>
      <c r="Q52" s="135"/>
      <c r="R52" s="144"/>
      <c r="S52" s="139">
        <v>44792</v>
      </c>
      <c r="T52" s="145"/>
      <c r="U52" s="141">
        <v>2005</v>
      </c>
    </row>
    <row r="53" s="118" customFormat="1" spans="1:21">
      <c r="A53" s="133">
        <v>370801</v>
      </c>
      <c r="B53" s="135" t="s">
        <v>2135</v>
      </c>
      <c r="C53" s="135" t="s">
        <v>2136</v>
      </c>
      <c r="D53" s="135">
        <v>370900</v>
      </c>
      <c r="E53" s="135" t="s">
        <v>110</v>
      </c>
      <c r="F53" s="135" t="s">
        <v>2137</v>
      </c>
      <c r="G53" s="134">
        <v>1000</v>
      </c>
      <c r="H53" s="135" t="s">
        <v>2138</v>
      </c>
      <c r="I53" s="135">
        <v>43.26</v>
      </c>
      <c r="J53" s="142">
        <v>4.326</v>
      </c>
      <c r="K53" s="135">
        <v>13.382</v>
      </c>
      <c r="L53" s="134">
        <v>2001</v>
      </c>
      <c r="M53" s="143">
        <v>39071</v>
      </c>
      <c r="N53" s="134">
        <v>2006</v>
      </c>
      <c r="O53" s="134" t="s">
        <v>599</v>
      </c>
      <c r="P53" s="134">
        <v>1</v>
      </c>
      <c r="Q53" s="135" t="s">
        <v>2139</v>
      </c>
      <c r="R53" s="144">
        <v>0.502913</v>
      </c>
      <c r="S53" s="139">
        <v>44792</v>
      </c>
      <c r="T53" s="140" t="s">
        <v>2140</v>
      </c>
      <c r="U53" s="141">
        <v>2006</v>
      </c>
    </row>
    <row r="54" s="118" customFormat="1" spans="1:21">
      <c r="A54" s="133">
        <v>340802</v>
      </c>
      <c r="B54" s="135" t="s">
        <v>2141</v>
      </c>
      <c r="C54" s="135" t="s">
        <v>2142</v>
      </c>
      <c r="D54" s="135">
        <v>341100</v>
      </c>
      <c r="E54" s="135" t="s">
        <v>104</v>
      </c>
      <c r="F54" s="135" t="s">
        <v>2143</v>
      </c>
      <c r="G54" s="134">
        <v>600</v>
      </c>
      <c r="H54" s="135" t="s">
        <v>2144</v>
      </c>
      <c r="I54" s="135">
        <v>23.33</v>
      </c>
      <c r="J54" s="142">
        <v>3.88833333333333</v>
      </c>
      <c r="K54" s="135">
        <v>8.6</v>
      </c>
      <c r="L54" s="134">
        <v>2002</v>
      </c>
      <c r="M54" s="137">
        <v>38987</v>
      </c>
      <c r="N54" s="134">
        <v>2006</v>
      </c>
      <c r="O54" s="134" t="s">
        <v>599</v>
      </c>
      <c r="P54" s="134">
        <v>1</v>
      </c>
      <c r="Q54" s="135" t="s">
        <v>2145</v>
      </c>
      <c r="R54" s="144">
        <v>0.35</v>
      </c>
      <c r="S54" s="139">
        <v>44792</v>
      </c>
      <c r="T54" s="140" t="s">
        <v>2146</v>
      </c>
      <c r="U54" s="141">
        <v>2006</v>
      </c>
    </row>
    <row r="55" s="118" customFormat="1" spans="1:21">
      <c r="A55" s="133">
        <v>220801</v>
      </c>
      <c r="B55" s="135" t="s">
        <v>2147</v>
      </c>
      <c r="C55" s="135" t="s">
        <v>2148</v>
      </c>
      <c r="D55" s="135">
        <v>220600</v>
      </c>
      <c r="E55" s="135" t="s">
        <v>94</v>
      </c>
      <c r="F55" s="135" t="s">
        <v>2149</v>
      </c>
      <c r="G55" s="134">
        <v>300</v>
      </c>
      <c r="H55" s="135"/>
      <c r="I55" s="135"/>
      <c r="J55" s="142"/>
      <c r="K55" s="135"/>
      <c r="L55" s="134"/>
      <c r="M55" s="137">
        <v>38990</v>
      </c>
      <c r="N55" s="134">
        <v>2006</v>
      </c>
      <c r="O55" s="134" t="s">
        <v>599</v>
      </c>
      <c r="P55" s="134">
        <v>1</v>
      </c>
      <c r="Q55" s="135"/>
      <c r="R55" s="144"/>
      <c r="S55" s="139">
        <v>44792</v>
      </c>
      <c r="T55" s="140" t="s">
        <v>2150</v>
      </c>
      <c r="U55" s="141">
        <v>2006</v>
      </c>
    </row>
    <row r="56" s="118" customFormat="1" spans="1:21">
      <c r="A56" s="133">
        <v>130803</v>
      </c>
      <c r="B56" s="135" t="s">
        <v>2151</v>
      </c>
      <c r="C56" s="135" t="s">
        <v>2152</v>
      </c>
      <c r="D56" s="135">
        <v>130100</v>
      </c>
      <c r="E56" s="135" t="s">
        <v>86</v>
      </c>
      <c r="F56" s="135" t="s">
        <v>2076</v>
      </c>
      <c r="G56" s="134">
        <v>1000</v>
      </c>
      <c r="H56" s="135" t="s">
        <v>2138</v>
      </c>
      <c r="I56" s="135">
        <v>41.2</v>
      </c>
      <c r="J56" s="142">
        <v>4.12</v>
      </c>
      <c r="K56" s="135">
        <v>16.75</v>
      </c>
      <c r="L56" s="134">
        <v>2003</v>
      </c>
      <c r="M56" s="137">
        <v>39083</v>
      </c>
      <c r="N56" s="134">
        <v>2007</v>
      </c>
      <c r="O56" s="134" t="s">
        <v>599</v>
      </c>
      <c r="P56" s="134">
        <v>1</v>
      </c>
      <c r="Q56" s="135" t="s">
        <v>2153</v>
      </c>
      <c r="R56" s="144">
        <v>0.51</v>
      </c>
      <c r="S56" s="139">
        <v>44792</v>
      </c>
      <c r="T56" s="141"/>
      <c r="U56" s="141">
        <v>2007</v>
      </c>
    </row>
    <row r="57" s="118" customFormat="1" spans="1:21">
      <c r="A57" s="133">
        <v>140801</v>
      </c>
      <c r="B57" s="135" t="s">
        <v>2154</v>
      </c>
      <c r="C57" s="135" t="s">
        <v>2155</v>
      </c>
      <c r="D57" s="135">
        <v>140900</v>
      </c>
      <c r="E57" s="135" t="s">
        <v>88</v>
      </c>
      <c r="F57" s="135" t="s">
        <v>2156</v>
      </c>
      <c r="G57" s="134">
        <v>1200</v>
      </c>
      <c r="H57" s="135" t="s">
        <v>2093</v>
      </c>
      <c r="I57" s="135">
        <v>50</v>
      </c>
      <c r="J57" s="142">
        <v>4.16666666666667</v>
      </c>
      <c r="K57" s="135">
        <v>18</v>
      </c>
      <c r="L57" s="134">
        <v>2002</v>
      </c>
      <c r="M57" s="137">
        <v>39448</v>
      </c>
      <c r="N57" s="134">
        <v>2008</v>
      </c>
      <c r="O57" s="134" t="s">
        <v>599</v>
      </c>
      <c r="P57" s="134">
        <v>1</v>
      </c>
      <c r="Q57" s="135" t="s">
        <v>2157</v>
      </c>
      <c r="R57" s="144">
        <v>0.43</v>
      </c>
      <c r="S57" s="139">
        <v>44792</v>
      </c>
      <c r="T57" s="141"/>
      <c r="U57" s="141">
        <v>2008</v>
      </c>
    </row>
    <row r="58" s="118" customFormat="1" spans="1:21">
      <c r="A58" s="133">
        <v>320802</v>
      </c>
      <c r="B58" s="135" t="s">
        <v>2158</v>
      </c>
      <c r="C58" s="135" t="s">
        <v>2159</v>
      </c>
      <c r="D58" s="135">
        <v>320200</v>
      </c>
      <c r="E58" s="135" t="s">
        <v>100</v>
      </c>
      <c r="F58" s="135" t="s">
        <v>2160</v>
      </c>
      <c r="G58" s="134">
        <v>1000</v>
      </c>
      <c r="H58" s="135" t="s">
        <v>2138</v>
      </c>
      <c r="I58" s="135">
        <v>47.63</v>
      </c>
      <c r="J58" s="142">
        <v>4.763</v>
      </c>
      <c r="K58" s="135">
        <v>14.9</v>
      </c>
      <c r="L58" s="134">
        <v>2003</v>
      </c>
      <c r="M58" s="137">
        <v>39448</v>
      </c>
      <c r="N58" s="134">
        <v>2008</v>
      </c>
      <c r="O58" s="134" t="s">
        <v>599</v>
      </c>
      <c r="P58" s="134">
        <v>1</v>
      </c>
      <c r="Q58" s="135" t="s">
        <v>2161</v>
      </c>
      <c r="R58" s="144">
        <v>0.4</v>
      </c>
      <c r="S58" s="139">
        <v>44792</v>
      </c>
      <c r="T58" s="141"/>
      <c r="U58" s="141">
        <v>2008</v>
      </c>
    </row>
    <row r="59" s="118" customFormat="1" spans="1:21">
      <c r="A59" s="133">
        <v>430801</v>
      </c>
      <c r="B59" s="135" t="s">
        <v>2162</v>
      </c>
      <c r="C59" s="135" t="s">
        <v>2163</v>
      </c>
      <c r="D59" s="135">
        <v>430100</v>
      </c>
      <c r="E59" s="135" t="s">
        <v>116</v>
      </c>
      <c r="F59" s="135" t="s">
        <v>2164</v>
      </c>
      <c r="G59" s="134">
        <v>1200</v>
      </c>
      <c r="H59" s="135" t="s">
        <v>2093</v>
      </c>
      <c r="I59" s="135">
        <v>30</v>
      </c>
      <c r="J59" s="142">
        <v>2.5</v>
      </c>
      <c r="K59" s="135">
        <v>16.06</v>
      </c>
      <c r="L59" s="135">
        <v>2005</v>
      </c>
      <c r="M59" s="137">
        <v>40179</v>
      </c>
      <c r="N59" s="134">
        <v>2010</v>
      </c>
      <c r="O59" s="134" t="s">
        <v>599</v>
      </c>
      <c r="P59" s="134">
        <v>1</v>
      </c>
      <c r="Q59" s="135" t="s">
        <v>2165</v>
      </c>
      <c r="R59" s="144">
        <v>0.6</v>
      </c>
      <c r="S59" s="139">
        <v>44792</v>
      </c>
      <c r="T59" s="140" t="s">
        <v>2124</v>
      </c>
      <c r="U59" s="141">
        <v>2010</v>
      </c>
    </row>
    <row r="60" s="118" customFormat="1" spans="1:21">
      <c r="A60" s="133">
        <v>420802</v>
      </c>
      <c r="B60" s="135" t="s">
        <v>2166</v>
      </c>
      <c r="C60" s="135" t="s">
        <v>2167</v>
      </c>
      <c r="D60" s="135">
        <v>421100</v>
      </c>
      <c r="E60" s="135" t="s">
        <v>114</v>
      </c>
      <c r="F60" s="135" t="s">
        <v>2123</v>
      </c>
      <c r="G60" s="134">
        <v>1200</v>
      </c>
      <c r="H60" s="135" t="s">
        <v>2093</v>
      </c>
      <c r="I60" s="135">
        <v>35.33</v>
      </c>
      <c r="J60" s="142">
        <v>2.94416666666667</v>
      </c>
      <c r="K60" s="135">
        <v>9.67</v>
      </c>
      <c r="L60" s="135">
        <v>2005</v>
      </c>
      <c r="M60" s="137">
        <v>40513</v>
      </c>
      <c r="N60" s="134">
        <v>2010</v>
      </c>
      <c r="O60" s="134" t="s">
        <v>599</v>
      </c>
      <c r="P60" s="134">
        <v>1</v>
      </c>
      <c r="Q60" s="135" t="s">
        <v>2168</v>
      </c>
      <c r="R60" s="144">
        <v>0.509988</v>
      </c>
      <c r="S60" s="139">
        <v>44792</v>
      </c>
      <c r="T60" s="140" t="s">
        <v>2124</v>
      </c>
      <c r="U60" s="141">
        <v>2010</v>
      </c>
    </row>
    <row r="61" s="118" customFormat="1" spans="1:21">
      <c r="A61" s="133">
        <v>410802</v>
      </c>
      <c r="B61" s="135" t="s">
        <v>2169</v>
      </c>
      <c r="C61" s="135" t="s">
        <v>2170</v>
      </c>
      <c r="D61" s="135">
        <v>410700</v>
      </c>
      <c r="E61" s="135" t="s">
        <v>112</v>
      </c>
      <c r="F61" s="135" t="s">
        <v>2171</v>
      </c>
      <c r="G61" s="134">
        <v>1200</v>
      </c>
      <c r="H61" s="135" t="s">
        <v>2093</v>
      </c>
      <c r="I61" s="135">
        <v>43.27</v>
      </c>
      <c r="J61" s="142">
        <v>3.60583333333333</v>
      </c>
      <c r="K61" s="135">
        <v>20.1</v>
      </c>
      <c r="L61" s="134">
        <v>2003</v>
      </c>
      <c r="M61" s="137">
        <v>40544</v>
      </c>
      <c r="N61" s="134">
        <v>2011</v>
      </c>
      <c r="O61" s="134" t="s">
        <v>599</v>
      </c>
      <c r="P61" s="134">
        <v>1</v>
      </c>
      <c r="Q61" s="135" t="s">
        <v>2172</v>
      </c>
      <c r="R61" s="144">
        <v>0.55</v>
      </c>
      <c r="S61" s="139">
        <v>44792</v>
      </c>
      <c r="T61" s="141"/>
      <c r="U61" s="141">
        <v>2011</v>
      </c>
    </row>
    <row r="62" s="118" customFormat="1" spans="1:21">
      <c r="A62" s="133">
        <v>440803</v>
      </c>
      <c r="B62" s="135" t="s">
        <v>2173</v>
      </c>
      <c r="C62" s="135" t="s">
        <v>2174</v>
      </c>
      <c r="D62" s="135">
        <v>441300</v>
      </c>
      <c r="E62" s="135" t="s">
        <v>118</v>
      </c>
      <c r="F62" s="135" t="s">
        <v>1889</v>
      </c>
      <c r="G62" s="134">
        <v>2400</v>
      </c>
      <c r="H62" s="135" t="s">
        <v>2175</v>
      </c>
      <c r="I62" s="135">
        <v>81.34</v>
      </c>
      <c r="J62" s="142">
        <v>3.38916666666667</v>
      </c>
      <c r="K62" s="135">
        <v>45.63</v>
      </c>
      <c r="L62" s="135">
        <v>2004</v>
      </c>
      <c r="M62" s="143">
        <v>40708</v>
      </c>
      <c r="N62" s="134">
        <v>2011</v>
      </c>
      <c r="O62" s="134" t="s">
        <v>599</v>
      </c>
      <c r="P62" s="134">
        <v>1</v>
      </c>
      <c r="Q62" s="135" t="s">
        <v>2094</v>
      </c>
      <c r="R62" s="144">
        <v>0</v>
      </c>
      <c r="S62" s="139">
        <v>44792</v>
      </c>
      <c r="T62" s="140" t="s">
        <v>2176</v>
      </c>
      <c r="U62" s="141">
        <v>2011</v>
      </c>
    </row>
    <row r="63" s="118" customFormat="1" spans="1:21">
      <c r="A63" s="133">
        <v>210801</v>
      </c>
      <c r="B63" s="135" t="s">
        <v>2177</v>
      </c>
      <c r="C63" s="135" t="s">
        <v>2178</v>
      </c>
      <c r="D63" s="135">
        <v>210600</v>
      </c>
      <c r="E63" s="135" t="s">
        <v>92</v>
      </c>
      <c r="F63" s="135" t="s">
        <v>2179</v>
      </c>
      <c r="G63" s="134">
        <v>1200</v>
      </c>
      <c r="H63" s="135" t="s">
        <v>2093</v>
      </c>
      <c r="I63" s="135">
        <v>45.16</v>
      </c>
      <c r="J63" s="142">
        <v>3.76333333333333</v>
      </c>
      <c r="K63" s="135">
        <v>18.6</v>
      </c>
      <c r="L63" s="135">
        <v>2006</v>
      </c>
      <c r="M63" s="137">
        <v>40909</v>
      </c>
      <c r="N63" s="134">
        <v>2012</v>
      </c>
      <c r="O63" s="134" t="s">
        <v>599</v>
      </c>
      <c r="P63" s="134">
        <v>1</v>
      </c>
      <c r="Q63" s="135" t="s">
        <v>2180</v>
      </c>
      <c r="R63" s="144">
        <v>0.37</v>
      </c>
      <c r="S63" s="139">
        <v>44792</v>
      </c>
      <c r="T63" s="141"/>
      <c r="U63" s="141">
        <v>2012</v>
      </c>
    </row>
    <row r="64" s="118" customFormat="1" spans="1:21">
      <c r="A64" s="133">
        <v>340803</v>
      </c>
      <c r="B64" s="135" t="s">
        <v>2181</v>
      </c>
      <c r="C64" s="135" t="s">
        <v>2182</v>
      </c>
      <c r="D64" s="135">
        <v>340200</v>
      </c>
      <c r="E64" s="135" t="s">
        <v>104</v>
      </c>
      <c r="F64" s="135" t="s">
        <v>2183</v>
      </c>
      <c r="G64" s="134">
        <v>1000</v>
      </c>
      <c r="H64" s="135" t="s">
        <v>2138</v>
      </c>
      <c r="I64" s="135">
        <v>38</v>
      </c>
      <c r="J64" s="142">
        <v>3.8</v>
      </c>
      <c r="K64" s="135">
        <v>17.62</v>
      </c>
      <c r="L64" s="135">
        <v>2006</v>
      </c>
      <c r="M64" s="137">
        <v>41230</v>
      </c>
      <c r="N64" s="134">
        <v>2012</v>
      </c>
      <c r="O64" s="134" t="s">
        <v>599</v>
      </c>
      <c r="P64" s="134">
        <v>1</v>
      </c>
      <c r="Q64" s="135" t="s">
        <v>2184</v>
      </c>
      <c r="R64" s="144">
        <v>0.45565</v>
      </c>
      <c r="S64" s="139">
        <v>44792</v>
      </c>
      <c r="T64" s="140" t="s">
        <v>2185</v>
      </c>
      <c r="U64" s="141">
        <v>2012</v>
      </c>
    </row>
    <row r="65" s="118" customFormat="1" spans="1:22">
      <c r="A65" s="133">
        <v>350801</v>
      </c>
      <c r="B65" s="135" t="s">
        <v>2186</v>
      </c>
      <c r="C65" s="135" t="s">
        <v>2187</v>
      </c>
      <c r="D65" s="135">
        <v>350300</v>
      </c>
      <c r="E65" s="135" t="s">
        <v>106</v>
      </c>
      <c r="F65" s="135" t="s">
        <v>2188</v>
      </c>
      <c r="G65" s="134">
        <v>1200</v>
      </c>
      <c r="H65" s="135" t="s">
        <v>2093</v>
      </c>
      <c r="I65" s="135">
        <v>40.45</v>
      </c>
      <c r="J65" s="142">
        <v>3.37083333333333</v>
      </c>
      <c r="K65" s="135">
        <v>18.96</v>
      </c>
      <c r="L65" s="135">
        <v>2006</v>
      </c>
      <c r="M65" s="137">
        <v>41609</v>
      </c>
      <c r="N65" s="134">
        <v>2013</v>
      </c>
      <c r="O65" s="134" t="s">
        <v>599</v>
      </c>
      <c r="P65" s="134">
        <v>1</v>
      </c>
      <c r="Q65" s="135" t="s">
        <v>2189</v>
      </c>
      <c r="R65" s="144">
        <v>0.510008</v>
      </c>
      <c r="S65" s="139">
        <v>44792</v>
      </c>
      <c r="T65" s="140" t="s">
        <v>2190</v>
      </c>
      <c r="U65" s="141">
        <v>2013</v>
      </c>
    </row>
    <row r="66" s="118" customFormat="1" spans="1:22">
      <c r="A66" s="133">
        <v>150801</v>
      </c>
      <c r="B66" s="135" t="s">
        <v>2191</v>
      </c>
      <c r="C66" s="135" t="s">
        <v>2192</v>
      </c>
      <c r="D66" s="135">
        <v>150100</v>
      </c>
      <c r="E66" s="135" t="s">
        <v>90</v>
      </c>
      <c r="F66" s="135" t="s">
        <v>2193</v>
      </c>
      <c r="G66" s="134">
        <v>1200</v>
      </c>
      <c r="H66" s="135"/>
      <c r="I66" s="135"/>
      <c r="J66" s="142"/>
      <c r="K66" s="135"/>
      <c r="L66" s="134"/>
      <c r="M66" s="137">
        <v>42178</v>
      </c>
      <c r="N66" s="134">
        <v>2015</v>
      </c>
      <c r="O66" s="134" t="s">
        <v>599</v>
      </c>
      <c r="P66" s="134">
        <v>1</v>
      </c>
      <c r="Q66" s="135"/>
      <c r="R66" s="144"/>
      <c r="S66" s="139">
        <v>44792</v>
      </c>
      <c r="T66" s="140" t="s">
        <v>2194</v>
      </c>
      <c r="U66" s="141">
        <v>2015</v>
      </c>
    </row>
    <row r="67" s="118" customFormat="1" spans="1:22">
      <c r="A67" s="133">
        <v>330804</v>
      </c>
      <c r="B67" s="135" t="s">
        <v>2195</v>
      </c>
      <c r="C67" s="135" t="s">
        <v>2196</v>
      </c>
      <c r="D67" s="135">
        <v>331000</v>
      </c>
      <c r="E67" s="135" t="s">
        <v>102</v>
      </c>
      <c r="F67" s="135" t="s">
        <v>2024</v>
      </c>
      <c r="G67" s="134">
        <v>1500</v>
      </c>
      <c r="H67" s="135" t="s">
        <v>2197</v>
      </c>
      <c r="I67" s="135">
        <v>53.3</v>
      </c>
      <c r="J67" s="142">
        <v>3.55333333333333</v>
      </c>
      <c r="K67" s="135">
        <v>25.125</v>
      </c>
      <c r="L67" s="135">
        <v>2010</v>
      </c>
      <c r="M67" s="137">
        <v>42370</v>
      </c>
      <c r="N67" s="134">
        <v>2016</v>
      </c>
      <c r="O67" s="134" t="s">
        <v>599</v>
      </c>
      <c r="P67" s="134">
        <v>1</v>
      </c>
      <c r="Q67" s="135" t="s">
        <v>2198</v>
      </c>
      <c r="R67" s="144">
        <v>0.5</v>
      </c>
      <c r="S67" s="139">
        <v>44792</v>
      </c>
      <c r="T67" s="141"/>
      <c r="U67" s="141">
        <v>2016</v>
      </c>
    </row>
    <row r="68" s="118" customFormat="1" spans="1:22">
      <c r="A68" s="133">
        <v>440804</v>
      </c>
      <c r="B68" s="135" t="s">
        <v>2199</v>
      </c>
      <c r="C68" s="135" t="s">
        <v>2200</v>
      </c>
      <c r="D68" s="135">
        <v>441800</v>
      </c>
      <c r="E68" s="135" t="s">
        <v>118</v>
      </c>
      <c r="F68" s="135" t="s">
        <v>2201</v>
      </c>
      <c r="G68" s="134">
        <v>1280</v>
      </c>
      <c r="H68" s="135" t="s">
        <v>2202</v>
      </c>
      <c r="I68" s="135">
        <v>49.98</v>
      </c>
      <c r="J68" s="142">
        <v>3.9046875</v>
      </c>
      <c r="K68" s="135">
        <v>23.32</v>
      </c>
      <c r="L68" s="135">
        <v>2010</v>
      </c>
      <c r="M68" s="137">
        <v>42612</v>
      </c>
      <c r="N68" s="134">
        <v>2016</v>
      </c>
      <c r="O68" s="134" t="s">
        <v>599</v>
      </c>
      <c r="P68" s="134">
        <v>1</v>
      </c>
      <c r="Q68" s="135" t="s">
        <v>2094</v>
      </c>
      <c r="R68" s="144">
        <v>0</v>
      </c>
      <c r="S68" s="139">
        <v>44792</v>
      </c>
      <c r="T68" s="140" t="s">
        <v>2203</v>
      </c>
      <c r="U68" s="141">
        <v>2016</v>
      </c>
    </row>
    <row r="69" s="118" customFormat="1" spans="1:22">
      <c r="A69" s="133">
        <v>360801</v>
      </c>
      <c r="B69" s="135" t="s">
        <v>2204</v>
      </c>
      <c r="C69" s="135" t="s">
        <v>2205</v>
      </c>
      <c r="D69" s="135">
        <v>360900</v>
      </c>
      <c r="E69" s="135" t="s">
        <v>108</v>
      </c>
      <c r="F69" s="135" t="s">
        <v>2206</v>
      </c>
      <c r="G69" s="134">
        <v>1200</v>
      </c>
      <c r="H69" s="135" t="s">
        <v>2093</v>
      </c>
      <c r="I69" s="135">
        <v>51.88</v>
      </c>
      <c r="J69" s="142">
        <v>4.32333333333333</v>
      </c>
      <c r="K69" s="135">
        <v>22.93</v>
      </c>
      <c r="L69" s="134">
        <v>2012</v>
      </c>
      <c r="M69" s="137">
        <v>42370</v>
      </c>
      <c r="N69" s="134">
        <v>2016</v>
      </c>
      <c r="O69" s="134" t="s">
        <v>599</v>
      </c>
      <c r="P69" s="134">
        <v>1</v>
      </c>
      <c r="Q69" s="135" t="s">
        <v>2207</v>
      </c>
      <c r="R69" s="144">
        <v>0.55</v>
      </c>
      <c r="S69" s="139">
        <v>44792</v>
      </c>
      <c r="T69" s="141"/>
      <c r="U69" s="141">
        <v>2016</v>
      </c>
    </row>
    <row r="70" s="119" customFormat="1" spans="1:22">
      <c r="A70" s="149">
        <v>320804</v>
      </c>
      <c r="B70" s="150" t="s">
        <v>2208</v>
      </c>
      <c r="C70" s="151" t="s">
        <v>2209</v>
      </c>
      <c r="D70" s="151">
        <v>320400</v>
      </c>
      <c r="E70" s="151" t="s">
        <v>100</v>
      </c>
      <c r="F70" s="151" t="s">
        <v>2127</v>
      </c>
      <c r="G70" s="151">
        <v>1500</v>
      </c>
      <c r="H70" s="151"/>
      <c r="I70" s="151"/>
      <c r="J70" s="152"/>
      <c r="K70" s="151"/>
      <c r="L70" s="151"/>
      <c r="M70" s="143">
        <v>42844</v>
      </c>
      <c r="N70" s="151">
        <v>2017</v>
      </c>
      <c r="O70" s="151" t="s">
        <v>599</v>
      </c>
      <c r="P70" s="151">
        <v>1</v>
      </c>
      <c r="Q70" s="151"/>
      <c r="R70" s="153"/>
      <c r="S70" s="154">
        <v>44792</v>
      </c>
      <c r="T70" s="155" t="s">
        <v>2210</v>
      </c>
      <c r="U70" s="156">
        <v>2017</v>
      </c>
      <c r="V70" s="157" t="s">
        <v>2211</v>
      </c>
    </row>
    <row r="71" s="119" customFormat="1" spans="1:22">
      <c r="A71" s="149">
        <v>440805</v>
      </c>
      <c r="B71" s="151" t="s">
        <v>2212</v>
      </c>
      <c r="C71" s="151" t="s">
        <v>2213</v>
      </c>
      <c r="D71" s="151">
        <v>440300</v>
      </c>
      <c r="E71" s="151" t="s">
        <v>118</v>
      </c>
      <c r="F71" s="151" t="s">
        <v>1873</v>
      </c>
      <c r="G71" s="151">
        <v>1200</v>
      </c>
      <c r="H71" s="151" t="s">
        <v>2093</v>
      </c>
      <c r="I71" s="151">
        <v>59.79</v>
      </c>
      <c r="J71" s="152">
        <v>4.9825</v>
      </c>
      <c r="K71" s="151">
        <v>15.11</v>
      </c>
      <c r="L71" s="151">
        <v>2012</v>
      </c>
      <c r="M71" s="143">
        <v>43369</v>
      </c>
      <c r="N71" s="151">
        <v>2018</v>
      </c>
      <c r="O71" s="151" t="s">
        <v>599</v>
      </c>
      <c r="P71" s="151">
        <v>1</v>
      </c>
      <c r="Q71" s="151" t="s">
        <v>2094</v>
      </c>
      <c r="R71" s="153">
        <v>0</v>
      </c>
      <c r="S71" s="154">
        <v>44792</v>
      </c>
      <c r="T71" s="155" t="s">
        <v>2214</v>
      </c>
      <c r="U71" s="156">
        <v>2018</v>
      </c>
      <c r="V71" s="157"/>
    </row>
    <row r="72" s="119" customFormat="1" spans="1:22">
      <c r="A72" s="149">
        <v>460801</v>
      </c>
      <c r="B72" s="151" t="s">
        <v>2215</v>
      </c>
      <c r="C72" s="151" t="s">
        <v>2216</v>
      </c>
      <c r="D72" s="151">
        <v>469030</v>
      </c>
      <c r="E72" s="151" t="s">
        <v>122</v>
      </c>
      <c r="F72" s="151" t="s">
        <v>2217</v>
      </c>
      <c r="G72" s="151">
        <v>600</v>
      </c>
      <c r="H72" s="151" t="s">
        <v>2218</v>
      </c>
      <c r="I72" s="151">
        <v>41.1</v>
      </c>
      <c r="J72" s="152">
        <v>6.85</v>
      </c>
      <c r="K72" s="151">
        <v>10.02</v>
      </c>
      <c r="L72" s="151">
        <v>2014</v>
      </c>
      <c r="M72" s="143">
        <v>43310</v>
      </c>
      <c r="N72" s="151">
        <v>2018</v>
      </c>
      <c r="O72" s="151" t="s">
        <v>599</v>
      </c>
      <c r="P72" s="151">
        <v>1</v>
      </c>
      <c r="Q72" s="151" t="s">
        <v>2094</v>
      </c>
      <c r="R72" s="153">
        <v>0</v>
      </c>
      <c r="S72" s="154">
        <v>44792</v>
      </c>
      <c r="T72" s="155" t="s">
        <v>2219</v>
      </c>
      <c r="U72" s="156">
        <v>2018</v>
      </c>
      <c r="V72" s="157"/>
    </row>
    <row r="73" s="119" customFormat="1" spans="1:22">
      <c r="A73" s="149">
        <v>340804</v>
      </c>
      <c r="B73" s="151" t="s">
        <v>2220</v>
      </c>
      <c r="C73" s="151" t="s">
        <v>2221</v>
      </c>
      <c r="D73" s="151">
        <v>341800</v>
      </c>
      <c r="E73" s="151" t="s">
        <v>104</v>
      </c>
      <c r="F73" s="151" t="s">
        <v>2222</v>
      </c>
      <c r="G73" s="151">
        <v>1800</v>
      </c>
      <c r="H73" s="151" t="s">
        <v>2106</v>
      </c>
      <c r="I73" s="151">
        <v>98.88</v>
      </c>
      <c r="J73" s="152">
        <v>5.49333333333333</v>
      </c>
      <c r="K73" s="151">
        <v>40.2</v>
      </c>
      <c r="L73" s="151">
        <v>2012</v>
      </c>
      <c r="M73" s="143">
        <v>44186</v>
      </c>
      <c r="N73" s="151">
        <v>2020</v>
      </c>
      <c r="O73" s="151" t="s">
        <v>599</v>
      </c>
      <c r="P73" s="151">
        <v>1</v>
      </c>
      <c r="Q73" s="151" t="s">
        <v>2223</v>
      </c>
      <c r="R73" s="153">
        <v>0.449995</v>
      </c>
      <c r="S73" s="154">
        <v>44792</v>
      </c>
      <c r="T73" s="155" t="s">
        <v>2224</v>
      </c>
      <c r="U73" s="156">
        <v>2020</v>
      </c>
      <c r="V73" s="157"/>
    </row>
    <row r="74" s="119" customFormat="1" spans="1:22">
      <c r="A74" s="149">
        <v>220802</v>
      </c>
      <c r="B74" s="151" t="s">
        <v>2225</v>
      </c>
      <c r="C74" s="151" t="s">
        <v>2226</v>
      </c>
      <c r="D74" s="151">
        <v>222400</v>
      </c>
      <c r="E74" s="151" t="s">
        <v>94</v>
      </c>
      <c r="F74" s="151" t="s">
        <v>2227</v>
      </c>
      <c r="G74" s="151">
        <v>1400</v>
      </c>
      <c r="H74" s="151" t="s">
        <v>2228</v>
      </c>
      <c r="I74" s="151">
        <v>78</v>
      </c>
      <c r="J74" s="152">
        <v>5.57142857142857</v>
      </c>
      <c r="K74" s="151">
        <v>23.42</v>
      </c>
      <c r="L74" s="151">
        <v>2013</v>
      </c>
      <c r="M74" s="143">
        <v>43831</v>
      </c>
      <c r="N74" s="151">
        <v>2020</v>
      </c>
      <c r="O74" s="151" t="s">
        <v>599</v>
      </c>
      <c r="P74" s="151">
        <v>1</v>
      </c>
      <c r="Q74" s="151" t="s">
        <v>2229</v>
      </c>
      <c r="R74" s="153">
        <v>0.340005</v>
      </c>
      <c r="S74" s="154">
        <v>44792</v>
      </c>
      <c r="T74" s="156"/>
      <c r="U74" s="156">
        <v>2020</v>
      </c>
      <c r="V74" s="157"/>
    </row>
    <row r="76" spans="1:22">
      <c r="A76" s="121" t="s">
        <v>2230</v>
      </c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</row>
    <row r="77" spans="1:22">
      <c r="A77" s="44" t="s">
        <v>686</v>
      </c>
      <c r="B77" s="121" t="s">
        <v>690</v>
      </c>
      <c r="C77" s="44" t="s">
        <v>691</v>
      </c>
      <c r="D77" s="44"/>
      <c r="E77" s="44" t="s">
        <v>144</v>
      </c>
      <c r="F77" s="44"/>
      <c r="G77" s="44" t="s">
        <v>1358</v>
      </c>
      <c r="H77" s="44" t="s">
        <v>2231</v>
      </c>
      <c r="I77" s="44" t="s">
        <v>692</v>
      </c>
      <c r="J77" s="44"/>
      <c r="K77" s="44"/>
      <c r="L77" s="44"/>
      <c r="M77" s="44"/>
      <c r="N77" s="44" t="s">
        <v>160</v>
      </c>
    </row>
    <row r="78" spans="1:22">
      <c r="A78" s="44">
        <v>322017120</v>
      </c>
      <c r="B78" s="158" t="s">
        <v>2208</v>
      </c>
      <c r="C78" s="44" t="s">
        <v>748</v>
      </c>
      <c r="D78" s="44"/>
      <c r="E78" s="44" t="s">
        <v>100</v>
      </c>
      <c r="F78" s="159"/>
      <c r="G78" s="159">
        <f t="shared" ref="G78:G81" si="5">H78*10</f>
        <v>1500</v>
      </c>
      <c r="H78" s="159">
        <v>150</v>
      </c>
      <c r="I78" s="159">
        <v>6</v>
      </c>
      <c r="J78" s="44"/>
      <c r="K78" s="44"/>
      <c r="L78" s="44"/>
      <c r="M78" s="160"/>
      <c r="N78" s="159">
        <v>2017</v>
      </c>
      <c r="O78" s="120"/>
    </row>
    <row r="79" spans="1:22">
      <c r="A79" s="44">
        <v>442017120</v>
      </c>
      <c r="B79" s="158" t="s">
        <v>2212</v>
      </c>
      <c r="C79" s="44" t="s">
        <v>997</v>
      </c>
      <c r="D79" s="44"/>
      <c r="E79" s="44" t="s">
        <v>118</v>
      </c>
      <c r="F79" s="159"/>
      <c r="G79" s="159">
        <f t="shared" si="5"/>
        <v>300</v>
      </c>
      <c r="H79" s="159">
        <v>30</v>
      </c>
      <c r="I79" s="159">
        <v>1</v>
      </c>
      <c r="J79" s="44"/>
      <c r="K79" s="44"/>
      <c r="L79" s="44"/>
      <c r="M79" s="160"/>
      <c r="N79" s="159">
        <v>2017</v>
      </c>
      <c r="O79" s="120"/>
    </row>
    <row r="80" spans="1:22">
      <c r="A80" s="44">
        <v>462017120</v>
      </c>
      <c r="B80" s="158" t="s">
        <v>2215</v>
      </c>
      <c r="C80" s="44" t="s">
        <v>122</v>
      </c>
      <c r="D80" s="44"/>
      <c r="E80" s="44" t="s">
        <v>122</v>
      </c>
      <c r="F80" s="159"/>
      <c r="G80" s="159">
        <f t="shared" si="5"/>
        <v>200</v>
      </c>
      <c r="H80" s="159">
        <v>20</v>
      </c>
      <c r="I80" s="159">
        <v>1</v>
      </c>
      <c r="J80" s="44"/>
      <c r="K80" s="44"/>
      <c r="L80" s="44"/>
      <c r="M80" s="160"/>
      <c r="N80" s="159">
        <v>2017</v>
      </c>
      <c r="O80" s="120"/>
    </row>
    <row r="81" s="120" customFormat="1" spans="1:14">
      <c r="A81" s="44">
        <v>442018120</v>
      </c>
      <c r="B81" s="158" t="s">
        <v>2212</v>
      </c>
      <c r="C81" s="44" t="s">
        <v>997</v>
      </c>
      <c r="D81" s="159"/>
      <c r="E81" s="44" t="s">
        <v>118</v>
      </c>
      <c r="F81" s="159"/>
      <c r="G81" s="159">
        <f t="shared" si="5"/>
        <v>900</v>
      </c>
      <c r="H81" s="159">
        <v>90</v>
      </c>
      <c r="I81" s="159">
        <v>3</v>
      </c>
      <c r="J81" s="159"/>
      <c r="K81" s="159"/>
      <c r="L81" s="159"/>
      <c r="M81" s="159"/>
      <c r="N81" s="159">
        <v>2018</v>
      </c>
    </row>
    <row r="82" s="120" customFormat="1" spans="1:14">
      <c r="A82" s="44">
        <v>462018120</v>
      </c>
      <c r="B82" s="158" t="s">
        <v>2215</v>
      </c>
      <c r="C82" s="44" t="s">
        <v>122</v>
      </c>
      <c r="D82" s="159"/>
      <c r="E82" s="44" t="s">
        <v>122</v>
      </c>
      <c r="F82" s="159"/>
      <c r="G82" s="159">
        <f t="shared" ref="G82:G93" si="6">H82*10</f>
        <v>400</v>
      </c>
      <c r="H82" s="159">
        <v>40</v>
      </c>
      <c r="I82" s="159">
        <v>2</v>
      </c>
      <c r="J82" s="159"/>
      <c r="K82" s="159"/>
      <c r="L82" s="159"/>
      <c r="M82" s="159"/>
      <c r="N82" s="159">
        <v>2018</v>
      </c>
    </row>
    <row r="83" s="120" customFormat="1" spans="1:14">
      <c r="A83" s="44">
        <v>342019120</v>
      </c>
      <c r="B83" s="158" t="s">
        <v>2220</v>
      </c>
      <c r="C83" s="44" t="s">
        <v>2232</v>
      </c>
      <c r="D83" s="159"/>
      <c r="E83" s="44" t="s">
        <v>104</v>
      </c>
      <c r="F83" s="159"/>
      <c r="G83" s="159">
        <f t="shared" si="6"/>
        <v>300</v>
      </c>
      <c r="H83" s="159">
        <v>30</v>
      </c>
      <c r="I83" s="159">
        <v>1</v>
      </c>
      <c r="J83" s="159"/>
      <c r="K83" s="159"/>
      <c r="L83" s="159"/>
      <c r="M83" s="159"/>
      <c r="N83" s="159">
        <v>2019</v>
      </c>
    </row>
    <row r="84" s="120" customFormat="1" spans="1:14">
      <c r="A84" s="44">
        <v>342020120</v>
      </c>
      <c r="B84" s="158" t="s">
        <v>2220</v>
      </c>
      <c r="C84" s="44" t="s">
        <v>2232</v>
      </c>
      <c r="D84" s="159"/>
      <c r="E84" s="44" t="s">
        <v>104</v>
      </c>
      <c r="F84" s="159"/>
      <c r="G84" s="159">
        <f t="shared" si="6"/>
        <v>1200</v>
      </c>
      <c r="H84" s="159">
        <v>120</v>
      </c>
      <c r="I84" s="159" t="s">
        <v>887</v>
      </c>
      <c r="J84" s="159"/>
      <c r="K84" s="159"/>
      <c r="L84" s="159"/>
      <c r="M84" s="159"/>
      <c r="N84" s="159">
        <v>2020</v>
      </c>
    </row>
    <row r="85" s="120" customFormat="1" spans="1:14">
      <c r="A85" s="44">
        <v>132021120</v>
      </c>
      <c r="B85" s="158" t="s">
        <v>2233</v>
      </c>
      <c r="C85" s="44" t="s">
        <v>1150</v>
      </c>
      <c r="D85" s="159"/>
      <c r="E85" s="44" t="s">
        <v>86</v>
      </c>
      <c r="F85" s="159"/>
      <c r="G85" s="159">
        <f t="shared" si="6"/>
        <v>600</v>
      </c>
      <c r="H85" s="159">
        <v>60</v>
      </c>
      <c r="I85" s="159">
        <v>2</v>
      </c>
      <c r="J85" s="159"/>
      <c r="K85" s="159"/>
      <c r="L85" s="159"/>
      <c r="M85" s="159"/>
      <c r="N85" s="159">
        <v>2021</v>
      </c>
    </row>
    <row r="86" s="120" customFormat="1" spans="1:14">
      <c r="A86" s="44">
        <v>222021120</v>
      </c>
      <c r="B86" s="158" t="s">
        <v>2234</v>
      </c>
      <c r="C86" s="44" t="s">
        <v>2235</v>
      </c>
      <c r="D86" s="159"/>
      <c r="E86" s="44" t="s">
        <v>94</v>
      </c>
      <c r="F86" s="159"/>
      <c r="G86" s="159">
        <f t="shared" si="6"/>
        <v>1050</v>
      </c>
      <c r="H86" s="159">
        <v>105</v>
      </c>
      <c r="I86" s="159">
        <v>3</v>
      </c>
      <c r="J86" s="159"/>
      <c r="K86" s="159"/>
      <c r="L86" s="159"/>
      <c r="M86" s="159"/>
      <c r="N86" s="159">
        <v>2021</v>
      </c>
    </row>
    <row r="87" s="120" customFormat="1" spans="1:14">
      <c r="A87" s="44">
        <v>232021120</v>
      </c>
      <c r="B87" s="158" t="s">
        <v>2236</v>
      </c>
      <c r="C87" s="44" t="s">
        <v>2237</v>
      </c>
      <c r="D87" s="159"/>
      <c r="E87" s="44" t="s">
        <v>96</v>
      </c>
      <c r="F87" s="159"/>
      <c r="G87" s="159">
        <f t="shared" si="6"/>
        <v>300</v>
      </c>
      <c r="H87" s="159">
        <v>30</v>
      </c>
      <c r="I87" s="159">
        <v>1</v>
      </c>
      <c r="J87" s="159"/>
      <c r="K87" s="159"/>
      <c r="L87" s="159"/>
      <c r="M87" s="159"/>
      <c r="N87" s="159">
        <v>2021</v>
      </c>
    </row>
    <row r="88" s="120" customFormat="1" spans="1:14">
      <c r="A88" s="44">
        <v>332021120</v>
      </c>
      <c r="B88" s="158" t="s">
        <v>2238</v>
      </c>
      <c r="C88" s="44" t="s">
        <v>796</v>
      </c>
      <c r="D88" s="159"/>
      <c r="E88" s="44" t="s">
        <v>102</v>
      </c>
      <c r="F88" s="159"/>
      <c r="G88" s="159">
        <f t="shared" si="6"/>
        <v>1050</v>
      </c>
      <c r="H88" s="159">
        <v>105</v>
      </c>
      <c r="I88" s="159">
        <v>3</v>
      </c>
      <c r="J88" s="159"/>
      <c r="K88" s="159"/>
      <c r="L88" s="159"/>
      <c r="M88" s="159"/>
      <c r="N88" s="159">
        <v>2021</v>
      </c>
    </row>
    <row r="89" s="120" customFormat="1" spans="1:14">
      <c r="A89" s="44">
        <v>342021120</v>
      </c>
      <c r="B89" s="158" t="s">
        <v>2220</v>
      </c>
      <c r="C89" s="44" t="s">
        <v>2232</v>
      </c>
      <c r="D89" s="159"/>
      <c r="E89" s="44" t="s">
        <v>104</v>
      </c>
      <c r="F89" s="159"/>
      <c r="G89" s="159">
        <f t="shared" si="6"/>
        <v>300</v>
      </c>
      <c r="H89" s="159">
        <v>30</v>
      </c>
      <c r="I89" s="159">
        <v>1</v>
      </c>
      <c r="J89" s="159"/>
      <c r="K89" s="159"/>
      <c r="L89" s="159"/>
      <c r="M89" s="159"/>
      <c r="N89" s="159">
        <v>2021</v>
      </c>
    </row>
    <row r="90" s="120" customFormat="1" spans="1:14">
      <c r="A90" s="44">
        <v>352021120</v>
      </c>
      <c r="B90" s="158" t="s">
        <v>2239</v>
      </c>
      <c r="C90" s="44" t="s">
        <v>2240</v>
      </c>
      <c r="D90" s="159"/>
      <c r="E90" s="44" t="s">
        <v>106</v>
      </c>
      <c r="F90" s="159"/>
      <c r="G90" s="159">
        <f t="shared" si="6"/>
        <v>600</v>
      </c>
      <c r="H90" s="159">
        <v>60</v>
      </c>
      <c r="I90" s="159">
        <v>2</v>
      </c>
      <c r="J90" s="159"/>
      <c r="K90" s="159"/>
      <c r="L90" s="159"/>
      <c r="M90" s="159"/>
      <c r="N90" s="159">
        <v>2021</v>
      </c>
    </row>
    <row r="91" s="120" customFormat="1" spans="1:14">
      <c r="A91" s="44">
        <v>372021120</v>
      </c>
      <c r="B91" s="158" t="s">
        <v>2241</v>
      </c>
      <c r="C91" s="44" t="s">
        <v>2242</v>
      </c>
      <c r="D91" s="159"/>
      <c r="E91" s="44" t="s">
        <v>110</v>
      </c>
      <c r="F91" s="159"/>
      <c r="G91" s="159">
        <f t="shared" si="6"/>
        <v>600</v>
      </c>
      <c r="H91" s="159">
        <v>60</v>
      </c>
      <c r="I91" s="159">
        <v>2</v>
      </c>
      <c r="J91" s="159"/>
      <c r="K91" s="159"/>
      <c r="L91" s="159"/>
      <c r="M91" s="159"/>
      <c r="N91" s="159">
        <v>2021</v>
      </c>
    </row>
    <row r="92" s="120" customFormat="1" spans="1:14">
      <c r="A92" s="44">
        <v>442021120</v>
      </c>
      <c r="B92" s="158" t="s">
        <v>2243</v>
      </c>
      <c r="C92" s="44" t="s">
        <v>2244</v>
      </c>
      <c r="D92" s="159"/>
      <c r="E92" s="44" t="s">
        <v>118</v>
      </c>
      <c r="F92" s="159"/>
      <c r="G92" s="159">
        <f t="shared" si="6"/>
        <v>300</v>
      </c>
      <c r="H92" s="159">
        <v>30</v>
      </c>
      <c r="I92" s="159">
        <v>1</v>
      </c>
      <c r="J92" s="159"/>
      <c r="K92" s="159"/>
      <c r="L92" s="159"/>
      <c r="M92" s="159"/>
      <c r="N92" s="159">
        <v>2021</v>
      </c>
    </row>
    <row r="93" s="120" customFormat="1" spans="1:14">
      <c r="A93" s="44">
        <v>442021120</v>
      </c>
      <c r="B93" s="158" t="s">
        <v>2245</v>
      </c>
      <c r="C93" s="44" t="s">
        <v>2246</v>
      </c>
      <c r="D93" s="159"/>
      <c r="E93" s="44" t="s">
        <v>118</v>
      </c>
      <c r="F93" s="159"/>
      <c r="G93" s="159">
        <f t="shared" si="6"/>
        <v>400</v>
      </c>
      <c r="H93" s="159">
        <v>40</v>
      </c>
      <c r="I93" s="159">
        <v>1</v>
      </c>
      <c r="J93" s="159"/>
      <c r="K93" s="159"/>
      <c r="L93" s="159"/>
      <c r="M93" s="159"/>
      <c r="N93" s="159">
        <v>2021</v>
      </c>
    </row>
  </sheetData>
  <mergeCells count="4">
    <mergeCell ref="C1:T1"/>
    <mergeCell ref="A36:U36"/>
    <mergeCell ref="A76:N76"/>
    <mergeCell ref="V70:V74"/>
  </mergeCells>
  <conditionalFormatting sqref="B70">
    <cfRule type="duplicateValues" dxfId="62" priority="1"/>
  </conditionalFormatting>
  <conditionalFormatting sqref="B78:B80">
    <cfRule type="duplicateValues" dxfId="62" priority="2"/>
  </conditionalFormatting>
  <conditionalFormatting sqref="B81:B93 B77">
    <cfRule type="duplicateValues" dxfId="62" priority="3"/>
  </conditionalFormatting>
  <hyperlinks>
    <hyperlink ref="T39" r:id="rId1" display="密云抽水蓄能电站-知识服务助手 (shuizhishi.cn)"/>
    <hyperlink ref="T38" r:id="rId2" display="岗南抽水蓄能电站-知识服务助手 (shuizhishi.cn)"/>
    <hyperlink ref="T46" r:id="rId3" display="溪口抽水蓄能电站_百度百科 (baidu.com)"/>
    <hyperlink ref="T44" r:id="rId4" display="【经典水电工程18】羊卓雍湖抽水蓄能电站-北极星水力发电网 (bjx.com.cn)"/>
    <hyperlink ref="T41" r:id="rId5" display="寸塘口电站抽水蓄能发电机组概述.pdf文档全文免费阅读、在线看 (book118.com)"/>
    <hyperlink ref="T66" r:id="rId6" display="三峡集团呼蓄电站全部投产发电-北极星水力发电网 (bjx.com.cn)"/>
    <hyperlink ref="T50" r:id="rId7" display="江苏省首座抽水蓄能电站正式投运 (sohu.com)"/>
    <hyperlink ref="T65" r:id="rId8" display="老家的第二座抽水蓄能电站投资60亿元，仙游木兰抽水蓄能电站核准开工 $国投电力(SH600886)$ $川投能源(SH6... - 雪球 (xueqiu.com)"/>
    <hyperlink ref="T54" r:id="rId9" display="滁州琅琊山抽水蓄能电站首台机组启动 (www.gov.cn)"/>
    <hyperlink ref="T48" r:id="rId10" display="响洪甸水库_百度百科 (baidu.com)"/>
    <hyperlink ref="T73" r:id="rId11" display="并网成功！绩溪抽水蓄能电站将全面投产_安徽 (sohu.com)"/>
    <hyperlink ref="T64" r:id="rId12" display="安徽响水涧抽水蓄能电站四机组全部投产发电（图）-北极星农电网 (bjx.com.cn)"/>
    <hyperlink ref="T59" r:id="rId13" display="中南院设计抽水蓄能项目情况-北极星水力发电网 (bjx.com.cn)"/>
    <hyperlink ref="T60" r:id="rId13" display="中南院设计抽水蓄能项目情况-北极星水力发电网 (bjx.com.cn)"/>
    <hyperlink ref="T49" r:id="rId13" display="中南院设计抽水蓄能项目情况-北极星水力发电网 (bjx.com.cn)"/>
    <hyperlink ref="T43" r:id="rId14" display="十三陵抽水蓄能电站_百度百科 (baidu.com)"/>
    <hyperlink ref="T72" r:id="rId15" display="全国首个海岛抽蓄电站——海南琼中抽水蓄能电站全面投产发电-北极星水力发电网 (bjx.com.cn)"/>
    <hyperlink ref="T71" r:id="rId16" display="深圳抽水蓄能电站全面投产 支撑粤港澳大湾区绿色发展--生态--人民网 (people.com.cn)"/>
    <hyperlink ref="T62" r:id="rId17" display="惠州抽水蓄能电站全面竣工投产-北极星水力发电网 (bjx.com.cn)"/>
    <hyperlink ref="T53" r:id="rId18" display="水电建设集团承建泰安抽水蓄能电站4号机组并网 (www.gov.cn)"/>
    <hyperlink ref="T47" r:id="rId19" display="中国土木工程学会"/>
    <hyperlink ref="T42" r:id="rId20" display="第一座大型抽水蓄能电站―广州抽水蓄能电站一期工程完工-1994年事件 - 族谱网 (zupu.cn)"/>
    <hyperlink ref="T55" r:id="rId21" display="白山抽水蓄能电站１号机组完成试运行 (jlcity.gov.cn)"/>
    <hyperlink ref="T68" r:id="rId22" display="国家重点工程清远抽水蓄能电站全面投产发电 - 北极星智能电网在线 (chinasmartgrid.com.cn)"/>
    <hyperlink ref="T70" r:id="rId23" display="溧阳抽水蓄能电站投产发电 规模为江苏最大 (sohu.com)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topLeftCell="A4" workbookViewId="0">
      <selection activeCell="C11" sqref="C11"/>
    </sheetView>
  </sheetViews>
  <sheetFormatPr defaultColWidth="11.7079646017699" defaultRowHeight="15" customHeight="1"/>
  <cols>
    <col min="1" max="1" width="18.858407079646" style="101" customWidth="1"/>
    <col min="2" max="3" width="14.4247787610619" style="101" customWidth="1"/>
    <col min="4" max="4" width="11.5752212389381" style="101" customWidth="1"/>
    <col min="5" max="5" width="14.5752212389381" style="101" customWidth="1"/>
    <col min="6" max="6" width="14.4247787610619" style="101" customWidth="1"/>
    <col min="7" max="7" width="11.4247787610619" style="101" customWidth="1"/>
    <col min="8" max="8" width="11.7079646017699" style="101"/>
    <col min="9" max="9" width="64.4247787610619" style="101" customWidth="1"/>
    <col min="10" max="16384" width="11.7079646017699" style="101"/>
  </cols>
  <sheetData>
    <row r="1" customHeight="1" spans="1:20">
      <c r="A1" s="102" t="s">
        <v>2247</v>
      </c>
      <c r="I1" s="103" t="s">
        <v>2248</v>
      </c>
      <c r="O1" s="104"/>
      <c r="P1" s="104"/>
      <c r="Q1" s="104"/>
      <c r="R1" s="104"/>
      <c r="S1" s="104"/>
      <c r="T1" s="104"/>
    </row>
    <row r="2" customHeight="1" spans="1:20">
      <c r="I2" s="103"/>
      <c r="N2" s="104"/>
      <c r="O2" s="104"/>
      <c r="P2" s="104"/>
      <c r="Q2" s="104"/>
      <c r="R2" s="104"/>
      <c r="S2" s="104"/>
      <c r="T2" s="104"/>
    </row>
    <row r="3" customHeight="1" spans="1:20">
      <c r="A3" s="105"/>
      <c r="B3" s="106" t="s">
        <v>2249</v>
      </c>
      <c r="C3" s="107"/>
      <c r="D3" s="107"/>
      <c r="E3" s="108" t="s">
        <v>2250</v>
      </c>
      <c r="F3" s="109"/>
      <c r="G3" s="109"/>
      <c r="I3" s="103"/>
      <c r="N3" s="104"/>
      <c r="O3" s="104"/>
      <c r="P3" s="104"/>
      <c r="Q3" s="104"/>
      <c r="R3" s="104"/>
      <c r="S3" s="104"/>
      <c r="T3" s="104"/>
    </row>
    <row r="4" ht="51.75" spans="1:20">
      <c r="A4" s="110"/>
      <c r="B4" s="106" t="s">
        <v>2251</v>
      </c>
      <c r="C4" s="106" t="s">
        <v>2252</v>
      </c>
      <c r="D4" s="106" t="s">
        <v>2253</v>
      </c>
      <c r="E4" s="108" t="s">
        <v>2251</v>
      </c>
      <c r="F4" s="108" t="s">
        <v>2252</v>
      </c>
      <c r="G4" s="108" t="s">
        <v>2253</v>
      </c>
      <c r="I4" s="103"/>
      <c r="N4" s="104"/>
      <c r="O4" s="104"/>
      <c r="P4" s="104"/>
      <c r="Q4" s="104"/>
      <c r="R4" s="104"/>
      <c r="S4" s="104"/>
      <c r="T4" s="104"/>
    </row>
    <row r="5" customHeight="1" spans="1:20">
      <c r="A5" s="111" t="s">
        <v>82</v>
      </c>
      <c r="B5" s="112">
        <v>4000</v>
      </c>
      <c r="C5" s="112">
        <v>2500</v>
      </c>
      <c r="D5" s="107"/>
      <c r="E5" s="113">
        <v>8000</v>
      </c>
      <c r="F5" s="113">
        <v>3000</v>
      </c>
      <c r="G5" s="109"/>
      <c r="I5" s="103"/>
      <c r="N5" s="104"/>
      <c r="O5" s="104"/>
      <c r="P5" s="104"/>
      <c r="Q5" s="104"/>
      <c r="R5" s="104"/>
      <c r="S5" s="104"/>
      <c r="T5" s="104"/>
    </row>
    <row r="6" customHeight="1" spans="1:20">
      <c r="A6" s="111" t="s">
        <v>84</v>
      </c>
      <c r="B6" s="112">
        <v>4000</v>
      </c>
      <c r="C6" s="112">
        <v>2500</v>
      </c>
      <c r="D6" s="112">
        <v>10</v>
      </c>
      <c r="E6" s="113">
        <v>5000</v>
      </c>
      <c r="F6" s="113">
        <v>4600</v>
      </c>
      <c r="G6" s="113">
        <v>10</v>
      </c>
      <c r="I6" s="103"/>
      <c r="N6" s="104"/>
      <c r="O6" s="104"/>
      <c r="P6" s="104"/>
      <c r="Q6" s="104"/>
      <c r="R6" s="104"/>
      <c r="S6" s="104"/>
      <c r="T6" s="104"/>
    </row>
    <row r="7" customHeight="1" spans="1:20">
      <c r="A7" s="111" t="s">
        <v>86</v>
      </c>
      <c r="B7" s="112">
        <v>7000</v>
      </c>
      <c r="C7" s="112">
        <v>11000</v>
      </c>
      <c r="D7" s="112">
        <v>10</v>
      </c>
      <c r="E7" s="113">
        <v>9800</v>
      </c>
      <c r="F7" s="113">
        <v>13600</v>
      </c>
      <c r="G7" s="114">
        <v>10.4</v>
      </c>
      <c r="I7" s="103"/>
      <c r="N7" s="104"/>
      <c r="O7" s="104"/>
      <c r="P7" s="104"/>
      <c r="Q7" s="104"/>
      <c r="R7" s="104"/>
      <c r="S7" s="104"/>
      <c r="T7" s="104"/>
    </row>
    <row r="8" customHeight="1" spans="1:20">
      <c r="A8" s="111" t="s">
        <v>88</v>
      </c>
      <c r="B8" s="112">
        <v>500</v>
      </c>
      <c r="C8" s="112">
        <v>5500</v>
      </c>
      <c r="D8" s="107"/>
      <c r="E8" s="113">
        <v>1000</v>
      </c>
      <c r="F8" s="113">
        <v>5700</v>
      </c>
      <c r="G8" s="109"/>
      <c r="I8" s="103"/>
      <c r="N8" s="104"/>
      <c r="O8" s="104"/>
      <c r="P8" s="104"/>
      <c r="Q8" s="104"/>
      <c r="R8" s="104"/>
      <c r="S8" s="104"/>
      <c r="T8" s="104"/>
    </row>
    <row r="9" customHeight="1" spans="1:20">
      <c r="A9" s="111" t="s">
        <v>90</v>
      </c>
      <c r="B9" s="112">
        <v>450</v>
      </c>
      <c r="C9" s="112">
        <v>1850</v>
      </c>
      <c r="D9" s="107"/>
      <c r="E9" s="113">
        <v>950</v>
      </c>
      <c r="F9" s="113">
        <v>1950</v>
      </c>
      <c r="G9" s="109"/>
      <c r="N9" s="104"/>
      <c r="O9" s="104"/>
      <c r="P9" s="104"/>
      <c r="Q9" s="104"/>
      <c r="R9" s="104"/>
      <c r="S9" s="104"/>
      <c r="T9" s="104"/>
    </row>
    <row r="10" customHeight="1" spans="1:20">
      <c r="A10" s="111" t="s">
        <v>110</v>
      </c>
      <c r="B10" s="112">
        <v>5000</v>
      </c>
      <c r="C10" s="112">
        <v>5000</v>
      </c>
      <c r="D10" s="112">
        <v>10</v>
      </c>
      <c r="E10" s="113">
        <v>8000</v>
      </c>
      <c r="F10" s="113">
        <v>6000</v>
      </c>
      <c r="G10" s="113">
        <v>10</v>
      </c>
      <c r="N10" s="104"/>
      <c r="O10" s="104"/>
      <c r="P10" s="104"/>
      <c r="Q10" s="104"/>
      <c r="R10" s="104"/>
      <c r="S10" s="104"/>
      <c r="T10" s="104"/>
    </row>
    <row r="11" customHeight="1" spans="1:20">
      <c r="A11" s="111" t="s">
        <v>112</v>
      </c>
      <c r="B11" s="112">
        <v>5700</v>
      </c>
      <c r="C11" s="112">
        <v>2500</v>
      </c>
      <c r="D11" s="107"/>
      <c r="E11" s="113">
        <v>8600</v>
      </c>
      <c r="F11" s="113">
        <v>3100</v>
      </c>
      <c r="G11" s="109"/>
      <c r="N11" s="104"/>
      <c r="O11" s="104"/>
      <c r="P11" s="104"/>
      <c r="Q11" s="104"/>
      <c r="R11" s="104"/>
      <c r="S11" s="104"/>
      <c r="T11" s="104"/>
    </row>
    <row r="12" customHeight="1" spans="1:20">
      <c r="A12" s="111" t="s">
        <v>134</v>
      </c>
      <c r="B12" s="112">
        <v>500</v>
      </c>
      <c r="C12" s="112">
        <v>4500</v>
      </c>
      <c r="D12" s="112">
        <v>10</v>
      </c>
      <c r="E12" s="113">
        <v>1500</v>
      </c>
      <c r="F12" s="113">
        <v>6000</v>
      </c>
      <c r="G12" s="113">
        <v>10</v>
      </c>
      <c r="N12" s="104"/>
      <c r="O12" s="104"/>
      <c r="P12" s="104"/>
      <c r="Q12" s="104"/>
      <c r="R12" s="104"/>
      <c r="S12" s="104"/>
      <c r="T12" s="104"/>
    </row>
    <row r="13" customHeight="1" spans="1:20">
      <c r="A13" s="111" t="s">
        <v>136</v>
      </c>
      <c r="B13" s="112">
        <v>500</v>
      </c>
      <c r="C13" s="112">
        <v>100</v>
      </c>
      <c r="D13" s="107"/>
      <c r="E13" s="113">
        <v>900</v>
      </c>
      <c r="F13" s="113">
        <v>100</v>
      </c>
      <c r="G13" s="109"/>
      <c r="N13" s="104"/>
      <c r="O13" s="104"/>
      <c r="P13" s="104"/>
      <c r="Q13" s="104"/>
      <c r="R13" s="104"/>
      <c r="S13" s="104"/>
      <c r="T13" s="104"/>
    </row>
    <row r="14" customHeight="1" spans="1:20">
      <c r="A14" s="111" t="s">
        <v>140</v>
      </c>
      <c r="B14" s="112">
        <v>500</v>
      </c>
      <c r="C14" s="107"/>
      <c r="D14" s="107"/>
      <c r="E14" s="113">
        <v>750</v>
      </c>
      <c r="F14" s="109"/>
      <c r="G14" s="109"/>
      <c r="N14" s="104"/>
      <c r="O14" s="104"/>
      <c r="P14" s="104"/>
      <c r="Q14" s="104"/>
      <c r="R14" s="104"/>
      <c r="S14" s="104"/>
      <c r="T14" s="104"/>
    </row>
    <row r="15" customHeight="1" spans="1:20">
      <c r="A15" s="111" t="s">
        <v>138</v>
      </c>
      <c r="B15" s="107"/>
      <c r="C15" s="112">
        <v>200</v>
      </c>
      <c r="D15" s="112">
        <v>30</v>
      </c>
      <c r="E15" s="109"/>
      <c r="F15" s="113">
        <v>250</v>
      </c>
      <c r="G15" s="113">
        <v>30</v>
      </c>
      <c r="N15" s="104"/>
      <c r="O15" s="104"/>
      <c r="P15" s="104"/>
      <c r="Q15" s="104"/>
      <c r="R15" s="104"/>
      <c r="S15" s="104"/>
      <c r="T15" s="104"/>
    </row>
    <row r="16" customHeight="1" spans="1:20">
      <c r="A16" s="111" t="s">
        <v>142</v>
      </c>
      <c r="B16" s="112">
        <v>500</v>
      </c>
      <c r="C16" s="112">
        <v>250</v>
      </c>
      <c r="D16" s="112">
        <v>5</v>
      </c>
      <c r="E16" s="113">
        <v>800</v>
      </c>
      <c r="F16" s="113">
        <v>350</v>
      </c>
      <c r="G16" s="113">
        <v>5</v>
      </c>
      <c r="N16" s="104"/>
      <c r="O16" s="104"/>
      <c r="P16" s="104"/>
      <c r="Q16" s="104"/>
      <c r="R16" s="104"/>
      <c r="S16" s="104"/>
      <c r="T16" s="104"/>
    </row>
    <row r="17" customHeight="1" spans="1:20">
      <c r="A17" s="111" t="s">
        <v>126</v>
      </c>
      <c r="B17" s="112">
        <v>3000</v>
      </c>
      <c r="C17" s="107"/>
      <c r="D17" s="112">
        <v>15</v>
      </c>
      <c r="E17" s="113">
        <v>4000</v>
      </c>
      <c r="F17" s="109"/>
      <c r="G17" s="113">
        <v>15</v>
      </c>
      <c r="N17" s="104"/>
      <c r="O17" s="104"/>
      <c r="P17" s="104"/>
      <c r="Q17" s="104"/>
      <c r="R17" s="104"/>
      <c r="S17" s="104"/>
      <c r="T17" s="104"/>
    </row>
    <row r="18" customHeight="1" spans="1:20">
      <c r="A18" s="111" t="s">
        <v>124</v>
      </c>
      <c r="B18" s="112">
        <v>3700</v>
      </c>
      <c r="C18" s="107"/>
      <c r="D18" s="107"/>
      <c r="E18" s="113">
        <v>4400</v>
      </c>
      <c r="F18" s="109"/>
      <c r="G18" s="109"/>
      <c r="N18" s="104"/>
      <c r="O18" s="104"/>
      <c r="P18" s="104"/>
      <c r="Q18" s="104"/>
      <c r="R18" s="104"/>
      <c r="S18" s="104"/>
      <c r="T18" s="104"/>
    </row>
    <row r="19" customHeight="1" spans="1:20">
      <c r="A19" s="111" t="s">
        <v>114</v>
      </c>
      <c r="B19" s="112">
        <v>6200</v>
      </c>
      <c r="C19" s="107"/>
      <c r="D19" s="107"/>
      <c r="E19" s="113">
        <v>7400</v>
      </c>
      <c r="F19" s="109"/>
      <c r="G19" s="109"/>
      <c r="N19" s="104"/>
      <c r="O19" s="104"/>
      <c r="P19" s="104"/>
      <c r="Q19" s="104"/>
      <c r="R19" s="104"/>
      <c r="S19" s="104"/>
      <c r="T19" s="104"/>
    </row>
    <row r="20" customHeight="1" spans="1:20">
      <c r="A20" s="111" t="s">
        <v>116</v>
      </c>
      <c r="B20" s="112">
        <v>4000</v>
      </c>
      <c r="C20" s="107"/>
      <c r="D20" s="107"/>
      <c r="E20" s="113">
        <v>4200</v>
      </c>
      <c r="F20" s="109"/>
      <c r="G20" s="109"/>
      <c r="N20" s="104"/>
      <c r="O20" s="104"/>
      <c r="P20" s="104"/>
      <c r="Q20" s="104"/>
      <c r="R20" s="104"/>
      <c r="S20" s="104"/>
      <c r="T20" s="104"/>
    </row>
    <row r="21" customHeight="1" spans="1:20">
      <c r="A21" s="111" t="s">
        <v>108</v>
      </c>
      <c r="B21" s="112">
        <v>3000</v>
      </c>
      <c r="C21" s="107"/>
      <c r="D21" s="107"/>
      <c r="E21" s="113">
        <v>3600</v>
      </c>
      <c r="F21" s="109"/>
      <c r="G21" s="109"/>
      <c r="N21" s="104"/>
      <c r="O21" s="104"/>
      <c r="P21" s="104"/>
      <c r="Q21" s="104"/>
      <c r="R21" s="104"/>
      <c r="S21" s="104"/>
      <c r="T21" s="104"/>
    </row>
    <row r="22" customHeight="1" spans="1:20">
      <c r="A22" s="111" t="s">
        <v>104</v>
      </c>
      <c r="B22" s="112">
        <v>3000</v>
      </c>
      <c r="C22" s="107"/>
      <c r="D22" s="107"/>
      <c r="E22" s="113">
        <v>4800</v>
      </c>
      <c r="F22" s="113">
        <v>50</v>
      </c>
      <c r="G22" s="109"/>
    </row>
    <row r="23" customHeight="1" spans="1:20">
      <c r="A23" s="111" t="s">
        <v>100</v>
      </c>
      <c r="B23" s="112">
        <v>6000</v>
      </c>
      <c r="C23" s="112">
        <v>200</v>
      </c>
      <c r="D23" s="112">
        <v>20</v>
      </c>
      <c r="E23" s="113">
        <v>8500</v>
      </c>
      <c r="F23" s="113">
        <v>250</v>
      </c>
      <c r="G23" s="113">
        <v>20</v>
      </c>
    </row>
    <row r="24" customHeight="1" spans="1:20">
      <c r="A24" s="111" t="s">
        <v>98</v>
      </c>
      <c r="B24" s="112">
        <v>2700</v>
      </c>
      <c r="C24" s="107"/>
      <c r="D24" s="107"/>
      <c r="E24" s="113">
        <v>3700</v>
      </c>
      <c r="F24" s="109"/>
      <c r="G24" s="109"/>
    </row>
    <row r="25" customHeight="1" spans="1:20">
      <c r="A25" s="111" t="s">
        <v>102</v>
      </c>
      <c r="B25" s="112">
        <v>3000</v>
      </c>
      <c r="C25" s="107"/>
      <c r="D25" s="107"/>
      <c r="E25" s="113">
        <v>5200</v>
      </c>
      <c r="F25" s="109"/>
      <c r="G25" s="109"/>
    </row>
    <row r="26" customHeight="1" spans="1:20">
      <c r="A26" s="111" t="s">
        <v>92</v>
      </c>
      <c r="B26" s="112">
        <v>1000</v>
      </c>
      <c r="C26" s="112">
        <v>1000</v>
      </c>
      <c r="D26" s="107"/>
      <c r="E26" s="113">
        <v>8000</v>
      </c>
      <c r="F26" s="113">
        <v>1200</v>
      </c>
      <c r="G26" s="109"/>
    </row>
    <row r="27" customHeight="1" spans="1:20">
      <c r="A27" s="111" t="s">
        <v>94</v>
      </c>
      <c r="B27" s="112">
        <v>1000</v>
      </c>
      <c r="C27" s="112">
        <v>1000</v>
      </c>
      <c r="D27" s="107"/>
      <c r="E27" s="113">
        <v>1200</v>
      </c>
      <c r="F27" s="113">
        <v>1500</v>
      </c>
      <c r="G27" s="109"/>
    </row>
    <row r="28" customHeight="1" spans="1:20">
      <c r="A28" s="111" t="s">
        <v>96</v>
      </c>
      <c r="B28" s="112">
        <v>1000</v>
      </c>
      <c r="C28" s="112">
        <v>1600</v>
      </c>
      <c r="D28" s="107"/>
      <c r="E28" s="113">
        <v>1300</v>
      </c>
      <c r="F28" s="113">
        <v>2250</v>
      </c>
      <c r="G28" s="109"/>
    </row>
    <row r="29" customHeight="1" spans="1:20">
      <c r="A29" s="111" t="s">
        <v>118</v>
      </c>
      <c r="B29" s="112">
        <v>2000</v>
      </c>
      <c r="C29" s="107"/>
      <c r="D29" s="112">
        <v>10</v>
      </c>
      <c r="E29" s="113">
        <v>2500</v>
      </c>
      <c r="F29" s="109"/>
      <c r="G29" s="114">
        <v>10.3</v>
      </c>
    </row>
    <row r="30" customHeight="1" spans="1:20">
      <c r="A30" s="111" t="s">
        <v>106</v>
      </c>
      <c r="B30" s="112">
        <v>400</v>
      </c>
      <c r="C30" s="107"/>
      <c r="D30" s="112">
        <v>10</v>
      </c>
      <c r="E30" s="113">
        <v>500</v>
      </c>
      <c r="F30" s="109"/>
      <c r="G30" s="113">
        <v>10</v>
      </c>
    </row>
    <row r="31" customHeight="1" spans="1:20">
      <c r="A31" s="111" t="s">
        <v>122</v>
      </c>
      <c r="B31" s="112">
        <v>500</v>
      </c>
      <c r="C31" s="107"/>
      <c r="D31" s="112">
        <v>10</v>
      </c>
      <c r="E31" s="113">
        <v>600</v>
      </c>
      <c r="F31" s="109"/>
      <c r="G31" s="113">
        <v>10</v>
      </c>
    </row>
    <row r="32" customHeight="1" spans="1:20">
      <c r="A32" s="111" t="s">
        <v>130</v>
      </c>
      <c r="B32" s="112">
        <v>100</v>
      </c>
      <c r="C32" s="107"/>
      <c r="D32" s="112">
        <v>10</v>
      </c>
      <c r="E32" s="113">
        <v>250</v>
      </c>
      <c r="F32" s="109"/>
      <c r="G32" s="113">
        <v>10</v>
      </c>
    </row>
    <row r="33" customHeight="1" spans="1:7">
      <c r="A33" s="111" t="s">
        <v>128</v>
      </c>
      <c r="B33" s="112">
        <v>2000</v>
      </c>
      <c r="C33" s="112">
        <v>50</v>
      </c>
      <c r="D33" s="107"/>
      <c r="E33" s="113">
        <v>2800</v>
      </c>
      <c r="F33" s="113">
        <v>60</v>
      </c>
      <c r="G33" s="109"/>
    </row>
    <row r="34" customHeight="1" spans="1:7">
      <c r="A34" s="111" t="s">
        <v>120</v>
      </c>
      <c r="B34" s="112">
        <v>1400</v>
      </c>
      <c r="C34" s="107"/>
      <c r="D34" s="107"/>
      <c r="E34" s="113">
        <v>3600</v>
      </c>
      <c r="F34" s="109"/>
      <c r="G34" s="109"/>
    </row>
    <row r="35" customHeight="1" spans="1:7">
      <c r="A35" s="111" t="s">
        <v>132</v>
      </c>
      <c r="B35" s="112">
        <v>0</v>
      </c>
      <c r="C35" s="112">
        <v>250</v>
      </c>
      <c r="D35" s="112">
        <v>350</v>
      </c>
      <c r="E35" s="109"/>
      <c r="F35" s="113">
        <v>250</v>
      </c>
      <c r="G35" s="115">
        <v>376.58</v>
      </c>
    </row>
    <row r="36" customHeight="1" spans="1:7">
      <c r="A36" s="111" t="s">
        <v>80</v>
      </c>
      <c r="B36" s="112">
        <v>72650</v>
      </c>
      <c r="C36" s="112">
        <v>40000</v>
      </c>
      <c r="D36" s="112">
        <v>500</v>
      </c>
      <c r="E36" s="113">
        <v>111850</v>
      </c>
      <c r="F36" s="113">
        <v>50210</v>
      </c>
      <c r="G36" s="115">
        <v>527.28</v>
      </c>
    </row>
    <row r="38" customHeight="1" spans="1:7">
      <c r="A38" s="116"/>
    </row>
    <row r="39" customHeight="1" spans="1:7">
      <c r="A39" s="116"/>
    </row>
    <row r="40" customHeight="1" spans="1:7">
      <c r="A40" s="116"/>
    </row>
    <row r="41" customHeight="1" spans="1:7">
      <c r="A41" s="116"/>
    </row>
    <row r="42" customHeight="1" spans="1:7">
      <c r="A42" s="116"/>
    </row>
    <row r="43" customHeight="1" spans="1:7">
      <c r="A43" s="116"/>
    </row>
    <row r="44" customHeight="1" spans="1:7">
      <c r="A44" s="116"/>
    </row>
    <row r="45" customHeight="1" spans="1:7">
      <c r="A45" s="116"/>
    </row>
    <row r="46" customHeight="1" spans="1:7">
      <c r="A46" s="116"/>
    </row>
    <row r="47" customHeight="1" spans="1:7">
      <c r="A47" s="116"/>
    </row>
    <row r="48" customHeight="1" spans="1:7">
      <c r="A48" s="116"/>
    </row>
    <row r="49" customHeight="1" spans="1:1">
      <c r="A49" s="116"/>
    </row>
    <row r="50" customHeight="1" spans="1:1">
      <c r="A50" s="116"/>
    </row>
    <row r="51" customHeight="1" spans="1:1">
      <c r="A51" s="116"/>
    </row>
    <row r="52" customHeight="1" spans="1:1">
      <c r="A52" s="116"/>
    </row>
    <row r="53" customHeight="1" spans="1:1">
      <c r="A53" s="116"/>
    </row>
    <row r="54" customHeight="1" spans="1:1">
      <c r="A54" s="116"/>
    </row>
    <row r="55" customHeight="1" spans="1:1">
      <c r="A55" s="116"/>
    </row>
    <row r="56" customHeight="1" spans="1:1">
      <c r="A56" s="116"/>
    </row>
    <row r="57" customHeight="1" spans="1:1">
      <c r="A57" s="116"/>
    </row>
    <row r="58" customHeight="1" spans="1:1">
      <c r="A58" s="116"/>
    </row>
    <row r="59" customHeight="1" spans="1:1">
      <c r="A59" s="116"/>
    </row>
    <row r="60" customHeight="1" spans="1:1">
      <c r="A60" s="116"/>
    </row>
    <row r="61" customHeight="1" spans="1:1">
      <c r="A61" s="116"/>
    </row>
    <row r="62" customHeight="1" spans="1:1">
      <c r="A62" s="116"/>
    </row>
    <row r="63" customHeight="1" spans="1:1">
      <c r="A63" s="116"/>
    </row>
    <row r="64" customHeight="1" spans="1:1">
      <c r="A64" s="116"/>
    </row>
    <row r="65" customHeight="1" spans="1:1">
      <c r="A65" s="116"/>
    </row>
    <row r="66" customHeight="1" spans="1:1">
      <c r="A66" s="116"/>
    </row>
    <row r="67" customHeight="1" spans="1:1">
      <c r="A67" s="116"/>
    </row>
    <row r="68" customHeight="1" spans="1:1">
      <c r="A68" s="116"/>
    </row>
  </sheetData>
  <mergeCells count="4">
    <mergeCell ref="B3:D3"/>
    <mergeCell ref="E3:G3"/>
    <mergeCell ref="A3:A4"/>
    <mergeCell ref="I1:I8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4"/>
  <sheetViews>
    <sheetView workbookViewId="0">
      <selection activeCell="U37" sqref="U37"/>
    </sheetView>
  </sheetViews>
  <sheetFormatPr defaultColWidth="9" defaultRowHeight="13.85"/>
  <cols>
    <col min="1" max="1" width="19.7079646017699" style="92" customWidth="1"/>
    <col min="2" max="25" width="9.13274336283186" style="92"/>
    <col min="26" max="26" width="19.7079646017699" style="92" customWidth="1"/>
    <col min="27" max="27" width="43.4247787610619" style="92" customWidth="1"/>
    <col min="28" max="28" width="19.7079646017699" style="92" customWidth="1"/>
    <col min="29" max="29" width="9.13274336283186" style="92"/>
    <col min="30" max="30" width="19.7079646017699" style="92" customWidth="1"/>
    <col min="31" max="31" width="21.283185840708" style="92" customWidth="1"/>
    <col min="32" max="32" width="12.4247787610619" style="92" customWidth="1"/>
    <col min="33" max="16384" width="9.13274336283186" style="92"/>
  </cols>
  <sheetData>
    <row r="1" spans="1:32">
      <c r="A1" s="93" t="s">
        <v>2254</v>
      </c>
      <c r="B1" s="93" t="s">
        <v>2255</v>
      </c>
      <c r="C1" s="94" t="s">
        <v>2256</v>
      </c>
      <c r="D1" s="95"/>
      <c r="E1" s="95"/>
      <c r="F1" s="95"/>
      <c r="G1" s="95"/>
      <c r="H1" s="95"/>
      <c r="I1" s="95"/>
      <c r="J1" s="96"/>
      <c r="K1" s="94" t="s">
        <v>2257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6"/>
      <c r="Z1" s="97" t="s">
        <v>2258</v>
      </c>
      <c r="AA1" s="97"/>
      <c r="AB1" s="97"/>
      <c r="AD1" s="97" t="s">
        <v>2259</v>
      </c>
      <c r="AE1" s="97"/>
      <c r="AF1" s="97"/>
    </row>
    <row r="2" spans="1:32">
      <c r="A2" s="98"/>
      <c r="B2" s="98"/>
      <c r="C2" s="44">
        <v>2001</v>
      </c>
      <c r="D2" s="44">
        <v>2002</v>
      </c>
      <c r="E2" s="44">
        <v>2003</v>
      </c>
      <c r="F2" s="44">
        <v>2004</v>
      </c>
      <c r="G2" s="44">
        <v>2005</v>
      </c>
      <c r="H2" s="44">
        <v>2006</v>
      </c>
      <c r="I2" s="44">
        <v>2007</v>
      </c>
      <c r="J2" s="44">
        <v>2008</v>
      </c>
      <c r="K2" s="44">
        <v>2009</v>
      </c>
      <c r="L2" s="44">
        <v>2010</v>
      </c>
      <c r="M2" s="44">
        <v>2011</v>
      </c>
      <c r="N2" s="44">
        <v>2012</v>
      </c>
      <c r="O2" s="44">
        <v>2013</v>
      </c>
      <c r="P2" s="44">
        <v>2014</v>
      </c>
      <c r="Q2" s="44">
        <v>2015</v>
      </c>
      <c r="R2" s="44">
        <v>2016</v>
      </c>
      <c r="S2" s="44">
        <v>2017</v>
      </c>
      <c r="T2" s="44">
        <v>2018</v>
      </c>
      <c r="U2" s="44">
        <v>2019</v>
      </c>
      <c r="V2" s="44">
        <v>2020</v>
      </c>
      <c r="W2" s="44">
        <v>2021</v>
      </c>
      <c r="Z2" s="92" t="s">
        <v>144</v>
      </c>
      <c r="AA2" s="92" t="s">
        <v>588</v>
      </c>
      <c r="AB2" s="92" t="s">
        <v>2260</v>
      </c>
      <c r="AD2" s="92" t="s">
        <v>144</v>
      </c>
      <c r="AE2" s="92" t="s">
        <v>2261</v>
      </c>
      <c r="AF2" s="92" t="s">
        <v>2262</v>
      </c>
    </row>
    <row r="3" spans="1:32">
      <c r="A3" s="44" t="s">
        <v>80</v>
      </c>
      <c r="B3" s="99">
        <f>674-K3</f>
        <v>519</v>
      </c>
      <c r="C3" s="99">
        <f>SUM(C4:C34)</f>
        <v>64.85</v>
      </c>
      <c r="D3" s="99">
        <f t="shared" ref="D3:W3" si="0">SUM(D4:D34)</f>
        <v>64.85</v>
      </c>
      <c r="E3" s="99">
        <f t="shared" si="0"/>
        <v>64.85</v>
      </c>
      <c r="F3" s="99">
        <f t="shared" si="0"/>
        <v>64.85</v>
      </c>
      <c r="G3" s="99">
        <f t="shared" si="0"/>
        <v>64.85</v>
      </c>
      <c r="H3" s="99">
        <f t="shared" si="0"/>
        <v>64.85</v>
      </c>
      <c r="I3" s="99">
        <f t="shared" si="0"/>
        <v>64.85</v>
      </c>
      <c r="J3" s="99">
        <f t="shared" si="0"/>
        <v>64.85</v>
      </c>
      <c r="K3" s="99">
        <f t="shared" si="0"/>
        <v>155</v>
      </c>
      <c r="L3" s="99">
        <f t="shared" si="0"/>
        <v>190.14</v>
      </c>
      <c r="M3" s="99">
        <f t="shared" si="0"/>
        <v>123</v>
      </c>
      <c r="N3" s="99">
        <f t="shared" si="0"/>
        <v>156</v>
      </c>
      <c r="O3" s="99">
        <f t="shared" si="0"/>
        <v>60.6</v>
      </c>
      <c r="P3" s="99">
        <f t="shared" si="0"/>
        <v>30</v>
      </c>
      <c r="Q3" s="99">
        <f t="shared" si="0"/>
        <v>0</v>
      </c>
      <c r="R3" s="99">
        <f t="shared" si="0"/>
        <v>31.8</v>
      </c>
      <c r="S3" s="99">
        <f t="shared" si="0"/>
        <v>0.2</v>
      </c>
      <c r="T3" s="99">
        <f t="shared" si="0"/>
        <v>0</v>
      </c>
      <c r="U3" s="99">
        <f t="shared" si="0"/>
        <v>140</v>
      </c>
      <c r="V3" s="99">
        <f t="shared" si="0"/>
        <v>168.8</v>
      </c>
      <c r="W3" s="99">
        <f t="shared" si="0"/>
        <v>0</v>
      </c>
      <c r="Z3" s="92" t="s">
        <v>90</v>
      </c>
      <c r="AA3" s="92" t="s">
        <v>2263</v>
      </c>
      <c r="AB3" s="92">
        <v>270000</v>
      </c>
      <c r="AD3" s="92" t="s">
        <v>90</v>
      </c>
      <c r="AE3" s="92">
        <f>SUMIFS(AB:AB,Z:Z,AD3)/10000</f>
        <v>98.2</v>
      </c>
      <c r="AF3" s="100">
        <f t="shared" ref="AF3:AF20" si="1">AE3/SUM(AE$3:AE$20)</f>
        <v>0.25599582898853</v>
      </c>
    </row>
    <row r="4" spans="1:32">
      <c r="A4" s="44" t="s">
        <v>82</v>
      </c>
      <c r="B4" s="99">
        <f t="shared" ref="B4:B34" si="2">ROUND(IFERROR(VLOOKUP($A4,$AD$3:$AF$20,3,FALSE),0)*(B$3-SUM(AE$3:AE$20))+IFERROR(VLOOKUP($A4,$AD$3:$AF$20,2,FALSE),0),1)</f>
        <v>3.2</v>
      </c>
      <c r="C4" s="99">
        <f t="shared" ref="C4:I18" si="3">$B4/8</f>
        <v>0.4</v>
      </c>
      <c r="D4" s="99">
        <f t="shared" si="3"/>
        <v>0.4</v>
      </c>
      <c r="E4" s="99">
        <f t="shared" si="3"/>
        <v>0.4</v>
      </c>
      <c r="F4" s="99">
        <f t="shared" si="3"/>
        <v>0.4</v>
      </c>
      <c r="G4" s="99">
        <f t="shared" si="3"/>
        <v>0.4</v>
      </c>
      <c r="H4" s="99">
        <f t="shared" si="3"/>
        <v>0.4</v>
      </c>
      <c r="I4" s="99">
        <f t="shared" si="3"/>
        <v>0.4</v>
      </c>
      <c r="J4" s="99">
        <f t="shared" ref="J4:J34" si="4">$B4/8</f>
        <v>0.4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  <c r="V4" s="99">
        <v>0</v>
      </c>
      <c r="W4" s="99">
        <v>0</v>
      </c>
      <c r="Z4" s="92" t="s">
        <v>90</v>
      </c>
      <c r="AA4" s="92" t="s">
        <v>2264</v>
      </c>
      <c r="AB4" s="92">
        <v>300000</v>
      </c>
      <c r="AD4" s="92" t="s">
        <v>82</v>
      </c>
      <c r="AE4" s="92">
        <f t="shared" ref="AE4:AE20" si="5">SUMIFS(AB:AB,Z:Z,AD4)/10000</f>
        <v>2.4</v>
      </c>
      <c r="AF4" s="100">
        <f t="shared" si="1"/>
        <v>0.00625651720542232</v>
      </c>
    </row>
    <row r="5" spans="1:32">
      <c r="A5" s="44" t="s">
        <v>84</v>
      </c>
      <c r="B5" s="99">
        <f t="shared" si="2"/>
        <v>0</v>
      </c>
      <c r="C5" s="99">
        <f t="shared" si="3"/>
        <v>0</v>
      </c>
      <c r="D5" s="99">
        <f t="shared" si="3"/>
        <v>0</v>
      </c>
      <c r="E5" s="99">
        <f t="shared" si="3"/>
        <v>0</v>
      </c>
      <c r="F5" s="99">
        <f t="shared" si="3"/>
        <v>0</v>
      </c>
      <c r="G5" s="99">
        <f t="shared" si="3"/>
        <v>0</v>
      </c>
      <c r="H5" s="99">
        <f t="shared" si="3"/>
        <v>0</v>
      </c>
      <c r="I5" s="99">
        <f t="shared" si="3"/>
        <v>0</v>
      </c>
      <c r="J5" s="99">
        <f t="shared" si="4"/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Z5" s="92" t="s">
        <v>90</v>
      </c>
      <c r="AA5" s="92" t="s">
        <v>2265</v>
      </c>
      <c r="AB5" s="92">
        <v>400000</v>
      </c>
      <c r="AD5" s="92" t="s">
        <v>126</v>
      </c>
      <c r="AE5" s="92">
        <f t="shared" si="5"/>
        <v>31.2</v>
      </c>
      <c r="AF5" s="100">
        <f t="shared" si="1"/>
        <v>0.0813347236704901</v>
      </c>
    </row>
    <row r="6" spans="1:32">
      <c r="A6" s="44" t="s">
        <v>86</v>
      </c>
      <c r="B6" s="99">
        <f t="shared" si="2"/>
        <v>57.9</v>
      </c>
      <c r="C6" s="99">
        <f t="shared" si="3"/>
        <v>7.2375</v>
      </c>
      <c r="D6" s="99">
        <f t="shared" si="3"/>
        <v>7.2375</v>
      </c>
      <c r="E6" s="99">
        <f t="shared" si="3"/>
        <v>7.2375</v>
      </c>
      <c r="F6" s="99">
        <f t="shared" si="3"/>
        <v>7.2375</v>
      </c>
      <c r="G6" s="99">
        <f t="shared" si="3"/>
        <v>7.2375</v>
      </c>
      <c r="H6" s="99">
        <f t="shared" si="3"/>
        <v>7.2375</v>
      </c>
      <c r="I6" s="99">
        <f t="shared" si="3"/>
        <v>7.2375</v>
      </c>
      <c r="J6" s="99">
        <f t="shared" si="4"/>
        <v>7.2375</v>
      </c>
      <c r="K6" s="99">
        <v>27</v>
      </c>
      <c r="L6" s="99">
        <v>0</v>
      </c>
      <c r="M6" s="99">
        <v>0</v>
      </c>
      <c r="N6" s="99">
        <v>60</v>
      </c>
      <c r="O6" s="99">
        <v>0</v>
      </c>
      <c r="P6" s="99">
        <v>0</v>
      </c>
      <c r="Q6" s="99">
        <v>0</v>
      </c>
      <c r="R6" s="99">
        <v>1.8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Z6" s="92" t="s">
        <v>90</v>
      </c>
      <c r="AA6" s="92" t="s">
        <v>2266</v>
      </c>
      <c r="AB6" s="92">
        <v>12000</v>
      </c>
      <c r="AD6" s="92" t="s">
        <v>104</v>
      </c>
      <c r="AE6" s="92">
        <f t="shared" si="5"/>
        <v>8</v>
      </c>
      <c r="AF6" s="100">
        <f t="shared" si="1"/>
        <v>0.0208550573514077</v>
      </c>
    </row>
    <row r="7" spans="1:32">
      <c r="A7" s="44" t="s">
        <v>88</v>
      </c>
      <c r="B7" s="99">
        <f t="shared" si="2"/>
        <v>63.2</v>
      </c>
      <c r="C7" s="99">
        <f t="shared" si="3"/>
        <v>7.9</v>
      </c>
      <c r="D7" s="99">
        <f t="shared" si="3"/>
        <v>7.9</v>
      </c>
      <c r="E7" s="99">
        <f t="shared" si="3"/>
        <v>7.9</v>
      </c>
      <c r="F7" s="99">
        <f t="shared" si="3"/>
        <v>7.9</v>
      </c>
      <c r="G7" s="99">
        <f t="shared" si="3"/>
        <v>7.9</v>
      </c>
      <c r="H7" s="99">
        <f t="shared" si="3"/>
        <v>7.9</v>
      </c>
      <c r="I7" s="99">
        <f t="shared" si="3"/>
        <v>7.9</v>
      </c>
      <c r="J7" s="99">
        <f t="shared" si="4"/>
        <v>7.9</v>
      </c>
      <c r="K7" s="99">
        <v>60</v>
      </c>
      <c r="L7" s="99">
        <v>0</v>
      </c>
      <c r="M7" s="99">
        <v>63</v>
      </c>
      <c r="N7" s="99">
        <v>30</v>
      </c>
      <c r="O7" s="99">
        <v>0</v>
      </c>
      <c r="P7" s="99">
        <v>30</v>
      </c>
      <c r="Q7" s="99">
        <v>0</v>
      </c>
      <c r="R7" s="99">
        <v>30</v>
      </c>
      <c r="S7" s="99">
        <v>0</v>
      </c>
      <c r="T7" s="99">
        <v>0</v>
      </c>
      <c r="U7" s="99">
        <v>70</v>
      </c>
      <c r="V7" s="99">
        <v>167</v>
      </c>
      <c r="W7" s="99">
        <v>0</v>
      </c>
      <c r="Z7" s="92" t="s">
        <v>82</v>
      </c>
      <c r="AA7" s="92" t="s">
        <v>2267</v>
      </c>
      <c r="AB7" s="92">
        <v>24000</v>
      </c>
      <c r="AD7" s="92" t="s">
        <v>88</v>
      </c>
      <c r="AE7" s="92">
        <f t="shared" si="5"/>
        <v>46.7</v>
      </c>
      <c r="AF7" s="100">
        <f t="shared" si="1"/>
        <v>0.121741397288843</v>
      </c>
    </row>
    <row r="8" spans="1:32">
      <c r="A8" s="44" t="s">
        <v>90</v>
      </c>
      <c r="B8" s="99">
        <f t="shared" si="2"/>
        <v>132.9</v>
      </c>
      <c r="C8" s="99">
        <f t="shared" si="3"/>
        <v>16.6125</v>
      </c>
      <c r="D8" s="99">
        <f t="shared" si="3"/>
        <v>16.6125</v>
      </c>
      <c r="E8" s="99">
        <f t="shared" si="3"/>
        <v>16.6125</v>
      </c>
      <c r="F8" s="99">
        <f t="shared" si="3"/>
        <v>16.6125</v>
      </c>
      <c r="G8" s="99">
        <f t="shared" si="3"/>
        <v>16.6125</v>
      </c>
      <c r="H8" s="99">
        <f t="shared" si="3"/>
        <v>16.6125</v>
      </c>
      <c r="I8" s="99">
        <f t="shared" si="3"/>
        <v>16.6125</v>
      </c>
      <c r="J8" s="99">
        <f t="shared" si="4"/>
        <v>16.6125</v>
      </c>
      <c r="K8" s="99">
        <v>32</v>
      </c>
      <c r="L8" s="99">
        <v>60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70</v>
      </c>
      <c r="V8" s="99">
        <v>0</v>
      </c>
      <c r="W8" s="99">
        <v>0</v>
      </c>
      <c r="Z8" s="92" t="s">
        <v>126</v>
      </c>
      <c r="AA8" s="92" t="s">
        <v>2268</v>
      </c>
      <c r="AB8" s="92">
        <v>270000</v>
      </c>
      <c r="AD8" s="92" t="s">
        <v>118</v>
      </c>
      <c r="AE8" s="92">
        <f t="shared" si="5"/>
        <v>12</v>
      </c>
      <c r="AF8" s="100">
        <f t="shared" si="1"/>
        <v>0.0312825860271116</v>
      </c>
    </row>
    <row r="9" spans="1:32">
      <c r="A9" s="44" t="s">
        <v>92</v>
      </c>
      <c r="B9" s="99">
        <f t="shared" si="2"/>
        <v>129.1</v>
      </c>
      <c r="C9" s="99">
        <f t="shared" si="3"/>
        <v>16.1375</v>
      </c>
      <c r="D9" s="99">
        <f t="shared" si="3"/>
        <v>16.1375</v>
      </c>
      <c r="E9" s="99">
        <f t="shared" si="3"/>
        <v>16.1375</v>
      </c>
      <c r="F9" s="99">
        <f t="shared" si="3"/>
        <v>16.1375</v>
      </c>
      <c r="G9" s="99">
        <f t="shared" si="3"/>
        <v>16.1375</v>
      </c>
      <c r="H9" s="99">
        <f t="shared" si="3"/>
        <v>16.1375</v>
      </c>
      <c r="I9" s="99">
        <f t="shared" si="3"/>
        <v>16.1375</v>
      </c>
      <c r="J9" s="99">
        <f t="shared" si="4"/>
        <v>16.1375</v>
      </c>
      <c r="K9" s="99">
        <v>30</v>
      </c>
      <c r="L9" s="99">
        <v>30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9">
        <v>0</v>
      </c>
      <c r="V9" s="99">
        <v>0</v>
      </c>
      <c r="W9" s="99">
        <v>0</v>
      </c>
      <c r="Z9" s="92" t="s">
        <v>126</v>
      </c>
      <c r="AA9" s="92" t="s">
        <v>2269</v>
      </c>
      <c r="AB9" s="92">
        <v>30000</v>
      </c>
      <c r="AD9" s="92" t="s">
        <v>142</v>
      </c>
      <c r="AE9" s="92">
        <f t="shared" si="5"/>
        <v>1.8</v>
      </c>
      <c r="AF9" s="100">
        <f t="shared" si="1"/>
        <v>0.00469238790406674</v>
      </c>
    </row>
    <row r="10" spans="1:32">
      <c r="A10" s="44" t="s">
        <v>94</v>
      </c>
      <c r="B10" s="99">
        <f t="shared" si="2"/>
        <v>0</v>
      </c>
      <c r="C10" s="99">
        <f t="shared" si="3"/>
        <v>0</v>
      </c>
      <c r="D10" s="99">
        <f t="shared" si="3"/>
        <v>0</v>
      </c>
      <c r="E10" s="99">
        <f t="shared" si="3"/>
        <v>0</v>
      </c>
      <c r="F10" s="99">
        <f t="shared" si="3"/>
        <v>0</v>
      </c>
      <c r="G10" s="99">
        <f t="shared" si="3"/>
        <v>0</v>
      </c>
      <c r="H10" s="99">
        <f t="shared" si="3"/>
        <v>0</v>
      </c>
      <c r="I10" s="99">
        <f t="shared" si="3"/>
        <v>0</v>
      </c>
      <c r="J10" s="99">
        <f t="shared" si="4"/>
        <v>0</v>
      </c>
      <c r="K10" s="99">
        <v>0</v>
      </c>
      <c r="L10" s="99">
        <v>0</v>
      </c>
      <c r="M10" s="99">
        <v>0</v>
      </c>
      <c r="N10" s="99">
        <v>66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Z10" s="92" t="s">
        <v>126</v>
      </c>
      <c r="AA10" s="92" t="s">
        <v>2270</v>
      </c>
      <c r="AB10" s="92">
        <v>12000</v>
      </c>
      <c r="AD10" s="92" t="s">
        <v>100</v>
      </c>
      <c r="AE10" s="92">
        <f t="shared" si="5"/>
        <v>2.4</v>
      </c>
      <c r="AF10" s="100">
        <f t="shared" si="1"/>
        <v>0.00625651720542232</v>
      </c>
    </row>
    <row r="11" spans="1:32">
      <c r="A11" s="44" t="s">
        <v>96</v>
      </c>
      <c r="B11" s="99">
        <f t="shared" si="2"/>
        <v>10</v>
      </c>
      <c r="C11" s="99">
        <f t="shared" si="3"/>
        <v>1.25</v>
      </c>
      <c r="D11" s="99">
        <f t="shared" si="3"/>
        <v>1.25</v>
      </c>
      <c r="E11" s="99">
        <f t="shared" si="3"/>
        <v>1.25</v>
      </c>
      <c r="F11" s="99">
        <f t="shared" si="3"/>
        <v>1.25</v>
      </c>
      <c r="G11" s="99">
        <f t="shared" si="3"/>
        <v>1.25</v>
      </c>
      <c r="H11" s="99">
        <f t="shared" si="3"/>
        <v>1.25</v>
      </c>
      <c r="I11" s="99">
        <f t="shared" si="3"/>
        <v>1.25</v>
      </c>
      <c r="J11" s="99">
        <f t="shared" si="4"/>
        <v>1.25</v>
      </c>
      <c r="K11" s="99">
        <v>0</v>
      </c>
      <c r="L11" s="99">
        <v>5</v>
      </c>
      <c r="M11" s="99">
        <v>60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Z11" s="92" t="s">
        <v>104</v>
      </c>
      <c r="AA11" s="92" t="s">
        <v>2271</v>
      </c>
      <c r="AB11" s="92">
        <v>18000</v>
      </c>
      <c r="AD11" s="92" t="s">
        <v>108</v>
      </c>
      <c r="AE11" s="92">
        <f t="shared" si="5"/>
        <v>1.2</v>
      </c>
      <c r="AF11" s="100">
        <f t="shared" si="1"/>
        <v>0.00312825860271116</v>
      </c>
    </row>
    <row r="12" spans="1:32">
      <c r="A12" s="44" t="s">
        <v>98</v>
      </c>
      <c r="B12" s="99">
        <f t="shared" si="2"/>
        <v>0</v>
      </c>
      <c r="C12" s="99">
        <f t="shared" si="3"/>
        <v>0</v>
      </c>
      <c r="D12" s="99">
        <f t="shared" si="3"/>
        <v>0</v>
      </c>
      <c r="E12" s="99">
        <f t="shared" si="3"/>
        <v>0</v>
      </c>
      <c r="F12" s="99">
        <f t="shared" si="3"/>
        <v>0</v>
      </c>
      <c r="G12" s="99">
        <f t="shared" si="3"/>
        <v>0</v>
      </c>
      <c r="H12" s="99">
        <f t="shared" si="3"/>
        <v>0</v>
      </c>
      <c r="I12" s="99">
        <f t="shared" si="3"/>
        <v>0</v>
      </c>
      <c r="J12" s="99">
        <f t="shared" si="4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Z12" s="92" t="s">
        <v>104</v>
      </c>
      <c r="AA12" s="92" t="s">
        <v>2272</v>
      </c>
      <c r="AB12" s="92">
        <v>12000</v>
      </c>
      <c r="AD12" s="92" t="s">
        <v>86</v>
      </c>
      <c r="AE12" s="92">
        <f t="shared" si="5"/>
        <v>42.8</v>
      </c>
      <c r="AF12" s="100">
        <f t="shared" si="1"/>
        <v>0.111574556830031</v>
      </c>
    </row>
    <row r="13" spans="1:32">
      <c r="A13" s="44" t="s">
        <v>100</v>
      </c>
      <c r="B13" s="99">
        <f t="shared" si="2"/>
        <v>3.2</v>
      </c>
      <c r="C13" s="99">
        <f t="shared" si="3"/>
        <v>0.4</v>
      </c>
      <c r="D13" s="99">
        <f t="shared" si="3"/>
        <v>0.4</v>
      </c>
      <c r="E13" s="99">
        <f t="shared" si="3"/>
        <v>0.4</v>
      </c>
      <c r="F13" s="99">
        <f t="shared" si="3"/>
        <v>0.4</v>
      </c>
      <c r="G13" s="99">
        <f t="shared" si="3"/>
        <v>0.4</v>
      </c>
      <c r="H13" s="99">
        <f t="shared" si="3"/>
        <v>0.4</v>
      </c>
      <c r="I13" s="99">
        <f t="shared" si="3"/>
        <v>0.4</v>
      </c>
      <c r="J13" s="99">
        <f t="shared" si="4"/>
        <v>0.4</v>
      </c>
      <c r="K13" s="99">
        <v>0</v>
      </c>
      <c r="L13" s="99">
        <v>0.14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9">
        <v>0</v>
      </c>
      <c r="V13" s="99">
        <v>0</v>
      </c>
      <c r="W13" s="99">
        <v>0</v>
      </c>
      <c r="Z13" s="92" t="s">
        <v>104</v>
      </c>
      <c r="AA13" s="92" t="s">
        <v>2273</v>
      </c>
      <c r="AB13" s="92">
        <v>12000</v>
      </c>
      <c r="AD13" s="92" t="s">
        <v>112</v>
      </c>
      <c r="AE13" s="92">
        <f t="shared" si="5"/>
        <v>1.2</v>
      </c>
      <c r="AF13" s="100">
        <f t="shared" si="1"/>
        <v>0.00312825860271116</v>
      </c>
    </row>
    <row r="14" spans="1:32">
      <c r="A14" s="44" t="s">
        <v>102</v>
      </c>
      <c r="B14" s="99">
        <f t="shared" si="2"/>
        <v>0</v>
      </c>
      <c r="C14" s="99">
        <f t="shared" si="3"/>
        <v>0</v>
      </c>
      <c r="D14" s="99">
        <f t="shared" si="3"/>
        <v>0</v>
      </c>
      <c r="E14" s="99">
        <f t="shared" si="3"/>
        <v>0</v>
      </c>
      <c r="F14" s="99">
        <f t="shared" si="3"/>
        <v>0</v>
      </c>
      <c r="G14" s="99">
        <f t="shared" si="3"/>
        <v>0</v>
      </c>
      <c r="H14" s="99">
        <f t="shared" si="3"/>
        <v>0</v>
      </c>
      <c r="I14" s="99">
        <f t="shared" si="3"/>
        <v>0</v>
      </c>
      <c r="J14" s="99">
        <f t="shared" si="4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9">
        <v>0</v>
      </c>
      <c r="V14" s="99">
        <v>0</v>
      </c>
      <c r="W14" s="99">
        <v>0</v>
      </c>
      <c r="Z14" s="92" t="s">
        <v>104</v>
      </c>
      <c r="AA14" s="92" t="s">
        <v>2274</v>
      </c>
      <c r="AB14" s="92">
        <v>14000</v>
      </c>
      <c r="AD14" s="92" t="s">
        <v>114</v>
      </c>
      <c r="AE14" s="92">
        <f t="shared" si="5"/>
        <v>6.7</v>
      </c>
      <c r="AF14" s="100">
        <f t="shared" si="1"/>
        <v>0.017466110531804</v>
      </c>
    </row>
    <row r="15" spans="1:32">
      <c r="A15" s="44" t="s">
        <v>104</v>
      </c>
      <c r="B15" s="99">
        <f t="shared" si="2"/>
        <v>10.8</v>
      </c>
      <c r="C15" s="99">
        <f t="shared" si="3"/>
        <v>1.35</v>
      </c>
      <c r="D15" s="99">
        <f t="shared" si="3"/>
        <v>1.35</v>
      </c>
      <c r="E15" s="99">
        <f t="shared" si="3"/>
        <v>1.35</v>
      </c>
      <c r="F15" s="99">
        <f t="shared" si="3"/>
        <v>1.35</v>
      </c>
      <c r="G15" s="99">
        <f t="shared" si="3"/>
        <v>1.35</v>
      </c>
      <c r="H15" s="99">
        <f t="shared" si="3"/>
        <v>1.35</v>
      </c>
      <c r="I15" s="99">
        <f t="shared" si="3"/>
        <v>1.35</v>
      </c>
      <c r="J15" s="99">
        <f t="shared" si="4"/>
        <v>1.35</v>
      </c>
      <c r="K15" s="99">
        <v>0</v>
      </c>
      <c r="L15" s="99">
        <v>0</v>
      </c>
      <c r="M15" s="99">
        <v>0</v>
      </c>
      <c r="N15" s="99">
        <v>0</v>
      </c>
      <c r="O15" s="99">
        <v>30</v>
      </c>
      <c r="P15" s="99">
        <v>0</v>
      </c>
      <c r="Q15" s="99">
        <v>0</v>
      </c>
      <c r="R15" s="99">
        <v>0</v>
      </c>
      <c r="S15" s="99">
        <v>0.2</v>
      </c>
      <c r="T15" s="99">
        <v>0</v>
      </c>
      <c r="U15" s="99">
        <v>0</v>
      </c>
      <c r="V15" s="99">
        <v>1.8</v>
      </c>
      <c r="W15" s="99">
        <v>0</v>
      </c>
      <c r="Z15" s="92" t="s">
        <v>104</v>
      </c>
      <c r="AA15" s="92" t="s">
        <v>2275</v>
      </c>
      <c r="AB15" s="92">
        <v>24000</v>
      </c>
      <c r="AD15" s="92" t="s">
        <v>116</v>
      </c>
      <c r="AE15" s="92">
        <f t="shared" si="5"/>
        <v>6</v>
      </c>
      <c r="AF15" s="100">
        <f t="shared" si="1"/>
        <v>0.0156412930135558</v>
      </c>
    </row>
    <row r="16" spans="1:32">
      <c r="A16" s="44" t="s">
        <v>106</v>
      </c>
      <c r="B16" s="99">
        <f t="shared" si="2"/>
        <v>13.5</v>
      </c>
      <c r="C16" s="99">
        <f t="shared" si="3"/>
        <v>1.6875</v>
      </c>
      <c r="D16" s="99">
        <f t="shared" si="3"/>
        <v>1.6875</v>
      </c>
      <c r="E16" s="99">
        <f t="shared" si="3"/>
        <v>1.6875</v>
      </c>
      <c r="F16" s="99">
        <f t="shared" si="3"/>
        <v>1.6875</v>
      </c>
      <c r="G16" s="99">
        <f t="shared" si="3"/>
        <v>1.6875</v>
      </c>
      <c r="H16" s="99">
        <f t="shared" si="3"/>
        <v>1.6875</v>
      </c>
      <c r="I16" s="99">
        <f t="shared" si="3"/>
        <v>1.6875</v>
      </c>
      <c r="J16" s="99">
        <f t="shared" si="4"/>
        <v>1.6875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9">
        <v>0</v>
      </c>
      <c r="V16" s="99">
        <v>0</v>
      </c>
      <c r="W16" s="99">
        <v>0</v>
      </c>
      <c r="Z16" s="92" t="s">
        <v>88</v>
      </c>
      <c r="AA16" s="92" t="s">
        <v>2276</v>
      </c>
      <c r="AB16" s="92">
        <v>50000</v>
      </c>
      <c r="AD16" s="92" t="s">
        <v>106</v>
      </c>
      <c r="AE16" s="92">
        <f t="shared" si="5"/>
        <v>10</v>
      </c>
      <c r="AF16" s="100">
        <f t="shared" si="1"/>
        <v>0.0260688216892597</v>
      </c>
    </row>
    <row r="17" spans="1:32">
      <c r="A17" s="44" t="s">
        <v>108</v>
      </c>
      <c r="B17" s="99">
        <f t="shared" si="2"/>
        <v>1.6</v>
      </c>
      <c r="C17" s="99">
        <f t="shared" si="3"/>
        <v>0.2</v>
      </c>
      <c r="D17" s="99">
        <f t="shared" si="3"/>
        <v>0.2</v>
      </c>
      <c r="E17" s="99">
        <f t="shared" si="3"/>
        <v>0.2</v>
      </c>
      <c r="F17" s="99">
        <f t="shared" si="3"/>
        <v>0.2</v>
      </c>
      <c r="G17" s="99">
        <f t="shared" si="3"/>
        <v>0.2</v>
      </c>
      <c r="H17" s="99">
        <f t="shared" si="3"/>
        <v>0.2</v>
      </c>
      <c r="I17" s="99">
        <f t="shared" si="3"/>
        <v>0.2</v>
      </c>
      <c r="J17" s="99">
        <f t="shared" si="4"/>
        <v>0.2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Z17" s="92" t="s">
        <v>88</v>
      </c>
      <c r="AA17" s="92" t="s">
        <v>2277</v>
      </c>
      <c r="AB17" s="92">
        <v>405000</v>
      </c>
      <c r="AD17" s="92" t="s">
        <v>128</v>
      </c>
      <c r="AE17" s="92">
        <f t="shared" si="5"/>
        <v>4.2</v>
      </c>
      <c r="AF17" s="100">
        <f t="shared" si="1"/>
        <v>0.0109489051094891</v>
      </c>
    </row>
    <row r="18" spans="1:32">
      <c r="A18" s="44" t="s">
        <v>110</v>
      </c>
      <c r="B18" s="99">
        <f t="shared" si="2"/>
        <v>0</v>
      </c>
      <c r="C18" s="99">
        <f t="shared" si="3"/>
        <v>0</v>
      </c>
      <c r="D18" s="99">
        <f t="shared" si="3"/>
        <v>0</v>
      </c>
      <c r="E18" s="99">
        <f t="shared" si="3"/>
        <v>0</v>
      </c>
      <c r="F18" s="99">
        <f t="shared" si="3"/>
        <v>0</v>
      </c>
      <c r="G18" s="99">
        <f t="shared" si="3"/>
        <v>0</v>
      </c>
      <c r="H18" s="99">
        <f t="shared" si="3"/>
        <v>0</v>
      </c>
      <c r="I18" s="99">
        <f t="shared" si="3"/>
        <v>0</v>
      </c>
      <c r="J18" s="99">
        <f t="shared" si="4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0.6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Z18" s="92" t="s">
        <v>88</v>
      </c>
      <c r="AA18" s="92" t="s">
        <v>2278</v>
      </c>
      <c r="AB18" s="92">
        <v>12000</v>
      </c>
      <c r="AD18" s="92" t="s">
        <v>92</v>
      </c>
      <c r="AE18" s="92">
        <f t="shared" si="5"/>
        <v>95.4</v>
      </c>
      <c r="AF18" s="100">
        <f t="shared" si="1"/>
        <v>0.248696558915537</v>
      </c>
    </row>
    <row r="19" spans="1:32">
      <c r="A19" s="44" t="s">
        <v>112</v>
      </c>
      <c r="B19" s="99">
        <f t="shared" si="2"/>
        <v>1.6</v>
      </c>
      <c r="C19" s="99">
        <f t="shared" ref="C19:I34" si="6">$B19/8</f>
        <v>0.2</v>
      </c>
      <c r="D19" s="99">
        <f t="shared" si="6"/>
        <v>0.2</v>
      </c>
      <c r="E19" s="99">
        <f t="shared" si="6"/>
        <v>0.2</v>
      </c>
      <c r="F19" s="99">
        <f t="shared" si="6"/>
        <v>0.2</v>
      </c>
      <c r="G19" s="99">
        <f t="shared" si="6"/>
        <v>0.2</v>
      </c>
      <c r="H19" s="99">
        <f t="shared" si="6"/>
        <v>0.2</v>
      </c>
      <c r="I19" s="99">
        <f t="shared" si="6"/>
        <v>0.2</v>
      </c>
      <c r="J19" s="99">
        <f t="shared" si="4"/>
        <v>0.2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9">
        <v>0</v>
      </c>
      <c r="V19" s="99">
        <v>0</v>
      </c>
      <c r="W19" s="99">
        <v>0</v>
      </c>
      <c r="Z19" s="92" t="s">
        <v>118</v>
      </c>
      <c r="AA19" s="92" t="s">
        <v>2279</v>
      </c>
      <c r="AB19" s="92">
        <v>120000</v>
      </c>
      <c r="AD19" s="92" t="s">
        <v>134</v>
      </c>
      <c r="AE19" s="92">
        <f t="shared" si="5"/>
        <v>6</v>
      </c>
      <c r="AF19" s="100">
        <f t="shared" si="1"/>
        <v>0.0156412930135558</v>
      </c>
    </row>
    <row r="20" spans="1:32">
      <c r="A20" s="44" t="s">
        <v>114</v>
      </c>
      <c r="B20" s="99">
        <f t="shared" si="2"/>
        <v>9.1</v>
      </c>
      <c r="C20" s="99">
        <f t="shared" si="6"/>
        <v>1.1375</v>
      </c>
      <c r="D20" s="99">
        <f t="shared" si="6"/>
        <v>1.1375</v>
      </c>
      <c r="E20" s="99">
        <f t="shared" si="6"/>
        <v>1.1375</v>
      </c>
      <c r="F20" s="99">
        <f t="shared" si="6"/>
        <v>1.1375</v>
      </c>
      <c r="G20" s="99">
        <f t="shared" si="6"/>
        <v>1.1375</v>
      </c>
      <c r="H20" s="99">
        <f t="shared" si="6"/>
        <v>1.1375</v>
      </c>
      <c r="I20" s="99">
        <f t="shared" si="6"/>
        <v>1.1375</v>
      </c>
      <c r="J20" s="99">
        <f t="shared" si="4"/>
        <v>1.1375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Z20" s="92" t="s">
        <v>142</v>
      </c>
      <c r="AA20" s="92" t="s">
        <v>2280</v>
      </c>
      <c r="AB20" s="92">
        <v>18000</v>
      </c>
      <c r="AD20" s="92" t="s">
        <v>96</v>
      </c>
      <c r="AE20" s="92">
        <f t="shared" si="5"/>
        <v>7.4</v>
      </c>
      <c r="AF20" s="100">
        <f t="shared" si="1"/>
        <v>0.0192909280500521</v>
      </c>
    </row>
    <row r="21" spans="1:32">
      <c r="A21" s="44" t="s">
        <v>116</v>
      </c>
      <c r="B21" s="99">
        <f t="shared" si="2"/>
        <v>8.1</v>
      </c>
      <c r="C21" s="99">
        <f t="shared" si="6"/>
        <v>1.0125</v>
      </c>
      <c r="D21" s="99">
        <f t="shared" si="6"/>
        <v>1.0125</v>
      </c>
      <c r="E21" s="99">
        <f t="shared" si="6"/>
        <v>1.0125</v>
      </c>
      <c r="F21" s="99">
        <f t="shared" si="6"/>
        <v>1.0125</v>
      </c>
      <c r="G21" s="99">
        <f t="shared" si="6"/>
        <v>1.0125</v>
      </c>
      <c r="H21" s="99">
        <f t="shared" si="6"/>
        <v>1.0125</v>
      </c>
      <c r="I21" s="99">
        <f t="shared" si="6"/>
        <v>1.0125</v>
      </c>
      <c r="J21" s="99">
        <f t="shared" si="4"/>
        <v>1.0125</v>
      </c>
      <c r="K21" s="99">
        <v>6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Z21" s="92" t="s">
        <v>100</v>
      </c>
      <c r="AA21" s="92" t="s">
        <v>2281</v>
      </c>
      <c r="AB21" s="92">
        <v>24000</v>
      </c>
    </row>
    <row r="22" spans="1:32">
      <c r="A22" s="44" t="s">
        <v>118</v>
      </c>
      <c r="B22" s="99">
        <f t="shared" si="2"/>
        <v>16.2</v>
      </c>
      <c r="C22" s="99">
        <f t="shared" si="6"/>
        <v>2.025</v>
      </c>
      <c r="D22" s="99">
        <f t="shared" si="6"/>
        <v>2.025</v>
      </c>
      <c r="E22" s="99">
        <f t="shared" si="6"/>
        <v>2.025</v>
      </c>
      <c r="F22" s="99">
        <f t="shared" si="6"/>
        <v>2.025</v>
      </c>
      <c r="G22" s="99">
        <f t="shared" si="6"/>
        <v>2.025</v>
      </c>
      <c r="H22" s="99">
        <f t="shared" si="6"/>
        <v>2.025</v>
      </c>
      <c r="I22" s="99">
        <f t="shared" si="6"/>
        <v>2.025</v>
      </c>
      <c r="J22" s="99">
        <f t="shared" si="4"/>
        <v>2.025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9">
        <v>0</v>
      </c>
      <c r="V22" s="99">
        <v>0</v>
      </c>
      <c r="W22" s="99">
        <v>0</v>
      </c>
      <c r="Z22" s="92" t="s">
        <v>108</v>
      </c>
      <c r="AA22" s="92" t="s">
        <v>2282</v>
      </c>
      <c r="AB22" s="92">
        <v>12000</v>
      </c>
    </row>
    <row r="23" spans="1:32">
      <c r="A23" s="44" t="s">
        <v>120</v>
      </c>
      <c r="B23" s="99">
        <f t="shared" si="2"/>
        <v>0</v>
      </c>
      <c r="C23" s="99">
        <f t="shared" si="6"/>
        <v>0</v>
      </c>
      <c r="D23" s="99">
        <f t="shared" si="6"/>
        <v>0</v>
      </c>
      <c r="E23" s="99">
        <f t="shared" si="6"/>
        <v>0</v>
      </c>
      <c r="F23" s="99">
        <f t="shared" si="6"/>
        <v>0</v>
      </c>
      <c r="G23" s="99">
        <f t="shared" si="6"/>
        <v>0</v>
      </c>
      <c r="H23" s="99">
        <f t="shared" si="6"/>
        <v>0</v>
      </c>
      <c r="I23" s="99">
        <f t="shared" si="6"/>
        <v>0</v>
      </c>
      <c r="J23" s="99">
        <f t="shared" si="4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9">
        <v>0</v>
      </c>
      <c r="V23" s="99">
        <v>0</v>
      </c>
      <c r="W23" s="99">
        <v>0</v>
      </c>
      <c r="Z23" s="92" t="s">
        <v>86</v>
      </c>
      <c r="AA23" s="92" t="s">
        <v>2283</v>
      </c>
      <c r="AB23" s="92">
        <v>100000</v>
      </c>
    </row>
    <row r="24" spans="1:32">
      <c r="A24" s="44" t="s">
        <v>122</v>
      </c>
      <c r="B24" s="99">
        <f t="shared" si="2"/>
        <v>0</v>
      </c>
      <c r="C24" s="99">
        <f t="shared" si="6"/>
        <v>0</v>
      </c>
      <c r="D24" s="99">
        <f t="shared" si="6"/>
        <v>0</v>
      </c>
      <c r="E24" s="99">
        <f t="shared" si="6"/>
        <v>0</v>
      </c>
      <c r="F24" s="99">
        <f t="shared" si="6"/>
        <v>0</v>
      </c>
      <c r="G24" s="99">
        <f t="shared" si="6"/>
        <v>0</v>
      </c>
      <c r="H24" s="99">
        <f t="shared" si="6"/>
        <v>0</v>
      </c>
      <c r="I24" s="99">
        <f t="shared" si="6"/>
        <v>0</v>
      </c>
      <c r="J24" s="99">
        <f t="shared" si="4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9">
        <v>0</v>
      </c>
      <c r="V24" s="99">
        <v>0</v>
      </c>
      <c r="W24" s="99">
        <v>0</v>
      </c>
      <c r="Z24" s="92" t="s">
        <v>86</v>
      </c>
      <c r="AA24" s="92" t="s">
        <v>2284</v>
      </c>
      <c r="AB24" s="92">
        <v>50000</v>
      </c>
    </row>
    <row r="25" spans="1:32">
      <c r="A25" s="44" t="s">
        <v>124</v>
      </c>
      <c r="B25" s="99">
        <f t="shared" si="2"/>
        <v>0</v>
      </c>
      <c r="C25" s="99">
        <f t="shared" si="6"/>
        <v>0</v>
      </c>
      <c r="D25" s="99">
        <f t="shared" si="6"/>
        <v>0</v>
      </c>
      <c r="E25" s="99">
        <f t="shared" si="6"/>
        <v>0</v>
      </c>
      <c r="F25" s="99">
        <f t="shared" si="6"/>
        <v>0</v>
      </c>
      <c r="G25" s="99">
        <f t="shared" si="6"/>
        <v>0</v>
      </c>
      <c r="H25" s="99">
        <f t="shared" si="6"/>
        <v>0</v>
      </c>
      <c r="I25" s="99">
        <f t="shared" si="6"/>
        <v>0</v>
      </c>
      <c r="J25" s="99">
        <f t="shared" si="4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9">
        <v>0</v>
      </c>
      <c r="V25" s="99">
        <v>0</v>
      </c>
      <c r="W25" s="99">
        <v>0</v>
      </c>
      <c r="Z25" s="92" t="s">
        <v>86</v>
      </c>
      <c r="AA25" s="92" t="s">
        <v>2285</v>
      </c>
      <c r="AB25" s="92">
        <v>12000</v>
      </c>
    </row>
    <row r="26" spans="1:32">
      <c r="A26" s="44" t="s">
        <v>126</v>
      </c>
      <c r="B26" s="99">
        <f t="shared" si="2"/>
        <v>42.2</v>
      </c>
      <c r="C26" s="99">
        <f t="shared" si="6"/>
        <v>5.275</v>
      </c>
      <c r="D26" s="99">
        <f t="shared" si="6"/>
        <v>5.275</v>
      </c>
      <c r="E26" s="99">
        <f t="shared" si="6"/>
        <v>5.275</v>
      </c>
      <c r="F26" s="99">
        <f t="shared" si="6"/>
        <v>5.275</v>
      </c>
      <c r="G26" s="99">
        <f t="shared" si="6"/>
        <v>5.275</v>
      </c>
      <c r="H26" s="99">
        <f t="shared" si="6"/>
        <v>5.275</v>
      </c>
      <c r="I26" s="99">
        <f t="shared" si="6"/>
        <v>5.275</v>
      </c>
      <c r="J26" s="99">
        <f t="shared" si="4"/>
        <v>5.275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Z26" s="92" t="s">
        <v>86</v>
      </c>
      <c r="AA26" s="92" t="s">
        <v>2286</v>
      </c>
      <c r="AB26" s="92">
        <v>25000</v>
      </c>
    </row>
    <row r="27" spans="1:32">
      <c r="A27" s="44" t="s">
        <v>128</v>
      </c>
      <c r="B27" s="99">
        <f t="shared" si="2"/>
        <v>5.7</v>
      </c>
      <c r="C27" s="99">
        <f t="shared" si="6"/>
        <v>0.7125</v>
      </c>
      <c r="D27" s="99">
        <f t="shared" si="6"/>
        <v>0.7125</v>
      </c>
      <c r="E27" s="99">
        <f t="shared" si="6"/>
        <v>0.7125</v>
      </c>
      <c r="F27" s="99">
        <f t="shared" si="6"/>
        <v>0.7125</v>
      </c>
      <c r="G27" s="99">
        <f t="shared" si="6"/>
        <v>0.7125</v>
      </c>
      <c r="H27" s="99">
        <f t="shared" si="6"/>
        <v>0.7125</v>
      </c>
      <c r="I27" s="99">
        <f t="shared" si="6"/>
        <v>0.7125</v>
      </c>
      <c r="J27" s="99">
        <f t="shared" si="4"/>
        <v>0.7125</v>
      </c>
      <c r="K27" s="99">
        <v>0</v>
      </c>
      <c r="L27" s="99">
        <v>5</v>
      </c>
      <c r="M27" s="99">
        <v>0</v>
      </c>
      <c r="N27" s="99">
        <v>0</v>
      </c>
      <c r="O27" s="99">
        <v>30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Z27" s="92" t="s">
        <v>86</v>
      </c>
      <c r="AA27" s="92" t="s">
        <v>2287</v>
      </c>
      <c r="AB27" s="92">
        <v>36000</v>
      </c>
    </row>
    <row r="28" spans="1:32">
      <c r="A28" s="44" t="s">
        <v>130</v>
      </c>
      <c r="B28" s="99">
        <f t="shared" si="2"/>
        <v>0</v>
      </c>
      <c r="C28" s="99">
        <f t="shared" si="6"/>
        <v>0</v>
      </c>
      <c r="D28" s="99">
        <f t="shared" si="6"/>
        <v>0</v>
      </c>
      <c r="E28" s="99">
        <f t="shared" si="6"/>
        <v>0</v>
      </c>
      <c r="F28" s="99">
        <f t="shared" si="6"/>
        <v>0</v>
      </c>
      <c r="G28" s="99">
        <f t="shared" si="6"/>
        <v>0</v>
      </c>
      <c r="H28" s="99">
        <f t="shared" si="6"/>
        <v>0</v>
      </c>
      <c r="I28" s="99">
        <f t="shared" si="6"/>
        <v>0</v>
      </c>
      <c r="J28" s="99">
        <f t="shared" si="4"/>
        <v>0</v>
      </c>
      <c r="K28" s="99">
        <v>0</v>
      </c>
      <c r="L28" s="99">
        <v>0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9">
        <v>0</v>
      </c>
      <c r="V28" s="99">
        <v>0</v>
      </c>
      <c r="W28" s="99">
        <v>0</v>
      </c>
      <c r="Z28" s="92" t="s">
        <v>86</v>
      </c>
      <c r="AA28" s="92" t="s">
        <v>2288</v>
      </c>
      <c r="AB28" s="92">
        <v>12000</v>
      </c>
    </row>
    <row r="29" spans="1:32">
      <c r="A29" s="44" t="s">
        <v>132</v>
      </c>
      <c r="B29" s="99">
        <f t="shared" si="2"/>
        <v>0</v>
      </c>
      <c r="C29" s="99">
        <f t="shared" si="6"/>
        <v>0</v>
      </c>
      <c r="D29" s="99">
        <f t="shared" si="6"/>
        <v>0</v>
      </c>
      <c r="E29" s="99">
        <f t="shared" si="6"/>
        <v>0</v>
      </c>
      <c r="F29" s="99">
        <f t="shared" si="6"/>
        <v>0</v>
      </c>
      <c r="G29" s="99">
        <f t="shared" si="6"/>
        <v>0</v>
      </c>
      <c r="H29" s="99">
        <f t="shared" si="6"/>
        <v>0</v>
      </c>
      <c r="I29" s="99">
        <f t="shared" si="6"/>
        <v>0</v>
      </c>
      <c r="J29" s="99">
        <f t="shared" si="4"/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Z29" s="92" t="s">
        <v>86</v>
      </c>
      <c r="AA29" s="92" t="s">
        <v>2289</v>
      </c>
      <c r="AB29" s="92">
        <v>24000</v>
      </c>
    </row>
    <row r="30" spans="1:32">
      <c r="A30" s="44" t="s">
        <v>134</v>
      </c>
      <c r="B30" s="99">
        <f t="shared" si="2"/>
        <v>8.1</v>
      </c>
      <c r="C30" s="99">
        <f t="shared" si="6"/>
        <v>1.0125</v>
      </c>
      <c r="D30" s="99">
        <f t="shared" si="6"/>
        <v>1.0125</v>
      </c>
      <c r="E30" s="99">
        <f t="shared" si="6"/>
        <v>1.0125</v>
      </c>
      <c r="F30" s="99">
        <f t="shared" si="6"/>
        <v>1.0125</v>
      </c>
      <c r="G30" s="99">
        <f t="shared" si="6"/>
        <v>1.0125</v>
      </c>
      <c r="H30" s="99">
        <f t="shared" si="6"/>
        <v>1.0125</v>
      </c>
      <c r="I30" s="99">
        <f t="shared" si="6"/>
        <v>1.0125</v>
      </c>
      <c r="J30" s="99">
        <f t="shared" si="4"/>
        <v>1.0125</v>
      </c>
      <c r="K30" s="99">
        <v>0</v>
      </c>
      <c r="L30" s="99">
        <v>30</v>
      </c>
      <c r="M30" s="99">
        <v>0</v>
      </c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</v>
      </c>
      <c r="V30" s="99">
        <v>0</v>
      </c>
      <c r="W30" s="99">
        <v>0</v>
      </c>
      <c r="Z30" s="92" t="s">
        <v>86</v>
      </c>
      <c r="AA30" s="92" t="s">
        <v>2290</v>
      </c>
      <c r="AB30" s="92">
        <v>12000</v>
      </c>
    </row>
    <row r="31" spans="1:32">
      <c r="A31" s="44" t="s">
        <v>136</v>
      </c>
      <c r="B31" s="99">
        <f t="shared" si="2"/>
        <v>0</v>
      </c>
      <c r="C31" s="99">
        <f t="shared" si="6"/>
        <v>0</v>
      </c>
      <c r="D31" s="99">
        <f t="shared" si="6"/>
        <v>0</v>
      </c>
      <c r="E31" s="99">
        <f t="shared" si="6"/>
        <v>0</v>
      </c>
      <c r="F31" s="99">
        <f t="shared" si="6"/>
        <v>0</v>
      </c>
      <c r="G31" s="99">
        <f t="shared" si="6"/>
        <v>0</v>
      </c>
      <c r="H31" s="99">
        <f t="shared" si="6"/>
        <v>0</v>
      </c>
      <c r="I31" s="99">
        <f t="shared" si="6"/>
        <v>0</v>
      </c>
      <c r="J31" s="99">
        <f t="shared" si="4"/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Z31" s="92" t="s">
        <v>86</v>
      </c>
      <c r="AA31" s="92" t="s">
        <v>2291</v>
      </c>
      <c r="AB31" s="92">
        <v>12000</v>
      </c>
    </row>
    <row r="32" spans="1:32">
      <c r="A32" s="44" t="s">
        <v>138</v>
      </c>
      <c r="B32" s="99">
        <f t="shared" si="2"/>
        <v>0</v>
      </c>
      <c r="C32" s="99">
        <f t="shared" si="6"/>
        <v>0</v>
      </c>
      <c r="D32" s="99">
        <f t="shared" si="6"/>
        <v>0</v>
      </c>
      <c r="E32" s="99">
        <f t="shared" si="6"/>
        <v>0</v>
      </c>
      <c r="F32" s="99">
        <f t="shared" si="6"/>
        <v>0</v>
      </c>
      <c r="G32" s="99">
        <f t="shared" si="6"/>
        <v>0</v>
      </c>
      <c r="H32" s="99">
        <f t="shared" si="6"/>
        <v>0</v>
      </c>
      <c r="I32" s="99">
        <f t="shared" si="6"/>
        <v>0</v>
      </c>
      <c r="J32" s="99">
        <f t="shared" si="4"/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Z32" s="92" t="s">
        <v>86</v>
      </c>
      <c r="AA32" s="92" t="s">
        <v>2292</v>
      </c>
      <c r="AB32" s="92">
        <v>24000</v>
      </c>
    </row>
    <row r="33" spans="1:28">
      <c r="A33" s="44" t="s">
        <v>140</v>
      </c>
      <c r="B33" s="99">
        <f t="shared" si="2"/>
        <v>0</v>
      </c>
      <c r="C33" s="99">
        <f t="shared" si="6"/>
        <v>0</v>
      </c>
      <c r="D33" s="99">
        <f t="shared" si="6"/>
        <v>0</v>
      </c>
      <c r="E33" s="99">
        <f t="shared" si="6"/>
        <v>0</v>
      </c>
      <c r="F33" s="99">
        <f t="shared" si="6"/>
        <v>0</v>
      </c>
      <c r="G33" s="99">
        <f t="shared" si="6"/>
        <v>0</v>
      </c>
      <c r="H33" s="99">
        <f t="shared" si="6"/>
        <v>0</v>
      </c>
      <c r="I33" s="99">
        <f t="shared" si="6"/>
        <v>0</v>
      </c>
      <c r="J33" s="99">
        <f t="shared" si="4"/>
        <v>0</v>
      </c>
      <c r="K33" s="99">
        <v>0</v>
      </c>
      <c r="L33" s="99">
        <v>0</v>
      </c>
      <c r="M33" s="99">
        <v>0</v>
      </c>
      <c r="N33" s="99">
        <v>0</v>
      </c>
      <c r="O33" s="99">
        <v>0</v>
      </c>
      <c r="P33" s="99">
        <v>0</v>
      </c>
      <c r="Q33" s="99">
        <v>0</v>
      </c>
      <c r="R33" s="99">
        <v>0</v>
      </c>
      <c r="S33" s="99">
        <v>0</v>
      </c>
      <c r="T33" s="99">
        <v>0</v>
      </c>
      <c r="U33" s="99">
        <v>0</v>
      </c>
      <c r="V33" s="99">
        <v>0</v>
      </c>
      <c r="W33" s="99">
        <v>0</v>
      </c>
      <c r="Z33" s="92" t="s">
        <v>86</v>
      </c>
      <c r="AA33" s="92" t="s">
        <v>2293</v>
      </c>
      <c r="AB33" s="92">
        <v>12000</v>
      </c>
    </row>
    <row r="34" spans="1:28">
      <c r="A34" s="44" t="s">
        <v>142</v>
      </c>
      <c r="B34" s="99">
        <f t="shared" si="2"/>
        <v>2.4</v>
      </c>
      <c r="C34" s="99">
        <f t="shared" si="6"/>
        <v>0.3</v>
      </c>
      <c r="D34" s="99">
        <f t="shared" si="6"/>
        <v>0.3</v>
      </c>
      <c r="E34" s="99">
        <f t="shared" si="6"/>
        <v>0.3</v>
      </c>
      <c r="F34" s="99">
        <f t="shared" si="6"/>
        <v>0.3</v>
      </c>
      <c r="G34" s="99">
        <f t="shared" si="6"/>
        <v>0.3</v>
      </c>
      <c r="H34" s="99">
        <f t="shared" si="6"/>
        <v>0.3</v>
      </c>
      <c r="I34" s="99">
        <f t="shared" si="6"/>
        <v>0.3</v>
      </c>
      <c r="J34" s="99">
        <f t="shared" si="4"/>
        <v>0.3</v>
      </c>
      <c r="K34" s="99">
        <v>0</v>
      </c>
      <c r="L34" s="99">
        <v>60</v>
      </c>
      <c r="M34" s="99">
        <v>0</v>
      </c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  <c r="V34" s="99">
        <v>0</v>
      </c>
      <c r="W34" s="99">
        <v>0</v>
      </c>
      <c r="Z34" s="92" t="s">
        <v>86</v>
      </c>
      <c r="AA34" s="92" t="s">
        <v>2294</v>
      </c>
      <c r="AB34" s="92">
        <v>12000</v>
      </c>
    </row>
    <row r="35" spans="1:28">
      <c r="Z35" s="92" t="s">
        <v>86</v>
      </c>
      <c r="AA35" s="92" t="s">
        <v>2295</v>
      </c>
      <c r="AB35" s="92">
        <v>49000</v>
      </c>
    </row>
    <row r="36" spans="1:28">
      <c r="Z36" s="92" t="s">
        <v>86</v>
      </c>
      <c r="AA36" s="92" t="s">
        <v>2296</v>
      </c>
      <c r="AB36" s="92">
        <v>24000</v>
      </c>
    </row>
    <row r="37" spans="1:28">
      <c r="Z37" s="92" t="s">
        <v>86</v>
      </c>
      <c r="AA37" s="92" t="s">
        <v>2297</v>
      </c>
      <c r="AB37" s="92">
        <v>24000</v>
      </c>
    </row>
    <row r="38" spans="1:28">
      <c r="Z38" s="92" t="s">
        <v>112</v>
      </c>
      <c r="AA38" s="92" t="s">
        <v>2298</v>
      </c>
      <c r="AB38" s="92">
        <v>12000</v>
      </c>
    </row>
    <row r="39" spans="1:28">
      <c r="Z39" s="92" t="s">
        <v>114</v>
      </c>
      <c r="AA39" s="92" t="s">
        <v>2299</v>
      </c>
      <c r="AB39" s="92">
        <v>25000</v>
      </c>
    </row>
    <row r="40" spans="1:28">
      <c r="Z40" s="92" t="s">
        <v>114</v>
      </c>
      <c r="AA40" s="92" t="s">
        <v>2300</v>
      </c>
      <c r="AB40" s="92">
        <v>30000</v>
      </c>
    </row>
    <row r="41" spans="1:28">
      <c r="Z41" s="92" t="s">
        <v>114</v>
      </c>
      <c r="AA41" s="92" t="s">
        <v>2301</v>
      </c>
      <c r="AB41" s="92">
        <v>12000</v>
      </c>
    </row>
    <row r="42" spans="1:28">
      <c r="Z42" s="92" t="s">
        <v>116</v>
      </c>
      <c r="AA42" s="92" t="s">
        <v>2302</v>
      </c>
      <c r="AB42" s="92">
        <v>60000</v>
      </c>
    </row>
    <row r="43" spans="1:28">
      <c r="Z43" s="92" t="s">
        <v>106</v>
      </c>
      <c r="AA43" s="92" t="s">
        <v>2303</v>
      </c>
      <c r="AB43" s="92">
        <v>100000</v>
      </c>
    </row>
    <row r="44" spans="1:28">
      <c r="Z44" s="92" t="s">
        <v>128</v>
      </c>
      <c r="AA44" s="92" t="s">
        <v>2304</v>
      </c>
      <c r="AB44" s="92">
        <v>30000</v>
      </c>
    </row>
    <row r="45" spans="1:28">
      <c r="Z45" s="92" t="s">
        <v>128</v>
      </c>
      <c r="AA45" s="92" t="s">
        <v>2305</v>
      </c>
      <c r="AB45" s="92">
        <v>12000</v>
      </c>
    </row>
    <row r="46" spans="1:28">
      <c r="Z46" s="92" t="s">
        <v>92</v>
      </c>
      <c r="AA46" s="92" t="s">
        <v>2306</v>
      </c>
      <c r="AB46" s="92">
        <v>600000</v>
      </c>
    </row>
    <row r="47" spans="1:28">
      <c r="Z47" s="92" t="s">
        <v>92</v>
      </c>
      <c r="AA47" s="92" t="s">
        <v>2307</v>
      </c>
      <c r="AB47" s="92">
        <v>300000</v>
      </c>
    </row>
    <row r="48" spans="1:28">
      <c r="Z48" s="92" t="s">
        <v>92</v>
      </c>
      <c r="AA48" s="92" t="s">
        <v>2308</v>
      </c>
      <c r="AB48" s="92">
        <v>12000</v>
      </c>
    </row>
    <row r="49" spans="26:28">
      <c r="Z49" s="92" t="s">
        <v>92</v>
      </c>
      <c r="AA49" s="92" t="s">
        <v>2309</v>
      </c>
      <c r="AB49" s="92">
        <v>42000</v>
      </c>
    </row>
    <row r="50" spans="26:28">
      <c r="Z50" s="92" t="s">
        <v>134</v>
      </c>
      <c r="AA50" s="92" t="s">
        <v>2310</v>
      </c>
      <c r="AB50" s="92">
        <v>12000</v>
      </c>
    </row>
    <row r="51" spans="26:28">
      <c r="Z51" s="92" t="s">
        <v>134</v>
      </c>
      <c r="AA51" s="92" t="s">
        <v>2311</v>
      </c>
      <c r="AB51" s="92">
        <v>24000</v>
      </c>
    </row>
    <row r="52" spans="26:28">
      <c r="Z52" s="92" t="s">
        <v>134</v>
      </c>
      <c r="AA52" s="92" t="s">
        <v>2312</v>
      </c>
      <c r="AB52" s="92">
        <v>24000</v>
      </c>
    </row>
    <row r="53" spans="26:28">
      <c r="Z53" s="92" t="s">
        <v>96</v>
      </c>
      <c r="AA53" s="92" t="s">
        <v>2313</v>
      </c>
      <c r="AB53" s="92">
        <v>50000</v>
      </c>
    </row>
    <row r="54" spans="26:28">
      <c r="Z54" s="92" t="s">
        <v>96</v>
      </c>
      <c r="AA54" s="92" t="s">
        <v>2314</v>
      </c>
      <c r="AB54" s="92">
        <v>24000</v>
      </c>
    </row>
  </sheetData>
  <mergeCells count="6">
    <mergeCell ref="C1:J1"/>
    <mergeCell ref="K1:W1"/>
    <mergeCell ref="Z1:AB1"/>
    <mergeCell ref="AD1:AF1"/>
    <mergeCell ref="A1:A2"/>
    <mergeCell ref="B1:B2"/>
  </mergeCells>
  <conditionalFormatting sqref="AA2:AA54">
    <cfRule type="containsText" dxfId="59" priority="1" operator="between" text="矸">
      <formula>NOT(ISERROR(SEARCH("矸",AA2)))</formula>
    </cfRule>
    <cfRule type="containsText" dxfId="61" priority="2" operator="between" text="石">
      <formula>NOT(ISERROR(SEARCH("石",AA2)))</formula>
    </cfRule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workbookViewId="0">
      <selection activeCell="O2" sqref="O2:O32"/>
    </sheetView>
  </sheetViews>
  <sheetFormatPr defaultColWidth="10.1327433628319" defaultRowHeight="13.85" outlineLevelCol="3"/>
  <cols>
    <col min="1" max="1" width="5.42477876106195" style="86" customWidth="1"/>
    <col min="2" max="2" width="14.7079646017699" style="86" customWidth="1"/>
    <col min="3" max="3" width="14.858407079646" style="86" customWidth="1"/>
    <col min="4" max="4" width="15.1327433628319" style="86" customWidth="1"/>
    <col min="5" max="16384" width="10.1327433628319" style="86"/>
  </cols>
  <sheetData>
    <row r="1" spans="1:4">
      <c r="A1" s="87" t="s">
        <v>2315</v>
      </c>
      <c r="B1" s="87" t="s">
        <v>2316</v>
      </c>
      <c r="C1" s="87" t="s">
        <v>2317</v>
      </c>
      <c r="D1" s="87" t="s">
        <v>2318</v>
      </c>
    </row>
    <row r="2" spans="1:4">
      <c r="A2" s="87">
        <v>3</v>
      </c>
      <c r="B2" s="88">
        <v>1</v>
      </c>
      <c r="C2" s="89">
        <f t="shared" ref="C2:C33" si="0">B3</f>
        <v>0.999968005119181</v>
      </c>
      <c r="D2" s="89">
        <f>(1-C2/B2)*B2</f>
        <v>3.1994880818953e-5</v>
      </c>
    </row>
    <row r="3" spans="1:4">
      <c r="A3" s="90">
        <v>4</v>
      </c>
      <c r="B3" s="91">
        <v>0.999968005119181</v>
      </c>
      <c r="C3" s="89">
        <f t="shared" si="0"/>
        <v>0.999882824615482</v>
      </c>
      <c r="D3" s="89">
        <f t="shared" ref="D3:D54" si="1">(1-C3/B3)*B3</f>
        <v>8.5180503699054e-5</v>
      </c>
    </row>
    <row r="4" spans="1:4">
      <c r="A4" s="90">
        <v>5</v>
      </c>
      <c r="B4" s="91">
        <v>0.999882824615482</v>
      </c>
      <c r="C4" s="89">
        <f t="shared" si="0"/>
        <v>0.999610094588584</v>
      </c>
      <c r="D4" s="89">
        <f t="shared" si="1"/>
        <v>0.000272730026898024</v>
      </c>
    </row>
    <row r="5" spans="1:4">
      <c r="A5" s="90">
        <v>6</v>
      </c>
      <c r="B5" s="91">
        <v>0.999610094588584</v>
      </c>
      <c r="C5" s="89">
        <f t="shared" si="0"/>
        <v>0.999104169797178</v>
      </c>
      <c r="D5" s="89">
        <f t="shared" si="1"/>
        <v>0.000505924791405966</v>
      </c>
    </row>
    <row r="6" spans="1:4">
      <c r="A6" s="90">
        <v>7</v>
      </c>
      <c r="B6" s="91">
        <v>0.999104169797178</v>
      </c>
      <c r="C6" s="89">
        <f t="shared" si="0"/>
        <v>0.998290023064581</v>
      </c>
      <c r="D6" s="89">
        <f t="shared" si="1"/>
        <v>0.000814146732596932</v>
      </c>
    </row>
    <row r="7" spans="1:4">
      <c r="A7" s="90">
        <v>8</v>
      </c>
      <c r="B7" s="91">
        <v>0.998290023064581</v>
      </c>
      <c r="C7" s="89">
        <f t="shared" si="0"/>
        <v>0.99701053817904</v>
      </c>
      <c r="D7" s="89">
        <f t="shared" si="1"/>
        <v>0.00127948488554113</v>
      </c>
    </row>
    <row r="8" spans="1:4">
      <c r="A8" s="90">
        <v>9</v>
      </c>
      <c r="B8" s="91">
        <v>0.99701053817904</v>
      </c>
      <c r="C8" s="89">
        <f t="shared" si="0"/>
        <v>0.995269288512594</v>
      </c>
      <c r="D8" s="89">
        <f t="shared" si="1"/>
        <v>0.00174124966644592</v>
      </c>
    </row>
    <row r="9" spans="1:4">
      <c r="A9" s="90">
        <v>10</v>
      </c>
      <c r="B9" s="91">
        <v>0.995269288512594</v>
      </c>
      <c r="C9" s="89">
        <f t="shared" si="0"/>
        <v>0.992812349778412</v>
      </c>
      <c r="D9" s="89">
        <f t="shared" si="1"/>
        <v>0.00245693873418191</v>
      </c>
    </row>
    <row r="10" spans="1:4">
      <c r="A10" s="90">
        <v>11</v>
      </c>
      <c r="B10" s="91">
        <v>0.992812349778412</v>
      </c>
      <c r="C10" s="89">
        <f t="shared" si="0"/>
        <v>0.98924454542977</v>
      </c>
      <c r="D10" s="89">
        <f t="shared" si="1"/>
        <v>0.00356780434864204</v>
      </c>
    </row>
    <row r="11" spans="1:4">
      <c r="A11" s="90">
        <v>12</v>
      </c>
      <c r="B11" s="91">
        <v>0.98924454542977</v>
      </c>
      <c r="C11" s="89">
        <f t="shared" si="0"/>
        <v>0.983804407340506</v>
      </c>
      <c r="D11" s="89">
        <f t="shared" si="1"/>
        <v>0.00544013808926407</v>
      </c>
    </row>
    <row r="12" spans="1:4">
      <c r="A12" s="90">
        <v>13</v>
      </c>
      <c r="B12" s="91">
        <v>0.983804407340506</v>
      </c>
      <c r="C12" s="89">
        <f t="shared" si="0"/>
        <v>0.976359184452633</v>
      </c>
      <c r="D12" s="89">
        <f t="shared" si="1"/>
        <v>0.00744522288787295</v>
      </c>
    </row>
    <row r="13" spans="1:4">
      <c r="A13" s="90">
        <v>14</v>
      </c>
      <c r="B13" s="91">
        <v>0.976359184452633</v>
      </c>
      <c r="C13" s="89">
        <f t="shared" si="0"/>
        <v>0.967183149026686</v>
      </c>
      <c r="D13" s="89">
        <f t="shared" si="1"/>
        <v>0.00917603542594706</v>
      </c>
    </row>
    <row r="14" spans="1:4">
      <c r="A14" s="90">
        <v>15</v>
      </c>
      <c r="B14" s="91">
        <v>0.967183149026686</v>
      </c>
      <c r="C14" s="89">
        <f t="shared" si="0"/>
        <v>0.956419584570109</v>
      </c>
      <c r="D14" s="89">
        <f t="shared" si="1"/>
        <v>0.010763564456577</v>
      </c>
    </row>
    <row r="15" spans="1:4">
      <c r="A15" s="90">
        <v>16</v>
      </c>
      <c r="B15" s="91">
        <v>0.956419584570109</v>
      </c>
      <c r="C15" s="89">
        <f t="shared" si="0"/>
        <v>0.943791181676537</v>
      </c>
      <c r="D15" s="89">
        <f t="shared" si="1"/>
        <v>0.012628402893572</v>
      </c>
    </row>
    <row r="16" spans="1:4">
      <c r="A16" s="90">
        <v>17</v>
      </c>
      <c r="B16" s="91">
        <v>0.943791181676537</v>
      </c>
      <c r="C16" s="89">
        <f t="shared" si="0"/>
        <v>0.931006574749287</v>
      </c>
      <c r="D16" s="89">
        <f t="shared" si="1"/>
        <v>0.0127846069272499</v>
      </c>
    </row>
    <row r="17" spans="1:4">
      <c r="A17" s="90">
        <v>18</v>
      </c>
      <c r="B17" s="91">
        <v>0.931006574749287</v>
      </c>
      <c r="C17" s="89">
        <f t="shared" si="0"/>
        <v>0.918041992807515</v>
      </c>
      <c r="D17" s="89">
        <f t="shared" si="1"/>
        <v>0.012964581941772</v>
      </c>
    </row>
    <row r="18" spans="1:4">
      <c r="A18" s="90">
        <v>19</v>
      </c>
      <c r="B18" s="91">
        <v>0.918041992807515</v>
      </c>
      <c r="C18" s="89">
        <f t="shared" si="0"/>
        <v>0.905202992849832</v>
      </c>
      <c r="D18" s="89">
        <f t="shared" si="1"/>
        <v>0.012838999957683</v>
      </c>
    </row>
    <row r="19" spans="1:4">
      <c r="A19" s="90">
        <v>20</v>
      </c>
      <c r="B19" s="91">
        <v>0.905202992849832</v>
      </c>
      <c r="C19" s="89">
        <f t="shared" si="0"/>
        <v>0.891616348815291</v>
      </c>
      <c r="D19" s="89">
        <f t="shared" si="1"/>
        <v>0.013586644034541</v>
      </c>
    </row>
    <row r="20" spans="1:4">
      <c r="A20" s="90">
        <v>21</v>
      </c>
      <c r="B20" s="91">
        <v>0.891616348815291</v>
      </c>
      <c r="C20" s="89">
        <f t="shared" si="0"/>
        <v>0.876598749099922</v>
      </c>
      <c r="D20" s="89">
        <f t="shared" si="1"/>
        <v>0.015017599715369</v>
      </c>
    </row>
    <row r="21" spans="1:4">
      <c r="A21" s="90">
        <v>22</v>
      </c>
      <c r="B21" s="91">
        <v>0.876598749099922</v>
      </c>
      <c r="C21" s="89">
        <f t="shared" si="0"/>
        <v>0.860260943072536</v>
      </c>
      <c r="D21" s="89">
        <f t="shared" si="1"/>
        <v>0.016337806027386</v>
      </c>
    </row>
    <row r="22" spans="1:4">
      <c r="A22" s="90">
        <v>23</v>
      </c>
      <c r="B22" s="91">
        <v>0.860260943072536</v>
      </c>
      <c r="C22" s="89">
        <f t="shared" si="0"/>
        <v>0.842749090977616</v>
      </c>
      <c r="D22" s="89">
        <f t="shared" si="1"/>
        <v>0.01751185209492</v>
      </c>
    </row>
    <row r="23" spans="1:4">
      <c r="A23" s="90">
        <v>24</v>
      </c>
      <c r="B23" s="91">
        <v>0.842749090977616</v>
      </c>
      <c r="C23" s="89">
        <f t="shared" si="0"/>
        <v>0.823681346386547</v>
      </c>
      <c r="D23" s="89">
        <f t="shared" si="1"/>
        <v>0.0190677445910689</v>
      </c>
    </row>
    <row r="24" spans="1:4">
      <c r="A24" s="90">
        <v>25</v>
      </c>
      <c r="B24" s="91">
        <v>0.823681346386547</v>
      </c>
      <c r="C24" s="89">
        <f t="shared" si="0"/>
        <v>0.803079213642204</v>
      </c>
      <c r="D24" s="89">
        <f t="shared" si="1"/>
        <v>0.020602132744343</v>
      </c>
    </row>
    <row r="25" spans="1:4">
      <c r="A25" s="90">
        <v>26</v>
      </c>
      <c r="B25" s="91">
        <v>0.803079213642204</v>
      </c>
      <c r="C25" s="89">
        <f t="shared" si="0"/>
        <v>0.780492610758518</v>
      </c>
      <c r="D25" s="89">
        <f t="shared" si="1"/>
        <v>0.0225866028836861</v>
      </c>
    </row>
    <row r="26" spans="1:4">
      <c r="A26" s="90">
        <v>27</v>
      </c>
      <c r="B26" s="91">
        <v>0.780492610758518</v>
      </c>
      <c r="C26" s="89">
        <f t="shared" si="0"/>
        <v>0.755838646328905</v>
      </c>
      <c r="D26" s="89">
        <f t="shared" si="1"/>
        <v>0.0246539644296129</v>
      </c>
    </row>
    <row r="27" spans="1:4">
      <c r="A27" s="90">
        <v>28</v>
      </c>
      <c r="B27" s="91">
        <v>0.755838646328905</v>
      </c>
      <c r="C27" s="89">
        <f t="shared" si="0"/>
        <v>0.730894783197045</v>
      </c>
      <c r="D27" s="89">
        <f t="shared" si="1"/>
        <v>0.0249438631318599</v>
      </c>
    </row>
    <row r="28" spans="1:4">
      <c r="A28" s="90">
        <v>29</v>
      </c>
      <c r="B28" s="91">
        <v>0.730894783197045</v>
      </c>
      <c r="C28" s="89">
        <f t="shared" si="0"/>
        <v>0.703816770968616</v>
      </c>
      <c r="D28" s="89">
        <f t="shared" si="1"/>
        <v>0.0270780122284291</v>
      </c>
    </row>
    <row r="29" spans="1:4">
      <c r="A29" s="90">
        <v>30</v>
      </c>
      <c r="B29" s="91">
        <v>0.703816770968616</v>
      </c>
      <c r="C29" s="89">
        <f t="shared" si="0"/>
        <v>0.673996898149532</v>
      </c>
      <c r="D29" s="89">
        <f t="shared" si="1"/>
        <v>0.0298198728190839</v>
      </c>
    </row>
    <row r="30" spans="1:4">
      <c r="A30" s="90">
        <v>31</v>
      </c>
      <c r="B30" s="91">
        <v>0.673996898149532</v>
      </c>
      <c r="C30" s="89">
        <f t="shared" si="0"/>
        <v>0.642578217953599</v>
      </c>
      <c r="D30" s="89">
        <f t="shared" si="1"/>
        <v>0.0314186801959329</v>
      </c>
    </row>
    <row r="31" spans="1:4">
      <c r="A31" s="90">
        <v>32</v>
      </c>
      <c r="B31" s="91">
        <v>0.642578217953599</v>
      </c>
      <c r="C31" s="89">
        <f t="shared" si="0"/>
        <v>0.611407425671158</v>
      </c>
      <c r="D31" s="89">
        <f t="shared" si="1"/>
        <v>0.031170792282441</v>
      </c>
    </row>
    <row r="32" spans="1:4">
      <c r="A32" s="90">
        <v>33</v>
      </c>
      <c r="B32" s="91">
        <v>0.611407425671158</v>
      </c>
      <c r="C32" s="89">
        <f t="shared" si="0"/>
        <v>0.579775911718682</v>
      </c>
      <c r="D32" s="89">
        <f t="shared" si="1"/>
        <v>0.031631513952476</v>
      </c>
    </row>
    <row r="33" spans="1:4">
      <c r="A33" s="90">
        <v>34</v>
      </c>
      <c r="B33" s="91">
        <v>0.579775911718682</v>
      </c>
      <c r="C33" s="89">
        <f t="shared" si="0"/>
        <v>0.545940183800108</v>
      </c>
      <c r="D33" s="89">
        <f t="shared" si="1"/>
        <v>0.033835727918574</v>
      </c>
    </row>
    <row r="34" spans="1:4">
      <c r="A34" s="90">
        <v>35</v>
      </c>
      <c r="B34" s="91">
        <v>0.545940183800108</v>
      </c>
      <c r="C34" s="89">
        <f t="shared" ref="C34:C53" si="2">B35</f>
        <v>0.509454082407526</v>
      </c>
      <c r="D34" s="89">
        <f t="shared" si="1"/>
        <v>0.036486101392582</v>
      </c>
    </row>
    <row r="35" spans="1:4">
      <c r="A35" s="90">
        <v>36</v>
      </c>
      <c r="B35" s="91">
        <v>0.509454082407526</v>
      </c>
      <c r="C35" s="89">
        <f t="shared" si="2"/>
        <v>0.473378208345417</v>
      </c>
      <c r="D35" s="89">
        <f t="shared" si="1"/>
        <v>0.036075874062109</v>
      </c>
    </row>
    <row r="36" spans="1:4">
      <c r="A36" s="90">
        <v>37</v>
      </c>
      <c r="B36" s="91">
        <v>0.473378208345417</v>
      </c>
      <c r="C36" s="89">
        <f t="shared" si="2"/>
        <v>0.437617660698764</v>
      </c>
      <c r="D36" s="89">
        <f t="shared" si="1"/>
        <v>0.035760547646653</v>
      </c>
    </row>
    <row r="37" spans="1:4">
      <c r="A37" s="90">
        <v>38</v>
      </c>
      <c r="B37" s="91">
        <v>0.437617660698764</v>
      </c>
      <c r="C37" s="89">
        <f t="shared" si="2"/>
        <v>0.404123924008252</v>
      </c>
      <c r="D37" s="89">
        <f t="shared" si="1"/>
        <v>0.033493736690512</v>
      </c>
    </row>
    <row r="38" spans="1:4">
      <c r="A38" s="90">
        <v>39</v>
      </c>
      <c r="B38" s="91">
        <v>0.404123924008252</v>
      </c>
      <c r="C38" s="89">
        <f t="shared" si="2"/>
        <v>0.371920025343238</v>
      </c>
      <c r="D38" s="89">
        <f t="shared" si="1"/>
        <v>0.032203898665014</v>
      </c>
    </row>
    <row r="39" spans="1:4">
      <c r="A39" s="90">
        <v>40</v>
      </c>
      <c r="B39" s="91">
        <v>0.371920025343238</v>
      </c>
      <c r="C39" s="89">
        <f t="shared" si="2"/>
        <v>0.339839204443748</v>
      </c>
      <c r="D39" s="89">
        <f t="shared" si="1"/>
        <v>0.03208082089949</v>
      </c>
    </row>
    <row r="40" spans="1:4">
      <c r="A40" s="90">
        <v>41</v>
      </c>
      <c r="B40" s="91">
        <v>0.339839204443748</v>
      </c>
      <c r="C40" s="89">
        <f t="shared" si="2"/>
        <v>0.306866933229801</v>
      </c>
      <c r="D40" s="89">
        <f t="shared" si="1"/>
        <v>0.032972271213947</v>
      </c>
    </row>
    <row r="41" spans="1:4">
      <c r="A41" s="90">
        <v>42</v>
      </c>
      <c r="B41" s="91">
        <v>0.306866933229801</v>
      </c>
      <c r="C41" s="89">
        <f t="shared" si="2"/>
        <v>0.272491656883102</v>
      </c>
      <c r="D41" s="89">
        <f t="shared" si="1"/>
        <v>0.034375276346699</v>
      </c>
    </row>
    <row r="42" spans="1:4">
      <c r="A42" s="90">
        <v>43</v>
      </c>
      <c r="B42" s="91">
        <v>0.272491656883102</v>
      </c>
      <c r="C42" s="89">
        <f t="shared" si="2"/>
        <v>0.237785659827394</v>
      </c>
      <c r="D42" s="89">
        <f t="shared" si="1"/>
        <v>0.034705997055708</v>
      </c>
    </row>
    <row r="43" spans="1:4">
      <c r="A43" s="90">
        <v>44</v>
      </c>
      <c r="B43" s="91">
        <v>0.237785659827394</v>
      </c>
      <c r="C43" s="89">
        <f t="shared" si="2"/>
        <v>0.205646965000424</v>
      </c>
      <c r="D43" s="89">
        <f t="shared" si="1"/>
        <v>0.03213869482697</v>
      </c>
    </row>
    <row r="44" spans="1:4">
      <c r="A44" s="90">
        <v>45</v>
      </c>
      <c r="B44" s="91">
        <v>0.205646965000424</v>
      </c>
      <c r="C44" s="89">
        <f t="shared" si="2"/>
        <v>0.176986096022745</v>
      </c>
      <c r="D44" s="89">
        <f t="shared" si="1"/>
        <v>0.028660868977679</v>
      </c>
    </row>
    <row r="45" spans="1:4">
      <c r="A45" s="90">
        <v>46</v>
      </c>
      <c r="B45" s="91">
        <v>0.176986096022745</v>
      </c>
      <c r="C45" s="89">
        <f t="shared" si="2"/>
        <v>0.149973566104744</v>
      </c>
      <c r="D45" s="89">
        <f t="shared" si="1"/>
        <v>0.027012529918001</v>
      </c>
    </row>
    <row r="46" spans="1:4">
      <c r="A46" s="90">
        <v>47</v>
      </c>
      <c r="B46" s="91">
        <v>0.149973566104744</v>
      </c>
      <c r="C46" s="89">
        <f t="shared" si="2"/>
        <v>0.12386209700615</v>
      </c>
      <c r="D46" s="89">
        <f t="shared" si="1"/>
        <v>0.026111469098594</v>
      </c>
    </row>
    <row r="47" spans="1:4">
      <c r="A47" s="90">
        <v>48</v>
      </c>
      <c r="B47" s="91">
        <v>0.12386209700615</v>
      </c>
      <c r="C47" s="89">
        <f t="shared" si="2"/>
        <v>0.100236548873495</v>
      </c>
      <c r="D47" s="89">
        <f t="shared" si="1"/>
        <v>0.023625548132655</v>
      </c>
    </row>
    <row r="48" spans="1:4">
      <c r="A48" s="90">
        <v>49</v>
      </c>
      <c r="B48" s="91">
        <v>0.100236548873495</v>
      </c>
      <c r="C48" s="89">
        <f t="shared" si="2"/>
        <v>0.077594881363247</v>
      </c>
      <c r="D48" s="89">
        <f t="shared" si="1"/>
        <v>0.022641667510248</v>
      </c>
    </row>
    <row r="49" spans="1:4">
      <c r="A49" s="90">
        <v>50</v>
      </c>
      <c r="B49" s="91">
        <v>0.077594881363247</v>
      </c>
      <c r="C49" s="89">
        <f t="shared" si="2"/>
        <v>0.0584983217754074</v>
      </c>
      <c r="D49" s="89">
        <f t="shared" si="1"/>
        <v>0.0190965595878396</v>
      </c>
    </row>
    <row r="50" spans="1:4">
      <c r="A50" s="90">
        <v>51</v>
      </c>
      <c r="B50" s="91">
        <v>0.0584983217754074</v>
      </c>
      <c r="C50" s="89">
        <f t="shared" si="2"/>
        <v>0.0419608215266636</v>
      </c>
      <c r="D50" s="89">
        <f t="shared" si="1"/>
        <v>0.0165375002487438</v>
      </c>
    </row>
    <row r="51" spans="1:4">
      <c r="A51" s="90">
        <v>52</v>
      </c>
      <c r="B51" s="91">
        <v>0.0419608215266636</v>
      </c>
      <c r="C51" s="89">
        <f t="shared" si="2"/>
        <v>0.026288707462488</v>
      </c>
      <c r="D51" s="89">
        <f t="shared" si="1"/>
        <v>0.0156721140641756</v>
      </c>
    </row>
    <row r="52" spans="1:4">
      <c r="A52" s="90">
        <v>53</v>
      </c>
      <c r="B52" s="91">
        <v>0.026288707462488</v>
      </c>
      <c r="C52" s="89">
        <f t="shared" si="2"/>
        <v>0.0128814666566191</v>
      </c>
      <c r="D52" s="89">
        <f t="shared" si="1"/>
        <v>0.0134072408058689</v>
      </c>
    </row>
    <row r="53" spans="1:4">
      <c r="A53" s="90">
        <v>54</v>
      </c>
      <c r="B53" s="91">
        <v>0.0128814666566191</v>
      </c>
      <c r="C53" s="89">
        <f t="shared" si="2"/>
        <v>0.000268363888679565</v>
      </c>
      <c r="D53" s="89">
        <f t="shared" si="1"/>
        <v>0.0126131027679395</v>
      </c>
    </row>
    <row r="54" spans="1:4">
      <c r="A54" s="90">
        <v>55</v>
      </c>
      <c r="B54" s="91">
        <v>0.000268363888679565</v>
      </c>
      <c r="C54" s="89">
        <v>0</v>
      </c>
      <c r="D54" s="89">
        <f t="shared" si="1"/>
        <v>0.000268363888679565</v>
      </c>
    </row>
  </sheetData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7"/>
  <sheetViews>
    <sheetView workbookViewId="0">
      <pane xSplit="1" ySplit="2" topLeftCell="B14" activePane="bottomRight" state="frozen"/>
      <selection/>
      <selection pane="topRight"/>
      <selection pane="bottomLeft"/>
      <selection pane="bottomRight" activeCell="AR19" sqref="AR19"/>
    </sheetView>
  </sheetViews>
  <sheetFormatPr defaultColWidth="9" defaultRowHeight="12.75"/>
  <cols>
    <col min="1" max="1" width="22.5752212389381" style="50" customWidth="1"/>
    <col min="2" max="2" width="9.13274336283186" style="50" customWidth="1"/>
    <col min="3" max="3" width="9.13274336283186" style="50"/>
    <col min="4" max="4" width="9" style="50" hidden="1" customWidth="1"/>
    <col min="5" max="8" width="9.13274336283186" style="50"/>
    <col min="9" max="9" width="9.13274336283186" style="50" hidden="1" customWidth="1"/>
    <col min="10" max="11" width="9.13274336283186" style="50"/>
    <col min="12" max="12" width="9.13274336283186" style="50" hidden="1" customWidth="1"/>
    <col min="13" max="13" width="9.13274336283186" style="50"/>
    <col min="14" max="14" width="9.13274336283186" style="50" hidden="1" customWidth="1"/>
    <col min="15" max="17" width="9.13274336283186" style="50"/>
    <col min="18" max="18" width="9.13274336283186" style="50" hidden="1" customWidth="1"/>
    <col min="19" max="22" width="9.13274336283186" style="50" customWidth="1"/>
    <col min="23" max="23" width="9.13274336283186" style="50"/>
    <col min="24" max="32" width="9.13274336283186" style="50" hidden="1" customWidth="1"/>
    <col min="33" max="33" width="9.13274336283186" style="50"/>
    <col min="34" max="34" width="22.5752212389381" style="50" customWidth="1"/>
    <col min="35" max="52" width="9.70796460176991" style="50" customWidth="1"/>
    <col min="53" max="16384" width="9.13274336283186" style="50"/>
  </cols>
  <sheetData>
    <row r="1" s="48" customFormat="1" spans="1:52">
      <c r="A1" s="51"/>
      <c r="B1" s="51"/>
      <c r="C1" s="51" t="s">
        <v>157</v>
      </c>
      <c r="D1" s="51" t="s">
        <v>2319</v>
      </c>
      <c r="E1" s="51" t="s">
        <v>161</v>
      </c>
      <c r="F1" s="51" t="s">
        <v>159</v>
      </c>
      <c r="G1" s="51" t="s">
        <v>171</v>
      </c>
      <c r="H1" s="51" t="s">
        <v>165</v>
      </c>
      <c r="I1" s="51" t="s">
        <v>2320</v>
      </c>
      <c r="J1" s="51" t="s">
        <v>2321</v>
      </c>
      <c r="K1" s="51" t="s">
        <v>162</v>
      </c>
      <c r="L1" s="51" t="s">
        <v>2322</v>
      </c>
      <c r="M1" s="51" t="s">
        <v>2323</v>
      </c>
      <c r="N1" s="51" t="s">
        <v>2324</v>
      </c>
      <c r="O1" s="51" t="s">
        <v>2325</v>
      </c>
      <c r="P1" s="51" t="s">
        <v>167</v>
      </c>
      <c r="R1" s="51"/>
      <c r="S1" s="51" t="s">
        <v>157</v>
      </c>
      <c r="T1" s="51" t="s">
        <v>2319</v>
      </c>
      <c r="U1" s="51" t="s">
        <v>161</v>
      </c>
      <c r="V1" s="51" t="s">
        <v>159</v>
      </c>
      <c r="W1" s="51" t="s">
        <v>171</v>
      </c>
      <c r="X1" s="51" t="s">
        <v>165</v>
      </c>
      <c r="Y1" s="51" t="s">
        <v>2320</v>
      </c>
      <c r="Z1" s="51" t="s">
        <v>2321</v>
      </c>
      <c r="AA1" s="51" t="s">
        <v>162</v>
      </c>
      <c r="AB1" s="51" t="s">
        <v>2322</v>
      </c>
      <c r="AC1" s="51" t="s">
        <v>2323</v>
      </c>
      <c r="AD1" s="51" t="s">
        <v>2324</v>
      </c>
      <c r="AE1" s="51" t="s">
        <v>2325</v>
      </c>
      <c r="AF1" s="51" t="s">
        <v>167</v>
      </c>
      <c r="AH1" s="51"/>
      <c r="AI1" s="52" t="s">
        <v>2326</v>
      </c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4"/>
    </row>
    <row r="2" s="49" customFormat="1" ht="38.25" spans="1:52">
      <c r="A2" s="55" t="s">
        <v>172</v>
      </c>
      <c r="B2" s="56" t="s">
        <v>152</v>
      </c>
      <c r="C2" s="56" t="s">
        <v>146</v>
      </c>
      <c r="D2" s="56" t="s">
        <v>147</v>
      </c>
      <c r="E2" s="56" t="s">
        <v>148</v>
      </c>
      <c r="F2" s="56" t="s">
        <v>150</v>
      </c>
      <c r="G2" s="56" t="s">
        <v>2327</v>
      </c>
      <c r="H2" s="56" t="s">
        <v>2328</v>
      </c>
      <c r="I2" s="56" t="s">
        <v>2329</v>
      </c>
      <c r="J2" s="56" t="s">
        <v>2330</v>
      </c>
      <c r="K2" s="56" t="s">
        <v>2331</v>
      </c>
      <c r="L2" s="56" t="s">
        <v>2332</v>
      </c>
      <c r="M2" s="56" t="s">
        <v>2333</v>
      </c>
      <c r="N2" s="56" t="s">
        <v>2334</v>
      </c>
      <c r="O2" s="56" t="s">
        <v>2335</v>
      </c>
      <c r="P2" s="56" t="s">
        <v>2336</v>
      </c>
      <c r="R2" s="56" t="s">
        <v>152</v>
      </c>
      <c r="S2" s="56" t="s">
        <v>146</v>
      </c>
      <c r="T2" s="56" t="s">
        <v>147</v>
      </c>
      <c r="U2" s="56" t="s">
        <v>148</v>
      </c>
      <c r="V2" s="56" t="s">
        <v>150</v>
      </c>
      <c r="W2" s="56" t="s">
        <v>2327</v>
      </c>
      <c r="X2" s="56" t="s">
        <v>2328</v>
      </c>
      <c r="Y2" s="56" t="s">
        <v>2329</v>
      </c>
      <c r="Z2" s="56" t="s">
        <v>2330</v>
      </c>
      <c r="AA2" s="56" t="s">
        <v>2331</v>
      </c>
      <c r="AB2" s="56" t="s">
        <v>2332</v>
      </c>
      <c r="AC2" s="56" t="s">
        <v>2333</v>
      </c>
      <c r="AD2" s="56" t="s">
        <v>2334</v>
      </c>
      <c r="AE2" s="56" t="s">
        <v>2335</v>
      </c>
      <c r="AF2" s="56" t="s">
        <v>2336</v>
      </c>
      <c r="AH2" s="57" t="s">
        <v>172</v>
      </c>
      <c r="AI2" s="56" t="s">
        <v>152</v>
      </c>
      <c r="AJ2" s="56" t="s">
        <v>146</v>
      </c>
      <c r="AK2" s="56" t="s">
        <v>147</v>
      </c>
      <c r="AL2" s="56" t="s">
        <v>148</v>
      </c>
      <c r="AM2" s="56" t="s">
        <v>150</v>
      </c>
      <c r="AN2" s="56" t="s">
        <v>2327</v>
      </c>
      <c r="AO2" s="56" t="s">
        <v>149</v>
      </c>
      <c r="AP2" s="56" t="s">
        <v>152</v>
      </c>
      <c r="AQ2" s="56" t="s">
        <v>2328</v>
      </c>
      <c r="AR2" s="56" t="s">
        <v>2329</v>
      </c>
      <c r="AS2" s="56" t="s">
        <v>2330</v>
      </c>
      <c r="AT2" s="56" t="s">
        <v>149</v>
      </c>
      <c r="AU2" s="56" t="s">
        <v>2331</v>
      </c>
      <c r="AV2" s="56" t="s">
        <v>2332</v>
      </c>
      <c r="AW2" s="56" t="s">
        <v>2333</v>
      </c>
      <c r="AX2" s="56" t="s">
        <v>2334</v>
      </c>
      <c r="AY2" s="56" t="s">
        <v>2335</v>
      </c>
      <c r="AZ2" s="56" t="s">
        <v>2336</v>
      </c>
    </row>
    <row r="3" ht="24" customHeight="1" spans="1:52">
      <c r="A3" s="55"/>
      <c r="B3" s="58" t="s">
        <v>2337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  <c r="R3" s="58" t="s">
        <v>2338</v>
      </c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H3" s="61"/>
      <c r="AI3" s="55" t="s">
        <v>2339</v>
      </c>
      <c r="AJ3" s="55" t="s">
        <v>2339</v>
      </c>
      <c r="AK3" s="55" t="s">
        <v>2339</v>
      </c>
      <c r="AL3" s="55" t="s">
        <v>2339</v>
      </c>
      <c r="AM3" s="55" t="s">
        <v>2339</v>
      </c>
      <c r="AN3" s="55" t="s">
        <v>2339</v>
      </c>
      <c r="AO3" s="55" t="s">
        <v>2340</v>
      </c>
      <c r="AP3" s="55" t="s">
        <v>2339</v>
      </c>
      <c r="AQ3" s="55" t="s">
        <v>2339</v>
      </c>
      <c r="AR3" s="55" t="s">
        <v>2339</v>
      </c>
      <c r="AS3" s="55" t="s">
        <v>2339</v>
      </c>
      <c r="AT3" s="55" t="s">
        <v>2340</v>
      </c>
      <c r="AU3" s="55" t="s">
        <v>2339</v>
      </c>
      <c r="AV3" s="55" t="s">
        <v>2339</v>
      </c>
      <c r="AW3" s="55" t="s">
        <v>2339</v>
      </c>
      <c r="AX3" s="55" t="s">
        <v>2339</v>
      </c>
      <c r="AY3" s="55" t="s">
        <v>2339</v>
      </c>
      <c r="AZ3" s="55" t="s">
        <v>2339</v>
      </c>
    </row>
    <row r="4" spans="1:52">
      <c r="A4" s="62" t="s">
        <v>80</v>
      </c>
      <c r="B4" s="63">
        <f t="shared" ref="B4:B35" si="0">AI4-AI38</f>
        <v>72726</v>
      </c>
      <c r="C4" s="63">
        <f t="shared" ref="C4:C35" si="1">AJ4-AJ38</f>
        <v>5887</v>
      </c>
      <c r="D4" s="63">
        <f>AK4-AK38+SUM('06-23Closure'!P3:T3)</f>
        <v>28768.8</v>
      </c>
      <c r="E4" s="63">
        <f t="shared" ref="E4:E35" si="2">AL4-AL38</f>
        <v>1962</v>
      </c>
      <c r="F4" s="63">
        <f t="shared" ref="F4:F35" si="3">AM4-AM38</f>
        <v>18124</v>
      </c>
      <c r="G4" s="63">
        <f t="shared" ref="G4:G35" si="4">AN4-AN38</f>
        <v>23023</v>
      </c>
      <c r="H4" s="63">
        <f>AQ4-AQ38+SUM('06-23Closure'!P3:T3)+J4</f>
        <v>21386.8</v>
      </c>
      <c r="I4" s="63">
        <f t="shared" ref="I4:I35" si="5">AR4-AR38</f>
        <v>3883</v>
      </c>
      <c r="J4" s="63">
        <f t="shared" ref="J4:J35" si="6">AS4-AS38</f>
        <v>-45</v>
      </c>
      <c r="K4" s="63">
        <f>L4+N4</f>
        <v>847</v>
      </c>
      <c r="L4" s="63">
        <f t="shared" ref="L4:L35" si="7">AV4-AV38</f>
        <v>66</v>
      </c>
      <c r="M4" s="63">
        <f t="shared" ref="M4:M35" si="8">AW4-AW38</f>
        <v>1563</v>
      </c>
      <c r="N4" s="63">
        <f t="shared" ref="N4:N35" si="9">AX4-AX38</f>
        <v>781</v>
      </c>
      <c r="O4" s="63">
        <f t="shared" ref="O4:O35" si="10">AY4-AY38</f>
        <v>1868</v>
      </c>
      <c r="P4" s="63">
        <f t="shared" ref="P4:P35" si="11">AZ4-AZ38</f>
        <v>3817</v>
      </c>
      <c r="R4" s="63">
        <f t="shared" ref="R4:R35" si="12">AI38-AI106</f>
        <v>93229</v>
      </c>
      <c r="S4" s="63">
        <f>AJ38-AJ106+'06-23Closure'!D3</f>
        <v>18426.047</v>
      </c>
      <c r="T4" s="63">
        <f>AK38-AK106+SUM('06-23Closure'!G3:O3)</f>
        <v>60401.3979</v>
      </c>
      <c r="U4" s="63">
        <f t="shared" ref="U4:U35" si="13">AL38-AL106</f>
        <v>2479</v>
      </c>
      <c r="V4" s="63">
        <f t="shared" ref="V4:V35" si="14">AM38-AM106</f>
        <v>14327</v>
      </c>
      <c r="W4" s="63">
        <f>AN38</f>
        <v>7631</v>
      </c>
      <c r="X4" s="63"/>
      <c r="Y4" s="63"/>
      <c r="Z4" s="63"/>
      <c r="AA4" s="63"/>
      <c r="AB4" s="63"/>
      <c r="AC4" s="63"/>
      <c r="AD4" s="63"/>
      <c r="AE4" s="63"/>
      <c r="AF4" s="63"/>
      <c r="AH4" s="62" t="s">
        <v>80</v>
      </c>
      <c r="AI4" s="55">
        <v>237777</v>
      </c>
      <c r="AJ4" s="55">
        <v>39094</v>
      </c>
      <c r="AK4" s="55">
        <v>129739</v>
      </c>
      <c r="AL4" s="55">
        <v>5326</v>
      </c>
      <c r="AM4" s="55">
        <v>32871</v>
      </c>
      <c r="AN4" s="55">
        <v>30654</v>
      </c>
      <c r="AO4" s="55">
        <v>94</v>
      </c>
      <c r="AP4" s="64">
        <v>129739</v>
      </c>
      <c r="AQ4" s="64">
        <v>110962</v>
      </c>
      <c r="AR4" s="64">
        <v>10894</v>
      </c>
      <c r="AS4" s="64">
        <v>165</v>
      </c>
      <c r="AT4" s="64">
        <v>7718</v>
      </c>
      <c r="AU4" s="64">
        <v>3807</v>
      </c>
      <c r="AV4" s="65">
        <v>111</v>
      </c>
      <c r="AW4" s="64">
        <v>2139</v>
      </c>
      <c r="AX4" s="64">
        <v>1557</v>
      </c>
      <c r="AY4" s="66">
        <f t="shared" ref="AY4:AY35" si="15">MAX(AT4-AU4+AX4,0)</f>
        <v>5468</v>
      </c>
      <c r="AZ4" s="67">
        <f t="shared" ref="AZ4:AZ35" si="16">AR4-AV4</f>
        <v>10783</v>
      </c>
    </row>
    <row r="5" spans="1:52">
      <c r="A5" s="68" t="s">
        <v>82</v>
      </c>
      <c r="B5" s="63">
        <f t="shared" si="0"/>
        <v>237</v>
      </c>
      <c r="C5" s="63">
        <f t="shared" si="1"/>
        <v>1</v>
      </c>
      <c r="D5" s="63">
        <f>AK5-AK39+SUM('06-23Closure'!P4:T4)</f>
        <v>166</v>
      </c>
      <c r="E5" s="63">
        <f t="shared" si="2"/>
        <v>0</v>
      </c>
      <c r="F5" s="63">
        <f t="shared" si="3"/>
        <v>5</v>
      </c>
      <c r="G5" s="63">
        <f t="shared" si="4"/>
        <v>65</v>
      </c>
      <c r="H5" s="63">
        <f>AQ5-AQ39+SUM('06-23Closure'!P4:T4)+J5</f>
        <v>-8</v>
      </c>
      <c r="I5" s="63">
        <f t="shared" si="5"/>
        <v>150</v>
      </c>
      <c r="J5" s="63">
        <f t="shared" si="6"/>
        <v>0</v>
      </c>
      <c r="K5" s="63">
        <f t="shared" ref="K5:K35" si="17">L5+N5</f>
        <v>1</v>
      </c>
      <c r="L5" s="63">
        <f t="shared" si="7"/>
        <v>1</v>
      </c>
      <c r="M5" s="63">
        <f t="shared" si="8"/>
        <v>24</v>
      </c>
      <c r="N5" s="63">
        <f t="shared" si="9"/>
        <v>0</v>
      </c>
      <c r="O5" s="63">
        <f t="shared" si="10"/>
        <v>-1</v>
      </c>
      <c r="P5" s="63">
        <f t="shared" si="11"/>
        <v>149</v>
      </c>
      <c r="R5" s="63">
        <f t="shared" si="12"/>
        <v>608</v>
      </c>
      <c r="S5" s="63">
        <f>AJ39-AJ107+'06-23Closure'!D4</f>
        <v>-7</v>
      </c>
      <c r="T5" s="63">
        <f>AK39-AK107+SUM('06-23Closure'!G4:O4)</f>
        <v>795.11</v>
      </c>
      <c r="U5" s="63">
        <f t="shared" si="13"/>
        <v>0</v>
      </c>
      <c r="V5" s="63">
        <f t="shared" si="14"/>
        <v>19</v>
      </c>
      <c r="W5" s="63">
        <f t="shared" ref="W5:W35" si="18">AN39</f>
        <v>15</v>
      </c>
      <c r="X5" s="63"/>
      <c r="Y5" s="63"/>
      <c r="Z5" s="63"/>
      <c r="AA5" s="63"/>
      <c r="AB5" s="63"/>
      <c r="AC5" s="63"/>
      <c r="AD5" s="63"/>
      <c r="AE5" s="63"/>
      <c r="AF5" s="63"/>
      <c r="AH5" s="68" t="s">
        <v>82</v>
      </c>
      <c r="AI5" s="55">
        <v>1340</v>
      </c>
      <c r="AJ5" s="55">
        <v>99</v>
      </c>
      <c r="AK5" s="55">
        <v>1137</v>
      </c>
      <c r="AL5" s="55"/>
      <c r="AM5" s="55">
        <v>24</v>
      </c>
      <c r="AN5" s="55">
        <v>80</v>
      </c>
      <c r="AO5" s="55"/>
      <c r="AP5" s="64">
        <v>1137</v>
      </c>
      <c r="AQ5" s="64">
        <v>77</v>
      </c>
      <c r="AR5" s="64">
        <v>1000</v>
      </c>
      <c r="AS5" s="64">
        <v>22</v>
      </c>
      <c r="AT5" s="64">
        <v>38</v>
      </c>
      <c r="AU5" s="64">
        <v>39</v>
      </c>
      <c r="AV5" s="65">
        <v>2</v>
      </c>
      <c r="AW5" s="64">
        <v>37</v>
      </c>
      <c r="AX5" s="64"/>
      <c r="AY5" s="66">
        <f t="shared" si="15"/>
        <v>0</v>
      </c>
      <c r="AZ5" s="67">
        <f t="shared" si="16"/>
        <v>998</v>
      </c>
    </row>
    <row r="6" spans="1:52">
      <c r="A6" s="68" t="s">
        <v>84</v>
      </c>
      <c r="B6" s="63">
        <f t="shared" si="0"/>
        <v>725</v>
      </c>
      <c r="C6" s="63">
        <f t="shared" si="1"/>
        <v>0</v>
      </c>
      <c r="D6" s="63">
        <f>AK6-AK40+SUM('06-23Closure'!P5:T5)</f>
        <v>687.3</v>
      </c>
      <c r="E6" s="63">
        <f t="shared" si="2"/>
        <v>0</v>
      </c>
      <c r="F6" s="63">
        <f t="shared" si="3"/>
        <v>101</v>
      </c>
      <c r="G6" s="63">
        <f t="shared" si="4"/>
        <v>118</v>
      </c>
      <c r="H6" s="63">
        <f>AQ6-AQ40+SUM('06-23Closure'!P5:T5)+J6</f>
        <v>347.3</v>
      </c>
      <c r="I6" s="63">
        <f t="shared" si="5"/>
        <v>287</v>
      </c>
      <c r="J6" s="63">
        <f t="shared" si="6"/>
        <v>18</v>
      </c>
      <c r="K6" s="63">
        <f t="shared" si="17"/>
        <v>4</v>
      </c>
      <c r="L6" s="63">
        <f t="shared" si="7"/>
        <v>0</v>
      </c>
      <c r="M6" s="63">
        <f t="shared" si="8"/>
        <v>31</v>
      </c>
      <c r="N6" s="63">
        <f t="shared" si="9"/>
        <v>4</v>
      </c>
      <c r="O6" s="63">
        <f t="shared" si="10"/>
        <v>22</v>
      </c>
      <c r="P6" s="63">
        <f t="shared" si="11"/>
        <v>287</v>
      </c>
      <c r="R6" s="63">
        <f t="shared" si="12"/>
        <v>774</v>
      </c>
      <c r="S6" s="63">
        <f>AJ40-AJ108+'06-23Closure'!D5</f>
        <v>0</v>
      </c>
      <c r="T6" s="63">
        <f>AK40-AK108+SUM('06-23Closure'!G5:O5)</f>
        <v>916</v>
      </c>
      <c r="U6" s="63">
        <f t="shared" si="13"/>
        <v>0</v>
      </c>
      <c r="V6" s="63">
        <f t="shared" si="14"/>
        <v>29</v>
      </c>
      <c r="W6" s="63">
        <f t="shared" si="18"/>
        <v>60</v>
      </c>
      <c r="X6" s="63"/>
      <c r="Y6" s="63"/>
      <c r="Z6" s="63"/>
      <c r="AA6" s="63"/>
      <c r="AB6" s="63"/>
      <c r="AC6" s="63"/>
      <c r="AD6" s="63"/>
      <c r="AE6" s="63"/>
      <c r="AF6" s="63"/>
      <c r="AH6" s="68" t="s">
        <v>84</v>
      </c>
      <c r="AI6" s="55">
        <v>2192</v>
      </c>
      <c r="AJ6" s="55">
        <v>1</v>
      </c>
      <c r="AK6" s="55">
        <v>1884</v>
      </c>
      <c r="AL6" s="55"/>
      <c r="AM6" s="55">
        <v>130</v>
      </c>
      <c r="AN6" s="55">
        <v>178</v>
      </c>
      <c r="AO6" s="55"/>
      <c r="AP6" s="64">
        <v>1884</v>
      </c>
      <c r="AQ6" s="64">
        <v>1224</v>
      </c>
      <c r="AR6" s="64">
        <v>564</v>
      </c>
      <c r="AS6" s="69">
        <v>18</v>
      </c>
      <c r="AT6" s="64">
        <v>77</v>
      </c>
      <c r="AU6" s="64">
        <v>44</v>
      </c>
      <c r="AV6" s="65"/>
      <c r="AW6" s="64">
        <v>41</v>
      </c>
      <c r="AX6" s="69">
        <v>4</v>
      </c>
      <c r="AY6" s="66">
        <f t="shared" si="15"/>
        <v>37</v>
      </c>
      <c r="AZ6" s="67">
        <f t="shared" si="16"/>
        <v>564</v>
      </c>
    </row>
    <row r="7" spans="1:52">
      <c r="A7" s="68" t="s">
        <v>86</v>
      </c>
      <c r="B7" s="63">
        <f t="shared" si="0"/>
        <v>4803</v>
      </c>
      <c r="C7" s="63">
        <f t="shared" si="1"/>
        <v>0</v>
      </c>
      <c r="D7" s="63">
        <f>AK7-AK41+SUM('06-23Closure'!P6:T6)</f>
        <v>1161</v>
      </c>
      <c r="E7" s="63">
        <f t="shared" si="2"/>
        <v>0</v>
      </c>
      <c r="F7" s="63">
        <f t="shared" si="3"/>
        <v>1408</v>
      </c>
      <c r="G7" s="63">
        <f t="shared" si="4"/>
        <v>2478</v>
      </c>
      <c r="H7" s="63">
        <f>AQ7-AQ41+SUM('06-23Closure'!P6:T6)+J7</f>
        <v>884</v>
      </c>
      <c r="I7" s="63">
        <f t="shared" si="5"/>
        <v>89</v>
      </c>
      <c r="J7" s="63">
        <f t="shared" si="6"/>
        <v>0</v>
      </c>
      <c r="K7" s="63">
        <f t="shared" si="17"/>
        <v>34</v>
      </c>
      <c r="L7" s="63">
        <f t="shared" si="7"/>
        <v>1</v>
      </c>
      <c r="M7" s="63">
        <f t="shared" si="8"/>
        <v>121</v>
      </c>
      <c r="N7" s="63">
        <f t="shared" si="9"/>
        <v>33</v>
      </c>
      <c r="O7" s="63">
        <f t="shared" si="10"/>
        <v>64</v>
      </c>
      <c r="P7" s="63">
        <f t="shared" si="11"/>
        <v>88</v>
      </c>
      <c r="R7" s="63">
        <f t="shared" si="12"/>
        <v>3254</v>
      </c>
      <c r="S7" s="63">
        <f>AJ41-AJ109+'06-23Closure'!D6</f>
        <v>104</v>
      </c>
      <c r="T7" s="63">
        <f>AK41-AK109+SUM('06-23Closure'!G6:O6)</f>
        <v>2088.87</v>
      </c>
      <c r="U7" s="63">
        <f t="shared" si="13"/>
        <v>0</v>
      </c>
      <c r="V7" s="63">
        <f t="shared" si="14"/>
        <v>1097</v>
      </c>
      <c r="W7" s="63">
        <f t="shared" si="18"/>
        <v>443</v>
      </c>
      <c r="X7" s="63"/>
      <c r="Y7" s="63"/>
      <c r="Z7" s="63"/>
      <c r="AA7" s="63"/>
      <c r="AB7" s="63"/>
      <c r="AC7" s="63"/>
      <c r="AD7" s="63"/>
      <c r="AE7" s="63"/>
      <c r="AF7" s="63"/>
      <c r="AH7" s="68" t="s">
        <v>86</v>
      </c>
      <c r="AI7" s="55">
        <v>11078</v>
      </c>
      <c r="AJ7" s="55">
        <v>182</v>
      </c>
      <c r="AK7" s="55">
        <v>5424</v>
      </c>
      <c r="AL7" s="55"/>
      <c r="AM7" s="55">
        <v>2546</v>
      </c>
      <c r="AN7" s="55">
        <v>2921</v>
      </c>
      <c r="AO7" s="55">
        <v>4</v>
      </c>
      <c r="AP7" s="64">
        <v>5424</v>
      </c>
      <c r="AQ7" s="64">
        <v>4888</v>
      </c>
      <c r="AR7" s="64">
        <v>92</v>
      </c>
      <c r="AS7" s="69"/>
      <c r="AT7" s="64">
        <v>443</v>
      </c>
      <c r="AU7" s="64">
        <v>210</v>
      </c>
      <c r="AV7" s="65">
        <v>2</v>
      </c>
      <c r="AW7" s="64">
        <v>137</v>
      </c>
      <c r="AX7" s="69">
        <v>71</v>
      </c>
      <c r="AY7" s="66">
        <f t="shared" si="15"/>
        <v>304</v>
      </c>
      <c r="AZ7" s="67">
        <f t="shared" si="16"/>
        <v>90</v>
      </c>
    </row>
    <row r="8" spans="1:52">
      <c r="A8" s="68" t="s">
        <v>88</v>
      </c>
      <c r="B8" s="63">
        <f t="shared" si="0"/>
        <v>3698</v>
      </c>
      <c r="C8" s="63">
        <f t="shared" si="1"/>
        <v>-20</v>
      </c>
      <c r="D8" s="63">
        <f>AK8-AK42+SUM('06-23Closure'!P7:T7)</f>
        <v>1716</v>
      </c>
      <c r="E8" s="63">
        <f t="shared" si="2"/>
        <v>0</v>
      </c>
      <c r="F8" s="63">
        <f t="shared" si="3"/>
        <v>1352</v>
      </c>
      <c r="G8" s="63">
        <f t="shared" si="4"/>
        <v>1161</v>
      </c>
      <c r="H8" s="63">
        <f>AQ8-AQ42+SUM('06-23Closure'!P7:T7)+J8</f>
        <v>1393</v>
      </c>
      <c r="I8" s="63">
        <f t="shared" si="5"/>
        <v>68</v>
      </c>
      <c r="J8" s="63">
        <f t="shared" si="6"/>
        <v>0</v>
      </c>
      <c r="K8" s="63">
        <f t="shared" si="17"/>
        <v>20</v>
      </c>
      <c r="L8" s="63">
        <f t="shared" si="7"/>
        <v>-14</v>
      </c>
      <c r="M8" s="63">
        <f t="shared" si="8"/>
        <v>21</v>
      </c>
      <c r="N8" s="63">
        <f t="shared" si="9"/>
        <v>34</v>
      </c>
      <c r="O8" s="63">
        <f t="shared" si="10"/>
        <v>249</v>
      </c>
      <c r="P8" s="63">
        <f t="shared" si="11"/>
        <v>82</v>
      </c>
      <c r="R8" s="63">
        <f t="shared" si="12"/>
        <v>4466</v>
      </c>
      <c r="S8" s="63">
        <f>AJ42-AJ110+'06-23Closure'!D7</f>
        <v>165.941</v>
      </c>
      <c r="T8" s="63">
        <f>AK42-AK110+SUM('06-23Closure'!G7:O7)</f>
        <v>3782.527</v>
      </c>
      <c r="U8" s="63">
        <f t="shared" si="13"/>
        <v>0</v>
      </c>
      <c r="V8" s="63">
        <f t="shared" si="14"/>
        <v>771</v>
      </c>
      <c r="W8" s="63">
        <f t="shared" si="18"/>
        <v>297</v>
      </c>
      <c r="X8" s="63"/>
      <c r="Y8" s="63"/>
      <c r="Z8" s="63"/>
      <c r="AA8" s="63"/>
      <c r="AB8" s="63"/>
      <c r="AC8" s="63"/>
      <c r="AD8" s="63"/>
      <c r="AE8" s="63"/>
      <c r="AF8" s="63"/>
      <c r="AH8" s="68" t="s">
        <v>88</v>
      </c>
      <c r="AI8" s="55">
        <v>11338</v>
      </c>
      <c r="AJ8" s="55">
        <v>224</v>
      </c>
      <c r="AK8" s="55">
        <v>7533</v>
      </c>
      <c r="AL8" s="55"/>
      <c r="AM8" s="55">
        <v>2123</v>
      </c>
      <c r="AN8" s="55">
        <v>1458</v>
      </c>
      <c r="AO8" s="55"/>
      <c r="AP8" s="64">
        <v>7533</v>
      </c>
      <c r="AQ8" s="64">
        <v>6884</v>
      </c>
      <c r="AR8" s="64">
        <v>347</v>
      </c>
      <c r="AS8" s="69"/>
      <c r="AT8" s="64">
        <v>302</v>
      </c>
      <c r="AU8" s="64">
        <v>85</v>
      </c>
      <c r="AV8" s="65">
        <v>1</v>
      </c>
      <c r="AW8" s="64">
        <v>32</v>
      </c>
      <c r="AX8" s="69">
        <v>53</v>
      </c>
      <c r="AY8" s="66">
        <f t="shared" si="15"/>
        <v>270</v>
      </c>
      <c r="AZ8" s="67">
        <f t="shared" si="16"/>
        <v>346</v>
      </c>
    </row>
    <row r="9" spans="1:52">
      <c r="A9" s="68" t="s">
        <v>90</v>
      </c>
      <c r="B9" s="63">
        <f t="shared" si="0"/>
        <v>4442</v>
      </c>
      <c r="C9" s="63">
        <f t="shared" si="1"/>
        <v>0</v>
      </c>
      <c r="D9" s="63">
        <f>AK9-AK43+SUM('06-23Closure'!P8:T8)</f>
        <v>2264</v>
      </c>
      <c r="E9" s="63">
        <f t="shared" si="2"/>
        <v>0</v>
      </c>
      <c r="F9" s="63">
        <f t="shared" si="3"/>
        <v>1439</v>
      </c>
      <c r="G9" s="63">
        <f t="shared" si="4"/>
        <v>774</v>
      </c>
      <c r="H9" s="63">
        <f>AQ9-AQ43+SUM('06-23Closure'!P8:T8)+J9</f>
        <v>2117</v>
      </c>
      <c r="I9" s="63">
        <f t="shared" si="5"/>
        <v>64</v>
      </c>
      <c r="J9" s="63">
        <f t="shared" si="6"/>
        <v>0</v>
      </c>
      <c r="K9" s="63">
        <f t="shared" si="17"/>
        <v>17.3</v>
      </c>
      <c r="L9" s="63">
        <f t="shared" si="7"/>
        <v>0.3</v>
      </c>
      <c r="M9" s="63">
        <f t="shared" si="8"/>
        <v>5</v>
      </c>
      <c r="N9" s="63">
        <f t="shared" si="9"/>
        <v>17</v>
      </c>
      <c r="O9" s="63">
        <f t="shared" si="10"/>
        <v>78</v>
      </c>
      <c r="P9" s="63">
        <f t="shared" si="11"/>
        <v>63.7</v>
      </c>
      <c r="R9" s="63">
        <f t="shared" si="12"/>
        <v>6866</v>
      </c>
      <c r="S9" s="63">
        <f>AJ43-AJ111+'06-23Closure'!D8</f>
        <v>158</v>
      </c>
      <c r="T9" s="63">
        <f>AK43-AK111+SUM('06-23Closure'!G8:O8)</f>
        <v>3818</v>
      </c>
      <c r="U9" s="63">
        <f t="shared" si="13"/>
        <v>0</v>
      </c>
      <c r="V9" s="63">
        <f t="shared" si="14"/>
        <v>2449</v>
      </c>
      <c r="W9" s="63">
        <f t="shared" si="18"/>
        <v>638</v>
      </c>
      <c r="X9" s="63"/>
      <c r="Y9" s="63"/>
      <c r="Z9" s="63"/>
      <c r="AA9" s="63"/>
      <c r="AB9" s="63"/>
      <c r="AC9" s="63"/>
      <c r="AD9" s="63"/>
      <c r="AE9" s="63"/>
      <c r="AF9" s="63"/>
      <c r="AH9" s="68" t="s">
        <v>90</v>
      </c>
      <c r="AI9" s="55">
        <v>15487</v>
      </c>
      <c r="AJ9" s="55">
        <v>241</v>
      </c>
      <c r="AK9" s="55">
        <v>9834</v>
      </c>
      <c r="AL9" s="55"/>
      <c r="AM9" s="55">
        <v>3996</v>
      </c>
      <c r="AN9" s="55">
        <v>1412</v>
      </c>
      <c r="AO9" s="55">
        <v>3</v>
      </c>
      <c r="AP9" s="64">
        <v>9834</v>
      </c>
      <c r="AQ9" s="64">
        <v>9620</v>
      </c>
      <c r="AR9" s="64">
        <v>106</v>
      </c>
      <c r="AS9" s="69"/>
      <c r="AT9" s="64">
        <v>108</v>
      </c>
      <c r="AU9" s="64">
        <v>38</v>
      </c>
      <c r="AV9" s="65">
        <v>0.3</v>
      </c>
      <c r="AW9" s="64">
        <v>9</v>
      </c>
      <c r="AX9" s="69">
        <v>29</v>
      </c>
      <c r="AY9" s="66">
        <f t="shared" si="15"/>
        <v>99</v>
      </c>
      <c r="AZ9" s="67">
        <f t="shared" si="16"/>
        <v>105.7</v>
      </c>
    </row>
    <row r="10" spans="1:52">
      <c r="A10" s="68" t="s">
        <v>92</v>
      </c>
      <c r="B10" s="63">
        <f t="shared" si="0"/>
        <v>1563</v>
      </c>
      <c r="C10" s="63">
        <f t="shared" si="1"/>
        <v>12</v>
      </c>
      <c r="D10" s="63">
        <f>AK10-AK44+SUM('06-23Closure'!P9:T9)</f>
        <v>677</v>
      </c>
      <c r="E10" s="63">
        <f t="shared" si="2"/>
        <v>110</v>
      </c>
      <c r="F10" s="63">
        <f t="shared" si="3"/>
        <v>392</v>
      </c>
      <c r="G10" s="63">
        <f t="shared" si="4"/>
        <v>426</v>
      </c>
      <c r="H10" s="63">
        <f>AQ10-AQ44+SUM('06-23Closure'!P9:T9)+J10</f>
        <v>580</v>
      </c>
      <c r="I10" s="63">
        <f t="shared" si="5"/>
        <v>-1</v>
      </c>
      <c r="J10" s="63">
        <f t="shared" si="6"/>
        <v>0</v>
      </c>
      <c r="K10" s="63">
        <f t="shared" si="17"/>
        <v>28</v>
      </c>
      <c r="L10" s="63">
        <f t="shared" si="7"/>
        <v>3</v>
      </c>
      <c r="M10" s="63">
        <f t="shared" si="8"/>
        <v>40</v>
      </c>
      <c r="N10" s="63">
        <f t="shared" si="9"/>
        <v>25</v>
      </c>
      <c r="O10" s="63">
        <f t="shared" si="10"/>
        <v>54</v>
      </c>
      <c r="P10" s="63">
        <f t="shared" si="11"/>
        <v>-4</v>
      </c>
      <c r="R10" s="63">
        <f t="shared" si="12"/>
        <v>2451</v>
      </c>
      <c r="S10" s="63">
        <f>AJ44-AJ112+'06-23Closure'!D9</f>
        <v>152</v>
      </c>
      <c r="T10" s="63">
        <f>AK44-AK112+SUM('06-23Closure'!G9:O9)</f>
        <v>1555.1594</v>
      </c>
      <c r="U10" s="63">
        <f t="shared" si="13"/>
        <v>448</v>
      </c>
      <c r="V10" s="63">
        <f t="shared" si="14"/>
        <v>660</v>
      </c>
      <c r="W10" s="63">
        <f t="shared" si="18"/>
        <v>52</v>
      </c>
      <c r="X10" s="63"/>
      <c r="Y10" s="63"/>
      <c r="Z10" s="63"/>
      <c r="AA10" s="63"/>
      <c r="AB10" s="63"/>
      <c r="AC10" s="63"/>
      <c r="AD10" s="63"/>
      <c r="AE10" s="63"/>
      <c r="AF10" s="63"/>
      <c r="AH10" s="68" t="s">
        <v>92</v>
      </c>
      <c r="AI10" s="55">
        <v>6164</v>
      </c>
      <c r="AJ10" s="55">
        <v>305</v>
      </c>
      <c r="AK10" s="55">
        <v>3737</v>
      </c>
      <c r="AL10" s="55">
        <v>558</v>
      </c>
      <c r="AM10" s="55">
        <v>1087</v>
      </c>
      <c r="AN10" s="55">
        <v>478</v>
      </c>
      <c r="AO10" s="55"/>
      <c r="AP10" s="64">
        <v>3737</v>
      </c>
      <c r="AQ10" s="64">
        <v>3550</v>
      </c>
      <c r="AR10" s="64">
        <v>3</v>
      </c>
      <c r="AS10" s="64">
        <v>15</v>
      </c>
      <c r="AT10" s="64">
        <v>169</v>
      </c>
      <c r="AU10" s="64">
        <v>76</v>
      </c>
      <c r="AV10" s="65">
        <v>3</v>
      </c>
      <c r="AW10" s="64">
        <v>43</v>
      </c>
      <c r="AX10" s="64">
        <v>30</v>
      </c>
      <c r="AY10" s="66">
        <f t="shared" si="15"/>
        <v>123</v>
      </c>
      <c r="AZ10" s="67">
        <f t="shared" si="16"/>
        <v>0</v>
      </c>
    </row>
    <row r="11" spans="1:52">
      <c r="A11" s="68" t="s">
        <v>94</v>
      </c>
      <c r="B11" s="63">
        <f t="shared" si="0"/>
        <v>769</v>
      </c>
      <c r="C11" s="63">
        <f t="shared" si="1"/>
        <v>241</v>
      </c>
      <c r="D11" s="63">
        <f>AK11-AK45+SUM('06-23Closure'!P10:T10)</f>
        <v>164</v>
      </c>
      <c r="E11" s="63">
        <f t="shared" si="2"/>
        <v>0</v>
      </c>
      <c r="F11" s="63">
        <f t="shared" si="3"/>
        <v>160</v>
      </c>
      <c r="G11" s="63">
        <f t="shared" si="4"/>
        <v>290</v>
      </c>
      <c r="H11" s="63">
        <f>AQ11-AQ45+SUM('06-23Closure'!P10:T10)+J11</f>
        <v>104</v>
      </c>
      <c r="I11" s="63">
        <f t="shared" si="5"/>
        <v>2</v>
      </c>
      <c r="J11" s="63">
        <f t="shared" si="6"/>
        <v>0</v>
      </c>
      <c r="K11" s="63">
        <f t="shared" si="17"/>
        <v>44</v>
      </c>
      <c r="L11" s="63">
        <f t="shared" si="7"/>
        <v>1</v>
      </c>
      <c r="M11" s="63">
        <f t="shared" si="8"/>
        <v>13</v>
      </c>
      <c r="N11" s="63">
        <f t="shared" si="9"/>
        <v>43</v>
      </c>
      <c r="O11" s="63">
        <f t="shared" si="10"/>
        <v>45</v>
      </c>
      <c r="P11" s="63">
        <f t="shared" si="11"/>
        <v>1</v>
      </c>
      <c r="R11" s="63">
        <f t="shared" si="12"/>
        <v>1518</v>
      </c>
      <c r="S11" s="63">
        <f>AJ45-AJ113+'06-23Closure'!D10</f>
        <v>-11</v>
      </c>
      <c r="T11" s="63">
        <f>AK45-AK113+SUM('06-23Closure'!G10:O10)</f>
        <v>1158.6</v>
      </c>
      <c r="U11" s="63">
        <f t="shared" si="13"/>
        <v>0</v>
      </c>
      <c r="V11" s="63">
        <f t="shared" si="14"/>
        <v>458</v>
      </c>
      <c r="W11" s="63">
        <f t="shared" si="18"/>
        <v>56</v>
      </c>
      <c r="X11" s="63"/>
      <c r="Y11" s="63"/>
      <c r="Z11" s="63"/>
      <c r="AA11" s="63"/>
      <c r="AB11" s="63"/>
      <c r="AC11" s="63"/>
      <c r="AD11" s="63"/>
      <c r="AE11" s="63"/>
      <c r="AF11" s="63"/>
      <c r="AH11" s="68" t="s">
        <v>94</v>
      </c>
      <c r="AI11" s="55">
        <v>3485</v>
      </c>
      <c r="AJ11" s="55">
        <v>619</v>
      </c>
      <c r="AK11" s="55">
        <v>1855</v>
      </c>
      <c r="AL11" s="55"/>
      <c r="AM11" s="55">
        <v>665</v>
      </c>
      <c r="AN11" s="55">
        <v>346</v>
      </c>
      <c r="AO11" s="55"/>
      <c r="AP11" s="64">
        <v>1855</v>
      </c>
      <c r="AQ11" s="64">
        <v>1706</v>
      </c>
      <c r="AR11" s="64">
        <v>2</v>
      </c>
      <c r="AS11" s="69"/>
      <c r="AT11" s="64">
        <v>148</v>
      </c>
      <c r="AU11" s="64">
        <v>110</v>
      </c>
      <c r="AV11" s="65">
        <v>1</v>
      </c>
      <c r="AW11" s="64">
        <v>25</v>
      </c>
      <c r="AX11" s="69">
        <v>83</v>
      </c>
      <c r="AY11" s="66">
        <f t="shared" si="15"/>
        <v>121</v>
      </c>
      <c r="AZ11" s="67">
        <f t="shared" si="16"/>
        <v>1</v>
      </c>
    </row>
    <row r="12" spans="1:52">
      <c r="A12" s="68" t="s">
        <v>96</v>
      </c>
      <c r="B12" s="63">
        <f t="shared" si="0"/>
        <v>1172</v>
      </c>
      <c r="C12" s="63">
        <f t="shared" si="1"/>
        <v>67</v>
      </c>
      <c r="D12" s="63">
        <f>AK12-AK46+SUM('06-23Closure'!P11:T11)</f>
        <v>543</v>
      </c>
      <c r="E12" s="63">
        <f t="shared" si="2"/>
        <v>0</v>
      </c>
      <c r="F12" s="63">
        <f t="shared" si="3"/>
        <v>274</v>
      </c>
      <c r="G12" s="63">
        <f t="shared" si="4"/>
        <v>403</v>
      </c>
      <c r="H12" s="63">
        <f>AQ12-AQ46+SUM('06-23Closure'!P11:T11)+J12</f>
        <v>375</v>
      </c>
      <c r="I12" s="63">
        <f t="shared" si="5"/>
        <v>3</v>
      </c>
      <c r="J12" s="63">
        <f t="shared" si="6"/>
        <v>0</v>
      </c>
      <c r="K12" s="63">
        <f t="shared" si="17"/>
        <v>134</v>
      </c>
      <c r="L12" s="63">
        <f t="shared" si="7"/>
        <v>2</v>
      </c>
      <c r="M12" s="63">
        <f t="shared" si="8"/>
        <v>9</v>
      </c>
      <c r="N12" s="63">
        <f t="shared" si="9"/>
        <v>132</v>
      </c>
      <c r="O12" s="63">
        <f t="shared" si="10"/>
        <v>155</v>
      </c>
      <c r="P12" s="63">
        <f t="shared" si="11"/>
        <v>1</v>
      </c>
      <c r="R12" s="63">
        <f t="shared" si="12"/>
        <v>1265</v>
      </c>
      <c r="S12" s="63">
        <f>AJ46-AJ114+'06-23Closure'!D11</f>
        <v>15</v>
      </c>
      <c r="T12" s="63">
        <f>AK46-AK114+SUM('06-23Closure'!G11:O11)</f>
        <v>894.6</v>
      </c>
      <c r="U12" s="63">
        <f t="shared" si="13"/>
        <v>0</v>
      </c>
      <c r="V12" s="63">
        <f t="shared" si="14"/>
        <v>538</v>
      </c>
      <c r="W12" s="63">
        <f t="shared" si="18"/>
        <v>17</v>
      </c>
      <c r="X12" s="63"/>
      <c r="Y12" s="63"/>
      <c r="Z12" s="63"/>
      <c r="AA12" s="63"/>
      <c r="AB12" s="63"/>
      <c r="AC12" s="63"/>
      <c r="AD12" s="63"/>
      <c r="AE12" s="63"/>
      <c r="AF12" s="63"/>
      <c r="AH12" s="68" t="s">
        <v>96</v>
      </c>
      <c r="AI12" s="55">
        <v>3955</v>
      </c>
      <c r="AJ12" s="55">
        <v>169</v>
      </c>
      <c r="AK12" s="55">
        <v>2531</v>
      </c>
      <c r="AL12" s="55"/>
      <c r="AM12" s="55">
        <v>835</v>
      </c>
      <c r="AN12" s="55">
        <v>420</v>
      </c>
      <c r="AO12" s="55"/>
      <c r="AP12" s="64">
        <v>2531</v>
      </c>
      <c r="AQ12" s="64">
        <v>2250</v>
      </c>
      <c r="AR12" s="64">
        <v>15</v>
      </c>
      <c r="AS12" s="64">
        <v>2</v>
      </c>
      <c r="AT12" s="64">
        <v>265</v>
      </c>
      <c r="AU12" s="64">
        <v>223</v>
      </c>
      <c r="AV12" s="65">
        <v>2</v>
      </c>
      <c r="AW12" s="64">
        <v>16</v>
      </c>
      <c r="AX12" s="64">
        <v>205</v>
      </c>
      <c r="AY12" s="66">
        <f t="shared" si="15"/>
        <v>247</v>
      </c>
      <c r="AZ12" s="67">
        <f t="shared" si="16"/>
        <v>13</v>
      </c>
    </row>
    <row r="13" spans="1:52">
      <c r="A13" s="68" t="s">
        <v>98</v>
      </c>
      <c r="B13" s="63">
        <f t="shared" si="0"/>
        <v>415</v>
      </c>
      <c r="C13" s="63">
        <f t="shared" si="1"/>
        <v>0</v>
      </c>
      <c r="D13" s="63">
        <f>AK13-AK47+SUM('06-23Closure'!P12:T12)</f>
        <v>251</v>
      </c>
      <c r="E13" s="63">
        <f t="shared" si="2"/>
        <v>0</v>
      </c>
      <c r="F13" s="63">
        <f t="shared" si="3"/>
        <v>36</v>
      </c>
      <c r="G13" s="63">
        <f t="shared" si="4"/>
        <v>133</v>
      </c>
      <c r="H13" s="63">
        <f>AQ13-AQ47+SUM('06-23Closure'!P12:T12)+J13</f>
        <v>-27</v>
      </c>
      <c r="I13" s="63">
        <f t="shared" si="5"/>
        <v>244</v>
      </c>
      <c r="J13" s="63">
        <f t="shared" si="6"/>
        <v>-25</v>
      </c>
      <c r="K13" s="63">
        <f t="shared" si="17"/>
        <v>1</v>
      </c>
      <c r="L13" s="63">
        <f t="shared" si="7"/>
        <v>1</v>
      </c>
      <c r="M13" s="63">
        <f t="shared" si="8"/>
        <v>31</v>
      </c>
      <c r="N13" s="63">
        <f t="shared" si="9"/>
        <v>0</v>
      </c>
      <c r="O13" s="63">
        <f t="shared" si="10"/>
        <v>4</v>
      </c>
      <c r="P13" s="63">
        <f t="shared" si="11"/>
        <v>243</v>
      </c>
      <c r="R13" s="63">
        <f t="shared" si="12"/>
        <v>929</v>
      </c>
      <c r="S13" s="63">
        <f>AJ47-AJ115+'06-23Closure'!D12</f>
        <v>0</v>
      </c>
      <c r="T13" s="63">
        <f>AK47-AK115+SUM('06-23Closure'!G12:O12)</f>
        <v>1019.7</v>
      </c>
      <c r="U13" s="63">
        <f t="shared" si="13"/>
        <v>0</v>
      </c>
      <c r="V13" s="63">
        <f t="shared" si="14"/>
        <v>69</v>
      </c>
      <c r="W13" s="63">
        <f t="shared" si="18"/>
        <v>35</v>
      </c>
      <c r="X13" s="63"/>
      <c r="Y13" s="63"/>
      <c r="Z13" s="63"/>
      <c r="AA13" s="63"/>
      <c r="AB13" s="63"/>
      <c r="AC13" s="63"/>
      <c r="AD13" s="63"/>
      <c r="AE13" s="63"/>
      <c r="AF13" s="63"/>
      <c r="AH13" s="68" t="s">
        <v>98</v>
      </c>
      <c r="AI13" s="55">
        <v>2786</v>
      </c>
      <c r="AJ13" s="55"/>
      <c r="AK13" s="55">
        <v>2510</v>
      </c>
      <c r="AL13" s="55"/>
      <c r="AM13" s="55">
        <v>107</v>
      </c>
      <c r="AN13" s="55">
        <v>168</v>
      </c>
      <c r="AO13" s="55"/>
      <c r="AP13" s="64">
        <v>2510</v>
      </c>
      <c r="AQ13" s="64">
        <v>1502</v>
      </c>
      <c r="AR13" s="64">
        <v>814</v>
      </c>
      <c r="AS13" s="64">
        <v>61</v>
      </c>
      <c r="AT13" s="64">
        <v>133</v>
      </c>
      <c r="AU13" s="64">
        <v>55</v>
      </c>
      <c r="AV13" s="65">
        <v>3</v>
      </c>
      <c r="AW13" s="64">
        <v>53</v>
      </c>
      <c r="AX13" s="64"/>
      <c r="AY13" s="66">
        <f t="shared" si="15"/>
        <v>78</v>
      </c>
      <c r="AZ13" s="67">
        <f t="shared" si="16"/>
        <v>811</v>
      </c>
    </row>
    <row r="14" spans="1:52">
      <c r="A14" s="68" t="s">
        <v>100</v>
      </c>
      <c r="B14" s="63">
        <f t="shared" si="0"/>
        <v>5260</v>
      </c>
      <c r="C14" s="63">
        <f t="shared" si="1"/>
        <v>150</v>
      </c>
      <c r="D14" s="63">
        <f>AK14-AK48+SUM('06-23Closure'!P13:T13)</f>
        <v>1873</v>
      </c>
      <c r="E14" s="63">
        <f t="shared" si="2"/>
        <v>449</v>
      </c>
      <c r="F14" s="63">
        <f t="shared" si="3"/>
        <v>1673</v>
      </c>
      <c r="G14" s="63">
        <f t="shared" si="4"/>
        <v>1370</v>
      </c>
      <c r="H14" s="63">
        <f>AQ14-AQ48+SUM('06-23Closure'!P13:T13)+J14</f>
        <v>711</v>
      </c>
      <c r="I14" s="63">
        <f t="shared" si="5"/>
        <v>958</v>
      </c>
      <c r="J14" s="63">
        <f t="shared" si="6"/>
        <v>0</v>
      </c>
      <c r="K14" s="63">
        <f t="shared" si="17"/>
        <v>51</v>
      </c>
      <c r="L14" s="63">
        <f t="shared" si="7"/>
        <v>7</v>
      </c>
      <c r="M14" s="63">
        <f t="shared" si="8"/>
        <v>112</v>
      </c>
      <c r="N14" s="63">
        <f t="shared" si="9"/>
        <v>44</v>
      </c>
      <c r="O14" s="63">
        <f t="shared" si="10"/>
        <v>86</v>
      </c>
      <c r="P14" s="63">
        <f t="shared" si="11"/>
        <v>951</v>
      </c>
      <c r="R14" s="63">
        <f t="shared" si="12"/>
        <v>4561</v>
      </c>
      <c r="S14" s="63">
        <f>AJ48-AJ116+'06-23Closure'!D13</f>
        <v>101</v>
      </c>
      <c r="T14" s="63">
        <f>AK48-AK116+SUM('06-23Closure'!G13:O13)</f>
        <v>4523.546</v>
      </c>
      <c r="U14" s="63">
        <f t="shared" si="13"/>
        <v>12</v>
      </c>
      <c r="V14" s="63">
        <f t="shared" si="14"/>
        <v>536</v>
      </c>
      <c r="W14" s="63">
        <f t="shared" si="18"/>
        <v>546</v>
      </c>
      <c r="X14" s="63"/>
      <c r="Y14" s="63"/>
      <c r="Z14" s="63"/>
      <c r="AA14" s="63"/>
      <c r="AB14" s="63"/>
      <c r="AC14" s="63"/>
      <c r="AD14" s="63"/>
      <c r="AE14" s="63"/>
      <c r="AF14" s="63"/>
      <c r="AH14" s="68" t="s">
        <v>100</v>
      </c>
      <c r="AI14" s="55">
        <v>15420</v>
      </c>
      <c r="AJ14" s="55">
        <v>265</v>
      </c>
      <c r="AK14" s="55">
        <v>10322</v>
      </c>
      <c r="AL14" s="55">
        <v>661</v>
      </c>
      <c r="AM14" s="55">
        <v>2234</v>
      </c>
      <c r="AN14" s="55">
        <v>1916</v>
      </c>
      <c r="AO14" s="55">
        <v>23</v>
      </c>
      <c r="AP14" s="64">
        <v>10322</v>
      </c>
      <c r="AQ14" s="64">
        <v>7881</v>
      </c>
      <c r="AR14" s="64">
        <v>1915</v>
      </c>
      <c r="AS14" s="69"/>
      <c r="AT14" s="64">
        <v>527</v>
      </c>
      <c r="AU14" s="64">
        <v>288</v>
      </c>
      <c r="AV14" s="65">
        <v>9</v>
      </c>
      <c r="AW14" s="64">
        <v>191</v>
      </c>
      <c r="AX14" s="69">
        <v>88</v>
      </c>
      <c r="AY14" s="66">
        <f t="shared" si="15"/>
        <v>327</v>
      </c>
      <c r="AZ14" s="67">
        <f t="shared" si="16"/>
        <v>1906</v>
      </c>
    </row>
    <row r="15" spans="1:52">
      <c r="A15" s="68" t="s">
        <v>102</v>
      </c>
      <c r="B15" s="63">
        <f t="shared" si="0"/>
        <v>2526</v>
      </c>
      <c r="C15" s="63">
        <f t="shared" si="1"/>
        <v>124</v>
      </c>
      <c r="D15" s="63">
        <f>AK15-AK49+SUM('06-23Closure'!P14:T14)</f>
        <v>761</v>
      </c>
      <c r="E15" s="63">
        <f t="shared" si="2"/>
        <v>254</v>
      </c>
      <c r="F15" s="63">
        <f t="shared" si="3"/>
        <v>245</v>
      </c>
      <c r="G15" s="63">
        <f t="shared" si="4"/>
        <v>1504</v>
      </c>
      <c r="H15" s="63">
        <f>AQ15-AQ49+SUM('06-23Closure'!P14:T14)+J15</f>
        <v>519</v>
      </c>
      <c r="I15" s="63">
        <f t="shared" si="5"/>
        <v>35</v>
      </c>
      <c r="J15" s="63">
        <f t="shared" si="6"/>
        <v>-4</v>
      </c>
      <c r="K15" s="63">
        <f t="shared" si="17"/>
        <v>11</v>
      </c>
      <c r="L15" s="63">
        <f t="shared" si="7"/>
        <v>6</v>
      </c>
      <c r="M15" s="63">
        <f t="shared" si="8"/>
        <v>159</v>
      </c>
      <c r="N15" s="63">
        <f t="shared" si="9"/>
        <v>5</v>
      </c>
      <c r="O15" s="63">
        <f t="shared" si="10"/>
        <v>40</v>
      </c>
      <c r="P15" s="63">
        <f t="shared" si="11"/>
        <v>29</v>
      </c>
      <c r="R15" s="63">
        <f t="shared" si="12"/>
        <v>3219</v>
      </c>
      <c r="S15" s="63">
        <f>AJ49-AJ117+'06-23Closure'!D14</f>
        <v>306.8704</v>
      </c>
      <c r="T15" s="63">
        <f>AK49-AK117+SUM('06-23Closure'!G14:O14)</f>
        <v>2978.0413</v>
      </c>
      <c r="U15" s="63">
        <f t="shared" si="13"/>
        <v>350</v>
      </c>
      <c r="V15" s="63">
        <f t="shared" si="14"/>
        <v>115</v>
      </c>
      <c r="W15" s="63">
        <f t="shared" si="18"/>
        <v>338</v>
      </c>
      <c r="X15" s="63"/>
      <c r="Y15" s="63"/>
      <c r="Z15" s="63"/>
      <c r="AA15" s="63"/>
      <c r="AB15" s="63"/>
      <c r="AC15" s="63"/>
      <c r="AD15" s="63"/>
      <c r="AE15" s="63"/>
      <c r="AF15" s="63"/>
      <c r="AH15" s="68" t="s">
        <v>102</v>
      </c>
      <c r="AI15" s="55">
        <v>10857</v>
      </c>
      <c r="AJ15" s="55">
        <v>1278</v>
      </c>
      <c r="AK15" s="55">
        <v>6462</v>
      </c>
      <c r="AL15" s="55">
        <v>911</v>
      </c>
      <c r="AM15" s="55">
        <v>364</v>
      </c>
      <c r="AN15" s="55">
        <v>1842</v>
      </c>
      <c r="AO15" s="55">
        <v>1</v>
      </c>
      <c r="AP15" s="64">
        <v>6462</v>
      </c>
      <c r="AQ15" s="64">
        <v>4791</v>
      </c>
      <c r="AR15" s="64">
        <v>1263</v>
      </c>
      <c r="AS15" s="64">
        <v>2</v>
      </c>
      <c r="AT15" s="64">
        <v>405</v>
      </c>
      <c r="AU15" s="64">
        <v>292</v>
      </c>
      <c r="AV15" s="65">
        <v>7</v>
      </c>
      <c r="AW15" s="64">
        <v>261</v>
      </c>
      <c r="AX15" s="64">
        <v>24</v>
      </c>
      <c r="AY15" s="66">
        <f t="shared" si="15"/>
        <v>137</v>
      </c>
      <c r="AZ15" s="67">
        <f t="shared" si="16"/>
        <v>1256</v>
      </c>
    </row>
    <row r="16" spans="1:52">
      <c r="A16" s="68" t="s">
        <v>104</v>
      </c>
      <c r="B16" s="63">
        <f t="shared" si="0"/>
        <v>2733</v>
      </c>
      <c r="C16" s="63">
        <f t="shared" si="1"/>
        <v>212</v>
      </c>
      <c r="D16" s="63">
        <f>AK16-AK50+SUM('06-23Closure'!P15:T15)</f>
        <v>1015</v>
      </c>
      <c r="E16" s="63">
        <f t="shared" si="2"/>
        <v>0</v>
      </c>
      <c r="F16" s="63">
        <f t="shared" si="3"/>
        <v>334</v>
      </c>
      <c r="G16" s="63">
        <f t="shared" si="4"/>
        <v>1362</v>
      </c>
      <c r="H16" s="63">
        <f>AQ16-AQ50+SUM('06-23Closure'!P15:T15)+J16</f>
        <v>795</v>
      </c>
      <c r="I16" s="63">
        <f t="shared" si="5"/>
        <v>2</v>
      </c>
      <c r="J16" s="63">
        <f t="shared" si="6"/>
        <v>0</v>
      </c>
      <c r="K16" s="63">
        <f t="shared" si="17"/>
        <v>79</v>
      </c>
      <c r="L16" s="63">
        <f t="shared" si="7"/>
        <v>1</v>
      </c>
      <c r="M16" s="63">
        <f t="shared" si="8"/>
        <v>64</v>
      </c>
      <c r="N16" s="63">
        <f t="shared" si="9"/>
        <v>78</v>
      </c>
      <c r="O16" s="63">
        <f t="shared" si="10"/>
        <v>151</v>
      </c>
      <c r="P16" s="63">
        <f t="shared" si="11"/>
        <v>1</v>
      </c>
      <c r="R16" s="63">
        <f t="shared" si="12"/>
        <v>3806</v>
      </c>
      <c r="S16" s="63">
        <f>AJ50-AJ118+'06-23Closure'!D15</f>
        <v>145.753</v>
      </c>
      <c r="T16" s="63">
        <f>AK50-AK118+SUM('06-23Closure'!G15:O15)</f>
        <v>3364.4</v>
      </c>
      <c r="U16" s="63">
        <f t="shared" si="13"/>
        <v>0</v>
      </c>
      <c r="V16" s="63">
        <f t="shared" si="14"/>
        <v>177</v>
      </c>
      <c r="W16" s="63">
        <f t="shared" si="18"/>
        <v>345</v>
      </c>
      <c r="X16" s="63"/>
      <c r="Y16" s="63"/>
      <c r="Z16" s="63"/>
      <c r="AA16" s="63"/>
      <c r="AB16" s="63"/>
      <c r="AC16" s="63"/>
      <c r="AD16" s="63"/>
      <c r="AE16" s="63"/>
      <c r="AF16" s="63"/>
      <c r="AH16" s="68" t="s">
        <v>104</v>
      </c>
      <c r="AI16" s="55">
        <v>8466</v>
      </c>
      <c r="AJ16" s="55">
        <v>507</v>
      </c>
      <c r="AK16" s="55">
        <v>5740</v>
      </c>
      <c r="AL16" s="55"/>
      <c r="AM16" s="55">
        <v>511</v>
      </c>
      <c r="AN16" s="55">
        <v>1707</v>
      </c>
      <c r="AO16" s="55"/>
      <c r="AP16" s="64">
        <v>5740</v>
      </c>
      <c r="AQ16" s="64">
        <v>5274</v>
      </c>
      <c r="AR16" s="64">
        <v>13</v>
      </c>
      <c r="AS16" s="69"/>
      <c r="AT16" s="64">
        <v>453</v>
      </c>
      <c r="AU16" s="64">
        <v>239</v>
      </c>
      <c r="AV16" s="65">
        <v>2</v>
      </c>
      <c r="AW16" s="64">
        <v>93</v>
      </c>
      <c r="AX16" s="69">
        <v>144</v>
      </c>
      <c r="AY16" s="66">
        <f t="shared" si="15"/>
        <v>358</v>
      </c>
      <c r="AZ16" s="67">
        <f t="shared" si="16"/>
        <v>11</v>
      </c>
    </row>
    <row r="17" spans="1:52">
      <c r="A17" s="68" t="s">
        <v>106</v>
      </c>
      <c r="B17" s="63">
        <f t="shared" si="0"/>
        <v>1773</v>
      </c>
      <c r="C17" s="63">
        <f t="shared" si="1"/>
        <v>82</v>
      </c>
      <c r="D17" s="63">
        <f>AK17-AK51+SUM('06-23Closure'!P16:T16)</f>
        <v>767.2</v>
      </c>
      <c r="E17" s="63">
        <f t="shared" si="2"/>
        <v>224</v>
      </c>
      <c r="F17" s="63">
        <f t="shared" si="3"/>
        <v>521</v>
      </c>
      <c r="G17" s="63">
        <f t="shared" si="4"/>
        <v>250</v>
      </c>
      <c r="H17" s="63">
        <f>AQ17-AQ51+SUM('06-23Closure'!P16:T16)+J17</f>
        <v>615.2</v>
      </c>
      <c r="I17" s="63">
        <f t="shared" si="5"/>
        <v>6</v>
      </c>
      <c r="J17" s="63">
        <f t="shared" si="6"/>
        <v>0</v>
      </c>
      <c r="K17" s="63">
        <f t="shared" si="17"/>
        <v>3</v>
      </c>
      <c r="L17" s="63">
        <f t="shared" si="7"/>
        <v>2</v>
      </c>
      <c r="M17" s="63">
        <f t="shared" si="8"/>
        <v>54</v>
      </c>
      <c r="N17" s="63">
        <f t="shared" si="9"/>
        <v>1</v>
      </c>
      <c r="O17" s="63">
        <f t="shared" si="10"/>
        <v>89</v>
      </c>
      <c r="P17" s="63">
        <f t="shared" si="11"/>
        <v>4</v>
      </c>
      <c r="R17" s="63">
        <f t="shared" si="12"/>
        <v>2812</v>
      </c>
      <c r="S17" s="63">
        <f>AJ51-AJ119+'06-23Closure'!D16</f>
        <v>324</v>
      </c>
      <c r="T17" s="63">
        <f>AK51-AK119+SUM('06-23Closure'!G16:O16)</f>
        <v>1640.5168</v>
      </c>
      <c r="U17" s="63">
        <f t="shared" si="13"/>
        <v>762</v>
      </c>
      <c r="V17" s="63">
        <f t="shared" si="14"/>
        <v>191</v>
      </c>
      <c r="W17" s="63">
        <f t="shared" si="18"/>
        <v>27</v>
      </c>
      <c r="X17" s="63"/>
      <c r="Y17" s="63"/>
      <c r="Z17" s="63"/>
      <c r="AA17" s="63"/>
      <c r="AB17" s="63"/>
      <c r="AC17" s="63"/>
      <c r="AD17" s="63"/>
      <c r="AE17" s="63"/>
      <c r="AF17" s="63"/>
      <c r="AH17" s="68" t="s">
        <v>106</v>
      </c>
      <c r="AI17" s="55">
        <v>6983</v>
      </c>
      <c r="AJ17" s="55">
        <v>1386</v>
      </c>
      <c r="AK17" s="55">
        <v>3596</v>
      </c>
      <c r="AL17" s="55">
        <v>986</v>
      </c>
      <c r="AM17" s="55">
        <v>735</v>
      </c>
      <c r="AN17" s="55">
        <v>277</v>
      </c>
      <c r="AO17" s="55">
        <v>3</v>
      </c>
      <c r="AP17" s="64">
        <v>3596</v>
      </c>
      <c r="AQ17" s="64">
        <v>2936</v>
      </c>
      <c r="AR17" s="64">
        <v>393</v>
      </c>
      <c r="AS17" s="64"/>
      <c r="AT17" s="64">
        <v>267</v>
      </c>
      <c r="AU17" s="64">
        <v>94</v>
      </c>
      <c r="AV17" s="65">
        <v>3</v>
      </c>
      <c r="AW17" s="64">
        <v>84</v>
      </c>
      <c r="AX17" s="64">
        <v>6</v>
      </c>
      <c r="AY17" s="66">
        <f t="shared" si="15"/>
        <v>179</v>
      </c>
      <c r="AZ17" s="67">
        <f t="shared" si="16"/>
        <v>390</v>
      </c>
    </row>
    <row r="18" spans="1:52">
      <c r="A18" s="68" t="s">
        <v>108</v>
      </c>
      <c r="B18" s="63">
        <f t="shared" si="0"/>
        <v>1981</v>
      </c>
      <c r="C18" s="63">
        <f t="shared" si="1"/>
        <v>64</v>
      </c>
      <c r="D18" s="63">
        <f>AK18-AK52+SUM('06-23Closure'!P17:T17)</f>
        <v>835</v>
      </c>
      <c r="E18" s="63">
        <f t="shared" si="2"/>
        <v>0</v>
      </c>
      <c r="F18" s="63">
        <f t="shared" si="3"/>
        <v>439</v>
      </c>
      <c r="G18" s="63">
        <f t="shared" si="4"/>
        <v>683</v>
      </c>
      <c r="H18" s="63">
        <f>AQ18-AQ52+SUM('06-23Closure'!P17:T17)+J18</f>
        <v>581</v>
      </c>
      <c r="I18" s="63">
        <f t="shared" si="5"/>
        <v>4</v>
      </c>
      <c r="J18" s="63">
        <f t="shared" si="6"/>
        <v>0</v>
      </c>
      <c r="K18" s="63">
        <f t="shared" si="17"/>
        <v>20</v>
      </c>
      <c r="L18" s="63">
        <f t="shared" si="7"/>
        <v>4</v>
      </c>
      <c r="M18" s="63">
        <f t="shared" si="8"/>
        <v>66</v>
      </c>
      <c r="N18" s="63">
        <f t="shared" si="9"/>
        <v>16</v>
      </c>
      <c r="O18" s="63">
        <f t="shared" si="10"/>
        <v>182</v>
      </c>
      <c r="P18" s="63">
        <f t="shared" si="11"/>
        <v>0</v>
      </c>
      <c r="R18" s="63">
        <f t="shared" si="12"/>
        <v>1582</v>
      </c>
      <c r="S18" s="63">
        <f>AJ52-AJ120+'06-23Closure'!D17</f>
        <v>263.6575</v>
      </c>
      <c r="T18" s="63">
        <f>AK52-AK120+SUM('06-23Closure'!G17:O17)</f>
        <v>1271.9</v>
      </c>
      <c r="U18" s="63">
        <f t="shared" si="13"/>
        <v>0</v>
      </c>
      <c r="V18" s="63">
        <f t="shared" si="14"/>
        <v>108</v>
      </c>
      <c r="W18" s="63">
        <f t="shared" si="18"/>
        <v>228</v>
      </c>
      <c r="X18" s="63"/>
      <c r="Y18" s="63"/>
      <c r="Z18" s="63"/>
      <c r="AA18" s="63"/>
      <c r="AB18" s="63"/>
      <c r="AC18" s="63"/>
      <c r="AD18" s="63"/>
      <c r="AE18" s="63"/>
      <c r="AF18" s="63"/>
      <c r="AH18" s="68" t="s">
        <v>108</v>
      </c>
      <c r="AI18" s="55">
        <v>4847</v>
      </c>
      <c r="AJ18" s="55">
        <v>677</v>
      </c>
      <c r="AK18" s="55">
        <v>2711</v>
      </c>
      <c r="AL18" s="55"/>
      <c r="AM18" s="55">
        <v>547</v>
      </c>
      <c r="AN18" s="55">
        <v>911</v>
      </c>
      <c r="AO18" s="55"/>
      <c r="AP18" s="64">
        <v>2711</v>
      </c>
      <c r="AQ18" s="64">
        <v>2260</v>
      </c>
      <c r="AR18" s="64">
        <v>14</v>
      </c>
      <c r="AS18" s="69"/>
      <c r="AT18" s="64">
        <v>438</v>
      </c>
      <c r="AU18" s="64">
        <v>113</v>
      </c>
      <c r="AV18" s="65">
        <v>4</v>
      </c>
      <c r="AW18" s="64">
        <v>73</v>
      </c>
      <c r="AX18" s="69">
        <v>36</v>
      </c>
      <c r="AY18" s="66">
        <f t="shared" si="15"/>
        <v>361</v>
      </c>
      <c r="AZ18" s="67">
        <f t="shared" si="16"/>
        <v>10</v>
      </c>
    </row>
    <row r="19" spans="1:52">
      <c r="A19" s="68" t="s">
        <v>110</v>
      </c>
      <c r="B19" s="63">
        <f t="shared" si="0"/>
        <v>6392</v>
      </c>
      <c r="C19" s="63">
        <f t="shared" si="1"/>
        <v>60.2</v>
      </c>
      <c r="D19" s="63">
        <f>AK19-AK53+SUM('06-23Closure'!P18:T18)</f>
        <v>2778</v>
      </c>
      <c r="E19" s="63">
        <f t="shared" si="2"/>
        <v>250</v>
      </c>
      <c r="F19" s="63">
        <f t="shared" si="3"/>
        <v>1103</v>
      </c>
      <c r="G19" s="63">
        <f t="shared" si="4"/>
        <v>2888</v>
      </c>
      <c r="H19" s="63">
        <f>AQ19-AQ53+SUM('06-23Closure'!P18:T18)+J19</f>
        <v>2340</v>
      </c>
      <c r="I19" s="63">
        <f t="shared" si="5"/>
        <v>6</v>
      </c>
      <c r="J19" s="63">
        <f t="shared" si="6"/>
        <v>0</v>
      </c>
      <c r="K19" s="63">
        <f t="shared" si="17"/>
        <v>79</v>
      </c>
      <c r="L19" s="63">
        <f t="shared" si="7"/>
        <v>5</v>
      </c>
      <c r="M19" s="63">
        <f t="shared" si="8"/>
        <v>138</v>
      </c>
      <c r="N19" s="63">
        <f t="shared" si="9"/>
        <v>74</v>
      </c>
      <c r="O19" s="63">
        <f t="shared" si="10"/>
        <v>289</v>
      </c>
      <c r="P19" s="63">
        <f t="shared" si="11"/>
        <v>1</v>
      </c>
      <c r="R19" s="63">
        <f t="shared" si="12"/>
        <v>5402</v>
      </c>
      <c r="S19" s="63">
        <f>AJ53-AJ121+'06-23Closure'!D18</f>
        <v>2.8</v>
      </c>
      <c r="T19" s="63">
        <f>AK53-AK121+SUM('06-23Closure'!G18:O18)</f>
        <v>5038.7</v>
      </c>
      <c r="U19" s="63">
        <f t="shared" si="13"/>
        <v>0</v>
      </c>
      <c r="V19" s="63">
        <f t="shared" si="14"/>
        <v>818</v>
      </c>
      <c r="W19" s="63">
        <f t="shared" si="18"/>
        <v>455</v>
      </c>
      <c r="X19" s="63"/>
      <c r="Y19" s="63"/>
      <c r="Z19" s="63"/>
      <c r="AA19" s="63"/>
      <c r="AB19" s="63"/>
      <c r="AC19" s="63"/>
      <c r="AD19" s="63"/>
      <c r="AE19" s="63"/>
      <c r="AF19" s="63"/>
      <c r="AH19" s="68" t="s">
        <v>110</v>
      </c>
      <c r="AI19" s="55">
        <v>17334</v>
      </c>
      <c r="AJ19" s="55">
        <v>168</v>
      </c>
      <c r="AK19" s="55">
        <v>11599</v>
      </c>
      <c r="AL19" s="55">
        <v>250</v>
      </c>
      <c r="AM19" s="55">
        <v>1942</v>
      </c>
      <c r="AN19" s="55">
        <v>3343</v>
      </c>
      <c r="AO19" s="55">
        <v>31</v>
      </c>
      <c r="AP19" s="64">
        <v>11599</v>
      </c>
      <c r="AQ19" s="64">
        <v>10636</v>
      </c>
      <c r="AR19" s="64">
        <v>12</v>
      </c>
      <c r="AS19" s="69"/>
      <c r="AT19" s="64">
        <v>951</v>
      </c>
      <c r="AU19" s="64">
        <v>396</v>
      </c>
      <c r="AV19" s="65">
        <v>11</v>
      </c>
      <c r="AW19" s="64">
        <v>194</v>
      </c>
      <c r="AX19" s="69">
        <v>191</v>
      </c>
      <c r="AY19" s="66">
        <f t="shared" si="15"/>
        <v>746</v>
      </c>
      <c r="AZ19" s="67">
        <f t="shared" si="16"/>
        <v>1</v>
      </c>
    </row>
    <row r="20" spans="1:52">
      <c r="A20" s="68" t="s">
        <v>112</v>
      </c>
      <c r="B20" s="63">
        <f t="shared" si="0"/>
        <v>3896</v>
      </c>
      <c r="C20" s="63">
        <f t="shared" si="1"/>
        <v>8</v>
      </c>
      <c r="D20" s="63">
        <f>AK20-AK54+SUM('06-23Closure'!P19:T19)</f>
        <v>1724</v>
      </c>
      <c r="E20" s="63">
        <f t="shared" si="2"/>
        <v>0</v>
      </c>
      <c r="F20" s="63">
        <f t="shared" si="3"/>
        <v>1746</v>
      </c>
      <c r="G20" s="63">
        <f t="shared" si="4"/>
        <v>1272</v>
      </c>
      <c r="H20" s="63">
        <f>AQ20-AQ54+SUM('06-23Closure'!P19:T19)+J20</f>
        <v>1316</v>
      </c>
      <c r="I20" s="63">
        <f t="shared" si="5"/>
        <v>183</v>
      </c>
      <c r="J20" s="63">
        <f t="shared" si="6"/>
        <v>0</v>
      </c>
      <c r="K20" s="63">
        <f t="shared" si="17"/>
        <v>92</v>
      </c>
      <c r="L20" s="63">
        <f t="shared" si="7"/>
        <v>9</v>
      </c>
      <c r="M20" s="63">
        <f t="shared" si="8"/>
        <v>88</v>
      </c>
      <c r="N20" s="63">
        <f t="shared" si="9"/>
        <v>83</v>
      </c>
      <c r="O20" s="63">
        <f t="shared" si="10"/>
        <v>128</v>
      </c>
      <c r="P20" s="63">
        <f t="shared" si="11"/>
        <v>174</v>
      </c>
      <c r="R20" s="63">
        <f t="shared" si="12"/>
        <v>3089</v>
      </c>
      <c r="S20" s="63">
        <f>AJ54-AJ122+'06-23Closure'!D19</f>
        <v>125</v>
      </c>
      <c r="T20" s="63">
        <f>AK54-AK122+SUM('06-23Closure'!G19:O19)</f>
        <v>3633.394</v>
      </c>
      <c r="U20" s="63">
        <f t="shared" si="13"/>
        <v>0</v>
      </c>
      <c r="V20" s="63">
        <f t="shared" si="14"/>
        <v>104</v>
      </c>
      <c r="W20" s="63">
        <f t="shared" si="18"/>
        <v>284</v>
      </c>
      <c r="X20" s="63"/>
      <c r="Y20" s="63"/>
      <c r="Z20" s="63"/>
      <c r="AA20" s="63"/>
      <c r="AB20" s="63"/>
      <c r="AC20" s="63"/>
      <c r="AD20" s="63"/>
      <c r="AE20" s="63"/>
      <c r="AF20" s="63"/>
      <c r="AH20" s="68" t="s">
        <v>112</v>
      </c>
      <c r="AI20" s="55">
        <v>11114</v>
      </c>
      <c r="AJ20" s="55">
        <v>407</v>
      </c>
      <c r="AK20" s="55">
        <v>7301</v>
      </c>
      <c r="AL20" s="55"/>
      <c r="AM20" s="55">
        <v>1850</v>
      </c>
      <c r="AN20" s="55">
        <v>1556</v>
      </c>
      <c r="AO20" s="55"/>
      <c r="AP20" s="64">
        <v>7301</v>
      </c>
      <c r="AQ20" s="64">
        <v>6626</v>
      </c>
      <c r="AR20" s="64">
        <v>344</v>
      </c>
      <c r="AS20" s="69"/>
      <c r="AT20" s="64">
        <v>331</v>
      </c>
      <c r="AU20" s="64">
        <v>227</v>
      </c>
      <c r="AV20" s="65">
        <v>9</v>
      </c>
      <c r="AW20" s="64">
        <v>96</v>
      </c>
      <c r="AX20" s="69">
        <v>122</v>
      </c>
      <c r="AY20" s="66">
        <f t="shared" si="15"/>
        <v>226</v>
      </c>
      <c r="AZ20" s="67">
        <f t="shared" si="16"/>
        <v>335</v>
      </c>
    </row>
    <row r="21" spans="1:52">
      <c r="A21" s="68" t="s">
        <v>114</v>
      </c>
      <c r="B21" s="63">
        <f t="shared" si="0"/>
        <v>2071</v>
      </c>
      <c r="C21" s="63">
        <f t="shared" si="1"/>
        <v>108</v>
      </c>
      <c r="D21" s="63">
        <f>AK21-AK55+SUM('06-23Closure'!P20:T20)</f>
        <v>942</v>
      </c>
      <c r="E21" s="63">
        <f t="shared" si="2"/>
        <v>0</v>
      </c>
      <c r="F21" s="63">
        <f t="shared" si="3"/>
        <v>519</v>
      </c>
      <c r="G21" s="63">
        <f t="shared" si="4"/>
        <v>766</v>
      </c>
      <c r="H21" s="63">
        <f>AQ21-AQ55+SUM('06-23Closure'!P20:T20)+J21</f>
        <v>752</v>
      </c>
      <c r="I21" s="63">
        <f t="shared" si="5"/>
        <v>62</v>
      </c>
      <c r="J21" s="63">
        <f t="shared" si="6"/>
        <v>0</v>
      </c>
      <c r="K21" s="63">
        <f t="shared" si="17"/>
        <v>30</v>
      </c>
      <c r="L21" s="63">
        <f t="shared" si="7"/>
        <v>4</v>
      </c>
      <c r="M21" s="63">
        <f t="shared" si="8"/>
        <v>28</v>
      </c>
      <c r="N21" s="63">
        <f t="shared" si="9"/>
        <v>26</v>
      </c>
      <c r="O21" s="63">
        <f t="shared" si="10"/>
        <v>96</v>
      </c>
      <c r="P21" s="63">
        <f t="shared" si="11"/>
        <v>58</v>
      </c>
      <c r="R21" s="63">
        <f t="shared" si="12"/>
        <v>3037</v>
      </c>
      <c r="S21" s="63">
        <f>AJ55-AJ123+'06-23Closure'!D20</f>
        <v>1262.5185</v>
      </c>
      <c r="T21" s="63">
        <f>AK55-AK123+SUM('06-23Closure'!G20:O20)</f>
        <v>1570.6</v>
      </c>
      <c r="U21" s="63">
        <f t="shared" si="13"/>
        <v>0</v>
      </c>
      <c r="V21" s="63">
        <f t="shared" si="14"/>
        <v>200</v>
      </c>
      <c r="W21" s="63">
        <f t="shared" si="18"/>
        <v>187</v>
      </c>
      <c r="X21" s="63"/>
      <c r="Y21" s="63"/>
      <c r="Z21" s="63"/>
      <c r="AA21" s="63"/>
      <c r="AB21" s="63"/>
      <c r="AC21" s="63"/>
      <c r="AD21" s="63"/>
      <c r="AE21" s="63"/>
      <c r="AF21" s="63"/>
      <c r="AH21" s="68" t="s">
        <v>114</v>
      </c>
      <c r="AI21" s="55">
        <v>8816</v>
      </c>
      <c r="AJ21" s="55">
        <v>3771</v>
      </c>
      <c r="AK21" s="55">
        <v>3372</v>
      </c>
      <c r="AL21" s="55"/>
      <c r="AM21" s="55">
        <v>720</v>
      </c>
      <c r="AN21" s="55">
        <v>953</v>
      </c>
      <c r="AO21" s="55"/>
      <c r="AP21" s="64">
        <v>3372</v>
      </c>
      <c r="AQ21" s="64">
        <v>2893</v>
      </c>
      <c r="AR21" s="64">
        <v>138</v>
      </c>
      <c r="AS21" s="69"/>
      <c r="AT21" s="64">
        <v>341</v>
      </c>
      <c r="AU21" s="64">
        <v>123</v>
      </c>
      <c r="AV21" s="65">
        <v>5</v>
      </c>
      <c r="AW21" s="64">
        <v>49</v>
      </c>
      <c r="AX21" s="69">
        <v>69</v>
      </c>
      <c r="AY21" s="66">
        <f t="shared" si="15"/>
        <v>287</v>
      </c>
      <c r="AZ21" s="67">
        <f t="shared" si="16"/>
        <v>133</v>
      </c>
    </row>
    <row r="22" spans="1:52">
      <c r="A22" s="68" t="s">
        <v>116</v>
      </c>
      <c r="B22" s="63">
        <f t="shared" si="0"/>
        <v>1223</v>
      </c>
      <c r="C22" s="63">
        <f t="shared" si="1"/>
        <v>25</v>
      </c>
      <c r="D22" s="63">
        <f>AK22-AK56+SUM('06-23Closure'!P21:T21)</f>
        <v>281</v>
      </c>
      <c r="E22" s="63">
        <f t="shared" si="2"/>
        <v>0</v>
      </c>
      <c r="F22" s="63">
        <f t="shared" si="3"/>
        <v>586</v>
      </c>
      <c r="G22" s="63">
        <f t="shared" si="4"/>
        <v>420</v>
      </c>
      <c r="H22" s="63">
        <f>AQ22-AQ56+SUM('06-23Closure'!P21:T21)+J22</f>
        <v>214</v>
      </c>
      <c r="I22" s="63">
        <f t="shared" si="5"/>
        <v>1</v>
      </c>
      <c r="J22" s="63">
        <f t="shared" si="6"/>
        <v>-2</v>
      </c>
      <c r="K22" s="63">
        <f t="shared" si="17"/>
        <v>22</v>
      </c>
      <c r="L22" s="63">
        <f t="shared" si="7"/>
        <v>0</v>
      </c>
      <c r="M22" s="63">
        <f t="shared" si="8"/>
        <v>49</v>
      </c>
      <c r="N22" s="63">
        <f t="shared" si="9"/>
        <v>22</v>
      </c>
      <c r="O22" s="63">
        <f t="shared" si="10"/>
        <v>18</v>
      </c>
      <c r="P22" s="63">
        <f t="shared" si="11"/>
        <v>1</v>
      </c>
      <c r="R22" s="63">
        <f t="shared" si="12"/>
        <v>1861</v>
      </c>
      <c r="S22" s="63">
        <f>AJ56-AJ124+'06-23Closure'!D21</f>
        <v>633.993</v>
      </c>
      <c r="T22" s="63">
        <f>AK56-AK124+SUM('06-23Closure'!G21:O21)</f>
        <v>1124.2</v>
      </c>
      <c r="U22" s="63">
        <f t="shared" si="13"/>
        <v>0</v>
      </c>
      <c r="V22" s="63">
        <f t="shared" si="14"/>
        <v>217</v>
      </c>
      <c r="W22" s="63">
        <f t="shared" si="18"/>
        <v>30</v>
      </c>
      <c r="X22" s="63"/>
      <c r="Y22" s="63"/>
      <c r="Z22" s="63"/>
      <c r="AA22" s="63"/>
      <c r="AB22" s="63"/>
      <c r="AC22" s="63"/>
      <c r="AD22" s="63"/>
      <c r="AE22" s="63"/>
      <c r="AF22" s="63"/>
      <c r="AH22" s="68" t="s">
        <v>116</v>
      </c>
      <c r="AI22" s="55">
        <v>5344</v>
      </c>
      <c r="AJ22" s="55">
        <v>1578</v>
      </c>
      <c r="AK22" s="55">
        <v>2502</v>
      </c>
      <c r="AL22" s="55"/>
      <c r="AM22" s="55">
        <v>803</v>
      </c>
      <c r="AN22" s="55">
        <v>450</v>
      </c>
      <c r="AO22" s="55">
        <v>12</v>
      </c>
      <c r="AP22" s="64">
        <v>2502</v>
      </c>
      <c r="AQ22" s="64">
        <v>2228</v>
      </c>
      <c r="AR22" s="64">
        <v>11</v>
      </c>
      <c r="AS22" s="64">
        <v>5</v>
      </c>
      <c r="AT22" s="64">
        <v>258</v>
      </c>
      <c r="AU22" s="64">
        <v>111</v>
      </c>
      <c r="AV22" s="65">
        <v>9</v>
      </c>
      <c r="AW22" s="64">
        <v>59</v>
      </c>
      <c r="AX22" s="64">
        <v>43</v>
      </c>
      <c r="AY22" s="66">
        <f t="shared" si="15"/>
        <v>190</v>
      </c>
      <c r="AZ22" s="67">
        <f t="shared" si="16"/>
        <v>2</v>
      </c>
    </row>
    <row r="23" spans="1:52">
      <c r="A23" s="68" t="s">
        <v>118</v>
      </c>
      <c r="B23" s="63">
        <f t="shared" si="0"/>
        <v>5364</v>
      </c>
      <c r="C23" s="63">
        <f t="shared" si="1"/>
        <v>325</v>
      </c>
      <c r="D23" s="63">
        <f>AK23-AK57+SUM('06-23Closure'!P22:T22)</f>
        <v>2855</v>
      </c>
      <c r="E23" s="63">
        <f t="shared" si="2"/>
        <v>676</v>
      </c>
      <c r="F23" s="63">
        <f t="shared" si="3"/>
        <v>927</v>
      </c>
      <c r="G23" s="63">
        <f t="shared" si="4"/>
        <v>903</v>
      </c>
      <c r="H23" s="63">
        <f>AQ23-AQ57+SUM('06-23Closure'!P22:T22)+J23</f>
        <v>1120</v>
      </c>
      <c r="I23" s="63">
        <f t="shared" si="5"/>
        <v>1511</v>
      </c>
      <c r="J23" s="63">
        <f t="shared" si="6"/>
        <v>-33</v>
      </c>
      <c r="K23" s="63">
        <f t="shared" si="17"/>
        <v>56</v>
      </c>
      <c r="L23" s="63">
        <f t="shared" si="7"/>
        <v>22</v>
      </c>
      <c r="M23" s="63">
        <f t="shared" si="8"/>
        <v>239</v>
      </c>
      <c r="N23" s="63">
        <f t="shared" si="9"/>
        <v>34</v>
      </c>
      <c r="O23" s="63">
        <f t="shared" si="10"/>
        <v>-38</v>
      </c>
      <c r="P23" s="63">
        <f t="shared" si="11"/>
        <v>1489</v>
      </c>
      <c r="R23" s="63">
        <f t="shared" si="12"/>
        <v>4571</v>
      </c>
      <c r="S23" s="63">
        <f>AJ57-AJ125+'06-23Closure'!D22</f>
        <v>408.6506</v>
      </c>
      <c r="T23" s="63">
        <f>AK57-AK125+SUM('06-23Closure'!G22:O22)</f>
        <v>4004.4954</v>
      </c>
      <c r="U23" s="63">
        <f t="shared" si="13"/>
        <v>560</v>
      </c>
      <c r="V23" s="63">
        <f t="shared" si="14"/>
        <v>243</v>
      </c>
      <c r="W23" s="63">
        <f t="shared" si="18"/>
        <v>117</v>
      </c>
      <c r="X23" s="63"/>
      <c r="Y23" s="63"/>
      <c r="Z23" s="63"/>
      <c r="AA23" s="63"/>
      <c r="AB23" s="63"/>
      <c r="AC23" s="63"/>
      <c r="AD23" s="63"/>
      <c r="AE23" s="63"/>
      <c r="AF23" s="63"/>
      <c r="AH23" s="68" t="s">
        <v>118</v>
      </c>
      <c r="AI23" s="55">
        <v>15821</v>
      </c>
      <c r="AJ23" s="55">
        <v>1736</v>
      </c>
      <c r="AK23" s="55">
        <v>10256</v>
      </c>
      <c r="AL23" s="55">
        <v>1614</v>
      </c>
      <c r="AM23" s="55">
        <v>1195</v>
      </c>
      <c r="AN23" s="55">
        <v>1020</v>
      </c>
      <c r="AO23" s="55"/>
      <c r="AP23" s="64">
        <v>10256</v>
      </c>
      <c r="AQ23" s="64">
        <v>6825</v>
      </c>
      <c r="AR23" s="64">
        <v>3080</v>
      </c>
      <c r="AS23" s="69"/>
      <c r="AT23" s="64">
        <v>351</v>
      </c>
      <c r="AU23" s="64">
        <v>377</v>
      </c>
      <c r="AV23" s="65">
        <v>26</v>
      </c>
      <c r="AW23" s="64">
        <v>301</v>
      </c>
      <c r="AX23" s="69">
        <v>50</v>
      </c>
      <c r="AY23" s="66">
        <f t="shared" si="15"/>
        <v>24</v>
      </c>
      <c r="AZ23" s="67">
        <f t="shared" si="16"/>
        <v>3054</v>
      </c>
    </row>
    <row r="24" spans="1:52">
      <c r="A24" s="68" t="s">
        <v>120</v>
      </c>
      <c r="B24" s="63">
        <f t="shared" si="0"/>
        <v>1381</v>
      </c>
      <c r="C24" s="63">
        <f t="shared" si="1"/>
        <v>103</v>
      </c>
      <c r="D24" s="63">
        <f>AK24-AK58+SUM('06-23Closure'!P23:T23)</f>
        <v>379</v>
      </c>
      <c r="E24" s="63">
        <f t="shared" si="2"/>
        <v>0</v>
      </c>
      <c r="F24" s="63">
        <f t="shared" si="3"/>
        <v>685</v>
      </c>
      <c r="G24" s="63">
        <f t="shared" si="4"/>
        <v>296</v>
      </c>
      <c r="H24" s="63">
        <f>AQ24-AQ58+SUM('06-23Closure'!P23:T23)+J24</f>
        <v>433</v>
      </c>
      <c r="I24" s="63">
        <f t="shared" si="5"/>
        <v>41</v>
      </c>
      <c r="J24" s="63">
        <f t="shared" si="6"/>
        <v>0</v>
      </c>
      <c r="K24" s="63">
        <f t="shared" si="17"/>
        <v>36</v>
      </c>
      <c r="L24" s="63">
        <f t="shared" si="7"/>
        <v>2</v>
      </c>
      <c r="M24" s="63">
        <f t="shared" si="8"/>
        <v>35</v>
      </c>
      <c r="N24" s="63">
        <f t="shared" si="9"/>
        <v>34</v>
      </c>
      <c r="O24" s="63">
        <f t="shared" si="10"/>
        <v>-133</v>
      </c>
      <c r="P24" s="63">
        <f t="shared" si="11"/>
        <v>39</v>
      </c>
      <c r="R24" s="63">
        <f t="shared" si="12"/>
        <v>2177</v>
      </c>
      <c r="S24" s="63">
        <f>AJ58-AJ126+'06-23Closure'!D23</f>
        <v>630.3373</v>
      </c>
      <c r="T24" s="63">
        <f>AK58-AK126+SUM('06-23Closure'!G23:O23)</f>
        <v>1379.038</v>
      </c>
      <c r="U24" s="63">
        <f t="shared" si="13"/>
        <v>217</v>
      </c>
      <c r="V24" s="63">
        <f t="shared" si="14"/>
        <v>70</v>
      </c>
      <c r="W24" s="63">
        <f t="shared" si="18"/>
        <v>16</v>
      </c>
      <c r="X24" s="63"/>
      <c r="Y24" s="63"/>
      <c r="Z24" s="63"/>
      <c r="AA24" s="63"/>
      <c r="AB24" s="63"/>
      <c r="AC24" s="63"/>
      <c r="AD24" s="63"/>
      <c r="AE24" s="63"/>
      <c r="AF24" s="63"/>
      <c r="AH24" s="68" t="s">
        <v>120</v>
      </c>
      <c r="AI24" s="55">
        <v>5533</v>
      </c>
      <c r="AJ24" s="55">
        <v>1768</v>
      </c>
      <c r="AK24" s="55">
        <v>2481</v>
      </c>
      <c r="AL24" s="55">
        <v>217</v>
      </c>
      <c r="AM24" s="55">
        <v>755</v>
      </c>
      <c r="AN24" s="55">
        <v>312</v>
      </c>
      <c r="AO24" s="55"/>
      <c r="AP24" s="64">
        <v>2481</v>
      </c>
      <c r="AQ24" s="64">
        <v>1965</v>
      </c>
      <c r="AR24" s="64">
        <v>53</v>
      </c>
      <c r="AS24" s="69"/>
      <c r="AT24" s="64">
        <v>462</v>
      </c>
      <c r="AU24" s="64">
        <v>234</v>
      </c>
      <c r="AV24" s="65">
        <v>2</v>
      </c>
      <c r="AW24" s="64">
        <v>43</v>
      </c>
      <c r="AX24" s="69">
        <v>189</v>
      </c>
      <c r="AY24" s="66">
        <f t="shared" si="15"/>
        <v>417</v>
      </c>
      <c r="AZ24" s="67">
        <f t="shared" si="16"/>
        <v>51</v>
      </c>
    </row>
    <row r="25" spans="1:52">
      <c r="A25" s="68" t="s">
        <v>122</v>
      </c>
      <c r="B25" s="63">
        <f t="shared" si="0"/>
        <v>311</v>
      </c>
      <c r="C25" s="63">
        <f t="shared" si="1"/>
        <v>62</v>
      </c>
      <c r="D25" s="63">
        <f>AK25-AK59+SUM('06-23Closure'!P24:T24)</f>
        <v>162</v>
      </c>
      <c r="E25" s="63">
        <f t="shared" si="2"/>
        <v>0</v>
      </c>
      <c r="F25" s="63">
        <f t="shared" si="3"/>
        <v>-2</v>
      </c>
      <c r="G25" s="63">
        <f t="shared" si="4"/>
        <v>118</v>
      </c>
      <c r="H25" s="63">
        <f>AQ25-AQ59+SUM('06-23Closure'!P24:T24)+J25</f>
        <v>-24</v>
      </c>
      <c r="I25" s="63">
        <f t="shared" si="5"/>
        <v>143</v>
      </c>
      <c r="J25" s="63">
        <f t="shared" si="6"/>
        <v>0</v>
      </c>
      <c r="K25" s="63">
        <f t="shared" si="17"/>
        <v>25</v>
      </c>
      <c r="L25" s="63">
        <f t="shared" si="7"/>
        <v>1</v>
      </c>
      <c r="M25" s="63">
        <f t="shared" si="8"/>
        <v>20</v>
      </c>
      <c r="N25" s="63">
        <f t="shared" si="9"/>
        <v>24</v>
      </c>
      <c r="O25" s="63">
        <f t="shared" si="10"/>
        <v>23</v>
      </c>
      <c r="P25" s="63">
        <f t="shared" si="11"/>
        <v>142</v>
      </c>
      <c r="R25" s="63">
        <f t="shared" si="12"/>
        <v>443</v>
      </c>
      <c r="S25" s="63">
        <f>AJ59-AJ127+'06-23Closure'!D24</f>
        <v>32</v>
      </c>
      <c r="T25" s="63">
        <f>AK59-AK127+SUM('06-23Closure'!G24:O24)</f>
        <v>251.8</v>
      </c>
      <c r="U25" s="63">
        <f t="shared" si="13"/>
        <v>130</v>
      </c>
      <c r="V25" s="63">
        <f t="shared" si="14"/>
        <v>30</v>
      </c>
      <c r="W25" s="63">
        <f t="shared" si="18"/>
        <v>29</v>
      </c>
      <c r="X25" s="63"/>
      <c r="Y25" s="63"/>
      <c r="Z25" s="63"/>
      <c r="AA25" s="63"/>
      <c r="AB25" s="63"/>
      <c r="AC25" s="63"/>
      <c r="AD25" s="63"/>
      <c r="AE25" s="63"/>
      <c r="AF25" s="63"/>
      <c r="AH25" s="68" t="s">
        <v>122</v>
      </c>
      <c r="AI25" s="55">
        <v>1056</v>
      </c>
      <c r="AJ25" s="55">
        <v>153</v>
      </c>
      <c r="AK25" s="55">
        <v>598</v>
      </c>
      <c r="AL25" s="55">
        <v>130</v>
      </c>
      <c r="AM25" s="55">
        <v>29</v>
      </c>
      <c r="AN25" s="55">
        <v>147</v>
      </c>
      <c r="AO25" s="55"/>
      <c r="AP25" s="64">
        <v>598</v>
      </c>
      <c r="AQ25" s="64">
        <v>324</v>
      </c>
      <c r="AR25" s="64">
        <v>215</v>
      </c>
      <c r="AS25" s="69"/>
      <c r="AT25" s="64">
        <v>60</v>
      </c>
      <c r="AU25" s="64">
        <v>52</v>
      </c>
      <c r="AV25" s="65">
        <v>1</v>
      </c>
      <c r="AW25" s="64">
        <v>27</v>
      </c>
      <c r="AX25" s="69">
        <v>24</v>
      </c>
      <c r="AY25" s="66">
        <f t="shared" si="15"/>
        <v>32</v>
      </c>
      <c r="AZ25" s="67">
        <f t="shared" si="16"/>
        <v>214</v>
      </c>
    </row>
    <row r="26" spans="1:52">
      <c r="A26" s="68" t="s">
        <v>124</v>
      </c>
      <c r="B26" s="63">
        <f t="shared" si="0"/>
        <v>396</v>
      </c>
      <c r="C26" s="63">
        <f t="shared" si="1"/>
        <v>101</v>
      </c>
      <c r="D26" s="63">
        <f>AK26-AK60+SUM('06-23Closure'!P25:T25)</f>
        <v>173</v>
      </c>
      <c r="E26" s="63">
        <f t="shared" si="2"/>
        <v>0</v>
      </c>
      <c r="F26" s="63">
        <f t="shared" si="3"/>
        <v>141</v>
      </c>
      <c r="G26" s="63">
        <f t="shared" si="4"/>
        <v>62.54</v>
      </c>
      <c r="H26" s="63">
        <f>AQ26-AQ60+SUM('06-23Closure'!P25:T25)+J26</f>
        <v>155</v>
      </c>
      <c r="I26" s="63">
        <f t="shared" si="5"/>
        <v>-21</v>
      </c>
      <c r="J26" s="63">
        <f t="shared" si="6"/>
        <v>0</v>
      </c>
      <c r="K26" s="63">
        <f t="shared" si="17"/>
        <v>4</v>
      </c>
      <c r="L26" s="63">
        <f t="shared" si="7"/>
        <v>1</v>
      </c>
      <c r="M26" s="63">
        <f t="shared" si="8"/>
        <v>35</v>
      </c>
      <c r="N26" s="63">
        <f t="shared" si="9"/>
        <v>3</v>
      </c>
      <c r="O26" s="63">
        <f t="shared" si="10"/>
        <v>4</v>
      </c>
      <c r="P26" s="63">
        <f t="shared" si="11"/>
        <v>-22</v>
      </c>
      <c r="R26" s="63">
        <f t="shared" si="12"/>
        <v>1315</v>
      </c>
      <c r="S26" s="63">
        <f>AJ60-AJ128+'06-23Closure'!D25</f>
        <v>464</v>
      </c>
      <c r="T26" s="63">
        <f>AK60-AK128+SUM('06-23Closure'!G25:O25)</f>
        <v>936.45</v>
      </c>
      <c r="U26" s="63">
        <f t="shared" si="13"/>
        <v>0</v>
      </c>
      <c r="V26" s="63">
        <f t="shared" si="14"/>
        <v>28</v>
      </c>
      <c r="W26" s="63">
        <f t="shared" si="18"/>
        <v>0.46</v>
      </c>
      <c r="X26" s="63"/>
      <c r="Y26" s="63"/>
      <c r="Z26" s="63"/>
      <c r="AA26" s="63"/>
      <c r="AB26" s="63"/>
      <c r="AC26" s="63"/>
      <c r="AD26" s="63"/>
      <c r="AE26" s="63"/>
      <c r="AF26" s="63"/>
      <c r="AH26" s="68" t="s">
        <v>124</v>
      </c>
      <c r="AI26" s="55">
        <v>2574</v>
      </c>
      <c r="AJ26" s="55">
        <v>789</v>
      </c>
      <c r="AK26" s="55">
        <v>1553</v>
      </c>
      <c r="AL26" s="55"/>
      <c r="AM26" s="55">
        <v>169</v>
      </c>
      <c r="AN26" s="55">
        <v>63</v>
      </c>
      <c r="AO26" s="55"/>
      <c r="AP26" s="64">
        <v>1553</v>
      </c>
      <c r="AQ26" s="64">
        <v>1329</v>
      </c>
      <c r="AR26" s="64">
        <v>141</v>
      </c>
      <c r="AS26" s="69"/>
      <c r="AT26" s="64">
        <v>83</v>
      </c>
      <c r="AU26" s="64">
        <v>53</v>
      </c>
      <c r="AV26" s="65">
        <v>1</v>
      </c>
      <c r="AW26" s="64">
        <v>45</v>
      </c>
      <c r="AX26" s="69">
        <v>7</v>
      </c>
      <c r="AY26" s="66">
        <f t="shared" si="15"/>
        <v>37</v>
      </c>
      <c r="AZ26" s="67">
        <f t="shared" si="16"/>
        <v>140</v>
      </c>
    </row>
    <row r="27" spans="1:52">
      <c r="A27" s="68" t="s">
        <v>126</v>
      </c>
      <c r="B27" s="63">
        <f t="shared" si="0"/>
        <v>2327</v>
      </c>
      <c r="C27" s="63">
        <f t="shared" si="1"/>
        <v>1641</v>
      </c>
      <c r="D27" s="63">
        <f>AK27-AK61+SUM('06-23Closure'!P26:T26)</f>
        <v>297</v>
      </c>
      <c r="E27" s="63">
        <f t="shared" si="2"/>
        <v>0</v>
      </c>
      <c r="F27" s="63">
        <f t="shared" si="3"/>
        <v>402</v>
      </c>
      <c r="G27" s="63">
        <f t="shared" si="4"/>
        <v>100</v>
      </c>
      <c r="H27" s="63">
        <f>AQ27-AQ61+SUM('06-23Closure'!P26:T26)+J27</f>
        <v>127</v>
      </c>
      <c r="I27" s="63">
        <f t="shared" si="5"/>
        <v>-2</v>
      </c>
      <c r="J27" s="63">
        <f t="shared" si="6"/>
        <v>0</v>
      </c>
      <c r="K27" s="63">
        <f t="shared" si="17"/>
        <v>20</v>
      </c>
      <c r="L27" s="63">
        <f t="shared" si="7"/>
        <v>5</v>
      </c>
      <c r="M27" s="63">
        <f t="shared" si="8"/>
        <v>68</v>
      </c>
      <c r="N27" s="63">
        <f t="shared" si="9"/>
        <v>15</v>
      </c>
      <c r="O27" s="63">
        <f t="shared" si="10"/>
        <v>99</v>
      </c>
      <c r="P27" s="63">
        <f t="shared" si="11"/>
        <v>-7</v>
      </c>
      <c r="R27" s="63">
        <f t="shared" si="12"/>
        <v>5922</v>
      </c>
      <c r="S27" s="63">
        <f>AJ61-AJ129+'06-23Closure'!D26</f>
        <v>5262.5325</v>
      </c>
      <c r="T27" s="63">
        <f>AK61-AK129+SUM('06-23Closure'!G26:O26)</f>
        <v>780.6</v>
      </c>
      <c r="U27" s="63">
        <f t="shared" si="13"/>
        <v>0</v>
      </c>
      <c r="V27" s="63">
        <f t="shared" si="14"/>
        <v>125</v>
      </c>
      <c r="W27" s="63">
        <f t="shared" si="18"/>
        <v>96</v>
      </c>
      <c r="X27" s="63"/>
      <c r="Y27" s="63"/>
      <c r="Z27" s="63"/>
      <c r="AA27" s="63"/>
      <c r="AB27" s="63"/>
      <c r="AC27" s="63"/>
      <c r="AD27" s="63"/>
      <c r="AE27" s="63"/>
      <c r="AF27" s="63"/>
      <c r="AH27" s="68" t="s">
        <v>126</v>
      </c>
      <c r="AI27" s="55">
        <v>11435</v>
      </c>
      <c r="AJ27" s="55">
        <v>8887</v>
      </c>
      <c r="AK27" s="55">
        <v>1825</v>
      </c>
      <c r="AL27" s="55"/>
      <c r="AM27" s="55">
        <v>527</v>
      </c>
      <c r="AN27" s="55">
        <v>196</v>
      </c>
      <c r="AO27" s="55"/>
      <c r="AP27" s="64">
        <v>1825</v>
      </c>
      <c r="AQ27" s="64">
        <v>1412</v>
      </c>
      <c r="AR27" s="64">
        <v>120</v>
      </c>
      <c r="AS27" s="69"/>
      <c r="AT27" s="64">
        <v>293</v>
      </c>
      <c r="AU27" s="64">
        <v>118</v>
      </c>
      <c r="AV27" s="65">
        <v>5</v>
      </c>
      <c r="AW27" s="64">
        <v>95</v>
      </c>
      <c r="AX27" s="69">
        <v>18</v>
      </c>
      <c r="AY27" s="66">
        <f t="shared" si="15"/>
        <v>193</v>
      </c>
      <c r="AZ27" s="67">
        <f t="shared" si="16"/>
        <v>115</v>
      </c>
    </row>
    <row r="28" spans="1:52">
      <c r="A28" s="68" t="s">
        <v>128</v>
      </c>
      <c r="B28" s="63">
        <f t="shared" si="0"/>
        <v>2063</v>
      </c>
      <c r="C28" s="63">
        <f t="shared" si="1"/>
        <v>194</v>
      </c>
      <c r="D28" s="63">
        <f>AK28-AK62+SUM('06-23Closure'!P27:T27)</f>
        <v>558</v>
      </c>
      <c r="E28" s="63">
        <f t="shared" si="2"/>
        <v>0</v>
      </c>
      <c r="F28" s="63">
        <f t="shared" si="3"/>
        <v>218</v>
      </c>
      <c r="G28" s="63">
        <f t="shared" si="4"/>
        <v>1091</v>
      </c>
      <c r="H28" s="63">
        <f>AQ28-AQ62+SUM('06-23Closure'!P27:T27)+J28</f>
        <v>464</v>
      </c>
      <c r="I28" s="63">
        <f t="shared" si="5"/>
        <v>62</v>
      </c>
      <c r="J28" s="63">
        <f t="shared" si="6"/>
        <v>0</v>
      </c>
      <c r="K28" s="63">
        <f t="shared" si="17"/>
        <v>6</v>
      </c>
      <c r="L28" s="63">
        <f t="shared" si="7"/>
        <v>0</v>
      </c>
      <c r="M28" s="63">
        <f t="shared" si="8"/>
        <v>28</v>
      </c>
      <c r="N28" s="63">
        <f t="shared" si="9"/>
        <v>6</v>
      </c>
      <c r="O28" s="63">
        <f t="shared" si="10"/>
        <v>6</v>
      </c>
      <c r="P28" s="63">
        <f t="shared" si="11"/>
        <v>62</v>
      </c>
      <c r="R28" s="63">
        <f t="shared" si="12"/>
        <v>3093</v>
      </c>
      <c r="S28" s="63">
        <f>AJ62-AJ130+'06-23Closure'!D27</f>
        <v>1268</v>
      </c>
      <c r="T28" s="63">
        <f>AK62-AK130+SUM('06-23Closure'!G27:O27)</f>
        <v>1633</v>
      </c>
      <c r="U28" s="63">
        <f t="shared" si="13"/>
        <v>0</v>
      </c>
      <c r="V28" s="63">
        <f t="shared" si="14"/>
        <v>362</v>
      </c>
      <c r="W28" s="63">
        <f t="shared" si="18"/>
        <v>46</v>
      </c>
      <c r="X28" s="63"/>
      <c r="Y28" s="63"/>
      <c r="Z28" s="63"/>
      <c r="AA28" s="63"/>
      <c r="AB28" s="63"/>
      <c r="AC28" s="63"/>
      <c r="AD28" s="63"/>
      <c r="AE28" s="63"/>
      <c r="AF28" s="63"/>
      <c r="AH28" s="68" t="s">
        <v>128</v>
      </c>
      <c r="AI28" s="55">
        <v>7573</v>
      </c>
      <c r="AJ28" s="55">
        <v>2283</v>
      </c>
      <c r="AK28" s="55">
        <v>3572</v>
      </c>
      <c r="AL28" s="55"/>
      <c r="AM28" s="55">
        <v>580</v>
      </c>
      <c r="AN28" s="55">
        <v>1137</v>
      </c>
      <c r="AO28" s="55"/>
      <c r="AP28" s="64">
        <v>3572</v>
      </c>
      <c r="AQ28" s="64">
        <v>3469</v>
      </c>
      <c r="AR28" s="69">
        <v>62</v>
      </c>
      <c r="AS28" s="69"/>
      <c r="AT28" s="64">
        <v>42</v>
      </c>
      <c r="AU28" s="64">
        <v>42</v>
      </c>
      <c r="AV28" s="65"/>
      <c r="AW28" s="69">
        <v>30</v>
      </c>
      <c r="AX28" s="69">
        <v>12</v>
      </c>
      <c r="AY28" s="66">
        <f t="shared" si="15"/>
        <v>12</v>
      </c>
      <c r="AZ28" s="67">
        <f t="shared" si="16"/>
        <v>62</v>
      </c>
    </row>
    <row r="29" spans="1:52">
      <c r="A29" s="68" t="s">
        <v>130</v>
      </c>
      <c r="B29" s="63">
        <f t="shared" si="0"/>
        <v>1990</v>
      </c>
      <c r="C29" s="63">
        <f t="shared" si="1"/>
        <v>1735</v>
      </c>
      <c r="D29" s="63">
        <f>AK29-AK63+SUM('06-23Closure'!P28:T28)</f>
        <v>-82.7</v>
      </c>
      <c r="E29" s="63">
        <f t="shared" si="2"/>
        <v>0</v>
      </c>
      <c r="F29" s="63">
        <f t="shared" si="3"/>
        <v>149</v>
      </c>
      <c r="G29" s="63">
        <f t="shared" si="4"/>
        <v>189</v>
      </c>
      <c r="H29" s="63">
        <f>AQ29-AQ63+SUM('06-23Closure'!P28:T28)+J29</f>
        <v>-2.7</v>
      </c>
      <c r="I29" s="63">
        <f t="shared" si="5"/>
        <v>1</v>
      </c>
      <c r="J29" s="63">
        <f t="shared" si="6"/>
        <v>0</v>
      </c>
      <c r="K29" s="63">
        <f t="shared" si="17"/>
        <v>7.4</v>
      </c>
      <c r="L29" s="63">
        <f t="shared" si="7"/>
        <v>0.4</v>
      </c>
      <c r="M29" s="63">
        <f t="shared" si="8"/>
        <v>23</v>
      </c>
      <c r="N29" s="63">
        <f t="shared" si="9"/>
        <v>7</v>
      </c>
      <c r="O29" s="63">
        <f t="shared" si="10"/>
        <v>-104</v>
      </c>
      <c r="P29" s="63">
        <f t="shared" si="11"/>
        <v>0.6</v>
      </c>
      <c r="R29" s="63">
        <f t="shared" si="12"/>
        <v>6424</v>
      </c>
      <c r="S29" s="63">
        <f>AJ63-AJ131+'06-23Closure'!D28</f>
        <v>4931.8032</v>
      </c>
      <c r="T29" s="63">
        <f>AK63-AK131+SUM('06-23Closure'!G28:O28)</f>
        <v>667.45</v>
      </c>
      <c r="U29" s="63">
        <f t="shared" si="13"/>
        <v>0</v>
      </c>
      <c r="V29" s="63">
        <f t="shared" si="14"/>
        <v>737</v>
      </c>
      <c r="W29" s="63">
        <f t="shared" si="18"/>
        <v>208</v>
      </c>
      <c r="X29" s="63"/>
      <c r="Y29" s="63"/>
      <c r="Z29" s="63"/>
      <c r="AA29" s="63"/>
      <c r="AB29" s="63"/>
      <c r="AC29" s="63"/>
      <c r="AD29" s="63"/>
      <c r="AE29" s="63"/>
      <c r="AF29" s="63"/>
      <c r="AH29" s="68" t="s">
        <v>130</v>
      </c>
      <c r="AI29" s="55">
        <v>10635</v>
      </c>
      <c r="AJ29" s="55">
        <v>7823</v>
      </c>
      <c r="AK29" s="55">
        <v>1529</v>
      </c>
      <c r="AL29" s="55"/>
      <c r="AM29" s="55">
        <v>886</v>
      </c>
      <c r="AN29" s="55">
        <v>397</v>
      </c>
      <c r="AO29" s="55">
        <v>0.2</v>
      </c>
      <c r="AP29" s="64">
        <v>1529</v>
      </c>
      <c r="AQ29" s="64">
        <v>1298</v>
      </c>
      <c r="AR29" s="64">
        <v>3</v>
      </c>
      <c r="AS29" s="69"/>
      <c r="AT29" s="64">
        <v>228</v>
      </c>
      <c r="AU29" s="64">
        <v>60</v>
      </c>
      <c r="AV29" s="65">
        <v>0.4</v>
      </c>
      <c r="AW29" s="64">
        <v>33</v>
      </c>
      <c r="AX29" s="69">
        <v>27</v>
      </c>
      <c r="AY29" s="66">
        <f t="shared" si="15"/>
        <v>195</v>
      </c>
      <c r="AZ29" s="67">
        <f t="shared" si="16"/>
        <v>2.6</v>
      </c>
    </row>
    <row r="30" spans="1:52">
      <c r="A30" s="68" t="s">
        <v>132</v>
      </c>
      <c r="B30" s="63">
        <f t="shared" si="0"/>
        <v>247</v>
      </c>
      <c r="C30" s="63">
        <f t="shared" si="1"/>
        <v>135</v>
      </c>
      <c r="D30" s="63">
        <f>AK30-AK64+SUM('06-23Closure'!P29:T29)</f>
        <v>3</v>
      </c>
      <c r="E30" s="63">
        <f t="shared" si="2"/>
        <v>0</v>
      </c>
      <c r="F30" s="63">
        <f t="shared" si="3"/>
        <v>2</v>
      </c>
      <c r="G30" s="63">
        <f t="shared" si="4"/>
        <v>106</v>
      </c>
      <c r="H30" s="63">
        <f>AQ30-AQ64+SUM('06-23Closure'!P29:T29)+J30</f>
        <v>1</v>
      </c>
      <c r="I30" s="63">
        <f t="shared" si="5"/>
        <v>0</v>
      </c>
      <c r="J30" s="63">
        <f t="shared" si="6"/>
        <v>0</v>
      </c>
      <c r="K30" s="63">
        <f t="shared" si="17"/>
        <v>0</v>
      </c>
      <c r="L30" s="63">
        <f t="shared" si="7"/>
        <v>0</v>
      </c>
      <c r="M30" s="63">
        <f t="shared" si="8"/>
        <v>2</v>
      </c>
      <c r="N30" s="63">
        <f t="shared" si="9"/>
        <v>0</v>
      </c>
      <c r="O30" s="63">
        <f t="shared" si="10"/>
        <v>-2</v>
      </c>
      <c r="P30" s="63">
        <f t="shared" si="11"/>
        <v>0</v>
      </c>
      <c r="R30" s="63">
        <f t="shared" si="12"/>
        <v>191</v>
      </c>
      <c r="S30" s="63">
        <f>AJ64-AJ132+'06-23Closure'!D29</f>
        <v>117</v>
      </c>
      <c r="T30" s="63">
        <f>AK64-AK132+SUM('06-23Closure'!G29:O29)</f>
        <v>43.2</v>
      </c>
      <c r="U30" s="63">
        <f t="shared" si="13"/>
        <v>0</v>
      </c>
      <c r="V30" s="63">
        <f t="shared" si="14"/>
        <v>1</v>
      </c>
      <c r="W30" s="63">
        <f t="shared" si="18"/>
        <v>33</v>
      </c>
      <c r="X30" s="63"/>
      <c r="Y30" s="63"/>
      <c r="Z30" s="63"/>
      <c r="AA30" s="63"/>
      <c r="AB30" s="63"/>
      <c r="AC30" s="63"/>
      <c r="AD30" s="63"/>
      <c r="AE30" s="63"/>
      <c r="AF30" s="63"/>
      <c r="AH30" s="68" t="s">
        <v>132</v>
      </c>
      <c r="AI30" s="55">
        <v>480</v>
      </c>
      <c r="AJ30" s="55">
        <v>291</v>
      </c>
      <c r="AK30" s="55">
        <v>43</v>
      </c>
      <c r="AL30" s="55"/>
      <c r="AM30" s="55">
        <v>3</v>
      </c>
      <c r="AN30" s="55">
        <v>139</v>
      </c>
      <c r="AO30" s="55">
        <v>4</v>
      </c>
      <c r="AP30" s="64">
        <v>43</v>
      </c>
      <c r="AQ30" s="69"/>
      <c r="AR30" s="69"/>
      <c r="AS30" s="64">
        <v>39</v>
      </c>
      <c r="AT30" s="64">
        <v>1</v>
      </c>
      <c r="AU30" s="64">
        <v>2</v>
      </c>
      <c r="AV30" s="70"/>
      <c r="AW30" s="69">
        <v>2</v>
      </c>
      <c r="AX30" s="64"/>
      <c r="AY30" s="66">
        <f t="shared" si="15"/>
        <v>0</v>
      </c>
      <c r="AZ30" s="67">
        <f t="shared" si="16"/>
        <v>0</v>
      </c>
    </row>
    <row r="31" spans="1:52">
      <c r="A31" s="68" t="s">
        <v>134</v>
      </c>
      <c r="B31" s="63">
        <f t="shared" si="0"/>
        <v>3896</v>
      </c>
      <c r="C31" s="63">
        <f t="shared" si="1"/>
        <v>77</v>
      </c>
      <c r="D31" s="63">
        <f>AK31-AK65+SUM('06-23Closure'!P30:T30)</f>
        <v>2011</v>
      </c>
      <c r="E31" s="63">
        <f t="shared" si="2"/>
        <v>0</v>
      </c>
      <c r="F31" s="63">
        <f t="shared" si="3"/>
        <v>842</v>
      </c>
      <c r="G31" s="63">
        <f t="shared" si="4"/>
        <v>1068</v>
      </c>
      <c r="H31" s="63">
        <f>AQ31-AQ65+SUM('06-23Closure'!P30:T30)+J31</f>
        <v>1821</v>
      </c>
      <c r="I31" s="63">
        <f t="shared" si="5"/>
        <v>22</v>
      </c>
      <c r="J31" s="63">
        <f t="shared" si="6"/>
        <v>0</v>
      </c>
      <c r="K31" s="63">
        <f t="shared" si="17"/>
        <v>16</v>
      </c>
      <c r="L31" s="63">
        <f t="shared" si="7"/>
        <v>2</v>
      </c>
      <c r="M31" s="63">
        <f t="shared" si="8"/>
        <v>33</v>
      </c>
      <c r="N31" s="63">
        <f t="shared" si="9"/>
        <v>14</v>
      </c>
      <c r="O31" s="63">
        <f t="shared" si="10"/>
        <v>133</v>
      </c>
      <c r="P31" s="63">
        <f t="shared" si="11"/>
        <v>20</v>
      </c>
      <c r="R31" s="63">
        <f t="shared" si="12"/>
        <v>2324</v>
      </c>
      <c r="S31" s="63">
        <f>AJ65-AJ133+'06-23Closure'!D30</f>
        <v>93</v>
      </c>
      <c r="T31" s="63">
        <f>AK65-AK133+SUM('06-23Closure'!G30:O30)</f>
        <v>1971</v>
      </c>
      <c r="U31" s="63">
        <f t="shared" si="13"/>
        <v>0</v>
      </c>
      <c r="V31" s="63">
        <f t="shared" si="14"/>
        <v>179</v>
      </c>
      <c r="W31" s="63">
        <f t="shared" si="18"/>
        <v>246</v>
      </c>
      <c r="X31" s="63"/>
      <c r="Y31" s="63"/>
      <c r="Z31" s="63"/>
      <c r="AA31" s="63"/>
      <c r="AB31" s="63"/>
      <c r="AC31" s="63"/>
      <c r="AD31" s="63"/>
      <c r="AE31" s="63"/>
      <c r="AF31" s="63"/>
      <c r="AH31" s="68" t="s">
        <v>134</v>
      </c>
      <c r="AI31" s="55">
        <v>7636</v>
      </c>
      <c r="AJ31" s="55">
        <v>349</v>
      </c>
      <c r="AK31" s="55">
        <v>4952</v>
      </c>
      <c r="AL31" s="55"/>
      <c r="AM31" s="55">
        <v>1021</v>
      </c>
      <c r="AN31" s="55">
        <v>1314</v>
      </c>
      <c r="AO31" s="55"/>
      <c r="AP31" s="64">
        <v>4952</v>
      </c>
      <c r="AQ31" s="64">
        <v>4716</v>
      </c>
      <c r="AR31" s="64">
        <v>22</v>
      </c>
      <c r="AS31" s="69"/>
      <c r="AT31" s="64">
        <v>214</v>
      </c>
      <c r="AU31" s="64">
        <v>51</v>
      </c>
      <c r="AV31" s="65">
        <v>2</v>
      </c>
      <c r="AW31" s="64">
        <v>35</v>
      </c>
      <c r="AX31" s="69">
        <v>14</v>
      </c>
      <c r="AY31" s="66">
        <f t="shared" si="15"/>
        <v>177</v>
      </c>
      <c r="AZ31" s="67">
        <f t="shared" si="16"/>
        <v>20</v>
      </c>
    </row>
    <row r="32" spans="1:52">
      <c r="A32" s="68" t="s">
        <v>136</v>
      </c>
      <c r="B32" s="63">
        <f t="shared" si="0"/>
        <v>1327</v>
      </c>
      <c r="C32" s="63">
        <f t="shared" si="1"/>
        <v>106</v>
      </c>
      <c r="D32" s="63">
        <f>AK32-AK66+SUM('06-23Closure'!P31:T31)</f>
        <v>347</v>
      </c>
      <c r="E32" s="63">
        <f t="shared" si="2"/>
        <v>0</v>
      </c>
      <c r="F32" s="63">
        <f t="shared" si="3"/>
        <v>448</v>
      </c>
      <c r="G32" s="63">
        <f t="shared" si="4"/>
        <v>460</v>
      </c>
      <c r="H32" s="63">
        <f>AQ32-AQ66+SUM('06-23Closure'!P31:T31)+J32</f>
        <v>331</v>
      </c>
      <c r="I32" s="63">
        <f t="shared" si="5"/>
        <v>-7</v>
      </c>
      <c r="J32" s="63">
        <f t="shared" si="6"/>
        <v>0</v>
      </c>
      <c r="K32" s="63">
        <f t="shared" si="17"/>
        <v>3</v>
      </c>
      <c r="L32" s="63">
        <f t="shared" si="7"/>
        <v>0</v>
      </c>
      <c r="M32" s="63">
        <f t="shared" si="8"/>
        <v>9</v>
      </c>
      <c r="N32" s="63">
        <f t="shared" si="9"/>
        <v>3</v>
      </c>
      <c r="O32" s="63">
        <f t="shared" si="10"/>
        <v>13</v>
      </c>
      <c r="P32" s="63">
        <f t="shared" si="11"/>
        <v>-7</v>
      </c>
      <c r="R32" s="63">
        <f t="shared" si="12"/>
        <v>3566</v>
      </c>
      <c r="S32" s="63">
        <f>AJ66-AJ134+'06-23Closure'!D31</f>
        <v>421</v>
      </c>
      <c r="T32" s="63">
        <f>AK66-AK134+SUM('06-23Closure'!G31:O31)</f>
        <v>1282.7</v>
      </c>
      <c r="U32" s="63">
        <f t="shared" si="13"/>
        <v>0</v>
      </c>
      <c r="V32" s="63">
        <f t="shared" si="14"/>
        <v>1251</v>
      </c>
      <c r="W32" s="63">
        <f t="shared" si="18"/>
        <v>686</v>
      </c>
      <c r="X32" s="63"/>
      <c r="Y32" s="63"/>
      <c r="Z32" s="63"/>
      <c r="AA32" s="63"/>
      <c r="AB32" s="63"/>
      <c r="AC32" s="63"/>
      <c r="AD32" s="63"/>
      <c r="AE32" s="63"/>
      <c r="AF32" s="63"/>
      <c r="AH32" s="68" t="s">
        <v>136</v>
      </c>
      <c r="AI32" s="55">
        <v>6152</v>
      </c>
      <c r="AJ32" s="55">
        <v>967</v>
      </c>
      <c r="AK32" s="55">
        <v>2309</v>
      </c>
      <c r="AL32" s="55"/>
      <c r="AM32" s="55">
        <v>1725</v>
      </c>
      <c r="AN32" s="55">
        <v>1146</v>
      </c>
      <c r="AO32" s="55">
        <v>6</v>
      </c>
      <c r="AP32" s="64">
        <v>2309</v>
      </c>
      <c r="AQ32" s="64">
        <v>2257</v>
      </c>
      <c r="AR32" s="64"/>
      <c r="AS32" s="69"/>
      <c r="AT32" s="64">
        <v>51</v>
      </c>
      <c r="AU32" s="64">
        <v>20</v>
      </c>
      <c r="AV32" s="65"/>
      <c r="AW32" s="64">
        <v>14</v>
      </c>
      <c r="AX32" s="69">
        <v>6</v>
      </c>
      <c r="AY32" s="66">
        <f t="shared" si="15"/>
        <v>37</v>
      </c>
      <c r="AZ32" s="67">
        <f t="shared" si="16"/>
        <v>0</v>
      </c>
    </row>
    <row r="33" spans="1:52">
      <c r="A33" s="68" t="s">
        <v>138</v>
      </c>
      <c r="B33" s="63">
        <f t="shared" si="0"/>
        <v>1769</v>
      </c>
      <c r="C33" s="63">
        <f t="shared" si="1"/>
        <v>1</v>
      </c>
      <c r="D33" s="63">
        <f>AK33-AK67+SUM('06-23Closure'!P32:T32)</f>
        <v>-9</v>
      </c>
      <c r="E33" s="63">
        <f t="shared" si="2"/>
        <v>0</v>
      </c>
      <c r="F33" s="63">
        <f t="shared" si="3"/>
        <v>827</v>
      </c>
      <c r="G33" s="63">
        <f t="shared" si="4"/>
        <v>950</v>
      </c>
      <c r="H33" s="63">
        <f>AQ33-AQ67+SUM('06-23Closure'!P32:T32)+J33</f>
        <v>5</v>
      </c>
      <c r="I33" s="63">
        <f t="shared" si="5"/>
        <v>-32</v>
      </c>
      <c r="J33" s="63">
        <f t="shared" si="6"/>
        <v>0</v>
      </c>
      <c r="K33" s="63">
        <f t="shared" si="17"/>
        <v>1</v>
      </c>
      <c r="L33" s="63">
        <f t="shared" si="7"/>
        <v>1</v>
      </c>
      <c r="M33" s="63">
        <f t="shared" si="8"/>
        <v>0</v>
      </c>
      <c r="N33" s="63">
        <f t="shared" si="9"/>
        <v>0</v>
      </c>
      <c r="O33" s="63">
        <f t="shared" si="10"/>
        <v>16</v>
      </c>
      <c r="P33" s="63">
        <f t="shared" si="11"/>
        <v>-33</v>
      </c>
      <c r="R33" s="63">
        <f t="shared" si="12"/>
        <v>1571</v>
      </c>
      <c r="S33" s="63">
        <f>AJ67-AJ135+'06-23Closure'!D32</f>
        <v>609</v>
      </c>
      <c r="T33" s="63">
        <f>AK67-AK135+SUM('06-23Closure'!G32:O32)</f>
        <v>242</v>
      </c>
      <c r="U33" s="63">
        <f t="shared" si="13"/>
        <v>0</v>
      </c>
      <c r="V33" s="63">
        <f t="shared" si="14"/>
        <v>69</v>
      </c>
      <c r="W33" s="63">
        <f t="shared" si="18"/>
        <v>682</v>
      </c>
      <c r="X33" s="63"/>
      <c r="Y33" s="63"/>
      <c r="Z33" s="63"/>
      <c r="AA33" s="63"/>
      <c r="AB33" s="63"/>
      <c r="AC33" s="63"/>
      <c r="AD33" s="63"/>
      <c r="AE33" s="63"/>
      <c r="AF33" s="63"/>
      <c r="AH33" s="68" t="s">
        <v>138</v>
      </c>
      <c r="AI33" s="55">
        <v>4114</v>
      </c>
      <c r="AJ33" s="55">
        <v>1193</v>
      </c>
      <c r="AK33" s="55">
        <v>393</v>
      </c>
      <c r="AL33" s="55"/>
      <c r="AM33" s="55">
        <v>896</v>
      </c>
      <c r="AN33" s="55">
        <v>1632</v>
      </c>
      <c r="AO33" s="55"/>
      <c r="AP33" s="64">
        <v>393</v>
      </c>
      <c r="AQ33" s="64">
        <v>375</v>
      </c>
      <c r="AR33" s="71">
        <v>1</v>
      </c>
      <c r="AS33" s="69"/>
      <c r="AT33" s="64">
        <v>17</v>
      </c>
      <c r="AU33" s="64">
        <v>1</v>
      </c>
      <c r="AV33" s="65">
        <v>1</v>
      </c>
      <c r="AW33" s="71"/>
      <c r="AX33" s="69"/>
      <c r="AY33" s="66">
        <f t="shared" si="15"/>
        <v>16</v>
      </c>
      <c r="AZ33" s="67">
        <f t="shared" si="16"/>
        <v>0</v>
      </c>
    </row>
    <row r="34" spans="1:52">
      <c r="A34" s="68" t="s">
        <v>140</v>
      </c>
      <c r="B34" s="63">
        <f t="shared" si="0"/>
        <v>2539</v>
      </c>
      <c r="C34" s="63">
        <f t="shared" si="1"/>
        <v>0</v>
      </c>
      <c r="D34" s="63">
        <f>AK34-AK68+SUM('06-23Closure'!P33:T33)</f>
        <v>1231</v>
      </c>
      <c r="E34" s="63">
        <f t="shared" si="2"/>
        <v>0</v>
      </c>
      <c r="F34" s="63">
        <f t="shared" si="3"/>
        <v>513</v>
      </c>
      <c r="G34" s="63">
        <f t="shared" si="4"/>
        <v>858</v>
      </c>
      <c r="H34" s="63">
        <f>AQ34-AQ68+SUM('06-23Closure'!P33:T33)+J34</f>
        <v>1221</v>
      </c>
      <c r="I34" s="63">
        <f t="shared" si="5"/>
        <v>-28</v>
      </c>
      <c r="J34" s="63">
        <f t="shared" si="6"/>
        <v>0</v>
      </c>
      <c r="K34" s="63">
        <f t="shared" si="17"/>
        <v>3</v>
      </c>
      <c r="L34" s="63">
        <f t="shared" si="7"/>
        <v>0</v>
      </c>
      <c r="M34" s="63">
        <f t="shared" si="8"/>
        <v>3</v>
      </c>
      <c r="N34" s="63">
        <f t="shared" si="9"/>
        <v>3</v>
      </c>
      <c r="O34" s="63">
        <f t="shared" si="10"/>
        <v>36</v>
      </c>
      <c r="P34" s="63">
        <f t="shared" si="11"/>
        <v>-28</v>
      </c>
      <c r="R34" s="63">
        <f t="shared" si="12"/>
        <v>2924</v>
      </c>
      <c r="S34" s="63">
        <f>AJ68-AJ136+'06-23Closure'!D33</f>
        <v>0</v>
      </c>
      <c r="T34" s="63">
        <f>AK68-AK136+SUM('06-23Closure'!G33:O33)</f>
        <v>1527.6</v>
      </c>
      <c r="U34" s="63">
        <f t="shared" si="13"/>
        <v>0</v>
      </c>
      <c r="V34" s="63">
        <f t="shared" si="14"/>
        <v>937</v>
      </c>
      <c r="W34" s="63">
        <f t="shared" si="18"/>
        <v>526</v>
      </c>
      <c r="X34" s="63"/>
      <c r="Y34" s="63"/>
      <c r="Z34" s="63"/>
      <c r="AA34" s="63"/>
      <c r="AB34" s="63"/>
      <c r="AC34" s="63"/>
      <c r="AD34" s="63"/>
      <c r="AE34" s="63"/>
      <c r="AF34" s="63"/>
      <c r="AH34" s="68" t="s">
        <v>140</v>
      </c>
      <c r="AI34" s="55">
        <v>6214</v>
      </c>
      <c r="AJ34" s="55">
        <v>43</v>
      </c>
      <c r="AK34" s="55">
        <v>3333</v>
      </c>
      <c r="AL34" s="55"/>
      <c r="AM34" s="55">
        <v>1455</v>
      </c>
      <c r="AN34" s="55">
        <v>1384</v>
      </c>
      <c r="AO34" s="55"/>
      <c r="AP34" s="64">
        <v>3333</v>
      </c>
      <c r="AQ34" s="64">
        <v>3166</v>
      </c>
      <c r="AR34" s="64">
        <v>53</v>
      </c>
      <c r="AS34" s="69"/>
      <c r="AT34" s="64">
        <v>114</v>
      </c>
      <c r="AU34" s="64">
        <v>13</v>
      </c>
      <c r="AV34" s="65"/>
      <c r="AW34" s="64">
        <v>5</v>
      </c>
      <c r="AX34" s="69">
        <v>8</v>
      </c>
      <c r="AY34" s="66">
        <f t="shared" si="15"/>
        <v>109</v>
      </c>
      <c r="AZ34" s="67">
        <f t="shared" si="16"/>
        <v>53</v>
      </c>
    </row>
    <row r="35" spans="1:52">
      <c r="A35" s="68" t="s">
        <v>142</v>
      </c>
      <c r="B35" s="63">
        <f t="shared" si="0"/>
        <v>3438</v>
      </c>
      <c r="C35" s="63">
        <f t="shared" si="1"/>
        <v>269</v>
      </c>
      <c r="D35" s="63">
        <f>AK35-AK69+SUM('06-23Closure'!P34:T34)</f>
        <v>2238</v>
      </c>
      <c r="E35" s="63">
        <f t="shared" si="2"/>
        <v>0</v>
      </c>
      <c r="F35" s="63">
        <f t="shared" si="3"/>
        <v>632</v>
      </c>
      <c r="G35" s="63">
        <f t="shared" si="4"/>
        <v>461</v>
      </c>
      <c r="H35" s="63">
        <f>AQ35-AQ69+SUM('06-23Closure'!P34:T34)+J35</f>
        <v>2125</v>
      </c>
      <c r="I35" s="63">
        <f t="shared" si="5"/>
        <v>31</v>
      </c>
      <c r="J35" s="63">
        <f t="shared" si="6"/>
        <v>0</v>
      </c>
      <c r="K35" s="63">
        <f t="shared" si="17"/>
        <v>2</v>
      </c>
      <c r="L35" s="63">
        <f t="shared" si="7"/>
        <v>0</v>
      </c>
      <c r="M35" s="63">
        <f t="shared" si="8"/>
        <v>17</v>
      </c>
      <c r="N35" s="63">
        <f t="shared" si="9"/>
        <v>2</v>
      </c>
      <c r="O35" s="63">
        <f t="shared" si="10"/>
        <v>65</v>
      </c>
      <c r="P35" s="63">
        <f t="shared" si="11"/>
        <v>31</v>
      </c>
      <c r="R35" s="63">
        <f t="shared" si="12"/>
        <v>7206</v>
      </c>
      <c r="S35" s="63">
        <f>AJ69-AJ137+'06-23Closure'!D34</f>
        <v>451</v>
      </c>
      <c r="T35" s="63">
        <f>AK69-AK137+SUM('06-23Closure'!G34:O34)</f>
        <v>4512.1</v>
      </c>
      <c r="U35" s="63">
        <f t="shared" si="13"/>
        <v>0</v>
      </c>
      <c r="V35" s="63">
        <f t="shared" si="14"/>
        <v>1743</v>
      </c>
      <c r="W35" s="63">
        <f t="shared" si="18"/>
        <v>893</v>
      </c>
      <c r="X35" s="63"/>
      <c r="Y35" s="63"/>
      <c r="Z35" s="63"/>
      <c r="AA35" s="63"/>
      <c r="AB35" s="63"/>
      <c r="AC35" s="63"/>
      <c r="AD35" s="63"/>
      <c r="AE35" s="63"/>
      <c r="AF35" s="63"/>
      <c r="AH35" s="68" t="s">
        <v>142</v>
      </c>
      <c r="AI35" s="55">
        <v>11547</v>
      </c>
      <c r="AJ35" s="55">
        <v>934</v>
      </c>
      <c r="AK35" s="55">
        <v>6845</v>
      </c>
      <c r="AL35" s="55"/>
      <c r="AM35" s="55">
        <v>2408</v>
      </c>
      <c r="AN35" s="55">
        <v>1354</v>
      </c>
      <c r="AO35" s="55">
        <v>6</v>
      </c>
      <c r="AP35" s="64">
        <v>6845</v>
      </c>
      <c r="AQ35" s="64">
        <v>6599</v>
      </c>
      <c r="AR35" s="64">
        <v>99</v>
      </c>
      <c r="AS35" s="69"/>
      <c r="AT35" s="64">
        <v>147</v>
      </c>
      <c r="AU35" s="64">
        <v>22</v>
      </c>
      <c r="AV35" s="65"/>
      <c r="AW35" s="64">
        <v>17</v>
      </c>
      <c r="AX35" s="69">
        <v>5</v>
      </c>
      <c r="AY35" s="66">
        <f t="shared" si="15"/>
        <v>130</v>
      </c>
      <c r="AZ35" s="67">
        <f t="shared" si="16"/>
        <v>99</v>
      </c>
    </row>
    <row r="36" spans="1:52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</row>
    <row r="37" ht="26.25" customHeight="1" spans="1:52">
      <c r="A37" s="73"/>
      <c r="B37" s="74" t="s">
        <v>2341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R37" s="74" t="s">
        <v>2342</v>
      </c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H37" s="73"/>
      <c r="AI37" s="73" t="s">
        <v>2343</v>
      </c>
      <c r="AJ37" s="73" t="s">
        <v>2343</v>
      </c>
      <c r="AK37" s="73" t="s">
        <v>2343</v>
      </c>
      <c r="AL37" s="73" t="s">
        <v>2343</v>
      </c>
      <c r="AM37" s="73" t="s">
        <v>2343</v>
      </c>
      <c r="AN37" s="73" t="s">
        <v>2343</v>
      </c>
      <c r="AO37" s="73" t="s">
        <v>2343</v>
      </c>
      <c r="AP37" s="73" t="s">
        <v>2343</v>
      </c>
      <c r="AQ37" s="73" t="s">
        <v>2343</v>
      </c>
      <c r="AR37" s="73" t="s">
        <v>2343</v>
      </c>
      <c r="AS37" s="73" t="s">
        <v>2343</v>
      </c>
      <c r="AT37" s="73" t="s">
        <v>2343</v>
      </c>
      <c r="AU37" s="73" t="s">
        <v>2343</v>
      </c>
      <c r="AV37" s="73" t="s">
        <v>2343</v>
      </c>
      <c r="AW37" s="73" t="s">
        <v>2343</v>
      </c>
      <c r="AX37" s="73" t="s">
        <v>2343</v>
      </c>
      <c r="AY37" s="73" t="s">
        <v>2343</v>
      </c>
      <c r="AZ37" s="73" t="s">
        <v>2343</v>
      </c>
    </row>
    <row r="38" spans="1:52">
      <c r="A38" s="62" t="s">
        <v>80</v>
      </c>
      <c r="B38" s="63"/>
      <c r="C38" s="63">
        <f>SUM(C39:C69)</f>
        <v>6252.49</v>
      </c>
      <c r="D38" s="63">
        <f t="shared" ref="D38:P38" si="19">SUM(D39:D69)</f>
        <v>23590.92</v>
      </c>
      <c r="E38" s="63">
        <f t="shared" si="19"/>
        <v>1961.68</v>
      </c>
      <c r="F38" s="63">
        <f t="shared" si="19"/>
        <v>18364.18</v>
      </c>
      <c r="G38" s="63">
        <f t="shared" si="19"/>
        <v>22829.62</v>
      </c>
      <c r="H38" s="63">
        <f t="shared" si="19"/>
        <v>16632.24</v>
      </c>
      <c r="I38" s="63">
        <f t="shared" si="19"/>
        <v>3548.29</v>
      </c>
      <c r="J38" s="63">
        <f t="shared" si="19"/>
        <v>0</v>
      </c>
      <c r="K38" s="63">
        <f t="shared" si="19"/>
        <v>743.4</v>
      </c>
      <c r="L38" s="63">
        <f t="shared" si="19"/>
        <v>16.9</v>
      </c>
      <c r="M38" s="63">
        <f t="shared" si="19"/>
        <v>1474.03</v>
      </c>
      <c r="N38" s="63">
        <f t="shared" si="19"/>
        <v>726.5</v>
      </c>
      <c r="O38" s="63">
        <f t="shared" si="19"/>
        <v>1209.86</v>
      </c>
      <c r="P38" s="63">
        <f t="shared" si="19"/>
        <v>3531.39</v>
      </c>
      <c r="R38" s="63"/>
      <c r="S38" s="63">
        <f>SUM(S39:S69)</f>
        <v>16687.12</v>
      </c>
      <c r="T38" s="63">
        <f t="shared" ref="T38" si="20">SUM(T39:T69)</f>
        <v>50929.66</v>
      </c>
      <c r="U38" s="63">
        <f t="shared" ref="U38" si="21">SUM(U39:U69)</f>
        <v>2449</v>
      </c>
      <c r="V38" s="63">
        <f t="shared" ref="V38:W38" si="22">SUM(V39:V69)</f>
        <v>14501.86</v>
      </c>
      <c r="W38" s="63">
        <f t="shared" si="22"/>
        <v>6729.69</v>
      </c>
      <c r="X38" s="63">
        <f t="shared" ref="X38" si="23">SUM(X39:X69)</f>
        <v>44910.79</v>
      </c>
      <c r="Y38" s="63">
        <f t="shared" ref="Y38" si="24">SUM(Y39:Y69)</f>
        <v>3350.6</v>
      </c>
      <c r="Z38" s="63">
        <f t="shared" ref="Z38" si="25">SUM(Z39:Z69)</f>
        <v>27.15</v>
      </c>
      <c r="AA38" s="63">
        <f t="shared" ref="AA38" si="26">SUM(AA39:AA69)</f>
        <v>449.38</v>
      </c>
      <c r="AB38" s="63">
        <f t="shared" ref="AB38" si="27">SUM(AB39:AB69)</f>
        <v>4.8</v>
      </c>
      <c r="AC38" s="63">
        <f t="shared" ref="AC38" si="28">SUM(AC39:AC69)</f>
        <v>158.47</v>
      </c>
      <c r="AD38" s="63">
        <f t="shared" ref="AD38" si="29">SUM(AD39:AD69)</f>
        <v>444.58</v>
      </c>
      <c r="AE38" s="63">
        <f t="shared" ref="AE38" si="30">SUM(AE39:AE69)</f>
        <v>2038.07</v>
      </c>
      <c r="AF38" s="63">
        <f t="shared" ref="AF38" si="31">SUM(AF39:AF69)</f>
        <v>3345.8</v>
      </c>
      <c r="AH38" s="62" t="s">
        <v>80</v>
      </c>
      <c r="AI38" s="76">
        <v>165051</v>
      </c>
      <c r="AJ38" s="76">
        <v>33207</v>
      </c>
      <c r="AK38" s="76">
        <v>106094</v>
      </c>
      <c r="AL38" s="55">
        <v>3364</v>
      </c>
      <c r="AM38" s="55">
        <v>14747</v>
      </c>
      <c r="AN38" s="55">
        <v>7631</v>
      </c>
      <c r="AO38" s="55">
        <v>7</v>
      </c>
      <c r="AP38" s="77">
        <f t="shared" ref="AP38:AP69" si="32">SUM(AQ38:AT38)</f>
        <v>106095</v>
      </c>
      <c r="AQ38" s="55">
        <v>94654</v>
      </c>
      <c r="AR38" s="55">
        <v>7011</v>
      </c>
      <c r="AS38" s="55">
        <v>210</v>
      </c>
      <c r="AT38" s="55">
        <v>4220</v>
      </c>
      <c r="AU38" s="76">
        <v>1396</v>
      </c>
      <c r="AV38" s="76">
        <v>45</v>
      </c>
      <c r="AW38" s="76">
        <v>576</v>
      </c>
      <c r="AX38" s="76">
        <v>776</v>
      </c>
      <c r="AY38" s="66">
        <f t="shared" ref="AY38:AY69" si="33">MAX(AT38-AU38+AX38,0)</f>
        <v>3600</v>
      </c>
      <c r="AZ38" s="67">
        <f t="shared" ref="AZ38:AZ69" si="34">AR38-AV38</f>
        <v>6966</v>
      </c>
    </row>
    <row r="39" spans="1:52">
      <c r="A39" s="68" t="s">
        <v>82</v>
      </c>
      <c r="B39" s="63"/>
      <c r="C39" s="63">
        <f>SUMIFS('08-21addition'!O:O,'08-21addition'!$A:$A,$A39,'08-21addition'!$B:$B,"&gt;=2017")+SUMIFS('08-21addition'!P:P,'08-21addition'!$A:$A,$A39,'08-21addition'!$B:$B,"&gt;=2017")</f>
        <v>0</v>
      </c>
      <c r="D39" s="63">
        <f>+H39+J39+L39+M39+N39+O39+P39</f>
        <v>182.72</v>
      </c>
      <c r="E39" s="63">
        <f>SUMIFS('08-21addition'!D:D,'08-21addition'!$A:$A,$A39,'08-21addition'!$B:$B,"&gt;=2017")</f>
        <v>0</v>
      </c>
      <c r="F39" s="63">
        <f>SUMIFS('08-21addition'!C:C,'08-21addition'!$A:$A,$A39,'08-21addition'!$B:$B,"&gt;=2017")</f>
        <v>10.17</v>
      </c>
      <c r="G39" s="63">
        <f>SUMIFS('08-21addition'!Q:Q,'08-21addition'!$A:$A,$A39,'08-21addition'!$B:$B,"&gt;=2017")</f>
        <v>70.17</v>
      </c>
      <c r="H39" s="63">
        <f>SUMIFS('08-21addition'!H:H,'08-21addition'!$A:$A,$A39,'08-21addition'!$B:$B,"&gt;=2017")+SUMIFS('08-21addition'!I:I,'08-21addition'!$A:$A,$A39,'08-21addition'!$B:$B,"&gt;=2017")</f>
        <v>0</v>
      </c>
      <c r="I39" s="63">
        <f>P39+L39</f>
        <v>156.72</v>
      </c>
      <c r="J39" s="63">
        <f>SUMIFS('08-21addition'!M:M,'08-21addition'!$A:$A,$A39,'08-21addition'!$B:$B,"&gt;=2017")</f>
        <v>0</v>
      </c>
      <c r="K39" s="63">
        <f>L39+N39</f>
        <v>0.62</v>
      </c>
      <c r="L39" s="63">
        <f>SUMIFS('08-21addition'!L:L,'08-21addition'!$A:$A,$A39,'08-21addition'!$B:$B,"&gt;=2017")</f>
        <v>0.62</v>
      </c>
      <c r="M39" s="63">
        <f>SUMIFS('08-21addition'!F:F,'08-21addition'!$A:$A,$A39,'08-21addition'!$B:$B,"&gt;=2017")</f>
        <v>26</v>
      </c>
      <c r="N39" s="63">
        <f>SUMIFS('08-21addition'!E:E,'08-21addition'!$A:$A,$A39,'08-21addition'!$B:$B,"&gt;=2017")</f>
        <v>0</v>
      </c>
      <c r="O39" s="63">
        <f>SUMIFS('08-21addition'!G:G,'08-21addition'!$A:$A,$A39,'08-21addition'!$B:$B,"&gt;=2017")</f>
        <v>0</v>
      </c>
      <c r="P39" s="63">
        <f>SUMIFS('08-21addition'!K:K,'08-21addition'!$A:$A,$A39,'08-21addition'!$B:$B,"&gt;=2017")+SUMIFS('08-21addition'!J:J,'08-21addition'!$A:$A,$A39,'08-21addition'!$B:$B,"&gt;=2017")</f>
        <v>156.1</v>
      </c>
      <c r="R39" s="63"/>
      <c r="S39" s="63">
        <f>SUMIFS('08-21addition'!O:O,'08-21addition'!$A:$A,$A39,'08-21addition'!$B:$B,"&gt;=2008")+SUMIFS('08-21addition'!P:P,'08-21addition'!$A:$A,$A39,'08-21addition'!$B:$B,"&gt;=2008")-C39</f>
        <v>0</v>
      </c>
      <c r="T39" s="63">
        <f>+X39+Z39+AB39+AC39+AD39+AE39+AF39</f>
        <v>800.92</v>
      </c>
      <c r="U39" s="63">
        <f>SUMIFS('08-21addition'!D:D,'08-21addition'!$A:$A,$A39,'08-21addition'!$B:$B,"&gt;=2008")-E39</f>
        <v>0</v>
      </c>
      <c r="V39" s="63">
        <f>SUMIFS('08-21addition'!C:C,'08-21addition'!$A:$A,$A39,'08-21addition'!$B:$B,"&gt;=2008")-F39</f>
        <v>15.75</v>
      </c>
      <c r="W39" s="63">
        <f>SUMIFS('08-21addition'!Q:Q,'08-21addition'!$A:$A,$A39,'08-21addition'!$B:$B,"&gt;=2008")-G39</f>
        <v>22.87</v>
      </c>
      <c r="X39" s="63">
        <f>SUMIFS('08-21addition'!H:H,'08-21addition'!$A:$A,$A39,'08-21addition'!$B:$B,"&gt;=2008")+SUMIFS('08-21addition'!I:I,'08-21addition'!$A:$A,$A39,'08-21addition'!$B:$B,"&gt;=2008")-H39</f>
        <v>16</v>
      </c>
      <c r="Y39" s="63">
        <f>AF39+AB39</f>
        <v>780.17</v>
      </c>
      <c r="Z39" s="63">
        <f>SUMIFS('08-21addition'!M:M,'08-21addition'!$A:$A,$A39,'08-21addition'!$B:$B,"&gt;=2008")-J39</f>
        <v>0</v>
      </c>
      <c r="AA39" s="63">
        <f>AB39+AD39</f>
        <v>0</v>
      </c>
      <c r="AB39" s="63">
        <f>SUMIFS('08-21addition'!L:L,'08-21addition'!$A:$A,$A39,'08-21addition'!$B:$B,"&gt;=2008")-L39</f>
        <v>0</v>
      </c>
      <c r="AC39" s="63">
        <f>SUMIFS('08-21addition'!F:F,'08-21addition'!$A:$A,$A39,'08-21addition'!$B:$B,"&gt;=2008")-M39</f>
        <v>0</v>
      </c>
      <c r="AD39" s="63">
        <f>SUMIFS('08-21addition'!E:E,'08-21addition'!$A:$A,$A39,'08-21addition'!$B:$B,"&gt;=2008")-N39</f>
        <v>0</v>
      </c>
      <c r="AE39" s="63">
        <f>SUMIFS('08-21addition'!G:G,'08-21addition'!$A:$A,$A39,'08-21addition'!$B:$B,"&gt;=2008")-O39</f>
        <v>4.75</v>
      </c>
      <c r="AF39" s="63">
        <f>SUMIFS('08-21addition'!K:K,'08-21addition'!$A:$A,$A39,'08-21addition'!$B:$B,"&gt;=2008")+SUMIFS('08-21addition'!J:J,'08-21addition'!$A:$A,$A39,'08-21addition'!$B:$B,"&gt;=2008")-P39</f>
        <v>780.17</v>
      </c>
      <c r="AH39" s="68" t="s">
        <v>82</v>
      </c>
      <c r="AI39" s="76">
        <v>1103</v>
      </c>
      <c r="AJ39" s="76">
        <v>98</v>
      </c>
      <c r="AK39" s="76">
        <v>971</v>
      </c>
      <c r="AL39" s="78"/>
      <c r="AM39" s="55">
        <v>19</v>
      </c>
      <c r="AN39" s="55">
        <v>15</v>
      </c>
      <c r="AO39" s="78"/>
      <c r="AP39" s="77">
        <f t="shared" si="32"/>
        <v>972</v>
      </c>
      <c r="AQ39" s="55">
        <v>85</v>
      </c>
      <c r="AR39" s="55">
        <v>850</v>
      </c>
      <c r="AS39" s="55">
        <v>22</v>
      </c>
      <c r="AT39" s="55">
        <v>15</v>
      </c>
      <c r="AU39" s="76">
        <v>14</v>
      </c>
      <c r="AV39" s="76">
        <v>1</v>
      </c>
      <c r="AW39" s="76">
        <v>13</v>
      </c>
      <c r="AX39" s="79"/>
      <c r="AY39" s="66">
        <f t="shared" si="33"/>
        <v>1</v>
      </c>
      <c r="AZ39" s="67">
        <f t="shared" si="34"/>
        <v>849</v>
      </c>
    </row>
    <row r="40" spans="1:52">
      <c r="A40" s="68" t="s">
        <v>84</v>
      </c>
      <c r="B40" s="63"/>
      <c r="C40" s="63">
        <f>SUMIFS('08-21addition'!O:O,'08-21addition'!$A:$A,$A40,'08-21addition'!$B:$B,"&gt;=2017")+SUMIFS('08-21addition'!P:P,'08-21addition'!$A:$A,$A40,'08-21addition'!$B:$B,"&gt;=2017")</f>
        <v>0</v>
      </c>
      <c r="D40" s="63">
        <f t="shared" ref="D40:D69" si="35">+H40+J40+L40+M40+N40+O40+P40</f>
        <v>519.16</v>
      </c>
      <c r="E40" s="63">
        <f>SUMIFS('08-21addition'!D:D,'08-21addition'!$A:$A,$A40,'08-21addition'!$B:$B,"&gt;=2017")</f>
        <v>0</v>
      </c>
      <c r="F40" s="63">
        <f>SUMIFS('08-21addition'!C:C,'08-21addition'!$A:$A,$A40,'08-21addition'!$B:$B,"&gt;=2017")</f>
        <v>129.49</v>
      </c>
      <c r="G40" s="63">
        <f>SUMIFS('08-21addition'!Q:Q,'08-21addition'!$A:$A,$A40,'08-21addition'!$B:$B,"&gt;=2017")</f>
        <v>128.94</v>
      </c>
      <c r="H40" s="63">
        <f>SUMIFS('08-21addition'!H:H,'08-21addition'!$A:$A,$A40,'08-21addition'!$B:$B,"&gt;=2017")+SUMIFS('08-21addition'!I:I,'08-21addition'!$A:$A,$A40,'08-21addition'!$B:$B,"&gt;=2017")</f>
        <v>279</v>
      </c>
      <c r="I40" s="63">
        <f t="shared" ref="I40:I69" si="36">P40+L40</f>
        <v>183.41</v>
      </c>
      <c r="J40" s="63">
        <f>SUMIFS('08-21addition'!M:M,'08-21addition'!$A:$A,$A40,'08-21addition'!$B:$B,"&gt;=2017")</f>
        <v>0</v>
      </c>
      <c r="K40" s="63">
        <f t="shared" ref="K40:K69" si="37">L40+N40</f>
        <v>3.75</v>
      </c>
      <c r="L40" s="63">
        <f>SUMIFS('08-21addition'!L:L,'08-21addition'!$A:$A,$A40,'08-21addition'!$B:$B,"&gt;=2017")</f>
        <v>0</v>
      </c>
      <c r="M40" s="63">
        <f>SUMIFS('08-21addition'!F:F,'08-21addition'!$A:$A,$A40,'08-21addition'!$B:$B,"&gt;=2017")</f>
        <v>29.7</v>
      </c>
      <c r="N40" s="63">
        <f>SUMIFS('08-21addition'!E:E,'08-21addition'!$A:$A,$A40,'08-21addition'!$B:$B,"&gt;=2017")</f>
        <v>3.75</v>
      </c>
      <c r="O40" s="63">
        <f>SUMIFS('08-21addition'!G:G,'08-21addition'!$A:$A,$A40,'08-21addition'!$B:$B,"&gt;=2017")</f>
        <v>23.3</v>
      </c>
      <c r="P40" s="63">
        <f>SUMIFS('08-21addition'!K:K,'08-21addition'!$A:$A,$A40,'08-21addition'!$B:$B,"&gt;=2017")+SUMIFS('08-21addition'!J:J,'08-21addition'!$A:$A,$A40,'08-21addition'!$B:$B,"&gt;=2017")</f>
        <v>183.41</v>
      </c>
      <c r="R40" s="63"/>
      <c r="S40" s="63">
        <f>SUMIFS('08-21addition'!O:O,'08-21addition'!$A:$A,$A40,'08-21addition'!$B:$B,"&gt;=2008")+SUMIFS('08-21addition'!P:P,'08-21addition'!$A:$A,$A40,'08-21addition'!$B:$B,"&gt;=2008")-C40</f>
        <v>0</v>
      </c>
      <c r="T40" s="63">
        <f t="shared" ref="T40:T69" si="38">+X40+Z40+AB40+AC40+AD40+AE40+AF40</f>
        <v>755.83</v>
      </c>
      <c r="U40" s="63">
        <f>SUMIFS('08-21addition'!D:D,'08-21addition'!$A:$A,$A40,'08-21addition'!$B:$B,"&gt;=2008")-E40</f>
        <v>0</v>
      </c>
      <c r="V40" s="63">
        <f>SUMIFS('08-21addition'!C:C,'08-21addition'!$A:$A,$A40,'08-21addition'!$B:$B,"&gt;=2008")-F40</f>
        <v>20.9</v>
      </c>
      <c r="W40" s="63">
        <f>SUMIFS('08-21addition'!Q:Q,'08-21addition'!$A:$A,$A40,'08-21addition'!$B:$B,"&gt;=2008")-G40</f>
        <v>55.56</v>
      </c>
      <c r="X40" s="63">
        <f>SUMIFS('08-21addition'!H:H,'08-21addition'!$A:$A,$A40,'08-21addition'!$B:$B,"&gt;=2008")+SUMIFS('08-21addition'!I:I,'08-21addition'!$A:$A,$A40,'08-21addition'!$B:$B,"&gt;=2008")-H40</f>
        <v>572.5</v>
      </c>
      <c r="Y40" s="63">
        <f t="shared" ref="Y40:Y69" si="39">AF40+AB40</f>
        <v>178.69</v>
      </c>
      <c r="Z40" s="63">
        <f>SUMIFS('08-21addition'!M:M,'08-21addition'!$A:$A,$A40,'08-21addition'!$B:$B,"&gt;=2008")-J40</f>
        <v>0</v>
      </c>
      <c r="AA40" s="63">
        <f t="shared" ref="AA40:AA69" si="40">AB40+AD40</f>
        <v>0.6</v>
      </c>
      <c r="AB40" s="63">
        <f>SUMIFS('08-21addition'!L:L,'08-21addition'!$A:$A,$A40,'08-21addition'!$B:$B,"&gt;=2008")-L40</f>
        <v>0</v>
      </c>
      <c r="AC40" s="63">
        <f>SUMIFS('08-21addition'!F:F,'08-21addition'!$A:$A,$A40,'08-21addition'!$B:$B,"&gt;=2008")-M40</f>
        <v>1.2</v>
      </c>
      <c r="AD40" s="63">
        <f>SUMIFS('08-21addition'!E:E,'08-21addition'!$A:$A,$A40,'08-21addition'!$B:$B,"&gt;=2008")-N40</f>
        <v>0.6</v>
      </c>
      <c r="AE40" s="63">
        <f>SUMIFS('08-21addition'!G:G,'08-21addition'!$A:$A,$A40,'08-21addition'!$B:$B,"&gt;=2008")-O40</f>
        <v>2.84</v>
      </c>
      <c r="AF40" s="63">
        <f>SUMIFS('08-21addition'!K:K,'08-21addition'!$A:$A,$A40,'08-21addition'!$B:$B,"&gt;=2008")+SUMIFS('08-21addition'!J:J,'08-21addition'!$A:$A,$A40,'08-21addition'!$B:$B,"&gt;=2008")-P40</f>
        <v>178.69</v>
      </c>
      <c r="AH40" s="68" t="s">
        <v>84</v>
      </c>
      <c r="AI40" s="76">
        <v>1467</v>
      </c>
      <c r="AJ40" s="76">
        <v>1</v>
      </c>
      <c r="AK40" s="76">
        <v>1378</v>
      </c>
      <c r="AL40" s="78"/>
      <c r="AM40" s="55">
        <v>29</v>
      </c>
      <c r="AN40" s="55">
        <v>60</v>
      </c>
      <c r="AO40" s="78"/>
      <c r="AP40" s="77">
        <f t="shared" si="32"/>
        <v>1378</v>
      </c>
      <c r="AQ40" s="55">
        <v>1076</v>
      </c>
      <c r="AR40" s="55">
        <v>277</v>
      </c>
      <c r="AS40" s="78"/>
      <c r="AT40" s="55">
        <v>25</v>
      </c>
      <c r="AU40" s="79">
        <v>10</v>
      </c>
      <c r="AV40" s="79"/>
      <c r="AW40" s="79">
        <v>10</v>
      </c>
      <c r="AX40" s="79"/>
      <c r="AY40" s="66">
        <f t="shared" si="33"/>
        <v>15</v>
      </c>
      <c r="AZ40" s="67">
        <f t="shared" si="34"/>
        <v>277</v>
      </c>
    </row>
    <row r="41" spans="1:52">
      <c r="A41" s="68" t="s">
        <v>86</v>
      </c>
      <c r="B41" s="63"/>
      <c r="C41" s="63">
        <f>SUMIFS('08-21addition'!O:O,'08-21addition'!$A:$A,$A41,'08-21addition'!$B:$B,"&gt;=2017")+SUMIFS('08-21addition'!P:P,'08-21addition'!$A:$A,$A41,'08-21addition'!$B:$B,"&gt;=2017")</f>
        <v>63.06</v>
      </c>
      <c r="D41" s="63">
        <f t="shared" si="35"/>
        <v>1163.46</v>
      </c>
      <c r="E41" s="63">
        <f>SUMIFS('08-21addition'!D:D,'08-21addition'!$A:$A,$A41,'08-21addition'!$B:$B,"&gt;=2017")</f>
        <v>0</v>
      </c>
      <c r="F41" s="63">
        <f>SUMIFS('08-21addition'!C:C,'08-21addition'!$A:$A,$A41,'08-21addition'!$B:$B,"&gt;=2017")</f>
        <v>1503.15</v>
      </c>
      <c r="G41" s="63">
        <f>SUMIFS('08-21addition'!Q:Q,'08-21addition'!$A:$A,$A41,'08-21addition'!$B:$B,"&gt;=2017")</f>
        <v>2520.3</v>
      </c>
      <c r="H41" s="63">
        <f>SUMIFS('08-21addition'!H:H,'08-21addition'!$A:$A,$A41,'08-21addition'!$B:$B,"&gt;=2017")+SUMIFS('08-21addition'!I:I,'08-21addition'!$A:$A,$A41,'08-21addition'!$B:$B,"&gt;=2017")</f>
        <v>832.15</v>
      </c>
      <c r="I41" s="63">
        <f t="shared" si="36"/>
        <v>92.1</v>
      </c>
      <c r="J41" s="63">
        <f>SUMIFS('08-21addition'!M:M,'08-21addition'!$A:$A,$A41,'08-21addition'!$B:$B,"&gt;=2017")</f>
        <v>0</v>
      </c>
      <c r="K41" s="63">
        <f t="shared" si="37"/>
        <v>28.17</v>
      </c>
      <c r="L41" s="63">
        <f>SUMIFS('08-21addition'!L:L,'08-21addition'!$A:$A,$A41,'08-21addition'!$B:$B,"&gt;=2017")</f>
        <v>0.12</v>
      </c>
      <c r="M41" s="63">
        <f>SUMIFS('08-21addition'!F:F,'08-21addition'!$A:$A,$A41,'08-21addition'!$B:$B,"&gt;=2017")</f>
        <v>112.75</v>
      </c>
      <c r="N41" s="63">
        <f>SUMIFS('08-21addition'!E:E,'08-21addition'!$A:$A,$A41,'08-21addition'!$B:$B,"&gt;=2017")</f>
        <v>28.05</v>
      </c>
      <c r="O41" s="63">
        <f>SUMIFS('08-21addition'!G:G,'08-21addition'!$A:$A,$A41,'08-21addition'!$B:$B,"&gt;=2017")</f>
        <v>98.41</v>
      </c>
      <c r="P41" s="63">
        <f>SUMIFS('08-21addition'!K:K,'08-21addition'!$A:$A,$A41,'08-21addition'!$B:$B,"&gt;=2017")+SUMIFS('08-21addition'!J:J,'08-21addition'!$A:$A,$A41,'08-21addition'!$B:$B,"&gt;=2017")</f>
        <v>91.98</v>
      </c>
      <c r="R41" s="63"/>
      <c r="S41" s="63">
        <f>SUMIFS('08-21addition'!O:O,'08-21addition'!$A:$A,$A41,'08-21addition'!$B:$B,"&gt;=2008")+SUMIFS('08-21addition'!P:P,'08-21addition'!$A:$A,$A41,'08-21addition'!$B:$B,"&gt;=2008")-C41</f>
        <v>101.53</v>
      </c>
      <c r="T41" s="63">
        <f t="shared" si="38"/>
        <v>1920.34</v>
      </c>
      <c r="U41" s="63">
        <f>SUMIFS('08-21addition'!D:D,'08-21addition'!$A:$A,$A41,'08-21addition'!$B:$B,"&gt;=2008")-E41</f>
        <v>0</v>
      </c>
      <c r="V41" s="63">
        <f>SUMIFS('08-21addition'!C:C,'08-21addition'!$A:$A,$A41,'08-21addition'!$B:$B,"&gt;=2008")-F41</f>
        <v>1122.29</v>
      </c>
      <c r="W41" s="63">
        <f>SUMIFS('08-21addition'!Q:Q,'08-21addition'!$A:$A,$A41,'08-21addition'!$B:$B,"&gt;=2008")-G41</f>
        <v>462.48</v>
      </c>
      <c r="X41" s="63">
        <f>SUMIFS('08-21addition'!H:H,'08-21addition'!$A:$A,$A41,'08-21addition'!$B:$B,"&gt;=2008")+SUMIFS('08-21addition'!I:I,'08-21addition'!$A:$A,$A41,'08-21addition'!$B:$B,"&gt;=2008")-H41</f>
        <v>1820.9</v>
      </c>
      <c r="Y41" s="63">
        <f t="shared" si="39"/>
        <v>2</v>
      </c>
      <c r="Z41" s="63">
        <f>SUMIFS('08-21addition'!M:M,'08-21addition'!$A:$A,$A41,'08-21addition'!$B:$B,"&gt;=2008")-J41</f>
        <v>0</v>
      </c>
      <c r="AA41" s="63">
        <f t="shared" si="40"/>
        <v>39.9</v>
      </c>
      <c r="AB41" s="63">
        <f>SUMIFS('08-21addition'!L:L,'08-21addition'!$A:$A,$A41,'08-21addition'!$B:$B,"&gt;=2008")-L41</f>
        <v>0</v>
      </c>
      <c r="AC41" s="63">
        <f>SUMIFS('08-21addition'!F:F,'08-21addition'!$A:$A,$A41,'08-21addition'!$B:$B,"&gt;=2008")-M41</f>
        <v>9.60000000000001</v>
      </c>
      <c r="AD41" s="63">
        <f>SUMIFS('08-21addition'!E:E,'08-21addition'!$A:$A,$A41,'08-21addition'!$B:$B,"&gt;=2008")-N41</f>
        <v>39.9</v>
      </c>
      <c r="AE41" s="63">
        <f>SUMIFS('08-21addition'!G:G,'08-21addition'!$A:$A,$A41,'08-21addition'!$B:$B,"&gt;=2008")-O41</f>
        <v>47.94</v>
      </c>
      <c r="AF41" s="63">
        <f>SUMIFS('08-21addition'!K:K,'08-21addition'!$A:$A,$A41,'08-21addition'!$B:$B,"&gt;=2008")+SUMIFS('08-21addition'!J:J,'08-21addition'!$A:$A,$A41,'08-21addition'!$B:$B,"&gt;=2008")-P41</f>
        <v>2</v>
      </c>
      <c r="AH41" s="68" t="s">
        <v>86</v>
      </c>
      <c r="AI41" s="76">
        <v>6275</v>
      </c>
      <c r="AJ41" s="76">
        <v>182</v>
      </c>
      <c r="AK41" s="76">
        <v>4510</v>
      </c>
      <c r="AL41" s="78"/>
      <c r="AM41" s="55">
        <v>1138</v>
      </c>
      <c r="AN41" s="55">
        <v>443</v>
      </c>
      <c r="AO41" s="55">
        <v>2</v>
      </c>
      <c r="AP41" s="77">
        <f t="shared" si="32"/>
        <v>4511</v>
      </c>
      <c r="AQ41" s="55">
        <v>4251</v>
      </c>
      <c r="AR41" s="55">
        <v>3</v>
      </c>
      <c r="AS41" s="78"/>
      <c r="AT41" s="55">
        <v>257</v>
      </c>
      <c r="AU41" s="76">
        <v>55</v>
      </c>
      <c r="AV41" s="76">
        <v>1</v>
      </c>
      <c r="AW41" s="76">
        <v>16</v>
      </c>
      <c r="AX41" s="76">
        <v>38</v>
      </c>
      <c r="AY41" s="66">
        <f t="shared" si="33"/>
        <v>240</v>
      </c>
      <c r="AZ41" s="67">
        <f t="shared" si="34"/>
        <v>2</v>
      </c>
    </row>
    <row r="42" spans="1:52">
      <c r="A42" s="68" t="s">
        <v>88</v>
      </c>
      <c r="B42" s="63"/>
      <c r="C42" s="63">
        <f>SUMIFS('08-21addition'!O:O,'08-21addition'!$A:$A,$A42,'08-21addition'!$B:$B,"&gt;=2017")+SUMIFS('08-21addition'!P:P,'08-21addition'!$A:$A,$A42,'08-21addition'!$B:$B,"&gt;=2017")</f>
        <v>0.67</v>
      </c>
      <c r="D42" s="63">
        <f t="shared" si="35"/>
        <v>1354.58</v>
      </c>
      <c r="E42" s="63">
        <f>SUMIFS('08-21addition'!D:D,'08-21addition'!$A:$A,$A42,'08-21addition'!$B:$B,"&gt;=2017")</f>
        <v>0</v>
      </c>
      <c r="F42" s="63">
        <f>SUMIFS('08-21addition'!C:C,'08-21addition'!$A:$A,$A42,'08-21addition'!$B:$B,"&gt;=2017")</f>
        <v>1374.86</v>
      </c>
      <c r="G42" s="63">
        <f>SUMIFS('08-21addition'!Q:Q,'08-21addition'!$A:$A,$A42,'08-21addition'!$B:$B,"&gt;=2017")</f>
        <v>1137.36</v>
      </c>
      <c r="H42" s="63">
        <f>SUMIFS('08-21addition'!H:H,'08-21addition'!$A:$A,$A42,'08-21addition'!$B:$B,"&gt;=2017")+SUMIFS('08-21addition'!I:I,'08-21addition'!$A:$A,$A42,'08-21addition'!$B:$B,"&gt;=2017")</f>
        <v>1298.8</v>
      </c>
      <c r="I42" s="63">
        <f t="shared" si="36"/>
        <v>16.26</v>
      </c>
      <c r="J42" s="63">
        <f>SUMIFS('08-21addition'!M:M,'08-21addition'!$A:$A,$A42,'08-21addition'!$B:$B,"&gt;=2017")</f>
        <v>0</v>
      </c>
      <c r="K42" s="63">
        <f t="shared" si="37"/>
        <v>16.2</v>
      </c>
      <c r="L42" s="63">
        <f>SUMIFS('08-21addition'!L:L,'08-21addition'!$A:$A,$A42,'08-21addition'!$B:$B,"&gt;=2017")</f>
        <v>0</v>
      </c>
      <c r="M42" s="63">
        <f>SUMIFS('08-21addition'!F:F,'08-21addition'!$A:$A,$A42,'08-21addition'!$B:$B,"&gt;=2017")</f>
        <v>6.3</v>
      </c>
      <c r="N42" s="63">
        <f>SUMIFS('08-21addition'!E:E,'08-21addition'!$A:$A,$A42,'08-21addition'!$B:$B,"&gt;=2017")</f>
        <v>16.2</v>
      </c>
      <c r="O42" s="63">
        <f>SUMIFS('08-21addition'!G:G,'08-21addition'!$A:$A,$A42,'08-21addition'!$B:$B,"&gt;=2017")</f>
        <v>17.02</v>
      </c>
      <c r="P42" s="63">
        <f>SUMIFS('08-21addition'!K:K,'08-21addition'!$A:$A,$A42,'08-21addition'!$B:$B,"&gt;=2017")+SUMIFS('08-21addition'!J:J,'08-21addition'!$A:$A,$A42,'08-21addition'!$B:$B,"&gt;=2017")</f>
        <v>16.26</v>
      </c>
      <c r="R42" s="63"/>
      <c r="S42" s="63">
        <f>SUMIFS('08-21addition'!O:O,'08-21addition'!$A:$A,$A42,'08-21addition'!$B:$B,"&gt;=2008")+SUMIFS('08-21addition'!P:P,'08-21addition'!$A:$A,$A42,'08-21addition'!$B:$B,"&gt;=2008")-C42</f>
        <v>164.21</v>
      </c>
      <c r="T42" s="63">
        <f t="shared" si="38"/>
        <v>3071.11</v>
      </c>
      <c r="U42" s="63">
        <f>SUMIFS('08-21addition'!D:D,'08-21addition'!$A:$A,$A42,'08-21addition'!$B:$B,"&gt;=2008")-E42</f>
        <v>0</v>
      </c>
      <c r="V42" s="63">
        <f>SUMIFS('08-21addition'!C:C,'08-21addition'!$A:$A,$A42,'08-21addition'!$B:$B,"&gt;=2008")-F42</f>
        <v>916.21</v>
      </c>
      <c r="W42" s="63">
        <f>SUMIFS('08-21addition'!Q:Q,'08-21addition'!$A:$A,$A42,'08-21addition'!$B:$B,"&gt;=2008")-G42</f>
        <v>389.87</v>
      </c>
      <c r="X42" s="63">
        <f>SUMIFS('08-21addition'!H:H,'08-21addition'!$A:$A,$A42,'08-21addition'!$B:$B,"&gt;=2008")+SUMIFS('08-21addition'!I:I,'08-21addition'!$A:$A,$A42,'08-21addition'!$B:$B,"&gt;=2008")-H42</f>
        <v>2815.2</v>
      </c>
      <c r="Y42" s="63">
        <f t="shared" si="39"/>
        <v>176.5</v>
      </c>
      <c r="Z42" s="63">
        <f>SUMIFS('08-21addition'!M:M,'08-21addition'!$A:$A,$A42,'08-21addition'!$B:$B,"&gt;=2008")-J42</f>
        <v>0</v>
      </c>
      <c r="AA42" s="63">
        <f t="shared" si="40"/>
        <v>1.8</v>
      </c>
      <c r="AB42" s="63">
        <f>SUMIFS('08-21addition'!L:L,'08-21addition'!$A:$A,$A42,'08-21addition'!$B:$B,"&gt;=2008")-L42</f>
        <v>0</v>
      </c>
      <c r="AC42" s="63">
        <f>SUMIFS('08-21addition'!F:F,'08-21addition'!$A:$A,$A42,'08-21addition'!$B:$B,"&gt;=2008")-M42</f>
        <v>0</v>
      </c>
      <c r="AD42" s="63">
        <f>SUMIFS('08-21addition'!E:E,'08-21addition'!$A:$A,$A42,'08-21addition'!$B:$B,"&gt;=2008")-N42</f>
        <v>1.8</v>
      </c>
      <c r="AE42" s="63">
        <f>SUMIFS('08-21addition'!G:G,'08-21addition'!$A:$A,$A42,'08-21addition'!$B:$B,"&gt;=2008")-O42</f>
        <v>77.61</v>
      </c>
      <c r="AF42" s="63">
        <f>SUMIFS('08-21addition'!K:K,'08-21addition'!$A:$A,$A42,'08-21addition'!$B:$B,"&gt;=2008")+SUMIFS('08-21addition'!J:J,'08-21addition'!$A:$A,$A42,'08-21addition'!$B:$B,"&gt;=2008")-P42</f>
        <v>176.5</v>
      </c>
      <c r="AH42" s="68" t="s">
        <v>88</v>
      </c>
      <c r="AI42" s="76">
        <v>7640</v>
      </c>
      <c r="AJ42" s="76">
        <v>244</v>
      </c>
      <c r="AK42" s="76">
        <v>6329</v>
      </c>
      <c r="AL42" s="78"/>
      <c r="AM42" s="55">
        <v>771</v>
      </c>
      <c r="AN42" s="55">
        <v>297</v>
      </c>
      <c r="AO42" s="78"/>
      <c r="AP42" s="77">
        <f t="shared" si="32"/>
        <v>6328</v>
      </c>
      <c r="AQ42" s="55">
        <v>6003</v>
      </c>
      <c r="AR42" s="55">
        <v>279</v>
      </c>
      <c r="AS42" s="78"/>
      <c r="AT42" s="55">
        <v>46</v>
      </c>
      <c r="AU42" s="76">
        <v>44</v>
      </c>
      <c r="AV42" s="76">
        <v>15</v>
      </c>
      <c r="AW42" s="76">
        <v>11</v>
      </c>
      <c r="AX42" s="76">
        <v>19</v>
      </c>
      <c r="AY42" s="66">
        <f t="shared" si="33"/>
        <v>21</v>
      </c>
      <c r="AZ42" s="67">
        <f t="shared" si="34"/>
        <v>264</v>
      </c>
    </row>
    <row r="43" spans="1:52">
      <c r="A43" s="68" t="s">
        <v>90</v>
      </c>
      <c r="B43" s="63"/>
      <c r="C43" s="63">
        <f>SUMIFS('08-21addition'!O:O,'08-21addition'!$A:$A,$A43,'08-21addition'!$B:$B,"&gt;=2017")+SUMIFS('08-21addition'!P:P,'08-21addition'!$A:$A,$A43,'08-21addition'!$B:$B,"&gt;=2017")</f>
        <v>0.6</v>
      </c>
      <c r="D43" s="63">
        <f t="shared" si="35"/>
        <v>1476.8</v>
      </c>
      <c r="E43" s="63">
        <f>SUMIFS('08-21addition'!D:D,'08-21addition'!$A:$A,$A43,'08-21addition'!$B:$B,"&gt;=2017")</f>
        <v>0</v>
      </c>
      <c r="F43" s="63">
        <f>SUMIFS('08-21addition'!C:C,'08-21addition'!$A:$A,$A43,'08-21addition'!$B:$B,"&gt;=2017")</f>
        <v>1427.41</v>
      </c>
      <c r="G43" s="63">
        <f>SUMIFS('08-21addition'!Q:Q,'08-21addition'!$A:$A,$A43,'08-21addition'!$B:$B,"&gt;=2017")</f>
        <v>650.23</v>
      </c>
      <c r="H43" s="63">
        <f>SUMIFS('08-21addition'!H:H,'08-21addition'!$A:$A,$A43,'08-21addition'!$B:$B,"&gt;=2017")+SUMIFS('08-21addition'!I:I,'08-21addition'!$A:$A,$A43,'08-21addition'!$B:$B,"&gt;=2017")</f>
        <v>1420.1</v>
      </c>
      <c r="I43" s="63">
        <f t="shared" si="36"/>
        <v>0</v>
      </c>
      <c r="J43" s="63">
        <f>SUMIFS('08-21addition'!M:M,'08-21addition'!$A:$A,$A43,'08-21addition'!$B:$B,"&gt;=2017")</f>
        <v>0</v>
      </c>
      <c r="K43" s="63">
        <f t="shared" si="37"/>
        <v>16.25</v>
      </c>
      <c r="L43" s="63">
        <f>SUMIFS('08-21addition'!L:L,'08-21addition'!$A:$A,$A43,'08-21addition'!$B:$B,"&gt;=2017")</f>
        <v>0</v>
      </c>
      <c r="M43" s="63">
        <f>SUMIFS('08-21addition'!F:F,'08-21addition'!$A:$A,$A43,'08-21addition'!$B:$B,"&gt;=2017")</f>
        <v>5.4</v>
      </c>
      <c r="N43" s="63">
        <f>SUMIFS('08-21addition'!E:E,'08-21addition'!$A:$A,$A43,'08-21addition'!$B:$B,"&gt;=2017")</f>
        <v>16.25</v>
      </c>
      <c r="O43" s="63">
        <f>SUMIFS('08-21addition'!G:G,'08-21addition'!$A:$A,$A43,'08-21addition'!$B:$B,"&gt;=2017")</f>
        <v>35.05</v>
      </c>
      <c r="P43" s="63">
        <f>SUMIFS('08-21addition'!K:K,'08-21addition'!$A:$A,$A43,'08-21addition'!$B:$B,"&gt;=2017")+SUMIFS('08-21addition'!J:J,'08-21addition'!$A:$A,$A43,'08-21addition'!$B:$B,"&gt;=2017")</f>
        <v>0</v>
      </c>
      <c r="R43" s="63"/>
      <c r="S43" s="63">
        <f>SUMIFS('08-21addition'!O:O,'08-21addition'!$A:$A,$A43,'08-21addition'!$B:$B,"&gt;=2008")+SUMIFS('08-21addition'!P:P,'08-21addition'!$A:$A,$A43,'08-21addition'!$B:$B,"&gt;=2008")-C43</f>
        <v>131.61</v>
      </c>
      <c r="T43" s="63">
        <f t="shared" si="38"/>
        <v>2764.55</v>
      </c>
      <c r="U43" s="63">
        <f>SUMIFS('08-21addition'!D:D,'08-21addition'!$A:$A,$A43,'08-21addition'!$B:$B,"&gt;=2008")-E43</f>
        <v>0</v>
      </c>
      <c r="V43" s="63">
        <f>SUMIFS('08-21addition'!C:C,'08-21addition'!$A:$A,$A43,'08-21addition'!$B:$B,"&gt;=2008")-F43</f>
        <v>2288.53</v>
      </c>
      <c r="W43" s="63">
        <f>SUMIFS('08-21addition'!Q:Q,'08-21addition'!$A:$A,$A43,'08-21addition'!$B:$B,"&gt;=2008")-G43</f>
        <v>300.3</v>
      </c>
      <c r="X43" s="63">
        <f>SUMIFS('08-21addition'!H:H,'08-21addition'!$A:$A,$A43,'08-21addition'!$B:$B,"&gt;=2008")+SUMIFS('08-21addition'!I:I,'08-21addition'!$A:$A,$A43,'08-21addition'!$B:$B,"&gt;=2008")-H43</f>
        <v>2704.56</v>
      </c>
      <c r="Y43" s="63">
        <f t="shared" si="39"/>
        <v>0</v>
      </c>
      <c r="Z43" s="63">
        <f>SUMIFS('08-21addition'!M:M,'08-21addition'!$A:$A,$A43,'08-21addition'!$B:$B,"&gt;=2008")-J43</f>
        <v>0</v>
      </c>
      <c r="AA43" s="63">
        <f t="shared" si="40"/>
        <v>7.8</v>
      </c>
      <c r="AB43" s="63">
        <f>SUMIFS('08-21addition'!L:L,'08-21addition'!$A:$A,$A43,'08-21addition'!$B:$B,"&gt;=2008")-L43</f>
        <v>0</v>
      </c>
      <c r="AC43" s="63">
        <f>SUMIFS('08-21addition'!F:F,'08-21addition'!$A:$A,$A43,'08-21addition'!$B:$B,"&gt;=2008")-M43</f>
        <v>3.6</v>
      </c>
      <c r="AD43" s="63">
        <f>SUMIFS('08-21addition'!E:E,'08-21addition'!$A:$A,$A43,'08-21addition'!$B:$B,"&gt;=2008")-N43</f>
        <v>7.8</v>
      </c>
      <c r="AE43" s="63">
        <f>SUMIFS('08-21addition'!G:G,'08-21addition'!$A:$A,$A43,'08-21addition'!$B:$B,"&gt;=2008")-O43</f>
        <v>48.59</v>
      </c>
      <c r="AF43" s="63">
        <f>SUMIFS('08-21addition'!K:K,'08-21addition'!$A:$A,$A43,'08-21addition'!$B:$B,"&gt;=2008")+SUMIFS('08-21addition'!J:J,'08-21addition'!$A:$A,$A43,'08-21addition'!$B:$B,"&gt;=2008")-P43</f>
        <v>0</v>
      </c>
      <c r="AH43" s="68" t="s">
        <v>90</v>
      </c>
      <c r="AI43" s="76">
        <v>11045</v>
      </c>
      <c r="AJ43" s="76">
        <v>241</v>
      </c>
      <c r="AK43" s="76">
        <v>7609</v>
      </c>
      <c r="AL43" s="78"/>
      <c r="AM43" s="55">
        <v>2557</v>
      </c>
      <c r="AN43" s="55">
        <v>638</v>
      </c>
      <c r="AO43" s="78"/>
      <c r="AP43" s="77">
        <f t="shared" si="32"/>
        <v>7609</v>
      </c>
      <c r="AQ43" s="55">
        <v>7542</v>
      </c>
      <c r="AR43" s="55">
        <v>42</v>
      </c>
      <c r="AS43" s="78"/>
      <c r="AT43" s="55">
        <v>25</v>
      </c>
      <c r="AU43" s="76">
        <v>16</v>
      </c>
      <c r="AV43" s="79"/>
      <c r="AW43" s="76">
        <v>4</v>
      </c>
      <c r="AX43" s="76">
        <v>12</v>
      </c>
      <c r="AY43" s="66">
        <f t="shared" si="33"/>
        <v>21</v>
      </c>
      <c r="AZ43" s="67">
        <f t="shared" si="34"/>
        <v>42</v>
      </c>
    </row>
    <row r="44" spans="1:52">
      <c r="A44" s="68" t="s">
        <v>92</v>
      </c>
      <c r="B44" s="63"/>
      <c r="C44" s="63">
        <f>SUMIFS('08-21addition'!O:O,'08-21addition'!$A:$A,$A44,'08-21addition'!$B:$B,"&gt;=2017")+SUMIFS('08-21addition'!P:P,'08-21addition'!$A:$A,$A44,'08-21addition'!$B:$B,"&gt;=2017")</f>
        <v>0.72</v>
      </c>
      <c r="D44" s="63">
        <f t="shared" si="35"/>
        <v>359.61</v>
      </c>
      <c r="E44" s="63">
        <f>SUMIFS('08-21addition'!D:D,'08-21addition'!$A:$A,$A44,'08-21addition'!$B:$B,"&gt;=2017")</f>
        <v>111.88</v>
      </c>
      <c r="F44" s="63">
        <f>SUMIFS('08-21addition'!C:C,'08-21addition'!$A:$A,$A44,'08-21addition'!$B:$B,"&gt;=2017")</f>
        <v>373.79</v>
      </c>
      <c r="G44" s="63">
        <f>SUMIFS('08-21addition'!Q:Q,'08-21addition'!$A:$A,$A44,'08-21addition'!$B:$B,"&gt;=2017")</f>
        <v>248.2</v>
      </c>
      <c r="H44" s="63">
        <f>SUMIFS('08-21addition'!H:H,'08-21addition'!$A:$A,$A44,'08-21addition'!$B:$B,"&gt;=2017")+SUMIFS('08-21addition'!I:I,'08-21addition'!$A:$A,$A44,'08-21addition'!$B:$B,"&gt;=2017")</f>
        <v>296</v>
      </c>
      <c r="I44" s="63">
        <f t="shared" si="36"/>
        <v>10</v>
      </c>
      <c r="J44" s="63">
        <f>SUMIFS('08-21addition'!M:M,'08-21addition'!$A:$A,$A44,'08-21addition'!$B:$B,"&gt;=2017")</f>
        <v>0</v>
      </c>
      <c r="K44" s="63">
        <f t="shared" si="37"/>
        <v>16.52</v>
      </c>
      <c r="L44" s="63">
        <f>SUMIFS('08-21addition'!L:L,'08-21addition'!$A:$A,$A44,'08-21addition'!$B:$B,"&gt;=2017")</f>
        <v>0</v>
      </c>
      <c r="M44" s="63">
        <f>SUMIFS('08-21addition'!F:F,'08-21addition'!$A:$A,$A44,'08-21addition'!$B:$B,"&gt;=2017")</f>
        <v>22.1</v>
      </c>
      <c r="N44" s="63">
        <f>SUMIFS('08-21addition'!E:E,'08-21addition'!$A:$A,$A44,'08-21addition'!$B:$B,"&gt;=2017")</f>
        <v>16.52</v>
      </c>
      <c r="O44" s="63">
        <f>SUMIFS('08-21addition'!G:G,'08-21addition'!$A:$A,$A44,'08-21addition'!$B:$B,"&gt;=2017")</f>
        <v>14.99</v>
      </c>
      <c r="P44" s="63">
        <f>SUMIFS('08-21addition'!K:K,'08-21addition'!$A:$A,$A44,'08-21addition'!$B:$B,"&gt;=2017")+SUMIFS('08-21addition'!J:J,'08-21addition'!$A:$A,$A44,'08-21addition'!$B:$B,"&gt;=2017")</f>
        <v>10</v>
      </c>
      <c r="R44" s="63"/>
      <c r="S44" s="63">
        <f>SUMIFS('08-21addition'!O:O,'08-21addition'!$A:$A,$A44,'08-21addition'!$B:$B,"&gt;=2008")+SUMIFS('08-21addition'!P:P,'08-21addition'!$A:$A,$A44,'08-21addition'!$B:$B,"&gt;=2008")-C44</f>
        <v>146.14</v>
      </c>
      <c r="T44" s="63">
        <f t="shared" si="38"/>
        <v>1512.01</v>
      </c>
      <c r="U44" s="63">
        <f>SUMIFS('08-21addition'!D:D,'08-21addition'!$A:$A,$A44,'08-21addition'!$B:$B,"&gt;=2008")-E44</f>
        <v>447.52</v>
      </c>
      <c r="V44" s="63">
        <f>SUMIFS('08-21addition'!C:C,'08-21addition'!$A:$A,$A44,'08-21addition'!$B:$B,"&gt;=2008")-F44</f>
        <v>628.74</v>
      </c>
      <c r="W44" s="63">
        <f>SUMIFS('08-21addition'!Q:Q,'08-21addition'!$A:$A,$A44,'08-21addition'!$B:$B,"&gt;=2008")-G44</f>
        <v>35.34</v>
      </c>
      <c r="X44" s="63">
        <f>SUMIFS('08-21addition'!H:H,'08-21addition'!$A:$A,$A44,'08-21addition'!$B:$B,"&gt;=2008")+SUMIFS('08-21addition'!I:I,'08-21addition'!$A:$A,$A44,'08-21addition'!$B:$B,"&gt;=2008")-H44</f>
        <v>1411.1</v>
      </c>
      <c r="Y44" s="63">
        <f t="shared" si="39"/>
        <v>0</v>
      </c>
      <c r="Z44" s="63">
        <f>SUMIFS('08-21addition'!M:M,'08-21addition'!$A:$A,$A44,'08-21addition'!$B:$B,"&gt;=2008")-J44</f>
        <v>0</v>
      </c>
      <c r="AA44" s="63">
        <f t="shared" si="40"/>
        <v>17.1</v>
      </c>
      <c r="AB44" s="63">
        <f>SUMIFS('08-21addition'!L:L,'08-21addition'!$A:$A,$A44,'08-21addition'!$B:$B,"&gt;=2008")-L44</f>
        <v>0</v>
      </c>
      <c r="AC44" s="63">
        <f>SUMIFS('08-21addition'!F:F,'08-21addition'!$A:$A,$A44,'08-21addition'!$B:$B,"&gt;=2008")-M44</f>
        <v>0</v>
      </c>
      <c r="AD44" s="63">
        <f>SUMIFS('08-21addition'!E:E,'08-21addition'!$A:$A,$A44,'08-21addition'!$B:$B,"&gt;=2008")-N44</f>
        <v>17.1</v>
      </c>
      <c r="AE44" s="63">
        <f>SUMIFS('08-21addition'!G:G,'08-21addition'!$A:$A,$A44,'08-21addition'!$B:$B,"&gt;=2008")-O44</f>
        <v>83.81</v>
      </c>
      <c r="AF44" s="63">
        <f>SUMIFS('08-21addition'!K:K,'08-21addition'!$A:$A,$A44,'08-21addition'!$B:$B,"&gt;=2008")+SUMIFS('08-21addition'!J:J,'08-21addition'!$A:$A,$A44,'08-21addition'!$B:$B,"&gt;=2008")-P44</f>
        <v>0</v>
      </c>
      <c r="AH44" s="68" t="s">
        <v>92</v>
      </c>
      <c r="AI44" s="76">
        <v>4601</v>
      </c>
      <c r="AJ44" s="76">
        <v>293</v>
      </c>
      <c r="AK44" s="76">
        <v>3114</v>
      </c>
      <c r="AL44" s="55">
        <v>448</v>
      </c>
      <c r="AM44" s="55">
        <v>695</v>
      </c>
      <c r="AN44" s="55">
        <v>52</v>
      </c>
      <c r="AO44" s="78"/>
      <c r="AP44" s="77">
        <f t="shared" si="32"/>
        <v>3115</v>
      </c>
      <c r="AQ44" s="55">
        <v>3024</v>
      </c>
      <c r="AR44" s="55">
        <v>4</v>
      </c>
      <c r="AS44" s="55">
        <v>15</v>
      </c>
      <c r="AT44" s="55">
        <v>72</v>
      </c>
      <c r="AU44" s="76">
        <v>8</v>
      </c>
      <c r="AV44" s="79"/>
      <c r="AW44" s="76">
        <v>3</v>
      </c>
      <c r="AX44" s="76">
        <v>5</v>
      </c>
      <c r="AY44" s="66">
        <f t="shared" si="33"/>
        <v>69</v>
      </c>
      <c r="AZ44" s="67">
        <f t="shared" si="34"/>
        <v>4</v>
      </c>
    </row>
    <row r="45" spans="1:52">
      <c r="A45" s="68" t="s">
        <v>94</v>
      </c>
      <c r="B45" s="63"/>
      <c r="C45" s="63">
        <f>SUMIFS('08-21addition'!O:O,'08-21addition'!$A:$A,$A45,'08-21addition'!$B:$B,"&gt;=2017")+SUMIFS('08-21addition'!P:P,'08-21addition'!$A:$A,$A45,'08-21addition'!$B:$B,"&gt;=2017")</f>
        <v>246.63</v>
      </c>
      <c r="D45" s="63">
        <f t="shared" si="35"/>
        <v>69.85</v>
      </c>
      <c r="E45" s="63">
        <f>SUMIFS('08-21addition'!D:D,'08-21addition'!$A:$A,$A45,'08-21addition'!$B:$B,"&gt;=2017")</f>
        <v>0</v>
      </c>
      <c r="F45" s="63">
        <f>SUMIFS('08-21addition'!C:C,'08-21addition'!$A:$A,$A45,'08-21addition'!$B:$B,"&gt;=2017")</f>
        <v>224.06</v>
      </c>
      <c r="G45" s="63">
        <f>SUMIFS('08-21addition'!Q:Q,'08-21addition'!$A:$A,$A45,'08-21addition'!$B:$B,"&gt;=2017")</f>
        <v>321.06</v>
      </c>
      <c r="H45" s="63">
        <f>SUMIFS('08-21addition'!H:H,'08-21addition'!$A:$A,$A45,'08-21addition'!$B:$B,"&gt;=2017")+SUMIFS('08-21addition'!I:I,'08-21addition'!$A:$A,$A45,'08-21addition'!$B:$B,"&gt;=2017")</f>
        <v>51</v>
      </c>
      <c r="I45" s="63">
        <f t="shared" si="36"/>
        <v>0</v>
      </c>
      <c r="J45" s="63">
        <f>SUMIFS('08-21addition'!M:M,'08-21addition'!$A:$A,$A45,'08-21addition'!$B:$B,"&gt;=2017")</f>
        <v>0</v>
      </c>
      <c r="K45" s="63">
        <f t="shared" si="37"/>
        <v>16</v>
      </c>
      <c r="L45" s="63">
        <f>SUMIFS('08-21addition'!L:L,'08-21addition'!$A:$A,$A45,'08-21addition'!$B:$B,"&gt;=2017")</f>
        <v>0</v>
      </c>
      <c r="M45" s="63">
        <f>SUMIFS('08-21addition'!F:F,'08-21addition'!$A:$A,$A45,'08-21addition'!$B:$B,"&gt;=2017")</f>
        <v>2.85</v>
      </c>
      <c r="N45" s="63">
        <f>SUMIFS('08-21addition'!E:E,'08-21addition'!$A:$A,$A45,'08-21addition'!$B:$B,"&gt;=2017")</f>
        <v>16</v>
      </c>
      <c r="O45" s="63">
        <f>SUMIFS('08-21addition'!G:G,'08-21addition'!$A:$A,$A45,'08-21addition'!$B:$B,"&gt;=2017")</f>
        <v>0</v>
      </c>
      <c r="P45" s="63">
        <f>SUMIFS('08-21addition'!K:K,'08-21addition'!$A:$A,$A45,'08-21addition'!$B:$B,"&gt;=2017")+SUMIFS('08-21addition'!J:J,'08-21addition'!$A:$A,$A45,'08-21addition'!$B:$B,"&gt;=2017")</f>
        <v>0</v>
      </c>
      <c r="R45" s="63"/>
      <c r="S45" s="63">
        <f>SUMIFS('08-21addition'!O:O,'08-21addition'!$A:$A,$A45,'08-21addition'!$B:$B,"&gt;=2008")+SUMIFS('08-21addition'!P:P,'08-21addition'!$A:$A,$A45,'08-21addition'!$B:$B,"&gt;=2008")-C45</f>
        <v>34.6</v>
      </c>
      <c r="T45" s="63">
        <f t="shared" si="38"/>
        <v>1165.94</v>
      </c>
      <c r="U45" s="63">
        <f>SUMIFS('08-21addition'!D:D,'08-21addition'!$A:$A,$A45,'08-21addition'!$B:$B,"&gt;=2008")-E45</f>
        <v>0</v>
      </c>
      <c r="V45" s="63">
        <f>SUMIFS('08-21addition'!C:C,'08-21addition'!$A:$A,$A45,'08-21addition'!$B:$B,"&gt;=2008")-F45</f>
        <v>463.14</v>
      </c>
      <c r="W45" s="63">
        <f>SUMIFS('08-21addition'!Q:Q,'08-21addition'!$A:$A,$A45,'08-21addition'!$B:$B,"&gt;=2008")-G45</f>
        <v>58.9</v>
      </c>
      <c r="X45" s="63">
        <f>SUMIFS('08-21addition'!H:H,'08-21addition'!$A:$A,$A45,'08-21addition'!$B:$B,"&gt;=2008")+SUMIFS('08-21addition'!I:I,'08-21addition'!$A:$A,$A45,'08-21addition'!$B:$B,"&gt;=2008")-H45</f>
        <v>1088.8</v>
      </c>
      <c r="Y45" s="63">
        <f t="shared" si="39"/>
        <v>0</v>
      </c>
      <c r="Z45" s="63">
        <f>SUMIFS('08-21addition'!M:M,'08-21addition'!$A:$A,$A45,'08-21addition'!$B:$B,"&gt;=2008")-J45</f>
        <v>0</v>
      </c>
      <c r="AA45" s="63">
        <f t="shared" si="40"/>
        <v>27.39</v>
      </c>
      <c r="AB45" s="63">
        <f>SUMIFS('08-21addition'!L:L,'08-21addition'!$A:$A,$A45,'08-21addition'!$B:$B,"&gt;=2008")-L45</f>
        <v>0</v>
      </c>
      <c r="AC45" s="63">
        <f>SUMIFS('08-21addition'!F:F,'08-21addition'!$A:$A,$A45,'08-21addition'!$B:$B,"&gt;=2008")-M45</f>
        <v>8.8</v>
      </c>
      <c r="AD45" s="63">
        <f>SUMIFS('08-21addition'!E:E,'08-21addition'!$A:$A,$A45,'08-21addition'!$B:$B,"&gt;=2008")-N45</f>
        <v>27.39</v>
      </c>
      <c r="AE45" s="63">
        <f>SUMIFS('08-21addition'!G:G,'08-21addition'!$A:$A,$A45,'08-21addition'!$B:$B,"&gt;=2008")-O45</f>
        <v>40.95</v>
      </c>
      <c r="AF45" s="63">
        <f>SUMIFS('08-21addition'!K:K,'08-21addition'!$A:$A,$A45,'08-21addition'!$B:$B,"&gt;=2008")+SUMIFS('08-21addition'!J:J,'08-21addition'!$A:$A,$A45,'08-21addition'!$B:$B,"&gt;=2008")-P45</f>
        <v>0</v>
      </c>
      <c r="AH45" s="68" t="s">
        <v>94</v>
      </c>
      <c r="AI45" s="80">
        <v>2716</v>
      </c>
      <c r="AJ45" s="80">
        <v>378</v>
      </c>
      <c r="AK45" s="80">
        <v>1777</v>
      </c>
      <c r="AL45" s="78"/>
      <c r="AM45" s="55">
        <v>505</v>
      </c>
      <c r="AN45" s="55">
        <v>56</v>
      </c>
      <c r="AO45" s="78"/>
      <c r="AP45" s="77">
        <f t="shared" si="32"/>
        <v>1776</v>
      </c>
      <c r="AQ45" s="55">
        <v>1688</v>
      </c>
      <c r="AR45" s="55">
        <v>0</v>
      </c>
      <c r="AS45" s="78"/>
      <c r="AT45" s="55">
        <v>88</v>
      </c>
      <c r="AU45" s="76">
        <v>52</v>
      </c>
      <c r="AV45" s="76">
        <v>0</v>
      </c>
      <c r="AW45" s="76">
        <v>12</v>
      </c>
      <c r="AX45" s="76">
        <v>40</v>
      </c>
      <c r="AY45" s="66">
        <f t="shared" si="33"/>
        <v>76</v>
      </c>
      <c r="AZ45" s="67">
        <f t="shared" si="34"/>
        <v>0</v>
      </c>
    </row>
    <row r="46" spans="1:52">
      <c r="A46" s="68" t="s">
        <v>96</v>
      </c>
      <c r="B46" s="63"/>
      <c r="C46" s="63">
        <f>SUMIFS('08-21addition'!O:O,'08-21addition'!$A:$A,$A46,'08-21addition'!$B:$B,"&gt;=2017")+SUMIFS('08-21addition'!P:P,'08-21addition'!$A:$A,$A46,'08-21addition'!$B:$B,"&gt;=2017")</f>
        <v>41.33</v>
      </c>
      <c r="D46" s="63">
        <f t="shared" si="35"/>
        <v>566.37</v>
      </c>
      <c r="E46" s="63">
        <f>SUMIFS('08-21addition'!D:D,'08-21addition'!$A:$A,$A46,'08-21addition'!$B:$B,"&gt;=2017")</f>
        <v>0</v>
      </c>
      <c r="F46" s="63">
        <f>SUMIFS('08-21addition'!C:C,'08-21addition'!$A:$A,$A46,'08-21addition'!$B:$B,"&gt;=2017")</f>
        <v>296.58</v>
      </c>
      <c r="G46" s="63">
        <f>SUMIFS('08-21addition'!Q:Q,'08-21addition'!$A:$A,$A46,'08-21addition'!$B:$B,"&gt;=2017")</f>
        <v>436.99</v>
      </c>
      <c r="H46" s="63">
        <f>SUMIFS('08-21addition'!H:H,'08-21addition'!$A:$A,$A46,'08-21addition'!$B:$B,"&gt;=2017")+SUMIFS('08-21addition'!I:I,'08-21addition'!$A:$A,$A46,'08-21addition'!$B:$B,"&gt;=2017")</f>
        <v>379.45</v>
      </c>
      <c r="I46" s="63">
        <f t="shared" si="36"/>
        <v>7.4</v>
      </c>
      <c r="J46" s="63">
        <f>SUMIFS('08-21addition'!M:M,'08-21addition'!$A:$A,$A46,'08-21addition'!$B:$B,"&gt;=2017")</f>
        <v>0</v>
      </c>
      <c r="K46" s="63">
        <f t="shared" si="37"/>
        <v>148.38</v>
      </c>
      <c r="L46" s="63">
        <f>SUMIFS('08-21addition'!L:L,'08-21addition'!$A:$A,$A46,'08-21addition'!$B:$B,"&gt;=2017")</f>
        <v>0</v>
      </c>
      <c r="M46" s="63">
        <f>SUMIFS('08-21addition'!F:F,'08-21addition'!$A:$A,$A46,'08-21addition'!$B:$B,"&gt;=2017")</f>
        <v>9.3</v>
      </c>
      <c r="N46" s="63">
        <f>SUMIFS('08-21addition'!E:E,'08-21addition'!$A:$A,$A46,'08-21addition'!$B:$B,"&gt;=2017")</f>
        <v>148.38</v>
      </c>
      <c r="O46" s="63">
        <f>SUMIFS('08-21addition'!G:G,'08-21addition'!$A:$A,$A46,'08-21addition'!$B:$B,"&gt;=2017")</f>
        <v>21.84</v>
      </c>
      <c r="P46" s="63">
        <f>SUMIFS('08-21addition'!K:K,'08-21addition'!$A:$A,$A46,'08-21addition'!$B:$B,"&gt;=2017")+SUMIFS('08-21addition'!J:J,'08-21addition'!$A:$A,$A46,'08-21addition'!$B:$B,"&gt;=2017")</f>
        <v>7.4</v>
      </c>
      <c r="R46" s="63"/>
      <c r="S46" s="63">
        <f>SUMIFS('08-21addition'!O:O,'08-21addition'!$A:$A,$A46,'08-21addition'!$B:$B,"&gt;=2008")+SUMIFS('08-21addition'!P:P,'08-21addition'!$A:$A,$A46,'08-21addition'!$B:$B,"&gt;=2008")-C46</f>
        <v>9.54000000000001</v>
      </c>
      <c r="T46" s="63">
        <f t="shared" si="38"/>
        <v>782.81</v>
      </c>
      <c r="U46" s="63">
        <f>SUMIFS('08-21addition'!D:D,'08-21addition'!$A:$A,$A46,'08-21addition'!$B:$B,"&gt;=2008")-E46</f>
        <v>0</v>
      </c>
      <c r="V46" s="63">
        <f>SUMIFS('08-21addition'!C:C,'08-21addition'!$A:$A,$A46,'08-21addition'!$B:$B,"&gt;=2008")-F46</f>
        <v>558.95</v>
      </c>
      <c r="W46" s="63">
        <f>SUMIFS('08-21addition'!Q:Q,'08-21addition'!$A:$A,$A46,'08-21addition'!$B:$B,"&gt;=2008")-G46</f>
        <v>14.92</v>
      </c>
      <c r="X46" s="63">
        <f>SUMIFS('08-21addition'!H:H,'08-21addition'!$A:$A,$A46,'08-21addition'!$B:$B,"&gt;=2008")+SUMIFS('08-21addition'!I:I,'08-21addition'!$A:$A,$A46,'08-21addition'!$B:$B,"&gt;=2008")-H46</f>
        <v>665.9</v>
      </c>
      <c r="Y46" s="63">
        <f t="shared" si="39"/>
        <v>2.4</v>
      </c>
      <c r="Z46" s="63">
        <f>SUMIFS('08-21addition'!M:M,'08-21addition'!$A:$A,$A46,'08-21addition'!$B:$B,"&gt;=2008")-J46</f>
        <v>0</v>
      </c>
      <c r="AA46" s="63">
        <f t="shared" si="40"/>
        <v>43.01</v>
      </c>
      <c r="AB46" s="63">
        <f>SUMIFS('08-21addition'!L:L,'08-21addition'!$A:$A,$A46,'08-21addition'!$B:$B,"&gt;=2008")-L46</f>
        <v>2.4</v>
      </c>
      <c r="AC46" s="63">
        <f>SUMIFS('08-21addition'!F:F,'08-21addition'!$A:$A,$A46,'08-21addition'!$B:$B,"&gt;=2008")-M46</f>
        <v>1.29</v>
      </c>
      <c r="AD46" s="63">
        <f>SUMIFS('08-21addition'!E:E,'08-21addition'!$A:$A,$A46,'08-21addition'!$B:$B,"&gt;=2008")-N46</f>
        <v>40.61</v>
      </c>
      <c r="AE46" s="63">
        <f>SUMIFS('08-21addition'!G:G,'08-21addition'!$A:$A,$A46,'08-21addition'!$B:$B,"&gt;=2008")-O46</f>
        <v>72.61</v>
      </c>
      <c r="AF46" s="63">
        <f>SUMIFS('08-21addition'!K:K,'08-21addition'!$A:$A,$A46,'08-21addition'!$B:$B,"&gt;=2008")+SUMIFS('08-21addition'!J:J,'08-21addition'!$A:$A,$A46,'08-21addition'!$B:$B,"&gt;=2008")-P46</f>
        <v>0</v>
      </c>
      <c r="AH46" s="68" t="s">
        <v>96</v>
      </c>
      <c r="AI46" s="76">
        <v>2783</v>
      </c>
      <c r="AJ46" s="76">
        <v>102</v>
      </c>
      <c r="AK46" s="76">
        <v>2104</v>
      </c>
      <c r="AL46" s="78"/>
      <c r="AM46" s="55">
        <v>561</v>
      </c>
      <c r="AN46" s="55">
        <v>17</v>
      </c>
      <c r="AO46" s="78"/>
      <c r="AP46" s="77">
        <f t="shared" si="32"/>
        <v>2104</v>
      </c>
      <c r="AQ46" s="55">
        <v>1991</v>
      </c>
      <c r="AR46" s="55">
        <v>12</v>
      </c>
      <c r="AS46" s="55">
        <v>2</v>
      </c>
      <c r="AT46" s="55">
        <v>99</v>
      </c>
      <c r="AU46" s="76">
        <v>80</v>
      </c>
      <c r="AV46" s="76">
        <v>0</v>
      </c>
      <c r="AW46" s="76">
        <v>7</v>
      </c>
      <c r="AX46" s="76">
        <v>73</v>
      </c>
      <c r="AY46" s="66">
        <f t="shared" si="33"/>
        <v>92</v>
      </c>
      <c r="AZ46" s="67">
        <f t="shared" si="34"/>
        <v>12</v>
      </c>
    </row>
    <row r="47" spans="1:52">
      <c r="A47" s="68" t="s">
        <v>98</v>
      </c>
      <c r="B47" s="63"/>
      <c r="C47" s="63">
        <f>SUMIFS('08-21addition'!O:O,'08-21addition'!$A:$A,$A47,'08-21addition'!$B:$B,"&gt;=2017")+SUMIFS('08-21addition'!P:P,'08-21addition'!$A:$A,$A47,'08-21addition'!$B:$B,"&gt;=2017")</f>
        <v>0</v>
      </c>
      <c r="D47" s="63">
        <f t="shared" si="35"/>
        <v>277.57</v>
      </c>
      <c r="E47" s="63">
        <f>SUMIFS('08-21addition'!D:D,'08-21addition'!$A:$A,$A47,'08-21addition'!$B:$B,"&gt;=2017")</f>
        <v>0</v>
      </c>
      <c r="F47" s="63">
        <f>SUMIFS('08-21addition'!C:C,'08-21addition'!$A:$A,$A47,'08-21addition'!$B:$B,"&gt;=2017")</f>
        <v>37.59</v>
      </c>
      <c r="G47" s="63">
        <f>SUMIFS('08-21addition'!Q:Q,'08-21addition'!$A:$A,$A47,'08-21addition'!$B:$B,"&gt;=2017")</f>
        <v>141.2</v>
      </c>
      <c r="H47" s="63">
        <f>SUMIFS('08-21addition'!H:H,'08-21addition'!$A:$A,$A47,'08-21addition'!$B:$B,"&gt;=2017")+SUMIFS('08-21addition'!I:I,'08-21addition'!$A:$A,$A47,'08-21addition'!$B:$B,"&gt;=2017")</f>
        <v>1.2</v>
      </c>
      <c r="I47" s="63">
        <f t="shared" si="36"/>
        <v>237.4</v>
      </c>
      <c r="J47" s="63">
        <f>SUMIFS('08-21addition'!M:M,'08-21addition'!$A:$A,$A47,'08-21addition'!$B:$B,"&gt;=2017")</f>
        <v>0</v>
      </c>
      <c r="K47" s="63">
        <f t="shared" si="37"/>
        <v>0</v>
      </c>
      <c r="L47" s="63">
        <f>SUMIFS('08-21addition'!L:L,'08-21addition'!$A:$A,$A47,'08-21addition'!$B:$B,"&gt;=2017")</f>
        <v>0</v>
      </c>
      <c r="M47" s="63">
        <f>SUMIFS('08-21addition'!F:F,'08-21addition'!$A:$A,$A47,'08-21addition'!$B:$B,"&gt;=2017")</f>
        <v>30.6</v>
      </c>
      <c r="N47" s="63">
        <f>SUMIFS('08-21addition'!E:E,'08-21addition'!$A:$A,$A47,'08-21addition'!$B:$B,"&gt;=2017")</f>
        <v>0</v>
      </c>
      <c r="O47" s="63">
        <f>SUMIFS('08-21addition'!G:G,'08-21addition'!$A:$A,$A47,'08-21addition'!$B:$B,"&gt;=2017")</f>
        <v>8.37</v>
      </c>
      <c r="P47" s="63">
        <f>SUMIFS('08-21addition'!K:K,'08-21addition'!$A:$A,$A47,'08-21addition'!$B:$B,"&gt;=2017")+SUMIFS('08-21addition'!J:J,'08-21addition'!$A:$A,$A47,'08-21addition'!$B:$B,"&gt;=2017")</f>
        <v>237.4</v>
      </c>
      <c r="R47" s="63"/>
      <c r="S47" s="63">
        <f>SUMIFS('08-21addition'!O:O,'08-21addition'!$A:$A,$A47,'08-21addition'!$B:$B,"&gt;=2008")+SUMIFS('08-21addition'!P:P,'08-21addition'!$A:$A,$A47,'08-21addition'!$B:$B,"&gt;=2008")-C47</f>
        <v>0</v>
      </c>
      <c r="T47" s="63">
        <f t="shared" si="38"/>
        <v>981.52</v>
      </c>
      <c r="U47" s="63">
        <f>SUMIFS('08-21addition'!D:D,'08-21addition'!$A:$A,$A47,'08-21addition'!$B:$B,"&gt;=2008")-E47</f>
        <v>0</v>
      </c>
      <c r="V47" s="63">
        <f>SUMIFS('08-21addition'!C:C,'08-21addition'!$A:$A,$A47,'08-21addition'!$B:$B,"&gt;=2008")-F47</f>
        <v>74.96</v>
      </c>
      <c r="W47" s="63">
        <f>SUMIFS('08-21addition'!Q:Q,'08-21addition'!$A:$A,$A47,'08-21addition'!$B:$B,"&gt;=2008")-G47</f>
        <v>23.78</v>
      </c>
      <c r="X47" s="63">
        <f>SUMIFS('08-21addition'!H:H,'08-21addition'!$A:$A,$A47,'08-21addition'!$B:$B,"&gt;=2008")+SUMIFS('08-21addition'!I:I,'08-21addition'!$A:$A,$A47,'08-21addition'!$B:$B,"&gt;=2008")-H47</f>
        <v>726.42</v>
      </c>
      <c r="Y47" s="63">
        <f t="shared" si="39"/>
        <v>227.44</v>
      </c>
      <c r="Z47" s="63">
        <f>SUMIFS('08-21addition'!M:M,'08-21addition'!$A:$A,$A47,'08-21addition'!$B:$B,"&gt;=2008")-J47</f>
        <v>0</v>
      </c>
      <c r="AA47" s="63">
        <f t="shared" si="40"/>
        <v>6.38</v>
      </c>
      <c r="AB47" s="63">
        <f>SUMIFS('08-21addition'!L:L,'08-21addition'!$A:$A,$A47,'08-21addition'!$B:$B,"&gt;=2008")-L47</f>
        <v>0.98</v>
      </c>
      <c r="AC47" s="63">
        <f>SUMIFS('08-21addition'!F:F,'08-21addition'!$A:$A,$A47,'08-21addition'!$B:$B,"&gt;=2008")-M47</f>
        <v>11.5</v>
      </c>
      <c r="AD47" s="63">
        <f>SUMIFS('08-21addition'!E:E,'08-21addition'!$A:$A,$A47,'08-21addition'!$B:$B,"&gt;=2008")-N47</f>
        <v>5.4</v>
      </c>
      <c r="AE47" s="63">
        <f>SUMIFS('08-21addition'!G:G,'08-21addition'!$A:$A,$A47,'08-21addition'!$B:$B,"&gt;=2008")-O47</f>
        <v>10.76</v>
      </c>
      <c r="AF47" s="63">
        <f>SUMIFS('08-21addition'!K:K,'08-21addition'!$A:$A,$A47,'08-21addition'!$B:$B,"&gt;=2008")+SUMIFS('08-21addition'!J:J,'08-21addition'!$A:$A,$A47,'08-21addition'!$B:$B,"&gt;=2008")-P47</f>
        <v>226.46</v>
      </c>
      <c r="AH47" s="68" t="s">
        <v>98</v>
      </c>
      <c r="AI47" s="76">
        <v>2371</v>
      </c>
      <c r="AJ47" s="79"/>
      <c r="AK47" s="76">
        <v>2264</v>
      </c>
      <c r="AL47" s="78"/>
      <c r="AM47" s="55">
        <v>71</v>
      </c>
      <c r="AN47" s="55">
        <v>35</v>
      </c>
      <c r="AO47" s="78"/>
      <c r="AP47" s="77">
        <f t="shared" si="32"/>
        <v>2263</v>
      </c>
      <c r="AQ47" s="55">
        <v>1509</v>
      </c>
      <c r="AR47" s="55">
        <v>570</v>
      </c>
      <c r="AS47" s="55">
        <v>86</v>
      </c>
      <c r="AT47" s="55">
        <v>98</v>
      </c>
      <c r="AU47" s="76">
        <v>24</v>
      </c>
      <c r="AV47" s="76">
        <v>2</v>
      </c>
      <c r="AW47" s="76">
        <v>22</v>
      </c>
      <c r="AX47" s="79"/>
      <c r="AY47" s="66">
        <f t="shared" si="33"/>
        <v>74</v>
      </c>
      <c r="AZ47" s="67">
        <f t="shared" si="34"/>
        <v>568</v>
      </c>
    </row>
    <row r="48" spans="1:52">
      <c r="A48" s="68" t="s">
        <v>100</v>
      </c>
      <c r="B48" s="63"/>
      <c r="C48" s="63">
        <f>SUMIFS('08-21addition'!O:O,'08-21addition'!$A:$A,$A48,'08-21addition'!$B:$B,"&gt;=2017")+SUMIFS('08-21addition'!P:P,'08-21addition'!$A:$A,$A48,'08-21addition'!$B:$B,"&gt;=2017")</f>
        <v>150.2</v>
      </c>
      <c r="D48" s="63">
        <f t="shared" si="35"/>
        <v>2067.29</v>
      </c>
      <c r="E48" s="63">
        <f>SUMIFS('08-21addition'!D:D,'08-21addition'!$A:$A,$A48,'08-21addition'!$B:$B,"&gt;=2017")</f>
        <v>448.8</v>
      </c>
      <c r="F48" s="63">
        <f>SUMIFS('08-21addition'!C:C,'08-21addition'!$A:$A,$A48,'08-21addition'!$B:$B,"&gt;=2017")</f>
        <v>1684.75</v>
      </c>
      <c r="G48" s="63">
        <f>SUMIFS('08-21addition'!Q:Q,'08-21addition'!$A:$A,$A48,'08-21addition'!$B:$B,"&gt;=2017")</f>
        <v>1426.8</v>
      </c>
      <c r="H48" s="63">
        <f>SUMIFS('08-21addition'!H:H,'08-21addition'!$A:$A,$A48,'08-21addition'!$B:$B,"&gt;=2017")+SUMIFS('08-21addition'!I:I,'08-21addition'!$A:$A,$A48,'08-21addition'!$B:$B,"&gt;=2017")</f>
        <v>809.65</v>
      </c>
      <c r="I48" s="63">
        <f t="shared" si="36"/>
        <v>1015.11</v>
      </c>
      <c r="J48" s="63">
        <f>SUMIFS('08-21addition'!M:M,'08-21addition'!$A:$A,$A48,'08-21addition'!$B:$B,"&gt;=2017")</f>
        <v>0</v>
      </c>
      <c r="K48" s="63">
        <f t="shared" si="37"/>
        <v>45</v>
      </c>
      <c r="L48" s="63">
        <f>SUMIFS('08-21addition'!L:L,'08-21addition'!$A:$A,$A48,'08-21addition'!$B:$B,"&gt;=2017")</f>
        <v>0</v>
      </c>
      <c r="M48" s="63">
        <f>SUMIFS('08-21addition'!F:F,'08-21addition'!$A:$A,$A48,'08-21addition'!$B:$B,"&gt;=2017")</f>
        <v>126.32</v>
      </c>
      <c r="N48" s="63">
        <f>SUMIFS('08-21addition'!E:E,'08-21addition'!$A:$A,$A48,'08-21addition'!$B:$B,"&gt;=2017")</f>
        <v>45</v>
      </c>
      <c r="O48" s="63">
        <f>SUMIFS('08-21addition'!G:G,'08-21addition'!$A:$A,$A48,'08-21addition'!$B:$B,"&gt;=2017")</f>
        <v>71.21</v>
      </c>
      <c r="P48" s="63">
        <f>SUMIFS('08-21addition'!K:K,'08-21addition'!$A:$A,$A48,'08-21addition'!$B:$B,"&gt;=2017")+SUMIFS('08-21addition'!J:J,'08-21addition'!$A:$A,$A48,'08-21addition'!$B:$B,"&gt;=2017")</f>
        <v>1015.11</v>
      </c>
      <c r="R48" s="63"/>
      <c r="S48" s="63">
        <f>SUMIFS('08-21addition'!O:O,'08-21addition'!$A:$A,$A48,'08-21addition'!$B:$B,"&gt;=2008")+SUMIFS('08-21addition'!P:P,'08-21addition'!$A:$A,$A48,'08-21addition'!$B:$B,"&gt;=2008")-C48</f>
        <v>100.74</v>
      </c>
      <c r="T48" s="63">
        <f t="shared" si="38"/>
        <v>4181.69</v>
      </c>
      <c r="U48" s="63">
        <f>SUMIFS('08-21addition'!D:D,'08-21addition'!$A:$A,$A48,'08-21addition'!$B:$B,"&gt;=2008")-E48</f>
        <v>0</v>
      </c>
      <c r="V48" s="63">
        <f>SUMIFS('08-21addition'!C:C,'08-21addition'!$A:$A,$A48,'08-21addition'!$B:$B,"&gt;=2008")-F48</f>
        <v>468.29</v>
      </c>
      <c r="W48" s="63">
        <f>SUMIFS('08-21addition'!Q:Q,'08-21addition'!$A:$A,$A48,'08-21addition'!$B:$B,"&gt;=2008")-G48</f>
        <v>521.75</v>
      </c>
      <c r="X48" s="63">
        <f>SUMIFS('08-21addition'!H:H,'08-21addition'!$A:$A,$A48,'08-21addition'!$B:$B,"&gt;=2008")+SUMIFS('08-21addition'!I:I,'08-21addition'!$A:$A,$A48,'08-21addition'!$B:$B,"&gt;=2008")-H48</f>
        <v>3267.5</v>
      </c>
      <c r="Y48" s="63">
        <f t="shared" si="39"/>
        <v>565.05</v>
      </c>
      <c r="Z48" s="63">
        <f>SUMIFS('08-21addition'!M:M,'08-21addition'!$A:$A,$A48,'08-21addition'!$B:$B,"&gt;=2008")-J48</f>
        <v>0</v>
      </c>
      <c r="AA48" s="63">
        <f t="shared" si="40"/>
        <v>25.48</v>
      </c>
      <c r="AB48" s="63">
        <f>SUMIFS('08-21addition'!L:L,'08-21addition'!$A:$A,$A48,'08-21addition'!$B:$B,"&gt;=2008")-L48</f>
        <v>0.58</v>
      </c>
      <c r="AC48" s="63">
        <f>SUMIFS('08-21addition'!F:F,'08-21addition'!$A:$A,$A48,'08-21addition'!$B:$B,"&gt;=2008")-M48</f>
        <v>32.85</v>
      </c>
      <c r="AD48" s="63">
        <f>SUMIFS('08-21addition'!E:E,'08-21addition'!$A:$A,$A48,'08-21addition'!$B:$B,"&gt;=2008")-N48</f>
        <v>24.9</v>
      </c>
      <c r="AE48" s="63">
        <f>SUMIFS('08-21addition'!G:G,'08-21addition'!$A:$A,$A48,'08-21addition'!$B:$B,"&gt;=2008")-O48</f>
        <v>291.39</v>
      </c>
      <c r="AF48" s="63">
        <f>SUMIFS('08-21addition'!K:K,'08-21addition'!$A:$A,$A48,'08-21addition'!$B:$B,"&gt;=2008")+SUMIFS('08-21addition'!J:J,'08-21addition'!$A:$A,$A48,'08-21addition'!$B:$B,"&gt;=2008")-P48</f>
        <v>564.47</v>
      </c>
      <c r="AH48" s="68" t="s">
        <v>100</v>
      </c>
      <c r="AI48" s="76">
        <v>10160</v>
      </c>
      <c r="AJ48" s="76">
        <v>115</v>
      </c>
      <c r="AK48" s="76">
        <v>8727</v>
      </c>
      <c r="AL48" s="55">
        <v>212</v>
      </c>
      <c r="AM48" s="55">
        <v>561</v>
      </c>
      <c r="AN48" s="55">
        <v>546</v>
      </c>
      <c r="AO48" s="55"/>
      <c r="AP48" s="77">
        <f t="shared" si="32"/>
        <v>8727</v>
      </c>
      <c r="AQ48" s="55">
        <v>7448</v>
      </c>
      <c r="AR48" s="55">
        <v>957</v>
      </c>
      <c r="AS48" s="78"/>
      <c r="AT48" s="55">
        <v>322</v>
      </c>
      <c r="AU48" s="76">
        <v>125</v>
      </c>
      <c r="AV48" s="76">
        <v>2</v>
      </c>
      <c r="AW48" s="76">
        <v>79</v>
      </c>
      <c r="AX48" s="76">
        <v>44</v>
      </c>
      <c r="AY48" s="66">
        <f t="shared" si="33"/>
        <v>241</v>
      </c>
      <c r="AZ48" s="67">
        <f t="shared" si="34"/>
        <v>955</v>
      </c>
    </row>
    <row r="49" spans="1:52">
      <c r="A49" s="68" t="s">
        <v>102</v>
      </c>
      <c r="B49" s="63"/>
      <c r="C49" s="63">
        <f>SUMIFS('08-21addition'!O:O,'08-21addition'!$A:$A,$A49,'08-21addition'!$B:$B,"&gt;=2017")+SUMIFS('08-21addition'!P:P,'08-21addition'!$A:$A,$A49,'08-21addition'!$B:$B,"&gt;=2017")</f>
        <v>162.01</v>
      </c>
      <c r="D49" s="63">
        <f t="shared" si="35"/>
        <v>686.64</v>
      </c>
      <c r="E49" s="63">
        <f>SUMIFS('08-21addition'!D:D,'08-21addition'!$A:$A,$A49,'08-21addition'!$B:$B,"&gt;=2017")</f>
        <v>250.2</v>
      </c>
      <c r="F49" s="63">
        <f>SUMIFS('08-21addition'!C:C,'08-21addition'!$A:$A,$A49,'08-21addition'!$B:$B,"&gt;=2017")</f>
        <v>290.25</v>
      </c>
      <c r="G49" s="63">
        <f>SUMIFS('08-21addition'!Q:Q,'08-21addition'!$A:$A,$A49,'08-21addition'!$B:$B,"&gt;=2017")</f>
        <v>1796.86</v>
      </c>
      <c r="H49" s="63">
        <f>SUMIFS('08-21addition'!H:H,'08-21addition'!$A:$A,$A49,'08-21addition'!$B:$B,"&gt;=2017")+SUMIFS('08-21addition'!I:I,'08-21addition'!$A:$A,$A49,'08-21addition'!$B:$B,"&gt;=2017")</f>
        <v>384.81</v>
      </c>
      <c r="I49" s="63">
        <f t="shared" si="36"/>
        <v>49.8</v>
      </c>
      <c r="J49" s="63">
        <f>SUMIFS('08-21addition'!M:M,'08-21addition'!$A:$A,$A49,'08-21addition'!$B:$B,"&gt;=2017")</f>
        <v>0</v>
      </c>
      <c r="K49" s="63">
        <f t="shared" si="37"/>
        <v>7.7</v>
      </c>
      <c r="L49" s="63">
        <f>SUMIFS('08-21addition'!L:L,'08-21addition'!$A:$A,$A49,'08-21addition'!$B:$B,"&gt;=2017")</f>
        <v>0</v>
      </c>
      <c r="M49" s="63">
        <f>SUMIFS('08-21addition'!F:F,'08-21addition'!$A:$A,$A49,'08-21addition'!$B:$B,"&gt;=2017")</f>
        <v>183.5</v>
      </c>
      <c r="N49" s="63">
        <f>SUMIFS('08-21addition'!E:E,'08-21addition'!$A:$A,$A49,'08-21addition'!$B:$B,"&gt;=2017")</f>
        <v>7.7</v>
      </c>
      <c r="O49" s="63">
        <f>SUMIFS('08-21addition'!G:G,'08-21addition'!$A:$A,$A49,'08-21addition'!$B:$B,"&gt;=2017")</f>
        <v>60.83</v>
      </c>
      <c r="P49" s="63">
        <f>SUMIFS('08-21addition'!K:K,'08-21addition'!$A:$A,$A49,'08-21addition'!$B:$B,"&gt;=2017")+SUMIFS('08-21addition'!J:J,'08-21addition'!$A:$A,$A49,'08-21addition'!$B:$B,"&gt;=2017")</f>
        <v>49.8</v>
      </c>
      <c r="R49" s="63"/>
      <c r="S49" s="63">
        <f>SUMIFS('08-21addition'!O:O,'08-21addition'!$A:$A,$A49,'08-21addition'!$B:$B,"&gt;=2008")+SUMIFS('08-21addition'!P:P,'08-21addition'!$A:$A,$A49,'08-21addition'!$B:$B,"&gt;=2008")-C49</f>
        <v>316.49</v>
      </c>
      <c r="T49" s="63">
        <f t="shared" si="38"/>
        <v>2814.14</v>
      </c>
      <c r="U49" s="63">
        <f>SUMIFS('08-21addition'!D:D,'08-21addition'!$A:$A,$A49,'08-21addition'!$B:$B,"&gt;=2008")-E49</f>
        <v>348.8</v>
      </c>
      <c r="V49" s="63">
        <f>SUMIFS('08-21addition'!C:C,'08-21addition'!$A:$A,$A49,'08-21addition'!$B:$B,"&gt;=2008")-F49</f>
        <v>112.49</v>
      </c>
      <c r="W49" s="63">
        <f>SUMIFS('08-21addition'!Q:Q,'08-21addition'!$A:$A,$A49,'08-21addition'!$B:$B,"&gt;=2008")-G49</f>
        <v>310.87</v>
      </c>
      <c r="X49" s="63">
        <f>SUMIFS('08-21addition'!H:H,'08-21addition'!$A:$A,$A49,'08-21addition'!$B:$B,"&gt;=2008")+SUMIFS('08-21addition'!I:I,'08-21addition'!$A:$A,$A49,'08-21addition'!$B:$B,"&gt;=2008")-H49</f>
        <v>1930.54</v>
      </c>
      <c r="Y49" s="63">
        <f t="shared" si="39"/>
        <v>786.59</v>
      </c>
      <c r="Z49" s="63">
        <f>SUMIFS('08-21addition'!M:M,'08-21addition'!$A:$A,$A49,'08-21addition'!$B:$B,"&gt;=2008")-J49</f>
        <v>0</v>
      </c>
      <c r="AA49" s="63">
        <f t="shared" si="40"/>
        <v>10.45</v>
      </c>
      <c r="AB49" s="63">
        <f>SUMIFS('08-21addition'!L:L,'08-21addition'!$A:$A,$A49,'08-21addition'!$B:$B,"&gt;=2008")-L49</f>
        <v>0</v>
      </c>
      <c r="AC49" s="63">
        <f>SUMIFS('08-21addition'!F:F,'08-21addition'!$A:$A,$A49,'08-21addition'!$B:$B,"&gt;=2008")-M49</f>
        <v>3.25</v>
      </c>
      <c r="AD49" s="63">
        <f>SUMIFS('08-21addition'!E:E,'08-21addition'!$A:$A,$A49,'08-21addition'!$B:$B,"&gt;=2008")-N49</f>
        <v>10.45</v>
      </c>
      <c r="AE49" s="63">
        <f>SUMIFS('08-21addition'!G:G,'08-21addition'!$A:$A,$A49,'08-21addition'!$B:$B,"&gt;=2008")-O49</f>
        <v>83.31</v>
      </c>
      <c r="AF49" s="63">
        <f>SUMIFS('08-21addition'!K:K,'08-21addition'!$A:$A,$A49,'08-21addition'!$B:$B,"&gt;=2008")+SUMIFS('08-21addition'!J:J,'08-21addition'!$A:$A,$A49,'08-21addition'!$B:$B,"&gt;=2008")-P49</f>
        <v>786.59</v>
      </c>
      <c r="AH49" s="68" t="s">
        <v>102</v>
      </c>
      <c r="AI49" s="76">
        <v>8331</v>
      </c>
      <c r="AJ49" s="76">
        <v>1154</v>
      </c>
      <c r="AK49" s="76">
        <v>6062</v>
      </c>
      <c r="AL49" s="55">
        <v>657</v>
      </c>
      <c r="AM49" s="55">
        <v>119</v>
      </c>
      <c r="AN49" s="55">
        <v>338</v>
      </c>
      <c r="AO49" s="55">
        <v>0.4</v>
      </c>
      <c r="AP49" s="77">
        <f t="shared" si="32"/>
        <v>6063</v>
      </c>
      <c r="AQ49" s="55">
        <v>4629</v>
      </c>
      <c r="AR49" s="55">
        <v>1228</v>
      </c>
      <c r="AS49" s="55">
        <v>6</v>
      </c>
      <c r="AT49" s="55">
        <v>200</v>
      </c>
      <c r="AU49" s="76">
        <v>122</v>
      </c>
      <c r="AV49" s="76">
        <v>1</v>
      </c>
      <c r="AW49" s="76">
        <v>102</v>
      </c>
      <c r="AX49" s="76">
        <v>19</v>
      </c>
      <c r="AY49" s="66">
        <f t="shared" si="33"/>
        <v>97</v>
      </c>
      <c r="AZ49" s="67">
        <f t="shared" si="34"/>
        <v>1227</v>
      </c>
    </row>
    <row r="50" spans="1:52">
      <c r="A50" s="68" t="s">
        <v>104</v>
      </c>
      <c r="B50" s="63"/>
      <c r="C50" s="63">
        <f>SUMIFS('08-21addition'!O:O,'08-21addition'!$A:$A,$A50,'08-21addition'!$B:$B,"&gt;=2017")+SUMIFS('08-21addition'!P:P,'08-21addition'!$A:$A,$A50,'08-21addition'!$B:$B,"&gt;=2017")</f>
        <v>222.93</v>
      </c>
      <c r="D50" s="63">
        <f t="shared" si="35"/>
        <v>775.86</v>
      </c>
      <c r="E50" s="63">
        <f>SUMIFS('08-21addition'!D:D,'08-21addition'!$A:$A,$A50,'08-21addition'!$B:$B,"&gt;=2017")</f>
        <v>0</v>
      </c>
      <c r="F50" s="63">
        <f>SUMIFS('08-21addition'!C:C,'08-21addition'!$A:$A,$A50,'08-21addition'!$B:$B,"&gt;=2017")</f>
        <v>329.92</v>
      </c>
      <c r="G50" s="63">
        <f>SUMIFS('08-21addition'!Q:Q,'08-21addition'!$A:$A,$A50,'08-21addition'!$B:$B,"&gt;=2017")</f>
        <v>1693.52</v>
      </c>
      <c r="H50" s="63">
        <f>SUMIFS('08-21addition'!H:H,'08-21addition'!$A:$A,$A50,'08-21addition'!$B:$B,"&gt;=2017")+SUMIFS('08-21addition'!I:I,'08-21addition'!$A:$A,$A50,'08-21addition'!$B:$B,"&gt;=2017")</f>
        <v>531.97</v>
      </c>
      <c r="I50" s="63">
        <f t="shared" si="36"/>
        <v>1.2</v>
      </c>
      <c r="J50" s="63">
        <f>SUMIFS('08-21addition'!M:M,'08-21addition'!$A:$A,$A50,'08-21addition'!$B:$B,"&gt;=2017")</f>
        <v>0</v>
      </c>
      <c r="K50" s="63">
        <f t="shared" si="37"/>
        <v>87.77</v>
      </c>
      <c r="L50" s="63">
        <f>SUMIFS('08-21addition'!L:L,'08-21addition'!$A:$A,$A50,'08-21addition'!$B:$B,"&gt;=2017")</f>
        <v>0</v>
      </c>
      <c r="M50" s="63">
        <f>SUMIFS('08-21addition'!F:F,'08-21addition'!$A:$A,$A50,'08-21addition'!$B:$B,"&gt;=2017")</f>
        <v>59.78</v>
      </c>
      <c r="N50" s="63">
        <f>SUMIFS('08-21addition'!E:E,'08-21addition'!$A:$A,$A50,'08-21addition'!$B:$B,"&gt;=2017")</f>
        <v>87.77</v>
      </c>
      <c r="O50" s="63">
        <f>SUMIFS('08-21addition'!G:G,'08-21addition'!$A:$A,$A50,'08-21addition'!$B:$B,"&gt;=2017")</f>
        <v>95.14</v>
      </c>
      <c r="P50" s="63">
        <f>SUMIFS('08-21addition'!K:K,'08-21addition'!$A:$A,$A50,'08-21addition'!$B:$B,"&gt;=2017")+SUMIFS('08-21addition'!J:J,'08-21addition'!$A:$A,$A50,'08-21addition'!$B:$B,"&gt;=2017")</f>
        <v>1.2</v>
      </c>
      <c r="R50" s="63"/>
      <c r="S50" s="63">
        <f>SUMIFS('08-21addition'!O:O,'08-21addition'!$A:$A,$A50,'08-21addition'!$B:$B,"&gt;=2008")+SUMIFS('08-21addition'!P:P,'08-21addition'!$A:$A,$A50,'08-21addition'!$B:$B,"&gt;=2008")-C50</f>
        <v>121.96</v>
      </c>
      <c r="T50" s="63">
        <f t="shared" si="38"/>
        <v>3291.21</v>
      </c>
      <c r="U50" s="63">
        <f>SUMIFS('08-21addition'!D:D,'08-21addition'!$A:$A,$A50,'08-21addition'!$B:$B,"&gt;=2008")-E50</f>
        <v>0</v>
      </c>
      <c r="V50" s="63">
        <f>SUMIFS('08-21addition'!C:C,'08-21addition'!$A:$A,$A50,'08-21addition'!$B:$B,"&gt;=2008")-F50</f>
        <v>203.18</v>
      </c>
      <c r="W50" s="63">
        <f>SUMIFS('08-21addition'!Q:Q,'08-21addition'!$A:$A,$A50,'08-21addition'!$B:$B,"&gt;=2008")-G50</f>
        <v>240.88</v>
      </c>
      <c r="X50" s="63">
        <f>SUMIFS('08-21addition'!H:H,'08-21addition'!$A:$A,$A50,'08-21addition'!$B:$B,"&gt;=2008")+SUMIFS('08-21addition'!I:I,'08-21addition'!$A:$A,$A50,'08-21addition'!$B:$B,"&gt;=2008")-H50</f>
        <v>3158.1</v>
      </c>
      <c r="Y50" s="63">
        <f t="shared" si="39"/>
        <v>7.64</v>
      </c>
      <c r="Z50" s="63">
        <f>SUMIFS('08-21addition'!M:M,'08-21addition'!$A:$A,$A50,'08-21addition'!$B:$B,"&gt;=2008")-J50</f>
        <v>0</v>
      </c>
      <c r="AA50" s="63">
        <f t="shared" si="40"/>
        <v>49.9</v>
      </c>
      <c r="AB50" s="63">
        <f>SUMIFS('08-21addition'!L:L,'08-21addition'!$A:$A,$A50,'08-21addition'!$B:$B,"&gt;=2008")-L50</f>
        <v>0</v>
      </c>
      <c r="AC50" s="63">
        <f>SUMIFS('08-21addition'!F:F,'08-21addition'!$A:$A,$A50,'08-21addition'!$B:$B,"&gt;=2008")-M50</f>
        <v>7.3</v>
      </c>
      <c r="AD50" s="63">
        <f>SUMIFS('08-21addition'!E:E,'08-21addition'!$A:$A,$A50,'08-21addition'!$B:$B,"&gt;=2008")-N50</f>
        <v>49.9</v>
      </c>
      <c r="AE50" s="63">
        <f>SUMIFS('08-21addition'!G:G,'08-21addition'!$A:$A,$A50,'08-21addition'!$B:$B,"&gt;=2008")-O50</f>
        <v>68.27</v>
      </c>
      <c r="AF50" s="63">
        <f>SUMIFS('08-21addition'!K:K,'08-21addition'!$A:$A,$A50,'08-21addition'!$B:$B,"&gt;=2008")+SUMIFS('08-21addition'!J:J,'08-21addition'!$A:$A,$A50,'08-21addition'!$B:$B,"&gt;=2008")-P50</f>
        <v>7.64</v>
      </c>
      <c r="AH50" s="68" t="s">
        <v>104</v>
      </c>
      <c r="AI50" s="76">
        <v>5733</v>
      </c>
      <c r="AJ50" s="76">
        <v>295</v>
      </c>
      <c r="AK50" s="76">
        <v>4915</v>
      </c>
      <c r="AL50" s="78"/>
      <c r="AM50" s="55">
        <v>177</v>
      </c>
      <c r="AN50" s="55">
        <v>345</v>
      </c>
      <c r="AO50" s="78"/>
      <c r="AP50" s="77">
        <f t="shared" si="32"/>
        <v>4916</v>
      </c>
      <c r="AQ50" s="55">
        <v>4669</v>
      </c>
      <c r="AR50" s="55">
        <v>11</v>
      </c>
      <c r="AS50" s="78"/>
      <c r="AT50" s="55">
        <v>236</v>
      </c>
      <c r="AU50" s="76">
        <v>95</v>
      </c>
      <c r="AV50" s="76">
        <v>1</v>
      </c>
      <c r="AW50" s="76">
        <v>29</v>
      </c>
      <c r="AX50" s="76">
        <v>66</v>
      </c>
      <c r="AY50" s="66">
        <f t="shared" si="33"/>
        <v>207</v>
      </c>
      <c r="AZ50" s="67">
        <f t="shared" si="34"/>
        <v>10</v>
      </c>
    </row>
    <row r="51" spans="1:52">
      <c r="A51" s="68" t="s">
        <v>106</v>
      </c>
      <c r="B51" s="63"/>
      <c r="C51" s="63">
        <f>SUMIFS('08-21addition'!O:O,'08-21addition'!$A:$A,$A51,'08-21addition'!$B:$B,"&gt;=2017")+SUMIFS('08-21addition'!P:P,'08-21addition'!$A:$A,$A51,'08-21addition'!$B:$B,"&gt;=2017")</f>
        <v>146.93</v>
      </c>
      <c r="D51" s="63">
        <f t="shared" si="35"/>
        <v>658.78</v>
      </c>
      <c r="E51" s="63">
        <f>SUMIFS('08-21addition'!D:D,'08-21addition'!$A:$A,$A51,'08-21addition'!$B:$B,"&gt;=2017")</f>
        <v>225</v>
      </c>
      <c r="F51" s="63">
        <f>SUMIFS('08-21addition'!C:C,'08-21addition'!$A:$A,$A51,'08-21addition'!$B:$B,"&gt;=2017")</f>
        <v>570</v>
      </c>
      <c r="G51" s="63">
        <f>SUMIFS('08-21addition'!Q:Q,'08-21addition'!$A:$A,$A51,'08-21addition'!$B:$B,"&gt;=2017")</f>
        <v>267.76</v>
      </c>
      <c r="H51" s="63">
        <f>SUMIFS('08-21addition'!H:H,'08-21addition'!$A:$A,$A51,'08-21addition'!$B:$B,"&gt;=2017")+SUMIFS('08-21addition'!I:I,'08-21addition'!$A:$A,$A51,'08-21addition'!$B:$B,"&gt;=2017")</f>
        <v>526.31</v>
      </c>
      <c r="I51" s="63">
        <f t="shared" si="36"/>
        <v>3.48</v>
      </c>
      <c r="J51" s="63">
        <f>SUMIFS('08-21addition'!M:M,'08-21addition'!$A:$A,$A51,'08-21addition'!$B:$B,"&gt;=2017")</f>
        <v>0</v>
      </c>
      <c r="K51" s="63">
        <f t="shared" si="37"/>
        <v>0</v>
      </c>
      <c r="L51" s="63">
        <f>SUMIFS('08-21addition'!L:L,'08-21addition'!$A:$A,$A51,'08-21addition'!$B:$B,"&gt;=2017")</f>
        <v>0</v>
      </c>
      <c r="M51" s="63">
        <f>SUMIFS('08-21addition'!F:F,'08-21addition'!$A:$A,$A51,'08-21addition'!$B:$B,"&gt;=2017")</f>
        <v>53.68</v>
      </c>
      <c r="N51" s="63">
        <f>SUMIFS('08-21addition'!E:E,'08-21addition'!$A:$A,$A51,'08-21addition'!$B:$B,"&gt;=2017")</f>
        <v>0</v>
      </c>
      <c r="O51" s="63">
        <f>SUMIFS('08-21addition'!G:G,'08-21addition'!$A:$A,$A51,'08-21addition'!$B:$B,"&gt;=2017")</f>
        <v>75.31</v>
      </c>
      <c r="P51" s="63">
        <f>SUMIFS('08-21addition'!K:K,'08-21addition'!$A:$A,$A51,'08-21addition'!$B:$B,"&gt;=2017")+SUMIFS('08-21addition'!J:J,'08-21addition'!$A:$A,$A51,'08-21addition'!$B:$B,"&gt;=2017")</f>
        <v>3.48</v>
      </c>
      <c r="R51" s="63"/>
      <c r="S51" s="63">
        <f>SUMIFS('08-21addition'!O:O,'08-21addition'!$A:$A,$A51,'08-21addition'!$B:$B,"&gt;=2008")+SUMIFS('08-21addition'!P:P,'08-21addition'!$A:$A,$A51,'08-21addition'!$B:$B,"&gt;=2008")-C51</f>
        <v>206.01</v>
      </c>
      <c r="T51" s="63">
        <f t="shared" si="38"/>
        <v>1413.3</v>
      </c>
      <c r="U51" s="63">
        <f>SUMIFS('08-21addition'!D:D,'08-21addition'!$A:$A,$A51,'08-21addition'!$B:$B,"&gt;=2008")-E51</f>
        <v>762.3</v>
      </c>
      <c r="V51" s="63">
        <f>SUMIFS('08-21addition'!C:C,'08-21addition'!$A:$A,$A51,'08-21addition'!$B:$B,"&gt;=2008")-F51</f>
        <v>165.28</v>
      </c>
      <c r="W51" s="63">
        <f>SUMIFS('08-21addition'!Q:Q,'08-21addition'!$A:$A,$A51,'08-21addition'!$B:$B,"&gt;=2008")-G51</f>
        <v>25.55</v>
      </c>
      <c r="X51" s="63">
        <f>SUMIFS('08-21addition'!H:H,'08-21addition'!$A:$A,$A51,'08-21addition'!$B:$B,"&gt;=2008")+SUMIFS('08-21addition'!I:I,'08-21addition'!$A:$A,$A51,'08-21addition'!$B:$B,"&gt;=2008")-H51</f>
        <v>1088</v>
      </c>
      <c r="Y51" s="63">
        <f t="shared" si="39"/>
        <v>280</v>
      </c>
      <c r="Z51" s="63">
        <f>SUMIFS('08-21addition'!M:M,'08-21addition'!$A:$A,$A51,'08-21addition'!$B:$B,"&gt;=2008")-J51</f>
        <v>0</v>
      </c>
      <c r="AA51" s="63">
        <f t="shared" si="40"/>
        <v>1.5</v>
      </c>
      <c r="AB51" s="63">
        <f>SUMIFS('08-21addition'!L:L,'08-21addition'!$A:$A,$A51,'08-21addition'!$B:$B,"&gt;=2008")-L51</f>
        <v>0</v>
      </c>
      <c r="AC51" s="63">
        <f>SUMIFS('08-21addition'!F:F,'08-21addition'!$A:$A,$A51,'08-21addition'!$B:$B,"&gt;=2008")-M51</f>
        <v>1.8</v>
      </c>
      <c r="AD51" s="63">
        <f>SUMIFS('08-21addition'!E:E,'08-21addition'!$A:$A,$A51,'08-21addition'!$B:$B,"&gt;=2008")-N51</f>
        <v>1.5</v>
      </c>
      <c r="AE51" s="63">
        <f>SUMIFS('08-21addition'!G:G,'08-21addition'!$A:$A,$A51,'08-21addition'!$B:$B,"&gt;=2008")-O51</f>
        <v>42</v>
      </c>
      <c r="AF51" s="63">
        <f>SUMIFS('08-21addition'!K:K,'08-21addition'!$A:$A,$A51,'08-21addition'!$B:$B,"&gt;=2008")+SUMIFS('08-21addition'!J:J,'08-21addition'!$A:$A,$A51,'08-21addition'!$B:$B,"&gt;=2008")-P51</f>
        <v>280</v>
      </c>
      <c r="AH51" s="68" t="s">
        <v>106</v>
      </c>
      <c r="AI51" s="76">
        <v>5210</v>
      </c>
      <c r="AJ51" s="76">
        <v>1304</v>
      </c>
      <c r="AK51" s="76">
        <v>2902</v>
      </c>
      <c r="AL51" s="55">
        <v>762</v>
      </c>
      <c r="AM51" s="55">
        <v>214</v>
      </c>
      <c r="AN51" s="55">
        <v>27</v>
      </c>
      <c r="AO51" s="78"/>
      <c r="AP51" s="77">
        <f t="shared" si="32"/>
        <v>2902</v>
      </c>
      <c r="AQ51" s="55">
        <v>2394</v>
      </c>
      <c r="AR51" s="55">
        <v>387</v>
      </c>
      <c r="AS51" s="78"/>
      <c r="AT51" s="55">
        <v>121</v>
      </c>
      <c r="AU51" s="76">
        <v>36</v>
      </c>
      <c r="AV51" s="76">
        <v>1</v>
      </c>
      <c r="AW51" s="76">
        <v>30</v>
      </c>
      <c r="AX51" s="76">
        <v>5</v>
      </c>
      <c r="AY51" s="66">
        <f t="shared" si="33"/>
        <v>90</v>
      </c>
      <c r="AZ51" s="67">
        <f t="shared" si="34"/>
        <v>386</v>
      </c>
    </row>
    <row r="52" spans="1:52">
      <c r="A52" s="68" t="s">
        <v>108</v>
      </c>
      <c r="B52" s="63"/>
      <c r="C52" s="63">
        <f>SUMIFS('08-21addition'!O:O,'08-21addition'!$A:$A,$A52,'08-21addition'!$B:$B,"&gt;=2017")+SUMIFS('08-21addition'!P:P,'08-21addition'!$A:$A,$A52,'08-21addition'!$B:$B,"&gt;=2017")</f>
        <v>91.54</v>
      </c>
      <c r="D52" s="63">
        <f t="shared" si="35"/>
        <v>722.31</v>
      </c>
      <c r="E52" s="63">
        <f>SUMIFS('08-21addition'!D:D,'08-21addition'!$A:$A,$A52,'08-21addition'!$B:$B,"&gt;=2017")</f>
        <v>0</v>
      </c>
      <c r="F52" s="63">
        <f>SUMIFS('08-21addition'!C:C,'08-21addition'!$A:$A,$A52,'08-21addition'!$B:$B,"&gt;=2017")</f>
        <v>420.44</v>
      </c>
      <c r="G52" s="63">
        <f>SUMIFS('08-21addition'!Q:Q,'08-21addition'!$A:$A,$A52,'08-21addition'!$B:$B,"&gt;=2017")</f>
        <v>714.59</v>
      </c>
      <c r="H52" s="63">
        <f>SUMIFS('08-21addition'!H:H,'08-21addition'!$A:$A,$A52,'08-21addition'!$B:$B,"&gt;=2017")+SUMIFS('08-21addition'!I:I,'08-21addition'!$A:$A,$A52,'08-21addition'!$B:$B,"&gt;=2017")</f>
        <v>542</v>
      </c>
      <c r="I52" s="63">
        <f t="shared" si="36"/>
        <v>1.2</v>
      </c>
      <c r="J52" s="63">
        <f>SUMIFS('08-21addition'!M:M,'08-21addition'!$A:$A,$A52,'08-21addition'!$B:$B,"&gt;=2017")</f>
        <v>0</v>
      </c>
      <c r="K52" s="63">
        <f t="shared" si="37"/>
        <v>13.2</v>
      </c>
      <c r="L52" s="63">
        <f>SUMIFS('08-21addition'!L:L,'08-21addition'!$A:$A,$A52,'08-21addition'!$B:$B,"&gt;=2017")</f>
        <v>1.2</v>
      </c>
      <c r="M52" s="63">
        <f>SUMIFS('08-21addition'!F:F,'08-21addition'!$A:$A,$A52,'08-21addition'!$B:$B,"&gt;=2017")</f>
        <v>55.15</v>
      </c>
      <c r="N52" s="63">
        <f>SUMIFS('08-21addition'!E:E,'08-21addition'!$A:$A,$A52,'08-21addition'!$B:$B,"&gt;=2017")</f>
        <v>12</v>
      </c>
      <c r="O52" s="63">
        <f>SUMIFS('08-21addition'!G:G,'08-21addition'!$A:$A,$A52,'08-21addition'!$B:$B,"&gt;=2017")</f>
        <v>111.96</v>
      </c>
      <c r="P52" s="63">
        <f>SUMIFS('08-21addition'!K:K,'08-21addition'!$A:$A,$A52,'08-21addition'!$B:$B,"&gt;=2017")+SUMIFS('08-21addition'!J:J,'08-21addition'!$A:$A,$A52,'08-21addition'!$B:$B,"&gt;=2017")</f>
        <v>0</v>
      </c>
      <c r="R52" s="63"/>
      <c r="S52" s="63">
        <f>SUMIFS('08-21addition'!O:O,'08-21addition'!$A:$A,$A52,'08-21addition'!$B:$B,"&gt;=2008")+SUMIFS('08-21addition'!P:P,'08-21addition'!$A:$A,$A52,'08-21addition'!$B:$B,"&gt;=2008")-C52</f>
        <v>182.94</v>
      </c>
      <c r="T52" s="63">
        <f t="shared" si="38"/>
        <v>1068.4</v>
      </c>
      <c r="U52" s="63">
        <f>SUMIFS('08-21addition'!D:D,'08-21addition'!$A:$A,$A52,'08-21addition'!$B:$B,"&gt;=2008")-E52</f>
        <v>0</v>
      </c>
      <c r="V52" s="63">
        <f>SUMIFS('08-21addition'!C:C,'08-21addition'!$A:$A,$A52,'08-21addition'!$B:$B,"&gt;=2008")-F52</f>
        <v>94.22</v>
      </c>
      <c r="W52" s="63">
        <f>SUMIFS('08-21addition'!Q:Q,'08-21addition'!$A:$A,$A52,'08-21addition'!$B:$B,"&gt;=2008")-G52</f>
        <v>170.72</v>
      </c>
      <c r="X52" s="63">
        <f>SUMIFS('08-21addition'!H:H,'08-21addition'!$A:$A,$A52,'08-21addition'!$B:$B,"&gt;=2008")+SUMIFS('08-21addition'!I:I,'08-21addition'!$A:$A,$A52,'08-21addition'!$B:$B,"&gt;=2008")-H52</f>
        <v>1025</v>
      </c>
      <c r="Y52" s="63">
        <f t="shared" si="39"/>
        <v>8.7</v>
      </c>
      <c r="Z52" s="63">
        <f>SUMIFS('08-21addition'!M:M,'08-21addition'!$A:$A,$A52,'08-21addition'!$B:$B,"&gt;=2008")-J52</f>
        <v>0</v>
      </c>
      <c r="AA52" s="63">
        <f t="shared" si="40"/>
        <v>3</v>
      </c>
      <c r="AB52" s="63">
        <f>SUMIFS('08-21addition'!L:L,'08-21addition'!$A:$A,$A52,'08-21addition'!$B:$B,"&gt;=2008")-L52</f>
        <v>0</v>
      </c>
      <c r="AC52" s="63">
        <f>SUMIFS('08-21addition'!F:F,'08-21addition'!$A:$A,$A52,'08-21addition'!$B:$B,"&gt;=2008")-M52</f>
        <v>0.899999999999999</v>
      </c>
      <c r="AD52" s="63">
        <f>SUMIFS('08-21addition'!E:E,'08-21addition'!$A:$A,$A52,'08-21addition'!$B:$B,"&gt;=2008")-N52</f>
        <v>3</v>
      </c>
      <c r="AE52" s="63">
        <f>SUMIFS('08-21addition'!G:G,'08-21addition'!$A:$A,$A52,'08-21addition'!$B:$B,"&gt;=2008")-O52</f>
        <v>30.8</v>
      </c>
      <c r="AF52" s="63">
        <f>SUMIFS('08-21addition'!K:K,'08-21addition'!$A:$A,$A52,'08-21addition'!$B:$B,"&gt;=2008")+SUMIFS('08-21addition'!J:J,'08-21addition'!$A:$A,$A52,'08-21addition'!$B:$B,"&gt;=2008")-P52</f>
        <v>8.7</v>
      </c>
      <c r="AH52" s="68" t="s">
        <v>108</v>
      </c>
      <c r="AI52" s="80">
        <v>2866</v>
      </c>
      <c r="AJ52" s="80">
        <v>613</v>
      </c>
      <c r="AK52" s="80">
        <v>1918</v>
      </c>
      <c r="AL52" s="78"/>
      <c r="AM52" s="55">
        <v>108</v>
      </c>
      <c r="AN52" s="55">
        <v>228</v>
      </c>
      <c r="AO52" s="78"/>
      <c r="AP52" s="77">
        <f t="shared" si="32"/>
        <v>1918</v>
      </c>
      <c r="AQ52" s="55">
        <v>1721</v>
      </c>
      <c r="AR52" s="55">
        <v>10</v>
      </c>
      <c r="AS52" s="78"/>
      <c r="AT52" s="55">
        <v>187</v>
      </c>
      <c r="AU52" s="76">
        <v>28</v>
      </c>
      <c r="AV52" s="76">
        <v>0</v>
      </c>
      <c r="AW52" s="76">
        <v>7</v>
      </c>
      <c r="AX52" s="76">
        <v>20</v>
      </c>
      <c r="AY52" s="66">
        <f t="shared" si="33"/>
        <v>179</v>
      </c>
      <c r="AZ52" s="67">
        <f t="shared" si="34"/>
        <v>10</v>
      </c>
    </row>
    <row r="53" spans="1:52">
      <c r="A53" s="68" t="s">
        <v>110</v>
      </c>
      <c r="B53" s="63"/>
      <c r="C53" s="63">
        <f>SUMIFS('08-21addition'!O:O,'08-21addition'!$A:$A,$A53,'08-21addition'!$B:$B,"&gt;=2017")+SUMIFS('08-21addition'!P:P,'08-21addition'!$A:$A,$A53,'08-21addition'!$B:$B,"&gt;=2017")</f>
        <v>60.48</v>
      </c>
      <c r="D53" s="63">
        <f t="shared" si="35"/>
        <v>2143.67</v>
      </c>
      <c r="E53" s="63">
        <f>SUMIFS('08-21addition'!D:D,'08-21addition'!$A:$A,$A53,'08-21addition'!$B:$B,"&gt;=2017")</f>
        <v>250</v>
      </c>
      <c r="F53" s="63">
        <f>SUMIFS('08-21addition'!C:C,'08-21addition'!$A:$A,$A53,'08-21addition'!$B:$B,"&gt;=2017")</f>
        <v>1084.38</v>
      </c>
      <c r="G53" s="63">
        <f>SUMIFS('08-21addition'!Q:Q,'08-21addition'!$A:$A,$A53,'08-21addition'!$B:$B,"&gt;=2017")</f>
        <v>3012.45</v>
      </c>
      <c r="H53" s="63">
        <f>SUMIFS('08-21addition'!H:H,'08-21addition'!$A:$A,$A53,'08-21addition'!$B:$B,"&gt;=2017")+SUMIFS('08-21addition'!I:I,'08-21addition'!$A:$A,$A53,'08-21addition'!$B:$B,"&gt;=2017")</f>
        <v>1636.8</v>
      </c>
      <c r="I53" s="63">
        <f t="shared" si="36"/>
        <v>3.21</v>
      </c>
      <c r="J53" s="63">
        <f>SUMIFS('08-21addition'!M:M,'08-21addition'!$A:$A,$A53,'08-21addition'!$B:$B,"&gt;=2017")</f>
        <v>0</v>
      </c>
      <c r="K53" s="63">
        <f t="shared" si="37"/>
        <v>121.08</v>
      </c>
      <c r="L53" s="63">
        <f>SUMIFS('08-21addition'!L:L,'08-21addition'!$A:$A,$A53,'08-21addition'!$B:$B,"&gt;=2017")</f>
        <v>0</v>
      </c>
      <c r="M53" s="63">
        <f>SUMIFS('08-21addition'!F:F,'08-21addition'!$A:$A,$A53,'08-21addition'!$B:$B,"&gt;=2017")</f>
        <v>158.75</v>
      </c>
      <c r="N53" s="63">
        <f>SUMIFS('08-21addition'!E:E,'08-21addition'!$A:$A,$A53,'08-21addition'!$B:$B,"&gt;=2017")</f>
        <v>121.08</v>
      </c>
      <c r="O53" s="63">
        <f>SUMIFS('08-21addition'!G:G,'08-21addition'!$A:$A,$A53,'08-21addition'!$B:$B,"&gt;=2017")</f>
        <v>223.83</v>
      </c>
      <c r="P53" s="63">
        <f>SUMIFS('08-21addition'!K:K,'08-21addition'!$A:$A,$A53,'08-21addition'!$B:$B,"&gt;=2017")+SUMIFS('08-21addition'!J:J,'08-21addition'!$A:$A,$A53,'08-21addition'!$B:$B,"&gt;=2017")</f>
        <v>3.21</v>
      </c>
      <c r="R53" s="63"/>
      <c r="S53" s="63">
        <f>SUMIFS('08-21addition'!O:O,'08-21addition'!$A:$A,$A53,'08-21addition'!$B:$B,"&gt;=2008")+SUMIFS('08-21addition'!P:P,'08-21addition'!$A:$A,$A53,'08-21addition'!$B:$B,"&gt;=2008")-C53</f>
        <v>1.13</v>
      </c>
      <c r="T53" s="63">
        <f t="shared" si="38"/>
        <v>3392.47</v>
      </c>
      <c r="U53" s="63">
        <f>SUMIFS('08-21addition'!D:D,'08-21addition'!$A:$A,$A53,'08-21addition'!$B:$B,"&gt;=2008")-E53</f>
        <v>0</v>
      </c>
      <c r="V53" s="63">
        <f>SUMIFS('08-21addition'!C:C,'08-21addition'!$A:$A,$A53,'08-21addition'!$B:$B,"&gt;=2008")-F53</f>
        <v>818.4</v>
      </c>
      <c r="W53" s="63">
        <f>SUMIFS('08-21addition'!Q:Q,'08-21addition'!$A:$A,$A53,'08-21addition'!$B:$B,"&gt;=2008")-G53</f>
        <v>356.91</v>
      </c>
      <c r="X53" s="63">
        <f>SUMIFS('08-21addition'!H:H,'08-21addition'!$A:$A,$A53,'08-21addition'!$B:$B,"&gt;=2008")+SUMIFS('08-21addition'!I:I,'08-21addition'!$A:$A,$A53,'08-21addition'!$B:$B,"&gt;=2008")-H53</f>
        <v>3066.37</v>
      </c>
      <c r="Y53" s="63">
        <f t="shared" si="39"/>
        <v>0.5</v>
      </c>
      <c r="Z53" s="63">
        <f>SUMIFS('08-21addition'!M:M,'08-21addition'!$A:$A,$A53,'08-21addition'!$B:$B,"&gt;=2008")-J53</f>
        <v>0</v>
      </c>
      <c r="AA53" s="63">
        <f t="shared" si="40"/>
        <v>79.1</v>
      </c>
      <c r="AB53" s="63">
        <f>SUMIFS('08-21addition'!L:L,'08-21addition'!$A:$A,$A53,'08-21addition'!$B:$B,"&gt;=2008")-L53</f>
        <v>0.4</v>
      </c>
      <c r="AC53" s="63">
        <f>SUMIFS('08-21addition'!F:F,'08-21addition'!$A:$A,$A53,'08-21addition'!$B:$B,"&gt;=2008")-M53</f>
        <v>23.18</v>
      </c>
      <c r="AD53" s="63">
        <f>SUMIFS('08-21addition'!E:E,'08-21addition'!$A:$A,$A53,'08-21addition'!$B:$B,"&gt;=2008")-N53</f>
        <v>78.7</v>
      </c>
      <c r="AE53" s="63">
        <f>SUMIFS('08-21addition'!G:G,'08-21addition'!$A:$A,$A53,'08-21addition'!$B:$B,"&gt;=2008")-O53</f>
        <v>223.72</v>
      </c>
      <c r="AF53" s="63">
        <f>SUMIFS('08-21addition'!K:K,'08-21addition'!$A:$A,$A53,'08-21addition'!$B:$B,"&gt;=2008")+SUMIFS('08-21addition'!J:J,'08-21addition'!$A:$A,$A53,'08-21addition'!$B:$B,"&gt;=2008")-P53</f>
        <v>0.0999999999999996</v>
      </c>
      <c r="AH53" s="68" t="s">
        <v>110</v>
      </c>
      <c r="AI53" s="76">
        <v>10942</v>
      </c>
      <c r="AJ53" s="76">
        <v>107.8</v>
      </c>
      <c r="AK53" s="76">
        <v>9540</v>
      </c>
      <c r="AL53" s="55"/>
      <c r="AM53" s="55">
        <v>839</v>
      </c>
      <c r="AN53" s="55">
        <v>455</v>
      </c>
      <c r="AO53" s="78"/>
      <c r="AP53" s="77">
        <f t="shared" si="32"/>
        <v>9540</v>
      </c>
      <c r="AQ53" s="81">
        <v>9015</v>
      </c>
      <c r="AR53" s="81">
        <v>6</v>
      </c>
      <c r="AS53" s="78"/>
      <c r="AT53" s="81">
        <v>519</v>
      </c>
      <c r="AU53" s="76">
        <v>179</v>
      </c>
      <c r="AV53" s="76">
        <v>6</v>
      </c>
      <c r="AW53" s="76">
        <v>56</v>
      </c>
      <c r="AX53" s="76">
        <v>117</v>
      </c>
      <c r="AY53" s="66">
        <f t="shared" si="33"/>
        <v>457</v>
      </c>
      <c r="AZ53" s="67">
        <f t="shared" si="34"/>
        <v>0</v>
      </c>
    </row>
    <row r="54" spans="1:52">
      <c r="A54" s="68" t="s">
        <v>112</v>
      </c>
      <c r="B54" s="63"/>
      <c r="C54" s="63">
        <f>SUMIFS('08-21addition'!O:O,'08-21addition'!$A:$A,$A54,'08-21addition'!$B:$B,"&gt;=2017")+SUMIFS('08-21addition'!P:P,'08-21addition'!$A:$A,$A54,'08-21addition'!$B:$B,"&gt;=2017")</f>
        <v>7.69</v>
      </c>
      <c r="D54" s="63">
        <f t="shared" si="35"/>
        <v>1519.08</v>
      </c>
      <c r="E54" s="63">
        <f>SUMIFS('08-21addition'!D:D,'08-21addition'!$A:$A,$A54,'08-21addition'!$B:$B,"&gt;=2017")</f>
        <v>0</v>
      </c>
      <c r="F54" s="63">
        <f>SUMIFS('08-21addition'!C:C,'08-21addition'!$A:$A,$A54,'08-21addition'!$B:$B,"&gt;=2017")</f>
        <v>1754.9</v>
      </c>
      <c r="G54" s="63">
        <f>SUMIFS('08-21addition'!Q:Q,'08-21addition'!$A:$A,$A54,'08-21addition'!$B:$B,"&gt;=2017")</f>
        <v>1294.95</v>
      </c>
      <c r="H54" s="63">
        <f>SUMIFS('08-21addition'!H:H,'08-21addition'!$A:$A,$A54,'08-21addition'!$B:$B,"&gt;=2017")+SUMIFS('08-21addition'!I:I,'08-21addition'!$A:$A,$A54,'08-21addition'!$B:$B,"&gt;=2017")</f>
        <v>1185.45</v>
      </c>
      <c r="I54" s="63">
        <f t="shared" si="36"/>
        <v>93.6</v>
      </c>
      <c r="J54" s="63">
        <f>SUMIFS('08-21addition'!M:M,'08-21addition'!$A:$A,$A54,'08-21addition'!$B:$B,"&gt;=2017")</f>
        <v>0</v>
      </c>
      <c r="K54" s="63">
        <f t="shared" si="37"/>
        <v>79.25</v>
      </c>
      <c r="L54" s="63">
        <f>SUMIFS('08-21addition'!L:L,'08-21addition'!$A:$A,$A54,'08-21addition'!$B:$B,"&gt;=2017")</f>
        <v>0</v>
      </c>
      <c r="M54" s="63">
        <f>SUMIFS('08-21addition'!F:F,'08-21addition'!$A:$A,$A54,'08-21addition'!$B:$B,"&gt;=2017")</f>
        <v>97.3</v>
      </c>
      <c r="N54" s="63">
        <f>SUMIFS('08-21addition'!E:E,'08-21addition'!$A:$A,$A54,'08-21addition'!$B:$B,"&gt;=2017")</f>
        <v>79.25</v>
      </c>
      <c r="O54" s="63">
        <f>SUMIFS('08-21addition'!G:G,'08-21addition'!$A:$A,$A54,'08-21addition'!$B:$B,"&gt;=2017")</f>
        <v>63.48</v>
      </c>
      <c r="P54" s="63">
        <f>SUMIFS('08-21addition'!K:K,'08-21addition'!$A:$A,$A54,'08-21addition'!$B:$B,"&gt;=2017")+SUMIFS('08-21addition'!J:J,'08-21addition'!$A:$A,$A54,'08-21addition'!$B:$B,"&gt;=2017")</f>
        <v>93.6</v>
      </c>
      <c r="R54" s="63"/>
      <c r="S54" s="63">
        <f>SUMIFS('08-21addition'!O:O,'08-21addition'!$A:$A,$A54,'08-21addition'!$B:$B,"&gt;=2008")+SUMIFS('08-21addition'!P:P,'08-21addition'!$A:$A,$A54,'08-21addition'!$B:$B,"&gt;=2008")-C54</f>
        <v>128.91</v>
      </c>
      <c r="T54" s="63">
        <f t="shared" si="38"/>
        <v>3196.35</v>
      </c>
      <c r="U54" s="63">
        <f>SUMIFS('08-21addition'!D:D,'08-21addition'!$A:$A,$A54,'08-21addition'!$B:$B,"&gt;=2008")-E54</f>
        <v>0</v>
      </c>
      <c r="V54" s="63">
        <f>SUMIFS('08-21addition'!C:C,'08-21addition'!$A:$A,$A54,'08-21addition'!$B:$B,"&gt;=2008")-F54</f>
        <v>130.92</v>
      </c>
      <c r="W54" s="63">
        <f>SUMIFS('08-21addition'!Q:Q,'08-21addition'!$A:$A,$A54,'08-21addition'!$B:$B,"&gt;=2008")-G54</f>
        <v>284.06</v>
      </c>
      <c r="X54" s="63">
        <f>SUMIFS('08-21addition'!H:H,'08-21addition'!$A:$A,$A54,'08-21addition'!$B:$B,"&gt;=2008")+SUMIFS('08-21addition'!I:I,'08-21addition'!$A:$A,$A54,'08-21addition'!$B:$B,"&gt;=2008")-H54</f>
        <v>3058</v>
      </c>
      <c r="Y54" s="63">
        <f t="shared" si="39"/>
        <v>39</v>
      </c>
      <c r="Z54" s="63">
        <f>SUMIFS('08-21addition'!M:M,'08-21addition'!$A:$A,$A54,'08-21addition'!$B:$B,"&gt;=2008")-J54</f>
        <v>0</v>
      </c>
      <c r="AA54" s="63">
        <f t="shared" si="40"/>
        <v>10</v>
      </c>
      <c r="AB54" s="63">
        <f>SUMIFS('08-21addition'!L:L,'08-21addition'!$A:$A,$A54,'08-21addition'!$B:$B,"&gt;=2008")-L54</f>
        <v>0</v>
      </c>
      <c r="AC54" s="63">
        <f>SUMIFS('08-21addition'!F:F,'08-21addition'!$A:$A,$A54,'08-21addition'!$B:$B,"&gt;=2008")-M54</f>
        <v>0</v>
      </c>
      <c r="AD54" s="63">
        <f>SUMIFS('08-21addition'!E:E,'08-21addition'!$A:$A,$A54,'08-21addition'!$B:$B,"&gt;=2008")-N54</f>
        <v>10</v>
      </c>
      <c r="AE54" s="63">
        <f>SUMIFS('08-21addition'!G:G,'08-21addition'!$A:$A,$A54,'08-21addition'!$B:$B,"&gt;=2008")-O54</f>
        <v>89.35</v>
      </c>
      <c r="AF54" s="63">
        <f>SUMIFS('08-21addition'!K:K,'08-21addition'!$A:$A,$A54,'08-21addition'!$B:$B,"&gt;=2008")+SUMIFS('08-21addition'!J:J,'08-21addition'!$A:$A,$A54,'08-21addition'!$B:$B,"&gt;=2008")-P54</f>
        <v>39</v>
      </c>
      <c r="AH54" s="68" t="s">
        <v>112</v>
      </c>
      <c r="AI54" s="76">
        <v>7218</v>
      </c>
      <c r="AJ54" s="76">
        <v>399</v>
      </c>
      <c r="AK54" s="76">
        <v>6431</v>
      </c>
      <c r="AL54" s="78"/>
      <c r="AM54" s="55">
        <v>104</v>
      </c>
      <c r="AN54" s="55">
        <v>284</v>
      </c>
      <c r="AO54" s="78"/>
      <c r="AP54" s="77">
        <f t="shared" si="32"/>
        <v>6431</v>
      </c>
      <c r="AQ54" s="78">
        <v>6164</v>
      </c>
      <c r="AR54" s="78">
        <v>161</v>
      </c>
      <c r="AS54" s="78"/>
      <c r="AT54" s="78">
        <v>106</v>
      </c>
      <c r="AU54" s="76">
        <v>47</v>
      </c>
      <c r="AV54" s="79"/>
      <c r="AW54" s="76">
        <v>8</v>
      </c>
      <c r="AX54" s="76">
        <v>39</v>
      </c>
      <c r="AY54" s="66">
        <f t="shared" si="33"/>
        <v>98</v>
      </c>
      <c r="AZ54" s="67">
        <f t="shared" si="34"/>
        <v>161</v>
      </c>
    </row>
    <row r="55" spans="1:52">
      <c r="A55" s="68" t="s">
        <v>114</v>
      </c>
      <c r="B55" s="63"/>
      <c r="C55" s="63">
        <f>SUMIFS('08-21addition'!O:O,'08-21addition'!$A:$A,$A55,'08-21addition'!$B:$B,"&gt;=2017")+SUMIFS('08-21addition'!P:P,'08-21addition'!$A:$A,$A55,'08-21addition'!$B:$B,"&gt;=2017")</f>
        <v>101.57</v>
      </c>
      <c r="D55" s="63">
        <f t="shared" si="35"/>
        <v>805.4</v>
      </c>
      <c r="E55" s="63">
        <f>SUMIFS('08-21addition'!D:D,'08-21addition'!$A:$A,$A55,'08-21addition'!$B:$B,"&gt;=2017")</f>
        <v>0</v>
      </c>
      <c r="F55" s="63">
        <f>SUMIFS('08-21addition'!C:C,'08-21addition'!$A:$A,$A55,'08-21addition'!$B:$B,"&gt;=2017")</f>
        <v>533.48</v>
      </c>
      <c r="G55" s="63">
        <f>SUMIFS('08-21addition'!Q:Q,'08-21addition'!$A:$A,$A55,'08-21addition'!$B:$B,"&gt;=2017")</f>
        <v>876.62</v>
      </c>
      <c r="H55" s="63">
        <f>SUMIFS('08-21addition'!H:H,'08-21addition'!$A:$A,$A55,'08-21addition'!$B:$B,"&gt;=2017")+SUMIFS('08-21addition'!I:I,'08-21addition'!$A:$A,$A55,'08-21addition'!$B:$B,"&gt;=2017")</f>
        <v>628.4</v>
      </c>
      <c r="I55" s="63">
        <f t="shared" si="36"/>
        <v>58.99</v>
      </c>
      <c r="J55" s="63">
        <f>SUMIFS('08-21addition'!M:M,'08-21addition'!$A:$A,$A55,'08-21addition'!$B:$B,"&gt;=2017")</f>
        <v>0</v>
      </c>
      <c r="K55" s="63">
        <f t="shared" si="37"/>
        <v>27.6</v>
      </c>
      <c r="L55" s="63">
        <f>SUMIFS('08-21addition'!L:L,'08-21addition'!$A:$A,$A55,'08-21addition'!$B:$B,"&gt;=2017")</f>
        <v>0</v>
      </c>
      <c r="M55" s="63">
        <f>SUMIFS('08-21addition'!F:F,'08-21addition'!$A:$A,$A55,'08-21addition'!$B:$B,"&gt;=2017")</f>
        <v>25.8</v>
      </c>
      <c r="N55" s="63">
        <f>SUMIFS('08-21addition'!E:E,'08-21addition'!$A:$A,$A55,'08-21addition'!$B:$B,"&gt;=2017")</f>
        <v>27.6</v>
      </c>
      <c r="O55" s="63">
        <f>SUMIFS('08-21addition'!G:G,'08-21addition'!$A:$A,$A55,'08-21addition'!$B:$B,"&gt;=2017")</f>
        <v>64.61</v>
      </c>
      <c r="P55" s="63">
        <f>SUMIFS('08-21addition'!K:K,'08-21addition'!$A:$A,$A55,'08-21addition'!$B:$B,"&gt;=2017")+SUMIFS('08-21addition'!J:J,'08-21addition'!$A:$A,$A55,'08-21addition'!$B:$B,"&gt;=2017")</f>
        <v>58.99</v>
      </c>
      <c r="R55" s="63"/>
      <c r="S55" s="63">
        <f>SUMIFS('08-21addition'!O:O,'08-21addition'!$A:$A,$A55,'08-21addition'!$B:$B,"&gt;=2008")+SUMIFS('08-21addition'!P:P,'08-21addition'!$A:$A,$A55,'08-21addition'!$B:$B,"&gt;=2008")-C55</f>
        <v>1200.93</v>
      </c>
      <c r="T55" s="63">
        <f t="shared" si="38"/>
        <v>1400.12</v>
      </c>
      <c r="U55" s="63">
        <f>SUMIFS('08-21addition'!D:D,'08-21addition'!$A:$A,$A55,'08-21addition'!$B:$B,"&gt;=2008")-E55</f>
        <v>0</v>
      </c>
      <c r="V55" s="63">
        <f>SUMIFS('08-21addition'!C:C,'08-21addition'!$A:$A,$A55,'08-21addition'!$B:$B,"&gt;=2008")-F55</f>
        <v>222.28</v>
      </c>
      <c r="W55" s="63">
        <f>SUMIFS('08-21addition'!Q:Q,'08-21addition'!$A:$A,$A55,'08-21addition'!$B:$B,"&gt;=2008")-G55</f>
        <v>208.95</v>
      </c>
      <c r="X55" s="63">
        <f>SUMIFS('08-21addition'!H:H,'08-21addition'!$A:$A,$A55,'08-21addition'!$B:$B,"&gt;=2008")+SUMIFS('08-21addition'!I:I,'08-21addition'!$A:$A,$A55,'08-21addition'!$B:$B,"&gt;=2008")-H55</f>
        <v>1218.85</v>
      </c>
      <c r="Y55" s="63">
        <f t="shared" si="39"/>
        <v>55.79</v>
      </c>
      <c r="Z55" s="63">
        <f>SUMIFS('08-21addition'!M:M,'08-21addition'!$A:$A,$A55,'08-21addition'!$B:$B,"&gt;=2008")-J55</f>
        <v>0</v>
      </c>
      <c r="AA55" s="63">
        <f t="shared" si="40"/>
        <v>32.19</v>
      </c>
      <c r="AB55" s="63">
        <f>SUMIFS('08-21addition'!L:L,'08-21addition'!$A:$A,$A55,'08-21addition'!$B:$B,"&gt;=2008")-L55</f>
        <v>0.29</v>
      </c>
      <c r="AC55" s="63">
        <f>SUMIFS('08-21addition'!F:F,'08-21addition'!$A:$A,$A55,'08-21addition'!$B:$B,"&gt;=2008")-M55</f>
        <v>12.3</v>
      </c>
      <c r="AD55" s="63">
        <f>SUMIFS('08-21addition'!E:E,'08-21addition'!$A:$A,$A55,'08-21addition'!$B:$B,"&gt;=2008")-N55</f>
        <v>31.9</v>
      </c>
      <c r="AE55" s="63">
        <f>SUMIFS('08-21addition'!G:G,'08-21addition'!$A:$A,$A55,'08-21addition'!$B:$B,"&gt;=2008")-O55</f>
        <v>81.28</v>
      </c>
      <c r="AF55" s="63">
        <f>SUMIFS('08-21addition'!K:K,'08-21addition'!$A:$A,$A55,'08-21addition'!$B:$B,"&gt;=2008")+SUMIFS('08-21addition'!J:J,'08-21addition'!$A:$A,$A55,'08-21addition'!$B:$B,"&gt;=2008")-P55</f>
        <v>55.5</v>
      </c>
      <c r="AH55" s="68" t="s">
        <v>114</v>
      </c>
      <c r="AI55" s="76">
        <v>6745</v>
      </c>
      <c r="AJ55" s="76">
        <v>3663</v>
      </c>
      <c r="AK55" s="76">
        <v>2694</v>
      </c>
      <c r="AL55" s="78"/>
      <c r="AM55" s="55">
        <v>201</v>
      </c>
      <c r="AN55" s="55">
        <v>187</v>
      </c>
      <c r="AO55" s="78"/>
      <c r="AP55" s="77">
        <f t="shared" si="32"/>
        <v>2694</v>
      </c>
      <c r="AQ55" s="81">
        <v>2405</v>
      </c>
      <c r="AR55" s="81">
        <v>76</v>
      </c>
      <c r="AS55" s="78"/>
      <c r="AT55" s="81">
        <v>213</v>
      </c>
      <c r="AU55" s="76">
        <v>65</v>
      </c>
      <c r="AV55" s="76">
        <v>1</v>
      </c>
      <c r="AW55" s="76">
        <v>21</v>
      </c>
      <c r="AX55" s="76">
        <v>43</v>
      </c>
      <c r="AY55" s="66">
        <f t="shared" si="33"/>
        <v>191</v>
      </c>
      <c r="AZ55" s="67">
        <f t="shared" si="34"/>
        <v>75</v>
      </c>
    </row>
    <row r="56" spans="1:52">
      <c r="A56" s="68" t="s">
        <v>116</v>
      </c>
      <c r="B56" s="63"/>
      <c r="C56" s="63">
        <f>SUMIFS('08-21addition'!O:O,'08-21addition'!$A:$A,$A56,'08-21addition'!$B:$B,"&gt;=2017")+SUMIFS('08-21addition'!P:P,'08-21addition'!$A:$A,$A56,'08-21addition'!$B:$B,"&gt;=2017")</f>
        <v>139.6</v>
      </c>
      <c r="D56" s="63">
        <f t="shared" si="35"/>
        <v>308.19</v>
      </c>
      <c r="E56" s="63">
        <f>SUMIFS('08-21addition'!D:D,'08-21addition'!$A:$A,$A56,'08-21addition'!$B:$B,"&gt;=2017")</f>
        <v>0</v>
      </c>
      <c r="F56" s="63">
        <f>SUMIFS('08-21addition'!C:C,'08-21addition'!$A:$A,$A56,'08-21addition'!$B:$B,"&gt;=2017")</f>
        <v>597.09</v>
      </c>
      <c r="G56" s="63">
        <f>SUMIFS('08-21addition'!Q:Q,'08-21addition'!$A:$A,$A56,'08-21addition'!$B:$B,"&gt;=2017")</f>
        <v>460.5</v>
      </c>
      <c r="H56" s="63">
        <f>SUMIFS('08-21addition'!H:H,'08-21addition'!$A:$A,$A56,'08-21addition'!$B:$B,"&gt;=2017")+SUMIFS('08-21addition'!I:I,'08-21addition'!$A:$A,$A56,'08-21addition'!$B:$B,"&gt;=2017")</f>
        <v>213.15</v>
      </c>
      <c r="I56" s="63">
        <f t="shared" si="36"/>
        <v>4.65</v>
      </c>
      <c r="J56" s="63">
        <f>SUMIFS('08-21addition'!M:M,'08-21addition'!$A:$A,$A56,'08-21addition'!$B:$B,"&gt;=2017")</f>
        <v>0</v>
      </c>
      <c r="K56" s="63">
        <f t="shared" si="37"/>
        <v>11.5</v>
      </c>
      <c r="L56" s="63">
        <f>SUMIFS('08-21addition'!L:L,'08-21addition'!$A:$A,$A56,'08-21addition'!$B:$B,"&gt;=2017")</f>
        <v>3</v>
      </c>
      <c r="M56" s="63">
        <f>SUMIFS('08-21addition'!F:F,'08-21addition'!$A:$A,$A56,'08-21addition'!$B:$B,"&gt;=2017")</f>
        <v>41</v>
      </c>
      <c r="N56" s="63">
        <f>SUMIFS('08-21addition'!E:E,'08-21addition'!$A:$A,$A56,'08-21addition'!$B:$B,"&gt;=2017")</f>
        <v>8.5</v>
      </c>
      <c r="O56" s="63">
        <f>SUMIFS('08-21addition'!G:G,'08-21addition'!$A:$A,$A56,'08-21addition'!$B:$B,"&gt;=2017")</f>
        <v>40.89</v>
      </c>
      <c r="P56" s="63">
        <f>SUMIFS('08-21addition'!K:K,'08-21addition'!$A:$A,$A56,'08-21addition'!$B:$B,"&gt;=2017")+SUMIFS('08-21addition'!J:J,'08-21addition'!$A:$A,$A56,'08-21addition'!$B:$B,"&gt;=2017")</f>
        <v>1.65</v>
      </c>
      <c r="R56" s="63"/>
      <c r="S56" s="63">
        <f>SUMIFS('08-21addition'!O:O,'08-21addition'!$A:$A,$A56,'08-21addition'!$B:$B,"&gt;=2008")+SUMIFS('08-21addition'!P:P,'08-21addition'!$A:$A,$A56,'08-21addition'!$B:$B,"&gt;=2008")-C56</f>
        <v>498.59</v>
      </c>
      <c r="T56" s="63">
        <f t="shared" si="38"/>
        <v>807.97</v>
      </c>
      <c r="U56" s="63">
        <f>SUMIFS('08-21addition'!D:D,'08-21addition'!$A:$A,$A56,'08-21addition'!$B:$B,"&gt;=2008")-E56</f>
        <v>0</v>
      </c>
      <c r="V56" s="63">
        <f>SUMIFS('08-21addition'!C:C,'08-21addition'!$A:$A,$A56,'08-21addition'!$B:$B,"&gt;=2008")-F56</f>
        <v>272.72</v>
      </c>
      <c r="W56" s="63">
        <f>SUMIFS('08-21addition'!Q:Q,'08-21addition'!$A:$A,$A56,'08-21addition'!$B:$B,"&gt;=2008")-G56</f>
        <v>23.41</v>
      </c>
      <c r="X56" s="63">
        <f>SUMIFS('08-21addition'!H:H,'08-21addition'!$A:$A,$A56,'08-21addition'!$B:$B,"&gt;=2008")+SUMIFS('08-21addition'!I:I,'08-21addition'!$A:$A,$A56,'08-21addition'!$B:$B,"&gt;=2008")-H56</f>
        <v>727.88</v>
      </c>
      <c r="Y56" s="63">
        <f t="shared" si="39"/>
        <v>0</v>
      </c>
      <c r="Z56" s="63">
        <f>SUMIFS('08-21addition'!M:M,'08-21addition'!$A:$A,$A56,'08-21addition'!$B:$B,"&gt;=2008")-J56</f>
        <v>0</v>
      </c>
      <c r="AA56" s="63">
        <f t="shared" si="40"/>
        <v>23.01</v>
      </c>
      <c r="AB56" s="63">
        <f>SUMIFS('08-21addition'!L:L,'08-21addition'!$A:$A,$A56,'08-21addition'!$B:$B,"&gt;=2008")-L56</f>
        <v>0</v>
      </c>
      <c r="AC56" s="63">
        <f>SUMIFS('08-21addition'!F:F,'08-21addition'!$A:$A,$A56,'08-21addition'!$B:$B,"&gt;=2008")-M56</f>
        <v>4.02</v>
      </c>
      <c r="AD56" s="63">
        <f>SUMIFS('08-21addition'!E:E,'08-21addition'!$A:$A,$A56,'08-21addition'!$B:$B,"&gt;=2008")-N56</f>
        <v>23.01</v>
      </c>
      <c r="AE56" s="63">
        <f>SUMIFS('08-21addition'!G:G,'08-21addition'!$A:$A,$A56,'08-21addition'!$B:$B,"&gt;=2008")-O56</f>
        <v>53.06</v>
      </c>
      <c r="AF56" s="63">
        <f>SUMIFS('08-21addition'!K:K,'08-21addition'!$A:$A,$A56,'08-21addition'!$B:$B,"&gt;=2008")+SUMIFS('08-21addition'!J:J,'08-21addition'!$A:$A,$A56,'08-21addition'!$B:$B,"&gt;=2008")-P56</f>
        <v>0</v>
      </c>
      <c r="AH56" s="68" t="s">
        <v>116</v>
      </c>
      <c r="AI56" s="76">
        <v>4121</v>
      </c>
      <c r="AJ56" s="76">
        <v>1553</v>
      </c>
      <c r="AK56" s="76">
        <v>2322</v>
      </c>
      <c r="AL56" s="78"/>
      <c r="AM56" s="55">
        <v>217</v>
      </c>
      <c r="AN56" s="55">
        <v>30</v>
      </c>
      <c r="AO56" s="55"/>
      <c r="AP56" s="77">
        <f t="shared" si="32"/>
        <v>2321</v>
      </c>
      <c r="AQ56" s="78">
        <v>2113</v>
      </c>
      <c r="AR56" s="78">
        <v>10</v>
      </c>
      <c r="AS56" s="78">
        <v>7</v>
      </c>
      <c r="AT56" s="78">
        <v>191</v>
      </c>
      <c r="AU56" s="76">
        <v>40</v>
      </c>
      <c r="AV56" s="76">
        <v>9</v>
      </c>
      <c r="AW56" s="76">
        <v>10</v>
      </c>
      <c r="AX56" s="76">
        <v>21</v>
      </c>
      <c r="AY56" s="66">
        <f t="shared" si="33"/>
        <v>172</v>
      </c>
      <c r="AZ56" s="67">
        <f t="shared" si="34"/>
        <v>1</v>
      </c>
    </row>
    <row r="57" spans="1:52">
      <c r="A57" s="68" t="s">
        <v>118</v>
      </c>
      <c r="B57" s="63"/>
      <c r="C57" s="63">
        <f>SUMIFS('08-21addition'!O:O,'08-21addition'!$A:$A,$A57,'08-21addition'!$B:$B,"&gt;=2017")+SUMIFS('08-21addition'!P:P,'08-21addition'!$A:$A,$A57,'08-21addition'!$B:$B,"&gt;=2017")</f>
        <v>195</v>
      </c>
      <c r="D57" s="63">
        <f t="shared" si="35"/>
        <v>2245.06</v>
      </c>
      <c r="E57" s="63">
        <f>SUMIFS('08-21addition'!D:D,'08-21addition'!$A:$A,$A57,'08-21addition'!$B:$B,"&gt;=2017")</f>
        <v>675.8</v>
      </c>
      <c r="F57" s="63">
        <f>SUMIFS('08-21addition'!C:C,'08-21addition'!$A:$A,$A57,'08-21addition'!$B:$B,"&gt;=2017")</f>
        <v>802.1</v>
      </c>
      <c r="G57" s="63">
        <f>SUMIFS('08-21addition'!Q:Q,'08-21addition'!$A:$A,$A57,'08-21addition'!$B:$B,"&gt;=2017")</f>
        <v>573.15</v>
      </c>
      <c r="H57" s="63">
        <f>SUMIFS('08-21addition'!H:H,'08-21addition'!$A:$A,$A57,'08-21addition'!$B:$B,"&gt;=2017")+SUMIFS('08-21addition'!I:I,'08-21addition'!$A:$A,$A57,'08-21addition'!$B:$B,"&gt;=2017")</f>
        <v>770</v>
      </c>
      <c r="I57" s="63">
        <f t="shared" si="36"/>
        <v>1319.71</v>
      </c>
      <c r="J57" s="63">
        <f>SUMIFS('08-21addition'!M:M,'08-21addition'!$A:$A,$A57,'08-21addition'!$B:$B,"&gt;=2017")</f>
        <v>0</v>
      </c>
      <c r="K57" s="63">
        <f t="shared" si="37"/>
        <v>18.07</v>
      </c>
      <c r="L57" s="63">
        <f>SUMIFS('08-21addition'!L:L,'08-21addition'!$A:$A,$A57,'08-21addition'!$B:$B,"&gt;=2017")</f>
        <v>11.07</v>
      </c>
      <c r="M57" s="63">
        <f>SUMIFS('08-21addition'!F:F,'08-21addition'!$A:$A,$A57,'08-21addition'!$B:$B,"&gt;=2017")</f>
        <v>148.35</v>
      </c>
      <c r="N57" s="63">
        <f>SUMIFS('08-21addition'!E:E,'08-21addition'!$A:$A,$A57,'08-21addition'!$B:$B,"&gt;=2017")</f>
        <v>7</v>
      </c>
      <c r="O57" s="63">
        <f>SUMIFS('08-21addition'!G:G,'08-21addition'!$A:$A,$A57,'08-21addition'!$B:$B,"&gt;=2017")</f>
        <v>0</v>
      </c>
      <c r="P57" s="63">
        <f>SUMIFS('08-21addition'!K:K,'08-21addition'!$A:$A,$A57,'08-21addition'!$B:$B,"&gt;=2017")+SUMIFS('08-21addition'!J:J,'08-21addition'!$A:$A,$A57,'08-21addition'!$B:$B,"&gt;=2017")</f>
        <v>1308.64</v>
      </c>
      <c r="R57" s="63"/>
      <c r="S57" s="63">
        <f>SUMIFS('08-21addition'!O:O,'08-21addition'!$A:$A,$A57,'08-21addition'!$B:$B,"&gt;=2008")+SUMIFS('08-21addition'!P:P,'08-21addition'!$A:$A,$A57,'08-21addition'!$B:$B,"&gt;=2008")-C57</f>
        <v>376.8</v>
      </c>
      <c r="T57" s="63">
        <f t="shared" si="38"/>
        <v>3189.4</v>
      </c>
      <c r="U57" s="63">
        <f>SUMIFS('08-21addition'!D:D,'08-21addition'!$A:$A,$A57,'08-21addition'!$B:$B,"&gt;=2008")-E57</f>
        <v>543.18</v>
      </c>
      <c r="V57" s="63">
        <f>SUMIFS('08-21addition'!C:C,'08-21addition'!$A:$A,$A57,'08-21addition'!$B:$B,"&gt;=2008")-F57</f>
        <v>181.41</v>
      </c>
      <c r="W57" s="63">
        <f>SUMIFS('08-21addition'!Q:Q,'08-21addition'!$A:$A,$A57,'08-21addition'!$B:$B,"&gt;=2008")-G57</f>
        <v>30.75</v>
      </c>
      <c r="X57" s="63">
        <f>SUMIFS('08-21addition'!H:H,'08-21addition'!$A:$A,$A57,'08-21addition'!$B:$B,"&gt;=2008")+SUMIFS('08-21addition'!I:I,'08-21addition'!$A:$A,$A57,'08-21addition'!$B:$B,"&gt;=2008")-H57</f>
        <v>3080.4</v>
      </c>
      <c r="Y57" s="63">
        <f t="shared" si="39"/>
        <v>93.5999999999999</v>
      </c>
      <c r="Z57" s="63">
        <f>SUMIFS('08-21addition'!M:M,'08-21addition'!$A:$A,$A57,'08-21addition'!$B:$B,"&gt;=2008")-J57</f>
        <v>0</v>
      </c>
      <c r="AA57" s="63">
        <f t="shared" si="40"/>
        <v>10</v>
      </c>
      <c r="AB57" s="63">
        <f>SUMIFS('08-21addition'!L:L,'08-21addition'!$A:$A,$A57,'08-21addition'!$B:$B,"&gt;=2008")-L57</f>
        <v>0</v>
      </c>
      <c r="AC57" s="63">
        <f>SUMIFS('08-21addition'!F:F,'08-21addition'!$A:$A,$A57,'08-21addition'!$B:$B,"&gt;=2008")-M57</f>
        <v>5.40000000000001</v>
      </c>
      <c r="AD57" s="63">
        <f>SUMIFS('08-21addition'!E:E,'08-21addition'!$A:$A,$A57,'08-21addition'!$B:$B,"&gt;=2008")-N57</f>
        <v>10</v>
      </c>
      <c r="AE57" s="63">
        <f>SUMIFS('08-21addition'!G:G,'08-21addition'!$A:$A,$A57,'08-21addition'!$B:$B,"&gt;=2008")-O57</f>
        <v>0</v>
      </c>
      <c r="AF57" s="63">
        <f>SUMIFS('08-21addition'!K:K,'08-21addition'!$A:$A,$A57,'08-21addition'!$B:$B,"&gt;=2008")+SUMIFS('08-21addition'!J:J,'08-21addition'!$A:$A,$A57,'08-21addition'!$B:$B,"&gt;=2008")-P57</f>
        <v>93.5999999999999</v>
      </c>
      <c r="AH57" s="68" t="s">
        <v>118</v>
      </c>
      <c r="AI57" s="76">
        <v>10457</v>
      </c>
      <c r="AJ57" s="76">
        <v>1411</v>
      </c>
      <c r="AK57" s="76">
        <v>7721</v>
      </c>
      <c r="AL57" s="55">
        <v>938</v>
      </c>
      <c r="AM57" s="55">
        <v>268</v>
      </c>
      <c r="AN57" s="55">
        <v>117</v>
      </c>
      <c r="AO57" s="55">
        <v>2</v>
      </c>
      <c r="AP57" s="77">
        <f t="shared" si="32"/>
        <v>7722</v>
      </c>
      <c r="AQ57" s="55">
        <v>5992</v>
      </c>
      <c r="AR57" s="55">
        <v>1569</v>
      </c>
      <c r="AS57" s="55">
        <v>33</v>
      </c>
      <c r="AT57" s="55">
        <v>128</v>
      </c>
      <c r="AU57" s="76">
        <v>82</v>
      </c>
      <c r="AV57" s="76">
        <v>4</v>
      </c>
      <c r="AW57" s="76">
        <v>62</v>
      </c>
      <c r="AX57" s="76">
        <v>16</v>
      </c>
      <c r="AY57" s="66">
        <f t="shared" si="33"/>
        <v>62</v>
      </c>
      <c r="AZ57" s="67">
        <f t="shared" si="34"/>
        <v>1565</v>
      </c>
    </row>
    <row r="58" spans="1:52">
      <c r="A58" s="68" t="s">
        <v>120</v>
      </c>
      <c r="B58" s="63"/>
      <c r="C58" s="63">
        <f>SUMIFS('08-21addition'!O:O,'08-21addition'!$A:$A,$A58,'08-21addition'!$B:$B,"&gt;=2017")+SUMIFS('08-21addition'!P:P,'08-21addition'!$A:$A,$A58,'08-21addition'!$B:$B,"&gt;=2017")</f>
        <v>111.38</v>
      </c>
      <c r="D58" s="63">
        <f t="shared" si="35"/>
        <v>366.7</v>
      </c>
      <c r="E58" s="63">
        <f>SUMIFS('08-21addition'!D:D,'08-21addition'!$A:$A,$A58,'08-21addition'!$B:$B,"&gt;=2017")</f>
        <v>0</v>
      </c>
      <c r="F58" s="63">
        <f>SUMIFS('08-21addition'!C:C,'08-21addition'!$A:$A,$A58,'08-21addition'!$B:$B,"&gt;=2017")</f>
        <v>686.34</v>
      </c>
      <c r="G58" s="63">
        <f>SUMIFS('08-21addition'!Q:Q,'08-21addition'!$A:$A,$A58,'08-21addition'!$B:$B,"&gt;=2017")</f>
        <v>225.41</v>
      </c>
      <c r="H58" s="63">
        <f>SUMIFS('08-21addition'!H:H,'08-21addition'!$A:$A,$A58,'08-21addition'!$B:$B,"&gt;=2017")+SUMIFS('08-21addition'!I:I,'08-21addition'!$A:$A,$A58,'08-21addition'!$B:$B,"&gt;=2017")</f>
        <v>212.1</v>
      </c>
      <c r="I58" s="63">
        <f t="shared" si="36"/>
        <v>36</v>
      </c>
      <c r="J58" s="63">
        <f>SUMIFS('08-21addition'!M:M,'08-21addition'!$A:$A,$A58,'08-21addition'!$B:$B,"&gt;=2017")</f>
        <v>0</v>
      </c>
      <c r="K58" s="63">
        <f t="shared" si="37"/>
        <v>51.35</v>
      </c>
      <c r="L58" s="63">
        <f>SUMIFS('08-21addition'!L:L,'08-21addition'!$A:$A,$A58,'08-21addition'!$B:$B,"&gt;=2017")</f>
        <v>0</v>
      </c>
      <c r="M58" s="63">
        <f>SUMIFS('08-21addition'!F:F,'08-21addition'!$A:$A,$A58,'08-21addition'!$B:$B,"&gt;=2017")</f>
        <v>33.6</v>
      </c>
      <c r="N58" s="63">
        <f>SUMIFS('08-21addition'!E:E,'08-21addition'!$A:$A,$A58,'08-21addition'!$B:$B,"&gt;=2017")</f>
        <v>51.35</v>
      </c>
      <c r="O58" s="63">
        <f>SUMIFS('08-21addition'!G:G,'08-21addition'!$A:$A,$A58,'08-21addition'!$B:$B,"&gt;=2017")</f>
        <v>33.65</v>
      </c>
      <c r="P58" s="63">
        <f>SUMIFS('08-21addition'!K:K,'08-21addition'!$A:$A,$A58,'08-21addition'!$B:$B,"&gt;=2017")+SUMIFS('08-21addition'!J:J,'08-21addition'!$A:$A,$A58,'08-21addition'!$B:$B,"&gt;=2017")</f>
        <v>36</v>
      </c>
      <c r="R58" s="63"/>
      <c r="S58" s="63">
        <f>SUMIFS('08-21addition'!O:O,'08-21addition'!$A:$A,$A58,'08-21addition'!$B:$B,"&gt;=2008")+SUMIFS('08-21addition'!P:P,'08-21addition'!$A:$A,$A58,'08-21addition'!$B:$B,"&gt;=2008")-C58</f>
        <v>546.89</v>
      </c>
      <c r="T58" s="63">
        <f t="shared" si="38"/>
        <v>1057.4</v>
      </c>
      <c r="U58" s="63">
        <f>SUMIFS('08-21addition'!D:D,'08-21addition'!$A:$A,$A58,'08-21addition'!$B:$B,"&gt;=2008")-E58</f>
        <v>217.2</v>
      </c>
      <c r="V58" s="63">
        <f>SUMIFS('08-21addition'!C:C,'08-21addition'!$A:$A,$A58,'08-21addition'!$B:$B,"&gt;=2008")-F58</f>
        <v>79.5</v>
      </c>
      <c r="W58" s="63">
        <f>SUMIFS('08-21addition'!Q:Q,'08-21addition'!$A:$A,$A58,'08-21addition'!$B:$B,"&gt;=2008")-G58</f>
        <v>12.87</v>
      </c>
      <c r="X58" s="63">
        <f>SUMIFS('08-21addition'!H:H,'08-21addition'!$A:$A,$A58,'08-21addition'!$B:$B,"&gt;=2008")+SUMIFS('08-21addition'!I:I,'08-21addition'!$A:$A,$A58,'08-21addition'!$B:$B,"&gt;=2008")-H58</f>
        <v>861.9</v>
      </c>
      <c r="Y58" s="63">
        <f t="shared" si="39"/>
        <v>12.1</v>
      </c>
      <c r="Z58" s="63">
        <f>SUMIFS('08-21addition'!M:M,'08-21addition'!$A:$A,$A58,'08-21addition'!$B:$B,"&gt;=2008")-J58</f>
        <v>0</v>
      </c>
      <c r="AA58" s="63">
        <f t="shared" si="40"/>
        <v>25.22</v>
      </c>
      <c r="AB58" s="63">
        <f>SUMIFS('08-21addition'!L:L,'08-21addition'!$A:$A,$A58,'08-21addition'!$B:$B,"&gt;=2008")-L58</f>
        <v>0.1</v>
      </c>
      <c r="AC58" s="63">
        <f>SUMIFS('08-21addition'!F:F,'08-21addition'!$A:$A,$A58,'08-21addition'!$B:$B,"&gt;=2008")-M58</f>
        <v>6</v>
      </c>
      <c r="AD58" s="63">
        <f>SUMIFS('08-21addition'!E:E,'08-21addition'!$A:$A,$A58,'08-21addition'!$B:$B,"&gt;=2008")-N58</f>
        <v>25.12</v>
      </c>
      <c r="AE58" s="63">
        <f>SUMIFS('08-21addition'!G:G,'08-21addition'!$A:$A,$A58,'08-21addition'!$B:$B,"&gt;=2008")-O58</f>
        <v>152.28</v>
      </c>
      <c r="AF58" s="63">
        <f>SUMIFS('08-21addition'!K:K,'08-21addition'!$A:$A,$A58,'08-21addition'!$B:$B,"&gt;=2008")+SUMIFS('08-21addition'!J:J,'08-21addition'!$A:$A,$A58,'08-21addition'!$B:$B,"&gt;=2008")-P58</f>
        <v>12</v>
      </c>
      <c r="AH58" s="68" t="s">
        <v>120</v>
      </c>
      <c r="AI58" s="76">
        <v>4152</v>
      </c>
      <c r="AJ58" s="76">
        <v>1665</v>
      </c>
      <c r="AK58" s="76">
        <v>2185</v>
      </c>
      <c r="AL58" s="55">
        <v>217</v>
      </c>
      <c r="AM58" s="55">
        <v>70</v>
      </c>
      <c r="AN58" s="55">
        <v>16</v>
      </c>
      <c r="AO58" s="78"/>
      <c r="AP58" s="77">
        <f t="shared" si="32"/>
        <v>2185</v>
      </c>
      <c r="AQ58" s="78">
        <v>1615</v>
      </c>
      <c r="AR58" s="78">
        <v>12</v>
      </c>
      <c r="AS58" s="78"/>
      <c r="AT58" s="78">
        <v>558</v>
      </c>
      <c r="AU58" s="76">
        <v>163</v>
      </c>
      <c r="AV58" s="79"/>
      <c r="AW58" s="76">
        <v>8</v>
      </c>
      <c r="AX58" s="76">
        <v>155</v>
      </c>
      <c r="AY58" s="66">
        <f t="shared" si="33"/>
        <v>550</v>
      </c>
      <c r="AZ58" s="67">
        <f t="shared" si="34"/>
        <v>12</v>
      </c>
    </row>
    <row r="59" spans="1:52">
      <c r="A59" s="68" t="s">
        <v>122</v>
      </c>
      <c r="B59" s="63"/>
      <c r="C59" s="63">
        <f>SUMIFS('08-21addition'!O:O,'08-21addition'!$A:$A,$A59,'08-21addition'!$B:$B,"&gt;=2017")+SUMIFS('08-21addition'!P:P,'08-21addition'!$A:$A,$A59,'08-21addition'!$B:$B,"&gt;=2017")</f>
        <v>60.6</v>
      </c>
      <c r="D59" s="63">
        <f t="shared" si="35"/>
        <v>202.29</v>
      </c>
      <c r="E59" s="63">
        <f>SUMIFS('08-21addition'!D:D,'08-21addition'!$A:$A,$A59,'08-21addition'!$B:$B,"&gt;=2017")</f>
        <v>0</v>
      </c>
      <c r="F59" s="63">
        <f>SUMIFS('08-21addition'!C:C,'08-21addition'!$A:$A,$A59,'08-21addition'!$B:$B,"&gt;=2017")</f>
        <v>0</v>
      </c>
      <c r="G59" s="63">
        <f>SUMIFS('08-21addition'!Q:Q,'08-21addition'!$A:$A,$A59,'08-21addition'!$B:$B,"&gt;=2017")</f>
        <v>51.89</v>
      </c>
      <c r="H59" s="63">
        <f>SUMIFS('08-21addition'!H:H,'08-21addition'!$A:$A,$A59,'08-21addition'!$B:$B,"&gt;=2017")+SUMIFS('08-21addition'!I:I,'08-21addition'!$A:$A,$A59,'08-21addition'!$B:$B,"&gt;=2017")</f>
        <v>0</v>
      </c>
      <c r="I59" s="63">
        <f t="shared" si="36"/>
        <v>190.71</v>
      </c>
      <c r="J59" s="63">
        <f>SUMIFS('08-21addition'!M:M,'08-21addition'!$A:$A,$A59,'08-21addition'!$B:$B,"&gt;=2017")</f>
        <v>0</v>
      </c>
      <c r="K59" s="63">
        <f t="shared" si="37"/>
        <v>0</v>
      </c>
      <c r="L59" s="63">
        <f>SUMIFS('08-21addition'!L:L,'08-21addition'!$A:$A,$A59,'08-21addition'!$B:$B,"&gt;=2017")</f>
        <v>0</v>
      </c>
      <c r="M59" s="63">
        <f>SUMIFS('08-21addition'!F:F,'08-21addition'!$A:$A,$A59,'08-21addition'!$B:$B,"&gt;=2017")</f>
        <v>11.58</v>
      </c>
      <c r="N59" s="63">
        <f>SUMIFS('08-21addition'!E:E,'08-21addition'!$A:$A,$A59,'08-21addition'!$B:$B,"&gt;=2017")</f>
        <v>0</v>
      </c>
      <c r="O59" s="63">
        <f>SUMIFS('08-21addition'!G:G,'08-21addition'!$A:$A,$A59,'08-21addition'!$B:$B,"&gt;=2017")</f>
        <v>0</v>
      </c>
      <c r="P59" s="63">
        <f>SUMIFS('08-21addition'!K:K,'08-21addition'!$A:$A,$A59,'08-21addition'!$B:$B,"&gt;=2017")+SUMIFS('08-21addition'!J:J,'08-21addition'!$A:$A,$A59,'08-21addition'!$B:$B,"&gt;=2017")</f>
        <v>190.71</v>
      </c>
      <c r="R59" s="63"/>
      <c r="S59" s="63">
        <f>SUMIFS('08-21addition'!O:O,'08-21addition'!$A:$A,$A59,'08-21addition'!$B:$B,"&gt;=2008")+SUMIFS('08-21addition'!P:P,'08-21addition'!$A:$A,$A59,'08-21addition'!$B:$B,"&gt;=2008")-C59</f>
        <v>14.8</v>
      </c>
      <c r="T59" s="63">
        <f t="shared" si="38"/>
        <v>216.25</v>
      </c>
      <c r="U59" s="63">
        <f>SUMIFS('08-21addition'!D:D,'08-21addition'!$A:$A,$A59,'08-21addition'!$B:$B,"&gt;=2008")-E59</f>
        <v>130</v>
      </c>
      <c r="V59" s="63">
        <f>SUMIFS('08-21addition'!C:C,'08-21addition'!$A:$A,$A59,'08-21addition'!$B:$B,"&gt;=2008")-F59</f>
        <v>31.2</v>
      </c>
      <c r="W59" s="63">
        <f>SUMIFS('08-21addition'!Q:Q,'08-21addition'!$A:$A,$A59,'08-21addition'!$B:$B,"&gt;=2008")-G59</f>
        <v>11.5</v>
      </c>
      <c r="X59" s="63">
        <f>SUMIFS('08-21addition'!H:H,'08-21addition'!$A:$A,$A59,'08-21addition'!$B:$B,"&gt;=2008")+SUMIFS('08-21addition'!I:I,'08-21addition'!$A:$A,$A59,'08-21addition'!$B:$B,"&gt;=2008")-H59</f>
        <v>210</v>
      </c>
      <c r="Y59" s="63">
        <f t="shared" si="39"/>
        <v>0</v>
      </c>
      <c r="Z59" s="63">
        <f>SUMIFS('08-21addition'!M:M,'08-21addition'!$A:$A,$A59,'08-21addition'!$B:$B,"&gt;=2008")-J59</f>
        <v>2.65</v>
      </c>
      <c r="AA59" s="63">
        <f t="shared" si="40"/>
        <v>0</v>
      </c>
      <c r="AB59" s="63">
        <f>SUMIFS('08-21addition'!L:L,'08-21addition'!$A:$A,$A59,'08-21addition'!$B:$B,"&gt;=2008")-L59</f>
        <v>0</v>
      </c>
      <c r="AC59" s="63">
        <f>SUMIFS('08-21addition'!F:F,'08-21addition'!$A:$A,$A59,'08-21addition'!$B:$B,"&gt;=2008")-M59</f>
        <v>2.4</v>
      </c>
      <c r="AD59" s="63">
        <f>SUMIFS('08-21addition'!E:E,'08-21addition'!$A:$A,$A59,'08-21addition'!$B:$B,"&gt;=2008")-N59</f>
        <v>0</v>
      </c>
      <c r="AE59" s="63">
        <f>SUMIFS('08-21addition'!G:G,'08-21addition'!$A:$A,$A59,'08-21addition'!$B:$B,"&gt;=2008")-O59</f>
        <v>1.2</v>
      </c>
      <c r="AF59" s="63">
        <f>SUMIFS('08-21addition'!K:K,'08-21addition'!$A:$A,$A59,'08-21addition'!$B:$B,"&gt;=2008")+SUMIFS('08-21addition'!J:J,'08-21addition'!$A:$A,$A59,'08-21addition'!$B:$B,"&gt;=2008")-P59</f>
        <v>0</v>
      </c>
      <c r="AH59" s="68" t="s">
        <v>122</v>
      </c>
      <c r="AI59" s="76">
        <v>745</v>
      </c>
      <c r="AJ59" s="76">
        <v>91</v>
      </c>
      <c r="AK59" s="76">
        <v>464</v>
      </c>
      <c r="AL59" s="55">
        <v>130</v>
      </c>
      <c r="AM59" s="55">
        <v>31</v>
      </c>
      <c r="AN59" s="55">
        <v>29</v>
      </c>
      <c r="AO59" s="55"/>
      <c r="AP59" s="77">
        <f t="shared" si="32"/>
        <v>464</v>
      </c>
      <c r="AQ59" s="55">
        <v>376</v>
      </c>
      <c r="AR59" s="55">
        <v>72</v>
      </c>
      <c r="AS59" s="78"/>
      <c r="AT59" s="55">
        <v>16</v>
      </c>
      <c r="AU59" s="76">
        <v>7</v>
      </c>
      <c r="AV59" s="76">
        <v>0</v>
      </c>
      <c r="AW59" s="76">
        <v>7</v>
      </c>
      <c r="AX59" s="79"/>
      <c r="AY59" s="66">
        <f t="shared" si="33"/>
        <v>9</v>
      </c>
      <c r="AZ59" s="67">
        <f t="shared" si="34"/>
        <v>72</v>
      </c>
    </row>
    <row r="60" spans="1:52">
      <c r="A60" s="68" t="s">
        <v>124</v>
      </c>
      <c r="B60" s="63"/>
      <c r="C60" s="63">
        <f>SUMIFS('08-21addition'!O:O,'08-21addition'!$A:$A,$A60,'08-21addition'!$B:$B,"&gt;=2017")+SUMIFS('08-21addition'!P:P,'08-21addition'!$A:$A,$A60,'08-21addition'!$B:$B,"&gt;=2017")</f>
        <v>107.07</v>
      </c>
      <c r="D60" s="63">
        <f t="shared" si="35"/>
        <v>87.33</v>
      </c>
      <c r="E60" s="63">
        <f>SUMIFS('08-21addition'!D:D,'08-21addition'!$A:$A,$A60,'08-21addition'!$B:$B,"&gt;=2017")</f>
        <v>0</v>
      </c>
      <c r="F60" s="63">
        <f>SUMIFS('08-21addition'!C:C,'08-21addition'!$A:$A,$A60,'08-21addition'!$B:$B,"&gt;=2017")</f>
        <v>149.17</v>
      </c>
      <c r="G60" s="63">
        <f>SUMIFS('08-21addition'!Q:Q,'08-21addition'!$A:$A,$A60,'08-21addition'!$B:$B,"&gt;=2017")</f>
        <v>72.61</v>
      </c>
      <c r="H60" s="63">
        <f>SUMIFS('08-21addition'!H:H,'08-21addition'!$A:$A,$A60,'08-21addition'!$B:$B,"&gt;=2017")+SUMIFS('08-21addition'!I:I,'08-21addition'!$A:$A,$A60,'08-21addition'!$B:$B,"&gt;=2017")</f>
        <v>13.17</v>
      </c>
      <c r="I60" s="63">
        <f t="shared" si="36"/>
        <v>1.35</v>
      </c>
      <c r="J60" s="63">
        <f>SUMIFS('08-21addition'!M:M,'08-21addition'!$A:$A,$A60,'08-21addition'!$B:$B,"&gt;=2017")</f>
        <v>0</v>
      </c>
      <c r="K60" s="63">
        <f t="shared" si="37"/>
        <v>3</v>
      </c>
      <c r="L60" s="63">
        <f>SUMIFS('08-21addition'!L:L,'08-21addition'!$A:$A,$A60,'08-21addition'!$B:$B,"&gt;=2017")</f>
        <v>0</v>
      </c>
      <c r="M60" s="63">
        <f>SUMIFS('08-21addition'!F:F,'08-21addition'!$A:$A,$A60,'08-21addition'!$B:$B,"&gt;=2017")</f>
        <v>52.85</v>
      </c>
      <c r="N60" s="63">
        <f>SUMIFS('08-21addition'!E:E,'08-21addition'!$A:$A,$A60,'08-21addition'!$B:$B,"&gt;=2017")</f>
        <v>3</v>
      </c>
      <c r="O60" s="63">
        <f>SUMIFS('08-21addition'!G:G,'08-21addition'!$A:$A,$A60,'08-21addition'!$B:$B,"&gt;=2017")</f>
        <v>16.96</v>
      </c>
      <c r="P60" s="63">
        <f>SUMIFS('08-21addition'!K:K,'08-21addition'!$A:$A,$A60,'08-21addition'!$B:$B,"&gt;=2017")+SUMIFS('08-21addition'!J:J,'08-21addition'!$A:$A,$A60,'08-21addition'!$B:$B,"&gt;=2017")</f>
        <v>1.35</v>
      </c>
      <c r="R60" s="63"/>
      <c r="S60" s="63">
        <f>SUMIFS('08-21addition'!O:O,'08-21addition'!$A:$A,$A60,'08-21addition'!$B:$B,"&gt;=2008")+SUMIFS('08-21addition'!P:P,'08-21addition'!$A:$A,$A60,'08-21addition'!$B:$B,"&gt;=2008")-C60</f>
        <v>429.2</v>
      </c>
      <c r="T60" s="63">
        <f t="shared" si="38"/>
        <v>748.32</v>
      </c>
      <c r="U60" s="63">
        <f>SUMIFS('08-21addition'!D:D,'08-21addition'!$A:$A,$A60,'08-21addition'!$B:$B,"&gt;=2008")-E60</f>
        <v>0</v>
      </c>
      <c r="V60" s="63">
        <f>SUMIFS('08-21addition'!C:C,'08-21addition'!$A:$A,$A60,'08-21addition'!$B:$B,"&gt;=2008")-F60</f>
        <v>46.43</v>
      </c>
      <c r="W60" s="63">
        <f>SUMIFS('08-21addition'!Q:Q,'08-21addition'!$A:$A,$A60,'08-21addition'!$B:$B,"&gt;=2008")-G60</f>
        <v>0.899999999999977</v>
      </c>
      <c r="X60" s="63">
        <f>SUMIFS('08-21addition'!H:H,'08-21addition'!$A:$A,$A60,'08-21addition'!$B:$B,"&gt;=2008")+SUMIFS('08-21addition'!I:I,'08-21addition'!$A:$A,$A60,'08-21addition'!$B:$B,"&gt;=2008")-H60</f>
        <v>631</v>
      </c>
      <c r="Y60" s="63">
        <f t="shared" si="39"/>
        <v>93.4</v>
      </c>
      <c r="Z60" s="63">
        <f>SUMIFS('08-21addition'!M:M,'08-21addition'!$A:$A,$A60,'08-21addition'!$B:$B,"&gt;=2008")-J60</f>
        <v>0</v>
      </c>
      <c r="AA60" s="63">
        <f t="shared" si="40"/>
        <v>3</v>
      </c>
      <c r="AB60" s="63">
        <f>SUMIFS('08-21addition'!L:L,'08-21addition'!$A:$A,$A60,'08-21addition'!$B:$B,"&gt;=2008")-L60</f>
        <v>0</v>
      </c>
      <c r="AC60" s="63">
        <f>SUMIFS('08-21addition'!F:F,'08-21addition'!$A:$A,$A60,'08-21addition'!$B:$B,"&gt;=2008")-M60</f>
        <v>2.7</v>
      </c>
      <c r="AD60" s="63">
        <f>SUMIFS('08-21addition'!E:E,'08-21addition'!$A:$A,$A60,'08-21addition'!$B:$B,"&gt;=2008")-N60</f>
        <v>3</v>
      </c>
      <c r="AE60" s="63">
        <f>SUMIFS('08-21addition'!G:G,'08-21addition'!$A:$A,$A60,'08-21addition'!$B:$B,"&gt;=2008")-O60</f>
        <v>18.22</v>
      </c>
      <c r="AF60" s="63">
        <f>SUMIFS('08-21addition'!K:K,'08-21addition'!$A:$A,$A60,'08-21addition'!$B:$B,"&gt;=2008")+SUMIFS('08-21addition'!J:J,'08-21addition'!$A:$A,$A60,'08-21addition'!$B:$B,"&gt;=2008")-P60</f>
        <v>93.4</v>
      </c>
      <c r="AH60" s="68" t="s">
        <v>124</v>
      </c>
      <c r="AI60" s="76">
        <v>2178</v>
      </c>
      <c r="AJ60" s="76">
        <v>688</v>
      </c>
      <c r="AK60" s="76">
        <v>1462</v>
      </c>
      <c r="AL60" s="78"/>
      <c r="AM60" s="55">
        <v>28</v>
      </c>
      <c r="AN60" s="55">
        <v>0.46</v>
      </c>
      <c r="AO60" s="78"/>
      <c r="AP60" s="77">
        <f t="shared" si="32"/>
        <v>1462</v>
      </c>
      <c r="AQ60" s="78">
        <v>1256</v>
      </c>
      <c r="AR60" s="78">
        <v>162</v>
      </c>
      <c r="AS60" s="78"/>
      <c r="AT60" s="78">
        <v>44</v>
      </c>
      <c r="AU60" s="76">
        <v>15</v>
      </c>
      <c r="AV60" s="76">
        <v>0</v>
      </c>
      <c r="AW60" s="76">
        <v>10</v>
      </c>
      <c r="AX60" s="76">
        <v>4</v>
      </c>
      <c r="AY60" s="66">
        <f t="shared" si="33"/>
        <v>33</v>
      </c>
      <c r="AZ60" s="67">
        <f t="shared" si="34"/>
        <v>162</v>
      </c>
    </row>
    <row r="61" spans="1:52">
      <c r="A61" s="68" t="s">
        <v>126</v>
      </c>
      <c r="B61" s="63"/>
      <c r="C61" s="63">
        <f>SUMIFS('08-21addition'!O:O,'08-21addition'!$A:$A,$A61,'08-21addition'!$B:$B,"&gt;=2017")+SUMIFS('08-21addition'!P:P,'08-21addition'!$A:$A,$A61,'08-21addition'!$B:$B,"&gt;=2017")</f>
        <v>2210.37</v>
      </c>
      <c r="D61" s="63">
        <f t="shared" si="35"/>
        <v>349.92</v>
      </c>
      <c r="E61" s="63">
        <f>SUMIFS('08-21addition'!D:D,'08-21addition'!$A:$A,$A61,'08-21addition'!$B:$B,"&gt;=2017")</f>
        <v>0</v>
      </c>
      <c r="F61" s="63">
        <f>SUMIFS('08-21addition'!C:C,'08-21addition'!$A:$A,$A61,'08-21addition'!$B:$B,"&gt;=2017")</f>
        <v>442.98</v>
      </c>
      <c r="G61" s="63">
        <f>SUMIFS('08-21addition'!Q:Q,'08-21addition'!$A:$A,$A61,'08-21addition'!$B:$B,"&gt;=2017")</f>
        <v>92.7</v>
      </c>
      <c r="H61" s="63">
        <f>SUMIFS('08-21addition'!H:H,'08-21addition'!$A:$A,$A61,'08-21addition'!$B:$B,"&gt;=2017")+SUMIFS('08-21addition'!I:I,'08-21addition'!$A:$A,$A61,'08-21addition'!$B:$B,"&gt;=2017")</f>
        <v>219.25</v>
      </c>
      <c r="I61" s="63">
        <f t="shared" si="36"/>
        <v>5.78</v>
      </c>
      <c r="J61" s="63">
        <f>SUMIFS('08-21addition'!M:M,'08-21addition'!$A:$A,$A61,'08-21addition'!$B:$B,"&gt;=2017")</f>
        <v>0</v>
      </c>
      <c r="K61" s="63">
        <f t="shared" si="37"/>
        <v>13.49</v>
      </c>
      <c r="L61" s="63">
        <f>SUMIFS('08-21addition'!L:L,'08-21addition'!$A:$A,$A61,'08-21addition'!$B:$B,"&gt;=2017")</f>
        <v>0.89</v>
      </c>
      <c r="M61" s="63">
        <f>SUMIFS('08-21addition'!F:F,'08-21addition'!$A:$A,$A61,'08-21addition'!$B:$B,"&gt;=2017")</f>
        <v>81.42</v>
      </c>
      <c r="N61" s="63">
        <f>SUMIFS('08-21addition'!E:E,'08-21addition'!$A:$A,$A61,'08-21addition'!$B:$B,"&gt;=2017")</f>
        <v>12.6</v>
      </c>
      <c r="O61" s="63">
        <f>SUMIFS('08-21addition'!G:G,'08-21addition'!$A:$A,$A61,'08-21addition'!$B:$B,"&gt;=2017")</f>
        <v>30.87</v>
      </c>
      <c r="P61" s="63">
        <f>SUMIFS('08-21addition'!K:K,'08-21addition'!$A:$A,$A61,'08-21addition'!$B:$B,"&gt;=2017")+SUMIFS('08-21addition'!J:J,'08-21addition'!$A:$A,$A61,'08-21addition'!$B:$B,"&gt;=2017")</f>
        <v>4.89</v>
      </c>
      <c r="R61" s="63"/>
      <c r="S61" s="63">
        <f>SUMIFS('08-21addition'!O:O,'08-21addition'!$A:$A,$A61,'08-21addition'!$B:$B,"&gt;=2008")+SUMIFS('08-21addition'!P:P,'08-21addition'!$A:$A,$A61,'08-21addition'!$B:$B,"&gt;=2008")-C61</f>
        <v>4504.43</v>
      </c>
      <c r="T61" s="63">
        <f t="shared" si="38"/>
        <v>575.59</v>
      </c>
      <c r="U61" s="63">
        <f>SUMIFS('08-21addition'!D:D,'08-21addition'!$A:$A,$A61,'08-21addition'!$B:$B,"&gt;=2008")-E61</f>
        <v>0</v>
      </c>
      <c r="V61" s="63">
        <f>SUMIFS('08-21addition'!C:C,'08-21addition'!$A:$A,$A61,'08-21addition'!$B:$B,"&gt;=2008")-F61</f>
        <v>168.95</v>
      </c>
      <c r="W61" s="63">
        <f>SUMIFS('08-21addition'!Q:Q,'08-21addition'!$A:$A,$A61,'08-21addition'!$B:$B,"&gt;=2008")-G61</f>
        <v>117.09</v>
      </c>
      <c r="X61" s="63">
        <f>SUMIFS('08-21addition'!H:H,'08-21addition'!$A:$A,$A61,'08-21addition'!$B:$B,"&gt;=2008")+SUMIFS('08-21addition'!I:I,'08-21addition'!$A:$A,$A61,'08-21addition'!$B:$B,"&gt;=2008")-H61</f>
        <v>467.2</v>
      </c>
      <c r="Y61" s="63">
        <f t="shared" si="39"/>
        <v>0</v>
      </c>
      <c r="Z61" s="63">
        <f>SUMIFS('08-21addition'!M:M,'08-21addition'!$A:$A,$A61,'08-21addition'!$B:$B,"&gt;=2008")-J61</f>
        <v>15</v>
      </c>
      <c r="AA61" s="63">
        <f t="shared" si="40"/>
        <v>0.300000000000001</v>
      </c>
      <c r="AB61" s="63">
        <f>SUMIFS('08-21addition'!L:L,'08-21addition'!$A:$A,$A61,'08-21addition'!$B:$B,"&gt;=2008")-L61</f>
        <v>0</v>
      </c>
      <c r="AC61" s="63">
        <f>SUMIFS('08-21addition'!F:F,'08-21addition'!$A:$A,$A61,'08-21addition'!$B:$B,"&gt;=2008")-M61</f>
        <v>13.5</v>
      </c>
      <c r="AD61" s="63">
        <f>SUMIFS('08-21addition'!E:E,'08-21addition'!$A:$A,$A61,'08-21addition'!$B:$B,"&gt;=2008")-N61</f>
        <v>0.300000000000001</v>
      </c>
      <c r="AE61" s="63">
        <f>SUMIFS('08-21addition'!G:G,'08-21addition'!$A:$A,$A61,'08-21addition'!$B:$B,"&gt;=2008")-O61</f>
        <v>79.59</v>
      </c>
      <c r="AF61" s="63">
        <f>SUMIFS('08-21addition'!K:K,'08-21addition'!$A:$A,$A61,'08-21addition'!$B:$B,"&gt;=2008")+SUMIFS('08-21addition'!J:J,'08-21addition'!$A:$A,$A61,'08-21addition'!$B:$B,"&gt;=2008")-P61</f>
        <v>0</v>
      </c>
      <c r="AH61" s="68" t="s">
        <v>126</v>
      </c>
      <c r="AI61" s="76">
        <v>9108</v>
      </c>
      <c r="AJ61" s="76">
        <v>7246</v>
      </c>
      <c r="AK61" s="76">
        <v>1642</v>
      </c>
      <c r="AL61" s="78"/>
      <c r="AM61" s="55">
        <v>125</v>
      </c>
      <c r="AN61" s="55">
        <v>96</v>
      </c>
      <c r="AO61" s="78"/>
      <c r="AP61" s="77">
        <f t="shared" si="32"/>
        <v>1642</v>
      </c>
      <c r="AQ61" s="81">
        <v>1399</v>
      </c>
      <c r="AR61" s="81">
        <v>122</v>
      </c>
      <c r="AS61" s="78"/>
      <c r="AT61" s="81">
        <v>121</v>
      </c>
      <c r="AU61" s="80">
        <v>30</v>
      </c>
      <c r="AV61" s="79"/>
      <c r="AW61" s="80">
        <v>27</v>
      </c>
      <c r="AX61" s="80">
        <v>3</v>
      </c>
      <c r="AY61" s="66">
        <f t="shared" si="33"/>
        <v>94</v>
      </c>
      <c r="AZ61" s="67">
        <f t="shared" si="34"/>
        <v>122</v>
      </c>
    </row>
    <row r="62" spans="1:52">
      <c r="A62" s="68" t="s">
        <v>128</v>
      </c>
      <c r="B62" s="63"/>
      <c r="C62" s="63">
        <f>SUMIFS('08-21addition'!O:O,'08-21addition'!$A:$A,$A62,'08-21addition'!$B:$B,"&gt;=2017")+SUMIFS('08-21addition'!P:P,'08-21addition'!$A:$A,$A62,'08-21addition'!$B:$B,"&gt;=2017")</f>
        <v>51.4</v>
      </c>
      <c r="D62" s="63">
        <f t="shared" si="35"/>
        <v>123.63</v>
      </c>
      <c r="E62" s="63">
        <f>SUMIFS('08-21addition'!D:D,'08-21addition'!$A:$A,$A62,'08-21addition'!$B:$B,"&gt;=2017")</f>
        <v>0</v>
      </c>
      <c r="F62" s="63">
        <f>SUMIFS('08-21addition'!C:C,'08-21addition'!$A:$A,$A62,'08-21addition'!$B:$B,"&gt;=2017")</f>
        <v>301.8</v>
      </c>
      <c r="G62" s="63">
        <f>SUMIFS('08-21addition'!Q:Q,'08-21addition'!$A:$A,$A62,'08-21addition'!$B:$B,"&gt;=2017")</f>
        <v>768.85</v>
      </c>
      <c r="H62" s="63">
        <f>SUMIFS('08-21addition'!H:H,'08-21addition'!$A:$A,$A62,'08-21addition'!$B:$B,"&gt;=2017")+SUMIFS('08-21addition'!I:I,'08-21addition'!$A:$A,$A62,'08-21addition'!$B:$B,"&gt;=2017")</f>
        <v>81</v>
      </c>
      <c r="I62" s="63">
        <f t="shared" si="36"/>
        <v>5.63</v>
      </c>
      <c r="J62" s="63">
        <f>SUMIFS('08-21addition'!M:M,'08-21addition'!$A:$A,$A62,'08-21addition'!$B:$B,"&gt;=2017")</f>
        <v>0</v>
      </c>
      <c r="K62" s="63">
        <f t="shared" si="37"/>
        <v>0</v>
      </c>
      <c r="L62" s="63">
        <f>SUMIFS('08-21addition'!L:L,'08-21addition'!$A:$A,$A62,'08-21addition'!$B:$B,"&gt;=2017")</f>
        <v>0</v>
      </c>
      <c r="M62" s="63">
        <f>SUMIFS('08-21addition'!F:F,'08-21addition'!$A:$A,$A62,'08-21addition'!$B:$B,"&gt;=2017")</f>
        <v>37</v>
      </c>
      <c r="N62" s="63">
        <f>SUMIFS('08-21addition'!E:E,'08-21addition'!$A:$A,$A62,'08-21addition'!$B:$B,"&gt;=2017")</f>
        <v>0</v>
      </c>
      <c r="O62" s="63">
        <f>SUMIFS('08-21addition'!G:G,'08-21addition'!$A:$A,$A62,'08-21addition'!$B:$B,"&gt;=2017")</f>
        <v>0</v>
      </c>
      <c r="P62" s="63">
        <f>SUMIFS('08-21addition'!K:K,'08-21addition'!$A:$A,$A62,'08-21addition'!$B:$B,"&gt;=2017")+SUMIFS('08-21addition'!J:J,'08-21addition'!$A:$A,$A62,'08-21addition'!$B:$B,"&gt;=2017")</f>
        <v>5.63</v>
      </c>
      <c r="R62" s="63"/>
      <c r="S62" s="63">
        <f>SUMIFS('08-21addition'!O:O,'08-21addition'!$A:$A,$A62,'08-21addition'!$B:$B,"&gt;=2008")+SUMIFS('08-21addition'!P:P,'08-21addition'!$A:$A,$A62,'08-21addition'!$B:$B,"&gt;=2008")-C62</f>
        <v>951.74</v>
      </c>
      <c r="T62" s="63">
        <f t="shared" si="38"/>
        <v>1603.7</v>
      </c>
      <c r="U62" s="63">
        <f>SUMIFS('08-21addition'!D:D,'08-21addition'!$A:$A,$A62,'08-21addition'!$B:$B,"&gt;=2008")-E62</f>
        <v>0</v>
      </c>
      <c r="V62" s="63">
        <f>SUMIFS('08-21addition'!C:C,'08-21addition'!$A:$A,$A62,'08-21addition'!$B:$B,"&gt;=2008")-F62</f>
        <v>333.76</v>
      </c>
      <c r="W62" s="63">
        <f>SUMIFS('08-21addition'!Q:Q,'08-21addition'!$A:$A,$A62,'08-21addition'!$B:$B,"&gt;=2008")-G62</f>
        <v>3</v>
      </c>
      <c r="X62" s="63">
        <f>SUMIFS('08-21addition'!H:H,'08-21addition'!$A:$A,$A62,'08-21addition'!$B:$B,"&gt;=2008")+SUMIFS('08-21addition'!I:I,'08-21addition'!$A:$A,$A62,'08-21addition'!$B:$B,"&gt;=2008")-H62</f>
        <v>1600</v>
      </c>
      <c r="Y62" s="63">
        <f t="shared" si="39"/>
        <v>0.7</v>
      </c>
      <c r="Z62" s="63">
        <f>SUMIFS('08-21addition'!M:M,'08-21addition'!$A:$A,$A62,'08-21addition'!$B:$B,"&gt;=2008")-J62</f>
        <v>0</v>
      </c>
      <c r="AA62" s="63">
        <f t="shared" si="40"/>
        <v>3</v>
      </c>
      <c r="AB62" s="63">
        <f>SUMIFS('08-21addition'!L:L,'08-21addition'!$A:$A,$A62,'08-21addition'!$B:$B,"&gt;=2008")-L62</f>
        <v>0</v>
      </c>
      <c r="AC62" s="63">
        <f>SUMIFS('08-21addition'!F:F,'08-21addition'!$A:$A,$A62,'08-21addition'!$B:$B,"&gt;=2008")-M62</f>
        <v>0</v>
      </c>
      <c r="AD62" s="63">
        <f>SUMIFS('08-21addition'!E:E,'08-21addition'!$A:$A,$A62,'08-21addition'!$B:$B,"&gt;=2008")-N62</f>
        <v>3</v>
      </c>
      <c r="AE62" s="63">
        <f>SUMIFS('08-21addition'!G:G,'08-21addition'!$A:$A,$A62,'08-21addition'!$B:$B,"&gt;=2008")-O62</f>
        <v>0</v>
      </c>
      <c r="AF62" s="63">
        <f>SUMIFS('08-21addition'!K:K,'08-21addition'!$A:$A,$A62,'08-21addition'!$B:$B,"&gt;=2008")+SUMIFS('08-21addition'!J:J,'08-21addition'!$A:$A,$A62,'08-21addition'!$B:$B,"&gt;=2008")-P62</f>
        <v>0.7</v>
      </c>
      <c r="AH62" s="68" t="s">
        <v>128</v>
      </c>
      <c r="AI62" s="76">
        <v>5510</v>
      </c>
      <c r="AJ62" s="76">
        <v>2089</v>
      </c>
      <c r="AK62" s="76">
        <v>3014</v>
      </c>
      <c r="AL62" s="78"/>
      <c r="AM62" s="55">
        <v>362</v>
      </c>
      <c r="AN62" s="55">
        <v>46</v>
      </c>
      <c r="AO62" s="78"/>
      <c r="AP62" s="77">
        <f t="shared" si="32"/>
        <v>3013</v>
      </c>
      <c r="AQ62" s="81">
        <v>3005</v>
      </c>
      <c r="AR62" s="78"/>
      <c r="AS62" s="78"/>
      <c r="AT62" s="81">
        <v>8</v>
      </c>
      <c r="AU62" s="76">
        <v>8</v>
      </c>
      <c r="AV62" s="79"/>
      <c r="AW62" s="76">
        <v>2</v>
      </c>
      <c r="AX62" s="76">
        <v>6</v>
      </c>
      <c r="AY62" s="66">
        <f t="shared" si="33"/>
        <v>6</v>
      </c>
      <c r="AZ62" s="67">
        <f t="shared" si="34"/>
        <v>0</v>
      </c>
    </row>
    <row r="63" spans="1:52">
      <c r="A63" s="68" t="s">
        <v>130</v>
      </c>
      <c r="B63" s="63"/>
      <c r="C63" s="63">
        <f>SUMIFS('08-21addition'!O:O,'08-21addition'!$A:$A,$A63,'08-21addition'!$B:$B,"&gt;=2017")+SUMIFS('08-21addition'!P:P,'08-21addition'!$A:$A,$A63,'08-21addition'!$B:$B,"&gt;=2017")</f>
        <v>1409.7</v>
      </c>
      <c r="D63" s="63">
        <f t="shared" si="35"/>
        <v>15.5</v>
      </c>
      <c r="E63" s="63">
        <f>SUMIFS('08-21addition'!D:D,'08-21addition'!$A:$A,$A63,'08-21addition'!$B:$B,"&gt;=2017")</f>
        <v>0</v>
      </c>
      <c r="F63" s="63">
        <f>SUMIFS('08-21addition'!C:C,'08-21addition'!$A:$A,$A63,'08-21addition'!$B:$B,"&gt;=2017")</f>
        <v>91.2</v>
      </c>
      <c r="G63" s="63">
        <f>SUMIFS('08-21addition'!Q:Q,'08-21addition'!$A:$A,$A63,'08-21addition'!$B:$B,"&gt;=2017")</f>
        <v>105.2</v>
      </c>
      <c r="H63" s="63">
        <f>SUMIFS('08-21addition'!H:H,'08-21addition'!$A:$A,$A63,'08-21addition'!$B:$B,"&gt;=2017")+SUMIFS('08-21addition'!I:I,'08-21addition'!$A:$A,$A63,'08-21addition'!$B:$B,"&gt;=2017")</f>
        <v>0</v>
      </c>
      <c r="I63" s="63">
        <f t="shared" si="36"/>
        <v>0</v>
      </c>
      <c r="J63" s="63">
        <f>SUMIFS('08-21addition'!M:M,'08-21addition'!$A:$A,$A63,'08-21addition'!$B:$B,"&gt;=2017")</f>
        <v>0</v>
      </c>
      <c r="K63" s="63">
        <f t="shared" si="37"/>
        <v>0</v>
      </c>
      <c r="L63" s="63">
        <f>SUMIFS('08-21addition'!L:L,'08-21addition'!$A:$A,$A63,'08-21addition'!$B:$B,"&gt;=2017")</f>
        <v>0</v>
      </c>
      <c r="M63" s="63">
        <f>SUMIFS('08-21addition'!F:F,'08-21addition'!$A:$A,$A63,'08-21addition'!$B:$B,"&gt;=2017")</f>
        <v>15.5</v>
      </c>
      <c r="N63" s="63">
        <f>SUMIFS('08-21addition'!E:E,'08-21addition'!$A:$A,$A63,'08-21addition'!$B:$B,"&gt;=2017")</f>
        <v>0</v>
      </c>
      <c r="O63" s="63">
        <f>SUMIFS('08-21addition'!G:G,'08-21addition'!$A:$A,$A63,'08-21addition'!$B:$B,"&gt;=2017")</f>
        <v>0</v>
      </c>
      <c r="P63" s="63">
        <f>SUMIFS('08-21addition'!K:K,'08-21addition'!$A:$A,$A63,'08-21addition'!$B:$B,"&gt;=2017")+SUMIFS('08-21addition'!J:J,'08-21addition'!$A:$A,$A63,'08-21addition'!$B:$B,"&gt;=2017")</f>
        <v>0</v>
      </c>
      <c r="R63" s="63"/>
      <c r="S63" s="63">
        <f>SUMIFS('08-21addition'!O:O,'08-21addition'!$A:$A,$A63,'08-21addition'!$B:$B,"&gt;=2008")+SUMIFS('08-21addition'!P:P,'08-21addition'!$A:$A,$A63,'08-21addition'!$B:$B,"&gt;=2008")-C63</f>
        <v>4871.93</v>
      </c>
      <c r="T63" s="63">
        <f t="shared" si="38"/>
        <v>301.25</v>
      </c>
      <c r="U63" s="63">
        <f>SUMIFS('08-21addition'!D:D,'08-21addition'!$A:$A,$A63,'08-21addition'!$B:$B,"&gt;=2008")-E63</f>
        <v>0</v>
      </c>
      <c r="V63" s="63">
        <f>SUMIFS('08-21addition'!C:C,'08-21addition'!$A:$A,$A63,'08-21addition'!$B:$B,"&gt;=2008")-F63</f>
        <v>720.47</v>
      </c>
      <c r="W63" s="63">
        <f>SUMIFS('08-21addition'!Q:Q,'08-21addition'!$A:$A,$A63,'08-21addition'!$B:$B,"&gt;=2008")-G63</f>
        <v>51.4</v>
      </c>
      <c r="X63" s="63">
        <f>SUMIFS('08-21addition'!H:H,'08-21addition'!$A:$A,$A63,'08-21addition'!$B:$B,"&gt;=2008")+SUMIFS('08-21addition'!I:I,'08-21addition'!$A:$A,$A63,'08-21addition'!$B:$B,"&gt;=2008")-H63</f>
        <v>300</v>
      </c>
      <c r="Y63" s="63">
        <f t="shared" si="39"/>
        <v>0.05</v>
      </c>
      <c r="Z63" s="63">
        <f>SUMIFS('08-21addition'!M:M,'08-21addition'!$A:$A,$A63,'08-21addition'!$B:$B,"&gt;=2008")-J63</f>
        <v>0</v>
      </c>
      <c r="AA63" s="63">
        <f t="shared" si="40"/>
        <v>0.05</v>
      </c>
      <c r="AB63" s="63">
        <f>SUMIFS('08-21addition'!L:L,'08-21addition'!$A:$A,$A63,'08-21addition'!$B:$B,"&gt;=2008")-L63</f>
        <v>0.05</v>
      </c>
      <c r="AC63" s="63">
        <f>SUMIFS('08-21addition'!F:F,'08-21addition'!$A:$A,$A63,'08-21addition'!$B:$B,"&gt;=2008")-M63</f>
        <v>1.2</v>
      </c>
      <c r="AD63" s="63">
        <f>SUMIFS('08-21addition'!E:E,'08-21addition'!$A:$A,$A63,'08-21addition'!$B:$B,"&gt;=2008")-N63</f>
        <v>0</v>
      </c>
      <c r="AE63" s="63">
        <f>SUMIFS('08-21addition'!G:G,'08-21addition'!$A:$A,$A63,'08-21addition'!$B:$B,"&gt;=2008")-O63</f>
        <v>0</v>
      </c>
      <c r="AF63" s="63">
        <f>SUMIFS('08-21addition'!K:K,'08-21addition'!$A:$A,$A63,'08-21addition'!$B:$B,"&gt;=2008")+SUMIFS('08-21addition'!J:J,'08-21addition'!$A:$A,$A63,'08-21addition'!$B:$B,"&gt;=2008")-P63</f>
        <v>0</v>
      </c>
      <c r="AH63" s="68" t="s">
        <v>130</v>
      </c>
      <c r="AI63" s="76">
        <v>8645</v>
      </c>
      <c r="AJ63" s="76">
        <v>6088</v>
      </c>
      <c r="AK63" s="76">
        <v>1612</v>
      </c>
      <c r="AL63" s="78"/>
      <c r="AM63" s="55">
        <v>737</v>
      </c>
      <c r="AN63" s="55">
        <v>208</v>
      </c>
      <c r="AO63" s="78"/>
      <c r="AP63" s="77">
        <f t="shared" si="32"/>
        <v>1612</v>
      </c>
      <c r="AQ63" s="78">
        <v>1301</v>
      </c>
      <c r="AR63" s="78">
        <v>2</v>
      </c>
      <c r="AS63" s="78"/>
      <c r="AT63" s="78">
        <v>309</v>
      </c>
      <c r="AU63" s="80">
        <v>30</v>
      </c>
      <c r="AV63" s="79"/>
      <c r="AW63" s="80">
        <v>10</v>
      </c>
      <c r="AX63" s="80">
        <v>20</v>
      </c>
      <c r="AY63" s="66">
        <f t="shared" si="33"/>
        <v>299</v>
      </c>
      <c r="AZ63" s="67">
        <f t="shared" si="34"/>
        <v>2</v>
      </c>
    </row>
    <row r="64" spans="1:52">
      <c r="A64" s="68" t="s">
        <v>132</v>
      </c>
      <c r="B64" s="63"/>
      <c r="C64" s="63">
        <f>SUMIFS('08-21addition'!O:O,'08-21addition'!$A:$A,$A64,'08-21addition'!$B:$B,"&gt;=2017")+SUMIFS('08-21addition'!P:P,'08-21addition'!$A:$A,$A64,'08-21addition'!$B:$B,"&gt;=2017")</f>
        <v>136.43</v>
      </c>
      <c r="D64" s="63">
        <f t="shared" si="35"/>
        <v>0</v>
      </c>
      <c r="E64" s="63">
        <f>SUMIFS('08-21addition'!D:D,'08-21addition'!$A:$A,$A64,'08-21addition'!$B:$B,"&gt;=2017")</f>
        <v>0</v>
      </c>
      <c r="F64" s="63">
        <f>SUMIFS('08-21addition'!C:C,'08-21addition'!$A:$A,$A64,'08-21addition'!$B:$B,"&gt;=2017")</f>
        <v>2.2</v>
      </c>
      <c r="G64" s="63">
        <f>SUMIFS('08-21addition'!Q:Q,'08-21addition'!$A:$A,$A64,'08-21addition'!$B:$B,"&gt;=2017")</f>
        <v>100.1</v>
      </c>
      <c r="H64" s="63">
        <f>SUMIFS('08-21addition'!H:H,'08-21addition'!$A:$A,$A64,'08-21addition'!$B:$B,"&gt;=2017")+SUMIFS('08-21addition'!I:I,'08-21addition'!$A:$A,$A64,'08-21addition'!$B:$B,"&gt;=2017")</f>
        <v>0</v>
      </c>
      <c r="I64" s="63">
        <f t="shared" si="36"/>
        <v>0</v>
      </c>
      <c r="J64" s="63">
        <f>SUMIFS('08-21addition'!M:M,'08-21addition'!$A:$A,$A64,'08-21addition'!$B:$B,"&gt;=2017")</f>
        <v>0</v>
      </c>
      <c r="K64" s="63">
        <f t="shared" si="37"/>
        <v>0</v>
      </c>
      <c r="L64" s="63">
        <f>SUMIFS('08-21addition'!L:L,'08-21addition'!$A:$A,$A64,'08-21addition'!$B:$B,"&gt;=2017")</f>
        <v>0</v>
      </c>
      <c r="M64" s="63">
        <f>SUMIFS('08-21addition'!F:F,'08-21addition'!$A:$A,$A64,'08-21addition'!$B:$B,"&gt;=2017")</f>
        <v>0</v>
      </c>
      <c r="N64" s="63">
        <f>SUMIFS('08-21addition'!E:E,'08-21addition'!$A:$A,$A64,'08-21addition'!$B:$B,"&gt;=2017")</f>
        <v>0</v>
      </c>
      <c r="O64" s="63">
        <f>SUMIFS('08-21addition'!G:G,'08-21addition'!$A:$A,$A64,'08-21addition'!$B:$B,"&gt;=2017")</f>
        <v>0</v>
      </c>
      <c r="P64" s="63">
        <f>SUMIFS('08-21addition'!K:K,'08-21addition'!$A:$A,$A64,'08-21addition'!$B:$B,"&gt;=2017")+SUMIFS('08-21addition'!J:J,'08-21addition'!$A:$A,$A64,'08-21addition'!$B:$B,"&gt;=2017")</f>
        <v>0</v>
      </c>
      <c r="R64" s="63"/>
      <c r="S64" s="63">
        <f>SUMIFS('08-21addition'!O:O,'08-21addition'!$A:$A,$A64,'08-21addition'!$B:$B,"&gt;=2008")+SUMIFS('08-21addition'!P:P,'08-21addition'!$A:$A,$A64,'08-21addition'!$B:$B,"&gt;=2008")-C64</f>
        <v>132.96</v>
      </c>
      <c r="T64" s="63">
        <f t="shared" si="38"/>
        <v>30.87</v>
      </c>
      <c r="U64" s="63">
        <f>SUMIFS('08-21addition'!D:D,'08-21addition'!$A:$A,$A64,'08-21addition'!$B:$B,"&gt;=2008")-E64</f>
        <v>0</v>
      </c>
      <c r="V64" s="63">
        <f>SUMIFS('08-21addition'!C:C,'08-21addition'!$A:$A,$A64,'08-21addition'!$B:$B,"&gt;=2008")-F64</f>
        <v>0.75</v>
      </c>
      <c r="W64" s="63">
        <f>SUMIFS('08-21addition'!Q:Q,'08-21addition'!$A:$A,$A64,'08-21addition'!$B:$B,"&gt;=2008")-G64</f>
        <v>25.5</v>
      </c>
      <c r="X64" s="63">
        <f>SUMIFS('08-21addition'!H:H,'08-21addition'!$A:$A,$A64,'08-21addition'!$B:$B,"&gt;=2008")+SUMIFS('08-21addition'!I:I,'08-21addition'!$A:$A,$A64,'08-21addition'!$B:$B,"&gt;=2008")-H64</f>
        <v>21.97</v>
      </c>
      <c r="Y64" s="63">
        <f t="shared" si="39"/>
        <v>0</v>
      </c>
      <c r="Z64" s="63">
        <f>SUMIFS('08-21addition'!M:M,'08-21addition'!$A:$A,$A64,'08-21addition'!$B:$B,"&gt;=2008")-J64</f>
        <v>7</v>
      </c>
      <c r="AA64" s="63">
        <f t="shared" si="40"/>
        <v>0</v>
      </c>
      <c r="AB64" s="63">
        <f>SUMIFS('08-21addition'!L:L,'08-21addition'!$A:$A,$A64,'08-21addition'!$B:$B,"&gt;=2008")-L64</f>
        <v>0</v>
      </c>
      <c r="AC64" s="63">
        <f>SUMIFS('08-21addition'!F:F,'08-21addition'!$A:$A,$A64,'08-21addition'!$B:$B,"&gt;=2008")-M64</f>
        <v>0</v>
      </c>
      <c r="AD64" s="63">
        <f>SUMIFS('08-21addition'!E:E,'08-21addition'!$A:$A,$A64,'08-21addition'!$B:$B,"&gt;=2008")-N64</f>
        <v>0</v>
      </c>
      <c r="AE64" s="63">
        <f>SUMIFS('08-21addition'!G:G,'08-21addition'!$A:$A,$A64,'08-21addition'!$B:$B,"&gt;=2008")-O64</f>
        <v>1.9</v>
      </c>
      <c r="AF64" s="63">
        <f>SUMIFS('08-21addition'!K:K,'08-21addition'!$A:$A,$A64,'08-21addition'!$B:$B,"&gt;=2008")+SUMIFS('08-21addition'!J:J,'08-21addition'!$A:$A,$A64,'08-21addition'!$B:$B,"&gt;=2008")-P64</f>
        <v>0</v>
      </c>
      <c r="AH64" s="68" t="s">
        <v>132</v>
      </c>
      <c r="AI64" s="76">
        <v>233</v>
      </c>
      <c r="AJ64" s="76">
        <v>156</v>
      </c>
      <c r="AK64" s="76">
        <v>41</v>
      </c>
      <c r="AL64" s="78"/>
      <c r="AM64" s="55">
        <v>1</v>
      </c>
      <c r="AN64" s="55">
        <v>33</v>
      </c>
      <c r="AO64" s="55">
        <v>3</v>
      </c>
      <c r="AP64" s="77">
        <f t="shared" si="32"/>
        <v>41</v>
      </c>
      <c r="AQ64" s="78"/>
      <c r="AR64" s="78"/>
      <c r="AS64" s="81">
        <v>39</v>
      </c>
      <c r="AT64" s="81">
        <v>2</v>
      </c>
      <c r="AU64" s="79"/>
      <c r="AV64" s="79"/>
      <c r="AW64" s="79"/>
      <c r="AX64" s="79"/>
      <c r="AY64" s="66">
        <f t="shared" si="33"/>
        <v>2</v>
      </c>
      <c r="AZ64" s="67">
        <f t="shared" si="34"/>
        <v>0</v>
      </c>
    </row>
    <row r="65" spans="1:52">
      <c r="A65" s="68" t="s">
        <v>134</v>
      </c>
      <c r="B65" s="63"/>
      <c r="C65" s="63">
        <f>SUMIFS('08-21addition'!O:O,'08-21addition'!$A:$A,$A65,'08-21addition'!$B:$B,"&gt;=2017")+SUMIFS('08-21addition'!P:P,'08-21addition'!$A:$A,$A65,'08-21addition'!$B:$B,"&gt;=2017")</f>
        <v>127.77</v>
      </c>
      <c r="D65" s="63">
        <f t="shared" si="35"/>
        <v>1541.13</v>
      </c>
      <c r="E65" s="63">
        <f>SUMIFS('08-21addition'!D:D,'08-21addition'!$A:$A,$A65,'08-21addition'!$B:$B,"&gt;=2017")</f>
        <v>0</v>
      </c>
      <c r="F65" s="63">
        <f>SUMIFS('08-21addition'!C:C,'08-21addition'!$A:$A,$A65,'08-21addition'!$B:$B,"&gt;=2017")</f>
        <v>782.78</v>
      </c>
      <c r="G65" s="63">
        <f>SUMIFS('08-21addition'!Q:Q,'08-21addition'!$A:$A,$A65,'08-21addition'!$B:$B,"&gt;=2017")</f>
        <v>908.09</v>
      </c>
      <c r="H65" s="63">
        <f>SUMIFS('08-21addition'!H:H,'08-21addition'!$A:$A,$A65,'08-21addition'!$B:$B,"&gt;=2017")+SUMIFS('08-21addition'!I:I,'08-21addition'!$A:$A,$A65,'08-21addition'!$B:$B,"&gt;=2017")</f>
        <v>1466.5</v>
      </c>
      <c r="I65" s="63">
        <f t="shared" si="36"/>
        <v>0</v>
      </c>
      <c r="J65" s="63">
        <f>SUMIFS('08-21addition'!M:M,'08-21addition'!$A:$A,$A65,'08-21addition'!$B:$B,"&gt;=2017")</f>
        <v>0</v>
      </c>
      <c r="K65" s="63">
        <f t="shared" si="37"/>
        <v>11</v>
      </c>
      <c r="L65" s="63">
        <f>SUMIFS('08-21addition'!L:L,'08-21addition'!$A:$A,$A65,'08-21addition'!$B:$B,"&gt;=2017")</f>
        <v>0</v>
      </c>
      <c r="M65" s="63">
        <f>SUMIFS('08-21addition'!F:F,'08-21addition'!$A:$A,$A65,'08-21addition'!$B:$B,"&gt;=2017")</f>
        <v>23.85</v>
      </c>
      <c r="N65" s="63">
        <f>SUMIFS('08-21addition'!E:E,'08-21addition'!$A:$A,$A65,'08-21addition'!$B:$B,"&gt;=2017")</f>
        <v>11</v>
      </c>
      <c r="O65" s="63">
        <f>SUMIFS('08-21addition'!G:G,'08-21addition'!$A:$A,$A65,'08-21addition'!$B:$B,"&gt;=2017")</f>
        <v>39.78</v>
      </c>
      <c r="P65" s="63">
        <f>SUMIFS('08-21addition'!K:K,'08-21addition'!$A:$A,$A65,'08-21addition'!$B:$B,"&gt;=2017")+SUMIFS('08-21addition'!J:J,'08-21addition'!$A:$A,$A65,'08-21addition'!$B:$B,"&gt;=2017")</f>
        <v>0</v>
      </c>
      <c r="R65" s="63"/>
      <c r="S65" s="63">
        <f>SUMIFS('08-21addition'!O:O,'08-21addition'!$A:$A,$A65,'08-21addition'!$B:$B,"&gt;=2008")+SUMIFS('08-21addition'!P:P,'08-21addition'!$A:$A,$A65,'08-21addition'!$B:$B,"&gt;=2008")-C65</f>
        <v>58.87</v>
      </c>
      <c r="T65" s="63">
        <f t="shared" si="38"/>
        <v>1841</v>
      </c>
      <c r="U65" s="63">
        <f>SUMIFS('08-21addition'!D:D,'08-21addition'!$A:$A,$A65,'08-21addition'!$B:$B,"&gt;=2008")-E65</f>
        <v>0</v>
      </c>
      <c r="V65" s="63">
        <f>SUMIFS('08-21addition'!C:C,'08-21addition'!$A:$A,$A65,'08-21addition'!$B:$B,"&gt;=2008")-F65</f>
        <v>261.01</v>
      </c>
      <c r="W65" s="63">
        <f>SUMIFS('08-21addition'!Q:Q,'08-21addition'!$A:$A,$A65,'08-21addition'!$B:$B,"&gt;=2008")-G65</f>
        <v>274.39</v>
      </c>
      <c r="X65" s="63">
        <f>SUMIFS('08-21addition'!H:H,'08-21addition'!$A:$A,$A65,'08-21addition'!$B:$B,"&gt;=2008")+SUMIFS('08-21addition'!I:I,'08-21addition'!$A:$A,$A65,'08-21addition'!$B:$B,"&gt;=2008")-H65</f>
        <v>1738.25</v>
      </c>
      <c r="Y65" s="63">
        <f t="shared" si="39"/>
        <v>3</v>
      </c>
      <c r="Z65" s="63">
        <f>SUMIFS('08-21addition'!M:M,'08-21addition'!$A:$A,$A65,'08-21addition'!$B:$B,"&gt;=2008")-J65</f>
        <v>0</v>
      </c>
      <c r="AA65" s="63">
        <f t="shared" si="40"/>
        <v>0</v>
      </c>
      <c r="AB65" s="63">
        <f>SUMIFS('08-21addition'!L:L,'08-21addition'!$A:$A,$A65,'08-21addition'!$B:$B,"&gt;=2008")-L65</f>
        <v>0</v>
      </c>
      <c r="AC65" s="63">
        <f>SUMIFS('08-21addition'!F:F,'08-21addition'!$A:$A,$A65,'08-21addition'!$B:$B,"&gt;=2008")-M65</f>
        <v>0.129999999999999</v>
      </c>
      <c r="AD65" s="63">
        <f>SUMIFS('08-21addition'!E:E,'08-21addition'!$A:$A,$A65,'08-21addition'!$B:$B,"&gt;=2008")-N65</f>
        <v>0</v>
      </c>
      <c r="AE65" s="63">
        <f>SUMIFS('08-21addition'!G:G,'08-21addition'!$A:$A,$A65,'08-21addition'!$B:$B,"&gt;=2008")-O65</f>
        <v>99.62</v>
      </c>
      <c r="AF65" s="63">
        <f>SUMIFS('08-21addition'!K:K,'08-21addition'!$A:$A,$A65,'08-21addition'!$B:$B,"&gt;=2008")+SUMIFS('08-21addition'!J:J,'08-21addition'!$A:$A,$A65,'08-21addition'!$B:$B,"&gt;=2008")-P65</f>
        <v>3</v>
      </c>
      <c r="AH65" s="68" t="s">
        <v>134</v>
      </c>
      <c r="AI65" s="76">
        <v>3740</v>
      </c>
      <c r="AJ65" s="76">
        <v>272</v>
      </c>
      <c r="AK65" s="76">
        <v>3043</v>
      </c>
      <c r="AL65" s="78"/>
      <c r="AM65" s="55">
        <v>179</v>
      </c>
      <c r="AN65" s="55">
        <v>246</v>
      </c>
      <c r="AO65" s="78"/>
      <c r="AP65" s="77">
        <f t="shared" si="32"/>
        <v>3043</v>
      </c>
      <c r="AQ65" s="78">
        <v>2997</v>
      </c>
      <c r="AR65" s="78"/>
      <c r="AS65" s="78"/>
      <c r="AT65" s="78">
        <v>46</v>
      </c>
      <c r="AU65" s="79">
        <v>2</v>
      </c>
      <c r="AV65" s="79"/>
      <c r="AW65" s="79">
        <v>2</v>
      </c>
      <c r="AX65" s="79"/>
      <c r="AY65" s="66">
        <f t="shared" si="33"/>
        <v>44</v>
      </c>
      <c r="AZ65" s="67">
        <f t="shared" si="34"/>
        <v>0</v>
      </c>
    </row>
    <row r="66" spans="1:52">
      <c r="A66" s="68" t="s">
        <v>136</v>
      </c>
      <c r="B66" s="63"/>
      <c r="C66" s="63">
        <f>SUMIFS('08-21addition'!O:O,'08-21addition'!$A:$A,$A66,'08-21addition'!$B:$B,"&gt;=2017")+SUMIFS('08-21addition'!P:P,'08-21addition'!$A:$A,$A66,'08-21addition'!$B:$B,"&gt;=2017")</f>
        <v>110.41</v>
      </c>
      <c r="D66" s="63">
        <f t="shared" si="35"/>
        <v>327.9</v>
      </c>
      <c r="E66" s="63">
        <f>SUMIFS('08-21addition'!D:D,'08-21addition'!$A:$A,$A66,'08-21addition'!$B:$B,"&gt;=2017")</f>
        <v>0</v>
      </c>
      <c r="F66" s="63">
        <f>SUMIFS('08-21addition'!C:C,'08-21addition'!$A:$A,$A66,'08-21addition'!$B:$B,"&gt;=2017")</f>
        <v>444.29</v>
      </c>
      <c r="G66" s="63">
        <f>SUMIFS('08-21addition'!Q:Q,'08-21addition'!$A:$A,$A66,'08-21addition'!$B:$B,"&gt;=2017")</f>
        <v>469.6</v>
      </c>
      <c r="H66" s="63">
        <f>SUMIFS('08-21addition'!H:H,'08-21addition'!$A:$A,$A66,'08-21addition'!$B:$B,"&gt;=2017")+SUMIFS('08-21addition'!I:I,'08-21addition'!$A:$A,$A66,'08-21addition'!$B:$B,"&gt;=2017")</f>
        <v>304.9</v>
      </c>
      <c r="I66" s="63">
        <f t="shared" si="36"/>
        <v>0</v>
      </c>
      <c r="J66" s="63">
        <f>SUMIFS('08-21addition'!M:M,'08-21addition'!$A:$A,$A66,'08-21addition'!$B:$B,"&gt;=2017")</f>
        <v>0</v>
      </c>
      <c r="K66" s="63">
        <f t="shared" si="37"/>
        <v>3</v>
      </c>
      <c r="L66" s="63">
        <f>SUMIFS('08-21addition'!L:L,'08-21addition'!$A:$A,$A66,'08-21addition'!$B:$B,"&gt;=2017")</f>
        <v>0</v>
      </c>
      <c r="M66" s="63">
        <f>SUMIFS('08-21addition'!F:F,'08-21addition'!$A:$A,$A66,'08-21addition'!$B:$B,"&gt;=2017")</f>
        <v>9</v>
      </c>
      <c r="N66" s="63">
        <f>SUMIFS('08-21addition'!E:E,'08-21addition'!$A:$A,$A66,'08-21addition'!$B:$B,"&gt;=2017")</f>
        <v>3</v>
      </c>
      <c r="O66" s="63">
        <f>SUMIFS('08-21addition'!G:G,'08-21addition'!$A:$A,$A66,'08-21addition'!$B:$B,"&gt;=2017")</f>
        <v>11</v>
      </c>
      <c r="P66" s="63">
        <f>SUMIFS('08-21addition'!K:K,'08-21addition'!$A:$A,$A66,'08-21addition'!$B:$B,"&gt;=2017")+SUMIFS('08-21addition'!J:J,'08-21addition'!$A:$A,$A66,'08-21addition'!$B:$B,"&gt;=2017")</f>
        <v>0</v>
      </c>
      <c r="R66" s="63"/>
      <c r="S66" s="63">
        <f>SUMIFS('08-21addition'!O:O,'08-21addition'!$A:$A,$A66,'08-21addition'!$B:$B,"&gt;=2008")+SUMIFS('08-21addition'!P:P,'08-21addition'!$A:$A,$A66,'08-21addition'!$B:$B,"&gt;=2008")-C66</f>
        <v>318.3</v>
      </c>
      <c r="T66" s="63">
        <f t="shared" si="38"/>
        <v>1089.51</v>
      </c>
      <c r="U66" s="63">
        <f>SUMIFS('08-21addition'!D:D,'08-21addition'!$A:$A,$A66,'08-21addition'!$B:$B,"&gt;=2008")-E66</f>
        <v>0</v>
      </c>
      <c r="V66" s="63">
        <f>SUMIFS('08-21addition'!C:C,'08-21addition'!$A:$A,$A66,'08-21addition'!$B:$B,"&gt;=2008")-F66</f>
        <v>1269.92</v>
      </c>
      <c r="W66" s="63">
        <f>SUMIFS('08-21addition'!Q:Q,'08-21addition'!$A:$A,$A66,'08-21addition'!$B:$B,"&gt;=2008")-G66</f>
        <v>726.09</v>
      </c>
      <c r="X66" s="63">
        <f>SUMIFS('08-21addition'!H:H,'08-21addition'!$A:$A,$A66,'08-21addition'!$B:$B,"&gt;=2008")+SUMIFS('08-21addition'!I:I,'08-21addition'!$A:$A,$A66,'08-21addition'!$B:$B,"&gt;=2008")-H66</f>
        <v>985.4</v>
      </c>
      <c r="Y66" s="63">
        <f t="shared" si="39"/>
        <v>0</v>
      </c>
      <c r="Z66" s="63">
        <f>SUMIFS('08-21addition'!M:M,'08-21addition'!$A:$A,$A66,'08-21addition'!$B:$B,"&gt;=2008")-J66</f>
        <v>0</v>
      </c>
      <c r="AA66" s="63">
        <f t="shared" si="40"/>
        <v>3</v>
      </c>
      <c r="AB66" s="63">
        <f>SUMIFS('08-21addition'!L:L,'08-21addition'!$A:$A,$A66,'08-21addition'!$B:$B,"&gt;=2008")-L66</f>
        <v>0</v>
      </c>
      <c r="AC66" s="63">
        <f>SUMIFS('08-21addition'!F:F,'08-21addition'!$A:$A,$A66,'08-21addition'!$B:$B,"&gt;=2008")-M66</f>
        <v>5.2</v>
      </c>
      <c r="AD66" s="63">
        <f>SUMIFS('08-21addition'!E:E,'08-21addition'!$A:$A,$A66,'08-21addition'!$B:$B,"&gt;=2008")-N66</f>
        <v>3</v>
      </c>
      <c r="AE66" s="63">
        <f>SUMIFS('08-21addition'!G:G,'08-21addition'!$A:$A,$A66,'08-21addition'!$B:$B,"&gt;=2008")-O66</f>
        <v>95.91</v>
      </c>
      <c r="AF66" s="63">
        <f>SUMIFS('08-21addition'!K:K,'08-21addition'!$A:$A,$A66,'08-21addition'!$B:$B,"&gt;=2008")+SUMIFS('08-21addition'!J:J,'08-21addition'!$A:$A,$A66,'08-21addition'!$B:$B,"&gt;=2008")-P66</f>
        <v>0</v>
      </c>
      <c r="AH66" s="68" t="s">
        <v>136</v>
      </c>
      <c r="AI66" s="76">
        <v>4825</v>
      </c>
      <c r="AJ66" s="76">
        <v>861</v>
      </c>
      <c r="AK66" s="76">
        <v>2002</v>
      </c>
      <c r="AL66" s="78"/>
      <c r="AM66" s="55">
        <v>1277</v>
      </c>
      <c r="AN66" s="55">
        <v>686</v>
      </c>
      <c r="AO66" s="78"/>
      <c r="AP66" s="77">
        <f t="shared" si="32"/>
        <v>2002</v>
      </c>
      <c r="AQ66" s="78">
        <v>1966</v>
      </c>
      <c r="AR66" s="78">
        <v>7</v>
      </c>
      <c r="AS66" s="78"/>
      <c r="AT66" s="78">
        <v>29</v>
      </c>
      <c r="AU66" s="76">
        <v>8</v>
      </c>
      <c r="AV66" s="79"/>
      <c r="AW66" s="76">
        <v>5</v>
      </c>
      <c r="AX66" s="76">
        <v>3</v>
      </c>
      <c r="AY66" s="66">
        <f t="shared" si="33"/>
        <v>24</v>
      </c>
      <c r="AZ66" s="67">
        <f t="shared" si="34"/>
        <v>7</v>
      </c>
    </row>
    <row r="67" spans="1:52">
      <c r="A67" s="68" t="s">
        <v>138</v>
      </c>
      <c r="B67" s="63"/>
      <c r="C67" s="63">
        <f>SUMIFS('08-21addition'!O:O,'08-21addition'!$A:$A,$A67,'08-21addition'!$B:$B,"&gt;=2017")+SUMIFS('08-21addition'!P:P,'08-21addition'!$A:$A,$A67,'08-21addition'!$B:$B,"&gt;=2017")</f>
        <v>6.31</v>
      </c>
      <c r="D67" s="63">
        <f t="shared" si="35"/>
        <v>27.4</v>
      </c>
      <c r="E67" s="63">
        <f>SUMIFS('08-21addition'!D:D,'08-21addition'!$A:$A,$A67,'08-21addition'!$B:$B,"&gt;=2017")</f>
        <v>0</v>
      </c>
      <c r="F67" s="63">
        <f>SUMIFS('08-21addition'!C:C,'08-21addition'!$A:$A,$A67,'08-21addition'!$B:$B,"&gt;=2017")</f>
        <v>849.01</v>
      </c>
      <c r="G67" s="63">
        <f>SUMIFS('08-21addition'!Q:Q,'08-21addition'!$A:$A,$A67,'08-21addition'!$B:$B,"&gt;=2017")</f>
        <v>955.74</v>
      </c>
      <c r="H67" s="63">
        <f>SUMIFS('08-21addition'!H:H,'08-21addition'!$A:$A,$A67,'08-21addition'!$B:$B,"&gt;=2017")+SUMIFS('08-21addition'!I:I,'08-21addition'!$A:$A,$A67,'08-21addition'!$B:$B,"&gt;=2017")</f>
        <v>27</v>
      </c>
      <c r="I67" s="63">
        <f t="shared" si="36"/>
        <v>0</v>
      </c>
      <c r="J67" s="63">
        <f>SUMIFS('08-21addition'!M:M,'08-21addition'!$A:$A,$A67,'08-21addition'!$B:$B,"&gt;=2017")</f>
        <v>0</v>
      </c>
      <c r="K67" s="63">
        <f t="shared" si="37"/>
        <v>0</v>
      </c>
      <c r="L67" s="63">
        <f>SUMIFS('08-21addition'!L:L,'08-21addition'!$A:$A,$A67,'08-21addition'!$B:$B,"&gt;=2017")</f>
        <v>0</v>
      </c>
      <c r="M67" s="63">
        <f>SUMIFS('08-21addition'!F:F,'08-21addition'!$A:$A,$A67,'08-21addition'!$B:$B,"&gt;=2017")</f>
        <v>0</v>
      </c>
      <c r="N67" s="63">
        <f>SUMIFS('08-21addition'!E:E,'08-21addition'!$A:$A,$A67,'08-21addition'!$B:$B,"&gt;=2017")</f>
        <v>0</v>
      </c>
      <c r="O67" s="63">
        <f>SUMIFS('08-21addition'!G:G,'08-21addition'!$A:$A,$A67,'08-21addition'!$B:$B,"&gt;=2017")</f>
        <v>0.4</v>
      </c>
      <c r="P67" s="63">
        <f>SUMIFS('08-21addition'!K:K,'08-21addition'!$A:$A,$A67,'08-21addition'!$B:$B,"&gt;=2017")+SUMIFS('08-21addition'!J:J,'08-21addition'!$A:$A,$A67,'08-21addition'!$B:$B,"&gt;=2017")</f>
        <v>0</v>
      </c>
      <c r="R67" s="63"/>
      <c r="S67" s="63">
        <f>SUMIFS('08-21addition'!O:O,'08-21addition'!$A:$A,$A67,'08-21addition'!$B:$B,"&gt;=2008")+SUMIFS('08-21addition'!P:P,'08-21addition'!$A:$A,$A67,'08-21addition'!$B:$B,"&gt;=2008")-C67</f>
        <v>632.71</v>
      </c>
      <c r="T67" s="63">
        <f t="shared" si="38"/>
        <v>266.2</v>
      </c>
      <c r="U67" s="63">
        <f>SUMIFS('08-21addition'!D:D,'08-21addition'!$A:$A,$A67,'08-21addition'!$B:$B,"&gt;=2008")-E67</f>
        <v>0</v>
      </c>
      <c r="V67" s="63">
        <f>SUMIFS('08-21addition'!C:C,'08-21addition'!$A:$A,$A67,'08-21addition'!$B:$B,"&gt;=2008")-F67</f>
        <v>87.45</v>
      </c>
      <c r="W67" s="63">
        <f>SUMIFS('08-21addition'!Q:Q,'08-21addition'!$A:$A,$A67,'08-21addition'!$B:$B,"&gt;=2008")-G67</f>
        <v>586.06</v>
      </c>
      <c r="X67" s="63">
        <f>SUMIFS('08-21addition'!H:H,'08-21addition'!$A:$A,$A67,'08-21addition'!$B:$B,"&gt;=2008")+SUMIFS('08-21addition'!I:I,'08-21addition'!$A:$A,$A67,'08-21addition'!$B:$B,"&gt;=2008")-H67</f>
        <v>247.15</v>
      </c>
      <c r="Y67" s="63">
        <f t="shared" si="39"/>
        <v>0</v>
      </c>
      <c r="Z67" s="63">
        <f>SUMIFS('08-21addition'!M:M,'08-21addition'!$A:$A,$A67,'08-21addition'!$B:$B,"&gt;=2008")-J67</f>
        <v>0</v>
      </c>
      <c r="AA67" s="63">
        <f t="shared" si="40"/>
        <v>0</v>
      </c>
      <c r="AB67" s="63">
        <f>SUMIFS('08-21addition'!L:L,'08-21addition'!$A:$A,$A67,'08-21addition'!$B:$B,"&gt;=2008")-L67</f>
        <v>0</v>
      </c>
      <c r="AC67" s="63">
        <f>SUMIFS('08-21addition'!F:F,'08-21addition'!$A:$A,$A67,'08-21addition'!$B:$B,"&gt;=2008")-M67</f>
        <v>0.35</v>
      </c>
      <c r="AD67" s="63">
        <f>SUMIFS('08-21addition'!E:E,'08-21addition'!$A:$A,$A67,'08-21addition'!$B:$B,"&gt;=2008")-N67</f>
        <v>0</v>
      </c>
      <c r="AE67" s="63">
        <f>SUMIFS('08-21addition'!G:G,'08-21addition'!$A:$A,$A67,'08-21addition'!$B:$B,"&gt;=2008")-O67</f>
        <v>18.7</v>
      </c>
      <c r="AF67" s="63">
        <f>SUMIFS('08-21addition'!K:K,'08-21addition'!$A:$A,$A67,'08-21addition'!$B:$B,"&gt;=2008")+SUMIFS('08-21addition'!J:J,'08-21addition'!$A:$A,$A67,'08-21addition'!$B:$B,"&gt;=2008")-P67</f>
        <v>0</v>
      </c>
      <c r="AH67" s="68" t="s">
        <v>138</v>
      </c>
      <c r="AI67" s="76">
        <v>2345</v>
      </c>
      <c r="AJ67" s="76">
        <v>1192</v>
      </c>
      <c r="AK67" s="76">
        <v>402</v>
      </c>
      <c r="AL67" s="78"/>
      <c r="AM67" s="55">
        <v>69</v>
      </c>
      <c r="AN67" s="55">
        <v>682</v>
      </c>
      <c r="AO67" s="78"/>
      <c r="AP67" s="77">
        <f t="shared" si="32"/>
        <v>403</v>
      </c>
      <c r="AQ67" s="55">
        <v>370</v>
      </c>
      <c r="AR67" s="55">
        <v>33</v>
      </c>
      <c r="AS67" s="78"/>
      <c r="AT67" s="78"/>
      <c r="AU67" s="79"/>
      <c r="AV67" s="79"/>
      <c r="AW67" s="79"/>
      <c r="AX67" s="79"/>
      <c r="AY67" s="66">
        <f t="shared" si="33"/>
        <v>0</v>
      </c>
      <c r="AZ67" s="67">
        <f t="shared" si="34"/>
        <v>33</v>
      </c>
    </row>
    <row r="68" spans="1:52">
      <c r="A68" s="68" t="s">
        <v>140</v>
      </c>
      <c r="B68" s="63"/>
      <c r="C68" s="63">
        <f>SUMIFS('08-21addition'!O:O,'08-21addition'!$A:$A,$A68,'08-21addition'!$B:$B,"&gt;=2017")+SUMIFS('08-21addition'!P:P,'08-21addition'!$A:$A,$A68,'08-21addition'!$B:$B,"&gt;=2017")</f>
        <v>0.4</v>
      </c>
      <c r="D68" s="63">
        <f t="shared" si="35"/>
        <v>1042.45</v>
      </c>
      <c r="E68" s="63">
        <f>SUMIFS('08-21addition'!D:D,'08-21addition'!$A:$A,$A68,'08-21addition'!$B:$B,"&gt;=2017")</f>
        <v>0</v>
      </c>
      <c r="F68" s="63">
        <f>SUMIFS('08-21addition'!C:C,'08-21addition'!$A:$A,$A68,'08-21addition'!$B:$B,"&gt;=2017")</f>
        <v>533.21</v>
      </c>
      <c r="G68" s="63">
        <f>SUMIFS('08-21addition'!Q:Q,'08-21addition'!$A:$A,$A68,'08-21addition'!$B:$B,"&gt;=2017")</f>
        <v>873.11</v>
      </c>
      <c r="H68" s="63">
        <f>SUMIFS('08-21addition'!H:H,'08-21addition'!$A:$A,$A68,'08-21addition'!$B:$B,"&gt;=2017")+SUMIFS('08-21addition'!I:I,'08-21addition'!$A:$A,$A68,'08-21addition'!$B:$B,"&gt;=2017")</f>
        <v>1030</v>
      </c>
      <c r="I68" s="63">
        <f t="shared" si="36"/>
        <v>0</v>
      </c>
      <c r="J68" s="63">
        <f>SUMIFS('08-21addition'!M:M,'08-21addition'!$A:$A,$A68,'08-21addition'!$B:$B,"&gt;=2017")</f>
        <v>0</v>
      </c>
      <c r="K68" s="63">
        <f t="shared" si="37"/>
        <v>0</v>
      </c>
      <c r="L68" s="63">
        <f>SUMIFS('08-21addition'!L:L,'08-21addition'!$A:$A,$A68,'08-21addition'!$B:$B,"&gt;=2017")</f>
        <v>0</v>
      </c>
      <c r="M68" s="63">
        <f>SUMIFS('08-21addition'!F:F,'08-21addition'!$A:$A,$A68,'08-21addition'!$B:$B,"&gt;=2017")</f>
        <v>1.2</v>
      </c>
      <c r="N68" s="63">
        <f>SUMIFS('08-21addition'!E:E,'08-21addition'!$A:$A,$A68,'08-21addition'!$B:$B,"&gt;=2017")</f>
        <v>0</v>
      </c>
      <c r="O68" s="63">
        <f>SUMIFS('08-21addition'!G:G,'08-21addition'!$A:$A,$A68,'08-21addition'!$B:$B,"&gt;=2017")</f>
        <v>11.25</v>
      </c>
      <c r="P68" s="63">
        <f>SUMIFS('08-21addition'!K:K,'08-21addition'!$A:$A,$A68,'08-21addition'!$B:$B,"&gt;=2017")+SUMIFS('08-21addition'!J:J,'08-21addition'!$A:$A,$A68,'08-21addition'!$B:$B,"&gt;=2017")</f>
        <v>0</v>
      </c>
      <c r="R68" s="63"/>
      <c r="S68" s="63">
        <f>SUMIFS('08-21addition'!O:O,'08-21addition'!$A:$A,$A68,'08-21addition'!$B:$B,"&gt;=2008")+SUMIFS('08-21addition'!P:P,'08-21addition'!$A:$A,$A68,'08-21addition'!$B:$B,"&gt;=2008")-C68</f>
        <v>0</v>
      </c>
      <c r="T68" s="63">
        <f t="shared" si="38"/>
        <v>1399.3</v>
      </c>
      <c r="U68" s="63">
        <f>SUMIFS('08-21addition'!D:D,'08-21addition'!$A:$A,$A68,'08-21addition'!$B:$B,"&gt;=2008")-E68</f>
        <v>0</v>
      </c>
      <c r="V68" s="63">
        <f>SUMIFS('08-21addition'!C:C,'08-21addition'!$A:$A,$A68,'08-21addition'!$B:$B,"&gt;=2008")-F68</f>
        <v>980.29</v>
      </c>
      <c r="W68" s="63">
        <f>SUMIFS('08-21addition'!Q:Q,'08-21addition'!$A:$A,$A68,'08-21addition'!$B:$B,"&gt;=2008")-G68</f>
        <v>484.42</v>
      </c>
      <c r="X68" s="63">
        <f>SUMIFS('08-21addition'!H:H,'08-21addition'!$A:$A,$A68,'08-21addition'!$B:$B,"&gt;=2008")+SUMIFS('08-21addition'!I:I,'08-21addition'!$A:$A,$A68,'08-21addition'!$B:$B,"&gt;=2008")-H68</f>
        <v>1328</v>
      </c>
      <c r="Y68" s="63">
        <f t="shared" si="39"/>
        <v>6.4</v>
      </c>
      <c r="Z68" s="63">
        <f>SUMIFS('08-21addition'!M:M,'08-21addition'!$A:$A,$A68,'08-21addition'!$B:$B,"&gt;=2008")-J68</f>
        <v>0</v>
      </c>
      <c r="AA68" s="63">
        <f t="shared" si="40"/>
        <v>0</v>
      </c>
      <c r="AB68" s="63">
        <f>SUMIFS('08-21addition'!L:L,'08-21addition'!$A:$A,$A68,'08-21addition'!$B:$B,"&gt;=2008")-L68</f>
        <v>0</v>
      </c>
      <c r="AC68" s="63">
        <f>SUMIFS('08-21addition'!F:F,'08-21addition'!$A:$A,$A68,'08-21addition'!$B:$B,"&gt;=2008")-M68</f>
        <v>0</v>
      </c>
      <c r="AD68" s="63">
        <f>SUMIFS('08-21addition'!E:E,'08-21addition'!$A:$A,$A68,'08-21addition'!$B:$B,"&gt;=2008")-N68</f>
        <v>0</v>
      </c>
      <c r="AE68" s="63">
        <f>SUMIFS('08-21addition'!G:G,'08-21addition'!$A:$A,$A68,'08-21addition'!$B:$B,"&gt;=2008")-O68</f>
        <v>64.9</v>
      </c>
      <c r="AF68" s="63">
        <f>SUMIFS('08-21addition'!K:K,'08-21addition'!$A:$A,$A68,'08-21addition'!$B:$B,"&gt;=2008")+SUMIFS('08-21addition'!J:J,'08-21addition'!$A:$A,$A68,'08-21addition'!$B:$B,"&gt;=2008")-P68</f>
        <v>6.4</v>
      </c>
      <c r="AH68" s="68" t="s">
        <v>140</v>
      </c>
      <c r="AI68" s="76">
        <v>3675</v>
      </c>
      <c r="AJ68" s="76">
        <v>43</v>
      </c>
      <c r="AK68" s="76">
        <v>2165</v>
      </c>
      <c r="AL68" s="78"/>
      <c r="AM68" s="55">
        <v>942</v>
      </c>
      <c r="AN68" s="55">
        <v>526</v>
      </c>
      <c r="AO68" s="78"/>
      <c r="AP68" s="77">
        <f t="shared" si="32"/>
        <v>2164</v>
      </c>
      <c r="AQ68" s="78">
        <v>2008</v>
      </c>
      <c r="AR68" s="78">
        <v>81</v>
      </c>
      <c r="AS68" s="78"/>
      <c r="AT68" s="78">
        <v>75</v>
      </c>
      <c r="AU68" s="76">
        <v>7</v>
      </c>
      <c r="AV68" s="79"/>
      <c r="AW68" s="76">
        <v>2</v>
      </c>
      <c r="AX68" s="76">
        <v>5</v>
      </c>
      <c r="AY68" s="66">
        <f t="shared" si="33"/>
        <v>73</v>
      </c>
      <c r="AZ68" s="67">
        <f t="shared" si="34"/>
        <v>81</v>
      </c>
    </row>
    <row r="69" spans="1:52">
      <c r="A69" s="68" t="s">
        <v>142</v>
      </c>
      <c r="B69" s="63"/>
      <c r="C69" s="63">
        <f>SUMIFS('08-21addition'!O:O,'08-21addition'!$A:$A,$A69,'08-21addition'!$B:$B,"&gt;=2017")+SUMIFS('08-21addition'!P:P,'08-21addition'!$A:$A,$A69,'08-21addition'!$B:$B,"&gt;=2017")</f>
        <v>289.69</v>
      </c>
      <c r="D69" s="63">
        <f t="shared" si="35"/>
        <v>1604.27</v>
      </c>
      <c r="E69" s="63">
        <f>SUMIFS('08-21addition'!D:D,'08-21addition'!$A:$A,$A69,'08-21addition'!$B:$B,"&gt;=2017")</f>
        <v>0</v>
      </c>
      <c r="F69" s="63">
        <f>SUMIFS('08-21addition'!C:C,'08-21addition'!$A:$A,$A69,'08-21addition'!$B:$B,"&gt;=2017")</f>
        <v>636.79</v>
      </c>
      <c r="G69" s="63">
        <f>SUMIFS('08-21addition'!Q:Q,'08-21addition'!$A:$A,$A69,'08-21addition'!$B:$B,"&gt;=2017")</f>
        <v>434.67</v>
      </c>
      <c r="H69" s="63">
        <f>SUMIFS('08-21addition'!H:H,'08-21addition'!$A:$A,$A69,'08-21addition'!$B:$B,"&gt;=2017")+SUMIFS('08-21addition'!I:I,'08-21addition'!$A:$A,$A69,'08-21addition'!$B:$B,"&gt;=2017")</f>
        <v>1492.08</v>
      </c>
      <c r="I69" s="63">
        <f t="shared" si="36"/>
        <v>54.58</v>
      </c>
      <c r="J69" s="63">
        <f>SUMIFS('08-21addition'!M:M,'08-21addition'!$A:$A,$A69,'08-21addition'!$B:$B,"&gt;=2017")</f>
        <v>0</v>
      </c>
      <c r="K69" s="63">
        <f t="shared" si="37"/>
        <v>4.5</v>
      </c>
      <c r="L69" s="63">
        <f>SUMIFS('08-21addition'!L:L,'08-21addition'!$A:$A,$A69,'08-21addition'!$B:$B,"&gt;=2017")</f>
        <v>0</v>
      </c>
      <c r="M69" s="63">
        <f>SUMIFS('08-21addition'!F:F,'08-21addition'!$A:$A,$A69,'08-21addition'!$B:$B,"&gt;=2017")</f>
        <v>13.4</v>
      </c>
      <c r="N69" s="63">
        <f>SUMIFS('08-21addition'!E:E,'08-21addition'!$A:$A,$A69,'08-21addition'!$B:$B,"&gt;=2017")</f>
        <v>4.5</v>
      </c>
      <c r="O69" s="63">
        <f>SUMIFS('08-21addition'!G:G,'08-21addition'!$A:$A,$A69,'08-21addition'!$B:$B,"&gt;=2017")</f>
        <v>39.71</v>
      </c>
      <c r="P69" s="63">
        <f>SUMIFS('08-21addition'!K:K,'08-21addition'!$A:$A,$A69,'08-21addition'!$B:$B,"&gt;=2017")+SUMIFS('08-21addition'!J:J,'08-21addition'!$A:$A,$A69,'08-21addition'!$B:$B,"&gt;=2017")</f>
        <v>54.58</v>
      </c>
      <c r="R69" s="63"/>
      <c r="S69" s="63">
        <f>SUMIFS('08-21addition'!O:O,'08-21addition'!$A:$A,$A69,'08-21addition'!$B:$B,"&gt;=2008")+SUMIFS('08-21addition'!P:P,'08-21addition'!$A:$A,$A69,'08-21addition'!$B:$B,"&gt;=2008")-C69</f>
        <v>503.16</v>
      </c>
      <c r="T69" s="63">
        <f t="shared" si="38"/>
        <v>3290.19</v>
      </c>
      <c r="U69" s="63">
        <f>SUMIFS('08-21addition'!D:D,'08-21addition'!$A:$A,$A69,'08-21addition'!$B:$B,"&gt;=2008")-E69</f>
        <v>0</v>
      </c>
      <c r="V69" s="63">
        <f>SUMIFS('08-21addition'!C:C,'08-21addition'!$A:$A,$A69,'08-21addition'!$B:$B,"&gt;=2008")-F69</f>
        <v>1763.47</v>
      </c>
      <c r="W69" s="63">
        <f>SUMIFS('08-21addition'!Q:Q,'08-21addition'!$A:$A,$A69,'08-21addition'!$B:$B,"&gt;=2008")-G69</f>
        <v>898.6</v>
      </c>
      <c r="X69" s="63">
        <f>SUMIFS('08-21addition'!H:H,'08-21addition'!$A:$A,$A69,'08-21addition'!$B:$B,"&gt;=2008")+SUMIFS('08-21addition'!I:I,'08-21addition'!$A:$A,$A69,'08-21addition'!$B:$B,"&gt;=2008")-H69</f>
        <v>3077.9</v>
      </c>
      <c r="Y69" s="63">
        <f t="shared" si="39"/>
        <v>30.88</v>
      </c>
      <c r="Z69" s="63">
        <f>SUMIFS('08-21addition'!M:M,'08-21addition'!$A:$A,$A69,'08-21addition'!$B:$B,"&gt;=2008")-J69</f>
        <v>2.5</v>
      </c>
      <c r="AA69" s="63">
        <f t="shared" si="40"/>
        <v>26.2</v>
      </c>
      <c r="AB69" s="63">
        <f>SUMIFS('08-21addition'!L:L,'08-21addition'!$A:$A,$A69,'08-21addition'!$B:$B,"&gt;=2008")-L69</f>
        <v>0</v>
      </c>
      <c r="AC69" s="63">
        <f>SUMIFS('08-21addition'!F:F,'08-21addition'!$A:$A,$A69,'08-21addition'!$B:$B,"&gt;=2008")-M69</f>
        <v>0</v>
      </c>
      <c r="AD69" s="63">
        <f>SUMIFS('08-21addition'!E:E,'08-21addition'!$A:$A,$A69,'08-21addition'!$B:$B,"&gt;=2008")-N69</f>
        <v>26.2</v>
      </c>
      <c r="AE69" s="63">
        <f>SUMIFS('08-21addition'!G:G,'08-21addition'!$A:$A,$A69,'08-21addition'!$B:$B,"&gt;=2008")-O69</f>
        <v>152.71</v>
      </c>
      <c r="AF69" s="63">
        <f>SUMIFS('08-21addition'!K:K,'08-21addition'!$A:$A,$A69,'08-21addition'!$B:$B,"&gt;=2008")+SUMIFS('08-21addition'!J:J,'08-21addition'!$A:$A,$A69,'08-21addition'!$B:$B,"&gt;=2008")-P69</f>
        <v>30.88</v>
      </c>
      <c r="AH69" s="68" t="s">
        <v>142</v>
      </c>
      <c r="AI69" s="76">
        <v>8109</v>
      </c>
      <c r="AJ69" s="76">
        <v>665</v>
      </c>
      <c r="AK69" s="76">
        <v>4775</v>
      </c>
      <c r="AL69" s="78"/>
      <c r="AM69" s="55">
        <v>1776</v>
      </c>
      <c r="AN69" s="55">
        <v>893</v>
      </c>
      <c r="AO69" s="78"/>
      <c r="AP69" s="77">
        <f t="shared" si="32"/>
        <v>4775</v>
      </c>
      <c r="AQ69" s="81">
        <v>4642</v>
      </c>
      <c r="AR69" s="81">
        <v>68</v>
      </c>
      <c r="AS69" s="78"/>
      <c r="AT69" s="81">
        <v>65</v>
      </c>
      <c r="AU69" s="80">
        <v>3</v>
      </c>
      <c r="AV69" s="79"/>
      <c r="AW69" s="79"/>
      <c r="AX69" s="80">
        <v>3</v>
      </c>
      <c r="AY69" s="66">
        <f t="shared" si="33"/>
        <v>65</v>
      </c>
      <c r="AZ69" s="67">
        <f t="shared" si="34"/>
        <v>68</v>
      </c>
    </row>
    <row r="70" spans="1:52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</row>
    <row r="71" ht="26.25" customHeight="1" spans="1:52">
      <c r="A71" s="73"/>
      <c r="B71" s="74" t="s">
        <v>2344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R71" s="74" t="s">
        <v>2344</v>
      </c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H71" s="73"/>
      <c r="AI71" s="73" t="s">
        <v>2345</v>
      </c>
      <c r="AJ71" s="73" t="s">
        <v>2345</v>
      </c>
      <c r="AK71" s="73" t="s">
        <v>2345</v>
      </c>
      <c r="AL71" s="73" t="s">
        <v>2345</v>
      </c>
      <c r="AM71" s="73" t="s">
        <v>2345</v>
      </c>
      <c r="AN71" s="73" t="s">
        <v>2345</v>
      </c>
      <c r="AO71" s="73" t="s">
        <v>2345</v>
      </c>
      <c r="AP71" s="73" t="s">
        <v>2345</v>
      </c>
      <c r="AQ71" s="73" t="s">
        <v>2345</v>
      </c>
      <c r="AR71" s="73" t="s">
        <v>2345</v>
      </c>
      <c r="AS71" s="73" t="s">
        <v>2345</v>
      </c>
      <c r="AT71" s="73" t="s">
        <v>2345</v>
      </c>
      <c r="AU71" s="73" t="s">
        <v>2345</v>
      </c>
      <c r="AV71" s="73" t="s">
        <v>2345</v>
      </c>
      <c r="AW71" s="73" t="s">
        <v>2345</v>
      </c>
      <c r="AX71" s="73" t="s">
        <v>2345</v>
      </c>
      <c r="AY71" s="73" t="s">
        <v>2345</v>
      </c>
      <c r="AZ71" s="73" t="s">
        <v>2345</v>
      </c>
    </row>
    <row r="72" spans="1:52">
      <c r="A72" s="62" t="s">
        <v>80</v>
      </c>
      <c r="B72" s="63"/>
      <c r="C72" s="63">
        <f t="shared" ref="C72:P72" si="41">SUM(C73:C103)</f>
        <v>6439.9</v>
      </c>
      <c r="D72" s="63">
        <f t="shared" si="41"/>
        <v>56952.9</v>
      </c>
      <c r="E72" s="63">
        <f t="shared" si="41"/>
        <v>41.9999999999993</v>
      </c>
      <c r="F72" s="63">
        <f t="shared" si="41"/>
        <v>3166.89999999999</v>
      </c>
      <c r="G72" s="63">
        <f t="shared" si="41"/>
        <v>13971.5</v>
      </c>
      <c r="H72" s="63">
        <f t="shared" si="41"/>
        <v>50328.1</v>
      </c>
      <c r="I72" s="63">
        <f t="shared" si="41"/>
        <v>6049.1</v>
      </c>
      <c r="J72" s="63">
        <f t="shared" si="41"/>
        <v>180</v>
      </c>
      <c r="K72" s="63">
        <f t="shared" si="41"/>
        <v>1893.8</v>
      </c>
      <c r="L72" s="63">
        <f t="shared" si="41"/>
        <v>678</v>
      </c>
      <c r="M72" s="63">
        <f t="shared" si="41"/>
        <v>2028.1</v>
      </c>
      <c r="N72" s="63">
        <f t="shared" si="41"/>
        <v>1538.8</v>
      </c>
      <c r="O72" s="63">
        <f t="shared" si="41"/>
        <v>10655.5</v>
      </c>
      <c r="P72" s="63">
        <f t="shared" si="41"/>
        <v>5808.8</v>
      </c>
      <c r="R72" s="63"/>
      <c r="S72" s="63">
        <f t="shared" ref="S72" si="42">SUM(S73:S103)</f>
        <v>19016.966</v>
      </c>
      <c r="T72" s="63">
        <f t="shared" ref="T72" si="43">SUM(T73:T103)</f>
        <v>95129.879</v>
      </c>
      <c r="U72" s="63">
        <f t="shared" ref="U72" si="44">SUM(U73:U103)</f>
        <v>305.000000000001</v>
      </c>
      <c r="V72" s="63">
        <f t="shared" ref="V72" si="45">SUM(V73:V103)</f>
        <v>4194.10000000001</v>
      </c>
      <c r="W72" s="63">
        <f t="shared" ref="W72" si="46">SUM(W73:W103)</f>
        <v>11425.1</v>
      </c>
      <c r="X72" s="63">
        <f t="shared" ref="X72" si="47">SUM(X73:X103)</f>
        <v>0</v>
      </c>
      <c r="Y72" s="63">
        <f t="shared" ref="Y72" si="48">SUM(Y73:Y103)</f>
        <v>0</v>
      </c>
      <c r="Z72" s="63">
        <f t="shared" ref="Z72" si="49">SUM(Z73:Z103)</f>
        <v>0</v>
      </c>
      <c r="AA72" s="63">
        <f t="shared" ref="AA72" si="50">SUM(AA73:AA103)</f>
        <v>0</v>
      </c>
      <c r="AB72" s="63">
        <f t="shared" ref="AB72" si="51">SUM(AB73:AB103)</f>
        <v>0</v>
      </c>
      <c r="AC72" s="63">
        <f t="shared" ref="AC72" si="52">SUM(AC73:AC103)</f>
        <v>0</v>
      </c>
      <c r="AD72" s="63">
        <f t="shared" ref="AD72" si="53">SUM(AD73:AD103)</f>
        <v>0</v>
      </c>
      <c r="AE72" s="63">
        <f t="shared" ref="AE72:AF72" si="54">SUM(AE73:AE103)</f>
        <v>0</v>
      </c>
      <c r="AF72" s="63">
        <f t="shared" si="54"/>
        <v>0</v>
      </c>
      <c r="AH72" s="62" t="s">
        <v>80</v>
      </c>
      <c r="AI72" s="82">
        <v>87410</v>
      </c>
      <c r="AJ72" s="82">
        <v>19629</v>
      </c>
      <c r="AK72" s="82">
        <v>65108</v>
      </c>
      <c r="AL72" s="82">
        <v>908</v>
      </c>
      <c r="AM72" s="82">
        <v>1760</v>
      </c>
      <c r="AN72" s="73">
        <v>2.49</v>
      </c>
      <c r="AO72" s="82">
        <v>2.82</v>
      </c>
      <c r="AP72" s="73">
        <f t="shared" ref="AP72:AP103" si="55">AK72</f>
        <v>65108</v>
      </c>
      <c r="AQ72" s="73">
        <v>59889.17</v>
      </c>
      <c r="AR72" s="73">
        <v>2402.96</v>
      </c>
      <c r="AS72" s="73">
        <v>823</v>
      </c>
      <c r="AT72" s="73"/>
      <c r="AU72" s="73"/>
      <c r="AV72" s="73"/>
      <c r="AW72" s="73">
        <v>130.29</v>
      </c>
      <c r="AX72" s="73">
        <v>108.8</v>
      </c>
      <c r="AY72" s="73">
        <v>1168.7</v>
      </c>
      <c r="AZ72" s="73"/>
    </row>
    <row r="73" spans="1:52">
      <c r="A73" s="68" t="s">
        <v>82</v>
      </c>
      <c r="B73" s="63"/>
      <c r="C73" s="63">
        <f>MAX(C5-C39,0)*10</f>
        <v>10</v>
      </c>
      <c r="D73" s="63">
        <f t="shared" ref="D73:P73" si="56">MAX(D5-D39,0)*10</f>
        <v>0</v>
      </c>
      <c r="E73" s="63">
        <f t="shared" si="56"/>
        <v>0</v>
      </c>
      <c r="F73" s="63">
        <f t="shared" si="56"/>
        <v>0</v>
      </c>
      <c r="G73" s="63">
        <f t="shared" si="56"/>
        <v>0</v>
      </c>
      <c r="H73" s="63">
        <f t="shared" si="56"/>
        <v>0</v>
      </c>
      <c r="I73" s="63">
        <f t="shared" si="56"/>
        <v>0</v>
      </c>
      <c r="J73" s="63">
        <f t="shared" si="56"/>
        <v>0</v>
      </c>
      <c r="K73" s="63">
        <f t="shared" si="56"/>
        <v>3.8</v>
      </c>
      <c r="L73" s="63">
        <f t="shared" si="56"/>
        <v>3.8</v>
      </c>
      <c r="M73" s="63">
        <f t="shared" si="56"/>
        <v>0</v>
      </c>
      <c r="N73" s="63">
        <f t="shared" si="56"/>
        <v>0</v>
      </c>
      <c r="O73" s="63">
        <f t="shared" si="56"/>
        <v>0</v>
      </c>
      <c r="P73" s="63">
        <f t="shared" si="56"/>
        <v>0</v>
      </c>
      <c r="R73" s="63"/>
      <c r="S73" s="63">
        <f>MAX(S5-S39,0)*10</f>
        <v>0</v>
      </c>
      <c r="T73" s="63">
        <f t="shared" ref="T73:AF73" si="57">MAX(T5-T39,0)*10</f>
        <v>0</v>
      </c>
      <c r="U73" s="63">
        <f t="shared" si="57"/>
        <v>0</v>
      </c>
      <c r="V73" s="63">
        <f t="shared" si="57"/>
        <v>32.5</v>
      </c>
      <c r="W73" s="63">
        <f t="shared" si="57"/>
        <v>0</v>
      </c>
      <c r="X73" s="63">
        <f t="shared" si="57"/>
        <v>0</v>
      </c>
      <c r="Y73" s="63">
        <f t="shared" si="57"/>
        <v>0</v>
      </c>
      <c r="Z73" s="63">
        <f t="shared" si="57"/>
        <v>0</v>
      </c>
      <c r="AA73" s="63">
        <f t="shared" si="57"/>
        <v>0</v>
      </c>
      <c r="AB73" s="63">
        <f t="shared" si="57"/>
        <v>0</v>
      </c>
      <c r="AC73" s="63">
        <f t="shared" si="57"/>
        <v>0</v>
      </c>
      <c r="AD73" s="63">
        <f t="shared" si="57"/>
        <v>0</v>
      </c>
      <c r="AE73" s="63">
        <f t="shared" si="57"/>
        <v>0</v>
      </c>
      <c r="AF73" s="63">
        <f t="shared" si="57"/>
        <v>0</v>
      </c>
      <c r="AH73" s="68" t="s">
        <v>82</v>
      </c>
      <c r="AI73" s="82">
        <v>622</v>
      </c>
      <c r="AJ73" s="82">
        <v>105</v>
      </c>
      <c r="AK73" s="82">
        <v>512</v>
      </c>
      <c r="AL73" s="68"/>
      <c r="AM73" s="82">
        <v>5</v>
      </c>
      <c r="AN73" s="73"/>
      <c r="AO73" s="68"/>
      <c r="AP73" s="73">
        <f t="shared" si="55"/>
        <v>512</v>
      </c>
      <c r="AQ73" s="73"/>
      <c r="AR73" s="73"/>
      <c r="AS73" s="73"/>
      <c r="AT73" s="73"/>
      <c r="AU73" s="73"/>
      <c r="AV73" s="73"/>
      <c r="AW73" s="73"/>
      <c r="AX73" s="73"/>
      <c r="AY73" s="73"/>
      <c r="AZ73" s="73"/>
    </row>
    <row r="74" spans="1:52">
      <c r="A74" s="68" t="s">
        <v>84</v>
      </c>
      <c r="B74" s="63"/>
      <c r="C74" s="63">
        <f t="shared" ref="C74:P74" si="58">MAX(C6-C40,0)*10</f>
        <v>0</v>
      </c>
      <c r="D74" s="63">
        <f t="shared" si="58"/>
        <v>1681.4</v>
      </c>
      <c r="E74" s="63">
        <f t="shared" si="58"/>
        <v>0</v>
      </c>
      <c r="F74" s="63">
        <f t="shared" si="58"/>
        <v>0</v>
      </c>
      <c r="G74" s="63">
        <f t="shared" si="58"/>
        <v>0</v>
      </c>
      <c r="H74" s="63">
        <f t="shared" si="58"/>
        <v>683</v>
      </c>
      <c r="I74" s="63">
        <f t="shared" si="58"/>
        <v>1035.9</v>
      </c>
      <c r="J74" s="63">
        <f t="shared" si="58"/>
        <v>180</v>
      </c>
      <c r="K74" s="63">
        <f t="shared" si="58"/>
        <v>2.5</v>
      </c>
      <c r="L74" s="63">
        <f t="shared" si="58"/>
        <v>0</v>
      </c>
      <c r="M74" s="63">
        <f t="shared" si="58"/>
        <v>13</v>
      </c>
      <c r="N74" s="63">
        <f t="shared" si="58"/>
        <v>2.5</v>
      </c>
      <c r="O74" s="63">
        <f t="shared" si="58"/>
        <v>0</v>
      </c>
      <c r="P74" s="63">
        <f t="shared" si="58"/>
        <v>1035.9</v>
      </c>
      <c r="R74" s="63"/>
      <c r="S74" s="63">
        <f t="shared" ref="S74:AF74" si="59">MAX(S6-S40,0)*10</f>
        <v>0</v>
      </c>
      <c r="T74" s="63">
        <f t="shared" si="59"/>
        <v>1601.7</v>
      </c>
      <c r="U74" s="63">
        <f t="shared" si="59"/>
        <v>0</v>
      </c>
      <c r="V74" s="63">
        <f t="shared" si="59"/>
        <v>81.0000000000002</v>
      </c>
      <c r="W74" s="63">
        <f t="shared" si="59"/>
        <v>44.4</v>
      </c>
      <c r="X74" s="63">
        <f t="shared" si="59"/>
        <v>0</v>
      </c>
      <c r="Y74" s="63">
        <f t="shared" si="59"/>
        <v>0</v>
      </c>
      <c r="Z74" s="63">
        <f t="shared" si="59"/>
        <v>0</v>
      </c>
      <c r="AA74" s="63">
        <f t="shared" si="59"/>
        <v>0</v>
      </c>
      <c r="AB74" s="63">
        <f t="shared" si="59"/>
        <v>0</v>
      </c>
      <c r="AC74" s="63">
        <f t="shared" si="59"/>
        <v>0</v>
      </c>
      <c r="AD74" s="63">
        <f t="shared" si="59"/>
        <v>0</v>
      </c>
      <c r="AE74" s="63">
        <f t="shared" si="59"/>
        <v>0</v>
      </c>
      <c r="AF74" s="63">
        <f t="shared" si="59"/>
        <v>0</v>
      </c>
      <c r="AH74" s="68" t="s">
        <v>84</v>
      </c>
      <c r="AI74" s="82">
        <v>1004</v>
      </c>
      <c r="AJ74" s="82">
        <v>1</v>
      </c>
      <c r="AK74" s="82">
        <v>1003</v>
      </c>
      <c r="AL74" s="68"/>
      <c r="AM74" s="68"/>
      <c r="AN74" s="73"/>
      <c r="AO74" s="68"/>
      <c r="AP74" s="73">
        <f t="shared" si="55"/>
        <v>1003</v>
      </c>
      <c r="AQ74" s="73"/>
      <c r="AR74" s="73"/>
      <c r="AS74" s="73"/>
      <c r="AT74" s="73"/>
      <c r="AU74" s="73"/>
      <c r="AV74" s="73"/>
      <c r="AW74" s="73"/>
      <c r="AX74" s="73"/>
      <c r="AY74" s="73"/>
      <c r="AZ74" s="73"/>
    </row>
    <row r="75" spans="1:52">
      <c r="A75" s="68" t="s">
        <v>86</v>
      </c>
      <c r="B75" s="63"/>
      <c r="C75" s="63">
        <f t="shared" ref="C75:P75" si="60">MAX(C7-C41,0)*10</f>
        <v>0</v>
      </c>
      <c r="D75" s="63">
        <f t="shared" si="60"/>
        <v>0</v>
      </c>
      <c r="E75" s="63">
        <f t="shared" si="60"/>
        <v>0</v>
      </c>
      <c r="F75" s="63">
        <f t="shared" si="60"/>
        <v>0</v>
      </c>
      <c r="G75" s="63">
        <f t="shared" si="60"/>
        <v>0</v>
      </c>
      <c r="H75" s="63">
        <f t="shared" si="60"/>
        <v>518.5</v>
      </c>
      <c r="I75" s="63">
        <f t="shared" si="60"/>
        <v>0</v>
      </c>
      <c r="J75" s="63">
        <f t="shared" si="60"/>
        <v>0</v>
      </c>
      <c r="K75" s="63">
        <f t="shared" si="60"/>
        <v>58.3</v>
      </c>
      <c r="L75" s="63">
        <f t="shared" si="60"/>
        <v>8.8</v>
      </c>
      <c r="M75" s="63">
        <f t="shared" si="60"/>
        <v>82.4999999999999</v>
      </c>
      <c r="N75" s="63">
        <f t="shared" si="60"/>
        <v>49.5</v>
      </c>
      <c r="O75" s="63">
        <f t="shared" si="60"/>
        <v>0</v>
      </c>
      <c r="P75" s="63">
        <f t="shared" si="60"/>
        <v>0</v>
      </c>
      <c r="R75" s="63"/>
      <c r="S75" s="63">
        <f t="shared" ref="S75:AF75" si="61">MAX(S7-S41,0)*10</f>
        <v>24.7</v>
      </c>
      <c r="T75" s="63">
        <f t="shared" si="61"/>
        <v>1685.3</v>
      </c>
      <c r="U75" s="63">
        <f t="shared" si="61"/>
        <v>0</v>
      </c>
      <c r="V75" s="63">
        <f t="shared" si="61"/>
        <v>0</v>
      </c>
      <c r="W75" s="63">
        <f t="shared" si="61"/>
        <v>0</v>
      </c>
      <c r="X75" s="63">
        <f t="shared" si="61"/>
        <v>0</v>
      </c>
      <c r="Y75" s="63">
        <f t="shared" si="61"/>
        <v>0</v>
      </c>
      <c r="Z75" s="63">
        <f t="shared" si="61"/>
        <v>0</v>
      </c>
      <c r="AA75" s="63">
        <f t="shared" si="61"/>
        <v>0</v>
      </c>
      <c r="AB75" s="63">
        <f t="shared" si="61"/>
        <v>0</v>
      </c>
      <c r="AC75" s="63">
        <f t="shared" si="61"/>
        <v>0</v>
      </c>
      <c r="AD75" s="63">
        <f t="shared" si="61"/>
        <v>0</v>
      </c>
      <c r="AE75" s="63">
        <f t="shared" si="61"/>
        <v>0</v>
      </c>
      <c r="AF75" s="63">
        <f t="shared" si="61"/>
        <v>0</v>
      </c>
      <c r="AH75" s="68" t="s">
        <v>86</v>
      </c>
      <c r="AI75" s="82">
        <v>3829</v>
      </c>
      <c r="AJ75" s="82">
        <v>179</v>
      </c>
      <c r="AK75" s="82">
        <v>3514</v>
      </c>
      <c r="AL75" s="68"/>
      <c r="AM75" s="82">
        <v>136</v>
      </c>
      <c r="AN75" s="73"/>
      <c r="AO75" s="68"/>
      <c r="AP75" s="73">
        <f t="shared" si="55"/>
        <v>3514</v>
      </c>
      <c r="AQ75" s="73"/>
      <c r="AR75" s="73"/>
      <c r="AS75" s="73"/>
      <c r="AT75" s="73"/>
      <c r="AU75" s="73"/>
      <c r="AV75" s="73"/>
      <c r="AW75" s="73"/>
      <c r="AX75" s="73"/>
      <c r="AY75" s="73"/>
      <c r="AZ75" s="73"/>
    </row>
    <row r="76" spans="1:52">
      <c r="A76" s="68" t="s">
        <v>88</v>
      </c>
      <c r="B76" s="63"/>
      <c r="C76" s="63">
        <f t="shared" ref="C76:P76" si="62">MAX(C8-C42,0)*10</f>
        <v>0</v>
      </c>
      <c r="D76" s="63">
        <f t="shared" si="62"/>
        <v>3614.2</v>
      </c>
      <c r="E76" s="63">
        <f t="shared" si="62"/>
        <v>0</v>
      </c>
      <c r="F76" s="63">
        <f t="shared" si="62"/>
        <v>0</v>
      </c>
      <c r="G76" s="63">
        <f t="shared" si="62"/>
        <v>236.399999999999</v>
      </c>
      <c r="H76" s="63">
        <f t="shared" si="62"/>
        <v>942</v>
      </c>
      <c r="I76" s="63">
        <f t="shared" si="62"/>
        <v>517.4</v>
      </c>
      <c r="J76" s="63">
        <f t="shared" si="62"/>
        <v>0</v>
      </c>
      <c r="K76" s="63">
        <f t="shared" si="62"/>
        <v>38</v>
      </c>
      <c r="L76" s="63">
        <f t="shared" si="62"/>
        <v>0</v>
      </c>
      <c r="M76" s="63">
        <f t="shared" si="62"/>
        <v>147</v>
      </c>
      <c r="N76" s="63">
        <f t="shared" si="62"/>
        <v>178</v>
      </c>
      <c r="O76" s="63">
        <f t="shared" si="62"/>
        <v>2319.8</v>
      </c>
      <c r="P76" s="63">
        <f t="shared" si="62"/>
        <v>657.4</v>
      </c>
      <c r="R76" s="63"/>
      <c r="S76" s="63">
        <f t="shared" ref="S76:AF76" si="63">MAX(S8-S42,0)*10</f>
        <v>17.3099999999999</v>
      </c>
      <c r="T76" s="63">
        <f t="shared" si="63"/>
        <v>7114.17</v>
      </c>
      <c r="U76" s="63">
        <f t="shared" si="63"/>
        <v>0</v>
      </c>
      <c r="V76" s="63">
        <f t="shared" si="63"/>
        <v>0</v>
      </c>
      <c r="W76" s="63">
        <f t="shared" si="63"/>
        <v>0</v>
      </c>
      <c r="X76" s="63">
        <f t="shared" si="63"/>
        <v>0</v>
      </c>
      <c r="Y76" s="63">
        <f t="shared" si="63"/>
        <v>0</v>
      </c>
      <c r="Z76" s="63">
        <f t="shared" si="63"/>
        <v>0</v>
      </c>
      <c r="AA76" s="63">
        <f t="shared" si="63"/>
        <v>0</v>
      </c>
      <c r="AB76" s="63">
        <f t="shared" si="63"/>
        <v>0</v>
      </c>
      <c r="AC76" s="63">
        <f t="shared" si="63"/>
        <v>0</v>
      </c>
      <c r="AD76" s="63">
        <f t="shared" si="63"/>
        <v>0</v>
      </c>
      <c r="AE76" s="63">
        <f t="shared" si="63"/>
        <v>0</v>
      </c>
      <c r="AF76" s="63">
        <f t="shared" si="63"/>
        <v>0</v>
      </c>
      <c r="AH76" s="68" t="s">
        <v>88</v>
      </c>
      <c r="AI76" s="82">
        <v>4088</v>
      </c>
      <c r="AJ76" s="82">
        <v>161</v>
      </c>
      <c r="AK76" s="82">
        <v>3915</v>
      </c>
      <c r="AL76" s="68"/>
      <c r="AM76" s="82">
        <v>12</v>
      </c>
      <c r="AN76" s="73"/>
      <c r="AO76" s="68"/>
      <c r="AP76" s="73">
        <f t="shared" si="55"/>
        <v>3915</v>
      </c>
      <c r="AQ76" s="73"/>
      <c r="AR76" s="73"/>
      <c r="AS76" s="73"/>
      <c r="AT76" s="73"/>
      <c r="AU76" s="73"/>
      <c r="AV76" s="73"/>
      <c r="AW76" s="73"/>
      <c r="AX76" s="73"/>
      <c r="AY76" s="73"/>
      <c r="AZ76" s="73"/>
    </row>
    <row r="77" spans="1:52">
      <c r="A77" s="68" t="s">
        <v>90</v>
      </c>
      <c r="B77" s="63"/>
      <c r="C77" s="63">
        <f t="shared" ref="C77:P77" si="64">MAX(C9-C43,0)*10</f>
        <v>0</v>
      </c>
      <c r="D77" s="63">
        <f t="shared" si="64"/>
        <v>7872</v>
      </c>
      <c r="E77" s="63">
        <f t="shared" si="64"/>
        <v>0</v>
      </c>
      <c r="F77" s="63">
        <f t="shared" si="64"/>
        <v>115.899999999997</v>
      </c>
      <c r="G77" s="63">
        <f t="shared" si="64"/>
        <v>1237.7</v>
      </c>
      <c r="H77" s="63">
        <f t="shared" si="64"/>
        <v>6969</v>
      </c>
      <c r="I77" s="63">
        <f t="shared" si="64"/>
        <v>640</v>
      </c>
      <c r="J77" s="63">
        <f t="shared" si="64"/>
        <v>0</v>
      </c>
      <c r="K77" s="63">
        <f t="shared" si="64"/>
        <v>10.5</v>
      </c>
      <c r="L77" s="63">
        <f t="shared" si="64"/>
        <v>3</v>
      </c>
      <c r="M77" s="63">
        <f t="shared" si="64"/>
        <v>0</v>
      </c>
      <c r="N77" s="63">
        <f t="shared" si="64"/>
        <v>7.5</v>
      </c>
      <c r="O77" s="63">
        <f t="shared" si="64"/>
        <v>429.5</v>
      </c>
      <c r="P77" s="63">
        <f t="shared" si="64"/>
        <v>637</v>
      </c>
      <c r="R77" s="63"/>
      <c r="S77" s="63">
        <f t="shared" ref="S77:AF77" si="65">MAX(S9-S43,0)*10</f>
        <v>263.9</v>
      </c>
      <c r="T77" s="63">
        <f t="shared" si="65"/>
        <v>10534.5</v>
      </c>
      <c r="U77" s="63">
        <f t="shared" si="65"/>
        <v>0</v>
      </c>
      <c r="V77" s="63">
        <f t="shared" si="65"/>
        <v>1604.70000000001</v>
      </c>
      <c r="W77" s="63">
        <f t="shared" si="65"/>
        <v>3377</v>
      </c>
      <c r="X77" s="63">
        <f t="shared" si="65"/>
        <v>0</v>
      </c>
      <c r="Y77" s="63">
        <f t="shared" si="65"/>
        <v>0</v>
      </c>
      <c r="Z77" s="63">
        <f t="shared" si="65"/>
        <v>0</v>
      </c>
      <c r="AA77" s="63">
        <f t="shared" si="65"/>
        <v>0</v>
      </c>
      <c r="AB77" s="63">
        <f t="shared" si="65"/>
        <v>0</v>
      </c>
      <c r="AC77" s="63">
        <f t="shared" si="65"/>
        <v>0</v>
      </c>
      <c r="AD77" s="63">
        <f t="shared" si="65"/>
        <v>0</v>
      </c>
      <c r="AE77" s="63">
        <f t="shared" si="65"/>
        <v>0</v>
      </c>
      <c r="AF77" s="63">
        <f t="shared" si="65"/>
        <v>0</v>
      </c>
      <c r="AH77" s="68" t="s">
        <v>90</v>
      </c>
      <c r="AI77" s="82">
        <v>5556</v>
      </c>
      <c r="AJ77" s="82">
        <v>83</v>
      </c>
      <c r="AK77" s="82">
        <v>4830</v>
      </c>
      <c r="AL77" s="68"/>
      <c r="AM77" s="82">
        <v>642</v>
      </c>
      <c r="AN77" s="73"/>
      <c r="AO77" s="68"/>
      <c r="AP77" s="73">
        <f t="shared" si="55"/>
        <v>4830</v>
      </c>
      <c r="AQ77" s="73"/>
      <c r="AR77" s="73"/>
      <c r="AS77" s="73"/>
      <c r="AT77" s="73"/>
      <c r="AU77" s="73"/>
      <c r="AV77" s="73"/>
      <c r="AW77" s="73"/>
      <c r="AX77" s="73"/>
      <c r="AY77" s="73"/>
      <c r="AZ77" s="73"/>
    </row>
    <row r="78" spans="1:52">
      <c r="A78" s="68" t="s">
        <v>92</v>
      </c>
      <c r="B78" s="63"/>
      <c r="C78" s="63">
        <f t="shared" ref="C78:P78" si="66">MAX(C10-C44,0)*10</f>
        <v>112.8</v>
      </c>
      <c r="D78" s="63">
        <f t="shared" si="66"/>
        <v>3173.9</v>
      </c>
      <c r="E78" s="63">
        <f t="shared" si="66"/>
        <v>0</v>
      </c>
      <c r="F78" s="63">
        <f t="shared" si="66"/>
        <v>182.1</v>
      </c>
      <c r="G78" s="63">
        <f t="shared" si="66"/>
        <v>1778</v>
      </c>
      <c r="H78" s="63">
        <f t="shared" si="66"/>
        <v>2840</v>
      </c>
      <c r="I78" s="63">
        <f t="shared" si="66"/>
        <v>0</v>
      </c>
      <c r="J78" s="63">
        <f t="shared" si="66"/>
        <v>0</v>
      </c>
      <c r="K78" s="63">
        <f t="shared" si="66"/>
        <v>114.8</v>
      </c>
      <c r="L78" s="63">
        <f t="shared" si="66"/>
        <v>30</v>
      </c>
      <c r="M78" s="63">
        <f t="shared" si="66"/>
        <v>179</v>
      </c>
      <c r="N78" s="63">
        <f t="shared" si="66"/>
        <v>84.8</v>
      </c>
      <c r="O78" s="63">
        <f t="shared" si="66"/>
        <v>390.1</v>
      </c>
      <c r="P78" s="63">
        <f t="shared" si="66"/>
        <v>0</v>
      </c>
      <c r="R78" s="63"/>
      <c r="S78" s="63">
        <f t="shared" ref="S78:AF78" si="67">MAX(S10-S44,0)*10</f>
        <v>58.5999999999999</v>
      </c>
      <c r="T78" s="63">
        <f t="shared" si="67"/>
        <v>431.494000000002</v>
      </c>
      <c r="U78" s="63">
        <f t="shared" si="67"/>
        <v>4.80000000000018</v>
      </c>
      <c r="V78" s="63">
        <f t="shared" si="67"/>
        <v>312.6</v>
      </c>
      <c r="W78" s="63">
        <f t="shared" si="67"/>
        <v>166.6</v>
      </c>
      <c r="X78" s="63">
        <f t="shared" si="67"/>
        <v>0</v>
      </c>
      <c r="Y78" s="63">
        <f t="shared" si="67"/>
        <v>0</v>
      </c>
      <c r="Z78" s="63">
        <f t="shared" si="67"/>
        <v>0</v>
      </c>
      <c r="AA78" s="63">
        <f t="shared" si="67"/>
        <v>0</v>
      </c>
      <c r="AB78" s="63">
        <f t="shared" si="67"/>
        <v>0</v>
      </c>
      <c r="AC78" s="63">
        <f t="shared" si="67"/>
        <v>0</v>
      </c>
      <c r="AD78" s="63">
        <f t="shared" si="67"/>
        <v>0</v>
      </c>
      <c r="AE78" s="63">
        <f t="shared" si="67"/>
        <v>0</v>
      </c>
      <c r="AF78" s="63">
        <f t="shared" si="67"/>
        <v>0</v>
      </c>
      <c r="AH78" s="68" t="s">
        <v>92</v>
      </c>
      <c r="AI78" s="82">
        <v>2577</v>
      </c>
      <c r="AJ78" s="82">
        <v>146</v>
      </c>
      <c r="AK78" s="82">
        <v>2256</v>
      </c>
      <c r="AL78" s="68"/>
      <c r="AM78" s="82">
        <v>174</v>
      </c>
      <c r="AN78" s="73"/>
      <c r="AO78" s="68"/>
      <c r="AP78" s="73">
        <f t="shared" si="55"/>
        <v>2256</v>
      </c>
      <c r="AQ78" s="73"/>
      <c r="AR78" s="73"/>
      <c r="AS78" s="73"/>
      <c r="AT78" s="73"/>
      <c r="AU78" s="73"/>
      <c r="AV78" s="73"/>
      <c r="AW78" s="73"/>
      <c r="AX78" s="73"/>
      <c r="AY78" s="73"/>
      <c r="AZ78" s="73"/>
    </row>
    <row r="79" spans="1:52">
      <c r="A79" s="68" t="s">
        <v>94</v>
      </c>
      <c r="B79" s="63"/>
      <c r="C79" s="63">
        <f t="shared" ref="C79:P79" si="68">MAX(C11-C45,0)*10</f>
        <v>0</v>
      </c>
      <c r="D79" s="63">
        <f t="shared" si="68"/>
        <v>941.5</v>
      </c>
      <c r="E79" s="63">
        <f t="shared" si="68"/>
        <v>0</v>
      </c>
      <c r="F79" s="63">
        <f t="shared" si="68"/>
        <v>0</v>
      </c>
      <c r="G79" s="63">
        <f t="shared" si="68"/>
        <v>0</v>
      </c>
      <c r="H79" s="63">
        <f t="shared" si="68"/>
        <v>530</v>
      </c>
      <c r="I79" s="63">
        <f t="shared" si="68"/>
        <v>20</v>
      </c>
      <c r="J79" s="63">
        <f t="shared" si="68"/>
        <v>0</v>
      </c>
      <c r="K79" s="63">
        <f t="shared" si="68"/>
        <v>280</v>
      </c>
      <c r="L79" s="63">
        <f t="shared" si="68"/>
        <v>10</v>
      </c>
      <c r="M79" s="63">
        <f t="shared" si="68"/>
        <v>101.5</v>
      </c>
      <c r="N79" s="63">
        <f t="shared" si="68"/>
        <v>270</v>
      </c>
      <c r="O79" s="63">
        <f t="shared" si="68"/>
        <v>450</v>
      </c>
      <c r="P79" s="63">
        <f t="shared" si="68"/>
        <v>10</v>
      </c>
      <c r="R79" s="63"/>
      <c r="S79" s="63">
        <f t="shared" ref="S79:AF79" si="69">MAX(S11-S45,0)*10</f>
        <v>0</v>
      </c>
      <c r="T79" s="63">
        <f t="shared" si="69"/>
        <v>0</v>
      </c>
      <c r="U79" s="63">
        <f t="shared" si="69"/>
        <v>0</v>
      </c>
      <c r="V79" s="63">
        <f t="shared" si="69"/>
        <v>0</v>
      </c>
      <c r="W79" s="63">
        <f t="shared" si="69"/>
        <v>0</v>
      </c>
      <c r="X79" s="63">
        <f t="shared" si="69"/>
        <v>0</v>
      </c>
      <c r="Y79" s="63">
        <f t="shared" si="69"/>
        <v>0</v>
      </c>
      <c r="Z79" s="63">
        <f t="shared" si="69"/>
        <v>0</v>
      </c>
      <c r="AA79" s="63">
        <f t="shared" si="69"/>
        <v>0</v>
      </c>
      <c r="AB79" s="63">
        <f t="shared" si="69"/>
        <v>0</v>
      </c>
      <c r="AC79" s="63">
        <f t="shared" si="69"/>
        <v>0</v>
      </c>
      <c r="AD79" s="63">
        <f t="shared" si="69"/>
        <v>0</v>
      </c>
      <c r="AE79" s="63">
        <f t="shared" si="69"/>
        <v>0</v>
      </c>
      <c r="AF79" s="63">
        <f t="shared" si="69"/>
        <v>0</v>
      </c>
      <c r="AH79" s="68" t="s">
        <v>94</v>
      </c>
      <c r="AI79" s="82">
        <v>1593</v>
      </c>
      <c r="AJ79" s="82">
        <v>390</v>
      </c>
      <c r="AK79" s="82">
        <v>1056</v>
      </c>
      <c r="AL79" s="68"/>
      <c r="AM79" s="82">
        <v>148</v>
      </c>
      <c r="AN79" s="73"/>
      <c r="AO79" s="68"/>
      <c r="AP79" s="73">
        <f t="shared" si="55"/>
        <v>1056</v>
      </c>
      <c r="AQ79" s="73"/>
      <c r="AR79" s="73"/>
      <c r="AS79" s="73"/>
      <c r="AT79" s="73"/>
      <c r="AU79" s="73"/>
      <c r="AV79" s="73"/>
      <c r="AW79" s="73"/>
      <c r="AX79" s="73"/>
      <c r="AY79" s="73"/>
      <c r="AZ79" s="73"/>
    </row>
    <row r="80" spans="1:52">
      <c r="A80" s="68" t="s">
        <v>96</v>
      </c>
      <c r="B80" s="63"/>
      <c r="C80" s="63">
        <f t="shared" ref="C80:P80" si="70">MAX(C12-C46,0)*10</f>
        <v>256.7</v>
      </c>
      <c r="D80" s="63">
        <f t="shared" si="70"/>
        <v>0</v>
      </c>
      <c r="E80" s="63">
        <f t="shared" si="70"/>
        <v>0</v>
      </c>
      <c r="F80" s="63">
        <f t="shared" si="70"/>
        <v>0</v>
      </c>
      <c r="G80" s="63">
        <f t="shared" si="70"/>
        <v>0</v>
      </c>
      <c r="H80" s="63">
        <f t="shared" si="70"/>
        <v>0</v>
      </c>
      <c r="I80" s="63">
        <f t="shared" si="70"/>
        <v>0</v>
      </c>
      <c r="J80" s="63">
        <f t="shared" si="70"/>
        <v>0</v>
      </c>
      <c r="K80" s="63">
        <f t="shared" si="70"/>
        <v>0</v>
      </c>
      <c r="L80" s="63">
        <f t="shared" si="70"/>
        <v>20</v>
      </c>
      <c r="M80" s="63">
        <f t="shared" si="70"/>
        <v>0</v>
      </c>
      <c r="N80" s="63">
        <f t="shared" si="70"/>
        <v>0</v>
      </c>
      <c r="O80" s="63">
        <f t="shared" si="70"/>
        <v>1331.6</v>
      </c>
      <c r="P80" s="63">
        <f t="shared" si="70"/>
        <v>0</v>
      </c>
      <c r="R80" s="63"/>
      <c r="S80" s="63">
        <f t="shared" ref="S80:AF80" si="71">MAX(S12-S46,0)*10</f>
        <v>54.5999999999999</v>
      </c>
      <c r="T80" s="63">
        <f t="shared" si="71"/>
        <v>1117.9</v>
      </c>
      <c r="U80" s="63">
        <f t="shared" si="71"/>
        <v>0</v>
      </c>
      <c r="V80" s="63">
        <f t="shared" si="71"/>
        <v>0</v>
      </c>
      <c r="W80" s="63">
        <f t="shared" si="71"/>
        <v>20.7999999999998</v>
      </c>
      <c r="X80" s="63">
        <f t="shared" si="71"/>
        <v>0</v>
      </c>
      <c r="Y80" s="63">
        <f t="shared" si="71"/>
        <v>0</v>
      </c>
      <c r="Z80" s="63">
        <f t="shared" si="71"/>
        <v>0</v>
      </c>
      <c r="AA80" s="63">
        <f t="shared" si="71"/>
        <v>0</v>
      </c>
      <c r="AB80" s="63">
        <f t="shared" si="71"/>
        <v>0</v>
      </c>
      <c r="AC80" s="63">
        <f t="shared" si="71"/>
        <v>0</v>
      </c>
      <c r="AD80" s="63">
        <f t="shared" si="71"/>
        <v>0</v>
      </c>
      <c r="AE80" s="63">
        <f t="shared" si="71"/>
        <v>0</v>
      </c>
      <c r="AF80" s="63">
        <f t="shared" si="71"/>
        <v>0</v>
      </c>
      <c r="AH80" s="68" t="s">
        <v>96</v>
      </c>
      <c r="AI80" s="82">
        <v>1886</v>
      </c>
      <c r="AJ80" s="82">
        <v>94</v>
      </c>
      <c r="AK80" s="82">
        <v>1672</v>
      </c>
      <c r="AL80" s="68"/>
      <c r="AM80" s="82">
        <v>120</v>
      </c>
      <c r="AN80" s="73"/>
      <c r="AO80" s="68"/>
      <c r="AP80" s="73">
        <f t="shared" si="55"/>
        <v>1672</v>
      </c>
      <c r="AQ80" s="73"/>
      <c r="AR80" s="73"/>
      <c r="AS80" s="73"/>
      <c r="AT80" s="73"/>
      <c r="AU80" s="73"/>
      <c r="AV80" s="73"/>
      <c r="AW80" s="73"/>
      <c r="AX80" s="73"/>
      <c r="AY80" s="73"/>
      <c r="AZ80" s="73"/>
    </row>
    <row r="81" spans="1:52">
      <c r="A81" s="68" t="s">
        <v>98</v>
      </c>
      <c r="B81" s="63"/>
      <c r="C81" s="63">
        <f t="shared" ref="C81:P81" si="72">MAX(C13-C47,0)*10</f>
        <v>0</v>
      </c>
      <c r="D81" s="63">
        <f t="shared" si="72"/>
        <v>0</v>
      </c>
      <c r="E81" s="63">
        <f t="shared" si="72"/>
        <v>0</v>
      </c>
      <c r="F81" s="63">
        <f t="shared" si="72"/>
        <v>0</v>
      </c>
      <c r="G81" s="63">
        <f t="shared" si="72"/>
        <v>0</v>
      </c>
      <c r="H81" s="63">
        <f t="shared" si="72"/>
        <v>0</v>
      </c>
      <c r="I81" s="63">
        <f t="shared" si="72"/>
        <v>65.9999999999999</v>
      </c>
      <c r="J81" s="63">
        <f t="shared" si="72"/>
        <v>0</v>
      </c>
      <c r="K81" s="63">
        <f t="shared" si="72"/>
        <v>10</v>
      </c>
      <c r="L81" s="63">
        <f t="shared" si="72"/>
        <v>10</v>
      </c>
      <c r="M81" s="63">
        <f t="shared" si="72"/>
        <v>3.99999999999999</v>
      </c>
      <c r="N81" s="63">
        <f t="shared" si="72"/>
        <v>0</v>
      </c>
      <c r="O81" s="63">
        <f t="shared" si="72"/>
        <v>0</v>
      </c>
      <c r="P81" s="63">
        <f t="shared" si="72"/>
        <v>55.9999999999999</v>
      </c>
      <c r="R81" s="63"/>
      <c r="S81" s="63">
        <f t="shared" ref="S81:AF81" si="73">MAX(S13-S47,0)*10</f>
        <v>0</v>
      </c>
      <c r="T81" s="63">
        <f t="shared" si="73"/>
        <v>381.800000000002</v>
      </c>
      <c r="U81" s="63">
        <f t="shared" si="73"/>
        <v>0</v>
      </c>
      <c r="V81" s="63">
        <f t="shared" si="73"/>
        <v>0</v>
      </c>
      <c r="W81" s="63">
        <f t="shared" si="73"/>
        <v>112.2</v>
      </c>
      <c r="X81" s="63">
        <f t="shared" si="73"/>
        <v>0</v>
      </c>
      <c r="Y81" s="63">
        <f t="shared" si="73"/>
        <v>0</v>
      </c>
      <c r="Z81" s="63">
        <f t="shared" si="73"/>
        <v>0</v>
      </c>
      <c r="AA81" s="63">
        <f t="shared" si="73"/>
        <v>0</v>
      </c>
      <c r="AB81" s="63">
        <f t="shared" si="73"/>
        <v>0</v>
      </c>
      <c r="AC81" s="63">
        <f t="shared" si="73"/>
        <v>0</v>
      </c>
      <c r="AD81" s="63">
        <f t="shared" si="73"/>
        <v>0</v>
      </c>
      <c r="AE81" s="63">
        <f t="shared" si="73"/>
        <v>0</v>
      </c>
      <c r="AF81" s="63">
        <f t="shared" si="73"/>
        <v>0</v>
      </c>
      <c r="AH81" s="68" t="s">
        <v>98</v>
      </c>
      <c r="AI81" s="82">
        <v>1658</v>
      </c>
      <c r="AJ81" s="68"/>
      <c r="AK81" s="82">
        <v>1654</v>
      </c>
      <c r="AL81" s="68"/>
      <c r="AM81" s="82">
        <v>4</v>
      </c>
      <c r="AN81" s="82">
        <v>0.21</v>
      </c>
      <c r="AO81" s="82"/>
      <c r="AP81" s="73">
        <f t="shared" si="55"/>
        <v>1654</v>
      </c>
      <c r="AQ81" s="73"/>
      <c r="AR81" s="73"/>
      <c r="AS81" s="73"/>
      <c r="AT81" s="73"/>
      <c r="AU81" s="73"/>
      <c r="AV81" s="73"/>
      <c r="AW81" s="73"/>
      <c r="AX81" s="73"/>
      <c r="AY81" s="73"/>
      <c r="AZ81" s="73"/>
    </row>
    <row r="82" spans="1:52">
      <c r="A82" s="68" t="s">
        <v>100</v>
      </c>
      <c r="B82" s="63"/>
      <c r="C82" s="63">
        <f t="shared" ref="C82:P82" si="74">MAX(C14-C48,0)*10</f>
        <v>0</v>
      </c>
      <c r="D82" s="63">
        <f t="shared" si="74"/>
        <v>0</v>
      </c>
      <c r="E82" s="63">
        <f t="shared" si="74"/>
        <v>1.99999999999989</v>
      </c>
      <c r="F82" s="63">
        <f t="shared" si="74"/>
        <v>0</v>
      </c>
      <c r="G82" s="63">
        <f t="shared" si="74"/>
        <v>0</v>
      </c>
      <c r="H82" s="63">
        <f t="shared" si="74"/>
        <v>0</v>
      </c>
      <c r="I82" s="63">
        <f t="shared" si="74"/>
        <v>0</v>
      </c>
      <c r="J82" s="63">
        <f t="shared" si="74"/>
        <v>0</v>
      </c>
      <c r="K82" s="63">
        <f t="shared" si="74"/>
        <v>60</v>
      </c>
      <c r="L82" s="63">
        <f t="shared" si="74"/>
        <v>70</v>
      </c>
      <c r="M82" s="63">
        <f t="shared" si="74"/>
        <v>0</v>
      </c>
      <c r="N82" s="63">
        <f t="shared" si="74"/>
        <v>0</v>
      </c>
      <c r="O82" s="63">
        <f t="shared" si="74"/>
        <v>147.9</v>
      </c>
      <c r="P82" s="63">
        <f t="shared" si="74"/>
        <v>0</v>
      </c>
      <c r="R82" s="63"/>
      <c r="S82" s="63">
        <f t="shared" ref="S82:AF82" si="75">MAX(S14-S48,0)*10</f>
        <v>2.59999999999991</v>
      </c>
      <c r="T82" s="63">
        <f t="shared" si="75"/>
        <v>3418.56000000001</v>
      </c>
      <c r="U82" s="63">
        <f t="shared" si="75"/>
        <v>120</v>
      </c>
      <c r="V82" s="63">
        <f t="shared" si="75"/>
        <v>677.1</v>
      </c>
      <c r="W82" s="63">
        <f t="shared" si="75"/>
        <v>242.5</v>
      </c>
      <c r="X82" s="63">
        <f t="shared" si="75"/>
        <v>0</v>
      </c>
      <c r="Y82" s="63">
        <f t="shared" si="75"/>
        <v>0</v>
      </c>
      <c r="Z82" s="63">
        <f t="shared" si="75"/>
        <v>0</v>
      </c>
      <c r="AA82" s="63">
        <f t="shared" si="75"/>
        <v>0</v>
      </c>
      <c r="AB82" s="63">
        <f t="shared" si="75"/>
        <v>0</v>
      </c>
      <c r="AC82" s="63">
        <f t="shared" si="75"/>
        <v>0</v>
      </c>
      <c r="AD82" s="63">
        <f t="shared" si="75"/>
        <v>0</v>
      </c>
      <c r="AE82" s="63">
        <f t="shared" si="75"/>
        <v>0</v>
      </c>
      <c r="AF82" s="63">
        <f t="shared" si="75"/>
        <v>0</v>
      </c>
      <c r="AH82" s="68" t="s">
        <v>100</v>
      </c>
      <c r="AI82" s="82">
        <v>5662</v>
      </c>
      <c r="AJ82" s="82">
        <v>114</v>
      </c>
      <c r="AK82" s="82">
        <v>5242</v>
      </c>
      <c r="AL82" s="82">
        <v>212</v>
      </c>
      <c r="AM82" s="82">
        <v>95</v>
      </c>
      <c r="AN82" s="82">
        <v>0.25</v>
      </c>
      <c r="AO82" s="82"/>
      <c r="AP82" s="73">
        <f t="shared" si="55"/>
        <v>5242</v>
      </c>
      <c r="AQ82" s="73"/>
      <c r="AR82" s="73"/>
      <c r="AS82" s="73"/>
      <c r="AT82" s="73"/>
      <c r="AU82" s="73"/>
      <c r="AV82" s="73"/>
      <c r="AW82" s="73"/>
      <c r="AX82" s="73"/>
      <c r="AY82" s="73"/>
      <c r="AZ82" s="73"/>
    </row>
    <row r="83" spans="1:52">
      <c r="A83" s="68" t="s">
        <v>102</v>
      </c>
      <c r="B83" s="63"/>
      <c r="C83" s="63">
        <f t="shared" ref="C83:P83" si="76">MAX(C15-C49,0)*10</f>
        <v>0</v>
      </c>
      <c r="D83" s="63">
        <f t="shared" si="76"/>
        <v>743.6</v>
      </c>
      <c r="E83" s="63">
        <f t="shared" si="76"/>
        <v>38.0000000000001</v>
      </c>
      <c r="F83" s="63">
        <f t="shared" si="76"/>
        <v>0</v>
      </c>
      <c r="G83" s="63">
        <f t="shared" si="76"/>
        <v>0</v>
      </c>
      <c r="H83" s="63">
        <f t="shared" si="76"/>
        <v>1341.9</v>
      </c>
      <c r="I83" s="63">
        <f t="shared" si="76"/>
        <v>0</v>
      </c>
      <c r="J83" s="63">
        <f t="shared" si="76"/>
        <v>0</v>
      </c>
      <c r="K83" s="63">
        <f t="shared" si="76"/>
        <v>33</v>
      </c>
      <c r="L83" s="63">
        <f t="shared" si="76"/>
        <v>60</v>
      </c>
      <c r="M83" s="63">
        <f t="shared" si="76"/>
        <v>0</v>
      </c>
      <c r="N83" s="63">
        <f t="shared" si="76"/>
        <v>0</v>
      </c>
      <c r="O83" s="63">
        <f t="shared" si="76"/>
        <v>0</v>
      </c>
      <c r="P83" s="63">
        <f t="shared" si="76"/>
        <v>0</v>
      </c>
      <c r="R83" s="63"/>
      <c r="S83" s="63">
        <f t="shared" ref="S83:AF83" si="77">MAX(S15-S49,0)*10</f>
        <v>0</v>
      </c>
      <c r="T83" s="63">
        <f t="shared" si="77"/>
        <v>1639.013</v>
      </c>
      <c r="U83" s="63">
        <f t="shared" si="77"/>
        <v>11.9999999999999</v>
      </c>
      <c r="V83" s="63">
        <f t="shared" si="77"/>
        <v>25.0999999999999</v>
      </c>
      <c r="W83" s="63">
        <f t="shared" si="77"/>
        <v>271.300000000003</v>
      </c>
      <c r="X83" s="63">
        <f t="shared" si="77"/>
        <v>0</v>
      </c>
      <c r="Y83" s="63">
        <f t="shared" si="77"/>
        <v>0</v>
      </c>
      <c r="Z83" s="63">
        <f t="shared" si="77"/>
        <v>0</v>
      </c>
      <c r="AA83" s="63">
        <f t="shared" si="77"/>
        <v>0</v>
      </c>
      <c r="AB83" s="63">
        <f t="shared" si="77"/>
        <v>0</v>
      </c>
      <c r="AC83" s="63">
        <f t="shared" si="77"/>
        <v>0</v>
      </c>
      <c r="AD83" s="63">
        <f t="shared" si="77"/>
        <v>0</v>
      </c>
      <c r="AE83" s="63">
        <f t="shared" si="77"/>
        <v>0</v>
      </c>
      <c r="AF83" s="63">
        <f t="shared" si="77"/>
        <v>0</v>
      </c>
      <c r="AH83" s="68" t="s">
        <v>102</v>
      </c>
      <c r="AI83" s="82">
        <v>5610</v>
      </c>
      <c r="AJ83" s="82">
        <v>956</v>
      </c>
      <c r="AK83" s="82">
        <v>4330</v>
      </c>
      <c r="AL83" s="82">
        <v>301</v>
      </c>
      <c r="AM83" s="82">
        <v>23</v>
      </c>
      <c r="AN83" s="73"/>
      <c r="AO83" s="82">
        <v>0.39</v>
      </c>
      <c r="AP83" s="73">
        <f t="shared" si="55"/>
        <v>4330</v>
      </c>
      <c r="AQ83" s="73"/>
      <c r="AR83" s="73"/>
      <c r="AS83" s="73"/>
      <c r="AT83" s="73"/>
      <c r="AU83" s="73"/>
      <c r="AV83" s="73"/>
      <c r="AW83" s="73"/>
      <c r="AX83" s="73"/>
      <c r="AY83" s="73"/>
      <c r="AZ83" s="73"/>
    </row>
    <row r="84" spans="1:52">
      <c r="A84" s="68" t="s">
        <v>104</v>
      </c>
      <c r="B84" s="63"/>
      <c r="C84" s="63">
        <f t="shared" ref="C84:P84" si="78">MAX(C16-C50,0)*10</f>
        <v>0</v>
      </c>
      <c r="D84" s="63">
        <f t="shared" si="78"/>
        <v>2391.4</v>
      </c>
      <c r="E84" s="63">
        <f t="shared" si="78"/>
        <v>0</v>
      </c>
      <c r="F84" s="63">
        <f t="shared" si="78"/>
        <v>40.7999999999998</v>
      </c>
      <c r="G84" s="63">
        <f t="shared" si="78"/>
        <v>0</v>
      </c>
      <c r="H84" s="63">
        <f t="shared" si="78"/>
        <v>2630.3</v>
      </c>
      <c r="I84" s="63">
        <f t="shared" si="78"/>
        <v>8</v>
      </c>
      <c r="J84" s="63">
        <f t="shared" si="78"/>
        <v>0</v>
      </c>
      <c r="K84" s="63">
        <f t="shared" si="78"/>
        <v>0</v>
      </c>
      <c r="L84" s="63">
        <f t="shared" si="78"/>
        <v>10</v>
      </c>
      <c r="M84" s="63">
        <f t="shared" si="78"/>
        <v>42.2</v>
      </c>
      <c r="N84" s="63">
        <f t="shared" si="78"/>
        <v>0</v>
      </c>
      <c r="O84" s="63">
        <f t="shared" si="78"/>
        <v>558.6</v>
      </c>
      <c r="P84" s="63">
        <f t="shared" si="78"/>
        <v>0</v>
      </c>
      <c r="R84" s="63"/>
      <c r="S84" s="63">
        <f t="shared" ref="S84:AF84" si="79">MAX(S16-S50,0)*10</f>
        <v>237.93</v>
      </c>
      <c r="T84" s="63">
        <f t="shared" si="79"/>
        <v>731.899999999996</v>
      </c>
      <c r="U84" s="63">
        <f t="shared" si="79"/>
        <v>0</v>
      </c>
      <c r="V84" s="63">
        <f t="shared" si="79"/>
        <v>0</v>
      </c>
      <c r="W84" s="63">
        <f t="shared" si="79"/>
        <v>1041.2</v>
      </c>
      <c r="X84" s="63">
        <f t="shared" si="79"/>
        <v>0</v>
      </c>
      <c r="Y84" s="63">
        <f t="shared" si="79"/>
        <v>0</v>
      </c>
      <c r="Z84" s="63">
        <f t="shared" si="79"/>
        <v>0</v>
      </c>
      <c r="AA84" s="63">
        <f t="shared" si="79"/>
        <v>0</v>
      </c>
      <c r="AB84" s="63">
        <f t="shared" si="79"/>
        <v>0</v>
      </c>
      <c r="AC84" s="63">
        <f t="shared" si="79"/>
        <v>0</v>
      </c>
      <c r="AD84" s="63">
        <f t="shared" si="79"/>
        <v>0</v>
      </c>
      <c r="AE84" s="63">
        <f t="shared" si="79"/>
        <v>0</v>
      </c>
      <c r="AF84" s="63">
        <f t="shared" si="79"/>
        <v>0</v>
      </c>
      <c r="AH84" s="68" t="s">
        <v>104</v>
      </c>
      <c r="AI84" s="82">
        <v>2841</v>
      </c>
      <c r="AJ84" s="82">
        <v>162</v>
      </c>
      <c r="AK84" s="82">
        <v>2679</v>
      </c>
      <c r="AL84" s="68"/>
      <c r="AM84" s="68"/>
      <c r="AN84" s="73"/>
      <c r="AO84" s="68"/>
      <c r="AP84" s="73">
        <f t="shared" si="55"/>
        <v>2679</v>
      </c>
      <c r="AQ84" s="73"/>
      <c r="AR84" s="73"/>
      <c r="AS84" s="73"/>
      <c r="AT84" s="73"/>
      <c r="AU84" s="73"/>
      <c r="AV84" s="73"/>
      <c r="AW84" s="73"/>
      <c r="AX84" s="73"/>
      <c r="AY84" s="73"/>
      <c r="AZ84" s="73"/>
    </row>
    <row r="85" spans="1:52">
      <c r="A85" s="68" t="s">
        <v>106</v>
      </c>
      <c r="B85" s="63"/>
      <c r="C85" s="63">
        <f t="shared" ref="C85:P85" si="80">MAX(C17-C51,0)*10</f>
        <v>0</v>
      </c>
      <c r="D85" s="63">
        <f t="shared" si="80"/>
        <v>1084.2</v>
      </c>
      <c r="E85" s="63">
        <f t="shared" si="80"/>
        <v>0</v>
      </c>
      <c r="F85" s="63">
        <f t="shared" si="80"/>
        <v>0</v>
      </c>
      <c r="G85" s="63">
        <f t="shared" si="80"/>
        <v>0</v>
      </c>
      <c r="H85" s="63">
        <f t="shared" si="80"/>
        <v>888.9</v>
      </c>
      <c r="I85" s="63">
        <f t="shared" si="80"/>
        <v>25.2</v>
      </c>
      <c r="J85" s="63">
        <f t="shared" si="80"/>
        <v>0</v>
      </c>
      <c r="K85" s="63">
        <f t="shared" si="80"/>
        <v>30</v>
      </c>
      <c r="L85" s="63">
        <f t="shared" si="80"/>
        <v>20</v>
      </c>
      <c r="M85" s="63">
        <f t="shared" si="80"/>
        <v>3.20000000000007</v>
      </c>
      <c r="N85" s="63">
        <f t="shared" si="80"/>
        <v>10</v>
      </c>
      <c r="O85" s="63">
        <f t="shared" si="80"/>
        <v>136.9</v>
      </c>
      <c r="P85" s="63">
        <f t="shared" si="80"/>
        <v>5.2</v>
      </c>
      <c r="R85" s="63"/>
      <c r="S85" s="63">
        <f t="shared" ref="S85:AF85" si="81">MAX(S17-S51,0)*10</f>
        <v>1179.9</v>
      </c>
      <c r="T85" s="63">
        <f t="shared" si="81"/>
        <v>2272.168</v>
      </c>
      <c r="U85" s="63">
        <f t="shared" si="81"/>
        <v>0</v>
      </c>
      <c r="V85" s="63">
        <f t="shared" si="81"/>
        <v>257.2</v>
      </c>
      <c r="W85" s="63">
        <f t="shared" si="81"/>
        <v>14.4999999999999</v>
      </c>
      <c r="X85" s="63">
        <f t="shared" si="81"/>
        <v>0</v>
      </c>
      <c r="Y85" s="63">
        <f t="shared" si="81"/>
        <v>0</v>
      </c>
      <c r="Z85" s="63">
        <f t="shared" si="81"/>
        <v>0</v>
      </c>
      <c r="AA85" s="63">
        <f t="shared" si="81"/>
        <v>0</v>
      </c>
      <c r="AB85" s="63">
        <f t="shared" si="81"/>
        <v>0</v>
      </c>
      <c r="AC85" s="63">
        <f t="shared" si="81"/>
        <v>0</v>
      </c>
      <c r="AD85" s="63">
        <f t="shared" si="81"/>
        <v>0</v>
      </c>
      <c r="AE85" s="63">
        <f t="shared" si="81"/>
        <v>0</v>
      </c>
      <c r="AF85" s="63">
        <f t="shared" si="81"/>
        <v>0</v>
      </c>
      <c r="AH85" s="68" t="s">
        <v>106</v>
      </c>
      <c r="AI85" s="82">
        <v>3036</v>
      </c>
      <c r="AJ85" s="82">
        <v>1098</v>
      </c>
      <c r="AK85" s="82">
        <v>1892</v>
      </c>
      <c r="AL85" s="68"/>
      <c r="AM85" s="82">
        <v>46</v>
      </c>
      <c r="AN85" s="73"/>
      <c r="AO85" s="68"/>
      <c r="AP85" s="73">
        <f t="shared" si="55"/>
        <v>1892</v>
      </c>
      <c r="AQ85" s="73"/>
      <c r="AR85" s="73"/>
      <c r="AS85" s="73"/>
      <c r="AT85" s="73"/>
      <c r="AU85" s="73"/>
      <c r="AV85" s="73"/>
      <c r="AW85" s="73"/>
      <c r="AX85" s="73"/>
      <c r="AY85" s="73"/>
      <c r="AZ85" s="73"/>
    </row>
    <row r="86" spans="1:52">
      <c r="A86" s="68" t="s">
        <v>108</v>
      </c>
      <c r="B86" s="63"/>
      <c r="C86" s="63">
        <f t="shared" ref="C86:P86" si="82">MAX(C18-C52,0)*10</f>
        <v>0</v>
      </c>
      <c r="D86" s="63">
        <f t="shared" si="82"/>
        <v>1126.9</v>
      </c>
      <c r="E86" s="63">
        <f t="shared" si="82"/>
        <v>0</v>
      </c>
      <c r="F86" s="63">
        <f t="shared" si="82"/>
        <v>185.599999999999</v>
      </c>
      <c r="G86" s="63">
        <f t="shared" si="82"/>
        <v>0</v>
      </c>
      <c r="H86" s="63">
        <f t="shared" si="82"/>
        <v>390</v>
      </c>
      <c r="I86" s="63">
        <f t="shared" si="82"/>
        <v>28</v>
      </c>
      <c r="J86" s="63">
        <f t="shared" si="82"/>
        <v>0</v>
      </c>
      <c r="K86" s="63">
        <f t="shared" si="82"/>
        <v>68</v>
      </c>
      <c r="L86" s="63">
        <f t="shared" si="82"/>
        <v>28</v>
      </c>
      <c r="M86" s="63">
        <f t="shared" si="82"/>
        <v>108.5</v>
      </c>
      <c r="N86" s="63">
        <f t="shared" si="82"/>
        <v>40</v>
      </c>
      <c r="O86" s="63">
        <f t="shared" si="82"/>
        <v>700.4</v>
      </c>
      <c r="P86" s="63">
        <f t="shared" si="82"/>
        <v>0</v>
      </c>
      <c r="R86" s="63"/>
      <c r="S86" s="63">
        <f t="shared" ref="S86:AF86" si="83">MAX(S18-S52,0)*10</f>
        <v>807.175</v>
      </c>
      <c r="T86" s="63">
        <f t="shared" si="83"/>
        <v>2035</v>
      </c>
      <c r="U86" s="63">
        <f t="shared" si="83"/>
        <v>0</v>
      </c>
      <c r="V86" s="63">
        <f t="shared" si="83"/>
        <v>137.8</v>
      </c>
      <c r="W86" s="63">
        <f t="shared" si="83"/>
        <v>572.8</v>
      </c>
      <c r="X86" s="63">
        <f t="shared" si="83"/>
        <v>0</v>
      </c>
      <c r="Y86" s="63">
        <f t="shared" si="83"/>
        <v>0</v>
      </c>
      <c r="Z86" s="63">
        <f t="shared" si="83"/>
        <v>0</v>
      </c>
      <c r="AA86" s="63">
        <f t="shared" si="83"/>
        <v>0</v>
      </c>
      <c r="AB86" s="63">
        <f t="shared" si="83"/>
        <v>0</v>
      </c>
      <c r="AC86" s="63">
        <f t="shared" si="83"/>
        <v>0</v>
      </c>
      <c r="AD86" s="63">
        <f t="shared" si="83"/>
        <v>0</v>
      </c>
      <c r="AE86" s="63">
        <f t="shared" si="83"/>
        <v>0</v>
      </c>
      <c r="AF86" s="63">
        <f t="shared" si="83"/>
        <v>0</v>
      </c>
      <c r="AH86" s="68" t="s">
        <v>108</v>
      </c>
      <c r="AI86" s="82">
        <v>1533</v>
      </c>
      <c r="AJ86" s="82">
        <v>377</v>
      </c>
      <c r="AK86" s="82">
        <v>1150</v>
      </c>
      <c r="AL86" s="68"/>
      <c r="AM86" s="82">
        <v>6</v>
      </c>
      <c r="AN86" s="73"/>
      <c r="AO86" s="68"/>
      <c r="AP86" s="73">
        <f t="shared" si="55"/>
        <v>1150</v>
      </c>
      <c r="AQ86" s="73"/>
      <c r="AR86" s="73"/>
      <c r="AS86" s="73"/>
      <c r="AT86" s="73"/>
      <c r="AU86" s="73"/>
      <c r="AV86" s="73"/>
      <c r="AW86" s="73"/>
      <c r="AX86" s="73"/>
      <c r="AY86" s="73"/>
      <c r="AZ86" s="73"/>
    </row>
    <row r="87" spans="1:52">
      <c r="A87" s="68" t="s">
        <v>110</v>
      </c>
      <c r="B87" s="63"/>
      <c r="C87" s="63">
        <f t="shared" ref="C87:P87" si="84">MAX(C19-C53,0)*10</f>
        <v>0</v>
      </c>
      <c r="D87" s="63">
        <f t="shared" si="84"/>
        <v>6343.3</v>
      </c>
      <c r="E87" s="63">
        <f t="shared" si="84"/>
        <v>0</v>
      </c>
      <c r="F87" s="63">
        <f t="shared" si="84"/>
        <v>186.199999999999</v>
      </c>
      <c r="G87" s="63">
        <f t="shared" si="84"/>
        <v>0</v>
      </c>
      <c r="H87" s="63">
        <f t="shared" si="84"/>
        <v>7032</v>
      </c>
      <c r="I87" s="63">
        <f t="shared" si="84"/>
        <v>27.9</v>
      </c>
      <c r="J87" s="63">
        <f t="shared" si="84"/>
        <v>0</v>
      </c>
      <c r="K87" s="63">
        <f t="shared" si="84"/>
        <v>0</v>
      </c>
      <c r="L87" s="63">
        <f t="shared" si="84"/>
        <v>50</v>
      </c>
      <c r="M87" s="63">
        <f t="shared" si="84"/>
        <v>0</v>
      </c>
      <c r="N87" s="63">
        <f t="shared" si="84"/>
        <v>0</v>
      </c>
      <c r="O87" s="63">
        <f t="shared" si="84"/>
        <v>651.7</v>
      </c>
      <c r="P87" s="63">
        <f t="shared" si="84"/>
        <v>0</v>
      </c>
      <c r="R87" s="63"/>
      <c r="S87" s="63">
        <f t="shared" ref="S87:AF87" si="85">MAX(S19-S53,0)*10</f>
        <v>16.6999999999999</v>
      </c>
      <c r="T87" s="63">
        <f t="shared" si="85"/>
        <v>16462.3</v>
      </c>
      <c r="U87" s="63">
        <f t="shared" si="85"/>
        <v>0</v>
      </c>
      <c r="V87" s="63">
        <f t="shared" si="85"/>
        <v>0</v>
      </c>
      <c r="W87" s="63">
        <f t="shared" si="85"/>
        <v>980.900000000001</v>
      </c>
      <c r="X87" s="63">
        <f t="shared" si="85"/>
        <v>0</v>
      </c>
      <c r="Y87" s="63">
        <f t="shared" si="85"/>
        <v>0</v>
      </c>
      <c r="Z87" s="63">
        <f t="shared" si="85"/>
        <v>0</v>
      </c>
      <c r="AA87" s="63">
        <f t="shared" si="85"/>
        <v>0</v>
      </c>
      <c r="AB87" s="63">
        <f t="shared" si="85"/>
        <v>0</v>
      </c>
      <c r="AC87" s="63">
        <f t="shared" si="85"/>
        <v>0</v>
      </c>
      <c r="AD87" s="63">
        <f t="shared" si="85"/>
        <v>0</v>
      </c>
      <c r="AE87" s="63">
        <f t="shared" si="85"/>
        <v>0</v>
      </c>
      <c r="AF87" s="63">
        <f t="shared" si="85"/>
        <v>0</v>
      </c>
      <c r="AH87" s="68" t="s">
        <v>110</v>
      </c>
      <c r="AI87" s="82">
        <v>6079</v>
      </c>
      <c r="AJ87" s="82">
        <v>106</v>
      </c>
      <c r="AK87" s="82">
        <v>5886</v>
      </c>
      <c r="AL87" s="68"/>
      <c r="AM87" s="82">
        <v>86</v>
      </c>
      <c r="AN87" s="73"/>
      <c r="AO87" s="68"/>
      <c r="AP87" s="73">
        <f t="shared" si="55"/>
        <v>5886</v>
      </c>
      <c r="AQ87" s="73"/>
      <c r="AR87" s="73"/>
      <c r="AS87" s="73"/>
      <c r="AT87" s="73"/>
      <c r="AU87" s="73"/>
      <c r="AV87" s="73"/>
      <c r="AW87" s="73"/>
      <c r="AX87" s="73"/>
      <c r="AY87" s="73"/>
      <c r="AZ87" s="73"/>
    </row>
    <row r="88" spans="1:52">
      <c r="A88" s="68" t="s">
        <v>112</v>
      </c>
      <c r="B88" s="63"/>
      <c r="C88" s="63">
        <f t="shared" ref="C88:P88" si="86">MAX(C20-C54,0)*10</f>
        <v>3.1</v>
      </c>
      <c r="D88" s="63">
        <f t="shared" si="86"/>
        <v>2049.2</v>
      </c>
      <c r="E88" s="63">
        <f t="shared" si="86"/>
        <v>0</v>
      </c>
      <c r="F88" s="63">
        <f t="shared" si="86"/>
        <v>0</v>
      </c>
      <c r="G88" s="63">
        <f t="shared" si="86"/>
        <v>0</v>
      </c>
      <c r="H88" s="63">
        <f t="shared" si="86"/>
        <v>1305.5</v>
      </c>
      <c r="I88" s="63">
        <f t="shared" si="86"/>
        <v>894</v>
      </c>
      <c r="J88" s="63">
        <f t="shared" si="86"/>
        <v>0</v>
      </c>
      <c r="K88" s="63">
        <f t="shared" si="86"/>
        <v>127.5</v>
      </c>
      <c r="L88" s="63">
        <f t="shared" si="86"/>
        <v>90</v>
      </c>
      <c r="M88" s="63">
        <f t="shared" si="86"/>
        <v>0</v>
      </c>
      <c r="N88" s="63">
        <f t="shared" si="86"/>
        <v>37.5</v>
      </c>
      <c r="O88" s="63">
        <f t="shared" si="86"/>
        <v>645.2</v>
      </c>
      <c r="P88" s="63">
        <f t="shared" si="86"/>
        <v>804</v>
      </c>
      <c r="R88" s="63"/>
      <c r="S88" s="63">
        <f t="shared" ref="S88:AF88" si="87">MAX(S20-S54,0)*10</f>
        <v>0</v>
      </c>
      <c r="T88" s="63">
        <f t="shared" si="87"/>
        <v>4370.44</v>
      </c>
      <c r="U88" s="63">
        <f t="shared" si="87"/>
        <v>0</v>
      </c>
      <c r="V88" s="63">
        <f t="shared" si="87"/>
        <v>0</v>
      </c>
      <c r="W88" s="63">
        <f t="shared" si="87"/>
        <v>0</v>
      </c>
      <c r="X88" s="63">
        <f t="shared" si="87"/>
        <v>0</v>
      </c>
      <c r="Y88" s="63">
        <f t="shared" si="87"/>
        <v>0</v>
      </c>
      <c r="Z88" s="63">
        <f t="shared" si="87"/>
        <v>0</v>
      </c>
      <c r="AA88" s="63">
        <f t="shared" si="87"/>
        <v>0</v>
      </c>
      <c r="AB88" s="63">
        <f t="shared" si="87"/>
        <v>0</v>
      </c>
      <c r="AC88" s="63">
        <f t="shared" si="87"/>
        <v>0</v>
      </c>
      <c r="AD88" s="63">
        <f t="shared" si="87"/>
        <v>0</v>
      </c>
      <c r="AE88" s="63">
        <f t="shared" si="87"/>
        <v>0</v>
      </c>
      <c r="AF88" s="63">
        <f t="shared" si="87"/>
        <v>0</v>
      </c>
      <c r="AH88" s="68" t="s">
        <v>112</v>
      </c>
      <c r="AI88" s="82">
        <v>4680</v>
      </c>
      <c r="AJ88" s="82">
        <v>365</v>
      </c>
      <c r="AK88" s="82">
        <v>4310</v>
      </c>
      <c r="AL88" s="68"/>
      <c r="AM88" s="82">
        <v>5</v>
      </c>
      <c r="AN88" s="73"/>
      <c r="AO88" s="68"/>
      <c r="AP88" s="73">
        <f t="shared" si="55"/>
        <v>4310</v>
      </c>
      <c r="AQ88" s="73"/>
      <c r="AR88" s="73"/>
      <c r="AS88" s="73"/>
      <c r="AT88" s="73"/>
      <c r="AU88" s="73"/>
      <c r="AV88" s="73"/>
      <c r="AW88" s="73"/>
      <c r="AX88" s="73"/>
      <c r="AY88" s="73"/>
      <c r="AZ88" s="73"/>
    </row>
    <row r="89" spans="1:52">
      <c r="A89" s="68" t="s">
        <v>114</v>
      </c>
      <c r="B89" s="63"/>
      <c r="C89" s="63">
        <f t="shared" ref="C89:P89" si="88">MAX(C21-C55,0)*10</f>
        <v>64.3000000000001</v>
      </c>
      <c r="D89" s="63">
        <f t="shared" si="88"/>
        <v>1366</v>
      </c>
      <c r="E89" s="63">
        <f t="shared" si="88"/>
        <v>0</v>
      </c>
      <c r="F89" s="63">
        <f t="shared" si="88"/>
        <v>0</v>
      </c>
      <c r="G89" s="63">
        <f t="shared" si="88"/>
        <v>0</v>
      </c>
      <c r="H89" s="63">
        <f t="shared" si="88"/>
        <v>1236</v>
      </c>
      <c r="I89" s="63">
        <f t="shared" si="88"/>
        <v>30.1000000000001</v>
      </c>
      <c r="J89" s="63">
        <f t="shared" si="88"/>
        <v>0</v>
      </c>
      <c r="K89" s="63">
        <f t="shared" si="88"/>
        <v>24</v>
      </c>
      <c r="L89" s="63">
        <f t="shared" si="88"/>
        <v>40</v>
      </c>
      <c r="M89" s="63">
        <f t="shared" si="88"/>
        <v>22</v>
      </c>
      <c r="N89" s="63">
        <f t="shared" si="88"/>
        <v>0</v>
      </c>
      <c r="O89" s="63">
        <f t="shared" si="88"/>
        <v>313.9</v>
      </c>
      <c r="P89" s="63">
        <f t="shared" si="88"/>
        <v>0</v>
      </c>
      <c r="R89" s="63"/>
      <c r="S89" s="63">
        <f t="shared" ref="S89:AF89" si="89">MAX(S21-S55,0)*10</f>
        <v>615.884999999996</v>
      </c>
      <c r="T89" s="63">
        <f t="shared" si="89"/>
        <v>1704.8</v>
      </c>
      <c r="U89" s="63">
        <f t="shared" si="89"/>
        <v>0</v>
      </c>
      <c r="V89" s="63">
        <f t="shared" si="89"/>
        <v>0</v>
      </c>
      <c r="W89" s="63">
        <f t="shared" si="89"/>
        <v>0</v>
      </c>
      <c r="X89" s="63">
        <f t="shared" si="89"/>
        <v>0</v>
      </c>
      <c r="Y89" s="63">
        <f t="shared" si="89"/>
        <v>0</v>
      </c>
      <c r="Z89" s="63">
        <f t="shared" si="89"/>
        <v>0</v>
      </c>
      <c r="AA89" s="63">
        <f t="shared" si="89"/>
        <v>0</v>
      </c>
      <c r="AB89" s="63">
        <f t="shared" si="89"/>
        <v>0</v>
      </c>
      <c r="AC89" s="63">
        <f t="shared" si="89"/>
        <v>0</v>
      </c>
      <c r="AD89" s="63">
        <f t="shared" si="89"/>
        <v>0</v>
      </c>
      <c r="AE89" s="63">
        <f t="shared" si="89"/>
        <v>0</v>
      </c>
      <c r="AF89" s="63">
        <f t="shared" si="89"/>
        <v>0</v>
      </c>
      <c r="AH89" s="68" t="s">
        <v>114</v>
      </c>
      <c r="AI89" s="82">
        <v>4569</v>
      </c>
      <c r="AJ89" s="82">
        <v>3001</v>
      </c>
      <c r="AK89" s="82">
        <v>1567</v>
      </c>
      <c r="AL89" s="68"/>
      <c r="AM89" s="82">
        <v>1</v>
      </c>
      <c r="AN89" s="73"/>
      <c r="AO89" s="68"/>
      <c r="AP89" s="73">
        <f t="shared" si="55"/>
        <v>1567</v>
      </c>
      <c r="AQ89" s="73"/>
      <c r="AR89" s="73"/>
      <c r="AS89" s="73"/>
      <c r="AT89" s="73"/>
      <c r="AU89" s="73"/>
      <c r="AV89" s="73"/>
      <c r="AW89" s="73"/>
      <c r="AX89" s="73"/>
      <c r="AY89" s="73"/>
      <c r="AZ89" s="73"/>
    </row>
    <row r="90" spans="1:52">
      <c r="A90" s="68" t="s">
        <v>116</v>
      </c>
      <c r="B90" s="63"/>
      <c r="C90" s="63">
        <f t="shared" ref="C90:P90" si="90">MAX(C22-C56,0)*10</f>
        <v>0</v>
      </c>
      <c r="D90" s="63">
        <f t="shared" si="90"/>
        <v>0</v>
      </c>
      <c r="E90" s="63">
        <f t="shared" si="90"/>
        <v>0</v>
      </c>
      <c r="F90" s="63">
        <f t="shared" si="90"/>
        <v>0</v>
      </c>
      <c r="G90" s="63">
        <f t="shared" si="90"/>
        <v>0</v>
      </c>
      <c r="H90" s="63">
        <f t="shared" si="90"/>
        <v>8.49999999999994</v>
      </c>
      <c r="I90" s="63">
        <f t="shared" si="90"/>
        <v>0</v>
      </c>
      <c r="J90" s="63">
        <f t="shared" si="90"/>
        <v>0</v>
      </c>
      <c r="K90" s="63">
        <f t="shared" si="90"/>
        <v>105</v>
      </c>
      <c r="L90" s="63">
        <f t="shared" si="90"/>
        <v>0</v>
      </c>
      <c r="M90" s="63">
        <f t="shared" si="90"/>
        <v>80</v>
      </c>
      <c r="N90" s="63">
        <f t="shared" si="90"/>
        <v>135</v>
      </c>
      <c r="O90" s="63">
        <f t="shared" si="90"/>
        <v>0</v>
      </c>
      <c r="P90" s="63">
        <f t="shared" si="90"/>
        <v>0</v>
      </c>
      <c r="R90" s="63"/>
      <c r="S90" s="63">
        <f t="shared" ref="S90:AF90" si="91">MAX(S22-S56,0)*10</f>
        <v>1354.03</v>
      </c>
      <c r="T90" s="63">
        <f t="shared" si="91"/>
        <v>3162.3</v>
      </c>
      <c r="U90" s="63">
        <f t="shared" si="91"/>
        <v>0</v>
      </c>
      <c r="V90" s="63">
        <f t="shared" si="91"/>
        <v>0</v>
      </c>
      <c r="W90" s="63">
        <f t="shared" si="91"/>
        <v>65.9000000000003</v>
      </c>
      <c r="X90" s="63">
        <f t="shared" si="91"/>
        <v>0</v>
      </c>
      <c r="Y90" s="63">
        <f t="shared" si="91"/>
        <v>0</v>
      </c>
      <c r="Z90" s="63">
        <f t="shared" si="91"/>
        <v>0</v>
      </c>
      <c r="AA90" s="63">
        <f t="shared" si="91"/>
        <v>0</v>
      </c>
      <c r="AB90" s="63">
        <f t="shared" si="91"/>
        <v>0</v>
      </c>
      <c r="AC90" s="63">
        <f t="shared" si="91"/>
        <v>0</v>
      </c>
      <c r="AD90" s="63">
        <f t="shared" si="91"/>
        <v>0</v>
      </c>
      <c r="AE90" s="63">
        <f t="shared" si="91"/>
        <v>0</v>
      </c>
      <c r="AF90" s="63">
        <f t="shared" si="91"/>
        <v>0</v>
      </c>
      <c r="AH90" s="68" t="s">
        <v>116</v>
      </c>
      <c r="AI90" s="82">
        <v>2736</v>
      </c>
      <c r="AJ90" s="82">
        <v>1146</v>
      </c>
      <c r="AK90" s="82">
        <v>1590</v>
      </c>
      <c r="AL90" s="68"/>
      <c r="AM90" s="82">
        <v>0.2</v>
      </c>
      <c r="AN90" s="73"/>
      <c r="AO90" s="68"/>
      <c r="AP90" s="73">
        <f t="shared" si="55"/>
        <v>1590</v>
      </c>
      <c r="AQ90" s="73"/>
      <c r="AR90" s="73"/>
      <c r="AS90" s="73"/>
      <c r="AT90" s="73"/>
      <c r="AU90" s="73"/>
      <c r="AV90" s="73"/>
      <c r="AW90" s="73"/>
      <c r="AX90" s="73"/>
      <c r="AY90" s="73"/>
      <c r="AZ90" s="73"/>
    </row>
    <row r="91" spans="1:52">
      <c r="A91" s="68" t="s">
        <v>118</v>
      </c>
      <c r="B91" s="63"/>
      <c r="C91" s="63">
        <f t="shared" ref="C91:P91" si="92">MAX(C23-C57,0)*10</f>
        <v>1300</v>
      </c>
      <c r="D91" s="63">
        <f t="shared" si="92"/>
        <v>6099.4</v>
      </c>
      <c r="E91" s="63">
        <f t="shared" si="92"/>
        <v>1.99999999999932</v>
      </c>
      <c r="F91" s="63">
        <f t="shared" si="92"/>
        <v>1249</v>
      </c>
      <c r="G91" s="63">
        <f t="shared" si="92"/>
        <v>3298.5</v>
      </c>
      <c r="H91" s="63">
        <f t="shared" si="92"/>
        <v>3500</v>
      </c>
      <c r="I91" s="63">
        <f t="shared" si="92"/>
        <v>1912.9</v>
      </c>
      <c r="J91" s="63">
        <f t="shared" si="92"/>
        <v>0</v>
      </c>
      <c r="K91" s="63">
        <f t="shared" si="92"/>
        <v>379.3</v>
      </c>
      <c r="L91" s="63">
        <f t="shared" si="92"/>
        <v>109.3</v>
      </c>
      <c r="M91" s="63">
        <f t="shared" si="92"/>
        <v>906.5</v>
      </c>
      <c r="N91" s="63">
        <f t="shared" si="92"/>
        <v>270</v>
      </c>
      <c r="O91" s="63">
        <f t="shared" si="92"/>
        <v>0</v>
      </c>
      <c r="P91" s="63">
        <f t="shared" si="92"/>
        <v>1803.6</v>
      </c>
      <c r="R91" s="63"/>
      <c r="S91" s="63">
        <f t="shared" ref="S91:AF91" si="93">MAX(S23-S57,0)*10</f>
        <v>318.506</v>
      </c>
      <c r="T91" s="63">
        <f t="shared" si="93"/>
        <v>8150.954</v>
      </c>
      <c r="U91" s="63">
        <f t="shared" si="93"/>
        <v>168.200000000001</v>
      </c>
      <c r="V91" s="63">
        <f t="shared" si="93"/>
        <v>615.899999999999</v>
      </c>
      <c r="W91" s="63">
        <f t="shared" si="93"/>
        <v>862.5</v>
      </c>
      <c r="X91" s="63">
        <f t="shared" si="93"/>
        <v>0</v>
      </c>
      <c r="Y91" s="63">
        <f t="shared" si="93"/>
        <v>0</v>
      </c>
      <c r="Z91" s="63">
        <f t="shared" si="93"/>
        <v>0</v>
      </c>
      <c r="AA91" s="63">
        <f t="shared" si="93"/>
        <v>0</v>
      </c>
      <c r="AB91" s="63">
        <f t="shared" si="93"/>
        <v>0</v>
      </c>
      <c r="AC91" s="63">
        <f t="shared" si="93"/>
        <v>0</v>
      </c>
      <c r="AD91" s="63">
        <f t="shared" si="93"/>
        <v>0</v>
      </c>
      <c r="AE91" s="63">
        <f t="shared" si="93"/>
        <v>0</v>
      </c>
      <c r="AF91" s="63">
        <f t="shared" si="93"/>
        <v>0</v>
      </c>
      <c r="AH91" s="68" t="s">
        <v>118</v>
      </c>
      <c r="AI91" s="82">
        <v>6407</v>
      </c>
      <c r="AJ91" s="82">
        <v>1126</v>
      </c>
      <c r="AK91" s="82">
        <v>4830</v>
      </c>
      <c r="AL91" s="82">
        <v>395</v>
      </c>
      <c r="AM91" s="82">
        <v>56</v>
      </c>
      <c r="AN91" s="73"/>
      <c r="AO91" s="68"/>
      <c r="AP91" s="73">
        <f t="shared" si="55"/>
        <v>4830</v>
      </c>
      <c r="AQ91" s="73"/>
      <c r="AR91" s="73"/>
      <c r="AS91" s="73"/>
      <c r="AT91" s="73"/>
      <c r="AU91" s="73"/>
      <c r="AV91" s="73"/>
      <c r="AW91" s="73"/>
      <c r="AX91" s="73"/>
      <c r="AY91" s="73"/>
      <c r="AZ91" s="73"/>
    </row>
    <row r="92" spans="1:52">
      <c r="A92" s="68" t="s">
        <v>120</v>
      </c>
      <c r="B92" s="63"/>
      <c r="C92" s="63">
        <f t="shared" ref="C92:P92" si="94">MAX(C24-C58,0)*10</f>
        <v>0</v>
      </c>
      <c r="D92" s="63">
        <f t="shared" si="94"/>
        <v>123</v>
      </c>
      <c r="E92" s="63">
        <f t="shared" si="94"/>
        <v>0</v>
      </c>
      <c r="F92" s="63">
        <f t="shared" si="94"/>
        <v>0</v>
      </c>
      <c r="G92" s="63">
        <f t="shared" si="94"/>
        <v>705.9</v>
      </c>
      <c r="H92" s="63">
        <f t="shared" si="94"/>
        <v>2209</v>
      </c>
      <c r="I92" s="63">
        <f t="shared" si="94"/>
        <v>50</v>
      </c>
      <c r="J92" s="63">
        <f t="shared" si="94"/>
        <v>0</v>
      </c>
      <c r="K92" s="63">
        <f t="shared" si="94"/>
        <v>0</v>
      </c>
      <c r="L92" s="63">
        <f t="shared" si="94"/>
        <v>20</v>
      </c>
      <c r="M92" s="63">
        <f t="shared" si="94"/>
        <v>14</v>
      </c>
      <c r="N92" s="63">
        <f t="shared" si="94"/>
        <v>0</v>
      </c>
      <c r="O92" s="63">
        <f t="shared" si="94"/>
        <v>0</v>
      </c>
      <c r="P92" s="63">
        <f t="shared" si="94"/>
        <v>30</v>
      </c>
      <c r="R92" s="63"/>
      <c r="S92" s="63">
        <f t="shared" ref="S92:AF92" si="95">MAX(S24-S58,0)*10</f>
        <v>834.473000000002</v>
      </c>
      <c r="T92" s="63">
        <f t="shared" si="95"/>
        <v>3216.38</v>
      </c>
      <c r="U92" s="63">
        <f t="shared" si="95"/>
        <v>0</v>
      </c>
      <c r="V92" s="63">
        <f t="shared" si="95"/>
        <v>0</v>
      </c>
      <c r="W92" s="63">
        <f t="shared" si="95"/>
        <v>31.3</v>
      </c>
      <c r="X92" s="63">
        <f t="shared" si="95"/>
        <v>0</v>
      </c>
      <c r="Y92" s="63">
        <f t="shared" si="95"/>
        <v>0</v>
      </c>
      <c r="Z92" s="63">
        <f t="shared" si="95"/>
        <v>0</v>
      </c>
      <c r="AA92" s="63">
        <f t="shared" si="95"/>
        <v>0</v>
      </c>
      <c r="AB92" s="63">
        <f t="shared" si="95"/>
        <v>0</v>
      </c>
      <c r="AC92" s="63">
        <f t="shared" si="95"/>
        <v>0</v>
      </c>
      <c r="AD92" s="63">
        <f t="shared" si="95"/>
        <v>0</v>
      </c>
      <c r="AE92" s="63">
        <f t="shared" si="95"/>
        <v>0</v>
      </c>
      <c r="AF92" s="63">
        <f t="shared" si="95"/>
        <v>0</v>
      </c>
      <c r="AH92" s="68" t="s">
        <v>120</v>
      </c>
      <c r="AI92" s="82">
        <v>2552</v>
      </c>
      <c r="AJ92" s="82">
        <v>1475</v>
      </c>
      <c r="AK92" s="82">
        <v>1077</v>
      </c>
      <c r="AL92" s="68"/>
      <c r="AM92" s="68"/>
      <c r="AN92" s="73"/>
      <c r="AO92" s="68"/>
      <c r="AP92" s="73">
        <f t="shared" si="55"/>
        <v>1077</v>
      </c>
      <c r="AQ92" s="73"/>
      <c r="AR92" s="73"/>
      <c r="AS92" s="73"/>
      <c r="AT92" s="73"/>
      <c r="AU92" s="73"/>
      <c r="AV92" s="73"/>
      <c r="AW92" s="73"/>
      <c r="AX92" s="73"/>
      <c r="AY92" s="73"/>
      <c r="AZ92" s="73"/>
    </row>
    <row r="93" spans="1:52">
      <c r="A93" s="68" t="s">
        <v>122</v>
      </c>
      <c r="B93" s="63"/>
      <c r="C93" s="63">
        <f t="shared" ref="C93:P93" si="96">MAX(C25-C59,0)*10</f>
        <v>14</v>
      </c>
      <c r="D93" s="63">
        <f t="shared" si="96"/>
        <v>0</v>
      </c>
      <c r="E93" s="63">
        <f t="shared" si="96"/>
        <v>0</v>
      </c>
      <c r="F93" s="63">
        <f t="shared" si="96"/>
        <v>0</v>
      </c>
      <c r="G93" s="63">
        <f t="shared" si="96"/>
        <v>661.1</v>
      </c>
      <c r="H93" s="63">
        <f t="shared" si="96"/>
        <v>0</v>
      </c>
      <c r="I93" s="63">
        <f t="shared" si="96"/>
        <v>0</v>
      </c>
      <c r="J93" s="63">
        <f t="shared" si="96"/>
        <v>0</v>
      </c>
      <c r="K93" s="63">
        <f t="shared" si="96"/>
        <v>250</v>
      </c>
      <c r="L93" s="63">
        <f t="shared" si="96"/>
        <v>10</v>
      </c>
      <c r="M93" s="63">
        <f t="shared" si="96"/>
        <v>84.2</v>
      </c>
      <c r="N93" s="63">
        <f t="shared" si="96"/>
        <v>240</v>
      </c>
      <c r="O93" s="63">
        <f t="shared" si="96"/>
        <v>230</v>
      </c>
      <c r="P93" s="63">
        <f t="shared" si="96"/>
        <v>0</v>
      </c>
      <c r="R93" s="63"/>
      <c r="S93" s="63">
        <f t="shared" ref="S93:AF93" si="97">MAX(S25-S59,0)*10</f>
        <v>172</v>
      </c>
      <c r="T93" s="63">
        <f t="shared" si="97"/>
        <v>355.5</v>
      </c>
      <c r="U93" s="63">
        <f t="shared" si="97"/>
        <v>0</v>
      </c>
      <c r="V93" s="63">
        <f t="shared" si="97"/>
        <v>0</v>
      </c>
      <c r="W93" s="63">
        <f t="shared" si="97"/>
        <v>175</v>
      </c>
      <c r="X93" s="63">
        <f t="shared" si="97"/>
        <v>0</v>
      </c>
      <c r="Y93" s="63">
        <f t="shared" si="97"/>
        <v>0</v>
      </c>
      <c r="Z93" s="63">
        <f t="shared" si="97"/>
        <v>0</v>
      </c>
      <c r="AA93" s="63">
        <f t="shared" si="97"/>
        <v>0</v>
      </c>
      <c r="AB93" s="63">
        <f t="shared" si="97"/>
        <v>0</v>
      </c>
      <c r="AC93" s="63">
        <f t="shared" si="97"/>
        <v>0</v>
      </c>
      <c r="AD93" s="63">
        <f t="shared" si="97"/>
        <v>0</v>
      </c>
      <c r="AE93" s="63">
        <f t="shared" si="97"/>
        <v>0</v>
      </c>
      <c r="AF93" s="63">
        <f t="shared" si="97"/>
        <v>0</v>
      </c>
      <c r="AH93" s="68" t="s">
        <v>122</v>
      </c>
      <c r="AI93" s="82">
        <v>385</v>
      </c>
      <c r="AJ93" s="82">
        <v>70</v>
      </c>
      <c r="AK93" s="82">
        <v>309</v>
      </c>
      <c r="AL93" s="68"/>
      <c r="AM93" s="82">
        <v>6</v>
      </c>
      <c r="AN93" s="73"/>
      <c r="AO93" s="68"/>
      <c r="AP93" s="73">
        <f t="shared" si="55"/>
        <v>309</v>
      </c>
      <c r="AQ93" s="73"/>
      <c r="AR93" s="73"/>
      <c r="AS93" s="73"/>
      <c r="AT93" s="73"/>
      <c r="AU93" s="73"/>
      <c r="AV93" s="73"/>
      <c r="AW93" s="73"/>
      <c r="AX93" s="73"/>
      <c r="AY93" s="73"/>
      <c r="AZ93" s="73"/>
    </row>
    <row r="94" spans="1:52">
      <c r="A94" s="68" t="s">
        <v>124</v>
      </c>
      <c r="B94" s="63"/>
      <c r="C94" s="63">
        <f t="shared" ref="C94:P94" si="98">MAX(C26-C60,0)*10</f>
        <v>0</v>
      </c>
      <c r="D94" s="63">
        <f t="shared" si="98"/>
        <v>856.7</v>
      </c>
      <c r="E94" s="63">
        <f t="shared" si="98"/>
        <v>0</v>
      </c>
      <c r="F94" s="63">
        <f t="shared" si="98"/>
        <v>0</v>
      </c>
      <c r="G94" s="63">
        <f t="shared" si="98"/>
        <v>0</v>
      </c>
      <c r="H94" s="63">
        <f t="shared" si="98"/>
        <v>1418.3</v>
      </c>
      <c r="I94" s="63">
        <f t="shared" si="98"/>
        <v>0</v>
      </c>
      <c r="J94" s="63">
        <f t="shared" si="98"/>
        <v>0</v>
      </c>
      <c r="K94" s="63">
        <f t="shared" si="98"/>
        <v>10</v>
      </c>
      <c r="L94" s="63">
        <f t="shared" si="98"/>
        <v>10</v>
      </c>
      <c r="M94" s="63">
        <f t="shared" si="98"/>
        <v>0</v>
      </c>
      <c r="N94" s="63">
        <f t="shared" si="98"/>
        <v>0</v>
      </c>
      <c r="O94" s="63">
        <f t="shared" si="98"/>
        <v>0</v>
      </c>
      <c r="P94" s="63">
        <f t="shared" si="98"/>
        <v>0</v>
      </c>
      <c r="R94" s="63"/>
      <c r="S94" s="63">
        <f t="shared" ref="S94:AF94" si="99">MAX(S26-S60,0)*10</f>
        <v>348.000000000001</v>
      </c>
      <c r="T94" s="63">
        <f t="shared" si="99"/>
        <v>1881.3</v>
      </c>
      <c r="U94" s="63">
        <f t="shared" si="99"/>
        <v>0</v>
      </c>
      <c r="V94" s="63">
        <f t="shared" si="99"/>
        <v>0</v>
      </c>
      <c r="W94" s="63">
        <f t="shared" si="99"/>
        <v>0</v>
      </c>
      <c r="X94" s="63">
        <f t="shared" si="99"/>
        <v>0</v>
      </c>
      <c r="Y94" s="63">
        <f t="shared" si="99"/>
        <v>0</v>
      </c>
      <c r="Z94" s="63">
        <f t="shared" si="99"/>
        <v>0</v>
      </c>
      <c r="AA94" s="63">
        <f t="shared" si="99"/>
        <v>0</v>
      </c>
      <c r="AB94" s="63">
        <f t="shared" si="99"/>
        <v>0</v>
      </c>
      <c r="AC94" s="63">
        <f t="shared" si="99"/>
        <v>0</v>
      </c>
      <c r="AD94" s="63">
        <f t="shared" si="99"/>
        <v>0</v>
      </c>
      <c r="AE94" s="63">
        <f t="shared" si="99"/>
        <v>0</v>
      </c>
      <c r="AF94" s="63">
        <f t="shared" si="99"/>
        <v>0</v>
      </c>
      <c r="AH94" s="68" t="s">
        <v>124</v>
      </c>
      <c r="AI94" s="82">
        <v>1134</v>
      </c>
      <c r="AJ94" s="82">
        <v>453</v>
      </c>
      <c r="AK94" s="82">
        <v>680</v>
      </c>
      <c r="AL94" s="68"/>
      <c r="AM94" s="82">
        <v>1</v>
      </c>
      <c r="AN94" s="73"/>
      <c r="AO94" s="68"/>
      <c r="AP94" s="73">
        <f t="shared" si="55"/>
        <v>680</v>
      </c>
      <c r="AQ94" s="73"/>
      <c r="AR94" s="73"/>
      <c r="AS94" s="73"/>
      <c r="AT94" s="73"/>
      <c r="AU94" s="73"/>
      <c r="AV94" s="73"/>
      <c r="AW94" s="73"/>
      <c r="AX94" s="73"/>
      <c r="AY94" s="73"/>
      <c r="AZ94" s="73"/>
    </row>
    <row r="95" spans="1:52">
      <c r="A95" s="68" t="s">
        <v>126</v>
      </c>
      <c r="B95" s="63"/>
      <c r="C95" s="63">
        <f t="shared" ref="C95:P95" si="100">MAX(C27-C61,0)*10</f>
        <v>0</v>
      </c>
      <c r="D95" s="63">
        <f t="shared" si="100"/>
        <v>0</v>
      </c>
      <c r="E95" s="63">
        <f t="shared" si="100"/>
        <v>0</v>
      </c>
      <c r="F95" s="63">
        <f t="shared" si="100"/>
        <v>0</v>
      </c>
      <c r="G95" s="63">
        <f t="shared" si="100"/>
        <v>73.0000000000001</v>
      </c>
      <c r="H95" s="63">
        <f t="shared" si="100"/>
        <v>0</v>
      </c>
      <c r="I95" s="63">
        <f t="shared" si="100"/>
        <v>0</v>
      </c>
      <c r="J95" s="63">
        <f t="shared" si="100"/>
        <v>0</v>
      </c>
      <c r="K95" s="63">
        <f t="shared" si="100"/>
        <v>65.1</v>
      </c>
      <c r="L95" s="63">
        <f t="shared" si="100"/>
        <v>41.1</v>
      </c>
      <c r="M95" s="63">
        <f t="shared" si="100"/>
        <v>0</v>
      </c>
      <c r="N95" s="63">
        <f t="shared" si="100"/>
        <v>24</v>
      </c>
      <c r="O95" s="63">
        <f t="shared" si="100"/>
        <v>681.3</v>
      </c>
      <c r="P95" s="63">
        <f t="shared" si="100"/>
        <v>0</v>
      </c>
      <c r="R95" s="63"/>
      <c r="S95" s="63">
        <f t="shared" ref="S95:AF95" si="101">MAX(S27-S61,0)*10</f>
        <v>7581.025</v>
      </c>
      <c r="T95" s="63">
        <f t="shared" si="101"/>
        <v>2050.1</v>
      </c>
      <c r="U95" s="63">
        <f t="shared" si="101"/>
        <v>0</v>
      </c>
      <c r="V95" s="63">
        <f t="shared" si="101"/>
        <v>0</v>
      </c>
      <c r="W95" s="63">
        <f t="shared" si="101"/>
        <v>0</v>
      </c>
      <c r="X95" s="63">
        <f t="shared" si="101"/>
        <v>0</v>
      </c>
      <c r="Y95" s="63">
        <f t="shared" si="101"/>
        <v>0</v>
      </c>
      <c r="Z95" s="63">
        <f t="shared" si="101"/>
        <v>0</v>
      </c>
      <c r="AA95" s="63">
        <f t="shared" si="101"/>
        <v>0</v>
      </c>
      <c r="AB95" s="63">
        <f t="shared" si="101"/>
        <v>0</v>
      </c>
      <c r="AC95" s="63">
        <f t="shared" si="101"/>
        <v>0</v>
      </c>
      <c r="AD95" s="63">
        <f t="shared" si="101"/>
        <v>0</v>
      </c>
      <c r="AE95" s="63">
        <f t="shared" si="101"/>
        <v>0</v>
      </c>
      <c r="AF95" s="63">
        <f t="shared" si="101"/>
        <v>0</v>
      </c>
      <c r="AH95" s="68" t="s">
        <v>126</v>
      </c>
      <c r="AI95" s="82">
        <v>3808</v>
      </c>
      <c r="AJ95" s="82">
        <v>2581</v>
      </c>
      <c r="AK95" s="82">
        <v>1227</v>
      </c>
      <c r="AL95" s="68"/>
      <c r="AM95" s="68"/>
      <c r="AN95" s="73"/>
      <c r="AO95" s="68"/>
      <c r="AP95" s="73">
        <f t="shared" si="55"/>
        <v>1227</v>
      </c>
      <c r="AQ95" s="73"/>
      <c r="AR95" s="73"/>
      <c r="AS95" s="73"/>
      <c r="AT95" s="73"/>
      <c r="AU95" s="73"/>
      <c r="AV95" s="73"/>
      <c r="AW95" s="73"/>
      <c r="AX95" s="73"/>
      <c r="AY95" s="73"/>
      <c r="AZ95" s="73"/>
    </row>
    <row r="96" spans="1:52">
      <c r="A96" s="68" t="s">
        <v>128</v>
      </c>
      <c r="B96" s="63"/>
      <c r="C96" s="63">
        <f t="shared" ref="C96:P96" si="102">MAX(C28-C62,0)*10</f>
        <v>1426</v>
      </c>
      <c r="D96" s="63">
        <f t="shared" si="102"/>
        <v>4343.7</v>
      </c>
      <c r="E96" s="63">
        <f t="shared" si="102"/>
        <v>0</v>
      </c>
      <c r="F96" s="63">
        <f t="shared" si="102"/>
        <v>0</v>
      </c>
      <c r="G96" s="63">
        <f t="shared" si="102"/>
        <v>3221.5</v>
      </c>
      <c r="H96" s="63">
        <f t="shared" si="102"/>
        <v>3830</v>
      </c>
      <c r="I96" s="63">
        <f t="shared" si="102"/>
        <v>563.7</v>
      </c>
      <c r="J96" s="63">
        <f t="shared" si="102"/>
        <v>0</v>
      </c>
      <c r="K96" s="63">
        <f t="shared" si="102"/>
        <v>60</v>
      </c>
      <c r="L96" s="63">
        <f t="shared" si="102"/>
        <v>0</v>
      </c>
      <c r="M96" s="63">
        <f t="shared" si="102"/>
        <v>0</v>
      </c>
      <c r="N96" s="63">
        <f t="shared" si="102"/>
        <v>60</v>
      </c>
      <c r="O96" s="63">
        <f t="shared" si="102"/>
        <v>60</v>
      </c>
      <c r="P96" s="63">
        <f t="shared" si="102"/>
        <v>563.7</v>
      </c>
      <c r="R96" s="63"/>
      <c r="S96" s="63">
        <f t="shared" ref="S96:AF96" si="103">MAX(S28-S62,0)*10</f>
        <v>3162.6</v>
      </c>
      <c r="T96" s="63">
        <f t="shared" si="103"/>
        <v>293</v>
      </c>
      <c r="U96" s="63">
        <f t="shared" si="103"/>
        <v>0</v>
      </c>
      <c r="V96" s="63">
        <f t="shared" si="103"/>
        <v>282.4</v>
      </c>
      <c r="W96" s="63">
        <f t="shared" si="103"/>
        <v>430</v>
      </c>
      <c r="X96" s="63">
        <f t="shared" si="103"/>
        <v>0</v>
      </c>
      <c r="Y96" s="63">
        <f t="shared" si="103"/>
        <v>0</v>
      </c>
      <c r="Z96" s="63">
        <f t="shared" si="103"/>
        <v>0</v>
      </c>
      <c r="AA96" s="63">
        <f t="shared" si="103"/>
        <v>0</v>
      </c>
      <c r="AB96" s="63">
        <f t="shared" si="103"/>
        <v>0</v>
      </c>
      <c r="AC96" s="63">
        <f t="shared" si="103"/>
        <v>0</v>
      </c>
      <c r="AD96" s="63">
        <f t="shared" si="103"/>
        <v>0</v>
      </c>
      <c r="AE96" s="63">
        <f t="shared" si="103"/>
        <v>0</v>
      </c>
      <c r="AF96" s="63">
        <f t="shared" si="103"/>
        <v>0</v>
      </c>
      <c r="AH96" s="68" t="s">
        <v>128</v>
      </c>
      <c r="AI96" s="82">
        <v>3091</v>
      </c>
      <c r="AJ96" s="82">
        <v>1361</v>
      </c>
      <c r="AK96" s="82">
        <v>1731</v>
      </c>
      <c r="AL96" s="68"/>
      <c r="AM96" s="68"/>
      <c r="AN96" s="73"/>
      <c r="AO96" s="68"/>
      <c r="AP96" s="73">
        <f t="shared" si="55"/>
        <v>1731</v>
      </c>
      <c r="AQ96" s="73"/>
      <c r="AR96" s="73"/>
      <c r="AS96" s="73"/>
      <c r="AT96" s="73"/>
      <c r="AU96" s="73"/>
      <c r="AV96" s="73"/>
      <c r="AW96" s="73"/>
      <c r="AX96" s="73"/>
      <c r="AY96" s="73"/>
      <c r="AZ96" s="73"/>
    </row>
    <row r="97" spans="1:52">
      <c r="A97" s="68" t="s">
        <v>130</v>
      </c>
      <c r="B97" s="63"/>
      <c r="C97" s="63">
        <f t="shared" ref="C97:P97" si="104">MAX(C29-C63,0)*10</f>
        <v>3253</v>
      </c>
      <c r="D97" s="63">
        <f t="shared" si="104"/>
        <v>0</v>
      </c>
      <c r="E97" s="63">
        <f t="shared" si="104"/>
        <v>0</v>
      </c>
      <c r="F97" s="63">
        <f t="shared" si="104"/>
        <v>578</v>
      </c>
      <c r="G97" s="63">
        <f t="shared" si="104"/>
        <v>838</v>
      </c>
      <c r="H97" s="63">
        <f t="shared" si="104"/>
        <v>0</v>
      </c>
      <c r="I97" s="63">
        <f t="shared" si="104"/>
        <v>10</v>
      </c>
      <c r="J97" s="63">
        <f t="shared" si="104"/>
        <v>0</v>
      </c>
      <c r="K97" s="63">
        <f t="shared" si="104"/>
        <v>74</v>
      </c>
      <c r="L97" s="63">
        <f t="shared" si="104"/>
        <v>4</v>
      </c>
      <c r="M97" s="63">
        <f t="shared" si="104"/>
        <v>75</v>
      </c>
      <c r="N97" s="63">
        <f t="shared" si="104"/>
        <v>70</v>
      </c>
      <c r="O97" s="63">
        <f t="shared" si="104"/>
        <v>0</v>
      </c>
      <c r="P97" s="63">
        <f t="shared" si="104"/>
        <v>6</v>
      </c>
      <c r="R97" s="63"/>
      <c r="S97" s="63">
        <f t="shared" ref="S97:AF97" si="105">MAX(S29-S63,0)*10</f>
        <v>598.732</v>
      </c>
      <c r="T97" s="63">
        <f t="shared" si="105"/>
        <v>3662</v>
      </c>
      <c r="U97" s="63">
        <f t="shared" si="105"/>
        <v>0</v>
      </c>
      <c r="V97" s="63">
        <f t="shared" si="105"/>
        <v>165.300000000001</v>
      </c>
      <c r="W97" s="63">
        <f t="shared" si="105"/>
        <v>1566</v>
      </c>
      <c r="X97" s="63">
        <f t="shared" si="105"/>
        <v>0</v>
      </c>
      <c r="Y97" s="63">
        <f t="shared" si="105"/>
        <v>0</v>
      </c>
      <c r="Z97" s="63">
        <f t="shared" si="105"/>
        <v>0</v>
      </c>
      <c r="AA97" s="63">
        <f t="shared" si="105"/>
        <v>0</v>
      </c>
      <c r="AB97" s="63">
        <f t="shared" si="105"/>
        <v>0</v>
      </c>
      <c r="AC97" s="63">
        <f t="shared" si="105"/>
        <v>0</v>
      </c>
      <c r="AD97" s="63">
        <f t="shared" si="105"/>
        <v>0</v>
      </c>
      <c r="AE97" s="63">
        <f t="shared" si="105"/>
        <v>0</v>
      </c>
      <c r="AF97" s="63">
        <f t="shared" si="105"/>
        <v>0</v>
      </c>
      <c r="AH97" s="68" t="s">
        <v>130</v>
      </c>
      <c r="AI97" s="82">
        <v>3169</v>
      </c>
      <c r="AJ97" s="82">
        <v>2090</v>
      </c>
      <c r="AK97" s="82">
        <v>1071</v>
      </c>
      <c r="AL97" s="68"/>
      <c r="AM97" s="82">
        <v>8</v>
      </c>
      <c r="AN97" s="73"/>
      <c r="AO97" s="68"/>
      <c r="AP97" s="73">
        <f t="shared" si="55"/>
        <v>1071</v>
      </c>
      <c r="AQ97" s="73"/>
      <c r="AR97" s="73"/>
      <c r="AS97" s="73"/>
      <c r="AT97" s="73"/>
      <c r="AU97" s="73"/>
      <c r="AV97" s="73"/>
      <c r="AW97" s="73"/>
      <c r="AX97" s="73"/>
      <c r="AY97" s="73"/>
      <c r="AZ97" s="73"/>
    </row>
    <row r="98" spans="1:52">
      <c r="A98" s="68" t="s">
        <v>132</v>
      </c>
      <c r="B98" s="63"/>
      <c r="C98" s="63">
        <f t="shared" ref="C98:P98" si="106">MAX(C30-C64,0)*10</f>
        <v>0</v>
      </c>
      <c r="D98" s="63">
        <f t="shared" si="106"/>
        <v>30</v>
      </c>
      <c r="E98" s="63">
        <f t="shared" si="106"/>
        <v>0</v>
      </c>
      <c r="F98" s="63">
        <f t="shared" si="106"/>
        <v>0</v>
      </c>
      <c r="G98" s="63">
        <f t="shared" si="106"/>
        <v>58.9999999999999</v>
      </c>
      <c r="H98" s="63">
        <f t="shared" si="106"/>
        <v>10</v>
      </c>
      <c r="I98" s="63">
        <f t="shared" si="106"/>
        <v>0</v>
      </c>
      <c r="J98" s="63">
        <f t="shared" si="106"/>
        <v>0</v>
      </c>
      <c r="K98" s="63">
        <f t="shared" si="106"/>
        <v>0</v>
      </c>
      <c r="L98" s="63">
        <f t="shared" si="106"/>
        <v>0</v>
      </c>
      <c r="M98" s="63">
        <f t="shared" si="106"/>
        <v>20</v>
      </c>
      <c r="N98" s="63">
        <f t="shared" si="106"/>
        <v>0</v>
      </c>
      <c r="O98" s="63">
        <f t="shared" si="106"/>
        <v>0</v>
      </c>
      <c r="P98" s="63">
        <f t="shared" si="106"/>
        <v>0</v>
      </c>
      <c r="R98" s="63"/>
      <c r="S98" s="63">
        <f t="shared" ref="S98:AF98" si="107">MAX(S30-S64,0)*10</f>
        <v>0</v>
      </c>
      <c r="T98" s="63">
        <f t="shared" si="107"/>
        <v>123.3</v>
      </c>
      <c r="U98" s="63">
        <f t="shared" si="107"/>
        <v>0</v>
      </c>
      <c r="V98" s="63">
        <f t="shared" si="107"/>
        <v>2.5</v>
      </c>
      <c r="W98" s="63">
        <f t="shared" si="107"/>
        <v>75</v>
      </c>
      <c r="X98" s="63">
        <f t="shared" si="107"/>
        <v>0</v>
      </c>
      <c r="Y98" s="63">
        <f t="shared" si="107"/>
        <v>0</v>
      </c>
      <c r="Z98" s="63">
        <f t="shared" si="107"/>
        <v>0</v>
      </c>
      <c r="AA98" s="63">
        <f t="shared" si="107"/>
        <v>0</v>
      </c>
      <c r="AB98" s="63">
        <f t="shared" si="107"/>
        <v>0</v>
      </c>
      <c r="AC98" s="63">
        <f t="shared" si="107"/>
        <v>0</v>
      </c>
      <c r="AD98" s="63">
        <f t="shared" si="107"/>
        <v>0</v>
      </c>
      <c r="AE98" s="63">
        <f t="shared" si="107"/>
        <v>0</v>
      </c>
      <c r="AF98" s="63">
        <f t="shared" si="107"/>
        <v>0</v>
      </c>
      <c r="AH98" s="68" t="s">
        <v>132</v>
      </c>
      <c r="AI98" s="82">
        <v>57</v>
      </c>
      <c r="AJ98" s="82">
        <v>44</v>
      </c>
      <c r="AK98" s="82">
        <v>10</v>
      </c>
      <c r="AL98" s="68"/>
      <c r="AM98" s="68"/>
      <c r="AN98" s="73"/>
      <c r="AO98" s="82">
        <v>2.43</v>
      </c>
      <c r="AP98" s="73">
        <f t="shared" si="55"/>
        <v>10</v>
      </c>
      <c r="AQ98" s="73"/>
      <c r="AR98" s="73"/>
      <c r="AS98" s="73"/>
      <c r="AT98" s="73"/>
      <c r="AU98" s="73"/>
      <c r="AV98" s="73"/>
      <c r="AW98" s="73"/>
      <c r="AX98" s="73"/>
      <c r="AY98" s="73"/>
      <c r="AZ98" s="73"/>
    </row>
    <row r="99" spans="1:52">
      <c r="A99" s="68" t="s">
        <v>134</v>
      </c>
      <c r="B99" s="63"/>
      <c r="C99" s="63">
        <f t="shared" ref="C99:P99" si="108">MAX(C31-C65,0)*10</f>
        <v>0</v>
      </c>
      <c r="D99" s="63">
        <f t="shared" si="108"/>
        <v>4698.7</v>
      </c>
      <c r="E99" s="63">
        <f t="shared" si="108"/>
        <v>0</v>
      </c>
      <c r="F99" s="63">
        <f t="shared" si="108"/>
        <v>592.2</v>
      </c>
      <c r="G99" s="63">
        <f t="shared" si="108"/>
        <v>1599.1</v>
      </c>
      <c r="H99" s="63">
        <f t="shared" si="108"/>
        <v>3545</v>
      </c>
      <c r="I99" s="63">
        <f t="shared" si="108"/>
        <v>220</v>
      </c>
      <c r="J99" s="63">
        <f t="shared" si="108"/>
        <v>0</v>
      </c>
      <c r="K99" s="63">
        <f t="shared" si="108"/>
        <v>50</v>
      </c>
      <c r="L99" s="63">
        <f t="shared" si="108"/>
        <v>20</v>
      </c>
      <c r="M99" s="63">
        <f t="shared" si="108"/>
        <v>91.5</v>
      </c>
      <c r="N99" s="63">
        <f t="shared" si="108"/>
        <v>30</v>
      </c>
      <c r="O99" s="63">
        <f t="shared" si="108"/>
        <v>932.2</v>
      </c>
      <c r="P99" s="63">
        <f t="shared" si="108"/>
        <v>200</v>
      </c>
      <c r="R99" s="63"/>
      <c r="S99" s="63">
        <f t="shared" ref="S99:AF99" si="109">MAX(S31-S65,0)*10</f>
        <v>341.3</v>
      </c>
      <c r="T99" s="63">
        <f t="shared" si="109"/>
        <v>1300</v>
      </c>
      <c r="U99" s="63">
        <f t="shared" si="109"/>
        <v>0</v>
      </c>
      <c r="V99" s="63">
        <f t="shared" si="109"/>
        <v>0</v>
      </c>
      <c r="W99" s="63">
        <f t="shared" si="109"/>
        <v>0</v>
      </c>
      <c r="X99" s="63">
        <f t="shared" si="109"/>
        <v>0</v>
      </c>
      <c r="Y99" s="63">
        <f t="shared" si="109"/>
        <v>0</v>
      </c>
      <c r="Z99" s="63">
        <f t="shared" si="109"/>
        <v>0</v>
      </c>
      <c r="AA99" s="63">
        <f t="shared" si="109"/>
        <v>0</v>
      </c>
      <c r="AB99" s="63">
        <f t="shared" si="109"/>
        <v>0</v>
      </c>
      <c r="AC99" s="63">
        <f t="shared" si="109"/>
        <v>0</v>
      </c>
      <c r="AD99" s="63">
        <f t="shared" si="109"/>
        <v>0</v>
      </c>
      <c r="AE99" s="63">
        <f t="shared" si="109"/>
        <v>0</v>
      </c>
      <c r="AF99" s="63">
        <f t="shared" si="109"/>
        <v>0</v>
      </c>
      <c r="AH99" s="68" t="s">
        <v>134</v>
      </c>
      <c r="AI99" s="82">
        <v>2181</v>
      </c>
      <c r="AJ99" s="82">
        <v>192</v>
      </c>
      <c r="AK99" s="82">
        <v>1990</v>
      </c>
      <c r="AL99" s="68"/>
      <c r="AM99" s="68"/>
      <c r="AN99" s="73"/>
      <c r="AO99" s="68"/>
      <c r="AP99" s="73">
        <f t="shared" si="55"/>
        <v>1990</v>
      </c>
      <c r="AQ99" s="73"/>
      <c r="AR99" s="73"/>
      <c r="AS99" s="73"/>
      <c r="AT99" s="73"/>
      <c r="AU99" s="73"/>
      <c r="AV99" s="73"/>
      <c r="AW99" s="73"/>
      <c r="AX99" s="73"/>
      <c r="AY99" s="73"/>
      <c r="AZ99" s="73"/>
    </row>
    <row r="100" spans="1:52">
      <c r="A100" s="68" t="s">
        <v>136</v>
      </c>
      <c r="B100" s="63"/>
      <c r="C100" s="63">
        <f t="shared" ref="C100:P100" si="110">MAX(C32-C66,0)*10</f>
        <v>0</v>
      </c>
      <c r="D100" s="63">
        <f t="shared" si="110"/>
        <v>191</v>
      </c>
      <c r="E100" s="63">
        <f t="shared" si="110"/>
        <v>0</v>
      </c>
      <c r="F100" s="63">
        <f t="shared" si="110"/>
        <v>37.0999999999998</v>
      </c>
      <c r="G100" s="63">
        <f t="shared" si="110"/>
        <v>0</v>
      </c>
      <c r="H100" s="63">
        <f t="shared" si="110"/>
        <v>261</v>
      </c>
      <c r="I100" s="63">
        <f t="shared" si="110"/>
        <v>0</v>
      </c>
      <c r="J100" s="63">
        <f t="shared" si="110"/>
        <v>0</v>
      </c>
      <c r="K100" s="63">
        <f t="shared" si="110"/>
        <v>0</v>
      </c>
      <c r="L100" s="63">
        <f t="shared" si="110"/>
        <v>0</v>
      </c>
      <c r="M100" s="63">
        <f t="shared" si="110"/>
        <v>0</v>
      </c>
      <c r="N100" s="63">
        <f t="shared" si="110"/>
        <v>0</v>
      </c>
      <c r="O100" s="63">
        <f t="shared" si="110"/>
        <v>20</v>
      </c>
      <c r="P100" s="63">
        <f t="shared" si="110"/>
        <v>0</v>
      </c>
      <c r="R100" s="63"/>
      <c r="S100" s="63">
        <f t="shared" ref="S100:AF100" si="111">MAX(S32-S66,0)*10</f>
        <v>1027</v>
      </c>
      <c r="T100" s="63">
        <f t="shared" si="111"/>
        <v>1931.9</v>
      </c>
      <c r="U100" s="63">
        <f t="shared" si="111"/>
        <v>0</v>
      </c>
      <c r="V100" s="63">
        <f t="shared" si="111"/>
        <v>0</v>
      </c>
      <c r="W100" s="63">
        <f t="shared" si="111"/>
        <v>0</v>
      </c>
      <c r="X100" s="63">
        <f t="shared" si="111"/>
        <v>0</v>
      </c>
      <c r="Y100" s="63">
        <f t="shared" si="111"/>
        <v>0</v>
      </c>
      <c r="Z100" s="63">
        <f t="shared" si="111"/>
        <v>0</v>
      </c>
      <c r="AA100" s="63">
        <f t="shared" si="111"/>
        <v>0</v>
      </c>
      <c r="AB100" s="63">
        <f t="shared" si="111"/>
        <v>0</v>
      </c>
      <c r="AC100" s="63">
        <f t="shared" si="111"/>
        <v>0</v>
      </c>
      <c r="AD100" s="63">
        <f t="shared" si="111"/>
        <v>0</v>
      </c>
      <c r="AE100" s="63">
        <f t="shared" si="111"/>
        <v>0</v>
      </c>
      <c r="AF100" s="63">
        <f t="shared" si="111"/>
        <v>0</v>
      </c>
      <c r="AH100" s="68" t="s">
        <v>136</v>
      </c>
      <c r="AI100" s="82">
        <v>1767</v>
      </c>
      <c r="AJ100" s="82">
        <v>594</v>
      </c>
      <c r="AK100" s="82">
        <v>1099</v>
      </c>
      <c r="AL100" s="68"/>
      <c r="AM100" s="82">
        <v>75</v>
      </c>
      <c r="AN100" s="73"/>
      <c r="AO100" s="68"/>
      <c r="AP100" s="73">
        <f t="shared" si="55"/>
        <v>1099</v>
      </c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</row>
    <row r="101" spans="1:52">
      <c r="A101" s="68" t="s">
        <v>138</v>
      </c>
      <c r="B101" s="63"/>
      <c r="C101" s="63">
        <f t="shared" ref="C101:P101" si="112">MAX(C33-C67,0)*10</f>
        <v>0</v>
      </c>
      <c r="D101" s="63">
        <f t="shared" si="112"/>
        <v>0</v>
      </c>
      <c r="E101" s="63">
        <f t="shared" si="112"/>
        <v>0</v>
      </c>
      <c r="F101" s="63">
        <f t="shared" si="112"/>
        <v>0</v>
      </c>
      <c r="G101" s="63">
        <f t="shared" si="112"/>
        <v>0</v>
      </c>
      <c r="H101" s="63">
        <f t="shared" si="112"/>
        <v>0</v>
      </c>
      <c r="I101" s="63">
        <f t="shared" si="112"/>
        <v>0</v>
      </c>
      <c r="J101" s="63">
        <f t="shared" si="112"/>
        <v>0</v>
      </c>
      <c r="K101" s="63">
        <f t="shared" si="112"/>
        <v>10</v>
      </c>
      <c r="L101" s="63">
        <f t="shared" si="112"/>
        <v>10</v>
      </c>
      <c r="M101" s="63">
        <f t="shared" si="112"/>
        <v>0</v>
      </c>
      <c r="N101" s="63">
        <f t="shared" si="112"/>
        <v>0</v>
      </c>
      <c r="O101" s="63">
        <f t="shared" si="112"/>
        <v>156</v>
      </c>
      <c r="P101" s="63">
        <f t="shared" si="112"/>
        <v>0</v>
      </c>
      <c r="R101" s="63"/>
      <c r="S101" s="63">
        <f t="shared" ref="S101:AF101" si="113">MAX(S33-S67,0)*10</f>
        <v>0</v>
      </c>
      <c r="T101" s="63">
        <f t="shared" si="113"/>
        <v>0</v>
      </c>
      <c r="U101" s="63">
        <f t="shared" si="113"/>
        <v>0</v>
      </c>
      <c r="V101" s="63">
        <f t="shared" si="113"/>
        <v>0</v>
      </c>
      <c r="W101" s="63">
        <f t="shared" si="113"/>
        <v>959.400000000001</v>
      </c>
      <c r="X101" s="63">
        <f t="shared" si="113"/>
        <v>0</v>
      </c>
      <c r="Y101" s="63">
        <f t="shared" si="113"/>
        <v>0</v>
      </c>
      <c r="Z101" s="63">
        <f t="shared" si="113"/>
        <v>0</v>
      </c>
      <c r="AA101" s="63">
        <f t="shared" si="113"/>
        <v>0</v>
      </c>
      <c r="AB101" s="63">
        <f t="shared" si="113"/>
        <v>0</v>
      </c>
      <c r="AC101" s="63">
        <f t="shared" si="113"/>
        <v>0</v>
      </c>
      <c r="AD101" s="63">
        <f t="shared" si="113"/>
        <v>0</v>
      </c>
      <c r="AE101" s="63">
        <f t="shared" si="113"/>
        <v>0</v>
      </c>
      <c r="AF101" s="63">
        <f t="shared" si="113"/>
        <v>0</v>
      </c>
      <c r="AH101" s="68" t="s">
        <v>138</v>
      </c>
      <c r="AI101" s="82">
        <v>1067</v>
      </c>
      <c r="AJ101" s="82">
        <v>874</v>
      </c>
      <c r="AK101" s="82">
        <v>193</v>
      </c>
      <c r="AL101" s="68"/>
      <c r="AM101" s="68"/>
      <c r="AN101" s="73"/>
      <c r="AO101" s="68"/>
      <c r="AP101" s="73">
        <f t="shared" si="55"/>
        <v>193</v>
      </c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</row>
    <row r="102" spans="1:52">
      <c r="A102" s="68" t="s">
        <v>140</v>
      </c>
      <c r="B102" s="63"/>
      <c r="C102" s="63">
        <f t="shared" ref="C102:P102" si="114">MAX(C34-C68,0)*10</f>
        <v>0</v>
      </c>
      <c r="D102" s="63">
        <f t="shared" si="114"/>
        <v>1885.5</v>
      </c>
      <c r="E102" s="63">
        <f t="shared" si="114"/>
        <v>0</v>
      </c>
      <c r="F102" s="63">
        <f t="shared" si="114"/>
        <v>0</v>
      </c>
      <c r="G102" s="63">
        <f t="shared" si="114"/>
        <v>0</v>
      </c>
      <c r="H102" s="63">
        <f t="shared" si="114"/>
        <v>1910</v>
      </c>
      <c r="I102" s="63">
        <f t="shared" si="114"/>
        <v>0</v>
      </c>
      <c r="J102" s="63">
        <f t="shared" si="114"/>
        <v>0</v>
      </c>
      <c r="K102" s="63">
        <f t="shared" si="114"/>
        <v>30</v>
      </c>
      <c r="L102" s="63">
        <f t="shared" si="114"/>
        <v>0</v>
      </c>
      <c r="M102" s="63">
        <f t="shared" si="114"/>
        <v>18</v>
      </c>
      <c r="N102" s="63">
        <f t="shared" si="114"/>
        <v>30</v>
      </c>
      <c r="O102" s="63">
        <f t="shared" si="114"/>
        <v>247.5</v>
      </c>
      <c r="P102" s="63">
        <f t="shared" si="114"/>
        <v>0</v>
      </c>
      <c r="R102" s="63"/>
      <c r="S102" s="63">
        <f t="shared" ref="S102:AF102" si="115">MAX(S34-S68,0)*10</f>
        <v>0</v>
      </c>
      <c r="T102" s="63">
        <f t="shared" si="115"/>
        <v>1283</v>
      </c>
      <c r="U102" s="63">
        <f t="shared" si="115"/>
        <v>0</v>
      </c>
      <c r="V102" s="63">
        <f t="shared" si="115"/>
        <v>0</v>
      </c>
      <c r="W102" s="63">
        <f t="shared" si="115"/>
        <v>415.799999999998</v>
      </c>
      <c r="X102" s="63">
        <f t="shared" si="115"/>
        <v>0</v>
      </c>
      <c r="Y102" s="63">
        <f t="shared" si="115"/>
        <v>0</v>
      </c>
      <c r="Z102" s="63">
        <f t="shared" si="115"/>
        <v>0</v>
      </c>
      <c r="AA102" s="63">
        <f t="shared" si="115"/>
        <v>0</v>
      </c>
      <c r="AB102" s="63">
        <f t="shared" si="115"/>
        <v>0</v>
      </c>
      <c r="AC102" s="63">
        <f t="shared" si="115"/>
        <v>0</v>
      </c>
      <c r="AD102" s="63">
        <f t="shared" si="115"/>
        <v>0</v>
      </c>
      <c r="AE102" s="63">
        <f t="shared" si="115"/>
        <v>0</v>
      </c>
      <c r="AF102" s="63">
        <f t="shared" si="115"/>
        <v>0</v>
      </c>
      <c r="AH102" s="68" t="s">
        <v>140</v>
      </c>
      <c r="AI102" s="82">
        <v>952</v>
      </c>
      <c r="AJ102" s="82">
        <v>43</v>
      </c>
      <c r="AK102" s="82">
        <v>882</v>
      </c>
      <c r="AL102" s="68"/>
      <c r="AM102" s="82">
        <v>25</v>
      </c>
      <c r="AN102" s="82">
        <v>2.03</v>
      </c>
      <c r="AO102" s="82"/>
      <c r="AP102" s="73">
        <f t="shared" si="55"/>
        <v>882</v>
      </c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</row>
    <row r="103" spans="1:52">
      <c r="A103" s="68" t="s">
        <v>142</v>
      </c>
      <c r="B103" s="63"/>
      <c r="C103" s="63">
        <f t="shared" ref="C103:P103" si="116">MAX(C35-C69,0)*10</f>
        <v>0</v>
      </c>
      <c r="D103" s="63">
        <f t="shared" si="116"/>
        <v>6337.3</v>
      </c>
      <c r="E103" s="63">
        <f t="shared" si="116"/>
        <v>0</v>
      </c>
      <c r="F103" s="63">
        <f t="shared" si="116"/>
        <v>0</v>
      </c>
      <c r="G103" s="63">
        <f t="shared" si="116"/>
        <v>263.3</v>
      </c>
      <c r="H103" s="63">
        <f t="shared" si="116"/>
        <v>6329.2</v>
      </c>
      <c r="I103" s="63">
        <f t="shared" si="116"/>
        <v>0</v>
      </c>
      <c r="J103" s="63">
        <f t="shared" si="116"/>
        <v>0</v>
      </c>
      <c r="K103" s="63">
        <f t="shared" si="116"/>
        <v>0</v>
      </c>
      <c r="L103" s="63">
        <f t="shared" si="116"/>
        <v>0</v>
      </c>
      <c r="M103" s="63">
        <f t="shared" si="116"/>
        <v>36</v>
      </c>
      <c r="N103" s="63">
        <f t="shared" si="116"/>
        <v>0</v>
      </c>
      <c r="O103" s="63">
        <f t="shared" si="116"/>
        <v>252.9</v>
      </c>
      <c r="P103" s="63">
        <f t="shared" si="116"/>
        <v>0</v>
      </c>
      <c r="R103" s="63"/>
      <c r="S103" s="63">
        <f t="shared" ref="S103:AF103" si="117">MAX(S35-S69,0)*10</f>
        <v>0</v>
      </c>
      <c r="T103" s="63">
        <f t="shared" si="117"/>
        <v>12219.1</v>
      </c>
      <c r="U103" s="63">
        <f t="shared" si="117"/>
        <v>0</v>
      </c>
      <c r="V103" s="63">
        <f t="shared" si="117"/>
        <v>0</v>
      </c>
      <c r="W103" s="63">
        <f t="shared" si="117"/>
        <v>0</v>
      </c>
      <c r="X103" s="63">
        <f t="shared" si="117"/>
        <v>0</v>
      </c>
      <c r="Y103" s="63">
        <f t="shared" si="117"/>
        <v>0</v>
      </c>
      <c r="Z103" s="63">
        <f t="shared" si="117"/>
        <v>0</v>
      </c>
      <c r="AA103" s="63">
        <f t="shared" si="117"/>
        <v>0</v>
      </c>
      <c r="AB103" s="63">
        <f t="shared" si="117"/>
        <v>0</v>
      </c>
      <c r="AC103" s="63">
        <f t="shared" si="117"/>
        <v>0</v>
      </c>
      <c r="AD103" s="63">
        <f t="shared" si="117"/>
        <v>0</v>
      </c>
      <c r="AE103" s="63">
        <f t="shared" si="117"/>
        <v>0</v>
      </c>
      <c r="AF103" s="63">
        <f t="shared" si="117"/>
        <v>0</v>
      </c>
      <c r="AH103" s="68" t="s">
        <v>142</v>
      </c>
      <c r="AI103" s="82">
        <v>1280</v>
      </c>
      <c r="AJ103" s="82">
        <v>243</v>
      </c>
      <c r="AK103" s="82">
        <v>952</v>
      </c>
      <c r="AL103" s="68"/>
      <c r="AM103" s="82">
        <v>86</v>
      </c>
      <c r="AN103" s="73"/>
      <c r="AO103" s="68"/>
      <c r="AP103" s="73">
        <f t="shared" si="55"/>
        <v>952</v>
      </c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</row>
    <row r="105" spans="1:52">
      <c r="AH105" s="73"/>
      <c r="AI105" s="73" t="s">
        <v>2345</v>
      </c>
      <c r="AJ105" s="73" t="s">
        <v>2345</v>
      </c>
      <c r="AK105" s="73" t="s">
        <v>2345</v>
      </c>
      <c r="AL105" s="73" t="s">
        <v>2345</v>
      </c>
      <c r="AM105" s="73" t="s">
        <v>2345</v>
      </c>
      <c r="AN105" s="73" t="s">
        <v>2345</v>
      </c>
      <c r="AO105" s="73" t="s">
        <v>2345</v>
      </c>
    </row>
    <row r="106" spans="1:52">
      <c r="AH106" s="83" t="s">
        <v>80</v>
      </c>
      <c r="AI106" s="76">
        <v>71822</v>
      </c>
      <c r="AJ106" s="76">
        <v>14823</v>
      </c>
      <c r="AK106" s="76">
        <v>55607</v>
      </c>
      <c r="AL106" s="76">
        <v>885</v>
      </c>
      <c r="AM106" s="76">
        <v>420</v>
      </c>
      <c r="AN106" s="76"/>
      <c r="AO106" s="76">
        <v>3.53</v>
      </c>
    </row>
    <row r="107" spans="1:52">
      <c r="AH107" s="84" t="s">
        <v>82</v>
      </c>
      <c r="AI107" s="76">
        <v>495</v>
      </c>
      <c r="AJ107" s="76">
        <v>105</v>
      </c>
      <c r="AK107" s="76">
        <v>390</v>
      </c>
      <c r="AL107" s="76"/>
      <c r="AM107" s="76"/>
      <c r="AN107" s="76"/>
      <c r="AO107" s="76"/>
    </row>
    <row r="108" spans="1:52">
      <c r="AH108" s="84" t="s">
        <v>84</v>
      </c>
      <c r="AI108" s="76">
        <v>693</v>
      </c>
      <c r="AJ108" s="76">
        <v>1</v>
      </c>
      <c r="AK108" s="76">
        <v>692</v>
      </c>
      <c r="AL108" s="76"/>
      <c r="AM108" s="76"/>
      <c r="AN108" s="76"/>
      <c r="AO108" s="76"/>
    </row>
    <row r="109" spans="1:52">
      <c r="AH109" s="84" t="s">
        <v>86</v>
      </c>
      <c r="AI109" s="76">
        <v>3021</v>
      </c>
      <c r="AJ109" s="76">
        <v>78</v>
      </c>
      <c r="AK109" s="76">
        <v>2902</v>
      </c>
      <c r="AL109" s="76"/>
      <c r="AM109" s="76">
        <v>41</v>
      </c>
      <c r="AN109" s="76"/>
      <c r="AO109" s="76"/>
    </row>
    <row r="110" spans="1:52">
      <c r="AH110" s="84" t="s">
        <v>88</v>
      </c>
      <c r="AI110" s="76">
        <v>3174</v>
      </c>
      <c r="AJ110" s="76">
        <v>79</v>
      </c>
      <c r="AK110" s="76">
        <v>3095</v>
      </c>
      <c r="AL110" s="76"/>
      <c r="AM110" s="76"/>
      <c r="AN110" s="76"/>
      <c r="AO110" s="76"/>
    </row>
    <row r="111" spans="1:52">
      <c r="AH111" s="84" t="s">
        <v>90</v>
      </c>
      <c r="AI111" s="76">
        <v>4179</v>
      </c>
      <c r="AJ111" s="76">
        <v>83</v>
      </c>
      <c r="AK111" s="76">
        <v>3987</v>
      </c>
      <c r="AL111" s="76"/>
      <c r="AM111" s="76">
        <v>108</v>
      </c>
      <c r="AN111" s="76"/>
      <c r="AO111" s="76"/>
    </row>
    <row r="112" spans="1:52">
      <c r="AH112" s="84" t="s">
        <v>92</v>
      </c>
      <c r="AI112" s="76">
        <v>2150</v>
      </c>
      <c r="AJ112" s="76">
        <v>141</v>
      </c>
      <c r="AK112" s="76">
        <v>1972</v>
      </c>
      <c r="AL112" s="76"/>
      <c r="AM112" s="76">
        <v>35</v>
      </c>
      <c r="AN112" s="76"/>
      <c r="AO112" s="76">
        <v>0.9</v>
      </c>
    </row>
    <row r="113" spans="34:41">
      <c r="AH113" s="84" t="s">
        <v>94</v>
      </c>
      <c r="AI113" s="76">
        <v>1198</v>
      </c>
      <c r="AJ113" s="76">
        <v>389</v>
      </c>
      <c r="AK113" s="76">
        <v>758</v>
      </c>
      <c r="AL113" s="76"/>
      <c r="AM113" s="76">
        <v>47</v>
      </c>
      <c r="AN113" s="76"/>
      <c r="AO113" s="76"/>
    </row>
    <row r="114" spans="34:41">
      <c r="AH114" s="84" t="s">
        <v>96</v>
      </c>
      <c r="AI114" s="76">
        <v>1518</v>
      </c>
      <c r="AJ114" s="76">
        <v>87</v>
      </c>
      <c r="AK114" s="76">
        <v>1408</v>
      </c>
      <c r="AL114" s="76"/>
      <c r="AM114" s="76">
        <v>23</v>
      </c>
      <c r="AN114" s="76"/>
      <c r="AO114" s="76"/>
    </row>
    <row r="115" spans="34:41">
      <c r="AH115" s="84" t="s">
        <v>98</v>
      </c>
      <c r="AI115" s="76">
        <v>1442</v>
      </c>
      <c r="AJ115" s="76"/>
      <c r="AK115" s="76">
        <v>1415</v>
      </c>
      <c r="AL115" s="76"/>
      <c r="AM115" s="76">
        <v>2</v>
      </c>
      <c r="AN115" s="76"/>
      <c r="AO115" s="76">
        <v>0.22</v>
      </c>
    </row>
    <row r="116" spans="34:41">
      <c r="AH116" s="84" t="s">
        <v>100</v>
      </c>
      <c r="AI116" s="76">
        <v>5599</v>
      </c>
      <c r="AJ116" s="76">
        <v>14</v>
      </c>
      <c r="AK116" s="76">
        <v>5334</v>
      </c>
      <c r="AL116" s="76">
        <v>200</v>
      </c>
      <c r="AM116" s="76">
        <v>25</v>
      </c>
      <c r="AN116" s="76"/>
      <c r="AO116" s="76"/>
    </row>
    <row r="117" spans="34:41">
      <c r="AH117" s="84" t="s">
        <v>102</v>
      </c>
      <c r="AI117" s="76">
        <v>5112</v>
      </c>
      <c r="AJ117" s="76">
        <v>852</v>
      </c>
      <c r="AK117" s="76">
        <v>3949</v>
      </c>
      <c r="AL117" s="76">
        <v>307</v>
      </c>
      <c r="AM117" s="76">
        <v>4</v>
      </c>
      <c r="AN117" s="76"/>
      <c r="AO117" s="76"/>
    </row>
    <row r="118" spans="34:41">
      <c r="AH118" s="84" t="s">
        <v>104</v>
      </c>
      <c r="AI118" s="76">
        <v>1927</v>
      </c>
      <c r="AJ118" s="76">
        <v>151</v>
      </c>
      <c r="AK118" s="76">
        <v>1776</v>
      </c>
      <c r="AL118" s="76"/>
      <c r="AM118" s="76"/>
      <c r="AN118" s="76"/>
      <c r="AO118" s="76"/>
    </row>
    <row r="119" spans="34:41">
      <c r="AH119" s="84" t="s">
        <v>106</v>
      </c>
      <c r="AI119" s="76">
        <v>2398</v>
      </c>
      <c r="AJ119" s="76">
        <v>980</v>
      </c>
      <c r="AK119" s="76">
        <v>1391</v>
      </c>
      <c r="AL119" s="76"/>
      <c r="AM119" s="76">
        <v>23</v>
      </c>
      <c r="AN119" s="76"/>
      <c r="AO119" s="76"/>
    </row>
    <row r="120" spans="34:41">
      <c r="AH120" s="84" t="s">
        <v>108</v>
      </c>
      <c r="AI120" s="76">
        <v>1284</v>
      </c>
      <c r="AJ120" s="76">
        <v>357</v>
      </c>
      <c r="AK120" s="76">
        <v>927</v>
      </c>
      <c r="AL120" s="76"/>
      <c r="AM120" s="76"/>
      <c r="AN120" s="76"/>
      <c r="AO120" s="76"/>
    </row>
    <row r="121" spans="34:41">
      <c r="AH121" s="84" t="s">
        <v>110</v>
      </c>
      <c r="AI121" s="76">
        <v>5540</v>
      </c>
      <c r="AJ121" s="76">
        <v>105</v>
      </c>
      <c r="AK121" s="76">
        <v>5414</v>
      </c>
      <c r="AL121" s="76"/>
      <c r="AM121" s="76">
        <v>21</v>
      </c>
      <c r="AN121" s="76"/>
      <c r="AO121" s="76"/>
    </row>
    <row r="122" spans="34:41">
      <c r="AH122" s="84" t="s">
        <v>112</v>
      </c>
      <c r="AI122" s="76">
        <v>4129</v>
      </c>
      <c r="AJ122" s="76">
        <v>274</v>
      </c>
      <c r="AK122" s="76">
        <v>3854</v>
      </c>
      <c r="AL122" s="76"/>
      <c r="AM122" s="76"/>
      <c r="AN122" s="76"/>
      <c r="AO122" s="76"/>
    </row>
    <row r="123" spans="34:41">
      <c r="AH123" s="84" t="s">
        <v>114</v>
      </c>
      <c r="AI123" s="76">
        <v>3708</v>
      </c>
      <c r="AJ123" s="76">
        <v>2402</v>
      </c>
      <c r="AK123" s="76">
        <v>1304</v>
      </c>
      <c r="AL123" s="76"/>
      <c r="AM123" s="76">
        <v>1</v>
      </c>
      <c r="AN123" s="76"/>
      <c r="AO123" s="76"/>
    </row>
    <row r="124" spans="34:41">
      <c r="AH124" s="84" t="s">
        <v>116</v>
      </c>
      <c r="AI124" s="76">
        <v>2260</v>
      </c>
      <c r="AJ124" s="76">
        <v>922</v>
      </c>
      <c r="AK124" s="76">
        <v>1336</v>
      </c>
      <c r="AL124" s="76"/>
      <c r="AM124" s="76"/>
      <c r="AN124" s="76"/>
      <c r="AO124" s="76"/>
    </row>
    <row r="125" spans="34:41">
      <c r="AH125" s="84" t="s">
        <v>118</v>
      </c>
      <c r="AI125" s="76">
        <v>5886</v>
      </c>
      <c r="AJ125" s="76">
        <v>1011</v>
      </c>
      <c r="AK125" s="76">
        <v>4471</v>
      </c>
      <c r="AL125" s="76">
        <v>378</v>
      </c>
      <c r="AM125" s="76">
        <v>25</v>
      </c>
      <c r="AN125" s="76"/>
      <c r="AO125" s="76"/>
    </row>
    <row r="126" spans="34:41">
      <c r="AH126" s="84" t="s">
        <v>120</v>
      </c>
      <c r="AI126" s="76">
        <v>1975</v>
      </c>
      <c r="AJ126" s="76">
        <v>1044</v>
      </c>
      <c r="AK126" s="76">
        <v>931</v>
      </c>
      <c r="AL126" s="76"/>
      <c r="AM126" s="76"/>
      <c r="AN126" s="76"/>
      <c r="AO126" s="76"/>
    </row>
    <row r="127" spans="34:41">
      <c r="AH127" s="84" t="s">
        <v>122</v>
      </c>
      <c r="AI127" s="76">
        <v>302</v>
      </c>
      <c r="AJ127" s="76">
        <v>59</v>
      </c>
      <c r="AK127" s="76">
        <v>240</v>
      </c>
      <c r="AL127" s="76"/>
      <c r="AM127" s="76">
        <v>1</v>
      </c>
      <c r="AN127" s="76"/>
      <c r="AO127" s="76"/>
    </row>
    <row r="128" spans="34:41">
      <c r="AH128" s="84" t="s">
        <v>124</v>
      </c>
      <c r="AI128" s="76">
        <v>863</v>
      </c>
      <c r="AJ128" s="76">
        <v>224</v>
      </c>
      <c r="AK128" s="76">
        <v>637</v>
      </c>
      <c r="AL128" s="76"/>
      <c r="AM128" s="76"/>
      <c r="AN128" s="76"/>
      <c r="AO128" s="76"/>
    </row>
    <row r="129" spans="34:41">
      <c r="AH129" s="84" t="s">
        <v>126</v>
      </c>
      <c r="AI129" s="76">
        <v>3186</v>
      </c>
      <c r="AJ129" s="76">
        <v>1986</v>
      </c>
      <c r="AK129" s="76">
        <v>1200</v>
      </c>
      <c r="AL129" s="76"/>
      <c r="AM129" s="76"/>
      <c r="AN129" s="76"/>
      <c r="AO129" s="76"/>
    </row>
    <row r="130" spans="34:41">
      <c r="AH130" s="84" t="s">
        <v>128</v>
      </c>
      <c r="AI130" s="76">
        <v>2417</v>
      </c>
      <c r="AJ130" s="76">
        <v>821</v>
      </c>
      <c r="AK130" s="76">
        <v>1596</v>
      </c>
      <c r="AL130" s="76"/>
      <c r="AM130" s="76"/>
      <c r="AN130" s="76"/>
      <c r="AO130" s="76"/>
    </row>
    <row r="131" spans="34:41">
      <c r="AH131" s="84" t="s">
        <v>130</v>
      </c>
      <c r="AI131" s="76">
        <v>2221</v>
      </c>
      <c r="AJ131" s="76">
        <v>1158</v>
      </c>
      <c r="AK131" s="76">
        <v>1063</v>
      </c>
      <c r="AL131" s="76"/>
      <c r="AM131" s="76"/>
      <c r="AN131" s="76"/>
      <c r="AO131" s="76"/>
    </row>
    <row r="132" spans="34:41">
      <c r="AH132" s="84" t="s">
        <v>132</v>
      </c>
      <c r="AI132" s="76">
        <v>42</v>
      </c>
      <c r="AJ132" s="76">
        <v>39</v>
      </c>
      <c r="AK132" s="76">
        <v>1</v>
      </c>
      <c r="AL132" s="76"/>
      <c r="AM132" s="76"/>
      <c r="AN132" s="76"/>
      <c r="AO132" s="76">
        <v>2.41</v>
      </c>
    </row>
    <row r="133" spans="34:41">
      <c r="AH133" s="84" t="s">
        <v>134</v>
      </c>
      <c r="AI133" s="76">
        <v>1416</v>
      </c>
      <c r="AJ133" s="76">
        <v>179</v>
      </c>
      <c r="AK133" s="76">
        <v>1229</v>
      </c>
      <c r="AL133" s="76"/>
      <c r="AM133" s="76"/>
      <c r="AN133" s="76"/>
      <c r="AO133" s="76"/>
    </row>
    <row r="134" spans="34:41">
      <c r="AH134" s="84" t="s">
        <v>136</v>
      </c>
      <c r="AI134" s="76">
        <v>1259</v>
      </c>
      <c r="AJ134" s="76">
        <v>440</v>
      </c>
      <c r="AK134" s="76">
        <v>784</v>
      </c>
      <c r="AL134" s="76"/>
      <c r="AM134" s="76">
        <v>26</v>
      </c>
      <c r="AN134" s="76"/>
      <c r="AO134" s="76"/>
    </row>
    <row r="135" spans="34:41">
      <c r="AH135" s="84" t="s">
        <v>138</v>
      </c>
      <c r="AI135" s="76">
        <v>774</v>
      </c>
      <c r="AJ135" s="76">
        <v>583</v>
      </c>
      <c r="AK135" s="76">
        <v>190</v>
      </c>
      <c r="AL135" s="76"/>
      <c r="AM135" s="76"/>
      <c r="AN135" s="76"/>
      <c r="AO135" s="76"/>
    </row>
    <row r="136" spans="34:41">
      <c r="AH136" s="84" t="s">
        <v>140</v>
      </c>
      <c r="AI136" s="76">
        <v>751</v>
      </c>
      <c r="AJ136" s="76">
        <v>43</v>
      </c>
      <c r="AK136" s="76">
        <v>703</v>
      </c>
      <c r="AL136" s="76"/>
      <c r="AM136" s="76">
        <v>5</v>
      </c>
      <c r="AN136" s="76"/>
      <c r="AO136" s="76"/>
    </row>
    <row r="137" spans="34:41">
      <c r="AH137" s="85" t="s">
        <v>142</v>
      </c>
      <c r="AI137" s="76">
        <v>903</v>
      </c>
      <c r="AJ137" s="76">
        <v>214</v>
      </c>
      <c r="AK137" s="76">
        <v>656</v>
      </c>
      <c r="AL137" s="76"/>
      <c r="AM137" s="76">
        <v>33</v>
      </c>
      <c r="AN137" s="76"/>
      <c r="AO137" s="76"/>
    </row>
  </sheetData>
  <mergeCells count="9">
    <mergeCell ref="AI1:AZ1"/>
    <mergeCell ref="B3:P3"/>
    <mergeCell ref="R3:AF3"/>
    <mergeCell ref="B37:P37"/>
    <mergeCell ref="R37:AF37"/>
    <mergeCell ref="B71:P71"/>
    <mergeCell ref="R71:AF71"/>
    <mergeCell ref="A2:A3"/>
    <mergeCell ref="AH2:AH3"/>
  </mergeCells>
  <conditionalFormatting sqref="C72:P72 S72:W7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P103 S73:W103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63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H268" sqref="H268"/>
    </sheetView>
  </sheetViews>
  <sheetFormatPr defaultColWidth="8.57522123893805" defaultRowHeight="12.75"/>
  <cols>
    <col min="1" max="1" width="15.7079646017699" customWidth="1"/>
    <col min="2" max="2" width="20.1327433628319" customWidth="1"/>
    <col min="3" max="5" width="8.70796460176991" customWidth="1"/>
    <col min="6" max="16" width="9.70796460176991" customWidth="1"/>
    <col min="17" max="17" width="9.85840707964602" customWidth="1"/>
    <col min="18" max="20" width="9.70796460176991" customWidth="1"/>
    <col min="21" max="22" width="8.70796460176991" customWidth="1"/>
    <col min="23" max="31" width="9.70796460176991" customWidth="1"/>
    <col min="32" max="32" width="9.70796460176991" style="38" customWidth="1"/>
  </cols>
  <sheetData>
    <row r="1" ht="13.1" spans="1:43">
      <c r="A1" s="39" t="s">
        <v>2346</v>
      </c>
      <c r="B1" s="39"/>
      <c r="C1" s="40"/>
      <c r="D1" s="40"/>
      <c r="E1" s="40"/>
    </row>
    <row r="2" s="38" customFormat="1" spans="1:43">
      <c r="A2" s="21" t="s">
        <v>143</v>
      </c>
      <c r="B2" s="21" t="s">
        <v>144</v>
      </c>
      <c r="C2" s="38">
        <v>1990</v>
      </c>
      <c r="D2" s="38">
        <v>1991</v>
      </c>
      <c r="E2" s="38">
        <v>1992</v>
      </c>
      <c r="F2" s="38">
        <v>1993</v>
      </c>
      <c r="G2" s="38">
        <v>1994</v>
      </c>
      <c r="H2" s="38">
        <v>1995</v>
      </c>
      <c r="I2" s="38">
        <v>1996</v>
      </c>
      <c r="J2" s="38">
        <v>1997</v>
      </c>
      <c r="K2" s="38">
        <v>1998</v>
      </c>
      <c r="L2" s="38">
        <v>1999</v>
      </c>
      <c r="M2" s="38">
        <v>2000</v>
      </c>
      <c r="N2" s="38">
        <v>2001</v>
      </c>
      <c r="O2" s="38">
        <v>2002</v>
      </c>
      <c r="P2" s="38">
        <v>2003</v>
      </c>
      <c r="Q2" s="38">
        <v>2004</v>
      </c>
      <c r="R2" s="38">
        <v>2005</v>
      </c>
      <c r="S2" s="38">
        <v>2006</v>
      </c>
      <c r="T2" s="38">
        <v>2007</v>
      </c>
      <c r="U2" s="38">
        <v>2008</v>
      </c>
      <c r="V2" s="38">
        <v>2009</v>
      </c>
      <c r="W2" s="38">
        <v>2010</v>
      </c>
      <c r="X2" s="38">
        <v>2011</v>
      </c>
      <c r="Y2" s="38">
        <v>2012</v>
      </c>
      <c r="Z2" s="38">
        <v>2013</v>
      </c>
      <c r="AA2" s="38">
        <v>2014</v>
      </c>
      <c r="AB2" s="38">
        <v>2015</v>
      </c>
      <c r="AC2" s="38">
        <v>2016</v>
      </c>
      <c r="AD2" s="38">
        <v>2017</v>
      </c>
      <c r="AE2" s="38">
        <v>2018</v>
      </c>
      <c r="AF2" s="38">
        <v>2019</v>
      </c>
      <c r="AG2" s="38">
        <v>2020</v>
      </c>
      <c r="AH2" s="38">
        <v>2021</v>
      </c>
      <c r="AI2" s="38">
        <v>2022</v>
      </c>
      <c r="AJ2" s="38">
        <v>2023</v>
      </c>
      <c r="AK2" s="38">
        <v>2024</v>
      </c>
      <c r="AL2" s="38">
        <v>2025</v>
      </c>
      <c r="AM2" s="38">
        <v>2026</v>
      </c>
      <c r="AN2" s="38">
        <v>2027</v>
      </c>
      <c r="AO2" s="38">
        <v>2028</v>
      </c>
      <c r="AP2" s="38">
        <v>2029</v>
      </c>
      <c r="AQ2" s="38">
        <v>2030</v>
      </c>
    </row>
    <row r="3" ht="13.85" spans="1:43">
      <c r="A3" s="27" t="s">
        <v>2347</v>
      </c>
      <c r="B3" s="41" t="s">
        <v>80</v>
      </c>
      <c r="C3" s="42">
        <f t="shared" ref="C3" si="0">SUM(C4:C34)</f>
        <v>0</v>
      </c>
      <c r="D3" s="42">
        <f t="shared" ref="D3" si="1">SUM(D4:D34)</f>
        <v>0</v>
      </c>
      <c r="E3" s="42">
        <f t="shared" ref="E3" si="2">SUM(E4:E34)</f>
        <v>0</v>
      </c>
      <c r="F3" s="42">
        <f t="shared" ref="F3" si="3">SUM(F4:F34)</f>
        <v>0</v>
      </c>
      <c r="G3" s="42">
        <f t="shared" ref="G3" si="4">SUM(G4:G34)</f>
        <v>0</v>
      </c>
      <c r="H3" s="42">
        <f t="shared" ref="H3" si="5">SUM(H4:H34)</f>
        <v>0</v>
      </c>
      <c r="I3" s="42">
        <f t="shared" ref="I3" si="6">SUM(I4:I34)</f>
        <v>0</v>
      </c>
      <c r="J3" s="42">
        <f t="shared" ref="J3" si="7">SUM(J4:J34)</f>
        <v>0</v>
      </c>
      <c r="K3" s="42">
        <f t="shared" ref="K3" si="8">SUM(K4:K34)</f>
        <v>0</v>
      </c>
      <c r="L3" s="42">
        <f t="shared" ref="L3" si="9">SUM(L4:L34)</f>
        <v>0</v>
      </c>
      <c r="M3" s="42">
        <f t="shared" ref="M3" si="10">SUM(M4:M34)</f>
        <v>0</v>
      </c>
      <c r="N3" s="42">
        <f t="shared" ref="N3" si="11">SUM(N4:N34)</f>
        <v>0</v>
      </c>
      <c r="O3" s="42">
        <f t="shared" ref="O3" si="12">SUM(O4:O34)</f>
        <v>0</v>
      </c>
      <c r="P3" s="42">
        <f t="shared" ref="P3" si="13">SUM(P4:P34)</f>
        <v>0</v>
      </c>
      <c r="Q3" s="42">
        <f t="shared" ref="Q3" si="14">SUM(Q4:Q34)</f>
        <v>0</v>
      </c>
      <c r="R3" s="42">
        <f t="shared" ref="R3" si="15">SUM(R4:R34)</f>
        <v>0</v>
      </c>
      <c r="S3" s="42">
        <f t="shared" ref="S3" si="16">SUM(S4:S34)</f>
        <v>0</v>
      </c>
      <c r="T3" s="42">
        <f t="shared" ref="T3" si="17">SUM(T4:T34)</f>
        <v>0</v>
      </c>
      <c r="U3" s="42">
        <f t="shared" ref="U3" si="18">SUM(U4:U34)</f>
        <v>0</v>
      </c>
      <c r="V3" s="42">
        <f t="shared" ref="V3" si="19">SUM(V4:V34)</f>
        <v>0</v>
      </c>
      <c r="W3" s="42">
        <f t="shared" ref="W3" si="20">SUM(W4:W34)</f>
        <v>205.018</v>
      </c>
      <c r="X3" s="42">
        <f t="shared" ref="X3" si="21">SUM(X4:X34)</f>
        <v>1918.21</v>
      </c>
      <c r="Y3" s="42">
        <f t="shared" ref="Y3" si="22">SUM(Y4:Y34)</f>
        <v>1164.566</v>
      </c>
      <c r="Z3" s="42">
        <f t="shared" ref="Z3" si="23">SUM(Z4:Z34)</f>
        <v>11563.872</v>
      </c>
      <c r="AA3" s="42">
        <f t="shared" ref="AA3" si="24">SUM(AA4:AA34)</f>
        <v>8528.334</v>
      </c>
      <c r="AB3" s="42">
        <f t="shared" ref="AB3:AC3" si="25">SUM(AB4:AB34)</f>
        <v>13440</v>
      </c>
      <c r="AC3" s="42">
        <f t="shared" si="25"/>
        <v>30300</v>
      </c>
      <c r="AD3" s="42">
        <f t="shared" ref="AD3" si="26">SUM(AD4:AD34)</f>
        <v>30615</v>
      </c>
      <c r="AE3" s="42">
        <f t="shared" ref="AE3:AF3" si="27">SUM(AE4:AE34)</f>
        <v>26715</v>
      </c>
      <c r="AF3" s="43">
        <f t="shared" si="27"/>
        <v>17400</v>
      </c>
    </row>
    <row r="4" ht="13.85" spans="1:43">
      <c r="A4" s="27" t="s">
        <v>2347</v>
      </c>
      <c r="B4" s="44" t="s">
        <v>82</v>
      </c>
      <c r="C4" s="45"/>
      <c r="D4" s="45"/>
      <c r="E4" s="45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>
        <f>VLOOKUP($B4,'Solar Station Addition'!$A$3:$X$34,COLUMN(O16),FALSE)</f>
        <v>0</v>
      </c>
      <c r="X4" s="42">
        <f>VLOOKUP($B4,'Solar Station Addition'!$A$3:$X$34,COLUMN(P16),FALSE)</f>
        <v>0</v>
      </c>
      <c r="Y4" s="42">
        <f>VLOOKUP($B4,'Solar Station Addition'!$A$3:$X$34,COLUMN(Q16),FALSE)</f>
        <v>0</v>
      </c>
      <c r="Z4" s="42">
        <f>VLOOKUP($B4,'Solar Station Addition'!$A$3:$X$34,COLUMN(R16),FALSE)</f>
        <v>0</v>
      </c>
      <c r="AA4" s="42">
        <f>VLOOKUP($B4,'Solar Station Addition'!$A$3:$X$34,COLUMN(S16),FALSE)</f>
        <v>0</v>
      </c>
      <c r="AB4" s="42">
        <f>VLOOKUP($B4,'Solar Station Addition'!$A$3:$X$34,COLUMN(T16),FALSE)</f>
        <v>20</v>
      </c>
      <c r="AC4" s="42">
        <f>VLOOKUP($B4,'Solar Station Addition'!$A$3:$X$34,COLUMN(U16),FALSE)</f>
        <v>30</v>
      </c>
      <c r="AD4" s="42">
        <f>VLOOKUP($B4,'Solar Station Addition'!$A$3:$X$34,COLUMN(V16),FALSE)</f>
        <v>0</v>
      </c>
      <c r="AE4" s="42">
        <f>VLOOKUP($B4,'Solar Station Addition'!$A$3:$X$34,COLUMN(W16),FALSE)</f>
        <v>0</v>
      </c>
      <c r="AF4" s="43">
        <f>VLOOKUP($B4,'Solar Station Addition'!$A$3:$X$34,COLUMN(X16),FALSE)</f>
        <v>0</v>
      </c>
    </row>
    <row r="5" ht="13.85" spans="1:43">
      <c r="A5" s="27" t="s">
        <v>2347</v>
      </c>
      <c r="B5" s="44" t="s">
        <v>84</v>
      </c>
      <c r="C5" s="45"/>
      <c r="D5" s="45"/>
      <c r="E5" s="45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>
        <f>VLOOKUP($B5,'Solar Station Addition'!$A$3:$X$34,COLUMN(O17),FALSE)</f>
        <v>0</v>
      </c>
      <c r="X5" s="42">
        <f>VLOOKUP($B5,'Solar Station Addition'!$A$3:$X$34,COLUMN(P17),FALSE)</f>
        <v>0</v>
      </c>
      <c r="Y5" s="42">
        <f>VLOOKUP($B5,'Solar Station Addition'!$A$3:$X$34,COLUMN(Q17),FALSE)</f>
        <v>0</v>
      </c>
      <c r="Z5" s="42">
        <f>VLOOKUP($B5,'Solar Station Addition'!$A$3:$X$34,COLUMN(R17),FALSE)</f>
        <v>0</v>
      </c>
      <c r="AA5" s="42">
        <f>VLOOKUP($B5,'Solar Station Addition'!$A$3:$X$34,COLUMN(S17),FALSE)</f>
        <v>30</v>
      </c>
      <c r="AB5" s="42">
        <f>VLOOKUP($B5,'Solar Station Addition'!$A$3:$X$34,COLUMN(T17),FALSE)</f>
        <v>10</v>
      </c>
      <c r="AC5" s="42">
        <f>VLOOKUP($B5,'Solar Station Addition'!$A$3:$X$34,COLUMN(U17),FALSE)</f>
        <v>440</v>
      </c>
      <c r="AD5" s="42">
        <f>VLOOKUP($B5,'Solar Station Addition'!$A$3:$X$34,COLUMN(V17),FALSE)</f>
        <v>50</v>
      </c>
      <c r="AE5" s="42">
        <f>VLOOKUP($B5,'Solar Station Addition'!$A$3:$X$34,COLUMN(W17),FALSE)</f>
        <v>440</v>
      </c>
      <c r="AF5" s="43">
        <f>VLOOKUP($B5,'Solar Station Addition'!$A$3:$X$34,COLUMN(X17),FALSE)</f>
        <v>70</v>
      </c>
    </row>
    <row r="6" ht="13.85" spans="1:43">
      <c r="A6" s="27" t="s">
        <v>2347</v>
      </c>
      <c r="B6" s="44" t="s">
        <v>86</v>
      </c>
      <c r="C6" s="45"/>
      <c r="D6" s="45"/>
      <c r="E6" s="45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>
        <f>VLOOKUP($B6,'Solar Station Addition'!$A$3:$X$34,COLUMN(O18),FALSE)</f>
        <v>0</v>
      </c>
      <c r="X6" s="42">
        <f>VLOOKUP($B6,'Solar Station Addition'!$A$3:$X$34,COLUMN(P18),FALSE)</f>
        <v>0</v>
      </c>
      <c r="Y6" s="42">
        <f>VLOOKUP($B6,'Solar Station Addition'!$A$3:$X$34,COLUMN(Q18),FALSE)</f>
        <v>0</v>
      </c>
      <c r="Z6" s="42">
        <f>VLOOKUP($B6,'Solar Station Addition'!$A$3:$X$34,COLUMN(R18),FALSE)</f>
        <v>340</v>
      </c>
      <c r="AA6" s="42">
        <f>VLOOKUP($B6,'Solar Station Addition'!$A$3:$X$34,COLUMN(S18),FALSE)</f>
        <v>890</v>
      </c>
      <c r="AB6" s="42">
        <f>VLOOKUP($B6,'Solar Station Addition'!$A$3:$X$34,COLUMN(T18),FALSE)</f>
        <v>890</v>
      </c>
      <c r="AC6" s="42">
        <f>VLOOKUP($B6,'Solar Station Addition'!$A$3:$X$34,COLUMN(U18),FALSE)</f>
        <v>1920</v>
      </c>
      <c r="AD6" s="42">
        <f>VLOOKUP($B6,'Solar Station Addition'!$A$3:$X$34,COLUMN(V18),FALSE)</f>
        <v>1130</v>
      </c>
      <c r="AE6" s="42">
        <f>VLOOKUP($B6,'Solar Station Addition'!$A$3:$X$34,COLUMN(W18),FALSE)</f>
        <v>3390</v>
      </c>
      <c r="AF6" s="43">
        <f>VLOOKUP($B6,'Solar Station Addition'!$A$3:$X$34,COLUMN(X18),FALSE)</f>
        <v>1060</v>
      </c>
    </row>
    <row r="7" ht="13.85" spans="1:43">
      <c r="A7" s="27" t="s">
        <v>2347</v>
      </c>
      <c r="B7" s="44" t="s">
        <v>88</v>
      </c>
      <c r="C7" s="45"/>
      <c r="D7" s="45"/>
      <c r="E7" s="45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>
        <f>VLOOKUP($B7,'Solar Station Addition'!$A$3:$X$34,COLUMN(O19),FALSE)</f>
        <v>0</v>
      </c>
      <c r="X7" s="42">
        <f>VLOOKUP($B7,'Solar Station Addition'!$A$3:$X$34,COLUMN(P19),FALSE)</f>
        <v>15</v>
      </c>
      <c r="Y7" s="42">
        <f>VLOOKUP($B7,'Solar Station Addition'!$A$3:$X$34,COLUMN(Q19),FALSE)</f>
        <v>0</v>
      </c>
      <c r="Z7" s="42">
        <f>VLOOKUP($B7,'Solar Station Addition'!$A$3:$X$34,COLUMN(R19),FALSE)</f>
        <v>195</v>
      </c>
      <c r="AA7" s="42">
        <f>VLOOKUP($B7,'Solar Station Addition'!$A$3:$X$34,COLUMN(S19),FALSE)</f>
        <v>220</v>
      </c>
      <c r="AB7" s="42">
        <f>VLOOKUP($B7,'Solar Station Addition'!$A$3:$X$34,COLUMN(T19),FALSE)</f>
        <v>690</v>
      </c>
      <c r="AC7" s="42">
        <f>VLOOKUP($B7,'Solar Station Addition'!$A$3:$X$34,COLUMN(U19),FALSE)</f>
        <v>1720</v>
      </c>
      <c r="AD7" s="42">
        <f>VLOOKUP($B7,'Solar Station Addition'!$A$3:$X$34,COLUMN(V19),FALSE)</f>
        <v>2460</v>
      </c>
      <c r="AE7" s="42">
        <f>VLOOKUP($B7,'Solar Station Addition'!$A$3:$X$34,COLUMN(W19),FALSE)</f>
        <v>1510</v>
      </c>
      <c r="AF7" s="43">
        <f>VLOOKUP($B7,'Solar Station Addition'!$A$3:$X$34,COLUMN(X19),FALSE)</f>
        <v>1760</v>
      </c>
    </row>
    <row r="8" ht="13.85" spans="1:43">
      <c r="A8" s="27" t="s">
        <v>2347</v>
      </c>
      <c r="B8" s="44" t="s">
        <v>90</v>
      </c>
      <c r="C8" s="45"/>
      <c r="D8" s="45"/>
      <c r="E8" s="45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>
        <f>VLOOKUP($B8,'Solar Station Addition'!$A$3:$X$34,COLUMN(O20),FALSE)</f>
        <v>0</v>
      </c>
      <c r="X8" s="42">
        <f>VLOOKUP($B8,'Solar Station Addition'!$A$3:$X$34,COLUMN(P20),FALSE)</f>
        <v>87</v>
      </c>
      <c r="Y8" s="42">
        <f>VLOOKUP($B8,'Solar Station Addition'!$A$3:$X$34,COLUMN(Q20),FALSE)</f>
        <v>109</v>
      </c>
      <c r="Z8" s="42">
        <f>VLOOKUP($B8,'Solar Station Addition'!$A$3:$X$34,COLUMN(R20),FALSE)</f>
        <v>1044</v>
      </c>
      <c r="AA8" s="42">
        <f>VLOOKUP($B8,'Solar Station Addition'!$A$3:$X$34,COLUMN(S20),FALSE)</f>
        <v>1600</v>
      </c>
      <c r="AB8" s="42">
        <f>VLOOKUP($B8,'Solar Station Addition'!$A$3:$X$34,COLUMN(T20),FALSE)</f>
        <v>1870</v>
      </c>
      <c r="AC8" s="42">
        <f>VLOOKUP($B8,'Solar Station Addition'!$A$3:$X$34,COLUMN(U20),FALSE)</f>
        <v>1660</v>
      </c>
      <c r="AD8" s="42">
        <f>VLOOKUP($B8,'Solar Station Addition'!$A$3:$X$34,COLUMN(V20),FALSE)</f>
        <v>1040</v>
      </c>
      <c r="AE8" s="42">
        <f>VLOOKUP($B8,'Solar Station Addition'!$A$3:$X$34,COLUMN(W20),FALSE)</f>
        <v>1920</v>
      </c>
      <c r="AF8" s="43">
        <f>VLOOKUP($B8,'Solar Station Addition'!$A$3:$X$34,COLUMN(X20),FALSE)</f>
        <v>680</v>
      </c>
    </row>
    <row r="9" ht="13.85" spans="1:43">
      <c r="A9" s="27" t="s">
        <v>2347</v>
      </c>
      <c r="B9" s="44" t="s">
        <v>92</v>
      </c>
      <c r="C9" s="45"/>
      <c r="D9" s="45"/>
      <c r="E9" s="45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>
        <f>VLOOKUP($B9,'Solar Station Addition'!$A$3:$X$34,COLUMN(O21),FALSE)</f>
        <v>0</v>
      </c>
      <c r="X9" s="42">
        <f>VLOOKUP($B9,'Solar Station Addition'!$A$3:$X$34,COLUMN(P21),FALSE)</f>
        <v>0</v>
      </c>
      <c r="Y9" s="42">
        <f>VLOOKUP($B9,'Solar Station Addition'!$A$3:$X$34,COLUMN(Q21),FALSE)</f>
        <v>10</v>
      </c>
      <c r="Z9" s="42">
        <f>VLOOKUP($B9,'Solar Station Addition'!$A$3:$X$34,COLUMN(R21),FALSE)</f>
        <v>20</v>
      </c>
      <c r="AA9" s="42">
        <f>VLOOKUP($B9,'Solar Station Addition'!$A$3:$X$34,COLUMN(S21),FALSE)</f>
        <v>10</v>
      </c>
      <c r="AB9" s="42">
        <f>VLOOKUP($B9,'Solar Station Addition'!$A$3:$X$34,COLUMN(T21),FALSE)</f>
        <v>30</v>
      </c>
      <c r="AC9" s="42">
        <f>VLOOKUP($B9,'Solar Station Addition'!$A$3:$X$34,COLUMN(U21),FALSE)</f>
        <v>290</v>
      </c>
      <c r="AD9" s="42">
        <f>VLOOKUP($B9,'Solar Station Addition'!$A$3:$X$34,COLUMN(V21),FALSE)</f>
        <v>1490</v>
      </c>
      <c r="AE9" s="42">
        <f>VLOOKUP($B9,'Solar Station Addition'!$A$3:$X$34,COLUMN(W21),FALSE)</f>
        <v>340</v>
      </c>
      <c r="AF9" s="43">
        <f>VLOOKUP($B9,'Solar Station Addition'!$A$3:$X$34,COLUMN(X21),FALSE)</f>
        <v>270</v>
      </c>
    </row>
    <row r="10" ht="13.85" spans="1:43">
      <c r="A10" s="27" t="s">
        <v>2347</v>
      </c>
      <c r="B10" s="44" t="s">
        <v>94</v>
      </c>
      <c r="C10" s="45"/>
      <c r="D10" s="45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>
        <f>VLOOKUP($B10,'Solar Station Addition'!$A$3:$X$34,COLUMN(O22),FALSE)</f>
        <v>0</v>
      </c>
      <c r="X10" s="42">
        <f>VLOOKUP($B10,'Solar Station Addition'!$A$3:$X$34,COLUMN(P22),FALSE)</f>
        <v>0</v>
      </c>
      <c r="Y10" s="42">
        <f>VLOOKUP($B10,'Solar Station Addition'!$A$3:$X$34,COLUMN(Q22),FALSE)</f>
        <v>0</v>
      </c>
      <c r="Z10" s="42">
        <f>VLOOKUP($B10,'Solar Station Addition'!$A$3:$X$34,COLUMN(R22),FALSE)</f>
        <v>10</v>
      </c>
      <c r="AA10" s="42">
        <f>VLOOKUP($B10,'Solar Station Addition'!$A$3:$X$34,COLUMN(S22),FALSE)</f>
        <v>50</v>
      </c>
      <c r="AB10" s="42">
        <f>VLOOKUP($B10,'Solar Station Addition'!$A$3:$X$34,COLUMN(T22),FALSE)</f>
        <v>0</v>
      </c>
      <c r="AC10" s="42">
        <f>VLOOKUP($B10,'Solar Station Addition'!$A$3:$X$34,COLUMN(U22),FALSE)</f>
        <v>450</v>
      </c>
      <c r="AD10" s="42">
        <f>VLOOKUP($B10,'Solar Station Addition'!$A$3:$X$34,COLUMN(V22),FALSE)</f>
        <v>560</v>
      </c>
      <c r="AE10" s="42">
        <f>VLOOKUP($B10,'Solar Station Addition'!$A$3:$X$34,COLUMN(W22),FALSE)</f>
        <v>960</v>
      </c>
      <c r="AF10" s="43">
        <f>VLOOKUP($B10,'Solar Station Addition'!$A$3:$X$34,COLUMN(X22),FALSE)</f>
        <v>20</v>
      </c>
    </row>
    <row r="11" ht="13.85" spans="1:43">
      <c r="A11" s="27" t="s">
        <v>2347</v>
      </c>
      <c r="B11" s="44" t="s">
        <v>96</v>
      </c>
      <c r="C11" s="45"/>
      <c r="D11" s="45"/>
      <c r="E11" s="4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>
        <f>VLOOKUP($B11,'Solar Station Addition'!$A$3:$X$34,COLUMN(O23),FALSE)</f>
        <v>0</v>
      </c>
      <c r="X11" s="42">
        <f>VLOOKUP($B11,'Solar Station Addition'!$A$3:$X$34,COLUMN(P23),FALSE)</f>
        <v>0</v>
      </c>
      <c r="Y11" s="42">
        <f>VLOOKUP($B11,'Solar Station Addition'!$A$3:$X$34,COLUMN(Q23),FALSE)</f>
        <v>0</v>
      </c>
      <c r="Z11" s="42">
        <f>VLOOKUP($B11,'Solar Station Addition'!$A$3:$X$34,COLUMN(R23),FALSE)</f>
        <v>10</v>
      </c>
      <c r="AA11" s="42">
        <f>VLOOKUP($B11,'Solar Station Addition'!$A$3:$X$34,COLUMN(S23),FALSE)</f>
        <v>0</v>
      </c>
      <c r="AB11" s="42">
        <f>VLOOKUP($B11,'Solar Station Addition'!$A$3:$X$34,COLUMN(T23),FALSE)</f>
        <v>0</v>
      </c>
      <c r="AC11" s="42">
        <f>VLOOKUP($B11,'Solar Station Addition'!$A$3:$X$34,COLUMN(U23),FALSE)</f>
        <v>110</v>
      </c>
      <c r="AD11" s="42">
        <f>VLOOKUP($B11,'Solar Station Addition'!$A$3:$X$34,COLUMN(V23),FALSE)</f>
        <v>520</v>
      </c>
      <c r="AE11" s="42">
        <f>VLOOKUP($B11,'Solar Station Addition'!$A$3:$X$34,COLUMN(W23),FALSE)</f>
        <v>770</v>
      </c>
      <c r="AF11" s="43">
        <f>VLOOKUP($B11,'Solar Station Addition'!$A$3:$X$34,COLUMN(X23),FALSE)</f>
        <v>540</v>
      </c>
    </row>
    <row r="12" ht="13.85" spans="1:43">
      <c r="A12" s="27" t="s">
        <v>2347</v>
      </c>
      <c r="B12" s="44" t="s">
        <v>98</v>
      </c>
      <c r="C12" s="45"/>
      <c r="D12" s="45"/>
      <c r="E12" s="4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>
        <f>VLOOKUP($B12,'Solar Station Addition'!$A$3:$X$34,COLUMN(O24),FALSE)</f>
        <v>6.688</v>
      </c>
      <c r="X12" s="42">
        <f>VLOOKUP($B12,'Solar Station Addition'!$A$3:$X$34,COLUMN(P24),FALSE)</f>
        <v>0</v>
      </c>
      <c r="Y12" s="42">
        <f>VLOOKUP($B12,'Solar Station Addition'!$A$3:$X$34,COLUMN(Q24),FALSE)</f>
        <v>0</v>
      </c>
      <c r="Z12" s="42">
        <f>VLOOKUP($B12,'Solar Station Addition'!$A$3:$X$34,COLUMN(R24),FALSE)</f>
        <v>13.312</v>
      </c>
      <c r="AA12" s="42">
        <f>VLOOKUP($B12,'Solar Station Addition'!$A$3:$X$34,COLUMN(S24),FALSE)</f>
        <v>0</v>
      </c>
      <c r="AB12" s="42">
        <f>VLOOKUP($B12,'Solar Station Addition'!$A$3:$X$34,COLUMN(T24),FALSE)</f>
        <v>0</v>
      </c>
      <c r="AC12" s="42">
        <f>VLOOKUP($B12,'Solar Station Addition'!$A$3:$X$34,COLUMN(U24),FALSE)</f>
        <v>0</v>
      </c>
      <c r="AD12" s="42">
        <f>VLOOKUP($B12,'Solar Station Addition'!$A$3:$X$34,COLUMN(V24),FALSE)</f>
        <v>0</v>
      </c>
      <c r="AE12" s="42">
        <f>VLOOKUP($B12,'Solar Station Addition'!$A$3:$X$34,COLUMN(W24),FALSE)</f>
        <v>50</v>
      </c>
      <c r="AF12" s="43">
        <f>VLOOKUP($B12,'Solar Station Addition'!$A$3:$X$34,COLUMN(X24),FALSE)</f>
        <v>0</v>
      </c>
    </row>
    <row r="13" ht="13.85" spans="1:43">
      <c r="A13" s="27" t="s">
        <v>2347</v>
      </c>
      <c r="B13" s="44" t="s">
        <v>100</v>
      </c>
      <c r="C13" s="45"/>
      <c r="D13" s="45"/>
      <c r="E13" s="4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>
        <f>VLOOKUP($B13,'Solar Station Addition'!$A$3:$X$34,COLUMN(O25),FALSE)</f>
        <v>70</v>
      </c>
      <c r="X13" s="42">
        <f>VLOOKUP($B13,'Solar Station Addition'!$A$3:$X$34,COLUMN(P25),FALSE)</f>
        <v>261.01</v>
      </c>
      <c r="Y13" s="42">
        <f>VLOOKUP($B13,'Solar Station Addition'!$A$3:$X$34,COLUMN(Q25),FALSE)</f>
        <v>30</v>
      </c>
      <c r="Z13" s="42">
        <f>VLOOKUP($B13,'Solar Station Addition'!$A$3:$X$34,COLUMN(R25),FALSE)</f>
        <v>408.99</v>
      </c>
      <c r="AA13" s="42">
        <f>VLOOKUP($B13,'Solar Station Addition'!$A$3:$X$34,COLUMN(S25),FALSE)</f>
        <v>950</v>
      </c>
      <c r="AB13" s="42">
        <f>VLOOKUP($B13,'Solar Station Addition'!$A$3:$X$34,COLUMN(T25),FALSE)</f>
        <v>1310</v>
      </c>
      <c r="AC13" s="42">
        <f>VLOOKUP($B13,'Solar Station Addition'!$A$3:$X$34,COLUMN(U25),FALSE)</f>
        <v>700</v>
      </c>
      <c r="AD13" s="42">
        <f>VLOOKUP($B13,'Solar Station Addition'!$A$3:$X$34,COLUMN(V25),FALSE)</f>
        <v>2070</v>
      </c>
      <c r="AE13" s="42">
        <f>VLOOKUP($B13,'Solar Station Addition'!$A$3:$X$34,COLUMN(W25),FALSE)</f>
        <v>2120</v>
      </c>
      <c r="AF13" s="43">
        <f>VLOOKUP($B13,'Solar Station Addition'!$A$3:$X$34,COLUMN(X25),FALSE)</f>
        <v>290</v>
      </c>
    </row>
    <row r="14" ht="13.85" spans="1:43">
      <c r="A14" s="27" t="s">
        <v>2347</v>
      </c>
      <c r="B14" s="44" t="s">
        <v>102</v>
      </c>
      <c r="C14" s="45"/>
      <c r="D14" s="45"/>
      <c r="E14" s="45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>
        <f>VLOOKUP($B14,'Solar Station Addition'!$A$3:$X$34,COLUMN(O26),FALSE)</f>
        <v>0</v>
      </c>
      <c r="X14" s="42">
        <f>VLOOKUP($B14,'Solar Station Addition'!$A$3:$X$34,COLUMN(P26),FALSE)</f>
        <v>0</v>
      </c>
      <c r="Y14" s="42">
        <f>VLOOKUP($B14,'Solar Station Addition'!$A$3:$X$34,COLUMN(Q26),FALSE)</f>
        <v>0</v>
      </c>
      <c r="Z14" s="42">
        <f>VLOOKUP($B14,'Solar Station Addition'!$A$3:$X$34,COLUMN(R26),FALSE)</f>
        <v>0</v>
      </c>
      <c r="AA14" s="42">
        <f>VLOOKUP($B14,'Solar Station Addition'!$A$3:$X$34,COLUMN(S26),FALSE)</f>
        <v>30</v>
      </c>
      <c r="AB14" s="42">
        <f>VLOOKUP($B14,'Solar Station Addition'!$A$3:$X$34,COLUMN(T26),FALSE)</f>
        <v>400</v>
      </c>
      <c r="AC14" s="42">
        <f>VLOOKUP($B14,'Solar Station Addition'!$A$3:$X$34,COLUMN(U26),FALSE)</f>
        <v>880</v>
      </c>
      <c r="AD14" s="42">
        <f>VLOOKUP($B14,'Solar Station Addition'!$A$3:$X$34,COLUMN(V26),FALSE)</f>
        <v>1840</v>
      </c>
      <c r="AE14" s="42">
        <f>VLOOKUP($B14,'Solar Station Addition'!$A$3:$X$34,COLUMN(W26),FALSE)</f>
        <v>460</v>
      </c>
      <c r="AF14" s="43">
        <f>VLOOKUP($B14,'Solar Station Addition'!$A$3:$X$34,COLUMN(X26),FALSE)</f>
        <v>530</v>
      </c>
    </row>
    <row r="15" ht="13.85" spans="1:43">
      <c r="A15" s="27" t="s">
        <v>2347</v>
      </c>
      <c r="B15" s="44" t="s">
        <v>104</v>
      </c>
      <c r="C15" s="45"/>
      <c r="D15" s="45"/>
      <c r="E15" s="45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>
        <f>VLOOKUP($B15,'Solar Station Addition'!$A$3:$X$34,COLUMN(O27),FALSE)</f>
        <v>0</v>
      </c>
      <c r="X15" s="42">
        <f>VLOOKUP($B15,'Solar Station Addition'!$A$3:$X$34,COLUMN(P27),FALSE)</f>
        <v>0</v>
      </c>
      <c r="Y15" s="42">
        <f>VLOOKUP($B15,'Solar Station Addition'!$A$3:$X$34,COLUMN(Q27),FALSE)</f>
        <v>14.6</v>
      </c>
      <c r="Z15" s="42">
        <f>VLOOKUP($B15,'Solar Station Addition'!$A$3:$X$34,COLUMN(R27),FALSE)</f>
        <v>0</v>
      </c>
      <c r="AA15" s="42">
        <f>VLOOKUP($B15,'Solar Station Addition'!$A$3:$X$34,COLUMN(S27),FALSE)</f>
        <v>245.4</v>
      </c>
      <c r="AB15" s="42">
        <f>VLOOKUP($B15,'Solar Station Addition'!$A$3:$X$34,COLUMN(T27),FALSE)</f>
        <v>630</v>
      </c>
      <c r="AC15" s="42">
        <f>VLOOKUP($B15,'Solar Station Addition'!$A$3:$X$34,COLUMN(U27),FALSE)</f>
        <v>1780</v>
      </c>
      <c r="AD15" s="42">
        <f>VLOOKUP($B15,'Solar Station Addition'!$A$3:$X$34,COLUMN(V27),FALSE)</f>
        <v>2980</v>
      </c>
      <c r="AE15" s="42">
        <f>VLOOKUP($B15,'Solar Station Addition'!$A$3:$X$34,COLUMN(W27),FALSE)</f>
        <v>1120</v>
      </c>
      <c r="AF15" s="43">
        <f>VLOOKUP($B15,'Solar Station Addition'!$A$3:$X$34,COLUMN(X27),FALSE)</f>
        <v>960</v>
      </c>
    </row>
    <row r="16" ht="13.85" spans="1:43">
      <c r="A16" s="27" t="s">
        <v>2347</v>
      </c>
      <c r="B16" s="44" t="s">
        <v>106</v>
      </c>
      <c r="C16" s="45"/>
      <c r="D16" s="45"/>
      <c r="E16" s="45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>
        <f>VLOOKUP($B16,'Solar Station Addition'!$A$3:$X$34,COLUMN(O28),FALSE)</f>
        <v>0</v>
      </c>
      <c r="X16" s="42">
        <f>VLOOKUP($B16,'Solar Station Addition'!$A$3:$X$34,COLUMN(P28),FALSE)</f>
        <v>0</v>
      </c>
      <c r="Y16" s="42">
        <f>VLOOKUP($B16,'Solar Station Addition'!$A$3:$X$34,COLUMN(Q28),FALSE)</f>
        <v>0</v>
      </c>
      <c r="Z16" s="42">
        <f>VLOOKUP($B16,'Solar Station Addition'!$A$3:$X$34,COLUMN(R28),FALSE)</f>
        <v>0</v>
      </c>
      <c r="AA16" s="42">
        <f>VLOOKUP($B16,'Solar Station Addition'!$A$3:$X$34,COLUMN(S28),FALSE)</f>
        <v>0</v>
      </c>
      <c r="AB16" s="42">
        <f>VLOOKUP($B16,'Solar Station Addition'!$A$3:$X$34,COLUMN(T28),FALSE)</f>
        <v>30</v>
      </c>
      <c r="AC16" s="42">
        <f>VLOOKUP($B16,'Solar Station Addition'!$A$3:$X$34,COLUMN(U28),FALSE)</f>
        <v>80</v>
      </c>
      <c r="AD16" s="42">
        <f>VLOOKUP($B16,'Solar Station Addition'!$A$3:$X$34,COLUMN(V28),FALSE)</f>
        <v>0</v>
      </c>
      <c r="AE16" s="42">
        <f>VLOOKUP($B16,'Solar Station Addition'!$A$3:$X$34,COLUMN(W28),FALSE)</f>
        <v>260</v>
      </c>
      <c r="AF16" s="43">
        <f>VLOOKUP($B16,'Solar Station Addition'!$A$3:$X$34,COLUMN(X28),FALSE)</f>
        <v>10</v>
      </c>
    </row>
    <row r="17" ht="13.85" spans="1:32">
      <c r="A17" s="27" t="s">
        <v>2347</v>
      </c>
      <c r="B17" s="44" t="s">
        <v>108</v>
      </c>
      <c r="C17" s="45"/>
      <c r="D17" s="45"/>
      <c r="E17" s="45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>
        <f>VLOOKUP($B17,'Solar Station Addition'!$A$3:$X$34,COLUMN(O29),FALSE)</f>
        <v>0</v>
      </c>
      <c r="X17" s="42">
        <f>VLOOKUP($B17,'Solar Station Addition'!$A$3:$X$34,COLUMN(P29),FALSE)</f>
        <v>0</v>
      </c>
      <c r="Y17" s="42">
        <f>VLOOKUP($B17,'Solar Station Addition'!$A$3:$X$34,COLUMN(Q29),FALSE)</f>
        <v>0</v>
      </c>
      <c r="Z17" s="42">
        <f>VLOOKUP($B17,'Solar Station Addition'!$A$3:$X$34,COLUMN(R29),FALSE)</f>
        <v>20</v>
      </c>
      <c r="AA17" s="42">
        <f>VLOOKUP($B17,'Solar Station Addition'!$A$3:$X$34,COLUMN(S29),FALSE)</f>
        <v>110</v>
      </c>
      <c r="AB17" s="42">
        <f>VLOOKUP($B17,'Solar Station Addition'!$A$3:$X$34,COLUMN(T29),FALSE)</f>
        <v>40</v>
      </c>
      <c r="AC17" s="42">
        <f>VLOOKUP($B17,'Solar Station Addition'!$A$3:$X$34,COLUMN(U29),FALSE)</f>
        <v>1540</v>
      </c>
      <c r="AD17" s="42">
        <f>VLOOKUP($B17,'Solar Station Addition'!$A$3:$X$34,COLUMN(V29),FALSE)</f>
        <v>1060</v>
      </c>
      <c r="AE17" s="42">
        <f>VLOOKUP($B17,'Solar Station Addition'!$A$3:$X$34,COLUMN(W29),FALSE)</f>
        <v>170</v>
      </c>
      <c r="AF17" s="43">
        <f>VLOOKUP($B17,'Solar Station Addition'!$A$3:$X$34,COLUMN(X29),FALSE)</f>
        <v>730</v>
      </c>
    </row>
    <row r="18" ht="13.85" spans="1:32">
      <c r="A18" s="27" t="s">
        <v>2347</v>
      </c>
      <c r="B18" s="44" t="s">
        <v>110</v>
      </c>
      <c r="C18" s="45"/>
      <c r="D18" s="45"/>
      <c r="E18" s="4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>
        <f>VLOOKUP($B18,'Solar Station Addition'!$A$3:$X$34,COLUMN(O30),FALSE)</f>
        <v>18</v>
      </c>
      <c r="X18" s="42">
        <f>VLOOKUP($B18,'Solar Station Addition'!$A$3:$X$34,COLUMN(P30),FALSE)</f>
        <v>17</v>
      </c>
      <c r="Y18" s="42">
        <f>VLOOKUP($B18,'Solar Station Addition'!$A$3:$X$34,COLUMN(Q30),FALSE)</f>
        <v>26.5</v>
      </c>
      <c r="Z18" s="42">
        <f>VLOOKUP($B18,'Solar Station Addition'!$A$3:$X$34,COLUMN(R30),FALSE)</f>
        <v>18.5</v>
      </c>
      <c r="AA18" s="42">
        <f>VLOOKUP($B18,'Solar Station Addition'!$A$3:$X$34,COLUMN(S30),FALSE)</f>
        <v>140</v>
      </c>
      <c r="AB18" s="42">
        <f>VLOOKUP($B18,'Solar Station Addition'!$A$3:$X$34,COLUMN(T30),FALSE)</f>
        <v>670</v>
      </c>
      <c r="AC18" s="42">
        <f>VLOOKUP($B18,'Solar Station Addition'!$A$3:$X$34,COLUMN(U30),FALSE)</f>
        <v>2470</v>
      </c>
      <c r="AD18" s="42">
        <f>VLOOKUP($B18,'Solar Station Addition'!$A$3:$X$34,COLUMN(V30),FALSE)</f>
        <v>2420</v>
      </c>
      <c r="AE18" s="42">
        <f>VLOOKUP($B18,'Solar Station Addition'!$A$3:$X$34,COLUMN(W30),FALSE)</f>
        <v>700</v>
      </c>
      <c r="AF18" s="43">
        <f>VLOOKUP($B18,'Solar Station Addition'!$A$3:$X$34,COLUMN(X30),FALSE)</f>
        <v>290</v>
      </c>
    </row>
    <row r="19" ht="13.85" spans="1:32">
      <c r="A19" s="27" t="s">
        <v>2347</v>
      </c>
      <c r="B19" s="44" t="s">
        <v>112</v>
      </c>
      <c r="C19" s="45"/>
      <c r="D19" s="45"/>
      <c r="E19" s="45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>
        <f>VLOOKUP($B19,'Solar Station Addition'!$A$3:$X$34,COLUMN(O31),FALSE)</f>
        <v>0</v>
      </c>
      <c r="X19" s="42">
        <f>VLOOKUP($B19,'Solar Station Addition'!$A$3:$X$34,COLUMN(P31),FALSE)</f>
        <v>0</v>
      </c>
      <c r="Y19" s="42">
        <f>VLOOKUP($B19,'Solar Station Addition'!$A$3:$X$34,COLUMN(Q31),FALSE)</f>
        <v>0</v>
      </c>
      <c r="Z19" s="42">
        <f>VLOOKUP($B19,'Solar Station Addition'!$A$3:$X$34,COLUMN(R31),FALSE)</f>
        <v>0</v>
      </c>
      <c r="AA19" s="42">
        <f>VLOOKUP($B19,'Solar Station Addition'!$A$3:$X$34,COLUMN(S31),FALSE)</f>
        <v>70</v>
      </c>
      <c r="AB19" s="42">
        <f>VLOOKUP($B19,'Solar Station Addition'!$A$3:$X$34,COLUMN(T31),FALSE)</f>
        <v>70</v>
      </c>
      <c r="AC19" s="42">
        <f>VLOOKUP($B19,'Solar Station Addition'!$A$3:$X$34,COLUMN(U31),FALSE)</f>
        <v>2340</v>
      </c>
      <c r="AD19" s="42">
        <f>VLOOKUP($B19,'Solar Station Addition'!$A$3:$X$34,COLUMN(V31),FALSE)</f>
        <v>2440</v>
      </c>
      <c r="AE19" s="42">
        <f>VLOOKUP($B19,'Solar Station Addition'!$A$3:$X$34,COLUMN(W31),FALSE)</f>
        <v>1080</v>
      </c>
      <c r="AF19" s="43">
        <f>VLOOKUP($B19,'Solar Station Addition'!$A$3:$X$34,COLUMN(X31),FALSE)</f>
        <v>0</v>
      </c>
    </row>
    <row r="20" ht="13.85" spans="1:32">
      <c r="A20" s="27" t="s">
        <v>2347</v>
      </c>
      <c r="B20" s="44" t="s">
        <v>114</v>
      </c>
      <c r="C20" s="45"/>
      <c r="D20" s="45"/>
      <c r="E20" s="45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>
        <f>VLOOKUP($B20,'Solar Station Addition'!$A$3:$X$34,COLUMN(O32),FALSE)</f>
        <v>0</v>
      </c>
      <c r="X20" s="42">
        <f>VLOOKUP($B20,'Solar Station Addition'!$A$3:$X$34,COLUMN(P32),FALSE)</f>
        <v>0</v>
      </c>
      <c r="Y20" s="42">
        <f>VLOOKUP($B20,'Solar Station Addition'!$A$3:$X$34,COLUMN(Q32),FALSE)</f>
        <v>8.966</v>
      </c>
      <c r="Z20" s="42">
        <f>VLOOKUP($B20,'Solar Station Addition'!$A$3:$X$34,COLUMN(R32),FALSE)</f>
        <v>0</v>
      </c>
      <c r="AA20" s="42">
        <f>VLOOKUP($B20,'Solar Station Addition'!$A$3:$X$34,COLUMN(S32),FALSE)</f>
        <v>71.034</v>
      </c>
      <c r="AB20" s="42">
        <f>VLOOKUP($B20,'Solar Station Addition'!$A$3:$X$34,COLUMN(T32),FALSE)</f>
        <v>350</v>
      </c>
      <c r="AC20" s="42">
        <f>VLOOKUP($B20,'Solar Station Addition'!$A$3:$X$34,COLUMN(U32),FALSE)</f>
        <v>1240</v>
      </c>
      <c r="AD20" s="42">
        <f>VLOOKUP($B20,'Solar Station Addition'!$A$3:$X$34,COLUMN(V32),FALSE)</f>
        <v>690</v>
      </c>
      <c r="AE20" s="42">
        <f>VLOOKUP($B20,'Solar Station Addition'!$A$3:$X$34,COLUMN(W32),FALSE)</f>
        <v>990</v>
      </c>
      <c r="AF20" s="43">
        <f>VLOOKUP($B20,'Solar Station Addition'!$A$3:$X$34,COLUMN(X32),FALSE)</f>
        <v>850</v>
      </c>
    </row>
    <row r="21" ht="13.85" spans="1:32">
      <c r="A21" s="27" t="s">
        <v>2347</v>
      </c>
      <c r="B21" s="44" t="s">
        <v>116</v>
      </c>
      <c r="C21" s="45"/>
      <c r="D21" s="45"/>
      <c r="E21" s="45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>
        <f>VLOOKUP($B21,'Solar Station Addition'!$A$3:$X$34,COLUMN(O33),FALSE)</f>
        <v>0</v>
      </c>
      <c r="X21" s="42">
        <f>VLOOKUP($B21,'Solar Station Addition'!$A$3:$X$34,COLUMN(P33),FALSE)</f>
        <v>0</v>
      </c>
      <c r="Y21" s="42">
        <f>VLOOKUP($B21,'Solar Station Addition'!$A$3:$X$34,COLUMN(Q33),FALSE)</f>
        <v>0</v>
      </c>
      <c r="Z21" s="42">
        <f>VLOOKUP($B21,'Solar Station Addition'!$A$3:$X$34,COLUMN(R33),FALSE)</f>
        <v>0</v>
      </c>
      <c r="AA21" s="42">
        <f>VLOOKUP($B21,'Solar Station Addition'!$A$3:$X$34,COLUMN(S33),FALSE)</f>
        <v>0</v>
      </c>
      <c r="AB21" s="42">
        <f>VLOOKUP($B21,'Solar Station Addition'!$A$3:$X$34,COLUMN(T33),FALSE)</f>
        <v>0</v>
      </c>
      <c r="AC21" s="42">
        <f>VLOOKUP($B21,'Solar Station Addition'!$A$3:$X$34,COLUMN(U33),FALSE)</f>
        <v>0</v>
      </c>
      <c r="AD21" s="42">
        <f>VLOOKUP($B21,'Solar Station Addition'!$A$3:$X$34,COLUMN(V33),FALSE)</f>
        <v>860</v>
      </c>
      <c r="AE21" s="42">
        <f>VLOOKUP($B21,'Solar Station Addition'!$A$3:$X$34,COLUMN(W33),FALSE)</f>
        <v>400</v>
      </c>
      <c r="AF21" s="43">
        <f>VLOOKUP($B21,'Solar Station Addition'!$A$3:$X$34,COLUMN(X33),FALSE)</f>
        <v>290</v>
      </c>
    </row>
    <row r="22" ht="13.85" spans="1:32">
      <c r="A22" s="27" t="s">
        <v>2347</v>
      </c>
      <c r="B22" s="44" t="s">
        <v>118</v>
      </c>
      <c r="C22" s="45"/>
      <c r="D22" s="45"/>
      <c r="E22" s="45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>
        <f>VLOOKUP($B22,'Solar Station Addition'!$A$3:$X$34,COLUMN(O34),FALSE)</f>
        <v>0</v>
      </c>
      <c r="X22" s="42">
        <f>VLOOKUP($B22,'Solar Station Addition'!$A$3:$X$34,COLUMN(P34),FALSE)</f>
        <v>8.1</v>
      </c>
      <c r="Y22" s="42">
        <f>VLOOKUP($B22,'Solar Station Addition'!$A$3:$X$34,COLUMN(Q34),FALSE)</f>
        <v>0</v>
      </c>
      <c r="Z22" s="42">
        <f>VLOOKUP($B22,'Solar Station Addition'!$A$3:$X$34,COLUMN(R34),FALSE)</f>
        <v>0</v>
      </c>
      <c r="AA22" s="42">
        <f>VLOOKUP($B22,'Solar Station Addition'!$A$3:$X$34,COLUMN(S34),FALSE)</f>
        <v>11.9</v>
      </c>
      <c r="AB22" s="42">
        <f>VLOOKUP($B22,'Solar Station Addition'!$A$3:$X$34,COLUMN(T34),FALSE)</f>
        <v>50</v>
      </c>
      <c r="AC22" s="42">
        <f>VLOOKUP($B22,'Solar Station Addition'!$A$3:$X$34,COLUMN(U34),FALSE)</f>
        <v>610</v>
      </c>
      <c r="AD22" s="42">
        <f>VLOOKUP($B22,'Solar Station Addition'!$A$3:$X$34,COLUMN(V34),FALSE)</f>
        <v>1420</v>
      </c>
      <c r="AE22" s="42">
        <f>VLOOKUP($B22,'Solar Station Addition'!$A$3:$X$34,COLUMN(W34),FALSE)</f>
        <v>1080</v>
      </c>
      <c r="AF22" s="43">
        <f>VLOOKUP($B22,'Solar Station Addition'!$A$3:$X$34,COLUMN(X34),FALSE)</f>
        <v>0</v>
      </c>
    </row>
    <row r="23" ht="13.85" spans="1:32">
      <c r="A23" s="27" t="s">
        <v>2347</v>
      </c>
      <c r="B23" s="44" t="s">
        <v>120</v>
      </c>
      <c r="C23" s="45"/>
      <c r="D23" s="45"/>
      <c r="E23" s="45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>
        <f>VLOOKUP($B23,'Solar Station Addition'!$A$3:$X$34,COLUMN(O35),FALSE)</f>
        <v>0</v>
      </c>
      <c r="X23" s="42">
        <f>VLOOKUP($B23,'Solar Station Addition'!$A$3:$X$34,COLUMN(P35),FALSE)</f>
        <v>0</v>
      </c>
      <c r="Y23" s="42">
        <f>VLOOKUP($B23,'Solar Station Addition'!$A$3:$X$34,COLUMN(Q35),FALSE)</f>
        <v>0</v>
      </c>
      <c r="Z23" s="42">
        <f>VLOOKUP($B23,'Solar Station Addition'!$A$3:$X$34,COLUMN(R35),FALSE)</f>
        <v>0</v>
      </c>
      <c r="AA23" s="42">
        <f>VLOOKUP($B23,'Solar Station Addition'!$A$3:$X$34,COLUMN(S35),FALSE)</f>
        <v>20</v>
      </c>
      <c r="AB23" s="42">
        <f>VLOOKUP($B23,'Solar Station Addition'!$A$3:$X$34,COLUMN(T35),FALSE)</f>
        <v>30</v>
      </c>
      <c r="AC23" s="42">
        <f>VLOOKUP($B23,'Solar Station Addition'!$A$3:$X$34,COLUMN(U35),FALSE)</f>
        <v>40</v>
      </c>
      <c r="AD23" s="42">
        <f>VLOOKUP($B23,'Solar Station Addition'!$A$3:$X$34,COLUMN(V35),FALSE)</f>
        <v>420</v>
      </c>
      <c r="AE23" s="42">
        <f>VLOOKUP($B23,'Solar Station Addition'!$A$3:$X$34,COLUMN(W35),FALSE)</f>
        <v>440</v>
      </c>
      <c r="AF23" s="43">
        <f>VLOOKUP($B23,'Solar Station Addition'!$A$3:$X$34,COLUMN(X35),FALSE)</f>
        <v>100</v>
      </c>
    </row>
    <row r="24" ht="13.85" spans="1:32">
      <c r="A24" s="27" t="s">
        <v>2347</v>
      </c>
      <c r="B24" s="44" t="s">
        <v>122</v>
      </c>
      <c r="C24" s="45"/>
      <c r="D24" s="45"/>
      <c r="E24" s="45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>
        <f>VLOOKUP($B24,'Solar Station Addition'!$A$3:$X$34,COLUMN(O36),FALSE)</f>
        <v>0</v>
      </c>
      <c r="X24" s="42">
        <f>VLOOKUP($B24,'Solar Station Addition'!$A$3:$X$34,COLUMN(P36),FALSE)</f>
        <v>20</v>
      </c>
      <c r="Y24" s="42">
        <f>VLOOKUP($B24,'Solar Station Addition'!$A$3:$X$34,COLUMN(Q36),FALSE)</f>
        <v>0</v>
      </c>
      <c r="Z24" s="42">
        <f>VLOOKUP($B24,'Solar Station Addition'!$A$3:$X$34,COLUMN(R36),FALSE)</f>
        <v>50</v>
      </c>
      <c r="AA24" s="42">
        <f>VLOOKUP($B24,'Solar Station Addition'!$A$3:$X$34,COLUMN(S36),FALSE)</f>
        <v>70</v>
      </c>
      <c r="AB24" s="42">
        <f>VLOOKUP($B24,'Solar Station Addition'!$A$3:$X$34,COLUMN(T36),FALSE)</f>
        <v>50</v>
      </c>
      <c r="AC24" s="42">
        <f>VLOOKUP($B24,'Solar Station Addition'!$A$3:$X$34,COLUMN(U36),FALSE)</f>
        <v>50</v>
      </c>
      <c r="AD24" s="42">
        <f>VLOOKUP($B24,'Solar Station Addition'!$A$3:$X$34,COLUMN(V36),FALSE)</f>
        <v>80</v>
      </c>
      <c r="AE24" s="42">
        <f>VLOOKUP($B24,'Solar Station Addition'!$A$3:$X$34,COLUMN(W36),FALSE)</f>
        <v>910</v>
      </c>
      <c r="AF24" s="43">
        <f>VLOOKUP($B24,'Solar Station Addition'!$A$3:$X$34,COLUMN(X36),FALSE)</f>
        <v>40</v>
      </c>
    </row>
    <row r="25" ht="13.85" spans="1:32">
      <c r="A25" s="27" t="s">
        <v>2347</v>
      </c>
      <c r="B25" s="44" t="s">
        <v>124</v>
      </c>
      <c r="C25" s="45"/>
      <c r="D25" s="45"/>
      <c r="E25" s="45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>
        <f>VLOOKUP($B25,'Solar Station Addition'!$A$3:$X$34,COLUMN(O37),FALSE)</f>
        <v>0</v>
      </c>
      <c r="X25" s="42">
        <f>VLOOKUP($B25,'Solar Station Addition'!$A$3:$X$34,COLUMN(P37),FALSE)</f>
        <v>0</v>
      </c>
      <c r="Y25" s="42">
        <f>VLOOKUP($B25,'Solar Station Addition'!$A$3:$X$34,COLUMN(Q37),FALSE)</f>
        <v>0</v>
      </c>
      <c r="Z25" s="42">
        <f>VLOOKUP($B25,'Solar Station Addition'!$A$3:$X$34,COLUMN(R37),FALSE)</f>
        <v>0</v>
      </c>
      <c r="AA25" s="42">
        <f>VLOOKUP($B25,'Solar Station Addition'!$A$3:$X$34,COLUMN(S37),FALSE)</f>
        <v>0</v>
      </c>
      <c r="AB25" s="42">
        <f>VLOOKUP($B25,'Solar Station Addition'!$A$3:$X$34,COLUMN(T37),FALSE)</f>
        <v>0</v>
      </c>
      <c r="AC25" s="42">
        <f>VLOOKUP($B25,'Solar Station Addition'!$A$3:$X$34,COLUMN(U37),FALSE)</f>
        <v>0</v>
      </c>
      <c r="AD25" s="42">
        <f>VLOOKUP($B25,'Solar Station Addition'!$A$3:$X$34,COLUMN(V37),FALSE)</f>
        <v>110</v>
      </c>
      <c r="AE25" s="42">
        <f>VLOOKUP($B25,'Solar Station Addition'!$A$3:$X$34,COLUMN(W37),FALSE)</f>
        <v>280</v>
      </c>
      <c r="AF25" s="43">
        <f>VLOOKUP($B25,'Solar Station Addition'!$A$3:$X$34,COLUMN(X37),FALSE)</f>
        <v>190</v>
      </c>
    </row>
    <row r="26" ht="13.85" spans="1:32">
      <c r="A26" s="27" t="s">
        <v>2347</v>
      </c>
      <c r="B26" s="44" t="s">
        <v>126</v>
      </c>
      <c r="C26" s="45"/>
      <c r="D26" s="45"/>
      <c r="E26" s="45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>
        <f>VLOOKUP($B26,'Solar Station Addition'!$A$3:$X$34,COLUMN(O38),FALSE)</f>
        <v>0</v>
      </c>
      <c r="X26" s="42">
        <f>VLOOKUP($B26,'Solar Station Addition'!$A$3:$X$34,COLUMN(P38),FALSE)</f>
        <v>0</v>
      </c>
      <c r="Y26" s="42">
        <f>VLOOKUP($B26,'Solar Station Addition'!$A$3:$X$34,COLUMN(Q38),FALSE)</f>
        <v>0</v>
      </c>
      <c r="Z26" s="42">
        <f>VLOOKUP($B26,'Solar Station Addition'!$A$3:$X$34,COLUMN(R38),FALSE)</f>
        <v>30</v>
      </c>
      <c r="AA26" s="42">
        <f>VLOOKUP($B26,'Solar Station Addition'!$A$3:$X$34,COLUMN(S38),FALSE)</f>
        <v>20</v>
      </c>
      <c r="AB26" s="42">
        <f>VLOOKUP($B26,'Solar Station Addition'!$A$3:$X$34,COLUMN(T38),FALSE)</f>
        <v>280</v>
      </c>
      <c r="AC26" s="42">
        <f>VLOOKUP($B26,'Solar Station Addition'!$A$3:$X$34,COLUMN(U38),FALSE)</f>
        <v>570</v>
      </c>
      <c r="AD26" s="42">
        <f>VLOOKUP($B26,'Solar Station Addition'!$A$3:$X$34,COLUMN(V38),FALSE)</f>
        <v>260</v>
      </c>
      <c r="AE26" s="42">
        <f>VLOOKUP($B26,'Solar Station Addition'!$A$3:$X$34,COLUMN(W38),FALSE)</f>
        <v>520</v>
      </c>
      <c r="AF26" s="43">
        <f>VLOOKUP($B26,'Solar Station Addition'!$A$3:$X$34,COLUMN(X38),FALSE)</f>
        <v>10</v>
      </c>
    </row>
    <row r="27" ht="13.85" spans="1:32">
      <c r="A27" s="27" t="s">
        <v>2347</v>
      </c>
      <c r="B27" s="44" t="s">
        <v>128</v>
      </c>
      <c r="C27" s="45"/>
      <c r="D27" s="45"/>
      <c r="E27" s="45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>
        <f>VLOOKUP($B27,'Solar Station Addition'!$A$3:$X$34,COLUMN(O39),FALSE)</f>
        <v>0</v>
      </c>
      <c r="X27" s="42">
        <f>VLOOKUP($B27,'Solar Station Addition'!$A$3:$X$34,COLUMN(P39),FALSE)</f>
        <v>0</v>
      </c>
      <c r="Y27" s="42">
        <f>VLOOKUP($B27,'Solar Station Addition'!$A$3:$X$34,COLUMN(Q39),FALSE)</f>
        <v>0</v>
      </c>
      <c r="Z27" s="42">
        <f>VLOOKUP($B27,'Solar Station Addition'!$A$3:$X$34,COLUMN(R39),FALSE)</f>
        <v>0</v>
      </c>
      <c r="AA27" s="42">
        <f>VLOOKUP($B27,'Solar Station Addition'!$A$3:$X$34,COLUMN(S39),FALSE)</f>
        <v>0</v>
      </c>
      <c r="AB27" s="42">
        <f>VLOOKUP($B27,'Solar Station Addition'!$A$3:$X$34,COLUMN(T39),FALSE)</f>
        <v>30</v>
      </c>
      <c r="AC27" s="42">
        <f>VLOOKUP($B27,'Solar Station Addition'!$A$3:$X$34,COLUMN(U39),FALSE)</f>
        <v>430</v>
      </c>
      <c r="AD27" s="42">
        <f>VLOOKUP($B27,'Solar Station Addition'!$A$3:$X$34,COLUMN(V39),FALSE)</f>
        <v>890</v>
      </c>
      <c r="AE27" s="42">
        <f>VLOOKUP($B27,'Solar Station Addition'!$A$3:$X$34,COLUMN(W39),FALSE)</f>
        <v>260</v>
      </c>
      <c r="AF27" s="43">
        <f>VLOOKUP($B27,'Solar Station Addition'!$A$3:$X$34,COLUMN(X39),FALSE)</f>
        <v>3300</v>
      </c>
    </row>
    <row r="28" ht="13.85" spans="1:32">
      <c r="A28" s="27" t="s">
        <v>2347</v>
      </c>
      <c r="B28" s="44" t="s">
        <v>130</v>
      </c>
      <c r="C28" s="45"/>
      <c r="D28" s="45"/>
      <c r="E28" s="45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>
        <f>VLOOKUP($B28,'Solar Station Addition'!$A$3:$X$34,COLUMN(O40),FALSE)</f>
        <v>20</v>
      </c>
      <c r="X28" s="42">
        <f>VLOOKUP($B28,'Solar Station Addition'!$A$3:$X$34,COLUMN(P40),FALSE)</f>
        <v>0</v>
      </c>
      <c r="Y28" s="42">
        <f>VLOOKUP($B28,'Solar Station Addition'!$A$3:$X$34,COLUMN(Q40),FALSE)</f>
        <v>10</v>
      </c>
      <c r="Z28" s="42">
        <f>VLOOKUP($B28,'Solar Station Addition'!$A$3:$X$34,COLUMN(R40),FALSE)</f>
        <v>150</v>
      </c>
      <c r="AA28" s="42">
        <f>VLOOKUP($B28,'Solar Station Addition'!$A$3:$X$34,COLUMN(S40),FALSE)</f>
        <v>150</v>
      </c>
      <c r="AB28" s="42">
        <f>VLOOKUP($B28,'Solar Station Addition'!$A$3:$X$34,COLUMN(T40),FALSE)</f>
        <v>300</v>
      </c>
      <c r="AC28" s="42">
        <f>VLOOKUP($B28,'Solar Station Addition'!$A$3:$X$34,COLUMN(U40),FALSE)</f>
        <v>1450</v>
      </c>
      <c r="AD28" s="42">
        <f>VLOOKUP($B28,'Solar Station Addition'!$A$3:$X$34,COLUMN(V40),FALSE)</f>
        <v>295</v>
      </c>
      <c r="AE28" s="42">
        <f>VLOOKUP($B28,'Solar Station Addition'!$A$3:$X$34,COLUMN(W40),FALSE)</f>
        <v>745</v>
      </c>
      <c r="AF28" s="43">
        <f>VLOOKUP($B28,'Solar Station Addition'!$A$3:$X$34,COLUMN(X40),FALSE)</f>
        <v>380</v>
      </c>
    </row>
    <row r="29" ht="13.85" spans="1:32">
      <c r="A29" s="27" t="s">
        <v>2347</v>
      </c>
      <c r="B29" s="44" t="s">
        <v>132</v>
      </c>
      <c r="C29" s="45"/>
      <c r="D29" s="45"/>
      <c r="E29" s="45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>
        <f>VLOOKUP($B29,'Solar Station Addition'!$A$3:$X$34,COLUMN(O41),FALSE)</f>
        <v>0</v>
      </c>
      <c r="X29" s="42">
        <f>VLOOKUP($B29,'Solar Station Addition'!$A$3:$X$34,COLUMN(P41),FALSE)</f>
        <v>40.1</v>
      </c>
      <c r="Y29" s="42">
        <f>VLOOKUP($B29,'Solar Station Addition'!$A$3:$X$34,COLUMN(Q41),FALSE)</f>
        <v>40</v>
      </c>
      <c r="Z29" s="42">
        <f>VLOOKUP($B29,'Solar Station Addition'!$A$3:$X$34,COLUMN(R41),FALSE)</f>
        <v>29.9</v>
      </c>
      <c r="AA29" s="42">
        <f>VLOOKUP($B29,'Solar Station Addition'!$A$3:$X$34,COLUMN(S41),FALSE)</f>
        <v>40</v>
      </c>
      <c r="AB29" s="42">
        <f>VLOOKUP($B29,'Solar Station Addition'!$A$3:$X$34,COLUMN(T41),FALSE)</f>
        <v>20</v>
      </c>
      <c r="AC29" s="42">
        <f>VLOOKUP($B29,'Solar Station Addition'!$A$3:$X$34,COLUMN(U41),FALSE)</f>
        <v>160</v>
      </c>
      <c r="AD29" s="42">
        <f>VLOOKUP($B29,'Solar Station Addition'!$A$3:$X$34,COLUMN(V41),FALSE)</f>
        <v>460</v>
      </c>
      <c r="AE29" s="42">
        <f>VLOOKUP($B29,'Solar Station Addition'!$A$3:$X$34,COLUMN(W41),FALSE)</f>
        <v>190</v>
      </c>
      <c r="AF29" s="43">
        <f>VLOOKUP($B29,'Solar Station Addition'!$A$3:$X$34,COLUMN(X41),FALSE)</f>
        <v>120</v>
      </c>
    </row>
    <row r="30" ht="13.85" spans="1:32">
      <c r="A30" s="27" t="s">
        <v>2347</v>
      </c>
      <c r="B30" s="44" t="s">
        <v>134</v>
      </c>
      <c r="C30" s="45"/>
      <c r="D30" s="45"/>
      <c r="E30" s="45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>
        <f>VLOOKUP($B30,'Solar Station Addition'!$A$3:$X$34,COLUMN(O42),FALSE)</f>
        <v>0</v>
      </c>
      <c r="X30" s="42">
        <f>VLOOKUP($B30,'Solar Station Addition'!$A$3:$X$34,COLUMN(P42),FALSE)</f>
        <v>20</v>
      </c>
      <c r="Y30" s="42">
        <f>VLOOKUP($B30,'Solar Station Addition'!$A$3:$X$34,COLUMN(Q42),FALSE)</f>
        <v>0</v>
      </c>
      <c r="Z30" s="42">
        <f>VLOOKUP($B30,'Solar Station Addition'!$A$3:$X$34,COLUMN(R42),FALSE)</f>
        <v>90</v>
      </c>
      <c r="AA30" s="42">
        <f>VLOOKUP($B30,'Solar Station Addition'!$A$3:$X$34,COLUMN(S42),FALSE)</f>
        <v>410</v>
      </c>
      <c r="AB30" s="42">
        <f>VLOOKUP($B30,'Solar Station Addition'!$A$3:$X$34,COLUMN(T42),FALSE)</f>
        <v>600</v>
      </c>
      <c r="AC30" s="42">
        <f>VLOOKUP($B30,'Solar Station Addition'!$A$3:$X$34,COLUMN(U42),FALSE)</f>
        <v>2100</v>
      </c>
      <c r="AD30" s="42">
        <f>VLOOKUP($B30,'Solar Station Addition'!$A$3:$X$34,COLUMN(V42),FALSE)</f>
        <v>1620</v>
      </c>
      <c r="AE30" s="42">
        <f>VLOOKUP($B30,'Solar Station Addition'!$A$3:$X$34,COLUMN(W42),FALSE)</f>
        <v>1560</v>
      </c>
      <c r="AF30" s="43">
        <f>VLOOKUP($B30,'Solar Station Addition'!$A$3:$X$34,COLUMN(X42),FALSE)</f>
        <v>1380</v>
      </c>
    </row>
    <row r="31" ht="13.85" spans="1:32">
      <c r="A31" s="27" t="s">
        <v>2347</v>
      </c>
      <c r="B31" s="44" t="s">
        <v>136</v>
      </c>
      <c r="C31" s="45"/>
      <c r="D31" s="45"/>
      <c r="E31" s="45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>
        <f>VLOOKUP($B31,'Solar Station Addition'!$A$3:$X$34,COLUMN(O43),FALSE)</f>
        <v>0</v>
      </c>
      <c r="X31" s="42">
        <f>VLOOKUP($B31,'Solar Station Addition'!$A$3:$X$34,COLUMN(P43),FALSE)</f>
        <v>111</v>
      </c>
      <c r="Y31" s="42">
        <f>VLOOKUP($B31,'Solar Station Addition'!$A$3:$X$34,COLUMN(Q43),FALSE)</f>
        <v>271</v>
      </c>
      <c r="Z31" s="42">
        <f>VLOOKUP($B31,'Solar Station Addition'!$A$3:$X$34,COLUMN(R43),FALSE)</f>
        <v>3818</v>
      </c>
      <c r="AA31" s="42">
        <f>VLOOKUP($B31,'Solar Station Addition'!$A$3:$X$34,COLUMN(S43),FALSE)</f>
        <v>970</v>
      </c>
      <c r="AB31" s="42">
        <f>VLOOKUP($B31,'Solar Station Addition'!$A$3:$X$34,COLUMN(T43),FALSE)</f>
        <v>890</v>
      </c>
      <c r="AC31" s="42">
        <f>VLOOKUP($B31,'Solar Station Addition'!$A$3:$X$34,COLUMN(U43),FALSE)</f>
        <v>740</v>
      </c>
      <c r="AD31" s="42">
        <f>VLOOKUP($B31,'Solar Station Addition'!$A$3:$X$34,COLUMN(V43),FALSE)</f>
        <v>880</v>
      </c>
      <c r="AE31" s="42">
        <f>VLOOKUP($B31,'Solar Station Addition'!$A$3:$X$34,COLUMN(W43),FALSE)</f>
        <v>220</v>
      </c>
      <c r="AF31" s="43">
        <f>VLOOKUP($B31,'Solar Station Addition'!$A$3:$X$34,COLUMN(X43),FALSE)</f>
        <v>460</v>
      </c>
    </row>
    <row r="32" ht="13.85" spans="1:32">
      <c r="A32" s="27" t="s">
        <v>2347</v>
      </c>
      <c r="B32" s="44" t="s">
        <v>138</v>
      </c>
      <c r="C32" s="45"/>
      <c r="D32" s="45"/>
      <c r="E32" s="45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>
        <f>VLOOKUP($B32,'Solar Station Addition'!$A$3:$X$34,COLUMN(O44),FALSE)</f>
        <v>0</v>
      </c>
      <c r="X32" s="42">
        <f>VLOOKUP($B32,'Solar Station Addition'!$A$3:$X$34,COLUMN(P44),FALSE)</f>
        <v>938</v>
      </c>
      <c r="Y32" s="42">
        <f>VLOOKUP($B32,'Solar Station Addition'!$A$3:$X$34,COLUMN(Q44),FALSE)</f>
        <v>425</v>
      </c>
      <c r="Z32" s="42">
        <f>VLOOKUP($B32,'Solar Station Addition'!$A$3:$X$34,COLUMN(R44),FALSE)</f>
        <v>1747</v>
      </c>
      <c r="AA32" s="42">
        <f>VLOOKUP($B32,'Solar Station Addition'!$A$3:$X$34,COLUMN(S44),FALSE)</f>
        <v>1020</v>
      </c>
      <c r="AB32" s="42">
        <f>VLOOKUP($B32,'Solar Station Addition'!$A$3:$X$34,COLUMN(T44),FALSE)</f>
        <v>1510</v>
      </c>
      <c r="AC32" s="42">
        <f>VLOOKUP($B32,'Solar Station Addition'!$A$3:$X$34,COLUMN(U44),FALSE)</f>
        <v>1180</v>
      </c>
      <c r="AD32" s="42">
        <f>VLOOKUP($B32,'Solar Station Addition'!$A$3:$X$34,COLUMN(V44),FALSE)</f>
        <v>1040</v>
      </c>
      <c r="AE32" s="42">
        <f>VLOOKUP($B32,'Solar Station Addition'!$A$3:$X$34,COLUMN(W44),FALSE)</f>
        <v>1660</v>
      </c>
      <c r="AF32" s="43">
        <f>VLOOKUP($B32,'Solar Station Addition'!$A$3:$X$34,COLUMN(X44),FALSE)</f>
        <v>1340</v>
      </c>
    </row>
    <row r="33" ht="13.85" spans="1:32">
      <c r="A33" s="27" t="s">
        <v>2347</v>
      </c>
      <c r="B33" s="44" t="s">
        <v>140</v>
      </c>
      <c r="C33" s="45"/>
      <c r="D33" s="45"/>
      <c r="E33" s="45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>
        <f>VLOOKUP($B33,'Solar Station Addition'!$A$3:$X$34,COLUMN(O45),FALSE)</f>
        <v>90.33</v>
      </c>
      <c r="X33" s="42">
        <f>VLOOKUP($B33,'Solar Station Addition'!$A$3:$X$34,COLUMN(P45),FALSE)</f>
        <v>401</v>
      </c>
      <c r="Y33" s="42">
        <f>VLOOKUP($B33,'Solar Station Addition'!$A$3:$X$34,COLUMN(Q45),FALSE)</f>
        <v>39.5000000000001</v>
      </c>
      <c r="Z33" s="42">
        <f>VLOOKUP($B33,'Solar Station Addition'!$A$3:$X$34,COLUMN(R45),FALSE)</f>
        <v>819.17</v>
      </c>
      <c r="AA33" s="42">
        <f>VLOOKUP($B33,'Solar Station Addition'!$A$3:$X$34,COLUMN(S45),FALSE)</f>
        <v>810</v>
      </c>
      <c r="AB33" s="42">
        <f>VLOOKUP($B33,'Solar Station Addition'!$A$3:$X$34,COLUMN(T45),FALSE)</f>
        <v>900</v>
      </c>
      <c r="AC33" s="42">
        <f>VLOOKUP($B33,'Solar Station Addition'!$A$3:$X$34,COLUMN(U45),FALSE)</f>
        <v>1990</v>
      </c>
      <c r="AD33" s="42">
        <f>VLOOKUP($B33,'Solar Station Addition'!$A$3:$X$34,COLUMN(V45),FALSE)</f>
        <v>820</v>
      </c>
      <c r="AE33" s="42">
        <f>VLOOKUP($B33,'Solar Station Addition'!$A$3:$X$34,COLUMN(W45),FALSE)</f>
        <v>1740</v>
      </c>
      <c r="AF33" s="43">
        <f>VLOOKUP($B33,'Solar Station Addition'!$A$3:$X$34,COLUMN(X45),FALSE)</f>
        <v>830</v>
      </c>
    </row>
    <row r="34" ht="13.85" spans="1:32">
      <c r="A34" s="27" t="s">
        <v>2347</v>
      </c>
      <c r="B34" s="44" t="s">
        <v>142</v>
      </c>
      <c r="C34" s="45"/>
      <c r="D34" s="45"/>
      <c r="E34" s="45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>
        <f>VLOOKUP($B34,'Solar Station Addition'!$A$3:$X$34,COLUMN(O46),FALSE)</f>
        <v>0</v>
      </c>
      <c r="X34" s="42">
        <f>VLOOKUP($B34,'Solar Station Addition'!$A$3:$X$34,COLUMN(P46),FALSE)</f>
        <v>0</v>
      </c>
      <c r="Y34" s="42">
        <f>VLOOKUP($B34,'Solar Station Addition'!$A$3:$X$34,COLUMN(Q46),FALSE)</f>
        <v>180</v>
      </c>
      <c r="Z34" s="42">
        <f>VLOOKUP($B34,'Solar Station Addition'!$A$3:$X$34,COLUMN(R46),FALSE)</f>
        <v>2750</v>
      </c>
      <c r="AA34" s="42">
        <f>VLOOKUP($B34,'Solar Station Addition'!$A$3:$X$34,COLUMN(S46),FALSE)</f>
        <v>590</v>
      </c>
      <c r="AB34" s="42">
        <f>VLOOKUP($B34,'Solar Station Addition'!$A$3:$X$34,COLUMN(T46),FALSE)</f>
        <v>1770</v>
      </c>
      <c r="AC34" s="42">
        <f>VLOOKUP($B34,'Solar Station Addition'!$A$3:$X$34,COLUMN(U46),FALSE)</f>
        <v>3330</v>
      </c>
      <c r="AD34" s="42">
        <f>VLOOKUP($B34,'Solar Station Addition'!$A$3:$X$34,COLUMN(V46),FALSE)</f>
        <v>710</v>
      </c>
      <c r="AE34" s="42">
        <f>VLOOKUP($B34,'Solar Station Addition'!$A$3:$X$34,COLUMN(W46),FALSE)</f>
        <v>430</v>
      </c>
      <c r="AF34" s="43">
        <f>VLOOKUP($B34,'Solar Station Addition'!$A$3:$X$34,COLUMN(X46),FALSE)</f>
        <v>900</v>
      </c>
    </row>
    <row r="35" s="38" customFormat="1" spans="1:32">
      <c r="A35" s="46"/>
      <c r="B35" s="46"/>
      <c r="C35" s="47"/>
      <c r="D35" s="47"/>
      <c r="E35" s="47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ht="13.85" spans="1:32">
      <c r="A36" s="27" t="s">
        <v>35</v>
      </c>
      <c r="B36" s="41" t="s">
        <v>80</v>
      </c>
      <c r="C36" s="42">
        <f t="shared" ref="C36" si="28">SUM(C37:C67)</f>
        <v>0</v>
      </c>
      <c r="D36" s="42">
        <f t="shared" ref="D36" si="29">SUM(D37:D67)</f>
        <v>0</v>
      </c>
      <c r="E36" s="42">
        <f t="shared" ref="E36" si="30">SUM(E37:E67)</f>
        <v>0</v>
      </c>
      <c r="F36" s="42">
        <f t="shared" ref="F36" si="31">SUM(F37:F67)</f>
        <v>0</v>
      </c>
      <c r="G36" s="42">
        <f t="shared" ref="G36" si="32">SUM(G37:G67)</f>
        <v>0</v>
      </c>
      <c r="H36" s="42">
        <f t="shared" ref="H36" si="33">SUM(H37:H67)</f>
        <v>0</v>
      </c>
      <c r="I36" s="42">
        <f t="shared" ref="I36" si="34">SUM(I37:I67)</f>
        <v>0</v>
      </c>
      <c r="J36" s="42">
        <f t="shared" ref="J36" si="35">SUM(J37:J67)</f>
        <v>0</v>
      </c>
      <c r="K36" s="42">
        <f t="shared" ref="K36" si="36">SUM(K37:K67)</f>
        <v>0</v>
      </c>
      <c r="L36" s="42">
        <f t="shared" ref="L36" si="37">SUM(L37:L67)</f>
        <v>0</v>
      </c>
      <c r="M36" s="42">
        <f t="shared" ref="M36" si="38">SUM(M37:M67)</f>
        <v>0</v>
      </c>
      <c r="N36" s="42">
        <f t="shared" ref="N36" si="39">SUM(N37:N67)</f>
        <v>0</v>
      </c>
      <c r="O36" s="42">
        <f t="shared" ref="O36" si="40">SUM(O37:O67)</f>
        <v>0</v>
      </c>
      <c r="P36" s="42">
        <f t="shared" ref="P36" si="41">SUM(P37:P67)</f>
        <v>0</v>
      </c>
      <c r="Q36" s="42">
        <f t="shared" ref="Q36" si="42">SUM(Q37:Q67)</f>
        <v>0</v>
      </c>
      <c r="R36" s="42">
        <f t="shared" ref="R36" si="43">SUM(R37:R67)</f>
        <v>0</v>
      </c>
      <c r="S36" s="42">
        <f t="shared" ref="S36" si="44">SUM(S37:S67)</f>
        <v>0</v>
      </c>
      <c r="T36" s="42">
        <f t="shared" ref="T36" si="45">SUM(T37:T67)</f>
        <v>0</v>
      </c>
      <c r="U36" s="42">
        <f t="shared" ref="U36" si="46">SUM(U37:U67)</f>
        <v>0</v>
      </c>
      <c r="V36" s="42">
        <f t="shared" ref="V36" si="47">SUM(V37:V67)</f>
        <v>0</v>
      </c>
      <c r="W36" s="42">
        <f t="shared" ref="W36" si="48">SUM(W37:W67)</f>
        <v>0</v>
      </c>
      <c r="X36" s="42">
        <f t="shared" ref="X36" si="49">SUM(X37:X67)</f>
        <v>0</v>
      </c>
      <c r="Y36" s="42">
        <f t="shared" ref="Y36" si="50">SUM(Y37:Y67)</f>
        <v>0</v>
      </c>
      <c r="Z36" s="42">
        <f t="shared" ref="Z36" si="51">SUM(Z37:Z67)</f>
        <v>0</v>
      </c>
      <c r="AA36" s="42">
        <f t="shared" ref="AA36" si="52">SUM(AA37:AA67)</f>
        <v>0</v>
      </c>
      <c r="AB36" s="42">
        <f t="shared" ref="AB36" si="53">SUM(AB37:AB67)</f>
        <v>0</v>
      </c>
      <c r="AC36" s="42">
        <f t="shared" ref="AC36" si="54">SUM(AC37:AC67)</f>
        <v>0</v>
      </c>
      <c r="AD36" s="42">
        <f t="shared" ref="AD36" si="55">SUM(AD37:AD67)</f>
        <v>0</v>
      </c>
      <c r="AE36" s="42">
        <f t="shared" ref="AE36:AF36" si="56">SUM(AE37:AE67)</f>
        <v>50</v>
      </c>
      <c r="AF36" s="43">
        <f t="shared" si="56"/>
        <v>200</v>
      </c>
    </row>
    <row r="37" ht="13.85" spans="1:32">
      <c r="A37" s="27" t="s">
        <v>35</v>
      </c>
      <c r="B37" s="44" t="s">
        <v>82</v>
      </c>
      <c r="C37" s="45"/>
      <c r="D37" s="45"/>
      <c r="E37" s="45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>
        <f>SUMIFS('Solar Thermal'!$F:$F,'Solar Thermal'!$D:$D,$B37,'Solar Thermal'!$C:$C,W$2)</f>
        <v>0</v>
      </c>
      <c r="X37" s="42">
        <f>SUMIFS('Solar Thermal'!$F:$F,'Solar Thermal'!$D:$D,$B37,'Solar Thermal'!$C:$C,X$2)</f>
        <v>0</v>
      </c>
      <c r="Y37" s="42">
        <f>SUMIFS('Solar Thermal'!$F:$F,'Solar Thermal'!$D:$D,$B37,'Solar Thermal'!$C:$C,Y$2)</f>
        <v>0</v>
      </c>
      <c r="Z37" s="42">
        <f>SUMIFS('Solar Thermal'!$F:$F,'Solar Thermal'!$D:$D,$B37,'Solar Thermal'!$C:$C,Z$2)</f>
        <v>0</v>
      </c>
      <c r="AA37" s="42">
        <f>SUMIFS('Solar Thermal'!$F:$F,'Solar Thermal'!$D:$D,$B37,'Solar Thermal'!$C:$C,AA$2)</f>
        <v>0</v>
      </c>
      <c r="AB37" s="42">
        <f>SUMIFS('Solar Thermal'!$F:$F,'Solar Thermal'!$D:$D,$B37,'Solar Thermal'!$C:$C,AB$2)</f>
        <v>0</v>
      </c>
      <c r="AC37" s="42">
        <f>SUMIFS('Solar Thermal'!$F:$F,'Solar Thermal'!$D:$D,$B37,'Solar Thermal'!$C:$C,AC$2)</f>
        <v>0</v>
      </c>
      <c r="AD37" s="42">
        <f>SUMIFS('Solar Thermal'!$F:$F,'Solar Thermal'!$D:$D,$B37,'Solar Thermal'!$C:$C,AD$2)</f>
        <v>0</v>
      </c>
      <c r="AE37" s="42">
        <f>SUMIFS('Solar Thermal'!$F:$F,'Solar Thermal'!$D:$D,$B37,'Solar Thermal'!$C:$C,AE$2)</f>
        <v>0</v>
      </c>
      <c r="AF37" s="43">
        <f>SUMIFS('Solar Thermal'!$F:$F,'Solar Thermal'!$D:$D,$B37,'Solar Thermal'!$C:$C,AF$2)</f>
        <v>0</v>
      </c>
    </row>
    <row r="38" ht="13.85" spans="1:32">
      <c r="A38" s="27" t="s">
        <v>35</v>
      </c>
      <c r="B38" s="44" t="s">
        <v>84</v>
      </c>
      <c r="C38" s="45"/>
      <c r="D38" s="45"/>
      <c r="E38" s="45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>
        <f>SUMIFS('Solar Thermal'!$F:$F,'Solar Thermal'!$D:$D,$B38,'Solar Thermal'!$C:$C,W$2)</f>
        <v>0</v>
      </c>
      <c r="X38" s="42">
        <f>SUMIFS('Solar Thermal'!$F:$F,'Solar Thermal'!$D:$D,$B38,'Solar Thermal'!$C:$C,X$2)</f>
        <v>0</v>
      </c>
      <c r="Y38" s="42">
        <f>SUMIFS('Solar Thermal'!$F:$F,'Solar Thermal'!$D:$D,$B38,'Solar Thermal'!$C:$C,Y$2)</f>
        <v>0</v>
      </c>
      <c r="Z38" s="42">
        <f>SUMIFS('Solar Thermal'!$F:$F,'Solar Thermal'!$D:$D,$B38,'Solar Thermal'!$C:$C,Z$2)</f>
        <v>0</v>
      </c>
      <c r="AA38" s="42">
        <f>SUMIFS('Solar Thermal'!$F:$F,'Solar Thermal'!$D:$D,$B38,'Solar Thermal'!$C:$C,AA$2)</f>
        <v>0</v>
      </c>
      <c r="AB38" s="42">
        <f>SUMIFS('Solar Thermal'!$F:$F,'Solar Thermal'!$D:$D,$B38,'Solar Thermal'!$C:$C,AB$2)</f>
        <v>0</v>
      </c>
      <c r="AC38" s="42">
        <f>SUMIFS('Solar Thermal'!$F:$F,'Solar Thermal'!$D:$D,$B38,'Solar Thermal'!$C:$C,AC$2)</f>
        <v>0</v>
      </c>
      <c r="AD38" s="42">
        <f>SUMIFS('Solar Thermal'!$F:$F,'Solar Thermal'!$D:$D,$B38,'Solar Thermal'!$C:$C,AD$2)</f>
        <v>0</v>
      </c>
      <c r="AE38" s="42">
        <f>SUMIFS('Solar Thermal'!$F:$F,'Solar Thermal'!$D:$D,$B38,'Solar Thermal'!$C:$C,AE$2)</f>
        <v>0</v>
      </c>
      <c r="AF38" s="43">
        <f>SUMIFS('Solar Thermal'!$F:$F,'Solar Thermal'!$D:$D,$B38,'Solar Thermal'!$C:$C,AF$2)</f>
        <v>0</v>
      </c>
    </row>
    <row r="39" ht="13.85" spans="1:32">
      <c r="A39" s="27" t="s">
        <v>35</v>
      </c>
      <c r="B39" s="44" t="s">
        <v>86</v>
      </c>
      <c r="C39" s="45"/>
      <c r="D39" s="45"/>
      <c r="E39" s="45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>
        <f>SUMIFS('Solar Thermal'!$F:$F,'Solar Thermal'!$D:$D,$B39,'Solar Thermal'!$C:$C,W$2)</f>
        <v>0</v>
      </c>
      <c r="X39" s="42">
        <f>SUMIFS('Solar Thermal'!$F:$F,'Solar Thermal'!$D:$D,$B39,'Solar Thermal'!$C:$C,X$2)</f>
        <v>0</v>
      </c>
      <c r="Y39" s="42">
        <f>SUMIFS('Solar Thermal'!$F:$F,'Solar Thermal'!$D:$D,$B39,'Solar Thermal'!$C:$C,Y$2)</f>
        <v>0</v>
      </c>
      <c r="Z39" s="42">
        <f>SUMIFS('Solar Thermal'!$F:$F,'Solar Thermal'!$D:$D,$B39,'Solar Thermal'!$C:$C,Z$2)</f>
        <v>0</v>
      </c>
      <c r="AA39" s="42">
        <f>SUMIFS('Solar Thermal'!$F:$F,'Solar Thermal'!$D:$D,$B39,'Solar Thermal'!$C:$C,AA$2)</f>
        <v>0</v>
      </c>
      <c r="AB39" s="42">
        <f>SUMIFS('Solar Thermal'!$F:$F,'Solar Thermal'!$D:$D,$B39,'Solar Thermal'!$C:$C,AB$2)</f>
        <v>0</v>
      </c>
      <c r="AC39" s="42">
        <f>SUMIFS('Solar Thermal'!$F:$F,'Solar Thermal'!$D:$D,$B39,'Solar Thermal'!$C:$C,AC$2)</f>
        <v>0</v>
      </c>
      <c r="AD39" s="42">
        <f>SUMIFS('Solar Thermal'!$F:$F,'Solar Thermal'!$D:$D,$B39,'Solar Thermal'!$C:$C,AD$2)</f>
        <v>0</v>
      </c>
      <c r="AE39" s="42">
        <f>SUMIFS('Solar Thermal'!$F:$F,'Solar Thermal'!$D:$D,$B39,'Solar Thermal'!$C:$C,AE$2)</f>
        <v>0</v>
      </c>
      <c r="AF39" s="43">
        <f>SUMIFS('Solar Thermal'!$F:$F,'Solar Thermal'!$D:$D,$B39,'Solar Thermal'!$C:$C,AF$2)</f>
        <v>0</v>
      </c>
    </row>
    <row r="40" ht="13.85" spans="1:32">
      <c r="A40" s="27" t="s">
        <v>35</v>
      </c>
      <c r="B40" s="44" t="s">
        <v>88</v>
      </c>
      <c r="C40" s="45"/>
      <c r="D40" s="45"/>
      <c r="E40" s="45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>
        <f>SUMIFS('Solar Thermal'!$F:$F,'Solar Thermal'!$D:$D,$B40,'Solar Thermal'!$C:$C,W$2)</f>
        <v>0</v>
      </c>
      <c r="X40" s="42">
        <f>SUMIFS('Solar Thermal'!$F:$F,'Solar Thermal'!$D:$D,$B40,'Solar Thermal'!$C:$C,X$2)</f>
        <v>0</v>
      </c>
      <c r="Y40" s="42">
        <f>SUMIFS('Solar Thermal'!$F:$F,'Solar Thermal'!$D:$D,$B40,'Solar Thermal'!$C:$C,Y$2)</f>
        <v>0</v>
      </c>
      <c r="Z40" s="42">
        <f>SUMIFS('Solar Thermal'!$F:$F,'Solar Thermal'!$D:$D,$B40,'Solar Thermal'!$C:$C,Z$2)</f>
        <v>0</v>
      </c>
      <c r="AA40" s="42">
        <f>SUMIFS('Solar Thermal'!$F:$F,'Solar Thermal'!$D:$D,$B40,'Solar Thermal'!$C:$C,AA$2)</f>
        <v>0</v>
      </c>
      <c r="AB40" s="42">
        <f>SUMIFS('Solar Thermal'!$F:$F,'Solar Thermal'!$D:$D,$B40,'Solar Thermal'!$C:$C,AB$2)</f>
        <v>0</v>
      </c>
      <c r="AC40" s="42">
        <f>SUMIFS('Solar Thermal'!$F:$F,'Solar Thermal'!$D:$D,$B40,'Solar Thermal'!$C:$C,AC$2)</f>
        <v>0</v>
      </c>
      <c r="AD40" s="42">
        <f>SUMIFS('Solar Thermal'!$F:$F,'Solar Thermal'!$D:$D,$B40,'Solar Thermal'!$C:$C,AD$2)</f>
        <v>0</v>
      </c>
      <c r="AE40" s="42">
        <f>SUMIFS('Solar Thermal'!$F:$F,'Solar Thermal'!$D:$D,$B40,'Solar Thermal'!$C:$C,AE$2)</f>
        <v>0</v>
      </c>
      <c r="AF40" s="43">
        <f>SUMIFS('Solar Thermal'!$F:$F,'Solar Thermal'!$D:$D,$B40,'Solar Thermal'!$C:$C,AF$2)</f>
        <v>0</v>
      </c>
    </row>
    <row r="41" ht="13.85" spans="1:32">
      <c r="A41" s="27" t="s">
        <v>35</v>
      </c>
      <c r="B41" s="44" t="s">
        <v>90</v>
      </c>
      <c r="C41" s="45"/>
      <c r="D41" s="45"/>
      <c r="E41" s="45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>
        <f>SUMIFS('Solar Thermal'!$F:$F,'Solar Thermal'!$D:$D,$B41,'Solar Thermal'!$C:$C,W$2)</f>
        <v>0</v>
      </c>
      <c r="X41" s="42">
        <f>SUMIFS('Solar Thermal'!$F:$F,'Solar Thermal'!$D:$D,$B41,'Solar Thermal'!$C:$C,X$2)</f>
        <v>0</v>
      </c>
      <c r="Y41" s="42">
        <f>SUMIFS('Solar Thermal'!$F:$F,'Solar Thermal'!$D:$D,$B41,'Solar Thermal'!$C:$C,Y$2)</f>
        <v>0</v>
      </c>
      <c r="Z41" s="42">
        <f>SUMIFS('Solar Thermal'!$F:$F,'Solar Thermal'!$D:$D,$B41,'Solar Thermal'!$C:$C,Z$2)</f>
        <v>0</v>
      </c>
      <c r="AA41" s="42">
        <f>SUMIFS('Solar Thermal'!$F:$F,'Solar Thermal'!$D:$D,$B41,'Solar Thermal'!$C:$C,AA$2)</f>
        <v>0</v>
      </c>
      <c r="AB41" s="42">
        <f>SUMIFS('Solar Thermal'!$F:$F,'Solar Thermal'!$D:$D,$B41,'Solar Thermal'!$C:$C,AB$2)</f>
        <v>0</v>
      </c>
      <c r="AC41" s="42">
        <f>SUMIFS('Solar Thermal'!$F:$F,'Solar Thermal'!$D:$D,$B41,'Solar Thermal'!$C:$C,AC$2)</f>
        <v>0</v>
      </c>
      <c r="AD41" s="42">
        <f>SUMIFS('Solar Thermal'!$F:$F,'Solar Thermal'!$D:$D,$B41,'Solar Thermal'!$C:$C,AD$2)</f>
        <v>0</v>
      </c>
      <c r="AE41" s="42">
        <f>SUMIFS('Solar Thermal'!$F:$F,'Solar Thermal'!$D:$D,$B41,'Solar Thermal'!$C:$C,AE$2)</f>
        <v>0</v>
      </c>
      <c r="AF41" s="43">
        <f>SUMIFS('Solar Thermal'!$F:$F,'Solar Thermal'!$D:$D,$B41,'Solar Thermal'!$C:$C,AF$2)</f>
        <v>0</v>
      </c>
    </row>
    <row r="42" ht="13.85" spans="1:32">
      <c r="A42" s="27" t="s">
        <v>35</v>
      </c>
      <c r="B42" s="44" t="s">
        <v>92</v>
      </c>
      <c r="C42" s="45"/>
      <c r="D42" s="45"/>
      <c r="E42" s="45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>
        <f>SUMIFS('Solar Thermal'!$F:$F,'Solar Thermal'!$D:$D,$B42,'Solar Thermal'!$C:$C,W$2)</f>
        <v>0</v>
      </c>
      <c r="X42" s="42">
        <f>SUMIFS('Solar Thermal'!$F:$F,'Solar Thermal'!$D:$D,$B42,'Solar Thermal'!$C:$C,X$2)</f>
        <v>0</v>
      </c>
      <c r="Y42" s="42">
        <f>SUMIFS('Solar Thermal'!$F:$F,'Solar Thermal'!$D:$D,$B42,'Solar Thermal'!$C:$C,Y$2)</f>
        <v>0</v>
      </c>
      <c r="Z42" s="42">
        <f>SUMIFS('Solar Thermal'!$F:$F,'Solar Thermal'!$D:$D,$B42,'Solar Thermal'!$C:$C,Z$2)</f>
        <v>0</v>
      </c>
      <c r="AA42" s="42">
        <f>SUMIFS('Solar Thermal'!$F:$F,'Solar Thermal'!$D:$D,$B42,'Solar Thermal'!$C:$C,AA$2)</f>
        <v>0</v>
      </c>
      <c r="AB42" s="42">
        <f>SUMIFS('Solar Thermal'!$F:$F,'Solar Thermal'!$D:$D,$B42,'Solar Thermal'!$C:$C,AB$2)</f>
        <v>0</v>
      </c>
      <c r="AC42" s="42">
        <f>SUMIFS('Solar Thermal'!$F:$F,'Solar Thermal'!$D:$D,$B42,'Solar Thermal'!$C:$C,AC$2)</f>
        <v>0</v>
      </c>
      <c r="AD42" s="42">
        <f>SUMIFS('Solar Thermal'!$F:$F,'Solar Thermal'!$D:$D,$B42,'Solar Thermal'!$C:$C,AD$2)</f>
        <v>0</v>
      </c>
      <c r="AE42" s="42">
        <f>SUMIFS('Solar Thermal'!$F:$F,'Solar Thermal'!$D:$D,$B42,'Solar Thermal'!$C:$C,AE$2)</f>
        <v>0</v>
      </c>
      <c r="AF42" s="43">
        <f>SUMIFS('Solar Thermal'!$F:$F,'Solar Thermal'!$D:$D,$B42,'Solar Thermal'!$C:$C,AF$2)</f>
        <v>0</v>
      </c>
    </row>
    <row r="43" ht="13.85" spans="1:32">
      <c r="A43" s="27" t="s">
        <v>35</v>
      </c>
      <c r="B43" s="44" t="s">
        <v>94</v>
      </c>
      <c r="C43" s="45"/>
      <c r="D43" s="45"/>
      <c r="E43" s="4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>
        <f>SUMIFS('Solar Thermal'!$F:$F,'Solar Thermal'!$D:$D,$B43,'Solar Thermal'!$C:$C,W$2)</f>
        <v>0</v>
      </c>
      <c r="X43" s="42">
        <f>SUMIFS('Solar Thermal'!$F:$F,'Solar Thermal'!$D:$D,$B43,'Solar Thermal'!$C:$C,X$2)</f>
        <v>0</v>
      </c>
      <c r="Y43" s="42">
        <f>SUMIFS('Solar Thermal'!$F:$F,'Solar Thermal'!$D:$D,$B43,'Solar Thermal'!$C:$C,Y$2)</f>
        <v>0</v>
      </c>
      <c r="Z43" s="42">
        <f>SUMIFS('Solar Thermal'!$F:$F,'Solar Thermal'!$D:$D,$B43,'Solar Thermal'!$C:$C,Z$2)</f>
        <v>0</v>
      </c>
      <c r="AA43" s="42">
        <f>SUMIFS('Solar Thermal'!$F:$F,'Solar Thermal'!$D:$D,$B43,'Solar Thermal'!$C:$C,AA$2)</f>
        <v>0</v>
      </c>
      <c r="AB43" s="42">
        <f>SUMIFS('Solar Thermal'!$F:$F,'Solar Thermal'!$D:$D,$B43,'Solar Thermal'!$C:$C,AB$2)</f>
        <v>0</v>
      </c>
      <c r="AC43" s="42">
        <f>SUMIFS('Solar Thermal'!$F:$F,'Solar Thermal'!$D:$D,$B43,'Solar Thermal'!$C:$C,AC$2)</f>
        <v>0</v>
      </c>
      <c r="AD43" s="42">
        <f>SUMIFS('Solar Thermal'!$F:$F,'Solar Thermal'!$D:$D,$B43,'Solar Thermal'!$C:$C,AD$2)</f>
        <v>0</v>
      </c>
      <c r="AE43" s="42">
        <f>SUMIFS('Solar Thermal'!$F:$F,'Solar Thermal'!$D:$D,$B43,'Solar Thermal'!$C:$C,AE$2)</f>
        <v>0</v>
      </c>
      <c r="AF43" s="43">
        <f>SUMIFS('Solar Thermal'!$F:$F,'Solar Thermal'!$D:$D,$B43,'Solar Thermal'!$C:$C,AF$2)</f>
        <v>0</v>
      </c>
    </row>
    <row r="44" ht="13.85" spans="1:32">
      <c r="A44" s="27" t="s">
        <v>35</v>
      </c>
      <c r="B44" s="44" t="s">
        <v>96</v>
      </c>
      <c r="C44" s="45"/>
      <c r="D44" s="45"/>
      <c r="E44" s="4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>
        <f>SUMIFS('Solar Thermal'!$F:$F,'Solar Thermal'!$D:$D,$B44,'Solar Thermal'!$C:$C,W$2)</f>
        <v>0</v>
      </c>
      <c r="X44" s="42">
        <f>SUMIFS('Solar Thermal'!$F:$F,'Solar Thermal'!$D:$D,$B44,'Solar Thermal'!$C:$C,X$2)</f>
        <v>0</v>
      </c>
      <c r="Y44" s="42">
        <f>SUMIFS('Solar Thermal'!$F:$F,'Solar Thermal'!$D:$D,$B44,'Solar Thermal'!$C:$C,Y$2)</f>
        <v>0</v>
      </c>
      <c r="Z44" s="42">
        <f>SUMIFS('Solar Thermal'!$F:$F,'Solar Thermal'!$D:$D,$B44,'Solar Thermal'!$C:$C,Z$2)</f>
        <v>0</v>
      </c>
      <c r="AA44" s="42">
        <f>SUMIFS('Solar Thermal'!$F:$F,'Solar Thermal'!$D:$D,$B44,'Solar Thermal'!$C:$C,AA$2)</f>
        <v>0</v>
      </c>
      <c r="AB44" s="42">
        <f>SUMIFS('Solar Thermal'!$F:$F,'Solar Thermal'!$D:$D,$B44,'Solar Thermal'!$C:$C,AB$2)</f>
        <v>0</v>
      </c>
      <c r="AC44" s="42">
        <f>SUMIFS('Solar Thermal'!$F:$F,'Solar Thermal'!$D:$D,$B44,'Solar Thermal'!$C:$C,AC$2)</f>
        <v>0</v>
      </c>
      <c r="AD44" s="42">
        <f>SUMIFS('Solar Thermal'!$F:$F,'Solar Thermal'!$D:$D,$B44,'Solar Thermal'!$C:$C,AD$2)</f>
        <v>0</v>
      </c>
      <c r="AE44" s="42">
        <f>SUMIFS('Solar Thermal'!$F:$F,'Solar Thermal'!$D:$D,$B44,'Solar Thermal'!$C:$C,AE$2)</f>
        <v>0</v>
      </c>
      <c r="AF44" s="43">
        <f>SUMIFS('Solar Thermal'!$F:$F,'Solar Thermal'!$D:$D,$B44,'Solar Thermal'!$C:$C,AF$2)</f>
        <v>0</v>
      </c>
    </row>
    <row r="45" ht="13.85" spans="1:32">
      <c r="A45" s="27" t="s">
        <v>35</v>
      </c>
      <c r="B45" s="44" t="s">
        <v>98</v>
      </c>
      <c r="C45" s="45"/>
      <c r="D45" s="45"/>
      <c r="E45" s="4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>
        <f>SUMIFS('Solar Thermal'!$F:$F,'Solar Thermal'!$D:$D,$B45,'Solar Thermal'!$C:$C,W$2)</f>
        <v>0</v>
      </c>
      <c r="X45" s="42">
        <f>SUMIFS('Solar Thermal'!$F:$F,'Solar Thermal'!$D:$D,$B45,'Solar Thermal'!$C:$C,X$2)</f>
        <v>0</v>
      </c>
      <c r="Y45" s="42">
        <f>SUMIFS('Solar Thermal'!$F:$F,'Solar Thermal'!$D:$D,$B45,'Solar Thermal'!$C:$C,Y$2)</f>
        <v>0</v>
      </c>
      <c r="Z45" s="42">
        <f>SUMIFS('Solar Thermal'!$F:$F,'Solar Thermal'!$D:$D,$B45,'Solar Thermal'!$C:$C,Z$2)</f>
        <v>0</v>
      </c>
      <c r="AA45" s="42">
        <f>SUMIFS('Solar Thermal'!$F:$F,'Solar Thermal'!$D:$D,$B45,'Solar Thermal'!$C:$C,AA$2)</f>
        <v>0</v>
      </c>
      <c r="AB45" s="42">
        <f>SUMIFS('Solar Thermal'!$F:$F,'Solar Thermal'!$D:$D,$B45,'Solar Thermal'!$C:$C,AB$2)</f>
        <v>0</v>
      </c>
      <c r="AC45" s="42">
        <f>SUMIFS('Solar Thermal'!$F:$F,'Solar Thermal'!$D:$D,$B45,'Solar Thermal'!$C:$C,AC$2)</f>
        <v>0</v>
      </c>
      <c r="AD45" s="42">
        <f>SUMIFS('Solar Thermal'!$F:$F,'Solar Thermal'!$D:$D,$B45,'Solar Thermal'!$C:$C,AD$2)</f>
        <v>0</v>
      </c>
      <c r="AE45" s="42">
        <f>SUMIFS('Solar Thermal'!$F:$F,'Solar Thermal'!$D:$D,$B45,'Solar Thermal'!$C:$C,AE$2)</f>
        <v>0</v>
      </c>
      <c r="AF45" s="43">
        <f>SUMIFS('Solar Thermal'!$F:$F,'Solar Thermal'!$D:$D,$B45,'Solar Thermal'!$C:$C,AF$2)</f>
        <v>0</v>
      </c>
    </row>
    <row r="46" ht="13.85" spans="1:32">
      <c r="A46" s="27" t="s">
        <v>35</v>
      </c>
      <c r="B46" s="44" t="s">
        <v>100</v>
      </c>
      <c r="C46" s="45"/>
      <c r="D46" s="45"/>
      <c r="E46" s="4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>
        <f>SUMIFS('Solar Thermal'!$F:$F,'Solar Thermal'!$D:$D,$B46,'Solar Thermal'!$C:$C,W$2)</f>
        <v>0</v>
      </c>
      <c r="X46" s="42">
        <f>SUMIFS('Solar Thermal'!$F:$F,'Solar Thermal'!$D:$D,$B46,'Solar Thermal'!$C:$C,X$2)</f>
        <v>0</v>
      </c>
      <c r="Y46" s="42">
        <f>SUMIFS('Solar Thermal'!$F:$F,'Solar Thermal'!$D:$D,$B46,'Solar Thermal'!$C:$C,Y$2)</f>
        <v>0</v>
      </c>
      <c r="Z46" s="42">
        <f>SUMIFS('Solar Thermal'!$F:$F,'Solar Thermal'!$D:$D,$B46,'Solar Thermal'!$C:$C,Z$2)</f>
        <v>0</v>
      </c>
      <c r="AA46" s="42">
        <f>SUMIFS('Solar Thermal'!$F:$F,'Solar Thermal'!$D:$D,$B46,'Solar Thermal'!$C:$C,AA$2)</f>
        <v>0</v>
      </c>
      <c r="AB46" s="42">
        <f>SUMIFS('Solar Thermal'!$F:$F,'Solar Thermal'!$D:$D,$B46,'Solar Thermal'!$C:$C,AB$2)</f>
        <v>0</v>
      </c>
      <c r="AC46" s="42">
        <f>SUMIFS('Solar Thermal'!$F:$F,'Solar Thermal'!$D:$D,$B46,'Solar Thermal'!$C:$C,AC$2)</f>
        <v>0</v>
      </c>
      <c r="AD46" s="42">
        <f>SUMIFS('Solar Thermal'!$F:$F,'Solar Thermal'!$D:$D,$B46,'Solar Thermal'!$C:$C,AD$2)</f>
        <v>0</v>
      </c>
      <c r="AE46" s="42">
        <f>SUMIFS('Solar Thermal'!$F:$F,'Solar Thermal'!$D:$D,$B46,'Solar Thermal'!$C:$C,AE$2)</f>
        <v>0</v>
      </c>
      <c r="AF46" s="43">
        <f>SUMIFS('Solar Thermal'!$F:$F,'Solar Thermal'!$D:$D,$B46,'Solar Thermal'!$C:$C,AF$2)</f>
        <v>0</v>
      </c>
    </row>
    <row r="47" ht="13.85" spans="1:32">
      <c r="A47" s="27" t="s">
        <v>35</v>
      </c>
      <c r="B47" s="44" t="s">
        <v>102</v>
      </c>
      <c r="C47" s="45"/>
      <c r="D47" s="45"/>
      <c r="E47" s="4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>
        <f>SUMIFS('Solar Thermal'!$F:$F,'Solar Thermal'!$D:$D,$B47,'Solar Thermal'!$C:$C,W$2)</f>
        <v>0</v>
      </c>
      <c r="X47" s="42">
        <f>SUMIFS('Solar Thermal'!$F:$F,'Solar Thermal'!$D:$D,$B47,'Solar Thermal'!$C:$C,X$2)</f>
        <v>0</v>
      </c>
      <c r="Y47" s="42">
        <f>SUMIFS('Solar Thermal'!$F:$F,'Solar Thermal'!$D:$D,$B47,'Solar Thermal'!$C:$C,Y$2)</f>
        <v>0</v>
      </c>
      <c r="Z47" s="42">
        <f>SUMIFS('Solar Thermal'!$F:$F,'Solar Thermal'!$D:$D,$B47,'Solar Thermal'!$C:$C,Z$2)</f>
        <v>0</v>
      </c>
      <c r="AA47" s="42">
        <f>SUMIFS('Solar Thermal'!$F:$F,'Solar Thermal'!$D:$D,$B47,'Solar Thermal'!$C:$C,AA$2)</f>
        <v>0</v>
      </c>
      <c r="AB47" s="42">
        <f>SUMIFS('Solar Thermal'!$F:$F,'Solar Thermal'!$D:$D,$B47,'Solar Thermal'!$C:$C,AB$2)</f>
        <v>0</v>
      </c>
      <c r="AC47" s="42">
        <f>SUMIFS('Solar Thermal'!$F:$F,'Solar Thermal'!$D:$D,$B47,'Solar Thermal'!$C:$C,AC$2)</f>
        <v>0</v>
      </c>
      <c r="AD47" s="42">
        <f>SUMIFS('Solar Thermal'!$F:$F,'Solar Thermal'!$D:$D,$B47,'Solar Thermal'!$C:$C,AD$2)</f>
        <v>0</v>
      </c>
      <c r="AE47" s="42">
        <f>SUMIFS('Solar Thermal'!$F:$F,'Solar Thermal'!$D:$D,$B47,'Solar Thermal'!$C:$C,AE$2)</f>
        <v>0</v>
      </c>
      <c r="AF47" s="43">
        <f>SUMIFS('Solar Thermal'!$F:$F,'Solar Thermal'!$D:$D,$B47,'Solar Thermal'!$C:$C,AF$2)</f>
        <v>0</v>
      </c>
    </row>
    <row r="48" ht="13.85" spans="1:32">
      <c r="A48" s="27" t="s">
        <v>35</v>
      </c>
      <c r="B48" s="44" t="s">
        <v>104</v>
      </c>
      <c r="C48" s="45"/>
      <c r="D48" s="45"/>
      <c r="E48" s="4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>
        <f>SUMIFS('Solar Thermal'!$F:$F,'Solar Thermal'!$D:$D,$B48,'Solar Thermal'!$C:$C,W$2)</f>
        <v>0</v>
      </c>
      <c r="X48" s="42">
        <f>SUMIFS('Solar Thermal'!$F:$F,'Solar Thermal'!$D:$D,$B48,'Solar Thermal'!$C:$C,X$2)</f>
        <v>0</v>
      </c>
      <c r="Y48" s="42">
        <f>SUMIFS('Solar Thermal'!$F:$F,'Solar Thermal'!$D:$D,$B48,'Solar Thermal'!$C:$C,Y$2)</f>
        <v>0</v>
      </c>
      <c r="Z48" s="42">
        <f>SUMIFS('Solar Thermal'!$F:$F,'Solar Thermal'!$D:$D,$B48,'Solar Thermal'!$C:$C,Z$2)</f>
        <v>0</v>
      </c>
      <c r="AA48" s="42">
        <f>SUMIFS('Solar Thermal'!$F:$F,'Solar Thermal'!$D:$D,$B48,'Solar Thermal'!$C:$C,AA$2)</f>
        <v>0</v>
      </c>
      <c r="AB48" s="42">
        <f>SUMIFS('Solar Thermal'!$F:$F,'Solar Thermal'!$D:$D,$B48,'Solar Thermal'!$C:$C,AB$2)</f>
        <v>0</v>
      </c>
      <c r="AC48" s="42">
        <f>SUMIFS('Solar Thermal'!$F:$F,'Solar Thermal'!$D:$D,$B48,'Solar Thermal'!$C:$C,AC$2)</f>
        <v>0</v>
      </c>
      <c r="AD48" s="42">
        <f>SUMIFS('Solar Thermal'!$F:$F,'Solar Thermal'!$D:$D,$B48,'Solar Thermal'!$C:$C,AD$2)</f>
        <v>0</v>
      </c>
      <c r="AE48" s="42">
        <f>SUMIFS('Solar Thermal'!$F:$F,'Solar Thermal'!$D:$D,$B48,'Solar Thermal'!$C:$C,AE$2)</f>
        <v>0</v>
      </c>
      <c r="AF48" s="43">
        <f>SUMIFS('Solar Thermal'!$F:$F,'Solar Thermal'!$D:$D,$B48,'Solar Thermal'!$C:$C,AF$2)</f>
        <v>0</v>
      </c>
    </row>
    <row r="49" ht="13.85" spans="1:32">
      <c r="A49" s="27" t="s">
        <v>35</v>
      </c>
      <c r="B49" s="44" t="s">
        <v>106</v>
      </c>
      <c r="C49" s="45"/>
      <c r="D49" s="45"/>
      <c r="E49" s="45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>
        <f>SUMIFS('Solar Thermal'!$F:$F,'Solar Thermal'!$D:$D,$B49,'Solar Thermal'!$C:$C,W$2)</f>
        <v>0</v>
      </c>
      <c r="X49" s="42">
        <f>SUMIFS('Solar Thermal'!$F:$F,'Solar Thermal'!$D:$D,$B49,'Solar Thermal'!$C:$C,X$2)</f>
        <v>0</v>
      </c>
      <c r="Y49" s="42">
        <f>SUMIFS('Solar Thermal'!$F:$F,'Solar Thermal'!$D:$D,$B49,'Solar Thermal'!$C:$C,Y$2)</f>
        <v>0</v>
      </c>
      <c r="Z49" s="42">
        <f>SUMIFS('Solar Thermal'!$F:$F,'Solar Thermal'!$D:$D,$B49,'Solar Thermal'!$C:$C,Z$2)</f>
        <v>0</v>
      </c>
      <c r="AA49" s="42">
        <f>SUMIFS('Solar Thermal'!$F:$F,'Solar Thermal'!$D:$D,$B49,'Solar Thermal'!$C:$C,AA$2)</f>
        <v>0</v>
      </c>
      <c r="AB49" s="42">
        <f>SUMIFS('Solar Thermal'!$F:$F,'Solar Thermal'!$D:$D,$B49,'Solar Thermal'!$C:$C,AB$2)</f>
        <v>0</v>
      </c>
      <c r="AC49" s="42">
        <f>SUMIFS('Solar Thermal'!$F:$F,'Solar Thermal'!$D:$D,$B49,'Solar Thermal'!$C:$C,AC$2)</f>
        <v>0</v>
      </c>
      <c r="AD49" s="42">
        <f>SUMIFS('Solar Thermal'!$F:$F,'Solar Thermal'!$D:$D,$B49,'Solar Thermal'!$C:$C,AD$2)</f>
        <v>0</v>
      </c>
      <c r="AE49" s="42">
        <f>SUMIFS('Solar Thermal'!$F:$F,'Solar Thermal'!$D:$D,$B49,'Solar Thermal'!$C:$C,AE$2)</f>
        <v>0</v>
      </c>
      <c r="AF49" s="43">
        <f>SUMIFS('Solar Thermal'!$F:$F,'Solar Thermal'!$D:$D,$B49,'Solar Thermal'!$C:$C,AF$2)</f>
        <v>0</v>
      </c>
    </row>
    <row r="50" ht="13.85" spans="1:32">
      <c r="A50" s="27" t="s">
        <v>35</v>
      </c>
      <c r="B50" s="44" t="s">
        <v>108</v>
      </c>
      <c r="C50" s="45"/>
      <c r="D50" s="45"/>
      <c r="E50" s="45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>
        <f>SUMIFS('Solar Thermal'!$F:$F,'Solar Thermal'!$D:$D,$B50,'Solar Thermal'!$C:$C,W$2)</f>
        <v>0</v>
      </c>
      <c r="X50" s="42">
        <f>SUMIFS('Solar Thermal'!$F:$F,'Solar Thermal'!$D:$D,$B50,'Solar Thermal'!$C:$C,X$2)</f>
        <v>0</v>
      </c>
      <c r="Y50" s="42">
        <f>SUMIFS('Solar Thermal'!$F:$F,'Solar Thermal'!$D:$D,$B50,'Solar Thermal'!$C:$C,Y$2)</f>
        <v>0</v>
      </c>
      <c r="Z50" s="42">
        <f>SUMIFS('Solar Thermal'!$F:$F,'Solar Thermal'!$D:$D,$B50,'Solar Thermal'!$C:$C,Z$2)</f>
        <v>0</v>
      </c>
      <c r="AA50" s="42">
        <f>SUMIFS('Solar Thermal'!$F:$F,'Solar Thermal'!$D:$D,$B50,'Solar Thermal'!$C:$C,AA$2)</f>
        <v>0</v>
      </c>
      <c r="AB50" s="42">
        <f>SUMIFS('Solar Thermal'!$F:$F,'Solar Thermal'!$D:$D,$B50,'Solar Thermal'!$C:$C,AB$2)</f>
        <v>0</v>
      </c>
      <c r="AC50" s="42">
        <f>SUMIFS('Solar Thermal'!$F:$F,'Solar Thermal'!$D:$D,$B50,'Solar Thermal'!$C:$C,AC$2)</f>
        <v>0</v>
      </c>
      <c r="AD50" s="42">
        <f>SUMIFS('Solar Thermal'!$F:$F,'Solar Thermal'!$D:$D,$B50,'Solar Thermal'!$C:$C,AD$2)</f>
        <v>0</v>
      </c>
      <c r="AE50" s="42">
        <f>SUMIFS('Solar Thermal'!$F:$F,'Solar Thermal'!$D:$D,$B50,'Solar Thermal'!$C:$C,AE$2)</f>
        <v>0</v>
      </c>
      <c r="AF50" s="43">
        <f>SUMIFS('Solar Thermal'!$F:$F,'Solar Thermal'!$D:$D,$B50,'Solar Thermal'!$C:$C,AF$2)</f>
        <v>0</v>
      </c>
    </row>
    <row r="51" ht="13.85" spans="1:32">
      <c r="A51" s="27" t="s">
        <v>35</v>
      </c>
      <c r="B51" s="44" t="s">
        <v>110</v>
      </c>
      <c r="C51" s="45"/>
      <c r="D51" s="45"/>
      <c r="E51" s="45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>
        <f>SUMIFS('Solar Thermal'!$F:$F,'Solar Thermal'!$D:$D,$B51,'Solar Thermal'!$C:$C,W$2)</f>
        <v>0</v>
      </c>
      <c r="X51" s="42">
        <f>SUMIFS('Solar Thermal'!$F:$F,'Solar Thermal'!$D:$D,$B51,'Solar Thermal'!$C:$C,X$2)</f>
        <v>0</v>
      </c>
      <c r="Y51" s="42">
        <f>SUMIFS('Solar Thermal'!$F:$F,'Solar Thermal'!$D:$D,$B51,'Solar Thermal'!$C:$C,Y$2)</f>
        <v>0</v>
      </c>
      <c r="Z51" s="42">
        <f>SUMIFS('Solar Thermal'!$F:$F,'Solar Thermal'!$D:$D,$B51,'Solar Thermal'!$C:$C,Z$2)</f>
        <v>0</v>
      </c>
      <c r="AA51" s="42">
        <f>SUMIFS('Solar Thermal'!$F:$F,'Solar Thermal'!$D:$D,$B51,'Solar Thermal'!$C:$C,AA$2)</f>
        <v>0</v>
      </c>
      <c r="AB51" s="42">
        <f>SUMIFS('Solar Thermal'!$F:$F,'Solar Thermal'!$D:$D,$B51,'Solar Thermal'!$C:$C,AB$2)</f>
        <v>0</v>
      </c>
      <c r="AC51" s="42">
        <f>SUMIFS('Solar Thermal'!$F:$F,'Solar Thermal'!$D:$D,$B51,'Solar Thermal'!$C:$C,AC$2)</f>
        <v>0</v>
      </c>
      <c r="AD51" s="42">
        <f>SUMIFS('Solar Thermal'!$F:$F,'Solar Thermal'!$D:$D,$B51,'Solar Thermal'!$C:$C,AD$2)</f>
        <v>0</v>
      </c>
      <c r="AE51" s="42">
        <f>SUMIFS('Solar Thermal'!$F:$F,'Solar Thermal'!$D:$D,$B51,'Solar Thermal'!$C:$C,AE$2)</f>
        <v>0</v>
      </c>
      <c r="AF51" s="43">
        <f>SUMIFS('Solar Thermal'!$F:$F,'Solar Thermal'!$D:$D,$B51,'Solar Thermal'!$C:$C,AF$2)</f>
        <v>0</v>
      </c>
    </row>
    <row r="52" ht="13.85" spans="1:32">
      <c r="A52" s="27" t="s">
        <v>35</v>
      </c>
      <c r="B52" s="44" t="s">
        <v>112</v>
      </c>
      <c r="C52" s="45"/>
      <c r="D52" s="45"/>
      <c r="E52" s="45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>
        <f>SUMIFS('Solar Thermal'!$F:$F,'Solar Thermal'!$D:$D,$B52,'Solar Thermal'!$C:$C,W$2)</f>
        <v>0</v>
      </c>
      <c r="X52" s="42">
        <f>SUMIFS('Solar Thermal'!$F:$F,'Solar Thermal'!$D:$D,$B52,'Solar Thermal'!$C:$C,X$2)</f>
        <v>0</v>
      </c>
      <c r="Y52" s="42">
        <f>SUMIFS('Solar Thermal'!$F:$F,'Solar Thermal'!$D:$D,$B52,'Solar Thermal'!$C:$C,Y$2)</f>
        <v>0</v>
      </c>
      <c r="Z52" s="42">
        <f>SUMIFS('Solar Thermal'!$F:$F,'Solar Thermal'!$D:$D,$B52,'Solar Thermal'!$C:$C,Z$2)</f>
        <v>0</v>
      </c>
      <c r="AA52" s="42">
        <f>SUMIFS('Solar Thermal'!$F:$F,'Solar Thermal'!$D:$D,$B52,'Solar Thermal'!$C:$C,AA$2)</f>
        <v>0</v>
      </c>
      <c r="AB52" s="42">
        <f>SUMIFS('Solar Thermal'!$F:$F,'Solar Thermal'!$D:$D,$B52,'Solar Thermal'!$C:$C,AB$2)</f>
        <v>0</v>
      </c>
      <c r="AC52" s="42">
        <f>SUMIFS('Solar Thermal'!$F:$F,'Solar Thermal'!$D:$D,$B52,'Solar Thermal'!$C:$C,AC$2)</f>
        <v>0</v>
      </c>
      <c r="AD52" s="42">
        <f>SUMIFS('Solar Thermal'!$F:$F,'Solar Thermal'!$D:$D,$B52,'Solar Thermal'!$C:$C,AD$2)</f>
        <v>0</v>
      </c>
      <c r="AE52" s="42">
        <f>SUMIFS('Solar Thermal'!$F:$F,'Solar Thermal'!$D:$D,$B52,'Solar Thermal'!$C:$C,AE$2)</f>
        <v>0</v>
      </c>
      <c r="AF52" s="43">
        <f>SUMIFS('Solar Thermal'!$F:$F,'Solar Thermal'!$D:$D,$B52,'Solar Thermal'!$C:$C,AF$2)</f>
        <v>0</v>
      </c>
    </row>
    <row r="53" ht="13.85" spans="1:32">
      <c r="A53" s="27" t="s">
        <v>35</v>
      </c>
      <c r="B53" s="44" t="s">
        <v>114</v>
      </c>
      <c r="C53" s="45"/>
      <c r="D53" s="45"/>
      <c r="E53" s="45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>
        <f>SUMIFS('Solar Thermal'!$F:$F,'Solar Thermal'!$D:$D,$B53,'Solar Thermal'!$C:$C,W$2)</f>
        <v>0</v>
      </c>
      <c r="X53" s="42">
        <f>SUMIFS('Solar Thermal'!$F:$F,'Solar Thermal'!$D:$D,$B53,'Solar Thermal'!$C:$C,X$2)</f>
        <v>0</v>
      </c>
      <c r="Y53" s="42">
        <f>SUMIFS('Solar Thermal'!$F:$F,'Solar Thermal'!$D:$D,$B53,'Solar Thermal'!$C:$C,Y$2)</f>
        <v>0</v>
      </c>
      <c r="Z53" s="42">
        <f>SUMIFS('Solar Thermal'!$F:$F,'Solar Thermal'!$D:$D,$B53,'Solar Thermal'!$C:$C,Z$2)</f>
        <v>0</v>
      </c>
      <c r="AA53" s="42">
        <f>SUMIFS('Solar Thermal'!$F:$F,'Solar Thermal'!$D:$D,$B53,'Solar Thermal'!$C:$C,AA$2)</f>
        <v>0</v>
      </c>
      <c r="AB53" s="42">
        <f>SUMIFS('Solar Thermal'!$F:$F,'Solar Thermal'!$D:$D,$B53,'Solar Thermal'!$C:$C,AB$2)</f>
        <v>0</v>
      </c>
      <c r="AC53" s="42">
        <f>SUMIFS('Solar Thermal'!$F:$F,'Solar Thermal'!$D:$D,$B53,'Solar Thermal'!$C:$C,AC$2)</f>
        <v>0</v>
      </c>
      <c r="AD53" s="42">
        <f>SUMIFS('Solar Thermal'!$F:$F,'Solar Thermal'!$D:$D,$B53,'Solar Thermal'!$C:$C,AD$2)</f>
        <v>0</v>
      </c>
      <c r="AE53" s="42">
        <f>SUMIFS('Solar Thermal'!$F:$F,'Solar Thermal'!$D:$D,$B53,'Solar Thermal'!$C:$C,AE$2)</f>
        <v>0</v>
      </c>
      <c r="AF53" s="43">
        <f>SUMIFS('Solar Thermal'!$F:$F,'Solar Thermal'!$D:$D,$B53,'Solar Thermal'!$C:$C,AF$2)</f>
        <v>0</v>
      </c>
    </row>
    <row r="54" ht="13.85" spans="1:32">
      <c r="A54" s="27" t="s">
        <v>35</v>
      </c>
      <c r="B54" s="44" t="s">
        <v>116</v>
      </c>
      <c r="C54" s="45"/>
      <c r="D54" s="45"/>
      <c r="E54" s="45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>
        <f>SUMIFS('Solar Thermal'!$F:$F,'Solar Thermal'!$D:$D,$B54,'Solar Thermal'!$C:$C,W$2)</f>
        <v>0</v>
      </c>
      <c r="X54" s="42">
        <f>SUMIFS('Solar Thermal'!$F:$F,'Solar Thermal'!$D:$D,$B54,'Solar Thermal'!$C:$C,X$2)</f>
        <v>0</v>
      </c>
      <c r="Y54" s="42">
        <f>SUMIFS('Solar Thermal'!$F:$F,'Solar Thermal'!$D:$D,$B54,'Solar Thermal'!$C:$C,Y$2)</f>
        <v>0</v>
      </c>
      <c r="Z54" s="42">
        <f>SUMIFS('Solar Thermal'!$F:$F,'Solar Thermal'!$D:$D,$B54,'Solar Thermal'!$C:$C,Z$2)</f>
        <v>0</v>
      </c>
      <c r="AA54" s="42">
        <f>SUMIFS('Solar Thermal'!$F:$F,'Solar Thermal'!$D:$D,$B54,'Solar Thermal'!$C:$C,AA$2)</f>
        <v>0</v>
      </c>
      <c r="AB54" s="42">
        <f>SUMIFS('Solar Thermal'!$F:$F,'Solar Thermal'!$D:$D,$B54,'Solar Thermal'!$C:$C,AB$2)</f>
        <v>0</v>
      </c>
      <c r="AC54" s="42">
        <f>SUMIFS('Solar Thermal'!$F:$F,'Solar Thermal'!$D:$D,$B54,'Solar Thermal'!$C:$C,AC$2)</f>
        <v>0</v>
      </c>
      <c r="AD54" s="42">
        <f>SUMIFS('Solar Thermal'!$F:$F,'Solar Thermal'!$D:$D,$B54,'Solar Thermal'!$C:$C,AD$2)</f>
        <v>0</v>
      </c>
      <c r="AE54" s="42">
        <f>SUMIFS('Solar Thermal'!$F:$F,'Solar Thermal'!$D:$D,$B54,'Solar Thermal'!$C:$C,AE$2)</f>
        <v>0</v>
      </c>
      <c r="AF54" s="43">
        <f>SUMIFS('Solar Thermal'!$F:$F,'Solar Thermal'!$D:$D,$B54,'Solar Thermal'!$C:$C,AF$2)</f>
        <v>0</v>
      </c>
    </row>
    <row r="55" ht="13.85" spans="1:32">
      <c r="A55" s="27" t="s">
        <v>35</v>
      </c>
      <c r="B55" s="44" t="s">
        <v>118</v>
      </c>
      <c r="C55" s="45"/>
      <c r="D55" s="45"/>
      <c r="E55" s="45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>
        <f>SUMIFS('Solar Thermal'!$F:$F,'Solar Thermal'!$D:$D,$B55,'Solar Thermal'!$C:$C,W$2)</f>
        <v>0</v>
      </c>
      <c r="X55" s="42">
        <f>SUMIFS('Solar Thermal'!$F:$F,'Solar Thermal'!$D:$D,$B55,'Solar Thermal'!$C:$C,X$2)</f>
        <v>0</v>
      </c>
      <c r="Y55" s="42">
        <f>SUMIFS('Solar Thermal'!$F:$F,'Solar Thermal'!$D:$D,$B55,'Solar Thermal'!$C:$C,Y$2)</f>
        <v>0</v>
      </c>
      <c r="Z55" s="42">
        <f>SUMIFS('Solar Thermal'!$F:$F,'Solar Thermal'!$D:$D,$B55,'Solar Thermal'!$C:$C,Z$2)</f>
        <v>0</v>
      </c>
      <c r="AA55" s="42">
        <f>SUMIFS('Solar Thermal'!$F:$F,'Solar Thermal'!$D:$D,$B55,'Solar Thermal'!$C:$C,AA$2)</f>
        <v>0</v>
      </c>
      <c r="AB55" s="42">
        <f>SUMIFS('Solar Thermal'!$F:$F,'Solar Thermal'!$D:$D,$B55,'Solar Thermal'!$C:$C,AB$2)</f>
        <v>0</v>
      </c>
      <c r="AC55" s="42">
        <f>SUMIFS('Solar Thermal'!$F:$F,'Solar Thermal'!$D:$D,$B55,'Solar Thermal'!$C:$C,AC$2)</f>
        <v>0</v>
      </c>
      <c r="AD55" s="42">
        <f>SUMIFS('Solar Thermal'!$F:$F,'Solar Thermal'!$D:$D,$B55,'Solar Thermal'!$C:$C,AD$2)</f>
        <v>0</v>
      </c>
      <c r="AE55" s="42">
        <f>SUMIFS('Solar Thermal'!$F:$F,'Solar Thermal'!$D:$D,$B55,'Solar Thermal'!$C:$C,AE$2)</f>
        <v>0</v>
      </c>
      <c r="AF55" s="43">
        <f>SUMIFS('Solar Thermal'!$F:$F,'Solar Thermal'!$D:$D,$B55,'Solar Thermal'!$C:$C,AF$2)</f>
        <v>0</v>
      </c>
    </row>
    <row r="56" ht="13.85" spans="1:32">
      <c r="A56" s="27" t="s">
        <v>35</v>
      </c>
      <c r="B56" s="44" t="s">
        <v>120</v>
      </c>
      <c r="C56" s="45"/>
      <c r="D56" s="45"/>
      <c r="E56" s="45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>
        <f>SUMIFS('Solar Thermal'!$F:$F,'Solar Thermal'!$D:$D,$B56,'Solar Thermal'!$C:$C,W$2)</f>
        <v>0</v>
      </c>
      <c r="X56" s="42">
        <f>SUMIFS('Solar Thermal'!$F:$F,'Solar Thermal'!$D:$D,$B56,'Solar Thermal'!$C:$C,X$2)</f>
        <v>0</v>
      </c>
      <c r="Y56" s="42">
        <f>SUMIFS('Solar Thermal'!$F:$F,'Solar Thermal'!$D:$D,$B56,'Solar Thermal'!$C:$C,Y$2)</f>
        <v>0</v>
      </c>
      <c r="Z56" s="42">
        <f>SUMIFS('Solar Thermal'!$F:$F,'Solar Thermal'!$D:$D,$B56,'Solar Thermal'!$C:$C,Z$2)</f>
        <v>0</v>
      </c>
      <c r="AA56" s="42">
        <f>SUMIFS('Solar Thermal'!$F:$F,'Solar Thermal'!$D:$D,$B56,'Solar Thermal'!$C:$C,AA$2)</f>
        <v>0</v>
      </c>
      <c r="AB56" s="42">
        <f>SUMIFS('Solar Thermal'!$F:$F,'Solar Thermal'!$D:$D,$B56,'Solar Thermal'!$C:$C,AB$2)</f>
        <v>0</v>
      </c>
      <c r="AC56" s="42">
        <f>SUMIFS('Solar Thermal'!$F:$F,'Solar Thermal'!$D:$D,$B56,'Solar Thermal'!$C:$C,AC$2)</f>
        <v>0</v>
      </c>
      <c r="AD56" s="42">
        <f>SUMIFS('Solar Thermal'!$F:$F,'Solar Thermal'!$D:$D,$B56,'Solar Thermal'!$C:$C,AD$2)</f>
        <v>0</v>
      </c>
      <c r="AE56" s="42">
        <f>SUMIFS('Solar Thermal'!$F:$F,'Solar Thermal'!$D:$D,$B56,'Solar Thermal'!$C:$C,AE$2)</f>
        <v>0</v>
      </c>
      <c r="AF56" s="43">
        <f>SUMIFS('Solar Thermal'!$F:$F,'Solar Thermal'!$D:$D,$B56,'Solar Thermal'!$C:$C,AF$2)</f>
        <v>0</v>
      </c>
    </row>
    <row r="57" ht="13.85" spans="1:32">
      <c r="A57" s="27" t="s">
        <v>35</v>
      </c>
      <c r="B57" s="44" t="s">
        <v>122</v>
      </c>
      <c r="C57" s="45"/>
      <c r="D57" s="45"/>
      <c r="E57" s="45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>
        <f>SUMIFS('Solar Thermal'!$F:$F,'Solar Thermal'!$D:$D,$B57,'Solar Thermal'!$C:$C,W$2)</f>
        <v>0</v>
      </c>
      <c r="X57" s="42">
        <f>SUMIFS('Solar Thermal'!$F:$F,'Solar Thermal'!$D:$D,$B57,'Solar Thermal'!$C:$C,X$2)</f>
        <v>0</v>
      </c>
      <c r="Y57" s="42">
        <f>SUMIFS('Solar Thermal'!$F:$F,'Solar Thermal'!$D:$D,$B57,'Solar Thermal'!$C:$C,Y$2)</f>
        <v>0</v>
      </c>
      <c r="Z57" s="42">
        <f>SUMIFS('Solar Thermal'!$F:$F,'Solar Thermal'!$D:$D,$B57,'Solar Thermal'!$C:$C,Z$2)</f>
        <v>0</v>
      </c>
      <c r="AA57" s="42">
        <f>SUMIFS('Solar Thermal'!$F:$F,'Solar Thermal'!$D:$D,$B57,'Solar Thermal'!$C:$C,AA$2)</f>
        <v>0</v>
      </c>
      <c r="AB57" s="42">
        <f>SUMIFS('Solar Thermal'!$F:$F,'Solar Thermal'!$D:$D,$B57,'Solar Thermal'!$C:$C,AB$2)</f>
        <v>0</v>
      </c>
      <c r="AC57" s="42">
        <f>SUMIFS('Solar Thermal'!$F:$F,'Solar Thermal'!$D:$D,$B57,'Solar Thermal'!$C:$C,AC$2)</f>
        <v>0</v>
      </c>
      <c r="AD57" s="42">
        <f>SUMIFS('Solar Thermal'!$F:$F,'Solar Thermal'!$D:$D,$B57,'Solar Thermal'!$C:$C,AD$2)</f>
        <v>0</v>
      </c>
      <c r="AE57" s="42">
        <f>SUMIFS('Solar Thermal'!$F:$F,'Solar Thermal'!$D:$D,$B57,'Solar Thermal'!$C:$C,AE$2)</f>
        <v>0</v>
      </c>
      <c r="AF57" s="43">
        <f>SUMIFS('Solar Thermal'!$F:$F,'Solar Thermal'!$D:$D,$B57,'Solar Thermal'!$C:$C,AF$2)</f>
        <v>0</v>
      </c>
    </row>
    <row r="58" ht="13.85" spans="1:32">
      <c r="A58" s="27" t="s">
        <v>35</v>
      </c>
      <c r="B58" s="44" t="s">
        <v>124</v>
      </c>
      <c r="C58" s="45"/>
      <c r="D58" s="45"/>
      <c r="E58" s="45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>
        <f>SUMIFS('Solar Thermal'!$F:$F,'Solar Thermal'!$D:$D,$B58,'Solar Thermal'!$C:$C,W$2)</f>
        <v>0</v>
      </c>
      <c r="X58" s="42">
        <f>SUMIFS('Solar Thermal'!$F:$F,'Solar Thermal'!$D:$D,$B58,'Solar Thermal'!$C:$C,X$2)</f>
        <v>0</v>
      </c>
      <c r="Y58" s="42">
        <f>SUMIFS('Solar Thermal'!$F:$F,'Solar Thermal'!$D:$D,$B58,'Solar Thermal'!$C:$C,Y$2)</f>
        <v>0</v>
      </c>
      <c r="Z58" s="42">
        <f>SUMIFS('Solar Thermal'!$F:$F,'Solar Thermal'!$D:$D,$B58,'Solar Thermal'!$C:$C,Z$2)</f>
        <v>0</v>
      </c>
      <c r="AA58" s="42">
        <f>SUMIFS('Solar Thermal'!$F:$F,'Solar Thermal'!$D:$D,$B58,'Solar Thermal'!$C:$C,AA$2)</f>
        <v>0</v>
      </c>
      <c r="AB58" s="42">
        <f>SUMIFS('Solar Thermal'!$F:$F,'Solar Thermal'!$D:$D,$B58,'Solar Thermal'!$C:$C,AB$2)</f>
        <v>0</v>
      </c>
      <c r="AC58" s="42">
        <f>SUMIFS('Solar Thermal'!$F:$F,'Solar Thermal'!$D:$D,$B58,'Solar Thermal'!$C:$C,AC$2)</f>
        <v>0</v>
      </c>
      <c r="AD58" s="42">
        <f>SUMIFS('Solar Thermal'!$F:$F,'Solar Thermal'!$D:$D,$B58,'Solar Thermal'!$C:$C,AD$2)</f>
        <v>0</v>
      </c>
      <c r="AE58" s="42">
        <f>SUMIFS('Solar Thermal'!$F:$F,'Solar Thermal'!$D:$D,$B58,'Solar Thermal'!$C:$C,AE$2)</f>
        <v>0</v>
      </c>
      <c r="AF58" s="43">
        <f>SUMIFS('Solar Thermal'!$F:$F,'Solar Thermal'!$D:$D,$B58,'Solar Thermal'!$C:$C,AF$2)</f>
        <v>0</v>
      </c>
    </row>
    <row r="59" ht="13.85" spans="1:32">
      <c r="A59" s="27" t="s">
        <v>35</v>
      </c>
      <c r="B59" s="44" t="s">
        <v>126</v>
      </c>
      <c r="C59" s="45"/>
      <c r="D59" s="45"/>
      <c r="E59" s="4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>
        <f>SUMIFS('Solar Thermal'!$F:$F,'Solar Thermal'!$D:$D,$B59,'Solar Thermal'!$C:$C,W$2)</f>
        <v>0</v>
      </c>
      <c r="X59" s="42">
        <f>SUMIFS('Solar Thermal'!$F:$F,'Solar Thermal'!$D:$D,$B59,'Solar Thermal'!$C:$C,X$2)</f>
        <v>0</v>
      </c>
      <c r="Y59" s="42">
        <f>SUMIFS('Solar Thermal'!$F:$F,'Solar Thermal'!$D:$D,$B59,'Solar Thermal'!$C:$C,Y$2)</f>
        <v>0</v>
      </c>
      <c r="Z59" s="42">
        <f>SUMIFS('Solar Thermal'!$F:$F,'Solar Thermal'!$D:$D,$B59,'Solar Thermal'!$C:$C,Z$2)</f>
        <v>0</v>
      </c>
      <c r="AA59" s="42">
        <f>SUMIFS('Solar Thermal'!$F:$F,'Solar Thermal'!$D:$D,$B59,'Solar Thermal'!$C:$C,AA$2)</f>
        <v>0</v>
      </c>
      <c r="AB59" s="42">
        <f>SUMIFS('Solar Thermal'!$F:$F,'Solar Thermal'!$D:$D,$B59,'Solar Thermal'!$C:$C,AB$2)</f>
        <v>0</v>
      </c>
      <c r="AC59" s="42">
        <f>SUMIFS('Solar Thermal'!$F:$F,'Solar Thermal'!$D:$D,$B59,'Solar Thermal'!$C:$C,AC$2)</f>
        <v>0</v>
      </c>
      <c r="AD59" s="42">
        <f>SUMIFS('Solar Thermal'!$F:$F,'Solar Thermal'!$D:$D,$B59,'Solar Thermal'!$C:$C,AD$2)</f>
        <v>0</v>
      </c>
      <c r="AE59" s="42">
        <f>SUMIFS('Solar Thermal'!$F:$F,'Solar Thermal'!$D:$D,$B59,'Solar Thermal'!$C:$C,AE$2)</f>
        <v>0</v>
      </c>
      <c r="AF59" s="43">
        <f>SUMIFS('Solar Thermal'!$F:$F,'Solar Thermal'!$D:$D,$B59,'Solar Thermal'!$C:$C,AF$2)</f>
        <v>0</v>
      </c>
    </row>
    <row r="60" ht="13.85" spans="1:32">
      <c r="A60" s="27" t="s">
        <v>35</v>
      </c>
      <c r="B60" s="44" t="s">
        <v>128</v>
      </c>
      <c r="C60" s="45"/>
      <c r="D60" s="45"/>
      <c r="E60" s="45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>
        <f>SUMIFS('Solar Thermal'!$F:$F,'Solar Thermal'!$D:$D,$B60,'Solar Thermal'!$C:$C,W$2)</f>
        <v>0</v>
      </c>
      <c r="X60" s="42">
        <f>SUMIFS('Solar Thermal'!$F:$F,'Solar Thermal'!$D:$D,$B60,'Solar Thermal'!$C:$C,X$2)</f>
        <v>0</v>
      </c>
      <c r="Y60" s="42">
        <f>SUMIFS('Solar Thermal'!$F:$F,'Solar Thermal'!$D:$D,$B60,'Solar Thermal'!$C:$C,Y$2)</f>
        <v>0</v>
      </c>
      <c r="Z60" s="42">
        <f>SUMIFS('Solar Thermal'!$F:$F,'Solar Thermal'!$D:$D,$B60,'Solar Thermal'!$C:$C,Z$2)</f>
        <v>0</v>
      </c>
      <c r="AA60" s="42">
        <f>SUMIFS('Solar Thermal'!$F:$F,'Solar Thermal'!$D:$D,$B60,'Solar Thermal'!$C:$C,AA$2)</f>
        <v>0</v>
      </c>
      <c r="AB60" s="42">
        <f>SUMIFS('Solar Thermal'!$F:$F,'Solar Thermal'!$D:$D,$B60,'Solar Thermal'!$C:$C,AB$2)</f>
        <v>0</v>
      </c>
      <c r="AC60" s="42">
        <f>SUMIFS('Solar Thermal'!$F:$F,'Solar Thermal'!$D:$D,$B60,'Solar Thermal'!$C:$C,AC$2)</f>
        <v>0</v>
      </c>
      <c r="AD60" s="42">
        <f>SUMIFS('Solar Thermal'!$F:$F,'Solar Thermal'!$D:$D,$B60,'Solar Thermal'!$C:$C,AD$2)</f>
        <v>0</v>
      </c>
      <c r="AE60" s="42">
        <f>SUMIFS('Solar Thermal'!$F:$F,'Solar Thermal'!$D:$D,$B60,'Solar Thermal'!$C:$C,AE$2)</f>
        <v>0</v>
      </c>
      <c r="AF60" s="43">
        <f>SUMIFS('Solar Thermal'!$F:$F,'Solar Thermal'!$D:$D,$B60,'Solar Thermal'!$C:$C,AF$2)</f>
        <v>0</v>
      </c>
    </row>
    <row r="61" ht="13.85" spans="1:32">
      <c r="A61" s="27" t="s">
        <v>35</v>
      </c>
      <c r="B61" s="44" t="s">
        <v>130</v>
      </c>
      <c r="C61" s="45"/>
      <c r="D61" s="45"/>
      <c r="E61" s="45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>
        <f>SUMIFS('Solar Thermal'!$F:$F,'Solar Thermal'!$D:$D,$B61,'Solar Thermal'!$C:$C,W$2)</f>
        <v>0</v>
      </c>
      <c r="X61" s="42">
        <f>SUMIFS('Solar Thermal'!$F:$F,'Solar Thermal'!$D:$D,$B61,'Solar Thermal'!$C:$C,X$2)</f>
        <v>0</v>
      </c>
      <c r="Y61" s="42">
        <f>SUMIFS('Solar Thermal'!$F:$F,'Solar Thermal'!$D:$D,$B61,'Solar Thermal'!$C:$C,Y$2)</f>
        <v>0</v>
      </c>
      <c r="Z61" s="42">
        <f>SUMIFS('Solar Thermal'!$F:$F,'Solar Thermal'!$D:$D,$B61,'Solar Thermal'!$C:$C,Z$2)</f>
        <v>0</v>
      </c>
      <c r="AA61" s="42">
        <f>SUMIFS('Solar Thermal'!$F:$F,'Solar Thermal'!$D:$D,$B61,'Solar Thermal'!$C:$C,AA$2)</f>
        <v>0</v>
      </c>
      <c r="AB61" s="42">
        <f>SUMIFS('Solar Thermal'!$F:$F,'Solar Thermal'!$D:$D,$B61,'Solar Thermal'!$C:$C,AB$2)</f>
        <v>0</v>
      </c>
      <c r="AC61" s="42">
        <f>SUMIFS('Solar Thermal'!$F:$F,'Solar Thermal'!$D:$D,$B61,'Solar Thermal'!$C:$C,AC$2)</f>
        <v>0</v>
      </c>
      <c r="AD61" s="42">
        <f>SUMIFS('Solar Thermal'!$F:$F,'Solar Thermal'!$D:$D,$B61,'Solar Thermal'!$C:$C,AD$2)</f>
        <v>0</v>
      </c>
      <c r="AE61" s="42">
        <f>SUMIFS('Solar Thermal'!$F:$F,'Solar Thermal'!$D:$D,$B61,'Solar Thermal'!$C:$C,AE$2)</f>
        <v>0</v>
      </c>
      <c r="AF61" s="43">
        <f>SUMIFS('Solar Thermal'!$F:$F,'Solar Thermal'!$D:$D,$B61,'Solar Thermal'!$C:$C,AF$2)</f>
        <v>0</v>
      </c>
    </row>
    <row r="62" ht="13.85" spans="1:32">
      <c r="A62" s="27" t="s">
        <v>35</v>
      </c>
      <c r="B62" s="44" t="s">
        <v>132</v>
      </c>
      <c r="C62" s="45"/>
      <c r="D62" s="45"/>
      <c r="E62" s="45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>
        <f>SUMIFS('Solar Thermal'!$F:$F,'Solar Thermal'!$D:$D,$B62,'Solar Thermal'!$C:$C,W$2)</f>
        <v>0</v>
      </c>
      <c r="X62" s="42">
        <f>SUMIFS('Solar Thermal'!$F:$F,'Solar Thermal'!$D:$D,$B62,'Solar Thermal'!$C:$C,X$2)</f>
        <v>0</v>
      </c>
      <c r="Y62" s="42">
        <f>SUMIFS('Solar Thermal'!$F:$F,'Solar Thermal'!$D:$D,$B62,'Solar Thermal'!$C:$C,Y$2)</f>
        <v>0</v>
      </c>
      <c r="Z62" s="42">
        <f>SUMIFS('Solar Thermal'!$F:$F,'Solar Thermal'!$D:$D,$B62,'Solar Thermal'!$C:$C,Z$2)</f>
        <v>0</v>
      </c>
      <c r="AA62" s="42">
        <f>SUMIFS('Solar Thermal'!$F:$F,'Solar Thermal'!$D:$D,$B62,'Solar Thermal'!$C:$C,AA$2)</f>
        <v>0</v>
      </c>
      <c r="AB62" s="42">
        <f>SUMIFS('Solar Thermal'!$F:$F,'Solar Thermal'!$D:$D,$B62,'Solar Thermal'!$C:$C,AB$2)</f>
        <v>0</v>
      </c>
      <c r="AC62" s="42">
        <f>SUMIFS('Solar Thermal'!$F:$F,'Solar Thermal'!$D:$D,$B62,'Solar Thermal'!$C:$C,AC$2)</f>
        <v>0</v>
      </c>
      <c r="AD62" s="42">
        <f>SUMIFS('Solar Thermal'!$F:$F,'Solar Thermal'!$D:$D,$B62,'Solar Thermal'!$C:$C,AD$2)</f>
        <v>0</v>
      </c>
      <c r="AE62" s="42">
        <f>SUMIFS('Solar Thermal'!$F:$F,'Solar Thermal'!$D:$D,$B62,'Solar Thermal'!$C:$C,AE$2)</f>
        <v>0</v>
      </c>
      <c r="AF62" s="43">
        <f>SUMIFS('Solar Thermal'!$F:$F,'Solar Thermal'!$D:$D,$B62,'Solar Thermal'!$C:$C,AF$2)</f>
        <v>0</v>
      </c>
    </row>
    <row r="63" ht="13.85" spans="1:32">
      <c r="A63" s="27" t="s">
        <v>35</v>
      </c>
      <c r="B63" s="44" t="s">
        <v>134</v>
      </c>
      <c r="C63" s="45"/>
      <c r="D63" s="45"/>
      <c r="E63" s="45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>
        <f>SUMIFS('Solar Thermal'!$F:$F,'Solar Thermal'!$D:$D,$B63,'Solar Thermal'!$C:$C,W$2)</f>
        <v>0</v>
      </c>
      <c r="X63" s="42">
        <f>SUMIFS('Solar Thermal'!$F:$F,'Solar Thermal'!$D:$D,$B63,'Solar Thermal'!$C:$C,X$2)</f>
        <v>0</v>
      </c>
      <c r="Y63" s="42">
        <f>SUMIFS('Solar Thermal'!$F:$F,'Solar Thermal'!$D:$D,$B63,'Solar Thermal'!$C:$C,Y$2)</f>
        <v>0</v>
      </c>
      <c r="Z63" s="42">
        <f>SUMIFS('Solar Thermal'!$F:$F,'Solar Thermal'!$D:$D,$B63,'Solar Thermal'!$C:$C,Z$2)</f>
        <v>0</v>
      </c>
      <c r="AA63" s="42">
        <f>SUMIFS('Solar Thermal'!$F:$F,'Solar Thermal'!$D:$D,$B63,'Solar Thermal'!$C:$C,AA$2)</f>
        <v>0</v>
      </c>
      <c r="AB63" s="42">
        <f>SUMIFS('Solar Thermal'!$F:$F,'Solar Thermal'!$D:$D,$B63,'Solar Thermal'!$C:$C,AB$2)</f>
        <v>0</v>
      </c>
      <c r="AC63" s="42">
        <f>SUMIFS('Solar Thermal'!$F:$F,'Solar Thermal'!$D:$D,$B63,'Solar Thermal'!$C:$C,AC$2)</f>
        <v>0</v>
      </c>
      <c r="AD63" s="42">
        <f>SUMIFS('Solar Thermal'!$F:$F,'Solar Thermal'!$D:$D,$B63,'Solar Thermal'!$C:$C,AD$2)</f>
        <v>0</v>
      </c>
      <c r="AE63" s="42">
        <f>SUMIFS('Solar Thermal'!$F:$F,'Solar Thermal'!$D:$D,$B63,'Solar Thermal'!$C:$C,AE$2)</f>
        <v>0</v>
      </c>
      <c r="AF63" s="43">
        <f>SUMIFS('Solar Thermal'!$F:$F,'Solar Thermal'!$D:$D,$B63,'Solar Thermal'!$C:$C,AF$2)</f>
        <v>0</v>
      </c>
    </row>
    <row r="64" ht="13.85" spans="1:32">
      <c r="A64" s="27" t="s">
        <v>35</v>
      </c>
      <c r="B64" s="44" t="s">
        <v>136</v>
      </c>
      <c r="C64" s="45"/>
      <c r="D64" s="45"/>
      <c r="E64" s="45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>
        <f>SUMIFS('Solar Thermal'!$F:$F,'Solar Thermal'!$D:$D,$B64,'Solar Thermal'!$C:$C,W$2)</f>
        <v>0</v>
      </c>
      <c r="X64" s="42">
        <f>SUMIFS('Solar Thermal'!$F:$F,'Solar Thermal'!$D:$D,$B64,'Solar Thermal'!$C:$C,X$2)</f>
        <v>0</v>
      </c>
      <c r="Y64" s="42">
        <f>SUMIFS('Solar Thermal'!$F:$F,'Solar Thermal'!$D:$D,$B64,'Solar Thermal'!$C:$C,Y$2)</f>
        <v>0</v>
      </c>
      <c r="Z64" s="42">
        <f>SUMIFS('Solar Thermal'!$F:$F,'Solar Thermal'!$D:$D,$B64,'Solar Thermal'!$C:$C,Z$2)</f>
        <v>0</v>
      </c>
      <c r="AA64" s="42">
        <f>SUMIFS('Solar Thermal'!$F:$F,'Solar Thermal'!$D:$D,$B64,'Solar Thermal'!$C:$C,AA$2)</f>
        <v>0</v>
      </c>
      <c r="AB64" s="42">
        <f>SUMIFS('Solar Thermal'!$F:$F,'Solar Thermal'!$D:$D,$B64,'Solar Thermal'!$C:$C,AB$2)</f>
        <v>0</v>
      </c>
      <c r="AC64" s="42">
        <f>SUMIFS('Solar Thermal'!$F:$F,'Solar Thermal'!$D:$D,$B64,'Solar Thermal'!$C:$C,AC$2)</f>
        <v>0</v>
      </c>
      <c r="AD64" s="42">
        <f>SUMIFS('Solar Thermal'!$F:$F,'Solar Thermal'!$D:$D,$B64,'Solar Thermal'!$C:$C,AD$2)</f>
        <v>0</v>
      </c>
      <c r="AE64" s="42">
        <f>SUMIFS('Solar Thermal'!$F:$F,'Solar Thermal'!$D:$D,$B64,'Solar Thermal'!$C:$C,AE$2)</f>
        <v>0</v>
      </c>
      <c r="AF64" s="43">
        <f>SUMIFS('Solar Thermal'!$F:$F,'Solar Thermal'!$D:$D,$B64,'Solar Thermal'!$C:$C,AF$2)</f>
        <v>100</v>
      </c>
    </row>
    <row r="65" ht="13.85" spans="1:32">
      <c r="A65" s="27" t="s">
        <v>35</v>
      </c>
      <c r="B65" s="44" t="s">
        <v>138</v>
      </c>
      <c r="C65" s="45"/>
      <c r="D65" s="45"/>
      <c r="E65" s="45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>
        <f>SUMIFS('Solar Thermal'!$F:$F,'Solar Thermal'!$D:$D,$B65,'Solar Thermal'!$C:$C,W$2)</f>
        <v>0</v>
      </c>
      <c r="X65" s="42">
        <f>SUMIFS('Solar Thermal'!$F:$F,'Solar Thermal'!$D:$D,$B65,'Solar Thermal'!$C:$C,X$2)</f>
        <v>0</v>
      </c>
      <c r="Y65" s="42">
        <f>SUMIFS('Solar Thermal'!$F:$F,'Solar Thermal'!$D:$D,$B65,'Solar Thermal'!$C:$C,Y$2)</f>
        <v>0</v>
      </c>
      <c r="Z65" s="42">
        <f>SUMIFS('Solar Thermal'!$F:$F,'Solar Thermal'!$D:$D,$B65,'Solar Thermal'!$C:$C,Z$2)</f>
        <v>0</v>
      </c>
      <c r="AA65" s="42">
        <f>SUMIFS('Solar Thermal'!$F:$F,'Solar Thermal'!$D:$D,$B65,'Solar Thermal'!$C:$C,AA$2)</f>
        <v>0</v>
      </c>
      <c r="AB65" s="42">
        <f>SUMIFS('Solar Thermal'!$F:$F,'Solar Thermal'!$D:$D,$B65,'Solar Thermal'!$C:$C,AB$2)</f>
        <v>0</v>
      </c>
      <c r="AC65" s="42">
        <f>SUMIFS('Solar Thermal'!$F:$F,'Solar Thermal'!$D:$D,$B65,'Solar Thermal'!$C:$C,AC$2)</f>
        <v>0</v>
      </c>
      <c r="AD65" s="42">
        <f>SUMIFS('Solar Thermal'!$F:$F,'Solar Thermal'!$D:$D,$B65,'Solar Thermal'!$C:$C,AD$2)</f>
        <v>0</v>
      </c>
      <c r="AE65" s="42">
        <f>SUMIFS('Solar Thermal'!$F:$F,'Solar Thermal'!$D:$D,$B65,'Solar Thermal'!$C:$C,AE$2)</f>
        <v>50</v>
      </c>
      <c r="AF65" s="43">
        <f>SUMIFS('Solar Thermal'!$F:$F,'Solar Thermal'!$D:$D,$B65,'Solar Thermal'!$C:$C,AF$2)</f>
        <v>50</v>
      </c>
    </row>
    <row r="66" ht="13.85" spans="1:32">
      <c r="A66" s="27" t="s">
        <v>35</v>
      </c>
      <c r="B66" s="44" t="s">
        <v>140</v>
      </c>
      <c r="C66" s="45"/>
      <c r="D66" s="45"/>
      <c r="E66" s="45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>
        <f>SUMIFS('Solar Thermal'!$F:$F,'Solar Thermal'!$D:$D,$B66,'Solar Thermal'!$C:$C,W$2)</f>
        <v>0</v>
      </c>
      <c r="X66" s="42">
        <f>SUMIFS('Solar Thermal'!$F:$F,'Solar Thermal'!$D:$D,$B66,'Solar Thermal'!$C:$C,X$2)</f>
        <v>0</v>
      </c>
      <c r="Y66" s="42">
        <f>SUMIFS('Solar Thermal'!$F:$F,'Solar Thermal'!$D:$D,$B66,'Solar Thermal'!$C:$C,Y$2)</f>
        <v>0</v>
      </c>
      <c r="Z66" s="42">
        <f>SUMIFS('Solar Thermal'!$F:$F,'Solar Thermal'!$D:$D,$B66,'Solar Thermal'!$C:$C,Z$2)</f>
        <v>0</v>
      </c>
      <c r="AA66" s="42">
        <f>SUMIFS('Solar Thermal'!$F:$F,'Solar Thermal'!$D:$D,$B66,'Solar Thermal'!$C:$C,AA$2)</f>
        <v>0</v>
      </c>
      <c r="AB66" s="42">
        <f>SUMIFS('Solar Thermal'!$F:$F,'Solar Thermal'!$D:$D,$B66,'Solar Thermal'!$C:$C,AB$2)</f>
        <v>0</v>
      </c>
      <c r="AC66" s="42">
        <f>SUMIFS('Solar Thermal'!$F:$F,'Solar Thermal'!$D:$D,$B66,'Solar Thermal'!$C:$C,AC$2)</f>
        <v>0</v>
      </c>
      <c r="AD66" s="42">
        <f>SUMIFS('Solar Thermal'!$F:$F,'Solar Thermal'!$D:$D,$B66,'Solar Thermal'!$C:$C,AD$2)</f>
        <v>0</v>
      </c>
      <c r="AE66" s="42">
        <f>SUMIFS('Solar Thermal'!$F:$F,'Solar Thermal'!$D:$D,$B66,'Solar Thermal'!$C:$C,AE$2)</f>
        <v>0</v>
      </c>
      <c r="AF66" s="43">
        <f>SUMIFS('Solar Thermal'!$F:$F,'Solar Thermal'!$D:$D,$B66,'Solar Thermal'!$C:$C,AF$2)</f>
        <v>0</v>
      </c>
    </row>
    <row r="67" ht="13.85" spans="1:32">
      <c r="A67" s="27" t="s">
        <v>35</v>
      </c>
      <c r="B67" s="44" t="s">
        <v>142</v>
      </c>
      <c r="C67" s="45"/>
      <c r="D67" s="45"/>
      <c r="E67" s="45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>
        <f>SUMIFS('Solar Thermal'!$F:$F,'Solar Thermal'!$D:$D,$B67,'Solar Thermal'!$C:$C,W$2)</f>
        <v>0</v>
      </c>
      <c r="X67" s="42">
        <f>SUMIFS('Solar Thermal'!$F:$F,'Solar Thermal'!$D:$D,$B67,'Solar Thermal'!$C:$C,X$2)</f>
        <v>0</v>
      </c>
      <c r="Y67" s="42">
        <f>SUMIFS('Solar Thermal'!$F:$F,'Solar Thermal'!$D:$D,$B67,'Solar Thermal'!$C:$C,Y$2)</f>
        <v>0</v>
      </c>
      <c r="Z67" s="42">
        <f>SUMIFS('Solar Thermal'!$F:$F,'Solar Thermal'!$D:$D,$B67,'Solar Thermal'!$C:$C,Z$2)</f>
        <v>0</v>
      </c>
      <c r="AA67" s="42">
        <f>SUMIFS('Solar Thermal'!$F:$F,'Solar Thermal'!$D:$D,$B67,'Solar Thermal'!$C:$C,AA$2)</f>
        <v>0</v>
      </c>
      <c r="AB67" s="42">
        <f>SUMIFS('Solar Thermal'!$F:$F,'Solar Thermal'!$D:$D,$B67,'Solar Thermal'!$C:$C,AB$2)</f>
        <v>0</v>
      </c>
      <c r="AC67" s="42">
        <f>SUMIFS('Solar Thermal'!$F:$F,'Solar Thermal'!$D:$D,$B67,'Solar Thermal'!$C:$C,AC$2)</f>
        <v>0</v>
      </c>
      <c r="AD67" s="42">
        <f>SUMIFS('Solar Thermal'!$F:$F,'Solar Thermal'!$D:$D,$B67,'Solar Thermal'!$C:$C,AD$2)</f>
        <v>0</v>
      </c>
      <c r="AE67" s="42">
        <f>SUMIFS('Solar Thermal'!$F:$F,'Solar Thermal'!$D:$D,$B67,'Solar Thermal'!$C:$C,AE$2)</f>
        <v>0</v>
      </c>
      <c r="AF67" s="43">
        <f>SUMIFS('Solar Thermal'!$F:$F,'Solar Thermal'!$D:$D,$B67,'Solar Thermal'!$C:$C,AF$2)</f>
        <v>50</v>
      </c>
    </row>
    <row r="68" s="38" customFormat="1" spans="1:32">
      <c r="A68" s="46"/>
      <c r="B68" s="46"/>
      <c r="C68" s="47"/>
      <c r="D68" s="47"/>
      <c r="E68" s="47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 ht="13.85" spans="1:32">
      <c r="A69" s="27" t="s">
        <v>2321</v>
      </c>
      <c r="B69" s="41" t="s">
        <v>80</v>
      </c>
      <c r="C69" s="42">
        <f t="shared" ref="C69" si="57">SUM(C70:C100)</f>
        <v>122.05</v>
      </c>
      <c r="D69" s="42">
        <f t="shared" ref="D69" si="58">SUM(D70:D100)</f>
        <v>122.05</v>
      </c>
      <c r="E69" s="42">
        <f t="shared" ref="E69" si="59">SUM(E70:E100)</f>
        <v>122.05</v>
      </c>
      <c r="F69" s="42">
        <f t="shared" ref="F69" si="60">SUM(F70:F100)</f>
        <v>122.05</v>
      </c>
      <c r="G69" s="42">
        <f t="shared" ref="G69" si="61">SUM(G70:G100)</f>
        <v>122.05</v>
      </c>
      <c r="H69" s="42">
        <f t="shared" ref="H69" si="62">SUM(H70:H100)</f>
        <v>122.05</v>
      </c>
      <c r="I69" s="42">
        <f t="shared" ref="I69" si="63">SUM(I70:I100)</f>
        <v>122.05</v>
      </c>
      <c r="J69" s="42">
        <f t="shared" ref="J69" si="64">SUM(J70:J100)</f>
        <v>122.05</v>
      </c>
      <c r="K69" s="42">
        <f t="shared" ref="K69" si="65">SUM(K70:K100)</f>
        <v>122.05</v>
      </c>
      <c r="L69" s="42">
        <f t="shared" ref="L69" si="66">SUM(L70:L100)</f>
        <v>122.05</v>
      </c>
      <c r="M69" s="42">
        <f t="shared" ref="M69" si="67">SUM(M70:M100)</f>
        <v>122.05</v>
      </c>
      <c r="N69" s="42">
        <f t="shared" ref="N69" si="68">SUM(N70:N100)</f>
        <v>122.05</v>
      </c>
      <c r="O69" s="42">
        <f t="shared" ref="O69" si="69">SUM(O70:O100)</f>
        <v>44.04</v>
      </c>
      <c r="P69" s="42">
        <f t="shared" ref="P69" si="70">SUM(P70:P100)</f>
        <v>34.34</v>
      </c>
      <c r="Q69" s="42">
        <f t="shared" ref="Q69" si="71">SUM(Q70:Q100)</f>
        <v>34.34</v>
      </c>
      <c r="R69" s="42">
        <f t="shared" ref="R69" si="72">SUM(R70:R100)</f>
        <v>66.64</v>
      </c>
      <c r="S69" s="42">
        <f t="shared" ref="S69" si="73">SUM(S70:S100)</f>
        <v>34.34</v>
      </c>
      <c r="T69" s="42">
        <f t="shared" ref="T69" si="74">SUM(T70:T100)</f>
        <v>34.34</v>
      </c>
      <c r="U69" s="42">
        <f t="shared" ref="U69" si="75">SUM(U70:U100)</f>
        <v>104.34</v>
      </c>
      <c r="V69" s="42">
        <f t="shared" ref="V69" si="76">SUM(V70:V100)</f>
        <v>34.34</v>
      </c>
      <c r="W69" s="42">
        <f t="shared" ref="W69" si="77">SUM(W70:W100)</f>
        <v>34.34</v>
      </c>
      <c r="X69" s="42">
        <f t="shared" ref="X69" si="78">SUM(X70:X100)</f>
        <v>34.3400000000001</v>
      </c>
      <c r="Y69" s="42">
        <f t="shared" ref="Y69" si="79">SUM(Y70:Y100)</f>
        <v>0</v>
      </c>
      <c r="Z69" s="42">
        <f t="shared" ref="Z69" si="80">SUM(Z70:Z100)</f>
        <v>0</v>
      </c>
      <c r="AA69" s="42">
        <f t="shared" ref="AA69" si="81">SUM(AA70:AA100)</f>
        <v>0</v>
      </c>
      <c r="AB69" s="42">
        <f t="shared" ref="AB69" si="82">SUM(AB70:AB100)</f>
        <v>0</v>
      </c>
      <c r="AC69" s="42">
        <f t="shared" ref="AC69" si="83">SUM(AC70:AC100)</f>
        <v>0</v>
      </c>
      <c r="AD69" s="42">
        <f t="shared" ref="AD69" si="84">SUM(AD70:AD100)</f>
        <v>0</v>
      </c>
      <c r="AE69" s="42">
        <f t="shared" ref="AE69:AF69" si="85">SUM(AE70:AE100)</f>
        <v>0</v>
      </c>
      <c r="AF69" s="43">
        <f t="shared" si="85"/>
        <v>0</v>
      </c>
    </row>
    <row r="70" ht="13.85" spans="1:32">
      <c r="A70" s="27" t="s">
        <v>2321</v>
      </c>
      <c r="B70" s="44" t="s">
        <v>82</v>
      </c>
      <c r="C70" s="42">
        <f>VLOOKUP($B70,'Diesel Worksheet'!$A$184:$AE$215,COLUMN(B$1),FALSE)*10</f>
        <v>18.3333333333333</v>
      </c>
      <c r="D70" s="42">
        <f>VLOOKUP($B70,'Diesel Worksheet'!$A$184:$AE$215,COLUMN(C$1),FALSE)*10</f>
        <v>18.3333333333333</v>
      </c>
      <c r="E70" s="42">
        <f>VLOOKUP($B70,'Diesel Worksheet'!$A$184:$AE$215,COLUMN(D$1),FALSE)*10</f>
        <v>18.3333333333333</v>
      </c>
      <c r="F70" s="42">
        <f>VLOOKUP($B70,'Diesel Worksheet'!$A$184:$AE$215,COLUMN(E$1),FALSE)*10</f>
        <v>18.3333333333333</v>
      </c>
      <c r="G70" s="42">
        <f>VLOOKUP($B70,'Diesel Worksheet'!$A$184:$AE$215,COLUMN(F$1),FALSE)*10</f>
        <v>18.3333333333333</v>
      </c>
      <c r="H70" s="42">
        <f>VLOOKUP($B70,'Diesel Worksheet'!$A$184:$AE$215,COLUMN(G$1),FALSE)*10</f>
        <v>18.3333333333333</v>
      </c>
      <c r="I70" s="42">
        <f>VLOOKUP($B70,'Diesel Worksheet'!$A$184:$AE$215,COLUMN(H$1),FALSE)*10</f>
        <v>18.3333333333333</v>
      </c>
      <c r="J70" s="42">
        <f>VLOOKUP($B70,'Diesel Worksheet'!$A$184:$AE$215,COLUMN(I$1),FALSE)*10</f>
        <v>18.3333333333333</v>
      </c>
      <c r="K70" s="42">
        <f>VLOOKUP($B70,'Diesel Worksheet'!$A$184:$AE$215,COLUMN(J$1),FALSE)*10</f>
        <v>18.3333333333333</v>
      </c>
      <c r="L70" s="42">
        <f>VLOOKUP($B70,'Diesel Worksheet'!$A$184:$AE$215,COLUMN(K$1),FALSE)*10</f>
        <v>18.3333333333333</v>
      </c>
      <c r="M70" s="42">
        <f>VLOOKUP($B70,'Diesel Worksheet'!$A$184:$AE$215,COLUMN(L$1),FALSE)*10</f>
        <v>18.3333333333333</v>
      </c>
      <c r="N70" s="42">
        <f>VLOOKUP($B70,'Diesel Worksheet'!$A$184:$AE$215,COLUMN(M$1),FALSE)*10</f>
        <v>18.3333333333333</v>
      </c>
      <c r="O70" s="42">
        <f>VLOOKUP($B70,'Diesel Worksheet'!$A$184:$AE$215,COLUMN(N$1),FALSE)*10</f>
        <v>0</v>
      </c>
      <c r="P70" s="42">
        <f>VLOOKUP($B70,'Diesel Worksheet'!$A$184:$AE$215,COLUMN(O$1),FALSE)*10</f>
        <v>0</v>
      </c>
      <c r="Q70" s="42">
        <f>VLOOKUP($B70,'Diesel Worksheet'!$A$184:$AE$215,COLUMN(P$1),FALSE)*10</f>
        <v>0</v>
      </c>
      <c r="R70" s="42">
        <f>VLOOKUP($B70,'Diesel Worksheet'!$A$184:$AE$215,COLUMN(Q$1),FALSE)*10</f>
        <v>0</v>
      </c>
      <c r="S70" s="42">
        <f>VLOOKUP($B70,'Diesel Worksheet'!$A$184:$AE$215,COLUMN(R$1),FALSE)*10</f>
        <v>0</v>
      </c>
      <c r="T70" s="42">
        <f>VLOOKUP($B70,'Diesel Worksheet'!$A$184:$AE$215,COLUMN(S$1),FALSE)*10</f>
        <v>0</v>
      </c>
      <c r="U70" s="42">
        <f>VLOOKUP($B70,'Diesel Worksheet'!$A$184:$AE$215,COLUMN(T$1),FALSE)*10</f>
        <v>0</v>
      </c>
      <c r="V70" s="42">
        <f>VLOOKUP($B70,'Diesel Worksheet'!$A$184:$AE$215,COLUMN(U$1),FALSE)*10</f>
        <v>0</v>
      </c>
      <c r="W70" s="42">
        <f>VLOOKUP($B70,'Diesel Worksheet'!$A$184:$AE$215,COLUMN(V$1),FALSE)*10</f>
        <v>0</v>
      </c>
      <c r="X70" s="42">
        <f>VLOOKUP($B70,'Diesel Worksheet'!$A$184:$AE$215,COLUMN(W$1),FALSE)*10</f>
        <v>0</v>
      </c>
      <c r="Y70" s="42">
        <f>VLOOKUP($B70,'Diesel Worksheet'!$A$184:$AE$215,COLUMN(X$1),FALSE)*10</f>
        <v>0</v>
      </c>
      <c r="Z70" s="42">
        <f>VLOOKUP($B70,'Diesel Worksheet'!$A$184:$AE$215,COLUMN(Y$1),FALSE)*10</f>
        <v>0</v>
      </c>
      <c r="AA70" s="42">
        <f>VLOOKUP($B70,'Diesel Worksheet'!$A$184:$AE$215,COLUMN(Z$1),FALSE)*10</f>
        <v>0</v>
      </c>
      <c r="AB70" s="42">
        <f>VLOOKUP($B70,'Diesel Worksheet'!$A$184:$AE$215,COLUMN(AA$1),FALSE)*10</f>
        <v>0</v>
      </c>
      <c r="AC70" s="42">
        <f>VLOOKUP($B70,'Diesel Worksheet'!$A$184:$AE$215,COLUMN(AB$1),FALSE)*10</f>
        <v>0</v>
      </c>
      <c r="AD70" s="42">
        <f>VLOOKUP($B70,'Diesel Worksheet'!$A$184:$AE$215,COLUMN(AC$1),FALSE)*10</f>
        <v>0</v>
      </c>
      <c r="AE70" s="42">
        <f>VLOOKUP($B70,'Diesel Worksheet'!$A$184:$AE$215,COLUMN(AD$1),FALSE)*10</f>
        <v>0</v>
      </c>
      <c r="AF70" s="43">
        <f>VLOOKUP($B70,'Diesel Worksheet'!$A$184:$AE$215,COLUMN(AE$1),FALSE)*10</f>
        <v>0</v>
      </c>
    </row>
    <row r="71" ht="13.85" spans="1:32">
      <c r="A71" s="27" t="s">
        <v>2321</v>
      </c>
      <c r="B71" s="44" t="s">
        <v>84</v>
      </c>
      <c r="C71" s="42">
        <f>VLOOKUP($B71,'Diesel Worksheet'!$A$184:$AE$215,COLUMN(B$1),FALSE)*10</f>
        <v>15</v>
      </c>
      <c r="D71" s="42">
        <f>VLOOKUP($B71,'Diesel Worksheet'!$A$184:$AE$215,COLUMN(C$1),FALSE)*10</f>
        <v>15</v>
      </c>
      <c r="E71" s="42">
        <f>VLOOKUP($B71,'Diesel Worksheet'!$A$184:$AE$215,COLUMN(D$1),FALSE)*10</f>
        <v>15</v>
      </c>
      <c r="F71" s="42">
        <f>VLOOKUP($B71,'Diesel Worksheet'!$A$184:$AE$215,COLUMN(E$1),FALSE)*10</f>
        <v>15</v>
      </c>
      <c r="G71" s="42">
        <f>VLOOKUP($B71,'Diesel Worksheet'!$A$184:$AE$215,COLUMN(F$1),FALSE)*10</f>
        <v>15</v>
      </c>
      <c r="H71" s="42">
        <f>VLOOKUP($B71,'Diesel Worksheet'!$A$184:$AE$215,COLUMN(G$1),FALSE)*10</f>
        <v>15</v>
      </c>
      <c r="I71" s="42">
        <f>VLOOKUP($B71,'Diesel Worksheet'!$A$184:$AE$215,COLUMN(H$1),FALSE)*10</f>
        <v>15</v>
      </c>
      <c r="J71" s="42">
        <f>VLOOKUP($B71,'Diesel Worksheet'!$A$184:$AE$215,COLUMN(I$1),FALSE)*10</f>
        <v>15</v>
      </c>
      <c r="K71" s="42">
        <f>VLOOKUP($B71,'Diesel Worksheet'!$A$184:$AE$215,COLUMN(J$1),FALSE)*10</f>
        <v>15</v>
      </c>
      <c r="L71" s="42">
        <f>VLOOKUP($B71,'Diesel Worksheet'!$A$184:$AE$215,COLUMN(K$1),FALSE)*10</f>
        <v>15</v>
      </c>
      <c r="M71" s="42">
        <f>VLOOKUP($B71,'Diesel Worksheet'!$A$184:$AE$215,COLUMN(L$1),FALSE)*10</f>
        <v>15</v>
      </c>
      <c r="N71" s="42">
        <f>VLOOKUP($B71,'Diesel Worksheet'!$A$184:$AE$215,COLUMN(M$1),FALSE)*10</f>
        <v>15</v>
      </c>
      <c r="O71" s="42">
        <f>VLOOKUP($B71,'Diesel Worksheet'!$A$184:$AE$215,COLUMN(N$1),FALSE)*10</f>
        <v>0</v>
      </c>
      <c r="P71" s="42">
        <f>VLOOKUP($B71,'Diesel Worksheet'!$A$184:$AE$215,COLUMN(O$1),FALSE)*10</f>
        <v>0</v>
      </c>
      <c r="Q71" s="42">
        <f>VLOOKUP($B71,'Diesel Worksheet'!$A$184:$AE$215,COLUMN(P$1),FALSE)*10</f>
        <v>0</v>
      </c>
      <c r="R71" s="42">
        <f>VLOOKUP($B71,'Diesel Worksheet'!$A$184:$AE$215,COLUMN(Q$1),FALSE)*10</f>
        <v>0</v>
      </c>
      <c r="S71" s="42">
        <f>VLOOKUP($B71,'Diesel Worksheet'!$A$184:$AE$215,COLUMN(R$1),FALSE)*10</f>
        <v>0</v>
      </c>
      <c r="T71" s="42">
        <f>VLOOKUP($B71,'Diesel Worksheet'!$A$184:$AE$215,COLUMN(S$1),FALSE)*10</f>
        <v>0</v>
      </c>
      <c r="U71" s="42">
        <f>VLOOKUP($B71,'Diesel Worksheet'!$A$184:$AE$215,COLUMN(T$1),FALSE)*10</f>
        <v>0</v>
      </c>
      <c r="V71" s="42">
        <f>VLOOKUP($B71,'Diesel Worksheet'!$A$184:$AE$215,COLUMN(U$1),FALSE)*10</f>
        <v>0</v>
      </c>
      <c r="W71" s="42">
        <f>VLOOKUP($B71,'Diesel Worksheet'!$A$184:$AE$215,COLUMN(V$1),FALSE)*10</f>
        <v>0</v>
      </c>
      <c r="X71" s="42">
        <f>VLOOKUP($B71,'Diesel Worksheet'!$A$184:$AE$215,COLUMN(W$1),FALSE)*10</f>
        <v>0</v>
      </c>
      <c r="Y71" s="42">
        <f>VLOOKUP($B71,'Diesel Worksheet'!$A$184:$AE$215,COLUMN(X$1),FALSE)*10</f>
        <v>0</v>
      </c>
      <c r="Z71" s="42">
        <f>VLOOKUP($B71,'Diesel Worksheet'!$A$184:$AE$215,COLUMN(Y$1),FALSE)*10</f>
        <v>0</v>
      </c>
      <c r="AA71" s="42">
        <f>VLOOKUP($B71,'Diesel Worksheet'!$A$184:$AE$215,COLUMN(Z$1),FALSE)*10</f>
        <v>0</v>
      </c>
      <c r="AB71" s="42">
        <f>VLOOKUP($B71,'Diesel Worksheet'!$A$184:$AE$215,COLUMN(AA$1),FALSE)*10</f>
        <v>0</v>
      </c>
      <c r="AC71" s="42">
        <f>VLOOKUP($B71,'Diesel Worksheet'!$A$184:$AE$215,COLUMN(AB$1),FALSE)*10</f>
        <v>0</v>
      </c>
      <c r="AD71" s="42">
        <f>VLOOKUP($B71,'Diesel Worksheet'!$A$184:$AE$215,COLUMN(AC$1),FALSE)*10</f>
        <v>0</v>
      </c>
      <c r="AE71" s="42">
        <f>VLOOKUP($B71,'Diesel Worksheet'!$A$184:$AE$215,COLUMN(AD$1),FALSE)*10</f>
        <v>0</v>
      </c>
      <c r="AF71" s="43">
        <f>VLOOKUP($B71,'Diesel Worksheet'!$A$184:$AE$215,COLUMN(AE$1),FALSE)*10</f>
        <v>0</v>
      </c>
    </row>
    <row r="72" ht="13.85" spans="1:32">
      <c r="A72" s="27" t="s">
        <v>2321</v>
      </c>
      <c r="B72" s="44" t="s">
        <v>86</v>
      </c>
      <c r="C72" s="42">
        <f>VLOOKUP($B72,'Diesel Worksheet'!$A$184:$AE$215,COLUMN(B$1),FALSE)*10</f>
        <v>0</v>
      </c>
      <c r="D72" s="42">
        <f>VLOOKUP($B72,'Diesel Worksheet'!$A$184:$AE$215,COLUMN(C$1),FALSE)*10</f>
        <v>0</v>
      </c>
      <c r="E72" s="42">
        <f>VLOOKUP($B72,'Diesel Worksheet'!$A$184:$AE$215,COLUMN(D$1),FALSE)*10</f>
        <v>0</v>
      </c>
      <c r="F72" s="42">
        <f>VLOOKUP($B72,'Diesel Worksheet'!$A$184:$AE$215,COLUMN(E$1),FALSE)*10</f>
        <v>0</v>
      </c>
      <c r="G72" s="42">
        <f>VLOOKUP($B72,'Diesel Worksheet'!$A$184:$AE$215,COLUMN(F$1),FALSE)*10</f>
        <v>0</v>
      </c>
      <c r="H72" s="42">
        <f>VLOOKUP($B72,'Diesel Worksheet'!$A$184:$AE$215,COLUMN(G$1),FALSE)*10</f>
        <v>0</v>
      </c>
      <c r="I72" s="42">
        <f>VLOOKUP($B72,'Diesel Worksheet'!$A$184:$AE$215,COLUMN(H$1),FALSE)*10</f>
        <v>0</v>
      </c>
      <c r="J72" s="42">
        <f>VLOOKUP($B72,'Diesel Worksheet'!$A$184:$AE$215,COLUMN(I$1),FALSE)*10</f>
        <v>0</v>
      </c>
      <c r="K72" s="42">
        <f>VLOOKUP($B72,'Diesel Worksheet'!$A$184:$AE$215,COLUMN(J$1),FALSE)*10</f>
        <v>0</v>
      </c>
      <c r="L72" s="42">
        <f>VLOOKUP($B72,'Diesel Worksheet'!$A$184:$AE$215,COLUMN(K$1),FALSE)*10</f>
        <v>0</v>
      </c>
      <c r="M72" s="42">
        <f>VLOOKUP($B72,'Diesel Worksheet'!$A$184:$AE$215,COLUMN(L$1),FALSE)*10</f>
        <v>0</v>
      </c>
      <c r="N72" s="42">
        <f>VLOOKUP($B72,'Diesel Worksheet'!$A$184:$AE$215,COLUMN(M$1),FALSE)*10</f>
        <v>0</v>
      </c>
      <c r="O72" s="42">
        <f>VLOOKUP($B72,'Diesel Worksheet'!$A$184:$AE$215,COLUMN(N$1),FALSE)*10</f>
        <v>0</v>
      </c>
      <c r="P72" s="42">
        <f>VLOOKUP($B72,'Diesel Worksheet'!$A$184:$AE$215,COLUMN(O$1),FALSE)*10</f>
        <v>0</v>
      </c>
      <c r="Q72" s="42">
        <f>VLOOKUP($B72,'Diesel Worksheet'!$A$184:$AE$215,COLUMN(P$1),FALSE)*10</f>
        <v>0</v>
      </c>
      <c r="R72" s="42">
        <f>VLOOKUP($B72,'Diesel Worksheet'!$A$184:$AE$215,COLUMN(Q$1),FALSE)*10</f>
        <v>0</v>
      </c>
      <c r="S72" s="42">
        <f>VLOOKUP($B72,'Diesel Worksheet'!$A$184:$AE$215,COLUMN(R$1),FALSE)*10</f>
        <v>0</v>
      </c>
      <c r="T72" s="42">
        <f>VLOOKUP($B72,'Diesel Worksheet'!$A$184:$AE$215,COLUMN(S$1),FALSE)*10</f>
        <v>0</v>
      </c>
      <c r="U72" s="42">
        <f>VLOOKUP($B72,'Diesel Worksheet'!$A$184:$AE$215,COLUMN(T$1),FALSE)*10</f>
        <v>0</v>
      </c>
      <c r="V72" s="42">
        <f>VLOOKUP($B72,'Diesel Worksheet'!$A$184:$AE$215,COLUMN(U$1),FALSE)*10</f>
        <v>0</v>
      </c>
      <c r="W72" s="42">
        <f>VLOOKUP($B72,'Diesel Worksheet'!$A$184:$AE$215,COLUMN(V$1),FALSE)*10</f>
        <v>0</v>
      </c>
      <c r="X72" s="42">
        <f>VLOOKUP($B72,'Diesel Worksheet'!$A$184:$AE$215,COLUMN(W$1),FALSE)*10</f>
        <v>0</v>
      </c>
      <c r="Y72" s="42">
        <f>VLOOKUP($B72,'Diesel Worksheet'!$A$184:$AE$215,COLUMN(X$1),FALSE)*10</f>
        <v>0</v>
      </c>
      <c r="Z72" s="42">
        <f>VLOOKUP($B72,'Diesel Worksheet'!$A$184:$AE$215,COLUMN(Y$1),FALSE)*10</f>
        <v>0</v>
      </c>
      <c r="AA72" s="42">
        <f>VLOOKUP($B72,'Diesel Worksheet'!$A$184:$AE$215,COLUMN(Z$1),FALSE)*10</f>
        <v>0</v>
      </c>
      <c r="AB72" s="42">
        <f>VLOOKUP($B72,'Diesel Worksheet'!$A$184:$AE$215,COLUMN(AA$1),FALSE)*10</f>
        <v>0</v>
      </c>
      <c r="AC72" s="42">
        <f>VLOOKUP($B72,'Diesel Worksheet'!$A$184:$AE$215,COLUMN(AB$1),FALSE)*10</f>
        <v>0</v>
      </c>
      <c r="AD72" s="42">
        <f>VLOOKUP($B72,'Diesel Worksheet'!$A$184:$AE$215,COLUMN(AC$1),FALSE)*10</f>
        <v>0</v>
      </c>
      <c r="AE72" s="42">
        <f>VLOOKUP($B72,'Diesel Worksheet'!$A$184:$AE$215,COLUMN(AD$1),FALSE)*10</f>
        <v>0</v>
      </c>
      <c r="AF72" s="43">
        <f>VLOOKUP($B72,'Diesel Worksheet'!$A$184:$AE$215,COLUMN(AE$1),FALSE)*10</f>
        <v>0</v>
      </c>
    </row>
    <row r="73" ht="13.85" spans="1:32">
      <c r="A73" s="27" t="s">
        <v>2321</v>
      </c>
      <c r="B73" s="44" t="s">
        <v>88</v>
      </c>
      <c r="C73" s="42">
        <f>VLOOKUP($B73,'Diesel Worksheet'!$A$184:$AE$215,COLUMN(B$1),FALSE)*10</f>
        <v>0</v>
      </c>
      <c r="D73" s="42">
        <f>VLOOKUP($B73,'Diesel Worksheet'!$A$184:$AE$215,COLUMN(C$1),FALSE)*10</f>
        <v>0</v>
      </c>
      <c r="E73" s="42">
        <f>VLOOKUP($B73,'Diesel Worksheet'!$A$184:$AE$215,COLUMN(D$1),FALSE)*10</f>
        <v>0</v>
      </c>
      <c r="F73" s="42">
        <f>VLOOKUP($B73,'Diesel Worksheet'!$A$184:$AE$215,COLUMN(E$1),FALSE)*10</f>
        <v>0</v>
      </c>
      <c r="G73" s="42">
        <f>VLOOKUP($B73,'Diesel Worksheet'!$A$184:$AE$215,COLUMN(F$1),FALSE)*10</f>
        <v>0</v>
      </c>
      <c r="H73" s="42">
        <f>VLOOKUP($B73,'Diesel Worksheet'!$A$184:$AE$215,COLUMN(G$1),FALSE)*10</f>
        <v>0</v>
      </c>
      <c r="I73" s="42">
        <f>VLOOKUP($B73,'Diesel Worksheet'!$A$184:$AE$215,COLUMN(H$1),FALSE)*10</f>
        <v>0</v>
      </c>
      <c r="J73" s="42">
        <f>VLOOKUP($B73,'Diesel Worksheet'!$A$184:$AE$215,COLUMN(I$1),FALSE)*10</f>
        <v>0</v>
      </c>
      <c r="K73" s="42">
        <f>VLOOKUP($B73,'Diesel Worksheet'!$A$184:$AE$215,COLUMN(J$1),FALSE)*10</f>
        <v>0</v>
      </c>
      <c r="L73" s="42">
        <f>VLOOKUP($B73,'Diesel Worksheet'!$A$184:$AE$215,COLUMN(K$1),FALSE)*10</f>
        <v>0</v>
      </c>
      <c r="M73" s="42">
        <f>VLOOKUP($B73,'Diesel Worksheet'!$A$184:$AE$215,COLUMN(L$1),FALSE)*10</f>
        <v>0</v>
      </c>
      <c r="N73" s="42">
        <f>VLOOKUP($B73,'Diesel Worksheet'!$A$184:$AE$215,COLUMN(M$1),FALSE)*10</f>
        <v>0</v>
      </c>
      <c r="O73" s="42">
        <f>VLOOKUP($B73,'Diesel Worksheet'!$A$184:$AE$215,COLUMN(N$1),FALSE)*10</f>
        <v>0</v>
      </c>
      <c r="P73" s="42">
        <f>VLOOKUP($B73,'Diesel Worksheet'!$A$184:$AE$215,COLUMN(O$1),FALSE)*10</f>
        <v>0</v>
      </c>
      <c r="Q73" s="42">
        <f>VLOOKUP($B73,'Diesel Worksheet'!$A$184:$AE$215,COLUMN(P$1),FALSE)*10</f>
        <v>0</v>
      </c>
      <c r="R73" s="42">
        <f>VLOOKUP($B73,'Diesel Worksheet'!$A$184:$AE$215,COLUMN(Q$1),FALSE)*10</f>
        <v>0</v>
      </c>
      <c r="S73" s="42">
        <f>VLOOKUP($B73,'Diesel Worksheet'!$A$184:$AE$215,COLUMN(R$1),FALSE)*10</f>
        <v>0</v>
      </c>
      <c r="T73" s="42">
        <f>VLOOKUP($B73,'Diesel Worksheet'!$A$184:$AE$215,COLUMN(S$1),FALSE)*10</f>
        <v>0</v>
      </c>
      <c r="U73" s="42">
        <f>VLOOKUP($B73,'Diesel Worksheet'!$A$184:$AE$215,COLUMN(T$1),FALSE)*10</f>
        <v>0</v>
      </c>
      <c r="V73" s="42">
        <f>VLOOKUP($B73,'Diesel Worksheet'!$A$184:$AE$215,COLUMN(U$1),FALSE)*10</f>
        <v>0</v>
      </c>
      <c r="W73" s="42">
        <f>VLOOKUP($B73,'Diesel Worksheet'!$A$184:$AE$215,COLUMN(V$1),FALSE)*10</f>
        <v>0</v>
      </c>
      <c r="X73" s="42">
        <f>VLOOKUP($B73,'Diesel Worksheet'!$A$184:$AE$215,COLUMN(W$1),FALSE)*10</f>
        <v>0</v>
      </c>
      <c r="Y73" s="42">
        <f>VLOOKUP($B73,'Diesel Worksheet'!$A$184:$AE$215,COLUMN(X$1),FALSE)*10</f>
        <v>0</v>
      </c>
      <c r="Z73" s="42">
        <f>VLOOKUP($B73,'Diesel Worksheet'!$A$184:$AE$215,COLUMN(Y$1),FALSE)*10</f>
        <v>0</v>
      </c>
      <c r="AA73" s="42">
        <f>VLOOKUP($B73,'Diesel Worksheet'!$A$184:$AE$215,COLUMN(Z$1),FALSE)*10</f>
        <v>0</v>
      </c>
      <c r="AB73" s="42">
        <f>VLOOKUP($B73,'Diesel Worksheet'!$A$184:$AE$215,COLUMN(AA$1),FALSE)*10</f>
        <v>0</v>
      </c>
      <c r="AC73" s="42">
        <f>VLOOKUP($B73,'Diesel Worksheet'!$A$184:$AE$215,COLUMN(AB$1),FALSE)*10</f>
        <v>0</v>
      </c>
      <c r="AD73" s="42">
        <f>VLOOKUP($B73,'Diesel Worksheet'!$A$184:$AE$215,COLUMN(AC$1),FALSE)*10</f>
        <v>0</v>
      </c>
      <c r="AE73" s="42">
        <f>VLOOKUP($B73,'Diesel Worksheet'!$A$184:$AE$215,COLUMN(AD$1),FALSE)*10</f>
        <v>0</v>
      </c>
      <c r="AF73" s="43">
        <f>VLOOKUP($B73,'Diesel Worksheet'!$A$184:$AE$215,COLUMN(AE$1),FALSE)*10</f>
        <v>0</v>
      </c>
    </row>
    <row r="74" ht="13.85" spans="1:32">
      <c r="A74" s="27" t="s">
        <v>2321</v>
      </c>
      <c r="B74" s="44" t="s">
        <v>90</v>
      </c>
      <c r="C74" s="42">
        <f>VLOOKUP($B74,'Diesel Worksheet'!$A$184:$AE$215,COLUMN(B$1),FALSE)*10</f>
        <v>0</v>
      </c>
      <c r="D74" s="42">
        <f>VLOOKUP($B74,'Diesel Worksheet'!$A$184:$AE$215,COLUMN(C$1),FALSE)*10</f>
        <v>0</v>
      </c>
      <c r="E74" s="42">
        <f>VLOOKUP($B74,'Diesel Worksheet'!$A$184:$AE$215,COLUMN(D$1),FALSE)*10</f>
        <v>0</v>
      </c>
      <c r="F74" s="42">
        <f>VLOOKUP($B74,'Diesel Worksheet'!$A$184:$AE$215,COLUMN(E$1),FALSE)*10</f>
        <v>0</v>
      </c>
      <c r="G74" s="42">
        <f>VLOOKUP($B74,'Diesel Worksheet'!$A$184:$AE$215,COLUMN(F$1),FALSE)*10</f>
        <v>0</v>
      </c>
      <c r="H74" s="42">
        <f>VLOOKUP($B74,'Diesel Worksheet'!$A$184:$AE$215,COLUMN(G$1),FALSE)*10</f>
        <v>0</v>
      </c>
      <c r="I74" s="42">
        <f>VLOOKUP($B74,'Diesel Worksheet'!$A$184:$AE$215,COLUMN(H$1),FALSE)*10</f>
        <v>0</v>
      </c>
      <c r="J74" s="42">
        <f>VLOOKUP($B74,'Diesel Worksheet'!$A$184:$AE$215,COLUMN(I$1),FALSE)*10</f>
        <v>0</v>
      </c>
      <c r="K74" s="42">
        <f>VLOOKUP($B74,'Diesel Worksheet'!$A$184:$AE$215,COLUMN(J$1),FALSE)*10</f>
        <v>0</v>
      </c>
      <c r="L74" s="42">
        <f>VLOOKUP($B74,'Diesel Worksheet'!$A$184:$AE$215,COLUMN(K$1),FALSE)*10</f>
        <v>0</v>
      </c>
      <c r="M74" s="42">
        <f>VLOOKUP($B74,'Diesel Worksheet'!$A$184:$AE$215,COLUMN(L$1),FALSE)*10</f>
        <v>0</v>
      </c>
      <c r="N74" s="42">
        <f>VLOOKUP($B74,'Diesel Worksheet'!$A$184:$AE$215,COLUMN(M$1),FALSE)*10</f>
        <v>0</v>
      </c>
      <c r="O74" s="42">
        <f>VLOOKUP($B74,'Diesel Worksheet'!$A$184:$AE$215,COLUMN(N$1),FALSE)*10</f>
        <v>0</v>
      </c>
      <c r="P74" s="42">
        <f>VLOOKUP($B74,'Diesel Worksheet'!$A$184:$AE$215,COLUMN(O$1),FALSE)*10</f>
        <v>0</v>
      </c>
      <c r="Q74" s="42">
        <f>VLOOKUP($B74,'Diesel Worksheet'!$A$184:$AE$215,COLUMN(P$1),FALSE)*10</f>
        <v>0</v>
      </c>
      <c r="R74" s="42">
        <f>VLOOKUP($B74,'Diesel Worksheet'!$A$184:$AE$215,COLUMN(Q$1),FALSE)*10</f>
        <v>0</v>
      </c>
      <c r="S74" s="42">
        <f>VLOOKUP($B74,'Diesel Worksheet'!$A$184:$AE$215,COLUMN(R$1),FALSE)*10</f>
        <v>0</v>
      </c>
      <c r="T74" s="42">
        <f>VLOOKUP($B74,'Diesel Worksheet'!$A$184:$AE$215,COLUMN(S$1),FALSE)*10</f>
        <v>0</v>
      </c>
      <c r="U74" s="42">
        <f>VLOOKUP($B74,'Diesel Worksheet'!$A$184:$AE$215,COLUMN(T$1),FALSE)*10</f>
        <v>0</v>
      </c>
      <c r="V74" s="42">
        <f>VLOOKUP($B74,'Diesel Worksheet'!$A$184:$AE$215,COLUMN(U$1),FALSE)*10</f>
        <v>0</v>
      </c>
      <c r="W74" s="42">
        <f>VLOOKUP($B74,'Diesel Worksheet'!$A$184:$AE$215,COLUMN(V$1),FALSE)*10</f>
        <v>0</v>
      </c>
      <c r="X74" s="42">
        <f>VLOOKUP($B74,'Diesel Worksheet'!$A$184:$AE$215,COLUMN(W$1),FALSE)*10</f>
        <v>0</v>
      </c>
      <c r="Y74" s="42">
        <f>VLOOKUP($B74,'Diesel Worksheet'!$A$184:$AE$215,COLUMN(X$1),FALSE)*10</f>
        <v>0</v>
      </c>
      <c r="Z74" s="42">
        <f>VLOOKUP($B74,'Diesel Worksheet'!$A$184:$AE$215,COLUMN(Y$1),FALSE)*10</f>
        <v>0</v>
      </c>
      <c r="AA74" s="42">
        <f>VLOOKUP($B74,'Diesel Worksheet'!$A$184:$AE$215,COLUMN(Z$1),FALSE)*10</f>
        <v>0</v>
      </c>
      <c r="AB74" s="42">
        <f>VLOOKUP($B74,'Diesel Worksheet'!$A$184:$AE$215,COLUMN(AA$1),FALSE)*10</f>
        <v>0</v>
      </c>
      <c r="AC74" s="42">
        <f>VLOOKUP($B74,'Diesel Worksheet'!$A$184:$AE$215,COLUMN(AB$1),FALSE)*10</f>
        <v>0</v>
      </c>
      <c r="AD74" s="42">
        <f>VLOOKUP($B74,'Diesel Worksheet'!$A$184:$AE$215,COLUMN(AC$1),FALSE)*10</f>
        <v>0</v>
      </c>
      <c r="AE74" s="42">
        <f>VLOOKUP($B74,'Diesel Worksheet'!$A$184:$AE$215,COLUMN(AD$1),FALSE)*10</f>
        <v>0</v>
      </c>
      <c r="AF74" s="43">
        <f>VLOOKUP($B74,'Diesel Worksheet'!$A$184:$AE$215,COLUMN(AE$1),FALSE)*10</f>
        <v>0</v>
      </c>
    </row>
    <row r="75" ht="13.85" spans="1:32">
      <c r="A75" s="27" t="s">
        <v>2321</v>
      </c>
      <c r="B75" s="44" t="s">
        <v>92</v>
      </c>
      <c r="C75" s="42">
        <f>VLOOKUP($B75,'Diesel Worksheet'!$A$184:$AE$215,COLUMN(B$1),FALSE)*10</f>
        <v>12.5</v>
      </c>
      <c r="D75" s="42">
        <f>VLOOKUP($B75,'Diesel Worksheet'!$A$184:$AE$215,COLUMN(C$1),FALSE)*10</f>
        <v>12.5</v>
      </c>
      <c r="E75" s="42">
        <f>VLOOKUP($B75,'Diesel Worksheet'!$A$184:$AE$215,COLUMN(D$1),FALSE)*10</f>
        <v>12.5</v>
      </c>
      <c r="F75" s="42">
        <f>VLOOKUP($B75,'Diesel Worksheet'!$A$184:$AE$215,COLUMN(E$1),FALSE)*10</f>
        <v>12.5</v>
      </c>
      <c r="G75" s="42">
        <f>VLOOKUP($B75,'Diesel Worksheet'!$A$184:$AE$215,COLUMN(F$1),FALSE)*10</f>
        <v>12.5</v>
      </c>
      <c r="H75" s="42">
        <f>VLOOKUP($B75,'Diesel Worksheet'!$A$184:$AE$215,COLUMN(G$1),FALSE)*10</f>
        <v>12.5</v>
      </c>
      <c r="I75" s="42">
        <f>VLOOKUP($B75,'Diesel Worksheet'!$A$184:$AE$215,COLUMN(H$1),FALSE)*10</f>
        <v>12.5</v>
      </c>
      <c r="J75" s="42">
        <f>VLOOKUP($B75,'Diesel Worksheet'!$A$184:$AE$215,COLUMN(I$1),FALSE)*10</f>
        <v>12.5</v>
      </c>
      <c r="K75" s="42">
        <f>VLOOKUP($B75,'Diesel Worksheet'!$A$184:$AE$215,COLUMN(J$1),FALSE)*10</f>
        <v>12.5</v>
      </c>
      <c r="L75" s="42">
        <f>VLOOKUP($B75,'Diesel Worksheet'!$A$184:$AE$215,COLUMN(K$1),FALSE)*10</f>
        <v>12.5</v>
      </c>
      <c r="M75" s="42">
        <f>VLOOKUP($B75,'Diesel Worksheet'!$A$184:$AE$215,COLUMN(L$1),FALSE)*10</f>
        <v>12.5</v>
      </c>
      <c r="N75" s="42">
        <f>VLOOKUP($B75,'Diesel Worksheet'!$A$184:$AE$215,COLUMN(M$1),FALSE)*10</f>
        <v>12.5</v>
      </c>
      <c r="O75" s="42">
        <f>VLOOKUP($B75,'Diesel Worksheet'!$A$184:$AE$215,COLUMN(N$1),FALSE)*10</f>
        <v>0</v>
      </c>
      <c r="P75" s="42">
        <f>VLOOKUP($B75,'Diesel Worksheet'!$A$184:$AE$215,COLUMN(O$1),FALSE)*10</f>
        <v>0</v>
      </c>
      <c r="Q75" s="42">
        <f>VLOOKUP($B75,'Diesel Worksheet'!$A$184:$AE$215,COLUMN(P$1),FALSE)*10</f>
        <v>0</v>
      </c>
      <c r="R75" s="42">
        <f>VLOOKUP($B75,'Diesel Worksheet'!$A$184:$AE$215,COLUMN(Q$1),FALSE)*10</f>
        <v>0</v>
      </c>
      <c r="S75" s="42">
        <f>VLOOKUP($B75,'Diesel Worksheet'!$A$184:$AE$215,COLUMN(R$1),FALSE)*10</f>
        <v>0</v>
      </c>
      <c r="T75" s="42">
        <f>VLOOKUP($B75,'Diesel Worksheet'!$A$184:$AE$215,COLUMN(S$1),FALSE)*10</f>
        <v>0</v>
      </c>
      <c r="U75" s="42">
        <f>VLOOKUP($B75,'Diesel Worksheet'!$A$184:$AE$215,COLUMN(T$1),FALSE)*10</f>
        <v>0</v>
      </c>
      <c r="V75" s="42">
        <f>VLOOKUP($B75,'Diesel Worksheet'!$A$184:$AE$215,COLUMN(U$1),FALSE)*10</f>
        <v>0</v>
      </c>
      <c r="W75" s="42">
        <f>VLOOKUP($B75,'Diesel Worksheet'!$A$184:$AE$215,COLUMN(V$1),FALSE)*10</f>
        <v>0</v>
      </c>
      <c r="X75" s="42">
        <f>VLOOKUP($B75,'Diesel Worksheet'!$A$184:$AE$215,COLUMN(W$1),FALSE)*10</f>
        <v>0</v>
      </c>
      <c r="Y75" s="42">
        <f>VLOOKUP($B75,'Diesel Worksheet'!$A$184:$AE$215,COLUMN(X$1),FALSE)*10</f>
        <v>0</v>
      </c>
      <c r="Z75" s="42">
        <f>VLOOKUP($B75,'Diesel Worksheet'!$A$184:$AE$215,COLUMN(Y$1),FALSE)*10</f>
        <v>0</v>
      </c>
      <c r="AA75" s="42">
        <f>VLOOKUP($B75,'Diesel Worksheet'!$A$184:$AE$215,COLUMN(Z$1),FALSE)*10</f>
        <v>0</v>
      </c>
      <c r="AB75" s="42">
        <f>VLOOKUP($B75,'Diesel Worksheet'!$A$184:$AE$215,COLUMN(AA$1),FALSE)*10</f>
        <v>0</v>
      </c>
      <c r="AC75" s="42">
        <f>VLOOKUP($B75,'Diesel Worksheet'!$A$184:$AE$215,COLUMN(AB$1),FALSE)*10</f>
        <v>0</v>
      </c>
      <c r="AD75" s="42">
        <f>VLOOKUP($B75,'Diesel Worksheet'!$A$184:$AE$215,COLUMN(AC$1),FALSE)*10</f>
        <v>0</v>
      </c>
      <c r="AE75" s="42">
        <f>VLOOKUP($B75,'Diesel Worksheet'!$A$184:$AE$215,COLUMN(AD$1),FALSE)*10</f>
        <v>0</v>
      </c>
      <c r="AF75" s="43">
        <f>VLOOKUP($B75,'Diesel Worksheet'!$A$184:$AE$215,COLUMN(AE$1),FALSE)*10</f>
        <v>0</v>
      </c>
    </row>
    <row r="76" ht="13.85" spans="1:32">
      <c r="A76" s="27" t="s">
        <v>2321</v>
      </c>
      <c r="B76" s="44" t="s">
        <v>94</v>
      </c>
      <c r="C76" s="42">
        <f>VLOOKUP($B76,'Diesel Worksheet'!$A$184:$AE$215,COLUMN(B$1),FALSE)*10</f>
        <v>0</v>
      </c>
      <c r="D76" s="42">
        <f>VLOOKUP($B76,'Diesel Worksheet'!$A$184:$AE$215,COLUMN(C$1),FALSE)*10</f>
        <v>0</v>
      </c>
      <c r="E76" s="42">
        <f>VLOOKUP($B76,'Diesel Worksheet'!$A$184:$AE$215,COLUMN(D$1),FALSE)*10</f>
        <v>0</v>
      </c>
      <c r="F76" s="42">
        <f>VLOOKUP($B76,'Diesel Worksheet'!$A$184:$AE$215,COLUMN(E$1),FALSE)*10</f>
        <v>0</v>
      </c>
      <c r="G76" s="42">
        <f>VLOOKUP($B76,'Diesel Worksheet'!$A$184:$AE$215,COLUMN(F$1),FALSE)*10</f>
        <v>0</v>
      </c>
      <c r="H76" s="42">
        <f>VLOOKUP($B76,'Diesel Worksheet'!$A$184:$AE$215,COLUMN(G$1),FALSE)*10</f>
        <v>0</v>
      </c>
      <c r="I76" s="42">
        <f>VLOOKUP($B76,'Diesel Worksheet'!$A$184:$AE$215,COLUMN(H$1),FALSE)*10</f>
        <v>0</v>
      </c>
      <c r="J76" s="42">
        <f>VLOOKUP($B76,'Diesel Worksheet'!$A$184:$AE$215,COLUMN(I$1),FALSE)*10</f>
        <v>0</v>
      </c>
      <c r="K76" s="42">
        <f>VLOOKUP($B76,'Diesel Worksheet'!$A$184:$AE$215,COLUMN(J$1),FALSE)*10</f>
        <v>0</v>
      </c>
      <c r="L76" s="42">
        <f>VLOOKUP($B76,'Diesel Worksheet'!$A$184:$AE$215,COLUMN(K$1),FALSE)*10</f>
        <v>0</v>
      </c>
      <c r="M76" s="42">
        <f>VLOOKUP($B76,'Diesel Worksheet'!$A$184:$AE$215,COLUMN(L$1),FALSE)*10</f>
        <v>0</v>
      </c>
      <c r="N76" s="42">
        <f>VLOOKUP($B76,'Diesel Worksheet'!$A$184:$AE$215,COLUMN(M$1),FALSE)*10</f>
        <v>0</v>
      </c>
      <c r="O76" s="42">
        <f>VLOOKUP($B76,'Diesel Worksheet'!$A$184:$AE$215,COLUMN(N$1),FALSE)*10</f>
        <v>0</v>
      </c>
      <c r="P76" s="42">
        <f>VLOOKUP($B76,'Diesel Worksheet'!$A$184:$AE$215,COLUMN(O$1),FALSE)*10</f>
        <v>0</v>
      </c>
      <c r="Q76" s="42">
        <f>VLOOKUP($B76,'Diesel Worksheet'!$A$184:$AE$215,COLUMN(P$1),FALSE)*10</f>
        <v>0</v>
      </c>
      <c r="R76" s="42">
        <f>VLOOKUP($B76,'Diesel Worksheet'!$A$184:$AE$215,COLUMN(Q$1),FALSE)*10</f>
        <v>0</v>
      </c>
      <c r="S76" s="42">
        <f>VLOOKUP($B76,'Diesel Worksheet'!$A$184:$AE$215,COLUMN(R$1),FALSE)*10</f>
        <v>0</v>
      </c>
      <c r="T76" s="42">
        <f>VLOOKUP($B76,'Diesel Worksheet'!$A$184:$AE$215,COLUMN(S$1),FALSE)*10</f>
        <v>0</v>
      </c>
      <c r="U76" s="42">
        <f>VLOOKUP($B76,'Diesel Worksheet'!$A$184:$AE$215,COLUMN(T$1),FALSE)*10</f>
        <v>0</v>
      </c>
      <c r="V76" s="42">
        <f>VLOOKUP($B76,'Diesel Worksheet'!$A$184:$AE$215,COLUMN(U$1),FALSE)*10</f>
        <v>0</v>
      </c>
      <c r="W76" s="42">
        <f>VLOOKUP($B76,'Diesel Worksheet'!$A$184:$AE$215,COLUMN(V$1),FALSE)*10</f>
        <v>0</v>
      </c>
      <c r="X76" s="42">
        <f>VLOOKUP($B76,'Diesel Worksheet'!$A$184:$AE$215,COLUMN(W$1),FALSE)*10</f>
        <v>0</v>
      </c>
      <c r="Y76" s="42">
        <f>VLOOKUP($B76,'Diesel Worksheet'!$A$184:$AE$215,COLUMN(X$1),FALSE)*10</f>
        <v>0</v>
      </c>
      <c r="Z76" s="42">
        <f>VLOOKUP($B76,'Diesel Worksheet'!$A$184:$AE$215,COLUMN(Y$1),FALSE)*10</f>
        <v>0</v>
      </c>
      <c r="AA76" s="42">
        <f>VLOOKUP($B76,'Diesel Worksheet'!$A$184:$AE$215,COLUMN(Z$1),FALSE)*10</f>
        <v>0</v>
      </c>
      <c r="AB76" s="42">
        <f>VLOOKUP($B76,'Diesel Worksheet'!$A$184:$AE$215,COLUMN(AA$1),FALSE)*10</f>
        <v>0</v>
      </c>
      <c r="AC76" s="42">
        <f>VLOOKUP($B76,'Diesel Worksheet'!$A$184:$AE$215,COLUMN(AB$1),FALSE)*10</f>
        <v>0</v>
      </c>
      <c r="AD76" s="42">
        <f>VLOOKUP($B76,'Diesel Worksheet'!$A$184:$AE$215,COLUMN(AC$1),FALSE)*10</f>
        <v>0</v>
      </c>
      <c r="AE76" s="42">
        <f>VLOOKUP($B76,'Diesel Worksheet'!$A$184:$AE$215,COLUMN(AD$1),FALSE)*10</f>
        <v>0</v>
      </c>
      <c r="AF76" s="43">
        <f>VLOOKUP($B76,'Diesel Worksheet'!$A$184:$AE$215,COLUMN(AE$1),FALSE)*10</f>
        <v>0</v>
      </c>
    </row>
    <row r="77" ht="13.85" spans="1:32">
      <c r="A77" s="27" t="s">
        <v>2321</v>
      </c>
      <c r="B77" s="44" t="s">
        <v>96</v>
      </c>
      <c r="C77" s="42">
        <f>VLOOKUP($B77,'Diesel Worksheet'!$A$184:$AE$215,COLUMN(B$1),FALSE)*10</f>
        <v>1.66666666666667</v>
      </c>
      <c r="D77" s="42">
        <f>VLOOKUP($B77,'Diesel Worksheet'!$A$184:$AE$215,COLUMN(C$1),FALSE)*10</f>
        <v>1.66666666666667</v>
      </c>
      <c r="E77" s="42">
        <f>VLOOKUP($B77,'Diesel Worksheet'!$A$184:$AE$215,COLUMN(D$1),FALSE)*10</f>
        <v>1.66666666666667</v>
      </c>
      <c r="F77" s="42">
        <f>VLOOKUP($B77,'Diesel Worksheet'!$A$184:$AE$215,COLUMN(E$1),FALSE)*10</f>
        <v>1.66666666666667</v>
      </c>
      <c r="G77" s="42">
        <f>VLOOKUP($B77,'Diesel Worksheet'!$A$184:$AE$215,COLUMN(F$1),FALSE)*10</f>
        <v>1.66666666666667</v>
      </c>
      <c r="H77" s="42">
        <f>VLOOKUP($B77,'Diesel Worksheet'!$A$184:$AE$215,COLUMN(G$1),FALSE)*10</f>
        <v>1.66666666666667</v>
      </c>
      <c r="I77" s="42">
        <f>VLOOKUP($B77,'Diesel Worksheet'!$A$184:$AE$215,COLUMN(H$1),FALSE)*10</f>
        <v>1.66666666666667</v>
      </c>
      <c r="J77" s="42">
        <f>VLOOKUP($B77,'Diesel Worksheet'!$A$184:$AE$215,COLUMN(I$1),FALSE)*10</f>
        <v>1.66666666666667</v>
      </c>
      <c r="K77" s="42">
        <f>VLOOKUP($B77,'Diesel Worksheet'!$A$184:$AE$215,COLUMN(J$1),FALSE)*10</f>
        <v>1.66666666666667</v>
      </c>
      <c r="L77" s="42">
        <f>VLOOKUP($B77,'Diesel Worksheet'!$A$184:$AE$215,COLUMN(K$1),FALSE)*10</f>
        <v>1.66666666666667</v>
      </c>
      <c r="M77" s="42">
        <f>VLOOKUP($B77,'Diesel Worksheet'!$A$184:$AE$215,COLUMN(L$1),FALSE)*10</f>
        <v>1.66666666666667</v>
      </c>
      <c r="N77" s="42">
        <f>VLOOKUP($B77,'Diesel Worksheet'!$A$184:$AE$215,COLUMN(M$1),FALSE)*10</f>
        <v>1.66666666666667</v>
      </c>
      <c r="O77" s="42">
        <f>VLOOKUP($B77,'Diesel Worksheet'!$A$184:$AE$215,COLUMN(N$1),FALSE)*10</f>
        <v>0</v>
      </c>
      <c r="P77" s="42">
        <f>VLOOKUP($B77,'Diesel Worksheet'!$A$184:$AE$215,COLUMN(O$1),FALSE)*10</f>
        <v>0</v>
      </c>
      <c r="Q77" s="42">
        <f>VLOOKUP($B77,'Diesel Worksheet'!$A$184:$AE$215,COLUMN(P$1),FALSE)*10</f>
        <v>0</v>
      </c>
      <c r="R77" s="42">
        <f>VLOOKUP($B77,'Diesel Worksheet'!$A$184:$AE$215,COLUMN(Q$1),FALSE)*10</f>
        <v>0</v>
      </c>
      <c r="S77" s="42">
        <f>VLOOKUP($B77,'Diesel Worksheet'!$A$184:$AE$215,COLUMN(R$1),FALSE)*10</f>
        <v>0</v>
      </c>
      <c r="T77" s="42">
        <f>VLOOKUP($B77,'Diesel Worksheet'!$A$184:$AE$215,COLUMN(S$1),FALSE)*10</f>
        <v>0</v>
      </c>
      <c r="U77" s="42">
        <f>VLOOKUP($B77,'Diesel Worksheet'!$A$184:$AE$215,COLUMN(T$1),FALSE)*10</f>
        <v>0</v>
      </c>
      <c r="V77" s="42">
        <f>VLOOKUP($B77,'Diesel Worksheet'!$A$184:$AE$215,COLUMN(U$1),FALSE)*10</f>
        <v>0</v>
      </c>
      <c r="W77" s="42">
        <f>VLOOKUP($B77,'Diesel Worksheet'!$A$184:$AE$215,COLUMN(V$1),FALSE)*10</f>
        <v>0</v>
      </c>
      <c r="X77" s="42">
        <f>VLOOKUP($B77,'Diesel Worksheet'!$A$184:$AE$215,COLUMN(W$1),FALSE)*10</f>
        <v>0</v>
      </c>
      <c r="Y77" s="42">
        <f>VLOOKUP($B77,'Diesel Worksheet'!$A$184:$AE$215,COLUMN(X$1),FALSE)*10</f>
        <v>0</v>
      </c>
      <c r="Z77" s="42">
        <f>VLOOKUP($B77,'Diesel Worksheet'!$A$184:$AE$215,COLUMN(Y$1),FALSE)*10</f>
        <v>0</v>
      </c>
      <c r="AA77" s="42">
        <f>VLOOKUP($B77,'Diesel Worksheet'!$A$184:$AE$215,COLUMN(Z$1),FALSE)*10</f>
        <v>0</v>
      </c>
      <c r="AB77" s="42">
        <f>VLOOKUP($B77,'Diesel Worksheet'!$A$184:$AE$215,COLUMN(AA$1),FALSE)*10</f>
        <v>0</v>
      </c>
      <c r="AC77" s="42">
        <f>VLOOKUP($B77,'Diesel Worksheet'!$A$184:$AE$215,COLUMN(AB$1),FALSE)*10</f>
        <v>0</v>
      </c>
      <c r="AD77" s="42">
        <f>VLOOKUP($B77,'Diesel Worksheet'!$A$184:$AE$215,COLUMN(AC$1),FALSE)*10</f>
        <v>0</v>
      </c>
      <c r="AE77" s="42">
        <f>VLOOKUP($B77,'Diesel Worksheet'!$A$184:$AE$215,COLUMN(AD$1),FALSE)*10</f>
        <v>0</v>
      </c>
      <c r="AF77" s="43">
        <f>VLOOKUP($B77,'Diesel Worksheet'!$A$184:$AE$215,COLUMN(AE$1),FALSE)*10</f>
        <v>0</v>
      </c>
    </row>
    <row r="78" ht="13.85" spans="1:32">
      <c r="A78" s="27" t="s">
        <v>2321</v>
      </c>
      <c r="B78" s="44" t="s">
        <v>98</v>
      </c>
      <c r="C78" s="42">
        <f>VLOOKUP($B78,'Diesel Worksheet'!$A$184:$AE$215,COLUMN(B$1),FALSE)*10</f>
        <v>71.6666666666667</v>
      </c>
      <c r="D78" s="42">
        <f>VLOOKUP($B78,'Diesel Worksheet'!$A$184:$AE$215,COLUMN(C$1),FALSE)*10</f>
        <v>71.6666666666667</v>
      </c>
      <c r="E78" s="42">
        <f>VLOOKUP($B78,'Diesel Worksheet'!$A$184:$AE$215,COLUMN(D$1),FALSE)*10</f>
        <v>71.6666666666667</v>
      </c>
      <c r="F78" s="42">
        <f>VLOOKUP($B78,'Diesel Worksheet'!$A$184:$AE$215,COLUMN(E$1),FALSE)*10</f>
        <v>71.6666666666667</v>
      </c>
      <c r="G78" s="42">
        <f>VLOOKUP($B78,'Diesel Worksheet'!$A$184:$AE$215,COLUMN(F$1),FALSE)*10</f>
        <v>71.6666666666667</v>
      </c>
      <c r="H78" s="42">
        <f>VLOOKUP($B78,'Diesel Worksheet'!$A$184:$AE$215,COLUMN(G$1),FALSE)*10</f>
        <v>71.6666666666667</v>
      </c>
      <c r="I78" s="42">
        <f>VLOOKUP($B78,'Diesel Worksheet'!$A$184:$AE$215,COLUMN(H$1),FALSE)*10</f>
        <v>71.6666666666667</v>
      </c>
      <c r="J78" s="42">
        <f>VLOOKUP($B78,'Diesel Worksheet'!$A$184:$AE$215,COLUMN(I$1),FALSE)*10</f>
        <v>71.6666666666667</v>
      </c>
      <c r="K78" s="42">
        <f>VLOOKUP($B78,'Diesel Worksheet'!$A$184:$AE$215,COLUMN(J$1),FALSE)*10</f>
        <v>71.6666666666667</v>
      </c>
      <c r="L78" s="42">
        <f>VLOOKUP($B78,'Diesel Worksheet'!$A$184:$AE$215,COLUMN(K$1),FALSE)*10</f>
        <v>71.6666666666667</v>
      </c>
      <c r="M78" s="42">
        <f>VLOOKUP($B78,'Diesel Worksheet'!$A$184:$AE$215,COLUMN(L$1),FALSE)*10</f>
        <v>71.6666666666667</v>
      </c>
      <c r="N78" s="42">
        <f>VLOOKUP($B78,'Diesel Worksheet'!$A$184:$AE$215,COLUMN(M$1),FALSE)*10</f>
        <v>71.6666666666667</v>
      </c>
      <c r="O78" s="42">
        <f>VLOOKUP($B78,'Diesel Worksheet'!$A$184:$AE$215,COLUMN(N$1),FALSE)*10</f>
        <v>0</v>
      </c>
      <c r="P78" s="42">
        <f>VLOOKUP($B78,'Diesel Worksheet'!$A$184:$AE$215,COLUMN(O$1),FALSE)*10</f>
        <v>0</v>
      </c>
      <c r="Q78" s="42">
        <f>VLOOKUP($B78,'Diesel Worksheet'!$A$184:$AE$215,COLUMN(P$1),FALSE)*10</f>
        <v>0</v>
      </c>
      <c r="R78" s="42">
        <f>VLOOKUP($B78,'Diesel Worksheet'!$A$184:$AE$215,COLUMN(Q$1),FALSE)*10</f>
        <v>0</v>
      </c>
      <c r="S78" s="42">
        <f>VLOOKUP($B78,'Diesel Worksheet'!$A$184:$AE$215,COLUMN(R$1),FALSE)*10</f>
        <v>0</v>
      </c>
      <c r="T78" s="42">
        <f>VLOOKUP($B78,'Diesel Worksheet'!$A$184:$AE$215,COLUMN(S$1),FALSE)*10</f>
        <v>0</v>
      </c>
      <c r="U78" s="42">
        <f>VLOOKUP($B78,'Diesel Worksheet'!$A$184:$AE$215,COLUMN(T$1),FALSE)*10</f>
        <v>0</v>
      </c>
      <c r="V78" s="42">
        <f>VLOOKUP($B78,'Diesel Worksheet'!$A$184:$AE$215,COLUMN(U$1),FALSE)*10</f>
        <v>0</v>
      </c>
      <c r="W78" s="42">
        <f>VLOOKUP($B78,'Diesel Worksheet'!$A$184:$AE$215,COLUMN(V$1),FALSE)*10</f>
        <v>0</v>
      </c>
      <c r="X78" s="42">
        <f>VLOOKUP($B78,'Diesel Worksheet'!$A$184:$AE$215,COLUMN(W$1),FALSE)*10</f>
        <v>0</v>
      </c>
      <c r="Y78" s="42">
        <f>VLOOKUP($B78,'Diesel Worksheet'!$A$184:$AE$215,COLUMN(X$1),FALSE)*10</f>
        <v>0</v>
      </c>
      <c r="Z78" s="42">
        <f>VLOOKUP($B78,'Diesel Worksheet'!$A$184:$AE$215,COLUMN(Y$1),FALSE)*10</f>
        <v>0</v>
      </c>
      <c r="AA78" s="42">
        <f>VLOOKUP($B78,'Diesel Worksheet'!$A$184:$AE$215,COLUMN(Z$1),FALSE)*10</f>
        <v>0</v>
      </c>
      <c r="AB78" s="42">
        <f>VLOOKUP($B78,'Diesel Worksheet'!$A$184:$AE$215,COLUMN(AA$1),FALSE)*10</f>
        <v>0</v>
      </c>
      <c r="AC78" s="42">
        <f>VLOOKUP($B78,'Diesel Worksheet'!$A$184:$AE$215,COLUMN(AB$1),FALSE)*10</f>
        <v>0</v>
      </c>
      <c r="AD78" s="42">
        <f>VLOOKUP($B78,'Diesel Worksheet'!$A$184:$AE$215,COLUMN(AC$1),FALSE)*10</f>
        <v>0</v>
      </c>
      <c r="AE78" s="42">
        <f>VLOOKUP($B78,'Diesel Worksheet'!$A$184:$AE$215,COLUMN(AD$1),FALSE)*10</f>
        <v>0</v>
      </c>
      <c r="AF78" s="43">
        <f>VLOOKUP($B78,'Diesel Worksheet'!$A$184:$AE$215,COLUMN(AE$1),FALSE)*10</f>
        <v>0</v>
      </c>
    </row>
    <row r="79" ht="13.85" spans="1:32">
      <c r="A79" s="27" t="s">
        <v>2321</v>
      </c>
      <c r="B79" s="44" t="s">
        <v>100</v>
      </c>
      <c r="C79" s="42">
        <f>VLOOKUP($B79,'Diesel Worksheet'!$A$184:$AE$215,COLUMN(B$1),FALSE)*10</f>
        <v>0</v>
      </c>
      <c r="D79" s="42">
        <f>VLOOKUP($B79,'Diesel Worksheet'!$A$184:$AE$215,COLUMN(C$1),FALSE)*10</f>
        <v>0</v>
      </c>
      <c r="E79" s="42">
        <f>VLOOKUP($B79,'Diesel Worksheet'!$A$184:$AE$215,COLUMN(D$1),FALSE)*10</f>
        <v>0</v>
      </c>
      <c r="F79" s="42">
        <f>VLOOKUP($B79,'Diesel Worksheet'!$A$184:$AE$215,COLUMN(E$1),FALSE)*10</f>
        <v>0</v>
      </c>
      <c r="G79" s="42">
        <f>VLOOKUP($B79,'Diesel Worksheet'!$A$184:$AE$215,COLUMN(F$1),FALSE)*10</f>
        <v>0</v>
      </c>
      <c r="H79" s="42">
        <f>VLOOKUP($B79,'Diesel Worksheet'!$A$184:$AE$215,COLUMN(G$1),FALSE)*10</f>
        <v>0</v>
      </c>
      <c r="I79" s="42">
        <f>VLOOKUP($B79,'Diesel Worksheet'!$A$184:$AE$215,COLUMN(H$1),FALSE)*10</f>
        <v>0</v>
      </c>
      <c r="J79" s="42">
        <f>VLOOKUP($B79,'Diesel Worksheet'!$A$184:$AE$215,COLUMN(I$1),FALSE)*10</f>
        <v>0</v>
      </c>
      <c r="K79" s="42">
        <f>VLOOKUP($B79,'Diesel Worksheet'!$A$184:$AE$215,COLUMN(J$1),FALSE)*10</f>
        <v>0</v>
      </c>
      <c r="L79" s="42">
        <f>VLOOKUP($B79,'Diesel Worksheet'!$A$184:$AE$215,COLUMN(K$1),FALSE)*10</f>
        <v>0</v>
      </c>
      <c r="M79" s="42">
        <f>VLOOKUP($B79,'Diesel Worksheet'!$A$184:$AE$215,COLUMN(L$1),FALSE)*10</f>
        <v>0</v>
      </c>
      <c r="N79" s="42">
        <f>VLOOKUP($B79,'Diesel Worksheet'!$A$184:$AE$215,COLUMN(M$1),FALSE)*10</f>
        <v>0</v>
      </c>
      <c r="O79" s="42">
        <f>VLOOKUP($B79,'Diesel Worksheet'!$A$184:$AE$215,COLUMN(N$1),FALSE)*10</f>
        <v>0</v>
      </c>
      <c r="P79" s="42">
        <f>VLOOKUP($B79,'Diesel Worksheet'!$A$184:$AE$215,COLUMN(O$1),FALSE)*10</f>
        <v>0</v>
      </c>
      <c r="Q79" s="42">
        <f>VLOOKUP($B79,'Diesel Worksheet'!$A$184:$AE$215,COLUMN(P$1),FALSE)*10</f>
        <v>0</v>
      </c>
      <c r="R79" s="42">
        <f>VLOOKUP($B79,'Diesel Worksheet'!$A$184:$AE$215,COLUMN(Q$1),FALSE)*10</f>
        <v>0</v>
      </c>
      <c r="S79" s="42">
        <f>VLOOKUP($B79,'Diesel Worksheet'!$A$184:$AE$215,COLUMN(R$1),FALSE)*10</f>
        <v>0</v>
      </c>
      <c r="T79" s="42">
        <f>VLOOKUP($B79,'Diesel Worksheet'!$A$184:$AE$215,COLUMN(S$1),FALSE)*10</f>
        <v>0</v>
      </c>
      <c r="U79" s="42">
        <f>VLOOKUP($B79,'Diesel Worksheet'!$A$184:$AE$215,COLUMN(T$1),FALSE)*10</f>
        <v>0</v>
      </c>
      <c r="V79" s="42">
        <f>VLOOKUP($B79,'Diesel Worksheet'!$A$184:$AE$215,COLUMN(U$1),FALSE)*10</f>
        <v>0</v>
      </c>
      <c r="W79" s="42">
        <f>VLOOKUP($B79,'Diesel Worksheet'!$A$184:$AE$215,COLUMN(V$1),FALSE)*10</f>
        <v>0</v>
      </c>
      <c r="X79" s="42">
        <f>VLOOKUP($B79,'Diesel Worksheet'!$A$184:$AE$215,COLUMN(W$1),FALSE)*10</f>
        <v>0</v>
      </c>
      <c r="Y79" s="42">
        <f>VLOOKUP($B79,'Diesel Worksheet'!$A$184:$AE$215,COLUMN(X$1),FALSE)*10</f>
        <v>0</v>
      </c>
      <c r="Z79" s="42">
        <f>VLOOKUP($B79,'Diesel Worksheet'!$A$184:$AE$215,COLUMN(Y$1),FALSE)*10</f>
        <v>0</v>
      </c>
      <c r="AA79" s="42">
        <f>VLOOKUP($B79,'Diesel Worksheet'!$A$184:$AE$215,COLUMN(Z$1),FALSE)*10</f>
        <v>0</v>
      </c>
      <c r="AB79" s="42">
        <f>VLOOKUP($B79,'Diesel Worksheet'!$A$184:$AE$215,COLUMN(AA$1),FALSE)*10</f>
        <v>0</v>
      </c>
      <c r="AC79" s="42">
        <f>VLOOKUP($B79,'Diesel Worksheet'!$A$184:$AE$215,COLUMN(AB$1),FALSE)*10</f>
        <v>0</v>
      </c>
      <c r="AD79" s="42">
        <f>VLOOKUP($B79,'Diesel Worksheet'!$A$184:$AE$215,COLUMN(AC$1),FALSE)*10</f>
        <v>0</v>
      </c>
      <c r="AE79" s="42">
        <f>VLOOKUP($B79,'Diesel Worksheet'!$A$184:$AE$215,COLUMN(AD$1),FALSE)*10</f>
        <v>0</v>
      </c>
      <c r="AF79" s="43">
        <f>VLOOKUP($B79,'Diesel Worksheet'!$A$184:$AE$215,COLUMN(AE$1),FALSE)*10</f>
        <v>0</v>
      </c>
    </row>
    <row r="80" ht="13.85" spans="1:32">
      <c r="A80" s="27" t="s">
        <v>2321</v>
      </c>
      <c r="B80" s="44" t="s">
        <v>102</v>
      </c>
      <c r="C80" s="42">
        <f>VLOOKUP($B80,'Diesel Worksheet'!$A$184:$AE$215,COLUMN(B$1),FALSE)*10</f>
        <v>0</v>
      </c>
      <c r="D80" s="42">
        <f>VLOOKUP($B80,'Diesel Worksheet'!$A$184:$AE$215,COLUMN(C$1),FALSE)*10</f>
        <v>0</v>
      </c>
      <c r="E80" s="42">
        <f>VLOOKUP($B80,'Diesel Worksheet'!$A$184:$AE$215,COLUMN(D$1),FALSE)*10</f>
        <v>0</v>
      </c>
      <c r="F80" s="42">
        <f>VLOOKUP($B80,'Diesel Worksheet'!$A$184:$AE$215,COLUMN(E$1),FALSE)*10</f>
        <v>0</v>
      </c>
      <c r="G80" s="42">
        <f>VLOOKUP($B80,'Diesel Worksheet'!$A$184:$AE$215,COLUMN(F$1),FALSE)*10</f>
        <v>0</v>
      </c>
      <c r="H80" s="42">
        <f>VLOOKUP($B80,'Diesel Worksheet'!$A$184:$AE$215,COLUMN(G$1),FALSE)*10</f>
        <v>0</v>
      </c>
      <c r="I80" s="42">
        <f>VLOOKUP($B80,'Diesel Worksheet'!$A$184:$AE$215,COLUMN(H$1),FALSE)*10</f>
        <v>0</v>
      </c>
      <c r="J80" s="42">
        <f>VLOOKUP($B80,'Diesel Worksheet'!$A$184:$AE$215,COLUMN(I$1),FALSE)*10</f>
        <v>0</v>
      </c>
      <c r="K80" s="42">
        <f>VLOOKUP($B80,'Diesel Worksheet'!$A$184:$AE$215,COLUMN(J$1),FALSE)*10</f>
        <v>0</v>
      </c>
      <c r="L80" s="42">
        <f>VLOOKUP($B80,'Diesel Worksheet'!$A$184:$AE$215,COLUMN(K$1),FALSE)*10</f>
        <v>0</v>
      </c>
      <c r="M80" s="42">
        <f>VLOOKUP($B80,'Diesel Worksheet'!$A$184:$AE$215,COLUMN(L$1),FALSE)*10</f>
        <v>0</v>
      </c>
      <c r="N80" s="42">
        <f>VLOOKUP($B80,'Diesel Worksheet'!$A$184:$AE$215,COLUMN(M$1),FALSE)*10</f>
        <v>0</v>
      </c>
      <c r="O80" s="42">
        <f>VLOOKUP($B80,'Diesel Worksheet'!$A$184:$AE$215,COLUMN(N$1),FALSE)*10</f>
        <v>0</v>
      </c>
      <c r="P80" s="42">
        <f>VLOOKUP($B80,'Diesel Worksheet'!$A$184:$AE$215,COLUMN(O$1),FALSE)*10</f>
        <v>0</v>
      </c>
      <c r="Q80" s="42">
        <f>VLOOKUP($B80,'Diesel Worksheet'!$A$184:$AE$215,COLUMN(P$1),FALSE)*10</f>
        <v>0</v>
      </c>
      <c r="R80" s="42">
        <f>VLOOKUP($B80,'Diesel Worksheet'!$A$184:$AE$215,COLUMN(Q$1),FALSE)*10</f>
        <v>20</v>
      </c>
      <c r="S80" s="42">
        <f>VLOOKUP($B80,'Diesel Worksheet'!$A$184:$AE$215,COLUMN(R$1),FALSE)*10</f>
        <v>0</v>
      </c>
      <c r="T80" s="42">
        <f>VLOOKUP($B80,'Diesel Worksheet'!$A$184:$AE$215,COLUMN(S$1),FALSE)*10</f>
        <v>0</v>
      </c>
      <c r="U80" s="42">
        <f>VLOOKUP($B80,'Diesel Worksheet'!$A$184:$AE$215,COLUMN(T$1),FALSE)*10</f>
        <v>0</v>
      </c>
      <c r="V80" s="42">
        <f>VLOOKUP($B80,'Diesel Worksheet'!$A$184:$AE$215,COLUMN(U$1),FALSE)*10</f>
        <v>0</v>
      </c>
      <c r="W80" s="42">
        <f>VLOOKUP($B80,'Diesel Worksheet'!$A$184:$AE$215,COLUMN(V$1),FALSE)*10</f>
        <v>0</v>
      </c>
      <c r="X80" s="42">
        <f>VLOOKUP($B80,'Diesel Worksheet'!$A$184:$AE$215,COLUMN(W$1),FALSE)*10</f>
        <v>0</v>
      </c>
      <c r="Y80" s="42">
        <f>VLOOKUP($B80,'Diesel Worksheet'!$A$184:$AE$215,COLUMN(X$1),FALSE)*10</f>
        <v>0</v>
      </c>
      <c r="Z80" s="42">
        <f>VLOOKUP($B80,'Diesel Worksheet'!$A$184:$AE$215,COLUMN(Y$1),FALSE)*10</f>
        <v>0</v>
      </c>
      <c r="AA80" s="42">
        <f>VLOOKUP($B80,'Diesel Worksheet'!$A$184:$AE$215,COLUMN(Z$1),FALSE)*10</f>
        <v>0</v>
      </c>
      <c r="AB80" s="42">
        <f>VLOOKUP($B80,'Diesel Worksheet'!$A$184:$AE$215,COLUMN(AA$1),FALSE)*10</f>
        <v>0</v>
      </c>
      <c r="AC80" s="42">
        <f>VLOOKUP($B80,'Diesel Worksheet'!$A$184:$AE$215,COLUMN(AB$1),FALSE)*10</f>
        <v>0</v>
      </c>
      <c r="AD80" s="42">
        <f>VLOOKUP($B80,'Diesel Worksheet'!$A$184:$AE$215,COLUMN(AC$1),FALSE)*10</f>
        <v>0</v>
      </c>
      <c r="AE80" s="42">
        <f>VLOOKUP($B80,'Diesel Worksheet'!$A$184:$AE$215,COLUMN(AD$1),FALSE)*10</f>
        <v>0</v>
      </c>
      <c r="AF80" s="43">
        <f>VLOOKUP($B80,'Diesel Worksheet'!$A$184:$AE$215,COLUMN(AE$1),FALSE)*10</f>
        <v>0</v>
      </c>
    </row>
    <row r="81" ht="13.85" spans="1:32">
      <c r="A81" s="27" t="s">
        <v>2321</v>
      </c>
      <c r="B81" s="44" t="s">
        <v>104</v>
      </c>
      <c r="C81" s="42">
        <f>VLOOKUP($B81,'Diesel Worksheet'!$A$184:$AE$215,COLUMN(B$1),FALSE)*10</f>
        <v>0</v>
      </c>
      <c r="D81" s="42">
        <f>VLOOKUP($B81,'Diesel Worksheet'!$A$184:$AE$215,COLUMN(C$1),FALSE)*10</f>
        <v>0</v>
      </c>
      <c r="E81" s="42">
        <f>VLOOKUP($B81,'Diesel Worksheet'!$A$184:$AE$215,COLUMN(D$1),FALSE)*10</f>
        <v>0</v>
      </c>
      <c r="F81" s="42">
        <f>VLOOKUP($B81,'Diesel Worksheet'!$A$184:$AE$215,COLUMN(E$1),FALSE)*10</f>
        <v>0</v>
      </c>
      <c r="G81" s="42">
        <f>VLOOKUP($B81,'Diesel Worksheet'!$A$184:$AE$215,COLUMN(F$1),FALSE)*10</f>
        <v>0</v>
      </c>
      <c r="H81" s="42">
        <f>VLOOKUP($B81,'Diesel Worksheet'!$A$184:$AE$215,COLUMN(G$1),FALSE)*10</f>
        <v>0</v>
      </c>
      <c r="I81" s="42">
        <f>VLOOKUP($B81,'Diesel Worksheet'!$A$184:$AE$215,COLUMN(H$1),FALSE)*10</f>
        <v>0</v>
      </c>
      <c r="J81" s="42">
        <f>VLOOKUP($B81,'Diesel Worksheet'!$A$184:$AE$215,COLUMN(I$1),FALSE)*10</f>
        <v>0</v>
      </c>
      <c r="K81" s="42">
        <f>VLOOKUP($B81,'Diesel Worksheet'!$A$184:$AE$215,COLUMN(J$1),FALSE)*10</f>
        <v>0</v>
      </c>
      <c r="L81" s="42">
        <f>VLOOKUP($B81,'Diesel Worksheet'!$A$184:$AE$215,COLUMN(K$1),FALSE)*10</f>
        <v>0</v>
      </c>
      <c r="M81" s="42">
        <f>VLOOKUP($B81,'Diesel Worksheet'!$A$184:$AE$215,COLUMN(L$1),FALSE)*10</f>
        <v>0</v>
      </c>
      <c r="N81" s="42">
        <f>VLOOKUP($B81,'Diesel Worksheet'!$A$184:$AE$215,COLUMN(M$1),FALSE)*10</f>
        <v>0</v>
      </c>
      <c r="O81" s="42">
        <f>VLOOKUP($B81,'Diesel Worksheet'!$A$184:$AE$215,COLUMN(N$1),FALSE)*10</f>
        <v>0</v>
      </c>
      <c r="P81" s="42">
        <f>VLOOKUP($B81,'Diesel Worksheet'!$A$184:$AE$215,COLUMN(O$1),FALSE)*10</f>
        <v>0</v>
      </c>
      <c r="Q81" s="42">
        <f>VLOOKUP($B81,'Diesel Worksheet'!$A$184:$AE$215,COLUMN(P$1),FALSE)*10</f>
        <v>0</v>
      </c>
      <c r="R81" s="42">
        <f>VLOOKUP($B81,'Diesel Worksheet'!$A$184:$AE$215,COLUMN(Q$1),FALSE)*10</f>
        <v>0</v>
      </c>
      <c r="S81" s="42">
        <f>VLOOKUP($B81,'Diesel Worksheet'!$A$184:$AE$215,COLUMN(R$1),FALSE)*10</f>
        <v>0</v>
      </c>
      <c r="T81" s="42">
        <f>VLOOKUP($B81,'Diesel Worksheet'!$A$184:$AE$215,COLUMN(S$1),FALSE)*10</f>
        <v>0</v>
      </c>
      <c r="U81" s="42">
        <f>VLOOKUP($B81,'Diesel Worksheet'!$A$184:$AE$215,COLUMN(T$1),FALSE)*10</f>
        <v>0</v>
      </c>
      <c r="V81" s="42">
        <f>VLOOKUP($B81,'Diesel Worksheet'!$A$184:$AE$215,COLUMN(U$1),FALSE)*10</f>
        <v>0</v>
      </c>
      <c r="W81" s="42">
        <f>VLOOKUP($B81,'Diesel Worksheet'!$A$184:$AE$215,COLUMN(V$1),FALSE)*10</f>
        <v>0</v>
      </c>
      <c r="X81" s="42">
        <f>VLOOKUP($B81,'Diesel Worksheet'!$A$184:$AE$215,COLUMN(W$1),FALSE)*10</f>
        <v>0</v>
      </c>
      <c r="Y81" s="42">
        <f>VLOOKUP($B81,'Diesel Worksheet'!$A$184:$AE$215,COLUMN(X$1),FALSE)*10</f>
        <v>0</v>
      </c>
      <c r="Z81" s="42">
        <f>VLOOKUP($B81,'Diesel Worksheet'!$A$184:$AE$215,COLUMN(Y$1),FALSE)*10</f>
        <v>0</v>
      </c>
      <c r="AA81" s="42">
        <f>VLOOKUP($B81,'Diesel Worksheet'!$A$184:$AE$215,COLUMN(Z$1),FALSE)*10</f>
        <v>0</v>
      </c>
      <c r="AB81" s="42">
        <f>VLOOKUP($B81,'Diesel Worksheet'!$A$184:$AE$215,COLUMN(AA$1),FALSE)*10</f>
        <v>0</v>
      </c>
      <c r="AC81" s="42">
        <f>VLOOKUP($B81,'Diesel Worksheet'!$A$184:$AE$215,COLUMN(AB$1),FALSE)*10</f>
        <v>0</v>
      </c>
      <c r="AD81" s="42">
        <f>VLOOKUP($B81,'Diesel Worksheet'!$A$184:$AE$215,COLUMN(AC$1),FALSE)*10</f>
        <v>0</v>
      </c>
      <c r="AE81" s="42">
        <f>VLOOKUP($B81,'Diesel Worksheet'!$A$184:$AE$215,COLUMN(AD$1),FALSE)*10</f>
        <v>0</v>
      </c>
      <c r="AF81" s="43">
        <f>VLOOKUP($B81,'Diesel Worksheet'!$A$184:$AE$215,COLUMN(AE$1),FALSE)*10</f>
        <v>0</v>
      </c>
    </row>
    <row r="82" ht="13.85" spans="1:32">
      <c r="A82" s="27" t="s">
        <v>2321</v>
      </c>
      <c r="B82" s="44" t="s">
        <v>106</v>
      </c>
      <c r="C82" s="42">
        <f>VLOOKUP($B82,'Diesel Worksheet'!$A$184:$AE$215,COLUMN(B$1),FALSE)*10</f>
        <v>0</v>
      </c>
      <c r="D82" s="42">
        <f>VLOOKUP($B82,'Diesel Worksheet'!$A$184:$AE$215,COLUMN(C$1),FALSE)*10</f>
        <v>0</v>
      </c>
      <c r="E82" s="42">
        <f>VLOOKUP($B82,'Diesel Worksheet'!$A$184:$AE$215,COLUMN(D$1),FALSE)*10</f>
        <v>0</v>
      </c>
      <c r="F82" s="42">
        <f>VLOOKUP($B82,'Diesel Worksheet'!$A$184:$AE$215,COLUMN(E$1),FALSE)*10</f>
        <v>0</v>
      </c>
      <c r="G82" s="42">
        <f>VLOOKUP($B82,'Diesel Worksheet'!$A$184:$AE$215,COLUMN(F$1),FALSE)*10</f>
        <v>0</v>
      </c>
      <c r="H82" s="42">
        <f>VLOOKUP($B82,'Diesel Worksheet'!$A$184:$AE$215,COLUMN(G$1),FALSE)*10</f>
        <v>0</v>
      </c>
      <c r="I82" s="42">
        <f>VLOOKUP($B82,'Diesel Worksheet'!$A$184:$AE$215,COLUMN(H$1),FALSE)*10</f>
        <v>0</v>
      </c>
      <c r="J82" s="42">
        <f>VLOOKUP($B82,'Diesel Worksheet'!$A$184:$AE$215,COLUMN(I$1),FALSE)*10</f>
        <v>0</v>
      </c>
      <c r="K82" s="42">
        <f>VLOOKUP($B82,'Diesel Worksheet'!$A$184:$AE$215,COLUMN(J$1),FALSE)*10</f>
        <v>0</v>
      </c>
      <c r="L82" s="42">
        <f>VLOOKUP($B82,'Diesel Worksheet'!$A$184:$AE$215,COLUMN(K$1),FALSE)*10</f>
        <v>0</v>
      </c>
      <c r="M82" s="42">
        <f>VLOOKUP($B82,'Diesel Worksheet'!$A$184:$AE$215,COLUMN(L$1),FALSE)*10</f>
        <v>0</v>
      </c>
      <c r="N82" s="42">
        <f>VLOOKUP($B82,'Diesel Worksheet'!$A$184:$AE$215,COLUMN(M$1),FALSE)*10</f>
        <v>0</v>
      </c>
      <c r="O82" s="42">
        <f>VLOOKUP($B82,'Diesel Worksheet'!$A$184:$AE$215,COLUMN(N$1),FALSE)*10</f>
        <v>9.69999999999999</v>
      </c>
      <c r="P82" s="42">
        <f>VLOOKUP($B82,'Diesel Worksheet'!$A$184:$AE$215,COLUMN(O$1),FALSE)*10</f>
        <v>0</v>
      </c>
      <c r="Q82" s="42">
        <f>VLOOKUP($B82,'Diesel Worksheet'!$A$184:$AE$215,COLUMN(P$1),FALSE)*10</f>
        <v>0</v>
      </c>
      <c r="R82" s="42">
        <f>VLOOKUP($B82,'Diesel Worksheet'!$A$184:$AE$215,COLUMN(Q$1),FALSE)*10</f>
        <v>0.300000000000011</v>
      </c>
      <c r="S82" s="42">
        <f>VLOOKUP($B82,'Diesel Worksheet'!$A$184:$AE$215,COLUMN(R$1),FALSE)*10</f>
        <v>0</v>
      </c>
      <c r="T82" s="42">
        <f>VLOOKUP($B82,'Diesel Worksheet'!$A$184:$AE$215,COLUMN(S$1),FALSE)*10</f>
        <v>0</v>
      </c>
      <c r="U82" s="42">
        <f>VLOOKUP($B82,'Diesel Worksheet'!$A$184:$AE$215,COLUMN(T$1),FALSE)*10</f>
        <v>0</v>
      </c>
      <c r="V82" s="42">
        <f>VLOOKUP($B82,'Diesel Worksheet'!$A$184:$AE$215,COLUMN(U$1),FALSE)*10</f>
        <v>0</v>
      </c>
      <c r="W82" s="42">
        <f>VLOOKUP($B82,'Diesel Worksheet'!$A$184:$AE$215,COLUMN(V$1),FALSE)*10</f>
        <v>0</v>
      </c>
      <c r="X82" s="42">
        <f>VLOOKUP($B82,'Diesel Worksheet'!$A$184:$AE$215,COLUMN(W$1),FALSE)*10</f>
        <v>0</v>
      </c>
      <c r="Y82" s="42">
        <f>VLOOKUP($B82,'Diesel Worksheet'!$A$184:$AE$215,COLUMN(X$1),FALSE)*10</f>
        <v>0</v>
      </c>
      <c r="Z82" s="42">
        <f>VLOOKUP($B82,'Diesel Worksheet'!$A$184:$AE$215,COLUMN(Y$1),FALSE)*10</f>
        <v>0</v>
      </c>
      <c r="AA82" s="42">
        <f>VLOOKUP($B82,'Diesel Worksheet'!$A$184:$AE$215,COLUMN(Z$1),FALSE)*10</f>
        <v>0</v>
      </c>
      <c r="AB82" s="42">
        <f>VLOOKUP($B82,'Diesel Worksheet'!$A$184:$AE$215,COLUMN(AA$1),FALSE)*10</f>
        <v>0</v>
      </c>
      <c r="AC82" s="42">
        <f>VLOOKUP($B82,'Diesel Worksheet'!$A$184:$AE$215,COLUMN(AB$1),FALSE)*10</f>
        <v>0</v>
      </c>
      <c r="AD82" s="42">
        <f>VLOOKUP($B82,'Diesel Worksheet'!$A$184:$AE$215,COLUMN(AC$1),FALSE)*10</f>
        <v>0</v>
      </c>
      <c r="AE82" s="42">
        <f>VLOOKUP($B82,'Diesel Worksheet'!$A$184:$AE$215,COLUMN(AD$1),FALSE)*10</f>
        <v>0</v>
      </c>
      <c r="AF82" s="43">
        <f>VLOOKUP($B82,'Diesel Worksheet'!$A$184:$AE$215,COLUMN(AE$1),FALSE)*10</f>
        <v>0</v>
      </c>
    </row>
    <row r="83" ht="13.85" spans="1:32">
      <c r="A83" s="27" t="s">
        <v>2321</v>
      </c>
      <c r="B83" s="44" t="s">
        <v>108</v>
      </c>
      <c r="C83" s="42">
        <f>VLOOKUP($B83,'Diesel Worksheet'!$A$184:$AE$215,COLUMN(B$1),FALSE)*10</f>
        <v>0</v>
      </c>
      <c r="D83" s="42">
        <f>VLOOKUP($B83,'Diesel Worksheet'!$A$184:$AE$215,COLUMN(C$1),FALSE)*10</f>
        <v>0</v>
      </c>
      <c r="E83" s="42">
        <f>VLOOKUP($B83,'Diesel Worksheet'!$A$184:$AE$215,COLUMN(D$1),FALSE)*10</f>
        <v>0</v>
      </c>
      <c r="F83" s="42">
        <f>VLOOKUP($B83,'Diesel Worksheet'!$A$184:$AE$215,COLUMN(E$1),FALSE)*10</f>
        <v>0</v>
      </c>
      <c r="G83" s="42">
        <f>VLOOKUP($B83,'Diesel Worksheet'!$A$184:$AE$215,COLUMN(F$1),FALSE)*10</f>
        <v>0</v>
      </c>
      <c r="H83" s="42">
        <f>VLOOKUP($B83,'Diesel Worksheet'!$A$184:$AE$215,COLUMN(G$1),FALSE)*10</f>
        <v>0</v>
      </c>
      <c r="I83" s="42">
        <f>VLOOKUP($B83,'Diesel Worksheet'!$A$184:$AE$215,COLUMN(H$1),FALSE)*10</f>
        <v>0</v>
      </c>
      <c r="J83" s="42">
        <f>VLOOKUP($B83,'Diesel Worksheet'!$A$184:$AE$215,COLUMN(I$1),FALSE)*10</f>
        <v>0</v>
      </c>
      <c r="K83" s="42">
        <f>VLOOKUP($B83,'Diesel Worksheet'!$A$184:$AE$215,COLUMN(J$1),FALSE)*10</f>
        <v>0</v>
      </c>
      <c r="L83" s="42">
        <f>VLOOKUP($B83,'Diesel Worksheet'!$A$184:$AE$215,COLUMN(K$1),FALSE)*10</f>
        <v>0</v>
      </c>
      <c r="M83" s="42">
        <f>VLOOKUP($B83,'Diesel Worksheet'!$A$184:$AE$215,COLUMN(L$1),FALSE)*10</f>
        <v>0</v>
      </c>
      <c r="N83" s="42">
        <f>VLOOKUP($B83,'Diesel Worksheet'!$A$184:$AE$215,COLUMN(M$1),FALSE)*10</f>
        <v>0</v>
      </c>
      <c r="O83" s="42">
        <f>VLOOKUP($B83,'Diesel Worksheet'!$A$184:$AE$215,COLUMN(N$1),FALSE)*10</f>
        <v>0</v>
      </c>
      <c r="P83" s="42">
        <f>VLOOKUP($B83,'Diesel Worksheet'!$A$184:$AE$215,COLUMN(O$1),FALSE)*10</f>
        <v>0</v>
      </c>
      <c r="Q83" s="42">
        <f>VLOOKUP($B83,'Diesel Worksheet'!$A$184:$AE$215,COLUMN(P$1),FALSE)*10</f>
        <v>0</v>
      </c>
      <c r="R83" s="42">
        <f>VLOOKUP($B83,'Diesel Worksheet'!$A$184:$AE$215,COLUMN(Q$1),FALSE)*10</f>
        <v>0</v>
      </c>
      <c r="S83" s="42">
        <f>VLOOKUP($B83,'Diesel Worksheet'!$A$184:$AE$215,COLUMN(R$1),FALSE)*10</f>
        <v>0</v>
      </c>
      <c r="T83" s="42">
        <f>VLOOKUP($B83,'Diesel Worksheet'!$A$184:$AE$215,COLUMN(S$1),FALSE)*10</f>
        <v>0</v>
      </c>
      <c r="U83" s="42">
        <f>VLOOKUP($B83,'Diesel Worksheet'!$A$184:$AE$215,COLUMN(T$1),FALSE)*10</f>
        <v>0</v>
      </c>
      <c r="V83" s="42">
        <f>VLOOKUP($B83,'Diesel Worksheet'!$A$184:$AE$215,COLUMN(U$1),FALSE)*10</f>
        <v>0</v>
      </c>
      <c r="W83" s="42">
        <f>VLOOKUP($B83,'Diesel Worksheet'!$A$184:$AE$215,COLUMN(V$1),FALSE)*10</f>
        <v>0</v>
      </c>
      <c r="X83" s="42">
        <f>VLOOKUP($B83,'Diesel Worksheet'!$A$184:$AE$215,COLUMN(W$1),FALSE)*10</f>
        <v>0</v>
      </c>
      <c r="Y83" s="42">
        <f>VLOOKUP($B83,'Diesel Worksheet'!$A$184:$AE$215,COLUMN(X$1),FALSE)*10</f>
        <v>0</v>
      </c>
      <c r="Z83" s="42">
        <f>VLOOKUP($B83,'Diesel Worksheet'!$A$184:$AE$215,COLUMN(Y$1),FALSE)*10</f>
        <v>0</v>
      </c>
      <c r="AA83" s="42">
        <f>VLOOKUP($B83,'Diesel Worksheet'!$A$184:$AE$215,COLUMN(Z$1),FALSE)*10</f>
        <v>0</v>
      </c>
      <c r="AB83" s="42">
        <f>VLOOKUP($B83,'Diesel Worksheet'!$A$184:$AE$215,COLUMN(AA$1),FALSE)*10</f>
        <v>0</v>
      </c>
      <c r="AC83" s="42">
        <f>VLOOKUP($B83,'Diesel Worksheet'!$A$184:$AE$215,COLUMN(AB$1),FALSE)*10</f>
        <v>0</v>
      </c>
      <c r="AD83" s="42">
        <f>VLOOKUP($B83,'Diesel Worksheet'!$A$184:$AE$215,COLUMN(AC$1),FALSE)*10</f>
        <v>0</v>
      </c>
      <c r="AE83" s="42">
        <f>VLOOKUP($B83,'Diesel Worksheet'!$A$184:$AE$215,COLUMN(AD$1),FALSE)*10</f>
        <v>0</v>
      </c>
      <c r="AF83" s="43">
        <f>VLOOKUP($B83,'Diesel Worksheet'!$A$184:$AE$215,COLUMN(AE$1),FALSE)*10</f>
        <v>0</v>
      </c>
    </row>
    <row r="84" ht="13.85" spans="1:32">
      <c r="A84" s="27" t="s">
        <v>2321</v>
      </c>
      <c r="B84" s="44" t="s">
        <v>110</v>
      </c>
      <c r="C84" s="42">
        <f>VLOOKUP($B84,'Diesel Worksheet'!$A$184:$AE$215,COLUMN(B$1),FALSE)*10</f>
        <v>0</v>
      </c>
      <c r="D84" s="42">
        <f>VLOOKUP($B84,'Diesel Worksheet'!$A$184:$AE$215,COLUMN(C$1),FALSE)*10</f>
        <v>0</v>
      </c>
      <c r="E84" s="42">
        <f>VLOOKUP($B84,'Diesel Worksheet'!$A$184:$AE$215,COLUMN(D$1),FALSE)*10</f>
        <v>0</v>
      </c>
      <c r="F84" s="42">
        <f>VLOOKUP($B84,'Diesel Worksheet'!$A$184:$AE$215,COLUMN(E$1),FALSE)*10</f>
        <v>0</v>
      </c>
      <c r="G84" s="42">
        <f>VLOOKUP($B84,'Diesel Worksheet'!$A$184:$AE$215,COLUMN(F$1),FALSE)*10</f>
        <v>0</v>
      </c>
      <c r="H84" s="42">
        <f>VLOOKUP($B84,'Diesel Worksheet'!$A$184:$AE$215,COLUMN(G$1),FALSE)*10</f>
        <v>0</v>
      </c>
      <c r="I84" s="42">
        <f>VLOOKUP($B84,'Diesel Worksheet'!$A$184:$AE$215,COLUMN(H$1),FALSE)*10</f>
        <v>0</v>
      </c>
      <c r="J84" s="42">
        <f>VLOOKUP($B84,'Diesel Worksheet'!$A$184:$AE$215,COLUMN(I$1),FALSE)*10</f>
        <v>0</v>
      </c>
      <c r="K84" s="42">
        <f>VLOOKUP($B84,'Diesel Worksheet'!$A$184:$AE$215,COLUMN(J$1),FALSE)*10</f>
        <v>0</v>
      </c>
      <c r="L84" s="42">
        <f>VLOOKUP($B84,'Diesel Worksheet'!$A$184:$AE$215,COLUMN(K$1),FALSE)*10</f>
        <v>0</v>
      </c>
      <c r="M84" s="42">
        <f>VLOOKUP($B84,'Diesel Worksheet'!$A$184:$AE$215,COLUMN(L$1),FALSE)*10</f>
        <v>0</v>
      </c>
      <c r="N84" s="42">
        <f>VLOOKUP($B84,'Diesel Worksheet'!$A$184:$AE$215,COLUMN(M$1),FALSE)*10</f>
        <v>0</v>
      </c>
      <c r="O84" s="42">
        <f>VLOOKUP($B84,'Diesel Worksheet'!$A$184:$AE$215,COLUMN(N$1),FALSE)*10</f>
        <v>0</v>
      </c>
      <c r="P84" s="42">
        <f>VLOOKUP($B84,'Diesel Worksheet'!$A$184:$AE$215,COLUMN(O$1),FALSE)*10</f>
        <v>0</v>
      </c>
      <c r="Q84" s="42">
        <f>VLOOKUP($B84,'Diesel Worksheet'!$A$184:$AE$215,COLUMN(P$1),FALSE)*10</f>
        <v>0</v>
      </c>
      <c r="R84" s="42">
        <f>VLOOKUP($B84,'Diesel Worksheet'!$A$184:$AE$215,COLUMN(Q$1),FALSE)*10</f>
        <v>0</v>
      </c>
      <c r="S84" s="42">
        <f>VLOOKUP($B84,'Diesel Worksheet'!$A$184:$AE$215,COLUMN(R$1),FALSE)*10</f>
        <v>0</v>
      </c>
      <c r="T84" s="42">
        <f>VLOOKUP($B84,'Diesel Worksheet'!$A$184:$AE$215,COLUMN(S$1),FALSE)*10</f>
        <v>0</v>
      </c>
      <c r="U84" s="42">
        <f>VLOOKUP($B84,'Diesel Worksheet'!$A$184:$AE$215,COLUMN(T$1),FALSE)*10</f>
        <v>0</v>
      </c>
      <c r="V84" s="42">
        <f>VLOOKUP($B84,'Diesel Worksheet'!$A$184:$AE$215,COLUMN(U$1),FALSE)*10</f>
        <v>0</v>
      </c>
      <c r="W84" s="42">
        <f>VLOOKUP($B84,'Diesel Worksheet'!$A$184:$AE$215,COLUMN(V$1),FALSE)*10</f>
        <v>0</v>
      </c>
      <c r="X84" s="42">
        <f>VLOOKUP($B84,'Diesel Worksheet'!$A$184:$AE$215,COLUMN(W$1),FALSE)*10</f>
        <v>0</v>
      </c>
      <c r="Y84" s="42">
        <f>VLOOKUP($B84,'Diesel Worksheet'!$A$184:$AE$215,COLUMN(X$1),FALSE)*10</f>
        <v>0</v>
      </c>
      <c r="Z84" s="42">
        <f>VLOOKUP($B84,'Diesel Worksheet'!$A$184:$AE$215,COLUMN(Y$1),FALSE)*10</f>
        <v>0</v>
      </c>
      <c r="AA84" s="42">
        <f>VLOOKUP($B84,'Diesel Worksheet'!$A$184:$AE$215,COLUMN(Z$1),FALSE)*10</f>
        <v>0</v>
      </c>
      <c r="AB84" s="42">
        <f>VLOOKUP($B84,'Diesel Worksheet'!$A$184:$AE$215,COLUMN(AA$1),FALSE)*10</f>
        <v>0</v>
      </c>
      <c r="AC84" s="42">
        <f>VLOOKUP($B84,'Diesel Worksheet'!$A$184:$AE$215,COLUMN(AB$1),FALSE)*10</f>
        <v>0</v>
      </c>
      <c r="AD84" s="42">
        <f>VLOOKUP($B84,'Diesel Worksheet'!$A$184:$AE$215,COLUMN(AC$1),FALSE)*10</f>
        <v>0</v>
      </c>
      <c r="AE84" s="42">
        <f>VLOOKUP($B84,'Diesel Worksheet'!$A$184:$AE$215,COLUMN(AD$1),FALSE)*10</f>
        <v>0</v>
      </c>
      <c r="AF84" s="43">
        <f>VLOOKUP($B84,'Diesel Worksheet'!$A$184:$AE$215,COLUMN(AE$1),FALSE)*10</f>
        <v>0</v>
      </c>
    </row>
    <row r="85" ht="13.85" spans="1:32">
      <c r="A85" s="27" t="s">
        <v>2321</v>
      </c>
      <c r="B85" s="44" t="s">
        <v>112</v>
      </c>
      <c r="C85" s="42">
        <f>VLOOKUP($B85,'Diesel Worksheet'!$A$184:$AE$215,COLUMN(B$1),FALSE)*10</f>
        <v>0</v>
      </c>
      <c r="D85" s="42">
        <f>VLOOKUP($B85,'Diesel Worksheet'!$A$184:$AE$215,COLUMN(C$1),FALSE)*10</f>
        <v>0</v>
      </c>
      <c r="E85" s="42">
        <f>VLOOKUP($B85,'Diesel Worksheet'!$A$184:$AE$215,COLUMN(D$1),FALSE)*10</f>
        <v>0</v>
      </c>
      <c r="F85" s="42">
        <f>VLOOKUP($B85,'Diesel Worksheet'!$A$184:$AE$215,COLUMN(E$1),FALSE)*10</f>
        <v>0</v>
      </c>
      <c r="G85" s="42">
        <f>VLOOKUP($B85,'Diesel Worksheet'!$A$184:$AE$215,COLUMN(F$1),FALSE)*10</f>
        <v>0</v>
      </c>
      <c r="H85" s="42">
        <f>VLOOKUP($B85,'Diesel Worksheet'!$A$184:$AE$215,COLUMN(G$1),FALSE)*10</f>
        <v>0</v>
      </c>
      <c r="I85" s="42">
        <f>VLOOKUP($B85,'Diesel Worksheet'!$A$184:$AE$215,COLUMN(H$1),FALSE)*10</f>
        <v>0</v>
      </c>
      <c r="J85" s="42">
        <f>VLOOKUP($B85,'Diesel Worksheet'!$A$184:$AE$215,COLUMN(I$1),FALSE)*10</f>
        <v>0</v>
      </c>
      <c r="K85" s="42">
        <f>VLOOKUP($B85,'Diesel Worksheet'!$A$184:$AE$215,COLUMN(J$1),FALSE)*10</f>
        <v>0</v>
      </c>
      <c r="L85" s="42">
        <f>VLOOKUP($B85,'Diesel Worksheet'!$A$184:$AE$215,COLUMN(K$1),FALSE)*10</f>
        <v>0</v>
      </c>
      <c r="M85" s="42">
        <f>VLOOKUP($B85,'Diesel Worksheet'!$A$184:$AE$215,COLUMN(L$1),FALSE)*10</f>
        <v>0</v>
      </c>
      <c r="N85" s="42">
        <f>VLOOKUP($B85,'Diesel Worksheet'!$A$184:$AE$215,COLUMN(M$1),FALSE)*10</f>
        <v>0</v>
      </c>
      <c r="O85" s="42">
        <f>VLOOKUP($B85,'Diesel Worksheet'!$A$184:$AE$215,COLUMN(N$1),FALSE)*10</f>
        <v>0</v>
      </c>
      <c r="P85" s="42">
        <f>VLOOKUP($B85,'Diesel Worksheet'!$A$184:$AE$215,COLUMN(O$1),FALSE)*10</f>
        <v>0</v>
      </c>
      <c r="Q85" s="42">
        <f>VLOOKUP($B85,'Diesel Worksheet'!$A$184:$AE$215,COLUMN(P$1),FALSE)*10</f>
        <v>0</v>
      </c>
      <c r="R85" s="42">
        <f>VLOOKUP($B85,'Diesel Worksheet'!$A$184:$AE$215,COLUMN(Q$1),FALSE)*10</f>
        <v>0</v>
      </c>
      <c r="S85" s="42">
        <f>VLOOKUP($B85,'Diesel Worksheet'!$A$184:$AE$215,COLUMN(R$1),FALSE)*10</f>
        <v>0</v>
      </c>
      <c r="T85" s="42">
        <f>VLOOKUP($B85,'Diesel Worksheet'!$A$184:$AE$215,COLUMN(S$1),FALSE)*10</f>
        <v>0</v>
      </c>
      <c r="U85" s="42">
        <f>VLOOKUP($B85,'Diesel Worksheet'!$A$184:$AE$215,COLUMN(T$1),FALSE)*10</f>
        <v>0</v>
      </c>
      <c r="V85" s="42">
        <f>VLOOKUP($B85,'Diesel Worksheet'!$A$184:$AE$215,COLUMN(U$1),FALSE)*10</f>
        <v>0</v>
      </c>
      <c r="W85" s="42">
        <f>VLOOKUP($B85,'Diesel Worksheet'!$A$184:$AE$215,COLUMN(V$1),FALSE)*10</f>
        <v>0</v>
      </c>
      <c r="X85" s="42">
        <f>VLOOKUP($B85,'Diesel Worksheet'!$A$184:$AE$215,COLUMN(W$1),FALSE)*10</f>
        <v>0</v>
      </c>
      <c r="Y85" s="42">
        <f>VLOOKUP($B85,'Diesel Worksheet'!$A$184:$AE$215,COLUMN(X$1),FALSE)*10</f>
        <v>0</v>
      </c>
      <c r="Z85" s="42">
        <f>VLOOKUP($B85,'Diesel Worksheet'!$A$184:$AE$215,COLUMN(Y$1),FALSE)*10</f>
        <v>0</v>
      </c>
      <c r="AA85" s="42">
        <f>VLOOKUP($B85,'Diesel Worksheet'!$A$184:$AE$215,COLUMN(Z$1),FALSE)*10</f>
        <v>0</v>
      </c>
      <c r="AB85" s="42">
        <f>VLOOKUP($B85,'Diesel Worksheet'!$A$184:$AE$215,COLUMN(AA$1),FALSE)*10</f>
        <v>0</v>
      </c>
      <c r="AC85" s="42">
        <f>VLOOKUP($B85,'Diesel Worksheet'!$A$184:$AE$215,COLUMN(AB$1),FALSE)*10</f>
        <v>0</v>
      </c>
      <c r="AD85" s="42">
        <f>VLOOKUP($B85,'Diesel Worksheet'!$A$184:$AE$215,COLUMN(AC$1),FALSE)*10</f>
        <v>0</v>
      </c>
      <c r="AE85" s="42">
        <f>VLOOKUP($B85,'Diesel Worksheet'!$A$184:$AE$215,COLUMN(AD$1),FALSE)*10</f>
        <v>0</v>
      </c>
      <c r="AF85" s="43">
        <f>VLOOKUP($B85,'Diesel Worksheet'!$A$184:$AE$215,COLUMN(AE$1),FALSE)*10</f>
        <v>0</v>
      </c>
    </row>
    <row r="86" ht="13.85" spans="1:32">
      <c r="A86" s="27" t="s">
        <v>2321</v>
      </c>
      <c r="B86" s="44" t="s">
        <v>114</v>
      </c>
      <c r="C86" s="42">
        <f>VLOOKUP($B86,'Diesel Worksheet'!$A$184:$AE$215,COLUMN(B$1),FALSE)*10</f>
        <v>0</v>
      </c>
      <c r="D86" s="42">
        <f>VLOOKUP($B86,'Diesel Worksheet'!$A$184:$AE$215,COLUMN(C$1),FALSE)*10</f>
        <v>0</v>
      </c>
      <c r="E86" s="42">
        <f>VLOOKUP($B86,'Diesel Worksheet'!$A$184:$AE$215,COLUMN(D$1),FALSE)*10</f>
        <v>0</v>
      </c>
      <c r="F86" s="42">
        <f>VLOOKUP($B86,'Diesel Worksheet'!$A$184:$AE$215,COLUMN(E$1),FALSE)*10</f>
        <v>0</v>
      </c>
      <c r="G86" s="42">
        <f>VLOOKUP($B86,'Diesel Worksheet'!$A$184:$AE$215,COLUMN(F$1),FALSE)*10</f>
        <v>0</v>
      </c>
      <c r="H86" s="42">
        <f>VLOOKUP($B86,'Diesel Worksheet'!$A$184:$AE$215,COLUMN(G$1),FALSE)*10</f>
        <v>0</v>
      </c>
      <c r="I86" s="42">
        <f>VLOOKUP($B86,'Diesel Worksheet'!$A$184:$AE$215,COLUMN(H$1),FALSE)*10</f>
        <v>0</v>
      </c>
      <c r="J86" s="42">
        <f>VLOOKUP($B86,'Diesel Worksheet'!$A$184:$AE$215,COLUMN(I$1),FALSE)*10</f>
        <v>0</v>
      </c>
      <c r="K86" s="42">
        <f>VLOOKUP($B86,'Diesel Worksheet'!$A$184:$AE$215,COLUMN(J$1),FALSE)*10</f>
        <v>0</v>
      </c>
      <c r="L86" s="42">
        <f>VLOOKUP($B86,'Diesel Worksheet'!$A$184:$AE$215,COLUMN(K$1),FALSE)*10</f>
        <v>0</v>
      </c>
      <c r="M86" s="42">
        <f>VLOOKUP($B86,'Diesel Worksheet'!$A$184:$AE$215,COLUMN(L$1),FALSE)*10</f>
        <v>0</v>
      </c>
      <c r="N86" s="42">
        <f>VLOOKUP($B86,'Diesel Worksheet'!$A$184:$AE$215,COLUMN(M$1),FALSE)*10</f>
        <v>0</v>
      </c>
      <c r="O86" s="42">
        <f>VLOOKUP($B86,'Diesel Worksheet'!$A$184:$AE$215,COLUMN(N$1),FALSE)*10</f>
        <v>0</v>
      </c>
      <c r="P86" s="42">
        <f>VLOOKUP($B86,'Diesel Worksheet'!$A$184:$AE$215,COLUMN(O$1),FALSE)*10</f>
        <v>0</v>
      </c>
      <c r="Q86" s="42">
        <f>VLOOKUP($B86,'Diesel Worksheet'!$A$184:$AE$215,COLUMN(P$1),FALSE)*10</f>
        <v>0</v>
      </c>
      <c r="R86" s="42">
        <f>VLOOKUP($B86,'Diesel Worksheet'!$A$184:$AE$215,COLUMN(Q$1),FALSE)*10</f>
        <v>0</v>
      </c>
      <c r="S86" s="42">
        <f>VLOOKUP($B86,'Diesel Worksheet'!$A$184:$AE$215,COLUMN(R$1),FALSE)*10</f>
        <v>0</v>
      </c>
      <c r="T86" s="42">
        <f>VLOOKUP($B86,'Diesel Worksheet'!$A$184:$AE$215,COLUMN(S$1),FALSE)*10</f>
        <v>0</v>
      </c>
      <c r="U86" s="42">
        <f>VLOOKUP($B86,'Diesel Worksheet'!$A$184:$AE$215,COLUMN(T$1),FALSE)*10</f>
        <v>0</v>
      </c>
      <c r="V86" s="42">
        <f>VLOOKUP($B86,'Diesel Worksheet'!$A$184:$AE$215,COLUMN(U$1),FALSE)*10</f>
        <v>0</v>
      </c>
      <c r="W86" s="42">
        <f>VLOOKUP($B86,'Diesel Worksheet'!$A$184:$AE$215,COLUMN(V$1),FALSE)*10</f>
        <v>0</v>
      </c>
      <c r="X86" s="42">
        <f>VLOOKUP($B86,'Diesel Worksheet'!$A$184:$AE$215,COLUMN(W$1),FALSE)*10</f>
        <v>0</v>
      </c>
      <c r="Y86" s="42">
        <f>VLOOKUP($B86,'Diesel Worksheet'!$A$184:$AE$215,COLUMN(X$1),FALSE)*10</f>
        <v>0</v>
      </c>
      <c r="Z86" s="42">
        <f>VLOOKUP($B86,'Diesel Worksheet'!$A$184:$AE$215,COLUMN(Y$1),FALSE)*10</f>
        <v>0</v>
      </c>
      <c r="AA86" s="42">
        <f>VLOOKUP($B86,'Diesel Worksheet'!$A$184:$AE$215,COLUMN(Z$1),FALSE)*10</f>
        <v>0</v>
      </c>
      <c r="AB86" s="42">
        <f>VLOOKUP($B86,'Diesel Worksheet'!$A$184:$AE$215,COLUMN(AA$1),FALSE)*10</f>
        <v>0</v>
      </c>
      <c r="AC86" s="42">
        <f>VLOOKUP($B86,'Diesel Worksheet'!$A$184:$AE$215,COLUMN(AB$1),FALSE)*10</f>
        <v>0</v>
      </c>
      <c r="AD86" s="42">
        <f>VLOOKUP($B86,'Diesel Worksheet'!$A$184:$AE$215,COLUMN(AC$1),FALSE)*10</f>
        <v>0</v>
      </c>
      <c r="AE86" s="42">
        <f>VLOOKUP($B86,'Diesel Worksheet'!$A$184:$AE$215,COLUMN(AD$1),FALSE)*10</f>
        <v>0</v>
      </c>
      <c r="AF86" s="43">
        <f>VLOOKUP($B86,'Diesel Worksheet'!$A$184:$AE$215,COLUMN(AE$1),FALSE)*10</f>
        <v>0</v>
      </c>
    </row>
    <row r="87" ht="13.85" spans="1:32">
      <c r="A87" s="27" t="s">
        <v>2321</v>
      </c>
      <c r="B87" s="44" t="s">
        <v>116</v>
      </c>
      <c r="C87" s="42">
        <f>VLOOKUP($B87,'Diesel Worksheet'!$A$184:$AE$215,COLUMN(B$1),FALSE)*10</f>
        <v>0</v>
      </c>
      <c r="D87" s="42">
        <f>VLOOKUP($B87,'Diesel Worksheet'!$A$184:$AE$215,COLUMN(C$1),FALSE)*10</f>
        <v>0</v>
      </c>
      <c r="E87" s="42">
        <f>VLOOKUP($B87,'Diesel Worksheet'!$A$184:$AE$215,COLUMN(D$1),FALSE)*10</f>
        <v>0</v>
      </c>
      <c r="F87" s="42">
        <f>VLOOKUP($B87,'Diesel Worksheet'!$A$184:$AE$215,COLUMN(E$1),FALSE)*10</f>
        <v>0</v>
      </c>
      <c r="G87" s="42">
        <f>VLOOKUP($B87,'Diesel Worksheet'!$A$184:$AE$215,COLUMN(F$1),FALSE)*10</f>
        <v>0</v>
      </c>
      <c r="H87" s="42">
        <f>VLOOKUP($B87,'Diesel Worksheet'!$A$184:$AE$215,COLUMN(G$1),FALSE)*10</f>
        <v>0</v>
      </c>
      <c r="I87" s="42">
        <f>VLOOKUP($B87,'Diesel Worksheet'!$A$184:$AE$215,COLUMN(H$1),FALSE)*10</f>
        <v>0</v>
      </c>
      <c r="J87" s="42">
        <f>VLOOKUP($B87,'Diesel Worksheet'!$A$184:$AE$215,COLUMN(I$1),FALSE)*10</f>
        <v>0</v>
      </c>
      <c r="K87" s="42">
        <f>VLOOKUP($B87,'Diesel Worksheet'!$A$184:$AE$215,COLUMN(J$1),FALSE)*10</f>
        <v>0</v>
      </c>
      <c r="L87" s="42">
        <f>VLOOKUP($B87,'Diesel Worksheet'!$A$184:$AE$215,COLUMN(K$1),FALSE)*10</f>
        <v>0</v>
      </c>
      <c r="M87" s="42">
        <f>VLOOKUP($B87,'Diesel Worksheet'!$A$184:$AE$215,COLUMN(L$1),FALSE)*10</f>
        <v>0</v>
      </c>
      <c r="N87" s="42">
        <f>VLOOKUP($B87,'Diesel Worksheet'!$A$184:$AE$215,COLUMN(M$1),FALSE)*10</f>
        <v>0</v>
      </c>
      <c r="O87" s="42">
        <f>VLOOKUP($B87,'Diesel Worksheet'!$A$184:$AE$215,COLUMN(N$1),FALSE)*10</f>
        <v>5.8</v>
      </c>
      <c r="P87" s="42">
        <f>VLOOKUP($B87,'Diesel Worksheet'!$A$184:$AE$215,COLUMN(O$1),FALSE)*10</f>
        <v>5.8</v>
      </c>
      <c r="Q87" s="42">
        <f>VLOOKUP($B87,'Diesel Worksheet'!$A$184:$AE$215,COLUMN(P$1),FALSE)*10</f>
        <v>5.8</v>
      </c>
      <c r="R87" s="42">
        <f>VLOOKUP($B87,'Diesel Worksheet'!$A$184:$AE$215,COLUMN(Q$1),FALSE)*10</f>
        <v>17.8</v>
      </c>
      <c r="S87" s="42">
        <f>VLOOKUP($B87,'Diesel Worksheet'!$A$184:$AE$215,COLUMN(R$1),FALSE)*10</f>
        <v>5.8</v>
      </c>
      <c r="T87" s="42">
        <f>VLOOKUP($B87,'Diesel Worksheet'!$A$184:$AE$215,COLUMN(S$1),FALSE)*10</f>
        <v>5.8</v>
      </c>
      <c r="U87" s="42">
        <f>VLOOKUP($B87,'Diesel Worksheet'!$A$184:$AE$215,COLUMN(T$1),FALSE)*10</f>
        <v>5.8</v>
      </c>
      <c r="V87" s="42">
        <f>VLOOKUP($B87,'Diesel Worksheet'!$A$184:$AE$215,COLUMN(U$1),FALSE)*10</f>
        <v>5.8</v>
      </c>
      <c r="W87" s="42">
        <f>VLOOKUP($B87,'Diesel Worksheet'!$A$184:$AE$215,COLUMN(V$1),FALSE)*10</f>
        <v>5.8</v>
      </c>
      <c r="X87" s="42">
        <f>VLOOKUP($B87,'Diesel Worksheet'!$A$184:$AE$215,COLUMN(W$1),FALSE)*10</f>
        <v>5.8</v>
      </c>
      <c r="Y87" s="42">
        <f>VLOOKUP($B87,'Diesel Worksheet'!$A$184:$AE$215,COLUMN(X$1),FALSE)*10</f>
        <v>0</v>
      </c>
      <c r="Z87" s="42">
        <f>VLOOKUP($B87,'Diesel Worksheet'!$A$184:$AE$215,COLUMN(Y$1),FALSE)*10</f>
        <v>0</v>
      </c>
      <c r="AA87" s="42">
        <f>VLOOKUP($B87,'Diesel Worksheet'!$A$184:$AE$215,COLUMN(Z$1),FALSE)*10</f>
        <v>0</v>
      </c>
      <c r="AB87" s="42">
        <f>VLOOKUP($B87,'Diesel Worksheet'!$A$184:$AE$215,COLUMN(AA$1),FALSE)*10</f>
        <v>0</v>
      </c>
      <c r="AC87" s="42">
        <f>VLOOKUP($B87,'Diesel Worksheet'!$A$184:$AE$215,COLUMN(AB$1),FALSE)*10</f>
        <v>0</v>
      </c>
      <c r="AD87" s="42">
        <f>VLOOKUP($B87,'Diesel Worksheet'!$A$184:$AE$215,COLUMN(AC$1),FALSE)*10</f>
        <v>0</v>
      </c>
      <c r="AE87" s="42">
        <f>VLOOKUP($B87,'Diesel Worksheet'!$A$184:$AE$215,COLUMN(AD$1),FALSE)*10</f>
        <v>0</v>
      </c>
      <c r="AF87" s="43">
        <f>VLOOKUP($B87,'Diesel Worksheet'!$A$184:$AE$215,COLUMN(AE$1),FALSE)*10</f>
        <v>0</v>
      </c>
    </row>
    <row r="88" ht="13.85" spans="1:32">
      <c r="A88" s="27" t="s">
        <v>2321</v>
      </c>
      <c r="B88" s="44" t="s">
        <v>118</v>
      </c>
      <c r="C88" s="42">
        <f>VLOOKUP($B88,'Diesel Worksheet'!$A$184:$AE$215,COLUMN(B$1),FALSE)*10</f>
        <v>0</v>
      </c>
      <c r="D88" s="42">
        <f>VLOOKUP($B88,'Diesel Worksheet'!$A$184:$AE$215,COLUMN(C$1),FALSE)*10</f>
        <v>0</v>
      </c>
      <c r="E88" s="42">
        <f>VLOOKUP($B88,'Diesel Worksheet'!$A$184:$AE$215,COLUMN(D$1),FALSE)*10</f>
        <v>0</v>
      </c>
      <c r="F88" s="42">
        <f>VLOOKUP($B88,'Diesel Worksheet'!$A$184:$AE$215,COLUMN(E$1),FALSE)*10</f>
        <v>0</v>
      </c>
      <c r="G88" s="42">
        <f>VLOOKUP($B88,'Diesel Worksheet'!$A$184:$AE$215,COLUMN(F$1),FALSE)*10</f>
        <v>0</v>
      </c>
      <c r="H88" s="42">
        <f>VLOOKUP($B88,'Diesel Worksheet'!$A$184:$AE$215,COLUMN(G$1),FALSE)*10</f>
        <v>0</v>
      </c>
      <c r="I88" s="42">
        <f>VLOOKUP($B88,'Diesel Worksheet'!$A$184:$AE$215,COLUMN(H$1),FALSE)*10</f>
        <v>0</v>
      </c>
      <c r="J88" s="42">
        <f>VLOOKUP($B88,'Diesel Worksheet'!$A$184:$AE$215,COLUMN(I$1),FALSE)*10</f>
        <v>0</v>
      </c>
      <c r="K88" s="42">
        <f>VLOOKUP($B88,'Diesel Worksheet'!$A$184:$AE$215,COLUMN(J$1),FALSE)*10</f>
        <v>0</v>
      </c>
      <c r="L88" s="42">
        <f>VLOOKUP($B88,'Diesel Worksheet'!$A$184:$AE$215,COLUMN(K$1),FALSE)*10</f>
        <v>0</v>
      </c>
      <c r="M88" s="42">
        <f>VLOOKUP($B88,'Diesel Worksheet'!$A$184:$AE$215,COLUMN(L$1),FALSE)*10</f>
        <v>0</v>
      </c>
      <c r="N88" s="42">
        <f>VLOOKUP($B88,'Diesel Worksheet'!$A$184:$AE$215,COLUMN(M$1),FALSE)*10</f>
        <v>0</v>
      </c>
      <c r="O88" s="42">
        <f>VLOOKUP($B88,'Diesel Worksheet'!$A$184:$AE$215,COLUMN(N$1),FALSE)*10</f>
        <v>0</v>
      </c>
      <c r="P88" s="42">
        <f>VLOOKUP($B88,'Diesel Worksheet'!$A$184:$AE$215,COLUMN(O$1),FALSE)*10</f>
        <v>0</v>
      </c>
      <c r="Q88" s="42">
        <f>VLOOKUP($B88,'Diesel Worksheet'!$A$184:$AE$215,COLUMN(P$1),FALSE)*10</f>
        <v>0</v>
      </c>
      <c r="R88" s="42">
        <f>VLOOKUP($B88,'Diesel Worksheet'!$A$184:$AE$215,COLUMN(Q$1),FALSE)*10</f>
        <v>0</v>
      </c>
      <c r="S88" s="42">
        <f>VLOOKUP($B88,'Diesel Worksheet'!$A$184:$AE$215,COLUMN(R$1),FALSE)*10</f>
        <v>0</v>
      </c>
      <c r="T88" s="42">
        <f>VLOOKUP($B88,'Diesel Worksheet'!$A$184:$AE$215,COLUMN(S$1),FALSE)*10</f>
        <v>0</v>
      </c>
      <c r="U88" s="42">
        <f>VLOOKUP($B88,'Diesel Worksheet'!$A$184:$AE$215,COLUMN(T$1),FALSE)*10</f>
        <v>0</v>
      </c>
      <c r="V88" s="42">
        <f>VLOOKUP($B88,'Diesel Worksheet'!$A$184:$AE$215,COLUMN(U$1),FALSE)*10</f>
        <v>0</v>
      </c>
      <c r="W88" s="42">
        <f>VLOOKUP($B88,'Diesel Worksheet'!$A$184:$AE$215,COLUMN(V$1),FALSE)*10</f>
        <v>0</v>
      </c>
      <c r="X88" s="42">
        <f>VLOOKUP($B88,'Diesel Worksheet'!$A$184:$AE$215,COLUMN(W$1),FALSE)*10</f>
        <v>0</v>
      </c>
      <c r="Y88" s="42">
        <f>VLOOKUP($B88,'Diesel Worksheet'!$A$184:$AE$215,COLUMN(X$1),FALSE)*10</f>
        <v>0</v>
      </c>
      <c r="Z88" s="42">
        <f>VLOOKUP($B88,'Diesel Worksheet'!$A$184:$AE$215,COLUMN(Y$1),FALSE)*10</f>
        <v>0</v>
      </c>
      <c r="AA88" s="42">
        <f>VLOOKUP($B88,'Diesel Worksheet'!$A$184:$AE$215,COLUMN(Z$1),FALSE)*10</f>
        <v>0</v>
      </c>
      <c r="AB88" s="42">
        <f>VLOOKUP($B88,'Diesel Worksheet'!$A$184:$AE$215,COLUMN(AA$1),FALSE)*10</f>
        <v>0</v>
      </c>
      <c r="AC88" s="42">
        <f>VLOOKUP($B88,'Diesel Worksheet'!$A$184:$AE$215,COLUMN(AB$1),FALSE)*10</f>
        <v>0</v>
      </c>
      <c r="AD88" s="42">
        <f>VLOOKUP($B88,'Diesel Worksheet'!$A$184:$AE$215,COLUMN(AC$1),FALSE)*10</f>
        <v>0</v>
      </c>
      <c r="AE88" s="42">
        <f>VLOOKUP($B88,'Diesel Worksheet'!$A$184:$AE$215,COLUMN(AD$1),FALSE)*10</f>
        <v>0</v>
      </c>
      <c r="AF88" s="43">
        <f>VLOOKUP($B88,'Diesel Worksheet'!$A$184:$AE$215,COLUMN(AE$1),FALSE)*10</f>
        <v>0</v>
      </c>
    </row>
    <row r="89" ht="13.85" spans="1:32">
      <c r="A89" s="27" t="s">
        <v>2321</v>
      </c>
      <c r="B89" s="44" t="s">
        <v>120</v>
      </c>
      <c r="C89" s="42">
        <f>VLOOKUP($B89,'Diesel Worksheet'!$A$184:$AE$215,COLUMN(B$1),FALSE)*10</f>
        <v>0</v>
      </c>
      <c r="D89" s="42">
        <f>VLOOKUP($B89,'Diesel Worksheet'!$A$184:$AE$215,COLUMN(C$1),FALSE)*10</f>
        <v>0</v>
      </c>
      <c r="E89" s="42">
        <f>VLOOKUP($B89,'Diesel Worksheet'!$A$184:$AE$215,COLUMN(D$1),FALSE)*10</f>
        <v>0</v>
      </c>
      <c r="F89" s="42">
        <f>VLOOKUP($B89,'Diesel Worksheet'!$A$184:$AE$215,COLUMN(E$1),FALSE)*10</f>
        <v>0</v>
      </c>
      <c r="G89" s="42">
        <f>VLOOKUP($B89,'Diesel Worksheet'!$A$184:$AE$215,COLUMN(F$1),FALSE)*10</f>
        <v>0</v>
      </c>
      <c r="H89" s="42">
        <f>VLOOKUP($B89,'Diesel Worksheet'!$A$184:$AE$215,COLUMN(G$1),FALSE)*10</f>
        <v>0</v>
      </c>
      <c r="I89" s="42">
        <f>VLOOKUP($B89,'Diesel Worksheet'!$A$184:$AE$215,COLUMN(H$1),FALSE)*10</f>
        <v>0</v>
      </c>
      <c r="J89" s="42">
        <f>VLOOKUP($B89,'Diesel Worksheet'!$A$184:$AE$215,COLUMN(I$1),FALSE)*10</f>
        <v>0</v>
      </c>
      <c r="K89" s="42">
        <f>VLOOKUP($B89,'Diesel Worksheet'!$A$184:$AE$215,COLUMN(J$1),FALSE)*10</f>
        <v>0</v>
      </c>
      <c r="L89" s="42">
        <f>VLOOKUP($B89,'Diesel Worksheet'!$A$184:$AE$215,COLUMN(K$1),FALSE)*10</f>
        <v>0</v>
      </c>
      <c r="M89" s="42">
        <f>VLOOKUP($B89,'Diesel Worksheet'!$A$184:$AE$215,COLUMN(L$1),FALSE)*10</f>
        <v>0</v>
      </c>
      <c r="N89" s="42">
        <f>VLOOKUP($B89,'Diesel Worksheet'!$A$184:$AE$215,COLUMN(M$1),FALSE)*10</f>
        <v>0</v>
      </c>
      <c r="O89" s="42">
        <f>VLOOKUP($B89,'Diesel Worksheet'!$A$184:$AE$215,COLUMN(N$1),FALSE)*10</f>
        <v>0</v>
      </c>
      <c r="P89" s="42">
        <f>VLOOKUP($B89,'Diesel Worksheet'!$A$184:$AE$215,COLUMN(O$1),FALSE)*10</f>
        <v>0</v>
      </c>
      <c r="Q89" s="42">
        <f>VLOOKUP($B89,'Diesel Worksheet'!$A$184:$AE$215,COLUMN(P$1),FALSE)*10</f>
        <v>0</v>
      </c>
      <c r="R89" s="42">
        <f>VLOOKUP($B89,'Diesel Worksheet'!$A$184:$AE$215,COLUMN(Q$1),FALSE)*10</f>
        <v>0</v>
      </c>
      <c r="S89" s="42">
        <f>VLOOKUP($B89,'Diesel Worksheet'!$A$184:$AE$215,COLUMN(R$1),FALSE)*10</f>
        <v>0</v>
      </c>
      <c r="T89" s="42">
        <f>VLOOKUP($B89,'Diesel Worksheet'!$A$184:$AE$215,COLUMN(S$1),FALSE)*10</f>
        <v>0</v>
      </c>
      <c r="U89" s="42">
        <f>VLOOKUP($B89,'Diesel Worksheet'!$A$184:$AE$215,COLUMN(T$1),FALSE)*10</f>
        <v>0</v>
      </c>
      <c r="V89" s="42">
        <f>VLOOKUP($B89,'Diesel Worksheet'!$A$184:$AE$215,COLUMN(U$1),FALSE)*10</f>
        <v>0</v>
      </c>
      <c r="W89" s="42">
        <f>VLOOKUP($B89,'Diesel Worksheet'!$A$184:$AE$215,COLUMN(V$1),FALSE)*10</f>
        <v>0</v>
      </c>
      <c r="X89" s="42">
        <f>VLOOKUP($B89,'Diesel Worksheet'!$A$184:$AE$215,COLUMN(W$1),FALSE)*10</f>
        <v>0</v>
      </c>
      <c r="Y89" s="42">
        <f>VLOOKUP($B89,'Diesel Worksheet'!$A$184:$AE$215,COLUMN(X$1),FALSE)*10</f>
        <v>0</v>
      </c>
      <c r="Z89" s="42">
        <f>VLOOKUP($B89,'Diesel Worksheet'!$A$184:$AE$215,COLUMN(Y$1),FALSE)*10</f>
        <v>0</v>
      </c>
      <c r="AA89" s="42">
        <f>VLOOKUP($B89,'Diesel Worksheet'!$A$184:$AE$215,COLUMN(Z$1),FALSE)*10</f>
        <v>0</v>
      </c>
      <c r="AB89" s="42">
        <f>VLOOKUP($B89,'Diesel Worksheet'!$A$184:$AE$215,COLUMN(AA$1),FALSE)*10</f>
        <v>0</v>
      </c>
      <c r="AC89" s="42">
        <f>VLOOKUP($B89,'Diesel Worksheet'!$A$184:$AE$215,COLUMN(AB$1),FALSE)*10</f>
        <v>0</v>
      </c>
      <c r="AD89" s="42">
        <f>VLOOKUP($B89,'Diesel Worksheet'!$A$184:$AE$215,COLUMN(AC$1),FALSE)*10</f>
        <v>0</v>
      </c>
      <c r="AE89" s="42">
        <f>VLOOKUP($B89,'Diesel Worksheet'!$A$184:$AE$215,COLUMN(AD$1),FALSE)*10</f>
        <v>0</v>
      </c>
      <c r="AF89" s="43">
        <f>VLOOKUP($B89,'Diesel Worksheet'!$A$184:$AE$215,COLUMN(AE$1),FALSE)*10</f>
        <v>0</v>
      </c>
    </row>
    <row r="90" ht="13.85" spans="1:32">
      <c r="A90" s="27" t="s">
        <v>2321</v>
      </c>
      <c r="B90" s="44" t="s">
        <v>122</v>
      </c>
      <c r="C90" s="42">
        <f>VLOOKUP($B90,'Diesel Worksheet'!$A$184:$AE$215,COLUMN(B$1),FALSE)*10</f>
        <v>0</v>
      </c>
      <c r="D90" s="42">
        <f>VLOOKUP($B90,'Diesel Worksheet'!$A$184:$AE$215,COLUMN(C$1),FALSE)*10</f>
        <v>0</v>
      </c>
      <c r="E90" s="42">
        <f>VLOOKUP($B90,'Diesel Worksheet'!$A$184:$AE$215,COLUMN(D$1),FALSE)*10</f>
        <v>0</v>
      </c>
      <c r="F90" s="42">
        <f>VLOOKUP($B90,'Diesel Worksheet'!$A$184:$AE$215,COLUMN(E$1),FALSE)*10</f>
        <v>0</v>
      </c>
      <c r="G90" s="42">
        <f>VLOOKUP($B90,'Diesel Worksheet'!$A$184:$AE$215,COLUMN(F$1),FALSE)*10</f>
        <v>0</v>
      </c>
      <c r="H90" s="42">
        <f>VLOOKUP($B90,'Diesel Worksheet'!$A$184:$AE$215,COLUMN(G$1),FALSE)*10</f>
        <v>0</v>
      </c>
      <c r="I90" s="42">
        <f>VLOOKUP($B90,'Diesel Worksheet'!$A$184:$AE$215,COLUMN(H$1),FALSE)*10</f>
        <v>0</v>
      </c>
      <c r="J90" s="42">
        <f>VLOOKUP($B90,'Diesel Worksheet'!$A$184:$AE$215,COLUMN(I$1),FALSE)*10</f>
        <v>0</v>
      </c>
      <c r="K90" s="42">
        <f>VLOOKUP($B90,'Diesel Worksheet'!$A$184:$AE$215,COLUMN(J$1),FALSE)*10</f>
        <v>0</v>
      </c>
      <c r="L90" s="42">
        <f>VLOOKUP($B90,'Diesel Worksheet'!$A$184:$AE$215,COLUMN(K$1),FALSE)*10</f>
        <v>0</v>
      </c>
      <c r="M90" s="42">
        <f>VLOOKUP($B90,'Diesel Worksheet'!$A$184:$AE$215,COLUMN(L$1),FALSE)*10</f>
        <v>0</v>
      </c>
      <c r="N90" s="42">
        <f>VLOOKUP($B90,'Diesel Worksheet'!$A$184:$AE$215,COLUMN(M$1),FALSE)*10</f>
        <v>0</v>
      </c>
      <c r="O90" s="42">
        <f>VLOOKUP($B90,'Diesel Worksheet'!$A$184:$AE$215,COLUMN(N$1),FALSE)*10</f>
        <v>0</v>
      </c>
      <c r="P90" s="42">
        <f>VLOOKUP($B90,'Diesel Worksheet'!$A$184:$AE$215,COLUMN(O$1),FALSE)*10</f>
        <v>0</v>
      </c>
      <c r="Q90" s="42">
        <f>VLOOKUP($B90,'Diesel Worksheet'!$A$184:$AE$215,COLUMN(P$1),FALSE)*10</f>
        <v>0</v>
      </c>
      <c r="R90" s="42">
        <f>VLOOKUP($B90,'Diesel Worksheet'!$A$184:$AE$215,COLUMN(Q$1),FALSE)*10</f>
        <v>0</v>
      </c>
      <c r="S90" s="42">
        <f>VLOOKUP($B90,'Diesel Worksheet'!$A$184:$AE$215,COLUMN(R$1),FALSE)*10</f>
        <v>0</v>
      </c>
      <c r="T90" s="42">
        <f>VLOOKUP($B90,'Diesel Worksheet'!$A$184:$AE$215,COLUMN(S$1),FALSE)*10</f>
        <v>0</v>
      </c>
      <c r="U90" s="42">
        <f>VLOOKUP($B90,'Diesel Worksheet'!$A$184:$AE$215,COLUMN(T$1),FALSE)*10</f>
        <v>0</v>
      </c>
      <c r="V90" s="42">
        <f>VLOOKUP($B90,'Diesel Worksheet'!$A$184:$AE$215,COLUMN(U$1),FALSE)*10</f>
        <v>0</v>
      </c>
      <c r="W90" s="42">
        <f>VLOOKUP($B90,'Diesel Worksheet'!$A$184:$AE$215,COLUMN(V$1),FALSE)*10</f>
        <v>0</v>
      </c>
      <c r="X90" s="42">
        <f>VLOOKUP($B90,'Diesel Worksheet'!$A$184:$AE$215,COLUMN(W$1),FALSE)*10</f>
        <v>0</v>
      </c>
      <c r="Y90" s="42">
        <f>VLOOKUP($B90,'Diesel Worksheet'!$A$184:$AE$215,COLUMN(X$1),FALSE)*10</f>
        <v>0</v>
      </c>
      <c r="Z90" s="42">
        <f>VLOOKUP($B90,'Diesel Worksheet'!$A$184:$AE$215,COLUMN(Y$1),FALSE)*10</f>
        <v>0</v>
      </c>
      <c r="AA90" s="42">
        <f>VLOOKUP($B90,'Diesel Worksheet'!$A$184:$AE$215,COLUMN(Z$1),FALSE)*10</f>
        <v>0</v>
      </c>
      <c r="AB90" s="42">
        <f>VLOOKUP($B90,'Diesel Worksheet'!$A$184:$AE$215,COLUMN(AA$1),FALSE)*10</f>
        <v>0</v>
      </c>
      <c r="AC90" s="42">
        <f>VLOOKUP($B90,'Diesel Worksheet'!$A$184:$AE$215,COLUMN(AB$1),FALSE)*10</f>
        <v>0</v>
      </c>
      <c r="AD90" s="42">
        <f>VLOOKUP($B90,'Diesel Worksheet'!$A$184:$AE$215,COLUMN(AC$1),FALSE)*10</f>
        <v>0</v>
      </c>
      <c r="AE90" s="42">
        <f>VLOOKUP($B90,'Diesel Worksheet'!$A$184:$AE$215,COLUMN(AD$1),FALSE)*10</f>
        <v>0</v>
      </c>
      <c r="AF90" s="43">
        <f>VLOOKUP($B90,'Diesel Worksheet'!$A$184:$AE$215,COLUMN(AE$1),FALSE)*10</f>
        <v>0</v>
      </c>
    </row>
    <row r="91" ht="13.85" spans="1:32">
      <c r="A91" s="27" t="s">
        <v>2321</v>
      </c>
      <c r="B91" s="44" t="s">
        <v>124</v>
      </c>
      <c r="C91" s="42">
        <f>VLOOKUP($B91,'Diesel Worksheet'!$A$184:$AE$215,COLUMN(B$1),FALSE)*10</f>
        <v>0</v>
      </c>
      <c r="D91" s="42">
        <f>VLOOKUP($B91,'Diesel Worksheet'!$A$184:$AE$215,COLUMN(C$1),FALSE)*10</f>
        <v>0</v>
      </c>
      <c r="E91" s="42">
        <f>VLOOKUP($B91,'Diesel Worksheet'!$A$184:$AE$215,COLUMN(D$1),FALSE)*10</f>
        <v>0</v>
      </c>
      <c r="F91" s="42">
        <f>VLOOKUP($B91,'Diesel Worksheet'!$A$184:$AE$215,COLUMN(E$1),FALSE)*10</f>
        <v>0</v>
      </c>
      <c r="G91" s="42">
        <f>VLOOKUP($B91,'Diesel Worksheet'!$A$184:$AE$215,COLUMN(F$1),FALSE)*10</f>
        <v>0</v>
      </c>
      <c r="H91" s="42">
        <f>VLOOKUP($B91,'Diesel Worksheet'!$A$184:$AE$215,COLUMN(G$1),FALSE)*10</f>
        <v>0</v>
      </c>
      <c r="I91" s="42">
        <f>VLOOKUP($B91,'Diesel Worksheet'!$A$184:$AE$215,COLUMN(H$1),FALSE)*10</f>
        <v>0</v>
      </c>
      <c r="J91" s="42">
        <f>VLOOKUP($B91,'Diesel Worksheet'!$A$184:$AE$215,COLUMN(I$1),FALSE)*10</f>
        <v>0</v>
      </c>
      <c r="K91" s="42">
        <f>VLOOKUP($B91,'Diesel Worksheet'!$A$184:$AE$215,COLUMN(J$1),FALSE)*10</f>
        <v>0</v>
      </c>
      <c r="L91" s="42">
        <f>VLOOKUP($B91,'Diesel Worksheet'!$A$184:$AE$215,COLUMN(K$1),FALSE)*10</f>
        <v>0</v>
      </c>
      <c r="M91" s="42">
        <f>VLOOKUP($B91,'Diesel Worksheet'!$A$184:$AE$215,COLUMN(L$1),FALSE)*10</f>
        <v>0</v>
      </c>
      <c r="N91" s="42">
        <f>VLOOKUP($B91,'Diesel Worksheet'!$A$184:$AE$215,COLUMN(M$1),FALSE)*10</f>
        <v>0</v>
      </c>
      <c r="O91" s="42">
        <f>VLOOKUP($B91,'Diesel Worksheet'!$A$184:$AE$215,COLUMN(N$1),FALSE)*10</f>
        <v>0</v>
      </c>
      <c r="P91" s="42">
        <f>VLOOKUP($B91,'Diesel Worksheet'!$A$184:$AE$215,COLUMN(O$1),FALSE)*10</f>
        <v>0</v>
      </c>
      <c r="Q91" s="42">
        <f>VLOOKUP($B91,'Diesel Worksheet'!$A$184:$AE$215,COLUMN(P$1),FALSE)*10</f>
        <v>0</v>
      </c>
      <c r="R91" s="42">
        <f>VLOOKUP($B91,'Diesel Worksheet'!$A$184:$AE$215,COLUMN(Q$1),FALSE)*10</f>
        <v>0</v>
      </c>
      <c r="S91" s="42">
        <f>VLOOKUP($B91,'Diesel Worksheet'!$A$184:$AE$215,COLUMN(R$1),FALSE)*10</f>
        <v>0</v>
      </c>
      <c r="T91" s="42">
        <f>VLOOKUP($B91,'Diesel Worksheet'!$A$184:$AE$215,COLUMN(S$1),FALSE)*10</f>
        <v>0</v>
      </c>
      <c r="U91" s="42">
        <f>VLOOKUP($B91,'Diesel Worksheet'!$A$184:$AE$215,COLUMN(T$1),FALSE)*10</f>
        <v>0</v>
      </c>
      <c r="V91" s="42">
        <f>VLOOKUP($B91,'Diesel Worksheet'!$A$184:$AE$215,COLUMN(U$1),FALSE)*10</f>
        <v>0</v>
      </c>
      <c r="W91" s="42">
        <f>VLOOKUP($B91,'Diesel Worksheet'!$A$184:$AE$215,COLUMN(V$1),FALSE)*10</f>
        <v>0</v>
      </c>
      <c r="X91" s="42">
        <f>VLOOKUP($B91,'Diesel Worksheet'!$A$184:$AE$215,COLUMN(W$1),FALSE)*10</f>
        <v>0</v>
      </c>
      <c r="Y91" s="42">
        <f>VLOOKUP($B91,'Diesel Worksheet'!$A$184:$AE$215,COLUMN(X$1),FALSE)*10</f>
        <v>0</v>
      </c>
      <c r="Z91" s="42">
        <f>VLOOKUP($B91,'Diesel Worksheet'!$A$184:$AE$215,COLUMN(Y$1),FALSE)*10</f>
        <v>0</v>
      </c>
      <c r="AA91" s="42">
        <f>VLOOKUP($B91,'Diesel Worksheet'!$A$184:$AE$215,COLUMN(Z$1),FALSE)*10</f>
        <v>0</v>
      </c>
      <c r="AB91" s="42">
        <f>VLOOKUP($B91,'Diesel Worksheet'!$A$184:$AE$215,COLUMN(AA$1),FALSE)*10</f>
        <v>0</v>
      </c>
      <c r="AC91" s="42">
        <f>VLOOKUP($B91,'Diesel Worksheet'!$A$184:$AE$215,COLUMN(AB$1),FALSE)*10</f>
        <v>0</v>
      </c>
      <c r="AD91" s="42">
        <f>VLOOKUP($B91,'Diesel Worksheet'!$A$184:$AE$215,COLUMN(AC$1),FALSE)*10</f>
        <v>0</v>
      </c>
      <c r="AE91" s="42">
        <f>VLOOKUP($B91,'Diesel Worksheet'!$A$184:$AE$215,COLUMN(AD$1),FALSE)*10</f>
        <v>0</v>
      </c>
      <c r="AF91" s="43">
        <f>VLOOKUP($B91,'Diesel Worksheet'!$A$184:$AE$215,COLUMN(AE$1),FALSE)*10</f>
        <v>0</v>
      </c>
    </row>
    <row r="92" ht="13.85" spans="1:32">
      <c r="A92" s="27" t="s">
        <v>2321</v>
      </c>
      <c r="B92" s="44" t="s">
        <v>126</v>
      </c>
      <c r="C92" s="42">
        <f>VLOOKUP($B92,'Diesel Worksheet'!$A$184:$AE$215,COLUMN(B$1),FALSE)*10</f>
        <v>0</v>
      </c>
      <c r="D92" s="42">
        <f>VLOOKUP($B92,'Diesel Worksheet'!$A$184:$AE$215,COLUMN(C$1),FALSE)*10</f>
        <v>0</v>
      </c>
      <c r="E92" s="42">
        <f>VLOOKUP($B92,'Diesel Worksheet'!$A$184:$AE$215,COLUMN(D$1),FALSE)*10</f>
        <v>0</v>
      </c>
      <c r="F92" s="42">
        <f>VLOOKUP($B92,'Diesel Worksheet'!$A$184:$AE$215,COLUMN(E$1),FALSE)*10</f>
        <v>0</v>
      </c>
      <c r="G92" s="42">
        <f>VLOOKUP($B92,'Diesel Worksheet'!$A$184:$AE$215,COLUMN(F$1),FALSE)*10</f>
        <v>0</v>
      </c>
      <c r="H92" s="42">
        <f>VLOOKUP($B92,'Diesel Worksheet'!$A$184:$AE$215,COLUMN(G$1),FALSE)*10</f>
        <v>0</v>
      </c>
      <c r="I92" s="42">
        <f>VLOOKUP($B92,'Diesel Worksheet'!$A$184:$AE$215,COLUMN(H$1),FALSE)*10</f>
        <v>0</v>
      </c>
      <c r="J92" s="42">
        <f>VLOOKUP($B92,'Diesel Worksheet'!$A$184:$AE$215,COLUMN(I$1),FALSE)*10</f>
        <v>0</v>
      </c>
      <c r="K92" s="42">
        <f>VLOOKUP($B92,'Diesel Worksheet'!$A$184:$AE$215,COLUMN(J$1),FALSE)*10</f>
        <v>0</v>
      </c>
      <c r="L92" s="42">
        <f>VLOOKUP($B92,'Diesel Worksheet'!$A$184:$AE$215,COLUMN(K$1),FALSE)*10</f>
        <v>0</v>
      </c>
      <c r="M92" s="42">
        <f>VLOOKUP($B92,'Diesel Worksheet'!$A$184:$AE$215,COLUMN(L$1),FALSE)*10</f>
        <v>0</v>
      </c>
      <c r="N92" s="42">
        <f>VLOOKUP($B92,'Diesel Worksheet'!$A$184:$AE$215,COLUMN(M$1),FALSE)*10</f>
        <v>0</v>
      </c>
      <c r="O92" s="42">
        <f>VLOOKUP($B92,'Diesel Worksheet'!$A$184:$AE$215,COLUMN(N$1),FALSE)*10</f>
        <v>0</v>
      </c>
      <c r="P92" s="42">
        <f>VLOOKUP($B92,'Diesel Worksheet'!$A$184:$AE$215,COLUMN(O$1),FALSE)*10</f>
        <v>0</v>
      </c>
      <c r="Q92" s="42">
        <f>VLOOKUP($B92,'Diesel Worksheet'!$A$184:$AE$215,COLUMN(P$1),FALSE)*10</f>
        <v>0</v>
      </c>
      <c r="R92" s="42">
        <f>VLOOKUP($B92,'Diesel Worksheet'!$A$184:$AE$215,COLUMN(Q$1),FALSE)*10</f>
        <v>0</v>
      </c>
      <c r="S92" s="42">
        <f>VLOOKUP($B92,'Diesel Worksheet'!$A$184:$AE$215,COLUMN(R$1),FALSE)*10</f>
        <v>0</v>
      </c>
      <c r="T92" s="42">
        <f>VLOOKUP($B92,'Diesel Worksheet'!$A$184:$AE$215,COLUMN(S$1),FALSE)*10</f>
        <v>0</v>
      </c>
      <c r="U92" s="42">
        <f>VLOOKUP($B92,'Diesel Worksheet'!$A$184:$AE$215,COLUMN(T$1),FALSE)*10</f>
        <v>0</v>
      </c>
      <c r="V92" s="42">
        <f>VLOOKUP($B92,'Diesel Worksheet'!$A$184:$AE$215,COLUMN(U$1),FALSE)*10</f>
        <v>0</v>
      </c>
      <c r="W92" s="42">
        <f>VLOOKUP($B92,'Diesel Worksheet'!$A$184:$AE$215,COLUMN(V$1),FALSE)*10</f>
        <v>0</v>
      </c>
      <c r="X92" s="42">
        <f>VLOOKUP($B92,'Diesel Worksheet'!$A$184:$AE$215,COLUMN(W$1),FALSE)*10</f>
        <v>0</v>
      </c>
      <c r="Y92" s="42">
        <f>VLOOKUP($B92,'Diesel Worksheet'!$A$184:$AE$215,COLUMN(X$1),FALSE)*10</f>
        <v>0</v>
      </c>
      <c r="Z92" s="42">
        <f>VLOOKUP($B92,'Diesel Worksheet'!$A$184:$AE$215,COLUMN(Y$1),FALSE)*10</f>
        <v>0</v>
      </c>
      <c r="AA92" s="42">
        <f>VLOOKUP($B92,'Diesel Worksheet'!$A$184:$AE$215,COLUMN(Z$1),FALSE)*10</f>
        <v>0</v>
      </c>
      <c r="AB92" s="42">
        <f>VLOOKUP($B92,'Diesel Worksheet'!$A$184:$AE$215,COLUMN(AA$1),FALSE)*10</f>
        <v>0</v>
      </c>
      <c r="AC92" s="42">
        <f>VLOOKUP($B92,'Diesel Worksheet'!$A$184:$AE$215,COLUMN(AB$1),FALSE)*10</f>
        <v>0</v>
      </c>
      <c r="AD92" s="42">
        <f>VLOOKUP($B92,'Diesel Worksheet'!$A$184:$AE$215,COLUMN(AC$1),FALSE)*10</f>
        <v>0</v>
      </c>
      <c r="AE92" s="42">
        <f>VLOOKUP($B92,'Diesel Worksheet'!$A$184:$AE$215,COLUMN(AD$1),FALSE)*10</f>
        <v>0</v>
      </c>
      <c r="AF92" s="43">
        <f>VLOOKUP($B92,'Diesel Worksheet'!$A$184:$AE$215,COLUMN(AE$1),FALSE)*10</f>
        <v>0</v>
      </c>
    </row>
    <row r="93" ht="13.85" spans="1:32">
      <c r="A93" s="27" t="s">
        <v>2321</v>
      </c>
      <c r="B93" s="44" t="s">
        <v>128</v>
      </c>
      <c r="C93" s="42">
        <f>VLOOKUP($B93,'Diesel Worksheet'!$A$184:$AE$215,COLUMN(B$1),FALSE)*10</f>
        <v>0</v>
      </c>
      <c r="D93" s="42">
        <f>VLOOKUP($B93,'Diesel Worksheet'!$A$184:$AE$215,COLUMN(C$1),FALSE)*10</f>
        <v>0</v>
      </c>
      <c r="E93" s="42">
        <f>VLOOKUP($B93,'Diesel Worksheet'!$A$184:$AE$215,COLUMN(D$1),FALSE)*10</f>
        <v>0</v>
      </c>
      <c r="F93" s="42">
        <f>VLOOKUP($B93,'Diesel Worksheet'!$A$184:$AE$215,COLUMN(E$1),FALSE)*10</f>
        <v>0</v>
      </c>
      <c r="G93" s="42">
        <f>VLOOKUP($B93,'Diesel Worksheet'!$A$184:$AE$215,COLUMN(F$1),FALSE)*10</f>
        <v>0</v>
      </c>
      <c r="H93" s="42">
        <f>VLOOKUP($B93,'Diesel Worksheet'!$A$184:$AE$215,COLUMN(G$1),FALSE)*10</f>
        <v>0</v>
      </c>
      <c r="I93" s="42">
        <f>VLOOKUP($B93,'Diesel Worksheet'!$A$184:$AE$215,COLUMN(H$1),FALSE)*10</f>
        <v>0</v>
      </c>
      <c r="J93" s="42">
        <f>VLOOKUP($B93,'Diesel Worksheet'!$A$184:$AE$215,COLUMN(I$1),FALSE)*10</f>
        <v>0</v>
      </c>
      <c r="K93" s="42">
        <f>VLOOKUP($B93,'Diesel Worksheet'!$A$184:$AE$215,COLUMN(J$1),FALSE)*10</f>
        <v>0</v>
      </c>
      <c r="L93" s="42">
        <f>VLOOKUP($B93,'Diesel Worksheet'!$A$184:$AE$215,COLUMN(K$1),FALSE)*10</f>
        <v>0</v>
      </c>
      <c r="M93" s="42">
        <f>VLOOKUP($B93,'Diesel Worksheet'!$A$184:$AE$215,COLUMN(L$1),FALSE)*10</f>
        <v>0</v>
      </c>
      <c r="N93" s="42">
        <f>VLOOKUP($B93,'Diesel Worksheet'!$A$184:$AE$215,COLUMN(M$1),FALSE)*10</f>
        <v>0</v>
      </c>
      <c r="O93" s="42">
        <f>VLOOKUP($B93,'Diesel Worksheet'!$A$184:$AE$215,COLUMN(N$1),FALSE)*10</f>
        <v>0</v>
      </c>
      <c r="P93" s="42">
        <f>VLOOKUP($B93,'Diesel Worksheet'!$A$184:$AE$215,COLUMN(O$1),FALSE)*10</f>
        <v>0</v>
      </c>
      <c r="Q93" s="42">
        <f>VLOOKUP($B93,'Diesel Worksheet'!$A$184:$AE$215,COLUMN(P$1),FALSE)*10</f>
        <v>0</v>
      </c>
      <c r="R93" s="42">
        <f>VLOOKUP($B93,'Diesel Worksheet'!$A$184:$AE$215,COLUMN(Q$1),FALSE)*10</f>
        <v>0</v>
      </c>
      <c r="S93" s="42">
        <f>VLOOKUP($B93,'Diesel Worksheet'!$A$184:$AE$215,COLUMN(R$1),FALSE)*10</f>
        <v>0</v>
      </c>
      <c r="T93" s="42">
        <f>VLOOKUP($B93,'Diesel Worksheet'!$A$184:$AE$215,COLUMN(S$1),FALSE)*10</f>
        <v>0</v>
      </c>
      <c r="U93" s="42">
        <f>VLOOKUP($B93,'Diesel Worksheet'!$A$184:$AE$215,COLUMN(T$1),FALSE)*10</f>
        <v>0</v>
      </c>
      <c r="V93" s="42">
        <f>VLOOKUP($B93,'Diesel Worksheet'!$A$184:$AE$215,COLUMN(U$1),FALSE)*10</f>
        <v>0</v>
      </c>
      <c r="W93" s="42">
        <f>VLOOKUP($B93,'Diesel Worksheet'!$A$184:$AE$215,COLUMN(V$1),FALSE)*10</f>
        <v>0</v>
      </c>
      <c r="X93" s="42">
        <f>VLOOKUP($B93,'Diesel Worksheet'!$A$184:$AE$215,COLUMN(W$1),FALSE)*10</f>
        <v>0</v>
      </c>
      <c r="Y93" s="42">
        <f>VLOOKUP($B93,'Diesel Worksheet'!$A$184:$AE$215,COLUMN(X$1),FALSE)*10</f>
        <v>0</v>
      </c>
      <c r="Z93" s="42">
        <f>VLOOKUP($B93,'Diesel Worksheet'!$A$184:$AE$215,COLUMN(Y$1),FALSE)*10</f>
        <v>0</v>
      </c>
      <c r="AA93" s="42">
        <f>VLOOKUP($B93,'Diesel Worksheet'!$A$184:$AE$215,COLUMN(Z$1),FALSE)*10</f>
        <v>0</v>
      </c>
      <c r="AB93" s="42">
        <f>VLOOKUP($B93,'Diesel Worksheet'!$A$184:$AE$215,COLUMN(AA$1),FALSE)*10</f>
        <v>0</v>
      </c>
      <c r="AC93" s="42">
        <f>VLOOKUP($B93,'Diesel Worksheet'!$A$184:$AE$215,COLUMN(AB$1),FALSE)*10</f>
        <v>0</v>
      </c>
      <c r="AD93" s="42">
        <f>VLOOKUP($B93,'Diesel Worksheet'!$A$184:$AE$215,COLUMN(AC$1),FALSE)*10</f>
        <v>0</v>
      </c>
      <c r="AE93" s="42">
        <f>VLOOKUP($B93,'Diesel Worksheet'!$A$184:$AE$215,COLUMN(AD$1),FALSE)*10</f>
        <v>0</v>
      </c>
      <c r="AF93" s="43">
        <f>VLOOKUP($B93,'Diesel Worksheet'!$A$184:$AE$215,COLUMN(AE$1),FALSE)*10</f>
        <v>0</v>
      </c>
    </row>
    <row r="94" ht="13.85" spans="1:32">
      <c r="A94" s="27" t="s">
        <v>2321</v>
      </c>
      <c r="B94" s="44" t="s">
        <v>130</v>
      </c>
      <c r="C94" s="42">
        <f>VLOOKUP($B94,'Diesel Worksheet'!$A$184:$AE$215,COLUMN(B$1),FALSE)*10</f>
        <v>0</v>
      </c>
      <c r="D94" s="42">
        <f>VLOOKUP($B94,'Diesel Worksheet'!$A$184:$AE$215,COLUMN(C$1),FALSE)*10</f>
        <v>0</v>
      </c>
      <c r="E94" s="42">
        <f>VLOOKUP($B94,'Diesel Worksheet'!$A$184:$AE$215,COLUMN(D$1),FALSE)*10</f>
        <v>0</v>
      </c>
      <c r="F94" s="42">
        <f>VLOOKUP($B94,'Diesel Worksheet'!$A$184:$AE$215,COLUMN(E$1),FALSE)*10</f>
        <v>0</v>
      </c>
      <c r="G94" s="42">
        <f>VLOOKUP($B94,'Diesel Worksheet'!$A$184:$AE$215,COLUMN(F$1),FALSE)*10</f>
        <v>0</v>
      </c>
      <c r="H94" s="42">
        <f>VLOOKUP($B94,'Diesel Worksheet'!$A$184:$AE$215,COLUMN(G$1),FALSE)*10</f>
        <v>0</v>
      </c>
      <c r="I94" s="42">
        <f>VLOOKUP($B94,'Diesel Worksheet'!$A$184:$AE$215,COLUMN(H$1),FALSE)*10</f>
        <v>0</v>
      </c>
      <c r="J94" s="42">
        <f>VLOOKUP($B94,'Diesel Worksheet'!$A$184:$AE$215,COLUMN(I$1),FALSE)*10</f>
        <v>0</v>
      </c>
      <c r="K94" s="42">
        <f>VLOOKUP($B94,'Diesel Worksheet'!$A$184:$AE$215,COLUMN(J$1),FALSE)*10</f>
        <v>0</v>
      </c>
      <c r="L94" s="42">
        <f>VLOOKUP($B94,'Diesel Worksheet'!$A$184:$AE$215,COLUMN(K$1),FALSE)*10</f>
        <v>0</v>
      </c>
      <c r="M94" s="42">
        <f>VLOOKUP($B94,'Diesel Worksheet'!$A$184:$AE$215,COLUMN(L$1),FALSE)*10</f>
        <v>0</v>
      </c>
      <c r="N94" s="42">
        <f>VLOOKUP($B94,'Diesel Worksheet'!$A$184:$AE$215,COLUMN(M$1),FALSE)*10</f>
        <v>0</v>
      </c>
      <c r="O94" s="42">
        <f>VLOOKUP($B94,'Diesel Worksheet'!$A$184:$AE$215,COLUMN(N$1),FALSE)*10</f>
        <v>0</v>
      </c>
      <c r="P94" s="42">
        <f>VLOOKUP($B94,'Diesel Worksheet'!$A$184:$AE$215,COLUMN(O$1),FALSE)*10</f>
        <v>0</v>
      </c>
      <c r="Q94" s="42">
        <f>VLOOKUP($B94,'Diesel Worksheet'!$A$184:$AE$215,COLUMN(P$1),FALSE)*10</f>
        <v>0</v>
      </c>
      <c r="R94" s="42">
        <f>VLOOKUP($B94,'Diesel Worksheet'!$A$184:$AE$215,COLUMN(Q$1),FALSE)*10</f>
        <v>0</v>
      </c>
      <c r="S94" s="42">
        <f>VLOOKUP($B94,'Diesel Worksheet'!$A$184:$AE$215,COLUMN(R$1),FALSE)*10</f>
        <v>0</v>
      </c>
      <c r="T94" s="42">
        <f>VLOOKUP($B94,'Diesel Worksheet'!$A$184:$AE$215,COLUMN(S$1),FALSE)*10</f>
        <v>0</v>
      </c>
      <c r="U94" s="42">
        <f>VLOOKUP($B94,'Diesel Worksheet'!$A$184:$AE$215,COLUMN(T$1),FALSE)*10</f>
        <v>0</v>
      </c>
      <c r="V94" s="42">
        <f>VLOOKUP($B94,'Diesel Worksheet'!$A$184:$AE$215,COLUMN(U$1),FALSE)*10</f>
        <v>0</v>
      </c>
      <c r="W94" s="42">
        <f>VLOOKUP($B94,'Diesel Worksheet'!$A$184:$AE$215,COLUMN(V$1),FALSE)*10</f>
        <v>0</v>
      </c>
      <c r="X94" s="42">
        <f>VLOOKUP($B94,'Diesel Worksheet'!$A$184:$AE$215,COLUMN(W$1),FALSE)*10</f>
        <v>0</v>
      </c>
      <c r="Y94" s="42">
        <f>VLOOKUP($B94,'Diesel Worksheet'!$A$184:$AE$215,COLUMN(X$1),FALSE)*10</f>
        <v>0</v>
      </c>
      <c r="Z94" s="42">
        <f>VLOOKUP($B94,'Diesel Worksheet'!$A$184:$AE$215,COLUMN(Y$1),FALSE)*10</f>
        <v>0</v>
      </c>
      <c r="AA94" s="42">
        <f>VLOOKUP($B94,'Diesel Worksheet'!$A$184:$AE$215,COLUMN(Z$1),FALSE)*10</f>
        <v>0</v>
      </c>
      <c r="AB94" s="42">
        <f>VLOOKUP($B94,'Diesel Worksheet'!$A$184:$AE$215,COLUMN(AA$1),FALSE)*10</f>
        <v>0</v>
      </c>
      <c r="AC94" s="42">
        <f>VLOOKUP($B94,'Diesel Worksheet'!$A$184:$AE$215,COLUMN(AB$1),FALSE)*10</f>
        <v>0</v>
      </c>
      <c r="AD94" s="42">
        <f>VLOOKUP($B94,'Diesel Worksheet'!$A$184:$AE$215,COLUMN(AC$1),FALSE)*10</f>
        <v>0</v>
      </c>
      <c r="AE94" s="42">
        <f>VLOOKUP($B94,'Diesel Worksheet'!$A$184:$AE$215,COLUMN(AD$1),FALSE)*10</f>
        <v>0</v>
      </c>
      <c r="AF94" s="43">
        <f>VLOOKUP($B94,'Diesel Worksheet'!$A$184:$AE$215,COLUMN(AE$1),FALSE)*10</f>
        <v>0</v>
      </c>
    </row>
    <row r="95" ht="13.85" spans="1:32">
      <c r="A95" s="27" t="s">
        <v>2321</v>
      </c>
      <c r="B95" s="44" t="s">
        <v>132</v>
      </c>
      <c r="C95" s="42">
        <f>VLOOKUP($B95,'Diesel Worksheet'!$A$184:$AE$215,COLUMN(B$1),FALSE)*10</f>
        <v>2.88333333333333</v>
      </c>
      <c r="D95" s="42">
        <f>VLOOKUP($B95,'Diesel Worksheet'!$A$184:$AE$215,COLUMN(C$1),FALSE)*10</f>
        <v>2.88333333333333</v>
      </c>
      <c r="E95" s="42">
        <f>VLOOKUP($B95,'Diesel Worksheet'!$A$184:$AE$215,COLUMN(D$1),FALSE)*10</f>
        <v>2.88333333333333</v>
      </c>
      <c r="F95" s="42">
        <f>VLOOKUP($B95,'Diesel Worksheet'!$A$184:$AE$215,COLUMN(E$1),FALSE)*10</f>
        <v>2.88333333333333</v>
      </c>
      <c r="G95" s="42">
        <f>VLOOKUP($B95,'Diesel Worksheet'!$A$184:$AE$215,COLUMN(F$1),FALSE)*10</f>
        <v>2.88333333333333</v>
      </c>
      <c r="H95" s="42">
        <f>VLOOKUP($B95,'Diesel Worksheet'!$A$184:$AE$215,COLUMN(G$1),FALSE)*10</f>
        <v>2.88333333333333</v>
      </c>
      <c r="I95" s="42">
        <f>VLOOKUP($B95,'Diesel Worksheet'!$A$184:$AE$215,COLUMN(H$1),FALSE)*10</f>
        <v>2.88333333333333</v>
      </c>
      <c r="J95" s="42">
        <f>VLOOKUP($B95,'Diesel Worksheet'!$A$184:$AE$215,COLUMN(I$1),FALSE)*10</f>
        <v>2.88333333333333</v>
      </c>
      <c r="K95" s="42">
        <f>VLOOKUP($B95,'Diesel Worksheet'!$A$184:$AE$215,COLUMN(J$1),FALSE)*10</f>
        <v>2.88333333333333</v>
      </c>
      <c r="L95" s="42">
        <f>VLOOKUP($B95,'Diesel Worksheet'!$A$184:$AE$215,COLUMN(K$1),FALSE)*10</f>
        <v>2.88333333333333</v>
      </c>
      <c r="M95" s="42">
        <f>VLOOKUP($B95,'Diesel Worksheet'!$A$184:$AE$215,COLUMN(L$1),FALSE)*10</f>
        <v>2.88333333333333</v>
      </c>
      <c r="N95" s="42">
        <f>VLOOKUP($B95,'Diesel Worksheet'!$A$184:$AE$215,COLUMN(M$1),FALSE)*10</f>
        <v>2.88333333333333</v>
      </c>
      <c r="O95" s="42">
        <f>VLOOKUP($B95,'Diesel Worksheet'!$A$184:$AE$215,COLUMN(N$1),FALSE)*10</f>
        <v>28.54</v>
      </c>
      <c r="P95" s="42">
        <f>VLOOKUP($B95,'Diesel Worksheet'!$A$184:$AE$215,COLUMN(O$1),FALSE)*10</f>
        <v>28.54</v>
      </c>
      <c r="Q95" s="42">
        <f>VLOOKUP($B95,'Diesel Worksheet'!$A$184:$AE$215,COLUMN(P$1),FALSE)*10</f>
        <v>28.54</v>
      </c>
      <c r="R95" s="42">
        <f>VLOOKUP($B95,'Diesel Worksheet'!$A$184:$AE$215,COLUMN(Q$1),FALSE)*10</f>
        <v>28.54</v>
      </c>
      <c r="S95" s="42">
        <f>VLOOKUP($B95,'Diesel Worksheet'!$A$184:$AE$215,COLUMN(R$1),FALSE)*10</f>
        <v>28.54</v>
      </c>
      <c r="T95" s="42">
        <f>VLOOKUP($B95,'Diesel Worksheet'!$A$184:$AE$215,COLUMN(S$1),FALSE)*10</f>
        <v>28.54</v>
      </c>
      <c r="U95" s="42">
        <f>VLOOKUP($B95,'Diesel Worksheet'!$A$184:$AE$215,COLUMN(T$1),FALSE)*10</f>
        <v>98.54</v>
      </c>
      <c r="V95" s="42">
        <f>VLOOKUP($B95,'Diesel Worksheet'!$A$184:$AE$215,COLUMN(U$1),FALSE)*10</f>
        <v>28.54</v>
      </c>
      <c r="W95" s="42">
        <f>VLOOKUP($B95,'Diesel Worksheet'!$A$184:$AE$215,COLUMN(V$1),FALSE)*10</f>
        <v>28.54</v>
      </c>
      <c r="X95" s="42">
        <f>VLOOKUP($B95,'Diesel Worksheet'!$A$184:$AE$215,COLUMN(W$1),FALSE)*10</f>
        <v>28.5400000000001</v>
      </c>
      <c r="Y95" s="42">
        <f>VLOOKUP($B95,'Diesel Worksheet'!$A$184:$AE$215,COLUMN(X$1),FALSE)*10</f>
        <v>0</v>
      </c>
      <c r="Z95" s="42">
        <f>VLOOKUP($B95,'Diesel Worksheet'!$A$184:$AE$215,COLUMN(Y$1),FALSE)*10</f>
        <v>0</v>
      </c>
      <c r="AA95" s="42">
        <f>VLOOKUP($B95,'Diesel Worksheet'!$A$184:$AE$215,COLUMN(Z$1),FALSE)*10</f>
        <v>0</v>
      </c>
      <c r="AB95" s="42">
        <f>VLOOKUP($B95,'Diesel Worksheet'!$A$184:$AE$215,COLUMN(AA$1),FALSE)*10</f>
        <v>0</v>
      </c>
      <c r="AC95" s="42">
        <f>VLOOKUP($B95,'Diesel Worksheet'!$A$184:$AE$215,COLUMN(AB$1),FALSE)*10</f>
        <v>0</v>
      </c>
      <c r="AD95" s="42">
        <f>VLOOKUP($B95,'Diesel Worksheet'!$A$184:$AE$215,COLUMN(AC$1),FALSE)*10</f>
        <v>0</v>
      </c>
      <c r="AE95" s="42">
        <f>VLOOKUP($B95,'Diesel Worksheet'!$A$184:$AE$215,COLUMN(AD$1),FALSE)*10</f>
        <v>0</v>
      </c>
      <c r="AF95" s="43">
        <f>VLOOKUP($B95,'Diesel Worksheet'!$A$184:$AE$215,COLUMN(AE$1),FALSE)*10</f>
        <v>0</v>
      </c>
    </row>
    <row r="96" ht="13.85" spans="1:32">
      <c r="A96" s="27" t="s">
        <v>2321</v>
      </c>
      <c r="B96" s="44" t="s">
        <v>134</v>
      </c>
      <c r="C96" s="42">
        <f>VLOOKUP($B96,'Diesel Worksheet'!$A$184:$AE$215,COLUMN(B$1),FALSE)*10</f>
        <v>0</v>
      </c>
      <c r="D96" s="42">
        <f>VLOOKUP($B96,'Diesel Worksheet'!$A$184:$AE$215,COLUMN(C$1),FALSE)*10</f>
        <v>0</v>
      </c>
      <c r="E96" s="42">
        <f>VLOOKUP($B96,'Diesel Worksheet'!$A$184:$AE$215,COLUMN(D$1),FALSE)*10</f>
        <v>0</v>
      </c>
      <c r="F96" s="42">
        <f>VLOOKUP($B96,'Diesel Worksheet'!$A$184:$AE$215,COLUMN(E$1),FALSE)*10</f>
        <v>0</v>
      </c>
      <c r="G96" s="42">
        <f>VLOOKUP($B96,'Diesel Worksheet'!$A$184:$AE$215,COLUMN(F$1),FALSE)*10</f>
        <v>0</v>
      </c>
      <c r="H96" s="42">
        <f>VLOOKUP($B96,'Diesel Worksheet'!$A$184:$AE$215,COLUMN(G$1),FALSE)*10</f>
        <v>0</v>
      </c>
      <c r="I96" s="42">
        <f>VLOOKUP($B96,'Diesel Worksheet'!$A$184:$AE$215,COLUMN(H$1),FALSE)*10</f>
        <v>0</v>
      </c>
      <c r="J96" s="42">
        <f>VLOOKUP($B96,'Diesel Worksheet'!$A$184:$AE$215,COLUMN(I$1),FALSE)*10</f>
        <v>0</v>
      </c>
      <c r="K96" s="42">
        <f>VLOOKUP($B96,'Diesel Worksheet'!$A$184:$AE$215,COLUMN(J$1),FALSE)*10</f>
        <v>0</v>
      </c>
      <c r="L96" s="42">
        <f>VLOOKUP($B96,'Diesel Worksheet'!$A$184:$AE$215,COLUMN(K$1),FALSE)*10</f>
        <v>0</v>
      </c>
      <c r="M96" s="42">
        <f>VLOOKUP($B96,'Diesel Worksheet'!$A$184:$AE$215,COLUMN(L$1),FALSE)*10</f>
        <v>0</v>
      </c>
      <c r="N96" s="42">
        <f>VLOOKUP($B96,'Diesel Worksheet'!$A$184:$AE$215,COLUMN(M$1),FALSE)*10</f>
        <v>0</v>
      </c>
      <c r="O96" s="42">
        <f>VLOOKUP($B96,'Diesel Worksheet'!$A$184:$AE$215,COLUMN(N$1),FALSE)*10</f>
        <v>0</v>
      </c>
      <c r="P96" s="42">
        <f>VLOOKUP($B96,'Diesel Worksheet'!$A$184:$AE$215,COLUMN(O$1),FALSE)*10</f>
        <v>0</v>
      </c>
      <c r="Q96" s="42">
        <f>VLOOKUP($B96,'Diesel Worksheet'!$A$184:$AE$215,COLUMN(P$1),FALSE)*10</f>
        <v>0</v>
      </c>
      <c r="R96" s="42">
        <f>VLOOKUP($B96,'Diesel Worksheet'!$A$184:$AE$215,COLUMN(Q$1),FALSE)*10</f>
        <v>0</v>
      </c>
      <c r="S96" s="42">
        <f>VLOOKUP($B96,'Diesel Worksheet'!$A$184:$AE$215,COLUMN(R$1),FALSE)*10</f>
        <v>0</v>
      </c>
      <c r="T96" s="42">
        <f>VLOOKUP($B96,'Diesel Worksheet'!$A$184:$AE$215,COLUMN(S$1),FALSE)*10</f>
        <v>0</v>
      </c>
      <c r="U96" s="42">
        <f>VLOOKUP($B96,'Diesel Worksheet'!$A$184:$AE$215,COLUMN(T$1),FALSE)*10</f>
        <v>0</v>
      </c>
      <c r="V96" s="42">
        <f>VLOOKUP($B96,'Diesel Worksheet'!$A$184:$AE$215,COLUMN(U$1),FALSE)*10</f>
        <v>0</v>
      </c>
      <c r="W96" s="42">
        <f>VLOOKUP($B96,'Diesel Worksheet'!$A$184:$AE$215,COLUMN(V$1),FALSE)*10</f>
        <v>0</v>
      </c>
      <c r="X96" s="42">
        <f>VLOOKUP($B96,'Diesel Worksheet'!$A$184:$AE$215,COLUMN(W$1),FALSE)*10</f>
        <v>0</v>
      </c>
      <c r="Y96" s="42">
        <f>VLOOKUP($B96,'Diesel Worksheet'!$A$184:$AE$215,COLUMN(X$1),FALSE)*10</f>
        <v>0</v>
      </c>
      <c r="Z96" s="42">
        <f>VLOOKUP($B96,'Diesel Worksheet'!$A$184:$AE$215,COLUMN(Y$1),FALSE)*10</f>
        <v>0</v>
      </c>
      <c r="AA96" s="42">
        <f>VLOOKUP($B96,'Diesel Worksheet'!$A$184:$AE$215,COLUMN(Z$1),FALSE)*10</f>
        <v>0</v>
      </c>
      <c r="AB96" s="42">
        <f>VLOOKUP($B96,'Diesel Worksheet'!$A$184:$AE$215,COLUMN(AA$1),FALSE)*10</f>
        <v>0</v>
      </c>
      <c r="AC96" s="42">
        <f>VLOOKUP($B96,'Diesel Worksheet'!$A$184:$AE$215,COLUMN(AB$1),FALSE)*10</f>
        <v>0</v>
      </c>
      <c r="AD96" s="42">
        <f>VLOOKUP($B96,'Diesel Worksheet'!$A$184:$AE$215,COLUMN(AC$1),FALSE)*10</f>
        <v>0</v>
      </c>
      <c r="AE96" s="42">
        <f>VLOOKUP($B96,'Diesel Worksheet'!$A$184:$AE$215,COLUMN(AD$1),FALSE)*10</f>
        <v>0</v>
      </c>
      <c r="AF96" s="43">
        <f>VLOOKUP($B96,'Diesel Worksheet'!$A$184:$AE$215,COLUMN(AE$1),FALSE)*10</f>
        <v>0</v>
      </c>
    </row>
    <row r="97" ht="13.85" spans="1:32">
      <c r="A97" s="27" t="s">
        <v>2321</v>
      </c>
      <c r="B97" s="44" t="s">
        <v>136</v>
      </c>
      <c r="C97" s="42">
        <f>VLOOKUP($B97,'Diesel Worksheet'!$A$184:$AE$215,COLUMN(B$1),FALSE)*10</f>
        <v>0</v>
      </c>
      <c r="D97" s="42">
        <f>VLOOKUP($B97,'Diesel Worksheet'!$A$184:$AE$215,COLUMN(C$1),FALSE)*10</f>
        <v>0</v>
      </c>
      <c r="E97" s="42">
        <f>VLOOKUP($B97,'Diesel Worksheet'!$A$184:$AE$215,COLUMN(D$1),FALSE)*10</f>
        <v>0</v>
      </c>
      <c r="F97" s="42">
        <f>VLOOKUP($B97,'Diesel Worksheet'!$A$184:$AE$215,COLUMN(E$1),FALSE)*10</f>
        <v>0</v>
      </c>
      <c r="G97" s="42">
        <f>VLOOKUP($B97,'Diesel Worksheet'!$A$184:$AE$215,COLUMN(F$1),FALSE)*10</f>
        <v>0</v>
      </c>
      <c r="H97" s="42">
        <f>VLOOKUP($B97,'Diesel Worksheet'!$A$184:$AE$215,COLUMN(G$1),FALSE)*10</f>
        <v>0</v>
      </c>
      <c r="I97" s="42">
        <f>VLOOKUP($B97,'Diesel Worksheet'!$A$184:$AE$215,COLUMN(H$1),FALSE)*10</f>
        <v>0</v>
      </c>
      <c r="J97" s="42">
        <f>VLOOKUP($B97,'Diesel Worksheet'!$A$184:$AE$215,COLUMN(I$1),FALSE)*10</f>
        <v>0</v>
      </c>
      <c r="K97" s="42">
        <f>VLOOKUP($B97,'Diesel Worksheet'!$A$184:$AE$215,COLUMN(J$1),FALSE)*10</f>
        <v>0</v>
      </c>
      <c r="L97" s="42">
        <f>VLOOKUP($B97,'Diesel Worksheet'!$A$184:$AE$215,COLUMN(K$1),FALSE)*10</f>
        <v>0</v>
      </c>
      <c r="M97" s="42">
        <f>VLOOKUP($B97,'Diesel Worksheet'!$A$184:$AE$215,COLUMN(L$1),FALSE)*10</f>
        <v>0</v>
      </c>
      <c r="N97" s="42">
        <f>VLOOKUP($B97,'Diesel Worksheet'!$A$184:$AE$215,COLUMN(M$1),FALSE)*10</f>
        <v>0</v>
      </c>
      <c r="O97" s="42">
        <f>VLOOKUP($B97,'Diesel Worksheet'!$A$184:$AE$215,COLUMN(N$1),FALSE)*10</f>
        <v>0</v>
      </c>
      <c r="P97" s="42">
        <f>VLOOKUP($B97,'Diesel Worksheet'!$A$184:$AE$215,COLUMN(O$1),FALSE)*10</f>
        <v>0</v>
      </c>
      <c r="Q97" s="42">
        <f>VLOOKUP($B97,'Diesel Worksheet'!$A$184:$AE$215,COLUMN(P$1),FALSE)*10</f>
        <v>0</v>
      </c>
      <c r="R97" s="42">
        <f>VLOOKUP($B97,'Diesel Worksheet'!$A$184:$AE$215,COLUMN(Q$1),FALSE)*10</f>
        <v>0</v>
      </c>
      <c r="S97" s="42">
        <f>VLOOKUP($B97,'Diesel Worksheet'!$A$184:$AE$215,COLUMN(R$1),FALSE)*10</f>
        <v>0</v>
      </c>
      <c r="T97" s="42">
        <f>VLOOKUP($B97,'Diesel Worksheet'!$A$184:$AE$215,COLUMN(S$1),FALSE)*10</f>
        <v>0</v>
      </c>
      <c r="U97" s="42">
        <f>VLOOKUP($B97,'Diesel Worksheet'!$A$184:$AE$215,COLUMN(T$1),FALSE)*10</f>
        <v>0</v>
      </c>
      <c r="V97" s="42">
        <f>VLOOKUP($B97,'Diesel Worksheet'!$A$184:$AE$215,COLUMN(U$1),FALSE)*10</f>
        <v>0</v>
      </c>
      <c r="W97" s="42">
        <f>VLOOKUP($B97,'Diesel Worksheet'!$A$184:$AE$215,COLUMN(V$1),FALSE)*10</f>
        <v>0</v>
      </c>
      <c r="X97" s="42">
        <f>VLOOKUP($B97,'Diesel Worksheet'!$A$184:$AE$215,COLUMN(W$1),FALSE)*10</f>
        <v>0</v>
      </c>
      <c r="Y97" s="42">
        <f>VLOOKUP($B97,'Diesel Worksheet'!$A$184:$AE$215,COLUMN(X$1),FALSE)*10</f>
        <v>0</v>
      </c>
      <c r="Z97" s="42">
        <f>VLOOKUP($B97,'Diesel Worksheet'!$A$184:$AE$215,COLUMN(Y$1),FALSE)*10</f>
        <v>0</v>
      </c>
      <c r="AA97" s="42">
        <f>VLOOKUP($B97,'Diesel Worksheet'!$A$184:$AE$215,COLUMN(Z$1),FALSE)*10</f>
        <v>0</v>
      </c>
      <c r="AB97" s="42">
        <f>VLOOKUP($B97,'Diesel Worksheet'!$A$184:$AE$215,COLUMN(AA$1),FALSE)*10</f>
        <v>0</v>
      </c>
      <c r="AC97" s="42">
        <f>VLOOKUP($B97,'Diesel Worksheet'!$A$184:$AE$215,COLUMN(AB$1),FALSE)*10</f>
        <v>0</v>
      </c>
      <c r="AD97" s="42">
        <f>VLOOKUP($B97,'Diesel Worksheet'!$A$184:$AE$215,COLUMN(AC$1),FALSE)*10</f>
        <v>0</v>
      </c>
      <c r="AE97" s="42">
        <f>VLOOKUP($B97,'Diesel Worksheet'!$A$184:$AE$215,COLUMN(AD$1),FALSE)*10</f>
        <v>0</v>
      </c>
      <c r="AF97" s="43">
        <f>VLOOKUP($B97,'Diesel Worksheet'!$A$184:$AE$215,COLUMN(AE$1),FALSE)*10</f>
        <v>0</v>
      </c>
    </row>
    <row r="98" ht="13.85" spans="1:32">
      <c r="A98" s="27" t="s">
        <v>2321</v>
      </c>
      <c r="B98" s="44" t="s">
        <v>138</v>
      </c>
      <c r="C98" s="42">
        <f>VLOOKUP($B98,'Diesel Worksheet'!$A$184:$AE$215,COLUMN(B$1),FALSE)*10</f>
        <v>0</v>
      </c>
      <c r="D98" s="42">
        <f>VLOOKUP($B98,'Diesel Worksheet'!$A$184:$AE$215,COLUMN(C$1),FALSE)*10</f>
        <v>0</v>
      </c>
      <c r="E98" s="42">
        <f>VLOOKUP($B98,'Diesel Worksheet'!$A$184:$AE$215,COLUMN(D$1),FALSE)*10</f>
        <v>0</v>
      </c>
      <c r="F98" s="42">
        <f>VLOOKUP($B98,'Diesel Worksheet'!$A$184:$AE$215,COLUMN(E$1),FALSE)*10</f>
        <v>0</v>
      </c>
      <c r="G98" s="42">
        <f>VLOOKUP($B98,'Diesel Worksheet'!$A$184:$AE$215,COLUMN(F$1),FALSE)*10</f>
        <v>0</v>
      </c>
      <c r="H98" s="42">
        <f>VLOOKUP($B98,'Diesel Worksheet'!$A$184:$AE$215,COLUMN(G$1),FALSE)*10</f>
        <v>0</v>
      </c>
      <c r="I98" s="42">
        <f>VLOOKUP($B98,'Diesel Worksheet'!$A$184:$AE$215,COLUMN(H$1),FALSE)*10</f>
        <v>0</v>
      </c>
      <c r="J98" s="42">
        <f>VLOOKUP($B98,'Diesel Worksheet'!$A$184:$AE$215,COLUMN(I$1),FALSE)*10</f>
        <v>0</v>
      </c>
      <c r="K98" s="42">
        <f>VLOOKUP($B98,'Diesel Worksheet'!$A$184:$AE$215,COLUMN(J$1),FALSE)*10</f>
        <v>0</v>
      </c>
      <c r="L98" s="42">
        <f>VLOOKUP($B98,'Diesel Worksheet'!$A$184:$AE$215,COLUMN(K$1),FALSE)*10</f>
        <v>0</v>
      </c>
      <c r="M98" s="42">
        <f>VLOOKUP($B98,'Diesel Worksheet'!$A$184:$AE$215,COLUMN(L$1),FALSE)*10</f>
        <v>0</v>
      </c>
      <c r="N98" s="42">
        <f>VLOOKUP($B98,'Diesel Worksheet'!$A$184:$AE$215,COLUMN(M$1),FALSE)*10</f>
        <v>0</v>
      </c>
      <c r="O98" s="42">
        <f>VLOOKUP($B98,'Diesel Worksheet'!$A$184:$AE$215,COLUMN(N$1),FALSE)*10</f>
        <v>0</v>
      </c>
      <c r="P98" s="42">
        <f>VLOOKUP($B98,'Diesel Worksheet'!$A$184:$AE$215,COLUMN(O$1),FALSE)*10</f>
        <v>0</v>
      </c>
      <c r="Q98" s="42">
        <f>VLOOKUP($B98,'Diesel Worksheet'!$A$184:$AE$215,COLUMN(P$1),FALSE)*10</f>
        <v>0</v>
      </c>
      <c r="R98" s="42">
        <f>VLOOKUP($B98,'Diesel Worksheet'!$A$184:$AE$215,COLUMN(Q$1),FALSE)*10</f>
        <v>0</v>
      </c>
      <c r="S98" s="42">
        <f>VLOOKUP($B98,'Diesel Worksheet'!$A$184:$AE$215,COLUMN(R$1),FALSE)*10</f>
        <v>0</v>
      </c>
      <c r="T98" s="42">
        <f>VLOOKUP($B98,'Diesel Worksheet'!$A$184:$AE$215,COLUMN(S$1),FALSE)*10</f>
        <v>0</v>
      </c>
      <c r="U98" s="42">
        <f>VLOOKUP($B98,'Diesel Worksheet'!$A$184:$AE$215,COLUMN(T$1),FALSE)*10</f>
        <v>0</v>
      </c>
      <c r="V98" s="42">
        <f>VLOOKUP($B98,'Diesel Worksheet'!$A$184:$AE$215,COLUMN(U$1),FALSE)*10</f>
        <v>0</v>
      </c>
      <c r="W98" s="42">
        <f>VLOOKUP($B98,'Diesel Worksheet'!$A$184:$AE$215,COLUMN(V$1),FALSE)*10</f>
        <v>0</v>
      </c>
      <c r="X98" s="42">
        <f>VLOOKUP($B98,'Diesel Worksheet'!$A$184:$AE$215,COLUMN(W$1),FALSE)*10</f>
        <v>0</v>
      </c>
      <c r="Y98" s="42">
        <f>VLOOKUP($B98,'Diesel Worksheet'!$A$184:$AE$215,COLUMN(X$1),FALSE)*10</f>
        <v>0</v>
      </c>
      <c r="Z98" s="42">
        <f>VLOOKUP($B98,'Diesel Worksheet'!$A$184:$AE$215,COLUMN(Y$1),FALSE)*10</f>
        <v>0</v>
      </c>
      <c r="AA98" s="42">
        <f>VLOOKUP($B98,'Diesel Worksheet'!$A$184:$AE$215,COLUMN(Z$1),FALSE)*10</f>
        <v>0</v>
      </c>
      <c r="AB98" s="42">
        <f>VLOOKUP($B98,'Diesel Worksheet'!$A$184:$AE$215,COLUMN(AA$1),FALSE)*10</f>
        <v>0</v>
      </c>
      <c r="AC98" s="42">
        <f>VLOOKUP($B98,'Diesel Worksheet'!$A$184:$AE$215,COLUMN(AB$1),FALSE)*10</f>
        <v>0</v>
      </c>
      <c r="AD98" s="42">
        <f>VLOOKUP($B98,'Diesel Worksheet'!$A$184:$AE$215,COLUMN(AC$1),FALSE)*10</f>
        <v>0</v>
      </c>
      <c r="AE98" s="42">
        <f>VLOOKUP($B98,'Diesel Worksheet'!$A$184:$AE$215,COLUMN(AD$1),FALSE)*10</f>
        <v>0</v>
      </c>
      <c r="AF98" s="43">
        <f>VLOOKUP($B98,'Diesel Worksheet'!$A$184:$AE$215,COLUMN(AE$1),FALSE)*10</f>
        <v>0</v>
      </c>
    </row>
    <row r="99" ht="13.85" spans="1:32">
      <c r="A99" s="27" t="s">
        <v>2321</v>
      </c>
      <c r="B99" s="44" t="s">
        <v>140</v>
      </c>
      <c r="C99" s="42">
        <f>VLOOKUP($B99,'Diesel Worksheet'!$A$184:$AE$215,COLUMN(B$1),FALSE)*10</f>
        <v>0</v>
      </c>
      <c r="D99" s="42">
        <f>VLOOKUP($B99,'Diesel Worksheet'!$A$184:$AE$215,COLUMN(C$1),FALSE)*10</f>
        <v>0</v>
      </c>
      <c r="E99" s="42">
        <f>VLOOKUP($B99,'Diesel Worksheet'!$A$184:$AE$215,COLUMN(D$1),FALSE)*10</f>
        <v>0</v>
      </c>
      <c r="F99" s="42">
        <f>VLOOKUP($B99,'Diesel Worksheet'!$A$184:$AE$215,COLUMN(E$1),FALSE)*10</f>
        <v>0</v>
      </c>
      <c r="G99" s="42">
        <f>VLOOKUP($B99,'Diesel Worksheet'!$A$184:$AE$215,COLUMN(F$1),FALSE)*10</f>
        <v>0</v>
      </c>
      <c r="H99" s="42">
        <f>VLOOKUP($B99,'Diesel Worksheet'!$A$184:$AE$215,COLUMN(G$1),FALSE)*10</f>
        <v>0</v>
      </c>
      <c r="I99" s="42">
        <f>VLOOKUP($B99,'Diesel Worksheet'!$A$184:$AE$215,COLUMN(H$1),FALSE)*10</f>
        <v>0</v>
      </c>
      <c r="J99" s="42">
        <f>VLOOKUP($B99,'Diesel Worksheet'!$A$184:$AE$215,COLUMN(I$1),FALSE)*10</f>
        <v>0</v>
      </c>
      <c r="K99" s="42">
        <f>VLOOKUP($B99,'Diesel Worksheet'!$A$184:$AE$215,COLUMN(J$1),FALSE)*10</f>
        <v>0</v>
      </c>
      <c r="L99" s="42">
        <f>VLOOKUP($B99,'Diesel Worksheet'!$A$184:$AE$215,COLUMN(K$1),FALSE)*10</f>
        <v>0</v>
      </c>
      <c r="M99" s="42">
        <f>VLOOKUP($B99,'Diesel Worksheet'!$A$184:$AE$215,COLUMN(L$1),FALSE)*10</f>
        <v>0</v>
      </c>
      <c r="N99" s="42">
        <f>VLOOKUP($B99,'Diesel Worksheet'!$A$184:$AE$215,COLUMN(M$1),FALSE)*10</f>
        <v>0</v>
      </c>
      <c r="O99" s="42">
        <f>VLOOKUP($B99,'Diesel Worksheet'!$A$184:$AE$215,COLUMN(N$1),FALSE)*10</f>
        <v>0</v>
      </c>
      <c r="P99" s="42">
        <f>VLOOKUP($B99,'Diesel Worksheet'!$A$184:$AE$215,COLUMN(O$1),FALSE)*10</f>
        <v>0</v>
      </c>
      <c r="Q99" s="42">
        <f>VLOOKUP($B99,'Diesel Worksheet'!$A$184:$AE$215,COLUMN(P$1),FALSE)*10</f>
        <v>0</v>
      </c>
      <c r="R99" s="42">
        <f>VLOOKUP($B99,'Diesel Worksheet'!$A$184:$AE$215,COLUMN(Q$1),FALSE)*10</f>
        <v>0</v>
      </c>
      <c r="S99" s="42">
        <f>VLOOKUP($B99,'Diesel Worksheet'!$A$184:$AE$215,COLUMN(R$1),FALSE)*10</f>
        <v>0</v>
      </c>
      <c r="T99" s="42">
        <f>VLOOKUP($B99,'Diesel Worksheet'!$A$184:$AE$215,COLUMN(S$1),FALSE)*10</f>
        <v>0</v>
      </c>
      <c r="U99" s="42">
        <f>VLOOKUP($B99,'Diesel Worksheet'!$A$184:$AE$215,COLUMN(T$1),FALSE)*10</f>
        <v>0</v>
      </c>
      <c r="V99" s="42">
        <f>VLOOKUP($B99,'Diesel Worksheet'!$A$184:$AE$215,COLUMN(U$1),FALSE)*10</f>
        <v>0</v>
      </c>
      <c r="W99" s="42">
        <f>VLOOKUP($B99,'Diesel Worksheet'!$A$184:$AE$215,COLUMN(V$1),FALSE)*10</f>
        <v>0</v>
      </c>
      <c r="X99" s="42">
        <f>VLOOKUP($B99,'Diesel Worksheet'!$A$184:$AE$215,COLUMN(W$1),FALSE)*10</f>
        <v>0</v>
      </c>
      <c r="Y99" s="42">
        <f>VLOOKUP($B99,'Diesel Worksheet'!$A$184:$AE$215,COLUMN(X$1),FALSE)*10</f>
        <v>0</v>
      </c>
      <c r="Z99" s="42">
        <f>VLOOKUP($B99,'Diesel Worksheet'!$A$184:$AE$215,COLUMN(Y$1),FALSE)*10</f>
        <v>0</v>
      </c>
      <c r="AA99" s="42">
        <f>VLOOKUP($B99,'Diesel Worksheet'!$A$184:$AE$215,COLUMN(Z$1),FALSE)*10</f>
        <v>0</v>
      </c>
      <c r="AB99" s="42">
        <f>VLOOKUP($B99,'Diesel Worksheet'!$A$184:$AE$215,COLUMN(AA$1),FALSE)*10</f>
        <v>0</v>
      </c>
      <c r="AC99" s="42">
        <f>VLOOKUP($B99,'Diesel Worksheet'!$A$184:$AE$215,COLUMN(AB$1),FALSE)*10</f>
        <v>0</v>
      </c>
      <c r="AD99" s="42">
        <f>VLOOKUP($B99,'Diesel Worksheet'!$A$184:$AE$215,COLUMN(AC$1),FALSE)*10</f>
        <v>0</v>
      </c>
      <c r="AE99" s="42">
        <f>VLOOKUP($B99,'Diesel Worksheet'!$A$184:$AE$215,COLUMN(AD$1),FALSE)*10</f>
        <v>0</v>
      </c>
      <c r="AF99" s="43">
        <f>VLOOKUP($B99,'Diesel Worksheet'!$A$184:$AE$215,COLUMN(AE$1),FALSE)*10</f>
        <v>0</v>
      </c>
    </row>
    <row r="100" ht="13.85" spans="1:32">
      <c r="A100" s="27" t="s">
        <v>2321</v>
      </c>
      <c r="B100" s="44" t="s">
        <v>142</v>
      </c>
      <c r="C100" s="42">
        <f>VLOOKUP($B100,'Diesel Worksheet'!$A$184:$AE$215,COLUMN(B$1),FALSE)*10</f>
        <v>0</v>
      </c>
      <c r="D100" s="42">
        <f>VLOOKUP($B100,'Diesel Worksheet'!$A$184:$AE$215,COLUMN(C$1),FALSE)*10</f>
        <v>0</v>
      </c>
      <c r="E100" s="42">
        <f>VLOOKUP($B100,'Diesel Worksheet'!$A$184:$AE$215,COLUMN(D$1),FALSE)*10</f>
        <v>0</v>
      </c>
      <c r="F100" s="42">
        <f>VLOOKUP($B100,'Diesel Worksheet'!$A$184:$AE$215,COLUMN(E$1),FALSE)*10</f>
        <v>0</v>
      </c>
      <c r="G100" s="42">
        <f>VLOOKUP($B100,'Diesel Worksheet'!$A$184:$AE$215,COLUMN(F$1),FALSE)*10</f>
        <v>0</v>
      </c>
      <c r="H100" s="42">
        <f>VLOOKUP($B100,'Diesel Worksheet'!$A$184:$AE$215,COLUMN(G$1),FALSE)*10</f>
        <v>0</v>
      </c>
      <c r="I100" s="42">
        <f>VLOOKUP($B100,'Diesel Worksheet'!$A$184:$AE$215,COLUMN(H$1),FALSE)*10</f>
        <v>0</v>
      </c>
      <c r="J100" s="42">
        <f>VLOOKUP($B100,'Diesel Worksheet'!$A$184:$AE$215,COLUMN(I$1),FALSE)*10</f>
        <v>0</v>
      </c>
      <c r="K100" s="42">
        <f>VLOOKUP($B100,'Diesel Worksheet'!$A$184:$AE$215,COLUMN(J$1),FALSE)*10</f>
        <v>0</v>
      </c>
      <c r="L100" s="42">
        <f>VLOOKUP($B100,'Diesel Worksheet'!$A$184:$AE$215,COLUMN(K$1),FALSE)*10</f>
        <v>0</v>
      </c>
      <c r="M100" s="42">
        <f>VLOOKUP($B100,'Diesel Worksheet'!$A$184:$AE$215,COLUMN(L$1),FALSE)*10</f>
        <v>0</v>
      </c>
      <c r="N100" s="42">
        <f>VLOOKUP($B100,'Diesel Worksheet'!$A$184:$AE$215,COLUMN(M$1),FALSE)*10</f>
        <v>0</v>
      </c>
      <c r="O100" s="42">
        <f>VLOOKUP($B100,'Diesel Worksheet'!$A$184:$AE$215,COLUMN(N$1),FALSE)*10</f>
        <v>0</v>
      </c>
      <c r="P100" s="42">
        <f>VLOOKUP($B100,'Diesel Worksheet'!$A$184:$AE$215,COLUMN(O$1),FALSE)*10</f>
        <v>0</v>
      </c>
      <c r="Q100" s="42">
        <f>VLOOKUP($B100,'Diesel Worksheet'!$A$184:$AE$215,COLUMN(P$1),FALSE)*10</f>
        <v>0</v>
      </c>
      <c r="R100" s="42">
        <f>VLOOKUP($B100,'Diesel Worksheet'!$A$184:$AE$215,COLUMN(Q$1),FALSE)*10</f>
        <v>0</v>
      </c>
      <c r="S100" s="42">
        <f>VLOOKUP($B100,'Diesel Worksheet'!$A$184:$AE$215,COLUMN(R$1),FALSE)*10</f>
        <v>0</v>
      </c>
      <c r="T100" s="42">
        <f>VLOOKUP($B100,'Diesel Worksheet'!$A$184:$AE$215,COLUMN(S$1),FALSE)*10</f>
        <v>0</v>
      </c>
      <c r="U100" s="42">
        <f>VLOOKUP($B100,'Diesel Worksheet'!$A$184:$AE$215,COLUMN(T$1),FALSE)*10</f>
        <v>0</v>
      </c>
      <c r="V100" s="42">
        <f>VLOOKUP($B100,'Diesel Worksheet'!$A$184:$AE$215,COLUMN(U$1),FALSE)*10</f>
        <v>0</v>
      </c>
      <c r="W100" s="42">
        <f>VLOOKUP($B100,'Diesel Worksheet'!$A$184:$AE$215,COLUMN(V$1),FALSE)*10</f>
        <v>0</v>
      </c>
      <c r="X100" s="42">
        <f>VLOOKUP($B100,'Diesel Worksheet'!$A$184:$AE$215,COLUMN(W$1),FALSE)*10</f>
        <v>0</v>
      </c>
      <c r="Y100" s="42">
        <f>VLOOKUP($B100,'Diesel Worksheet'!$A$184:$AE$215,COLUMN(X$1),FALSE)*10</f>
        <v>0</v>
      </c>
      <c r="Z100" s="42">
        <f>VLOOKUP($B100,'Diesel Worksheet'!$A$184:$AE$215,COLUMN(Y$1),FALSE)*10</f>
        <v>0</v>
      </c>
      <c r="AA100" s="42">
        <f>VLOOKUP($B100,'Diesel Worksheet'!$A$184:$AE$215,COLUMN(Z$1),FALSE)*10</f>
        <v>0</v>
      </c>
      <c r="AB100" s="42">
        <f>VLOOKUP($B100,'Diesel Worksheet'!$A$184:$AE$215,COLUMN(AA$1),FALSE)*10</f>
        <v>0</v>
      </c>
      <c r="AC100" s="42">
        <f>VLOOKUP($B100,'Diesel Worksheet'!$A$184:$AE$215,COLUMN(AB$1),FALSE)*10</f>
        <v>0</v>
      </c>
      <c r="AD100" s="42">
        <f>VLOOKUP($B100,'Diesel Worksheet'!$A$184:$AE$215,COLUMN(AC$1),FALSE)*10</f>
        <v>0</v>
      </c>
      <c r="AE100" s="42">
        <f>VLOOKUP($B100,'Diesel Worksheet'!$A$184:$AE$215,COLUMN(AD$1),FALSE)*10</f>
        <v>0</v>
      </c>
      <c r="AF100" s="43">
        <f>VLOOKUP($B100,'Diesel Worksheet'!$A$184:$AE$215,COLUMN(AE$1),FALSE)*10</f>
        <v>0</v>
      </c>
    </row>
    <row r="101" s="38" customFormat="1" spans="1:32">
      <c r="A101" s="46"/>
      <c r="B101" s="46"/>
      <c r="C101" s="47"/>
      <c r="D101" s="47"/>
      <c r="E101" s="47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</row>
    <row r="102" ht="13.85" spans="1:32">
      <c r="A102" s="27" t="s">
        <v>167</v>
      </c>
      <c r="B102" s="41" t="s">
        <v>80</v>
      </c>
      <c r="C102" s="42">
        <f t="shared" ref="C102" si="86">SUM(C103:C133)</f>
        <v>0</v>
      </c>
      <c r="D102" s="42">
        <f t="shared" ref="D102" si="87">SUM(D103:D133)</f>
        <v>0</v>
      </c>
      <c r="E102" s="42">
        <f t="shared" ref="E102" si="88">SUM(E103:E133)</f>
        <v>0</v>
      </c>
      <c r="F102" s="42">
        <f t="shared" ref="F102:AF102" si="89">SUM(F103:F133)</f>
        <v>0</v>
      </c>
      <c r="G102" s="42">
        <f t="shared" si="89"/>
        <v>272.7</v>
      </c>
      <c r="H102" s="42">
        <f t="shared" si="89"/>
        <v>272.7</v>
      </c>
      <c r="I102" s="42">
        <f t="shared" si="89"/>
        <v>272.7</v>
      </c>
      <c r="J102" s="42">
        <f t="shared" si="89"/>
        <v>397.7</v>
      </c>
      <c r="K102" s="42">
        <f t="shared" si="89"/>
        <v>397.7</v>
      </c>
      <c r="L102" s="42">
        <f t="shared" si="89"/>
        <v>277.899999999999</v>
      </c>
      <c r="M102" s="42">
        <f t="shared" si="89"/>
        <v>333.8</v>
      </c>
      <c r="N102" s="42">
        <f t="shared" si="89"/>
        <v>357.8</v>
      </c>
      <c r="O102" s="42">
        <f t="shared" si="89"/>
        <v>387.8</v>
      </c>
      <c r="P102" s="42">
        <f t="shared" si="89"/>
        <v>403</v>
      </c>
      <c r="Q102" s="42">
        <f t="shared" si="89"/>
        <v>0</v>
      </c>
      <c r="R102" s="42">
        <f t="shared" si="89"/>
        <v>2965.7</v>
      </c>
      <c r="S102" s="42">
        <f t="shared" si="89"/>
        <v>4471.7</v>
      </c>
      <c r="T102" s="42">
        <f t="shared" si="89"/>
        <v>4076.29</v>
      </c>
      <c r="U102" s="42">
        <f t="shared" si="89"/>
        <v>1415.11</v>
      </c>
      <c r="V102" s="42">
        <f t="shared" si="89"/>
        <v>3699.6</v>
      </c>
      <c r="W102" s="42">
        <f t="shared" si="89"/>
        <v>2966.8</v>
      </c>
      <c r="X102" s="42">
        <f t="shared" si="89"/>
        <v>2386</v>
      </c>
      <c r="Y102" s="42">
        <f t="shared" si="89"/>
        <v>3210.6</v>
      </c>
      <c r="Z102" s="42">
        <f t="shared" si="89"/>
        <v>7116.4</v>
      </c>
      <c r="AA102" s="42">
        <f t="shared" si="89"/>
        <v>13042.1</v>
      </c>
      <c r="AB102" s="42">
        <f t="shared" si="89"/>
        <v>12269.7</v>
      </c>
      <c r="AC102" s="42">
        <f t="shared" si="89"/>
        <v>7482.8</v>
      </c>
      <c r="AD102" s="42">
        <f t="shared" si="89"/>
        <v>6868.36</v>
      </c>
      <c r="AE102" s="42">
        <f t="shared" si="89"/>
        <v>9990.86</v>
      </c>
      <c r="AF102" s="43">
        <f t="shared" si="89"/>
        <v>7020.66</v>
      </c>
    </row>
    <row r="103" ht="13.85" spans="1:32">
      <c r="A103" s="27" t="s">
        <v>167</v>
      </c>
      <c r="B103" s="44" t="s">
        <v>82</v>
      </c>
      <c r="C103" s="42"/>
      <c r="D103" s="42"/>
      <c r="E103" s="42"/>
      <c r="F103" s="42">
        <f>VLOOKUP($B103,'NG Result'!$A$144:$AB$175,COLUMN(B2),FALSE)</f>
        <v>0</v>
      </c>
      <c r="G103" s="42">
        <f>VLOOKUP($B103,'NG Result'!$A$144:$AB$175,COLUMN(C2),FALSE)</f>
        <v>0</v>
      </c>
      <c r="H103" s="42">
        <f>VLOOKUP($B103,'NG Result'!$A$144:$AB$175,COLUMN(D2),FALSE)</f>
        <v>0</v>
      </c>
      <c r="I103" s="42">
        <f>VLOOKUP($B103,'NG Result'!$A$144:$AB$175,COLUMN(E2),FALSE)</f>
        <v>0</v>
      </c>
      <c r="J103" s="42">
        <f>VLOOKUP($B103,'NG Result'!$A$144:$AB$175,COLUMN(F2),FALSE)</f>
        <v>0</v>
      </c>
      <c r="K103" s="42">
        <f>VLOOKUP($B103,'NG Result'!$A$144:$AB$175,COLUMN(G2),FALSE)</f>
        <v>0</v>
      </c>
      <c r="L103" s="42">
        <f>VLOOKUP($B103,'NG Result'!$A$144:$AB$175,COLUMN(H2),FALSE)</f>
        <v>0</v>
      </c>
      <c r="M103" s="42">
        <f>VLOOKUP($B103,'NG Result'!$A$144:$AB$175,COLUMN(I2),FALSE)</f>
        <v>0</v>
      </c>
      <c r="N103" s="42">
        <f>VLOOKUP($B103,'NG Result'!$A$144:$AB$175,COLUMN(J2),FALSE)</f>
        <v>0</v>
      </c>
      <c r="O103" s="42">
        <f>VLOOKUP($B103,'NG Result'!$A$144:$AB$175,COLUMN(K2),FALSE)</f>
        <v>0</v>
      </c>
      <c r="P103" s="42">
        <f>VLOOKUP($B103,'NG Result'!$A$144:$AB$175,COLUMN(L2),FALSE)</f>
        <v>0</v>
      </c>
      <c r="Q103" s="42">
        <f>VLOOKUP($B103,'NG Result'!$A$144:$AB$175,COLUMN(M2),FALSE)</f>
        <v>0</v>
      </c>
      <c r="R103" s="42">
        <f>VLOOKUP($B103,'NG Result'!$A$144:$AB$175,COLUMN(N2),FALSE)</f>
        <v>0</v>
      </c>
      <c r="S103" s="42">
        <f>VLOOKUP($B103,'NG Result'!$A$144:$AB$175,COLUMN(O2),FALSE)</f>
        <v>0</v>
      </c>
      <c r="T103" s="42">
        <f>VLOOKUP($B103,'NG Result'!$A$144:$AB$175,COLUMN(P2),FALSE)</f>
        <v>0</v>
      </c>
      <c r="U103" s="42">
        <f>VLOOKUP($B103,'NG Result'!$A$144:$AB$175,COLUMN(Q2),FALSE)</f>
        <v>0</v>
      </c>
      <c r="V103" s="42">
        <f>VLOOKUP($B103,'NG Result'!$A$144:$AB$175,COLUMN(R2),FALSE)</f>
        <v>0</v>
      </c>
      <c r="W103" s="42">
        <f>VLOOKUP($B103,'NG Result'!$A$144:$AB$175,COLUMN(S2),FALSE)</f>
        <v>0</v>
      </c>
      <c r="X103" s="42">
        <f>VLOOKUP($B103,'NG Result'!$A$144:$AB$175,COLUMN(T2),FALSE)</f>
        <v>0</v>
      </c>
      <c r="Y103" s="42">
        <f>VLOOKUP($B103,'NG Result'!$A$144:$AB$175,COLUMN(U2),FALSE)</f>
        <v>0</v>
      </c>
      <c r="Z103" s="42">
        <f>VLOOKUP($B103,'NG Result'!$A$144:$AB$175,COLUMN(V2),FALSE)</f>
        <v>790.1</v>
      </c>
      <c r="AA103" s="42">
        <f>VLOOKUP($B103,'NG Result'!$A$144:$AB$175,COLUMN(W2),FALSE)</f>
        <v>4752.2</v>
      </c>
      <c r="AB103" s="42">
        <f>VLOOKUP($B103,'NG Result'!$A$144:$AB$175,COLUMN(X2),FALSE)</f>
        <v>1915.2</v>
      </c>
      <c r="AC103" s="42">
        <f>VLOOKUP($B103,'NG Result'!$A$144:$AB$175,COLUMN(Y2),FALSE)</f>
        <v>978.5</v>
      </c>
      <c r="AD103" s="42">
        <f>VLOOKUP($B103,'NG Result'!$A$144:$AB$175,COLUMN(Z2),FALSE)+VLOOKUP($B103,'project vs stock'!$A$72:$W$103,16,FALSE)/5</f>
        <v>998</v>
      </c>
      <c r="AE103" s="42">
        <f>VLOOKUP($B103,'NG Result'!$A$144:$AB$175,COLUMN(AA2),FALSE)+VLOOKUP($B103,'project vs stock'!$A$72:$W$103,16,FALSE)/5</f>
        <v>341</v>
      </c>
      <c r="AF103" s="43">
        <f>VLOOKUP($B103,'NG Result'!$A$144:$AB$175,COLUMN(AB2),FALSE)+VLOOKUP($B103,'project vs stock'!$A$72:$W$103,16,FALSE)/5</f>
        <v>155</v>
      </c>
    </row>
    <row r="104" ht="13.85" spans="1:32">
      <c r="A104" s="27" t="s">
        <v>167</v>
      </c>
      <c r="B104" s="44" t="s">
        <v>84</v>
      </c>
      <c r="C104" s="42"/>
      <c r="D104" s="42"/>
      <c r="E104" s="42"/>
      <c r="F104" s="42">
        <f>VLOOKUP($B104,'NG Result'!$A$144:$AB$175,COLUMN(B3),FALSE)</f>
        <v>0</v>
      </c>
      <c r="G104" s="42">
        <f>VLOOKUP($B104,'NG Result'!$A$144:$AB$175,COLUMN(C3),FALSE)</f>
        <v>0</v>
      </c>
      <c r="H104" s="42">
        <f>VLOOKUP($B104,'NG Result'!$A$144:$AB$175,COLUMN(D3),FALSE)</f>
        <v>0</v>
      </c>
      <c r="I104" s="42">
        <f>VLOOKUP($B104,'NG Result'!$A$144:$AB$175,COLUMN(E3),FALSE)</f>
        <v>0</v>
      </c>
      <c r="J104" s="42">
        <f>VLOOKUP($B104,'NG Result'!$A$144:$AB$175,COLUMN(F3),FALSE)</f>
        <v>0</v>
      </c>
      <c r="K104" s="42">
        <f>VLOOKUP($B104,'NG Result'!$A$144:$AB$175,COLUMN(G3),FALSE)</f>
        <v>0</v>
      </c>
      <c r="L104" s="42">
        <f>VLOOKUP($B104,'NG Result'!$A$144:$AB$175,COLUMN(H3),FALSE)</f>
        <v>0</v>
      </c>
      <c r="M104" s="42">
        <f>VLOOKUP($B104,'NG Result'!$A$144:$AB$175,COLUMN(I3),FALSE)</f>
        <v>0</v>
      </c>
      <c r="N104" s="42">
        <f>VLOOKUP($B104,'NG Result'!$A$144:$AB$175,COLUMN(J3),FALSE)</f>
        <v>0</v>
      </c>
      <c r="O104" s="42">
        <f>VLOOKUP($B104,'NG Result'!$A$144:$AB$175,COLUMN(K3),FALSE)</f>
        <v>0</v>
      </c>
      <c r="P104" s="42">
        <f>VLOOKUP($B104,'NG Result'!$A$144:$AB$175,COLUMN(L3),FALSE)</f>
        <v>0</v>
      </c>
      <c r="Q104" s="42">
        <f>VLOOKUP($B104,'NG Result'!$A$144:$AB$175,COLUMN(M3),FALSE)</f>
        <v>0</v>
      </c>
      <c r="R104" s="42">
        <f>VLOOKUP($B104,'NG Result'!$A$144:$AB$175,COLUMN(N3),FALSE)</f>
        <v>0</v>
      </c>
      <c r="S104" s="42">
        <f>VLOOKUP($B104,'NG Result'!$A$144:$AB$175,COLUMN(O3),FALSE)</f>
        <v>0</v>
      </c>
      <c r="T104" s="42">
        <f>VLOOKUP($B104,'NG Result'!$A$144:$AB$175,COLUMN(P3),FALSE)</f>
        <v>0</v>
      </c>
      <c r="U104" s="42">
        <f>VLOOKUP($B104,'NG Result'!$A$144:$AB$175,COLUMN(Q3),FALSE)</f>
        <v>0</v>
      </c>
      <c r="V104" s="42">
        <f>VLOOKUP($B104,'NG Result'!$A$144:$AB$175,COLUMN(R3),FALSE)</f>
        <v>0</v>
      </c>
      <c r="W104" s="42">
        <f>VLOOKUP($B104,'NG Result'!$A$144:$AB$175,COLUMN(S3),FALSE)</f>
        <v>0</v>
      </c>
      <c r="X104" s="42">
        <f>VLOOKUP($B104,'NG Result'!$A$144:$AB$175,COLUMN(T3),FALSE)</f>
        <v>0</v>
      </c>
      <c r="Y104" s="42">
        <f>VLOOKUP($B104,'NG Result'!$A$144:$AB$175,COLUMN(U3),FALSE)</f>
        <v>0</v>
      </c>
      <c r="Z104" s="42">
        <f>VLOOKUP($B104,'NG Result'!$A$144:$AB$175,COLUMN(V3),FALSE)</f>
        <v>0</v>
      </c>
      <c r="AA104" s="42">
        <f>VLOOKUP($B104,'NG Result'!$A$144:$AB$175,COLUMN(W3),FALSE)</f>
        <v>450.8</v>
      </c>
      <c r="AB104" s="42">
        <f>VLOOKUP($B104,'NG Result'!$A$144:$AB$175,COLUMN(X3),FALSE)</f>
        <v>631</v>
      </c>
      <c r="AC104" s="42">
        <f>VLOOKUP($B104,'NG Result'!$A$144:$AB$175,COLUMN(Y3),FALSE)</f>
        <v>1554.5</v>
      </c>
      <c r="AD104" s="42">
        <f>VLOOKUP($B104,'NG Result'!$A$144:$AB$175,COLUMN(Z3),FALSE)+VLOOKUP($B104,'project vs stock'!$A$72:$W$103,16,FALSE)/5</f>
        <v>209.18</v>
      </c>
      <c r="AE104" s="42">
        <f>VLOOKUP($B104,'NG Result'!$A$144:$AB$175,COLUMN(AA3),FALSE)+VLOOKUP($B104,'project vs stock'!$A$72:$W$103,16,FALSE)/5</f>
        <v>458.88</v>
      </c>
      <c r="AF104" s="43">
        <f>VLOOKUP($B104,'NG Result'!$A$144:$AB$175,COLUMN(AB3),FALSE)+VLOOKUP($B104,'project vs stock'!$A$72:$W$103,16,FALSE)/5</f>
        <v>1137.18</v>
      </c>
    </row>
    <row r="105" ht="13.85" spans="1:32">
      <c r="A105" s="27" t="s">
        <v>167</v>
      </c>
      <c r="B105" s="44" t="s">
        <v>86</v>
      </c>
      <c r="C105" s="42"/>
      <c r="D105" s="42"/>
      <c r="E105" s="42"/>
      <c r="F105" s="42">
        <f>VLOOKUP($B105,'NG Result'!$A$144:$AB$175,COLUMN(B4),FALSE)</f>
        <v>0</v>
      </c>
      <c r="G105" s="42">
        <f>VLOOKUP($B105,'NG Result'!$A$144:$AB$175,COLUMN(C4),FALSE)</f>
        <v>0</v>
      </c>
      <c r="H105" s="42">
        <f>VLOOKUP($B105,'NG Result'!$A$144:$AB$175,COLUMN(D4),FALSE)</f>
        <v>0</v>
      </c>
      <c r="I105" s="42">
        <f>VLOOKUP($B105,'NG Result'!$A$144:$AB$175,COLUMN(E4),FALSE)</f>
        <v>0</v>
      </c>
      <c r="J105" s="42">
        <f>VLOOKUP($B105,'NG Result'!$A$144:$AB$175,COLUMN(F4),FALSE)</f>
        <v>0</v>
      </c>
      <c r="K105" s="42">
        <f>VLOOKUP($B105,'NG Result'!$A$144:$AB$175,COLUMN(G4),FALSE)</f>
        <v>0</v>
      </c>
      <c r="L105" s="42">
        <f>VLOOKUP($B105,'NG Result'!$A$144:$AB$175,COLUMN(H4),FALSE)</f>
        <v>0</v>
      </c>
      <c r="M105" s="42">
        <f>VLOOKUP($B105,'NG Result'!$A$144:$AB$175,COLUMN(I4),FALSE)</f>
        <v>0</v>
      </c>
      <c r="N105" s="42">
        <f>VLOOKUP($B105,'NG Result'!$A$144:$AB$175,COLUMN(J4),FALSE)</f>
        <v>0</v>
      </c>
      <c r="O105" s="42">
        <f>VLOOKUP($B105,'NG Result'!$A$144:$AB$175,COLUMN(K4),FALSE)</f>
        <v>0</v>
      </c>
      <c r="P105" s="42">
        <f>VLOOKUP($B105,'NG Result'!$A$144:$AB$175,COLUMN(L4),FALSE)</f>
        <v>0</v>
      </c>
      <c r="Q105" s="42">
        <f>VLOOKUP($B105,'NG Result'!$A$144:$AB$175,COLUMN(M4),FALSE)</f>
        <v>0</v>
      </c>
      <c r="R105" s="42">
        <f>VLOOKUP($B105,'NG Result'!$A$144:$AB$175,COLUMN(N4),FALSE)</f>
        <v>0</v>
      </c>
      <c r="S105" s="42">
        <f>VLOOKUP($B105,'NG Result'!$A$144:$AB$175,COLUMN(O4),FALSE)</f>
        <v>0</v>
      </c>
      <c r="T105" s="42">
        <f>VLOOKUP($B105,'NG Result'!$A$144:$AB$175,COLUMN(P4),FALSE)</f>
        <v>0</v>
      </c>
      <c r="U105" s="42">
        <f>VLOOKUP($B105,'NG Result'!$A$144:$AB$175,COLUMN(Q4),FALSE)</f>
        <v>0</v>
      </c>
      <c r="V105" s="42">
        <f>VLOOKUP($B105,'NG Result'!$A$144:$AB$175,COLUMN(R4),FALSE)</f>
        <v>0</v>
      </c>
      <c r="W105" s="42">
        <f>VLOOKUP($B105,'NG Result'!$A$144:$AB$175,COLUMN(S4),FALSE)</f>
        <v>0</v>
      </c>
      <c r="X105" s="42">
        <f>VLOOKUP($B105,'NG Result'!$A$144:$AB$175,COLUMN(T4),FALSE)</f>
        <v>0</v>
      </c>
      <c r="Y105" s="42">
        <f>VLOOKUP($B105,'NG Result'!$A$144:$AB$175,COLUMN(U4),FALSE)</f>
        <v>0</v>
      </c>
      <c r="Z105" s="42">
        <f>VLOOKUP($B105,'NG Result'!$A$144:$AB$175,COLUMN(V4),FALSE)</f>
        <v>0</v>
      </c>
      <c r="AA105" s="42">
        <f>VLOOKUP($B105,'NG Result'!$A$144:$AB$175,COLUMN(W4),FALSE)</f>
        <v>0</v>
      </c>
      <c r="AB105" s="42">
        <f>VLOOKUP($B105,'NG Result'!$A$144:$AB$175,COLUMN(X4),FALSE)</f>
        <v>0</v>
      </c>
      <c r="AC105" s="42">
        <f>VLOOKUP($B105,'NG Result'!$A$144:$AB$175,COLUMN(Y4),FALSE)</f>
        <v>0</v>
      </c>
      <c r="AD105" s="42">
        <f>VLOOKUP($B105,'NG Result'!$A$144:$AB$175,COLUMN(Z4),FALSE)+VLOOKUP($B105,'project vs stock'!$A$72:$W$103,16,FALSE)/5</f>
        <v>0</v>
      </c>
      <c r="AE105" s="42">
        <f>VLOOKUP($B105,'NG Result'!$A$144:$AB$175,COLUMN(AA4),FALSE)+VLOOKUP($B105,'project vs stock'!$A$72:$W$103,16,FALSE)/5</f>
        <v>0</v>
      </c>
      <c r="AF105" s="43">
        <f>VLOOKUP($B105,'NG Result'!$A$144:$AB$175,COLUMN(AB4),FALSE)+VLOOKUP($B105,'project vs stock'!$A$72:$W$103,16,FALSE)/5</f>
        <v>23</v>
      </c>
    </row>
    <row r="106" ht="13.85" spans="1:32">
      <c r="A106" s="27" t="s">
        <v>167</v>
      </c>
      <c r="B106" s="44" t="s">
        <v>88</v>
      </c>
      <c r="C106" s="42"/>
      <c r="D106" s="42"/>
      <c r="E106" s="42"/>
      <c r="F106" s="42">
        <f>VLOOKUP($B106,'NG Result'!$A$144:$AB$175,COLUMN(B5),FALSE)</f>
        <v>0</v>
      </c>
      <c r="G106" s="42">
        <f>VLOOKUP($B106,'NG Result'!$A$144:$AB$175,COLUMN(C5),FALSE)</f>
        <v>0</v>
      </c>
      <c r="H106" s="42">
        <f>VLOOKUP($B106,'NG Result'!$A$144:$AB$175,COLUMN(D5),FALSE)</f>
        <v>0</v>
      </c>
      <c r="I106" s="42">
        <f>VLOOKUP($B106,'NG Result'!$A$144:$AB$175,COLUMN(E5),FALSE)</f>
        <v>0</v>
      </c>
      <c r="J106" s="42">
        <f>VLOOKUP($B106,'NG Result'!$A$144:$AB$175,COLUMN(F5),FALSE)</f>
        <v>0</v>
      </c>
      <c r="K106" s="42">
        <f>VLOOKUP($B106,'NG Result'!$A$144:$AB$175,COLUMN(G5),FALSE)</f>
        <v>0</v>
      </c>
      <c r="L106" s="42">
        <f>VLOOKUP($B106,'NG Result'!$A$144:$AB$175,COLUMN(H5),FALSE)</f>
        <v>0</v>
      </c>
      <c r="M106" s="42">
        <f>VLOOKUP($B106,'NG Result'!$A$144:$AB$175,COLUMN(I5),FALSE)</f>
        <v>0</v>
      </c>
      <c r="N106" s="42">
        <f>VLOOKUP($B106,'NG Result'!$A$144:$AB$175,COLUMN(J5),FALSE)</f>
        <v>0</v>
      </c>
      <c r="O106" s="42">
        <f>VLOOKUP($B106,'NG Result'!$A$144:$AB$175,COLUMN(K5),FALSE)</f>
        <v>0</v>
      </c>
      <c r="P106" s="42">
        <f>VLOOKUP($B106,'NG Result'!$A$144:$AB$175,COLUMN(L5),FALSE)</f>
        <v>0</v>
      </c>
      <c r="Q106" s="42">
        <f>VLOOKUP($B106,'NG Result'!$A$144:$AB$175,COLUMN(M5),FALSE)</f>
        <v>0</v>
      </c>
      <c r="R106" s="42">
        <f>VLOOKUP($B106,'NG Result'!$A$144:$AB$175,COLUMN(N5),FALSE)</f>
        <v>0</v>
      </c>
      <c r="S106" s="42">
        <f>VLOOKUP($B106,'NG Result'!$A$144:$AB$175,COLUMN(O5),FALSE)</f>
        <v>0</v>
      </c>
      <c r="T106" s="42">
        <f>VLOOKUP($B106,'NG Result'!$A$144:$AB$175,COLUMN(P5),FALSE)</f>
        <v>0</v>
      </c>
      <c r="U106" s="42">
        <f>VLOOKUP($B106,'NG Result'!$A$144:$AB$175,COLUMN(Q5),FALSE)</f>
        <v>0</v>
      </c>
      <c r="V106" s="42">
        <f>VLOOKUP($B106,'NG Result'!$A$144:$AB$175,COLUMN(R5),FALSE)</f>
        <v>0</v>
      </c>
      <c r="W106" s="42">
        <f>VLOOKUP($B106,'NG Result'!$A$144:$AB$175,COLUMN(S5),FALSE)</f>
        <v>0</v>
      </c>
      <c r="X106" s="42">
        <f>VLOOKUP($B106,'NG Result'!$A$144:$AB$175,COLUMN(T5),FALSE)</f>
        <v>0</v>
      </c>
      <c r="Y106" s="42">
        <f>VLOOKUP($B106,'NG Result'!$A$144:$AB$175,COLUMN(U5),FALSE)</f>
        <v>0</v>
      </c>
      <c r="Z106" s="42">
        <f>VLOOKUP($B106,'NG Result'!$A$144:$AB$175,COLUMN(V5),FALSE)</f>
        <v>78.1999999999998</v>
      </c>
      <c r="AA106" s="42">
        <f>VLOOKUP($B106,'NG Result'!$A$144:$AB$175,COLUMN(W5),FALSE)</f>
        <v>1308</v>
      </c>
      <c r="AB106" s="42">
        <f>VLOOKUP($B106,'NG Result'!$A$144:$AB$175,COLUMN(X5),FALSE)</f>
        <v>1340</v>
      </c>
      <c r="AC106" s="42">
        <f>VLOOKUP($B106,'NG Result'!$A$144:$AB$175,COLUMN(Y5),FALSE)</f>
        <v>444</v>
      </c>
      <c r="AD106" s="42">
        <f>VLOOKUP($B106,'NG Result'!$A$144:$AB$175,COLUMN(Z5),FALSE)+VLOOKUP($B106,'project vs stock'!$A$72:$W$103,16,FALSE)/5</f>
        <v>131.48</v>
      </c>
      <c r="AE106" s="42">
        <f>VLOOKUP($B106,'NG Result'!$A$144:$AB$175,COLUMN(AA5),FALSE)+VLOOKUP($B106,'project vs stock'!$A$72:$W$103,16,FALSE)/5</f>
        <v>187.28</v>
      </c>
      <c r="AF106" s="43">
        <f>VLOOKUP($B106,'NG Result'!$A$144:$AB$175,COLUMN(AB5),FALSE)+VLOOKUP($B106,'project vs stock'!$A$72:$W$103,16,FALSE)/5</f>
        <v>131.48</v>
      </c>
    </row>
    <row r="107" ht="13.85" spans="1:32">
      <c r="A107" s="27" t="s">
        <v>167</v>
      </c>
      <c r="B107" s="44" t="s">
        <v>90</v>
      </c>
      <c r="C107" s="42"/>
      <c r="D107" s="42"/>
      <c r="E107" s="42"/>
      <c r="F107" s="42">
        <f>VLOOKUP($B107,'NG Result'!$A$144:$AB$175,COLUMN(B6),FALSE)</f>
        <v>0</v>
      </c>
      <c r="G107" s="42">
        <f>VLOOKUP($B107,'NG Result'!$A$144:$AB$175,COLUMN(C6),FALSE)</f>
        <v>0</v>
      </c>
      <c r="H107" s="42">
        <f>VLOOKUP($B107,'NG Result'!$A$144:$AB$175,COLUMN(D6),FALSE)</f>
        <v>0</v>
      </c>
      <c r="I107" s="42">
        <f>VLOOKUP($B107,'NG Result'!$A$144:$AB$175,COLUMN(E6),FALSE)</f>
        <v>0</v>
      </c>
      <c r="J107" s="42">
        <f>VLOOKUP($B107,'NG Result'!$A$144:$AB$175,COLUMN(F6),FALSE)</f>
        <v>0</v>
      </c>
      <c r="K107" s="42">
        <f>VLOOKUP($B107,'NG Result'!$A$144:$AB$175,COLUMN(G6),FALSE)</f>
        <v>0</v>
      </c>
      <c r="L107" s="42">
        <f>VLOOKUP($B107,'NG Result'!$A$144:$AB$175,COLUMN(H6),FALSE)</f>
        <v>0</v>
      </c>
      <c r="M107" s="42">
        <f>VLOOKUP($B107,'NG Result'!$A$144:$AB$175,COLUMN(I6),FALSE)</f>
        <v>0</v>
      </c>
      <c r="N107" s="42">
        <f>VLOOKUP($B107,'NG Result'!$A$144:$AB$175,COLUMN(J6),FALSE)</f>
        <v>0</v>
      </c>
      <c r="O107" s="42">
        <f>VLOOKUP($B107,'NG Result'!$A$144:$AB$175,COLUMN(K6),FALSE)</f>
        <v>0</v>
      </c>
      <c r="P107" s="42">
        <f>VLOOKUP($B107,'NG Result'!$A$144:$AB$175,COLUMN(L6),FALSE)</f>
        <v>0</v>
      </c>
      <c r="Q107" s="42">
        <f>VLOOKUP($B107,'NG Result'!$A$144:$AB$175,COLUMN(M6),FALSE)</f>
        <v>0</v>
      </c>
      <c r="R107" s="42">
        <f>VLOOKUP($B107,'NG Result'!$A$144:$AB$175,COLUMN(N6),FALSE)</f>
        <v>0</v>
      </c>
      <c r="S107" s="42">
        <f>VLOOKUP($B107,'NG Result'!$A$144:$AB$175,COLUMN(O6),FALSE)</f>
        <v>209</v>
      </c>
      <c r="T107" s="42">
        <f>VLOOKUP($B107,'NG Result'!$A$144:$AB$175,COLUMN(P6),FALSE)</f>
        <v>0</v>
      </c>
      <c r="U107" s="42">
        <f>VLOOKUP($B107,'NG Result'!$A$144:$AB$175,COLUMN(Q6),FALSE)</f>
        <v>0</v>
      </c>
      <c r="V107" s="42">
        <f>VLOOKUP($B107,'NG Result'!$A$144:$AB$175,COLUMN(R6),FALSE)</f>
        <v>10</v>
      </c>
      <c r="W107" s="42">
        <f>VLOOKUP($B107,'NG Result'!$A$144:$AB$175,COLUMN(S6),FALSE)</f>
        <v>0</v>
      </c>
      <c r="X107" s="42">
        <f>VLOOKUP($B107,'NG Result'!$A$144:$AB$175,COLUMN(T6),FALSE)</f>
        <v>200</v>
      </c>
      <c r="Y107" s="42">
        <f>VLOOKUP($B107,'NG Result'!$A$144:$AB$175,COLUMN(U6),FALSE)</f>
        <v>0</v>
      </c>
      <c r="Z107" s="42">
        <f>VLOOKUP($B107,'NG Result'!$A$144:$AB$175,COLUMN(V6),FALSE)</f>
        <v>0</v>
      </c>
      <c r="AA107" s="42">
        <f>VLOOKUP($B107,'NG Result'!$A$144:$AB$175,COLUMN(W6),FALSE)</f>
        <v>0</v>
      </c>
      <c r="AB107" s="42">
        <f>VLOOKUP($B107,'NG Result'!$A$144:$AB$175,COLUMN(X6),FALSE)</f>
        <v>0</v>
      </c>
      <c r="AC107" s="42">
        <f>VLOOKUP($B107,'NG Result'!$A$144:$AB$175,COLUMN(Y6),FALSE)</f>
        <v>0</v>
      </c>
      <c r="AD107" s="42">
        <f>VLOOKUP($B107,'NG Result'!$A$144:$AB$175,COLUMN(Z6),FALSE)+VLOOKUP($B107,'project vs stock'!$A$72:$W$103,16,FALSE)/5</f>
        <v>127.4</v>
      </c>
      <c r="AE107" s="42">
        <f>VLOOKUP($B107,'NG Result'!$A$144:$AB$175,COLUMN(AA6),FALSE)+VLOOKUP($B107,'project vs stock'!$A$72:$W$103,16,FALSE)/5</f>
        <v>127.4</v>
      </c>
      <c r="AF107" s="43">
        <f>VLOOKUP($B107,'NG Result'!$A$144:$AB$175,COLUMN(AB6),FALSE)+VLOOKUP($B107,'project vs stock'!$A$72:$W$103,16,FALSE)/5</f>
        <v>127.4</v>
      </c>
    </row>
    <row r="108" ht="13.85" spans="1:32">
      <c r="A108" s="27" t="s">
        <v>167</v>
      </c>
      <c r="B108" s="44" t="s">
        <v>92</v>
      </c>
      <c r="C108" s="42"/>
      <c r="D108" s="42"/>
      <c r="E108" s="42"/>
      <c r="F108" s="42">
        <f>VLOOKUP($B108,'NG Result'!$A$144:$AB$175,COLUMN(B7),FALSE)</f>
        <v>0</v>
      </c>
      <c r="G108" s="42">
        <f>VLOOKUP($B108,'NG Result'!$A$144:$AB$175,COLUMN(C7),FALSE)</f>
        <v>0</v>
      </c>
      <c r="H108" s="42">
        <f>VLOOKUP($B108,'NG Result'!$A$144:$AB$175,COLUMN(D7),FALSE)</f>
        <v>0</v>
      </c>
      <c r="I108" s="42">
        <f>VLOOKUP($B108,'NG Result'!$A$144:$AB$175,COLUMN(E7),FALSE)</f>
        <v>0</v>
      </c>
      <c r="J108" s="42">
        <f>VLOOKUP($B108,'NG Result'!$A$144:$AB$175,COLUMN(F7),FALSE)</f>
        <v>0</v>
      </c>
      <c r="K108" s="42">
        <f>VLOOKUP($B108,'NG Result'!$A$144:$AB$175,COLUMN(G7),FALSE)</f>
        <v>0</v>
      </c>
      <c r="L108" s="42">
        <f>VLOOKUP($B108,'NG Result'!$A$144:$AB$175,COLUMN(H7),FALSE)</f>
        <v>0</v>
      </c>
      <c r="M108" s="42">
        <f>VLOOKUP($B108,'NG Result'!$A$144:$AB$175,COLUMN(I7),FALSE)</f>
        <v>0</v>
      </c>
      <c r="N108" s="42">
        <f>VLOOKUP($B108,'NG Result'!$A$144:$AB$175,COLUMN(J7),FALSE)</f>
        <v>0</v>
      </c>
      <c r="O108" s="42">
        <f>VLOOKUP($B108,'NG Result'!$A$144:$AB$175,COLUMN(K7),FALSE)</f>
        <v>0</v>
      </c>
      <c r="P108" s="42">
        <f>VLOOKUP($B108,'NG Result'!$A$144:$AB$175,COLUMN(L7),FALSE)</f>
        <v>0</v>
      </c>
      <c r="Q108" s="42">
        <f>VLOOKUP($B108,'NG Result'!$A$144:$AB$175,COLUMN(M7),FALSE)</f>
        <v>0</v>
      </c>
      <c r="R108" s="42">
        <f>VLOOKUP($B108,'NG Result'!$A$144:$AB$175,COLUMN(N7),FALSE)</f>
        <v>0</v>
      </c>
      <c r="S108" s="42">
        <f>VLOOKUP($B108,'NG Result'!$A$144:$AB$175,COLUMN(O7),FALSE)</f>
        <v>60</v>
      </c>
      <c r="T108" s="42">
        <f>VLOOKUP($B108,'NG Result'!$A$144:$AB$175,COLUMN(P7),FALSE)</f>
        <v>0</v>
      </c>
      <c r="U108" s="42">
        <f>VLOOKUP($B108,'NG Result'!$A$144:$AB$175,COLUMN(Q7),FALSE)</f>
        <v>0</v>
      </c>
      <c r="V108" s="42">
        <f>VLOOKUP($B108,'NG Result'!$A$144:$AB$175,COLUMN(R7),FALSE)</f>
        <v>0</v>
      </c>
      <c r="W108" s="42">
        <f>VLOOKUP($B108,'NG Result'!$A$144:$AB$175,COLUMN(S7),FALSE)</f>
        <v>0</v>
      </c>
      <c r="X108" s="42">
        <f>VLOOKUP($B108,'NG Result'!$A$144:$AB$175,COLUMN(T7),FALSE)</f>
        <v>0</v>
      </c>
      <c r="Y108" s="42">
        <f>VLOOKUP($B108,'NG Result'!$A$144:$AB$175,COLUMN(U7),FALSE)</f>
        <v>0</v>
      </c>
      <c r="Z108" s="42">
        <f>VLOOKUP($B108,'NG Result'!$A$144:$AB$175,COLUMN(V7),FALSE)</f>
        <v>0</v>
      </c>
      <c r="AA108" s="42">
        <f>VLOOKUP($B108,'NG Result'!$A$144:$AB$175,COLUMN(W7),FALSE)</f>
        <v>0</v>
      </c>
      <c r="AB108" s="42">
        <f>VLOOKUP($B108,'NG Result'!$A$144:$AB$175,COLUMN(X7),FALSE)</f>
        <v>0</v>
      </c>
      <c r="AC108" s="42">
        <f>VLOOKUP($B108,'NG Result'!$A$144:$AB$175,COLUMN(Y7),FALSE)</f>
        <v>0</v>
      </c>
      <c r="AD108" s="42">
        <f>VLOOKUP($B108,'NG Result'!$A$144:$AB$175,COLUMN(Z7),FALSE)+VLOOKUP($B108,'project vs stock'!$A$72:$W$103,16,FALSE)/5</f>
        <v>0</v>
      </c>
      <c r="AE108" s="42">
        <f>VLOOKUP($B108,'NG Result'!$A$144:$AB$175,COLUMN(AA7),FALSE)+VLOOKUP($B108,'project vs stock'!$A$72:$W$103,16,FALSE)/5</f>
        <v>0</v>
      </c>
      <c r="AF108" s="43">
        <f>VLOOKUP($B108,'NG Result'!$A$144:$AB$175,COLUMN(AB7),FALSE)+VLOOKUP($B108,'project vs stock'!$A$72:$W$103,16,FALSE)/5</f>
        <v>0</v>
      </c>
    </row>
    <row r="109" ht="13.85" spans="1:32">
      <c r="A109" s="27" t="s">
        <v>167</v>
      </c>
      <c r="B109" s="44" t="s">
        <v>94</v>
      </c>
      <c r="C109" s="42"/>
      <c r="D109" s="42"/>
      <c r="E109" s="42"/>
      <c r="F109" s="42">
        <f>VLOOKUP($B109,'NG Result'!$A$144:$AB$175,COLUMN(B8),FALSE)</f>
        <v>0</v>
      </c>
      <c r="G109" s="42">
        <f>VLOOKUP($B109,'NG Result'!$A$144:$AB$175,COLUMN(C8),FALSE)</f>
        <v>0</v>
      </c>
      <c r="H109" s="42">
        <f>VLOOKUP($B109,'NG Result'!$A$144:$AB$175,COLUMN(D8),FALSE)</f>
        <v>0</v>
      </c>
      <c r="I109" s="42">
        <f>VLOOKUP($B109,'NG Result'!$A$144:$AB$175,COLUMN(E8),FALSE)</f>
        <v>0</v>
      </c>
      <c r="J109" s="42">
        <f>VLOOKUP($B109,'NG Result'!$A$144:$AB$175,COLUMN(F8),FALSE)</f>
        <v>0</v>
      </c>
      <c r="K109" s="42">
        <f>VLOOKUP($B109,'NG Result'!$A$144:$AB$175,COLUMN(G8),FALSE)</f>
        <v>0</v>
      </c>
      <c r="L109" s="42">
        <f>VLOOKUP($B109,'NG Result'!$A$144:$AB$175,COLUMN(H8),FALSE)</f>
        <v>0</v>
      </c>
      <c r="M109" s="42">
        <f>VLOOKUP($B109,'NG Result'!$A$144:$AB$175,COLUMN(I8),FALSE)</f>
        <v>0</v>
      </c>
      <c r="N109" s="42">
        <f>VLOOKUP($B109,'NG Result'!$A$144:$AB$175,COLUMN(J8),FALSE)</f>
        <v>0</v>
      </c>
      <c r="O109" s="42">
        <f>VLOOKUP($B109,'NG Result'!$A$144:$AB$175,COLUMN(K8),FALSE)</f>
        <v>0</v>
      </c>
      <c r="P109" s="42">
        <f>VLOOKUP($B109,'NG Result'!$A$144:$AB$175,COLUMN(L8),FALSE)</f>
        <v>0</v>
      </c>
      <c r="Q109" s="42">
        <f>VLOOKUP($B109,'NG Result'!$A$144:$AB$175,COLUMN(M8),FALSE)</f>
        <v>0</v>
      </c>
      <c r="R109" s="42">
        <f>VLOOKUP($B109,'NG Result'!$A$144:$AB$175,COLUMN(N8),FALSE)</f>
        <v>7</v>
      </c>
      <c r="S109" s="42">
        <f>VLOOKUP($B109,'NG Result'!$A$144:$AB$175,COLUMN(O8),FALSE)</f>
        <v>0</v>
      </c>
      <c r="T109" s="42">
        <f>VLOOKUP($B109,'NG Result'!$A$144:$AB$175,COLUMN(P8),FALSE)</f>
        <v>0</v>
      </c>
      <c r="U109" s="42">
        <f>VLOOKUP($B109,'NG Result'!$A$144:$AB$175,COLUMN(Q8),FALSE)</f>
        <v>0</v>
      </c>
      <c r="V109" s="42">
        <f>VLOOKUP($B109,'NG Result'!$A$144:$AB$175,COLUMN(R8),FALSE)</f>
        <v>0</v>
      </c>
      <c r="W109" s="42">
        <f>VLOOKUP($B109,'NG Result'!$A$144:$AB$175,COLUMN(S8),FALSE)</f>
        <v>0</v>
      </c>
      <c r="X109" s="42">
        <f>VLOOKUP($B109,'NG Result'!$A$144:$AB$175,COLUMN(T8),FALSE)</f>
        <v>0</v>
      </c>
      <c r="Y109" s="42">
        <f>VLOOKUP($B109,'NG Result'!$A$144:$AB$175,COLUMN(U8),FALSE)</f>
        <v>0</v>
      </c>
      <c r="Z109" s="42">
        <f>VLOOKUP($B109,'NG Result'!$A$144:$AB$175,COLUMN(V8),FALSE)</f>
        <v>0</v>
      </c>
      <c r="AA109" s="42">
        <f>VLOOKUP($B109,'NG Result'!$A$144:$AB$175,COLUMN(W8),FALSE)</f>
        <v>0</v>
      </c>
      <c r="AB109" s="42">
        <f>VLOOKUP($B109,'NG Result'!$A$144:$AB$175,COLUMN(X8),FALSE)</f>
        <v>0</v>
      </c>
      <c r="AC109" s="42">
        <f>VLOOKUP($B109,'NG Result'!$A$144:$AB$175,COLUMN(Y8),FALSE)</f>
        <v>0</v>
      </c>
      <c r="AD109" s="42">
        <f>VLOOKUP($B109,'NG Result'!$A$144:$AB$175,COLUMN(Z8),FALSE)+VLOOKUP($B109,'project vs stock'!$A$72:$W$103,16,FALSE)/5</f>
        <v>2</v>
      </c>
      <c r="AE109" s="42">
        <f>VLOOKUP($B109,'NG Result'!$A$144:$AB$175,COLUMN(AA8),FALSE)+VLOOKUP($B109,'project vs stock'!$A$72:$W$103,16,FALSE)/5</f>
        <v>2</v>
      </c>
      <c r="AF109" s="43">
        <f>VLOOKUP($B109,'NG Result'!$A$144:$AB$175,COLUMN(AB8),FALSE)+VLOOKUP($B109,'project vs stock'!$A$72:$W$103,16,FALSE)/5</f>
        <v>2</v>
      </c>
    </row>
    <row r="110" ht="13.85" spans="1:32">
      <c r="A110" s="27" t="s">
        <v>167</v>
      </c>
      <c r="B110" s="44" t="s">
        <v>96</v>
      </c>
      <c r="C110" s="42"/>
      <c r="D110" s="42"/>
      <c r="E110" s="42"/>
      <c r="F110" s="42">
        <f>VLOOKUP($B110,'NG Result'!$A$144:$AB$175,COLUMN(B9),FALSE)</f>
        <v>0</v>
      </c>
      <c r="G110" s="42">
        <f>VLOOKUP($B110,'NG Result'!$A$144:$AB$175,COLUMN(C9),FALSE)</f>
        <v>0</v>
      </c>
      <c r="H110" s="42">
        <f>VLOOKUP($B110,'NG Result'!$A$144:$AB$175,COLUMN(D9),FALSE)</f>
        <v>0</v>
      </c>
      <c r="I110" s="42">
        <f>VLOOKUP($B110,'NG Result'!$A$144:$AB$175,COLUMN(E9),FALSE)</f>
        <v>0</v>
      </c>
      <c r="J110" s="42">
        <f>VLOOKUP($B110,'NG Result'!$A$144:$AB$175,COLUMN(F9),FALSE)</f>
        <v>0</v>
      </c>
      <c r="K110" s="42">
        <f>VLOOKUP($B110,'NG Result'!$A$144:$AB$175,COLUMN(G9),FALSE)</f>
        <v>0</v>
      </c>
      <c r="L110" s="42">
        <f>VLOOKUP($B110,'NG Result'!$A$144:$AB$175,COLUMN(H9),FALSE)</f>
        <v>0</v>
      </c>
      <c r="M110" s="42">
        <f>VLOOKUP($B110,'NG Result'!$A$144:$AB$175,COLUMN(I9),FALSE)</f>
        <v>0</v>
      </c>
      <c r="N110" s="42">
        <f>VLOOKUP($B110,'NG Result'!$A$144:$AB$175,COLUMN(J9),FALSE)</f>
        <v>0</v>
      </c>
      <c r="O110" s="42">
        <f>VLOOKUP($B110,'NG Result'!$A$144:$AB$175,COLUMN(K9),FALSE)</f>
        <v>0</v>
      </c>
      <c r="P110" s="42">
        <f>VLOOKUP($B110,'NG Result'!$A$144:$AB$175,COLUMN(L9),FALSE)</f>
        <v>0</v>
      </c>
      <c r="Q110" s="42">
        <f>VLOOKUP($B110,'NG Result'!$A$144:$AB$175,COLUMN(M9),FALSE)</f>
        <v>0</v>
      </c>
      <c r="R110" s="42">
        <f>VLOOKUP($B110,'NG Result'!$A$144:$AB$175,COLUMN(N9),FALSE)</f>
        <v>0</v>
      </c>
      <c r="S110" s="42">
        <f>VLOOKUP($B110,'NG Result'!$A$144:$AB$175,COLUMN(O9),FALSE)</f>
        <v>0</v>
      </c>
      <c r="T110" s="42">
        <f>VLOOKUP($B110,'NG Result'!$A$144:$AB$175,COLUMN(P9),FALSE)</f>
        <v>0</v>
      </c>
      <c r="U110" s="42">
        <f>VLOOKUP($B110,'NG Result'!$A$144:$AB$175,COLUMN(Q9),FALSE)</f>
        <v>0</v>
      </c>
      <c r="V110" s="42">
        <f>VLOOKUP($B110,'NG Result'!$A$144:$AB$175,COLUMN(R9),FALSE)</f>
        <v>0</v>
      </c>
      <c r="W110" s="42">
        <f>VLOOKUP($B110,'NG Result'!$A$144:$AB$175,COLUMN(S9),FALSE)</f>
        <v>0</v>
      </c>
      <c r="X110" s="42">
        <f>VLOOKUP($B110,'NG Result'!$A$144:$AB$175,COLUMN(T9),FALSE)</f>
        <v>0</v>
      </c>
      <c r="Y110" s="42">
        <f>VLOOKUP($B110,'NG Result'!$A$144:$AB$175,COLUMN(U9),FALSE)</f>
        <v>0</v>
      </c>
      <c r="Z110" s="42">
        <f>VLOOKUP($B110,'NG Result'!$A$144:$AB$175,COLUMN(V9),FALSE)</f>
        <v>0</v>
      </c>
      <c r="AA110" s="42">
        <f>VLOOKUP($B110,'NG Result'!$A$144:$AB$175,COLUMN(W9),FALSE)</f>
        <v>0</v>
      </c>
      <c r="AB110" s="42">
        <f>VLOOKUP($B110,'NG Result'!$A$144:$AB$175,COLUMN(X9),FALSE)</f>
        <v>19</v>
      </c>
      <c r="AC110" s="42">
        <f>VLOOKUP($B110,'NG Result'!$A$144:$AB$175,COLUMN(Y9),FALSE)</f>
        <v>30</v>
      </c>
      <c r="AD110" s="42">
        <f>VLOOKUP($B110,'NG Result'!$A$144:$AB$175,COLUMN(Z9),FALSE)+VLOOKUP($B110,'project vs stock'!$A$72:$W$103,16,FALSE)/5</f>
        <v>0</v>
      </c>
      <c r="AE110" s="42">
        <f>VLOOKUP($B110,'NG Result'!$A$144:$AB$175,COLUMN(AA9),FALSE)+VLOOKUP($B110,'project vs stock'!$A$72:$W$103,16,FALSE)/5</f>
        <v>0</v>
      </c>
      <c r="AF110" s="43">
        <f>VLOOKUP($B110,'NG Result'!$A$144:$AB$175,COLUMN(AB9),FALSE)+VLOOKUP($B110,'project vs stock'!$A$72:$W$103,16,FALSE)/5</f>
        <v>65</v>
      </c>
    </row>
    <row r="111" ht="13.85" spans="1:32">
      <c r="A111" s="27" t="s">
        <v>167</v>
      </c>
      <c r="B111" s="44" t="s">
        <v>98</v>
      </c>
      <c r="C111" s="42"/>
      <c r="D111" s="42"/>
      <c r="E111" s="42"/>
      <c r="F111" s="42">
        <f>VLOOKUP($B111,'NG Result'!$A$144:$AB$175,COLUMN(B10),FALSE)</f>
        <v>0</v>
      </c>
      <c r="G111" s="42">
        <f>VLOOKUP($B111,'NG Result'!$A$144:$AB$175,COLUMN(C10),FALSE)</f>
        <v>0</v>
      </c>
      <c r="H111" s="42">
        <f>VLOOKUP($B111,'NG Result'!$A$144:$AB$175,COLUMN(D10),FALSE)</f>
        <v>0</v>
      </c>
      <c r="I111" s="42">
        <f>VLOOKUP($B111,'NG Result'!$A$144:$AB$175,COLUMN(E10),FALSE)</f>
        <v>0</v>
      </c>
      <c r="J111" s="42">
        <f>VLOOKUP($B111,'NG Result'!$A$144:$AB$175,COLUMN(F10),FALSE)</f>
        <v>0</v>
      </c>
      <c r="K111" s="42">
        <f>VLOOKUP($B111,'NG Result'!$A$144:$AB$175,COLUMN(G10),FALSE)</f>
        <v>0</v>
      </c>
      <c r="L111" s="42">
        <f>VLOOKUP($B111,'NG Result'!$A$144:$AB$175,COLUMN(H10),FALSE)</f>
        <v>5.19999999999873</v>
      </c>
      <c r="M111" s="42">
        <f>VLOOKUP($B111,'NG Result'!$A$144:$AB$175,COLUMN(I10),FALSE)</f>
        <v>61.1</v>
      </c>
      <c r="N111" s="42">
        <f>VLOOKUP($B111,'NG Result'!$A$144:$AB$175,COLUMN(J10),FALSE)</f>
        <v>61.1</v>
      </c>
      <c r="O111" s="42">
        <f>VLOOKUP($B111,'NG Result'!$A$144:$AB$175,COLUMN(K10),FALSE)</f>
        <v>0</v>
      </c>
      <c r="P111" s="42">
        <f>VLOOKUP($B111,'NG Result'!$A$144:$AB$175,COLUMN(L10),FALSE)</f>
        <v>0</v>
      </c>
      <c r="Q111" s="42">
        <f>VLOOKUP($B111,'NG Result'!$A$144:$AB$175,COLUMN(M10),FALSE)</f>
        <v>0</v>
      </c>
      <c r="R111" s="42">
        <f>VLOOKUP($B111,'NG Result'!$A$144:$AB$175,COLUMN(N10),FALSE)</f>
        <v>1086</v>
      </c>
      <c r="S111" s="42">
        <f>VLOOKUP($B111,'NG Result'!$A$144:$AB$175,COLUMN(O10),FALSE)</f>
        <v>1200</v>
      </c>
      <c r="T111" s="42">
        <f>VLOOKUP($B111,'NG Result'!$A$144:$AB$175,COLUMN(P10),FALSE)</f>
        <v>0</v>
      </c>
      <c r="U111" s="42">
        <f>VLOOKUP($B111,'NG Result'!$A$144:$AB$175,COLUMN(Q10),FALSE)</f>
        <v>210.8</v>
      </c>
      <c r="V111" s="42">
        <f>VLOOKUP($B111,'NG Result'!$A$144:$AB$175,COLUMN(R10),FALSE)</f>
        <v>210.8</v>
      </c>
      <c r="W111" s="42">
        <f>VLOOKUP($B111,'NG Result'!$A$144:$AB$175,COLUMN(S10),FALSE)</f>
        <v>210.8</v>
      </c>
      <c r="X111" s="42">
        <f>VLOOKUP($B111,'NG Result'!$A$144:$AB$175,COLUMN(T10),FALSE)</f>
        <v>1433.8</v>
      </c>
      <c r="Y111" s="42">
        <f>VLOOKUP($B111,'NG Result'!$A$144:$AB$175,COLUMN(U10),FALSE)</f>
        <v>210.8</v>
      </c>
      <c r="Z111" s="42">
        <f>VLOOKUP($B111,'NG Result'!$A$144:$AB$175,COLUMN(V10),FALSE)</f>
        <v>0</v>
      </c>
      <c r="AA111" s="42">
        <f>VLOOKUP($B111,'NG Result'!$A$144:$AB$175,COLUMN(W10),FALSE)</f>
        <v>0</v>
      </c>
      <c r="AB111" s="42">
        <f>VLOOKUP($B111,'NG Result'!$A$144:$AB$175,COLUMN(X10),FALSE)</f>
        <v>1010.8</v>
      </c>
      <c r="AC111" s="42">
        <f>VLOOKUP($B111,'NG Result'!$A$144:$AB$175,COLUMN(Y10),FALSE)</f>
        <v>30.8000000000002</v>
      </c>
      <c r="AD111" s="42">
        <f>VLOOKUP($B111,'NG Result'!$A$144:$AB$175,COLUMN(Z10),FALSE)+VLOOKUP($B111,'project vs stock'!$A$72:$W$103,16,FALSE)/5</f>
        <v>37.2</v>
      </c>
      <c r="AE111" s="42">
        <f>VLOOKUP($B111,'NG Result'!$A$144:$AB$175,COLUMN(AA10),FALSE)+VLOOKUP($B111,'project vs stock'!$A$72:$W$103,16,FALSE)/5</f>
        <v>892.600000000001</v>
      </c>
      <c r="AF111" s="43">
        <f>VLOOKUP($B111,'NG Result'!$A$144:$AB$175,COLUMN(AB10),FALSE)+VLOOKUP($B111,'project vs stock'!$A$72:$W$103,16,FALSE)/5</f>
        <v>1003.8</v>
      </c>
    </row>
    <row r="112" ht="13.85" spans="1:32">
      <c r="A112" s="27" t="s">
        <v>167</v>
      </c>
      <c r="B112" s="44" t="s">
        <v>100</v>
      </c>
      <c r="C112" s="42"/>
      <c r="D112" s="42"/>
      <c r="E112" s="42"/>
      <c r="F112" s="42">
        <f>VLOOKUP($B112,'NG Result'!$A$144:$AB$175,COLUMN(B11),FALSE)</f>
        <v>0</v>
      </c>
      <c r="G112" s="42">
        <f>VLOOKUP($B112,'NG Result'!$A$144:$AB$175,COLUMN(C11),FALSE)</f>
        <v>0</v>
      </c>
      <c r="H112" s="42">
        <f>VLOOKUP($B112,'NG Result'!$A$144:$AB$175,COLUMN(D11),FALSE)</f>
        <v>0</v>
      </c>
      <c r="I112" s="42">
        <f>VLOOKUP($B112,'NG Result'!$A$144:$AB$175,COLUMN(E11),FALSE)</f>
        <v>0</v>
      </c>
      <c r="J112" s="42">
        <f>VLOOKUP($B112,'NG Result'!$A$144:$AB$175,COLUMN(F11),FALSE)</f>
        <v>0</v>
      </c>
      <c r="K112" s="42">
        <f>VLOOKUP($B112,'NG Result'!$A$144:$AB$175,COLUMN(G11),FALSE)</f>
        <v>0</v>
      </c>
      <c r="L112" s="42">
        <f>VLOOKUP($B112,'NG Result'!$A$144:$AB$175,COLUMN(H11),FALSE)</f>
        <v>0</v>
      </c>
      <c r="M112" s="42">
        <f>VLOOKUP($B112,'NG Result'!$A$144:$AB$175,COLUMN(I11),FALSE)</f>
        <v>0</v>
      </c>
      <c r="N112" s="42">
        <f>VLOOKUP($B112,'NG Result'!$A$144:$AB$175,COLUMN(J11),FALSE)</f>
        <v>0</v>
      </c>
      <c r="O112" s="42">
        <f>VLOOKUP($B112,'NG Result'!$A$144:$AB$175,COLUMN(K11),FALSE)</f>
        <v>0</v>
      </c>
      <c r="P112" s="42">
        <f>VLOOKUP($B112,'NG Result'!$A$144:$AB$175,COLUMN(L11),FALSE)</f>
        <v>0</v>
      </c>
      <c r="Q112" s="42">
        <f>VLOOKUP($B112,'NG Result'!$A$144:$AB$175,COLUMN(M11),FALSE)</f>
        <v>0</v>
      </c>
      <c r="R112" s="42">
        <f>VLOOKUP($B112,'NG Result'!$A$144:$AB$175,COLUMN(N11),FALSE)</f>
        <v>748.699999999999</v>
      </c>
      <c r="S112" s="42">
        <f>VLOOKUP($B112,'NG Result'!$A$144:$AB$175,COLUMN(O11),FALSE)</f>
        <v>553</v>
      </c>
      <c r="T112" s="42">
        <f>VLOOKUP($B112,'NG Result'!$A$144:$AB$175,COLUMN(P11),FALSE)</f>
        <v>380</v>
      </c>
      <c r="U112" s="42">
        <f>VLOOKUP($B112,'NG Result'!$A$144:$AB$175,COLUMN(Q11),FALSE)</f>
        <v>223.8</v>
      </c>
      <c r="V112" s="42">
        <f>VLOOKUP($B112,'NG Result'!$A$144:$AB$175,COLUMN(R11),FALSE)</f>
        <v>223.8</v>
      </c>
      <c r="W112" s="42">
        <f>VLOOKUP($B112,'NG Result'!$A$144:$AB$175,COLUMN(S11),FALSE)</f>
        <v>223.8</v>
      </c>
      <c r="X112" s="42">
        <f>VLOOKUP($B112,'NG Result'!$A$144:$AB$175,COLUMN(T11),FALSE)</f>
        <v>443.8</v>
      </c>
      <c r="Y112" s="42">
        <f>VLOOKUP($B112,'NG Result'!$A$144:$AB$175,COLUMN(U11),FALSE)</f>
        <v>1385.8</v>
      </c>
      <c r="Z112" s="42">
        <f>VLOOKUP($B112,'NG Result'!$A$144:$AB$175,COLUMN(V11),FALSE)</f>
        <v>1354.3</v>
      </c>
      <c r="AA112" s="42">
        <f>VLOOKUP($B112,'NG Result'!$A$144:$AB$175,COLUMN(W11),FALSE)</f>
        <v>121.6</v>
      </c>
      <c r="AB112" s="42">
        <f>VLOOKUP($B112,'NG Result'!$A$144:$AB$175,COLUMN(X11),FALSE)</f>
        <v>2273.6</v>
      </c>
      <c r="AC112" s="42">
        <f>VLOOKUP($B112,'NG Result'!$A$144:$AB$175,COLUMN(Y11),FALSE)</f>
        <v>983.6</v>
      </c>
      <c r="AD112" s="42">
        <f>VLOOKUP($B112,'NG Result'!$A$144:$AB$175,COLUMN(Z11),FALSE)+VLOOKUP($B112,'project vs stock'!$A$72:$W$103,16,FALSE)/5</f>
        <v>3864</v>
      </c>
      <c r="AE112" s="42">
        <f>VLOOKUP($B112,'NG Result'!$A$144:$AB$175,COLUMN(AA11),FALSE)+VLOOKUP($B112,'project vs stock'!$A$72:$W$103,16,FALSE)/5</f>
        <v>2144.4</v>
      </c>
      <c r="AF112" s="43">
        <f>VLOOKUP($B112,'NG Result'!$A$144:$AB$175,COLUMN(AB11),FALSE)+VLOOKUP($B112,'project vs stock'!$A$72:$W$103,16,FALSE)/5</f>
        <v>1107.8</v>
      </c>
    </row>
    <row r="113" ht="13.85" spans="1:32">
      <c r="A113" s="27" t="s">
        <v>167</v>
      </c>
      <c r="B113" s="44" t="s">
        <v>102</v>
      </c>
      <c r="C113" s="42"/>
      <c r="D113" s="42"/>
      <c r="E113" s="42"/>
      <c r="F113" s="42">
        <f>VLOOKUP($B113,'NG Result'!$A$144:$AB$175,COLUMN(B12),FALSE)</f>
        <v>0</v>
      </c>
      <c r="G113" s="42">
        <f>VLOOKUP($B113,'NG Result'!$A$144:$AB$175,COLUMN(C12),FALSE)</f>
        <v>0</v>
      </c>
      <c r="H113" s="42">
        <f>VLOOKUP($B113,'NG Result'!$A$144:$AB$175,COLUMN(D12),FALSE)</f>
        <v>0</v>
      </c>
      <c r="I113" s="42">
        <f>VLOOKUP($B113,'NG Result'!$A$144:$AB$175,COLUMN(E12),FALSE)</f>
        <v>0</v>
      </c>
      <c r="J113" s="42">
        <f>VLOOKUP($B113,'NG Result'!$A$144:$AB$175,COLUMN(F12),FALSE)</f>
        <v>0</v>
      </c>
      <c r="K113" s="42">
        <f>VLOOKUP($B113,'NG Result'!$A$144:$AB$175,COLUMN(G12),FALSE)</f>
        <v>0</v>
      </c>
      <c r="L113" s="42">
        <f>VLOOKUP($B113,'NG Result'!$A$144:$AB$175,COLUMN(H12),FALSE)</f>
        <v>0</v>
      </c>
      <c r="M113" s="42">
        <f>VLOOKUP($B113,'NG Result'!$A$144:$AB$175,COLUMN(I12),FALSE)</f>
        <v>0</v>
      </c>
      <c r="N113" s="42">
        <f>VLOOKUP($B113,'NG Result'!$A$144:$AB$175,COLUMN(J12),FALSE)</f>
        <v>0</v>
      </c>
      <c r="O113" s="42">
        <f>VLOOKUP($B113,'NG Result'!$A$144:$AB$175,COLUMN(K12),FALSE)</f>
        <v>0</v>
      </c>
      <c r="P113" s="42">
        <f>VLOOKUP($B113,'NG Result'!$A$144:$AB$175,COLUMN(L12),FALSE)</f>
        <v>0</v>
      </c>
      <c r="Q113" s="42">
        <f>VLOOKUP($B113,'NG Result'!$A$144:$AB$175,COLUMN(M12),FALSE)</f>
        <v>0</v>
      </c>
      <c r="R113" s="42">
        <f>VLOOKUP($B113,'NG Result'!$A$144:$AB$175,COLUMN(N12),FALSE)</f>
        <v>0</v>
      </c>
      <c r="S113" s="42">
        <f>VLOOKUP($B113,'NG Result'!$A$144:$AB$175,COLUMN(O12),FALSE)</f>
        <v>0</v>
      </c>
      <c r="T113" s="42">
        <f>VLOOKUP($B113,'NG Result'!$A$144:$AB$175,COLUMN(P12),FALSE)</f>
        <v>286.789999999999</v>
      </c>
      <c r="U113" s="42">
        <f>VLOOKUP($B113,'NG Result'!$A$144:$AB$175,COLUMN(Q12),FALSE)</f>
        <v>804.91</v>
      </c>
      <c r="V113" s="42">
        <f>VLOOKUP($B113,'NG Result'!$A$144:$AB$175,COLUMN(R12),FALSE)</f>
        <v>0</v>
      </c>
      <c r="W113" s="42">
        <f>VLOOKUP($B113,'NG Result'!$A$144:$AB$175,COLUMN(S12),FALSE)</f>
        <v>0</v>
      </c>
      <c r="X113" s="42">
        <f>VLOOKUP($B113,'NG Result'!$A$144:$AB$175,COLUMN(T12),FALSE)</f>
        <v>0</v>
      </c>
      <c r="Y113" s="42">
        <f>VLOOKUP($B113,'NG Result'!$A$144:$AB$175,COLUMN(U12),FALSE)</f>
        <v>1267</v>
      </c>
      <c r="Z113" s="42">
        <f>VLOOKUP($B113,'NG Result'!$A$144:$AB$175,COLUMN(V12),FALSE)</f>
        <v>3281.6</v>
      </c>
      <c r="AA113" s="42">
        <f>VLOOKUP($B113,'NG Result'!$A$144:$AB$175,COLUMN(W12),FALSE)</f>
        <v>2912</v>
      </c>
      <c r="AB113" s="42">
        <f>VLOOKUP($B113,'NG Result'!$A$144:$AB$175,COLUMN(X12),FALSE)</f>
        <v>2534.1</v>
      </c>
      <c r="AC113" s="42">
        <f>VLOOKUP($B113,'NG Result'!$A$144:$AB$175,COLUMN(Y12),FALSE)</f>
        <v>969.6</v>
      </c>
      <c r="AD113" s="42">
        <f>VLOOKUP($B113,'NG Result'!$A$144:$AB$175,COLUMN(Z12),FALSE)+VLOOKUP($B113,'project vs stock'!$A$72:$W$103,16,FALSE)/5</f>
        <v>224</v>
      </c>
      <c r="AE113" s="42">
        <f>VLOOKUP($B113,'NG Result'!$A$144:$AB$175,COLUMN(AA12),FALSE)+VLOOKUP($B113,'project vs stock'!$A$72:$W$103,16,FALSE)/5</f>
        <v>244.1</v>
      </c>
      <c r="AF113" s="43">
        <f>VLOOKUP($B113,'NG Result'!$A$144:$AB$175,COLUMN(AB12),FALSE)+VLOOKUP($B113,'project vs stock'!$A$72:$W$103,16,FALSE)/5</f>
        <v>29.8999999999996</v>
      </c>
    </row>
    <row r="114" ht="13.85" spans="1:32">
      <c r="A114" s="27" t="s">
        <v>167</v>
      </c>
      <c r="B114" s="44" t="s">
        <v>104</v>
      </c>
      <c r="C114" s="42"/>
      <c r="D114" s="42"/>
      <c r="E114" s="42"/>
      <c r="F114" s="42">
        <f>VLOOKUP($B114,'NG Result'!$A$144:$AB$175,COLUMN(B13),FALSE)</f>
        <v>0</v>
      </c>
      <c r="G114" s="42">
        <f>VLOOKUP($B114,'NG Result'!$A$144:$AB$175,COLUMN(C13),FALSE)</f>
        <v>0</v>
      </c>
      <c r="H114" s="42">
        <f>VLOOKUP($B114,'NG Result'!$A$144:$AB$175,COLUMN(D13),FALSE)</f>
        <v>0</v>
      </c>
      <c r="I114" s="42">
        <f>VLOOKUP($B114,'NG Result'!$A$144:$AB$175,COLUMN(E13),FALSE)</f>
        <v>0</v>
      </c>
      <c r="J114" s="42">
        <f>VLOOKUP($B114,'NG Result'!$A$144:$AB$175,COLUMN(F13),FALSE)</f>
        <v>0</v>
      </c>
      <c r="K114" s="42">
        <f>VLOOKUP($B114,'NG Result'!$A$144:$AB$175,COLUMN(G13),FALSE)</f>
        <v>0</v>
      </c>
      <c r="L114" s="42">
        <f>VLOOKUP($B114,'NG Result'!$A$144:$AB$175,COLUMN(H13),FALSE)</f>
        <v>0</v>
      </c>
      <c r="M114" s="42">
        <f>VLOOKUP($B114,'NG Result'!$A$144:$AB$175,COLUMN(I13),FALSE)</f>
        <v>0</v>
      </c>
      <c r="N114" s="42">
        <f>VLOOKUP($B114,'NG Result'!$A$144:$AB$175,COLUMN(J13),FALSE)</f>
        <v>0</v>
      </c>
      <c r="O114" s="42">
        <f>VLOOKUP($B114,'NG Result'!$A$144:$AB$175,COLUMN(K13),FALSE)</f>
        <v>0</v>
      </c>
      <c r="P114" s="42">
        <f>VLOOKUP($B114,'NG Result'!$A$144:$AB$175,COLUMN(L13),FALSE)</f>
        <v>0</v>
      </c>
      <c r="Q114" s="42">
        <f>VLOOKUP($B114,'NG Result'!$A$144:$AB$175,COLUMN(M13),FALSE)</f>
        <v>0</v>
      </c>
      <c r="R114" s="42">
        <f>VLOOKUP($B114,'NG Result'!$A$144:$AB$175,COLUMN(N13),FALSE)</f>
        <v>0</v>
      </c>
      <c r="S114" s="42">
        <f>VLOOKUP($B114,'NG Result'!$A$144:$AB$175,COLUMN(O13),FALSE)</f>
        <v>0</v>
      </c>
      <c r="T114" s="42">
        <f>VLOOKUP($B114,'NG Result'!$A$144:$AB$175,COLUMN(P13),FALSE)</f>
        <v>0</v>
      </c>
      <c r="U114" s="42">
        <f>VLOOKUP($B114,'NG Result'!$A$144:$AB$175,COLUMN(Q13),FALSE)</f>
        <v>0</v>
      </c>
      <c r="V114" s="42">
        <f>VLOOKUP($B114,'NG Result'!$A$144:$AB$175,COLUMN(R13),FALSE)</f>
        <v>0</v>
      </c>
      <c r="W114" s="42">
        <f>VLOOKUP($B114,'NG Result'!$A$144:$AB$175,COLUMN(S13),FALSE)</f>
        <v>0</v>
      </c>
      <c r="X114" s="42">
        <f>VLOOKUP($B114,'NG Result'!$A$144:$AB$175,COLUMN(T13),FALSE)</f>
        <v>0</v>
      </c>
      <c r="Y114" s="42">
        <f>VLOOKUP($B114,'NG Result'!$A$144:$AB$175,COLUMN(U13),FALSE)</f>
        <v>0</v>
      </c>
      <c r="Z114" s="42">
        <f>VLOOKUP($B114,'NG Result'!$A$144:$AB$175,COLUMN(V13),FALSE)</f>
        <v>0</v>
      </c>
      <c r="AA114" s="42">
        <f>VLOOKUP($B114,'NG Result'!$A$144:$AB$175,COLUMN(W13),FALSE)</f>
        <v>65</v>
      </c>
      <c r="AB114" s="42">
        <f>VLOOKUP($B114,'NG Result'!$A$144:$AB$175,COLUMN(X13),FALSE)</f>
        <v>25</v>
      </c>
      <c r="AC114" s="42">
        <f>VLOOKUP($B114,'NG Result'!$A$144:$AB$175,COLUMN(Y13),FALSE)</f>
        <v>25</v>
      </c>
      <c r="AD114" s="42">
        <f>VLOOKUP($B114,'NG Result'!$A$144:$AB$175,COLUMN(Z13),FALSE)+VLOOKUP($B114,'project vs stock'!$A$72:$W$103,16,FALSE)/5</f>
        <v>0</v>
      </c>
      <c r="AE114" s="42">
        <f>VLOOKUP($B114,'NG Result'!$A$144:$AB$175,COLUMN(AA13),FALSE)+VLOOKUP($B114,'project vs stock'!$A$72:$W$103,16,FALSE)/5</f>
        <v>12</v>
      </c>
      <c r="AF114" s="43">
        <f>VLOOKUP($B114,'NG Result'!$A$144:$AB$175,COLUMN(AB13),FALSE)+VLOOKUP($B114,'project vs stock'!$A$72:$W$103,16,FALSE)/5</f>
        <v>0</v>
      </c>
    </row>
    <row r="115" ht="13.85" spans="1:32">
      <c r="A115" s="27" t="s">
        <v>167</v>
      </c>
      <c r="B115" s="44" t="s">
        <v>106</v>
      </c>
      <c r="C115" s="42"/>
      <c r="D115" s="42"/>
      <c r="E115" s="42"/>
      <c r="F115" s="42">
        <f>VLOOKUP($B115,'NG Result'!$A$144:$AB$175,COLUMN(B14),FALSE)</f>
        <v>0</v>
      </c>
      <c r="G115" s="42">
        <f>VLOOKUP($B115,'NG Result'!$A$144:$AB$175,COLUMN(C14),FALSE)</f>
        <v>0</v>
      </c>
      <c r="H115" s="42">
        <f>VLOOKUP($B115,'NG Result'!$A$144:$AB$175,COLUMN(D14),FALSE)</f>
        <v>0</v>
      </c>
      <c r="I115" s="42">
        <f>VLOOKUP($B115,'NG Result'!$A$144:$AB$175,COLUMN(E14),FALSE)</f>
        <v>0</v>
      </c>
      <c r="J115" s="42">
        <f>VLOOKUP($B115,'NG Result'!$A$144:$AB$175,COLUMN(F14),FALSE)</f>
        <v>0</v>
      </c>
      <c r="K115" s="42">
        <f>VLOOKUP($B115,'NG Result'!$A$144:$AB$175,COLUMN(G14),FALSE)</f>
        <v>0</v>
      </c>
      <c r="L115" s="42">
        <f>VLOOKUP($B115,'NG Result'!$A$144:$AB$175,COLUMN(H14),FALSE)</f>
        <v>0</v>
      </c>
      <c r="M115" s="42">
        <f>VLOOKUP($B115,'NG Result'!$A$144:$AB$175,COLUMN(I14),FALSE)</f>
        <v>0</v>
      </c>
      <c r="N115" s="42">
        <f>VLOOKUP($B115,'NG Result'!$A$144:$AB$175,COLUMN(J14),FALSE)</f>
        <v>0</v>
      </c>
      <c r="O115" s="42">
        <f>VLOOKUP($B115,'NG Result'!$A$144:$AB$175,COLUMN(K14),FALSE)</f>
        <v>0</v>
      </c>
      <c r="P115" s="42">
        <f>VLOOKUP($B115,'NG Result'!$A$144:$AB$175,COLUMN(L14),FALSE)</f>
        <v>0</v>
      </c>
      <c r="Q115" s="42">
        <f>VLOOKUP($B115,'NG Result'!$A$144:$AB$175,COLUMN(M14),FALSE)</f>
        <v>0</v>
      </c>
      <c r="R115" s="42">
        <f>VLOOKUP($B115,'NG Result'!$A$144:$AB$175,COLUMN(N14),FALSE)</f>
        <v>0</v>
      </c>
      <c r="S115" s="42">
        <f>VLOOKUP($B115,'NG Result'!$A$144:$AB$175,COLUMN(O14),FALSE)</f>
        <v>0</v>
      </c>
      <c r="T115" s="42">
        <f>VLOOKUP($B115,'NG Result'!$A$144:$AB$175,COLUMN(P14),FALSE)</f>
        <v>0</v>
      </c>
      <c r="U115" s="42">
        <f>VLOOKUP($B115,'NG Result'!$A$144:$AB$175,COLUMN(Q14),FALSE)</f>
        <v>0</v>
      </c>
      <c r="V115" s="42">
        <f>VLOOKUP($B115,'NG Result'!$A$144:$AB$175,COLUMN(R14),FALSE)</f>
        <v>2130.4</v>
      </c>
      <c r="W115" s="42">
        <f>VLOOKUP($B115,'NG Result'!$A$144:$AB$175,COLUMN(S14),FALSE)</f>
        <v>1511.6</v>
      </c>
      <c r="X115" s="42">
        <f>VLOOKUP($B115,'NG Result'!$A$144:$AB$175,COLUMN(T14),FALSE)</f>
        <v>111.6</v>
      </c>
      <c r="Y115" s="42">
        <f>VLOOKUP($B115,'NG Result'!$A$144:$AB$175,COLUMN(U14),FALSE)</f>
        <v>111.6</v>
      </c>
      <c r="Z115" s="42">
        <f>VLOOKUP($B115,'NG Result'!$A$144:$AB$175,COLUMN(V14),FALSE)</f>
        <v>0</v>
      </c>
      <c r="AA115" s="42">
        <f>VLOOKUP($B115,'NG Result'!$A$144:$AB$175,COLUMN(W14),FALSE)</f>
        <v>0</v>
      </c>
      <c r="AB115" s="42">
        <f>VLOOKUP($B115,'NG Result'!$A$144:$AB$175,COLUMN(X14),FALSE)</f>
        <v>0</v>
      </c>
      <c r="AC115" s="42">
        <f>VLOOKUP($B115,'NG Result'!$A$144:$AB$175,COLUMN(Y14),FALSE)</f>
        <v>0</v>
      </c>
      <c r="AD115" s="42">
        <f>VLOOKUP($B115,'NG Result'!$A$144:$AB$175,COLUMN(Z14),FALSE)+VLOOKUP($B115,'project vs stock'!$A$72:$W$103,16,FALSE)/5</f>
        <v>32.8400000000002</v>
      </c>
      <c r="AE115" s="42">
        <f>VLOOKUP($B115,'NG Result'!$A$144:$AB$175,COLUMN(AA14),FALSE)+VLOOKUP($B115,'project vs stock'!$A$72:$W$103,16,FALSE)/5</f>
        <v>1.04</v>
      </c>
      <c r="AF115" s="43">
        <f>VLOOKUP($B115,'NG Result'!$A$144:$AB$175,COLUMN(AB14),FALSE)+VLOOKUP($B115,'project vs stock'!$A$72:$W$103,16,FALSE)/5</f>
        <v>4.04</v>
      </c>
    </row>
    <row r="116" ht="13.85" spans="1:32">
      <c r="A116" s="27" t="s">
        <v>167</v>
      </c>
      <c r="B116" s="44" t="s">
        <v>108</v>
      </c>
      <c r="C116" s="42"/>
      <c r="D116" s="42"/>
      <c r="E116" s="42"/>
      <c r="F116" s="42">
        <f>VLOOKUP($B116,'NG Result'!$A$144:$AB$175,COLUMN(B15),FALSE)</f>
        <v>0</v>
      </c>
      <c r="G116" s="42">
        <f>VLOOKUP($B116,'NG Result'!$A$144:$AB$175,COLUMN(C15),FALSE)</f>
        <v>0</v>
      </c>
      <c r="H116" s="42">
        <f>VLOOKUP($B116,'NG Result'!$A$144:$AB$175,COLUMN(D15),FALSE)</f>
        <v>0</v>
      </c>
      <c r="I116" s="42">
        <f>VLOOKUP($B116,'NG Result'!$A$144:$AB$175,COLUMN(E15),FALSE)</f>
        <v>0</v>
      </c>
      <c r="J116" s="42">
        <f>VLOOKUP($B116,'NG Result'!$A$144:$AB$175,COLUMN(F15),FALSE)</f>
        <v>0</v>
      </c>
      <c r="K116" s="42">
        <f>VLOOKUP($B116,'NG Result'!$A$144:$AB$175,COLUMN(G15),FALSE)</f>
        <v>0</v>
      </c>
      <c r="L116" s="42">
        <f>VLOOKUP($B116,'NG Result'!$A$144:$AB$175,COLUMN(H15),FALSE)</f>
        <v>0</v>
      </c>
      <c r="M116" s="42">
        <f>VLOOKUP($B116,'NG Result'!$A$144:$AB$175,COLUMN(I15),FALSE)</f>
        <v>0</v>
      </c>
      <c r="N116" s="42">
        <f>VLOOKUP($B116,'NG Result'!$A$144:$AB$175,COLUMN(J15),FALSE)</f>
        <v>0</v>
      </c>
      <c r="O116" s="42">
        <f>VLOOKUP($B116,'NG Result'!$A$144:$AB$175,COLUMN(K15),FALSE)</f>
        <v>0</v>
      </c>
      <c r="P116" s="42">
        <f>VLOOKUP($B116,'NG Result'!$A$144:$AB$175,COLUMN(L15),FALSE)</f>
        <v>0</v>
      </c>
      <c r="Q116" s="42">
        <f>VLOOKUP($B116,'NG Result'!$A$144:$AB$175,COLUMN(M15),FALSE)</f>
        <v>0</v>
      </c>
      <c r="R116" s="42">
        <f>VLOOKUP($B116,'NG Result'!$A$144:$AB$175,COLUMN(N15),FALSE)</f>
        <v>0</v>
      </c>
      <c r="S116" s="42">
        <f>VLOOKUP($B116,'NG Result'!$A$144:$AB$175,COLUMN(O15),FALSE)</f>
        <v>0</v>
      </c>
      <c r="T116" s="42">
        <f>VLOOKUP($B116,'NG Result'!$A$144:$AB$175,COLUMN(P15),FALSE)</f>
        <v>0</v>
      </c>
      <c r="U116" s="42">
        <f>VLOOKUP($B116,'NG Result'!$A$144:$AB$175,COLUMN(Q15),FALSE)</f>
        <v>0</v>
      </c>
      <c r="V116" s="42">
        <f>VLOOKUP($B116,'NG Result'!$A$144:$AB$175,COLUMN(R15),FALSE)</f>
        <v>0</v>
      </c>
      <c r="W116" s="42">
        <f>VLOOKUP($B116,'NG Result'!$A$144:$AB$175,COLUMN(S15),FALSE)</f>
        <v>0</v>
      </c>
      <c r="X116" s="42">
        <f>VLOOKUP($B116,'NG Result'!$A$144:$AB$175,COLUMN(T15),FALSE)</f>
        <v>0</v>
      </c>
      <c r="Y116" s="42">
        <f>VLOOKUP($B116,'NG Result'!$A$144:$AB$175,COLUMN(U15),FALSE)</f>
        <v>0</v>
      </c>
      <c r="Z116" s="42">
        <f>VLOOKUP($B116,'NG Result'!$A$144:$AB$175,COLUMN(V15),FALSE)</f>
        <v>0</v>
      </c>
      <c r="AA116" s="42">
        <f>VLOOKUP($B116,'NG Result'!$A$144:$AB$175,COLUMN(W15),FALSE)</f>
        <v>49</v>
      </c>
      <c r="AB116" s="42">
        <f>VLOOKUP($B116,'NG Result'!$A$144:$AB$175,COLUMN(X15),FALSE)</f>
        <v>25</v>
      </c>
      <c r="AC116" s="42">
        <f>VLOOKUP($B116,'NG Result'!$A$144:$AB$175,COLUMN(Y15),FALSE)</f>
        <v>25</v>
      </c>
      <c r="AD116" s="42">
        <f>VLOOKUP($B116,'NG Result'!$A$144:$AB$175,COLUMN(Z15),FALSE)+VLOOKUP($B116,'project vs stock'!$A$72:$W$103,16,FALSE)/5</f>
        <v>0</v>
      </c>
      <c r="AE116" s="42">
        <f>VLOOKUP($B116,'NG Result'!$A$144:$AB$175,COLUMN(AA15),FALSE)+VLOOKUP($B116,'project vs stock'!$A$72:$W$103,16,FALSE)/5</f>
        <v>0</v>
      </c>
      <c r="AF116" s="43">
        <f>VLOOKUP($B116,'NG Result'!$A$144:$AB$175,COLUMN(AB15),FALSE)+VLOOKUP($B116,'project vs stock'!$A$72:$W$103,16,FALSE)/5</f>
        <v>0</v>
      </c>
    </row>
    <row r="117" ht="13.85" spans="1:32">
      <c r="A117" s="27" t="s">
        <v>167</v>
      </c>
      <c r="B117" s="44" t="s">
        <v>110</v>
      </c>
      <c r="C117" s="42"/>
      <c r="D117" s="42"/>
      <c r="E117" s="42"/>
      <c r="F117" s="42">
        <f>VLOOKUP($B117,'NG Result'!$A$144:$AB$175,COLUMN(B16),FALSE)</f>
        <v>0</v>
      </c>
      <c r="G117" s="42">
        <f>VLOOKUP($B117,'NG Result'!$A$144:$AB$175,COLUMN(C16),FALSE)</f>
        <v>0</v>
      </c>
      <c r="H117" s="42">
        <f>VLOOKUP($B117,'NG Result'!$A$144:$AB$175,COLUMN(D16),FALSE)</f>
        <v>0</v>
      </c>
      <c r="I117" s="42">
        <f>VLOOKUP($B117,'NG Result'!$A$144:$AB$175,COLUMN(E16),FALSE)</f>
        <v>0</v>
      </c>
      <c r="J117" s="42">
        <f>VLOOKUP($B117,'NG Result'!$A$144:$AB$175,COLUMN(F16),FALSE)</f>
        <v>0</v>
      </c>
      <c r="K117" s="42">
        <f>VLOOKUP($B117,'NG Result'!$A$144:$AB$175,COLUMN(G16),FALSE)</f>
        <v>0</v>
      </c>
      <c r="L117" s="42">
        <f>VLOOKUP($B117,'NG Result'!$A$144:$AB$175,COLUMN(H16),FALSE)</f>
        <v>0</v>
      </c>
      <c r="M117" s="42">
        <f>VLOOKUP($B117,'NG Result'!$A$144:$AB$175,COLUMN(I16),FALSE)</f>
        <v>0</v>
      </c>
      <c r="N117" s="42">
        <f>VLOOKUP($B117,'NG Result'!$A$144:$AB$175,COLUMN(J16),FALSE)</f>
        <v>0</v>
      </c>
      <c r="O117" s="42">
        <f>VLOOKUP($B117,'NG Result'!$A$144:$AB$175,COLUMN(K16),FALSE)</f>
        <v>0</v>
      </c>
      <c r="P117" s="42">
        <f>VLOOKUP($B117,'NG Result'!$A$144:$AB$175,COLUMN(L16),FALSE)</f>
        <v>0</v>
      </c>
      <c r="Q117" s="42">
        <f>VLOOKUP($B117,'NG Result'!$A$144:$AB$175,COLUMN(M16),FALSE)</f>
        <v>0</v>
      </c>
      <c r="R117" s="42">
        <f>VLOOKUP($B117,'NG Result'!$A$144:$AB$175,COLUMN(N16),FALSE)</f>
        <v>0</v>
      </c>
      <c r="S117" s="42">
        <f>VLOOKUP($B117,'NG Result'!$A$144:$AB$175,COLUMN(O16),FALSE)</f>
        <v>0</v>
      </c>
      <c r="T117" s="42">
        <f>VLOOKUP($B117,'NG Result'!$A$144:$AB$175,COLUMN(P16),FALSE)</f>
        <v>0</v>
      </c>
      <c r="U117" s="42">
        <f>VLOOKUP($B117,'NG Result'!$A$144:$AB$175,COLUMN(Q16),FALSE)</f>
        <v>0</v>
      </c>
      <c r="V117" s="42">
        <f>VLOOKUP($B117,'NG Result'!$A$144:$AB$175,COLUMN(R16),FALSE)</f>
        <v>0</v>
      </c>
      <c r="W117" s="42">
        <f>VLOOKUP($B117,'NG Result'!$A$144:$AB$175,COLUMN(S16),FALSE)</f>
        <v>0</v>
      </c>
      <c r="X117" s="42">
        <f>VLOOKUP($B117,'NG Result'!$A$144:$AB$175,COLUMN(T16),FALSE)</f>
        <v>0</v>
      </c>
      <c r="Y117" s="42">
        <f>VLOOKUP($B117,'NG Result'!$A$144:$AB$175,COLUMN(U16),FALSE)</f>
        <v>0</v>
      </c>
      <c r="Z117" s="42">
        <f>VLOOKUP($B117,'NG Result'!$A$144:$AB$175,COLUMN(V16),FALSE)</f>
        <v>0</v>
      </c>
      <c r="AA117" s="42">
        <f>VLOOKUP($B117,'NG Result'!$A$144:$AB$175,COLUMN(W16),FALSE)</f>
        <v>0</v>
      </c>
      <c r="AB117" s="42">
        <f>VLOOKUP($B117,'NG Result'!$A$144:$AB$175,COLUMN(X16),FALSE)</f>
        <v>0</v>
      </c>
      <c r="AC117" s="42">
        <f>VLOOKUP($B117,'NG Result'!$A$144:$AB$175,COLUMN(Y16),FALSE)</f>
        <v>0.399999999999999</v>
      </c>
      <c r="AD117" s="42">
        <f>VLOOKUP($B117,'NG Result'!$A$144:$AB$175,COLUMN(Z16),FALSE)+VLOOKUP($B117,'project vs stock'!$A$72:$W$103,16,FALSE)/5</f>
        <v>0</v>
      </c>
      <c r="AE117" s="42">
        <f>VLOOKUP($B117,'NG Result'!$A$144:$AB$175,COLUMN(AA16),FALSE)+VLOOKUP($B117,'project vs stock'!$A$72:$W$103,16,FALSE)/5</f>
        <v>6</v>
      </c>
      <c r="AF117" s="43">
        <f>VLOOKUP($B117,'NG Result'!$A$144:$AB$175,COLUMN(AB16),FALSE)+VLOOKUP($B117,'project vs stock'!$A$72:$W$103,16,FALSE)/5</f>
        <v>6.6</v>
      </c>
    </row>
    <row r="118" ht="13.85" spans="1:32">
      <c r="A118" s="27" t="s">
        <v>167</v>
      </c>
      <c r="B118" s="44" t="s">
        <v>112</v>
      </c>
      <c r="C118" s="42"/>
      <c r="D118" s="42"/>
      <c r="E118" s="42"/>
      <c r="F118" s="42">
        <f>VLOOKUP($B118,'NG Result'!$A$144:$AB$175,COLUMN(B17),FALSE)</f>
        <v>0</v>
      </c>
      <c r="G118" s="42">
        <f>VLOOKUP($B118,'NG Result'!$A$144:$AB$175,COLUMN(C17),FALSE)</f>
        <v>5.80000000000001</v>
      </c>
      <c r="H118" s="42">
        <f>VLOOKUP($B118,'NG Result'!$A$144:$AB$175,COLUMN(D17),FALSE)</f>
        <v>5.80000000000001</v>
      </c>
      <c r="I118" s="42">
        <f>VLOOKUP($B118,'NG Result'!$A$144:$AB$175,COLUMN(E17),FALSE)</f>
        <v>5.80000000000001</v>
      </c>
      <c r="J118" s="42">
        <f>VLOOKUP($B118,'NG Result'!$A$144:$AB$175,COLUMN(F17),FALSE)</f>
        <v>5.80000000000001</v>
      </c>
      <c r="K118" s="42">
        <f>VLOOKUP($B118,'NG Result'!$A$144:$AB$175,COLUMN(G17),FALSE)</f>
        <v>5.80000000000001</v>
      </c>
      <c r="L118" s="42">
        <f>VLOOKUP($B118,'NG Result'!$A$144:$AB$175,COLUMN(H17),FALSE)</f>
        <v>5.80000000000001</v>
      </c>
      <c r="M118" s="42">
        <f>VLOOKUP($B118,'NG Result'!$A$144:$AB$175,COLUMN(I17),FALSE)</f>
        <v>5.80000000000001</v>
      </c>
      <c r="N118" s="42">
        <f>VLOOKUP($B118,'NG Result'!$A$144:$AB$175,COLUMN(J17),FALSE)</f>
        <v>29.8</v>
      </c>
      <c r="O118" s="42">
        <f>VLOOKUP($B118,'NG Result'!$A$144:$AB$175,COLUMN(K17),FALSE)</f>
        <v>147</v>
      </c>
      <c r="P118" s="42">
        <f>VLOOKUP($B118,'NG Result'!$A$144:$AB$175,COLUMN(L17),FALSE)</f>
        <v>0</v>
      </c>
      <c r="Q118" s="42">
        <f>VLOOKUP($B118,'NG Result'!$A$144:$AB$175,COLUMN(M17),FALSE)</f>
        <v>0</v>
      </c>
      <c r="R118" s="42">
        <f>VLOOKUP($B118,'NG Result'!$A$144:$AB$175,COLUMN(N17),FALSE)</f>
        <v>0</v>
      </c>
      <c r="S118" s="42">
        <f>VLOOKUP($B118,'NG Result'!$A$144:$AB$175,COLUMN(O17),FALSE)</f>
        <v>0</v>
      </c>
      <c r="T118" s="42">
        <f>VLOOKUP($B118,'NG Result'!$A$144:$AB$175,COLUMN(P17),FALSE)</f>
        <v>1170</v>
      </c>
      <c r="U118" s="42">
        <f>VLOOKUP($B118,'NG Result'!$A$144:$AB$175,COLUMN(Q17),FALSE)</f>
        <v>78</v>
      </c>
      <c r="V118" s="42">
        <f>VLOOKUP($B118,'NG Result'!$A$144:$AB$175,COLUMN(R17),FALSE)</f>
        <v>78</v>
      </c>
      <c r="W118" s="42">
        <f>VLOOKUP($B118,'NG Result'!$A$144:$AB$175,COLUMN(S17),FALSE)</f>
        <v>78</v>
      </c>
      <c r="X118" s="42">
        <f>VLOOKUP($B118,'NG Result'!$A$144:$AB$175,COLUMN(T17),FALSE)</f>
        <v>78</v>
      </c>
      <c r="Y118" s="42">
        <f>VLOOKUP($B118,'NG Result'!$A$144:$AB$175,COLUMN(U17),FALSE)</f>
        <v>78</v>
      </c>
      <c r="Z118" s="42">
        <f>VLOOKUP($B118,'NG Result'!$A$144:$AB$175,COLUMN(V17),FALSE)</f>
        <v>12.5</v>
      </c>
      <c r="AA118" s="42">
        <f>VLOOKUP($B118,'NG Result'!$A$144:$AB$175,COLUMN(W17),FALSE)</f>
        <v>12.5</v>
      </c>
      <c r="AB118" s="42">
        <f>VLOOKUP($B118,'NG Result'!$A$144:$AB$175,COLUMN(X17),FALSE)</f>
        <v>12.5</v>
      </c>
      <c r="AC118" s="42">
        <f>VLOOKUP($B118,'NG Result'!$A$144:$AB$175,COLUMN(Y17),FALSE)</f>
        <v>12.5</v>
      </c>
      <c r="AD118" s="42">
        <f>VLOOKUP($B118,'NG Result'!$A$144:$AB$175,COLUMN(Z17),FALSE)+VLOOKUP($B118,'project vs stock'!$A$72:$W$103,16,FALSE)/5</f>
        <v>196.8</v>
      </c>
      <c r="AE118" s="42">
        <f>VLOOKUP($B118,'NG Result'!$A$144:$AB$175,COLUMN(AA17),FALSE)+VLOOKUP($B118,'project vs stock'!$A$72:$W$103,16,FALSE)/5</f>
        <v>510.8</v>
      </c>
      <c r="AF118" s="43">
        <f>VLOOKUP($B118,'NG Result'!$A$144:$AB$175,COLUMN(AB17),FALSE)+VLOOKUP($B118,'project vs stock'!$A$72:$W$103,16,FALSE)/5</f>
        <v>510.8</v>
      </c>
    </row>
    <row r="119" ht="13.85" spans="1:32">
      <c r="A119" s="27" t="s">
        <v>167</v>
      </c>
      <c r="B119" s="44" t="s">
        <v>114</v>
      </c>
      <c r="C119" s="42"/>
      <c r="D119" s="42"/>
      <c r="E119" s="42"/>
      <c r="F119" s="42">
        <f>VLOOKUP($B119,'NG Result'!$A$144:$AB$175,COLUMN(B18),FALSE)</f>
        <v>0</v>
      </c>
      <c r="G119" s="42">
        <f>VLOOKUP($B119,'NG Result'!$A$144:$AB$175,COLUMN(C18),FALSE)</f>
        <v>0</v>
      </c>
      <c r="H119" s="42">
        <f>VLOOKUP($B119,'NG Result'!$A$144:$AB$175,COLUMN(D18),FALSE)</f>
        <v>0</v>
      </c>
      <c r="I119" s="42">
        <f>VLOOKUP($B119,'NG Result'!$A$144:$AB$175,COLUMN(E18),FALSE)</f>
        <v>0</v>
      </c>
      <c r="J119" s="42">
        <f>VLOOKUP($B119,'NG Result'!$A$144:$AB$175,COLUMN(F18),FALSE)</f>
        <v>0</v>
      </c>
      <c r="K119" s="42">
        <f>VLOOKUP($B119,'NG Result'!$A$144:$AB$175,COLUMN(G18),FALSE)</f>
        <v>0</v>
      </c>
      <c r="L119" s="42">
        <f>VLOOKUP($B119,'NG Result'!$A$144:$AB$175,COLUMN(H18),FALSE)</f>
        <v>0</v>
      </c>
      <c r="M119" s="42">
        <f>VLOOKUP($B119,'NG Result'!$A$144:$AB$175,COLUMN(I18),FALSE)</f>
        <v>0</v>
      </c>
      <c r="N119" s="42">
        <f>VLOOKUP($B119,'NG Result'!$A$144:$AB$175,COLUMN(J18),FALSE)</f>
        <v>0</v>
      </c>
      <c r="O119" s="42">
        <f>VLOOKUP($B119,'NG Result'!$A$144:$AB$175,COLUMN(K18),FALSE)</f>
        <v>0</v>
      </c>
      <c r="P119" s="42">
        <f>VLOOKUP($B119,'NG Result'!$A$144:$AB$175,COLUMN(L18),FALSE)</f>
        <v>0</v>
      </c>
      <c r="Q119" s="42">
        <f>VLOOKUP($B119,'NG Result'!$A$144:$AB$175,COLUMN(M18),FALSE)</f>
        <v>0</v>
      </c>
      <c r="R119" s="42">
        <f>VLOOKUP($B119,'NG Result'!$A$144:$AB$175,COLUMN(N18),FALSE)</f>
        <v>0</v>
      </c>
      <c r="S119" s="42">
        <f>VLOOKUP($B119,'NG Result'!$A$144:$AB$175,COLUMN(O18),FALSE)</f>
        <v>28.1000000000001</v>
      </c>
      <c r="T119" s="42">
        <f>VLOOKUP($B119,'NG Result'!$A$144:$AB$175,COLUMN(P18),FALSE)</f>
        <v>0</v>
      </c>
      <c r="U119" s="42">
        <f>VLOOKUP($B119,'NG Result'!$A$144:$AB$175,COLUMN(Q18),FALSE)</f>
        <v>0</v>
      </c>
      <c r="V119" s="42">
        <f>VLOOKUP($B119,'NG Result'!$A$144:$AB$175,COLUMN(R18),FALSE)</f>
        <v>0</v>
      </c>
      <c r="W119" s="42">
        <f>VLOOKUP($B119,'NG Result'!$A$144:$AB$175,COLUMN(S18),FALSE)</f>
        <v>185</v>
      </c>
      <c r="X119" s="42">
        <f>VLOOKUP($B119,'NG Result'!$A$144:$AB$175,COLUMN(T18),FALSE)</f>
        <v>0</v>
      </c>
      <c r="Y119" s="42">
        <f>VLOOKUP($B119,'NG Result'!$A$144:$AB$175,COLUMN(U18),FALSE)</f>
        <v>0</v>
      </c>
      <c r="Z119" s="42">
        <f>VLOOKUP($B119,'NG Result'!$A$144:$AB$175,COLUMN(V18),FALSE)</f>
        <v>50.9</v>
      </c>
      <c r="AA119" s="42">
        <f>VLOOKUP($B119,'NG Result'!$A$144:$AB$175,COLUMN(W18),FALSE)</f>
        <v>50.9</v>
      </c>
      <c r="AB119" s="42">
        <f>VLOOKUP($B119,'NG Result'!$A$144:$AB$175,COLUMN(X18),FALSE)</f>
        <v>420.9</v>
      </c>
      <c r="AC119" s="42">
        <f>VLOOKUP($B119,'NG Result'!$A$144:$AB$175,COLUMN(Y18),FALSE)</f>
        <v>50.9</v>
      </c>
      <c r="AD119" s="42">
        <f>VLOOKUP($B119,'NG Result'!$A$144:$AB$175,COLUMN(Z18),FALSE)+VLOOKUP($B119,'project vs stock'!$A$72:$W$103,16,FALSE)/5</f>
        <v>190.3</v>
      </c>
      <c r="AE119" s="42">
        <f>VLOOKUP($B119,'NG Result'!$A$144:$AB$175,COLUMN(AA18),FALSE)+VLOOKUP($B119,'project vs stock'!$A$72:$W$103,16,FALSE)/5</f>
        <v>0</v>
      </c>
      <c r="AF119" s="43">
        <f>VLOOKUP($B119,'NG Result'!$A$144:$AB$175,COLUMN(AB18),FALSE)+VLOOKUP($B119,'project vs stock'!$A$72:$W$103,16,FALSE)/5</f>
        <v>0</v>
      </c>
    </row>
    <row r="120" ht="13.85" spans="1:32">
      <c r="A120" s="27" t="s">
        <v>167</v>
      </c>
      <c r="B120" s="44" t="s">
        <v>116</v>
      </c>
      <c r="C120" s="42"/>
      <c r="D120" s="42"/>
      <c r="E120" s="42"/>
      <c r="F120" s="42">
        <f>VLOOKUP($B120,'NG Result'!$A$144:$AB$175,COLUMN(B19),FALSE)</f>
        <v>0</v>
      </c>
      <c r="G120" s="42">
        <f>VLOOKUP($B120,'NG Result'!$A$144:$AB$175,COLUMN(C19),FALSE)</f>
        <v>0</v>
      </c>
      <c r="H120" s="42">
        <f>VLOOKUP($B120,'NG Result'!$A$144:$AB$175,COLUMN(D19),FALSE)</f>
        <v>0</v>
      </c>
      <c r="I120" s="42">
        <f>VLOOKUP($B120,'NG Result'!$A$144:$AB$175,COLUMN(E19),FALSE)</f>
        <v>0</v>
      </c>
      <c r="J120" s="42">
        <f>VLOOKUP($B120,'NG Result'!$A$144:$AB$175,COLUMN(F19),FALSE)</f>
        <v>0</v>
      </c>
      <c r="K120" s="42">
        <f>VLOOKUP($B120,'NG Result'!$A$144:$AB$175,COLUMN(G19),FALSE)</f>
        <v>0</v>
      </c>
      <c r="L120" s="42">
        <f>VLOOKUP($B120,'NG Result'!$A$144:$AB$175,COLUMN(H19),FALSE)</f>
        <v>0</v>
      </c>
      <c r="M120" s="42">
        <f>VLOOKUP($B120,'NG Result'!$A$144:$AB$175,COLUMN(I19),FALSE)</f>
        <v>0</v>
      </c>
      <c r="N120" s="42">
        <f>VLOOKUP($B120,'NG Result'!$A$144:$AB$175,COLUMN(J19),FALSE)</f>
        <v>0</v>
      </c>
      <c r="O120" s="42">
        <f>VLOOKUP($B120,'NG Result'!$A$144:$AB$175,COLUMN(K19),FALSE)</f>
        <v>0</v>
      </c>
      <c r="P120" s="42">
        <f>VLOOKUP($B120,'NG Result'!$A$144:$AB$175,COLUMN(L19),FALSE)</f>
        <v>0</v>
      </c>
      <c r="Q120" s="42">
        <f>VLOOKUP($B120,'NG Result'!$A$144:$AB$175,COLUMN(M19),FALSE)</f>
        <v>0</v>
      </c>
      <c r="R120" s="42">
        <f>VLOOKUP($B120,'NG Result'!$A$144:$AB$175,COLUMN(N19),FALSE)</f>
        <v>0</v>
      </c>
      <c r="S120" s="42">
        <f>VLOOKUP($B120,'NG Result'!$A$144:$AB$175,COLUMN(O19),FALSE)</f>
        <v>0</v>
      </c>
      <c r="T120" s="42">
        <f>VLOOKUP($B120,'NG Result'!$A$144:$AB$175,COLUMN(P19),FALSE)</f>
        <v>26.5</v>
      </c>
      <c r="U120" s="42">
        <f>VLOOKUP($B120,'NG Result'!$A$144:$AB$175,COLUMN(Q19),FALSE)</f>
        <v>0</v>
      </c>
      <c r="V120" s="42">
        <f>VLOOKUP($B120,'NG Result'!$A$144:$AB$175,COLUMN(R19),FALSE)</f>
        <v>0</v>
      </c>
      <c r="W120" s="42">
        <f>VLOOKUP($B120,'NG Result'!$A$144:$AB$175,COLUMN(S19),FALSE)</f>
        <v>0</v>
      </c>
      <c r="X120" s="42">
        <f>VLOOKUP($B120,'NG Result'!$A$144:$AB$175,COLUMN(T19),FALSE)</f>
        <v>0</v>
      </c>
      <c r="Y120" s="42">
        <f>VLOOKUP($B120,'NG Result'!$A$144:$AB$175,COLUMN(U19),FALSE)</f>
        <v>0</v>
      </c>
      <c r="Z120" s="42">
        <f>VLOOKUP($B120,'NG Result'!$A$144:$AB$175,COLUMN(V19),FALSE)</f>
        <v>2.5</v>
      </c>
      <c r="AA120" s="42">
        <f>VLOOKUP($B120,'NG Result'!$A$144:$AB$175,COLUMN(W19),FALSE)</f>
        <v>2.5</v>
      </c>
      <c r="AB120" s="42">
        <f>VLOOKUP($B120,'NG Result'!$A$144:$AB$175,COLUMN(X19),FALSE)</f>
        <v>2.5</v>
      </c>
      <c r="AC120" s="42">
        <f>VLOOKUP($B120,'NG Result'!$A$144:$AB$175,COLUMN(Y19),FALSE)</f>
        <v>2.5</v>
      </c>
      <c r="AD120" s="42">
        <f>VLOOKUP($B120,'NG Result'!$A$144:$AB$175,COLUMN(Z19),FALSE)+VLOOKUP($B120,'project vs stock'!$A$72:$W$103,16,FALSE)/5</f>
        <v>0</v>
      </c>
      <c r="AE120" s="42">
        <f>VLOOKUP($B120,'NG Result'!$A$144:$AB$175,COLUMN(AA19),FALSE)+VLOOKUP($B120,'project vs stock'!$A$72:$W$103,16,FALSE)/5</f>
        <v>10</v>
      </c>
      <c r="AF120" s="43">
        <f>VLOOKUP($B120,'NG Result'!$A$144:$AB$175,COLUMN(AB19),FALSE)+VLOOKUP($B120,'project vs stock'!$A$72:$W$103,16,FALSE)/5</f>
        <v>6.5</v>
      </c>
    </row>
    <row r="121" ht="13.85" spans="1:32">
      <c r="A121" s="27" t="s">
        <v>167</v>
      </c>
      <c r="B121" s="44" t="s">
        <v>118</v>
      </c>
      <c r="C121" s="42"/>
      <c r="D121" s="42"/>
      <c r="E121" s="42"/>
      <c r="F121" s="42">
        <f>VLOOKUP($B121,'NG Result'!$A$144:$AB$175,COLUMN(B20),FALSE)</f>
        <v>0</v>
      </c>
      <c r="G121" s="42">
        <f>VLOOKUP($B121,'NG Result'!$A$144:$AB$175,COLUMN(C20),FALSE)</f>
        <v>266.9</v>
      </c>
      <c r="H121" s="42">
        <f>VLOOKUP($B121,'NG Result'!$A$144:$AB$175,COLUMN(D20),FALSE)</f>
        <v>266.9</v>
      </c>
      <c r="I121" s="42">
        <f>VLOOKUP($B121,'NG Result'!$A$144:$AB$175,COLUMN(E20),FALSE)</f>
        <v>266.9</v>
      </c>
      <c r="J121" s="42">
        <f>VLOOKUP($B121,'NG Result'!$A$144:$AB$175,COLUMN(F20),FALSE)</f>
        <v>391.9</v>
      </c>
      <c r="K121" s="42">
        <f>VLOOKUP($B121,'NG Result'!$A$144:$AB$175,COLUMN(G20),FALSE)</f>
        <v>391.9</v>
      </c>
      <c r="L121" s="42">
        <f>VLOOKUP($B121,'NG Result'!$A$144:$AB$175,COLUMN(H20),FALSE)</f>
        <v>266.9</v>
      </c>
      <c r="M121" s="42">
        <f>VLOOKUP($B121,'NG Result'!$A$144:$AB$175,COLUMN(I20),FALSE)</f>
        <v>266.9</v>
      </c>
      <c r="N121" s="42">
        <f>VLOOKUP($B121,'NG Result'!$A$144:$AB$175,COLUMN(J20),FALSE)</f>
        <v>266.9</v>
      </c>
      <c r="O121" s="42">
        <f>VLOOKUP($B121,'NG Result'!$A$144:$AB$175,COLUMN(K20),FALSE)</f>
        <v>236</v>
      </c>
      <c r="P121" s="42">
        <f>VLOOKUP($B121,'NG Result'!$A$144:$AB$175,COLUMN(L20),FALSE)</f>
        <v>403</v>
      </c>
      <c r="Q121" s="42">
        <f>VLOOKUP($B121,'NG Result'!$A$144:$AB$175,COLUMN(M20),FALSE)</f>
        <v>0</v>
      </c>
      <c r="R121" s="42">
        <f>VLOOKUP($B121,'NG Result'!$A$144:$AB$175,COLUMN(N20),FALSE)</f>
        <v>1124</v>
      </c>
      <c r="S121" s="42">
        <f>VLOOKUP($B121,'NG Result'!$A$144:$AB$175,COLUMN(O20),FALSE)</f>
        <v>2145</v>
      </c>
      <c r="T121" s="42">
        <f>VLOOKUP($B121,'NG Result'!$A$144:$AB$175,COLUMN(P20),FALSE)</f>
        <v>2213</v>
      </c>
      <c r="U121" s="42">
        <f>VLOOKUP($B121,'NG Result'!$A$144:$AB$175,COLUMN(Q20),FALSE)</f>
        <v>97.6000000000004</v>
      </c>
      <c r="V121" s="42">
        <f>VLOOKUP($B121,'NG Result'!$A$144:$AB$175,COLUMN(R20),FALSE)</f>
        <v>1033.6</v>
      </c>
      <c r="W121" s="42">
        <f>VLOOKUP($B121,'NG Result'!$A$144:$AB$175,COLUMN(S20),FALSE)</f>
        <v>757.6</v>
      </c>
      <c r="X121" s="42">
        <f>VLOOKUP($B121,'NG Result'!$A$144:$AB$175,COLUMN(T20),FALSE)</f>
        <v>97.6000000000004</v>
      </c>
      <c r="Y121" s="42">
        <f>VLOOKUP($B121,'NG Result'!$A$144:$AB$175,COLUMN(U20),FALSE)</f>
        <v>97.6000000000004</v>
      </c>
      <c r="Z121" s="42">
        <f>VLOOKUP($B121,'NG Result'!$A$144:$AB$175,COLUMN(V20),FALSE)</f>
        <v>1033.4</v>
      </c>
      <c r="AA121" s="42">
        <f>VLOOKUP($B121,'NG Result'!$A$144:$AB$175,COLUMN(W20),FALSE)</f>
        <v>1813.4</v>
      </c>
      <c r="AB121" s="42">
        <f>VLOOKUP($B121,'NG Result'!$A$144:$AB$175,COLUMN(X20),FALSE)</f>
        <v>1033.4</v>
      </c>
      <c r="AC121" s="42">
        <f>VLOOKUP($B121,'NG Result'!$A$144:$AB$175,COLUMN(Y20),FALSE)</f>
        <v>1033.4</v>
      </c>
      <c r="AD121" s="42">
        <f>VLOOKUP($B121,'NG Result'!$A$144:$AB$175,COLUMN(Z20),FALSE)+VLOOKUP($B121,'project vs stock'!$A$72:$W$103,16,FALSE)/5</f>
        <v>360.72</v>
      </c>
      <c r="AE121" s="42">
        <f>VLOOKUP($B121,'NG Result'!$A$144:$AB$175,COLUMN(AA20),FALSE)+VLOOKUP($B121,'project vs stock'!$A$72:$W$103,16,FALSE)/5</f>
        <v>4853.22</v>
      </c>
      <c r="AF121" s="43">
        <f>VLOOKUP($B121,'NG Result'!$A$144:$AB$175,COLUMN(AB20),FALSE)+VLOOKUP($B121,'project vs stock'!$A$72:$W$103,16,FALSE)/5</f>
        <v>2090.22</v>
      </c>
    </row>
    <row r="122" ht="13.85" spans="1:32">
      <c r="A122" s="27" t="s">
        <v>167</v>
      </c>
      <c r="B122" s="44" t="s">
        <v>120</v>
      </c>
      <c r="C122" s="42"/>
      <c r="D122" s="42"/>
      <c r="E122" s="42"/>
      <c r="F122" s="42">
        <f>VLOOKUP($B122,'NG Result'!$A$144:$AB$175,COLUMN(B21),FALSE)</f>
        <v>0</v>
      </c>
      <c r="G122" s="42">
        <f>VLOOKUP($B122,'NG Result'!$A$144:$AB$175,COLUMN(C21),FALSE)</f>
        <v>0</v>
      </c>
      <c r="H122" s="42">
        <f>VLOOKUP($B122,'NG Result'!$A$144:$AB$175,COLUMN(D21),FALSE)</f>
        <v>0</v>
      </c>
      <c r="I122" s="42">
        <f>VLOOKUP($B122,'NG Result'!$A$144:$AB$175,COLUMN(E21),FALSE)</f>
        <v>0</v>
      </c>
      <c r="J122" s="42">
        <f>VLOOKUP($B122,'NG Result'!$A$144:$AB$175,COLUMN(F21),FALSE)</f>
        <v>0</v>
      </c>
      <c r="K122" s="42">
        <f>VLOOKUP($B122,'NG Result'!$A$144:$AB$175,COLUMN(G21),FALSE)</f>
        <v>0</v>
      </c>
      <c r="L122" s="42">
        <f>VLOOKUP($B122,'NG Result'!$A$144:$AB$175,COLUMN(H21),FALSE)</f>
        <v>0</v>
      </c>
      <c r="M122" s="42">
        <f>VLOOKUP($B122,'NG Result'!$A$144:$AB$175,COLUMN(I21),FALSE)</f>
        <v>0</v>
      </c>
      <c r="N122" s="42">
        <f>VLOOKUP($B122,'NG Result'!$A$144:$AB$175,COLUMN(J21),FALSE)</f>
        <v>0</v>
      </c>
      <c r="O122" s="42">
        <f>VLOOKUP($B122,'NG Result'!$A$144:$AB$175,COLUMN(K21),FALSE)</f>
        <v>0</v>
      </c>
      <c r="P122" s="42">
        <f>VLOOKUP($B122,'NG Result'!$A$144:$AB$175,COLUMN(L21),FALSE)</f>
        <v>0</v>
      </c>
      <c r="Q122" s="42">
        <f>VLOOKUP($B122,'NG Result'!$A$144:$AB$175,COLUMN(M21),FALSE)</f>
        <v>0</v>
      </c>
      <c r="R122" s="42">
        <f>VLOOKUP($B122,'NG Result'!$A$144:$AB$175,COLUMN(N21),FALSE)</f>
        <v>0</v>
      </c>
      <c r="S122" s="42">
        <f>VLOOKUP($B122,'NG Result'!$A$144:$AB$175,COLUMN(O21),FALSE)</f>
        <v>0</v>
      </c>
      <c r="T122" s="42">
        <f>VLOOKUP($B122,'NG Result'!$A$144:$AB$175,COLUMN(P21),FALSE)</f>
        <v>0</v>
      </c>
      <c r="U122" s="42">
        <f>VLOOKUP($B122,'NG Result'!$A$144:$AB$175,COLUMN(Q21),FALSE)</f>
        <v>0</v>
      </c>
      <c r="V122" s="42">
        <f>VLOOKUP($B122,'NG Result'!$A$144:$AB$175,COLUMN(R21),FALSE)</f>
        <v>0</v>
      </c>
      <c r="W122" s="42">
        <f>VLOOKUP($B122,'NG Result'!$A$144:$AB$175,COLUMN(S21),FALSE)</f>
        <v>0</v>
      </c>
      <c r="X122" s="42">
        <f>VLOOKUP($B122,'NG Result'!$A$144:$AB$175,COLUMN(T21),FALSE)</f>
        <v>0</v>
      </c>
      <c r="Y122" s="42">
        <f>VLOOKUP($B122,'NG Result'!$A$144:$AB$175,COLUMN(U21),FALSE)</f>
        <v>0</v>
      </c>
      <c r="Z122" s="42">
        <f>VLOOKUP($B122,'NG Result'!$A$144:$AB$175,COLUMN(V21),FALSE)</f>
        <v>0</v>
      </c>
      <c r="AA122" s="42">
        <f>VLOOKUP($B122,'NG Result'!$A$144:$AB$175,COLUMN(W21),FALSE)</f>
        <v>62</v>
      </c>
      <c r="AB122" s="42">
        <f>VLOOKUP($B122,'NG Result'!$A$144:$AB$175,COLUMN(X21),FALSE)</f>
        <v>30</v>
      </c>
      <c r="AC122" s="42">
        <f>VLOOKUP($B122,'NG Result'!$A$144:$AB$175,COLUMN(Y21),FALSE)</f>
        <v>30</v>
      </c>
      <c r="AD122" s="42">
        <f>VLOOKUP($B122,'NG Result'!$A$144:$AB$175,COLUMN(Z21),FALSE)+VLOOKUP($B122,'project vs stock'!$A$72:$W$103,16,FALSE)/5</f>
        <v>216</v>
      </c>
      <c r="AE122" s="42">
        <f>VLOOKUP($B122,'NG Result'!$A$144:$AB$175,COLUMN(AA21),FALSE)+VLOOKUP($B122,'project vs stock'!$A$72:$W$103,16,FALSE)/5</f>
        <v>6</v>
      </c>
      <c r="AF122" s="43">
        <f>VLOOKUP($B122,'NG Result'!$A$144:$AB$175,COLUMN(AB21),FALSE)+VLOOKUP($B122,'project vs stock'!$A$72:$W$103,16,FALSE)/5</f>
        <v>6</v>
      </c>
    </row>
    <row r="123" ht="13.85" spans="1:32">
      <c r="A123" s="27" t="s">
        <v>167</v>
      </c>
      <c r="B123" s="44" t="s">
        <v>122</v>
      </c>
      <c r="C123" s="42"/>
      <c r="D123" s="42"/>
      <c r="E123" s="42"/>
      <c r="F123" s="42">
        <f>VLOOKUP($B123,'NG Result'!$A$144:$AB$175,COLUMN(B22),FALSE)</f>
        <v>0</v>
      </c>
      <c r="G123" s="42">
        <f>VLOOKUP($B123,'NG Result'!$A$144:$AB$175,COLUMN(C22),FALSE)</f>
        <v>0</v>
      </c>
      <c r="H123" s="42">
        <f>VLOOKUP($B123,'NG Result'!$A$144:$AB$175,COLUMN(D22),FALSE)</f>
        <v>0</v>
      </c>
      <c r="I123" s="42">
        <f>VLOOKUP($B123,'NG Result'!$A$144:$AB$175,COLUMN(E22),FALSE)</f>
        <v>0</v>
      </c>
      <c r="J123" s="42">
        <f>VLOOKUP($B123,'NG Result'!$A$144:$AB$175,COLUMN(F22),FALSE)</f>
        <v>0</v>
      </c>
      <c r="K123" s="42">
        <f>VLOOKUP($B123,'NG Result'!$A$144:$AB$175,COLUMN(G22),FALSE)</f>
        <v>0</v>
      </c>
      <c r="L123" s="42">
        <f>VLOOKUP($B123,'NG Result'!$A$144:$AB$175,COLUMN(H22),FALSE)</f>
        <v>0</v>
      </c>
      <c r="M123" s="42">
        <f>VLOOKUP($B123,'NG Result'!$A$144:$AB$175,COLUMN(I22),FALSE)</f>
        <v>0</v>
      </c>
      <c r="N123" s="42">
        <f>VLOOKUP($B123,'NG Result'!$A$144:$AB$175,COLUMN(J22),FALSE)</f>
        <v>0</v>
      </c>
      <c r="O123" s="42">
        <f>VLOOKUP($B123,'NG Result'!$A$144:$AB$175,COLUMN(K22),FALSE)</f>
        <v>0</v>
      </c>
      <c r="P123" s="42">
        <f>VLOOKUP($B123,'NG Result'!$A$144:$AB$175,COLUMN(L22),FALSE)</f>
        <v>0</v>
      </c>
      <c r="Q123" s="42">
        <f>VLOOKUP($B123,'NG Result'!$A$144:$AB$175,COLUMN(M22),FALSE)</f>
        <v>0</v>
      </c>
      <c r="R123" s="42">
        <f>VLOOKUP($B123,'NG Result'!$A$144:$AB$175,COLUMN(N22),FALSE)</f>
        <v>0</v>
      </c>
      <c r="S123" s="42">
        <f>VLOOKUP($B123,'NG Result'!$A$144:$AB$175,COLUMN(O22),FALSE)</f>
        <v>74.6</v>
      </c>
      <c r="T123" s="42">
        <f>VLOOKUP($B123,'NG Result'!$A$144:$AB$175,COLUMN(P22),FALSE)</f>
        <v>0</v>
      </c>
      <c r="U123" s="42">
        <f>VLOOKUP($B123,'NG Result'!$A$144:$AB$175,COLUMN(Q22),FALSE)</f>
        <v>0</v>
      </c>
      <c r="V123" s="42">
        <f>VLOOKUP($B123,'NG Result'!$A$144:$AB$175,COLUMN(R22),FALSE)</f>
        <v>0</v>
      </c>
      <c r="W123" s="42">
        <f>VLOOKUP($B123,'NG Result'!$A$144:$AB$175,COLUMN(S22),FALSE)</f>
        <v>0</v>
      </c>
      <c r="X123" s="42">
        <f>VLOOKUP($B123,'NG Result'!$A$144:$AB$175,COLUMN(T22),FALSE)</f>
        <v>0</v>
      </c>
      <c r="Y123" s="42">
        <f>VLOOKUP($B123,'NG Result'!$A$144:$AB$175,COLUMN(U22),FALSE)</f>
        <v>0</v>
      </c>
      <c r="Z123" s="42">
        <f>VLOOKUP($B123,'NG Result'!$A$144:$AB$175,COLUMN(V22),FALSE)</f>
        <v>47.6</v>
      </c>
      <c r="AA123" s="42">
        <f>VLOOKUP($B123,'NG Result'!$A$144:$AB$175,COLUMN(W22),FALSE)</f>
        <v>47.6</v>
      </c>
      <c r="AB123" s="42">
        <f>VLOOKUP($B123,'NG Result'!$A$144:$AB$175,COLUMN(X22),FALSE)</f>
        <v>47.6</v>
      </c>
      <c r="AC123" s="42">
        <f>VLOOKUP($B123,'NG Result'!$A$144:$AB$175,COLUMN(Y22),FALSE)</f>
        <v>47.6</v>
      </c>
      <c r="AD123" s="42">
        <f>VLOOKUP($B123,'NG Result'!$A$144:$AB$175,COLUMN(Z22),FALSE)+VLOOKUP($B123,'project vs stock'!$A$72:$W$103,16,FALSE)/5</f>
        <v>0</v>
      </c>
      <c r="AE123" s="42">
        <f>VLOOKUP($B123,'NG Result'!$A$144:$AB$175,COLUMN(AA22),FALSE)+VLOOKUP($B123,'project vs stock'!$A$72:$W$103,16,FALSE)/5</f>
        <v>0</v>
      </c>
      <c r="AF123" s="43">
        <f>VLOOKUP($B123,'NG Result'!$A$144:$AB$175,COLUMN(AB22),FALSE)+VLOOKUP($B123,'project vs stock'!$A$72:$W$103,16,FALSE)/5</f>
        <v>460</v>
      </c>
    </row>
    <row r="124" ht="13.85" spans="1:32">
      <c r="A124" s="27" t="s">
        <v>167</v>
      </c>
      <c r="B124" s="44" t="s">
        <v>124</v>
      </c>
      <c r="C124" s="42"/>
      <c r="D124" s="42"/>
      <c r="E124" s="42"/>
      <c r="F124" s="42">
        <f>VLOOKUP($B124,'NG Result'!$A$144:$AB$175,COLUMN(B23),FALSE)</f>
        <v>0</v>
      </c>
      <c r="G124" s="42">
        <f>VLOOKUP($B124,'NG Result'!$A$144:$AB$175,COLUMN(C23),FALSE)</f>
        <v>0</v>
      </c>
      <c r="H124" s="42">
        <f>VLOOKUP($B124,'NG Result'!$A$144:$AB$175,COLUMN(D23),FALSE)</f>
        <v>0</v>
      </c>
      <c r="I124" s="42">
        <f>VLOOKUP($B124,'NG Result'!$A$144:$AB$175,COLUMN(E23),FALSE)</f>
        <v>0</v>
      </c>
      <c r="J124" s="42">
        <f>VLOOKUP($B124,'NG Result'!$A$144:$AB$175,COLUMN(F23),FALSE)</f>
        <v>0</v>
      </c>
      <c r="K124" s="42">
        <f>VLOOKUP($B124,'NG Result'!$A$144:$AB$175,COLUMN(G23),FALSE)</f>
        <v>0</v>
      </c>
      <c r="L124" s="42">
        <f>VLOOKUP($B124,'NG Result'!$A$144:$AB$175,COLUMN(H23),FALSE)</f>
        <v>0</v>
      </c>
      <c r="M124" s="42">
        <f>VLOOKUP($B124,'NG Result'!$A$144:$AB$175,COLUMN(I23),FALSE)</f>
        <v>0</v>
      </c>
      <c r="N124" s="42">
        <f>VLOOKUP($B124,'NG Result'!$A$144:$AB$175,COLUMN(J23),FALSE)</f>
        <v>0</v>
      </c>
      <c r="O124" s="42">
        <f>VLOOKUP($B124,'NG Result'!$A$144:$AB$175,COLUMN(K23),FALSE)</f>
        <v>0</v>
      </c>
      <c r="P124" s="42">
        <f>VLOOKUP($B124,'NG Result'!$A$144:$AB$175,COLUMN(L23),FALSE)</f>
        <v>0</v>
      </c>
      <c r="Q124" s="42">
        <f>VLOOKUP($B124,'NG Result'!$A$144:$AB$175,COLUMN(M23),FALSE)</f>
        <v>0</v>
      </c>
      <c r="R124" s="42">
        <f>VLOOKUP($B124,'NG Result'!$A$144:$AB$175,COLUMN(N23),FALSE)</f>
        <v>0</v>
      </c>
      <c r="S124" s="42">
        <f>VLOOKUP($B124,'NG Result'!$A$144:$AB$175,COLUMN(O23),FALSE)</f>
        <v>0</v>
      </c>
      <c r="T124" s="42">
        <f>VLOOKUP($B124,'NG Result'!$A$144:$AB$175,COLUMN(P23),FALSE)</f>
        <v>0</v>
      </c>
      <c r="U124" s="42">
        <f>VLOOKUP($B124,'NG Result'!$A$144:$AB$175,COLUMN(Q23),FALSE)</f>
        <v>0</v>
      </c>
      <c r="V124" s="42">
        <f>VLOOKUP($B124,'NG Result'!$A$144:$AB$175,COLUMN(R23),FALSE)</f>
        <v>0</v>
      </c>
      <c r="W124" s="42">
        <f>VLOOKUP($B124,'NG Result'!$A$144:$AB$175,COLUMN(S23),FALSE)</f>
        <v>0</v>
      </c>
      <c r="X124" s="42">
        <f>VLOOKUP($B124,'NG Result'!$A$144:$AB$175,COLUMN(T23),FALSE)</f>
        <v>0</v>
      </c>
      <c r="Y124" s="42">
        <f>VLOOKUP($B124,'NG Result'!$A$144:$AB$175,COLUMN(U23),FALSE)</f>
        <v>0</v>
      </c>
      <c r="Z124" s="42">
        <f>VLOOKUP($B124,'NG Result'!$A$144:$AB$175,COLUMN(V23),FALSE)</f>
        <v>0</v>
      </c>
      <c r="AA124" s="42">
        <f>VLOOKUP($B124,'NG Result'!$A$144:$AB$175,COLUMN(W23),FALSE)</f>
        <v>850.5</v>
      </c>
      <c r="AB124" s="42">
        <f>VLOOKUP($B124,'NG Result'!$A$144:$AB$175,COLUMN(X23),FALSE)</f>
        <v>405</v>
      </c>
      <c r="AC124" s="42">
        <f>VLOOKUP($B124,'NG Result'!$A$144:$AB$175,COLUMN(Y23),FALSE)</f>
        <v>405</v>
      </c>
      <c r="AD124" s="42">
        <f>VLOOKUP($B124,'NG Result'!$A$144:$AB$175,COLUMN(Z23),FALSE)+VLOOKUP($B124,'project vs stock'!$A$72:$W$103,16,FALSE)/5</f>
        <v>0</v>
      </c>
      <c r="AE124" s="42">
        <f>VLOOKUP($B124,'NG Result'!$A$144:$AB$175,COLUMN(AA23),FALSE)+VLOOKUP($B124,'project vs stock'!$A$72:$W$103,16,FALSE)/5</f>
        <v>13.5</v>
      </c>
      <c r="AF124" s="43">
        <f>VLOOKUP($B124,'NG Result'!$A$144:$AB$175,COLUMN(AB23),FALSE)+VLOOKUP($B124,'project vs stock'!$A$72:$W$103,16,FALSE)/5</f>
        <v>0</v>
      </c>
    </row>
    <row r="125" ht="13.85" spans="1:32">
      <c r="A125" s="27" t="s">
        <v>167</v>
      </c>
      <c r="B125" s="44" t="s">
        <v>126</v>
      </c>
      <c r="C125" s="42"/>
      <c r="D125" s="42"/>
      <c r="E125" s="42"/>
      <c r="F125" s="42">
        <f>VLOOKUP($B125,'NG Result'!$A$144:$AB$175,COLUMN(B24),FALSE)</f>
        <v>0</v>
      </c>
      <c r="G125" s="42">
        <f>VLOOKUP($B125,'NG Result'!$A$144:$AB$175,COLUMN(C24),FALSE)</f>
        <v>0</v>
      </c>
      <c r="H125" s="42">
        <f>VLOOKUP($B125,'NG Result'!$A$144:$AB$175,COLUMN(D24),FALSE)</f>
        <v>0</v>
      </c>
      <c r="I125" s="42">
        <f>VLOOKUP($B125,'NG Result'!$A$144:$AB$175,COLUMN(E24),FALSE)</f>
        <v>0</v>
      </c>
      <c r="J125" s="42">
        <f>VLOOKUP($B125,'NG Result'!$A$144:$AB$175,COLUMN(F24),FALSE)</f>
        <v>0</v>
      </c>
      <c r="K125" s="42">
        <f>VLOOKUP($B125,'NG Result'!$A$144:$AB$175,COLUMN(G24),FALSE)</f>
        <v>0</v>
      </c>
      <c r="L125" s="42">
        <f>VLOOKUP($B125,'NG Result'!$A$144:$AB$175,COLUMN(H24),FALSE)</f>
        <v>0</v>
      </c>
      <c r="M125" s="42">
        <f>VLOOKUP($B125,'NG Result'!$A$144:$AB$175,COLUMN(I24),FALSE)</f>
        <v>0</v>
      </c>
      <c r="N125" s="42">
        <f>VLOOKUP($B125,'NG Result'!$A$144:$AB$175,COLUMN(J24),FALSE)</f>
        <v>0</v>
      </c>
      <c r="O125" s="42">
        <f>VLOOKUP($B125,'NG Result'!$A$144:$AB$175,COLUMN(K24),FALSE)</f>
        <v>4.79999999999984</v>
      </c>
      <c r="P125" s="42">
        <f>VLOOKUP($B125,'NG Result'!$A$144:$AB$175,COLUMN(L24),FALSE)</f>
        <v>0</v>
      </c>
      <c r="Q125" s="42">
        <f>VLOOKUP($B125,'NG Result'!$A$144:$AB$175,COLUMN(M24),FALSE)</f>
        <v>0</v>
      </c>
      <c r="R125" s="42">
        <f>VLOOKUP($B125,'NG Result'!$A$144:$AB$175,COLUMN(N24),FALSE)</f>
        <v>0</v>
      </c>
      <c r="S125" s="42">
        <f>VLOOKUP($B125,'NG Result'!$A$144:$AB$175,COLUMN(O24),FALSE)</f>
        <v>202</v>
      </c>
      <c r="T125" s="42">
        <f>VLOOKUP($B125,'NG Result'!$A$144:$AB$175,COLUMN(P24),FALSE)</f>
        <v>0</v>
      </c>
      <c r="U125" s="42">
        <f>VLOOKUP($B125,'NG Result'!$A$144:$AB$175,COLUMN(Q24),FALSE)</f>
        <v>0</v>
      </c>
      <c r="V125" s="42">
        <f>VLOOKUP($B125,'NG Result'!$A$144:$AB$175,COLUMN(R24),FALSE)</f>
        <v>13</v>
      </c>
      <c r="W125" s="42">
        <f>VLOOKUP($B125,'NG Result'!$A$144:$AB$175,COLUMN(S24),FALSE)</f>
        <v>0</v>
      </c>
      <c r="X125" s="42">
        <f>VLOOKUP($B125,'NG Result'!$A$144:$AB$175,COLUMN(T24),FALSE)</f>
        <v>0</v>
      </c>
      <c r="Y125" s="42">
        <f>VLOOKUP($B125,'NG Result'!$A$144:$AB$175,COLUMN(U24),FALSE)</f>
        <v>0</v>
      </c>
      <c r="Z125" s="42">
        <f>VLOOKUP($B125,'NG Result'!$A$144:$AB$175,COLUMN(V24),FALSE)</f>
        <v>247.2</v>
      </c>
      <c r="AA125" s="42">
        <f>VLOOKUP($B125,'NG Result'!$A$144:$AB$175,COLUMN(W24),FALSE)</f>
        <v>247.2</v>
      </c>
      <c r="AB125" s="42">
        <f>VLOOKUP($B125,'NG Result'!$A$144:$AB$175,COLUMN(X24),FALSE)</f>
        <v>247.2</v>
      </c>
      <c r="AC125" s="42">
        <f>VLOOKUP($B125,'NG Result'!$A$144:$AB$175,COLUMN(Y24),FALSE)</f>
        <v>247.2</v>
      </c>
      <c r="AD125" s="42">
        <f>VLOOKUP($B125,'NG Result'!$A$144:$AB$175,COLUMN(Z24),FALSE)+VLOOKUP($B125,'project vs stock'!$A$72:$W$103,16,FALSE)/5</f>
        <v>1.5</v>
      </c>
      <c r="AE125" s="42">
        <f>VLOOKUP($B125,'NG Result'!$A$144:$AB$175,COLUMN(AA24),FALSE)+VLOOKUP($B125,'project vs stock'!$A$72:$W$103,16,FALSE)/5</f>
        <v>14.9000000000001</v>
      </c>
      <c r="AF125" s="43">
        <f>VLOOKUP($B125,'NG Result'!$A$144:$AB$175,COLUMN(AB24),FALSE)+VLOOKUP($B125,'project vs stock'!$A$72:$W$103,16,FALSE)/5</f>
        <v>0</v>
      </c>
    </row>
    <row r="126" ht="13.85" spans="1:32">
      <c r="A126" s="27" t="s">
        <v>167</v>
      </c>
      <c r="B126" s="44" t="s">
        <v>128</v>
      </c>
      <c r="C126" s="42"/>
      <c r="D126" s="42"/>
      <c r="E126" s="42"/>
      <c r="F126" s="42">
        <f>VLOOKUP($B126,'NG Result'!$A$144:$AB$175,COLUMN(B25),FALSE)</f>
        <v>0</v>
      </c>
      <c r="G126" s="42">
        <f>VLOOKUP($B126,'NG Result'!$A$144:$AB$175,COLUMN(C25),FALSE)</f>
        <v>0</v>
      </c>
      <c r="H126" s="42">
        <f>VLOOKUP($B126,'NG Result'!$A$144:$AB$175,COLUMN(D25),FALSE)</f>
        <v>0</v>
      </c>
      <c r="I126" s="42">
        <f>VLOOKUP($B126,'NG Result'!$A$144:$AB$175,COLUMN(E25),FALSE)</f>
        <v>0</v>
      </c>
      <c r="J126" s="42">
        <f>VLOOKUP($B126,'NG Result'!$A$144:$AB$175,COLUMN(F25),FALSE)</f>
        <v>0</v>
      </c>
      <c r="K126" s="42">
        <f>VLOOKUP($B126,'NG Result'!$A$144:$AB$175,COLUMN(G25),FALSE)</f>
        <v>0</v>
      </c>
      <c r="L126" s="42">
        <f>VLOOKUP($B126,'NG Result'!$A$144:$AB$175,COLUMN(H25),FALSE)</f>
        <v>0</v>
      </c>
      <c r="M126" s="42">
        <f>VLOOKUP($B126,'NG Result'!$A$144:$AB$175,COLUMN(I25),FALSE)</f>
        <v>0</v>
      </c>
      <c r="N126" s="42">
        <f>VLOOKUP($B126,'NG Result'!$A$144:$AB$175,COLUMN(J25),FALSE)</f>
        <v>0</v>
      </c>
      <c r="O126" s="42">
        <f>VLOOKUP($B126,'NG Result'!$A$144:$AB$175,COLUMN(K25),FALSE)</f>
        <v>0</v>
      </c>
      <c r="P126" s="42">
        <f>VLOOKUP($B126,'NG Result'!$A$144:$AB$175,COLUMN(L25),FALSE)</f>
        <v>0</v>
      </c>
      <c r="Q126" s="42">
        <f>VLOOKUP($B126,'NG Result'!$A$144:$AB$175,COLUMN(M25),FALSE)</f>
        <v>0</v>
      </c>
      <c r="R126" s="42">
        <f>VLOOKUP($B126,'NG Result'!$A$144:$AB$175,COLUMN(N25),FALSE)</f>
        <v>0</v>
      </c>
      <c r="S126" s="42">
        <f>VLOOKUP($B126,'NG Result'!$A$144:$AB$175,COLUMN(O25),FALSE)</f>
        <v>0</v>
      </c>
      <c r="T126" s="42">
        <f>VLOOKUP($B126,'NG Result'!$A$144:$AB$175,COLUMN(P25),FALSE)</f>
        <v>0</v>
      </c>
      <c r="U126" s="42">
        <f>VLOOKUP($B126,'NG Result'!$A$144:$AB$175,COLUMN(Q25),FALSE)</f>
        <v>0</v>
      </c>
      <c r="V126" s="42">
        <f>VLOOKUP($B126,'NG Result'!$A$144:$AB$175,COLUMN(R25),FALSE)</f>
        <v>0</v>
      </c>
      <c r="W126" s="42">
        <f>VLOOKUP($B126,'NG Result'!$A$144:$AB$175,COLUMN(S25),FALSE)</f>
        <v>0</v>
      </c>
      <c r="X126" s="42">
        <f>VLOOKUP($B126,'NG Result'!$A$144:$AB$175,COLUMN(T25),FALSE)</f>
        <v>0</v>
      </c>
      <c r="Y126" s="42">
        <f>VLOOKUP($B126,'NG Result'!$A$144:$AB$175,COLUMN(U25),FALSE)</f>
        <v>0</v>
      </c>
      <c r="Z126" s="42">
        <f>VLOOKUP($B126,'NG Result'!$A$144:$AB$175,COLUMN(V25),FALSE)</f>
        <v>0</v>
      </c>
      <c r="AA126" s="42">
        <f>VLOOKUP($B126,'NG Result'!$A$144:$AB$175,COLUMN(W25),FALSE)</f>
        <v>0</v>
      </c>
      <c r="AB126" s="42">
        <f>VLOOKUP($B126,'NG Result'!$A$144:$AB$175,COLUMN(X25),FALSE)</f>
        <v>0</v>
      </c>
      <c r="AC126" s="42">
        <f>VLOOKUP($B126,'NG Result'!$A$144:$AB$175,COLUMN(Y25),FALSE)</f>
        <v>0</v>
      </c>
      <c r="AD126" s="42">
        <f>VLOOKUP($B126,'NG Result'!$A$144:$AB$175,COLUMN(Z25),FALSE)+VLOOKUP($B126,'project vs stock'!$A$72:$W$103,16,FALSE)/5</f>
        <v>112.74</v>
      </c>
      <c r="AE126" s="42">
        <f>VLOOKUP($B126,'NG Result'!$A$144:$AB$175,COLUMN(AA25),FALSE)+VLOOKUP($B126,'project vs stock'!$A$72:$W$103,16,FALSE)/5</f>
        <v>112.74</v>
      </c>
      <c r="AF126" s="43">
        <f>VLOOKUP($B126,'NG Result'!$A$144:$AB$175,COLUMN(AB25),FALSE)+VLOOKUP($B126,'project vs stock'!$A$72:$W$103,16,FALSE)/5</f>
        <v>112.74</v>
      </c>
    </row>
    <row r="127" ht="13.85" spans="1:32">
      <c r="A127" s="27" t="s">
        <v>167</v>
      </c>
      <c r="B127" s="44" t="s">
        <v>130</v>
      </c>
      <c r="C127" s="42"/>
      <c r="D127" s="42"/>
      <c r="E127" s="42"/>
      <c r="F127" s="42">
        <f>VLOOKUP($B127,'NG Result'!$A$144:$AB$175,COLUMN(B26),FALSE)</f>
        <v>0</v>
      </c>
      <c r="G127" s="42">
        <f>VLOOKUP($B127,'NG Result'!$A$144:$AB$175,COLUMN(C26),FALSE)</f>
        <v>0</v>
      </c>
      <c r="H127" s="42">
        <f>VLOOKUP($B127,'NG Result'!$A$144:$AB$175,COLUMN(D26),FALSE)</f>
        <v>0</v>
      </c>
      <c r="I127" s="42">
        <f>VLOOKUP($B127,'NG Result'!$A$144:$AB$175,COLUMN(E26),FALSE)</f>
        <v>0</v>
      </c>
      <c r="J127" s="42">
        <f>VLOOKUP($B127,'NG Result'!$A$144:$AB$175,COLUMN(F26),FALSE)</f>
        <v>0</v>
      </c>
      <c r="K127" s="42">
        <f>VLOOKUP($B127,'NG Result'!$A$144:$AB$175,COLUMN(G26),FALSE)</f>
        <v>0</v>
      </c>
      <c r="L127" s="42">
        <f>VLOOKUP($B127,'NG Result'!$A$144:$AB$175,COLUMN(H26),FALSE)</f>
        <v>0</v>
      </c>
      <c r="M127" s="42">
        <f>VLOOKUP($B127,'NG Result'!$A$144:$AB$175,COLUMN(I26),FALSE)</f>
        <v>0</v>
      </c>
      <c r="N127" s="42">
        <f>VLOOKUP($B127,'NG Result'!$A$144:$AB$175,COLUMN(J26),FALSE)</f>
        <v>0</v>
      </c>
      <c r="O127" s="42">
        <f>VLOOKUP($B127,'NG Result'!$A$144:$AB$175,COLUMN(K26),FALSE)</f>
        <v>0</v>
      </c>
      <c r="P127" s="42">
        <f>VLOOKUP($B127,'NG Result'!$A$144:$AB$175,COLUMN(L26),FALSE)</f>
        <v>0</v>
      </c>
      <c r="Q127" s="42">
        <f>VLOOKUP($B127,'NG Result'!$A$144:$AB$175,COLUMN(M26),FALSE)</f>
        <v>0</v>
      </c>
      <c r="R127" s="42">
        <f>VLOOKUP($B127,'NG Result'!$A$144:$AB$175,COLUMN(N26),FALSE)</f>
        <v>0</v>
      </c>
      <c r="S127" s="42">
        <f>VLOOKUP($B127,'NG Result'!$A$144:$AB$175,COLUMN(O26),FALSE)</f>
        <v>0</v>
      </c>
      <c r="T127" s="42">
        <f>VLOOKUP($B127,'NG Result'!$A$144:$AB$175,COLUMN(P26),FALSE)</f>
        <v>0</v>
      </c>
      <c r="U127" s="42">
        <f>VLOOKUP($B127,'NG Result'!$A$144:$AB$175,COLUMN(Q26),FALSE)</f>
        <v>0</v>
      </c>
      <c r="V127" s="42">
        <f>VLOOKUP($B127,'NG Result'!$A$144:$AB$175,COLUMN(R26),FALSE)</f>
        <v>0</v>
      </c>
      <c r="W127" s="42">
        <f>VLOOKUP($B127,'NG Result'!$A$144:$AB$175,COLUMN(S26),FALSE)</f>
        <v>0</v>
      </c>
      <c r="X127" s="42">
        <f>VLOOKUP($B127,'NG Result'!$A$144:$AB$175,COLUMN(T26),FALSE)</f>
        <v>0</v>
      </c>
      <c r="Y127" s="42">
        <f>VLOOKUP($B127,'NG Result'!$A$144:$AB$175,COLUMN(U26),FALSE)</f>
        <v>0</v>
      </c>
      <c r="Z127" s="42">
        <f>VLOOKUP($B127,'NG Result'!$A$144:$AB$175,COLUMN(V26),FALSE)</f>
        <v>5</v>
      </c>
      <c r="AA127" s="42">
        <f>VLOOKUP($B127,'NG Result'!$A$144:$AB$175,COLUMN(W26),FALSE)</f>
        <v>5</v>
      </c>
      <c r="AB127" s="42">
        <f>VLOOKUP($B127,'NG Result'!$A$144:$AB$175,COLUMN(X26),FALSE)</f>
        <v>5</v>
      </c>
      <c r="AC127" s="42">
        <f>VLOOKUP($B127,'NG Result'!$A$144:$AB$175,COLUMN(Y26),FALSE)</f>
        <v>5</v>
      </c>
      <c r="AD127" s="42">
        <f>VLOOKUP($B127,'NG Result'!$A$144:$AB$175,COLUMN(Z26),FALSE)+VLOOKUP($B127,'project vs stock'!$A$72:$W$103,16,FALSE)/5</f>
        <v>1.2</v>
      </c>
      <c r="AE127" s="42">
        <f>VLOOKUP($B127,'NG Result'!$A$144:$AB$175,COLUMN(AA26),FALSE)+VLOOKUP($B127,'project vs stock'!$A$72:$W$103,16,FALSE)/5</f>
        <v>1.2</v>
      </c>
      <c r="AF127" s="43">
        <f>VLOOKUP($B127,'NG Result'!$A$144:$AB$175,COLUMN(AB26),FALSE)+VLOOKUP($B127,'project vs stock'!$A$72:$W$103,16,FALSE)/5</f>
        <v>1.2</v>
      </c>
    </row>
    <row r="128" ht="13.85" spans="1:32">
      <c r="A128" s="27" t="s">
        <v>167</v>
      </c>
      <c r="B128" s="44" t="s">
        <v>132</v>
      </c>
      <c r="C128" s="42"/>
      <c r="D128" s="42"/>
      <c r="E128" s="42"/>
      <c r="F128" s="42">
        <f>VLOOKUP($B128,'NG Result'!$A$144:$AB$175,COLUMN(B27),FALSE)</f>
        <v>0</v>
      </c>
      <c r="G128" s="42">
        <f>VLOOKUP($B128,'NG Result'!$A$144:$AB$175,COLUMN(C27),FALSE)</f>
        <v>0</v>
      </c>
      <c r="H128" s="42">
        <f>VLOOKUP($B128,'NG Result'!$A$144:$AB$175,COLUMN(D27),FALSE)</f>
        <v>0</v>
      </c>
      <c r="I128" s="42">
        <f>VLOOKUP($B128,'NG Result'!$A$144:$AB$175,COLUMN(E27),FALSE)</f>
        <v>0</v>
      </c>
      <c r="J128" s="42">
        <f>VLOOKUP($B128,'NG Result'!$A$144:$AB$175,COLUMN(F27),FALSE)</f>
        <v>0</v>
      </c>
      <c r="K128" s="42">
        <f>VLOOKUP($B128,'NG Result'!$A$144:$AB$175,COLUMN(G27),FALSE)</f>
        <v>0</v>
      </c>
      <c r="L128" s="42">
        <f>VLOOKUP($B128,'NG Result'!$A$144:$AB$175,COLUMN(H27),FALSE)</f>
        <v>0</v>
      </c>
      <c r="M128" s="42">
        <f>VLOOKUP($B128,'NG Result'!$A$144:$AB$175,COLUMN(I27),FALSE)</f>
        <v>0</v>
      </c>
      <c r="N128" s="42">
        <f>VLOOKUP($B128,'NG Result'!$A$144:$AB$175,COLUMN(J27),FALSE)</f>
        <v>0</v>
      </c>
      <c r="O128" s="42">
        <f>VLOOKUP($B128,'NG Result'!$A$144:$AB$175,COLUMN(K27),FALSE)</f>
        <v>0</v>
      </c>
      <c r="P128" s="42">
        <f>VLOOKUP($B128,'NG Result'!$A$144:$AB$175,COLUMN(L27),FALSE)</f>
        <v>0</v>
      </c>
      <c r="Q128" s="42">
        <f>VLOOKUP($B128,'NG Result'!$A$144:$AB$175,COLUMN(M27),FALSE)</f>
        <v>0</v>
      </c>
      <c r="R128" s="42">
        <f>VLOOKUP($B128,'NG Result'!$A$144:$AB$175,COLUMN(N27),FALSE)</f>
        <v>0</v>
      </c>
      <c r="S128" s="42">
        <f>VLOOKUP($B128,'NG Result'!$A$144:$AB$175,COLUMN(O27),FALSE)</f>
        <v>0</v>
      </c>
      <c r="T128" s="42">
        <f>VLOOKUP($B128,'NG Result'!$A$144:$AB$175,COLUMN(P27),FALSE)</f>
        <v>0</v>
      </c>
      <c r="U128" s="42">
        <f>VLOOKUP($B128,'NG Result'!$A$144:$AB$175,COLUMN(Q27),FALSE)</f>
        <v>0</v>
      </c>
      <c r="V128" s="42">
        <f>VLOOKUP($B128,'NG Result'!$A$144:$AB$175,COLUMN(R27),FALSE)</f>
        <v>0</v>
      </c>
      <c r="W128" s="42">
        <f>VLOOKUP($B128,'NG Result'!$A$144:$AB$175,COLUMN(S27),FALSE)</f>
        <v>0</v>
      </c>
      <c r="X128" s="42">
        <f>VLOOKUP($B128,'NG Result'!$A$144:$AB$175,COLUMN(T27),FALSE)</f>
        <v>0</v>
      </c>
      <c r="Y128" s="42">
        <f>VLOOKUP($B128,'NG Result'!$A$144:$AB$175,COLUMN(U27),FALSE)</f>
        <v>0</v>
      </c>
      <c r="Z128" s="42">
        <f>VLOOKUP($B128,'NG Result'!$A$144:$AB$175,COLUMN(V27),FALSE)</f>
        <v>0</v>
      </c>
      <c r="AA128" s="42">
        <f>VLOOKUP($B128,'NG Result'!$A$144:$AB$175,COLUMN(W27),FALSE)</f>
        <v>0</v>
      </c>
      <c r="AB128" s="42">
        <f>VLOOKUP($B128,'NG Result'!$A$144:$AB$175,COLUMN(X27),FALSE)</f>
        <v>0</v>
      </c>
      <c r="AC128" s="42">
        <f>VLOOKUP($B128,'NG Result'!$A$144:$AB$175,COLUMN(Y27),FALSE)</f>
        <v>0</v>
      </c>
      <c r="AD128" s="42">
        <f>VLOOKUP($B128,'NG Result'!$A$144:$AB$175,COLUMN(Z27),FALSE)+VLOOKUP($B128,'project vs stock'!$A$72:$W$103,16,FALSE)/5</f>
        <v>0</v>
      </c>
      <c r="AE128" s="42">
        <f>VLOOKUP($B128,'NG Result'!$A$144:$AB$175,COLUMN(AA27),FALSE)+VLOOKUP($B128,'project vs stock'!$A$72:$W$103,16,FALSE)/5</f>
        <v>0</v>
      </c>
      <c r="AF128" s="43">
        <f>VLOOKUP($B128,'NG Result'!$A$144:$AB$175,COLUMN(AB27),FALSE)+VLOOKUP($B128,'project vs stock'!$A$72:$W$103,16,FALSE)/5</f>
        <v>0</v>
      </c>
    </row>
    <row r="129" ht="13.85" spans="1:32">
      <c r="A129" s="27" t="s">
        <v>167</v>
      </c>
      <c r="B129" s="44" t="s">
        <v>134</v>
      </c>
      <c r="C129" s="42"/>
      <c r="D129" s="42"/>
      <c r="E129" s="42"/>
      <c r="F129" s="42">
        <f>VLOOKUP($B129,'NG Result'!$A$144:$AB$175,COLUMN(B28),FALSE)</f>
        <v>0</v>
      </c>
      <c r="G129" s="42">
        <f>VLOOKUP($B129,'NG Result'!$A$144:$AB$175,COLUMN(C28),FALSE)</f>
        <v>0</v>
      </c>
      <c r="H129" s="42">
        <f>VLOOKUP($B129,'NG Result'!$A$144:$AB$175,COLUMN(D28),FALSE)</f>
        <v>0</v>
      </c>
      <c r="I129" s="42">
        <f>VLOOKUP($B129,'NG Result'!$A$144:$AB$175,COLUMN(E28),FALSE)</f>
        <v>0</v>
      </c>
      <c r="J129" s="42">
        <f>VLOOKUP($B129,'NG Result'!$A$144:$AB$175,COLUMN(F28),FALSE)</f>
        <v>0</v>
      </c>
      <c r="K129" s="42">
        <f>VLOOKUP($B129,'NG Result'!$A$144:$AB$175,COLUMN(G28),FALSE)</f>
        <v>0</v>
      </c>
      <c r="L129" s="42">
        <f>VLOOKUP($B129,'NG Result'!$A$144:$AB$175,COLUMN(H28),FALSE)</f>
        <v>0</v>
      </c>
      <c r="M129" s="42">
        <f>VLOOKUP($B129,'NG Result'!$A$144:$AB$175,COLUMN(I28),FALSE)</f>
        <v>0</v>
      </c>
      <c r="N129" s="42">
        <f>VLOOKUP($B129,'NG Result'!$A$144:$AB$175,COLUMN(J28),FALSE)</f>
        <v>0</v>
      </c>
      <c r="O129" s="42">
        <f>VLOOKUP($B129,'NG Result'!$A$144:$AB$175,COLUMN(K28),FALSE)</f>
        <v>0</v>
      </c>
      <c r="P129" s="42">
        <f>VLOOKUP($B129,'NG Result'!$A$144:$AB$175,COLUMN(L28),FALSE)</f>
        <v>0</v>
      </c>
      <c r="Q129" s="42">
        <f>VLOOKUP($B129,'NG Result'!$A$144:$AB$175,COLUMN(M28),FALSE)</f>
        <v>0</v>
      </c>
      <c r="R129" s="42">
        <f>VLOOKUP($B129,'NG Result'!$A$144:$AB$175,COLUMN(N28),FALSE)</f>
        <v>0</v>
      </c>
      <c r="S129" s="42">
        <f>VLOOKUP($B129,'NG Result'!$A$144:$AB$175,COLUMN(O28),FALSE)</f>
        <v>0</v>
      </c>
      <c r="T129" s="42">
        <f>VLOOKUP($B129,'NG Result'!$A$144:$AB$175,COLUMN(P28),FALSE)</f>
        <v>0</v>
      </c>
      <c r="U129" s="42">
        <f>VLOOKUP($B129,'NG Result'!$A$144:$AB$175,COLUMN(Q28),FALSE)</f>
        <v>0</v>
      </c>
      <c r="V129" s="42">
        <f>VLOOKUP($B129,'NG Result'!$A$144:$AB$175,COLUMN(R28),FALSE)</f>
        <v>0</v>
      </c>
      <c r="W129" s="42">
        <f>VLOOKUP($B129,'NG Result'!$A$144:$AB$175,COLUMN(S28),FALSE)</f>
        <v>0</v>
      </c>
      <c r="X129" s="42">
        <f>VLOOKUP($B129,'NG Result'!$A$144:$AB$175,COLUMN(T28),FALSE)</f>
        <v>21.2</v>
      </c>
      <c r="Y129" s="42">
        <f>VLOOKUP($B129,'NG Result'!$A$144:$AB$175,COLUMN(U28),FALSE)</f>
        <v>41.8</v>
      </c>
      <c r="Z129" s="42">
        <f>VLOOKUP($B129,'NG Result'!$A$144:$AB$175,COLUMN(V28),FALSE)</f>
        <v>0</v>
      </c>
      <c r="AA129" s="42">
        <f>VLOOKUP($B129,'NG Result'!$A$144:$AB$175,COLUMN(W28),FALSE)</f>
        <v>0</v>
      </c>
      <c r="AB129" s="42">
        <f>VLOOKUP($B129,'NG Result'!$A$144:$AB$175,COLUMN(X28),FALSE)</f>
        <v>0</v>
      </c>
      <c r="AC129" s="42">
        <f>VLOOKUP($B129,'NG Result'!$A$144:$AB$175,COLUMN(Y28),FALSE)</f>
        <v>0</v>
      </c>
      <c r="AD129" s="42">
        <f>VLOOKUP($B129,'NG Result'!$A$144:$AB$175,COLUMN(Z28),FALSE)+VLOOKUP($B129,'project vs stock'!$A$72:$W$103,16,FALSE)/5</f>
        <v>40</v>
      </c>
      <c r="AE129" s="42">
        <f>VLOOKUP($B129,'NG Result'!$A$144:$AB$175,COLUMN(AA28),FALSE)+VLOOKUP($B129,'project vs stock'!$A$72:$W$103,16,FALSE)/5</f>
        <v>40</v>
      </c>
      <c r="AF129" s="43">
        <f>VLOOKUP($B129,'NG Result'!$A$144:$AB$175,COLUMN(AB28),FALSE)+VLOOKUP($B129,'project vs stock'!$A$72:$W$103,16,FALSE)/5</f>
        <v>40</v>
      </c>
    </row>
    <row r="130" ht="13.85" spans="1:32">
      <c r="A130" s="27" t="s">
        <v>167</v>
      </c>
      <c r="B130" s="44" t="s">
        <v>136</v>
      </c>
      <c r="C130" s="42"/>
      <c r="D130" s="42"/>
      <c r="E130" s="42"/>
      <c r="F130" s="42">
        <f>VLOOKUP($B130,'NG Result'!$A$144:$AB$175,COLUMN(B29),FALSE)</f>
        <v>0</v>
      </c>
      <c r="G130" s="42">
        <f>VLOOKUP($B130,'NG Result'!$A$144:$AB$175,COLUMN(C29),FALSE)</f>
        <v>0</v>
      </c>
      <c r="H130" s="42">
        <f>VLOOKUP($B130,'NG Result'!$A$144:$AB$175,COLUMN(D29),FALSE)</f>
        <v>0</v>
      </c>
      <c r="I130" s="42">
        <f>VLOOKUP($B130,'NG Result'!$A$144:$AB$175,COLUMN(E29),FALSE)</f>
        <v>0</v>
      </c>
      <c r="J130" s="42">
        <f>VLOOKUP($B130,'NG Result'!$A$144:$AB$175,COLUMN(F29),FALSE)</f>
        <v>0</v>
      </c>
      <c r="K130" s="42">
        <f>VLOOKUP($B130,'NG Result'!$A$144:$AB$175,COLUMN(G29),FALSE)</f>
        <v>0</v>
      </c>
      <c r="L130" s="42">
        <f>VLOOKUP($B130,'NG Result'!$A$144:$AB$175,COLUMN(H29),FALSE)</f>
        <v>0</v>
      </c>
      <c r="M130" s="42">
        <f>VLOOKUP($B130,'NG Result'!$A$144:$AB$175,COLUMN(I29),FALSE)</f>
        <v>0</v>
      </c>
      <c r="N130" s="42">
        <f>VLOOKUP($B130,'NG Result'!$A$144:$AB$175,COLUMN(J29),FALSE)</f>
        <v>0</v>
      </c>
      <c r="O130" s="42">
        <f>VLOOKUP($B130,'NG Result'!$A$144:$AB$175,COLUMN(K29),FALSE)</f>
        <v>0</v>
      </c>
      <c r="P130" s="42">
        <f>VLOOKUP($B130,'NG Result'!$A$144:$AB$175,COLUMN(L29),FALSE)</f>
        <v>0</v>
      </c>
      <c r="Q130" s="42">
        <f>VLOOKUP($B130,'NG Result'!$A$144:$AB$175,COLUMN(M29),FALSE)</f>
        <v>0</v>
      </c>
      <c r="R130" s="42">
        <f>VLOOKUP($B130,'NG Result'!$A$144:$AB$175,COLUMN(N29),FALSE)</f>
        <v>0</v>
      </c>
      <c r="S130" s="42">
        <f>VLOOKUP($B130,'NG Result'!$A$144:$AB$175,COLUMN(O29),FALSE)</f>
        <v>0</v>
      </c>
      <c r="T130" s="42">
        <f>VLOOKUP($B130,'NG Result'!$A$144:$AB$175,COLUMN(P29),FALSE)</f>
        <v>0</v>
      </c>
      <c r="U130" s="42">
        <f>VLOOKUP($B130,'NG Result'!$A$144:$AB$175,COLUMN(Q29),FALSE)</f>
        <v>0</v>
      </c>
      <c r="V130" s="42">
        <f>VLOOKUP($B130,'NG Result'!$A$144:$AB$175,COLUMN(R29),FALSE)</f>
        <v>0</v>
      </c>
      <c r="W130" s="42">
        <f>VLOOKUP($B130,'NG Result'!$A$144:$AB$175,COLUMN(S29),FALSE)</f>
        <v>0</v>
      </c>
      <c r="X130" s="42">
        <f>VLOOKUP($B130,'NG Result'!$A$144:$AB$175,COLUMN(T29),FALSE)</f>
        <v>0</v>
      </c>
      <c r="Y130" s="42">
        <f>VLOOKUP($B130,'NG Result'!$A$144:$AB$175,COLUMN(U29),FALSE)</f>
        <v>0</v>
      </c>
      <c r="Z130" s="42">
        <f>VLOOKUP($B130,'NG Result'!$A$144:$AB$175,COLUMN(V29),FALSE)</f>
        <v>0</v>
      </c>
      <c r="AA130" s="42">
        <f>VLOOKUP($B130,'NG Result'!$A$144:$AB$175,COLUMN(W29),FALSE)</f>
        <v>0</v>
      </c>
      <c r="AB130" s="42">
        <f>VLOOKUP($B130,'NG Result'!$A$144:$AB$175,COLUMN(X29),FALSE)</f>
        <v>0</v>
      </c>
      <c r="AC130" s="42">
        <f>VLOOKUP($B130,'NG Result'!$A$144:$AB$175,COLUMN(Y29),FALSE)</f>
        <v>10</v>
      </c>
      <c r="AD130" s="42">
        <f>VLOOKUP($B130,'NG Result'!$A$144:$AB$175,COLUMN(Z29),FALSE)+VLOOKUP($B130,'project vs stock'!$A$72:$W$103,16,FALSE)/5</f>
        <v>0</v>
      </c>
      <c r="AE130" s="42">
        <f>VLOOKUP($B130,'NG Result'!$A$144:$AB$175,COLUMN(AA29),FALSE)+VLOOKUP($B130,'project vs stock'!$A$72:$W$103,16,FALSE)/5</f>
        <v>0</v>
      </c>
      <c r="AF130" s="43">
        <f>VLOOKUP($B130,'NG Result'!$A$144:$AB$175,COLUMN(AB29),FALSE)+VLOOKUP($B130,'project vs stock'!$A$72:$W$103,16,FALSE)/5</f>
        <v>0</v>
      </c>
    </row>
    <row r="131" ht="13.85" spans="1:32">
      <c r="A131" s="27" t="s">
        <v>167</v>
      </c>
      <c r="B131" s="44" t="s">
        <v>138</v>
      </c>
      <c r="C131" s="42"/>
      <c r="D131" s="42"/>
      <c r="E131" s="42"/>
      <c r="F131" s="42">
        <f>VLOOKUP($B131,'NG Result'!$A$144:$AB$175,COLUMN(B30),FALSE)</f>
        <v>0</v>
      </c>
      <c r="G131" s="42">
        <f>VLOOKUP($B131,'NG Result'!$A$144:$AB$175,COLUMN(C30),FALSE)</f>
        <v>0</v>
      </c>
      <c r="H131" s="42">
        <f>VLOOKUP($B131,'NG Result'!$A$144:$AB$175,COLUMN(D30),FALSE)</f>
        <v>0</v>
      </c>
      <c r="I131" s="42">
        <f>VLOOKUP($B131,'NG Result'!$A$144:$AB$175,COLUMN(E30),FALSE)</f>
        <v>0</v>
      </c>
      <c r="J131" s="42">
        <f>VLOOKUP($B131,'NG Result'!$A$144:$AB$175,COLUMN(F30),FALSE)</f>
        <v>0</v>
      </c>
      <c r="K131" s="42">
        <f>VLOOKUP($B131,'NG Result'!$A$144:$AB$175,COLUMN(G30),FALSE)</f>
        <v>0</v>
      </c>
      <c r="L131" s="42">
        <f>VLOOKUP($B131,'NG Result'!$A$144:$AB$175,COLUMN(H30),FALSE)</f>
        <v>0</v>
      </c>
      <c r="M131" s="42">
        <f>VLOOKUP($B131,'NG Result'!$A$144:$AB$175,COLUMN(I30),FALSE)</f>
        <v>0</v>
      </c>
      <c r="N131" s="42">
        <f>VLOOKUP($B131,'NG Result'!$A$144:$AB$175,COLUMN(J30),FALSE)</f>
        <v>0</v>
      </c>
      <c r="O131" s="42">
        <f>VLOOKUP($B131,'NG Result'!$A$144:$AB$175,COLUMN(K30),FALSE)</f>
        <v>0</v>
      </c>
      <c r="P131" s="42">
        <f>VLOOKUP($B131,'NG Result'!$A$144:$AB$175,COLUMN(L30),FALSE)</f>
        <v>0</v>
      </c>
      <c r="Q131" s="42">
        <f>VLOOKUP($B131,'NG Result'!$A$144:$AB$175,COLUMN(M30),FALSE)</f>
        <v>0</v>
      </c>
      <c r="R131" s="42">
        <f>VLOOKUP($B131,'NG Result'!$A$144:$AB$175,COLUMN(N30),FALSE)</f>
        <v>0</v>
      </c>
      <c r="S131" s="42">
        <f>VLOOKUP($B131,'NG Result'!$A$144:$AB$175,COLUMN(O30),FALSE)</f>
        <v>0</v>
      </c>
      <c r="T131" s="42">
        <f>VLOOKUP($B131,'NG Result'!$A$144:$AB$175,COLUMN(P30),FALSE)</f>
        <v>0</v>
      </c>
      <c r="U131" s="42">
        <f>VLOOKUP($B131,'NG Result'!$A$144:$AB$175,COLUMN(Q30),FALSE)</f>
        <v>0</v>
      </c>
      <c r="V131" s="42">
        <f>VLOOKUP($B131,'NG Result'!$A$144:$AB$175,COLUMN(R30),FALSE)</f>
        <v>0</v>
      </c>
      <c r="W131" s="42">
        <f>VLOOKUP($B131,'NG Result'!$A$144:$AB$175,COLUMN(S30),FALSE)</f>
        <v>0</v>
      </c>
      <c r="X131" s="42">
        <f>VLOOKUP($B131,'NG Result'!$A$144:$AB$175,COLUMN(T30),FALSE)</f>
        <v>0</v>
      </c>
      <c r="Y131" s="42">
        <f>VLOOKUP($B131,'NG Result'!$A$144:$AB$175,COLUMN(U30),FALSE)</f>
        <v>0</v>
      </c>
      <c r="Z131" s="42">
        <f>VLOOKUP($B131,'NG Result'!$A$144:$AB$175,COLUMN(V30),FALSE)</f>
        <v>0</v>
      </c>
      <c r="AA131" s="42">
        <f>VLOOKUP($B131,'NG Result'!$A$144:$AB$175,COLUMN(W30),FALSE)</f>
        <v>0</v>
      </c>
      <c r="AB131" s="42">
        <f>VLOOKUP($B131,'NG Result'!$A$144:$AB$175,COLUMN(X30),FALSE)</f>
        <v>0</v>
      </c>
      <c r="AC131" s="42">
        <f>VLOOKUP($B131,'NG Result'!$A$144:$AB$175,COLUMN(Y30),FALSE)</f>
        <v>0</v>
      </c>
      <c r="AD131" s="42">
        <f>VLOOKUP($B131,'NG Result'!$A$144:$AB$175,COLUMN(Z30),FALSE)+VLOOKUP($B131,'project vs stock'!$A$72:$W$103,16,FALSE)/5</f>
        <v>0</v>
      </c>
      <c r="AE131" s="42">
        <f>VLOOKUP($B131,'NG Result'!$A$144:$AB$175,COLUMN(AA30),FALSE)+VLOOKUP($B131,'project vs stock'!$A$72:$W$103,16,FALSE)/5</f>
        <v>0</v>
      </c>
      <c r="AF131" s="43">
        <f>VLOOKUP($B131,'NG Result'!$A$144:$AB$175,COLUMN(AB30),FALSE)+VLOOKUP($B131,'project vs stock'!$A$72:$W$103,16,FALSE)/5</f>
        <v>0</v>
      </c>
    </row>
    <row r="132" ht="13.85" spans="1:32">
      <c r="A132" s="27" t="s">
        <v>167</v>
      </c>
      <c r="B132" s="44" t="s">
        <v>140</v>
      </c>
      <c r="C132" s="42"/>
      <c r="D132" s="42"/>
      <c r="E132" s="42"/>
      <c r="F132" s="42">
        <f>VLOOKUP($B132,'NG Result'!$A$144:$AB$175,COLUMN(B31),FALSE)</f>
        <v>0</v>
      </c>
      <c r="G132" s="42">
        <f>VLOOKUP($B132,'NG Result'!$A$144:$AB$175,COLUMN(C31),FALSE)</f>
        <v>0</v>
      </c>
      <c r="H132" s="42">
        <f>VLOOKUP($B132,'NG Result'!$A$144:$AB$175,COLUMN(D31),FALSE)</f>
        <v>0</v>
      </c>
      <c r="I132" s="42">
        <f>VLOOKUP($B132,'NG Result'!$A$144:$AB$175,COLUMN(E31),FALSE)</f>
        <v>0</v>
      </c>
      <c r="J132" s="42">
        <f>VLOOKUP($B132,'NG Result'!$A$144:$AB$175,COLUMN(F31),FALSE)</f>
        <v>0</v>
      </c>
      <c r="K132" s="42">
        <f>VLOOKUP($B132,'NG Result'!$A$144:$AB$175,COLUMN(G31),FALSE)</f>
        <v>0</v>
      </c>
      <c r="L132" s="42">
        <f>VLOOKUP($B132,'NG Result'!$A$144:$AB$175,COLUMN(H31),FALSE)</f>
        <v>0</v>
      </c>
      <c r="M132" s="42">
        <f>VLOOKUP($B132,'NG Result'!$A$144:$AB$175,COLUMN(I31),FALSE)</f>
        <v>0</v>
      </c>
      <c r="N132" s="42">
        <f>VLOOKUP($B132,'NG Result'!$A$144:$AB$175,COLUMN(J31),FALSE)</f>
        <v>0</v>
      </c>
      <c r="O132" s="42">
        <f>VLOOKUP($B132,'NG Result'!$A$144:$AB$175,COLUMN(K31),FALSE)</f>
        <v>0</v>
      </c>
      <c r="P132" s="42">
        <f>VLOOKUP($B132,'NG Result'!$A$144:$AB$175,COLUMN(L31),FALSE)</f>
        <v>0</v>
      </c>
      <c r="Q132" s="42">
        <f>VLOOKUP($B132,'NG Result'!$A$144:$AB$175,COLUMN(M31),FALSE)</f>
        <v>0</v>
      </c>
      <c r="R132" s="42">
        <f>VLOOKUP($B132,'NG Result'!$A$144:$AB$175,COLUMN(N31),FALSE)</f>
        <v>0</v>
      </c>
      <c r="S132" s="42">
        <f>VLOOKUP($B132,'NG Result'!$A$144:$AB$175,COLUMN(O31),FALSE)</f>
        <v>0</v>
      </c>
      <c r="T132" s="42">
        <f>VLOOKUP($B132,'NG Result'!$A$144:$AB$175,COLUMN(P31),FALSE)</f>
        <v>0</v>
      </c>
      <c r="U132" s="42">
        <f>VLOOKUP($B132,'NG Result'!$A$144:$AB$175,COLUMN(Q31),FALSE)</f>
        <v>0</v>
      </c>
      <c r="V132" s="42">
        <f>VLOOKUP($B132,'NG Result'!$A$144:$AB$175,COLUMN(R31),FALSE)</f>
        <v>0</v>
      </c>
      <c r="W132" s="42">
        <f>VLOOKUP($B132,'NG Result'!$A$144:$AB$175,COLUMN(S31),FALSE)</f>
        <v>0</v>
      </c>
      <c r="X132" s="42">
        <f>VLOOKUP($B132,'NG Result'!$A$144:$AB$175,COLUMN(T31),FALSE)</f>
        <v>0</v>
      </c>
      <c r="Y132" s="42">
        <f>VLOOKUP($B132,'NG Result'!$A$144:$AB$175,COLUMN(U31),FALSE)</f>
        <v>18</v>
      </c>
      <c r="Z132" s="42">
        <f>VLOOKUP($B132,'NG Result'!$A$144:$AB$175,COLUMN(V31),FALSE)</f>
        <v>170.5</v>
      </c>
      <c r="AA132" s="42">
        <f>VLOOKUP($B132,'NG Result'!$A$144:$AB$175,COLUMN(W31),FALSE)</f>
        <v>170.5</v>
      </c>
      <c r="AB132" s="42">
        <f>VLOOKUP($B132,'NG Result'!$A$144:$AB$175,COLUMN(X31),FALSE)</f>
        <v>170.5</v>
      </c>
      <c r="AC132" s="42">
        <f>VLOOKUP($B132,'NG Result'!$A$144:$AB$175,COLUMN(Y31),FALSE)</f>
        <v>170.5</v>
      </c>
      <c r="AD132" s="42">
        <f>VLOOKUP($B132,'NG Result'!$A$144:$AB$175,COLUMN(Z31),FALSE)+VLOOKUP($B132,'project vs stock'!$A$72:$W$103,16,FALSE)/5</f>
        <v>0</v>
      </c>
      <c r="AE132" s="42">
        <f>VLOOKUP($B132,'NG Result'!$A$144:$AB$175,COLUMN(AA31),FALSE)+VLOOKUP($B132,'project vs stock'!$A$72:$W$103,16,FALSE)/5</f>
        <v>0</v>
      </c>
      <c r="AF132" s="43">
        <f>VLOOKUP($B132,'NG Result'!$A$144:$AB$175,COLUMN(AB31),FALSE)+VLOOKUP($B132,'project vs stock'!$A$72:$W$103,16,FALSE)/5</f>
        <v>0</v>
      </c>
    </row>
    <row r="133" ht="13.85" spans="1:32">
      <c r="A133" s="27" t="s">
        <v>167</v>
      </c>
      <c r="B133" s="44" t="s">
        <v>142</v>
      </c>
      <c r="C133" s="42"/>
      <c r="D133" s="42"/>
      <c r="E133" s="42"/>
      <c r="F133" s="42">
        <f>VLOOKUP($B133,'NG Result'!$A$144:$AB$175,COLUMN(B32),FALSE)</f>
        <v>0</v>
      </c>
      <c r="G133" s="42">
        <f>VLOOKUP($B133,'NG Result'!$A$144:$AB$175,COLUMN(C32),FALSE)</f>
        <v>0</v>
      </c>
      <c r="H133" s="42">
        <f>VLOOKUP($B133,'NG Result'!$A$144:$AB$175,COLUMN(D32),FALSE)</f>
        <v>0</v>
      </c>
      <c r="I133" s="42">
        <f>VLOOKUP($B133,'NG Result'!$A$144:$AB$175,COLUMN(E32),FALSE)</f>
        <v>0</v>
      </c>
      <c r="J133" s="42">
        <f>VLOOKUP($B133,'NG Result'!$A$144:$AB$175,COLUMN(F32),FALSE)</f>
        <v>0</v>
      </c>
      <c r="K133" s="42">
        <f>VLOOKUP($B133,'NG Result'!$A$144:$AB$175,COLUMN(G32),FALSE)</f>
        <v>0</v>
      </c>
      <c r="L133" s="42">
        <f>VLOOKUP($B133,'NG Result'!$A$144:$AB$175,COLUMN(H32),FALSE)</f>
        <v>0</v>
      </c>
      <c r="M133" s="42">
        <f>VLOOKUP($B133,'NG Result'!$A$144:$AB$175,COLUMN(I32),FALSE)</f>
        <v>0</v>
      </c>
      <c r="N133" s="42">
        <f>VLOOKUP($B133,'NG Result'!$A$144:$AB$175,COLUMN(J32),FALSE)</f>
        <v>0</v>
      </c>
      <c r="O133" s="42">
        <f>VLOOKUP($B133,'NG Result'!$A$144:$AB$175,COLUMN(K32),FALSE)</f>
        <v>0</v>
      </c>
      <c r="P133" s="42">
        <f>VLOOKUP($B133,'NG Result'!$A$144:$AB$175,COLUMN(L32),FALSE)</f>
        <v>0</v>
      </c>
      <c r="Q133" s="42">
        <f>VLOOKUP($B133,'NG Result'!$A$144:$AB$175,COLUMN(M32),FALSE)</f>
        <v>0</v>
      </c>
      <c r="R133" s="42">
        <f>VLOOKUP($B133,'NG Result'!$A$144:$AB$175,COLUMN(N32),FALSE)</f>
        <v>0</v>
      </c>
      <c r="S133" s="42">
        <f>VLOOKUP($B133,'NG Result'!$A$144:$AB$175,COLUMN(O32),FALSE)</f>
        <v>0</v>
      </c>
      <c r="T133" s="42">
        <f>VLOOKUP($B133,'NG Result'!$A$144:$AB$175,COLUMN(P32),FALSE)</f>
        <v>0</v>
      </c>
      <c r="U133" s="42">
        <f>VLOOKUP($B133,'NG Result'!$A$144:$AB$175,COLUMN(Q32),FALSE)</f>
        <v>0</v>
      </c>
      <c r="V133" s="42">
        <f>VLOOKUP($B133,'NG Result'!$A$144:$AB$175,COLUMN(R32),FALSE)</f>
        <v>0</v>
      </c>
      <c r="W133" s="42">
        <f>VLOOKUP($B133,'NG Result'!$A$144:$AB$175,COLUMN(S32),FALSE)</f>
        <v>0</v>
      </c>
      <c r="X133" s="42">
        <f>VLOOKUP($B133,'NG Result'!$A$144:$AB$175,COLUMN(T32),FALSE)</f>
        <v>0</v>
      </c>
      <c r="Y133" s="42">
        <f>VLOOKUP($B133,'NG Result'!$A$144:$AB$175,COLUMN(U32),FALSE)</f>
        <v>0</v>
      </c>
      <c r="Z133" s="42">
        <f>VLOOKUP($B133,'NG Result'!$A$144:$AB$175,COLUMN(V32),FALSE)</f>
        <v>42.6000000000001</v>
      </c>
      <c r="AA133" s="42">
        <f>VLOOKUP($B133,'NG Result'!$A$144:$AB$175,COLUMN(W32),FALSE)</f>
        <v>121.4</v>
      </c>
      <c r="AB133" s="42">
        <f>VLOOKUP($B133,'NG Result'!$A$144:$AB$175,COLUMN(X32),FALSE)</f>
        <v>121.4</v>
      </c>
      <c r="AC133" s="42">
        <f>VLOOKUP($B133,'NG Result'!$A$144:$AB$175,COLUMN(Y32),FALSE)</f>
        <v>426.8</v>
      </c>
      <c r="AD133" s="42">
        <f>VLOOKUP($B133,'NG Result'!$A$144:$AB$175,COLUMN(Z32),FALSE)+VLOOKUP($B133,'project vs stock'!$A$72:$W$103,16,FALSE)/5</f>
        <v>123</v>
      </c>
      <c r="AE133" s="42">
        <f>VLOOKUP($B133,'NG Result'!$A$144:$AB$175,COLUMN(AA32),FALSE)+VLOOKUP($B133,'project vs stock'!$A$72:$W$103,16,FALSE)/5</f>
        <v>11.8</v>
      </c>
      <c r="AF133" s="43">
        <f>VLOOKUP($B133,'NG Result'!$A$144:$AB$175,COLUMN(AB32),FALSE)+VLOOKUP($B133,'project vs stock'!$A$72:$W$103,16,FALSE)/5</f>
        <v>0</v>
      </c>
    </row>
    <row r="134" s="38" customFormat="1" spans="1:32">
      <c r="A134" s="46"/>
      <c r="B134" s="46"/>
      <c r="C134" s="47"/>
      <c r="D134" s="47"/>
      <c r="E134" s="47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</row>
    <row r="135" ht="13.85" spans="1:32">
      <c r="A135" s="27" t="s">
        <v>2348</v>
      </c>
      <c r="B135" s="41" t="s">
        <v>80</v>
      </c>
      <c r="C135" s="42">
        <f t="shared" ref="C135" si="90">SUM(C136:C166)</f>
        <v>0</v>
      </c>
      <c r="D135" s="42">
        <f t="shared" ref="D135" si="91">SUM(D136:D166)</f>
        <v>0</v>
      </c>
      <c r="E135" s="42">
        <f t="shared" ref="E135" si="92">SUM(E136:E166)</f>
        <v>0</v>
      </c>
      <c r="F135" s="42">
        <f t="shared" ref="F135" si="93">SUM(F136:F166)</f>
        <v>0</v>
      </c>
      <c r="G135" s="42">
        <f t="shared" ref="G135" si="94">SUM(G136:G166)</f>
        <v>0</v>
      </c>
      <c r="H135" s="42">
        <f t="shared" ref="H135" si="95">SUM(H136:H166)</f>
        <v>0</v>
      </c>
      <c r="I135" s="42">
        <f t="shared" ref="I135" si="96">SUM(I136:I166)</f>
        <v>0</v>
      </c>
      <c r="J135" s="42">
        <f t="shared" ref="J135" si="97">SUM(J136:J166)</f>
        <v>0</v>
      </c>
      <c r="K135" s="42">
        <f t="shared" ref="K135" si="98">SUM(K136:K166)</f>
        <v>0</v>
      </c>
      <c r="L135" s="42">
        <f t="shared" ref="L135" si="99">SUM(L136:L166)</f>
        <v>0</v>
      </c>
      <c r="M135" s="42">
        <f t="shared" ref="M135" si="100">SUM(M136:M166)</f>
        <v>0</v>
      </c>
      <c r="N135" s="42">
        <f t="shared" ref="N135" si="101">SUM(N136:N166)</f>
        <v>0</v>
      </c>
      <c r="O135" s="42">
        <f t="shared" ref="O135" si="102">SUM(O136:O166)</f>
        <v>0</v>
      </c>
      <c r="P135" s="42">
        <f t="shared" ref="P135" si="103">SUM(P136:P166)</f>
        <v>0</v>
      </c>
      <c r="Q135" s="42">
        <f t="shared" ref="Q135" si="104">SUM(Q136:Q166)</f>
        <v>529</v>
      </c>
      <c r="R135" s="42">
        <f t="shared" ref="R135" si="105">SUM(R136:R166)</f>
        <v>525</v>
      </c>
      <c r="S135" s="42">
        <f t="shared" ref="S135" si="106">SUM(S136:S166)</f>
        <v>1090</v>
      </c>
      <c r="T135" s="42">
        <f t="shared" ref="T135" si="107">SUM(T136:T166)</f>
        <v>3060</v>
      </c>
      <c r="U135" s="42">
        <f t="shared" ref="U135" si="108">SUM(U136:U166)</f>
        <v>5466.01111111111</v>
      </c>
      <c r="V135" s="42">
        <f t="shared" ref="V135" si="109">SUM(V136:V166)</f>
        <v>10196.0111111111</v>
      </c>
      <c r="W135" s="42">
        <f t="shared" ref="W135" si="110">SUM(W136:W166)</f>
        <v>15039.1111111111</v>
      </c>
      <c r="X135" s="42">
        <f t="shared" ref="X135" si="111">SUM(X136:X166)</f>
        <v>15743.7111111111</v>
      </c>
      <c r="Y135" s="42">
        <f t="shared" ref="Y135" si="112">SUM(Y136:Y166)</f>
        <v>13423.1111111111</v>
      </c>
      <c r="Z135" s="42">
        <f t="shared" ref="Z135" si="113">SUM(Z136:Z166)</f>
        <v>15338.5111111111</v>
      </c>
      <c r="AA135" s="42">
        <f t="shared" ref="AA135" si="114">SUM(AA136:AA166)</f>
        <v>21471.7111111111</v>
      </c>
      <c r="AB135" s="42">
        <f t="shared" ref="AB135" si="115">SUM(AB136:AB166)</f>
        <v>31825.4111111111</v>
      </c>
      <c r="AC135" s="42">
        <f t="shared" ref="AC135" si="116">SUM(AC136:AC166)</f>
        <v>20709.1111111111</v>
      </c>
      <c r="AD135" s="42">
        <f t="shared" ref="AD135" si="117">SUM(AD136:AD166)</f>
        <v>17833.88</v>
      </c>
      <c r="AE135" s="42">
        <f t="shared" ref="AE135:AF135" si="118">SUM(AE136:AE166)</f>
        <v>21900.08</v>
      </c>
      <c r="AF135" s="43">
        <f t="shared" si="118"/>
        <v>26352.28</v>
      </c>
    </row>
    <row r="136" ht="13.85" spans="1:32">
      <c r="A136" s="27" t="s">
        <v>2348</v>
      </c>
      <c r="B136" s="44" t="s">
        <v>82</v>
      </c>
      <c r="C136" s="45"/>
      <c r="D136" s="45"/>
      <c r="E136" s="45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>
        <f>VLOOKUP($B136,'93-07workbook'!$B$179:$AH$210,COLUMN(M$1),FALSE)</f>
        <v>0</v>
      </c>
      <c r="R136" s="42">
        <f>VLOOKUP($B136,'93-07workbook'!$B$179:$AH$210,COLUMN(N$1),FALSE)</f>
        <v>0</v>
      </c>
      <c r="S136" s="42">
        <f>VLOOKUP($B136,'93-07workbook'!$B$179:$AH$210,COLUMN(O$1),FALSE)</f>
        <v>0</v>
      </c>
      <c r="T136" s="42">
        <f>VLOOKUP($B136,'93-07workbook'!$B$179:$AH$210,COLUMN(P$1),FALSE)</f>
        <v>0</v>
      </c>
      <c r="U136" s="42">
        <f>SUMIFS('08-21addition'!$C:$C,'08-21addition'!$A:$A,$B136,'08-21addition'!$B:$B,U$2)*10+VLOOKUP($B103,'project vs stock'!$A$72:$W$103,22,FALSE)/9</f>
        <v>3.61111111111111</v>
      </c>
      <c r="V136" s="42">
        <f>SUMIFS('08-21addition'!$C:$C,'08-21addition'!$A:$A,$B136,'08-21addition'!$B:$B,V$2)*10+VLOOKUP($B103,'project vs stock'!$A$72:$W$103,22,FALSE)/9</f>
        <v>3.61111111111111</v>
      </c>
      <c r="W136" s="42">
        <f>SUMIFS('08-21addition'!$C:$C,'08-21addition'!$A:$A,$B136,'08-21addition'!$B:$B,W$2)*10+VLOOKUP($B103,'project vs stock'!$A$72:$W$103,22,FALSE)/9</f>
        <v>89.1111111111111</v>
      </c>
      <c r="X136" s="42">
        <f>SUMIFS('08-21addition'!$C:$C,'08-21addition'!$A:$A,$B136,'08-21addition'!$B:$B,X$2)*10+VLOOKUP($B103,'project vs stock'!$A$72:$W$103,22,FALSE)/9</f>
        <v>3.61111111111111</v>
      </c>
      <c r="Y136" s="42">
        <f>SUMIFS('08-21addition'!$C:$C,'08-21addition'!$A:$A,$B136,'08-21addition'!$B:$B,Y$2)*10+VLOOKUP($B103,'project vs stock'!$A$72:$W$103,22,FALSE)/9</f>
        <v>3.61111111111111</v>
      </c>
      <c r="Z136" s="42">
        <f>SUMIFS('08-21addition'!$C:$C,'08-21addition'!$A:$A,$B136,'08-21addition'!$B:$B,Z$2)*10+VLOOKUP($B103,'project vs stock'!$A$72:$W$103,22,FALSE)/9</f>
        <v>3.61111111111111</v>
      </c>
      <c r="AA136" s="42">
        <f>SUMIFS('08-21addition'!$C:$C,'08-21addition'!$A:$A,$B136,'08-21addition'!$B:$B,AA$2)*10+VLOOKUP($B103,'project vs stock'!$A$72:$W$103,22,FALSE)/9</f>
        <v>3.61111111111111</v>
      </c>
      <c r="AB136" s="42">
        <f>SUMIFS('08-21addition'!$C:$C,'08-21addition'!$A:$A,$B136,'08-21addition'!$B:$B,AB$2)*10+VLOOKUP($B103,'project vs stock'!$A$72:$W$103,22,FALSE)/9</f>
        <v>3.61111111111111</v>
      </c>
      <c r="AC136" s="42">
        <f>SUMIFS('08-21addition'!$C:$C,'08-21addition'!$A:$A,$B136,'08-21addition'!$B:$B,AC$2)*10+VLOOKUP($B103,'project vs stock'!$A$72:$W$103,22,FALSE)/9</f>
        <v>75.6111111111111</v>
      </c>
      <c r="AD136" s="42">
        <f>SUMIFS('08-21addition'!$C:$C,'08-21addition'!$A:$A,$B136,'08-21addition'!$B:$B,AD$2)*10+VLOOKUP($B103,'project vs stock'!$A$72:$W$103,6,FALSE)/5</f>
        <v>2.5</v>
      </c>
      <c r="AE136" s="42">
        <f>SUMIFS('08-21addition'!$C:$C,'08-21addition'!$A:$A,$B136,'08-21addition'!$B:$B,AE$2)*10+VLOOKUP($B103,'project vs stock'!$A$72:$W$103,6,FALSE)/5</f>
        <v>0</v>
      </c>
      <c r="AF136" s="42">
        <f>SUMIFS('08-21addition'!$C:$C,'08-21addition'!$A:$A,$B136,'08-21addition'!$B:$B,AF$2)*10+VLOOKUP($B103,'project vs stock'!$A$72:$W$103,6,FALSE)/5</f>
        <v>0</v>
      </c>
    </row>
    <row r="137" ht="13.85" spans="1:32">
      <c r="A137" s="27" t="s">
        <v>2348</v>
      </c>
      <c r="B137" s="44" t="s">
        <v>84</v>
      </c>
      <c r="C137" s="45"/>
      <c r="D137" s="45"/>
      <c r="E137" s="45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>
        <f>VLOOKUP($B137,'93-07workbook'!$B$179:$AH$210,COLUMN(M$1),FALSE)</f>
        <v>0</v>
      </c>
      <c r="R137" s="42">
        <f>VLOOKUP($B137,'93-07workbook'!$B$179:$AH$210,COLUMN(N$1),FALSE)</f>
        <v>0</v>
      </c>
      <c r="S137" s="42">
        <f>VLOOKUP($B137,'93-07workbook'!$B$179:$AH$210,COLUMN(O$1),FALSE)</f>
        <v>0</v>
      </c>
      <c r="T137" s="42">
        <f>VLOOKUP($B137,'93-07workbook'!$B$179:$AH$210,COLUMN(P$1),FALSE)</f>
        <v>0</v>
      </c>
      <c r="U137" s="42">
        <f>SUMIFS('08-21addition'!$C:$C,'08-21addition'!$A:$A,$B137,'08-21addition'!$B:$B,U$2)*10+VLOOKUP($B104,'project vs stock'!$A$72:$W$103,22,FALSE)/9</f>
        <v>9.00000000000002</v>
      </c>
      <c r="V137" s="42">
        <f>SUMIFS('08-21addition'!$C:$C,'08-21addition'!$A:$A,$B137,'08-21addition'!$B:$B,V$2)*10+VLOOKUP($B104,'project vs stock'!$A$72:$W$103,22,FALSE)/9</f>
        <v>9.00000000000002</v>
      </c>
      <c r="W137" s="42">
        <f>SUMIFS('08-21addition'!$C:$C,'08-21addition'!$A:$A,$B137,'08-21addition'!$B:$B,W$2)*10+VLOOKUP($B104,'project vs stock'!$A$72:$W$103,22,FALSE)/9</f>
        <v>84.5</v>
      </c>
      <c r="X137" s="42">
        <f>SUMIFS('08-21addition'!$C:$C,'08-21addition'!$A:$A,$B137,'08-21addition'!$B:$B,X$2)*10+VLOOKUP($B104,'project vs stock'!$A$72:$W$103,22,FALSE)/9</f>
        <v>63</v>
      </c>
      <c r="Y137" s="42">
        <f>SUMIFS('08-21addition'!$C:$C,'08-21addition'!$A:$A,$B137,'08-21addition'!$B:$B,Y$2)*10+VLOOKUP($B104,'project vs stock'!$A$72:$W$103,22,FALSE)/9</f>
        <v>55.5</v>
      </c>
      <c r="Z137" s="42">
        <f>SUMIFS('08-21addition'!$C:$C,'08-21addition'!$A:$A,$B137,'08-21addition'!$B:$B,Z$2)*10+VLOOKUP($B104,'project vs stock'!$A$72:$W$103,22,FALSE)/9</f>
        <v>42</v>
      </c>
      <c r="AA137" s="42">
        <f>SUMIFS('08-21addition'!$C:$C,'08-21addition'!$A:$A,$B137,'08-21addition'!$B:$B,AA$2)*10+VLOOKUP($B104,'project vs stock'!$A$72:$W$103,22,FALSE)/9</f>
        <v>9.00000000000002</v>
      </c>
      <c r="AB137" s="42">
        <f>SUMIFS('08-21addition'!$C:$C,'08-21addition'!$A:$A,$B137,'08-21addition'!$B:$B,AB$2)*10+VLOOKUP($B104,'project vs stock'!$A$72:$W$103,22,FALSE)/9</f>
        <v>9.00000000000002</v>
      </c>
      <c r="AC137" s="42">
        <f>SUMIFS('08-21addition'!$C:$C,'08-21addition'!$A:$A,$B137,'08-21addition'!$B:$B,AC$2)*10+VLOOKUP($B104,'project vs stock'!$A$72:$W$103,22,FALSE)/9</f>
        <v>9.00000000000002</v>
      </c>
      <c r="AD137" s="42">
        <f>SUMIFS('08-21addition'!$C:$C,'08-21addition'!$A:$A,$B137,'08-21addition'!$B:$B,AD$2)*10+VLOOKUP($B104,'project vs stock'!$A$72:$W$103,6,FALSE)/5</f>
        <v>105</v>
      </c>
      <c r="AE137" s="42">
        <f>SUMIFS('08-21addition'!$C:$C,'08-21addition'!$A:$A,$B137,'08-21addition'!$B:$B,AE$2)*10+VLOOKUP($B104,'project vs stock'!$A$72:$W$103,6,FALSE)/5</f>
        <v>282.8</v>
      </c>
      <c r="AF137" s="42">
        <f>SUMIFS('08-21addition'!$C:$C,'08-21addition'!$A:$A,$B137,'08-21addition'!$B:$B,AF$2)*10+VLOOKUP($B104,'project vs stock'!$A$72:$W$103,6,FALSE)/5</f>
        <v>129.5</v>
      </c>
    </row>
    <row r="138" ht="13.85" spans="1:32">
      <c r="A138" s="27" t="s">
        <v>2348</v>
      </c>
      <c r="B138" s="44" t="s">
        <v>86</v>
      </c>
      <c r="C138" s="45"/>
      <c r="D138" s="45"/>
      <c r="E138" s="45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>
        <f>VLOOKUP($B138,'93-07workbook'!$B$179:$AH$210,COLUMN(M$1),FALSE)</f>
        <v>13.5</v>
      </c>
      <c r="R138" s="42">
        <f>VLOOKUP($B138,'93-07workbook'!$B$179:$AH$210,COLUMN(N$1),FALSE)</f>
        <v>34.5</v>
      </c>
      <c r="S138" s="42">
        <f>VLOOKUP($B138,'93-07workbook'!$B$179:$AH$210,COLUMN(O$1),FALSE)</f>
        <v>140</v>
      </c>
      <c r="T138" s="42">
        <f>VLOOKUP($B138,'93-07workbook'!$B$179:$AH$210,COLUMN(P$1),FALSE)</f>
        <v>80</v>
      </c>
      <c r="U138" s="42">
        <f>SUMIFS('08-21addition'!$C:$C,'08-21addition'!$A:$A,$B138,'08-21addition'!$B:$B,U$2)*10+VLOOKUP($B105,'project vs stock'!$A$72:$W$103,22,FALSE)/9</f>
        <v>300</v>
      </c>
      <c r="V138" s="42">
        <f>SUMIFS('08-21addition'!$C:$C,'08-21addition'!$A:$A,$B138,'08-21addition'!$B:$B,V$2)*10+VLOOKUP($B105,'project vs stock'!$A$72:$W$103,22,FALSE)/9</f>
        <v>951.8</v>
      </c>
      <c r="W138" s="42">
        <f>SUMIFS('08-21addition'!$C:$C,'08-21addition'!$A:$A,$B138,'08-21addition'!$B:$B,W$2)*10+VLOOKUP($B105,'project vs stock'!$A$72:$W$103,22,FALSE)/9</f>
        <v>2087.1</v>
      </c>
      <c r="X138" s="42">
        <f>SUMIFS('08-21addition'!$C:$C,'08-21addition'!$A:$A,$B138,'08-21addition'!$B:$B,X$2)*10+VLOOKUP($B105,'project vs stock'!$A$72:$W$103,22,FALSE)/9</f>
        <v>887.8</v>
      </c>
      <c r="Y138" s="42">
        <f>SUMIFS('08-21addition'!$C:$C,'08-21addition'!$A:$A,$B138,'08-21addition'!$B:$B,Y$2)*10+VLOOKUP($B105,'project vs stock'!$A$72:$W$103,22,FALSE)/9</f>
        <v>1582.1</v>
      </c>
      <c r="Z138" s="42">
        <f>SUMIFS('08-21addition'!$C:$C,'08-21addition'!$A:$A,$B138,'08-21addition'!$B:$B,Z$2)*10+VLOOKUP($B105,'project vs stock'!$A$72:$W$103,22,FALSE)/9</f>
        <v>714</v>
      </c>
      <c r="AA138" s="42">
        <f>SUMIFS('08-21addition'!$C:$C,'08-21addition'!$A:$A,$B138,'08-21addition'!$B:$B,AA$2)*10+VLOOKUP($B105,'project vs stock'!$A$72:$W$103,22,FALSE)/9</f>
        <v>1577.5</v>
      </c>
      <c r="AB138" s="42">
        <f>SUMIFS('08-21addition'!$C:$C,'08-21addition'!$A:$A,$B138,'08-21addition'!$B:$B,AB$2)*10+VLOOKUP($B105,'project vs stock'!$A$72:$W$103,22,FALSE)/9</f>
        <v>840.5</v>
      </c>
      <c r="AC138" s="42">
        <f>SUMIFS('08-21addition'!$C:$C,'08-21addition'!$A:$A,$B138,'08-21addition'!$B:$B,AC$2)*10+VLOOKUP($B105,'project vs stock'!$A$72:$W$103,22,FALSE)/9</f>
        <v>2282.1</v>
      </c>
      <c r="AD138" s="42">
        <f>SUMIFS('08-21addition'!$C:$C,'08-21addition'!$A:$A,$B138,'08-21addition'!$B:$B,AD$2)*10+VLOOKUP($B105,'project vs stock'!$A$72:$W$103,6,FALSE)/5</f>
        <v>1071</v>
      </c>
      <c r="AE138" s="42">
        <f>SUMIFS('08-21addition'!$C:$C,'08-21addition'!$A:$A,$B138,'08-21addition'!$B:$B,AE$2)*10+VLOOKUP($B105,'project vs stock'!$A$72:$W$103,6,FALSE)/5</f>
        <v>2457</v>
      </c>
      <c r="AF138" s="42">
        <f>SUMIFS('08-21addition'!$C:$C,'08-21addition'!$A:$A,$B138,'08-21addition'!$B:$B,AF$2)*10+VLOOKUP($B105,'project vs stock'!$A$72:$W$103,6,FALSE)/5</f>
        <v>2383.8</v>
      </c>
    </row>
    <row r="139" ht="13.85" spans="1:32">
      <c r="A139" s="27" t="s">
        <v>2348</v>
      </c>
      <c r="B139" s="44" t="s">
        <v>88</v>
      </c>
      <c r="C139" s="45"/>
      <c r="D139" s="45"/>
      <c r="E139" s="45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>
        <f>VLOOKUP($B139,'93-07workbook'!$B$179:$AH$210,COLUMN(M$1),FALSE)</f>
        <v>0</v>
      </c>
      <c r="R139" s="42">
        <f>VLOOKUP($B139,'93-07workbook'!$B$179:$AH$210,COLUMN(N$1),FALSE)</f>
        <v>0</v>
      </c>
      <c r="S139" s="42">
        <f>VLOOKUP($B139,'93-07workbook'!$B$179:$AH$210,COLUMN(O$1),FALSE)</f>
        <v>0</v>
      </c>
      <c r="T139" s="42">
        <f>VLOOKUP($B139,'93-07workbook'!$B$179:$AH$210,COLUMN(P$1),FALSE)</f>
        <v>0</v>
      </c>
      <c r="U139" s="42">
        <f>SUMIFS('08-21addition'!$C:$C,'08-21addition'!$A:$A,$B139,'08-21addition'!$B:$B,U$2)*10+VLOOKUP($B106,'project vs stock'!$A$72:$W$103,22,FALSE)/9</f>
        <v>100</v>
      </c>
      <c r="V139" s="42">
        <f>SUMIFS('08-21addition'!$C:$C,'08-21addition'!$A:$A,$B139,'08-21addition'!$B:$B,V$2)*10+VLOOKUP($B106,'project vs stock'!$A$72:$W$103,22,FALSE)/9</f>
        <v>75</v>
      </c>
      <c r="W139" s="42">
        <f>SUMIFS('08-21addition'!$C:$C,'08-21addition'!$A:$A,$B139,'08-21addition'!$B:$B,W$2)*10+VLOOKUP($B106,'project vs stock'!$A$72:$W$103,22,FALSE)/9</f>
        <v>369</v>
      </c>
      <c r="X139" s="42">
        <f>SUMIFS('08-21addition'!$C:$C,'08-21addition'!$A:$A,$B139,'08-21addition'!$B:$B,X$2)*10+VLOOKUP($B106,'project vs stock'!$A$72:$W$103,22,FALSE)/9</f>
        <v>1044</v>
      </c>
      <c r="Y139" s="42">
        <f>SUMIFS('08-21addition'!$C:$C,'08-21addition'!$A:$A,$B139,'08-21addition'!$B:$B,Y$2)*10+VLOOKUP($B106,'project vs stock'!$A$72:$W$103,22,FALSE)/9</f>
        <v>1030.5</v>
      </c>
      <c r="Z139" s="42">
        <f>SUMIFS('08-21addition'!$C:$C,'08-21addition'!$A:$A,$B139,'08-21addition'!$B:$B,Z$2)*10+VLOOKUP($B106,'project vs stock'!$A$72:$W$103,22,FALSE)/9</f>
        <v>814.5</v>
      </c>
      <c r="AA139" s="42">
        <f>SUMIFS('08-21addition'!$C:$C,'08-21addition'!$A:$A,$B139,'08-21addition'!$B:$B,AA$2)*10+VLOOKUP($B106,'project vs stock'!$A$72:$W$103,22,FALSE)/9</f>
        <v>1765.5</v>
      </c>
      <c r="AB139" s="42">
        <f>SUMIFS('08-21addition'!$C:$C,'08-21addition'!$A:$A,$B139,'08-21addition'!$B:$B,AB$2)*10+VLOOKUP($B106,'project vs stock'!$A$72:$W$103,22,FALSE)/9</f>
        <v>2230.6</v>
      </c>
      <c r="AC139" s="42">
        <f>SUMIFS('08-21addition'!$C:$C,'08-21addition'!$A:$A,$B139,'08-21addition'!$B:$B,AC$2)*10+VLOOKUP($B106,'project vs stock'!$A$72:$W$103,22,FALSE)/9</f>
        <v>1733</v>
      </c>
      <c r="AD139" s="42">
        <f>SUMIFS('08-21addition'!$C:$C,'08-21addition'!$A:$A,$B139,'08-21addition'!$B:$B,AD$2)*10+VLOOKUP($B106,'project vs stock'!$A$72:$W$103,6,FALSE)/5</f>
        <v>956</v>
      </c>
      <c r="AE139" s="42">
        <f>SUMIFS('08-21addition'!$C:$C,'08-21addition'!$A:$A,$B139,'08-21addition'!$B:$B,AE$2)*10+VLOOKUP($B106,'project vs stock'!$A$72:$W$103,6,FALSE)/5</f>
        <v>1960.9</v>
      </c>
      <c r="AF139" s="42">
        <f>SUMIFS('08-21addition'!$C:$C,'08-21addition'!$A:$A,$B139,'08-21addition'!$B:$B,AF$2)*10+VLOOKUP($B106,'project vs stock'!$A$72:$W$103,6,FALSE)/5</f>
        <v>2141.6</v>
      </c>
    </row>
    <row r="140" ht="13.85" spans="1:32">
      <c r="A140" s="27" t="s">
        <v>2348</v>
      </c>
      <c r="B140" s="44" t="s">
        <v>90</v>
      </c>
      <c r="C140" s="45"/>
      <c r="D140" s="45"/>
      <c r="E140" s="45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>
        <f>VLOOKUP($B140,'93-07workbook'!$B$179:$AH$210,COLUMN(M$1),FALSE)</f>
        <v>111.7</v>
      </c>
      <c r="R140" s="42">
        <f>VLOOKUP($B140,'93-07workbook'!$B$179:$AH$210,COLUMN(N$1),FALSE)</f>
        <v>97.3</v>
      </c>
      <c r="S140" s="42">
        <f>VLOOKUP($B140,'93-07workbook'!$B$179:$AH$210,COLUMN(O$1),FALSE)</f>
        <v>320</v>
      </c>
      <c r="T140" s="42">
        <f>VLOOKUP($B140,'93-07workbook'!$B$179:$AH$210,COLUMN(P$1),FALSE)</f>
        <v>950</v>
      </c>
      <c r="U140" s="42">
        <f>SUMIFS('08-21addition'!$C:$C,'08-21addition'!$A:$A,$B140,'08-21addition'!$B:$B,U$2)*10+VLOOKUP($B107,'project vs stock'!$A$72:$W$103,22,FALSE)/9</f>
        <v>1798.3</v>
      </c>
      <c r="V140" s="42">
        <f>SUMIFS('08-21addition'!$C:$C,'08-21addition'!$A:$A,$B140,'08-21addition'!$B:$B,V$2)*10+VLOOKUP($B107,'project vs stock'!$A$72:$W$103,22,FALSE)/9</f>
        <v>3939.4</v>
      </c>
      <c r="W140" s="42">
        <f>SUMIFS('08-21addition'!$C:$C,'08-21addition'!$A:$A,$B140,'08-21addition'!$B:$B,W$2)*10+VLOOKUP($B107,'project vs stock'!$A$72:$W$103,22,FALSE)/9</f>
        <v>4491</v>
      </c>
      <c r="X140" s="42">
        <f>SUMIFS('08-21addition'!$C:$C,'08-21addition'!$A:$A,$B140,'08-21addition'!$B:$B,X$2)*10+VLOOKUP($B107,'project vs stock'!$A$72:$W$103,22,FALSE)/9</f>
        <v>3862.2</v>
      </c>
      <c r="Y140" s="42">
        <f>SUMIFS('08-21addition'!$C:$C,'08-21addition'!$A:$A,$B140,'08-21addition'!$B:$B,Y$2)*10+VLOOKUP($B107,'project vs stock'!$A$72:$W$103,22,FALSE)/9</f>
        <v>1694.2</v>
      </c>
      <c r="Z140" s="42">
        <f>SUMIFS('08-21addition'!$C:$C,'08-21addition'!$A:$A,$B140,'08-21addition'!$B:$B,Z$2)*10+VLOOKUP($B107,'project vs stock'!$A$72:$W$103,22,FALSE)/9</f>
        <v>2248.3</v>
      </c>
      <c r="AA140" s="42">
        <f>SUMIFS('08-21addition'!$C:$C,'08-21addition'!$A:$A,$B140,'08-21addition'!$B:$B,AA$2)*10+VLOOKUP($B107,'project vs stock'!$A$72:$W$103,22,FALSE)/9</f>
        <v>1945.3</v>
      </c>
      <c r="AB140" s="42">
        <f>SUMIFS('08-21addition'!$C:$C,'08-21addition'!$A:$A,$B140,'08-21addition'!$B:$B,AB$2)*10+VLOOKUP($B107,'project vs stock'!$A$72:$W$103,22,FALSE)/9</f>
        <v>3525.8</v>
      </c>
      <c r="AC140" s="42">
        <f>SUMIFS('08-21addition'!$C:$C,'08-21addition'!$A:$A,$B140,'08-21addition'!$B:$B,AC$2)*10+VLOOKUP($B107,'project vs stock'!$A$72:$W$103,22,FALSE)/9</f>
        <v>985.500000000001</v>
      </c>
      <c r="AD140" s="42">
        <f>SUMIFS('08-21addition'!$C:$C,'08-21addition'!$A:$A,$B140,'08-21addition'!$B:$B,AD$2)*10+VLOOKUP($B107,'project vs stock'!$A$72:$W$103,6,FALSE)/5</f>
        <v>907.88</v>
      </c>
      <c r="AE140" s="42">
        <f>SUMIFS('08-21addition'!$C:$C,'08-21addition'!$A:$A,$B140,'08-21addition'!$B:$B,AE$2)*10+VLOOKUP($B107,'project vs stock'!$A$72:$W$103,6,FALSE)/5</f>
        <v>2168.78</v>
      </c>
      <c r="AF140" s="42">
        <f>SUMIFS('08-21addition'!$C:$C,'08-21addition'!$A:$A,$B140,'08-21addition'!$B:$B,AF$2)*10+VLOOKUP($B107,'project vs stock'!$A$72:$W$103,6,FALSE)/5</f>
        <v>1267.08</v>
      </c>
    </row>
    <row r="141" ht="13.85" spans="1:32">
      <c r="A141" s="27" t="s">
        <v>2348</v>
      </c>
      <c r="B141" s="44" t="s">
        <v>92</v>
      </c>
      <c r="C141" s="45"/>
      <c r="D141" s="45"/>
      <c r="E141" s="45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>
        <f>VLOOKUP($B141,'93-07workbook'!$B$179:$AH$210,COLUMN(M$1),FALSE)</f>
        <v>126</v>
      </c>
      <c r="R141" s="42">
        <f>VLOOKUP($B141,'93-07workbook'!$B$179:$AH$210,COLUMN(N$1),FALSE)</f>
        <v>0</v>
      </c>
      <c r="S141" s="42">
        <f>VLOOKUP($B141,'93-07workbook'!$B$179:$AH$210,COLUMN(O$1),FALSE)</f>
        <v>110</v>
      </c>
      <c r="T141" s="42">
        <f>VLOOKUP($B141,'93-07workbook'!$B$179:$AH$210,COLUMN(P$1),FALSE)</f>
        <v>220</v>
      </c>
      <c r="U141" s="42">
        <f>SUMIFS('08-21addition'!$C:$C,'08-21addition'!$A:$A,$B141,'08-21addition'!$B:$B,U$2)*10+VLOOKUP($B108,'project vs stock'!$A$72:$W$103,22,FALSE)/9</f>
        <v>534.733333333333</v>
      </c>
      <c r="V141" s="42">
        <f>SUMIFS('08-21addition'!$C:$C,'08-21addition'!$A:$A,$B141,'08-21addition'!$B:$B,V$2)*10+VLOOKUP($B108,'project vs stock'!$A$72:$W$103,22,FALSE)/9</f>
        <v>1246.53333333333</v>
      </c>
      <c r="W141" s="42">
        <f>SUMIFS('08-21addition'!$C:$C,'08-21addition'!$A:$A,$B141,'08-21addition'!$B:$B,W$2)*10+VLOOKUP($B108,'project vs stock'!$A$72:$W$103,22,FALSE)/9</f>
        <v>1202.03333333333</v>
      </c>
      <c r="X141" s="42">
        <f>SUMIFS('08-21addition'!$C:$C,'08-21addition'!$A:$A,$B141,'08-21addition'!$B:$B,X$2)*10+VLOOKUP($B108,'project vs stock'!$A$72:$W$103,22,FALSE)/9</f>
        <v>1122.73333333333</v>
      </c>
      <c r="Y141" s="42">
        <f>SUMIFS('08-21addition'!$C:$C,'08-21addition'!$A:$A,$B141,'08-21addition'!$B:$B,Y$2)*10+VLOOKUP($B108,'project vs stock'!$A$72:$W$103,22,FALSE)/9</f>
        <v>722.333333333333</v>
      </c>
      <c r="Z141" s="42">
        <f>SUMIFS('08-21addition'!$C:$C,'08-21addition'!$A:$A,$B141,'08-21addition'!$B:$B,Z$2)*10+VLOOKUP($B108,'project vs stock'!$A$72:$W$103,22,FALSE)/9</f>
        <v>698.233333333333</v>
      </c>
      <c r="AA141" s="42">
        <f>SUMIFS('08-21addition'!$C:$C,'08-21addition'!$A:$A,$B141,'08-21addition'!$B:$B,AA$2)*10+VLOOKUP($B108,'project vs stock'!$A$72:$W$103,22,FALSE)/9</f>
        <v>528.433333333333</v>
      </c>
      <c r="AB141" s="42">
        <f>SUMIFS('08-21addition'!$C:$C,'08-21addition'!$A:$A,$B141,'08-21addition'!$B:$B,AB$2)*10+VLOOKUP($B108,'project vs stock'!$A$72:$W$103,22,FALSE)/9</f>
        <v>371.233333333333</v>
      </c>
      <c r="AC141" s="42">
        <f>SUMIFS('08-21addition'!$C:$C,'08-21addition'!$A:$A,$B141,'08-21addition'!$B:$B,AC$2)*10+VLOOKUP($B108,'project vs stock'!$A$72:$W$103,22,FALSE)/9</f>
        <v>173.733333333333</v>
      </c>
      <c r="AD141" s="42">
        <f>SUMIFS('08-21addition'!$C:$C,'08-21addition'!$A:$A,$B141,'08-21addition'!$B:$B,AD$2)*10+VLOOKUP($B108,'project vs stock'!$A$72:$W$103,6,FALSE)/5</f>
        <v>237.92</v>
      </c>
      <c r="AE141" s="42">
        <f>SUMIFS('08-21addition'!$C:$C,'08-21addition'!$A:$A,$B141,'08-21addition'!$B:$B,AE$2)*10+VLOOKUP($B108,'project vs stock'!$A$72:$W$103,6,FALSE)/5</f>
        <v>540.12</v>
      </c>
      <c r="AF141" s="42">
        <f>SUMIFS('08-21addition'!$C:$C,'08-21addition'!$A:$A,$B141,'08-21addition'!$B:$B,AF$2)*10+VLOOKUP($B108,'project vs stock'!$A$72:$W$103,6,FALSE)/5</f>
        <v>812.72</v>
      </c>
    </row>
    <row r="142" ht="13.85" spans="1:32">
      <c r="A142" s="27" t="s">
        <v>2348</v>
      </c>
      <c r="B142" s="44" t="s">
        <v>94</v>
      </c>
      <c r="C142" s="45"/>
      <c r="D142" s="45"/>
      <c r="E142" s="45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>
        <f>VLOOKUP($B142,'93-07workbook'!$B$179:$AH$210,COLUMN(M$1),FALSE)</f>
        <v>30.1</v>
      </c>
      <c r="R142" s="42">
        <f>VLOOKUP($B142,'93-07workbook'!$B$179:$AH$210,COLUMN(N$1),FALSE)</f>
        <v>48.9</v>
      </c>
      <c r="S142" s="42">
        <f>VLOOKUP($B142,'93-07workbook'!$B$179:$AH$210,COLUMN(O$1),FALSE)</f>
        <v>90</v>
      </c>
      <c r="T142" s="42">
        <f>VLOOKUP($B142,'93-07workbook'!$B$179:$AH$210,COLUMN(P$1),FALSE)</f>
        <v>550</v>
      </c>
      <c r="U142" s="42">
        <f>SUMIFS('08-21addition'!$C:$C,'08-21addition'!$A:$A,$B142,'08-21addition'!$B:$B,U$2)*10+VLOOKUP($B109,'project vs stock'!$A$72:$W$103,22,FALSE)/9</f>
        <v>420</v>
      </c>
      <c r="V142" s="42">
        <f>SUMIFS('08-21addition'!$C:$C,'08-21addition'!$A:$A,$B142,'08-21addition'!$B:$B,V$2)*10+VLOOKUP($B109,'project vs stock'!$A$72:$W$103,22,FALSE)/9</f>
        <v>637.3</v>
      </c>
      <c r="W142" s="42">
        <f>SUMIFS('08-21addition'!$C:$C,'08-21addition'!$A:$A,$B142,'08-21addition'!$B:$B,W$2)*10+VLOOKUP($B109,'project vs stock'!$A$72:$W$103,22,FALSE)/9</f>
        <v>803</v>
      </c>
      <c r="X142" s="42">
        <f>SUMIFS('08-21addition'!$C:$C,'08-21addition'!$A:$A,$B142,'08-21addition'!$B:$B,X$2)*10+VLOOKUP($B109,'project vs stock'!$A$72:$W$103,22,FALSE)/9</f>
        <v>495</v>
      </c>
      <c r="Y142" s="42">
        <f>SUMIFS('08-21addition'!$C:$C,'08-21addition'!$A:$A,$B142,'08-21addition'!$B:$B,Y$2)*10+VLOOKUP($B109,'project vs stock'!$A$72:$W$103,22,FALSE)/9</f>
        <v>394</v>
      </c>
      <c r="Z142" s="42">
        <f>SUMIFS('08-21addition'!$C:$C,'08-21addition'!$A:$A,$B142,'08-21addition'!$B:$B,Z$2)*10+VLOOKUP($B109,'project vs stock'!$A$72:$W$103,22,FALSE)/9</f>
        <v>426.5</v>
      </c>
      <c r="AA142" s="42">
        <f>SUMIFS('08-21addition'!$C:$C,'08-21addition'!$A:$A,$B142,'08-21addition'!$B:$B,AA$2)*10+VLOOKUP($B109,'project vs stock'!$A$72:$W$103,22,FALSE)/9</f>
        <v>355.5</v>
      </c>
      <c r="AB142" s="42">
        <f>SUMIFS('08-21addition'!$C:$C,'08-21addition'!$A:$A,$B142,'08-21addition'!$B:$B,AB$2)*10+VLOOKUP($B109,'project vs stock'!$A$72:$W$103,22,FALSE)/9</f>
        <v>884.1</v>
      </c>
      <c r="AC142" s="42">
        <f>SUMIFS('08-21addition'!$C:$C,'08-21addition'!$A:$A,$B142,'08-21addition'!$B:$B,AC$2)*10+VLOOKUP($B109,'project vs stock'!$A$72:$W$103,22,FALSE)/9</f>
        <v>216</v>
      </c>
      <c r="AD142" s="42">
        <f>SUMIFS('08-21addition'!$C:$C,'08-21addition'!$A:$A,$B142,'08-21addition'!$B:$B,AD$2)*10+VLOOKUP($B109,'project vs stock'!$A$72:$W$103,6,FALSE)/5</f>
        <v>50</v>
      </c>
      <c r="AE142" s="42">
        <f>SUMIFS('08-21addition'!$C:$C,'08-21addition'!$A:$A,$B142,'08-21addition'!$B:$B,AE$2)*10+VLOOKUP($B109,'project vs stock'!$A$72:$W$103,6,FALSE)/5</f>
        <v>89.5</v>
      </c>
      <c r="AF142" s="42">
        <f>SUMIFS('08-21addition'!$C:$C,'08-21addition'!$A:$A,$B142,'08-21addition'!$B:$B,AF$2)*10+VLOOKUP($B109,'project vs stock'!$A$72:$W$103,6,FALSE)/5</f>
        <v>412.3</v>
      </c>
    </row>
    <row r="143" ht="13.85" spans="1:32">
      <c r="A143" s="27" t="s">
        <v>2348</v>
      </c>
      <c r="B143" s="44" t="s">
        <v>96</v>
      </c>
      <c r="C143" s="45"/>
      <c r="D143" s="45"/>
      <c r="E143" s="45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>
        <f>VLOOKUP($B143,'93-07workbook'!$B$179:$AH$210,COLUMN(M$1),FALSE)</f>
        <v>39.3</v>
      </c>
      <c r="R143" s="42">
        <f>VLOOKUP($B143,'93-07workbook'!$B$179:$AH$210,COLUMN(N$1),FALSE)</f>
        <v>12.7</v>
      </c>
      <c r="S143" s="42">
        <f>VLOOKUP($B143,'93-07workbook'!$B$179:$AH$210,COLUMN(O$1),FALSE)</f>
        <v>40</v>
      </c>
      <c r="T143" s="42">
        <f>VLOOKUP($B143,'93-07workbook'!$B$179:$AH$210,COLUMN(P$1),FALSE)</f>
        <v>240</v>
      </c>
      <c r="U143" s="42">
        <f>SUMIFS('08-21addition'!$C:$C,'08-21addition'!$A:$A,$B143,'08-21addition'!$B:$B,U$2)*10+VLOOKUP($B110,'project vs stock'!$A$72:$W$103,22,FALSE)/9</f>
        <v>290</v>
      </c>
      <c r="V143" s="42">
        <f>SUMIFS('08-21addition'!$C:$C,'08-21addition'!$A:$A,$B143,'08-21addition'!$B:$B,V$2)*10+VLOOKUP($B110,'project vs stock'!$A$72:$W$103,22,FALSE)/9</f>
        <v>706.6</v>
      </c>
      <c r="W143" s="42">
        <f>SUMIFS('08-21addition'!$C:$C,'08-21addition'!$A:$A,$B143,'08-21addition'!$B:$B,W$2)*10+VLOOKUP($B110,'project vs stock'!$A$72:$W$103,22,FALSE)/9</f>
        <v>682.3</v>
      </c>
      <c r="X143" s="42">
        <f>SUMIFS('08-21addition'!$C:$C,'08-21addition'!$A:$A,$B143,'08-21addition'!$B:$B,X$2)*10+VLOOKUP($B110,'project vs stock'!$A$72:$W$103,22,FALSE)/9</f>
        <v>625.4</v>
      </c>
      <c r="Y143" s="42">
        <f>SUMIFS('08-21addition'!$C:$C,'08-21addition'!$A:$A,$B143,'08-21addition'!$B:$B,Y$2)*10+VLOOKUP($B110,'project vs stock'!$A$72:$W$103,22,FALSE)/9</f>
        <v>712.5</v>
      </c>
      <c r="Z143" s="42">
        <f>SUMIFS('08-21addition'!$C:$C,'08-21addition'!$A:$A,$B143,'08-21addition'!$B:$B,Z$2)*10+VLOOKUP($B110,'project vs stock'!$A$72:$W$103,22,FALSE)/9</f>
        <v>633.9</v>
      </c>
      <c r="AA143" s="42">
        <f>SUMIFS('08-21addition'!$C:$C,'08-21addition'!$A:$A,$B143,'08-21addition'!$B:$B,AA$2)*10+VLOOKUP($B110,'project vs stock'!$A$72:$W$103,22,FALSE)/9</f>
        <v>856</v>
      </c>
      <c r="AB143" s="42">
        <f>SUMIFS('08-21addition'!$C:$C,'08-21addition'!$A:$A,$B143,'08-21addition'!$B:$B,AB$2)*10+VLOOKUP($B110,'project vs stock'!$A$72:$W$103,22,FALSE)/9</f>
        <v>421</v>
      </c>
      <c r="AC143" s="42">
        <f>SUMIFS('08-21addition'!$C:$C,'08-21addition'!$A:$A,$B143,'08-21addition'!$B:$B,AC$2)*10+VLOOKUP($B110,'project vs stock'!$A$72:$W$103,22,FALSE)/9</f>
        <v>661.8</v>
      </c>
      <c r="AD143" s="42">
        <f>SUMIFS('08-21addition'!$C:$C,'08-21addition'!$A:$A,$B143,'08-21addition'!$B:$B,AD$2)*10+VLOOKUP($B110,'project vs stock'!$A$72:$W$103,6,FALSE)/5</f>
        <v>290.5</v>
      </c>
      <c r="AE143" s="42">
        <f>SUMIFS('08-21addition'!$C:$C,'08-21addition'!$A:$A,$B143,'08-21addition'!$B:$B,AE$2)*10+VLOOKUP($B110,'project vs stock'!$A$72:$W$103,6,FALSE)/5</f>
        <v>308.1</v>
      </c>
      <c r="AF143" s="42">
        <f>SUMIFS('08-21addition'!$C:$C,'08-21addition'!$A:$A,$B143,'08-21addition'!$B:$B,AF$2)*10+VLOOKUP($B110,'project vs stock'!$A$72:$W$103,6,FALSE)/5</f>
        <v>122</v>
      </c>
    </row>
    <row r="144" ht="13.85" spans="1:32">
      <c r="A144" s="27" t="s">
        <v>2348</v>
      </c>
      <c r="B144" s="44" t="s">
        <v>98</v>
      </c>
      <c r="C144" s="45"/>
      <c r="D144" s="45"/>
      <c r="E144" s="45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>
        <f>VLOOKUP($B144,'93-07workbook'!$B$179:$AH$210,COLUMN(M$1),FALSE)</f>
        <v>3.4</v>
      </c>
      <c r="R144" s="42">
        <f>VLOOKUP($B144,'93-07workbook'!$B$179:$AH$210,COLUMN(N$1),FALSE)</f>
        <v>20.6</v>
      </c>
      <c r="S144" s="42">
        <f>VLOOKUP($B144,'93-07workbook'!$B$179:$AH$210,COLUMN(O$1),FALSE)</f>
        <v>0</v>
      </c>
      <c r="T144" s="42">
        <f>VLOOKUP($B144,'93-07workbook'!$B$179:$AH$210,COLUMN(P$1),FALSE)</f>
        <v>0</v>
      </c>
      <c r="U144" s="42">
        <f>SUMIFS('08-21addition'!$C:$C,'08-21addition'!$A:$A,$B144,'08-21addition'!$B:$B,U$2)*10+VLOOKUP($B111,'project vs stock'!$A$72:$W$103,22,FALSE)/9</f>
        <v>10</v>
      </c>
      <c r="V144" s="42">
        <f>SUMIFS('08-21addition'!$C:$C,'08-21addition'!$A:$A,$B144,'08-21addition'!$B:$B,V$2)*10+VLOOKUP($B111,'project vs stock'!$A$72:$W$103,22,FALSE)/9</f>
        <v>9</v>
      </c>
      <c r="W144" s="42">
        <f>SUMIFS('08-21addition'!$C:$C,'08-21addition'!$A:$A,$B144,'08-21addition'!$B:$B,W$2)*10+VLOOKUP($B111,'project vs stock'!$A$72:$W$103,22,FALSE)/9</f>
        <v>93</v>
      </c>
      <c r="X144" s="42">
        <f>SUMIFS('08-21addition'!$C:$C,'08-21addition'!$A:$A,$B144,'08-21addition'!$B:$B,X$2)*10+VLOOKUP($B111,'project vs stock'!$A$72:$W$103,22,FALSE)/9</f>
        <v>94.3</v>
      </c>
      <c r="Y144" s="42">
        <f>SUMIFS('08-21addition'!$C:$C,'08-21addition'!$A:$A,$B144,'08-21addition'!$B:$B,Y$2)*10+VLOOKUP($B111,'project vs stock'!$A$72:$W$103,22,FALSE)/9</f>
        <v>0</v>
      </c>
      <c r="Z144" s="42">
        <f>SUMIFS('08-21addition'!$C:$C,'08-21addition'!$A:$A,$B144,'08-21addition'!$B:$B,Z$2)*10+VLOOKUP($B111,'project vs stock'!$A$72:$W$103,22,FALSE)/9</f>
        <v>48</v>
      </c>
      <c r="AA144" s="42">
        <f>SUMIFS('08-21addition'!$C:$C,'08-21addition'!$A:$A,$B144,'08-21addition'!$B:$B,AA$2)*10+VLOOKUP($B111,'project vs stock'!$A$72:$W$103,22,FALSE)/9</f>
        <v>48</v>
      </c>
      <c r="AB144" s="42">
        <f>SUMIFS('08-21addition'!$C:$C,'08-21addition'!$A:$A,$B144,'08-21addition'!$B:$B,AB$2)*10+VLOOKUP($B111,'project vs stock'!$A$72:$W$103,22,FALSE)/9</f>
        <v>245.7</v>
      </c>
      <c r="AC144" s="42">
        <f>SUMIFS('08-21addition'!$C:$C,'08-21addition'!$A:$A,$B144,'08-21addition'!$B:$B,AC$2)*10+VLOOKUP($B111,'project vs stock'!$A$72:$W$103,22,FALSE)/9</f>
        <v>201.6</v>
      </c>
      <c r="AD144" s="42">
        <f>SUMIFS('08-21addition'!$C:$C,'08-21addition'!$A:$A,$B144,'08-21addition'!$B:$B,AD$2)*10+VLOOKUP($B111,'project vs stock'!$A$72:$W$103,6,FALSE)/5</f>
        <v>0</v>
      </c>
      <c r="AE144" s="42">
        <f>SUMIFS('08-21addition'!$C:$C,'08-21addition'!$A:$A,$B144,'08-21addition'!$B:$B,AE$2)*10+VLOOKUP($B111,'project vs stock'!$A$72:$W$103,6,FALSE)/5</f>
        <v>0</v>
      </c>
      <c r="AF144" s="42">
        <f>SUMIFS('08-21addition'!$C:$C,'08-21addition'!$A:$A,$B144,'08-21addition'!$B:$B,AF$2)*10+VLOOKUP($B111,'project vs stock'!$A$72:$W$103,6,FALSE)/5</f>
        <v>112</v>
      </c>
    </row>
    <row r="145" ht="13.85" spans="1:32">
      <c r="A145" s="27" t="s">
        <v>2348</v>
      </c>
      <c r="B145" s="44" t="s">
        <v>100</v>
      </c>
      <c r="C145" s="45"/>
      <c r="D145" s="45"/>
      <c r="E145" s="45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>
        <f>VLOOKUP($B145,'93-07workbook'!$B$179:$AH$210,COLUMN(M$1),FALSE)</f>
        <v>0</v>
      </c>
      <c r="R145" s="42">
        <f>VLOOKUP($B145,'93-07workbook'!$B$179:$AH$210,COLUMN(N$1),FALSE)</f>
        <v>0</v>
      </c>
      <c r="S145" s="42">
        <f>VLOOKUP($B145,'93-07workbook'!$B$179:$AH$210,COLUMN(O$1),FALSE)</f>
        <v>80</v>
      </c>
      <c r="T145" s="42">
        <f>VLOOKUP($B145,'93-07workbook'!$B$179:$AH$210,COLUMN(P$1),FALSE)</f>
        <v>210</v>
      </c>
      <c r="U145" s="42">
        <f>SUMIFS('08-21addition'!$C:$C,'08-21addition'!$A:$A,$B145,'08-21addition'!$B:$B,U$2)*10+VLOOKUP($B112,'project vs stock'!$A$72:$W$103,22,FALSE)/9</f>
        <v>575.233333333333</v>
      </c>
      <c r="V145" s="42">
        <f>SUMIFS('08-21addition'!$C:$C,'08-21addition'!$A:$A,$B145,'08-21addition'!$B:$B,V$2)*10+VLOOKUP($B112,'project vs stock'!$A$72:$W$103,22,FALSE)/9</f>
        <v>386.733333333333</v>
      </c>
      <c r="W145" s="42">
        <f>SUMIFS('08-21addition'!$C:$C,'08-21addition'!$A:$A,$B145,'08-21addition'!$B:$B,W$2)*10+VLOOKUP($B112,'project vs stock'!$A$72:$W$103,22,FALSE)/9</f>
        <v>675.733333333333</v>
      </c>
      <c r="X145" s="42">
        <f>SUMIFS('08-21addition'!$C:$C,'08-21addition'!$A:$A,$B145,'08-21addition'!$B:$B,X$2)*10+VLOOKUP($B112,'project vs stock'!$A$72:$W$103,22,FALSE)/9</f>
        <v>196.733333333333</v>
      </c>
      <c r="Y145" s="42">
        <f>SUMIFS('08-21addition'!$C:$C,'08-21addition'!$A:$A,$B145,'08-21addition'!$B:$B,Y$2)*10+VLOOKUP($B112,'project vs stock'!$A$72:$W$103,22,FALSE)/9</f>
        <v>441.733333333333</v>
      </c>
      <c r="Z145" s="42">
        <f>SUMIFS('08-21addition'!$C:$C,'08-21addition'!$A:$A,$B145,'08-21addition'!$B:$B,Z$2)*10+VLOOKUP($B112,'project vs stock'!$A$72:$W$103,22,FALSE)/9</f>
        <v>600.233333333333</v>
      </c>
      <c r="AA145" s="42">
        <f>SUMIFS('08-21addition'!$C:$C,'08-21addition'!$A:$A,$B145,'08-21addition'!$B:$B,AA$2)*10+VLOOKUP($B112,'project vs stock'!$A$72:$W$103,22,FALSE)/9</f>
        <v>703.033333333333</v>
      </c>
      <c r="AB145" s="42">
        <f>SUMIFS('08-21addition'!$C:$C,'08-21addition'!$A:$A,$B145,'08-21addition'!$B:$B,AB$2)*10+VLOOKUP($B112,'project vs stock'!$A$72:$W$103,22,FALSE)/9</f>
        <v>756.833333333333</v>
      </c>
      <c r="AC145" s="42">
        <f>SUMIFS('08-21addition'!$C:$C,'08-21addition'!$A:$A,$B145,'08-21addition'!$B:$B,AC$2)*10+VLOOKUP($B112,'project vs stock'!$A$72:$W$103,22,FALSE)/9</f>
        <v>1023.73333333333</v>
      </c>
      <c r="AD145" s="42">
        <f>SUMIFS('08-21addition'!$C:$C,'08-21addition'!$A:$A,$B145,'08-21addition'!$B:$B,AD$2)*10+VLOOKUP($B112,'project vs stock'!$A$72:$W$103,6,FALSE)/5</f>
        <v>1295.5</v>
      </c>
      <c r="AE145" s="42">
        <f>SUMIFS('08-21addition'!$C:$C,'08-21addition'!$A:$A,$B145,'08-21addition'!$B:$B,AE$2)*10+VLOOKUP($B112,'project vs stock'!$A$72:$W$103,6,FALSE)/5</f>
        <v>1968.8</v>
      </c>
      <c r="AF145" s="42">
        <f>SUMIFS('08-21addition'!$C:$C,'08-21addition'!$A:$A,$B145,'08-21addition'!$B:$B,AF$2)*10+VLOOKUP($B112,'project vs stock'!$A$72:$W$103,6,FALSE)/5</f>
        <v>1758.6</v>
      </c>
    </row>
    <row r="146" ht="13.85" spans="1:32">
      <c r="A146" s="27" t="s">
        <v>2348</v>
      </c>
      <c r="B146" s="44" t="s">
        <v>102</v>
      </c>
      <c r="C146" s="45"/>
      <c r="D146" s="45"/>
      <c r="E146" s="45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>
        <f>VLOOKUP($B146,'93-07workbook'!$B$179:$AH$210,COLUMN(M$1),FALSE)</f>
        <v>37</v>
      </c>
      <c r="R146" s="42">
        <f>VLOOKUP($B146,'93-07workbook'!$B$179:$AH$210,COLUMN(N$1),FALSE)</f>
        <v>0</v>
      </c>
      <c r="S146" s="42">
        <f>VLOOKUP($B146,'93-07workbook'!$B$179:$AH$210,COLUMN(O$1),FALSE)</f>
        <v>0</v>
      </c>
      <c r="T146" s="42">
        <f>VLOOKUP($B146,'93-07workbook'!$B$179:$AH$210,COLUMN(P$1),FALSE)</f>
        <v>10</v>
      </c>
      <c r="U146" s="42">
        <f>SUMIFS('08-21addition'!$C:$C,'08-21addition'!$A:$A,$B146,'08-21addition'!$B:$B,U$2)*10+VLOOKUP($B113,'project vs stock'!$A$72:$W$103,22,FALSE)/9</f>
        <v>142.788888888889</v>
      </c>
      <c r="V146" s="42">
        <f>SUMIFS('08-21addition'!$C:$C,'08-21addition'!$A:$A,$B146,'08-21addition'!$B:$B,V$2)*10+VLOOKUP($B113,'project vs stock'!$A$72:$W$103,22,FALSE)/9</f>
        <v>27.1888888888889</v>
      </c>
      <c r="W146" s="42">
        <f>SUMIFS('08-21addition'!$C:$C,'08-21addition'!$A:$A,$B146,'08-21addition'!$B:$B,W$2)*10+VLOOKUP($B113,'project vs stock'!$A$72:$W$103,22,FALSE)/9</f>
        <v>18.7888888888889</v>
      </c>
      <c r="X146" s="42">
        <f>SUMIFS('08-21addition'!$C:$C,'08-21addition'!$A:$A,$B146,'08-21addition'!$B:$B,X$2)*10+VLOOKUP($B113,'project vs stock'!$A$72:$W$103,22,FALSE)/9</f>
        <v>109.288888888889</v>
      </c>
      <c r="Y146" s="42">
        <f>SUMIFS('08-21addition'!$C:$C,'08-21addition'!$A:$A,$B146,'08-21addition'!$B:$B,Y$2)*10+VLOOKUP($B113,'project vs stock'!$A$72:$W$103,22,FALSE)/9</f>
        <v>82.2888888888889</v>
      </c>
      <c r="Z146" s="42">
        <f>SUMIFS('08-21addition'!$C:$C,'08-21addition'!$A:$A,$B146,'08-21addition'!$B:$B,Z$2)*10+VLOOKUP($B113,'project vs stock'!$A$72:$W$103,22,FALSE)/9</f>
        <v>11.7888888888889</v>
      </c>
      <c r="AA146" s="42">
        <f>SUMIFS('08-21addition'!$C:$C,'08-21addition'!$A:$A,$B146,'08-21addition'!$B:$B,AA$2)*10+VLOOKUP($B113,'project vs stock'!$A$72:$W$103,22,FALSE)/9</f>
        <v>191.788888888889</v>
      </c>
      <c r="AB146" s="42">
        <f>SUMIFS('08-21addition'!$C:$C,'08-21addition'!$A:$A,$B146,'08-21addition'!$B:$B,AB$2)*10+VLOOKUP($B113,'project vs stock'!$A$72:$W$103,22,FALSE)/9</f>
        <v>290.088888888889</v>
      </c>
      <c r="AC146" s="42">
        <f>SUMIFS('08-21addition'!$C:$C,'08-21addition'!$A:$A,$B146,'08-21addition'!$B:$B,AC$2)*10+VLOOKUP($B113,'project vs stock'!$A$72:$W$103,22,FALSE)/9</f>
        <v>275.988888888889</v>
      </c>
      <c r="AD146" s="42">
        <f>SUMIFS('08-21addition'!$C:$C,'08-21addition'!$A:$A,$B146,'08-21addition'!$B:$B,AD$2)*10+VLOOKUP($B113,'project vs stock'!$A$72:$W$103,6,FALSE)/5</f>
        <v>153.3</v>
      </c>
      <c r="AE146" s="42">
        <f>SUMIFS('08-21addition'!$C:$C,'08-21addition'!$A:$A,$B146,'08-21addition'!$B:$B,AE$2)*10+VLOOKUP($B113,'project vs stock'!$A$72:$W$103,6,FALSE)/5</f>
        <v>261.6</v>
      </c>
      <c r="AF146" s="42">
        <f>SUMIFS('08-21addition'!$C:$C,'08-21addition'!$A:$A,$B146,'08-21addition'!$B:$B,AF$2)*10+VLOOKUP($B113,'project vs stock'!$A$72:$W$103,6,FALSE)/5</f>
        <v>148</v>
      </c>
    </row>
    <row r="147" ht="13.85" spans="1:32">
      <c r="A147" s="27" t="s">
        <v>2348</v>
      </c>
      <c r="B147" s="44" t="s">
        <v>104</v>
      </c>
      <c r="C147" s="45"/>
      <c r="D147" s="45"/>
      <c r="E147" s="45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>
        <f>VLOOKUP($B147,'93-07workbook'!$B$179:$AH$210,COLUMN(M$1),FALSE)</f>
        <v>0</v>
      </c>
      <c r="R147" s="42">
        <f>VLOOKUP($B147,'93-07workbook'!$B$179:$AH$210,COLUMN(N$1),FALSE)</f>
        <v>0</v>
      </c>
      <c r="S147" s="42">
        <f>VLOOKUP($B147,'93-07workbook'!$B$179:$AH$210,COLUMN(O$1),FALSE)</f>
        <v>0</v>
      </c>
      <c r="T147" s="42">
        <f>VLOOKUP($B147,'93-07workbook'!$B$179:$AH$210,COLUMN(P$1),FALSE)</f>
        <v>0</v>
      </c>
      <c r="U147" s="42">
        <f>SUMIFS('08-21addition'!$C:$C,'08-21addition'!$A:$A,$B147,'08-21addition'!$B:$B,U$2)*10+VLOOKUP($B114,'project vs stock'!$A$72:$W$103,22,FALSE)/9</f>
        <v>0</v>
      </c>
      <c r="V147" s="42">
        <f>SUMIFS('08-21addition'!$C:$C,'08-21addition'!$A:$A,$B147,'08-21addition'!$B:$B,V$2)*10+VLOOKUP($B114,'project vs stock'!$A$72:$W$103,22,FALSE)/9</f>
        <v>0</v>
      </c>
      <c r="W147" s="42">
        <f>SUMIFS('08-21addition'!$C:$C,'08-21addition'!$A:$A,$B147,'08-21addition'!$B:$B,W$2)*10+VLOOKUP($B114,'project vs stock'!$A$72:$W$103,22,FALSE)/9</f>
        <v>198</v>
      </c>
      <c r="X147" s="42">
        <f>SUMIFS('08-21addition'!$C:$C,'08-21addition'!$A:$A,$B147,'08-21addition'!$B:$B,X$2)*10+VLOOKUP($B114,'project vs stock'!$A$72:$W$103,22,FALSE)/9</f>
        <v>99</v>
      </c>
      <c r="Y147" s="42">
        <f>SUMIFS('08-21addition'!$C:$C,'08-21addition'!$A:$A,$B147,'08-21addition'!$B:$B,Y$2)*10+VLOOKUP($B114,'project vs stock'!$A$72:$W$103,22,FALSE)/9</f>
        <v>50</v>
      </c>
      <c r="Z147" s="42">
        <f>SUMIFS('08-21addition'!$C:$C,'08-21addition'!$A:$A,$B147,'08-21addition'!$B:$B,Z$2)*10+VLOOKUP($B114,'project vs stock'!$A$72:$W$103,22,FALSE)/9</f>
        <v>222.5</v>
      </c>
      <c r="AA147" s="42">
        <f>SUMIFS('08-21addition'!$C:$C,'08-21addition'!$A:$A,$B147,'08-21addition'!$B:$B,AA$2)*10+VLOOKUP($B114,'project vs stock'!$A$72:$W$103,22,FALSE)/9</f>
        <v>523.1</v>
      </c>
      <c r="AB147" s="42">
        <f>SUMIFS('08-21addition'!$C:$C,'08-21addition'!$A:$A,$B147,'08-21addition'!$B:$B,AB$2)*10+VLOOKUP($B114,'project vs stock'!$A$72:$W$103,22,FALSE)/9</f>
        <v>493.7</v>
      </c>
      <c r="AC147" s="42">
        <f>SUMIFS('08-21addition'!$C:$C,'08-21addition'!$A:$A,$B147,'08-21addition'!$B:$B,AC$2)*10+VLOOKUP($B114,'project vs stock'!$A$72:$W$103,22,FALSE)/9</f>
        <v>445.5</v>
      </c>
      <c r="AD147" s="42">
        <f>SUMIFS('08-21addition'!$C:$C,'08-21addition'!$A:$A,$B147,'08-21addition'!$B:$B,AD$2)*10+VLOOKUP($B114,'project vs stock'!$A$72:$W$103,6,FALSE)/5</f>
        <v>433.46</v>
      </c>
      <c r="AE147" s="42">
        <f>SUMIFS('08-21addition'!$C:$C,'08-21addition'!$A:$A,$B147,'08-21addition'!$B:$B,AE$2)*10+VLOOKUP($B114,'project vs stock'!$A$72:$W$103,6,FALSE)/5</f>
        <v>244.66</v>
      </c>
      <c r="AF147" s="42">
        <f>SUMIFS('08-21addition'!$C:$C,'08-21addition'!$A:$A,$B147,'08-21addition'!$B:$B,AF$2)*10+VLOOKUP($B114,'project vs stock'!$A$72:$W$103,6,FALSE)/5</f>
        <v>309.66</v>
      </c>
    </row>
    <row r="148" ht="13.85" spans="1:32">
      <c r="A148" s="27" t="s">
        <v>2348</v>
      </c>
      <c r="B148" s="44" t="s">
        <v>106</v>
      </c>
      <c r="C148" s="45"/>
      <c r="D148" s="45"/>
      <c r="E148" s="45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>
        <f>VLOOKUP($B148,'93-07workbook'!$B$179:$AH$210,COLUMN(M$1),FALSE)</f>
        <v>12</v>
      </c>
      <c r="R148" s="42">
        <f>VLOOKUP($B148,'93-07workbook'!$B$179:$AH$210,COLUMN(N$1),FALSE)</f>
        <v>40</v>
      </c>
      <c r="S148" s="42">
        <f>VLOOKUP($B148,'93-07workbook'!$B$179:$AH$210,COLUMN(O$1),FALSE)</f>
        <v>90</v>
      </c>
      <c r="T148" s="42">
        <f>VLOOKUP($B148,'93-07workbook'!$B$179:$AH$210,COLUMN(P$1),FALSE)</f>
        <v>150</v>
      </c>
      <c r="U148" s="42">
        <f>SUMIFS('08-21addition'!$C:$C,'08-21addition'!$A:$A,$B148,'08-21addition'!$B:$B,U$2)*10+VLOOKUP($B115,'project vs stock'!$A$72:$W$103,22,FALSE)/9</f>
        <v>178.577777777778</v>
      </c>
      <c r="V148" s="42">
        <f>SUMIFS('08-21addition'!$C:$C,'08-21addition'!$A:$A,$B148,'08-21addition'!$B:$B,V$2)*10+VLOOKUP($B115,'project vs stock'!$A$72:$W$103,22,FALSE)/9</f>
        <v>98.0777777777778</v>
      </c>
      <c r="W148" s="42">
        <f>SUMIFS('08-21addition'!$C:$C,'08-21addition'!$A:$A,$B148,'08-21addition'!$B:$B,W$2)*10+VLOOKUP($B115,'project vs stock'!$A$72:$W$103,22,FALSE)/9</f>
        <v>162.577777777778</v>
      </c>
      <c r="X148" s="42">
        <f>SUMIFS('08-21addition'!$C:$C,'08-21addition'!$A:$A,$B148,'08-21addition'!$B:$B,X$2)*10+VLOOKUP($B115,'project vs stock'!$A$72:$W$103,22,FALSE)/9</f>
        <v>182.577777777778</v>
      </c>
      <c r="Y148" s="42">
        <f>SUMIFS('08-21addition'!$C:$C,'08-21addition'!$A:$A,$B148,'08-21addition'!$B:$B,Y$2)*10+VLOOKUP($B115,'project vs stock'!$A$72:$W$103,22,FALSE)/9</f>
        <v>126.377777777778</v>
      </c>
      <c r="Z148" s="42">
        <f>SUMIFS('08-21addition'!$C:$C,'08-21addition'!$A:$A,$B148,'08-21addition'!$B:$B,Z$2)*10+VLOOKUP($B115,'project vs stock'!$A$72:$W$103,22,FALSE)/9</f>
        <v>156.577777777778</v>
      </c>
      <c r="AA148" s="42">
        <f>SUMIFS('08-21addition'!$C:$C,'08-21addition'!$A:$A,$B148,'08-21addition'!$B:$B,AA$2)*10+VLOOKUP($B115,'project vs stock'!$A$72:$W$103,22,FALSE)/9</f>
        <v>131.077777777778</v>
      </c>
      <c r="AB148" s="42">
        <f>SUMIFS('08-21addition'!$C:$C,'08-21addition'!$A:$A,$B148,'08-21addition'!$B:$B,AB$2)*10+VLOOKUP($B115,'project vs stock'!$A$72:$W$103,22,FALSE)/9</f>
        <v>224.077777777778</v>
      </c>
      <c r="AC148" s="42">
        <f>SUMIFS('08-21addition'!$C:$C,'08-21addition'!$A:$A,$B148,'08-21addition'!$B:$B,AC$2)*10+VLOOKUP($B115,'project vs stock'!$A$72:$W$103,22,FALSE)/9</f>
        <v>650.077777777778</v>
      </c>
      <c r="AD148" s="42">
        <f>SUMIFS('08-21addition'!$C:$C,'08-21addition'!$A:$A,$B148,'08-21addition'!$B:$B,AD$2)*10+VLOOKUP($B115,'project vs stock'!$A$72:$W$103,6,FALSE)/5</f>
        <v>690.9</v>
      </c>
      <c r="AE148" s="42">
        <f>SUMIFS('08-21addition'!$C:$C,'08-21addition'!$A:$A,$B148,'08-21addition'!$B:$B,AE$2)*10+VLOOKUP($B115,'project vs stock'!$A$72:$W$103,6,FALSE)/5</f>
        <v>556.3</v>
      </c>
      <c r="AF148" s="42">
        <f>SUMIFS('08-21addition'!$C:$C,'08-21addition'!$A:$A,$B148,'08-21addition'!$B:$B,AF$2)*10+VLOOKUP($B115,'project vs stock'!$A$72:$W$103,6,FALSE)/5</f>
        <v>815.5</v>
      </c>
    </row>
    <row r="149" ht="13.85" spans="1:32">
      <c r="A149" s="27" t="s">
        <v>2348</v>
      </c>
      <c r="B149" s="44" t="s">
        <v>108</v>
      </c>
      <c r="C149" s="45"/>
      <c r="D149" s="45"/>
      <c r="E149" s="45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>
        <f>VLOOKUP($B149,'93-07workbook'!$B$179:$AH$210,COLUMN(M$1),FALSE)</f>
        <v>0</v>
      </c>
      <c r="R149" s="42">
        <f>VLOOKUP($B149,'93-07workbook'!$B$179:$AH$210,COLUMN(N$1),FALSE)</f>
        <v>0</v>
      </c>
      <c r="S149" s="42">
        <f>VLOOKUP($B149,'93-07workbook'!$B$179:$AH$210,COLUMN(O$1),FALSE)</f>
        <v>0</v>
      </c>
      <c r="T149" s="42">
        <f>VLOOKUP($B149,'93-07workbook'!$B$179:$AH$210,COLUMN(P$1),FALSE)</f>
        <v>0</v>
      </c>
      <c r="U149" s="42">
        <f>SUMIFS('08-21addition'!$C:$C,'08-21addition'!$A:$A,$B149,'08-21addition'!$B:$B,U$2)*10+VLOOKUP($B116,'project vs stock'!$A$72:$W$103,22,FALSE)/9</f>
        <v>45.3111111111111</v>
      </c>
      <c r="V149" s="42">
        <f>SUMIFS('08-21addition'!$C:$C,'08-21addition'!$A:$A,$B149,'08-21addition'!$B:$B,V$2)*10+VLOOKUP($B116,'project vs stock'!$A$72:$W$103,22,FALSE)/9</f>
        <v>69.3111111111111</v>
      </c>
      <c r="W149" s="42">
        <f>SUMIFS('08-21addition'!$C:$C,'08-21addition'!$A:$A,$B149,'08-21addition'!$B:$B,W$2)*10+VLOOKUP($B116,'project vs stock'!$A$72:$W$103,22,FALSE)/9</f>
        <v>15.3111111111111</v>
      </c>
      <c r="X149" s="42">
        <f>SUMIFS('08-21addition'!$C:$C,'08-21addition'!$A:$A,$B149,'08-21addition'!$B:$B,X$2)*10+VLOOKUP($B116,'project vs stock'!$A$72:$W$103,22,FALSE)/9</f>
        <v>64.8111111111111</v>
      </c>
      <c r="Y149" s="42">
        <f>SUMIFS('08-21addition'!$C:$C,'08-21addition'!$A:$A,$B149,'08-21addition'!$B:$B,Y$2)*10+VLOOKUP($B116,'project vs stock'!$A$72:$W$103,22,FALSE)/9</f>
        <v>48.3111111111111</v>
      </c>
      <c r="Z149" s="42">
        <f>SUMIFS('08-21addition'!$C:$C,'08-21addition'!$A:$A,$B149,'08-21addition'!$B:$B,Z$2)*10+VLOOKUP($B116,'project vs stock'!$A$72:$W$103,22,FALSE)/9</f>
        <v>147.311111111111</v>
      </c>
      <c r="AA149" s="42">
        <f>SUMIFS('08-21addition'!$C:$C,'08-21addition'!$A:$A,$B149,'08-21addition'!$B:$B,AA$2)*10+VLOOKUP($B116,'project vs stock'!$A$72:$W$103,22,FALSE)/9</f>
        <v>157.511111111111</v>
      </c>
      <c r="AB149" s="42">
        <f>SUMIFS('08-21addition'!$C:$C,'08-21addition'!$A:$A,$B149,'08-21addition'!$B:$B,AB$2)*10+VLOOKUP($B116,'project vs stock'!$A$72:$W$103,22,FALSE)/9</f>
        <v>248.811111111111</v>
      </c>
      <c r="AC149" s="42">
        <f>SUMIFS('08-21addition'!$C:$C,'08-21addition'!$A:$A,$B149,'08-21addition'!$B:$B,AC$2)*10+VLOOKUP($B116,'project vs stock'!$A$72:$W$103,22,FALSE)/9</f>
        <v>283.311111111111</v>
      </c>
      <c r="AD149" s="42">
        <f>SUMIFS('08-21addition'!$C:$C,'08-21addition'!$A:$A,$B149,'08-21addition'!$B:$B,AD$2)*10+VLOOKUP($B116,'project vs stock'!$A$72:$W$103,6,FALSE)/5</f>
        <v>571.72</v>
      </c>
      <c r="AE149" s="42">
        <f>SUMIFS('08-21addition'!$C:$C,'08-21addition'!$A:$A,$B149,'08-21addition'!$B:$B,AE$2)*10+VLOOKUP($B116,'project vs stock'!$A$72:$W$103,6,FALSE)/5</f>
        <v>656.12</v>
      </c>
      <c r="AF149" s="42">
        <f>SUMIFS('08-21addition'!$C:$C,'08-21addition'!$A:$A,$B149,'08-21addition'!$B:$B,AF$2)*10+VLOOKUP($B116,'project vs stock'!$A$72:$W$103,6,FALSE)/5</f>
        <v>650.82</v>
      </c>
    </row>
    <row r="150" ht="13.85" spans="1:32">
      <c r="A150" s="27" t="s">
        <v>2348</v>
      </c>
      <c r="B150" s="44" t="s">
        <v>110</v>
      </c>
      <c r="C150" s="45"/>
      <c r="D150" s="45"/>
      <c r="E150" s="45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>
        <f>VLOOKUP($B150,'93-07workbook'!$B$179:$AH$210,COLUMN(M$1),FALSE)</f>
        <v>12.3</v>
      </c>
      <c r="R150" s="42">
        <f>VLOOKUP($B150,'93-07workbook'!$B$179:$AH$210,COLUMN(N$1),FALSE)</f>
        <v>24.7</v>
      </c>
      <c r="S150" s="42">
        <f>VLOOKUP($B150,'93-07workbook'!$B$179:$AH$210,COLUMN(O$1),FALSE)</f>
        <v>30</v>
      </c>
      <c r="T150" s="42">
        <f>VLOOKUP($B150,'93-07workbook'!$B$179:$AH$210,COLUMN(P$1),FALSE)</f>
        <v>140</v>
      </c>
      <c r="U150" s="42">
        <f>SUMIFS('08-21addition'!$C:$C,'08-21addition'!$A:$A,$B150,'08-21addition'!$B:$B,U$2)*10+VLOOKUP($B117,'project vs stock'!$A$72:$W$103,22,FALSE)/9</f>
        <v>170</v>
      </c>
      <c r="V150" s="42">
        <f>SUMIFS('08-21addition'!$C:$C,'08-21addition'!$A:$A,$B150,'08-21addition'!$B:$B,V$2)*10+VLOOKUP($B117,'project vs stock'!$A$72:$W$103,22,FALSE)/9</f>
        <v>570.9</v>
      </c>
      <c r="W150" s="42">
        <f>SUMIFS('08-21addition'!$C:$C,'08-21addition'!$A:$A,$B150,'08-21addition'!$B:$B,W$2)*10+VLOOKUP($B117,'project vs stock'!$A$72:$W$103,22,FALSE)/9</f>
        <v>869.7</v>
      </c>
      <c r="X150" s="42">
        <f>SUMIFS('08-21addition'!$C:$C,'08-21addition'!$A:$A,$B150,'08-21addition'!$B:$B,X$2)*10+VLOOKUP($B117,'project vs stock'!$A$72:$W$103,22,FALSE)/9</f>
        <v>1167.6</v>
      </c>
      <c r="Y150" s="42">
        <f>SUMIFS('08-21addition'!$C:$C,'08-21addition'!$A:$A,$B150,'08-21addition'!$B:$B,Y$2)*10+VLOOKUP($B117,'project vs stock'!$A$72:$W$103,22,FALSE)/9</f>
        <v>1315.9</v>
      </c>
      <c r="Z150" s="42">
        <f>SUMIFS('08-21addition'!$C:$C,'08-21addition'!$A:$A,$B150,'08-21addition'!$B:$B,Z$2)*10+VLOOKUP($B117,'project vs stock'!$A$72:$W$103,22,FALSE)/9</f>
        <v>1226</v>
      </c>
      <c r="AA150" s="42">
        <f>SUMIFS('08-21addition'!$C:$C,'08-21addition'!$A:$A,$B150,'08-21addition'!$B:$B,AA$2)*10+VLOOKUP($B117,'project vs stock'!$A$72:$W$103,22,FALSE)/9</f>
        <v>921.8</v>
      </c>
      <c r="AB150" s="42">
        <f>SUMIFS('08-21addition'!$C:$C,'08-21addition'!$A:$A,$B150,'08-21addition'!$B:$B,AB$2)*10+VLOOKUP($B117,'project vs stock'!$A$72:$W$103,22,FALSE)/9</f>
        <v>830.7</v>
      </c>
      <c r="AC150" s="42">
        <f>SUMIFS('08-21addition'!$C:$C,'08-21addition'!$A:$A,$B150,'08-21addition'!$B:$B,AC$2)*10+VLOOKUP($B117,'project vs stock'!$A$72:$W$103,22,FALSE)/9</f>
        <v>1111.4</v>
      </c>
      <c r="AD150" s="42">
        <f>SUMIFS('08-21addition'!$C:$C,'08-21addition'!$A:$A,$B150,'08-21addition'!$B:$B,AD$2)*10+VLOOKUP($B117,'project vs stock'!$A$72:$W$103,6,FALSE)/5</f>
        <v>1951.44</v>
      </c>
      <c r="AE150" s="42">
        <f>SUMIFS('08-21addition'!$C:$C,'08-21addition'!$A:$A,$B150,'08-21addition'!$B:$B,AE$2)*10+VLOOKUP($B117,'project vs stock'!$A$72:$W$103,6,FALSE)/5</f>
        <v>981.04</v>
      </c>
      <c r="AF150" s="42">
        <f>SUMIFS('08-21addition'!$C:$C,'08-21addition'!$A:$A,$B150,'08-21addition'!$B:$B,AF$2)*10+VLOOKUP($B117,'project vs stock'!$A$72:$W$103,6,FALSE)/5</f>
        <v>2163.04</v>
      </c>
    </row>
    <row r="151" ht="13.85" spans="1:32">
      <c r="A151" s="27" t="s">
        <v>2348</v>
      </c>
      <c r="B151" s="44" t="s">
        <v>112</v>
      </c>
      <c r="C151" s="45"/>
      <c r="D151" s="45"/>
      <c r="E151" s="45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>
        <f>VLOOKUP($B151,'93-07workbook'!$B$179:$AH$210,COLUMN(M$1),FALSE)</f>
        <v>0</v>
      </c>
      <c r="R151" s="42">
        <f>VLOOKUP($B151,'93-07workbook'!$B$179:$AH$210,COLUMN(N$1),FALSE)</f>
        <v>0</v>
      </c>
      <c r="S151" s="42">
        <f>VLOOKUP($B151,'93-07workbook'!$B$179:$AH$210,COLUMN(O$1),FALSE)</f>
        <v>0</v>
      </c>
      <c r="T151" s="42">
        <f>VLOOKUP($B151,'93-07workbook'!$B$179:$AH$210,COLUMN(P$1),FALSE)</f>
        <v>30</v>
      </c>
      <c r="U151" s="42">
        <f>SUMIFS('08-21addition'!$C:$C,'08-21addition'!$A:$A,$B151,'08-21addition'!$B:$B,U$2)*10+VLOOKUP($B118,'project vs stock'!$A$72:$W$103,22,FALSE)/9</f>
        <v>0</v>
      </c>
      <c r="V151" s="42">
        <f>SUMIFS('08-21addition'!$C:$C,'08-21addition'!$A:$A,$B151,'08-21addition'!$B:$B,V$2)*10+VLOOKUP($B118,'project vs stock'!$A$72:$W$103,22,FALSE)/9</f>
        <v>23.3</v>
      </c>
      <c r="W151" s="42">
        <f>SUMIFS('08-21addition'!$C:$C,'08-21addition'!$A:$A,$B151,'08-21addition'!$B:$B,W$2)*10+VLOOKUP($B118,'project vs stock'!$A$72:$W$103,22,FALSE)/9</f>
        <v>30.3</v>
      </c>
      <c r="X151" s="42">
        <f>SUMIFS('08-21addition'!$C:$C,'08-21addition'!$A:$A,$B151,'08-21addition'!$B:$B,X$2)*10+VLOOKUP($B118,'project vs stock'!$A$72:$W$103,22,FALSE)/9</f>
        <v>75</v>
      </c>
      <c r="Y151" s="42">
        <f>SUMIFS('08-21addition'!$C:$C,'08-21addition'!$A:$A,$B151,'08-21addition'!$B:$B,Y$2)*10+VLOOKUP($B118,'project vs stock'!$A$72:$W$103,22,FALSE)/9</f>
        <v>50.5</v>
      </c>
      <c r="Z151" s="42">
        <f>SUMIFS('08-21addition'!$C:$C,'08-21addition'!$A:$A,$B151,'08-21addition'!$B:$B,Z$2)*10+VLOOKUP($B118,'project vs stock'!$A$72:$W$103,22,FALSE)/9</f>
        <v>69.8</v>
      </c>
      <c r="AA151" s="42">
        <f>SUMIFS('08-21addition'!$C:$C,'08-21addition'!$A:$A,$B151,'08-21addition'!$B:$B,AA$2)*10+VLOOKUP($B118,'project vs stock'!$A$72:$W$103,22,FALSE)/9</f>
        <v>323</v>
      </c>
      <c r="AB151" s="42">
        <f>SUMIFS('08-21addition'!$C:$C,'08-21addition'!$A:$A,$B151,'08-21addition'!$B:$B,AB$2)*10+VLOOKUP($B118,'project vs stock'!$A$72:$W$103,22,FALSE)/9</f>
        <v>397.3</v>
      </c>
      <c r="AC151" s="42">
        <f>SUMIFS('08-21addition'!$C:$C,'08-21addition'!$A:$A,$B151,'08-21addition'!$B:$B,AC$2)*10+VLOOKUP($B118,'project vs stock'!$A$72:$W$103,22,FALSE)/9</f>
        <v>340</v>
      </c>
      <c r="AD151" s="42">
        <f>SUMIFS('08-21addition'!$C:$C,'08-21addition'!$A:$A,$B151,'08-21addition'!$B:$B,AD$2)*10+VLOOKUP($B118,'project vs stock'!$A$72:$W$103,6,FALSE)/5</f>
        <v>1345.7</v>
      </c>
      <c r="AE151" s="42">
        <f>SUMIFS('08-21addition'!$C:$C,'08-21addition'!$A:$A,$B151,'08-21addition'!$B:$B,AE$2)*10+VLOOKUP($B118,'project vs stock'!$A$72:$W$103,6,FALSE)/5</f>
        <v>2379.3</v>
      </c>
      <c r="AF151" s="42">
        <f>SUMIFS('08-21addition'!$C:$C,'08-21addition'!$A:$A,$B151,'08-21addition'!$B:$B,AF$2)*10+VLOOKUP($B118,'project vs stock'!$A$72:$W$103,6,FALSE)/5</f>
        <v>3265.4</v>
      </c>
    </row>
    <row r="152" ht="13.85" spans="1:32">
      <c r="A152" s="27" t="s">
        <v>2348</v>
      </c>
      <c r="B152" s="44" t="s">
        <v>114</v>
      </c>
      <c r="C152" s="45"/>
      <c r="D152" s="45"/>
      <c r="E152" s="45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>
        <f>VLOOKUP($B152,'93-07workbook'!$B$179:$AH$210,COLUMN(M$1),FALSE)</f>
        <v>0</v>
      </c>
      <c r="R152" s="42">
        <f>VLOOKUP($B152,'93-07workbook'!$B$179:$AH$210,COLUMN(N$1),FALSE)</f>
        <v>0</v>
      </c>
      <c r="S152" s="42">
        <f>VLOOKUP($B152,'93-07workbook'!$B$179:$AH$210,COLUMN(O$1),FALSE)</f>
        <v>0</v>
      </c>
      <c r="T152" s="42">
        <f>VLOOKUP($B152,'93-07workbook'!$B$179:$AH$210,COLUMN(P$1),FALSE)</f>
        <v>10</v>
      </c>
      <c r="U152" s="42">
        <f>SUMIFS('08-21addition'!$C:$C,'08-21addition'!$A:$A,$B152,'08-21addition'!$B:$B,U$2)*10+VLOOKUP($B119,'project vs stock'!$A$72:$W$103,22,FALSE)/9</f>
        <v>0</v>
      </c>
      <c r="V152" s="42">
        <f>SUMIFS('08-21addition'!$C:$C,'08-21addition'!$A:$A,$B152,'08-21addition'!$B:$B,V$2)*10+VLOOKUP($B119,'project vs stock'!$A$72:$W$103,22,FALSE)/9</f>
        <v>4.5</v>
      </c>
      <c r="W152" s="42">
        <f>SUMIFS('08-21addition'!$C:$C,'08-21addition'!$A:$A,$B152,'08-21addition'!$B:$B,W$2)*10+VLOOKUP($B119,'project vs stock'!$A$72:$W$103,22,FALSE)/9</f>
        <v>73.6</v>
      </c>
      <c r="X152" s="42">
        <f>SUMIFS('08-21addition'!$C:$C,'08-21addition'!$A:$A,$B152,'08-21addition'!$B:$B,X$2)*10+VLOOKUP($B119,'project vs stock'!$A$72:$W$103,22,FALSE)/9</f>
        <v>58.2</v>
      </c>
      <c r="Y152" s="42">
        <f>SUMIFS('08-21addition'!$C:$C,'08-21addition'!$A:$A,$B152,'08-21addition'!$B:$B,Y$2)*10+VLOOKUP($B119,'project vs stock'!$A$72:$W$103,22,FALSE)/9</f>
        <v>49.8</v>
      </c>
      <c r="Z152" s="42">
        <f>SUMIFS('08-21addition'!$C:$C,'08-21addition'!$A:$A,$B152,'08-21addition'!$B:$B,Z$2)*10+VLOOKUP($B119,'project vs stock'!$A$72:$W$103,22,FALSE)/9</f>
        <v>259.1</v>
      </c>
      <c r="AA152" s="42">
        <f>SUMIFS('08-21addition'!$C:$C,'08-21addition'!$A:$A,$B152,'08-21addition'!$B:$B,AA$2)*10+VLOOKUP($B119,'project vs stock'!$A$72:$W$103,22,FALSE)/9</f>
        <v>450</v>
      </c>
      <c r="AB152" s="42">
        <f>SUMIFS('08-21addition'!$C:$C,'08-21addition'!$A:$A,$B152,'08-21addition'!$B:$B,AB$2)*10+VLOOKUP($B119,'project vs stock'!$A$72:$W$103,22,FALSE)/9</f>
        <v>494.6</v>
      </c>
      <c r="AC152" s="42">
        <f>SUMIFS('08-21addition'!$C:$C,'08-21addition'!$A:$A,$B152,'08-21addition'!$B:$B,AC$2)*10+VLOOKUP($B119,'project vs stock'!$A$72:$W$103,22,FALSE)/9</f>
        <v>833</v>
      </c>
      <c r="AD152" s="42">
        <f>SUMIFS('08-21addition'!$C:$C,'08-21addition'!$A:$A,$B152,'08-21addition'!$B:$B,AD$2)*10+VLOOKUP($B119,'project vs stock'!$A$72:$W$103,6,FALSE)/5</f>
        <v>670.8</v>
      </c>
      <c r="AE152" s="42">
        <f>SUMIFS('08-21addition'!$C:$C,'08-21addition'!$A:$A,$B152,'08-21addition'!$B:$B,AE$2)*10+VLOOKUP($B119,'project vs stock'!$A$72:$W$103,6,FALSE)/5</f>
        <v>814.8</v>
      </c>
      <c r="AF152" s="42">
        <f>SUMIFS('08-21addition'!$C:$C,'08-21addition'!$A:$A,$B152,'08-21addition'!$B:$B,AF$2)*10+VLOOKUP($B119,'project vs stock'!$A$72:$W$103,6,FALSE)/5</f>
        <v>757.4</v>
      </c>
    </row>
    <row r="153" ht="13.85" spans="1:32">
      <c r="A153" s="27" t="s">
        <v>2348</v>
      </c>
      <c r="B153" s="44" t="s">
        <v>116</v>
      </c>
      <c r="C153" s="45"/>
      <c r="D153" s="45"/>
      <c r="E153" s="45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>
        <f>VLOOKUP($B153,'93-07workbook'!$B$179:$AH$210,COLUMN(M$1),FALSE)</f>
        <v>0</v>
      </c>
      <c r="R153" s="42">
        <f>VLOOKUP($B153,'93-07workbook'!$B$179:$AH$210,COLUMN(N$1),FALSE)</f>
        <v>0</v>
      </c>
      <c r="S153" s="42">
        <f>VLOOKUP($B153,'93-07workbook'!$B$179:$AH$210,COLUMN(O$1),FALSE)</f>
        <v>0</v>
      </c>
      <c r="T153" s="42">
        <f>VLOOKUP($B153,'93-07workbook'!$B$179:$AH$210,COLUMN(P$1),FALSE)</f>
        <v>0</v>
      </c>
      <c r="U153" s="42">
        <f>SUMIFS('08-21addition'!$C:$C,'08-21addition'!$A:$A,$B153,'08-21addition'!$B:$B,U$2)*10+VLOOKUP($B120,'project vs stock'!$A$72:$W$103,22,FALSE)/9</f>
        <v>0</v>
      </c>
      <c r="V153" s="42">
        <f>SUMIFS('08-21addition'!$C:$C,'08-21addition'!$A:$A,$B153,'08-21addition'!$B:$B,V$2)*10+VLOOKUP($B120,'project vs stock'!$A$72:$W$103,22,FALSE)/9</f>
        <v>0</v>
      </c>
      <c r="W153" s="42">
        <f>SUMIFS('08-21addition'!$C:$C,'08-21addition'!$A:$A,$B153,'08-21addition'!$B:$B,W$2)*10+VLOOKUP($B120,'project vs stock'!$A$72:$W$103,22,FALSE)/9</f>
        <v>36.3</v>
      </c>
      <c r="X153" s="42">
        <f>SUMIFS('08-21addition'!$C:$C,'08-21addition'!$A:$A,$B153,'08-21addition'!$B:$B,X$2)*10+VLOOKUP($B120,'project vs stock'!$A$72:$W$103,22,FALSE)/9</f>
        <v>97.5</v>
      </c>
      <c r="Y153" s="42">
        <f>SUMIFS('08-21addition'!$C:$C,'08-21addition'!$A:$A,$B153,'08-21addition'!$B:$B,Y$2)*10+VLOOKUP($B120,'project vs stock'!$A$72:$W$103,22,FALSE)/9</f>
        <v>54</v>
      </c>
      <c r="Z153" s="42">
        <f>SUMIFS('08-21addition'!$C:$C,'08-21addition'!$A:$A,$B153,'08-21addition'!$B:$B,Z$2)*10+VLOOKUP($B120,'project vs stock'!$A$72:$W$103,22,FALSE)/9</f>
        <v>215</v>
      </c>
      <c r="AA153" s="42">
        <f>SUMIFS('08-21addition'!$C:$C,'08-21addition'!$A:$A,$B153,'08-21addition'!$B:$B,AA$2)*10+VLOOKUP($B120,'project vs stock'!$A$72:$W$103,22,FALSE)/9</f>
        <v>451.8</v>
      </c>
      <c r="AB153" s="42">
        <f>SUMIFS('08-21addition'!$C:$C,'08-21addition'!$A:$A,$B153,'08-21addition'!$B:$B,AB$2)*10+VLOOKUP($B120,'project vs stock'!$A$72:$W$103,22,FALSE)/9</f>
        <v>1011.8</v>
      </c>
      <c r="AC153" s="42">
        <f>SUMIFS('08-21addition'!$C:$C,'08-21addition'!$A:$A,$B153,'08-21addition'!$B:$B,AC$2)*10+VLOOKUP($B120,'project vs stock'!$A$72:$W$103,22,FALSE)/9</f>
        <v>860.8</v>
      </c>
      <c r="AD153" s="42">
        <f>SUMIFS('08-21addition'!$C:$C,'08-21addition'!$A:$A,$B153,'08-21addition'!$B:$B,AD$2)*10+VLOOKUP($B120,'project vs stock'!$A$72:$W$103,6,FALSE)/5</f>
        <v>498.4</v>
      </c>
      <c r="AE153" s="42">
        <f>SUMIFS('08-21addition'!$C:$C,'08-21addition'!$A:$A,$B153,'08-21addition'!$B:$B,AE$2)*10+VLOOKUP($B120,'project vs stock'!$A$72:$W$103,6,FALSE)/5</f>
        <v>1001.2</v>
      </c>
      <c r="AF153" s="42">
        <f>SUMIFS('08-21addition'!$C:$C,'08-21addition'!$A:$A,$B153,'08-21addition'!$B:$B,AF$2)*10+VLOOKUP($B120,'project vs stock'!$A$72:$W$103,6,FALSE)/5</f>
        <v>711.1</v>
      </c>
    </row>
    <row r="154" ht="13.85" spans="1:32">
      <c r="A154" s="27" t="s">
        <v>2348</v>
      </c>
      <c r="B154" s="44" t="s">
        <v>118</v>
      </c>
      <c r="C154" s="45"/>
      <c r="D154" s="45"/>
      <c r="E154" s="45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>
        <f>VLOOKUP($B154,'93-07workbook'!$B$179:$AH$210,COLUMN(M$1),FALSE)</f>
        <v>83</v>
      </c>
      <c r="R154" s="42">
        <f>VLOOKUP($B154,'93-07workbook'!$B$179:$AH$210,COLUMN(N$1),FALSE)</f>
        <v>0</v>
      </c>
      <c r="S154" s="42">
        <f>VLOOKUP($B154,'93-07workbook'!$B$179:$AH$210,COLUMN(O$1),FALSE)</f>
        <v>60</v>
      </c>
      <c r="T154" s="42">
        <f>VLOOKUP($B154,'93-07workbook'!$B$179:$AH$210,COLUMN(P$1),FALSE)</f>
        <v>80</v>
      </c>
      <c r="U154" s="42">
        <f>SUMIFS('08-21addition'!$C:$C,'08-21addition'!$A:$A,$B154,'08-21addition'!$B:$B,U$2)*10+VLOOKUP($B121,'project vs stock'!$A$72:$W$103,22,FALSE)/9</f>
        <v>68.4333333333332</v>
      </c>
      <c r="V154" s="42">
        <f>SUMIFS('08-21addition'!$C:$C,'08-21addition'!$A:$A,$B154,'08-21addition'!$B:$B,V$2)*10+VLOOKUP($B121,'project vs stock'!$A$72:$W$103,22,FALSE)/9</f>
        <v>234.933333333333</v>
      </c>
      <c r="W154" s="42">
        <f>SUMIFS('08-21addition'!$C:$C,'08-21addition'!$A:$A,$B154,'08-21addition'!$B:$B,W$2)*10+VLOOKUP($B121,'project vs stock'!$A$72:$W$103,22,FALSE)/9</f>
        <v>223.233333333333</v>
      </c>
      <c r="X154" s="42">
        <f>SUMIFS('08-21addition'!$C:$C,'08-21addition'!$A:$A,$B154,'08-21addition'!$B:$B,X$2)*10+VLOOKUP($B121,'project vs stock'!$A$72:$W$103,22,FALSE)/9</f>
        <v>303.333333333333</v>
      </c>
      <c r="Y154" s="42">
        <f>SUMIFS('08-21addition'!$C:$C,'08-21addition'!$A:$A,$B154,'08-21addition'!$B:$B,Y$2)*10+VLOOKUP($B121,'project vs stock'!$A$72:$W$103,22,FALSE)/9</f>
        <v>424.233333333333</v>
      </c>
      <c r="Z154" s="42">
        <f>SUMIFS('08-21addition'!$C:$C,'08-21addition'!$A:$A,$B154,'08-21addition'!$B:$B,Z$2)*10+VLOOKUP($B121,'project vs stock'!$A$72:$W$103,22,FALSE)/9</f>
        <v>266.433333333333</v>
      </c>
      <c r="AA154" s="42">
        <f>SUMIFS('08-21addition'!$C:$C,'08-21addition'!$A:$A,$B154,'08-21addition'!$B:$B,AA$2)*10+VLOOKUP($B121,'project vs stock'!$A$72:$W$103,22,FALSE)/9</f>
        <v>368.033333333333</v>
      </c>
      <c r="AB154" s="42">
        <f>SUMIFS('08-21addition'!$C:$C,'08-21addition'!$A:$A,$B154,'08-21addition'!$B:$B,AB$2)*10+VLOOKUP($B121,'project vs stock'!$A$72:$W$103,22,FALSE)/9</f>
        <v>317.433333333333</v>
      </c>
      <c r="AC154" s="42">
        <f>SUMIFS('08-21addition'!$C:$C,'08-21addition'!$A:$A,$B154,'08-21addition'!$B:$B,AC$2)*10+VLOOKUP($B121,'project vs stock'!$A$72:$W$103,22,FALSE)/9</f>
        <v>223.933333333333</v>
      </c>
      <c r="AD154" s="42">
        <f>SUMIFS('08-21addition'!$C:$C,'08-21addition'!$A:$A,$B154,'08-21addition'!$B:$B,AD$2)*10+VLOOKUP($B121,'project vs stock'!$A$72:$W$103,6,FALSE)/5</f>
        <v>537.8</v>
      </c>
      <c r="AE154" s="42">
        <f>SUMIFS('08-21addition'!$C:$C,'08-21addition'!$A:$A,$B154,'08-21addition'!$B:$B,AE$2)*10+VLOOKUP($B121,'project vs stock'!$A$72:$W$103,6,FALSE)/5</f>
        <v>270</v>
      </c>
      <c r="AF154" s="42">
        <f>SUMIFS('08-21addition'!$C:$C,'08-21addition'!$A:$A,$B154,'08-21addition'!$B:$B,AF$2)*10+VLOOKUP($B121,'project vs stock'!$A$72:$W$103,6,FALSE)/5</f>
        <v>555.2</v>
      </c>
    </row>
    <row r="155" ht="13.85" spans="1:32">
      <c r="A155" s="27" t="s">
        <v>2348</v>
      </c>
      <c r="B155" s="44" t="s">
        <v>120</v>
      </c>
      <c r="C155" s="45"/>
      <c r="D155" s="45"/>
      <c r="E155" s="45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>
        <f>VLOOKUP($B155,'93-07workbook'!$B$179:$AH$210,COLUMN(M$1),FALSE)</f>
        <v>0</v>
      </c>
      <c r="R155" s="42">
        <f>VLOOKUP($B155,'93-07workbook'!$B$179:$AH$210,COLUMN(N$1),FALSE)</f>
        <v>0</v>
      </c>
      <c r="S155" s="42">
        <f>VLOOKUP($B155,'93-07workbook'!$B$179:$AH$210,COLUMN(O$1),FALSE)</f>
        <v>0</v>
      </c>
      <c r="T155" s="42">
        <f>VLOOKUP($B155,'93-07workbook'!$B$179:$AH$210,COLUMN(P$1),FALSE)</f>
        <v>0</v>
      </c>
      <c r="U155" s="42">
        <f>SUMIFS('08-21addition'!$C:$C,'08-21addition'!$A:$A,$B155,'08-21addition'!$B:$B,U$2)*10+VLOOKUP($B122,'project vs stock'!$A$72:$W$103,22,FALSE)/9</f>
        <v>0</v>
      </c>
      <c r="V155" s="42">
        <f>SUMIFS('08-21addition'!$C:$C,'08-21addition'!$A:$A,$B155,'08-21addition'!$B:$B,V$2)*10+VLOOKUP($B122,'project vs stock'!$A$72:$W$103,22,FALSE)/9</f>
        <v>0</v>
      </c>
      <c r="W155" s="42">
        <f>SUMIFS('08-21addition'!$C:$C,'08-21addition'!$A:$A,$B155,'08-21addition'!$B:$B,W$2)*10+VLOOKUP($B122,'project vs stock'!$A$72:$W$103,22,FALSE)/9</f>
        <v>0</v>
      </c>
      <c r="X155" s="42">
        <f>SUMIFS('08-21addition'!$C:$C,'08-21addition'!$A:$A,$B155,'08-21addition'!$B:$B,X$2)*10+VLOOKUP($B122,'project vs stock'!$A$72:$W$103,22,FALSE)/9</f>
        <v>49.5</v>
      </c>
      <c r="Y155" s="42">
        <f>SUMIFS('08-21addition'!$C:$C,'08-21addition'!$A:$A,$B155,'08-21addition'!$B:$B,Y$2)*10+VLOOKUP($B122,'project vs stock'!$A$72:$W$103,22,FALSE)/9</f>
        <v>49.5</v>
      </c>
      <c r="Z155" s="42">
        <f>SUMIFS('08-21addition'!$C:$C,'08-21addition'!$A:$A,$B155,'08-21addition'!$B:$B,Z$2)*10+VLOOKUP($B122,'project vs stock'!$A$72:$W$103,22,FALSE)/9</f>
        <v>51</v>
      </c>
      <c r="AA155" s="42">
        <f>SUMIFS('08-21addition'!$C:$C,'08-21addition'!$A:$A,$B155,'08-21addition'!$B:$B,AA$2)*10+VLOOKUP($B122,'project vs stock'!$A$72:$W$103,22,FALSE)/9</f>
        <v>0</v>
      </c>
      <c r="AB155" s="42">
        <f>SUMIFS('08-21addition'!$C:$C,'08-21addition'!$A:$A,$B155,'08-21addition'!$B:$B,AB$2)*10+VLOOKUP($B122,'project vs stock'!$A$72:$W$103,22,FALSE)/9</f>
        <v>295.5</v>
      </c>
      <c r="AC155" s="42">
        <f>SUMIFS('08-21addition'!$C:$C,'08-21addition'!$A:$A,$B155,'08-21addition'!$B:$B,AC$2)*10+VLOOKUP($B122,'project vs stock'!$A$72:$W$103,22,FALSE)/9</f>
        <v>349.5</v>
      </c>
      <c r="AD155" s="42">
        <f>SUMIFS('08-21addition'!$C:$C,'08-21addition'!$A:$A,$B155,'08-21addition'!$B:$B,AD$2)*10+VLOOKUP($B122,'project vs stock'!$A$72:$W$103,6,FALSE)/5</f>
        <v>816.7</v>
      </c>
      <c r="AE155" s="42">
        <f>SUMIFS('08-21addition'!$C:$C,'08-21addition'!$A:$A,$B155,'08-21addition'!$B:$B,AE$2)*10+VLOOKUP($B122,'project vs stock'!$A$72:$W$103,6,FALSE)/5</f>
        <v>614.2</v>
      </c>
      <c r="AF155" s="42">
        <f>SUMIFS('08-21addition'!$C:$C,'08-21addition'!$A:$A,$B155,'08-21addition'!$B:$B,AF$2)*10+VLOOKUP($B122,'project vs stock'!$A$72:$W$103,6,FALSE)/5</f>
        <v>900.3</v>
      </c>
    </row>
    <row r="156" ht="13.85" spans="1:32">
      <c r="A156" s="27" t="s">
        <v>2348</v>
      </c>
      <c r="B156" s="44" t="s">
        <v>122</v>
      </c>
      <c r="C156" s="45"/>
      <c r="D156" s="45"/>
      <c r="E156" s="45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>
        <f>VLOOKUP($B156,'93-07workbook'!$B$179:$AH$210,COLUMN(M$1),FALSE)</f>
        <v>8.7</v>
      </c>
      <c r="R156" s="42">
        <f>VLOOKUP($B156,'93-07workbook'!$B$179:$AH$210,COLUMN(N$1),FALSE)</f>
        <v>0.300000000000001</v>
      </c>
      <c r="S156" s="42">
        <f>VLOOKUP($B156,'93-07workbook'!$B$179:$AH$210,COLUMN(O$1),FALSE)</f>
        <v>0</v>
      </c>
      <c r="T156" s="42">
        <f>VLOOKUP($B156,'93-07workbook'!$B$179:$AH$210,COLUMN(P$1),FALSE)</f>
        <v>0</v>
      </c>
      <c r="U156" s="42">
        <f>SUMIFS('08-21addition'!$C:$C,'08-21addition'!$A:$A,$B156,'08-21addition'!$B:$B,U$2)*10+VLOOKUP($B123,'project vs stock'!$A$72:$W$103,22,FALSE)/9</f>
        <v>50</v>
      </c>
      <c r="V156" s="42">
        <f>SUMIFS('08-21addition'!$C:$C,'08-21addition'!$A:$A,$B156,'08-21addition'!$B:$B,V$2)*10+VLOOKUP($B123,'project vs stock'!$A$72:$W$103,22,FALSE)/9</f>
        <v>77.5</v>
      </c>
      <c r="W156" s="42">
        <f>SUMIFS('08-21addition'!$C:$C,'08-21addition'!$A:$A,$B156,'08-21addition'!$B:$B,W$2)*10+VLOOKUP($B123,'project vs stock'!$A$72:$W$103,22,FALSE)/9</f>
        <v>136.5</v>
      </c>
      <c r="X156" s="42">
        <f>SUMIFS('08-21addition'!$C:$C,'08-21addition'!$A:$A,$B156,'08-21addition'!$B:$B,X$2)*10+VLOOKUP($B123,'project vs stock'!$A$72:$W$103,22,FALSE)/9</f>
        <v>0</v>
      </c>
      <c r="Y156" s="42">
        <f>SUMIFS('08-21addition'!$C:$C,'08-21addition'!$A:$A,$B156,'08-21addition'!$B:$B,Y$2)*10+VLOOKUP($B123,'project vs stock'!$A$72:$W$103,22,FALSE)/9</f>
        <v>48</v>
      </c>
      <c r="Z156" s="42">
        <f>SUMIFS('08-21addition'!$C:$C,'08-21addition'!$A:$A,$B156,'08-21addition'!$B:$B,Z$2)*10+VLOOKUP($B123,'project vs stock'!$A$72:$W$103,22,FALSE)/9</f>
        <v>0</v>
      </c>
      <c r="AA156" s="42">
        <f>SUMIFS('08-21addition'!$C:$C,'08-21addition'!$A:$A,$B156,'08-21addition'!$B:$B,AA$2)*10+VLOOKUP($B123,'project vs stock'!$A$72:$W$103,22,FALSE)/9</f>
        <v>0</v>
      </c>
      <c r="AB156" s="42">
        <f>SUMIFS('08-21addition'!$C:$C,'08-21addition'!$A:$A,$B156,'08-21addition'!$B:$B,AB$2)*10+VLOOKUP($B123,'project vs stock'!$A$72:$W$103,22,FALSE)/9</f>
        <v>0</v>
      </c>
      <c r="AC156" s="42">
        <f>SUMIFS('08-21addition'!$C:$C,'08-21addition'!$A:$A,$B156,'08-21addition'!$B:$B,AC$2)*10+VLOOKUP($B123,'project vs stock'!$A$72:$W$103,22,FALSE)/9</f>
        <v>0</v>
      </c>
      <c r="AD156" s="42">
        <f>SUMIFS('08-21addition'!$C:$C,'08-21addition'!$A:$A,$B156,'08-21addition'!$B:$B,AD$2)*10+VLOOKUP($B123,'project vs stock'!$A$72:$W$103,6,FALSE)/5</f>
        <v>0</v>
      </c>
      <c r="AE156" s="42">
        <f>SUMIFS('08-21addition'!$C:$C,'08-21addition'!$A:$A,$B156,'08-21addition'!$B:$B,AE$2)*10+VLOOKUP($B123,'project vs stock'!$A$72:$W$103,6,FALSE)/5</f>
        <v>0</v>
      </c>
      <c r="AF156" s="42">
        <f>SUMIFS('08-21addition'!$C:$C,'08-21addition'!$A:$A,$B156,'08-21addition'!$B:$B,AF$2)*10+VLOOKUP($B123,'project vs stock'!$A$72:$W$103,6,FALSE)/5</f>
        <v>0</v>
      </c>
    </row>
    <row r="157" ht="13.85" spans="1:32">
      <c r="A157" s="27" t="s">
        <v>2348</v>
      </c>
      <c r="B157" s="44" t="s">
        <v>124</v>
      </c>
      <c r="C157" s="45"/>
      <c r="D157" s="45"/>
      <c r="E157" s="45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>
        <f>VLOOKUP($B157,'93-07workbook'!$B$179:$AH$210,COLUMN(M$1),FALSE)</f>
        <v>0</v>
      </c>
      <c r="R157" s="42">
        <f>VLOOKUP($B157,'93-07workbook'!$B$179:$AH$210,COLUMN(N$1),FALSE)</f>
        <v>0</v>
      </c>
      <c r="S157" s="42">
        <f>VLOOKUP($B157,'93-07workbook'!$B$179:$AH$210,COLUMN(O$1),FALSE)</f>
        <v>0</v>
      </c>
      <c r="T157" s="42">
        <f>VLOOKUP($B157,'93-07workbook'!$B$179:$AH$210,COLUMN(P$1),FALSE)</f>
        <v>0</v>
      </c>
      <c r="U157" s="42">
        <f>SUMIFS('08-21addition'!$C:$C,'08-21addition'!$A:$A,$B157,'08-21addition'!$B:$B,U$2)*10+VLOOKUP($B124,'project vs stock'!$A$72:$W$103,22,FALSE)/9</f>
        <v>0</v>
      </c>
      <c r="V157" s="42">
        <f>SUMIFS('08-21addition'!$C:$C,'08-21addition'!$A:$A,$B157,'08-21addition'!$B:$B,V$2)*10+VLOOKUP($B124,'project vs stock'!$A$72:$W$103,22,FALSE)/9</f>
        <v>49.3</v>
      </c>
      <c r="W157" s="42">
        <f>SUMIFS('08-21addition'!$C:$C,'08-21addition'!$A:$A,$B157,'08-21addition'!$B:$B,W$2)*10+VLOOKUP($B124,'project vs stock'!$A$72:$W$103,22,FALSE)/9</f>
        <v>34</v>
      </c>
      <c r="X157" s="42">
        <f>SUMIFS('08-21addition'!$C:$C,'08-21addition'!$A:$A,$B157,'08-21addition'!$B:$B,X$2)*10+VLOOKUP($B124,'project vs stock'!$A$72:$W$103,22,FALSE)/9</f>
        <v>0</v>
      </c>
      <c r="Y157" s="42">
        <f>SUMIFS('08-21addition'!$C:$C,'08-21addition'!$A:$A,$B157,'08-21addition'!$B:$B,Y$2)*10+VLOOKUP($B124,'project vs stock'!$A$72:$W$103,22,FALSE)/9</f>
        <v>0</v>
      </c>
      <c r="Z157" s="42">
        <f>SUMIFS('08-21addition'!$C:$C,'08-21addition'!$A:$A,$B157,'08-21addition'!$B:$B,Z$2)*10+VLOOKUP($B124,'project vs stock'!$A$72:$W$103,22,FALSE)/9</f>
        <v>49.5</v>
      </c>
      <c r="AA157" s="42">
        <f>SUMIFS('08-21addition'!$C:$C,'08-21addition'!$A:$A,$B157,'08-21addition'!$B:$B,AA$2)*10+VLOOKUP($B124,'project vs stock'!$A$72:$W$103,22,FALSE)/9</f>
        <v>0</v>
      </c>
      <c r="AB157" s="42">
        <f>SUMIFS('08-21addition'!$C:$C,'08-21addition'!$A:$A,$B157,'08-21addition'!$B:$B,AB$2)*10+VLOOKUP($B124,'project vs stock'!$A$72:$W$103,22,FALSE)/9</f>
        <v>232</v>
      </c>
      <c r="AC157" s="42">
        <f>SUMIFS('08-21addition'!$C:$C,'08-21addition'!$A:$A,$B157,'08-21addition'!$B:$B,AC$2)*10+VLOOKUP($B124,'project vs stock'!$A$72:$W$103,22,FALSE)/9</f>
        <v>99.5</v>
      </c>
      <c r="AD157" s="42">
        <f>SUMIFS('08-21addition'!$C:$C,'08-21addition'!$A:$A,$B157,'08-21addition'!$B:$B,AD$2)*10+VLOOKUP($B124,'project vs stock'!$A$72:$W$103,6,FALSE)/5</f>
        <v>137.5</v>
      </c>
      <c r="AE157" s="42">
        <f>SUMIFS('08-21addition'!$C:$C,'08-21addition'!$A:$A,$B157,'08-21addition'!$B:$B,AE$2)*10+VLOOKUP($B124,'project vs stock'!$A$72:$W$103,6,FALSE)/5</f>
        <v>190.9</v>
      </c>
      <c r="AF157" s="42">
        <f>SUMIFS('08-21addition'!$C:$C,'08-21addition'!$A:$A,$B157,'08-21addition'!$B:$B,AF$2)*10+VLOOKUP($B124,'project vs stock'!$A$72:$W$103,6,FALSE)/5</f>
        <v>184</v>
      </c>
    </row>
    <row r="158" ht="13.85" spans="1:32">
      <c r="A158" s="27" t="s">
        <v>2348</v>
      </c>
      <c r="B158" s="44" t="s">
        <v>126</v>
      </c>
      <c r="C158" s="45"/>
      <c r="D158" s="45"/>
      <c r="E158" s="45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>
        <f>VLOOKUP($B158,'93-07workbook'!$B$179:$AH$210,COLUMN(M$1),FALSE)</f>
        <v>0</v>
      </c>
      <c r="R158" s="42">
        <f>VLOOKUP($B158,'93-07workbook'!$B$179:$AH$210,COLUMN(N$1),FALSE)</f>
        <v>0</v>
      </c>
      <c r="S158" s="42">
        <f>VLOOKUP($B158,'93-07workbook'!$B$179:$AH$210,COLUMN(O$1),FALSE)</f>
        <v>0</v>
      </c>
      <c r="T158" s="42">
        <f>VLOOKUP($B158,'93-07workbook'!$B$179:$AH$210,COLUMN(P$1),FALSE)</f>
        <v>0</v>
      </c>
      <c r="U158" s="42">
        <f>SUMIFS('08-21addition'!$C:$C,'08-21addition'!$A:$A,$B158,'08-21addition'!$B:$B,U$2)*10+VLOOKUP($B125,'project vs stock'!$A$72:$W$103,22,FALSE)/9</f>
        <v>0</v>
      </c>
      <c r="V158" s="42">
        <f>SUMIFS('08-21addition'!$C:$C,'08-21addition'!$A:$A,$B158,'08-21addition'!$B:$B,V$2)*10+VLOOKUP($B125,'project vs stock'!$A$72:$W$103,22,FALSE)/9</f>
        <v>0</v>
      </c>
      <c r="W158" s="42">
        <f>SUMIFS('08-21addition'!$C:$C,'08-21addition'!$A:$A,$B158,'08-21addition'!$B:$B,W$2)*10+VLOOKUP($B125,'project vs stock'!$A$72:$W$103,22,FALSE)/9</f>
        <v>0</v>
      </c>
      <c r="X158" s="42">
        <f>SUMIFS('08-21addition'!$C:$C,'08-21addition'!$A:$A,$B158,'08-21addition'!$B:$B,X$2)*10+VLOOKUP($B125,'project vs stock'!$A$72:$W$103,22,FALSE)/9</f>
        <v>16</v>
      </c>
      <c r="Y158" s="42">
        <f>SUMIFS('08-21addition'!$C:$C,'08-21addition'!$A:$A,$B158,'08-21addition'!$B:$B,Y$2)*10+VLOOKUP($B125,'project vs stock'!$A$72:$W$103,22,FALSE)/9</f>
        <v>0</v>
      </c>
      <c r="Z158" s="42">
        <f>SUMIFS('08-21addition'!$C:$C,'08-21addition'!$A:$A,$B158,'08-21addition'!$B:$B,Z$2)*10+VLOOKUP($B125,'project vs stock'!$A$72:$W$103,22,FALSE)/9</f>
        <v>93.5</v>
      </c>
      <c r="AA158" s="42">
        <f>SUMIFS('08-21addition'!$C:$C,'08-21addition'!$A:$A,$B158,'08-21addition'!$B:$B,AA$2)*10+VLOOKUP($B125,'project vs stock'!$A$72:$W$103,22,FALSE)/9</f>
        <v>325.5</v>
      </c>
      <c r="AB158" s="42">
        <f>SUMIFS('08-21addition'!$C:$C,'08-21addition'!$A:$A,$B158,'08-21addition'!$B:$B,AB$2)*10+VLOOKUP($B125,'project vs stock'!$A$72:$W$103,22,FALSE)/9</f>
        <v>579</v>
      </c>
      <c r="AC158" s="42">
        <f>SUMIFS('08-21addition'!$C:$C,'08-21addition'!$A:$A,$B158,'08-21addition'!$B:$B,AC$2)*10+VLOOKUP($B125,'project vs stock'!$A$72:$W$103,22,FALSE)/9</f>
        <v>675.5</v>
      </c>
      <c r="AD158" s="42">
        <f>SUMIFS('08-21addition'!$C:$C,'08-21addition'!$A:$A,$B158,'08-21addition'!$B:$B,AD$2)*10+VLOOKUP($B125,'project vs stock'!$A$72:$W$103,6,FALSE)/5</f>
        <v>1259.5</v>
      </c>
      <c r="AE158" s="42">
        <f>SUMIFS('08-21addition'!$C:$C,'08-21addition'!$A:$A,$B158,'08-21addition'!$B:$B,AE$2)*10+VLOOKUP($B125,'project vs stock'!$A$72:$W$103,6,FALSE)/5</f>
        <v>465.7</v>
      </c>
      <c r="AF158" s="42">
        <f>SUMIFS('08-21addition'!$C:$C,'08-21addition'!$A:$A,$B158,'08-21addition'!$B:$B,AF$2)*10+VLOOKUP($B125,'project vs stock'!$A$72:$W$103,6,FALSE)/5</f>
        <v>662.9</v>
      </c>
    </row>
    <row r="159" ht="13.85" spans="1:32">
      <c r="A159" s="27" t="s">
        <v>2348</v>
      </c>
      <c r="B159" s="44" t="s">
        <v>128</v>
      </c>
      <c r="C159" s="45"/>
      <c r="D159" s="45"/>
      <c r="E159" s="45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>
        <f>VLOOKUP($B159,'93-07workbook'!$B$179:$AH$210,COLUMN(M$1),FALSE)</f>
        <v>0</v>
      </c>
      <c r="R159" s="42">
        <f>VLOOKUP($B159,'93-07workbook'!$B$179:$AH$210,COLUMN(N$1),FALSE)</f>
        <v>0</v>
      </c>
      <c r="S159" s="42">
        <f>VLOOKUP($B159,'93-07workbook'!$B$179:$AH$210,COLUMN(O$1),FALSE)</f>
        <v>0</v>
      </c>
      <c r="T159" s="42">
        <f>VLOOKUP($B159,'93-07workbook'!$B$179:$AH$210,COLUMN(P$1),FALSE)</f>
        <v>0</v>
      </c>
      <c r="U159" s="42">
        <f>SUMIFS('08-21addition'!$C:$C,'08-21addition'!$A:$A,$B159,'08-21addition'!$B:$B,U$2)*10+VLOOKUP($B126,'project vs stock'!$A$72:$W$103,22,FALSE)/9</f>
        <v>31.3777777777778</v>
      </c>
      <c r="V159" s="42">
        <f>SUMIFS('08-21addition'!$C:$C,'08-21addition'!$A:$A,$B159,'08-21addition'!$B:$B,V$2)*10+VLOOKUP($B126,'project vs stock'!$A$72:$W$103,22,FALSE)/9</f>
        <v>31.3777777777778</v>
      </c>
      <c r="W159" s="42">
        <f>SUMIFS('08-21addition'!$C:$C,'08-21addition'!$A:$A,$B159,'08-21addition'!$B:$B,W$2)*10+VLOOKUP($B126,'project vs stock'!$A$72:$W$103,22,FALSE)/9</f>
        <v>31.3777777777778</v>
      </c>
      <c r="X159" s="42">
        <f>SUMIFS('08-21addition'!$C:$C,'08-21addition'!$A:$A,$B159,'08-21addition'!$B:$B,X$2)*10+VLOOKUP($B126,'project vs stock'!$A$72:$W$103,22,FALSE)/9</f>
        <v>185.877777777778</v>
      </c>
      <c r="Y159" s="42">
        <f>SUMIFS('08-21addition'!$C:$C,'08-21addition'!$A:$A,$B159,'08-21addition'!$B:$B,Y$2)*10+VLOOKUP($B126,'project vs stock'!$A$72:$W$103,22,FALSE)/9</f>
        <v>481.377777777778</v>
      </c>
      <c r="Z159" s="42">
        <f>SUMIFS('08-21addition'!$C:$C,'08-21addition'!$A:$A,$B159,'08-21addition'!$B:$B,Z$2)*10+VLOOKUP($B126,'project vs stock'!$A$72:$W$103,22,FALSE)/9</f>
        <v>1084.07777777778</v>
      </c>
      <c r="AA159" s="42">
        <f>SUMIFS('08-21addition'!$C:$C,'08-21addition'!$A:$A,$B159,'08-21addition'!$B:$B,AA$2)*10+VLOOKUP($B126,'project vs stock'!$A$72:$W$103,22,FALSE)/9</f>
        <v>499.377777777778</v>
      </c>
      <c r="AB159" s="42">
        <f>SUMIFS('08-21addition'!$C:$C,'08-21addition'!$A:$A,$B159,'08-21addition'!$B:$B,AB$2)*10+VLOOKUP($B126,'project vs stock'!$A$72:$W$103,22,FALSE)/9</f>
        <v>923.677777777778</v>
      </c>
      <c r="AC159" s="42">
        <f>SUMIFS('08-21addition'!$C:$C,'08-21addition'!$A:$A,$B159,'08-21addition'!$B:$B,AC$2)*10+VLOOKUP($B126,'project vs stock'!$A$72:$W$103,22,FALSE)/9</f>
        <v>351.477777777778</v>
      </c>
      <c r="AD159" s="42">
        <f>SUMIFS('08-21addition'!$C:$C,'08-21addition'!$A:$A,$B159,'08-21addition'!$B:$B,AD$2)*10+VLOOKUP($B126,'project vs stock'!$A$72:$W$103,6,FALSE)/5</f>
        <v>305.8</v>
      </c>
      <c r="AE159" s="42">
        <f>SUMIFS('08-21addition'!$C:$C,'08-21addition'!$A:$A,$B159,'08-21addition'!$B:$B,AE$2)*10+VLOOKUP($B126,'project vs stock'!$A$72:$W$103,6,FALSE)/5</f>
        <v>148.4</v>
      </c>
      <c r="AF159" s="42">
        <f>SUMIFS('08-21addition'!$C:$C,'08-21addition'!$A:$A,$B159,'08-21addition'!$B:$B,AF$2)*10+VLOOKUP($B126,'project vs stock'!$A$72:$W$103,6,FALSE)/5</f>
        <v>781.3</v>
      </c>
    </row>
    <row r="160" ht="13.85" spans="1:32">
      <c r="A160" s="27" t="s">
        <v>2348</v>
      </c>
      <c r="B160" s="44" t="s">
        <v>130</v>
      </c>
      <c r="C160" s="45"/>
      <c r="D160" s="45"/>
      <c r="E160" s="45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>
        <f>VLOOKUP($B160,'93-07workbook'!$B$179:$AH$210,COLUMN(M$1),FALSE)</f>
        <v>0</v>
      </c>
      <c r="R160" s="42">
        <f>VLOOKUP($B160,'93-07workbook'!$B$179:$AH$210,COLUMN(N$1),FALSE)</f>
        <v>0</v>
      </c>
      <c r="S160" s="42">
        <f>VLOOKUP($B160,'93-07workbook'!$B$179:$AH$210,COLUMN(O$1),FALSE)</f>
        <v>0</v>
      </c>
      <c r="T160" s="42">
        <f>VLOOKUP($B160,'93-07workbook'!$B$179:$AH$210,COLUMN(P$1),FALSE)</f>
        <v>0</v>
      </c>
      <c r="U160" s="42">
        <f>SUMIFS('08-21addition'!$C:$C,'08-21addition'!$A:$A,$B160,'08-21addition'!$B:$B,U$2)*10+VLOOKUP($B127,'project vs stock'!$A$72:$W$103,22,FALSE)/9</f>
        <v>98.3666666666668</v>
      </c>
      <c r="V160" s="42">
        <f>SUMIFS('08-21addition'!$C:$C,'08-21addition'!$A:$A,$B160,'08-21addition'!$B:$B,V$2)*10+VLOOKUP($B127,'project vs stock'!$A$72:$W$103,22,FALSE)/9</f>
        <v>67.8666666666668</v>
      </c>
      <c r="W160" s="42">
        <f>SUMIFS('08-21addition'!$C:$C,'08-21addition'!$A:$A,$B160,'08-21addition'!$B:$B,W$2)*10+VLOOKUP($B127,'project vs stock'!$A$72:$W$103,22,FALSE)/9</f>
        <v>230.666666666667</v>
      </c>
      <c r="X160" s="42">
        <f>SUMIFS('08-21addition'!$C:$C,'08-21addition'!$A:$A,$B160,'08-21addition'!$B:$B,X$2)*10+VLOOKUP($B127,'project vs stock'!$A$72:$W$103,22,FALSE)/9</f>
        <v>418.166666666667</v>
      </c>
      <c r="Y160" s="42">
        <f>SUMIFS('08-21addition'!$C:$C,'08-21addition'!$A:$A,$B160,'08-21addition'!$B:$B,Y$2)*10+VLOOKUP($B127,'project vs stock'!$A$72:$W$103,22,FALSE)/9</f>
        <v>1316.66666666667</v>
      </c>
      <c r="Z160" s="42">
        <f>SUMIFS('08-21addition'!$C:$C,'08-21addition'!$A:$A,$B160,'08-21addition'!$B:$B,Z$2)*10+VLOOKUP($B127,'project vs stock'!$A$72:$W$103,22,FALSE)/9</f>
        <v>658.866666666667</v>
      </c>
      <c r="AA160" s="42">
        <f>SUMIFS('08-21addition'!$C:$C,'08-21addition'!$A:$A,$B160,'08-21addition'!$B:$B,AA$2)*10+VLOOKUP($B127,'project vs stock'!$A$72:$W$103,22,FALSE)/9</f>
        <v>1320.86666666667</v>
      </c>
      <c r="AB160" s="42">
        <f>SUMIFS('08-21addition'!$C:$C,'08-21addition'!$A:$A,$B160,'08-21addition'!$B:$B,AB$2)*10+VLOOKUP($B127,'project vs stock'!$A$72:$W$103,22,FALSE)/9</f>
        <v>2269.46666666667</v>
      </c>
      <c r="AC160" s="42">
        <f>SUMIFS('08-21addition'!$C:$C,'08-21addition'!$A:$A,$B160,'08-21addition'!$B:$B,AC$2)*10+VLOOKUP($B127,'project vs stock'!$A$72:$W$103,22,FALSE)/9</f>
        <v>989.066666666667</v>
      </c>
      <c r="AD160" s="42">
        <f>SUMIFS('08-21addition'!$C:$C,'08-21addition'!$A:$A,$B160,'08-21addition'!$B:$B,AD$2)*10+VLOOKUP($B127,'project vs stock'!$A$72:$W$103,6,FALSE)/5</f>
        <v>643.6</v>
      </c>
      <c r="AE160" s="42">
        <f>SUMIFS('08-21addition'!$C:$C,'08-21addition'!$A:$A,$B160,'08-21addition'!$B:$B,AE$2)*10+VLOOKUP($B127,'project vs stock'!$A$72:$W$103,6,FALSE)/5</f>
        <v>119.6</v>
      </c>
      <c r="AF160" s="42">
        <f>SUMIFS('08-21addition'!$C:$C,'08-21addition'!$A:$A,$B160,'08-21addition'!$B:$B,AF$2)*10+VLOOKUP($B127,'project vs stock'!$A$72:$W$103,6,FALSE)/5</f>
        <v>189.1</v>
      </c>
    </row>
    <row r="161" ht="13.85" spans="1:32">
      <c r="A161" s="27" t="s">
        <v>2348</v>
      </c>
      <c r="B161" s="44" t="s">
        <v>132</v>
      </c>
      <c r="C161" s="45"/>
      <c r="D161" s="45"/>
      <c r="E161" s="45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>
        <f>VLOOKUP($B161,'93-07workbook'!$B$179:$AH$210,COLUMN(M$1),FALSE)</f>
        <v>0</v>
      </c>
      <c r="R161" s="42">
        <f>VLOOKUP($B161,'93-07workbook'!$B$179:$AH$210,COLUMN(N$1),FALSE)</f>
        <v>0</v>
      </c>
      <c r="S161" s="42">
        <f>VLOOKUP($B161,'93-07workbook'!$B$179:$AH$210,COLUMN(O$1),FALSE)</f>
        <v>0</v>
      </c>
      <c r="T161" s="42">
        <f>VLOOKUP($B161,'93-07workbook'!$B$179:$AH$210,COLUMN(P$1),FALSE)</f>
        <v>0</v>
      </c>
      <c r="U161" s="42">
        <f>SUMIFS('08-21addition'!$C:$C,'08-21addition'!$A:$A,$B161,'08-21addition'!$B:$B,U$2)*10+VLOOKUP($B128,'project vs stock'!$A$72:$W$103,22,FALSE)/9</f>
        <v>0.277777777777778</v>
      </c>
      <c r="V161" s="42">
        <f>SUMIFS('08-21addition'!$C:$C,'08-21addition'!$A:$A,$B161,'08-21addition'!$B:$B,V$2)*10+VLOOKUP($B128,'project vs stock'!$A$72:$W$103,22,FALSE)/9</f>
        <v>0.277777777777778</v>
      </c>
      <c r="W161" s="42">
        <f>SUMIFS('08-21addition'!$C:$C,'08-21addition'!$A:$A,$B161,'08-21addition'!$B:$B,W$2)*10+VLOOKUP($B128,'project vs stock'!$A$72:$W$103,22,FALSE)/9</f>
        <v>0.277777777777778</v>
      </c>
      <c r="X161" s="42">
        <f>SUMIFS('08-21addition'!$C:$C,'08-21addition'!$A:$A,$B161,'08-21addition'!$B:$B,X$2)*10+VLOOKUP($B128,'project vs stock'!$A$72:$W$103,22,FALSE)/9</f>
        <v>0.277777777777778</v>
      </c>
      <c r="Y161" s="42">
        <f>SUMIFS('08-21addition'!$C:$C,'08-21addition'!$A:$A,$B161,'08-21addition'!$B:$B,Y$2)*10+VLOOKUP($B128,'project vs stock'!$A$72:$W$103,22,FALSE)/9</f>
        <v>0.277777777777778</v>
      </c>
      <c r="Z161" s="42">
        <f>SUMIFS('08-21addition'!$C:$C,'08-21addition'!$A:$A,$B161,'08-21addition'!$B:$B,Z$2)*10+VLOOKUP($B128,'project vs stock'!$A$72:$W$103,22,FALSE)/9</f>
        <v>7.77777777777778</v>
      </c>
      <c r="AA161" s="42">
        <f>SUMIFS('08-21addition'!$C:$C,'08-21addition'!$A:$A,$B161,'08-21addition'!$B:$B,AA$2)*10+VLOOKUP($B128,'project vs stock'!$A$72:$W$103,22,FALSE)/9</f>
        <v>0.277777777777778</v>
      </c>
      <c r="AB161" s="42">
        <f>SUMIFS('08-21addition'!$C:$C,'08-21addition'!$A:$A,$B161,'08-21addition'!$B:$B,AB$2)*10+VLOOKUP($B128,'project vs stock'!$A$72:$W$103,22,FALSE)/9</f>
        <v>0.277777777777778</v>
      </c>
      <c r="AC161" s="42">
        <f>SUMIFS('08-21addition'!$C:$C,'08-21addition'!$A:$A,$B161,'08-21addition'!$B:$B,AC$2)*10+VLOOKUP($B128,'project vs stock'!$A$72:$W$103,22,FALSE)/9</f>
        <v>0.277777777777778</v>
      </c>
      <c r="AD161" s="42">
        <f>SUMIFS('08-21addition'!$C:$C,'08-21addition'!$A:$A,$B161,'08-21addition'!$B:$B,AD$2)*10+VLOOKUP($B128,'project vs stock'!$A$72:$W$103,6,FALSE)/5</f>
        <v>0</v>
      </c>
      <c r="AE161" s="42">
        <f>SUMIFS('08-21addition'!$C:$C,'08-21addition'!$A:$A,$B161,'08-21addition'!$B:$B,AE$2)*10+VLOOKUP($B128,'project vs stock'!$A$72:$W$103,6,FALSE)/5</f>
        <v>0</v>
      </c>
      <c r="AF161" s="42">
        <f>SUMIFS('08-21addition'!$C:$C,'08-21addition'!$A:$A,$B161,'08-21addition'!$B:$B,AF$2)*10+VLOOKUP($B128,'project vs stock'!$A$72:$W$103,6,FALSE)/5</f>
        <v>0</v>
      </c>
    </row>
    <row r="162" ht="13.85" spans="1:32">
      <c r="A162" s="27" t="s">
        <v>2348</v>
      </c>
      <c r="B162" s="44" t="s">
        <v>134</v>
      </c>
      <c r="C162" s="45"/>
      <c r="D162" s="45"/>
      <c r="E162" s="45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>
        <f>VLOOKUP($B162,'93-07workbook'!$B$179:$AH$210,COLUMN(M$1),FALSE)</f>
        <v>0</v>
      </c>
      <c r="R162" s="42">
        <f>VLOOKUP($B162,'93-07workbook'!$B$179:$AH$210,COLUMN(N$1),FALSE)</f>
        <v>0</v>
      </c>
      <c r="S162" s="42">
        <f>VLOOKUP($B162,'93-07workbook'!$B$179:$AH$210,COLUMN(O$1),FALSE)</f>
        <v>0</v>
      </c>
      <c r="T162" s="42">
        <f>VLOOKUP($B162,'93-07workbook'!$B$179:$AH$210,COLUMN(P$1),FALSE)</f>
        <v>0</v>
      </c>
      <c r="U162" s="42">
        <f>SUMIFS('08-21addition'!$C:$C,'08-21addition'!$A:$A,$B162,'08-21addition'!$B:$B,U$2)*10+VLOOKUP($B129,'project vs stock'!$A$72:$W$103,22,FALSE)/9</f>
        <v>0</v>
      </c>
      <c r="V162" s="42">
        <f>SUMIFS('08-21addition'!$C:$C,'08-21addition'!$A:$A,$B162,'08-21addition'!$B:$B,V$2)*10+VLOOKUP($B129,'project vs stock'!$A$72:$W$103,22,FALSE)/9</f>
        <v>0</v>
      </c>
      <c r="W162" s="42">
        <f>SUMIFS('08-21addition'!$C:$C,'08-21addition'!$A:$A,$B162,'08-21addition'!$B:$B,W$2)*10+VLOOKUP($B129,'project vs stock'!$A$72:$W$103,22,FALSE)/9</f>
        <v>49.5</v>
      </c>
      <c r="X162" s="42">
        <f>SUMIFS('08-21addition'!$C:$C,'08-21addition'!$A:$A,$B162,'08-21addition'!$B:$B,X$2)*10+VLOOKUP($B129,'project vs stock'!$A$72:$W$103,22,FALSE)/9</f>
        <v>255</v>
      </c>
      <c r="Y162" s="42">
        <f>SUMIFS('08-21addition'!$C:$C,'08-21addition'!$A:$A,$B162,'08-21addition'!$B:$B,Y$2)*10+VLOOKUP($B129,'project vs stock'!$A$72:$W$103,22,FALSE)/9</f>
        <v>219.5</v>
      </c>
      <c r="Z162" s="42">
        <f>SUMIFS('08-21addition'!$C:$C,'08-21addition'!$A:$A,$B162,'08-21addition'!$B:$B,Z$2)*10+VLOOKUP($B129,'project vs stock'!$A$72:$W$103,22,FALSE)/9</f>
        <v>457</v>
      </c>
      <c r="AA162" s="42">
        <f>SUMIFS('08-21addition'!$C:$C,'08-21addition'!$A:$A,$B162,'08-21addition'!$B:$B,AA$2)*10+VLOOKUP($B129,'project vs stock'!$A$72:$W$103,22,FALSE)/9</f>
        <v>294</v>
      </c>
      <c r="AB162" s="42">
        <f>SUMIFS('08-21addition'!$C:$C,'08-21addition'!$A:$A,$B162,'08-21addition'!$B:$B,AB$2)*10+VLOOKUP($B129,'project vs stock'!$A$72:$W$103,22,FALSE)/9</f>
        <v>423.5</v>
      </c>
      <c r="AC162" s="42">
        <f>SUMIFS('08-21addition'!$C:$C,'08-21addition'!$A:$A,$B162,'08-21addition'!$B:$B,AC$2)*10+VLOOKUP($B129,'project vs stock'!$A$72:$W$103,22,FALSE)/9</f>
        <v>911.6</v>
      </c>
      <c r="AD162" s="42">
        <f>SUMIFS('08-21addition'!$C:$C,'08-21addition'!$A:$A,$B162,'08-21addition'!$B:$B,AD$2)*10+VLOOKUP($B129,'project vs stock'!$A$72:$W$103,6,FALSE)/5</f>
        <v>1442.24</v>
      </c>
      <c r="AE162" s="42">
        <f>SUMIFS('08-21addition'!$C:$C,'08-21addition'!$A:$A,$B162,'08-21addition'!$B:$B,AE$2)*10+VLOOKUP($B129,'project vs stock'!$A$72:$W$103,6,FALSE)/5</f>
        <v>708.64</v>
      </c>
      <c r="AF162" s="42">
        <f>SUMIFS('08-21addition'!$C:$C,'08-21addition'!$A:$A,$B162,'08-21addition'!$B:$B,AF$2)*10+VLOOKUP($B129,'project vs stock'!$A$72:$W$103,6,FALSE)/5</f>
        <v>1291.94</v>
      </c>
    </row>
    <row r="163" ht="13.85" spans="1:32">
      <c r="A163" s="27" t="s">
        <v>2348</v>
      </c>
      <c r="B163" s="44" t="s">
        <v>136</v>
      </c>
      <c r="C163" s="45"/>
      <c r="D163" s="45"/>
      <c r="E163" s="45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>
        <f>VLOOKUP($B163,'93-07workbook'!$B$179:$AH$210,COLUMN(M$1),FALSE)</f>
        <v>52</v>
      </c>
      <c r="R163" s="42">
        <f>VLOOKUP($B163,'93-07workbook'!$B$179:$AH$210,COLUMN(N$1),FALSE)</f>
        <v>0</v>
      </c>
      <c r="S163" s="42">
        <f>VLOOKUP($B163,'93-07workbook'!$B$179:$AH$210,COLUMN(O$1),FALSE)</f>
        <v>110</v>
      </c>
      <c r="T163" s="42">
        <f>VLOOKUP($B163,'93-07workbook'!$B$179:$AH$210,COLUMN(P$1),FALSE)</f>
        <v>150</v>
      </c>
      <c r="U163" s="42">
        <f>SUMIFS('08-21addition'!$C:$C,'08-21addition'!$A:$A,$B163,'08-21addition'!$B:$B,U$2)*10+VLOOKUP($B130,'project vs stock'!$A$72:$W$103,22,FALSE)/9</f>
        <v>340</v>
      </c>
      <c r="V163" s="42">
        <f>SUMIFS('08-21addition'!$C:$C,'08-21addition'!$A:$A,$B163,'08-21addition'!$B:$B,V$2)*10+VLOOKUP($B130,'project vs stock'!$A$72:$W$103,22,FALSE)/9</f>
        <v>450</v>
      </c>
      <c r="W163" s="42">
        <f>SUMIFS('08-21addition'!$C:$C,'08-21addition'!$A:$A,$B163,'08-21addition'!$B:$B,W$2)*10+VLOOKUP($B130,'project vs stock'!$A$72:$W$103,22,FALSE)/9</f>
        <v>1700.5</v>
      </c>
      <c r="X163" s="42">
        <f>SUMIFS('08-21addition'!$C:$C,'08-21addition'!$A:$A,$B163,'08-21addition'!$B:$B,X$2)*10+VLOOKUP($B130,'project vs stock'!$A$72:$W$103,22,FALSE)/9</f>
        <v>2813.5</v>
      </c>
      <c r="Y163" s="42">
        <f>SUMIFS('08-21addition'!$C:$C,'08-21addition'!$A:$A,$B163,'08-21addition'!$B:$B,Y$2)*10+VLOOKUP($B130,'project vs stock'!$A$72:$W$103,22,FALSE)/9</f>
        <v>751.5</v>
      </c>
      <c r="Z163" s="42">
        <f>SUMIFS('08-21addition'!$C:$C,'08-21addition'!$A:$A,$B163,'08-21addition'!$B:$B,Z$2)*10+VLOOKUP($B130,'project vs stock'!$A$72:$W$103,22,FALSE)/9</f>
        <v>670.5</v>
      </c>
      <c r="AA163" s="42">
        <f>SUMIFS('08-21addition'!$C:$C,'08-21addition'!$A:$A,$B163,'08-21addition'!$B:$B,AA$2)*10+VLOOKUP($B130,'project vs stock'!$A$72:$W$103,22,FALSE)/9</f>
        <v>3087</v>
      </c>
      <c r="AB163" s="42">
        <f>SUMIFS('08-21addition'!$C:$C,'08-21addition'!$A:$A,$B163,'08-21addition'!$B:$B,AB$2)*10+VLOOKUP($B130,'project vs stock'!$A$72:$W$103,22,FALSE)/9</f>
        <v>2636.5</v>
      </c>
      <c r="AC163" s="42">
        <f>SUMIFS('08-21addition'!$C:$C,'08-21addition'!$A:$A,$B163,'08-21addition'!$B:$B,AC$2)*10+VLOOKUP($B130,'project vs stock'!$A$72:$W$103,22,FALSE)/9</f>
        <v>249.7</v>
      </c>
      <c r="AD163" s="42">
        <f>SUMIFS('08-21addition'!$C:$C,'08-21addition'!$A:$A,$B163,'08-21addition'!$B:$B,AD$2)*10+VLOOKUP($B130,'project vs stock'!$A$72:$W$103,6,FALSE)/5</f>
        <v>56.92</v>
      </c>
      <c r="AE163" s="42">
        <f>SUMIFS('08-21addition'!$C:$C,'08-21addition'!$A:$A,$B163,'08-21addition'!$B:$B,AE$2)*10+VLOOKUP($B130,'project vs stock'!$A$72:$W$103,6,FALSE)/5</f>
        <v>7.41999999999996</v>
      </c>
      <c r="AF163" s="42">
        <f>SUMIFS('08-21addition'!$C:$C,'08-21addition'!$A:$A,$B163,'08-21addition'!$B:$B,AF$2)*10+VLOOKUP($B130,'project vs stock'!$A$72:$W$103,6,FALSE)/5</f>
        <v>127.42</v>
      </c>
    </row>
    <row r="164" ht="13.85" spans="1:32">
      <c r="A164" s="27" t="s">
        <v>2348</v>
      </c>
      <c r="B164" s="44" t="s">
        <v>138</v>
      </c>
      <c r="C164" s="45"/>
      <c r="D164" s="45"/>
      <c r="E164" s="45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>
        <f>VLOOKUP($B164,'93-07workbook'!$B$179:$AH$210,COLUMN(M$1),FALSE)</f>
        <v>0</v>
      </c>
      <c r="R164" s="42">
        <f>VLOOKUP($B164,'93-07workbook'!$B$179:$AH$210,COLUMN(N$1),FALSE)</f>
        <v>0</v>
      </c>
      <c r="S164" s="42">
        <f>VLOOKUP($B164,'93-07workbook'!$B$179:$AH$210,COLUMN(O$1),FALSE)</f>
        <v>0</v>
      </c>
      <c r="T164" s="42">
        <f>VLOOKUP($B164,'93-07workbook'!$B$179:$AH$210,COLUMN(P$1),FALSE)</f>
        <v>0</v>
      </c>
      <c r="U164" s="42">
        <f>SUMIFS('08-21addition'!$C:$C,'08-21addition'!$A:$A,$B164,'08-21addition'!$B:$B,U$2)*10+VLOOKUP($B131,'project vs stock'!$A$72:$W$103,22,FALSE)/9</f>
        <v>0</v>
      </c>
      <c r="V164" s="42">
        <f>SUMIFS('08-21addition'!$C:$C,'08-21addition'!$A:$A,$B164,'08-21addition'!$B:$B,V$2)*10+VLOOKUP($B131,'project vs stock'!$A$72:$W$103,22,FALSE)/9</f>
        <v>0</v>
      </c>
      <c r="W164" s="42">
        <f>SUMIFS('08-21addition'!$C:$C,'08-21addition'!$A:$A,$B164,'08-21addition'!$B:$B,W$2)*10+VLOOKUP($B131,'project vs stock'!$A$72:$W$103,22,FALSE)/9</f>
        <v>0</v>
      </c>
      <c r="X164" s="42">
        <f>SUMIFS('08-21addition'!$C:$C,'08-21addition'!$A:$A,$B164,'08-21addition'!$B:$B,X$2)*10+VLOOKUP($B131,'project vs stock'!$A$72:$W$103,22,FALSE)/9</f>
        <v>17</v>
      </c>
      <c r="Y164" s="42">
        <f>SUMIFS('08-21addition'!$C:$C,'08-21addition'!$A:$A,$B164,'08-21addition'!$B:$B,Y$2)*10+VLOOKUP($B131,'project vs stock'!$A$72:$W$103,22,FALSE)/9</f>
        <v>2</v>
      </c>
      <c r="Z164" s="42">
        <f>SUMIFS('08-21addition'!$C:$C,'08-21addition'!$A:$A,$B164,'08-21addition'!$B:$B,Z$2)*10+VLOOKUP($B131,'project vs stock'!$A$72:$W$103,22,FALSE)/9</f>
        <v>131.5</v>
      </c>
      <c r="AA164" s="42">
        <f>SUMIFS('08-21addition'!$C:$C,'08-21addition'!$A:$A,$B164,'08-21addition'!$B:$B,AA$2)*10+VLOOKUP($B131,'project vs stock'!$A$72:$W$103,22,FALSE)/9</f>
        <v>178</v>
      </c>
      <c r="AB164" s="42">
        <f>SUMIFS('08-21addition'!$C:$C,'08-21addition'!$A:$A,$B164,'08-21addition'!$B:$B,AB$2)*10+VLOOKUP($B131,'project vs stock'!$A$72:$W$103,22,FALSE)/9</f>
        <v>247.5</v>
      </c>
      <c r="AC164" s="42">
        <f>SUMIFS('08-21addition'!$C:$C,'08-21addition'!$A:$A,$B164,'08-21addition'!$B:$B,AC$2)*10+VLOOKUP($B131,'project vs stock'!$A$72:$W$103,22,FALSE)/9</f>
        <v>298.5</v>
      </c>
      <c r="AD164" s="42">
        <f>SUMIFS('08-21addition'!$C:$C,'08-21addition'!$A:$A,$B164,'08-21addition'!$B:$B,AD$2)*10+VLOOKUP($B131,'project vs stock'!$A$72:$W$103,6,FALSE)/5</f>
        <v>1102.8</v>
      </c>
      <c r="AE164" s="42">
        <f>SUMIFS('08-21addition'!$C:$C,'08-21addition'!$A:$A,$B164,'08-21addition'!$B:$B,AE$2)*10+VLOOKUP($B131,'project vs stock'!$A$72:$W$103,6,FALSE)/5</f>
        <v>1119.1</v>
      </c>
      <c r="AF164" s="42">
        <f>SUMIFS('08-21addition'!$C:$C,'08-21addition'!$A:$A,$B164,'08-21addition'!$B:$B,AF$2)*10+VLOOKUP($B131,'project vs stock'!$A$72:$W$103,6,FALSE)/5</f>
        <v>1952</v>
      </c>
    </row>
    <row r="165" ht="13.85" spans="1:32">
      <c r="A165" s="27" t="s">
        <v>2348</v>
      </c>
      <c r="B165" s="44" t="s">
        <v>140</v>
      </c>
      <c r="C165" s="45"/>
      <c r="D165" s="45"/>
      <c r="E165" s="45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>
        <f>VLOOKUP($B165,'93-07workbook'!$B$179:$AH$210,COLUMN(M$1),FALSE)</f>
        <v>0</v>
      </c>
      <c r="R165" s="42">
        <f>VLOOKUP($B165,'93-07workbook'!$B$179:$AH$210,COLUMN(N$1),FALSE)</f>
        <v>112</v>
      </c>
      <c r="S165" s="42">
        <f>VLOOKUP($B165,'93-07workbook'!$B$179:$AH$210,COLUMN(O$1),FALSE)</f>
        <v>0</v>
      </c>
      <c r="T165" s="42">
        <f>VLOOKUP($B165,'93-07workbook'!$B$179:$AH$210,COLUMN(P$1),FALSE)</f>
        <v>150</v>
      </c>
      <c r="U165" s="42">
        <f>SUMIFS('08-21addition'!$C:$C,'08-21addition'!$A:$A,$B165,'08-21addition'!$B:$B,U$2)*10+VLOOKUP($B132,'project vs stock'!$A$72:$W$103,22,FALSE)/9</f>
        <v>130</v>
      </c>
      <c r="V165" s="42">
        <f>SUMIFS('08-21addition'!$C:$C,'08-21addition'!$A:$A,$B165,'08-21addition'!$B:$B,V$2)*10+VLOOKUP($B132,'project vs stock'!$A$72:$W$103,22,FALSE)/9</f>
        <v>154.5</v>
      </c>
      <c r="W165" s="42">
        <f>SUMIFS('08-21addition'!$C:$C,'08-21addition'!$A:$A,$B165,'08-21addition'!$B:$B,W$2)*10+VLOOKUP($B132,'project vs stock'!$A$72:$W$103,22,FALSE)/9</f>
        <v>325.5</v>
      </c>
      <c r="X165" s="42">
        <f>SUMIFS('08-21addition'!$C:$C,'08-21addition'!$A:$A,$B165,'08-21addition'!$B:$B,X$2)*10+VLOOKUP($B132,'project vs stock'!$A$72:$W$103,22,FALSE)/9</f>
        <v>990.8</v>
      </c>
      <c r="Y165" s="42">
        <f>SUMIFS('08-21addition'!$C:$C,'08-21addition'!$A:$A,$B165,'08-21addition'!$B:$B,Y$2)*10+VLOOKUP($B132,'project vs stock'!$A$72:$W$103,22,FALSE)/9</f>
        <v>924.4</v>
      </c>
      <c r="Z165" s="42">
        <f>SUMIFS('08-21addition'!$C:$C,'08-21addition'!$A:$A,$B165,'08-21addition'!$B:$B,Z$2)*10+VLOOKUP($B132,'project vs stock'!$A$72:$W$103,22,FALSE)/9</f>
        <v>597</v>
      </c>
      <c r="AA165" s="42">
        <f>SUMIFS('08-21addition'!$C:$C,'08-21addition'!$A:$A,$B165,'08-21addition'!$B:$B,AA$2)*10+VLOOKUP($B132,'project vs stock'!$A$72:$W$103,22,FALSE)/9</f>
        <v>1693.2</v>
      </c>
      <c r="AB165" s="42">
        <f>SUMIFS('08-21addition'!$C:$C,'08-21addition'!$A:$A,$B165,'08-21addition'!$B:$B,AB$2)*10+VLOOKUP($B132,'project vs stock'!$A$72:$W$103,22,FALSE)/9</f>
        <v>3213.6</v>
      </c>
      <c r="AC165" s="42">
        <f>SUMIFS('08-21addition'!$C:$C,'08-21addition'!$A:$A,$B165,'08-21addition'!$B:$B,AC$2)*10+VLOOKUP($B132,'project vs stock'!$A$72:$W$103,22,FALSE)/9</f>
        <v>1773.9</v>
      </c>
      <c r="AD165" s="42">
        <f>SUMIFS('08-21addition'!$C:$C,'08-21addition'!$A:$A,$B165,'08-21addition'!$B:$B,AD$2)*10+VLOOKUP($B132,'project vs stock'!$A$72:$W$103,6,FALSE)/5</f>
        <v>0</v>
      </c>
      <c r="AE165" s="42">
        <f>SUMIFS('08-21addition'!$C:$C,'08-21addition'!$A:$A,$B165,'08-21addition'!$B:$B,AE$2)*10+VLOOKUP($B132,'project vs stock'!$A$72:$W$103,6,FALSE)/5</f>
        <v>842.6</v>
      </c>
      <c r="AF165" s="42">
        <f>SUMIFS('08-21addition'!$C:$C,'08-21addition'!$A:$A,$B165,'08-21addition'!$B:$B,AF$2)*10+VLOOKUP($B132,'project vs stock'!$A$72:$W$103,6,FALSE)/5</f>
        <v>1098.1</v>
      </c>
    </row>
    <row r="166" ht="13.85" spans="1:32">
      <c r="A166" s="27" t="s">
        <v>2348</v>
      </c>
      <c r="B166" s="44" t="s">
        <v>142</v>
      </c>
      <c r="C166" s="45"/>
      <c r="D166" s="45"/>
      <c r="E166" s="45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>
        <f>VLOOKUP($B166,'93-07workbook'!$B$179:$AH$210,COLUMN(M$1),FALSE)</f>
        <v>0</v>
      </c>
      <c r="R166" s="42">
        <f>VLOOKUP($B166,'93-07workbook'!$B$179:$AH$210,COLUMN(N$1),FALSE)</f>
        <v>134</v>
      </c>
      <c r="S166" s="42">
        <f>VLOOKUP($B166,'93-07workbook'!$B$179:$AH$210,COLUMN(O$1),FALSE)</f>
        <v>20</v>
      </c>
      <c r="T166" s="42">
        <f>VLOOKUP($B166,'93-07workbook'!$B$179:$AH$210,COLUMN(P$1),FALSE)</f>
        <v>90</v>
      </c>
      <c r="U166" s="42">
        <f>SUMIFS('08-21addition'!$C:$C,'08-21addition'!$A:$A,$B166,'08-21addition'!$B:$B,U$2)*10+VLOOKUP($B133,'project vs stock'!$A$72:$W$103,22,FALSE)/9</f>
        <v>170</v>
      </c>
      <c r="V166" s="42">
        <f>SUMIFS('08-21addition'!$C:$C,'08-21addition'!$A:$A,$B166,'08-21addition'!$B:$B,V$2)*10+VLOOKUP($B133,'project vs stock'!$A$72:$W$103,22,FALSE)/9</f>
        <v>372</v>
      </c>
      <c r="W166" s="42">
        <f>SUMIFS('08-21addition'!$C:$C,'08-21addition'!$A:$A,$B166,'08-21addition'!$B:$B,W$2)*10+VLOOKUP($B133,'project vs stock'!$A$72:$W$103,22,FALSE)/9</f>
        <v>326.2</v>
      </c>
      <c r="X166" s="42">
        <f>SUMIFS('08-21addition'!$C:$C,'08-21addition'!$A:$A,$B166,'08-21addition'!$B:$B,X$2)*10+VLOOKUP($B133,'project vs stock'!$A$72:$W$103,22,FALSE)/9</f>
        <v>445.5</v>
      </c>
      <c r="Y166" s="42">
        <f>SUMIFS('08-21addition'!$C:$C,'08-21addition'!$A:$A,$B166,'08-21addition'!$B:$B,Y$2)*10+VLOOKUP($B133,'project vs stock'!$A$72:$W$103,22,FALSE)/9</f>
        <v>792</v>
      </c>
      <c r="Z166" s="42">
        <f>SUMIFS('08-21addition'!$C:$C,'08-21addition'!$A:$A,$B166,'08-21addition'!$B:$B,Z$2)*10+VLOOKUP($B133,'project vs stock'!$A$72:$W$103,22,FALSE)/9</f>
        <v>2734</v>
      </c>
      <c r="AA166" s="42">
        <f>SUMIFS('08-21addition'!$C:$C,'08-21addition'!$A:$A,$B166,'08-21addition'!$B:$B,AA$2)*10+VLOOKUP($B133,'project vs stock'!$A$72:$W$103,22,FALSE)/9</f>
        <v>2763.5</v>
      </c>
      <c r="AB166" s="42">
        <f>SUMIFS('08-21addition'!$C:$C,'08-21addition'!$A:$A,$B166,'08-21addition'!$B:$B,AB$2)*10+VLOOKUP($B133,'project vs stock'!$A$72:$W$103,22,FALSE)/9</f>
        <v>7407.5</v>
      </c>
      <c r="AC166" s="42">
        <f>SUMIFS('08-21addition'!$C:$C,'08-21addition'!$A:$A,$B166,'08-21addition'!$B:$B,AC$2)*10+VLOOKUP($B133,'project vs stock'!$A$72:$W$103,22,FALSE)/9</f>
        <v>2624</v>
      </c>
      <c r="AD166" s="42">
        <f>SUMIFS('08-21addition'!$C:$C,'08-21addition'!$A:$A,$B166,'08-21addition'!$B:$B,AD$2)*10+VLOOKUP($B133,'project vs stock'!$A$72:$W$103,6,FALSE)/5</f>
        <v>299</v>
      </c>
      <c r="AE166" s="42">
        <f>SUMIFS('08-21addition'!$C:$C,'08-21addition'!$A:$A,$B166,'08-21addition'!$B:$B,AE$2)*10+VLOOKUP($B133,'project vs stock'!$A$72:$W$103,6,FALSE)/5</f>
        <v>742.5</v>
      </c>
      <c r="AF166" s="42">
        <f>SUMIFS('08-21addition'!$C:$C,'08-21addition'!$A:$A,$B166,'08-21addition'!$B:$B,AF$2)*10+VLOOKUP($B133,'project vs stock'!$A$72:$W$103,6,FALSE)/5</f>
        <v>649.5</v>
      </c>
    </row>
    <row r="167" s="38" customFormat="1" spans="1:32">
      <c r="A167" s="46"/>
      <c r="B167" s="46"/>
      <c r="C167" s="47"/>
      <c r="D167" s="47"/>
      <c r="E167" s="47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 ht="13.85" spans="1:32">
      <c r="A168" s="27" t="s">
        <v>17</v>
      </c>
      <c r="B168" s="41" t="s">
        <v>80</v>
      </c>
      <c r="C168" s="42">
        <f t="shared" ref="C168" si="119">SUM(C169:C199)</f>
        <v>0</v>
      </c>
      <c r="D168" s="42">
        <f t="shared" ref="D168" si="120">SUM(D169:D199)</f>
        <v>0</v>
      </c>
      <c r="E168" s="42">
        <f t="shared" ref="E168" si="121">SUM(E169:E199)</f>
        <v>0</v>
      </c>
      <c r="F168" s="42">
        <f t="shared" ref="F168" si="122">SUM(F169:F199)</f>
        <v>0</v>
      </c>
      <c r="G168" s="42">
        <f t="shared" ref="G168" si="123">SUM(G169:G199)</f>
        <v>0</v>
      </c>
      <c r="H168" s="42">
        <f t="shared" ref="H168" si="124">SUM(H169:H199)</f>
        <v>0</v>
      </c>
      <c r="I168" s="42">
        <f t="shared" ref="I168" si="125">SUM(I169:I199)</f>
        <v>0</v>
      </c>
      <c r="J168" s="42">
        <f t="shared" ref="J168" si="126">SUM(J169:J199)</f>
        <v>0</v>
      </c>
      <c r="K168" s="42">
        <f t="shared" ref="K168" si="127">SUM(K169:K199)</f>
        <v>0</v>
      </c>
      <c r="L168" s="42">
        <f t="shared" ref="L168" si="128">SUM(L169:L199)</f>
        <v>0</v>
      </c>
      <c r="M168" s="42">
        <f t="shared" ref="M168" si="129">SUM(M169:M199)</f>
        <v>0</v>
      </c>
      <c r="N168" s="42">
        <f t="shared" ref="N168" si="130">SUM(N169:N199)</f>
        <v>0</v>
      </c>
      <c r="O168" s="42">
        <f t="shared" ref="O168" si="131">SUM(O169:O199)</f>
        <v>0</v>
      </c>
      <c r="P168" s="42">
        <f t="shared" ref="P168" si="132">SUM(P169:P199)</f>
        <v>0</v>
      </c>
      <c r="Q168" s="42">
        <f t="shared" ref="Q168" si="133">SUM(Q169:Q199)</f>
        <v>0</v>
      </c>
      <c r="R168" s="42">
        <f t="shared" ref="R168" si="134">SUM(R169:R199)</f>
        <v>0</v>
      </c>
      <c r="S168" s="42">
        <f t="shared" ref="S168" si="135">SUM(S169:S199)</f>
        <v>0</v>
      </c>
      <c r="T168" s="42">
        <f t="shared" ref="T168" si="136">SUM(T169:T199)</f>
        <v>0</v>
      </c>
      <c r="U168" s="42">
        <f t="shared" ref="U168" si="137">SUM(U169:U199)</f>
        <v>0</v>
      </c>
      <c r="V168" s="42">
        <f t="shared" ref="V168" si="138">SUM(V169:V199)</f>
        <v>210</v>
      </c>
      <c r="W168" s="42">
        <f t="shared" ref="W168" si="139">SUM(W169:W199)</f>
        <v>0</v>
      </c>
      <c r="X168" s="42">
        <f t="shared" ref="X168" si="140">SUM(X169:X199)</f>
        <v>102</v>
      </c>
      <c r="Y168" s="42">
        <f t="shared" ref="Y168" si="141">SUM(Y169:Y199)</f>
        <v>12</v>
      </c>
      <c r="Z168" s="42">
        <f t="shared" ref="Z168" si="142">SUM(Z169:Z199)</f>
        <v>804</v>
      </c>
      <c r="AA168" s="42">
        <f t="shared" ref="AA168" si="143">SUM(AA169:AA199)</f>
        <v>603</v>
      </c>
      <c r="AB168" s="42">
        <f t="shared" ref="AB168" si="144">SUM(AB169:AB199)</f>
        <v>977</v>
      </c>
      <c r="AC168" s="42">
        <f t="shared" ref="AC168" si="145">SUM(AC169:AC199)</f>
        <v>2355</v>
      </c>
      <c r="AD168" s="42">
        <f t="shared" ref="AD168" si="146">SUM(AD169:AD199)</f>
        <v>0</v>
      </c>
      <c r="AE168" s="42">
        <f t="shared" ref="AE168:AF168" si="147">SUM(AE169:AE199)</f>
        <v>0</v>
      </c>
      <c r="AF168" s="43">
        <f t="shared" si="147"/>
        <v>0</v>
      </c>
    </row>
    <row r="169" ht="13.85" spans="1:32">
      <c r="A169" s="27" t="s">
        <v>17</v>
      </c>
      <c r="B169" s="44" t="s">
        <v>82</v>
      </c>
      <c r="C169" s="45"/>
      <c r="D169" s="45"/>
      <c r="E169" s="45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>
        <f>IFERROR(VLOOKUP($B169,'Offshore Wind'!$J$19:$V$31,COLUMN(F1),FALSE),0)</f>
        <v>0</v>
      </c>
      <c r="W169" s="42">
        <f>IFERROR(VLOOKUP($B169,'Offshore Wind'!$J$19:$V$31,COLUMN(G1),FALSE),0)</f>
        <v>0</v>
      </c>
      <c r="X169" s="42">
        <f>IFERROR(VLOOKUP($B169,'Offshore Wind'!$J$19:$V$31,COLUMN(H1),FALSE),0)</f>
        <v>0</v>
      </c>
      <c r="Y169" s="42">
        <f>IFERROR(VLOOKUP($B169,'Offshore Wind'!$J$19:$V$31,COLUMN(I1),FALSE),0)</f>
        <v>0</v>
      </c>
      <c r="Z169" s="42">
        <f>IFERROR(VLOOKUP($B169,'Offshore Wind'!$J$19:$V$31,COLUMN(J1),FALSE),0)</f>
        <v>0</v>
      </c>
      <c r="AA169" s="42">
        <f>IFERROR(VLOOKUP($B169,'Offshore Wind'!$J$19:$V$31,COLUMN(K1),FALSE),0)</f>
        <v>0</v>
      </c>
      <c r="AB169" s="42">
        <f>IFERROR(VLOOKUP($B169,'Offshore Wind'!$J$19:$V$31,COLUMN(L1),FALSE),0)</f>
        <v>0</v>
      </c>
      <c r="AC169" s="42">
        <f>IFERROR(VLOOKUP($B169,'Offshore Wind'!$J$19:$V$31,COLUMN(M1),FALSE),0)</f>
        <v>0</v>
      </c>
      <c r="AD169" s="42">
        <f>IFERROR(VLOOKUP($B169,'Offshore Wind'!$J$19:$V$31,COLUMN(N1),FALSE),0)</f>
        <v>0</v>
      </c>
      <c r="AE169" s="42">
        <f>IFERROR(VLOOKUP($B169,'Offshore Wind'!$J$19:$V$31,COLUMN(O1),FALSE),0)</f>
        <v>0</v>
      </c>
      <c r="AF169" s="43">
        <f>IFERROR(VLOOKUP($B169,'Offshore Wind'!$J$19:$V$31,COLUMN(P1),FALSE),0)</f>
        <v>0</v>
      </c>
    </row>
    <row r="170" ht="13.85" spans="1:32">
      <c r="A170" s="27" t="s">
        <v>17</v>
      </c>
      <c r="B170" s="44" t="s">
        <v>84</v>
      </c>
      <c r="C170" s="45"/>
      <c r="D170" s="45"/>
      <c r="E170" s="45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>
        <f>IFERROR(VLOOKUP($B170,'Offshore Wind'!$J$19:$V$31,COLUMN(F2),FALSE),0)</f>
        <v>0</v>
      </c>
      <c r="W170" s="42">
        <f>IFERROR(VLOOKUP($B170,'Offshore Wind'!$J$19:$V$31,COLUMN(G2),FALSE),0)</f>
        <v>0</v>
      </c>
      <c r="X170" s="42">
        <f>IFERROR(VLOOKUP($B170,'Offshore Wind'!$J$19:$V$31,COLUMN(H2),FALSE),0)</f>
        <v>0</v>
      </c>
      <c r="Y170" s="42">
        <f>IFERROR(VLOOKUP($B170,'Offshore Wind'!$J$19:$V$31,COLUMN(I2),FALSE),0)</f>
        <v>0</v>
      </c>
      <c r="Z170" s="42">
        <f>IFERROR(VLOOKUP($B170,'Offshore Wind'!$J$19:$V$31,COLUMN(J2),FALSE),0)</f>
        <v>0</v>
      </c>
      <c r="AA170" s="42">
        <f>IFERROR(VLOOKUP($B170,'Offshore Wind'!$J$19:$V$31,COLUMN(K2),FALSE),0)</f>
        <v>0</v>
      </c>
      <c r="AB170" s="42">
        <f>IFERROR(VLOOKUP($B170,'Offshore Wind'!$J$19:$V$31,COLUMN(L2),FALSE),0)</f>
        <v>0</v>
      </c>
      <c r="AC170" s="42">
        <f>IFERROR(VLOOKUP($B170,'Offshore Wind'!$J$19:$V$31,COLUMN(M2),FALSE),0)</f>
        <v>90</v>
      </c>
      <c r="AD170" s="42">
        <f>IFERROR(VLOOKUP($B170,'Offshore Wind'!$J$19:$V$31,COLUMN(N2),FALSE),0)</f>
        <v>0</v>
      </c>
      <c r="AE170" s="42">
        <f>IFERROR(VLOOKUP($B170,'Offshore Wind'!$J$19:$V$31,COLUMN(O2),FALSE),0)</f>
        <v>0</v>
      </c>
      <c r="AF170" s="43">
        <f>IFERROR(VLOOKUP($B170,'Offshore Wind'!$J$19:$V$31,COLUMN(P2),FALSE),0)</f>
        <v>0</v>
      </c>
    </row>
    <row r="171" ht="13.85" spans="1:32">
      <c r="A171" s="27" t="s">
        <v>17</v>
      </c>
      <c r="B171" s="44" t="s">
        <v>86</v>
      </c>
      <c r="C171" s="45"/>
      <c r="D171" s="45"/>
      <c r="E171" s="45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>
        <f>IFERROR(VLOOKUP($B171,'Offshore Wind'!$J$19:$V$31,COLUMN(F3),FALSE),0)</f>
        <v>0</v>
      </c>
      <c r="W171" s="42">
        <f>IFERROR(VLOOKUP($B171,'Offshore Wind'!$J$19:$V$31,COLUMN(G3),FALSE),0)</f>
        <v>0</v>
      </c>
      <c r="X171" s="42">
        <f>IFERROR(VLOOKUP($B171,'Offshore Wind'!$J$19:$V$31,COLUMN(H3),FALSE),0)</f>
        <v>0</v>
      </c>
      <c r="Y171" s="42">
        <f>IFERROR(VLOOKUP($B171,'Offshore Wind'!$J$19:$V$31,COLUMN(I3),FALSE),0)</f>
        <v>0</v>
      </c>
      <c r="Z171" s="42">
        <f>IFERROR(VLOOKUP($B171,'Offshore Wind'!$J$19:$V$31,COLUMN(J3),FALSE),0)</f>
        <v>0</v>
      </c>
      <c r="AA171" s="42">
        <f>IFERROR(VLOOKUP($B171,'Offshore Wind'!$J$19:$V$31,COLUMN(K3),FALSE),0)</f>
        <v>0</v>
      </c>
      <c r="AB171" s="42">
        <f>IFERROR(VLOOKUP($B171,'Offshore Wind'!$J$19:$V$31,COLUMN(L3),FALSE),0)</f>
        <v>0</v>
      </c>
      <c r="AC171" s="42">
        <f>IFERROR(VLOOKUP($B171,'Offshore Wind'!$J$19:$V$31,COLUMN(M3),FALSE),0)</f>
        <v>0</v>
      </c>
      <c r="AD171" s="42">
        <f>IFERROR(VLOOKUP($B171,'Offshore Wind'!$J$19:$V$31,COLUMN(N3),FALSE),0)</f>
        <v>0</v>
      </c>
      <c r="AE171" s="42">
        <f>IFERROR(VLOOKUP($B171,'Offshore Wind'!$J$19:$V$31,COLUMN(O3),FALSE),0)</f>
        <v>0</v>
      </c>
      <c r="AF171" s="43">
        <f>IFERROR(VLOOKUP($B171,'Offshore Wind'!$J$19:$V$31,COLUMN(P3),FALSE),0)</f>
        <v>0</v>
      </c>
    </row>
    <row r="172" ht="13.85" spans="1:32">
      <c r="A172" s="27" t="s">
        <v>17</v>
      </c>
      <c r="B172" s="44" t="s">
        <v>88</v>
      </c>
      <c r="C172" s="45"/>
      <c r="D172" s="45"/>
      <c r="E172" s="45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>
        <f>IFERROR(VLOOKUP($B172,'Offshore Wind'!$J$19:$V$31,COLUMN(F4),FALSE),0)</f>
        <v>0</v>
      </c>
      <c r="W172" s="42">
        <f>IFERROR(VLOOKUP($B172,'Offshore Wind'!$J$19:$V$31,COLUMN(G4),FALSE),0)</f>
        <v>0</v>
      </c>
      <c r="X172" s="42">
        <f>IFERROR(VLOOKUP($B172,'Offshore Wind'!$J$19:$V$31,COLUMN(H4),FALSE),0)</f>
        <v>0</v>
      </c>
      <c r="Y172" s="42">
        <f>IFERROR(VLOOKUP($B172,'Offshore Wind'!$J$19:$V$31,COLUMN(I4),FALSE),0)</f>
        <v>0</v>
      </c>
      <c r="Z172" s="42">
        <f>IFERROR(VLOOKUP($B172,'Offshore Wind'!$J$19:$V$31,COLUMN(J4),FALSE),0)</f>
        <v>0</v>
      </c>
      <c r="AA172" s="42">
        <f>IFERROR(VLOOKUP($B172,'Offshore Wind'!$J$19:$V$31,COLUMN(K4),FALSE),0)</f>
        <v>0</v>
      </c>
      <c r="AB172" s="42">
        <f>IFERROR(VLOOKUP($B172,'Offshore Wind'!$J$19:$V$31,COLUMN(L4),FALSE),0)</f>
        <v>0</v>
      </c>
      <c r="AC172" s="42">
        <f>IFERROR(VLOOKUP($B172,'Offshore Wind'!$J$19:$V$31,COLUMN(M4),FALSE),0)</f>
        <v>0</v>
      </c>
      <c r="AD172" s="42">
        <f>IFERROR(VLOOKUP($B172,'Offshore Wind'!$J$19:$V$31,COLUMN(N4),FALSE),0)</f>
        <v>0</v>
      </c>
      <c r="AE172" s="42">
        <f>IFERROR(VLOOKUP($B172,'Offshore Wind'!$J$19:$V$31,COLUMN(O4),FALSE),0)</f>
        <v>0</v>
      </c>
      <c r="AF172" s="43">
        <f>IFERROR(VLOOKUP($B172,'Offshore Wind'!$J$19:$V$31,COLUMN(P4),FALSE),0)</f>
        <v>0</v>
      </c>
    </row>
    <row r="173" ht="13.85" spans="1:32">
      <c r="A173" s="27" t="s">
        <v>17</v>
      </c>
      <c r="B173" s="44" t="s">
        <v>90</v>
      </c>
      <c r="C173" s="45"/>
      <c r="D173" s="45"/>
      <c r="E173" s="45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>
        <f>IFERROR(VLOOKUP($B173,'Offshore Wind'!$J$19:$V$31,COLUMN(F5),FALSE),0)</f>
        <v>0</v>
      </c>
      <c r="W173" s="42">
        <f>IFERROR(VLOOKUP($B173,'Offshore Wind'!$J$19:$V$31,COLUMN(G5),FALSE),0)</f>
        <v>0</v>
      </c>
      <c r="X173" s="42">
        <f>IFERROR(VLOOKUP($B173,'Offshore Wind'!$J$19:$V$31,COLUMN(H5),FALSE),0)</f>
        <v>0</v>
      </c>
      <c r="Y173" s="42">
        <f>IFERROR(VLOOKUP($B173,'Offshore Wind'!$J$19:$V$31,COLUMN(I5),FALSE),0)</f>
        <v>0</v>
      </c>
      <c r="Z173" s="42">
        <f>IFERROR(VLOOKUP($B173,'Offshore Wind'!$J$19:$V$31,COLUMN(J5),FALSE),0)</f>
        <v>0</v>
      </c>
      <c r="AA173" s="42">
        <f>IFERROR(VLOOKUP($B173,'Offshore Wind'!$J$19:$V$31,COLUMN(K5),FALSE),0)</f>
        <v>0</v>
      </c>
      <c r="AB173" s="42">
        <f>IFERROR(VLOOKUP($B173,'Offshore Wind'!$J$19:$V$31,COLUMN(L5),FALSE),0)</f>
        <v>0</v>
      </c>
      <c r="AC173" s="42">
        <f>IFERROR(VLOOKUP($B173,'Offshore Wind'!$J$19:$V$31,COLUMN(M5),FALSE),0)</f>
        <v>0</v>
      </c>
      <c r="AD173" s="42">
        <f>IFERROR(VLOOKUP($B173,'Offshore Wind'!$J$19:$V$31,COLUMN(N5),FALSE),0)</f>
        <v>0</v>
      </c>
      <c r="AE173" s="42">
        <f>IFERROR(VLOOKUP($B173,'Offshore Wind'!$J$19:$V$31,COLUMN(O5),FALSE),0)</f>
        <v>0</v>
      </c>
      <c r="AF173" s="43">
        <f>IFERROR(VLOOKUP($B173,'Offshore Wind'!$J$19:$V$31,COLUMN(P5),FALSE),0)</f>
        <v>0</v>
      </c>
    </row>
    <row r="174" ht="13.85" spans="1:32">
      <c r="A174" s="27" t="s">
        <v>17</v>
      </c>
      <c r="B174" s="44" t="s">
        <v>92</v>
      </c>
      <c r="C174" s="45"/>
      <c r="D174" s="45"/>
      <c r="E174" s="45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>
        <f>IFERROR(VLOOKUP($B174,'Offshore Wind'!$J$19:$V$31,COLUMN(F6),FALSE),0)</f>
        <v>0</v>
      </c>
      <c r="W174" s="42">
        <f>IFERROR(VLOOKUP($B174,'Offshore Wind'!$J$19:$V$31,COLUMN(G6),FALSE),0)</f>
        <v>0</v>
      </c>
      <c r="X174" s="42">
        <f>IFERROR(VLOOKUP($B174,'Offshore Wind'!$J$19:$V$31,COLUMN(H6),FALSE),0)</f>
        <v>0</v>
      </c>
      <c r="Y174" s="42">
        <f>IFERROR(VLOOKUP($B174,'Offshore Wind'!$J$19:$V$31,COLUMN(I6),FALSE),0)</f>
        <v>0</v>
      </c>
      <c r="Z174" s="42">
        <f>IFERROR(VLOOKUP($B174,'Offshore Wind'!$J$19:$V$31,COLUMN(J6),FALSE),0)</f>
        <v>0</v>
      </c>
      <c r="AA174" s="42">
        <f>IFERROR(VLOOKUP($B174,'Offshore Wind'!$J$19:$V$31,COLUMN(K6),FALSE),0)</f>
        <v>0</v>
      </c>
      <c r="AB174" s="42">
        <f>IFERROR(VLOOKUP($B174,'Offshore Wind'!$J$19:$V$31,COLUMN(L6),FALSE),0)</f>
        <v>0</v>
      </c>
      <c r="AC174" s="42">
        <f>IFERROR(VLOOKUP($B174,'Offshore Wind'!$J$19:$V$31,COLUMN(M6),FALSE),0)</f>
        <v>0</v>
      </c>
      <c r="AD174" s="42">
        <f>IFERROR(VLOOKUP($B174,'Offshore Wind'!$J$19:$V$31,COLUMN(N6),FALSE),0)</f>
        <v>0</v>
      </c>
      <c r="AE174" s="42">
        <f>IFERROR(VLOOKUP($B174,'Offshore Wind'!$J$19:$V$31,COLUMN(O6),FALSE),0)</f>
        <v>0</v>
      </c>
      <c r="AF174" s="43">
        <f>IFERROR(VLOOKUP($B174,'Offshore Wind'!$J$19:$V$31,COLUMN(P6),FALSE),0)</f>
        <v>0</v>
      </c>
    </row>
    <row r="175" ht="13.85" spans="1:32">
      <c r="A175" s="27" t="s">
        <v>17</v>
      </c>
      <c r="B175" s="44" t="s">
        <v>94</v>
      </c>
      <c r="C175" s="45"/>
      <c r="D175" s="45"/>
      <c r="E175" s="45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>
        <f>IFERROR(VLOOKUP($B175,'Offshore Wind'!$J$19:$V$31,COLUMN(F7),FALSE),0)</f>
        <v>0</v>
      </c>
      <c r="W175" s="42">
        <f>IFERROR(VLOOKUP($B175,'Offshore Wind'!$J$19:$V$31,COLUMN(G7),FALSE),0)</f>
        <v>0</v>
      </c>
      <c r="X175" s="42">
        <f>IFERROR(VLOOKUP($B175,'Offshore Wind'!$J$19:$V$31,COLUMN(H7),FALSE),0)</f>
        <v>0</v>
      </c>
      <c r="Y175" s="42">
        <f>IFERROR(VLOOKUP($B175,'Offshore Wind'!$J$19:$V$31,COLUMN(I7),FALSE),0)</f>
        <v>0</v>
      </c>
      <c r="Z175" s="42">
        <f>IFERROR(VLOOKUP($B175,'Offshore Wind'!$J$19:$V$31,COLUMN(J7),FALSE),0)</f>
        <v>0</v>
      </c>
      <c r="AA175" s="42">
        <f>IFERROR(VLOOKUP($B175,'Offshore Wind'!$J$19:$V$31,COLUMN(K7),FALSE),0)</f>
        <v>0</v>
      </c>
      <c r="AB175" s="42">
        <f>IFERROR(VLOOKUP($B175,'Offshore Wind'!$J$19:$V$31,COLUMN(L7),FALSE),0)</f>
        <v>0</v>
      </c>
      <c r="AC175" s="42">
        <f>IFERROR(VLOOKUP($B175,'Offshore Wind'!$J$19:$V$31,COLUMN(M7),FALSE),0)</f>
        <v>0</v>
      </c>
      <c r="AD175" s="42">
        <f>IFERROR(VLOOKUP($B175,'Offshore Wind'!$J$19:$V$31,COLUMN(N7),FALSE),0)</f>
        <v>0</v>
      </c>
      <c r="AE175" s="42">
        <f>IFERROR(VLOOKUP($B175,'Offshore Wind'!$J$19:$V$31,COLUMN(O7),FALSE),0)</f>
        <v>0</v>
      </c>
      <c r="AF175" s="43">
        <f>IFERROR(VLOOKUP($B175,'Offshore Wind'!$J$19:$V$31,COLUMN(P7),FALSE),0)</f>
        <v>0</v>
      </c>
    </row>
    <row r="176" ht="13.85" spans="1:32">
      <c r="A176" s="27" t="s">
        <v>17</v>
      </c>
      <c r="B176" s="44" t="s">
        <v>96</v>
      </c>
      <c r="C176" s="45"/>
      <c r="D176" s="45"/>
      <c r="E176" s="45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>
        <f>IFERROR(VLOOKUP($B176,'Offshore Wind'!$J$19:$V$31,COLUMN(F8),FALSE),0)</f>
        <v>0</v>
      </c>
      <c r="W176" s="42">
        <f>IFERROR(VLOOKUP($B176,'Offshore Wind'!$J$19:$V$31,COLUMN(G8),FALSE),0)</f>
        <v>0</v>
      </c>
      <c r="X176" s="42">
        <f>IFERROR(VLOOKUP($B176,'Offshore Wind'!$J$19:$V$31,COLUMN(H8),FALSE),0)</f>
        <v>0</v>
      </c>
      <c r="Y176" s="42">
        <f>IFERROR(VLOOKUP($B176,'Offshore Wind'!$J$19:$V$31,COLUMN(I8),FALSE),0)</f>
        <v>0</v>
      </c>
      <c r="Z176" s="42">
        <f>IFERROR(VLOOKUP($B176,'Offshore Wind'!$J$19:$V$31,COLUMN(J8),FALSE),0)</f>
        <v>0</v>
      </c>
      <c r="AA176" s="42">
        <f>IFERROR(VLOOKUP($B176,'Offshore Wind'!$J$19:$V$31,COLUMN(K8),FALSE),0)</f>
        <v>0</v>
      </c>
      <c r="AB176" s="42">
        <f>IFERROR(VLOOKUP($B176,'Offshore Wind'!$J$19:$V$31,COLUMN(L8),FALSE),0)</f>
        <v>0</v>
      </c>
      <c r="AC176" s="42">
        <f>IFERROR(VLOOKUP($B176,'Offshore Wind'!$J$19:$V$31,COLUMN(M8),FALSE),0)</f>
        <v>0</v>
      </c>
      <c r="AD176" s="42">
        <f>IFERROR(VLOOKUP($B176,'Offshore Wind'!$J$19:$V$31,COLUMN(N8),FALSE),0)</f>
        <v>0</v>
      </c>
      <c r="AE176" s="42">
        <f>IFERROR(VLOOKUP($B176,'Offshore Wind'!$J$19:$V$31,COLUMN(O8),FALSE),0)</f>
        <v>0</v>
      </c>
      <c r="AF176" s="43">
        <f>IFERROR(VLOOKUP($B176,'Offshore Wind'!$J$19:$V$31,COLUMN(P8),FALSE),0)</f>
        <v>0</v>
      </c>
    </row>
    <row r="177" ht="13.85" spans="1:32">
      <c r="A177" s="27" t="s">
        <v>17</v>
      </c>
      <c r="B177" s="44" t="s">
        <v>98</v>
      </c>
      <c r="C177" s="45"/>
      <c r="D177" s="45"/>
      <c r="E177" s="45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>
        <f>IFERROR(VLOOKUP($B177,'Offshore Wind'!$J$19:$V$31,COLUMN(F9),FALSE),0)</f>
        <v>15</v>
      </c>
      <c r="W177" s="42">
        <f>IFERROR(VLOOKUP($B177,'Offshore Wind'!$J$19:$V$31,COLUMN(G9),FALSE),0)</f>
        <v>0</v>
      </c>
      <c r="X177" s="42">
        <f>IFERROR(VLOOKUP($B177,'Offshore Wind'!$J$19:$V$31,COLUMN(H9),FALSE),0)</f>
        <v>102</v>
      </c>
      <c r="Y177" s="42">
        <f>IFERROR(VLOOKUP($B177,'Offshore Wind'!$J$19:$V$31,COLUMN(I9),FALSE),0)</f>
        <v>0</v>
      </c>
      <c r="Z177" s="42">
        <f>IFERROR(VLOOKUP($B177,'Offshore Wind'!$J$19:$V$31,COLUMN(J9),FALSE),0)</f>
        <v>0</v>
      </c>
      <c r="AA177" s="42">
        <f>IFERROR(VLOOKUP($B177,'Offshore Wind'!$J$19:$V$31,COLUMN(K9),FALSE),0)</f>
        <v>101</v>
      </c>
      <c r="AB177" s="42">
        <f>IFERROR(VLOOKUP($B177,'Offshore Wind'!$J$19:$V$31,COLUMN(L9),FALSE),0)</f>
        <v>0</v>
      </c>
      <c r="AC177" s="42">
        <f>IFERROR(VLOOKUP($B177,'Offshore Wind'!$J$19:$V$31,COLUMN(M9),FALSE),0)</f>
        <v>106</v>
      </c>
      <c r="AD177" s="42">
        <f>IFERROR(VLOOKUP($B177,'Offshore Wind'!$J$19:$V$31,COLUMN(N9),FALSE),0)</f>
        <v>0</v>
      </c>
      <c r="AE177" s="42">
        <f>IFERROR(VLOOKUP($B177,'Offshore Wind'!$J$19:$V$31,COLUMN(O9),FALSE),0)</f>
        <v>0</v>
      </c>
      <c r="AF177" s="43">
        <f>IFERROR(VLOOKUP($B177,'Offshore Wind'!$J$19:$V$31,COLUMN(P9),FALSE),0)</f>
        <v>0</v>
      </c>
    </row>
    <row r="178" ht="13.85" spans="1:32">
      <c r="A178" s="27" t="s">
        <v>17</v>
      </c>
      <c r="B178" s="44" t="s">
        <v>100</v>
      </c>
      <c r="C178" s="45"/>
      <c r="D178" s="45"/>
      <c r="E178" s="45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>
        <f>IFERROR(VLOOKUP($B178,'Offshore Wind'!$J$19:$V$31,COLUMN(F10),FALSE),0)</f>
        <v>195</v>
      </c>
      <c r="W178" s="42">
        <f>IFERROR(VLOOKUP($B178,'Offshore Wind'!$J$19:$V$31,COLUMN(G10),FALSE),0)</f>
        <v>0</v>
      </c>
      <c r="X178" s="42">
        <f>IFERROR(VLOOKUP($B178,'Offshore Wind'!$J$19:$V$31,COLUMN(H10),FALSE),0)</f>
        <v>0</v>
      </c>
      <c r="Y178" s="42">
        <f>IFERROR(VLOOKUP($B178,'Offshore Wind'!$J$19:$V$31,COLUMN(I10),FALSE),0)</f>
        <v>12</v>
      </c>
      <c r="Z178" s="42">
        <f>IFERROR(VLOOKUP($B178,'Offshore Wind'!$J$19:$V$31,COLUMN(J10),FALSE),0)</f>
        <v>754</v>
      </c>
      <c r="AA178" s="42">
        <f>IFERROR(VLOOKUP($B178,'Offshore Wind'!$J$19:$V$31,COLUMN(K10),FALSE),0)</f>
        <v>502</v>
      </c>
      <c r="AB178" s="42">
        <f>IFERROR(VLOOKUP($B178,'Offshore Wind'!$J$19:$V$31,COLUMN(L10),FALSE),0)</f>
        <v>900</v>
      </c>
      <c r="AC178" s="42">
        <f>IFERROR(VLOOKUP($B178,'Offshore Wind'!$J$19:$V$31,COLUMN(M10),FALSE),0)</f>
        <v>1709</v>
      </c>
      <c r="AD178" s="42">
        <f>IFERROR(VLOOKUP($B178,'Offshore Wind'!$J$19:$V$31,COLUMN(N10),FALSE),0)</f>
        <v>0</v>
      </c>
      <c r="AE178" s="42">
        <f>IFERROR(VLOOKUP($B178,'Offshore Wind'!$J$19:$V$31,COLUMN(O10),FALSE),0)</f>
        <v>0</v>
      </c>
      <c r="AF178" s="43">
        <f>IFERROR(VLOOKUP($B178,'Offshore Wind'!$J$19:$V$31,COLUMN(P10),FALSE),0)</f>
        <v>0</v>
      </c>
    </row>
    <row r="179" ht="13.85" spans="1:32">
      <c r="A179" s="27" t="s">
        <v>17</v>
      </c>
      <c r="B179" s="44" t="s">
        <v>102</v>
      </c>
      <c r="C179" s="45"/>
      <c r="D179" s="45"/>
      <c r="E179" s="45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>
        <f>IFERROR(VLOOKUP($B179,'Offshore Wind'!$J$19:$V$31,COLUMN(F11),FALSE),0)</f>
        <v>0</v>
      </c>
      <c r="W179" s="42">
        <f>IFERROR(VLOOKUP($B179,'Offshore Wind'!$J$19:$V$31,COLUMN(G11),FALSE),0)</f>
        <v>0</v>
      </c>
      <c r="X179" s="42">
        <f>IFERROR(VLOOKUP($B179,'Offshore Wind'!$J$19:$V$31,COLUMN(H11),FALSE),0)</f>
        <v>0</v>
      </c>
      <c r="Y179" s="42">
        <f>IFERROR(VLOOKUP($B179,'Offshore Wind'!$J$19:$V$31,COLUMN(I11),FALSE),0)</f>
        <v>0</v>
      </c>
      <c r="Z179" s="42">
        <f>IFERROR(VLOOKUP($B179,'Offshore Wind'!$J$19:$V$31,COLUMN(J11),FALSE),0)</f>
        <v>0</v>
      </c>
      <c r="AA179" s="42">
        <f>IFERROR(VLOOKUP($B179,'Offshore Wind'!$J$19:$V$31,COLUMN(K11),FALSE),0)</f>
        <v>0</v>
      </c>
      <c r="AB179" s="42">
        <f>IFERROR(VLOOKUP($B179,'Offshore Wind'!$J$19:$V$31,COLUMN(L11),FALSE),0)</f>
        <v>0</v>
      </c>
      <c r="AC179" s="42">
        <f>IFERROR(VLOOKUP($B179,'Offshore Wind'!$J$19:$V$31,COLUMN(M11),FALSE),0)</f>
        <v>252</v>
      </c>
      <c r="AD179" s="42">
        <f>IFERROR(VLOOKUP($B179,'Offshore Wind'!$J$19:$V$31,COLUMN(N11),FALSE),0)</f>
        <v>0</v>
      </c>
      <c r="AE179" s="42">
        <f>IFERROR(VLOOKUP($B179,'Offshore Wind'!$J$19:$V$31,COLUMN(O11),FALSE),0)</f>
        <v>0</v>
      </c>
      <c r="AF179" s="43">
        <f>IFERROR(VLOOKUP($B179,'Offshore Wind'!$J$19:$V$31,COLUMN(P11),FALSE),0)</f>
        <v>0</v>
      </c>
    </row>
    <row r="180" ht="13.85" spans="1:32">
      <c r="A180" s="27" t="s">
        <v>17</v>
      </c>
      <c r="B180" s="44" t="s">
        <v>104</v>
      </c>
      <c r="C180" s="45"/>
      <c r="D180" s="45"/>
      <c r="E180" s="45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>
        <f>IFERROR(VLOOKUP($B180,'Offshore Wind'!$J$19:$V$31,COLUMN(F12),FALSE),0)</f>
        <v>0</v>
      </c>
      <c r="W180" s="42">
        <f>IFERROR(VLOOKUP($B180,'Offshore Wind'!$J$19:$V$31,COLUMN(G12),FALSE),0)</f>
        <v>0</v>
      </c>
      <c r="X180" s="42">
        <f>IFERROR(VLOOKUP($B180,'Offshore Wind'!$J$19:$V$31,COLUMN(H12),FALSE),0)</f>
        <v>0</v>
      </c>
      <c r="Y180" s="42">
        <f>IFERROR(VLOOKUP($B180,'Offshore Wind'!$J$19:$V$31,COLUMN(I12),FALSE),0)</f>
        <v>0</v>
      </c>
      <c r="Z180" s="42">
        <f>IFERROR(VLOOKUP($B180,'Offshore Wind'!$J$19:$V$31,COLUMN(J12),FALSE),0)</f>
        <v>0</v>
      </c>
      <c r="AA180" s="42">
        <f>IFERROR(VLOOKUP($B180,'Offshore Wind'!$J$19:$V$31,COLUMN(K12),FALSE),0)</f>
        <v>0</v>
      </c>
      <c r="AB180" s="42">
        <f>IFERROR(VLOOKUP($B180,'Offshore Wind'!$J$19:$V$31,COLUMN(L12),FALSE),0)</f>
        <v>0</v>
      </c>
      <c r="AC180" s="42">
        <f>IFERROR(VLOOKUP($B180,'Offshore Wind'!$J$19:$V$31,COLUMN(M12),FALSE),0)</f>
        <v>0</v>
      </c>
      <c r="AD180" s="42">
        <f>IFERROR(VLOOKUP($B180,'Offshore Wind'!$J$19:$V$31,COLUMN(N12),FALSE),0)</f>
        <v>0</v>
      </c>
      <c r="AE180" s="42">
        <f>IFERROR(VLOOKUP($B180,'Offshore Wind'!$J$19:$V$31,COLUMN(O12),FALSE),0)</f>
        <v>0</v>
      </c>
      <c r="AF180" s="43">
        <f>IFERROR(VLOOKUP($B180,'Offshore Wind'!$J$19:$V$31,COLUMN(P12),FALSE),0)</f>
        <v>0</v>
      </c>
    </row>
    <row r="181" ht="13.85" spans="1:32">
      <c r="A181" s="27" t="s">
        <v>17</v>
      </c>
      <c r="B181" s="44" t="s">
        <v>106</v>
      </c>
      <c r="C181" s="45"/>
      <c r="D181" s="45"/>
      <c r="E181" s="45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>
        <f>IFERROR(VLOOKUP($B181,'Offshore Wind'!$J$19:$V$31,COLUMN(F13),FALSE),0)</f>
        <v>0</v>
      </c>
      <c r="W181" s="42">
        <f>IFERROR(VLOOKUP($B181,'Offshore Wind'!$J$19:$V$31,COLUMN(G13),FALSE),0)</f>
        <v>0</v>
      </c>
      <c r="X181" s="42">
        <f>IFERROR(VLOOKUP($B181,'Offshore Wind'!$J$19:$V$31,COLUMN(H13),FALSE),0)</f>
        <v>0</v>
      </c>
      <c r="Y181" s="42">
        <f>IFERROR(VLOOKUP($B181,'Offshore Wind'!$J$19:$V$31,COLUMN(I13),FALSE),0)</f>
        <v>0</v>
      </c>
      <c r="Z181" s="42">
        <f>IFERROR(VLOOKUP($B181,'Offshore Wind'!$J$19:$V$31,COLUMN(J13),FALSE),0)</f>
        <v>50</v>
      </c>
      <c r="AA181" s="42">
        <f>IFERROR(VLOOKUP($B181,'Offshore Wind'!$J$19:$V$31,COLUMN(K13),FALSE),0)</f>
        <v>0</v>
      </c>
      <c r="AB181" s="42">
        <f>IFERROR(VLOOKUP($B181,'Offshore Wind'!$J$19:$V$31,COLUMN(L13),FALSE),0)</f>
        <v>77</v>
      </c>
      <c r="AC181" s="42">
        <f>IFERROR(VLOOKUP($B181,'Offshore Wind'!$J$19:$V$31,COLUMN(M13),FALSE),0)</f>
        <v>0</v>
      </c>
      <c r="AD181" s="42">
        <f>IFERROR(VLOOKUP($B181,'Offshore Wind'!$J$19:$V$31,COLUMN(N13),FALSE),0)</f>
        <v>0</v>
      </c>
      <c r="AE181" s="42">
        <f>IFERROR(VLOOKUP($B181,'Offshore Wind'!$J$19:$V$31,COLUMN(O13),FALSE),0)</f>
        <v>0</v>
      </c>
      <c r="AF181" s="43">
        <f>IFERROR(VLOOKUP($B181,'Offshore Wind'!$J$19:$V$31,COLUMN(P13),FALSE),0)</f>
        <v>0</v>
      </c>
    </row>
    <row r="182" ht="13.85" spans="1:32">
      <c r="A182" s="27" t="s">
        <v>17</v>
      </c>
      <c r="B182" s="44" t="s">
        <v>108</v>
      </c>
      <c r="C182" s="45"/>
      <c r="D182" s="45"/>
      <c r="E182" s="45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>
        <f>IFERROR(VLOOKUP($B182,'Offshore Wind'!$J$19:$V$31,COLUMN(F14),FALSE),0)</f>
        <v>0</v>
      </c>
      <c r="W182" s="42">
        <f>IFERROR(VLOOKUP($B182,'Offshore Wind'!$J$19:$V$31,COLUMN(G14),FALSE),0)</f>
        <v>0</v>
      </c>
      <c r="X182" s="42">
        <f>IFERROR(VLOOKUP($B182,'Offshore Wind'!$J$19:$V$31,COLUMN(H14),FALSE),0)</f>
        <v>0</v>
      </c>
      <c r="Y182" s="42">
        <f>IFERROR(VLOOKUP($B182,'Offshore Wind'!$J$19:$V$31,COLUMN(I14),FALSE),0)</f>
        <v>0</v>
      </c>
      <c r="Z182" s="42">
        <f>IFERROR(VLOOKUP($B182,'Offshore Wind'!$J$19:$V$31,COLUMN(J14),FALSE),0)</f>
        <v>0</v>
      </c>
      <c r="AA182" s="42">
        <f>IFERROR(VLOOKUP($B182,'Offshore Wind'!$J$19:$V$31,COLUMN(K14),FALSE),0)</f>
        <v>0</v>
      </c>
      <c r="AB182" s="42">
        <f>IFERROR(VLOOKUP($B182,'Offshore Wind'!$J$19:$V$31,COLUMN(L14),FALSE),0)</f>
        <v>0</v>
      </c>
      <c r="AC182" s="42">
        <f>IFERROR(VLOOKUP($B182,'Offshore Wind'!$J$19:$V$31,COLUMN(M14),FALSE),0)</f>
        <v>0</v>
      </c>
      <c r="AD182" s="42">
        <f>IFERROR(VLOOKUP($B182,'Offshore Wind'!$J$19:$V$31,COLUMN(N14),FALSE),0)</f>
        <v>0</v>
      </c>
      <c r="AE182" s="42">
        <f>IFERROR(VLOOKUP($B182,'Offshore Wind'!$J$19:$V$31,COLUMN(O14),FALSE),0)</f>
        <v>0</v>
      </c>
      <c r="AF182" s="43">
        <f>IFERROR(VLOOKUP($B182,'Offshore Wind'!$J$19:$V$31,COLUMN(P14),FALSE),0)</f>
        <v>0</v>
      </c>
    </row>
    <row r="183" ht="13.85" spans="1:32">
      <c r="A183" s="27" t="s">
        <v>17</v>
      </c>
      <c r="B183" s="44" t="s">
        <v>110</v>
      </c>
      <c r="C183" s="45"/>
      <c r="D183" s="45"/>
      <c r="E183" s="45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>
        <f>IFERROR(VLOOKUP($B183,'Offshore Wind'!$J$19:$V$31,COLUMN(F15),FALSE),0)</f>
        <v>0</v>
      </c>
      <c r="W183" s="42">
        <f>IFERROR(VLOOKUP($B183,'Offshore Wind'!$J$19:$V$31,COLUMN(G15),FALSE),0)</f>
        <v>0</v>
      </c>
      <c r="X183" s="42">
        <f>IFERROR(VLOOKUP($B183,'Offshore Wind'!$J$19:$V$31,COLUMN(H15),FALSE),0)</f>
        <v>0</v>
      </c>
      <c r="Y183" s="42">
        <f>IFERROR(VLOOKUP($B183,'Offshore Wind'!$J$19:$V$31,COLUMN(I15),FALSE),0)</f>
        <v>0</v>
      </c>
      <c r="Z183" s="42">
        <f>IFERROR(VLOOKUP($B183,'Offshore Wind'!$J$19:$V$31,COLUMN(J15),FALSE),0)</f>
        <v>0</v>
      </c>
      <c r="AA183" s="42">
        <f>IFERROR(VLOOKUP($B183,'Offshore Wind'!$J$19:$V$31,COLUMN(K15),FALSE),0)</f>
        <v>0</v>
      </c>
      <c r="AB183" s="42">
        <f>IFERROR(VLOOKUP($B183,'Offshore Wind'!$J$19:$V$31,COLUMN(L15),FALSE),0)</f>
        <v>0</v>
      </c>
      <c r="AC183" s="42">
        <f>IFERROR(VLOOKUP($B183,'Offshore Wind'!$J$19:$V$31,COLUMN(M15),FALSE),0)</f>
        <v>0</v>
      </c>
      <c r="AD183" s="42">
        <f>IFERROR(VLOOKUP($B183,'Offshore Wind'!$J$19:$V$31,COLUMN(N15),FALSE),0)</f>
        <v>0</v>
      </c>
      <c r="AE183" s="42">
        <f>IFERROR(VLOOKUP($B183,'Offshore Wind'!$J$19:$V$31,COLUMN(O15),FALSE),0)</f>
        <v>0</v>
      </c>
      <c r="AF183" s="43">
        <f>IFERROR(VLOOKUP($B183,'Offshore Wind'!$J$19:$V$31,COLUMN(P15),FALSE),0)</f>
        <v>0</v>
      </c>
    </row>
    <row r="184" ht="13.85" spans="1:32">
      <c r="A184" s="27" t="s">
        <v>17</v>
      </c>
      <c r="B184" s="44" t="s">
        <v>112</v>
      </c>
      <c r="C184" s="45"/>
      <c r="D184" s="45"/>
      <c r="E184" s="45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>
        <f>IFERROR(VLOOKUP($B184,'Offshore Wind'!$J$19:$V$31,COLUMN(F16),FALSE),0)</f>
        <v>0</v>
      </c>
      <c r="W184" s="42">
        <f>IFERROR(VLOOKUP($B184,'Offshore Wind'!$J$19:$V$31,COLUMN(G16),FALSE),0)</f>
        <v>0</v>
      </c>
      <c r="X184" s="42">
        <f>IFERROR(VLOOKUP($B184,'Offshore Wind'!$J$19:$V$31,COLUMN(H16),FALSE),0)</f>
        <v>0</v>
      </c>
      <c r="Y184" s="42">
        <f>IFERROR(VLOOKUP($B184,'Offshore Wind'!$J$19:$V$31,COLUMN(I16),FALSE),0)</f>
        <v>0</v>
      </c>
      <c r="Z184" s="42">
        <f>IFERROR(VLOOKUP($B184,'Offshore Wind'!$J$19:$V$31,COLUMN(J16),FALSE),0)</f>
        <v>0</v>
      </c>
      <c r="AA184" s="42">
        <f>IFERROR(VLOOKUP($B184,'Offshore Wind'!$J$19:$V$31,COLUMN(K16),FALSE),0)</f>
        <v>0</v>
      </c>
      <c r="AB184" s="42">
        <f>IFERROR(VLOOKUP($B184,'Offshore Wind'!$J$19:$V$31,COLUMN(L16),FALSE),0)</f>
        <v>0</v>
      </c>
      <c r="AC184" s="42">
        <f>IFERROR(VLOOKUP($B184,'Offshore Wind'!$J$19:$V$31,COLUMN(M16),FALSE),0)</f>
        <v>0</v>
      </c>
      <c r="AD184" s="42">
        <f>IFERROR(VLOOKUP($B184,'Offshore Wind'!$J$19:$V$31,COLUMN(N16),FALSE),0)</f>
        <v>0</v>
      </c>
      <c r="AE184" s="42">
        <f>IFERROR(VLOOKUP($B184,'Offshore Wind'!$J$19:$V$31,COLUMN(O16),FALSE),0)</f>
        <v>0</v>
      </c>
      <c r="AF184" s="43">
        <f>IFERROR(VLOOKUP($B184,'Offshore Wind'!$J$19:$V$31,COLUMN(P16),FALSE),0)</f>
        <v>0</v>
      </c>
    </row>
    <row r="185" ht="13.85" spans="1:32">
      <c r="A185" s="27" t="s">
        <v>17</v>
      </c>
      <c r="B185" s="44" t="s">
        <v>114</v>
      </c>
      <c r="C185" s="45"/>
      <c r="D185" s="45"/>
      <c r="E185" s="45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>
        <f>IFERROR(VLOOKUP($B185,'Offshore Wind'!$J$19:$V$31,COLUMN(F17),FALSE),0)</f>
        <v>0</v>
      </c>
      <c r="W185" s="42">
        <f>IFERROR(VLOOKUP($B185,'Offshore Wind'!$J$19:$V$31,COLUMN(G17),FALSE),0)</f>
        <v>0</v>
      </c>
      <c r="X185" s="42">
        <f>IFERROR(VLOOKUP($B185,'Offshore Wind'!$J$19:$V$31,COLUMN(H17),FALSE),0)</f>
        <v>0</v>
      </c>
      <c r="Y185" s="42">
        <f>IFERROR(VLOOKUP($B185,'Offshore Wind'!$J$19:$V$31,COLUMN(I17),FALSE),0)</f>
        <v>0</v>
      </c>
      <c r="Z185" s="42">
        <f>IFERROR(VLOOKUP($B185,'Offshore Wind'!$J$19:$V$31,COLUMN(J17),FALSE),0)</f>
        <v>0</v>
      </c>
      <c r="AA185" s="42">
        <f>IFERROR(VLOOKUP($B185,'Offshore Wind'!$J$19:$V$31,COLUMN(K17),FALSE),0)</f>
        <v>0</v>
      </c>
      <c r="AB185" s="42">
        <f>IFERROR(VLOOKUP($B185,'Offshore Wind'!$J$19:$V$31,COLUMN(L17),FALSE),0)</f>
        <v>0</v>
      </c>
      <c r="AC185" s="42">
        <f>IFERROR(VLOOKUP($B185,'Offshore Wind'!$J$19:$V$31,COLUMN(M17),FALSE),0)</f>
        <v>0</v>
      </c>
      <c r="AD185" s="42">
        <f>IFERROR(VLOOKUP($B185,'Offshore Wind'!$J$19:$V$31,COLUMN(N17),FALSE),0)</f>
        <v>0</v>
      </c>
      <c r="AE185" s="42">
        <f>IFERROR(VLOOKUP($B185,'Offshore Wind'!$J$19:$V$31,COLUMN(O17),FALSE),0)</f>
        <v>0</v>
      </c>
      <c r="AF185" s="43">
        <f>IFERROR(VLOOKUP($B185,'Offshore Wind'!$J$19:$V$31,COLUMN(P17),FALSE),0)</f>
        <v>0</v>
      </c>
    </row>
    <row r="186" ht="13.85" spans="1:32">
      <c r="A186" s="27" t="s">
        <v>17</v>
      </c>
      <c r="B186" s="44" t="s">
        <v>116</v>
      </c>
      <c r="C186" s="45"/>
      <c r="D186" s="45"/>
      <c r="E186" s="45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>
        <f>IFERROR(VLOOKUP($B186,'Offshore Wind'!$J$19:$V$31,COLUMN(F18),FALSE),0)</f>
        <v>0</v>
      </c>
      <c r="W186" s="42">
        <f>IFERROR(VLOOKUP($B186,'Offshore Wind'!$J$19:$V$31,COLUMN(G18),FALSE),0)</f>
        <v>0</v>
      </c>
      <c r="X186" s="42">
        <f>IFERROR(VLOOKUP($B186,'Offshore Wind'!$J$19:$V$31,COLUMN(H18),FALSE),0)</f>
        <v>0</v>
      </c>
      <c r="Y186" s="42">
        <f>IFERROR(VLOOKUP($B186,'Offshore Wind'!$J$19:$V$31,COLUMN(I18),FALSE),0)</f>
        <v>0</v>
      </c>
      <c r="Z186" s="42">
        <f>IFERROR(VLOOKUP($B186,'Offshore Wind'!$J$19:$V$31,COLUMN(J18),FALSE),0)</f>
        <v>0</v>
      </c>
      <c r="AA186" s="42">
        <f>IFERROR(VLOOKUP($B186,'Offshore Wind'!$J$19:$V$31,COLUMN(K18),FALSE),0)</f>
        <v>0</v>
      </c>
      <c r="AB186" s="42">
        <f>IFERROR(VLOOKUP($B186,'Offshore Wind'!$J$19:$V$31,COLUMN(L18),FALSE),0)</f>
        <v>0</v>
      </c>
      <c r="AC186" s="42">
        <f>IFERROR(VLOOKUP($B186,'Offshore Wind'!$J$19:$V$31,COLUMN(M18),FALSE),0)</f>
        <v>0</v>
      </c>
      <c r="AD186" s="42">
        <f>IFERROR(VLOOKUP($B186,'Offshore Wind'!$J$19:$V$31,COLUMN(N18),FALSE),0)</f>
        <v>0</v>
      </c>
      <c r="AE186" s="42">
        <f>IFERROR(VLOOKUP($B186,'Offshore Wind'!$J$19:$V$31,COLUMN(O18),FALSE),0)</f>
        <v>0</v>
      </c>
      <c r="AF186" s="43">
        <f>IFERROR(VLOOKUP($B186,'Offshore Wind'!$J$19:$V$31,COLUMN(P18),FALSE),0)</f>
        <v>0</v>
      </c>
    </row>
    <row r="187" ht="13.85" spans="1:32">
      <c r="A187" s="27" t="s">
        <v>17</v>
      </c>
      <c r="B187" s="44" t="s">
        <v>118</v>
      </c>
      <c r="C187" s="45"/>
      <c r="D187" s="45"/>
      <c r="E187" s="45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>
        <f>IFERROR(VLOOKUP($B187,'Offshore Wind'!$J$19:$V$31,COLUMN(F19),FALSE),0)</f>
        <v>0</v>
      </c>
      <c r="W187" s="42">
        <f>IFERROR(VLOOKUP($B187,'Offshore Wind'!$J$19:$V$31,COLUMN(G19),FALSE),0)</f>
        <v>0</v>
      </c>
      <c r="X187" s="42">
        <f>IFERROR(VLOOKUP($B187,'Offshore Wind'!$J$19:$V$31,COLUMN(H19),FALSE),0)</f>
        <v>0</v>
      </c>
      <c r="Y187" s="42">
        <f>IFERROR(VLOOKUP($B187,'Offshore Wind'!$J$19:$V$31,COLUMN(I19),FALSE),0)</f>
        <v>0</v>
      </c>
      <c r="Z187" s="42">
        <f>IFERROR(VLOOKUP($B187,'Offshore Wind'!$J$19:$V$31,COLUMN(J19),FALSE),0)</f>
        <v>0</v>
      </c>
      <c r="AA187" s="42">
        <f>IFERROR(VLOOKUP($B187,'Offshore Wind'!$J$19:$V$31,COLUMN(K19),FALSE),0)</f>
        <v>0</v>
      </c>
      <c r="AB187" s="42">
        <f>IFERROR(VLOOKUP($B187,'Offshore Wind'!$J$19:$V$31,COLUMN(L19),FALSE),0)</f>
        <v>0</v>
      </c>
      <c r="AC187" s="42">
        <f>IFERROR(VLOOKUP($B187,'Offshore Wind'!$J$19:$V$31,COLUMN(M19),FALSE),0)</f>
        <v>198</v>
      </c>
      <c r="AD187" s="42">
        <f>IFERROR(VLOOKUP($B187,'Offshore Wind'!$J$19:$V$31,COLUMN(N19),FALSE),0)</f>
        <v>0</v>
      </c>
      <c r="AE187" s="42">
        <f>IFERROR(VLOOKUP($B187,'Offshore Wind'!$J$19:$V$31,COLUMN(O19),FALSE),0)</f>
        <v>0</v>
      </c>
      <c r="AF187" s="43">
        <f>IFERROR(VLOOKUP($B187,'Offshore Wind'!$J$19:$V$31,COLUMN(P19),FALSE),0)</f>
        <v>0</v>
      </c>
    </row>
    <row r="188" ht="13.85" spans="1:32">
      <c r="A188" s="27" t="s">
        <v>17</v>
      </c>
      <c r="B188" s="44" t="s">
        <v>120</v>
      </c>
      <c r="C188" s="45"/>
      <c r="D188" s="45"/>
      <c r="E188" s="45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>
        <f>IFERROR(VLOOKUP($B188,'Offshore Wind'!$J$19:$V$31,COLUMN(F20),FALSE),0)</f>
        <v>0</v>
      </c>
      <c r="W188" s="42">
        <f>IFERROR(VLOOKUP($B188,'Offshore Wind'!$J$19:$V$31,COLUMN(G20),FALSE),0)</f>
        <v>0</v>
      </c>
      <c r="X188" s="42">
        <f>IFERROR(VLOOKUP($B188,'Offshore Wind'!$J$19:$V$31,COLUMN(H20),FALSE),0)</f>
        <v>0</v>
      </c>
      <c r="Y188" s="42">
        <f>IFERROR(VLOOKUP($B188,'Offshore Wind'!$J$19:$V$31,COLUMN(I20),FALSE),0)</f>
        <v>0</v>
      </c>
      <c r="Z188" s="42">
        <f>IFERROR(VLOOKUP($B188,'Offshore Wind'!$J$19:$V$31,COLUMN(J20),FALSE),0)</f>
        <v>0</v>
      </c>
      <c r="AA188" s="42">
        <f>IFERROR(VLOOKUP($B188,'Offshore Wind'!$J$19:$V$31,COLUMN(K20),FALSE),0)</f>
        <v>0</v>
      </c>
      <c r="AB188" s="42">
        <f>IFERROR(VLOOKUP($B188,'Offshore Wind'!$J$19:$V$31,COLUMN(L20),FALSE),0)</f>
        <v>0</v>
      </c>
      <c r="AC188" s="42">
        <f>IFERROR(VLOOKUP($B188,'Offshore Wind'!$J$19:$V$31,COLUMN(M20),FALSE),0)</f>
        <v>0</v>
      </c>
      <c r="AD188" s="42">
        <f>IFERROR(VLOOKUP($B188,'Offshore Wind'!$J$19:$V$31,COLUMN(N20),FALSE),0)</f>
        <v>0</v>
      </c>
      <c r="AE188" s="42">
        <f>IFERROR(VLOOKUP($B188,'Offshore Wind'!$J$19:$V$31,COLUMN(O20),FALSE),0)</f>
        <v>0</v>
      </c>
      <c r="AF188" s="43">
        <f>IFERROR(VLOOKUP($B188,'Offshore Wind'!$J$19:$V$31,COLUMN(P20),FALSE),0)</f>
        <v>0</v>
      </c>
    </row>
    <row r="189" ht="13.85" spans="1:32">
      <c r="A189" s="27" t="s">
        <v>17</v>
      </c>
      <c r="B189" s="44" t="s">
        <v>122</v>
      </c>
      <c r="C189" s="45"/>
      <c r="D189" s="45"/>
      <c r="E189" s="45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>
        <f>IFERROR(VLOOKUP($B189,'Offshore Wind'!$J$19:$V$31,COLUMN(F21),FALSE),0)</f>
        <v>0</v>
      </c>
      <c r="W189" s="42">
        <f>IFERROR(VLOOKUP($B189,'Offshore Wind'!$J$19:$V$31,COLUMN(G21),FALSE),0)</f>
        <v>0</v>
      </c>
      <c r="X189" s="42">
        <f>IFERROR(VLOOKUP($B189,'Offshore Wind'!$J$19:$V$31,COLUMN(H21),FALSE),0)</f>
        <v>0</v>
      </c>
      <c r="Y189" s="42">
        <f>IFERROR(VLOOKUP($B189,'Offshore Wind'!$J$19:$V$31,COLUMN(I21),FALSE),0)</f>
        <v>0</v>
      </c>
      <c r="Z189" s="42">
        <f>IFERROR(VLOOKUP($B189,'Offshore Wind'!$J$19:$V$31,COLUMN(J21),FALSE),0)</f>
        <v>0</v>
      </c>
      <c r="AA189" s="42">
        <f>IFERROR(VLOOKUP($B189,'Offshore Wind'!$J$19:$V$31,COLUMN(K21),FALSE),0)</f>
        <v>0</v>
      </c>
      <c r="AB189" s="42">
        <f>IFERROR(VLOOKUP($B189,'Offshore Wind'!$J$19:$V$31,COLUMN(L21),FALSE),0)</f>
        <v>0</v>
      </c>
      <c r="AC189" s="42">
        <f>IFERROR(VLOOKUP($B189,'Offshore Wind'!$J$19:$V$31,COLUMN(M21),FALSE),0)</f>
        <v>0</v>
      </c>
      <c r="AD189" s="42">
        <f>IFERROR(VLOOKUP($B189,'Offshore Wind'!$J$19:$V$31,COLUMN(N21),FALSE),0)</f>
        <v>0</v>
      </c>
      <c r="AE189" s="42">
        <f>IFERROR(VLOOKUP($B189,'Offshore Wind'!$J$19:$V$31,COLUMN(O21),FALSE),0)</f>
        <v>0</v>
      </c>
      <c r="AF189" s="43">
        <f>IFERROR(VLOOKUP($B189,'Offshore Wind'!$J$19:$V$31,COLUMN(P21),FALSE),0)</f>
        <v>0</v>
      </c>
    </row>
    <row r="190" ht="13.85" spans="1:32">
      <c r="A190" s="27" t="s">
        <v>17</v>
      </c>
      <c r="B190" s="44" t="s">
        <v>124</v>
      </c>
      <c r="C190" s="45"/>
      <c r="D190" s="45"/>
      <c r="E190" s="45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>
        <f>IFERROR(VLOOKUP($B190,'Offshore Wind'!$J$19:$V$31,COLUMN(F22),FALSE),0)</f>
        <v>0</v>
      </c>
      <c r="W190" s="42">
        <f>IFERROR(VLOOKUP($B190,'Offshore Wind'!$J$19:$V$31,COLUMN(G22),FALSE),0)</f>
        <v>0</v>
      </c>
      <c r="X190" s="42">
        <f>IFERROR(VLOOKUP($B190,'Offshore Wind'!$J$19:$V$31,COLUMN(H22),FALSE),0)</f>
        <v>0</v>
      </c>
      <c r="Y190" s="42">
        <f>IFERROR(VLOOKUP($B190,'Offshore Wind'!$J$19:$V$31,COLUMN(I22),FALSE),0)</f>
        <v>0</v>
      </c>
      <c r="Z190" s="42">
        <f>IFERROR(VLOOKUP($B190,'Offshore Wind'!$J$19:$V$31,COLUMN(J22),FALSE),0)</f>
        <v>0</v>
      </c>
      <c r="AA190" s="42">
        <f>IFERROR(VLOOKUP($B190,'Offshore Wind'!$J$19:$V$31,COLUMN(K22),FALSE),0)</f>
        <v>0</v>
      </c>
      <c r="AB190" s="42">
        <f>IFERROR(VLOOKUP($B190,'Offshore Wind'!$J$19:$V$31,COLUMN(L22),FALSE),0)</f>
        <v>0</v>
      </c>
      <c r="AC190" s="42">
        <f>IFERROR(VLOOKUP($B190,'Offshore Wind'!$J$19:$V$31,COLUMN(M22),FALSE),0)</f>
        <v>0</v>
      </c>
      <c r="AD190" s="42">
        <f>IFERROR(VLOOKUP($B190,'Offshore Wind'!$J$19:$V$31,COLUMN(N22),FALSE),0)</f>
        <v>0</v>
      </c>
      <c r="AE190" s="42">
        <f>IFERROR(VLOOKUP($B190,'Offshore Wind'!$J$19:$V$31,COLUMN(O22),FALSE),0)</f>
        <v>0</v>
      </c>
      <c r="AF190" s="43">
        <f>IFERROR(VLOOKUP($B190,'Offshore Wind'!$J$19:$V$31,COLUMN(P22),FALSE),0)</f>
        <v>0</v>
      </c>
    </row>
    <row r="191" ht="13.85" spans="1:32">
      <c r="A191" s="27" t="s">
        <v>17</v>
      </c>
      <c r="B191" s="44" t="s">
        <v>126</v>
      </c>
      <c r="C191" s="45"/>
      <c r="D191" s="45"/>
      <c r="E191" s="45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>
        <f>IFERROR(VLOOKUP($B191,'Offshore Wind'!$J$19:$V$31,COLUMN(F23),FALSE),0)</f>
        <v>0</v>
      </c>
      <c r="W191" s="42">
        <f>IFERROR(VLOOKUP($B191,'Offshore Wind'!$J$19:$V$31,COLUMN(G23),FALSE),0)</f>
        <v>0</v>
      </c>
      <c r="X191" s="42">
        <f>IFERROR(VLOOKUP($B191,'Offshore Wind'!$J$19:$V$31,COLUMN(H23),FALSE),0)</f>
        <v>0</v>
      </c>
      <c r="Y191" s="42">
        <f>IFERROR(VLOOKUP($B191,'Offshore Wind'!$J$19:$V$31,COLUMN(I23),FALSE),0)</f>
        <v>0</v>
      </c>
      <c r="Z191" s="42">
        <f>IFERROR(VLOOKUP($B191,'Offshore Wind'!$J$19:$V$31,COLUMN(J23),FALSE),0)</f>
        <v>0</v>
      </c>
      <c r="AA191" s="42">
        <f>IFERROR(VLOOKUP($B191,'Offshore Wind'!$J$19:$V$31,COLUMN(K23),FALSE),0)</f>
        <v>0</v>
      </c>
      <c r="AB191" s="42">
        <f>IFERROR(VLOOKUP($B191,'Offshore Wind'!$J$19:$V$31,COLUMN(L23),FALSE),0)</f>
        <v>0</v>
      </c>
      <c r="AC191" s="42">
        <f>IFERROR(VLOOKUP($B191,'Offshore Wind'!$J$19:$V$31,COLUMN(M23),FALSE),0)</f>
        <v>0</v>
      </c>
      <c r="AD191" s="42">
        <f>IFERROR(VLOOKUP($B191,'Offshore Wind'!$J$19:$V$31,COLUMN(N23),FALSE),0)</f>
        <v>0</v>
      </c>
      <c r="AE191" s="42">
        <f>IFERROR(VLOOKUP($B191,'Offshore Wind'!$J$19:$V$31,COLUMN(O23),FALSE),0)</f>
        <v>0</v>
      </c>
      <c r="AF191" s="43">
        <f>IFERROR(VLOOKUP($B191,'Offshore Wind'!$J$19:$V$31,COLUMN(P23),FALSE),0)</f>
        <v>0</v>
      </c>
    </row>
    <row r="192" ht="13.85" spans="1:32">
      <c r="A192" s="27" t="s">
        <v>17</v>
      </c>
      <c r="B192" s="44" t="s">
        <v>128</v>
      </c>
      <c r="C192" s="45"/>
      <c r="D192" s="45"/>
      <c r="E192" s="45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>
        <f>IFERROR(VLOOKUP($B192,'Offshore Wind'!$J$19:$V$31,COLUMN(F24),FALSE),0)</f>
        <v>0</v>
      </c>
      <c r="W192" s="42">
        <f>IFERROR(VLOOKUP($B192,'Offshore Wind'!$J$19:$V$31,COLUMN(G24),FALSE),0)</f>
        <v>0</v>
      </c>
      <c r="X192" s="42">
        <f>IFERROR(VLOOKUP($B192,'Offshore Wind'!$J$19:$V$31,COLUMN(H24),FALSE),0)</f>
        <v>0</v>
      </c>
      <c r="Y192" s="42">
        <f>IFERROR(VLOOKUP($B192,'Offshore Wind'!$J$19:$V$31,COLUMN(I24),FALSE),0)</f>
        <v>0</v>
      </c>
      <c r="Z192" s="42">
        <f>IFERROR(VLOOKUP($B192,'Offshore Wind'!$J$19:$V$31,COLUMN(J24),FALSE),0)</f>
        <v>0</v>
      </c>
      <c r="AA192" s="42">
        <f>IFERROR(VLOOKUP($B192,'Offshore Wind'!$J$19:$V$31,COLUMN(K24),FALSE),0)</f>
        <v>0</v>
      </c>
      <c r="AB192" s="42">
        <f>IFERROR(VLOOKUP($B192,'Offshore Wind'!$J$19:$V$31,COLUMN(L24),FALSE),0)</f>
        <v>0</v>
      </c>
      <c r="AC192" s="42">
        <f>IFERROR(VLOOKUP($B192,'Offshore Wind'!$J$19:$V$31,COLUMN(M24),FALSE),0)</f>
        <v>0</v>
      </c>
      <c r="AD192" s="42">
        <f>IFERROR(VLOOKUP($B192,'Offshore Wind'!$J$19:$V$31,COLUMN(N24),FALSE),0)</f>
        <v>0</v>
      </c>
      <c r="AE192" s="42">
        <f>IFERROR(VLOOKUP($B192,'Offshore Wind'!$J$19:$V$31,COLUMN(O24),FALSE),0)</f>
        <v>0</v>
      </c>
      <c r="AF192" s="43">
        <f>IFERROR(VLOOKUP($B192,'Offshore Wind'!$J$19:$V$31,COLUMN(P24),FALSE),0)</f>
        <v>0</v>
      </c>
    </row>
    <row r="193" ht="13.85" spans="1:32">
      <c r="A193" s="27" t="s">
        <v>17</v>
      </c>
      <c r="B193" s="44" t="s">
        <v>130</v>
      </c>
      <c r="C193" s="45"/>
      <c r="D193" s="45"/>
      <c r="E193" s="45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>
        <f>IFERROR(VLOOKUP($B193,'Offshore Wind'!$J$19:$V$31,COLUMN(F25),FALSE),0)</f>
        <v>0</v>
      </c>
      <c r="W193" s="42">
        <f>IFERROR(VLOOKUP($B193,'Offshore Wind'!$J$19:$V$31,COLUMN(G25),FALSE),0)</f>
        <v>0</v>
      </c>
      <c r="X193" s="42">
        <f>IFERROR(VLOOKUP($B193,'Offshore Wind'!$J$19:$V$31,COLUMN(H25),FALSE),0)</f>
        <v>0</v>
      </c>
      <c r="Y193" s="42">
        <f>IFERROR(VLOOKUP($B193,'Offshore Wind'!$J$19:$V$31,COLUMN(I25),FALSE),0)</f>
        <v>0</v>
      </c>
      <c r="Z193" s="42">
        <f>IFERROR(VLOOKUP($B193,'Offshore Wind'!$J$19:$V$31,COLUMN(J25),FALSE),0)</f>
        <v>0</v>
      </c>
      <c r="AA193" s="42">
        <f>IFERROR(VLOOKUP($B193,'Offshore Wind'!$J$19:$V$31,COLUMN(K25),FALSE),0)</f>
        <v>0</v>
      </c>
      <c r="AB193" s="42">
        <f>IFERROR(VLOOKUP($B193,'Offshore Wind'!$J$19:$V$31,COLUMN(L25),FALSE),0)</f>
        <v>0</v>
      </c>
      <c r="AC193" s="42">
        <f>IFERROR(VLOOKUP($B193,'Offshore Wind'!$J$19:$V$31,COLUMN(M25),FALSE),0)</f>
        <v>0</v>
      </c>
      <c r="AD193" s="42">
        <f>IFERROR(VLOOKUP($B193,'Offshore Wind'!$J$19:$V$31,COLUMN(N25),FALSE),0)</f>
        <v>0</v>
      </c>
      <c r="AE193" s="42">
        <f>IFERROR(VLOOKUP($B193,'Offshore Wind'!$J$19:$V$31,COLUMN(O25),FALSE),0)</f>
        <v>0</v>
      </c>
      <c r="AF193" s="43">
        <f>IFERROR(VLOOKUP($B193,'Offshore Wind'!$J$19:$V$31,COLUMN(P25),FALSE),0)</f>
        <v>0</v>
      </c>
    </row>
    <row r="194" ht="13.85" spans="1:32">
      <c r="A194" s="27" t="s">
        <v>17</v>
      </c>
      <c r="B194" s="44" t="s">
        <v>132</v>
      </c>
      <c r="C194" s="45"/>
      <c r="D194" s="45"/>
      <c r="E194" s="45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>
        <f>IFERROR(VLOOKUP($B194,'Offshore Wind'!$J$19:$V$31,COLUMN(F26),FALSE),0)</f>
        <v>0</v>
      </c>
      <c r="W194" s="42">
        <f>IFERROR(VLOOKUP($B194,'Offshore Wind'!$J$19:$V$31,COLUMN(G26),FALSE),0)</f>
        <v>0</v>
      </c>
      <c r="X194" s="42">
        <f>IFERROR(VLOOKUP($B194,'Offshore Wind'!$J$19:$V$31,COLUMN(H26),FALSE),0)</f>
        <v>0</v>
      </c>
      <c r="Y194" s="42">
        <f>IFERROR(VLOOKUP($B194,'Offshore Wind'!$J$19:$V$31,COLUMN(I26),FALSE),0)</f>
        <v>0</v>
      </c>
      <c r="Z194" s="42">
        <f>IFERROR(VLOOKUP($B194,'Offshore Wind'!$J$19:$V$31,COLUMN(J26),FALSE),0)</f>
        <v>0</v>
      </c>
      <c r="AA194" s="42">
        <f>IFERROR(VLOOKUP($B194,'Offshore Wind'!$J$19:$V$31,COLUMN(K26),FALSE),0)</f>
        <v>0</v>
      </c>
      <c r="AB194" s="42">
        <f>IFERROR(VLOOKUP($B194,'Offshore Wind'!$J$19:$V$31,COLUMN(L26),FALSE),0)</f>
        <v>0</v>
      </c>
      <c r="AC194" s="42">
        <f>IFERROR(VLOOKUP($B194,'Offshore Wind'!$J$19:$V$31,COLUMN(M26),FALSE),0)</f>
        <v>0</v>
      </c>
      <c r="AD194" s="42">
        <f>IFERROR(VLOOKUP($B194,'Offshore Wind'!$J$19:$V$31,COLUMN(N26),FALSE),0)</f>
        <v>0</v>
      </c>
      <c r="AE194" s="42">
        <f>IFERROR(VLOOKUP($B194,'Offshore Wind'!$J$19:$V$31,COLUMN(O26),FALSE),0)</f>
        <v>0</v>
      </c>
      <c r="AF194" s="43">
        <f>IFERROR(VLOOKUP($B194,'Offshore Wind'!$J$19:$V$31,COLUMN(P26),FALSE),0)</f>
        <v>0</v>
      </c>
    </row>
    <row r="195" ht="13.85" spans="1:32">
      <c r="A195" s="27" t="s">
        <v>17</v>
      </c>
      <c r="B195" s="44" t="s">
        <v>134</v>
      </c>
      <c r="C195" s="45"/>
      <c r="D195" s="45"/>
      <c r="E195" s="45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>
        <f>IFERROR(VLOOKUP($B195,'Offshore Wind'!$J$19:$V$31,COLUMN(F27),FALSE),0)</f>
        <v>0</v>
      </c>
      <c r="W195" s="42">
        <f>IFERROR(VLOOKUP($B195,'Offshore Wind'!$J$19:$V$31,COLUMN(G27),FALSE),0)</f>
        <v>0</v>
      </c>
      <c r="X195" s="42">
        <f>IFERROR(VLOOKUP($B195,'Offshore Wind'!$J$19:$V$31,COLUMN(H27),FALSE),0)</f>
        <v>0</v>
      </c>
      <c r="Y195" s="42">
        <f>IFERROR(VLOOKUP($B195,'Offshore Wind'!$J$19:$V$31,COLUMN(I27),FALSE),0)</f>
        <v>0</v>
      </c>
      <c r="Z195" s="42">
        <f>IFERROR(VLOOKUP($B195,'Offshore Wind'!$J$19:$V$31,COLUMN(J27),FALSE),0)</f>
        <v>0</v>
      </c>
      <c r="AA195" s="42">
        <f>IFERROR(VLOOKUP($B195,'Offshore Wind'!$J$19:$V$31,COLUMN(K27),FALSE),0)</f>
        <v>0</v>
      </c>
      <c r="AB195" s="42">
        <f>IFERROR(VLOOKUP($B195,'Offshore Wind'!$J$19:$V$31,COLUMN(L27),FALSE),0)</f>
        <v>0</v>
      </c>
      <c r="AC195" s="42">
        <f>IFERROR(VLOOKUP($B195,'Offshore Wind'!$J$19:$V$31,COLUMN(M27),FALSE),0)</f>
        <v>0</v>
      </c>
      <c r="AD195" s="42">
        <f>IFERROR(VLOOKUP($B195,'Offshore Wind'!$J$19:$V$31,COLUMN(N27),FALSE),0)</f>
        <v>0</v>
      </c>
      <c r="AE195" s="42">
        <f>IFERROR(VLOOKUP($B195,'Offshore Wind'!$J$19:$V$31,COLUMN(O27),FALSE),0)</f>
        <v>0</v>
      </c>
      <c r="AF195" s="43">
        <f>IFERROR(VLOOKUP($B195,'Offshore Wind'!$J$19:$V$31,COLUMN(P27),FALSE),0)</f>
        <v>0</v>
      </c>
    </row>
    <row r="196" ht="13.85" spans="1:32">
      <c r="A196" s="27" t="s">
        <v>17</v>
      </c>
      <c r="B196" s="44" t="s">
        <v>136</v>
      </c>
      <c r="C196" s="45"/>
      <c r="D196" s="45"/>
      <c r="E196" s="45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>
        <f>IFERROR(VLOOKUP($B196,'Offshore Wind'!$J$19:$V$31,COLUMN(F28),FALSE),0)</f>
        <v>0</v>
      </c>
      <c r="W196" s="42">
        <f>IFERROR(VLOOKUP($B196,'Offshore Wind'!$J$19:$V$31,COLUMN(G28),FALSE),0)</f>
        <v>0</v>
      </c>
      <c r="X196" s="42">
        <f>IFERROR(VLOOKUP($B196,'Offshore Wind'!$J$19:$V$31,COLUMN(H28),FALSE),0)</f>
        <v>0</v>
      </c>
      <c r="Y196" s="42">
        <f>IFERROR(VLOOKUP($B196,'Offshore Wind'!$J$19:$V$31,COLUMN(I28),FALSE),0)</f>
        <v>0</v>
      </c>
      <c r="Z196" s="42">
        <f>IFERROR(VLOOKUP($B196,'Offshore Wind'!$J$19:$V$31,COLUMN(J28),FALSE),0)</f>
        <v>0</v>
      </c>
      <c r="AA196" s="42">
        <f>IFERROR(VLOOKUP($B196,'Offshore Wind'!$J$19:$V$31,COLUMN(K28),FALSE),0)</f>
        <v>0</v>
      </c>
      <c r="AB196" s="42">
        <f>IFERROR(VLOOKUP($B196,'Offshore Wind'!$J$19:$V$31,COLUMN(L28),FALSE),0)</f>
        <v>0</v>
      </c>
      <c r="AC196" s="42">
        <f>IFERROR(VLOOKUP($B196,'Offshore Wind'!$J$19:$V$31,COLUMN(M28),FALSE),0)</f>
        <v>0</v>
      </c>
      <c r="AD196" s="42">
        <f>IFERROR(VLOOKUP($B196,'Offshore Wind'!$J$19:$V$31,COLUMN(N28),FALSE),0)</f>
        <v>0</v>
      </c>
      <c r="AE196" s="42">
        <f>IFERROR(VLOOKUP($B196,'Offshore Wind'!$J$19:$V$31,COLUMN(O28),FALSE),0)</f>
        <v>0</v>
      </c>
      <c r="AF196" s="43">
        <f>IFERROR(VLOOKUP($B196,'Offshore Wind'!$J$19:$V$31,COLUMN(P28),FALSE),0)</f>
        <v>0</v>
      </c>
    </row>
    <row r="197" ht="13.85" spans="1:32">
      <c r="A197" s="27" t="s">
        <v>17</v>
      </c>
      <c r="B197" s="44" t="s">
        <v>138</v>
      </c>
      <c r="C197" s="45"/>
      <c r="D197" s="45"/>
      <c r="E197" s="45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>
        <f>IFERROR(VLOOKUP($B197,'Offshore Wind'!$J$19:$V$31,COLUMN(F29),FALSE),0)</f>
        <v>0</v>
      </c>
      <c r="W197" s="42">
        <f>IFERROR(VLOOKUP($B197,'Offshore Wind'!$J$19:$V$31,COLUMN(G29),FALSE),0)</f>
        <v>0</v>
      </c>
      <c r="X197" s="42">
        <f>IFERROR(VLOOKUP($B197,'Offshore Wind'!$J$19:$V$31,COLUMN(H29),FALSE),0)</f>
        <v>0</v>
      </c>
      <c r="Y197" s="42">
        <f>IFERROR(VLOOKUP($B197,'Offshore Wind'!$J$19:$V$31,COLUMN(I29),FALSE),0)</f>
        <v>0</v>
      </c>
      <c r="Z197" s="42">
        <f>IFERROR(VLOOKUP($B197,'Offshore Wind'!$J$19:$V$31,COLUMN(J29),FALSE),0)</f>
        <v>0</v>
      </c>
      <c r="AA197" s="42">
        <f>IFERROR(VLOOKUP($B197,'Offshore Wind'!$J$19:$V$31,COLUMN(K29),FALSE),0)</f>
        <v>0</v>
      </c>
      <c r="AB197" s="42">
        <f>IFERROR(VLOOKUP($B197,'Offshore Wind'!$J$19:$V$31,COLUMN(L29),FALSE),0)</f>
        <v>0</v>
      </c>
      <c r="AC197" s="42">
        <f>IFERROR(VLOOKUP($B197,'Offshore Wind'!$J$19:$V$31,COLUMN(M29),FALSE),0)</f>
        <v>0</v>
      </c>
      <c r="AD197" s="42">
        <f>IFERROR(VLOOKUP($B197,'Offshore Wind'!$J$19:$V$31,COLUMN(N29),FALSE),0)</f>
        <v>0</v>
      </c>
      <c r="AE197" s="42">
        <f>IFERROR(VLOOKUP($B197,'Offshore Wind'!$J$19:$V$31,COLUMN(O29),FALSE),0)</f>
        <v>0</v>
      </c>
      <c r="AF197" s="43">
        <f>IFERROR(VLOOKUP($B197,'Offshore Wind'!$J$19:$V$31,COLUMN(P29),FALSE),0)</f>
        <v>0</v>
      </c>
    </row>
    <row r="198" ht="13.85" spans="1:32">
      <c r="A198" s="27" t="s">
        <v>17</v>
      </c>
      <c r="B198" s="44" t="s">
        <v>140</v>
      </c>
      <c r="C198" s="45"/>
      <c r="D198" s="45"/>
      <c r="E198" s="45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>
        <f>IFERROR(VLOOKUP($B198,'Offshore Wind'!$J$19:$V$31,COLUMN(F30),FALSE),0)</f>
        <v>0</v>
      </c>
      <c r="W198" s="42">
        <f>IFERROR(VLOOKUP($B198,'Offshore Wind'!$J$19:$V$31,COLUMN(G30),FALSE),0)</f>
        <v>0</v>
      </c>
      <c r="X198" s="42">
        <f>IFERROR(VLOOKUP($B198,'Offshore Wind'!$J$19:$V$31,COLUMN(H30),FALSE),0)</f>
        <v>0</v>
      </c>
      <c r="Y198" s="42">
        <f>IFERROR(VLOOKUP($B198,'Offshore Wind'!$J$19:$V$31,COLUMN(I30),FALSE),0)</f>
        <v>0</v>
      </c>
      <c r="Z198" s="42">
        <f>IFERROR(VLOOKUP($B198,'Offshore Wind'!$J$19:$V$31,COLUMN(J30),FALSE),0)</f>
        <v>0</v>
      </c>
      <c r="AA198" s="42">
        <f>IFERROR(VLOOKUP($B198,'Offshore Wind'!$J$19:$V$31,COLUMN(K30),FALSE),0)</f>
        <v>0</v>
      </c>
      <c r="AB198" s="42">
        <f>IFERROR(VLOOKUP($B198,'Offshore Wind'!$J$19:$V$31,COLUMN(L30),FALSE),0)</f>
        <v>0</v>
      </c>
      <c r="AC198" s="42">
        <f>IFERROR(VLOOKUP($B198,'Offshore Wind'!$J$19:$V$31,COLUMN(M30),FALSE),0)</f>
        <v>0</v>
      </c>
      <c r="AD198" s="42">
        <f>IFERROR(VLOOKUP($B198,'Offshore Wind'!$J$19:$V$31,COLUMN(N30),FALSE),0)</f>
        <v>0</v>
      </c>
      <c r="AE198" s="42">
        <f>IFERROR(VLOOKUP($B198,'Offshore Wind'!$J$19:$V$31,COLUMN(O30),FALSE),0)</f>
        <v>0</v>
      </c>
      <c r="AF198" s="43">
        <f>IFERROR(VLOOKUP($B198,'Offshore Wind'!$J$19:$V$31,COLUMN(P30),FALSE),0)</f>
        <v>0</v>
      </c>
    </row>
    <row r="199" ht="13.85" spans="1:32">
      <c r="A199" s="27" t="s">
        <v>17</v>
      </c>
      <c r="B199" s="44" t="s">
        <v>142</v>
      </c>
      <c r="C199" s="45"/>
      <c r="D199" s="45"/>
      <c r="E199" s="45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>
        <f>IFERROR(VLOOKUP($B199,'Offshore Wind'!$J$19:$V$31,COLUMN(F31),FALSE),0)</f>
        <v>0</v>
      </c>
      <c r="W199" s="42">
        <f>IFERROR(VLOOKUP($B199,'Offshore Wind'!$J$19:$V$31,COLUMN(G31),FALSE),0)</f>
        <v>0</v>
      </c>
      <c r="X199" s="42">
        <f>IFERROR(VLOOKUP($B199,'Offshore Wind'!$J$19:$V$31,COLUMN(H31),FALSE),0)</f>
        <v>0</v>
      </c>
      <c r="Y199" s="42">
        <f>IFERROR(VLOOKUP($B199,'Offshore Wind'!$J$19:$V$31,COLUMN(I31),FALSE),0)</f>
        <v>0</v>
      </c>
      <c r="Z199" s="42">
        <f>IFERROR(VLOOKUP($B199,'Offshore Wind'!$J$19:$V$31,COLUMN(J31),FALSE),0)</f>
        <v>0</v>
      </c>
      <c r="AA199" s="42">
        <f>IFERROR(VLOOKUP($B199,'Offshore Wind'!$J$19:$V$31,COLUMN(K31),FALSE),0)</f>
        <v>0</v>
      </c>
      <c r="AB199" s="42">
        <f>IFERROR(VLOOKUP($B199,'Offshore Wind'!$J$19:$V$31,COLUMN(L31),FALSE),0)</f>
        <v>0</v>
      </c>
      <c r="AC199" s="42">
        <f>IFERROR(VLOOKUP($B199,'Offshore Wind'!$J$19:$V$31,COLUMN(M31),FALSE),0)</f>
        <v>0</v>
      </c>
      <c r="AD199" s="42">
        <f>IFERROR(VLOOKUP($B199,'Offshore Wind'!$J$19:$V$31,COLUMN(N31),FALSE),0)</f>
        <v>0</v>
      </c>
      <c r="AE199" s="42">
        <f>IFERROR(VLOOKUP($B199,'Offshore Wind'!$J$19:$V$31,COLUMN(O31),FALSE),0)</f>
        <v>0</v>
      </c>
      <c r="AF199" s="43">
        <f>IFERROR(VLOOKUP($B199,'Offshore Wind'!$J$19:$V$31,COLUMN(P31),FALSE),0)</f>
        <v>0</v>
      </c>
    </row>
    <row r="200" s="38" customFormat="1" spans="1:32">
      <c r="A200" s="46"/>
      <c r="B200" s="46"/>
      <c r="C200" s="47"/>
      <c r="D200" s="47"/>
      <c r="E200" s="47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</row>
    <row r="201" ht="13.85" spans="1:32">
      <c r="A201" s="27" t="s">
        <v>2349</v>
      </c>
      <c r="B201" s="41" t="s">
        <v>80</v>
      </c>
      <c r="C201" s="42">
        <f t="shared" ref="C201" si="148">SUM(C202:C232)</f>
        <v>0</v>
      </c>
      <c r="D201" s="42">
        <f t="shared" ref="D201" si="149">SUM(D202:D232)</f>
        <v>0</v>
      </c>
      <c r="E201" s="42">
        <f t="shared" ref="E201" si="150">SUM(E202:E232)</f>
        <v>0</v>
      </c>
      <c r="F201" s="42">
        <f t="shared" ref="F201" si="151">SUM(F202:F232)</f>
        <v>0</v>
      </c>
      <c r="G201" s="42">
        <f t="shared" ref="G201" si="152">SUM(G202:G232)</f>
        <v>0</v>
      </c>
      <c r="H201" s="42">
        <f t="shared" ref="H201" si="153">SUM(H202:H232)</f>
        <v>0</v>
      </c>
      <c r="I201" s="42">
        <f t="shared" ref="I201" si="154">SUM(I202:I232)</f>
        <v>0</v>
      </c>
      <c r="J201" s="42">
        <f t="shared" ref="J201" si="155">SUM(J202:J232)</f>
        <v>0</v>
      </c>
      <c r="K201" s="42">
        <f t="shared" ref="K201" si="156">SUM(K202:K232)</f>
        <v>0</v>
      </c>
      <c r="L201" s="42">
        <f t="shared" ref="L201" si="157">SUM(L202:L232)</f>
        <v>0</v>
      </c>
      <c r="M201" s="42">
        <f t="shared" ref="M201" si="158">SUM(M202:M232)</f>
        <v>0</v>
      </c>
      <c r="N201" s="42">
        <f t="shared" ref="N201" si="159">SUM(N202:N232)</f>
        <v>0</v>
      </c>
      <c r="O201" s="42">
        <f t="shared" ref="O201" si="160">SUM(O202:O232)</f>
        <v>0</v>
      </c>
      <c r="P201" s="42">
        <f t="shared" ref="P201" si="161">SUM(P202:P232)</f>
        <v>0</v>
      </c>
      <c r="Q201" s="42">
        <f t="shared" ref="Q201" si="162">SUM(Q202:Q232)</f>
        <v>529</v>
      </c>
      <c r="R201" s="42">
        <f t="shared" ref="R201" si="163">SUM(R202:R232)</f>
        <v>525</v>
      </c>
      <c r="S201" s="42">
        <f t="shared" ref="S201" si="164">SUM(S202:S232)</f>
        <v>1090</v>
      </c>
      <c r="T201" s="42">
        <f t="shared" ref="T201" si="165">SUM(T202:T232)</f>
        <v>3060</v>
      </c>
      <c r="U201" s="42">
        <f t="shared" ref="U201" si="166">SUM(U202:U232)</f>
        <v>5466.01111111111</v>
      </c>
      <c r="V201" s="42">
        <f t="shared" ref="V201" si="167">SUM(V202:V232)</f>
        <v>9992.01111111111</v>
      </c>
      <c r="W201" s="42">
        <f t="shared" ref="W201" si="168">SUM(W202:W232)</f>
        <v>15039.1111111111</v>
      </c>
      <c r="X201" s="42">
        <f t="shared" ref="X201" si="169">SUM(X202:X232)</f>
        <v>15649.4111111111</v>
      </c>
      <c r="Y201" s="42">
        <f t="shared" ref="Y201" si="170">SUM(Y202:Y232)</f>
        <v>13411.1111111111</v>
      </c>
      <c r="Z201" s="42">
        <f t="shared" ref="Z201" si="171">SUM(Z202:Z232)</f>
        <v>14688.2777777778</v>
      </c>
      <c r="AA201" s="42">
        <f t="shared" ref="AA201" si="172">SUM(AA202:AA232)</f>
        <v>20921.7111111111</v>
      </c>
      <c r="AB201" s="42">
        <f t="shared" ref="AB201" si="173">SUM(AB202:AB232)</f>
        <v>30991.5777777778</v>
      </c>
      <c r="AC201" s="42">
        <f t="shared" ref="AC201" si="174">SUM(AC202:AC232)</f>
        <v>19120.3777777778</v>
      </c>
      <c r="AD201" s="42">
        <f t="shared" ref="AD201" si="175">SUM(AD202:AD232)</f>
        <v>17833.88</v>
      </c>
      <c r="AE201" s="42">
        <f t="shared" ref="AE201:AF201" si="176">SUM(AE202:AE232)</f>
        <v>21900.08</v>
      </c>
      <c r="AF201" s="43">
        <f t="shared" si="176"/>
        <v>26352.28</v>
      </c>
    </row>
    <row r="202" ht="13.85" spans="1:32">
      <c r="A202" s="27" t="s">
        <v>2349</v>
      </c>
      <c r="B202" s="44" t="s">
        <v>82</v>
      </c>
      <c r="C202" s="45"/>
      <c r="D202" s="45"/>
      <c r="E202" s="45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>
        <f t="shared" ref="Q202" si="177">MAX(Q136-Q169,0)</f>
        <v>0</v>
      </c>
      <c r="R202" s="42">
        <f t="shared" ref="R202:T202" si="178">MAX(R136-R169,0)</f>
        <v>0</v>
      </c>
      <c r="S202" s="42">
        <f t="shared" si="178"/>
        <v>0</v>
      </c>
      <c r="T202" s="42">
        <f t="shared" si="178"/>
        <v>0</v>
      </c>
      <c r="U202" s="42">
        <f t="shared" ref="U202:AF202" si="179">MAX(U136-U169,0)</f>
        <v>3.61111111111111</v>
      </c>
      <c r="V202" s="42">
        <f t="shared" si="179"/>
        <v>3.61111111111111</v>
      </c>
      <c r="W202" s="42">
        <f t="shared" si="179"/>
        <v>89.1111111111111</v>
      </c>
      <c r="X202" s="42">
        <f t="shared" si="179"/>
        <v>3.61111111111111</v>
      </c>
      <c r="Y202" s="42">
        <f t="shared" si="179"/>
        <v>3.61111111111111</v>
      </c>
      <c r="Z202" s="42">
        <f t="shared" si="179"/>
        <v>3.61111111111111</v>
      </c>
      <c r="AA202" s="42">
        <f t="shared" si="179"/>
        <v>3.61111111111111</v>
      </c>
      <c r="AB202" s="42">
        <f t="shared" si="179"/>
        <v>3.61111111111111</v>
      </c>
      <c r="AC202" s="42">
        <f t="shared" si="179"/>
        <v>75.6111111111111</v>
      </c>
      <c r="AD202" s="42">
        <f t="shared" si="179"/>
        <v>2.5</v>
      </c>
      <c r="AE202" s="42">
        <f t="shared" si="179"/>
        <v>0</v>
      </c>
      <c r="AF202" s="43">
        <f t="shared" si="179"/>
        <v>0</v>
      </c>
    </row>
    <row r="203" ht="13.85" spans="1:32">
      <c r="A203" s="27" t="s">
        <v>2349</v>
      </c>
      <c r="B203" s="44" t="s">
        <v>84</v>
      </c>
      <c r="C203" s="45"/>
      <c r="D203" s="45"/>
      <c r="E203" s="45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>
        <f t="shared" ref="Q203" si="180">MAX(Q137-Q170,0)</f>
        <v>0</v>
      </c>
      <c r="R203" s="42">
        <f t="shared" ref="R203:T203" si="181">MAX(R137-R170,0)</f>
        <v>0</v>
      </c>
      <c r="S203" s="42">
        <f t="shared" si="181"/>
        <v>0</v>
      </c>
      <c r="T203" s="42">
        <f t="shared" si="181"/>
        <v>0</v>
      </c>
      <c r="U203" s="42">
        <f t="shared" ref="U203:AF203" si="182">MAX(U137-U170,0)</f>
        <v>9.00000000000002</v>
      </c>
      <c r="V203" s="42">
        <f t="shared" si="182"/>
        <v>9.00000000000002</v>
      </c>
      <c r="W203" s="42">
        <f t="shared" si="182"/>
        <v>84.5</v>
      </c>
      <c r="X203" s="42">
        <f t="shared" si="182"/>
        <v>63</v>
      </c>
      <c r="Y203" s="42">
        <f t="shared" si="182"/>
        <v>55.5</v>
      </c>
      <c r="Z203" s="42">
        <f t="shared" si="182"/>
        <v>42</v>
      </c>
      <c r="AA203" s="42">
        <f t="shared" si="182"/>
        <v>9.00000000000002</v>
      </c>
      <c r="AB203" s="42">
        <f t="shared" si="182"/>
        <v>9.00000000000002</v>
      </c>
      <c r="AC203" s="42">
        <f t="shared" si="182"/>
        <v>0</v>
      </c>
      <c r="AD203" s="42">
        <f t="shared" si="182"/>
        <v>105</v>
      </c>
      <c r="AE203" s="42">
        <f t="shared" si="182"/>
        <v>282.8</v>
      </c>
      <c r="AF203" s="43">
        <f t="shared" si="182"/>
        <v>129.5</v>
      </c>
    </row>
    <row r="204" ht="13.85" spans="1:32">
      <c r="A204" s="27" t="s">
        <v>2349</v>
      </c>
      <c r="B204" s="44" t="s">
        <v>86</v>
      </c>
      <c r="C204" s="45"/>
      <c r="D204" s="45"/>
      <c r="E204" s="45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>
        <f t="shared" ref="Q204" si="183">MAX(Q138-Q171,0)</f>
        <v>13.5</v>
      </c>
      <c r="R204" s="42">
        <f t="shared" ref="R204:T204" si="184">MAX(R138-R171,0)</f>
        <v>34.5</v>
      </c>
      <c r="S204" s="42">
        <f t="shared" si="184"/>
        <v>140</v>
      </c>
      <c r="T204" s="42">
        <f t="shared" si="184"/>
        <v>80</v>
      </c>
      <c r="U204" s="42">
        <f t="shared" ref="U204:AF204" si="185">MAX(U138-U171,0)</f>
        <v>300</v>
      </c>
      <c r="V204" s="42">
        <f t="shared" si="185"/>
        <v>951.8</v>
      </c>
      <c r="W204" s="42">
        <f t="shared" si="185"/>
        <v>2087.1</v>
      </c>
      <c r="X204" s="42">
        <f t="shared" si="185"/>
        <v>887.8</v>
      </c>
      <c r="Y204" s="42">
        <f t="shared" si="185"/>
        <v>1582.1</v>
      </c>
      <c r="Z204" s="42">
        <f t="shared" si="185"/>
        <v>714</v>
      </c>
      <c r="AA204" s="42">
        <f t="shared" si="185"/>
        <v>1577.5</v>
      </c>
      <c r="AB204" s="42">
        <f t="shared" si="185"/>
        <v>840.5</v>
      </c>
      <c r="AC204" s="42">
        <f t="shared" si="185"/>
        <v>2282.1</v>
      </c>
      <c r="AD204" s="42">
        <f t="shared" si="185"/>
        <v>1071</v>
      </c>
      <c r="AE204" s="42">
        <f t="shared" si="185"/>
        <v>2457</v>
      </c>
      <c r="AF204" s="43">
        <f t="shared" si="185"/>
        <v>2383.8</v>
      </c>
    </row>
    <row r="205" ht="13.85" spans="1:32">
      <c r="A205" s="27" t="s">
        <v>2349</v>
      </c>
      <c r="B205" s="44" t="s">
        <v>88</v>
      </c>
      <c r="C205" s="45"/>
      <c r="D205" s="45"/>
      <c r="E205" s="45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>
        <f t="shared" ref="Q205" si="186">MAX(Q139-Q172,0)</f>
        <v>0</v>
      </c>
      <c r="R205" s="42">
        <f t="shared" ref="R205:T205" si="187">MAX(R139-R172,0)</f>
        <v>0</v>
      </c>
      <c r="S205" s="42">
        <f t="shared" si="187"/>
        <v>0</v>
      </c>
      <c r="T205" s="42">
        <f t="shared" si="187"/>
        <v>0</v>
      </c>
      <c r="U205" s="42">
        <f t="shared" ref="U205:AF205" si="188">MAX(U139-U172,0)</f>
        <v>100</v>
      </c>
      <c r="V205" s="42">
        <f t="shared" si="188"/>
        <v>75</v>
      </c>
      <c r="W205" s="42">
        <f t="shared" si="188"/>
        <v>369</v>
      </c>
      <c r="X205" s="42">
        <f t="shared" si="188"/>
        <v>1044</v>
      </c>
      <c r="Y205" s="42">
        <f t="shared" si="188"/>
        <v>1030.5</v>
      </c>
      <c r="Z205" s="42">
        <f t="shared" si="188"/>
        <v>814.5</v>
      </c>
      <c r="AA205" s="42">
        <f t="shared" si="188"/>
        <v>1765.5</v>
      </c>
      <c r="AB205" s="42">
        <f t="shared" si="188"/>
        <v>2230.6</v>
      </c>
      <c r="AC205" s="42">
        <f t="shared" si="188"/>
        <v>1733</v>
      </c>
      <c r="AD205" s="42">
        <f t="shared" si="188"/>
        <v>956</v>
      </c>
      <c r="AE205" s="42">
        <f t="shared" si="188"/>
        <v>1960.9</v>
      </c>
      <c r="AF205" s="43">
        <f t="shared" si="188"/>
        <v>2141.6</v>
      </c>
    </row>
    <row r="206" ht="13.85" spans="1:32">
      <c r="A206" s="27" t="s">
        <v>2349</v>
      </c>
      <c r="B206" s="44" t="s">
        <v>90</v>
      </c>
      <c r="C206" s="45"/>
      <c r="D206" s="45"/>
      <c r="E206" s="45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>
        <f t="shared" ref="Q206" si="189">MAX(Q140-Q173,0)</f>
        <v>111.7</v>
      </c>
      <c r="R206" s="42">
        <f t="shared" ref="R206:T206" si="190">MAX(R140-R173,0)</f>
        <v>97.3</v>
      </c>
      <c r="S206" s="42">
        <f t="shared" si="190"/>
        <v>320</v>
      </c>
      <c r="T206" s="42">
        <f t="shared" si="190"/>
        <v>950</v>
      </c>
      <c r="U206" s="42">
        <f t="shared" ref="U206:AF206" si="191">MAX(U140-U173,0)</f>
        <v>1798.3</v>
      </c>
      <c r="V206" s="42">
        <f t="shared" si="191"/>
        <v>3939.4</v>
      </c>
      <c r="W206" s="42">
        <f t="shared" si="191"/>
        <v>4491</v>
      </c>
      <c r="X206" s="42">
        <f t="shared" si="191"/>
        <v>3862.2</v>
      </c>
      <c r="Y206" s="42">
        <f t="shared" si="191"/>
        <v>1694.2</v>
      </c>
      <c r="Z206" s="42">
        <f t="shared" si="191"/>
        <v>2248.3</v>
      </c>
      <c r="AA206" s="42">
        <f t="shared" si="191"/>
        <v>1945.3</v>
      </c>
      <c r="AB206" s="42">
        <f t="shared" si="191"/>
        <v>3525.8</v>
      </c>
      <c r="AC206" s="42">
        <f t="shared" si="191"/>
        <v>985.500000000001</v>
      </c>
      <c r="AD206" s="42">
        <f t="shared" si="191"/>
        <v>907.88</v>
      </c>
      <c r="AE206" s="42">
        <f t="shared" si="191"/>
        <v>2168.78</v>
      </c>
      <c r="AF206" s="43">
        <f t="shared" si="191"/>
        <v>1267.08</v>
      </c>
    </row>
    <row r="207" ht="13.85" spans="1:32">
      <c r="A207" s="27" t="s">
        <v>2349</v>
      </c>
      <c r="B207" s="44" t="s">
        <v>92</v>
      </c>
      <c r="C207" s="45"/>
      <c r="D207" s="45"/>
      <c r="E207" s="45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>
        <f t="shared" ref="Q207" si="192">MAX(Q141-Q174,0)</f>
        <v>126</v>
      </c>
      <c r="R207" s="42">
        <f t="shared" ref="R207:T207" si="193">MAX(R141-R174,0)</f>
        <v>0</v>
      </c>
      <c r="S207" s="42">
        <f t="shared" si="193"/>
        <v>110</v>
      </c>
      <c r="T207" s="42">
        <f t="shared" si="193"/>
        <v>220</v>
      </c>
      <c r="U207" s="42">
        <f t="shared" ref="U207:AF207" si="194">MAX(U141-U174,0)</f>
        <v>534.733333333333</v>
      </c>
      <c r="V207" s="42">
        <f t="shared" si="194"/>
        <v>1246.53333333333</v>
      </c>
      <c r="W207" s="42">
        <f t="shared" si="194"/>
        <v>1202.03333333333</v>
      </c>
      <c r="X207" s="42">
        <f t="shared" si="194"/>
        <v>1122.73333333333</v>
      </c>
      <c r="Y207" s="42">
        <f t="shared" si="194"/>
        <v>722.333333333333</v>
      </c>
      <c r="Z207" s="42">
        <f t="shared" si="194"/>
        <v>698.233333333333</v>
      </c>
      <c r="AA207" s="42">
        <f t="shared" si="194"/>
        <v>528.433333333333</v>
      </c>
      <c r="AB207" s="42">
        <f t="shared" si="194"/>
        <v>371.233333333333</v>
      </c>
      <c r="AC207" s="42">
        <f t="shared" si="194"/>
        <v>173.733333333333</v>
      </c>
      <c r="AD207" s="42">
        <f t="shared" si="194"/>
        <v>237.92</v>
      </c>
      <c r="AE207" s="42">
        <f t="shared" si="194"/>
        <v>540.12</v>
      </c>
      <c r="AF207" s="43">
        <f t="shared" si="194"/>
        <v>812.72</v>
      </c>
    </row>
    <row r="208" ht="13.85" spans="1:32">
      <c r="A208" s="27" t="s">
        <v>2349</v>
      </c>
      <c r="B208" s="44" t="s">
        <v>94</v>
      </c>
      <c r="C208" s="45"/>
      <c r="D208" s="45"/>
      <c r="E208" s="45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>
        <f t="shared" ref="Q208" si="195">MAX(Q142-Q175,0)</f>
        <v>30.1</v>
      </c>
      <c r="R208" s="42">
        <f t="shared" ref="R208:T208" si="196">MAX(R142-R175,0)</f>
        <v>48.9</v>
      </c>
      <c r="S208" s="42">
        <f t="shared" si="196"/>
        <v>90</v>
      </c>
      <c r="T208" s="42">
        <f t="shared" si="196"/>
        <v>550</v>
      </c>
      <c r="U208" s="42">
        <f t="shared" ref="U208:AF208" si="197">MAX(U142-U175,0)</f>
        <v>420</v>
      </c>
      <c r="V208" s="42">
        <f t="shared" si="197"/>
        <v>637.3</v>
      </c>
      <c r="W208" s="42">
        <f t="shared" si="197"/>
        <v>803</v>
      </c>
      <c r="X208" s="42">
        <f t="shared" si="197"/>
        <v>495</v>
      </c>
      <c r="Y208" s="42">
        <f t="shared" si="197"/>
        <v>394</v>
      </c>
      <c r="Z208" s="42">
        <f t="shared" si="197"/>
        <v>426.5</v>
      </c>
      <c r="AA208" s="42">
        <f t="shared" si="197"/>
        <v>355.5</v>
      </c>
      <c r="AB208" s="42">
        <f t="shared" si="197"/>
        <v>884.1</v>
      </c>
      <c r="AC208" s="42">
        <f t="shared" si="197"/>
        <v>216</v>
      </c>
      <c r="AD208" s="42">
        <f t="shared" si="197"/>
        <v>50</v>
      </c>
      <c r="AE208" s="42">
        <f t="shared" si="197"/>
        <v>89.5</v>
      </c>
      <c r="AF208" s="43">
        <f t="shared" si="197"/>
        <v>412.3</v>
      </c>
    </row>
    <row r="209" ht="13.85" spans="1:32">
      <c r="A209" s="27" t="s">
        <v>2349</v>
      </c>
      <c r="B209" s="44" t="s">
        <v>96</v>
      </c>
      <c r="C209" s="45"/>
      <c r="D209" s="45"/>
      <c r="E209" s="45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>
        <f t="shared" ref="Q209" si="198">MAX(Q143-Q176,0)</f>
        <v>39.3</v>
      </c>
      <c r="R209" s="42">
        <f t="shared" ref="R209:T209" si="199">MAX(R143-R176,0)</f>
        <v>12.7</v>
      </c>
      <c r="S209" s="42">
        <f t="shared" si="199"/>
        <v>40</v>
      </c>
      <c r="T209" s="42">
        <f t="shared" si="199"/>
        <v>240</v>
      </c>
      <c r="U209" s="42">
        <f t="shared" ref="U209:AF209" si="200">MAX(U143-U176,0)</f>
        <v>290</v>
      </c>
      <c r="V209" s="42">
        <f t="shared" si="200"/>
        <v>706.6</v>
      </c>
      <c r="W209" s="42">
        <f t="shared" si="200"/>
        <v>682.3</v>
      </c>
      <c r="X209" s="42">
        <f t="shared" si="200"/>
        <v>625.4</v>
      </c>
      <c r="Y209" s="42">
        <f t="shared" si="200"/>
        <v>712.5</v>
      </c>
      <c r="Z209" s="42">
        <f t="shared" si="200"/>
        <v>633.9</v>
      </c>
      <c r="AA209" s="42">
        <f t="shared" si="200"/>
        <v>856</v>
      </c>
      <c r="AB209" s="42">
        <f t="shared" si="200"/>
        <v>421</v>
      </c>
      <c r="AC209" s="42">
        <f t="shared" si="200"/>
        <v>661.8</v>
      </c>
      <c r="AD209" s="42">
        <f t="shared" si="200"/>
        <v>290.5</v>
      </c>
      <c r="AE209" s="42">
        <f t="shared" si="200"/>
        <v>308.1</v>
      </c>
      <c r="AF209" s="43">
        <f t="shared" si="200"/>
        <v>122</v>
      </c>
    </row>
    <row r="210" ht="13.85" spans="1:32">
      <c r="A210" s="27" t="s">
        <v>2349</v>
      </c>
      <c r="B210" s="44" t="s">
        <v>98</v>
      </c>
      <c r="C210" s="45"/>
      <c r="D210" s="45"/>
      <c r="E210" s="45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>
        <f t="shared" ref="Q210" si="201">MAX(Q144-Q177,0)</f>
        <v>3.4</v>
      </c>
      <c r="R210" s="42">
        <f t="shared" ref="R210:T210" si="202">MAX(R144-R177,0)</f>
        <v>20.6</v>
      </c>
      <c r="S210" s="42">
        <f t="shared" si="202"/>
        <v>0</v>
      </c>
      <c r="T210" s="42">
        <f t="shared" si="202"/>
        <v>0</v>
      </c>
      <c r="U210" s="42">
        <f t="shared" ref="U210:AF210" si="203">MAX(U144-U177,0)</f>
        <v>10</v>
      </c>
      <c r="V210" s="42">
        <f t="shared" si="203"/>
        <v>0</v>
      </c>
      <c r="W210" s="42">
        <f t="shared" si="203"/>
        <v>93</v>
      </c>
      <c r="X210" s="42">
        <f t="shared" si="203"/>
        <v>0</v>
      </c>
      <c r="Y210" s="42">
        <f t="shared" si="203"/>
        <v>0</v>
      </c>
      <c r="Z210" s="42">
        <f t="shared" si="203"/>
        <v>48</v>
      </c>
      <c r="AA210" s="42">
        <f t="shared" si="203"/>
        <v>0</v>
      </c>
      <c r="AB210" s="42">
        <f t="shared" si="203"/>
        <v>245.7</v>
      </c>
      <c r="AC210" s="42">
        <f t="shared" si="203"/>
        <v>95.6</v>
      </c>
      <c r="AD210" s="42">
        <f t="shared" si="203"/>
        <v>0</v>
      </c>
      <c r="AE210" s="42">
        <f t="shared" si="203"/>
        <v>0</v>
      </c>
      <c r="AF210" s="43">
        <f t="shared" si="203"/>
        <v>112</v>
      </c>
    </row>
    <row r="211" ht="13.85" spans="1:32">
      <c r="A211" s="27" t="s">
        <v>2349</v>
      </c>
      <c r="B211" s="44" t="s">
        <v>100</v>
      </c>
      <c r="C211" s="45"/>
      <c r="D211" s="45"/>
      <c r="E211" s="45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>
        <f t="shared" ref="Q211" si="204">MAX(Q145-Q178,0)</f>
        <v>0</v>
      </c>
      <c r="R211" s="42">
        <f t="shared" ref="R211:T211" si="205">MAX(R145-R178,0)</f>
        <v>0</v>
      </c>
      <c r="S211" s="42">
        <f t="shared" si="205"/>
        <v>80</v>
      </c>
      <c r="T211" s="42">
        <f t="shared" si="205"/>
        <v>210</v>
      </c>
      <c r="U211" s="42">
        <f t="shared" ref="U211:AF211" si="206">MAX(U145-U178,0)</f>
        <v>575.233333333333</v>
      </c>
      <c r="V211" s="42">
        <f t="shared" si="206"/>
        <v>191.733333333333</v>
      </c>
      <c r="W211" s="42">
        <f t="shared" si="206"/>
        <v>675.733333333333</v>
      </c>
      <c r="X211" s="42">
        <f t="shared" si="206"/>
        <v>196.733333333333</v>
      </c>
      <c r="Y211" s="42">
        <f t="shared" si="206"/>
        <v>429.733333333333</v>
      </c>
      <c r="Z211" s="42">
        <f t="shared" si="206"/>
        <v>0</v>
      </c>
      <c r="AA211" s="42">
        <f t="shared" si="206"/>
        <v>201.033333333333</v>
      </c>
      <c r="AB211" s="42">
        <f t="shared" si="206"/>
        <v>0</v>
      </c>
      <c r="AC211" s="42">
        <f t="shared" si="206"/>
        <v>0</v>
      </c>
      <c r="AD211" s="42">
        <f t="shared" si="206"/>
        <v>1295.5</v>
      </c>
      <c r="AE211" s="42">
        <f t="shared" si="206"/>
        <v>1968.8</v>
      </c>
      <c r="AF211" s="43">
        <f t="shared" si="206"/>
        <v>1758.6</v>
      </c>
    </row>
    <row r="212" ht="13.85" spans="1:32">
      <c r="A212" s="27" t="s">
        <v>2349</v>
      </c>
      <c r="B212" s="44" t="s">
        <v>102</v>
      </c>
      <c r="C212" s="45"/>
      <c r="D212" s="45"/>
      <c r="E212" s="45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>
        <f t="shared" ref="Q212" si="207">MAX(Q146-Q179,0)</f>
        <v>37</v>
      </c>
      <c r="R212" s="42">
        <f t="shared" ref="R212:T212" si="208">MAX(R146-R179,0)</f>
        <v>0</v>
      </c>
      <c r="S212" s="42">
        <f t="shared" si="208"/>
        <v>0</v>
      </c>
      <c r="T212" s="42">
        <f t="shared" si="208"/>
        <v>10</v>
      </c>
      <c r="U212" s="42">
        <f t="shared" ref="U212:AF212" si="209">MAX(U146-U179,0)</f>
        <v>142.788888888889</v>
      </c>
      <c r="V212" s="42">
        <f t="shared" si="209"/>
        <v>27.1888888888889</v>
      </c>
      <c r="W212" s="42">
        <f t="shared" si="209"/>
        <v>18.7888888888889</v>
      </c>
      <c r="X212" s="42">
        <f t="shared" si="209"/>
        <v>109.288888888889</v>
      </c>
      <c r="Y212" s="42">
        <f t="shared" si="209"/>
        <v>82.2888888888889</v>
      </c>
      <c r="Z212" s="42">
        <f t="shared" si="209"/>
        <v>11.7888888888889</v>
      </c>
      <c r="AA212" s="42">
        <f t="shared" si="209"/>
        <v>191.788888888889</v>
      </c>
      <c r="AB212" s="42">
        <f t="shared" si="209"/>
        <v>290.088888888889</v>
      </c>
      <c r="AC212" s="42">
        <f t="shared" si="209"/>
        <v>23.9888888888889</v>
      </c>
      <c r="AD212" s="42">
        <f t="shared" si="209"/>
        <v>153.3</v>
      </c>
      <c r="AE212" s="42">
        <f t="shared" si="209"/>
        <v>261.6</v>
      </c>
      <c r="AF212" s="43">
        <f t="shared" si="209"/>
        <v>148</v>
      </c>
    </row>
    <row r="213" ht="13.85" spans="1:32">
      <c r="A213" s="27" t="s">
        <v>2349</v>
      </c>
      <c r="B213" s="44" t="s">
        <v>104</v>
      </c>
      <c r="C213" s="45"/>
      <c r="D213" s="45"/>
      <c r="E213" s="45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>
        <f t="shared" ref="Q213" si="210">MAX(Q147-Q180,0)</f>
        <v>0</v>
      </c>
      <c r="R213" s="42">
        <f t="shared" ref="R213:T213" si="211">MAX(R147-R180,0)</f>
        <v>0</v>
      </c>
      <c r="S213" s="42">
        <f t="shared" si="211"/>
        <v>0</v>
      </c>
      <c r="T213" s="42">
        <f t="shared" si="211"/>
        <v>0</v>
      </c>
      <c r="U213" s="42">
        <f t="shared" ref="U213:AF213" si="212">MAX(U147-U180,0)</f>
        <v>0</v>
      </c>
      <c r="V213" s="42">
        <f t="shared" si="212"/>
        <v>0</v>
      </c>
      <c r="W213" s="42">
        <f t="shared" si="212"/>
        <v>198</v>
      </c>
      <c r="X213" s="42">
        <f t="shared" si="212"/>
        <v>99</v>
      </c>
      <c r="Y213" s="42">
        <f t="shared" si="212"/>
        <v>50</v>
      </c>
      <c r="Z213" s="42">
        <f t="shared" si="212"/>
        <v>222.5</v>
      </c>
      <c r="AA213" s="42">
        <f t="shared" si="212"/>
        <v>523.1</v>
      </c>
      <c r="AB213" s="42">
        <f t="shared" si="212"/>
        <v>493.7</v>
      </c>
      <c r="AC213" s="42">
        <f t="shared" si="212"/>
        <v>445.5</v>
      </c>
      <c r="AD213" s="42">
        <f t="shared" si="212"/>
        <v>433.46</v>
      </c>
      <c r="AE213" s="42">
        <f t="shared" si="212"/>
        <v>244.66</v>
      </c>
      <c r="AF213" s="43">
        <f t="shared" si="212"/>
        <v>309.66</v>
      </c>
    </row>
    <row r="214" ht="13.85" spans="1:32">
      <c r="A214" s="27" t="s">
        <v>2349</v>
      </c>
      <c r="B214" s="44" t="s">
        <v>106</v>
      </c>
      <c r="C214" s="45"/>
      <c r="D214" s="45"/>
      <c r="E214" s="45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>
        <f t="shared" ref="Q214" si="213">MAX(Q148-Q181,0)</f>
        <v>12</v>
      </c>
      <c r="R214" s="42">
        <f t="shared" ref="R214:T214" si="214">MAX(R148-R181,0)</f>
        <v>40</v>
      </c>
      <c r="S214" s="42">
        <f t="shared" si="214"/>
        <v>90</v>
      </c>
      <c r="T214" s="42">
        <f t="shared" si="214"/>
        <v>150</v>
      </c>
      <c r="U214" s="42">
        <f t="shared" ref="U214:AF214" si="215">MAX(U148-U181,0)</f>
        <v>178.577777777778</v>
      </c>
      <c r="V214" s="42">
        <f t="shared" si="215"/>
        <v>98.0777777777778</v>
      </c>
      <c r="W214" s="42">
        <f t="shared" si="215"/>
        <v>162.577777777778</v>
      </c>
      <c r="X214" s="42">
        <f t="shared" si="215"/>
        <v>182.577777777778</v>
      </c>
      <c r="Y214" s="42">
        <f t="shared" si="215"/>
        <v>126.377777777778</v>
      </c>
      <c r="Z214" s="42">
        <f t="shared" si="215"/>
        <v>106.577777777778</v>
      </c>
      <c r="AA214" s="42">
        <f t="shared" si="215"/>
        <v>131.077777777778</v>
      </c>
      <c r="AB214" s="42">
        <f t="shared" si="215"/>
        <v>147.077777777778</v>
      </c>
      <c r="AC214" s="42">
        <f t="shared" si="215"/>
        <v>650.077777777778</v>
      </c>
      <c r="AD214" s="42">
        <f t="shared" si="215"/>
        <v>690.9</v>
      </c>
      <c r="AE214" s="42">
        <f t="shared" si="215"/>
        <v>556.3</v>
      </c>
      <c r="AF214" s="43">
        <f t="shared" si="215"/>
        <v>815.5</v>
      </c>
    </row>
    <row r="215" ht="13.85" spans="1:32">
      <c r="A215" s="27" t="s">
        <v>2349</v>
      </c>
      <c r="B215" s="44" t="s">
        <v>108</v>
      </c>
      <c r="C215" s="45"/>
      <c r="D215" s="45"/>
      <c r="E215" s="45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>
        <f t="shared" ref="Q215" si="216">MAX(Q149-Q182,0)</f>
        <v>0</v>
      </c>
      <c r="R215" s="42">
        <f t="shared" ref="R215:T215" si="217">MAX(R149-R182,0)</f>
        <v>0</v>
      </c>
      <c r="S215" s="42">
        <f t="shared" si="217"/>
        <v>0</v>
      </c>
      <c r="T215" s="42">
        <f t="shared" si="217"/>
        <v>0</v>
      </c>
      <c r="U215" s="42">
        <f t="shared" ref="U215:AF215" si="218">MAX(U149-U182,0)</f>
        <v>45.3111111111111</v>
      </c>
      <c r="V215" s="42">
        <f t="shared" si="218"/>
        <v>69.3111111111111</v>
      </c>
      <c r="W215" s="42">
        <f t="shared" si="218"/>
        <v>15.3111111111111</v>
      </c>
      <c r="X215" s="42">
        <f t="shared" si="218"/>
        <v>64.8111111111111</v>
      </c>
      <c r="Y215" s="42">
        <f t="shared" si="218"/>
        <v>48.3111111111111</v>
      </c>
      <c r="Z215" s="42">
        <f t="shared" si="218"/>
        <v>147.311111111111</v>
      </c>
      <c r="AA215" s="42">
        <f t="shared" si="218"/>
        <v>157.511111111111</v>
      </c>
      <c r="AB215" s="42">
        <f t="shared" si="218"/>
        <v>248.811111111111</v>
      </c>
      <c r="AC215" s="42">
        <f t="shared" si="218"/>
        <v>283.311111111111</v>
      </c>
      <c r="AD215" s="42">
        <f t="shared" si="218"/>
        <v>571.72</v>
      </c>
      <c r="AE215" s="42">
        <f t="shared" si="218"/>
        <v>656.12</v>
      </c>
      <c r="AF215" s="43">
        <f t="shared" si="218"/>
        <v>650.82</v>
      </c>
    </row>
    <row r="216" ht="13.85" spans="1:32">
      <c r="A216" s="27" t="s">
        <v>2349</v>
      </c>
      <c r="B216" s="44" t="s">
        <v>110</v>
      </c>
      <c r="C216" s="45"/>
      <c r="D216" s="45"/>
      <c r="E216" s="45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>
        <f t="shared" ref="Q216" si="219">MAX(Q150-Q183,0)</f>
        <v>12.3</v>
      </c>
      <c r="R216" s="42">
        <f t="shared" ref="R216:T216" si="220">MAX(R150-R183,0)</f>
        <v>24.7</v>
      </c>
      <c r="S216" s="42">
        <f t="shared" si="220"/>
        <v>30</v>
      </c>
      <c r="T216" s="42">
        <f t="shared" si="220"/>
        <v>140</v>
      </c>
      <c r="U216" s="42">
        <f t="shared" ref="U216:AF216" si="221">MAX(U150-U183,0)</f>
        <v>170</v>
      </c>
      <c r="V216" s="42">
        <f t="shared" si="221"/>
        <v>570.9</v>
      </c>
      <c r="W216" s="42">
        <f t="shared" si="221"/>
        <v>869.7</v>
      </c>
      <c r="X216" s="42">
        <f t="shared" si="221"/>
        <v>1167.6</v>
      </c>
      <c r="Y216" s="42">
        <f t="shared" si="221"/>
        <v>1315.9</v>
      </c>
      <c r="Z216" s="42">
        <f t="shared" si="221"/>
        <v>1226</v>
      </c>
      <c r="AA216" s="42">
        <f t="shared" si="221"/>
        <v>921.8</v>
      </c>
      <c r="AB216" s="42">
        <f t="shared" si="221"/>
        <v>830.7</v>
      </c>
      <c r="AC216" s="42">
        <f t="shared" si="221"/>
        <v>1111.4</v>
      </c>
      <c r="AD216" s="42">
        <f t="shared" si="221"/>
        <v>1951.44</v>
      </c>
      <c r="AE216" s="42">
        <f t="shared" si="221"/>
        <v>981.04</v>
      </c>
      <c r="AF216" s="43">
        <f t="shared" si="221"/>
        <v>2163.04</v>
      </c>
    </row>
    <row r="217" ht="13.85" spans="1:32">
      <c r="A217" s="27" t="s">
        <v>2349</v>
      </c>
      <c r="B217" s="44" t="s">
        <v>112</v>
      </c>
      <c r="C217" s="45"/>
      <c r="D217" s="45"/>
      <c r="E217" s="45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>
        <f t="shared" ref="Q217" si="222">MAX(Q151-Q184,0)</f>
        <v>0</v>
      </c>
      <c r="R217" s="42">
        <f t="shared" ref="R217:T217" si="223">MAX(R151-R184,0)</f>
        <v>0</v>
      </c>
      <c r="S217" s="42">
        <f t="shared" si="223"/>
        <v>0</v>
      </c>
      <c r="T217" s="42">
        <f t="shared" si="223"/>
        <v>30</v>
      </c>
      <c r="U217" s="42">
        <f t="shared" ref="U217:AF217" si="224">MAX(U151-U184,0)</f>
        <v>0</v>
      </c>
      <c r="V217" s="42">
        <f t="shared" si="224"/>
        <v>23.3</v>
      </c>
      <c r="W217" s="42">
        <f t="shared" si="224"/>
        <v>30.3</v>
      </c>
      <c r="X217" s="42">
        <f t="shared" si="224"/>
        <v>75</v>
      </c>
      <c r="Y217" s="42">
        <f t="shared" si="224"/>
        <v>50.5</v>
      </c>
      <c r="Z217" s="42">
        <f t="shared" si="224"/>
        <v>69.8</v>
      </c>
      <c r="AA217" s="42">
        <f t="shared" si="224"/>
        <v>323</v>
      </c>
      <c r="AB217" s="42">
        <f t="shared" si="224"/>
        <v>397.3</v>
      </c>
      <c r="AC217" s="42">
        <f t="shared" si="224"/>
        <v>340</v>
      </c>
      <c r="AD217" s="42">
        <f t="shared" si="224"/>
        <v>1345.7</v>
      </c>
      <c r="AE217" s="42">
        <f t="shared" si="224"/>
        <v>2379.3</v>
      </c>
      <c r="AF217" s="43">
        <f t="shared" si="224"/>
        <v>3265.4</v>
      </c>
    </row>
    <row r="218" ht="13.85" spans="1:32">
      <c r="A218" s="27" t="s">
        <v>2349</v>
      </c>
      <c r="B218" s="44" t="s">
        <v>114</v>
      </c>
      <c r="C218" s="45"/>
      <c r="D218" s="45"/>
      <c r="E218" s="45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>
        <f t="shared" ref="Q218" si="225">MAX(Q152-Q185,0)</f>
        <v>0</v>
      </c>
      <c r="R218" s="42">
        <f t="shared" ref="R218:T218" si="226">MAX(R152-R185,0)</f>
        <v>0</v>
      </c>
      <c r="S218" s="42">
        <f t="shared" si="226"/>
        <v>0</v>
      </c>
      <c r="T218" s="42">
        <f t="shared" si="226"/>
        <v>10</v>
      </c>
      <c r="U218" s="42">
        <f t="shared" ref="U218:AF218" si="227">MAX(U152-U185,0)</f>
        <v>0</v>
      </c>
      <c r="V218" s="42">
        <f t="shared" si="227"/>
        <v>4.5</v>
      </c>
      <c r="W218" s="42">
        <f t="shared" si="227"/>
        <v>73.6</v>
      </c>
      <c r="X218" s="42">
        <f t="shared" si="227"/>
        <v>58.2</v>
      </c>
      <c r="Y218" s="42">
        <f t="shared" si="227"/>
        <v>49.8</v>
      </c>
      <c r="Z218" s="42">
        <f t="shared" si="227"/>
        <v>259.1</v>
      </c>
      <c r="AA218" s="42">
        <f t="shared" si="227"/>
        <v>450</v>
      </c>
      <c r="AB218" s="42">
        <f t="shared" si="227"/>
        <v>494.6</v>
      </c>
      <c r="AC218" s="42">
        <f t="shared" si="227"/>
        <v>833</v>
      </c>
      <c r="AD218" s="42">
        <f t="shared" si="227"/>
        <v>670.8</v>
      </c>
      <c r="AE218" s="42">
        <f t="shared" si="227"/>
        <v>814.8</v>
      </c>
      <c r="AF218" s="43">
        <f t="shared" si="227"/>
        <v>757.4</v>
      </c>
    </row>
    <row r="219" ht="13.85" spans="1:32">
      <c r="A219" s="27" t="s">
        <v>2349</v>
      </c>
      <c r="B219" s="44" t="s">
        <v>116</v>
      </c>
      <c r="C219" s="45"/>
      <c r="D219" s="45"/>
      <c r="E219" s="45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>
        <f t="shared" ref="Q219" si="228">MAX(Q153-Q186,0)</f>
        <v>0</v>
      </c>
      <c r="R219" s="42">
        <f t="shared" ref="R219:T219" si="229">MAX(R153-R186,0)</f>
        <v>0</v>
      </c>
      <c r="S219" s="42">
        <f t="shared" si="229"/>
        <v>0</v>
      </c>
      <c r="T219" s="42">
        <f t="shared" si="229"/>
        <v>0</v>
      </c>
      <c r="U219" s="42">
        <f t="shared" ref="U219:AF219" si="230">MAX(U153-U186,0)</f>
        <v>0</v>
      </c>
      <c r="V219" s="42">
        <f t="shared" si="230"/>
        <v>0</v>
      </c>
      <c r="W219" s="42">
        <f t="shared" si="230"/>
        <v>36.3</v>
      </c>
      <c r="X219" s="42">
        <f t="shared" si="230"/>
        <v>97.5</v>
      </c>
      <c r="Y219" s="42">
        <f t="shared" si="230"/>
        <v>54</v>
      </c>
      <c r="Z219" s="42">
        <f t="shared" si="230"/>
        <v>215</v>
      </c>
      <c r="AA219" s="42">
        <f t="shared" si="230"/>
        <v>451.8</v>
      </c>
      <c r="AB219" s="42">
        <f t="shared" si="230"/>
        <v>1011.8</v>
      </c>
      <c r="AC219" s="42">
        <f t="shared" si="230"/>
        <v>860.8</v>
      </c>
      <c r="AD219" s="42">
        <f t="shared" si="230"/>
        <v>498.4</v>
      </c>
      <c r="AE219" s="42">
        <f t="shared" si="230"/>
        <v>1001.2</v>
      </c>
      <c r="AF219" s="43">
        <f t="shared" si="230"/>
        <v>711.1</v>
      </c>
    </row>
    <row r="220" ht="13.85" spans="1:32">
      <c r="A220" s="27" t="s">
        <v>2349</v>
      </c>
      <c r="B220" s="44" t="s">
        <v>118</v>
      </c>
      <c r="C220" s="45"/>
      <c r="D220" s="45"/>
      <c r="E220" s="45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>
        <f t="shared" ref="Q220" si="231">MAX(Q154-Q187,0)</f>
        <v>83</v>
      </c>
      <c r="R220" s="42">
        <f t="shared" ref="R220:T220" si="232">MAX(R154-R187,0)</f>
        <v>0</v>
      </c>
      <c r="S220" s="42">
        <f t="shared" si="232"/>
        <v>60</v>
      </c>
      <c r="T220" s="42">
        <f t="shared" si="232"/>
        <v>80</v>
      </c>
      <c r="U220" s="42">
        <f t="shared" ref="U220:AF220" si="233">MAX(U154-U187,0)</f>
        <v>68.4333333333332</v>
      </c>
      <c r="V220" s="42">
        <f t="shared" si="233"/>
        <v>234.933333333333</v>
      </c>
      <c r="W220" s="42">
        <f t="shared" si="233"/>
        <v>223.233333333333</v>
      </c>
      <c r="X220" s="42">
        <f t="shared" si="233"/>
        <v>303.333333333333</v>
      </c>
      <c r="Y220" s="42">
        <f t="shared" si="233"/>
        <v>424.233333333333</v>
      </c>
      <c r="Z220" s="42">
        <f t="shared" si="233"/>
        <v>266.433333333333</v>
      </c>
      <c r="AA220" s="42">
        <f t="shared" si="233"/>
        <v>368.033333333333</v>
      </c>
      <c r="AB220" s="42">
        <f t="shared" si="233"/>
        <v>317.433333333333</v>
      </c>
      <c r="AC220" s="42">
        <f t="shared" si="233"/>
        <v>25.9333333333332</v>
      </c>
      <c r="AD220" s="42">
        <f t="shared" si="233"/>
        <v>537.8</v>
      </c>
      <c r="AE220" s="42">
        <f t="shared" si="233"/>
        <v>270</v>
      </c>
      <c r="AF220" s="43">
        <f t="shared" si="233"/>
        <v>555.2</v>
      </c>
    </row>
    <row r="221" ht="13.85" spans="1:32">
      <c r="A221" s="27" t="s">
        <v>2349</v>
      </c>
      <c r="B221" s="44" t="s">
        <v>120</v>
      </c>
      <c r="C221" s="45"/>
      <c r="D221" s="45"/>
      <c r="E221" s="45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>
        <f t="shared" ref="Q221" si="234">MAX(Q155-Q188,0)</f>
        <v>0</v>
      </c>
      <c r="R221" s="42">
        <f t="shared" ref="R221:T221" si="235">MAX(R155-R188,0)</f>
        <v>0</v>
      </c>
      <c r="S221" s="42">
        <f t="shared" si="235"/>
        <v>0</v>
      </c>
      <c r="T221" s="42">
        <f t="shared" si="235"/>
        <v>0</v>
      </c>
      <c r="U221" s="42">
        <f t="shared" ref="U221:AF221" si="236">MAX(U155-U188,0)</f>
        <v>0</v>
      </c>
      <c r="V221" s="42">
        <f t="shared" si="236"/>
        <v>0</v>
      </c>
      <c r="W221" s="42">
        <f t="shared" si="236"/>
        <v>0</v>
      </c>
      <c r="X221" s="42">
        <f t="shared" si="236"/>
        <v>49.5</v>
      </c>
      <c r="Y221" s="42">
        <f t="shared" si="236"/>
        <v>49.5</v>
      </c>
      <c r="Z221" s="42">
        <f t="shared" si="236"/>
        <v>51</v>
      </c>
      <c r="AA221" s="42">
        <f t="shared" si="236"/>
        <v>0</v>
      </c>
      <c r="AB221" s="42">
        <f t="shared" si="236"/>
        <v>295.5</v>
      </c>
      <c r="AC221" s="42">
        <f t="shared" si="236"/>
        <v>349.5</v>
      </c>
      <c r="AD221" s="42">
        <f t="shared" si="236"/>
        <v>816.7</v>
      </c>
      <c r="AE221" s="42">
        <f t="shared" si="236"/>
        <v>614.2</v>
      </c>
      <c r="AF221" s="43">
        <f t="shared" si="236"/>
        <v>900.3</v>
      </c>
    </row>
    <row r="222" ht="13.85" spans="1:32">
      <c r="A222" s="27" t="s">
        <v>2349</v>
      </c>
      <c r="B222" s="44" t="s">
        <v>122</v>
      </c>
      <c r="C222" s="45"/>
      <c r="D222" s="45"/>
      <c r="E222" s="45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>
        <f t="shared" ref="Q222" si="237">MAX(Q156-Q189,0)</f>
        <v>8.7</v>
      </c>
      <c r="R222" s="42">
        <f t="shared" ref="R222:T222" si="238">MAX(R156-R189,0)</f>
        <v>0.300000000000001</v>
      </c>
      <c r="S222" s="42">
        <f t="shared" si="238"/>
        <v>0</v>
      </c>
      <c r="T222" s="42">
        <f t="shared" si="238"/>
        <v>0</v>
      </c>
      <c r="U222" s="42">
        <f t="shared" ref="U222:AF222" si="239">MAX(U156-U189,0)</f>
        <v>50</v>
      </c>
      <c r="V222" s="42">
        <f t="shared" si="239"/>
        <v>77.5</v>
      </c>
      <c r="W222" s="42">
        <f t="shared" si="239"/>
        <v>136.5</v>
      </c>
      <c r="X222" s="42">
        <f t="shared" si="239"/>
        <v>0</v>
      </c>
      <c r="Y222" s="42">
        <f t="shared" si="239"/>
        <v>48</v>
      </c>
      <c r="Z222" s="42">
        <f t="shared" si="239"/>
        <v>0</v>
      </c>
      <c r="AA222" s="42">
        <f t="shared" si="239"/>
        <v>0</v>
      </c>
      <c r="AB222" s="42">
        <f t="shared" si="239"/>
        <v>0</v>
      </c>
      <c r="AC222" s="42">
        <f t="shared" si="239"/>
        <v>0</v>
      </c>
      <c r="AD222" s="42">
        <f t="shared" si="239"/>
        <v>0</v>
      </c>
      <c r="AE222" s="42">
        <f t="shared" si="239"/>
        <v>0</v>
      </c>
      <c r="AF222" s="43">
        <f t="shared" si="239"/>
        <v>0</v>
      </c>
    </row>
    <row r="223" ht="13.85" spans="1:32">
      <c r="A223" s="27" t="s">
        <v>2349</v>
      </c>
      <c r="B223" s="44" t="s">
        <v>124</v>
      </c>
      <c r="C223" s="45"/>
      <c r="D223" s="45"/>
      <c r="E223" s="45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>
        <f t="shared" ref="Q223" si="240">MAX(Q157-Q190,0)</f>
        <v>0</v>
      </c>
      <c r="R223" s="42">
        <f t="shared" ref="R223:T223" si="241">MAX(R157-R190,0)</f>
        <v>0</v>
      </c>
      <c r="S223" s="42">
        <f t="shared" si="241"/>
        <v>0</v>
      </c>
      <c r="T223" s="42">
        <f t="shared" si="241"/>
        <v>0</v>
      </c>
      <c r="U223" s="42">
        <f t="shared" ref="U223:AF223" si="242">MAX(U157-U190,0)</f>
        <v>0</v>
      </c>
      <c r="V223" s="42">
        <f t="shared" si="242"/>
        <v>49.3</v>
      </c>
      <c r="W223" s="42">
        <f t="shared" si="242"/>
        <v>34</v>
      </c>
      <c r="X223" s="42">
        <f t="shared" si="242"/>
        <v>0</v>
      </c>
      <c r="Y223" s="42">
        <f t="shared" si="242"/>
        <v>0</v>
      </c>
      <c r="Z223" s="42">
        <f t="shared" si="242"/>
        <v>49.5</v>
      </c>
      <c r="AA223" s="42">
        <f t="shared" si="242"/>
        <v>0</v>
      </c>
      <c r="AB223" s="42">
        <f t="shared" si="242"/>
        <v>232</v>
      </c>
      <c r="AC223" s="42">
        <f t="shared" si="242"/>
        <v>99.5</v>
      </c>
      <c r="AD223" s="42">
        <f t="shared" si="242"/>
        <v>137.5</v>
      </c>
      <c r="AE223" s="42">
        <f t="shared" si="242"/>
        <v>190.9</v>
      </c>
      <c r="AF223" s="43">
        <f t="shared" si="242"/>
        <v>184</v>
      </c>
    </row>
    <row r="224" ht="13.85" spans="1:32">
      <c r="A224" s="27" t="s">
        <v>2349</v>
      </c>
      <c r="B224" s="44" t="s">
        <v>126</v>
      </c>
      <c r="C224" s="45"/>
      <c r="D224" s="45"/>
      <c r="E224" s="45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>
        <f t="shared" ref="Q224" si="243">MAX(Q158-Q191,0)</f>
        <v>0</v>
      </c>
      <c r="R224" s="42">
        <f t="shared" ref="R224:T224" si="244">MAX(R158-R191,0)</f>
        <v>0</v>
      </c>
      <c r="S224" s="42">
        <f t="shared" si="244"/>
        <v>0</v>
      </c>
      <c r="T224" s="42">
        <f t="shared" si="244"/>
        <v>0</v>
      </c>
      <c r="U224" s="42">
        <f t="shared" ref="U224:AF224" si="245">MAX(U158-U191,0)</f>
        <v>0</v>
      </c>
      <c r="V224" s="42">
        <f t="shared" si="245"/>
        <v>0</v>
      </c>
      <c r="W224" s="42">
        <f t="shared" si="245"/>
        <v>0</v>
      </c>
      <c r="X224" s="42">
        <f t="shared" si="245"/>
        <v>16</v>
      </c>
      <c r="Y224" s="42">
        <f t="shared" si="245"/>
        <v>0</v>
      </c>
      <c r="Z224" s="42">
        <f t="shared" si="245"/>
        <v>93.5</v>
      </c>
      <c r="AA224" s="42">
        <f t="shared" si="245"/>
        <v>325.5</v>
      </c>
      <c r="AB224" s="42">
        <f t="shared" si="245"/>
        <v>579</v>
      </c>
      <c r="AC224" s="42">
        <f t="shared" si="245"/>
        <v>675.5</v>
      </c>
      <c r="AD224" s="42">
        <f t="shared" si="245"/>
        <v>1259.5</v>
      </c>
      <c r="AE224" s="42">
        <f t="shared" si="245"/>
        <v>465.7</v>
      </c>
      <c r="AF224" s="43">
        <f t="shared" si="245"/>
        <v>662.9</v>
      </c>
    </row>
    <row r="225" ht="13.85" spans="1:32">
      <c r="A225" s="27" t="s">
        <v>2349</v>
      </c>
      <c r="B225" s="44" t="s">
        <v>128</v>
      </c>
      <c r="C225" s="45"/>
      <c r="D225" s="45"/>
      <c r="E225" s="45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>
        <f t="shared" ref="Q225" si="246">MAX(Q159-Q192,0)</f>
        <v>0</v>
      </c>
      <c r="R225" s="42">
        <f t="shared" ref="R225:T225" si="247">MAX(R159-R192,0)</f>
        <v>0</v>
      </c>
      <c r="S225" s="42">
        <f t="shared" si="247"/>
        <v>0</v>
      </c>
      <c r="T225" s="42">
        <f t="shared" si="247"/>
        <v>0</v>
      </c>
      <c r="U225" s="42">
        <f t="shared" ref="U225:AF225" si="248">MAX(U159-U192,0)</f>
        <v>31.3777777777778</v>
      </c>
      <c r="V225" s="42">
        <f t="shared" si="248"/>
        <v>31.3777777777778</v>
      </c>
      <c r="W225" s="42">
        <f t="shared" si="248"/>
        <v>31.3777777777778</v>
      </c>
      <c r="X225" s="42">
        <f t="shared" si="248"/>
        <v>185.877777777778</v>
      </c>
      <c r="Y225" s="42">
        <f t="shared" si="248"/>
        <v>481.377777777778</v>
      </c>
      <c r="Z225" s="42">
        <f t="shared" si="248"/>
        <v>1084.07777777778</v>
      </c>
      <c r="AA225" s="42">
        <f t="shared" si="248"/>
        <v>499.377777777778</v>
      </c>
      <c r="AB225" s="42">
        <f t="shared" si="248"/>
        <v>923.677777777778</v>
      </c>
      <c r="AC225" s="42">
        <f t="shared" si="248"/>
        <v>351.477777777778</v>
      </c>
      <c r="AD225" s="42">
        <f t="shared" si="248"/>
        <v>305.8</v>
      </c>
      <c r="AE225" s="42">
        <f t="shared" si="248"/>
        <v>148.4</v>
      </c>
      <c r="AF225" s="43">
        <f t="shared" si="248"/>
        <v>781.3</v>
      </c>
    </row>
    <row r="226" ht="13.85" spans="1:32">
      <c r="A226" s="27" t="s">
        <v>2349</v>
      </c>
      <c r="B226" s="44" t="s">
        <v>130</v>
      </c>
      <c r="C226" s="45"/>
      <c r="D226" s="45"/>
      <c r="E226" s="45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>
        <f t="shared" ref="Q226" si="249">MAX(Q160-Q193,0)</f>
        <v>0</v>
      </c>
      <c r="R226" s="42">
        <f t="shared" ref="R226:T226" si="250">MAX(R160-R193,0)</f>
        <v>0</v>
      </c>
      <c r="S226" s="42">
        <f t="shared" si="250"/>
        <v>0</v>
      </c>
      <c r="T226" s="42">
        <f t="shared" si="250"/>
        <v>0</v>
      </c>
      <c r="U226" s="42">
        <f t="shared" ref="U226:AF226" si="251">MAX(U160-U193,0)</f>
        <v>98.3666666666668</v>
      </c>
      <c r="V226" s="42">
        <f t="shared" si="251"/>
        <v>67.8666666666668</v>
      </c>
      <c r="W226" s="42">
        <f t="shared" si="251"/>
        <v>230.666666666667</v>
      </c>
      <c r="X226" s="42">
        <f t="shared" si="251"/>
        <v>418.166666666667</v>
      </c>
      <c r="Y226" s="42">
        <f t="shared" si="251"/>
        <v>1316.66666666667</v>
      </c>
      <c r="Z226" s="42">
        <f t="shared" si="251"/>
        <v>658.866666666667</v>
      </c>
      <c r="AA226" s="42">
        <f t="shared" si="251"/>
        <v>1320.86666666667</v>
      </c>
      <c r="AB226" s="42">
        <f t="shared" si="251"/>
        <v>2269.46666666667</v>
      </c>
      <c r="AC226" s="42">
        <f t="shared" si="251"/>
        <v>989.066666666667</v>
      </c>
      <c r="AD226" s="42">
        <f t="shared" si="251"/>
        <v>643.6</v>
      </c>
      <c r="AE226" s="42">
        <f t="shared" si="251"/>
        <v>119.6</v>
      </c>
      <c r="AF226" s="43">
        <f t="shared" si="251"/>
        <v>189.1</v>
      </c>
    </row>
    <row r="227" ht="13.85" spans="1:32">
      <c r="A227" s="27" t="s">
        <v>2349</v>
      </c>
      <c r="B227" s="44" t="s">
        <v>132</v>
      </c>
      <c r="C227" s="45"/>
      <c r="D227" s="45"/>
      <c r="E227" s="45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>
        <f t="shared" ref="Q227" si="252">MAX(Q161-Q194,0)</f>
        <v>0</v>
      </c>
      <c r="R227" s="42">
        <f t="shared" ref="R227:T227" si="253">MAX(R161-R194,0)</f>
        <v>0</v>
      </c>
      <c r="S227" s="42">
        <f t="shared" si="253"/>
        <v>0</v>
      </c>
      <c r="T227" s="42">
        <f t="shared" si="253"/>
        <v>0</v>
      </c>
      <c r="U227" s="42">
        <f t="shared" ref="U227:AF227" si="254">MAX(U161-U194,0)</f>
        <v>0.277777777777778</v>
      </c>
      <c r="V227" s="42">
        <f t="shared" si="254"/>
        <v>0.277777777777778</v>
      </c>
      <c r="W227" s="42">
        <f t="shared" si="254"/>
        <v>0.277777777777778</v>
      </c>
      <c r="X227" s="42">
        <f t="shared" si="254"/>
        <v>0.277777777777778</v>
      </c>
      <c r="Y227" s="42">
        <f t="shared" si="254"/>
        <v>0.277777777777778</v>
      </c>
      <c r="Z227" s="42">
        <f t="shared" si="254"/>
        <v>7.77777777777778</v>
      </c>
      <c r="AA227" s="42">
        <f t="shared" si="254"/>
        <v>0.277777777777778</v>
      </c>
      <c r="AB227" s="42">
        <f t="shared" si="254"/>
        <v>0.277777777777778</v>
      </c>
      <c r="AC227" s="42">
        <f t="shared" si="254"/>
        <v>0.277777777777778</v>
      </c>
      <c r="AD227" s="42">
        <f t="shared" si="254"/>
        <v>0</v>
      </c>
      <c r="AE227" s="42">
        <f t="shared" si="254"/>
        <v>0</v>
      </c>
      <c r="AF227" s="43">
        <f t="shared" si="254"/>
        <v>0</v>
      </c>
    </row>
    <row r="228" ht="13.85" spans="1:32">
      <c r="A228" s="27" t="s">
        <v>2349</v>
      </c>
      <c r="B228" s="44" t="s">
        <v>134</v>
      </c>
      <c r="C228" s="45"/>
      <c r="D228" s="45"/>
      <c r="E228" s="45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>
        <f t="shared" ref="Q228" si="255">MAX(Q162-Q195,0)</f>
        <v>0</v>
      </c>
      <c r="R228" s="42">
        <f t="shared" ref="R228:T228" si="256">MAX(R162-R195,0)</f>
        <v>0</v>
      </c>
      <c r="S228" s="42">
        <f t="shared" si="256"/>
        <v>0</v>
      </c>
      <c r="T228" s="42">
        <f t="shared" si="256"/>
        <v>0</v>
      </c>
      <c r="U228" s="42">
        <f t="shared" ref="U228:AF228" si="257">MAX(U162-U195,0)</f>
        <v>0</v>
      </c>
      <c r="V228" s="42">
        <f t="shared" si="257"/>
        <v>0</v>
      </c>
      <c r="W228" s="42">
        <f t="shared" si="257"/>
        <v>49.5</v>
      </c>
      <c r="X228" s="42">
        <f t="shared" si="257"/>
        <v>255</v>
      </c>
      <c r="Y228" s="42">
        <f t="shared" si="257"/>
        <v>219.5</v>
      </c>
      <c r="Z228" s="42">
        <f t="shared" si="257"/>
        <v>457</v>
      </c>
      <c r="AA228" s="42">
        <f t="shared" si="257"/>
        <v>294</v>
      </c>
      <c r="AB228" s="42">
        <f t="shared" si="257"/>
        <v>423.5</v>
      </c>
      <c r="AC228" s="42">
        <f t="shared" si="257"/>
        <v>911.6</v>
      </c>
      <c r="AD228" s="42">
        <f t="shared" si="257"/>
        <v>1442.24</v>
      </c>
      <c r="AE228" s="42">
        <f t="shared" si="257"/>
        <v>708.64</v>
      </c>
      <c r="AF228" s="43">
        <f t="shared" si="257"/>
        <v>1291.94</v>
      </c>
    </row>
    <row r="229" ht="13.85" spans="1:32">
      <c r="A229" s="27" t="s">
        <v>2349</v>
      </c>
      <c r="B229" s="44" t="s">
        <v>136</v>
      </c>
      <c r="C229" s="45"/>
      <c r="D229" s="45"/>
      <c r="E229" s="45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>
        <f t="shared" ref="Q229" si="258">MAX(Q163-Q196,0)</f>
        <v>52</v>
      </c>
      <c r="R229" s="42">
        <f t="shared" ref="R229:T229" si="259">MAX(R163-R196,0)</f>
        <v>0</v>
      </c>
      <c r="S229" s="42">
        <f t="shared" si="259"/>
        <v>110</v>
      </c>
      <c r="T229" s="42">
        <f t="shared" si="259"/>
        <v>150</v>
      </c>
      <c r="U229" s="42">
        <f t="shared" ref="U229:AF229" si="260">MAX(U163-U196,0)</f>
        <v>340</v>
      </c>
      <c r="V229" s="42">
        <f t="shared" si="260"/>
        <v>450</v>
      </c>
      <c r="W229" s="42">
        <f t="shared" si="260"/>
        <v>1700.5</v>
      </c>
      <c r="X229" s="42">
        <f t="shared" si="260"/>
        <v>2813.5</v>
      </c>
      <c r="Y229" s="42">
        <f t="shared" si="260"/>
        <v>751.5</v>
      </c>
      <c r="Z229" s="42">
        <f t="shared" si="260"/>
        <v>670.5</v>
      </c>
      <c r="AA229" s="42">
        <f t="shared" si="260"/>
        <v>3087</v>
      </c>
      <c r="AB229" s="42">
        <f t="shared" si="260"/>
        <v>2636.5</v>
      </c>
      <c r="AC229" s="42">
        <f t="shared" si="260"/>
        <v>249.7</v>
      </c>
      <c r="AD229" s="42">
        <f t="shared" si="260"/>
        <v>56.92</v>
      </c>
      <c r="AE229" s="42">
        <f t="shared" si="260"/>
        <v>7.41999999999996</v>
      </c>
      <c r="AF229" s="43">
        <f t="shared" si="260"/>
        <v>127.42</v>
      </c>
    </row>
    <row r="230" ht="13.85" spans="1:32">
      <c r="A230" s="27" t="s">
        <v>2349</v>
      </c>
      <c r="B230" s="44" t="s">
        <v>138</v>
      </c>
      <c r="C230" s="45"/>
      <c r="D230" s="45"/>
      <c r="E230" s="45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>
        <f t="shared" ref="Q230" si="261">MAX(Q164-Q197,0)</f>
        <v>0</v>
      </c>
      <c r="R230" s="42">
        <f t="shared" ref="R230:T230" si="262">MAX(R164-R197,0)</f>
        <v>0</v>
      </c>
      <c r="S230" s="42">
        <f t="shared" si="262"/>
        <v>0</v>
      </c>
      <c r="T230" s="42">
        <f t="shared" si="262"/>
        <v>0</v>
      </c>
      <c r="U230" s="42">
        <f t="shared" ref="U230:AF230" si="263">MAX(U164-U197,0)</f>
        <v>0</v>
      </c>
      <c r="V230" s="42">
        <f t="shared" si="263"/>
        <v>0</v>
      </c>
      <c r="W230" s="42">
        <f t="shared" si="263"/>
        <v>0</v>
      </c>
      <c r="X230" s="42">
        <f t="shared" si="263"/>
        <v>17</v>
      </c>
      <c r="Y230" s="42">
        <f t="shared" si="263"/>
        <v>2</v>
      </c>
      <c r="Z230" s="42">
        <f t="shared" si="263"/>
        <v>131.5</v>
      </c>
      <c r="AA230" s="42">
        <f t="shared" si="263"/>
        <v>178</v>
      </c>
      <c r="AB230" s="42">
        <f t="shared" si="263"/>
        <v>247.5</v>
      </c>
      <c r="AC230" s="42">
        <f t="shared" si="263"/>
        <v>298.5</v>
      </c>
      <c r="AD230" s="42">
        <f t="shared" si="263"/>
        <v>1102.8</v>
      </c>
      <c r="AE230" s="42">
        <f t="shared" si="263"/>
        <v>1119.1</v>
      </c>
      <c r="AF230" s="43">
        <f t="shared" si="263"/>
        <v>1952</v>
      </c>
    </row>
    <row r="231" ht="13.85" spans="1:32">
      <c r="A231" s="27" t="s">
        <v>2349</v>
      </c>
      <c r="B231" s="44" t="s">
        <v>140</v>
      </c>
      <c r="C231" s="45"/>
      <c r="D231" s="45"/>
      <c r="E231" s="45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>
        <f t="shared" ref="Q231" si="264">MAX(Q165-Q198,0)</f>
        <v>0</v>
      </c>
      <c r="R231" s="42">
        <f t="shared" ref="R231:T231" si="265">MAX(R165-R198,0)</f>
        <v>112</v>
      </c>
      <c r="S231" s="42">
        <f t="shared" si="265"/>
        <v>0</v>
      </c>
      <c r="T231" s="42">
        <f t="shared" si="265"/>
        <v>150</v>
      </c>
      <c r="U231" s="42">
        <f t="shared" ref="U231:AF231" si="266">MAX(U165-U198,0)</f>
        <v>130</v>
      </c>
      <c r="V231" s="42">
        <f t="shared" si="266"/>
        <v>154.5</v>
      </c>
      <c r="W231" s="42">
        <f t="shared" si="266"/>
        <v>325.5</v>
      </c>
      <c r="X231" s="42">
        <f t="shared" si="266"/>
        <v>990.8</v>
      </c>
      <c r="Y231" s="42">
        <f t="shared" si="266"/>
        <v>924.4</v>
      </c>
      <c r="Z231" s="42">
        <f t="shared" si="266"/>
        <v>597</v>
      </c>
      <c r="AA231" s="42">
        <f t="shared" si="266"/>
        <v>1693.2</v>
      </c>
      <c r="AB231" s="42">
        <f t="shared" si="266"/>
        <v>3213.6</v>
      </c>
      <c r="AC231" s="42">
        <f t="shared" si="266"/>
        <v>1773.9</v>
      </c>
      <c r="AD231" s="42">
        <f t="shared" si="266"/>
        <v>0</v>
      </c>
      <c r="AE231" s="42">
        <f t="shared" si="266"/>
        <v>842.6</v>
      </c>
      <c r="AF231" s="43">
        <f t="shared" si="266"/>
        <v>1098.1</v>
      </c>
    </row>
    <row r="232" ht="13.85" spans="1:32">
      <c r="A232" s="27" t="s">
        <v>2349</v>
      </c>
      <c r="B232" s="44" t="s">
        <v>142</v>
      </c>
      <c r="C232" s="45"/>
      <c r="D232" s="45"/>
      <c r="E232" s="45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>
        <f t="shared" ref="Q232" si="267">MAX(Q166-Q199,0)</f>
        <v>0</v>
      </c>
      <c r="R232" s="42">
        <f t="shared" ref="R232:T232" si="268">MAX(R166-R199,0)</f>
        <v>134</v>
      </c>
      <c r="S232" s="42">
        <f t="shared" si="268"/>
        <v>20</v>
      </c>
      <c r="T232" s="42">
        <f t="shared" si="268"/>
        <v>90</v>
      </c>
      <c r="U232" s="42">
        <f t="shared" ref="U232:AF232" si="269">MAX(U166-U199,0)</f>
        <v>170</v>
      </c>
      <c r="V232" s="42">
        <f t="shared" si="269"/>
        <v>372</v>
      </c>
      <c r="W232" s="42">
        <f t="shared" si="269"/>
        <v>326.2</v>
      </c>
      <c r="X232" s="42">
        <f t="shared" si="269"/>
        <v>445.5</v>
      </c>
      <c r="Y232" s="42">
        <f t="shared" si="269"/>
        <v>792</v>
      </c>
      <c r="Z232" s="42">
        <f t="shared" si="269"/>
        <v>2734</v>
      </c>
      <c r="AA232" s="42">
        <f t="shared" si="269"/>
        <v>2763.5</v>
      </c>
      <c r="AB232" s="42">
        <f t="shared" si="269"/>
        <v>7407.5</v>
      </c>
      <c r="AC232" s="42">
        <f t="shared" si="269"/>
        <v>2624</v>
      </c>
      <c r="AD232" s="42">
        <f t="shared" si="269"/>
        <v>299</v>
      </c>
      <c r="AE232" s="42">
        <f t="shared" si="269"/>
        <v>742.5</v>
      </c>
      <c r="AF232" s="43">
        <f t="shared" si="269"/>
        <v>649.5</v>
      </c>
    </row>
    <row r="233" s="38" customFormat="1" spans="1:32">
      <c r="A233" s="46"/>
      <c r="B233" s="46"/>
      <c r="C233" s="47"/>
      <c r="D233" s="47"/>
      <c r="E233" s="47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</row>
    <row r="234" ht="13.85" spans="1:32">
      <c r="A234" s="27" t="s">
        <v>161</v>
      </c>
      <c r="B234" s="41" t="s">
        <v>80</v>
      </c>
      <c r="C234" s="42">
        <f t="shared" ref="C234" si="270">SUM(C235:C265)</f>
        <v>0</v>
      </c>
      <c r="D234" s="42">
        <f t="shared" ref="D234" si="271">SUM(D235:D265)</f>
        <v>330</v>
      </c>
      <c r="E234" s="42">
        <f t="shared" ref="E234" si="272">SUM(E235:E265)</f>
        <v>0</v>
      </c>
      <c r="F234" s="42">
        <f t="shared" ref="F234" si="273">SUM(F235:F265)</f>
        <v>984</v>
      </c>
      <c r="G234" s="42">
        <f t="shared" ref="G234" si="274">SUM(G235:G265)</f>
        <v>984</v>
      </c>
      <c r="H234" s="42">
        <f t="shared" ref="H234" si="275">SUM(H235:H265)</f>
        <v>0</v>
      </c>
      <c r="I234" s="42">
        <f t="shared" ref="I234" si="276">SUM(I235:I265)</f>
        <v>0</v>
      </c>
      <c r="J234" s="42">
        <f t="shared" ref="J234" si="277">SUM(J235:J265)</f>
        <v>0</v>
      </c>
      <c r="K234" s="42">
        <f t="shared" ref="K234" si="278">SUM(K235:K265)</f>
        <v>0</v>
      </c>
      <c r="L234" s="42">
        <f t="shared" ref="L234" si="279">SUM(L235:L265)</f>
        <v>0</v>
      </c>
      <c r="M234" s="42">
        <f t="shared" ref="M234" si="280">SUM(M235:M265)</f>
        <v>0</v>
      </c>
      <c r="N234" s="42">
        <f t="shared" ref="N234" si="281">SUM(N235:N265)</f>
        <v>0</v>
      </c>
      <c r="O234" s="42">
        <f t="shared" ref="O234" si="282">SUM(O235:O265)</f>
        <v>3358</v>
      </c>
      <c r="P234" s="42">
        <f t="shared" ref="P234" si="283">SUM(P235:P265)</f>
        <v>728</v>
      </c>
      <c r="Q234" s="42">
        <f t="shared" ref="Q234" si="284">SUM(Q235:Q265)</f>
        <v>650</v>
      </c>
      <c r="R234" s="42">
        <f t="shared" ref="R234" si="285">SUM(R235:R265)</f>
        <v>0</v>
      </c>
      <c r="S234" s="42">
        <f t="shared" ref="S234" si="286">SUM(S235:S265)</f>
        <v>1060</v>
      </c>
      <c r="T234" s="42">
        <f t="shared" ref="T234" si="287">SUM(T235:T265)</f>
        <v>1060</v>
      </c>
      <c r="U234" s="42">
        <f t="shared" ref="U234" si="288">SUM(U235:U265)</f>
        <v>33.8888888888889</v>
      </c>
      <c r="V234" s="42">
        <f t="shared" ref="V234" si="289">SUM(V235:V265)</f>
        <v>33.8888888888889</v>
      </c>
      <c r="W234" s="42">
        <f t="shared" ref="W234" si="290">SUM(W235:W265)</f>
        <v>1779.88888888889</v>
      </c>
      <c r="X234" s="42">
        <f t="shared" ref="X234" si="291">SUM(X235:X265)</f>
        <v>1779.88888888889</v>
      </c>
      <c r="Y234" s="42">
        <f t="shared" ref="Y234" si="292">SUM(Y235:Y265)</f>
        <v>1122.88888888889</v>
      </c>
      <c r="Z234" s="42">
        <f t="shared" ref="Z234" si="293">SUM(Z235:Z265)</f>
        <v>3357.46888888889</v>
      </c>
      <c r="AA234" s="42">
        <f t="shared" ref="AA234" si="294">SUM(AA235:AA265)</f>
        <v>3300.88888888889</v>
      </c>
      <c r="AB234" s="42">
        <f t="shared" ref="AB234" si="295">SUM(AB235:AB265)</f>
        <v>8327.67888888889</v>
      </c>
      <c r="AC234" s="42">
        <f t="shared" ref="AC234" si="296">SUM(AC235:AC265)</f>
        <v>5066.67888888889</v>
      </c>
      <c r="AD234" s="42">
        <f t="shared" ref="AD234" si="297">SUM(AD235:AD265)</f>
        <v>3309.4</v>
      </c>
      <c r="AE234" s="42">
        <f t="shared" ref="AE234:AF234" si="298">SUM(AE235:AE265)</f>
        <v>8978.4</v>
      </c>
      <c r="AF234" s="43">
        <f t="shared" si="298"/>
        <v>2844.4</v>
      </c>
    </row>
    <row r="235" ht="13.85" spans="1:32">
      <c r="A235" s="27" t="s">
        <v>161</v>
      </c>
      <c r="B235" s="44" t="s">
        <v>82</v>
      </c>
      <c r="C235" s="42">
        <f>SUMIFS(Nuclear!$M:$M,Nuclear!$H:$H,$B235,Nuclear!$R:$R,C$2)</f>
        <v>0</v>
      </c>
      <c r="D235" s="42">
        <f>SUMIFS(Nuclear!$M:$M,Nuclear!$H:$H,$B235,Nuclear!$R:$R,D$2)</f>
        <v>0</v>
      </c>
      <c r="E235" s="42">
        <f>SUMIFS(Nuclear!$M:$M,Nuclear!$H:$H,$B235,Nuclear!$R:$R,E$2)</f>
        <v>0</v>
      </c>
      <c r="F235" s="42">
        <f>SUMIFS(Nuclear!$M:$M,Nuclear!$H:$H,$B235,Nuclear!$R:$R,F$2)</f>
        <v>0</v>
      </c>
      <c r="G235" s="42">
        <f>SUMIFS(Nuclear!$M:$M,Nuclear!$H:$H,$B235,Nuclear!$R:$R,G$2)</f>
        <v>0</v>
      </c>
      <c r="H235" s="42">
        <f>SUMIFS(Nuclear!$M:$M,Nuclear!$H:$H,$B235,Nuclear!$R:$R,H$2)</f>
        <v>0</v>
      </c>
      <c r="I235" s="42">
        <f>SUMIFS(Nuclear!$M:$M,Nuclear!$H:$H,$B235,Nuclear!$R:$R,I$2)</f>
        <v>0</v>
      </c>
      <c r="J235" s="42">
        <f>SUMIFS(Nuclear!$M:$M,Nuclear!$H:$H,$B235,Nuclear!$R:$R,J$2)</f>
        <v>0</v>
      </c>
      <c r="K235" s="42">
        <f>SUMIFS(Nuclear!$M:$M,Nuclear!$H:$H,$B235,Nuclear!$R:$R,K$2)</f>
        <v>0</v>
      </c>
      <c r="L235" s="42">
        <f>SUMIFS(Nuclear!$M:$M,Nuclear!$H:$H,$B235,Nuclear!$R:$R,L$2)</f>
        <v>0</v>
      </c>
      <c r="M235" s="42">
        <f>SUMIFS(Nuclear!$M:$M,Nuclear!$H:$H,$B235,Nuclear!$R:$R,M$2)</f>
        <v>0</v>
      </c>
      <c r="N235" s="42">
        <f>SUMIFS(Nuclear!$M:$M,Nuclear!$H:$H,$B235,Nuclear!$R:$R,N$2)</f>
        <v>0</v>
      </c>
      <c r="O235" s="42">
        <f>SUMIFS(Nuclear!$M:$M,Nuclear!$H:$H,$B235,Nuclear!$R:$R,O$2)</f>
        <v>0</v>
      </c>
      <c r="P235" s="42">
        <f>SUMIFS(Nuclear!$M:$M,Nuclear!$H:$H,$B235,Nuclear!$R:$R,P$2)</f>
        <v>0</v>
      </c>
      <c r="Q235" s="42">
        <f>SUMIFS(Nuclear!$M:$M,Nuclear!$H:$H,$B235,Nuclear!$R:$R,Q$2)</f>
        <v>0</v>
      </c>
      <c r="R235" s="42">
        <f>SUMIFS(Nuclear!$M:$M,Nuclear!$H:$H,$B235,Nuclear!$R:$R,R$2)</f>
        <v>0</v>
      </c>
      <c r="S235" s="42">
        <f>SUMIFS(Nuclear!$M:$M,Nuclear!$H:$H,$B235,Nuclear!$R:$R,S$2)</f>
        <v>0</v>
      </c>
      <c r="T235" s="42">
        <f>SUMIFS(Nuclear!$M:$M,Nuclear!$H:$H,$B235,Nuclear!$R:$R,T$2)</f>
        <v>0</v>
      </c>
      <c r="U235" s="42">
        <f>SUMIFS(Nuclear!$M:$M,Nuclear!$H:$H,$B235,Nuclear!$R:$R,U$2)+VLOOKUP($B235,'project vs stock'!$A$72:$W$103,21,FALSE)/9</f>
        <v>0</v>
      </c>
      <c r="V235" s="42">
        <f>SUMIFS(Nuclear!$M:$M,Nuclear!$H:$H,$B235,Nuclear!$R:$R,V$2)+VLOOKUP($B235,'project vs stock'!$A$72:$W$103,21,FALSE)/9</f>
        <v>0</v>
      </c>
      <c r="W235" s="42">
        <f>SUMIFS(Nuclear!$M:$M,Nuclear!$H:$H,$B235,Nuclear!$R:$R,W$2)+VLOOKUP($B235,'project vs stock'!$A$72:$W$103,21,FALSE)/9</f>
        <v>0</v>
      </c>
      <c r="X235" s="42">
        <f>SUMIFS(Nuclear!$M:$M,Nuclear!$H:$H,$B235,Nuclear!$R:$R,X$2)+VLOOKUP($B235,'project vs stock'!$A$72:$W$103,21,FALSE)/9</f>
        <v>0</v>
      </c>
      <c r="Y235" s="42">
        <f>SUMIFS(Nuclear!$M:$M,Nuclear!$H:$H,$B235,Nuclear!$R:$R,Y$2)+VLOOKUP($B235,'project vs stock'!$A$72:$W$103,21,FALSE)/9</f>
        <v>0</v>
      </c>
      <c r="Z235" s="42">
        <f>SUMIFS(Nuclear!$M:$M,Nuclear!$H:$H,$B235,Nuclear!$R:$R,Z$2)+VLOOKUP($B235,'project vs stock'!$A$72:$W$103,21,FALSE)/9</f>
        <v>0</v>
      </c>
      <c r="AA235" s="42">
        <f>SUMIFS(Nuclear!$M:$M,Nuclear!$H:$H,$B235,Nuclear!$R:$R,AA$2)+VLOOKUP($B235,'project vs stock'!$A$72:$W$103,21,FALSE)/9</f>
        <v>0</v>
      </c>
      <c r="AB235" s="42">
        <f>SUMIFS(Nuclear!$M:$M,Nuclear!$H:$H,$B235,Nuclear!$R:$R,AB$2)+VLOOKUP($B235,'project vs stock'!$A$72:$W$103,21,FALSE)/9</f>
        <v>0</v>
      </c>
      <c r="AC235" s="42">
        <f>SUMIFS(Nuclear!$M:$M,Nuclear!$H:$H,$B235,Nuclear!$R:$R,AC$2)+VLOOKUP($B235,'project vs stock'!$A$72:$W$103,21,FALSE)/9</f>
        <v>0</v>
      </c>
      <c r="AD235" s="42">
        <f>SUMIFS(Nuclear!$M:$M,Nuclear!$H:$H,$B235,Nuclear!$R:$R,AD$2)+VLOOKUP($B235,'project vs stock'!$A$72:$W$103,5,FALSE)/5</f>
        <v>0</v>
      </c>
      <c r="AE235" s="42">
        <f>SUMIFS(Nuclear!$M:$M,Nuclear!$H:$H,$B235,Nuclear!$R:$R,AE$2)+VLOOKUP($B235,'project vs stock'!$A$72:$W$103,5,FALSE)/5</f>
        <v>0</v>
      </c>
      <c r="AF235" s="43">
        <f>SUMIFS(Nuclear!$M:$M,Nuclear!$H:$H,$B235,Nuclear!$R:$R,AF$2)+VLOOKUP($B235,'project vs stock'!$A$72:$W$103,5,FALSE)/5</f>
        <v>0</v>
      </c>
    </row>
    <row r="236" ht="13.85" spans="1:32">
      <c r="A236" s="27" t="s">
        <v>161</v>
      </c>
      <c r="B236" s="44" t="s">
        <v>84</v>
      </c>
      <c r="C236" s="42">
        <f>SUMIFS(Nuclear!$M:$M,Nuclear!$H:$H,$B236,Nuclear!$R:$R,C$2)</f>
        <v>0</v>
      </c>
      <c r="D236" s="42">
        <f>SUMIFS(Nuclear!$M:$M,Nuclear!$H:$H,$B236,Nuclear!$R:$R,D$2)</f>
        <v>0</v>
      </c>
      <c r="E236" s="42">
        <f>SUMIFS(Nuclear!$M:$M,Nuclear!$H:$H,$B236,Nuclear!$R:$R,E$2)</f>
        <v>0</v>
      </c>
      <c r="F236" s="42">
        <f>SUMIFS(Nuclear!$M:$M,Nuclear!$H:$H,$B236,Nuclear!$R:$R,F$2)</f>
        <v>0</v>
      </c>
      <c r="G236" s="42">
        <f>SUMIFS(Nuclear!$M:$M,Nuclear!$H:$H,$B236,Nuclear!$R:$R,G$2)</f>
        <v>0</v>
      </c>
      <c r="H236" s="42">
        <f>SUMIFS(Nuclear!$M:$M,Nuclear!$H:$H,$B236,Nuclear!$R:$R,H$2)</f>
        <v>0</v>
      </c>
      <c r="I236" s="42">
        <f>SUMIFS(Nuclear!$M:$M,Nuclear!$H:$H,$B236,Nuclear!$R:$R,I$2)</f>
        <v>0</v>
      </c>
      <c r="J236" s="42">
        <f>SUMIFS(Nuclear!$M:$M,Nuclear!$H:$H,$B236,Nuclear!$R:$R,J$2)</f>
        <v>0</v>
      </c>
      <c r="K236" s="42">
        <f>SUMIFS(Nuclear!$M:$M,Nuclear!$H:$H,$B236,Nuclear!$R:$R,K$2)</f>
        <v>0</v>
      </c>
      <c r="L236" s="42">
        <f>SUMIFS(Nuclear!$M:$M,Nuclear!$H:$H,$B236,Nuclear!$R:$R,L$2)</f>
        <v>0</v>
      </c>
      <c r="M236" s="42">
        <f>SUMIFS(Nuclear!$M:$M,Nuclear!$H:$H,$B236,Nuclear!$R:$R,M$2)</f>
        <v>0</v>
      </c>
      <c r="N236" s="42">
        <f>SUMIFS(Nuclear!$M:$M,Nuclear!$H:$H,$B236,Nuclear!$R:$R,N$2)</f>
        <v>0</v>
      </c>
      <c r="O236" s="42">
        <f>SUMIFS(Nuclear!$M:$M,Nuclear!$H:$H,$B236,Nuclear!$R:$R,O$2)</f>
        <v>0</v>
      </c>
      <c r="P236" s="42">
        <f>SUMIFS(Nuclear!$M:$M,Nuclear!$H:$H,$B236,Nuclear!$R:$R,P$2)</f>
        <v>0</v>
      </c>
      <c r="Q236" s="42">
        <f>SUMIFS(Nuclear!$M:$M,Nuclear!$H:$H,$B236,Nuclear!$R:$R,Q$2)</f>
        <v>0</v>
      </c>
      <c r="R236" s="42">
        <f>SUMIFS(Nuclear!$M:$M,Nuclear!$H:$H,$B236,Nuclear!$R:$R,R$2)</f>
        <v>0</v>
      </c>
      <c r="S236" s="42">
        <f>SUMIFS(Nuclear!$M:$M,Nuclear!$H:$H,$B236,Nuclear!$R:$R,S$2)</f>
        <v>0</v>
      </c>
      <c r="T236" s="42">
        <f>SUMIFS(Nuclear!$M:$M,Nuclear!$H:$H,$B236,Nuclear!$R:$R,T$2)</f>
        <v>0</v>
      </c>
      <c r="U236" s="42">
        <f>SUMIFS(Nuclear!$M:$M,Nuclear!$H:$H,$B236,Nuclear!$R:$R,U$2)+VLOOKUP($B236,'project vs stock'!$A$72:$W$103,21,FALSE)/9</f>
        <v>0</v>
      </c>
      <c r="V236" s="42">
        <f>SUMIFS(Nuclear!$M:$M,Nuclear!$H:$H,$B236,Nuclear!$R:$R,V$2)+VLOOKUP($B236,'project vs stock'!$A$72:$W$103,21,FALSE)/9</f>
        <v>0</v>
      </c>
      <c r="W236" s="42">
        <f>SUMIFS(Nuclear!$M:$M,Nuclear!$H:$H,$B236,Nuclear!$R:$R,W$2)+VLOOKUP($B236,'project vs stock'!$A$72:$W$103,21,FALSE)/9</f>
        <v>0</v>
      </c>
      <c r="X236" s="42">
        <f>SUMIFS(Nuclear!$M:$M,Nuclear!$H:$H,$B236,Nuclear!$R:$R,X$2)+VLOOKUP($B236,'project vs stock'!$A$72:$W$103,21,FALSE)/9</f>
        <v>0</v>
      </c>
      <c r="Y236" s="42">
        <f>SUMIFS(Nuclear!$M:$M,Nuclear!$H:$H,$B236,Nuclear!$R:$R,Y$2)+VLOOKUP($B236,'project vs stock'!$A$72:$W$103,21,FALSE)/9</f>
        <v>0</v>
      </c>
      <c r="Z236" s="42">
        <f>SUMIFS(Nuclear!$M:$M,Nuclear!$H:$H,$B236,Nuclear!$R:$R,Z$2)+VLOOKUP($B236,'project vs stock'!$A$72:$W$103,21,FALSE)/9</f>
        <v>0</v>
      </c>
      <c r="AA236" s="42">
        <f>SUMIFS(Nuclear!$M:$M,Nuclear!$H:$H,$B236,Nuclear!$R:$R,AA$2)+VLOOKUP($B236,'project vs stock'!$A$72:$W$103,21,FALSE)/9</f>
        <v>0</v>
      </c>
      <c r="AB236" s="42">
        <f>SUMIFS(Nuclear!$M:$M,Nuclear!$H:$H,$B236,Nuclear!$R:$R,AB$2)+VLOOKUP($B236,'project vs stock'!$A$72:$W$103,21,FALSE)/9</f>
        <v>0</v>
      </c>
      <c r="AC236" s="42">
        <f>SUMIFS(Nuclear!$M:$M,Nuclear!$H:$H,$B236,Nuclear!$R:$R,AC$2)+VLOOKUP($B236,'project vs stock'!$A$72:$W$103,21,FALSE)/9</f>
        <v>0</v>
      </c>
      <c r="AD236" s="42">
        <f>SUMIFS(Nuclear!$M:$M,Nuclear!$H:$H,$B236,Nuclear!$R:$R,AD$2)+VLOOKUP($B236,'project vs stock'!$A$72:$W$103,5,FALSE)/5</f>
        <v>0</v>
      </c>
      <c r="AE236" s="42">
        <f>SUMIFS(Nuclear!$M:$M,Nuclear!$H:$H,$B236,Nuclear!$R:$R,AE$2)+VLOOKUP($B236,'project vs stock'!$A$72:$W$103,5,FALSE)/5</f>
        <v>0</v>
      </c>
      <c r="AF236" s="43">
        <f>SUMIFS(Nuclear!$M:$M,Nuclear!$H:$H,$B236,Nuclear!$R:$R,AF$2)+VLOOKUP($B236,'project vs stock'!$A$72:$W$103,5,FALSE)/5</f>
        <v>0</v>
      </c>
    </row>
    <row r="237" ht="13.85" spans="1:32">
      <c r="A237" s="27" t="s">
        <v>161</v>
      </c>
      <c r="B237" s="44" t="s">
        <v>86</v>
      </c>
      <c r="C237" s="42">
        <f>SUMIFS(Nuclear!$M:$M,Nuclear!$H:$H,$B237,Nuclear!$R:$R,C$2)</f>
        <v>0</v>
      </c>
      <c r="D237" s="42">
        <f>SUMIFS(Nuclear!$M:$M,Nuclear!$H:$H,$B237,Nuclear!$R:$R,D$2)</f>
        <v>0</v>
      </c>
      <c r="E237" s="42">
        <f>SUMIFS(Nuclear!$M:$M,Nuclear!$H:$H,$B237,Nuclear!$R:$R,E$2)</f>
        <v>0</v>
      </c>
      <c r="F237" s="42">
        <f>SUMIFS(Nuclear!$M:$M,Nuclear!$H:$H,$B237,Nuclear!$R:$R,F$2)</f>
        <v>0</v>
      </c>
      <c r="G237" s="42">
        <f>SUMIFS(Nuclear!$M:$M,Nuclear!$H:$H,$B237,Nuclear!$R:$R,G$2)</f>
        <v>0</v>
      </c>
      <c r="H237" s="42">
        <f>SUMIFS(Nuclear!$M:$M,Nuclear!$H:$H,$B237,Nuclear!$R:$R,H$2)</f>
        <v>0</v>
      </c>
      <c r="I237" s="42">
        <f>SUMIFS(Nuclear!$M:$M,Nuclear!$H:$H,$B237,Nuclear!$R:$R,I$2)</f>
        <v>0</v>
      </c>
      <c r="J237" s="42">
        <f>SUMIFS(Nuclear!$M:$M,Nuclear!$H:$H,$B237,Nuclear!$R:$R,J$2)</f>
        <v>0</v>
      </c>
      <c r="K237" s="42">
        <f>SUMIFS(Nuclear!$M:$M,Nuclear!$H:$H,$B237,Nuclear!$R:$R,K$2)</f>
        <v>0</v>
      </c>
      <c r="L237" s="42">
        <f>SUMIFS(Nuclear!$M:$M,Nuclear!$H:$H,$B237,Nuclear!$R:$R,L$2)</f>
        <v>0</v>
      </c>
      <c r="M237" s="42">
        <f>SUMIFS(Nuclear!$M:$M,Nuclear!$H:$H,$B237,Nuclear!$R:$R,M$2)</f>
        <v>0</v>
      </c>
      <c r="N237" s="42">
        <f>SUMIFS(Nuclear!$M:$M,Nuclear!$H:$H,$B237,Nuclear!$R:$R,N$2)</f>
        <v>0</v>
      </c>
      <c r="O237" s="42">
        <f>SUMIFS(Nuclear!$M:$M,Nuclear!$H:$H,$B237,Nuclear!$R:$R,O$2)</f>
        <v>0</v>
      </c>
      <c r="P237" s="42">
        <f>SUMIFS(Nuclear!$M:$M,Nuclear!$H:$H,$B237,Nuclear!$R:$R,P$2)</f>
        <v>0</v>
      </c>
      <c r="Q237" s="42">
        <f>SUMIFS(Nuclear!$M:$M,Nuclear!$H:$H,$B237,Nuclear!$R:$R,Q$2)</f>
        <v>0</v>
      </c>
      <c r="R237" s="42">
        <f>SUMIFS(Nuclear!$M:$M,Nuclear!$H:$H,$B237,Nuclear!$R:$R,R$2)</f>
        <v>0</v>
      </c>
      <c r="S237" s="42">
        <f>SUMIFS(Nuclear!$M:$M,Nuclear!$H:$H,$B237,Nuclear!$R:$R,S$2)</f>
        <v>0</v>
      </c>
      <c r="T237" s="42">
        <f>SUMIFS(Nuclear!$M:$M,Nuclear!$H:$H,$B237,Nuclear!$R:$R,T$2)</f>
        <v>0</v>
      </c>
      <c r="U237" s="42">
        <f>SUMIFS(Nuclear!$M:$M,Nuclear!$H:$H,$B237,Nuclear!$R:$R,U$2)+VLOOKUP($B237,'project vs stock'!$A$72:$W$103,21,FALSE)/9</f>
        <v>0</v>
      </c>
      <c r="V237" s="42">
        <f>SUMIFS(Nuclear!$M:$M,Nuclear!$H:$H,$B237,Nuclear!$R:$R,V$2)+VLOOKUP($B237,'project vs stock'!$A$72:$W$103,21,FALSE)/9</f>
        <v>0</v>
      </c>
      <c r="W237" s="42">
        <f>SUMIFS(Nuclear!$M:$M,Nuclear!$H:$H,$B237,Nuclear!$R:$R,W$2)+VLOOKUP($B237,'project vs stock'!$A$72:$W$103,21,FALSE)/9</f>
        <v>0</v>
      </c>
      <c r="X237" s="42">
        <f>SUMIFS(Nuclear!$M:$M,Nuclear!$H:$H,$B237,Nuclear!$R:$R,X$2)+VLOOKUP($B237,'project vs stock'!$A$72:$W$103,21,FALSE)/9</f>
        <v>0</v>
      </c>
      <c r="Y237" s="42">
        <f>SUMIFS(Nuclear!$M:$M,Nuclear!$H:$H,$B237,Nuclear!$R:$R,Y$2)+VLOOKUP($B237,'project vs stock'!$A$72:$W$103,21,FALSE)/9</f>
        <v>0</v>
      </c>
      <c r="Z237" s="42">
        <f>SUMIFS(Nuclear!$M:$M,Nuclear!$H:$H,$B237,Nuclear!$R:$R,Z$2)+VLOOKUP($B237,'project vs stock'!$A$72:$W$103,21,FALSE)/9</f>
        <v>0</v>
      </c>
      <c r="AA237" s="42">
        <f>SUMIFS(Nuclear!$M:$M,Nuclear!$H:$H,$B237,Nuclear!$R:$R,AA$2)+VLOOKUP($B237,'project vs stock'!$A$72:$W$103,21,FALSE)/9</f>
        <v>0</v>
      </c>
      <c r="AB237" s="42">
        <f>SUMIFS(Nuclear!$M:$M,Nuclear!$H:$H,$B237,Nuclear!$R:$R,AB$2)+VLOOKUP($B237,'project vs stock'!$A$72:$W$103,21,FALSE)/9</f>
        <v>0</v>
      </c>
      <c r="AC237" s="42">
        <f>SUMIFS(Nuclear!$M:$M,Nuclear!$H:$H,$B237,Nuclear!$R:$R,AC$2)+VLOOKUP($B237,'project vs stock'!$A$72:$W$103,21,FALSE)/9</f>
        <v>0</v>
      </c>
      <c r="AD237" s="42">
        <f>SUMIFS(Nuclear!$M:$M,Nuclear!$H:$H,$B237,Nuclear!$R:$R,AD$2)+VLOOKUP($B237,'project vs stock'!$A$72:$W$103,5,FALSE)/5</f>
        <v>0</v>
      </c>
      <c r="AE237" s="42">
        <f>SUMIFS(Nuclear!$M:$M,Nuclear!$H:$H,$B237,Nuclear!$R:$R,AE$2)+VLOOKUP($B237,'project vs stock'!$A$72:$W$103,5,FALSE)/5</f>
        <v>0</v>
      </c>
      <c r="AF237" s="43">
        <f>SUMIFS(Nuclear!$M:$M,Nuclear!$H:$H,$B237,Nuclear!$R:$R,AF$2)+VLOOKUP($B237,'project vs stock'!$A$72:$W$103,5,FALSE)/5</f>
        <v>0</v>
      </c>
    </row>
    <row r="238" ht="13.85" spans="1:32">
      <c r="A238" s="27" t="s">
        <v>161</v>
      </c>
      <c r="B238" s="44" t="s">
        <v>88</v>
      </c>
      <c r="C238" s="42">
        <f>SUMIFS(Nuclear!$M:$M,Nuclear!$H:$H,$B238,Nuclear!$R:$R,C$2)</f>
        <v>0</v>
      </c>
      <c r="D238" s="42">
        <f>SUMIFS(Nuclear!$M:$M,Nuclear!$H:$H,$B238,Nuclear!$R:$R,D$2)</f>
        <v>0</v>
      </c>
      <c r="E238" s="42">
        <f>SUMIFS(Nuclear!$M:$M,Nuclear!$H:$H,$B238,Nuclear!$R:$R,E$2)</f>
        <v>0</v>
      </c>
      <c r="F238" s="42">
        <f>SUMIFS(Nuclear!$M:$M,Nuclear!$H:$H,$B238,Nuclear!$R:$R,F$2)</f>
        <v>0</v>
      </c>
      <c r="G238" s="42">
        <f>SUMIFS(Nuclear!$M:$M,Nuclear!$H:$H,$B238,Nuclear!$R:$R,G$2)</f>
        <v>0</v>
      </c>
      <c r="H238" s="42">
        <f>SUMIFS(Nuclear!$M:$M,Nuclear!$H:$H,$B238,Nuclear!$R:$R,H$2)</f>
        <v>0</v>
      </c>
      <c r="I238" s="42">
        <f>SUMIFS(Nuclear!$M:$M,Nuclear!$H:$H,$B238,Nuclear!$R:$R,I$2)</f>
        <v>0</v>
      </c>
      <c r="J238" s="42">
        <f>SUMIFS(Nuclear!$M:$M,Nuclear!$H:$H,$B238,Nuclear!$R:$R,J$2)</f>
        <v>0</v>
      </c>
      <c r="K238" s="42">
        <f>SUMIFS(Nuclear!$M:$M,Nuclear!$H:$H,$B238,Nuclear!$R:$R,K$2)</f>
        <v>0</v>
      </c>
      <c r="L238" s="42">
        <f>SUMIFS(Nuclear!$M:$M,Nuclear!$H:$H,$B238,Nuclear!$R:$R,L$2)</f>
        <v>0</v>
      </c>
      <c r="M238" s="42">
        <f>SUMIFS(Nuclear!$M:$M,Nuclear!$H:$H,$B238,Nuclear!$R:$R,M$2)</f>
        <v>0</v>
      </c>
      <c r="N238" s="42">
        <f>SUMIFS(Nuclear!$M:$M,Nuclear!$H:$H,$B238,Nuclear!$R:$R,N$2)</f>
        <v>0</v>
      </c>
      <c r="O238" s="42">
        <f>SUMIFS(Nuclear!$M:$M,Nuclear!$H:$H,$B238,Nuclear!$R:$R,O$2)</f>
        <v>0</v>
      </c>
      <c r="P238" s="42">
        <f>SUMIFS(Nuclear!$M:$M,Nuclear!$H:$H,$B238,Nuclear!$R:$R,P$2)</f>
        <v>0</v>
      </c>
      <c r="Q238" s="42">
        <f>SUMIFS(Nuclear!$M:$M,Nuclear!$H:$H,$B238,Nuclear!$R:$R,Q$2)</f>
        <v>0</v>
      </c>
      <c r="R238" s="42">
        <f>SUMIFS(Nuclear!$M:$M,Nuclear!$H:$H,$B238,Nuclear!$R:$R,R$2)</f>
        <v>0</v>
      </c>
      <c r="S238" s="42">
        <f>SUMIFS(Nuclear!$M:$M,Nuclear!$H:$H,$B238,Nuclear!$R:$R,S$2)</f>
        <v>0</v>
      </c>
      <c r="T238" s="42">
        <f>SUMIFS(Nuclear!$M:$M,Nuclear!$H:$H,$B238,Nuclear!$R:$R,T$2)</f>
        <v>0</v>
      </c>
      <c r="U238" s="42">
        <f>SUMIFS(Nuclear!$M:$M,Nuclear!$H:$H,$B238,Nuclear!$R:$R,U$2)+VLOOKUP($B238,'project vs stock'!$A$72:$W$103,21,FALSE)/9</f>
        <v>0</v>
      </c>
      <c r="V238" s="42">
        <f>SUMIFS(Nuclear!$M:$M,Nuclear!$H:$H,$B238,Nuclear!$R:$R,V$2)+VLOOKUP($B238,'project vs stock'!$A$72:$W$103,21,FALSE)/9</f>
        <v>0</v>
      </c>
      <c r="W238" s="42">
        <f>SUMIFS(Nuclear!$M:$M,Nuclear!$H:$H,$B238,Nuclear!$R:$R,W$2)+VLOOKUP($B238,'project vs stock'!$A$72:$W$103,21,FALSE)/9</f>
        <v>0</v>
      </c>
      <c r="X238" s="42">
        <f>SUMIFS(Nuclear!$M:$M,Nuclear!$H:$H,$B238,Nuclear!$R:$R,X$2)+VLOOKUP($B238,'project vs stock'!$A$72:$W$103,21,FALSE)/9</f>
        <v>0</v>
      </c>
      <c r="Y238" s="42">
        <f>SUMIFS(Nuclear!$M:$M,Nuclear!$H:$H,$B238,Nuclear!$R:$R,Y$2)+VLOOKUP($B238,'project vs stock'!$A$72:$W$103,21,FALSE)/9</f>
        <v>0</v>
      </c>
      <c r="Z238" s="42">
        <f>SUMIFS(Nuclear!$M:$M,Nuclear!$H:$H,$B238,Nuclear!$R:$R,Z$2)+VLOOKUP($B238,'project vs stock'!$A$72:$W$103,21,FALSE)/9</f>
        <v>0</v>
      </c>
      <c r="AA238" s="42">
        <f>SUMIFS(Nuclear!$M:$M,Nuclear!$H:$H,$B238,Nuclear!$R:$R,AA$2)+VLOOKUP($B238,'project vs stock'!$A$72:$W$103,21,FALSE)/9</f>
        <v>0</v>
      </c>
      <c r="AB238" s="42">
        <f>SUMIFS(Nuclear!$M:$M,Nuclear!$H:$H,$B238,Nuclear!$R:$R,AB$2)+VLOOKUP($B238,'project vs stock'!$A$72:$W$103,21,FALSE)/9</f>
        <v>0</v>
      </c>
      <c r="AC238" s="42">
        <f>SUMIFS(Nuclear!$M:$M,Nuclear!$H:$H,$B238,Nuclear!$R:$R,AC$2)+VLOOKUP($B238,'project vs stock'!$A$72:$W$103,21,FALSE)/9</f>
        <v>0</v>
      </c>
      <c r="AD238" s="42">
        <f>SUMIFS(Nuclear!$M:$M,Nuclear!$H:$H,$B238,Nuclear!$R:$R,AD$2)+VLOOKUP($B238,'project vs stock'!$A$72:$W$103,5,FALSE)/5</f>
        <v>0</v>
      </c>
      <c r="AE238" s="42">
        <f>SUMIFS(Nuclear!$M:$M,Nuclear!$H:$H,$B238,Nuclear!$R:$R,AE$2)+VLOOKUP($B238,'project vs stock'!$A$72:$W$103,5,FALSE)/5</f>
        <v>0</v>
      </c>
      <c r="AF238" s="43">
        <f>SUMIFS(Nuclear!$M:$M,Nuclear!$H:$H,$B238,Nuclear!$R:$R,AF$2)+VLOOKUP($B238,'project vs stock'!$A$72:$W$103,5,FALSE)/5</f>
        <v>0</v>
      </c>
    </row>
    <row r="239" ht="13.85" spans="1:32">
      <c r="A239" s="27" t="s">
        <v>161</v>
      </c>
      <c r="B239" s="44" t="s">
        <v>90</v>
      </c>
      <c r="C239" s="42">
        <f>SUMIFS(Nuclear!$M:$M,Nuclear!$H:$H,$B239,Nuclear!$R:$R,C$2)</f>
        <v>0</v>
      </c>
      <c r="D239" s="42">
        <f>SUMIFS(Nuclear!$M:$M,Nuclear!$H:$H,$B239,Nuclear!$R:$R,D$2)</f>
        <v>0</v>
      </c>
      <c r="E239" s="42">
        <f>SUMIFS(Nuclear!$M:$M,Nuclear!$H:$H,$B239,Nuclear!$R:$R,E$2)</f>
        <v>0</v>
      </c>
      <c r="F239" s="42">
        <f>SUMIFS(Nuclear!$M:$M,Nuclear!$H:$H,$B239,Nuclear!$R:$R,F$2)</f>
        <v>0</v>
      </c>
      <c r="G239" s="42">
        <f>SUMIFS(Nuclear!$M:$M,Nuclear!$H:$H,$B239,Nuclear!$R:$R,G$2)</f>
        <v>0</v>
      </c>
      <c r="H239" s="42">
        <f>SUMIFS(Nuclear!$M:$M,Nuclear!$H:$H,$B239,Nuclear!$R:$R,H$2)</f>
        <v>0</v>
      </c>
      <c r="I239" s="42">
        <f>SUMIFS(Nuclear!$M:$M,Nuclear!$H:$H,$B239,Nuclear!$R:$R,I$2)</f>
        <v>0</v>
      </c>
      <c r="J239" s="42">
        <f>SUMIFS(Nuclear!$M:$M,Nuclear!$H:$H,$B239,Nuclear!$R:$R,J$2)</f>
        <v>0</v>
      </c>
      <c r="K239" s="42">
        <f>SUMIFS(Nuclear!$M:$M,Nuclear!$H:$H,$B239,Nuclear!$R:$R,K$2)</f>
        <v>0</v>
      </c>
      <c r="L239" s="42">
        <f>SUMIFS(Nuclear!$M:$M,Nuclear!$H:$H,$B239,Nuclear!$R:$R,L$2)</f>
        <v>0</v>
      </c>
      <c r="M239" s="42">
        <f>SUMIFS(Nuclear!$M:$M,Nuclear!$H:$H,$B239,Nuclear!$R:$R,M$2)</f>
        <v>0</v>
      </c>
      <c r="N239" s="42">
        <f>SUMIFS(Nuclear!$M:$M,Nuclear!$H:$H,$B239,Nuclear!$R:$R,N$2)</f>
        <v>0</v>
      </c>
      <c r="O239" s="42">
        <f>SUMIFS(Nuclear!$M:$M,Nuclear!$H:$H,$B239,Nuclear!$R:$R,O$2)</f>
        <v>0</v>
      </c>
      <c r="P239" s="42">
        <f>SUMIFS(Nuclear!$M:$M,Nuclear!$H:$H,$B239,Nuclear!$R:$R,P$2)</f>
        <v>0</v>
      </c>
      <c r="Q239" s="42">
        <f>SUMIFS(Nuclear!$M:$M,Nuclear!$H:$H,$B239,Nuclear!$R:$R,Q$2)</f>
        <v>0</v>
      </c>
      <c r="R239" s="42">
        <f>SUMIFS(Nuclear!$M:$M,Nuclear!$H:$H,$B239,Nuclear!$R:$R,R$2)</f>
        <v>0</v>
      </c>
      <c r="S239" s="42">
        <f>SUMIFS(Nuclear!$M:$M,Nuclear!$H:$H,$B239,Nuclear!$R:$R,S$2)</f>
        <v>0</v>
      </c>
      <c r="T239" s="42">
        <f>SUMIFS(Nuclear!$M:$M,Nuclear!$H:$H,$B239,Nuclear!$R:$R,T$2)</f>
        <v>0</v>
      </c>
      <c r="U239" s="42">
        <f>SUMIFS(Nuclear!$M:$M,Nuclear!$H:$H,$B239,Nuclear!$R:$R,U$2)+VLOOKUP($B239,'project vs stock'!$A$72:$W$103,21,FALSE)/9</f>
        <v>0</v>
      </c>
      <c r="V239" s="42">
        <f>SUMIFS(Nuclear!$M:$M,Nuclear!$H:$H,$B239,Nuclear!$R:$R,V$2)+VLOOKUP($B239,'project vs stock'!$A$72:$W$103,21,FALSE)/9</f>
        <v>0</v>
      </c>
      <c r="W239" s="42">
        <f>SUMIFS(Nuclear!$M:$M,Nuclear!$H:$H,$B239,Nuclear!$R:$R,W$2)+VLOOKUP($B239,'project vs stock'!$A$72:$W$103,21,FALSE)/9</f>
        <v>0</v>
      </c>
      <c r="X239" s="42">
        <f>SUMIFS(Nuclear!$M:$M,Nuclear!$H:$H,$B239,Nuclear!$R:$R,X$2)+VLOOKUP($B239,'project vs stock'!$A$72:$W$103,21,FALSE)/9</f>
        <v>0</v>
      </c>
      <c r="Y239" s="42">
        <f>SUMIFS(Nuclear!$M:$M,Nuclear!$H:$H,$B239,Nuclear!$R:$R,Y$2)+VLOOKUP($B239,'project vs stock'!$A$72:$W$103,21,FALSE)/9</f>
        <v>0</v>
      </c>
      <c r="Z239" s="42">
        <f>SUMIFS(Nuclear!$M:$M,Nuclear!$H:$H,$B239,Nuclear!$R:$R,Z$2)+VLOOKUP($B239,'project vs stock'!$A$72:$W$103,21,FALSE)/9</f>
        <v>0</v>
      </c>
      <c r="AA239" s="42">
        <f>SUMIFS(Nuclear!$M:$M,Nuclear!$H:$H,$B239,Nuclear!$R:$R,AA$2)+VLOOKUP($B239,'project vs stock'!$A$72:$W$103,21,FALSE)/9</f>
        <v>0</v>
      </c>
      <c r="AB239" s="42">
        <f>SUMIFS(Nuclear!$M:$M,Nuclear!$H:$H,$B239,Nuclear!$R:$R,AB$2)+VLOOKUP($B239,'project vs stock'!$A$72:$W$103,21,FALSE)/9</f>
        <v>0</v>
      </c>
      <c r="AC239" s="42">
        <f>SUMIFS(Nuclear!$M:$M,Nuclear!$H:$H,$B239,Nuclear!$R:$R,AC$2)+VLOOKUP($B239,'project vs stock'!$A$72:$W$103,21,FALSE)/9</f>
        <v>0</v>
      </c>
      <c r="AD239" s="42">
        <f>SUMIFS(Nuclear!$M:$M,Nuclear!$H:$H,$B239,Nuclear!$R:$R,AD$2)+VLOOKUP($B239,'project vs stock'!$A$72:$W$103,5,FALSE)/5</f>
        <v>0</v>
      </c>
      <c r="AE239" s="42">
        <f>SUMIFS(Nuclear!$M:$M,Nuclear!$H:$H,$B239,Nuclear!$R:$R,AE$2)+VLOOKUP($B239,'project vs stock'!$A$72:$W$103,5,FALSE)/5</f>
        <v>0</v>
      </c>
      <c r="AF239" s="43">
        <f>SUMIFS(Nuclear!$M:$M,Nuclear!$H:$H,$B239,Nuclear!$R:$R,AF$2)+VLOOKUP($B239,'project vs stock'!$A$72:$W$103,5,FALSE)/5</f>
        <v>0</v>
      </c>
    </row>
    <row r="240" ht="13.85" spans="1:32">
      <c r="A240" s="27" t="s">
        <v>161</v>
      </c>
      <c r="B240" s="44" t="s">
        <v>92</v>
      </c>
      <c r="C240" s="42">
        <f>SUMIFS(Nuclear!$M:$M,Nuclear!$H:$H,$B240,Nuclear!$R:$R,C$2)</f>
        <v>0</v>
      </c>
      <c r="D240" s="42">
        <f>SUMIFS(Nuclear!$M:$M,Nuclear!$H:$H,$B240,Nuclear!$R:$R,D$2)</f>
        <v>0</v>
      </c>
      <c r="E240" s="42">
        <f>SUMIFS(Nuclear!$M:$M,Nuclear!$H:$H,$B240,Nuclear!$R:$R,E$2)</f>
        <v>0</v>
      </c>
      <c r="F240" s="42">
        <f>SUMIFS(Nuclear!$M:$M,Nuclear!$H:$H,$B240,Nuclear!$R:$R,F$2)</f>
        <v>0</v>
      </c>
      <c r="G240" s="42">
        <f>SUMIFS(Nuclear!$M:$M,Nuclear!$H:$H,$B240,Nuclear!$R:$R,G$2)</f>
        <v>0</v>
      </c>
      <c r="H240" s="42">
        <f>SUMIFS(Nuclear!$M:$M,Nuclear!$H:$H,$B240,Nuclear!$R:$R,H$2)</f>
        <v>0</v>
      </c>
      <c r="I240" s="42">
        <f>SUMIFS(Nuclear!$M:$M,Nuclear!$H:$H,$B240,Nuclear!$R:$R,I$2)</f>
        <v>0</v>
      </c>
      <c r="J240" s="42">
        <f>SUMIFS(Nuclear!$M:$M,Nuclear!$H:$H,$B240,Nuclear!$R:$R,J$2)</f>
        <v>0</v>
      </c>
      <c r="K240" s="42">
        <f>SUMIFS(Nuclear!$M:$M,Nuclear!$H:$H,$B240,Nuclear!$R:$R,K$2)</f>
        <v>0</v>
      </c>
      <c r="L240" s="42">
        <f>SUMIFS(Nuclear!$M:$M,Nuclear!$H:$H,$B240,Nuclear!$R:$R,L$2)</f>
        <v>0</v>
      </c>
      <c r="M240" s="42">
        <f>SUMIFS(Nuclear!$M:$M,Nuclear!$H:$H,$B240,Nuclear!$R:$R,M$2)</f>
        <v>0</v>
      </c>
      <c r="N240" s="42">
        <f>SUMIFS(Nuclear!$M:$M,Nuclear!$H:$H,$B240,Nuclear!$R:$R,N$2)</f>
        <v>0</v>
      </c>
      <c r="O240" s="42">
        <f>SUMIFS(Nuclear!$M:$M,Nuclear!$H:$H,$B240,Nuclear!$R:$R,O$2)</f>
        <v>0</v>
      </c>
      <c r="P240" s="42">
        <f>SUMIFS(Nuclear!$M:$M,Nuclear!$H:$H,$B240,Nuclear!$R:$R,P$2)</f>
        <v>0</v>
      </c>
      <c r="Q240" s="42">
        <f>SUMIFS(Nuclear!$M:$M,Nuclear!$H:$H,$B240,Nuclear!$R:$R,Q$2)</f>
        <v>0</v>
      </c>
      <c r="R240" s="42">
        <f>SUMIFS(Nuclear!$M:$M,Nuclear!$H:$H,$B240,Nuclear!$R:$R,R$2)</f>
        <v>0</v>
      </c>
      <c r="S240" s="42">
        <f>SUMIFS(Nuclear!$M:$M,Nuclear!$H:$H,$B240,Nuclear!$R:$R,S$2)</f>
        <v>0</v>
      </c>
      <c r="T240" s="42">
        <f>SUMIFS(Nuclear!$M:$M,Nuclear!$H:$H,$B240,Nuclear!$R:$R,T$2)</f>
        <v>0</v>
      </c>
      <c r="U240" s="42">
        <f>SUMIFS(Nuclear!$M:$M,Nuclear!$H:$H,$B240,Nuclear!$R:$R,U$2)+VLOOKUP($B240,'project vs stock'!$A$72:$W$103,21,FALSE)/9</f>
        <v>0.533333333333354</v>
      </c>
      <c r="V240" s="42">
        <f>SUMIFS(Nuclear!$M:$M,Nuclear!$H:$H,$B240,Nuclear!$R:$R,V$2)+VLOOKUP($B240,'project vs stock'!$A$72:$W$103,21,FALSE)/9</f>
        <v>0.533333333333354</v>
      </c>
      <c r="W240" s="42">
        <f>SUMIFS(Nuclear!$M:$M,Nuclear!$H:$H,$B240,Nuclear!$R:$R,W$2)+VLOOKUP($B240,'project vs stock'!$A$72:$W$103,21,FALSE)/9</f>
        <v>0.533333333333354</v>
      </c>
      <c r="X240" s="42">
        <f>SUMIFS(Nuclear!$M:$M,Nuclear!$H:$H,$B240,Nuclear!$R:$R,X$2)+VLOOKUP($B240,'project vs stock'!$A$72:$W$103,21,FALSE)/9</f>
        <v>0.533333333333354</v>
      </c>
      <c r="Y240" s="42">
        <f>SUMIFS(Nuclear!$M:$M,Nuclear!$H:$H,$B240,Nuclear!$R:$R,Y$2)+VLOOKUP($B240,'project vs stock'!$A$72:$W$103,21,FALSE)/9</f>
        <v>0.533333333333354</v>
      </c>
      <c r="Z240" s="42">
        <f>SUMIFS(Nuclear!$M:$M,Nuclear!$H:$H,$B240,Nuclear!$R:$R,Z$2)+VLOOKUP($B240,'project vs stock'!$A$72:$W$103,21,FALSE)/9</f>
        <v>2238.11333333333</v>
      </c>
      <c r="AA240" s="42">
        <f>SUMIFS(Nuclear!$M:$M,Nuclear!$H:$H,$B240,Nuclear!$R:$R,AA$2)+VLOOKUP($B240,'project vs stock'!$A$72:$W$103,21,FALSE)/9</f>
        <v>0.533333333333354</v>
      </c>
      <c r="AB240" s="42">
        <f>SUMIFS(Nuclear!$M:$M,Nuclear!$H:$H,$B240,Nuclear!$R:$R,AB$2)+VLOOKUP($B240,'project vs stock'!$A$72:$W$103,21,FALSE)/9</f>
        <v>1119.32333333333</v>
      </c>
      <c r="AC240" s="42">
        <f>SUMIFS(Nuclear!$M:$M,Nuclear!$H:$H,$B240,Nuclear!$R:$R,AC$2)+VLOOKUP($B240,'project vs stock'!$A$72:$W$103,21,FALSE)/9</f>
        <v>1119.32333333333</v>
      </c>
      <c r="AD240" s="42">
        <f>SUMIFS(Nuclear!$M:$M,Nuclear!$H:$H,$B240,Nuclear!$R:$R,AD$2)+VLOOKUP($B240,'project vs stock'!$A$72:$W$103,5,FALSE)/5</f>
        <v>0</v>
      </c>
      <c r="AE240" s="42">
        <f>SUMIFS(Nuclear!$M:$M,Nuclear!$H:$H,$B240,Nuclear!$R:$R,AE$2)+VLOOKUP($B240,'project vs stock'!$A$72:$W$103,5,FALSE)/5</f>
        <v>0</v>
      </c>
      <c r="AF240" s="43">
        <f>SUMIFS(Nuclear!$M:$M,Nuclear!$H:$H,$B240,Nuclear!$R:$R,AF$2)+VLOOKUP($B240,'project vs stock'!$A$72:$W$103,5,FALSE)/5</f>
        <v>0</v>
      </c>
    </row>
    <row r="241" ht="13.85" spans="1:32">
      <c r="A241" s="27" t="s">
        <v>161</v>
      </c>
      <c r="B241" s="44" t="s">
        <v>94</v>
      </c>
      <c r="C241" s="42">
        <f>SUMIFS(Nuclear!$M:$M,Nuclear!$H:$H,$B241,Nuclear!$R:$R,C$2)</f>
        <v>0</v>
      </c>
      <c r="D241" s="42">
        <f>SUMIFS(Nuclear!$M:$M,Nuclear!$H:$H,$B241,Nuclear!$R:$R,D$2)</f>
        <v>0</v>
      </c>
      <c r="E241" s="42">
        <f>SUMIFS(Nuclear!$M:$M,Nuclear!$H:$H,$B241,Nuclear!$R:$R,E$2)</f>
        <v>0</v>
      </c>
      <c r="F241" s="42">
        <f>SUMIFS(Nuclear!$M:$M,Nuclear!$H:$H,$B241,Nuclear!$R:$R,F$2)</f>
        <v>0</v>
      </c>
      <c r="G241" s="42">
        <f>SUMIFS(Nuclear!$M:$M,Nuclear!$H:$H,$B241,Nuclear!$R:$R,G$2)</f>
        <v>0</v>
      </c>
      <c r="H241" s="42">
        <f>SUMIFS(Nuclear!$M:$M,Nuclear!$H:$H,$B241,Nuclear!$R:$R,H$2)</f>
        <v>0</v>
      </c>
      <c r="I241" s="42">
        <f>SUMIFS(Nuclear!$M:$M,Nuclear!$H:$H,$B241,Nuclear!$R:$R,I$2)</f>
        <v>0</v>
      </c>
      <c r="J241" s="42">
        <f>SUMIFS(Nuclear!$M:$M,Nuclear!$H:$H,$B241,Nuclear!$R:$R,J$2)</f>
        <v>0</v>
      </c>
      <c r="K241" s="42">
        <f>SUMIFS(Nuclear!$M:$M,Nuclear!$H:$H,$B241,Nuclear!$R:$R,K$2)</f>
        <v>0</v>
      </c>
      <c r="L241" s="42">
        <f>SUMIFS(Nuclear!$M:$M,Nuclear!$H:$H,$B241,Nuclear!$R:$R,L$2)</f>
        <v>0</v>
      </c>
      <c r="M241" s="42">
        <f>SUMIFS(Nuclear!$M:$M,Nuclear!$H:$H,$B241,Nuclear!$R:$R,M$2)</f>
        <v>0</v>
      </c>
      <c r="N241" s="42">
        <f>SUMIFS(Nuclear!$M:$M,Nuclear!$H:$H,$B241,Nuclear!$R:$R,N$2)</f>
        <v>0</v>
      </c>
      <c r="O241" s="42">
        <f>SUMIFS(Nuclear!$M:$M,Nuclear!$H:$H,$B241,Nuclear!$R:$R,O$2)</f>
        <v>0</v>
      </c>
      <c r="P241" s="42">
        <f>SUMIFS(Nuclear!$M:$M,Nuclear!$H:$H,$B241,Nuclear!$R:$R,P$2)</f>
        <v>0</v>
      </c>
      <c r="Q241" s="42">
        <f>SUMIFS(Nuclear!$M:$M,Nuclear!$H:$H,$B241,Nuclear!$R:$R,Q$2)</f>
        <v>0</v>
      </c>
      <c r="R241" s="42">
        <f>SUMIFS(Nuclear!$M:$M,Nuclear!$H:$H,$B241,Nuclear!$R:$R,R$2)</f>
        <v>0</v>
      </c>
      <c r="S241" s="42">
        <f>SUMIFS(Nuclear!$M:$M,Nuclear!$H:$H,$B241,Nuclear!$R:$R,S$2)</f>
        <v>0</v>
      </c>
      <c r="T241" s="42">
        <f>SUMIFS(Nuclear!$M:$M,Nuclear!$H:$H,$B241,Nuclear!$R:$R,T$2)</f>
        <v>0</v>
      </c>
      <c r="U241" s="42">
        <f>SUMIFS(Nuclear!$M:$M,Nuclear!$H:$H,$B241,Nuclear!$R:$R,U$2)+VLOOKUP($B241,'project vs stock'!$A$72:$W$103,21,FALSE)/9</f>
        <v>0</v>
      </c>
      <c r="V241" s="42">
        <f>SUMIFS(Nuclear!$M:$M,Nuclear!$H:$H,$B241,Nuclear!$R:$R,V$2)+VLOOKUP($B241,'project vs stock'!$A$72:$W$103,21,FALSE)/9</f>
        <v>0</v>
      </c>
      <c r="W241" s="42">
        <f>SUMIFS(Nuclear!$M:$M,Nuclear!$H:$H,$B241,Nuclear!$R:$R,W$2)+VLOOKUP($B241,'project vs stock'!$A$72:$W$103,21,FALSE)/9</f>
        <v>0</v>
      </c>
      <c r="X241" s="42">
        <f>SUMIFS(Nuclear!$M:$M,Nuclear!$H:$H,$B241,Nuclear!$R:$R,X$2)+VLOOKUP($B241,'project vs stock'!$A$72:$W$103,21,FALSE)/9</f>
        <v>0</v>
      </c>
      <c r="Y241" s="42">
        <f>SUMIFS(Nuclear!$M:$M,Nuclear!$H:$H,$B241,Nuclear!$R:$R,Y$2)+VLOOKUP($B241,'project vs stock'!$A$72:$W$103,21,FALSE)/9</f>
        <v>0</v>
      </c>
      <c r="Z241" s="42">
        <f>SUMIFS(Nuclear!$M:$M,Nuclear!$H:$H,$B241,Nuclear!$R:$R,Z$2)+VLOOKUP($B241,'project vs stock'!$A$72:$W$103,21,FALSE)/9</f>
        <v>0</v>
      </c>
      <c r="AA241" s="42">
        <f>SUMIFS(Nuclear!$M:$M,Nuclear!$H:$H,$B241,Nuclear!$R:$R,AA$2)+VLOOKUP($B241,'project vs stock'!$A$72:$W$103,21,FALSE)/9</f>
        <v>0</v>
      </c>
      <c r="AB241" s="42">
        <f>SUMIFS(Nuclear!$M:$M,Nuclear!$H:$H,$B241,Nuclear!$R:$R,AB$2)+VLOOKUP($B241,'project vs stock'!$A$72:$W$103,21,FALSE)/9</f>
        <v>0</v>
      </c>
      <c r="AC241" s="42">
        <f>SUMIFS(Nuclear!$M:$M,Nuclear!$H:$H,$B241,Nuclear!$R:$R,AC$2)+VLOOKUP($B241,'project vs stock'!$A$72:$W$103,21,FALSE)/9</f>
        <v>0</v>
      </c>
      <c r="AD241" s="42">
        <f>SUMIFS(Nuclear!$M:$M,Nuclear!$H:$H,$B241,Nuclear!$R:$R,AD$2)+VLOOKUP($B241,'project vs stock'!$A$72:$W$103,5,FALSE)/5</f>
        <v>0</v>
      </c>
      <c r="AE241" s="42">
        <f>SUMIFS(Nuclear!$M:$M,Nuclear!$H:$H,$B241,Nuclear!$R:$R,AE$2)+VLOOKUP($B241,'project vs stock'!$A$72:$W$103,5,FALSE)/5</f>
        <v>0</v>
      </c>
      <c r="AF241" s="43">
        <f>SUMIFS(Nuclear!$M:$M,Nuclear!$H:$H,$B241,Nuclear!$R:$R,AF$2)+VLOOKUP($B241,'project vs stock'!$A$72:$W$103,5,FALSE)/5</f>
        <v>0</v>
      </c>
    </row>
    <row r="242" ht="13.85" spans="1:32">
      <c r="A242" s="27" t="s">
        <v>161</v>
      </c>
      <c r="B242" s="44" t="s">
        <v>96</v>
      </c>
      <c r="C242" s="42">
        <f>SUMIFS(Nuclear!$M:$M,Nuclear!$H:$H,$B242,Nuclear!$R:$R,C$2)</f>
        <v>0</v>
      </c>
      <c r="D242" s="42">
        <f>SUMIFS(Nuclear!$M:$M,Nuclear!$H:$H,$B242,Nuclear!$R:$R,D$2)</f>
        <v>0</v>
      </c>
      <c r="E242" s="42">
        <f>SUMIFS(Nuclear!$M:$M,Nuclear!$H:$H,$B242,Nuclear!$R:$R,E$2)</f>
        <v>0</v>
      </c>
      <c r="F242" s="42">
        <f>SUMIFS(Nuclear!$M:$M,Nuclear!$H:$H,$B242,Nuclear!$R:$R,F$2)</f>
        <v>0</v>
      </c>
      <c r="G242" s="42">
        <f>SUMIFS(Nuclear!$M:$M,Nuclear!$H:$H,$B242,Nuclear!$R:$R,G$2)</f>
        <v>0</v>
      </c>
      <c r="H242" s="42">
        <f>SUMIFS(Nuclear!$M:$M,Nuclear!$H:$H,$B242,Nuclear!$R:$R,H$2)</f>
        <v>0</v>
      </c>
      <c r="I242" s="42">
        <f>SUMIFS(Nuclear!$M:$M,Nuclear!$H:$H,$B242,Nuclear!$R:$R,I$2)</f>
        <v>0</v>
      </c>
      <c r="J242" s="42">
        <f>SUMIFS(Nuclear!$M:$M,Nuclear!$H:$H,$B242,Nuclear!$R:$R,J$2)</f>
        <v>0</v>
      </c>
      <c r="K242" s="42">
        <f>SUMIFS(Nuclear!$M:$M,Nuclear!$H:$H,$B242,Nuclear!$R:$R,K$2)</f>
        <v>0</v>
      </c>
      <c r="L242" s="42">
        <f>SUMIFS(Nuclear!$M:$M,Nuclear!$H:$H,$B242,Nuclear!$R:$R,L$2)</f>
        <v>0</v>
      </c>
      <c r="M242" s="42">
        <f>SUMIFS(Nuclear!$M:$M,Nuclear!$H:$H,$B242,Nuclear!$R:$R,M$2)</f>
        <v>0</v>
      </c>
      <c r="N242" s="42">
        <f>SUMIFS(Nuclear!$M:$M,Nuclear!$H:$H,$B242,Nuclear!$R:$R,N$2)</f>
        <v>0</v>
      </c>
      <c r="O242" s="42">
        <f>SUMIFS(Nuclear!$M:$M,Nuclear!$H:$H,$B242,Nuclear!$R:$R,O$2)</f>
        <v>0</v>
      </c>
      <c r="P242" s="42">
        <f>SUMIFS(Nuclear!$M:$M,Nuclear!$H:$H,$B242,Nuclear!$R:$R,P$2)</f>
        <v>0</v>
      </c>
      <c r="Q242" s="42">
        <f>SUMIFS(Nuclear!$M:$M,Nuclear!$H:$H,$B242,Nuclear!$R:$R,Q$2)</f>
        <v>0</v>
      </c>
      <c r="R242" s="42">
        <f>SUMIFS(Nuclear!$M:$M,Nuclear!$H:$H,$B242,Nuclear!$R:$R,R$2)</f>
        <v>0</v>
      </c>
      <c r="S242" s="42">
        <f>SUMIFS(Nuclear!$M:$M,Nuclear!$H:$H,$B242,Nuclear!$R:$R,S$2)</f>
        <v>0</v>
      </c>
      <c r="T242" s="42">
        <f>SUMIFS(Nuclear!$M:$M,Nuclear!$H:$H,$B242,Nuclear!$R:$R,T$2)</f>
        <v>0</v>
      </c>
      <c r="U242" s="42">
        <f>SUMIFS(Nuclear!$M:$M,Nuclear!$H:$H,$B242,Nuclear!$R:$R,U$2)+VLOOKUP($B242,'project vs stock'!$A$72:$W$103,21,FALSE)/9</f>
        <v>0</v>
      </c>
      <c r="V242" s="42">
        <f>SUMIFS(Nuclear!$M:$M,Nuclear!$H:$H,$B242,Nuclear!$R:$R,V$2)+VLOOKUP($B242,'project vs stock'!$A$72:$W$103,21,FALSE)/9</f>
        <v>0</v>
      </c>
      <c r="W242" s="42">
        <f>SUMIFS(Nuclear!$M:$M,Nuclear!$H:$H,$B242,Nuclear!$R:$R,W$2)+VLOOKUP($B242,'project vs stock'!$A$72:$W$103,21,FALSE)/9</f>
        <v>0</v>
      </c>
      <c r="X242" s="42">
        <f>SUMIFS(Nuclear!$M:$M,Nuclear!$H:$H,$B242,Nuclear!$R:$R,X$2)+VLOOKUP($B242,'project vs stock'!$A$72:$W$103,21,FALSE)/9</f>
        <v>0</v>
      </c>
      <c r="Y242" s="42">
        <f>SUMIFS(Nuclear!$M:$M,Nuclear!$H:$H,$B242,Nuclear!$R:$R,Y$2)+VLOOKUP($B242,'project vs stock'!$A$72:$W$103,21,FALSE)/9</f>
        <v>0</v>
      </c>
      <c r="Z242" s="42">
        <f>SUMIFS(Nuclear!$M:$M,Nuclear!$H:$H,$B242,Nuclear!$R:$R,Z$2)+VLOOKUP($B242,'project vs stock'!$A$72:$W$103,21,FALSE)/9</f>
        <v>0</v>
      </c>
      <c r="AA242" s="42">
        <f>SUMIFS(Nuclear!$M:$M,Nuclear!$H:$H,$B242,Nuclear!$R:$R,AA$2)+VLOOKUP($B242,'project vs stock'!$A$72:$W$103,21,FALSE)/9</f>
        <v>0</v>
      </c>
      <c r="AB242" s="42">
        <f>SUMIFS(Nuclear!$M:$M,Nuclear!$H:$H,$B242,Nuclear!$R:$R,AB$2)+VLOOKUP($B242,'project vs stock'!$A$72:$W$103,21,FALSE)/9</f>
        <v>0</v>
      </c>
      <c r="AC242" s="42">
        <f>SUMIFS(Nuclear!$M:$M,Nuclear!$H:$H,$B242,Nuclear!$R:$R,AC$2)+VLOOKUP($B242,'project vs stock'!$A$72:$W$103,21,FALSE)/9</f>
        <v>0</v>
      </c>
      <c r="AD242" s="42">
        <f>SUMIFS(Nuclear!$M:$M,Nuclear!$H:$H,$B242,Nuclear!$R:$R,AD$2)+VLOOKUP($B242,'project vs stock'!$A$72:$W$103,5,FALSE)/5</f>
        <v>0</v>
      </c>
      <c r="AE242" s="42">
        <f>SUMIFS(Nuclear!$M:$M,Nuclear!$H:$H,$B242,Nuclear!$R:$R,AE$2)+VLOOKUP($B242,'project vs stock'!$A$72:$W$103,5,FALSE)/5</f>
        <v>0</v>
      </c>
      <c r="AF242" s="43">
        <f>SUMIFS(Nuclear!$M:$M,Nuclear!$H:$H,$B242,Nuclear!$R:$R,AF$2)+VLOOKUP($B242,'project vs stock'!$A$72:$W$103,5,FALSE)/5</f>
        <v>0</v>
      </c>
    </row>
    <row r="243" ht="13.85" spans="1:32">
      <c r="A243" s="27" t="s">
        <v>161</v>
      </c>
      <c r="B243" s="44" t="s">
        <v>98</v>
      </c>
      <c r="C243" s="42">
        <f>SUMIFS(Nuclear!$M:$M,Nuclear!$H:$H,$B243,Nuclear!$R:$R,C$2)</f>
        <v>0</v>
      </c>
      <c r="D243" s="42">
        <f>SUMIFS(Nuclear!$M:$M,Nuclear!$H:$H,$B243,Nuclear!$R:$R,D$2)</f>
        <v>0</v>
      </c>
      <c r="E243" s="42">
        <f>SUMIFS(Nuclear!$M:$M,Nuclear!$H:$H,$B243,Nuclear!$R:$R,E$2)</f>
        <v>0</v>
      </c>
      <c r="F243" s="42">
        <f>SUMIFS(Nuclear!$M:$M,Nuclear!$H:$H,$B243,Nuclear!$R:$R,F$2)</f>
        <v>0</v>
      </c>
      <c r="G243" s="42">
        <f>SUMIFS(Nuclear!$M:$M,Nuclear!$H:$H,$B243,Nuclear!$R:$R,G$2)</f>
        <v>0</v>
      </c>
      <c r="H243" s="42">
        <f>SUMIFS(Nuclear!$M:$M,Nuclear!$H:$H,$B243,Nuclear!$R:$R,H$2)</f>
        <v>0</v>
      </c>
      <c r="I243" s="42">
        <f>SUMIFS(Nuclear!$M:$M,Nuclear!$H:$H,$B243,Nuclear!$R:$R,I$2)</f>
        <v>0</v>
      </c>
      <c r="J243" s="42">
        <f>SUMIFS(Nuclear!$M:$M,Nuclear!$H:$H,$B243,Nuclear!$R:$R,J$2)</f>
        <v>0</v>
      </c>
      <c r="K243" s="42">
        <f>SUMIFS(Nuclear!$M:$M,Nuclear!$H:$H,$B243,Nuclear!$R:$R,K$2)</f>
        <v>0</v>
      </c>
      <c r="L243" s="42">
        <f>SUMIFS(Nuclear!$M:$M,Nuclear!$H:$H,$B243,Nuclear!$R:$R,L$2)</f>
        <v>0</v>
      </c>
      <c r="M243" s="42">
        <f>SUMIFS(Nuclear!$M:$M,Nuclear!$H:$H,$B243,Nuclear!$R:$R,M$2)</f>
        <v>0</v>
      </c>
      <c r="N243" s="42">
        <f>SUMIFS(Nuclear!$M:$M,Nuclear!$H:$H,$B243,Nuclear!$R:$R,N$2)</f>
        <v>0</v>
      </c>
      <c r="O243" s="42">
        <f>SUMIFS(Nuclear!$M:$M,Nuclear!$H:$H,$B243,Nuclear!$R:$R,O$2)</f>
        <v>0</v>
      </c>
      <c r="P243" s="42">
        <f>SUMIFS(Nuclear!$M:$M,Nuclear!$H:$H,$B243,Nuclear!$R:$R,P$2)</f>
        <v>0</v>
      </c>
      <c r="Q243" s="42">
        <f>SUMIFS(Nuclear!$M:$M,Nuclear!$H:$H,$B243,Nuclear!$R:$R,Q$2)</f>
        <v>0</v>
      </c>
      <c r="R243" s="42">
        <f>SUMIFS(Nuclear!$M:$M,Nuclear!$H:$H,$B243,Nuclear!$R:$R,R$2)</f>
        <v>0</v>
      </c>
      <c r="S243" s="42">
        <f>SUMIFS(Nuclear!$M:$M,Nuclear!$H:$H,$B243,Nuclear!$R:$R,S$2)</f>
        <v>0</v>
      </c>
      <c r="T243" s="42">
        <f>SUMIFS(Nuclear!$M:$M,Nuclear!$H:$H,$B243,Nuclear!$R:$R,T$2)</f>
        <v>0</v>
      </c>
      <c r="U243" s="42">
        <f>SUMIFS(Nuclear!$M:$M,Nuclear!$H:$H,$B243,Nuclear!$R:$R,U$2)+VLOOKUP($B243,'project vs stock'!$A$72:$W$103,21,FALSE)/9</f>
        <v>0</v>
      </c>
      <c r="V243" s="42">
        <f>SUMIFS(Nuclear!$M:$M,Nuclear!$H:$H,$B243,Nuclear!$R:$R,V$2)+VLOOKUP($B243,'project vs stock'!$A$72:$W$103,21,FALSE)/9</f>
        <v>0</v>
      </c>
      <c r="W243" s="42">
        <f>SUMIFS(Nuclear!$M:$M,Nuclear!$H:$H,$B243,Nuclear!$R:$R,W$2)+VLOOKUP($B243,'project vs stock'!$A$72:$W$103,21,FALSE)/9</f>
        <v>0</v>
      </c>
      <c r="X243" s="42">
        <f>SUMIFS(Nuclear!$M:$M,Nuclear!$H:$H,$B243,Nuclear!$R:$R,X$2)+VLOOKUP($B243,'project vs stock'!$A$72:$W$103,21,FALSE)/9</f>
        <v>0</v>
      </c>
      <c r="Y243" s="42">
        <f>SUMIFS(Nuclear!$M:$M,Nuclear!$H:$H,$B243,Nuclear!$R:$R,Y$2)+VLOOKUP($B243,'project vs stock'!$A$72:$W$103,21,FALSE)/9</f>
        <v>0</v>
      </c>
      <c r="Z243" s="42">
        <f>SUMIFS(Nuclear!$M:$M,Nuclear!$H:$H,$B243,Nuclear!$R:$R,Z$2)+VLOOKUP($B243,'project vs stock'!$A$72:$W$103,21,FALSE)/9</f>
        <v>0</v>
      </c>
      <c r="AA243" s="42">
        <f>SUMIFS(Nuclear!$M:$M,Nuclear!$H:$H,$B243,Nuclear!$R:$R,AA$2)+VLOOKUP($B243,'project vs stock'!$A$72:$W$103,21,FALSE)/9</f>
        <v>0</v>
      </c>
      <c r="AB243" s="42">
        <f>SUMIFS(Nuclear!$M:$M,Nuclear!$H:$H,$B243,Nuclear!$R:$R,AB$2)+VLOOKUP($B243,'project vs stock'!$A$72:$W$103,21,FALSE)/9</f>
        <v>0</v>
      </c>
      <c r="AC243" s="42">
        <f>SUMIFS(Nuclear!$M:$M,Nuclear!$H:$H,$B243,Nuclear!$R:$R,AC$2)+VLOOKUP($B243,'project vs stock'!$A$72:$W$103,21,FALSE)/9</f>
        <v>0</v>
      </c>
      <c r="AD243" s="42">
        <f>SUMIFS(Nuclear!$M:$M,Nuclear!$H:$H,$B243,Nuclear!$R:$R,AD$2)+VLOOKUP($B243,'project vs stock'!$A$72:$W$103,5,FALSE)/5</f>
        <v>0</v>
      </c>
      <c r="AE243" s="42">
        <f>SUMIFS(Nuclear!$M:$M,Nuclear!$H:$H,$B243,Nuclear!$R:$R,AE$2)+VLOOKUP($B243,'project vs stock'!$A$72:$W$103,5,FALSE)/5</f>
        <v>0</v>
      </c>
      <c r="AF243" s="43">
        <f>SUMIFS(Nuclear!$M:$M,Nuclear!$H:$H,$B243,Nuclear!$R:$R,AF$2)+VLOOKUP($B243,'project vs stock'!$A$72:$W$103,5,FALSE)/5</f>
        <v>0</v>
      </c>
    </row>
    <row r="244" ht="13.85" spans="1:32">
      <c r="A244" s="27" t="s">
        <v>161</v>
      </c>
      <c r="B244" s="44" t="s">
        <v>100</v>
      </c>
      <c r="C244" s="42">
        <f>SUMIFS(Nuclear!$M:$M,Nuclear!$H:$H,$B244,Nuclear!$R:$R,C$2)</f>
        <v>0</v>
      </c>
      <c r="D244" s="42">
        <f>SUMIFS(Nuclear!$M:$M,Nuclear!$H:$H,$B244,Nuclear!$R:$R,D$2)</f>
        <v>0</v>
      </c>
      <c r="E244" s="42">
        <f>SUMIFS(Nuclear!$M:$M,Nuclear!$H:$H,$B244,Nuclear!$R:$R,E$2)</f>
        <v>0</v>
      </c>
      <c r="F244" s="42">
        <f>SUMIFS(Nuclear!$M:$M,Nuclear!$H:$H,$B244,Nuclear!$R:$R,F$2)</f>
        <v>0</v>
      </c>
      <c r="G244" s="42">
        <f>SUMIFS(Nuclear!$M:$M,Nuclear!$H:$H,$B244,Nuclear!$R:$R,G$2)</f>
        <v>0</v>
      </c>
      <c r="H244" s="42">
        <f>SUMIFS(Nuclear!$M:$M,Nuclear!$H:$H,$B244,Nuclear!$R:$R,H$2)</f>
        <v>0</v>
      </c>
      <c r="I244" s="42">
        <f>SUMIFS(Nuclear!$M:$M,Nuclear!$H:$H,$B244,Nuclear!$R:$R,I$2)</f>
        <v>0</v>
      </c>
      <c r="J244" s="42">
        <f>SUMIFS(Nuclear!$M:$M,Nuclear!$H:$H,$B244,Nuclear!$R:$R,J$2)</f>
        <v>0</v>
      </c>
      <c r="K244" s="42">
        <f>SUMIFS(Nuclear!$M:$M,Nuclear!$H:$H,$B244,Nuclear!$R:$R,K$2)</f>
        <v>0</v>
      </c>
      <c r="L244" s="42">
        <f>SUMIFS(Nuclear!$M:$M,Nuclear!$H:$H,$B244,Nuclear!$R:$R,L$2)</f>
        <v>0</v>
      </c>
      <c r="M244" s="42">
        <f>SUMIFS(Nuclear!$M:$M,Nuclear!$H:$H,$B244,Nuclear!$R:$R,M$2)</f>
        <v>0</v>
      </c>
      <c r="N244" s="42">
        <f>SUMIFS(Nuclear!$M:$M,Nuclear!$H:$H,$B244,Nuclear!$R:$R,N$2)</f>
        <v>0</v>
      </c>
      <c r="O244" s="42">
        <f>SUMIFS(Nuclear!$M:$M,Nuclear!$H:$H,$B244,Nuclear!$R:$R,O$2)</f>
        <v>0</v>
      </c>
      <c r="P244" s="42">
        <f>SUMIFS(Nuclear!$M:$M,Nuclear!$H:$H,$B244,Nuclear!$R:$R,P$2)</f>
        <v>0</v>
      </c>
      <c r="Q244" s="42">
        <f>SUMIFS(Nuclear!$M:$M,Nuclear!$H:$H,$B244,Nuclear!$R:$R,Q$2)</f>
        <v>0</v>
      </c>
      <c r="R244" s="42">
        <f>SUMIFS(Nuclear!$M:$M,Nuclear!$H:$H,$B244,Nuclear!$R:$R,R$2)</f>
        <v>0</v>
      </c>
      <c r="S244" s="42">
        <f>SUMIFS(Nuclear!$M:$M,Nuclear!$H:$H,$B244,Nuclear!$R:$R,S$2)</f>
        <v>1060</v>
      </c>
      <c r="T244" s="42">
        <f>SUMIFS(Nuclear!$M:$M,Nuclear!$H:$H,$B244,Nuclear!$R:$R,T$2)</f>
        <v>1060</v>
      </c>
      <c r="U244" s="42">
        <f>SUMIFS(Nuclear!$M:$M,Nuclear!$H:$H,$B244,Nuclear!$R:$R,U$2)+VLOOKUP($B244,'project vs stock'!$A$72:$W$103,21,FALSE)/9</f>
        <v>13.3333333333333</v>
      </c>
      <c r="V244" s="42">
        <f>SUMIFS(Nuclear!$M:$M,Nuclear!$H:$H,$B244,Nuclear!$R:$R,V$2)+VLOOKUP($B244,'project vs stock'!$A$72:$W$103,21,FALSE)/9</f>
        <v>13.3333333333333</v>
      </c>
      <c r="W244" s="42">
        <f>SUMIFS(Nuclear!$M:$M,Nuclear!$H:$H,$B244,Nuclear!$R:$R,W$2)+VLOOKUP($B244,'project vs stock'!$A$72:$W$103,21,FALSE)/9</f>
        <v>13.3333333333333</v>
      </c>
      <c r="X244" s="42">
        <f>SUMIFS(Nuclear!$M:$M,Nuclear!$H:$H,$B244,Nuclear!$R:$R,X$2)+VLOOKUP($B244,'project vs stock'!$A$72:$W$103,21,FALSE)/9</f>
        <v>13.3333333333333</v>
      </c>
      <c r="Y244" s="42">
        <f>SUMIFS(Nuclear!$M:$M,Nuclear!$H:$H,$B244,Nuclear!$R:$R,Y$2)+VLOOKUP($B244,'project vs stock'!$A$72:$W$103,21,FALSE)/9</f>
        <v>13.3333333333333</v>
      </c>
      <c r="Z244" s="42">
        <f>SUMIFS(Nuclear!$M:$M,Nuclear!$H:$H,$B244,Nuclear!$R:$R,Z$2)+VLOOKUP($B244,'project vs stock'!$A$72:$W$103,21,FALSE)/9</f>
        <v>13.3333333333333</v>
      </c>
      <c r="AA244" s="42">
        <f>SUMIFS(Nuclear!$M:$M,Nuclear!$H:$H,$B244,Nuclear!$R:$R,AA$2)+VLOOKUP($B244,'project vs stock'!$A$72:$W$103,21,FALSE)/9</f>
        <v>13.3333333333333</v>
      </c>
      <c r="AB244" s="42">
        <f>SUMIFS(Nuclear!$M:$M,Nuclear!$H:$H,$B244,Nuclear!$R:$R,AB$2)+VLOOKUP($B244,'project vs stock'!$A$72:$W$103,21,FALSE)/9</f>
        <v>13.3333333333333</v>
      </c>
      <c r="AC244" s="42">
        <f>SUMIFS(Nuclear!$M:$M,Nuclear!$H:$H,$B244,Nuclear!$R:$R,AC$2)+VLOOKUP($B244,'project vs stock'!$A$72:$W$103,21,FALSE)/9</f>
        <v>13.3333333333333</v>
      </c>
      <c r="AD244" s="42">
        <f>SUMIFS(Nuclear!$M:$M,Nuclear!$H:$H,$B244,Nuclear!$R:$R,AD$2)+VLOOKUP($B244,'project vs stock'!$A$72:$W$103,5,FALSE)/5</f>
        <v>1126.4</v>
      </c>
      <c r="AE244" s="42">
        <f>SUMIFS(Nuclear!$M:$M,Nuclear!$H:$H,$B244,Nuclear!$R:$R,AE$2)+VLOOKUP($B244,'project vs stock'!$A$72:$W$103,5,FALSE)/5</f>
        <v>1126.4</v>
      </c>
      <c r="AF244" s="43">
        <f>SUMIFS(Nuclear!$M:$M,Nuclear!$H:$H,$B244,Nuclear!$R:$R,AF$2)+VLOOKUP($B244,'project vs stock'!$A$72:$W$103,5,FALSE)/5</f>
        <v>0.399999999999977</v>
      </c>
    </row>
    <row r="245" ht="13.85" spans="1:32">
      <c r="A245" s="27" t="s">
        <v>161</v>
      </c>
      <c r="B245" s="44" t="s">
        <v>102</v>
      </c>
      <c r="C245" s="42">
        <f>SUMIFS(Nuclear!$M:$M,Nuclear!$H:$H,$B245,Nuclear!$R:$R,C$2)</f>
        <v>0</v>
      </c>
      <c r="D245" s="42">
        <f>SUMIFS(Nuclear!$M:$M,Nuclear!$H:$H,$B245,Nuclear!$R:$R,D$2)</f>
        <v>330</v>
      </c>
      <c r="E245" s="42">
        <f>SUMIFS(Nuclear!$M:$M,Nuclear!$H:$H,$B245,Nuclear!$R:$R,E$2)</f>
        <v>0</v>
      </c>
      <c r="F245" s="42">
        <f>SUMIFS(Nuclear!$M:$M,Nuclear!$H:$H,$B245,Nuclear!$R:$R,F$2)</f>
        <v>0</v>
      </c>
      <c r="G245" s="42">
        <f>SUMIFS(Nuclear!$M:$M,Nuclear!$H:$H,$B245,Nuclear!$R:$R,G$2)</f>
        <v>0</v>
      </c>
      <c r="H245" s="42">
        <f>SUMIFS(Nuclear!$M:$M,Nuclear!$H:$H,$B245,Nuclear!$R:$R,H$2)</f>
        <v>0</v>
      </c>
      <c r="I245" s="42">
        <f>SUMIFS(Nuclear!$M:$M,Nuclear!$H:$H,$B245,Nuclear!$R:$R,I$2)</f>
        <v>0</v>
      </c>
      <c r="J245" s="42">
        <f>SUMIFS(Nuclear!$M:$M,Nuclear!$H:$H,$B245,Nuclear!$R:$R,J$2)</f>
        <v>0</v>
      </c>
      <c r="K245" s="42">
        <f>SUMIFS(Nuclear!$M:$M,Nuclear!$H:$H,$B245,Nuclear!$R:$R,K$2)</f>
        <v>0</v>
      </c>
      <c r="L245" s="42">
        <f>SUMIFS(Nuclear!$M:$M,Nuclear!$H:$H,$B245,Nuclear!$R:$R,L$2)</f>
        <v>0</v>
      </c>
      <c r="M245" s="42">
        <f>SUMIFS(Nuclear!$M:$M,Nuclear!$H:$H,$B245,Nuclear!$R:$R,M$2)</f>
        <v>0</v>
      </c>
      <c r="N245" s="42">
        <f>SUMIFS(Nuclear!$M:$M,Nuclear!$H:$H,$B245,Nuclear!$R:$R,N$2)</f>
        <v>0</v>
      </c>
      <c r="O245" s="42">
        <f>SUMIFS(Nuclear!$M:$M,Nuclear!$H:$H,$B245,Nuclear!$R:$R,O$2)</f>
        <v>1378</v>
      </c>
      <c r="P245" s="42">
        <f>SUMIFS(Nuclear!$M:$M,Nuclear!$H:$H,$B245,Nuclear!$R:$R,P$2)</f>
        <v>728</v>
      </c>
      <c r="Q245" s="42">
        <f>SUMIFS(Nuclear!$M:$M,Nuclear!$H:$H,$B245,Nuclear!$R:$R,Q$2)</f>
        <v>650</v>
      </c>
      <c r="R245" s="42">
        <f>SUMIFS(Nuclear!$M:$M,Nuclear!$H:$H,$B245,Nuclear!$R:$R,R$2)</f>
        <v>0</v>
      </c>
      <c r="S245" s="42">
        <f>SUMIFS(Nuclear!$M:$M,Nuclear!$H:$H,$B245,Nuclear!$R:$R,S$2)</f>
        <v>0</v>
      </c>
      <c r="T245" s="42">
        <f>SUMIFS(Nuclear!$M:$M,Nuclear!$H:$H,$B245,Nuclear!$R:$R,T$2)</f>
        <v>0</v>
      </c>
      <c r="U245" s="42">
        <f>SUMIFS(Nuclear!$M:$M,Nuclear!$H:$H,$B245,Nuclear!$R:$R,U$2)+VLOOKUP($B245,'project vs stock'!$A$72:$W$103,21,FALSE)/9</f>
        <v>1.33333333333332</v>
      </c>
      <c r="V245" s="42">
        <f>SUMIFS(Nuclear!$M:$M,Nuclear!$H:$H,$B245,Nuclear!$R:$R,V$2)+VLOOKUP($B245,'project vs stock'!$A$72:$W$103,21,FALSE)/9</f>
        <v>1.33333333333332</v>
      </c>
      <c r="W245" s="42">
        <f>SUMIFS(Nuclear!$M:$M,Nuclear!$H:$H,$B245,Nuclear!$R:$R,W$2)+VLOOKUP($B245,'project vs stock'!$A$72:$W$103,21,FALSE)/9</f>
        <v>661.333333333333</v>
      </c>
      <c r="X245" s="42">
        <f>SUMIFS(Nuclear!$M:$M,Nuclear!$H:$H,$B245,Nuclear!$R:$R,X$2)+VLOOKUP($B245,'project vs stock'!$A$72:$W$103,21,FALSE)/9</f>
        <v>661.333333333333</v>
      </c>
      <c r="Y245" s="42">
        <f>SUMIFS(Nuclear!$M:$M,Nuclear!$H:$H,$B245,Nuclear!$R:$R,Y$2)+VLOOKUP($B245,'project vs stock'!$A$72:$W$103,21,FALSE)/9</f>
        <v>1.33333333333332</v>
      </c>
      <c r="Z245" s="42">
        <f>SUMIFS(Nuclear!$M:$M,Nuclear!$H:$H,$B245,Nuclear!$R:$R,Z$2)+VLOOKUP($B245,'project vs stock'!$A$72:$W$103,21,FALSE)/9</f>
        <v>1.33333333333332</v>
      </c>
      <c r="AA245" s="42">
        <f>SUMIFS(Nuclear!$M:$M,Nuclear!$H:$H,$B245,Nuclear!$R:$R,AA$2)+VLOOKUP($B245,'project vs stock'!$A$72:$W$103,21,FALSE)/9</f>
        <v>1090.33333333333</v>
      </c>
      <c r="AB245" s="42">
        <f>SUMIFS(Nuclear!$M:$M,Nuclear!$H:$H,$B245,Nuclear!$R:$R,AB$2)+VLOOKUP($B245,'project vs stock'!$A$72:$W$103,21,FALSE)/9</f>
        <v>1090.33333333333</v>
      </c>
      <c r="AC245" s="42">
        <f>SUMIFS(Nuclear!$M:$M,Nuclear!$H:$H,$B245,Nuclear!$R:$R,AC$2)+VLOOKUP($B245,'project vs stock'!$A$72:$W$103,21,FALSE)/9</f>
        <v>1.33333333333332</v>
      </c>
      <c r="AD245" s="42">
        <f>SUMIFS(Nuclear!$M:$M,Nuclear!$H:$H,$B245,Nuclear!$R:$R,AD$2)+VLOOKUP($B245,'project vs stock'!$A$72:$W$103,5,FALSE)/5</f>
        <v>7.60000000000002</v>
      </c>
      <c r="AE245" s="42">
        <f>SUMIFS(Nuclear!$M:$M,Nuclear!$H:$H,$B245,Nuclear!$R:$R,AE$2)+VLOOKUP($B245,'project vs stock'!$A$72:$W$103,5,FALSE)/5</f>
        <v>2509.6</v>
      </c>
      <c r="AF245" s="43">
        <f>SUMIFS(Nuclear!$M:$M,Nuclear!$H:$H,$B245,Nuclear!$R:$R,AF$2)+VLOOKUP($B245,'project vs stock'!$A$72:$W$103,5,FALSE)/5</f>
        <v>7.60000000000002</v>
      </c>
    </row>
    <row r="246" ht="13.85" spans="1:32">
      <c r="A246" s="27" t="s">
        <v>161</v>
      </c>
      <c r="B246" s="44" t="s">
        <v>104</v>
      </c>
      <c r="C246" s="42">
        <f>SUMIFS(Nuclear!$M:$M,Nuclear!$H:$H,$B246,Nuclear!$R:$R,C$2)</f>
        <v>0</v>
      </c>
      <c r="D246" s="42">
        <f>SUMIFS(Nuclear!$M:$M,Nuclear!$H:$H,$B246,Nuclear!$R:$R,D$2)</f>
        <v>0</v>
      </c>
      <c r="E246" s="42">
        <f>SUMIFS(Nuclear!$M:$M,Nuclear!$H:$H,$B246,Nuclear!$R:$R,E$2)</f>
        <v>0</v>
      </c>
      <c r="F246" s="42">
        <f>SUMIFS(Nuclear!$M:$M,Nuclear!$H:$H,$B246,Nuclear!$R:$R,F$2)</f>
        <v>0</v>
      </c>
      <c r="G246" s="42">
        <f>SUMIFS(Nuclear!$M:$M,Nuclear!$H:$H,$B246,Nuclear!$R:$R,G$2)</f>
        <v>0</v>
      </c>
      <c r="H246" s="42">
        <f>SUMIFS(Nuclear!$M:$M,Nuclear!$H:$H,$B246,Nuclear!$R:$R,H$2)</f>
        <v>0</v>
      </c>
      <c r="I246" s="42">
        <f>SUMIFS(Nuclear!$M:$M,Nuclear!$H:$H,$B246,Nuclear!$R:$R,I$2)</f>
        <v>0</v>
      </c>
      <c r="J246" s="42">
        <f>SUMIFS(Nuclear!$M:$M,Nuclear!$H:$H,$B246,Nuclear!$R:$R,J$2)</f>
        <v>0</v>
      </c>
      <c r="K246" s="42">
        <f>SUMIFS(Nuclear!$M:$M,Nuclear!$H:$H,$B246,Nuclear!$R:$R,K$2)</f>
        <v>0</v>
      </c>
      <c r="L246" s="42">
        <f>SUMIFS(Nuclear!$M:$M,Nuclear!$H:$H,$B246,Nuclear!$R:$R,L$2)</f>
        <v>0</v>
      </c>
      <c r="M246" s="42">
        <f>SUMIFS(Nuclear!$M:$M,Nuclear!$H:$H,$B246,Nuclear!$R:$R,M$2)</f>
        <v>0</v>
      </c>
      <c r="N246" s="42">
        <f>SUMIFS(Nuclear!$M:$M,Nuclear!$H:$H,$B246,Nuclear!$R:$R,N$2)</f>
        <v>0</v>
      </c>
      <c r="O246" s="42">
        <f>SUMIFS(Nuclear!$M:$M,Nuclear!$H:$H,$B246,Nuclear!$R:$R,O$2)</f>
        <v>0</v>
      </c>
      <c r="P246" s="42">
        <f>SUMIFS(Nuclear!$M:$M,Nuclear!$H:$H,$B246,Nuclear!$R:$R,P$2)</f>
        <v>0</v>
      </c>
      <c r="Q246" s="42">
        <f>SUMIFS(Nuclear!$M:$M,Nuclear!$H:$H,$B246,Nuclear!$R:$R,Q$2)</f>
        <v>0</v>
      </c>
      <c r="R246" s="42">
        <f>SUMIFS(Nuclear!$M:$M,Nuclear!$H:$H,$B246,Nuclear!$R:$R,R$2)</f>
        <v>0</v>
      </c>
      <c r="S246" s="42">
        <f>SUMIFS(Nuclear!$M:$M,Nuclear!$H:$H,$B246,Nuclear!$R:$R,S$2)</f>
        <v>0</v>
      </c>
      <c r="T246" s="42">
        <f>SUMIFS(Nuclear!$M:$M,Nuclear!$H:$H,$B246,Nuclear!$R:$R,T$2)</f>
        <v>0</v>
      </c>
      <c r="U246" s="42">
        <f>SUMIFS(Nuclear!$M:$M,Nuclear!$H:$H,$B246,Nuclear!$R:$R,U$2)+VLOOKUP($B246,'project vs stock'!$A$72:$W$103,21,FALSE)/9</f>
        <v>0</v>
      </c>
      <c r="V246" s="42">
        <f>SUMIFS(Nuclear!$M:$M,Nuclear!$H:$H,$B246,Nuclear!$R:$R,V$2)+VLOOKUP($B246,'project vs stock'!$A$72:$W$103,21,FALSE)/9</f>
        <v>0</v>
      </c>
      <c r="W246" s="42">
        <f>SUMIFS(Nuclear!$M:$M,Nuclear!$H:$H,$B246,Nuclear!$R:$R,W$2)+VLOOKUP($B246,'project vs stock'!$A$72:$W$103,21,FALSE)/9</f>
        <v>0</v>
      </c>
      <c r="X246" s="42">
        <f>SUMIFS(Nuclear!$M:$M,Nuclear!$H:$H,$B246,Nuclear!$R:$R,X$2)+VLOOKUP($B246,'project vs stock'!$A$72:$W$103,21,FALSE)/9</f>
        <v>0</v>
      </c>
      <c r="Y246" s="42">
        <f>SUMIFS(Nuclear!$M:$M,Nuclear!$H:$H,$B246,Nuclear!$R:$R,Y$2)+VLOOKUP($B246,'project vs stock'!$A$72:$W$103,21,FALSE)/9</f>
        <v>0</v>
      </c>
      <c r="Z246" s="42">
        <f>SUMIFS(Nuclear!$M:$M,Nuclear!$H:$H,$B246,Nuclear!$R:$R,Z$2)+VLOOKUP($B246,'project vs stock'!$A$72:$W$103,21,FALSE)/9</f>
        <v>0</v>
      </c>
      <c r="AA246" s="42">
        <f>SUMIFS(Nuclear!$M:$M,Nuclear!$H:$H,$B246,Nuclear!$R:$R,AA$2)+VLOOKUP($B246,'project vs stock'!$A$72:$W$103,21,FALSE)/9</f>
        <v>0</v>
      </c>
      <c r="AB246" s="42">
        <f>SUMIFS(Nuclear!$M:$M,Nuclear!$H:$H,$B246,Nuclear!$R:$R,AB$2)+VLOOKUP($B246,'project vs stock'!$A$72:$W$103,21,FALSE)/9</f>
        <v>0</v>
      </c>
      <c r="AC246" s="42">
        <f>SUMIFS(Nuclear!$M:$M,Nuclear!$H:$H,$B246,Nuclear!$R:$R,AC$2)+VLOOKUP($B246,'project vs stock'!$A$72:$W$103,21,FALSE)/9</f>
        <v>0</v>
      </c>
      <c r="AD246" s="42">
        <f>SUMIFS(Nuclear!$M:$M,Nuclear!$H:$H,$B246,Nuclear!$R:$R,AD$2)+VLOOKUP($B246,'project vs stock'!$A$72:$W$103,5,FALSE)/5</f>
        <v>0</v>
      </c>
      <c r="AE246" s="42">
        <f>SUMIFS(Nuclear!$M:$M,Nuclear!$H:$H,$B246,Nuclear!$R:$R,AE$2)+VLOOKUP($B246,'project vs stock'!$A$72:$W$103,5,FALSE)/5</f>
        <v>0</v>
      </c>
      <c r="AF246" s="43">
        <f>SUMIFS(Nuclear!$M:$M,Nuclear!$H:$H,$B246,Nuclear!$R:$R,AF$2)+VLOOKUP($B246,'project vs stock'!$A$72:$W$103,5,FALSE)/5</f>
        <v>0</v>
      </c>
    </row>
    <row r="247" ht="13.85" spans="1:32">
      <c r="A247" s="27" t="s">
        <v>161</v>
      </c>
      <c r="B247" s="44" t="s">
        <v>106</v>
      </c>
      <c r="C247" s="42">
        <f>SUMIFS(Nuclear!$M:$M,Nuclear!$H:$H,$B247,Nuclear!$R:$R,C$2)</f>
        <v>0</v>
      </c>
      <c r="D247" s="42">
        <f>SUMIFS(Nuclear!$M:$M,Nuclear!$H:$H,$B247,Nuclear!$R:$R,D$2)</f>
        <v>0</v>
      </c>
      <c r="E247" s="42">
        <f>SUMIFS(Nuclear!$M:$M,Nuclear!$H:$H,$B247,Nuclear!$R:$R,E$2)</f>
        <v>0</v>
      </c>
      <c r="F247" s="42">
        <f>SUMIFS(Nuclear!$M:$M,Nuclear!$H:$H,$B247,Nuclear!$R:$R,F$2)</f>
        <v>0</v>
      </c>
      <c r="G247" s="42">
        <f>SUMIFS(Nuclear!$M:$M,Nuclear!$H:$H,$B247,Nuclear!$R:$R,G$2)</f>
        <v>0</v>
      </c>
      <c r="H247" s="42">
        <f>SUMIFS(Nuclear!$M:$M,Nuclear!$H:$H,$B247,Nuclear!$R:$R,H$2)</f>
        <v>0</v>
      </c>
      <c r="I247" s="42">
        <f>SUMIFS(Nuclear!$M:$M,Nuclear!$H:$H,$B247,Nuclear!$R:$R,I$2)</f>
        <v>0</v>
      </c>
      <c r="J247" s="42">
        <f>SUMIFS(Nuclear!$M:$M,Nuclear!$H:$H,$B247,Nuclear!$R:$R,J$2)</f>
        <v>0</v>
      </c>
      <c r="K247" s="42">
        <f>SUMIFS(Nuclear!$M:$M,Nuclear!$H:$H,$B247,Nuclear!$R:$R,K$2)</f>
        <v>0</v>
      </c>
      <c r="L247" s="42">
        <f>SUMIFS(Nuclear!$M:$M,Nuclear!$H:$H,$B247,Nuclear!$R:$R,L$2)</f>
        <v>0</v>
      </c>
      <c r="M247" s="42">
        <f>SUMIFS(Nuclear!$M:$M,Nuclear!$H:$H,$B247,Nuclear!$R:$R,M$2)</f>
        <v>0</v>
      </c>
      <c r="N247" s="42">
        <f>SUMIFS(Nuclear!$M:$M,Nuclear!$H:$H,$B247,Nuclear!$R:$R,N$2)</f>
        <v>0</v>
      </c>
      <c r="O247" s="42">
        <f>SUMIFS(Nuclear!$M:$M,Nuclear!$H:$H,$B247,Nuclear!$R:$R,O$2)</f>
        <v>0</v>
      </c>
      <c r="P247" s="42">
        <f>SUMIFS(Nuclear!$M:$M,Nuclear!$H:$H,$B247,Nuclear!$R:$R,P$2)</f>
        <v>0</v>
      </c>
      <c r="Q247" s="42">
        <f>SUMIFS(Nuclear!$M:$M,Nuclear!$H:$H,$B247,Nuclear!$R:$R,Q$2)</f>
        <v>0</v>
      </c>
      <c r="R247" s="42">
        <f>SUMIFS(Nuclear!$M:$M,Nuclear!$H:$H,$B247,Nuclear!$R:$R,R$2)</f>
        <v>0</v>
      </c>
      <c r="S247" s="42">
        <f>SUMIFS(Nuclear!$M:$M,Nuclear!$H:$H,$B247,Nuclear!$R:$R,S$2)</f>
        <v>0</v>
      </c>
      <c r="T247" s="42">
        <f>SUMIFS(Nuclear!$M:$M,Nuclear!$H:$H,$B247,Nuclear!$R:$R,T$2)</f>
        <v>0</v>
      </c>
      <c r="U247" s="42">
        <f>SUMIFS(Nuclear!$M:$M,Nuclear!$H:$H,$B247,Nuclear!$R:$R,U$2)+VLOOKUP($B247,'project vs stock'!$A$72:$W$103,21,FALSE)/9</f>
        <v>0</v>
      </c>
      <c r="V247" s="42">
        <f>SUMIFS(Nuclear!$M:$M,Nuclear!$H:$H,$B247,Nuclear!$R:$R,V$2)+VLOOKUP($B247,'project vs stock'!$A$72:$W$103,21,FALSE)/9</f>
        <v>0</v>
      </c>
      <c r="W247" s="42">
        <f>SUMIFS(Nuclear!$M:$M,Nuclear!$H:$H,$B247,Nuclear!$R:$R,W$2)+VLOOKUP($B247,'project vs stock'!$A$72:$W$103,21,FALSE)/9</f>
        <v>0</v>
      </c>
      <c r="X247" s="42">
        <f>SUMIFS(Nuclear!$M:$M,Nuclear!$H:$H,$B247,Nuclear!$R:$R,X$2)+VLOOKUP($B247,'project vs stock'!$A$72:$W$103,21,FALSE)/9</f>
        <v>0</v>
      </c>
      <c r="Y247" s="42">
        <f>SUMIFS(Nuclear!$M:$M,Nuclear!$H:$H,$B247,Nuclear!$R:$R,Y$2)+VLOOKUP($B247,'project vs stock'!$A$72:$W$103,21,FALSE)/9</f>
        <v>1089</v>
      </c>
      <c r="Z247" s="42">
        <f>SUMIFS(Nuclear!$M:$M,Nuclear!$H:$H,$B247,Nuclear!$R:$R,Z$2)+VLOOKUP($B247,'project vs stock'!$A$72:$W$103,21,FALSE)/9</f>
        <v>0</v>
      </c>
      <c r="AA247" s="42">
        <f>SUMIFS(Nuclear!$M:$M,Nuclear!$H:$H,$B247,Nuclear!$R:$R,AA$2)+VLOOKUP($B247,'project vs stock'!$A$72:$W$103,21,FALSE)/9</f>
        <v>2178</v>
      </c>
      <c r="AB247" s="42">
        <f>SUMIFS(Nuclear!$M:$M,Nuclear!$H:$H,$B247,Nuclear!$R:$R,AB$2)+VLOOKUP($B247,'project vs stock'!$A$72:$W$103,21,FALSE)/9</f>
        <v>2178</v>
      </c>
      <c r="AC247" s="42">
        <f>SUMIFS(Nuclear!$M:$M,Nuclear!$H:$H,$B247,Nuclear!$R:$R,AC$2)+VLOOKUP($B247,'project vs stock'!$A$72:$W$103,21,FALSE)/9</f>
        <v>2178</v>
      </c>
      <c r="AD247" s="42">
        <f>SUMIFS(Nuclear!$M:$M,Nuclear!$H:$H,$B247,Nuclear!$R:$R,AD$2)+VLOOKUP($B247,'project vs stock'!$A$72:$W$103,5,FALSE)/5</f>
        <v>1089</v>
      </c>
      <c r="AE247" s="42">
        <f>SUMIFS(Nuclear!$M:$M,Nuclear!$H:$H,$B247,Nuclear!$R:$R,AE$2)+VLOOKUP($B247,'project vs stock'!$A$72:$W$103,5,FALSE)/5</f>
        <v>0</v>
      </c>
      <c r="AF247" s="43">
        <f>SUMIFS(Nuclear!$M:$M,Nuclear!$H:$H,$B247,Nuclear!$R:$R,AF$2)+VLOOKUP($B247,'project vs stock'!$A$72:$W$103,5,FALSE)/5</f>
        <v>0</v>
      </c>
    </row>
    <row r="248" ht="13.85" spans="1:32">
      <c r="A248" s="27" t="s">
        <v>161</v>
      </c>
      <c r="B248" s="44" t="s">
        <v>108</v>
      </c>
      <c r="C248" s="42">
        <f>SUMIFS(Nuclear!$M:$M,Nuclear!$H:$H,$B248,Nuclear!$R:$R,C$2)</f>
        <v>0</v>
      </c>
      <c r="D248" s="42">
        <f>SUMIFS(Nuclear!$M:$M,Nuclear!$H:$H,$B248,Nuclear!$R:$R,D$2)</f>
        <v>0</v>
      </c>
      <c r="E248" s="42">
        <f>SUMIFS(Nuclear!$M:$M,Nuclear!$H:$H,$B248,Nuclear!$R:$R,E$2)</f>
        <v>0</v>
      </c>
      <c r="F248" s="42">
        <f>SUMIFS(Nuclear!$M:$M,Nuclear!$H:$H,$B248,Nuclear!$R:$R,F$2)</f>
        <v>0</v>
      </c>
      <c r="G248" s="42">
        <f>SUMIFS(Nuclear!$M:$M,Nuclear!$H:$H,$B248,Nuclear!$R:$R,G$2)</f>
        <v>0</v>
      </c>
      <c r="H248" s="42">
        <f>SUMIFS(Nuclear!$M:$M,Nuclear!$H:$H,$B248,Nuclear!$R:$R,H$2)</f>
        <v>0</v>
      </c>
      <c r="I248" s="42">
        <f>SUMIFS(Nuclear!$M:$M,Nuclear!$H:$H,$B248,Nuclear!$R:$R,I$2)</f>
        <v>0</v>
      </c>
      <c r="J248" s="42">
        <f>SUMIFS(Nuclear!$M:$M,Nuclear!$H:$H,$B248,Nuclear!$R:$R,J$2)</f>
        <v>0</v>
      </c>
      <c r="K248" s="42">
        <f>SUMIFS(Nuclear!$M:$M,Nuclear!$H:$H,$B248,Nuclear!$R:$R,K$2)</f>
        <v>0</v>
      </c>
      <c r="L248" s="42">
        <f>SUMIFS(Nuclear!$M:$M,Nuclear!$H:$H,$B248,Nuclear!$R:$R,L$2)</f>
        <v>0</v>
      </c>
      <c r="M248" s="42">
        <f>SUMIFS(Nuclear!$M:$M,Nuclear!$H:$H,$B248,Nuclear!$R:$R,M$2)</f>
        <v>0</v>
      </c>
      <c r="N248" s="42">
        <f>SUMIFS(Nuclear!$M:$M,Nuclear!$H:$H,$B248,Nuclear!$R:$R,N$2)</f>
        <v>0</v>
      </c>
      <c r="O248" s="42">
        <f>SUMIFS(Nuclear!$M:$M,Nuclear!$H:$H,$B248,Nuclear!$R:$R,O$2)</f>
        <v>0</v>
      </c>
      <c r="P248" s="42">
        <f>SUMIFS(Nuclear!$M:$M,Nuclear!$H:$H,$B248,Nuclear!$R:$R,P$2)</f>
        <v>0</v>
      </c>
      <c r="Q248" s="42">
        <f>SUMIFS(Nuclear!$M:$M,Nuclear!$H:$H,$B248,Nuclear!$R:$R,Q$2)</f>
        <v>0</v>
      </c>
      <c r="R248" s="42">
        <f>SUMIFS(Nuclear!$M:$M,Nuclear!$H:$H,$B248,Nuclear!$R:$R,R$2)</f>
        <v>0</v>
      </c>
      <c r="S248" s="42">
        <f>SUMIFS(Nuclear!$M:$M,Nuclear!$H:$H,$B248,Nuclear!$R:$R,S$2)</f>
        <v>0</v>
      </c>
      <c r="T248" s="42">
        <f>SUMIFS(Nuclear!$M:$M,Nuclear!$H:$H,$B248,Nuclear!$R:$R,T$2)</f>
        <v>0</v>
      </c>
      <c r="U248" s="42">
        <f>SUMIFS(Nuclear!$M:$M,Nuclear!$H:$H,$B248,Nuclear!$R:$R,U$2)+VLOOKUP($B248,'project vs stock'!$A$72:$W$103,21,FALSE)/9</f>
        <v>0</v>
      </c>
      <c r="V248" s="42">
        <f>SUMIFS(Nuclear!$M:$M,Nuclear!$H:$H,$B248,Nuclear!$R:$R,V$2)+VLOOKUP($B248,'project vs stock'!$A$72:$W$103,21,FALSE)/9</f>
        <v>0</v>
      </c>
      <c r="W248" s="42">
        <f>SUMIFS(Nuclear!$M:$M,Nuclear!$H:$H,$B248,Nuclear!$R:$R,W$2)+VLOOKUP($B248,'project vs stock'!$A$72:$W$103,21,FALSE)/9</f>
        <v>0</v>
      </c>
      <c r="X248" s="42">
        <f>SUMIFS(Nuclear!$M:$M,Nuclear!$H:$H,$B248,Nuclear!$R:$R,X$2)+VLOOKUP($B248,'project vs stock'!$A$72:$W$103,21,FALSE)/9</f>
        <v>0</v>
      </c>
      <c r="Y248" s="42">
        <f>SUMIFS(Nuclear!$M:$M,Nuclear!$H:$H,$B248,Nuclear!$R:$R,Y$2)+VLOOKUP($B248,'project vs stock'!$A$72:$W$103,21,FALSE)/9</f>
        <v>0</v>
      </c>
      <c r="Z248" s="42">
        <f>SUMIFS(Nuclear!$M:$M,Nuclear!$H:$H,$B248,Nuclear!$R:$R,Z$2)+VLOOKUP($B248,'project vs stock'!$A$72:$W$103,21,FALSE)/9</f>
        <v>0</v>
      </c>
      <c r="AA248" s="42">
        <f>SUMIFS(Nuclear!$M:$M,Nuclear!$H:$H,$B248,Nuclear!$R:$R,AA$2)+VLOOKUP($B248,'project vs stock'!$A$72:$W$103,21,FALSE)/9</f>
        <v>0</v>
      </c>
      <c r="AB248" s="42">
        <f>SUMIFS(Nuclear!$M:$M,Nuclear!$H:$H,$B248,Nuclear!$R:$R,AB$2)+VLOOKUP($B248,'project vs stock'!$A$72:$W$103,21,FALSE)/9</f>
        <v>0</v>
      </c>
      <c r="AC248" s="42">
        <f>SUMIFS(Nuclear!$M:$M,Nuclear!$H:$H,$B248,Nuclear!$R:$R,AC$2)+VLOOKUP($B248,'project vs stock'!$A$72:$W$103,21,FALSE)/9</f>
        <v>0</v>
      </c>
      <c r="AD248" s="42">
        <f>SUMIFS(Nuclear!$M:$M,Nuclear!$H:$H,$B248,Nuclear!$R:$R,AD$2)+VLOOKUP($B248,'project vs stock'!$A$72:$W$103,5,FALSE)/5</f>
        <v>0</v>
      </c>
      <c r="AE248" s="42">
        <f>SUMIFS(Nuclear!$M:$M,Nuclear!$H:$H,$B248,Nuclear!$R:$R,AE$2)+VLOOKUP($B248,'project vs stock'!$A$72:$W$103,5,FALSE)/5</f>
        <v>0</v>
      </c>
      <c r="AF248" s="43">
        <f>SUMIFS(Nuclear!$M:$M,Nuclear!$H:$H,$B248,Nuclear!$R:$R,AF$2)+VLOOKUP($B248,'project vs stock'!$A$72:$W$103,5,FALSE)/5</f>
        <v>0</v>
      </c>
    </row>
    <row r="249" ht="13.85" spans="1:32">
      <c r="A249" s="27" t="s">
        <v>161</v>
      </c>
      <c r="B249" s="44" t="s">
        <v>110</v>
      </c>
      <c r="C249" s="42">
        <f>SUMIFS(Nuclear!$M:$M,Nuclear!$H:$H,$B249,Nuclear!$R:$R,C$2)</f>
        <v>0</v>
      </c>
      <c r="D249" s="42">
        <f>SUMIFS(Nuclear!$M:$M,Nuclear!$H:$H,$B249,Nuclear!$R:$R,D$2)</f>
        <v>0</v>
      </c>
      <c r="E249" s="42">
        <f>SUMIFS(Nuclear!$M:$M,Nuclear!$H:$H,$B249,Nuclear!$R:$R,E$2)</f>
        <v>0</v>
      </c>
      <c r="F249" s="42">
        <f>SUMIFS(Nuclear!$M:$M,Nuclear!$H:$H,$B249,Nuclear!$R:$R,F$2)</f>
        <v>0</v>
      </c>
      <c r="G249" s="42">
        <f>SUMIFS(Nuclear!$M:$M,Nuclear!$H:$H,$B249,Nuclear!$R:$R,G$2)</f>
        <v>0</v>
      </c>
      <c r="H249" s="42">
        <f>SUMIFS(Nuclear!$M:$M,Nuclear!$H:$H,$B249,Nuclear!$R:$R,H$2)</f>
        <v>0</v>
      </c>
      <c r="I249" s="42">
        <f>SUMIFS(Nuclear!$M:$M,Nuclear!$H:$H,$B249,Nuclear!$R:$R,I$2)</f>
        <v>0</v>
      </c>
      <c r="J249" s="42">
        <f>SUMIFS(Nuclear!$M:$M,Nuclear!$H:$H,$B249,Nuclear!$R:$R,J$2)</f>
        <v>0</v>
      </c>
      <c r="K249" s="42">
        <f>SUMIFS(Nuclear!$M:$M,Nuclear!$H:$H,$B249,Nuclear!$R:$R,K$2)</f>
        <v>0</v>
      </c>
      <c r="L249" s="42">
        <f>SUMIFS(Nuclear!$M:$M,Nuclear!$H:$H,$B249,Nuclear!$R:$R,L$2)</f>
        <v>0</v>
      </c>
      <c r="M249" s="42">
        <f>SUMIFS(Nuclear!$M:$M,Nuclear!$H:$H,$B249,Nuclear!$R:$R,M$2)</f>
        <v>0</v>
      </c>
      <c r="N249" s="42">
        <f>SUMIFS(Nuclear!$M:$M,Nuclear!$H:$H,$B249,Nuclear!$R:$R,N$2)</f>
        <v>0</v>
      </c>
      <c r="O249" s="42">
        <f>SUMIFS(Nuclear!$M:$M,Nuclear!$H:$H,$B249,Nuclear!$R:$R,O$2)</f>
        <v>0</v>
      </c>
      <c r="P249" s="42">
        <f>SUMIFS(Nuclear!$M:$M,Nuclear!$H:$H,$B249,Nuclear!$R:$R,P$2)</f>
        <v>0</v>
      </c>
      <c r="Q249" s="42">
        <f>SUMIFS(Nuclear!$M:$M,Nuclear!$H:$H,$B249,Nuclear!$R:$R,Q$2)</f>
        <v>0</v>
      </c>
      <c r="R249" s="42">
        <f>SUMIFS(Nuclear!$M:$M,Nuclear!$H:$H,$B249,Nuclear!$R:$R,R$2)</f>
        <v>0</v>
      </c>
      <c r="S249" s="42">
        <f>SUMIFS(Nuclear!$M:$M,Nuclear!$H:$H,$B249,Nuclear!$R:$R,S$2)</f>
        <v>0</v>
      </c>
      <c r="T249" s="42">
        <f>SUMIFS(Nuclear!$M:$M,Nuclear!$H:$H,$B249,Nuclear!$R:$R,T$2)</f>
        <v>0</v>
      </c>
      <c r="U249" s="42">
        <f>SUMIFS(Nuclear!$M:$M,Nuclear!$H:$H,$B249,Nuclear!$R:$R,U$2)+VLOOKUP($B249,'project vs stock'!$A$72:$W$103,21,FALSE)/9</f>
        <v>0</v>
      </c>
      <c r="V249" s="42">
        <f>SUMIFS(Nuclear!$M:$M,Nuclear!$H:$H,$B249,Nuclear!$R:$R,V$2)+VLOOKUP($B249,'project vs stock'!$A$72:$W$103,21,FALSE)/9</f>
        <v>0</v>
      </c>
      <c r="W249" s="42">
        <f>SUMIFS(Nuclear!$M:$M,Nuclear!$H:$H,$B249,Nuclear!$R:$R,W$2)+VLOOKUP($B249,'project vs stock'!$A$72:$W$103,21,FALSE)/9</f>
        <v>0</v>
      </c>
      <c r="X249" s="42">
        <f>SUMIFS(Nuclear!$M:$M,Nuclear!$H:$H,$B249,Nuclear!$R:$R,X$2)+VLOOKUP($B249,'project vs stock'!$A$72:$W$103,21,FALSE)/9</f>
        <v>0</v>
      </c>
      <c r="Y249" s="42">
        <f>SUMIFS(Nuclear!$M:$M,Nuclear!$H:$H,$B249,Nuclear!$R:$R,Y$2)+VLOOKUP($B249,'project vs stock'!$A$72:$W$103,21,FALSE)/9</f>
        <v>0</v>
      </c>
      <c r="Z249" s="42">
        <f>SUMIFS(Nuclear!$M:$M,Nuclear!$H:$H,$B249,Nuclear!$R:$R,Z$2)+VLOOKUP($B249,'project vs stock'!$A$72:$W$103,21,FALSE)/9</f>
        <v>0</v>
      </c>
      <c r="AA249" s="42">
        <f>SUMIFS(Nuclear!$M:$M,Nuclear!$H:$H,$B249,Nuclear!$R:$R,AA$2)+VLOOKUP($B249,'project vs stock'!$A$72:$W$103,21,FALSE)/9</f>
        <v>0</v>
      </c>
      <c r="AB249" s="42">
        <f>SUMIFS(Nuclear!$M:$M,Nuclear!$H:$H,$B249,Nuclear!$R:$R,AB$2)+VLOOKUP($B249,'project vs stock'!$A$72:$W$103,21,FALSE)/9</f>
        <v>0</v>
      </c>
      <c r="AC249" s="42">
        <f>SUMIFS(Nuclear!$M:$M,Nuclear!$H:$H,$B249,Nuclear!$R:$R,AC$2)+VLOOKUP($B249,'project vs stock'!$A$72:$W$103,21,FALSE)/9</f>
        <v>0</v>
      </c>
      <c r="AD249" s="42">
        <f>SUMIFS(Nuclear!$M:$M,Nuclear!$H:$H,$B249,Nuclear!$R:$R,AD$2)+VLOOKUP($B249,'project vs stock'!$A$72:$W$103,5,FALSE)/5</f>
        <v>0</v>
      </c>
      <c r="AE249" s="42">
        <f>SUMIFS(Nuclear!$M:$M,Nuclear!$H:$H,$B249,Nuclear!$R:$R,AE$2)+VLOOKUP($B249,'project vs stock'!$A$72:$W$103,5,FALSE)/5</f>
        <v>2506</v>
      </c>
      <c r="AF249" s="43">
        <f>SUMIFS(Nuclear!$M:$M,Nuclear!$H:$H,$B249,Nuclear!$R:$R,AF$2)+VLOOKUP($B249,'project vs stock'!$A$72:$W$103,5,FALSE)/5</f>
        <v>0</v>
      </c>
    </row>
    <row r="250" ht="13.85" spans="1:32">
      <c r="A250" s="27" t="s">
        <v>161</v>
      </c>
      <c r="B250" s="44" t="s">
        <v>112</v>
      </c>
      <c r="C250" s="42">
        <f>SUMIFS(Nuclear!$M:$M,Nuclear!$H:$H,$B250,Nuclear!$R:$R,C$2)</f>
        <v>0</v>
      </c>
      <c r="D250" s="42">
        <f>SUMIFS(Nuclear!$M:$M,Nuclear!$H:$H,$B250,Nuclear!$R:$R,D$2)</f>
        <v>0</v>
      </c>
      <c r="E250" s="42">
        <f>SUMIFS(Nuclear!$M:$M,Nuclear!$H:$H,$B250,Nuclear!$R:$R,E$2)</f>
        <v>0</v>
      </c>
      <c r="F250" s="42">
        <f>SUMIFS(Nuclear!$M:$M,Nuclear!$H:$H,$B250,Nuclear!$R:$R,F$2)</f>
        <v>0</v>
      </c>
      <c r="G250" s="42">
        <f>SUMIFS(Nuclear!$M:$M,Nuclear!$H:$H,$B250,Nuclear!$R:$R,G$2)</f>
        <v>0</v>
      </c>
      <c r="H250" s="42">
        <f>SUMIFS(Nuclear!$M:$M,Nuclear!$H:$H,$B250,Nuclear!$R:$R,H$2)</f>
        <v>0</v>
      </c>
      <c r="I250" s="42">
        <f>SUMIFS(Nuclear!$M:$M,Nuclear!$H:$H,$B250,Nuclear!$R:$R,I$2)</f>
        <v>0</v>
      </c>
      <c r="J250" s="42">
        <f>SUMIFS(Nuclear!$M:$M,Nuclear!$H:$H,$B250,Nuclear!$R:$R,J$2)</f>
        <v>0</v>
      </c>
      <c r="K250" s="42">
        <f>SUMIFS(Nuclear!$M:$M,Nuclear!$H:$H,$B250,Nuclear!$R:$R,K$2)</f>
        <v>0</v>
      </c>
      <c r="L250" s="42">
        <f>SUMIFS(Nuclear!$M:$M,Nuclear!$H:$H,$B250,Nuclear!$R:$R,L$2)</f>
        <v>0</v>
      </c>
      <c r="M250" s="42">
        <f>SUMIFS(Nuclear!$M:$M,Nuclear!$H:$H,$B250,Nuclear!$R:$R,M$2)</f>
        <v>0</v>
      </c>
      <c r="N250" s="42">
        <f>SUMIFS(Nuclear!$M:$M,Nuclear!$H:$H,$B250,Nuclear!$R:$R,N$2)</f>
        <v>0</v>
      </c>
      <c r="O250" s="42">
        <f>SUMIFS(Nuclear!$M:$M,Nuclear!$H:$H,$B250,Nuclear!$R:$R,O$2)</f>
        <v>0</v>
      </c>
      <c r="P250" s="42">
        <f>SUMIFS(Nuclear!$M:$M,Nuclear!$H:$H,$B250,Nuclear!$R:$R,P$2)</f>
        <v>0</v>
      </c>
      <c r="Q250" s="42">
        <f>SUMIFS(Nuclear!$M:$M,Nuclear!$H:$H,$B250,Nuclear!$R:$R,Q$2)</f>
        <v>0</v>
      </c>
      <c r="R250" s="42">
        <f>SUMIFS(Nuclear!$M:$M,Nuclear!$H:$H,$B250,Nuclear!$R:$R,R$2)</f>
        <v>0</v>
      </c>
      <c r="S250" s="42">
        <f>SUMIFS(Nuclear!$M:$M,Nuclear!$H:$H,$B250,Nuclear!$R:$R,S$2)</f>
        <v>0</v>
      </c>
      <c r="T250" s="42">
        <f>SUMIFS(Nuclear!$M:$M,Nuclear!$H:$H,$B250,Nuclear!$R:$R,T$2)</f>
        <v>0</v>
      </c>
      <c r="U250" s="42">
        <f>SUMIFS(Nuclear!$M:$M,Nuclear!$H:$H,$B250,Nuclear!$R:$R,U$2)+VLOOKUP($B250,'project vs stock'!$A$72:$W$103,21,FALSE)/9</f>
        <v>0</v>
      </c>
      <c r="V250" s="42">
        <f>SUMIFS(Nuclear!$M:$M,Nuclear!$H:$H,$B250,Nuclear!$R:$R,V$2)+VLOOKUP($B250,'project vs stock'!$A$72:$W$103,21,FALSE)/9</f>
        <v>0</v>
      </c>
      <c r="W250" s="42">
        <f>SUMIFS(Nuclear!$M:$M,Nuclear!$H:$H,$B250,Nuclear!$R:$R,W$2)+VLOOKUP($B250,'project vs stock'!$A$72:$W$103,21,FALSE)/9</f>
        <v>0</v>
      </c>
      <c r="X250" s="42">
        <f>SUMIFS(Nuclear!$M:$M,Nuclear!$H:$H,$B250,Nuclear!$R:$R,X$2)+VLOOKUP($B250,'project vs stock'!$A$72:$W$103,21,FALSE)/9</f>
        <v>0</v>
      </c>
      <c r="Y250" s="42">
        <f>SUMIFS(Nuclear!$M:$M,Nuclear!$H:$H,$B250,Nuclear!$R:$R,Y$2)+VLOOKUP($B250,'project vs stock'!$A$72:$W$103,21,FALSE)/9</f>
        <v>0</v>
      </c>
      <c r="Z250" s="42">
        <f>SUMIFS(Nuclear!$M:$M,Nuclear!$H:$H,$B250,Nuclear!$R:$R,Z$2)+VLOOKUP($B250,'project vs stock'!$A$72:$W$103,21,FALSE)/9</f>
        <v>0</v>
      </c>
      <c r="AA250" s="42">
        <f>SUMIFS(Nuclear!$M:$M,Nuclear!$H:$H,$B250,Nuclear!$R:$R,AA$2)+VLOOKUP($B250,'project vs stock'!$A$72:$W$103,21,FALSE)/9</f>
        <v>0</v>
      </c>
      <c r="AB250" s="42">
        <f>SUMIFS(Nuclear!$M:$M,Nuclear!$H:$H,$B250,Nuclear!$R:$R,AB$2)+VLOOKUP($B250,'project vs stock'!$A$72:$W$103,21,FALSE)/9</f>
        <v>0</v>
      </c>
      <c r="AC250" s="42">
        <f>SUMIFS(Nuclear!$M:$M,Nuclear!$H:$H,$B250,Nuclear!$R:$R,AC$2)+VLOOKUP($B250,'project vs stock'!$A$72:$W$103,21,FALSE)/9</f>
        <v>0</v>
      </c>
      <c r="AD250" s="42">
        <f>SUMIFS(Nuclear!$M:$M,Nuclear!$H:$H,$B250,Nuclear!$R:$R,AD$2)+VLOOKUP($B250,'project vs stock'!$A$72:$W$103,5,FALSE)/5</f>
        <v>0</v>
      </c>
      <c r="AE250" s="42">
        <f>SUMIFS(Nuclear!$M:$M,Nuclear!$H:$H,$B250,Nuclear!$R:$R,AE$2)+VLOOKUP($B250,'project vs stock'!$A$72:$W$103,5,FALSE)/5</f>
        <v>0</v>
      </c>
      <c r="AF250" s="43">
        <f>SUMIFS(Nuclear!$M:$M,Nuclear!$H:$H,$B250,Nuclear!$R:$R,AF$2)+VLOOKUP($B250,'project vs stock'!$A$72:$W$103,5,FALSE)/5</f>
        <v>0</v>
      </c>
    </row>
    <row r="251" ht="13.85" spans="1:32">
      <c r="A251" s="27" t="s">
        <v>161</v>
      </c>
      <c r="B251" s="44" t="s">
        <v>114</v>
      </c>
      <c r="C251" s="42">
        <f>SUMIFS(Nuclear!$M:$M,Nuclear!$H:$H,$B251,Nuclear!$R:$R,C$2)</f>
        <v>0</v>
      </c>
      <c r="D251" s="42">
        <f>SUMIFS(Nuclear!$M:$M,Nuclear!$H:$H,$B251,Nuclear!$R:$R,D$2)</f>
        <v>0</v>
      </c>
      <c r="E251" s="42">
        <f>SUMIFS(Nuclear!$M:$M,Nuclear!$H:$H,$B251,Nuclear!$R:$R,E$2)</f>
        <v>0</v>
      </c>
      <c r="F251" s="42">
        <f>SUMIFS(Nuclear!$M:$M,Nuclear!$H:$H,$B251,Nuclear!$R:$R,F$2)</f>
        <v>0</v>
      </c>
      <c r="G251" s="42">
        <f>SUMIFS(Nuclear!$M:$M,Nuclear!$H:$H,$B251,Nuclear!$R:$R,G$2)</f>
        <v>0</v>
      </c>
      <c r="H251" s="42">
        <f>SUMIFS(Nuclear!$M:$M,Nuclear!$H:$H,$B251,Nuclear!$R:$R,H$2)</f>
        <v>0</v>
      </c>
      <c r="I251" s="42">
        <f>SUMIFS(Nuclear!$M:$M,Nuclear!$H:$H,$B251,Nuclear!$R:$R,I$2)</f>
        <v>0</v>
      </c>
      <c r="J251" s="42">
        <f>SUMIFS(Nuclear!$M:$M,Nuclear!$H:$H,$B251,Nuclear!$R:$R,J$2)</f>
        <v>0</v>
      </c>
      <c r="K251" s="42">
        <f>SUMIFS(Nuclear!$M:$M,Nuclear!$H:$H,$B251,Nuclear!$R:$R,K$2)</f>
        <v>0</v>
      </c>
      <c r="L251" s="42">
        <f>SUMIFS(Nuclear!$M:$M,Nuclear!$H:$H,$B251,Nuclear!$R:$R,L$2)</f>
        <v>0</v>
      </c>
      <c r="M251" s="42">
        <f>SUMIFS(Nuclear!$M:$M,Nuclear!$H:$H,$B251,Nuclear!$R:$R,M$2)</f>
        <v>0</v>
      </c>
      <c r="N251" s="42">
        <f>SUMIFS(Nuclear!$M:$M,Nuclear!$H:$H,$B251,Nuclear!$R:$R,N$2)</f>
        <v>0</v>
      </c>
      <c r="O251" s="42">
        <f>SUMIFS(Nuclear!$M:$M,Nuclear!$H:$H,$B251,Nuclear!$R:$R,O$2)</f>
        <v>0</v>
      </c>
      <c r="P251" s="42">
        <f>SUMIFS(Nuclear!$M:$M,Nuclear!$H:$H,$B251,Nuclear!$R:$R,P$2)</f>
        <v>0</v>
      </c>
      <c r="Q251" s="42">
        <f>SUMIFS(Nuclear!$M:$M,Nuclear!$H:$H,$B251,Nuclear!$R:$R,Q$2)</f>
        <v>0</v>
      </c>
      <c r="R251" s="42">
        <f>SUMIFS(Nuclear!$M:$M,Nuclear!$H:$H,$B251,Nuclear!$R:$R,R$2)</f>
        <v>0</v>
      </c>
      <c r="S251" s="42">
        <f>SUMIFS(Nuclear!$M:$M,Nuclear!$H:$H,$B251,Nuclear!$R:$R,S$2)</f>
        <v>0</v>
      </c>
      <c r="T251" s="42">
        <f>SUMIFS(Nuclear!$M:$M,Nuclear!$H:$H,$B251,Nuclear!$R:$R,T$2)</f>
        <v>0</v>
      </c>
      <c r="U251" s="42">
        <f>SUMIFS(Nuclear!$M:$M,Nuclear!$H:$H,$B251,Nuclear!$R:$R,U$2)+VLOOKUP($B251,'project vs stock'!$A$72:$W$103,21,FALSE)/9</f>
        <v>0</v>
      </c>
      <c r="V251" s="42">
        <f>SUMIFS(Nuclear!$M:$M,Nuclear!$H:$H,$B251,Nuclear!$R:$R,V$2)+VLOOKUP($B251,'project vs stock'!$A$72:$W$103,21,FALSE)/9</f>
        <v>0</v>
      </c>
      <c r="W251" s="42">
        <f>SUMIFS(Nuclear!$M:$M,Nuclear!$H:$H,$B251,Nuclear!$R:$R,W$2)+VLOOKUP($B251,'project vs stock'!$A$72:$W$103,21,FALSE)/9</f>
        <v>0</v>
      </c>
      <c r="X251" s="42">
        <f>SUMIFS(Nuclear!$M:$M,Nuclear!$H:$H,$B251,Nuclear!$R:$R,X$2)+VLOOKUP($B251,'project vs stock'!$A$72:$W$103,21,FALSE)/9</f>
        <v>0</v>
      </c>
      <c r="Y251" s="42">
        <f>SUMIFS(Nuclear!$M:$M,Nuclear!$H:$H,$B251,Nuclear!$R:$R,Y$2)+VLOOKUP($B251,'project vs stock'!$A$72:$W$103,21,FALSE)/9</f>
        <v>0</v>
      </c>
      <c r="Z251" s="42">
        <f>SUMIFS(Nuclear!$M:$M,Nuclear!$H:$H,$B251,Nuclear!$R:$R,Z$2)+VLOOKUP($B251,'project vs stock'!$A$72:$W$103,21,FALSE)/9</f>
        <v>0</v>
      </c>
      <c r="AA251" s="42">
        <f>SUMIFS(Nuclear!$M:$M,Nuclear!$H:$H,$B251,Nuclear!$R:$R,AA$2)+VLOOKUP($B251,'project vs stock'!$A$72:$W$103,21,FALSE)/9</f>
        <v>0</v>
      </c>
      <c r="AB251" s="42">
        <f>SUMIFS(Nuclear!$M:$M,Nuclear!$H:$H,$B251,Nuclear!$R:$R,AB$2)+VLOOKUP($B251,'project vs stock'!$A$72:$W$103,21,FALSE)/9</f>
        <v>0</v>
      </c>
      <c r="AC251" s="42">
        <f>SUMIFS(Nuclear!$M:$M,Nuclear!$H:$H,$B251,Nuclear!$R:$R,AC$2)+VLOOKUP($B251,'project vs stock'!$A$72:$W$103,21,FALSE)/9</f>
        <v>0</v>
      </c>
      <c r="AD251" s="42">
        <f>SUMIFS(Nuclear!$M:$M,Nuclear!$H:$H,$B251,Nuclear!$R:$R,AD$2)+VLOOKUP($B251,'project vs stock'!$A$72:$W$103,5,FALSE)/5</f>
        <v>0</v>
      </c>
      <c r="AE251" s="42">
        <f>SUMIFS(Nuclear!$M:$M,Nuclear!$H:$H,$B251,Nuclear!$R:$R,AE$2)+VLOOKUP($B251,'project vs stock'!$A$72:$W$103,5,FALSE)/5</f>
        <v>0</v>
      </c>
      <c r="AF251" s="43">
        <f>SUMIFS(Nuclear!$M:$M,Nuclear!$H:$H,$B251,Nuclear!$R:$R,AF$2)+VLOOKUP($B251,'project vs stock'!$A$72:$W$103,5,FALSE)/5</f>
        <v>0</v>
      </c>
    </row>
    <row r="252" ht="13.85" spans="1:32">
      <c r="A252" s="27" t="s">
        <v>161</v>
      </c>
      <c r="B252" s="44" t="s">
        <v>116</v>
      </c>
      <c r="C252" s="42">
        <f>SUMIFS(Nuclear!$M:$M,Nuclear!$H:$H,$B252,Nuclear!$R:$R,C$2)</f>
        <v>0</v>
      </c>
      <c r="D252" s="42">
        <f>SUMIFS(Nuclear!$M:$M,Nuclear!$H:$H,$B252,Nuclear!$R:$R,D$2)</f>
        <v>0</v>
      </c>
      <c r="E252" s="42">
        <f>SUMIFS(Nuclear!$M:$M,Nuclear!$H:$H,$B252,Nuclear!$R:$R,E$2)</f>
        <v>0</v>
      </c>
      <c r="F252" s="42">
        <f>SUMIFS(Nuclear!$M:$M,Nuclear!$H:$H,$B252,Nuclear!$R:$R,F$2)</f>
        <v>0</v>
      </c>
      <c r="G252" s="42">
        <f>SUMIFS(Nuclear!$M:$M,Nuclear!$H:$H,$B252,Nuclear!$R:$R,G$2)</f>
        <v>0</v>
      </c>
      <c r="H252" s="42">
        <f>SUMIFS(Nuclear!$M:$M,Nuclear!$H:$H,$B252,Nuclear!$R:$R,H$2)</f>
        <v>0</v>
      </c>
      <c r="I252" s="42">
        <f>SUMIFS(Nuclear!$M:$M,Nuclear!$H:$H,$B252,Nuclear!$R:$R,I$2)</f>
        <v>0</v>
      </c>
      <c r="J252" s="42">
        <f>SUMIFS(Nuclear!$M:$M,Nuclear!$H:$H,$B252,Nuclear!$R:$R,J$2)</f>
        <v>0</v>
      </c>
      <c r="K252" s="42">
        <f>SUMIFS(Nuclear!$M:$M,Nuclear!$H:$H,$B252,Nuclear!$R:$R,K$2)</f>
        <v>0</v>
      </c>
      <c r="L252" s="42">
        <f>SUMIFS(Nuclear!$M:$M,Nuclear!$H:$H,$B252,Nuclear!$R:$R,L$2)</f>
        <v>0</v>
      </c>
      <c r="M252" s="42">
        <f>SUMIFS(Nuclear!$M:$M,Nuclear!$H:$H,$B252,Nuclear!$R:$R,M$2)</f>
        <v>0</v>
      </c>
      <c r="N252" s="42">
        <f>SUMIFS(Nuclear!$M:$M,Nuclear!$H:$H,$B252,Nuclear!$R:$R,N$2)</f>
        <v>0</v>
      </c>
      <c r="O252" s="42">
        <f>SUMIFS(Nuclear!$M:$M,Nuclear!$H:$H,$B252,Nuclear!$R:$R,O$2)</f>
        <v>0</v>
      </c>
      <c r="P252" s="42">
        <f>SUMIFS(Nuclear!$M:$M,Nuclear!$H:$H,$B252,Nuclear!$R:$R,P$2)</f>
        <v>0</v>
      </c>
      <c r="Q252" s="42">
        <f>SUMIFS(Nuclear!$M:$M,Nuclear!$H:$H,$B252,Nuclear!$R:$R,Q$2)</f>
        <v>0</v>
      </c>
      <c r="R252" s="42">
        <f>SUMIFS(Nuclear!$M:$M,Nuclear!$H:$H,$B252,Nuclear!$R:$R,R$2)</f>
        <v>0</v>
      </c>
      <c r="S252" s="42">
        <f>SUMIFS(Nuclear!$M:$M,Nuclear!$H:$H,$B252,Nuclear!$R:$R,S$2)</f>
        <v>0</v>
      </c>
      <c r="T252" s="42">
        <f>SUMIFS(Nuclear!$M:$M,Nuclear!$H:$H,$B252,Nuclear!$R:$R,T$2)</f>
        <v>0</v>
      </c>
      <c r="U252" s="42">
        <f>SUMIFS(Nuclear!$M:$M,Nuclear!$H:$H,$B252,Nuclear!$R:$R,U$2)+VLOOKUP($B252,'project vs stock'!$A$72:$W$103,21,FALSE)/9</f>
        <v>0</v>
      </c>
      <c r="V252" s="42">
        <f>SUMIFS(Nuclear!$M:$M,Nuclear!$H:$H,$B252,Nuclear!$R:$R,V$2)+VLOOKUP($B252,'project vs stock'!$A$72:$W$103,21,FALSE)/9</f>
        <v>0</v>
      </c>
      <c r="W252" s="42">
        <f>SUMIFS(Nuclear!$M:$M,Nuclear!$H:$H,$B252,Nuclear!$R:$R,W$2)+VLOOKUP($B252,'project vs stock'!$A$72:$W$103,21,FALSE)/9</f>
        <v>0</v>
      </c>
      <c r="X252" s="42">
        <f>SUMIFS(Nuclear!$M:$M,Nuclear!$H:$H,$B252,Nuclear!$R:$R,X$2)+VLOOKUP($B252,'project vs stock'!$A$72:$W$103,21,FALSE)/9</f>
        <v>0</v>
      </c>
      <c r="Y252" s="42">
        <f>SUMIFS(Nuclear!$M:$M,Nuclear!$H:$H,$B252,Nuclear!$R:$R,Y$2)+VLOOKUP($B252,'project vs stock'!$A$72:$W$103,21,FALSE)/9</f>
        <v>0</v>
      </c>
      <c r="Z252" s="42">
        <f>SUMIFS(Nuclear!$M:$M,Nuclear!$H:$H,$B252,Nuclear!$R:$R,Z$2)+VLOOKUP($B252,'project vs stock'!$A$72:$W$103,21,FALSE)/9</f>
        <v>0</v>
      </c>
      <c r="AA252" s="42">
        <f>SUMIFS(Nuclear!$M:$M,Nuclear!$H:$H,$B252,Nuclear!$R:$R,AA$2)+VLOOKUP($B252,'project vs stock'!$A$72:$W$103,21,FALSE)/9</f>
        <v>0</v>
      </c>
      <c r="AB252" s="42">
        <f>SUMIFS(Nuclear!$M:$M,Nuclear!$H:$H,$B252,Nuclear!$R:$R,AB$2)+VLOOKUP($B252,'project vs stock'!$A$72:$W$103,21,FALSE)/9</f>
        <v>0</v>
      </c>
      <c r="AC252" s="42">
        <f>SUMIFS(Nuclear!$M:$M,Nuclear!$H:$H,$B252,Nuclear!$R:$R,AC$2)+VLOOKUP($B252,'project vs stock'!$A$72:$W$103,21,FALSE)/9</f>
        <v>0</v>
      </c>
      <c r="AD252" s="42">
        <f>SUMIFS(Nuclear!$M:$M,Nuclear!$H:$H,$B252,Nuclear!$R:$R,AD$2)+VLOOKUP($B252,'project vs stock'!$A$72:$W$103,5,FALSE)/5</f>
        <v>0</v>
      </c>
      <c r="AE252" s="42">
        <f>SUMIFS(Nuclear!$M:$M,Nuclear!$H:$H,$B252,Nuclear!$R:$R,AE$2)+VLOOKUP($B252,'project vs stock'!$A$72:$W$103,5,FALSE)/5</f>
        <v>0</v>
      </c>
      <c r="AF252" s="43">
        <f>SUMIFS(Nuclear!$M:$M,Nuclear!$H:$H,$B252,Nuclear!$R:$R,AF$2)+VLOOKUP($B252,'project vs stock'!$A$72:$W$103,5,FALSE)/5</f>
        <v>0</v>
      </c>
    </row>
    <row r="253" ht="13.85" spans="1:32">
      <c r="A253" s="27" t="s">
        <v>161</v>
      </c>
      <c r="B253" s="44" t="s">
        <v>118</v>
      </c>
      <c r="C253" s="42">
        <f>SUMIFS(Nuclear!$M:$M,Nuclear!$H:$H,$B253,Nuclear!$R:$R,C$2)</f>
        <v>0</v>
      </c>
      <c r="D253" s="42">
        <f>SUMIFS(Nuclear!$M:$M,Nuclear!$H:$H,$B253,Nuclear!$R:$R,D$2)</f>
        <v>0</v>
      </c>
      <c r="E253" s="42">
        <f>SUMIFS(Nuclear!$M:$M,Nuclear!$H:$H,$B253,Nuclear!$R:$R,E$2)</f>
        <v>0</v>
      </c>
      <c r="F253" s="42">
        <f>SUMIFS(Nuclear!$M:$M,Nuclear!$H:$H,$B253,Nuclear!$R:$R,F$2)</f>
        <v>984</v>
      </c>
      <c r="G253" s="42">
        <f>SUMIFS(Nuclear!$M:$M,Nuclear!$H:$H,$B253,Nuclear!$R:$R,G$2)</f>
        <v>984</v>
      </c>
      <c r="H253" s="42">
        <f>SUMIFS(Nuclear!$M:$M,Nuclear!$H:$H,$B253,Nuclear!$R:$R,H$2)</f>
        <v>0</v>
      </c>
      <c r="I253" s="42">
        <f>SUMIFS(Nuclear!$M:$M,Nuclear!$H:$H,$B253,Nuclear!$R:$R,I$2)</f>
        <v>0</v>
      </c>
      <c r="J253" s="42">
        <f>SUMIFS(Nuclear!$M:$M,Nuclear!$H:$H,$B253,Nuclear!$R:$R,J$2)</f>
        <v>0</v>
      </c>
      <c r="K253" s="42">
        <f>SUMIFS(Nuclear!$M:$M,Nuclear!$H:$H,$B253,Nuclear!$R:$R,K$2)</f>
        <v>0</v>
      </c>
      <c r="L253" s="42">
        <f>SUMIFS(Nuclear!$M:$M,Nuclear!$H:$H,$B253,Nuclear!$R:$R,L$2)</f>
        <v>0</v>
      </c>
      <c r="M253" s="42">
        <f>SUMIFS(Nuclear!$M:$M,Nuclear!$H:$H,$B253,Nuclear!$R:$R,M$2)</f>
        <v>0</v>
      </c>
      <c r="N253" s="42">
        <f>SUMIFS(Nuclear!$M:$M,Nuclear!$H:$H,$B253,Nuclear!$R:$R,N$2)</f>
        <v>0</v>
      </c>
      <c r="O253" s="42">
        <f>SUMIFS(Nuclear!$M:$M,Nuclear!$H:$H,$B253,Nuclear!$R:$R,O$2)</f>
        <v>1980</v>
      </c>
      <c r="P253" s="42">
        <f>SUMIFS(Nuclear!$M:$M,Nuclear!$H:$H,$B253,Nuclear!$R:$R,P$2)</f>
        <v>0</v>
      </c>
      <c r="Q253" s="42">
        <f>SUMIFS(Nuclear!$M:$M,Nuclear!$H:$H,$B253,Nuclear!$R:$R,Q$2)</f>
        <v>0</v>
      </c>
      <c r="R253" s="42">
        <f>SUMIFS(Nuclear!$M:$M,Nuclear!$H:$H,$B253,Nuclear!$R:$R,R$2)</f>
        <v>0</v>
      </c>
      <c r="S253" s="42">
        <f>SUMIFS(Nuclear!$M:$M,Nuclear!$H:$H,$B253,Nuclear!$R:$R,S$2)</f>
        <v>0</v>
      </c>
      <c r="T253" s="42">
        <f>SUMIFS(Nuclear!$M:$M,Nuclear!$H:$H,$B253,Nuclear!$R:$R,T$2)</f>
        <v>0</v>
      </c>
      <c r="U253" s="42">
        <f>SUMIFS(Nuclear!$M:$M,Nuclear!$H:$H,$B253,Nuclear!$R:$R,U$2)+VLOOKUP($B253,'project vs stock'!$A$72:$W$103,21,FALSE)/9</f>
        <v>18.6888888888889</v>
      </c>
      <c r="V253" s="42">
        <f>SUMIFS(Nuclear!$M:$M,Nuclear!$H:$H,$B253,Nuclear!$R:$R,V$2)+VLOOKUP($B253,'project vs stock'!$A$72:$W$103,21,FALSE)/9</f>
        <v>18.6888888888889</v>
      </c>
      <c r="W253" s="42">
        <f>SUMIFS(Nuclear!$M:$M,Nuclear!$H:$H,$B253,Nuclear!$R:$R,W$2)+VLOOKUP($B253,'project vs stock'!$A$72:$W$103,21,FALSE)/9</f>
        <v>1104.68888888889</v>
      </c>
      <c r="X253" s="42">
        <f>SUMIFS(Nuclear!$M:$M,Nuclear!$H:$H,$B253,Nuclear!$R:$R,X$2)+VLOOKUP($B253,'project vs stock'!$A$72:$W$103,21,FALSE)/9</f>
        <v>1104.68888888889</v>
      </c>
      <c r="Y253" s="42">
        <f>SUMIFS(Nuclear!$M:$M,Nuclear!$H:$H,$B253,Nuclear!$R:$R,Y$2)+VLOOKUP($B253,'project vs stock'!$A$72:$W$103,21,FALSE)/9</f>
        <v>18.6888888888889</v>
      </c>
      <c r="Z253" s="42">
        <f>SUMIFS(Nuclear!$M:$M,Nuclear!$H:$H,$B253,Nuclear!$R:$R,Z$2)+VLOOKUP($B253,'project vs stock'!$A$72:$W$103,21,FALSE)/9</f>
        <v>1104.68888888889</v>
      </c>
      <c r="AA253" s="42">
        <f>SUMIFS(Nuclear!$M:$M,Nuclear!$H:$H,$B253,Nuclear!$R:$R,AA$2)+VLOOKUP($B253,'project vs stock'!$A$72:$W$103,21,FALSE)/9</f>
        <v>18.6888888888889</v>
      </c>
      <c r="AB253" s="42">
        <f>SUMIFS(Nuclear!$M:$M,Nuclear!$H:$H,$B253,Nuclear!$R:$R,AB$2)+VLOOKUP($B253,'project vs stock'!$A$72:$W$103,21,FALSE)/9</f>
        <v>2190.68888888889</v>
      </c>
      <c r="AC253" s="42">
        <f>SUMIFS(Nuclear!$M:$M,Nuclear!$H:$H,$B253,Nuclear!$R:$R,AC$2)+VLOOKUP($B253,'project vs stock'!$A$72:$W$103,21,FALSE)/9</f>
        <v>18.6888888888889</v>
      </c>
      <c r="AD253" s="42">
        <f>SUMIFS(Nuclear!$M:$M,Nuclear!$H:$H,$B253,Nuclear!$R:$R,AD$2)+VLOOKUP($B253,'project vs stock'!$A$72:$W$103,5,FALSE)/5</f>
        <v>1086.4</v>
      </c>
      <c r="AE253" s="42">
        <f>SUMIFS(Nuclear!$M:$M,Nuclear!$H:$H,$B253,Nuclear!$R:$R,AE$2)+VLOOKUP($B253,'project vs stock'!$A$72:$W$103,5,FALSE)/5</f>
        <v>2836.4</v>
      </c>
      <c r="AF253" s="43">
        <f>SUMIFS(Nuclear!$M:$M,Nuclear!$H:$H,$B253,Nuclear!$R:$R,AF$2)+VLOOKUP($B253,'project vs stock'!$A$72:$W$103,5,FALSE)/5</f>
        <v>2836.4</v>
      </c>
    </row>
    <row r="254" ht="13.85" spans="1:32">
      <c r="A254" s="27" t="s">
        <v>161</v>
      </c>
      <c r="B254" s="44" t="s">
        <v>120</v>
      </c>
      <c r="C254" s="42">
        <f>SUMIFS(Nuclear!$M:$M,Nuclear!$H:$H,$B254,Nuclear!$R:$R,C$2)</f>
        <v>0</v>
      </c>
      <c r="D254" s="42">
        <f>SUMIFS(Nuclear!$M:$M,Nuclear!$H:$H,$B254,Nuclear!$R:$R,D$2)</f>
        <v>0</v>
      </c>
      <c r="E254" s="42">
        <f>SUMIFS(Nuclear!$M:$M,Nuclear!$H:$H,$B254,Nuclear!$R:$R,E$2)</f>
        <v>0</v>
      </c>
      <c r="F254" s="42">
        <f>SUMIFS(Nuclear!$M:$M,Nuclear!$H:$H,$B254,Nuclear!$R:$R,F$2)</f>
        <v>0</v>
      </c>
      <c r="G254" s="42">
        <f>SUMIFS(Nuclear!$M:$M,Nuclear!$H:$H,$B254,Nuclear!$R:$R,G$2)</f>
        <v>0</v>
      </c>
      <c r="H254" s="42">
        <f>SUMIFS(Nuclear!$M:$M,Nuclear!$H:$H,$B254,Nuclear!$R:$R,H$2)</f>
        <v>0</v>
      </c>
      <c r="I254" s="42">
        <f>SUMIFS(Nuclear!$M:$M,Nuclear!$H:$H,$B254,Nuclear!$R:$R,I$2)</f>
        <v>0</v>
      </c>
      <c r="J254" s="42">
        <f>SUMIFS(Nuclear!$M:$M,Nuclear!$H:$H,$B254,Nuclear!$R:$R,J$2)</f>
        <v>0</v>
      </c>
      <c r="K254" s="42">
        <f>SUMIFS(Nuclear!$M:$M,Nuclear!$H:$H,$B254,Nuclear!$R:$R,K$2)</f>
        <v>0</v>
      </c>
      <c r="L254" s="42">
        <f>SUMIFS(Nuclear!$M:$M,Nuclear!$H:$H,$B254,Nuclear!$R:$R,L$2)</f>
        <v>0</v>
      </c>
      <c r="M254" s="42">
        <f>SUMIFS(Nuclear!$M:$M,Nuclear!$H:$H,$B254,Nuclear!$R:$R,M$2)</f>
        <v>0</v>
      </c>
      <c r="N254" s="42">
        <f>SUMIFS(Nuclear!$M:$M,Nuclear!$H:$H,$B254,Nuclear!$R:$R,N$2)</f>
        <v>0</v>
      </c>
      <c r="O254" s="42">
        <f>SUMIFS(Nuclear!$M:$M,Nuclear!$H:$H,$B254,Nuclear!$R:$R,O$2)</f>
        <v>0</v>
      </c>
      <c r="P254" s="42">
        <f>SUMIFS(Nuclear!$M:$M,Nuclear!$H:$H,$B254,Nuclear!$R:$R,P$2)</f>
        <v>0</v>
      </c>
      <c r="Q254" s="42">
        <f>SUMIFS(Nuclear!$M:$M,Nuclear!$H:$H,$B254,Nuclear!$R:$R,Q$2)</f>
        <v>0</v>
      </c>
      <c r="R254" s="42">
        <f>SUMIFS(Nuclear!$M:$M,Nuclear!$H:$H,$B254,Nuclear!$R:$R,R$2)</f>
        <v>0</v>
      </c>
      <c r="S254" s="42">
        <f>SUMIFS(Nuclear!$M:$M,Nuclear!$H:$H,$B254,Nuclear!$R:$R,S$2)</f>
        <v>0</v>
      </c>
      <c r="T254" s="42">
        <f>SUMIFS(Nuclear!$M:$M,Nuclear!$H:$H,$B254,Nuclear!$R:$R,T$2)</f>
        <v>0</v>
      </c>
      <c r="U254" s="42">
        <f>SUMIFS(Nuclear!$M:$M,Nuclear!$H:$H,$B254,Nuclear!$R:$R,U$2)+VLOOKUP($B254,'project vs stock'!$A$72:$W$103,21,FALSE)/9</f>
        <v>0</v>
      </c>
      <c r="V254" s="42">
        <f>SUMIFS(Nuclear!$M:$M,Nuclear!$H:$H,$B254,Nuclear!$R:$R,V$2)+VLOOKUP($B254,'project vs stock'!$A$72:$W$103,21,FALSE)/9</f>
        <v>0</v>
      </c>
      <c r="W254" s="42">
        <f>SUMIFS(Nuclear!$M:$M,Nuclear!$H:$H,$B254,Nuclear!$R:$R,W$2)+VLOOKUP($B254,'project vs stock'!$A$72:$W$103,21,FALSE)/9</f>
        <v>0</v>
      </c>
      <c r="X254" s="42">
        <f>SUMIFS(Nuclear!$M:$M,Nuclear!$H:$H,$B254,Nuclear!$R:$R,X$2)+VLOOKUP($B254,'project vs stock'!$A$72:$W$103,21,FALSE)/9</f>
        <v>0</v>
      </c>
      <c r="Y254" s="42">
        <f>SUMIFS(Nuclear!$M:$M,Nuclear!$H:$H,$B254,Nuclear!$R:$R,Y$2)+VLOOKUP($B254,'project vs stock'!$A$72:$W$103,21,FALSE)/9</f>
        <v>0</v>
      </c>
      <c r="Z254" s="42">
        <f>SUMIFS(Nuclear!$M:$M,Nuclear!$H:$H,$B254,Nuclear!$R:$R,Z$2)+VLOOKUP($B254,'project vs stock'!$A$72:$W$103,21,FALSE)/9</f>
        <v>0</v>
      </c>
      <c r="AA254" s="42">
        <f>SUMIFS(Nuclear!$M:$M,Nuclear!$H:$H,$B254,Nuclear!$R:$R,AA$2)+VLOOKUP($B254,'project vs stock'!$A$72:$W$103,21,FALSE)/9</f>
        <v>0</v>
      </c>
      <c r="AB254" s="42">
        <f>SUMIFS(Nuclear!$M:$M,Nuclear!$H:$H,$B254,Nuclear!$R:$R,AB$2)+VLOOKUP($B254,'project vs stock'!$A$72:$W$103,21,FALSE)/9</f>
        <v>1086</v>
      </c>
      <c r="AC254" s="42">
        <f>SUMIFS(Nuclear!$M:$M,Nuclear!$H:$H,$B254,Nuclear!$R:$R,AC$2)+VLOOKUP($B254,'project vs stock'!$A$72:$W$103,21,FALSE)/9</f>
        <v>1086</v>
      </c>
      <c r="AD254" s="42">
        <f>SUMIFS(Nuclear!$M:$M,Nuclear!$H:$H,$B254,Nuclear!$R:$R,AD$2)+VLOOKUP($B254,'project vs stock'!$A$72:$W$103,5,FALSE)/5</f>
        <v>0</v>
      </c>
      <c r="AE254" s="42">
        <f>SUMIFS(Nuclear!$M:$M,Nuclear!$H:$H,$B254,Nuclear!$R:$R,AE$2)+VLOOKUP($B254,'project vs stock'!$A$72:$W$103,5,FALSE)/5</f>
        <v>0</v>
      </c>
      <c r="AF254" s="43">
        <f>SUMIFS(Nuclear!$M:$M,Nuclear!$H:$H,$B254,Nuclear!$R:$R,AF$2)+VLOOKUP($B254,'project vs stock'!$A$72:$W$103,5,FALSE)/5</f>
        <v>0</v>
      </c>
    </row>
    <row r="255" ht="13.85" spans="1:32">
      <c r="A255" s="27" t="s">
        <v>161</v>
      </c>
      <c r="B255" s="44" t="s">
        <v>122</v>
      </c>
      <c r="C255" s="42">
        <f>SUMIFS(Nuclear!$M:$M,Nuclear!$H:$H,$B255,Nuclear!$R:$R,C$2)</f>
        <v>0</v>
      </c>
      <c r="D255" s="42">
        <f>SUMIFS(Nuclear!$M:$M,Nuclear!$H:$H,$B255,Nuclear!$R:$R,D$2)</f>
        <v>0</v>
      </c>
      <c r="E255" s="42">
        <f>SUMIFS(Nuclear!$M:$M,Nuclear!$H:$H,$B255,Nuclear!$R:$R,E$2)</f>
        <v>0</v>
      </c>
      <c r="F255" s="42">
        <f>SUMIFS(Nuclear!$M:$M,Nuclear!$H:$H,$B255,Nuclear!$R:$R,F$2)</f>
        <v>0</v>
      </c>
      <c r="G255" s="42">
        <f>SUMIFS(Nuclear!$M:$M,Nuclear!$H:$H,$B255,Nuclear!$R:$R,G$2)</f>
        <v>0</v>
      </c>
      <c r="H255" s="42">
        <f>SUMIFS(Nuclear!$M:$M,Nuclear!$H:$H,$B255,Nuclear!$R:$R,H$2)</f>
        <v>0</v>
      </c>
      <c r="I255" s="42">
        <f>SUMIFS(Nuclear!$M:$M,Nuclear!$H:$H,$B255,Nuclear!$R:$R,I$2)</f>
        <v>0</v>
      </c>
      <c r="J255" s="42">
        <f>SUMIFS(Nuclear!$M:$M,Nuclear!$H:$H,$B255,Nuclear!$R:$R,J$2)</f>
        <v>0</v>
      </c>
      <c r="K255" s="42">
        <f>SUMIFS(Nuclear!$M:$M,Nuclear!$H:$H,$B255,Nuclear!$R:$R,K$2)</f>
        <v>0</v>
      </c>
      <c r="L255" s="42">
        <f>SUMIFS(Nuclear!$M:$M,Nuclear!$H:$H,$B255,Nuclear!$R:$R,L$2)</f>
        <v>0</v>
      </c>
      <c r="M255" s="42">
        <f>SUMIFS(Nuclear!$M:$M,Nuclear!$H:$H,$B255,Nuclear!$R:$R,M$2)</f>
        <v>0</v>
      </c>
      <c r="N255" s="42">
        <f>SUMIFS(Nuclear!$M:$M,Nuclear!$H:$H,$B255,Nuclear!$R:$R,N$2)</f>
        <v>0</v>
      </c>
      <c r="O255" s="42">
        <f>SUMIFS(Nuclear!$M:$M,Nuclear!$H:$H,$B255,Nuclear!$R:$R,O$2)</f>
        <v>0</v>
      </c>
      <c r="P255" s="42">
        <f>SUMIFS(Nuclear!$M:$M,Nuclear!$H:$H,$B255,Nuclear!$R:$R,P$2)</f>
        <v>0</v>
      </c>
      <c r="Q255" s="42">
        <f>SUMIFS(Nuclear!$M:$M,Nuclear!$H:$H,$B255,Nuclear!$R:$R,Q$2)</f>
        <v>0</v>
      </c>
      <c r="R255" s="42">
        <f>SUMIFS(Nuclear!$M:$M,Nuclear!$H:$H,$B255,Nuclear!$R:$R,R$2)</f>
        <v>0</v>
      </c>
      <c r="S255" s="42">
        <f>SUMIFS(Nuclear!$M:$M,Nuclear!$H:$H,$B255,Nuclear!$R:$R,S$2)</f>
        <v>0</v>
      </c>
      <c r="T255" s="42">
        <f>SUMIFS(Nuclear!$M:$M,Nuclear!$H:$H,$B255,Nuclear!$R:$R,T$2)</f>
        <v>0</v>
      </c>
      <c r="U255" s="42">
        <f>SUMIFS(Nuclear!$M:$M,Nuclear!$H:$H,$B255,Nuclear!$R:$R,U$2)+VLOOKUP($B255,'project vs stock'!$A$72:$W$103,21,FALSE)/9</f>
        <v>0</v>
      </c>
      <c r="V255" s="42">
        <f>SUMIFS(Nuclear!$M:$M,Nuclear!$H:$H,$B255,Nuclear!$R:$R,V$2)+VLOOKUP($B255,'project vs stock'!$A$72:$W$103,21,FALSE)/9</f>
        <v>0</v>
      </c>
      <c r="W255" s="42">
        <f>SUMIFS(Nuclear!$M:$M,Nuclear!$H:$H,$B255,Nuclear!$R:$R,W$2)+VLOOKUP($B255,'project vs stock'!$A$72:$W$103,21,FALSE)/9</f>
        <v>0</v>
      </c>
      <c r="X255" s="42">
        <f>SUMIFS(Nuclear!$M:$M,Nuclear!$H:$H,$B255,Nuclear!$R:$R,X$2)+VLOOKUP($B255,'project vs stock'!$A$72:$W$103,21,FALSE)/9</f>
        <v>0</v>
      </c>
      <c r="Y255" s="42">
        <f>SUMIFS(Nuclear!$M:$M,Nuclear!$H:$H,$B255,Nuclear!$R:$R,Y$2)+VLOOKUP($B255,'project vs stock'!$A$72:$W$103,21,FALSE)/9</f>
        <v>0</v>
      </c>
      <c r="Z255" s="42">
        <f>SUMIFS(Nuclear!$M:$M,Nuclear!$H:$H,$B255,Nuclear!$R:$R,Z$2)+VLOOKUP($B255,'project vs stock'!$A$72:$W$103,21,FALSE)/9</f>
        <v>0</v>
      </c>
      <c r="AA255" s="42">
        <f>SUMIFS(Nuclear!$M:$M,Nuclear!$H:$H,$B255,Nuclear!$R:$R,AA$2)+VLOOKUP($B255,'project vs stock'!$A$72:$W$103,21,FALSE)/9</f>
        <v>0</v>
      </c>
      <c r="AB255" s="42">
        <f>SUMIFS(Nuclear!$M:$M,Nuclear!$H:$H,$B255,Nuclear!$R:$R,AB$2)+VLOOKUP($B255,'project vs stock'!$A$72:$W$103,21,FALSE)/9</f>
        <v>650</v>
      </c>
      <c r="AC255" s="42">
        <f>SUMIFS(Nuclear!$M:$M,Nuclear!$H:$H,$B255,Nuclear!$R:$R,AC$2)+VLOOKUP($B255,'project vs stock'!$A$72:$W$103,21,FALSE)/9</f>
        <v>650</v>
      </c>
      <c r="AD255" s="42">
        <f>SUMIFS(Nuclear!$M:$M,Nuclear!$H:$H,$B255,Nuclear!$R:$R,AD$2)+VLOOKUP($B255,'project vs stock'!$A$72:$W$103,5,FALSE)/5</f>
        <v>0</v>
      </c>
      <c r="AE255" s="42">
        <f>SUMIFS(Nuclear!$M:$M,Nuclear!$H:$H,$B255,Nuclear!$R:$R,AE$2)+VLOOKUP($B255,'project vs stock'!$A$72:$W$103,5,FALSE)/5</f>
        <v>0</v>
      </c>
      <c r="AF255" s="43">
        <f>SUMIFS(Nuclear!$M:$M,Nuclear!$H:$H,$B255,Nuclear!$R:$R,AF$2)+VLOOKUP($B255,'project vs stock'!$A$72:$W$103,5,FALSE)/5</f>
        <v>0</v>
      </c>
    </row>
    <row r="256" ht="13.85" spans="1:32">
      <c r="A256" s="27" t="s">
        <v>161</v>
      </c>
      <c r="B256" s="44" t="s">
        <v>124</v>
      </c>
      <c r="C256" s="42">
        <f>SUMIFS(Nuclear!$M:$M,Nuclear!$H:$H,$B256,Nuclear!$R:$R,C$2)</f>
        <v>0</v>
      </c>
      <c r="D256" s="42">
        <f>SUMIFS(Nuclear!$M:$M,Nuclear!$H:$H,$B256,Nuclear!$R:$R,D$2)</f>
        <v>0</v>
      </c>
      <c r="E256" s="42">
        <f>SUMIFS(Nuclear!$M:$M,Nuclear!$H:$H,$B256,Nuclear!$R:$R,E$2)</f>
        <v>0</v>
      </c>
      <c r="F256" s="42">
        <f>SUMIFS(Nuclear!$M:$M,Nuclear!$H:$H,$B256,Nuclear!$R:$R,F$2)</f>
        <v>0</v>
      </c>
      <c r="G256" s="42">
        <f>SUMIFS(Nuclear!$M:$M,Nuclear!$H:$H,$B256,Nuclear!$R:$R,G$2)</f>
        <v>0</v>
      </c>
      <c r="H256" s="42">
        <f>SUMIFS(Nuclear!$M:$M,Nuclear!$H:$H,$B256,Nuclear!$R:$R,H$2)</f>
        <v>0</v>
      </c>
      <c r="I256" s="42">
        <f>SUMIFS(Nuclear!$M:$M,Nuclear!$H:$H,$B256,Nuclear!$R:$R,I$2)</f>
        <v>0</v>
      </c>
      <c r="J256" s="42">
        <f>SUMIFS(Nuclear!$M:$M,Nuclear!$H:$H,$B256,Nuclear!$R:$R,J$2)</f>
        <v>0</v>
      </c>
      <c r="K256" s="42">
        <f>SUMIFS(Nuclear!$M:$M,Nuclear!$H:$H,$B256,Nuclear!$R:$R,K$2)</f>
        <v>0</v>
      </c>
      <c r="L256" s="42">
        <f>SUMIFS(Nuclear!$M:$M,Nuclear!$H:$H,$B256,Nuclear!$R:$R,L$2)</f>
        <v>0</v>
      </c>
      <c r="M256" s="42">
        <f>SUMIFS(Nuclear!$M:$M,Nuclear!$H:$H,$B256,Nuclear!$R:$R,M$2)</f>
        <v>0</v>
      </c>
      <c r="N256" s="42">
        <f>SUMIFS(Nuclear!$M:$M,Nuclear!$H:$H,$B256,Nuclear!$R:$R,N$2)</f>
        <v>0</v>
      </c>
      <c r="O256" s="42">
        <f>SUMIFS(Nuclear!$M:$M,Nuclear!$H:$H,$B256,Nuclear!$R:$R,O$2)</f>
        <v>0</v>
      </c>
      <c r="P256" s="42">
        <f>SUMIFS(Nuclear!$M:$M,Nuclear!$H:$H,$B256,Nuclear!$R:$R,P$2)</f>
        <v>0</v>
      </c>
      <c r="Q256" s="42">
        <f>SUMIFS(Nuclear!$M:$M,Nuclear!$H:$H,$B256,Nuclear!$R:$R,Q$2)</f>
        <v>0</v>
      </c>
      <c r="R256" s="42">
        <f>SUMIFS(Nuclear!$M:$M,Nuclear!$H:$H,$B256,Nuclear!$R:$R,R$2)</f>
        <v>0</v>
      </c>
      <c r="S256" s="42">
        <f>SUMIFS(Nuclear!$M:$M,Nuclear!$H:$H,$B256,Nuclear!$R:$R,S$2)</f>
        <v>0</v>
      </c>
      <c r="T256" s="42">
        <f>SUMIFS(Nuclear!$M:$M,Nuclear!$H:$H,$B256,Nuclear!$R:$R,T$2)</f>
        <v>0</v>
      </c>
      <c r="U256" s="42">
        <f>SUMIFS(Nuclear!$M:$M,Nuclear!$H:$H,$B256,Nuclear!$R:$R,U$2)+VLOOKUP($B256,'project vs stock'!$A$72:$W$103,21,FALSE)/9</f>
        <v>0</v>
      </c>
      <c r="V256" s="42">
        <f>SUMIFS(Nuclear!$M:$M,Nuclear!$H:$H,$B256,Nuclear!$R:$R,V$2)+VLOOKUP($B256,'project vs stock'!$A$72:$W$103,21,FALSE)/9</f>
        <v>0</v>
      </c>
      <c r="W256" s="42">
        <f>SUMIFS(Nuclear!$M:$M,Nuclear!$H:$H,$B256,Nuclear!$R:$R,W$2)+VLOOKUP($B256,'project vs stock'!$A$72:$W$103,21,FALSE)/9</f>
        <v>0</v>
      </c>
      <c r="X256" s="42">
        <f>SUMIFS(Nuclear!$M:$M,Nuclear!$H:$H,$B256,Nuclear!$R:$R,X$2)+VLOOKUP($B256,'project vs stock'!$A$72:$W$103,21,FALSE)/9</f>
        <v>0</v>
      </c>
      <c r="Y256" s="42">
        <f>SUMIFS(Nuclear!$M:$M,Nuclear!$H:$H,$B256,Nuclear!$R:$R,Y$2)+VLOOKUP($B256,'project vs stock'!$A$72:$W$103,21,FALSE)/9</f>
        <v>0</v>
      </c>
      <c r="Z256" s="42">
        <f>SUMIFS(Nuclear!$M:$M,Nuclear!$H:$H,$B256,Nuclear!$R:$R,Z$2)+VLOOKUP($B256,'project vs stock'!$A$72:$W$103,21,FALSE)/9</f>
        <v>0</v>
      </c>
      <c r="AA256" s="42">
        <f>SUMIFS(Nuclear!$M:$M,Nuclear!$H:$H,$B256,Nuclear!$R:$R,AA$2)+VLOOKUP($B256,'project vs stock'!$A$72:$W$103,21,FALSE)/9</f>
        <v>0</v>
      </c>
      <c r="AB256" s="42">
        <f>SUMIFS(Nuclear!$M:$M,Nuclear!$H:$H,$B256,Nuclear!$R:$R,AB$2)+VLOOKUP($B256,'project vs stock'!$A$72:$W$103,21,FALSE)/9</f>
        <v>0</v>
      </c>
      <c r="AC256" s="42">
        <f>SUMIFS(Nuclear!$M:$M,Nuclear!$H:$H,$B256,Nuclear!$R:$R,AC$2)+VLOOKUP($B256,'project vs stock'!$A$72:$W$103,21,FALSE)/9</f>
        <v>0</v>
      </c>
      <c r="AD256" s="42">
        <f>SUMIFS(Nuclear!$M:$M,Nuclear!$H:$H,$B256,Nuclear!$R:$R,AD$2)+VLOOKUP($B256,'project vs stock'!$A$72:$W$103,5,FALSE)/5</f>
        <v>0</v>
      </c>
      <c r="AE256" s="42">
        <f>SUMIFS(Nuclear!$M:$M,Nuclear!$H:$H,$B256,Nuclear!$R:$R,AE$2)+VLOOKUP($B256,'project vs stock'!$A$72:$W$103,5,FALSE)/5</f>
        <v>0</v>
      </c>
      <c r="AF256" s="43">
        <f>SUMIFS(Nuclear!$M:$M,Nuclear!$H:$H,$B256,Nuclear!$R:$R,AF$2)+VLOOKUP($B256,'project vs stock'!$A$72:$W$103,5,FALSE)/5</f>
        <v>0</v>
      </c>
    </row>
    <row r="257" ht="13.85" spans="1:32">
      <c r="A257" s="27" t="s">
        <v>161</v>
      </c>
      <c r="B257" s="44" t="s">
        <v>126</v>
      </c>
      <c r="C257" s="42">
        <f>SUMIFS(Nuclear!$M:$M,Nuclear!$H:$H,$B257,Nuclear!$R:$R,C$2)</f>
        <v>0</v>
      </c>
      <c r="D257" s="42">
        <f>SUMIFS(Nuclear!$M:$M,Nuclear!$H:$H,$B257,Nuclear!$R:$R,D$2)</f>
        <v>0</v>
      </c>
      <c r="E257" s="42">
        <f>SUMIFS(Nuclear!$M:$M,Nuclear!$H:$H,$B257,Nuclear!$R:$R,E$2)</f>
        <v>0</v>
      </c>
      <c r="F257" s="42">
        <f>SUMIFS(Nuclear!$M:$M,Nuclear!$H:$H,$B257,Nuclear!$R:$R,F$2)</f>
        <v>0</v>
      </c>
      <c r="G257" s="42">
        <f>SUMIFS(Nuclear!$M:$M,Nuclear!$H:$H,$B257,Nuclear!$R:$R,G$2)</f>
        <v>0</v>
      </c>
      <c r="H257" s="42">
        <f>SUMIFS(Nuclear!$M:$M,Nuclear!$H:$H,$B257,Nuclear!$R:$R,H$2)</f>
        <v>0</v>
      </c>
      <c r="I257" s="42">
        <f>SUMIFS(Nuclear!$M:$M,Nuclear!$H:$H,$B257,Nuclear!$R:$R,I$2)</f>
        <v>0</v>
      </c>
      <c r="J257" s="42">
        <f>SUMIFS(Nuclear!$M:$M,Nuclear!$H:$H,$B257,Nuclear!$R:$R,J$2)</f>
        <v>0</v>
      </c>
      <c r="K257" s="42">
        <f>SUMIFS(Nuclear!$M:$M,Nuclear!$H:$H,$B257,Nuclear!$R:$R,K$2)</f>
        <v>0</v>
      </c>
      <c r="L257" s="42">
        <f>SUMIFS(Nuclear!$M:$M,Nuclear!$H:$H,$B257,Nuclear!$R:$R,L$2)</f>
        <v>0</v>
      </c>
      <c r="M257" s="42">
        <f>SUMIFS(Nuclear!$M:$M,Nuclear!$H:$H,$B257,Nuclear!$R:$R,M$2)</f>
        <v>0</v>
      </c>
      <c r="N257" s="42">
        <f>SUMIFS(Nuclear!$M:$M,Nuclear!$H:$H,$B257,Nuclear!$R:$R,N$2)</f>
        <v>0</v>
      </c>
      <c r="O257" s="42">
        <f>SUMIFS(Nuclear!$M:$M,Nuclear!$H:$H,$B257,Nuclear!$R:$R,O$2)</f>
        <v>0</v>
      </c>
      <c r="P257" s="42">
        <f>SUMIFS(Nuclear!$M:$M,Nuclear!$H:$H,$B257,Nuclear!$R:$R,P$2)</f>
        <v>0</v>
      </c>
      <c r="Q257" s="42">
        <f>SUMIFS(Nuclear!$M:$M,Nuclear!$H:$H,$B257,Nuclear!$R:$R,Q$2)</f>
        <v>0</v>
      </c>
      <c r="R257" s="42">
        <f>SUMIFS(Nuclear!$M:$M,Nuclear!$H:$H,$B257,Nuclear!$R:$R,R$2)</f>
        <v>0</v>
      </c>
      <c r="S257" s="42">
        <f>SUMIFS(Nuclear!$M:$M,Nuclear!$H:$H,$B257,Nuclear!$R:$R,S$2)</f>
        <v>0</v>
      </c>
      <c r="T257" s="42">
        <f>SUMIFS(Nuclear!$M:$M,Nuclear!$H:$H,$B257,Nuclear!$R:$R,T$2)</f>
        <v>0</v>
      </c>
      <c r="U257" s="42">
        <f>SUMIFS(Nuclear!$M:$M,Nuclear!$H:$H,$B257,Nuclear!$R:$R,U$2)+VLOOKUP($B257,'project vs stock'!$A$72:$W$103,21,FALSE)/9</f>
        <v>0</v>
      </c>
      <c r="V257" s="42">
        <f>SUMIFS(Nuclear!$M:$M,Nuclear!$H:$H,$B257,Nuclear!$R:$R,V$2)+VLOOKUP($B257,'project vs stock'!$A$72:$W$103,21,FALSE)/9</f>
        <v>0</v>
      </c>
      <c r="W257" s="42">
        <f>SUMIFS(Nuclear!$M:$M,Nuclear!$H:$H,$B257,Nuclear!$R:$R,W$2)+VLOOKUP($B257,'project vs stock'!$A$72:$W$103,21,FALSE)/9</f>
        <v>0</v>
      </c>
      <c r="X257" s="42">
        <f>SUMIFS(Nuclear!$M:$M,Nuclear!$H:$H,$B257,Nuclear!$R:$R,X$2)+VLOOKUP($B257,'project vs stock'!$A$72:$W$103,21,FALSE)/9</f>
        <v>0</v>
      </c>
      <c r="Y257" s="42">
        <f>SUMIFS(Nuclear!$M:$M,Nuclear!$H:$H,$B257,Nuclear!$R:$R,Y$2)+VLOOKUP($B257,'project vs stock'!$A$72:$W$103,21,FALSE)/9</f>
        <v>0</v>
      </c>
      <c r="Z257" s="42">
        <f>SUMIFS(Nuclear!$M:$M,Nuclear!$H:$H,$B257,Nuclear!$R:$R,Z$2)+VLOOKUP($B257,'project vs stock'!$A$72:$W$103,21,FALSE)/9</f>
        <v>0</v>
      </c>
      <c r="AA257" s="42">
        <f>SUMIFS(Nuclear!$M:$M,Nuclear!$H:$H,$B257,Nuclear!$R:$R,AA$2)+VLOOKUP($B257,'project vs stock'!$A$72:$W$103,21,FALSE)/9</f>
        <v>0</v>
      </c>
      <c r="AB257" s="42">
        <f>SUMIFS(Nuclear!$M:$M,Nuclear!$H:$H,$B257,Nuclear!$R:$R,AB$2)+VLOOKUP($B257,'project vs stock'!$A$72:$W$103,21,FALSE)/9</f>
        <v>0</v>
      </c>
      <c r="AC257" s="42">
        <f>SUMIFS(Nuclear!$M:$M,Nuclear!$H:$H,$B257,Nuclear!$R:$R,AC$2)+VLOOKUP($B257,'project vs stock'!$A$72:$W$103,21,FALSE)/9</f>
        <v>0</v>
      </c>
      <c r="AD257" s="42">
        <f>SUMIFS(Nuclear!$M:$M,Nuclear!$H:$H,$B257,Nuclear!$R:$R,AD$2)+VLOOKUP($B257,'project vs stock'!$A$72:$W$103,5,FALSE)/5</f>
        <v>0</v>
      </c>
      <c r="AE257" s="42">
        <f>SUMIFS(Nuclear!$M:$M,Nuclear!$H:$H,$B257,Nuclear!$R:$R,AE$2)+VLOOKUP($B257,'project vs stock'!$A$72:$W$103,5,FALSE)/5</f>
        <v>0</v>
      </c>
      <c r="AF257" s="43">
        <f>SUMIFS(Nuclear!$M:$M,Nuclear!$H:$H,$B257,Nuclear!$R:$R,AF$2)+VLOOKUP($B257,'project vs stock'!$A$72:$W$103,5,FALSE)/5</f>
        <v>0</v>
      </c>
    </row>
    <row r="258" ht="13.85" spans="1:32">
      <c r="A258" s="27" t="s">
        <v>161</v>
      </c>
      <c r="B258" s="44" t="s">
        <v>128</v>
      </c>
      <c r="C258" s="42">
        <f>SUMIFS(Nuclear!$M:$M,Nuclear!$H:$H,$B258,Nuclear!$R:$R,C$2)</f>
        <v>0</v>
      </c>
      <c r="D258" s="42">
        <f>SUMIFS(Nuclear!$M:$M,Nuclear!$H:$H,$B258,Nuclear!$R:$R,D$2)</f>
        <v>0</v>
      </c>
      <c r="E258" s="42">
        <f>SUMIFS(Nuclear!$M:$M,Nuclear!$H:$H,$B258,Nuclear!$R:$R,E$2)</f>
        <v>0</v>
      </c>
      <c r="F258" s="42">
        <f>SUMIFS(Nuclear!$M:$M,Nuclear!$H:$H,$B258,Nuclear!$R:$R,F$2)</f>
        <v>0</v>
      </c>
      <c r="G258" s="42">
        <f>SUMIFS(Nuclear!$M:$M,Nuclear!$H:$H,$B258,Nuclear!$R:$R,G$2)</f>
        <v>0</v>
      </c>
      <c r="H258" s="42">
        <f>SUMIFS(Nuclear!$M:$M,Nuclear!$H:$H,$B258,Nuclear!$R:$R,H$2)</f>
        <v>0</v>
      </c>
      <c r="I258" s="42">
        <f>SUMIFS(Nuclear!$M:$M,Nuclear!$H:$H,$B258,Nuclear!$R:$R,I$2)</f>
        <v>0</v>
      </c>
      <c r="J258" s="42">
        <f>SUMIFS(Nuclear!$M:$M,Nuclear!$H:$H,$B258,Nuclear!$R:$R,J$2)</f>
        <v>0</v>
      </c>
      <c r="K258" s="42">
        <f>SUMIFS(Nuclear!$M:$M,Nuclear!$H:$H,$B258,Nuclear!$R:$R,K$2)</f>
        <v>0</v>
      </c>
      <c r="L258" s="42">
        <f>SUMIFS(Nuclear!$M:$M,Nuclear!$H:$H,$B258,Nuclear!$R:$R,L$2)</f>
        <v>0</v>
      </c>
      <c r="M258" s="42">
        <f>SUMIFS(Nuclear!$M:$M,Nuclear!$H:$H,$B258,Nuclear!$R:$R,M$2)</f>
        <v>0</v>
      </c>
      <c r="N258" s="42">
        <f>SUMIFS(Nuclear!$M:$M,Nuclear!$H:$H,$B258,Nuclear!$R:$R,N$2)</f>
        <v>0</v>
      </c>
      <c r="O258" s="42">
        <f>SUMIFS(Nuclear!$M:$M,Nuclear!$H:$H,$B258,Nuclear!$R:$R,O$2)</f>
        <v>0</v>
      </c>
      <c r="P258" s="42">
        <f>SUMIFS(Nuclear!$M:$M,Nuclear!$H:$H,$B258,Nuclear!$R:$R,P$2)</f>
        <v>0</v>
      </c>
      <c r="Q258" s="42">
        <f>SUMIFS(Nuclear!$M:$M,Nuclear!$H:$H,$B258,Nuclear!$R:$R,Q$2)</f>
        <v>0</v>
      </c>
      <c r="R258" s="42">
        <f>SUMIFS(Nuclear!$M:$M,Nuclear!$H:$H,$B258,Nuclear!$R:$R,R$2)</f>
        <v>0</v>
      </c>
      <c r="S258" s="42">
        <f>SUMIFS(Nuclear!$M:$M,Nuclear!$H:$H,$B258,Nuclear!$R:$R,S$2)</f>
        <v>0</v>
      </c>
      <c r="T258" s="42">
        <f>SUMIFS(Nuclear!$M:$M,Nuclear!$H:$H,$B258,Nuclear!$R:$R,T$2)</f>
        <v>0</v>
      </c>
      <c r="U258" s="42">
        <f>SUMIFS(Nuclear!$M:$M,Nuclear!$H:$H,$B258,Nuclear!$R:$R,U$2)+VLOOKUP($B258,'project vs stock'!$A$72:$W$103,21,FALSE)/9</f>
        <v>0</v>
      </c>
      <c r="V258" s="42">
        <f>SUMIFS(Nuclear!$M:$M,Nuclear!$H:$H,$B258,Nuclear!$R:$R,V$2)+VLOOKUP($B258,'project vs stock'!$A$72:$W$103,21,FALSE)/9</f>
        <v>0</v>
      </c>
      <c r="W258" s="42">
        <f>SUMIFS(Nuclear!$M:$M,Nuclear!$H:$H,$B258,Nuclear!$R:$R,W$2)+VLOOKUP($B258,'project vs stock'!$A$72:$W$103,21,FALSE)/9</f>
        <v>0</v>
      </c>
      <c r="X258" s="42">
        <f>SUMIFS(Nuclear!$M:$M,Nuclear!$H:$H,$B258,Nuclear!$R:$R,X$2)+VLOOKUP($B258,'project vs stock'!$A$72:$W$103,21,FALSE)/9</f>
        <v>0</v>
      </c>
      <c r="Y258" s="42">
        <f>SUMIFS(Nuclear!$M:$M,Nuclear!$H:$H,$B258,Nuclear!$R:$R,Y$2)+VLOOKUP($B258,'project vs stock'!$A$72:$W$103,21,FALSE)/9</f>
        <v>0</v>
      </c>
      <c r="Z258" s="42">
        <f>SUMIFS(Nuclear!$M:$M,Nuclear!$H:$H,$B258,Nuclear!$R:$R,Z$2)+VLOOKUP($B258,'project vs stock'!$A$72:$W$103,21,FALSE)/9</f>
        <v>0</v>
      </c>
      <c r="AA258" s="42">
        <f>SUMIFS(Nuclear!$M:$M,Nuclear!$H:$H,$B258,Nuclear!$R:$R,AA$2)+VLOOKUP($B258,'project vs stock'!$A$72:$W$103,21,FALSE)/9</f>
        <v>0</v>
      </c>
      <c r="AB258" s="42">
        <f>SUMIFS(Nuclear!$M:$M,Nuclear!$H:$H,$B258,Nuclear!$R:$R,AB$2)+VLOOKUP($B258,'project vs stock'!$A$72:$W$103,21,FALSE)/9</f>
        <v>0</v>
      </c>
      <c r="AC258" s="42">
        <f>SUMIFS(Nuclear!$M:$M,Nuclear!$H:$H,$B258,Nuclear!$R:$R,AC$2)+VLOOKUP($B258,'project vs stock'!$A$72:$W$103,21,FALSE)/9</f>
        <v>0</v>
      </c>
      <c r="AD258" s="42">
        <f>SUMIFS(Nuclear!$M:$M,Nuclear!$H:$H,$B258,Nuclear!$R:$R,AD$2)+VLOOKUP($B258,'project vs stock'!$A$72:$W$103,5,FALSE)/5</f>
        <v>0</v>
      </c>
      <c r="AE258" s="42">
        <f>SUMIFS(Nuclear!$M:$M,Nuclear!$H:$H,$B258,Nuclear!$R:$R,AE$2)+VLOOKUP($B258,'project vs stock'!$A$72:$W$103,5,FALSE)/5</f>
        <v>0</v>
      </c>
      <c r="AF258" s="43">
        <f>SUMIFS(Nuclear!$M:$M,Nuclear!$H:$H,$B258,Nuclear!$R:$R,AF$2)+VLOOKUP($B258,'project vs stock'!$A$72:$W$103,5,FALSE)/5</f>
        <v>0</v>
      </c>
    </row>
    <row r="259" ht="13.85" spans="1:32">
      <c r="A259" s="27" t="s">
        <v>161</v>
      </c>
      <c r="B259" s="44" t="s">
        <v>130</v>
      </c>
      <c r="C259" s="42">
        <f>SUMIFS(Nuclear!$M:$M,Nuclear!$H:$H,$B259,Nuclear!$R:$R,C$2)</f>
        <v>0</v>
      </c>
      <c r="D259" s="42">
        <f>SUMIFS(Nuclear!$M:$M,Nuclear!$H:$H,$B259,Nuclear!$R:$R,D$2)</f>
        <v>0</v>
      </c>
      <c r="E259" s="42">
        <f>SUMIFS(Nuclear!$M:$M,Nuclear!$H:$H,$B259,Nuclear!$R:$R,E$2)</f>
        <v>0</v>
      </c>
      <c r="F259" s="42">
        <f>SUMIFS(Nuclear!$M:$M,Nuclear!$H:$H,$B259,Nuclear!$R:$R,F$2)</f>
        <v>0</v>
      </c>
      <c r="G259" s="42">
        <f>SUMIFS(Nuclear!$M:$M,Nuclear!$H:$H,$B259,Nuclear!$R:$R,G$2)</f>
        <v>0</v>
      </c>
      <c r="H259" s="42">
        <f>SUMIFS(Nuclear!$M:$M,Nuclear!$H:$H,$B259,Nuclear!$R:$R,H$2)</f>
        <v>0</v>
      </c>
      <c r="I259" s="42">
        <f>SUMIFS(Nuclear!$M:$M,Nuclear!$H:$H,$B259,Nuclear!$R:$R,I$2)</f>
        <v>0</v>
      </c>
      <c r="J259" s="42">
        <f>SUMIFS(Nuclear!$M:$M,Nuclear!$H:$H,$B259,Nuclear!$R:$R,J$2)</f>
        <v>0</v>
      </c>
      <c r="K259" s="42">
        <f>SUMIFS(Nuclear!$M:$M,Nuclear!$H:$H,$B259,Nuclear!$R:$R,K$2)</f>
        <v>0</v>
      </c>
      <c r="L259" s="42">
        <f>SUMIFS(Nuclear!$M:$M,Nuclear!$H:$H,$B259,Nuclear!$R:$R,L$2)</f>
        <v>0</v>
      </c>
      <c r="M259" s="42">
        <f>SUMIFS(Nuclear!$M:$M,Nuclear!$H:$H,$B259,Nuclear!$R:$R,M$2)</f>
        <v>0</v>
      </c>
      <c r="N259" s="42">
        <f>SUMIFS(Nuclear!$M:$M,Nuclear!$H:$H,$B259,Nuclear!$R:$R,N$2)</f>
        <v>0</v>
      </c>
      <c r="O259" s="42">
        <f>SUMIFS(Nuclear!$M:$M,Nuclear!$H:$H,$B259,Nuclear!$R:$R,O$2)</f>
        <v>0</v>
      </c>
      <c r="P259" s="42">
        <f>SUMIFS(Nuclear!$M:$M,Nuclear!$H:$H,$B259,Nuclear!$R:$R,P$2)</f>
        <v>0</v>
      </c>
      <c r="Q259" s="42">
        <f>SUMIFS(Nuclear!$M:$M,Nuclear!$H:$H,$B259,Nuclear!$R:$R,Q$2)</f>
        <v>0</v>
      </c>
      <c r="R259" s="42">
        <f>SUMIFS(Nuclear!$M:$M,Nuclear!$H:$H,$B259,Nuclear!$R:$R,R$2)</f>
        <v>0</v>
      </c>
      <c r="S259" s="42">
        <f>SUMIFS(Nuclear!$M:$M,Nuclear!$H:$H,$B259,Nuclear!$R:$R,S$2)</f>
        <v>0</v>
      </c>
      <c r="T259" s="42">
        <f>SUMIFS(Nuclear!$M:$M,Nuclear!$H:$H,$B259,Nuclear!$R:$R,T$2)</f>
        <v>0</v>
      </c>
      <c r="U259" s="42">
        <f>SUMIFS(Nuclear!$M:$M,Nuclear!$H:$H,$B259,Nuclear!$R:$R,U$2)+VLOOKUP($B259,'project vs stock'!$A$72:$W$103,21,FALSE)/9</f>
        <v>0</v>
      </c>
      <c r="V259" s="42">
        <f>SUMIFS(Nuclear!$M:$M,Nuclear!$H:$H,$B259,Nuclear!$R:$R,V$2)+VLOOKUP($B259,'project vs stock'!$A$72:$W$103,21,FALSE)/9</f>
        <v>0</v>
      </c>
      <c r="W259" s="42">
        <f>SUMIFS(Nuclear!$M:$M,Nuclear!$H:$H,$B259,Nuclear!$R:$R,W$2)+VLOOKUP($B259,'project vs stock'!$A$72:$W$103,21,FALSE)/9</f>
        <v>0</v>
      </c>
      <c r="X259" s="42">
        <f>SUMIFS(Nuclear!$M:$M,Nuclear!$H:$H,$B259,Nuclear!$R:$R,X$2)+VLOOKUP($B259,'project vs stock'!$A$72:$W$103,21,FALSE)/9</f>
        <v>0</v>
      </c>
      <c r="Y259" s="42">
        <f>SUMIFS(Nuclear!$M:$M,Nuclear!$H:$H,$B259,Nuclear!$R:$R,Y$2)+VLOOKUP($B259,'project vs stock'!$A$72:$W$103,21,FALSE)/9</f>
        <v>0</v>
      </c>
      <c r="Z259" s="42">
        <f>SUMIFS(Nuclear!$M:$M,Nuclear!$H:$H,$B259,Nuclear!$R:$R,Z$2)+VLOOKUP($B259,'project vs stock'!$A$72:$W$103,21,FALSE)/9</f>
        <v>0</v>
      </c>
      <c r="AA259" s="42">
        <f>SUMIFS(Nuclear!$M:$M,Nuclear!$H:$H,$B259,Nuclear!$R:$R,AA$2)+VLOOKUP($B259,'project vs stock'!$A$72:$W$103,21,FALSE)/9</f>
        <v>0</v>
      </c>
      <c r="AB259" s="42">
        <f>SUMIFS(Nuclear!$M:$M,Nuclear!$H:$H,$B259,Nuclear!$R:$R,AB$2)+VLOOKUP($B259,'project vs stock'!$A$72:$W$103,21,FALSE)/9</f>
        <v>0</v>
      </c>
      <c r="AC259" s="42">
        <f>SUMIFS(Nuclear!$M:$M,Nuclear!$H:$H,$B259,Nuclear!$R:$R,AC$2)+VLOOKUP($B259,'project vs stock'!$A$72:$W$103,21,FALSE)/9</f>
        <v>0</v>
      </c>
      <c r="AD259" s="42">
        <f>SUMIFS(Nuclear!$M:$M,Nuclear!$H:$H,$B259,Nuclear!$R:$R,AD$2)+VLOOKUP($B259,'project vs stock'!$A$72:$W$103,5,FALSE)/5</f>
        <v>0</v>
      </c>
      <c r="AE259" s="42">
        <f>SUMIFS(Nuclear!$M:$M,Nuclear!$H:$H,$B259,Nuclear!$R:$R,AE$2)+VLOOKUP($B259,'project vs stock'!$A$72:$W$103,5,FALSE)/5</f>
        <v>0</v>
      </c>
      <c r="AF259" s="43">
        <f>SUMIFS(Nuclear!$M:$M,Nuclear!$H:$H,$B259,Nuclear!$R:$R,AF$2)+VLOOKUP($B259,'project vs stock'!$A$72:$W$103,5,FALSE)/5</f>
        <v>0</v>
      </c>
    </row>
    <row r="260" ht="13.85" spans="1:32">
      <c r="A260" s="27" t="s">
        <v>161</v>
      </c>
      <c r="B260" s="44" t="s">
        <v>132</v>
      </c>
      <c r="C260" s="42">
        <f>SUMIFS(Nuclear!$M:$M,Nuclear!$H:$H,$B260,Nuclear!$R:$R,C$2)</f>
        <v>0</v>
      </c>
      <c r="D260" s="42">
        <f>SUMIFS(Nuclear!$M:$M,Nuclear!$H:$H,$B260,Nuclear!$R:$R,D$2)</f>
        <v>0</v>
      </c>
      <c r="E260" s="42">
        <f>SUMIFS(Nuclear!$M:$M,Nuclear!$H:$H,$B260,Nuclear!$R:$R,E$2)</f>
        <v>0</v>
      </c>
      <c r="F260" s="42">
        <f>SUMIFS(Nuclear!$M:$M,Nuclear!$H:$H,$B260,Nuclear!$R:$R,F$2)</f>
        <v>0</v>
      </c>
      <c r="G260" s="42">
        <f>SUMIFS(Nuclear!$M:$M,Nuclear!$H:$H,$B260,Nuclear!$R:$R,G$2)</f>
        <v>0</v>
      </c>
      <c r="H260" s="42">
        <f>SUMIFS(Nuclear!$M:$M,Nuclear!$H:$H,$B260,Nuclear!$R:$R,H$2)</f>
        <v>0</v>
      </c>
      <c r="I260" s="42">
        <f>SUMIFS(Nuclear!$M:$M,Nuclear!$H:$H,$B260,Nuclear!$R:$R,I$2)</f>
        <v>0</v>
      </c>
      <c r="J260" s="42">
        <f>SUMIFS(Nuclear!$M:$M,Nuclear!$H:$H,$B260,Nuclear!$R:$R,J$2)</f>
        <v>0</v>
      </c>
      <c r="K260" s="42">
        <f>SUMIFS(Nuclear!$M:$M,Nuclear!$H:$H,$B260,Nuclear!$R:$R,K$2)</f>
        <v>0</v>
      </c>
      <c r="L260" s="42">
        <f>SUMIFS(Nuclear!$M:$M,Nuclear!$H:$H,$B260,Nuclear!$R:$R,L$2)</f>
        <v>0</v>
      </c>
      <c r="M260" s="42">
        <f>SUMIFS(Nuclear!$M:$M,Nuclear!$H:$H,$B260,Nuclear!$R:$R,M$2)</f>
        <v>0</v>
      </c>
      <c r="N260" s="42">
        <f>SUMIFS(Nuclear!$M:$M,Nuclear!$H:$H,$B260,Nuclear!$R:$R,N$2)</f>
        <v>0</v>
      </c>
      <c r="O260" s="42">
        <f>SUMIFS(Nuclear!$M:$M,Nuclear!$H:$H,$B260,Nuclear!$R:$R,O$2)</f>
        <v>0</v>
      </c>
      <c r="P260" s="42">
        <f>SUMIFS(Nuclear!$M:$M,Nuclear!$H:$H,$B260,Nuclear!$R:$R,P$2)</f>
        <v>0</v>
      </c>
      <c r="Q260" s="42">
        <f>SUMIFS(Nuclear!$M:$M,Nuclear!$H:$H,$B260,Nuclear!$R:$R,Q$2)</f>
        <v>0</v>
      </c>
      <c r="R260" s="42">
        <f>SUMIFS(Nuclear!$M:$M,Nuclear!$H:$H,$B260,Nuclear!$R:$R,R$2)</f>
        <v>0</v>
      </c>
      <c r="S260" s="42">
        <f>SUMIFS(Nuclear!$M:$M,Nuclear!$H:$H,$B260,Nuclear!$R:$R,S$2)</f>
        <v>0</v>
      </c>
      <c r="T260" s="42">
        <f>SUMIFS(Nuclear!$M:$M,Nuclear!$H:$H,$B260,Nuclear!$R:$R,T$2)</f>
        <v>0</v>
      </c>
      <c r="U260" s="42">
        <f>SUMIFS(Nuclear!$M:$M,Nuclear!$H:$H,$B260,Nuclear!$R:$R,U$2)+VLOOKUP($B260,'project vs stock'!$A$72:$W$103,21,FALSE)/9</f>
        <v>0</v>
      </c>
      <c r="V260" s="42">
        <f>SUMIFS(Nuclear!$M:$M,Nuclear!$H:$H,$B260,Nuclear!$R:$R,V$2)+VLOOKUP($B260,'project vs stock'!$A$72:$W$103,21,FALSE)/9</f>
        <v>0</v>
      </c>
      <c r="W260" s="42">
        <f>SUMIFS(Nuclear!$M:$M,Nuclear!$H:$H,$B260,Nuclear!$R:$R,W$2)+VLOOKUP($B260,'project vs stock'!$A$72:$W$103,21,FALSE)/9</f>
        <v>0</v>
      </c>
      <c r="X260" s="42">
        <f>SUMIFS(Nuclear!$M:$M,Nuclear!$H:$H,$B260,Nuclear!$R:$R,X$2)+VLOOKUP($B260,'project vs stock'!$A$72:$W$103,21,FALSE)/9</f>
        <v>0</v>
      </c>
      <c r="Y260" s="42">
        <f>SUMIFS(Nuclear!$M:$M,Nuclear!$H:$H,$B260,Nuclear!$R:$R,Y$2)+VLOOKUP($B260,'project vs stock'!$A$72:$W$103,21,FALSE)/9</f>
        <v>0</v>
      </c>
      <c r="Z260" s="42">
        <f>SUMIFS(Nuclear!$M:$M,Nuclear!$H:$H,$B260,Nuclear!$R:$R,Z$2)+VLOOKUP($B260,'project vs stock'!$A$72:$W$103,21,FALSE)/9</f>
        <v>0</v>
      </c>
      <c r="AA260" s="42">
        <f>SUMIFS(Nuclear!$M:$M,Nuclear!$H:$H,$B260,Nuclear!$R:$R,AA$2)+VLOOKUP($B260,'project vs stock'!$A$72:$W$103,21,FALSE)/9</f>
        <v>0</v>
      </c>
      <c r="AB260" s="42">
        <f>SUMIFS(Nuclear!$M:$M,Nuclear!$H:$H,$B260,Nuclear!$R:$R,AB$2)+VLOOKUP($B260,'project vs stock'!$A$72:$W$103,21,FALSE)/9</f>
        <v>0</v>
      </c>
      <c r="AC260" s="42">
        <f>SUMIFS(Nuclear!$M:$M,Nuclear!$H:$H,$B260,Nuclear!$R:$R,AC$2)+VLOOKUP($B260,'project vs stock'!$A$72:$W$103,21,FALSE)/9</f>
        <v>0</v>
      </c>
      <c r="AD260" s="42">
        <f>SUMIFS(Nuclear!$M:$M,Nuclear!$H:$H,$B260,Nuclear!$R:$R,AD$2)+VLOOKUP($B260,'project vs stock'!$A$72:$W$103,5,FALSE)/5</f>
        <v>0</v>
      </c>
      <c r="AE260" s="42">
        <f>SUMIFS(Nuclear!$M:$M,Nuclear!$H:$H,$B260,Nuclear!$R:$R,AE$2)+VLOOKUP($B260,'project vs stock'!$A$72:$W$103,5,FALSE)/5</f>
        <v>0</v>
      </c>
      <c r="AF260" s="43">
        <f>SUMIFS(Nuclear!$M:$M,Nuclear!$H:$H,$B260,Nuclear!$R:$R,AF$2)+VLOOKUP($B260,'project vs stock'!$A$72:$W$103,5,FALSE)/5</f>
        <v>0</v>
      </c>
    </row>
    <row r="261" ht="13.85" spans="1:32">
      <c r="A261" s="27" t="s">
        <v>161</v>
      </c>
      <c r="B261" s="44" t="s">
        <v>134</v>
      </c>
      <c r="C261" s="42">
        <f>SUMIFS(Nuclear!$M:$M,Nuclear!$H:$H,$B261,Nuclear!$R:$R,C$2)</f>
        <v>0</v>
      </c>
      <c r="D261" s="42">
        <f>SUMIFS(Nuclear!$M:$M,Nuclear!$H:$H,$B261,Nuclear!$R:$R,D$2)</f>
        <v>0</v>
      </c>
      <c r="E261" s="42">
        <f>SUMIFS(Nuclear!$M:$M,Nuclear!$H:$H,$B261,Nuclear!$R:$R,E$2)</f>
        <v>0</v>
      </c>
      <c r="F261" s="42">
        <f>SUMIFS(Nuclear!$M:$M,Nuclear!$H:$H,$B261,Nuclear!$R:$R,F$2)</f>
        <v>0</v>
      </c>
      <c r="G261" s="42">
        <f>SUMIFS(Nuclear!$M:$M,Nuclear!$H:$H,$B261,Nuclear!$R:$R,G$2)</f>
        <v>0</v>
      </c>
      <c r="H261" s="42">
        <f>SUMIFS(Nuclear!$M:$M,Nuclear!$H:$H,$B261,Nuclear!$R:$R,H$2)</f>
        <v>0</v>
      </c>
      <c r="I261" s="42">
        <f>SUMIFS(Nuclear!$M:$M,Nuclear!$H:$H,$B261,Nuclear!$R:$R,I$2)</f>
        <v>0</v>
      </c>
      <c r="J261" s="42">
        <f>SUMIFS(Nuclear!$M:$M,Nuclear!$H:$H,$B261,Nuclear!$R:$R,J$2)</f>
        <v>0</v>
      </c>
      <c r="K261" s="42">
        <f>SUMIFS(Nuclear!$M:$M,Nuclear!$H:$H,$B261,Nuclear!$R:$R,K$2)</f>
        <v>0</v>
      </c>
      <c r="L261" s="42">
        <f>SUMIFS(Nuclear!$M:$M,Nuclear!$H:$H,$B261,Nuclear!$R:$R,L$2)</f>
        <v>0</v>
      </c>
      <c r="M261" s="42">
        <f>SUMIFS(Nuclear!$M:$M,Nuclear!$H:$H,$B261,Nuclear!$R:$R,M$2)</f>
        <v>0</v>
      </c>
      <c r="N261" s="42">
        <f>SUMIFS(Nuclear!$M:$M,Nuclear!$H:$H,$B261,Nuclear!$R:$R,N$2)</f>
        <v>0</v>
      </c>
      <c r="O261" s="42">
        <f>SUMIFS(Nuclear!$M:$M,Nuclear!$H:$H,$B261,Nuclear!$R:$R,O$2)</f>
        <v>0</v>
      </c>
      <c r="P261" s="42">
        <f>SUMIFS(Nuclear!$M:$M,Nuclear!$H:$H,$B261,Nuclear!$R:$R,P$2)</f>
        <v>0</v>
      </c>
      <c r="Q261" s="42">
        <f>SUMIFS(Nuclear!$M:$M,Nuclear!$H:$H,$B261,Nuclear!$R:$R,Q$2)</f>
        <v>0</v>
      </c>
      <c r="R261" s="42">
        <f>SUMIFS(Nuclear!$M:$M,Nuclear!$H:$H,$B261,Nuclear!$R:$R,R$2)</f>
        <v>0</v>
      </c>
      <c r="S261" s="42">
        <f>SUMIFS(Nuclear!$M:$M,Nuclear!$H:$H,$B261,Nuclear!$R:$R,S$2)</f>
        <v>0</v>
      </c>
      <c r="T261" s="42">
        <f>SUMIFS(Nuclear!$M:$M,Nuclear!$H:$H,$B261,Nuclear!$R:$R,T$2)</f>
        <v>0</v>
      </c>
      <c r="U261" s="42">
        <f>SUMIFS(Nuclear!$M:$M,Nuclear!$H:$H,$B261,Nuclear!$R:$R,U$2)+VLOOKUP($B261,'project vs stock'!$A$72:$W$103,21,FALSE)/9</f>
        <v>0</v>
      </c>
      <c r="V261" s="42">
        <f>SUMIFS(Nuclear!$M:$M,Nuclear!$H:$H,$B261,Nuclear!$R:$R,V$2)+VLOOKUP($B261,'project vs stock'!$A$72:$W$103,21,FALSE)/9</f>
        <v>0</v>
      </c>
      <c r="W261" s="42">
        <f>SUMIFS(Nuclear!$M:$M,Nuclear!$H:$H,$B261,Nuclear!$R:$R,W$2)+VLOOKUP($B261,'project vs stock'!$A$72:$W$103,21,FALSE)/9</f>
        <v>0</v>
      </c>
      <c r="X261" s="42">
        <f>SUMIFS(Nuclear!$M:$M,Nuclear!$H:$H,$B261,Nuclear!$R:$R,X$2)+VLOOKUP($B261,'project vs stock'!$A$72:$W$103,21,FALSE)/9</f>
        <v>0</v>
      </c>
      <c r="Y261" s="42">
        <f>SUMIFS(Nuclear!$M:$M,Nuclear!$H:$H,$B261,Nuclear!$R:$R,Y$2)+VLOOKUP($B261,'project vs stock'!$A$72:$W$103,21,FALSE)/9</f>
        <v>0</v>
      </c>
      <c r="Z261" s="42">
        <f>SUMIFS(Nuclear!$M:$M,Nuclear!$H:$H,$B261,Nuclear!$R:$R,Z$2)+VLOOKUP($B261,'project vs stock'!$A$72:$W$103,21,FALSE)/9</f>
        <v>0</v>
      </c>
      <c r="AA261" s="42">
        <f>SUMIFS(Nuclear!$M:$M,Nuclear!$H:$H,$B261,Nuclear!$R:$R,AA$2)+VLOOKUP($B261,'project vs stock'!$A$72:$W$103,21,FALSE)/9</f>
        <v>0</v>
      </c>
      <c r="AB261" s="42">
        <f>SUMIFS(Nuclear!$M:$M,Nuclear!$H:$H,$B261,Nuclear!$R:$R,AB$2)+VLOOKUP($B261,'project vs stock'!$A$72:$W$103,21,FALSE)/9</f>
        <v>0</v>
      </c>
      <c r="AC261" s="42">
        <f>SUMIFS(Nuclear!$M:$M,Nuclear!$H:$H,$B261,Nuclear!$R:$R,AC$2)+VLOOKUP($B261,'project vs stock'!$A$72:$W$103,21,FALSE)/9</f>
        <v>0</v>
      </c>
      <c r="AD261" s="42">
        <f>SUMIFS(Nuclear!$M:$M,Nuclear!$H:$H,$B261,Nuclear!$R:$R,AD$2)+VLOOKUP($B261,'project vs stock'!$A$72:$W$103,5,FALSE)/5</f>
        <v>0</v>
      </c>
      <c r="AE261" s="42">
        <f>SUMIFS(Nuclear!$M:$M,Nuclear!$H:$H,$B261,Nuclear!$R:$R,AE$2)+VLOOKUP($B261,'project vs stock'!$A$72:$W$103,5,FALSE)/5</f>
        <v>0</v>
      </c>
      <c r="AF261" s="43">
        <f>SUMIFS(Nuclear!$M:$M,Nuclear!$H:$H,$B261,Nuclear!$R:$R,AF$2)+VLOOKUP($B261,'project vs stock'!$A$72:$W$103,5,FALSE)/5</f>
        <v>0</v>
      </c>
    </row>
    <row r="262" ht="13.85" spans="1:32">
      <c r="A262" s="27" t="s">
        <v>161</v>
      </c>
      <c r="B262" s="44" t="s">
        <v>136</v>
      </c>
      <c r="C262" s="42">
        <f>SUMIFS(Nuclear!$M:$M,Nuclear!$H:$H,$B262,Nuclear!$R:$R,C$2)</f>
        <v>0</v>
      </c>
      <c r="D262" s="42">
        <f>SUMIFS(Nuclear!$M:$M,Nuclear!$H:$H,$B262,Nuclear!$R:$R,D$2)</f>
        <v>0</v>
      </c>
      <c r="E262" s="42">
        <f>SUMIFS(Nuclear!$M:$M,Nuclear!$H:$H,$B262,Nuclear!$R:$R,E$2)</f>
        <v>0</v>
      </c>
      <c r="F262" s="42">
        <f>SUMIFS(Nuclear!$M:$M,Nuclear!$H:$H,$B262,Nuclear!$R:$R,F$2)</f>
        <v>0</v>
      </c>
      <c r="G262" s="42">
        <f>SUMIFS(Nuclear!$M:$M,Nuclear!$H:$H,$B262,Nuclear!$R:$R,G$2)</f>
        <v>0</v>
      </c>
      <c r="H262" s="42">
        <f>SUMIFS(Nuclear!$M:$M,Nuclear!$H:$H,$B262,Nuclear!$R:$R,H$2)</f>
        <v>0</v>
      </c>
      <c r="I262" s="42">
        <f>SUMIFS(Nuclear!$M:$M,Nuclear!$H:$H,$B262,Nuclear!$R:$R,I$2)</f>
        <v>0</v>
      </c>
      <c r="J262" s="42">
        <f>SUMIFS(Nuclear!$M:$M,Nuclear!$H:$H,$B262,Nuclear!$R:$R,J$2)</f>
        <v>0</v>
      </c>
      <c r="K262" s="42">
        <f>SUMIFS(Nuclear!$M:$M,Nuclear!$H:$H,$B262,Nuclear!$R:$R,K$2)</f>
        <v>0</v>
      </c>
      <c r="L262" s="42">
        <f>SUMIFS(Nuclear!$M:$M,Nuclear!$H:$H,$B262,Nuclear!$R:$R,L$2)</f>
        <v>0</v>
      </c>
      <c r="M262" s="42">
        <f>SUMIFS(Nuclear!$M:$M,Nuclear!$H:$H,$B262,Nuclear!$R:$R,M$2)</f>
        <v>0</v>
      </c>
      <c r="N262" s="42">
        <f>SUMIFS(Nuclear!$M:$M,Nuclear!$H:$H,$B262,Nuclear!$R:$R,N$2)</f>
        <v>0</v>
      </c>
      <c r="O262" s="42">
        <f>SUMIFS(Nuclear!$M:$M,Nuclear!$H:$H,$B262,Nuclear!$R:$R,O$2)</f>
        <v>0</v>
      </c>
      <c r="P262" s="42">
        <f>SUMIFS(Nuclear!$M:$M,Nuclear!$H:$H,$B262,Nuclear!$R:$R,P$2)</f>
        <v>0</v>
      </c>
      <c r="Q262" s="42">
        <f>SUMIFS(Nuclear!$M:$M,Nuclear!$H:$H,$B262,Nuclear!$R:$R,Q$2)</f>
        <v>0</v>
      </c>
      <c r="R262" s="42">
        <f>SUMIFS(Nuclear!$M:$M,Nuclear!$H:$H,$B262,Nuclear!$R:$R,R$2)</f>
        <v>0</v>
      </c>
      <c r="S262" s="42">
        <f>SUMIFS(Nuclear!$M:$M,Nuclear!$H:$H,$B262,Nuclear!$R:$R,S$2)</f>
        <v>0</v>
      </c>
      <c r="T262" s="42">
        <f>SUMIFS(Nuclear!$M:$M,Nuclear!$H:$H,$B262,Nuclear!$R:$R,T$2)</f>
        <v>0</v>
      </c>
      <c r="U262" s="42">
        <f>SUMIFS(Nuclear!$M:$M,Nuclear!$H:$H,$B262,Nuclear!$R:$R,U$2)+VLOOKUP($B262,'project vs stock'!$A$72:$W$103,21,FALSE)/9</f>
        <v>0</v>
      </c>
      <c r="V262" s="42">
        <f>SUMIFS(Nuclear!$M:$M,Nuclear!$H:$H,$B262,Nuclear!$R:$R,V$2)+VLOOKUP($B262,'project vs stock'!$A$72:$W$103,21,FALSE)/9</f>
        <v>0</v>
      </c>
      <c r="W262" s="42">
        <f>SUMIFS(Nuclear!$M:$M,Nuclear!$H:$H,$B262,Nuclear!$R:$R,W$2)+VLOOKUP($B262,'project vs stock'!$A$72:$W$103,21,FALSE)/9</f>
        <v>0</v>
      </c>
      <c r="X262" s="42">
        <f>SUMIFS(Nuclear!$M:$M,Nuclear!$H:$H,$B262,Nuclear!$R:$R,X$2)+VLOOKUP($B262,'project vs stock'!$A$72:$W$103,21,FALSE)/9</f>
        <v>0</v>
      </c>
      <c r="Y262" s="42">
        <f>SUMIFS(Nuclear!$M:$M,Nuclear!$H:$H,$B262,Nuclear!$R:$R,Y$2)+VLOOKUP($B262,'project vs stock'!$A$72:$W$103,21,FALSE)/9</f>
        <v>0</v>
      </c>
      <c r="Z262" s="42">
        <f>SUMIFS(Nuclear!$M:$M,Nuclear!$H:$H,$B262,Nuclear!$R:$R,Z$2)+VLOOKUP($B262,'project vs stock'!$A$72:$W$103,21,FALSE)/9</f>
        <v>0</v>
      </c>
      <c r="AA262" s="42">
        <f>SUMIFS(Nuclear!$M:$M,Nuclear!$H:$H,$B262,Nuclear!$R:$R,AA$2)+VLOOKUP($B262,'project vs stock'!$A$72:$W$103,21,FALSE)/9</f>
        <v>0</v>
      </c>
      <c r="AB262" s="42">
        <f>SUMIFS(Nuclear!$M:$M,Nuclear!$H:$H,$B262,Nuclear!$R:$R,AB$2)+VLOOKUP($B262,'project vs stock'!$A$72:$W$103,21,FALSE)/9</f>
        <v>0</v>
      </c>
      <c r="AC262" s="42">
        <f>SUMIFS(Nuclear!$M:$M,Nuclear!$H:$H,$B262,Nuclear!$R:$R,AC$2)+VLOOKUP($B262,'project vs stock'!$A$72:$W$103,21,FALSE)/9</f>
        <v>0</v>
      </c>
      <c r="AD262" s="42">
        <f>SUMIFS(Nuclear!$M:$M,Nuclear!$H:$H,$B262,Nuclear!$R:$R,AD$2)+VLOOKUP($B262,'project vs stock'!$A$72:$W$103,5,FALSE)/5</f>
        <v>0</v>
      </c>
      <c r="AE262" s="42">
        <f>SUMIFS(Nuclear!$M:$M,Nuclear!$H:$H,$B262,Nuclear!$R:$R,AE$2)+VLOOKUP($B262,'project vs stock'!$A$72:$W$103,5,FALSE)/5</f>
        <v>0</v>
      </c>
      <c r="AF262" s="43">
        <f>SUMIFS(Nuclear!$M:$M,Nuclear!$H:$H,$B262,Nuclear!$R:$R,AF$2)+VLOOKUP($B262,'project vs stock'!$A$72:$W$103,5,FALSE)/5</f>
        <v>0</v>
      </c>
    </row>
    <row r="263" ht="13.85" spans="1:32">
      <c r="A263" s="27" t="s">
        <v>161</v>
      </c>
      <c r="B263" s="44" t="s">
        <v>138</v>
      </c>
      <c r="C263" s="42">
        <f>SUMIFS(Nuclear!$M:$M,Nuclear!$H:$H,$B263,Nuclear!$R:$R,C$2)</f>
        <v>0</v>
      </c>
      <c r="D263" s="42">
        <f>SUMIFS(Nuclear!$M:$M,Nuclear!$H:$H,$B263,Nuclear!$R:$R,D$2)</f>
        <v>0</v>
      </c>
      <c r="E263" s="42">
        <f>SUMIFS(Nuclear!$M:$M,Nuclear!$H:$H,$B263,Nuclear!$R:$R,E$2)</f>
        <v>0</v>
      </c>
      <c r="F263" s="42">
        <f>SUMIFS(Nuclear!$M:$M,Nuclear!$H:$H,$B263,Nuclear!$R:$R,F$2)</f>
        <v>0</v>
      </c>
      <c r="G263" s="42">
        <f>SUMIFS(Nuclear!$M:$M,Nuclear!$H:$H,$B263,Nuclear!$R:$R,G$2)</f>
        <v>0</v>
      </c>
      <c r="H263" s="42">
        <f>SUMIFS(Nuclear!$M:$M,Nuclear!$H:$H,$B263,Nuclear!$R:$R,H$2)</f>
        <v>0</v>
      </c>
      <c r="I263" s="42">
        <f>SUMIFS(Nuclear!$M:$M,Nuclear!$H:$H,$B263,Nuclear!$R:$R,I$2)</f>
        <v>0</v>
      </c>
      <c r="J263" s="42">
        <f>SUMIFS(Nuclear!$M:$M,Nuclear!$H:$H,$B263,Nuclear!$R:$R,J$2)</f>
        <v>0</v>
      </c>
      <c r="K263" s="42">
        <f>SUMIFS(Nuclear!$M:$M,Nuclear!$H:$H,$B263,Nuclear!$R:$R,K$2)</f>
        <v>0</v>
      </c>
      <c r="L263" s="42">
        <f>SUMIFS(Nuclear!$M:$M,Nuclear!$H:$H,$B263,Nuclear!$R:$R,L$2)</f>
        <v>0</v>
      </c>
      <c r="M263" s="42">
        <f>SUMIFS(Nuclear!$M:$M,Nuclear!$H:$H,$B263,Nuclear!$R:$R,M$2)</f>
        <v>0</v>
      </c>
      <c r="N263" s="42">
        <f>SUMIFS(Nuclear!$M:$M,Nuclear!$H:$H,$B263,Nuclear!$R:$R,N$2)</f>
        <v>0</v>
      </c>
      <c r="O263" s="42">
        <f>SUMIFS(Nuclear!$M:$M,Nuclear!$H:$H,$B263,Nuclear!$R:$R,O$2)</f>
        <v>0</v>
      </c>
      <c r="P263" s="42">
        <f>SUMIFS(Nuclear!$M:$M,Nuclear!$H:$H,$B263,Nuclear!$R:$R,P$2)</f>
        <v>0</v>
      </c>
      <c r="Q263" s="42">
        <f>SUMIFS(Nuclear!$M:$M,Nuclear!$H:$H,$B263,Nuclear!$R:$R,Q$2)</f>
        <v>0</v>
      </c>
      <c r="R263" s="42">
        <f>SUMIFS(Nuclear!$M:$M,Nuclear!$H:$H,$B263,Nuclear!$R:$R,R$2)</f>
        <v>0</v>
      </c>
      <c r="S263" s="42">
        <f>SUMIFS(Nuclear!$M:$M,Nuclear!$H:$H,$B263,Nuclear!$R:$R,S$2)</f>
        <v>0</v>
      </c>
      <c r="T263" s="42">
        <f>SUMIFS(Nuclear!$M:$M,Nuclear!$H:$H,$B263,Nuclear!$R:$R,T$2)</f>
        <v>0</v>
      </c>
      <c r="U263" s="42">
        <f>SUMIFS(Nuclear!$M:$M,Nuclear!$H:$H,$B263,Nuclear!$R:$R,U$2)+VLOOKUP($B263,'project vs stock'!$A$72:$W$103,21,FALSE)/9</f>
        <v>0</v>
      </c>
      <c r="V263" s="42">
        <f>SUMIFS(Nuclear!$M:$M,Nuclear!$H:$H,$B263,Nuclear!$R:$R,V$2)+VLOOKUP($B263,'project vs stock'!$A$72:$W$103,21,FALSE)/9</f>
        <v>0</v>
      </c>
      <c r="W263" s="42">
        <f>SUMIFS(Nuclear!$M:$M,Nuclear!$H:$H,$B263,Nuclear!$R:$R,W$2)+VLOOKUP($B263,'project vs stock'!$A$72:$W$103,21,FALSE)/9</f>
        <v>0</v>
      </c>
      <c r="X263" s="42">
        <f>SUMIFS(Nuclear!$M:$M,Nuclear!$H:$H,$B263,Nuclear!$R:$R,X$2)+VLOOKUP($B263,'project vs stock'!$A$72:$W$103,21,FALSE)/9</f>
        <v>0</v>
      </c>
      <c r="Y263" s="42">
        <f>SUMIFS(Nuclear!$M:$M,Nuclear!$H:$H,$B263,Nuclear!$R:$R,Y$2)+VLOOKUP($B263,'project vs stock'!$A$72:$W$103,21,FALSE)/9</f>
        <v>0</v>
      </c>
      <c r="Z263" s="42">
        <f>SUMIFS(Nuclear!$M:$M,Nuclear!$H:$H,$B263,Nuclear!$R:$R,Z$2)+VLOOKUP($B263,'project vs stock'!$A$72:$W$103,21,FALSE)/9</f>
        <v>0</v>
      </c>
      <c r="AA263" s="42">
        <f>SUMIFS(Nuclear!$M:$M,Nuclear!$H:$H,$B263,Nuclear!$R:$R,AA$2)+VLOOKUP($B263,'project vs stock'!$A$72:$W$103,21,FALSE)/9</f>
        <v>0</v>
      </c>
      <c r="AB263" s="42">
        <f>SUMIFS(Nuclear!$M:$M,Nuclear!$H:$H,$B263,Nuclear!$R:$R,AB$2)+VLOOKUP($B263,'project vs stock'!$A$72:$W$103,21,FALSE)/9</f>
        <v>0</v>
      </c>
      <c r="AC263" s="42">
        <f>SUMIFS(Nuclear!$M:$M,Nuclear!$H:$H,$B263,Nuclear!$R:$R,AC$2)+VLOOKUP($B263,'project vs stock'!$A$72:$W$103,21,FALSE)/9</f>
        <v>0</v>
      </c>
      <c r="AD263" s="42">
        <f>SUMIFS(Nuclear!$M:$M,Nuclear!$H:$H,$B263,Nuclear!$R:$R,AD$2)+VLOOKUP($B263,'project vs stock'!$A$72:$W$103,5,FALSE)/5</f>
        <v>0</v>
      </c>
      <c r="AE263" s="42">
        <f>SUMIFS(Nuclear!$M:$M,Nuclear!$H:$H,$B263,Nuclear!$R:$R,AE$2)+VLOOKUP($B263,'project vs stock'!$A$72:$W$103,5,FALSE)/5</f>
        <v>0</v>
      </c>
      <c r="AF263" s="43">
        <f>SUMIFS(Nuclear!$M:$M,Nuclear!$H:$H,$B263,Nuclear!$R:$R,AF$2)+VLOOKUP($B263,'project vs stock'!$A$72:$W$103,5,FALSE)/5</f>
        <v>0</v>
      </c>
    </row>
    <row r="264" ht="13.85" spans="1:32">
      <c r="A264" s="27" t="s">
        <v>161</v>
      </c>
      <c r="B264" s="44" t="s">
        <v>140</v>
      </c>
      <c r="C264" s="42">
        <f>SUMIFS(Nuclear!$M:$M,Nuclear!$H:$H,$B264,Nuclear!$R:$R,C$2)</f>
        <v>0</v>
      </c>
      <c r="D264" s="42">
        <f>SUMIFS(Nuclear!$M:$M,Nuclear!$H:$H,$B264,Nuclear!$R:$R,D$2)</f>
        <v>0</v>
      </c>
      <c r="E264" s="42">
        <f>SUMIFS(Nuclear!$M:$M,Nuclear!$H:$H,$B264,Nuclear!$R:$R,E$2)</f>
        <v>0</v>
      </c>
      <c r="F264" s="42">
        <f>SUMIFS(Nuclear!$M:$M,Nuclear!$H:$H,$B264,Nuclear!$R:$R,F$2)</f>
        <v>0</v>
      </c>
      <c r="G264" s="42">
        <f>SUMIFS(Nuclear!$M:$M,Nuclear!$H:$H,$B264,Nuclear!$R:$R,G$2)</f>
        <v>0</v>
      </c>
      <c r="H264" s="42">
        <f>SUMIFS(Nuclear!$M:$M,Nuclear!$H:$H,$B264,Nuclear!$R:$R,H$2)</f>
        <v>0</v>
      </c>
      <c r="I264" s="42">
        <f>SUMIFS(Nuclear!$M:$M,Nuclear!$H:$H,$B264,Nuclear!$R:$R,I$2)</f>
        <v>0</v>
      </c>
      <c r="J264" s="42">
        <f>SUMIFS(Nuclear!$M:$M,Nuclear!$H:$H,$B264,Nuclear!$R:$R,J$2)</f>
        <v>0</v>
      </c>
      <c r="K264" s="42">
        <f>SUMIFS(Nuclear!$M:$M,Nuclear!$H:$H,$B264,Nuclear!$R:$R,K$2)</f>
        <v>0</v>
      </c>
      <c r="L264" s="42">
        <f>SUMIFS(Nuclear!$M:$M,Nuclear!$H:$H,$B264,Nuclear!$R:$R,L$2)</f>
        <v>0</v>
      </c>
      <c r="M264" s="42">
        <f>SUMIFS(Nuclear!$M:$M,Nuclear!$H:$H,$B264,Nuclear!$R:$R,M$2)</f>
        <v>0</v>
      </c>
      <c r="N264" s="42">
        <f>SUMIFS(Nuclear!$M:$M,Nuclear!$H:$H,$B264,Nuclear!$R:$R,N$2)</f>
        <v>0</v>
      </c>
      <c r="O264" s="42">
        <f>SUMIFS(Nuclear!$M:$M,Nuclear!$H:$H,$B264,Nuclear!$R:$R,O$2)</f>
        <v>0</v>
      </c>
      <c r="P264" s="42">
        <f>SUMIFS(Nuclear!$M:$M,Nuclear!$H:$H,$B264,Nuclear!$R:$R,P$2)</f>
        <v>0</v>
      </c>
      <c r="Q264" s="42">
        <f>SUMIFS(Nuclear!$M:$M,Nuclear!$H:$H,$B264,Nuclear!$R:$R,Q$2)</f>
        <v>0</v>
      </c>
      <c r="R264" s="42">
        <f>SUMIFS(Nuclear!$M:$M,Nuclear!$H:$H,$B264,Nuclear!$R:$R,R$2)</f>
        <v>0</v>
      </c>
      <c r="S264" s="42">
        <f>SUMIFS(Nuclear!$M:$M,Nuclear!$H:$H,$B264,Nuclear!$R:$R,S$2)</f>
        <v>0</v>
      </c>
      <c r="T264" s="42">
        <f>SUMIFS(Nuclear!$M:$M,Nuclear!$H:$H,$B264,Nuclear!$R:$R,T$2)</f>
        <v>0</v>
      </c>
      <c r="U264" s="42">
        <f>SUMIFS(Nuclear!$M:$M,Nuclear!$H:$H,$B264,Nuclear!$R:$R,U$2)+VLOOKUP($B264,'project vs stock'!$A$72:$W$103,21,FALSE)/9</f>
        <v>0</v>
      </c>
      <c r="V264" s="42">
        <f>SUMIFS(Nuclear!$M:$M,Nuclear!$H:$H,$B264,Nuclear!$R:$R,V$2)+VLOOKUP($B264,'project vs stock'!$A$72:$W$103,21,FALSE)/9</f>
        <v>0</v>
      </c>
      <c r="W264" s="42">
        <f>SUMIFS(Nuclear!$M:$M,Nuclear!$H:$H,$B264,Nuclear!$R:$R,W$2)+VLOOKUP($B264,'project vs stock'!$A$72:$W$103,21,FALSE)/9</f>
        <v>0</v>
      </c>
      <c r="X264" s="42">
        <f>SUMIFS(Nuclear!$M:$M,Nuclear!$H:$H,$B264,Nuclear!$R:$R,X$2)+VLOOKUP($B264,'project vs stock'!$A$72:$W$103,21,FALSE)/9</f>
        <v>0</v>
      </c>
      <c r="Y264" s="42">
        <f>SUMIFS(Nuclear!$M:$M,Nuclear!$H:$H,$B264,Nuclear!$R:$R,Y$2)+VLOOKUP($B264,'project vs stock'!$A$72:$W$103,21,FALSE)/9</f>
        <v>0</v>
      </c>
      <c r="Z264" s="42">
        <f>SUMIFS(Nuclear!$M:$M,Nuclear!$H:$H,$B264,Nuclear!$R:$R,Z$2)+VLOOKUP($B264,'project vs stock'!$A$72:$W$103,21,FALSE)/9</f>
        <v>0</v>
      </c>
      <c r="AA264" s="42">
        <f>SUMIFS(Nuclear!$M:$M,Nuclear!$H:$H,$B264,Nuclear!$R:$R,AA$2)+VLOOKUP($B264,'project vs stock'!$A$72:$W$103,21,FALSE)/9</f>
        <v>0</v>
      </c>
      <c r="AB264" s="42">
        <f>SUMIFS(Nuclear!$M:$M,Nuclear!$H:$H,$B264,Nuclear!$R:$R,AB$2)+VLOOKUP($B264,'project vs stock'!$A$72:$W$103,21,FALSE)/9</f>
        <v>0</v>
      </c>
      <c r="AC264" s="42">
        <f>SUMIFS(Nuclear!$M:$M,Nuclear!$H:$H,$B264,Nuclear!$R:$R,AC$2)+VLOOKUP($B264,'project vs stock'!$A$72:$W$103,21,FALSE)/9</f>
        <v>0</v>
      </c>
      <c r="AD264" s="42">
        <f>SUMIFS(Nuclear!$M:$M,Nuclear!$H:$H,$B264,Nuclear!$R:$R,AD$2)+VLOOKUP($B264,'project vs stock'!$A$72:$W$103,5,FALSE)/5</f>
        <v>0</v>
      </c>
      <c r="AE264" s="42">
        <f>SUMIFS(Nuclear!$M:$M,Nuclear!$H:$H,$B264,Nuclear!$R:$R,AE$2)+VLOOKUP($B264,'project vs stock'!$A$72:$W$103,5,FALSE)/5</f>
        <v>0</v>
      </c>
      <c r="AF264" s="43">
        <f>SUMIFS(Nuclear!$M:$M,Nuclear!$H:$H,$B264,Nuclear!$R:$R,AF$2)+VLOOKUP($B264,'project vs stock'!$A$72:$W$103,5,FALSE)/5</f>
        <v>0</v>
      </c>
    </row>
    <row r="265" ht="13.85" spans="1:32">
      <c r="A265" s="27" t="s">
        <v>161</v>
      </c>
      <c r="B265" s="44" t="s">
        <v>142</v>
      </c>
      <c r="C265" s="42">
        <f>SUMIFS(Nuclear!$M:$M,Nuclear!$H:$H,$B265,Nuclear!$R:$R,C$2)</f>
        <v>0</v>
      </c>
      <c r="D265" s="42">
        <f>SUMIFS(Nuclear!$M:$M,Nuclear!$H:$H,$B265,Nuclear!$R:$R,D$2)</f>
        <v>0</v>
      </c>
      <c r="E265" s="42">
        <f>SUMIFS(Nuclear!$M:$M,Nuclear!$H:$H,$B265,Nuclear!$R:$R,E$2)</f>
        <v>0</v>
      </c>
      <c r="F265" s="42">
        <f>SUMIFS(Nuclear!$M:$M,Nuclear!$H:$H,$B265,Nuclear!$R:$R,F$2)</f>
        <v>0</v>
      </c>
      <c r="G265" s="42">
        <f>SUMIFS(Nuclear!$M:$M,Nuclear!$H:$H,$B265,Nuclear!$R:$R,G$2)</f>
        <v>0</v>
      </c>
      <c r="H265" s="42">
        <f>SUMIFS(Nuclear!$M:$M,Nuclear!$H:$H,$B265,Nuclear!$R:$R,H$2)</f>
        <v>0</v>
      </c>
      <c r="I265" s="42">
        <f>SUMIFS(Nuclear!$M:$M,Nuclear!$H:$H,$B265,Nuclear!$R:$R,I$2)</f>
        <v>0</v>
      </c>
      <c r="J265" s="42">
        <f>SUMIFS(Nuclear!$M:$M,Nuclear!$H:$H,$B265,Nuclear!$R:$R,J$2)</f>
        <v>0</v>
      </c>
      <c r="K265" s="42">
        <f>SUMIFS(Nuclear!$M:$M,Nuclear!$H:$H,$B265,Nuclear!$R:$R,K$2)</f>
        <v>0</v>
      </c>
      <c r="L265" s="42">
        <f>SUMIFS(Nuclear!$M:$M,Nuclear!$H:$H,$B265,Nuclear!$R:$R,L$2)</f>
        <v>0</v>
      </c>
      <c r="M265" s="42">
        <f>SUMIFS(Nuclear!$M:$M,Nuclear!$H:$H,$B265,Nuclear!$R:$R,M$2)</f>
        <v>0</v>
      </c>
      <c r="N265" s="42">
        <f>SUMIFS(Nuclear!$M:$M,Nuclear!$H:$H,$B265,Nuclear!$R:$R,N$2)</f>
        <v>0</v>
      </c>
      <c r="O265" s="42">
        <f>SUMIFS(Nuclear!$M:$M,Nuclear!$H:$H,$B265,Nuclear!$R:$R,O$2)</f>
        <v>0</v>
      </c>
      <c r="P265" s="42">
        <f>SUMIFS(Nuclear!$M:$M,Nuclear!$H:$H,$B265,Nuclear!$R:$R,P$2)</f>
        <v>0</v>
      </c>
      <c r="Q265" s="42">
        <f>SUMIFS(Nuclear!$M:$M,Nuclear!$H:$H,$B265,Nuclear!$R:$R,Q$2)</f>
        <v>0</v>
      </c>
      <c r="R265" s="42">
        <f>SUMIFS(Nuclear!$M:$M,Nuclear!$H:$H,$B265,Nuclear!$R:$R,R$2)</f>
        <v>0</v>
      </c>
      <c r="S265" s="42">
        <f>SUMIFS(Nuclear!$M:$M,Nuclear!$H:$H,$B265,Nuclear!$R:$R,S$2)</f>
        <v>0</v>
      </c>
      <c r="T265" s="42">
        <f>SUMIFS(Nuclear!$M:$M,Nuclear!$H:$H,$B265,Nuclear!$R:$R,T$2)</f>
        <v>0</v>
      </c>
      <c r="U265" s="42">
        <f>SUMIFS(Nuclear!$M:$M,Nuclear!$H:$H,$B265,Nuclear!$R:$R,U$2)+VLOOKUP($B265,'project vs stock'!$A$72:$W$103,21,FALSE)/9</f>
        <v>0</v>
      </c>
      <c r="V265" s="42">
        <f>SUMIFS(Nuclear!$M:$M,Nuclear!$H:$H,$B265,Nuclear!$R:$R,V$2)+VLOOKUP($B265,'project vs stock'!$A$72:$W$103,21,FALSE)/9</f>
        <v>0</v>
      </c>
      <c r="W265" s="42">
        <f>SUMIFS(Nuclear!$M:$M,Nuclear!$H:$H,$B265,Nuclear!$R:$R,W$2)+VLOOKUP($B265,'project vs stock'!$A$72:$W$103,21,FALSE)/9</f>
        <v>0</v>
      </c>
      <c r="X265" s="42">
        <f>SUMIFS(Nuclear!$M:$M,Nuclear!$H:$H,$B265,Nuclear!$R:$R,X$2)+VLOOKUP($B265,'project vs stock'!$A$72:$W$103,21,FALSE)/9</f>
        <v>0</v>
      </c>
      <c r="Y265" s="42">
        <f>SUMIFS(Nuclear!$M:$M,Nuclear!$H:$H,$B265,Nuclear!$R:$R,Y$2)+VLOOKUP($B265,'project vs stock'!$A$72:$W$103,21,FALSE)/9</f>
        <v>0</v>
      </c>
      <c r="Z265" s="42">
        <f>SUMIFS(Nuclear!$M:$M,Nuclear!$H:$H,$B265,Nuclear!$R:$R,Z$2)+VLOOKUP($B265,'project vs stock'!$A$72:$W$103,21,FALSE)/9</f>
        <v>0</v>
      </c>
      <c r="AA265" s="42">
        <f>SUMIFS(Nuclear!$M:$M,Nuclear!$H:$H,$B265,Nuclear!$R:$R,AA$2)+VLOOKUP($B265,'project vs stock'!$A$72:$W$103,21,FALSE)/9</f>
        <v>0</v>
      </c>
      <c r="AB265" s="42">
        <f>SUMIFS(Nuclear!$M:$M,Nuclear!$H:$H,$B265,Nuclear!$R:$R,AB$2)+VLOOKUP($B265,'project vs stock'!$A$72:$W$103,21,FALSE)/9</f>
        <v>0</v>
      </c>
      <c r="AC265" s="42">
        <f>SUMIFS(Nuclear!$M:$M,Nuclear!$H:$H,$B265,Nuclear!$R:$R,AC$2)+VLOOKUP($B265,'project vs stock'!$A$72:$W$103,21,FALSE)/9</f>
        <v>0</v>
      </c>
      <c r="AD265" s="42">
        <f>SUMIFS(Nuclear!$M:$M,Nuclear!$H:$H,$B265,Nuclear!$R:$R,AD$2)+VLOOKUP($B265,'project vs stock'!$A$72:$W$103,5,FALSE)/5</f>
        <v>0</v>
      </c>
      <c r="AE265" s="42">
        <f>SUMIFS(Nuclear!$M:$M,Nuclear!$H:$H,$B265,Nuclear!$R:$R,AE$2)+VLOOKUP($B265,'project vs stock'!$A$72:$W$103,5,FALSE)/5</f>
        <v>0</v>
      </c>
      <c r="AF265" s="43">
        <f>SUMIFS(Nuclear!$M:$M,Nuclear!$H:$H,$B265,Nuclear!$R:$R,AF$2)+VLOOKUP($B265,'project vs stock'!$A$72:$W$103,5,FALSE)/5</f>
        <v>0</v>
      </c>
    </row>
    <row r="266" s="38" customFormat="1" spans="1:32">
      <c r="A266" s="46"/>
      <c r="B266" s="46"/>
      <c r="C266" s="47"/>
      <c r="D266" s="47"/>
      <c r="E266" s="47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</row>
    <row r="267" ht="13.85" spans="1:32">
      <c r="A267" s="27" t="s">
        <v>157</v>
      </c>
      <c r="B267" s="41" t="s">
        <v>80</v>
      </c>
      <c r="C267" s="42">
        <f t="shared" ref="C267:AF267" si="299">SUM(C268:C298)</f>
        <v>0</v>
      </c>
      <c r="D267" s="42">
        <f t="shared" si="299"/>
        <v>0</v>
      </c>
      <c r="E267" s="42">
        <f t="shared" si="299"/>
        <v>0</v>
      </c>
      <c r="F267" s="42">
        <f t="shared" si="299"/>
        <v>3034.2</v>
      </c>
      <c r="G267" s="42">
        <f t="shared" si="299"/>
        <v>4793.4</v>
      </c>
      <c r="H267" s="42">
        <f t="shared" si="299"/>
        <v>4591.2</v>
      </c>
      <c r="I267" s="42">
        <f t="shared" si="299"/>
        <v>3629.3</v>
      </c>
      <c r="J267" s="42">
        <f t="shared" si="299"/>
        <v>5380.5</v>
      </c>
      <c r="K267" s="42">
        <f t="shared" si="299"/>
        <v>6413.13333333333</v>
      </c>
      <c r="L267" s="42">
        <f t="shared" si="299"/>
        <v>7285.63333333333</v>
      </c>
      <c r="M267" s="42">
        <f t="shared" si="299"/>
        <v>7954.33333333333</v>
      </c>
      <c r="N267" s="42">
        <f t="shared" si="299"/>
        <v>6370.8</v>
      </c>
      <c r="O267" s="42">
        <f t="shared" si="299"/>
        <v>4529.2</v>
      </c>
      <c r="P267" s="42">
        <f t="shared" si="299"/>
        <v>8942.7</v>
      </c>
      <c r="Q267" s="42">
        <f t="shared" si="299"/>
        <v>12412.9</v>
      </c>
      <c r="R267" s="42">
        <f t="shared" si="299"/>
        <v>14272.65</v>
      </c>
      <c r="S267" s="42">
        <f t="shared" si="299"/>
        <v>13552</v>
      </c>
      <c r="T267" s="42">
        <f t="shared" si="299"/>
        <v>20481.115</v>
      </c>
      <c r="U267" s="42">
        <f t="shared" si="299"/>
        <v>7112.99622222222</v>
      </c>
      <c r="V267" s="42">
        <f t="shared" ref="V267:AC267" si="300">SUM(V268:V298)</f>
        <v>13588.9962222222</v>
      </c>
      <c r="W267" s="42">
        <f t="shared" si="300"/>
        <v>18432.0962222222</v>
      </c>
      <c r="X267" s="42">
        <f t="shared" si="300"/>
        <v>18479.6962222222</v>
      </c>
      <c r="Y267" s="42">
        <f t="shared" si="300"/>
        <v>18393.6762222222</v>
      </c>
      <c r="Z267" s="42">
        <f t="shared" si="300"/>
        <v>20252.4962222222</v>
      </c>
      <c r="AA267" s="42">
        <f t="shared" si="300"/>
        <v>31412.4862222222</v>
      </c>
      <c r="AB267" s="42">
        <f t="shared" si="300"/>
        <v>38505.1862222222</v>
      </c>
      <c r="AC267" s="42">
        <f t="shared" si="300"/>
        <v>25657.0962222222</v>
      </c>
      <c r="AD267" s="42">
        <f t="shared" si="299"/>
        <v>21789.48</v>
      </c>
      <c r="AE267" s="42">
        <f t="shared" si="299"/>
        <v>31524.68</v>
      </c>
      <c r="AF267" s="43">
        <f t="shared" si="299"/>
        <v>29842.88</v>
      </c>
    </row>
    <row r="268" ht="13.85" spans="1:32">
      <c r="A268" s="27" t="s">
        <v>157</v>
      </c>
      <c r="B268" s="44" t="s">
        <v>82</v>
      </c>
      <c r="C268" s="45"/>
      <c r="D268" s="45"/>
      <c r="E268" s="45"/>
      <c r="F268" s="42">
        <f>VLOOKUP($B268,'93-07workbook'!$B$109:$Q$140,COLUMN(B$1),FALSE)</f>
        <v>0</v>
      </c>
      <c r="G268" s="42">
        <f>VLOOKUP($B268,'93-07workbook'!$B$109:$Q$140,COLUMN(C$1),FALSE)</f>
        <v>0</v>
      </c>
      <c r="H268" s="42">
        <f>VLOOKUP($B268,'93-07workbook'!$B$109:$Q$140,COLUMN(D$1),FALSE)</f>
        <v>0</v>
      </c>
      <c r="I268" s="42">
        <f>VLOOKUP($B268,'93-07workbook'!$B$109:$Q$140,COLUMN(E$1),FALSE)</f>
        <v>0</v>
      </c>
      <c r="J268" s="42">
        <f>VLOOKUP($B268,'93-07workbook'!$B$109:$Q$140,COLUMN(F$1),FALSE)</f>
        <v>0.199999999999932</v>
      </c>
      <c r="K268" s="42">
        <f>VLOOKUP($B268,'93-07workbook'!$B$109:$Q$140,COLUMN(G$1),FALSE)</f>
        <v>200</v>
      </c>
      <c r="L268" s="42">
        <f>VLOOKUP($B268,'93-07workbook'!$B$109:$Q$140,COLUMN(H$1),FALSE)</f>
        <v>0</v>
      </c>
      <c r="M268" s="42">
        <f>VLOOKUP($B268,'93-07workbook'!$B$109:$Q$140,COLUMN(I$1),FALSE)</f>
        <v>0</v>
      </c>
      <c r="N268" s="42">
        <f>VLOOKUP($B268,'93-07workbook'!$B$109:$Q$140,COLUMN(J$1),FALSE)</f>
        <v>0</v>
      </c>
      <c r="O268" s="42">
        <f>VLOOKUP($B268,'93-07workbook'!$B$109:$Q$140,COLUMN(K$1),FALSE)</f>
        <v>0</v>
      </c>
      <c r="P268" s="42">
        <f>VLOOKUP($B268,'93-07workbook'!$B$109:$Q$140,COLUMN(L$1),FALSE)</f>
        <v>19.6000000000001</v>
      </c>
      <c r="Q268" s="42">
        <f>VLOOKUP($B268,'93-07workbook'!$B$109:$Q$140,COLUMN(M$1),FALSE)</f>
        <v>0</v>
      </c>
      <c r="R268" s="42">
        <f>VLOOKUP($B268,'93-07workbook'!$B$109:$Q$140,COLUMN(N$1),FALSE)</f>
        <v>0</v>
      </c>
      <c r="S268" s="42">
        <f>VLOOKUP($B268,'93-07workbook'!$B$109:$Q$140,COLUMN(O$1),FALSE)</f>
        <v>1</v>
      </c>
      <c r="T268" s="42">
        <f>VLOOKUP($B268,'93-07workbook'!$B$109:$Q$140,COLUMN(P$1),FALSE)</f>
        <v>0</v>
      </c>
      <c r="U268" s="42">
        <f>SUMIFS('08-21addition'!$C:$C,'08-21addition'!$A:$A,$B136,'08-21addition'!$B:$B,U$2)*10+SUMIFS(Nuclear!$M:$M,Nuclear!$H:$H,$B235,Nuclear!$R:$R,V$2)+VLOOKUP($B268,'project vs stock'!$A$72:$W$103,19,FALSE)/9</f>
        <v>0</v>
      </c>
      <c r="V268" s="42">
        <f>SUMIFS('08-21addition'!$C:$C,'08-21addition'!$A:$A,$B136,'08-21addition'!$B:$B,V$2)*10+SUMIFS(Nuclear!$M:$M,Nuclear!$H:$H,$B235,Nuclear!$R:$R,W$2)+VLOOKUP($B268,'project vs stock'!$A$72:$W$103,19,FALSE)/9</f>
        <v>0</v>
      </c>
      <c r="W268" s="42">
        <f>SUMIFS('08-21addition'!$C:$C,'08-21addition'!$A:$A,$B136,'08-21addition'!$B:$B,W$2)*10+SUMIFS(Nuclear!$M:$M,Nuclear!$H:$H,$B235,Nuclear!$R:$R,X$2)+VLOOKUP($B268,'project vs stock'!$A$72:$W$103,19,FALSE)/9</f>
        <v>85.5</v>
      </c>
      <c r="X268" s="42">
        <f>SUMIFS('08-21addition'!$C:$C,'08-21addition'!$A:$A,$B136,'08-21addition'!$B:$B,X$2)*10+SUMIFS(Nuclear!$M:$M,Nuclear!$H:$H,$B235,Nuclear!$R:$R,Y$2)+VLOOKUP($B268,'project vs stock'!$A$72:$W$103,19,FALSE)/9</f>
        <v>0</v>
      </c>
      <c r="Y268" s="42">
        <f>SUMIFS('08-21addition'!$C:$C,'08-21addition'!$A:$A,$B136,'08-21addition'!$B:$B,Y$2)*10+SUMIFS(Nuclear!$M:$M,Nuclear!$H:$H,$B235,Nuclear!$R:$R,Z$2)+VLOOKUP($B268,'project vs stock'!$A$72:$W$103,19,FALSE)/9</f>
        <v>0</v>
      </c>
      <c r="Z268" s="42">
        <f>SUMIFS('08-21addition'!$C:$C,'08-21addition'!$A:$A,$B136,'08-21addition'!$B:$B,Z$2)*10+SUMIFS(Nuclear!$M:$M,Nuclear!$H:$H,$B235,Nuclear!$R:$R,AA$2)+VLOOKUP($B268,'project vs stock'!$A$72:$W$103,19,FALSE)/9</f>
        <v>0</v>
      </c>
      <c r="AA268" s="42">
        <f>SUMIFS('08-21addition'!$C:$C,'08-21addition'!$A:$A,$B136,'08-21addition'!$B:$B,AA$2)*10+SUMIFS(Nuclear!$M:$M,Nuclear!$H:$H,$B235,Nuclear!$R:$R,AB$2)+VLOOKUP($B268,'project vs stock'!$A$72:$W$103,19,FALSE)/9</f>
        <v>0</v>
      </c>
      <c r="AB268" s="42">
        <f>SUMIFS('08-21addition'!$C:$C,'08-21addition'!$A:$A,$B136,'08-21addition'!$B:$B,AB$2)*10+SUMIFS(Nuclear!$M:$M,Nuclear!$H:$H,$B235,Nuclear!$R:$R,AC$2)+VLOOKUP($B268,'project vs stock'!$A$72:$W$103,19,FALSE)/9</f>
        <v>0</v>
      </c>
      <c r="AC268" s="42">
        <f>SUMIFS('08-21addition'!$C:$C,'08-21addition'!$A:$A,$B136,'08-21addition'!$B:$B,AC$2)*10+SUMIFS(Nuclear!$M:$M,Nuclear!$H:$H,$B235,Nuclear!$R:$R,AD$2)+VLOOKUP($B268,'project vs stock'!$A$72:$W$103,19,FALSE)/9</f>
        <v>72</v>
      </c>
      <c r="AD268" s="42">
        <f>SUMIFS('08-21addition'!$C:$C,'08-21addition'!$A:$A,$B136,'08-21addition'!$B:$B,AD$2)*10+SUMIFS(Nuclear!$M:$M,Nuclear!$H:$H,$B235,Nuclear!$R:$R,AD$2)+VLOOKUP($B268,'project vs stock'!$A$72:$W$103,3,FALSE)/5</f>
        <v>4.5</v>
      </c>
      <c r="AE268" s="42">
        <f>SUMIFS('08-21addition'!$C:$C,'08-21addition'!$A:$A,$B136,'08-21addition'!$B:$B,AE$2)*10+SUMIFS(Nuclear!$M:$M,Nuclear!$H:$H,$B235,Nuclear!$R:$R,AE$2)+VLOOKUP($B268,'project vs stock'!$A$72:$W$103,3,FALSE)/5</f>
        <v>2</v>
      </c>
      <c r="AF268" s="42">
        <f>SUMIFS('08-21addition'!$C:$C,'08-21addition'!$A:$A,$B136,'08-21addition'!$B:$B,AF$2)*10+SUMIFS(Nuclear!$M:$M,Nuclear!$H:$H,$B235,Nuclear!$R:$R,AF$2)+VLOOKUP($B268,'project vs stock'!$A$72:$W$103,3,FALSE)/5</f>
        <v>2</v>
      </c>
    </row>
    <row r="269" ht="13.85" spans="1:32">
      <c r="A269" s="27" t="s">
        <v>157</v>
      </c>
      <c r="B269" s="44" t="s">
        <v>84</v>
      </c>
      <c r="C269" s="45"/>
      <c r="D269" s="45"/>
      <c r="E269" s="45"/>
      <c r="F269" s="42">
        <f>VLOOKUP($B269,'93-07workbook'!$B$109:$Q$140,COLUMN(B$1),FALSE)</f>
        <v>0</v>
      </c>
      <c r="G269" s="42">
        <f>VLOOKUP($B269,'93-07workbook'!$B$109:$Q$140,COLUMN(C$1),FALSE)</f>
        <v>0</v>
      </c>
      <c r="H269" s="42">
        <f>VLOOKUP($B269,'93-07workbook'!$B$109:$Q$140,COLUMN(D$1),FALSE)</f>
        <v>4.5</v>
      </c>
      <c r="I269" s="42">
        <f>VLOOKUP($B269,'93-07workbook'!$B$109:$Q$140,COLUMN(E$1),FALSE)</f>
        <v>0.8</v>
      </c>
      <c r="J269" s="42">
        <f>VLOOKUP($B269,'93-07workbook'!$B$109:$Q$140,COLUMN(F$1),FALSE)</f>
        <v>0</v>
      </c>
      <c r="K269" s="42">
        <f>VLOOKUP($B269,'93-07workbook'!$B$109:$Q$140,COLUMN(G$1),FALSE)</f>
        <v>0</v>
      </c>
      <c r="L269" s="42">
        <f>VLOOKUP($B269,'93-07workbook'!$B$109:$Q$140,COLUMN(H$1),FALSE)</f>
        <v>0</v>
      </c>
      <c r="M269" s="42">
        <f>VLOOKUP($B269,'93-07workbook'!$B$109:$Q$140,COLUMN(I$1),FALSE)</f>
        <v>0</v>
      </c>
      <c r="N269" s="42">
        <f>VLOOKUP($B269,'93-07workbook'!$B$109:$Q$140,COLUMN(J$1),FALSE)</f>
        <v>0</v>
      </c>
      <c r="O269" s="42">
        <f>VLOOKUP($B269,'93-07workbook'!$B$109:$Q$140,COLUMN(K$1),FALSE)</f>
        <v>0</v>
      </c>
      <c r="P269" s="42">
        <f>VLOOKUP($B269,'93-07workbook'!$B$109:$Q$140,COLUMN(L$1),FALSE)</f>
        <v>0</v>
      </c>
      <c r="Q269" s="42">
        <f>VLOOKUP($B269,'93-07workbook'!$B$109:$Q$140,COLUMN(M$1),FALSE)</f>
        <v>0</v>
      </c>
      <c r="R269" s="42">
        <f>VLOOKUP($B269,'93-07workbook'!$B$109:$Q$140,COLUMN(N$1),FALSE)</f>
        <v>0</v>
      </c>
      <c r="S269" s="42">
        <f>VLOOKUP($B269,'93-07workbook'!$B$109:$Q$140,COLUMN(O$1),FALSE)</f>
        <v>0</v>
      </c>
      <c r="T269" s="42">
        <f>VLOOKUP($B269,'93-07workbook'!$B$109:$Q$140,COLUMN(P$1),FALSE)</f>
        <v>5</v>
      </c>
      <c r="U269" s="42">
        <f>SUMIFS('08-21addition'!$C:$C,'08-21addition'!$A:$A,$B137,'08-21addition'!$B:$B,U$2)*10+SUMIFS(Nuclear!$M:$M,Nuclear!$H:$H,$B236,Nuclear!$R:$R,V$2)+VLOOKUP($B269,'project vs stock'!$A$72:$W$103,19,FALSE)/9</f>
        <v>0</v>
      </c>
      <c r="V269" s="42">
        <f>SUMIFS('08-21addition'!$C:$C,'08-21addition'!$A:$A,$B137,'08-21addition'!$B:$B,V$2)*10+SUMIFS(Nuclear!$M:$M,Nuclear!$H:$H,$B236,Nuclear!$R:$R,W$2)+VLOOKUP($B269,'project vs stock'!$A$72:$W$103,19,FALSE)/9</f>
        <v>0</v>
      </c>
      <c r="W269" s="42">
        <f>SUMIFS('08-21addition'!$C:$C,'08-21addition'!$A:$A,$B137,'08-21addition'!$B:$B,W$2)*10+SUMIFS(Nuclear!$M:$M,Nuclear!$H:$H,$B236,Nuclear!$R:$R,X$2)+VLOOKUP($B269,'project vs stock'!$A$72:$W$103,19,FALSE)/9</f>
        <v>75.5</v>
      </c>
      <c r="X269" s="42">
        <f>SUMIFS('08-21addition'!$C:$C,'08-21addition'!$A:$A,$B137,'08-21addition'!$B:$B,X$2)*10+SUMIFS(Nuclear!$M:$M,Nuclear!$H:$H,$B236,Nuclear!$R:$R,Y$2)+VLOOKUP($B269,'project vs stock'!$A$72:$W$103,19,FALSE)/9</f>
        <v>54</v>
      </c>
      <c r="Y269" s="42">
        <f>SUMIFS('08-21addition'!$C:$C,'08-21addition'!$A:$A,$B137,'08-21addition'!$B:$B,Y$2)*10+SUMIFS(Nuclear!$M:$M,Nuclear!$H:$H,$B236,Nuclear!$R:$R,Z$2)+VLOOKUP($B269,'project vs stock'!$A$72:$W$103,19,FALSE)/9</f>
        <v>46.5</v>
      </c>
      <c r="Z269" s="42">
        <f>SUMIFS('08-21addition'!$C:$C,'08-21addition'!$A:$A,$B137,'08-21addition'!$B:$B,Z$2)*10+SUMIFS(Nuclear!$M:$M,Nuclear!$H:$H,$B236,Nuclear!$R:$R,AA$2)+VLOOKUP($B269,'project vs stock'!$A$72:$W$103,19,FALSE)/9</f>
        <v>33</v>
      </c>
      <c r="AA269" s="42">
        <f>SUMIFS('08-21addition'!$C:$C,'08-21addition'!$A:$A,$B137,'08-21addition'!$B:$B,AA$2)*10+SUMIFS(Nuclear!$M:$M,Nuclear!$H:$H,$B236,Nuclear!$R:$R,AB$2)+VLOOKUP($B269,'project vs stock'!$A$72:$W$103,19,FALSE)/9</f>
        <v>0</v>
      </c>
      <c r="AB269" s="42">
        <f>SUMIFS('08-21addition'!$C:$C,'08-21addition'!$A:$A,$B137,'08-21addition'!$B:$B,AB$2)*10+SUMIFS(Nuclear!$M:$M,Nuclear!$H:$H,$B236,Nuclear!$R:$R,AC$2)+VLOOKUP($B269,'project vs stock'!$A$72:$W$103,19,FALSE)/9</f>
        <v>0</v>
      </c>
      <c r="AC269" s="42">
        <f>SUMIFS('08-21addition'!$C:$C,'08-21addition'!$A:$A,$B137,'08-21addition'!$B:$B,AC$2)*10+SUMIFS(Nuclear!$M:$M,Nuclear!$H:$H,$B236,Nuclear!$R:$R,AD$2)+VLOOKUP($B269,'project vs stock'!$A$72:$W$103,19,FALSE)/9</f>
        <v>0</v>
      </c>
      <c r="AD269" s="42">
        <f>SUMIFS('08-21addition'!$C:$C,'08-21addition'!$A:$A,$B137,'08-21addition'!$B:$B,AD$2)*10+SUMIFS(Nuclear!$M:$M,Nuclear!$H:$H,$B236,Nuclear!$R:$R,AD$2)+VLOOKUP($B269,'project vs stock'!$A$72:$W$103,3,FALSE)/5</f>
        <v>105</v>
      </c>
      <c r="AE269" s="42">
        <f>SUMIFS('08-21addition'!$C:$C,'08-21addition'!$A:$A,$B137,'08-21addition'!$B:$B,AE$2)*10+SUMIFS(Nuclear!$M:$M,Nuclear!$H:$H,$B236,Nuclear!$R:$R,AE$2)+VLOOKUP($B269,'project vs stock'!$A$72:$W$103,3,FALSE)/5</f>
        <v>282.8</v>
      </c>
      <c r="AF269" s="42">
        <f>SUMIFS('08-21addition'!$C:$C,'08-21addition'!$A:$A,$B137,'08-21addition'!$B:$B,AF$2)*10+SUMIFS(Nuclear!$M:$M,Nuclear!$H:$H,$B236,Nuclear!$R:$R,AF$2)+VLOOKUP($B269,'project vs stock'!$A$72:$W$103,3,FALSE)/5</f>
        <v>129.5</v>
      </c>
    </row>
    <row r="270" ht="13.85" spans="1:32">
      <c r="A270" s="27" t="s">
        <v>157</v>
      </c>
      <c r="B270" s="44" t="s">
        <v>86</v>
      </c>
      <c r="C270" s="45"/>
      <c r="D270" s="45"/>
      <c r="E270" s="45"/>
      <c r="F270" s="42">
        <f>VLOOKUP($B270,'93-07workbook'!$B$109:$Q$140,COLUMN(B$1),FALSE)</f>
        <v>0</v>
      </c>
      <c r="G270" s="42">
        <f>VLOOKUP($B270,'93-07workbook'!$B$109:$Q$140,COLUMN(C$1),FALSE)</f>
        <v>14.4999999999999</v>
      </c>
      <c r="H270" s="42">
        <f>VLOOKUP($B270,'93-07workbook'!$B$109:$Q$140,COLUMN(D$1),FALSE)</f>
        <v>0</v>
      </c>
      <c r="I270" s="42">
        <f>VLOOKUP($B270,'93-07workbook'!$B$109:$Q$140,COLUMN(E$1),FALSE)</f>
        <v>10.3</v>
      </c>
      <c r="J270" s="42">
        <f>VLOOKUP($B270,'93-07workbook'!$B$109:$Q$140,COLUMN(F$1),FALSE)</f>
        <v>11.1</v>
      </c>
      <c r="K270" s="42">
        <f>VLOOKUP($B270,'93-07workbook'!$B$109:$Q$140,COLUMN(G$1),FALSE)</f>
        <v>11.7</v>
      </c>
      <c r="L270" s="42">
        <f>VLOOKUP($B270,'93-07workbook'!$B$109:$Q$140,COLUMN(H$1),FALSE)</f>
        <v>24.8999999999999</v>
      </c>
      <c r="M270" s="42">
        <f>VLOOKUP($B270,'93-07workbook'!$B$109:$Q$140,COLUMN(I$1),FALSE)</f>
        <v>7.30000000000004</v>
      </c>
      <c r="N270" s="42">
        <f>VLOOKUP($B270,'93-07workbook'!$B$109:$Q$140,COLUMN(J$1),FALSE)</f>
        <v>15.4000000000001</v>
      </c>
      <c r="O270" s="42">
        <f>VLOOKUP($B270,'93-07workbook'!$B$109:$Q$140,COLUMN(K$1),FALSE)</f>
        <v>53.8</v>
      </c>
      <c r="P270" s="42">
        <f>VLOOKUP($B270,'93-07workbook'!$B$109:$Q$140,COLUMN(L$1),FALSE)</f>
        <v>0</v>
      </c>
      <c r="Q270" s="42">
        <f>VLOOKUP($B270,'93-07workbook'!$B$109:$Q$140,COLUMN(M$1),FALSE)</f>
        <v>19.4999999999999</v>
      </c>
      <c r="R270" s="42">
        <f>VLOOKUP($B270,'93-07workbook'!$B$109:$Q$140,COLUMN(N$1),FALSE)</f>
        <v>8.8</v>
      </c>
      <c r="S270" s="42">
        <f>VLOOKUP($B270,'93-07workbook'!$B$109:$Q$140,COLUMN(O$1),FALSE)</f>
        <v>190</v>
      </c>
      <c r="T270" s="42">
        <f>VLOOKUP($B270,'93-07workbook'!$B$109:$Q$140,COLUMN(P$1),FALSE)</f>
        <v>0</v>
      </c>
      <c r="U270" s="42">
        <f>SUMIFS('08-21addition'!$C:$C,'08-21addition'!$A:$A,$B138,'08-21addition'!$B:$B,U$2)*10+SUMIFS(Nuclear!$M:$M,Nuclear!$H:$H,$B237,Nuclear!$R:$R,V$2)+VLOOKUP($B270,'project vs stock'!$A$72:$W$103,19,FALSE)/9</f>
        <v>302.744444444444</v>
      </c>
      <c r="V270" s="42">
        <f>SUMIFS('08-21addition'!$C:$C,'08-21addition'!$A:$A,$B138,'08-21addition'!$B:$B,V$2)*10+SUMIFS(Nuclear!$M:$M,Nuclear!$H:$H,$B237,Nuclear!$R:$R,W$2)+VLOOKUP($B270,'project vs stock'!$A$72:$W$103,19,FALSE)/9</f>
        <v>954.544444444444</v>
      </c>
      <c r="W270" s="42">
        <f>SUMIFS('08-21addition'!$C:$C,'08-21addition'!$A:$A,$B138,'08-21addition'!$B:$B,W$2)*10+SUMIFS(Nuclear!$M:$M,Nuclear!$H:$H,$B237,Nuclear!$R:$R,X$2)+VLOOKUP($B270,'project vs stock'!$A$72:$W$103,19,FALSE)/9</f>
        <v>2089.84444444444</v>
      </c>
      <c r="X270" s="42">
        <f>SUMIFS('08-21addition'!$C:$C,'08-21addition'!$A:$A,$B138,'08-21addition'!$B:$B,X$2)*10+SUMIFS(Nuclear!$M:$M,Nuclear!$H:$H,$B237,Nuclear!$R:$R,Y$2)+VLOOKUP($B270,'project vs stock'!$A$72:$W$103,19,FALSE)/9</f>
        <v>890.544444444444</v>
      </c>
      <c r="Y270" s="42">
        <f>SUMIFS('08-21addition'!$C:$C,'08-21addition'!$A:$A,$B138,'08-21addition'!$B:$B,Y$2)*10+SUMIFS(Nuclear!$M:$M,Nuclear!$H:$H,$B237,Nuclear!$R:$R,Z$2)+VLOOKUP($B270,'project vs stock'!$A$72:$W$103,19,FALSE)/9</f>
        <v>1584.84444444444</v>
      </c>
      <c r="Z270" s="42">
        <f>SUMIFS('08-21addition'!$C:$C,'08-21addition'!$A:$A,$B138,'08-21addition'!$B:$B,Z$2)*10+SUMIFS(Nuclear!$M:$M,Nuclear!$H:$H,$B237,Nuclear!$R:$R,AA$2)+VLOOKUP($B270,'project vs stock'!$A$72:$W$103,19,FALSE)/9</f>
        <v>716.744444444444</v>
      </c>
      <c r="AA270" s="42">
        <f>SUMIFS('08-21addition'!$C:$C,'08-21addition'!$A:$A,$B138,'08-21addition'!$B:$B,AA$2)*10+SUMIFS(Nuclear!$M:$M,Nuclear!$H:$H,$B237,Nuclear!$R:$R,AB$2)+VLOOKUP($B270,'project vs stock'!$A$72:$W$103,19,FALSE)/9</f>
        <v>1580.24444444444</v>
      </c>
      <c r="AB270" s="42">
        <f>SUMIFS('08-21addition'!$C:$C,'08-21addition'!$A:$A,$B138,'08-21addition'!$B:$B,AB$2)*10+SUMIFS(Nuclear!$M:$M,Nuclear!$H:$H,$B237,Nuclear!$R:$R,AC$2)+VLOOKUP($B270,'project vs stock'!$A$72:$W$103,19,FALSE)/9</f>
        <v>843.244444444444</v>
      </c>
      <c r="AC270" s="42">
        <f>SUMIFS('08-21addition'!$C:$C,'08-21addition'!$A:$A,$B138,'08-21addition'!$B:$B,AC$2)*10+SUMIFS(Nuclear!$M:$M,Nuclear!$H:$H,$B237,Nuclear!$R:$R,AD$2)+VLOOKUP($B270,'project vs stock'!$A$72:$W$103,19,FALSE)/9</f>
        <v>2284.84444444444</v>
      </c>
      <c r="AD270" s="42">
        <f>SUMIFS('08-21addition'!$C:$C,'08-21addition'!$A:$A,$B138,'08-21addition'!$B:$B,AD$2)*10+SUMIFS(Nuclear!$M:$M,Nuclear!$H:$H,$B237,Nuclear!$R:$R,AD$2)+VLOOKUP($B270,'project vs stock'!$A$72:$W$103,3,FALSE)/5</f>
        <v>1071</v>
      </c>
      <c r="AE270" s="42">
        <f>SUMIFS('08-21addition'!$C:$C,'08-21addition'!$A:$A,$B138,'08-21addition'!$B:$B,AE$2)*10+SUMIFS(Nuclear!$M:$M,Nuclear!$H:$H,$B237,Nuclear!$R:$R,AE$2)+VLOOKUP($B270,'project vs stock'!$A$72:$W$103,3,FALSE)/5</f>
        <v>2457</v>
      </c>
      <c r="AF270" s="42">
        <f>SUMIFS('08-21addition'!$C:$C,'08-21addition'!$A:$A,$B138,'08-21addition'!$B:$B,AF$2)*10+SUMIFS(Nuclear!$M:$M,Nuclear!$H:$H,$B237,Nuclear!$R:$R,AF$2)+VLOOKUP($B270,'project vs stock'!$A$72:$W$103,3,FALSE)/5</f>
        <v>2383.8</v>
      </c>
    </row>
    <row r="271" ht="13.85" spans="1:32">
      <c r="A271" s="27" t="s">
        <v>157</v>
      </c>
      <c r="B271" s="44" t="s">
        <v>88</v>
      </c>
      <c r="C271" s="45"/>
      <c r="D271" s="45"/>
      <c r="E271" s="45"/>
      <c r="F271" s="42">
        <f>VLOOKUP($B271,'93-07workbook'!$B$109:$Q$140,COLUMN(B$1),FALSE)</f>
        <v>0</v>
      </c>
      <c r="G271" s="42">
        <f>VLOOKUP($B271,'93-07workbook'!$B$109:$Q$140,COLUMN(C$1),FALSE)</f>
        <v>0</v>
      </c>
      <c r="H271" s="42">
        <f>VLOOKUP($B271,'93-07workbook'!$B$109:$Q$140,COLUMN(D$1),FALSE)</f>
        <v>0</v>
      </c>
      <c r="I271" s="42">
        <f>VLOOKUP($B271,'93-07workbook'!$B$109:$Q$140,COLUMN(E$1),FALSE)</f>
        <v>0.700000000000003</v>
      </c>
      <c r="J271" s="42">
        <f>VLOOKUP($B271,'93-07workbook'!$B$109:$Q$140,COLUMN(F$1),FALSE)</f>
        <v>0</v>
      </c>
      <c r="K271" s="42">
        <f>VLOOKUP($B271,'93-07workbook'!$B$109:$Q$140,COLUMN(G$1),FALSE)</f>
        <v>178.9</v>
      </c>
      <c r="L271" s="42">
        <f>VLOOKUP($B271,'93-07workbook'!$B$109:$Q$140,COLUMN(H$1),FALSE)</f>
        <v>179.9</v>
      </c>
      <c r="M271" s="42">
        <f>VLOOKUP($B271,'93-07workbook'!$B$109:$Q$140,COLUMN(I$1),FALSE)</f>
        <v>359.9</v>
      </c>
      <c r="N271" s="42">
        <f>VLOOKUP($B271,'93-07workbook'!$B$109:$Q$140,COLUMN(J$1),FALSE)</f>
        <v>0</v>
      </c>
      <c r="O271" s="42">
        <f>VLOOKUP($B271,'93-07workbook'!$B$109:$Q$140,COLUMN(K$1),FALSE)</f>
        <v>0</v>
      </c>
      <c r="P271" s="42">
        <f>VLOOKUP($B271,'93-07workbook'!$B$109:$Q$140,COLUMN(L$1),FALSE)</f>
        <v>0.39999999999992</v>
      </c>
      <c r="Q271" s="42">
        <f>VLOOKUP($B271,'93-07workbook'!$B$109:$Q$140,COLUMN(M$1),FALSE)</f>
        <v>0</v>
      </c>
      <c r="R271" s="42">
        <f>VLOOKUP($B271,'93-07workbook'!$B$109:$Q$140,COLUMN(N$1),FALSE)</f>
        <v>0</v>
      </c>
      <c r="S271" s="42">
        <f>VLOOKUP($B271,'93-07workbook'!$B$109:$Q$140,COLUMN(O$1),FALSE)</f>
        <v>11</v>
      </c>
      <c r="T271" s="42">
        <f>VLOOKUP($B271,'93-07workbook'!$B$109:$Q$140,COLUMN(P$1),FALSE)</f>
        <v>0</v>
      </c>
      <c r="U271" s="42">
        <f>SUMIFS('08-21addition'!$C:$C,'08-21addition'!$A:$A,$B139,'08-21addition'!$B:$B,U$2)*10+SUMIFS(Nuclear!$M:$M,Nuclear!$H:$H,$B238,Nuclear!$R:$R,V$2)+VLOOKUP($B271,'project vs stock'!$A$72:$W$103,19,FALSE)/9</f>
        <v>101.923333333333</v>
      </c>
      <c r="V271" s="42">
        <f>SUMIFS('08-21addition'!$C:$C,'08-21addition'!$A:$A,$B139,'08-21addition'!$B:$B,V$2)*10+SUMIFS(Nuclear!$M:$M,Nuclear!$H:$H,$B238,Nuclear!$R:$R,W$2)+VLOOKUP($B271,'project vs stock'!$A$72:$W$103,19,FALSE)/9</f>
        <v>76.9233333333333</v>
      </c>
      <c r="W271" s="42">
        <f>SUMIFS('08-21addition'!$C:$C,'08-21addition'!$A:$A,$B139,'08-21addition'!$B:$B,W$2)*10+SUMIFS(Nuclear!$M:$M,Nuclear!$H:$H,$B238,Nuclear!$R:$R,X$2)+VLOOKUP($B271,'project vs stock'!$A$72:$W$103,19,FALSE)/9</f>
        <v>370.923333333333</v>
      </c>
      <c r="X271" s="42">
        <f>SUMIFS('08-21addition'!$C:$C,'08-21addition'!$A:$A,$B139,'08-21addition'!$B:$B,X$2)*10+SUMIFS(Nuclear!$M:$M,Nuclear!$H:$H,$B238,Nuclear!$R:$R,Y$2)+VLOOKUP($B271,'project vs stock'!$A$72:$W$103,19,FALSE)/9</f>
        <v>1045.92333333333</v>
      </c>
      <c r="Y271" s="42">
        <f>SUMIFS('08-21addition'!$C:$C,'08-21addition'!$A:$A,$B139,'08-21addition'!$B:$B,Y$2)*10+SUMIFS(Nuclear!$M:$M,Nuclear!$H:$H,$B238,Nuclear!$R:$R,Z$2)+VLOOKUP($B271,'project vs stock'!$A$72:$W$103,19,FALSE)/9</f>
        <v>1032.42333333333</v>
      </c>
      <c r="Z271" s="42">
        <f>SUMIFS('08-21addition'!$C:$C,'08-21addition'!$A:$A,$B139,'08-21addition'!$B:$B,Z$2)*10+SUMIFS(Nuclear!$M:$M,Nuclear!$H:$H,$B238,Nuclear!$R:$R,AA$2)+VLOOKUP($B271,'project vs stock'!$A$72:$W$103,19,FALSE)/9</f>
        <v>816.423333333333</v>
      </c>
      <c r="AA271" s="42">
        <f>SUMIFS('08-21addition'!$C:$C,'08-21addition'!$A:$A,$B139,'08-21addition'!$B:$B,AA$2)*10+SUMIFS(Nuclear!$M:$M,Nuclear!$H:$H,$B238,Nuclear!$R:$R,AB$2)+VLOOKUP($B271,'project vs stock'!$A$72:$W$103,19,FALSE)/9</f>
        <v>1767.42333333333</v>
      </c>
      <c r="AB271" s="42">
        <f>SUMIFS('08-21addition'!$C:$C,'08-21addition'!$A:$A,$B139,'08-21addition'!$B:$B,AB$2)*10+SUMIFS(Nuclear!$M:$M,Nuclear!$H:$H,$B238,Nuclear!$R:$R,AC$2)+VLOOKUP($B271,'project vs stock'!$A$72:$W$103,19,FALSE)/9</f>
        <v>2232.52333333333</v>
      </c>
      <c r="AC271" s="42">
        <f>SUMIFS('08-21addition'!$C:$C,'08-21addition'!$A:$A,$B139,'08-21addition'!$B:$B,AC$2)*10+SUMIFS(Nuclear!$M:$M,Nuclear!$H:$H,$B238,Nuclear!$R:$R,AD$2)+VLOOKUP($B271,'project vs stock'!$A$72:$W$103,19,FALSE)/9</f>
        <v>1734.92333333333</v>
      </c>
      <c r="AD271" s="42">
        <f>SUMIFS('08-21addition'!$C:$C,'08-21addition'!$A:$A,$B139,'08-21addition'!$B:$B,AD$2)*10+SUMIFS(Nuclear!$M:$M,Nuclear!$H:$H,$B238,Nuclear!$R:$R,AD$2)+VLOOKUP($B271,'project vs stock'!$A$72:$W$103,3,FALSE)/5</f>
        <v>956</v>
      </c>
      <c r="AE271" s="42">
        <f>SUMIFS('08-21addition'!$C:$C,'08-21addition'!$A:$A,$B139,'08-21addition'!$B:$B,AE$2)*10+SUMIFS(Nuclear!$M:$M,Nuclear!$H:$H,$B238,Nuclear!$R:$R,AE$2)+VLOOKUP($B271,'project vs stock'!$A$72:$W$103,3,FALSE)/5</f>
        <v>1960.9</v>
      </c>
      <c r="AF271" s="42">
        <f>SUMIFS('08-21addition'!$C:$C,'08-21addition'!$A:$A,$B139,'08-21addition'!$B:$B,AF$2)*10+SUMIFS(Nuclear!$M:$M,Nuclear!$H:$H,$B238,Nuclear!$R:$R,AF$2)+VLOOKUP($B271,'project vs stock'!$A$72:$W$103,3,FALSE)/5</f>
        <v>2141.6</v>
      </c>
    </row>
    <row r="272" ht="13.85" spans="1:32">
      <c r="A272" s="27" t="s">
        <v>157</v>
      </c>
      <c r="B272" s="44" t="s">
        <v>90</v>
      </c>
      <c r="C272" s="45"/>
      <c r="D272" s="45"/>
      <c r="E272" s="45"/>
      <c r="F272" s="42">
        <f>VLOOKUP($B272,'93-07workbook'!$B$109:$Q$140,COLUMN(B$1),FALSE)</f>
        <v>0</v>
      </c>
      <c r="G272" s="42">
        <f>VLOOKUP($B272,'93-07workbook'!$B$109:$Q$140,COLUMN(C$1),FALSE)</f>
        <v>0</v>
      </c>
      <c r="H272" s="42">
        <f>VLOOKUP($B272,'93-07workbook'!$B$109:$Q$140,COLUMN(D$1),FALSE)</f>
        <v>0</v>
      </c>
      <c r="I272" s="42">
        <f>VLOOKUP($B272,'93-07workbook'!$B$109:$Q$140,COLUMN(E$1),FALSE)</f>
        <v>5.4</v>
      </c>
      <c r="J272" s="42">
        <f>VLOOKUP($B272,'93-07workbook'!$B$109:$Q$140,COLUMN(F$1),FALSE)</f>
        <v>0</v>
      </c>
      <c r="K272" s="42">
        <f>VLOOKUP($B272,'93-07workbook'!$B$109:$Q$140,COLUMN(G$1),FALSE)</f>
        <v>3.5</v>
      </c>
      <c r="L272" s="42">
        <f>VLOOKUP($B272,'93-07workbook'!$B$109:$Q$140,COLUMN(H$1),FALSE)</f>
        <v>180</v>
      </c>
      <c r="M272" s="42">
        <f>VLOOKUP($B272,'93-07workbook'!$B$109:$Q$140,COLUMN(I$1),FALSE)</f>
        <v>180.4</v>
      </c>
      <c r="N272" s="42">
        <f>VLOOKUP($B272,'93-07workbook'!$B$109:$Q$140,COLUMN(J$1),FALSE)</f>
        <v>155.6</v>
      </c>
      <c r="O272" s="42">
        <f>VLOOKUP($B272,'93-07workbook'!$B$109:$Q$140,COLUMN(K$1),FALSE)</f>
        <v>25.9</v>
      </c>
      <c r="P272" s="42">
        <f>VLOOKUP($B272,'93-07workbook'!$B$109:$Q$140,COLUMN(L$1),FALSE)</f>
        <v>0</v>
      </c>
      <c r="Q272" s="42">
        <f>VLOOKUP($B272,'93-07workbook'!$B$109:$Q$140,COLUMN(M$1),FALSE)</f>
        <v>0</v>
      </c>
      <c r="R272" s="42">
        <f>VLOOKUP($B272,'93-07workbook'!$B$109:$Q$140,COLUMN(N$1),FALSE)</f>
        <v>0.0999999999999801</v>
      </c>
      <c r="S272" s="42">
        <f>VLOOKUP($B272,'93-07workbook'!$B$109:$Q$140,COLUMN(O$1),FALSE)</f>
        <v>250</v>
      </c>
      <c r="T272" s="42">
        <f>VLOOKUP($B272,'93-07workbook'!$B$109:$Q$140,COLUMN(P$1),FALSE)</f>
        <v>12</v>
      </c>
      <c r="U272" s="42">
        <f>SUMIFS('08-21addition'!$C:$C,'08-21addition'!$A:$A,$B140,'08-21addition'!$B:$B,U$2)*10+SUMIFS(Nuclear!$M:$M,Nuclear!$H:$H,$B239,Nuclear!$R:$R,V$2)+VLOOKUP($B272,'project vs stock'!$A$72:$W$103,19,FALSE)/9</f>
        <v>1649.32222222222</v>
      </c>
      <c r="V272" s="42">
        <f>SUMIFS('08-21addition'!$C:$C,'08-21addition'!$A:$A,$B140,'08-21addition'!$B:$B,V$2)*10+SUMIFS(Nuclear!$M:$M,Nuclear!$H:$H,$B239,Nuclear!$R:$R,W$2)+VLOOKUP($B272,'project vs stock'!$A$72:$W$103,19,FALSE)/9</f>
        <v>3790.42222222222</v>
      </c>
      <c r="W272" s="42">
        <f>SUMIFS('08-21addition'!$C:$C,'08-21addition'!$A:$A,$B140,'08-21addition'!$B:$B,W$2)*10+SUMIFS(Nuclear!$M:$M,Nuclear!$H:$H,$B239,Nuclear!$R:$R,X$2)+VLOOKUP($B272,'project vs stock'!$A$72:$W$103,19,FALSE)/9</f>
        <v>4342.02222222222</v>
      </c>
      <c r="X272" s="42">
        <f>SUMIFS('08-21addition'!$C:$C,'08-21addition'!$A:$A,$B140,'08-21addition'!$B:$B,X$2)*10+SUMIFS(Nuclear!$M:$M,Nuclear!$H:$H,$B239,Nuclear!$R:$R,Y$2)+VLOOKUP($B272,'project vs stock'!$A$72:$W$103,19,FALSE)/9</f>
        <v>3713.22222222222</v>
      </c>
      <c r="Y272" s="42">
        <f>SUMIFS('08-21addition'!$C:$C,'08-21addition'!$A:$A,$B140,'08-21addition'!$B:$B,Y$2)*10+SUMIFS(Nuclear!$M:$M,Nuclear!$H:$H,$B239,Nuclear!$R:$R,Z$2)+VLOOKUP($B272,'project vs stock'!$A$72:$W$103,19,FALSE)/9</f>
        <v>1545.22222222222</v>
      </c>
      <c r="Z272" s="42">
        <f>SUMIFS('08-21addition'!$C:$C,'08-21addition'!$A:$A,$B140,'08-21addition'!$B:$B,Z$2)*10+SUMIFS(Nuclear!$M:$M,Nuclear!$H:$H,$B239,Nuclear!$R:$R,AA$2)+VLOOKUP($B272,'project vs stock'!$A$72:$W$103,19,FALSE)/9</f>
        <v>2099.32222222222</v>
      </c>
      <c r="AA272" s="42">
        <f>SUMIFS('08-21addition'!$C:$C,'08-21addition'!$A:$A,$B140,'08-21addition'!$B:$B,AA$2)*10+SUMIFS(Nuclear!$M:$M,Nuclear!$H:$H,$B239,Nuclear!$R:$R,AB$2)+VLOOKUP($B272,'project vs stock'!$A$72:$W$103,19,FALSE)/9</f>
        <v>1796.32222222222</v>
      </c>
      <c r="AB272" s="42">
        <f>SUMIFS('08-21addition'!$C:$C,'08-21addition'!$A:$A,$B140,'08-21addition'!$B:$B,AB$2)*10+SUMIFS(Nuclear!$M:$M,Nuclear!$H:$H,$B239,Nuclear!$R:$R,AC$2)+VLOOKUP($B272,'project vs stock'!$A$72:$W$103,19,FALSE)/9</f>
        <v>3376.82222222222</v>
      </c>
      <c r="AC272" s="42">
        <f>SUMIFS('08-21addition'!$C:$C,'08-21addition'!$A:$A,$B140,'08-21addition'!$B:$B,AC$2)*10+SUMIFS(Nuclear!$M:$M,Nuclear!$H:$H,$B239,Nuclear!$R:$R,AD$2)+VLOOKUP($B272,'project vs stock'!$A$72:$W$103,19,FALSE)/9</f>
        <v>836.522222222222</v>
      </c>
      <c r="AD272" s="42">
        <f>SUMIFS('08-21addition'!$C:$C,'08-21addition'!$A:$A,$B140,'08-21addition'!$B:$B,AD$2)*10+SUMIFS(Nuclear!$M:$M,Nuclear!$H:$H,$B239,Nuclear!$R:$R,AD$2)+VLOOKUP($B272,'project vs stock'!$A$72:$W$103,3,FALSE)/5</f>
        <v>884.7</v>
      </c>
      <c r="AE272" s="42">
        <f>SUMIFS('08-21addition'!$C:$C,'08-21addition'!$A:$A,$B140,'08-21addition'!$B:$B,AE$2)*10+SUMIFS(Nuclear!$M:$M,Nuclear!$H:$H,$B239,Nuclear!$R:$R,AE$2)+VLOOKUP($B272,'project vs stock'!$A$72:$W$103,3,FALSE)/5</f>
        <v>2145.6</v>
      </c>
      <c r="AF272" s="42">
        <f>SUMIFS('08-21addition'!$C:$C,'08-21addition'!$A:$A,$B140,'08-21addition'!$B:$B,AF$2)*10+SUMIFS(Nuclear!$M:$M,Nuclear!$H:$H,$B239,Nuclear!$R:$R,AF$2)+VLOOKUP($B272,'project vs stock'!$A$72:$W$103,3,FALSE)/5</f>
        <v>1243.9</v>
      </c>
    </row>
    <row r="273" ht="13.85" spans="1:32">
      <c r="A273" s="27" t="s">
        <v>157</v>
      </c>
      <c r="B273" s="44" t="s">
        <v>92</v>
      </c>
      <c r="C273" s="45"/>
      <c r="D273" s="45"/>
      <c r="E273" s="45"/>
      <c r="F273" s="42">
        <f>VLOOKUP($B273,'93-07workbook'!$B$109:$Q$140,COLUMN(B$1),FALSE)</f>
        <v>0</v>
      </c>
      <c r="G273" s="42">
        <f>VLOOKUP($B273,'93-07workbook'!$B$109:$Q$140,COLUMN(C$1),FALSE)</f>
        <v>8.79999999999995</v>
      </c>
      <c r="H273" s="42">
        <f>VLOOKUP($B273,'93-07workbook'!$B$109:$Q$140,COLUMN(D$1),FALSE)</f>
        <v>40</v>
      </c>
      <c r="I273" s="42">
        <f>VLOOKUP($B273,'93-07workbook'!$B$109:$Q$140,COLUMN(E$1),FALSE)</f>
        <v>0</v>
      </c>
      <c r="J273" s="42">
        <f>VLOOKUP($B273,'93-07workbook'!$B$109:$Q$140,COLUMN(F$1),FALSE)</f>
        <v>0</v>
      </c>
      <c r="K273" s="42">
        <f>VLOOKUP($B273,'93-07workbook'!$B$109:$Q$140,COLUMN(G$1),FALSE)</f>
        <v>2.19999999999999</v>
      </c>
      <c r="L273" s="42">
        <f>VLOOKUP($B273,'93-07workbook'!$B$109:$Q$140,COLUMN(H$1),FALSE)</f>
        <v>16.9</v>
      </c>
      <c r="M273" s="42">
        <f>VLOOKUP($B273,'93-07workbook'!$B$109:$Q$140,COLUMN(I$1),FALSE)</f>
        <v>8.49999999999994</v>
      </c>
      <c r="N273" s="42">
        <f>VLOOKUP($B273,'93-07workbook'!$B$109:$Q$140,COLUMN(J$1),FALSE)</f>
        <v>13.3000000000001</v>
      </c>
      <c r="O273" s="42">
        <f>VLOOKUP($B273,'93-07workbook'!$B$109:$Q$140,COLUMN(K$1),FALSE)</f>
        <v>2.4</v>
      </c>
      <c r="P273" s="42">
        <f>VLOOKUP($B273,'93-07workbook'!$B$109:$Q$140,COLUMN(L$1),FALSE)</f>
        <v>134.8</v>
      </c>
      <c r="Q273" s="42">
        <f>VLOOKUP($B273,'93-07workbook'!$B$109:$Q$140,COLUMN(M$1),FALSE)</f>
        <v>7.89999999999992</v>
      </c>
      <c r="R273" s="42">
        <f>VLOOKUP($B273,'93-07workbook'!$B$109:$Q$140,COLUMN(N$1),FALSE)</f>
        <v>0</v>
      </c>
      <c r="S273" s="42">
        <f>VLOOKUP($B273,'93-07workbook'!$B$109:$Q$140,COLUMN(O$1),FALSE)</f>
        <v>0</v>
      </c>
      <c r="T273" s="42">
        <f>VLOOKUP($B273,'93-07workbook'!$B$109:$Q$140,COLUMN(P$1),FALSE)</f>
        <v>9.00000000000006</v>
      </c>
      <c r="U273" s="42">
        <f>SUMIFS('08-21addition'!$C:$C,'08-21addition'!$A:$A,$B141,'08-21addition'!$B:$B,U$2)*10+SUMIFS(Nuclear!$M:$M,Nuclear!$H:$H,$B240,Nuclear!$R:$R,V$2)+VLOOKUP($B273,'project vs stock'!$A$72:$W$103,19,FALSE)/9</f>
        <v>506.511111111111</v>
      </c>
      <c r="V273" s="42">
        <f>SUMIFS('08-21addition'!$C:$C,'08-21addition'!$A:$A,$B141,'08-21addition'!$B:$B,V$2)*10+SUMIFS(Nuclear!$M:$M,Nuclear!$H:$H,$B240,Nuclear!$R:$R,W$2)+VLOOKUP($B273,'project vs stock'!$A$72:$W$103,19,FALSE)/9</f>
        <v>1218.31111111111</v>
      </c>
      <c r="W273" s="42">
        <f>SUMIFS('08-21addition'!$C:$C,'08-21addition'!$A:$A,$B141,'08-21addition'!$B:$B,W$2)*10+SUMIFS(Nuclear!$M:$M,Nuclear!$H:$H,$B240,Nuclear!$R:$R,X$2)+VLOOKUP($B273,'project vs stock'!$A$72:$W$103,19,FALSE)/9</f>
        <v>1173.81111111111</v>
      </c>
      <c r="X273" s="42">
        <f>SUMIFS('08-21addition'!$C:$C,'08-21addition'!$A:$A,$B141,'08-21addition'!$B:$B,X$2)*10+SUMIFS(Nuclear!$M:$M,Nuclear!$H:$H,$B240,Nuclear!$R:$R,Y$2)+VLOOKUP($B273,'project vs stock'!$A$72:$W$103,19,FALSE)/9</f>
        <v>1094.51111111111</v>
      </c>
      <c r="Y273" s="42">
        <f>SUMIFS('08-21addition'!$C:$C,'08-21addition'!$A:$A,$B141,'08-21addition'!$B:$B,Y$2)*10+SUMIFS(Nuclear!$M:$M,Nuclear!$H:$H,$B240,Nuclear!$R:$R,Z$2)+VLOOKUP($B273,'project vs stock'!$A$72:$W$103,19,FALSE)/9</f>
        <v>2931.69111111111</v>
      </c>
      <c r="Z273" s="42">
        <f>SUMIFS('08-21addition'!$C:$C,'08-21addition'!$A:$A,$B141,'08-21addition'!$B:$B,Z$2)*10+SUMIFS(Nuclear!$M:$M,Nuclear!$H:$H,$B240,Nuclear!$R:$R,AA$2)+VLOOKUP($B273,'project vs stock'!$A$72:$W$103,19,FALSE)/9</f>
        <v>670.011111111111</v>
      </c>
      <c r="AA273" s="42">
        <f>SUMIFS('08-21addition'!$C:$C,'08-21addition'!$A:$A,$B141,'08-21addition'!$B:$B,AA$2)*10+SUMIFS(Nuclear!$M:$M,Nuclear!$H:$H,$B240,Nuclear!$R:$R,AB$2)+VLOOKUP($B273,'project vs stock'!$A$72:$W$103,19,FALSE)/9</f>
        <v>1619.00111111111</v>
      </c>
      <c r="AB273" s="42">
        <f>SUMIFS('08-21addition'!$C:$C,'08-21addition'!$A:$A,$B141,'08-21addition'!$B:$B,AB$2)*10+SUMIFS(Nuclear!$M:$M,Nuclear!$H:$H,$B240,Nuclear!$R:$R,AC$2)+VLOOKUP($B273,'project vs stock'!$A$72:$W$103,19,FALSE)/9</f>
        <v>1461.80111111111</v>
      </c>
      <c r="AC273" s="42">
        <f>SUMIFS('08-21addition'!$C:$C,'08-21addition'!$A:$A,$B141,'08-21addition'!$B:$B,AC$2)*10+SUMIFS(Nuclear!$M:$M,Nuclear!$H:$H,$B240,Nuclear!$R:$R,AD$2)+VLOOKUP($B273,'project vs stock'!$A$72:$W$103,19,FALSE)/9</f>
        <v>145.511111111111</v>
      </c>
      <c r="AD273" s="42">
        <f>SUMIFS('08-21addition'!$C:$C,'08-21addition'!$A:$A,$B141,'08-21addition'!$B:$B,AD$2)*10+SUMIFS(Nuclear!$M:$M,Nuclear!$H:$H,$B240,Nuclear!$R:$R,AD$2)+VLOOKUP($B273,'project vs stock'!$A$72:$W$103,3,FALSE)/5</f>
        <v>224.06</v>
      </c>
      <c r="AE273" s="42">
        <f>SUMIFS('08-21addition'!$C:$C,'08-21addition'!$A:$A,$B141,'08-21addition'!$B:$B,AE$2)*10+SUMIFS(Nuclear!$M:$M,Nuclear!$H:$H,$B240,Nuclear!$R:$R,AE$2)+VLOOKUP($B273,'project vs stock'!$A$72:$W$103,3,FALSE)/5</f>
        <v>526.26</v>
      </c>
      <c r="AF273" s="42">
        <f>SUMIFS('08-21addition'!$C:$C,'08-21addition'!$A:$A,$B141,'08-21addition'!$B:$B,AF$2)*10+SUMIFS(Nuclear!$M:$M,Nuclear!$H:$H,$B240,Nuclear!$R:$R,AF$2)+VLOOKUP($B273,'project vs stock'!$A$72:$W$103,3,FALSE)/5</f>
        <v>798.86</v>
      </c>
    </row>
    <row r="274" ht="13.85" spans="1:32">
      <c r="A274" s="27" t="s">
        <v>157</v>
      </c>
      <c r="B274" s="44" t="s">
        <v>94</v>
      </c>
      <c r="C274" s="45"/>
      <c r="D274" s="45"/>
      <c r="E274" s="45"/>
      <c r="F274" s="42">
        <f>VLOOKUP($B274,'93-07workbook'!$B$109:$Q$140,COLUMN(B$1),FALSE)</f>
        <v>0</v>
      </c>
      <c r="G274" s="42">
        <f>VLOOKUP($B274,'93-07workbook'!$B$109:$Q$140,COLUMN(C$1),FALSE)</f>
        <v>13.2999999999998</v>
      </c>
      <c r="H274" s="42">
        <f>VLOOKUP($B274,'93-07workbook'!$B$109:$Q$140,COLUMN(D$1),FALSE)</f>
        <v>5.90000000000032</v>
      </c>
      <c r="I274" s="42">
        <f>VLOOKUP($B274,'93-07workbook'!$B$109:$Q$140,COLUMN(E$1),FALSE)</f>
        <v>10.2999999999997</v>
      </c>
      <c r="J274" s="42">
        <f>VLOOKUP($B274,'93-07workbook'!$B$109:$Q$140,COLUMN(F$1),FALSE)</f>
        <v>231</v>
      </c>
      <c r="K274" s="42">
        <f>VLOOKUP($B274,'93-07workbook'!$B$109:$Q$140,COLUMN(G$1),FALSE)</f>
        <v>228.6</v>
      </c>
      <c r="L274" s="42">
        <f>VLOOKUP($B274,'93-07workbook'!$B$109:$Q$140,COLUMN(H$1),FALSE)</f>
        <v>220</v>
      </c>
      <c r="M274" s="42">
        <f>VLOOKUP($B274,'93-07workbook'!$B$109:$Q$140,COLUMN(I$1),FALSE)</f>
        <v>28.5000000000002</v>
      </c>
      <c r="N274" s="42">
        <f>VLOOKUP($B274,'93-07workbook'!$B$109:$Q$140,COLUMN(J$1),FALSE)</f>
        <v>38.8999999999999</v>
      </c>
      <c r="O274" s="42">
        <f>VLOOKUP($B274,'93-07workbook'!$B$109:$Q$140,COLUMN(K$1),FALSE)</f>
        <v>20</v>
      </c>
      <c r="P274" s="42">
        <f>VLOOKUP($B274,'93-07workbook'!$B$109:$Q$140,COLUMN(L$1),FALSE)</f>
        <v>11.9</v>
      </c>
      <c r="Q274" s="42">
        <f>VLOOKUP($B274,'93-07workbook'!$B$109:$Q$140,COLUMN(M$1),FALSE)</f>
        <v>15.4000000000002</v>
      </c>
      <c r="R274" s="42">
        <f>VLOOKUP($B274,'93-07workbook'!$B$109:$Q$140,COLUMN(N$1),FALSE)</f>
        <v>0.800000000000182</v>
      </c>
      <c r="S274" s="42">
        <f>VLOOKUP($B274,'93-07workbook'!$B$109:$Q$140,COLUMN(O$1),FALSE)</f>
        <v>0.999999999999659</v>
      </c>
      <c r="T274" s="42">
        <f>VLOOKUP($B274,'93-07workbook'!$B$109:$Q$140,COLUMN(P$1),FALSE)</f>
        <v>18.0000000000001</v>
      </c>
      <c r="U274" s="42">
        <f>SUMIFS('08-21addition'!$C:$C,'08-21addition'!$A:$A,$B142,'08-21addition'!$B:$B,U$2)*10+SUMIFS(Nuclear!$M:$M,Nuclear!$H:$H,$B241,Nuclear!$R:$R,V$2)+VLOOKUP($B274,'project vs stock'!$A$72:$W$103,19,FALSE)/9</f>
        <v>420</v>
      </c>
      <c r="V274" s="42">
        <f>SUMIFS('08-21addition'!$C:$C,'08-21addition'!$A:$A,$B142,'08-21addition'!$B:$B,V$2)*10+SUMIFS(Nuclear!$M:$M,Nuclear!$H:$H,$B241,Nuclear!$R:$R,W$2)+VLOOKUP($B274,'project vs stock'!$A$72:$W$103,19,FALSE)/9</f>
        <v>637.3</v>
      </c>
      <c r="W274" s="42">
        <f>SUMIFS('08-21addition'!$C:$C,'08-21addition'!$A:$A,$B142,'08-21addition'!$B:$B,W$2)*10+SUMIFS(Nuclear!$M:$M,Nuclear!$H:$H,$B241,Nuclear!$R:$R,X$2)+VLOOKUP($B274,'project vs stock'!$A$72:$W$103,19,FALSE)/9</f>
        <v>803</v>
      </c>
      <c r="X274" s="42">
        <f>SUMIFS('08-21addition'!$C:$C,'08-21addition'!$A:$A,$B142,'08-21addition'!$B:$B,X$2)*10+SUMIFS(Nuclear!$M:$M,Nuclear!$H:$H,$B241,Nuclear!$R:$R,Y$2)+VLOOKUP($B274,'project vs stock'!$A$72:$W$103,19,FALSE)/9</f>
        <v>495</v>
      </c>
      <c r="Y274" s="42">
        <f>SUMIFS('08-21addition'!$C:$C,'08-21addition'!$A:$A,$B142,'08-21addition'!$B:$B,Y$2)*10+SUMIFS(Nuclear!$M:$M,Nuclear!$H:$H,$B241,Nuclear!$R:$R,Z$2)+VLOOKUP($B274,'project vs stock'!$A$72:$W$103,19,FALSE)/9</f>
        <v>394</v>
      </c>
      <c r="Z274" s="42">
        <f>SUMIFS('08-21addition'!$C:$C,'08-21addition'!$A:$A,$B142,'08-21addition'!$B:$B,Z$2)*10+SUMIFS(Nuclear!$M:$M,Nuclear!$H:$H,$B241,Nuclear!$R:$R,AA$2)+VLOOKUP($B274,'project vs stock'!$A$72:$W$103,19,FALSE)/9</f>
        <v>426.5</v>
      </c>
      <c r="AA274" s="42">
        <f>SUMIFS('08-21addition'!$C:$C,'08-21addition'!$A:$A,$B142,'08-21addition'!$B:$B,AA$2)*10+SUMIFS(Nuclear!$M:$M,Nuclear!$H:$H,$B241,Nuclear!$R:$R,AB$2)+VLOOKUP($B274,'project vs stock'!$A$72:$W$103,19,FALSE)/9</f>
        <v>355.5</v>
      </c>
      <c r="AB274" s="42">
        <f>SUMIFS('08-21addition'!$C:$C,'08-21addition'!$A:$A,$B142,'08-21addition'!$B:$B,AB$2)*10+SUMIFS(Nuclear!$M:$M,Nuclear!$H:$H,$B241,Nuclear!$R:$R,AC$2)+VLOOKUP($B274,'project vs stock'!$A$72:$W$103,19,FALSE)/9</f>
        <v>884.1</v>
      </c>
      <c r="AC274" s="42">
        <f>SUMIFS('08-21addition'!$C:$C,'08-21addition'!$A:$A,$B142,'08-21addition'!$B:$B,AC$2)*10+SUMIFS(Nuclear!$M:$M,Nuclear!$H:$H,$B241,Nuclear!$R:$R,AD$2)+VLOOKUP($B274,'project vs stock'!$A$72:$W$103,19,FALSE)/9</f>
        <v>216</v>
      </c>
      <c r="AD274" s="42">
        <f>SUMIFS('08-21addition'!$C:$C,'08-21addition'!$A:$A,$B142,'08-21addition'!$B:$B,AD$2)*10+SUMIFS(Nuclear!$M:$M,Nuclear!$H:$H,$B241,Nuclear!$R:$R,AD$2)+VLOOKUP($B274,'project vs stock'!$A$72:$W$103,3,FALSE)/5</f>
        <v>50</v>
      </c>
      <c r="AE274" s="42">
        <f>SUMIFS('08-21addition'!$C:$C,'08-21addition'!$A:$A,$B142,'08-21addition'!$B:$B,AE$2)*10+SUMIFS(Nuclear!$M:$M,Nuclear!$H:$H,$B241,Nuclear!$R:$R,AE$2)+VLOOKUP($B274,'project vs stock'!$A$72:$W$103,3,FALSE)/5</f>
        <v>89.5</v>
      </c>
      <c r="AF274" s="42">
        <f>SUMIFS('08-21addition'!$C:$C,'08-21addition'!$A:$A,$B142,'08-21addition'!$B:$B,AF$2)*10+SUMIFS(Nuclear!$M:$M,Nuclear!$H:$H,$B241,Nuclear!$R:$R,AF$2)+VLOOKUP($B274,'project vs stock'!$A$72:$W$103,3,FALSE)/5</f>
        <v>412.3</v>
      </c>
    </row>
    <row r="275" ht="13.85" spans="1:32">
      <c r="A275" s="27" t="s">
        <v>157</v>
      </c>
      <c r="B275" s="44" t="s">
        <v>96</v>
      </c>
      <c r="C275" s="45"/>
      <c r="D275" s="45"/>
      <c r="E275" s="45"/>
      <c r="F275" s="42">
        <f>VLOOKUP($B275,'93-07workbook'!$B$109:$Q$140,COLUMN(B$1),FALSE)</f>
        <v>0</v>
      </c>
      <c r="G275" s="42">
        <f>VLOOKUP($B275,'93-07workbook'!$B$109:$Q$140,COLUMN(C$1),FALSE)</f>
        <v>0</v>
      </c>
      <c r="H275" s="42">
        <f>VLOOKUP($B275,'93-07workbook'!$B$109:$Q$140,COLUMN(D$1),FALSE)</f>
        <v>0</v>
      </c>
      <c r="I275" s="42">
        <f>VLOOKUP($B275,'93-07workbook'!$B$109:$Q$140,COLUMN(E$1),FALSE)</f>
        <v>129</v>
      </c>
      <c r="J275" s="42">
        <f>VLOOKUP($B275,'93-07workbook'!$B$109:$Q$140,COLUMN(F$1),FALSE)</f>
        <v>298.6</v>
      </c>
      <c r="K275" s="42">
        <f>VLOOKUP($B275,'93-07workbook'!$B$109:$Q$140,COLUMN(G$1),FALSE)</f>
        <v>275</v>
      </c>
      <c r="L275" s="42">
        <f>VLOOKUP($B275,'93-07workbook'!$B$109:$Q$140,COLUMN(H$1),FALSE)</f>
        <v>137.5</v>
      </c>
      <c r="M275" s="42">
        <f>VLOOKUP($B275,'93-07workbook'!$B$109:$Q$140,COLUMN(I$1),FALSE)</f>
        <v>40.3</v>
      </c>
      <c r="N275" s="42">
        <f>VLOOKUP($B275,'93-07workbook'!$B$109:$Q$140,COLUMN(J$1),FALSE)</f>
        <v>0</v>
      </c>
      <c r="O275" s="42">
        <f>VLOOKUP($B275,'93-07workbook'!$B$109:$Q$140,COLUMN(K$1),FALSE)</f>
        <v>0.0999999999999091</v>
      </c>
      <c r="P275" s="42">
        <f>VLOOKUP($B275,'93-07workbook'!$B$109:$Q$140,COLUMN(L$1),FALSE)</f>
        <v>19.7</v>
      </c>
      <c r="Q275" s="42">
        <f>VLOOKUP($B275,'93-07workbook'!$B$109:$Q$140,COLUMN(M$1),FALSE)</f>
        <v>10</v>
      </c>
      <c r="R275" s="42">
        <f>VLOOKUP($B275,'93-07workbook'!$B$109:$Q$140,COLUMN(N$1),FALSE)</f>
        <v>34</v>
      </c>
      <c r="S275" s="42">
        <f>VLOOKUP($B275,'93-07workbook'!$B$109:$Q$140,COLUMN(O$1),FALSE)</f>
        <v>5.99999999999994</v>
      </c>
      <c r="T275" s="42">
        <f>VLOOKUP($B275,'93-07workbook'!$B$109:$Q$140,COLUMN(P$1),FALSE)</f>
        <v>66.5</v>
      </c>
      <c r="U275" s="42">
        <f>SUMIFS('08-21addition'!$C:$C,'08-21addition'!$A:$A,$B143,'08-21addition'!$B:$B,U$2)*10+SUMIFS(Nuclear!$M:$M,Nuclear!$H:$H,$B242,Nuclear!$R:$R,V$2)+VLOOKUP($B275,'project vs stock'!$A$72:$W$103,19,FALSE)/9</f>
        <v>296.066666666667</v>
      </c>
      <c r="V275" s="42">
        <f>SUMIFS('08-21addition'!$C:$C,'08-21addition'!$A:$A,$B143,'08-21addition'!$B:$B,V$2)*10+SUMIFS(Nuclear!$M:$M,Nuclear!$H:$H,$B242,Nuclear!$R:$R,W$2)+VLOOKUP($B275,'project vs stock'!$A$72:$W$103,19,FALSE)/9</f>
        <v>712.666666666667</v>
      </c>
      <c r="W275" s="42">
        <f>SUMIFS('08-21addition'!$C:$C,'08-21addition'!$A:$A,$B143,'08-21addition'!$B:$B,W$2)*10+SUMIFS(Nuclear!$M:$M,Nuclear!$H:$H,$B242,Nuclear!$R:$R,X$2)+VLOOKUP($B275,'project vs stock'!$A$72:$W$103,19,FALSE)/9</f>
        <v>688.366666666667</v>
      </c>
      <c r="X275" s="42">
        <f>SUMIFS('08-21addition'!$C:$C,'08-21addition'!$A:$A,$B143,'08-21addition'!$B:$B,X$2)*10+SUMIFS(Nuclear!$M:$M,Nuclear!$H:$H,$B242,Nuclear!$R:$R,Y$2)+VLOOKUP($B275,'project vs stock'!$A$72:$W$103,19,FALSE)/9</f>
        <v>631.466666666667</v>
      </c>
      <c r="Y275" s="42">
        <f>SUMIFS('08-21addition'!$C:$C,'08-21addition'!$A:$A,$B143,'08-21addition'!$B:$B,Y$2)*10+SUMIFS(Nuclear!$M:$M,Nuclear!$H:$H,$B242,Nuclear!$R:$R,Z$2)+VLOOKUP($B275,'project vs stock'!$A$72:$W$103,19,FALSE)/9</f>
        <v>718.566666666667</v>
      </c>
      <c r="Z275" s="42">
        <f>SUMIFS('08-21addition'!$C:$C,'08-21addition'!$A:$A,$B143,'08-21addition'!$B:$B,Z$2)*10+SUMIFS(Nuclear!$M:$M,Nuclear!$H:$H,$B242,Nuclear!$R:$R,AA$2)+VLOOKUP($B275,'project vs stock'!$A$72:$W$103,19,FALSE)/9</f>
        <v>639.966666666667</v>
      </c>
      <c r="AA275" s="42">
        <f>SUMIFS('08-21addition'!$C:$C,'08-21addition'!$A:$A,$B143,'08-21addition'!$B:$B,AA$2)*10+SUMIFS(Nuclear!$M:$M,Nuclear!$H:$H,$B242,Nuclear!$R:$R,AB$2)+VLOOKUP($B275,'project vs stock'!$A$72:$W$103,19,FALSE)/9</f>
        <v>862.066666666667</v>
      </c>
      <c r="AB275" s="42">
        <f>SUMIFS('08-21addition'!$C:$C,'08-21addition'!$A:$A,$B143,'08-21addition'!$B:$B,AB$2)*10+SUMIFS(Nuclear!$M:$M,Nuclear!$H:$H,$B242,Nuclear!$R:$R,AC$2)+VLOOKUP($B275,'project vs stock'!$A$72:$W$103,19,FALSE)/9</f>
        <v>427.066666666667</v>
      </c>
      <c r="AC275" s="42">
        <f>SUMIFS('08-21addition'!$C:$C,'08-21addition'!$A:$A,$B143,'08-21addition'!$B:$B,AC$2)*10+SUMIFS(Nuclear!$M:$M,Nuclear!$H:$H,$B242,Nuclear!$R:$R,AD$2)+VLOOKUP($B275,'project vs stock'!$A$72:$W$103,19,FALSE)/9</f>
        <v>667.866666666667</v>
      </c>
      <c r="AD275" s="42">
        <f>SUMIFS('08-21addition'!$C:$C,'08-21addition'!$A:$A,$B143,'08-21addition'!$B:$B,AD$2)*10+SUMIFS(Nuclear!$M:$M,Nuclear!$H:$H,$B242,Nuclear!$R:$R,AD$2)+VLOOKUP($B275,'project vs stock'!$A$72:$W$103,3,FALSE)/5</f>
        <v>341.84</v>
      </c>
      <c r="AE275" s="42">
        <f>SUMIFS('08-21addition'!$C:$C,'08-21addition'!$A:$A,$B143,'08-21addition'!$B:$B,AE$2)*10+SUMIFS(Nuclear!$M:$M,Nuclear!$H:$H,$B242,Nuclear!$R:$R,AE$2)+VLOOKUP($B275,'project vs stock'!$A$72:$W$103,3,FALSE)/5</f>
        <v>359.44</v>
      </c>
      <c r="AF275" s="42">
        <f>SUMIFS('08-21addition'!$C:$C,'08-21addition'!$A:$A,$B143,'08-21addition'!$B:$B,AF$2)*10+SUMIFS(Nuclear!$M:$M,Nuclear!$H:$H,$B242,Nuclear!$R:$R,AF$2)+VLOOKUP($B275,'project vs stock'!$A$72:$W$103,3,FALSE)/5</f>
        <v>173.34</v>
      </c>
    </row>
    <row r="276" ht="13.85" spans="1:32">
      <c r="A276" s="27" t="s">
        <v>157</v>
      </c>
      <c r="B276" s="44" t="s">
        <v>98</v>
      </c>
      <c r="C276" s="45"/>
      <c r="D276" s="45"/>
      <c r="E276" s="45"/>
      <c r="F276" s="42">
        <f>VLOOKUP($B276,'93-07workbook'!$B$109:$Q$140,COLUMN(B$1),FALSE)</f>
        <v>0</v>
      </c>
      <c r="G276" s="42">
        <f>VLOOKUP($B276,'93-07workbook'!$B$109:$Q$140,COLUMN(C$1),FALSE)</f>
        <v>0</v>
      </c>
      <c r="H276" s="42">
        <f>VLOOKUP($B276,'93-07workbook'!$B$109:$Q$140,COLUMN(D$1),FALSE)</f>
        <v>0</v>
      </c>
      <c r="I276" s="42">
        <f>VLOOKUP($B276,'93-07workbook'!$B$109:$Q$140,COLUMN(E$1),FALSE)</f>
        <v>0</v>
      </c>
      <c r="J276" s="42">
        <f>VLOOKUP($B276,'93-07workbook'!$B$109:$Q$140,COLUMN(F$1),FALSE)</f>
        <v>0</v>
      </c>
      <c r="K276" s="42">
        <f>VLOOKUP($B276,'93-07workbook'!$B$109:$Q$140,COLUMN(G$1),FALSE)</f>
        <v>0</v>
      </c>
      <c r="L276" s="42">
        <f>VLOOKUP($B276,'93-07workbook'!$B$109:$Q$140,COLUMN(H$1),FALSE)</f>
        <v>0</v>
      </c>
      <c r="M276" s="42">
        <f>VLOOKUP($B276,'93-07workbook'!$B$109:$Q$140,COLUMN(I$1),FALSE)</f>
        <v>0</v>
      </c>
      <c r="N276" s="42">
        <f>VLOOKUP($B276,'93-07workbook'!$B$109:$Q$140,COLUMN(J$1),FALSE)</f>
        <v>0</v>
      </c>
      <c r="O276" s="42">
        <f>VLOOKUP($B276,'93-07workbook'!$B$109:$Q$140,COLUMN(K$1),FALSE)</f>
        <v>0</v>
      </c>
      <c r="P276" s="42">
        <f>VLOOKUP($B276,'93-07workbook'!$B$109:$Q$140,COLUMN(L$1),FALSE)</f>
        <v>0</v>
      </c>
      <c r="Q276" s="42">
        <f>VLOOKUP($B276,'93-07workbook'!$B$109:$Q$140,COLUMN(M$1),FALSE)</f>
        <v>0</v>
      </c>
      <c r="R276" s="42">
        <f>VLOOKUP($B276,'93-07workbook'!$B$109:$Q$140,COLUMN(N$1),FALSE)</f>
        <v>0</v>
      </c>
      <c r="S276" s="42">
        <f>VLOOKUP($B276,'93-07workbook'!$B$109:$Q$140,COLUMN(O$1),FALSE)</f>
        <v>0</v>
      </c>
      <c r="T276" s="42">
        <f>VLOOKUP($B276,'93-07workbook'!$B$109:$Q$140,COLUMN(P$1),FALSE)</f>
        <v>0</v>
      </c>
      <c r="U276" s="42">
        <f>SUMIFS('08-21addition'!$C:$C,'08-21addition'!$A:$A,$B144,'08-21addition'!$B:$B,U$2)*10+SUMIFS(Nuclear!$M:$M,Nuclear!$H:$H,$B243,Nuclear!$R:$R,V$2)+VLOOKUP($B276,'project vs stock'!$A$72:$W$103,19,FALSE)/9</f>
        <v>10</v>
      </c>
      <c r="V276" s="42">
        <f>SUMIFS('08-21addition'!$C:$C,'08-21addition'!$A:$A,$B144,'08-21addition'!$B:$B,V$2)*10+SUMIFS(Nuclear!$M:$M,Nuclear!$H:$H,$B243,Nuclear!$R:$R,W$2)+VLOOKUP($B276,'project vs stock'!$A$72:$W$103,19,FALSE)/9</f>
        <v>9</v>
      </c>
      <c r="W276" s="42">
        <f>SUMIFS('08-21addition'!$C:$C,'08-21addition'!$A:$A,$B144,'08-21addition'!$B:$B,W$2)*10+SUMIFS(Nuclear!$M:$M,Nuclear!$H:$H,$B243,Nuclear!$R:$R,X$2)+VLOOKUP($B276,'project vs stock'!$A$72:$W$103,19,FALSE)/9</f>
        <v>93</v>
      </c>
      <c r="X276" s="42">
        <f>SUMIFS('08-21addition'!$C:$C,'08-21addition'!$A:$A,$B144,'08-21addition'!$B:$B,X$2)*10+SUMIFS(Nuclear!$M:$M,Nuclear!$H:$H,$B243,Nuclear!$R:$R,Y$2)+VLOOKUP($B276,'project vs stock'!$A$72:$W$103,19,FALSE)/9</f>
        <v>94.3</v>
      </c>
      <c r="Y276" s="42">
        <f>SUMIFS('08-21addition'!$C:$C,'08-21addition'!$A:$A,$B144,'08-21addition'!$B:$B,Y$2)*10+SUMIFS(Nuclear!$M:$M,Nuclear!$H:$H,$B243,Nuclear!$R:$R,Z$2)+VLOOKUP($B276,'project vs stock'!$A$72:$W$103,19,FALSE)/9</f>
        <v>0</v>
      </c>
      <c r="Z276" s="42">
        <f>SUMIFS('08-21addition'!$C:$C,'08-21addition'!$A:$A,$B144,'08-21addition'!$B:$B,Z$2)*10+SUMIFS(Nuclear!$M:$M,Nuclear!$H:$H,$B243,Nuclear!$R:$R,AA$2)+VLOOKUP($B276,'project vs stock'!$A$72:$W$103,19,FALSE)/9</f>
        <v>48</v>
      </c>
      <c r="AA276" s="42">
        <f>SUMIFS('08-21addition'!$C:$C,'08-21addition'!$A:$A,$B144,'08-21addition'!$B:$B,AA$2)*10+SUMIFS(Nuclear!$M:$M,Nuclear!$H:$H,$B243,Nuclear!$R:$R,AB$2)+VLOOKUP($B276,'project vs stock'!$A$72:$W$103,19,FALSE)/9</f>
        <v>48</v>
      </c>
      <c r="AB276" s="42">
        <f>SUMIFS('08-21addition'!$C:$C,'08-21addition'!$A:$A,$B144,'08-21addition'!$B:$B,AB$2)*10+SUMIFS(Nuclear!$M:$M,Nuclear!$H:$H,$B243,Nuclear!$R:$R,AC$2)+VLOOKUP($B276,'project vs stock'!$A$72:$W$103,19,FALSE)/9</f>
        <v>245.7</v>
      </c>
      <c r="AC276" s="42">
        <f>SUMIFS('08-21addition'!$C:$C,'08-21addition'!$A:$A,$B144,'08-21addition'!$B:$B,AC$2)*10+SUMIFS(Nuclear!$M:$M,Nuclear!$H:$H,$B243,Nuclear!$R:$R,AD$2)+VLOOKUP($B276,'project vs stock'!$A$72:$W$103,19,FALSE)/9</f>
        <v>201.6</v>
      </c>
      <c r="AD276" s="42">
        <f>SUMIFS('08-21addition'!$C:$C,'08-21addition'!$A:$A,$B144,'08-21addition'!$B:$B,AD$2)*10+SUMIFS(Nuclear!$M:$M,Nuclear!$H:$H,$B243,Nuclear!$R:$R,AD$2)+VLOOKUP($B276,'project vs stock'!$A$72:$W$103,3,FALSE)/5</f>
        <v>0</v>
      </c>
      <c r="AE276" s="42">
        <f>SUMIFS('08-21addition'!$C:$C,'08-21addition'!$A:$A,$B144,'08-21addition'!$B:$B,AE$2)*10+SUMIFS(Nuclear!$M:$M,Nuclear!$H:$H,$B243,Nuclear!$R:$R,AE$2)+VLOOKUP($B276,'project vs stock'!$A$72:$W$103,3,FALSE)/5</f>
        <v>0</v>
      </c>
      <c r="AF276" s="42">
        <f>SUMIFS('08-21addition'!$C:$C,'08-21addition'!$A:$A,$B144,'08-21addition'!$B:$B,AF$2)*10+SUMIFS(Nuclear!$M:$M,Nuclear!$H:$H,$B243,Nuclear!$R:$R,AF$2)+VLOOKUP($B276,'project vs stock'!$A$72:$W$103,3,FALSE)/5</f>
        <v>112</v>
      </c>
    </row>
    <row r="277" ht="13.85" spans="1:32">
      <c r="A277" s="27" t="s">
        <v>157</v>
      </c>
      <c r="B277" s="44" t="s">
        <v>100</v>
      </c>
      <c r="C277" s="45"/>
      <c r="D277" s="45"/>
      <c r="E277" s="45"/>
      <c r="F277" s="42">
        <f>VLOOKUP($B277,'93-07workbook'!$B$109:$Q$140,COLUMN(B$1),FALSE)</f>
        <v>0</v>
      </c>
      <c r="G277" s="42">
        <f>VLOOKUP($B277,'93-07workbook'!$B$109:$Q$140,COLUMN(C$1),FALSE)</f>
        <v>0</v>
      </c>
      <c r="H277" s="42">
        <f>VLOOKUP($B277,'93-07workbook'!$B$109:$Q$140,COLUMN(D$1),FALSE)</f>
        <v>0</v>
      </c>
      <c r="I277" s="42">
        <f>VLOOKUP($B277,'93-07workbook'!$B$109:$Q$140,COLUMN(E$1),FALSE)</f>
        <v>0</v>
      </c>
      <c r="J277" s="42">
        <f>VLOOKUP($B277,'93-07workbook'!$B$109:$Q$140,COLUMN(F$1),FALSE)</f>
        <v>0.699999999999998</v>
      </c>
      <c r="K277" s="42">
        <f>VLOOKUP($B277,'93-07workbook'!$B$109:$Q$140,COLUMN(G$1),FALSE)</f>
        <v>1.1</v>
      </c>
      <c r="L277" s="42">
        <f>VLOOKUP($B277,'93-07workbook'!$B$109:$Q$140,COLUMN(H$1),FALSE)</f>
        <v>0.899999999999999</v>
      </c>
      <c r="M277" s="42">
        <f>VLOOKUP($B277,'93-07workbook'!$B$109:$Q$140,COLUMN(I$1),FALSE)</f>
        <v>3</v>
      </c>
      <c r="N277" s="42">
        <f>VLOOKUP($B277,'93-07workbook'!$B$109:$Q$140,COLUMN(J$1),FALSE)</f>
        <v>0.100000000000002</v>
      </c>
      <c r="O277" s="42">
        <f>VLOOKUP($B277,'93-07workbook'!$B$109:$Q$140,COLUMN(K$1),FALSE)</f>
        <v>3.50000000000001</v>
      </c>
      <c r="P277" s="42">
        <f>VLOOKUP($B277,'93-07workbook'!$B$109:$Q$140,COLUMN(L$1),FALSE)</f>
        <v>100</v>
      </c>
      <c r="Q277" s="42">
        <f>VLOOKUP($B277,'93-07workbook'!$B$109:$Q$140,COLUMN(M$1),FALSE)</f>
        <v>0</v>
      </c>
      <c r="R277" s="42">
        <f>VLOOKUP($B277,'93-07workbook'!$B$109:$Q$140,COLUMN(N$1),FALSE)</f>
        <v>16.5</v>
      </c>
      <c r="S277" s="42">
        <f>VLOOKUP($B277,'93-07workbook'!$B$109:$Q$140,COLUMN(O$1),FALSE)</f>
        <v>0</v>
      </c>
      <c r="T277" s="42">
        <f>VLOOKUP($B277,'93-07workbook'!$B$109:$Q$140,COLUMN(P$1),FALSE)</f>
        <v>4</v>
      </c>
      <c r="U277" s="42">
        <f>SUMIFS('08-21addition'!$C:$C,'08-21addition'!$A:$A,$B145,'08-21addition'!$B:$B,U$2)*10+SUMIFS(Nuclear!$M:$M,Nuclear!$H:$H,$B244,Nuclear!$R:$R,V$2)+VLOOKUP($B277,'project vs stock'!$A$72:$W$103,19,FALSE)/9</f>
        <v>500.288888888889</v>
      </c>
      <c r="V277" s="42">
        <f>SUMIFS('08-21addition'!$C:$C,'08-21addition'!$A:$A,$B145,'08-21addition'!$B:$B,V$2)*10+SUMIFS(Nuclear!$M:$M,Nuclear!$H:$H,$B244,Nuclear!$R:$R,W$2)+VLOOKUP($B277,'project vs stock'!$A$72:$W$103,19,FALSE)/9</f>
        <v>311.788888888889</v>
      </c>
      <c r="W277" s="42">
        <f>SUMIFS('08-21addition'!$C:$C,'08-21addition'!$A:$A,$B145,'08-21addition'!$B:$B,W$2)*10+SUMIFS(Nuclear!$M:$M,Nuclear!$H:$H,$B244,Nuclear!$R:$R,X$2)+VLOOKUP($B277,'project vs stock'!$A$72:$W$103,19,FALSE)/9</f>
        <v>600.788888888889</v>
      </c>
      <c r="X277" s="42">
        <f>SUMIFS('08-21addition'!$C:$C,'08-21addition'!$A:$A,$B145,'08-21addition'!$B:$B,X$2)*10+SUMIFS(Nuclear!$M:$M,Nuclear!$H:$H,$B244,Nuclear!$R:$R,Y$2)+VLOOKUP($B277,'project vs stock'!$A$72:$W$103,19,FALSE)/9</f>
        <v>121.788888888889</v>
      </c>
      <c r="Y277" s="42">
        <f>SUMIFS('08-21addition'!$C:$C,'08-21addition'!$A:$A,$B145,'08-21addition'!$B:$B,Y$2)*10+SUMIFS(Nuclear!$M:$M,Nuclear!$H:$H,$B244,Nuclear!$R:$R,Z$2)+VLOOKUP($B277,'project vs stock'!$A$72:$W$103,19,FALSE)/9</f>
        <v>366.788888888889</v>
      </c>
      <c r="Z277" s="42">
        <f>SUMIFS('08-21addition'!$C:$C,'08-21addition'!$A:$A,$B145,'08-21addition'!$B:$B,Z$2)*10+SUMIFS(Nuclear!$M:$M,Nuclear!$H:$H,$B244,Nuclear!$R:$R,AA$2)+VLOOKUP($B277,'project vs stock'!$A$72:$W$103,19,FALSE)/9</f>
        <v>525.288888888889</v>
      </c>
      <c r="AA277" s="42">
        <f>SUMIFS('08-21addition'!$C:$C,'08-21addition'!$A:$A,$B145,'08-21addition'!$B:$B,AA$2)*10+SUMIFS(Nuclear!$M:$M,Nuclear!$H:$H,$B244,Nuclear!$R:$R,AB$2)+VLOOKUP($B277,'project vs stock'!$A$72:$W$103,19,FALSE)/9</f>
        <v>628.088888888889</v>
      </c>
      <c r="AB277" s="42">
        <f>SUMIFS('08-21addition'!$C:$C,'08-21addition'!$A:$A,$B145,'08-21addition'!$B:$B,AB$2)*10+SUMIFS(Nuclear!$M:$M,Nuclear!$H:$H,$B244,Nuclear!$R:$R,AC$2)+VLOOKUP($B277,'project vs stock'!$A$72:$W$103,19,FALSE)/9</f>
        <v>681.888888888889</v>
      </c>
      <c r="AC277" s="42">
        <f>SUMIFS('08-21addition'!$C:$C,'08-21addition'!$A:$A,$B145,'08-21addition'!$B:$B,AC$2)*10+SUMIFS(Nuclear!$M:$M,Nuclear!$H:$H,$B244,Nuclear!$R:$R,AD$2)+VLOOKUP($B277,'project vs stock'!$A$72:$W$103,19,FALSE)/9</f>
        <v>2074.78888888889</v>
      </c>
      <c r="AD277" s="42">
        <f>SUMIFS('08-21addition'!$C:$C,'08-21addition'!$A:$A,$B145,'08-21addition'!$B:$B,AD$2)*10+SUMIFS(Nuclear!$M:$M,Nuclear!$H:$H,$B244,Nuclear!$R:$R,AD$2)+VLOOKUP($B277,'project vs stock'!$A$72:$W$103,3,FALSE)/5</f>
        <v>2421.5</v>
      </c>
      <c r="AE277" s="42">
        <f>SUMIFS('08-21addition'!$C:$C,'08-21addition'!$A:$A,$B145,'08-21addition'!$B:$B,AE$2)*10+SUMIFS(Nuclear!$M:$M,Nuclear!$H:$H,$B244,Nuclear!$R:$R,AE$2)+VLOOKUP($B277,'project vs stock'!$A$72:$W$103,3,FALSE)/5</f>
        <v>3094.8</v>
      </c>
      <c r="AF277" s="42">
        <f>SUMIFS('08-21addition'!$C:$C,'08-21addition'!$A:$A,$B145,'08-21addition'!$B:$B,AF$2)*10+SUMIFS(Nuclear!$M:$M,Nuclear!$H:$H,$B244,Nuclear!$R:$R,AF$2)+VLOOKUP($B277,'project vs stock'!$A$72:$W$103,3,FALSE)/5</f>
        <v>1758.6</v>
      </c>
    </row>
    <row r="278" ht="13.85" spans="1:32">
      <c r="A278" s="27" t="s">
        <v>157</v>
      </c>
      <c r="B278" s="44" t="s">
        <v>102</v>
      </c>
      <c r="C278" s="45"/>
      <c r="D278" s="45"/>
      <c r="E278" s="45"/>
      <c r="F278" s="42">
        <f>VLOOKUP($B278,'93-07workbook'!$B$109:$Q$140,COLUMN(B$1),FALSE)</f>
        <v>12.6</v>
      </c>
      <c r="G278" s="42">
        <f>VLOOKUP($B278,'93-07workbook'!$B$109:$Q$140,COLUMN(C$1),FALSE)</f>
        <v>61.2</v>
      </c>
      <c r="H278" s="42">
        <f>VLOOKUP($B278,'93-07workbook'!$B$109:$Q$140,COLUMN(D$1),FALSE)</f>
        <v>80.3</v>
      </c>
      <c r="I278" s="42">
        <f>VLOOKUP($B278,'93-07workbook'!$B$109:$Q$140,COLUMN(E$1),FALSE)</f>
        <v>209.8</v>
      </c>
      <c r="J278" s="42">
        <f>VLOOKUP($B278,'93-07workbook'!$B$109:$Q$140,COLUMN(F$1),FALSE)</f>
        <v>170.8</v>
      </c>
      <c r="K278" s="42">
        <f>VLOOKUP($B278,'93-07workbook'!$B$109:$Q$140,COLUMN(G$1),FALSE)</f>
        <v>240.033333333334</v>
      </c>
      <c r="L278" s="42">
        <f>VLOOKUP($B278,'93-07workbook'!$B$109:$Q$140,COLUMN(H$1),FALSE)</f>
        <v>176.433333333333</v>
      </c>
      <c r="M278" s="42">
        <f>VLOOKUP($B278,'93-07workbook'!$B$109:$Q$140,COLUMN(I$1),FALSE)</f>
        <v>214.133333333333</v>
      </c>
      <c r="N278" s="42">
        <f>VLOOKUP($B278,'93-07workbook'!$B$109:$Q$140,COLUMN(J$1),FALSE)</f>
        <v>748.8</v>
      </c>
      <c r="O278" s="42">
        <f>VLOOKUP($B278,'93-07workbook'!$B$109:$Q$140,COLUMN(K$1),FALSE)</f>
        <v>230.6</v>
      </c>
      <c r="P278" s="42">
        <f>VLOOKUP($B278,'93-07workbook'!$B$109:$Q$140,COLUMN(L$1),FALSE)</f>
        <v>187.700000000001</v>
      </c>
      <c r="Q278" s="42">
        <f>VLOOKUP($B278,'93-07workbook'!$B$109:$Q$140,COLUMN(M$1),FALSE)</f>
        <v>363.9</v>
      </c>
      <c r="R278" s="42">
        <f>VLOOKUP($B278,'93-07workbook'!$B$109:$Q$140,COLUMN(N$1),FALSE)</f>
        <v>53.6000000000001</v>
      </c>
      <c r="S278" s="42">
        <f>VLOOKUP($B278,'93-07workbook'!$B$109:$Q$140,COLUMN(O$1),FALSE)</f>
        <v>755.999999999999</v>
      </c>
      <c r="T278" s="42">
        <f>VLOOKUP($B278,'93-07workbook'!$B$109:$Q$140,COLUMN(P$1),FALSE)</f>
        <v>191</v>
      </c>
      <c r="U278" s="42">
        <f>SUMIFS('08-21addition'!$C:$C,'08-21addition'!$A:$A,$B146,'08-21addition'!$B:$B,U$2)*10+SUMIFS(Nuclear!$M:$M,Nuclear!$H:$H,$B245,Nuclear!$R:$R,V$2)+VLOOKUP($B278,'project vs stock'!$A$72:$W$103,19,FALSE)/9</f>
        <v>140</v>
      </c>
      <c r="V278" s="42">
        <f>SUMIFS('08-21addition'!$C:$C,'08-21addition'!$A:$A,$B146,'08-21addition'!$B:$B,V$2)*10+SUMIFS(Nuclear!$M:$M,Nuclear!$H:$H,$B245,Nuclear!$R:$R,W$2)+VLOOKUP($B278,'project vs stock'!$A$72:$W$103,19,FALSE)/9</f>
        <v>684.4</v>
      </c>
      <c r="W278" s="42">
        <f>SUMIFS('08-21addition'!$C:$C,'08-21addition'!$A:$A,$B146,'08-21addition'!$B:$B,W$2)*10+SUMIFS(Nuclear!$M:$M,Nuclear!$H:$H,$B245,Nuclear!$R:$R,X$2)+VLOOKUP($B278,'project vs stock'!$A$72:$W$103,19,FALSE)/9</f>
        <v>676</v>
      </c>
      <c r="X278" s="42">
        <f>SUMIFS('08-21addition'!$C:$C,'08-21addition'!$A:$A,$B146,'08-21addition'!$B:$B,X$2)*10+SUMIFS(Nuclear!$M:$M,Nuclear!$H:$H,$B245,Nuclear!$R:$R,Y$2)+VLOOKUP($B278,'project vs stock'!$A$72:$W$103,19,FALSE)/9</f>
        <v>106.5</v>
      </c>
      <c r="Y278" s="42">
        <f>SUMIFS('08-21addition'!$C:$C,'08-21addition'!$A:$A,$B146,'08-21addition'!$B:$B,Y$2)*10+SUMIFS(Nuclear!$M:$M,Nuclear!$H:$H,$B245,Nuclear!$R:$R,Z$2)+VLOOKUP($B278,'project vs stock'!$A$72:$W$103,19,FALSE)/9</f>
        <v>79.5</v>
      </c>
      <c r="Z278" s="42">
        <f>SUMIFS('08-21addition'!$C:$C,'08-21addition'!$A:$A,$B146,'08-21addition'!$B:$B,Z$2)*10+SUMIFS(Nuclear!$M:$M,Nuclear!$H:$H,$B245,Nuclear!$R:$R,AA$2)+VLOOKUP($B278,'project vs stock'!$A$72:$W$103,19,FALSE)/9</f>
        <v>1098</v>
      </c>
      <c r="AA278" s="42">
        <f>SUMIFS('08-21addition'!$C:$C,'08-21addition'!$A:$A,$B146,'08-21addition'!$B:$B,AA$2)*10+SUMIFS(Nuclear!$M:$M,Nuclear!$H:$H,$B245,Nuclear!$R:$R,AB$2)+VLOOKUP($B278,'project vs stock'!$A$72:$W$103,19,FALSE)/9</f>
        <v>1278</v>
      </c>
      <c r="AB278" s="42">
        <f>SUMIFS('08-21addition'!$C:$C,'08-21addition'!$A:$A,$B146,'08-21addition'!$B:$B,AB$2)*10+SUMIFS(Nuclear!$M:$M,Nuclear!$H:$H,$B245,Nuclear!$R:$R,AC$2)+VLOOKUP($B278,'project vs stock'!$A$72:$W$103,19,FALSE)/9</f>
        <v>287.3</v>
      </c>
      <c r="AC278" s="42">
        <f>SUMIFS('08-21addition'!$C:$C,'08-21addition'!$A:$A,$B146,'08-21addition'!$B:$B,AC$2)*10+SUMIFS(Nuclear!$M:$M,Nuclear!$H:$H,$B245,Nuclear!$R:$R,AD$2)+VLOOKUP($B278,'project vs stock'!$A$72:$W$103,19,FALSE)/9</f>
        <v>273.2</v>
      </c>
      <c r="AD278" s="42">
        <f>SUMIFS('08-21addition'!$C:$C,'08-21addition'!$A:$A,$B146,'08-21addition'!$B:$B,AD$2)*10+SUMIFS(Nuclear!$M:$M,Nuclear!$H:$H,$B245,Nuclear!$R:$R,AD$2)+VLOOKUP($B278,'project vs stock'!$A$72:$W$103,3,FALSE)/5</f>
        <v>153.3</v>
      </c>
      <c r="AE278" s="42">
        <f>SUMIFS('08-21addition'!$C:$C,'08-21addition'!$A:$A,$B146,'08-21addition'!$B:$B,AE$2)*10+SUMIFS(Nuclear!$M:$M,Nuclear!$H:$H,$B245,Nuclear!$R:$R,AE$2)+VLOOKUP($B278,'project vs stock'!$A$72:$W$103,3,FALSE)/5</f>
        <v>2763.6</v>
      </c>
      <c r="AF278" s="42">
        <f>SUMIFS('08-21addition'!$C:$C,'08-21addition'!$A:$A,$B146,'08-21addition'!$B:$B,AF$2)*10+SUMIFS(Nuclear!$M:$M,Nuclear!$H:$H,$B245,Nuclear!$R:$R,AF$2)+VLOOKUP($B278,'project vs stock'!$A$72:$W$103,3,FALSE)/5</f>
        <v>148</v>
      </c>
    </row>
    <row r="279" ht="13.85" spans="1:32">
      <c r="A279" s="27" t="s">
        <v>157</v>
      </c>
      <c r="B279" s="44" t="s">
        <v>104</v>
      </c>
      <c r="C279" s="45"/>
      <c r="D279" s="45"/>
      <c r="E279" s="45"/>
      <c r="F279" s="42">
        <f>VLOOKUP($B279,'93-07workbook'!$B$109:$Q$140,COLUMN(B$1),FALSE)</f>
        <v>0</v>
      </c>
      <c r="G279" s="42">
        <f>VLOOKUP($B279,'93-07workbook'!$B$109:$Q$140,COLUMN(C$1),FALSE)</f>
        <v>52.7</v>
      </c>
      <c r="H279" s="42">
        <f>VLOOKUP($B279,'93-07workbook'!$B$109:$Q$140,COLUMN(D$1),FALSE)</f>
        <v>5</v>
      </c>
      <c r="I279" s="42">
        <f>VLOOKUP($B279,'93-07workbook'!$B$109:$Q$140,COLUMN(E$1),FALSE)</f>
        <v>5.60000000000002</v>
      </c>
      <c r="J279" s="42">
        <f>VLOOKUP($B279,'93-07workbook'!$B$109:$Q$140,COLUMN(F$1),FALSE)</f>
        <v>6.09999999999999</v>
      </c>
      <c r="K279" s="42">
        <f>VLOOKUP($B279,'93-07workbook'!$B$109:$Q$140,COLUMN(G$1),FALSE)</f>
        <v>11.5</v>
      </c>
      <c r="L279" s="42">
        <f>VLOOKUP($B279,'93-07workbook'!$B$109:$Q$140,COLUMN(H$1),FALSE)</f>
        <v>0</v>
      </c>
      <c r="M279" s="42">
        <f>VLOOKUP($B279,'93-07workbook'!$B$109:$Q$140,COLUMN(I$1),FALSE)</f>
        <v>91.3</v>
      </c>
      <c r="N279" s="42">
        <f>VLOOKUP($B279,'93-07workbook'!$B$109:$Q$140,COLUMN(J$1),FALSE)</f>
        <v>0</v>
      </c>
      <c r="O279" s="42">
        <f>VLOOKUP($B279,'93-07workbook'!$B$109:$Q$140,COLUMN(K$1),FALSE)</f>
        <v>61.5</v>
      </c>
      <c r="P279" s="42">
        <f>VLOOKUP($B279,'93-07workbook'!$B$109:$Q$140,COLUMN(L$1),FALSE)</f>
        <v>0</v>
      </c>
      <c r="Q279" s="42">
        <f>VLOOKUP($B279,'93-07workbook'!$B$109:$Q$140,COLUMN(M$1),FALSE)</f>
        <v>43.7</v>
      </c>
      <c r="R279" s="42">
        <f>VLOOKUP($B279,'93-07workbook'!$B$109:$Q$140,COLUMN(N$1),FALSE)</f>
        <v>47.2</v>
      </c>
      <c r="S279" s="42">
        <f>VLOOKUP($B279,'93-07workbook'!$B$109:$Q$140,COLUMN(O$1),FALSE)</f>
        <v>20.9999999999999</v>
      </c>
      <c r="T279" s="42">
        <f>VLOOKUP($B279,'93-07workbook'!$B$109:$Q$140,COLUMN(P$1),FALSE)</f>
        <v>154</v>
      </c>
      <c r="U279" s="42">
        <f>SUMIFS('08-21addition'!$C:$C,'08-21addition'!$A:$A,$B147,'08-21addition'!$B:$B,U$2)*10+SUMIFS(Nuclear!$M:$M,Nuclear!$H:$H,$B246,Nuclear!$R:$R,V$2)+VLOOKUP($B279,'project vs stock'!$A$72:$W$103,19,FALSE)/9</f>
        <v>26.4366666666667</v>
      </c>
      <c r="V279" s="42">
        <f>SUMIFS('08-21addition'!$C:$C,'08-21addition'!$A:$A,$B147,'08-21addition'!$B:$B,V$2)*10+SUMIFS(Nuclear!$M:$M,Nuclear!$H:$H,$B246,Nuclear!$R:$R,W$2)+VLOOKUP($B279,'project vs stock'!$A$72:$W$103,19,FALSE)/9</f>
        <v>26.4366666666667</v>
      </c>
      <c r="W279" s="42">
        <f>SUMIFS('08-21addition'!$C:$C,'08-21addition'!$A:$A,$B147,'08-21addition'!$B:$B,W$2)*10+SUMIFS(Nuclear!$M:$M,Nuclear!$H:$H,$B246,Nuclear!$R:$R,X$2)+VLOOKUP($B279,'project vs stock'!$A$72:$W$103,19,FALSE)/9</f>
        <v>224.436666666667</v>
      </c>
      <c r="X279" s="42">
        <f>SUMIFS('08-21addition'!$C:$C,'08-21addition'!$A:$A,$B147,'08-21addition'!$B:$B,X$2)*10+SUMIFS(Nuclear!$M:$M,Nuclear!$H:$H,$B246,Nuclear!$R:$R,Y$2)+VLOOKUP($B279,'project vs stock'!$A$72:$W$103,19,FALSE)/9</f>
        <v>125.436666666667</v>
      </c>
      <c r="Y279" s="42">
        <f>SUMIFS('08-21addition'!$C:$C,'08-21addition'!$A:$A,$B147,'08-21addition'!$B:$B,Y$2)*10+SUMIFS(Nuclear!$M:$M,Nuclear!$H:$H,$B246,Nuclear!$R:$R,Z$2)+VLOOKUP($B279,'project vs stock'!$A$72:$W$103,19,FALSE)/9</f>
        <v>76.4366666666667</v>
      </c>
      <c r="Z279" s="42">
        <f>SUMIFS('08-21addition'!$C:$C,'08-21addition'!$A:$A,$B147,'08-21addition'!$B:$B,Z$2)*10+SUMIFS(Nuclear!$M:$M,Nuclear!$H:$H,$B246,Nuclear!$R:$R,AA$2)+VLOOKUP($B279,'project vs stock'!$A$72:$W$103,19,FALSE)/9</f>
        <v>248.936666666667</v>
      </c>
      <c r="AA279" s="42">
        <f>SUMIFS('08-21addition'!$C:$C,'08-21addition'!$A:$A,$B147,'08-21addition'!$B:$B,AA$2)*10+SUMIFS(Nuclear!$M:$M,Nuclear!$H:$H,$B246,Nuclear!$R:$R,AB$2)+VLOOKUP($B279,'project vs stock'!$A$72:$W$103,19,FALSE)/9</f>
        <v>549.536666666667</v>
      </c>
      <c r="AB279" s="42">
        <f>SUMIFS('08-21addition'!$C:$C,'08-21addition'!$A:$A,$B147,'08-21addition'!$B:$B,AB$2)*10+SUMIFS(Nuclear!$M:$M,Nuclear!$H:$H,$B246,Nuclear!$R:$R,AC$2)+VLOOKUP($B279,'project vs stock'!$A$72:$W$103,19,FALSE)/9</f>
        <v>520.136666666667</v>
      </c>
      <c r="AC279" s="42">
        <f>SUMIFS('08-21addition'!$C:$C,'08-21addition'!$A:$A,$B147,'08-21addition'!$B:$B,AC$2)*10+SUMIFS(Nuclear!$M:$M,Nuclear!$H:$H,$B246,Nuclear!$R:$R,AD$2)+VLOOKUP($B279,'project vs stock'!$A$72:$W$103,19,FALSE)/9</f>
        <v>471.936666666667</v>
      </c>
      <c r="AD279" s="42">
        <f>SUMIFS('08-21addition'!$C:$C,'08-21addition'!$A:$A,$B147,'08-21addition'!$B:$B,AD$2)*10+SUMIFS(Nuclear!$M:$M,Nuclear!$H:$H,$B246,Nuclear!$R:$R,AD$2)+VLOOKUP($B279,'project vs stock'!$A$72:$W$103,3,FALSE)/5</f>
        <v>425.3</v>
      </c>
      <c r="AE279" s="42">
        <f>SUMIFS('08-21addition'!$C:$C,'08-21addition'!$A:$A,$B147,'08-21addition'!$B:$B,AE$2)*10+SUMIFS(Nuclear!$M:$M,Nuclear!$H:$H,$B246,Nuclear!$R:$R,AE$2)+VLOOKUP($B279,'project vs stock'!$A$72:$W$103,3,FALSE)/5</f>
        <v>236.5</v>
      </c>
      <c r="AF279" s="42">
        <f>SUMIFS('08-21addition'!$C:$C,'08-21addition'!$A:$A,$B147,'08-21addition'!$B:$B,AF$2)*10+SUMIFS(Nuclear!$M:$M,Nuclear!$H:$H,$B246,Nuclear!$R:$R,AF$2)+VLOOKUP($B279,'project vs stock'!$A$72:$W$103,3,FALSE)/5</f>
        <v>301.5</v>
      </c>
    </row>
    <row r="280" ht="13.85" spans="1:32">
      <c r="A280" s="27" t="s">
        <v>157</v>
      </c>
      <c r="B280" s="44" t="s">
        <v>106</v>
      </c>
      <c r="C280" s="45"/>
      <c r="D280" s="45"/>
      <c r="E280" s="45"/>
      <c r="F280" s="42">
        <f>VLOOKUP($B280,'93-07workbook'!$B$109:$Q$140,COLUMN(B$1),FALSE)</f>
        <v>200</v>
      </c>
      <c r="G280" s="42">
        <f>VLOOKUP($B280,'93-07workbook'!$B$109:$Q$140,COLUMN(C$1),FALSE)</f>
        <v>816.9</v>
      </c>
      <c r="H280" s="42">
        <f>VLOOKUP($B280,'93-07workbook'!$B$109:$Q$140,COLUMN(D$1),FALSE)</f>
        <v>705</v>
      </c>
      <c r="I280" s="42">
        <f>VLOOKUP($B280,'93-07workbook'!$B$109:$Q$140,COLUMN(E$1),FALSE)</f>
        <v>390.7</v>
      </c>
      <c r="J280" s="42">
        <f>VLOOKUP($B280,'93-07workbook'!$B$109:$Q$140,COLUMN(F$1),FALSE)</f>
        <v>450</v>
      </c>
      <c r="K280" s="42">
        <f>VLOOKUP($B280,'93-07workbook'!$B$109:$Q$140,COLUMN(G$1),FALSE)</f>
        <v>200</v>
      </c>
      <c r="L280" s="42">
        <f>VLOOKUP($B280,'93-07workbook'!$B$109:$Q$140,COLUMN(H$1),FALSE)</f>
        <v>311.7</v>
      </c>
      <c r="M280" s="42">
        <f>VLOOKUP($B280,'93-07workbook'!$B$109:$Q$140,COLUMN(I$1),FALSE)</f>
        <v>255</v>
      </c>
      <c r="N280" s="42">
        <f>VLOOKUP($B280,'93-07workbook'!$B$109:$Q$140,COLUMN(J$1),FALSE)</f>
        <v>855.1</v>
      </c>
      <c r="O280" s="42">
        <f>VLOOKUP($B280,'93-07workbook'!$B$109:$Q$140,COLUMN(K$1),FALSE)</f>
        <v>732.6</v>
      </c>
      <c r="P280" s="42">
        <f>VLOOKUP($B280,'93-07workbook'!$B$109:$Q$140,COLUMN(L$1),FALSE)</f>
        <v>249.1</v>
      </c>
      <c r="Q280" s="42">
        <f>VLOOKUP($B280,'93-07workbook'!$B$109:$Q$140,COLUMN(M$1),FALSE)</f>
        <v>419</v>
      </c>
      <c r="R280" s="42">
        <f>VLOOKUP($B280,'93-07workbook'!$B$109:$Q$140,COLUMN(N$1),FALSE)</f>
        <v>1044.9</v>
      </c>
      <c r="S280" s="42">
        <f>VLOOKUP($B280,'93-07workbook'!$B$109:$Q$140,COLUMN(O$1),FALSE)</f>
        <v>745</v>
      </c>
      <c r="T280" s="42">
        <f>VLOOKUP($B280,'93-07workbook'!$B$109:$Q$140,COLUMN(P$1),FALSE)</f>
        <v>927.051</v>
      </c>
      <c r="U280" s="42">
        <f>SUMIFS('08-21addition'!$C:$C,'08-21addition'!$A:$A,$B148,'08-21addition'!$B:$B,U$2)*10+SUMIFS(Nuclear!$M:$M,Nuclear!$H:$H,$B247,Nuclear!$R:$R,V$2)+VLOOKUP($B280,'project vs stock'!$A$72:$W$103,19,FALSE)/9</f>
        <v>281.1</v>
      </c>
      <c r="V280" s="42">
        <f>SUMIFS('08-21addition'!$C:$C,'08-21addition'!$A:$A,$B148,'08-21addition'!$B:$B,V$2)*10+SUMIFS(Nuclear!$M:$M,Nuclear!$H:$H,$B247,Nuclear!$R:$R,W$2)+VLOOKUP($B280,'project vs stock'!$A$72:$W$103,19,FALSE)/9</f>
        <v>200.6</v>
      </c>
      <c r="W280" s="42">
        <f>SUMIFS('08-21addition'!$C:$C,'08-21addition'!$A:$A,$B148,'08-21addition'!$B:$B,W$2)*10+SUMIFS(Nuclear!$M:$M,Nuclear!$H:$H,$B247,Nuclear!$R:$R,X$2)+VLOOKUP($B280,'project vs stock'!$A$72:$W$103,19,FALSE)/9</f>
        <v>265.1</v>
      </c>
      <c r="X280" s="42">
        <f>SUMIFS('08-21addition'!$C:$C,'08-21addition'!$A:$A,$B148,'08-21addition'!$B:$B,X$2)*10+SUMIFS(Nuclear!$M:$M,Nuclear!$H:$H,$B247,Nuclear!$R:$R,Y$2)+VLOOKUP($B280,'project vs stock'!$A$72:$W$103,19,FALSE)/9</f>
        <v>1374.1</v>
      </c>
      <c r="Y280" s="42">
        <f>SUMIFS('08-21addition'!$C:$C,'08-21addition'!$A:$A,$B148,'08-21addition'!$B:$B,Y$2)*10+SUMIFS(Nuclear!$M:$M,Nuclear!$H:$H,$B247,Nuclear!$R:$R,Z$2)+VLOOKUP($B280,'project vs stock'!$A$72:$W$103,19,FALSE)/9</f>
        <v>228.9</v>
      </c>
      <c r="Z280" s="42">
        <f>SUMIFS('08-21addition'!$C:$C,'08-21addition'!$A:$A,$B148,'08-21addition'!$B:$B,Z$2)*10+SUMIFS(Nuclear!$M:$M,Nuclear!$H:$H,$B247,Nuclear!$R:$R,AA$2)+VLOOKUP($B280,'project vs stock'!$A$72:$W$103,19,FALSE)/9</f>
        <v>2437.1</v>
      </c>
      <c r="AA280" s="42">
        <f>SUMIFS('08-21addition'!$C:$C,'08-21addition'!$A:$A,$B148,'08-21addition'!$B:$B,AA$2)*10+SUMIFS(Nuclear!$M:$M,Nuclear!$H:$H,$B247,Nuclear!$R:$R,AB$2)+VLOOKUP($B280,'project vs stock'!$A$72:$W$103,19,FALSE)/9</f>
        <v>2411.6</v>
      </c>
      <c r="AB280" s="42">
        <f>SUMIFS('08-21addition'!$C:$C,'08-21addition'!$A:$A,$B148,'08-21addition'!$B:$B,AB$2)*10+SUMIFS(Nuclear!$M:$M,Nuclear!$H:$H,$B247,Nuclear!$R:$R,AC$2)+VLOOKUP($B280,'project vs stock'!$A$72:$W$103,19,FALSE)/9</f>
        <v>2504.6</v>
      </c>
      <c r="AC280" s="42">
        <f>SUMIFS('08-21addition'!$C:$C,'08-21addition'!$A:$A,$B148,'08-21addition'!$B:$B,AC$2)*10+SUMIFS(Nuclear!$M:$M,Nuclear!$H:$H,$B247,Nuclear!$R:$R,AD$2)+VLOOKUP($B280,'project vs stock'!$A$72:$W$103,19,FALSE)/9</f>
        <v>1841.6</v>
      </c>
      <c r="AD280" s="42">
        <f>SUMIFS('08-21addition'!$C:$C,'08-21addition'!$A:$A,$B148,'08-21addition'!$B:$B,AD$2)*10+SUMIFS(Nuclear!$M:$M,Nuclear!$H:$H,$B247,Nuclear!$R:$R,AD$2)+VLOOKUP($B280,'project vs stock'!$A$72:$W$103,3,FALSE)/5</f>
        <v>1779.9</v>
      </c>
      <c r="AE280" s="42">
        <f>SUMIFS('08-21addition'!$C:$C,'08-21addition'!$A:$A,$B148,'08-21addition'!$B:$B,AE$2)*10+SUMIFS(Nuclear!$M:$M,Nuclear!$H:$H,$B247,Nuclear!$R:$R,AE$2)+VLOOKUP($B280,'project vs stock'!$A$72:$W$103,3,FALSE)/5</f>
        <v>556.3</v>
      </c>
      <c r="AF280" s="42">
        <f>SUMIFS('08-21addition'!$C:$C,'08-21addition'!$A:$A,$B148,'08-21addition'!$B:$B,AF$2)*10+SUMIFS(Nuclear!$M:$M,Nuclear!$H:$H,$B247,Nuclear!$R:$R,AF$2)+VLOOKUP($B280,'project vs stock'!$A$72:$W$103,3,FALSE)/5</f>
        <v>815.5</v>
      </c>
    </row>
    <row r="281" ht="13.85" spans="1:32">
      <c r="A281" s="27" t="s">
        <v>157</v>
      </c>
      <c r="B281" s="44" t="s">
        <v>108</v>
      </c>
      <c r="C281" s="45"/>
      <c r="D281" s="45"/>
      <c r="E281" s="45"/>
      <c r="F281" s="42">
        <f>VLOOKUP($B281,'93-07workbook'!$B$109:$Q$140,COLUMN(B$1),FALSE)</f>
        <v>6</v>
      </c>
      <c r="G281" s="42">
        <f>VLOOKUP($B281,'93-07workbook'!$B$109:$Q$140,COLUMN(C$1),FALSE)</f>
        <v>6</v>
      </c>
      <c r="H281" s="42">
        <f>VLOOKUP($B281,'93-07workbook'!$B$109:$Q$140,COLUMN(D$1),FALSE)</f>
        <v>74.4999999999999</v>
      </c>
      <c r="I281" s="42">
        <f>VLOOKUP($B281,'93-07workbook'!$B$109:$Q$140,COLUMN(E$1),FALSE)</f>
        <v>60.2000000000001</v>
      </c>
      <c r="J281" s="42">
        <f>VLOOKUP($B281,'93-07workbook'!$B$109:$Q$140,COLUMN(F$1),FALSE)</f>
        <v>40</v>
      </c>
      <c r="K281" s="42">
        <f>VLOOKUP($B281,'93-07workbook'!$B$109:$Q$140,COLUMN(G$1),FALSE)</f>
        <v>43.4999999999999</v>
      </c>
      <c r="L281" s="42">
        <f>VLOOKUP($B281,'93-07workbook'!$B$109:$Q$140,COLUMN(H$1),FALSE)</f>
        <v>25</v>
      </c>
      <c r="M281" s="42">
        <f>VLOOKUP($B281,'93-07workbook'!$B$109:$Q$140,COLUMN(I$1),FALSE)</f>
        <v>111.5</v>
      </c>
      <c r="N281" s="42">
        <f>VLOOKUP($B281,'93-07workbook'!$B$109:$Q$140,COLUMN(J$1),FALSE)</f>
        <v>221.8</v>
      </c>
      <c r="O281" s="42">
        <f>VLOOKUP($B281,'93-07workbook'!$B$109:$Q$140,COLUMN(K$1),FALSE)</f>
        <v>129.6</v>
      </c>
      <c r="P281" s="42">
        <f>VLOOKUP($B281,'93-07workbook'!$B$109:$Q$140,COLUMN(L$1),FALSE)</f>
        <v>120</v>
      </c>
      <c r="Q281" s="42">
        <f>VLOOKUP($B281,'93-07workbook'!$B$109:$Q$140,COLUMN(M$1),FALSE)</f>
        <v>242.5</v>
      </c>
      <c r="R281" s="42">
        <f>VLOOKUP($B281,'93-07workbook'!$B$109:$Q$140,COLUMN(N$1),FALSE)</f>
        <v>469.1</v>
      </c>
      <c r="S281" s="42">
        <f>VLOOKUP($B281,'93-07workbook'!$B$109:$Q$140,COLUMN(O$1),FALSE)</f>
        <v>530</v>
      </c>
      <c r="T281" s="42">
        <f>VLOOKUP($B281,'93-07workbook'!$B$109:$Q$140,COLUMN(P$1),FALSE)</f>
        <v>354.112</v>
      </c>
      <c r="U281" s="42">
        <f>SUMIFS('08-21addition'!$C:$C,'08-21addition'!$A:$A,$B149,'08-21addition'!$B:$B,U$2)*10+SUMIFS(Nuclear!$M:$M,Nuclear!$H:$H,$B248,Nuclear!$R:$R,V$2)+VLOOKUP($B281,'project vs stock'!$A$72:$W$103,19,FALSE)/9</f>
        <v>119.686111111111</v>
      </c>
      <c r="V281" s="42">
        <f>SUMIFS('08-21addition'!$C:$C,'08-21addition'!$A:$A,$B149,'08-21addition'!$B:$B,V$2)*10+SUMIFS(Nuclear!$M:$M,Nuclear!$H:$H,$B248,Nuclear!$R:$R,W$2)+VLOOKUP($B281,'project vs stock'!$A$72:$W$103,19,FALSE)/9</f>
        <v>143.686111111111</v>
      </c>
      <c r="W281" s="42">
        <f>SUMIFS('08-21addition'!$C:$C,'08-21addition'!$A:$A,$B149,'08-21addition'!$B:$B,W$2)*10+SUMIFS(Nuclear!$M:$M,Nuclear!$H:$H,$B248,Nuclear!$R:$R,X$2)+VLOOKUP($B281,'project vs stock'!$A$72:$W$103,19,FALSE)/9</f>
        <v>89.6861111111111</v>
      </c>
      <c r="X281" s="42">
        <f>SUMIFS('08-21addition'!$C:$C,'08-21addition'!$A:$A,$B149,'08-21addition'!$B:$B,X$2)*10+SUMIFS(Nuclear!$M:$M,Nuclear!$H:$H,$B248,Nuclear!$R:$R,Y$2)+VLOOKUP($B281,'project vs stock'!$A$72:$W$103,19,FALSE)/9</f>
        <v>139.186111111111</v>
      </c>
      <c r="Y281" s="42">
        <f>SUMIFS('08-21addition'!$C:$C,'08-21addition'!$A:$A,$B149,'08-21addition'!$B:$B,Y$2)*10+SUMIFS(Nuclear!$M:$M,Nuclear!$H:$H,$B248,Nuclear!$R:$R,Z$2)+VLOOKUP($B281,'project vs stock'!$A$72:$W$103,19,FALSE)/9</f>
        <v>122.686111111111</v>
      </c>
      <c r="Z281" s="42">
        <f>SUMIFS('08-21addition'!$C:$C,'08-21addition'!$A:$A,$B149,'08-21addition'!$B:$B,Z$2)*10+SUMIFS(Nuclear!$M:$M,Nuclear!$H:$H,$B248,Nuclear!$R:$R,AA$2)+VLOOKUP($B281,'project vs stock'!$A$72:$W$103,19,FALSE)/9</f>
        <v>221.686111111111</v>
      </c>
      <c r="AA281" s="42">
        <f>SUMIFS('08-21addition'!$C:$C,'08-21addition'!$A:$A,$B149,'08-21addition'!$B:$B,AA$2)*10+SUMIFS(Nuclear!$M:$M,Nuclear!$H:$H,$B248,Nuclear!$R:$R,AB$2)+VLOOKUP($B281,'project vs stock'!$A$72:$W$103,19,FALSE)/9</f>
        <v>231.886111111111</v>
      </c>
      <c r="AB281" s="42">
        <f>SUMIFS('08-21addition'!$C:$C,'08-21addition'!$A:$A,$B149,'08-21addition'!$B:$B,AB$2)*10+SUMIFS(Nuclear!$M:$M,Nuclear!$H:$H,$B248,Nuclear!$R:$R,AC$2)+VLOOKUP($B281,'project vs stock'!$A$72:$W$103,19,FALSE)/9</f>
        <v>323.186111111111</v>
      </c>
      <c r="AC281" s="42">
        <f>SUMIFS('08-21addition'!$C:$C,'08-21addition'!$A:$A,$B149,'08-21addition'!$B:$B,AC$2)*10+SUMIFS(Nuclear!$M:$M,Nuclear!$H:$H,$B248,Nuclear!$R:$R,AD$2)+VLOOKUP($B281,'project vs stock'!$A$72:$W$103,19,FALSE)/9</f>
        <v>357.686111111111</v>
      </c>
      <c r="AD281" s="42">
        <f>SUMIFS('08-21addition'!$C:$C,'08-21addition'!$A:$A,$B149,'08-21addition'!$B:$B,AD$2)*10+SUMIFS(Nuclear!$M:$M,Nuclear!$H:$H,$B248,Nuclear!$R:$R,AD$2)+VLOOKUP($B281,'project vs stock'!$A$72:$W$103,3,FALSE)/5</f>
        <v>534.6</v>
      </c>
      <c r="AE281" s="42">
        <f>SUMIFS('08-21addition'!$C:$C,'08-21addition'!$A:$A,$B149,'08-21addition'!$B:$B,AE$2)*10+SUMIFS(Nuclear!$M:$M,Nuclear!$H:$H,$B248,Nuclear!$R:$R,AE$2)+VLOOKUP($B281,'project vs stock'!$A$72:$W$103,3,FALSE)/5</f>
        <v>619</v>
      </c>
      <c r="AF281" s="42">
        <f>SUMIFS('08-21addition'!$C:$C,'08-21addition'!$A:$A,$B149,'08-21addition'!$B:$B,AF$2)*10+SUMIFS(Nuclear!$M:$M,Nuclear!$H:$H,$B248,Nuclear!$R:$R,AF$2)+VLOOKUP($B281,'project vs stock'!$A$72:$W$103,3,FALSE)/5</f>
        <v>613.7</v>
      </c>
    </row>
    <row r="282" ht="13.85" spans="1:32">
      <c r="A282" s="27" t="s">
        <v>157</v>
      </c>
      <c r="B282" s="44" t="s">
        <v>110</v>
      </c>
      <c r="C282" s="45"/>
      <c r="D282" s="45"/>
      <c r="E282" s="45"/>
      <c r="F282" s="42">
        <f>VLOOKUP($B282,'93-07workbook'!$B$109:$Q$140,COLUMN(B$1),FALSE)</f>
        <v>0</v>
      </c>
      <c r="G282" s="42">
        <f>VLOOKUP($B282,'93-07workbook'!$B$109:$Q$140,COLUMN(C$1),FALSE)</f>
        <v>0.300000000000002</v>
      </c>
      <c r="H282" s="42">
        <f>VLOOKUP($B282,'93-07workbook'!$B$109:$Q$140,COLUMN(D$1),FALSE)</f>
        <v>2.9</v>
      </c>
      <c r="I282" s="42">
        <f>VLOOKUP($B282,'93-07workbook'!$B$109:$Q$140,COLUMN(E$1),FALSE)</f>
        <v>0.8</v>
      </c>
      <c r="J282" s="42">
        <f>VLOOKUP($B282,'93-07workbook'!$B$109:$Q$140,COLUMN(F$1),FALSE)</f>
        <v>0</v>
      </c>
      <c r="K282" s="42">
        <f>VLOOKUP($B282,'93-07workbook'!$B$109:$Q$140,COLUMN(G$1),FALSE)</f>
        <v>0</v>
      </c>
      <c r="L282" s="42">
        <f>VLOOKUP($B282,'93-07workbook'!$B$109:$Q$140,COLUMN(H$1),FALSE)</f>
        <v>0</v>
      </c>
      <c r="M282" s="42">
        <f>VLOOKUP($B282,'93-07workbook'!$B$109:$Q$140,COLUMN(I$1),FALSE)</f>
        <v>34.2</v>
      </c>
      <c r="N282" s="42">
        <f>VLOOKUP($B282,'93-07workbook'!$B$109:$Q$140,COLUMN(J$1),FALSE)</f>
        <v>0</v>
      </c>
      <c r="O282" s="42">
        <f>VLOOKUP($B282,'93-07workbook'!$B$109:$Q$140,COLUMN(K$1),FALSE)</f>
        <v>0</v>
      </c>
      <c r="P282" s="42">
        <f>VLOOKUP($B282,'93-07workbook'!$B$109:$Q$140,COLUMN(L$1),FALSE)</f>
        <v>0</v>
      </c>
      <c r="Q282" s="42">
        <f>VLOOKUP($B282,'93-07workbook'!$B$109:$Q$140,COLUMN(M$1),FALSE)</f>
        <v>0</v>
      </c>
      <c r="R282" s="42">
        <f>VLOOKUP($B282,'93-07workbook'!$B$109:$Q$140,COLUMN(N$1),FALSE)</f>
        <v>12</v>
      </c>
      <c r="S282" s="42">
        <f>VLOOKUP($B282,'93-07workbook'!$B$109:$Q$140,COLUMN(O$1),FALSE)</f>
        <v>250</v>
      </c>
      <c r="T282" s="42">
        <f>VLOOKUP($B282,'93-07workbook'!$B$109:$Q$140,COLUMN(P$1),FALSE)</f>
        <v>0</v>
      </c>
      <c r="U282" s="42">
        <f>SUMIFS('08-21addition'!$C:$C,'08-21addition'!$A:$A,$B150,'08-21addition'!$B:$B,U$2)*10+SUMIFS(Nuclear!$M:$M,Nuclear!$H:$H,$B249,Nuclear!$R:$R,V$2)+VLOOKUP($B282,'project vs stock'!$A$72:$W$103,19,FALSE)/9</f>
        <v>171.855555555556</v>
      </c>
      <c r="V282" s="42">
        <f>SUMIFS('08-21addition'!$C:$C,'08-21addition'!$A:$A,$B150,'08-21addition'!$B:$B,V$2)*10+SUMIFS(Nuclear!$M:$M,Nuclear!$H:$H,$B249,Nuclear!$R:$R,W$2)+VLOOKUP($B282,'project vs stock'!$A$72:$W$103,19,FALSE)/9</f>
        <v>572.755555555556</v>
      </c>
      <c r="W282" s="42">
        <f>SUMIFS('08-21addition'!$C:$C,'08-21addition'!$A:$A,$B150,'08-21addition'!$B:$B,W$2)*10+SUMIFS(Nuclear!$M:$M,Nuclear!$H:$H,$B249,Nuclear!$R:$R,X$2)+VLOOKUP($B282,'project vs stock'!$A$72:$W$103,19,FALSE)/9</f>
        <v>871.555555555556</v>
      </c>
      <c r="X282" s="42">
        <f>SUMIFS('08-21addition'!$C:$C,'08-21addition'!$A:$A,$B150,'08-21addition'!$B:$B,X$2)*10+SUMIFS(Nuclear!$M:$M,Nuclear!$H:$H,$B249,Nuclear!$R:$R,Y$2)+VLOOKUP($B282,'project vs stock'!$A$72:$W$103,19,FALSE)/9</f>
        <v>1169.45555555556</v>
      </c>
      <c r="Y282" s="42">
        <f>SUMIFS('08-21addition'!$C:$C,'08-21addition'!$A:$A,$B150,'08-21addition'!$B:$B,Y$2)*10+SUMIFS(Nuclear!$M:$M,Nuclear!$H:$H,$B249,Nuclear!$R:$R,Z$2)+VLOOKUP($B282,'project vs stock'!$A$72:$W$103,19,FALSE)/9</f>
        <v>1317.75555555556</v>
      </c>
      <c r="Z282" s="42">
        <f>SUMIFS('08-21addition'!$C:$C,'08-21addition'!$A:$A,$B150,'08-21addition'!$B:$B,Z$2)*10+SUMIFS(Nuclear!$M:$M,Nuclear!$H:$H,$B249,Nuclear!$R:$R,AA$2)+VLOOKUP($B282,'project vs stock'!$A$72:$W$103,19,FALSE)/9</f>
        <v>1227.85555555556</v>
      </c>
      <c r="AA282" s="42">
        <f>SUMIFS('08-21addition'!$C:$C,'08-21addition'!$A:$A,$B150,'08-21addition'!$B:$B,AA$2)*10+SUMIFS(Nuclear!$M:$M,Nuclear!$H:$H,$B249,Nuclear!$R:$R,AB$2)+VLOOKUP($B282,'project vs stock'!$A$72:$W$103,19,FALSE)/9</f>
        <v>923.655555555555</v>
      </c>
      <c r="AB282" s="42">
        <f>SUMIFS('08-21addition'!$C:$C,'08-21addition'!$A:$A,$B150,'08-21addition'!$B:$B,AB$2)*10+SUMIFS(Nuclear!$M:$M,Nuclear!$H:$H,$B249,Nuclear!$R:$R,AC$2)+VLOOKUP($B282,'project vs stock'!$A$72:$W$103,19,FALSE)/9</f>
        <v>832.555555555556</v>
      </c>
      <c r="AC282" s="42">
        <f>SUMIFS('08-21addition'!$C:$C,'08-21addition'!$A:$A,$B150,'08-21addition'!$B:$B,AC$2)*10+SUMIFS(Nuclear!$M:$M,Nuclear!$H:$H,$B249,Nuclear!$R:$R,AD$2)+VLOOKUP($B282,'project vs stock'!$A$72:$W$103,19,FALSE)/9</f>
        <v>1113.25555555556</v>
      </c>
      <c r="AD282" s="42">
        <f>SUMIFS('08-21addition'!$C:$C,'08-21addition'!$A:$A,$B150,'08-21addition'!$B:$B,AD$2)*10+SUMIFS(Nuclear!$M:$M,Nuclear!$H:$H,$B249,Nuclear!$R:$R,AD$2)+VLOOKUP($B282,'project vs stock'!$A$72:$W$103,3,FALSE)/5</f>
        <v>1914.2</v>
      </c>
      <c r="AE282" s="42">
        <f>SUMIFS('08-21addition'!$C:$C,'08-21addition'!$A:$A,$B150,'08-21addition'!$B:$B,AE$2)*10+SUMIFS(Nuclear!$M:$M,Nuclear!$H:$H,$B249,Nuclear!$R:$R,AE$2)+VLOOKUP($B282,'project vs stock'!$A$72:$W$103,3,FALSE)/5</f>
        <v>3449.8</v>
      </c>
      <c r="AF282" s="42">
        <f>SUMIFS('08-21addition'!$C:$C,'08-21addition'!$A:$A,$B150,'08-21addition'!$B:$B,AF$2)*10+SUMIFS(Nuclear!$M:$M,Nuclear!$H:$H,$B249,Nuclear!$R:$R,AF$2)+VLOOKUP($B282,'project vs stock'!$A$72:$W$103,3,FALSE)/5</f>
        <v>2125.8</v>
      </c>
    </row>
    <row r="283" ht="13.85" spans="1:32">
      <c r="A283" s="27" t="s">
        <v>157</v>
      </c>
      <c r="B283" s="44" t="s">
        <v>112</v>
      </c>
      <c r="C283" s="45"/>
      <c r="D283" s="45"/>
      <c r="E283" s="45"/>
      <c r="F283" s="42">
        <f>VLOOKUP($B283,'93-07workbook'!$B$109:$Q$140,COLUMN(B$1),FALSE)</f>
        <v>17.4</v>
      </c>
      <c r="G283" s="42">
        <f>VLOOKUP($B283,'93-07workbook'!$B$109:$Q$140,COLUMN(C$1),FALSE)</f>
        <v>17.4</v>
      </c>
      <c r="H283" s="42">
        <f>VLOOKUP($B283,'93-07workbook'!$B$109:$Q$140,COLUMN(D$1),FALSE)</f>
        <v>75</v>
      </c>
      <c r="I283" s="42">
        <f>VLOOKUP($B283,'93-07workbook'!$B$109:$Q$140,COLUMN(E$1),FALSE)</f>
        <v>9.59999999999994</v>
      </c>
      <c r="J283" s="42">
        <f>VLOOKUP($B283,'93-07workbook'!$B$109:$Q$140,COLUMN(F$1),FALSE)</f>
        <v>81</v>
      </c>
      <c r="K283" s="42">
        <f>VLOOKUP($B283,'93-07workbook'!$B$109:$Q$140,COLUMN(G$1),FALSE)</f>
        <v>81</v>
      </c>
      <c r="L283" s="42">
        <f>VLOOKUP($B283,'93-07workbook'!$B$109:$Q$140,COLUMN(H$1),FALSE)</f>
        <v>300</v>
      </c>
      <c r="M283" s="42">
        <f>VLOOKUP($B283,'93-07workbook'!$B$109:$Q$140,COLUMN(I$1),FALSE)</f>
        <v>600</v>
      </c>
      <c r="N283" s="42">
        <f>VLOOKUP($B283,'93-07workbook'!$B$109:$Q$140,COLUMN(J$1),FALSE)</f>
        <v>910</v>
      </c>
      <c r="O283" s="42">
        <f>VLOOKUP($B283,'93-07workbook'!$B$109:$Q$140,COLUMN(K$1),FALSE)</f>
        <v>900</v>
      </c>
      <c r="P283" s="42">
        <f>VLOOKUP($B283,'93-07workbook'!$B$109:$Q$140,COLUMN(L$1),FALSE)</f>
        <v>0</v>
      </c>
      <c r="Q283" s="42">
        <f>VLOOKUP($B283,'93-07workbook'!$B$109:$Q$140,COLUMN(M$1),FALSE)</f>
        <v>0</v>
      </c>
      <c r="R283" s="42">
        <f>VLOOKUP($B283,'93-07workbook'!$B$109:$Q$140,COLUMN(N$1),FALSE)</f>
        <v>6</v>
      </c>
      <c r="S283" s="42">
        <f>VLOOKUP($B283,'93-07workbook'!$B$109:$Q$140,COLUMN(O$1),FALSE)</f>
        <v>13.0000000000001</v>
      </c>
      <c r="T283" s="42">
        <f>VLOOKUP($B283,'93-07workbook'!$B$109:$Q$140,COLUMN(P$1),FALSE)</f>
        <v>187</v>
      </c>
      <c r="U283" s="42">
        <f>SUMIFS('08-21addition'!$C:$C,'08-21addition'!$A:$A,$B151,'08-21addition'!$B:$B,U$2)*10+SUMIFS(Nuclear!$M:$M,Nuclear!$H:$H,$B250,Nuclear!$R:$R,V$2)+VLOOKUP($B283,'project vs stock'!$A$72:$W$103,19,FALSE)/9</f>
        <v>0</v>
      </c>
      <c r="V283" s="42">
        <f>SUMIFS('08-21addition'!$C:$C,'08-21addition'!$A:$A,$B151,'08-21addition'!$B:$B,V$2)*10+SUMIFS(Nuclear!$M:$M,Nuclear!$H:$H,$B250,Nuclear!$R:$R,W$2)+VLOOKUP($B283,'project vs stock'!$A$72:$W$103,19,FALSE)/9</f>
        <v>23.3</v>
      </c>
      <c r="W283" s="42">
        <f>SUMIFS('08-21addition'!$C:$C,'08-21addition'!$A:$A,$B151,'08-21addition'!$B:$B,W$2)*10+SUMIFS(Nuclear!$M:$M,Nuclear!$H:$H,$B250,Nuclear!$R:$R,X$2)+VLOOKUP($B283,'project vs stock'!$A$72:$W$103,19,FALSE)/9</f>
        <v>30.3</v>
      </c>
      <c r="X283" s="42">
        <f>SUMIFS('08-21addition'!$C:$C,'08-21addition'!$A:$A,$B151,'08-21addition'!$B:$B,X$2)*10+SUMIFS(Nuclear!$M:$M,Nuclear!$H:$H,$B250,Nuclear!$R:$R,Y$2)+VLOOKUP($B283,'project vs stock'!$A$72:$W$103,19,FALSE)/9</f>
        <v>75</v>
      </c>
      <c r="Y283" s="42">
        <f>SUMIFS('08-21addition'!$C:$C,'08-21addition'!$A:$A,$B151,'08-21addition'!$B:$B,Y$2)*10+SUMIFS(Nuclear!$M:$M,Nuclear!$H:$H,$B250,Nuclear!$R:$R,Z$2)+VLOOKUP($B283,'project vs stock'!$A$72:$W$103,19,FALSE)/9</f>
        <v>50.5</v>
      </c>
      <c r="Z283" s="42">
        <f>SUMIFS('08-21addition'!$C:$C,'08-21addition'!$A:$A,$B151,'08-21addition'!$B:$B,Z$2)*10+SUMIFS(Nuclear!$M:$M,Nuclear!$H:$H,$B250,Nuclear!$R:$R,AA$2)+VLOOKUP($B283,'project vs stock'!$A$72:$W$103,19,FALSE)/9</f>
        <v>69.8</v>
      </c>
      <c r="AA283" s="42">
        <f>SUMIFS('08-21addition'!$C:$C,'08-21addition'!$A:$A,$B151,'08-21addition'!$B:$B,AA$2)*10+SUMIFS(Nuclear!$M:$M,Nuclear!$H:$H,$B250,Nuclear!$R:$R,AB$2)+VLOOKUP($B283,'project vs stock'!$A$72:$W$103,19,FALSE)/9</f>
        <v>323</v>
      </c>
      <c r="AB283" s="42">
        <f>SUMIFS('08-21addition'!$C:$C,'08-21addition'!$A:$A,$B151,'08-21addition'!$B:$B,AB$2)*10+SUMIFS(Nuclear!$M:$M,Nuclear!$H:$H,$B250,Nuclear!$R:$R,AC$2)+VLOOKUP($B283,'project vs stock'!$A$72:$W$103,19,FALSE)/9</f>
        <v>397.3</v>
      </c>
      <c r="AC283" s="42">
        <f>SUMIFS('08-21addition'!$C:$C,'08-21addition'!$A:$A,$B151,'08-21addition'!$B:$B,AC$2)*10+SUMIFS(Nuclear!$M:$M,Nuclear!$H:$H,$B250,Nuclear!$R:$R,AD$2)+VLOOKUP($B283,'project vs stock'!$A$72:$W$103,19,FALSE)/9</f>
        <v>340</v>
      </c>
      <c r="AD283" s="42">
        <f>SUMIFS('08-21addition'!$C:$C,'08-21addition'!$A:$A,$B151,'08-21addition'!$B:$B,AD$2)*10+SUMIFS(Nuclear!$M:$M,Nuclear!$H:$H,$B250,Nuclear!$R:$R,AD$2)+VLOOKUP($B283,'project vs stock'!$A$72:$W$103,3,FALSE)/5</f>
        <v>1346.32</v>
      </c>
      <c r="AE283" s="42">
        <f>SUMIFS('08-21addition'!$C:$C,'08-21addition'!$A:$A,$B151,'08-21addition'!$B:$B,AE$2)*10+SUMIFS(Nuclear!$M:$M,Nuclear!$H:$H,$B250,Nuclear!$R:$R,AE$2)+VLOOKUP($B283,'project vs stock'!$A$72:$W$103,3,FALSE)/5</f>
        <v>2379.92</v>
      </c>
      <c r="AF283" s="42">
        <f>SUMIFS('08-21addition'!$C:$C,'08-21addition'!$A:$A,$B151,'08-21addition'!$B:$B,AF$2)*10+SUMIFS(Nuclear!$M:$M,Nuclear!$H:$H,$B250,Nuclear!$R:$R,AF$2)+VLOOKUP($B283,'project vs stock'!$A$72:$W$103,3,FALSE)/5</f>
        <v>3266.02</v>
      </c>
    </row>
    <row r="284" ht="13.85" spans="1:32">
      <c r="A284" s="27" t="s">
        <v>157</v>
      </c>
      <c r="B284" s="44" t="s">
        <v>114</v>
      </c>
      <c r="C284" s="45"/>
      <c r="D284" s="45"/>
      <c r="E284" s="45"/>
      <c r="F284" s="42">
        <f>VLOOKUP($B284,'93-07workbook'!$B$109:$Q$140,COLUMN(B$1),FALSE)</f>
        <v>636.4</v>
      </c>
      <c r="G284" s="42">
        <f>VLOOKUP($B284,'93-07workbook'!$B$109:$Q$140,COLUMN(C$1),FALSE)</f>
        <v>730.599999999999</v>
      </c>
      <c r="H284" s="42">
        <f>VLOOKUP($B284,'93-07workbook'!$B$109:$Q$140,COLUMN(D$1),FALSE)</f>
        <v>648.5</v>
      </c>
      <c r="I284" s="42">
        <f>VLOOKUP($B284,'93-07workbook'!$B$109:$Q$140,COLUMN(E$1),FALSE)</f>
        <v>56.7999999999995</v>
      </c>
      <c r="J284" s="42">
        <f>VLOOKUP($B284,'93-07workbook'!$B$109:$Q$140,COLUMN(F$1),FALSE)</f>
        <v>54.6000000000004</v>
      </c>
      <c r="K284" s="42">
        <f>VLOOKUP($B284,'93-07workbook'!$B$109:$Q$140,COLUMN(G$1),FALSE)</f>
        <v>132.8</v>
      </c>
      <c r="L284" s="42">
        <f>VLOOKUP($B284,'93-07workbook'!$B$109:$Q$140,COLUMN(H$1),FALSE)</f>
        <v>45.5000000000007</v>
      </c>
      <c r="M284" s="42">
        <f>VLOOKUP($B284,'93-07workbook'!$B$109:$Q$140,COLUMN(I$1),FALSE)</f>
        <v>493.299999999999</v>
      </c>
      <c r="N284" s="42">
        <f>VLOOKUP($B284,'93-07workbook'!$B$109:$Q$140,COLUMN(J$1),FALSE)</f>
        <v>301.4</v>
      </c>
      <c r="O284" s="42">
        <f>VLOOKUP($B284,'93-07workbook'!$B$109:$Q$140,COLUMN(K$1),FALSE)</f>
        <v>88.3000000000004</v>
      </c>
      <c r="P284" s="42">
        <f>VLOOKUP($B284,'93-07workbook'!$B$109:$Q$140,COLUMN(L$1),FALSE)</f>
        <v>4323.3</v>
      </c>
      <c r="Q284" s="42">
        <f>VLOOKUP($B284,'93-07workbook'!$B$109:$Q$140,COLUMN(M$1),FALSE)</f>
        <v>3577.9</v>
      </c>
      <c r="R284" s="42">
        <f>VLOOKUP($B284,'93-07workbook'!$B$109:$Q$140,COLUMN(N$1),FALSE)</f>
        <v>4080</v>
      </c>
      <c r="S284" s="42">
        <f>VLOOKUP($B284,'93-07workbook'!$B$109:$Q$140,COLUMN(O$1),FALSE)</f>
        <v>431.999999999998</v>
      </c>
      <c r="T284" s="42">
        <f>VLOOKUP($B284,'93-07workbook'!$B$109:$Q$140,COLUMN(P$1),FALSE)</f>
        <v>5700.6</v>
      </c>
      <c r="U284" s="42">
        <f>SUMIFS('08-21addition'!$C:$C,'08-21addition'!$A:$A,$B152,'08-21addition'!$B:$B,U$2)*10+SUMIFS(Nuclear!$M:$M,Nuclear!$H:$H,$B251,Nuclear!$R:$R,V$2)+VLOOKUP($B284,'project vs stock'!$A$72:$W$103,19,FALSE)/9</f>
        <v>68.4316666666662</v>
      </c>
      <c r="V284" s="42">
        <f>SUMIFS('08-21addition'!$C:$C,'08-21addition'!$A:$A,$B152,'08-21addition'!$B:$B,V$2)*10+SUMIFS(Nuclear!$M:$M,Nuclear!$H:$H,$B251,Nuclear!$R:$R,W$2)+VLOOKUP($B284,'project vs stock'!$A$72:$W$103,19,FALSE)/9</f>
        <v>72.9316666666662</v>
      </c>
      <c r="W284" s="42">
        <f>SUMIFS('08-21addition'!$C:$C,'08-21addition'!$A:$A,$B152,'08-21addition'!$B:$B,W$2)*10+SUMIFS(Nuclear!$M:$M,Nuclear!$H:$H,$B251,Nuclear!$R:$R,X$2)+VLOOKUP($B284,'project vs stock'!$A$72:$W$103,19,FALSE)/9</f>
        <v>142.031666666666</v>
      </c>
      <c r="X284" s="42">
        <f>SUMIFS('08-21addition'!$C:$C,'08-21addition'!$A:$A,$B152,'08-21addition'!$B:$B,X$2)*10+SUMIFS(Nuclear!$M:$M,Nuclear!$H:$H,$B251,Nuclear!$R:$R,Y$2)+VLOOKUP($B284,'project vs stock'!$A$72:$W$103,19,FALSE)/9</f>
        <v>126.631666666666</v>
      </c>
      <c r="Y284" s="42">
        <f>SUMIFS('08-21addition'!$C:$C,'08-21addition'!$A:$A,$B152,'08-21addition'!$B:$B,Y$2)*10+SUMIFS(Nuclear!$M:$M,Nuclear!$H:$H,$B251,Nuclear!$R:$R,Z$2)+VLOOKUP($B284,'project vs stock'!$A$72:$W$103,19,FALSE)/9</f>
        <v>118.231666666666</v>
      </c>
      <c r="Z284" s="42">
        <f>SUMIFS('08-21addition'!$C:$C,'08-21addition'!$A:$A,$B152,'08-21addition'!$B:$B,Z$2)*10+SUMIFS(Nuclear!$M:$M,Nuclear!$H:$H,$B251,Nuclear!$R:$R,AA$2)+VLOOKUP($B284,'project vs stock'!$A$72:$W$103,19,FALSE)/9</f>
        <v>327.531666666666</v>
      </c>
      <c r="AA284" s="42">
        <f>SUMIFS('08-21addition'!$C:$C,'08-21addition'!$A:$A,$B152,'08-21addition'!$B:$B,AA$2)*10+SUMIFS(Nuclear!$M:$M,Nuclear!$H:$H,$B251,Nuclear!$R:$R,AB$2)+VLOOKUP($B284,'project vs stock'!$A$72:$W$103,19,FALSE)/9</f>
        <v>518.431666666666</v>
      </c>
      <c r="AB284" s="42">
        <f>SUMIFS('08-21addition'!$C:$C,'08-21addition'!$A:$A,$B152,'08-21addition'!$B:$B,AB$2)*10+SUMIFS(Nuclear!$M:$M,Nuclear!$H:$H,$B251,Nuclear!$R:$R,AC$2)+VLOOKUP($B284,'project vs stock'!$A$72:$W$103,19,FALSE)/9</f>
        <v>563.031666666666</v>
      </c>
      <c r="AC284" s="42">
        <f>SUMIFS('08-21addition'!$C:$C,'08-21addition'!$A:$A,$B152,'08-21addition'!$B:$B,AC$2)*10+SUMIFS(Nuclear!$M:$M,Nuclear!$H:$H,$B251,Nuclear!$R:$R,AD$2)+VLOOKUP($B284,'project vs stock'!$A$72:$W$103,19,FALSE)/9</f>
        <v>901.431666666666</v>
      </c>
      <c r="AD284" s="42">
        <f>SUMIFS('08-21addition'!$C:$C,'08-21addition'!$A:$A,$B152,'08-21addition'!$B:$B,AD$2)*10+SUMIFS(Nuclear!$M:$M,Nuclear!$H:$H,$B251,Nuclear!$R:$R,AD$2)+VLOOKUP($B284,'project vs stock'!$A$72:$W$103,3,FALSE)/5</f>
        <v>683.66</v>
      </c>
      <c r="AE284" s="42">
        <f>SUMIFS('08-21addition'!$C:$C,'08-21addition'!$A:$A,$B152,'08-21addition'!$B:$B,AE$2)*10+SUMIFS(Nuclear!$M:$M,Nuclear!$H:$H,$B251,Nuclear!$R:$R,AE$2)+VLOOKUP($B284,'project vs stock'!$A$72:$W$103,3,FALSE)/5</f>
        <v>827.66</v>
      </c>
      <c r="AF284" s="42">
        <f>SUMIFS('08-21addition'!$C:$C,'08-21addition'!$A:$A,$B152,'08-21addition'!$B:$B,AF$2)*10+SUMIFS(Nuclear!$M:$M,Nuclear!$H:$H,$B251,Nuclear!$R:$R,AF$2)+VLOOKUP($B284,'project vs stock'!$A$72:$W$103,3,FALSE)/5</f>
        <v>770.26</v>
      </c>
    </row>
    <row r="285" ht="13.85" spans="1:32">
      <c r="A285" s="27" t="s">
        <v>157</v>
      </c>
      <c r="B285" s="44" t="s">
        <v>116</v>
      </c>
      <c r="C285" s="45"/>
      <c r="D285" s="45"/>
      <c r="E285" s="45"/>
      <c r="F285" s="42">
        <f>VLOOKUP($B285,'93-07workbook'!$B$109:$Q$140,COLUMN(B$1),FALSE)</f>
        <v>65.1</v>
      </c>
      <c r="G285" s="42">
        <f>VLOOKUP($B285,'93-07workbook'!$B$109:$Q$140,COLUMN(C$1),FALSE)</f>
        <v>382.6</v>
      </c>
      <c r="H285" s="42">
        <f>VLOOKUP($B285,'93-07workbook'!$B$109:$Q$140,COLUMN(D$1),FALSE)</f>
        <v>532.7</v>
      </c>
      <c r="I285" s="42">
        <f>VLOOKUP($B285,'93-07workbook'!$B$109:$Q$140,COLUMN(E$1),FALSE)</f>
        <v>606.9</v>
      </c>
      <c r="J285" s="42">
        <f>VLOOKUP($B285,'93-07workbook'!$B$109:$Q$140,COLUMN(F$1),FALSE)</f>
        <v>506.6</v>
      </c>
      <c r="K285" s="42">
        <f>VLOOKUP($B285,'93-07workbook'!$B$109:$Q$140,COLUMN(G$1),FALSE)</f>
        <v>147.6</v>
      </c>
      <c r="L285" s="42">
        <f>VLOOKUP($B285,'93-07workbook'!$B$109:$Q$140,COLUMN(H$1),FALSE)</f>
        <v>611.5</v>
      </c>
      <c r="M285" s="42">
        <f>VLOOKUP($B285,'93-07workbook'!$B$109:$Q$140,COLUMN(I$1),FALSE)</f>
        <v>320</v>
      </c>
      <c r="N285" s="42">
        <f>VLOOKUP($B285,'93-07workbook'!$B$109:$Q$140,COLUMN(J$1),FALSE)</f>
        <v>120</v>
      </c>
      <c r="O285" s="42">
        <f>VLOOKUP($B285,'93-07workbook'!$B$109:$Q$140,COLUMN(K$1),FALSE)</f>
        <v>169.2</v>
      </c>
      <c r="P285" s="42">
        <f>VLOOKUP($B285,'93-07workbook'!$B$109:$Q$140,COLUMN(L$1),FALSE)</f>
        <v>467.8</v>
      </c>
      <c r="Q285" s="42">
        <f>VLOOKUP($B285,'93-07workbook'!$B$109:$Q$140,COLUMN(M$1),FALSE)</f>
        <v>845.100000000001</v>
      </c>
      <c r="R285" s="42">
        <f>VLOOKUP($B285,'93-07workbook'!$B$109:$Q$140,COLUMN(N$1),FALSE)</f>
        <v>852.7</v>
      </c>
      <c r="S285" s="42">
        <f>VLOOKUP($B285,'93-07workbook'!$B$109:$Q$140,COLUMN(O$1),FALSE)</f>
        <v>947</v>
      </c>
      <c r="T285" s="42">
        <f>VLOOKUP($B285,'93-07workbook'!$B$109:$Q$140,COLUMN(P$1),FALSE)</f>
        <v>846.515</v>
      </c>
      <c r="U285" s="42">
        <f>SUMIFS('08-21addition'!$C:$C,'08-21addition'!$A:$A,$B153,'08-21addition'!$B:$B,U$2)*10+SUMIFS(Nuclear!$M:$M,Nuclear!$H:$H,$B252,Nuclear!$R:$R,V$2)+VLOOKUP($B285,'project vs stock'!$A$72:$W$103,19,FALSE)/9</f>
        <v>150.447777777778</v>
      </c>
      <c r="V285" s="42">
        <f>SUMIFS('08-21addition'!$C:$C,'08-21addition'!$A:$A,$B153,'08-21addition'!$B:$B,V$2)*10+SUMIFS(Nuclear!$M:$M,Nuclear!$H:$H,$B252,Nuclear!$R:$R,W$2)+VLOOKUP($B285,'project vs stock'!$A$72:$W$103,19,FALSE)/9</f>
        <v>150.447777777778</v>
      </c>
      <c r="W285" s="42">
        <f>SUMIFS('08-21addition'!$C:$C,'08-21addition'!$A:$A,$B153,'08-21addition'!$B:$B,W$2)*10+SUMIFS(Nuclear!$M:$M,Nuclear!$H:$H,$B252,Nuclear!$R:$R,X$2)+VLOOKUP($B285,'project vs stock'!$A$72:$W$103,19,FALSE)/9</f>
        <v>186.747777777778</v>
      </c>
      <c r="X285" s="42">
        <f>SUMIFS('08-21addition'!$C:$C,'08-21addition'!$A:$A,$B153,'08-21addition'!$B:$B,X$2)*10+SUMIFS(Nuclear!$M:$M,Nuclear!$H:$H,$B252,Nuclear!$R:$R,Y$2)+VLOOKUP($B285,'project vs stock'!$A$72:$W$103,19,FALSE)/9</f>
        <v>247.947777777778</v>
      </c>
      <c r="Y285" s="42">
        <f>SUMIFS('08-21addition'!$C:$C,'08-21addition'!$A:$A,$B153,'08-21addition'!$B:$B,Y$2)*10+SUMIFS(Nuclear!$M:$M,Nuclear!$H:$H,$B252,Nuclear!$R:$R,Z$2)+VLOOKUP($B285,'project vs stock'!$A$72:$W$103,19,FALSE)/9</f>
        <v>204.447777777778</v>
      </c>
      <c r="Z285" s="42">
        <f>SUMIFS('08-21addition'!$C:$C,'08-21addition'!$A:$A,$B153,'08-21addition'!$B:$B,Z$2)*10+SUMIFS(Nuclear!$M:$M,Nuclear!$H:$H,$B252,Nuclear!$R:$R,AA$2)+VLOOKUP($B285,'project vs stock'!$A$72:$W$103,19,FALSE)/9</f>
        <v>365.447777777778</v>
      </c>
      <c r="AA285" s="42">
        <f>SUMIFS('08-21addition'!$C:$C,'08-21addition'!$A:$A,$B153,'08-21addition'!$B:$B,AA$2)*10+SUMIFS(Nuclear!$M:$M,Nuclear!$H:$H,$B252,Nuclear!$R:$R,AB$2)+VLOOKUP($B285,'project vs stock'!$A$72:$W$103,19,FALSE)/9</f>
        <v>602.247777777778</v>
      </c>
      <c r="AB285" s="42">
        <f>SUMIFS('08-21addition'!$C:$C,'08-21addition'!$A:$A,$B153,'08-21addition'!$B:$B,AB$2)*10+SUMIFS(Nuclear!$M:$M,Nuclear!$H:$H,$B252,Nuclear!$R:$R,AC$2)+VLOOKUP($B285,'project vs stock'!$A$72:$W$103,19,FALSE)/9</f>
        <v>1162.24777777778</v>
      </c>
      <c r="AC285" s="42">
        <f>SUMIFS('08-21addition'!$C:$C,'08-21addition'!$A:$A,$B153,'08-21addition'!$B:$B,AC$2)*10+SUMIFS(Nuclear!$M:$M,Nuclear!$H:$H,$B252,Nuclear!$R:$R,AD$2)+VLOOKUP($B285,'project vs stock'!$A$72:$W$103,19,FALSE)/9</f>
        <v>1011.24777777778</v>
      </c>
      <c r="AD285" s="42">
        <f>SUMIFS('08-21addition'!$C:$C,'08-21addition'!$A:$A,$B153,'08-21addition'!$B:$B,AD$2)*10+SUMIFS(Nuclear!$M:$M,Nuclear!$H:$H,$B252,Nuclear!$R:$R,AD$2)+VLOOKUP($B285,'project vs stock'!$A$72:$W$103,3,FALSE)/5</f>
        <v>498.4</v>
      </c>
      <c r="AE285" s="42">
        <f>SUMIFS('08-21addition'!$C:$C,'08-21addition'!$A:$A,$B153,'08-21addition'!$B:$B,AE$2)*10+SUMIFS(Nuclear!$M:$M,Nuclear!$H:$H,$B252,Nuclear!$R:$R,AE$2)+VLOOKUP($B285,'project vs stock'!$A$72:$W$103,3,FALSE)/5</f>
        <v>1001.2</v>
      </c>
      <c r="AF285" s="42">
        <f>SUMIFS('08-21addition'!$C:$C,'08-21addition'!$A:$A,$B153,'08-21addition'!$B:$B,AF$2)*10+SUMIFS(Nuclear!$M:$M,Nuclear!$H:$H,$B252,Nuclear!$R:$R,AF$2)+VLOOKUP($B285,'project vs stock'!$A$72:$W$103,3,FALSE)/5</f>
        <v>711.1</v>
      </c>
    </row>
    <row r="286" ht="13.85" spans="1:32">
      <c r="A286" s="27" t="s">
        <v>157</v>
      </c>
      <c r="B286" s="44" t="s">
        <v>118</v>
      </c>
      <c r="C286" s="45"/>
      <c r="D286" s="45"/>
      <c r="E286" s="45"/>
      <c r="F286" s="42">
        <f>VLOOKUP($B286,'93-07workbook'!$B$109:$Q$140,COLUMN(B$1),FALSE)</f>
        <v>448</v>
      </c>
      <c r="G286" s="42">
        <f>VLOOKUP($B286,'93-07workbook'!$B$109:$Q$140,COLUMN(C$1),FALSE)</f>
        <v>448</v>
      </c>
      <c r="H286" s="42">
        <f>VLOOKUP($B286,'93-07workbook'!$B$109:$Q$140,COLUMN(D$1),FALSE)</f>
        <v>397.6</v>
      </c>
      <c r="I286" s="42">
        <f>VLOOKUP($B286,'93-07workbook'!$B$109:$Q$140,COLUMN(E$1),FALSE)</f>
        <v>127.9</v>
      </c>
      <c r="J286" s="42">
        <f>VLOOKUP($B286,'93-07workbook'!$B$109:$Q$140,COLUMN(F$1),FALSE)</f>
        <v>203.7</v>
      </c>
      <c r="K286" s="42">
        <f>VLOOKUP($B286,'93-07workbook'!$B$109:$Q$140,COLUMN(G$1),FALSE)</f>
        <v>523.3</v>
      </c>
      <c r="L286" s="42">
        <f>VLOOKUP($B286,'93-07workbook'!$B$109:$Q$140,COLUMN(H$1),FALSE)</f>
        <v>441.999999999999</v>
      </c>
      <c r="M286" s="42">
        <f>VLOOKUP($B286,'93-07workbook'!$B$109:$Q$140,COLUMN(I$1),FALSE)</f>
        <v>378.9</v>
      </c>
      <c r="N286" s="42">
        <f>VLOOKUP($B286,'93-07workbook'!$B$109:$Q$140,COLUMN(J$1),FALSE)</f>
        <v>425.6</v>
      </c>
      <c r="O286" s="42">
        <f>VLOOKUP($B286,'93-07workbook'!$B$109:$Q$140,COLUMN(K$1),FALSE)</f>
        <v>472.5</v>
      </c>
      <c r="P286" s="42">
        <f>VLOOKUP($B286,'93-07workbook'!$B$109:$Q$140,COLUMN(L$1),FALSE)</f>
        <v>331.900000000001</v>
      </c>
      <c r="Q286" s="42">
        <f>VLOOKUP($B286,'93-07workbook'!$B$109:$Q$140,COLUMN(M$1),FALSE)</f>
        <v>477.4</v>
      </c>
      <c r="R286" s="42">
        <f>VLOOKUP($B286,'93-07workbook'!$B$109:$Q$140,COLUMN(N$1),FALSE)</f>
        <v>668.1</v>
      </c>
      <c r="S286" s="42">
        <f>VLOOKUP($B286,'93-07workbook'!$B$109:$Q$140,COLUMN(O$1),FALSE)</f>
        <v>381</v>
      </c>
      <c r="T286" s="42">
        <f>VLOOKUP($B286,'93-07workbook'!$B$109:$Q$140,COLUMN(P$1),FALSE)</f>
        <v>855.291</v>
      </c>
      <c r="U286" s="42">
        <f>SUMIFS('08-21addition'!$C:$C,'08-21addition'!$A:$A,$B154,'08-21addition'!$B:$B,U$2)*10+SUMIFS(Nuclear!$M:$M,Nuclear!$H:$H,$B253,Nuclear!$R:$R,V$2)+VLOOKUP($B286,'project vs stock'!$A$72:$W$103,19,FALSE)/9</f>
        <v>35.3895555555556</v>
      </c>
      <c r="V286" s="42">
        <f>SUMIFS('08-21addition'!$C:$C,'08-21addition'!$A:$A,$B154,'08-21addition'!$B:$B,V$2)*10+SUMIFS(Nuclear!$M:$M,Nuclear!$H:$H,$B253,Nuclear!$R:$R,W$2)+VLOOKUP($B286,'project vs stock'!$A$72:$W$103,19,FALSE)/9</f>
        <v>1287.88955555556</v>
      </c>
      <c r="W286" s="42">
        <f>SUMIFS('08-21addition'!$C:$C,'08-21addition'!$A:$A,$B154,'08-21addition'!$B:$B,W$2)*10+SUMIFS(Nuclear!$M:$M,Nuclear!$H:$H,$B253,Nuclear!$R:$R,X$2)+VLOOKUP($B286,'project vs stock'!$A$72:$W$103,19,FALSE)/9</f>
        <v>1276.18955555556</v>
      </c>
      <c r="X286" s="42">
        <f>SUMIFS('08-21addition'!$C:$C,'08-21addition'!$A:$A,$B154,'08-21addition'!$B:$B,X$2)*10+SUMIFS(Nuclear!$M:$M,Nuclear!$H:$H,$B253,Nuclear!$R:$R,Y$2)+VLOOKUP($B286,'project vs stock'!$A$72:$W$103,19,FALSE)/9</f>
        <v>270.289555555556</v>
      </c>
      <c r="Y286" s="42">
        <f>SUMIFS('08-21addition'!$C:$C,'08-21addition'!$A:$A,$B154,'08-21addition'!$B:$B,Y$2)*10+SUMIFS(Nuclear!$M:$M,Nuclear!$H:$H,$B253,Nuclear!$R:$R,Z$2)+VLOOKUP($B286,'project vs stock'!$A$72:$W$103,19,FALSE)/9</f>
        <v>1477.18955555556</v>
      </c>
      <c r="Z286" s="42">
        <f>SUMIFS('08-21addition'!$C:$C,'08-21addition'!$A:$A,$B154,'08-21addition'!$B:$B,Z$2)*10+SUMIFS(Nuclear!$M:$M,Nuclear!$H:$H,$B253,Nuclear!$R:$R,AA$2)+VLOOKUP($B286,'project vs stock'!$A$72:$W$103,19,FALSE)/9</f>
        <v>233.389555555556</v>
      </c>
      <c r="AA286" s="42">
        <f>SUMIFS('08-21addition'!$C:$C,'08-21addition'!$A:$A,$B154,'08-21addition'!$B:$B,AA$2)*10+SUMIFS(Nuclear!$M:$M,Nuclear!$H:$H,$B253,Nuclear!$R:$R,AB$2)+VLOOKUP($B286,'project vs stock'!$A$72:$W$103,19,FALSE)/9</f>
        <v>2506.98955555556</v>
      </c>
      <c r="AB286" s="42">
        <f>SUMIFS('08-21addition'!$C:$C,'08-21addition'!$A:$A,$B154,'08-21addition'!$B:$B,AB$2)*10+SUMIFS(Nuclear!$M:$M,Nuclear!$H:$H,$B253,Nuclear!$R:$R,AC$2)+VLOOKUP($B286,'project vs stock'!$A$72:$W$103,19,FALSE)/9</f>
        <v>284.389555555556</v>
      </c>
      <c r="AC286" s="42">
        <f>SUMIFS('08-21addition'!$C:$C,'08-21addition'!$A:$A,$B154,'08-21addition'!$B:$B,AC$2)*10+SUMIFS(Nuclear!$M:$M,Nuclear!$H:$H,$B253,Nuclear!$R:$R,AD$2)+VLOOKUP($B286,'project vs stock'!$A$72:$W$103,19,FALSE)/9</f>
        <v>1276.88955555556</v>
      </c>
      <c r="AD286" s="42">
        <f>SUMIFS('08-21addition'!$C:$C,'08-21addition'!$A:$A,$B154,'08-21addition'!$B:$B,AD$2)*10+SUMIFS(Nuclear!$M:$M,Nuclear!$H:$H,$B253,Nuclear!$R:$R,AD$2)+VLOOKUP($B286,'project vs stock'!$A$72:$W$103,3,FALSE)/5</f>
        <v>1634</v>
      </c>
      <c r="AE286" s="42">
        <f>SUMIFS('08-21addition'!$C:$C,'08-21addition'!$A:$A,$B154,'08-21addition'!$B:$B,AE$2)*10+SUMIFS(Nuclear!$M:$M,Nuclear!$H:$H,$B253,Nuclear!$R:$R,AE$2)+VLOOKUP($B286,'project vs stock'!$A$72:$W$103,3,FALSE)/5</f>
        <v>3116.2</v>
      </c>
      <c r="AF286" s="42">
        <f>SUMIFS('08-21addition'!$C:$C,'08-21addition'!$A:$A,$B154,'08-21addition'!$B:$B,AF$2)*10+SUMIFS(Nuclear!$M:$M,Nuclear!$H:$H,$B253,Nuclear!$R:$R,AF$2)+VLOOKUP($B286,'project vs stock'!$A$72:$W$103,3,FALSE)/5</f>
        <v>3401.4</v>
      </c>
    </row>
    <row r="287" ht="13.85" spans="1:32">
      <c r="A287" s="27" t="s">
        <v>157</v>
      </c>
      <c r="B287" s="44" t="s">
        <v>120</v>
      </c>
      <c r="C287" s="45"/>
      <c r="D287" s="45"/>
      <c r="E287" s="45"/>
      <c r="F287" s="42">
        <f>VLOOKUP($B287,'93-07workbook'!$B$109:$Q$140,COLUMN(B$1),FALSE)</f>
        <v>546</v>
      </c>
      <c r="G287" s="42">
        <f>VLOOKUP($B287,'93-07workbook'!$B$109:$Q$140,COLUMN(C$1),FALSE)</f>
        <v>546</v>
      </c>
      <c r="H287" s="42">
        <f>VLOOKUP($B287,'93-07workbook'!$B$109:$Q$140,COLUMN(D$1),FALSE)</f>
        <v>371.7</v>
      </c>
      <c r="I287" s="42">
        <f>VLOOKUP($B287,'93-07workbook'!$B$109:$Q$140,COLUMN(E$1),FALSE)</f>
        <v>356.7</v>
      </c>
      <c r="J287" s="42">
        <f>VLOOKUP($B287,'93-07workbook'!$B$109:$Q$140,COLUMN(F$1),FALSE)</f>
        <v>544.1</v>
      </c>
      <c r="K287" s="42">
        <f>VLOOKUP($B287,'93-07workbook'!$B$109:$Q$140,COLUMN(G$1),FALSE)</f>
        <v>532.9</v>
      </c>
      <c r="L287" s="42">
        <f>VLOOKUP($B287,'93-07workbook'!$B$109:$Q$140,COLUMN(H$1),FALSE)</f>
        <v>571.500000000001</v>
      </c>
      <c r="M287" s="42">
        <f>VLOOKUP($B287,'93-07workbook'!$B$109:$Q$140,COLUMN(I$1),FALSE)</f>
        <v>1179</v>
      </c>
      <c r="N287" s="42">
        <f>VLOOKUP($B287,'93-07workbook'!$B$109:$Q$140,COLUMN(J$1),FALSE)</f>
        <v>1667.3</v>
      </c>
      <c r="O287" s="42">
        <f>VLOOKUP($B287,'93-07workbook'!$B$109:$Q$140,COLUMN(K$1),FALSE)</f>
        <v>119.599999999999</v>
      </c>
      <c r="P287" s="42">
        <f>VLOOKUP($B287,'93-07workbook'!$B$109:$Q$140,COLUMN(L$1),FALSE)</f>
        <v>161.900000000001</v>
      </c>
      <c r="Q287" s="42">
        <f>VLOOKUP($B287,'93-07workbook'!$B$109:$Q$140,COLUMN(M$1),FALSE)</f>
        <v>0</v>
      </c>
      <c r="R287" s="42">
        <f>VLOOKUP($B287,'93-07workbook'!$B$109:$Q$140,COLUMN(N$1),FALSE)</f>
        <v>1044.6</v>
      </c>
      <c r="S287" s="42">
        <f>VLOOKUP($B287,'93-07workbook'!$B$109:$Q$140,COLUMN(O$1),FALSE)</f>
        <v>1576</v>
      </c>
      <c r="T287" s="42">
        <f>VLOOKUP($B287,'93-07workbook'!$B$109:$Q$140,COLUMN(P$1),FALSE)</f>
        <v>2830.152</v>
      </c>
      <c r="U287" s="42">
        <f>SUMIFS('08-21addition'!$C:$C,'08-21addition'!$A:$A,$B155,'08-21addition'!$B:$B,U$2)*10+SUMIFS(Nuclear!$M:$M,Nuclear!$H:$H,$B254,Nuclear!$R:$R,V$2)+VLOOKUP($B287,'project vs stock'!$A$72:$W$103,19,FALSE)/9</f>
        <v>92.7192222222224</v>
      </c>
      <c r="V287" s="42">
        <f>SUMIFS('08-21addition'!$C:$C,'08-21addition'!$A:$A,$B155,'08-21addition'!$B:$B,V$2)*10+SUMIFS(Nuclear!$M:$M,Nuclear!$H:$H,$B254,Nuclear!$R:$R,W$2)+VLOOKUP($B287,'project vs stock'!$A$72:$W$103,19,FALSE)/9</f>
        <v>92.7192222222224</v>
      </c>
      <c r="W287" s="42">
        <f>SUMIFS('08-21addition'!$C:$C,'08-21addition'!$A:$A,$B155,'08-21addition'!$B:$B,W$2)*10+SUMIFS(Nuclear!$M:$M,Nuclear!$H:$H,$B254,Nuclear!$R:$R,X$2)+VLOOKUP($B287,'project vs stock'!$A$72:$W$103,19,FALSE)/9</f>
        <v>92.7192222222224</v>
      </c>
      <c r="X287" s="42">
        <f>SUMIFS('08-21addition'!$C:$C,'08-21addition'!$A:$A,$B155,'08-21addition'!$B:$B,X$2)*10+SUMIFS(Nuclear!$M:$M,Nuclear!$H:$H,$B254,Nuclear!$R:$R,Y$2)+VLOOKUP($B287,'project vs stock'!$A$72:$W$103,19,FALSE)/9</f>
        <v>142.219222222222</v>
      </c>
      <c r="Y287" s="42">
        <f>SUMIFS('08-21addition'!$C:$C,'08-21addition'!$A:$A,$B155,'08-21addition'!$B:$B,Y$2)*10+SUMIFS(Nuclear!$M:$M,Nuclear!$H:$H,$B254,Nuclear!$R:$R,Z$2)+VLOOKUP($B287,'project vs stock'!$A$72:$W$103,19,FALSE)/9</f>
        <v>142.219222222222</v>
      </c>
      <c r="Z287" s="42">
        <f>SUMIFS('08-21addition'!$C:$C,'08-21addition'!$A:$A,$B155,'08-21addition'!$B:$B,Z$2)*10+SUMIFS(Nuclear!$M:$M,Nuclear!$H:$H,$B254,Nuclear!$R:$R,AA$2)+VLOOKUP($B287,'project vs stock'!$A$72:$W$103,19,FALSE)/9</f>
        <v>143.719222222222</v>
      </c>
      <c r="AA287" s="42">
        <f>SUMIFS('08-21addition'!$C:$C,'08-21addition'!$A:$A,$B155,'08-21addition'!$B:$B,AA$2)*10+SUMIFS(Nuclear!$M:$M,Nuclear!$H:$H,$B254,Nuclear!$R:$R,AB$2)+VLOOKUP($B287,'project vs stock'!$A$72:$W$103,19,FALSE)/9</f>
        <v>1178.71922222222</v>
      </c>
      <c r="AB287" s="42">
        <f>SUMIFS('08-21addition'!$C:$C,'08-21addition'!$A:$A,$B155,'08-21addition'!$B:$B,AB$2)*10+SUMIFS(Nuclear!$M:$M,Nuclear!$H:$H,$B254,Nuclear!$R:$R,AC$2)+VLOOKUP($B287,'project vs stock'!$A$72:$W$103,19,FALSE)/9</f>
        <v>1474.21922222222</v>
      </c>
      <c r="AC287" s="42">
        <f>SUMIFS('08-21addition'!$C:$C,'08-21addition'!$A:$A,$B155,'08-21addition'!$B:$B,AC$2)*10+SUMIFS(Nuclear!$M:$M,Nuclear!$H:$H,$B254,Nuclear!$R:$R,AD$2)+VLOOKUP($B287,'project vs stock'!$A$72:$W$103,19,FALSE)/9</f>
        <v>442.219222222222</v>
      </c>
      <c r="AD287" s="42">
        <f>SUMIFS('08-21addition'!$C:$C,'08-21addition'!$A:$A,$B155,'08-21addition'!$B:$B,AD$2)*10+SUMIFS(Nuclear!$M:$M,Nuclear!$H:$H,$B254,Nuclear!$R:$R,AD$2)+VLOOKUP($B287,'project vs stock'!$A$72:$W$103,3,FALSE)/5</f>
        <v>816.7</v>
      </c>
      <c r="AE287" s="42">
        <f>SUMIFS('08-21addition'!$C:$C,'08-21addition'!$A:$A,$B155,'08-21addition'!$B:$B,AE$2)*10+SUMIFS(Nuclear!$M:$M,Nuclear!$H:$H,$B254,Nuclear!$R:$R,AE$2)+VLOOKUP($B287,'project vs stock'!$A$72:$W$103,3,FALSE)/5</f>
        <v>614.2</v>
      </c>
      <c r="AF287" s="42">
        <f>SUMIFS('08-21addition'!$C:$C,'08-21addition'!$A:$A,$B155,'08-21addition'!$B:$B,AF$2)*10+SUMIFS(Nuclear!$M:$M,Nuclear!$H:$H,$B254,Nuclear!$R:$R,AF$2)+VLOOKUP($B287,'project vs stock'!$A$72:$W$103,3,FALSE)/5</f>
        <v>900.3</v>
      </c>
    </row>
    <row r="288" ht="13.85" spans="1:32">
      <c r="A288" s="27" t="s">
        <v>157</v>
      </c>
      <c r="B288" s="44" t="s">
        <v>122</v>
      </c>
      <c r="C288" s="45"/>
      <c r="D288" s="45"/>
      <c r="E288" s="45"/>
      <c r="F288" s="42">
        <f>VLOOKUP($B288,'93-07workbook'!$B$109:$Q$140,COLUMN(B$1),FALSE)</f>
        <v>60</v>
      </c>
      <c r="G288" s="42">
        <f>VLOOKUP($B288,'93-07workbook'!$B$109:$Q$140,COLUMN(C$1),FALSE)</f>
        <v>113.6</v>
      </c>
      <c r="H288" s="42">
        <f>VLOOKUP($B288,'93-07workbook'!$B$109:$Q$140,COLUMN(D$1),FALSE)</f>
        <v>120</v>
      </c>
      <c r="I288" s="42">
        <f>VLOOKUP($B288,'93-07workbook'!$B$109:$Q$140,COLUMN(E$1),FALSE)</f>
        <v>60</v>
      </c>
      <c r="J288" s="42">
        <f>VLOOKUP($B288,'93-07workbook'!$B$109:$Q$140,COLUMN(F$1),FALSE)</f>
        <v>0</v>
      </c>
      <c r="K288" s="42">
        <f>VLOOKUP($B288,'93-07workbook'!$B$109:$Q$140,COLUMN(G$1),FALSE)</f>
        <v>26</v>
      </c>
      <c r="L288" s="42">
        <f>VLOOKUP($B288,'93-07workbook'!$B$109:$Q$140,COLUMN(H$1),FALSE)</f>
        <v>1.59999999999997</v>
      </c>
      <c r="M288" s="42">
        <f>VLOOKUP($B288,'93-07workbook'!$B$109:$Q$140,COLUMN(I$1),FALSE)</f>
        <v>1.89999999999998</v>
      </c>
      <c r="N288" s="42">
        <f>VLOOKUP($B288,'93-07workbook'!$B$109:$Q$140,COLUMN(J$1),FALSE)</f>
        <v>1.30000000000003</v>
      </c>
      <c r="O288" s="42">
        <f>VLOOKUP($B288,'93-07workbook'!$B$109:$Q$140,COLUMN(K$1),FALSE)</f>
        <v>9.3</v>
      </c>
      <c r="P288" s="42">
        <f>VLOOKUP($B288,'93-07workbook'!$B$109:$Q$140,COLUMN(L$1),FALSE)</f>
        <v>3.90000000000001</v>
      </c>
      <c r="Q288" s="42">
        <f>VLOOKUP($B288,'93-07workbook'!$B$109:$Q$140,COLUMN(M$1),FALSE)</f>
        <v>10.8</v>
      </c>
      <c r="R288" s="42">
        <f>VLOOKUP($B288,'93-07workbook'!$B$109:$Q$140,COLUMN(N$1),FALSE)</f>
        <v>11.8</v>
      </c>
      <c r="S288" s="42">
        <f>VLOOKUP($B288,'93-07workbook'!$B$109:$Q$140,COLUMN(O$1),FALSE)</f>
        <v>15</v>
      </c>
      <c r="T288" s="42">
        <f>VLOOKUP($B288,'93-07workbook'!$B$109:$Q$140,COLUMN(P$1),FALSE)</f>
        <v>20</v>
      </c>
      <c r="U288" s="42">
        <f>SUMIFS('08-21addition'!$C:$C,'08-21addition'!$A:$A,$B156,'08-21addition'!$B:$B,U$2)*10+SUMIFS(Nuclear!$M:$M,Nuclear!$H:$H,$B255,Nuclear!$R:$R,V$2)+VLOOKUP($B288,'project vs stock'!$A$72:$W$103,19,FALSE)/9</f>
        <v>69.1111111111111</v>
      </c>
      <c r="V288" s="42">
        <f>SUMIFS('08-21addition'!$C:$C,'08-21addition'!$A:$A,$B156,'08-21addition'!$B:$B,V$2)*10+SUMIFS(Nuclear!$M:$M,Nuclear!$H:$H,$B255,Nuclear!$R:$R,W$2)+VLOOKUP($B288,'project vs stock'!$A$72:$W$103,19,FALSE)/9</f>
        <v>96.6111111111111</v>
      </c>
      <c r="W288" s="42">
        <f>SUMIFS('08-21addition'!$C:$C,'08-21addition'!$A:$A,$B156,'08-21addition'!$B:$B,W$2)*10+SUMIFS(Nuclear!$M:$M,Nuclear!$H:$H,$B255,Nuclear!$R:$R,X$2)+VLOOKUP($B288,'project vs stock'!$A$72:$W$103,19,FALSE)/9</f>
        <v>155.611111111111</v>
      </c>
      <c r="X288" s="42">
        <f>SUMIFS('08-21addition'!$C:$C,'08-21addition'!$A:$A,$B156,'08-21addition'!$B:$B,X$2)*10+SUMIFS(Nuclear!$M:$M,Nuclear!$H:$H,$B255,Nuclear!$R:$R,Y$2)+VLOOKUP($B288,'project vs stock'!$A$72:$W$103,19,FALSE)/9</f>
        <v>19.1111111111111</v>
      </c>
      <c r="Y288" s="42">
        <f>SUMIFS('08-21addition'!$C:$C,'08-21addition'!$A:$A,$B156,'08-21addition'!$B:$B,Y$2)*10+SUMIFS(Nuclear!$M:$M,Nuclear!$H:$H,$B255,Nuclear!$R:$R,Z$2)+VLOOKUP($B288,'project vs stock'!$A$72:$W$103,19,FALSE)/9</f>
        <v>67.1111111111111</v>
      </c>
      <c r="Z288" s="42">
        <f>SUMIFS('08-21addition'!$C:$C,'08-21addition'!$A:$A,$B156,'08-21addition'!$B:$B,Z$2)*10+SUMIFS(Nuclear!$M:$M,Nuclear!$H:$H,$B255,Nuclear!$R:$R,AA$2)+VLOOKUP($B288,'project vs stock'!$A$72:$W$103,19,FALSE)/9</f>
        <v>19.1111111111111</v>
      </c>
      <c r="AA288" s="42">
        <f>SUMIFS('08-21addition'!$C:$C,'08-21addition'!$A:$A,$B156,'08-21addition'!$B:$B,AA$2)*10+SUMIFS(Nuclear!$M:$M,Nuclear!$H:$H,$B255,Nuclear!$R:$R,AB$2)+VLOOKUP($B288,'project vs stock'!$A$72:$W$103,19,FALSE)/9</f>
        <v>669.111111111111</v>
      </c>
      <c r="AB288" s="42">
        <f>SUMIFS('08-21addition'!$C:$C,'08-21addition'!$A:$A,$B156,'08-21addition'!$B:$B,AB$2)*10+SUMIFS(Nuclear!$M:$M,Nuclear!$H:$H,$B255,Nuclear!$R:$R,AC$2)+VLOOKUP($B288,'project vs stock'!$A$72:$W$103,19,FALSE)/9</f>
        <v>669.111111111111</v>
      </c>
      <c r="AC288" s="42">
        <f>SUMIFS('08-21addition'!$C:$C,'08-21addition'!$A:$A,$B156,'08-21addition'!$B:$B,AC$2)*10+SUMIFS(Nuclear!$M:$M,Nuclear!$H:$H,$B255,Nuclear!$R:$R,AD$2)+VLOOKUP($B288,'project vs stock'!$A$72:$W$103,19,FALSE)/9</f>
        <v>19.1111111111111</v>
      </c>
      <c r="AD288" s="42">
        <f>SUMIFS('08-21addition'!$C:$C,'08-21addition'!$A:$A,$B156,'08-21addition'!$B:$B,AD$2)*10+SUMIFS(Nuclear!$M:$M,Nuclear!$H:$H,$B255,Nuclear!$R:$R,AD$2)+VLOOKUP($B288,'project vs stock'!$A$72:$W$103,3,FALSE)/5</f>
        <v>2.8</v>
      </c>
      <c r="AE288" s="42">
        <f>SUMIFS('08-21addition'!$C:$C,'08-21addition'!$A:$A,$B156,'08-21addition'!$B:$B,AE$2)*10+SUMIFS(Nuclear!$M:$M,Nuclear!$H:$H,$B255,Nuclear!$R:$R,AE$2)+VLOOKUP($B288,'project vs stock'!$A$72:$W$103,3,FALSE)/5</f>
        <v>2.8</v>
      </c>
      <c r="AF288" s="42">
        <f>SUMIFS('08-21addition'!$C:$C,'08-21addition'!$A:$A,$B156,'08-21addition'!$B:$B,AF$2)*10+SUMIFS(Nuclear!$M:$M,Nuclear!$H:$H,$B255,Nuclear!$R:$R,AF$2)+VLOOKUP($B288,'project vs stock'!$A$72:$W$103,3,FALSE)/5</f>
        <v>2.8</v>
      </c>
    </row>
    <row r="289" ht="13.85" spans="1:32">
      <c r="A289" s="27" t="s">
        <v>157</v>
      </c>
      <c r="B289" s="44" t="s">
        <v>124</v>
      </c>
      <c r="C289" s="45"/>
      <c r="D289" s="45"/>
      <c r="E289" s="45"/>
      <c r="F289" s="42">
        <f>VLOOKUP($B289,'93-07workbook'!$B$109:$Q$140,COLUMN(B$1),FALSE)</f>
        <v>0</v>
      </c>
      <c r="G289" s="42">
        <f>VLOOKUP($B289,'93-07workbook'!$B$109:$Q$140,COLUMN(C$1),FALSE)</f>
        <v>0</v>
      </c>
      <c r="H289" s="42">
        <f>VLOOKUP($B289,'93-07workbook'!$B$109:$Q$140,COLUMN(D$1),FALSE)</f>
        <v>0</v>
      </c>
      <c r="I289" s="42">
        <f>VLOOKUP($B289,'93-07workbook'!$B$109:$Q$140,COLUMN(E$1),FALSE)</f>
        <v>0</v>
      </c>
      <c r="J289" s="42">
        <f>VLOOKUP($B289,'93-07workbook'!$B$109:$Q$140,COLUMN(F$1),FALSE)</f>
        <v>835.6</v>
      </c>
      <c r="K289" s="42">
        <f>VLOOKUP($B289,'93-07workbook'!$B$109:$Q$140,COLUMN(G$1),FALSE)</f>
        <v>600</v>
      </c>
      <c r="L289" s="42">
        <f>VLOOKUP($B289,'93-07workbook'!$B$109:$Q$140,COLUMN(H$1),FALSE)</f>
        <v>233.9</v>
      </c>
      <c r="M289" s="42">
        <f>VLOOKUP($B289,'93-07workbook'!$B$109:$Q$140,COLUMN(I$1),FALSE)</f>
        <v>256.7</v>
      </c>
      <c r="N289" s="42">
        <f>VLOOKUP($B289,'93-07workbook'!$B$109:$Q$140,COLUMN(J$1),FALSE)</f>
        <v>0</v>
      </c>
      <c r="O289" s="42">
        <f>VLOOKUP($B289,'93-07workbook'!$B$109:$Q$140,COLUMN(K$1),FALSE)</f>
        <v>0</v>
      </c>
      <c r="P289" s="42">
        <f>VLOOKUP($B289,'93-07workbook'!$B$109:$Q$140,COLUMN(L$1),FALSE)</f>
        <v>134.3</v>
      </c>
      <c r="Q289" s="42">
        <f>VLOOKUP($B289,'93-07workbook'!$B$109:$Q$140,COLUMN(M$1),FALSE)</f>
        <v>78.1</v>
      </c>
      <c r="R289" s="42">
        <f>VLOOKUP($B289,'93-07workbook'!$B$109:$Q$140,COLUMN(N$1),FALSE)</f>
        <v>504.1</v>
      </c>
      <c r="S289" s="42">
        <f>VLOOKUP($B289,'93-07workbook'!$B$109:$Q$140,COLUMN(O$1),FALSE)</f>
        <v>88.0000000000002</v>
      </c>
      <c r="T289" s="42">
        <f>VLOOKUP($B289,'93-07workbook'!$B$109:$Q$140,COLUMN(P$1),FALSE)</f>
        <v>305.5</v>
      </c>
      <c r="U289" s="42">
        <f>SUMIFS('08-21addition'!$C:$C,'08-21addition'!$A:$A,$B157,'08-21addition'!$B:$B,U$2)*10+SUMIFS(Nuclear!$M:$M,Nuclear!$H:$H,$B256,Nuclear!$R:$R,V$2)+VLOOKUP($B289,'project vs stock'!$A$72:$W$103,19,FALSE)/9</f>
        <v>38.6666666666667</v>
      </c>
      <c r="V289" s="42">
        <f>SUMIFS('08-21addition'!$C:$C,'08-21addition'!$A:$A,$B157,'08-21addition'!$B:$B,V$2)*10+SUMIFS(Nuclear!$M:$M,Nuclear!$H:$H,$B256,Nuclear!$R:$R,W$2)+VLOOKUP($B289,'project vs stock'!$A$72:$W$103,19,FALSE)/9</f>
        <v>87.9666666666667</v>
      </c>
      <c r="W289" s="42">
        <f>SUMIFS('08-21addition'!$C:$C,'08-21addition'!$A:$A,$B157,'08-21addition'!$B:$B,W$2)*10+SUMIFS(Nuclear!$M:$M,Nuclear!$H:$H,$B256,Nuclear!$R:$R,X$2)+VLOOKUP($B289,'project vs stock'!$A$72:$W$103,19,FALSE)/9</f>
        <v>72.6666666666667</v>
      </c>
      <c r="X289" s="42">
        <f>SUMIFS('08-21addition'!$C:$C,'08-21addition'!$A:$A,$B157,'08-21addition'!$B:$B,X$2)*10+SUMIFS(Nuclear!$M:$M,Nuclear!$H:$H,$B256,Nuclear!$R:$R,Y$2)+VLOOKUP($B289,'project vs stock'!$A$72:$W$103,19,FALSE)/9</f>
        <v>38.6666666666667</v>
      </c>
      <c r="Y289" s="42">
        <f>SUMIFS('08-21addition'!$C:$C,'08-21addition'!$A:$A,$B157,'08-21addition'!$B:$B,Y$2)*10+SUMIFS(Nuclear!$M:$M,Nuclear!$H:$H,$B256,Nuclear!$R:$R,Z$2)+VLOOKUP($B289,'project vs stock'!$A$72:$W$103,19,FALSE)/9</f>
        <v>38.6666666666667</v>
      </c>
      <c r="Z289" s="42">
        <f>SUMIFS('08-21addition'!$C:$C,'08-21addition'!$A:$A,$B157,'08-21addition'!$B:$B,Z$2)*10+SUMIFS(Nuclear!$M:$M,Nuclear!$H:$H,$B256,Nuclear!$R:$R,AA$2)+VLOOKUP($B289,'project vs stock'!$A$72:$W$103,19,FALSE)/9</f>
        <v>88.1666666666667</v>
      </c>
      <c r="AA289" s="42">
        <f>SUMIFS('08-21addition'!$C:$C,'08-21addition'!$A:$A,$B157,'08-21addition'!$B:$B,AA$2)*10+SUMIFS(Nuclear!$M:$M,Nuclear!$H:$H,$B256,Nuclear!$R:$R,AB$2)+VLOOKUP($B289,'project vs stock'!$A$72:$W$103,19,FALSE)/9</f>
        <v>38.6666666666667</v>
      </c>
      <c r="AB289" s="42">
        <f>SUMIFS('08-21addition'!$C:$C,'08-21addition'!$A:$A,$B157,'08-21addition'!$B:$B,AB$2)*10+SUMIFS(Nuclear!$M:$M,Nuclear!$H:$H,$B256,Nuclear!$R:$R,AC$2)+VLOOKUP($B289,'project vs stock'!$A$72:$W$103,19,FALSE)/9</f>
        <v>270.666666666667</v>
      </c>
      <c r="AC289" s="42">
        <f>SUMIFS('08-21addition'!$C:$C,'08-21addition'!$A:$A,$B157,'08-21addition'!$B:$B,AC$2)*10+SUMIFS(Nuclear!$M:$M,Nuclear!$H:$H,$B256,Nuclear!$R:$R,AD$2)+VLOOKUP($B289,'project vs stock'!$A$72:$W$103,19,FALSE)/9</f>
        <v>138.166666666667</v>
      </c>
      <c r="AD289" s="42">
        <f>SUMIFS('08-21addition'!$C:$C,'08-21addition'!$A:$A,$B157,'08-21addition'!$B:$B,AD$2)*10+SUMIFS(Nuclear!$M:$M,Nuclear!$H:$H,$B256,Nuclear!$R:$R,AD$2)+VLOOKUP($B289,'project vs stock'!$A$72:$W$103,3,FALSE)/5</f>
        <v>137.5</v>
      </c>
      <c r="AE289" s="42">
        <f>SUMIFS('08-21addition'!$C:$C,'08-21addition'!$A:$A,$B157,'08-21addition'!$B:$B,AE$2)*10+SUMIFS(Nuclear!$M:$M,Nuclear!$H:$H,$B256,Nuclear!$R:$R,AE$2)+VLOOKUP($B289,'project vs stock'!$A$72:$W$103,3,FALSE)/5</f>
        <v>190.9</v>
      </c>
      <c r="AF289" s="42">
        <f>SUMIFS('08-21addition'!$C:$C,'08-21addition'!$A:$A,$B157,'08-21addition'!$B:$B,AF$2)*10+SUMIFS(Nuclear!$M:$M,Nuclear!$H:$H,$B256,Nuclear!$R:$R,AF$2)+VLOOKUP($B289,'project vs stock'!$A$72:$W$103,3,FALSE)/5</f>
        <v>184</v>
      </c>
    </row>
    <row r="290" ht="13.85" spans="1:32">
      <c r="A290" s="27" t="s">
        <v>157</v>
      </c>
      <c r="B290" s="44" t="s">
        <v>126</v>
      </c>
      <c r="C290" s="45"/>
      <c r="D290" s="45"/>
      <c r="E290" s="45"/>
      <c r="F290" s="42">
        <f>VLOOKUP($B290,'93-07workbook'!$B$109:$Q$140,COLUMN(B$1),FALSE)</f>
        <v>419.7</v>
      </c>
      <c r="G290" s="42">
        <f>VLOOKUP($B290,'93-07workbook'!$B$109:$Q$140,COLUMN(C$1),FALSE)</f>
        <v>495.4</v>
      </c>
      <c r="H290" s="42">
        <f>VLOOKUP($B290,'93-07workbook'!$B$109:$Q$140,COLUMN(D$1),FALSE)</f>
        <v>536.1</v>
      </c>
      <c r="I290" s="42">
        <f>VLOOKUP($B290,'93-07workbook'!$B$109:$Q$140,COLUMN(E$1),FALSE)</f>
        <v>833.8</v>
      </c>
      <c r="J290" s="42">
        <f>VLOOKUP($B290,'93-07workbook'!$B$109:$Q$140,COLUMN(F$1),FALSE)</f>
        <v>654.9</v>
      </c>
      <c r="K290" s="42">
        <f>VLOOKUP($B290,'93-07workbook'!$B$109:$Q$140,COLUMN(G$1),FALSE)</f>
        <v>1623.5</v>
      </c>
      <c r="L290" s="42">
        <f>VLOOKUP($B290,'93-07workbook'!$B$109:$Q$140,COLUMN(H$1),FALSE)</f>
        <v>2711</v>
      </c>
      <c r="M290" s="42">
        <f>VLOOKUP($B290,'93-07workbook'!$B$109:$Q$140,COLUMN(I$1),FALSE)</f>
        <v>2335.6</v>
      </c>
      <c r="N290" s="42">
        <f>VLOOKUP($B290,'93-07workbook'!$B$109:$Q$140,COLUMN(J$1),FALSE)</f>
        <v>523.200000000002</v>
      </c>
      <c r="O290" s="42">
        <f>VLOOKUP($B290,'93-07workbook'!$B$109:$Q$140,COLUMN(K$1),FALSE)</f>
        <v>323.099999999999</v>
      </c>
      <c r="P290" s="42">
        <f>VLOOKUP($B290,'93-07workbook'!$B$109:$Q$140,COLUMN(L$1),FALSE)</f>
        <v>486.900000000001</v>
      </c>
      <c r="Q290" s="42">
        <f>VLOOKUP($B290,'93-07workbook'!$B$109:$Q$140,COLUMN(M$1),FALSE)</f>
        <v>1041.4</v>
      </c>
      <c r="R290" s="42">
        <f>VLOOKUP($B290,'93-07workbook'!$B$109:$Q$140,COLUMN(N$1),FALSE)</f>
        <v>1577.1</v>
      </c>
      <c r="S290" s="42">
        <f>VLOOKUP($B290,'93-07workbook'!$B$109:$Q$140,COLUMN(O$1),FALSE)</f>
        <v>2855</v>
      </c>
      <c r="T290" s="42">
        <f>VLOOKUP($B290,'93-07workbook'!$B$109:$Q$140,COLUMN(P$1),FALSE)</f>
        <v>4383.699</v>
      </c>
      <c r="U290" s="42">
        <f>SUMIFS('08-21addition'!$C:$C,'08-21addition'!$A:$A,$B158,'08-21addition'!$B:$B,U$2)*10+SUMIFS(Nuclear!$M:$M,Nuclear!$H:$H,$B257,Nuclear!$R:$R,V$2)+VLOOKUP($B290,'project vs stock'!$A$72:$W$103,19,FALSE)/9</f>
        <v>842.336111111111</v>
      </c>
      <c r="V290" s="42">
        <f>SUMIFS('08-21addition'!$C:$C,'08-21addition'!$A:$A,$B158,'08-21addition'!$B:$B,V$2)*10+SUMIFS(Nuclear!$M:$M,Nuclear!$H:$H,$B257,Nuclear!$R:$R,W$2)+VLOOKUP($B290,'project vs stock'!$A$72:$W$103,19,FALSE)/9</f>
        <v>842.336111111111</v>
      </c>
      <c r="W290" s="42">
        <f>SUMIFS('08-21addition'!$C:$C,'08-21addition'!$A:$A,$B158,'08-21addition'!$B:$B,W$2)*10+SUMIFS(Nuclear!$M:$M,Nuclear!$H:$H,$B257,Nuclear!$R:$R,X$2)+VLOOKUP($B290,'project vs stock'!$A$72:$W$103,19,FALSE)/9</f>
        <v>842.336111111111</v>
      </c>
      <c r="X290" s="42">
        <f>SUMIFS('08-21addition'!$C:$C,'08-21addition'!$A:$A,$B158,'08-21addition'!$B:$B,X$2)*10+SUMIFS(Nuclear!$M:$M,Nuclear!$H:$H,$B257,Nuclear!$R:$R,Y$2)+VLOOKUP($B290,'project vs stock'!$A$72:$W$103,19,FALSE)/9</f>
        <v>858.336111111111</v>
      </c>
      <c r="Y290" s="42">
        <f>SUMIFS('08-21addition'!$C:$C,'08-21addition'!$A:$A,$B158,'08-21addition'!$B:$B,Y$2)*10+SUMIFS(Nuclear!$M:$M,Nuclear!$H:$H,$B257,Nuclear!$R:$R,Z$2)+VLOOKUP($B290,'project vs stock'!$A$72:$W$103,19,FALSE)/9</f>
        <v>842.336111111111</v>
      </c>
      <c r="Z290" s="42">
        <f>SUMIFS('08-21addition'!$C:$C,'08-21addition'!$A:$A,$B158,'08-21addition'!$B:$B,Z$2)*10+SUMIFS(Nuclear!$M:$M,Nuclear!$H:$H,$B257,Nuclear!$R:$R,AA$2)+VLOOKUP($B290,'project vs stock'!$A$72:$W$103,19,FALSE)/9</f>
        <v>935.836111111111</v>
      </c>
      <c r="AA290" s="42">
        <f>SUMIFS('08-21addition'!$C:$C,'08-21addition'!$A:$A,$B158,'08-21addition'!$B:$B,AA$2)*10+SUMIFS(Nuclear!$M:$M,Nuclear!$H:$H,$B257,Nuclear!$R:$R,AB$2)+VLOOKUP($B290,'project vs stock'!$A$72:$W$103,19,FALSE)/9</f>
        <v>1167.83611111111</v>
      </c>
      <c r="AB290" s="42">
        <f>SUMIFS('08-21addition'!$C:$C,'08-21addition'!$A:$A,$B158,'08-21addition'!$B:$B,AB$2)*10+SUMIFS(Nuclear!$M:$M,Nuclear!$H:$H,$B257,Nuclear!$R:$R,AC$2)+VLOOKUP($B290,'project vs stock'!$A$72:$W$103,19,FALSE)/9</f>
        <v>1421.33611111111</v>
      </c>
      <c r="AC290" s="42">
        <f>SUMIFS('08-21addition'!$C:$C,'08-21addition'!$A:$A,$B158,'08-21addition'!$B:$B,AC$2)*10+SUMIFS(Nuclear!$M:$M,Nuclear!$H:$H,$B257,Nuclear!$R:$R,AD$2)+VLOOKUP($B290,'project vs stock'!$A$72:$W$103,19,FALSE)/9</f>
        <v>1517.83611111111</v>
      </c>
      <c r="AD290" s="42">
        <f>SUMIFS('08-21addition'!$C:$C,'08-21addition'!$A:$A,$B158,'08-21addition'!$B:$B,AD$2)*10+SUMIFS(Nuclear!$M:$M,Nuclear!$H:$H,$B257,Nuclear!$R:$R,AD$2)+VLOOKUP($B290,'project vs stock'!$A$72:$W$103,3,FALSE)/5</f>
        <v>1259.5</v>
      </c>
      <c r="AE290" s="42">
        <f>SUMIFS('08-21addition'!$C:$C,'08-21addition'!$A:$A,$B158,'08-21addition'!$B:$B,AE$2)*10+SUMIFS(Nuclear!$M:$M,Nuclear!$H:$H,$B257,Nuclear!$R:$R,AE$2)+VLOOKUP($B290,'project vs stock'!$A$72:$W$103,3,FALSE)/5</f>
        <v>465.7</v>
      </c>
      <c r="AF290" s="42">
        <f>SUMIFS('08-21addition'!$C:$C,'08-21addition'!$A:$A,$B158,'08-21addition'!$B:$B,AF$2)*10+SUMIFS(Nuclear!$M:$M,Nuclear!$H:$H,$B257,Nuclear!$R:$R,AF$2)+VLOOKUP($B290,'project vs stock'!$A$72:$W$103,3,FALSE)/5</f>
        <v>662.9</v>
      </c>
    </row>
    <row r="291" ht="13.85" spans="1:32">
      <c r="A291" s="27" t="s">
        <v>157</v>
      </c>
      <c r="B291" s="44" t="s">
        <v>128</v>
      </c>
      <c r="C291" s="45"/>
      <c r="D291" s="45"/>
      <c r="E291" s="45"/>
      <c r="F291" s="42">
        <f>VLOOKUP($B291,'93-07workbook'!$B$109:$Q$140,COLUMN(B$1),FALSE)</f>
        <v>0</v>
      </c>
      <c r="G291" s="42">
        <f>VLOOKUP($B291,'93-07workbook'!$B$109:$Q$140,COLUMN(C$1),FALSE)</f>
        <v>445.8</v>
      </c>
      <c r="H291" s="42">
        <f>VLOOKUP($B291,'93-07workbook'!$B$109:$Q$140,COLUMN(D$1),FALSE)</f>
        <v>390</v>
      </c>
      <c r="I291" s="42">
        <f>VLOOKUP($B291,'93-07workbook'!$B$109:$Q$140,COLUMN(E$1),FALSE)</f>
        <v>195</v>
      </c>
      <c r="J291" s="42">
        <f>VLOOKUP($B291,'93-07workbook'!$B$109:$Q$140,COLUMN(F$1),FALSE)</f>
        <v>0</v>
      </c>
      <c r="K291" s="42">
        <f>VLOOKUP($B291,'93-07workbook'!$B$109:$Q$140,COLUMN(G$1),FALSE)</f>
        <v>55.3</v>
      </c>
      <c r="L291" s="42">
        <f>VLOOKUP($B291,'93-07workbook'!$B$109:$Q$140,COLUMN(H$1),FALSE)</f>
        <v>75</v>
      </c>
      <c r="M291" s="42">
        <f>VLOOKUP($B291,'93-07workbook'!$B$109:$Q$140,COLUMN(I$1),FALSE)</f>
        <v>48.0000000000001</v>
      </c>
      <c r="N291" s="42">
        <f>VLOOKUP($B291,'93-07workbook'!$B$109:$Q$140,COLUMN(J$1),FALSE)</f>
        <v>51.5000000000001</v>
      </c>
      <c r="O291" s="42">
        <f>VLOOKUP($B291,'93-07workbook'!$B$109:$Q$140,COLUMN(K$1),FALSE)</f>
        <v>16.5000000000001</v>
      </c>
      <c r="P291" s="42">
        <f>VLOOKUP($B291,'93-07workbook'!$B$109:$Q$140,COLUMN(L$1),FALSE)</f>
        <v>1287.6</v>
      </c>
      <c r="Q291" s="42">
        <f>VLOOKUP($B291,'93-07workbook'!$B$109:$Q$140,COLUMN(M$1),FALSE)</f>
        <v>3182.8</v>
      </c>
      <c r="R291" s="42">
        <f>VLOOKUP($B291,'93-07workbook'!$B$109:$Q$140,COLUMN(N$1),FALSE)</f>
        <v>754.8</v>
      </c>
      <c r="S291" s="42">
        <f>VLOOKUP($B291,'93-07workbook'!$B$109:$Q$140,COLUMN(O$1),FALSE)</f>
        <v>1240</v>
      </c>
      <c r="T291" s="42">
        <f>VLOOKUP($B291,'93-07workbook'!$B$109:$Q$140,COLUMN(P$1),FALSE)</f>
        <v>676</v>
      </c>
      <c r="U291" s="42">
        <f>SUMIFS('08-21addition'!$C:$C,'08-21addition'!$A:$A,$B159,'08-21addition'!$B:$B,U$2)*10+SUMIFS(Nuclear!$M:$M,Nuclear!$H:$H,$B258,Nuclear!$R:$R,V$2)+VLOOKUP($B291,'project vs stock'!$A$72:$W$103,19,FALSE)/9</f>
        <v>351.4</v>
      </c>
      <c r="V291" s="42">
        <f>SUMIFS('08-21addition'!$C:$C,'08-21addition'!$A:$A,$B159,'08-21addition'!$B:$B,V$2)*10+SUMIFS(Nuclear!$M:$M,Nuclear!$H:$H,$B258,Nuclear!$R:$R,W$2)+VLOOKUP($B291,'project vs stock'!$A$72:$W$103,19,FALSE)/9</f>
        <v>351.4</v>
      </c>
      <c r="W291" s="42">
        <f>SUMIFS('08-21addition'!$C:$C,'08-21addition'!$A:$A,$B159,'08-21addition'!$B:$B,W$2)*10+SUMIFS(Nuclear!$M:$M,Nuclear!$H:$H,$B258,Nuclear!$R:$R,X$2)+VLOOKUP($B291,'project vs stock'!$A$72:$W$103,19,FALSE)/9</f>
        <v>351.4</v>
      </c>
      <c r="X291" s="42">
        <f>SUMIFS('08-21addition'!$C:$C,'08-21addition'!$A:$A,$B159,'08-21addition'!$B:$B,X$2)*10+SUMIFS(Nuclear!$M:$M,Nuclear!$H:$H,$B258,Nuclear!$R:$R,Y$2)+VLOOKUP($B291,'project vs stock'!$A$72:$W$103,19,FALSE)/9</f>
        <v>505.9</v>
      </c>
      <c r="Y291" s="42">
        <f>SUMIFS('08-21addition'!$C:$C,'08-21addition'!$A:$A,$B159,'08-21addition'!$B:$B,Y$2)*10+SUMIFS(Nuclear!$M:$M,Nuclear!$H:$H,$B258,Nuclear!$R:$R,Z$2)+VLOOKUP($B291,'project vs stock'!$A$72:$W$103,19,FALSE)/9</f>
        <v>801.4</v>
      </c>
      <c r="Z291" s="42">
        <f>SUMIFS('08-21addition'!$C:$C,'08-21addition'!$A:$A,$B159,'08-21addition'!$B:$B,Z$2)*10+SUMIFS(Nuclear!$M:$M,Nuclear!$H:$H,$B258,Nuclear!$R:$R,AA$2)+VLOOKUP($B291,'project vs stock'!$A$72:$W$103,19,FALSE)/9</f>
        <v>1404.1</v>
      </c>
      <c r="AA291" s="42">
        <f>SUMIFS('08-21addition'!$C:$C,'08-21addition'!$A:$A,$B159,'08-21addition'!$B:$B,AA$2)*10+SUMIFS(Nuclear!$M:$M,Nuclear!$H:$H,$B258,Nuclear!$R:$R,AB$2)+VLOOKUP($B291,'project vs stock'!$A$72:$W$103,19,FALSE)/9</f>
        <v>819.4</v>
      </c>
      <c r="AB291" s="42">
        <f>SUMIFS('08-21addition'!$C:$C,'08-21addition'!$A:$A,$B159,'08-21addition'!$B:$B,AB$2)*10+SUMIFS(Nuclear!$M:$M,Nuclear!$H:$H,$B258,Nuclear!$R:$R,AC$2)+VLOOKUP($B291,'project vs stock'!$A$72:$W$103,19,FALSE)/9</f>
        <v>1243.7</v>
      </c>
      <c r="AC291" s="42">
        <f>SUMIFS('08-21addition'!$C:$C,'08-21addition'!$A:$A,$B159,'08-21addition'!$B:$B,AC$2)*10+SUMIFS(Nuclear!$M:$M,Nuclear!$H:$H,$B258,Nuclear!$R:$R,AD$2)+VLOOKUP($B291,'project vs stock'!$A$72:$W$103,19,FALSE)/9</f>
        <v>671.5</v>
      </c>
      <c r="AD291" s="42">
        <f>SUMIFS('08-21addition'!$C:$C,'08-21addition'!$A:$A,$B159,'08-21addition'!$B:$B,AD$2)*10+SUMIFS(Nuclear!$M:$M,Nuclear!$H:$H,$B258,Nuclear!$R:$R,AD$2)+VLOOKUP($B291,'project vs stock'!$A$72:$W$103,3,FALSE)/5</f>
        <v>591</v>
      </c>
      <c r="AE291" s="42">
        <f>SUMIFS('08-21addition'!$C:$C,'08-21addition'!$A:$A,$B159,'08-21addition'!$B:$B,AE$2)*10+SUMIFS(Nuclear!$M:$M,Nuclear!$H:$H,$B258,Nuclear!$R:$R,AE$2)+VLOOKUP($B291,'project vs stock'!$A$72:$W$103,3,FALSE)/5</f>
        <v>433.6</v>
      </c>
      <c r="AF291" s="42">
        <f>SUMIFS('08-21addition'!$C:$C,'08-21addition'!$A:$A,$B159,'08-21addition'!$B:$B,AF$2)*10+SUMIFS(Nuclear!$M:$M,Nuclear!$H:$H,$B258,Nuclear!$R:$R,AF$2)+VLOOKUP($B291,'project vs stock'!$A$72:$W$103,3,FALSE)/5</f>
        <v>1066.5</v>
      </c>
    </row>
    <row r="292" ht="13.85" spans="1:32">
      <c r="A292" s="27" t="s">
        <v>157</v>
      </c>
      <c r="B292" s="44" t="s">
        <v>130</v>
      </c>
      <c r="C292" s="45"/>
      <c r="D292" s="45"/>
      <c r="E292" s="45"/>
      <c r="F292" s="42">
        <f>VLOOKUP($B292,'93-07workbook'!$B$109:$Q$140,COLUMN(B$1),FALSE)</f>
        <v>570</v>
      </c>
      <c r="G292" s="42">
        <f>VLOOKUP($B292,'93-07workbook'!$B$109:$Q$140,COLUMN(C$1),FALSE)</f>
        <v>570</v>
      </c>
      <c r="H292" s="42">
        <f>VLOOKUP($B292,'93-07workbook'!$B$109:$Q$140,COLUMN(D$1),FALSE)</f>
        <v>500</v>
      </c>
      <c r="I292" s="42">
        <f>VLOOKUP($B292,'93-07workbook'!$B$109:$Q$140,COLUMN(E$1),FALSE)</f>
        <v>355</v>
      </c>
      <c r="J292" s="42">
        <f>VLOOKUP($B292,'93-07workbook'!$B$109:$Q$140,COLUMN(F$1),FALSE)</f>
        <v>101.2</v>
      </c>
      <c r="K292" s="42">
        <f>VLOOKUP($B292,'93-07workbook'!$B$109:$Q$140,COLUMN(G$1),FALSE)</f>
        <v>204.3</v>
      </c>
      <c r="L292" s="42">
        <f>VLOOKUP($B292,'93-07workbook'!$B$109:$Q$140,COLUMN(H$1),FALSE)</f>
        <v>397.8</v>
      </c>
      <c r="M292" s="42">
        <f>VLOOKUP($B292,'93-07workbook'!$B$109:$Q$140,COLUMN(I$1),FALSE)</f>
        <v>270.3</v>
      </c>
      <c r="N292" s="42">
        <f>VLOOKUP($B292,'93-07workbook'!$B$109:$Q$140,COLUMN(J$1),FALSE)</f>
        <v>48.3999999999997</v>
      </c>
      <c r="O292" s="42">
        <f>VLOOKUP($B292,'93-07workbook'!$B$109:$Q$140,COLUMN(K$1),FALSE)</f>
        <v>840.7</v>
      </c>
      <c r="P292" s="42">
        <f>VLOOKUP($B292,'93-07workbook'!$B$109:$Q$140,COLUMN(L$1),FALSE)</f>
        <v>706.900000000001</v>
      </c>
      <c r="Q292" s="42">
        <f>VLOOKUP($B292,'93-07workbook'!$B$109:$Q$140,COLUMN(M$1),FALSE)</f>
        <v>515.4</v>
      </c>
      <c r="R292" s="42">
        <f>VLOOKUP($B292,'93-07workbook'!$B$109:$Q$140,COLUMN(N$1),FALSE)</f>
        <v>940.4</v>
      </c>
      <c r="S292" s="42">
        <f>VLOOKUP($B292,'93-07workbook'!$B$109:$Q$140,COLUMN(O$1),FALSE)</f>
        <v>1704</v>
      </c>
      <c r="T292" s="42">
        <f>VLOOKUP($B292,'93-07workbook'!$B$109:$Q$140,COLUMN(P$1),FALSE)</f>
        <v>1893.695</v>
      </c>
      <c r="U292" s="42">
        <f>SUMIFS('08-21addition'!$C:$C,'08-21addition'!$A:$A,$B160,'08-21addition'!$B:$B,U$2)*10+SUMIFS(Nuclear!$M:$M,Nuclear!$H:$H,$B259,Nuclear!$R:$R,V$2)+VLOOKUP($B292,'project vs stock'!$A$72:$W$103,19,FALSE)/9</f>
        <v>146.525777777778</v>
      </c>
      <c r="V292" s="42">
        <f>SUMIFS('08-21addition'!$C:$C,'08-21addition'!$A:$A,$B160,'08-21addition'!$B:$B,V$2)*10+SUMIFS(Nuclear!$M:$M,Nuclear!$H:$H,$B259,Nuclear!$R:$R,W$2)+VLOOKUP($B292,'project vs stock'!$A$72:$W$103,19,FALSE)/9</f>
        <v>116.025777777778</v>
      </c>
      <c r="W292" s="42">
        <f>SUMIFS('08-21addition'!$C:$C,'08-21addition'!$A:$A,$B160,'08-21addition'!$B:$B,W$2)*10+SUMIFS(Nuclear!$M:$M,Nuclear!$H:$H,$B259,Nuclear!$R:$R,X$2)+VLOOKUP($B292,'project vs stock'!$A$72:$W$103,19,FALSE)/9</f>
        <v>278.825777777778</v>
      </c>
      <c r="X292" s="42">
        <f>SUMIFS('08-21addition'!$C:$C,'08-21addition'!$A:$A,$B160,'08-21addition'!$B:$B,X$2)*10+SUMIFS(Nuclear!$M:$M,Nuclear!$H:$H,$B259,Nuclear!$R:$R,Y$2)+VLOOKUP($B292,'project vs stock'!$A$72:$W$103,19,FALSE)/9</f>
        <v>466.325777777778</v>
      </c>
      <c r="Y292" s="42">
        <f>SUMIFS('08-21addition'!$C:$C,'08-21addition'!$A:$A,$B160,'08-21addition'!$B:$B,Y$2)*10+SUMIFS(Nuclear!$M:$M,Nuclear!$H:$H,$B259,Nuclear!$R:$R,Z$2)+VLOOKUP($B292,'project vs stock'!$A$72:$W$103,19,FALSE)/9</f>
        <v>1364.82577777778</v>
      </c>
      <c r="Z292" s="42">
        <f>SUMIFS('08-21addition'!$C:$C,'08-21addition'!$A:$A,$B160,'08-21addition'!$B:$B,Z$2)*10+SUMIFS(Nuclear!$M:$M,Nuclear!$H:$H,$B259,Nuclear!$R:$R,AA$2)+VLOOKUP($B292,'project vs stock'!$A$72:$W$103,19,FALSE)/9</f>
        <v>707.025777777778</v>
      </c>
      <c r="AA292" s="42">
        <f>SUMIFS('08-21addition'!$C:$C,'08-21addition'!$A:$A,$B160,'08-21addition'!$B:$B,AA$2)*10+SUMIFS(Nuclear!$M:$M,Nuclear!$H:$H,$B259,Nuclear!$R:$R,AB$2)+VLOOKUP($B292,'project vs stock'!$A$72:$W$103,19,FALSE)/9</f>
        <v>1369.02577777778</v>
      </c>
      <c r="AB292" s="42">
        <f>SUMIFS('08-21addition'!$C:$C,'08-21addition'!$A:$A,$B160,'08-21addition'!$B:$B,AB$2)*10+SUMIFS(Nuclear!$M:$M,Nuclear!$H:$H,$B259,Nuclear!$R:$R,AC$2)+VLOOKUP($B292,'project vs stock'!$A$72:$W$103,19,FALSE)/9</f>
        <v>2317.62577777778</v>
      </c>
      <c r="AC292" s="42">
        <f>SUMIFS('08-21addition'!$C:$C,'08-21addition'!$A:$A,$B160,'08-21addition'!$B:$B,AC$2)*10+SUMIFS(Nuclear!$M:$M,Nuclear!$H:$H,$B259,Nuclear!$R:$R,AD$2)+VLOOKUP($B292,'project vs stock'!$A$72:$W$103,19,FALSE)/9</f>
        <v>1037.22577777778</v>
      </c>
      <c r="AD292" s="42">
        <f>SUMIFS('08-21addition'!$C:$C,'08-21addition'!$A:$A,$B160,'08-21addition'!$B:$B,AD$2)*10+SUMIFS(Nuclear!$M:$M,Nuclear!$H:$H,$B259,Nuclear!$R:$R,AD$2)+VLOOKUP($B292,'project vs stock'!$A$72:$W$103,3,FALSE)/5</f>
        <v>1178.6</v>
      </c>
      <c r="AE292" s="42">
        <f>SUMIFS('08-21addition'!$C:$C,'08-21addition'!$A:$A,$B160,'08-21addition'!$B:$B,AE$2)*10+SUMIFS(Nuclear!$M:$M,Nuclear!$H:$H,$B259,Nuclear!$R:$R,AE$2)+VLOOKUP($B292,'project vs stock'!$A$72:$W$103,3,FALSE)/5</f>
        <v>654.6</v>
      </c>
      <c r="AF292" s="42">
        <f>SUMIFS('08-21addition'!$C:$C,'08-21addition'!$A:$A,$B160,'08-21addition'!$B:$B,AF$2)*10+SUMIFS(Nuclear!$M:$M,Nuclear!$H:$H,$B259,Nuclear!$R:$R,AF$2)+VLOOKUP($B292,'project vs stock'!$A$72:$W$103,3,FALSE)/5</f>
        <v>724.1</v>
      </c>
    </row>
    <row r="293" ht="13.85" spans="1:32">
      <c r="A293" s="27" t="s">
        <v>157</v>
      </c>
      <c r="B293" s="44" t="s">
        <v>132</v>
      </c>
      <c r="C293" s="45"/>
      <c r="D293" s="45"/>
      <c r="E293" s="45"/>
      <c r="F293" s="42">
        <f>VLOOKUP($B293,'93-07workbook'!$B$109:$Q$140,COLUMN(B$1),FALSE)</f>
        <v>0</v>
      </c>
      <c r="G293" s="42">
        <f>VLOOKUP($B293,'93-07workbook'!$B$109:$Q$140,COLUMN(C$1),FALSE)</f>
        <v>8.59999999999999</v>
      </c>
      <c r="H293" s="42">
        <f>VLOOKUP($B293,'93-07workbook'!$B$109:$Q$140,COLUMN(D$1),FALSE)</f>
        <v>0</v>
      </c>
      <c r="I293" s="42">
        <f>VLOOKUP($B293,'93-07workbook'!$B$109:$Q$140,COLUMN(E$1),FALSE)</f>
        <v>5.4</v>
      </c>
      <c r="J293" s="42">
        <f>VLOOKUP($B293,'93-07workbook'!$B$109:$Q$140,COLUMN(F$1),FALSE)</f>
        <v>18.2</v>
      </c>
      <c r="K293" s="42">
        <f>VLOOKUP($B293,'93-07workbook'!$B$109:$Q$140,COLUMN(G$1),FALSE)</f>
        <v>90</v>
      </c>
      <c r="L293" s="42">
        <f>VLOOKUP($B293,'93-07workbook'!$B$109:$Q$140,COLUMN(H$1),FALSE)</f>
        <v>30</v>
      </c>
      <c r="M293" s="42">
        <f>VLOOKUP($B293,'93-07workbook'!$B$109:$Q$140,COLUMN(I$1),FALSE)</f>
        <v>22.3</v>
      </c>
      <c r="N293" s="42">
        <f>VLOOKUP($B293,'93-07workbook'!$B$109:$Q$140,COLUMN(J$1),FALSE)</f>
        <v>1.20000000000001</v>
      </c>
      <c r="O293" s="42">
        <f>VLOOKUP($B293,'93-07workbook'!$B$109:$Q$140,COLUMN(K$1),FALSE)</f>
        <v>2.5</v>
      </c>
      <c r="P293" s="42">
        <f>VLOOKUP($B293,'93-07workbook'!$B$109:$Q$140,COLUMN(L$1),FALSE)</f>
        <v>12.9</v>
      </c>
      <c r="Q293" s="42">
        <f>VLOOKUP($B293,'93-07workbook'!$B$109:$Q$140,COLUMN(M$1),FALSE)</f>
        <v>92.1</v>
      </c>
      <c r="R293" s="42">
        <f>VLOOKUP($B293,'93-07workbook'!$B$109:$Q$140,COLUMN(N$1),FALSE)</f>
        <v>230</v>
      </c>
      <c r="S293" s="42">
        <f>VLOOKUP($B293,'93-07workbook'!$B$109:$Q$140,COLUMN(O$1),FALSE)</f>
        <v>60</v>
      </c>
      <c r="T293" s="42">
        <f>VLOOKUP($B293,'93-07workbook'!$B$109:$Q$140,COLUMN(P$1),FALSE)</f>
        <v>60</v>
      </c>
      <c r="U293" s="42">
        <f>SUMIFS('08-21addition'!$C:$C,'08-21addition'!$A:$A,$B161,'08-21addition'!$B:$B,U$2)*10+SUMIFS(Nuclear!$M:$M,Nuclear!$H:$H,$B260,Nuclear!$R:$R,V$2)+VLOOKUP($B293,'project vs stock'!$A$72:$W$103,19,FALSE)/9</f>
        <v>0</v>
      </c>
      <c r="V293" s="42">
        <f>SUMIFS('08-21addition'!$C:$C,'08-21addition'!$A:$A,$B161,'08-21addition'!$B:$B,V$2)*10+SUMIFS(Nuclear!$M:$M,Nuclear!$H:$H,$B260,Nuclear!$R:$R,W$2)+VLOOKUP($B293,'project vs stock'!$A$72:$W$103,19,FALSE)/9</f>
        <v>0</v>
      </c>
      <c r="W293" s="42">
        <f>SUMIFS('08-21addition'!$C:$C,'08-21addition'!$A:$A,$B161,'08-21addition'!$B:$B,W$2)*10+SUMIFS(Nuclear!$M:$M,Nuclear!$H:$H,$B260,Nuclear!$R:$R,X$2)+VLOOKUP($B293,'project vs stock'!$A$72:$W$103,19,FALSE)/9</f>
        <v>0</v>
      </c>
      <c r="X293" s="42">
        <f>SUMIFS('08-21addition'!$C:$C,'08-21addition'!$A:$A,$B161,'08-21addition'!$B:$B,X$2)*10+SUMIFS(Nuclear!$M:$M,Nuclear!$H:$H,$B260,Nuclear!$R:$R,Y$2)+VLOOKUP($B293,'project vs stock'!$A$72:$W$103,19,FALSE)/9</f>
        <v>0</v>
      </c>
      <c r="Y293" s="42">
        <f>SUMIFS('08-21addition'!$C:$C,'08-21addition'!$A:$A,$B161,'08-21addition'!$B:$B,Y$2)*10+SUMIFS(Nuclear!$M:$M,Nuclear!$H:$H,$B260,Nuclear!$R:$R,Z$2)+VLOOKUP($B293,'project vs stock'!$A$72:$W$103,19,FALSE)/9</f>
        <v>0</v>
      </c>
      <c r="Z293" s="42">
        <f>SUMIFS('08-21addition'!$C:$C,'08-21addition'!$A:$A,$B161,'08-21addition'!$B:$B,Z$2)*10+SUMIFS(Nuclear!$M:$M,Nuclear!$H:$H,$B260,Nuclear!$R:$R,AA$2)+VLOOKUP($B293,'project vs stock'!$A$72:$W$103,19,FALSE)/9</f>
        <v>7.5</v>
      </c>
      <c r="AA293" s="42">
        <f>SUMIFS('08-21addition'!$C:$C,'08-21addition'!$A:$A,$B161,'08-21addition'!$B:$B,AA$2)*10+SUMIFS(Nuclear!$M:$M,Nuclear!$H:$H,$B260,Nuclear!$R:$R,AB$2)+VLOOKUP($B293,'project vs stock'!$A$72:$W$103,19,FALSE)/9</f>
        <v>0</v>
      </c>
      <c r="AB293" s="42">
        <f>SUMIFS('08-21addition'!$C:$C,'08-21addition'!$A:$A,$B161,'08-21addition'!$B:$B,AB$2)*10+SUMIFS(Nuclear!$M:$M,Nuclear!$H:$H,$B260,Nuclear!$R:$R,AC$2)+VLOOKUP($B293,'project vs stock'!$A$72:$W$103,19,FALSE)/9</f>
        <v>0</v>
      </c>
      <c r="AC293" s="42">
        <f>SUMIFS('08-21addition'!$C:$C,'08-21addition'!$A:$A,$B161,'08-21addition'!$B:$B,AC$2)*10+SUMIFS(Nuclear!$M:$M,Nuclear!$H:$H,$B260,Nuclear!$R:$R,AD$2)+VLOOKUP($B293,'project vs stock'!$A$72:$W$103,19,FALSE)/9</f>
        <v>0</v>
      </c>
      <c r="AD293" s="42">
        <f>SUMIFS('08-21addition'!$C:$C,'08-21addition'!$A:$A,$B161,'08-21addition'!$B:$B,AD$2)*10+SUMIFS(Nuclear!$M:$M,Nuclear!$H:$H,$B260,Nuclear!$R:$R,AD$2)+VLOOKUP($B293,'project vs stock'!$A$72:$W$103,3,FALSE)/5</f>
        <v>0</v>
      </c>
      <c r="AE293" s="42">
        <f>SUMIFS('08-21addition'!$C:$C,'08-21addition'!$A:$A,$B161,'08-21addition'!$B:$B,AE$2)*10+SUMIFS(Nuclear!$M:$M,Nuclear!$H:$H,$B260,Nuclear!$R:$R,AE$2)+VLOOKUP($B293,'project vs stock'!$A$72:$W$103,3,FALSE)/5</f>
        <v>0</v>
      </c>
      <c r="AF293" s="42">
        <f>SUMIFS('08-21addition'!$C:$C,'08-21addition'!$A:$A,$B161,'08-21addition'!$B:$B,AF$2)*10+SUMIFS(Nuclear!$M:$M,Nuclear!$H:$H,$B260,Nuclear!$R:$R,AF$2)+VLOOKUP($B293,'project vs stock'!$A$72:$W$103,3,FALSE)/5</f>
        <v>0</v>
      </c>
    </row>
    <row r="294" ht="13.85" spans="1:32">
      <c r="A294" s="27" t="s">
        <v>157</v>
      </c>
      <c r="B294" s="44" t="s">
        <v>134</v>
      </c>
      <c r="C294" s="45"/>
      <c r="D294" s="45"/>
      <c r="E294" s="45"/>
      <c r="F294" s="42">
        <f>VLOOKUP($B294,'93-07workbook'!$B$109:$Q$140,COLUMN(B$1),FALSE)</f>
        <v>0</v>
      </c>
      <c r="G294" s="42">
        <f>VLOOKUP($B294,'93-07workbook'!$B$109:$Q$140,COLUMN(C$1),FALSE)</f>
        <v>0</v>
      </c>
      <c r="H294" s="42">
        <f>VLOOKUP($B294,'93-07workbook'!$B$109:$Q$140,COLUMN(D$1),FALSE)</f>
        <v>13.9</v>
      </c>
      <c r="I294" s="42">
        <f>VLOOKUP($B294,'93-07workbook'!$B$109:$Q$140,COLUMN(E$1),FALSE)</f>
        <v>51.7</v>
      </c>
      <c r="J294" s="42">
        <f>VLOOKUP($B294,'93-07workbook'!$B$109:$Q$140,COLUMN(F$1),FALSE)</f>
        <v>99.5</v>
      </c>
      <c r="K294" s="42">
        <f>VLOOKUP($B294,'93-07workbook'!$B$109:$Q$140,COLUMN(G$1),FALSE)</f>
        <v>15.5</v>
      </c>
      <c r="L294" s="42">
        <f>VLOOKUP($B294,'93-07workbook'!$B$109:$Q$140,COLUMN(H$1),FALSE)</f>
        <v>42.8999999999999</v>
      </c>
      <c r="M294" s="42">
        <f>VLOOKUP($B294,'93-07workbook'!$B$109:$Q$140,COLUMN(I$1),FALSE)</f>
        <v>159.2</v>
      </c>
      <c r="N294" s="42">
        <f>VLOOKUP($B294,'93-07workbook'!$B$109:$Q$140,COLUMN(J$1),FALSE)</f>
        <v>90</v>
      </c>
      <c r="O294" s="42">
        <f>VLOOKUP($B294,'93-07workbook'!$B$109:$Q$140,COLUMN(K$1),FALSE)</f>
        <v>11.6</v>
      </c>
      <c r="P294" s="42">
        <f>VLOOKUP($B294,'93-07workbook'!$B$109:$Q$140,COLUMN(L$1),FALSE)</f>
        <v>0</v>
      </c>
      <c r="Q294" s="42">
        <f>VLOOKUP($B294,'93-07workbook'!$B$109:$Q$140,COLUMN(M$1),FALSE)</f>
        <v>414.2</v>
      </c>
      <c r="R294" s="42">
        <f>VLOOKUP($B294,'93-07workbook'!$B$109:$Q$140,COLUMN(N$1),FALSE)</f>
        <v>124.5</v>
      </c>
      <c r="S294" s="42">
        <f>VLOOKUP($B294,'93-07workbook'!$B$109:$Q$140,COLUMN(O$1),FALSE)</f>
        <v>187</v>
      </c>
      <c r="T294" s="42">
        <f>VLOOKUP($B294,'93-07workbook'!$B$109:$Q$140,COLUMN(P$1),FALSE)</f>
        <v>0</v>
      </c>
      <c r="U294" s="42">
        <f>SUMIFS('08-21addition'!$C:$C,'08-21addition'!$A:$A,$B162,'08-21addition'!$B:$B,U$2)*10+SUMIFS(Nuclear!$M:$M,Nuclear!$H:$H,$B261,Nuclear!$R:$R,V$2)+VLOOKUP($B294,'project vs stock'!$A$72:$W$103,19,FALSE)/9</f>
        <v>37.9222222222222</v>
      </c>
      <c r="V294" s="42">
        <f>SUMIFS('08-21addition'!$C:$C,'08-21addition'!$A:$A,$B162,'08-21addition'!$B:$B,V$2)*10+SUMIFS(Nuclear!$M:$M,Nuclear!$H:$H,$B261,Nuclear!$R:$R,W$2)+VLOOKUP($B294,'project vs stock'!$A$72:$W$103,19,FALSE)/9</f>
        <v>37.9222222222222</v>
      </c>
      <c r="W294" s="42">
        <f>SUMIFS('08-21addition'!$C:$C,'08-21addition'!$A:$A,$B162,'08-21addition'!$B:$B,W$2)*10+SUMIFS(Nuclear!$M:$M,Nuclear!$H:$H,$B261,Nuclear!$R:$R,X$2)+VLOOKUP($B294,'project vs stock'!$A$72:$W$103,19,FALSE)/9</f>
        <v>87.4222222222222</v>
      </c>
      <c r="X294" s="42">
        <f>SUMIFS('08-21addition'!$C:$C,'08-21addition'!$A:$A,$B162,'08-21addition'!$B:$B,X$2)*10+SUMIFS(Nuclear!$M:$M,Nuclear!$H:$H,$B261,Nuclear!$R:$R,Y$2)+VLOOKUP($B294,'project vs stock'!$A$72:$W$103,19,FALSE)/9</f>
        <v>292.922222222222</v>
      </c>
      <c r="Y294" s="42">
        <f>SUMIFS('08-21addition'!$C:$C,'08-21addition'!$A:$A,$B162,'08-21addition'!$B:$B,Y$2)*10+SUMIFS(Nuclear!$M:$M,Nuclear!$H:$H,$B261,Nuclear!$R:$R,Z$2)+VLOOKUP($B294,'project vs stock'!$A$72:$W$103,19,FALSE)/9</f>
        <v>257.422222222222</v>
      </c>
      <c r="Z294" s="42">
        <f>SUMIFS('08-21addition'!$C:$C,'08-21addition'!$A:$A,$B162,'08-21addition'!$B:$B,Z$2)*10+SUMIFS(Nuclear!$M:$M,Nuclear!$H:$H,$B261,Nuclear!$R:$R,AA$2)+VLOOKUP($B294,'project vs stock'!$A$72:$W$103,19,FALSE)/9</f>
        <v>494.922222222222</v>
      </c>
      <c r="AA294" s="42">
        <f>SUMIFS('08-21addition'!$C:$C,'08-21addition'!$A:$A,$B162,'08-21addition'!$B:$B,AA$2)*10+SUMIFS(Nuclear!$M:$M,Nuclear!$H:$H,$B261,Nuclear!$R:$R,AB$2)+VLOOKUP($B294,'project vs stock'!$A$72:$W$103,19,FALSE)/9</f>
        <v>331.922222222222</v>
      </c>
      <c r="AB294" s="42">
        <f>SUMIFS('08-21addition'!$C:$C,'08-21addition'!$A:$A,$B162,'08-21addition'!$B:$B,AB$2)*10+SUMIFS(Nuclear!$M:$M,Nuclear!$H:$H,$B261,Nuclear!$R:$R,AC$2)+VLOOKUP($B294,'project vs stock'!$A$72:$W$103,19,FALSE)/9</f>
        <v>461.422222222222</v>
      </c>
      <c r="AC294" s="42">
        <f>SUMIFS('08-21addition'!$C:$C,'08-21addition'!$A:$A,$B162,'08-21addition'!$B:$B,AC$2)*10+SUMIFS(Nuclear!$M:$M,Nuclear!$H:$H,$B261,Nuclear!$R:$R,AD$2)+VLOOKUP($B294,'project vs stock'!$A$72:$W$103,19,FALSE)/9</f>
        <v>949.522222222222</v>
      </c>
      <c r="AD294" s="42">
        <f>SUMIFS('08-21addition'!$C:$C,'08-21addition'!$A:$A,$B162,'08-21addition'!$B:$B,AD$2)*10+SUMIFS(Nuclear!$M:$M,Nuclear!$H:$H,$B261,Nuclear!$R:$R,AD$2)+VLOOKUP($B294,'project vs stock'!$A$72:$W$103,3,FALSE)/5</f>
        <v>1323.8</v>
      </c>
      <c r="AE294" s="42">
        <f>SUMIFS('08-21addition'!$C:$C,'08-21addition'!$A:$A,$B162,'08-21addition'!$B:$B,AE$2)*10+SUMIFS(Nuclear!$M:$M,Nuclear!$H:$H,$B261,Nuclear!$R:$R,AE$2)+VLOOKUP($B294,'project vs stock'!$A$72:$W$103,3,FALSE)/5</f>
        <v>590.2</v>
      </c>
      <c r="AF294" s="42">
        <f>SUMIFS('08-21addition'!$C:$C,'08-21addition'!$A:$A,$B162,'08-21addition'!$B:$B,AF$2)*10+SUMIFS(Nuclear!$M:$M,Nuclear!$H:$H,$B261,Nuclear!$R:$R,AF$2)+VLOOKUP($B294,'project vs stock'!$A$72:$W$103,3,FALSE)/5</f>
        <v>1173.5</v>
      </c>
    </row>
    <row r="295" ht="13.85" spans="1:32">
      <c r="A295" s="27" t="s">
        <v>157</v>
      </c>
      <c r="B295" s="44" t="s">
        <v>136</v>
      </c>
      <c r="C295" s="45"/>
      <c r="D295" s="45"/>
      <c r="E295" s="45"/>
      <c r="F295" s="42">
        <f>VLOOKUP($B295,'93-07workbook'!$B$109:$Q$140,COLUMN(B$1),FALSE)</f>
        <v>0</v>
      </c>
      <c r="G295" s="42">
        <f>VLOOKUP($B295,'93-07workbook'!$B$109:$Q$140,COLUMN(C$1),FALSE)</f>
        <v>0</v>
      </c>
      <c r="H295" s="42">
        <f>VLOOKUP($B295,'93-07workbook'!$B$109:$Q$140,COLUMN(D$1),FALSE)</f>
        <v>16.3</v>
      </c>
      <c r="I295" s="42">
        <f>VLOOKUP($B295,'93-07workbook'!$B$109:$Q$140,COLUMN(E$1),FALSE)</f>
        <v>123.5</v>
      </c>
      <c r="J295" s="42">
        <f>VLOOKUP($B295,'93-07workbook'!$B$109:$Q$140,COLUMN(F$1),FALSE)</f>
        <v>204.9</v>
      </c>
      <c r="K295" s="42">
        <f>VLOOKUP($B295,'93-07workbook'!$B$109:$Q$140,COLUMN(G$1),FALSE)</f>
        <v>158.6</v>
      </c>
      <c r="L295" s="42">
        <f>VLOOKUP($B295,'93-07workbook'!$B$109:$Q$140,COLUMN(H$1),FALSE)</f>
        <v>125</v>
      </c>
      <c r="M295" s="42">
        <f>VLOOKUP($B295,'93-07workbook'!$B$109:$Q$140,COLUMN(I$1),FALSE)</f>
        <v>83.4999999999997</v>
      </c>
      <c r="N295" s="42">
        <f>VLOOKUP($B295,'93-07workbook'!$B$109:$Q$140,COLUMN(J$1),FALSE)</f>
        <v>166.8</v>
      </c>
      <c r="O295" s="42">
        <f>VLOOKUP($B295,'93-07workbook'!$B$109:$Q$140,COLUMN(K$1),FALSE)</f>
        <v>120.3</v>
      </c>
      <c r="P295" s="42">
        <f>VLOOKUP($B295,'93-07workbook'!$B$109:$Q$140,COLUMN(L$1),FALSE)</f>
        <v>41.9999999999999</v>
      </c>
      <c r="Q295" s="42">
        <f>VLOOKUP($B295,'93-07workbook'!$B$109:$Q$140,COLUMN(M$1),FALSE)</f>
        <v>285.5</v>
      </c>
      <c r="R295" s="42">
        <f>VLOOKUP($B295,'93-07workbook'!$B$109:$Q$140,COLUMN(N$1),FALSE)</f>
        <v>570.15</v>
      </c>
      <c r="S295" s="42">
        <f>VLOOKUP($B295,'93-07workbook'!$B$109:$Q$140,COLUMN(O$1),FALSE)</f>
        <v>285</v>
      </c>
      <c r="T295" s="42">
        <f>VLOOKUP($B295,'93-07workbook'!$B$109:$Q$140,COLUMN(P$1),FALSE)</f>
        <v>200</v>
      </c>
      <c r="U295" s="42">
        <f>SUMIFS('08-21addition'!$C:$C,'08-21addition'!$A:$A,$B163,'08-21addition'!$B:$B,U$2)*10+SUMIFS(Nuclear!$M:$M,Nuclear!$H:$H,$B262,Nuclear!$R:$R,V$2)+VLOOKUP($B295,'project vs stock'!$A$72:$W$103,19,FALSE)/9</f>
        <v>454.111111111111</v>
      </c>
      <c r="V295" s="42">
        <f>SUMIFS('08-21addition'!$C:$C,'08-21addition'!$A:$A,$B163,'08-21addition'!$B:$B,V$2)*10+SUMIFS(Nuclear!$M:$M,Nuclear!$H:$H,$B262,Nuclear!$R:$R,W$2)+VLOOKUP($B295,'project vs stock'!$A$72:$W$103,19,FALSE)/9</f>
        <v>564.111111111111</v>
      </c>
      <c r="W295" s="42">
        <f>SUMIFS('08-21addition'!$C:$C,'08-21addition'!$A:$A,$B163,'08-21addition'!$B:$B,W$2)*10+SUMIFS(Nuclear!$M:$M,Nuclear!$H:$H,$B262,Nuclear!$R:$R,X$2)+VLOOKUP($B295,'project vs stock'!$A$72:$W$103,19,FALSE)/9</f>
        <v>1814.61111111111</v>
      </c>
      <c r="X295" s="42">
        <f>SUMIFS('08-21addition'!$C:$C,'08-21addition'!$A:$A,$B163,'08-21addition'!$B:$B,X$2)*10+SUMIFS(Nuclear!$M:$M,Nuclear!$H:$H,$B262,Nuclear!$R:$R,Y$2)+VLOOKUP($B295,'project vs stock'!$A$72:$W$103,19,FALSE)/9</f>
        <v>2927.61111111111</v>
      </c>
      <c r="Y295" s="42">
        <f>SUMIFS('08-21addition'!$C:$C,'08-21addition'!$A:$A,$B163,'08-21addition'!$B:$B,Y$2)*10+SUMIFS(Nuclear!$M:$M,Nuclear!$H:$H,$B262,Nuclear!$R:$R,Z$2)+VLOOKUP($B295,'project vs stock'!$A$72:$W$103,19,FALSE)/9</f>
        <v>865.611111111111</v>
      </c>
      <c r="Z295" s="42">
        <f>SUMIFS('08-21addition'!$C:$C,'08-21addition'!$A:$A,$B163,'08-21addition'!$B:$B,Z$2)*10+SUMIFS(Nuclear!$M:$M,Nuclear!$H:$H,$B262,Nuclear!$R:$R,AA$2)+VLOOKUP($B295,'project vs stock'!$A$72:$W$103,19,FALSE)/9</f>
        <v>784.611111111111</v>
      </c>
      <c r="AA295" s="42">
        <f>SUMIFS('08-21addition'!$C:$C,'08-21addition'!$A:$A,$B163,'08-21addition'!$B:$B,AA$2)*10+SUMIFS(Nuclear!$M:$M,Nuclear!$H:$H,$B262,Nuclear!$R:$R,AB$2)+VLOOKUP($B295,'project vs stock'!$A$72:$W$103,19,FALSE)/9</f>
        <v>3201.11111111111</v>
      </c>
      <c r="AB295" s="42">
        <f>SUMIFS('08-21addition'!$C:$C,'08-21addition'!$A:$A,$B163,'08-21addition'!$B:$B,AB$2)*10+SUMIFS(Nuclear!$M:$M,Nuclear!$H:$H,$B262,Nuclear!$R:$R,AC$2)+VLOOKUP($B295,'project vs stock'!$A$72:$W$103,19,FALSE)/9</f>
        <v>2750.61111111111</v>
      </c>
      <c r="AC295" s="42">
        <f>SUMIFS('08-21addition'!$C:$C,'08-21addition'!$A:$A,$B163,'08-21addition'!$B:$B,AC$2)*10+SUMIFS(Nuclear!$M:$M,Nuclear!$H:$H,$B262,Nuclear!$R:$R,AD$2)+VLOOKUP($B295,'project vs stock'!$A$72:$W$103,19,FALSE)/9</f>
        <v>363.811111111111</v>
      </c>
      <c r="AD295" s="42">
        <f>SUMIFS('08-21addition'!$C:$C,'08-21addition'!$A:$A,$B163,'08-21addition'!$B:$B,AD$2)*10+SUMIFS(Nuclear!$M:$M,Nuclear!$H:$H,$B262,Nuclear!$R:$R,AD$2)+VLOOKUP($B295,'project vs stock'!$A$72:$W$103,3,FALSE)/5</f>
        <v>49.5</v>
      </c>
      <c r="AE295" s="42">
        <f>SUMIFS('08-21addition'!$C:$C,'08-21addition'!$A:$A,$B163,'08-21addition'!$B:$B,AE$2)*10+SUMIFS(Nuclear!$M:$M,Nuclear!$H:$H,$B262,Nuclear!$R:$R,AE$2)+VLOOKUP($B295,'project vs stock'!$A$72:$W$103,3,FALSE)/5</f>
        <v>0</v>
      </c>
      <c r="AF295" s="42">
        <f>SUMIFS('08-21addition'!$C:$C,'08-21addition'!$A:$A,$B163,'08-21addition'!$B:$B,AF$2)*10+SUMIFS(Nuclear!$M:$M,Nuclear!$H:$H,$B262,Nuclear!$R:$R,AF$2)+VLOOKUP($B295,'project vs stock'!$A$72:$W$103,3,FALSE)/5</f>
        <v>120</v>
      </c>
    </row>
    <row r="296" ht="13.85" spans="1:32">
      <c r="A296" s="27" t="s">
        <v>157</v>
      </c>
      <c r="B296" s="44" t="s">
        <v>138</v>
      </c>
      <c r="C296" s="45"/>
      <c r="D296" s="45"/>
      <c r="E296" s="45"/>
      <c r="F296" s="42">
        <f>VLOOKUP($B296,'93-07workbook'!$B$109:$Q$140,COLUMN(B$1),FALSE)</f>
        <v>0</v>
      </c>
      <c r="G296" s="42">
        <f>VLOOKUP($B296,'93-07workbook'!$B$109:$Q$140,COLUMN(C$1),FALSE)</f>
        <v>8.70000000000005</v>
      </c>
      <c r="H296" s="42">
        <f>VLOOKUP($B296,'93-07workbook'!$B$109:$Q$140,COLUMN(D$1),FALSE)</f>
        <v>8.49999999999994</v>
      </c>
      <c r="I296" s="42">
        <f>VLOOKUP($B296,'93-07workbook'!$B$109:$Q$140,COLUMN(E$1),FALSE)</f>
        <v>7.40000000000009</v>
      </c>
      <c r="J296" s="42">
        <f>VLOOKUP($B296,'93-07workbook'!$B$109:$Q$140,COLUMN(F$1),FALSE)</f>
        <v>828.1</v>
      </c>
      <c r="K296" s="42">
        <f>VLOOKUP($B296,'93-07workbook'!$B$109:$Q$140,COLUMN(G$1),FALSE)</f>
        <v>800</v>
      </c>
      <c r="L296" s="42">
        <f>VLOOKUP($B296,'93-07workbook'!$B$109:$Q$140,COLUMN(H$1),FALSE)</f>
        <v>416.7</v>
      </c>
      <c r="M296" s="42">
        <f>VLOOKUP($B296,'93-07workbook'!$B$109:$Q$140,COLUMN(I$1),FALSE)</f>
        <v>400</v>
      </c>
      <c r="N296" s="42">
        <f>VLOOKUP($B296,'93-07workbook'!$B$109:$Q$140,COLUMN(J$1),FALSE)</f>
        <v>13.5000000000002</v>
      </c>
      <c r="O296" s="42">
        <f>VLOOKUP($B296,'93-07workbook'!$B$109:$Q$140,COLUMN(K$1),FALSE)</f>
        <v>78.8999999999999</v>
      </c>
      <c r="P296" s="42">
        <f>VLOOKUP($B296,'93-07workbook'!$B$109:$Q$140,COLUMN(L$1),FALSE)</f>
        <v>134.8</v>
      </c>
      <c r="Q296" s="42">
        <f>VLOOKUP($B296,'93-07workbook'!$B$109:$Q$140,COLUMN(M$1),FALSE)</f>
        <v>712.3</v>
      </c>
      <c r="R296" s="42">
        <f>VLOOKUP($B296,'93-07workbook'!$B$109:$Q$140,COLUMN(N$1),FALSE)</f>
        <v>771.6</v>
      </c>
      <c r="S296" s="42">
        <f>VLOOKUP($B296,'93-07workbook'!$B$109:$Q$140,COLUMN(O$1),FALSE)</f>
        <v>598</v>
      </c>
      <c r="T296" s="42">
        <f>VLOOKUP($B296,'93-07workbook'!$B$109:$Q$140,COLUMN(P$1),FALSE)</f>
        <v>407</v>
      </c>
      <c r="U296" s="42">
        <f>SUMIFS('08-21addition'!$C:$C,'08-21addition'!$A:$A,$B164,'08-21addition'!$B:$B,U$2)*10+SUMIFS(Nuclear!$M:$M,Nuclear!$H:$H,$B263,Nuclear!$R:$R,V$2)+VLOOKUP($B296,'project vs stock'!$A$72:$W$103,19,FALSE)/9</f>
        <v>0</v>
      </c>
      <c r="V296" s="42">
        <f>SUMIFS('08-21addition'!$C:$C,'08-21addition'!$A:$A,$B164,'08-21addition'!$B:$B,V$2)*10+SUMIFS(Nuclear!$M:$M,Nuclear!$H:$H,$B263,Nuclear!$R:$R,W$2)+VLOOKUP($B296,'project vs stock'!$A$72:$W$103,19,FALSE)/9</f>
        <v>0</v>
      </c>
      <c r="W296" s="42">
        <f>SUMIFS('08-21addition'!$C:$C,'08-21addition'!$A:$A,$B164,'08-21addition'!$B:$B,W$2)*10+SUMIFS(Nuclear!$M:$M,Nuclear!$H:$H,$B263,Nuclear!$R:$R,X$2)+VLOOKUP($B296,'project vs stock'!$A$72:$W$103,19,FALSE)/9</f>
        <v>0</v>
      </c>
      <c r="X296" s="42">
        <f>SUMIFS('08-21addition'!$C:$C,'08-21addition'!$A:$A,$B164,'08-21addition'!$B:$B,X$2)*10+SUMIFS(Nuclear!$M:$M,Nuclear!$H:$H,$B263,Nuclear!$R:$R,Y$2)+VLOOKUP($B296,'project vs stock'!$A$72:$W$103,19,FALSE)/9</f>
        <v>17</v>
      </c>
      <c r="Y296" s="42">
        <f>SUMIFS('08-21addition'!$C:$C,'08-21addition'!$A:$A,$B164,'08-21addition'!$B:$B,Y$2)*10+SUMIFS(Nuclear!$M:$M,Nuclear!$H:$H,$B263,Nuclear!$R:$R,Z$2)+VLOOKUP($B296,'project vs stock'!$A$72:$W$103,19,FALSE)/9</f>
        <v>2</v>
      </c>
      <c r="Z296" s="42">
        <f>SUMIFS('08-21addition'!$C:$C,'08-21addition'!$A:$A,$B164,'08-21addition'!$B:$B,Z$2)*10+SUMIFS(Nuclear!$M:$M,Nuclear!$H:$H,$B263,Nuclear!$R:$R,AA$2)+VLOOKUP($B296,'project vs stock'!$A$72:$W$103,19,FALSE)/9</f>
        <v>131.5</v>
      </c>
      <c r="AA296" s="42">
        <f>SUMIFS('08-21addition'!$C:$C,'08-21addition'!$A:$A,$B164,'08-21addition'!$B:$B,AA$2)*10+SUMIFS(Nuclear!$M:$M,Nuclear!$H:$H,$B263,Nuclear!$R:$R,AB$2)+VLOOKUP($B296,'project vs stock'!$A$72:$W$103,19,FALSE)/9</f>
        <v>178</v>
      </c>
      <c r="AB296" s="42">
        <f>SUMIFS('08-21addition'!$C:$C,'08-21addition'!$A:$A,$B164,'08-21addition'!$B:$B,AB$2)*10+SUMIFS(Nuclear!$M:$M,Nuclear!$H:$H,$B263,Nuclear!$R:$R,AC$2)+VLOOKUP($B296,'project vs stock'!$A$72:$W$103,19,FALSE)/9</f>
        <v>247.5</v>
      </c>
      <c r="AC296" s="42">
        <f>SUMIFS('08-21addition'!$C:$C,'08-21addition'!$A:$A,$B164,'08-21addition'!$B:$B,AC$2)*10+SUMIFS(Nuclear!$M:$M,Nuclear!$H:$H,$B263,Nuclear!$R:$R,AD$2)+VLOOKUP($B296,'project vs stock'!$A$72:$W$103,19,FALSE)/9</f>
        <v>298.5</v>
      </c>
      <c r="AD296" s="42">
        <f>SUMIFS('08-21addition'!$C:$C,'08-21addition'!$A:$A,$B164,'08-21addition'!$B:$B,AD$2)*10+SUMIFS(Nuclear!$M:$M,Nuclear!$H:$H,$B263,Nuclear!$R:$R,AD$2)+VLOOKUP($B296,'project vs stock'!$A$72:$W$103,3,FALSE)/5</f>
        <v>1102.8</v>
      </c>
      <c r="AE296" s="42">
        <f>SUMIFS('08-21addition'!$C:$C,'08-21addition'!$A:$A,$B164,'08-21addition'!$B:$B,AE$2)*10+SUMIFS(Nuclear!$M:$M,Nuclear!$H:$H,$B263,Nuclear!$R:$R,AE$2)+VLOOKUP($B296,'project vs stock'!$A$72:$W$103,3,FALSE)/5</f>
        <v>1119.1</v>
      </c>
      <c r="AF296" s="42">
        <f>SUMIFS('08-21addition'!$C:$C,'08-21addition'!$A:$A,$B164,'08-21addition'!$B:$B,AF$2)*10+SUMIFS(Nuclear!$M:$M,Nuclear!$H:$H,$B263,Nuclear!$R:$R,AF$2)+VLOOKUP($B296,'project vs stock'!$A$72:$W$103,3,FALSE)/5</f>
        <v>1952</v>
      </c>
    </row>
    <row r="297" ht="13.85" spans="1:32">
      <c r="A297" s="27" t="s">
        <v>157</v>
      </c>
      <c r="B297" s="44" t="s">
        <v>140</v>
      </c>
      <c r="C297" s="45"/>
      <c r="D297" s="45"/>
      <c r="E297" s="45"/>
      <c r="F297" s="42">
        <f>VLOOKUP($B297,'93-07workbook'!$B$109:$Q$140,COLUMN(B$1),FALSE)</f>
        <v>0</v>
      </c>
      <c r="G297" s="42">
        <f>VLOOKUP($B297,'93-07workbook'!$B$109:$Q$140,COLUMN(C$1),FALSE)</f>
        <v>0</v>
      </c>
      <c r="H297" s="42">
        <f>VLOOKUP($B297,'93-07workbook'!$B$109:$Q$140,COLUMN(D$1),FALSE)</f>
        <v>30</v>
      </c>
      <c r="I297" s="42">
        <f>VLOOKUP($B297,'93-07workbook'!$B$109:$Q$140,COLUMN(E$1),FALSE)</f>
        <v>0</v>
      </c>
      <c r="J297" s="42">
        <f>VLOOKUP($B297,'93-07workbook'!$B$109:$Q$140,COLUMN(F$1),FALSE)</f>
        <v>0</v>
      </c>
      <c r="K297" s="42">
        <f>VLOOKUP($B297,'93-07workbook'!$B$109:$Q$140,COLUMN(G$1),FALSE)</f>
        <v>0</v>
      </c>
      <c r="L297" s="42">
        <f>VLOOKUP($B297,'93-07workbook'!$B$109:$Q$140,COLUMN(H$1),FALSE)</f>
        <v>0</v>
      </c>
      <c r="M297" s="42">
        <f>VLOOKUP($B297,'93-07workbook'!$B$109:$Q$140,COLUMN(I$1),FALSE)</f>
        <v>0</v>
      </c>
      <c r="N297" s="42">
        <f>VLOOKUP($B297,'93-07workbook'!$B$109:$Q$140,COLUMN(J$1),FALSE)</f>
        <v>1.6</v>
      </c>
      <c r="O297" s="42">
        <f>VLOOKUP($B297,'93-07workbook'!$B$109:$Q$140,COLUMN(K$1),FALSE)</f>
        <v>0</v>
      </c>
      <c r="P297" s="42">
        <f>VLOOKUP($B297,'93-07workbook'!$B$109:$Q$140,COLUMN(L$1),FALSE)</f>
        <v>0.300000000000011</v>
      </c>
      <c r="Q297" s="42">
        <f>VLOOKUP($B297,'93-07workbook'!$B$109:$Q$140,COLUMN(M$1),FALSE)</f>
        <v>58</v>
      </c>
      <c r="R297" s="42">
        <f>VLOOKUP($B297,'93-07workbook'!$B$109:$Q$140,COLUMN(N$1),FALSE)</f>
        <v>62.8</v>
      </c>
      <c r="S297" s="42">
        <f>VLOOKUP($B297,'93-07workbook'!$B$109:$Q$140,COLUMN(O$1),FALSE)</f>
        <v>0</v>
      </c>
      <c r="T297" s="42">
        <f>VLOOKUP($B297,'93-07workbook'!$B$109:$Q$140,COLUMN(P$1),FALSE)</f>
        <v>1.00000000000001</v>
      </c>
      <c r="U297" s="42">
        <f>SUMIFS('08-21addition'!$C:$C,'08-21addition'!$A:$A,$B165,'08-21addition'!$B:$B,U$2)*10+SUMIFS(Nuclear!$M:$M,Nuclear!$H:$H,$B264,Nuclear!$R:$R,V$2)+VLOOKUP($B297,'project vs stock'!$A$72:$W$103,19,FALSE)/9</f>
        <v>130</v>
      </c>
      <c r="V297" s="42">
        <f>SUMIFS('08-21addition'!$C:$C,'08-21addition'!$A:$A,$B165,'08-21addition'!$B:$B,V$2)*10+SUMIFS(Nuclear!$M:$M,Nuclear!$H:$H,$B264,Nuclear!$R:$R,W$2)+VLOOKUP($B297,'project vs stock'!$A$72:$W$103,19,FALSE)/9</f>
        <v>154.5</v>
      </c>
      <c r="W297" s="42">
        <f>SUMIFS('08-21addition'!$C:$C,'08-21addition'!$A:$A,$B165,'08-21addition'!$B:$B,W$2)*10+SUMIFS(Nuclear!$M:$M,Nuclear!$H:$H,$B264,Nuclear!$R:$R,X$2)+VLOOKUP($B297,'project vs stock'!$A$72:$W$103,19,FALSE)/9</f>
        <v>325.5</v>
      </c>
      <c r="X297" s="42">
        <f>SUMIFS('08-21addition'!$C:$C,'08-21addition'!$A:$A,$B165,'08-21addition'!$B:$B,X$2)*10+SUMIFS(Nuclear!$M:$M,Nuclear!$H:$H,$B264,Nuclear!$R:$R,Y$2)+VLOOKUP($B297,'project vs stock'!$A$72:$W$103,19,FALSE)/9</f>
        <v>990.8</v>
      </c>
      <c r="Y297" s="42">
        <f>SUMIFS('08-21addition'!$C:$C,'08-21addition'!$A:$A,$B165,'08-21addition'!$B:$B,Y$2)*10+SUMIFS(Nuclear!$M:$M,Nuclear!$H:$H,$B264,Nuclear!$R:$R,Z$2)+VLOOKUP($B297,'project vs stock'!$A$72:$W$103,19,FALSE)/9</f>
        <v>924.4</v>
      </c>
      <c r="Z297" s="42">
        <f>SUMIFS('08-21addition'!$C:$C,'08-21addition'!$A:$A,$B165,'08-21addition'!$B:$B,Z$2)*10+SUMIFS(Nuclear!$M:$M,Nuclear!$H:$H,$B264,Nuclear!$R:$R,AA$2)+VLOOKUP($B297,'project vs stock'!$A$72:$W$103,19,FALSE)/9</f>
        <v>597</v>
      </c>
      <c r="AA297" s="42">
        <f>SUMIFS('08-21addition'!$C:$C,'08-21addition'!$A:$A,$B165,'08-21addition'!$B:$B,AA$2)*10+SUMIFS(Nuclear!$M:$M,Nuclear!$H:$H,$B264,Nuclear!$R:$R,AB$2)+VLOOKUP($B297,'project vs stock'!$A$72:$W$103,19,FALSE)/9</f>
        <v>1693.2</v>
      </c>
      <c r="AB297" s="42">
        <f>SUMIFS('08-21addition'!$C:$C,'08-21addition'!$A:$A,$B165,'08-21addition'!$B:$B,AB$2)*10+SUMIFS(Nuclear!$M:$M,Nuclear!$H:$H,$B264,Nuclear!$R:$R,AC$2)+VLOOKUP($B297,'project vs stock'!$A$72:$W$103,19,FALSE)/9</f>
        <v>3213.6</v>
      </c>
      <c r="AC297" s="42">
        <f>SUMIFS('08-21addition'!$C:$C,'08-21addition'!$A:$A,$B165,'08-21addition'!$B:$B,AC$2)*10+SUMIFS(Nuclear!$M:$M,Nuclear!$H:$H,$B264,Nuclear!$R:$R,AD$2)+VLOOKUP($B297,'project vs stock'!$A$72:$W$103,19,FALSE)/9</f>
        <v>1773.9</v>
      </c>
      <c r="AD297" s="42">
        <f>SUMIFS('08-21addition'!$C:$C,'08-21addition'!$A:$A,$B165,'08-21addition'!$B:$B,AD$2)*10+SUMIFS(Nuclear!$M:$M,Nuclear!$H:$H,$B264,Nuclear!$R:$R,AD$2)+VLOOKUP($B297,'project vs stock'!$A$72:$W$103,3,FALSE)/5</f>
        <v>0</v>
      </c>
      <c r="AE297" s="42">
        <f>SUMIFS('08-21addition'!$C:$C,'08-21addition'!$A:$A,$B165,'08-21addition'!$B:$B,AE$2)*10+SUMIFS(Nuclear!$M:$M,Nuclear!$H:$H,$B264,Nuclear!$R:$R,AE$2)+VLOOKUP($B297,'project vs stock'!$A$72:$W$103,3,FALSE)/5</f>
        <v>842.6</v>
      </c>
      <c r="AF297" s="42">
        <f>SUMIFS('08-21addition'!$C:$C,'08-21addition'!$A:$A,$B165,'08-21addition'!$B:$B,AF$2)*10+SUMIFS(Nuclear!$M:$M,Nuclear!$H:$H,$B264,Nuclear!$R:$R,AF$2)+VLOOKUP($B297,'project vs stock'!$A$72:$W$103,3,FALSE)/5</f>
        <v>1098.1</v>
      </c>
    </row>
    <row r="298" ht="13.85" spans="1:32">
      <c r="A298" s="27" t="s">
        <v>157</v>
      </c>
      <c r="B298" s="44" t="s">
        <v>142</v>
      </c>
      <c r="C298" s="45"/>
      <c r="D298" s="45"/>
      <c r="E298" s="45"/>
      <c r="F298" s="42">
        <f>VLOOKUP($B298,'93-07workbook'!$B$109:$Q$140,COLUMN(B$1),FALSE)</f>
        <v>53</v>
      </c>
      <c r="G298" s="42">
        <f>VLOOKUP($B298,'93-07workbook'!$B$109:$Q$140,COLUMN(C$1),FALSE)</f>
        <v>53</v>
      </c>
      <c r="H298" s="42">
        <f>VLOOKUP($B298,'93-07workbook'!$B$109:$Q$140,COLUMN(D$1),FALSE)</f>
        <v>32.8</v>
      </c>
      <c r="I298" s="42">
        <f>VLOOKUP($B298,'93-07workbook'!$B$109:$Q$140,COLUMN(E$1),FALSE)</f>
        <v>16.0000000000001</v>
      </c>
      <c r="J298" s="42">
        <f>VLOOKUP($B298,'93-07workbook'!$B$109:$Q$140,COLUMN(F$1),FALSE)</f>
        <v>39.5999999999999</v>
      </c>
      <c r="K298" s="42">
        <f>VLOOKUP($B298,'93-07workbook'!$B$109:$Q$140,COLUMN(G$1),FALSE)</f>
        <v>26.3</v>
      </c>
      <c r="L298" s="42">
        <f>VLOOKUP($B298,'93-07workbook'!$B$109:$Q$140,COLUMN(H$1),FALSE)</f>
        <v>8.00000000000011</v>
      </c>
      <c r="M298" s="42">
        <f>VLOOKUP($B298,'93-07workbook'!$B$109:$Q$140,COLUMN(I$1),FALSE)</f>
        <v>71.6</v>
      </c>
      <c r="N298" s="42">
        <f>VLOOKUP($B298,'93-07workbook'!$B$109:$Q$140,COLUMN(J$1),FALSE)</f>
        <v>0</v>
      </c>
      <c r="O298" s="42">
        <f>VLOOKUP($B298,'93-07workbook'!$B$109:$Q$140,COLUMN(K$1),FALSE)</f>
        <v>116.7</v>
      </c>
      <c r="P298" s="42">
        <f>VLOOKUP($B298,'93-07workbook'!$B$109:$Q$140,COLUMN(L$1),FALSE)</f>
        <v>5</v>
      </c>
      <c r="Q298" s="42">
        <f>VLOOKUP($B298,'93-07workbook'!$B$109:$Q$140,COLUMN(M$1),FALSE)</f>
        <v>0</v>
      </c>
      <c r="R298" s="42">
        <f>VLOOKUP($B298,'93-07workbook'!$B$109:$Q$140,COLUMN(N$1),FALSE)</f>
        <v>387</v>
      </c>
      <c r="S298" s="42">
        <f>VLOOKUP($B298,'93-07workbook'!$B$109:$Q$140,COLUMN(O$1),FALSE)</f>
        <v>410</v>
      </c>
      <c r="T298" s="42">
        <f>VLOOKUP($B298,'93-07workbook'!$B$109:$Q$140,COLUMN(P$1),FALSE)</f>
        <v>374</v>
      </c>
      <c r="U298" s="42">
        <f>SUMIFS('08-21addition'!$C:$C,'08-21addition'!$A:$A,$B166,'08-21addition'!$B:$B,U$2)*10+SUMIFS(Nuclear!$M:$M,Nuclear!$H:$H,$B265,Nuclear!$R:$R,V$2)+VLOOKUP($B298,'project vs stock'!$A$72:$W$103,19,FALSE)/9</f>
        <v>170</v>
      </c>
      <c r="V298" s="42">
        <f>SUMIFS('08-21addition'!$C:$C,'08-21addition'!$A:$A,$B166,'08-21addition'!$B:$B,V$2)*10+SUMIFS(Nuclear!$M:$M,Nuclear!$H:$H,$B265,Nuclear!$R:$R,W$2)+VLOOKUP($B298,'project vs stock'!$A$72:$W$103,19,FALSE)/9</f>
        <v>372</v>
      </c>
      <c r="W298" s="42">
        <f>SUMIFS('08-21addition'!$C:$C,'08-21addition'!$A:$A,$B166,'08-21addition'!$B:$B,W$2)*10+SUMIFS(Nuclear!$M:$M,Nuclear!$H:$H,$B265,Nuclear!$R:$R,X$2)+VLOOKUP($B298,'project vs stock'!$A$72:$W$103,19,FALSE)/9</f>
        <v>326.2</v>
      </c>
      <c r="X298" s="42">
        <f>SUMIFS('08-21addition'!$C:$C,'08-21addition'!$A:$A,$B166,'08-21addition'!$B:$B,X$2)*10+SUMIFS(Nuclear!$M:$M,Nuclear!$H:$H,$B265,Nuclear!$R:$R,Y$2)+VLOOKUP($B298,'project vs stock'!$A$72:$W$103,19,FALSE)/9</f>
        <v>445.5</v>
      </c>
      <c r="Y298" s="42">
        <f>SUMIFS('08-21addition'!$C:$C,'08-21addition'!$A:$A,$B166,'08-21addition'!$B:$B,Y$2)*10+SUMIFS(Nuclear!$M:$M,Nuclear!$H:$H,$B265,Nuclear!$R:$R,Z$2)+VLOOKUP($B298,'project vs stock'!$A$72:$W$103,19,FALSE)/9</f>
        <v>792</v>
      </c>
      <c r="Z298" s="42">
        <f>SUMIFS('08-21addition'!$C:$C,'08-21addition'!$A:$A,$B166,'08-21addition'!$B:$B,Z$2)*10+SUMIFS(Nuclear!$M:$M,Nuclear!$H:$H,$B265,Nuclear!$R:$R,AA$2)+VLOOKUP($B298,'project vs stock'!$A$72:$W$103,19,FALSE)/9</f>
        <v>2734</v>
      </c>
      <c r="AA298" s="42">
        <f>SUMIFS('08-21addition'!$C:$C,'08-21addition'!$A:$A,$B166,'08-21addition'!$B:$B,AA$2)*10+SUMIFS(Nuclear!$M:$M,Nuclear!$H:$H,$B265,Nuclear!$R:$R,AB$2)+VLOOKUP($B298,'project vs stock'!$A$72:$W$103,19,FALSE)/9</f>
        <v>2763.5</v>
      </c>
      <c r="AB298" s="42">
        <f>SUMIFS('08-21addition'!$C:$C,'08-21addition'!$A:$A,$B166,'08-21addition'!$B:$B,AB$2)*10+SUMIFS(Nuclear!$M:$M,Nuclear!$H:$H,$B265,Nuclear!$R:$R,AC$2)+VLOOKUP($B298,'project vs stock'!$A$72:$W$103,19,FALSE)/9</f>
        <v>7407.5</v>
      </c>
      <c r="AC298" s="42">
        <f>SUMIFS('08-21addition'!$C:$C,'08-21addition'!$A:$A,$B166,'08-21addition'!$B:$B,AC$2)*10+SUMIFS(Nuclear!$M:$M,Nuclear!$H:$H,$B265,Nuclear!$R:$R,AD$2)+VLOOKUP($B298,'project vs stock'!$A$72:$W$103,19,FALSE)/9</f>
        <v>2624</v>
      </c>
      <c r="AD298" s="42">
        <f>SUMIFS('08-21addition'!$C:$C,'08-21addition'!$A:$A,$B166,'08-21addition'!$B:$B,AD$2)*10+SUMIFS(Nuclear!$M:$M,Nuclear!$H:$H,$B265,Nuclear!$R:$R,AD$2)+VLOOKUP($B298,'project vs stock'!$A$72:$W$103,3,FALSE)/5</f>
        <v>299</v>
      </c>
      <c r="AE298" s="42">
        <f>SUMIFS('08-21addition'!$C:$C,'08-21addition'!$A:$A,$B166,'08-21addition'!$B:$B,AE$2)*10+SUMIFS(Nuclear!$M:$M,Nuclear!$H:$H,$B265,Nuclear!$R:$R,AE$2)+VLOOKUP($B298,'project vs stock'!$A$72:$W$103,3,FALSE)/5</f>
        <v>742.5</v>
      </c>
      <c r="AF298" s="42">
        <f>SUMIFS('08-21addition'!$C:$C,'08-21addition'!$A:$A,$B166,'08-21addition'!$B:$B,AF$2)*10+SUMIFS(Nuclear!$M:$M,Nuclear!$H:$H,$B265,Nuclear!$R:$R,AF$2)+VLOOKUP($B298,'project vs stock'!$A$72:$W$103,3,FALSE)/5</f>
        <v>649.5</v>
      </c>
    </row>
    <row r="299" s="38" customFormat="1" spans="1:32">
      <c r="A299" s="46"/>
      <c r="B299" s="46"/>
      <c r="C299" s="47"/>
      <c r="D299" s="47"/>
      <c r="E299" s="47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</row>
    <row r="300" ht="13.85" spans="1:32">
      <c r="A300" s="27" t="s">
        <v>2350</v>
      </c>
      <c r="B300" s="41" t="s">
        <v>80</v>
      </c>
      <c r="C300" s="42">
        <f t="shared" ref="C300:AF300" si="301">SUM(C301:C331)</f>
        <v>0</v>
      </c>
      <c r="D300" s="42">
        <f t="shared" si="301"/>
        <v>0</v>
      </c>
      <c r="E300" s="42">
        <f t="shared" si="301"/>
        <v>0</v>
      </c>
      <c r="F300" s="42">
        <f t="shared" si="301"/>
        <v>0</v>
      </c>
      <c r="G300" s="42">
        <f t="shared" si="301"/>
        <v>0</v>
      </c>
      <c r="H300" s="42">
        <f t="shared" si="301"/>
        <v>0</v>
      </c>
      <c r="I300" s="42">
        <f t="shared" si="301"/>
        <v>0</v>
      </c>
      <c r="J300" s="42">
        <f t="shared" si="301"/>
        <v>0</v>
      </c>
      <c r="K300" s="42">
        <f t="shared" si="301"/>
        <v>0</v>
      </c>
      <c r="L300" s="42">
        <f t="shared" si="301"/>
        <v>0</v>
      </c>
      <c r="M300" s="42">
        <f t="shared" si="301"/>
        <v>0</v>
      </c>
      <c r="N300" s="42">
        <f t="shared" si="301"/>
        <v>648.5</v>
      </c>
      <c r="O300" s="42">
        <f t="shared" si="301"/>
        <v>648.5</v>
      </c>
      <c r="P300" s="42">
        <f t="shared" si="301"/>
        <v>648.5</v>
      </c>
      <c r="Q300" s="42">
        <f t="shared" si="301"/>
        <v>648.5</v>
      </c>
      <c r="R300" s="42">
        <f t="shared" si="301"/>
        <v>648.5</v>
      </c>
      <c r="S300" s="42">
        <f t="shared" si="301"/>
        <v>648.5</v>
      </c>
      <c r="T300" s="42">
        <f t="shared" si="301"/>
        <v>648.5</v>
      </c>
      <c r="U300" s="42">
        <f t="shared" si="301"/>
        <v>648.5</v>
      </c>
      <c r="V300" s="42">
        <f t="shared" si="301"/>
        <v>1550</v>
      </c>
      <c r="W300" s="42">
        <f t="shared" si="301"/>
        <v>1901.4</v>
      </c>
      <c r="X300" s="42">
        <f t="shared" si="301"/>
        <v>1230</v>
      </c>
      <c r="Y300" s="42">
        <f t="shared" si="301"/>
        <v>1560</v>
      </c>
      <c r="Z300" s="42">
        <f t="shared" si="301"/>
        <v>606</v>
      </c>
      <c r="AA300" s="42">
        <f t="shared" si="301"/>
        <v>300</v>
      </c>
      <c r="AB300" s="42">
        <f t="shared" si="301"/>
        <v>0</v>
      </c>
      <c r="AC300" s="42">
        <f t="shared" si="301"/>
        <v>318</v>
      </c>
      <c r="AD300" s="42">
        <f t="shared" si="301"/>
        <v>2</v>
      </c>
      <c r="AE300" s="42">
        <f t="shared" si="301"/>
        <v>0</v>
      </c>
      <c r="AF300" s="43">
        <f t="shared" si="301"/>
        <v>1400</v>
      </c>
    </row>
    <row r="301" ht="13.85" spans="1:32">
      <c r="A301" s="27" t="s">
        <v>2350</v>
      </c>
      <c r="B301" s="44" t="s">
        <v>82</v>
      </c>
      <c r="C301" s="45"/>
      <c r="D301" s="45"/>
      <c r="E301" s="45"/>
      <c r="F301" s="42"/>
      <c r="G301" s="42"/>
      <c r="H301" s="42"/>
      <c r="I301" s="42"/>
      <c r="J301" s="42"/>
      <c r="K301" s="42"/>
      <c r="L301" s="42"/>
      <c r="M301" s="42"/>
      <c r="N301" s="42">
        <f>VLOOKUP($B301,Gangue!$A$3:$W$34,COLUMN(C$1),FALSE)*10</f>
        <v>4</v>
      </c>
      <c r="O301" s="42">
        <f>VLOOKUP($B301,Gangue!$A$3:$W$34,COLUMN(D$1),FALSE)*10</f>
        <v>4</v>
      </c>
      <c r="P301" s="42">
        <f>VLOOKUP($B301,Gangue!$A$3:$W$34,COLUMN(E$1),FALSE)*10</f>
        <v>4</v>
      </c>
      <c r="Q301" s="42">
        <f>VLOOKUP($B301,Gangue!$A$3:$W$34,COLUMN(F$1),FALSE)*10</f>
        <v>4</v>
      </c>
      <c r="R301" s="42">
        <f>VLOOKUP($B301,Gangue!$A$3:$W$34,COLUMN(G$1),FALSE)*10</f>
        <v>4</v>
      </c>
      <c r="S301" s="42">
        <f>VLOOKUP($B301,Gangue!$A$3:$W$34,COLUMN(H$1),FALSE)*10</f>
        <v>4</v>
      </c>
      <c r="T301" s="42">
        <f>VLOOKUP($B301,Gangue!$A$3:$W$34,COLUMN(I$1),FALSE)*10</f>
        <v>4</v>
      </c>
      <c r="U301" s="42">
        <f>VLOOKUP($B301,Gangue!$A$3:$W$34,COLUMN(J$1),FALSE)*10</f>
        <v>4</v>
      </c>
      <c r="V301" s="42">
        <f>VLOOKUP($B301,Gangue!$A$3:$W$34,COLUMN(K$1),FALSE)*10</f>
        <v>0</v>
      </c>
      <c r="W301" s="42">
        <f>VLOOKUP($B301,Gangue!$A$3:$W$34,COLUMN(L$1),FALSE)*10</f>
        <v>0</v>
      </c>
      <c r="X301" s="42">
        <f>VLOOKUP($B301,Gangue!$A$3:$W$34,COLUMN(M$1),FALSE)*10</f>
        <v>0</v>
      </c>
      <c r="Y301" s="42">
        <f>VLOOKUP($B301,Gangue!$A$3:$W$34,COLUMN(N$1),FALSE)*10</f>
        <v>0</v>
      </c>
      <c r="Z301" s="42">
        <f>VLOOKUP($B301,Gangue!$A$3:$W$34,COLUMN(O$1),FALSE)*10</f>
        <v>0</v>
      </c>
      <c r="AA301" s="42">
        <f>VLOOKUP($B301,Gangue!$A$3:$W$34,COLUMN(P$1),FALSE)*10</f>
        <v>0</v>
      </c>
      <c r="AB301" s="42">
        <f>VLOOKUP($B301,Gangue!$A$3:$W$34,COLUMN(Q$1),FALSE)*10</f>
        <v>0</v>
      </c>
      <c r="AC301" s="42">
        <f>VLOOKUP($B301,Gangue!$A$3:$W$34,COLUMN(R$1),FALSE)*10</f>
        <v>0</v>
      </c>
      <c r="AD301" s="42">
        <f>VLOOKUP($B301,Gangue!$A$3:$W$34,COLUMN(S$1),FALSE)*10</f>
        <v>0</v>
      </c>
      <c r="AE301" s="42">
        <f>VLOOKUP($B301,Gangue!$A$3:$W$34,COLUMN(T$1),FALSE)*10</f>
        <v>0</v>
      </c>
      <c r="AF301" s="43">
        <f>VLOOKUP($B301,Gangue!$A$3:$W$34,COLUMN(U$1),FALSE)*10</f>
        <v>0</v>
      </c>
    </row>
    <row r="302" ht="13.85" spans="1:32">
      <c r="A302" s="27" t="s">
        <v>2350</v>
      </c>
      <c r="B302" s="44" t="s">
        <v>84</v>
      </c>
      <c r="C302" s="45"/>
      <c r="D302" s="45"/>
      <c r="E302" s="45"/>
      <c r="F302" s="42"/>
      <c r="G302" s="42"/>
      <c r="H302" s="42"/>
      <c r="I302" s="42"/>
      <c r="J302" s="42"/>
      <c r="K302" s="42"/>
      <c r="L302" s="42"/>
      <c r="M302" s="42"/>
      <c r="N302" s="42">
        <f>VLOOKUP($B302,Gangue!$A$3:$W$34,COLUMN(C$1),FALSE)*10</f>
        <v>0</v>
      </c>
      <c r="O302" s="42">
        <f>VLOOKUP($B302,Gangue!$A$3:$W$34,COLUMN(D$1),FALSE)*10</f>
        <v>0</v>
      </c>
      <c r="P302" s="42">
        <f>VLOOKUP($B302,Gangue!$A$3:$W$34,COLUMN(E$1),FALSE)*10</f>
        <v>0</v>
      </c>
      <c r="Q302" s="42">
        <f>VLOOKUP($B302,Gangue!$A$3:$W$34,COLUMN(F$1),FALSE)*10</f>
        <v>0</v>
      </c>
      <c r="R302" s="42">
        <f>VLOOKUP($B302,Gangue!$A$3:$W$34,COLUMN(G$1),FALSE)*10</f>
        <v>0</v>
      </c>
      <c r="S302" s="42">
        <f>VLOOKUP($B302,Gangue!$A$3:$W$34,COLUMN(H$1),FALSE)*10</f>
        <v>0</v>
      </c>
      <c r="T302" s="42">
        <f>VLOOKUP($B302,Gangue!$A$3:$W$34,COLUMN(I$1),FALSE)*10</f>
        <v>0</v>
      </c>
      <c r="U302" s="42">
        <f>VLOOKUP($B302,Gangue!$A$3:$W$34,COLUMN(J$1),FALSE)*10</f>
        <v>0</v>
      </c>
      <c r="V302" s="42">
        <f>VLOOKUP($B302,Gangue!$A$3:$W$34,COLUMN(K$1),FALSE)*10</f>
        <v>0</v>
      </c>
      <c r="W302" s="42">
        <f>VLOOKUP($B302,Gangue!$A$3:$W$34,COLUMN(L$1),FALSE)*10</f>
        <v>0</v>
      </c>
      <c r="X302" s="42">
        <f>VLOOKUP($B302,Gangue!$A$3:$W$34,COLUMN(M$1),FALSE)*10</f>
        <v>0</v>
      </c>
      <c r="Y302" s="42">
        <f>VLOOKUP($B302,Gangue!$A$3:$W$34,COLUMN(N$1),FALSE)*10</f>
        <v>0</v>
      </c>
      <c r="Z302" s="42">
        <f>VLOOKUP($B302,Gangue!$A$3:$W$34,COLUMN(O$1),FALSE)*10</f>
        <v>0</v>
      </c>
      <c r="AA302" s="42">
        <f>VLOOKUP($B302,Gangue!$A$3:$W$34,COLUMN(P$1),FALSE)*10</f>
        <v>0</v>
      </c>
      <c r="AB302" s="42">
        <f>VLOOKUP($B302,Gangue!$A$3:$W$34,COLUMN(Q$1),FALSE)*10</f>
        <v>0</v>
      </c>
      <c r="AC302" s="42">
        <f>VLOOKUP($B302,Gangue!$A$3:$W$34,COLUMN(R$1),FALSE)*10</f>
        <v>0</v>
      </c>
      <c r="AD302" s="42">
        <f>VLOOKUP($B302,Gangue!$A$3:$W$34,COLUMN(S$1),FALSE)*10</f>
        <v>0</v>
      </c>
      <c r="AE302" s="42">
        <f>VLOOKUP($B302,Gangue!$A$3:$W$34,COLUMN(T$1),FALSE)*10</f>
        <v>0</v>
      </c>
      <c r="AF302" s="43">
        <f>VLOOKUP($B302,Gangue!$A$3:$W$34,COLUMN(U$1),FALSE)*10</f>
        <v>0</v>
      </c>
    </row>
    <row r="303" ht="13.85" spans="1:32">
      <c r="A303" s="27" t="s">
        <v>2350</v>
      </c>
      <c r="B303" s="44" t="s">
        <v>86</v>
      </c>
      <c r="C303" s="45"/>
      <c r="D303" s="45"/>
      <c r="E303" s="45"/>
      <c r="F303" s="42"/>
      <c r="G303" s="42"/>
      <c r="H303" s="42"/>
      <c r="I303" s="42"/>
      <c r="J303" s="42"/>
      <c r="K303" s="42"/>
      <c r="L303" s="42"/>
      <c r="M303" s="42"/>
      <c r="N303" s="42">
        <f>VLOOKUP($B303,Gangue!$A$3:$W$34,COLUMN(C$1),FALSE)*10</f>
        <v>72.375</v>
      </c>
      <c r="O303" s="42">
        <f>VLOOKUP($B303,Gangue!$A$3:$W$34,COLUMN(D$1),FALSE)*10</f>
        <v>72.375</v>
      </c>
      <c r="P303" s="42">
        <f>VLOOKUP($B303,Gangue!$A$3:$W$34,COLUMN(E$1),FALSE)*10</f>
        <v>72.375</v>
      </c>
      <c r="Q303" s="42">
        <f>VLOOKUP($B303,Gangue!$A$3:$W$34,COLUMN(F$1),FALSE)*10</f>
        <v>72.375</v>
      </c>
      <c r="R303" s="42">
        <f>VLOOKUP($B303,Gangue!$A$3:$W$34,COLUMN(G$1),FALSE)*10</f>
        <v>72.375</v>
      </c>
      <c r="S303" s="42">
        <f>VLOOKUP($B303,Gangue!$A$3:$W$34,COLUMN(H$1),FALSE)*10</f>
        <v>72.375</v>
      </c>
      <c r="T303" s="42">
        <f>VLOOKUP($B303,Gangue!$A$3:$W$34,COLUMN(I$1),FALSE)*10</f>
        <v>72.375</v>
      </c>
      <c r="U303" s="42">
        <f>VLOOKUP($B303,Gangue!$A$3:$W$34,COLUMN(J$1),FALSE)*10</f>
        <v>72.375</v>
      </c>
      <c r="V303" s="42">
        <f>VLOOKUP($B303,Gangue!$A$3:$W$34,COLUMN(K$1),FALSE)*10</f>
        <v>270</v>
      </c>
      <c r="W303" s="42">
        <f>VLOOKUP($B303,Gangue!$A$3:$W$34,COLUMN(L$1),FALSE)*10</f>
        <v>0</v>
      </c>
      <c r="X303" s="42">
        <f>VLOOKUP($B303,Gangue!$A$3:$W$34,COLUMN(M$1),FALSE)*10</f>
        <v>0</v>
      </c>
      <c r="Y303" s="42">
        <f>VLOOKUP($B303,Gangue!$A$3:$W$34,COLUMN(N$1),FALSE)*10</f>
        <v>600</v>
      </c>
      <c r="Z303" s="42">
        <f>VLOOKUP($B303,Gangue!$A$3:$W$34,COLUMN(O$1),FALSE)*10</f>
        <v>0</v>
      </c>
      <c r="AA303" s="42">
        <f>VLOOKUP($B303,Gangue!$A$3:$W$34,COLUMN(P$1),FALSE)*10</f>
        <v>0</v>
      </c>
      <c r="AB303" s="42">
        <f>VLOOKUP($B303,Gangue!$A$3:$W$34,COLUMN(Q$1),FALSE)*10</f>
        <v>0</v>
      </c>
      <c r="AC303" s="42">
        <f>VLOOKUP($B303,Gangue!$A$3:$W$34,COLUMN(R$1),FALSE)*10</f>
        <v>18</v>
      </c>
      <c r="AD303" s="42">
        <f>VLOOKUP($B303,Gangue!$A$3:$W$34,COLUMN(S$1),FALSE)*10</f>
        <v>0</v>
      </c>
      <c r="AE303" s="42">
        <f>VLOOKUP($B303,Gangue!$A$3:$W$34,COLUMN(T$1),FALSE)*10</f>
        <v>0</v>
      </c>
      <c r="AF303" s="43">
        <f>VLOOKUP($B303,Gangue!$A$3:$W$34,COLUMN(U$1),FALSE)*10</f>
        <v>0</v>
      </c>
    </row>
    <row r="304" ht="13.85" spans="1:32">
      <c r="A304" s="27" t="s">
        <v>2350</v>
      </c>
      <c r="B304" s="44" t="s">
        <v>88</v>
      </c>
      <c r="C304" s="45"/>
      <c r="D304" s="45"/>
      <c r="E304" s="45"/>
      <c r="F304" s="42"/>
      <c r="G304" s="42"/>
      <c r="H304" s="42"/>
      <c r="I304" s="42"/>
      <c r="J304" s="42"/>
      <c r="K304" s="42"/>
      <c r="L304" s="42"/>
      <c r="M304" s="42"/>
      <c r="N304" s="42">
        <f>VLOOKUP($B304,Gangue!$A$3:$W$34,COLUMN(C$1),FALSE)*10</f>
        <v>79</v>
      </c>
      <c r="O304" s="42">
        <f>VLOOKUP($B304,Gangue!$A$3:$W$34,COLUMN(D$1),FALSE)*10</f>
        <v>79</v>
      </c>
      <c r="P304" s="42">
        <f>VLOOKUP($B304,Gangue!$A$3:$W$34,COLUMN(E$1),FALSE)*10</f>
        <v>79</v>
      </c>
      <c r="Q304" s="42">
        <f>VLOOKUP($B304,Gangue!$A$3:$W$34,COLUMN(F$1),FALSE)*10</f>
        <v>79</v>
      </c>
      <c r="R304" s="42">
        <f>VLOOKUP($B304,Gangue!$A$3:$W$34,COLUMN(G$1),FALSE)*10</f>
        <v>79</v>
      </c>
      <c r="S304" s="42">
        <f>VLOOKUP($B304,Gangue!$A$3:$W$34,COLUMN(H$1),FALSE)*10</f>
        <v>79</v>
      </c>
      <c r="T304" s="42">
        <f>VLOOKUP($B304,Gangue!$A$3:$W$34,COLUMN(I$1),FALSE)*10</f>
        <v>79</v>
      </c>
      <c r="U304" s="42">
        <f>VLOOKUP($B304,Gangue!$A$3:$W$34,COLUMN(J$1),FALSE)*10</f>
        <v>79</v>
      </c>
      <c r="V304" s="42">
        <f>VLOOKUP($B304,Gangue!$A$3:$W$34,COLUMN(K$1),FALSE)*10</f>
        <v>600</v>
      </c>
      <c r="W304" s="42">
        <f>VLOOKUP($B304,Gangue!$A$3:$W$34,COLUMN(L$1),FALSE)*10</f>
        <v>0</v>
      </c>
      <c r="X304" s="42">
        <f>VLOOKUP($B304,Gangue!$A$3:$W$34,COLUMN(M$1),FALSE)*10</f>
        <v>630</v>
      </c>
      <c r="Y304" s="42">
        <f>VLOOKUP($B304,Gangue!$A$3:$W$34,COLUMN(N$1),FALSE)*10</f>
        <v>300</v>
      </c>
      <c r="Z304" s="42">
        <f>VLOOKUP($B304,Gangue!$A$3:$W$34,COLUMN(O$1),FALSE)*10</f>
        <v>0</v>
      </c>
      <c r="AA304" s="42">
        <f>VLOOKUP($B304,Gangue!$A$3:$W$34,COLUMN(P$1),FALSE)*10</f>
        <v>300</v>
      </c>
      <c r="AB304" s="42">
        <f>VLOOKUP($B304,Gangue!$A$3:$W$34,COLUMN(Q$1),FALSE)*10</f>
        <v>0</v>
      </c>
      <c r="AC304" s="42">
        <f>VLOOKUP($B304,Gangue!$A$3:$W$34,COLUMN(R$1),FALSE)*10</f>
        <v>300</v>
      </c>
      <c r="AD304" s="42">
        <f>VLOOKUP($B304,Gangue!$A$3:$W$34,COLUMN(S$1),FALSE)*10</f>
        <v>0</v>
      </c>
      <c r="AE304" s="42">
        <f>VLOOKUP($B304,Gangue!$A$3:$W$34,COLUMN(T$1),FALSE)*10</f>
        <v>0</v>
      </c>
      <c r="AF304" s="43">
        <f>VLOOKUP($B304,Gangue!$A$3:$W$34,COLUMN(U$1),FALSE)*10</f>
        <v>700</v>
      </c>
    </row>
    <row r="305" ht="13.85" spans="1:32">
      <c r="A305" s="27" t="s">
        <v>2350</v>
      </c>
      <c r="B305" s="44" t="s">
        <v>90</v>
      </c>
      <c r="C305" s="45"/>
      <c r="D305" s="45"/>
      <c r="E305" s="45"/>
      <c r="F305" s="42"/>
      <c r="G305" s="42"/>
      <c r="H305" s="42"/>
      <c r="I305" s="42"/>
      <c r="J305" s="42"/>
      <c r="K305" s="42"/>
      <c r="L305" s="42"/>
      <c r="M305" s="42"/>
      <c r="N305" s="42">
        <f>VLOOKUP($B305,Gangue!$A$3:$W$34,COLUMN(C$1),FALSE)*10</f>
        <v>166.125</v>
      </c>
      <c r="O305" s="42">
        <f>VLOOKUP($B305,Gangue!$A$3:$W$34,COLUMN(D$1),FALSE)*10</f>
        <v>166.125</v>
      </c>
      <c r="P305" s="42">
        <f>VLOOKUP($B305,Gangue!$A$3:$W$34,COLUMN(E$1),FALSE)*10</f>
        <v>166.125</v>
      </c>
      <c r="Q305" s="42">
        <f>VLOOKUP($B305,Gangue!$A$3:$W$34,COLUMN(F$1),FALSE)*10</f>
        <v>166.125</v>
      </c>
      <c r="R305" s="42">
        <f>VLOOKUP($B305,Gangue!$A$3:$W$34,COLUMN(G$1),FALSE)*10</f>
        <v>166.125</v>
      </c>
      <c r="S305" s="42">
        <f>VLOOKUP($B305,Gangue!$A$3:$W$34,COLUMN(H$1),FALSE)*10</f>
        <v>166.125</v>
      </c>
      <c r="T305" s="42">
        <f>VLOOKUP($B305,Gangue!$A$3:$W$34,COLUMN(I$1),FALSE)*10</f>
        <v>166.125</v>
      </c>
      <c r="U305" s="42">
        <f>VLOOKUP($B305,Gangue!$A$3:$W$34,COLUMN(J$1),FALSE)*10</f>
        <v>166.125</v>
      </c>
      <c r="V305" s="42">
        <f>VLOOKUP($B305,Gangue!$A$3:$W$34,COLUMN(K$1),FALSE)*10</f>
        <v>320</v>
      </c>
      <c r="W305" s="42">
        <f>VLOOKUP($B305,Gangue!$A$3:$W$34,COLUMN(L$1),FALSE)*10</f>
        <v>600</v>
      </c>
      <c r="X305" s="42">
        <f>VLOOKUP($B305,Gangue!$A$3:$W$34,COLUMN(M$1),FALSE)*10</f>
        <v>0</v>
      </c>
      <c r="Y305" s="42">
        <f>VLOOKUP($B305,Gangue!$A$3:$W$34,COLUMN(N$1),FALSE)*10</f>
        <v>0</v>
      </c>
      <c r="Z305" s="42">
        <f>VLOOKUP($B305,Gangue!$A$3:$W$34,COLUMN(O$1),FALSE)*10</f>
        <v>0</v>
      </c>
      <c r="AA305" s="42">
        <f>VLOOKUP($B305,Gangue!$A$3:$W$34,COLUMN(P$1),FALSE)*10</f>
        <v>0</v>
      </c>
      <c r="AB305" s="42">
        <f>VLOOKUP($B305,Gangue!$A$3:$W$34,COLUMN(Q$1),FALSE)*10</f>
        <v>0</v>
      </c>
      <c r="AC305" s="42">
        <f>VLOOKUP($B305,Gangue!$A$3:$W$34,COLUMN(R$1),FALSE)*10</f>
        <v>0</v>
      </c>
      <c r="AD305" s="42">
        <f>VLOOKUP($B305,Gangue!$A$3:$W$34,COLUMN(S$1),FALSE)*10</f>
        <v>0</v>
      </c>
      <c r="AE305" s="42">
        <f>VLOOKUP($B305,Gangue!$A$3:$W$34,COLUMN(T$1),FALSE)*10</f>
        <v>0</v>
      </c>
      <c r="AF305" s="43">
        <f>VLOOKUP($B305,Gangue!$A$3:$W$34,COLUMN(U$1),FALSE)*10</f>
        <v>700</v>
      </c>
    </row>
    <row r="306" ht="13.85" spans="1:32">
      <c r="A306" s="27" t="s">
        <v>2350</v>
      </c>
      <c r="B306" s="44" t="s">
        <v>92</v>
      </c>
      <c r="C306" s="45"/>
      <c r="D306" s="45"/>
      <c r="E306" s="45"/>
      <c r="F306" s="42"/>
      <c r="G306" s="42"/>
      <c r="H306" s="42"/>
      <c r="I306" s="42"/>
      <c r="J306" s="42"/>
      <c r="K306" s="42"/>
      <c r="L306" s="42"/>
      <c r="M306" s="42"/>
      <c r="N306" s="42">
        <f>VLOOKUP($B306,Gangue!$A$3:$W$34,COLUMN(C$1),FALSE)*10</f>
        <v>161.375</v>
      </c>
      <c r="O306" s="42">
        <f>VLOOKUP($B306,Gangue!$A$3:$W$34,COLUMN(D$1),FALSE)*10</f>
        <v>161.375</v>
      </c>
      <c r="P306" s="42">
        <f>VLOOKUP($B306,Gangue!$A$3:$W$34,COLUMN(E$1),FALSE)*10</f>
        <v>161.375</v>
      </c>
      <c r="Q306" s="42">
        <f>VLOOKUP($B306,Gangue!$A$3:$W$34,COLUMN(F$1),FALSE)*10</f>
        <v>161.375</v>
      </c>
      <c r="R306" s="42">
        <f>VLOOKUP($B306,Gangue!$A$3:$W$34,COLUMN(G$1),FALSE)*10</f>
        <v>161.375</v>
      </c>
      <c r="S306" s="42">
        <f>VLOOKUP($B306,Gangue!$A$3:$W$34,COLUMN(H$1),FALSE)*10</f>
        <v>161.375</v>
      </c>
      <c r="T306" s="42">
        <f>VLOOKUP($B306,Gangue!$A$3:$W$34,COLUMN(I$1),FALSE)*10</f>
        <v>161.375</v>
      </c>
      <c r="U306" s="42">
        <f>VLOOKUP($B306,Gangue!$A$3:$W$34,COLUMN(J$1),FALSE)*10</f>
        <v>161.375</v>
      </c>
      <c r="V306" s="42">
        <f>VLOOKUP($B306,Gangue!$A$3:$W$34,COLUMN(K$1),FALSE)*10</f>
        <v>300</v>
      </c>
      <c r="W306" s="42">
        <f>VLOOKUP($B306,Gangue!$A$3:$W$34,COLUMN(L$1),FALSE)*10</f>
        <v>300</v>
      </c>
      <c r="X306" s="42">
        <f>VLOOKUP($B306,Gangue!$A$3:$W$34,COLUMN(M$1),FALSE)*10</f>
        <v>0</v>
      </c>
      <c r="Y306" s="42">
        <f>VLOOKUP($B306,Gangue!$A$3:$W$34,COLUMN(N$1),FALSE)*10</f>
        <v>0</v>
      </c>
      <c r="Z306" s="42">
        <f>VLOOKUP($B306,Gangue!$A$3:$W$34,COLUMN(O$1),FALSE)*10</f>
        <v>0</v>
      </c>
      <c r="AA306" s="42">
        <f>VLOOKUP($B306,Gangue!$A$3:$W$34,COLUMN(P$1),FALSE)*10</f>
        <v>0</v>
      </c>
      <c r="AB306" s="42">
        <f>VLOOKUP($B306,Gangue!$A$3:$W$34,COLUMN(Q$1),FALSE)*10</f>
        <v>0</v>
      </c>
      <c r="AC306" s="42">
        <f>VLOOKUP($B306,Gangue!$A$3:$W$34,COLUMN(R$1),FALSE)*10</f>
        <v>0</v>
      </c>
      <c r="AD306" s="42">
        <f>VLOOKUP($B306,Gangue!$A$3:$W$34,COLUMN(S$1),FALSE)*10</f>
        <v>0</v>
      </c>
      <c r="AE306" s="42">
        <f>VLOOKUP($B306,Gangue!$A$3:$W$34,COLUMN(T$1),FALSE)*10</f>
        <v>0</v>
      </c>
      <c r="AF306" s="43">
        <f>VLOOKUP($B306,Gangue!$A$3:$W$34,COLUMN(U$1),FALSE)*10</f>
        <v>0</v>
      </c>
    </row>
    <row r="307" ht="13.85" spans="1:32">
      <c r="A307" s="27" t="s">
        <v>2350</v>
      </c>
      <c r="B307" s="44" t="s">
        <v>94</v>
      </c>
      <c r="C307" s="45"/>
      <c r="D307" s="45"/>
      <c r="E307" s="45"/>
      <c r="F307" s="42"/>
      <c r="G307" s="42"/>
      <c r="H307" s="42"/>
      <c r="I307" s="42"/>
      <c r="J307" s="42"/>
      <c r="K307" s="42"/>
      <c r="L307" s="42"/>
      <c r="M307" s="42"/>
      <c r="N307" s="42">
        <f>VLOOKUP($B307,Gangue!$A$3:$W$34,COLUMN(C$1),FALSE)*10</f>
        <v>0</v>
      </c>
      <c r="O307" s="42">
        <f>VLOOKUP($B307,Gangue!$A$3:$W$34,COLUMN(D$1),FALSE)*10</f>
        <v>0</v>
      </c>
      <c r="P307" s="42">
        <f>VLOOKUP($B307,Gangue!$A$3:$W$34,COLUMN(E$1),FALSE)*10</f>
        <v>0</v>
      </c>
      <c r="Q307" s="42">
        <f>VLOOKUP($B307,Gangue!$A$3:$W$34,COLUMN(F$1),FALSE)*10</f>
        <v>0</v>
      </c>
      <c r="R307" s="42">
        <f>VLOOKUP($B307,Gangue!$A$3:$W$34,COLUMN(G$1),FALSE)*10</f>
        <v>0</v>
      </c>
      <c r="S307" s="42">
        <f>VLOOKUP($B307,Gangue!$A$3:$W$34,COLUMN(H$1),FALSE)*10</f>
        <v>0</v>
      </c>
      <c r="T307" s="42">
        <f>VLOOKUP($B307,Gangue!$A$3:$W$34,COLUMN(I$1),FALSE)*10</f>
        <v>0</v>
      </c>
      <c r="U307" s="42">
        <f>VLOOKUP($B307,Gangue!$A$3:$W$34,COLUMN(J$1),FALSE)*10</f>
        <v>0</v>
      </c>
      <c r="V307" s="42">
        <f>VLOOKUP($B307,Gangue!$A$3:$W$34,COLUMN(K$1),FALSE)*10</f>
        <v>0</v>
      </c>
      <c r="W307" s="42">
        <f>VLOOKUP($B307,Gangue!$A$3:$W$34,COLUMN(L$1),FALSE)*10</f>
        <v>0</v>
      </c>
      <c r="X307" s="42">
        <f>VLOOKUP($B307,Gangue!$A$3:$W$34,COLUMN(M$1),FALSE)*10</f>
        <v>0</v>
      </c>
      <c r="Y307" s="42">
        <f>VLOOKUP($B307,Gangue!$A$3:$W$34,COLUMN(N$1),FALSE)*10</f>
        <v>660</v>
      </c>
      <c r="Z307" s="42">
        <f>VLOOKUP($B307,Gangue!$A$3:$W$34,COLUMN(O$1),FALSE)*10</f>
        <v>0</v>
      </c>
      <c r="AA307" s="42">
        <f>VLOOKUP($B307,Gangue!$A$3:$W$34,COLUMN(P$1),FALSE)*10</f>
        <v>0</v>
      </c>
      <c r="AB307" s="42">
        <f>VLOOKUP($B307,Gangue!$A$3:$W$34,COLUMN(Q$1),FALSE)*10</f>
        <v>0</v>
      </c>
      <c r="AC307" s="42">
        <f>VLOOKUP($B307,Gangue!$A$3:$W$34,COLUMN(R$1),FALSE)*10</f>
        <v>0</v>
      </c>
      <c r="AD307" s="42">
        <f>VLOOKUP($B307,Gangue!$A$3:$W$34,COLUMN(S$1),FALSE)*10</f>
        <v>0</v>
      </c>
      <c r="AE307" s="42">
        <f>VLOOKUP($B307,Gangue!$A$3:$W$34,COLUMN(T$1),FALSE)*10</f>
        <v>0</v>
      </c>
      <c r="AF307" s="43">
        <f>VLOOKUP($B307,Gangue!$A$3:$W$34,COLUMN(U$1),FALSE)*10</f>
        <v>0</v>
      </c>
    </row>
    <row r="308" ht="13.85" spans="1:32">
      <c r="A308" s="27" t="s">
        <v>2350</v>
      </c>
      <c r="B308" s="44" t="s">
        <v>96</v>
      </c>
      <c r="C308" s="45"/>
      <c r="D308" s="45"/>
      <c r="E308" s="45"/>
      <c r="F308" s="42"/>
      <c r="G308" s="42"/>
      <c r="H308" s="42"/>
      <c r="I308" s="42"/>
      <c r="J308" s="42"/>
      <c r="K308" s="42"/>
      <c r="L308" s="42"/>
      <c r="M308" s="42"/>
      <c r="N308" s="42">
        <f>VLOOKUP($B308,Gangue!$A$3:$W$34,COLUMN(C$1),FALSE)*10</f>
        <v>12.5</v>
      </c>
      <c r="O308" s="42">
        <f>VLOOKUP($B308,Gangue!$A$3:$W$34,COLUMN(D$1),FALSE)*10</f>
        <v>12.5</v>
      </c>
      <c r="P308" s="42">
        <f>VLOOKUP($B308,Gangue!$A$3:$W$34,COLUMN(E$1),FALSE)*10</f>
        <v>12.5</v>
      </c>
      <c r="Q308" s="42">
        <f>VLOOKUP($B308,Gangue!$A$3:$W$34,COLUMN(F$1),FALSE)*10</f>
        <v>12.5</v>
      </c>
      <c r="R308" s="42">
        <f>VLOOKUP($B308,Gangue!$A$3:$W$34,COLUMN(G$1),FALSE)*10</f>
        <v>12.5</v>
      </c>
      <c r="S308" s="42">
        <f>VLOOKUP($B308,Gangue!$A$3:$W$34,COLUMN(H$1),FALSE)*10</f>
        <v>12.5</v>
      </c>
      <c r="T308" s="42">
        <f>VLOOKUP($B308,Gangue!$A$3:$W$34,COLUMN(I$1),FALSE)*10</f>
        <v>12.5</v>
      </c>
      <c r="U308" s="42">
        <f>VLOOKUP($B308,Gangue!$A$3:$W$34,COLUMN(J$1),FALSE)*10</f>
        <v>12.5</v>
      </c>
      <c r="V308" s="42">
        <f>VLOOKUP($B308,Gangue!$A$3:$W$34,COLUMN(K$1),FALSE)*10</f>
        <v>0</v>
      </c>
      <c r="W308" s="42">
        <f>VLOOKUP($B308,Gangue!$A$3:$W$34,COLUMN(L$1),FALSE)*10</f>
        <v>50</v>
      </c>
      <c r="X308" s="42">
        <f>VLOOKUP($B308,Gangue!$A$3:$W$34,COLUMN(M$1),FALSE)*10</f>
        <v>600</v>
      </c>
      <c r="Y308" s="42">
        <f>VLOOKUP($B308,Gangue!$A$3:$W$34,COLUMN(N$1),FALSE)*10</f>
        <v>0</v>
      </c>
      <c r="Z308" s="42">
        <f>VLOOKUP($B308,Gangue!$A$3:$W$34,COLUMN(O$1),FALSE)*10</f>
        <v>0</v>
      </c>
      <c r="AA308" s="42">
        <f>VLOOKUP($B308,Gangue!$A$3:$W$34,COLUMN(P$1),FALSE)*10</f>
        <v>0</v>
      </c>
      <c r="AB308" s="42">
        <f>VLOOKUP($B308,Gangue!$A$3:$W$34,COLUMN(Q$1),FALSE)*10</f>
        <v>0</v>
      </c>
      <c r="AC308" s="42">
        <f>VLOOKUP($B308,Gangue!$A$3:$W$34,COLUMN(R$1),FALSE)*10</f>
        <v>0</v>
      </c>
      <c r="AD308" s="42">
        <f>VLOOKUP($B308,Gangue!$A$3:$W$34,COLUMN(S$1),FALSE)*10</f>
        <v>0</v>
      </c>
      <c r="AE308" s="42">
        <f>VLOOKUP($B308,Gangue!$A$3:$W$34,COLUMN(T$1),FALSE)*10</f>
        <v>0</v>
      </c>
      <c r="AF308" s="43">
        <f>VLOOKUP($B308,Gangue!$A$3:$W$34,COLUMN(U$1),FALSE)*10</f>
        <v>0</v>
      </c>
    </row>
    <row r="309" ht="13.85" spans="1:32">
      <c r="A309" s="27" t="s">
        <v>2350</v>
      </c>
      <c r="B309" s="44" t="s">
        <v>98</v>
      </c>
      <c r="C309" s="45"/>
      <c r="D309" s="45"/>
      <c r="E309" s="45"/>
      <c r="F309" s="42"/>
      <c r="G309" s="42"/>
      <c r="H309" s="42"/>
      <c r="I309" s="42"/>
      <c r="J309" s="42"/>
      <c r="K309" s="42"/>
      <c r="L309" s="42"/>
      <c r="M309" s="42"/>
      <c r="N309" s="42">
        <f>VLOOKUP($B309,Gangue!$A$3:$W$34,COLUMN(C$1),FALSE)*10</f>
        <v>0</v>
      </c>
      <c r="O309" s="42">
        <f>VLOOKUP($B309,Gangue!$A$3:$W$34,COLUMN(D$1),FALSE)*10</f>
        <v>0</v>
      </c>
      <c r="P309" s="42">
        <f>VLOOKUP($B309,Gangue!$A$3:$W$34,COLUMN(E$1),FALSE)*10</f>
        <v>0</v>
      </c>
      <c r="Q309" s="42">
        <f>VLOOKUP($B309,Gangue!$A$3:$W$34,COLUMN(F$1),FALSE)*10</f>
        <v>0</v>
      </c>
      <c r="R309" s="42">
        <f>VLOOKUP($B309,Gangue!$A$3:$W$34,COLUMN(G$1),FALSE)*10</f>
        <v>0</v>
      </c>
      <c r="S309" s="42">
        <f>VLOOKUP($B309,Gangue!$A$3:$W$34,COLUMN(H$1),FALSE)*10</f>
        <v>0</v>
      </c>
      <c r="T309" s="42">
        <f>VLOOKUP($B309,Gangue!$A$3:$W$34,COLUMN(I$1),FALSE)*10</f>
        <v>0</v>
      </c>
      <c r="U309" s="42">
        <f>VLOOKUP($B309,Gangue!$A$3:$W$34,COLUMN(J$1),FALSE)*10</f>
        <v>0</v>
      </c>
      <c r="V309" s="42">
        <f>VLOOKUP($B309,Gangue!$A$3:$W$34,COLUMN(K$1),FALSE)*10</f>
        <v>0</v>
      </c>
      <c r="W309" s="42">
        <f>VLOOKUP($B309,Gangue!$A$3:$W$34,COLUMN(L$1),FALSE)*10</f>
        <v>0</v>
      </c>
      <c r="X309" s="42">
        <f>VLOOKUP($B309,Gangue!$A$3:$W$34,COLUMN(M$1),FALSE)*10</f>
        <v>0</v>
      </c>
      <c r="Y309" s="42">
        <f>VLOOKUP($B309,Gangue!$A$3:$W$34,COLUMN(N$1),FALSE)*10</f>
        <v>0</v>
      </c>
      <c r="Z309" s="42">
        <f>VLOOKUP($B309,Gangue!$A$3:$W$34,COLUMN(O$1),FALSE)*10</f>
        <v>0</v>
      </c>
      <c r="AA309" s="42">
        <f>VLOOKUP($B309,Gangue!$A$3:$W$34,COLUMN(P$1),FALSE)*10</f>
        <v>0</v>
      </c>
      <c r="AB309" s="42">
        <f>VLOOKUP($B309,Gangue!$A$3:$W$34,COLUMN(Q$1),FALSE)*10</f>
        <v>0</v>
      </c>
      <c r="AC309" s="42">
        <f>VLOOKUP($B309,Gangue!$A$3:$W$34,COLUMN(R$1),FALSE)*10</f>
        <v>0</v>
      </c>
      <c r="AD309" s="42">
        <f>VLOOKUP($B309,Gangue!$A$3:$W$34,COLUMN(S$1),FALSE)*10</f>
        <v>0</v>
      </c>
      <c r="AE309" s="42">
        <f>VLOOKUP($B309,Gangue!$A$3:$W$34,COLUMN(T$1),FALSE)*10</f>
        <v>0</v>
      </c>
      <c r="AF309" s="43">
        <f>VLOOKUP($B309,Gangue!$A$3:$W$34,COLUMN(U$1),FALSE)*10</f>
        <v>0</v>
      </c>
    </row>
    <row r="310" ht="13.85" spans="1:32">
      <c r="A310" s="27" t="s">
        <v>2350</v>
      </c>
      <c r="B310" s="44" t="s">
        <v>100</v>
      </c>
      <c r="C310" s="45"/>
      <c r="D310" s="45"/>
      <c r="E310" s="45"/>
      <c r="F310" s="42"/>
      <c r="G310" s="42"/>
      <c r="H310" s="42"/>
      <c r="I310" s="42"/>
      <c r="J310" s="42"/>
      <c r="K310" s="42"/>
      <c r="L310" s="42"/>
      <c r="M310" s="42"/>
      <c r="N310" s="42">
        <f>VLOOKUP($B310,Gangue!$A$3:$W$34,COLUMN(C$1),FALSE)*10</f>
        <v>4</v>
      </c>
      <c r="O310" s="42">
        <f>VLOOKUP($B310,Gangue!$A$3:$W$34,COLUMN(D$1),FALSE)*10</f>
        <v>4</v>
      </c>
      <c r="P310" s="42">
        <f>VLOOKUP($B310,Gangue!$A$3:$W$34,COLUMN(E$1),FALSE)*10</f>
        <v>4</v>
      </c>
      <c r="Q310" s="42">
        <f>VLOOKUP($B310,Gangue!$A$3:$W$34,COLUMN(F$1),FALSE)*10</f>
        <v>4</v>
      </c>
      <c r="R310" s="42">
        <f>VLOOKUP($B310,Gangue!$A$3:$W$34,COLUMN(G$1),FALSE)*10</f>
        <v>4</v>
      </c>
      <c r="S310" s="42">
        <f>VLOOKUP($B310,Gangue!$A$3:$W$34,COLUMN(H$1),FALSE)*10</f>
        <v>4</v>
      </c>
      <c r="T310" s="42">
        <f>VLOOKUP($B310,Gangue!$A$3:$W$34,COLUMN(I$1),FALSE)*10</f>
        <v>4</v>
      </c>
      <c r="U310" s="42">
        <f>VLOOKUP($B310,Gangue!$A$3:$W$34,COLUMN(J$1),FALSE)*10</f>
        <v>4</v>
      </c>
      <c r="V310" s="42">
        <f>VLOOKUP($B310,Gangue!$A$3:$W$34,COLUMN(K$1),FALSE)*10</f>
        <v>0</v>
      </c>
      <c r="W310" s="42">
        <f>VLOOKUP($B310,Gangue!$A$3:$W$34,COLUMN(L$1),FALSE)*10</f>
        <v>1.4</v>
      </c>
      <c r="X310" s="42">
        <f>VLOOKUP($B310,Gangue!$A$3:$W$34,COLUMN(M$1),FALSE)*10</f>
        <v>0</v>
      </c>
      <c r="Y310" s="42">
        <f>VLOOKUP($B310,Gangue!$A$3:$W$34,COLUMN(N$1),FALSE)*10</f>
        <v>0</v>
      </c>
      <c r="Z310" s="42">
        <f>VLOOKUP($B310,Gangue!$A$3:$W$34,COLUMN(O$1),FALSE)*10</f>
        <v>0</v>
      </c>
      <c r="AA310" s="42">
        <f>VLOOKUP($B310,Gangue!$A$3:$W$34,COLUMN(P$1),FALSE)*10</f>
        <v>0</v>
      </c>
      <c r="AB310" s="42">
        <f>VLOOKUP($B310,Gangue!$A$3:$W$34,COLUMN(Q$1),FALSE)*10</f>
        <v>0</v>
      </c>
      <c r="AC310" s="42">
        <f>VLOOKUP($B310,Gangue!$A$3:$W$34,COLUMN(R$1),FALSE)*10</f>
        <v>0</v>
      </c>
      <c r="AD310" s="42">
        <f>VLOOKUP($B310,Gangue!$A$3:$W$34,COLUMN(S$1),FALSE)*10</f>
        <v>0</v>
      </c>
      <c r="AE310" s="42">
        <f>VLOOKUP($B310,Gangue!$A$3:$W$34,COLUMN(T$1),FALSE)*10</f>
        <v>0</v>
      </c>
      <c r="AF310" s="43">
        <f>VLOOKUP($B310,Gangue!$A$3:$W$34,COLUMN(U$1),FALSE)*10</f>
        <v>0</v>
      </c>
    </row>
    <row r="311" ht="13.85" spans="1:32">
      <c r="A311" s="27" t="s">
        <v>2350</v>
      </c>
      <c r="B311" s="44" t="s">
        <v>102</v>
      </c>
      <c r="C311" s="45"/>
      <c r="D311" s="45"/>
      <c r="E311" s="45"/>
      <c r="F311" s="42"/>
      <c r="G311" s="42"/>
      <c r="H311" s="42"/>
      <c r="I311" s="42"/>
      <c r="J311" s="42"/>
      <c r="K311" s="42"/>
      <c r="L311" s="42"/>
      <c r="M311" s="42"/>
      <c r="N311" s="42">
        <f>VLOOKUP($B311,Gangue!$A$3:$W$34,COLUMN(C$1),FALSE)*10</f>
        <v>0</v>
      </c>
      <c r="O311" s="42">
        <f>VLOOKUP($B311,Gangue!$A$3:$W$34,COLUMN(D$1),FALSE)*10</f>
        <v>0</v>
      </c>
      <c r="P311" s="42">
        <f>VLOOKUP($B311,Gangue!$A$3:$W$34,COLUMN(E$1),FALSE)*10</f>
        <v>0</v>
      </c>
      <c r="Q311" s="42">
        <f>VLOOKUP($B311,Gangue!$A$3:$W$34,COLUMN(F$1),FALSE)*10</f>
        <v>0</v>
      </c>
      <c r="R311" s="42">
        <f>VLOOKUP($B311,Gangue!$A$3:$W$34,COLUMN(G$1),FALSE)*10</f>
        <v>0</v>
      </c>
      <c r="S311" s="42">
        <f>VLOOKUP($B311,Gangue!$A$3:$W$34,COLUMN(H$1),FALSE)*10</f>
        <v>0</v>
      </c>
      <c r="T311" s="42">
        <f>VLOOKUP($B311,Gangue!$A$3:$W$34,COLUMN(I$1),FALSE)*10</f>
        <v>0</v>
      </c>
      <c r="U311" s="42">
        <f>VLOOKUP($B311,Gangue!$A$3:$W$34,COLUMN(J$1),FALSE)*10</f>
        <v>0</v>
      </c>
      <c r="V311" s="42">
        <f>VLOOKUP($B311,Gangue!$A$3:$W$34,COLUMN(K$1),FALSE)*10</f>
        <v>0</v>
      </c>
      <c r="W311" s="42">
        <f>VLOOKUP($B311,Gangue!$A$3:$W$34,COLUMN(L$1),FALSE)*10</f>
        <v>0</v>
      </c>
      <c r="X311" s="42">
        <f>VLOOKUP($B311,Gangue!$A$3:$W$34,COLUMN(M$1),FALSE)*10</f>
        <v>0</v>
      </c>
      <c r="Y311" s="42">
        <f>VLOOKUP($B311,Gangue!$A$3:$W$34,COLUMN(N$1),FALSE)*10</f>
        <v>0</v>
      </c>
      <c r="Z311" s="42">
        <f>VLOOKUP($B311,Gangue!$A$3:$W$34,COLUMN(O$1),FALSE)*10</f>
        <v>0</v>
      </c>
      <c r="AA311" s="42">
        <f>VLOOKUP($B311,Gangue!$A$3:$W$34,COLUMN(P$1),FALSE)*10</f>
        <v>0</v>
      </c>
      <c r="AB311" s="42">
        <f>VLOOKUP($B311,Gangue!$A$3:$W$34,COLUMN(Q$1),FALSE)*10</f>
        <v>0</v>
      </c>
      <c r="AC311" s="42">
        <f>VLOOKUP($B311,Gangue!$A$3:$W$34,COLUMN(R$1),FALSE)*10</f>
        <v>0</v>
      </c>
      <c r="AD311" s="42">
        <f>VLOOKUP($B311,Gangue!$A$3:$W$34,COLUMN(S$1),FALSE)*10</f>
        <v>0</v>
      </c>
      <c r="AE311" s="42">
        <f>VLOOKUP($B311,Gangue!$A$3:$W$34,COLUMN(T$1),FALSE)*10</f>
        <v>0</v>
      </c>
      <c r="AF311" s="43">
        <f>VLOOKUP($B311,Gangue!$A$3:$W$34,COLUMN(U$1),FALSE)*10</f>
        <v>0</v>
      </c>
    </row>
    <row r="312" ht="13.85" spans="1:32">
      <c r="A312" s="27" t="s">
        <v>2350</v>
      </c>
      <c r="B312" s="44" t="s">
        <v>104</v>
      </c>
      <c r="C312" s="45"/>
      <c r="D312" s="45"/>
      <c r="E312" s="45"/>
      <c r="F312" s="42"/>
      <c r="G312" s="42"/>
      <c r="H312" s="42"/>
      <c r="I312" s="42"/>
      <c r="J312" s="42"/>
      <c r="K312" s="42"/>
      <c r="L312" s="42"/>
      <c r="M312" s="42"/>
      <c r="N312" s="42">
        <f>VLOOKUP($B312,Gangue!$A$3:$W$34,COLUMN(C$1),FALSE)*10</f>
        <v>13.5</v>
      </c>
      <c r="O312" s="42">
        <f>VLOOKUP($B312,Gangue!$A$3:$W$34,COLUMN(D$1),FALSE)*10</f>
        <v>13.5</v>
      </c>
      <c r="P312" s="42">
        <f>VLOOKUP($B312,Gangue!$A$3:$W$34,COLUMN(E$1),FALSE)*10</f>
        <v>13.5</v>
      </c>
      <c r="Q312" s="42">
        <f>VLOOKUP($B312,Gangue!$A$3:$W$34,COLUMN(F$1),FALSE)*10</f>
        <v>13.5</v>
      </c>
      <c r="R312" s="42">
        <f>VLOOKUP($B312,Gangue!$A$3:$W$34,COLUMN(G$1),FALSE)*10</f>
        <v>13.5</v>
      </c>
      <c r="S312" s="42">
        <f>VLOOKUP($B312,Gangue!$A$3:$W$34,COLUMN(H$1),FALSE)*10</f>
        <v>13.5</v>
      </c>
      <c r="T312" s="42">
        <f>VLOOKUP($B312,Gangue!$A$3:$W$34,COLUMN(I$1),FALSE)*10</f>
        <v>13.5</v>
      </c>
      <c r="U312" s="42">
        <f>VLOOKUP($B312,Gangue!$A$3:$W$34,COLUMN(J$1),FALSE)*10</f>
        <v>13.5</v>
      </c>
      <c r="V312" s="42">
        <f>VLOOKUP($B312,Gangue!$A$3:$W$34,COLUMN(K$1),FALSE)*10</f>
        <v>0</v>
      </c>
      <c r="W312" s="42">
        <f>VLOOKUP($B312,Gangue!$A$3:$W$34,COLUMN(L$1),FALSE)*10</f>
        <v>0</v>
      </c>
      <c r="X312" s="42">
        <f>VLOOKUP($B312,Gangue!$A$3:$W$34,COLUMN(M$1),FALSE)*10</f>
        <v>0</v>
      </c>
      <c r="Y312" s="42">
        <f>VLOOKUP($B312,Gangue!$A$3:$W$34,COLUMN(N$1),FALSE)*10</f>
        <v>0</v>
      </c>
      <c r="Z312" s="42">
        <f>VLOOKUP($B312,Gangue!$A$3:$W$34,COLUMN(O$1),FALSE)*10</f>
        <v>300</v>
      </c>
      <c r="AA312" s="42">
        <f>VLOOKUP($B312,Gangue!$A$3:$W$34,COLUMN(P$1),FALSE)*10</f>
        <v>0</v>
      </c>
      <c r="AB312" s="42">
        <f>VLOOKUP($B312,Gangue!$A$3:$W$34,COLUMN(Q$1),FALSE)*10</f>
        <v>0</v>
      </c>
      <c r="AC312" s="42">
        <f>VLOOKUP($B312,Gangue!$A$3:$W$34,COLUMN(R$1),FALSE)*10</f>
        <v>0</v>
      </c>
      <c r="AD312" s="42">
        <f>VLOOKUP($B312,Gangue!$A$3:$W$34,COLUMN(S$1),FALSE)*10</f>
        <v>2</v>
      </c>
      <c r="AE312" s="42">
        <f>VLOOKUP($B312,Gangue!$A$3:$W$34,COLUMN(T$1),FALSE)*10</f>
        <v>0</v>
      </c>
      <c r="AF312" s="43">
        <f>VLOOKUP($B312,Gangue!$A$3:$W$34,COLUMN(U$1),FALSE)*10</f>
        <v>0</v>
      </c>
    </row>
    <row r="313" ht="13.85" spans="1:32">
      <c r="A313" s="27" t="s">
        <v>2350</v>
      </c>
      <c r="B313" s="44" t="s">
        <v>106</v>
      </c>
      <c r="C313" s="45"/>
      <c r="D313" s="45"/>
      <c r="E313" s="45"/>
      <c r="F313" s="42"/>
      <c r="G313" s="42"/>
      <c r="H313" s="42"/>
      <c r="I313" s="42"/>
      <c r="J313" s="42"/>
      <c r="K313" s="42"/>
      <c r="L313" s="42"/>
      <c r="M313" s="42"/>
      <c r="N313" s="42">
        <f>VLOOKUP($B313,Gangue!$A$3:$W$34,COLUMN(C$1),FALSE)*10</f>
        <v>16.875</v>
      </c>
      <c r="O313" s="42">
        <f>VLOOKUP($B313,Gangue!$A$3:$W$34,COLUMN(D$1),FALSE)*10</f>
        <v>16.875</v>
      </c>
      <c r="P313" s="42">
        <f>VLOOKUP($B313,Gangue!$A$3:$W$34,COLUMN(E$1),FALSE)*10</f>
        <v>16.875</v>
      </c>
      <c r="Q313" s="42">
        <f>VLOOKUP($B313,Gangue!$A$3:$W$34,COLUMN(F$1),FALSE)*10</f>
        <v>16.875</v>
      </c>
      <c r="R313" s="42">
        <f>VLOOKUP($B313,Gangue!$A$3:$W$34,COLUMN(G$1),FALSE)*10</f>
        <v>16.875</v>
      </c>
      <c r="S313" s="42">
        <f>VLOOKUP($B313,Gangue!$A$3:$W$34,COLUMN(H$1),FALSE)*10</f>
        <v>16.875</v>
      </c>
      <c r="T313" s="42">
        <f>VLOOKUP($B313,Gangue!$A$3:$W$34,COLUMN(I$1),FALSE)*10</f>
        <v>16.875</v>
      </c>
      <c r="U313" s="42">
        <f>VLOOKUP($B313,Gangue!$A$3:$W$34,COLUMN(J$1),FALSE)*10</f>
        <v>16.875</v>
      </c>
      <c r="V313" s="42">
        <f>VLOOKUP($B313,Gangue!$A$3:$W$34,COLUMN(K$1),FALSE)*10</f>
        <v>0</v>
      </c>
      <c r="W313" s="42">
        <f>VLOOKUP($B313,Gangue!$A$3:$W$34,COLUMN(L$1),FALSE)*10</f>
        <v>0</v>
      </c>
      <c r="X313" s="42">
        <f>VLOOKUP($B313,Gangue!$A$3:$W$34,COLUMN(M$1),FALSE)*10</f>
        <v>0</v>
      </c>
      <c r="Y313" s="42">
        <f>VLOOKUP($B313,Gangue!$A$3:$W$34,COLUMN(N$1),FALSE)*10</f>
        <v>0</v>
      </c>
      <c r="Z313" s="42">
        <f>VLOOKUP($B313,Gangue!$A$3:$W$34,COLUMN(O$1),FALSE)*10</f>
        <v>0</v>
      </c>
      <c r="AA313" s="42">
        <f>VLOOKUP($B313,Gangue!$A$3:$W$34,COLUMN(P$1),FALSE)*10</f>
        <v>0</v>
      </c>
      <c r="AB313" s="42">
        <f>VLOOKUP($B313,Gangue!$A$3:$W$34,COLUMN(Q$1),FALSE)*10</f>
        <v>0</v>
      </c>
      <c r="AC313" s="42">
        <f>VLOOKUP($B313,Gangue!$A$3:$W$34,COLUMN(R$1),FALSE)*10</f>
        <v>0</v>
      </c>
      <c r="AD313" s="42">
        <f>VLOOKUP($B313,Gangue!$A$3:$W$34,COLUMN(S$1),FALSE)*10</f>
        <v>0</v>
      </c>
      <c r="AE313" s="42">
        <f>VLOOKUP($B313,Gangue!$A$3:$W$34,COLUMN(T$1),FALSE)*10</f>
        <v>0</v>
      </c>
      <c r="AF313" s="43">
        <f>VLOOKUP($B313,Gangue!$A$3:$W$34,COLUMN(U$1),FALSE)*10</f>
        <v>0</v>
      </c>
    </row>
    <row r="314" ht="13.85" spans="1:32">
      <c r="A314" s="27" t="s">
        <v>2350</v>
      </c>
      <c r="B314" s="44" t="s">
        <v>108</v>
      </c>
      <c r="C314" s="45"/>
      <c r="D314" s="45"/>
      <c r="E314" s="45"/>
      <c r="F314" s="42"/>
      <c r="G314" s="42"/>
      <c r="H314" s="42"/>
      <c r="I314" s="42"/>
      <c r="J314" s="42"/>
      <c r="K314" s="42"/>
      <c r="L314" s="42"/>
      <c r="M314" s="42"/>
      <c r="N314" s="42">
        <f>VLOOKUP($B314,Gangue!$A$3:$W$34,COLUMN(C$1),FALSE)*10</f>
        <v>2</v>
      </c>
      <c r="O314" s="42">
        <f>VLOOKUP($B314,Gangue!$A$3:$W$34,COLUMN(D$1),FALSE)*10</f>
        <v>2</v>
      </c>
      <c r="P314" s="42">
        <f>VLOOKUP($B314,Gangue!$A$3:$W$34,COLUMN(E$1),FALSE)*10</f>
        <v>2</v>
      </c>
      <c r="Q314" s="42">
        <f>VLOOKUP($B314,Gangue!$A$3:$W$34,COLUMN(F$1),FALSE)*10</f>
        <v>2</v>
      </c>
      <c r="R314" s="42">
        <f>VLOOKUP($B314,Gangue!$A$3:$W$34,COLUMN(G$1),FALSE)*10</f>
        <v>2</v>
      </c>
      <c r="S314" s="42">
        <f>VLOOKUP($B314,Gangue!$A$3:$W$34,COLUMN(H$1),FALSE)*10</f>
        <v>2</v>
      </c>
      <c r="T314" s="42">
        <f>VLOOKUP($B314,Gangue!$A$3:$W$34,COLUMN(I$1),FALSE)*10</f>
        <v>2</v>
      </c>
      <c r="U314" s="42">
        <f>VLOOKUP($B314,Gangue!$A$3:$W$34,COLUMN(J$1),FALSE)*10</f>
        <v>2</v>
      </c>
      <c r="V314" s="42">
        <f>VLOOKUP($B314,Gangue!$A$3:$W$34,COLUMN(K$1),FALSE)*10</f>
        <v>0</v>
      </c>
      <c r="W314" s="42">
        <f>VLOOKUP($B314,Gangue!$A$3:$W$34,COLUMN(L$1),FALSE)*10</f>
        <v>0</v>
      </c>
      <c r="X314" s="42">
        <f>VLOOKUP($B314,Gangue!$A$3:$W$34,COLUMN(M$1),FALSE)*10</f>
        <v>0</v>
      </c>
      <c r="Y314" s="42">
        <f>VLOOKUP($B314,Gangue!$A$3:$W$34,COLUMN(N$1),FALSE)*10</f>
        <v>0</v>
      </c>
      <c r="Z314" s="42">
        <f>VLOOKUP($B314,Gangue!$A$3:$W$34,COLUMN(O$1),FALSE)*10</f>
        <v>0</v>
      </c>
      <c r="AA314" s="42">
        <f>VLOOKUP($B314,Gangue!$A$3:$W$34,COLUMN(P$1),FALSE)*10</f>
        <v>0</v>
      </c>
      <c r="AB314" s="42">
        <f>VLOOKUP($B314,Gangue!$A$3:$W$34,COLUMN(Q$1),FALSE)*10</f>
        <v>0</v>
      </c>
      <c r="AC314" s="42">
        <f>VLOOKUP($B314,Gangue!$A$3:$W$34,COLUMN(R$1),FALSE)*10</f>
        <v>0</v>
      </c>
      <c r="AD314" s="42">
        <f>VLOOKUP($B314,Gangue!$A$3:$W$34,COLUMN(S$1),FALSE)*10</f>
        <v>0</v>
      </c>
      <c r="AE314" s="42">
        <f>VLOOKUP($B314,Gangue!$A$3:$W$34,COLUMN(T$1),FALSE)*10</f>
        <v>0</v>
      </c>
      <c r="AF314" s="43">
        <f>VLOOKUP($B314,Gangue!$A$3:$W$34,COLUMN(U$1),FALSE)*10</f>
        <v>0</v>
      </c>
    </row>
    <row r="315" ht="13.85" spans="1:32">
      <c r="A315" s="27" t="s">
        <v>2350</v>
      </c>
      <c r="B315" s="44" t="s">
        <v>110</v>
      </c>
      <c r="C315" s="45"/>
      <c r="D315" s="45"/>
      <c r="E315" s="45"/>
      <c r="F315" s="42"/>
      <c r="G315" s="42"/>
      <c r="H315" s="42"/>
      <c r="I315" s="42"/>
      <c r="J315" s="42"/>
      <c r="K315" s="42"/>
      <c r="L315" s="42"/>
      <c r="M315" s="42"/>
      <c r="N315" s="42">
        <f>VLOOKUP($B315,Gangue!$A$3:$W$34,COLUMN(C$1),FALSE)*10</f>
        <v>0</v>
      </c>
      <c r="O315" s="42">
        <f>VLOOKUP($B315,Gangue!$A$3:$W$34,COLUMN(D$1),FALSE)*10</f>
        <v>0</v>
      </c>
      <c r="P315" s="42">
        <f>VLOOKUP($B315,Gangue!$A$3:$W$34,COLUMN(E$1),FALSE)*10</f>
        <v>0</v>
      </c>
      <c r="Q315" s="42">
        <f>VLOOKUP($B315,Gangue!$A$3:$W$34,COLUMN(F$1),FALSE)*10</f>
        <v>0</v>
      </c>
      <c r="R315" s="42">
        <f>VLOOKUP($B315,Gangue!$A$3:$W$34,COLUMN(G$1),FALSE)*10</f>
        <v>0</v>
      </c>
      <c r="S315" s="42">
        <f>VLOOKUP($B315,Gangue!$A$3:$W$34,COLUMN(H$1),FALSE)*10</f>
        <v>0</v>
      </c>
      <c r="T315" s="42">
        <f>VLOOKUP($B315,Gangue!$A$3:$W$34,COLUMN(I$1),FALSE)*10</f>
        <v>0</v>
      </c>
      <c r="U315" s="42">
        <f>VLOOKUP($B315,Gangue!$A$3:$W$34,COLUMN(J$1),FALSE)*10</f>
        <v>0</v>
      </c>
      <c r="V315" s="42">
        <f>VLOOKUP($B315,Gangue!$A$3:$W$34,COLUMN(K$1),FALSE)*10</f>
        <v>0</v>
      </c>
      <c r="W315" s="42">
        <f>VLOOKUP($B315,Gangue!$A$3:$W$34,COLUMN(L$1),FALSE)*10</f>
        <v>0</v>
      </c>
      <c r="X315" s="42">
        <f>VLOOKUP($B315,Gangue!$A$3:$W$34,COLUMN(M$1),FALSE)*10</f>
        <v>0</v>
      </c>
      <c r="Y315" s="42">
        <f>VLOOKUP($B315,Gangue!$A$3:$W$34,COLUMN(N$1),FALSE)*10</f>
        <v>0</v>
      </c>
      <c r="Z315" s="42">
        <f>VLOOKUP($B315,Gangue!$A$3:$W$34,COLUMN(O$1),FALSE)*10</f>
        <v>6</v>
      </c>
      <c r="AA315" s="42">
        <f>VLOOKUP($B315,Gangue!$A$3:$W$34,COLUMN(P$1),FALSE)*10</f>
        <v>0</v>
      </c>
      <c r="AB315" s="42">
        <f>VLOOKUP($B315,Gangue!$A$3:$W$34,COLUMN(Q$1),FALSE)*10</f>
        <v>0</v>
      </c>
      <c r="AC315" s="42">
        <f>VLOOKUP($B315,Gangue!$A$3:$W$34,COLUMN(R$1),FALSE)*10</f>
        <v>0</v>
      </c>
      <c r="AD315" s="42">
        <f>VLOOKUP($B315,Gangue!$A$3:$W$34,COLUMN(S$1),FALSE)*10</f>
        <v>0</v>
      </c>
      <c r="AE315" s="42">
        <f>VLOOKUP($B315,Gangue!$A$3:$W$34,COLUMN(T$1),FALSE)*10</f>
        <v>0</v>
      </c>
      <c r="AF315" s="43">
        <f>VLOOKUP($B315,Gangue!$A$3:$W$34,COLUMN(U$1),FALSE)*10</f>
        <v>0</v>
      </c>
    </row>
    <row r="316" ht="13.85" spans="1:32">
      <c r="A316" s="27" t="s">
        <v>2350</v>
      </c>
      <c r="B316" s="44" t="s">
        <v>112</v>
      </c>
      <c r="C316" s="45"/>
      <c r="D316" s="45"/>
      <c r="E316" s="45"/>
      <c r="F316" s="42"/>
      <c r="G316" s="42"/>
      <c r="H316" s="42"/>
      <c r="I316" s="42"/>
      <c r="J316" s="42"/>
      <c r="K316" s="42"/>
      <c r="L316" s="42"/>
      <c r="M316" s="42"/>
      <c r="N316" s="42">
        <f>VLOOKUP($B316,Gangue!$A$3:$W$34,COLUMN(C$1),FALSE)*10</f>
        <v>2</v>
      </c>
      <c r="O316" s="42">
        <f>VLOOKUP($B316,Gangue!$A$3:$W$34,COLUMN(D$1),FALSE)*10</f>
        <v>2</v>
      </c>
      <c r="P316" s="42">
        <f>VLOOKUP($B316,Gangue!$A$3:$W$34,COLUMN(E$1),FALSE)*10</f>
        <v>2</v>
      </c>
      <c r="Q316" s="42">
        <f>VLOOKUP($B316,Gangue!$A$3:$W$34,COLUMN(F$1),FALSE)*10</f>
        <v>2</v>
      </c>
      <c r="R316" s="42">
        <f>VLOOKUP($B316,Gangue!$A$3:$W$34,COLUMN(G$1),FALSE)*10</f>
        <v>2</v>
      </c>
      <c r="S316" s="42">
        <f>VLOOKUP($B316,Gangue!$A$3:$W$34,COLUMN(H$1),FALSE)*10</f>
        <v>2</v>
      </c>
      <c r="T316" s="42">
        <f>VLOOKUP($B316,Gangue!$A$3:$W$34,COLUMN(I$1),FALSE)*10</f>
        <v>2</v>
      </c>
      <c r="U316" s="42">
        <f>VLOOKUP($B316,Gangue!$A$3:$W$34,COLUMN(J$1),FALSE)*10</f>
        <v>2</v>
      </c>
      <c r="V316" s="42">
        <f>VLOOKUP($B316,Gangue!$A$3:$W$34,COLUMN(K$1),FALSE)*10</f>
        <v>0</v>
      </c>
      <c r="W316" s="42">
        <f>VLOOKUP($B316,Gangue!$A$3:$W$34,COLUMN(L$1),FALSE)*10</f>
        <v>0</v>
      </c>
      <c r="X316" s="42">
        <f>VLOOKUP($B316,Gangue!$A$3:$W$34,COLUMN(M$1),FALSE)*10</f>
        <v>0</v>
      </c>
      <c r="Y316" s="42">
        <f>VLOOKUP($B316,Gangue!$A$3:$W$34,COLUMN(N$1),FALSE)*10</f>
        <v>0</v>
      </c>
      <c r="Z316" s="42">
        <f>VLOOKUP($B316,Gangue!$A$3:$W$34,COLUMN(O$1),FALSE)*10</f>
        <v>0</v>
      </c>
      <c r="AA316" s="42">
        <f>VLOOKUP($B316,Gangue!$A$3:$W$34,COLUMN(P$1),FALSE)*10</f>
        <v>0</v>
      </c>
      <c r="AB316" s="42">
        <f>VLOOKUP($B316,Gangue!$A$3:$W$34,COLUMN(Q$1),FALSE)*10</f>
        <v>0</v>
      </c>
      <c r="AC316" s="42">
        <f>VLOOKUP($B316,Gangue!$A$3:$W$34,COLUMN(R$1),FALSE)*10</f>
        <v>0</v>
      </c>
      <c r="AD316" s="42">
        <f>VLOOKUP($B316,Gangue!$A$3:$W$34,COLUMN(S$1),FALSE)*10</f>
        <v>0</v>
      </c>
      <c r="AE316" s="42">
        <f>VLOOKUP($B316,Gangue!$A$3:$W$34,COLUMN(T$1),FALSE)*10</f>
        <v>0</v>
      </c>
      <c r="AF316" s="43">
        <f>VLOOKUP($B316,Gangue!$A$3:$W$34,COLUMN(U$1),FALSE)*10</f>
        <v>0</v>
      </c>
    </row>
    <row r="317" ht="13.85" spans="1:32">
      <c r="A317" s="27" t="s">
        <v>2350</v>
      </c>
      <c r="B317" s="44" t="s">
        <v>114</v>
      </c>
      <c r="C317" s="45"/>
      <c r="D317" s="45"/>
      <c r="E317" s="45"/>
      <c r="F317" s="42"/>
      <c r="G317" s="42"/>
      <c r="H317" s="42"/>
      <c r="I317" s="42"/>
      <c r="J317" s="42"/>
      <c r="K317" s="42"/>
      <c r="L317" s="42"/>
      <c r="M317" s="42"/>
      <c r="N317" s="42">
        <f>VLOOKUP($B317,Gangue!$A$3:$W$34,COLUMN(C$1),FALSE)*10</f>
        <v>11.375</v>
      </c>
      <c r="O317" s="42">
        <f>VLOOKUP($B317,Gangue!$A$3:$W$34,COLUMN(D$1),FALSE)*10</f>
        <v>11.375</v>
      </c>
      <c r="P317" s="42">
        <f>VLOOKUP($B317,Gangue!$A$3:$W$34,COLUMN(E$1),FALSE)*10</f>
        <v>11.375</v>
      </c>
      <c r="Q317" s="42">
        <f>VLOOKUP($B317,Gangue!$A$3:$W$34,COLUMN(F$1),FALSE)*10</f>
        <v>11.375</v>
      </c>
      <c r="R317" s="42">
        <f>VLOOKUP($B317,Gangue!$A$3:$W$34,COLUMN(G$1),FALSE)*10</f>
        <v>11.375</v>
      </c>
      <c r="S317" s="42">
        <f>VLOOKUP($B317,Gangue!$A$3:$W$34,COLUMN(H$1),FALSE)*10</f>
        <v>11.375</v>
      </c>
      <c r="T317" s="42">
        <f>VLOOKUP($B317,Gangue!$A$3:$W$34,COLUMN(I$1),FALSE)*10</f>
        <v>11.375</v>
      </c>
      <c r="U317" s="42">
        <f>VLOOKUP($B317,Gangue!$A$3:$W$34,COLUMN(J$1),FALSE)*10</f>
        <v>11.375</v>
      </c>
      <c r="V317" s="42">
        <f>VLOOKUP($B317,Gangue!$A$3:$W$34,COLUMN(K$1),FALSE)*10</f>
        <v>0</v>
      </c>
      <c r="W317" s="42">
        <f>VLOOKUP($B317,Gangue!$A$3:$W$34,COLUMN(L$1),FALSE)*10</f>
        <v>0</v>
      </c>
      <c r="X317" s="42">
        <f>VLOOKUP($B317,Gangue!$A$3:$W$34,COLUMN(M$1),FALSE)*10</f>
        <v>0</v>
      </c>
      <c r="Y317" s="42">
        <f>VLOOKUP($B317,Gangue!$A$3:$W$34,COLUMN(N$1),FALSE)*10</f>
        <v>0</v>
      </c>
      <c r="Z317" s="42">
        <f>VLOOKUP($B317,Gangue!$A$3:$W$34,COLUMN(O$1),FALSE)*10</f>
        <v>0</v>
      </c>
      <c r="AA317" s="42">
        <f>VLOOKUP($B317,Gangue!$A$3:$W$34,COLUMN(P$1),FALSE)*10</f>
        <v>0</v>
      </c>
      <c r="AB317" s="42">
        <f>VLOOKUP($B317,Gangue!$A$3:$W$34,COLUMN(Q$1),FALSE)*10</f>
        <v>0</v>
      </c>
      <c r="AC317" s="42">
        <f>VLOOKUP($B317,Gangue!$A$3:$W$34,COLUMN(R$1),FALSE)*10</f>
        <v>0</v>
      </c>
      <c r="AD317" s="42">
        <f>VLOOKUP($B317,Gangue!$A$3:$W$34,COLUMN(S$1),FALSE)*10</f>
        <v>0</v>
      </c>
      <c r="AE317" s="42">
        <f>VLOOKUP($B317,Gangue!$A$3:$W$34,COLUMN(T$1),FALSE)*10</f>
        <v>0</v>
      </c>
      <c r="AF317" s="43">
        <f>VLOOKUP($B317,Gangue!$A$3:$W$34,COLUMN(U$1),FALSE)*10</f>
        <v>0</v>
      </c>
    </row>
    <row r="318" ht="13.85" spans="1:32">
      <c r="A318" s="27" t="s">
        <v>2350</v>
      </c>
      <c r="B318" s="44" t="s">
        <v>116</v>
      </c>
      <c r="C318" s="45"/>
      <c r="D318" s="45"/>
      <c r="E318" s="45"/>
      <c r="F318" s="42"/>
      <c r="G318" s="42"/>
      <c r="H318" s="42"/>
      <c r="I318" s="42"/>
      <c r="J318" s="42"/>
      <c r="K318" s="42"/>
      <c r="L318" s="42"/>
      <c r="M318" s="42"/>
      <c r="N318" s="42">
        <f>VLOOKUP($B318,Gangue!$A$3:$W$34,COLUMN(C$1),FALSE)*10</f>
        <v>10.125</v>
      </c>
      <c r="O318" s="42">
        <f>VLOOKUP($B318,Gangue!$A$3:$W$34,COLUMN(D$1),FALSE)*10</f>
        <v>10.125</v>
      </c>
      <c r="P318" s="42">
        <f>VLOOKUP($B318,Gangue!$A$3:$W$34,COLUMN(E$1),FALSE)*10</f>
        <v>10.125</v>
      </c>
      <c r="Q318" s="42">
        <f>VLOOKUP($B318,Gangue!$A$3:$W$34,COLUMN(F$1),FALSE)*10</f>
        <v>10.125</v>
      </c>
      <c r="R318" s="42">
        <f>VLOOKUP($B318,Gangue!$A$3:$W$34,COLUMN(G$1),FALSE)*10</f>
        <v>10.125</v>
      </c>
      <c r="S318" s="42">
        <f>VLOOKUP($B318,Gangue!$A$3:$W$34,COLUMN(H$1),FALSE)*10</f>
        <v>10.125</v>
      </c>
      <c r="T318" s="42">
        <f>VLOOKUP($B318,Gangue!$A$3:$W$34,COLUMN(I$1),FALSE)*10</f>
        <v>10.125</v>
      </c>
      <c r="U318" s="42">
        <f>VLOOKUP($B318,Gangue!$A$3:$W$34,COLUMN(J$1),FALSE)*10</f>
        <v>10.125</v>
      </c>
      <c r="V318" s="42">
        <f>VLOOKUP($B318,Gangue!$A$3:$W$34,COLUMN(K$1),FALSE)*10</f>
        <v>60</v>
      </c>
      <c r="W318" s="42">
        <f>VLOOKUP($B318,Gangue!$A$3:$W$34,COLUMN(L$1),FALSE)*10</f>
        <v>0</v>
      </c>
      <c r="X318" s="42">
        <f>VLOOKUP($B318,Gangue!$A$3:$W$34,COLUMN(M$1),FALSE)*10</f>
        <v>0</v>
      </c>
      <c r="Y318" s="42">
        <f>VLOOKUP($B318,Gangue!$A$3:$W$34,COLUMN(N$1),FALSE)*10</f>
        <v>0</v>
      </c>
      <c r="Z318" s="42">
        <f>VLOOKUP($B318,Gangue!$A$3:$W$34,COLUMN(O$1),FALSE)*10</f>
        <v>0</v>
      </c>
      <c r="AA318" s="42">
        <f>VLOOKUP($B318,Gangue!$A$3:$W$34,COLUMN(P$1),FALSE)*10</f>
        <v>0</v>
      </c>
      <c r="AB318" s="42">
        <f>VLOOKUP($B318,Gangue!$A$3:$W$34,COLUMN(Q$1),FALSE)*10</f>
        <v>0</v>
      </c>
      <c r="AC318" s="42">
        <f>VLOOKUP($B318,Gangue!$A$3:$W$34,COLUMN(R$1),FALSE)*10</f>
        <v>0</v>
      </c>
      <c r="AD318" s="42">
        <f>VLOOKUP($B318,Gangue!$A$3:$W$34,COLUMN(S$1),FALSE)*10</f>
        <v>0</v>
      </c>
      <c r="AE318" s="42">
        <f>VLOOKUP($B318,Gangue!$A$3:$W$34,COLUMN(T$1),FALSE)*10</f>
        <v>0</v>
      </c>
      <c r="AF318" s="43">
        <f>VLOOKUP($B318,Gangue!$A$3:$W$34,COLUMN(U$1),FALSE)*10</f>
        <v>0</v>
      </c>
    </row>
    <row r="319" ht="13.85" spans="1:32">
      <c r="A319" s="27" t="s">
        <v>2350</v>
      </c>
      <c r="B319" s="44" t="s">
        <v>118</v>
      </c>
      <c r="C319" s="45"/>
      <c r="D319" s="45"/>
      <c r="E319" s="45"/>
      <c r="F319" s="42"/>
      <c r="G319" s="42"/>
      <c r="H319" s="42"/>
      <c r="I319" s="42"/>
      <c r="J319" s="42"/>
      <c r="K319" s="42"/>
      <c r="L319" s="42"/>
      <c r="M319" s="42"/>
      <c r="N319" s="42">
        <f>VLOOKUP($B319,Gangue!$A$3:$W$34,COLUMN(C$1),FALSE)*10</f>
        <v>20.25</v>
      </c>
      <c r="O319" s="42">
        <f>VLOOKUP($B319,Gangue!$A$3:$W$34,COLUMN(D$1),FALSE)*10</f>
        <v>20.25</v>
      </c>
      <c r="P319" s="42">
        <f>VLOOKUP($B319,Gangue!$A$3:$W$34,COLUMN(E$1),FALSE)*10</f>
        <v>20.25</v>
      </c>
      <c r="Q319" s="42">
        <f>VLOOKUP($B319,Gangue!$A$3:$W$34,COLUMN(F$1),FALSE)*10</f>
        <v>20.25</v>
      </c>
      <c r="R319" s="42">
        <f>VLOOKUP($B319,Gangue!$A$3:$W$34,COLUMN(G$1),FALSE)*10</f>
        <v>20.25</v>
      </c>
      <c r="S319" s="42">
        <f>VLOOKUP($B319,Gangue!$A$3:$W$34,COLUMN(H$1),FALSE)*10</f>
        <v>20.25</v>
      </c>
      <c r="T319" s="42">
        <f>VLOOKUP($B319,Gangue!$A$3:$W$34,COLUMN(I$1),FALSE)*10</f>
        <v>20.25</v>
      </c>
      <c r="U319" s="42">
        <f>VLOOKUP($B319,Gangue!$A$3:$W$34,COLUMN(J$1),FALSE)*10</f>
        <v>20.25</v>
      </c>
      <c r="V319" s="42">
        <f>VLOOKUP($B319,Gangue!$A$3:$W$34,COLUMN(K$1),FALSE)*10</f>
        <v>0</v>
      </c>
      <c r="W319" s="42">
        <f>VLOOKUP($B319,Gangue!$A$3:$W$34,COLUMN(L$1),FALSE)*10</f>
        <v>0</v>
      </c>
      <c r="X319" s="42">
        <f>VLOOKUP($B319,Gangue!$A$3:$W$34,COLUMN(M$1),FALSE)*10</f>
        <v>0</v>
      </c>
      <c r="Y319" s="42">
        <f>VLOOKUP($B319,Gangue!$A$3:$W$34,COLUMN(N$1),FALSE)*10</f>
        <v>0</v>
      </c>
      <c r="Z319" s="42">
        <f>VLOOKUP($B319,Gangue!$A$3:$W$34,COLUMN(O$1),FALSE)*10</f>
        <v>0</v>
      </c>
      <c r="AA319" s="42">
        <f>VLOOKUP($B319,Gangue!$A$3:$W$34,COLUMN(P$1),FALSE)*10</f>
        <v>0</v>
      </c>
      <c r="AB319" s="42">
        <f>VLOOKUP($B319,Gangue!$A$3:$W$34,COLUMN(Q$1),FALSE)*10</f>
        <v>0</v>
      </c>
      <c r="AC319" s="42">
        <f>VLOOKUP($B319,Gangue!$A$3:$W$34,COLUMN(R$1),FALSE)*10</f>
        <v>0</v>
      </c>
      <c r="AD319" s="42">
        <f>VLOOKUP($B319,Gangue!$A$3:$W$34,COLUMN(S$1),FALSE)*10</f>
        <v>0</v>
      </c>
      <c r="AE319" s="42">
        <f>VLOOKUP($B319,Gangue!$A$3:$W$34,COLUMN(T$1),FALSE)*10</f>
        <v>0</v>
      </c>
      <c r="AF319" s="43">
        <f>VLOOKUP($B319,Gangue!$A$3:$W$34,COLUMN(U$1),FALSE)*10</f>
        <v>0</v>
      </c>
    </row>
    <row r="320" ht="13.85" spans="1:32">
      <c r="A320" s="27" t="s">
        <v>2350</v>
      </c>
      <c r="B320" s="44" t="s">
        <v>120</v>
      </c>
      <c r="C320" s="45"/>
      <c r="D320" s="45"/>
      <c r="E320" s="45"/>
      <c r="F320" s="42"/>
      <c r="G320" s="42"/>
      <c r="H320" s="42"/>
      <c r="I320" s="42"/>
      <c r="J320" s="42"/>
      <c r="K320" s="42"/>
      <c r="L320" s="42"/>
      <c r="M320" s="42"/>
      <c r="N320" s="42">
        <f>VLOOKUP($B320,Gangue!$A$3:$W$34,COLUMN(C$1),FALSE)*10</f>
        <v>0</v>
      </c>
      <c r="O320" s="42">
        <f>VLOOKUP($B320,Gangue!$A$3:$W$34,COLUMN(D$1),FALSE)*10</f>
        <v>0</v>
      </c>
      <c r="P320" s="42">
        <f>VLOOKUP($B320,Gangue!$A$3:$W$34,COLUMN(E$1),FALSE)*10</f>
        <v>0</v>
      </c>
      <c r="Q320" s="42">
        <f>VLOOKUP($B320,Gangue!$A$3:$W$34,COLUMN(F$1),FALSE)*10</f>
        <v>0</v>
      </c>
      <c r="R320" s="42">
        <f>VLOOKUP($B320,Gangue!$A$3:$W$34,COLUMN(G$1),FALSE)*10</f>
        <v>0</v>
      </c>
      <c r="S320" s="42">
        <f>VLOOKUP($B320,Gangue!$A$3:$W$34,COLUMN(H$1),FALSE)*10</f>
        <v>0</v>
      </c>
      <c r="T320" s="42">
        <f>VLOOKUP($B320,Gangue!$A$3:$W$34,COLUMN(I$1),FALSE)*10</f>
        <v>0</v>
      </c>
      <c r="U320" s="42">
        <f>VLOOKUP($B320,Gangue!$A$3:$W$34,COLUMN(J$1),FALSE)*10</f>
        <v>0</v>
      </c>
      <c r="V320" s="42">
        <f>VLOOKUP($B320,Gangue!$A$3:$W$34,COLUMN(K$1),FALSE)*10</f>
        <v>0</v>
      </c>
      <c r="W320" s="42">
        <f>VLOOKUP($B320,Gangue!$A$3:$W$34,COLUMN(L$1),FALSE)*10</f>
        <v>0</v>
      </c>
      <c r="X320" s="42">
        <f>VLOOKUP($B320,Gangue!$A$3:$W$34,COLUMN(M$1),FALSE)*10</f>
        <v>0</v>
      </c>
      <c r="Y320" s="42">
        <f>VLOOKUP($B320,Gangue!$A$3:$W$34,COLUMN(N$1),FALSE)*10</f>
        <v>0</v>
      </c>
      <c r="Z320" s="42">
        <f>VLOOKUP($B320,Gangue!$A$3:$W$34,COLUMN(O$1),FALSE)*10</f>
        <v>0</v>
      </c>
      <c r="AA320" s="42">
        <f>VLOOKUP($B320,Gangue!$A$3:$W$34,COLUMN(P$1),FALSE)*10</f>
        <v>0</v>
      </c>
      <c r="AB320" s="42">
        <f>VLOOKUP($B320,Gangue!$A$3:$W$34,COLUMN(Q$1),FALSE)*10</f>
        <v>0</v>
      </c>
      <c r="AC320" s="42">
        <f>VLOOKUP($B320,Gangue!$A$3:$W$34,COLUMN(R$1),FALSE)*10</f>
        <v>0</v>
      </c>
      <c r="AD320" s="42">
        <f>VLOOKUP($B320,Gangue!$A$3:$W$34,COLUMN(S$1),FALSE)*10</f>
        <v>0</v>
      </c>
      <c r="AE320" s="42">
        <f>VLOOKUP($B320,Gangue!$A$3:$W$34,COLUMN(T$1),FALSE)*10</f>
        <v>0</v>
      </c>
      <c r="AF320" s="43">
        <f>VLOOKUP($B320,Gangue!$A$3:$W$34,COLUMN(U$1),FALSE)*10</f>
        <v>0</v>
      </c>
    </row>
    <row r="321" ht="13.85" spans="1:32">
      <c r="A321" s="27" t="s">
        <v>2350</v>
      </c>
      <c r="B321" s="44" t="s">
        <v>122</v>
      </c>
      <c r="C321" s="45"/>
      <c r="D321" s="45"/>
      <c r="E321" s="45"/>
      <c r="F321" s="42"/>
      <c r="G321" s="42"/>
      <c r="H321" s="42"/>
      <c r="I321" s="42"/>
      <c r="J321" s="42"/>
      <c r="K321" s="42"/>
      <c r="L321" s="42"/>
      <c r="M321" s="42"/>
      <c r="N321" s="42">
        <f>VLOOKUP($B321,Gangue!$A$3:$W$34,COLUMN(C$1),FALSE)*10</f>
        <v>0</v>
      </c>
      <c r="O321" s="42">
        <f>VLOOKUP($B321,Gangue!$A$3:$W$34,COLUMN(D$1),FALSE)*10</f>
        <v>0</v>
      </c>
      <c r="P321" s="42">
        <f>VLOOKUP($B321,Gangue!$A$3:$W$34,COLUMN(E$1),FALSE)*10</f>
        <v>0</v>
      </c>
      <c r="Q321" s="42">
        <f>VLOOKUP($B321,Gangue!$A$3:$W$34,COLUMN(F$1),FALSE)*10</f>
        <v>0</v>
      </c>
      <c r="R321" s="42">
        <f>VLOOKUP($B321,Gangue!$A$3:$W$34,COLUMN(G$1),FALSE)*10</f>
        <v>0</v>
      </c>
      <c r="S321" s="42">
        <f>VLOOKUP($B321,Gangue!$A$3:$W$34,COLUMN(H$1),FALSE)*10</f>
        <v>0</v>
      </c>
      <c r="T321" s="42">
        <f>VLOOKUP($B321,Gangue!$A$3:$W$34,COLUMN(I$1),FALSE)*10</f>
        <v>0</v>
      </c>
      <c r="U321" s="42">
        <f>VLOOKUP($B321,Gangue!$A$3:$W$34,COLUMN(J$1),FALSE)*10</f>
        <v>0</v>
      </c>
      <c r="V321" s="42">
        <f>VLOOKUP($B321,Gangue!$A$3:$W$34,COLUMN(K$1),FALSE)*10</f>
        <v>0</v>
      </c>
      <c r="W321" s="42">
        <f>VLOOKUP($B321,Gangue!$A$3:$W$34,COLUMN(L$1),FALSE)*10</f>
        <v>0</v>
      </c>
      <c r="X321" s="42">
        <f>VLOOKUP($B321,Gangue!$A$3:$W$34,COLUMN(M$1),FALSE)*10</f>
        <v>0</v>
      </c>
      <c r="Y321" s="42">
        <f>VLOOKUP($B321,Gangue!$A$3:$W$34,COLUMN(N$1),FALSE)*10</f>
        <v>0</v>
      </c>
      <c r="Z321" s="42">
        <f>VLOOKUP($B321,Gangue!$A$3:$W$34,COLUMN(O$1),FALSE)*10</f>
        <v>0</v>
      </c>
      <c r="AA321" s="42">
        <f>VLOOKUP($B321,Gangue!$A$3:$W$34,COLUMN(P$1),FALSE)*10</f>
        <v>0</v>
      </c>
      <c r="AB321" s="42">
        <f>VLOOKUP($B321,Gangue!$A$3:$W$34,COLUMN(Q$1),FALSE)*10</f>
        <v>0</v>
      </c>
      <c r="AC321" s="42">
        <f>VLOOKUP($B321,Gangue!$A$3:$W$34,COLUMN(R$1),FALSE)*10</f>
        <v>0</v>
      </c>
      <c r="AD321" s="42">
        <f>VLOOKUP($B321,Gangue!$A$3:$W$34,COLUMN(S$1),FALSE)*10</f>
        <v>0</v>
      </c>
      <c r="AE321" s="42">
        <f>VLOOKUP($B321,Gangue!$A$3:$W$34,COLUMN(T$1),FALSE)*10</f>
        <v>0</v>
      </c>
      <c r="AF321" s="43">
        <f>VLOOKUP($B321,Gangue!$A$3:$W$34,COLUMN(U$1),FALSE)*10</f>
        <v>0</v>
      </c>
    </row>
    <row r="322" ht="13.85" spans="1:32">
      <c r="A322" s="27" t="s">
        <v>2350</v>
      </c>
      <c r="B322" s="44" t="s">
        <v>124</v>
      </c>
      <c r="C322" s="45"/>
      <c r="D322" s="45"/>
      <c r="E322" s="45"/>
      <c r="F322" s="42"/>
      <c r="G322" s="42"/>
      <c r="H322" s="42"/>
      <c r="I322" s="42"/>
      <c r="J322" s="42"/>
      <c r="K322" s="42"/>
      <c r="L322" s="42"/>
      <c r="M322" s="42"/>
      <c r="N322" s="42">
        <f>VLOOKUP($B322,Gangue!$A$3:$W$34,COLUMN(C$1),FALSE)*10</f>
        <v>0</v>
      </c>
      <c r="O322" s="42">
        <f>VLOOKUP($B322,Gangue!$A$3:$W$34,COLUMN(D$1),FALSE)*10</f>
        <v>0</v>
      </c>
      <c r="P322" s="42">
        <f>VLOOKUP($B322,Gangue!$A$3:$W$34,COLUMN(E$1),FALSE)*10</f>
        <v>0</v>
      </c>
      <c r="Q322" s="42">
        <f>VLOOKUP($B322,Gangue!$A$3:$W$34,COLUMN(F$1),FALSE)*10</f>
        <v>0</v>
      </c>
      <c r="R322" s="42">
        <f>VLOOKUP($B322,Gangue!$A$3:$W$34,COLUMN(G$1),FALSE)*10</f>
        <v>0</v>
      </c>
      <c r="S322" s="42">
        <f>VLOOKUP($B322,Gangue!$A$3:$W$34,COLUMN(H$1),FALSE)*10</f>
        <v>0</v>
      </c>
      <c r="T322" s="42">
        <f>VLOOKUP($B322,Gangue!$A$3:$W$34,COLUMN(I$1),FALSE)*10</f>
        <v>0</v>
      </c>
      <c r="U322" s="42">
        <f>VLOOKUP($B322,Gangue!$A$3:$W$34,COLUMN(J$1),FALSE)*10</f>
        <v>0</v>
      </c>
      <c r="V322" s="42">
        <f>VLOOKUP($B322,Gangue!$A$3:$W$34,COLUMN(K$1),FALSE)*10</f>
        <v>0</v>
      </c>
      <c r="W322" s="42">
        <f>VLOOKUP($B322,Gangue!$A$3:$W$34,COLUMN(L$1),FALSE)*10</f>
        <v>0</v>
      </c>
      <c r="X322" s="42">
        <f>VLOOKUP($B322,Gangue!$A$3:$W$34,COLUMN(M$1),FALSE)*10</f>
        <v>0</v>
      </c>
      <c r="Y322" s="42">
        <f>VLOOKUP($B322,Gangue!$A$3:$W$34,COLUMN(N$1),FALSE)*10</f>
        <v>0</v>
      </c>
      <c r="Z322" s="42">
        <f>VLOOKUP($B322,Gangue!$A$3:$W$34,COLUMN(O$1),FALSE)*10</f>
        <v>0</v>
      </c>
      <c r="AA322" s="42">
        <f>VLOOKUP($B322,Gangue!$A$3:$W$34,COLUMN(P$1),FALSE)*10</f>
        <v>0</v>
      </c>
      <c r="AB322" s="42">
        <f>VLOOKUP($B322,Gangue!$A$3:$W$34,COLUMN(Q$1),FALSE)*10</f>
        <v>0</v>
      </c>
      <c r="AC322" s="42">
        <f>VLOOKUP($B322,Gangue!$A$3:$W$34,COLUMN(R$1),FALSE)*10</f>
        <v>0</v>
      </c>
      <c r="AD322" s="42">
        <f>VLOOKUP($B322,Gangue!$A$3:$W$34,COLUMN(S$1),FALSE)*10</f>
        <v>0</v>
      </c>
      <c r="AE322" s="42">
        <f>VLOOKUP($B322,Gangue!$A$3:$W$34,COLUMN(T$1),FALSE)*10</f>
        <v>0</v>
      </c>
      <c r="AF322" s="43">
        <f>VLOOKUP($B322,Gangue!$A$3:$W$34,COLUMN(U$1),FALSE)*10</f>
        <v>0</v>
      </c>
    </row>
    <row r="323" ht="13.85" spans="1:32">
      <c r="A323" s="27" t="s">
        <v>2350</v>
      </c>
      <c r="B323" s="44" t="s">
        <v>126</v>
      </c>
      <c r="C323" s="45"/>
      <c r="D323" s="45"/>
      <c r="E323" s="45"/>
      <c r="F323" s="42"/>
      <c r="G323" s="42"/>
      <c r="H323" s="42"/>
      <c r="I323" s="42"/>
      <c r="J323" s="42"/>
      <c r="K323" s="42"/>
      <c r="L323" s="42"/>
      <c r="M323" s="42"/>
      <c r="N323" s="42">
        <f>VLOOKUP($B323,Gangue!$A$3:$W$34,COLUMN(C$1),FALSE)*10</f>
        <v>52.75</v>
      </c>
      <c r="O323" s="42">
        <f>VLOOKUP($B323,Gangue!$A$3:$W$34,COLUMN(D$1),FALSE)*10</f>
        <v>52.75</v>
      </c>
      <c r="P323" s="42">
        <f>VLOOKUP($B323,Gangue!$A$3:$W$34,COLUMN(E$1),FALSE)*10</f>
        <v>52.75</v>
      </c>
      <c r="Q323" s="42">
        <f>VLOOKUP($B323,Gangue!$A$3:$W$34,COLUMN(F$1),FALSE)*10</f>
        <v>52.75</v>
      </c>
      <c r="R323" s="42">
        <f>VLOOKUP($B323,Gangue!$A$3:$W$34,COLUMN(G$1),FALSE)*10</f>
        <v>52.75</v>
      </c>
      <c r="S323" s="42">
        <f>VLOOKUP($B323,Gangue!$A$3:$W$34,COLUMN(H$1),FALSE)*10</f>
        <v>52.75</v>
      </c>
      <c r="T323" s="42">
        <f>VLOOKUP($B323,Gangue!$A$3:$W$34,COLUMN(I$1),FALSE)*10</f>
        <v>52.75</v>
      </c>
      <c r="U323" s="42">
        <f>VLOOKUP($B323,Gangue!$A$3:$W$34,COLUMN(J$1),FALSE)*10</f>
        <v>52.75</v>
      </c>
      <c r="V323" s="42">
        <f>VLOOKUP($B323,Gangue!$A$3:$W$34,COLUMN(K$1),FALSE)*10</f>
        <v>0</v>
      </c>
      <c r="W323" s="42">
        <f>VLOOKUP($B323,Gangue!$A$3:$W$34,COLUMN(L$1),FALSE)*10</f>
        <v>0</v>
      </c>
      <c r="X323" s="42">
        <f>VLOOKUP($B323,Gangue!$A$3:$W$34,COLUMN(M$1),FALSE)*10</f>
        <v>0</v>
      </c>
      <c r="Y323" s="42">
        <f>VLOOKUP($B323,Gangue!$A$3:$W$34,COLUMN(N$1),FALSE)*10</f>
        <v>0</v>
      </c>
      <c r="Z323" s="42">
        <f>VLOOKUP($B323,Gangue!$A$3:$W$34,COLUMN(O$1),FALSE)*10</f>
        <v>0</v>
      </c>
      <c r="AA323" s="42">
        <f>VLOOKUP($B323,Gangue!$A$3:$W$34,COLUMN(P$1),FALSE)*10</f>
        <v>0</v>
      </c>
      <c r="AB323" s="42">
        <f>VLOOKUP($B323,Gangue!$A$3:$W$34,COLUMN(Q$1),FALSE)*10</f>
        <v>0</v>
      </c>
      <c r="AC323" s="42">
        <f>VLOOKUP($B323,Gangue!$A$3:$W$34,COLUMN(R$1),FALSE)*10</f>
        <v>0</v>
      </c>
      <c r="AD323" s="42">
        <f>VLOOKUP($B323,Gangue!$A$3:$W$34,COLUMN(S$1),FALSE)*10</f>
        <v>0</v>
      </c>
      <c r="AE323" s="42">
        <f>VLOOKUP($B323,Gangue!$A$3:$W$34,COLUMN(T$1),FALSE)*10</f>
        <v>0</v>
      </c>
      <c r="AF323" s="43">
        <f>VLOOKUP($B323,Gangue!$A$3:$W$34,COLUMN(U$1),FALSE)*10</f>
        <v>0</v>
      </c>
    </row>
    <row r="324" ht="13.85" spans="1:32">
      <c r="A324" s="27" t="s">
        <v>2350</v>
      </c>
      <c r="B324" s="44" t="s">
        <v>128</v>
      </c>
      <c r="C324" s="45"/>
      <c r="D324" s="45"/>
      <c r="E324" s="45"/>
      <c r="F324" s="42"/>
      <c r="G324" s="42"/>
      <c r="H324" s="42"/>
      <c r="I324" s="42"/>
      <c r="J324" s="42"/>
      <c r="K324" s="42"/>
      <c r="L324" s="42"/>
      <c r="M324" s="42"/>
      <c r="N324" s="42">
        <f>VLOOKUP($B324,Gangue!$A$3:$W$34,COLUMN(C$1),FALSE)*10</f>
        <v>7.125</v>
      </c>
      <c r="O324" s="42">
        <f>VLOOKUP($B324,Gangue!$A$3:$W$34,COLUMN(D$1),FALSE)*10</f>
        <v>7.125</v>
      </c>
      <c r="P324" s="42">
        <f>VLOOKUP($B324,Gangue!$A$3:$W$34,COLUMN(E$1),FALSE)*10</f>
        <v>7.125</v>
      </c>
      <c r="Q324" s="42">
        <f>VLOOKUP($B324,Gangue!$A$3:$W$34,COLUMN(F$1),FALSE)*10</f>
        <v>7.125</v>
      </c>
      <c r="R324" s="42">
        <f>VLOOKUP($B324,Gangue!$A$3:$W$34,COLUMN(G$1),FALSE)*10</f>
        <v>7.125</v>
      </c>
      <c r="S324" s="42">
        <f>VLOOKUP($B324,Gangue!$A$3:$W$34,COLUMN(H$1),FALSE)*10</f>
        <v>7.125</v>
      </c>
      <c r="T324" s="42">
        <f>VLOOKUP($B324,Gangue!$A$3:$W$34,COLUMN(I$1),FALSE)*10</f>
        <v>7.125</v>
      </c>
      <c r="U324" s="42">
        <f>VLOOKUP($B324,Gangue!$A$3:$W$34,COLUMN(J$1),FALSE)*10</f>
        <v>7.125</v>
      </c>
      <c r="V324" s="42">
        <f>VLOOKUP($B324,Gangue!$A$3:$W$34,COLUMN(K$1),FALSE)*10</f>
        <v>0</v>
      </c>
      <c r="W324" s="42">
        <f>VLOOKUP($B324,Gangue!$A$3:$W$34,COLUMN(L$1),FALSE)*10</f>
        <v>50</v>
      </c>
      <c r="X324" s="42">
        <f>VLOOKUP($B324,Gangue!$A$3:$W$34,COLUMN(M$1),FALSE)*10</f>
        <v>0</v>
      </c>
      <c r="Y324" s="42">
        <f>VLOOKUP($B324,Gangue!$A$3:$W$34,COLUMN(N$1),FALSE)*10</f>
        <v>0</v>
      </c>
      <c r="Z324" s="42">
        <f>VLOOKUP($B324,Gangue!$A$3:$W$34,COLUMN(O$1),FALSE)*10</f>
        <v>300</v>
      </c>
      <c r="AA324" s="42">
        <f>VLOOKUP($B324,Gangue!$A$3:$W$34,COLUMN(P$1),FALSE)*10</f>
        <v>0</v>
      </c>
      <c r="AB324" s="42">
        <f>VLOOKUP($B324,Gangue!$A$3:$W$34,COLUMN(Q$1),FALSE)*10</f>
        <v>0</v>
      </c>
      <c r="AC324" s="42">
        <f>VLOOKUP($B324,Gangue!$A$3:$W$34,COLUMN(R$1),FALSE)*10</f>
        <v>0</v>
      </c>
      <c r="AD324" s="42">
        <f>VLOOKUP($B324,Gangue!$A$3:$W$34,COLUMN(S$1),FALSE)*10</f>
        <v>0</v>
      </c>
      <c r="AE324" s="42">
        <f>VLOOKUP($B324,Gangue!$A$3:$W$34,COLUMN(T$1),FALSE)*10</f>
        <v>0</v>
      </c>
      <c r="AF324" s="43">
        <f>VLOOKUP($B324,Gangue!$A$3:$W$34,COLUMN(U$1),FALSE)*10</f>
        <v>0</v>
      </c>
    </row>
    <row r="325" ht="13.85" spans="1:32">
      <c r="A325" s="27" t="s">
        <v>2350</v>
      </c>
      <c r="B325" s="44" t="s">
        <v>130</v>
      </c>
      <c r="C325" s="45"/>
      <c r="D325" s="45"/>
      <c r="E325" s="45"/>
      <c r="F325" s="42"/>
      <c r="G325" s="42"/>
      <c r="H325" s="42"/>
      <c r="I325" s="42"/>
      <c r="J325" s="42"/>
      <c r="K325" s="42"/>
      <c r="L325" s="42"/>
      <c r="M325" s="42"/>
      <c r="N325" s="42">
        <f>VLOOKUP($B325,Gangue!$A$3:$W$34,COLUMN(C$1),FALSE)*10</f>
        <v>0</v>
      </c>
      <c r="O325" s="42">
        <f>VLOOKUP($B325,Gangue!$A$3:$W$34,COLUMN(D$1),FALSE)*10</f>
        <v>0</v>
      </c>
      <c r="P325" s="42">
        <f>VLOOKUP($B325,Gangue!$A$3:$W$34,COLUMN(E$1),FALSE)*10</f>
        <v>0</v>
      </c>
      <c r="Q325" s="42">
        <f>VLOOKUP($B325,Gangue!$A$3:$W$34,COLUMN(F$1),FALSE)*10</f>
        <v>0</v>
      </c>
      <c r="R325" s="42">
        <f>VLOOKUP($B325,Gangue!$A$3:$W$34,COLUMN(G$1),FALSE)*10</f>
        <v>0</v>
      </c>
      <c r="S325" s="42">
        <f>VLOOKUP($B325,Gangue!$A$3:$W$34,COLUMN(H$1),FALSE)*10</f>
        <v>0</v>
      </c>
      <c r="T325" s="42">
        <f>VLOOKUP($B325,Gangue!$A$3:$W$34,COLUMN(I$1),FALSE)*10</f>
        <v>0</v>
      </c>
      <c r="U325" s="42">
        <f>VLOOKUP($B325,Gangue!$A$3:$W$34,COLUMN(J$1),FALSE)*10</f>
        <v>0</v>
      </c>
      <c r="V325" s="42">
        <f>VLOOKUP($B325,Gangue!$A$3:$W$34,COLUMN(K$1),FALSE)*10</f>
        <v>0</v>
      </c>
      <c r="W325" s="42">
        <f>VLOOKUP($B325,Gangue!$A$3:$W$34,COLUMN(L$1),FALSE)*10</f>
        <v>0</v>
      </c>
      <c r="X325" s="42">
        <f>VLOOKUP($B325,Gangue!$A$3:$W$34,COLUMN(M$1),FALSE)*10</f>
        <v>0</v>
      </c>
      <c r="Y325" s="42">
        <f>VLOOKUP($B325,Gangue!$A$3:$W$34,COLUMN(N$1),FALSE)*10</f>
        <v>0</v>
      </c>
      <c r="Z325" s="42">
        <f>VLOOKUP($B325,Gangue!$A$3:$W$34,COLUMN(O$1),FALSE)*10</f>
        <v>0</v>
      </c>
      <c r="AA325" s="42">
        <f>VLOOKUP($B325,Gangue!$A$3:$W$34,COLUMN(P$1),FALSE)*10</f>
        <v>0</v>
      </c>
      <c r="AB325" s="42">
        <f>VLOOKUP($B325,Gangue!$A$3:$W$34,COLUMN(Q$1),FALSE)*10</f>
        <v>0</v>
      </c>
      <c r="AC325" s="42">
        <f>VLOOKUP($B325,Gangue!$A$3:$W$34,COLUMN(R$1),FALSE)*10</f>
        <v>0</v>
      </c>
      <c r="AD325" s="42">
        <f>VLOOKUP($B325,Gangue!$A$3:$W$34,COLUMN(S$1),FALSE)*10</f>
        <v>0</v>
      </c>
      <c r="AE325" s="42">
        <f>VLOOKUP($B325,Gangue!$A$3:$W$34,COLUMN(T$1),FALSE)*10</f>
        <v>0</v>
      </c>
      <c r="AF325" s="43">
        <f>VLOOKUP($B325,Gangue!$A$3:$W$34,COLUMN(U$1),FALSE)*10</f>
        <v>0</v>
      </c>
    </row>
    <row r="326" ht="13.85" spans="1:32">
      <c r="A326" s="27" t="s">
        <v>2350</v>
      </c>
      <c r="B326" s="44" t="s">
        <v>132</v>
      </c>
      <c r="C326" s="45"/>
      <c r="D326" s="45"/>
      <c r="E326" s="45"/>
      <c r="F326" s="42"/>
      <c r="G326" s="42"/>
      <c r="H326" s="42"/>
      <c r="I326" s="42"/>
      <c r="J326" s="42"/>
      <c r="K326" s="42"/>
      <c r="L326" s="42"/>
      <c r="M326" s="42"/>
      <c r="N326" s="42">
        <f>VLOOKUP($B326,Gangue!$A$3:$W$34,COLUMN(C$1),FALSE)*10</f>
        <v>0</v>
      </c>
      <c r="O326" s="42">
        <f>VLOOKUP($B326,Gangue!$A$3:$W$34,COLUMN(D$1),FALSE)*10</f>
        <v>0</v>
      </c>
      <c r="P326" s="42">
        <f>VLOOKUP($B326,Gangue!$A$3:$W$34,COLUMN(E$1),FALSE)*10</f>
        <v>0</v>
      </c>
      <c r="Q326" s="42">
        <f>VLOOKUP($B326,Gangue!$A$3:$W$34,COLUMN(F$1),FALSE)*10</f>
        <v>0</v>
      </c>
      <c r="R326" s="42">
        <f>VLOOKUP($B326,Gangue!$A$3:$W$34,COLUMN(G$1),FALSE)*10</f>
        <v>0</v>
      </c>
      <c r="S326" s="42">
        <f>VLOOKUP($B326,Gangue!$A$3:$W$34,COLUMN(H$1),FALSE)*10</f>
        <v>0</v>
      </c>
      <c r="T326" s="42">
        <f>VLOOKUP($B326,Gangue!$A$3:$W$34,COLUMN(I$1),FALSE)*10</f>
        <v>0</v>
      </c>
      <c r="U326" s="42">
        <f>VLOOKUP($B326,Gangue!$A$3:$W$34,COLUMN(J$1),FALSE)*10</f>
        <v>0</v>
      </c>
      <c r="V326" s="42">
        <f>VLOOKUP($B326,Gangue!$A$3:$W$34,COLUMN(K$1),FALSE)*10</f>
        <v>0</v>
      </c>
      <c r="W326" s="42">
        <f>VLOOKUP($B326,Gangue!$A$3:$W$34,COLUMN(L$1),FALSE)*10</f>
        <v>0</v>
      </c>
      <c r="X326" s="42">
        <f>VLOOKUP($B326,Gangue!$A$3:$W$34,COLUMN(M$1),FALSE)*10</f>
        <v>0</v>
      </c>
      <c r="Y326" s="42">
        <f>VLOOKUP($B326,Gangue!$A$3:$W$34,COLUMN(N$1),FALSE)*10</f>
        <v>0</v>
      </c>
      <c r="Z326" s="42">
        <f>VLOOKUP($B326,Gangue!$A$3:$W$34,COLUMN(O$1),FALSE)*10</f>
        <v>0</v>
      </c>
      <c r="AA326" s="42">
        <f>VLOOKUP($B326,Gangue!$A$3:$W$34,COLUMN(P$1),FALSE)*10</f>
        <v>0</v>
      </c>
      <c r="AB326" s="42">
        <f>VLOOKUP($B326,Gangue!$A$3:$W$34,COLUMN(Q$1),FALSE)*10</f>
        <v>0</v>
      </c>
      <c r="AC326" s="42">
        <f>VLOOKUP($B326,Gangue!$A$3:$W$34,COLUMN(R$1),FALSE)*10</f>
        <v>0</v>
      </c>
      <c r="AD326" s="42">
        <f>VLOOKUP($B326,Gangue!$A$3:$W$34,COLUMN(S$1),FALSE)*10</f>
        <v>0</v>
      </c>
      <c r="AE326" s="42">
        <f>VLOOKUP($B326,Gangue!$A$3:$W$34,COLUMN(T$1),FALSE)*10</f>
        <v>0</v>
      </c>
      <c r="AF326" s="43">
        <f>VLOOKUP($B326,Gangue!$A$3:$W$34,COLUMN(U$1),FALSE)*10</f>
        <v>0</v>
      </c>
    </row>
    <row r="327" ht="13.85" spans="1:32">
      <c r="A327" s="27" t="s">
        <v>2350</v>
      </c>
      <c r="B327" s="44" t="s">
        <v>134</v>
      </c>
      <c r="C327" s="45"/>
      <c r="D327" s="45"/>
      <c r="E327" s="45"/>
      <c r="F327" s="42"/>
      <c r="G327" s="42"/>
      <c r="H327" s="42"/>
      <c r="I327" s="42"/>
      <c r="J327" s="42"/>
      <c r="K327" s="42"/>
      <c r="L327" s="42"/>
      <c r="M327" s="42"/>
      <c r="N327" s="42">
        <f>VLOOKUP($B327,Gangue!$A$3:$W$34,COLUMN(C$1),FALSE)*10</f>
        <v>10.125</v>
      </c>
      <c r="O327" s="42">
        <f>VLOOKUP($B327,Gangue!$A$3:$W$34,COLUMN(D$1),FALSE)*10</f>
        <v>10.125</v>
      </c>
      <c r="P327" s="42">
        <f>VLOOKUP($B327,Gangue!$A$3:$W$34,COLUMN(E$1),FALSE)*10</f>
        <v>10.125</v>
      </c>
      <c r="Q327" s="42">
        <f>VLOOKUP($B327,Gangue!$A$3:$W$34,COLUMN(F$1),FALSE)*10</f>
        <v>10.125</v>
      </c>
      <c r="R327" s="42">
        <f>VLOOKUP($B327,Gangue!$A$3:$W$34,COLUMN(G$1),FALSE)*10</f>
        <v>10.125</v>
      </c>
      <c r="S327" s="42">
        <f>VLOOKUP($B327,Gangue!$A$3:$W$34,COLUMN(H$1),FALSE)*10</f>
        <v>10.125</v>
      </c>
      <c r="T327" s="42">
        <f>VLOOKUP($B327,Gangue!$A$3:$W$34,COLUMN(I$1),FALSE)*10</f>
        <v>10.125</v>
      </c>
      <c r="U327" s="42">
        <f>VLOOKUP($B327,Gangue!$A$3:$W$34,COLUMN(J$1),FALSE)*10</f>
        <v>10.125</v>
      </c>
      <c r="V327" s="42">
        <f>VLOOKUP($B327,Gangue!$A$3:$W$34,COLUMN(K$1),FALSE)*10</f>
        <v>0</v>
      </c>
      <c r="W327" s="42">
        <f>VLOOKUP($B327,Gangue!$A$3:$W$34,COLUMN(L$1),FALSE)*10</f>
        <v>300</v>
      </c>
      <c r="X327" s="42">
        <f>VLOOKUP($B327,Gangue!$A$3:$W$34,COLUMN(M$1),FALSE)*10</f>
        <v>0</v>
      </c>
      <c r="Y327" s="42">
        <f>VLOOKUP($B327,Gangue!$A$3:$W$34,COLUMN(N$1),FALSE)*10</f>
        <v>0</v>
      </c>
      <c r="Z327" s="42">
        <f>VLOOKUP($B327,Gangue!$A$3:$W$34,COLUMN(O$1),FALSE)*10</f>
        <v>0</v>
      </c>
      <c r="AA327" s="42">
        <f>VLOOKUP($B327,Gangue!$A$3:$W$34,COLUMN(P$1),FALSE)*10</f>
        <v>0</v>
      </c>
      <c r="AB327" s="42">
        <f>VLOOKUP($B327,Gangue!$A$3:$W$34,COLUMN(Q$1),FALSE)*10</f>
        <v>0</v>
      </c>
      <c r="AC327" s="42">
        <f>VLOOKUP($B327,Gangue!$A$3:$W$34,COLUMN(R$1),FALSE)*10</f>
        <v>0</v>
      </c>
      <c r="AD327" s="42">
        <f>VLOOKUP($B327,Gangue!$A$3:$W$34,COLUMN(S$1),FALSE)*10</f>
        <v>0</v>
      </c>
      <c r="AE327" s="42">
        <f>VLOOKUP($B327,Gangue!$A$3:$W$34,COLUMN(T$1),FALSE)*10</f>
        <v>0</v>
      </c>
      <c r="AF327" s="43">
        <f>VLOOKUP($B327,Gangue!$A$3:$W$34,COLUMN(U$1),FALSE)*10</f>
        <v>0</v>
      </c>
    </row>
    <row r="328" ht="13.85" spans="1:32">
      <c r="A328" s="27" t="s">
        <v>2350</v>
      </c>
      <c r="B328" s="44" t="s">
        <v>136</v>
      </c>
      <c r="C328" s="45"/>
      <c r="D328" s="45"/>
      <c r="E328" s="45"/>
      <c r="F328" s="42"/>
      <c r="G328" s="42"/>
      <c r="H328" s="42"/>
      <c r="I328" s="42"/>
      <c r="J328" s="42"/>
      <c r="K328" s="42"/>
      <c r="L328" s="42"/>
      <c r="M328" s="42"/>
      <c r="N328" s="42">
        <f>VLOOKUP($B328,Gangue!$A$3:$W$34,COLUMN(C$1),FALSE)*10</f>
        <v>0</v>
      </c>
      <c r="O328" s="42">
        <f>VLOOKUP($B328,Gangue!$A$3:$W$34,COLUMN(D$1),FALSE)*10</f>
        <v>0</v>
      </c>
      <c r="P328" s="42">
        <f>VLOOKUP($B328,Gangue!$A$3:$W$34,COLUMN(E$1),FALSE)*10</f>
        <v>0</v>
      </c>
      <c r="Q328" s="42">
        <f>VLOOKUP($B328,Gangue!$A$3:$W$34,COLUMN(F$1),FALSE)*10</f>
        <v>0</v>
      </c>
      <c r="R328" s="42">
        <f>VLOOKUP($B328,Gangue!$A$3:$W$34,COLUMN(G$1),FALSE)*10</f>
        <v>0</v>
      </c>
      <c r="S328" s="42">
        <f>VLOOKUP($B328,Gangue!$A$3:$W$34,COLUMN(H$1),FALSE)*10</f>
        <v>0</v>
      </c>
      <c r="T328" s="42">
        <f>VLOOKUP($B328,Gangue!$A$3:$W$34,COLUMN(I$1),FALSE)*10</f>
        <v>0</v>
      </c>
      <c r="U328" s="42">
        <f>VLOOKUP($B328,Gangue!$A$3:$W$34,COLUMN(J$1),FALSE)*10</f>
        <v>0</v>
      </c>
      <c r="V328" s="42">
        <f>VLOOKUP($B328,Gangue!$A$3:$W$34,COLUMN(K$1),FALSE)*10</f>
        <v>0</v>
      </c>
      <c r="W328" s="42">
        <f>VLOOKUP($B328,Gangue!$A$3:$W$34,COLUMN(L$1),FALSE)*10</f>
        <v>0</v>
      </c>
      <c r="X328" s="42">
        <f>VLOOKUP($B328,Gangue!$A$3:$W$34,COLUMN(M$1),FALSE)*10</f>
        <v>0</v>
      </c>
      <c r="Y328" s="42">
        <f>VLOOKUP($B328,Gangue!$A$3:$W$34,COLUMN(N$1),FALSE)*10</f>
        <v>0</v>
      </c>
      <c r="Z328" s="42">
        <f>VLOOKUP($B328,Gangue!$A$3:$W$34,COLUMN(O$1),FALSE)*10</f>
        <v>0</v>
      </c>
      <c r="AA328" s="42">
        <f>VLOOKUP($B328,Gangue!$A$3:$W$34,COLUMN(P$1),FALSE)*10</f>
        <v>0</v>
      </c>
      <c r="AB328" s="42">
        <f>VLOOKUP($B328,Gangue!$A$3:$W$34,COLUMN(Q$1),FALSE)*10</f>
        <v>0</v>
      </c>
      <c r="AC328" s="42">
        <f>VLOOKUP($B328,Gangue!$A$3:$W$34,COLUMN(R$1),FALSE)*10</f>
        <v>0</v>
      </c>
      <c r="AD328" s="42">
        <f>VLOOKUP($B328,Gangue!$A$3:$W$34,COLUMN(S$1),FALSE)*10</f>
        <v>0</v>
      </c>
      <c r="AE328" s="42">
        <f>VLOOKUP($B328,Gangue!$A$3:$W$34,COLUMN(T$1),FALSE)*10</f>
        <v>0</v>
      </c>
      <c r="AF328" s="43">
        <f>VLOOKUP($B328,Gangue!$A$3:$W$34,COLUMN(U$1),FALSE)*10</f>
        <v>0</v>
      </c>
    </row>
    <row r="329" ht="13.85" spans="1:32">
      <c r="A329" s="27" t="s">
        <v>2350</v>
      </c>
      <c r="B329" s="44" t="s">
        <v>138</v>
      </c>
      <c r="C329" s="45"/>
      <c r="D329" s="45"/>
      <c r="E329" s="45"/>
      <c r="F329" s="42"/>
      <c r="G329" s="42"/>
      <c r="H329" s="42"/>
      <c r="I329" s="42"/>
      <c r="J329" s="42"/>
      <c r="K329" s="42"/>
      <c r="L329" s="42"/>
      <c r="M329" s="42"/>
      <c r="N329" s="42">
        <f>VLOOKUP($B329,Gangue!$A$3:$W$34,COLUMN(C$1),FALSE)*10</f>
        <v>0</v>
      </c>
      <c r="O329" s="42">
        <f>VLOOKUP($B329,Gangue!$A$3:$W$34,COLUMN(D$1),FALSE)*10</f>
        <v>0</v>
      </c>
      <c r="P329" s="42">
        <f>VLOOKUP($B329,Gangue!$A$3:$W$34,COLUMN(E$1),FALSE)*10</f>
        <v>0</v>
      </c>
      <c r="Q329" s="42">
        <f>VLOOKUP($B329,Gangue!$A$3:$W$34,COLUMN(F$1),FALSE)*10</f>
        <v>0</v>
      </c>
      <c r="R329" s="42">
        <f>VLOOKUP($B329,Gangue!$A$3:$W$34,COLUMN(G$1),FALSE)*10</f>
        <v>0</v>
      </c>
      <c r="S329" s="42">
        <f>VLOOKUP($B329,Gangue!$A$3:$W$34,COLUMN(H$1),FALSE)*10</f>
        <v>0</v>
      </c>
      <c r="T329" s="42">
        <f>VLOOKUP($B329,Gangue!$A$3:$W$34,COLUMN(I$1),FALSE)*10</f>
        <v>0</v>
      </c>
      <c r="U329" s="42">
        <f>VLOOKUP($B329,Gangue!$A$3:$W$34,COLUMN(J$1),FALSE)*10</f>
        <v>0</v>
      </c>
      <c r="V329" s="42">
        <f>VLOOKUP($B329,Gangue!$A$3:$W$34,COLUMN(K$1),FALSE)*10</f>
        <v>0</v>
      </c>
      <c r="W329" s="42">
        <f>VLOOKUP($B329,Gangue!$A$3:$W$34,COLUMN(L$1),FALSE)*10</f>
        <v>0</v>
      </c>
      <c r="X329" s="42">
        <f>VLOOKUP($B329,Gangue!$A$3:$W$34,COLUMN(M$1),FALSE)*10</f>
        <v>0</v>
      </c>
      <c r="Y329" s="42">
        <f>VLOOKUP($B329,Gangue!$A$3:$W$34,COLUMN(N$1),FALSE)*10</f>
        <v>0</v>
      </c>
      <c r="Z329" s="42">
        <f>VLOOKUP($B329,Gangue!$A$3:$W$34,COLUMN(O$1),FALSE)*10</f>
        <v>0</v>
      </c>
      <c r="AA329" s="42">
        <f>VLOOKUP($B329,Gangue!$A$3:$W$34,COLUMN(P$1),FALSE)*10</f>
        <v>0</v>
      </c>
      <c r="AB329" s="42">
        <f>VLOOKUP($B329,Gangue!$A$3:$W$34,COLUMN(Q$1),FALSE)*10</f>
        <v>0</v>
      </c>
      <c r="AC329" s="42">
        <f>VLOOKUP($B329,Gangue!$A$3:$W$34,COLUMN(R$1),FALSE)*10</f>
        <v>0</v>
      </c>
      <c r="AD329" s="42">
        <f>VLOOKUP($B329,Gangue!$A$3:$W$34,COLUMN(S$1),FALSE)*10</f>
        <v>0</v>
      </c>
      <c r="AE329" s="42">
        <f>VLOOKUP($B329,Gangue!$A$3:$W$34,COLUMN(T$1),FALSE)*10</f>
        <v>0</v>
      </c>
      <c r="AF329" s="43">
        <f>VLOOKUP($B329,Gangue!$A$3:$W$34,COLUMN(U$1),FALSE)*10</f>
        <v>0</v>
      </c>
    </row>
    <row r="330" ht="13.85" spans="1:32">
      <c r="A330" s="27" t="s">
        <v>2350</v>
      </c>
      <c r="B330" s="44" t="s">
        <v>140</v>
      </c>
      <c r="C330" s="45"/>
      <c r="D330" s="45"/>
      <c r="E330" s="45"/>
      <c r="F330" s="42"/>
      <c r="G330" s="42"/>
      <c r="H330" s="42"/>
      <c r="I330" s="42"/>
      <c r="J330" s="42"/>
      <c r="K330" s="42"/>
      <c r="L330" s="42"/>
      <c r="M330" s="42"/>
      <c r="N330" s="42">
        <f>VLOOKUP($B330,Gangue!$A$3:$W$34,COLUMN(C$1),FALSE)*10</f>
        <v>0</v>
      </c>
      <c r="O330" s="42">
        <f>VLOOKUP($B330,Gangue!$A$3:$W$34,COLUMN(D$1),FALSE)*10</f>
        <v>0</v>
      </c>
      <c r="P330" s="42">
        <f>VLOOKUP($B330,Gangue!$A$3:$W$34,COLUMN(E$1),FALSE)*10</f>
        <v>0</v>
      </c>
      <c r="Q330" s="42">
        <f>VLOOKUP($B330,Gangue!$A$3:$W$34,COLUMN(F$1),FALSE)*10</f>
        <v>0</v>
      </c>
      <c r="R330" s="42">
        <f>VLOOKUP($B330,Gangue!$A$3:$W$34,COLUMN(G$1),FALSE)*10</f>
        <v>0</v>
      </c>
      <c r="S330" s="42">
        <f>VLOOKUP($B330,Gangue!$A$3:$W$34,COLUMN(H$1),FALSE)*10</f>
        <v>0</v>
      </c>
      <c r="T330" s="42">
        <f>VLOOKUP($B330,Gangue!$A$3:$W$34,COLUMN(I$1),FALSE)*10</f>
        <v>0</v>
      </c>
      <c r="U330" s="42">
        <f>VLOOKUP($B330,Gangue!$A$3:$W$34,COLUMN(J$1),FALSE)*10</f>
        <v>0</v>
      </c>
      <c r="V330" s="42">
        <f>VLOOKUP($B330,Gangue!$A$3:$W$34,COLUMN(K$1),FALSE)*10</f>
        <v>0</v>
      </c>
      <c r="W330" s="42">
        <f>VLOOKUP($B330,Gangue!$A$3:$W$34,COLUMN(L$1),FALSE)*10</f>
        <v>0</v>
      </c>
      <c r="X330" s="42">
        <f>VLOOKUP($B330,Gangue!$A$3:$W$34,COLUMN(M$1),FALSE)*10</f>
        <v>0</v>
      </c>
      <c r="Y330" s="42">
        <f>VLOOKUP($B330,Gangue!$A$3:$W$34,COLUMN(N$1),FALSE)*10</f>
        <v>0</v>
      </c>
      <c r="Z330" s="42">
        <f>VLOOKUP($B330,Gangue!$A$3:$W$34,COLUMN(O$1),FALSE)*10</f>
        <v>0</v>
      </c>
      <c r="AA330" s="42">
        <f>VLOOKUP($B330,Gangue!$A$3:$W$34,COLUMN(P$1),FALSE)*10</f>
        <v>0</v>
      </c>
      <c r="AB330" s="42">
        <f>VLOOKUP($B330,Gangue!$A$3:$W$34,COLUMN(Q$1),FALSE)*10</f>
        <v>0</v>
      </c>
      <c r="AC330" s="42">
        <f>VLOOKUP($B330,Gangue!$A$3:$W$34,COLUMN(R$1),FALSE)*10</f>
        <v>0</v>
      </c>
      <c r="AD330" s="42">
        <f>VLOOKUP($B330,Gangue!$A$3:$W$34,COLUMN(S$1),FALSE)*10</f>
        <v>0</v>
      </c>
      <c r="AE330" s="42">
        <f>VLOOKUP($B330,Gangue!$A$3:$W$34,COLUMN(T$1),FALSE)*10</f>
        <v>0</v>
      </c>
      <c r="AF330" s="43">
        <f>VLOOKUP($B330,Gangue!$A$3:$W$34,COLUMN(U$1),FALSE)*10</f>
        <v>0</v>
      </c>
    </row>
    <row r="331" ht="13.85" spans="1:32">
      <c r="A331" s="27" t="s">
        <v>2350</v>
      </c>
      <c r="B331" s="44" t="s">
        <v>142</v>
      </c>
      <c r="C331" s="45"/>
      <c r="D331" s="45"/>
      <c r="E331" s="45"/>
      <c r="F331" s="42"/>
      <c r="G331" s="42"/>
      <c r="H331" s="42"/>
      <c r="I331" s="42"/>
      <c r="J331" s="42"/>
      <c r="K331" s="42"/>
      <c r="L331" s="42"/>
      <c r="M331" s="42"/>
      <c r="N331" s="42">
        <f>VLOOKUP($B331,Gangue!$A$3:$W$34,COLUMN(C$1),FALSE)*10</f>
        <v>3</v>
      </c>
      <c r="O331" s="42">
        <f>VLOOKUP($B331,Gangue!$A$3:$W$34,COLUMN(D$1),FALSE)*10</f>
        <v>3</v>
      </c>
      <c r="P331" s="42">
        <f>VLOOKUP($B331,Gangue!$A$3:$W$34,COLUMN(E$1),FALSE)*10</f>
        <v>3</v>
      </c>
      <c r="Q331" s="42">
        <f>VLOOKUP($B331,Gangue!$A$3:$W$34,COLUMN(F$1),FALSE)*10</f>
        <v>3</v>
      </c>
      <c r="R331" s="42">
        <f>VLOOKUP($B331,Gangue!$A$3:$W$34,COLUMN(G$1),FALSE)*10</f>
        <v>3</v>
      </c>
      <c r="S331" s="42">
        <f>VLOOKUP($B331,Gangue!$A$3:$W$34,COLUMN(H$1),FALSE)*10</f>
        <v>3</v>
      </c>
      <c r="T331" s="42">
        <f>VLOOKUP($B331,Gangue!$A$3:$W$34,COLUMN(I$1),FALSE)*10</f>
        <v>3</v>
      </c>
      <c r="U331" s="42">
        <f>VLOOKUP($B331,Gangue!$A$3:$W$34,COLUMN(J$1),FALSE)*10</f>
        <v>3</v>
      </c>
      <c r="V331" s="42">
        <f>VLOOKUP($B331,Gangue!$A$3:$W$34,COLUMN(K$1),FALSE)*10</f>
        <v>0</v>
      </c>
      <c r="W331" s="42">
        <f>VLOOKUP($B331,Gangue!$A$3:$W$34,COLUMN(L$1),FALSE)*10</f>
        <v>600</v>
      </c>
      <c r="X331" s="42">
        <f>VLOOKUP($B331,Gangue!$A$3:$W$34,COLUMN(M$1),FALSE)*10</f>
        <v>0</v>
      </c>
      <c r="Y331" s="42">
        <f>VLOOKUP($B331,Gangue!$A$3:$W$34,COLUMN(N$1),FALSE)*10</f>
        <v>0</v>
      </c>
      <c r="Z331" s="42">
        <f>VLOOKUP($B331,Gangue!$A$3:$W$34,COLUMN(O$1),FALSE)*10</f>
        <v>0</v>
      </c>
      <c r="AA331" s="42">
        <f>VLOOKUP($B331,Gangue!$A$3:$W$34,COLUMN(P$1),FALSE)*10</f>
        <v>0</v>
      </c>
      <c r="AB331" s="42">
        <f>VLOOKUP($B331,Gangue!$A$3:$W$34,COLUMN(Q$1),FALSE)*10</f>
        <v>0</v>
      </c>
      <c r="AC331" s="42">
        <f>VLOOKUP($B331,Gangue!$A$3:$W$34,COLUMN(R$1),FALSE)*10</f>
        <v>0</v>
      </c>
      <c r="AD331" s="42">
        <f>VLOOKUP($B331,Gangue!$A$3:$W$34,COLUMN(S$1),FALSE)*10</f>
        <v>0</v>
      </c>
      <c r="AE331" s="42">
        <f>VLOOKUP($B331,Gangue!$A$3:$W$34,COLUMN(T$1),FALSE)*10</f>
        <v>0</v>
      </c>
      <c r="AF331" s="43">
        <f>VLOOKUP($B331,Gangue!$A$3:$W$34,COLUMN(U$1),FALSE)*10</f>
        <v>0</v>
      </c>
    </row>
    <row r="332" s="38" customFormat="1" spans="1:32">
      <c r="A332" s="46"/>
      <c r="B332" s="46"/>
      <c r="C332" s="47"/>
      <c r="D332" s="47"/>
      <c r="E332" s="47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</row>
    <row r="333" ht="13.85" spans="1:32">
      <c r="A333" s="27" t="s">
        <v>162</v>
      </c>
      <c r="B333" s="41" t="s">
        <v>80</v>
      </c>
      <c r="C333" s="42">
        <f t="shared" ref="C333:AF333" si="302">SUM(C334:C364)</f>
        <v>0</v>
      </c>
      <c r="D333" s="42">
        <f t="shared" si="302"/>
        <v>0</v>
      </c>
      <c r="E333" s="42">
        <f t="shared" si="302"/>
        <v>0</v>
      </c>
      <c r="F333" s="42">
        <f t="shared" si="302"/>
        <v>0</v>
      </c>
      <c r="G333" s="42">
        <f t="shared" si="302"/>
        <v>0</v>
      </c>
      <c r="H333" s="42">
        <f t="shared" si="302"/>
        <v>0</v>
      </c>
      <c r="I333" s="42">
        <f t="shared" si="302"/>
        <v>0</v>
      </c>
      <c r="J333" s="42">
        <f t="shared" si="302"/>
        <v>0</v>
      </c>
      <c r="K333" s="42">
        <f t="shared" si="302"/>
        <v>0</v>
      </c>
      <c r="L333" s="42">
        <f t="shared" si="302"/>
        <v>0</v>
      </c>
      <c r="M333" s="42">
        <f t="shared" si="302"/>
        <v>0</v>
      </c>
      <c r="N333" s="42">
        <f t="shared" si="302"/>
        <v>514.75</v>
      </c>
      <c r="O333" s="42">
        <f t="shared" si="302"/>
        <v>514.75</v>
      </c>
      <c r="P333" s="42">
        <f t="shared" si="302"/>
        <v>514.75</v>
      </c>
      <c r="Q333" s="42">
        <f t="shared" si="302"/>
        <v>514.75</v>
      </c>
      <c r="R333" s="42">
        <f t="shared" si="302"/>
        <v>514.75</v>
      </c>
      <c r="S333" s="42">
        <f t="shared" si="302"/>
        <v>514.75</v>
      </c>
      <c r="T333" s="42">
        <f t="shared" si="302"/>
        <v>514.75</v>
      </c>
      <c r="U333" s="42">
        <f t="shared" si="302"/>
        <v>514.75</v>
      </c>
      <c r="V333" s="42">
        <f t="shared" si="302"/>
        <v>232.5</v>
      </c>
      <c r="W333" s="42">
        <f t="shared" si="302"/>
        <v>433</v>
      </c>
      <c r="X333" s="42">
        <f t="shared" si="302"/>
        <v>654</v>
      </c>
      <c r="Y333" s="42">
        <f t="shared" si="302"/>
        <v>786.8</v>
      </c>
      <c r="Z333" s="42">
        <f t="shared" si="302"/>
        <v>574.8</v>
      </c>
      <c r="AA333" s="42">
        <f t="shared" si="302"/>
        <v>705.2</v>
      </c>
      <c r="AB333" s="42">
        <f t="shared" si="302"/>
        <v>474</v>
      </c>
      <c r="AC333" s="42">
        <f t="shared" si="302"/>
        <v>633.5</v>
      </c>
      <c r="AD333" s="42">
        <f t="shared" si="302"/>
        <v>810</v>
      </c>
      <c r="AE333" s="42">
        <f t="shared" si="302"/>
        <v>952.6</v>
      </c>
      <c r="AF333" s="43">
        <f t="shared" si="302"/>
        <v>1190.26</v>
      </c>
    </row>
    <row r="334" ht="13.85" spans="1:32">
      <c r="A334" s="27" t="s">
        <v>162</v>
      </c>
      <c r="B334" s="44" t="s">
        <v>82</v>
      </c>
      <c r="C334" s="45"/>
      <c r="D334" s="45"/>
      <c r="E334" s="45"/>
      <c r="F334" s="42"/>
      <c r="G334" s="42"/>
      <c r="H334" s="42"/>
      <c r="I334" s="42"/>
      <c r="J334" s="42"/>
      <c r="K334" s="42"/>
      <c r="L334" s="42"/>
      <c r="M334" s="42"/>
      <c r="N334" s="42">
        <f>VLOOKUP($B334,'Biomass&amp;MSW'!$A$39:$V$70,COLUMN(B$1),FALSE)</f>
        <v>1.25</v>
      </c>
      <c r="O334" s="42">
        <f>VLOOKUP($B334,'Biomass&amp;MSW'!$A$39:$V$70,COLUMN(C$1),FALSE)</f>
        <v>1.25</v>
      </c>
      <c r="P334" s="42">
        <f>VLOOKUP($B334,'Biomass&amp;MSW'!$A$39:$V$70,COLUMN(D$1),FALSE)</f>
        <v>1.25</v>
      </c>
      <c r="Q334" s="42">
        <f>VLOOKUP($B334,'Biomass&amp;MSW'!$A$39:$V$70,COLUMN(E$1),FALSE)</f>
        <v>1.25</v>
      </c>
      <c r="R334" s="42">
        <f>VLOOKUP($B334,'Biomass&amp;MSW'!$A$39:$V$70,COLUMN(F$1),FALSE)</f>
        <v>1.25</v>
      </c>
      <c r="S334" s="42">
        <f>VLOOKUP($B334,'Biomass&amp;MSW'!$A$39:$V$70,COLUMN(G$1),FALSE)</f>
        <v>1.25</v>
      </c>
      <c r="T334" s="42">
        <f>VLOOKUP($B334,'Biomass&amp;MSW'!$A$39:$V$70,COLUMN(H$1),FALSE)</f>
        <v>1.25</v>
      </c>
      <c r="U334" s="42">
        <f>VLOOKUP($B334,'Biomass&amp;MSW'!$A$39:$V$70,COLUMN(I$1),FALSE)</f>
        <v>1.25</v>
      </c>
      <c r="V334" s="42">
        <f>VLOOKUP($B334,'Biomass&amp;MSW'!$A$39:$V$70,COLUMN(J$1),FALSE)</f>
        <v>0</v>
      </c>
      <c r="W334" s="42">
        <f>VLOOKUP($B334,'Biomass&amp;MSW'!$A$39:$V$70,COLUMN(K$1),FALSE)</f>
        <v>0</v>
      </c>
      <c r="X334" s="42">
        <f>VLOOKUP($B334,'Biomass&amp;MSW'!$A$39:$V$70,COLUMN(L$1),FALSE)</f>
        <v>0</v>
      </c>
      <c r="Y334" s="42">
        <f>VLOOKUP($B334,'Biomass&amp;MSW'!$A$39:$V$70,COLUMN(M$1),FALSE)</f>
        <v>0</v>
      </c>
      <c r="Z334" s="42">
        <f>VLOOKUP($B334,'Biomass&amp;MSW'!$A$39:$V$70,COLUMN(N$1),FALSE)</f>
        <v>0</v>
      </c>
      <c r="AA334" s="42">
        <f>VLOOKUP($B334,'Biomass&amp;MSW'!$A$39:$V$70,COLUMN(O$1),FALSE)</f>
        <v>0</v>
      </c>
      <c r="AB334" s="42">
        <f>VLOOKUP($B334,'Biomass&amp;MSW'!$A$39:$V$70,COLUMN(P$1),FALSE)</f>
        <v>6</v>
      </c>
      <c r="AC334" s="42">
        <f>VLOOKUP($B334,'Biomass&amp;MSW'!$A$39:$V$70,COLUMN(Q$1),FALSE)</f>
        <v>0</v>
      </c>
      <c r="AD334" s="42">
        <f>VLOOKUP($B334,'Biomass&amp;MSW'!$A$39:$V$70,COLUMN(R$1),FALSE)</f>
        <v>0</v>
      </c>
      <c r="AE334" s="42">
        <f>VLOOKUP($B334,'Biomass&amp;MSW'!$A$39:$V$70,COLUMN(S$1),FALSE)</f>
        <v>37.5</v>
      </c>
      <c r="AF334" s="43">
        <f>VLOOKUP($B334,'Biomass&amp;MSW'!$A$39:$V$70,COLUMN(T$1),FALSE)+VLOOKUP($B334,'project vs stock'!$A$72:$W$103,11,FALSE)/5</f>
        <v>0.76</v>
      </c>
    </row>
    <row r="335" ht="13.85" spans="1:32">
      <c r="A335" s="27" t="s">
        <v>162</v>
      </c>
      <c r="B335" s="44" t="s">
        <v>84</v>
      </c>
      <c r="C335" s="45"/>
      <c r="D335" s="45"/>
      <c r="E335" s="45"/>
      <c r="F335" s="42"/>
      <c r="G335" s="42"/>
      <c r="H335" s="42"/>
      <c r="I335" s="42"/>
      <c r="J335" s="42"/>
      <c r="K335" s="42"/>
      <c r="L335" s="42"/>
      <c r="M335" s="42"/>
      <c r="N335" s="42">
        <f>VLOOKUP($B335,'Biomass&amp;MSW'!$A$39:$V$70,COLUMN(B$1),FALSE)</f>
        <v>0</v>
      </c>
      <c r="O335" s="42">
        <f>VLOOKUP($B335,'Biomass&amp;MSW'!$A$39:$V$70,COLUMN(C$1),FALSE)</f>
        <v>0</v>
      </c>
      <c r="P335" s="42">
        <f>VLOOKUP($B335,'Biomass&amp;MSW'!$A$39:$V$70,COLUMN(D$1),FALSE)</f>
        <v>0</v>
      </c>
      <c r="Q335" s="42">
        <f>VLOOKUP($B335,'Biomass&amp;MSW'!$A$39:$V$70,COLUMN(E$1),FALSE)</f>
        <v>0</v>
      </c>
      <c r="R335" s="42">
        <f>VLOOKUP($B335,'Biomass&amp;MSW'!$A$39:$V$70,COLUMN(F$1),FALSE)</f>
        <v>0</v>
      </c>
      <c r="S335" s="42">
        <f>VLOOKUP($B335,'Biomass&amp;MSW'!$A$39:$V$70,COLUMN(G$1),FALSE)</f>
        <v>0</v>
      </c>
      <c r="T335" s="42">
        <f>VLOOKUP($B335,'Biomass&amp;MSW'!$A$39:$V$70,COLUMN(H$1),FALSE)</f>
        <v>0</v>
      </c>
      <c r="U335" s="42">
        <f>VLOOKUP($B335,'Biomass&amp;MSW'!$A$39:$V$70,COLUMN(I$1),FALSE)</f>
        <v>0</v>
      </c>
      <c r="V335" s="42">
        <f>VLOOKUP($B335,'Biomass&amp;MSW'!$A$39:$V$70,COLUMN(J$1),FALSE)</f>
        <v>0</v>
      </c>
      <c r="W335" s="42">
        <f>VLOOKUP($B335,'Biomass&amp;MSW'!$A$39:$V$70,COLUMN(K$1),FALSE)</f>
        <v>60</v>
      </c>
      <c r="X335" s="42">
        <f>VLOOKUP($B335,'Biomass&amp;MSW'!$A$39:$V$70,COLUMN(L$1),FALSE)</f>
        <v>54</v>
      </c>
      <c r="Y335" s="42">
        <f>VLOOKUP($B335,'Biomass&amp;MSW'!$A$39:$V$70,COLUMN(M$1),FALSE)</f>
        <v>180</v>
      </c>
      <c r="Z335" s="42">
        <f>VLOOKUP($B335,'Biomass&amp;MSW'!$A$39:$V$70,COLUMN(N$1),FALSE)</f>
        <v>0</v>
      </c>
      <c r="AA335" s="42">
        <f>VLOOKUP($B335,'Biomass&amp;MSW'!$A$39:$V$70,COLUMN(O$1),FALSE)</f>
        <v>0</v>
      </c>
      <c r="AB335" s="42">
        <f>VLOOKUP($B335,'Biomass&amp;MSW'!$A$39:$V$70,COLUMN(P$1),FALSE)</f>
        <v>45</v>
      </c>
      <c r="AC335" s="42">
        <f>VLOOKUP($B335,'Biomass&amp;MSW'!$A$39:$V$70,COLUMN(Q$1),FALSE)</f>
        <v>60</v>
      </c>
      <c r="AD335" s="42">
        <f>VLOOKUP($B335,'Biomass&amp;MSW'!$A$39:$V$70,COLUMN(R$1),FALSE)</f>
        <v>60</v>
      </c>
      <c r="AE335" s="42">
        <f>VLOOKUP($B335,'Biomass&amp;MSW'!$A$39:$V$70,COLUMN(S$1),FALSE)</f>
        <v>30</v>
      </c>
      <c r="AF335" s="43">
        <f>VLOOKUP($B335,'Biomass&amp;MSW'!$A$39:$V$70,COLUMN(T$1),FALSE)</f>
        <v>12</v>
      </c>
    </row>
    <row r="336" ht="13.85" spans="1:32">
      <c r="A336" s="27" t="s">
        <v>162</v>
      </c>
      <c r="B336" s="44" t="s">
        <v>86</v>
      </c>
      <c r="C336" s="45"/>
      <c r="D336" s="45"/>
      <c r="E336" s="45"/>
      <c r="F336" s="42"/>
      <c r="G336" s="42"/>
      <c r="H336" s="42"/>
      <c r="I336" s="42"/>
      <c r="J336" s="42"/>
      <c r="K336" s="42"/>
      <c r="L336" s="42"/>
      <c r="M336" s="42"/>
      <c r="N336" s="42">
        <f>VLOOKUP($B336,'Biomass&amp;MSW'!$A$39:$V$70,COLUMN(B$1),FALSE)</f>
        <v>0</v>
      </c>
      <c r="O336" s="42">
        <f>VLOOKUP($B336,'Biomass&amp;MSW'!$A$39:$V$70,COLUMN(C$1),FALSE)</f>
        <v>0</v>
      </c>
      <c r="P336" s="42">
        <f>VLOOKUP($B336,'Biomass&amp;MSW'!$A$39:$V$70,COLUMN(D$1),FALSE)</f>
        <v>0</v>
      </c>
      <c r="Q336" s="42">
        <f>VLOOKUP($B336,'Biomass&amp;MSW'!$A$39:$V$70,COLUMN(E$1),FALSE)</f>
        <v>0</v>
      </c>
      <c r="R336" s="42">
        <f>VLOOKUP($B336,'Biomass&amp;MSW'!$A$39:$V$70,COLUMN(F$1),FALSE)</f>
        <v>0</v>
      </c>
      <c r="S336" s="42">
        <f>VLOOKUP($B336,'Biomass&amp;MSW'!$A$39:$V$70,COLUMN(G$1),FALSE)</f>
        <v>0</v>
      </c>
      <c r="T336" s="42">
        <f>VLOOKUP($B336,'Biomass&amp;MSW'!$A$39:$V$70,COLUMN(H$1),FALSE)</f>
        <v>0</v>
      </c>
      <c r="U336" s="42">
        <f>VLOOKUP($B336,'Biomass&amp;MSW'!$A$39:$V$70,COLUMN(I$1),FALSE)</f>
        <v>0</v>
      </c>
      <c r="V336" s="42">
        <f>VLOOKUP($B336,'Biomass&amp;MSW'!$A$39:$V$70,COLUMN(J$1),FALSE)</f>
        <v>0</v>
      </c>
      <c r="W336" s="42">
        <f>VLOOKUP($B336,'Biomass&amp;MSW'!$A$39:$V$70,COLUMN(K$1),FALSE)</f>
        <v>6</v>
      </c>
      <c r="X336" s="42">
        <f>VLOOKUP($B336,'Biomass&amp;MSW'!$A$39:$V$70,COLUMN(L$1),FALSE)</f>
        <v>0</v>
      </c>
      <c r="Y336" s="42">
        <f>VLOOKUP($B336,'Biomass&amp;MSW'!$A$39:$V$70,COLUMN(M$1),FALSE)</f>
        <v>0</v>
      </c>
      <c r="Z336" s="42">
        <f>VLOOKUP($B336,'Biomass&amp;MSW'!$A$39:$V$70,COLUMN(N$1),FALSE)</f>
        <v>0</v>
      </c>
      <c r="AA336" s="42">
        <f>VLOOKUP($B336,'Biomass&amp;MSW'!$A$39:$V$70,COLUMN(O$1),FALSE)</f>
        <v>0</v>
      </c>
      <c r="AB336" s="42">
        <f>VLOOKUP($B336,'Biomass&amp;MSW'!$A$39:$V$70,COLUMN(P$1),FALSE)</f>
        <v>12</v>
      </c>
      <c r="AC336" s="42">
        <f>VLOOKUP($B336,'Biomass&amp;MSW'!$A$39:$V$70,COLUMN(Q$1),FALSE)</f>
        <v>0</v>
      </c>
      <c r="AD336" s="42">
        <f>VLOOKUP($B336,'Biomass&amp;MSW'!$A$39:$V$70,COLUMN(R$1),FALSE)</f>
        <v>0</v>
      </c>
      <c r="AE336" s="42">
        <f>VLOOKUP($B336,'Biomass&amp;MSW'!$A$39:$V$70,COLUMN(S$1),FALSE)</f>
        <v>0</v>
      </c>
      <c r="AF336" s="43">
        <f>VLOOKUP($B336,'Biomass&amp;MSW'!$A$39:$V$70,COLUMN(T$1),FALSE)</f>
        <v>0</v>
      </c>
    </row>
    <row r="337" ht="13.85" spans="1:32">
      <c r="A337" s="27" t="s">
        <v>162</v>
      </c>
      <c r="B337" s="44" t="s">
        <v>88</v>
      </c>
      <c r="C337" s="45"/>
      <c r="D337" s="45"/>
      <c r="E337" s="45"/>
      <c r="F337" s="42"/>
      <c r="G337" s="42"/>
      <c r="H337" s="42"/>
      <c r="I337" s="42"/>
      <c r="J337" s="42"/>
      <c r="K337" s="42"/>
      <c r="L337" s="42"/>
      <c r="M337" s="42"/>
      <c r="N337" s="42">
        <f>VLOOKUP($B337,'Biomass&amp;MSW'!$A$39:$V$70,COLUMN(B$1),FALSE)</f>
        <v>40.25</v>
      </c>
      <c r="O337" s="42">
        <f>VLOOKUP($B337,'Biomass&amp;MSW'!$A$39:$V$70,COLUMN(C$1),FALSE)</f>
        <v>40.25</v>
      </c>
      <c r="P337" s="42">
        <f>VLOOKUP($B337,'Biomass&amp;MSW'!$A$39:$V$70,COLUMN(D$1),FALSE)</f>
        <v>40.25</v>
      </c>
      <c r="Q337" s="42">
        <f>VLOOKUP($B337,'Biomass&amp;MSW'!$A$39:$V$70,COLUMN(E$1),FALSE)</f>
        <v>40.25</v>
      </c>
      <c r="R337" s="42">
        <f>VLOOKUP($B337,'Biomass&amp;MSW'!$A$39:$V$70,COLUMN(F$1),FALSE)</f>
        <v>40.25</v>
      </c>
      <c r="S337" s="42">
        <f>VLOOKUP($B337,'Biomass&amp;MSW'!$A$39:$V$70,COLUMN(G$1),FALSE)</f>
        <v>40.25</v>
      </c>
      <c r="T337" s="42">
        <f>VLOOKUP($B337,'Biomass&amp;MSW'!$A$39:$V$70,COLUMN(H$1),FALSE)</f>
        <v>40.25</v>
      </c>
      <c r="U337" s="42">
        <f>VLOOKUP($B337,'Biomass&amp;MSW'!$A$39:$V$70,COLUMN(I$1),FALSE)</f>
        <v>40.25</v>
      </c>
      <c r="V337" s="42">
        <f>VLOOKUP($B337,'Biomass&amp;MSW'!$A$39:$V$70,COLUMN(J$1),FALSE)</f>
        <v>12</v>
      </c>
      <c r="W337" s="42">
        <f>VLOOKUP($B337,'Biomass&amp;MSW'!$A$39:$V$70,COLUMN(K$1),FALSE)</f>
        <v>18</v>
      </c>
      <c r="X337" s="42">
        <f>VLOOKUP($B337,'Biomass&amp;MSW'!$A$39:$V$70,COLUMN(L$1),FALSE)</f>
        <v>48</v>
      </c>
      <c r="Y337" s="42">
        <f>VLOOKUP($B337,'Biomass&amp;MSW'!$A$39:$V$70,COLUMN(M$1),FALSE)</f>
        <v>0</v>
      </c>
      <c r="Z337" s="42">
        <f>VLOOKUP($B337,'Biomass&amp;MSW'!$A$39:$V$70,COLUMN(N$1),FALSE)</f>
        <v>0</v>
      </c>
      <c r="AA337" s="42">
        <f>VLOOKUP($B337,'Biomass&amp;MSW'!$A$39:$V$70,COLUMN(O$1),FALSE)</f>
        <v>0</v>
      </c>
      <c r="AB337" s="42">
        <f>VLOOKUP($B337,'Biomass&amp;MSW'!$A$39:$V$70,COLUMN(P$1),FALSE)</f>
        <v>0</v>
      </c>
      <c r="AC337" s="42">
        <f>VLOOKUP($B337,'Biomass&amp;MSW'!$A$39:$V$70,COLUMN(Q$1),FALSE)</f>
        <v>0</v>
      </c>
      <c r="AD337" s="42">
        <f>VLOOKUP($B337,'Biomass&amp;MSW'!$A$39:$V$70,COLUMN(R$1),FALSE)</f>
        <v>0</v>
      </c>
      <c r="AE337" s="42">
        <f>VLOOKUP($B337,'Biomass&amp;MSW'!$A$39:$V$70,COLUMN(S$1),FALSE)</f>
        <v>0</v>
      </c>
      <c r="AF337" s="43">
        <f>VLOOKUP($B337,'Biomass&amp;MSW'!$A$39:$V$70,COLUMN(T$1),FALSE)</f>
        <v>0</v>
      </c>
    </row>
    <row r="338" ht="13.85" spans="1:32">
      <c r="A338" s="27" t="s">
        <v>162</v>
      </c>
      <c r="B338" s="44" t="s">
        <v>90</v>
      </c>
      <c r="C338" s="45"/>
      <c r="D338" s="45"/>
      <c r="E338" s="45"/>
      <c r="F338" s="42"/>
      <c r="G338" s="42"/>
      <c r="H338" s="42"/>
      <c r="I338" s="42"/>
      <c r="J338" s="42"/>
      <c r="K338" s="42"/>
      <c r="L338" s="42"/>
      <c r="M338" s="42"/>
      <c r="N338" s="42">
        <f>VLOOKUP($B338,'Biomass&amp;MSW'!$A$39:$V$70,COLUMN(B$1),FALSE)</f>
        <v>5.25</v>
      </c>
      <c r="O338" s="42">
        <f>VLOOKUP($B338,'Biomass&amp;MSW'!$A$39:$V$70,COLUMN(C$1),FALSE)</f>
        <v>5.25</v>
      </c>
      <c r="P338" s="42">
        <f>VLOOKUP($B338,'Biomass&amp;MSW'!$A$39:$V$70,COLUMN(D$1),FALSE)</f>
        <v>5.25</v>
      </c>
      <c r="Q338" s="42">
        <f>VLOOKUP($B338,'Biomass&amp;MSW'!$A$39:$V$70,COLUMN(E$1),FALSE)</f>
        <v>5.25</v>
      </c>
      <c r="R338" s="42">
        <f>VLOOKUP($B338,'Biomass&amp;MSW'!$A$39:$V$70,COLUMN(F$1),FALSE)</f>
        <v>5.25</v>
      </c>
      <c r="S338" s="42">
        <f>VLOOKUP($B338,'Biomass&amp;MSW'!$A$39:$V$70,COLUMN(G$1),FALSE)</f>
        <v>5.25</v>
      </c>
      <c r="T338" s="42">
        <f>VLOOKUP($B338,'Biomass&amp;MSW'!$A$39:$V$70,COLUMN(H$1),FALSE)</f>
        <v>5.25</v>
      </c>
      <c r="U338" s="42">
        <f>VLOOKUP($B338,'Biomass&amp;MSW'!$A$39:$V$70,COLUMN(I$1),FALSE)</f>
        <v>5.25</v>
      </c>
      <c r="V338" s="42">
        <f>VLOOKUP($B338,'Biomass&amp;MSW'!$A$39:$V$70,COLUMN(J$1),FALSE)</f>
        <v>0</v>
      </c>
      <c r="W338" s="42">
        <f>VLOOKUP($B338,'Biomass&amp;MSW'!$A$39:$V$70,COLUMN(K$1),FALSE)</f>
        <v>0</v>
      </c>
      <c r="X338" s="42">
        <f>VLOOKUP($B338,'Biomass&amp;MSW'!$A$39:$V$70,COLUMN(L$1),FALSE)</f>
        <v>0</v>
      </c>
      <c r="Y338" s="42">
        <f>VLOOKUP($B338,'Biomass&amp;MSW'!$A$39:$V$70,COLUMN(M$1),FALSE)</f>
        <v>111</v>
      </c>
      <c r="Z338" s="42">
        <f>VLOOKUP($B338,'Biomass&amp;MSW'!$A$39:$V$70,COLUMN(N$1),FALSE)</f>
        <v>60</v>
      </c>
      <c r="AA338" s="42">
        <f>VLOOKUP($B338,'Biomass&amp;MSW'!$A$39:$V$70,COLUMN(O$1),FALSE)</f>
        <v>0</v>
      </c>
      <c r="AB338" s="42">
        <f>VLOOKUP($B338,'Biomass&amp;MSW'!$A$39:$V$70,COLUMN(P$1),FALSE)</f>
        <v>0</v>
      </c>
      <c r="AC338" s="42">
        <f>VLOOKUP($B338,'Biomass&amp;MSW'!$A$39:$V$70,COLUMN(Q$1),FALSE)</f>
        <v>0</v>
      </c>
      <c r="AD338" s="42">
        <f>VLOOKUP($B338,'Biomass&amp;MSW'!$A$39:$V$70,COLUMN(R$1),FALSE)</f>
        <v>0</v>
      </c>
      <c r="AE338" s="42">
        <f>VLOOKUP($B338,'Biomass&amp;MSW'!$A$39:$V$70,COLUMN(S$1),FALSE)</f>
        <v>0</v>
      </c>
      <c r="AF338" s="43">
        <f>VLOOKUP($B338,'Biomass&amp;MSW'!$A$39:$V$70,COLUMN(T$1),FALSE)</f>
        <v>0</v>
      </c>
    </row>
    <row r="339" ht="13.85" spans="1:32">
      <c r="A339" s="27" t="s">
        <v>162</v>
      </c>
      <c r="B339" s="44" t="s">
        <v>92</v>
      </c>
      <c r="C339" s="45"/>
      <c r="D339" s="45"/>
      <c r="E339" s="45"/>
      <c r="F339" s="42"/>
      <c r="G339" s="42"/>
      <c r="H339" s="42"/>
      <c r="I339" s="42"/>
      <c r="J339" s="42"/>
      <c r="K339" s="42"/>
      <c r="L339" s="42"/>
      <c r="M339" s="42"/>
      <c r="N339" s="42">
        <f>VLOOKUP($B339,'Biomass&amp;MSW'!$A$39:$V$70,COLUMN(B$1),FALSE)</f>
        <v>0</v>
      </c>
      <c r="O339" s="42">
        <f>VLOOKUP($B339,'Biomass&amp;MSW'!$A$39:$V$70,COLUMN(C$1),FALSE)</f>
        <v>0</v>
      </c>
      <c r="P339" s="42">
        <f>VLOOKUP($B339,'Biomass&amp;MSW'!$A$39:$V$70,COLUMN(D$1),FALSE)</f>
        <v>0</v>
      </c>
      <c r="Q339" s="42">
        <f>VLOOKUP($B339,'Biomass&amp;MSW'!$A$39:$V$70,COLUMN(E$1),FALSE)</f>
        <v>0</v>
      </c>
      <c r="R339" s="42">
        <f>VLOOKUP($B339,'Biomass&amp;MSW'!$A$39:$V$70,COLUMN(F$1),FALSE)</f>
        <v>0</v>
      </c>
      <c r="S339" s="42">
        <f>VLOOKUP($B339,'Biomass&amp;MSW'!$A$39:$V$70,COLUMN(G$1),FALSE)</f>
        <v>0</v>
      </c>
      <c r="T339" s="42">
        <f>VLOOKUP($B339,'Biomass&amp;MSW'!$A$39:$V$70,COLUMN(H$1),FALSE)</f>
        <v>0</v>
      </c>
      <c r="U339" s="42">
        <f>VLOOKUP($B339,'Biomass&amp;MSW'!$A$39:$V$70,COLUMN(I$1),FALSE)</f>
        <v>0</v>
      </c>
      <c r="V339" s="42">
        <f>VLOOKUP($B339,'Biomass&amp;MSW'!$A$39:$V$70,COLUMN(J$1),FALSE)</f>
        <v>30</v>
      </c>
      <c r="W339" s="42">
        <f>VLOOKUP($B339,'Biomass&amp;MSW'!$A$39:$V$70,COLUMN(K$1),FALSE)</f>
        <v>8.9</v>
      </c>
      <c r="X339" s="42">
        <f>VLOOKUP($B339,'Biomass&amp;MSW'!$A$39:$V$70,COLUMN(L$1),FALSE)</f>
        <v>55</v>
      </c>
      <c r="Y339" s="42">
        <f>VLOOKUP($B339,'Biomass&amp;MSW'!$A$39:$V$70,COLUMN(M$1),FALSE)</f>
        <v>15</v>
      </c>
      <c r="Z339" s="42">
        <f>VLOOKUP($B339,'Biomass&amp;MSW'!$A$39:$V$70,COLUMN(N$1),FALSE)</f>
        <v>0</v>
      </c>
      <c r="AA339" s="42">
        <f>VLOOKUP($B339,'Biomass&amp;MSW'!$A$39:$V$70,COLUMN(O$1),FALSE)</f>
        <v>75</v>
      </c>
      <c r="AB339" s="42">
        <f>VLOOKUP($B339,'Biomass&amp;MSW'!$A$39:$V$70,COLUMN(P$1),FALSE)</f>
        <v>60</v>
      </c>
      <c r="AC339" s="42">
        <f>VLOOKUP($B339,'Biomass&amp;MSW'!$A$39:$V$70,COLUMN(Q$1),FALSE)</f>
        <v>30</v>
      </c>
      <c r="AD339" s="42">
        <f>VLOOKUP($B339,'Biomass&amp;MSW'!$A$39:$V$70,COLUMN(R$1),FALSE)</f>
        <v>0</v>
      </c>
      <c r="AE339" s="42">
        <f>VLOOKUP($B339,'Biomass&amp;MSW'!$A$39:$V$70,COLUMN(S$1),FALSE)</f>
        <v>0</v>
      </c>
      <c r="AF339" s="43">
        <f>VLOOKUP($B339,'Biomass&amp;MSW'!$A$39:$V$70,COLUMN(T$1),FALSE)</f>
        <v>0</v>
      </c>
    </row>
    <row r="340" ht="13.85" spans="1:32">
      <c r="A340" s="27" t="s">
        <v>162</v>
      </c>
      <c r="B340" s="44" t="s">
        <v>94</v>
      </c>
      <c r="C340" s="45"/>
      <c r="D340" s="45"/>
      <c r="E340" s="45"/>
      <c r="F340" s="42"/>
      <c r="G340" s="42"/>
      <c r="H340" s="42"/>
      <c r="I340" s="42"/>
      <c r="J340" s="42"/>
      <c r="K340" s="42"/>
      <c r="L340" s="42"/>
      <c r="M340" s="42"/>
      <c r="N340" s="42">
        <f>VLOOKUP($B340,'Biomass&amp;MSW'!$A$39:$V$70,COLUMN(B$1),FALSE)</f>
        <v>15.7625</v>
      </c>
      <c r="O340" s="42">
        <f>VLOOKUP($B340,'Biomass&amp;MSW'!$A$39:$V$70,COLUMN(C$1),FALSE)</f>
        <v>15.7625</v>
      </c>
      <c r="P340" s="42">
        <f>VLOOKUP($B340,'Biomass&amp;MSW'!$A$39:$V$70,COLUMN(D$1),FALSE)</f>
        <v>15.7625</v>
      </c>
      <c r="Q340" s="42">
        <f>VLOOKUP($B340,'Biomass&amp;MSW'!$A$39:$V$70,COLUMN(E$1),FALSE)</f>
        <v>15.7625</v>
      </c>
      <c r="R340" s="42">
        <f>VLOOKUP($B340,'Biomass&amp;MSW'!$A$39:$V$70,COLUMN(F$1),FALSE)</f>
        <v>15.7625</v>
      </c>
      <c r="S340" s="42">
        <f>VLOOKUP($B340,'Biomass&amp;MSW'!$A$39:$V$70,COLUMN(G$1),FALSE)</f>
        <v>15.7625</v>
      </c>
      <c r="T340" s="42">
        <f>VLOOKUP($B340,'Biomass&amp;MSW'!$A$39:$V$70,COLUMN(H$1),FALSE)</f>
        <v>15.7625</v>
      </c>
      <c r="U340" s="42">
        <f>VLOOKUP($B340,'Biomass&amp;MSW'!$A$39:$V$70,COLUMN(I$1),FALSE)</f>
        <v>15.7625</v>
      </c>
      <c r="V340" s="42">
        <f>VLOOKUP($B340,'Biomass&amp;MSW'!$A$39:$V$70,COLUMN(J$1),FALSE)</f>
        <v>3</v>
      </c>
      <c r="W340" s="42">
        <f>VLOOKUP($B340,'Biomass&amp;MSW'!$A$39:$V$70,COLUMN(K$1),FALSE)</f>
        <v>90</v>
      </c>
      <c r="X340" s="42">
        <f>VLOOKUP($B340,'Biomass&amp;MSW'!$A$39:$V$70,COLUMN(L$1),FALSE)</f>
        <v>6</v>
      </c>
      <c r="Y340" s="42">
        <f>VLOOKUP($B340,'Biomass&amp;MSW'!$A$39:$V$70,COLUMN(M$1),FALSE)</f>
        <v>78</v>
      </c>
      <c r="Z340" s="42">
        <f>VLOOKUP($B340,'Biomass&amp;MSW'!$A$39:$V$70,COLUMN(N$1),FALSE)</f>
        <v>33</v>
      </c>
      <c r="AA340" s="42">
        <f>VLOOKUP($B340,'Biomass&amp;MSW'!$A$39:$V$70,COLUMN(O$1),FALSE)</f>
        <v>58.1</v>
      </c>
      <c r="AB340" s="42">
        <f>VLOOKUP($B340,'Biomass&amp;MSW'!$A$39:$V$70,COLUMN(P$1),FALSE)</f>
        <v>66</v>
      </c>
      <c r="AC340" s="42">
        <f>VLOOKUP($B340,'Biomass&amp;MSW'!$A$39:$V$70,COLUMN(Q$1),FALSE)</f>
        <v>96</v>
      </c>
      <c r="AD340" s="42">
        <f>VLOOKUP($B340,'Biomass&amp;MSW'!$A$39:$V$70,COLUMN(R$1),FALSE)</f>
        <v>90</v>
      </c>
      <c r="AE340" s="42">
        <f>VLOOKUP($B340,'Biomass&amp;MSW'!$A$39:$V$70,COLUMN(S$1),FALSE)</f>
        <v>45</v>
      </c>
      <c r="AF340" s="43">
        <f>VLOOKUP($B340,'Biomass&amp;MSW'!$A$39:$V$70,COLUMN(T$1),FALSE)</f>
        <v>309.8</v>
      </c>
    </row>
    <row r="341" ht="13.85" spans="1:32">
      <c r="A341" s="27" t="s">
        <v>162</v>
      </c>
      <c r="B341" s="44" t="s">
        <v>96</v>
      </c>
      <c r="C341" s="45"/>
      <c r="D341" s="45"/>
      <c r="E341" s="45"/>
      <c r="F341" s="42"/>
      <c r="G341" s="42"/>
      <c r="H341" s="42"/>
      <c r="I341" s="42"/>
      <c r="J341" s="42"/>
      <c r="K341" s="42"/>
      <c r="L341" s="42"/>
      <c r="M341" s="42"/>
      <c r="N341" s="42">
        <f>VLOOKUP($B341,'Biomass&amp;MSW'!$A$39:$V$70,COLUMN(B$1),FALSE)</f>
        <v>37.4875</v>
      </c>
      <c r="O341" s="42">
        <f>VLOOKUP($B341,'Biomass&amp;MSW'!$A$39:$V$70,COLUMN(C$1),FALSE)</f>
        <v>37.4875</v>
      </c>
      <c r="P341" s="42">
        <f>VLOOKUP($B341,'Biomass&amp;MSW'!$A$39:$V$70,COLUMN(D$1),FALSE)</f>
        <v>37.4875</v>
      </c>
      <c r="Q341" s="42">
        <f>VLOOKUP($B341,'Biomass&amp;MSW'!$A$39:$V$70,COLUMN(E$1),FALSE)</f>
        <v>37.4875</v>
      </c>
      <c r="R341" s="42">
        <f>VLOOKUP($B341,'Biomass&amp;MSW'!$A$39:$V$70,COLUMN(F$1),FALSE)</f>
        <v>37.4875</v>
      </c>
      <c r="S341" s="42">
        <f>VLOOKUP($B341,'Biomass&amp;MSW'!$A$39:$V$70,COLUMN(G$1),FALSE)</f>
        <v>37.4875</v>
      </c>
      <c r="T341" s="42">
        <f>VLOOKUP($B341,'Biomass&amp;MSW'!$A$39:$V$70,COLUMN(H$1),FALSE)</f>
        <v>37.4875</v>
      </c>
      <c r="U341" s="42">
        <f>VLOOKUP($B341,'Biomass&amp;MSW'!$A$39:$V$70,COLUMN(I$1),FALSE)</f>
        <v>37.4875</v>
      </c>
      <c r="V341" s="42">
        <f>VLOOKUP($B341,'Biomass&amp;MSW'!$A$39:$V$70,COLUMN(J$1),FALSE)</f>
        <v>0</v>
      </c>
      <c r="W341" s="42">
        <f>VLOOKUP($B341,'Biomass&amp;MSW'!$A$39:$V$70,COLUMN(K$1),FALSE)</f>
        <v>0</v>
      </c>
      <c r="X341" s="42">
        <f>VLOOKUP($B341,'Biomass&amp;MSW'!$A$39:$V$70,COLUMN(L$1),FALSE)</f>
        <v>0</v>
      </c>
      <c r="Y341" s="42">
        <f>VLOOKUP($B341,'Biomass&amp;MSW'!$A$39:$V$70,COLUMN(M$1),FALSE)</f>
        <v>0</v>
      </c>
      <c r="Z341" s="42">
        <f>VLOOKUP($B341,'Biomass&amp;MSW'!$A$39:$V$70,COLUMN(N$1),FALSE)</f>
        <v>9.8</v>
      </c>
      <c r="AA341" s="42">
        <f>VLOOKUP($B341,'Biomass&amp;MSW'!$A$39:$V$70,COLUMN(O$1),FALSE)</f>
        <v>0</v>
      </c>
      <c r="AB341" s="42">
        <f>VLOOKUP($B341,'Biomass&amp;MSW'!$A$39:$V$70,COLUMN(P$1),FALSE)</f>
        <v>0</v>
      </c>
      <c r="AC341" s="42">
        <f>VLOOKUP($B341,'Biomass&amp;MSW'!$A$39:$V$70,COLUMN(Q$1),FALSE)</f>
        <v>54</v>
      </c>
      <c r="AD341" s="42">
        <f>VLOOKUP($B341,'Biomass&amp;MSW'!$A$39:$V$70,COLUMN(R$1),FALSE)</f>
        <v>0</v>
      </c>
      <c r="AE341" s="42">
        <f>VLOOKUP($B341,'Biomass&amp;MSW'!$A$39:$V$70,COLUMN(S$1),FALSE)</f>
        <v>0</v>
      </c>
      <c r="AF341" s="43">
        <f>VLOOKUP($B341,'Biomass&amp;MSW'!$A$39:$V$70,COLUMN(T$1),FALSE)</f>
        <v>0</v>
      </c>
    </row>
    <row r="342" ht="13.85" spans="1:32">
      <c r="A342" s="27" t="s">
        <v>162</v>
      </c>
      <c r="B342" s="44" t="s">
        <v>98</v>
      </c>
      <c r="C342" s="45"/>
      <c r="D342" s="45"/>
      <c r="E342" s="45"/>
      <c r="F342" s="42"/>
      <c r="G342" s="42"/>
      <c r="H342" s="42"/>
      <c r="I342" s="42"/>
      <c r="J342" s="42"/>
      <c r="K342" s="42"/>
      <c r="L342" s="42"/>
      <c r="M342" s="42"/>
      <c r="N342" s="42">
        <f>VLOOKUP($B342,'Biomass&amp;MSW'!$A$39:$V$70,COLUMN(B$1),FALSE)</f>
        <v>0</v>
      </c>
      <c r="O342" s="42">
        <f>VLOOKUP($B342,'Biomass&amp;MSW'!$A$39:$V$70,COLUMN(C$1),FALSE)</f>
        <v>0</v>
      </c>
      <c r="P342" s="42">
        <f>VLOOKUP($B342,'Biomass&amp;MSW'!$A$39:$V$70,COLUMN(D$1),FALSE)</f>
        <v>0</v>
      </c>
      <c r="Q342" s="42">
        <f>VLOOKUP($B342,'Biomass&amp;MSW'!$A$39:$V$70,COLUMN(E$1),FALSE)</f>
        <v>0</v>
      </c>
      <c r="R342" s="42">
        <f>VLOOKUP($B342,'Biomass&amp;MSW'!$A$39:$V$70,COLUMN(F$1),FALSE)</f>
        <v>0</v>
      </c>
      <c r="S342" s="42">
        <f>VLOOKUP($B342,'Biomass&amp;MSW'!$A$39:$V$70,COLUMN(G$1),FALSE)</f>
        <v>0</v>
      </c>
      <c r="T342" s="42">
        <f>VLOOKUP($B342,'Biomass&amp;MSW'!$A$39:$V$70,COLUMN(H$1),FALSE)</f>
        <v>0</v>
      </c>
      <c r="U342" s="42">
        <f>VLOOKUP($B342,'Biomass&amp;MSW'!$A$39:$V$70,COLUMN(I$1),FALSE)</f>
        <v>0</v>
      </c>
      <c r="V342" s="42">
        <f>VLOOKUP($B342,'Biomass&amp;MSW'!$A$39:$V$70,COLUMN(J$1),FALSE)</f>
        <v>69</v>
      </c>
      <c r="W342" s="42">
        <f>VLOOKUP($B342,'Biomass&amp;MSW'!$A$39:$V$70,COLUMN(K$1),FALSE)</f>
        <v>0</v>
      </c>
      <c r="X342" s="42">
        <f>VLOOKUP($B342,'Biomass&amp;MSW'!$A$39:$V$70,COLUMN(L$1),FALSE)</f>
        <v>16</v>
      </c>
      <c r="Y342" s="42">
        <f>VLOOKUP($B342,'Biomass&amp;MSW'!$A$39:$V$70,COLUMN(M$1),FALSE)</f>
        <v>59.8</v>
      </c>
      <c r="Z342" s="42">
        <f>VLOOKUP($B342,'Biomass&amp;MSW'!$A$39:$V$70,COLUMN(N$1),FALSE)</f>
        <v>15</v>
      </c>
      <c r="AA342" s="42">
        <f>VLOOKUP($B342,'Biomass&amp;MSW'!$A$39:$V$70,COLUMN(O$1),FALSE)</f>
        <v>0</v>
      </c>
      <c r="AB342" s="42">
        <f>VLOOKUP($B342,'Biomass&amp;MSW'!$A$39:$V$70,COLUMN(P$1),FALSE)</f>
        <v>30</v>
      </c>
      <c r="AC342" s="42">
        <f>VLOOKUP($B342,'Biomass&amp;MSW'!$A$39:$V$70,COLUMN(Q$1),FALSE)</f>
        <v>65</v>
      </c>
      <c r="AD342" s="42">
        <f>VLOOKUP($B342,'Biomass&amp;MSW'!$A$39:$V$70,COLUMN(R$1),FALSE)</f>
        <v>60</v>
      </c>
      <c r="AE342" s="42">
        <f>VLOOKUP($B342,'Biomass&amp;MSW'!$A$39:$V$70,COLUMN(S$1),FALSE)</f>
        <v>30</v>
      </c>
      <c r="AF342" s="43">
        <f>VLOOKUP($B342,'Biomass&amp;MSW'!$A$39:$V$70,COLUMN(T$1),FALSE)</f>
        <v>75</v>
      </c>
    </row>
    <row r="343" ht="13.85" spans="1:32">
      <c r="A343" s="27" t="s">
        <v>162</v>
      </c>
      <c r="B343" s="44" t="s">
        <v>100</v>
      </c>
      <c r="C343" s="45"/>
      <c r="D343" s="45"/>
      <c r="E343" s="45"/>
      <c r="F343" s="42"/>
      <c r="G343" s="42"/>
      <c r="H343" s="42"/>
      <c r="I343" s="42"/>
      <c r="J343" s="42"/>
      <c r="K343" s="42"/>
      <c r="L343" s="42"/>
      <c r="M343" s="42"/>
      <c r="N343" s="42">
        <f>VLOOKUP($B343,'Biomass&amp;MSW'!$A$39:$V$70,COLUMN(B$1),FALSE)</f>
        <v>25.65</v>
      </c>
      <c r="O343" s="42">
        <f>VLOOKUP($B343,'Biomass&amp;MSW'!$A$39:$V$70,COLUMN(C$1),FALSE)</f>
        <v>25.65</v>
      </c>
      <c r="P343" s="42">
        <f>VLOOKUP($B343,'Biomass&amp;MSW'!$A$39:$V$70,COLUMN(D$1),FALSE)</f>
        <v>25.65</v>
      </c>
      <c r="Q343" s="42">
        <f>VLOOKUP($B343,'Biomass&amp;MSW'!$A$39:$V$70,COLUMN(E$1),FALSE)</f>
        <v>25.65</v>
      </c>
      <c r="R343" s="42">
        <f>VLOOKUP($B343,'Biomass&amp;MSW'!$A$39:$V$70,COLUMN(F$1),FALSE)</f>
        <v>25.65</v>
      </c>
      <c r="S343" s="42">
        <f>VLOOKUP($B343,'Biomass&amp;MSW'!$A$39:$V$70,COLUMN(G$1),FALSE)</f>
        <v>25.65</v>
      </c>
      <c r="T343" s="42">
        <f>VLOOKUP($B343,'Biomass&amp;MSW'!$A$39:$V$70,COLUMN(H$1),FALSE)</f>
        <v>25.65</v>
      </c>
      <c r="U343" s="42">
        <f>VLOOKUP($B343,'Biomass&amp;MSW'!$A$39:$V$70,COLUMN(I$1),FALSE)</f>
        <v>25.65</v>
      </c>
      <c r="V343" s="42">
        <f>VLOOKUP($B343,'Biomass&amp;MSW'!$A$39:$V$70,COLUMN(J$1),FALSE)</f>
        <v>0</v>
      </c>
      <c r="W343" s="42">
        <f>VLOOKUP($B343,'Biomass&amp;MSW'!$A$39:$V$70,COLUMN(K$1),FALSE)</f>
        <v>0</v>
      </c>
      <c r="X343" s="42">
        <f>VLOOKUP($B343,'Biomass&amp;MSW'!$A$39:$V$70,COLUMN(L$1),FALSE)</f>
        <v>0</v>
      </c>
      <c r="Y343" s="42">
        <f>VLOOKUP($B343,'Biomass&amp;MSW'!$A$39:$V$70,COLUMN(M$1),FALSE)</f>
        <v>0</v>
      </c>
      <c r="Z343" s="42">
        <f>VLOOKUP($B343,'Biomass&amp;MSW'!$A$39:$V$70,COLUMN(N$1),FALSE)</f>
        <v>0</v>
      </c>
      <c r="AA343" s="42">
        <f>VLOOKUP($B343,'Biomass&amp;MSW'!$A$39:$V$70,COLUMN(O$1),FALSE)</f>
        <v>30</v>
      </c>
      <c r="AB343" s="42">
        <f>VLOOKUP($B343,'Biomass&amp;MSW'!$A$39:$V$70,COLUMN(P$1),FALSE)</f>
        <v>15</v>
      </c>
      <c r="AC343" s="42">
        <f>VLOOKUP($B343,'Biomass&amp;MSW'!$A$39:$V$70,COLUMN(Q$1),FALSE)</f>
        <v>59.5</v>
      </c>
      <c r="AD343" s="42">
        <f>VLOOKUP($B343,'Biomass&amp;MSW'!$A$39:$V$70,COLUMN(R$1),FALSE)</f>
        <v>32</v>
      </c>
      <c r="AE343" s="42">
        <f>VLOOKUP($B343,'Biomass&amp;MSW'!$A$39:$V$70,COLUMN(S$1),FALSE)</f>
        <v>15</v>
      </c>
      <c r="AF343" s="43">
        <f>VLOOKUP($B343,'Biomass&amp;MSW'!$A$39:$V$70,COLUMN(T$1),FALSE)</f>
        <v>15</v>
      </c>
    </row>
    <row r="344" ht="13.85" spans="1:32">
      <c r="A344" s="27" t="s">
        <v>162</v>
      </c>
      <c r="B344" s="44" t="s">
        <v>102</v>
      </c>
      <c r="C344" s="45"/>
      <c r="D344" s="45"/>
      <c r="E344" s="45"/>
      <c r="F344" s="42"/>
      <c r="G344" s="42"/>
      <c r="H344" s="42"/>
      <c r="I344" s="42"/>
      <c r="J344" s="42"/>
      <c r="K344" s="42"/>
      <c r="L344" s="42"/>
      <c r="M344" s="42"/>
      <c r="N344" s="42">
        <f>VLOOKUP($B344,'Biomass&amp;MSW'!$A$39:$V$70,COLUMN(B$1),FALSE)</f>
        <v>11.9375</v>
      </c>
      <c r="O344" s="42">
        <f>VLOOKUP($B344,'Biomass&amp;MSW'!$A$39:$V$70,COLUMN(C$1),FALSE)</f>
        <v>11.9375</v>
      </c>
      <c r="P344" s="42">
        <f>VLOOKUP($B344,'Biomass&amp;MSW'!$A$39:$V$70,COLUMN(D$1),FALSE)</f>
        <v>11.9375</v>
      </c>
      <c r="Q344" s="42">
        <f>VLOOKUP($B344,'Biomass&amp;MSW'!$A$39:$V$70,COLUMN(E$1),FALSE)</f>
        <v>11.9375</v>
      </c>
      <c r="R344" s="42">
        <f>VLOOKUP($B344,'Biomass&amp;MSW'!$A$39:$V$70,COLUMN(F$1),FALSE)</f>
        <v>11.9375</v>
      </c>
      <c r="S344" s="42">
        <f>VLOOKUP($B344,'Biomass&amp;MSW'!$A$39:$V$70,COLUMN(G$1),FALSE)</f>
        <v>11.9375</v>
      </c>
      <c r="T344" s="42">
        <f>VLOOKUP($B344,'Biomass&amp;MSW'!$A$39:$V$70,COLUMN(H$1),FALSE)</f>
        <v>11.9375</v>
      </c>
      <c r="U344" s="42">
        <f>VLOOKUP($B344,'Biomass&amp;MSW'!$A$39:$V$70,COLUMN(I$1),FALSE)</f>
        <v>11.9375</v>
      </c>
      <c r="V344" s="42">
        <f>VLOOKUP($B344,'Biomass&amp;MSW'!$A$39:$V$70,COLUMN(J$1),FALSE)</f>
        <v>49</v>
      </c>
      <c r="W344" s="42">
        <f>VLOOKUP($B344,'Biomass&amp;MSW'!$A$39:$V$70,COLUMN(K$1),FALSE)</f>
        <v>36</v>
      </c>
      <c r="X344" s="42">
        <f>VLOOKUP($B344,'Biomass&amp;MSW'!$A$39:$V$70,COLUMN(L$1),FALSE)</f>
        <v>120</v>
      </c>
      <c r="Y344" s="42">
        <f>VLOOKUP($B344,'Biomass&amp;MSW'!$A$39:$V$70,COLUMN(M$1),FALSE)</f>
        <v>30</v>
      </c>
      <c r="Z344" s="42">
        <f>VLOOKUP($B344,'Biomass&amp;MSW'!$A$39:$V$70,COLUMN(N$1),FALSE)</f>
        <v>120</v>
      </c>
      <c r="AA344" s="42">
        <f>VLOOKUP($B344,'Biomass&amp;MSW'!$A$39:$V$70,COLUMN(O$1),FALSE)</f>
        <v>114</v>
      </c>
      <c r="AB344" s="42">
        <f>VLOOKUP($B344,'Biomass&amp;MSW'!$A$39:$V$70,COLUMN(P$1),FALSE)</f>
        <v>30</v>
      </c>
      <c r="AC344" s="42">
        <f>VLOOKUP($B344,'Biomass&amp;MSW'!$A$39:$V$70,COLUMN(Q$1),FALSE)</f>
        <v>0</v>
      </c>
      <c r="AD344" s="42">
        <f>VLOOKUP($B344,'Biomass&amp;MSW'!$A$39:$V$70,COLUMN(R$1),FALSE)</f>
        <v>190</v>
      </c>
      <c r="AE344" s="42">
        <f>VLOOKUP($B344,'Biomass&amp;MSW'!$A$39:$V$70,COLUMN(S$1),FALSE)</f>
        <v>367.2</v>
      </c>
      <c r="AF344" s="43">
        <f>VLOOKUP($B344,'Biomass&amp;MSW'!$A$39:$V$70,COLUMN(T$1),FALSE)</f>
        <v>108.5</v>
      </c>
    </row>
    <row r="345" ht="13.85" spans="1:32">
      <c r="A345" s="27" t="s">
        <v>162</v>
      </c>
      <c r="B345" s="44" t="s">
        <v>104</v>
      </c>
      <c r="C345" s="45"/>
      <c r="D345" s="45"/>
      <c r="E345" s="45"/>
      <c r="F345" s="42"/>
      <c r="G345" s="42"/>
      <c r="H345" s="42"/>
      <c r="I345" s="42"/>
      <c r="J345" s="42"/>
      <c r="K345" s="42"/>
      <c r="L345" s="42"/>
      <c r="M345" s="42"/>
      <c r="N345" s="42">
        <f>VLOOKUP($B345,'Biomass&amp;MSW'!$A$39:$V$70,COLUMN(B$1),FALSE)</f>
        <v>21.375</v>
      </c>
      <c r="O345" s="42">
        <f>VLOOKUP($B345,'Biomass&amp;MSW'!$A$39:$V$70,COLUMN(C$1),FALSE)</f>
        <v>21.375</v>
      </c>
      <c r="P345" s="42">
        <f>VLOOKUP($B345,'Biomass&amp;MSW'!$A$39:$V$70,COLUMN(D$1),FALSE)</f>
        <v>21.375</v>
      </c>
      <c r="Q345" s="42">
        <f>VLOOKUP($B345,'Biomass&amp;MSW'!$A$39:$V$70,COLUMN(E$1),FALSE)</f>
        <v>21.375</v>
      </c>
      <c r="R345" s="42">
        <f>VLOOKUP($B345,'Biomass&amp;MSW'!$A$39:$V$70,COLUMN(F$1),FALSE)</f>
        <v>21.375</v>
      </c>
      <c r="S345" s="42">
        <f>VLOOKUP($B345,'Biomass&amp;MSW'!$A$39:$V$70,COLUMN(G$1),FALSE)</f>
        <v>21.375</v>
      </c>
      <c r="T345" s="42">
        <f>VLOOKUP($B345,'Biomass&amp;MSW'!$A$39:$V$70,COLUMN(H$1),FALSE)</f>
        <v>21.375</v>
      </c>
      <c r="U345" s="42">
        <f>VLOOKUP($B345,'Biomass&amp;MSW'!$A$39:$V$70,COLUMN(I$1),FALSE)</f>
        <v>21.375</v>
      </c>
      <c r="V345" s="42">
        <f>VLOOKUP($B345,'Biomass&amp;MSW'!$A$39:$V$70,COLUMN(J$1),FALSE)</f>
        <v>0</v>
      </c>
      <c r="W345" s="42">
        <f>VLOOKUP($B345,'Biomass&amp;MSW'!$A$39:$V$70,COLUMN(K$1),FALSE)</f>
        <v>0</v>
      </c>
      <c r="X345" s="42">
        <f>VLOOKUP($B345,'Biomass&amp;MSW'!$A$39:$V$70,COLUMN(L$1),FALSE)</f>
        <v>0</v>
      </c>
      <c r="Y345" s="42">
        <f>VLOOKUP($B345,'Biomass&amp;MSW'!$A$39:$V$70,COLUMN(M$1),FALSE)</f>
        <v>0</v>
      </c>
      <c r="Z345" s="42">
        <f>VLOOKUP($B345,'Biomass&amp;MSW'!$A$39:$V$70,COLUMN(N$1),FALSE)</f>
        <v>0</v>
      </c>
      <c r="AA345" s="42">
        <f>VLOOKUP($B345,'Biomass&amp;MSW'!$A$39:$V$70,COLUMN(O$1),FALSE)</f>
        <v>15</v>
      </c>
      <c r="AB345" s="42">
        <f>VLOOKUP($B345,'Biomass&amp;MSW'!$A$39:$V$70,COLUMN(P$1),FALSE)</f>
        <v>0</v>
      </c>
      <c r="AC345" s="42">
        <f>VLOOKUP($B345,'Biomass&amp;MSW'!$A$39:$V$70,COLUMN(Q$1),FALSE)</f>
        <v>0</v>
      </c>
      <c r="AD345" s="42">
        <f>VLOOKUP($B345,'Biomass&amp;MSW'!$A$39:$V$70,COLUMN(R$1),FALSE)</f>
        <v>0</v>
      </c>
      <c r="AE345" s="42">
        <f>VLOOKUP($B345,'Biomass&amp;MSW'!$A$39:$V$70,COLUMN(S$1),FALSE)</f>
        <v>0</v>
      </c>
      <c r="AF345" s="43">
        <f>VLOOKUP($B345,'Biomass&amp;MSW'!$A$39:$V$70,COLUMN(T$1),FALSE)</f>
        <v>0</v>
      </c>
    </row>
    <row r="346" ht="13.85" spans="1:32">
      <c r="A346" s="27" t="s">
        <v>162</v>
      </c>
      <c r="B346" s="44" t="s">
        <v>106</v>
      </c>
      <c r="C346" s="45"/>
      <c r="D346" s="45"/>
      <c r="E346" s="45"/>
      <c r="F346" s="42"/>
      <c r="G346" s="42"/>
      <c r="H346" s="42"/>
      <c r="I346" s="42"/>
      <c r="J346" s="42"/>
      <c r="K346" s="42"/>
      <c r="L346" s="42"/>
      <c r="M346" s="42"/>
      <c r="N346" s="42">
        <f>VLOOKUP($B346,'Biomass&amp;MSW'!$A$39:$V$70,COLUMN(B$1),FALSE)</f>
        <v>5.625</v>
      </c>
      <c r="O346" s="42">
        <f>VLOOKUP($B346,'Biomass&amp;MSW'!$A$39:$V$70,COLUMN(C$1),FALSE)</f>
        <v>5.625</v>
      </c>
      <c r="P346" s="42">
        <f>VLOOKUP($B346,'Biomass&amp;MSW'!$A$39:$V$70,COLUMN(D$1),FALSE)</f>
        <v>5.625</v>
      </c>
      <c r="Q346" s="42">
        <f>VLOOKUP($B346,'Biomass&amp;MSW'!$A$39:$V$70,COLUMN(E$1),FALSE)</f>
        <v>5.625</v>
      </c>
      <c r="R346" s="42">
        <f>VLOOKUP($B346,'Biomass&amp;MSW'!$A$39:$V$70,COLUMN(F$1),FALSE)</f>
        <v>5.625</v>
      </c>
      <c r="S346" s="42">
        <f>VLOOKUP($B346,'Biomass&amp;MSW'!$A$39:$V$70,COLUMN(G$1),FALSE)</f>
        <v>5.625</v>
      </c>
      <c r="T346" s="42">
        <f>VLOOKUP($B346,'Biomass&amp;MSW'!$A$39:$V$70,COLUMN(H$1),FALSE)</f>
        <v>5.625</v>
      </c>
      <c r="U346" s="42">
        <f>VLOOKUP($B346,'Biomass&amp;MSW'!$A$39:$V$70,COLUMN(I$1),FALSE)</f>
        <v>5.625</v>
      </c>
      <c r="V346" s="42">
        <f>VLOOKUP($B346,'Biomass&amp;MSW'!$A$39:$V$70,COLUMN(J$1),FALSE)</f>
        <v>0</v>
      </c>
      <c r="W346" s="42">
        <f>VLOOKUP($B346,'Biomass&amp;MSW'!$A$39:$V$70,COLUMN(K$1),FALSE)</f>
        <v>0</v>
      </c>
      <c r="X346" s="42">
        <f>VLOOKUP($B346,'Biomass&amp;MSW'!$A$39:$V$70,COLUMN(L$1),FALSE)</f>
        <v>0</v>
      </c>
      <c r="Y346" s="42">
        <f>VLOOKUP($B346,'Biomass&amp;MSW'!$A$39:$V$70,COLUMN(M$1),FALSE)</f>
        <v>0</v>
      </c>
      <c r="Z346" s="42">
        <f>VLOOKUP($B346,'Biomass&amp;MSW'!$A$39:$V$70,COLUMN(N$1),FALSE)</f>
        <v>0</v>
      </c>
      <c r="AA346" s="42">
        <f>VLOOKUP($B346,'Biomass&amp;MSW'!$A$39:$V$70,COLUMN(O$1),FALSE)</f>
        <v>0</v>
      </c>
      <c r="AB346" s="42">
        <f>VLOOKUP($B346,'Biomass&amp;MSW'!$A$39:$V$70,COLUMN(P$1),FALSE)</f>
        <v>30</v>
      </c>
      <c r="AC346" s="42">
        <f>VLOOKUP($B346,'Biomass&amp;MSW'!$A$39:$V$70,COLUMN(Q$1),FALSE)</f>
        <v>0</v>
      </c>
      <c r="AD346" s="42">
        <f>VLOOKUP($B346,'Biomass&amp;MSW'!$A$39:$V$70,COLUMN(R$1),FALSE)</f>
        <v>0</v>
      </c>
      <c r="AE346" s="42">
        <f>VLOOKUP($B346,'Biomass&amp;MSW'!$A$39:$V$70,COLUMN(S$1),FALSE)</f>
        <v>0</v>
      </c>
      <c r="AF346" s="43">
        <f>VLOOKUP($B346,'Biomass&amp;MSW'!$A$39:$V$70,COLUMN(T$1),FALSE)</f>
        <v>0</v>
      </c>
    </row>
    <row r="347" ht="13.85" spans="1:32">
      <c r="A347" s="27" t="s">
        <v>162</v>
      </c>
      <c r="B347" s="44" t="s">
        <v>108</v>
      </c>
      <c r="C347" s="45"/>
      <c r="D347" s="45"/>
      <c r="E347" s="45"/>
      <c r="F347" s="42"/>
      <c r="G347" s="42"/>
      <c r="H347" s="42"/>
      <c r="I347" s="42"/>
      <c r="J347" s="42"/>
      <c r="K347" s="42"/>
      <c r="L347" s="42"/>
      <c r="M347" s="42"/>
      <c r="N347" s="42">
        <f>VLOOKUP($B347,'Biomass&amp;MSW'!$A$39:$V$70,COLUMN(B$1),FALSE)</f>
        <v>21.25</v>
      </c>
      <c r="O347" s="42">
        <f>VLOOKUP($B347,'Biomass&amp;MSW'!$A$39:$V$70,COLUMN(C$1),FALSE)</f>
        <v>21.25</v>
      </c>
      <c r="P347" s="42">
        <f>VLOOKUP($B347,'Biomass&amp;MSW'!$A$39:$V$70,COLUMN(D$1),FALSE)</f>
        <v>21.25</v>
      </c>
      <c r="Q347" s="42">
        <f>VLOOKUP($B347,'Biomass&amp;MSW'!$A$39:$V$70,COLUMN(E$1),FALSE)</f>
        <v>21.25</v>
      </c>
      <c r="R347" s="42">
        <f>VLOOKUP($B347,'Biomass&amp;MSW'!$A$39:$V$70,COLUMN(F$1),FALSE)</f>
        <v>21.25</v>
      </c>
      <c r="S347" s="42">
        <f>VLOOKUP($B347,'Biomass&amp;MSW'!$A$39:$V$70,COLUMN(G$1),FALSE)</f>
        <v>21.25</v>
      </c>
      <c r="T347" s="42">
        <f>VLOOKUP($B347,'Biomass&amp;MSW'!$A$39:$V$70,COLUMN(H$1),FALSE)</f>
        <v>21.25</v>
      </c>
      <c r="U347" s="42">
        <f>VLOOKUP($B347,'Biomass&amp;MSW'!$A$39:$V$70,COLUMN(I$1),FALSE)</f>
        <v>21.25</v>
      </c>
      <c r="V347" s="42">
        <f>VLOOKUP($B347,'Biomass&amp;MSW'!$A$39:$V$70,COLUMN(J$1),FALSE)</f>
        <v>33</v>
      </c>
      <c r="W347" s="42">
        <f>VLOOKUP($B347,'Biomass&amp;MSW'!$A$39:$V$70,COLUMN(K$1),FALSE)</f>
        <v>9</v>
      </c>
      <c r="X347" s="42">
        <f>VLOOKUP($B347,'Biomass&amp;MSW'!$A$39:$V$70,COLUMN(L$1),FALSE)</f>
        <v>195</v>
      </c>
      <c r="Y347" s="42">
        <f>VLOOKUP($B347,'Biomass&amp;MSW'!$A$39:$V$70,COLUMN(M$1),FALSE)</f>
        <v>112</v>
      </c>
      <c r="Z347" s="42">
        <f>VLOOKUP($B347,'Biomass&amp;MSW'!$A$39:$V$70,COLUMN(N$1),FALSE)</f>
        <v>131</v>
      </c>
      <c r="AA347" s="42">
        <f>VLOOKUP($B347,'Biomass&amp;MSW'!$A$39:$V$70,COLUMN(O$1),FALSE)</f>
        <v>42</v>
      </c>
      <c r="AB347" s="42">
        <f>VLOOKUP($B347,'Biomass&amp;MSW'!$A$39:$V$70,COLUMN(P$1),FALSE)</f>
        <v>90</v>
      </c>
      <c r="AC347" s="42">
        <f>VLOOKUP($B347,'Biomass&amp;MSW'!$A$39:$V$70,COLUMN(Q$1),FALSE)</f>
        <v>179</v>
      </c>
      <c r="AD347" s="42">
        <f>VLOOKUP($B347,'Biomass&amp;MSW'!$A$39:$V$70,COLUMN(R$1),FALSE)</f>
        <v>140</v>
      </c>
      <c r="AE347" s="42">
        <f>VLOOKUP($B347,'Biomass&amp;MSW'!$A$39:$V$70,COLUMN(S$1),FALSE)</f>
        <v>183</v>
      </c>
      <c r="AF347" s="43">
        <f>VLOOKUP($B347,'Biomass&amp;MSW'!$A$39:$V$70,COLUMN(T$1),FALSE)</f>
        <v>300</v>
      </c>
    </row>
    <row r="348" ht="13.85" spans="1:32">
      <c r="A348" s="27" t="s">
        <v>162</v>
      </c>
      <c r="B348" s="44" t="s">
        <v>110</v>
      </c>
      <c r="C348" s="45"/>
      <c r="D348" s="45"/>
      <c r="E348" s="45"/>
      <c r="F348" s="42"/>
      <c r="G348" s="42"/>
      <c r="H348" s="42"/>
      <c r="I348" s="42"/>
      <c r="J348" s="42"/>
      <c r="K348" s="42"/>
      <c r="L348" s="42"/>
      <c r="M348" s="42"/>
      <c r="N348" s="42">
        <f>VLOOKUP($B348,'Biomass&amp;MSW'!$A$39:$V$70,COLUMN(B$1),FALSE)</f>
        <v>54.875</v>
      </c>
      <c r="O348" s="42">
        <f>VLOOKUP($B348,'Biomass&amp;MSW'!$A$39:$V$70,COLUMN(C$1),FALSE)</f>
        <v>54.875</v>
      </c>
      <c r="P348" s="42">
        <f>VLOOKUP($B348,'Biomass&amp;MSW'!$A$39:$V$70,COLUMN(D$1),FALSE)</f>
        <v>54.875</v>
      </c>
      <c r="Q348" s="42">
        <f>VLOOKUP($B348,'Biomass&amp;MSW'!$A$39:$V$70,COLUMN(E$1),FALSE)</f>
        <v>54.875</v>
      </c>
      <c r="R348" s="42">
        <f>VLOOKUP($B348,'Biomass&amp;MSW'!$A$39:$V$70,COLUMN(F$1),FALSE)</f>
        <v>54.875</v>
      </c>
      <c r="S348" s="42">
        <f>VLOOKUP($B348,'Biomass&amp;MSW'!$A$39:$V$70,COLUMN(G$1),FALSE)</f>
        <v>54.875</v>
      </c>
      <c r="T348" s="42">
        <f>VLOOKUP($B348,'Biomass&amp;MSW'!$A$39:$V$70,COLUMN(H$1),FALSE)</f>
        <v>54.875</v>
      </c>
      <c r="U348" s="42">
        <f>VLOOKUP($B348,'Biomass&amp;MSW'!$A$39:$V$70,COLUMN(I$1),FALSE)</f>
        <v>54.875</v>
      </c>
      <c r="V348" s="42">
        <f>VLOOKUP($B348,'Biomass&amp;MSW'!$A$39:$V$70,COLUMN(J$1),FALSE)</f>
        <v>36</v>
      </c>
      <c r="W348" s="42">
        <f>VLOOKUP($B348,'Biomass&amp;MSW'!$A$39:$V$70,COLUMN(K$1),FALSE)</f>
        <v>0</v>
      </c>
      <c r="X348" s="42">
        <f>VLOOKUP($B348,'Biomass&amp;MSW'!$A$39:$V$70,COLUMN(L$1),FALSE)</f>
        <v>15</v>
      </c>
      <c r="Y348" s="42">
        <f>VLOOKUP($B348,'Biomass&amp;MSW'!$A$39:$V$70,COLUMN(M$1),FALSE)</f>
        <v>15</v>
      </c>
      <c r="Z348" s="42">
        <f>VLOOKUP($B348,'Biomass&amp;MSW'!$A$39:$V$70,COLUMN(N$1),FALSE)</f>
        <v>0</v>
      </c>
      <c r="AA348" s="42">
        <f>VLOOKUP($B348,'Biomass&amp;MSW'!$A$39:$V$70,COLUMN(O$1),FALSE)</f>
        <v>34</v>
      </c>
      <c r="AB348" s="42">
        <f>VLOOKUP($B348,'Biomass&amp;MSW'!$A$39:$V$70,COLUMN(P$1),FALSE)</f>
        <v>0</v>
      </c>
      <c r="AC348" s="42">
        <f>VLOOKUP($B348,'Biomass&amp;MSW'!$A$39:$V$70,COLUMN(Q$1),FALSE)</f>
        <v>0</v>
      </c>
      <c r="AD348" s="42">
        <f>VLOOKUP($B348,'Biomass&amp;MSW'!$A$39:$V$70,COLUMN(R$1),FALSE)</f>
        <v>12</v>
      </c>
      <c r="AE348" s="42">
        <f>VLOOKUP($B348,'Biomass&amp;MSW'!$A$39:$V$70,COLUMN(S$1),FALSE)</f>
        <v>60</v>
      </c>
      <c r="AF348" s="43">
        <f>VLOOKUP($B348,'Biomass&amp;MSW'!$A$39:$V$70,COLUMN(T$1),FALSE)</f>
        <v>18</v>
      </c>
    </row>
    <row r="349" ht="13.85" spans="1:32">
      <c r="A349" s="27" t="s">
        <v>162</v>
      </c>
      <c r="B349" s="44" t="s">
        <v>112</v>
      </c>
      <c r="C349" s="45"/>
      <c r="D349" s="45"/>
      <c r="E349" s="45"/>
      <c r="F349" s="42"/>
      <c r="G349" s="42"/>
      <c r="H349" s="42"/>
      <c r="I349" s="42"/>
      <c r="J349" s="42"/>
      <c r="K349" s="42"/>
      <c r="L349" s="42"/>
      <c r="M349" s="42"/>
      <c r="N349" s="42">
        <f>VLOOKUP($B349,'Biomass&amp;MSW'!$A$39:$V$70,COLUMN(B$1),FALSE)</f>
        <v>36.25</v>
      </c>
      <c r="O349" s="42">
        <f>VLOOKUP($B349,'Biomass&amp;MSW'!$A$39:$V$70,COLUMN(C$1),FALSE)</f>
        <v>36.25</v>
      </c>
      <c r="P349" s="42">
        <f>VLOOKUP($B349,'Biomass&amp;MSW'!$A$39:$V$70,COLUMN(D$1),FALSE)</f>
        <v>36.25</v>
      </c>
      <c r="Q349" s="42">
        <f>VLOOKUP($B349,'Biomass&amp;MSW'!$A$39:$V$70,COLUMN(E$1),FALSE)</f>
        <v>36.25</v>
      </c>
      <c r="R349" s="42">
        <f>VLOOKUP($B349,'Biomass&amp;MSW'!$A$39:$V$70,COLUMN(F$1),FALSE)</f>
        <v>36.25</v>
      </c>
      <c r="S349" s="42">
        <f>VLOOKUP($B349,'Biomass&amp;MSW'!$A$39:$V$70,COLUMN(G$1),FALSE)</f>
        <v>36.25</v>
      </c>
      <c r="T349" s="42">
        <f>VLOOKUP($B349,'Biomass&amp;MSW'!$A$39:$V$70,COLUMN(H$1),FALSE)</f>
        <v>36.25</v>
      </c>
      <c r="U349" s="42">
        <f>VLOOKUP($B349,'Biomass&amp;MSW'!$A$39:$V$70,COLUMN(I$1),FALSE)</f>
        <v>36.25</v>
      </c>
      <c r="V349" s="42">
        <f>VLOOKUP($B349,'Biomass&amp;MSW'!$A$39:$V$70,COLUMN(J$1),FALSE)</f>
        <v>0</v>
      </c>
      <c r="W349" s="42">
        <f>VLOOKUP($B349,'Biomass&amp;MSW'!$A$39:$V$70,COLUMN(K$1),FALSE)</f>
        <v>25.9</v>
      </c>
      <c r="X349" s="42">
        <f>VLOOKUP($B349,'Biomass&amp;MSW'!$A$39:$V$70,COLUMN(L$1),FALSE)</f>
        <v>0</v>
      </c>
      <c r="Y349" s="42">
        <f>VLOOKUP($B349,'Biomass&amp;MSW'!$A$39:$V$70,COLUMN(M$1),FALSE)</f>
        <v>126</v>
      </c>
      <c r="Z349" s="42">
        <f>VLOOKUP($B349,'Biomass&amp;MSW'!$A$39:$V$70,COLUMN(N$1),FALSE)</f>
        <v>60</v>
      </c>
      <c r="AA349" s="42">
        <f>VLOOKUP($B349,'Biomass&amp;MSW'!$A$39:$V$70,COLUMN(O$1),FALSE)</f>
        <v>80</v>
      </c>
      <c r="AB349" s="42">
        <f>VLOOKUP($B349,'Biomass&amp;MSW'!$A$39:$V$70,COLUMN(P$1),FALSE)</f>
        <v>30</v>
      </c>
      <c r="AC349" s="42">
        <f>VLOOKUP($B349,'Biomass&amp;MSW'!$A$39:$V$70,COLUMN(Q$1),FALSE)</f>
        <v>0</v>
      </c>
      <c r="AD349" s="42">
        <f>VLOOKUP($B349,'Biomass&amp;MSW'!$A$39:$V$70,COLUMN(R$1),FALSE)</f>
        <v>50</v>
      </c>
      <c r="AE349" s="42">
        <f>VLOOKUP($B349,'Biomass&amp;MSW'!$A$39:$V$70,COLUMN(S$1),FALSE)</f>
        <v>0</v>
      </c>
      <c r="AF349" s="43">
        <f>VLOOKUP($B349,'Biomass&amp;MSW'!$A$39:$V$70,COLUMN(T$1),FALSE)</f>
        <v>140</v>
      </c>
    </row>
    <row r="350" ht="13.85" spans="1:32">
      <c r="A350" s="27" t="s">
        <v>162</v>
      </c>
      <c r="B350" s="44" t="s">
        <v>114</v>
      </c>
      <c r="C350" s="45"/>
      <c r="D350" s="45"/>
      <c r="E350" s="45"/>
      <c r="F350" s="42"/>
      <c r="G350" s="42"/>
      <c r="H350" s="42"/>
      <c r="I350" s="42"/>
      <c r="J350" s="42"/>
      <c r="K350" s="42"/>
      <c r="L350" s="42"/>
      <c r="M350" s="42"/>
      <c r="N350" s="42">
        <f>VLOOKUP($B350,'Biomass&amp;MSW'!$A$39:$V$70,COLUMN(B$1),FALSE)</f>
        <v>14.7625</v>
      </c>
      <c r="O350" s="42">
        <f>VLOOKUP($B350,'Biomass&amp;MSW'!$A$39:$V$70,COLUMN(C$1),FALSE)</f>
        <v>14.7625</v>
      </c>
      <c r="P350" s="42">
        <f>VLOOKUP($B350,'Biomass&amp;MSW'!$A$39:$V$70,COLUMN(D$1),FALSE)</f>
        <v>14.7625</v>
      </c>
      <c r="Q350" s="42">
        <f>VLOOKUP($B350,'Biomass&amp;MSW'!$A$39:$V$70,COLUMN(E$1),FALSE)</f>
        <v>14.7625</v>
      </c>
      <c r="R350" s="42">
        <f>VLOOKUP($B350,'Biomass&amp;MSW'!$A$39:$V$70,COLUMN(F$1),FALSE)</f>
        <v>14.7625</v>
      </c>
      <c r="S350" s="42">
        <f>VLOOKUP($B350,'Biomass&amp;MSW'!$A$39:$V$70,COLUMN(G$1),FALSE)</f>
        <v>14.7625</v>
      </c>
      <c r="T350" s="42">
        <f>VLOOKUP($B350,'Biomass&amp;MSW'!$A$39:$V$70,COLUMN(H$1),FALSE)</f>
        <v>14.7625</v>
      </c>
      <c r="U350" s="42">
        <f>VLOOKUP($B350,'Biomass&amp;MSW'!$A$39:$V$70,COLUMN(I$1),FALSE)</f>
        <v>14.7625</v>
      </c>
      <c r="V350" s="42">
        <f>VLOOKUP($B350,'Biomass&amp;MSW'!$A$39:$V$70,COLUMN(J$1),FALSE)</f>
        <v>0</v>
      </c>
      <c r="W350" s="42">
        <f>VLOOKUP($B350,'Biomass&amp;MSW'!$A$39:$V$70,COLUMN(K$1),FALSE)</f>
        <v>48</v>
      </c>
      <c r="X350" s="42">
        <f>VLOOKUP($B350,'Biomass&amp;MSW'!$A$39:$V$70,COLUMN(L$1),FALSE)</f>
        <v>15</v>
      </c>
      <c r="Y350" s="42">
        <f>VLOOKUP($B350,'Biomass&amp;MSW'!$A$39:$V$70,COLUMN(M$1),FALSE)</f>
        <v>60</v>
      </c>
      <c r="Z350" s="42">
        <f>VLOOKUP($B350,'Biomass&amp;MSW'!$A$39:$V$70,COLUMN(N$1),FALSE)</f>
        <v>30</v>
      </c>
      <c r="AA350" s="42">
        <f>VLOOKUP($B350,'Biomass&amp;MSW'!$A$39:$V$70,COLUMN(O$1),FALSE)</f>
        <v>62.1</v>
      </c>
      <c r="AB350" s="42">
        <f>VLOOKUP($B350,'Biomass&amp;MSW'!$A$39:$V$70,COLUMN(P$1),FALSE)</f>
        <v>0</v>
      </c>
      <c r="AC350" s="42">
        <f>VLOOKUP($B350,'Biomass&amp;MSW'!$A$39:$V$70,COLUMN(Q$1),FALSE)</f>
        <v>15</v>
      </c>
      <c r="AD350" s="42">
        <f>VLOOKUP($B350,'Biomass&amp;MSW'!$A$39:$V$70,COLUMN(R$1),FALSE)</f>
        <v>30</v>
      </c>
      <c r="AE350" s="42">
        <f>VLOOKUP($B350,'Biomass&amp;MSW'!$A$39:$V$70,COLUMN(S$1),FALSE)</f>
        <v>20</v>
      </c>
      <c r="AF350" s="43">
        <f>VLOOKUP($B350,'Biomass&amp;MSW'!$A$39:$V$70,COLUMN(T$1),FALSE)</f>
        <v>15</v>
      </c>
    </row>
    <row r="351" ht="13.85" spans="1:32">
      <c r="A351" s="27" t="s">
        <v>162</v>
      </c>
      <c r="B351" s="44" t="s">
        <v>116</v>
      </c>
      <c r="C351" s="45"/>
      <c r="D351" s="45"/>
      <c r="E351" s="45"/>
      <c r="F351" s="42"/>
      <c r="G351" s="42"/>
      <c r="H351" s="42"/>
      <c r="I351" s="42"/>
      <c r="J351" s="42"/>
      <c r="K351" s="42"/>
      <c r="L351" s="42"/>
      <c r="M351" s="42"/>
      <c r="N351" s="42">
        <f>VLOOKUP($B351,'Biomass&amp;MSW'!$A$39:$V$70,COLUMN(B$1),FALSE)</f>
        <v>8.7375</v>
      </c>
      <c r="O351" s="42">
        <f>VLOOKUP($B351,'Biomass&amp;MSW'!$A$39:$V$70,COLUMN(C$1),FALSE)</f>
        <v>8.7375</v>
      </c>
      <c r="P351" s="42">
        <f>VLOOKUP($B351,'Biomass&amp;MSW'!$A$39:$V$70,COLUMN(D$1),FALSE)</f>
        <v>8.7375</v>
      </c>
      <c r="Q351" s="42">
        <f>VLOOKUP($B351,'Biomass&amp;MSW'!$A$39:$V$70,COLUMN(E$1),FALSE)</f>
        <v>8.7375</v>
      </c>
      <c r="R351" s="42">
        <f>VLOOKUP($B351,'Biomass&amp;MSW'!$A$39:$V$70,COLUMN(F$1),FALSE)</f>
        <v>8.7375</v>
      </c>
      <c r="S351" s="42">
        <f>VLOOKUP($B351,'Biomass&amp;MSW'!$A$39:$V$70,COLUMN(G$1),FALSE)</f>
        <v>8.7375</v>
      </c>
      <c r="T351" s="42">
        <f>VLOOKUP($B351,'Biomass&amp;MSW'!$A$39:$V$70,COLUMN(H$1),FALSE)</f>
        <v>8.7375</v>
      </c>
      <c r="U351" s="42">
        <f>VLOOKUP($B351,'Biomass&amp;MSW'!$A$39:$V$70,COLUMN(I$1),FALSE)</f>
        <v>8.7375</v>
      </c>
      <c r="V351" s="42">
        <f>VLOOKUP($B351,'Biomass&amp;MSW'!$A$39:$V$70,COLUMN(J$1),FALSE)</f>
        <v>0</v>
      </c>
      <c r="W351" s="42">
        <f>VLOOKUP($B351,'Biomass&amp;MSW'!$A$39:$V$70,COLUMN(K$1),FALSE)</f>
        <v>0</v>
      </c>
      <c r="X351" s="42">
        <f>VLOOKUP($B351,'Biomass&amp;MSW'!$A$39:$V$70,COLUMN(L$1),FALSE)</f>
        <v>100</v>
      </c>
      <c r="Y351" s="42">
        <f>VLOOKUP($B351,'Biomass&amp;MSW'!$A$39:$V$70,COLUMN(M$1),FALSE)</f>
        <v>0</v>
      </c>
      <c r="Z351" s="42">
        <f>VLOOKUP($B351,'Biomass&amp;MSW'!$A$39:$V$70,COLUMN(N$1),FALSE)</f>
        <v>0</v>
      </c>
      <c r="AA351" s="42">
        <f>VLOOKUP($B351,'Biomass&amp;MSW'!$A$39:$V$70,COLUMN(O$1),FALSE)</f>
        <v>0</v>
      </c>
      <c r="AB351" s="42">
        <f>VLOOKUP($B351,'Biomass&amp;MSW'!$A$39:$V$70,COLUMN(P$1),FALSE)</f>
        <v>0</v>
      </c>
      <c r="AC351" s="42">
        <f>VLOOKUP($B351,'Biomass&amp;MSW'!$A$39:$V$70,COLUMN(Q$1),FALSE)</f>
        <v>0</v>
      </c>
      <c r="AD351" s="42">
        <f>VLOOKUP($B351,'Biomass&amp;MSW'!$A$39:$V$70,COLUMN(R$1),FALSE)</f>
        <v>0</v>
      </c>
      <c r="AE351" s="42">
        <f>VLOOKUP($B351,'Biomass&amp;MSW'!$A$39:$V$70,COLUMN(S$1),FALSE)</f>
        <v>0</v>
      </c>
      <c r="AF351" s="43">
        <f>VLOOKUP($B351,'Biomass&amp;MSW'!$A$39:$V$70,COLUMN(T$1),FALSE)</f>
        <v>14.2</v>
      </c>
    </row>
    <row r="352" ht="13.85" spans="1:32">
      <c r="A352" s="27" t="s">
        <v>162</v>
      </c>
      <c r="B352" s="44" t="s">
        <v>118</v>
      </c>
      <c r="C352" s="45"/>
      <c r="D352" s="45"/>
      <c r="E352" s="45"/>
      <c r="F352" s="42"/>
      <c r="G352" s="42"/>
      <c r="H352" s="42"/>
      <c r="I352" s="42"/>
      <c r="J352" s="42"/>
      <c r="K352" s="42"/>
      <c r="L352" s="42"/>
      <c r="M352" s="42"/>
      <c r="N352" s="42">
        <f>VLOOKUP($B352,'Biomass&amp;MSW'!$A$39:$V$70,COLUMN(B$1),FALSE)</f>
        <v>12.5</v>
      </c>
      <c r="O352" s="42">
        <f>VLOOKUP($B352,'Biomass&amp;MSW'!$A$39:$V$70,COLUMN(C$1),FALSE)</f>
        <v>12.5</v>
      </c>
      <c r="P352" s="42">
        <f>VLOOKUP($B352,'Biomass&amp;MSW'!$A$39:$V$70,COLUMN(D$1),FALSE)</f>
        <v>12.5</v>
      </c>
      <c r="Q352" s="42">
        <f>VLOOKUP($B352,'Biomass&amp;MSW'!$A$39:$V$70,COLUMN(E$1),FALSE)</f>
        <v>12.5</v>
      </c>
      <c r="R352" s="42">
        <f>VLOOKUP($B352,'Biomass&amp;MSW'!$A$39:$V$70,COLUMN(F$1),FALSE)</f>
        <v>12.5</v>
      </c>
      <c r="S352" s="42">
        <f>VLOOKUP($B352,'Biomass&amp;MSW'!$A$39:$V$70,COLUMN(G$1),FALSE)</f>
        <v>12.5</v>
      </c>
      <c r="T352" s="42">
        <f>VLOOKUP($B352,'Biomass&amp;MSW'!$A$39:$V$70,COLUMN(H$1),FALSE)</f>
        <v>12.5</v>
      </c>
      <c r="U352" s="42">
        <f>VLOOKUP($B352,'Biomass&amp;MSW'!$A$39:$V$70,COLUMN(I$1),FALSE)</f>
        <v>12.5</v>
      </c>
      <c r="V352" s="42">
        <f>VLOOKUP($B352,'Biomass&amp;MSW'!$A$39:$V$70,COLUMN(J$1),FALSE)</f>
        <v>0</v>
      </c>
      <c r="W352" s="42">
        <f>VLOOKUP($B352,'Biomass&amp;MSW'!$A$39:$V$70,COLUMN(K$1),FALSE)</f>
        <v>131.2</v>
      </c>
      <c r="X352" s="42">
        <f>VLOOKUP($B352,'Biomass&amp;MSW'!$A$39:$V$70,COLUMN(L$1),FALSE)</f>
        <v>30</v>
      </c>
      <c r="Y352" s="42">
        <f>VLOOKUP($B352,'Biomass&amp;MSW'!$A$39:$V$70,COLUMN(M$1),FALSE)</f>
        <v>0</v>
      </c>
      <c r="Z352" s="42">
        <f>VLOOKUP($B352,'Biomass&amp;MSW'!$A$39:$V$70,COLUMN(N$1),FALSE)</f>
        <v>31</v>
      </c>
      <c r="AA352" s="42">
        <f>VLOOKUP($B352,'Biomass&amp;MSW'!$A$39:$V$70,COLUMN(O$1),FALSE)</f>
        <v>0</v>
      </c>
      <c r="AB352" s="42">
        <f>VLOOKUP($B352,'Biomass&amp;MSW'!$A$39:$V$70,COLUMN(P$1),FALSE)</f>
        <v>60</v>
      </c>
      <c r="AC352" s="42">
        <f>VLOOKUP($B352,'Biomass&amp;MSW'!$A$39:$V$70,COLUMN(Q$1),FALSE)</f>
        <v>0</v>
      </c>
      <c r="AD352" s="42">
        <f>VLOOKUP($B352,'Biomass&amp;MSW'!$A$39:$V$70,COLUMN(R$1),FALSE)</f>
        <v>86</v>
      </c>
      <c r="AE352" s="42">
        <f>VLOOKUP($B352,'Biomass&amp;MSW'!$A$39:$V$70,COLUMN(S$1),FALSE)</f>
        <v>120</v>
      </c>
      <c r="AF352" s="43">
        <f>VLOOKUP($B352,'Biomass&amp;MSW'!$A$39:$V$70,COLUMN(T$1),FALSE)</f>
        <v>67</v>
      </c>
    </row>
    <row r="353" ht="13.85" spans="1:32">
      <c r="A353" s="27" t="s">
        <v>162</v>
      </c>
      <c r="B353" s="44" t="s">
        <v>120</v>
      </c>
      <c r="C353" s="45"/>
      <c r="D353" s="45"/>
      <c r="E353" s="45"/>
      <c r="F353" s="42"/>
      <c r="G353" s="42"/>
      <c r="H353" s="42"/>
      <c r="I353" s="42"/>
      <c r="J353" s="42"/>
      <c r="K353" s="42"/>
      <c r="L353" s="42"/>
      <c r="M353" s="42"/>
      <c r="N353" s="42">
        <f>VLOOKUP($B353,'Biomass&amp;MSW'!$A$39:$V$70,COLUMN(B$1),FALSE)</f>
        <v>162.225</v>
      </c>
      <c r="O353" s="42">
        <f>VLOOKUP($B353,'Biomass&amp;MSW'!$A$39:$V$70,COLUMN(C$1),FALSE)</f>
        <v>162.225</v>
      </c>
      <c r="P353" s="42">
        <f>VLOOKUP($B353,'Biomass&amp;MSW'!$A$39:$V$70,COLUMN(D$1),FALSE)</f>
        <v>162.225</v>
      </c>
      <c r="Q353" s="42">
        <f>VLOOKUP($B353,'Biomass&amp;MSW'!$A$39:$V$70,COLUMN(E$1),FALSE)</f>
        <v>162.225</v>
      </c>
      <c r="R353" s="42">
        <f>VLOOKUP($B353,'Biomass&amp;MSW'!$A$39:$V$70,COLUMN(F$1),FALSE)</f>
        <v>162.225</v>
      </c>
      <c r="S353" s="42">
        <f>VLOOKUP($B353,'Biomass&amp;MSW'!$A$39:$V$70,COLUMN(G$1),FALSE)</f>
        <v>162.225</v>
      </c>
      <c r="T353" s="42">
        <f>VLOOKUP($B353,'Biomass&amp;MSW'!$A$39:$V$70,COLUMN(H$1),FALSE)</f>
        <v>162.225</v>
      </c>
      <c r="U353" s="42">
        <f>VLOOKUP($B353,'Biomass&amp;MSW'!$A$39:$V$70,COLUMN(I$1),FALSE)</f>
        <v>162.225</v>
      </c>
      <c r="V353" s="42">
        <f>VLOOKUP($B353,'Biomass&amp;MSW'!$A$39:$V$70,COLUMN(J$1),FALSE)</f>
        <v>0</v>
      </c>
      <c r="W353" s="42">
        <f>VLOOKUP($B353,'Biomass&amp;MSW'!$A$39:$V$70,COLUMN(K$1),FALSE)</f>
        <v>0</v>
      </c>
      <c r="X353" s="42">
        <f>VLOOKUP($B353,'Biomass&amp;MSW'!$A$39:$V$70,COLUMN(L$1),FALSE)</f>
        <v>0</v>
      </c>
      <c r="Y353" s="42">
        <f>VLOOKUP($B353,'Biomass&amp;MSW'!$A$39:$V$70,COLUMN(M$1),FALSE)</f>
        <v>0</v>
      </c>
      <c r="Z353" s="42">
        <f>VLOOKUP($B353,'Biomass&amp;MSW'!$A$39:$V$70,COLUMN(N$1),FALSE)</f>
        <v>0</v>
      </c>
      <c r="AA353" s="42">
        <f>VLOOKUP($B353,'Biomass&amp;MSW'!$A$39:$V$70,COLUMN(O$1),FALSE)</f>
        <v>0</v>
      </c>
      <c r="AB353" s="42">
        <f>VLOOKUP($B353,'Biomass&amp;MSW'!$A$39:$V$70,COLUMN(P$1),FALSE)</f>
        <v>0</v>
      </c>
      <c r="AC353" s="42">
        <f>VLOOKUP($B353,'Biomass&amp;MSW'!$A$39:$V$70,COLUMN(Q$1),FALSE)</f>
        <v>0</v>
      </c>
      <c r="AD353" s="42">
        <f>VLOOKUP($B353,'Biomass&amp;MSW'!$A$39:$V$70,COLUMN(R$1),FALSE)</f>
        <v>0</v>
      </c>
      <c r="AE353" s="42">
        <f>VLOOKUP($B353,'Biomass&amp;MSW'!$A$39:$V$70,COLUMN(S$1),FALSE)</f>
        <v>0</v>
      </c>
      <c r="AF353" s="43">
        <f>VLOOKUP($B353,'Biomass&amp;MSW'!$A$39:$V$70,COLUMN(T$1),FALSE)</f>
        <v>0</v>
      </c>
    </row>
    <row r="354" ht="13.85" spans="1:32">
      <c r="A354" s="27" t="s">
        <v>162</v>
      </c>
      <c r="B354" s="44" t="s">
        <v>122</v>
      </c>
      <c r="C354" s="45"/>
      <c r="D354" s="45"/>
      <c r="E354" s="45"/>
      <c r="F354" s="42"/>
      <c r="G354" s="42"/>
      <c r="H354" s="42"/>
      <c r="I354" s="42"/>
      <c r="J354" s="42"/>
      <c r="K354" s="42"/>
      <c r="L354" s="42"/>
      <c r="M354" s="42"/>
      <c r="N354" s="42">
        <f>VLOOKUP($B354,'Biomass&amp;MSW'!$A$39:$V$70,COLUMN(B$1),FALSE)</f>
        <v>0</v>
      </c>
      <c r="O354" s="42">
        <f>VLOOKUP($B354,'Biomass&amp;MSW'!$A$39:$V$70,COLUMN(C$1),FALSE)</f>
        <v>0</v>
      </c>
      <c r="P354" s="42">
        <f>VLOOKUP($B354,'Biomass&amp;MSW'!$A$39:$V$70,COLUMN(D$1),FALSE)</f>
        <v>0</v>
      </c>
      <c r="Q354" s="42">
        <f>VLOOKUP($B354,'Biomass&amp;MSW'!$A$39:$V$70,COLUMN(E$1),FALSE)</f>
        <v>0</v>
      </c>
      <c r="R354" s="42">
        <f>VLOOKUP($B354,'Biomass&amp;MSW'!$A$39:$V$70,COLUMN(F$1),FALSE)</f>
        <v>0</v>
      </c>
      <c r="S354" s="42">
        <f>VLOOKUP($B354,'Biomass&amp;MSW'!$A$39:$V$70,COLUMN(G$1),FALSE)</f>
        <v>0</v>
      </c>
      <c r="T354" s="42">
        <f>VLOOKUP($B354,'Biomass&amp;MSW'!$A$39:$V$70,COLUMN(H$1),FALSE)</f>
        <v>0</v>
      </c>
      <c r="U354" s="42">
        <f>VLOOKUP($B354,'Biomass&amp;MSW'!$A$39:$V$70,COLUMN(I$1),FALSE)</f>
        <v>0</v>
      </c>
      <c r="V354" s="42">
        <f>VLOOKUP($B354,'Biomass&amp;MSW'!$A$39:$V$70,COLUMN(J$1),FALSE)</f>
        <v>0</v>
      </c>
      <c r="W354" s="42">
        <f>VLOOKUP($B354,'Biomass&amp;MSW'!$A$39:$V$70,COLUMN(K$1),FALSE)</f>
        <v>0</v>
      </c>
      <c r="X354" s="42">
        <f>VLOOKUP($B354,'Biomass&amp;MSW'!$A$39:$V$70,COLUMN(L$1),FALSE)</f>
        <v>0</v>
      </c>
      <c r="Y354" s="42">
        <f>VLOOKUP($B354,'Biomass&amp;MSW'!$A$39:$V$70,COLUMN(M$1),FALSE)</f>
        <v>0</v>
      </c>
      <c r="Z354" s="42">
        <f>VLOOKUP($B354,'Biomass&amp;MSW'!$A$39:$V$70,COLUMN(N$1),FALSE)</f>
        <v>30</v>
      </c>
      <c r="AA354" s="42">
        <f>VLOOKUP($B354,'Biomass&amp;MSW'!$A$39:$V$70,COLUMN(O$1),FALSE)</f>
        <v>0</v>
      </c>
      <c r="AB354" s="42">
        <f>VLOOKUP($B354,'Biomass&amp;MSW'!$A$39:$V$70,COLUMN(P$1),FALSE)</f>
        <v>0</v>
      </c>
      <c r="AC354" s="42">
        <f>VLOOKUP($B354,'Biomass&amp;MSW'!$A$39:$V$70,COLUMN(Q$1),FALSE)</f>
        <v>0</v>
      </c>
      <c r="AD354" s="42">
        <f>VLOOKUP($B354,'Biomass&amp;MSW'!$A$39:$V$70,COLUMN(R$1),FALSE)</f>
        <v>30</v>
      </c>
      <c r="AE354" s="42">
        <f>VLOOKUP($B354,'Biomass&amp;MSW'!$A$39:$V$70,COLUMN(S$1),FALSE)</f>
        <v>0</v>
      </c>
      <c r="AF354" s="43">
        <f>VLOOKUP($B354,'Biomass&amp;MSW'!$A$39:$V$70,COLUMN(T$1),FALSE)</f>
        <v>0</v>
      </c>
    </row>
    <row r="355" ht="13.85" spans="1:32">
      <c r="A355" s="27" t="s">
        <v>162</v>
      </c>
      <c r="B355" s="44" t="s">
        <v>124</v>
      </c>
      <c r="C355" s="45"/>
      <c r="D355" s="45"/>
      <c r="E355" s="45"/>
      <c r="F355" s="42"/>
      <c r="G355" s="42"/>
      <c r="H355" s="42"/>
      <c r="I355" s="42"/>
      <c r="J355" s="42"/>
      <c r="K355" s="42"/>
      <c r="L355" s="42"/>
      <c r="M355" s="42"/>
      <c r="N355" s="42">
        <f>VLOOKUP($B355,'Biomass&amp;MSW'!$A$39:$V$70,COLUMN(B$1),FALSE)</f>
        <v>1.25</v>
      </c>
      <c r="O355" s="42">
        <f>VLOOKUP($B355,'Biomass&amp;MSW'!$A$39:$V$70,COLUMN(C$1),FALSE)</f>
        <v>1.25</v>
      </c>
      <c r="P355" s="42">
        <f>VLOOKUP($B355,'Biomass&amp;MSW'!$A$39:$V$70,COLUMN(D$1),FALSE)</f>
        <v>1.25</v>
      </c>
      <c r="Q355" s="42">
        <f>VLOOKUP($B355,'Biomass&amp;MSW'!$A$39:$V$70,COLUMN(E$1),FALSE)</f>
        <v>1.25</v>
      </c>
      <c r="R355" s="42">
        <f>VLOOKUP($B355,'Biomass&amp;MSW'!$A$39:$V$70,COLUMN(F$1),FALSE)</f>
        <v>1.25</v>
      </c>
      <c r="S355" s="42">
        <f>VLOOKUP($B355,'Biomass&amp;MSW'!$A$39:$V$70,COLUMN(G$1),FALSE)</f>
        <v>1.25</v>
      </c>
      <c r="T355" s="42">
        <f>VLOOKUP($B355,'Biomass&amp;MSW'!$A$39:$V$70,COLUMN(H$1),FALSE)</f>
        <v>1.25</v>
      </c>
      <c r="U355" s="42">
        <f>VLOOKUP($B355,'Biomass&amp;MSW'!$A$39:$V$70,COLUMN(I$1),FALSE)</f>
        <v>1.25</v>
      </c>
      <c r="V355" s="42">
        <f>VLOOKUP($B355,'Biomass&amp;MSW'!$A$39:$V$70,COLUMN(J$1),FALSE)</f>
        <v>0</v>
      </c>
      <c r="W355" s="42">
        <f>VLOOKUP($B355,'Biomass&amp;MSW'!$A$39:$V$70,COLUMN(K$1),FALSE)</f>
        <v>0</v>
      </c>
      <c r="X355" s="42">
        <f>VLOOKUP($B355,'Biomass&amp;MSW'!$A$39:$V$70,COLUMN(L$1),FALSE)</f>
        <v>0</v>
      </c>
      <c r="Y355" s="42">
        <f>VLOOKUP($B355,'Biomass&amp;MSW'!$A$39:$V$70,COLUMN(M$1),FALSE)</f>
        <v>0</v>
      </c>
      <c r="Z355" s="42">
        <f>VLOOKUP($B355,'Biomass&amp;MSW'!$A$39:$V$70,COLUMN(N$1),FALSE)</f>
        <v>0</v>
      </c>
      <c r="AA355" s="42">
        <f>VLOOKUP($B355,'Biomass&amp;MSW'!$A$39:$V$70,COLUMN(O$1),FALSE)</f>
        <v>0</v>
      </c>
      <c r="AB355" s="42">
        <f>VLOOKUP($B355,'Biomass&amp;MSW'!$A$39:$V$70,COLUMN(P$1),FALSE)</f>
        <v>0</v>
      </c>
      <c r="AC355" s="42">
        <f>VLOOKUP($B355,'Biomass&amp;MSW'!$A$39:$V$70,COLUMN(Q$1),FALSE)</f>
        <v>3</v>
      </c>
      <c r="AD355" s="42">
        <f>VLOOKUP($B355,'Biomass&amp;MSW'!$A$39:$V$70,COLUMN(R$1),FALSE)</f>
        <v>0</v>
      </c>
      <c r="AE355" s="42">
        <f>VLOOKUP($B355,'Biomass&amp;MSW'!$A$39:$V$70,COLUMN(S$1),FALSE)</f>
        <v>44.9</v>
      </c>
      <c r="AF355" s="43">
        <f>VLOOKUP($B355,'Biomass&amp;MSW'!$A$39:$V$70,COLUMN(T$1),FALSE)</f>
        <v>60</v>
      </c>
    </row>
    <row r="356" ht="13.85" spans="1:32">
      <c r="A356" s="27" t="s">
        <v>162</v>
      </c>
      <c r="B356" s="44" t="s">
        <v>126</v>
      </c>
      <c r="C356" s="45"/>
      <c r="D356" s="45"/>
      <c r="E356" s="45"/>
      <c r="F356" s="42"/>
      <c r="G356" s="42"/>
      <c r="H356" s="42"/>
      <c r="I356" s="42"/>
      <c r="J356" s="42"/>
      <c r="K356" s="42"/>
      <c r="L356" s="42"/>
      <c r="M356" s="42"/>
      <c r="N356" s="42">
        <f>VLOOKUP($B356,'Biomass&amp;MSW'!$A$39:$V$70,COLUMN(B$1),FALSE)</f>
        <v>3.375</v>
      </c>
      <c r="O356" s="42">
        <f>VLOOKUP($B356,'Biomass&amp;MSW'!$A$39:$V$70,COLUMN(C$1),FALSE)</f>
        <v>3.375</v>
      </c>
      <c r="P356" s="42">
        <f>VLOOKUP($B356,'Biomass&amp;MSW'!$A$39:$V$70,COLUMN(D$1),FALSE)</f>
        <v>3.375</v>
      </c>
      <c r="Q356" s="42">
        <f>VLOOKUP($B356,'Biomass&amp;MSW'!$A$39:$V$70,COLUMN(E$1),FALSE)</f>
        <v>3.375</v>
      </c>
      <c r="R356" s="42">
        <f>VLOOKUP($B356,'Biomass&amp;MSW'!$A$39:$V$70,COLUMN(F$1),FALSE)</f>
        <v>3.375</v>
      </c>
      <c r="S356" s="42">
        <f>VLOOKUP($B356,'Biomass&amp;MSW'!$A$39:$V$70,COLUMN(G$1),FALSE)</f>
        <v>3.375</v>
      </c>
      <c r="T356" s="42">
        <f>VLOOKUP($B356,'Biomass&amp;MSW'!$A$39:$V$70,COLUMN(H$1),FALSE)</f>
        <v>3.375</v>
      </c>
      <c r="U356" s="42">
        <f>VLOOKUP($B356,'Biomass&amp;MSW'!$A$39:$V$70,COLUMN(I$1),FALSE)</f>
        <v>3.375</v>
      </c>
      <c r="V356" s="42">
        <f>VLOOKUP($B356,'Biomass&amp;MSW'!$A$39:$V$70,COLUMN(J$1),FALSE)</f>
        <v>0</v>
      </c>
      <c r="W356" s="42">
        <f>VLOOKUP($B356,'Biomass&amp;MSW'!$A$39:$V$70,COLUMN(K$1),FALSE)</f>
        <v>0</v>
      </c>
      <c r="X356" s="42">
        <f>VLOOKUP($B356,'Biomass&amp;MSW'!$A$39:$V$70,COLUMN(L$1),FALSE)</f>
        <v>0</v>
      </c>
      <c r="Y356" s="42">
        <f>VLOOKUP($B356,'Biomass&amp;MSW'!$A$39:$V$70,COLUMN(M$1),FALSE)</f>
        <v>0</v>
      </c>
      <c r="Z356" s="42">
        <f>VLOOKUP($B356,'Biomass&amp;MSW'!$A$39:$V$70,COLUMN(N$1),FALSE)</f>
        <v>0</v>
      </c>
      <c r="AA356" s="42">
        <f>VLOOKUP($B356,'Biomass&amp;MSW'!$A$39:$V$70,COLUMN(O$1),FALSE)</f>
        <v>30</v>
      </c>
      <c r="AB356" s="42">
        <f>VLOOKUP($B356,'Biomass&amp;MSW'!$A$39:$V$70,COLUMN(P$1),FALSE)</f>
        <v>0</v>
      </c>
      <c r="AC356" s="42">
        <f>VLOOKUP($B356,'Biomass&amp;MSW'!$A$39:$V$70,COLUMN(Q$1),FALSE)</f>
        <v>0</v>
      </c>
      <c r="AD356" s="42">
        <f>VLOOKUP($B356,'Biomass&amp;MSW'!$A$39:$V$70,COLUMN(R$1),FALSE)</f>
        <v>0</v>
      </c>
      <c r="AE356" s="42">
        <f>VLOOKUP($B356,'Biomass&amp;MSW'!$A$39:$V$70,COLUMN(S$1),FALSE)</f>
        <v>0</v>
      </c>
      <c r="AF356" s="43">
        <f>VLOOKUP($B356,'Biomass&amp;MSW'!$A$39:$V$70,COLUMN(T$1),FALSE)</f>
        <v>0</v>
      </c>
    </row>
    <row r="357" ht="13.85" spans="1:32">
      <c r="A357" s="27" t="s">
        <v>162</v>
      </c>
      <c r="B357" s="44" t="s">
        <v>128</v>
      </c>
      <c r="C357" s="45"/>
      <c r="D357" s="45"/>
      <c r="E357" s="45"/>
      <c r="F357" s="42"/>
      <c r="G357" s="42"/>
      <c r="H357" s="42"/>
      <c r="I357" s="42"/>
      <c r="J357" s="42"/>
      <c r="K357" s="42"/>
      <c r="L357" s="42"/>
      <c r="M357" s="42"/>
      <c r="N357" s="42">
        <f>VLOOKUP($B357,'Biomass&amp;MSW'!$A$39:$V$70,COLUMN(B$1),FALSE)</f>
        <v>3.75</v>
      </c>
      <c r="O357" s="42">
        <f>VLOOKUP($B357,'Biomass&amp;MSW'!$A$39:$V$70,COLUMN(C$1),FALSE)</f>
        <v>3.75</v>
      </c>
      <c r="P357" s="42">
        <f>VLOOKUP($B357,'Biomass&amp;MSW'!$A$39:$V$70,COLUMN(D$1),FALSE)</f>
        <v>3.75</v>
      </c>
      <c r="Q357" s="42">
        <f>VLOOKUP($B357,'Biomass&amp;MSW'!$A$39:$V$70,COLUMN(E$1),FALSE)</f>
        <v>3.75</v>
      </c>
      <c r="R357" s="42">
        <f>VLOOKUP($B357,'Biomass&amp;MSW'!$A$39:$V$70,COLUMN(F$1),FALSE)</f>
        <v>3.75</v>
      </c>
      <c r="S357" s="42">
        <f>VLOOKUP($B357,'Biomass&amp;MSW'!$A$39:$V$70,COLUMN(G$1),FALSE)</f>
        <v>3.75</v>
      </c>
      <c r="T357" s="42">
        <f>VLOOKUP($B357,'Biomass&amp;MSW'!$A$39:$V$70,COLUMN(H$1),FALSE)</f>
        <v>3.75</v>
      </c>
      <c r="U357" s="42">
        <f>VLOOKUP($B357,'Biomass&amp;MSW'!$A$39:$V$70,COLUMN(I$1),FALSE)</f>
        <v>3.75</v>
      </c>
      <c r="V357" s="42">
        <f>VLOOKUP($B357,'Biomass&amp;MSW'!$A$39:$V$70,COLUMN(J$1),FALSE)</f>
        <v>0.5</v>
      </c>
      <c r="W357" s="42">
        <f>VLOOKUP($B357,'Biomass&amp;MSW'!$A$39:$V$70,COLUMN(K$1),FALSE)</f>
        <v>0</v>
      </c>
      <c r="X357" s="42">
        <f>VLOOKUP($B357,'Biomass&amp;MSW'!$A$39:$V$70,COLUMN(L$1),FALSE)</f>
        <v>0</v>
      </c>
      <c r="Y357" s="42">
        <f>VLOOKUP($B357,'Biomass&amp;MSW'!$A$39:$V$70,COLUMN(M$1),FALSE)</f>
        <v>0</v>
      </c>
      <c r="Z357" s="42">
        <f>VLOOKUP($B357,'Biomass&amp;MSW'!$A$39:$V$70,COLUMN(N$1),FALSE)</f>
        <v>0</v>
      </c>
      <c r="AA357" s="42">
        <f>VLOOKUP($B357,'Biomass&amp;MSW'!$A$39:$V$70,COLUMN(O$1),FALSE)</f>
        <v>0</v>
      </c>
      <c r="AB357" s="42">
        <f>VLOOKUP($B357,'Biomass&amp;MSW'!$A$39:$V$70,COLUMN(P$1),FALSE)</f>
        <v>0</v>
      </c>
      <c r="AC357" s="42">
        <f>VLOOKUP($B357,'Biomass&amp;MSW'!$A$39:$V$70,COLUMN(Q$1),FALSE)</f>
        <v>0</v>
      </c>
      <c r="AD357" s="42">
        <f>VLOOKUP($B357,'Biomass&amp;MSW'!$A$39:$V$70,COLUMN(R$1),FALSE)</f>
        <v>0</v>
      </c>
      <c r="AE357" s="42">
        <f>VLOOKUP($B357,'Biomass&amp;MSW'!$A$39:$V$70,COLUMN(S$1),FALSE)</f>
        <v>0</v>
      </c>
      <c r="AF357" s="43">
        <f>VLOOKUP($B357,'Biomass&amp;MSW'!$A$39:$V$70,COLUMN(T$1),FALSE)</f>
        <v>0</v>
      </c>
    </row>
    <row r="358" ht="13.85" spans="1:32">
      <c r="A358" s="27" t="s">
        <v>162</v>
      </c>
      <c r="B358" s="44" t="s">
        <v>130</v>
      </c>
      <c r="C358" s="45"/>
      <c r="D358" s="45"/>
      <c r="E358" s="45"/>
      <c r="F358" s="42"/>
      <c r="G358" s="42"/>
      <c r="H358" s="42"/>
      <c r="I358" s="42"/>
      <c r="J358" s="42"/>
      <c r="K358" s="42"/>
      <c r="L358" s="42"/>
      <c r="M358" s="42"/>
      <c r="N358" s="42">
        <f>VLOOKUP($B358,'Biomass&amp;MSW'!$A$39:$V$70,COLUMN(B$1),FALSE)</f>
        <v>24.9375</v>
      </c>
      <c r="O358" s="42">
        <f>VLOOKUP($B358,'Biomass&amp;MSW'!$A$39:$V$70,COLUMN(C$1),FALSE)</f>
        <v>24.9375</v>
      </c>
      <c r="P358" s="42">
        <f>VLOOKUP($B358,'Biomass&amp;MSW'!$A$39:$V$70,COLUMN(D$1),FALSE)</f>
        <v>24.9375</v>
      </c>
      <c r="Q358" s="42">
        <f>VLOOKUP($B358,'Biomass&amp;MSW'!$A$39:$V$70,COLUMN(E$1),FALSE)</f>
        <v>24.9375</v>
      </c>
      <c r="R358" s="42">
        <f>VLOOKUP($B358,'Biomass&amp;MSW'!$A$39:$V$70,COLUMN(F$1),FALSE)</f>
        <v>24.9375</v>
      </c>
      <c r="S358" s="42">
        <f>VLOOKUP($B358,'Biomass&amp;MSW'!$A$39:$V$70,COLUMN(G$1),FALSE)</f>
        <v>24.9375</v>
      </c>
      <c r="T358" s="42">
        <f>VLOOKUP($B358,'Biomass&amp;MSW'!$A$39:$V$70,COLUMN(H$1),FALSE)</f>
        <v>24.9375</v>
      </c>
      <c r="U358" s="42">
        <f>VLOOKUP($B358,'Biomass&amp;MSW'!$A$39:$V$70,COLUMN(I$1),FALSE)</f>
        <v>24.9375</v>
      </c>
      <c r="V358" s="42">
        <f>VLOOKUP($B358,'Biomass&amp;MSW'!$A$39:$V$70,COLUMN(J$1),FALSE)</f>
        <v>0</v>
      </c>
      <c r="W358" s="42">
        <f>VLOOKUP($B358,'Biomass&amp;MSW'!$A$39:$V$70,COLUMN(K$1),FALSE)</f>
        <v>0</v>
      </c>
      <c r="X358" s="42">
        <f>VLOOKUP($B358,'Biomass&amp;MSW'!$A$39:$V$70,COLUMN(L$1),FALSE)</f>
        <v>0</v>
      </c>
      <c r="Y358" s="42">
        <f>VLOOKUP($B358,'Biomass&amp;MSW'!$A$39:$V$70,COLUMN(M$1),FALSE)</f>
        <v>0</v>
      </c>
      <c r="Z358" s="42">
        <f>VLOOKUP($B358,'Biomass&amp;MSW'!$A$39:$V$70,COLUMN(N$1),FALSE)</f>
        <v>0</v>
      </c>
      <c r="AA358" s="42">
        <f>VLOOKUP($B358,'Biomass&amp;MSW'!$A$39:$V$70,COLUMN(O$1),FALSE)</f>
        <v>0</v>
      </c>
      <c r="AB358" s="42">
        <f>VLOOKUP($B358,'Biomass&amp;MSW'!$A$39:$V$70,COLUMN(P$1),FALSE)</f>
        <v>0</v>
      </c>
      <c r="AC358" s="42">
        <f>VLOOKUP($B358,'Biomass&amp;MSW'!$A$39:$V$70,COLUMN(Q$1),FALSE)</f>
        <v>0</v>
      </c>
      <c r="AD358" s="42">
        <f>VLOOKUP($B358,'Biomass&amp;MSW'!$A$39:$V$70,COLUMN(R$1),FALSE)</f>
        <v>0</v>
      </c>
      <c r="AE358" s="42">
        <f>VLOOKUP($B358,'Biomass&amp;MSW'!$A$39:$V$70,COLUMN(S$1),FALSE)</f>
        <v>0</v>
      </c>
      <c r="AF358" s="43">
        <f>VLOOKUP($B358,'Biomass&amp;MSW'!$A$39:$V$70,COLUMN(T$1),FALSE)</f>
        <v>0</v>
      </c>
    </row>
    <row r="359" ht="13.85" spans="1:32">
      <c r="A359" s="27" t="s">
        <v>162</v>
      </c>
      <c r="B359" s="44" t="s">
        <v>132</v>
      </c>
      <c r="C359" s="45"/>
      <c r="D359" s="45"/>
      <c r="E359" s="45"/>
      <c r="F359" s="42"/>
      <c r="G359" s="42"/>
      <c r="H359" s="42"/>
      <c r="I359" s="42"/>
      <c r="J359" s="42"/>
      <c r="K359" s="42"/>
      <c r="L359" s="42"/>
      <c r="M359" s="42"/>
      <c r="N359" s="42">
        <f>VLOOKUP($B359,'Biomass&amp;MSW'!$A$39:$V$70,COLUMN(B$1),FALSE)</f>
        <v>0</v>
      </c>
      <c r="O359" s="42">
        <f>VLOOKUP($B359,'Biomass&amp;MSW'!$A$39:$V$70,COLUMN(C$1),FALSE)</f>
        <v>0</v>
      </c>
      <c r="P359" s="42">
        <f>VLOOKUP($B359,'Biomass&amp;MSW'!$A$39:$V$70,COLUMN(D$1),FALSE)</f>
        <v>0</v>
      </c>
      <c r="Q359" s="42">
        <f>VLOOKUP($B359,'Biomass&amp;MSW'!$A$39:$V$70,COLUMN(E$1),FALSE)</f>
        <v>0</v>
      </c>
      <c r="R359" s="42">
        <f>VLOOKUP($B359,'Biomass&amp;MSW'!$A$39:$V$70,COLUMN(F$1),FALSE)</f>
        <v>0</v>
      </c>
      <c r="S359" s="42">
        <f>VLOOKUP($B359,'Biomass&amp;MSW'!$A$39:$V$70,COLUMN(G$1),FALSE)</f>
        <v>0</v>
      </c>
      <c r="T359" s="42">
        <f>VLOOKUP($B359,'Biomass&amp;MSW'!$A$39:$V$70,COLUMN(H$1),FALSE)</f>
        <v>0</v>
      </c>
      <c r="U359" s="42">
        <f>VLOOKUP($B359,'Biomass&amp;MSW'!$A$39:$V$70,COLUMN(I$1),FALSE)</f>
        <v>0</v>
      </c>
      <c r="V359" s="42">
        <f>VLOOKUP($B359,'Biomass&amp;MSW'!$A$39:$V$70,COLUMN(J$1),FALSE)</f>
        <v>0</v>
      </c>
      <c r="W359" s="42">
        <f>VLOOKUP($B359,'Biomass&amp;MSW'!$A$39:$V$70,COLUMN(K$1),FALSE)</f>
        <v>0</v>
      </c>
      <c r="X359" s="42">
        <f>VLOOKUP($B359,'Biomass&amp;MSW'!$A$39:$V$70,COLUMN(L$1),FALSE)</f>
        <v>0</v>
      </c>
      <c r="Y359" s="42">
        <f>VLOOKUP($B359,'Biomass&amp;MSW'!$A$39:$V$70,COLUMN(M$1),FALSE)</f>
        <v>0</v>
      </c>
      <c r="Z359" s="42">
        <f>VLOOKUP($B359,'Biomass&amp;MSW'!$A$39:$V$70,COLUMN(N$1),FALSE)</f>
        <v>0</v>
      </c>
      <c r="AA359" s="42">
        <f>VLOOKUP($B359,'Biomass&amp;MSW'!$A$39:$V$70,COLUMN(O$1),FALSE)</f>
        <v>0</v>
      </c>
      <c r="AB359" s="42">
        <f>VLOOKUP($B359,'Biomass&amp;MSW'!$A$39:$V$70,COLUMN(P$1),FALSE)</f>
        <v>0</v>
      </c>
      <c r="AC359" s="42">
        <f>VLOOKUP($B359,'Biomass&amp;MSW'!$A$39:$V$70,COLUMN(Q$1),FALSE)</f>
        <v>0</v>
      </c>
      <c r="AD359" s="42">
        <f>VLOOKUP($B359,'Biomass&amp;MSW'!$A$39:$V$70,COLUMN(R$1),FALSE)</f>
        <v>30</v>
      </c>
      <c r="AE359" s="42">
        <f>VLOOKUP($B359,'Biomass&amp;MSW'!$A$39:$V$70,COLUMN(S$1),FALSE)</f>
        <v>0</v>
      </c>
      <c r="AF359" s="43">
        <f>VLOOKUP($B359,'Biomass&amp;MSW'!$A$39:$V$70,COLUMN(T$1),FALSE)</f>
        <v>40</v>
      </c>
    </row>
    <row r="360" ht="13.85" spans="1:32">
      <c r="A360" s="27" t="s">
        <v>162</v>
      </c>
      <c r="B360" s="44" t="s">
        <v>134</v>
      </c>
      <c r="C360" s="45"/>
      <c r="D360" s="45"/>
      <c r="E360" s="45"/>
      <c r="F360" s="42"/>
      <c r="G360" s="42"/>
      <c r="H360" s="42"/>
      <c r="I360" s="42"/>
      <c r="J360" s="42"/>
      <c r="K360" s="42"/>
      <c r="L360" s="42"/>
      <c r="M360" s="42"/>
      <c r="N360" s="42">
        <f>VLOOKUP($B360,'Biomass&amp;MSW'!$A$39:$V$70,COLUMN(B$1),FALSE)</f>
        <v>0</v>
      </c>
      <c r="O360" s="42">
        <f>VLOOKUP($B360,'Biomass&amp;MSW'!$A$39:$V$70,COLUMN(C$1),FALSE)</f>
        <v>0</v>
      </c>
      <c r="P360" s="42">
        <f>VLOOKUP($B360,'Biomass&amp;MSW'!$A$39:$V$70,COLUMN(D$1),FALSE)</f>
        <v>0</v>
      </c>
      <c r="Q360" s="42">
        <f>VLOOKUP($B360,'Biomass&amp;MSW'!$A$39:$V$70,COLUMN(E$1),FALSE)</f>
        <v>0</v>
      </c>
      <c r="R360" s="42">
        <f>VLOOKUP($B360,'Biomass&amp;MSW'!$A$39:$V$70,COLUMN(F$1),FALSE)</f>
        <v>0</v>
      </c>
      <c r="S360" s="42">
        <f>VLOOKUP($B360,'Biomass&amp;MSW'!$A$39:$V$70,COLUMN(G$1),FALSE)</f>
        <v>0</v>
      </c>
      <c r="T360" s="42">
        <f>VLOOKUP($B360,'Biomass&amp;MSW'!$A$39:$V$70,COLUMN(H$1),FALSE)</f>
        <v>0</v>
      </c>
      <c r="U360" s="42">
        <f>VLOOKUP($B360,'Biomass&amp;MSW'!$A$39:$V$70,COLUMN(I$1),FALSE)</f>
        <v>0</v>
      </c>
      <c r="V360" s="42">
        <f>VLOOKUP($B360,'Biomass&amp;MSW'!$A$39:$V$70,COLUMN(J$1),FALSE)</f>
        <v>0</v>
      </c>
      <c r="W360" s="42">
        <f>VLOOKUP($B360,'Biomass&amp;MSW'!$A$39:$V$70,COLUMN(K$1),FALSE)</f>
        <v>0</v>
      </c>
      <c r="X360" s="42">
        <f>VLOOKUP($B360,'Biomass&amp;MSW'!$A$39:$V$70,COLUMN(L$1),FALSE)</f>
        <v>0</v>
      </c>
      <c r="Y360" s="42">
        <f>VLOOKUP($B360,'Biomass&amp;MSW'!$A$39:$V$70,COLUMN(M$1),FALSE)</f>
        <v>0</v>
      </c>
      <c r="Z360" s="42">
        <f>VLOOKUP($B360,'Biomass&amp;MSW'!$A$39:$V$70,COLUMN(N$1),FALSE)</f>
        <v>0</v>
      </c>
      <c r="AA360" s="42">
        <f>VLOOKUP($B360,'Biomass&amp;MSW'!$A$39:$V$70,COLUMN(O$1),FALSE)</f>
        <v>30</v>
      </c>
      <c r="AB360" s="42">
        <f>VLOOKUP($B360,'Biomass&amp;MSW'!$A$39:$V$70,COLUMN(P$1),FALSE)</f>
        <v>0</v>
      </c>
      <c r="AC360" s="42">
        <f>VLOOKUP($B360,'Biomass&amp;MSW'!$A$39:$V$70,COLUMN(Q$1),FALSE)</f>
        <v>0</v>
      </c>
      <c r="AD360" s="42">
        <f>VLOOKUP($B360,'Biomass&amp;MSW'!$A$39:$V$70,COLUMN(R$1),FALSE)</f>
        <v>0</v>
      </c>
      <c r="AE360" s="42">
        <f>VLOOKUP($B360,'Biomass&amp;MSW'!$A$39:$V$70,COLUMN(S$1),FALSE)</f>
        <v>0</v>
      </c>
      <c r="AF360" s="43">
        <f>VLOOKUP($B360,'Biomass&amp;MSW'!$A$39:$V$70,COLUMN(T$1),FALSE)</f>
        <v>0</v>
      </c>
    </row>
    <row r="361" ht="13.85" spans="1:32">
      <c r="A361" s="27" t="s">
        <v>162</v>
      </c>
      <c r="B361" s="44" t="s">
        <v>136</v>
      </c>
      <c r="C361" s="45"/>
      <c r="D361" s="45"/>
      <c r="E361" s="45"/>
      <c r="F361" s="42"/>
      <c r="G361" s="42"/>
      <c r="H361" s="42"/>
      <c r="I361" s="42"/>
      <c r="J361" s="42"/>
      <c r="K361" s="42"/>
      <c r="L361" s="42"/>
      <c r="M361" s="42"/>
      <c r="N361" s="42">
        <f>VLOOKUP($B361,'Biomass&amp;MSW'!$A$39:$V$70,COLUMN(B$1),FALSE)</f>
        <v>0</v>
      </c>
      <c r="O361" s="42">
        <f>VLOOKUP($B361,'Biomass&amp;MSW'!$A$39:$V$70,COLUMN(C$1),FALSE)</f>
        <v>0</v>
      </c>
      <c r="P361" s="42">
        <f>VLOOKUP($B361,'Biomass&amp;MSW'!$A$39:$V$70,COLUMN(D$1),FALSE)</f>
        <v>0</v>
      </c>
      <c r="Q361" s="42">
        <f>VLOOKUP($B361,'Biomass&amp;MSW'!$A$39:$V$70,COLUMN(E$1),FALSE)</f>
        <v>0</v>
      </c>
      <c r="R361" s="42">
        <f>VLOOKUP($B361,'Biomass&amp;MSW'!$A$39:$V$70,COLUMN(F$1),FALSE)</f>
        <v>0</v>
      </c>
      <c r="S361" s="42">
        <f>VLOOKUP($B361,'Biomass&amp;MSW'!$A$39:$V$70,COLUMN(G$1),FALSE)</f>
        <v>0</v>
      </c>
      <c r="T361" s="42">
        <f>VLOOKUP($B361,'Biomass&amp;MSW'!$A$39:$V$70,COLUMN(H$1),FALSE)</f>
        <v>0</v>
      </c>
      <c r="U361" s="42">
        <f>VLOOKUP($B361,'Biomass&amp;MSW'!$A$39:$V$70,COLUMN(I$1),FALSE)</f>
        <v>0</v>
      </c>
      <c r="V361" s="42">
        <f>VLOOKUP($B361,'Biomass&amp;MSW'!$A$39:$V$70,COLUMN(J$1),FALSE)</f>
        <v>0</v>
      </c>
      <c r="W361" s="42">
        <f>VLOOKUP($B361,'Biomass&amp;MSW'!$A$39:$V$70,COLUMN(K$1),FALSE)</f>
        <v>0</v>
      </c>
      <c r="X361" s="42">
        <f>VLOOKUP($B361,'Biomass&amp;MSW'!$A$39:$V$70,COLUMN(L$1),FALSE)</f>
        <v>0</v>
      </c>
      <c r="Y361" s="42">
        <f>VLOOKUP($B361,'Biomass&amp;MSW'!$A$39:$V$70,COLUMN(M$1),FALSE)</f>
        <v>0</v>
      </c>
      <c r="Z361" s="42">
        <f>VLOOKUP($B361,'Biomass&amp;MSW'!$A$39:$V$70,COLUMN(N$1),FALSE)</f>
        <v>0</v>
      </c>
      <c r="AA361" s="42">
        <f>VLOOKUP($B361,'Biomass&amp;MSW'!$A$39:$V$70,COLUMN(O$1),FALSE)</f>
        <v>0</v>
      </c>
      <c r="AB361" s="42">
        <f>VLOOKUP($B361,'Biomass&amp;MSW'!$A$39:$V$70,COLUMN(P$1),FALSE)</f>
        <v>0</v>
      </c>
      <c r="AC361" s="42">
        <f>VLOOKUP($B361,'Biomass&amp;MSW'!$A$39:$V$70,COLUMN(Q$1),FALSE)</f>
        <v>0</v>
      </c>
      <c r="AD361" s="42">
        <f>VLOOKUP($B361,'Biomass&amp;MSW'!$A$39:$V$70,COLUMN(R$1),FALSE)</f>
        <v>0</v>
      </c>
      <c r="AE361" s="42">
        <f>VLOOKUP($B361,'Biomass&amp;MSW'!$A$39:$V$70,COLUMN(S$1),FALSE)</f>
        <v>0</v>
      </c>
      <c r="AF361" s="43">
        <f>VLOOKUP($B361,'Biomass&amp;MSW'!$A$39:$V$70,COLUMN(T$1),FALSE)</f>
        <v>0</v>
      </c>
    </row>
    <row r="362" ht="13.85" spans="1:32">
      <c r="A362" s="27" t="s">
        <v>162</v>
      </c>
      <c r="B362" s="44" t="s">
        <v>138</v>
      </c>
      <c r="C362" s="45"/>
      <c r="D362" s="45"/>
      <c r="E362" s="45"/>
      <c r="F362" s="42"/>
      <c r="G362" s="42"/>
      <c r="H362" s="42"/>
      <c r="I362" s="42"/>
      <c r="J362" s="42"/>
      <c r="K362" s="42"/>
      <c r="L362" s="42"/>
      <c r="M362" s="42"/>
      <c r="N362" s="42">
        <f>VLOOKUP($B362,'Biomass&amp;MSW'!$A$39:$V$70,COLUMN(B$1),FALSE)</f>
        <v>0</v>
      </c>
      <c r="O362" s="42">
        <f>VLOOKUP($B362,'Biomass&amp;MSW'!$A$39:$V$70,COLUMN(C$1),FALSE)</f>
        <v>0</v>
      </c>
      <c r="P362" s="42">
        <f>VLOOKUP($B362,'Biomass&amp;MSW'!$A$39:$V$70,COLUMN(D$1),FALSE)</f>
        <v>0</v>
      </c>
      <c r="Q362" s="42">
        <f>VLOOKUP($B362,'Biomass&amp;MSW'!$A$39:$V$70,COLUMN(E$1),FALSE)</f>
        <v>0</v>
      </c>
      <c r="R362" s="42">
        <f>VLOOKUP($B362,'Biomass&amp;MSW'!$A$39:$V$70,COLUMN(F$1),FALSE)</f>
        <v>0</v>
      </c>
      <c r="S362" s="42">
        <f>VLOOKUP($B362,'Biomass&amp;MSW'!$A$39:$V$70,COLUMN(G$1),FALSE)</f>
        <v>0</v>
      </c>
      <c r="T362" s="42">
        <f>VLOOKUP($B362,'Biomass&amp;MSW'!$A$39:$V$70,COLUMN(H$1),FALSE)</f>
        <v>0</v>
      </c>
      <c r="U362" s="42">
        <f>VLOOKUP($B362,'Biomass&amp;MSW'!$A$39:$V$70,COLUMN(I$1),FALSE)</f>
        <v>0</v>
      </c>
      <c r="V362" s="42">
        <f>VLOOKUP($B362,'Biomass&amp;MSW'!$A$39:$V$70,COLUMN(J$1),FALSE)</f>
        <v>0</v>
      </c>
      <c r="W362" s="42">
        <f>VLOOKUP($B362,'Biomass&amp;MSW'!$A$39:$V$70,COLUMN(K$1),FALSE)</f>
        <v>0</v>
      </c>
      <c r="X362" s="42">
        <f>VLOOKUP($B362,'Biomass&amp;MSW'!$A$39:$V$70,COLUMN(L$1),FALSE)</f>
        <v>0</v>
      </c>
      <c r="Y362" s="42">
        <f>VLOOKUP($B362,'Biomass&amp;MSW'!$A$39:$V$70,COLUMN(M$1),FALSE)</f>
        <v>0</v>
      </c>
      <c r="Z362" s="42">
        <f>VLOOKUP($B362,'Biomass&amp;MSW'!$A$39:$V$70,COLUMN(N$1),FALSE)</f>
        <v>0</v>
      </c>
      <c r="AA362" s="42">
        <f>VLOOKUP($B362,'Biomass&amp;MSW'!$A$39:$V$70,COLUMN(O$1),FALSE)</f>
        <v>0</v>
      </c>
      <c r="AB362" s="42">
        <f>VLOOKUP($B362,'Biomass&amp;MSW'!$A$39:$V$70,COLUMN(P$1),FALSE)</f>
        <v>0</v>
      </c>
      <c r="AC362" s="42">
        <f>VLOOKUP($B362,'Biomass&amp;MSW'!$A$39:$V$70,COLUMN(Q$1),FALSE)</f>
        <v>0</v>
      </c>
      <c r="AD362" s="42">
        <f>VLOOKUP($B362,'Biomass&amp;MSW'!$A$39:$V$70,COLUMN(R$1),FALSE)</f>
        <v>0</v>
      </c>
      <c r="AE362" s="42">
        <f>VLOOKUP($B362,'Biomass&amp;MSW'!$A$39:$V$70,COLUMN(S$1),FALSE)</f>
        <v>0</v>
      </c>
      <c r="AF362" s="43">
        <f>VLOOKUP($B362,'Biomass&amp;MSW'!$A$39:$V$70,COLUMN(T$1),FALSE)</f>
        <v>0</v>
      </c>
    </row>
    <row r="363" ht="13.85" spans="1:32">
      <c r="A363" s="27" t="s">
        <v>162</v>
      </c>
      <c r="B363" s="44" t="s">
        <v>140</v>
      </c>
      <c r="C363" s="45"/>
      <c r="D363" s="45"/>
      <c r="E363" s="45"/>
      <c r="F363" s="42"/>
      <c r="G363" s="42"/>
      <c r="H363" s="42"/>
      <c r="I363" s="42"/>
      <c r="J363" s="42"/>
      <c r="K363" s="42"/>
      <c r="L363" s="42"/>
      <c r="M363" s="42"/>
      <c r="N363" s="42">
        <f>VLOOKUP($B363,'Biomass&amp;MSW'!$A$39:$V$70,COLUMN(B$1),FALSE)</f>
        <v>6.25</v>
      </c>
      <c r="O363" s="42">
        <f>VLOOKUP($B363,'Biomass&amp;MSW'!$A$39:$V$70,COLUMN(C$1),FALSE)</f>
        <v>6.25</v>
      </c>
      <c r="P363" s="42">
        <f>VLOOKUP($B363,'Biomass&amp;MSW'!$A$39:$V$70,COLUMN(D$1),FALSE)</f>
        <v>6.25</v>
      </c>
      <c r="Q363" s="42">
        <f>VLOOKUP($B363,'Biomass&amp;MSW'!$A$39:$V$70,COLUMN(E$1),FALSE)</f>
        <v>6.25</v>
      </c>
      <c r="R363" s="42">
        <f>VLOOKUP($B363,'Biomass&amp;MSW'!$A$39:$V$70,COLUMN(F$1),FALSE)</f>
        <v>6.25</v>
      </c>
      <c r="S363" s="42">
        <f>VLOOKUP($B363,'Biomass&amp;MSW'!$A$39:$V$70,COLUMN(G$1),FALSE)</f>
        <v>6.25</v>
      </c>
      <c r="T363" s="42">
        <f>VLOOKUP($B363,'Biomass&amp;MSW'!$A$39:$V$70,COLUMN(H$1),FALSE)</f>
        <v>6.25</v>
      </c>
      <c r="U363" s="42">
        <f>VLOOKUP($B363,'Biomass&amp;MSW'!$A$39:$V$70,COLUMN(I$1),FALSE)</f>
        <v>6.25</v>
      </c>
      <c r="V363" s="42">
        <f>VLOOKUP($B363,'Biomass&amp;MSW'!$A$39:$V$70,COLUMN(J$1),FALSE)</f>
        <v>0</v>
      </c>
      <c r="W363" s="42">
        <f>VLOOKUP($B363,'Biomass&amp;MSW'!$A$39:$V$70,COLUMN(K$1),FALSE)</f>
        <v>0</v>
      </c>
      <c r="X363" s="42">
        <f>VLOOKUP($B363,'Biomass&amp;MSW'!$A$39:$V$70,COLUMN(L$1),FALSE)</f>
        <v>0</v>
      </c>
      <c r="Y363" s="42">
        <f>VLOOKUP($B363,'Biomass&amp;MSW'!$A$39:$V$70,COLUMN(M$1),FALSE)</f>
        <v>0</v>
      </c>
      <c r="Z363" s="42">
        <f>VLOOKUP($B363,'Biomass&amp;MSW'!$A$39:$V$70,COLUMN(N$1),FALSE)</f>
        <v>55</v>
      </c>
      <c r="AA363" s="42">
        <f>VLOOKUP($B363,'Biomass&amp;MSW'!$A$39:$V$70,COLUMN(O$1),FALSE)</f>
        <v>135</v>
      </c>
      <c r="AB363" s="42">
        <f>VLOOKUP($B363,'Biomass&amp;MSW'!$A$39:$V$70,COLUMN(P$1),FALSE)</f>
        <v>0</v>
      </c>
      <c r="AC363" s="42">
        <f>VLOOKUP($B363,'Biomass&amp;MSW'!$A$39:$V$70,COLUMN(Q$1),FALSE)</f>
        <v>72</v>
      </c>
      <c r="AD363" s="42">
        <f>VLOOKUP($B363,'Biomass&amp;MSW'!$A$39:$V$70,COLUMN(R$1),FALSE)</f>
        <v>0</v>
      </c>
      <c r="AE363" s="42">
        <f>VLOOKUP($B363,'Biomass&amp;MSW'!$A$39:$V$70,COLUMN(S$1),FALSE)</f>
        <v>0</v>
      </c>
      <c r="AF363" s="43">
        <f>VLOOKUP($B363,'Biomass&amp;MSW'!$A$39:$V$70,COLUMN(T$1),FALSE)</f>
        <v>15</v>
      </c>
    </row>
    <row r="364" ht="13.85" spans="1:32">
      <c r="A364" s="27" t="s">
        <v>162</v>
      </c>
      <c r="B364" s="44" t="s">
        <v>142</v>
      </c>
      <c r="C364" s="45"/>
      <c r="D364" s="45"/>
      <c r="E364" s="45"/>
      <c r="F364" s="42"/>
      <c r="G364" s="42"/>
      <c r="H364" s="42"/>
      <c r="I364" s="42"/>
      <c r="J364" s="42"/>
      <c r="K364" s="42"/>
      <c r="L364" s="42"/>
      <c r="M364" s="42"/>
      <c r="N364" s="42">
        <f>VLOOKUP($B364,'Biomass&amp;MSW'!$A$39:$V$70,COLUMN(B$1),FALSE)</f>
        <v>0</v>
      </c>
      <c r="O364" s="42">
        <f>VLOOKUP($B364,'Biomass&amp;MSW'!$A$39:$V$70,COLUMN(C$1),FALSE)</f>
        <v>0</v>
      </c>
      <c r="P364" s="42">
        <f>VLOOKUP($B364,'Biomass&amp;MSW'!$A$39:$V$70,COLUMN(D$1),FALSE)</f>
        <v>0</v>
      </c>
      <c r="Q364" s="42">
        <f>VLOOKUP($B364,'Biomass&amp;MSW'!$A$39:$V$70,COLUMN(E$1),FALSE)</f>
        <v>0</v>
      </c>
      <c r="R364" s="42">
        <f>VLOOKUP($B364,'Biomass&amp;MSW'!$A$39:$V$70,COLUMN(F$1),FALSE)</f>
        <v>0</v>
      </c>
      <c r="S364" s="42">
        <f>VLOOKUP($B364,'Biomass&amp;MSW'!$A$39:$V$70,COLUMN(G$1),FALSE)</f>
        <v>0</v>
      </c>
      <c r="T364" s="42">
        <f>VLOOKUP($B364,'Biomass&amp;MSW'!$A$39:$V$70,COLUMN(H$1),FALSE)</f>
        <v>0</v>
      </c>
      <c r="U364" s="42">
        <f>VLOOKUP($B364,'Biomass&amp;MSW'!$A$39:$V$70,COLUMN(I$1),FALSE)</f>
        <v>0</v>
      </c>
      <c r="V364" s="42">
        <f>VLOOKUP($B364,'Biomass&amp;MSW'!$A$39:$V$70,COLUMN(J$1),FALSE)</f>
        <v>0</v>
      </c>
      <c r="W364" s="42">
        <f>VLOOKUP($B364,'Biomass&amp;MSW'!$A$39:$V$70,COLUMN(K$1),FALSE)</f>
        <v>0</v>
      </c>
      <c r="X364" s="42">
        <f>VLOOKUP($B364,'Biomass&amp;MSW'!$A$39:$V$70,COLUMN(L$1),FALSE)</f>
        <v>0</v>
      </c>
      <c r="Y364" s="42">
        <f>VLOOKUP($B364,'Biomass&amp;MSW'!$A$39:$V$70,COLUMN(M$1),FALSE)</f>
        <v>0</v>
      </c>
      <c r="Z364" s="42">
        <f>VLOOKUP($B364,'Biomass&amp;MSW'!$A$39:$V$70,COLUMN(N$1),FALSE)</f>
        <v>0</v>
      </c>
      <c r="AA364" s="42">
        <f>VLOOKUP($B364,'Biomass&amp;MSW'!$A$39:$V$70,COLUMN(O$1),FALSE)</f>
        <v>0</v>
      </c>
      <c r="AB364" s="42">
        <f>VLOOKUP($B364,'Biomass&amp;MSW'!$A$39:$V$70,COLUMN(P$1),FALSE)</f>
        <v>0</v>
      </c>
      <c r="AC364" s="42">
        <f>VLOOKUP($B364,'Biomass&amp;MSW'!$A$39:$V$70,COLUMN(Q$1),FALSE)</f>
        <v>0</v>
      </c>
      <c r="AD364" s="42">
        <f>VLOOKUP($B364,'Biomass&amp;MSW'!$A$39:$V$70,COLUMN(R$1),FALSE)</f>
        <v>0</v>
      </c>
      <c r="AE364" s="42">
        <f>VLOOKUP($B364,'Biomass&amp;MSW'!$A$39:$V$70,COLUMN(S$1),FALSE)</f>
        <v>0</v>
      </c>
      <c r="AF364" s="43">
        <f>VLOOKUP($B364,'Biomass&amp;MSW'!$A$39:$V$70,COLUMN(T$1),FALSE)</f>
        <v>0</v>
      </c>
    </row>
    <row r="365" s="38" customFormat="1" spans="1:32">
      <c r="A365" s="46"/>
      <c r="B365" s="46"/>
      <c r="C365" s="47"/>
      <c r="D365" s="47"/>
      <c r="E365" s="47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</row>
    <row r="366" ht="13.85" spans="1:32">
      <c r="A366" s="27" t="s">
        <v>2323</v>
      </c>
      <c r="B366" s="41" t="s">
        <v>80</v>
      </c>
      <c r="C366" s="42">
        <f t="shared" ref="C366:AF366" si="303">SUM(C367:C397)</f>
        <v>0</v>
      </c>
      <c r="D366" s="42">
        <f t="shared" si="303"/>
        <v>0</v>
      </c>
      <c r="E366" s="42">
        <f t="shared" si="303"/>
        <v>0</v>
      </c>
      <c r="F366" s="42">
        <f t="shared" si="303"/>
        <v>0</v>
      </c>
      <c r="G366" s="42">
        <f t="shared" si="303"/>
        <v>0</v>
      </c>
      <c r="H366" s="42">
        <f t="shared" si="303"/>
        <v>0</v>
      </c>
      <c r="I366" s="42">
        <f t="shared" si="303"/>
        <v>0</v>
      </c>
      <c r="J366" s="42">
        <f t="shared" si="303"/>
        <v>0</v>
      </c>
      <c r="K366" s="42">
        <f t="shared" si="303"/>
        <v>0</v>
      </c>
      <c r="L366" s="42">
        <f t="shared" si="303"/>
        <v>0</v>
      </c>
      <c r="M366" s="42">
        <f t="shared" si="303"/>
        <v>0</v>
      </c>
      <c r="N366" s="42">
        <f t="shared" si="303"/>
        <v>514.75</v>
      </c>
      <c r="O366" s="42">
        <f t="shared" si="303"/>
        <v>514.75</v>
      </c>
      <c r="P366" s="42">
        <f t="shared" si="303"/>
        <v>514.75</v>
      </c>
      <c r="Q366" s="42">
        <f t="shared" si="303"/>
        <v>514.75</v>
      </c>
      <c r="R366" s="42">
        <f t="shared" si="303"/>
        <v>514.75</v>
      </c>
      <c r="S366" s="42">
        <f t="shared" si="303"/>
        <v>514.75</v>
      </c>
      <c r="T366" s="42">
        <f t="shared" si="303"/>
        <v>514.75</v>
      </c>
      <c r="U366" s="42">
        <f t="shared" si="303"/>
        <v>514.75</v>
      </c>
      <c r="V366" s="42">
        <f t="shared" si="303"/>
        <v>232.5</v>
      </c>
      <c r="W366" s="42">
        <f t="shared" si="303"/>
        <v>433</v>
      </c>
      <c r="X366" s="42">
        <f t="shared" si="303"/>
        <v>654</v>
      </c>
      <c r="Y366" s="42">
        <f t="shared" si="303"/>
        <v>786.8</v>
      </c>
      <c r="Z366" s="42">
        <f t="shared" si="303"/>
        <v>574.8</v>
      </c>
      <c r="AA366" s="42">
        <f t="shared" si="303"/>
        <v>705.2</v>
      </c>
      <c r="AB366" s="42">
        <f t="shared" si="303"/>
        <v>474</v>
      </c>
      <c r="AC366" s="42">
        <f t="shared" si="303"/>
        <v>633.5</v>
      </c>
      <c r="AD366" s="42">
        <f t="shared" si="303"/>
        <v>810</v>
      </c>
      <c r="AE366" s="42">
        <f t="shared" si="303"/>
        <v>952.6</v>
      </c>
      <c r="AF366" s="43">
        <f t="shared" si="303"/>
        <v>1189.5</v>
      </c>
    </row>
    <row r="367" ht="13.85" spans="1:32">
      <c r="A367" s="27" t="s">
        <v>2323</v>
      </c>
      <c r="B367" s="44" t="s">
        <v>82</v>
      </c>
      <c r="C367" s="45"/>
      <c r="D367" s="45"/>
      <c r="E367" s="45"/>
      <c r="F367" s="42"/>
      <c r="G367" s="42"/>
      <c r="H367" s="42"/>
      <c r="I367" s="42"/>
      <c r="J367" s="42"/>
      <c r="K367" s="42"/>
      <c r="L367" s="42"/>
      <c r="M367" s="42"/>
      <c r="N367" s="42">
        <f>VLOOKUP($B367,'Biomass&amp;MSW'!$A$39:$V$70,COLUMN(B$1),FALSE)</f>
        <v>1.25</v>
      </c>
      <c r="O367" s="42">
        <f>VLOOKUP($B367,'Biomass&amp;MSW'!$A$39:$V$70,COLUMN(C$1),FALSE)</f>
        <v>1.25</v>
      </c>
      <c r="P367" s="42">
        <f>VLOOKUP($B367,'Biomass&amp;MSW'!$A$39:$V$70,COLUMN(D$1),FALSE)</f>
        <v>1.25</v>
      </c>
      <c r="Q367" s="42">
        <f>VLOOKUP($B367,'Biomass&amp;MSW'!$A$39:$V$70,COLUMN(E$1),FALSE)</f>
        <v>1.25</v>
      </c>
      <c r="R367" s="42">
        <f>VLOOKUP($B367,'Biomass&amp;MSW'!$A$39:$V$70,COLUMN(F$1),FALSE)</f>
        <v>1.25</v>
      </c>
      <c r="S367" s="42">
        <f>VLOOKUP($B367,'Biomass&amp;MSW'!$A$39:$V$70,COLUMN(G$1),FALSE)</f>
        <v>1.25</v>
      </c>
      <c r="T367" s="42">
        <f>VLOOKUP($B367,'Biomass&amp;MSW'!$A$39:$V$70,COLUMN(H$1),FALSE)</f>
        <v>1.25</v>
      </c>
      <c r="U367" s="42">
        <f>VLOOKUP($B367,'Biomass&amp;MSW'!$A$39:$V$70,COLUMN(I$1),FALSE)</f>
        <v>1.25</v>
      </c>
      <c r="V367" s="42">
        <f>VLOOKUP($B367,'Biomass&amp;MSW'!$A$39:$V$70,COLUMN(J$1),FALSE)</f>
        <v>0</v>
      </c>
      <c r="W367" s="42">
        <f>VLOOKUP($B367,'Biomass&amp;MSW'!$A$39:$V$70,COLUMN(K$1),FALSE)</f>
        <v>0</v>
      </c>
      <c r="X367" s="42">
        <f>VLOOKUP($B367,'Biomass&amp;MSW'!$A$39:$V$70,COLUMN(L$1),FALSE)</f>
        <v>0</v>
      </c>
      <c r="Y367" s="42">
        <f>VLOOKUP($B367,'Biomass&amp;MSW'!$A$39:$V$70,COLUMN(M$1),FALSE)</f>
        <v>0</v>
      </c>
      <c r="Z367" s="42">
        <f>VLOOKUP($B367,'Biomass&amp;MSW'!$A$39:$V$70,COLUMN(N$1),FALSE)</f>
        <v>0</v>
      </c>
      <c r="AA367" s="42">
        <f>VLOOKUP($B367,'Biomass&amp;MSW'!$A$39:$V$70,COLUMN(O$1),FALSE)</f>
        <v>0</v>
      </c>
      <c r="AB367" s="42">
        <f>VLOOKUP($B367,'Biomass&amp;MSW'!$A$39:$V$70,COLUMN(P$1),FALSE)</f>
        <v>6</v>
      </c>
      <c r="AC367" s="42">
        <f>VLOOKUP($B367,'Biomass&amp;MSW'!$A$39:$V$70,COLUMN(Q$1),FALSE)</f>
        <v>0</v>
      </c>
      <c r="AD367" s="42">
        <f>VLOOKUP($B367,'Biomass&amp;MSW'!$A$39:$V$70,COLUMN(R$1),FALSE)</f>
        <v>0</v>
      </c>
      <c r="AE367" s="42">
        <f>VLOOKUP($B367,'Biomass&amp;MSW'!$A$39:$V$70,COLUMN(S$1),FALSE)</f>
        <v>37.5</v>
      </c>
      <c r="AF367" s="43">
        <f>VLOOKUP($B367,'Biomass&amp;MSW'!$A$39:$V$70,COLUMN(T$1),FALSE)</f>
        <v>0</v>
      </c>
    </row>
    <row r="368" ht="13.85" spans="1:32">
      <c r="A368" s="27" t="s">
        <v>2323</v>
      </c>
      <c r="B368" s="44" t="s">
        <v>84</v>
      </c>
      <c r="C368" s="45"/>
      <c r="D368" s="45"/>
      <c r="E368" s="45"/>
      <c r="F368" s="42"/>
      <c r="G368" s="42"/>
      <c r="H368" s="42"/>
      <c r="I368" s="42"/>
      <c r="J368" s="42"/>
      <c r="K368" s="42"/>
      <c r="L368" s="42"/>
      <c r="M368" s="42"/>
      <c r="N368" s="42">
        <f>VLOOKUP($B368,'Biomass&amp;MSW'!$A$39:$V$70,COLUMN(B$1),FALSE)</f>
        <v>0</v>
      </c>
      <c r="O368" s="42">
        <f>VLOOKUP($B368,'Biomass&amp;MSW'!$A$39:$V$70,COLUMN(C$1),FALSE)</f>
        <v>0</v>
      </c>
      <c r="P368" s="42">
        <f>VLOOKUP($B368,'Biomass&amp;MSW'!$A$39:$V$70,COLUMN(D$1),FALSE)</f>
        <v>0</v>
      </c>
      <c r="Q368" s="42">
        <f>VLOOKUP($B368,'Biomass&amp;MSW'!$A$39:$V$70,COLUMN(E$1),FALSE)</f>
        <v>0</v>
      </c>
      <c r="R368" s="42">
        <f>VLOOKUP($B368,'Biomass&amp;MSW'!$A$39:$V$70,COLUMN(F$1),FALSE)</f>
        <v>0</v>
      </c>
      <c r="S368" s="42">
        <f>VLOOKUP($B368,'Biomass&amp;MSW'!$A$39:$V$70,COLUMN(G$1),FALSE)</f>
        <v>0</v>
      </c>
      <c r="T368" s="42">
        <f>VLOOKUP($B368,'Biomass&amp;MSW'!$A$39:$V$70,COLUMN(H$1),FALSE)</f>
        <v>0</v>
      </c>
      <c r="U368" s="42">
        <f>VLOOKUP($B368,'Biomass&amp;MSW'!$A$39:$V$70,COLUMN(I$1),FALSE)</f>
        <v>0</v>
      </c>
      <c r="V368" s="42">
        <f>VLOOKUP($B368,'Biomass&amp;MSW'!$A$39:$V$70,COLUMN(J$1),FALSE)</f>
        <v>0</v>
      </c>
      <c r="W368" s="42">
        <f>VLOOKUP($B368,'Biomass&amp;MSW'!$A$39:$V$70,COLUMN(K$1),FALSE)</f>
        <v>60</v>
      </c>
      <c r="X368" s="42">
        <f>VLOOKUP($B368,'Biomass&amp;MSW'!$A$39:$V$70,COLUMN(L$1),FALSE)</f>
        <v>54</v>
      </c>
      <c r="Y368" s="42">
        <f>VLOOKUP($B368,'Biomass&amp;MSW'!$A$39:$V$70,COLUMN(M$1),FALSE)</f>
        <v>180</v>
      </c>
      <c r="Z368" s="42">
        <f>VLOOKUP($B368,'Biomass&amp;MSW'!$A$39:$V$70,COLUMN(N$1),FALSE)</f>
        <v>0</v>
      </c>
      <c r="AA368" s="42">
        <f>VLOOKUP($B368,'Biomass&amp;MSW'!$A$39:$V$70,COLUMN(O$1),FALSE)</f>
        <v>0</v>
      </c>
      <c r="AB368" s="42">
        <f>VLOOKUP($B368,'Biomass&amp;MSW'!$A$39:$V$70,COLUMN(P$1),FALSE)</f>
        <v>45</v>
      </c>
      <c r="AC368" s="42">
        <f>VLOOKUP($B368,'Biomass&amp;MSW'!$A$39:$V$70,COLUMN(Q$1),FALSE)</f>
        <v>60</v>
      </c>
      <c r="AD368" s="42">
        <f>VLOOKUP($B368,'Biomass&amp;MSW'!$A$39:$V$70,COLUMN(R$1),FALSE)</f>
        <v>60</v>
      </c>
      <c r="AE368" s="42">
        <f>VLOOKUP($B368,'Biomass&amp;MSW'!$A$39:$V$70,COLUMN(S$1),FALSE)</f>
        <v>30</v>
      </c>
      <c r="AF368" s="43">
        <f>VLOOKUP($B368,'Biomass&amp;MSW'!$A$39:$V$70,COLUMN(T$1),FALSE)</f>
        <v>12</v>
      </c>
    </row>
    <row r="369" ht="13.85" spans="1:32">
      <c r="A369" s="27" t="s">
        <v>2323</v>
      </c>
      <c r="B369" s="44" t="s">
        <v>86</v>
      </c>
      <c r="C369" s="45"/>
      <c r="D369" s="45"/>
      <c r="E369" s="45"/>
      <c r="F369" s="42"/>
      <c r="G369" s="42"/>
      <c r="H369" s="42"/>
      <c r="I369" s="42"/>
      <c r="J369" s="42"/>
      <c r="K369" s="42"/>
      <c r="L369" s="42"/>
      <c r="M369" s="42"/>
      <c r="N369" s="42">
        <f>VLOOKUP($B369,'Biomass&amp;MSW'!$A$39:$V$70,COLUMN(B$1),FALSE)</f>
        <v>0</v>
      </c>
      <c r="O369" s="42">
        <f>VLOOKUP($B369,'Biomass&amp;MSW'!$A$39:$V$70,COLUMN(C$1),FALSE)</f>
        <v>0</v>
      </c>
      <c r="P369" s="42">
        <f>VLOOKUP($B369,'Biomass&amp;MSW'!$A$39:$V$70,COLUMN(D$1),FALSE)</f>
        <v>0</v>
      </c>
      <c r="Q369" s="42">
        <f>VLOOKUP($B369,'Biomass&amp;MSW'!$A$39:$V$70,COLUMN(E$1),FALSE)</f>
        <v>0</v>
      </c>
      <c r="R369" s="42">
        <f>VLOOKUP($B369,'Biomass&amp;MSW'!$A$39:$V$70,COLUMN(F$1),FALSE)</f>
        <v>0</v>
      </c>
      <c r="S369" s="42">
        <f>VLOOKUP($B369,'Biomass&amp;MSW'!$A$39:$V$70,COLUMN(G$1),FALSE)</f>
        <v>0</v>
      </c>
      <c r="T369" s="42">
        <f>VLOOKUP($B369,'Biomass&amp;MSW'!$A$39:$V$70,COLUMN(H$1),FALSE)</f>
        <v>0</v>
      </c>
      <c r="U369" s="42">
        <f>VLOOKUP($B369,'Biomass&amp;MSW'!$A$39:$V$70,COLUMN(I$1),FALSE)</f>
        <v>0</v>
      </c>
      <c r="V369" s="42">
        <f>VLOOKUP($B369,'Biomass&amp;MSW'!$A$39:$V$70,COLUMN(J$1),FALSE)</f>
        <v>0</v>
      </c>
      <c r="W369" s="42">
        <f>VLOOKUP($B369,'Biomass&amp;MSW'!$A$39:$V$70,COLUMN(K$1),FALSE)</f>
        <v>6</v>
      </c>
      <c r="X369" s="42">
        <f>VLOOKUP($B369,'Biomass&amp;MSW'!$A$39:$V$70,COLUMN(L$1),FALSE)</f>
        <v>0</v>
      </c>
      <c r="Y369" s="42">
        <f>VLOOKUP($B369,'Biomass&amp;MSW'!$A$39:$V$70,COLUMN(M$1),FALSE)</f>
        <v>0</v>
      </c>
      <c r="Z369" s="42">
        <f>VLOOKUP($B369,'Biomass&amp;MSW'!$A$39:$V$70,COLUMN(N$1),FALSE)</f>
        <v>0</v>
      </c>
      <c r="AA369" s="42">
        <f>VLOOKUP($B369,'Biomass&amp;MSW'!$A$39:$V$70,COLUMN(O$1),FALSE)</f>
        <v>0</v>
      </c>
      <c r="AB369" s="42">
        <f>VLOOKUP($B369,'Biomass&amp;MSW'!$A$39:$V$70,COLUMN(P$1),FALSE)</f>
        <v>12</v>
      </c>
      <c r="AC369" s="42">
        <f>VLOOKUP($B369,'Biomass&amp;MSW'!$A$39:$V$70,COLUMN(Q$1),FALSE)</f>
        <v>0</v>
      </c>
      <c r="AD369" s="42">
        <f>VLOOKUP($B369,'Biomass&amp;MSW'!$A$39:$V$70,COLUMN(R$1),FALSE)</f>
        <v>0</v>
      </c>
      <c r="AE369" s="42">
        <f>VLOOKUP($B369,'Biomass&amp;MSW'!$A$39:$V$70,COLUMN(S$1),FALSE)</f>
        <v>0</v>
      </c>
      <c r="AF369" s="43">
        <f>VLOOKUP($B369,'Biomass&amp;MSW'!$A$39:$V$70,COLUMN(T$1),FALSE)</f>
        <v>0</v>
      </c>
    </row>
    <row r="370" ht="13.85" spans="1:32">
      <c r="A370" s="27" t="s">
        <v>2323</v>
      </c>
      <c r="B370" s="44" t="s">
        <v>88</v>
      </c>
      <c r="C370" s="45"/>
      <c r="D370" s="45"/>
      <c r="E370" s="45"/>
      <c r="F370" s="42"/>
      <c r="G370" s="42"/>
      <c r="H370" s="42"/>
      <c r="I370" s="42"/>
      <c r="J370" s="42"/>
      <c r="K370" s="42"/>
      <c r="L370" s="42"/>
      <c r="M370" s="42"/>
      <c r="N370" s="42">
        <f>VLOOKUP($B370,'Biomass&amp;MSW'!$A$39:$V$70,COLUMN(B$1),FALSE)</f>
        <v>40.25</v>
      </c>
      <c r="O370" s="42">
        <f>VLOOKUP($B370,'Biomass&amp;MSW'!$A$39:$V$70,COLUMN(C$1),FALSE)</f>
        <v>40.25</v>
      </c>
      <c r="P370" s="42">
        <f>VLOOKUP($B370,'Biomass&amp;MSW'!$A$39:$V$70,COLUMN(D$1),FALSE)</f>
        <v>40.25</v>
      </c>
      <c r="Q370" s="42">
        <f>VLOOKUP($B370,'Biomass&amp;MSW'!$A$39:$V$70,COLUMN(E$1),FALSE)</f>
        <v>40.25</v>
      </c>
      <c r="R370" s="42">
        <f>VLOOKUP($B370,'Biomass&amp;MSW'!$A$39:$V$70,COLUMN(F$1),FALSE)</f>
        <v>40.25</v>
      </c>
      <c r="S370" s="42">
        <f>VLOOKUP($B370,'Biomass&amp;MSW'!$A$39:$V$70,COLUMN(G$1),FALSE)</f>
        <v>40.25</v>
      </c>
      <c r="T370" s="42">
        <f>VLOOKUP($B370,'Biomass&amp;MSW'!$A$39:$V$70,COLUMN(H$1),FALSE)</f>
        <v>40.25</v>
      </c>
      <c r="U370" s="42">
        <f>VLOOKUP($B370,'Biomass&amp;MSW'!$A$39:$V$70,COLUMN(I$1),FALSE)</f>
        <v>40.25</v>
      </c>
      <c r="V370" s="42">
        <f>VLOOKUP($B370,'Biomass&amp;MSW'!$A$39:$V$70,COLUMN(J$1),FALSE)</f>
        <v>12</v>
      </c>
      <c r="W370" s="42">
        <f>VLOOKUP($B370,'Biomass&amp;MSW'!$A$39:$V$70,COLUMN(K$1),FALSE)</f>
        <v>18</v>
      </c>
      <c r="X370" s="42">
        <f>VLOOKUP($B370,'Biomass&amp;MSW'!$A$39:$V$70,COLUMN(L$1),FALSE)</f>
        <v>48</v>
      </c>
      <c r="Y370" s="42">
        <f>VLOOKUP($B370,'Biomass&amp;MSW'!$A$39:$V$70,COLUMN(M$1),FALSE)</f>
        <v>0</v>
      </c>
      <c r="Z370" s="42">
        <f>VLOOKUP($B370,'Biomass&amp;MSW'!$A$39:$V$70,COLUMN(N$1),FALSE)</f>
        <v>0</v>
      </c>
      <c r="AA370" s="42">
        <f>VLOOKUP($B370,'Biomass&amp;MSW'!$A$39:$V$70,COLUMN(O$1),FALSE)</f>
        <v>0</v>
      </c>
      <c r="AB370" s="42">
        <f>VLOOKUP($B370,'Biomass&amp;MSW'!$A$39:$V$70,COLUMN(P$1),FALSE)</f>
        <v>0</v>
      </c>
      <c r="AC370" s="42">
        <f>VLOOKUP($B370,'Biomass&amp;MSW'!$A$39:$V$70,COLUMN(Q$1),FALSE)</f>
        <v>0</v>
      </c>
      <c r="AD370" s="42">
        <f>VLOOKUP($B370,'Biomass&amp;MSW'!$A$39:$V$70,COLUMN(R$1),FALSE)</f>
        <v>0</v>
      </c>
      <c r="AE370" s="42">
        <f>VLOOKUP($B370,'Biomass&amp;MSW'!$A$39:$V$70,COLUMN(S$1),FALSE)</f>
        <v>0</v>
      </c>
      <c r="AF370" s="43">
        <f>VLOOKUP($B370,'Biomass&amp;MSW'!$A$39:$V$70,COLUMN(T$1),FALSE)</f>
        <v>0</v>
      </c>
    </row>
    <row r="371" ht="13.85" spans="1:32">
      <c r="A371" s="27" t="s">
        <v>2323</v>
      </c>
      <c r="B371" s="44" t="s">
        <v>90</v>
      </c>
      <c r="C371" s="45"/>
      <c r="D371" s="45"/>
      <c r="E371" s="45"/>
      <c r="F371" s="42"/>
      <c r="G371" s="42"/>
      <c r="H371" s="42"/>
      <c r="I371" s="42"/>
      <c r="J371" s="42"/>
      <c r="K371" s="42"/>
      <c r="L371" s="42"/>
      <c r="M371" s="42"/>
      <c r="N371" s="42">
        <f>VLOOKUP($B371,'Biomass&amp;MSW'!$A$39:$V$70,COLUMN(B$1),FALSE)</f>
        <v>5.25</v>
      </c>
      <c r="O371" s="42">
        <f>VLOOKUP($B371,'Biomass&amp;MSW'!$A$39:$V$70,COLUMN(C$1),FALSE)</f>
        <v>5.25</v>
      </c>
      <c r="P371" s="42">
        <f>VLOOKUP($B371,'Biomass&amp;MSW'!$A$39:$V$70,COLUMN(D$1),FALSE)</f>
        <v>5.25</v>
      </c>
      <c r="Q371" s="42">
        <f>VLOOKUP($B371,'Biomass&amp;MSW'!$A$39:$V$70,COLUMN(E$1),FALSE)</f>
        <v>5.25</v>
      </c>
      <c r="R371" s="42">
        <f>VLOOKUP($B371,'Biomass&amp;MSW'!$A$39:$V$70,COLUMN(F$1),FALSE)</f>
        <v>5.25</v>
      </c>
      <c r="S371" s="42">
        <f>VLOOKUP($B371,'Biomass&amp;MSW'!$A$39:$V$70,COLUMN(G$1),FALSE)</f>
        <v>5.25</v>
      </c>
      <c r="T371" s="42">
        <f>VLOOKUP($B371,'Biomass&amp;MSW'!$A$39:$V$70,COLUMN(H$1),FALSE)</f>
        <v>5.25</v>
      </c>
      <c r="U371" s="42">
        <f>VLOOKUP($B371,'Biomass&amp;MSW'!$A$39:$V$70,COLUMN(I$1),FALSE)</f>
        <v>5.25</v>
      </c>
      <c r="V371" s="42">
        <f>VLOOKUP($B371,'Biomass&amp;MSW'!$A$39:$V$70,COLUMN(J$1),FALSE)</f>
        <v>0</v>
      </c>
      <c r="W371" s="42">
        <f>VLOOKUP($B371,'Biomass&amp;MSW'!$A$39:$V$70,COLUMN(K$1),FALSE)</f>
        <v>0</v>
      </c>
      <c r="X371" s="42">
        <f>VLOOKUP($B371,'Biomass&amp;MSW'!$A$39:$V$70,COLUMN(L$1),FALSE)</f>
        <v>0</v>
      </c>
      <c r="Y371" s="42">
        <f>VLOOKUP($B371,'Biomass&amp;MSW'!$A$39:$V$70,COLUMN(M$1),FALSE)</f>
        <v>111</v>
      </c>
      <c r="Z371" s="42">
        <f>VLOOKUP($B371,'Biomass&amp;MSW'!$A$39:$V$70,COLUMN(N$1),FALSE)</f>
        <v>60</v>
      </c>
      <c r="AA371" s="42">
        <f>VLOOKUP($B371,'Biomass&amp;MSW'!$A$39:$V$70,COLUMN(O$1),FALSE)</f>
        <v>0</v>
      </c>
      <c r="AB371" s="42">
        <f>VLOOKUP($B371,'Biomass&amp;MSW'!$A$39:$V$70,COLUMN(P$1),FALSE)</f>
        <v>0</v>
      </c>
      <c r="AC371" s="42">
        <f>VLOOKUP($B371,'Biomass&amp;MSW'!$A$39:$V$70,COLUMN(Q$1),FALSE)</f>
        <v>0</v>
      </c>
      <c r="AD371" s="42">
        <f>VLOOKUP($B371,'Biomass&amp;MSW'!$A$39:$V$70,COLUMN(R$1),FALSE)</f>
        <v>0</v>
      </c>
      <c r="AE371" s="42">
        <f>VLOOKUP($B371,'Biomass&amp;MSW'!$A$39:$V$70,COLUMN(S$1),FALSE)</f>
        <v>0</v>
      </c>
      <c r="AF371" s="43">
        <f>VLOOKUP($B371,'Biomass&amp;MSW'!$A$39:$V$70,COLUMN(T$1),FALSE)</f>
        <v>0</v>
      </c>
    </row>
    <row r="372" ht="13.85" spans="1:32">
      <c r="A372" s="27" t="s">
        <v>2323</v>
      </c>
      <c r="B372" s="44" t="s">
        <v>92</v>
      </c>
      <c r="C372" s="45"/>
      <c r="D372" s="45"/>
      <c r="E372" s="45"/>
      <c r="F372" s="42"/>
      <c r="G372" s="42"/>
      <c r="H372" s="42"/>
      <c r="I372" s="42"/>
      <c r="J372" s="42"/>
      <c r="K372" s="42"/>
      <c r="L372" s="42"/>
      <c r="M372" s="42"/>
      <c r="N372" s="42">
        <f>VLOOKUP($B372,'Biomass&amp;MSW'!$A$39:$V$70,COLUMN(B$1),FALSE)</f>
        <v>0</v>
      </c>
      <c r="O372" s="42">
        <f>VLOOKUP($B372,'Biomass&amp;MSW'!$A$39:$V$70,COLUMN(C$1),FALSE)</f>
        <v>0</v>
      </c>
      <c r="P372" s="42">
        <f>VLOOKUP($B372,'Biomass&amp;MSW'!$A$39:$V$70,COLUMN(D$1),FALSE)</f>
        <v>0</v>
      </c>
      <c r="Q372" s="42">
        <f>VLOOKUP($B372,'Biomass&amp;MSW'!$A$39:$V$70,COLUMN(E$1),FALSE)</f>
        <v>0</v>
      </c>
      <c r="R372" s="42">
        <f>VLOOKUP($B372,'Biomass&amp;MSW'!$A$39:$V$70,COLUMN(F$1),FALSE)</f>
        <v>0</v>
      </c>
      <c r="S372" s="42">
        <f>VLOOKUP($B372,'Biomass&amp;MSW'!$A$39:$V$70,COLUMN(G$1),FALSE)</f>
        <v>0</v>
      </c>
      <c r="T372" s="42">
        <f>VLOOKUP($B372,'Biomass&amp;MSW'!$A$39:$V$70,COLUMN(H$1),FALSE)</f>
        <v>0</v>
      </c>
      <c r="U372" s="42">
        <f>VLOOKUP($B372,'Biomass&amp;MSW'!$A$39:$V$70,COLUMN(I$1),FALSE)</f>
        <v>0</v>
      </c>
      <c r="V372" s="42">
        <f>VLOOKUP($B372,'Biomass&amp;MSW'!$A$39:$V$70,COLUMN(J$1),FALSE)</f>
        <v>30</v>
      </c>
      <c r="W372" s="42">
        <f>VLOOKUP($B372,'Biomass&amp;MSW'!$A$39:$V$70,COLUMN(K$1),FALSE)</f>
        <v>8.9</v>
      </c>
      <c r="X372" s="42">
        <f>VLOOKUP($B372,'Biomass&amp;MSW'!$A$39:$V$70,COLUMN(L$1),FALSE)</f>
        <v>55</v>
      </c>
      <c r="Y372" s="42">
        <f>VLOOKUP($B372,'Biomass&amp;MSW'!$A$39:$V$70,COLUMN(M$1),FALSE)</f>
        <v>15</v>
      </c>
      <c r="Z372" s="42">
        <f>VLOOKUP($B372,'Biomass&amp;MSW'!$A$39:$V$70,COLUMN(N$1),FALSE)</f>
        <v>0</v>
      </c>
      <c r="AA372" s="42">
        <f>VLOOKUP($B372,'Biomass&amp;MSW'!$A$39:$V$70,COLUMN(O$1),FALSE)</f>
        <v>75</v>
      </c>
      <c r="AB372" s="42">
        <f>VLOOKUP($B372,'Biomass&amp;MSW'!$A$39:$V$70,COLUMN(P$1),FALSE)</f>
        <v>60</v>
      </c>
      <c r="AC372" s="42">
        <f>VLOOKUP($B372,'Biomass&amp;MSW'!$A$39:$V$70,COLUMN(Q$1),FALSE)</f>
        <v>30</v>
      </c>
      <c r="AD372" s="42">
        <f>VLOOKUP($B372,'Biomass&amp;MSW'!$A$39:$V$70,COLUMN(R$1),FALSE)</f>
        <v>0</v>
      </c>
      <c r="AE372" s="42">
        <f>VLOOKUP($B372,'Biomass&amp;MSW'!$A$39:$V$70,COLUMN(S$1),FALSE)</f>
        <v>0</v>
      </c>
      <c r="AF372" s="43">
        <f>VLOOKUP($B372,'Biomass&amp;MSW'!$A$39:$V$70,COLUMN(T$1),FALSE)</f>
        <v>0</v>
      </c>
    </row>
    <row r="373" ht="13.85" spans="1:32">
      <c r="A373" s="27" t="s">
        <v>2323</v>
      </c>
      <c r="B373" s="44" t="s">
        <v>94</v>
      </c>
      <c r="C373" s="45"/>
      <c r="D373" s="45"/>
      <c r="E373" s="45"/>
      <c r="F373" s="42"/>
      <c r="G373" s="42"/>
      <c r="H373" s="42"/>
      <c r="I373" s="42"/>
      <c r="J373" s="42"/>
      <c r="K373" s="42"/>
      <c r="L373" s="42"/>
      <c r="M373" s="42"/>
      <c r="N373" s="42">
        <f>VLOOKUP($B373,'Biomass&amp;MSW'!$A$39:$V$70,COLUMN(B$1),FALSE)</f>
        <v>15.7625</v>
      </c>
      <c r="O373" s="42">
        <f>VLOOKUP($B373,'Biomass&amp;MSW'!$A$39:$V$70,COLUMN(C$1),FALSE)</f>
        <v>15.7625</v>
      </c>
      <c r="P373" s="42">
        <f>VLOOKUP($B373,'Biomass&amp;MSW'!$A$39:$V$70,COLUMN(D$1),FALSE)</f>
        <v>15.7625</v>
      </c>
      <c r="Q373" s="42">
        <f>VLOOKUP($B373,'Biomass&amp;MSW'!$A$39:$V$70,COLUMN(E$1),FALSE)</f>
        <v>15.7625</v>
      </c>
      <c r="R373" s="42">
        <f>VLOOKUP($B373,'Biomass&amp;MSW'!$A$39:$V$70,COLUMN(F$1),FALSE)</f>
        <v>15.7625</v>
      </c>
      <c r="S373" s="42">
        <f>VLOOKUP($B373,'Biomass&amp;MSW'!$A$39:$V$70,COLUMN(G$1),FALSE)</f>
        <v>15.7625</v>
      </c>
      <c r="T373" s="42">
        <f>VLOOKUP($B373,'Biomass&amp;MSW'!$A$39:$V$70,COLUMN(H$1),FALSE)</f>
        <v>15.7625</v>
      </c>
      <c r="U373" s="42">
        <f>VLOOKUP($B373,'Biomass&amp;MSW'!$A$39:$V$70,COLUMN(I$1),FALSE)</f>
        <v>15.7625</v>
      </c>
      <c r="V373" s="42">
        <f>VLOOKUP($B373,'Biomass&amp;MSW'!$A$39:$V$70,COLUMN(J$1),FALSE)</f>
        <v>3</v>
      </c>
      <c r="W373" s="42">
        <f>VLOOKUP($B373,'Biomass&amp;MSW'!$A$39:$V$70,COLUMN(K$1),FALSE)</f>
        <v>90</v>
      </c>
      <c r="X373" s="42">
        <f>VLOOKUP($B373,'Biomass&amp;MSW'!$A$39:$V$70,COLUMN(L$1),FALSE)</f>
        <v>6</v>
      </c>
      <c r="Y373" s="42">
        <f>VLOOKUP($B373,'Biomass&amp;MSW'!$A$39:$V$70,COLUMN(M$1),FALSE)</f>
        <v>78</v>
      </c>
      <c r="Z373" s="42">
        <f>VLOOKUP($B373,'Biomass&amp;MSW'!$A$39:$V$70,COLUMN(N$1),FALSE)</f>
        <v>33</v>
      </c>
      <c r="AA373" s="42">
        <f>VLOOKUP($B373,'Biomass&amp;MSW'!$A$39:$V$70,COLUMN(O$1),FALSE)</f>
        <v>58.1</v>
      </c>
      <c r="AB373" s="42">
        <f>VLOOKUP($B373,'Biomass&amp;MSW'!$A$39:$V$70,COLUMN(P$1),FALSE)</f>
        <v>66</v>
      </c>
      <c r="AC373" s="42">
        <f>VLOOKUP($B373,'Biomass&amp;MSW'!$A$39:$V$70,COLUMN(Q$1),FALSE)</f>
        <v>96</v>
      </c>
      <c r="AD373" s="42">
        <f>VLOOKUP($B373,'Biomass&amp;MSW'!$A$39:$V$70,COLUMN(R$1),FALSE)</f>
        <v>90</v>
      </c>
      <c r="AE373" s="42">
        <f>VLOOKUP($B373,'Biomass&amp;MSW'!$A$39:$V$70,COLUMN(S$1),FALSE)</f>
        <v>45</v>
      </c>
      <c r="AF373" s="43">
        <f>VLOOKUP($B373,'Biomass&amp;MSW'!$A$39:$V$70,COLUMN(T$1),FALSE)</f>
        <v>309.8</v>
      </c>
    </row>
    <row r="374" ht="13.85" spans="1:32">
      <c r="A374" s="27" t="s">
        <v>2323</v>
      </c>
      <c r="B374" s="44" t="s">
        <v>96</v>
      </c>
      <c r="C374" s="45"/>
      <c r="D374" s="45"/>
      <c r="E374" s="45"/>
      <c r="F374" s="42"/>
      <c r="G374" s="42"/>
      <c r="H374" s="42"/>
      <c r="I374" s="42"/>
      <c r="J374" s="42"/>
      <c r="K374" s="42"/>
      <c r="L374" s="42"/>
      <c r="M374" s="42"/>
      <c r="N374" s="42">
        <f>VLOOKUP($B374,'Biomass&amp;MSW'!$A$39:$V$70,COLUMN(B$1),FALSE)</f>
        <v>37.4875</v>
      </c>
      <c r="O374" s="42">
        <f>VLOOKUP($B374,'Biomass&amp;MSW'!$A$39:$V$70,COLUMN(C$1),FALSE)</f>
        <v>37.4875</v>
      </c>
      <c r="P374" s="42">
        <f>VLOOKUP($B374,'Biomass&amp;MSW'!$A$39:$V$70,COLUMN(D$1),FALSE)</f>
        <v>37.4875</v>
      </c>
      <c r="Q374" s="42">
        <f>VLOOKUP($B374,'Biomass&amp;MSW'!$A$39:$V$70,COLUMN(E$1),FALSE)</f>
        <v>37.4875</v>
      </c>
      <c r="R374" s="42">
        <f>VLOOKUP($B374,'Biomass&amp;MSW'!$A$39:$V$70,COLUMN(F$1),FALSE)</f>
        <v>37.4875</v>
      </c>
      <c r="S374" s="42">
        <f>VLOOKUP($B374,'Biomass&amp;MSW'!$A$39:$V$70,COLUMN(G$1),FALSE)</f>
        <v>37.4875</v>
      </c>
      <c r="T374" s="42">
        <f>VLOOKUP($B374,'Biomass&amp;MSW'!$A$39:$V$70,COLUMN(H$1),FALSE)</f>
        <v>37.4875</v>
      </c>
      <c r="U374" s="42">
        <f>VLOOKUP($B374,'Biomass&amp;MSW'!$A$39:$V$70,COLUMN(I$1),FALSE)</f>
        <v>37.4875</v>
      </c>
      <c r="V374" s="42">
        <f>VLOOKUP($B374,'Biomass&amp;MSW'!$A$39:$V$70,COLUMN(J$1),FALSE)</f>
        <v>0</v>
      </c>
      <c r="W374" s="42">
        <f>VLOOKUP($B374,'Biomass&amp;MSW'!$A$39:$V$70,COLUMN(K$1),FALSE)</f>
        <v>0</v>
      </c>
      <c r="X374" s="42">
        <f>VLOOKUP($B374,'Biomass&amp;MSW'!$A$39:$V$70,COLUMN(L$1),FALSE)</f>
        <v>0</v>
      </c>
      <c r="Y374" s="42">
        <f>VLOOKUP($B374,'Biomass&amp;MSW'!$A$39:$V$70,COLUMN(M$1),FALSE)</f>
        <v>0</v>
      </c>
      <c r="Z374" s="42">
        <f>VLOOKUP($B374,'Biomass&amp;MSW'!$A$39:$V$70,COLUMN(N$1),FALSE)</f>
        <v>9.8</v>
      </c>
      <c r="AA374" s="42">
        <f>VLOOKUP($B374,'Biomass&amp;MSW'!$A$39:$V$70,COLUMN(O$1),FALSE)</f>
        <v>0</v>
      </c>
      <c r="AB374" s="42">
        <f>VLOOKUP($B374,'Biomass&amp;MSW'!$A$39:$V$70,COLUMN(P$1),FALSE)</f>
        <v>0</v>
      </c>
      <c r="AC374" s="42">
        <f>VLOOKUP($B374,'Biomass&amp;MSW'!$A$39:$V$70,COLUMN(Q$1),FALSE)</f>
        <v>54</v>
      </c>
      <c r="AD374" s="42">
        <f>VLOOKUP($B374,'Biomass&amp;MSW'!$A$39:$V$70,COLUMN(R$1),FALSE)</f>
        <v>0</v>
      </c>
      <c r="AE374" s="42">
        <f>VLOOKUP($B374,'Biomass&amp;MSW'!$A$39:$V$70,COLUMN(S$1),FALSE)</f>
        <v>0</v>
      </c>
      <c r="AF374" s="43">
        <f>VLOOKUP($B374,'Biomass&amp;MSW'!$A$39:$V$70,COLUMN(T$1),FALSE)</f>
        <v>0</v>
      </c>
    </row>
    <row r="375" ht="13.85" spans="1:32">
      <c r="A375" s="27" t="s">
        <v>2323</v>
      </c>
      <c r="B375" s="44" t="s">
        <v>98</v>
      </c>
      <c r="C375" s="45"/>
      <c r="D375" s="45"/>
      <c r="E375" s="45"/>
      <c r="F375" s="42"/>
      <c r="G375" s="42"/>
      <c r="H375" s="42"/>
      <c r="I375" s="42"/>
      <c r="J375" s="42"/>
      <c r="K375" s="42"/>
      <c r="L375" s="42"/>
      <c r="M375" s="42"/>
      <c r="N375" s="42">
        <f>VLOOKUP($B375,'Biomass&amp;MSW'!$A$39:$V$70,COLUMN(B$1),FALSE)</f>
        <v>0</v>
      </c>
      <c r="O375" s="42">
        <f>VLOOKUP($B375,'Biomass&amp;MSW'!$A$39:$V$70,COLUMN(C$1),FALSE)</f>
        <v>0</v>
      </c>
      <c r="P375" s="42">
        <f>VLOOKUP($B375,'Biomass&amp;MSW'!$A$39:$V$70,COLUMN(D$1),FALSE)</f>
        <v>0</v>
      </c>
      <c r="Q375" s="42">
        <f>VLOOKUP($B375,'Biomass&amp;MSW'!$A$39:$V$70,COLUMN(E$1),FALSE)</f>
        <v>0</v>
      </c>
      <c r="R375" s="42">
        <f>VLOOKUP($B375,'Biomass&amp;MSW'!$A$39:$V$70,COLUMN(F$1),FALSE)</f>
        <v>0</v>
      </c>
      <c r="S375" s="42">
        <f>VLOOKUP($B375,'Biomass&amp;MSW'!$A$39:$V$70,COLUMN(G$1),FALSE)</f>
        <v>0</v>
      </c>
      <c r="T375" s="42">
        <f>VLOOKUP($B375,'Biomass&amp;MSW'!$A$39:$V$70,COLUMN(H$1),FALSE)</f>
        <v>0</v>
      </c>
      <c r="U375" s="42">
        <f>VLOOKUP($B375,'Biomass&amp;MSW'!$A$39:$V$70,COLUMN(I$1),FALSE)</f>
        <v>0</v>
      </c>
      <c r="V375" s="42">
        <f>VLOOKUP($B375,'Biomass&amp;MSW'!$A$39:$V$70,COLUMN(J$1),FALSE)</f>
        <v>69</v>
      </c>
      <c r="W375" s="42">
        <f>VLOOKUP($B375,'Biomass&amp;MSW'!$A$39:$V$70,COLUMN(K$1),FALSE)</f>
        <v>0</v>
      </c>
      <c r="X375" s="42">
        <f>VLOOKUP($B375,'Biomass&amp;MSW'!$A$39:$V$70,COLUMN(L$1),FALSE)</f>
        <v>16</v>
      </c>
      <c r="Y375" s="42">
        <f>VLOOKUP($B375,'Biomass&amp;MSW'!$A$39:$V$70,COLUMN(M$1),FALSE)</f>
        <v>59.8</v>
      </c>
      <c r="Z375" s="42">
        <f>VLOOKUP($B375,'Biomass&amp;MSW'!$A$39:$V$70,COLUMN(N$1),FALSE)</f>
        <v>15</v>
      </c>
      <c r="AA375" s="42">
        <f>VLOOKUP($B375,'Biomass&amp;MSW'!$A$39:$V$70,COLUMN(O$1),FALSE)</f>
        <v>0</v>
      </c>
      <c r="AB375" s="42">
        <f>VLOOKUP($B375,'Biomass&amp;MSW'!$A$39:$V$70,COLUMN(P$1),FALSE)</f>
        <v>30</v>
      </c>
      <c r="AC375" s="42">
        <f>VLOOKUP($B375,'Biomass&amp;MSW'!$A$39:$V$70,COLUMN(Q$1),FALSE)</f>
        <v>65</v>
      </c>
      <c r="AD375" s="42">
        <f>VLOOKUP($B375,'Biomass&amp;MSW'!$A$39:$V$70,COLUMN(R$1),FALSE)</f>
        <v>60</v>
      </c>
      <c r="AE375" s="42">
        <f>VLOOKUP($B375,'Biomass&amp;MSW'!$A$39:$V$70,COLUMN(S$1),FALSE)</f>
        <v>30</v>
      </c>
      <c r="AF375" s="43">
        <f>VLOOKUP($B375,'Biomass&amp;MSW'!$A$39:$V$70,COLUMN(T$1),FALSE)</f>
        <v>75</v>
      </c>
    </row>
    <row r="376" ht="13.85" spans="1:32">
      <c r="A376" s="27" t="s">
        <v>2323</v>
      </c>
      <c r="B376" s="44" t="s">
        <v>100</v>
      </c>
      <c r="C376" s="45"/>
      <c r="D376" s="45"/>
      <c r="E376" s="45"/>
      <c r="F376" s="42"/>
      <c r="G376" s="42"/>
      <c r="H376" s="42"/>
      <c r="I376" s="42"/>
      <c r="J376" s="42"/>
      <c r="K376" s="42"/>
      <c r="L376" s="42"/>
      <c r="M376" s="42"/>
      <c r="N376" s="42">
        <f>VLOOKUP($B376,'Biomass&amp;MSW'!$A$39:$V$70,COLUMN(B$1),FALSE)</f>
        <v>25.65</v>
      </c>
      <c r="O376" s="42">
        <f>VLOOKUP($B376,'Biomass&amp;MSW'!$A$39:$V$70,COLUMN(C$1),FALSE)</f>
        <v>25.65</v>
      </c>
      <c r="P376" s="42">
        <f>VLOOKUP($B376,'Biomass&amp;MSW'!$A$39:$V$70,COLUMN(D$1),FALSE)</f>
        <v>25.65</v>
      </c>
      <c r="Q376" s="42">
        <f>VLOOKUP($B376,'Biomass&amp;MSW'!$A$39:$V$70,COLUMN(E$1),FALSE)</f>
        <v>25.65</v>
      </c>
      <c r="R376" s="42">
        <f>VLOOKUP($B376,'Biomass&amp;MSW'!$A$39:$V$70,COLUMN(F$1),FALSE)</f>
        <v>25.65</v>
      </c>
      <c r="S376" s="42">
        <f>VLOOKUP($B376,'Biomass&amp;MSW'!$A$39:$V$70,COLUMN(G$1),FALSE)</f>
        <v>25.65</v>
      </c>
      <c r="T376" s="42">
        <f>VLOOKUP($B376,'Biomass&amp;MSW'!$A$39:$V$70,COLUMN(H$1),FALSE)</f>
        <v>25.65</v>
      </c>
      <c r="U376" s="42">
        <f>VLOOKUP($B376,'Biomass&amp;MSW'!$A$39:$V$70,COLUMN(I$1),FALSE)</f>
        <v>25.65</v>
      </c>
      <c r="V376" s="42">
        <f>VLOOKUP($B376,'Biomass&amp;MSW'!$A$39:$V$70,COLUMN(J$1),FALSE)</f>
        <v>0</v>
      </c>
      <c r="W376" s="42">
        <f>VLOOKUP($B376,'Biomass&amp;MSW'!$A$39:$V$70,COLUMN(K$1),FALSE)</f>
        <v>0</v>
      </c>
      <c r="X376" s="42">
        <f>VLOOKUP($B376,'Biomass&amp;MSW'!$A$39:$V$70,COLUMN(L$1),FALSE)</f>
        <v>0</v>
      </c>
      <c r="Y376" s="42">
        <f>VLOOKUP($B376,'Biomass&amp;MSW'!$A$39:$V$70,COLUMN(M$1),FALSE)</f>
        <v>0</v>
      </c>
      <c r="Z376" s="42">
        <f>VLOOKUP($B376,'Biomass&amp;MSW'!$A$39:$V$70,COLUMN(N$1),FALSE)</f>
        <v>0</v>
      </c>
      <c r="AA376" s="42">
        <f>VLOOKUP($B376,'Biomass&amp;MSW'!$A$39:$V$70,COLUMN(O$1),FALSE)</f>
        <v>30</v>
      </c>
      <c r="AB376" s="42">
        <f>VLOOKUP($B376,'Biomass&amp;MSW'!$A$39:$V$70,COLUMN(P$1),FALSE)</f>
        <v>15</v>
      </c>
      <c r="AC376" s="42">
        <f>VLOOKUP($B376,'Biomass&amp;MSW'!$A$39:$V$70,COLUMN(Q$1),FALSE)</f>
        <v>59.5</v>
      </c>
      <c r="AD376" s="42">
        <f>VLOOKUP($B376,'Biomass&amp;MSW'!$A$39:$V$70,COLUMN(R$1),FALSE)</f>
        <v>32</v>
      </c>
      <c r="AE376" s="42">
        <f>VLOOKUP($B376,'Biomass&amp;MSW'!$A$39:$V$70,COLUMN(S$1),FALSE)</f>
        <v>15</v>
      </c>
      <c r="AF376" s="43">
        <f>VLOOKUP($B376,'Biomass&amp;MSW'!$A$39:$V$70,COLUMN(T$1),FALSE)</f>
        <v>15</v>
      </c>
    </row>
    <row r="377" ht="13.85" spans="1:32">
      <c r="A377" s="27" t="s">
        <v>2323</v>
      </c>
      <c r="B377" s="44" t="s">
        <v>102</v>
      </c>
      <c r="C377" s="45"/>
      <c r="D377" s="45"/>
      <c r="E377" s="45"/>
      <c r="F377" s="42"/>
      <c r="G377" s="42"/>
      <c r="H377" s="42"/>
      <c r="I377" s="42"/>
      <c r="J377" s="42"/>
      <c r="K377" s="42"/>
      <c r="L377" s="42"/>
      <c r="M377" s="42"/>
      <c r="N377" s="42">
        <f>VLOOKUP($B377,'Biomass&amp;MSW'!$A$39:$V$70,COLUMN(B$1),FALSE)</f>
        <v>11.9375</v>
      </c>
      <c r="O377" s="42">
        <f>VLOOKUP($B377,'Biomass&amp;MSW'!$A$39:$V$70,COLUMN(C$1),FALSE)</f>
        <v>11.9375</v>
      </c>
      <c r="P377" s="42">
        <f>VLOOKUP($B377,'Biomass&amp;MSW'!$A$39:$V$70,COLUMN(D$1),FALSE)</f>
        <v>11.9375</v>
      </c>
      <c r="Q377" s="42">
        <f>VLOOKUP($B377,'Biomass&amp;MSW'!$A$39:$V$70,COLUMN(E$1),FALSE)</f>
        <v>11.9375</v>
      </c>
      <c r="R377" s="42">
        <f>VLOOKUP($B377,'Biomass&amp;MSW'!$A$39:$V$70,COLUMN(F$1),FALSE)</f>
        <v>11.9375</v>
      </c>
      <c r="S377" s="42">
        <f>VLOOKUP($B377,'Biomass&amp;MSW'!$A$39:$V$70,COLUMN(G$1),FALSE)</f>
        <v>11.9375</v>
      </c>
      <c r="T377" s="42">
        <f>VLOOKUP($B377,'Biomass&amp;MSW'!$A$39:$V$70,COLUMN(H$1),FALSE)</f>
        <v>11.9375</v>
      </c>
      <c r="U377" s="42">
        <f>VLOOKUP($B377,'Biomass&amp;MSW'!$A$39:$V$70,COLUMN(I$1),FALSE)</f>
        <v>11.9375</v>
      </c>
      <c r="V377" s="42">
        <f>VLOOKUP($B377,'Biomass&amp;MSW'!$A$39:$V$70,COLUMN(J$1),FALSE)</f>
        <v>49</v>
      </c>
      <c r="W377" s="42">
        <f>VLOOKUP($B377,'Biomass&amp;MSW'!$A$39:$V$70,COLUMN(K$1),FALSE)</f>
        <v>36</v>
      </c>
      <c r="X377" s="42">
        <f>VLOOKUP($B377,'Biomass&amp;MSW'!$A$39:$V$70,COLUMN(L$1),FALSE)</f>
        <v>120</v>
      </c>
      <c r="Y377" s="42">
        <f>VLOOKUP($B377,'Biomass&amp;MSW'!$A$39:$V$70,COLUMN(M$1),FALSE)</f>
        <v>30</v>
      </c>
      <c r="Z377" s="42">
        <f>VLOOKUP($B377,'Biomass&amp;MSW'!$A$39:$V$70,COLUMN(N$1),FALSE)</f>
        <v>120</v>
      </c>
      <c r="AA377" s="42">
        <f>VLOOKUP($B377,'Biomass&amp;MSW'!$A$39:$V$70,COLUMN(O$1),FALSE)</f>
        <v>114</v>
      </c>
      <c r="AB377" s="42">
        <f>VLOOKUP($B377,'Biomass&amp;MSW'!$A$39:$V$70,COLUMN(P$1),FALSE)</f>
        <v>30</v>
      </c>
      <c r="AC377" s="42">
        <f>VLOOKUP($B377,'Biomass&amp;MSW'!$A$39:$V$70,COLUMN(Q$1),FALSE)</f>
        <v>0</v>
      </c>
      <c r="AD377" s="42">
        <f>VLOOKUP($B377,'Biomass&amp;MSW'!$A$39:$V$70,COLUMN(R$1),FALSE)</f>
        <v>190</v>
      </c>
      <c r="AE377" s="42">
        <f>VLOOKUP($B377,'Biomass&amp;MSW'!$A$39:$V$70,COLUMN(S$1),FALSE)</f>
        <v>367.2</v>
      </c>
      <c r="AF377" s="43">
        <f>VLOOKUP($B377,'Biomass&amp;MSW'!$A$39:$V$70,COLUMN(T$1),FALSE)</f>
        <v>108.5</v>
      </c>
    </row>
    <row r="378" ht="13.85" spans="1:32">
      <c r="A378" s="27" t="s">
        <v>2323</v>
      </c>
      <c r="B378" s="44" t="s">
        <v>104</v>
      </c>
      <c r="C378" s="45"/>
      <c r="D378" s="45"/>
      <c r="E378" s="45"/>
      <c r="F378" s="42"/>
      <c r="G378" s="42"/>
      <c r="H378" s="42"/>
      <c r="I378" s="42"/>
      <c r="J378" s="42"/>
      <c r="K378" s="42"/>
      <c r="L378" s="42"/>
      <c r="M378" s="42"/>
      <c r="N378" s="42">
        <f>VLOOKUP($B378,'Biomass&amp;MSW'!$A$39:$V$70,COLUMN(B$1),FALSE)</f>
        <v>21.375</v>
      </c>
      <c r="O378" s="42">
        <f>VLOOKUP($B378,'Biomass&amp;MSW'!$A$39:$V$70,COLUMN(C$1),FALSE)</f>
        <v>21.375</v>
      </c>
      <c r="P378" s="42">
        <f>VLOOKUP($B378,'Biomass&amp;MSW'!$A$39:$V$70,COLUMN(D$1),FALSE)</f>
        <v>21.375</v>
      </c>
      <c r="Q378" s="42">
        <f>VLOOKUP($B378,'Biomass&amp;MSW'!$A$39:$V$70,COLUMN(E$1),FALSE)</f>
        <v>21.375</v>
      </c>
      <c r="R378" s="42">
        <f>VLOOKUP($B378,'Biomass&amp;MSW'!$A$39:$V$70,COLUMN(F$1),FALSE)</f>
        <v>21.375</v>
      </c>
      <c r="S378" s="42">
        <f>VLOOKUP($B378,'Biomass&amp;MSW'!$A$39:$V$70,COLUMN(G$1),FALSE)</f>
        <v>21.375</v>
      </c>
      <c r="T378" s="42">
        <f>VLOOKUP($B378,'Biomass&amp;MSW'!$A$39:$V$70,COLUMN(H$1),FALSE)</f>
        <v>21.375</v>
      </c>
      <c r="U378" s="42">
        <f>VLOOKUP($B378,'Biomass&amp;MSW'!$A$39:$V$70,COLUMN(I$1),FALSE)</f>
        <v>21.375</v>
      </c>
      <c r="V378" s="42">
        <f>VLOOKUP($B378,'Biomass&amp;MSW'!$A$39:$V$70,COLUMN(J$1),FALSE)</f>
        <v>0</v>
      </c>
      <c r="W378" s="42">
        <f>VLOOKUP($B378,'Biomass&amp;MSW'!$A$39:$V$70,COLUMN(K$1),FALSE)</f>
        <v>0</v>
      </c>
      <c r="X378" s="42">
        <f>VLOOKUP($B378,'Biomass&amp;MSW'!$A$39:$V$70,COLUMN(L$1),FALSE)</f>
        <v>0</v>
      </c>
      <c r="Y378" s="42">
        <f>VLOOKUP($B378,'Biomass&amp;MSW'!$A$39:$V$70,COLUMN(M$1),FALSE)</f>
        <v>0</v>
      </c>
      <c r="Z378" s="42">
        <f>VLOOKUP($B378,'Biomass&amp;MSW'!$A$39:$V$70,COLUMN(N$1),FALSE)</f>
        <v>0</v>
      </c>
      <c r="AA378" s="42">
        <f>VLOOKUP($B378,'Biomass&amp;MSW'!$A$39:$V$70,COLUMN(O$1),FALSE)</f>
        <v>15</v>
      </c>
      <c r="AB378" s="42">
        <f>VLOOKUP($B378,'Biomass&amp;MSW'!$A$39:$V$70,COLUMN(P$1),FALSE)</f>
        <v>0</v>
      </c>
      <c r="AC378" s="42">
        <f>VLOOKUP($B378,'Biomass&amp;MSW'!$A$39:$V$70,COLUMN(Q$1),FALSE)</f>
        <v>0</v>
      </c>
      <c r="AD378" s="42">
        <f>VLOOKUP($B378,'Biomass&amp;MSW'!$A$39:$V$70,COLUMN(R$1),FALSE)</f>
        <v>0</v>
      </c>
      <c r="AE378" s="42">
        <f>VLOOKUP($B378,'Biomass&amp;MSW'!$A$39:$V$70,COLUMN(S$1),FALSE)</f>
        <v>0</v>
      </c>
      <c r="AF378" s="43">
        <f>VLOOKUP($B378,'Biomass&amp;MSW'!$A$39:$V$70,COLUMN(T$1),FALSE)</f>
        <v>0</v>
      </c>
    </row>
    <row r="379" ht="13.85" spans="1:32">
      <c r="A379" s="27" t="s">
        <v>2323</v>
      </c>
      <c r="B379" s="44" t="s">
        <v>106</v>
      </c>
      <c r="C379" s="45"/>
      <c r="D379" s="45"/>
      <c r="E379" s="45"/>
      <c r="F379" s="42"/>
      <c r="G379" s="42"/>
      <c r="H379" s="42"/>
      <c r="I379" s="42"/>
      <c r="J379" s="42"/>
      <c r="K379" s="42"/>
      <c r="L379" s="42"/>
      <c r="M379" s="42"/>
      <c r="N379" s="42">
        <f>VLOOKUP($B379,'Biomass&amp;MSW'!$A$39:$V$70,COLUMN(B$1),FALSE)</f>
        <v>5.625</v>
      </c>
      <c r="O379" s="42">
        <f>VLOOKUP($B379,'Biomass&amp;MSW'!$A$39:$V$70,COLUMN(C$1),FALSE)</f>
        <v>5.625</v>
      </c>
      <c r="P379" s="42">
        <f>VLOOKUP($B379,'Biomass&amp;MSW'!$A$39:$V$70,COLUMN(D$1),FALSE)</f>
        <v>5.625</v>
      </c>
      <c r="Q379" s="42">
        <f>VLOOKUP($B379,'Biomass&amp;MSW'!$A$39:$V$70,COLUMN(E$1),FALSE)</f>
        <v>5.625</v>
      </c>
      <c r="R379" s="42">
        <f>VLOOKUP($B379,'Biomass&amp;MSW'!$A$39:$V$70,COLUMN(F$1),FALSE)</f>
        <v>5.625</v>
      </c>
      <c r="S379" s="42">
        <f>VLOOKUP($B379,'Biomass&amp;MSW'!$A$39:$V$70,COLUMN(G$1),FALSE)</f>
        <v>5.625</v>
      </c>
      <c r="T379" s="42">
        <f>VLOOKUP($B379,'Biomass&amp;MSW'!$A$39:$V$70,COLUMN(H$1),FALSE)</f>
        <v>5.625</v>
      </c>
      <c r="U379" s="42">
        <f>VLOOKUP($B379,'Biomass&amp;MSW'!$A$39:$V$70,COLUMN(I$1),FALSE)</f>
        <v>5.625</v>
      </c>
      <c r="V379" s="42">
        <f>VLOOKUP($B379,'Biomass&amp;MSW'!$A$39:$V$70,COLUMN(J$1),FALSE)</f>
        <v>0</v>
      </c>
      <c r="W379" s="42">
        <f>VLOOKUP($B379,'Biomass&amp;MSW'!$A$39:$V$70,COLUMN(K$1),FALSE)</f>
        <v>0</v>
      </c>
      <c r="X379" s="42">
        <f>VLOOKUP($B379,'Biomass&amp;MSW'!$A$39:$V$70,COLUMN(L$1),FALSE)</f>
        <v>0</v>
      </c>
      <c r="Y379" s="42">
        <f>VLOOKUP($B379,'Biomass&amp;MSW'!$A$39:$V$70,COLUMN(M$1),FALSE)</f>
        <v>0</v>
      </c>
      <c r="Z379" s="42">
        <f>VLOOKUP($B379,'Biomass&amp;MSW'!$A$39:$V$70,COLUMN(N$1),FALSE)</f>
        <v>0</v>
      </c>
      <c r="AA379" s="42">
        <f>VLOOKUP($B379,'Biomass&amp;MSW'!$A$39:$V$70,COLUMN(O$1),FALSE)</f>
        <v>0</v>
      </c>
      <c r="AB379" s="42">
        <f>VLOOKUP($B379,'Biomass&amp;MSW'!$A$39:$V$70,COLUMN(P$1),FALSE)</f>
        <v>30</v>
      </c>
      <c r="AC379" s="42">
        <f>VLOOKUP($B379,'Biomass&amp;MSW'!$A$39:$V$70,COLUMN(Q$1),FALSE)</f>
        <v>0</v>
      </c>
      <c r="AD379" s="42">
        <f>VLOOKUP($B379,'Biomass&amp;MSW'!$A$39:$V$70,COLUMN(R$1),FALSE)</f>
        <v>0</v>
      </c>
      <c r="AE379" s="42">
        <f>VLOOKUP($B379,'Biomass&amp;MSW'!$A$39:$V$70,COLUMN(S$1),FALSE)</f>
        <v>0</v>
      </c>
      <c r="AF379" s="43">
        <f>VLOOKUP($B379,'Biomass&amp;MSW'!$A$39:$V$70,COLUMN(T$1),FALSE)</f>
        <v>0</v>
      </c>
    </row>
    <row r="380" ht="13.85" spans="1:32">
      <c r="A380" s="27" t="s">
        <v>2323</v>
      </c>
      <c r="B380" s="44" t="s">
        <v>108</v>
      </c>
      <c r="C380" s="45"/>
      <c r="D380" s="45"/>
      <c r="E380" s="45"/>
      <c r="F380" s="42"/>
      <c r="G380" s="42"/>
      <c r="H380" s="42"/>
      <c r="I380" s="42"/>
      <c r="J380" s="42"/>
      <c r="K380" s="42"/>
      <c r="L380" s="42"/>
      <c r="M380" s="42"/>
      <c r="N380" s="42">
        <f>VLOOKUP($B380,'Biomass&amp;MSW'!$A$39:$V$70,COLUMN(B$1),FALSE)</f>
        <v>21.25</v>
      </c>
      <c r="O380" s="42">
        <f>VLOOKUP($B380,'Biomass&amp;MSW'!$A$39:$V$70,COLUMN(C$1),FALSE)</f>
        <v>21.25</v>
      </c>
      <c r="P380" s="42">
        <f>VLOOKUP($B380,'Biomass&amp;MSW'!$A$39:$V$70,COLUMN(D$1),FALSE)</f>
        <v>21.25</v>
      </c>
      <c r="Q380" s="42">
        <f>VLOOKUP($B380,'Biomass&amp;MSW'!$A$39:$V$70,COLUMN(E$1),FALSE)</f>
        <v>21.25</v>
      </c>
      <c r="R380" s="42">
        <f>VLOOKUP($B380,'Biomass&amp;MSW'!$A$39:$V$70,COLUMN(F$1),FALSE)</f>
        <v>21.25</v>
      </c>
      <c r="S380" s="42">
        <f>VLOOKUP($B380,'Biomass&amp;MSW'!$A$39:$V$70,COLUMN(G$1),FALSE)</f>
        <v>21.25</v>
      </c>
      <c r="T380" s="42">
        <f>VLOOKUP($B380,'Biomass&amp;MSW'!$A$39:$V$70,COLUMN(H$1),FALSE)</f>
        <v>21.25</v>
      </c>
      <c r="U380" s="42">
        <f>VLOOKUP($B380,'Biomass&amp;MSW'!$A$39:$V$70,COLUMN(I$1),FALSE)</f>
        <v>21.25</v>
      </c>
      <c r="V380" s="42">
        <f>VLOOKUP($B380,'Biomass&amp;MSW'!$A$39:$V$70,COLUMN(J$1),FALSE)</f>
        <v>33</v>
      </c>
      <c r="W380" s="42">
        <f>VLOOKUP($B380,'Biomass&amp;MSW'!$A$39:$V$70,COLUMN(K$1),FALSE)</f>
        <v>9</v>
      </c>
      <c r="X380" s="42">
        <f>VLOOKUP($B380,'Biomass&amp;MSW'!$A$39:$V$70,COLUMN(L$1),FALSE)</f>
        <v>195</v>
      </c>
      <c r="Y380" s="42">
        <f>VLOOKUP($B380,'Biomass&amp;MSW'!$A$39:$V$70,COLUMN(M$1),FALSE)</f>
        <v>112</v>
      </c>
      <c r="Z380" s="42">
        <f>VLOOKUP($B380,'Biomass&amp;MSW'!$A$39:$V$70,COLUMN(N$1),FALSE)</f>
        <v>131</v>
      </c>
      <c r="AA380" s="42">
        <f>VLOOKUP($B380,'Biomass&amp;MSW'!$A$39:$V$70,COLUMN(O$1),FALSE)</f>
        <v>42</v>
      </c>
      <c r="AB380" s="42">
        <f>VLOOKUP($B380,'Biomass&amp;MSW'!$A$39:$V$70,COLUMN(P$1),FALSE)</f>
        <v>90</v>
      </c>
      <c r="AC380" s="42">
        <f>VLOOKUP($B380,'Biomass&amp;MSW'!$A$39:$V$70,COLUMN(Q$1),FALSE)</f>
        <v>179</v>
      </c>
      <c r="AD380" s="42">
        <f>VLOOKUP($B380,'Biomass&amp;MSW'!$A$39:$V$70,COLUMN(R$1),FALSE)</f>
        <v>140</v>
      </c>
      <c r="AE380" s="42">
        <f>VLOOKUP($B380,'Biomass&amp;MSW'!$A$39:$V$70,COLUMN(S$1),FALSE)</f>
        <v>183</v>
      </c>
      <c r="AF380" s="43">
        <f>VLOOKUP($B380,'Biomass&amp;MSW'!$A$39:$V$70,COLUMN(T$1),FALSE)</f>
        <v>300</v>
      </c>
    </row>
    <row r="381" ht="13.85" spans="1:32">
      <c r="A381" s="27" t="s">
        <v>2323</v>
      </c>
      <c r="B381" s="44" t="s">
        <v>110</v>
      </c>
      <c r="C381" s="45"/>
      <c r="D381" s="45"/>
      <c r="E381" s="45"/>
      <c r="F381" s="42"/>
      <c r="G381" s="42"/>
      <c r="H381" s="42"/>
      <c r="I381" s="42"/>
      <c r="J381" s="42"/>
      <c r="K381" s="42"/>
      <c r="L381" s="42"/>
      <c r="M381" s="42"/>
      <c r="N381" s="42">
        <f>VLOOKUP($B381,'Biomass&amp;MSW'!$A$39:$V$70,COLUMN(B$1),FALSE)</f>
        <v>54.875</v>
      </c>
      <c r="O381" s="42">
        <f>VLOOKUP($B381,'Biomass&amp;MSW'!$A$39:$V$70,COLUMN(C$1),FALSE)</f>
        <v>54.875</v>
      </c>
      <c r="P381" s="42">
        <f>VLOOKUP($B381,'Biomass&amp;MSW'!$A$39:$V$70,COLUMN(D$1),FALSE)</f>
        <v>54.875</v>
      </c>
      <c r="Q381" s="42">
        <f>VLOOKUP($B381,'Biomass&amp;MSW'!$A$39:$V$70,COLUMN(E$1),FALSE)</f>
        <v>54.875</v>
      </c>
      <c r="R381" s="42">
        <f>VLOOKUP($B381,'Biomass&amp;MSW'!$A$39:$V$70,COLUMN(F$1),FALSE)</f>
        <v>54.875</v>
      </c>
      <c r="S381" s="42">
        <f>VLOOKUP($B381,'Biomass&amp;MSW'!$A$39:$V$70,COLUMN(G$1),FALSE)</f>
        <v>54.875</v>
      </c>
      <c r="T381" s="42">
        <f>VLOOKUP($B381,'Biomass&amp;MSW'!$A$39:$V$70,COLUMN(H$1),FALSE)</f>
        <v>54.875</v>
      </c>
      <c r="U381" s="42">
        <f>VLOOKUP($B381,'Biomass&amp;MSW'!$A$39:$V$70,COLUMN(I$1),FALSE)</f>
        <v>54.875</v>
      </c>
      <c r="V381" s="42">
        <f>VLOOKUP($B381,'Biomass&amp;MSW'!$A$39:$V$70,COLUMN(J$1),FALSE)</f>
        <v>36</v>
      </c>
      <c r="W381" s="42">
        <f>VLOOKUP($B381,'Biomass&amp;MSW'!$A$39:$V$70,COLUMN(K$1),FALSE)</f>
        <v>0</v>
      </c>
      <c r="X381" s="42">
        <f>VLOOKUP($B381,'Biomass&amp;MSW'!$A$39:$V$70,COLUMN(L$1),FALSE)</f>
        <v>15</v>
      </c>
      <c r="Y381" s="42">
        <f>VLOOKUP($B381,'Biomass&amp;MSW'!$A$39:$V$70,COLUMN(M$1),FALSE)</f>
        <v>15</v>
      </c>
      <c r="Z381" s="42">
        <f>VLOOKUP($B381,'Biomass&amp;MSW'!$A$39:$V$70,COLUMN(N$1),FALSE)</f>
        <v>0</v>
      </c>
      <c r="AA381" s="42">
        <f>VLOOKUP($B381,'Biomass&amp;MSW'!$A$39:$V$70,COLUMN(O$1),FALSE)</f>
        <v>34</v>
      </c>
      <c r="AB381" s="42">
        <f>VLOOKUP($B381,'Biomass&amp;MSW'!$A$39:$V$70,COLUMN(P$1),FALSE)</f>
        <v>0</v>
      </c>
      <c r="AC381" s="42">
        <f>VLOOKUP($B381,'Biomass&amp;MSW'!$A$39:$V$70,COLUMN(Q$1),FALSE)</f>
        <v>0</v>
      </c>
      <c r="AD381" s="42">
        <f>VLOOKUP($B381,'Biomass&amp;MSW'!$A$39:$V$70,COLUMN(R$1),FALSE)</f>
        <v>12</v>
      </c>
      <c r="AE381" s="42">
        <f>VLOOKUP($B381,'Biomass&amp;MSW'!$A$39:$V$70,COLUMN(S$1),FALSE)</f>
        <v>60</v>
      </c>
      <c r="AF381" s="43">
        <f>VLOOKUP($B381,'Biomass&amp;MSW'!$A$39:$V$70,COLUMN(T$1),FALSE)</f>
        <v>18</v>
      </c>
    </row>
    <row r="382" ht="13.85" spans="1:32">
      <c r="A382" s="27" t="s">
        <v>2323</v>
      </c>
      <c r="B382" s="44" t="s">
        <v>112</v>
      </c>
      <c r="C382" s="45"/>
      <c r="D382" s="45"/>
      <c r="E382" s="45"/>
      <c r="F382" s="42"/>
      <c r="G382" s="42"/>
      <c r="H382" s="42"/>
      <c r="I382" s="42"/>
      <c r="J382" s="42"/>
      <c r="K382" s="42"/>
      <c r="L382" s="42"/>
      <c r="M382" s="42"/>
      <c r="N382" s="42">
        <f>VLOOKUP($B382,'Biomass&amp;MSW'!$A$39:$V$70,COLUMN(B$1),FALSE)</f>
        <v>36.25</v>
      </c>
      <c r="O382" s="42">
        <f>VLOOKUP($B382,'Biomass&amp;MSW'!$A$39:$V$70,COLUMN(C$1),FALSE)</f>
        <v>36.25</v>
      </c>
      <c r="P382" s="42">
        <f>VLOOKUP($B382,'Biomass&amp;MSW'!$A$39:$V$70,COLUMN(D$1),FALSE)</f>
        <v>36.25</v>
      </c>
      <c r="Q382" s="42">
        <f>VLOOKUP($B382,'Biomass&amp;MSW'!$A$39:$V$70,COLUMN(E$1),FALSE)</f>
        <v>36.25</v>
      </c>
      <c r="R382" s="42">
        <f>VLOOKUP($B382,'Biomass&amp;MSW'!$A$39:$V$70,COLUMN(F$1),FALSE)</f>
        <v>36.25</v>
      </c>
      <c r="S382" s="42">
        <f>VLOOKUP($B382,'Biomass&amp;MSW'!$A$39:$V$70,COLUMN(G$1),FALSE)</f>
        <v>36.25</v>
      </c>
      <c r="T382" s="42">
        <f>VLOOKUP($B382,'Biomass&amp;MSW'!$A$39:$V$70,COLUMN(H$1),FALSE)</f>
        <v>36.25</v>
      </c>
      <c r="U382" s="42">
        <f>VLOOKUP($B382,'Biomass&amp;MSW'!$A$39:$V$70,COLUMN(I$1),FALSE)</f>
        <v>36.25</v>
      </c>
      <c r="V382" s="42">
        <f>VLOOKUP($B382,'Biomass&amp;MSW'!$A$39:$V$70,COLUMN(J$1),FALSE)</f>
        <v>0</v>
      </c>
      <c r="W382" s="42">
        <f>VLOOKUP($B382,'Biomass&amp;MSW'!$A$39:$V$70,COLUMN(K$1),FALSE)</f>
        <v>25.9</v>
      </c>
      <c r="X382" s="42">
        <f>VLOOKUP($B382,'Biomass&amp;MSW'!$A$39:$V$70,COLUMN(L$1),FALSE)</f>
        <v>0</v>
      </c>
      <c r="Y382" s="42">
        <f>VLOOKUP($B382,'Biomass&amp;MSW'!$A$39:$V$70,COLUMN(M$1),FALSE)</f>
        <v>126</v>
      </c>
      <c r="Z382" s="42">
        <f>VLOOKUP($B382,'Biomass&amp;MSW'!$A$39:$V$70,COLUMN(N$1),FALSE)</f>
        <v>60</v>
      </c>
      <c r="AA382" s="42">
        <f>VLOOKUP($B382,'Biomass&amp;MSW'!$A$39:$V$70,COLUMN(O$1),FALSE)</f>
        <v>80</v>
      </c>
      <c r="AB382" s="42">
        <f>VLOOKUP($B382,'Biomass&amp;MSW'!$A$39:$V$70,COLUMN(P$1),FALSE)</f>
        <v>30</v>
      </c>
      <c r="AC382" s="42">
        <f>VLOOKUP($B382,'Biomass&amp;MSW'!$A$39:$V$70,COLUMN(Q$1),FALSE)</f>
        <v>0</v>
      </c>
      <c r="AD382" s="42">
        <f>VLOOKUP($B382,'Biomass&amp;MSW'!$A$39:$V$70,COLUMN(R$1),FALSE)</f>
        <v>50</v>
      </c>
      <c r="AE382" s="42">
        <f>VLOOKUP($B382,'Biomass&amp;MSW'!$A$39:$V$70,COLUMN(S$1),FALSE)</f>
        <v>0</v>
      </c>
      <c r="AF382" s="43">
        <f>VLOOKUP($B382,'Biomass&amp;MSW'!$A$39:$V$70,COLUMN(T$1),FALSE)</f>
        <v>140</v>
      </c>
    </row>
    <row r="383" ht="13.85" spans="1:32">
      <c r="A383" s="27" t="s">
        <v>2323</v>
      </c>
      <c r="B383" s="44" t="s">
        <v>114</v>
      </c>
      <c r="C383" s="45"/>
      <c r="D383" s="45"/>
      <c r="E383" s="45"/>
      <c r="F383" s="42"/>
      <c r="G383" s="42"/>
      <c r="H383" s="42"/>
      <c r="I383" s="42"/>
      <c r="J383" s="42"/>
      <c r="K383" s="42"/>
      <c r="L383" s="42"/>
      <c r="M383" s="42"/>
      <c r="N383" s="42">
        <f>VLOOKUP($B383,'Biomass&amp;MSW'!$A$39:$V$70,COLUMN(B$1),FALSE)</f>
        <v>14.7625</v>
      </c>
      <c r="O383" s="42">
        <f>VLOOKUP($B383,'Biomass&amp;MSW'!$A$39:$V$70,COLUMN(C$1),FALSE)</f>
        <v>14.7625</v>
      </c>
      <c r="P383" s="42">
        <f>VLOOKUP($B383,'Biomass&amp;MSW'!$A$39:$V$70,COLUMN(D$1),FALSE)</f>
        <v>14.7625</v>
      </c>
      <c r="Q383" s="42">
        <f>VLOOKUP($B383,'Biomass&amp;MSW'!$A$39:$V$70,COLUMN(E$1),FALSE)</f>
        <v>14.7625</v>
      </c>
      <c r="R383" s="42">
        <f>VLOOKUP($B383,'Biomass&amp;MSW'!$A$39:$V$70,COLUMN(F$1),FALSE)</f>
        <v>14.7625</v>
      </c>
      <c r="S383" s="42">
        <f>VLOOKUP($B383,'Biomass&amp;MSW'!$A$39:$V$70,COLUMN(G$1),FALSE)</f>
        <v>14.7625</v>
      </c>
      <c r="T383" s="42">
        <f>VLOOKUP($B383,'Biomass&amp;MSW'!$A$39:$V$70,COLUMN(H$1),FALSE)</f>
        <v>14.7625</v>
      </c>
      <c r="U383" s="42">
        <f>VLOOKUP($B383,'Biomass&amp;MSW'!$A$39:$V$70,COLUMN(I$1),FALSE)</f>
        <v>14.7625</v>
      </c>
      <c r="V383" s="42">
        <f>VLOOKUP($B383,'Biomass&amp;MSW'!$A$39:$V$70,COLUMN(J$1),FALSE)</f>
        <v>0</v>
      </c>
      <c r="W383" s="42">
        <f>VLOOKUP($B383,'Biomass&amp;MSW'!$A$39:$V$70,COLUMN(K$1),FALSE)</f>
        <v>48</v>
      </c>
      <c r="X383" s="42">
        <f>VLOOKUP($B383,'Biomass&amp;MSW'!$A$39:$V$70,COLUMN(L$1),FALSE)</f>
        <v>15</v>
      </c>
      <c r="Y383" s="42">
        <f>VLOOKUP($B383,'Biomass&amp;MSW'!$A$39:$V$70,COLUMN(M$1),FALSE)</f>
        <v>60</v>
      </c>
      <c r="Z383" s="42">
        <f>VLOOKUP($B383,'Biomass&amp;MSW'!$A$39:$V$70,COLUMN(N$1),FALSE)</f>
        <v>30</v>
      </c>
      <c r="AA383" s="42">
        <f>VLOOKUP($B383,'Biomass&amp;MSW'!$A$39:$V$70,COLUMN(O$1),FALSE)</f>
        <v>62.1</v>
      </c>
      <c r="AB383" s="42">
        <f>VLOOKUP($B383,'Biomass&amp;MSW'!$A$39:$V$70,COLUMN(P$1),FALSE)</f>
        <v>0</v>
      </c>
      <c r="AC383" s="42">
        <f>VLOOKUP($B383,'Biomass&amp;MSW'!$A$39:$V$70,COLUMN(Q$1),FALSE)</f>
        <v>15</v>
      </c>
      <c r="AD383" s="42">
        <f>VLOOKUP($B383,'Biomass&amp;MSW'!$A$39:$V$70,COLUMN(R$1),FALSE)</f>
        <v>30</v>
      </c>
      <c r="AE383" s="42">
        <f>VLOOKUP($B383,'Biomass&amp;MSW'!$A$39:$V$70,COLUMN(S$1),FALSE)</f>
        <v>20</v>
      </c>
      <c r="AF383" s="43">
        <f>VLOOKUP($B383,'Biomass&amp;MSW'!$A$39:$V$70,COLUMN(T$1),FALSE)</f>
        <v>15</v>
      </c>
    </row>
    <row r="384" ht="13.85" spans="1:32">
      <c r="A384" s="27" t="s">
        <v>2323</v>
      </c>
      <c r="B384" s="44" t="s">
        <v>116</v>
      </c>
      <c r="C384" s="45"/>
      <c r="D384" s="45"/>
      <c r="E384" s="45"/>
      <c r="F384" s="42"/>
      <c r="G384" s="42"/>
      <c r="H384" s="42"/>
      <c r="I384" s="42"/>
      <c r="J384" s="42"/>
      <c r="K384" s="42"/>
      <c r="L384" s="42"/>
      <c r="M384" s="42"/>
      <c r="N384" s="42">
        <f>VLOOKUP($B384,'Biomass&amp;MSW'!$A$39:$V$70,COLUMN(B$1),FALSE)</f>
        <v>8.7375</v>
      </c>
      <c r="O384" s="42">
        <f>VLOOKUP($B384,'Biomass&amp;MSW'!$A$39:$V$70,COLUMN(C$1),FALSE)</f>
        <v>8.7375</v>
      </c>
      <c r="P384" s="42">
        <f>VLOOKUP($B384,'Biomass&amp;MSW'!$A$39:$V$70,COLUMN(D$1),FALSE)</f>
        <v>8.7375</v>
      </c>
      <c r="Q384" s="42">
        <f>VLOOKUP($B384,'Biomass&amp;MSW'!$A$39:$V$70,COLUMN(E$1),FALSE)</f>
        <v>8.7375</v>
      </c>
      <c r="R384" s="42">
        <f>VLOOKUP($B384,'Biomass&amp;MSW'!$A$39:$V$70,COLUMN(F$1),FALSE)</f>
        <v>8.7375</v>
      </c>
      <c r="S384" s="42">
        <f>VLOOKUP($B384,'Biomass&amp;MSW'!$A$39:$V$70,COLUMN(G$1),FALSE)</f>
        <v>8.7375</v>
      </c>
      <c r="T384" s="42">
        <f>VLOOKUP($B384,'Biomass&amp;MSW'!$A$39:$V$70,COLUMN(H$1),FALSE)</f>
        <v>8.7375</v>
      </c>
      <c r="U384" s="42">
        <f>VLOOKUP($B384,'Biomass&amp;MSW'!$A$39:$V$70,COLUMN(I$1),FALSE)</f>
        <v>8.7375</v>
      </c>
      <c r="V384" s="42">
        <f>VLOOKUP($B384,'Biomass&amp;MSW'!$A$39:$V$70,COLUMN(J$1),FALSE)</f>
        <v>0</v>
      </c>
      <c r="W384" s="42">
        <f>VLOOKUP($B384,'Biomass&amp;MSW'!$A$39:$V$70,COLUMN(K$1),FALSE)</f>
        <v>0</v>
      </c>
      <c r="X384" s="42">
        <f>VLOOKUP($B384,'Biomass&amp;MSW'!$A$39:$V$70,COLUMN(L$1),FALSE)</f>
        <v>100</v>
      </c>
      <c r="Y384" s="42">
        <f>VLOOKUP($B384,'Biomass&amp;MSW'!$A$39:$V$70,COLUMN(M$1),FALSE)</f>
        <v>0</v>
      </c>
      <c r="Z384" s="42">
        <f>VLOOKUP($B384,'Biomass&amp;MSW'!$A$39:$V$70,COLUMN(N$1),FALSE)</f>
        <v>0</v>
      </c>
      <c r="AA384" s="42">
        <f>VLOOKUP($B384,'Biomass&amp;MSW'!$A$39:$V$70,COLUMN(O$1),FALSE)</f>
        <v>0</v>
      </c>
      <c r="AB384" s="42">
        <f>VLOOKUP($B384,'Biomass&amp;MSW'!$A$39:$V$70,COLUMN(P$1),FALSE)</f>
        <v>0</v>
      </c>
      <c r="AC384" s="42">
        <f>VLOOKUP($B384,'Biomass&amp;MSW'!$A$39:$V$70,COLUMN(Q$1),FALSE)</f>
        <v>0</v>
      </c>
      <c r="AD384" s="42">
        <f>VLOOKUP($B384,'Biomass&amp;MSW'!$A$39:$V$70,COLUMN(R$1),FALSE)</f>
        <v>0</v>
      </c>
      <c r="AE384" s="42">
        <f>VLOOKUP($B384,'Biomass&amp;MSW'!$A$39:$V$70,COLUMN(S$1),FALSE)</f>
        <v>0</v>
      </c>
      <c r="AF384" s="43">
        <f>VLOOKUP($B384,'Biomass&amp;MSW'!$A$39:$V$70,COLUMN(T$1),FALSE)</f>
        <v>14.2</v>
      </c>
    </row>
    <row r="385" ht="13.85" spans="1:32">
      <c r="A385" s="27" t="s">
        <v>2323</v>
      </c>
      <c r="B385" s="44" t="s">
        <v>118</v>
      </c>
      <c r="C385" s="45"/>
      <c r="D385" s="45"/>
      <c r="E385" s="45"/>
      <c r="F385" s="42"/>
      <c r="G385" s="42"/>
      <c r="H385" s="42"/>
      <c r="I385" s="42"/>
      <c r="J385" s="42"/>
      <c r="K385" s="42"/>
      <c r="L385" s="42"/>
      <c r="M385" s="42"/>
      <c r="N385" s="42">
        <f>VLOOKUP($B385,'Biomass&amp;MSW'!$A$39:$V$70,COLUMN(B$1),FALSE)</f>
        <v>12.5</v>
      </c>
      <c r="O385" s="42">
        <f>VLOOKUP($B385,'Biomass&amp;MSW'!$A$39:$V$70,COLUMN(C$1),FALSE)</f>
        <v>12.5</v>
      </c>
      <c r="P385" s="42">
        <f>VLOOKUP($B385,'Biomass&amp;MSW'!$A$39:$V$70,COLUMN(D$1),FALSE)</f>
        <v>12.5</v>
      </c>
      <c r="Q385" s="42">
        <f>VLOOKUP($B385,'Biomass&amp;MSW'!$A$39:$V$70,COLUMN(E$1),FALSE)</f>
        <v>12.5</v>
      </c>
      <c r="R385" s="42">
        <f>VLOOKUP($B385,'Biomass&amp;MSW'!$A$39:$V$70,COLUMN(F$1),FALSE)</f>
        <v>12.5</v>
      </c>
      <c r="S385" s="42">
        <f>VLOOKUP($B385,'Biomass&amp;MSW'!$A$39:$V$70,COLUMN(G$1),FALSE)</f>
        <v>12.5</v>
      </c>
      <c r="T385" s="42">
        <f>VLOOKUP($B385,'Biomass&amp;MSW'!$A$39:$V$70,COLUMN(H$1),FALSE)</f>
        <v>12.5</v>
      </c>
      <c r="U385" s="42">
        <f>VLOOKUP($B385,'Biomass&amp;MSW'!$A$39:$V$70,COLUMN(I$1),FALSE)</f>
        <v>12.5</v>
      </c>
      <c r="V385" s="42">
        <f>VLOOKUP($B385,'Biomass&amp;MSW'!$A$39:$V$70,COLUMN(J$1),FALSE)</f>
        <v>0</v>
      </c>
      <c r="W385" s="42">
        <f>VLOOKUP($B385,'Biomass&amp;MSW'!$A$39:$V$70,COLUMN(K$1),FALSE)</f>
        <v>131.2</v>
      </c>
      <c r="X385" s="42">
        <f>VLOOKUP($B385,'Biomass&amp;MSW'!$A$39:$V$70,COLUMN(L$1),FALSE)</f>
        <v>30</v>
      </c>
      <c r="Y385" s="42">
        <f>VLOOKUP($B385,'Biomass&amp;MSW'!$A$39:$V$70,COLUMN(M$1),FALSE)</f>
        <v>0</v>
      </c>
      <c r="Z385" s="42">
        <f>VLOOKUP($B385,'Biomass&amp;MSW'!$A$39:$V$70,COLUMN(N$1),FALSE)</f>
        <v>31</v>
      </c>
      <c r="AA385" s="42">
        <f>VLOOKUP($B385,'Biomass&amp;MSW'!$A$39:$V$70,COLUMN(O$1),FALSE)</f>
        <v>0</v>
      </c>
      <c r="AB385" s="42">
        <f>VLOOKUP($B385,'Biomass&amp;MSW'!$A$39:$V$70,COLUMN(P$1),FALSE)</f>
        <v>60</v>
      </c>
      <c r="AC385" s="42">
        <f>VLOOKUP($B385,'Biomass&amp;MSW'!$A$39:$V$70,COLUMN(Q$1),FALSE)</f>
        <v>0</v>
      </c>
      <c r="AD385" s="42">
        <f>VLOOKUP($B385,'Biomass&amp;MSW'!$A$39:$V$70,COLUMN(R$1),FALSE)</f>
        <v>86</v>
      </c>
      <c r="AE385" s="42">
        <f>VLOOKUP($B385,'Biomass&amp;MSW'!$A$39:$V$70,COLUMN(S$1),FALSE)</f>
        <v>120</v>
      </c>
      <c r="AF385" s="43">
        <f>VLOOKUP($B385,'Biomass&amp;MSW'!$A$39:$V$70,COLUMN(T$1),FALSE)</f>
        <v>67</v>
      </c>
    </row>
    <row r="386" ht="13.85" spans="1:32">
      <c r="A386" s="27" t="s">
        <v>2323</v>
      </c>
      <c r="B386" s="44" t="s">
        <v>120</v>
      </c>
      <c r="C386" s="45"/>
      <c r="D386" s="45"/>
      <c r="E386" s="45"/>
      <c r="F386" s="42"/>
      <c r="G386" s="42"/>
      <c r="H386" s="42"/>
      <c r="I386" s="42"/>
      <c r="J386" s="42"/>
      <c r="K386" s="42"/>
      <c r="L386" s="42"/>
      <c r="M386" s="42"/>
      <c r="N386" s="42">
        <f>VLOOKUP($B386,'Biomass&amp;MSW'!$A$39:$V$70,COLUMN(B$1),FALSE)</f>
        <v>162.225</v>
      </c>
      <c r="O386" s="42">
        <f>VLOOKUP($B386,'Biomass&amp;MSW'!$A$39:$V$70,COLUMN(C$1),FALSE)</f>
        <v>162.225</v>
      </c>
      <c r="P386" s="42">
        <f>VLOOKUP($B386,'Biomass&amp;MSW'!$A$39:$V$70,COLUMN(D$1),FALSE)</f>
        <v>162.225</v>
      </c>
      <c r="Q386" s="42">
        <f>VLOOKUP($B386,'Biomass&amp;MSW'!$A$39:$V$70,COLUMN(E$1),FALSE)</f>
        <v>162.225</v>
      </c>
      <c r="R386" s="42">
        <f>VLOOKUP($B386,'Biomass&amp;MSW'!$A$39:$V$70,COLUMN(F$1),FALSE)</f>
        <v>162.225</v>
      </c>
      <c r="S386" s="42">
        <f>VLOOKUP($B386,'Biomass&amp;MSW'!$A$39:$V$70,COLUMN(G$1),FALSE)</f>
        <v>162.225</v>
      </c>
      <c r="T386" s="42">
        <f>VLOOKUP($B386,'Biomass&amp;MSW'!$A$39:$V$70,COLUMN(H$1),FALSE)</f>
        <v>162.225</v>
      </c>
      <c r="U386" s="42">
        <f>VLOOKUP($B386,'Biomass&amp;MSW'!$A$39:$V$70,COLUMN(I$1),FALSE)</f>
        <v>162.225</v>
      </c>
      <c r="V386" s="42">
        <f>VLOOKUP($B386,'Biomass&amp;MSW'!$A$39:$V$70,COLUMN(J$1),FALSE)</f>
        <v>0</v>
      </c>
      <c r="W386" s="42">
        <f>VLOOKUP($B386,'Biomass&amp;MSW'!$A$39:$V$70,COLUMN(K$1),FALSE)</f>
        <v>0</v>
      </c>
      <c r="X386" s="42">
        <f>VLOOKUP($B386,'Biomass&amp;MSW'!$A$39:$V$70,COLUMN(L$1),FALSE)</f>
        <v>0</v>
      </c>
      <c r="Y386" s="42">
        <f>VLOOKUP($B386,'Biomass&amp;MSW'!$A$39:$V$70,COLUMN(M$1),FALSE)</f>
        <v>0</v>
      </c>
      <c r="Z386" s="42">
        <f>VLOOKUP($B386,'Biomass&amp;MSW'!$A$39:$V$70,COLUMN(N$1),FALSE)</f>
        <v>0</v>
      </c>
      <c r="AA386" s="42">
        <f>VLOOKUP($B386,'Biomass&amp;MSW'!$A$39:$V$70,COLUMN(O$1),FALSE)</f>
        <v>0</v>
      </c>
      <c r="AB386" s="42">
        <f>VLOOKUP($B386,'Biomass&amp;MSW'!$A$39:$V$70,COLUMN(P$1),FALSE)</f>
        <v>0</v>
      </c>
      <c r="AC386" s="42">
        <f>VLOOKUP($B386,'Biomass&amp;MSW'!$A$39:$V$70,COLUMN(Q$1),FALSE)</f>
        <v>0</v>
      </c>
      <c r="AD386" s="42">
        <f>VLOOKUP($B386,'Biomass&amp;MSW'!$A$39:$V$70,COLUMN(R$1),FALSE)</f>
        <v>0</v>
      </c>
      <c r="AE386" s="42">
        <f>VLOOKUP($B386,'Biomass&amp;MSW'!$A$39:$V$70,COLUMN(S$1),FALSE)</f>
        <v>0</v>
      </c>
      <c r="AF386" s="43">
        <f>VLOOKUP($B386,'Biomass&amp;MSW'!$A$39:$V$70,COLUMN(T$1),FALSE)</f>
        <v>0</v>
      </c>
    </row>
    <row r="387" ht="13.85" spans="1:32">
      <c r="A387" s="27" t="s">
        <v>2323</v>
      </c>
      <c r="B387" s="44" t="s">
        <v>122</v>
      </c>
      <c r="C387" s="45"/>
      <c r="D387" s="45"/>
      <c r="E387" s="45"/>
      <c r="F387" s="42"/>
      <c r="G387" s="42"/>
      <c r="H387" s="42"/>
      <c r="I387" s="42"/>
      <c r="J387" s="42"/>
      <c r="K387" s="42"/>
      <c r="L387" s="42"/>
      <c r="M387" s="42"/>
      <c r="N387" s="42">
        <f>VLOOKUP($B387,'Biomass&amp;MSW'!$A$39:$V$70,COLUMN(B$1),FALSE)</f>
        <v>0</v>
      </c>
      <c r="O387" s="42">
        <f>VLOOKUP($B387,'Biomass&amp;MSW'!$A$39:$V$70,COLUMN(C$1),FALSE)</f>
        <v>0</v>
      </c>
      <c r="P387" s="42">
        <f>VLOOKUP($B387,'Biomass&amp;MSW'!$A$39:$V$70,COLUMN(D$1),FALSE)</f>
        <v>0</v>
      </c>
      <c r="Q387" s="42">
        <f>VLOOKUP($B387,'Biomass&amp;MSW'!$A$39:$V$70,COLUMN(E$1),FALSE)</f>
        <v>0</v>
      </c>
      <c r="R387" s="42">
        <f>VLOOKUP($B387,'Biomass&amp;MSW'!$A$39:$V$70,COLUMN(F$1),FALSE)</f>
        <v>0</v>
      </c>
      <c r="S387" s="42">
        <f>VLOOKUP($B387,'Biomass&amp;MSW'!$A$39:$V$70,COLUMN(G$1),FALSE)</f>
        <v>0</v>
      </c>
      <c r="T387" s="42">
        <f>VLOOKUP($B387,'Biomass&amp;MSW'!$A$39:$V$70,COLUMN(H$1),FALSE)</f>
        <v>0</v>
      </c>
      <c r="U387" s="42">
        <f>VLOOKUP($B387,'Biomass&amp;MSW'!$A$39:$V$70,COLUMN(I$1),FALSE)</f>
        <v>0</v>
      </c>
      <c r="V387" s="42">
        <f>VLOOKUP($B387,'Biomass&amp;MSW'!$A$39:$V$70,COLUMN(J$1),FALSE)</f>
        <v>0</v>
      </c>
      <c r="W387" s="42">
        <f>VLOOKUP($B387,'Biomass&amp;MSW'!$A$39:$V$70,COLUMN(K$1),FALSE)</f>
        <v>0</v>
      </c>
      <c r="X387" s="42">
        <f>VLOOKUP($B387,'Biomass&amp;MSW'!$A$39:$V$70,COLUMN(L$1),FALSE)</f>
        <v>0</v>
      </c>
      <c r="Y387" s="42">
        <f>VLOOKUP($B387,'Biomass&amp;MSW'!$A$39:$V$70,COLUMN(M$1),FALSE)</f>
        <v>0</v>
      </c>
      <c r="Z387" s="42">
        <f>VLOOKUP($B387,'Biomass&amp;MSW'!$A$39:$V$70,COLUMN(N$1),FALSE)</f>
        <v>30</v>
      </c>
      <c r="AA387" s="42">
        <f>VLOOKUP($B387,'Biomass&amp;MSW'!$A$39:$V$70,COLUMN(O$1),FALSE)</f>
        <v>0</v>
      </c>
      <c r="AB387" s="42">
        <f>VLOOKUP($B387,'Biomass&amp;MSW'!$A$39:$V$70,COLUMN(P$1),FALSE)</f>
        <v>0</v>
      </c>
      <c r="AC387" s="42">
        <f>VLOOKUP($B387,'Biomass&amp;MSW'!$A$39:$V$70,COLUMN(Q$1),FALSE)</f>
        <v>0</v>
      </c>
      <c r="AD387" s="42">
        <f>VLOOKUP($B387,'Biomass&amp;MSW'!$A$39:$V$70,COLUMN(R$1),FALSE)</f>
        <v>30</v>
      </c>
      <c r="AE387" s="42">
        <f>VLOOKUP($B387,'Biomass&amp;MSW'!$A$39:$V$70,COLUMN(S$1),FALSE)</f>
        <v>0</v>
      </c>
      <c r="AF387" s="43">
        <f>VLOOKUP($B387,'Biomass&amp;MSW'!$A$39:$V$70,COLUMN(T$1),FALSE)</f>
        <v>0</v>
      </c>
    </row>
    <row r="388" ht="13.85" spans="1:32">
      <c r="A388" s="27" t="s">
        <v>2323</v>
      </c>
      <c r="B388" s="44" t="s">
        <v>124</v>
      </c>
      <c r="C388" s="45"/>
      <c r="D388" s="45"/>
      <c r="E388" s="45"/>
      <c r="F388" s="42"/>
      <c r="G388" s="42"/>
      <c r="H388" s="42"/>
      <c r="I388" s="42"/>
      <c r="J388" s="42"/>
      <c r="K388" s="42"/>
      <c r="L388" s="42"/>
      <c r="M388" s="42"/>
      <c r="N388" s="42">
        <f>VLOOKUP($B388,'Biomass&amp;MSW'!$A$39:$V$70,COLUMN(B$1),FALSE)</f>
        <v>1.25</v>
      </c>
      <c r="O388" s="42">
        <f>VLOOKUP($B388,'Biomass&amp;MSW'!$A$39:$V$70,COLUMN(C$1),FALSE)</f>
        <v>1.25</v>
      </c>
      <c r="P388" s="42">
        <f>VLOOKUP($B388,'Biomass&amp;MSW'!$A$39:$V$70,COLUMN(D$1),FALSE)</f>
        <v>1.25</v>
      </c>
      <c r="Q388" s="42">
        <f>VLOOKUP($B388,'Biomass&amp;MSW'!$A$39:$V$70,COLUMN(E$1),FALSE)</f>
        <v>1.25</v>
      </c>
      <c r="R388" s="42">
        <f>VLOOKUP($B388,'Biomass&amp;MSW'!$A$39:$V$70,COLUMN(F$1),FALSE)</f>
        <v>1.25</v>
      </c>
      <c r="S388" s="42">
        <f>VLOOKUP($B388,'Biomass&amp;MSW'!$A$39:$V$70,COLUMN(G$1),FALSE)</f>
        <v>1.25</v>
      </c>
      <c r="T388" s="42">
        <f>VLOOKUP($B388,'Biomass&amp;MSW'!$A$39:$V$70,COLUMN(H$1),FALSE)</f>
        <v>1.25</v>
      </c>
      <c r="U388" s="42">
        <f>VLOOKUP($B388,'Biomass&amp;MSW'!$A$39:$V$70,COLUMN(I$1),FALSE)</f>
        <v>1.25</v>
      </c>
      <c r="V388" s="42">
        <f>VLOOKUP($B388,'Biomass&amp;MSW'!$A$39:$V$70,COLUMN(J$1),FALSE)</f>
        <v>0</v>
      </c>
      <c r="W388" s="42">
        <f>VLOOKUP($B388,'Biomass&amp;MSW'!$A$39:$V$70,COLUMN(K$1),FALSE)</f>
        <v>0</v>
      </c>
      <c r="X388" s="42">
        <f>VLOOKUP($B388,'Biomass&amp;MSW'!$A$39:$V$70,COLUMN(L$1),FALSE)</f>
        <v>0</v>
      </c>
      <c r="Y388" s="42">
        <f>VLOOKUP($B388,'Biomass&amp;MSW'!$A$39:$V$70,COLUMN(M$1),FALSE)</f>
        <v>0</v>
      </c>
      <c r="Z388" s="42">
        <f>VLOOKUP($B388,'Biomass&amp;MSW'!$A$39:$V$70,COLUMN(N$1),FALSE)</f>
        <v>0</v>
      </c>
      <c r="AA388" s="42">
        <f>VLOOKUP($B388,'Biomass&amp;MSW'!$A$39:$V$70,COLUMN(O$1),FALSE)</f>
        <v>0</v>
      </c>
      <c r="AB388" s="42">
        <f>VLOOKUP($B388,'Biomass&amp;MSW'!$A$39:$V$70,COLUMN(P$1),FALSE)</f>
        <v>0</v>
      </c>
      <c r="AC388" s="42">
        <f>VLOOKUP($B388,'Biomass&amp;MSW'!$A$39:$V$70,COLUMN(Q$1),FALSE)</f>
        <v>3</v>
      </c>
      <c r="AD388" s="42">
        <f>VLOOKUP($B388,'Biomass&amp;MSW'!$A$39:$V$70,COLUMN(R$1),FALSE)</f>
        <v>0</v>
      </c>
      <c r="AE388" s="42">
        <f>VLOOKUP($B388,'Biomass&amp;MSW'!$A$39:$V$70,COLUMN(S$1),FALSE)</f>
        <v>44.9</v>
      </c>
      <c r="AF388" s="43">
        <f>VLOOKUP($B388,'Biomass&amp;MSW'!$A$39:$V$70,COLUMN(T$1),FALSE)</f>
        <v>60</v>
      </c>
    </row>
    <row r="389" ht="13.85" spans="1:32">
      <c r="A389" s="27" t="s">
        <v>2323</v>
      </c>
      <c r="B389" s="44" t="s">
        <v>126</v>
      </c>
      <c r="C389" s="45"/>
      <c r="D389" s="45"/>
      <c r="E389" s="45"/>
      <c r="F389" s="42"/>
      <c r="G389" s="42"/>
      <c r="H389" s="42"/>
      <c r="I389" s="42"/>
      <c r="J389" s="42"/>
      <c r="K389" s="42"/>
      <c r="L389" s="42"/>
      <c r="M389" s="42"/>
      <c r="N389" s="42">
        <f>VLOOKUP($B389,'Biomass&amp;MSW'!$A$39:$V$70,COLUMN(B$1),FALSE)</f>
        <v>3.375</v>
      </c>
      <c r="O389" s="42">
        <f>VLOOKUP($B389,'Biomass&amp;MSW'!$A$39:$V$70,COLUMN(C$1),FALSE)</f>
        <v>3.375</v>
      </c>
      <c r="P389" s="42">
        <f>VLOOKUP($B389,'Biomass&amp;MSW'!$A$39:$V$70,COLUMN(D$1),FALSE)</f>
        <v>3.375</v>
      </c>
      <c r="Q389" s="42">
        <f>VLOOKUP($B389,'Biomass&amp;MSW'!$A$39:$V$70,COLUMN(E$1),FALSE)</f>
        <v>3.375</v>
      </c>
      <c r="R389" s="42">
        <f>VLOOKUP($B389,'Biomass&amp;MSW'!$A$39:$V$70,COLUMN(F$1),FALSE)</f>
        <v>3.375</v>
      </c>
      <c r="S389" s="42">
        <f>VLOOKUP($B389,'Biomass&amp;MSW'!$A$39:$V$70,COLUMN(G$1),FALSE)</f>
        <v>3.375</v>
      </c>
      <c r="T389" s="42">
        <f>VLOOKUP($B389,'Biomass&amp;MSW'!$A$39:$V$70,COLUMN(H$1),FALSE)</f>
        <v>3.375</v>
      </c>
      <c r="U389" s="42">
        <f>VLOOKUP($B389,'Biomass&amp;MSW'!$A$39:$V$70,COLUMN(I$1),FALSE)</f>
        <v>3.375</v>
      </c>
      <c r="V389" s="42">
        <f>VLOOKUP($B389,'Biomass&amp;MSW'!$A$39:$V$70,COLUMN(J$1),FALSE)</f>
        <v>0</v>
      </c>
      <c r="W389" s="42">
        <f>VLOOKUP($B389,'Biomass&amp;MSW'!$A$39:$V$70,COLUMN(K$1),FALSE)</f>
        <v>0</v>
      </c>
      <c r="X389" s="42">
        <f>VLOOKUP($B389,'Biomass&amp;MSW'!$A$39:$V$70,COLUMN(L$1),FALSE)</f>
        <v>0</v>
      </c>
      <c r="Y389" s="42">
        <f>VLOOKUP($B389,'Biomass&amp;MSW'!$A$39:$V$70,COLUMN(M$1),FALSE)</f>
        <v>0</v>
      </c>
      <c r="Z389" s="42">
        <f>VLOOKUP($B389,'Biomass&amp;MSW'!$A$39:$V$70,COLUMN(N$1),FALSE)</f>
        <v>0</v>
      </c>
      <c r="AA389" s="42">
        <f>VLOOKUP($B389,'Biomass&amp;MSW'!$A$39:$V$70,COLUMN(O$1),FALSE)</f>
        <v>30</v>
      </c>
      <c r="AB389" s="42">
        <f>VLOOKUP($B389,'Biomass&amp;MSW'!$A$39:$V$70,COLUMN(P$1),FALSE)</f>
        <v>0</v>
      </c>
      <c r="AC389" s="42">
        <f>VLOOKUP($B389,'Biomass&amp;MSW'!$A$39:$V$70,COLUMN(Q$1),FALSE)</f>
        <v>0</v>
      </c>
      <c r="AD389" s="42">
        <f>VLOOKUP($B389,'Biomass&amp;MSW'!$A$39:$V$70,COLUMN(R$1),FALSE)</f>
        <v>0</v>
      </c>
      <c r="AE389" s="42">
        <f>VLOOKUP($B389,'Biomass&amp;MSW'!$A$39:$V$70,COLUMN(S$1),FALSE)</f>
        <v>0</v>
      </c>
      <c r="AF389" s="43">
        <f>VLOOKUP($B389,'Biomass&amp;MSW'!$A$39:$V$70,COLUMN(T$1),FALSE)</f>
        <v>0</v>
      </c>
    </row>
    <row r="390" ht="13.85" spans="1:32">
      <c r="A390" s="27" t="s">
        <v>2323</v>
      </c>
      <c r="B390" s="44" t="s">
        <v>128</v>
      </c>
      <c r="C390" s="45"/>
      <c r="D390" s="45"/>
      <c r="E390" s="45"/>
      <c r="F390" s="42"/>
      <c r="G390" s="42"/>
      <c r="H390" s="42"/>
      <c r="I390" s="42"/>
      <c r="J390" s="42"/>
      <c r="K390" s="42"/>
      <c r="L390" s="42"/>
      <c r="M390" s="42"/>
      <c r="N390" s="42">
        <f>VLOOKUP($B390,'Biomass&amp;MSW'!$A$39:$V$70,COLUMN(B$1),FALSE)</f>
        <v>3.75</v>
      </c>
      <c r="O390" s="42">
        <f>VLOOKUP($B390,'Biomass&amp;MSW'!$A$39:$V$70,COLUMN(C$1),FALSE)</f>
        <v>3.75</v>
      </c>
      <c r="P390" s="42">
        <f>VLOOKUP($B390,'Biomass&amp;MSW'!$A$39:$V$70,COLUMN(D$1),FALSE)</f>
        <v>3.75</v>
      </c>
      <c r="Q390" s="42">
        <f>VLOOKUP($B390,'Biomass&amp;MSW'!$A$39:$V$70,COLUMN(E$1),FALSE)</f>
        <v>3.75</v>
      </c>
      <c r="R390" s="42">
        <f>VLOOKUP($B390,'Biomass&amp;MSW'!$A$39:$V$70,COLUMN(F$1),FALSE)</f>
        <v>3.75</v>
      </c>
      <c r="S390" s="42">
        <f>VLOOKUP($B390,'Biomass&amp;MSW'!$A$39:$V$70,COLUMN(G$1),FALSE)</f>
        <v>3.75</v>
      </c>
      <c r="T390" s="42">
        <f>VLOOKUP($B390,'Biomass&amp;MSW'!$A$39:$V$70,COLUMN(H$1),FALSE)</f>
        <v>3.75</v>
      </c>
      <c r="U390" s="42">
        <f>VLOOKUP($B390,'Biomass&amp;MSW'!$A$39:$V$70,COLUMN(I$1),FALSE)</f>
        <v>3.75</v>
      </c>
      <c r="V390" s="42">
        <f>VLOOKUP($B390,'Biomass&amp;MSW'!$A$39:$V$70,COLUMN(J$1),FALSE)</f>
        <v>0.5</v>
      </c>
      <c r="W390" s="42">
        <f>VLOOKUP($B390,'Biomass&amp;MSW'!$A$39:$V$70,COLUMN(K$1),FALSE)</f>
        <v>0</v>
      </c>
      <c r="X390" s="42">
        <f>VLOOKUP($B390,'Biomass&amp;MSW'!$A$39:$V$70,COLUMN(L$1),FALSE)</f>
        <v>0</v>
      </c>
      <c r="Y390" s="42">
        <f>VLOOKUP($B390,'Biomass&amp;MSW'!$A$39:$V$70,COLUMN(M$1),FALSE)</f>
        <v>0</v>
      </c>
      <c r="Z390" s="42">
        <f>VLOOKUP($B390,'Biomass&amp;MSW'!$A$39:$V$70,COLUMN(N$1),FALSE)</f>
        <v>0</v>
      </c>
      <c r="AA390" s="42">
        <f>VLOOKUP($B390,'Biomass&amp;MSW'!$A$39:$V$70,COLUMN(O$1),FALSE)</f>
        <v>0</v>
      </c>
      <c r="AB390" s="42">
        <f>VLOOKUP($B390,'Biomass&amp;MSW'!$A$39:$V$70,COLUMN(P$1),FALSE)</f>
        <v>0</v>
      </c>
      <c r="AC390" s="42">
        <f>VLOOKUP($B390,'Biomass&amp;MSW'!$A$39:$V$70,COLUMN(Q$1),FALSE)</f>
        <v>0</v>
      </c>
      <c r="AD390" s="42">
        <f>VLOOKUP($B390,'Biomass&amp;MSW'!$A$39:$V$70,COLUMN(R$1),FALSE)</f>
        <v>0</v>
      </c>
      <c r="AE390" s="42">
        <f>VLOOKUP($B390,'Biomass&amp;MSW'!$A$39:$V$70,COLUMN(S$1),FALSE)</f>
        <v>0</v>
      </c>
      <c r="AF390" s="43">
        <f>VLOOKUP($B390,'Biomass&amp;MSW'!$A$39:$V$70,COLUMN(T$1),FALSE)</f>
        <v>0</v>
      </c>
    </row>
    <row r="391" ht="13.85" spans="1:32">
      <c r="A391" s="27" t="s">
        <v>2323</v>
      </c>
      <c r="B391" s="44" t="s">
        <v>130</v>
      </c>
      <c r="C391" s="45"/>
      <c r="D391" s="45"/>
      <c r="E391" s="45"/>
      <c r="F391" s="42"/>
      <c r="G391" s="42"/>
      <c r="H391" s="42"/>
      <c r="I391" s="42"/>
      <c r="J391" s="42"/>
      <c r="K391" s="42"/>
      <c r="L391" s="42"/>
      <c r="M391" s="42"/>
      <c r="N391" s="42">
        <f>VLOOKUP($B391,'Biomass&amp;MSW'!$A$39:$V$70,COLUMN(B$1),FALSE)</f>
        <v>24.9375</v>
      </c>
      <c r="O391" s="42">
        <f>VLOOKUP($B391,'Biomass&amp;MSW'!$A$39:$V$70,COLUMN(C$1),FALSE)</f>
        <v>24.9375</v>
      </c>
      <c r="P391" s="42">
        <f>VLOOKUP($B391,'Biomass&amp;MSW'!$A$39:$V$70,COLUMN(D$1),FALSE)</f>
        <v>24.9375</v>
      </c>
      <c r="Q391" s="42">
        <f>VLOOKUP($B391,'Biomass&amp;MSW'!$A$39:$V$70,COLUMN(E$1),FALSE)</f>
        <v>24.9375</v>
      </c>
      <c r="R391" s="42">
        <f>VLOOKUP($B391,'Biomass&amp;MSW'!$A$39:$V$70,COLUMN(F$1),FALSE)</f>
        <v>24.9375</v>
      </c>
      <c r="S391" s="42">
        <f>VLOOKUP($B391,'Biomass&amp;MSW'!$A$39:$V$70,COLUMN(G$1),FALSE)</f>
        <v>24.9375</v>
      </c>
      <c r="T391" s="42">
        <f>VLOOKUP($B391,'Biomass&amp;MSW'!$A$39:$V$70,COLUMN(H$1),FALSE)</f>
        <v>24.9375</v>
      </c>
      <c r="U391" s="42">
        <f>VLOOKUP($B391,'Biomass&amp;MSW'!$A$39:$V$70,COLUMN(I$1),FALSE)</f>
        <v>24.9375</v>
      </c>
      <c r="V391" s="42">
        <f>VLOOKUP($B391,'Biomass&amp;MSW'!$A$39:$V$70,COLUMN(J$1),FALSE)</f>
        <v>0</v>
      </c>
      <c r="W391" s="42">
        <f>VLOOKUP($B391,'Biomass&amp;MSW'!$A$39:$V$70,COLUMN(K$1),FALSE)</f>
        <v>0</v>
      </c>
      <c r="X391" s="42">
        <f>VLOOKUP($B391,'Biomass&amp;MSW'!$A$39:$V$70,COLUMN(L$1),FALSE)</f>
        <v>0</v>
      </c>
      <c r="Y391" s="42">
        <f>VLOOKUP($B391,'Biomass&amp;MSW'!$A$39:$V$70,COLUMN(M$1),FALSE)</f>
        <v>0</v>
      </c>
      <c r="Z391" s="42">
        <f>VLOOKUP($B391,'Biomass&amp;MSW'!$A$39:$V$70,COLUMN(N$1),FALSE)</f>
        <v>0</v>
      </c>
      <c r="AA391" s="42">
        <f>VLOOKUP($B391,'Biomass&amp;MSW'!$A$39:$V$70,COLUMN(O$1),FALSE)</f>
        <v>0</v>
      </c>
      <c r="AB391" s="42">
        <f>VLOOKUP($B391,'Biomass&amp;MSW'!$A$39:$V$70,COLUMN(P$1),FALSE)</f>
        <v>0</v>
      </c>
      <c r="AC391" s="42">
        <f>VLOOKUP($B391,'Biomass&amp;MSW'!$A$39:$V$70,COLUMN(Q$1),FALSE)</f>
        <v>0</v>
      </c>
      <c r="AD391" s="42">
        <f>VLOOKUP($B391,'Biomass&amp;MSW'!$A$39:$V$70,COLUMN(R$1),FALSE)</f>
        <v>0</v>
      </c>
      <c r="AE391" s="42">
        <f>VLOOKUP($B391,'Biomass&amp;MSW'!$A$39:$V$70,COLUMN(S$1),FALSE)</f>
        <v>0</v>
      </c>
      <c r="AF391" s="43">
        <f>VLOOKUP($B391,'Biomass&amp;MSW'!$A$39:$V$70,COLUMN(T$1),FALSE)</f>
        <v>0</v>
      </c>
    </row>
    <row r="392" ht="13.85" spans="1:32">
      <c r="A392" s="27" t="s">
        <v>2323</v>
      </c>
      <c r="B392" s="44" t="s">
        <v>132</v>
      </c>
      <c r="C392" s="45"/>
      <c r="D392" s="45"/>
      <c r="E392" s="45"/>
      <c r="F392" s="42"/>
      <c r="G392" s="42"/>
      <c r="H392" s="42"/>
      <c r="I392" s="42"/>
      <c r="J392" s="42"/>
      <c r="K392" s="42"/>
      <c r="L392" s="42"/>
      <c r="M392" s="42"/>
      <c r="N392" s="42">
        <f>VLOOKUP($B392,'Biomass&amp;MSW'!$A$39:$V$70,COLUMN(B$1),FALSE)</f>
        <v>0</v>
      </c>
      <c r="O392" s="42">
        <f>VLOOKUP($B392,'Biomass&amp;MSW'!$A$39:$V$70,COLUMN(C$1),FALSE)</f>
        <v>0</v>
      </c>
      <c r="P392" s="42">
        <f>VLOOKUP($B392,'Biomass&amp;MSW'!$A$39:$V$70,COLUMN(D$1),FALSE)</f>
        <v>0</v>
      </c>
      <c r="Q392" s="42">
        <f>VLOOKUP($B392,'Biomass&amp;MSW'!$A$39:$V$70,COLUMN(E$1),FALSE)</f>
        <v>0</v>
      </c>
      <c r="R392" s="42">
        <f>VLOOKUP($B392,'Biomass&amp;MSW'!$A$39:$V$70,COLUMN(F$1),FALSE)</f>
        <v>0</v>
      </c>
      <c r="S392" s="42">
        <f>VLOOKUP($B392,'Biomass&amp;MSW'!$A$39:$V$70,COLUMN(G$1),FALSE)</f>
        <v>0</v>
      </c>
      <c r="T392" s="42">
        <f>VLOOKUP($B392,'Biomass&amp;MSW'!$A$39:$V$70,COLUMN(H$1),FALSE)</f>
        <v>0</v>
      </c>
      <c r="U392" s="42">
        <f>VLOOKUP($B392,'Biomass&amp;MSW'!$A$39:$V$70,COLUMN(I$1),FALSE)</f>
        <v>0</v>
      </c>
      <c r="V392" s="42">
        <f>VLOOKUP($B392,'Biomass&amp;MSW'!$A$39:$V$70,COLUMN(J$1),FALSE)</f>
        <v>0</v>
      </c>
      <c r="W392" s="42">
        <f>VLOOKUP($B392,'Biomass&amp;MSW'!$A$39:$V$70,COLUMN(K$1),FALSE)</f>
        <v>0</v>
      </c>
      <c r="X392" s="42">
        <f>VLOOKUP($B392,'Biomass&amp;MSW'!$A$39:$V$70,COLUMN(L$1),FALSE)</f>
        <v>0</v>
      </c>
      <c r="Y392" s="42">
        <f>VLOOKUP($B392,'Biomass&amp;MSW'!$A$39:$V$70,COLUMN(M$1),FALSE)</f>
        <v>0</v>
      </c>
      <c r="Z392" s="42">
        <f>VLOOKUP($B392,'Biomass&amp;MSW'!$A$39:$V$70,COLUMN(N$1),FALSE)</f>
        <v>0</v>
      </c>
      <c r="AA392" s="42">
        <f>VLOOKUP($B392,'Biomass&amp;MSW'!$A$39:$V$70,COLUMN(O$1),FALSE)</f>
        <v>0</v>
      </c>
      <c r="AB392" s="42">
        <f>VLOOKUP($B392,'Biomass&amp;MSW'!$A$39:$V$70,COLUMN(P$1),FALSE)</f>
        <v>0</v>
      </c>
      <c r="AC392" s="42">
        <f>VLOOKUP($B392,'Biomass&amp;MSW'!$A$39:$V$70,COLUMN(Q$1),FALSE)</f>
        <v>0</v>
      </c>
      <c r="AD392" s="42">
        <f>VLOOKUP($B392,'Biomass&amp;MSW'!$A$39:$V$70,COLUMN(R$1),FALSE)</f>
        <v>30</v>
      </c>
      <c r="AE392" s="42">
        <f>VLOOKUP($B392,'Biomass&amp;MSW'!$A$39:$V$70,COLUMN(S$1),FALSE)</f>
        <v>0</v>
      </c>
      <c r="AF392" s="43">
        <f>VLOOKUP($B392,'Biomass&amp;MSW'!$A$39:$V$70,COLUMN(T$1),FALSE)</f>
        <v>40</v>
      </c>
    </row>
    <row r="393" ht="13.85" spans="1:32">
      <c r="A393" s="27" t="s">
        <v>2323</v>
      </c>
      <c r="B393" s="44" t="s">
        <v>134</v>
      </c>
      <c r="C393" s="45"/>
      <c r="D393" s="45"/>
      <c r="E393" s="45"/>
      <c r="F393" s="42"/>
      <c r="G393" s="42"/>
      <c r="H393" s="42"/>
      <c r="I393" s="42"/>
      <c r="J393" s="42"/>
      <c r="K393" s="42"/>
      <c r="L393" s="42"/>
      <c r="M393" s="42"/>
      <c r="N393" s="42">
        <f>VLOOKUP($B393,'Biomass&amp;MSW'!$A$39:$V$70,COLUMN(B$1),FALSE)</f>
        <v>0</v>
      </c>
      <c r="O393" s="42">
        <f>VLOOKUP($B393,'Biomass&amp;MSW'!$A$39:$V$70,COLUMN(C$1),FALSE)</f>
        <v>0</v>
      </c>
      <c r="P393" s="42">
        <f>VLOOKUP($B393,'Biomass&amp;MSW'!$A$39:$V$70,COLUMN(D$1),FALSE)</f>
        <v>0</v>
      </c>
      <c r="Q393" s="42">
        <f>VLOOKUP($B393,'Biomass&amp;MSW'!$A$39:$V$70,COLUMN(E$1),FALSE)</f>
        <v>0</v>
      </c>
      <c r="R393" s="42">
        <f>VLOOKUP($B393,'Biomass&amp;MSW'!$A$39:$V$70,COLUMN(F$1),FALSE)</f>
        <v>0</v>
      </c>
      <c r="S393" s="42">
        <f>VLOOKUP($B393,'Biomass&amp;MSW'!$A$39:$V$70,COLUMN(G$1),FALSE)</f>
        <v>0</v>
      </c>
      <c r="T393" s="42">
        <f>VLOOKUP($B393,'Biomass&amp;MSW'!$A$39:$V$70,COLUMN(H$1),FALSE)</f>
        <v>0</v>
      </c>
      <c r="U393" s="42">
        <f>VLOOKUP($B393,'Biomass&amp;MSW'!$A$39:$V$70,COLUMN(I$1),FALSE)</f>
        <v>0</v>
      </c>
      <c r="V393" s="42">
        <f>VLOOKUP($B393,'Biomass&amp;MSW'!$A$39:$V$70,COLUMN(J$1),FALSE)</f>
        <v>0</v>
      </c>
      <c r="W393" s="42">
        <f>VLOOKUP($B393,'Biomass&amp;MSW'!$A$39:$V$70,COLUMN(K$1),FALSE)</f>
        <v>0</v>
      </c>
      <c r="X393" s="42">
        <f>VLOOKUP($B393,'Biomass&amp;MSW'!$A$39:$V$70,COLUMN(L$1),FALSE)</f>
        <v>0</v>
      </c>
      <c r="Y393" s="42">
        <f>VLOOKUP($B393,'Biomass&amp;MSW'!$A$39:$V$70,COLUMN(M$1),FALSE)</f>
        <v>0</v>
      </c>
      <c r="Z393" s="42">
        <f>VLOOKUP($B393,'Biomass&amp;MSW'!$A$39:$V$70,COLUMN(N$1),FALSE)</f>
        <v>0</v>
      </c>
      <c r="AA393" s="42">
        <f>VLOOKUP($B393,'Biomass&amp;MSW'!$A$39:$V$70,COLUMN(O$1),FALSE)</f>
        <v>30</v>
      </c>
      <c r="AB393" s="42">
        <f>VLOOKUP($B393,'Biomass&amp;MSW'!$A$39:$V$70,COLUMN(P$1),FALSE)</f>
        <v>0</v>
      </c>
      <c r="AC393" s="42">
        <f>VLOOKUP($B393,'Biomass&amp;MSW'!$A$39:$V$70,COLUMN(Q$1),FALSE)</f>
        <v>0</v>
      </c>
      <c r="AD393" s="42">
        <f>VLOOKUP($B393,'Biomass&amp;MSW'!$A$39:$V$70,COLUMN(R$1),FALSE)</f>
        <v>0</v>
      </c>
      <c r="AE393" s="42">
        <f>VLOOKUP($B393,'Biomass&amp;MSW'!$A$39:$V$70,COLUMN(S$1),FALSE)</f>
        <v>0</v>
      </c>
      <c r="AF393" s="43">
        <f>VLOOKUP($B393,'Biomass&amp;MSW'!$A$39:$V$70,COLUMN(T$1),FALSE)</f>
        <v>0</v>
      </c>
    </row>
    <row r="394" ht="13.85" spans="1:32">
      <c r="A394" s="27" t="s">
        <v>2323</v>
      </c>
      <c r="B394" s="44" t="s">
        <v>136</v>
      </c>
      <c r="C394" s="45"/>
      <c r="D394" s="45"/>
      <c r="E394" s="45"/>
      <c r="F394" s="42"/>
      <c r="G394" s="42"/>
      <c r="H394" s="42"/>
      <c r="I394" s="42"/>
      <c r="J394" s="42"/>
      <c r="K394" s="42"/>
      <c r="L394" s="42"/>
      <c r="M394" s="42"/>
      <c r="N394" s="42">
        <f>VLOOKUP($B394,'Biomass&amp;MSW'!$A$39:$V$70,COLUMN(B$1),FALSE)</f>
        <v>0</v>
      </c>
      <c r="O394" s="42">
        <f>VLOOKUP($B394,'Biomass&amp;MSW'!$A$39:$V$70,COLUMN(C$1),FALSE)</f>
        <v>0</v>
      </c>
      <c r="P394" s="42">
        <f>VLOOKUP($B394,'Biomass&amp;MSW'!$A$39:$V$70,COLUMN(D$1),FALSE)</f>
        <v>0</v>
      </c>
      <c r="Q394" s="42">
        <f>VLOOKUP($B394,'Biomass&amp;MSW'!$A$39:$V$70,COLUMN(E$1),FALSE)</f>
        <v>0</v>
      </c>
      <c r="R394" s="42">
        <f>VLOOKUP($B394,'Biomass&amp;MSW'!$A$39:$V$70,COLUMN(F$1),FALSE)</f>
        <v>0</v>
      </c>
      <c r="S394" s="42">
        <f>VLOOKUP($B394,'Biomass&amp;MSW'!$A$39:$V$70,COLUMN(G$1),FALSE)</f>
        <v>0</v>
      </c>
      <c r="T394" s="42">
        <f>VLOOKUP($B394,'Biomass&amp;MSW'!$A$39:$V$70,COLUMN(H$1),FALSE)</f>
        <v>0</v>
      </c>
      <c r="U394" s="42">
        <f>VLOOKUP($B394,'Biomass&amp;MSW'!$A$39:$V$70,COLUMN(I$1),FALSE)</f>
        <v>0</v>
      </c>
      <c r="V394" s="42">
        <f>VLOOKUP($B394,'Biomass&amp;MSW'!$A$39:$V$70,COLUMN(J$1),FALSE)</f>
        <v>0</v>
      </c>
      <c r="W394" s="42">
        <f>VLOOKUP($B394,'Biomass&amp;MSW'!$A$39:$V$70,COLUMN(K$1),FALSE)</f>
        <v>0</v>
      </c>
      <c r="X394" s="42">
        <f>VLOOKUP($B394,'Biomass&amp;MSW'!$A$39:$V$70,COLUMN(L$1),FALSE)</f>
        <v>0</v>
      </c>
      <c r="Y394" s="42">
        <f>VLOOKUP($B394,'Biomass&amp;MSW'!$A$39:$V$70,COLUMN(M$1),FALSE)</f>
        <v>0</v>
      </c>
      <c r="Z394" s="42">
        <f>VLOOKUP($B394,'Biomass&amp;MSW'!$A$39:$V$70,COLUMN(N$1),FALSE)</f>
        <v>0</v>
      </c>
      <c r="AA394" s="42">
        <f>VLOOKUP($B394,'Biomass&amp;MSW'!$A$39:$V$70,COLUMN(O$1),FALSE)</f>
        <v>0</v>
      </c>
      <c r="AB394" s="42">
        <f>VLOOKUP($B394,'Biomass&amp;MSW'!$A$39:$V$70,COLUMN(P$1),FALSE)</f>
        <v>0</v>
      </c>
      <c r="AC394" s="42">
        <f>VLOOKUP($B394,'Biomass&amp;MSW'!$A$39:$V$70,COLUMN(Q$1),FALSE)</f>
        <v>0</v>
      </c>
      <c r="AD394" s="42">
        <f>VLOOKUP($B394,'Biomass&amp;MSW'!$A$39:$V$70,COLUMN(R$1),FALSE)</f>
        <v>0</v>
      </c>
      <c r="AE394" s="42">
        <f>VLOOKUP($B394,'Biomass&amp;MSW'!$A$39:$V$70,COLUMN(S$1),FALSE)</f>
        <v>0</v>
      </c>
      <c r="AF394" s="43">
        <f>VLOOKUP($B394,'Biomass&amp;MSW'!$A$39:$V$70,COLUMN(T$1),FALSE)</f>
        <v>0</v>
      </c>
    </row>
    <row r="395" ht="13.85" spans="1:32">
      <c r="A395" s="27" t="s">
        <v>2323</v>
      </c>
      <c r="B395" s="44" t="s">
        <v>138</v>
      </c>
      <c r="C395" s="45"/>
      <c r="D395" s="45"/>
      <c r="E395" s="45"/>
      <c r="F395" s="42"/>
      <c r="G395" s="42"/>
      <c r="H395" s="42"/>
      <c r="I395" s="42"/>
      <c r="J395" s="42"/>
      <c r="K395" s="42"/>
      <c r="L395" s="42"/>
      <c r="M395" s="42"/>
      <c r="N395" s="42">
        <f>VLOOKUP($B395,'Biomass&amp;MSW'!$A$39:$V$70,COLUMN(B$1),FALSE)</f>
        <v>0</v>
      </c>
      <c r="O395" s="42">
        <f>VLOOKUP($B395,'Biomass&amp;MSW'!$A$39:$V$70,COLUMN(C$1),FALSE)</f>
        <v>0</v>
      </c>
      <c r="P395" s="42">
        <f>VLOOKUP($B395,'Biomass&amp;MSW'!$A$39:$V$70,COLUMN(D$1),FALSE)</f>
        <v>0</v>
      </c>
      <c r="Q395" s="42">
        <f>VLOOKUP($B395,'Biomass&amp;MSW'!$A$39:$V$70,COLUMN(E$1),FALSE)</f>
        <v>0</v>
      </c>
      <c r="R395" s="42">
        <f>VLOOKUP($B395,'Biomass&amp;MSW'!$A$39:$V$70,COLUMN(F$1),FALSE)</f>
        <v>0</v>
      </c>
      <c r="S395" s="42">
        <f>VLOOKUP($B395,'Biomass&amp;MSW'!$A$39:$V$70,COLUMN(G$1),FALSE)</f>
        <v>0</v>
      </c>
      <c r="T395" s="42">
        <f>VLOOKUP($B395,'Biomass&amp;MSW'!$A$39:$V$70,COLUMN(H$1),FALSE)</f>
        <v>0</v>
      </c>
      <c r="U395" s="42">
        <f>VLOOKUP($B395,'Biomass&amp;MSW'!$A$39:$V$70,COLUMN(I$1),FALSE)</f>
        <v>0</v>
      </c>
      <c r="V395" s="42">
        <f>VLOOKUP($B395,'Biomass&amp;MSW'!$A$39:$V$70,COLUMN(J$1),FALSE)</f>
        <v>0</v>
      </c>
      <c r="W395" s="42">
        <f>VLOOKUP($B395,'Biomass&amp;MSW'!$A$39:$V$70,COLUMN(K$1),FALSE)</f>
        <v>0</v>
      </c>
      <c r="X395" s="42">
        <f>VLOOKUP($B395,'Biomass&amp;MSW'!$A$39:$V$70,COLUMN(L$1),FALSE)</f>
        <v>0</v>
      </c>
      <c r="Y395" s="42">
        <f>VLOOKUP($B395,'Biomass&amp;MSW'!$A$39:$V$70,COLUMN(M$1),FALSE)</f>
        <v>0</v>
      </c>
      <c r="Z395" s="42">
        <f>VLOOKUP($B395,'Biomass&amp;MSW'!$A$39:$V$70,COLUMN(N$1),FALSE)</f>
        <v>0</v>
      </c>
      <c r="AA395" s="42">
        <f>VLOOKUP($B395,'Biomass&amp;MSW'!$A$39:$V$70,COLUMN(O$1),FALSE)</f>
        <v>0</v>
      </c>
      <c r="AB395" s="42">
        <f>VLOOKUP($B395,'Biomass&amp;MSW'!$A$39:$V$70,COLUMN(P$1),FALSE)</f>
        <v>0</v>
      </c>
      <c r="AC395" s="42">
        <f>VLOOKUP($B395,'Biomass&amp;MSW'!$A$39:$V$70,COLUMN(Q$1),FALSE)</f>
        <v>0</v>
      </c>
      <c r="AD395" s="42">
        <f>VLOOKUP($B395,'Biomass&amp;MSW'!$A$39:$V$70,COLUMN(R$1),FALSE)</f>
        <v>0</v>
      </c>
      <c r="AE395" s="42">
        <f>VLOOKUP($B395,'Biomass&amp;MSW'!$A$39:$V$70,COLUMN(S$1),FALSE)</f>
        <v>0</v>
      </c>
      <c r="AF395" s="43">
        <f>VLOOKUP($B395,'Biomass&amp;MSW'!$A$39:$V$70,COLUMN(T$1),FALSE)</f>
        <v>0</v>
      </c>
    </row>
    <row r="396" ht="13.85" spans="1:32">
      <c r="A396" s="27" t="s">
        <v>2323</v>
      </c>
      <c r="B396" s="44" t="s">
        <v>140</v>
      </c>
      <c r="C396" s="45"/>
      <c r="D396" s="45"/>
      <c r="E396" s="45"/>
      <c r="F396" s="42"/>
      <c r="G396" s="42"/>
      <c r="H396" s="42"/>
      <c r="I396" s="42"/>
      <c r="J396" s="42"/>
      <c r="K396" s="42"/>
      <c r="L396" s="42"/>
      <c r="M396" s="42"/>
      <c r="N396" s="42">
        <f>VLOOKUP($B396,'Biomass&amp;MSW'!$A$39:$V$70,COLUMN(B$1),FALSE)</f>
        <v>6.25</v>
      </c>
      <c r="O396" s="42">
        <f>VLOOKUP($B396,'Biomass&amp;MSW'!$A$39:$V$70,COLUMN(C$1),FALSE)</f>
        <v>6.25</v>
      </c>
      <c r="P396" s="42">
        <f>VLOOKUP($B396,'Biomass&amp;MSW'!$A$39:$V$70,COLUMN(D$1),FALSE)</f>
        <v>6.25</v>
      </c>
      <c r="Q396" s="42">
        <f>VLOOKUP($B396,'Biomass&amp;MSW'!$A$39:$V$70,COLUMN(E$1),FALSE)</f>
        <v>6.25</v>
      </c>
      <c r="R396" s="42">
        <f>VLOOKUP($B396,'Biomass&amp;MSW'!$A$39:$V$70,COLUMN(F$1),FALSE)</f>
        <v>6.25</v>
      </c>
      <c r="S396" s="42">
        <f>VLOOKUP($B396,'Biomass&amp;MSW'!$A$39:$V$70,COLUMN(G$1),FALSE)</f>
        <v>6.25</v>
      </c>
      <c r="T396" s="42">
        <f>VLOOKUP($B396,'Biomass&amp;MSW'!$A$39:$V$70,COLUMN(H$1),FALSE)</f>
        <v>6.25</v>
      </c>
      <c r="U396" s="42">
        <f>VLOOKUP($B396,'Biomass&amp;MSW'!$A$39:$V$70,COLUMN(I$1),FALSE)</f>
        <v>6.25</v>
      </c>
      <c r="V396" s="42">
        <f>VLOOKUP($B396,'Biomass&amp;MSW'!$A$39:$V$70,COLUMN(J$1),FALSE)</f>
        <v>0</v>
      </c>
      <c r="W396" s="42">
        <f>VLOOKUP($B396,'Biomass&amp;MSW'!$A$39:$V$70,COLUMN(K$1),FALSE)</f>
        <v>0</v>
      </c>
      <c r="X396" s="42">
        <f>VLOOKUP($B396,'Biomass&amp;MSW'!$A$39:$V$70,COLUMN(L$1),FALSE)</f>
        <v>0</v>
      </c>
      <c r="Y396" s="42">
        <f>VLOOKUP($B396,'Biomass&amp;MSW'!$A$39:$V$70,COLUMN(M$1),FALSE)</f>
        <v>0</v>
      </c>
      <c r="Z396" s="42">
        <f>VLOOKUP($B396,'Biomass&amp;MSW'!$A$39:$V$70,COLUMN(N$1),FALSE)</f>
        <v>55</v>
      </c>
      <c r="AA396" s="42">
        <f>VLOOKUP($B396,'Biomass&amp;MSW'!$A$39:$V$70,COLUMN(O$1),FALSE)</f>
        <v>135</v>
      </c>
      <c r="AB396" s="42">
        <f>VLOOKUP($B396,'Biomass&amp;MSW'!$A$39:$V$70,COLUMN(P$1),FALSE)</f>
        <v>0</v>
      </c>
      <c r="AC396" s="42">
        <f>VLOOKUP($B396,'Biomass&amp;MSW'!$A$39:$V$70,COLUMN(Q$1),FALSE)</f>
        <v>72</v>
      </c>
      <c r="AD396" s="42">
        <f>VLOOKUP($B396,'Biomass&amp;MSW'!$A$39:$V$70,COLUMN(R$1),FALSE)</f>
        <v>0</v>
      </c>
      <c r="AE396" s="42">
        <f>VLOOKUP($B396,'Biomass&amp;MSW'!$A$39:$V$70,COLUMN(S$1),FALSE)</f>
        <v>0</v>
      </c>
      <c r="AF396" s="43">
        <f>VLOOKUP($B396,'Biomass&amp;MSW'!$A$39:$V$70,COLUMN(T$1),FALSE)</f>
        <v>15</v>
      </c>
    </row>
    <row r="397" ht="13.85" spans="1:32">
      <c r="A397" s="27" t="s">
        <v>2323</v>
      </c>
      <c r="B397" s="44" t="s">
        <v>142</v>
      </c>
      <c r="C397" s="45"/>
      <c r="D397" s="45"/>
      <c r="E397" s="45"/>
      <c r="F397" s="42"/>
      <c r="G397" s="42"/>
      <c r="H397" s="42"/>
      <c r="I397" s="42"/>
      <c r="J397" s="42"/>
      <c r="K397" s="42"/>
      <c r="L397" s="42"/>
      <c r="M397" s="42"/>
      <c r="N397" s="42">
        <f>VLOOKUP($B397,'Biomass&amp;MSW'!$A$39:$V$70,COLUMN(B$1),FALSE)</f>
        <v>0</v>
      </c>
      <c r="O397" s="42">
        <f>VLOOKUP($B397,'Biomass&amp;MSW'!$A$39:$V$70,COLUMN(C$1),FALSE)</f>
        <v>0</v>
      </c>
      <c r="P397" s="42">
        <f>VLOOKUP($B397,'Biomass&amp;MSW'!$A$39:$V$70,COLUMN(D$1),FALSE)</f>
        <v>0</v>
      </c>
      <c r="Q397" s="42">
        <f>VLOOKUP($B397,'Biomass&amp;MSW'!$A$39:$V$70,COLUMN(E$1),FALSE)</f>
        <v>0</v>
      </c>
      <c r="R397" s="42">
        <f>VLOOKUP($B397,'Biomass&amp;MSW'!$A$39:$V$70,COLUMN(F$1),FALSE)</f>
        <v>0</v>
      </c>
      <c r="S397" s="42">
        <f>VLOOKUP($B397,'Biomass&amp;MSW'!$A$39:$V$70,COLUMN(G$1),FALSE)</f>
        <v>0</v>
      </c>
      <c r="T397" s="42">
        <f>VLOOKUP($B397,'Biomass&amp;MSW'!$A$39:$V$70,COLUMN(H$1),FALSE)</f>
        <v>0</v>
      </c>
      <c r="U397" s="42">
        <f>VLOOKUP($B397,'Biomass&amp;MSW'!$A$39:$V$70,COLUMN(I$1),FALSE)</f>
        <v>0</v>
      </c>
      <c r="V397" s="42">
        <f>VLOOKUP($B397,'Biomass&amp;MSW'!$A$39:$V$70,COLUMN(J$1),FALSE)</f>
        <v>0</v>
      </c>
      <c r="W397" s="42">
        <f>VLOOKUP($B397,'Biomass&amp;MSW'!$A$39:$V$70,COLUMN(K$1),FALSE)</f>
        <v>0</v>
      </c>
      <c r="X397" s="42">
        <f>VLOOKUP($B397,'Biomass&amp;MSW'!$A$39:$V$70,COLUMN(L$1),FALSE)</f>
        <v>0</v>
      </c>
      <c r="Y397" s="42">
        <f>VLOOKUP($B397,'Biomass&amp;MSW'!$A$39:$V$70,COLUMN(M$1),FALSE)</f>
        <v>0</v>
      </c>
      <c r="Z397" s="42">
        <f>VLOOKUP($B397,'Biomass&amp;MSW'!$A$39:$V$70,COLUMN(N$1),FALSE)</f>
        <v>0</v>
      </c>
      <c r="AA397" s="42">
        <f>VLOOKUP($B397,'Biomass&amp;MSW'!$A$39:$V$70,COLUMN(O$1),FALSE)</f>
        <v>0</v>
      </c>
      <c r="AB397" s="42">
        <f>VLOOKUP($B397,'Biomass&amp;MSW'!$A$39:$V$70,COLUMN(P$1),FALSE)</f>
        <v>0</v>
      </c>
      <c r="AC397" s="42">
        <f>VLOOKUP($B397,'Biomass&amp;MSW'!$A$39:$V$70,COLUMN(Q$1),FALSE)</f>
        <v>0</v>
      </c>
      <c r="AD397" s="42">
        <f>VLOOKUP($B397,'Biomass&amp;MSW'!$A$39:$V$70,COLUMN(R$1),FALSE)</f>
        <v>0</v>
      </c>
      <c r="AE397" s="42">
        <f>VLOOKUP($B397,'Biomass&amp;MSW'!$A$39:$V$70,COLUMN(S$1),FALSE)</f>
        <v>0</v>
      </c>
      <c r="AF397" s="43">
        <f>VLOOKUP($B397,'Biomass&amp;MSW'!$A$39:$V$70,COLUMN(T$1),FALSE)</f>
        <v>0</v>
      </c>
    </row>
    <row r="398" s="38" customFormat="1" spans="1:32">
      <c r="A398" s="46"/>
      <c r="B398" s="46"/>
      <c r="C398" s="47"/>
      <c r="D398" s="47"/>
      <c r="E398" s="47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</row>
    <row r="399" ht="13.85" spans="1:32">
      <c r="A399" s="22"/>
      <c r="B399" s="41" t="s">
        <v>80</v>
      </c>
      <c r="C399" s="42">
        <f t="shared" ref="C399:AF399" si="304">SUM(C400:C430)</f>
        <v>0</v>
      </c>
      <c r="D399" s="42">
        <f t="shared" si="304"/>
        <v>0</v>
      </c>
      <c r="E399" s="42">
        <f t="shared" si="304"/>
        <v>0</v>
      </c>
      <c r="F399" s="42">
        <f t="shared" si="304"/>
        <v>0</v>
      </c>
      <c r="G399" s="42">
        <f t="shared" si="304"/>
        <v>0</v>
      </c>
      <c r="H399" s="42">
        <f t="shared" si="304"/>
        <v>0</v>
      </c>
      <c r="I399" s="42">
        <f t="shared" si="304"/>
        <v>0</v>
      </c>
      <c r="J399" s="42">
        <f t="shared" si="304"/>
        <v>0</v>
      </c>
      <c r="K399" s="42">
        <f t="shared" si="304"/>
        <v>0</v>
      </c>
      <c r="L399" s="42">
        <f t="shared" si="304"/>
        <v>0</v>
      </c>
      <c r="M399" s="42">
        <f t="shared" si="304"/>
        <v>0</v>
      </c>
      <c r="N399" s="42">
        <f t="shared" si="304"/>
        <v>0</v>
      </c>
      <c r="O399" s="42">
        <f t="shared" si="304"/>
        <v>0</v>
      </c>
      <c r="P399" s="42">
        <f t="shared" si="304"/>
        <v>0</v>
      </c>
      <c r="Q399" s="42">
        <f t="shared" si="304"/>
        <v>0</v>
      </c>
      <c r="R399" s="42">
        <f t="shared" si="304"/>
        <v>0</v>
      </c>
      <c r="S399" s="42">
        <f t="shared" si="304"/>
        <v>0</v>
      </c>
      <c r="T399" s="42">
        <f t="shared" si="304"/>
        <v>0</v>
      </c>
      <c r="U399" s="42">
        <f t="shared" si="304"/>
        <v>0</v>
      </c>
      <c r="V399" s="42">
        <f t="shared" si="304"/>
        <v>0</v>
      </c>
      <c r="W399" s="42">
        <f t="shared" si="304"/>
        <v>0</v>
      </c>
      <c r="X399" s="42">
        <f t="shared" si="304"/>
        <v>0</v>
      </c>
      <c r="Y399" s="42">
        <f t="shared" si="304"/>
        <v>0</v>
      </c>
      <c r="Z399" s="42">
        <f t="shared" si="304"/>
        <v>0</v>
      </c>
      <c r="AA399" s="42">
        <f t="shared" si="304"/>
        <v>0</v>
      </c>
      <c r="AB399" s="42">
        <f t="shared" si="304"/>
        <v>27.28</v>
      </c>
      <c r="AC399" s="42">
        <f t="shared" si="304"/>
        <v>0</v>
      </c>
      <c r="AD399" s="42">
        <f t="shared" si="304"/>
        <v>0</v>
      </c>
      <c r="AE399" s="42">
        <f t="shared" si="304"/>
        <v>0</v>
      </c>
      <c r="AF399" s="43">
        <f t="shared" si="304"/>
        <v>500</v>
      </c>
    </row>
    <row r="400" ht="13.85" spans="1:32">
      <c r="A400" s="27" t="s">
        <v>2351</v>
      </c>
      <c r="B400" s="44" t="s">
        <v>82</v>
      </c>
      <c r="C400" s="45"/>
      <c r="D400" s="45"/>
      <c r="E400" s="45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>
        <f>VLOOKUP($B400,Geothermal!$A$5:$G$36,7,FALSE)-VLOOKUP($B400,Geothermal!$A$5:$G$36,4,FALSE)</f>
        <v>0</v>
      </c>
      <c r="AC400" s="42">
        <v>0</v>
      </c>
      <c r="AD400" s="42">
        <v>0</v>
      </c>
      <c r="AE400" s="42">
        <v>0</v>
      </c>
      <c r="AF400" s="43">
        <f>VLOOKUP($B400,Geothermal!$A$5:$G$36,4,FALSE)</f>
        <v>0</v>
      </c>
    </row>
    <row r="401" ht="13.85" spans="1:32">
      <c r="A401" s="27" t="s">
        <v>2351</v>
      </c>
      <c r="B401" s="44" t="s">
        <v>84</v>
      </c>
      <c r="C401" s="45"/>
      <c r="D401" s="45"/>
      <c r="E401" s="45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>
        <f>VLOOKUP($B401,Geothermal!$A$5:$G$36,7,FALSE)-VLOOKUP($B401,Geothermal!$A$5:$G$36,4,FALSE)</f>
        <v>0</v>
      </c>
      <c r="AC401" s="42">
        <v>0</v>
      </c>
      <c r="AD401" s="42">
        <v>0</v>
      </c>
      <c r="AE401" s="42">
        <v>0</v>
      </c>
      <c r="AF401" s="43">
        <f>VLOOKUP($B401,Geothermal!$A$5:$G$36,4,FALSE)</f>
        <v>10</v>
      </c>
    </row>
    <row r="402" ht="13.85" spans="1:32">
      <c r="A402" s="27" t="s">
        <v>2351</v>
      </c>
      <c r="B402" s="44" t="s">
        <v>86</v>
      </c>
      <c r="C402" s="45"/>
      <c r="D402" s="45"/>
      <c r="E402" s="45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>
        <f>VLOOKUP($B402,Geothermal!$A$5:$G$36,7,FALSE)-VLOOKUP($B402,Geothermal!$A$5:$G$36,4,FALSE)</f>
        <v>0.4</v>
      </c>
      <c r="AC402" s="42">
        <v>0</v>
      </c>
      <c r="AD402" s="42">
        <v>0</v>
      </c>
      <c r="AE402" s="42">
        <v>0</v>
      </c>
      <c r="AF402" s="43">
        <f>VLOOKUP($B402,Geothermal!$A$5:$G$36,4,FALSE)</f>
        <v>10</v>
      </c>
    </row>
    <row r="403" ht="13.85" spans="1:32">
      <c r="A403" s="27" t="s">
        <v>2351</v>
      </c>
      <c r="B403" s="44" t="s">
        <v>88</v>
      </c>
      <c r="C403" s="45"/>
      <c r="D403" s="45"/>
      <c r="E403" s="45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>
        <f>VLOOKUP($B403,Geothermal!$A$5:$G$36,7,FALSE)-VLOOKUP($B403,Geothermal!$A$5:$G$36,4,FALSE)</f>
        <v>0</v>
      </c>
      <c r="AC403" s="42">
        <v>0</v>
      </c>
      <c r="AD403" s="42">
        <v>0</v>
      </c>
      <c r="AE403" s="42">
        <v>0</v>
      </c>
      <c r="AF403" s="43">
        <f>VLOOKUP($B403,Geothermal!$A$5:$G$36,4,FALSE)</f>
        <v>0</v>
      </c>
    </row>
    <row r="404" ht="13.85" spans="1:32">
      <c r="A404" s="27" t="s">
        <v>2351</v>
      </c>
      <c r="B404" s="44" t="s">
        <v>90</v>
      </c>
      <c r="C404" s="45"/>
      <c r="D404" s="45"/>
      <c r="E404" s="45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>
        <f>VLOOKUP($B404,Geothermal!$A$5:$G$36,7,FALSE)-VLOOKUP($B404,Geothermal!$A$5:$G$36,4,FALSE)</f>
        <v>0</v>
      </c>
      <c r="AC404" s="42">
        <v>0</v>
      </c>
      <c r="AD404" s="42">
        <v>0</v>
      </c>
      <c r="AE404" s="42">
        <v>0</v>
      </c>
      <c r="AF404" s="43">
        <f>VLOOKUP($B404,Geothermal!$A$5:$G$36,4,FALSE)</f>
        <v>0</v>
      </c>
    </row>
    <row r="405" ht="13.85" spans="1:32">
      <c r="A405" s="27" t="s">
        <v>2351</v>
      </c>
      <c r="B405" s="44" t="s">
        <v>92</v>
      </c>
      <c r="C405" s="45"/>
      <c r="D405" s="45"/>
      <c r="E405" s="45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>
        <f>VLOOKUP($B405,Geothermal!$A$5:$G$36,7,FALSE)-VLOOKUP($B405,Geothermal!$A$5:$G$36,4,FALSE)</f>
        <v>0</v>
      </c>
      <c r="AC405" s="42">
        <v>0</v>
      </c>
      <c r="AD405" s="42">
        <v>0</v>
      </c>
      <c r="AE405" s="42">
        <v>0</v>
      </c>
      <c r="AF405" s="43">
        <f>VLOOKUP($B405,Geothermal!$A$5:$G$36,4,FALSE)</f>
        <v>0</v>
      </c>
    </row>
    <row r="406" ht="13.85" spans="1:32">
      <c r="A406" s="27" t="s">
        <v>2351</v>
      </c>
      <c r="B406" s="44" t="s">
        <v>94</v>
      </c>
      <c r="C406" s="45"/>
      <c r="D406" s="45"/>
      <c r="E406" s="45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>
        <f>VLOOKUP($B406,Geothermal!$A$5:$G$36,7,FALSE)-VLOOKUP($B406,Geothermal!$A$5:$G$36,4,FALSE)</f>
        <v>0</v>
      </c>
      <c r="AC406" s="42">
        <v>0</v>
      </c>
      <c r="AD406" s="42">
        <v>0</v>
      </c>
      <c r="AE406" s="42">
        <v>0</v>
      </c>
      <c r="AF406" s="43">
        <f>VLOOKUP($B406,Geothermal!$A$5:$G$36,4,FALSE)</f>
        <v>0</v>
      </c>
    </row>
    <row r="407" ht="13.85" spans="1:32">
      <c r="A407" s="27" t="s">
        <v>2351</v>
      </c>
      <c r="B407" s="44" t="s">
        <v>96</v>
      </c>
      <c r="C407" s="45"/>
      <c r="D407" s="45"/>
      <c r="E407" s="45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>
        <f>VLOOKUP($B407,Geothermal!$A$5:$G$36,7,FALSE)-VLOOKUP($B407,Geothermal!$A$5:$G$36,4,FALSE)</f>
        <v>0</v>
      </c>
      <c r="AC407" s="42">
        <v>0</v>
      </c>
      <c r="AD407" s="42">
        <v>0</v>
      </c>
      <c r="AE407" s="42">
        <v>0</v>
      </c>
      <c r="AF407" s="43">
        <f>VLOOKUP($B407,Geothermal!$A$5:$G$36,4,FALSE)</f>
        <v>0</v>
      </c>
    </row>
    <row r="408" ht="13.85" spans="1:32">
      <c r="A408" s="27" t="s">
        <v>2351</v>
      </c>
      <c r="B408" s="44" t="s">
        <v>98</v>
      </c>
      <c r="C408" s="45"/>
      <c r="D408" s="45"/>
      <c r="E408" s="45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>
        <f>VLOOKUP($B408,Geothermal!$A$5:$G$36,7,FALSE)-VLOOKUP($B408,Geothermal!$A$5:$G$36,4,FALSE)</f>
        <v>0</v>
      </c>
      <c r="AC408" s="42">
        <v>0</v>
      </c>
      <c r="AD408" s="42">
        <v>0</v>
      </c>
      <c r="AE408" s="42">
        <v>0</v>
      </c>
      <c r="AF408" s="43">
        <f>VLOOKUP($B408,Geothermal!$A$5:$G$36,4,FALSE)</f>
        <v>0</v>
      </c>
    </row>
    <row r="409" ht="13.85" spans="1:32">
      <c r="A409" s="27" t="s">
        <v>2351</v>
      </c>
      <c r="B409" s="44" t="s">
        <v>100</v>
      </c>
      <c r="C409" s="45"/>
      <c r="D409" s="45"/>
      <c r="E409" s="45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>
        <f>VLOOKUP($B409,Geothermal!$A$5:$G$36,7,FALSE)-VLOOKUP($B409,Geothermal!$A$5:$G$36,4,FALSE)</f>
        <v>0</v>
      </c>
      <c r="AC409" s="42">
        <v>0</v>
      </c>
      <c r="AD409" s="42">
        <v>0</v>
      </c>
      <c r="AE409" s="42">
        <v>0</v>
      </c>
      <c r="AF409" s="43">
        <f>VLOOKUP($B409,Geothermal!$A$5:$G$36,4,FALSE)</f>
        <v>20</v>
      </c>
    </row>
    <row r="410" ht="13.85" spans="1:32">
      <c r="A410" s="27" t="s">
        <v>2351</v>
      </c>
      <c r="B410" s="44" t="s">
        <v>102</v>
      </c>
      <c r="C410" s="45"/>
      <c r="D410" s="45"/>
      <c r="E410" s="45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>
        <f>VLOOKUP($B410,Geothermal!$A$5:$G$36,7,FALSE)-VLOOKUP($B410,Geothermal!$A$5:$G$36,4,FALSE)</f>
        <v>0</v>
      </c>
      <c r="AC410" s="42">
        <v>0</v>
      </c>
      <c r="AD410" s="42">
        <v>0</v>
      </c>
      <c r="AE410" s="42">
        <v>0</v>
      </c>
      <c r="AF410" s="43">
        <f>VLOOKUP($B410,Geothermal!$A$5:$G$36,4,FALSE)</f>
        <v>0</v>
      </c>
    </row>
    <row r="411" ht="13.85" spans="1:32">
      <c r="A411" s="27" t="s">
        <v>2351</v>
      </c>
      <c r="B411" s="44" t="s">
        <v>104</v>
      </c>
      <c r="C411" s="45"/>
      <c r="D411" s="45"/>
      <c r="E411" s="45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>
        <f>VLOOKUP($B411,Geothermal!$A$5:$G$36,7,FALSE)-VLOOKUP($B411,Geothermal!$A$5:$G$36,4,FALSE)</f>
        <v>0</v>
      </c>
      <c r="AC411" s="42">
        <v>0</v>
      </c>
      <c r="AD411" s="42">
        <v>0</v>
      </c>
      <c r="AE411" s="42">
        <v>0</v>
      </c>
      <c r="AF411" s="43">
        <f>VLOOKUP($B411,Geothermal!$A$5:$G$36,4,FALSE)</f>
        <v>0</v>
      </c>
    </row>
    <row r="412" ht="13.85" spans="1:32">
      <c r="A412" s="27" t="s">
        <v>2351</v>
      </c>
      <c r="B412" s="44" t="s">
        <v>106</v>
      </c>
      <c r="C412" s="45"/>
      <c r="D412" s="45"/>
      <c r="E412" s="45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>
        <f>VLOOKUP($B412,Geothermal!$A$5:$G$36,7,FALSE)-VLOOKUP($B412,Geothermal!$A$5:$G$36,4,FALSE)</f>
        <v>0</v>
      </c>
      <c r="AC412" s="42">
        <v>0</v>
      </c>
      <c r="AD412" s="42">
        <v>0</v>
      </c>
      <c r="AE412" s="42">
        <v>0</v>
      </c>
      <c r="AF412" s="43">
        <f>VLOOKUP($B412,Geothermal!$A$5:$G$36,4,FALSE)</f>
        <v>10</v>
      </c>
    </row>
    <row r="413" ht="13.85" spans="1:32">
      <c r="A413" s="27" t="s">
        <v>2351</v>
      </c>
      <c r="B413" s="44" t="s">
        <v>108</v>
      </c>
      <c r="C413" s="45"/>
      <c r="D413" s="45"/>
      <c r="E413" s="45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>
        <f>VLOOKUP($B413,Geothermal!$A$5:$G$36,7,FALSE)-VLOOKUP($B413,Geothermal!$A$5:$G$36,4,FALSE)</f>
        <v>0</v>
      </c>
      <c r="AC413" s="42">
        <v>0</v>
      </c>
      <c r="AD413" s="42">
        <v>0</v>
      </c>
      <c r="AE413" s="42">
        <v>0</v>
      </c>
      <c r="AF413" s="43">
        <f>VLOOKUP($B413,Geothermal!$A$5:$G$36,4,FALSE)</f>
        <v>0</v>
      </c>
    </row>
    <row r="414" ht="13.85" spans="1:32">
      <c r="A414" s="27" t="s">
        <v>2351</v>
      </c>
      <c r="B414" s="44" t="s">
        <v>110</v>
      </c>
      <c r="C414" s="45"/>
      <c r="D414" s="45"/>
      <c r="E414" s="45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>
        <f>VLOOKUP($B414,Geothermal!$A$5:$G$36,7,FALSE)-VLOOKUP($B414,Geothermal!$A$5:$G$36,4,FALSE)</f>
        <v>0</v>
      </c>
      <c r="AC414" s="42">
        <v>0</v>
      </c>
      <c r="AD414" s="42">
        <v>0</v>
      </c>
      <c r="AE414" s="42">
        <v>0</v>
      </c>
      <c r="AF414" s="43">
        <f>VLOOKUP($B414,Geothermal!$A$5:$G$36,4,FALSE)</f>
        <v>10</v>
      </c>
    </row>
    <row r="415" ht="13.85" spans="1:32">
      <c r="A415" s="27" t="s">
        <v>2351</v>
      </c>
      <c r="B415" s="44" t="s">
        <v>112</v>
      </c>
      <c r="C415" s="45"/>
      <c r="D415" s="45"/>
      <c r="E415" s="45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>
        <f>VLOOKUP($B415,Geothermal!$A$5:$G$36,7,FALSE)-VLOOKUP($B415,Geothermal!$A$5:$G$36,4,FALSE)</f>
        <v>0</v>
      </c>
      <c r="AC415" s="42">
        <v>0</v>
      </c>
      <c r="AD415" s="42">
        <v>0</v>
      </c>
      <c r="AE415" s="42">
        <v>0</v>
      </c>
      <c r="AF415" s="43">
        <f>VLOOKUP($B415,Geothermal!$A$5:$G$36,4,FALSE)</f>
        <v>0</v>
      </c>
    </row>
    <row r="416" ht="13.85" spans="1:32">
      <c r="A416" s="27" t="s">
        <v>2351</v>
      </c>
      <c r="B416" s="44" t="s">
        <v>114</v>
      </c>
      <c r="C416" s="45"/>
      <c r="D416" s="45"/>
      <c r="E416" s="45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>
        <f>VLOOKUP($B416,Geothermal!$A$5:$G$36,7,FALSE)-VLOOKUP($B416,Geothermal!$A$5:$G$36,4,FALSE)</f>
        <v>0</v>
      </c>
      <c r="AC416" s="42">
        <v>0</v>
      </c>
      <c r="AD416" s="42">
        <v>0</v>
      </c>
      <c r="AE416" s="42">
        <v>0</v>
      </c>
      <c r="AF416" s="43">
        <f>VLOOKUP($B416,Geothermal!$A$5:$G$36,4,FALSE)</f>
        <v>0</v>
      </c>
    </row>
    <row r="417" ht="13.85" spans="1:32">
      <c r="A417" s="27" t="s">
        <v>2351</v>
      </c>
      <c r="B417" s="44" t="s">
        <v>116</v>
      </c>
      <c r="C417" s="45"/>
      <c r="D417" s="45"/>
      <c r="E417" s="45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>
        <f>VLOOKUP($B417,Geothermal!$A$5:$G$36,7,FALSE)-VLOOKUP($B417,Geothermal!$A$5:$G$36,4,FALSE)</f>
        <v>0</v>
      </c>
      <c r="AC417" s="42">
        <v>0</v>
      </c>
      <c r="AD417" s="42">
        <v>0</v>
      </c>
      <c r="AE417" s="42">
        <v>0</v>
      </c>
      <c r="AF417" s="43">
        <f>VLOOKUP($B417,Geothermal!$A$5:$G$36,4,FALSE)</f>
        <v>0</v>
      </c>
    </row>
    <row r="418" ht="13.85" spans="1:32">
      <c r="A418" s="27" t="s">
        <v>2351</v>
      </c>
      <c r="B418" s="44" t="s">
        <v>118</v>
      </c>
      <c r="C418" s="45"/>
      <c r="D418" s="45"/>
      <c r="E418" s="45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>
        <f>VLOOKUP($B418,Geothermal!$A$5:$G$36,7,FALSE)-VLOOKUP($B418,Geothermal!$A$5:$G$36,4,FALSE)</f>
        <v>0.300000000000001</v>
      </c>
      <c r="AC418" s="42">
        <v>0</v>
      </c>
      <c r="AD418" s="42">
        <v>0</v>
      </c>
      <c r="AE418" s="42">
        <v>0</v>
      </c>
      <c r="AF418" s="43">
        <f>VLOOKUP($B418,Geothermal!$A$5:$G$36,4,FALSE)</f>
        <v>10</v>
      </c>
    </row>
    <row r="419" ht="13.85" spans="1:32">
      <c r="A419" s="27" t="s">
        <v>2351</v>
      </c>
      <c r="B419" s="44" t="s">
        <v>120</v>
      </c>
      <c r="C419" s="45"/>
      <c r="D419" s="45"/>
      <c r="E419" s="45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>
        <f>VLOOKUP($B419,Geothermal!$A$5:$G$36,7,FALSE)-VLOOKUP($B419,Geothermal!$A$5:$G$36,4,FALSE)</f>
        <v>0</v>
      </c>
      <c r="AC419" s="42">
        <v>0</v>
      </c>
      <c r="AD419" s="42">
        <v>0</v>
      </c>
      <c r="AE419" s="42">
        <v>0</v>
      </c>
      <c r="AF419" s="43">
        <f>VLOOKUP($B419,Geothermal!$A$5:$G$36,4,FALSE)</f>
        <v>0</v>
      </c>
    </row>
    <row r="420" ht="13.85" spans="1:32">
      <c r="A420" s="27" t="s">
        <v>2351</v>
      </c>
      <c r="B420" s="44" t="s">
        <v>122</v>
      </c>
      <c r="C420" s="45"/>
      <c r="D420" s="45"/>
      <c r="E420" s="45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>
        <f>VLOOKUP($B420,Geothermal!$A$5:$G$36,7,FALSE)-VLOOKUP($B420,Geothermal!$A$5:$G$36,4,FALSE)</f>
        <v>0</v>
      </c>
      <c r="AC420" s="42">
        <v>0</v>
      </c>
      <c r="AD420" s="42">
        <v>0</v>
      </c>
      <c r="AE420" s="42">
        <v>0</v>
      </c>
      <c r="AF420" s="43">
        <f>VLOOKUP($B420,Geothermal!$A$5:$G$36,4,FALSE)</f>
        <v>10</v>
      </c>
    </row>
    <row r="421" ht="13.85" spans="1:32">
      <c r="A421" s="27" t="s">
        <v>2351</v>
      </c>
      <c r="B421" s="44" t="s">
        <v>124</v>
      </c>
      <c r="C421" s="45"/>
      <c r="D421" s="45"/>
      <c r="E421" s="45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>
        <f>VLOOKUP($B421,Geothermal!$A$5:$G$36,7,FALSE)-VLOOKUP($B421,Geothermal!$A$5:$G$36,4,FALSE)</f>
        <v>0</v>
      </c>
      <c r="AC421" s="42">
        <v>0</v>
      </c>
      <c r="AD421" s="42">
        <v>0</v>
      </c>
      <c r="AE421" s="42">
        <v>0</v>
      </c>
      <c r="AF421" s="43">
        <f>VLOOKUP($B421,Geothermal!$A$5:$G$36,4,FALSE)</f>
        <v>0</v>
      </c>
    </row>
    <row r="422" ht="13.85" spans="1:32">
      <c r="A422" s="27" t="s">
        <v>2351</v>
      </c>
      <c r="B422" s="44" t="s">
        <v>126</v>
      </c>
      <c r="C422" s="45"/>
      <c r="D422" s="45"/>
      <c r="E422" s="45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>
        <f>VLOOKUP($B422,Geothermal!$A$5:$G$36,7,FALSE)-VLOOKUP($B422,Geothermal!$A$5:$G$36,4,FALSE)</f>
        <v>0</v>
      </c>
      <c r="AC422" s="42">
        <v>0</v>
      </c>
      <c r="AD422" s="42">
        <v>0</v>
      </c>
      <c r="AE422" s="42">
        <v>0</v>
      </c>
      <c r="AF422" s="43">
        <f>VLOOKUP($B422,Geothermal!$A$5:$G$36,4,FALSE)</f>
        <v>15</v>
      </c>
    </row>
    <row r="423" ht="13.85" spans="1:32">
      <c r="A423" s="27" t="s">
        <v>2351</v>
      </c>
      <c r="B423" s="44" t="s">
        <v>128</v>
      </c>
      <c r="C423" s="45"/>
      <c r="D423" s="45"/>
      <c r="E423" s="45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>
        <f>VLOOKUP($B423,Geothermal!$A$5:$G$36,7,FALSE)-VLOOKUP($B423,Geothermal!$A$5:$G$36,4,FALSE)</f>
        <v>0</v>
      </c>
      <c r="AC423" s="42">
        <v>0</v>
      </c>
      <c r="AD423" s="42">
        <v>0</v>
      </c>
      <c r="AE423" s="42">
        <v>0</v>
      </c>
      <c r="AF423" s="43">
        <f>VLOOKUP($B423,Geothermal!$A$5:$G$36,4,FALSE)</f>
        <v>0</v>
      </c>
    </row>
    <row r="424" ht="13.85" spans="1:32">
      <c r="A424" s="27" t="s">
        <v>2351</v>
      </c>
      <c r="B424" s="44" t="s">
        <v>130</v>
      </c>
      <c r="C424" s="45"/>
      <c r="D424" s="45"/>
      <c r="E424" s="45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>
        <f>VLOOKUP($B424,Geothermal!$A$5:$G$36,7,FALSE)-VLOOKUP($B424,Geothermal!$A$5:$G$36,4,FALSE)</f>
        <v>0</v>
      </c>
      <c r="AC424" s="42">
        <v>0</v>
      </c>
      <c r="AD424" s="42">
        <v>0</v>
      </c>
      <c r="AE424" s="42">
        <v>0</v>
      </c>
      <c r="AF424" s="43">
        <f>VLOOKUP($B424,Geothermal!$A$5:$G$36,4,FALSE)</f>
        <v>10</v>
      </c>
    </row>
    <row r="425" ht="13.85" spans="1:32">
      <c r="A425" s="27" t="s">
        <v>2351</v>
      </c>
      <c r="B425" s="44" t="s">
        <v>132</v>
      </c>
      <c r="C425" s="45"/>
      <c r="D425" s="45"/>
      <c r="E425" s="45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>
        <f>VLOOKUP($B425,Geothermal!$A$5:$G$36,7,FALSE)-VLOOKUP($B425,Geothermal!$A$5:$G$36,4,FALSE)</f>
        <v>26.58</v>
      </c>
      <c r="AC425" s="42">
        <v>0</v>
      </c>
      <c r="AD425" s="42">
        <v>0</v>
      </c>
      <c r="AE425" s="42">
        <v>0</v>
      </c>
      <c r="AF425" s="43">
        <f>VLOOKUP($B425,Geothermal!$A$5:$G$36,4,FALSE)</f>
        <v>350</v>
      </c>
    </row>
    <row r="426" ht="13.85" spans="1:32">
      <c r="A426" s="27" t="s">
        <v>2351</v>
      </c>
      <c r="B426" s="44" t="s">
        <v>134</v>
      </c>
      <c r="C426" s="45"/>
      <c r="D426" s="45"/>
      <c r="E426" s="45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>
        <f>VLOOKUP($B426,Geothermal!$A$5:$G$36,7,FALSE)-VLOOKUP($B426,Geothermal!$A$5:$G$36,4,FALSE)</f>
        <v>0</v>
      </c>
      <c r="AC426" s="42">
        <v>0</v>
      </c>
      <c r="AD426" s="42">
        <v>0</v>
      </c>
      <c r="AE426" s="42">
        <v>0</v>
      </c>
      <c r="AF426" s="43">
        <f>VLOOKUP($B426,Geothermal!$A$5:$G$36,4,FALSE)</f>
        <v>10</v>
      </c>
    </row>
    <row r="427" ht="13.85" spans="1:32">
      <c r="A427" s="27" t="s">
        <v>2351</v>
      </c>
      <c r="B427" s="44" t="s">
        <v>136</v>
      </c>
      <c r="C427" s="45"/>
      <c r="D427" s="45"/>
      <c r="E427" s="45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>
        <f>VLOOKUP($B427,Geothermal!$A$5:$G$36,7,FALSE)-VLOOKUP($B427,Geothermal!$A$5:$G$36,4,FALSE)</f>
        <v>0</v>
      </c>
      <c r="AC427" s="42">
        <v>0</v>
      </c>
      <c r="AD427" s="42">
        <v>0</v>
      </c>
      <c r="AE427" s="42">
        <v>0</v>
      </c>
      <c r="AF427" s="43">
        <f>VLOOKUP($B427,Geothermal!$A$5:$G$36,4,FALSE)</f>
        <v>0</v>
      </c>
    </row>
    <row r="428" ht="13.85" spans="1:32">
      <c r="A428" s="27" t="s">
        <v>2351</v>
      </c>
      <c r="B428" s="44" t="s">
        <v>138</v>
      </c>
      <c r="C428" s="45"/>
      <c r="D428" s="45"/>
      <c r="E428" s="45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>
        <f>VLOOKUP($B428,Geothermal!$A$5:$G$36,7,FALSE)-VLOOKUP($B428,Geothermal!$A$5:$G$36,4,FALSE)</f>
        <v>0</v>
      </c>
      <c r="AC428" s="42">
        <v>0</v>
      </c>
      <c r="AD428" s="42">
        <v>0</v>
      </c>
      <c r="AE428" s="42">
        <v>0</v>
      </c>
      <c r="AF428" s="43">
        <f>VLOOKUP($B428,Geothermal!$A$5:$G$36,4,FALSE)</f>
        <v>30</v>
      </c>
    </row>
    <row r="429" ht="13.85" spans="1:32">
      <c r="A429" s="27" t="s">
        <v>2351</v>
      </c>
      <c r="B429" s="44" t="s">
        <v>140</v>
      </c>
      <c r="C429" s="45"/>
      <c r="D429" s="45"/>
      <c r="E429" s="45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>
        <f>VLOOKUP($B429,Geothermal!$A$5:$G$36,7,FALSE)-VLOOKUP($B429,Geothermal!$A$5:$G$36,4,FALSE)</f>
        <v>0</v>
      </c>
      <c r="AC429" s="42">
        <v>0</v>
      </c>
      <c r="AD429" s="42">
        <v>0</v>
      </c>
      <c r="AE429" s="42">
        <v>0</v>
      </c>
      <c r="AF429" s="43">
        <f>VLOOKUP($B429,Geothermal!$A$5:$G$36,4,FALSE)</f>
        <v>0</v>
      </c>
    </row>
    <row r="430" ht="13.85" spans="1:32">
      <c r="A430" s="27" t="s">
        <v>2351</v>
      </c>
      <c r="B430" s="44" t="s">
        <v>142</v>
      </c>
      <c r="C430" s="45"/>
      <c r="D430" s="45"/>
      <c r="E430" s="45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>
        <f>VLOOKUP($B430,Geothermal!$A$5:$G$36,7,FALSE)-VLOOKUP($B430,Geothermal!$A$5:$G$36,4,FALSE)</f>
        <v>0</v>
      </c>
      <c r="AC430" s="42">
        <v>0</v>
      </c>
      <c r="AD430" s="42">
        <v>0</v>
      </c>
      <c r="AE430" s="42">
        <v>0</v>
      </c>
      <c r="AF430" s="43">
        <f>VLOOKUP($B430,Geothermal!$A$5:$G$36,4,FALSE)</f>
        <v>5</v>
      </c>
    </row>
    <row r="431" s="38" customFormat="1" spans="1:32">
      <c r="A431" s="46"/>
      <c r="B431" s="46"/>
      <c r="C431" s="47"/>
      <c r="D431" s="47"/>
      <c r="E431" s="47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</row>
    <row r="432" ht="13.85" spans="1:32">
      <c r="A432" s="27" t="s">
        <v>165</v>
      </c>
      <c r="B432" s="41" t="s">
        <v>80</v>
      </c>
      <c r="C432" s="42">
        <f t="shared" ref="C432:AF432" si="305">SUM(C433:C463)</f>
        <v>0</v>
      </c>
      <c r="D432" s="42">
        <f t="shared" si="305"/>
        <v>0</v>
      </c>
      <c r="E432" s="42">
        <f t="shared" si="305"/>
        <v>0</v>
      </c>
      <c r="F432" s="42">
        <f t="shared" si="305"/>
        <v>11207.1666666667</v>
      </c>
      <c r="G432" s="42">
        <f t="shared" si="305"/>
        <v>11132.3333333333</v>
      </c>
      <c r="H432" s="42">
        <f t="shared" si="305"/>
        <v>14672.5333333333</v>
      </c>
      <c r="I432" s="42">
        <f t="shared" si="305"/>
        <v>18115.7833333333</v>
      </c>
      <c r="J432" s="42">
        <f t="shared" si="305"/>
        <v>15579.1666666667</v>
      </c>
      <c r="K432" s="42">
        <f t="shared" si="305"/>
        <v>17703.5</v>
      </c>
      <c r="L432" s="42">
        <f t="shared" si="305"/>
        <v>15224.8333333333</v>
      </c>
      <c r="M432" s="42">
        <f t="shared" si="305"/>
        <v>16733.25</v>
      </c>
      <c r="N432" s="42">
        <f t="shared" si="305"/>
        <v>15510.2416666667</v>
      </c>
      <c r="O432" s="42">
        <f t="shared" si="305"/>
        <v>14340.25</v>
      </c>
      <c r="P432" s="42">
        <f t="shared" si="305"/>
        <v>23873.05</v>
      </c>
      <c r="Q432" s="42">
        <f t="shared" si="305"/>
        <v>45933.375</v>
      </c>
      <c r="R432" s="42">
        <f t="shared" si="305"/>
        <v>60327</v>
      </c>
      <c r="S432" s="42">
        <f t="shared" si="305"/>
        <v>92699</v>
      </c>
      <c r="T432" s="42">
        <f t="shared" si="305"/>
        <v>89132.345</v>
      </c>
      <c r="U432" s="42">
        <f t="shared" si="305"/>
        <v>70989.9865555555</v>
      </c>
      <c r="V432" s="42">
        <f t="shared" si="305"/>
        <v>72437.0865555556</v>
      </c>
      <c r="W432" s="42">
        <f t="shared" si="305"/>
        <v>64840.9865555556</v>
      </c>
      <c r="X432" s="42">
        <f t="shared" si="305"/>
        <v>67105.9865555556</v>
      </c>
      <c r="Y432" s="42">
        <f t="shared" si="305"/>
        <v>56889.3865555556</v>
      </c>
      <c r="Z432" s="42">
        <f t="shared" si="305"/>
        <v>44438.4865555556</v>
      </c>
      <c r="AA432" s="42">
        <f t="shared" si="305"/>
        <v>45250.2865555555</v>
      </c>
      <c r="AB432" s="42">
        <f t="shared" si="305"/>
        <v>64592.1865555556</v>
      </c>
      <c r="AC432" s="42">
        <f t="shared" si="305"/>
        <v>50227.9865555556</v>
      </c>
      <c r="AD432" s="42">
        <f t="shared" si="305"/>
        <v>45106.22</v>
      </c>
      <c r="AE432" s="42">
        <f t="shared" si="305"/>
        <v>40627.02</v>
      </c>
      <c r="AF432" s="43">
        <f t="shared" si="305"/>
        <v>41030.02</v>
      </c>
    </row>
    <row r="433" ht="13.85" spans="1:32">
      <c r="A433" s="27" t="s">
        <v>165</v>
      </c>
      <c r="B433" s="44" t="s">
        <v>82</v>
      </c>
      <c r="C433" s="45"/>
      <c r="D433" s="45"/>
      <c r="E433" s="45"/>
      <c r="F433" s="42">
        <f>MAX(0,VLOOKUP($B433,'93-07workbook'!$B$144:$Q$175,COLUMN(B$1),FALSE)-F301-F103-F70)</f>
        <v>0</v>
      </c>
      <c r="G433" s="42">
        <f>MAX(0,VLOOKUP($B433,'93-07workbook'!$B$144:$Q$175,COLUMN(C$1),FALSE)-G301-G103-G70)</f>
        <v>0</v>
      </c>
      <c r="H433" s="42">
        <f>MAX(0,VLOOKUP($B433,'93-07workbook'!$B$144:$Q$175,COLUMN(D$1),FALSE)-H301-H103-H70)</f>
        <v>275.666666666666</v>
      </c>
      <c r="I433" s="42">
        <f>MAX(0,VLOOKUP($B433,'93-07workbook'!$B$144:$Q$175,COLUMN(E$1),FALSE)-I301-I103-I70)</f>
        <v>0</v>
      </c>
      <c r="J433" s="42">
        <f>MAX(0,VLOOKUP($B433,'93-07workbook'!$B$144:$Q$175,COLUMN(F$1),FALSE)-J301-J103-J70)</f>
        <v>0</v>
      </c>
      <c r="K433" s="42">
        <f>MAX(0,VLOOKUP($B433,'93-07workbook'!$B$144:$Q$175,COLUMN(G$1),FALSE)-K301-K103-K70)</f>
        <v>446.666666666667</v>
      </c>
      <c r="L433" s="42">
        <f>MAX(0,VLOOKUP($B433,'93-07workbook'!$B$144:$Q$175,COLUMN(H$1),FALSE)-L301-L103-L70)</f>
        <v>829.966666666666</v>
      </c>
      <c r="M433" s="42">
        <f>MAX(0,VLOOKUP($B433,'93-07workbook'!$B$144:$Q$175,COLUMN(I$1),FALSE)-M301-M103-M70)</f>
        <v>0</v>
      </c>
      <c r="N433" s="42">
        <f>MAX(0,VLOOKUP($B433,'93-07workbook'!$B$144:$Q$175,COLUMN(J$1),FALSE)-N301-N103-N70)</f>
        <v>0</v>
      </c>
      <c r="O433" s="42">
        <f>MAX(0,VLOOKUP($B433,'93-07workbook'!$B$144:$Q$175,COLUMN(K$1),FALSE)-O301-O103-O70)</f>
        <v>0</v>
      </c>
      <c r="P433" s="42">
        <f>MAX(0,VLOOKUP($B433,'93-07workbook'!$B$144:$Q$175,COLUMN(L$1),FALSE)-P301-P103-P70)</f>
        <v>0</v>
      </c>
      <c r="Q433" s="42">
        <f>MAX(0,VLOOKUP($B433,'93-07workbook'!$B$144:$Q$175,COLUMN(M$1),FALSE)-Q301-Q103-Q70)</f>
        <v>107</v>
      </c>
      <c r="R433" s="42">
        <f>MAX(0,VLOOKUP($B433,'93-07workbook'!$B$144:$Q$175,COLUMN(N$1),FALSE)-R301-R103-R70)</f>
        <v>556</v>
      </c>
      <c r="S433" s="42">
        <f>MAX(0,VLOOKUP($B433,'93-07workbook'!$B$144:$Q$175,COLUMN(O$1),FALSE)-S301-S103-S70)</f>
        <v>146</v>
      </c>
      <c r="T433" s="42">
        <f>MAX(0,VLOOKUP($B433,'93-07workbook'!$B$144:$Q$175,COLUMN(P$1),FALSE)-T301-T103-T70)</f>
        <v>118</v>
      </c>
      <c r="U433" s="42">
        <f>SUMIFS('08-21addition'!$H:$H,'08-21addition'!$A:$A,$B433,'08-21addition'!$B:$B,U$2)*10+VLOOKUP($B268,'project vs stock'!$A$72:$W$103,20,FALSE)/9</f>
        <v>160</v>
      </c>
      <c r="V433" s="42">
        <f>SUMIFS('08-21addition'!$H:$H,'08-21addition'!$A:$A,$B433,'08-21addition'!$B:$B,V$2)*10+VLOOKUP($B268,'project vs stock'!$A$72:$W$103,20,FALSE)/9</f>
        <v>0</v>
      </c>
      <c r="W433" s="42">
        <f>SUMIFS('08-21addition'!$H:$H,'08-21addition'!$A:$A,$B433,'08-21addition'!$B:$B,W$2)*10+VLOOKUP($B268,'project vs stock'!$A$72:$W$103,20,FALSE)/9</f>
        <v>0</v>
      </c>
      <c r="X433" s="42">
        <f>SUMIFS('08-21addition'!$H:$H,'08-21addition'!$A:$A,$B433,'08-21addition'!$B:$B,X$2)*10+VLOOKUP($B268,'project vs stock'!$A$72:$W$103,20,FALSE)/9</f>
        <v>0</v>
      </c>
      <c r="Y433" s="42">
        <f>SUMIFS('08-21addition'!$H:$H,'08-21addition'!$A:$A,$B433,'08-21addition'!$B:$B,Y$2)*10+VLOOKUP($B268,'project vs stock'!$A$72:$W$103,20,FALSE)/9</f>
        <v>0</v>
      </c>
      <c r="Z433" s="42">
        <f>SUMIFS('08-21addition'!$H:$H,'08-21addition'!$A:$A,$B433,'08-21addition'!$B:$B,Z$2)*10+VLOOKUP($B268,'project vs stock'!$A$72:$W$103,20,FALSE)/9</f>
        <v>0</v>
      </c>
      <c r="AA433" s="42">
        <f>SUMIFS('08-21addition'!$H:$H,'08-21addition'!$A:$A,$B433,'08-21addition'!$B:$B,AA$2)*10+VLOOKUP($B268,'project vs stock'!$A$72:$W$103,20,FALSE)/9</f>
        <v>0</v>
      </c>
      <c r="AB433" s="42">
        <f>SUMIFS('08-21addition'!$H:$H,'08-21addition'!$A:$A,$B433,'08-21addition'!$B:$B,AB$2)*10+VLOOKUP($B268,'project vs stock'!$A$72:$W$103,20,FALSE)/9</f>
        <v>0</v>
      </c>
      <c r="AC433" s="42">
        <f>SUMIFS('08-21addition'!$H:$H,'08-21addition'!$A:$A,$B433,'08-21addition'!$B:$B,AC$2)*10+VLOOKUP($B268,'project vs stock'!$A$72:$W$103,20,FALSE)/9</f>
        <v>0</v>
      </c>
      <c r="AD433" s="42">
        <f>SUMIFS('08-21addition'!$H:$H,'08-21addition'!$A:$A,$B433,'08-21addition'!$B:$B,AD$2)*10+VLOOKUP($B433,'project vs stock'!$A$72:$W$103,8,FALSE)/5</f>
        <v>0</v>
      </c>
      <c r="AE433" s="42">
        <f>SUMIFS('08-21addition'!$H:$H,'08-21addition'!$A:$A,$B433,'08-21addition'!$B:$B,AE$2)*10+VLOOKUP($B433,'project vs stock'!$A$72:$W$103,8,FALSE)/5</f>
        <v>0</v>
      </c>
      <c r="AF433" s="43">
        <f>SUMIFS('08-21addition'!$H:$H,'08-21addition'!$A:$A,$B433,'08-21addition'!$B:$B,AF$2)*10+VLOOKUP($B433,'project vs stock'!$A$72:$W$103,8,FALSE)/5</f>
        <v>0</v>
      </c>
    </row>
    <row r="434" ht="13.85" spans="1:32">
      <c r="A434" s="27" t="s">
        <v>165</v>
      </c>
      <c r="B434" s="44" t="s">
        <v>84</v>
      </c>
      <c r="C434" s="45"/>
      <c r="D434" s="45"/>
      <c r="E434" s="45"/>
      <c r="F434" s="42">
        <f>MAX(0,VLOOKUP($B434,'93-07workbook'!$B$144:$Q$175,COLUMN(B$1),FALSE)-F302-F104-F71)</f>
        <v>235</v>
      </c>
      <c r="G434" s="42">
        <f>MAX(0,VLOOKUP($B434,'93-07workbook'!$B$144:$Q$175,COLUMN(C$1),FALSE)-G302-G104-G71)</f>
        <v>122.5</v>
      </c>
      <c r="H434" s="42">
        <f>MAX(0,VLOOKUP($B434,'93-07workbook'!$B$144:$Q$175,COLUMN(D$1),FALSE)-H302-H104-H71)</f>
        <v>510</v>
      </c>
      <c r="I434" s="42">
        <f>MAX(0,VLOOKUP($B434,'93-07workbook'!$B$144:$Q$175,COLUMN(E$1),FALSE)-I302-I104-I71)</f>
        <v>1077</v>
      </c>
      <c r="J434" s="42">
        <f>MAX(0,VLOOKUP($B434,'93-07workbook'!$B$144:$Q$175,COLUMN(F$1),FALSE)-J302-J104-J71)</f>
        <v>0</v>
      </c>
      <c r="K434" s="42">
        <f>MAX(0,VLOOKUP($B434,'93-07workbook'!$B$144:$Q$175,COLUMN(G$1),FALSE)-K302-K104-K71)</f>
        <v>285</v>
      </c>
      <c r="L434" s="42">
        <f>MAX(0,VLOOKUP($B434,'93-07workbook'!$B$144:$Q$175,COLUMN(H$1),FALSE)-L302-L104-L71)</f>
        <v>285</v>
      </c>
      <c r="M434" s="42">
        <f>MAX(0,VLOOKUP($B434,'93-07workbook'!$B$144:$Q$175,COLUMN(I$1),FALSE)-M302-M104-M71)</f>
        <v>0</v>
      </c>
      <c r="N434" s="42">
        <f>MAX(0,VLOOKUP($B434,'93-07workbook'!$B$144:$Q$175,COLUMN(J$1),FALSE)-N302-N104-N71)</f>
        <v>589</v>
      </c>
      <c r="O434" s="42">
        <f>MAX(0,VLOOKUP($B434,'93-07workbook'!$B$144:$Q$175,COLUMN(K$1),FALSE)-O302-O104-O71)</f>
        <v>613.499999999999</v>
      </c>
      <c r="P434" s="42">
        <f>MAX(0,VLOOKUP($B434,'93-07workbook'!$B$144:$Q$175,COLUMN(L$1),FALSE)-P302-P104-P71)</f>
        <v>0</v>
      </c>
      <c r="Q434" s="42">
        <f>MAX(0,VLOOKUP($B434,'93-07workbook'!$B$144:$Q$175,COLUMN(M$1),FALSE)-Q302-Q104-Q71)</f>
        <v>0</v>
      </c>
      <c r="R434" s="42">
        <f>MAX(0,VLOOKUP($B434,'93-07workbook'!$B$144:$Q$175,COLUMN(N$1),FALSE)-R302-R104-R71)</f>
        <v>380</v>
      </c>
      <c r="S434" s="42">
        <f>MAX(0,VLOOKUP($B434,'93-07workbook'!$B$144:$Q$175,COLUMN(O$1),FALSE)-S302-S104-S71)</f>
        <v>338.000000000001</v>
      </c>
      <c r="T434" s="42">
        <f>MAX(0,VLOOKUP($B434,'93-07workbook'!$B$144:$Q$175,COLUMN(P$1),FALSE)-T302-T104-T71)</f>
        <v>408</v>
      </c>
      <c r="U434" s="42">
        <f>SUMIFS('08-21addition'!$H:$H,'08-21addition'!$A:$A,$B434,'08-21addition'!$B:$B,U$2)*10+VLOOKUP($B269,'project vs stock'!$A$72:$W$103,20,FALSE)/9</f>
        <v>777.966666666667</v>
      </c>
      <c r="V434" s="42">
        <f>SUMIFS('08-21addition'!$H:$H,'08-21addition'!$A:$A,$B434,'08-21addition'!$B:$B,V$2)*10+VLOOKUP($B269,'project vs stock'!$A$72:$W$103,20,FALSE)/9</f>
        <v>2837.96666666667</v>
      </c>
      <c r="W434" s="42">
        <f>SUMIFS('08-21addition'!$H:$H,'08-21addition'!$A:$A,$B434,'08-21addition'!$B:$B,W$2)*10+VLOOKUP($B269,'project vs stock'!$A$72:$W$103,20,FALSE)/9</f>
        <v>1077.96666666667</v>
      </c>
      <c r="X434" s="42">
        <f>SUMIFS('08-21addition'!$H:$H,'08-21addition'!$A:$A,$B434,'08-21addition'!$B:$B,X$2)*10+VLOOKUP($B269,'project vs stock'!$A$72:$W$103,20,FALSE)/9</f>
        <v>777.966666666667</v>
      </c>
      <c r="Y434" s="42">
        <f>SUMIFS('08-21addition'!$H:$H,'08-21addition'!$A:$A,$B434,'08-21addition'!$B:$B,Y$2)*10+VLOOKUP($B269,'project vs stock'!$A$72:$W$103,20,FALSE)/9</f>
        <v>442.966666666667</v>
      </c>
      <c r="Z434" s="42">
        <f>SUMIFS('08-21addition'!$H:$H,'08-21addition'!$A:$A,$B434,'08-21addition'!$B:$B,Z$2)*10+VLOOKUP($B269,'project vs stock'!$A$72:$W$103,20,FALSE)/9</f>
        <v>177.966666666667</v>
      </c>
      <c r="AA434" s="42">
        <f>SUMIFS('08-21addition'!$H:$H,'08-21addition'!$A:$A,$B434,'08-21addition'!$B:$B,AA$2)*10+VLOOKUP($B269,'project vs stock'!$A$72:$W$103,20,FALSE)/9</f>
        <v>877.966666666667</v>
      </c>
      <c r="AB434" s="42">
        <f>SUMIFS('08-21addition'!$H:$H,'08-21addition'!$A:$A,$B434,'08-21addition'!$B:$B,AB$2)*10+VLOOKUP($B269,'project vs stock'!$A$72:$W$103,20,FALSE)/9</f>
        <v>177.966666666667</v>
      </c>
      <c r="AC434" s="42">
        <f>SUMIFS('08-21addition'!$H:$H,'08-21addition'!$A:$A,$B434,'08-21addition'!$B:$B,AC$2)*10+VLOOKUP($B269,'project vs stock'!$A$72:$W$103,20,FALSE)/9</f>
        <v>177.966666666667</v>
      </c>
      <c r="AD434" s="42">
        <f>SUMIFS('08-21addition'!$H:$H,'08-21addition'!$A:$A,$B434,'08-21addition'!$B:$B,AD$2)*10+VLOOKUP($B434,'project vs stock'!$A$72:$W$103,8,FALSE)/5</f>
        <v>136.6</v>
      </c>
      <c r="AE434" s="42">
        <f>SUMIFS('08-21addition'!$H:$H,'08-21addition'!$A:$A,$B434,'08-21addition'!$B:$B,AE$2)*10+VLOOKUP($B434,'project vs stock'!$A$72:$W$103,8,FALSE)/5</f>
        <v>2136.6</v>
      </c>
      <c r="AF434" s="43">
        <f>SUMIFS('08-21addition'!$H:$H,'08-21addition'!$A:$A,$B434,'08-21addition'!$B:$B,AF$2)*10+VLOOKUP($B434,'project vs stock'!$A$72:$W$103,8,FALSE)/5</f>
        <v>486.6</v>
      </c>
    </row>
    <row r="435" ht="13.85" spans="1:32">
      <c r="A435" s="27" t="s">
        <v>165</v>
      </c>
      <c r="B435" s="44" t="s">
        <v>86</v>
      </c>
      <c r="C435" s="45"/>
      <c r="D435" s="45"/>
      <c r="E435" s="45"/>
      <c r="F435" s="42">
        <f>MAX(0,VLOOKUP($B435,'93-07workbook'!$B$144:$Q$175,COLUMN(B$1),FALSE)-F303-F105-F72)</f>
        <v>625</v>
      </c>
      <c r="G435" s="42">
        <f>MAX(0,VLOOKUP($B435,'93-07workbook'!$B$144:$Q$175,COLUMN(C$1),FALSE)-G303-G105-G72)</f>
        <v>664.5</v>
      </c>
      <c r="H435" s="42">
        <f>MAX(0,VLOOKUP($B435,'93-07workbook'!$B$144:$Q$175,COLUMN(D$1),FALSE)-H303-H105-H72)</f>
        <v>1270</v>
      </c>
      <c r="I435" s="42">
        <f>MAX(0,VLOOKUP($B435,'93-07workbook'!$B$144:$Q$175,COLUMN(E$1),FALSE)-I303-I105-I72)</f>
        <v>718.399999999999</v>
      </c>
      <c r="J435" s="42">
        <f>MAX(0,VLOOKUP($B435,'93-07workbook'!$B$144:$Q$175,COLUMN(F$1),FALSE)-J303-J105-J72)</f>
        <v>799.8</v>
      </c>
      <c r="K435" s="42">
        <f>MAX(0,VLOOKUP($B435,'93-07workbook'!$B$144:$Q$175,COLUMN(G$1),FALSE)-K303-K105-K72)</f>
        <v>697.1</v>
      </c>
      <c r="L435" s="42">
        <f>MAX(0,VLOOKUP($B435,'93-07workbook'!$B$144:$Q$175,COLUMN(H$1),FALSE)-L303-L105-L72)</f>
        <v>1270.1</v>
      </c>
      <c r="M435" s="42">
        <f>MAX(0,VLOOKUP($B435,'93-07workbook'!$B$144:$Q$175,COLUMN(I$1),FALSE)-M303-M105-M72)</f>
        <v>1310</v>
      </c>
      <c r="N435" s="42">
        <f>MAX(0,VLOOKUP($B435,'93-07workbook'!$B$144:$Q$175,COLUMN(J$1),FALSE)-N303-N105-N72)</f>
        <v>1308.825</v>
      </c>
      <c r="O435" s="42">
        <f>MAX(0,VLOOKUP($B435,'93-07workbook'!$B$144:$Q$175,COLUMN(K$1),FALSE)-O303-O105-O72)</f>
        <v>198.424999999999</v>
      </c>
      <c r="P435" s="42">
        <f>MAX(0,VLOOKUP($B435,'93-07workbook'!$B$144:$Q$175,COLUMN(L$1),FALSE)-P303-P105-P72)</f>
        <v>880.625</v>
      </c>
      <c r="Q435" s="42">
        <f>MAX(0,VLOOKUP($B435,'93-07workbook'!$B$144:$Q$175,COLUMN(M$1),FALSE)-Q303-Q105-Q72)</f>
        <v>2618.625</v>
      </c>
      <c r="R435" s="42">
        <f>MAX(0,VLOOKUP($B435,'93-07workbook'!$B$144:$Q$175,COLUMN(N$1),FALSE)-R303-R105-R72)</f>
        <v>2346.625</v>
      </c>
      <c r="S435" s="42">
        <f>MAX(0,VLOOKUP($B435,'93-07workbook'!$B$144:$Q$175,COLUMN(O$1),FALSE)-S303-S105-S72)</f>
        <v>3798.625</v>
      </c>
      <c r="T435" s="42">
        <f>MAX(0,VLOOKUP($B435,'93-07workbook'!$B$144:$Q$175,COLUMN(P$1),FALSE)-T303-T105-T72)</f>
        <v>3875.375</v>
      </c>
      <c r="U435" s="42">
        <f>SUMIFS('08-21addition'!$H:$H,'08-21addition'!$A:$A,$B435,'08-21addition'!$B:$B,U$2)*10+VLOOKUP($B270,'project vs stock'!$A$72:$W$103,20,FALSE)/9</f>
        <v>2757.25555555556</v>
      </c>
      <c r="V435" s="42">
        <f>SUMIFS('08-21addition'!$H:$H,'08-21addition'!$A:$A,$B435,'08-21addition'!$B:$B,V$2)*10+VLOOKUP($B270,'project vs stock'!$A$72:$W$103,20,FALSE)/9</f>
        <v>5707.25555555556</v>
      </c>
      <c r="W435" s="42">
        <f>SUMIFS('08-21addition'!$H:$H,'08-21addition'!$A:$A,$B435,'08-21addition'!$B:$B,W$2)*10+VLOOKUP($B270,'project vs stock'!$A$72:$W$103,20,FALSE)/9</f>
        <v>1727.25555555556</v>
      </c>
      <c r="X435" s="42">
        <f>SUMIFS('08-21addition'!$H:$H,'08-21addition'!$A:$A,$B435,'08-21addition'!$B:$B,X$2)*10+VLOOKUP($B270,'project vs stock'!$A$72:$W$103,20,FALSE)/9</f>
        <v>1447.25555555556</v>
      </c>
      <c r="Y435" s="42">
        <f>SUMIFS('08-21addition'!$H:$H,'08-21addition'!$A:$A,$B435,'08-21addition'!$B:$B,Y$2)*10+VLOOKUP($B270,'project vs stock'!$A$72:$W$103,20,FALSE)/9</f>
        <v>1117.25555555556</v>
      </c>
      <c r="Z435" s="42">
        <f>SUMIFS('08-21addition'!$H:$H,'08-21addition'!$A:$A,$B435,'08-21addition'!$B:$B,Z$2)*10+VLOOKUP($B270,'project vs stock'!$A$72:$W$103,20,FALSE)/9</f>
        <v>2087.25555555556</v>
      </c>
      <c r="AA435" s="42">
        <f>SUMIFS('08-21addition'!$H:$H,'08-21addition'!$A:$A,$B435,'08-21addition'!$B:$B,AA$2)*10+VLOOKUP($B270,'project vs stock'!$A$72:$W$103,20,FALSE)/9</f>
        <v>887.255555555555</v>
      </c>
      <c r="AB435" s="42">
        <f>SUMIFS('08-21addition'!$H:$H,'08-21addition'!$A:$A,$B435,'08-21addition'!$B:$B,AB$2)*10+VLOOKUP($B270,'project vs stock'!$A$72:$W$103,20,FALSE)/9</f>
        <v>1688.25555555556</v>
      </c>
      <c r="AC435" s="42">
        <f>SUMIFS('08-21addition'!$H:$H,'08-21addition'!$A:$A,$B435,'08-21addition'!$B:$B,AC$2)*10+VLOOKUP($B270,'project vs stock'!$A$72:$W$103,20,FALSE)/9</f>
        <v>1587.25555555556</v>
      </c>
      <c r="AD435" s="42">
        <f>SUMIFS('08-21addition'!$H:$H,'08-21addition'!$A:$A,$B435,'08-21addition'!$B:$B,AD$2)*10+VLOOKUP($B435,'project vs stock'!$A$72:$W$103,8,FALSE)/5</f>
        <v>1261.7</v>
      </c>
      <c r="AE435" s="42">
        <f>SUMIFS('08-21addition'!$H:$H,'08-21addition'!$A:$A,$B435,'08-21addition'!$B:$B,AE$2)*10+VLOOKUP($B435,'project vs stock'!$A$72:$W$103,8,FALSE)/5</f>
        <v>1885.7</v>
      </c>
      <c r="AF435" s="43">
        <f>SUMIFS('08-21addition'!$H:$H,'08-21addition'!$A:$A,$B435,'08-21addition'!$B:$B,AF$2)*10+VLOOKUP($B435,'project vs stock'!$A$72:$W$103,8,FALSE)/5</f>
        <v>2523.7</v>
      </c>
    </row>
    <row r="436" ht="13.85" spans="1:32">
      <c r="A436" s="27" t="s">
        <v>165</v>
      </c>
      <c r="B436" s="44" t="s">
        <v>88</v>
      </c>
      <c r="C436" s="45"/>
      <c r="D436" s="45"/>
      <c r="E436" s="45"/>
      <c r="F436" s="42">
        <f>MAX(0,VLOOKUP($B436,'93-07workbook'!$B$144:$Q$175,COLUMN(B$1),FALSE)-F304-F106-F73)</f>
        <v>800</v>
      </c>
      <c r="G436" s="42">
        <f>MAX(0,VLOOKUP($B436,'93-07workbook'!$B$144:$Q$175,COLUMN(C$1),FALSE)-G304-G106-G73)</f>
        <v>462.8</v>
      </c>
      <c r="H436" s="42">
        <f>MAX(0,VLOOKUP($B436,'93-07workbook'!$B$144:$Q$175,COLUMN(D$1),FALSE)-H304-H106-H73)</f>
        <v>190.699999999999</v>
      </c>
      <c r="I436" s="42">
        <f>MAX(0,VLOOKUP($B436,'93-07workbook'!$B$144:$Q$175,COLUMN(E$1),FALSE)-I304-I106-I73)</f>
        <v>445.9</v>
      </c>
      <c r="J436" s="42">
        <f>MAX(0,VLOOKUP($B436,'93-07workbook'!$B$144:$Q$175,COLUMN(F$1),FALSE)-J304-J106-J73)</f>
        <v>336.5</v>
      </c>
      <c r="K436" s="42">
        <f>MAX(0,VLOOKUP($B436,'93-07workbook'!$B$144:$Q$175,COLUMN(G$1),FALSE)-K304-K106-K73)</f>
        <v>843.9</v>
      </c>
      <c r="L436" s="42">
        <f>MAX(0,VLOOKUP($B436,'93-07workbook'!$B$144:$Q$175,COLUMN(H$1),FALSE)-L304-L106-L73)</f>
        <v>600</v>
      </c>
      <c r="M436" s="42">
        <f>MAX(0,VLOOKUP($B436,'93-07workbook'!$B$144:$Q$175,COLUMN(I$1),FALSE)-M304-M106-M73)</f>
        <v>741.699999999998</v>
      </c>
      <c r="N436" s="42">
        <f>MAX(0,VLOOKUP($B436,'93-07workbook'!$B$144:$Q$175,COLUMN(J$1),FALSE)-N304-N106-N73)</f>
        <v>1566.1</v>
      </c>
      <c r="O436" s="42">
        <f>MAX(0,VLOOKUP($B436,'93-07workbook'!$B$144:$Q$175,COLUMN(K$1),FALSE)-O304-O106-O73)</f>
        <v>832.900000000001</v>
      </c>
      <c r="P436" s="42">
        <f>MAX(0,VLOOKUP($B436,'93-07workbook'!$B$144:$Q$175,COLUMN(L$1),FALSE)-P304-P106-P73)</f>
        <v>629</v>
      </c>
      <c r="Q436" s="42">
        <f>MAX(0,VLOOKUP($B436,'93-07workbook'!$B$144:$Q$175,COLUMN(M$1),FALSE)-Q304-Q106-Q73)</f>
        <v>2871</v>
      </c>
      <c r="R436" s="42">
        <f>MAX(0,VLOOKUP($B436,'93-07workbook'!$B$144:$Q$175,COLUMN(N$1),FALSE)-R304-R106-R73)</f>
        <v>4782.5</v>
      </c>
      <c r="S436" s="42">
        <f>MAX(0,VLOOKUP($B436,'93-07workbook'!$B$144:$Q$175,COLUMN(O$1),FALSE)-S304-S106-S73)</f>
        <v>4378</v>
      </c>
      <c r="T436" s="42">
        <f>MAX(0,VLOOKUP($B436,'93-07workbook'!$B$144:$Q$175,COLUMN(P$1),FALSE)-T304-T106-T73)</f>
        <v>5504.5</v>
      </c>
      <c r="U436" s="42">
        <f>SUMIFS('08-21addition'!$H:$H,'08-21addition'!$A:$A,$B436,'08-21addition'!$B:$B,U$2)*10+VLOOKUP($B271,'project vs stock'!$A$72:$W$103,20,FALSE)/9</f>
        <v>4970.46333333333</v>
      </c>
      <c r="V436" s="42">
        <f>SUMIFS('08-21addition'!$H:$H,'08-21addition'!$A:$A,$B436,'08-21addition'!$B:$B,V$2)*10+VLOOKUP($B271,'project vs stock'!$A$72:$W$103,20,FALSE)/9</f>
        <v>4510.46333333333</v>
      </c>
      <c r="W436" s="42">
        <f>SUMIFS('08-21addition'!$H:$H,'08-21addition'!$A:$A,$B436,'08-21addition'!$B:$B,W$2)*10+VLOOKUP($B271,'project vs stock'!$A$72:$W$103,20,FALSE)/9</f>
        <v>2320.46333333333</v>
      </c>
      <c r="X436" s="42">
        <f>SUMIFS('08-21addition'!$H:$H,'08-21addition'!$A:$A,$B436,'08-21addition'!$B:$B,X$2)*10+VLOOKUP($B271,'project vs stock'!$A$72:$W$103,20,FALSE)/9</f>
        <v>5278.46333333333</v>
      </c>
      <c r="Y436" s="42">
        <f>SUMIFS('08-21addition'!$H:$H,'08-21addition'!$A:$A,$B436,'08-21addition'!$B:$B,Y$2)*10+VLOOKUP($B271,'project vs stock'!$A$72:$W$103,20,FALSE)/9</f>
        <v>3663.46333333333</v>
      </c>
      <c r="Z436" s="42">
        <f>SUMIFS('08-21addition'!$H:$H,'08-21addition'!$A:$A,$B436,'08-21addition'!$B:$B,Z$2)*10+VLOOKUP($B271,'project vs stock'!$A$72:$W$103,20,FALSE)/9</f>
        <v>2660.46333333333</v>
      </c>
      <c r="AA436" s="42">
        <f>SUMIFS('08-21addition'!$H:$H,'08-21addition'!$A:$A,$B436,'08-21addition'!$B:$B,AA$2)*10+VLOOKUP($B271,'project vs stock'!$A$72:$W$103,20,FALSE)/9</f>
        <v>3081.46333333333</v>
      </c>
      <c r="AB436" s="42">
        <f>SUMIFS('08-21addition'!$H:$H,'08-21addition'!$A:$A,$B436,'08-21addition'!$B:$B,AB$2)*10+VLOOKUP($B271,'project vs stock'!$A$72:$W$103,20,FALSE)/9</f>
        <v>2790.46333333333</v>
      </c>
      <c r="AC436" s="42">
        <f>SUMIFS('08-21addition'!$H:$H,'08-21addition'!$A:$A,$B436,'08-21addition'!$B:$B,AC$2)*10+VLOOKUP($B271,'project vs stock'!$A$72:$W$103,20,FALSE)/9</f>
        <v>3860.46333333333</v>
      </c>
      <c r="AD436" s="42">
        <f>SUMIFS('08-21addition'!$H:$H,'08-21addition'!$A:$A,$B436,'08-21addition'!$B:$B,AD$2)*10+VLOOKUP($B436,'project vs stock'!$A$72:$W$103,8,FALSE)/5</f>
        <v>638.4</v>
      </c>
      <c r="AE436" s="42">
        <f>SUMIFS('08-21addition'!$H:$H,'08-21addition'!$A:$A,$B436,'08-21addition'!$B:$B,AE$2)*10+VLOOKUP($B436,'project vs stock'!$A$72:$W$103,8,FALSE)/5</f>
        <v>2988.4</v>
      </c>
      <c r="AF436" s="43">
        <f>SUMIFS('08-21addition'!$H:$H,'08-21addition'!$A:$A,$B436,'08-21addition'!$B:$B,AF$2)*10+VLOOKUP($B436,'project vs stock'!$A$72:$W$103,8,FALSE)/5</f>
        <v>188.4</v>
      </c>
    </row>
    <row r="437" ht="13.85" spans="1:32">
      <c r="A437" s="27" t="s">
        <v>165</v>
      </c>
      <c r="B437" s="44" t="s">
        <v>90</v>
      </c>
      <c r="C437" s="45"/>
      <c r="D437" s="45"/>
      <c r="E437" s="45"/>
      <c r="F437" s="42">
        <f>MAX(0,VLOOKUP($B437,'93-07workbook'!$B$144:$Q$175,COLUMN(B$1),FALSE)-F305-F107-F74)</f>
        <v>574</v>
      </c>
      <c r="G437" s="42">
        <f>MAX(0,VLOOKUP($B437,'93-07workbook'!$B$144:$Q$175,COLUMN(C$1),FALSE)-G305-G107-G74)</f>
        <v>292.4</v>
      </c>
      <c r="H437" s="42">
        <f>MAX(0,VLOOKUP($B437,'93-07workbook'!$B$144:$Q$175,COLUMN(D$1),FALSE)-H305-H107-H74)</f>
        <v>828</v>
      </c>
      <c r="I437" s="42">
        <f>MAX(0,VLOOKUP($B437,'93-07workbook'!$B$144:$Q$175,COLUMN(E$1),FALSE)-I305-I107-I74)</f>
        <v>358.7</v>
      </c>
      <c r="J437" s="42">
        <f>MAX(0,VLOOKUP($B437,'93-07workbook'!$B$144:$Q$175,COLUMN(F$1),FALSE)-J305-J107-J74)</f>
        <v>72.8000000000009</v>
      </c>
      <c r="K437" s="42">
        <f>MAX(0,VLOOKUP($B437,'93-07workbook'!$B$144:$Q$175,COLUMN(G$1),FALSE)-K305-K107-K74)</f>
        <v>1441.5</v>
      </c>
      <c r="L437" s="42">
        <f>MAX(0,VLOOKUP($B437,'93-07workbook'!$B$144:$Q$175,COLUMN(H$1),FALSE)-L305-L107-L74)</f>
        <v>830</v>
      </c>
      <c r="M437" s="42">
        <f>MAX(0,VLOOKUP($B437,'93-07workbook'!$B$144:$Q$175,COLUMN(I$1),FALSE)-M305-M107-M74)</f>
        <v>5.3</v>
      </c>
      <c r="N437" s="42">
        <f>MAX(0,VLOOKUP($B437,'93-07workbook'!$B$144:$Q$175,COLUMN(J$1),FALSE)-N305-N107-N74)</f>
        <v>229.275000000001</v>
      </c>
      <c r="O437" s="42">
        <f>MAX(0,VLOOKUP($B437,'93-07workbook'!$B$144:$Q$175,COLUMN(K$1),FALSE)-O305-O107-O74)</f>
        <v>1105.875</v>
      </c>
      <c r="P437" s="42">
        <f>MAX(0,VLOOKUP($B437,'93-07workbook'!$B$144:$Q$175,COLUMN(L$1),FALSE)-P305-P107-P74)</f>
        <v>1476.875</v>
      </c>
      <c r="Q437" s="42">
        <f>MAX(0,VLOOKUP($B437,'93-07workbook'!$B$144:$Q$175,COLUMN(M$1),FALSE)-Q305-Q107-Q74)</f>
        <v>2130.875</v>
      </c>
      <c r="R437" s="42">
        <f>MAX(0,VLOOKUP($B437,'93-07workbook'!$B$144:$Q$175,COLUMN(N$1),FALSE)-R305-R107-R74)</f>
        <v>5365.375</v>
      </c>
      <c r="S437" s="42">
        <f>MAX(0,VLOOKUP($B437,'93-07workbook'!$B$144:$Q$175,COLUMN(O$1),FALSE)-S305-S107-S74)</f>
        <v>9450.875</v>
      </c>
      <c r="T437" s="42">
        <f>MAX(0,VLOOKUP($B437,'93-07workbook'!$B$144:$Q$175,COLUMN(P$1),FALSE)-T305-T107-T74)</f>
        <v>11509.375</v>
      </c>
      <c r="U437" s="42">
        <f>SUMIFS('08-21addition'!$H:$H,'08-21addition'!$A:$A,$B437,'08-21addition'!$B:$B,U$2)*10+VLOOKUP($B272,'project vs stock'!$A$72:$W$103,20,FALSE)/9</f>
        <v>6320.5</v>
      </c>
      <c r="V437" s="42">
        <f>SUMIFS('08-21addition'!$H:$H,'08-21addition'!$A:$A,$B437,'08-21addition'!$B:$B,V$2)*10+VLOOKUP($B272,'project vs stock'!$A$72:$W$103,20,FALSE)/9</f>
        <v>3753.1</v>
      </c>
      <c r="W437" s="42">
        <f>SUMIFS('08-21addition'!$H:$H,'08-21addition'!$A:$A,$B437,'08-21addition'!$B:$B,W$2)*10+VLOOKUP($B272,'project vs stock'!$A$72:$W$103,20,FALSE)/9</f>
        <v>6310.5</v>
      </c>
      <c r="X437" s="42">
        <f>SUMIFS('08-21addition'!$H:$H,'08-21addition'!$A:$A,$B437,'08-21addition'!$B:$B,X$2)*10+VLOOKUP($B272,'project vs stock'!$A$72:$W$103,20,FALSE)/9</f>
        <v>5747.5</v>
      </c>
      <c r="Y437" s="42">
        <f>SUMIFS('08-21addition'!$H:$H,'08-21addition'!$A:$A,$B437,'08-21addition'!$B:$B,Y$2)*10+VLOOKUP($B272,'project vs stock'!$A$72:$W$103,20,FALSE)/9</f>
        <v>1878.5</v>
      </c>
      <c r="Z437" s="42">
        <f>SUMIFS('08-21addition'!$H:$H,'08-21addition'!$A:$A,$B437,'08-21addition'!$B:$B,Z$2)*10+VLOOKUP($B272,'project vs stock'!$A$72:$W$103,20,FALSE)/9</f>
        <v>3461.5</v>
      </c>
      <c r="AA437" s="42">
        <f>SUMIFS('08-21addition'!$H:$H,'08-21addition'!$A:$A,$B437,'08-21addition'!$B:$B,AA$2)*10+VLOOKUP($B272,'project vs stock'!$A$72:$W$103,20,FALSE)/9</f>
        <v>2162.5</v>
      </c>
      <c r="AB437" s="42">
        <f>SUMIFS('08-21addition'!$H:$H,'08-21addition'!$A:$A,$B437,'08-21addition'!$B:$B,AB$2)*10+VLOOKUP($B272,'project vs stock'!$A$72:$W$103,20,FALSE)/9</f>
        <v>2225.5</v>
      </c>
      <c r="AC437" s="42">
        <f>SUMIFS('08-21addition'!$H:$H,'08-21addition'!$A:$A,$B437,'08-21addition'!$B:$B,AC$2)*10+VLOOKUP($B272,'project vs stock'!$A$72:$W$103,20,FALSE)/9</f>
        <v>4800.5</v>
      </c>
      <c r="AD437" s="42">
        <f>SUMIFS('08-21addition'!$H:$H,'08-21addition'!$A:$A,$B437,'08-21addition'!$B:$B,AD$2)*10+VLOOKUP($B437,'project vs stock'!$A$72:$W$103,8,FALSE)/5</f>
        <v>3673.8</v>
      </c>
      <c r="AE437" s="42">
        <f>SUMIFS('08-21addition'!$H:$H,'08-21addition'!$A:$A,$B437,'08-21addition'!$B:$B,AE$2)*10+VLOOKUP($B437,'project vs stock'!$A$72:$W$103,8,FALSE)/5</f>
        <v>2053.8</v>
      </c>
      <c r="AF437" s="43">
        <f>SUMIFS('08-21addition'!$H:$H,'08-21addition'!$A:$A,$B437,'08-21addition'!$B:$B,AF$2)*10+VLOOKUP($B437,'project vs stock'!$A$72:$W$103,8,FALSE)/5</f>
        <v>4793.8</v>
      </c>
    </row>
    <row r="438" ht="13.85" spans="1:32">
      <c r="A438" s="27" t="s">
        <v>165</v>
      </c>
      <c r="B438" s="44" t="s">
        <v>92</v>
      </c>
      <c r="C438" s="45"/>
      <c r="D438" s="45"/>
      <c r="E438" s="45"/>
      <c r="F438" s="42">
        <f>MAX(0,VLOOKUP($B438,'93-07workbook'!$B$144:$Q$175,COLUMN(B$1),FALSE)-F306-F108-F75)</f>
        <v>706</v>
      </c>
      <c r="G438" s="42">
        <f>MAX(0,VLOOKUP($B438,'93-07workbook'!$B$144:$Q$175,COLUMN(C$1),FALSE)-G306-G108-G75)</f>
        <v>457.8</v>
      </c>
      <c r="H438" s="42">
        <f>MAX(0,VLOOKUP($B438,'93-07workbook'!$B$144:$Q$175,COLUMN(D$1),FALSE)-H306-H108-H75)</f>
        <v>129.7</v>
      </c>
      <c r="I438" s="42">
        <f>MAX(0,VLOOKUP($B438,'93-07workbook'!$B$144:$Q$175,COLUMN(E$1),FALSE)-I306-I108-I75)</f>
        <v>1403.8</v>
      </c>
      <c r="J438" s="42">
        <f>MAX(0,VLOOKUP($B438,'93-07workbook'!$B$144:$Q$175,COLUMN(F$1),FALSE)-J306-J108-J75)</f>
        <v>118.499999999999</v>
      </c>
      <c r="K438" s="42">
        <f>MAX(0,VLOOKUP($B438,'93-07workbook'!$B$144:$Q$175,COLUMN(G$1),FALSE)-K306-K108-K75)</f>
        <v>1449.5</v>
      </c>
      <c r="L438" s="42">
        <f>MAX(0,VLOOKUP($B438,'93-07workbook'!$B$144:$Q$175,COLUMN(H$1),FALSE)-L306-L108-L75)</f>
        <v>12.5</v>
      </c>
      <c r="M438" s="42">
        <f>MAX(0,VLOOKUP($B438,'93-07workbook'!$B$144:$Q$175,COLUMN(I$1),FALSE)-M306-M108-M75)</f>
        <v>1679.5</v>
      </c>
      <c r="N438" s="42">
        <f>MAX(0,VLOOKUP($B438,'93-07workbook'!$B$144:$Q$175,COLUMN(J$1),FALSE)-N306-N108-N75)</f>
        <v>0</v>
      </c>
      <c r="O438" s="42">
        <f>MAX(0,VLOOKUP($B438,'93-07workbook'!$B$144:$Q$175,COLUMN(K$1),FALSE)-O306-O108-O75)</f>
        <v>150.525000000001</v>
      </c>
      <c r="P438" s="42">
        <f>MAX(0,VLOOKUP($B438,'93-07workbook'!$B$144:$Q$175,COLUMN(L$1),FALSE)-P306-P108-P75)</f>
        <v>265.125000000001</v>
      </c>
      <c r="Q438" s="42">
        <f>MAX(0,VLOOKUP($B438,'93-07workbook'!$B$144:$Q$175,COLUMN(M$1),FALSE)-Q306-Q108-Q75)</f>
        <v>0</v>
      </c>
      <c r="R438" s="42">
        <f>MAX(0,VLOOKUP($B438,'93-07workbook'!$B$144:$Q$175,COLUMN(N$1),FALSE)-R306-R108-R75)</f>
        <v>877.325000000001</v>
      </c>
      <c r="S438" s="42">
        <f>MAX(0,VLOOKUP($B438,'93-07workbook'!$B$144:$Q$175,COLUMN(O$1),FALSE)-S306-S108-S75)</f>
        <v>509.624999999998</v>
      </c>
      <c r="T438" s="42">
        <f>MAX(0,VLOOKUP($B438,'93-07workbook'!$B$144:$Q$175,COLUMN(P$1),FALSE)-T306-T108-T75)</f>
        <v>3478.625</v>
      </c>
      <c r="U438" s="42">
        <f>SUMIFS('08-21addition'!$H:$H,'08-21addition'!$A:$A,$B438,'08-21addition'!$B:$B,U$2)*10+VLOOKUP($B273,'project vs stock'!$A$72:$W$103,20,FALSE)/9</f>
        <v>2447.94377777778</v>
      </c>
      <c r="V438" s="42">
        <f>SUMIFS('08-21addition'!$H:$H,'08-21addition'!$A:$A,$B438,'08-21addition'!$B:$B,V$2)*10+VLOOKUP($B273,'project vs stock'!$A$72:$W$103,20,FALSE)/9</f>
        <v>2172.94377777778</v>
      </c>
      <c r="W438" s="42">
        <f>SUMIFS('08-21addition'!$H:$H,'08-21addition'!$A:$A,$B438,'08-21addition'!$B:$B,W$2)*10+VLOOKUP($B273,'project vs stock'!$A$72:$W$103,20,FALSE)/9</f>
        <v>4571.94377777778</v>
      </c>
      <c r="X438" s="42">
        <f>SUMIFS('08-21addition'!$H:$H,'08-21addition'!$A:$A,$B438,'08-21addition'!$B:$B,X$2)*10+VLOOKUP($B273,'project vs stock'!$A$72:$W$103,20,FALSE)/9</f>
        <v>1599.94377777778</v>
      </c>
      <c r="Y438" s="42">
        <f>SUMIFS('08-21addition'!$H:$H,'08-21addition'!$A:$A,$B438,'08-21addition'!$B:$B,Y$2)*10+VLOOKUP($B273,'project vs stock'!$A$72:$W$103,20,FALSE)/9</f>
        <v>2257.94377777778</v>
      </c>
      <c r="Z438" s="42">
        <f>SUMIFS('08-21addition'!$H:$H,'08-21addition'!$A:$A,$B438,'08-21addition'!$B:$B,Z$2)*10+VLOOKUP($B273,'project vs stock'!$A$72:$W$103,20,FALSE)/9</f>
        <v>47.943777777778</v>
      </c>
      <c r="AA438" s="42">
        <f>SUMIFS('08-21addition'!$H:$H,'08-21addition'!$A:$A,$B438,'08-21addition'!$B:$B,AA$2)*10+VLOOKUP($B273,'project vs stock'!$A$72:$W$103,20,FALSE)/9</f>
        <v>747.943777777778</v>
      </c>
      <c r="AB438" s="42">
        <f>SUMIFS('08-21addition'!$H:$H,'08-21addition'!$A:$A,$B438,'08-21addition'!$B:$B,AB$2)*10+VLOOKUP($B273,'project vs stock'!$A$72:$W$103,20,FALSE)/9</f>
        <v>47.943777777778</v>
      </c>
      <c r="AC438" s="42">
        <f>SUMIFS('08-21addition'!$H:$H,'08-21addition'!$A:$A,$B438,'08-21addition'!$B:$B,AC$2)*10+VLOOKUP($B273,'project vs stock'!$A$72:$W$103,20,FALSE)/9</f>
        <v>47.943777777778</v>
      </c>
      <c r="AD438" s="42">
        <f>SUMIFS('08-21addition'!$H:$H,'08-21addition'!$A:$A,$B438,'08-21addition'!$B:$B,AD$2)*10+VLOOKUP($B438,'project vs stock'!$A$72:$W$103,8,FALSE)/5</f>
        <v>1018</v>
      </c>
      <c r="AE438" s="42">
        <f>SUMIFS('08-21addition'!$H:$H,'08-21addition'!$A:$A,$B438,'08-21addition'!$B:$B,AE$2)*10+VLOOKUP($B438,'project vs stock'!$A$72:$W$103,8,FALSE)/5</f>
        <v>1618</v>
      </c>
      <c r="AF438" s="43">
        <f>SUMIFS('08-21addition'!$H:$H,'08-21addition'!$A:$A,$B438,'08-21addition'!$B:$B,AF$2)*10+VLOOKUP($B438,'project vs stock'!$A$72:$W$103,8,FALSE)/5</f>
        <v>568</v>
      </c>
    </row>
    <row r="439" ht="13.85" spans="1:32">
      <c r="A439" s="27" t="s">
        <v>165</v>
      </c>
      <c r="B439" s="44" t="s">
        <v>94</v>
      </c>
      <c r="C439" s="45"/>
      <c r="D439" s="45"/>
      <c r="E439" s="45"/>
      <c r="F439" s="42">
        <f>MAX(0,VLOOKUP($B439,'93-07workbook'!$B$144:$Q$175,COLUMN(B$1),FALSE)-F307-F109-F76)</f>
        <v>50</v>
      </c>
      <c r="G439" s="42">
        <f>MAX(0,VLOOKUP($B439,'93-07workbook'!$B$144:$Q$175,COLUMN(C$1),FALSE)-G307-G109-G76)</f>
        <v>329.5</v>
      </c>
      <c r="H439" s="42">
        <f>MAX(0,VLOOKUP($B439,'93-07workbook'!$B$144:$Q$175,COLUMN(D$1),FALSE)-H307-H109-H76)</f>
        <v>334</v>
      </c>
      <c r="I439" s="42">
        <f>MAX(0,VLOOKUP($B439,'93-07workbook'!$B$144:$Q$175,COLUMN(E$1),FALSE)-I307-I109-I76)</f>
        <v>0</v>
      </c>
      <c r="J439" s="42">
        <f>MAX(0,VLOOKUP($B439,'93-07workbook'!$B$144:$Q$175,COLUMN(F$1),FALSE)-J307-J109-J76)</f>
        <v>253</v>
      </c>
      <c r="K439" s="42">
        <f>MAX(0,VLOOKUP($B439,'93-07workbook'!$B$144:$Q$175,COLUMN(G$1),FALSE)-K307-K109-K76)</f>
        <v>175.5</v>
      </c>
      <c r="L439" s="42">
        <f>MAX(0,VLOOKUP($B439,'93-07workbook'!$B$144:$Q$175,COLUMN(H$1),FALSE)-L307-L109-L76)</f>
        <v>157.3</v>
      </c>
      <c r="M439" s="42">
        <f>MAX(0,VLOOKUP($B439,'93-07workbook'!$B$144:$Q$175,COLUMN(I$1),FALSE)-M307-M109-M76)</f>
        <v>722.8</v>
      </c>
      <c r="N439" s="42">
        <f>MAX(0,VLOOKUP($B439,'93-07workbook'!$B$144:$Q$175,COLUMN(J$1),FALSE)-N307-N109-N76)</f>
        <v>375</v>
      </c>
      <c r="O439" s="42">
        <f>MAX(0,VLOOKUP($B439,'93-07workbook'!$B$144:$Q$175,COLUMN(K$1),FALSE)-O307-O109-O76)</f>
        <v>35.4999999999995</v>
      </c>
      <c r="P439" s="42">
        <f>MAX(0,VLOOKUP($B439,'93-07workbook'!$B$144:$Q$175,COLUMN(L$1),FALSE)-P307-P109-P76)</f>
        <v>457.4</v>
      </c>
      <c r="Q439" s="42">
        <f>MAX(0,VLOOKUP($B439,'93-07workbook'!$B$144:$Q$175,COLUMN(M$1),FALSE)-Q307-Q109-Q76)</f>
        <v>166.1</v>
      </c>
      <c r="R439" s="42">
        <f>MAX(0,VLOOKUP($B439,'93-07workbook'!$B$144:$Q$175,COLUMN(N$1),FALSE)-R307-R109-R76)</f>
        <v>675</v>
      </c>
      <c r="S439" s="42">
        <f>MAX(0,VLOOKUP($B439,'93-07workbook'!$B$144:$Q$175,COLUMN(O$1),FALSE)-S307-S109-S76)</f>
        <v>690</v>
      </c>
      <c r="T439" s="42">
        <f>MAX(0,VLOOKUP($B439,'93-07workbook'!$B$144:$Q$175,COLUMN(P$1),FALSE)-T307-T109-T76)</f>
        <v>1231</v>
      </c>
      <c r="U439" s="42">
        <f>SUMIFS('08-21addition'!$H:$H,'08-21addition'!$A:$A,$B439,'08-21addition'!$B:$B,U$2)*10+VLOOKUP($B274,'project vs stock'!$A$72:$W$103,20,FALSE)/9</f>
        <v>690</v>
      </c>
      <c r="V439" s="42">
        <f>SUMIFS('08-21addition'!$H:$H,'08-21addition'!$A:$A,$B439,'08-21addition'!$B:$B,V$2)*10+VLOOKUP($B274,'project vs stock'!$A$72:$W$103,20,FALSE)/9</f>
        <v>3380</v>
      </c>
      <c r="W439" s="42">
        <f>SUMIFS('08-21addition'!$H:$H,'08-21addition'!$A:$A,$B439,'08-21addition'!$B:$B,W$2)*10+VLOOKUP($B274,'project vs stock'!$A$72:$W$103,20,FALSE)/9</f>
        <v>3497</v>
      </c>
      <c r="X439" s="42">
        <f>SUMIFS('08-21addition'!$H:$H,'08-21addition'!$A:$A,$B439,'08-21addition'!$B:$B,X$2)*10+VLOOKUP($B274,'project vs stock'!$A$72:$W$103,20,FALSE)/9</f>
        <v>1494</v>
      </c>
      <c r="Y439" s="42">
        <f>SUMIFS('08-21addition'!$H:$H,'08-21addition'!$A:$A,$B439,'08-21addition'!$B:$B,Y$2)*10+VLOOKUP($B274,'project vs stock'!$A$72:$W$103,20,FALSE)/9</f>
        <v>377</v>
      </c>
      <c r="Z439" s="42">
        <f>SUMIFS('08-21addition'!$H:$H,'08-21addition'!$A:$A,$B439,'08-21addition'!$B:$B,Z$2)*10+VLOOKUP($B274,'project vs stock'!$A$72:$W$103,20,FALSE)/9</f>
        <v>90</v>
      </c>
      <c r="AA439" s="42">
        <f>SUMIFS('08-21addition'!$H:$H,'08-21addition'!$A:$A,$B439,'08-21addition'!$B:$B,AA$2)*10+VLOOKUP($B274,'project vs stock'!$A$72:$W$103,20,FALSE)/9</f>
        <v>700</v>
      </c>
      <c r="AB439" s="42">
        <f>SUMIFS('08-21addition'!$H:$H,'08-21addition'!$A:$A,$B439,'08-21addition'!$B:$B,AB$2)*10+VLOOKUP($B274,'project vs stock'!$A$72:$W$103,20,FALSE)/9</f>
        <v>0</v>
      </c>
      <c r="AC439" s="42">
        <f>SUMIFS('08-21addition'!$H:$H,'08-21addition'!$A:$A,$B439,'08-21addition'!$B:$B,AC$2)*10+VLOOKUP($B274,'project vs stock'!$A$72:$W$103,20,FALSE)/9</f>
        <v>0</v>
      </c>
      <c r="AD439" s="42">
        <f>SUMIFS('08-21addition'!$H:$H,'08-21addition'!$A:$A,$B439,'08-21addition'!$B:$B,AD$2)*10+VLOOKUP($B439,'project vs stock'!$A$72:$W$103,8,FALSE)/5</f>
        <v>106</v>
      </c>
      <c r="AE439" s="42">
        <f>SUMIFS('08-21addition'!$H:$H,'08-21addition'!$A:$A,$B439,'08-21addition'!$B:$B,AE$2)*10+VLOOKUP($B439,'project vs stock'!$A$72:$W$103,8,FALSE)/5</f>
        <v>616</v>
      </c>
      <c r="AF439" s="43">
        <f>SUMIFS('08-21addition'!$H:$H,'08-21addition'!$A:$A,$B439,'08-21addition'!$B:$B,AF$2)*10+VLOOKUP($B439,'project vs stock'!$A$72:$W$103,8,FALSE)/5</f>
        <v>106</v>
      </c>
    </row>
    <row r="440" ht="13.85" spans="1:32">
      <c r="A440" s="27" t="s">
        <v>165</v>
      </c>
      <c r="B440" s="44" t="s">
        <v>96</v>
      </c>
      <c r="C440" s="45"/>
      <c r="D440" s="45"/>
      <c r="E440" s="45"/>
      <c r="F440" s="42">
        <f>MAX(0,VLOOKUP($B440,'93-07workbook'!$B$144:$Q$175,COLUMN(B$1),FALSE)-F308-F110-F77)</f>
        <v>298.833333333333</v>
      </c>
      <c r="G440" s="42">
        <f>MAX(0,VLOOKUP($B440,'93-07workbook'!$B$144:$Q$175,COLUMN(C$1),FALSE)-G308-G110-G77)</f>
        <v>47.3333333333333</v>
      </c>
      <c r="H440" s="42">
        <f>MAX(0,VLOOKUP($B440,'93-07workbook'!$B$144:$Q$175,COLUMN(D$1),FALSE)-H308-H110-H77)</f>
        <v>110.333333333333</v>
      </c>
      <c r="I440" s="42">
        <f>MAX(0,VLOOKUP($B440,'93-07workbook'!$B$144:$Q$175,COLUMN(E$1),FALSE)-I308-I110-I77)</f>
        <v>718.333333333333</v>
      </c>
      <c r="J440" s="42">
        <f>MAX(0,VLOOKUP($B440,'93-07workbook'!$B$144:$Q$175,COLUMN(F$1),FALSE)-J308-J110-J77)</f>
        <v>424.433333333333</v>
      </c>
      <c r="K440" s="42">
        <f>MAX(0,VLOOKUP($B440,'93-07workbook'!$B$144:$Q$175,COLUMN(G$1),FALSE)-K308-K110-K77)</f>
        <v>325.333333333333</v>
      </c>
      <c r="L440" s="42">
        <f>MAX(0,VLOOKUP($B440,'93-07workbook'!$B$144:$Q$175,COLUMN(H$1),FALSE)-L308-L110-L77)</f>
        <v>1010.43333333333</v>
      </c>
      <c r="M440" s="42">
        <f>MAX(0,VLOOKUP($B440,'93-07workbook'!$B$144:$Q$175,COLUMN(I$1),FALSE)-M308-M110-M77)</f>
        <v>0</v>
      </c>
      <c r="N440" s="42">
        <f>MAX(0,VLOOKUP($B440,'93-07workbook'!$B$144:$Q$175,COLUMN(J$1),FALSE)-N308-N110-N77)</f>
        <v>377.933333333334</v>
      </c>
      <c r="O440" s="42">
        <f>MAX(0,VLOOKUP($B440,'93-07workbook'!$B$144:$Q$175,COLUMN(K$1),FALSE)-O308-O110-O77)</f>
        <v>349.5</v>
      </c>
      <c r="P440" s="42">
        <f>MAX(0,VLOOKUP($B440,'93-07workbook'!$B$144:$Q$175,COLUMN(L$1),FALSE)-P308-P110-P77)</f>
        <v>235.900000000001</v>
      </c>
      <c r="Q440" s="42">
        <f>MAX(0,VLOOKUP($B440,'93-07workbook'!$B$144:$Q$175,COLUMN(M$1),FALSE)-Q308-Q110-Q77)</f>
        <v>192.2</v>
      </c>
      <c r="R440" s="42">
        <f>MAX(0,VLOOKUP($B440,'93-07workbook'!$B$144:$Q$175,COLUMN(N$1),FALSE)-R308-R110-R77)</f>
        <v>401.5</v>
      </c>
      <c r="S440" s="42">
        <f>MAX(0,VLOOKUP($B440,'93-07workbook'!$B$144:$Q$175,COLUMN(O$1),FALSE)-S308-S110-S77)</f>
        <v>1153.5</v>
      </c>
      <c r="T440" s="42">
        <f>MAX(0,VLOOKUP($B440,'93-07workbook'!$B$144:$Q$175,COLUMN(P$1),FALSE)-T308-T110-T77)</f>
        <v>1960.5</v>
      </c>
      <c r="U440" s="42">
        <f>SUMIFS('08-21addition'!$H:$H,'08-21addition'!$A:$A,$B440,'08-21addition'!$B:$B,U$2)*10+VLOOKUP($B275,'project vs stock'!$A$72:$W$103,20,FALSE)/9</f>
        <v>1964.21111111111</v>
      </c>
      <c r="V440" s="42">
        <f>SUMIFS('08-21addition'!$H:$H,'08-21addition'!$A:$A,$B440,'08-21addition'!$B:$B,V$2)*10+VLOOKUP($B275,'project vs stock'!$A$72:$W$103,20,FALSE)/9</f>
        <v>752.711111111111</v>
      </c>
      <c r="W440" s="42">
        <f>SUMIFS('08-21addition'!$H:$H,'08-21addition'!$A:$A,$B440,'08-21addition'!$B:$B,W$2)*10+VLOOKUP($B275,'project vs stock'!$A$72:$W$103,20,FALSE)/9</f>
        <v>485.211111111111</v>
      </c>
      <c r="X440" s="42">
        <f>SUMIFS('08-21addition'!$H:$H,'08-21addition'!$A:$A,$B440,'08-21addition'!$B:$B,X$2)*10+VLOOKUP($B275,'project vs stock'!$A$72:$W$103,20,FALSE)/9</f>
        <v>553.711111111111</v>
      </c>
      <c r="Y440" s="42">
        <f>SUMIFS('08-21addition'!$H:$H,'08-21addition'!$A:$A,$B440,'08-21addition'!$B:$B,Y$2)*10+VLOOKUP($B275,'project vs stock'!$A$72:$W$103,20,FALSE)/9</f>
        <v>124.211111111111</v>
      </c>
      <c r="Z440" s="42">
        <f>SUMIFS('08-21addition'!$H:$H,'08-21addition'!$A:$A,$B440,'08-21addition'!$B:$B,Z$2)*10+VLOOKUP($B275,'project vs stock'!$A$72:$W$103,20,FALSE)/9</f>
        <v>1124.21111111111</v>
      </c>
      <c r="AA440" s="42">
        <f>SUMIFS('08-21addition'!$H:$H,'08-21addition'!$A:$A,$B440,'08-21addition'!$B:$B,AA$2)*10+VLOOKUP($B275,'project vs stock'!$A$72:$W$103,20,FALSE)/9</f>
        <v>824.211111111111</v>
      </c>
      <c r="AB440" s="42">
        <f>SUMIFS('08-21addition'!$H:$H,'08-21addition'!$A:$A,$B440,'08-21addition'!$B:$B,AB$2)*10+VLOOKUP($B275,'project vs stock'!$A$72:$W$103,20,FALSE)/9</f>
        <v>824.211111111111</v>
      </c>
      <c r="AC440" s="42">
        <f>SUMIFS('08-21addition'!$H:$H,'08-21addition'!$A:$A,$B440,'08-21addition'!$B:$B,AC$2)*10+VLOOKUP($B275,'project vs stock'!$A$72:$W$103,20,FALSE)/9</f>
        <v>474.211111111111</v>
      </c>
      <c r="AD440" s="42">
        <f>SUMIFS('08-21addition'!$H:$H,'08-21addition'!$A:$A,$B440,'08-21addition'!$B:$B,AD$2)*10+VLOOKUP($B440,'project vs stock'!$A$72:$W$103,8,FALSE)/5</f>
        <v>1167</v>
      </c>
      <c r="AE440" s="42">
        <f>SUMIFS('08-21addition'!$H:$H,'08-21addition'!$A:$A,$B440,'08-21addition'!$B:$B,AE$2)*10+VLOOKUP($B440,'project vs stock'!$A$72:$W$103,8,FALSE)/5</f>
        <v>279</v>
      </c>
      <c r="AF440" s="43">
        <f>SUMIFS('08-21addition'!$H:$H,'08-21addition'!$A:$A,$B440,'08-21addition'!$B:$B,AF$2)*10+VLOOKUP($B440,'project vs stock'!$A$72:$W$103,8,FALSE)/5</f>
        <v>471.5</v>
      </c>
    </row>
    <row r="441" ht="13.85" spans="1:32">
      <c r="A441" s="27" t="s">
        <v>165</v>
      </c>
      <c r="B441" s="44" t="s">
        <v>98</v>
      </c>
      <c r="C441" s="45"/>
      <c r="D441" s="45"/>
      <c r="E441" s="45"/>
      <c r="F441" s="42">
        <f>MAX(0,VLOOKUP($B441,'93-07workbook'!$B$144:$Q$175,COLUMN(B$1),FALSE)-F309-F111-F78)</f>
        <v>40.3333333333333</v>
      </c>
      <c r="G441" s="42">
        <f>MAX(0,VLOOKUP($B441,'93-07workbook'!$B$144:$Q$175,COLUMN(C$1),FALSE)-G309-G111-G78)</f>
        <v>0</v>
      </c>
      <c r="H441" s="42">
        <f>MAX(0,VLOOKUP($B441,'93-07workbook'!$B$144:$Q$175,COLUMN(D$1),FALSE)-H309-H111-H78)</f>
        <v>528.333333333333</v>
      </c>
      <c r="I441" s="42">
        <f>MAX(0,VLOOKUP($B441,'93-07workbook'!$B$144:$Q$175,COLUMN(E$1),FALSE)-I309-I111-I78)</f>
        <v>685.133333333334</v>
      </c>
      <c r="J441" s="42">
        <f>MAX(0,VLOOKUP($B441,'93-07workbook'!$B$144:$Q$175,COLUMN(F$1),FALSE)-J309-J111-J78)</f>
        <v>675.233333333333</v>
      </c>
      <c r="K441" s="42">
        <f>MAX(0,VLOOKUP($B441,'93-07workbook'!$B$144:$Q$175,COLUMN(G$1),FALSE)-K309-K111-K78)</f>
        <v>0</v>
      </c>
      <c r="L441" s="42">
        <f>MAX(0,VLOOKUP($B441,'93-07workbook'!$B$144:$Q$175,COLUMN(H$1),FALSE)-L309-L111-L78)</f>
        <v>360.933333333334</v>
      </c>
      <c r="M441" s="42">
        <f>MAX(0,VLOOKUP($B441,'93-07workbook'!$B$144:$Q$175,COLUMN(I$1),FALSE)-M309-M111-M78)</f>
        <v>507.233333333334</v>
      </c>
      <c r="N441" s="42">
        <f>MAX(0,VLOOKUP($B441,'93-07workbook'!$B$144:$Q$175,COLUMN(J$1),FALSE)-N309-N111-N78)</f>
        <v>495.633333333332</v>
      </c>
      <c r="O441" s="42">
        <f>MAX(0,VLOOKUP($B441,'93-07workbook'!$B$144:$Q$175,COLUMN(K$1),FALSE)-O309-O111-O78)</f>
        <v>149.9</v>
      </c>
      <c r="P441" s="42">
        <f>MAX(0,VLOOKUP($B441,'93-07workbook'!$B$144:$Q$175,COLUMN(L$1),FALSE)-P309-P111-P78)</f>
        <v>0</v>
      </c>
      <c r="Q441" s="42">
        <f>MAX(0,VLOOKUP($B441,'93-07workbook'!$B$144:$Q$175,COLUMN(M$1),FALSE)-Q309-Q111-Q78)</f>
        <v>1800</v>
      </c>
      <c r="R441" s="42">
        <f>MAX(0,VLOOKUP($B441,'93-07workbook'!$B$144:$Q$175,COLUMN(N$1),FALSE)-R309-R111-R78)</f>
        <v>290</v>
      </c>
      <c r="S441" s="42">
        <f>MAX(0,VLOOKUP($B441,'93-07workbook'!$B$144:$Q$175,COLUMN(O$1),FALSE)-S309-S111-S78)</f>
        <v>211.999999999998</v>
      </c>
      <c r="T441" s="42">
        <f>MAX(0,VLOOKUP($B441,'93-07workbook'!$B$144:$Q$175,COLUMN(P$1),FALSE)-T309-T111-T78)</f>
        <v>49.5000000000009</v>
      </c>
      <c r="U441" s="42">
        <f>SUMIFS('08-21addition'!$H:$H,'08-21addition'!$A:$A,$B441,'08-21addition'!$B:$B,U$2)*10+VLOOKUP($B276,'project vs stock'!$A$72:$W$103,20,FALSE)/9</f>
        <v>2702.42222222222</v>
      </c>
      <c r="V441" s="42">
        <f>SUMIFS('08-21addition'!$H:$H,'08-21addition'!$A:$A,$B441,'08-21addition'!$B:$B,V$2)*10+VLOOKUP($B276,'project vs stock'!$A$72:$W$103,20,FALSE)/9</f>
        <v>1362.42222222222</v>
      </c>
      <c r="W441" s="42">
        <f>SUMIFS('08-21addition'!$H:$H,'08-21addition'!$A:$A,$B441,'08-21addition'!$B:$B,W$2)*10+VLOOKUP($B276,'project vs stock'!$A$72:$W$103,20,FALSE)/9</f>
        <v>2642.42222222222</v>
      </c>
      <c r="X441" s="42">
        <f>SUMIFS('08-21addition'!$H:$H,'08-21addition'!$A:$A,$B441,'08-21addition'!$B:$B,X$2)*10+VLOOKUP($B276,'project vs stock'!$A$72:$W$103,20,FALSE)/9</f>
        <v>82.4222222222224</v>
      </c>
      <c r="Y441" s="42">
        <f>SUMIFS('08-21addition'!$H:$H,'08-21addition'!$A:$A,$B441,'08-21addition'!$B:$B,Y$2)*10+VLOOKUP($B276,'project vs stock'!$A$72:$W$103,20,FALSE)/9</f>
        <v>465.422222222222</v>
      </c>
      <c r="Z441" s="42">
        <f>SUMIFS('08-21addition'!$H:$H,'08-21addition'!$A:$A,$B441,'08-21addition'!$B:$B,Z$2)*10+VLOOKUP($B276,'project vs stock'!$A$72:$W$103,20,FALSE)/9</f>
        <v>42.4222222222224</v>
      </c>
      <c r="AA441" s="42">
        <f>SUMIFS('08-21addition'!$H:$H,'08-21addition'!$A:$A,$B441,'08-21addition'!$B:$B,AA$2)*10+VLOOKUP($B276,'project vs stock'!$A$72:$W$103,20,FALSE)/9</f>
        <v>42.4222222222224</v>
      </c>
      <c r="AB441" s="42">
        <f>SUMIFS('08-21addition'!$H:$H,'08-21addition'!$A:$A,$B441,'08-21addition'!$B:$B,AB$2)*10+VLOOKUP($B276,'project vs stock'!$A$72:$W$103,20,FALSE)/9</f>
        <v>263.622222222222</v>
      </c>
      <c r="AC441" s="42">
        <f>SUMIFS('08-21addition'!$H:$H,'08-21addition'!$A:$A,$B441,'08-21addition'!$B:$B,AC$2)*10+VLOOKUP($B276,'project vs stock'!$A$72:$W$103,20,FALSE)/9</f>
        <v>42.4222222222224</v>
      </c>
      <c r="AD441" s="42">
        <f>SUMIFS('08-21addition'!$H:$H,'08-21addition'!$A:$A,$B441,'08-21addition'!$B:$B,AD$2)*10+VLOOKUP($B441,'project vs stock'!$A$72:$W$103,8,FALSE)/5</f>
        <v>0</v>
      </c>
      <c r="AE441" s="42">
        <f>SUMIFS('08-21addition'!$H:$H,'08-21addition'!$A:$A,$B441,'08-21addition'!$B:$B,AE$2)*10+VLOOKUP($B441,'project vs stock'!$A$72:$W$103,8,FALSE)/5</f>
        <v>12</v>
      </c>
      <c r="AF441" s="43">
        <f>SUMIFS('08-21addition'!$H:$H,'08-21addition'!$A:$A,$B441,'08-21addition'!$B:$B,AF$2)*10+VLOOKUP($B441,'project vs stock'!$A$72:$W$103,8,FALSE)/5</f>
        <v>0</v>
      </c>
    </row>
    <row r="442" ht="13.85" spans="1:32">
      <c r="A442" s="27" t="s">
        <v>165</v>
      </c>
      <c r="B442" s="44" t="s">
        <v>100</v>
      </c>
      <c r="C442" s="45"/>
      <c r="D442" s="45"/>
      <c r="E442" s="45"/>
      <c r="F442" s="42">
        <f>MAX(0,VLOOKUP($B442,'93-07workbook'!$B$144:$Q$175,COLUMN(B$1),FALSE)-F310-F112-F79)</f>
        <v>1782.5</v>
      </c>
      <c r="G442" s="42">
        <f>MAX(0,VLOOKUP($B442,'93-07workbook'!$B$144:$Q$175,COLUMN(C$1),FALSE)-G310-G112-G79)</f>
        <v>1570.8</v>
      </c>
      <c r="H442" s="42">
        <f>MAX(0,VLOOKUP($B442,'93-07workbook'!$B$144:$Q$175,COLUMN(D$1),FALSE)-H310-H112-H79)</f>
        <v>1040.6</v>
      </c>
      <c r="I442" s="42">
        <f>MAX(0,VLOOKUP($B442,'93-07workbook'!$B$144:$Q$175,COLUMN(E$1),FALSE)-I310-I112-I79)</f>
        <v>953.5</v>
      </c>
      <c r="J442" s="42">
        <f>MAX(0,VLOOKUP($B442,'93-07workbook'!$B$144:$Q$175,COLUMN(F$1),FALSE)-J310-J112-J79)</f>
        <v>768.299999999999</v>
      </c>
      <c r="K442" s="42">
        <f>MAX(0,VLOOKUP($B442,'93-07workbook'!$B$144:$Q$175,COLUMN(G$1),FALSE)-K310-K112-K79)</f>
        <v>1619.8</v>
      </c>
      <c r="L442" s="42">
        <f>MAX(0,VLOOKUP($B442,'93-07workbook'!$B$144:$Q$175,COLUMN(H$1),FALSE)-L310-L112-L79)</f>
        <v>2214.8</v>
      </c>
      <c r="M442" s="42">
        <f>MAX(0,VLOOKUP($B442,'93-07workbook'!$B$144:$Q$175,COLUMN(I$1),FALSE)-M310-M112-M79)</f>
        <v>826.5</v>
      </c>
      <c r="N442" s="42">
        <f>MAX(0,VLOOKUP($B442,'93-07workbook'!$B$144:$Q$175,COLUMN(J$1),FALSE)-N310-N112-N79)</f>
        <v>445.200000000001</v>
      </c>
      <c r="O442" s="42">
        <f>MAX(0,VLOOKUP($B442,'93-07workbook'!$B$144:$Q$175,COLUMN(K$1),FALSE)-O310-O112-O79)</f>
        <v>927.200000000001</v>
      </c>
      <c r="P442" s="42">
        <f>MAX(0,VLOOKUP($B442,'93-07workbook'!$B$144:$Q$175,COLUMN(L$1),FALSE)-P310-P112-P79)</f>
        <v>1642</v>
      </c>
      <c r="Q442" s="42">
        <f>MAX(0,VLOOKUP($B442,'93-07workbook'!$B$144:$Q$175,COLUMN(M$1),FALSE)-Q310-Q112-Q79)</f>
        <v>6040.5</v>
      </c>
      <c r="R442" s="42">
        <f>MAX(0,VLOOKUP($B442,'93-07workbook'!$B$144:$Q$175,COLUMN(N$1),FALSE)-R310-R112-R79)</f>
        <v>13878.1</v>
      </c>
      <c r="S442" s="42">
        <f>MAX(0,VLOOKUP($B442,'93-07workbook'!$B$144:$Q$175,COLUMN(O$1),FALSE)-S310-S112-S79)</f>
        <v>8719</v>
      </c>
      <c r="T442" s="42">
        <f>MAX(0,VLOOKUP($B442,'93-07workbook'!$B$144:$Q$175,COLUMN(P$1),FALSE)-T310-T112-T79)</f>
        <v>2846</v>
      </c>
      <c r="U442" s="42">
        <f>SUMIFS('08-21addition'!$H:$H,'08-21addition'!$A:$A,$B442,'08-21addition'!$B:$B,U$2)*10+VLOOKUP($B277,'project vs stock'!$A$72:$W$103,20,FALSE)/9</f>
        <v>2169.84</v>
      </c>
      <c r="V442" s="42">
        <f>SUMIFS('08-21addition'!$H:$H,'08-21addition'!$A:$A,$B442,'08-21addition'!$B:$B,V$2)*10+VLOOKUP($B277,'project vs stock'!$A$72:$W$103,20,FALSE)/9</f>
        <v>2622.84</v>
      </c>
      <c r="W442" s="42">
        <f>SUMIFS('08-21addition'!$H:$H,'08-21addition'!$A:$A,$B442,'08-21addition'!$B:$B,W$2)*10+VLOOKUP($B277,'project vs stock'!$A$72:$W$103,20,FALSE)/9</f>
        <v>8749.44</v>
      </c>
      <c r="X442" s="42">
        <f>SUMIFS('08-21addition'!$H:$H,'08-21addition'!$A:$A,$B442,'08-21addition'!$B:$B,X$2)*10+VLOOKUP($B277,'project vs stock'!$A$72:$W$103,20,FALSE)/9</f>
        <v>5171.84</v>
      </c>
      <c r="Y442" s="42">
        <f>SUMIFS('08-21addition'!$H:$H,'08-21addition'!$A:$A,$B442,'08-21addition'!$B:$B,Y$2)*10+VLOOKUP($B277,'project vs stock'!$A$72:$W$103,20,FALSE)/9</f>
        <v>4371.84</v>
      </c>
      <c r="Z442" s="42">
        <f>SUMIFS('08-21addition'!$H:$H,'08-21addition'!$A:$A,$B442,'08-21addition'!$B:$B,Z$2)*10+VLOOKUP($B277,'project vs stock'!$A$72:$W$103,20,FALSE)/9</f>
        <v>6071.84</v>
      </c>
      <c r="AA442" s="42">
        <f>SUMIFS('08-21addition'!$H:$H,'08-21addition'!$A:$A,$B442,'08-21addition'!$B:$B,AA$2)*10+VLOOKUP($B277,'project vs stock'!$A$72:$W$103,20,FALSE)/9</f>
        <v>2429.84</v>
      </c>
      <c r="AB442" s="42">
        <f>SUMIFS('08-21addition'!$H:$H,'08-21addition'!$A:$A,$B442,'08-21addition'!$B:$B,AB$2)*10+VLOOKUP($B277,'project vs stock'!$A$72:$W$103,20,FALSE)/9</f>
        <v>2754.84</v>
      </c>
      <c r="AC442" s="42">
        <f>SUMIFS('08-21addition'!$H:$H,'08-21addition'!$A:$A,$B442,'08-21addition'!$B:$B,AC$2)*10+VLOOKUP($B277,'project vs stock'!$A$72:$W$103,20,FALSE)/9</f>
        <v>1749.84</v>
      </c>
      <c r="AD442" s="42">
        <f>SUMIFS('08-21addition'!$H:$H,'08-21addition'!$A:$A,$B442,'08-21addition'!$B:$B,AD$2)*10+VLOOKUP($B442,'project vs stock'!$A$72:$W$103,8,FALSE)/5</f>
        <v>3331</v>
      </c>
      <c r="AE442" s="42">
        <f>SUMIFS('08-21addition'!$H:$H,'08-21addition'!$A:$A,$B442,'08-21addition'!$B:$B,AE$2)*10+VLOOKUP($B442,'project vs stock'!$A$72:$W$103,8,FALSE)/5</f>
        <v>1313</v>
      </c>
      <c r="AF442" s="43">
        <f>SUMIFS('08-21addition'!$H:$H,'08-21addition'!$A:$A,$B442,'08-21addition'!$B:$B,AF$2)*10+VLOOKUP($B442,'project vs stock'!$A$72:$W$103,8,FALSE)/5</f>
        <v>2892</v>
      </c>
    </row>
    <row r="443" ht="13.85" spans="1:32">
      <c r="A443" s="27" t="s">
        <v>165</v>
      </c>
      <c r="B443" s="44" t="s">
        <v>102</v>
      </c>
      <c r="C443" s="45"/>
      <c r="D443" s="45"/>
      <c r="E443" s="45"/>
      <c r="F443" s="42">
        <f>MAX(0,VLOOKUP($B443,'93-07workbook'!$B$144:$Q$175,COLUMN(B$1),FALSE)-F311-F113-F80)</f>
        <v>214.7</v>
      </c>
      <c r="G443" s="42">
        <f>MAX(0,VLOOKUP($B443,'93-07workbook'!$B$144:$Q$175,COLUMN(C$1),FALSE)-G311-G113-G80)</f>
        <v>945.3</v>
      </c>
      <c r="H443" s="42">
        <f>MAX(0,VLOOKUP($B443,'93-07workbook'!$B$144:$Q$175,COLUMN(D$1),FALSE)-H311-H113-H80)</f>
        <v>1017.1</v>
      </c>
      <c r="I443" s="42">
        <f>MAX(0,VLOOKUP($B443,'93-07workbook'!$B$144:$Q$175,COLUMN(E$1),FALSE)-I311-I113-I80)</f>
        <v>672.4</v>
      </c>
      <c r="J443" s="42">
        <f>MAX(0,VLOOKUP($B443,'93-07workbook'!$B$144:$Q$175,COLUMN(F$1),FALSE)-J311-J113-J80)</f>
        <v>1400.9</v>
      </c>
      <c r="K443" s="42">
        <f>MAX(0,VLOOKUP($B443,'93-07workbook'!$B$144:$Q$175,COLUMN(G$1),FALSE)-K311-K113-K80)</f>
        <v>852.199999999999</v>
      </c>
      <c r="L443" s="42">
        <f>MAX(0,VLOOKUP($B443,'93-07workbook'!$B$144:$Q$175,COLUMN(H$1),FALSE)-L311-L113-L80)</f>
        <v>527</v>
      </c>
      <c r="M443" s="42">
        <f>MAX(0,VLOOKUP($B443,'93-07workbook'!$B$144:$Q$175,COLUMN(I$1),FALSE)-M311-M113-M80)</f>
        <v>1812</v>
      </c>
      <c r="N443" s="42">
        <f>MAX(0,VLOOKUP($B443,'93-07workbook'!$B$144:$Q$175,COLUMN(J$1),FALSE)-N311-N113-N80)</f>
        <v>711</v>
      </c>
      <c r="O443" s="42">
        <f>MAX(0,VLOOKUP($B443,'93-07workbook'!$B$144:$Q$175,COLUMN(K$1),FALSE)-O311-O113-O80)</f>
        <v>1540.5</v>
      </c>
      <c r="P443" s="42">
        <f>MAX(0,VLOOKUP($B443,'93-07workbook'!$B$144:$Q$175,COLUMN(L$1),FALSE)-P311-P113-P80)</f>
        <v>2238.8</v>
      </c>
      <c r="Q443" s="42">
        <f>MAX(0,VLOOKUP($B443,'93-07workbook'!$B$144:$Q$175,COLUMN(M$1),FALSE)-Q311-Q113-Q80)</f>
        <v>6118.6</v>
      </c>
      <c r="R443" s="42">
        <f>MAX(0,VLOOKUP($B443,'93-07workbook'!$B$144:$Q$175,COLUMN(N$1),FALSE)-R311-R113-R80)</f>
        <v>6222.2</v>
      </c>
      <c r="S443" s="42">
        <f>MAX(0,VLOOKUP($B443,'93-07workbook'!$B$144:$Q$175,COLUMN(O$1),FALSE)-S311-S113-S80)</f>
        <v>8900</v>
      </c>
      <c r="T443" s="42">
        <f>MAX(0,VLOOKUP($B443,'93-07workbook'!$B$144:$Q$175,COLUMN(P$1),FALSE)-T311-T113-T80)</f>
        <v>4211.77</v>
      </c>
      <c r="U443" s="42">
        <f>SUMIFS('08-21addition'!$H:$H,'08-21addition'!$A:$A,$B443,'08-21addition'!$B:$B,U$2)*10+VLOOKUP($B278,'project vs stock'!$A$72:$W$103,20,FALSE)/9</f>
        <v>2872.11255555556</v>
      </c>
      <c r="V443" s="42">
        <f>SUMIFS('08-21addition'!$H:$H,'08-21addition'!$A:$A,$B443,'08-21addition'!$B:$B,V$2)*10+VLOOKUP($B278,'project vs stock'!$A$72:$W$103,20,FALSE)/9</f>
        <v>3182.11255555556</v>
      </c>
      <c r="W443" s="42">
        <f>SUMIFS('08-21addition'!$H:$H,'08-21addition'!$A:$A,$B443,'08-21addition'!$B:$B,W$2)*10+VLOOKUP($B278,'project vs stock'!$A$72:$W$103,20,FALSE)/9</f>
        <v>1802.11255555556</v>
      </c>
      <c r="X443" s="42">
        <f>SUMIFS('08-21addition'!$H:$H,'08-21addition'!$A:$A,$B443,'08-21addition'!$B:$B,X$2)*10+VLOOKUP($B278,'project vs stock'!$A$72:$W$103,20,FALSE)/9</f>
        <v>2782.11255555556</v>
      </c>
      <c r="Y443" s="42">
        <f>SUMIFS('08-21addition'!$H:$H,'08-21addition'!$A:$A,$B443,'08-21addition'!$B:$B,Y$2)*10+VLOOKUP($B278,'project vs stock'!$A$72:$W$103,20,FALSE)/9</f>
        <v>224.512555555556</v>
      </c>
      <c r="Z443" s="42">
        <f>SUMIFS('08-21addition'!$H:$H,'08-21addition'!$A:$A,$B443,'08-21addition'!$B:$B,Z$2)*10+VLOOKUP($B278,'project vs stock'!$A$72:$W$103,20,FALSE)/9</f>
        <v>182.112555555556</v>
      </c>
      <c r="AA443" s="42">
        <f>SUMIFS('08-21addition'!$H:$H,'08-21addition'!$A:$A,$B443,'08-21addition'!$B:$B,AA$2)*10+VLOOKUP($B278,'project vs stock'!$A$72:$W$103,20,FALSE)/9</f>
        <v>6155.11255555556</v>
      </c>
      <c r="AB443" s="42">
        <f>SUMIFS('08-21addition'!$H:$H,'08-21addition'!$A:$A,$B443,'08-21addition'!$B:$B,AB$2)*10+VLOOKUP($B278,'project vs stock'!$A$72:$W$103,20,FALSE)/9</f>
        <v>3562.11255555556</v>
      </c>
      <c r="AC443" s="42">
        <f>SUMIFS('08-21addition'!$H:$H,'08-21addition'!$A:$A,$B443,'08-21addition'!$B:$B,AC$2)*10+VLOOKUP($B278,'project vs stock'!$A$72:$W$103,20,FALSE)/9</f>
        <v>182.112555555556</v>
      </c>
      <c r="AD443" s="42">
        <f>SUMIFS('08-21addition'!$H:$H,'08-21addition'!$A:$A,$B443,'08-21addition'!$B:$B,AD$2)*10+VLOOKUP($B443,'project vs stock'!$A$72:$W$103,8,FALSE)/5</f>
        <v>776.88</v>
      </c>
      <c r="AE443" s="42">
        <f>SUMIFS('08-21addition'!$H:$H,'08-21addition'!$A:$A,$B443,'08-21addition'!$B:$B,AE$2)*10+VLOOKUP($B443,'project vs stock'!$A$72:$W$103,8,FALSE)/5</f>
        <v>1062.38</v>
      </c>
      <c r="AF443" s="43">
        <f>SUMIFS('08-21addition'!$H:$H,'08-21addition'!$A:$A,$B443,'08-21addition'!$B:$B,AF$2)*10+VLOOKUP($B443,'project vs stock'!$A$72:$W$103,8,FALSE)/5</f>
        <v>371.48</v>
      </c>
    </row>
    <row r="444" ht="13.85" spans="1:32">
      <c r="A444" s="27" t="s">
        <v>165</v>
      </c>
      <c r="B444" s="44" t="s">
        <v>104</v>
      </c>
      <c r="C444" s="45"/>
      <c r="D444" s="45"/>
      <c r="E444" s="45"/>
      <c r="F444" s="42">
        <f>MAX(0,VLOOKUP($B444,'93-07workbook'!$B$144:$Q$175,COLUMN(B$1),FALSE)-F312-F114-F81)</f>
        <v>450</v>
      </c>
      <c r="G444" s="42">
        <f>MAX(0,VLOOKUP($B444,'93-07workbook'!$B$144:$Q$175,COLUMN(C$1),FALSE)-G312-G114-G81)</f>
        <v>231.2</v>
      </c>
      <c r="H444" s="42">
        <f>MAX(0,VLOOKUP($B444,'93-07workbook'!$B$144:$Q$175,COLUMN(D$1),FALSE)-H312-H114-H81)</f>
        <v>350</v>
      </c>
      <c r="I444" s="42">
        <f>MAX(0,VLOOKUP($B444,'93-07workbook'!$B$144:$Q$175,COLUMN(E$1),FALSE)-I312-I114-I81)</f>
        <v>805</v>
      </c>
      <c r="J444" s="42">
        <f>MAX(0,VLOOKUP($B444,'93-07workbook'!$B$144:$Q$175,COLUMN(F$1),FALSE)-J312-J114-J81)</f>
        <v>380.4</v>
      </c>
      <c r="K444" s="42">
        <f>MAX(0,VLOOKUP($B444,'93-07workbook'!$B$144:$Q$175,COLUMN(G$1),FALSE)-K312-K114-K81)</f>
        <v>339</v>
      </c>
      <c r="L444" s="42">
        <f>MAX(0,VLOOKUP($B444,'93-07workbook'!$B$144:$Q$175,COLUMN(H$1),FALSE)-L312-L114-L81)</f>
        <v>685.5</v>
      </c>
      <c r="M444" s="42">
        <f>MAX(0,VLOOKUP($B444,'93-07workbook'!$B$144:$Q$175,COLUMN(I$1),FALSE)-M312-M114-M81)</f>
        <v>630.500000000001</v>
      </c>
      <c r="N444" s="42">
        <f>MAX(0,VLOOKUP($B444,'93-07workbook'!$B$144:$Q$175,COLUMN(J$1),FALSE)-N312-N114-N81)</f>
        <v>770.7</v>
      </c>
      <c r="O444" s="42">
        <f>MAX(0,VLOOKUP($B444,'93-07workbook'!$B$144:$Q$175,COLUMN(K$1),FALSE)-O312-O114-O81)</f>
        <v>82.5000000000002</v>
      </c>
      <c r="P444" s="42">
        <f>MAX(0,VLOOKUP($B444,'93-07workbook'!$B$144:$Q$175,COLUMN(L$1),FALSE)-P312-P114-P81)</f>
        <v>215.1</v>
      </c>
      <c r="Q444" s="42">
        <f>MAX(0,VLOOKUP($B444,'93-07workbook'!$B$144:$Q$175,COLUMN(M$1),FALSE)-Q312-Q114-Q81)</f>
        <v>301</v>
      </c>
      <c r="R444" s="42">
        <f>MAX(0,VLOOKUP($B444,'93-07workbook'!$B$144:$Q$175,COLUMN(N$1),FALSE)-R312-R114-R81)</f>
        <v>2130</v>
      </c>
      <c r="S444" s="42">
        <f>MAX(0,VLOOKUP($B444,'93-07workbook'!$B$144:$Q$175,COLUMN(O$1),FALSE)-S312-S114-S81)</f>
        <v>2639.5</v>
      </c>
      <c r="T444" s="42">
        <f>MAX(0,VLOOKUP($B444,'93-07workbook'!$B$144:$Q$175,COLUMN(P$1),FALSE)-T312-T114-T81)</f>
        <v>5913.5</v>
      </c>
      <c r="U444" s="42">
        <f>SUMIFS('08-21addition'!$H:$H,'08-21addition'!$A:$A,$B444,'08-21addition'!$B:$B,U$2)*10+VLOOKUP($B279,'project vs stock'!$A$72:$W$103,20,FALSE)/9</f>
        <v>7521.32222222222</v>
      </c>
      <c r="V444" s="42">
        <f>SUMIFS('08-21addition'!$H:$H,'08-21addition'!$A:$A,$B444,'08-21addition'!$B:$B,V$2)*10+VLOOKUP($B279,'project vs stock'!$A$72:$W$103,20,FALSE)/9</f>
        <v>2226.32222222222</v>
      </c>
      <c r="W444" s="42">
        <f>SUMIFS('08-21addition'!$H:$H,'08-21addition'!$A:$A,$B444,'08-21addition'!$B:$B,W$2)*10+VLOOKUP($B279,'project vs stock'!$A$72:$W$103,20,FALSE)/9</f>
        <v>750.322222222222</v>
      </c>
      <c r="X444" s="42">
        <f>SUMIFS('08-21addition'!$H:$H,'08-21addition'!$A:$A,$B444,'08-21addition'!$B:$B,X$2)*10+VLOOKUP($B279,'project vs stock'!$A$72:$W$103,20,FALSE)/9</f>
        <v>1766.32222222222</v>
      </c>
      <c r="Y444" s="42">
        <f>SUMIFS('08-21addition'!$H:$H,'08-21addition'!$A:$A,$B444,'08-21addition'!$B:$B,Y$2)*10+VLOOKUP($B279,'project vs stock'!$A$72:$W$103,20,FALSE)/9</f>
        <v>2713.32222222222</v>
      </c>
      <c r="Z444" s="42">
        <f>SUMIFS('08-21addition'!$H:$H,'08-21addition'!$A:$A,$B444,'08-21addition'!$B:$B,Z$2)*10+VLOOKUP($B279,'project vs stock'!$A$72:$W$103,20,FALSE)/9</f>
        <v>4011.32222222222</v>
      </c>
      <c r="AA444" s="42">
        <f>SUMIFS('08-21addition'!$H:$H,'08-21addition'!$A:$A,$B444,'08-21addition'!$B:$B,AA$2)*10+VLOOKUP($B279,'project vs stock'!$A$72:$W$103,20,FALSE)/9</f>
        <v>2721.32222222222</v>
      </c>
      <c r="AB444" s="42">
        <f>SUMIFS('08-21addition'!$H:$H,'08-21addition'!$A:$A,$B444,'08-21addition'!$B:$B,AB$2)*10+VLOOKUP($B279,'project vs stock'!$A$72:$W$103,20,FALSE)/9</f>
        <v>7261.32222222222</v>
      </c>
      <c r="AC444" s="42">
        <f>SUMIFS('08-21addition'!$H:$H,'08-21addition'!$A:$A,$B444,'08-21addition'!$B:$B,AC$2)*10+VLOOKUP($B279,'project vs stock'!$A$72:$W$103,20,FALSE)/9</f>
        <v>3041.32222222222</v>
      </c>
      <c r="AD444" s="42">
        <f>SUMIFS('08-21addition'!$H:$H,'08-21addition'!$A:$A,$B444,'08-21addition'!$B:$B,AD$2)*10+VLOOKUP($B444,'project vs stock'!$A$72:$W$103,8,FALSE)/5</f>
        <v>1544.06</v>
      </c>
      <c r="AE444" s="42">
        <f>SUMIFS('08-21addition'!$H:$H,'08-21addition'!$A:$A,$B444,'08-21addition'!$B:$B,AE$2)*10+VLOOKUP($B444,'project vs stock'!$A$72:$W$103,8,FALSE)/5</f>
        <v>3549.76</v>
      </c>
      <c r="AF444" s="43">
        <f>SUMIFS('08-21addition'!$H:$H,'08-21addition'!$A:$A,$B444,'08-21addition'!$B:$B,AF$2)*10+VLOOKUP($B444,'project vs stock'!$A$72:$W$103,8,FALSE)/5</f>
        <v>1526.06</v>
      </c>
    </row>
    <row r="445" ht="13.85" spans="1:32">
      <c r="A445" s="27" t="s">
        <v>165</v>
      </c>
      <c r="B445" s="44" t="s">
        <v>106</v>
      </c>
      <c r="C445" s="45"/>
      <c r="D445" s="45"/>
      <c r="E445" s="45"/>
      <c r="F445" s="42">
        <f>MAX(0,VLOOKUP($B445,'93-07workbook'!$B$144:$Q$175,COLUMN(B$1),FALSE)-F313-F115-F82)</f>
        <v>0</v>
      </c>
      <c r="G445" s="42">
        <f>MAX(0,VLOOKUP($B445,'93-07workbook'!$B$144:$Q$175,COLUMN(C$1),FALSE)-G313-G115-G82)</f>
        <v>286</v>
      </c>
      <c r="H445" s="42">
        <f>MAX(0,VLOOKUP($B445,'93-07workbook'!$B$144:$Q$175,COLUMN(D$1),FALSE)-H313-H115-H82)</f>
        <v>465.2</v>
      </c>
      <c r="I445" s="42">
        <f>MAX(0,VLOOKUP($B445,'93-07workbook'!$B$144:$Q$175,COLUMN(E$1),FALSE)-I313-I115-I82)</f>
        <v>513.6</v>
      </c>
      <c r="J445" s="42">
        <f>MAX(0,VLOOKUP($B445,'93-07workbook'!$B$144:$Q$175,COLUMN(F$1),FALSE)-J313-J115-J82)</f>
        <v>97.6999999999998</v>
      </c>
      <c r="K445" s="42">
        <f>MAX(0,VLOOKUP($B445,'93-07workbook'!$B$144:$Q$175,COLUMN(G$1),FALSE)-K313-K115-K82)</f>
        <v>249.4</v>
      </c>
      <c r="L445" s="42">
        <f>MAX(0,VLOOKUP($B445,'93-07workbook'!$B$144:$Q$175,COLUMN(H$1),FALSE)-L313-L115-L82)</f>
        <v>1300</v>
      </c>
      <c r="M445" s="42">
        <f>MAX(0,VLOOKUP($B445,'93-07workbook'!$B$144:$Q$175,COLUMN(I$1),FALSE)-M313-M115-M82)</f>
        <v>612</v>
      </c>
      <c r="N445" s="42">
        <f>MAX(0,VLOOKUP($B445,'93-07workbook'!$B$144:$Q$175,COLUMN(J$1),FALSE)-N313-N115-N82)</f>
        <v>1375.125</v>
      </c>
      <c r="O445" s="42">
        <f>MAX(0,VLOOKUP($B445,'93-07workbook'!$B$144:$Q$175,COLUMN(K$1),FALSE)-O313-O115-O82)</f>
        <v>549.325</v>
      </c>
      <c r="P445" s="42">
        <f>MAX(0,VLOOKUP($B445,'93-07workbook'!$B$144:$Q$175,COLUMN(L$1),FALSE)-P313-P115-P82)</f>
        <v>76.0249999999996</v>
      </c>
      <c r="Q445" s="42">
        <f>MAX(0,VLOOKUP($B445,'93-07workbook'!$B$144:$Q$175,COLUMN(M$1),FALSE)-Q313-Q115-Q82)</f>
        <v>1205.725</v>
      </c>
      <c r="R445" s="42">
        <f>MAX(0,VLOOKUP($B445,'93-07workbook'!$B$144:$Q$175,COLUMN(N$1),FALSE)-R313-R115-R82)</f>
        <v>1012.425</v>
      </c>
      <c r="S445" s="42">
        <f>MAX(0,VLOOKUP($B445,'93-07workbook'!$B$144:$Q$175,COLUMN(O$1),FALSE)-S313-S115-S82)</f>
        <v>3813.125</v>
      </c>
      <c r="T445" s="42">
        <f>MAX(0,VLOOKUP($B445,'93-07workbook'!$B$144:$Q$175,COLUMN(P$1),FALSE)-T313-T115-T82)</f>
        <v>1328.675</v>
      </c>
      <c r="U445" s="42">
        <f>SUMIFS('08-21addition'!$H:$H,'08-21addition'!$A:$A,$B445,'08-21addition'!$B:$B,U$2)*10+VLOOKUP($B280,'project vs stock'!$A$72:$W$103,20,FALSE)/9</f>
        <v>2712.46311111111</v>
      </c>
      <c r="V445" s="42">
        <f>SUMIFS('08-21addition'!$H:$H,'08-21addition'!$A:$A,$B445,'08-21addition'!$B:$B,V$2)*10+VLOOKUP($B280,'project vs stock'!$A$72:$W$103,20,FALSE)/9</f>
        <v>1862.46311111111</v>
      </c>
      <c r="W445" s="42">
        <f>SUMIFS('08-21addition'!$H:$H,'08-21addition'!$A:$A,$B445,'08-21addition'!$B:$B,W$2)*10+VLOOKUP($B280,'project vs stock'!$A$72:$W$103,20,FALSE)/9</f>
        <v>2522.46311111111</v>
      </c>
      <c r="X445" s="42">
        <f>SUMIFS('08-21addition'!$H:$H,'08-21addition'!$A:$A,$B445,'08-21addition'!$B:$B,X$2)*10+VLOOKUP($B280,'project vs stock'!$A$72:$W$103,20,FALSE)/9</f>
        <v>1522.46311111111</v>
      </c>
      <c r="Y445" s="42">
        <f>SUMIFS('08-21addition'!$H:$H,'08-21addition'!$A:$A,$B445,'08-21addition'!$B:$B,Y$2)*10+VLOOKUP($B280,'project vs stock'!$A$72:$W$103,20,FALSE)/9</f>
        <v>1522.46311111111</v>
      </c>
      <c r="Z445" s="42">
        <f>SUMIFS('08-21addition'!$H:$H,'08-21addition'!$A:$A,$B445,'08-21addition'!$B:$B,Z$2)*10+VLOOKUP($B280,'project vs stock'!$A$72:$W$103,20,FALSE)/9</f>
        <v>252.463111111111</v>
      </c>
      <c r="AA445" s="42">
        <f>SUMIFS('08-21addition'!$H:$H,'08-21addition'!$A:$A,$B445,'08-21addition'!$B:$B,AA$2)*10+VLOOKUP($B280,'project vs stock'!$A$72:$W$103,20,FALSE)/9</f>
        <v>252.463111111111</v>
      </c>
      <c r="AB445" s="42">
        <f>SUMIFS('08-21addition'!$H:$H,'08-21addition'!$A:$A,$B445,'08-21addition'!$B:$B,AB$2)*10+VLOOKUP($B280,'project vs stock'!$A$72:$W$103,20,FALSE)/9</f>
        <v>2252.46311111111</v>
      </c>
      <c r="AC445" s="42">
        <f>SUMIFS('08-21addition'!$H:$H,'08-21addition'!$A:$A,$B445,'08-21addition'!$B:$B,AC$2)*10+VLOOKUP($B280,'project vs stock'!$A$72:$W$103,20,FALSE)/9</f>
        <v>252.463111111111</v>
      </c>
      <c r="AD445" s="42">
        <f>SUMIFS('08-21addition'!$H:$H,'08-21addition'!$A:$A,$B445,'08-21addition'!$B:$B,AD$2)*10+VLOOKUP($B445,'project vs stock'!$A$72:$W$103,8,FALSE)/5</f>
        <v>2229.88</v>
      </c>
      <c r="AE445" s="42">
        <f>SUMIFS('08-21addition'!$H:$H,'08-21addition'!$A:$A,$B445,'08-21addition'!$B:$B,AE$2)*10+VLOOKUP($B445,'project vs stock'!$A$72:$W$103,8,FALSE)/5</f>
        <v>667.78</v>
      </c>
      <c r="AF445" s="43">
        <f>SUMIFS('08-21addition'!$H:$H,'08-21addition'!$A:$A,$B445,'08-21addition'!$B:$B,AF$2)*10+VLOOKUP($B445,'project vs stock'!$A$72:$W$103,8,FALSE)/5</f>
        <v>297.78</v>
      </c>
    </row>
    <row r="446" ht="13.85" spans="1:32">
      <c r="A446" s="27" t="s">
        <v>165</v>
      </c>
      <c r="B446" s="44" t="s">
        <v>108</v>
      </c>
      <c r="C446" s="45"/>
      <c r="D446" s="45"/>
      <c r="E446" s="45"/>
      <c r="F446" s="42">
        <f>MAX(0,VLOOKUP($B446,'93-07workbook'!$B$144:$Q$175,COLUMN(B$1),FALSE)-F314-F116-F83)</f>
        <v>125</v>
      </c>
      <c r="G446" s="42">
        <f>MAX(0,VLOOKUP($B446,'93-07workbook'!$B$144:$Q$175,COLUMN(C$1),FALSE)-G314-G116-G83)</f>
        <v>251.9</v>
      </c>
      <c r="H446" s="42">
        <f>MAX(0,VLOOKUP($B446,'93-07workbook'!$B$144:$Q$175,COLUMN(D$1),FALSE)-H314-H116-H83)</f>
        <v>335.5</v>
      </c>
      <c r="I446" s="42">
        <f>MAX(0,VLOOKUP($B446,'93-07workbook'!$B$144:$Q$175,COLUMN(E$1),FALSE)-I314-I116-I83)</f>
        <v>215</v>
      </c>
      <c r="J446" s="42">
        <f>MAX(0,VLOOKUP($B446,'93-07workbook'!$B$144:$Q$175,COLUMN(F$1),FALSE)-J314-J116-J83)</f>
        <v>600</v>
      </c>
      <c r="K446" s="42">
        <f>MAX(0,VLOOKUP($B446,'93-07workbook'!$B$144:$Q$175,COLUMN(G$1),FALSE)-K314-K116-K83)</f>
        <v>300</v>
      </c>
      <c r="L446" s="42">
        <f>MAX(0,VLOOKUP($B446,'93-07workbook'!$B$144:$Q$175,COLUMN(H$1),FALSE)-L314-L116-L83)</f>
        <v>0</v>
      </c>
      <c r="M446" s="42">
        <f>MAX(0,VLOOKUP($B446,'93-07workbook'!$B$144:$Q$175,COLUMN(I$1),FALSE)-M314-M116-M83)</f>
        <v>652.5</v>
      </c>
      <c r="N446" s="42">
        <f>MAX(0,VLOOKUP($B446,'93-07workbook'!$B$144:$Q$175,COLUMN(J$1),FALSE)-N314-N116-N83)</f>
        <v>393.5</v>
      </c>
      <c r="O446" s="42">
        <f>MAX(0,VLOOKUP($B446,'93-07workbook'!$B$144:$Q$175,COLUMN(K$1),FALSE)-O314-O116-O83)</f>
        <v>348</v>
      </c>
      <c r="P446" s="42">
        <f>MAX(0,VLOOKUP($B446,'93-07workbook'!$B$144:$Q$175,COLUMN(L$1),FALSE)-P314-P116-P83)</f>
        <v>277</v>
      </c>
      <c r="Q446" s="42">
        <f>MAX(0,VLOOKUP($B446,'93-07workbook'!$B$144:$Q$175,COLUMN(M$1),FALSE)-Q314-Q116-Q83)</f>
        <v>298</v>
      </c>
      <c r="R446" s="42">
        <f>MAX(0,VLOOKUP($B446,'93-07workbook'!$B$144:$Q$175,COLUMN(N$1),FALSE)-R314-R116-R83)</f>
        <v>408</v>
      </c>
      <c r="S446" s="42">
        <f>MAX(0,VLOOKUP($B446,'93-07workbook'!$B$144:$Q$175,COLUMN(O$1),FALSE)-S314-S116-S83)</f>
        <v>664.999999999999</v>
      </c>
      <c r="T446" s="42">
        <f>MAX(0,VLOOKUP($B446,'93-07workbook'!$B$144:$Q$175,COLUMN(P$1),FALSE)-T314-T116-T83)</f>
        <v>2819.5</v>
      </c>
      <c r="U446" s="42">
        <f>SUMIFS('08-21addition'!$H:$H,'08-21addition'!$A:$A,$B446,'08-21addition'!$B:$B,U$2)*10+VLOOKUP($B281,'project vs stock'!$A$72:$W$103,20,FALSE)/9</f>
        <v>926.111111111111</v>
      </c>
      <c r="V446" s="42">
        <f>SUMIFS('08-21addition'!$H:$H,'08-21addition'!$A:$A,$B446,'08-21addition'!$B:$B,V$2)*10+VLOOKUP($B281,'project vs stock'!$A$72:$W$103,20,FALSE)/9</f>
        <v>2536.11111111111</v>
      </c>
      <c r="W446" s="42">
        <f>SUMIFS('08-21addition'!$H:$H,'08-21addition'!$A:$A,$B446,'08-21addition'!$B:$B,W$2)*10+VLOOKUP($B281,'project vs stock'!$A$72:$W$103,20,FALSE)/9</f>
        <v>1546.11111111111</v>
      </c>
      <c r="X446" s="42">
        <f>SUMIFS('08-21addition'!$H:$H,'08-21addition'!$A:$A,$B446,'08-21addition'!$B:$B,X$2)*10+VLOOKUP($B281,'project vs stock'!$A$72:$W$103,20,FALSE)/9</f>
        <v>1526.11111111111</v>
      </c>
      <c r="Y446" s="42">
        <f>SUMIFS('08-21addition'!$H:$H,'08-21addition'!$A:$A,$B446,'08-21addition'!$B:$B,Y$2)*10+VLOOKUP($B281,'project vs stock'!$A$72:$W$103,20,FALSE)/9</f>
        <v>1526.11111111111</v>
      </c>
      <c r="Z446" s="42">
        <f>SUMIFS('08-21addition'!$H:$H,'08-21addition'!$A:$A,$B446,'08-21addition'!$B:$B,Z$2)*10+VLOOKUP($B281,'project vs stock'!$A$72:$W$103,20,FALSE)/9</f>
        <v>226.111111111111</v>
      </c>
      <c r="AA446" s="42">
        <f>SUMIFS('08-21addition'!$H:$H,'08-21addition'!$A:$A,$B446,'08-21addition'!$B:$B,AA$2)*10+VLOOKUP($B281,'project vs stock'!$A$72:$W$103,20,FALSE)/9</f>
        <v>226.111111111111</v>
      </c>
      <c r="AB446" s="42">
        <f>SUMIFS('08-21addition'!$H:$H,'08-21addition'!$A:$A,$B446,'08-21addition'!$B:$B,AB$2)*10+VLOOKUP($B281,'project vs stock'!$A$72:$W$103,20,FALSE)/9</f>
        <v>2546.11111111111</v>
      </c>
      <c r="AC446" s="42">
        <f>SUMIFS('08-21addition'!$H:$H,'08-21addition'!$A:$A,$B446,'08-21addition'!$B:$B,AC$2)*10+VLOOKUP($B281,'project vs stock'!$A$72:$W$103,20,FALSE)/9</f>
        <v>1226.11111111111</v>
      </c>
      <c r="AD446" s="42">
        <f>SUMIFS('08-21addition'!$H:$H,'08-21addition'!$A:$A,$B446,'08-21addition'!$B:$B,AD$2)*10+VLOOKUP($B446,'project vs stock'!$A$72:$W$103,8,FALSE)/5</f>
        <v>78</v>
      </c>
      <c r="AE446" s="42">
        <f>SUMIFS('08-21addition'!$H:$H,'08-21addition'!$A:$A,$B446,'08-21addition'!$B:$B,AE$2)*10+VLOOKUP($B446,'project vs stock'!$A$72:$W$103,8,FALSE)/5</f>
        <v>2078</v>
      </c>
      <c r="AF446" s="43">
        <f>SUMIFS('08-21addition'!$H:$H,'08-21addition'!$A:$A,$B446,'08-21addition'!$B:$B,AF$2)*10+VLOOKUP($B446,'project vs stock'!$A$72:$W$103,8,FALSE)/5</f>
        <v>78</v>
      </c>
    </row>
    <row r="447" ht="13.85" spans="1:32">
      <c r="A447" s="27" t="s">
        <v>165</v>
      </c>
      <c r="B447" s="44" t="s">
        <v>110</v>
      </c>
      <c r="C447" s="45"/>
      <c r="D447" s="45"/>
      <c r="E447" s="45"/>
      <c r="F447" s="42">
        <f>MAX(0,VLOOKUP($B447,'93-07workbook'!$B$144:$Q$175,COLUMN(B$1),FALSE)-F315-F117-F84)</f>
        <v>1073</v>
      </c>
      <c r="G447" s="42">
        <f>MAX(0,VLOOKUP($B447,'93-07workbook'!$B$144:$Q$175,COLUMN(C$1),FALSE)-G315-G117-G84)</f>
        <v>853.5</v>
      </c>
      <c r="H447" s="42">
        <f>MAX(0,VLOOKUP($B447,'93-07workbook'!$B$144:$Q$175,COLUMN(D$1),FALSE)-H315-H117-H84)</f>
        <v>777.5</v>
      </c>
      <c r="I447" s="42">
        <f>MAX(0,VLOOKUP($B447,'93-07workbook'!$B$144:$Q$175,COLUMN(E$1),FALSE)-I315-I117-I84)</f>
        <v>1365.9</v>
      </c>
      <c r="J447" s="42">
        <f>MAX(0,VLOOKUP($B447,'93-07workbook'!$B$144:$Q$175,COLUMN(F$1),FALSE)-J315-J117-J84)</f>
        <v>2706</v>
      </c>
      <c r="K447" s="42">
        <f>MAX(0,VLOOKUP($B447,'93-07workbook'!$B$144:$Q$175,COLUMN(G$1),FALSE)-K315-K117-K84)</f>
        <v>1025</v>
      </c>
      <c r="L447" s="42">
        <f>MAX(0,VLOOKUP($B447,'93-07workbook'!$B$144:$Q$175,COLUMN(H$1),FALSE)-L315-L117-L84)</f>
        <v>830.8</v>
      </c>
      <c r="M447" s="42">
        <f>MAX(0,VLOOKUP($B447,'93-07workbook'!$B$144:$Q$175,COLUMN(I$1),FALSE)-M315-M117-M84)</f>
        <v>1905.6</v>
      </c>
      <c r="N447" s="42">
        <f>MAX(0,VLOOKUP($B447,'93-07workbook'!$B$144:$Q$175,COLUMN(J$1),FALSE)-N315-N117-N84)</f>
        <v>1031.7</v>
      </c>
      <c r="O447" s="42">
        <f>MAX(0,VLOOKUP($B447,'93-07workbook'!$B$144:$Q$175,COLUMN(K$1),FALSE)-O315-O117-O84)</f>
        <v>4144.7</v>
      </c>
      <c r="P447" s="42">
        <f>MAX(0,VLOOKUP($B447,'93-07workbook'!$B$144:$Q$175,COLUMN(L$1),FALSE)-P315-P117-P84)</f>
        <v>5392</v>
      </c>
      <c r="Q447" s="42">
        <f>MAX(0,VLOOKUP($B447,'93-07workbook'!$B$144:$Q$175,COLUMN(M$1),FALSE)-Q315-Q117-Q84)</f>
        <v>2774</v>
      </c>
      <c r="R447" s="42">
        <f>MAX(0,VLOOKUP($B447,'93-07workbook'!$B$144:$Q$175,COLUMN(N$1),FALSE)-R315-R117-R84)</f>
        <v>4477.6</v>
      </c>
      <c r="S447" s="42">
        <f>MAX(0,VLOOKUP($B447,'93-07workbook'!$B$144:$Q$175,COLUMN(O$1),FALSE)-S315-S117-S84)</f>
        <v>12392</v>
      </c>
      <c r="T447" s="42">
        <f>MAX(0,VLOOKUP($B447,'93-07workbook'!$B$144:$Q$175,COLUMN(P$1),FALSE)-T315-T117-T84)</f>
        <v>6527.2</v>
      </c>
      <c r="U447" s="42">
        <f>SUMIFS('08-21addition'!$H:$H,'08-21addition'!$A:$A,$B447,'08-21addition'!$B:$B,U$2)*10+VLOOKUP($B282,'project vs stock'!$A$72:$W$103,20,FALSE)/9</f>
        <v>4899.14444444445</v>
      </c>
      <c r="V447" s="42">
        <f>SUMIFS('08-21addition'!$H:$H,'08-21addition'!$A:$A,$B447,'08-21addition'!$B:$B,V$2)*10+VLOOKUP($B282,'project vs stock'!$A$72:$W$103,20,FALSE)/9</f>
        <v>6252.14444444445</v>
      </c>
      <c r="W447" s="42">
        <f>SUMIFS('08-21addition'!$H:$H,'08-21addition'!$A:$A,$B447,'08-21addition'!$B:$B,W$2)*10+VLOOKUP($B282,'project vs stock'!$A$72:$W$103,20,FALSE)/9</f>
        <v>3489.74444444444</v>
      </c>
      <c r="X447" s="42">
        <f>SUMIFS('08-21addition'!$H:$H,'08-21addition'!$A:$A,$B447,'08-21addition'!$B:$B,X$2)*10+VLOOKUP($B282,'project vs stock'!$A$72:$W$103,20,FALSE)/9</f>
        <v>5343.64444444445</v>
      </c>
      <c r="Y447" s="42">
        <f>SUMIFS('08-21addition'!$H:$H,'08-21addition'!$A:$A,$B447,'08-21addition'!$B:$B,Y$2)*10+VLOOKUP($B282,'project vs stock'!$A$72:$W$103,20,FALSE)/9</f>
        <v>5194.14444444445</v>
      </c>
      <c r="Z447" s="42">
        <f>SUMIFS('08-21addition'!$H:$H,'08-21addition'!$A:$A,$B447,'08-21addition'!$B:$B,Z$2)*10+VLOOKUP($B282,'project vs stock'!$A$72:$W$103,20,FALSE)/9</f>
        <v>4719.14444444445</v>
      </c>
      <c r="AA447" s="42">
        <f>SUMIFS('08-21addition'!$H:$H,'08-21addition'!$A:$A,$B447,'08-21addition'!$B:$B,AA$2)*10+VLOOKUP($B282,'project vs stock'!$A$72:$W$103,20,FALSE)/9</f>
        <v>3229.14444444445</v>
      </c>
      <c r="AB447" s="42">
        <f>SUMIFS('08-21addition'!$H:$H,'08-21addition'!$A:$A,$B447,'08-21addition'!$B:$B,AB$2)*10+VLOOKUP($B282,'project vs stock'!$A$72:$W$103,20,FALSE)/9</f>
        <v>4229.14444444445</v>
      </c>
      <c r="AC447" s="42">
        <f>SUMIFS('08-21addition'!$H:$H,'08-21addition'!$A:$A,$B447,'08-21addition'!$B:$B,AC$2)*10+VLOOKUP($B282,'project vs stock'!$A$72:$W$103,20,FALSE)/9</f>
        <v>9763.74444444444</v>
      </c>
      <c r="AD447" s="42">
        <f>SUMIFS('08-21addition'!$H:$H,'08-21addition'!$A:$A,$B447,'08-21addition'!$B:$B,AD$2)*10+VLOOKUP($B447,'project vs stock'!$A$72:$W$103,8,FALSE)/5</f>
        <v>9099.4</v>
      </c>
      <c r="AE447" s="42">
        <f>SUMIFS('08-21addition'!$H:$H,'08-21addition'!$A:$A,$B447,'08-21addition'!$B:$B,AE$2)*10+VLOOKUP($B447,'project vs stock'!$A$72:$W$103,8,FALSE)/5</f>
        <v>2047.4</v>
      </c>
      <c r="AF447" s="43">
        <f>SUMIFS('08-21addition'!$H:$H,'08-21addition'!$A:$A,$B447,'08-21addition'!$B:$B,AF$2)*10+VLOOKUP($B447,'project vs stock'!$A$72:$W$103,8,FALSE)/5</f>
        <v>2656.4</v>
      </c>
    </row>
    <row r="448" ht="13.85" spans="1:32">
      <c r="A448" s="27" t="s">
        <v>165</v>
      </c>
      <c r="B448" s="44" t="s">
        <v>112</v>
      </c>
      <c r="C448" s="45"/>
      <c r="D448" s="45"/>
      <c r="E448" s="45"/>
      <c r="F448" s="42">
        <f>MAX(0,VLOOKUP($B448,'93-07workbook'!$B$144:$Q$175,COLUMN(B$1),FALSE)-F316-F118-F85)</f>
        <v>631.8</v>
      </c>
      <c r="G448" s="42">
        <f>MAX(0,VLOOKUP($B448,'93-07workbook'!$B$144:$Q$175,COLUMN(C$1),FALSE)-G316-G118-G85)</f>
        <v>193.2</v>
      </c>
      <c r="H448" s="42">
        <f>MAX(0,VLOOKUP($B448,'93-07workbook'!$B$144:$Q$175,COLUMN(D$1),FALSE)-H316-H118-H85)</f>
        <v>1590.2</v>
      </c>
      <c r="I448" s="42">
        <f>MAX(0,VLOOKUP($B448,'93-07workbook'!$B$144:$Q$175,COLUMN(E$1),FALSE)-I316-I118-I85)</f>
        <v>987.2</v>
      </c>
      <c r="J448" s="42">
        <f>MAX(0,VLOOKUP($B448,'93-07workbook'!$B$144:$Q$175,COLUMN(F$1),FALSE)-J316-J118-J85)</f>
        <v>681.2</v>
      </c>
      <c r="K448" s="42">
        <f>MAX(0,VLOOKUP($B448,'93-07workbook'!$B$144:$Q$175,COLUMN(G$1),FALSE)-K316-K118-K85)</f>
        <v>2046.7</v>
      </c>
      <c r="L448" s="42">
        <f>MAX(0,VLOOKUP($B448,'93-07workbook'!$B$144:$Q$175,COLUMN(H$1),FALSE)-L316-L118-L85)</f>
        <v>683.399999999999</v>
      </c>
      <c r="M448" s="42">
        <f>MAX(0,VLOOKUP($B448,'93-07workbook'!$B$144:$Q$175,COLUMN(I$1),FALSE)-M316-M118-M85)</f>
        <v>386.2</v>
      </c>
      <c r="N448" s="42">
        <f>MAX(0,VLOOKUP($B448,'93-07workbook'!$B$144:$Q$175,COLUMN(J$1),FALSE)-N316-N118-N85)</f>
        <v>1528.2</v>
      </c>
      <c r="O448" s="42">
        <f>MAX(0,VLOOKUP($B448,'93-07workbook'!$B$144:$Q$175,COLUMN(K$1),FALSE)-O316-O118-O85)</f>
        <v>406.5</v>
      </c>
      <c r="P448" s="42">
        <f>MAX(0,VLOOKUP($B448,'93-07workbook'!$B$144:$Q$175,COLUMN(L$1),FALSE)-P316-P118-P85)</f>
        <v>1729</v>
      </c>
      <c r="Q448" s="42">
        <f>MAX(0,VLOOKUP($B448,'93-07workbook'!$B$144:$Q$175,COLUMN(M$1),FALSE)-Q316-Q118-Q85)</f>
        <v>6733.2</v>
      </c>
      <c r="R448" s="42">
        <f>MAX(0,VLOOKUP($B448,'93-07workbook'!$B$144:$Q$175,COLUMN(N$1),FALSE)-R316-R118-R85)</f>
        <v>4477.5</v>
      </c>
      <c r="S448" s="42">
        <f>MAX(0,VLOOKUP($B448,'93-07workbook'!$B$144:$Q$175,COLUMN(O$1),FALSE)-S316-S118-S85)</f>
        <v>6435</v>
      </c>
      <c r="T448" s="42">
        <f>MAX(0,VLOOKUP($B448,'93-07workbook'!$B$144:$Q$175,COLUMN(P$1),FALSE)-T316-T118-T85)</f>
        <v>8078</v>
      </c>
      <c r="U448" s="42">
        <f>SUMIFS('08-21addition'!$H:$H,'08-21addition'!$A:$A,$B448,'08-21addition'!$B:$B,U$2)*10+VLOOKUP($B283,'project vs stock'!$A$72:$W$103,20,FALSE)/9</f>
        <v>4665.60444444444</v>
      </c>
      <c r="V448" s="42">
        <f>SUMIFS('08-21addition'!$H:$H,'08-21addition'!$A:$A,$B448,'08-21addition'!$B:$B,V$2)*10+VLOOKUP($B283,'project vs stock'!$A$72:$W$103,20,FALSE)/9</f>
        <v>4495.60444444444</v>
      </c>
      <c r="W448" s="42">
        <f>SUMIFS('08-21addition'!$H:$H,'08-21addition'!$A:$A,$B448,'08-21addition'!$B:$B,W$2)*10+VLOOKUP($B283,'project vs stock'!$A$72:$W$103,20,FALSE)/9</f>
        <v>4015.60444444444</v>
      </c>
      <c r="X448" s="42">
        <f>SUMIFS('08-21addition'!$H:$H,'08-21addition'!$A:$A,$B448,'08-21addition'!$B:$B,X$2)*10+VLOOKUP($B283,'project vs stock'!$A$72:$W$103,20,FALSE)/9</f>
        <v>3945.60444444444</v>
      </c>
      <c r="Y448" s="42">
        <f>SUMIFS('08-21addition'!$H:$H,'08-21addition'!$A:$A,$B448,'08-21addition'!$B:$B,Y$2)*10+VLOOKUP($B283,'project vs stock'!$A$72:$W$103,20,FALSE)/9</f>
        <v>6615.60444444444</v>
      </c>
      <c r="Z448" s="42">
        <f>SUMIFS('08-21addition'!$H:$H,'08-21addition'!$A:$A,$B448,'08-21addition'!$B:$B,Z$2)*10+VLOOKUP($B283,'project vs stock'!$A$72:$W$103,20,FALSE)/9</f>
        <v>2015.60444444444</v>
      </c>
      <c r="AA448" s="42">
        <f>SUMIFS('08-21addition'!$H:$H,'08-21addition'!$A:$A,$B448,'08-21addition'!$B:$B,AA$2)*10+VLOOKUP($B283,'project vs stock'!$A$72:$W$103,20,FALSE)/9</f>
        <v>1085.60444444444</v>
      </c>
      <c r="AB448" s="42">
        <f>SUMIFS('08-21addition'!$H:$H,'08-21addition'!$A:$A,$B448,'08-21addition'!$B:$B,AB$2)*10+VLOOKUP($B283,'project vs stock'!$A$72:$W$103,20,FALSE)/9</f>
        <v>6825.60444444444</v>
      </c>
      <c r="AC448" s="42">
        <f>SUMIFS('08-21addition'!$H:$H,'08-21addition'!$A:$A,$B448,'08-21addition'!$B:$B,AC$2)*10+VLOOKUP($B283,'project vs stock'!$A$72:$W$103,20,FALSE)/9</f>
        <v>1285.60444444444</v>
      </c>
      <c r="AD448" s="42">
        <f>SUMIFS('08-21addition'!$H:$H,'08-21addition'!$A:$A,$B448,'08-21addition'!$B:$B,AD$2)*10+VLOOKUP($B448,'project vs stock'!$A$72:$W$103,8,FALSE)/5</f>
        <v>3132.6</v>
      </c>
      <c r="AE448" s="42">
        <f>SUMIFS('08-21addition'!$H:$H,'08-21addition'!$A:$A,$B448,'08-21addition'!$B:$B,AE$2)*10+VLOOKUP($B448,'project vs stock'!$A$72:$W$103,8,FALSE)/5</f>
        <v>3988.6</v>
      </c>
      <c r="AF448" s="43">
        <f>SUMIFS('08-21addition'!$H:$H,'08-21addition'!$A:$A,$B448,'08-21addition'!$B:$B,AF$2)*10+VLOOKUP($B448,'project vs stock'!$A$72:$W$103,8,FALSE)/5</f>
        <v>2298.1</v>
      </c>
    </row>
    <row r="449" ht="13.85" spans="1:32">
      <c r="A449" s="27" t="s">
        <v>165</v>
      </c>
      <c r="B449" s="44" t="s">
        <v>114</v>
      </c>
      <c r="C449" s="45"/>
      <c r="D449" s="45"/>
      <c r="E449" s="45"/>
      <c r="F449" s="42">
        <f>MAX(0,VLOOKUP($B449,'93-07workbook'!$B$144:$Q$175,COLUMN(B$1),FALSE)-F317-F119-F86)</f>
        <v>500</v>
      </c>
      <c r="G449" s="42">
        <f>MAX(0,VLOOKUP($B449,'93-07workbook'!$B$144:$Q$175,COLUMN(C$1),FALSE)-G317-G119-G86)</f>
        <v>300</v>
      </c>
      <c r="H449" s="42">
        <f>MAX(0,VLOOKUP($B449,'93-07workbook'!$B$144:$Q$175,COLUMN(D$1),FALSE)-H317-H119-H86)</f>
        <v>110.5</v>
      </c>
      <c r="I449" s="42">
        <f>MAX(0,VLOOKUP($B449,'93-07workbook'!$B$144:$Q$175,COLUMN(E$1),FALSE)-I317-I119-I86)</f>
        <v>718</v>
      </c>
      <c r="J449" s="42">
        <f>MAX(0,VLOOKUP($B449,'93-07workbook'!$B$144:$Q$175,COLUMN(F$1),FALSE)-J317-J119-J86)</f>
        <v>1226.5</v>
      </c>
      <c r="K449" s="42">
        <f>MAX(0,VLOOKUP($B449,'93-07workbook'!$B$144:$Q$175,COLUMN(G$1),FALSE)-K317-K119-K86)</f>
        <v>1258.5</v>
      </c>
      <c r="L449" s="42">
        <f>MAX(0,VLOOKUP($B449,'93-07workbook'!$B$144:$Q$175,COLUMN(H$1),FALSE)-L317-L119-L86)</f>
        <v>1299</v>
      </c>
      <c r="M449" s="42">
        <f>MAX(0,VLOOKUP($B449,'93-07workbook'!$B$144:$Q$175,COLUMN(I$1),FALSE)-M317-M119-M86)</f>
        <v>168</v>
      </c>
      <c r="N449" s="42">
        <f>MAX(0,VLOOKUP($B449,'93-07workbook'!$B$144:$Q$175,COLUMN(J$1),FALSE)-N317-N119-N86)</f>
        <v>43.625</v>
      </c>
      <c r="O449" s="42">
        <f>MAX(0,VLOOKUP($B449,'93-07workbook'!$B$144:$Q$175,COLUMN(K$1),FALSE)-O317-O119-O86)</f>
        <v>59.1249999999995</v>
      </c>
      <c r="P449" s="42">
        <f>MAX(0,VLOOKUP($B449,'93-07workbook'!$B$144:$Q$175,COLUMN(L$1),FALSE)-P317-P119-P86)</f>
        <v>14.1250000000007</v>
      </c>
      <c r="Q449" s="42">
        <f>MAX(0,VLOOKUP($B449,'93-07workbook'!$B$144:$Q$175,COLUMN(M$1),FALSE)-Q317-Q119-Q86)</f>
        <v>1622.925</v>
      </c>
      <c r="R449" s="42">
        <f>MAX(0,VLOOKUP($B449,'93-07workbook'!$B$144:$Q$175,COLUMN(N$1),FALSE)-R317-R119-R86)</f>
        <v>6.125</v>
      </c>
      <c r="S449" s="42">
        <f>MAX(0,VLOOKUP($B449,'93-07workbook'!$B$144:$Q$175,COLUMN(O$1),FALSE)-S317-S119-S86)</f>
        <v>2293.525</v>
      </c>
      <c r="T449" s="42">
        <f>MAX(0,VLOOKUP($B449,'93-07workbook'!$B$144:$Q$175,COLUMN(P$1),FALSE)-T317-T119-T86)</f>
        <v>1848.625</v>
      </c>
      <c r="U449" s="42">
        <f>SUMIFS('08-21addition'!$H:$H,'08-21addition'!$A:$A,$B449,'08-21addition'!$B:$B,U$2)*10+VLOOKUP($B284,'project vs stock'!$A$72:$W$103,20,FALSE)/9</f>
        <v>1389.42222222222</v>
      </c>
      <c r="V449" s="42">
        <f>SUMIFS('08-21addition'!$H:$H,'08-21addition'!$A:$A,$B449,'08-21addition'!$B:$B,V$2)*10+VLOOKUP($B284,'project vs stock'!$A$72:$W$103,20,FALSE)/9</f>
        <v>1720.92222222222</v>
      </c>
      <c r="W449" s="42">
        <f>SUMIFS('08-21addition'!$H:$H,'08-21addition'!$A:$A,$B449,'08-21addition'!$B:$B,W$2)*10+VLOOKUP($B284,'project vs stock'!$A$72:$W$103,20,FALSE)/9</f>
        <v>2135.42222222222</v>
      </c>
      <c r="X449" s="42">
        <f>SUMIFS('08-21addition'!$H:$H,'08-21addition'!$A:$A,$B449,'08-21addition'!$B:$B,X$2)*10+VLOOKUP($B284,'project vs stock'!$A$72:$W$103,20,FALSE)/9</f>
        <v>1000.42222222222</v>
      </c>
      <c r="Y449" s="42">
        <f>SUMIFS('08-21addition'!$H:$H,'08-21addition'!$A:$A,$B449,'08-21addition'!$B:$B,Y$2)*10+VLOOKUP($B284,'project vs stock'!$A$72:$W$103,20,FALSE)/9</f>
        <v>2219.42222222222</v>
      </c>
      <c r="Z449" s="42">
        <f>SUMIFS('08-21addition'!$H:$H,'08-21addition'!$A:$A,$B449,'08-21addition'!$B:$B,Z$2)*10+VLOOKUP($B284,'project vs stock'!$A$72:$W$103,20,FALSE)/9</f>
        <v>1189.42222222222</v>
      </c>
      <c r="AA449" s="42">
        <f>SUMIFS('08-21addition'!$H:$H,'08-21addition'!$A:$A,$B449,'08-21addition'!$B:$B,AA$2)*10+VLOOKUP($B284,'project vs stock'!$A$72:$W$103,20,FALSE)/9</f>
        <v>2399.42222222222</v>
      </c>
      <c r="AB449" s="42">
        <f>SUMIFS('08-21addition'!$H:$H,'08-21addition'!$A:$A,$B449,'08-21addition'!$B:$B,AB$2)*10+VLOOKUP($B284,'project vs stock'!$A$72:$W$103,20,FALSE)/9</f>
        <v>569.422222222222</v>
      </c>
      <c r="AC449" s="42">
        <f>SUMIFS('08-21addition'!$H:$H,'08-21addition'!$A:$A,$B449,'08-21addition'!$B:$B,AC$2)*10+VLOOKUP($B284,'project vs stock'!$A$72:$W$103,20,FALSE)/9</f>
        <v>1269.42222222222</v>
      </c>
      <c r="AD449" s="42">
        <f>SUMIFS('08-21addition'!$H:$H,'08-21addition'!$A:$A,$B449,'08-21addition'!$B:$B,AD$2)*10+VLOOKUP($B449,'project vs stock'!$A$72:$W$103,8,FALSE)/5</f>
        <v>977.2</v>
      </c>
      <c r="AE449" s="42">
        <f>SUMIFS('08-21addition'!$H:$H,'08-21addition'!$A:$A,$B449,'08-21addition'!$B:$B,AE$2)*10+VLOOKUP($B449,'project vs stock'!$A$72:$W$103,8,FALSE)/5</f>
        <v>1284.2</v>
      </c>
      <c r="AF449" s="43">
        <f>SUMIFS('08-21addition'!$H:$H,'08-21addition'!$A:$A,$B449,'08-21addition'!$B:$B,AF$2)*10+VLOOKUP($B449,'project vs stock'!$A$72:$W$103,8,FALSE)/5</f>
        <v>3257.2</v>
      </c>
    </row>
    <row r="450" ht="13.85" spans="1:32">
      <c r="A450" s="27" t="s">
        <v>165</v>
      </c>
      <c r="B450" s="44" t="s">
        <v>116</v>
      </c>
      <c r="C450" s="45"/>
      <c r="D450" s="45"/>
      <c r="E450" s="45"/>
      <c r="F450" s="42">
        <f>MAX(0,VLOOKUP($B450,'93-07workbook'!$B$144:$Q$175,COLUMN(B$1),FALSE)-F318-F120-F87)</f>
        <v>52.5</v>
      </c>
      <c r="G450" s="42">
        <f>MAX(0,VLOOKUP($B450,'93-07workbook'!$B$144:$Q$175,COLUMN(C$1),FALSE)-G318-G120-G87)</f>
        <v>70.6</v>
      </c>
      <c r="H450" s="42">
        <f>MAX(0,VLOOKUP($B450,'93-07workbook'!$B$144:$Q$175,COLUMN(D$1),FALSE)-H318-H120-H87)</f>
        <v>111.9</v>
      </c>
      <c r="I450" s="42">
        <f>MAX(0,VLOOKUP($B450,'93-07workbook'!$B$144:$Q$175,COLUMN(E$1),FALSE)-I318-I120-I87)</f>
        <v>636</v>
      </c>
      <c r="J450" s="42">
        <f>MAX(0,VLOOKUP($B450,'93-07workbook'!$B$144:$Q$175,COLUMN(F$1),FALSE)-J318-J120-J87)</f>
        <v>23</v>
      </c>
      <c r="K450" s="42">
        <f>MAX(0,VLOOKUP($B450,'93-07workbook'!$B$144:$Q$175,COLUMN(G$1),FALSE)-K318-K120-K87)</f>
        <v>729.3</v>
      </c>
      <c r="L450" s="42">
        <f>MAX(0,VLOOKUP($B450,'93-07workbook'!$B$144:$Q$175,COLUMN(H$1),FALSE)-L318-L120-L87)</f>
        <v>0</v>
      </c>
      <c r="M450" s="42">
        <f>MAX(0,VLOOKUP($B450,'93-07workbook'!$B$144:$Q$175,COLUMN(I$1),FALSE)-M318-M120-M87)</f>
        <v>0</v>
      </c>
      <c r="N450" s="42">
        <f>MAX(0,VLOOKUP($B450,'93-07workbook'!$B$144:$Q$175,COLUMN(J$1),FALSE)-N318-N120-N87)</f>
        <v>649.875</v>
      </c>
      <c r="O450" s="42">
        <f>MAX(0,VLOOKUP($B450,'93-07workbook'!$B$144:$Q$175,COLUMN(K$1),FALSE)-O318-O120-O87)</f>
        <v>34.075</v>
      </c>
      <c r="P450" s="42">
        <f>MAX(0,VLOOKUP($B450,'93-07workbook'!$B$144:$Q$175,COLUMN(L$1),FALSE)-P318-P120-P87)</f>
        <v>1455.175</v>
      </c>
      <c r="Q450" s="42">
        <f>MAX(0,VLOOKUP($B450,'93-07workbook'!$B$144:$Q$175,COLUMN(M$1),FALSE)-Q318-Q120-Q87)</f>
        <v>316.875000000001</v>
      </c>
      <c r="R450" s="42">
        <f>MAX(0,VLOOKUP($B450,'93-07workbook'!$B$144:$Q$175,COLUMN(N$1),FALSE)-R318-R120-R87)</f>
        <v>404.575</v>
      </c>
      <c r="S450" s="42">
        <f>MAX(0,VLOOKUP($B450,'93-07workbook'!$B$144:$Q$175,COLUMN(O$1),FALSE)-S318-S120-S87)</f>
        <v>3528.075</v>
      </c>
      <c r="T450" s="42">
        <f>MAX(0,VLOOKUP($B450,'93-07workbook'!$B$144:$Q$175,COLUMN(P$1),FALSE)-T318-T120-T87)</f>
        <v>3127.575</v>
      </c>
      <c r="U450" s="42">
        <f>SUMIFS('08-21addition'!$H:$H,'08-21addition'!$A:$A,$B450,'08-21addition'!$B:$B,U$2)*10+VLOOKUP($B285,'project vs stock'!$A$72:$W$103,20,FALSE)/9</f>
        <v>1611.36666666667</v>
      </c>
      <c r="V450" s="42">
        <f>SUMIFS('08-21addition'!$H:$H,'08-21addition'!$A:$A,$B450,'08-21addition'!$B:$B,V$2)*10+VLOOKUP($B285,'project vs stock'!$A$72:$W$103,20,FALSE)/9</f>
        <v>1683.86666666667</v>
      </c>
      <c r="W450" s="42">
        <f>SUMIFS('08-21addition'!$H:$H,'08-21addition'!$A:$A,$B450,'08-21addition'!$B:$B,W$2)*10+VLOOKUP($B285,'project vs stock'!$A$72:$W$103,20,FALSE)/9</f>
        <v>351.366666666666</v>
      </c>
      <c r="X450" s="42">
        <f>SUMIFS('08-21addition'!$H:$H,'08-21addition'!$A:$A,$B450,'08-21addition'!$B:$B,X$2)*10+VLOOKUP($B285,'project vs stock'!$A$72:$W$103,20,FALSE)/9</f>
        <v>2238.36666666667</v>
      </c>
      <c r="Y450" s="42">
        <f>SUMIFS('08-21addition'!$H:$H,'08-21addition'!$A:$A,$B450,'08-21addition'!$B:$B,Y$2)*10+VLOOKUP($B285,'project vs stock'!$A$72:$W$103,20,FALSE)/9</f>
        <v>1011.36666666667</v>
      </c>
      <c r="Z450" s="42">
        <f>SUMIFS('08-21addition'!$H:$H,'08-21addition'!$A:$A,$B450,'08-21addition'!$B:$B,Z$2)*10+VLOOKUP($B285,'project vs stock'!$A$72:$W$103,20,FALSE)/9</f>
        <v>351.366666666666</v>
      </c>
      <c r="AA450" s="42">
        <f>SUMIFS('08-21addition'!$H:$H,'08-21addition'!$A:$A,$B450,'08-21addition'!$B:$B,AA$2)*10+VLOOKUP($B285,'project vs stock'!$A$72:$W$103,20,FALSE)/9</f>
        <v>995.666666666667</v>
      </c>
      <c r="AB450" s="42">
        <f>SUMIFS('08-21addition'!$H:$H,'08-21addition'!$A:$A,$B450,'08-21addition'!$B:$B,AB$2)*10+VLOOKUP($B285,'project vs stock'!$A$72:$W$103,20,FALSE)/9</f>
        <v>1771.36666666667</v>
      </c>
      <c r="AC450" s="42">
        <f>SUMIFS('08-21addition'!$H:$H,'08-21addition'!$A:$A,$B450,'08-21addition'!$B:$B,AC$2)*10+VLOOKUP($B285,'project vs stock'!$A$72:$W$103,20,FALSE)/9</f>
        <v>366.366666666666</v>
      </c>
      <c r="AD450" s="42">
        <f>SUMIFS('08-21addition'!$H:$H,'08-21addition'!$A:$A,$B450,'08-21addition'!$B:$B,AD$2)*10+VLOOKUP($B450,'project vs stock'!$A$72:$W$103,8,FALSE)/5</f>
        <v>9.19999999999999</v>
      </c>
      <c r="AE450" s="42">
        <f>SUMIFS('08-21addition'!$H:$H,'08-21addition'!$A:$A,$B450,'08-21addition'!$B:$B,AE$2)*10+VLOOKUP($B450,'project vs stock'!$A$72:$W$103,8,FALSE)/5</f>
        <v>23.7</v>
      </c>
      <c r="AF450" s="43">
        <f>SUMIFS('08-21addition'!$H:$H,'08-21addition'!$A:$A,$B450,'08-21addition'!$B:$B,AF$2)*10+VLOOKUP($B450,'project vs stock'!$A$72:$W$103,8,FALSE)/5</f>
        <v>35.7</v>
      </c>
    </row>
    <row r="451" ht="13.85" spans="1:32">
      <c r="A451" s="27" t="s">
        <v>165</v>
      </c>
      <c r="B451" s="44" t="s">
        <v>118</v>
      </c>
      <c r="C451" s="45"/>
      <c r="D451" s="45"/>
      <c r="E451" s="45"/>
      <c r="F451" s="42">
        <f>MAX(0,VLOOKUP($B451,'93-07workbook'!$B$144:$Q$175,COLUMN(B$1),FALSE)-F319-F121-F88)</f>
        <v>2487.5</v>
      </c>
      <c r="G451" s="42">
        <f>MAX(0,VLOOKUP($B451,'93-07workbook'!$B$144:$Q$175,COLUMN(C$1),FALSE)-G319-G121-G88)</f>
        <v>2681.3</v>
      </c>
      <c r="H451" s="42">
        <f>MAX(0,VLOOKUP($B451,'93-07workbook'!$B$144:$Q$175,COLUMN(D$1),FALSE)-H319-H121-H88)</f>
        <v>2697.5</v>
      </c>
      <c r="I451" s="42">
        <f>MAX(0,VLOOKUP($B451,'93-07workbook'!$B$144:$Q$175,COLUMN(E$1),FALSE)-I319-I121-I88)</f>
        <v>3196</v>
      </c>
      <c r="J451" s="42">
        <f>MAX(0,VLOOKUP($B451,'93-07workbook'!$B$144:$Q$175,COLUMN(F$1),FALSE)-J319-J121-J88)</f>
        <v>1222.3</v>
      </c>
      <c r="K451" s="42">
        <f>MAX(0,VLOOKUP($B451,'93-07workbook'!$B$144:$Q$175,COLUMN(G$1),FALSE)-K319-K121-K88)</f>
        <v>162.8</v>
      </c>
      <c r="L451" s="42">
        <f>MAX(0,VLOOKUP($B451,'93-07workbook'!$B$144:$Q$175,COLUMN(H$1),FALSE)-L319-L121-L88)</f>
        <v>245.1</v>
      </c>
      <c r="M451" s="42">
        <f>MAX(0,VLOOKUP($B451,'93-07workbook'!$B$144:$Q$175,COLUMN(I$1),FALSE)-M319-M121-M88)</f>
        <v>1311.1</v>
      </c>
      <c r="N451" s="42">
        <f>MAX(0,VLOOKUP($B451,'93-07workbook'!$B$144:$Q$175,COLUMN(J$1),FALSE)-N319-N121-N88)</f>
        <v>1130.65</v>
      </c>
      <c r="O451" s="42">
        <f>MAX(0,VLOOKUP($B451,'93-07workbook'!$B$144:$Q$175,COLUMN(K$1),FALSE)-O319-O121-O88)</f>
        <v>1209.15</v>
      </c>
      <c r="P451" s="42">
        <f>MAX(0,VLOOKUP($B451,'93-07workbook'!$B$144:$Q$175,COLUMN(L$1),FALSE)-P319-P121-P88)</f>
        <v>1570.35</v>
      </c>
      <c r="Q451" s="42">
        <f>MAX(0,VLOOKUP($B451,'93-07workbook'!$B$144:$Q$175,COLUMN(M$1),FALSE)-Q319-Q121-Q88)</f>
        <v>2921.25</v>
      </c>
      <c r="R451" s="42">
        <f>MAX(0,VLOOKUP($B451,'93-07workbook'!$B$144:$Q$175,COLUMN(N$1),FALSE)-R319-R121-R88)</f>
        <v>3865.85</v>
      </c>
      <c r="S451" s="42">
        <f>MAX(0,VLOOKUP($B451,'93-07workbook'!$B$144:$Q$175,COLUMN(O$1),FALSE)-S319-S121-S88)</f>
        <v>3874.75</v>
      </c>
      <c r="T451" s="42">
        <f>MAX(0,VLOOKUP($B451,'93-07workbook'!$B$144:$Q$175,COLUMN(P$1),FALSE)-T319-T121-T88)</f>
        <v>4736.75</v>
      </c>
      <c r="U451" s="42">
        <f>SUMIFS('08-21addition'!$H:$H,'08-21addition'!$A:$A,$B451,'08-21addition'!$B:$B,U$2)*10+VLOOKUP($B286,'project vs stock'!$A$72:$W$103,20,FALSE)/9</f>
        <v>3905.66155555556</v>
      </c>
      <c r="V451" s="42">
        <f>SUMIFS('08-21addition'!$H:$H,'08-21addition'!$A:$A,$B451,'08-21addition'!$B:$B,V$2)*10+VLOOKUP($B286,'project vs stock'!$A$72:$W$103,20,FALSE)/9</f>
        <v>7917.66155555556</v>
      </c>
      <c r="W451" s="42">
        <f>SUMIFS('08-21addition'!$H:$H,'08-21addition'!$A:$A,$B451,'08-21addition'!$B:$B,W$2)*10+VLOOKUP($B286,'project vs stock'!$A$72:$W$103,20,FALSE)/9</f>
        <v>4275.66155555556</v>
      </c>
      <c r="X451" s="42">
        <f>SUMIFS('08-21addition'!$H:$H,'08-21addition'!$A:$A,$B451,'08-21addition'!$B:$B,X$2)*10+VLOOKUP($B286,'project vs stock'!$A$72:$W$103,20,FALSE)/9</f>
        <v>6661.66155555556</v>
      </c>
      <c r="Y451" s="42">
        <f>SUMIFS('08-21addition'!$H:$H,'08-21addition'!$A:$A,$B451,'08-21addition'!$B:$B,Y$2)*10+VLOOKUP($B286,'project vs stock'!$A$72:$W$103,20,FALSE)/9</f>
        <v>5861.66155555556</v>
      </c>
      <c r="Z451" s="42">
        <f>SUMIFS('08-21addition'!$H:$H,'08-21addition'!$A:$A,$B451,'08-21addition'!$B:$B,Z$2)*10+VLOOKUP($B286,'project vs stock'!$A$72:$W$103,20,FALSE)/9</f>
        <v>2865.66155555556</v>
      </c>
      <c r="AA451" s="42">
        <f>SUMIFS('08-21addition'!$H:$H,'08-21addition'!$A:$A,$B451,'08-21addition'!$B:$B,AA$2)*10+VLOOKUP($B286,'project vs stock'!$A$72:$W$103,20,FALSE)/9</f>
        <v>905.661555555555</v>
      </c>
      <c r="AB451" s="42">
        <f>SUMIFS('08-21addition'!$H:$H,'08-21addition'!$A:$A,$B451,'08-21addition'!$B:$B,AB$2)*10+VLOOKUP($B286,'project vs stock'!$A$72:$W$103,20,FALSE)/9</f>
        <v>5055.66155555556</v>
      </c>
      <c r="AC451" s="42">
        <f>SUMIFS('08-21addition'!$H:$H,'08-21addition'!$A:$A,$B451,'08-21addition'!$B:$B,AC$2)*10+VLOOKUP($B286,'project vs stock'!$A$72:$W$103,20,FALSE)/9</f>
        <v>1505.66155555556</v>
      </c>
      <c r="AD451" s="42">
        <f>SUMIFS('08-21addition'!$H:$H,'08-21addition'!$A:$A,$B451,'08-21addition'!$B:$B,AD$2)*10+VLOOKUP($B451,'project vs stock'!$A$72:$W$103,8,FALSE)/5</f>
        <v>700</v>
      </c>
      <c r="AE451" s="42">
        <f>SUMIFS('08-21addition'!$H:$H,'08-21addition'!$A:$A,$B451,'08-21addition'!$B:$B,AE$2)*10+VLOOKUP($B451,'project vs stock'!$A$72:$W$103,8,FALSE)/5</f>
        <v>1050</v>
      </c>
      <c r="AF451" s="43">
        <f>SUMIFS('08-21addition'!$H:$H,'08-21addition'!$A:$A,$B451,'08-21addition'!$B:$B,AF$2)*10+VLOOKUP($B451,'project vs stock'!$A$72:$W$103,8,FALSE)/5</f>
        <v>3050</v>
      </c>
    </row>
    <row r="452" ht="13.85" spans="1:32">
      <c r="A452" s="27" t="s">
        <v>165</v>
      </c>
      <c r="B452" s="44" t="s">
        <v>120</v>
      </c>
      <c r="C452" s="45"/>
      <c r="D452" s="45"/>
      <c r="E452" s="45"/>
      <c r="F452" s="42">
        <f>MAX(0,VLOOKUP($B452,'93-07workbook'!$B$144:$Q$175,COLUMN(B$1),FALSE)-F320-F122-F89)</f>
        <v>28</v>
      </c>
      <c r="G452" s="42">
        <f>MAX(0,VLOOKUP($B452,'93-07workbook'!$B$144:$Q$175,COLUMN(C$1),FALSE)-G320-G122-G89)</f>
        <v>292</v>
      </c>
      <c r="H452" s="42">
        <f>MAX(0,VLOOKUP($B452,'93-07workbook'!$B$144:$Q$175,COLUMN(D$1),FALSE)-H320-H122-H89)</f>
        <v>208.4</v>
      </c>
      <c r="I452" s="42">
        <f>MAX(0,VLOOKUP($B452,'93-07workbook'!$B$144:$Q$175,COLUMN(E$1),FALSE)-I320-I122-I89)</f>
        <v>47.2</v>
      </c>
      <c r="J452" s="42">
        <f>MAX(0,VLOOKUP($B452,'93-07workbook'!$B$144:$Q$175,COLUMN(F$1),FALSE)-J320-J122-J89)</f>
        <v>69.4</v>
      </c>
      <c r="K452" s="42">
        <f>MAX(0,VLOOKUP($B452,'93-07workbook'!$B$144:$Q$175,COLUMN(G$1),FALSE)-K320-K122-K89)</f>
        <v>41.8000000000001</v>
      </c>
      <c r="L452" s="42">
        <f>MAX(0,VLOOKUP($B452,'93-07workbook'!$B$144:$Q$175,COLUMN(H$1),FALSE)-L320-L122-L89)</f>
        <v>0</v>
      </c>
      <c r="M452" s="42">
        <f>MAX(0,VLOOKUP($B452,'93-07workbook'!$B$144:$Q$175,COLUMN(I$1),FALSE)-M320-M122-M89)</f>
        <v>932.5</v>
      </c>
      <c r="N452" s="42">
        <f>MAX(0,VLOOKUP($B452,'93-07workbook'!$B$144:$Q$175,COLUMN(J$1),FALSE)-N320-N122-N89)</f>
        <v>0</v>
      </c>
      <c r="O452" s="42">
        <f>MAX(0,VLOOKUP($B452,'93-07workbook'!$B$144:$Q$175,COLUMN(K$1),FALSE)-O320-O122-O89)</f>
        <v>58.1</v>
      </c>
      <c r="P452" s="42">
        <f>MAX(0,VLOOKUP($B452,'93-07workbook'!$B$144:$Q$175,COLUMN(L$1),FALSE)-P320-P122-P89)</f>
        <v>33.8999999999999</v>
      </c>
      <c r="Q452" s="42">
        <f>MAX(0,VLOOKUP($B452,'93-07workbook'!$B$144:$Q$175,COLUMN(M$1),FALSE)-Q320-Q122-Q89)</f>
        <v>1188</v>
      </c>
      <c r="R452" s="42">
        <f>MAX(0,VLOOKUP($B452,'93-07workbook'!$B$144:$Q$175,COLUMN(N$1),FALSE)-R320-R122-R89)</f>
        <v>552.9</v>
      </c>
      <c r="S452" s="42">
        <f>MAX(0,VLOOKUP($B452,'93-07workbook'!$B$144:$Q$175,COLUMN(O$1),FALSE)-S320-S122-S89)</f>
        <v>535</v>
      </c>
      <c r="T452" s="42">
        <f>MAX(0,VLOOKUP($B452,'93-07workbook'!$B$144:$Q$175,COLUMN(P$1),FALSE)-T320-T122-T89)</f>
        <v>4434.37</v>
      </c>
      <c r="U452" s="42">
        <f>SUMIFS('08-21addition'!$H:$H,'08-21addition'!$A:$A,$B452,'08-21addition'!$B:$B,U$2)*10+VLOOKUP($B287,'project vs stock'!$A$72:$W$103,20,FALSE)/9</f>
        <v>957.375555555555</v>
      </c>
      <c r="V452" s="42">
        <f>SUMIFS('08-21addition'!$H:$H,'08-21addition'!$A:$A,$B452,'08-21addition'!$B:$B,V$2)*10+VLOOKUP($B287,'project vs stock'!$A$72:$W$103,20,FALSE)/9</f>
        <v>366.375555555555</v>
      </c>
      <c r="W452" s="42">
        <f>SUMIFS('08-21addition'!$H:$H,'08-21addition'!$A:$A,$B452,'08-21addition'!$B:$B,W$2)*10+VLOOKUP($B287,'project vs stock'!$A$72:$W$103,20,FALSE)/9</f>
        <v>357.375555555555</v>
      </c>
      <c r="X452" s="42">
        <f>SUMIFS('08-21addition'!$H:$H,'08-21addition'!$A:$A,$B452,'08-21addition'!$B:$B,X$2)*10+VLOOKUP($B287,'project vs stock'!$A$72:$W$103,20,FALSE)/9</f>
        <v>1687.37555555556</v>
      </c>
      <c r="Y452" s="42">
        <f>SUMIFS('08-21addition'!$H:$H,'08-21addition'!$A:$A,$B452,'08-21addition'!$B:$B,Y$2)*10+VLOOKUP($B287,'project vs stock'!$A$72:$W$103,20,FALSE)/9</f>
        <v>3017.37555555556</v>
      </c>
      <c r="Z452" s="42">
        <f>SUMIFS('08-21addition'!$H:$H,'08-21addition'!$A:$A,$B452,'08-21addition'!$B:$B,Z$2)*10+VLOOKUP($B287,'project vs stock'!$A$72:$W$103,20,FALSE)/9</f>
        <v>357.375555555555</v>
      </c>
      <c r="AA452" s="42">
        <f>SUMIFS('08-21addition'!$H:$H,'08-21addition'!$A:$A,$B452,'08-21addition'!$B:$B,AA$2)*10+VLOOKUP($B287,'project vs stock'!$A$72:$W$103,20,FALSE)/9</f>
        <v>357.375555555555</v>
      </c>
      <c r="AB452" s="42">
        <f>SUMIFS('08-21addition'!$H:$H,'08-21addition'!$A:$A,$B452,'08-21addition'!$B:$B,AB$2)*10+VLOOKUP($B287,'project vs stock'!$A$72:$W$103,20,FALSE)/9</f>
        <v>357.375555555555</v>
      </c>
      <c r="AC452" s="42">
        <f>SUMIFS('08-21addition'!$H:$H,'08-21addition'!$A:$A,$B452,'08-21addition'!$B:$B,AC$2)*10+VLOOKUP($B287,'project vs stock'!$A$72:$W$103,20,FALSE)/9</f>
        <v>4377.37555555556</v>
      </c>
      <c r="AD452" s="42">
        <f>SUMIFS('08-21addition'!$H:$H,'08-21addition'!$A:$A,$B452,'08-21addition'!$B:$B,AD$2)*10+VLOOKUP($B452,'project vs stock'!$A$72:$W$103,8,FALSE)/5</f>
        <v>441.8</v>
      </c>
      <c r="AE452" s="42">
        <f>SUMIFS('08-21addition'!$H:$H,'08-21addition'!$A:$A,$B452,'08-21addition'!$B:$B,AE$2)*10+VLOOKUP($B452,'project vs stock'!$A$72:$W$103,8,FALSE)/5</f>
        <v>1491.8</v>
      </c>
      <c r="AF452" s="43">
        <f>SUMIFS('08-21addition'!$H:$H,'08-21addition'!$A:$A,$B452,'08-21addition'!$B:$B,AF$2)*10+VLOOKUP($B452,'project vs stock'!$A$72:$W$103,8,FALSE)/5</f>
        <v>441.8</v>
      </c>
    </row>
    <row r="453" ht="13.85" spans="1:32">
      <c r="A453" s="27" t="s">
        <v>165</v>
      </c>
      <c r="B453" s="44" t="s">
        <v>122</v>
      </c>
      <c r="C453" s="45"/>
      <c r="D453" s="45"/>
      <c r="E453" s="45"/>
      <c r="F453" s="42">
        <f>MAX(0,VLOOKUP($B453,'93-07workbook'!$B$144:$Q$175,COLUMN(B$1),FALSE)-F321-F123-F90)</f>
        <v>0</v>
      </c>
      <c r="G453" s="42">
        <f>MAX(0,VLOOKUP($B453,'93-07workbook'!$B$144:$Q$175,COLUMN(C$1),FALSE)-G321-G123-G90)</f>
        <v>46.5000000000001</v>
      </c>
      <c r="H453" s="42">
        <f>MAX(0,VLOOKUP($B453,'93-07workbook'!$B$144:$Q$175,COLUMN(D$1),FALSE)-H321-H123-H90)</f>
        <v>427.4</v>
      </c>
      <c r="I453" s="42">
        <f>MAX(0,VLOOKUP($B453,'93-07workbook'!$B$144:$Q$175,COLUMN(E$1),FALSE)-I321-I123-I90)</f>
        <v>40</v>
      </c>
      <c r="J453" s="42">
        <f>MAX(0,VLOOKUP($B453,'93-07workbook'!$B$144:$Q$175,COLUMN(F$1),FALSE)-J321-J123-J90)</f>
        <v>1.99999999999989</v>
      </c>
      <c r="K453" s="42">
        <f>MAX(0,VLOOKUP($B453,'93-07workbook'!$B$144:$Q$175,COLUMN(G$1),FALSE)-K321-K123-K90)</f>
        <v>0</v>
      </c>
      <c r="L453" s="42">
        <f>MAX(0,VLOOKUP($B453,'93-07workbook'!$B$144:$Q$175,COLUMN(H$1),FALSE)-L321-L123-L90)</f>
        <v>125.1</v>
      </c>
      <c r="M453" s="42">
        <f>MAX(0,VLOOKUP($B453,'93-07workbook'!$B$144:$Q$175,COLUMN(I$1),FALSE)-M321-M123-M90)</f>
        <v>250</v>
      </c>
      <c r="N453" s="42">
        <f>MAX(0,VLOOKUP($B453,'93-07workbook'!$B$144:$Q$175,COLUMN(J$1),FALSE)-N321-N123-N90)</f>
        <v>125</v>
      </c>
      <c r="O453" s="42">
        <f>MAX(0,VLOOKUP($B453,'93-07workbook'!$B$144:$Q$175,COLUMN(K$1),FALSE)-O321-O123-O90)</f>
        <v>0</v>
      </c>
      <c r="P453" s="42">
        <f>MAX(0,VLOOKUP($B453,'93-07workbook'!$B$144:$Q$175,COLUMN(L$1),FALSE)-P321-P123-P90)</f>
        <v>0</v>
      </c>
      <c r="Q453" s="42">
        <f>MAX(0,VLOOKUP($B453,'93-07workbook'!$B$144:$Q$175,COLUMN(M$1),FALSE)-Q321-Q123-Q90)</f>
        <v>400</v>
      </c>
      <c r="R453" s="42">
        <f>MAX(0,VLOOKUP($B453,'93-07workbook'!$B$144:$Q$175,COLUMN(N$1),FALSE)-R321-R123-R90)</f>
        <v>0</v>
      </c>
      <c r="S453" s="42">
        <f>MAX(0,VLOOKUP($B453,'93-07workbook'!$B$144:$Q$175,COLUMN(O$1),FALSE)-S321-S123-S90)</f>
        <v>375.4</v>
      </c>
      <c r="T453" s="42">
        <f>MAX(0,VLOOKUP($B453,'93-07workbook'!$B$144:$Q$175,COLUMN(P$1),FALSE)-T321-T123-T90)</f>
        <v>418</v>
      </c>
      <c r="U453" s="42">
        <f>SUMIFS('08-21addition'!$H:$H,'08-21addition'!$A:$A,$B453,'08-21addition'!$B:$B,U$2)*10+VLOOKUP($B288,'project vs stock'!$A$72:$W$103,20,FALSE)/9</f>
        <v>39.5</v>
      </c>
      <c r="V453" s="42">
        <f>SUMIFS('08-21addition'!$H:$H,'08-21addition'!$A:$A,$B453,'08-21addition'!$B:$B,V$2)*10+VLOOKUP($B288,'project vs stock'!$A$72:$W$103,20,FALSE)/9</f>
        <v>739.5</v>
      </c>
      <c r="W453" s="42">
        <f>SUMIFS('08-21addition'!$H:$H,'08-21addition'!$A:$A,$B453,'08-21addition'!$B:$B,W$2)*10+VLOOKUP($B288,'project vs stock'!$A$72:$W$103,20,FALSE)/9</f>
        <v>39.5</v>
      </c>
      <c r="X453" s="42">
        <f>SUMIFS('08-21addition'!$H:$H,'08-21addition'!$A:$A,$B453,'08-21addition'!$B:$B,X$2)*10+VLOOKUP($B288,'project vs stock'!$A$72:$W$103,20,FALSE)/9</f>
        <v>39.5</v>
      </c>
      <c r="Y453" s="42">
        <f>SUMIFS('08-21addition'!$H:$H,'08-21addition'!$A:$A,$B453,'08-21addition'!$B:$B,Y$2)*10+VLOOKUP($B288,'project vs stock'!$A$72:$W$103,20,FALSE)/9</f>
        <v>739.5</v>
      </c>
      <c r="Z453" s="42">
        <f>SUMIFS('08-21addition'!$H:$H,'08-21addition'!$A:$A,$B453,'08-21addition'!$B:$B,Z$2)*10+VLOOKUP($B288,'project vs stock'!$A$72:$W$103,20,FALSE)/9</f>
        <v>39.5</v>
      </c>
      <c r="AA453" s="42">
        <f>SUMIFS('08-21addition'!$H:$H,'08-21addition'!$A:$A,$B453,'08-21addition'!$B:$B,AA$2)*10+VLOOKUP($B288,'project vs stock'!$A$72:$W$103,20,FALSE)/9</f>
        <v>39.5</v>
      </c>
      <c r="AB453" s="42">
        <f>SUMIFS('08-21addition'!$H:$H,'08-21addition'!$A:$A,$B453,'08-21addition'!$B:$B,AB$2)*10+VLOOKUP($B288,'project vs stock'!$A$72:$W$103,20,FALSE)/9</f>
        <v>739.5</v>
      </c>
      <c r="AC453" s="42">
        <f>SUMIFS('08-21addition'!$H:$H,'08-21addition'!$A:$A,$B453,'08-21addition'!$B:$B,AC$2)*10+VLOOKUP($B288,'project vs stock'!$A$72:$W$103,20,FALSE)/9</f>
        <v>39.5</v>
      </c>
      <c r="AD453" s="42">
        <f>SUMIFS('08-21addition'!$H:$H,'08-21addition'!$A:$A,$B453,'08-21addition'!$B:$B,AD$2)*10+VLOOKUP($B453,'project vs stock'!$A$72:$W$103,8,FALSE)/5</f>
        <v>0</v>
      </c>
      <c r="AE453" s="42">
        <f>SUMIFS('08-21addition'!$H:$H,'08-21addition'!$A:$A,$B453,'08-21addition'!$B:$B,AE$2)*10+VLOOKUP($B453,'project vs stock'!$A$72:$W$103,8,FALSE)/5</f>
        <v>0</v>
      </c>
      <c r="AF453" s="43">
        <f>SUMIFS('08-21addition'!$H:$H,'08-21addition'!$A:$A,$B453,'08-21addition'!$B:$B,AF$2)*10+VLOOKUP($B453,'project vs stock'!$A$72:$W$103,8,FALSE)/5</f>
        <v>0</v>
      </c>
    </row>
    <row r="454" ht="13.85" spans="1:32">
      <c r="A454" s="27" t="s">
        <v>165</v>
      </c>
      <c r="B454" s="44" t="s">
        <v>124</v>
      </c>
      <c r="C454" s="45"/>
      <c r="D454" s="45"/>
      <c r="E454" s="45"/>
      <c r="F454" s="42">
        <f>MAX(0,VLOOKUP($B454,'93-07workbook'!$B$144:$Q$175,COLUMN(B$1),FALSE)-F322-F124-F91)</f>
        <v>0</v>
      </c>
      <c r="G454" s="42">
        <f>MAX(0,VLOOKUP($B454,'93-07workbook'!$B$144:$Q$175,COLUMN(C$1),FALSE)-G322-G124-G91)</f>
        <v>0</v>
      </c>
      <c r="H454" s="42">
        <f>MAX(0,VLOOKUP($B454,'93-07workbook'!$B$144:$Q$175,COLUMN(D$1),FALSE)-H322-H124-H91)</f>
        <v>0</v>
      </c>
      <c r="I454" s="42">
        <f>MAX(0,VLOOKUP($B454,'93-07workbook'!$B$144:$Q$175,COLUMN(E$1),FALSE)-I322-I124-I91)</f>
        <v>0</v>
      </c>
      <c r="J454" s="42">
        <f>MAX(0,VLOOKUP($B454,'93-07workbook'!$B$144:$Q$175,COLUMN(F$1),FALSE)-J322-J124-J91)</f>
        <v>2273.3</v>
      </c>
      <c r="K454" s="42">
        <f>MAX(0,VLOOKUP($B454,'93-07workbook'!$B$144:$Q$175,COLUMN(G$1),FALSE)-K322-K124-K91)</f>
        <v>795.5</v>
      </c>
      <c r="L454" s="42">
        <f>MAX(0,VLOOKUP($B454,'93-07workbook'!$B$144:$Q$175,COLUMN(H$1),FALSE)-L322-L124-L91)</f>
        <v>114.3</v>
      </c>
      <c r="M454" s="42">
        <f>MAX(0,VLOOKUP($B454,'93-07workbook'!$B$144:$Q$175,COLUMN(I$1),FALSE)-M322-M124-M91)</f>
        <v>0</v>
      </c>
      <c r="N454" s="42">
        <f>MAX(0,VLOOKUP($B454,'93-07workbook'!$B$144:$Q$175,COLUMN(J$1),FALSE)-N322-N124-N91)</f>
        <v>0</v>
      </c>
      <c r="O454" s="42">
        <f>MAX(0,VLOOKUP($B454,'93-07workbook'!$B$144:$Q$175,COLUMN(K$1),FALSE)-O322-O124-O91)</f>
        <v>106.2</v>
      </c>
      <c r="P454" s="42">
        <f>MAX(0,VLOOKUP($B454,'93-07workbook'!$B$144:$Q$175,COLUMN(L$1),FALSE)-P322-P124-P91)</f>
        <v>121.7</v>
      </c>
      <c r="Q454" s="42">
        <f>MAX(0,VLOOKUP($B454,'93-07workbook'!$B$144:$Q$175,COLUMN(M$1),FALSE)-Q322-Q124-Q91)</f>
        <v>342</v>
      </c>
      <c r="R454" s="42">
        <f>MAX(0,VLOOKUP($B454,'93-07workbook'!$B$144:$Q$175,COLUMN(N$1),FALSE)-R322-R124-R91)</f>
        <v>470</v>
      </c>
      <c r="S454" s="42">
        <f>MAX(0,VLOOKUP($B454,'93-07workbook'!$B$144:$Q$175,COLUMN(O$1),FALSE)-S322-S124-S91)</f>
        <v>2030</v>
      </c>
      <c r="T454" s="42">
        <f>MAX(0,VLOOKUP($B454,'93-07workbook'!$B$144:$Q$175,COLUMN(P$1),FALSE)-T322-T124-T91)</f>
        <v>928.6</v>
      </c>
      <c r="U454" s="42">
        <f>SUMIFS('08-21addition'!$H:$H,'08-21addition'!$A:$A,$B454,'08-21addition'!$B:$B,U$2)*10+VLOOKUP($B289,'project vs stock'!$A$72:$W$103,20,FALSE)/9</f>
        <v>539.033333333333</v>
      </c>
      <c r="V454" s="42">
        <f>SUMIFS('08-21addition'!$H:$H,'08-21addition'!$A:$A,$B454,'08-21addition'!$B:$B,V$2)*10+VLOOKUP($B289,'project vs stock'!$A$72:$W$103,20,FALSE)/9</f>
        <v>209.033333333333</v>
      </c>
      <c r="W454" s="42">
        <f>SUMIFS('08-21addition'!$H:$H,'08-21addition'!$A:$A,$B454,'08-21addition'!$B:$B,W$2)*10+VLOOKUP($B289,'project vs stock'!$A$72:$W$103,20,FALSE)/9</f>
        <v>209.033333333333</v>
      </c>
      <c r="X454" s="42">
        <f>SUMIFS('08-21addition'!$H:$H,'08-21addition'!$A:$A,$B454,'08-21addition'!$B:$B,X$2)*10+VLOOKUP($B289,'project vs stock'!$A$72:$W$103,20,FALSE)/9</f>
        <v>209.033333333333</v>
      </c>
      <c r="Y454" s="42">
        <f>SUMIFS('08-21addition'!$H:$H,'08-21addition'!$A:$A,$B454,'08-21addition'!$B:$B,Y$2)*10+VLOOKUP($B289,'project vs stock'!$A$72:$W$103,20,FALSE)/9</f>
        <v>209.033333333333</v>
      </c>
      <c r="Z454" s="42">
        <f>SUMIFS('08-21addition'!$H:$H,'08-21addition'!$A:$A,$B454,'08-21addition'!$B:$B,Z$2)*10+VLOOKUP($B289,'project vs stock'!$A$72:$W$103,20,FALSE)/9</f>
        <v>869.033333333333</v>
      </c>
      <c r="AA454" s="42">
        <f>SUMIFS('08-21addition'!$H:$H,'08-21addition'!$A:$A,$B454,'08-21addition'!$B:$B,AA$2)*10+VLOOKUP($B289,'project vs stock'!$A$72:$W$103,20,FALSE)/9</f>
        <v>1569.03333333333</v>
      </c>
      <c r="AB454" s="42">
        <f>SUMIFS('08-21addition'!$H:$H,'08-21addition'!$A:$A,$B454,'08-21addition'!$B:$B,AB$2)*10+VLOOKUP($B289,'project vs stock'!$A$72:$W$103,20,FALSE)/9</f>
        <v>2969.03333333333</v>
      </c>
      <c r="AC454" s="42">
        <f>SUMIFS('08-21addition'!$H:$H,'08-21addition'!$A:$A,$B454,'08-21addition'!$B:$B,AC$2)*10+VLOOKUP($B289,'project vs stock'!$A$72:$W$103,20,FALSE)/9</f>
        <v>1409.03333333333</v>
      </c>
      <c r="AD454" s="42">
        <f>SUMIFS('08-21addition'!$H:$H,'08-21addition'!$A:$A,$B454,'08-21addition'!$B:$B,AD$2)*10+VLOOKUP($B454,'project vs stock'!$A$72:$W$103,8,FALSE)/5</f>
        <v>408.66</v>
      </c>
      <c r="AE454" s="42">
        <f>SUMIFS('08-21addition'!$H:$H,'08-21addition'!$A:$A,$B454,'08-21addition'!$B:$B,AE$2)*10+VLOOKUP($B454,'project vs stock'!$A$72:$W$103,8,FALSE)/5</f>
        <v>290.36</v>
      </c>
      <c r="AF454" s="43">
        <f>SUMIFS('08-21addition'!$H:$H,'08-21addition'!$A:$A,$B454,'08-21addition'!$B:$B,AF$2)*10+VLOOKUP($B454,'project vs stock'!$A$72:$W$103,8,FALSE)/5</f>
        <v>283.66</v>
      </c>
    </row>
    <row r="455" ht="13.85" spans="1:32">
      <c r="A455" s="27" t="s">
        <v>165</v>
      </c>
      <c r="B455" s="44" t="s">
        <v>126</v>
      </c>
      <c r="C455" s="45"/>
      <c r="D455" s="45"/>
      <c r="E455" s="45"/>
      <c r="F455" s="42">
        <f>MAX(0,VLOOKUP($B455,'93-07workbook'!$B$144:$Q$175,COLUMN(B$1),FALSE)-F323-F125-F92)</f>
        <v>252</v>
      </c>
      <c r="G455" s="42">
        <f>MAX(0,VLOOKUP($B455,'93-07workbook'!$B$144:$Q$175,COLUMN(C$1),FALSE)-G323-G125-G92)</f>
        <v>451</v>
      </c>
      <c r="H455" s="42">
        <f>MAX(0,VLOOKUP($B455,'93-07workbook'!$B$144:$Q$175,COLUMN(D$1),FALSE)-H323-H125-H92)</f>
        <v>239.6</v>
      </c>
      <c r="I455" s="42">
        <f>MAX(0,VLOOKUP($B455,'93-07workbook'!$B$144:$Q$175,COLUMN(E$1),FALSE)-I323-I125-I92)</f>
        <v>584</v>
      </c>
      <c r="J455" s="42">
        <f>MAX(0,VLOOKUP($B455,'93-07workbook'!$B$144:$Q$175,COLUMN(F$1),FALSE)-J323-J125-J92)</f>
        <v>0</v>
      </c>
      <c r="K455" s="42">
        <f>MAX(0,VLOOKUP($B455,'93-07workbook'!$B$144:$Q$175,COLUMN(G$1),FALSE)-K323-K125-K92)</f>
        <v>110.1</v>
      </c>
      <c r="L455" s="42">
        <f>MAX(0,VLOOKUP($B455,'93-07workbook'!$B$144:$Q$175,COLUMN(H$1),FALSE)-L323-L125-L92)</f>
        <v>325.5</v>
      </c>
      <c r="M455" s="42">
        <f>MAX(0,VLOOKUP($B455,'93-07workbook'!$B$144:$Q$175,COLUMN(I$1),FALSE)-M323-M125-M92)</f>
        <v>662.1</v>
      </c>
      <c r="N455" s="42">
        <f>MAX(0,VLOOKUP($B455,'93-07workbook'!$B$144:$Q$175,COLUMN(J$1),FALSE)-N323-N125-N92)</f>
        <v>234.150000000001</v>
      </c>
      <c r="O455" s="42">
        <f>MAX(0,VLOOKUP($B455,'93-07workbook'!$B$144:$Q$175,COLUMN(K$1),FALSE)-O323-O125-O92)</f>
        <v>0</v>
      </c>
      <c r="P455" s="42">
        <f>MAX(0,VLOOKUP($B455,'93-07workbook'!$B$144:$Q$175,COLUMN(L$1),FALSE)-P323-P125-P92)</f>
        <v>0</v>
      </c>
      <c r="Q455" s="42">
        <f>MAX(0,VLOOKUP($B455,'93-07workbook'!$B$144:$Q$175,COLUMN(M$1),FALSE)-Q323-Q125-Q92)</f>
        <v>743.55</v>
      </c>
      <c r="R455" s="42">
        <f>MAX(0,VLOOKUP($B455,'93-07workbook'!$B$144:$Q$175,COLUMN(N$1),FALSE)-R323-R125-R92)</f>
        <v>542.950000000001</v>
      </c>
      <c r="S455" s="42">
        <f>MAX(0,VLOOKUP($B455,'93-07workbook'!$B$144:$Q$175,COLUMN(O$1),FALSE)-S323-S125-S92)</f>
        <v>2329.25</v>
      </c>
      <c r="T455" s="42">
        <f>MAX(0,VLOOKUP($B455,'93-07workbook'!$B$144:$Q$175,COLUMN(P$1),FALSE)-T323-T125-T92)</f>
        <v>3111.155</v>
      </c>
      <c r="U455" s="42">
        <f>SUMIFS('08-21addition'!$H:$H,'08-21addition'!$A:$A,$B455,'08-21addition'!$B:$B,U$2)*10+VLOOKUP($B290,'project vs stock'!$A$72:$W$103,20,FALSE)/9</f>
        <v>1147.78888888889</v>
      </c>
      <c r="V455" s="42">
        <f>SUMIFS('08-21addition'!$H:$H,'08-21addition'!$A:$A,$B455,'08-21addition'!$B:$B,V$2)*10+VLOOKUP($B290,'project vs stock'!$A$72:$W$103,20,FALSE)/9</f>
        <v>227.788888888889</v>
      </c>
      <c r="W455" s="42">
        <f>SUMIFS('08-21addition'!$H:$H,'08-21addition'!$A:$A,$B455,'08-21addition'!$B:$B,W$2)*10+VLOOKUP($B290,'project vs stock'!$A$72:$W$103,20,FALSE)/9</f>
        <v>227.788888888889</v>
      </c>
      <c r="X455" s="42">
        <f>SUMIFS('08-21addition'!$H:$H,'08-21addition'!$A:$A,$B455,'08-21addition'!$B:$B,X$2)*10+VLOOKUP($B290,'project vs stock'!$A$72:$W$103,20,FALSE)/9</f>
        <v>2027.78888888889</v>
      </c>
      <c r="Y455" s="42">
        <f>SUMIFS('08-21addition'!$H:$H,'08-21addition'!$A:$A,$B455,'08-21addition'!$B:$B,Y$2)*10+VLOOKUP($B290,'project vs stock'!$A$72:$W$103,20,FALSE)/9</f>
        <v>849.788888888889</v>
      </c>
      <c r="Z455" s="42">
        <f>SUMIFS('08-21addition'!$H:$H,'08-21addition'!$A:$A,$B455,'08-21addition'!$B:$B,Z$2)*10+VLOOKUP($B290,'project vs stock'!$A$72:$W$103,20,FALSE)/9</f>
        <v>827.788888888889</v>
      </c>
      <c r="AA455" s="42">
        <f>SUMIFS('08-21addition'!$H:$H,'08-21addition'!$A:$A,$B455,'08-21addition'!$B:$B,AA$2)*10+VLOOKUP($B290,'project vs stock'!$A$72:$W$103,20,FALSE)/9</f>
        <v>227.788888888889</v>
      </c>
      <c r="AB455" s="42">
        <f>SUMIFS('08-21addition'!$H:$H,'08-21addition'!$A:$A,$B455,'08-21addition'!$B:$B,AB$2)*10+VLOOKUP($B290,'project vs stock'!$A$72:$W$103,20,FALSE)/9</f>
        <v>927.788888888889</v>
      </c>
      <c r="AC455" s="42">
        <f>SUMIFS('08-21addition'!$H:$H,'08-21addition'!$A:$A,$B455,'08-21addition'!$B:$B,AC$2)*10+VLOOKUP($B290,'project vs stock'!$A$72:$W$103,20,FALSE)/9</f>
        <v>257.788888888889</v>
      </c>
      <c r="AD455" s="42">
        <f>SUMIFS('08-21addition'!$H:$H,'08-21addition'!$A:$A,$B455,'08-21addition'!$B:$B,AD$2)*10+VLOOKUP($B455,'project vs stock'!$A$72:$W$103,8,FALSE)/5</f>
        <v>0</v>
      </c>
      <c r="AE455" s="42">
        <f>SUMIFS('08-21addition'!$H:$H,'08-21addition'!$A:$A,$B455,'08-21addition'!$B:$B,AE$2)*10+VLOOKUP($B455,'project vs stock'!$A$72:$W$103,8,FALSE)/5</f>
        <v>162.5</v>
      </c>
      <c r="AF455" s="43">
        <f>SUMIFS('08-21addition'!$H:$H,'08-21addition'!$A:$A,$B455,'08-21addition'!$B:$B,AF$2)*10+VLOOKUP($B455,'project vs stock'!$A$72:$W$103,8,FALSE)/5</f>
        <v>30</v>
      </c>
    </row>
    <row r="456" ht="13.85" spans="1:32">
      <c r="A456" s="27" t="s">
        <v>165</v>
      </c>
      <c r="B456" s="44" t="s">
        <v>128</v>
      </c>
      <c r="C456" s="45"/>
      <c r="D456" s="45"/>
      <c r="E456" s="45"/>
      <c r="F456" s="42">
        <f>MAX(0,VLOOKUP($B456,'93-07workbook'!$B$144:$Q$175,COLUMN(B$1),FALSE)-F324-F126-F93)</f>
        <v>224</v>
      </c>
      <c r="G456" s="42">
        <f>MAX(0,VLOOKUP($B456,'93-07workbook'!$B$144:$Q$175,COLUMN(C$1),FALSE)-G324-G126-G93)</f>
        <v>233.9</v>
      </c>
      <c r="H456" s="42">
        <f>MAX(0,VLOOKUP($B456,'93-07workbook'!$B$144:$Q$175,COLUMN(D$1),FALSE)-H324-H126-H93)</f>
        <v>201.2</v>
      </c>
      <c r="I456" s="42">
        <f>MAX(0,VLOOKUP($B456,'93-07workbook'!$B$144:$Q$175,COLUMN(E$1),FALSE)-I324-I126-I93)</f>
        <v>226.6</v>
      </c>
      <c r="J456" s="42">
        <f>MAX(0,VLOOKUP($B456,'93-07workbook'!$B$144:$Q$175,COLUMN(F$1),FALSE)-J324-J126-J93)</f>
        <v>174.9</v>
      </c>
      <c r="K456" s="42">
        <f>MAX(0,VLOOKUP($B456,'93-07workbook'!$B$144:$Q$175,COLUMN(G$1),FALSE)-K324-K126-K93)</f>
        <v>432.5</v>
      </c>
      <c r="L456" s="42">
        <f>MAX(0,VLOOKUP($B456,'93-07workbook'!$B$144:$Q$175,COLUMN(H$1),FALSE)-L324-L126-L93)</f>
        <v>672.7</v>
      </c>
      <c r="M456" s="42">
        <f>MAX(0,VLOOKUP($B456,'93-07workbook'!$B$144:$Q$175,COLUMN(I$1),FALSE)-M324-M126-M93)</f>
        <v>125</v>
      </c>
      <c r="N456" s="42">
        <f>MAX(0,VLOOKUP($B456,'93-07workbook'!$B$144:$Q$175,COLUMN(J$1),FALSE)-N324-N126-N93)</f>
        <v>527.875</v>
      </c>
      <c r="O456" s="42">
        <f>MAX(0,VLOOKUP($B456,'93-07workbook'!$B$144:$Q$175,COLUMN(K$1),FALSE)-O324-O126-O93)</f>
        <v>394.875</v>
      </c>
      <c r="P456" s="42">
        <f>MAX(0,VLOOKUP($B456,'93-07workbook'!$B$144:$Q$175,COLUMN(L$1),FALSE)-P324-P126-P93)</f>
        <v>1816.175</v>
      </c>
      <c r="Q456" s="42">
        <f>MAX(0,VLOOKUP($B456,'93-07workbook'!$B$144:$Q$175,COLUMN(M$1),FALSE)-Q324-Q126-Q93)</f>
        <v>1392.875</v>
      </c>
      <c r="R456" s="42">
        <f>MAX(0,VLOOKUP($B456,'93-07workbook'!$B$144:$Q$175,COLUMN(N$1),FALSE)-R324-R126-R93)</f>
        <v>1957.875</v>
      </c>
      <c r="S456" s="42">
        <f>MAX(0,VLOOKUP($B456,'93-07workbook'!$B$144:$Q$175,COLUMN(O$1),FALSE)-S324-S126-S93)</f>
        <v>4731.875</v>
      </c>
      <c r="T456" s="42">
        <f>MAX(0,VLOOKUP($B456,'93-07workbook'!$B$144:$Q$175,COLUMN(P$1),FALSE)-T324-T126-T93)</f>
        <v>1832.875</v>
      </c>
      <c r="U456" s="42">
        <f>SUMIFS('08-21addition'!$H:$H,'08-21addition'!$A:$A,$B456,'08-21addition'!$B:$B,U$2)*10+VLOOKUP($B291,'project vs stock'!$A$72:$W$103,20,FALSE)/9</f>
        <v>1832.55555555556</v>
      </c>
      <c r="V456" s="42">
        <f>SUMIFS('08-21addition'!$H:$H,'08-21addition'!$A:$A,$B456,'08-21addition'!$B:$B,V$2)*10+VLOOKUP($B291,'project vs stock'!$A$72:$W$103,20,FALSE)/9</f>
        <v>1532.55555555556</v>
      </c>
      <c r="W456" s="42">
        <f>SUMIFS('08-21addition'!$H:$H,'08-21addition'!$A:$A,$B456,'08-21addition'!$B:$B,W$2)*10+VLOOKUP($B291,'project vs stock'!$A$72:$W$103,20,FALSE)/9</f>
        <v>632.555555555556</v>
      </c>
      <c r="X456" s="42">
        <f>SUMIFS('08-21addition'!$H:$H,'08-21addition'!$A:$A,$B456,'08-21addition'!$B:$B,X$2)*10+VLOOKUP($B291,'project vs stock'!$A$72:$W$103,20,FALSE)/9</f>
        <v>1282.55555555556</v>
      </c>
      <c r="Y456" s="42">
        <f>SUMIFS('08-21addition'!$H:$H,'08-21addition'!$A:$A,$B456,'08-21addition'!$B:$B,Y$2)*10+VLOOKUP($B291,'project vs stock'!$A$72:$W$103,20,FALSE)/9</f>
        <v>1292.55555555556</v>
      </c>
      <c r="Z456" s="42">
        <f>SUMIFS('08-21addition'!$H:$H,'08-21addition'!$A:$A,$B456,'08-21addition'!$B:$B,Z$2)*10+VLOOKUP($B291,'project vs stock'!$A$72:$W$103,20,FALSE)/9</f>
        <v>2552.55555555556</v>
      </c>
      <c r="AA456" s="42">
        <f>SUMIFS('08-21addition'!$H:$H,'08-21addition'!$A:$A,$B456,'08-21addition'!$B:$B,AA$2)*10+VLOOKUP($B291,'project vs stock'!$A$72:$W$103,20,FALSE)/9</f>
        <v>1592.55555555556</v>
      </c>
      <c r="AB456" s="42">
        <f>SUMIFS('08-21addition'!$H:$H,'08-21addition'!$A:$A,$B456,'08-21addition'!$B:$B,AB$2)*10+VLOOKUP($B291,'project vs stock'!$A$72:$W$103,20,FALSE)/9</f>
        <v>2012.55555555556</v>
      </c>
      <c r="AC456" s="42">
        <f>SUMIFS('08-21addition'!$H:$H,'08-21addition'!$A:$A,$B456,'08-21addition'!$B:$B,AC$2)*10+VLOOKUP($B291,'project vs stock'!$A$72:$W$103,20,FALSE)/9</f>
        <v>3212.55555555556</v>
      </c>
      <c r="AD456" s="42">
        <f>SUMIFS('08-21addition'!$H:$H,'08-21addition'!$A:$A,$B456,'08-21addition'!$B:$B,AD$2)*10+VLOOKUP($B456,'project vs stock'!$A$72:$W$103,8,FALSE)/5</f>
        <v>766</v>
      </c>
      <c r="AE456" s="42">
        <f>SUMIFS('08-21addition'!$H:$H,'08-21addition'!$A:$A,$B456,'08-21addition'!$B:$B,AE$2)*10+VLOOKUP($B456,'project vs stock'!$A$72:$W$103,8,FALSE)/5</f>
        <v>766</v>
      </c>
      <c r="AF456" s="43">
        <f>SUMIFS('08-21addition'!$H:$H,'08-21addition'!$A:$A,$B456,'08-21addition'!$B:$B,AF$2)*10+VLOOKUP($B456,'project vs stock'!$A$72:$W$103,8,FALSE)/5</f>
        <v>1576</v>
      </c>
    </row>
    <row r="457" ht="13.85" spans="1:32">
      <c r="A457" s="27" t="s">
        <v>165</v>
      </c>
      <c r="B457" s="44" t="s">
        <v>130</v>
      </c>
      <c r="C457" s="45"/>
      <c r="D457" s="45"/>
      <c r="E457" s="45"/>
      <c r="F457" s="42">
        <f>MAX(0,VLOOKUP($B457,'93-07workbook'!$B$144:$Q$175,COLUMN(B$1),FALSE)-F325-F127-F94)</f>
        <v>0</v>
      </c>
      <c r="G457" s="42">
        <f>MAX(0,VLOOKUP($B457,'93-07workbook'!$B$144:$Q$175,COLUMN(C$1),FALSE)-G325-G127-G94)</f>
        <v>0</v>
      </c>
      <c r="H457" s="42">
        <f>MAX(0,VLOOKUP($B457,'93-07workbook'!$B$144:$Q$175,COLUMN(D$1),FALSE)-H325-H127-H94)</f>
        <v>3.10000000000002</v>
      </c>
      <c r="I457" s="42">
        <f>MAX(0,VLOOKUP($B457,'93-07workbook'!$B$144:$Q$175,COLUMN(E$1),FALSE)-I325-I127-I94)</f>
        <v>203.5</v>
      </c>
      <c r="J457" s="42">
        <f>MAX(0,VLOOKUP($B457,'93-07workbook'!$B$144:$Q$175,COLUMN(F$1),FALSE)-J325-J127-J94)</f>
        <v>124</v>
      </c>
      <c r="K457" s="42">
        <f>MAX(0,VLOOKUP($B457,'93-07workbook'!$B$144:$Q$175,COLUMN(G$1),FALSE)-K325-K127-K94)</f>
        <v>665</v>
      </c>
      <c r="L457" s="42">
        <f>MAX(0,VLOOKUP($B457,'93-07workbook'!$B$144:$Q$175,COLUMN(H$1),FALSE)-L325-L127-L94)</f>
        <v>113.4</v>
      </c>
      <c r="M457" s="42">
        <f>MAX(0,VLOOKUP($B457,'93-07workbook'!$B$144:$Q$175,COLUMN(I$1),FALSE)-M325-M127-M94)</f>
        <v>21.6999999999999</v>
      </c>
      <c r="N457" s="42">
        <f>MAX(0,VLOOKUP($B457,'93-07workbook'!$B$144:$Q$175,COLUMN(J$1),FALSE)-N325-N127-N94)</f>
        <v>600</v>
      </c>
      <c r="O457" s="42">
        <f>MAX(0,VLOOKUP($B457,'93-07workbook'!$B$144:$Q$175,COLUMN(K$1),FALSE)-O325-O127-O94)</f>
        <v>0</v>
      </c>
      <c r="P457" s="42">
        <f>MAX(0,VLOOKUP($B457,'93-07workbook'!$B$144:$Q$175,COLUMN(L$1),FALSE)-P325-P127-P94)</f>
        <v>624.1</v>
      </c>
      <c r="Q457" s="42">
        <f>MAX(0,VLOOKUP($B457,'93-07workbook'!$B$144:$Q$175,COLUMN(M$1),FALSE)-Q325-Q127-Q94)</f>
        <v>1215</v>
      </c>
      <c r="R457" s="42">
        <f>MAX(0,VLOOKUP($B457,'93-07workbook'!$B$144:$Q$175,COLUMN(N$1),FALSE)-R325-R127-R94)</f>
        <v>445.1</v>
      </c>
      <c r="S457" s="42">
        <f>MAX(0,VLOOKUP($B457,'93-07workbook'!$B$144:$Q$175,COLUMN(O$1),FALSE)-S325-S127-S94)</f>
        <v>3814</v>
      </c>
      <c r="T457" s="42">
        <f>MAX(0,VLOOKUP($B457,'93-07workbook'!$B$144:$Q$175,COLUMN(P$1),FALSE)-T325-T127-T94)</f>
        <v>2169</v>
      </c>
      <c r="U457" s="42">
        <f>SUMIFS('08-21addition'!$H:$H,'08-21addition'!$A:$A,$B457,'08-21addition'!$B:$B,U$2)*10+VLOOKUP($B292,'project vs stock'!$A$72:$W$103,20,FALSE)/9</f>
        <v>406.888888888889</v>
      </c>
      <c r="V457" s="42">
        <f>SUMIFS('08-21addition'!$H:$H,'08-21addition'!$A:$A,$B457,'08-21addition'!$B:$B,V$2)*10+VLOOKUP($B292,'project vs stock'!$A$72:$W$103,20,FALSE)/9</f>
        <v>1006.88888888889</v>
      </c>
      <c r="W457" s="42">
        <f>SUMIFS('08-21addition'!$H:$H,'08-21addition'!$A:$A,$B457,'08-21addition'!$B:$B,W$2)*10+VLOOKUP($B292,'project vs stock'!$A$72:$W$103,20,FALSE)/9</f>
        <v>1006.88888888889</v>
      </c>
      <c r="X457" s="42">
        <f>SUMIFS('08-21addition'!$H:$H,'08-21addition'!$A:$A,$B457,'08-21addition'!$B:$B,X$2)*10+VLOOKUP($B292,'project vs stock'!$A$72:$W$103,20,FALSE)/9</f>
        <v>406.888888888889</v>
      </c>
      <c r="Y457" s="42">
        <f>SUMIFS('08-21addition'!$H:$H,'08-21addition'!$A:$A,$B457,'08-21addition'!$B:$B,Y$2)*10+VLOOKUP($B292,'project vs stock'!$A$72:$W$103,20,FALSE)/9</f>
        <v>2206.88888888889</v>
      </c>
      <c r="Z457" s="42">
        <f>SUMIFS('08-21addition'!$H:$H,'08-21addition'!$A:$A,$B457,'08-21addition'!$B:$B,Z$2)*10+VLOOKUP($B292,'project vs stock'!$A$72:$W$103,20,FALSE)/9</f>
        <v>406.888888888889</v>
      </c>
      <c r="AA457" s="42">
        <f>SUMIFS('08-21addition'!$H:$H,'08-21addition'!$A:$A,$B457,'08-21addition'!$B:$B,AA$2)*10+VLOOKUP($B292,'project vs stock'!$A$72:$W$103,20,FALSE)/9</f>
        <v>406.888888888889</v>
      </c>
      <c r="AB457" s="42">
        <f>SUMIFS('08-21addition'!$H:$H,'08-21addition'!$A:$A,$B457,'08-21addition'!$B:$B,AB$2)*10+VLOOKUP($B292,'project vs stock'!$A$72:$W$103,20,FALSE)/9</f>
        <v>406.888888888889</v>
      </c>
      <c r="AC457" s="42">
        <f>SUMIFS('08-21addition'!$H:$H,'08-21addition'!$A:$A,$B457,'08-21addition'!$B:$B,AC$2)*10+VLOOKUP($B292,'project vs stock'!$A$72:$W$103,20,FALSE)/9</f>
        <v>406.888888888889</v>
      </c>
      <c r="AD457" s="42">
        <f>SUMIFS('08-21addition'!$H:$H,'08-21addition'!$A:$A,$B457,'08-21addition'!$B:$B,AD$2)*10+VLOOKUP($B457,'project vs stock'!$A$72:$W$103,8,FALSE)/5</f>
        <v>0</v>
      </c>
      <c r="AE457" s="42">
        <f>SUMIFS('08-21addition'!$H:$H,'08-21addition'!$A:$A,$B457,'08-21addition'!$B:$B,AE$2)*10+VLOOKUP($B457,'project vs stock'!$A$72:$W$103,8,FALSE)/5</f>
        <v>0</v>
      </c>
      <c r="AF457" s="43">
        <f>SUMIFS('08-21addition'!$H:$H,'08-21addition'!$A:$A,$B457,'08-21addition'!$B:$B,AF$2)*10+VLOOKUP($B457,'project vs stock'!$A$72:$W$103,8,FALSE)/5</f>
        <v>0</v>
      </c>
    </row>
    <row r="458" ht="13.85" spans="1:32">
      <c r="A458" s="27" t="s">
        <v>165</v>
      </c>
      <c r="B458" s="44" t="s">
        <v>132</v>
      </c>
      <c r="C458" s="45"/>
      <c r="D458" s="45"/>
      <c r="E458" s="45"/>
      <c r="F458" s="42">
        <f>MAX(0,VLOOKUP($B458,'93-07workbook'!$B$144:$Q$175,COLUMN(B$1),FALSE)-F326-F128-F95)</f>
        <v>0</v>
      </c>
      <c r="G458" s="42">
        <f>MAX(0,VLOOKUP($B458,'93-07workbook'!$B$144:$Q$175,COLUMN(C$1),FALSE)-G326-G128-G95)</f>
        <v>0</v>
      </c>
      <c r="H458" s="42">
        <f>MAX(0,VLOOKUP($B458,'93-07workbook'!$B$144:$Q$175,COLUMN(D$1),FALSE)-H326-H128-H95)</f>
        <v>0</v>
      </c>
      <c r="I458" s="42">
        <f>MAX(0,VLOOKUP($B458,'93-07workbook'!$B$144:$Q$175,COLUMN(E$1),FALSE)-I326-I128-I95)</f>
        <v>327.116666666667</v>
      </c>
      <c r="J458" s="42">
        <f>MAX(0,VLOOKUP($B458,'93-07workbook'!$B$144:$Q$175,COLUMN(F$1),FALSE)-J326-J128-J95)</f>
        <v>0</v>
      </c>
      <c r="K458" s="42">
        <f>MAX(0,VLOOKUP($B458,'93-07workbook'!$B$144:$Q$175,COLUMN(G$1),FALSE)-K326-K128-K95)</f>
        <v>0</v>
      </c>
      <c r="L458" s="42">
        <f>MAX(0,VLOOKUP($B458,'93-07workbook'!$B$144:$Q$175,COLUMN(H$1),FALSE)-L326-L128-L95)</f>
        <v>0</v>
      </c>
      <c r="M458" s="42">
        <f>MAX(0,VLOOKUP($B458,'93-07workbook'!$B$144:$Q$175,COLUMN(I$1),FALSE)-M326-M128-M95)</f>
        <v>0.416666666666667</v>
      </c>
      <c r="N458" s="42">
        <f>MAX(0,VLOOKUP($B458,'93-07workbook'!$B$144:$Q$175,COLUMN(J$1),FALSE)-N326-N128-N95)</f>
        <v>0</v>
      </c>
      <c r="O458" s="42">
        <f>MAX(0,VLOOKUP($B458,'93-07workbook'!$B$144:$Q$175,COLUMN(K$1),FALSE)-O326-O128-O95)</f>
        <v>0</v>
      </c>
      <c r="P458" s="42">
        <f>MAX(0,VLOOKUP($B458,'93-07workbook'!$B$144:$Q$175,COLUMN(L$1),FALSE)-P326-P128-P95)</f>
        <v>0</v>
      </c>
      <c r="Q458" s="42">
        <f>MAX(0,VLOOKUP($B458,'93-07workbook'!$B$144:$Q$175,COLUMN(M$1),FALSE)-Q326-Q128-Q95)</f>
        <v>0</v>
      </c>
      <c r="R458" s="42">
        <f>MAX(0,VLOOKUP($B458,'93-07workbook'!$B$144:$Q$175,COLUMN(N$1),FALSE)-R326-R128-R95)</f>
        <v>0</v>
      </c>
      <c r="S458" s="42">
        <f>MAX(0,VLOOKUP($B458,'93-07workbook'!$B$144:$Q$175,COLUMN(O$1),FALSE)-S326-S128-S95)</f>
        <v>0</v>
      </c>
      <c r="T458" s="42">
        <f>MAX(0,VLOOKUP($B458,'93-07workbook'!$B$144:$Q$175,COLUMN(P$1),FALSE)-T326-T128-T95)</f>
        <v>0</v>
      </c>
      <c r="U458" s="42">
        <f>SUMIFS('08-21addition'!$H:$H,'08-21addition'!$A:$A,$B458,'08-21addition'!$B:$B,U$2)*10+VLOOKUP($B293,'project vs stock'!$A$72:$W$103,20,FALSE)/9</f>
        <v>13.7</v>
      </c>
      <c r="V458" s="42">
        <f>SUMIFS('08-21addition'!$H:$H,'08-21addition'!$A:$A,$B458,'08-21addition'!$B:$B,V$2)*10+VLOOKUP($B293,'project vs stock'!$A$72:$W$103,20,FALSE)/9</f>
        <v>13.7</v>
      </c>
      <c r="W458" s="42">
        <f>SUMIFS('08-21addition'!$H:$H,'08-21addition'!$A:$A,$B458,'08-21addition'!$B:$B,W$2)*10+VLOOKUP($B293,'project vs stock'!$A$72:$W$103,20,FALSE)/9</f>
        <v>222.5</v>
      </c>
      <c r="X458" s="42">
        <f>SUMIFS('08-21addition'!$H:$H,'08-21addition'!$A:$A,$B458,'08-21addition'!$B:$B,X$2)*10+VLOOKUP($B293,'project vs stock'!$A$72:$W$103,20,FALSE)/9</f>
        <v>13.7</v>
      </c>
      <c r="Y458" s="42">
        <f>SUMIFS('08-21addition'!$H:$H,'08-21addition'!$A:$A,$B458,'08-21addition'!$B:$B,Y$2)*10+VLOOKUP($B293,'project vs stock'!$A$72:$W$103,20,FALSE)/9</f>
        <v>13.7</v>
      </c>
      <c r="Z458" s="42">
        <f>SUMIFS('08-21addition'!$H:$H,'08-21addition'!$A:$A,$B458,'08-21addition'!$B:$B,Z$2)*10+VLOOKUP($B293,'project vs stock'!$A$72:$W$103,20,FALSE)/9</f>
        <v>13.7</v>
      </c>
      <c r="AA458" s="42">
        <f>SUMIFS('08-21addition'!$H:$H,'08-21addition'!$A:$A,$B458,'08-21addition'!$B:$B,AA$2)*10+VLOOKUP($B293,'project vs stock'!$A$72:$W$103,20,FALSE)/9</f>
        <v>13.7</v>
      </c>
      <c r="AB458" s="42">
        <f>SUMIFS('08-21addition'!$H:$H,'08-21addition'!$A:$A,$B458,'08-21addition'!$B:$B,AB$2)*10+VLOOKUP($B293,'project vs stock'!$A$72:$W$103,20,FALSE)/9</f>
        <v>13.7</v>
      </c>
      <c r="AC458" s="42">
        <f>SUMIFS('08-21addition'!$H:$H,'08-21addition'!$A:$A,$B458,'08-21addition'!$B:$B,AC$2)*10+VLOOKUP($B293,'project vs stock'!$A$72:$W$103,20,FALSE)/9</f>
        <v>24.6</v>
      </c>
      <c r="AD458" s="42">
        <f>SUMIFS('08-21addition'!$H:$H,'08-21addition'!$A:$A,$B458,'08-21addition'!$B:$B,AD$2)*10+VLOOKUP($B458,'project vs stock'!$A$72:$W$103,8,FALSE)/5</f>
        <v>2</v>
      </c>
      <c r="AE458" s="42">
        <f>SUMIFS('08-21addition'!$H:$H,'08-21addition'!$A:$A,$B458,'08-21addition'!$B:$B,AE$2)*10+VLOOKUP($B458,'project vs stock'!$A$72:$W$103,8,FALSE)/5</f>
        <v>2</v>
      </c>
      <c r="AF458" s="43">
        <f>SUMIFS('08-21addition'!$H:$H,'08-21addition'!$A:$A,$B458,'08-21addition'!$B:$B,AF$2)*10+VLOOKUP($B458,'project vs stock'!$A$72:$W$103,8,FALSE)/5</f>
        <v>2</v>
      </c>
    </row>
    <row r="459" ht="13.85" spans="1:32">
      <c r="A459" s="27" t="s">
        <v>165</v>
      </c>
      <c r="B459" s="44" t="s">
        <v>134</v>
      </c>
      <c r="C459" s="45"/>
      <c r="D459" s="45"/>
      <c r="E459" s="45"/>
      <c r="F459" s="42">
        <f>MAX(0,VLOOKUP($B459,'93-07workbook'!$B$144:$Q$175,COLUMN(B$1),FALSE)-F327-F129-F96)</f>
        <v>0</v>
      </c>
      <c r="G459" s="42">
        <f>MAX(0,VLOOKUP($B459,'93-07workbook'!$B$144:$Q$175,COLUMN(C$1),FALSE)-G327-G129-G96)</f>
        <v>0</v>
      </c>
      <c r="H459" s="42">
        <f>MAX(0,VLOOKUP($B459,'93-07workbook'!$B$144:$Q$175,COLUMN(D$1),FALSE)-H327-H129-H96)</f>
        <v>661</v>
      </c>
      <c r="I459" s="42">
        <f>MAX(0,VLOOKUP($B459,'93-07workbook'!$B$144:$Q$175,COLUMN(E$1),FALSE)-I327-I129-I96)</f>
        <v>420.5</v>
      </c>
      <c r="J459" s="42">
        <f>MAX(0,VLOOKUP($B459,'93-07workbook'!$B$144:$Q$175,COLUMN(F$1),FALSE)-J327-J129-J96)</f>
        <v>17.9999999999995</v>
      </c>
      <c r="K459" s="42">
        <f>MAX(0,VLOOKUP($B459,'93-07workbook'!$B$144:$Q$175,COLUMN(G$1),FALSE)-K327-K129-K96)</f>
        <v>860</v>
      </c>
      <c r="L459" s="42">
        <f>MAX(0,VLOOKUP($B459,'93-07workbook'!$B$144:$Q$175,COLUMN(H$1),FALSE)-L327-L129-L96)</f>
        <v>400</v>
      </c>
      <c r="M459" s="42">
        <f>MAX(0,VLOOKUP($B459,'93-07workbook'!$B$144:$Q$175,COLUMN(I$1),FALSE)-M327-M129-M96)</f>
        <v>541.900000000001</v>
      </c>
      <c r="N459" s="42">
        <f>MAX(0,VLOOKUP($B459,'93-07workbook'!$B$144:$Q$175,COLUMN(J$1),FALSE)-N327-N129-N96)</f>
        <v>367.875</v>
      </c>
      <c r="O459" s="42">
        <f>MAX(0,VLOOKUP($B459,'93-07workbook'!$B$144:$Q$175,COLUMN(K$1),FALSE)-O327-O129-O96)</f>
        <v>422.875</v>
      </c>
      <c r="P459" s="42">
        <f>MAX(0,VLOOKUP($B459,'93-07workbook'!$B$144:$Q$175,COLUMN(L$1),FALSE)-P327-P129-P96)</f>
        <v>580.875</v>
      </c>
      <c r="Q459" s="42">
        <f>MAX(0,VLOOKUP($B459,'93-07workbook'!$B$144:$Q$175,COLUMN(M$1),FALSE)-Q327-Q129-Q96)</f>
        <v>901.875</v>
      </c>
      <c r="R459" s="42">
        <f>MAX(0,VLOOKUP($B459,'93-07workbook'!$B$144:$Q$175,COLUMN(N$1),FALSE)-R327-R129-R96)</f>
        <v>1989.475</v>
      </c>
      <c r="S459" s="42">
        <f>MAX(0,VLOOKUP($B459,'93-07workbook'!$B$144:$Q$175,COLUMN(O$1),FALSE)-S327-S129-S96)</f>
        <v>729.875</v>
      </c>
      <c r="T459" s="42">
        <f>MAX(0,VLOOKUP($B459,'93-07workbook'!$B$144:$Q$175,COLUMN(P$1),FALSE)-T327-T129-T96)</f>
        <v>2932.875</v>
      </c>
      <c r="U459" s="42">
        <f>SUMIFS('08-21addition'!$H:$H,'08-21addition'!$A:$A,$B459,'08-21addition'!$B:$B,U$2)*10+VLOOKUP($B294,'project vs stock'!$A$72:$W$103,20,FALSE)/9</f>
        <v>5364.44444444444</v>
      </c>
      <c r="V459" s="42">
        <f>SUMIFS('08-21addition'!$H:$H,'08-21addition'!$A:$A,$B459,'08-21addition'!$B:$B,V$2)*10+VLOOKUP($B294,'project vs stock'!$A$72:$W$103,20,FALSE)/9</f>
        <v>2664.44444444444</v>
      </c>
      <c r="W459" s="42">
        <f>SUMIFS('08-21addition'!$H:$H,'08-21addition'!$A:$A,$B459,'08-21addition'!$B:$B,W$2)*10+VLOOKUP($B294,'project vs stock'!$A$72:$W$103,20,FALSE)/9</f>
        <v>1534.44444444444</v>
      </c>
      <c r="X459" s="42">
        <f>SUMIFS('08-21addition'!$H:$H,'08-21addition'!$A:$A,$B459,'08-21addition'!$B:$B,X$2)*10+VLOOKUP($B294,'project vs stock'!$A$72:$W$103,20,FALSE)/9</f>
        <v>1514.44444444444</v>
      </c>
      <c r="Y459" s="42">
        <f>SUMIFS('08-21addition'!$H:$H,'08-21addition'!$A:$A,$B459,'08-21addition'!$B:$B,Y$2)*10+VLOOKUP($B294,'project vs stock'!$A$72:$W$103,20,FALSE)/9</f>
        <v>804.444444444444</v>
      </c>
      <c r="Z459" s="42">
        <f>SUMIFS('08-21addition'!$H:$H,'08-21addition'!$A:$A,$B459,'08-21addition'!$B:$B,Z$2)*10+VLOOKUP($B294,'project vs stock'!$A$72:$W$103,20,FALSE)/9</f>
        <v>804.444444444444</v>
      </c>
      <c r="AA459" s="42">
        <f>SUMIFS('08-21addition'!$H:$H,'08-21addition'!$A:$A,$B459,'08-21addition'!$B:$B,AA$2)*10+VLOOKUP($B294,'project vs stock'!$A$72:$W$103,20,FALSE)/9</f>
        <v>804.444444444444</v>
      </c>
      <c r="AB459" s="42">
        <f>SUMIFS('08-21addition'!$H:$H,'08-21addition'!$A:$A,$B459,'08-21addition'!$B:$B,AB$2)*10+VLOOKUP($B294,'project vs stock'!$A$72:$W$103,20,FALSE)/9</f>
        <v>3644.44444444444</v>
      </c>
      <c r="AC459" s="42">
        <f>SUMIFS('08-21addition'!$H:$H,'08-21addition'!$A:$A,$B459,'08-21addition'!$B:$B,AC$2)*10+VLOOKUP($B294,'project vs stock'!$A$72:$W$103,20,FALSE)/9</f>
        <v>1246.94444444444</v>
      </c>
      <c r="AD459" s="42">
        <f>SUMIFS('08-21addition'!$H:$H,'08-21addition'!$A:$A,$B459,'08-21addition'!$B:$B,AD$2)*10+VLOOKUP($B459,'project vs stock'!$A$72:$W$103,8,FALSE)/5</f>
        <v>1826</v>
      </c>
      <c r="AE459" s="42">
        <f>SUMIFS('08-21addition'!$H:$H,'08-21addition'!$A:$A,$B459,'08-21addition'!$B:$B,AE$2)*10+VLOOKUP($B459,'project vs stock'!$A$72:$W$103,8,FALSE)/5</f>
        <v>4458</v>
      </c>
      <c r="AF459" s="43">
        <f>SUMIFS('08-21addition'!$H:$H,'08-21addition'!$A:$A,$B459,'08-21addition'!$B:$B,AF$2)*10+VLOOKUP($B459,'project vs stock'!$A$72:$W$103,8,FALSE)/5</f>
        <v>4878</v>
      </c>
    </row>
    <row r="460" ht="13.85" spans="1:32">
      <c r="A460" s="27" t="s">
        <v>165</v>
      </c>
      <c r="B460" s="44" t="s">
        <v>136</v>
      </c>
      <c r="C460" s="45"/>
      <c r="D460" s="45"/>
      <c r="E460" s="45"/>
      <c r="F460" s="42">
        <f>MAX(0,VLOOKUP($B460,'93-07workbook'!$B$144:$Q$175,COLUMN(B$1),FALSE)-F328-F130-F97)</f>
        <v>0</v>
      </c>
      <c r="G460" s="42">
        <f>MAX(0,VLOOKUP($B460,'93-07workbook'!$B$144:$Q$175,COLUMN(C$1),FALSE)-G328-G130-G97)</f>
        <v>35</v>
      </c>
      <c r="H460" s="42">
        <f>MAX(0,VLOOKUP($B460,'93-07workbook'!$B$144:$Q$175,COLUMN(D$1),FALSE)-H328-H130-H97)</f>
        <v>19.4</v>
      </c>
      <c r="I460" s="42">
        <f>MAX(0,VLOOKUP($B460,'93-07workbook'!$B$144:$Q$175,COLUMN(E$1),FALSE)-I328-I130-I97)</f>
        <v>310.1</v>
      </c>
      <c r="J460" s="42">
        <f>MAX(0,VLOOKUP($B460,'93-07workbook'!$B$144:$Q$175,COLUMN(F$1),FALSE)-J328-J130-J97)</f>
        <v>372.2</v>
      </c>
      <c r="K460" s="42">
        <f>MAX(0,VLOOKUP($B460,'93-07workbook'!$B$144:$Q$175,COLUMN(G$1),FALSE)-K328-K130-K97)</f>
        <v>190.6</v>
      </c>
      <c r="L460" s="42">
        <f>MAX(0,VLOOKUP($B460,'93-07workbook'!$B$144:$Q$175,COLUMN(H$1),FALSE)-L328-L130-L97)</f>
        <v>156.9</v>
      </c>
      <c r="M460" s="42">
        <f>MAX(0,VLOOKUP($B460,'93-07workbook'!$B$144:$Q$175,COLUMN(I$1),FALSE)-M328-M130-M97)</f>
        <v>352.2</v>
      </c>
      <c r="N460" s="42">
        <f>MAX(0,VLOOKUP($B460,'93-07workbook'!$B$144:$Q$175,COLUMN(J$1),FALSE)-N328-N130-N97)</f>
        <v>300</v>
      </c>
      <c r="O460" s="42">
        <f>MAX(0,VLOOKUP($B460,'93-07workbook'!$B$144:$Q$175,COLUMN(K$1),FALSE)-O328-O130-O97)</f>
        <v>12</v>
      </c>
      <c r="P460" s="42">
        <f>MAX(0,VLOOKUP($B460,'93-07workbook'!$B$144:$Q$175,COLUMN(L$1),FALSE)-P328-P130-P97)</f>
        <v>863.2</v>
      </c>
      <c r="Q460" s="42">
        <f>MAX(0,VLOOKUP($B460,'93-07workbook'!$B$144:$Q$175,COLUMN(M$1),FALSE)-Q328-Q130-Q97)</f>
        <v>300</v>
      </c>
      <c r="R460" s="42">
        <f>MAX(0,VLOOKUP($B460,'93-07workbook'!$B$144:$Q$175,COLUMN(N$1),FALSE)-R328-R130-R97)</f>
        <v>775</v>
      </c>
      <c r="S460" s="42">
        <f>MAX(0,VLOOKUP($B460,'93-07workbook'!$B$144:$Q$175,COLUMN(O$1),FALSE)-S328-S130-S97)</f>
        <v>810</v>
      </c>
      <c r="T460" s="42">
        <f>MAX(0,VLOOKUP($B460,'93-07workbook'!$B$144:$Q$175,COLUMN(P$1),FALSE)-T328-T130-T97)</f>
        <v>1530</v>
      </c>
      <c r="U460" s="42">
        <f>SUMIFS('08-21addition'!$H:$H,'08-21addition'!$A:$A,$B460,'08-21addition'!$B:$B,U$2)*10+VLOOKUP($B295,'project vs stock'!$A$72:$W$103,20,FALSE)/9</f>
        <v>1414.65555555556</v>
      </c>
      <c r="V460" s="42">
        <f>SUMIFS('08-21addition'!$H:$H,'08-21addition'!$A:$A,$B460,'08-21addition'!$B:$B,V$2)*10+VLOOKUP($B295,'project vs stock'!$A$72:$W$103,20,FALSE)/9</f>
        <v>2794.65555555556</v>
      </c>
      <c r="W460" s="42">
        <f>SUMIFS('08-21addition'!$H:$H,'08-21addition'!$A:$A,$B460,'08-21addition'!$B:$B,W$2)*10+VLOOKUP($B295,'project vs stock'!$A$72:$W$103,20,FALSE)/9</f>
        <v>2344.65555555556</v>
      </c>
      <c r="X460" s="42">
        <f>SUMIFS('08-21addition'!$H:$H,'08-21addition'!$A:$A,$B460,'08-21addition'!$B:$B,X$2)*10+VLOOKUP($B295,'project vs stock'!$A$72:$W$103,20,FALSE)/9</f>
        <v>1254.65555555556</v>
      </c>
      <c r="Y460" s="42">
        <f>SUMIFS('08-21addition'!$H:$H,'08-21addition'!$A:$A,$B460,'08-21addition'!$B:$B,Y$2)*10+VLOOKUP($B295,'project vs stock'!$A$72:$W$103,20,FALSE)/9</f>
        <v>334.655555555556</v>
      </c>
      <c r="Z460" s="42">
        <f>SUMIFS('08-21addition'!$H:$H,'08-21addition'!$A:$A,$B460,'08-21addition'!$B:$B,Z$2)*10+VLOOKUP($B295,'project vs stock'!$A$72:$W$103,20,FALSE)/9</f>
        <v>238.655555555556</v>
      </c>
      <c r="AA460" s="42">
        <f>SUMIFS('08-21addition'!$H:$H,'08-21addition'!$A:$A,$B460,'08-21addition'!$B:$B,AA$2)*10+VLOOKUP($B295,'project vs stock'!$A$72:$W$103,20,FALSE)/9</f>
        <v>2644.65555555556</v>
      </c>
      <c r="AB460" s="42">
        <f>SUMIFS('08-21addition'!$H:$H,'08-21addition'!$A:$A,$B460,'08-21addition'!$B:$B,AB$2)*10+VLOOKUP($B295,'project vs stock'!$A$72:$W$103,20,FALSE)/9</f>
        <v>214.655555555556</v>
      </c>
      <c r="AC460" s="42">
        <f>SUMIFS('08-21addition'!$H:$H,'08-21addition'!$A:$A,$B460,'08-21addition'!$B:$B,AC$2)*10+VLOOKUP($B295,'project vs stock'!$A$72:$W$103,20,FALSE)/9</f>
        <v>544.655555555556</v>
      </c>
      <c r="AD460" s="42">
        <f>SUMIFS('08-21addition'!$H:$H,'08-21addition'!$A:$A,$B460,'08-21addition'!$B:$B,AD$2)*10+VLOOKUP($B460,'project vs stock'!$A$72:$W$103,8,FALSE)/5</f>
        <v>1089.2</v>
      </c>
      <c r="AE460" s="42">
        <f>SUMIFS('08-21addition'!$H:$H,'08-21addition'!$A:$A,$B460,'08-21addition'!$B:$B,AE$2)*10+VLOOKUP($B460,'project vs stock'!$A$72:$W$103,8,FALSE)/5</f>
        <v>64.2</v>
      </c>
      <c r="AF460" s="43">
        <f>SUMIFS('08-21addition'!$H:$H,'08-21addition'!$A:$A,$B460,'08-21addition'!$B:$B,AF$2)*10+VLOOKUP($B460,'project vs stock'!$A$72:$W$103,8,FALSE)/5</f>
        <v>52.2</v>
      </c>
    </row>
    <row r="461" ht="13.85" spans="1:32">
      <c r="A461" s="27" t="s">
        <v>165</v>
      </c>
      <c r="B461" s="44" t="s">
        <v>138</v>
      </c>
      <c r="C461" s="45"/>
      <c r="D461" s="45"/>
      <c r="E461" s="45"/>
      <c r="F461" s="42">
        <f>MAX(0,VLOOKUP($B461,'93-07workbook'!$B$144:$Q$175,COLUMN(B$1),FALSE)-F329-F131-F98)</f>
        <v>0</v>
      </c>
      <c r="G461" s="42">
        <f>MAX(0,VLOOKUP($B461,'93-07workbook'!$B$144:$Q$175,COLUMN(C$1),FALSE)-G329-G131-G98)</f>
        <v>2.99999999999997</v>
      </c>
      <c r="H461" s="42">
        <f>MAX(0,VLOOKUP($B461,'93-07workbook'!$B$144:$Q$175,COLUMN(D$1),FALSE)-H329-H131-H98)</f>
        <v>125</v>
      </c>
      <c r="I461" s="42">
        <f>MAX(0,VLOOKUP($B461,'93-07workbook'!$B$144:$Q$175,COLUMN(E$1),FALSE)-I329-I131-I98)</f>
        <v>190</v>
      </c>
      <c r="J461" s="42">
        <f>MAX(0,VLOOKUP($B461,'93-07workbook'!$B$144:$Q$175,COLUMN(F$1),FALSE)-J329-J131-J98)</f>
        <v>0</v>
      </c>
      <c r="K461" s="42">
        <f>MAX(0,VLOOKUP($B461,'93-07workbook'!$B$144:$Q$175,COLUMN(G$1),FALSE)-K329-K131-K98)</f>
        <v>1.30000000000003</v>
      </c>
      <c r="L461" s="42">
        <f>MAX(0,VLOOKUP($B461,'93-07workbook'!$B$144:$Q$175,COLUMN(H$1),FALSE)-L329-L131-L98)</f>
        <v>138.1</v>
      </c>
      <c r="M461" s="42">
        <f>MAX(0,VLOOKUP($B461,'93-07workbook'!$B$144:$Q$175,COLUMN(I$1),FALSE)-M329-M131-M98)</f>
        <v>125</v>
      </c>
      <c r="N461" s="42">
        <f>MAX(0,VLOOKUP($B461,'93-07workbook'!$B$144:$Q$175,COLUMN(J$1),FALSE)-N329-N131-N98)</f>
        <v>0</v>
      </c>
      <c r="O461" s="42">
        <f>MAX(0,VLOOKUP($B461,'93-07workbook'!$B$144:$Q$175,COLUMN(K$1),FALSE)-O329-O131-O98)</f>
        <v>36.9999999999999</v>
      </c>
      <c r="P461" s="42">
        <f>MAX(0,VLOOKUP($B461,'93-07workbook'!$B$144:$Q$175,COLUMN(L$1),FALSE)-P329-P131-P98)</f>
        <v>102</v>
      </c>
      <c r="Q461" s="42">
        <f>MAX(0,VLOOKUP($B461,'93-07workbook'!$B$144:$Q$175,COLUMN(M$1),FALSE)-Q329-Q131-Q98)</f>
        <v>9</v>
      </c>
      <c r="R461" s="42">
        <f>MAX(0,VLOOKUP($B461,'93-07workbook'!$B$144:$Q$175,COLUMN(N$1),FALSE)-R329-R131-R98)</f>
        <v>0</v>
      </c>
      <c r="S461" s="42">
        <f>MAX(0,VLOOKUP($B461,'93-07workbook'!$B$144:$Q$175,COLUMN(O$1),FALSE)-S329-S131-S98)</f>
        <v>630</v>
      </c>
      <c r="T461" s="42">
        <f>MAX(0,VLOOKUP($B461,'93-07workbook'!$B$144:$Q$175,COLUMN(P$1),FALSE)-T329-T131-T98)</f>
        <v>383</v>
      </c>
      <c r="U461" s="42">
        <f>SUMIFS('08-21addition'!$H:$H,'08-21addition'!$A:$A,$B461,'08-21addition'!$B:$B,U$2)*10+VLOOKUP($B296,'project vs stock'!$A$72:$W$103,20,FALSE)/9</f>
        <v>140</v>
      </c>
      <c r="V461" s="42">
        <f>SUMIFS('08-21addition'!$H:$H,'08-21addition'!$A:$A,$B461,'08-21addition'!$B:$B,V$2)*10+VLOOKUP($B296,'project vs stock'!$A$72:$W$103,20,FALSE)/9</f>
        <v>0</v>
      </c>
      <c r="W461" s="42">
        <f>SUMIFS('08-21addition'!$H:$H,'08-21addition'!$A:$A,$B461,'08-21addition'!$B:$B,W$2)*10+VLOOKUP($B296,'project vs stock'!$A$72:$W$103,20,FALSE)/9</f>
        <v>0</v>
      </c>
      <c r="X461" s="42">
        <f>SUMIFS('08-21addition'!$H:$H,'08-21addition'!$A:$A,$B461,'08-21addition'!$B:$B,X$2)*10+VLOOKUP($B296,'project vs stock'!$A$72:$W$103,20,FALSE)/9</f>
        <v>270</v>
      </c>
      <c r="Y461" s="42">
        <f>SUMIFS('08-21addition'!$H:$H,'08-21addition'!$A:$A,$B461,'08-21addition'!$B:$B,Y$2)*10+VLOOKUP($B296,'project vs stock'!$A$72:$W$103,20,FALSE)/9</f>
        <v>0</v>
      </c>
      <c r="Z461" s="42">
        <f>SUMIFS('08-21addition'!$H:$H,'08-21addition'!$A:$A,$B461,'08-21addition'!$B:$B,Z$2)*10+VLOOKUP($B296,'project vs stock'!$A$72:$W$103,20,FALSE)/9</f>
        <v>41.5</v>
      </c>
      <c r="AA461" s="42">
        <f>SUMIFS('08-21addition'!$H:$H,'08-21addition'!$A:$A,$B461,'08-21addition'!$B:$B,AA$2)*10+VLOOKUP($B296,'project vs stock'!$A$72:$W$103,20,FALSE)/9</f>
        <v>0</v>
      </c>
      <c r="AB461" s="42">
        <f>SUMIFS('08-21addition'!$H:$H,'08-21addition'!$A:$A,$B461,'08-21addition'!$B:$B,AB$2)*10+VLOOKUP($B296,'project vs stock'!$A$72:$W$103,20,FALSE)/9</f>
        <v>1010</v>
      </c>
      <c r="AC461" s="42">
        <f>SUMIFS('08-21addition'!$H:$H,'08-21addition'!$A:$A,$B461,'08-21addition'!$B:$B,AC$2)*10+VLOOKUP($B296,'project vs stock'!$A$72:$W$103,20,FALSE)/9</f>
        <v>1010</v>
      </c>
      <c r="AD461" s="42">
        <f>SUMIFS('08-21addition'!$H:$H,'08-21addition'!$A:$A,$B461,'08-21addition'!$B:$B,AD$2)*10+VLOOKUP($B461,'project vs stock'!$A$72:$W$103,8,FALSE)/5</f>
        <v>270</v>
      </c>
      <c r="AE461" s="42">
        <f>SUMIFS('08-21addition'!$H:$H,'08-21addition'!$A:$A,$B461,'08-21addition'!$B:$B,AE$2)*10+VLOOKUP($B461,'project vs stock'!$A$72:$W$103,8,FALSE)/5</f>
        <v>0</v>
      </c>
      <c r="AF461" s="43">
        <f>SUMIFS('08-21addition'!$H:$H,'08-21addition'!$A:$A,$B461,'08-21addition'!$B:$B,AF$2)*10+VLOOKUP($B461,'project vs stock'!$A$72:$W$103,8,FALSE)/5</f>
        <v>0</v>
      </c>
    </row>
    <row r="462" ht="13.85" spans="1:32">
      <c r="A462" s="27" t="s">
        <v>165</v>
      </c>
      <c r="B462" s="44" t="s">
        <v>140</v>
      </c>
      <c r="C462" s="45"/>
      <c r="D462" s="45"/>
      <c r="E462" s="45"/>
      <c r="F462" s="42">
        <f>MAX(0,VLOOKUP($B462,'93-07workbook'!$B$144:$Q$175,COLUMN(B$1),FALSE)-F330-F132-F99)</f>
        <v>0</v>
      </c>
      <c r="G462" s="42">
        <f>MAX(0,VLOOKUP($B462,'93-07workbook'!$B$144:$Q$175,COLUMN(C$1),FALSE)-G330-G132-G99)</f>
        <v>12.0000000000002</v>
      </c>
      <c r="H462" s="42">
        <f>MAX(0,VLOOKUP($B462,'93-07workbook'!$B$144:$Q$175,COLUMN(D$1),FALSE)-H330-H132-H99)</f>
        <v>2.99999999999983</v>
      </c>
      <c r="I462" s="42">
        <f>MAX(0,VLOOKUP($B462,'93-07workbook'!$B$144:$Q$175,COLUMN(E$1),FALSE)-I330-I132-I99)</f>
        <v>12.0000000000002</v>
      </c>
      <c r="J462" s="42">
        <f>MAX(0,VLOOKUP($B462,'93-07workbook'!$B$144:$Q$175,COLUMN(F$1),FALSE)-J330-J132-J99)</f>
        <v>603</v>
      </c>
      <c r="K462" s="42">
        <f>MAX(0,VLOOKUP($B462,'93-07workbook'!$B$144:$Q$175,COLUMN(G$1),FALSE)-K330-K132-K99)</f>
        <v>0</v>
      </c>
      <c r="L462" s="42">
        <f>MAX(0,VLOOKUP($B462,'93-07workbook'!$B$144:$Q$175,COLUMN(H$1),FALSE)-L330-L132-L99)</f>
        <v>0</v>
      </c>
      <c r="M462" s="42">
        <f>MAX(0,VLOOKUP($B462,'93-07workbook'!$B$144:$Q$175,COLUMN(I$1),FALSE)-M330-M132-M99)</f>
        <v>34.0000000000001</v>
      </c>
      <c r="N462" s="42">
        <f>MAX(0,VLOOKUP($B462,'93-07workbook'!$B$144:$Q$175,COLUMN(J$1),FALSE)-N330-N132-N99)</f>
        <v>45.9999999999999</v>
      </c>
      <c r="O462" s="42">
        <f>MAX(0,VLOOKUP($B462,'93-07workbook'!$B$144:$Q$175,COLUMN(K$1),FALSE)-O330-O132-O99)</f>
        <v>340</v>
      </c>
      <c r="P462" s="42">
        <f>MAX(0,VLOOKUP($B462,'93-07workbook'!$B$144:$Q$175,COLUMN(L$1),FALSE)-P330-P132-P99)</f>
        <v>716</v>
      </c>
      <c r="Q462" s="42">
        <f>MAX(0,VLOOKUP($B462,'93-07workbook'!$B$144:$Q$175,COLUMN(M$1),FALSE)-Q330-Q132-Q99)</f>
        <v>680</v>
      </c>
      <c r="R462" s="42">
        <f>MAX(0,VLOOKUP($B462,'93-07workbook'!$B$144:$Q$175,COLUMN(N$1),FALSE)-R330-R132-R99)</f>
        <v>860</v>
      </c>
      <c r="S462" s="42">
        <f>MAX(0,VLOOKUP($B462,'93-07workbook'!$B$144:$Q$175,COLUMN(O$1),FALSE)-S330-S132-S99)</f>
        <v>1890</v>
      </c>
      <c r="T462" s="42">
        <f>MAX(0,VLOOKUP($B462,'93-07workbook'!$B$144:$Q$175,COLUMN(P$1),FALSE)-T330-T132-T99)</f>
        <v>1200</v>
      </c>
      <c r="U462" s="42">
        <f>SUMIFS('08-21addition'!$H:$H,'08-21addition'!$A:$A,$B462,'08-21addition'!$B:$B,U$2)*10+VLOOKUP($B297,'project vs stock'!$A$72:$W$103,20,FALSE)/9</f>
        <v>572.555555555555</v>
      </c>
      <c r="V462" s="42">
        <f>SUMIFS('08-21addition'!$H:$H,'08-21addition'!$A:$A,$B462,'08-21addition'!$B:$B,V$2)*10+VLOOKUP($B297,'project vs stock'!$A$72:$W$103,20,FALSE)/9</f>
        <v>1342.55555555556</v>
      </c>
      <c r="W462" s="42">
        <f>SUMIFS('08-21addition'!$H:$H,'08-21addition'!$A:$A,$B462,'08-21addition'!$B:$B,W$2)*10+VLOOKUP($B297,'project vs stock'!$A$72:$W$103,20,FALSE)/9</f>
        <v>3842.55555555556</v>
      </c>
      <c r="X462" s="42">
        <f>SUMIFS('08-21addition'!$H:$H,'08-21addition'!$A:$A,$B462,'08-21addition'!$B:$B,X$2)*10+VLOOKUP($B297,'project vs stock'!$A$72:$W$103,20,FALSE)/9</f>
        <v>3882.55555555556</v>
      </c>
      <c r="Y462" s="42">
        <f>SUMIFS('08-21addition'!$H:$H,'08-21addition'!$A:$A,$B462,'08-21addition'!$B:$B,Y$2)*10+VLOOKUP($B297,'project vs stock'!$A$72:$W$103,20,FALSE)/9</f>
        <v>142.555555555555</v>
      </c>
      <c r="Z462" s="42">
        <f>SUMIFS('08-21addition'!$H:$H,'08-21addition'!$A:$A,$B462,'08-21addition'!$B:$B,Z$2)*10+VLOOKUP($B297,'project vs stock'!$A$72:$W$103,20,FALSE)/9</f>
        <v>862.555555555555</v>
      </c>
      <c r="AA462" s="42">
        <f>SUMIFS('08-21addition'!$H:$H,'08-21addition'!$A:$A,$B462,'08-21addition'!$B:$B,AA$2)*10+VLOOKUP($B297,'project vs stock'!$A$72:$W$103,20,FALSE)/9</f>
        <v>702.555555555555</v>
      </c>
      <c r="AB462" s="42">
        <f>SUMIFS('08-21addition'!$H:$H,'08-21addition'!$A:$A,$B462,'08-21addition'!$B:$B,AB$2)*10+VLOOKUP($B297,'project vs stock'!$A$72:$W$103,20,FALSE)/9</f>
        <v>1322.55555555556</v>
      </c>
      <c r="AC462" s="42">
        <f>SUMIFS('08-21addition'!$H:$H,'08-21addition'!$A:$A,$B462,'08-21addition'!$B:$B,AC$2)*10+VLOOKUP($B297,'project vs stock'!$A$72:$W$103,20,FALSE)/9</f>
        <v>1892.55555555556</v>
      </c>
      <c r="AD462" s="42">
        <f>SUMIFS('08-21addition'!$H:$H,'08-21addition'!$A:$A,$B462,'08-21addition'!$B:$B,AD$2)*10+VLOOKUP($B462,'project vs stock'!$A$72:$W$103,8,FALSE)/5</f>
        <v>4692</v>
      </c>
      <c r="AE462" s="42">
        <f>SUMIFS('08-21addition'!$H:$H,'08-21addition'!$A:$A,$B462,'08-21addition'!$B:$B,AE$2)*10+VLOOKUP($B462,'project vs stock'!$A$72:$W$103,8,FALSE)/5</f>
        <v>1392</v>
      </c>
      <c r="AF462" s="43">
        <f>SUMIFS('08-21addition'!$H:$H,'08-21addition'!$A:$A,$B462,'08-21addition'!$B:$B,AF$2)*10+VLOOKUP($B462,'project vs stock'!$A$72:$W$103,8,FALSE)/5</f>
        <v>4042</v>
      </c>
    </row>
    <row r="463" ht="13.85" spans="1:32">
      <c r="A463" s="27" t="s">
        <v>165</v>
      </c>
      <c r="B463" s="44" t="s">
        <v>142</v>
      </c>
      <c r="C463" s="45"/>
      <c r="D463" s="45"/>
      <c r="E463" s="45"/>
      <c r="F463" s="42">
        <f>MAX(0,VLOOKUP($B463,'93-07workbook'!$B$144:$Q$175,COLUMN(B$1),FALSE)-F331-F133-F100)</f>
        <v>57</v>
      </c>
      <c r="G463" s="42">
        <f>MAX(0,VLOOKUP($B463,'93-07workbook'!$B$144:$Q$175,COLUMN(C$1),FALSE)-G331-G133-G100)</f>
        <v>298.3</v>
      </c>
      <c r="H463" s="42">
        <f>MAX(0,VLOOKUP($B463,'93-07workbook'!$B$144:$Q$175,COLUMN(D$1),FALSE)-H331-H133-H100)</f>
        <v>111.7</v>
      </c>
      <c r="I463" s="42">
        <f>MAX(0,VLOOKUP($B463,'93-07workbook'!$B$144:$Q$175,COLUMN(E$1),FALSE)-I331-I133-I100)</f>
        <v>284.9</v>
      </c>
      <c r="J463" s="42">
        <f>MAX(0,VLOOKUP($B463,'93-07workbook'!$B$144:$Q$175,COLUMN(F$1),FALSE)-J331-J133-J100)</f>
        <v>155.8</v>
      </c>
      <c r="K463" s="42">
        <f>MAX(0,VLOOKUP($B463,'93-07workbook'!$B$144:$Q$175,COLUMN(G$1),FALSE)-K331-K133-K100)</f>
        <v>359.5</v>
      </c>
      <c r="L463" s="42">
        <f>MAX(0,VLOOKUP($B463,'93-07workbook'!$B$144:$Q$175,COLUMN(H$1),FALSE)-L331-L133-L100)</f>
        <v>37</v>
      </c>
      <c r="M463" s="42">
        <f>MAX(0,VLOOKUP($B463,'93-07workbook'!$B$144:$Q$175,COLUMN(I$1),FALSE)-M331-M133-M100)</f>
        <v>417.5</v>
      </c>
      <c r="N463" s="42">
        <f>MAX(0,VLOOKUP($B463,'93-07workbook'!$B$144:$Q$175,COLUMN(J$1),FALSE)-N331-N133-N100)</f>
        <v>288</v>
      </c>
      <c r="O463" s="42">
        <f>MAX(0,VLOOKUP($B463,'93-07workbook'!$B$144:$Q$175,COLUMN(K$1),FALSE)-O331-O133-O100)</f>
        <v>232</v>
      </c>
      <c r="P463" s="42">
        <f>MAX(0,VLOOKUP($B463,'93-07workbook'!$B$144:$Q$175,COLUMN(L$1),FALSE)-P331-P133-P100)</f>
        <v>460.6</v>
      </c>
      <c r="Q463" s="42">
        <f>MAX(0,VLOOKUP($B463,'93-07workbook'!$B$144:$Q$175,COLUMN(M$1),FALSE)-Q331-Q133-Q100)</f>
        <v>543.2</v>
      </c>
      <c r="R463" s="42">
        <f>MAX(0,VLOOKUP($B463,'93-07workbook'!$B$144:$Q$175,COLUMN(N$1),FALSE)-R331-R133-R100)</f>
        <v>177</v>
      </c>
      <c r="S463" s="42">
        <f>MAX(0,VLOOKUP($B463,'93-07workbook'!$B$144:$Q$175,COLUMN(O$1),FALSE)-S331-S133-S100)</f>
        <v>887.000000000001</v>
      </c>
      <c r="T463" s="42">
        <f>MAX(0,VLOOKUP($B463,'93-07workbook'!$B$144:$Q$175,COLUMN(P$1),FALSE)-T331-T133-T100)</f>
        <v>620</v>
      </c>
      <c r="U463" s="42">
        <f>SUMIFS('08-21addition'!$H:$H,'08-21addition'!$A:$A,$B463,'08-21addition'!$B:$B,U$2)*10+VLOOKUP($B298,'project vs stock'!$A$72:$W$103,20,FALSE)/9</f>
        <v>3097.67777777778</v>
      </c>
      <c r="V463" s="42">
        <f>SUMIFS('08-21addition'!$H:$H,'08-21addition'!$A:$A,$B463,'08-21addition'!$B:$B,V$2)*10+VLOOKUP($B298,'project vs stock'!$A$72:$W$103,20,FALSE)/9</f>
        <v>2562.67777777778</v>
      </c>
      <c r="W463" s="42">
        <f>SUMIFS('08-21addition'!$H:$H,'08-21addition'!$A:$A,$B463,'08-21addition'!$B:$B,W$2)*10+VLOOKUP($B298,'project vs stock'!$A$72:$W$103,20,FALSE)/9</f>
        <v>2152.67777777778</v>
      </c>
      <c r="X463" s="42">
        <f>SUMIFS('08-21addition'!$H:$H,'08-21addition'!$A:$A,$B463,'08-21addition'!$B:$B,X$2)*10+VLOOKUP($B298,'project vs stock'!$A$72:$W$103,20,FALSE)/9</f>
        <v>5577.67777777778</v>
      </c>
      <c r="Y463" s="42">
        <f>SUMIFS('08-21addition'!$H:$H,'08-21addition'!$A:$A,$B463,'08-21addition'!$B:$B,Y$2)*10+VLOOKUP($B298,'project vs stock'!$A$72:$W$103,20,FALSE)/9</f>
        <v>5691.67777777778</v>
      </c>
      <c r="Z463" s="42">
        <f>SUMIFS('08-21addition'!$H:$H,'08-21addition'!$A:$A,$B463,'08-21addition'!$B:$B,Z$2)*10+VLOOKUP($B298,'project vs stock'!$A$72:$W$103,20,FALSE)/9</f>
        <v>5847.67777777778</v>
      </c>
      <c r="AA463" s="42">
        <f>SUMIFS('08-21addition'!$H:$H,'08-21addition'!$A:$A,$B463,'08-21addition'!$B:$B,AA$2)*10+VLOOKUP($B298,'project vs stock'!$A$72:$W$103,20,FALSE)/9</f>
        <v>7167.67777777778</v>
      </c>
      <c r="AB463" s="42">
        <f>SUMIFS('08-21addition'!$H:$H,'08-21addition'!$A:$A,$B463,'08-21addition'!$B:$B,AB$2)*10+VLOOKUP($B298,'project vs stock'!$A$72:$W$103,20,FALSE)/9</f>
        <v>6127.67777777778</v>
      </c>
      <c r="AC463" s="42">
        <f>SUMIFS('08-21addition'!$H:$H,'08-21addition'!$A:$A,$B463,'08-21addition'!$B:$B,AC$2)*10+VLOOKUP($B298,'project vs stock'!$A$72:$W$103,20,FALSE)/9</f>
        <v>4172.67777777778</v>
      </c>
      <c r="AD463" s="42">
        <f>SUMIFS('08-21addition'!$H:$H,'08-21addition'!$A:$A,$B463,'08-21addition'!$B:$B,AD$2)*10+VLOOKUP($B463,'project vs stock'!$A$72:$W$103,8,FALSE)/5</f>
        <v>5730.84</v>
      </c>
      <c r="AE463" s="42">
        <f>SUMIFS('08-21addition'!$H:$H,'08-21addition'!$A:$A,$B463,'08-21addition'!$B:$B,AE$2)*10+VLOOKUP($B463,'project vs stock'!$A$72:$W$103,8,FALSE)/5</f>
        <v>3345.84</v>
      </c>
      <c r="AF463" s="43">
        <f>SUMIFS('08-21addition'!$H:$H,'08-21addition'!$A:$A,$B463,'08-21addition'!$B:$B,AF$2)*10+VLOOKUP($B463,'project vs stock'!$A$72:$W$103,8,FALSE)/5</f>
        <v>4123.64</v>
      </c>
    </row>
  </sheetData>
  <mergeCells count="1">
    <mergeCell ref="A1:B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74"/>
  <sheetViews>
    <sheetView tabSelected="1" topLeftCell="A211" workbookViewId="0">
      <selection activeCell="H223" sqref="H223"/>
    </sheetView>
  </sheetViews>
  <sheetFormatPr defaultColWidth="9" defaultRowHeight="12.75"/>
  <cols>
    <col min="1" max="1" width="24.5752212389381" customWidth="1"/>
    <col min="2" max="38" width="9" customWidth="1"/>
  </cols>
  <sheetData>
    <row r="1" ht="13.85" spans="1:39">
      <c r="A1" s="3" t="s">
        <v>2352</v>
      </c>
      <c r="B1" s="4" t="str">
        <f>VLOOKUP(About!B59,'Province Selector'!$B$2:$C$33,2,FALSE)</f>
        <v>全国</v>
      </c>
      <c r="C1" s="5" t="s">
        <v>2353</v>
      </c>
    </row>
    <row r="2" ht="13.85" spans="1:39">
      <c r="A2" s="6"/>
      <c r="B2" s="7"/>
      <c r="C2" s="7"/>
      <c r="D2" s="7"/>
    </row>
    <row r="3" ht="13.85" spans="1:39">
      <c r="A3" s="8" t="s">
        <v>2354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</row>
    <row r="4" ht="13.85" spans="1:39">
      <c r="A4" s="11" t="s">
        <v>2355</v>
      </c>
      <c r="B4" s="11"/>
      <c r="C4" s="11"/>
      <c r="D4" s="11"/>
      <c r="E4" s="7"/>
      <c r="F4" s="12" t="s">
        <v>2356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7"/>
      <c r="T4" s="12" t="s">
        <v>2357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7"/>
      <c r="AH4" s="13" t="s">
        <v>2358</v>
      </c>
      <c r="AI4" s="14"/>
      <c r="AJ4" s="7"/>
      <c r="AK4" s="15" t="s">
        <v>2359</v>
      </c>
      <c r="AL4" s="15"/>
      <c r="AM4" s="15"/>
    </row>
    <row r="5" s="1" customFormat="1" ht="51" spans="1:39">
      <c r="A5" s="16" t="s">
        <v>2360</v>
      </c>
      <c r="B5" s="16" t="s">
        <v>2361</v>
      </c>
      <c r="C5" s="16" t="s">
        <v>2362</v>
      </c>
      <c r="D5" s="16" t="s">
        <v>2363</v>
      </c>
      <c r="F5" s="16" t="s">
        <v>2364</v>
      </c>
      <c r="G5" s="16">
        <v>2019</v>
      </c>
      <c r="H5" s="16">
        <v>2020</v>
      </c>
      <c r="I5" s="16">
        <v>2021</v>
      </c>
      <c r="J5" s="16">
        <v>2022</v>
      </c>
      <c r="K5" s="16">
        <v>2023</v>
      </c>
      <c r="L5" s="16">
        <v>2024</v>
      </c>
      <c r="M5" s="16">
        <v>2025</v>
      </c>
      <c r="N5" s="16">
        <v>2026</v>
      </c>
      <c r="O5" s="16">
        <v>2027</v>
      </c>
      <c r="P5" s="16">
        <v>2028</v>
      </c>
      <c r="Q5" s="16">
        <v>2029</v>
      </c>
      <c r="R5" s="16">
        <v>2030</v>
      </c>
      <c r="T5" s="16" t="s">
        <v>2364</v>
      </c>
      <c r="U5" s="16">
        <v>2019</v>
      </c>
      <c r="V5" s="16">
        <v>2020</v>
      </c>
      <c r="W5" s="16">
        <v>2021</v>
      </c>
      <c r="X5" s="16">
        <v>2022</v>
      </c>
      <c r="Y5" s="16">
        <v>2023</v>
      </c>
      <c r="Z5" s="16">
        <v>2024</v>
      </c>
      <c r="AA5" s="16">
        <v>2025</v>
      </c>
      <c r="AB5" s="16">
        <v>2026</v>
      </c>
      <c r="AC5" s="16">
        <v>2027</v>
      </c>
      <c r="AD5" s="16">
        <v>2028</v>
      </c>
      <c r="AE5" s="16">
        <v>2029</v>
      </c>
      <c r="AF5" s="16">
        <v>2030</v>
      </c>
      <c r="AH5" s="16"/>
      <c r="AI5" s="16" t="s">
        <v>2365</v>
      </c>
      <c r="AK5" s="16" t="s">
        <v>2366</v>
      </c>
      <c r="AL5" s="16" t="s">
        <v>2367</v>
      </c>
      <c r="AM5" s="16" t="s">
        <v>2368</v>
      </c>
    </row>
    <row r="6" spans="1:39">
      <c r="A6" s="17" t="s">
        <v>2369</v>
      </c>
      <c r="B6" s="17">
        <v>1005869</v>
      </c>
      <c r="C6" s="17">
        <v>0</v>
      </c>
      <c r="D6" s="17">
        <v>0</v>
      </c>
      <c r="F6" s="17" t="s">
        <v>2369</v>
      </c>
      <c r="G6" s="17">
        <v>30964.4</v>
      </c>
      <c r="H6" s="17">
        <v>38613</v>
      </c>
      <c r="I6" s="17">
        <v>26707</v>
      </c>
      <c r="J6" s="17">
        <v>28272</v>
      </c>
      <c r="K6" s="17">
        <v>48098</v>
      </c>
      <c r="L6" s="17">
        <v>45448</v>
      </c>
      <c r="M6" s="17">
        <v>115238</v>
      </c>
      <c r="N6" s="17">
        <v>70081</v>
      </c>
      <c r="O6" s="17">
        <v>40605</v>
      </c>
      <c r="P6" s="17">
        <v>33497</v>
      </c>
      <c r="Q6" s="17">
        <v>33497</v>
      </c>
      <c r="R6" s="17">
        <v>0</v>
      </c>
      <c r="T6" s="17" t="s">
        <v>2369</v>
      </c>
      <c r="U6" s="17">
        <v>30964.4</v>
      </c>
      <c r="V6" s="17">
        <v>38613</v>
      </c>
      <c r="W6" s="17">
        <v>28053</v>
      </c>
      <c r="X6" s="17">
        <v>28272</v>
      </c>
      <c r="Y6" s="17">
        <v>48098</v>
      </c>
      <c r="Z6" s="17">
        <v>44485</v>
      </c>
      <c r="AA6" s="17">
        <v>79084</v>
      </c>
      <c r="AB6" s="17">
        <v>33295</v>
      </c>
      <c r="AC6" s="17">
        <v>14086</v>
      </c>
      <c r="AD6" s="17">
        <v>12762</v>
      </c>
      <c r="AE6" s="17">
        <v>12762</v>
      </c>
      <c r="AF6" s="17">
        <v>0</v>
      </c>
      <c r="AH6" s="17" t="s">
        <v>2369</v>
      </c>
      <c r="AI6" s="17">
        <v>6</v>
      </c>
      <c r="AK6" s="17" t="s">
        <v>2369</v>
      </c>
      <c r="AL6" s="18">
        <v>35</v>
      </c>
      <c r="AM6" s="18">
        <f>AL6-5</f>
        <v>30</v>
      </c>
    </row>
    <row r="7" spans="1:39">
      <c r="A7" s="17" t="s">
        <v>2370</v>
      </c>
      <c r="B7" s="17">
        <v>63168</v>
      </c>
      <c r="C7" s="17">
        <v>0</v>
      </c>
      <c r="D7" s="17">
        <v>0</v>
      </c>
      <c r="F7" s="17" t="s">
        <v>2370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T7" s="17" t="s">
        <v>2370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H7" s="17" t="s">
        <v>2370</v>
      </c>
      <c r="AI7" s="17">
        <v>5</v>
      </c>
      <c r="AK7" s="17" t="s">
        <v>2370</v>
      </c>
      <c r="AL7" s="18">
        <v>35</v>
      </c>
      <c r="AM7" s="18">
        <f t="shared" ref="AM7:AM12" si="0">AL7</f>
        <v>35</v>
      </c>
    </row>
    <row r="8" spans="1:39">
      <c r="A8" s="17" t="s">
        <v>2371</v>
      </c>
      <c r="B8" s="17">
        <v>48740</v>
      </c>
      <c r="C8" s="17">
        <v>0</v>
      </c>
      <c r="D8" s="17">
        <v>0</v>
      </c>
      <c r="F8" s="17" t="s">
        <v>2371</v>
      </c>
      <c r="G8" s="17">
        <v>4086</v>
      </c>
      <c r="H8" s="17">
        <v>1118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T8" s="17" t="s">
        <v>2371</v>
      </c>
      <c r="U8" s="17">
        <v>0</v>
      </c>
      <c r="V8" s="17">
        <v>0</v>
      </c>
      <c r="W8" s="17">
        <v>2236.79</v>
      </c>
      <c r="X8" s="17">
        <v>2280</v>
      </c>
      <c r="Y8" s="17">
        <v>3171</v>
      </c>
      <c r="Z8" s="17">
        <v>1212</v>
      </c>
      <c r="AA8" s="17">
        <v>5482</v>
      </c>
      <c r="AB8" s="17">
        <v>5549</v>
      </c>
      <c r="AC8" s="17">
        <v>8652</v>
      </c>
      <c r="AD8" s="17">
        <v>1274</v>
      </c>
      <c r="AE8" s="17">
        <v>2524</v>
      </c>
      <c r="AF8" s="17">
        <v>2400</v>
      </c>
      <c r="AH8" s="17" t="s">
        <v>2371</v>
      </c>
      <c r="AI8" s="17">
        <v>650</v>
      </c>
      <c r="AK8" s="17" t="s">
        <v>2371</v>
      </c>
      <c r="AL8" s="18">
        <v>50</v>
      </c>
      <c r="AM8" s="18">
        <f t="shared" si="0"/>
        <v>50</v>
      </c>
    </row>
    <row r="9" spans="1:39">
      <c r="A9" s="17" t="s">
        <v>2372</v>
      </c>
      <c r="B9" s="17">
        <v>327527</v>
      </c>
      <c r="C9" s="17">
        <v>0</v>
      </c>
      <c r="D9" s="17">
        <v>0</v>
      </c>
      <c r="F9" s="17" t="s">
        <v>2372</v>
      </c>
      <c r="G9" s="17">
        <v>4146.1</v>
      </c>
      <c r="H9" s="17">
        <v>11925.1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T9" s="17" t="s">
        <v>2372</v>
      </c>
      <c r="U9" s="17">
        <v>4146.1</v>
      </c>
      <c r="V9" s="17">
        <v>11925.1</v>
      </c>
      <c r="W9" s="17">
        <v>18286.5</v>
      </c>
      <c r="X9" s="17">
        <v>14920</v>
      </c>
      <c r="Y9" s="17">
        <v>52663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H9" s="17" t="s">
        <v>2372</v>
      </c>
      <c r="AI9" s="17">
        <v>1</v>
      </c>
      <c r="AK9" s="17" t="s">
        <v>2372</v>
      </c>
      <c r="AL9" s="18">
        <v>70</v>
      </c>
      <c r="AM9" s="18">
        <f t="shared" si="0"/>
        <v>70</v>
      </c>
    </row>
    <row r="10" spans="1:39">
      <c r="A10" s="17" t="s">
        <v>2373</v>
      </c>
      <c r="B10" s="17">
        <v>203953</v>
      </c>
      <c r="C10" s="17">
        <v>0</v>
      </c>
      <c r="D10" s="17">
        <v>0</v>
      </c>
      <c r="F10" s="17" t="s">
        <v>2373</v>
      </c>
      <c r="G10" s="17">
        <v>0</v>
      </c>
      <c r="H10" s="17">
        <v>69473.5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T10" s="17" t="s">
        <v>2373</v>
      </c>
      <c r="U10" s="17">
        <v>23363.9</v>
      </c>
      <c r="V10" s="17">
        <v>69473.5</v>
      </c>
      <c r="W10" s="17">
        <v>30317.7</v>
      </c>
      <c r="X10" s="17">
        <v>31882.5</v>
      </c>
      <c r="Y10" s="17">
        <v>69059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H10" s="17" t="s">
        <v>2373</v>
      </c>
      <c r="AI10" s="17">
        <v>2</v>
      </c>
      <c r="AK10" s="17" t="s">
        <v>2373</v>
      </c>
      <c r="AL10" s="18">
        <v>25</v>
      </c>
      <c r="AM10" s="18">
        <f t="shared" si="0"/>
        <v>25</v>
      </c>
    </row>
    <row r="11" spans="1:39">
      <c r="A11" s="17" t="s">
        <v>2374</v>
      </c>
      <c r="B11" s="17">
        <v>141670</v>
      </c>
      <c r="C11" s="17">
        <v>0</v>
      </c>
      <c r="D11" s="17">
        <v>0</v>
      </c>
      <c r="F11" s="17" t="s">
        <v>2374</v>
      </c>
      <c r="G11" s="17">
        <v>0</v>
      </c>
      <c r="H11" s="17">
        <v>31208.7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T11" s="17" t="s">
        <v>2374</v>
      </c>
      <c r="U11" s="17">
        <v>17410</v>
      </c>
      <c r="V11" s="17">
        <v>31108.7</v>
      </c>
      <c r="W11" s="17">
        <v>25550.7</v>
      </c>
      <c r="X11" s="17">
        <v>35794.6</v>
      </c>
      <c r="Y11" s="17">
        <v>120057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H11" s="17" t="s">
        <v>2374</v>
      </c>
      <c r="AI11" s="17">
        <v>1</v>
      </c>
      <c r="AK11" s="17" t="s">
        <v>2374</v>
      </c>
      <c r="AL11" s="18">
        <v>25</v>
      </c>
      <c r="AM11" s="18">
        <f t="shared" si="0"/>
        <v>25</v>
      </c>
    </row>
    <row r="12" spans="1:39">
      <c r="A12" s="17" t="s">
        <v>2375</v>
      </c>
      <c r="B12" s="17">
        <v>0</v>
      </c>
      <c r="C12" s="17">
        <v>0</v>
      </c>
      <c r="D12" s="17">
        <v>0</v>
      </c>
      <c r="F12" s="17" t="s">
        <v>2375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T12" s="17" t="s">
        <v>2375</v>
      </c>
      <c r="U12" s="17">
        <v>200</v>
      </c>
      <c r="V12" s="17">
        <v>100</v>
      </c>
      <c r="W12" s="17">
        <v>50</v>
      </c>
      <c r="X12" s="17">
        <v>150</v>
      </c>
      <c r="Y12" s="17">
        <v>0</v>
      </c>
      <c r="Z12" s="17">
        <v>2205</v>
      </c>
      <c r="AA12" s="17">
        <v>2205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H12" s="17" t="s">
        <v>2375</v>
      </c>
      <c r="AI12" s="17">
        <v>50</v>
      </c>
      <c r="AK12" s="17" t="s">
        <v>2375</v>
      </c>
      <c r="AL12" s="18">
        <v>25</v>
      </c>
      <c r="AM12" s="18">
        <f t="shared" si="0"/>
        <v>25</v>
      </c>
    </row>
    <row r="13" spans="1:39">
      <c r="A13" s="17" t="s">
        <v>2376</v>
      </c>
      <c r="B13" s="17">
        <v>11882</v>
      </c>
      <c r="C13" s="17">
        <v>0</v>
      </c>
      <c r="D13" s="17">
        <v>0</v>
      </c>
      <c r="F13" s="17" t="s">
        <v>2376</v>
      </c>
      <c r="G13" s="17">
        <v>1189.5</v>
      </c>
      <c r="H13" s="17">
        <v>2230.5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T13" s="17" t="s">
        <v>2376</v>
      </c>
      <c r="U13" s="17">
        <v>1189.5</v>
      </c>
      <c r="V13" s="17">
        <v>2230.5</v>
      </c>
      <c r="W13" s="17">
        <v>2251.4</v>
      </c>
      <c r="X13" s="17">
        <v>1137</v>
      </c>
      <c r="Y13" s="17">
        <v>1170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H13" s="17" t="s">
        <v>2376</v>
      </c>
      <c r="AI13" s="17">
        <v>6</v>
      </c>
      <c r="AK13" s="17" t="s">
        <v>2376</v>
      </c>
      <c r="AL13" s="18">
        <v>35</v>
      </c>
      <c r="AM13" s="18">
        <f t="shared" ref="AM13:AM21" si="1">AL13-5</f>
        <v>30</v>
      </c>
    </row>
    <row r="14" spans="1:39">
      <c r="A14" s="17" t="s">
        <v>2377</v>
      </c>
      <c r="B14" s="17">
        <v>527.28</v>
      </c>
      <c r="C14" s="17">
        <v>0</v>
      </c>
      <c r="D14" s="17">
        <v>0</v>
      </c>
      <c r="F14" s="17" t="s">
        <v>2377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T14" s="17" t="s">
        <v>2377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H14" s="17" t="s">
        <v>2377</v>
      </c>
      <c r="AI14" s="17">
        <v>5</v>
      </c>
      <c r="AK14" s="17" t="s">
        <v>2377</v>
      </c>
      <c r="AL14" s="18">
        <v>30</v>
      </c>
      <c r="AM14" s="18">
        <f>AL14</f>
        <v>30</v>
      </c>
    </row>
    <row r="15" spans="1:39">
      <c r="A15" s="17" t="s">
        <v>2378</v>
      </c>
      <c r="B15" s="17">
        <v>399.085694365215</v>
      </c>
      <c r="C15" s="17">
        <v>0</v>
      </c>
      <c r="D15" s="17">
        <v>0</v>
      </c>
      <c r="F15" s="17" t="s">
        <v>2378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T15" s="17" t="s">
        <v>2378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H15" s="17" t="s">
        <v>2378</v>
      </c>
      <c r="AI15" s="17">
        <v>5</v>
      </c>
      <c r="AK15" s="17" t="s">
        <v>2378</v>
      </c>
      <c r="AL15" s="18">
        <v>35</v>
      </c>
      <c r="AM15" s="18">
        <f t="shared" si="1"/>
        <v>30</v>
      </c>
    </row>
    <row r="16" spans="1:39">
      <c r="A16" s="17" t="s">
        <v>2379</v>
      </c>
      <c r="B16" s="17">
        <v>27072</v>
      </c>
      <c r="C16" s="17">
        <v>0</v>
      </c>
      <c r="D16" s="17">
        <v>0</v>
      </c>
      <c r="F16" s="17" t="s">
        <v>2379</v>
      </c>
      <c r="G16" s="17">
        <v>0</v>
      </c>
      <c r="H16" s="17">
        <v>8228.4</v>
      </c>
      <c r="I16" s="17">
        <v>10236</v>
      </c>
      <c r="J16" s="17">
        <v>11202</v>
      </c>
      <c r="K16" s="17">
        <v>11232</v>
      </c>
      <c r="L16" s="17">
        <v>28133</v>
      </c>
      <c r="M16" s="17">
        <v>30535</v>
      </c>
      <c r="N16" s="17">
        <v>18570</v>
      </c>
      <c r="O16" s="17">
        <v>13938</v>
      </c>
      <c r="P16" s="17">
        <v>9519</v>
      </c>
      <c r="Q16" s="17">
        <v>9399</v>
      </c>
      <c r="R16" s="17">
        <v>10519</v>
      </c>
      <c r="T16" s="17" t="s">
        <v>2379</v>
      </c>
      <c r="U16" s="17">
        <v>6289.5</v>
      </c>
      <c r="V16" s="17">
        <v>8228.4</v>
      </c>
      <c r="W16" s="17">
        <v>6260.3</v>
      </c>
      <c r="X16" s="17">
        <v>11202</v>
      </c>
      <c r="Y16" s="17">
        <v>11232</v>
      </c>
      <c r="Z16" s="17">
        <v>24967</v>
      </c>
      <c r="AA16" s="17">
        <v>20447</v>
      </c>
      <c r="AB16" s="17">
        <v>9122</v>
      </c>
      <c r="AC16" s="17">
        <v>6010</v>
      </c>
      <c r="AD16" s="17">
        <v>1590</v>
      </c>
      <c r="AE16" s="17">
        <v>1470</v>
      </c>
      <c r="AF16" s="17">
        <v>1790</v>
      </c>
      <c r="AH16" s="17" t="s">
        <v>2379</v>
      </c>
      <c r="AI16" s="17">
        <v>0.95</v>
      </c>
      <c r="AK16" s="17" t="s">
        <v>2379</v>
      </c>
      <c r="AL16" s="18">
        <v>35</v>
      </c>
      <c r="AM16" s="18">
        <f>AL16</f>
        <v>35</v>
      </c>
    </row>
    <row r="17" spans="1:39">
      <c r="A17" s="17" t="s">
        <v>2380</v>
      </c>
      <c r="B17" s="17">
        <v>34761</v>
      </c>
      <c r="C17" s="17">
        <v>0</v>
      </c>
      <c r="D17" s="17">
        <v>0</v>
      </c>
      <c r="F17" s="17" t="s">
        <v>2380</v>
      </c>
      <c r="G17" s="17">
        <v>1400</v>
      </c>
      <c r="H17" s="17">
        <v>1688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T17" s="17" t="s">
        <v>2380</v>
      </c>
      <c r="U17" s="17">
        <v>1400</v>
      </c>
      <c r="V17" s="17">
        <v>1688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H17" s="17" t="s">
        <v>2380</v>
      </c>
      <c r="AI17" s="17">
        <v>5</v>
      </c>
      <c r="AK17" s="17" t="s">
        <v>2380</v>
      </c>
      <c r="AL17" s="18">
        <v>35</v>
      </c>
      <c r="AM17" s="18">
        <f t="shared" si="1"/>
        <v>30</v>
      </c>
    </row>
    <row r="18" spans="1:39">
      <c r="A18" s="17" t="s">
        <v>2381</v>
      </c>
      <c r="B18" s="17">
        <v>5197</v>
      </c>
      <c r="C18" s="17">
        <v>0</v>
      </c>
      <c r="D18" s="17">
        <v>0</v>
      </c>
      <c r="F18" s="17" t="s">
        <v>2381</v>
      </c>
      <c r="G18" s="17">
        <v>0</v>
      </c>
      <c r="H18" s="17">
        <v>2643</v>
      </c>
      <c r="I18" s="17">
        <v>17021.5</v>
      </c>
      <c r="J18" s="17">
        <v>6727.5</v>
      </c>
      <c r="K18" s="17">
        <v>6169.5</v>
      </c>
      <c r="L18" s="17">
        <v>12975</v>
      </c>
      <c r="M18" s="17">
        <v>6505</v>
      </c>
      <c r="N18" s="17">
        <v>3600</v>
      </c>
      <c r="O18" s="17">
        <v>800</v>
      </c>
      <c r="P18" s="17">
        <v>1000</v>
      </c>
      <c r="Q18" s="17">
        <v>0</v>
      </c>
      <c r="R18" s="17">
        <v>0</v>
      </c>
      <c r="T18" s="17" t="s">
        <v>2381</v>
      </c>
      <c r="U18" s="17">
        <v>2355</v>
      </c>
      <c r="V18" s="17">
        <v>2643</v>
      </c>
      <c r="W18" s="17">
        <v>17021.5</v>
      </c>
      <c r="X18" s="17">
        <v>6727.5</v>
      </c>
      <c r="Y18" s="17">
        <v>6170</v>
      </c>
      <c r="Z18" s="17">
        <v>12975</v>
      </c>
      <c r="AA18" s="17">
        <v>6505</v>
      </c>
      <c r="AB18" s="17">
        <v>3600</v>
      </c>
      <c r="AC18" s="17">
        <v>800</v>
      </c>
      <c r="AD18" s="17">
        <v>1000</v>
      </c>
      <c r="AE18" s="17">
        <v>0</v>
      </c>
      <c r="AF18" s="17">
        <v>0</v>
      </c>
      <c r="AH18" s="17" t="s">
        <v>2381</v>
      </c>
      <c r="AI18" s="17">
        <v>33</v>
      </c>
      <c r="AK18" s="17" t="s">
        <v>2381</v>
      </c>
      <c r="AL18" s="18">
        <v>30</v>
      </c>
      <c r="AM18" s="18">
        <f>AL18</f>
        <v>30</v>
      </c>
    </row>
    <row r="19" spans="1:39">
      <c r="A19" s="17" t="s">
        <v>2382</v>
      </c>
      <c r="B19" s="17">
        <v>91.0502630411358</v>
      </c>
      <c r="C19" s="17">
        <v>0</v>
      </c>
      <c r="D19" s="17">
        <v>0</v>
      </c>
      <c r="F19" s="17" t="s">
        <v>2382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T19" s="17" t="s">
        <v>2382</v>
      </c>
      <c r="U19" s="17">
        <v>11925.1</v>
      </c>
      <c r="V19" s="17">
        <v>18286.5</v>
      </c>
      <c r="W19" s="17">
        <v>14920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H19" s="17" t="s">
        <v>2382</v>
      </c>
      <c r="AI19" s="17">
        <v>5</v>
      </c>
      <c r="AK19" s="17" t="s">
        <v>2382</v>
      </c>
      <c r="AL19" s="18">
        <v>35</v>
      </c>
      <c r="AM19" s="18">
        <f t="shared" si="1"/>
        <v>30</v>
      </c>
    </row>
    <row r="20" spans="1:39">
      <c r="A20" s="17" t="s">
        <v>2383</v>
      </c>
      <c r="B20" s="17">
        <v>1259.86404259365</v>
      </c>
      <c r="C20" s="17">
        <v>0</v>
      </c>
      <c r="D20" s="17">
        <v>0</v>
      </c>
      <c r="F20" s="17" t="s">
        <v>2383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T20" s="17" t="s">
        <v>2383</v>
      </c>
      <c r="U20" s="17">
        <v>1688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H20" s="17" t="s">
        <v>2383</v>
      </c>
      <c r="AI20" s="17">
        <v>5</v>
      </c>
      <c r="AK20" s="17" t="s">
        <v>2383</v>
      </c>
      <c r="AL20" s="18">
        <v>35</v>
      </c>
      <c r="AM20" s="18">
        <f t="shared" si="1"/>
        <v>30</v>
      </c>
    </row>
    <row r="21" spans="1:39">
      <c r="A21" s="17" t="s">
        <v>2384</v>
      </c>
      <c r="B21" s="17">
        <v>11730</v>
      </c>
      <c r="C21" s="17">
        <v>0</v>
      </c>
      <c r="D21" s="17">
        <v>0</v>
      </c>
      <c r="F21" s="17" t="s">
        <v>2384</v>
      </c>
      <c r="G21" s="17">
        <v>2731.6</v>
      </c>
      <c r="H21" s="17">
        <v>3002.3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T21" s="17" t="s">
        <v>2384</v>
      </c>
      <c r="U21" s="17">
        <v>2731.6</v>
      </c>
      <c r="V21" s="17">
        <v>3002.3</v>
      </c>
      <c r="W21" s="17">
        <v>6297.6</v>
      </c>
      <c r="X21" s="17">
        <v>2880</v>
      </c>
      <c r="Y21" s="17">
        <v>1600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H21" s="17" t="s">
        <v>2384</v>
      </c>
      <c r="AI21" s="17">
        <v>6</v>
      </c>
      <c r="AK21" s="17" t="s">
        <v>2384</v>
      </c>
      <c r="AL21" s="18">
        <v>35</v>
      </c>
      <c r="AM21" s="18">
        <f t="shared" si="1"/>
        <v>30</v>
      </c>
    </row>
    <row r="23" ht="13.85" spans="1:39">
      <c r="A23" s="8" t="s">
        <v>2385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</row>
    <row r="24" ht="13.85" spans="1:39">
      <c r="A24" s="19" t="s">
        <v>2386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9">
      <c r="A25" s="21" t="s">
        <v>143</v>
      </c>
      <c r="B25" s="22">
        <v>1990</v>
      </c>
      <c r="C25" s="22">
        <v>1991</v>
      </c>
      <c r="D25" s="22">
        <v>1992</v>
      </c>
      <c r="E25" s="22">
        <v>1993</v>
      </c>
      <c r="F25" s="22">
        <v>1994</v>
      </c>
      <c r="G25" s="22">
        <v>1995</v>
      </c>
      <c r="H25" s="22">
        <v>1996</v>
      </c>
      <c r="I25" s="22">
        <v>1997</v>
      </c>
      <c r="J25" s="22">
        <v>1998</v>
      </c>
      <c r="K25" s="22">
        <v>1999</v>
      </c>
      <c r="L25" s="22">
        <v>2000</v>
      </c>
      <c r="M25" s="22">
        <v>2001</v>
      </c>
      <c r="N25" s="22">
        <v>2002</v>
      </c>
      <c r="O25" s="22">
        <v>2003</v>
      </c>
      <c r="P25" s="22">
        <v>2004</v>
      </c>
      <c r="Q25" s="22">
        <v>2005</v>
      </c>
      <c r="R25" s="22">
        <v>2006</v>
      </c>
      <c r="S25" s="22">
        <v>2007</v>
      </c>
      <c r="T25" s="22">
        <v>2008</v>
      </c>
      <c r="U25" s="22">
        <v>2009</v>
      </c>
      <c r="V25" s="22">
        <v>2010</v>
      </c>
      <c r="W25" s="22">
        <v>2011</v>
      </c>
      <c r="X25" s="22">
        <v>2012</v>
      </c>
      <c r="Y25" s="22">
        <v>2013</v>
      </c>
      <c r="Z25" s="22">
        <v>2014</v>
      </c>
      <c r="AA25" s="22">
        <v>2015</v>
      </c>
      <c r="AB25" s="22">
        <v>2016</v>
      </c>
      <c r="AC25" s="22">
        <v>2017</v>
      </c>
      <c r="AD25" s="22">
        <v>2018</v>
      </c>
      <c r="AE25" s="22">
        <v>2019</v>
      </c>
      <c r="AF25" s="7"/>
      <c r="AG25" s="7"/>
      <c r="AH25" s="7"/>
      <c r="AI25" s="7"/>
      <c r="AJ25" s="7"/>
      <c r="AK25" s="7"/>
      <c r="AL25" s="7"/>
    </row>
    <row r="26" spans="1:39">
      <c r="A26" s="23" t="s">
        <v>165</v>
      </c>
      <c r="B26" s="24">
        <f>SUMIFS(Summary!C$3:C$463,Summary!$A$3:$A$463,$A26,Summary!$B$3:$B$463,$B$1)</f>
        <v>0</v>
      </c>
      <c r="C26" s="24">
        <f>SUMIFS(Summary!D$3:D$463,Summary!$A$3:$A$463,$A26,Summary!$B$3:$B$463,$B$1)</f>
        <v>0</v>
      </c>
      <c r="D26" s="24">
        <f>SUMIFS(Summary!E$3:E$463,Summary!$A$3:$A$463,$A26,Summary!$B$3:$B$463,$B$1)</f>
        <v>0</v>
      </c>
      <c r="E26" s="24">
        <f>SUMIFS(Summary!F$3:F$463,Summary!$A$3:$A$463,$A26,Summary!$B$3:$B$463,$B$1)</f>
        <v>11207.1666666667</v>
      </c>
      <c r="F26" s="24">
        <f>SUMIFS(Summary!G$3:G$463,Summary!$A$3:$A$463,$A26,Summary!$B$3:$B$463,$B$1)</f>
        <v>11132.3333333333</v>
      </c>
      <c r="G26" s="24">
        <f>SUMIFS(Summary!H$3:H$463,Summary!$A$3:$A$463,$A26,Summary!$B$3:$B$463,$B$1)</f>
        <v>14672.5333333333</v>
      </c>
      <c r="H26" s="24">
        <f>SUMIFS(Summary!I$3:I$463,Summary!$A$3:$A$463,$A26,Summary!$B$3:$B$463,$B$1)</f>
        <v>18115.7833333333</v>
      </c>
      <c r="I26" s="24">
        <f>SUMIFS(Summary!J$3:J$463,Summary!$A$3:$A$463,$A26,Summary!$B$3:$B$463,$B$1)</f>
        <v>15579.1666666667</v>
      </c>
      <c r="J26" s="24">
        <f>SUMIFS(Summary!K$3:K$463,Summary!$A$3:$A$463,$A26,Summary!$B$3:$B$463,$B$1)</f>
        <v>17703.5</v>
      </c>
      <c r="K26" s="24">
        <f>SUMIFS(Summary!L$3:L$463,Summary!$A$3:$A$463,$A26,Summary!$B$3:$B$463,$B$1)</f>
        <v>15224.8333333333</v>
      </c>
      <c r="L26" s="24">
        <f>SUMIFS(Summary!M$3:M$463,Summary!$A$3:$A$463,$A26,Summary!$B$3:$B$463,$B$1)</f>
        <v>16733.25</v>
      </c>
      <c r="M26" s="24">
        <f>SUMIFS(Summary!N$3:N$463,Summary!$A$3:$A$463,$A26,Summary!$B$3:$B$463,$B$1)</f>
        <v>15510.2416666667</v>
      </c>
      <c r="N26" s="24">
        <f>SUMIFS(Summary!O$3:O$463,Summary!$A$3:$A$463,$A26,Summary!$B$3:$B$463,$B$1)</f>
        <v>14340.25</v>
      </c>
      <c r="O26" s="24">
        <f>SUMIFS(Summary!P$3:P$463,Summary!$A$3:$A$463,$A26,Summary!$B$3:$B$463,$B$1)</f>
        <v>23873.05</v>
      </c>
      <c r="P26" s="24">
        <f>SUMIFS(Summary!Q$3:Q$463,Summary!$A$3:$A$463,$A26,Summary!$B$3:$B$463,$B$1)</f>
        <v>45933.375</v>
      </c>
      <c r="Q26" s="24">
        <f>SUMIFS(Summary!R$3:R$463,Summary!$A$3:$A$463,$A26,Summary!$B$3:$B$463,$B$1)</f>
        <v>60327</v>
      </c>
      <c r="R26" s="24">
        <f>SUMIFS(Summary!S$3:S$463,Summary!$A$3:$A$463,$A26,Summary!$B$3:$B$463,$B$1)</f>
        <v>92699</v>
      </c>
      <c r="S26" s="24">
        <f>SUMIFS(Summary!T$3:T$463,Summary!$A$3:$A$463,$A26,Summary!$B$3:$B$463,$B$1)</f>
        <v>89132.345</v>
      </c>
      <c r="T26" s="24">
        <f>SUMIFS(Summary!U$3:U$463,Summary!$A$3:$A$463,$A26,Summary!$B$3:$B$463,$B$1)</f>
        <v>70989.9865555555</v>
      </c>
      <c r="U26" s="24">
        <f>SUMIFS(Summary!V$3:V$463,Summary!$A$3:$A$463,$A26,Summary!$B$3:$B$463,$B$1)</f>
        <v>72437.0865555556</v>
      </c>
      <c r="V26" s="24">
        <f>SUMIFS(Summary!W$3:W$463,Summary!$A$3:$A$463,$A26,Summary!$B$3:$B$463,$B$1)</f>
        <v>64840.9865555556</v>
      </c>
      <c r="W26" s="24">
        <f>SUMIFS(Summary!X$3:X$463,Summary!$A$3:$A$463,$A26,Summary!$B$3:$B$463,$B$1)</f>
        <v>67105.9865555556</v>
      </c>
      <c r="X26" s="24">
        <f>SUMIFS(Summary!Y$3:Y$463,Summary!$A$3:$A$463,$A26,Summary!$B$3:$B$463,$B$1)</f>
        <v>56889.3865555556</v>
      </c>
      <c r="Y26" s="24">
        <f>SUMIFS(Summary!Z$3:Z$463,Summary!$A$3:$A$463,$A26,Summary!$B$3:$B$463,$B$1)</f>
        <v>44438.4865555556</v>
      </c>
      <c r="Z26" s="24">
        <f>SUMIFS(Summary!AA$3:AA$463,Summary!$A$3:$A$463,$A26,Summary!$B$3:$B$463,$B$1)</f>
        <v>45250.2865555555</v>
      </c>
      <c r="AA26" s="24">
        <f>SUMIFS(Summary!AB$3:AB$463,Summary!$A$3:$A$463,$A26,Summary!$B$3:$B$463,$B$1)</f>
        <v>64592.1865555556</v>
      </c>
      <c r="AB26" s="24">
        <f>SUMIFS(Summary!AC$3:AC$463,Summary!$A$3:$A$463,$A26,Summary!$B$3:$B$463,$B$1)</f>
        <v>50227.9865555556</v>
      </c>
      <c r="AC26" s="24">
        <f>SUMIFS(Summary!AD$3:AD$463,Summary!$A$3:$A$463,$A26,Summary!$B$3:$B$463,$B$1)</f>
        <v>45106.22</v>
      </c>
      <c r="AD26" s="24">
        <f>SUMIFS(Summary!AE$3:AE$463,Summary!$A$3:$A$463,$A26,Summary!$B$3:$B$463,$B$1)</f>
        <v>40627.02</v>
      </c>
      <c r="AE26" s="24">
        <f>SUMIFS(Summary!AF$3:AF$463,Summary!$A$3:$A$463,$A26,Summary!$B$3:$B$463,$B$1)</f>
        <v>41030.02</v>
      </c>
    </row>
    <row r="27" spans="1:39">
      <c r="A27" s="25" t="s">
        <v>2370</v>
      </c>
      <c r="B27" s="26">
        <f>B44*0.7</f>
        <v>0</v>
      </c>
      <c r="C27" s="26">
        <f t="shared" ref="C27:AE27" si="2">C44*0.7</f>
        <v>0</v>
      </c>
      <c r="D27" s="26">
        <f t="shared" si="2"/>
        <v>0</v>
      </c>
      <c r="E27" s="26">
        <f t="shared" si="2"/>
        <v>0</v>
      </c>
      <c r="F27" s="26">
        <f t="shared" si="2"/>
        <v>190.89</v>
      </c>
      <c r="G27" s="26">
        <f t="shared" si="2"/>
        <v>190.89</v>
      </c>
      <c r="H27" s="26">
        <f t="shared" si="2"/>
        <v>190.89</v>
      </c>
      <c r="I27" s="26">
        <f t="shared" si="2"/>
        <v>278.39</v>
      </c>
      <c r="J27" s="26">
        <f t="shared" si="2"/>
        <v>278.39</v>
      </c>
      <c r="K27" s="26">
        <f t="shared" si="2"/>
        <v>194.529999999999</v>
      </c>
      <c r="L27" s="26">
        <f t="shared" si="2"/>
        <v>233.66</v>
      </c>
      <c r="M27" s="26">
        <f t="shared" si="2"/>
        <v>250.46</v>
      </c>
      <c r="N27" s="26">
        <f t="shared" si="2"/>
        <v>271.46</v>
      </c>
      <c r="O27" s="26">
        <f t="shared" si="2"/>
        <v>282.1</v>
      </c>
      <c r="P27" s="26">
        <f t="shared" si="2"/>
        <v>0</v>
      </c>
      <c r="Q27" s="26">
        <f t="shared" si="2"/>
        <v>2075.99</v>
      </c>
      <c r="R27" s="26">
        <f t="shared" si="2"/>
        <v>3130.19</v>
      </c>
      <c r="S27" s="26">
        <f t="shared" si="2"/>
        <v>2853.403</v>
      </c>
      <c r="T27" s="26">
        <f t="shared" si="2"/>
        <v>990.577</v>
      </c>
      <c r="U27" s="26">
        <f t="shared" si="2"/>
        <v>2589.72</v>
      </c>
      <c r="V27" s="26">
        <f t="shared" si="2"/>
        <v>2076.76</v>
      </c>
      <c r="W27" s="26">
        <f t="shared" si="2"/>
        <v>1670.2</v>
      </c>
      <c r="X27" s="26">
        <f t="shared" si="2"/>
        <v>2247.42</v>
      </c>
      <c r="Y27" s="26">
        <f t="shared" si="2"/>
        <v>4981.48</v>
      </c>
      <c r="Z27" s="26">
        <f t="shared" si="2"/>
        <v>9129.47</v>
      </c>
      <c r="AA27" s="26">
        <f t="shared" si="2"/>
        <v>8588.79</v>
      </c>
      <c r="AB27" s="26">
        <f t="shared" si="2"/>
        <v>5237.96</v>
      </c>
      <c r="AC27" s="26">
        <f t="shared" si="2"/>
        <v>4807.852</v>
      </c>
      <c r="AD27" s="26">
        <f t="shared" si="2"/>
        <v>6993.602</v>
      </c>
      <c r="AE27" s="26">
        <f t="shared" si="2"/>
        <v>4914.462</v>
      </c>
    </row>
    <row r="28" spans="1:39">
      <c r="A28" s="22" t="s">
        <v>2371</v>
      </c>
      <c r="B28" s="26">
        <f>SUMIFS(Summary!C$3:C$463,Summary!$A$3:$A$463,$A28,Summary!$B$3:$B$463,$B$1)</f>
        <v>0</v>
      </c>
      <c r="C28" s="26">
        <f>SUMIFS(Summary!D$3:D$463,Summary!$A$3:$A$463,$A28,Summary!$B$3:$B$463,$B$1)</f>
        <v>330</v>
      </c>
      <c r="D28" s="26">
        <f>SUMIFS(Summary!E$3:E$463,Summary!$A$3:$A$463,$A28,Summary!$B$3:$B$463,$B$1)</f>
        <v>0</v>
      </c>
      <c r="E28" s="26">
        <f>SUMIFS(Summary!F$3:F$463,Summary!$A$3:$A$463,$A28,Summary!$B$3:$B$463,$B$1)</f>
        <v>984</v>
      </c>
      <c r="F28" s="26">
        <f>SUMIFS(Summary!G$3:G$463,Summary!$A$3:$A$463,$A28,Summary!$B$3:$B$463,$B$1)</f>
        <v>984</v>
      </c>
      <c r="G28" s="26">
        <f>SUMIFS(Summary!H$3:H$463,Summary!$A$3:$A$463,$A28,Summary!$B$3:$B$463,$B$1)</f>
        <v>0</v>
      </c>
      <c r="H28" s="26">
        <f>SUMIFS(Summary!I$3:I$463,Summary!$A$3:$A$463,$A28,Summary!$B$3:$B$463,$B$1)</f>
        <v>0</v>
      </c>
      <c r="I28" s="26">
        <f>SUMIFS(Summary!J$3:J$463,Summary!$A$3:$A$463,$A28,Summary!$B$3:$B$463,$B$1)</f>
        <v>0</v>
      </c>
      <c r="J28" s="26">
        <f>SUMIFS(Summary!K$3:K$463,Summary!$A$3:$A$463,$A28,Summary!$B$3:$B$463,$B$1)</f>
        <v>0</v>
      </c>
      <c r="K28" s="26">
        <f>SUMIFS(Summary!L$3:L$463,Summary!$A$3:$A$463,$A28,Summary!$B$3:$B$463,$B$1)</f>
        <v>0</v>
      </c>
      <c r="L28" s="26">
        <f>SUMIFS(Summary!M$3:M$463,Summary!$A$3:$A$463,$A28,Summary!$B$3:$B$463,$B$1)</f>
        <v>0</v>
      </c>
      <c r="M28" s="26">
        <f>SUMIFS(Summary!N$3:N$463,Summary!$A$3:$A$463,$A28,Summary!$B$3:$B$463,$B$1)</f>
        <v>0</v>
      </c>
      <c r="N28" s="26">
        <f>SUMIFS(Summary!O$3:O$463,Summary!$A$3:$A$463,$A28,Summary!$B$3:$B$463,$B$1)</f>
        <v>3358</v>
      </c>
      <c r="O28" s="26">
        <f>SUMIFS(Summary!P$3:P$463,Summary!$A$3:$A$463,$A28,Summary!$B$3:$B$463,$B$1)</f>
        <v>728</v>
      </c>
      <c r="P28" s="26">
        <f>SUMIFS(Summary!Q$3:Q$463,Summary!$A$3:$A$463,$A28,Summary!$B$3:$B$463,$B$1)</f>
        <v>650</v>
      </c>
      <c r="Q28" s="26">
        <f>SUMIFS(Summary!R$3:R$463,Summary!$A$3:$A$463,$A28,Summary!$B$3:$B$463,$B$1)</f>
        <v>0</v>
      </c>
      <c r="R28" s="26">
        <f>SUMIFS(Summary!S$3:S$463,Summary!$A$3:$A$463,$A28,Summary!$B$3:$B$463,$B$1)</f>
        <v>1060</v>
      </c>
      <c r="S28" s="26">
        <f>SUMIFS(Summary!T$3:T$463,Summary!$A$3:$A$463,$A28,Summary!$B$3:$B$463,$B$1)</f>
        <v>1060</v>
      </c>
      <c r="T28" s="26">
        <f>SUMIFS(Summary!U$3:U$463,Summary!$A$3:$A$463,$A28,Summary!$B$3:$B$463,$B$1)</f>
        <v>33.8888888888889</v>
      </c>
      <c r="U28" s="26">
        <f>SUMIFS(Summary!V$3:V$463,Summary!$A$3:$A$463,$A28,Summary!$B$3:$B$463,$B$1)</f>
        <v>33.8888888888889</v>
      </c>
      <c r="V28" s="26">
        <f>SUMIFS(Summary!W$3:W$463,Summary!$A$3:$A$463,$A28,Summary!$B$3:$B$463,$B$1)</f>
        <v>1779.88888888889</v>
      </c>
      <c r="W28" s="26">
        <f>SUMIFS(Summary!X$3:X$463,Summary!$A$3:$A$463,$A28,Summary!$B$3:$B$463,$B$1)</f>
        <v>1779.88888888889</v>
      </c>
      <c r="X28" s="26">
        <f>SUMIFS(Summary!Y$3:Y$463,Summary!$A$3:$A$463,$A28,Summary!$B$3:$B$463,$B$1)</f>
        <v>1122.88888888889</v>
      </c>
      <c r="Y28" s="26">
        <f>SUMIFS(Summary!Z$3:Z$463,Summary!$A$3:$A$463,$A28,Summary!$B$3:$B$463,$B$1)</f>
        <v>3357.46888888889</v>
      </c>
      <c r="Z28" s="26">
        <f>SUMIFS(Summary!AA$3:AA$463,Summary!$A$3:$A$463,$A28,Summary!$B$3:$B$463,$B$1)</f>
        <v>3300.88888888889</v>
      </c>
      <c r="AA28" s="26">
        <f>SUMIFS(Summary!AB$3:AB$463,Summary!$A$3:$A$463,$A28,Summary!$B$3:$B$463,$B$1)</f>
        <v>8327.67888888889</v>
      </c>
      <c r="AB28" s="26">
        <f>SUMIFS(Summary!AC$3:AC$463,Summary!$A$3:$A$463,$A28,Summary!$B$3:$B$463,$B$1)</f>
        <v>5066.67888888889</v>
      </c>
      <c r="AC28" s="26">
        <f>SUMIFS(Summary!AD$3:AD$463,Summary!$A$3:$A$463,$A28,Summary!$B$3:$B$463,$B$1)</f>
        <v>3309.4</v>
      </c>
      <c r="AD28" s="26">
        <f>SUMIFS(Summary!AE$3:AE$463,Summary!$A$3:$A$463,$A28,Summary!$B$3:$B$463,$B$1)</f>
        <v>8978.4</v>
      </c>
      <c r="AE28" s="26">
        <f>SUMIFS(Summary!AF$3:AF$463,Summary!$A$3:$A$463,$A28,Summary!$B$3:$B$463,$B$1)</f>
        <v>2844.4</v>
      </c>
    </row>
    <row r="29" spans="1:39">
      <c r="A29" s="22" t="s">
        <v>2372</v>
      </c>
      <c r="B29" s="26">
        <f>SUMIFS(Summary!C$3:C$463,Summary!$A$3:$A$463,$A29,Summary!$B$3:$B$463,$B$1)</f>
        <v>0</v>
      </c>
      <c r="C29" s="26">
        <f>SUMIFS(Summary!D$3:D$463,Summary!$A$3:$A$463,$A29,Summary!$B$3:$B$463,$B$1)</f>
        <v>0</v>
      </c>
      <c r="D29" s="26">
        <f>SUMIFS(Summary!E$3:E$463,Summary!$A$3:$A$463,$A29,Summary!$B$3:$B$463,$B$1)</f>
        <v>0</v>
      </c>
      <c r="E29" s="26">
        <f>SUMIFS(Summary!F$3:F$463,Summary!$A$3:$A$463,$A29,Summary!$B$3:$B$463,$B$1)</f>
        <v>3034.2</v>
      </c>
      <c r="F29" s="26">
        <f>SUMIFS(Summary!G$3:G$463,Summary!$A$3:$A$463,$A29,Summary!$B$3:$B$463,$B$1)</f>
        <v>4793.4</v>
      </c>
      <c r="G29" s="26">
        <f>SUMIFS(Summary!H$3:H$463,Summary!$A$3:$A$463,$A29,Summary!$B$3:$B$463,$B$1)</f>
        <v>4591.2</v>
      </c>
      <c r="H29" s="26">
        <f>SUMIFS(Summary!I$3:I$463,Summary!$A$3:$A$463,$A29,Summary!$B$3:$B$463,$B$1)</f>
        <v>3629.3</v>
      </c>
      <c r="I29" s="26">
        <f>SUMIFS(Summary!J$3:J$463,Summary!$A$3:$A$463,$A29,Summary!$B$3:$B$463,$B$1)</f>
        <v>5380.5</v>
      </c>
      <c r="J29" s="26">
        <f>SUMIFS(Summary!K$3:K$463,Summary!$A$3:$A$463,$A29,Summary!$B$3:$B$463,$B$1)</f>
        <v>6413.13333333333</v>
      </c>
      <c r="K29" s="26">
        <f>SUMIFS(Summary!L$3:L$463,Summary!$A$3:$A$463,$A29,Summary!$B$3:$B$463,$B$1)</f>
        <v>7285.63333333333</v>
      </c>
      <c r="L29" s="26">
        <f>SUMIFS(Summary!M$3:M$463,Summary!$A$3:$A$463,$A29,Summary!$B$3:$B$463,$B$1)</f>
        <v>7954.33333333333</v>
      </c>
      <c r="M29" s="26">
        <f>SUMIFS(Summary!N$3:N$463,Summary!$A$3:$A$463,$A29,Summary!$B$3:$B$463,$B$1)</f>
        <v>6370.8</v>
      </c>
      <c r="N29" s="26">
        <f>SUMIFS(Summary!O$3:O$463,Summary!$A$3:$A$463,$A29,Summary!$B$3:$B$463,$B$1)</f>
        <v>4529.2</v>
      </c>
      <c r="O29" s="26">
        <f>SUMIFS(Summary!P$3:P$463,Summary!$A$3:$A$463,$A29,Summary!$B$3:$B$463,$B$1)</f>
        <v>8942.7</v>
      </c>
      <c r="P29" s="26">
        <f>SUMIFS(Summary!Q$3:Q$463,Summary!$A$3:$A$463,$A29,Summary!$B$3:$B$463,$B$1)</f>
        <v>12412.9</v>
      </c>
      <c r="Q29" s="26">
        <f>SUMIFS(Summary!R$3:R$463,Summary!$A$3:$A$463,$A29,Summary!$B$3:$B$463,$B$1)</f>
        <v>14272.65</v>
      </c>
      <c r="R29" s="26">
        <f>SUMIFS(Summary!S$3:S$463,Summary!$A$3:$A$463,$A29,Summary!$B$3:$B$463,$B$1)</f>
        <v>13552</v>
      </c>
      <c r="S29" s="26">
        <f>SUMIFS(Summary!T$3:T$463,Summary!$A$3:$A$463,$A29,Summary!$B$3:$B$463,$B$1)</f>
        <v>20481.115</v>
      </c>
      <c r="T29" s="26">
        <f>SUMIFS(Summary!U$3:U$463,Summary!$A$3:$A$463,$A29,Summary!$B$3:$B$463,$B$1)</f>
        <v>7112.99622222222</v>
      </c>
      <c r="U29" s="26">
        <f>SUMIFS(Summary!V$3:V$463,Summary!$A$3:$A$463,$A29,Summary!$B$3:$B$463,$B$1)</f>
        <v>13588.9962222222</v>
      </c>
      <c r="V29" s="26">
        <f>SUMIFS(Summary!W$3:W$463,Summary!$A$3:$A$463,$A29,Summary!$B$3:$B$463,$B$1)</f>
        <v>18432.0962222222</v>
      </c>
      <c r="W29" s="26">
        <f>SUMIFS(Summary!X$3:X$463,Summary!$A$3:$A$463,$A29,Summary!$B$3:$B$463,$B$1)</f>
        <v>18479.6962222222</v>
      </c>
      <c r="X29" s="26">
        <f>SUMIFS(Summary!Y$3:Y$463,Summary!$A$3:$A$463,$A29,Summary!$B$3:$B$463,$B$1)</f>
        <v>18393.6762222222</v>
      </c>
      <c r="Y29" s="26">
        <f>SUMIFS(Summary!Z$3:Z$463,Summary!$A$3:$A$463,$A29,Summary!$B$3:$B$463,$B$1)</f>
        <v>20252.4962222222</v>
      </c>
      <c r="Z29" s="26">
        <f>SUMIFS(Summary!AA$3:AA$463,Summary!$A$3:$A$463,$A29,Summary!$B$3:$B$463,$B$1)</f>
        <v>31412.4862222222</v>
      </c>
      <c r="AA29" s="26">
        <f>SUMIFS(Summary!AB$3:AB$463,Summary!$A$3:$A$463,$A29,Summary!$B$3:$B$463,$B$1)</f>
        <v>38505.1862222222</v>
      </c>
      <c r="AB29" s="26">
        <f>SUMIFS(Summary!AC$3:AC$463,Summary!$A$3:$A$463,$A29,Summary!$B$3:$B$463,$B$1)</f>
        <v>25657.0962222222</v>
      </c>
      <c r="AC29" s="26">
        <f>SUMIFS(Summary!AD$3:AD$463,Summary!$A$3:$A$463,$A29,Summary!$B$3:$B$463,$B$1)</f>
        <v>21789.48</v>
      </c>
      <c r="AD29" s="26">
        <f>SUMIFS(Summary!AE$3:AE$463,Summary!$A$3:$A$463,$A29,Summary!$B$3:$B$463,$B$1)</f>
        <v>31524.68</v>
      </c>
      <c r="AE29" s="26">
        <f>SUMIFS(Summary!AF$3:AF$463,Summary!$A$3:$A$463,$A29,Summary!$B$3:$B$463,$B$1)</f>
        <v>29842.88</v>
      </c>
    </row>
    <row r="30" spans="1:39">
      <c r="A30" s="22" t="s">
        <v>2373</v>
      </c>
      <c r="B30" s="26">
        <f>SUMIFS(Summary!C$3:C$463,Summary!$A$3:$A$463,$A30,Summary!$B$3:$B$463,$B$1)</f>
        <v>0</v>
      </c>
      <c r="C30" s="26">
        <f>SUMIFS(Summary!D$3:D$463,Summary!$A$3:$A$463,$A30,Summary!$B$3:$B$463,$B$1)</f>
        <v>0</v>
      </c>
      <c r="D30" s="26">
        <f>SUMIFS(Summary!E$3:E$463,Summary!$A$3:$A$463,$A30,Summary!$B$3:$B$463,$B$1)</f>
        <v>0</v>
      </c>
      <c r="E30" s="26">
        <f>SUMIFS(Summary!F$3:F$463,Summary!$A$3:$A$463,$A30,Summary!$B$3:$B$463,$B$1)</f>
        <v>0</v>
      </c>
      <c r="F30" s="26">
        <f>SUMIFS(Summary!G$3:G$463,Summary!$A$3:$A$463,$A30,Summary!$B$3:$B$463,$B$1)</f>
        <v>0</v>
      </c>
      <c r="G30" s="26">
        <f>SUMIFS(Summary!H$3:H$463,Summary!$A$3:$A$463,$A30,Summary!$B$3:$B$463,$B$1)</f>
        <v>0</v>
      </c>
      <c r="H30" s="26">
        <f>SUMIFS(Summary!I$3:I$463,Summary!$A$3:$A$463,$A30,Summary!$B$3:$B$463,$B$1)</f>
        <v>0</v>
      </c>
      <c r="I30" s="26">
        <f>SUMIFS(Summary!J$3:J$463,Summary!$A$3:$A$463,$A30,Summary!$B$3:$B$463,$B$1)</f>
        <v>0</v>
      </c>
      <c r="J30" s="26">
        <f>SUMIFS(Summary!K$3:K$463,Summary!$A$3:$A$463,$A30,Summary!$B$3:$B$463,$B$1)</f>
        <v>0</v>
      </c>
      <c r="K30" s="26">
        <f>SUMIFS(Summary!L$3:L$463,Summary!$A$3:$A$463,$A30,Summary!$B$3:$B$463,$B$1)</f>
        <v>0</v>
      </c>
      <c r="L30" s="26">
        <f>SUMIFS(Summary!M$3:M$463,Summary!$A$3:$A$463,$A30,Summary!$B$3:$B$463,$B$1)</f>
        <v>0</v>
      </c>
      <c r="M30" s="26">
        <f>SUMIFS(Summary!N$3:N$463,Summary!$A$3:$A$463,$A30,Summary!$B$3:$B$463,$B$1)</f>
        <v>0</v>
      </c>
      <c r="N30" s="26">
        <f>SUMIFS(Summary!O$3:O$463,Summary!$A$3:$A$463,$A30,Summary!$B$3:$B$463,$B$1)</f>
        <v>0</v>
      </c>
      <c r="O30" s="26">
        <f>SUMIFS(Summary!P$3:P$463,Summary!$A$3:$A$463,$A30,Summary!$B$3:$B$463,$B$1)</f>
        <v>0</v>
      </c>
      <c r="P30" s="26">
        <f>SUMIFS(Summary!Q$3:Q$463,Summary!$A$3:$A$463,$A30,Summary!$B$3:$B$463,$B$1)</f>
        <v>529</v>
      </c>
      <c r="Q30" s="26">
        <f>SUMIFS(Summary!R$3:R$463,Summary!$A$3:$A$463,$A30,Summary!$B$3:$B$463,$B$1)</f>
        <v>525</v>
      </c>
      <c r="R30" s="26">
        <f>SUMIFS(Summary!S$3:S$463,Summary!$A$3:$A$463,$A30,Summary!$B$3:$B$463,$B$1)</f>
        <v>1090</v>
      </c>
      <c r="S30" s="26">
        <f>SUMIFS(Summary!T$3:T$463,Summary!$A$3:$A$463,$A30,Summary!$B$3:$B$463,$B$1)</f>
        <v>3060</v>
      </c>
      <c r="T30" s="26">
        <f>SUMIFS(Summary!U$3:U$463,Summary!$A$3:$A$463,$A30,Summary!$B$3:$B$463,$B$1)</f>
        <v>5466.01111111111</v>
      </c>
      <c r="U30" s="26">
        <f>SUMIFS(Summary!V$3:V$463,Summary!$A$3:$A$463,$A30,Summary!$B$3:$B$463,$B$1)</f>
        <v>9992.01111111111</v>
      </c>
      <c r="V30" s="26">
        <f>SUMIFS(Summary!W$3:W$463,Summary!$A$3:$A$463,$A30,Summary!$B$3:$B$463,$B$1)</f>
        <v>15039.1111111111</v>
      </c>
      <c r="W30" s="26">
        <f>SUMIFS(Summary!X$3:X$463,Summary!$A$3:$A$463,$A30,Summary!$B$3:$B$463,$B$1)</f>
        <v>15649.4111111111</v>
      </c>
      <c r="X30" s="26">
        <f>SUMIFS(Summary!Y$3:Y$463,Summary!$A$3:$A$463,$A30,Summary!$B$3:$B$463,$B$1)</f>
        <v>13411.1111111111</v>
      </c>
      <c r="Y30" s="26">
        <f>SUMIFS(Summary!Z$3:Z$463,Summary!$A$3:$A$463,$A30,Summary!$B$3:$B$463,$B$1)</f>
        <v>14688.2777777778</v>
      </c>
      <c r="Z30" s="26">
        <f>SUMIFS(Summary!AA$3:AA$463,Summary!$A$3:$A$463,$A30,Summary!$B$3:$B$463,$B$1)</f>
        <v>20921.7111111111</v>
      </c>
      <c r="AA30" s="26">
        <f>SUMIFS(Summary!AB$3:AB$463,Summary!$A$3:$A$463,$A30,Summary!$B$3:$B$463,$B$1)</f>
        <v>30991.5777777778</v>
      </c>
      <c r="AB30" s="26">
        <f>SUMIFS(Summary!AC$3:AC$463,Summary!$A$3:$A$463,$A30,Summary!$B$3:$B$463,$B$1)</f>
        <v>19120.3777777778</v>
      </c>
      <c r="AC30" s="26">
        <f>SUMIFS(Summary!AD$3:AD$463,Summary!$A$3:$A$463,$A30,Summary!$B$3:$B$463,$B$1)</f>
        <v>17833.88</v>
      </c>
      <c r="AD30" s="26">
        <f>SUMIFS(Summary!AE$3:AE$463,Summary!$A$3:$A$463,$A30,Summary!$B$3:$B$463,$B$1)</f>
        <v>21900.08</v>
      </c>
      <c r="AE30" s="26">
        <f>SUMIFS(Summary!AF$3:AF$463,Summary!$A$3:$A$463,$A30,Summary!$B$3:$B$463,$B$1)</f>
        <v>26352.28</v>
      </c>
    </row>
    <row r="31" spans="1:39">
      <c r="A31" s="22" t="s">
        <v>2374</v>
      </c>
      <c r="B31" s="26">
        <f>SUMIFS(Summary!C$3:C$463,Summary!$A$3:$A$463,$A31,Summary!$B$3:$B$463,$B$1)</f>
        <v>0</v>
      </c>
      <c r="C31" s="26">
        <f>SUMIFS(Summary!D$3:D$463,Summary!$A$3:$A$463,$A31,Summary!$B$3:$B$463,$B$1)</f>
        <v>0</v>
      </c>
      <c r="D31" s="26">
        <f>SUMIFS(Summary!E$3:E$463,Summary!$A$3:$A$463,$A31,Summary!$B$3:$B$463,$B$1)</f>
        <v>0</v>
      </c>
      <c r="E31" s="26">
        <f>SUMIFS(Summary!F$3:F$463,Summary!$A$3:$A$463,$A31,Summary!$B$3:$B$463,$B$1)</f>
        <v>0</v>
      </c>
      <c r="F31" s="26">
        <f>SUMIFS(Summary!G$3:G$463,Summary!$A$3:$A$463,$A31,Summary!$B$3:$B$463,$B$1)</f>
        <v>0</v>
      </c>
      <c r="G31" s="26">
        <f>SUMIFS(Summary!H$3:H$463,Summary!$A$3:$A$463,$A31,Summary!$B$3:$B$463,$B$1)</f>
        <v>0</v>
      </c>
      <c r="H31" s="26">
        <f>SUMIFS(Summary!I$3:I$463,Summary!$A$3:$A$463,$A31,Summary!$B$3:$B$463,$B$1)</f>
        <v>0</v>
      </c>
      <c r="I31" s="26">
        <f>SUMIFS(Summary!J$3:J$463,Summary!$A$3:$A$463,$A31,Summary!$B$3:$B$463,$B$1)</f>
        <v>0</v>
      </c>
      <c r="J31" s="26">
        <f>SUMIFS(Summary!K$3:K$463,Summary!$A$3:$A$463,$A31,Summary!$B$3:$B$463,$B$1)</f>
        <v>0</v>
      </c>
      <c r="K31" s="26">
        <f>SUMIFS(Summary!L$3:L$463,Summary!$A$3:$A$463,$A31,Summary!$B$3:$B$463,$B$1)</f>
        <v>0</v>
      </c>
      <c r="L31" s="26">
        <f>SUMIFS(Summary!M$3:M$463,Summary!$A$3:$A$463,$A31,Summary!$B$3:$B$463,$B$1)</f>
        <v>0</v>
      </c>
      <c r="M31" s="26">
        <f>SUMIFS(Summary!N$3:N$463,Summary!$A$3:$A$463,$A31,Summary!$B$3:$B$463,$B$1)</f>
        <v>0</v>
      </c>
      <c r="N31" s="26">
        <f>SUMIFS(Summary!O$3:O$463,Summary!$A$3:$A$463,$A31,Summary!$B$3:$B$463,$B$1)</f>
        <v>0</v>
      </c>
      <c r="O31" s="26">
        <f>SUMIFS(Summary!P$3:P$463,Summary!$A$3:$A$463,$A31,Summary!$B$3:$B$463,$B$1)</f>
        <v>0</v>
      </c>
      <c r="P31" s="26">
        <f>SUMIFS(Summary!Q$3:Q$463,Summary!$A$3:$A$463,$A31,Summary!$B$3:$B$463,$B$1)</f>
        <v>0</v>
      </c>
      <c r="Q31" s="26">
        <f>SUMIFS(Summary!R$3:R$463,Summary!$A$3:$A$463,$A31,Summary!$B$3:$B$463,$B$1)</f>
        <v>0</v>
      </c>
      <c r="R31" s="26">
        <f>SUMIFS(Summary!S$3:S$463,Summary!$A$3:$A$463,$A31,Summary!$B$3:$B$463,$B$1)</f>
        <v>0</v>
      </c>
      <c r="S31" s="26">
        <f>SUMIFS(Summary!T$3:T$463,Summary!$A$3:$A$463,$A31,Summary!$B$3:$B$463,$B$1)</f>
        <v>0</v>
      </c>
      <c r="T31" s="26">
        <f>SUMIFS(Summary!U$3:U$463,Summary!$A$3:$A$463,$A31,Summary!$B$3:$B$463,$B$1)</f>
        <v>0</v>
      </c>
      <c r="U31" s="26">
        <f>SUMIFS(Summary!V$3:V$463,Summary!$A$3:$A$463,$A31,Summary!$B$3:$B$463,$B$1)</f>
        <v>0</v>
      </c>
      <c r="V31" s="26">
        <f>SUMIFS(Summary!W$3:W$463,Summary!$A$3:$A$463,$A31,Summary!$B$3:$B$463,$B$1)</f>
        <v>205.018</v>
      </c>
      <c r="W31" s="26">
        <f>SUMIFS(Summary!X$3:X$463,Summary!$A$3:$A$463,$A31,Summary!$B$3:$B$463,$B$1)</f>
        <v>1918.21</v>
      </c>
      <c r="X31" s="26">
        <f>SUMIFS(Summary!Y$3:Y$463,Summary!$A$3:$A$463,$A31,Summary!$B$3:$B$463,$B$1)</f>
        <v>1164.566</v>
      </c>
      <c r="Y31" s="26">
        <f>SUMIFS(Summary!Z$3:Z$463,Summary!$A$3:$A$463,$A31,Summary!$B$3:$B$463,$B$1)</f>
        <v>11563.872</v>
      </c>
      <c r="Z31" s="26">
        <f>SUMIFS(Summary!AA$3:AA$463,Summary!$A$3:$A$463,$A31,Summary!$B$3:$B$463,$B$1)</f>
        <v>8528.334</v>
      </c>
      <c r="AA31" s="26">
        <f>SUMIFS(Summary!AB$3:AB$463,Summary!$A$3:$A$463,$A31,Summary!$B$3:$B$463,$B$1)</f>
        <v>13440</v>
      </c>
      <c r="AB31" s="26">
        <f>SUMIFS(Summary!AC$3:AC$463,Summary!$A$3:$A$463,$A31,Summary!$B$3:$B$463,$B$1)</f>
        <v>30300</v>
      </c>
      <c r="AC31" s="26">
        <f>SUMIFS(Summary!AD$3:AD$463,Summary!$A$3:$A$463,$A31,Summary!$B$3:$B$463,$B$1)</f>
        <v>30615</v>
      </c>
      <c r="AD31" s="26">
        <f>SUMIFS(Summary!AE$3:AE$463,Summary!$A$3:$A$463,$A31,Summary!$B$3:$B$463,$B$1)</f>
        <v>26715</v>
      </c>
      <c r="AE31" s="26">
        <f>SUMIFS(Summary!AF$3:AF$463,Summary!$A$3:$A$463,$A31,Summary!$B$3:$B$463,$B$1)</f>
        <v>17400</v>
      </c>
    </row>
    <row r="32" spans="1:39">
      <c r="A32" s="22" t="s">
        <v>2375</v>
      </c>
      <c r="B32" s="26">
        <f>SUMIFS(Summary!C$3:C$463,Summary!$A$3:$A$463,$A32,Summary!$B$3:$B$463,$B$1)</f>
        <v>0</v>
      </c>
      <c r="C32" s="26">
        <f>SUMIFS(Summary!D$3:D$463,Summary!$A$3:$A$463,$A32,Summary!$B$3:$B$463,$B$1)</f>
        <v>0</v>
      </c>
      <c r="D32" s="26">
        <f>SUMIFS(Summary!E$3:E$463,Summary!$A$3:$A$463,$A32,Summary!$B$3:$B$463,$B$1)</f>
        <v>0</v>
      </c>
      <c r="E32" s="26">
        <f>SUMIFS(Summary!F$3:F$463,Summary!$A$3:$A$463,$A32,Summary!$B$3:$B$463,$B$1)</f>
        <v>0</v>
      </c>
      <c r="F32" s="26">
        <f>SUMIFS(Summary!G$3:G$463,Summary!$A$3:$A$463,$A32,Summary!$B$3:$B$463,$B$1)</f>
        <v>0</v>
      </c>
      <c r="G32" s="26">
        <f>SUMIFS(Summary!H$3:H$463,Summary!$A$3:$A$463,$A32,Summary!$B$3:$B$463,$B$1)</f>
        <v>0</v>
      </c>
      <c r="H32" s="26">
        <f>SUMIFS(Summary!I$3:I$463,Summary!$A$3:$A$463,$A32,Summary!$B$3:$B$463,$B$1)</f>
        <v>0</v>
      </c>
      <c r="I32" s="26">
        <f>SUMIFS(Summary!J$3:J$463,Summary!$A$3:$A$463,$A32,Summary!$B$3:$B$463,$B$1)</f>
        <v>0</v>
      </c>
      <c r="J32" s="26">
        <f>SUMIFS(Summary!K$3:K$463,Summary!$A$3:$A$463,$A32,Summary!$B$3:$B$463,$B$1)</f>
        <v>0</v>
      </c>
      <c r="K32" s="26">
        <f>SUMIFS(Summary!L$3:L$463,Summary!$A$3:$A$463,$A32,Summary!$B$3:$B$463,$B$1)</f>
        <v>0</v>
      </c>
      <c r="L32" s="26">
        <f>SUMIFS(Summary!M$3:M$463,Summary!$A$3:$A$463,$A32,Summary!$B$3:$B$463,$B$1)</f>
        <v>0</v>
      </c>
      <c r="M32" s="26">
        <f>SUMIFS(Summary!N$3:N$463,Summary!$A$3:$A$463,$A32,Summary!$B$3:$B$463,$B$1)</f>
        <v>0</v>
      </c>
      <c r="N32" s="26">
        <f>SUMIFS(Summary!O$3:O$463,Summary!$A$3:$A$463,$A32,Summary!$B$3:$B$463,$B$1)</f>
        <v>0</v>
      </c>
      <c r="O32" s="26">
        <f>SUMIFS(Summary!P$3:P$463,Summary!$A$3:$A$463,$A32,Summary!$B$3:$B$463,$B$1)</f>
        <v>0</v>
      </c>
      <c r="P32" s="26">
        <f>SUMIFS(Summary!Q$3:Q$463,Summary!$A$3:$A$463,$A32,Summary!$B$3:$B$463,$B$1)</f>
        <v>0</v>
      </c>
      <c r="Q32" s="26">
        <f>SUMIFS(Summary!R$3:R$463,Summary!$A$3:$A$463,$A32,Summary!$B$3:$B$463,$B$1)</f>
        <v>0</v>
      </c>
      <c r="R32" s="26">
        <f>SUMIFS(Summary!S$3:S$463,Summary!$A$3:$A$463,$A32,Summary!$B$3:$B$463,$B$1)</f>
        <v>0</v>
      </c>
      <c r="S32" s="26">
        <f>SUMIFS(Summary!T$3:T$463,Summary!$A$3:$A$463,$A32,Summary!$B$3:$B$463,$B$1)</f>
        <v>0</v>
      </c>
      <c r="T32" s="26">
        <f>SUMIFS(Summary!U$3:U$463,Summary!$A$3:$A$463,$A32,Summary!$B$3:$B$463,$B$1)</f>
        <v>0</v>
      </c>
      <c r="U32" s="26">
        <f>SUMIFS(Summary!V$3:V$463,Summary!$A$3:$A$463,$A32,Summary!$B$3:$B$463,$B$1)</f>
        <v>0</v>
      </c>
      <c r="V32" s="26">
        <f>SUMIFS(Summary!W$3:W$463,Summary!$A$3:$A$463,$A32,Summary!$B$3:$B$463,$B$1)</f>
        <v>0</v>
      </c>
      <c r="W32" s="26">
        <f>SUMIFS(Summary!X$3:X$463,Summary!$A$3:$A$463,$A32,Summary!$B$3:$B$463,$B$1)</f>
        <v>0</v>
      </c>
      <c r="X32" s="26">
        <f>SUMIFS(Summary!Y$3:Y$463,Summary!$A$3:$A$463,$A32,Summary!$B$3:$B$463,$B$1)</f>
        <v>0</v>
      </c>
      <c r="Y32" s="26">
        <f>SUMIFS(Summary!Z$3:Z$463,Summary!$A$3:$A$463,$A32,Summary!$B$3:$B$463,$B$1)</f>
        <v>0</v>
      </c>
      <c r="Z32" s="26">
        <f>SUMIFS(Summary!AA$3:AA$463,Summary!$A$3:$A$463,$A32,Summary!$B$3:$B$463,$B$1)</f>
        <v>0</v>
      </c>
      <c r="AA32" s="26">
        <f>SUMIFS(Summary!AB$3:AB$463,Summary!$A$3:$A$463,$A32,Summary!$B$3:$B$463,$B$1)</f>
        <v>0</v>
      </c>
      <c r="AB32" s="26">
        <f>SUMIFS(Summary!AC$3:AC$463,Summary!$A$3:$A$463,$A32,Summary!$B$3:$B$463,$B$1)</f>
        <v>0</v>
      </c>
      <c r="AC32" s="26">
        <f>SUMIFS(Summary!AD$3:AD$463,Summary!$A$3:$A$463,$A32,Summary!$B$3:$B$463,$B$1)</f>
        <v>0</v>
      </c>
      <c r="AD32" s="26">
        <f>SUMIFS(Summary!AE$3:AE$463,Summary!$A$3:$A$463,$A32,Summary!$B$3:$B$463,$B$1)</f>
        <v>50</v>
      </c>
      <c r="AE32" s="26">
        <f>SUMIFS(Summary!AF$3:AF$463,Summary!$A$3:$A$463,$A32,Summary!$B$3:$B$463,$B$1)</f>
        <v>200</v>
      </c>
    </row>
    <row r="33" spans="1:34">
      <c r="A33" s="22" t="s">
        <v>2376</v>
      </c>
      <c r="B33" s="26">
        <f>SUMIFS(Summary!C$3:C$463,Summary!$A$3:$A$463,$A33,Summary!$B$3:$B$463,$B$1)</f>
        <v>0</v>
      </c>
      <c r="C33" s="26">
        <f>SUMIFS(Summary!D$3:D$463,Summary!$A$3:$A$463,$A33,Summary!$B$3:$B$463,$B$1)</f>
        <v>0</v>
      </c>
      <c r="D33" s="26">
        <f>SUMIFS(Summary!E$3:E$463,Summary!$A$3:$A$463,$A33,Summary!$B$3:$B$463,$B$1)</f>
        <v>0</v>
      </c>
      <c r="E33" s="26">
        <f>SUMIFS(Summary!F$3:F$463,Summary!$A$3:$A$463,$A33,Summary!$B$3:$B$463,$B$1)</f>
        <v>0</v>
      </c>
      <c r="F33" s="26">
        <f>SUMIFS(Summary!G$3:G$463,Summary!$A$3:$A$463,$A33,Summary!$B$3:$B$463,$B$1)</f>
        <v>0</v>
      </c>
      <c r="G33" s="26">
        <f>SUMIFS(Summary!H$3:H$463,Summary!$A$3:$A$463,$A33,Summary!$B$3:$B$463,$B$1)</f>
        <v>0</v>
      </c>
      <c r="H33" s="26">
        <f>SUMIFS(Summary!I$3:I$463,Summary!$A$3:$A$463,$A33,Summary!$B$3:$B$463,$B$1)</f>
        <v>0</v>
      </c>
      <c r="I33" s="26">
        <f>SUMIFS(Summary!J$3:J$463,Summary!$A$3:$A$463,$A33,Summary!$B$3:$B$463,$B$1)</f>
        <v>0</v>
      </c>
      <c r="J33" s="26">
        <f>SUMIFS(Summary!K$3:K$463,Summary!$A$3:$A$463,$A33,Summary!$B$3:$B$463,$B$1)</f>
        <v>0</v>
      </c>
      <c r="K33" s="26">
        <f>SUMIFS(Summary!L$3:L$463,Summary!$A$3:$A$463,$A33,Summary!$B$3:$B$463,$B$1)</f>
        <v>0</v>
      </c>
      <c r="L33" s="26">
        <f>SUMIFS(Summary!M$3:M$463,Summary!$A$3:$A$463,$A33,Summary!$B$3:$B$463,$B$1)</f>
        <v>0</v>
      </c>
      <c r="M33" s="26">
        <f>SUMIFS(Summary!N$3:N$463,Summary!$A$3:$A$463,$A33,Summary!$B$3:$B$463,$B$1)</f>
        <v>514.75</v>
      </c>
      <c r="N33" s="26">
        <f>SUMIFS(Summary!O$3:O$463,Summary!$A$3:$A$463,$A33,Summary!$B$3:$B$463,$B$1)</f>
        <v>514.75</v>
      </c>
      <c r="O33" s="26">
        <f>SUMIFS(Summary!P$3:P$463,Summary!$A$3:$A$463,$A33,Summary!$B$3:$B$463,$B$1)</f>
        <v>514.75</v>
      </c>
      <c r="P33" s="26">
        <f>SUMIFS(Summary!Q$3:Q$463,Summary!$A$3:$A$463,$A33,Summary!$B$3:$B$463,$B$1)</f>
        <v>514.75</v>
      </c>
      <c r="Q33" s="26">
        <f>SUMIFS(Summary!R$3:R$463,Summary!$A$3:$A$463,$A33,Summary!$B$3:$B$463,$B$1)</f>
        <v>514.75</v>
      </c>
      <c r="R33" s="26">
        <f>SUMIFS(Summary!S$3:S$463,Summary!$A$3:$A$463,$A33,Summary!$B$3:$B$463,$B$1)</f>
        <v>514.75</v>
      </c>
      <c r="S33" s="26">
        <f>SUMIFS(Summary!T$3:T$463,Summary!$A$3:$A$463,$A33,Summary!$B$3:$B$463,$B$1)</f>
        <v>514.75</v>
      </c>
      <c r="T33" s="26">
        <f>SUMIFS(Summary!U$3:U$463,Summary!$A$3:$A$463,$A33,Summary!$B$3:$B$463,$B$1)</f>
        <v>514.75</v>
      </c>
      <c r="U33" s="26">
        <f>SUMIFS(Summary!V$3:V$463,Summary!$A$3:$A$463,$A33,Summary!$B$3:$B$463,$B$1)</f>
        <v>232.5</v>
      </c>
      <c r="V33" s="26">
        <f>SUMIFS(Summary!W$3:W$463,Summary!$A$3:$A$463,$A33,Summary!$B$3:$B$463,$B$1)</f>
        <v>433</v>
      </c>
      <c r="W33" s="26">
        <f>SUMIFS(Summary!X$3:X$463,Summary!$A$3:$A$463,$A33,Summary!$B$3:$B$463,$B$1)</f>
        <v>654</v>
      </c>
      <c r="X33" s="26">
        <f>SUMIFS(Summary!Y$3:Y$463,Summary!$A$3:$A$463,$A33,Summary!$B$3:$B$463,$B$1)</f>
        <v>786.8</v>
      </c>
      <c r="Y33" s="26">
        <f>SUMIFS(Summary!Z$3:Z$463,Summary!$A$3:$A$463,$A33,Summary!$B$3:$B$463,$B$1)</f>
        <v>574.8</v>
      </c>
      <c r="Z33" s="26">
        <f>SUMIFS(Summary!AA$3:AA$463,Summary!$A$3:$A$463,$A33,Summary!$B$3:$B$463,$B$1)</f>
        <v>705.2</v>
      </c>
      <c r="AA33" s="26">
        <f>SUMIFS(Summary!AB$3:AB$463,Summary!$A$3:$A$463,$A33,Summary!$B$3:$B$463,$B$1)</f>
        <v>474</v>
      </c>
      <c r="AB33" s="26">
        <f>SUMIFS(Summary!AC$3:AC$463,Summary!$A$3:$A$463,$A33,Summary!$B$3:$B$463,$B$1)</f>
        <v>633.5</v>
      </c>
      <c r="AC33" s="26">
        <f>SUMIFS(Summary!AD$3:AD$463,Summary!$A$3:$A$463,$A33,Summary!$B$3:$B$463,$B$1)</f>
        <v>810</v>
      </c>
      <c r="AD33" s="26">
        <f>SUMIFS(Summary!AE$3:AE$463,Summary!$A$3:$A$463,$A33,Summary!$B$3:$B$463,$B$1)</f>
        <v>952.6</v>
      </c>
      <c r="AE33" s="26">
        <f>SUMIFS(Summary!AF$3:AF$463,Summary!$A$3:$A$463,$A33,Summary!$B$3:$B$463,$B$1)</f>
        <v>1190.26</v>
      </c>
    </row>
    <row r="34" spans="1:34">
      <c r="A34" s="27" t="s">
        <v>2377</v>
      </c>
      <c r="B34" s="26">
        <f>SUMIFS(Summary!C$3:C$463,Summary!$A$3:$A$463,$A34,Summary!$B$3:$B$463,$B$1)</f>
        <v>0</v>
      </c>
      <c r="C34" s="26">
        <f>SUMIFS(Summary!D$3:D$463,Summary!$A$3:$A$463,$A34,Summary!$B$3:$B$463,$B$1)</f>
        <v>0</v>
      </c>
      <c r="D34" s="26">
        <f>SUMIFS(Summary!E$3:E$463,Summary!$A$3:$A$463,$A34,Summary!$B$3:$B$463,$B$1)</f>
        <v>0</v>
      </c>
      <c r="E34" s="26">
        <f>SUMIFS(Summary!F$3:F$463,Summary!$A$3:$A$463,$A34,Summary!$B$3:$B$463,$B$1)</f>
        <v>0</v>
      </c>
      <c r="F34" s="26">
        <f>SUMIFS(Summary!G$3:G$463,Summary!$A$3:$A$463,$A34,Summary!$B$3:$B$463,$B$1)</f>
        <v>0</v>
      </c>
      <c r="G34" s="26">
        <f>SUMIFS(Summary!H$3:H$463,Summary!$A$3:$A$463,$A34,Summary!$B$3:$B$463,$B$1)</f>
        <v>0</v>
      </c>
      <c r="H34" s="26">
        <f>SUMIFS(Summary!I$3:I$463,Summary!$A$3:$A$463,$A34,Summary!$B$3:$B$463,$B$1)</f>
        <v>0</v>
      </c>
      <c r="I34" s="26">
        <f>SUMIFS(Summary!J$3:J$463,Summary!$A$3:$A$463,$A34,Summary!$B$3:$B$463,$B$1)</f>
        <v>0</v>
      </c>
      <c r="J34" s="26">
        <f>SUMIFS(Summary!K$3:K$463,Summary!$A$3:$A$463,$A34,Summary!$B$3:$B$463,$B$1)</f>
        <v>0</v>
      </c>
      <c r="K34" s="26">
        <f>SUMIFS(Summary!L$3:L$463,Summary!$A$3:$A$463,$A34,Summary!$B$3:$B$463,$B$1)</f>
        <v>0</v>
      </c>
      <c r="L34" s="26">
        <f>SUMIFS(Summary!M$3:M$463,Summary!$A$3:$A$463,$A34,Summary!$B$3:$B$463,$B$1)</f>
        <v>0</v>
      </c>
      <c r="M34" s="26">
        <f>SUMIFS(Summary!N$3:N$463,Summary!$A$3:$A$463,$A34,Summary!$B$3:$B$463,$B$1)</f>
        <v>0</v>
      </c>
      <c r="N34" s="26">
        <f>SUMIFS(Summary!O$3:O$463,Summary!$A$3:$A$463,$A34,Summary!$B$3:$B$463,$B$1)</f>
        <v>0</v>
      </c>
      <c r="O34" s="26">
        <f>SUMIFS(Summary!P$3:P$463,Summary!$A$3:$A$463,$A34,Summary!$B$3:$B$463,$B$1)</f>
        <v>0</v>
      </c>
      <c r="P34" s="26">
        <f>SUMIFS(Summary!Q$3:Q$463,Summary!$A$3:$A$463,$A34,Summary!$B$3:$B$463,$B$1)</f>
        <v>0</v>
      </c>
      <c r="Q34" s="26">
        <f>SUMIFS(Summary!R$3:R$463,Summary!$A$3:$A$463,$A34,Summary!$B$3:$B$463,$B$1)</f>
        <v>0</v>
      </c>
      <c r="R34" s="26">
        <f>SUMIFS(Summary!S$3:S$463,Summary!$A$3:$A$463,$A34,Summary!$B$3:$B$463,$B$1)</f>
        <v>0</v>
      </c>
      <c r="S34" s="26">
        <f>SUMIFS(Summary!T$3:T$463,Summary!$A$3:$A$463,$A34,Summary!$B$3:$B$463,$B$1)</f>
        <v>0</v>
      </c>
      <c r="T34" s="26">
        <f>SUMIFS(Summary!U$3:U$463,Summary!$A$3:$A$463,$A34,Summary!$B$3:$B$463,$B$1)</f>
        <v>0</v>
      </c>
      <c r="U34" s="26">
        <f>SUMIFS(Summary!V$3:V$463,Summary!$A$3:$A$463,$A34,Summary!$B$3:$B$463,$B$1)</f>
        <v>0</v>
      </c>
      <c r="V34" s="26">
        <f>SUMIFS(Summary!W$3:W$463,Summary!$A$3:$A$463,$A34,Summary!$B$3:$B$463,$B$1)</f>
        <v>0</v>
      </c>
      <c r="W34" s="26">
        <f>SUMIFS(Summary!X$3:X$463,Summary!$A$3:$A$463,$A34,Summary!$B$3:$B$463,$B$1)</f>
        <v>0</v>
      </c>
      <c r="X34" s="26">
        <f>SUMIFS(Summary!Y$3:Y$463,Summary!$A$3:$A$463,$A34,Summary!$B$3:$B$463,$B$1)</f>
        <v>0</v>
      </c>
      <c r="Y34" s="26">
        <f>SUMIFS(Summary!Z$3:Z$463,Summary!$A$3:$A$463,$A34,Summary!$B$3:$B$463,$B$1)</f>
        <v>0</v>
      </c>
      <c r="Z34" s="26">
        <f>SUMIFS(Summary!AA$3:AA$463,Summary!$A$3:$A$463,$A34,Summary!$B$3:$B$463,$B$1)</f>
        <v>0</v>
      </c>
      <c r="AA34" s="26">
        <f>SUMIFS(Summary!AB$3:AB$463,Summary!$A$3:$A$463,$A34,Summary!$B$3:$B$463,$B$1)</f>
        <v>0</v>
      </c>
      <c r="AB34" s="26">
        <f>SUMIFS(Summary!AC$3:AC$463,Summary!$A$3:$A$463,$A34,Summary!$B$3:$B$463,$B$1)</f>
        <v>0</v>
      </c>
      <c r="AC34" s="26">
        <f>SUMIFS(Summary!AD$3:AD$463,Summary!$A$3:$A$463,$A34,Summary!$B$3:$B$463,$B$1)</f>
        <v>0</v>
      </c>
      <c r="AD34" s="26">
        <f>SUMIFS(Summary!AE$3:AE$463,Summary!$A$3:$A$463,$A34,Summary!$B$3:$B$463,$B$1)</f>
        <v>0</v>
      </c>
      <c r="AE34" s="26">
        <f>SUMIFS(Summary!AF$3:AF$463,Summary!$A$3:$A$463,$A34,Summary!$B$3:$B$463,$B$1)</f>
        <v>0</v>
      </c>
    </row>
    <row r="35" spans="1:34">
      <c r="A35" s="25" t="s">
        <v>2378</v>
      </c>
      <c r="B35" s="26">
        <f>B$43*IFERROR($B$15/($B$15+$B$19+$B$20),0)</f>
        <v>27.8333765698711</v>
      </c>
      <c r="C35" s="26">
        <f t="shared" ref="C35:AE35" si="3">C$43*IFERROR($B$15/($B$15+$B$19+$B$20),0)</f>
        <v>27.8333765698711</v>
      </c>
      <c r="D35" s="26">
        <f t="shared" si="3"/>
        <v>27.8333765698711</v>
      </c>
      <c r="E35" s="26">
        <f t="shared" si="3"/>
        <v>27.8333765698711</v>
      </c>
      <c r="F35" s="26">
        <f t="shared" si="3"/>
        <v>27.8333765698711</v>
      </c>
      <c r="G35" s="26">
        <f t="shared" si="3"/>
        <v>27.8333765698711</v>
      </c>
      <c r="H35" s="26">
        <f t="shared" si="3"/>
        <v>27.8333765698711</v>
      </c>
      <c r="I35" s="26">
        <f t="shared" si="3"/>
        <v>27.8333765698711</v>
      </c>
      <c r="J35" s="26">
        <f t="shared" si="3"/>
        <v>27.8333765698711</v>
      </c>
      <c r="K35" s="26">
        <f t="shared" si="3"/>
        <v>27.8333765698711</v>
      </c>
      <c r="L35" s="26">
        <f t="shared" si="3"/>
        <v>27.8333765698711</v>
      </c>
      <c r="M35" s="26">
        <f t="shared" si="3"/>
        <v>27.8333765698711</v>
      </c>
      <c r="N35" s="26">
        <f t="shared" si="3"/>
        <v>10.0432765599109</v>
      </c>
      <c r="O35" s="26">
        <f t="shared" si="3"/>
        <v>7.83120156828656</v>
      </c>
      <c r="P35" s="26">
        <f t="shared" si="3"/>
        <v>7.83120156828656</v>
      </c>
      <c r="Q35" s="26">
        <f t="shared" si="3"/>
        <v>15.1971832414274</v>
      </c>
      <c r="R35" s="26">
        <f t="shared" si="3"/>
        <v>7.83120156828656</v>
      </c>
      <c r="S35" s="26">
        <f t="shared" si="3"/>
        <v>7.83120156828656</v>
      </c>
      <c r="T35" s="26">
        <f t="shared" si="3"/>
        <v>23.7946293428951</v>
      </c>
      <c r="U35" s="26">
        <f t="shared" si="3"/>
        <v>7.83120156828656</v>
      </c>
      <c r="V35" s="26">
        <f t="shared" si="3"/>
        <v>7.83120156828656</v>
      </c>
      <c r="W35" s="26">
        <f t="shared" si="3"/>
        <v>7.83120156828658</v>
      </c>
      <c r="X35" s="26">
        <f t="shared" si="3"/>
        <v>0</v>
      </c>
      <c r="Y35" s="26">
        <f t="shared" si="3"/>
        <v>0</v>
      </c>
      <c r="Z35" s="26">
        <f t="shared" si="3"/>
        <v>0</v>
      </c>
      <c r="AA35" s="26">
        <f t="shared" si="3"/>
        <v>0</v>
      </c>
      <c r="AB35" s="26">
        <f t="shared" si="3"/>
        <v>0</v>
      </c>
      <c r="AC35" s="26">
        <f t="shared" si="3"/>
        <v>0</v>
      </c>
      <c r="AD35" s="26">
        <f t="shared" si="3"/>
        <v>0</v>
      </c>
      <c r="AE35" s="26">
        <f t="shared" si="3"/>
        <v>0</v>
      </c>
    </row>
    <row r="36" spans="1:34">
      <c r="A36" s="25" t="s">
        <v>2379</v>
      </c>
      <c r="B36" s="26">
        <f>B44*0.3</f>
        <v>0</v>
      </c>
      <c r="C36" s="26">
        <f t="shared" ref="C36:AE36" si="4">C44*0.3</f>
        <v>0</v>
      </c>
      <c r="D36" s="26">
        <f t="shared" si="4"/>
        <v>0</v>
      </c>
      <c r="E36" s="26">
        <f t="shared" si="4"/>
        <v>0</v>
      </c>
      <c r="F36" s="26">
        <f t="shared" si="4"/>
        <v>81.81</v>
      </c>
      <c r="G36" s="26">
        <f t="shared" si="4"/>
        <v>81.81</v>
      </c>
      <c r="H36" s="26">
        <f t="shared" si="4"/>
        <v>81.81</v>
      </c>
      <c r="I36" s="26">
        <f t="shared" si="4"/>
        <v>119.31</v>
      </c>
      <c r="J36" s="26">
        <f t="shared" si="4"/>
        <v>119.31</v>
      </c>
      <c r="K36" s="26">
        <f t="shared" si="4"/>
        <v>83.3699999999996</v>
      </c>
      <c r="L36" s="26">
        <f t="shared" si="4"/>
        <v>100.14</v>
      </c>
      <c r="M36" s="26">
        <f t="shared" si="4"/>
        <v>107.34</v>
      </c>
      <c r="N36" s="26">
        <f t="shared" si="4"/>
        <v>116.34</v>
      </c>
      <c r="O36" s="26">
        <f t="shared" si="4"/>
        <v>120.9</v>
      </c>
      <c r="P36" s="26">
        <f t="shared" si="4"/>
        <v>0</v>
      </c>
      <c r="Q36" s="26">
        <f t="shared" si="4"/>
        <v>889.71</v>
      </c>
      <c r="R36" s="26">
        <f t="shared" si="4"/>
        <v>1341.51</v>
      </c>
      <c r="S36" s="26">
        <f t="shared" si="4"/>
        <v>1222.887</v>
      </c>
      <c r="T36" s="26">
        <f t="shared" si="4"/>
        <v>424.533</v>
      </c>
      <c r="U36" s="26">
        <f t="shared" si="4"/>
        <v>1109.88</v>
      </c>
      <c r="V36" s="26">
        <f t="shared" si="4"/>
        <v>890.04</v>
      </c>
      <c r="W36" s="26">
        <f t="shared" si="4"/>
        <v>715.8</v>
      </c>
      <c r="X36" s="26">
        <f t="shared" si="4"/>
        <v>963.18</v>
      </c>
      <c r="Y36" s="26">
        <f t="shared" si="4"/>
        <v>2134.92</v>
      </c>
      <c r="Z36" s="26">
        <f t="shared" si="4"/>
        <v>3912.63</v>
      </c>
      <c r="AA36" s="26">
        <f t="shared" si="4"/>
        <v>3680.91</v>
      </c>
      <c r="AB36" s="26">
        <f t="shared" si="4"/>
        <v>2244.84</v>
      </c>
      <c r="AC36" s="26">
        <f t="shared" si="4"/>
        <v>2060.508</v>
      </c>
      <c r="AD36" s="26">
        <f t="shared" si="4"/>
        <v>2997.258</v>
      </c>
      <c r="AE36" s="26">
        <f t="shared" si="4"/>
        <v>2106.198</v>
      </c>
    </row>
    <row r="37" spans="1:34">
      <c r="A37" s="27" t="s">
        <v>2350</v>
      </c>
      <c r="B37" s="26">
        <f>SUMIFS(Summary!C$3:C$463,Summary!$A$3:$A$463,$A37,Summary!$B$3:$B$463,$B$1)</f>
        <v>0</v>
      </c>
      <c r="C37" s="26">
        <f>SUMIFS(Summary!D$3:D$463,Summary!$A$3:$A$463,$A37,Summary!$B$3:$B$463,$B$1)</f>
        <v>0</v>
      </c>
      <c r="D37" s="26">
        <f>SUMIFS(Summary!E$3:E$463,Summary!$A$3:$A$463,$A37,Summary!$B$3:$B$463,$B$1)</f>
        <v>0</v>
      </c>
      <c r="E37" s="26">
        <f>SUMIFS(Summary!F$3:F$463,Summary!$A$3:$A$463,$A37,Summary!$B$3:$B$463,$B$1)</f>
        <v>0</v>
      </c>
      <c r="F37" s="26">
        <f>SUMIFS(Summary!G$3:G$463,Summary!$A$3:$A$463,$A37,Summary!$B$3:$B$463,$B$1)</f>
        <v>0</v>
      </c>
      <c r="G37" s="26">
        <f>SUMIFS(Summary!H$3:H$463,Summary!$A$3:$A$463,$A37,Summary!$B$3:$B$463,$B$1)</f>
        <v>0</v>
      </c>
      <c r="H37" s="26">
        <f>SUMIFS(Summary!I$3:I$463,Summary!$A$3:$A$463,$A37,Summary!$B$3:$B$463,$B$1)</f>
        <v>0</v>
      </c>
      <c r="I37" s="26">
        <f>SUMIFS(Summary!J$3:J$463,Summary!$A$3:$A$463,$A37,Summary!$B$3:$B$463,$B$1)</f>
        <v>0</v>
      </c>
      <c r="J37" s="26">
        <f>SUMIFS(Summary!K$3:K$463,Summary!$A$3:$A$463,$A37,Summary!$B$3:$B$463,$B$1)</f>
        <v>0</v>
      </c>
      <c r="K37" s="26">
        <f>SUMIFS(Summary!L$3:L$463,Summary!$A$3:$A$463,$A37,Summary!$B$3:$B$463,$B$1)</f>
        <v>0</v>
      </c>
      <c r="L37" s="26">
        <f>SUMIFS(Summary!M$3:M$463,Summary!$A$3:$A$463,$A37,Summary!$B$3:$B$463,$B$1)</f>
        <v>0</v>
      </c>
      <c r="M37" s="26">
        <f>SUMIFS(Summary!N$3:N$463,Summary!$A$3:$A$463,$A37,Summary!$B$3:$B$463,$B$1)</f>
        <v>648.5</v>
      </c>
      <c r="N37" s="26">
        <f>SUMIFS(Summary!O$3:O$463,Summary!$A$3:$A$463,$A37,Summary!$B$3:$B$463,$B$1)</f>
        <v>648.5</v>
      </c>
      <c r="O37" s="26">
        <f>SUMIFS(Summary!P$3:P$463,Summary!$A$3:$A$463,$A37,Summary!$B$3:$B$463,$B$1)</f>
        <v>648.5</v>
      </c>
      <c r="P37" s="26">
        <f>SUMIFS(Summary!Q$3:Q$463,Summary!$A$3:$A$463,$A37,Summary!$B$3:$B$463,$B$1)</f>
        <v>648.5</v>
      </c>
      <c r="Q37" s="26">
        <f>SUMIFS(Summary!R$3:R$463,Summary!$A$3:$A$463,$A37,Summary!$B$3:$B$463,$B$1)</f>
        <v>648.5</v>
      </c>
      <c r="R37" s="26">
        <f>SUMIFS(Summary!S$3:S$463,Summary!$A$3:$A$463,$A37,Summary!$B$3:$B$463,$B$1)</f>
        <v>648.5</v>
      </c>
      <c r="S37" s="26">
        <f>SUMIFS(Summary!T$3:T$463,Summary!$A$3:$A$463,$A37,Summary!$B$3:$B$463,$B$1)</f>
        <v>648.5</v>
      </c>
      <c r="T37" s="26">
        <f>SUMIFS(Summary!U$3:U$463,Summary!$A$3:$A$463,$A37,Summary!$B$3:$B$463,$B$1)</f>
        <v>648.5</v>
      </c>
      <c r="U37" s="26">
        <f>SUMIFS(Summary!V$3:V$463,Summary!$A$3:$A$463,$A37,Summary!$B$3:$B$463,$B$1)</f>
        <v>1550</v>
      </c>
      <c r="V37" s="26">
        <f>SUMIFS(Summary!W$3:W$463,Summary!$A$3:$A$463,$A37,Summary!$B$3:$B$463,$B$1)</f>
        <v>1901.4</v>
      </c>
      <c r="W37" s="26">
        <f>SUMIFS(Summary!X$3:X$463,Summary!$A$3:$A$463,$A37,Summary!$B$3:$B$463,$B$1)</f>
        <v>1230</v>
      </c>
      <c r="X37" s="26">
        <f>SUMIFS(Summary!Y$3:Y$463,Summary!$A$3:$A$463,$A37,Summary!$B$3:$B$463,$B$1)</f>
        <v>1560</v>
      </c>
      <c r="Y37" s="26">
        <f>SUMIFS(Summary!Z$3:Z$463,Summary!$A$3:$A$463,$A37,Summary!$B$3:$B$463,$B$1)</f>
        <v>606</v>
      </c>
      <c r="Z37" s="26">
        <f>SUMIFS(Summary!AA$3:AA$463,Summary!$A$3:$A$463,$A37,Summary!$B$3:$B$463,$B$1)</f>
        <v>300</v>
      </c>
      <c r="AA37" s="26">
        <f>SUMIFS(Summary!AB$3:AB$463,Summary!$A$3:$A$463,$A37,Summary!$B$3:$B$463,$B$1)</f>
        <v>0</v>
      </c>
      <c r="AB37" s="26">
        <f>SUMIFS(Summary!AC$3:AC$463,Summary!$A$3:$A$463,$A37,Summary!$B$3:$B$463,$B$1)</f>
        <v>318</v>
      </c>
      <c r="AC37" s="26">
        <f>SUMIFS(Summary!AD$3:AD$463,Summary!$A$3:$A$463,$A37,Summary!$B$3:$B$463,$B$1)</f>
        <v>2</v>
      </c>
      <c r="AD37" s="26">
        <f>SUMIFS(Summary!AE$3:AE$463,Summary!$A$3:$A$463,$A37,Summary!$B$3:$B$463,$B$1)</f>
        <v>0</v>
      </c>
      <c r="AE37" s="26">
        <f>SUMIFS(Summary!AF$3:AF$463,Summary!$A$3:$A$463,$A37,Summary!$B$3:$B$463,$B$1)</f>
        <v>1400</v>
      </c>
    </row>
    <row r="38" spans="1:34">
      <c r="A38" s="27" t="s">
        <v>2381</v>
      </c>
      <c r="B38" s="26">
        <f>SUMIFS(Summary!C$3:C$463,Summary!$A$3:$A$463,$A38,Summary!$B$3:$B$463,$B$1)</f>
        <v>0</v>
      </c>
      <c r="C38" s="26">
        <f>SUMIFS(Summary!D$3:D$463,Summary!$A$3:$A$463,$A38,Summary!$B$3:$B$463,$B$1)</f>
        <v>0</v>
      </c>
      <c r="D38" s="26">
        <f>SUMIFS(Summary!E$3:E$463,Summary!$A$3:$A$463,$A38,Summary!$B$3:$B$463,$B$1)</f>
        <v>0</v>
      </c>
      <c r="E38" s="26">
        <f>SUMIFS(Summary!F$3:F$463,Summary!$A$3:$A$463,$A38,Summary!$B$3:$B$463,$B$1)</f>
        <v>0</v>
      </c>
      <c r="F38" s="26">
        <f>SUMIFS(Summary!G$3:G$463,Summary!$A$3:$A$463,$A38,Summary!$B$3:$B$463,$B$1)</f>
        <v>0</v>
      </c>
      <c r="G38" s="26">
        <f>SUMIFS(Summary!H$3:H$463,Summary!$A$3:$A$463,$A38,Summary!$B$3:$B$463,$B$1)</f>
        <v>0</v>
      </c>
      <c r="H38" s="26">
        <f>SUMIFS(Summary!I$3:I$463,Summary!$A$3:$A$463,$A38,Summary!$B$3:$B$463,$B$1)</f>
        <v>0</v>
      </c>
      <c r="I38" s="26">
        <f>SUMIFS(Summary!J$3:J$463,Summary!$A$3:$A$463,$A38,Summary!$B$3:$B$463,$B$1)</f>
        <v>0</v>
      </c>
      <c r="J38" s="26">
        <f>SUMIFS(Summary!K$3:K$463,Summary!$A$3:$A$463,$A38,Summary!$B$3:$B$463,$B$1)</f>
        <v>0</v>
      </c>
      <c r="K38" s="26">
        <f>SUMIFS(Summary!L$3:L$463,Summary!$A$3:$A$463,$A38,Summary!$B$3:$B$463,$B$1)</f>
        <v>0</v>
      </c>
      <c r="L38" s="26">
        <f>SUMIFS(Summary!M$3:M$463,Summary!$A$3:$A$463,$A38,Summary!$B$3:$B$463,$B$1)</f>
        <v>0</v>
      </c>
      <c r="M38" s="26">
        <f>SUMIFS(Summary!N$3:N$463,Summary!$A$3:$A$463,$A38,Summary!$B$3:$B$463,$B$1)</f>
        <v>0</v>
      </c>
      <c r="N38" s="26">
        <f>SUMIFS(Summary!O$3:O$463,Summary!$A$3:$A$463,$A38,Summary!$B$3:$B$463,$B$1)</f>
        <v>0</v>
      </c>
      <c r="O38" s="26">
        <f>SUMIFS(Summary!P$3:P$463,Summary!$A$3:$A$463,$A38,Summary!$B$3:$B$463,$B$1)</f>
        <v>0</v>
      </c>
      <c r="P38" s="26">
        <f>SUMIFS(Summary!Q$3:Q$463,Summary!$A$3:$A$463,$A38,Summary!$B$3:$B$463,$B$1)</f>
        <v>0</v>
      </c>
      <c r="Q38" s="26">
        <f>SUMIFS(Summary!R$3:R$463,Summary!$A$3:$A$463,$A38,Summary!$B$3:$B$463,$B$1)</f>
        <v>0</v>
      </c>
      <c r="R38" s="26">
        <f>SUMIFS(Summary!S$3:S$463,Summary!$A$3:$A$463,$A38,Summary!$B$3:$B$463,$B$1)</f>
        <v>0</v>
      </c>
      <c r="S38" s="26">
        <f>SUMIFS(Summary!T$3:T$463,Summary!$A$3:$A$463,$A38,Summary!$B$3:$B$463,$B$1)</f>
        <v>0</v>
      </c>
      <c r="T38" s="26">
        <f>SUMIFS(Summary!U$3:U$463,Summary!$A$3:$A$463,$A38,Summary!$B$3:$B$463,$B$1)</f>
        <v>0</v>
      </c>
      <c r="U38" s="26">
        <f>SUMIFS(Summary!V$3:V$463,Summary!$A$3:$A$463,$A38,Summary!$B$3:$B$463,$B$1)</f>
        <v>210</v>
      </c>
      <c r="V38" s="26">
        <f>SUMIFS(Summary!W$3:W$463,Summary!$A$3:$A$463,$A38,Summary!$B$3:$B$463,$B$1)</f>
        <v>0</v>
      </c>
      <c r="W38" s="26">
        <f>SUMIFS(Summary!X$3:X$463,Summary!$A$3:$A$463,$A38,Summary!$B$3:$B$463,$B$1)</f>
        <v>102</v>
      </c>
      <c r="X38" s="26">
        <f>SUMIFS(Summary!Y$3:Y$463,Summary!$A$3:$A$463,$A38,Summary!$B$3:$B$463,$B$1)</f>
        <v>12</v>
      </c>
      <c r="Y38" s="26">
        <f>SUMIFS(Summary!Z$3:Z$463,Summary!$A$3:$A$463,$A38,Summary!$B$3:$B$463,$B$1)</f>
        <v>804</v>
      </c>
      <c r="Z38" s="26">
        <f>SUMIFS(Summary!AA$3:AA$463,Summary!$A$3:$A$463,$A38,Summary!$B$3:$B$463,$B$1)</f>
        <v>603</v>
      </c>
      <c r="AA38" s="26">
        <f>SUMIFS(Summary!AB$3:AB$463,Summary!$A$3:$A$463,$A38,Summary!$B$3:$B$463,$B$1)</f>
        <v>977</v>
      </c>
      <c r="AB38" s="26">
        <f>SUMIFS(Summary!AC$3:AC$463,Summary!$A$3:$A$463,$A38,Summary!$B$3:$B$463,$B$1)</f>
        <v>2355</v>
      </c>
      <c r="AC38" s="26">
        <f>SUMIFS(Summary!AD$3:AD$463,Summary!$A$3:$A$463,$A38,Summary!$B$3:$B$463,$B$1)</f>
        <v>0</v>
      </c>
      <c r="AD38" s="26">
        <f>SUMIFS(Summary!AE$3:AE$463,Summary!$A$3:$A$463,$A38,Summary!$B$3:$B$463,$B$1)</f>
        <v>0</v>
      </c>
      <c r="AE38" s="26">
        <f>SUMIFS(Summary!AF$3:AF$463,Summary!$A$3:$A$463,$A38,Summary!$B$3:$B$463,$B$1)</f>
        <v>0</v>
      </c>
    </row>
    <row r="39" spans="1:34">
      <c r="A39" s="25" t="s">
        <v>2382</v>
      </c>
      <c r="B39" s="26">
        <f>B$43*IFERROR($B$19/($B$15+$B$19+$B$20),0)</f>
        <v>6.3501054880975</v>
      </c>
      <c r="C39" s="26">
        <f t="shared" ref="C39:AE39" si="5">C$43*IFERROR($B$19/($B$15+$B$19+$B$20),0)</f>
        <v>6.3501054880975</v>
      </c>
      <c r="D39" s="26">
        <f t="shared" si="5"/>
        <v>6.3501054880975</v>
      </c>
      <c r="E39" s="26">
        <f t="shared" si="5"/>
        <v>6.3501054880975</v>
      </c>
      <c r="F39" s="26">
        <f t="shared" si="5"/>
        <v>6.3501054880975</v>
      </c>
      <c r="G39" s="26">
        <f t="shared" si="5"/>
        <v>6.3501054880975</v>
      </c>
      <c r="H39" s="26">
        <f t="shared" si="5"/>
        <v>6.3501054880975</v>
      </c>
      <c r="I39" s="26">
        <f t="shared" si="5"/>
        <v>6.3501054880975</v>
      </c>
      <c r="J39" s="26">
        <f t="shared" si="5"/>
        <v>6.3501054880975</v>
      </c>
      <c r="K39" s="26">
        <f t="shared" si="5"/>
        <v>6.3501054880975</v>
      </c>
      <c r="L39" s="26">
        <f t="shared" si="5"/>
        <v>6.3501054880975</v>
      </c>
      <c r="M39" s="26">
        <f t="shared" si="5"/>
        <v>6.3501054880975</v>
      </c>
      <c r="N39" s="26">
        <f t="shared" si="5"/>
        <v>2.29134490533235</v>
      </c>
      <c r="O39" s="26">
        <f t="shared" si="5"/>
        <v>1.78666630447577</v>
      </c>
      <c r="P39" s="26">
        <f t="shared" si="5"/>
        <v>1.78666630447577</v>
      </c>
      <c r="Q39" s="26">
        <f t="shared" si="5"/>
        <v>3.46719401660645</v>
      </c>
      <c r="R39" s="26">
        <f t="shared" si="5"/>
        <v>1.78666630447577</v>
      </c>
      <c r="S39" s="26">
        <f t="shared" si="5"/>
        <v>1.78666630447577</v>
      </c>
      <c r="T39" s="26">
        <f t="shared" si="5"/>
        <v>5.4286768261212</v>
      </c>
      <c r="U39" s="26">
        <f t="shared" si="5"/>
        <v>1.78666630447577</v>
      </c>
      <c r="V39" s="26">
        <f t="shared" si="5"/>
        <v>1.78666630447577</v>
      </c>
      <c r="W39" s="26">
        <f t="shared" si="5"/>
        <v>1.78666630447578</v>
      </c>
      <c r="X39" s="26">
        <f t="shared" si="5"/>
        <v>0</v>
      </c>
      <c r="Y39" s="26">
        <f t="shared" si="5"/>
        <v>0</v>
      </c>
      <c r="Z39" s="26">
        <f t="shared" si="5"/>
        <v>0</v>
      </c>
      <c r="AA39" s="26">
        <f t="shared" si="5"/>
        <v>0</v>
      </c>
      <c r="AB39" s="26">
        <f t="shared" si="5"/>
        <v>0</v>
      </c>
      <c r="AC39" s="26">
        <f t="shared" si="5"/>
        <v>0</v>
      </c>
      <c r="AD39" s="26">
        <f t="shared" si="5"/>
        <v>0</v>
      </c>
      <c r="AE39" s="26">
        <f t="shared" si="5"/>
        <v>0</v>
      </c>
    </row>
    <row r="40" spans="1:34">
      <c r="A40" s="25" t="s">
        <v>2383</v>
      </c>
      <c r="B40" s="26">
        <f>B$43*IFERROR($B$20/($B$15+$B$19+$B$20),0)</f>
        <v>87.8665179420314</v>
      </c>
      <c r="C40" s="26">
        <f t="shared" ref="C40:AE40" si="6">C$43*IFERROR($B$20/($B$15+$B$19+$B$20),0)</f>
        <v>87.8665179420314</v>
      </c>
      <c r="D40" s="26">
        <f t="shared" si="6"/>
        <v>87.8665179420314</v>
      </c>
      <c r="E40" s="26">
        <f t="shared" si="6"/>
        <v>87.8665179420314</v>
      </c>
      <c r="F40" s="26">
        <f t="shared" si="6"/>
        <v>87.8665179420314</v>
      </c>
      <c r="G40" s="26">
        <f t="shared" si="6"/>
        <v>87.8665179420314</v>
      </c>
      <c r="H40" s="26">
        <f t="shared" si="6"/>
        <v>87.8665179420314</v>
      </c>
      <c r="I40" s="26">
        <f t="shared" si="6"/>
        <v>87.8665179420314</v>
      </c>
      <c r="J40" s="26">
        <f t="shared" si="6"/>
        <v>87.8665179420314</v>
      </c>
      <c r="K40" s="26">
        <f t="shared" si="6"/>
        <v>87.8665179420314</v>
      </c>
      <c r="L40" s="26">
        <f t="shared" si="6"/>
        <v>87.8665179420314</v>
      </c>
      <c r="M40" s="26">
        <f t="shared" si="6"/>
        <v>87.8665179420314</v>
      </c>
      <c r="N40" s="26">
        <f t="shared" si="6"/>
        <v>31.7053785347568</v>
      </c>
      <c r="O40" s="26">
        <f t="shared" si="6"/>
        <v>24.7221321272377</v>
      </c>
      <c r="P40" s="26">
        <f t="shared" si="6"/>
        <v>24.7221321272377</v>
      </c>
      <c r="Q40" s="26">
        <f t="shared" si="6"/>
        <v>47.9756227419662</v>
      </c>
      <c r="R40" s="26">
        <f t="shared" si="6"/>
        <v>24.7221321272377</v>
      </c>
      <c r="S40" s="26">
        <f t="shared" si="6"/>
        <v>24.7221321272377</v>
      </c>
      <c r="T40" s="26">
        <f t="shared" si="6"/>
        <v>75.1166938309836</v>
      </c>
      <c r="U40" s="26">
        <f t="shared" si="6"/>
        <v>24.7221321272377</v>
      </c>
      <c r="V40" s="26">
        <f t="shared" si="6"/>
        <v>24.7221321272377</v>
      </c>
      <c r="W40" s="26">
        <f t="shared" si="6"/>
        <v>24.7221321272377</v>
      </c>
      <c r="X40" s="26">
        <f t="shared" si="6"/>
        <v>0</v>
      </c>
      <c r="Y40" s="26">
        <f t="shared" si="6"/>
        <v>0</v>
      </c>
      <c r="Z40" s="26">
        <f t="shared" si="6"/>
        <v>0</v>
      </c>
      <c r="AA40" s="26">
        <f t="shared" si="6"/>
        <v>0</v>
      </c>
      <c r="AB40" s="26">
        <f t="shared" si="6"/>
        <v>0</v>
      </c>
      <c r="AC40" s="26">
        <f t="shared" si="6"/>
        <v>0</v>
      </c>
      <c r="AD40" s="26">
        <f t="shared" si="6"/>
        <v>0</v>
      </c>
      <c r="AE40" s="26">
        <f t="shared" si="6"/>
        <v>0</v>
      </c>
    </row>
    <row r="41" spans="1:34">
      <c r="A41" s="27" t="s">
        <v>2323</v>
      </c>
      <c r="B41" s="26">
        <f>SUMIFS(Summary!C$3:C$463,Summary!$A$3:$A$463,$A41,Summary!$B$3:$B$463,$B$1)</f>
        <v>0</v>
      </c>
      <c r="C41" s="26">
        <f>SUMIFS(Summary!D$3:D$463,Summary!$A$3:$A$463,$A41,Summary!$B$3:$B$463,$B$1)</f>
        <v>0</v>
      </c>
      <c r="D41" s="26">
        <f>SUMIFS(Summary!E$3:E$463,Summary!$A$3:$A$463,$A41,Summary!$B$3:$B$463,$B$1)</f>
        <v>0</v>
      </c>
      <c r="E41" s="26">
        <f>SUMIFS(Summary!F$3:F$463,Summary!$A$3:$A$463,$A41,Summary!$B$3:$B$463,$B$1)</f>
        <v>0</v>
      </c>
      <c r="F41" s="26">
        <f>SUMIFS(Summary!G$3:G$463,Summary!$A$3:$A$463,$A41,Summary!$B$3:$B$463,$B$1)</f>
        <v>0</v>
      </c>
      <c r="G41" s="26">
        <f>SUMIFS(Summary!H$3:H$463,Summary!$A$3:$A$463,$A41,Summary!$B$3:$B$463,$B$1)</f>
        <v>0</v>
      </c>
      <c r="H41" s="26">
        <f>SUMIFS(Summary!I$3:I$463,Summary!$A$3:$A$463,$A41,Summary!$B$3:$B$463,$B$1)</f>
        <v>0</v>
      </c>
      <c r="I41" s="26">
        <f>SUMIFS(Summary!J$3:J$463,Summary!$A$3:$A$463,$A41,Summary!$B$3:$B$463,$B$1)</f>
        <v>0</v>
      </c>
      <c r="J41" s="26">
        <f>SUMIFS(Summary!K$3:K$463,Summary!$A$3:$A$463,$A41,Summary!$B$3:$B$463,$B$1)</f>
        <v>0</v>
      </c>
      <c r="K41" s="26">
        <f>SUMIFS(Summary!L$3:L$463,Summary!$A$3:$A$463,$A41,Summary!$B$3:$B$463,$B$1)</f>
        <v>0</v>
      </c>
      <c r="L41" s="26">
        <f>SUMIFS(Summary!M$3:M$463,Summary!$A$3:$A$463,$A41,Summary!$B$3:$B$463,$B$1)</f>
        <v>0</v>
      </c>
      <c r="M41" s="26">
        <f>SUMIFS(Summary!N$3:N$463,Summary!$A$3:$A$463,$A41,Summary!$B$3:$B$463,$B$1)</f>
        <v>514.75</v>
      </c>
      <c r="N41" s="26">
        <f>SUMIFS(Summary!O$3:O$463,Summary!$A$3:$A$463,$A41,Summary!$B$3:$B$463,$B$1)</f>
        <v>514.75</v>
      </c>
      <c r="O41" s="26">
        <f>SUMIFS(Summary!P$3:P$463,Summary!$A$3:$A$463,$A41,Summary!$B$3:$B$463,$B$1)</f>
        <v>514.75</v>
      </c>
      <c r="P41" s="26">
        <f>SUMIFS(Summary!Q$3:Q$463,Summary!$A$3:$A$463,$A41,Summary!$B$3:$B$463,$B$1)</f>
        <v>514.75</v>
      </c>
      <c r="Q41" s="26">
        <f>SUMIFS(Summary!R$3:R$463,Summary!$A$3:$A$463,$A41,Summary!$B$3:$B$463,$B$1)</f>
        <v>514.75</v>
      </c>
      <c r="R41" s="26">
        <f>SUMIFS(Summary!S$3:S$463,Summary!$A$3:$A$463,$A41,Summary!$B$3:$B$463,$B$1)</f>
        <v>514.75</v>
      </c>
      <c r="S41" s="26">
        <f>SUMIFS(Summary!T$3:T$463,Summary!$A$3:$A$463,$A41,Summary!$B$3:$B$463,$B$1)</f>
        <v>514.75</v>
      </c>
      <c r="T41" s="26">
        <f>SUMIFS(Summary!U$3:U$463,Summary!$A$3:$A$463,$A41,Summary!$B$3:$B$463,$B$1)</f>
        <v>514.75</v>
      </c>
      <c r="U41" s="26">
        <f>SUMIFS(Summary!V$3:V$463,Summary!$A$3:$A$463,$A41,Summary!$B$3:$B$463,$B$1)</f>
        <v>232.5</v>
      </c>
      <c r="V41" s="26">
        <f>SUMIFS(Summary!W$3:W$463,Summary!$A$3:$A$463,$A41,Summary!$B$3:$B$463,$B$1)</f>
        <v>433</v>
      </c>
      <c r="W41" s="26">
        <f>SUMIFS(Summary!X$3:X$463,Summary!$A$3:$A$463,$A41,Summary!$B$3:$B$463,$B$1)</f>
        <v>654</v>
      </c>
      <c r="X41" s="26">
        <f>SUMIFS(Summary!Y$3:Y$463,Summary!$A$3:$A$463,$A41,Summary!$B$3:$B$463,$B$1)</f>
        <v>786.8</v>
      </c>
      <c r="Y41" s="26">
        <f>SUMIFS(Summary!Z$3:Z$463,Summary!$A$3:$A$463,$A41,Summary!$B$3:$B$463,$B$1)</f>
        <v>574.8</v>
      </c>
      <c r="Z41" s="26">
        <f>SUMIFS(Summary!AA$3:AA$463,Summary!$A$3:$A$463,$A41,Summary!$B$3:$B$463,$B$1)</f>
        <v>705.2</v>
      </c>
      <c r="AA41" s="26">
        <f>SUMIFS(Summary!AB$3:AB$463,Summary!$A$3:$A$463,$A41,Summary!$B$3:$B$463,$B$1)</f>
        <v>474</v>
      </c>
      <c r="AB41" s="26">
        <f>SUMIFS(Summary!AC$3:AC$463,Summary!$A$3:$A$463,$A41,Summary!$B$3:$B$463,$B$1)</f>
        <v>633.5</v>
      </c>
      <c r="AC41" s="26">
        <f>SUMIFS(Summary!AD$3:AD$463,Summary!$A$3:$A$463,$A41,Summary!$B$3:$B$463,$B$1)</f>
        <v>810</v>
      </c>
      <c r="AD41" s="26">
        <f>SUMIFS(Summary!AE$3:AE$463,Summary!$A$3:$A$463,$A41,Summary!$B$3:$B$463,$B$1)</f>
        <v>952.6</v>
      </c>
      <c r="AE41" s="26">
        <f>SUMIFS(Summary!AF$3:AF$463,Summary!$A$3:$A$463,$A41,Summary!$B$3:$B$463,$B$1)</f>
        <v>1189.5</v>
      </c>
    </row>
    <row r="42" spans="1:34">
      <c r="A42" s="28" t="s">
        <v>2387</v>
      </c>
      <c r="B42" s="26">
        <f>SUMIFS(Summary!C$3:C$463,Summary!$A$3:$A$463,$A42,Summary!$B$3:$B$463,$B$1)</f>
        <v>0</v>
      </c>
      <c r="C42" s="26">
        <f>SUMIFS(Summary!D$3:D$463,Summary!$A$3:$A$463,$A42,Summary!$B$3:$B$463,$B$1)</f>
        <v>0</v>
      </c>
      <c r="D42" s="26">
        <f>SUMIFS(Summary!E$3:E$463,Summary!$A$3:$A$463,$A42,Summary!$B$3:$B$463,$B$1)</f>
        <v>0</v>
      </c>
      <c r="E42" s="26">
        <f>SUMIFS(Summary!F$3:F$463,Summary!$A$3:$A$463,$A42,Summary!$B$3:$B$463,$B$1)</f>
        <v>0</v>
      </c>
      <c r="F42" s="26">
        <f>SUMIFS(Summary!G$3:G$463,Summary!$A$3:$A$463,$A42,Summary!$B$3:$B$463,$B$1)</f>
        <v>0</v>
      </c>
      <c r="G42" s="26">
        <f>SUMIFS(Summary!H$3:H$463,Summary!$A$3:$A$463,$A42,Summary!$B$3:$B$463,$B$1)</f>
        <v>0</v>
      </c>
      <c r="H42" s="26">
        <f>SUMIFS(Summary!I$3:I$463,Summary!$A$3:$A$463,$A42,Summary!$B$3:$B$463,$B$1)</f>
        <v>0</v>
      </c>
      <c r="I42" s="26">
        <f>SUMIFS(Summary!J$3:J$463,Summary!$A$3:$A$463,$A42,Summary!$B$3:$B$463,$B$1)</f>
        <v>0</v>
      </c>
      <c r="J42" s="26">
        <f>SUMIFS(Summary!K$3:K$463,Summary!$A$3:$A$463,$A42,Summary!$B$3:$B$463,$B$1)</f>
        <v>0</v>
      </c>
      <c r="K42" s="26">
        <f>SUMIFS(Summary!L$3:L$463,Summary!$A$3:$A$463,$A42,Summary!$B$3:$B$463,$B$1)</f>
        <v>0</v>
      </c>
      <c r="L42" s="26">
        <f>SUMIFS(Summary!M$3:M$463,Summary!$A$3:$A$463,$A42,Summary!$B$3:$B$463,$B$1)</f>
        <v>0</v>
      </c>
      <c r="M42" s="26">
        <f>SUMIFS(Summary!N$3:N$463,Summary!$A$3:$A$463,$A42,Summary!$B$3:$B$463,$B$1)</f>
        <v>0</v>
      </c>
      <c r="N42" s="26">
        <f>SUMIFS(Summary!O$3:O$463,Summary!$A$3:$A$463,$A42,Summary!$B$3:$B$463,$B$1)</f>
        <v>0</v>
      </c>
      <c r="O42" s="26">
        <f>SUMIFS(Summary!P$3:P$463,Summary!$A$3:$A$463,$A42,Summary!$B$3:$B$463,$B$1)</f>
        <v>0</v>
      </c>
      <c r="P42" s="26">
        <f>SUMIFS(Summary!Q$3:Q$463,Summary!$A$3:$A$463,$A42,Summary!$B$3:$B$463,$B$1)</f>
        <v>0</v>
      </c>
      <c r="Q42" s="26">
        <f>SUMIFS(Summary!R$3:R$463,Summary!$A$3:$A$463,$A42,Summary!$B$3:$B$463,$B$1)</f>
        <v>0</v>
      </c>
      <c r="R42" s="26">
        <f>SUMIFS(Summary!S$3:S$463,Summary!$A$3:$A$463,$A42,Summary!$B$3:$B$463,$B$1)</f>
        <v>0</v>
      </c>
      <c r="S42" s="26">
        <f>SUMIFS(Summary!T$3:T$463,Summary!$A$3:$A$463,$A42,Summary!$B$3:$B$463,$B$1)</f>
        <v>0</v>
      </c>
      <c r="T42" s="26">
        <f>SUMIFS(Summary!U$3:U$463,Summary!$A$3:$A$463,$A42,Summary!$B$3:$B$463,$B$1)</f>
        <v>0</v>
      </c>
      <c r="U42" s="26">
        <f>SUMIFS(Summary!V$3:V$463,Summary!$A$3:$A$463,$A42,Summary!$B$3:$B$463,$B$1)</f>
        <v>0</v>
      </c>
      <c r="V42" s="26">
        <f>SUMIFS(Summary!W$3:W$463,Summary!$A$3:$A$463,$A42,Summary!$B$3:$B$463,$B$1)</f>
        <v>0</v>
      </c>
      <c r="W42" s="26">
        <f>SUMIFS(Summary!X$3:X$463,Summary!$A$3:$A$463,$A42,Summary!$B$3:$B$463,$B$1)</f>
        <v>0</v>
      </c>
      <c r="X42" s="26">
        <f>SUMIFS(Summary!Y$3:Y$463,Summary!$A$3:$A$463,$A42,Summary!$B$3:$B$463,$B$1)</f>
        <v>0</v>
      </c>
      <c r="Y42" s="26">
        <f>SUMIFS(Summary!Z$3:Z$463,Summary!$A$3:$A$463,$A42,Summary!$B$3:$B$463,$B$1)</f>
        <v>0</v>
      </c>
      <c r="Z42" s="26">
        <f>SUMIFS(Summary!AA$3:AA$463,Summary!$A$3:$A$463,$A42,Summary!$B$3:$B$463,$B$1)</f>
        <v>0</v>
      </c>
      <c r="AA42" s="26">
        <f>SUMIFS(Summary!AB$3:AB$463,Summary!$A$3:$A$463,$A42,Summary!$B$3:$B$463,$B$1)</f>
        <v>0</v>
      </c>
      <c r="AB42" s="26">
        <f>SUMIFS(Summary!AC$3:AC$463,Summary!$A$3:$A$463,$A42,Summary!$B$3:$B$463,$B$1)</f>
        <v>0</v>
      </c>
      <c r="AC42" s="26">
        <f>SUMIFS(Summary!AD$3:AD$463,Summary!$A$3:$A$463,$A42,Summary!$B$3:$B$463,$B$1)</f>
        <v>0</v>
      </c>
      <c r="AD42" s="26">
        <f>SUMIFS(Summary!AE$3:AE$463,Summary!$A$3:$A$463,$A42,Summary!$B$3:$B$463,$B$1)</f>
        <v>0</v>
      </c>
      <c r="AE42" s="26">
        <f>SUMIFS(Summary!AF$3:AF$463,Summary!$A$3:$A$463,$A42,Summary!$B$3:$B$463,$B$1)</f>
        <v>0</v>
      </c>
    </row>
    <row r="43" spans="1:34">
      <c r="A43" s="28" t="s">
        <v>2388</v>
      </c>
      <c r="B43" s="26">
        <f>SUMIFS(Summary!C$3:C$463,Summary!$A$3:$A$463,$A43,Summary!$B$3:$B$463,$B$1)</f>
        <v>122.05</v>
      </c>
      <c r="C43" s="26">
        <f>SUMIFS(Summary!D$3:D$463,Summary!$A$3:$A$463,$A43,Summary!$B$3:$B$463,$B$1)</f>
        <v>122.05</v>
      </c>
      <c r="D43" s="26">
        <f>SUMIFS(Summary!E$3:E$463,Summary!$A$3:$A$463,$A43,Summary!$B$3:$B$463,$B$1)</f>
        <v>122.05</v>
      </c>
      <c r="E43" s="26">
        <f>SUMIFS(Summary!F$3:F$463,Summary!$A$3:$A$463,$A43,Summary!$B$3:$B$463,$B$1)</f>
        <v>122.05</v>
      </c>
      <c r="F43" s="26">
        <f>SUMIFS(Summary!G$3:G$463,Summary!$A$3:$A$463,$A43,Summary!$B$3:$B$463,$B$1)</f>
        <v>122.05</v>
      </c>
      <c r="G43" s="26">
        <f>SUMIFS(Summary!H$3:H$463,Summary!$A$3:$A$463,$A43,Summary!$B$3:$B$463,$B$1)</f>
        <v>122.05</v>
      </c>
      <c r="H43" s="26">
        <f>SUMIFS(Summary!I$3:I$463,Summary!$A$3:$A$463,$A43,Summary!$B$3:$B$463,$B$1)</f>
        <v>122.05</v>
      </c>
      <c r="I43" s="26">
        <f>SUMIFS(Summary!J$3:J$463,Summary!$A$3:$A$463,$A43,Summary!$B$3:$B$463,$B$1)</f>
        <v>122.05</v>
      </c>
      <c r="J43" s="26">
        <f>SUMIFS(Summary!K$3:K$463,Summary!$A$3:$A$463,$A43,Summary!$B$3:$B$463,$B$1)</f>
        <v>122.05</v>
      </c>
      <c r="K43" s="26">
        <f>SUMIFS(Summary!L$3:L$463,Summary!$A$3:$A$463,$A43,Summary!$B$3:$B$463,$B$1)</f>
        <v>122.05</v>
      </c>
      <c r="L43" s="26">
        <f>SUMIFS(Summary!M$3:M$463,Summary!$A$3:$A$463,$A43,Summary!$B$3:$B$463,$B$1)</f>
        <v>122.05</v>
      </c>
      <c r="M43" s="26">
        <f>SUMIFS(Summary!N$3:N$463,Summary!$A$3:$A$463,$A43,Summary!$B$3:$B$463,$B$1)</f>
        <v>122.05</v>
      </c>
      <c r="N43" s="26">
        <f>SUMIFS(Summary!O$3:O$463,Summary!$A$3:$A$463,$A43,Summary!$B$3:$B$463,$B$1)</f>
        <v>44.04</v>
      </c>
      <c r="O43" s="26">
        <f>SUMIFS(Summary!P$3:P$463,Summary!$A$3:$A$463,$A43,Summary!$B$3:$B$463,$B$1)</f>
        <v>34.34</v>
      </c>
      <c r="P43" s="26">
        <f>SUMIFS(Summary!Q$3:Q$463,Summary!$A$3:$A$463,$A43,Summary!$B$3:$B$463,$B$1)</f>
        <v>34.34</v>
      </c>
      <c r="Q43" s="26">
        <f>SUMIFS(Summary!R$3:R$463,Summary!$A$3:$A$463,$A43,Summary!$B$3:$B$463,$B$1)</f>
        <v>66.64</v>
      </c>
      <c r="R43" s="26">
        <f>SUMIFS(Summary!S$3:S$463,Summary!$A$3:$A$463,$A43,Summary!$B$3:$B$463,$B$1)</f>
        <v>34.34</v>
      </c>
      <c r="S43" s="26">
        <f>SUMIFS(Summary!T$3:T$463,Summary!$A$3:$A$463,$A43,Summary!$B$3:$B$463,$B$1)</f>
        <v>34.34</v>
      </c>
      <c r="T43" s="26">
        <f>SUMIFS(Summary!U$3:U$463,Summary!$A$3:$A$463,$A43,Summary!$B$3:$B$463,$B$1)</f>
        <v>104.34</v>
      </c>
      <c r="U43" s="26">
        <f>SUMIFS(Summary!V$3:V$463,Summary!$A$3:$A$463,$A43,Summary!$B$3:$B$463,$B$1)</f>
        <v>34.34</v>
      </c>
      <c r="V43" s="26">
        <f>SUMIFS(Summary!W$3:W$463,Summary!$A$3:$A$463,$A43,Summary!$B$3:$B$463,$B$1)</f>
        <v>34.34</v>
      </c>
      <c r="W43" s="26">
        <f>SUMIFS(Summary!X$3:X$463,Summary!$A$3:$A$463,$A43,Summary!$B$3:$B$463,$B$1)</f>
        <v>34.3400000000001</v>
      </c>
      <c r="X43" s="26">
        <f>SUMIFS(Summary!Y$3:Y$463,Summary!$A$3:$A$463,$A43,Summary!$B$3:$B$463,$B$1)</f>
        <v>0</v>
      </c>
      <c r="Y43" s="26">
        <f>SUMIFS(Summary!Z$3:Z$463,Summary!$A$3:$A$463,$A43,Summary!$B$3:$B$463,$B$1)</f>
        <v>0</v>
      </c>
      <c r="Z43" s="26">
        <f>SUMIFS(Summary!AA$3:AA$463,Summary!$A$3:$A$463,$A43,Summary!$B$3:$B$463,$B$1)</f>
        <v>0</v>
      </c>
      <c r="AA43" s="26">
        <f>SUMIFS(Summary!AB$3:AB$463,Summary!$A$3:$A$463,$A43,Summary!$B$3:$B$463,$B$1)</f>
        <v>0</v>
      </c>
      <c r="AB43" s="26">
        <f>SUMIFS(Summary!AC$3:AC$463,Summary!$A$3:$A$463,$A43,Summary!$B$3:$B$463,$B$1)</f>
        <v>0</v>
      </c>
      <c r="AC43" s="26">
        <f>SUMIFS(Summary!AD$3:AD$463,Summary!$A$3:$A$463,$A43,Summary!$B$3:$B$463,$B$1)</f>
        <v>0</v>
      </c>
      <c r="AD43" s="26">
        <f>SUMIFS(Summary!AE$3:AE$463,Summary!$A$3:$A$463,$A43,Summary!$B$3:$B$463,$B$1)</f>
        <v>0</v>
      </c>
      <c r="AE43" s="26">
        <f>SUMIFS(Summary!AF$3:AF$463,Summary!$A$3:$A$463,$A43,Summary!$B$3:$B$463,$B$1)</f>
        <v>0</v>
      </c>
    </row>
    <row r="44" spans="1:34">
      <c r="A44" s="28" t="s">
        <v>2389</v>
      </c>
      <c r="B44" s="26">
        <f>SUMIFS(Summary!C$3:C$463,Summary!$A$3:$A$463,$A44,Summary!$B$3:$B$463,$B$1)</f>
        <v>0</v>
      </c>
      <c r="C44" s="26">
        <f>SUMIFS(Summary!D$3:D$463,Summary!$A$3:$A$463,$A44,Summary!$B$3:$B$463,$B$1)</f>
        <v>0</v>
      </c>
      <c r="D44" s="26">
        <f>SUMIFS(Summary!E$3:E$463,Summary!$A$3:$A$463,$A44,Summary!$B$3:$B$463,$B$1)</f>
        <v>0</v>
      </c>
      <c r="E44" s="26">
        <f>SUMIFS(Summary!F$3:F$463,Summary!$A$3:$A$463,$A44,Summary!$B$3:$B$463,$B$1)</f>
        <v>0</v>
      </c>
      <c r="F44" s="26">
        <f>SUMIFS(Summary!G$3:G$463,Summary!$A$3:$A$463,$A44,Summary!$B$3:$B$463,$B$1)</f>
        <v>272.7</v>
      </c>
      <c r="G44" s="26">
        <f>SUMIFS(Summary!H$3:H$463,Summary!$A$3:$A$463,$A44,Summary!$B$3:$B$463,$B$1)</f>
        <v>272.7</v>
      </c>
      <c r="H44" s="26">
        <f>SUMIFS(Summary!I$3:I$463,Summary!$A$3:$A$463,$A44,Summary!$B$3:$B$463,$B$1)</f>
        <v>272.7</v>
      </c>
      <c r="I44" s="26">
        <f>SUMIFS(Summary!J$3:J$463,Summary!$A$3:$A$463,$A44,Summary!$B$3:$B$463,$B$1)</f>
        <v>397.7</v>
      </c>
      <c r="J44" s="26">
        <f>SUMIFS(Summary!K$3:K$463,Summary!$A$3:$A$463,$A44,Summary!$B$3:$B$463,$B$1)</f>
        <v>397.7</v>
      </c>
      <c r="K44" s="26">
        <f>SUMIFS(Summary!L$3:L$463,Summary!$A$3:$A$463,$A44,Summary!$B$3:$B$463,$B$1)</f>
        <v>277.899999999999</v>
      </c>
      <c r="L44" s="26">
        <f>SUMIFS(Summary!M$3:M$463,Summary!$A$3:$A$463,$A44,Summary!$B$3:$B$463,$B$1)</f>
        <v>333.8</v>
      </c>
      <c r="M44" s="26">
        <f>SUMIFS(Summary!N$3:N$463,Summary!$A$3:$A$463,$A44,Summary!$B$3:$B$463,$B$1)</f>
        <v>357.8</v>
      </c>
      <c r="N44" s="26">
        <f>SUMIFS(Summary!O$3:O$463,Summary!$A$3:$A$463,$A44,Summary!$B$3:$B$463,$B$1)</f>
        <v>387.8</v>
      </c>
      <c r="O44" s="26">
        <f>SUMIFS(Summary!P$3:P$463,Summary!$A$3:$A$463,$A44,Summary!$B$3:$B$463,$B$1)</f>
        <v>403</v>
      </c>
      <c r="P44" s="26">
        <f>SUMIFS(Summary!Q$3:Q$463,Summary!$A$3:$A$463,$A44,Summary!$B$3:$B$463,$B$1)</f>
        <v>0</v>
      </c>
      <c r="Q44" s="26">
        <f>SUMIFS(Summary!R$3:R$463,Summary!$A$3:$A$463,$A44,Summary!$B$3:$B$463,$B$1)</f>
        <v>2965.7</v>
      </c>
      <c r="R44" s="26">
        <f>SUMIFS(Summary!S$3:S$463,Summary!$A$3:$A$463,$A44,Summary!$B$3:$B$463,$B$1)</f>
        <v>4471.7</v>
      </c>
      <c r="S44" s="26">
        <f>SUMIFS(Summary!T$3:T$463,Summary!$A$3:$A$463,$A44,Summary!$B$3:$B$463,$B$1)</f>
        <v>4076.29</v>
      </c>
      <c r="T44" s="26">
        <f>SUMIFS(Summary!U$3:U$463,Summary!$A$3:$A$463,$A44,Summary!$B$3:$B$463,$B$1)</f>
        <v>1415.11</v>
      </c>
      <c r="U44" s="26">
        <f>SUMIFS(Summary!V$3:V$463,Summary!$A$3:$A$463,$A44,Summary!$B$3:$B$463,$B$1)</f>
        <v>3699.6</v>
      </c>
      <c r="V44" s="26">
        <f>SUMIFS(Summary!W$3:W$463,Summary!$A$3:$A$463,$A44,Summary!$B$3:$B$463,$B$1)</f>
        <v>2966.8</v>
      </c>
      <c r="W44" s="26">
        <f>SUMIFS(Summary!X$3:X$463,Summary!$A$3:$A$463,$A44,Summary!$B$3:$B$463,$B$1)</f>
        <v>2386</v>
      </c>
      <c r="X44" s="26">
        <f>SUMIFS(Summary!Y$3:Y$463,Summary!$A$3:$A$463,$A44,Summary!$B$3:$B$463,$B$1)</f>
        <v>3210.6</v>
      </c>
      <c r="Y44" s="26">
        <f>SUMIFS(Summary!Z$3:Z$463,Summary!$A$3:$A$463,$A44,Summary!$B$3:$B$463,$B$1)</f>
        <v>7116.4</v>
      </c>
      <c r="Z44" s="26">
        <f>SUMIFS(Summary!AA$3:AA$463,Summary!$A$3:$A$463,$A44,Summary!$B$3:$B$463,$B$1)</f>
        <v>13042.1</v>
      </c>
      <c r="AA44" s="26">
        <f>SUMIFS(Summary!AB$3:AB$463,Summary!$A$3:$A$463,$A44,Summary!$B$3:$B$463,$B$1)</f>
        <v>12269.7</v>
      </c>
      <c r="AB44" s="26">
        <f>SUMIFS(Summary!AC$3:AC$463,Summary!$A$3:$A$463,$A44,Summary!$B$3:$B$463,$B$1)</f>
        <v>7482.8</v>
      </c>
      <c r="AC44" s="26">
        <f>SUMIFS(Summary!AD$3:AD$463,Summary!$A$3:$A$463,$A44,Summary!$B$3:$B$463,$B$1)</f>
        <v>6868.36</v>
      </c>
      <c r="AD44" s="26">
        <f>SUMIFS(Summary!AE$3:AE$463,Summary!$A$3:$A$463,$A44,Summary!$B$3:$B$463,$B$1)</f>
        <v>9990.86</v>
      </c>
      <c r="AE44" s="26">
        <f>SUMIFS(Summary!AF$3:AF$463,Summary!$A$3:$A$463,$A44,Summary!$B$3:$B$463,$B$1)</f>
        <v>7020.66</v>
      </c>
    </row>
    <row r="46" ht="13.1" spans="1:34">
      <c r="A46" s="29" t="s">
        <v>2390</v>
      </c>
    </row>
    <row r="47" spans="1:34">
      <c r="A47" s="21" t="s">
        <v>143</v>
      </c>
      <c r="B47" s="22">
        <v>1990</v>
      </c>
      <c r="C47" s="22">
        <v>1991</v>
      </c>
      <c r="D47" s="22">
        <v>1992</v>
      </c>
      <c r="E47" s="22">
        <v>1993</v>
      </c>
      <c r="F47" s="22">
        <v>1994</v>
      </c>
      <c r="G47" s="22">
        <v>1995</v>
      </c>
      <c r="H47" s="22">
        <v>1996</v>
      </c>
      <c r="I47" s="22">
        <v>1997</v>
      </c>
      <c r="J47" s="22">
        <v>1998</v>
      </c>
      <c r="K47" s="22">
        <v>1999</v>
      </c>
      <c r="L47" s="22">
        <v>2000</v>
      </c>
      <c r="M47" s="22">
        <v>2001</v>
      </c>
      <c r="N47" s="22">
        <v>2002</v>
      </c>
      <c r="O47" s="22">
        <v>2003</v>
      </c>
      <c r="P47" s="22">
        <v>2004</v>
      </c>
      <c r="Q47" s="22">
        <v>2005</v>
      </c>
      <c r="R47" s="22">
        <v>2006</v>
      </c>
      <c r="S47" s="22">
        <v>2007</v>
      </c>
      <c r="T47" s="22">
        <v>2008</v>
      </c>
      <c r="U47" s="22">
        <v>2009</v>
      </c>
      <c r="V47" s="22">
        <v>2010</v>
      </c>
      <c r="W47" s="22">
        <v>2011</v>
      </c>
      <c r="X47" s="22">
        <v>2012</v>
      </c>
      <c r="Y47" s="22">
        <v>2013</v>
      </c>
      <c r="Z47" s="22">
        <v>2014</v>
      </c>
      <c r="AA47" s="22">
        <v>2015</v>
      </c>
      <c r="AB47" s="22">
        <v>2016</v>
      </c>
      <c r="AC47" s="22">
        <v>2017</v>
      </c>
      <c r="AD47" s="22">
        <v>2018</v>
      </c>
      <c r="AE47" s="22">
        <v>2019</v>
      </c>
      <c r="AG47" s="27" t="s">
        <v>2391</v>
      </c>
      <c r="AH47" s="22"/>
    </row>
    <row r="48" spans="1:34">
      <c r="A48" s="22" t="s">
        <v>2369</v>
      </c>
      <c r="B48" s="30">
        <f>IF(SUM(C26:$AE26)&lt;$B6,B26,0)</f>
        <v>0</v>
      </c>
      <c r="C48" s="30">
        <f>IF(SUM(D26:$AE26)&lt;$B6,C26,0)</f>
        <v>0</v>
      </c>
      <c r="D48" s="30">
        <f>IF(SUM(E26:$AE26)&lt;$B6,D26,0)</f>
        <v>0</v>
      </c>
      <c r="E48" s="26">
        <f>IF(SUM(F26:$AE26)&lt;$B6,E26,0)</f>
        <v>0</v>
      </c>
      <c r="F48" s="26">
        <f>IF(SUM(G26:$AE26)&lt;$B6,F26,0)</f>
        <v>0</v>
      </c>
      <c r="G48" s="26">
        <f>IF(SUM(H26:$AE26)&lt;$B6,G26,0)</f>
        <v>0</v>
      </c>
      <c r="H48" s="26">
        <f>IF(SUM(I26:$AE26)&lt;$B6,H26,0)</f>
        <v>0</v>
      </c>
      <c r="I48" s="26">
        <f>IF(SUM(J26:$AE26)&lt;$B6,I26,0)</f>
        <v>0</v>
      </c>
      <c r="J48" s="26">
        <f>IF(SUM(K26:$AE26)&lt;$B6,J26,0)</f>
        <v>0</v>
      </c>
      <c r="K48" s="26">
        <f>IF(SUM(L26:$AE26)&lt;$B6,K26,0)</f>
        <v>0</v>
      </c>
      <c r="L48" s="26">
        <f>IF(SUM(M26:$AE26)&lt;$B6,L26,0)</f>
        <v>16733.25</v>
      </c>
      <c r="M48" s="26">
        <f>IF(SUM(N26:$AE26)&lt;$B6,M26,0)</f>
        <v>15510.2416666667</v>
      </c>
      <c r="N48" s="26">
        <f>IF(SUM(O26:$AE26)&lt;$B6,N26,0)</f>
        <v>14340.25</v>
      </c>
      <c r="O48" s="26">
        <f>IF(SUM(P26:$AE26)&lt;$B6,O26,0)</f>
        <v>23873.05</v>
      </c>
      <c r="P48" s="26">
        <f>IF(SUM(Q26:$AE26)&lt;$B6,P26,0)</f>
        <v>45933.375</v>
      </c>
      <c r="Q48" s="26">
        <f>IF(SUM(R26:$AE26)&lt;$B6,Q26,0)</f>
        <v>60327</v>
      </c>
      <c r="R48" s="26">
        <f>IF(SUM(S26:$AE26)&lt;$B6,R26,0)</f>
        <v>92699</v>
      </c>
      <c r="S48" s="26">
        <f>IF(SUM(T26:$AE26)&lt;$B6,S26,0)</f>
        <v>89132.345</v>
      </c>
      <c r="T48" s="26">
        <f>IF(SUM(U26:$AE26)&lt;$B6,T26,0)</f>
        <v>70989.9865555555</v>
      </c>
      <c r="U48" s="26">
        <f>IF(SUM(V26:$AE26)&lt;$B6,U26,0)</f>
        <v>72437.0865555556</v>
      </c>
      <c r="V48" s="26">
        <f>IF(SUM(W26:$AE26)&lt;$B6,V26,0)</f>
        <v>64840.9865555556</v>
      </c>
      <c r="W48" s="26">
        <f>IF(SUM(X26:$AE26)&lt;$B6,W26,0)</f>
        <v>67105.9865555556</v>
      </c>
      <c r="X48" s="26">
        <f>IF(SUM(Y26:$AE26)&lt;$B6,X26,0)</f>
        <v>56889.3865555556</v>
      </c>
      <c r="Y48" s="26">
        <f>IF(SUM(Z26:$AE26)&lt;$B6,Y26,0)</f>
        <v>44438.4865555556</v>
      </c>
      <c r="Z48" s="26">
        <f>IF(SUM(AA26:$AE26)&lt;$B6,Z26,0)</f>
        <v>45250.2865555555</v>
      </c>
      <c r="AA48" s="26">
        <f>IF(SUM(AB26:$AE26)&lt;$B6,AA26,0)</f>
        <v>64592.1865555556</v>
      </c>
      <c r="AB48" s="26">
        <f>IF(SUM(AC26:$AE26)&lt;$B6,AB26,0)</f>
        <v>50227.9865555556</v>
      </c>
      <c r="AC48" s="26">
        <f>IF(SUM(AD26:$AE26)&lt;$B6,AC26,0)</f>
        <v>45106.22</v>
      </c>
      <c r="AD48" s="26">
        <f>IF(SUM(AE26:$AE26)&lt;$B6,AD26,0)</f>
        <v>40627.02</v>
      </c>
      <c r="AE48" s="26">
        <f>IF(SUM(AE26:$AE26)&lt;$B6,AE26,0)</f>
        <v>41030.02</v>
      </c>
      <c r="AG48" s="22" t="s">
        <v>2369</v>
      </c>
      <c r="AH48" s="31">
        <f>B6-SUM(B48:AE48)</f>
        <v>-16215.1506666669</v>
      </c>
    </row>
    <row r="49" spans="1:34">
      <c r="A49" s="22" t="s">
        <v>2370</v>
      </c>
      <c r="B49" s="30">
        <f>IF(SUM(C27:$AE27)&lt;$B7,B27,0)</f>
        <v>0</v>
      </c>
      <c r="C49" s="30">
        <f>IF(SUM(D27:$AE27)&lt;$B7,C27,0)</f>
        <v>0</v>
      </c>
      <c r="D49" s="30">
        <f>IF(SUM(E27:$AE27)&lt;$B7,D27,0)</f>
        <v>0</v>
      </c>
      <c r="E49" s="26">
        <f>IF(SUM(F27:$AE27)&lt;$B7,E27,0)</f>
        <v>0</v>
      </c>
      <c r="F49" s="26">
        <f>IF(SUM(G27:$AE27)&lt;$B7,F27,0)</f>
        <v>0</v>
      </c>
      <c r="G49" s="26">
        <f>IF(SUM(H27:$AE27)&lt;$B7,G27,0)</f>
        <v>0</v>
      </c>
      <c r="H49" s="26">
        <f>IF(SUM(I27:$AE27)&lt;$B7,H27,0)</f>
        <v>0</v>
      </c>
      <c r="I49" s="26">
        <f>IF(SUM(J27:$AE27)&lt;$B7,I27,0)</f>
        <v>0</v>
      </c>
      <c r="J49" s="26">
        <f>IF(SUM(K27:$AE27)&lt;$B7,J27,0)</f>
        <v>0</v>
      </c>
      <c r="K49" s="26">
        <f>IF(SUM(L27:$AE27)&lt;$B7,K27,0)</f>
        <v>0</v>
      </c>
      <c r="L49" s="26">
        <f>IF(SUM(M27:$AE27)&lt;$B7,L27,0)</f>
        <v>233.66</v>
      </c>
      <c r="M49" s="26">
        <f>IF(SUM(N27:$AE27)&lt;$B7,M27,0)</f>
        <v>250.46</v>
      </c>
      <c r="N49" s="26">
        <f>IF(SUM(O27:$AE27)&lt;$B7,N27,0)</f>
        <v>271.46</v>
      </c>
      <c r="O49" s="26">
        <f>IF(SUM(P27:$AE27)&lt;$B7,O27,0)</f>
        <v>282.1</v>
      </c>
      <c r="P49" s="26">
        <f>IF(SUM(Q27:$AE27)&lt;$B7,P27,0)</f>
        <v>0</v>
      </c>
      <c r="Q49" s="26">
        <f>IF(SUM(R27:$AE27)&lt;$B7,Q27,0)</f>
        <v>2075.99</v>
      </c>
      <c r="R49" s="26">
        <f>IF(SUM(S27:$AE27)&lt;$B7,R27,0)</f>
        <v>3130.19</v>
      </c>
      <c r="S49" s="26">
        <f>IF(SUM(T27:$AE27)&lt;$B7,S27,0)</f>
        <v>2853.403</v>
      </c>
      <c r="T49" s="26">
        <f>IF(SUM(U27:$AE27)&lt;$B7,T27,0)</f>
        <v>990.577</v>
      </c>
      <c r="U49" s="26">
        <f>IF(SUM(V27:$AE27)&lt;$B7,U27,0)</f>
        <v>2589.72</v>
      </c>
      <c r="V49" s="26">
        <f>IF(SUM(W27:$AE27)&lt;$B7,V27,0)</f>
        <v>2076.76</v>
      </c>
      <c r="W49" s="26">
        <f>IF(SUM(X27:$AE27)&lt;$B7,W27,0)</f>
        <v>1670.2</v>
      </c>
      <c r="X49" s="26">
        <f>IF(SUM(Y27:$AE27)&lt;$B7,X27,0)</f>
        <v>2247.42</v>
      </c>
      <c r="Y49" s="26">
        <f>IF(SUM(Z27:$AE27)&lt;$B7,Y27,0)</f>
        <v>4981.48</v>
      </c>
      <c r="Z49" s="26">
        <f>IF(SUM(AA27:$AE27)&lt;$B7,Z27,0)</f>
        <v>9129.47</v>
      </c>
      <c r="AA49" s="26">
        <f>IF(SUM(AB27:$AE27)&lt;$B7,AA27,0)</f>
        <v>8588.79</v>
      </c>
      <c r="AB49" s="26">
        <f>IF(SUM(AC27:$AE27)&lt;$B7,AB27,0)</f>
        <v>5237.96</v>
      </c>
      <c r="AC49" s="26">
        <f>IF(SUM(AD27:$AE27)&lt;$B7,AC27,0)</f>
        <v>4807.852</v>
      </c>
      <c r="AD49" s="26">
        <f>IF(SUM(AE27:$AE27)&lt;$B7,AD27,0)</f>
        <v>6993.602</v>
      </c>
      <c r="AE49" s="26">
        <f>IF(SUM(AE27:$AE27)&lt;$B7,AE27,0)</f>
        <v>4914.462</v>
      </c>
      <c r="AG49" s="22" t="s">
        <v>2370</v>
      </c>
      <c r="AH49" s="31">
        <f t="shared" ref="AH49:AH63" si="7">B7-SUM(B49:AE49)</f>
        <v>-157.55599999999</v>
      </c>
    </row>
    <row r="50" spans="1:34">
      <c r="A50" s="22" t="s">
        <v>2371</v>
      </c>
      <c r="B50" s="30">
        <f>IF(SUM(C28:$AE28)&lt;$B8,B28,0)</f>
        <v>0</v>
      </c>
      <c r="C50" s="26">
        <f>IF(SUM(D28:$AE28)&lt;$B8,C28,0)</f>
        <v>0</v>
      </c>
      <c r="D50" s="26">
        <f>IF(SUM(E28:$AE28)&lt;$B8,D28,0)</f>
        <v>0</v>
      </c>
      <c r="E50" s="26">
        <f>IF(SUM(F28:$AE28)&lt;$B8,E28,0)</f>
        <v>984</v>
      </c>
      <c r="F50" s="26">
        <f>IF(SUM(G28:$AE28)&lt;$B8,F28,0)</f>
        <v>984</v>
      </c>
      <c r="G50" s="26">
        <f>IF(SUM(H28:$AE28)&lt;$B8,G28,0)</f>
        <v>0</v>
      </c>
      <c r="H50" s="26">
        <f>IF(SUM(I28:$AE28)&lt;$B8,H28,0)</f>
        <v>0</v>
      </c>
      <c r="I50" s="26">
        <f>IF(SUM(J28:$AE28)&lt;$B8,I28,0)</f>
        <v>0</v>
      </c>
      <c r="J50" s="26">
        <f>IF(SUM(K28:$AE28)&lt;$B8,J28,0)</f>
        <v>0</v>
      </c>
      <c r="K50" s="26">
        <f>IF(SUM(L28:$AE28)&lt;$B8,K28,0)</f>
        <v>0</v>
      </c>
      <c r="L50" s="26">
        <f>IF(SUM(M28:$AE28)&lt;$B8,L28,0)</f>
        <v>0</v>
      </c>
      <c r="M50" s="26">
        <f>IF(SUM(N28:$AE28)&lt;$B8,M28,0)</f>
        <v>0</v>
      </c>
      <c r="N50" s="26">
        <f>IF(SUM(O28:$AE28)&lt;$B8,N28,0)</f>
        <v>3358</v>
      </c>
      <c r="O50" s="26">
        <f>IF(SUM(P28:$AE28)&lt;$B8,O28,0)</f>
        <v>728</v>
      </c>
      <c r="P50" s="26">
        <f>IF(SUM(Q28:$AE28)&lt;$B8,P28,0)</f>
        <v>650</v>
      </c>
      <c r="Q50" s="26">
        <f>IF(SUM(R28:$AE28)&lt;$B8,Q28,0)</f>
        <v>0</v>
      </c>
      <c r="R50" s="26">
        <f>IF(SUM(S28:$AE28)&lt;$B8,R28,0)</f>
        <v>1060</v>
      </c>
      <c r="S50" s="26">
        <f>IF(SUM(T28:$AE28)&lt;$B8,S28,0)</f>
        <v>1060</v>
      </c>
      <c r="T50" s="26">
        <f>IF(SUM(U28:$AE28)&lt;$B8,T28,0)</f>
        <v>33.8888888888889</v>
      </c>
      <c r="U50" s="26">
        <f>IF(SUM(V28:$AE28)&lt;$B8,U28,0)</f>
        <v>33.8888888888889</v>
      </c>
      <c r="V50" s="26">
        <f>IF(SUM(W28:$AE28)&lt;$B8,V28,0)</f>
        <v>1779.88888888889</v>
      </c>
      <c r="W50" s="26">
        <f>IF(SUM(X28:$AE28)&lt;$B8,W28,0)</f>
        <v>1779.88888888889</v>
      </c>
      <c r="X50" s="26">
        <f>IF(SUM(Y28:$AE28)&lt;$B8,X28,0)</f>
        <v>1122.88888888889</v>
      </c>
      <c r="Y50" s="26">
        <f>IF(SUM(Z28:$AE28)&lt;$B8,Y28,0)</f>
        <v>3357.46888888889</v>
      </c>
      <c r="Z50" s="26">
        <f>IF(SUM(AA28:$AE28)&lt;$B8,Z28,0)</f>
        <v>3300.88888888889</v>
      </c>
      <c r="AA50" s="26">
        <f>IF(SUM(AB28:$AE28)&lt;$B8,AA28,0)</f>
        <v>8327.67888888889</v>
      </c>
      <c r="AB50" s="26">
        <f>IF(SUM(AC28:$AE28)&lt;$B8,AB28,0)</f>
        <v>5066.67888888889</v>
      </c>
      <c r="AC50" s="26">
        <f>IF(SUM(AD28:$AE28)&lt;$B8,AC28,0)</f>
        <v>3309.4</v>
      </c>
      <c r="AD50" s="26">
        <f>IF(SUM(AE28:$AE28)&lt;$B8,AD28,0)</f>
        <v>8978.4</v>
      </c>
      <c r="AE50" s="26">
        <f>IF(SUM(AE28:$AE28)&lt;$B8,AE28,0)</f>
        <v>2844.4</v>
      </c>
      <c r="AG50" s="22" t="s">
        <v>2371</v>
      </c>
      <c r="AH50" s="31">
        <f t="shared" si="7"/>
        <v>-19.3600000000151</v>
      </c>
    </row>
    <row r="51" spans="1:34">
      <c r="A51" s="22" t="s">
        <v>2372</v>
      </c>
      <c r="B51" s="30">
        <f>IF(SUM(C29:$AE29)&lt;$B9,B29,0)</f>
        <v>0</v>
      </c>
      <c r="C51" s="30">
        <f>IF(SUM(D29:$AE29)&lt;$B9,C29,0)</f>
        <v>0</v>
      </c>
      <c r="D51" s="30">
        <f>IF(SUM(E29:$AE29)&lt;$B9,D29,0)</f>
        <v>0</v>
      </c>
      <c r="E51" s="26">
        <f>IF(SUM(F29:$AE29)&lt;$B9,E29,0)</f>
        <v>0</v>
      </c>
      <c r="F51" s="26">
        <f>IF(SUM(G29:$AE29)&lt;$B9,F29,0)</f>
        <v>0</v>
      </c>
      <c r="G51" s="26">
        <f>IF(SUM(H29:$AE29)&lt;$B9,G29,0)</f>
        <v>0</v>
      </c>
      <c r="H51" s="26">
        <f>IF(SUM(I29:$AE29)&lt;$B9,H29,0)</f>
        <v>0</v>
      </c>
      <c r="I51" s="26">
        <f>IF(SUM(J29:$AE29)&lt;$B9,I29,0)</f>
        <v>0</v>
      </c>
      <c r="J51" s="26">
        <f>IF(SUM(K29:$AE29)&lt;$B9,J29,0)</f>
        <v>0</v>
      </c>
      <c r="K51" s="26">
        <f>IF(SUM(L29:$AE29)&lt;$B9,K29,0)</f>
        <v>0</v>
      </c>
      <c r="L51" s="26">
        <f>IF(SUM(M29:$AE29)&lt;$B9,L29,0)</f>
        <v>0</v>
      </c>
      <c r="M51" s="26">
        <f>IF(SUM(N29:$AE29)&lt;$B9,M29,0)</f>
        <v>0</v>
      </c>
      <c r="N51" s="26">
        <f>IF(SUM(O29:$AE29)&lt;$B9,N29,0)</f>
        <v>0</v>
      </c>
      <c r="O51" s="26">
        <f>IF(SUM(P29:$AE29)&lt;$B9,O29,0)</f>
        <v>0</v>
      </c>
      <c r="P51" s="26">
        <f>IF(SUM(Q29:$AE29)&lt;$B9,P29,0)</f>
        <v>12412.9</v>
      </c>
      <c r="Q51" s="26">
        <f>IF(SUM(R29:$AE29)&lt;$B9,Q29,0)</f>
        <v>14272.65</v>
      </c>
      <c r="R51" s="26">
        <f>IF(SUM(S29:$AE29)&lt;$B9,R29,0)</f>
        <v>13552</v>
      </c>
      <c r="S51" s="26">
        <f>IF(SUM(T29:$AE29)&lt;$B9,S29,0)</f>
        <v>20481.115</v>
      </c>
      <c r="T51" s="26">
        <f>IF(SUM(U29:$AE29)&lt;$B9,T29,0)</f>
        <v>7112.99622222222</v>
      </c>
      <c r="U51" s="26">
        <f>IF(SUM(V29:$AE29)&lt;$B9,U29,0)</f>
        <v>13588.9962222222</v>
      </c>
      <c r="V51" s="26">
        <f>IF(SUM(W29:$AE29)&lt;$B9,V29,0)</f>
        <v>18432.0962222222</v>
      </c>
      <c r="W51" s="26">
        <f>IF(SUM(X29:$AE29)&lt;$B9,W29,0)</f>
        <v>18479.6962222222</v>
      </c>
      <c r="X51" s="26">
        <f>IF(SUM(Y29:$AE29)&lt;$B9,X29,0)</f>
        <v>18393.6762222222</v>
      </c>
      <c r="Y51" s="26">
        <f>IF(SUM(Z29:$AE29)&lt;$B9,Y29,0)</f>
        <v>20252.4962222222</v>
      </c>
      <c r="Z51" s="26">
        <f>IF(SUM(AA29:$AE29)&lt;$B9,Z29,0)</f>
        <v>31412.4862222222</v>
      </c>
      <c r="AA51" s="26">
        <f>IF(SUM(AB29:$AE29)&lt;$B9,AA29,0)</f>
        <v>38505.1862222222</v>
      </c>
      <c r="AB51" s="26">
        <f>IF(SUM(AC29:$AE29)&lt;$B9,AB29,0)</f>
        <v>25657.0962222222</v>
      </c>
      <c r="AC51" s="26">
        <f>IF(SUM(AD29:$AE29)&lt;$B9,AC29,0)</f>
        <v>21789.48</v>
      </c>
      <c r="AD51" s="26">
        <f>IF(SUM(AE29:$AE29)&lt;$B9,AD29,0)</f>
        <v>31524.68</v>
      </c>
      <c r="AE51" s="26">
        <f>IF(SUM(AE29:$AE29)&lt;$B9,AE29,0)</f>
        <v>29842.88</v>
      </c>
      <c r="AG51" s="22" t="s">
        <v>2372</v>
      </c>
      <c r="AH51" s="31">
        <f t="shared" si="7"/>
        <v>-8183.43099999981</v>
      </c>
    </row>
    <row r="52" spans="1:34">
      <c r="A52" s="22" t="s">
        <v>2373</v>
      </c>
      <c r="B52" s="30">
        <f>IF(SUM(C30:$AE30)&lt;$B10,B30,0)</f>
        <v>0</v>
      </c>
      <c r="C52" s="30">
        <f>IF(SUM(D30:$AE30)&lt;$B10,C30,0)</f>
        <v>0</v>
      </c>
      <c r="D52" s="30">
        <f>IF(SUM(E30:$AE30)&lt;$B10,D30,0)</f>
        <v>0</v>
      </c>
      <c r="E52" s="30">
        <f>IF(SUM(F30:$AE30)&lt;$B10,E30,0)</f>
        <v>0</v>
      </c>
      <c r="F52" s="30">
        <f>IF(SUM(G30:$AE30)&lt;$B10,F30,0)</f>
        <v>0</v>
      </c>
      <c r="G52" s="30">
        <f>IF(SUM(H30:$AE30)&lt;$B10,G30,0)</f>
        <v>0</v>
      </c>
      <c r="H52" s="30">
        <f>IF(SUM(I30:$AE30)&lt;$B10,H30,0)</f>
        <v>0</v>
      </c>
      <c r="I52" s="30">
        <f>IF(SUM(J30:$AE30)&lt;$B10,I30,0)</f>
        <v>0</v>
      </c>
      <c r="J52" s="30">
        <f>IF(SUM(K30:$AE30)&lt;$B10,J30,0)</f>
        <v>0</v>
      </c>
      <c r="K52" s="30">
        <f>IF(SUM(L30:$AE30)&lt;$B10,K30,0)</f>
        <v>0</v>
      </c>
      <c r="L52" s="30">
        <f>IF(SUM(M30:$AE30)&lt;$B10,L30,0)</f>
        <v>0</v>
      </c>
      <c r="M52" s="30">
        <f>IF(SUM(N30:$AE30)&lt;$B10,M30,0)</f>
        <v>0</v>
      </c>
      <c r="N52" s="30">
        <f>IF(SUM(O30:$AE30)&lt;$B10,N30,0)</f>
        <v>0</v>
      </c>
      <c r="O52" s="30">
        <f>IF(SUM(P30:$AE30)&lt;$B10,O30,0)</f>
        <v>0</v>
      </c>
      <c r="P52" s="26">
        <f>IF(SUM(Q30:$AE30)&lt;$B10,P30,0)</f>
        <v>0</v>
      </c>
      <c r="Q52" s="26">
        <f>IF(SUM(R30:$AE30)&lt;$B10,Q30,0)</f>
        <v>0</v>
      </c>
      <c r="R52" s="26">
        <f>IF(SUM(S30:$AE30)&lt;$B10,R30,0)</f>
        <v>0</v>
      </c>
      <c r="S52" s="26">
        <f>IF(SUM(T30:$AE30)&lt;$B10,S30,0)</f>
        <v>0</v>
      </c>
      <c r="T52" s="26">
        <f>IF(SUM(U30:$AE30)&lt;$B10,T30,0)</f>
        <v>0</v>
      </c>
      <c r="U52" s="26">
        <f>IF(SUM(V30:$AE30)&lt;$B10,U30,0)</f>
        <v>9992.01111111111</v>
      </c>
      <c r="V52" s="26">
        <f>IF(SUM(W30:$AE30)&lt;$B10,V30,0)</f>
        <v>15039.1111111111</v>
      </c>
      <c r="W52" s="26">
        <f>IF(SUM(X30:$AE30)&lt;$B10,W30,0)</f>
        <v>15649.4111111111</v>
      </c>
      <c r="X52" s="26">
        <f>IF(SUM(Y30:$AE30)&lt;$B10,X30,0)</f>
        <v>13411.1111111111</v>
      </c>
      <c r="Y52" s="26">
        <f>IF(SUM(Z30:$AE30)&lt;$B10,Y30,0)</f>
        <v>14688.2777777778</v>
      </c>
      <c r="Z52" s="26">
        <f>IF(SUM(AA30:$AE30)&lt;$B10,Z30,0)</f>
        <v>20921.7111111111</v>
      </c>
      <c r="AA52" s="26">
        <f>IF(SUM(AB30:$AE30)&lt;$B10,AA30,0)</f>
        <v>30991.5777777778</v>
      </c>
      <c r="AB52" s="26">
        <f>IF(SUM(AC30:$AE30)&lt;$B10,AB30,0)</f>
        <v>19120.3777777778</v>
      </c>
      <c r="AC52" s="26">
        <f>IF(SUM(AD30:$AE30)&lt;$B10,AC30,0)</f>
        <v>17833.88</v>
      </c>
      <c r="AD52" s="26">
        <f>IF(SUM(AE30:$AE30)&lt;$B10,AD30,0)</f>
        <v>21900.08</v>
      </c>
      <c r="AE52" s="26">
        <f>IF(SUM(AE30:$AE30)&lt;$B10,AE30,0)</f>
        <v>26352.28</v>
      </c>
      <c r="AG52" s="22" t="s">
        <v>2373</v>
      </c>
      <c r="AH52" s="31">
        <f t="shared" si="7"/>
        <v>-1946.82888888891</v>
      </c>
    </row>
    <row r="53" spans="1:34">
      <c r="A53" s="22" t="s">
        <v>2374</v>
      </c>
      <c r="B53" s="30">
        <f>IF(SUM(C31:$AE31)&lt;$B11,B31,0)</f>
        <v>0</v>
      </c>
      <c r="C53" s="30">
        <f>IF(SUM(D31:$AE31)&lt;$B11,C31,0)</f>
        <v>0</v>
      </c>
      <c r="D53" s="30">
        <f>IF(SUM(E31:$AE31)&lt;$B11,D31,0)</f>
        <v>0</v>
      </c>
      <c r="E53" s="30">
        <f>IF(SUM(F31:$AE31)&lt;$B11,E31,0)</f>
        <v>0</v>
      </c>
      <c r="F53" s="30">
        <f>IF(SUM(G31:$AE31)&lt;$B11,F31,0)</f>
        <v>0</v>
      </c>
      <c r="G53" s="30">
        <f>IF(SUM(H31:$AE31)&lt;$B11,G31,0)</f>
        <v>0</v>
      </c>
      <c r="H53" s="30">
        <f>IF(SUM(I31:$AE31)&lt;$B11,H31,0)</f>
        <v>0</v>
      </c>
      <c r="I53" s="30">
        <f>IF(SUM(J31:$AE31)&lt;$B11,I31,0)</f>
        <v>0</v>
      </c>
      <c r="J53" s="30">
        <f>IF(SUM(K31:$AE31)&lt;$B11,J31,0)</f>
        <v>0</v>
      </c>
      <c r="K53" s="30">
        <f>IF(SUM(L31:$AE31)&lt;$B11,K31,0)</f>
        <v>0</v>
      </c>
      <c r="L53" s="30">
        <f>IF(SUM(M31:$AE31)&lt;$B11,L31,0)</f>
        <v>0</v>
      </c>
      <c r="M53" s="30">
        <f>IF(SUM(N31:$AE31)&lt;$B11,M31,0)</f>
        <v>0</v>
      </c>
      <c r="N53" s="30">
        <f>IF(SUM(O31:$AE31)&lt;$B11,N31,0)</f>
        <v>0</v>
      </c>
      <c r="O53" s="30">
        <f>IF(SUM(P31:$AE31)&lt;$B11,O31,0)</f>
        <v>0</v>
      </c>
      <c r="P53" s="30">
        <f>IF(SUM(Q31:$AE31)&lt;$B11,P31,0)</f>
        <v>0</v>
      </c>
      <c r="Q53" s="30">
        <f>IF(SUM(R31:$AE31)&lt;$B11,Q31,0)</f>
        <v>0</v>
      </c>
      <c r="R53" s="30">
        <f>IF(SUM(S31:$AE31)&lt;$B11,R31,0)</f>
        <v>0</v>
      </c>
      <c r="S53" s="30">
        <f>IF(SUM(T31:$AE31)&lt;$B11,S31,0)</f>
        <v>0</v>
      </c>
      <c r="T53" s="30">
        <f>IF(SUM(U31:$AE31)&lt;$B11,T31,0)</f>
        <v>0</v>
      </c>
      <c r="U53" s="30">
        <f>IF(SUM(V31:$AE31)&lt;$B11,U31,0)</f>
        <v>0</v>
      </c>
      <c r="V53" s="26">
        <f>IF(SUM(W31:$AE31)&lt;$B11,V31,0)</f>
        <v>205.018</v>
      </c>
      <c r="W53" s="26">
        <f>IF(SUM(X31:$AE31)&lt;$B11,W31,0)</f>
        <v>1918.21</v>
      </c>
      <c r="X53" s="26">
        <f>IF(SUM(Y31:$AE31)&lt;$B11,X31,0)</f>
        <v>1164.566</v>
      </c>
      <c r="Y53" s="26">
        <f>IF(SUM(Z31:$AE31)&lt;$B11,Y31,0)</f>
        <v>11563.872</v>
      </c>
      <c r="Z53" s="26">
        <f>IF(SUM(AA31:$AE31)&lt;$B11,Z31,0)</f>
        <v>8528.334</v>
      </c>
      <c r="AA53" s="26">
        <f>IF(SUM(AB31:$AE31)&lt;$B11,AA31,0)</f>
        <v>13440</v>
      </c>
      <c r="AB53" s="26">
        <f>IF(SUM(AC31:$AE31)&lt;$B11,AB31,0)</f>
        <v>30300</v>
      </c>
      <c r="AC53" s="26">
        <f>IF(SUM(AD31:$AE31)&lt;$B11,AC31,0)</f>
        <v>30615</v>
      </c>
      <c r="AD53" s="26">
        <f>IF(SUM(AE31:$AE31)&lt;$B11,AD31,0)</f>
        <v>26715</v>
      </c>
      <c r="AE53" s="26">
        <f>IF(SUM(AE31:$AE31)&lt;$B11,AE31,0)</f>
        <v>17400</v>
      </c>
      <c r="AG53" s="22" t="s">
        <v>2374</v>
      </c>
      <c r="AH53" s="31">
        <f t="shared" si="7"/>
        <v>-180</v>
      </c>
    </row>
    <row r="54" spans="1:34">
      <c r="A54" s="22" t="s">
        <v>2375</v>
      </c>
      <c r="B54" s="30">
        <f>IF(SUM(C32:$AE32)&lt;$B12,B32,0)</f>
        <v>0</v>
      </c>
      <c r="C54" s="30">
        <f>IF(SUM(D32:$AE32)&lt;$B12,C32,0)</f>
        <v>0</v>
      </c>
      <c r="D54" s="30">
        <f>IF(SUM(E32:$AE32)&lt;$B12,D32,0)</f>
        <v>0</v>
      </c>
      <c r="E54" s="30">
        <f>IF(SUM(F32:$AE32)&lt;$B12,E32,0)</f>
        <v>0</v>
      </c>
      <c r="F54" s="30">
        <f>IF(SUM(G32:$AE32)&lt;$B12,F32,0)</f>
        <v>0</v>
      </c>
      <c r="G54" s="30">
        <f>IF(SUM(H32:$AE32)&lt;$B12,G32,0)</f>
        <v>0</v>
      </c>
      <c r="H54" s="30">
        <f>IF(SUM(I32:$AE32)&lt;$B12,H32,0)</f>
        <v>0</v>
      </c>
      <c r="I54" s="30">
        <f>IF(SUM(J32:$AE32)&lt;$B12,I32,0)</f>
        <v>0</v>
      </c>
      <c r="J54" s="30">
        <f>IF(SUM(K32:$AE32)&lt;$B12,J32,0)</f>
        <v>0</v>
      </c>
      <c r="K54" s="30">
        <f>IF(SUM(L32:$AE32)&lt;$B12,K32,0)</f>
        <v>0</v>
      </c>
      <c r="L54" s="30">
        <f>IF(SUM(M32:$AE32)&lt;$B12,L32,0)</f>
        <v>0</v>
      </c>
      <c r="M54" s="30">
        <f>IF(SUM(N32:$AE32)&lt;$B12,M32,0)</f>
        <v>0</v>
      </c>
      <c r="N54" s="30">
        <f>IF(SUM(O32:$AE32)&lt;$B12,N32,0)</f>
        <v>0</v>
      </c>
      <c r="O54" s="30">
        <f>IF(SUM(P32:$AE32)&lt;$B12,O32,0)</f>
        <v>0</v>
      </c>
      <c r="P54" s="30">
        <f>IF(SUM(Q32:$AE32)&lt;$B12,P32,0)</f>
        <v>0</v>
      </c>
      <c r="Q54" s="30">
        <f>IF(SUM(R32:$AE32)&lt;$B12,Q32,0)</f>
        <v>0</v>
      </c>
      <c r="R54" s="30">
        <f>IF(SUM(S32:$AE32)&lt;$B12,R32,0)</f>
        <v>0</v>
      </c>
      <c r="S54" s="30">
        <f>IF(SUM(T32:$AE32)&lt;$B12,S32,0)</f>
        <v>0</v>
      </c>
      <c r="T54" s="30">
        <f>IF(SUM(U32:$AE32)&lt;$B12,T32,0)</f>
        <v>0</v>
      </c>
      <c r="U54" s="30">
        <f>IF(SUM(V32:$AE32)&lt;$B12,U32,0)</f>
        <v>0</v>
      </c>
      <c r="V54" s="26">
        <f>IF(SUM(W32:$AE32)&lt;$B12,V32,0)</f>
        <v>0</v>
      </c>
      <c r="W54" s="26">
        <f>IF(SUM(X32:$AE32)&lt;$B12,W32,0)</f>
        <v>0</v>
      </c>
      <c r="X54" s="26">
        <f>IF(SUM(Y32:$AE32)&lt;$B12,X32,0)</f>
        <v>0</v>
      </c>
      <c r="Y54" s="26">
        <f>IF(SUM(Z32:$AE32)&lt;$B12,Y32,0)</f>
        <v>0</v>
      </c>
      <c r="Z54" s="26">
        <f>IF(SUM(AA32:$AE32)&lt;$B12,Z32,0)</f>
        <v>0</v>
      </c>
      <c r="AA54" s="26">
        <f>IF(SUM(AB32:$AE32)&lt;$B12,AA32,0)</f>
        <v>0</v>
      </c>
      <c r="AB54" s="26">
        <f>IF(SUM(AC32:$AE32)&lt;$B12,AB32,0)</f>
        <v>0</v>
      </c>
      <c r="AC54" s="26">
        <f>IF(SUM(AD32:$AE32)&lt;$B12,AC32,0)</f>
        <v>0</v>
      </c>
      <c r="AD54" s="26">
        <f>IF(SUM(AE32:$AE32)&lt;$B12,AD32,0)</f>
        <v>0</v>
      </c>
      <c r="AE54" s="26">
        <f>IF(SUM(AE32:$AE32)&lt;$B12,AE32,0)</f>
        <v>0</v>
      </c>
      <c r="AG54" s="22" t="s">
        <v>2375</v>
      </c>
      <c r="AH54" s="31">
        <f t="shared" si="7"/>
        <v>0</v>
      </c>
    </row>
    <row r="55" spans="1:34">
      <c r="A55" s="22" t="s">
        <v>2376</v>
      </c>
      <c r="B55" s="30">
        <f>IF(SUM(C33:$AE33)&lt;$B13,B33,0)</f>
        <v>0</v>
      </c>
      <c r="C55" s="30">
        <f>IF(SUM(D33:$AE33)&lt;$B13,C33,0)</f>
        <v>0</v>
      </c>
      <c r="D55" s="30">
        <f>IF(SUM(E33:$AE33)&lt;$B13,D33,0)</f>
        <v>0</v>
      </c>
      <c r="E55" s="30">
        <f>IF(SUM(F33:$AE33)&lt;$B13,E33,0)</f>
        <v>0</v>
      </c>
      <c r="F55" s="30">
        <f>IF(SUM(G33:$AE33)&lt;$B13,F33,0)</f>
        <v>0</v>
      </c>
      <c r="G55" s="30">
        <f>IF(SUM(H33:$AE33)&lt;$B13,G33,0)</f>
        <v>0</v>
      </c>
      <c r="H55" s="30">
        <f>IF(SUM(I33:$AE33)&lt;$B13,H33,0)</f>
        <v>0</v>
      </c>
      <c r="I55" s="30">
        <f>IF(SUM(J33:$AE33)&lt;$B13,I33,0)</f>
        <v>0</v>
      </c>
      <c r="J55" s="30">
        <f>IF(SUM(K33:$AE33)&lt;$B13,J33,0)</f>
        <v>0</v>
      </c>
      <c r="K55" s="30">
        <f>IF(SUM(L33:$AE33)&lt;$B13,K33,0)</f>
        <v>0</v>
      </c>
      <c r="L55" s="30">
        <f>IF(SUM(M33:$AE33)&lt;$B13,L33,0)</f>
        <v>0</v>
      </c>
      <c r="M55" s="26">
        <f>IF(SUM(N33:$AE33)&lt;$B13,M33,0)</f>
        <v>514.75</v>
      </c>
      <c r="N55" s="26">
        <f>IF(SUM(O33:$AE33)&lt;$B13,N33,0)</f>
        <v>514.75</v>
      </c>
      <c r="O55" s="26">
        <f>IF(SUM(P33:$AE33)&lt;$B13,O33,0)</f>
        <v>514.75</v>
      </c>
      <c r="P55" s="26">
        <f>IF(SUM(Q33:$AE33)&lt;$B13,P33,0)</f>
        <v>514.75</v>
      </c>
      <c r="Q55" s="26">
        <f>IF(SUM(R33:$AE33)&lt;$B13,Q33,0)</f>
        <v>514.75</v>
      </c>
      <c r="R55" s="26">
        <f>IF(SUM(S33:$AE33)&lt;$B13,R33,0)</f>
        <v>514.75</v>
      </c>
      <c r="S55" s="26">
        <f>IF(SUM(T33:$AE33)&lt;$B13,S33,0)</f>
        <v>514.75</v>
      </c>
      <c r="T55" s="26">
        <f>IF(SUM(U33:$AE33)&lt;$B13,T33,0)</f>
        <v>514.75</v>
      </c>
      <c r="U55" s="26">
        <f>IF(SUM(V33:$AE33)&lt;$B13,U33,0)</f>
        <v>232.5</v>
      </c>
      <c r="V55" s="26">
        <f>IF(SUM(W33:$AE33)&lt;$B13,V33,0)</f>
        <v>433</v>
      </c>
      <c r="W55" s="26">
        <f>IF(SUM(X33:$AE33)&lt;$B13,W33,0)</f>
        <v>654</v>
      </c>
      <c r="X55" s="26">
        <f>IF(SUM(Y33:$AE33)&lt;$B13,X33,0)</f>
        <v>786.8</v>
      </c>
      <c r="Y55" s="26">
        <f>IF(SUM(Z33:$AE33)&lt;$B13,Y33,0)</f>
        <v>574.8</v>
      </c>
      <c r="Z55" s="26">
        <f>IF(SUM(AA33:$AE33)&lt;$B13,Z33,0)</f>
        <v>705.2</v>
      </c>
      <c r="AA55" s="26">
        <f>IF(SUM(AB33:$AE33)&lt;$B13,AA33,0)</f>
        <v>474</v>
      </c>
      <c r="AB55" s="26">
        <f>IF(SUM(AC33:$AE33)&lt;$B13,AB33,0)</f>
        <v>633.5</v>
      </c>
      <c r="AC55" s="26">
        <f>IF(SUM(AD33:$AE33)&lt;$B13,AC33,0)</f>
        <v>810</v>
      </c>
      <c r="AD55" s="26">
        <f>IF(SUM(AE33:$AE33)&lt;$B13,AD33,0)</f>
        <v>952.6</v>
      </c>
      <c r="AE55" s="26">
        <f>IF(SUM(AE33:$AE33)&lt;$B13,AE33,0)</f>
        <v>1190.26</v>
      </c>
      <c r="AG55" s="22" t="s">
        <v>2376</v>
      </c>
      <c r="AH55" s="31">
        <f t="shared" si="7"/>
        <v>317.34</v>
      </c>
    </row>
    <row r="56" spans="1:34">
      <c r="A56" s="22" t="s">
        <v>2377</v>
      </c>
      <c r="B56" s="30">
        <f>IF(SUM(C34:$AE34)&lt;$B14,B34,0)</f>
        <v>0</v>
      </c>
      <c r="C56" s="30">
        <f>IF(SUM(D34:$AE34)&lt;$B14,C34,0)</f>
        <v>0</v>
      </c>
      <c r="D56" s="30">
        <f>IF(SUM(E34:$AE34)&lt;$B14,D34,0)</f>
        <v>0</v>
      </c>
      <c r="E56" s="30">
        <f>IF(SUM(F34:$AE34)&lt;$B14,E34,0)</f>
        <v>0</v>
      </c>
      <c r="F56" s="30">
        <f>IF(SUM(G34:$AE34)&lt;$B14,F34,0)</f>
        <v>0</v>
      </c>
      <c r="G56" s="30">
        <f>IF(SUM(H34:$AE34)&lt;$B14,G34,0)</f>
        <v>0</v>
      </c>
      <c r="H56" s="30">
        <f>IF(SUM(I34:$AE34)&lt;$B14,H34,0)</f>
        <v>0</v>
      </c>
      <c r="I56" s="30">
        <f>IF(SUM(J34:$AE34)&lt;$B14,I34,0)</f>
        <v>0</v>
      </c>
      <c r="J56" s="30">
        <f>IF(SUM(K34:$AE34)&lt;$B14,J34,0)</f>
        <v>0</v>
      </c>
      <c r="K56" s="30">
        <f>IF(SUM(L34:$AE34)&lt;$B14,K34,0)</f>
        <v>0</v>
      </c>
      <c r="L56" s="30">
        <f>IF(SUM(M34:$AE34)&lt;$B14,L34,0)</f>
        <v>0</v>
      </c>
      <c r="M56" s="26">
        <f>IF(SUM(N34:$AE34)&lt;$B14,M34,0)</f>
        <v>0</v>
      </c>
      <c r="N56" s="26">
        <f>IF(SUM(O34:$AE34)&lt;$B14,N34,0)</f>
        <v>0</v>
      </c>
      <c r="O56" s="26">
        <f>IF(SUM(P34:$AE34)&lt;$B14,O34,0)</f>
        <v>0</v>
      </c>
      <c r="P56" s="26">
        <f>IF(SUM(Q34:$AE34)&lt;$B14,P34,0)</f>
        <v>0</v>
      </c>
      <c r="Q56" s="26">
        <f>IF(SUM(R34:$AE34)&lt;$B14,Q34,0)</f>
        <v>0</v>
      </c>
      <c r="R56" s="26">
        <f>IF(SUM(S34:$AE34)&lt;$B14,R34,0)</f>
        <v>0</v>
      </c>
      <c r="S56" s="26">
        <f>IF(SUM(T34:$AE34)&lt;$B14,S34,0)</f>
        <v>0</v>
      </c>
      <c r="T56" s="26">
        <f>IF(SUM(U34:$AE34)&lt;$B14,T34,0)</f>
        <v>0</v>
      </c>
      <c r="U56" s="26">
        <f>IF(SUM(V34:$AE34)&lt;$B14,U34,0)</f>
        <v>0</v>
      </c>
      <c r="V56" s="26">
        <f>IF(SUM(W34:$AE34)&lt;$B14,V34,0)</f>
        <v>0</v>
      </c>
      <c r="W56" s="26">
        <f>IF(SUM(X34:$AE34)&lt;$B14,W34,0)</f>
        <v>0</v>
      </c>
      <c r="X56" s="26">
        <f>IF(SUM(Y34:$AE34)&lt;$B14,X34,0)</f>
        <v>0</v>
      </c>
      <c r="Y56" s="26">
        <f>IF(SUM(Z34:$AE34)&lt;$B14,Y34,0)</f>
        <v>0</v>
      </c>
      <c r="Z56" s="26">
        <f>IF(SUM(AA34:$AE34)&lt;$B14,Z34,0)</f>
        <v>0</v>
      </c>
      <c r="AA56" s="26">
        <f>IF(SUM(AB34:$AE34)&lt;$B14,AA34,0)</f>
        <v>0</v>
      </c>
      <c r="AB56" s="26">
        <f>IF(SUM(AC34:$AE34)&lt;$B14,AB34,0)</f>
        <v>0</v>
      </c>
      <c r="AC56" s="26">
        <f>IF(SUM(AD34:$AE34)&lt;$B14,AC34,0)</f>
        <v>0</v>
      </c>
      <c r="AD56" s="26">
        <f>IF(SUM(AE34:$AE34)&lt;$B14,AD34,0)</f>
        <v>0</v>
      </c>
      <c r="AE56" s="26">
        <f>IF(SUM(AE34:$AE34)&lt;$B14,AE34,0)</f>
        <v>0</v>
      </c>
      <c r="AG56" s="22" t="s">
        <v>2377</v>
      </c>
      <c r="AH56" s="31">
        <f t="shared" si="7"/>
        <v>527.28</v>
      </c>
    </row>
    <row r="57" spans="1:34">
      <c r="A57" s="22" t="s">
        <v>2378</v>
      </c>
      <c r="B57" s="30">
        <f>IF(SUM(C35:$AE35)&lt;$B15,B35,0)</f>
        <v>0</v>
      </c>
      <c r="C57" s="26">
        <f>IF(SUM(D35:$AE35)&lt;$B15,C35,0)</f>
        <v>27.8333765698711</v>
      </c>
      <c r="D57" s="26">
        <f>IF(SUM(E35:$AE35)&lt;$B15,D35,0)</f>
        <v>27.8333765698711</v>
      </c>
      <c r="E57" s="26">
        <f>IF(SUM(F35:$AE35)&lt;$B15,E35,0)</f>
        <v>27.8333765698711</v>
      </c>
      <c r="F57" s="26">
        <f>IF(SUM(G35:$AE35)&lt;$B15,F35,0)</f>
        <v>27.8333765698711</v>
      </c>
      <c r="G57" s="26">
        <f>IF(SUM(H35:$AE35)&lt;$B15,G35,0)</f>
        <v>27.8333765698711</v>
      </c>
      <c r="H57" s="26">
        <f>IF(SUM(I35:$AE35)&lt;$B15,H35,0)</f>
        <v>27.8333765698711</v>
      </c>
      <c r="I57" s="26">
        <f>IF(SUM(J35:$AE35)&lt;$B15,I35,0)</f>
        <v>27.8333765698711</v>
      </c>
      <c r="J57" s="26">
        <f>IF(SUM(K35:$AE35)&lt;$B15,J35,0)</f>
        <v>27.8333765698711</v>
      </c>
      <c r="K57" s="26">
        <f>IF(SUM(L35:$AE35)&lt;$B15,K35,0)</f>
        <v>27.8333765698711</v>
      </c>
      <c r="L57" s="26">
        <f>IF(SUM(M35:$AE35)&lt;$B15,L35,0)</f>
        <v>27.8333765698711</v>
      </c>
      <c r="M57" s="26">
        <f>IF(SUM(N35:$AE35)&lt;$B15,M35,0)</f>
        <v>27.8333765698711</v>
      </c>
      <c r="N57" s="26">
        <f>IF(SUM(O35:$AE35)&lt;$B15,N35,0)</f>
        <v>10.0432765599109</v>
      </c>
      <c r="O57" s="26">
        <f>IF(SUM(P35:$AE35)&lt;$B15,O35,0)</f>
        <v>7.83120156828656</v>
      </c>
      <c r="P57" s="26">
        <f>IF(SUM(Q35:$AE35)&lt;$B15,P35,0)</f>
        <v>7.83120156828656</v>
      </c>
      <c r="Q57" s="26">
        <f>IF(SUM(R35:$AE35)&lt;$B15,Q35,0)</f>
        <v>15.1971832414274</v>
      </c>
      <c r="R57" s="26">
        <f>IF(SUM(S35:$AE35)&lt;$B15,R35,0)</f>
        <v>7.83120156828656</v>
      </c>
      <c r="S57" s="26">
        <f>IF(SUM(T35:$AE35)&lt;$B15,S35,0)</f>
        <v>7.83120156828656</v>
      </c>
      <c r="T57" s="26">
        <f>IF(SUM(U35:$AE35)&lt;$B15,T35,0)</f>
        <v>23.7946293428951</v>
      </c>
      <c r="U57" s="26">
        <f>IF(SUM(V35:$AE35)&lt;$B15,U35,0)</f>
        <v>7.83120156828656</v>
      </c>
      <c r="V57" s="26">
        <f>IF(SUM(W35:$AE35)&lt;$B15,V35,0)</f>
        <v>7.83120156828656</v>
      </c>
      <c r="W57" s="26">
        <f>IF(SUM(X35:$AE35)&lt;$B15,W35,0)</f>
        <v>7.83120156828658</v>
      </c>
      <c r="X57" s="26">
        <f>IF(SUM(Y35:$AE35)&lt;$B15,X35,0)</f>
        <v>0</v>
      </c>
      <c r="Y57" s="26">
        <f>IF(SUM(Z35:$AE35)&lt;$B15,Y35,0)</f>
        <v>0</v>
      </c>
      <c r="Z57" s="26">
        <f>IF(SUM(AA35:$AE35)&lt;$B15,Z35,0)</f>
        <v>0</v>
      </c>
      <c r="AA57" s="26">
        <f>IF(SUM(AB35:$AE35)&lt;$B15,AA35,0)</f>
        <v>0</v>
      </c>
      <c r="AB57" s="26">
        <f>IF(SUM(AC35:$AE35)&lt;$B15,AB35,0)</f>
        <v>0</v>
      </c>
      <c r="AC57" s="26">
        <f>IF(SUM(AD35:$AE35)&lt;$B15,AC35,0)</f>
        <v>0</v>
      </c>
      <c r="AD57" s="26">
        <f>IF(SUM(AE35:$AE35)&lt;$B15,AD35,0)</f>
        <v>0</v>
      </c>
      <c r="AE57" s="26">
        <f>IF(SUM(AE35:$AE35)&lt;$B15,AE35,0)</f>
        <v>0</v>
      </c>
      <c r="AG57" s="22" t="s">
        <v>2378</v>
      </c>
      <c r="AH57" s="31">
        <f t="shared" si="7"/>
        <v>-10.9349480256066</v>
      </c>
    </row>
    <row r="58" spans="1:34">
      <c r="A58" s="22" t="s">
        <v>2379</v>
      </c>
      <c r="B58" s="30">
        <f>IF(SUM(C36:$AE36)&lt;$B16,B36,0)</f>
        <v>0</v>
      </c>
      <c r="C58" s="30">
        <f>IF(SUM(D36:$AE36)&lt;$B16,C36,0)</f>
        <v>0</v>
      </c>
      <c r="D58" s="30">
        <f>IF(SUM(E36:$AE36)&lt;$B16,D36,0)</f>
        <v>0</v>
      </c>
      <c r="E58" s="26">
        <f>IF(SUM(F36:$AE36)&lt;$B16,E36,0)</f>
        <v>0</v>
      </c>
      <c r="F58" s="26">
        <f>IF(SUM(G36:$AE36)&lt;$B16,F36,0)</f>
        <v>0</v>
      </c>
      <c r="G58" s="26">
        <f>IF(SUM(H36:$AE36)&lt;$B16,G36,0)</f>
        <v>0</v>
      </c>
      <c r="H58" s="26">
        <f>IF(SUM(I36:$AE36)&lt;$B16,H36,0)</f>
        <v>0</v>
      </c>
      <c r="I58" s="26">
        <f>IF(SUM(J36:$AE36)&lt;$B16,I36,0)</f>
        <v>0</v>
      </c>
      <c r="J58" s="26">
        <f>IF(SUM(K36:$AE36)&lt;$B16,J36,0)</f>
        <v>0</v>
      </c>
      <c r="K58" s="26">
        <f>IF(SUM(L36:$AE36)&lt;$B16,K36,0)</f>
        <v>0</v>
      </c>
      <c r="L58" s="26">
        <f>IF(SUM(M36:$AE36)&lt;$B16,L36,0)</f>
        <v>100.14</v>
      </c>
      <c r="M58" s="26">
        <f>IF(SUM(N36:$AE36)&lt;$B16,M36,0)</f>
        <v>107.34</v>
      </c>
      <c r="N58" s="26">
        <f>IF(SUM(O36:$AE36)&lt;$B16,N36,0)</f>
        <v>116.34</v>
      </c>
      <c r="O58" s="26">
        <f>IF(SUM(P36:$AE36)&lt;$B16,O36,0)</f>
        <v>120.9</v>
      </c>
      <c r="P58" s="26">
        <f>IF(SUM(Q36:$AE36)&lt;$B16,P36,0)</f>
        <v>0</v>
      </c>
      <c r="Q58" s="26">
        <f>IF(SUM(R36:$AE36)&lt;$B16,Q36,0)</f>
        <v>889.71</v>
      </c>
      <c r="R58" s="26">
        <f>IF(SUM(S36:$AE36)&lt;$B16,R36,0)</f>
        <v>1341.51</v>
      </c>
      <c r="S58" s="26">
        <f>IF(SUM(T36:$AE36)&lt;$B16,S36,0)</f>
        <v>1222.887</v>
      </c>
      <c r="T58" s="26">
        <f>IF(SUM(U36:$AE36)&lt;$B16,T36,0)</f>
        <v>424.533</v>
      </c>
      <c r="U58" s="26">
        <f>IF(SUM(V36:$AE36)&lt;$B16,U36,0)</f>
        <v>1109.88</v>
      </c>
      <c r="V58" s="26">
        <f>IF(SUM(W36:$AE36)&lt;$B16,V36,0)</f>
        <v>890.04</v>
      </c>
      <c r="W58" s="26">
        <f>IF(SUM(X36:$AE36)&lt;$B16,W36,0)</f>
        <v>715.8</v>
      </c>
      <c r="X58" s="26">
        <f>IF(SUM(Y36:$AE36)&lt;$B16,X36,0)</f>
        <v>963.18</v>
      </c>
      <c r="Y58" s="26">
        <f>IF(SUM(Z36:$AE36)&lt;$B16,Y36,0)</f>
        <v>2134.92</v>
      </c>
      <c r="Z58" s="26">
        <f>IF(SUM(AA36:$AE36)&lt;$B16,Z36,0)</f>
        <v>3912.63</v>
      </c>
      <c r="AA58" s="26">
        <f>IF(SUM(AB36:$AE36)&lt;$B16,AA36,0)</f>
        <v>3680.91</v>
      </c>
      <c r="AB58" s="26">
        <f>IF(SUM(AC36:$AE36)&lt;$B16,AB36,0)</f>
        <v>2244.84</v>
      </c>
      <c r="AC58" s="26">
        <f>IF(SUM(AD36:$AE36)&lt;$B16,AC36,0)</f>
        <v>2060.508</v>
      </c>
      <c r="AD58" s="26">
        <f>IF(SUM(AE36:$AE36)&lt;$B16,AD36,0)</f>
        <v>2997.258</v>
      </c>
      <c r="AE58" s="26">
        <f>IF(SUM(AE36:$AE36)&lt;$B16,AE36,0)</f>
        <v>2106.198</v>
      </c>
      <c r="AG58" s="22" t="s">
        <v>2379</v>
      </c>
      <c r="AH58" s="31">
        <f t="shared" si="7"/>
        <v>-67.5240000000013</v>
      </c>
    </row>
    <row r="59" spans="1:34">
      <c r="A59" s="22" t="s">
        <v>2380</v>
      </c>
      <c r="B59" s="30">
        <f>IF(SUM(C37:$AE37)&lt;$B17,B37,0)</f>
        <v>0</v>
      </c>
      <c r="C59" s="30">
        <f>IF(SUM(D37:$AE37)&lt;$B17,C37,0)</f>
        <v>0</v>
      </c>
      <c r="D59" s="30">
        <f>IF(SUM(E37:$AE37)&lt;$B17,D37,0)</f>
        <v>0</v>
      </c>
      <c r="E59" s="30">
        <f>IF(SUM(F37:$AE37)&lt;$B17,E37,0)</f>
        <v>0</v>
      </c>
      <c r="F59" s="30">
        <f>IF(SUM(G37:$AE37)&lt;$B17,F37,0)</f>
        <v>0</v>
      </c>
      <c r="G59" s="30">
        <f>IF(SUM(H37:$AE37)&lt;$B17,G37,0)</f>
        <v>0</v>
      </c>
      <c r="H59" s="30">
        <f>IF(SUM(I37:$AE37)&lt;$B17,H37,0)</f>
        <v>0</v>
      </c>
      <c r="I59" s="30">
        <f>IF(SUM(J37:$AE37)&lt;$B17,I37,0)</f>
        <v>0</v>
      </c>
      <c r="J59" s="30">
        <f>IF(SUM(K37:$AE37)&lt;$B17,J37,0)</f>
        <v>0</v>
      </c>
      <c r="K59" s="30">
        <f>IF(SUM(L37:$AE37)&lt;$B17,K37,0)</f>
        <v>0</v>
      </c>
      <c r="L59" s="30">
        <f>IF(SUM(M37:$AE37)&lt;$B17,L37,0)</f>
        <v>0</v>
      </c>
      <c r="M59" s="26">
        <f>IF(SUM(N37:$AE37)&lt;$B17,M37,0)</f>
        <v>648.5</v>
      </c>
      <c r="N59" s="26">
        <f>IF(SUM(O37:$AE37)&lt;$B17,N37,0)</f>
        <v>648.5</v>
      </c>
      <c r="O59" s="26">
        <f>IF(SUM(P37:$AE37)&lt;$B17,O37,0)</f>
        <v>648.5</v>
      </c>
      <c r="P59" s="26">
        <f>IF(SUM(Q37:$AE37)&lt;$B17,P37,0)</f>
        <v>648.5</v>
      </c>
      <c r="Q59" s="26">
        <f>IF(SUM(R37:$AE37)&lt;$B17,Q37,0)</f>
        <v>648.5</v>
      </c>
      <c r="R59" s="26">
        <f>IF(SUM(S37:$AE37)&lt;$B17,R37,0)</f>
        <v>648.5</v>
      </c>
      <c r="S59" s="26">
        <f>IF(SUM(T37:$AE37)&lt;$B17,S37,0)</f>
        <v>648.5</v>
      </c>
      <c r="T59" s="26">
        <f>IF(SUM(U37:$AE37)&lt;$B17,T37,0)</f>
        <v>648.5</v>
      </c>
      <c r="U59" s="26">
        <f>IF(SUM(V37:$AE37)&lt;$B17,U37,0)</f>
        <v>1550</v>
      </c>
      <c r="V59" s="26">
        <f>IF(SUM(W37:$AE37)&lt;$B17,V37,0)</f>
        <v>1901.4</v>
      </c>
      <c r="W59" s="26">
        <f>IF(SUM(X37:$AE37)&lt;$B17,W37,0)</f>
        <v>1230</v>
      </c>
      <c r="X59" s="26">
        <f>IF(SUM(Y37:$AE37)&lt;$B17,X37,0)</f>
        <v>1560</v>
      </c>
      <c r="Y59" s="26">
        <f>IF(SUM(Z37:$AE37)&lt;$B17,Y37,0)</f>
        <v>606</v>
      </c>
      <c r="Z59" s="26">
        <f>IF(SUM(AA37:$AE37)&lt;$B17,Z37,0)</f>
        <v>300</v>
      </c>
      <c r="AA59" s="26">
        <f>IF(SUM(AB37:$AE37)&lt;$B17,AA37,0)</f>
        <v>0</v>
      </c>
      <c r="AB59" s="26">
        <f>IF(SUM(AC37:$AE37)&lt;$B17,AB37,0)</f>
        <v>318</v>
      </c>
      <c r="AC59" s="26">
        <f>IF(SUM(AD37:$AE37)&lt;$B17,AC37,0)</f>
        <v>2</v>
      </c>
      <c r="AD59" s="26">
        <f>IF(SUM(AE37:$AE37)&lt;$B17,AD37,0)</f>
        <v>0</v>
      </c>
      <c r="AE59" s="26">
        <f>IF(SUM(AE37:$AE37)&lt;$B17,AE37,0)</f>
        <v>1400</v>
      </c>
      <c r="AG59" s="22" t="s">
        <v>2380</v>
      </c>
      <c r="AH59" s="31">
        <f t="shared" si="7"/>
        <v>20705.6</v>
      </c>
    </row>
    <row r="60" spans="1:34">
      <c r="A60" s="22" t="s">
        <v>2381</v>
      </c>
      <c r="B60" s="30">
        <f>IF(SUM(C38:$AE38)&lt;$B18,B38,0)</f>
        <v>0</v>
      </c>
      <c r="C60" s="30">
        <f>IF(SUM(D38:$AE38)&lt;$B18,C38,0)</f>
        <v>0</v>
      </c>
      <c r="D60" s="30">
        <f>IF(SUM(E38:$AE38)&lt;$B18,D38,0)</f>
        <v>0</v>
      </c>
      <c r="E60" s="30">
        <f>IF(SUM(F38:$AE38)&lt;$B18,E38,0)</f>
        <v>0</v>
      </c>
      <c r="F60" s="30">
        <f>IF(SUM(G38:$AE38)&lt;$B18,F38,0)</f>
        <v>0</v>
      </c>
      <c r="G60" s="30">
        <f>IF(SUM(H38:$AE38)&lt;$B18,G38,0)</f>
        <v>0</v>
      </c>
      <c r="H60" s="30">
        <f>IF(SUM(I38:$AE38)&lt;$B18,H38,0)</f>
        <v>0</v>
      </c>
      <c r="I60" s="30">
        <f>IF(SUM(J38:$AE38)&lt;$B18,I38,0)</f>
        <v>0</v>
      </c>
      <c r="J60" s="30">
        <f>IF(SUM(K38:$AE38)&lt;$B18,J38,0)</f>
        <v>0</v>
      </c>
      <c r="K60" s="30">
        <f>IF(SUM(L38:$AE38)&lt;$B18,K38,0)</f>
        <v>0</v>
      </c>
      <c r="L60" s="30">
        <f>IF(SUM(M38:$AE38)&lt;$B18,L38,0)</f>
        <v>0</v>
      </c>
      <c r="M60" s="30">
        <f>IF(SUM(N38:$AE38)&lt;$B18,M38,0)</f>
        <v>0</v>
      </c>
      <c r="N60" s="30">
        <f>IF(SUM(O38:$AE38)&lt;$B18,N38,0)</f>
        <v>0</v>
      </c>
      <c r="O60" s="30">
        <f>IF(SUM(P38:$AE38)&lt;$B18,O38,0)</f>
        <v>0</v>
      </c>
      <c r="P60" s="30">
        <f>IF(SUM(Q38:$AE38)&lt;$B18,P38,0)</f>
        <v>0</v>
      </c>
      <c r="Q60" s="30">
        <f>IF(SUM(R38:$AE38)&lt;$B18,Q38,0)</f>
        <v>0</v>
      </c>
      <c r="R60" s="30">
        <f>IF(SUM(S38:$AE38)&lt;$B18,R38,0)</f>
        <v>0</v>
      </c>
      <c r="S60" s="30">
        <f>IF(SUM(T38:$AE38)&lt;$B18,S38,0)</f>
        <v>0</v>
      </c>
      <c r="T60" s="30">
        <f>IF(SUM(U38:$AE38)&lt;$B18,T38,0)</f>
        <v>0</v>
      </c>
      <c r="U60" s="26">
        <f>IF(SUM(V38:$AE38)&lt;$B18,U38,0)</f>
        <v>210</v>
      </c>
      <c r="V60" s="26">
        <f>IF(SUM(W38:$AE38)&lt;$B18,V38,0)</f>
        <v>0</v>
      </c>
      <c r="W60" s="26">
        <f>IF(SUM(X38:$AE38)&lt;$B18,W38,0)</f>
        <v>102</v>
      </c>
      <c r="X60" s="26">
        <f>IF(SUM(Y38:$AE38)&lt;$B18,X38,0)</f>
        <v>12</v>
      </c>
      <c r="Y60" s="26">
        <f>IF(SUM(Z38:$AE38)&lt;$B18,Y38,0)</f>
        <v>804</v>
      </c>
      <c r="Z60" s="26">
        <f>IF(SUM(AA38:$AE38)&lt;$B18,Z38,0)</f>
        <v>603</v>
      </c>
      <c r="AA60" s="26">
        <f>IF(SUM(AB38:$AE38)&lt;$B18,AA38,0)</f>
        <v>977</v>
      </c>
      <c r="AB60" s="26">
        <f>IF(SUM(AC38:$AE38)&lt;$B18,AB38,0)</f>
        <v>2355</v>
      </c>
      <c r="AC60" s="26">
        <f>IF(SUM(AD38:$AE38)&lt;$B18,AC38,0)</f>
        <v>0</v>
      </c>
      <c r="AD60" s="26">
        <f>IF(SUM(AE38:$AE38)&lt;$B18,AD38,0)</f>
        <v>0</v>
      </c>
      <c r="AE60" s="26">
        <f>IF(SUM(AE38:$AE38)&lt;$B18,AE38,0)</f>
        <v>0</v>
      </c>
      <c r="AG60" s="22" t="s">
        <v>2381</v>
      </c>
      <c r="AH60" s="31">
        <f t="shared" si="7"/>
        <v>134</v>
      </c>
    </row>
    <row r="61" spans="1:34">
      <c r="A61" s="22" t="s">
        <v>2382</v>
      </c>
      <c r="B61" s="30">
        <f>IF(SUM(C39:$AE39)&lt;$B19,B39,0)</f>
        <v>0</v>
      </c>
      <c r="C61" s="26">
        <f>IF(SUM(D39:$AE39)&lt;$B19,C39,0)</f>
        <v>6.3501054880975</v>
      </c>
      <c r="D61" s="26">
        <f>IF(SUM(E39:$AE39)&lt;$B19,D39,0)</f>
        <v>6.3501054880975</v>
      </c>
      <c r="E61" s="26">
        <f>IF(SUM(F39:$AE39)&lt;$B19,E39,0)</f>
        <v>6.3501054880975</v>
      </c>
      <c r="F61" s="26">
        <f>IF(SUM(G39:$AE39)&lt;$B19,F39,0)</f>
        <v>6.3501054880975</v>
      </c>
      <c r="G61" s="26">
        <f>IF(SUM(H39:$AE39)&lt;$B19,G39,0)</f>
        <v>6.3501054880975</v>
      </c>
      <c r="H61" s="26">
        <f>IF(SUM(I39:$AE39)&lt;$B19,H39,0)</f>
        <v>6.3501054880975</v>
      </c>
      <c r="I61" s="26">
        <f>IF(SUM(J39:$AE39)&lt;$B19,I39,0)</f>
        <v>6.3501054880975</v>
      </c>
      <c r="J61" s="26">
        <f>IF(SUM(K39:$AE39)&lt;$B19,J39,0)</f>
        <v>6.3501054880975</v>
      </c>
      <c r="K61" s="26">
        <f>IF(SUM(L39:$AE39)&lt;$B19,K39,0)</f>
        <v>6.3501054880975</v>
      </c>
      <c r="L61" s="26">
        <f>IF(SUM(M39:$AE39)&lt;$B19,L39,0)</f>
        <v>6.3501054880975</v>
      </c>
      <c r="M61" s="26">
        <f>IF(SUM(N39:$AE39)&lt;$B19,M39,0)</f>
        <v>6.3501054880975</v>
      </c>
      <c r="N61" s="26">
        <f>IF(SUM(O39:$AE39)&lt;$B19,N39,0)</f>
        <v>2.29134490533235</v>
      </c>
      <c r="O61" s="26">
        <f>IF(SUM(P39:$AE39)&lt;$B19,O39,0)</f>
        <v>1.78666630447577</v>
      </c>
      <c r="P61" s="26">
        <f>IF(SUM(Q39:$AE39)&lt;$B19,P39,0)</f>
        <v>1.78666630447577</v>
      </c>
      <c r="Q61" s="26">
        <f>IF(SUM(R39:$AE39)&lt;$B19,Q39,0)</f>
        <v>3.46719401660645</v>
      </c>
      <c r="R61" s="26">
        <f>IF(SUM(S39:$AE39)&lt;$B19,R39,0)</f>
        <v>1.78666630447577</v>
      </c>
      <c r="S61" s="26">
        <f>IF(SUM(T39:$AE39)&lt;$B19,S39,0)</f>
        <v>1.78666630447577</v>
      </c>
      <c r="T61" s="26">
        <f>IF(SUM(U39:$AE39)&lt;$B19,T39,0)</f>
        <v>5.4286768261212</v>
      </c>
      <c r="U61" s="26">
        <f>IF(SUM(V39:$AE39)&lt;$B19,U39,0)</f>
        <v>1.78666630447577</v>
      </c>
      <c r="V61" s="26">
        <f>IF(SUM(W39:$AE39)&lt;$B19,V39,0)</f>
        <v>1.78666630447577</v>
      </c>
      <c r="W61" s="26">
        <f>IF(SUM(X39:$AE39)&lt;$B19,W39,0)</f>
        <v>1.78666630447578</v>
      </c>
      <c r="X61" s="26">
        <f>IF(SUM(Y39:$AE39)&lt;$B19,X39,0)</f>
        <v>0</v>
      </c>
      <c r="Y61" s="26">
        <f>IF(SUM(Z39:$AE39)&lt;$B19,Y39,0)</f>
        <v>0</v>
      </c>
      <c r="Z61" s="26">
        <f>IF(SUM(AA39:$AE39)&lt;$B19,Z39,0)</f>
        <v>0</v>
      </c>
      <c r="AA61" s="26">
        <f>IF(SUM(AB39:$AE39)&lt;$B19,AA39,0)</f>
        <v>0</v>
      </c>
      <c r="AB61" s="26">
        <f>IF(SUM(AC39:$AE39)&lt;$B19,AB39,0)</f>
        <v>0</v>
      </c>
      <c r="AC61" s="26">
        <f>IF(SUM(AD39:$AE39)&lt;$B19,AC39,0)</f>
        <v>0</v>
      </c>
      <c r="AD61" s="26">
        <f>IF(SUM(AE39:$AE39)&lt;$B19,AD39,0)</f>
        <v>0</v>
      </c>
      <c r="AE61" s="26">
        <f>IF(SUM(AE39:$AE39)&lt;$B19,AE39,0)</f>
        <v>0</v>
      </c>
      <c r="AG61" s="22" t="s">
        <v>2382</v>
      </c>
      <c r="AH61" s="31">
        <f t="shared" si="7"/>
        <v>-2.49477720732708</v>
      </c>
    </row>
    <row r="62" spans="1:34">
      <c r="A62" s="22" t="s">
        <v>2383</v>
      </c>
      <c r="B62" s="30">
        <f>IF(SUM(C40:$AE40)&lt;$B20,B40,0)</f>
        <v>0</v>
      </c>
      <c r="C62" s="26">
        <f>IF(SUM(D40:$AE40)&lt;$B20,C40,0)</f>
        <v>87.8665179420314</v>
      </c>
      <c r="D62" s="26">
        <f>IF(SUM(E40:$AE40)&lt;$B20,D40,0)</f>
        <v>87.8665179420314</v>
      </c>
      <c r="E62" s="26">
        <f>IF(SUM(F40:$AE40)&lt;$B20,E40,0)</f>
        <v>87.8665179420314</v>
      </c>
      <c r="F62" s="26">
        <f>IF(SUM(G40:$AE40)&lt;$B20,F40,0)</f>
        <v>87.8665179420314</v>
      </c>
      <c r="G62" s="26">
        <f>IF(SUM(H40:$AE40)&lt;$B20,G40,0)</f>
        <v>87.8665179420314</v>
      </c>
      <c r="H62" s="26">
        <f>IF(SUM(I40:$AE40)&lt;$B20,H40,0)</f>
        <v>87.8665179420314</v>
      </c>
      <c r="I62" s="26">
        <f>IF(SUM(J40:$AE40)&lt;$B20,I40,0)</f>
        <v>87.8665179420314</v>
      </c>
      <c r="J62" s="26">
        <f>IF(SUM(K40:$AE40)&lt;$B20,J40,0)</f>
        <v>87.8665179420314</v>
      </c>
      <c r="K62" s="26">
        <f>IF(SUM(L40:$AE40)&lt;$B20,K40,0)</f>
        <v>87.8665179420314</v>
      </c>
      <c r="L62" s="26">
        <f>IF(SUM(M40:$AE40)&lt;$B20,L40,0)</f>
        <v>87.8665179420314</v>
      </c>
      <c r="M62" s="26">
        <f>IF(SUM(N40:$AE40)&lt;$B20,M40,0)</f>
        <v>87.8665179420314</v>
      </c>
      <c r="N62" s="26">
        <f>IF(SUM(O40:$AE40)&lt;$B20,N40,0)</f>
        <v>31.7053785347568</v>
      </c>
      <c r="O62" s="26">
        <f>IF(SUM(P40:$AE40)&lt;$B20,O40,0)</f>
        <v>24.7221321272377</v>
      </c>
      <c r="P62" s="26">
        <f>IF(SUM(Q40:$AE40)&lt;$B20,P40,0)</f>
        <v>24.7221321272377</v>
      </c>
      <c r="Q62" s="26">
        <f>IF(SUM(R40:$AE40)&lt;$B20,Q40,0)</f>
        <v>47.9756227419662</v>
      </c>
      <c r="R62" s="26">
        <f>IF(SUM(S40:$AE40)&lt;$B20,R40,0)</f>
        <v>24.7221321272377</v>
      </c>
      <c r="S62" s="26">
        <f>IF(SUM(T40:$AE40)&lt;$B20,S40,0)</f>
        <v>24.7221321272377</v>
      </c>
      <c r="T62" s="26">
        <f>IF(SUM(U40:$AE40)&lt;$B20,T40,0)</f>
        <v>75.1166938309836</v>
      </c>
      <c r="U62" s="26">
        <f>IF(SUM(V40:$AE40)&lt;$B20,U40,0)</f>
        <v>24.7221321272377</v>
      </c>
      <c r="V62" s="26">
        <f>IF(SUM(W40:$AE40)&lt;$B20,V40,0)</f>
        <v>24.7221321272377</v>
      </c>
      <c r="W62" s="26">
        <f>IF(SUM(X40:$AE40)&lt;$B20,W40,0)</f>
        <v>24.7221321272377</v>
      </c>
      <c r="X62" s="26">
        <f>IF(SUM(Y40:$AE40)&lt;$B20,X40,0)</f>
        <v>0</v>
      </c>
      <c r="Y62" s="26">
        <f>IF(SUM(Z40:$AE40)&lt;$B20,Y40,0)</f>
        <v>0</v>
      </c>
      <c r="Z62" s="26">
        <f>IF(SUM(AA40:$AE40)&lt;$B20,Z40,0)</f>
        <v>0</v>
      </c>
      <c r="AA62" s="26">
        <f>IF(SUM(AB40:$AE40)&lt;$B20,AA40,0)</f>
        <v>0</v>
      </c>
      <c r="AB62" s="26">
        <f>IF(SUM(AC40:$AE40)&lt;$B20,AB40,0)</f>
        <v>0</v>
      </c>
      <c r="AC62" s="26">
        <f>IF(SUM(AD40:$AE40)&lt;$B20,AC40,0)</f>
        <v>0</v>
      </c>
      <c r="AD62" s="26">
        <f>IF(SUM(AE40:$AE40)&lt;$B20,AD40,0)</f>
        <v>0</v>
      </c>
      <c r="AE62" s="26">
        <f>IF(SUM(AE40:$AE40)&lt;$B20,AE40,0)</f>
        <v>0</v>
      </c>
      <c r="AG62" s="22" t="s">
        <v>2383</v>
      </c>
      <c r="AH62" s="31">
        <f t="shared" si="7"/>
        <v>-34.5202747670655</v>
      </c>
    </row>
    <row r="63" spans="1:34">
      <c r="A63" s="22" t="s">
        <v>2384</v>
      </c>
      <c r="B63" s="30">
        <f>IF(SUM(C41:$AE41)&lt;$B21,B41,0)</f>
        <v>0</v>
      </c>
      <c r="C63" s="30">
        <f>IF(SUM(D41:$AE41)&lt;$B21,C41,0)</f>
        <v>0</v>
      </c>
      <c r="D63" s="30">
        <f>IF(SUM(E41:$AE41)&lt;$B21,D41,0)</f>
        <v>0</v>
      </c>
      <c r="E63" s="30">
        <f>IF(SUM(F41:$AE41)&lt;$B21,E41,0)</f>
        <v>0</v>
      </c>
      <c r="F63" s="30">
        <f>IF(SUM(G41:$AE41)&lt;$B21,F41,0)</f>
        <v>0</v>
      </c>
      <c r="G63" s="30">
        <f>IF(SUM(H41:$AE41)&lt;$B21,G41,0)</f>
        <v>0</v>
      </c>
      <c r="H63" s="30">
        <f>IF(SUM(I41:$AE41)&lt;$B21,H41,0)</f>
        <v>0</v>
      </c>
      <c r="I63" s="30">
        <f>IF(SUM(J41:$AE41)&lt;$B21,I41,0)</f>
        <v>0</v>
      </c>
      <c r="J63" s="30">
        <f>IF(SUM(K41:$AE41)&lt;$B21,J41,0)</f>
        <v>0</v>
      </c>
      <c r="K63" s="30">
        <f>IF(SUM(L41:$AE41)&lt;$B21,K41,0)</f>
        <v>0</v>
      </c>
      <c r="L63" s="30">
        <f>IF(SUM(M41:$AE41)&lt;$B21,L41,0)</f>
        <v>0</v>
      </c>
      <c r="M63" s="26">
        <f>IF(SUM(N41:$AE41)&lt;$B21,M41,0)</f>
        <v>514.75</v>
      </c>
      <c r="N63" s="26">
        <f>IF(SUM(O41:$AE41)&lt;$B21,N41,0)</f>
        <v>514.75</v>
      </c>
      <c r="O63" s="26">
        <f>IF(SUM(P41:$AE41)&lt;$B21,O41,0)</f>
        <v>514.75</v>
      </c>
      <c r="P63" s="26">
        <f>IF(SUM(Q41:$AE41)&lt;$B21,P41,0)</f>
        <v>514.75</v>
      </c>
      <c r="Q63" s="26">
        <f>IF(SUM(R41:$AE41)&lt;$B21,Q41,0)</f>
        <v>514.75</v>
      </c>
      <c r="R63" s="26">
        <f>IF(SUM(S41:$AE41)&lt;$B21,R41,0)</f>
        <v>514.75</v>
      </c>
      <c r="S63" s="26">
        <f>IF(SUM(T41:$AE41)&lt;$B21,S41,0)</f>
        <v>514.75</v>
      </c>
      <c r="T63" s="26">
        <f>IF(SUM(U41:$AE41)&lt;$B21,T41,0)</f>
        <v>514.75</v>
      </c>
      <c r="U63" s="26">
        <f>IF(SUM(V41:$AE41)&lt;$B21,U41,0)</f>
        <v>232.5</v>
      </c>
      <c r="V63" s="26">
        <f>IF(SUM(W41:$AE41)&lt;$B21,V41,0)</f>
        <v>433</v>
      </c>
      <c r="W63" s="26">
        <f>IF(SUM(X41:$AE41)&lt;$B21,W41,0)</f>
        <v>654</v>
      </c>
      <c r="X63" s="26">
        <f>IF(SUM(Y41:$AE41)&lt;$B21,X41,0)</f>
        <v>786.8</v>
      </c>
      <c r="Y63" s="26">
        <f>IF(SUM(Z41:$AE41)&lt;$B21,Y41,0)</f>
        <v>574.8</v>
      </c>
      <c r="Z63" s="26">
        <f>IF(SUM(AA41:$AE41)&lt;$B21,Z41,0)</f>
        <v>705.2</v>
      </c>
      <c r="AA63" s="26">
        <f>IF(SUM(AB41:$AE41)&lt;$B21,AA41,0)</f>
        <v>474</v>
      </c>
      <c r="AB63" s="26">
        <f>IF(SUM(AC41:$AE41)&lt;$B21,AB41,0)</f>
        <v>633.5</v>
      </c>
      <c r="AC63" s="26">
        <f>IF(SUM(AD41:$AE41)&lt;$B21,AC41,0)</f>
        <v>810</v>
      </c>
      <c r="AD63" s="26">
        <f>IF(SUM(AE41:$AE41)&lt;$B21,AD41,0)</f>
        <v>952.6</v>
      </c>
      <c r="AE63" s="26">
        <f>IF(SUM(AE41:$AE41)&lt;$B21,AE41,0)</f>
        <v>1189.5</v>
      </c>
      <c r="AG63" s="22" t="s">
        <v>2384</v>
      </c>
      <c r="AH63" s="31">
        <f t="shared" si="7"/>
        <v>166.1</v>
      </c>
    </row>
    <row r="65" ht="13.1" spans="1:31">
      <c r="A65" s="29" t="s">
        <v>2392</v>
      </c>
    </row>
    <row r="66" spans="1:31">
      <c r="A66" s="21" t="str">
        <f t="shared" ref="A66:P82" si="8">A47</f>
        <v>Gen Type</v>
      </c>
      <c r="B66" s="22">
        <f t="shared" si="8"/>
        <v>1990</v>
      </c>
      <c r="C66" s="22">
        <f t="shared" si="8"/>
        <v>1991</v>
      </c>
      <c r="D66" s="22">
        <f t="shared" si="8"/>
        <v>1992</v>
      </c>
      <c r="E66" s="22">
        <f t="shared" si="8"/>
        <v>1993</v>
      </c>
      <c r="F66" s="22">
        <f t="shared" si="8"/>
        <v>1994</v>
      </c>
      <c r="G66" s="22">
        <f t="shared" si="8"/>
        <v>1995</v>
      </c>
      <c r="H66" s="22">
        <f t="shared" si="8"/>
        <v>1996</v>
      </c>
      <c r="I66" s="22">
        <f t="shared" si="8"/>
        <v>1997</v>
      </c>
      <c r="J66" s="22">
        <f t="shared" si="8"/>
        <v>1998</v>
      </c>
      <c r="K66" s="22">
        <f t="shared" si="8"/>
        <v>1999</v>
      </c>
      <c r="L66" s="22">
        <f t="shared" si="8"/>
        <v>2000</v>
      </c>
      <c r="M66" s="22">
        <f t="shared" si="8"/>
        <v>2001</v>
      </c>
      <c r="N66" s="22">
        <f t="shared" si="8"/>
        <v>2002</v>
      </c>
      <c r="O66" s="22">
        <f t="shared" si="8"/>
        <v>2003</v>
      </c>
      <c r="P66" s="22">
        <f t="shared" si="8"/>
        <v>2004</v>
      </c>
      <c r="Q66" s="22">
        <f t="shared" ref="Q66:AE66" si="9">Q47</f>
        <v>2005</v>
      </c>
      <c r="R66" s="22">
        <f t="shared" si="9"/>
        <v>2006</v>
      </c>
      <c r="S66" s="22">
        <f t="shared" si="9"/>
        <v>2007</v>
      </c>
      <c r="T66" s="22">
        <f t="shared" si="9"/>
        <v>2008</v>
      </c>
      <c r="U66" s="22">
        <f t="shared" si="9"/>
        <v>2009</v>
      </c>
      <c r="V66" s="22">
        <f t="shared" si="9"/>
        <v>2010</v>
      </c>
      <c r="W66" s="22">
        <f t="shared" si="9"/>
        <v>2011</v>
      </c>
      <c r="X66" s="22">
        <f t="shared" si="9"/>
        <v>2012</v>
      </c>
      <c r="Y66" s="22">
        <f t="shared" si="9"/>
        <v>2013</v>
      </c>
      <c r="Z66" s="22">
        <f t="shared" si="9"/>
        <v>2014</v>
      </c>
      <c r="AA66" s="22">
        <f t="shared" si="9"/>
        <v>2015</v>
      </c>
      <c r="AB66" s="22">
        <f t="shared" si="9"/>
        <v>2016</v>
      </c>
      <c r="AC66" s="22">
        <f t="shared" si="9"/>
        <v>2017</v>
      </c>
      <c r="AD66" s="22">
        <f t="shared" si="9"/>
        <v>2018</v>
      </c>
      <c r="AE66" s="22">
        <f t="shared" si="9"/>
        <v>2019</v>
      </c>
    </row>
    <row r="67" spans="1:31">
      <c r="A67" s="22" t="str">
        <f t="shared" si="8"/>
        <v>hard coal</v>
      </c>
      <c r="B67" s="30">
        <f>IF(B48=0,0,B48+$AH48)</f>
        <v>0</v>
      </c>
      <c r="C67" s="30">
        <f t="shared" ref="C67:L67" si="10">IF(C48=0,0,C48+$AH48)</f>
        <v>0</v>
      </c>
      <c r="D67" s="30">
        <f t="shared" si="10"/>
        <v>0</v>
      </c>
      <c r="E67" s="30">
        <f t="shared" si="10"/>
        <v>0</v>
      </c>
      <c r="F67" s="30">
        <f t="shared" si="10"/>
        <v>0</v>
      </c>
      <c r="G67" s="30">
        <f t="shared" si="10"/>
        <v>0</v>
      </c>
      <c r="H67" s="30">
        <f t="shared" si="10"/>
        <v>0</v>
      </c>
      <c r="I67" s="30">
        <f t="shared" si="10"/>
        <v>0</v>
      </c>
      <c r="J67" s="30">
        <f t="shared" si="10"/>
        <v>0</v>
      </c>
      <c r="K67" s="30">
        <f t="shared" si="10"/>
        <v>0</v>
      </c>
      <c r="L67" s="30">
        <f t="shared" si="10"/>
        <v>518.099333333084</v>
      </c>
      <c r="M67" s="26">
        <f t="shared" ref="M67:AE67" si="11">M48</f>
        <v>15510.2416666667</v>
      </c>
      <c r="N67" s="26">
        <f t="shared" si="11"/>
        <v>14340.25</v>
      </c>
      <c r="O67" s="26">
        <f t="shared" si="11"/>
        <v>23873.05</v>
      </c>
      <c r="P67" s="26">
        <f t="shared" si="11"/>
        <v>45933.375</v>
      </c>
      <c r="Q67" s="26">
        <f t="shared" si="11"/>
        <v>60327</v>
      </c>
      <c r="R67" s="26">
        <f t="shared" si="11"/>
        <v>92699</v>
      </c>
      <c r="S67" s="26">
        <f t="shared" si="11"/>
        <v>89132.345</v>
      </c>
      <c r="T67" s="26">
        <f t="shared" si="11"/>
        <v>70989.9865555555</v>
      </c>
      <c r="U67" s="26">
        <f t="shared" si="11"/>
        <v>72437.0865555556</v>
      </c>
      <c r="V67" s="26">
        <f t="shared" si="11"/>
        <v>64840.9865555556</v>
      </c>
      <c r="W67" s="26">
        <f t="shared" si="11"/>
        <v>67105.9865555556</v>
      </c>
      <c r="X67" s="26">
        <f t="shared" si="11"/>
        <v>56889.3865555556</v>
      </c>
      <c r="Y67" s="26">
        <f t="shared" si="11"/>
        <v>44438.4865555556</v>
      </c>
      <c r="Z67" s="26">
        <f t="shared" si="11"/>
        <v>45250.2865555555</v>
      </c>
      <c r="AA67" s="26">
        <f t="shared" si="11"/>
        <v>64592.1865555556</v>
      </c>
      <c r="AB67" s="26">
        <f t="shared" si="11"/>
        <v>50227.9865555556</v>
      </c>
      <c r="AC67" s="26">
        <f t="shared" si="11"/>
        <v>45106.22</v>
      </c>
      <c r="AD67" s="26">
        <f t="shared" si="11"/>
        <v>40627.02</v>
      </c>
      <c r="AE67" s="26">
        <f t="shared" si="11"/>
        <v>41030.02</v>
      </c>
    </row>
    <row r="68" spans="1:31">
      <c r="A68" s="32" t="str">
        <f t="shared" si="8"/>
        <v>natural gas nonpeaker</v>
      </c>
      <c r="B68" s="30">
        <f t="shared" ref="B68:L68" si="12">IF(B49=0,0,B49+$AH49)</f>
        <v>0</v>
      </c>
      <c r="C68" s="30">
        <f t="shared" si="12"/>
        <v>0</v>
      </c>
      <c r="D68" s="30">
        <f t="shared" si="12"/>
        <v>0</v>
      </c>
      <c r="E68" s="30">
        <f t="shared" si="12"/>
        <v>0</v>
      </c>
      <c r="F68" s="30">
        <f t="shared" si="12"/>
        <v>0</v>
      </c>
      <c r="G68" s="30">
        <f t="shared" si="12"/>
        <v>0</v>
      </c>
      <c r="H68" s="30">
        <f t="shared" si="12"/>
        <v>0</v>
      </c>
      <c r="I68" s="30">
        <f t="shared" si="12"/>
        <v>0</v>
      </c>
      <c r="J68" s="30">
        <f t="shared" si="12"/>
        <v>0</v>
      </c>
      <c r="K68" s="30">
        <f t="shared" si="12"/>
        <v>0</v>
      </c>
      <c r="L68" s="30">
        <f t="shared" si="12"/>
        <v>76.1040000000104</v>
      </c>
      <c r="M68" s="26">
        <f t="shared" ref="M68:U68" si="13">M49</f>
        <v>250.46</v>
      </c>
      <c r="N68" s="26">
        <f t="shared" si="13"/>
        <v>271.46</v>
      </c>
      <c r="O68" s="26">
        <f t="shared" si="13"/>
        <v>282.1</v>
      </c>
      <c r="P68" s="26">
        <f t="shared" si="13"/>
        <v>0</v>
      </c>
      <c r="Q68" s="26">
        <f t="shared" si="13"/>
        <v>2075.99</v>
      </c>
      <c r="R68" s="26">
        <f t="shared" si="13"/>
        <v>3130.19</v>
      </c>
      <c r="S68" s="26">
        <f t="shared" si="13"/>
        <v>2853.403</v>
      </c>
      <c r="T68" s="26">
        <f t="shared" si="13"/>
        <v>990.577</v>
      </c>
      <c r="U68" s="26">
        <f t="shared" si="13"/>
        <v>2589.72</v>
      </c>
      <c r="V68" s="33">
        <f t="shared" ref="V68:AD68" si="14">V49+$AH49/10</f>
        <v>2061.0044</v>
      </c>
      <c r="W68" s="33">
        <f t="shared" si="14"/>
        <v>1654.4444</v>
      </c>
      <c r="X68" s="33">
        <f t="shared" si="14"/>
        <v>2231.6644</v>
      </c>
      <c r="Y68" s="33">
        <f t="shared" si="14"/>
        <v>4965.7244</v>
      </c>
      <c r="Z68" s="33">
        <f t="shared" si="14"/>
        <v>9113.7144</v>
      </c>
      <c r="AA68" s="33">
        <f t="shared" si="14"/>
        <v>8573.0344</v>
      </c>
      <c r="AB68" s="33">
        <f t="shared" si="14"/>
        <v>5222.2044</v>
      </c>
      <c r="AC68" s="33">
        <f t="shared" si="14"/>
        <v>4792.0964</v>
      </c>
      <c r="AD68" s="33">
        <f t="shared" si="14"/>
        <v>6977.8464</v>
      </c>
      <c r="AE68" s="33">
        <f t="shared" ref="AE68" si="15">AE49+$AH49/10</f>
        <v>4898.7064</v>
      </c>
    </row>
    <row r="69" spans="1:31">
      <c r="A69" s="22" t="str">
        <f t="shared" si="8"/>
        <v>nuclear</v>
      </c>
      <c r="B69" s="30">
        <f t="shared" ref="B69:N69" si="16">IF(B50=0,0,B50+$AH50)</f>
        <v>0</v>
      </c>
      <c r="C69" s="30">
        <f t="shared" si="16"/>
        <v>0</v>
      </c>
      <c r="D69" s="30">
        <f t="shared" si="16"/>
        <v>0</v>
      </c>
      <c r="E69" s="30">
        <f t="shared" si="16"/>
        <v>964.639999999985</v>
      </c>
      <c r="F69" s="30">
        <f t="shared" si="16"/>
        <v>964.639999999985</v>
      </c>
      <c r="G69" s="30">
        <f t="shared" si="16"/>
        <v>0</v>
      </c>
      <c r="H69" s="30">
        <f t="shared" si="16"/>
        <v>0</v>
      </c>
      <c r="I69" s="30">
        <f t="shared" si="16"/>
        <v>0</v>
      </c>
      <c r="J69" s="30">
        <f t="shared" si="16"/>
        <v>0</v>
      </c>
      <c r="K69" s="30">
        <f t="shared" si="16"/>
        <v>0</v>
      </c>
      <c r="L69" s="30">
        <f t="shared" si="16"/>
        <v>0</v>
      </c>
      <c r="M69" s="30">
        <f t="shared" si="16"/>
        <v>0</v>
      </c>
      <c r="N69" s="30">
        <f t="shared" si="16"/>
        <v>3338.63999999998</v>
      </c>
      <c r="O69" s="26">
        <f t="shared" ref="O69:AE69" si="17">O50</f>
        <v>728</v>
      </c>
      <c r="P69" s="26">
        <f t="shared" si="17"/>
        <v>650</v>
      </c>
      <c r="Q69" s="26">
        <f t="shared" si="17"/>
        <v>0</v>
      </c>
      <c r="R69" s="26">
        <f t="shared" si="17"/>
        <v>1060</v>
      </c>
      <c r="S69" s="26">
        <f t="shared" si="17"/>
        <v>1060</v>
      </c>
      <c r="T69" s="26">
        <f t="shared" si="17"/>
        <v>33.8888888888889</v>
      </c>
      <c r="U69" s="26">
        <f t="shared" si="17"/>
        <v>33.8888888888889</v>
      </c>
      <c r="V69" s="26">
        <f t="shared" si="17"/>
        <v>1779.88888888889</v>
      </c>
      <c r="W69" s="26">
        <f t="shared" si="17"/>
        <v>1779.88888888889</v>
      </c>
      <c r="X69" s="26">
        <f t="shared" si="17"/>
        <v>1122.88888888889</v>
      </c>
      <c r="Y69" s="26">
        <f t="shared" si="17"/>
        <v>3357.46888888889</v>
      </c>
      <c r="Z69" s="26">
        <f t="shared" si="17"/>
        <v>3300.88888888889</v>
      </c>
      <c r="AA69" s="26">
        <f t="shared" si="17"/>
        <v>8327.67888888889</v>
      </c>
      <c r="AB69" s="26">
        <f t="shared" si="17"/>
        <v>5066.67888888889</v>
      </c>
      <c r="AC69" s="26">
        <f t="shared" si="17"/>
        <v>3309.4</v>
      </c>
      <c r="AD69" s="26">
        <f t="shared" si="17"/>
        <v>8978.4</v>
      </c>
      <c r="AE69" s="26">
        <f t="shared" si="17"/>
        <v>2844.4</v>
      </c>
    </row>
    <row r="70" spans="1:31">
      <c r="A70" s="22" t="str">
        <f t="shared" si="8"/>
        <v>hydro</v>
      </c>
      <c r="B70" s="30">
        <f>IF(B51=0,0,B51+$AH51)</f>
        <v>0</v>
      </c>
      <c r="C70" s="30">
        <f t="shared" ref="C70:J70" si="18">IF(C51=0,0,C51+$AH51)</f>
        <v>0</v>
      </c>
      <c r="D70" s="30">
        <f t="shared" si="18"/>
        <v>0</v>
      </c>
      <c r="E70" s="30">
        <f t="shared" si="18"/>
        <v>0</v>
      </c>
      <c r="F70" s="30">
        <f t="shared" si="18"/>
        <v>0</v>
      </c>
      <c r="G70" s="30">
        <f t="shared" si="18"/>
        <v>0</v>
      </c>
      <c r="H70" s="30">
        <f t="shared" si="18"/>
        <v>0</v>
      </c>
      <c r="I70" s="30">
        <f t="shared" si="18"/>
        <v>0</v>
      </c>
      <c r="J70" s="30">
        <f t="shared" si="18"/>
        <v>0</v>
      </c>
      <c r="K70" s="30">
        <f t="shared" ref="E70:P70" si="19">IF(K51=0,0,K51+$AH51)</f>
        <v>0</v>
      </c>
      <c r="L70" s="30">
        <f t="shared" si="19"/>
        <v>0</v>
      </c>
      <c r="M70" s="30">
        <f t="shared" si="19"/>
        <v>0</v>
      </c>
      <c r="N70" s="30">
        <f t="shared" si="19"/>
        <v>0</v>
      </c>
      <c r="O70" s="30">
        <f t="shared" si="19"/>
        <v>0</v>
      </c>
      <c r="P70" s="30">
        <f t="shared" si="19"/>
        <v>4229.46900000019</v>
      </c>
      <c r="Q70" s="26">
        <f t="shared" ref="Q70:AE70" si="20">Q51</f>
        <v>14272.65</v>
      </c>
      <c r="R70" s="26">
        <f t="shared" si="20"/>
        <v>13552</v>
      </c>
      <c r="S70" s="26">
        <f t="shared" si="20"/>
        <v>20481.115</v>
      </c>
      <c r="T70" s="26">
        <f t="shared" si="20"/>
        <v>7112.99622222222</v>
      </c>
      <c r="U70" s="26">
        <f t="shared" si="20"/>
        <v>13588.9962222222</v>
      </c>
      <c r="V70" s="26">
        <f t="shared" si="20"/>
        <v>18432.0962222222</v>
      </c>
      <c r="W70" s="26">
        <f t="shared" si="20"/>
        <v>18479.6962222222</v>
      </c>
      <c r="X70" s="26">
        <f t="shared" si="20"/>
        <v>18393.6762222222</v>
      </c>
      <c r="Y70" s="26">
        <f t="shared" si="20"/>
        <v>20252.4962222222</v>
      </c>
      <c r="Z70" s="26">
        <f t="shared" si="20"/>
        <v>31412.4862222222</v>
      </c>
      <c r="AA70" s="26">
        <f t="shared" si="20"/>
        <v>38505.1862222222</v>
      </c>
      <c r="AB70" s="26">
        <f t="shared" si="20"/>
        <v>25657.0962222222</v>
      </c>
      <c r="AC70" s="26">
        <f t="shared" si="20"/>
        <v>21789.48</v>
      </c>
      <c r="AD70" s="26">
        <f t="shared" si="20"/>
        <v>31524.68</v>
      </c>
      <c r="AE70" s="26">
        <f t="shared" si="20"/>
        <v>29842.88</v>
      </c>
    </row>
    <row r="71" spans="1:31">
      <c r="A71" s="32" t="str">
        <f t="shared" si="8"/>
        <v>onshore wind</v>
      </c>
      <c r="B71" s="30">
        <f t="shared" ref="B71:B76" si="21">IF(B52=0,0,B52+$AH52)</f>
        <v>0</v>
      </c>
      <c r="C71" s="30">
        <f t="shared" ref="C71:J71" si="22">IF(C52=0,0,C52+$AH52)</f>
        <v>0</v>
      </c>
      <c r="D71" s="30">
        <f t="shared" si="22"/>
        <v>0</v>
      </c>
      <c r="E71" s="30">
        <f t="shared" si="22"/>
        <v>0</v>
      </c>
      <c r="F71" s="30">
        <f t="shared" si="22"/>
        <v>0</v>
      </c>
      <c r="G71" s="30">
        <f t="shared" si="22"/>
        <v>0</v>
      </c>
      <c r="H71" s="30">
        <f t="shared" si="22"/>
        <v>0</v>
      </c>
      <c r="I71" s="30">
        <f t="shared" si="22"/>
        <v>0</v>
      </c>
      <c r="J71" s="30">
        <f t="shared" si="22"/>
        <v>0</v>
      </c>
      <c r="K71" s="30">
        <f t="shared" ref="K71:U71" si="23">IF(K52=0,0,K52+$AH52)</f>
        <v>0</v>
      </c>
      <c r="L71" s="30">
        <f t="shared" si="23"/>
        <v>0</v>
      </c>
      <c r="M71" s="30">
        <f t="shared" si="23"/>
        <v>0</v>
      </c>
      <c r="N71" s="30">
        <f t="shared" si="23"/>
        <v>0</v>
      </c>
      <c r="O71" s="30">
        <f t="shared" si="23"/>
        <v>0</v>
      </c>
      <c r="P71" s="30">
        <f t="shared" si="23"/>
        <v>0</v>
      </c>
      <c r="Q71" s="30">
        <f t="shared" si="23"/>
        <v>0</v>
      </c>
      <c r="R71" s="30">
        <f t="shared" si="23"/>
        <v>0</v>
      </c>
      <c r="S71" s="30">
        <f t="shared" si="23"/>
        <v>0</v>
      </c>
      <c r="T71" s="30">
        <f t="shared" si="23"/>
        <v>0</v>
      </c>
      <c r="U71" s="30">
        <f t="shared" si="23"/>
        <v>8045.1822222222</v>
      </c>
      <c r="V71" s="33">
        <f t="shared" ref="P71:AE71" si="24">V52+$AH52/16</f>
        <v>14917.4343055555</v>
      </c>
      <c r="W71" s="33">
        <f t="shared" si="24"/>
        <v>15527.7343055555</v>
      </c>
      <c r="X71" s="33">
        <f t="shared" si="24"/>
        <v>13289.4343055555</v>
      </c>
      <c r="Y71" s="33">
        <f t="shared" si="24"/>
        <v>14566.6009722222</v>
      </c>
      <c r="Z71" s="33">
        <f t="shared" si="24"/>
        <v>20800.0343055555</v>
      </c>
      <c r="AA71" s="33">
        <f t="shared" si="24"/>
        <v>30869.9009722222</v>
      </c>
      <c r="AB71" s="33">
        <f t="shared" si="24"/>
        <v>18998.7009722222</v>
      </c>
      <c r="AC71" s="33">
        <f t="shared" si="24"/>
        <v>17712.2031944444</v>
      </c>
      <c r="AD71" s="33">
        <f t="shared" si="24"/>
        <v>21778.4031944444</v>
      </c>
      <c r="AE71" s="33">
        <f t="shared" si="24"/>
        <v>26230.6031944444</v>
      </c>
    </row>
    <row r="72" spans="1:31">
      <c r="A72" s="32" t="str">
        <f t="shared" si="8"/>
        <v>solar PV</v>
      </c>
      <c r="B72" s="30">
        <f t="shared" si="21"/>
        <v>0</v>
      </c>
      <c r="C72" s="30">
        <f t="shared" ref="C72:V72" si="25">IF(C53=0,0,C53+$AH53)</f>
        <v>0</v>
      </c>
      <c r="D72" s="30">
        <f t="shared" si="25"/>
        <v>0</v>
      </c>
      <c r="E72" s="30">
        <f t="shared" si="25"/>
        <v>0</v>
      </c>
      <c r="F72" s="30">
        <f t="shared" si="25"/>
        <v>0</v>
      </c>
      <c r="G72" s="30">
        <f t="shared" si="25"/>
        <v>0</v>
      </c>
      <c r="H72" s="30">
        <f t="shared" si="25"/>
        <v>0</v>
      </c>
      <c r="I72" s="30">
        <f t="shared" si="25"/>
        <v>0</v>
      </c>
      <c r="J72" s="30">
        <f t="shared" si="25"/>
        <v>0</v>
      </c>
      <c r="K72" s="30">
        <f t="shared" si="25"/>
        <v>0</v>
      </c>
      <c r="L72" s="30">
        <f t="shared" si="25"/>
        <v>0</v>
      </c>
      <c r="M72" s="30">
        <f t="shared" si="25"/>
        <v>0</v>
      </c>
      <c r="N72" s="30">
        <f t="shared" si="25"/>
        <v>0</v>
      </c>
      <c r="O72" s="30">
        <f t="shared" si="25"/>
        <v>0</v>
      </c>
      <c r="P72" s="30">
        <f t="shared" si="25"/>
        <v>0</v>
      </c>
      <c r="Q72" s="30">
        <f t="shared" si="25"/>
        <v>0</v>
      </c>
      <c r="R72" s="30">
        <f t="shared" si="25"/>
        <v>0</v>
      </c>
      <c r="S72" s="30">
        <f t="shared" si="25"/>
        <v>0</v>
      </c>
      <c r="T72" s="30">
        <f t="shared" si="25"/>
        <v>0</v>
      </c>
      <c r="U72" s="30">
        <f t="shared" si="25"/>
        <v>0</v>
      </c>
      <c r="V72" s="30">
        <f t="shared" si="25"/>
        <v>25.018</v>
      </c>
      <c r="W72" s="33">
        <f t="shared" ref="V72:AD72" si="26">W53+$AH53/10</f>
        <v>1900.21</v>
      </c>
      <c r="X72" s="33">
        <f t="shared" si="26"/>
        <v>1146.566</v>
      </c>
      <c r="Y72" s="33">
        <f t="shared" si="26"/>
        <v>11545.872</v>
      </c>
      <c r="Z72" s="33">
        <f t="shared" si="26"/>
        <v>8510.334</v>
      </c>
      <c r="AA72" s="33">
        <f t="shared" si="26"/>
        <v>13422</v>
      </c>
      <c r="AB72" s="33">
        <f t="shared" si="26"/>
        <v>30282</v>
      </c>
      <c r="AC72" s="33">
        <f t="shared" si="26"/>
        <v>30597</v>
      </c>
      <c r="AD72" s="33">
        <f t="shared" si="26"/>
        <v>26697</v>
      </c>
      <c r="AE72" s="33">
        <f t="shared" ref="AE72:AE73" si="27">AE53+$AH53/10</f>
        <v>17382</v>
      </c>
    </row>
    <row r="73" spans="1:31">
      <c r="A73" s="32" t="str">
        <f t="shared" si="8"/>
        <v>solar thermal</v>
      </c>
      <c r="B73" s="26">
        <v>0</v>
      </c>
      <c r="C73" s="26">
        <f t="shared" ref="C73:U73" si="28">C54</f>
        <v>0</v>
      </c>
      <c r="D73" s="26">
        <f t="shared" si="28"/>
        <v>0</v>
      </c>
      <c r="E73" s="26">
        <f t="shared" si="28"/>
        <v>0</v>
      </c>
      <c r="F73" s="26">
        <f t="shared" si="28"/>
        <v>0</v>
      </c>
      <c r="G73" s="26">
        <f t="shared" si="28"/>
        <v>0</v>
      </c>
      <c r="H73" s="26">
        <f t="shared" si="28"/>
        <v>0</v>
      </c>
      <c r="I73" s="26">
        <f t="shared" si="28"/>
        <v>0</v>
      </c>
      <c r="J73" s="26">
        <f t="shared" si="28"/>
        <v>0</v>
      </c>
      <c r="K73" s="26">
        <f t="shared" si="28"/>
        <v>0</v>
      </c>
      <c r="L73" s="26">
        <f t="shared" si="28"/>
        <v>0</v>
      </c>
      <c r="M73" s="26">
        <f t="shared" si="28"/>
        <v>0</v>
      </c>
      <c r="N73" s="26">
        <f t="shared" si="28"/>
        <v>0</v>
      </c>
      <c r="O73" s="26">
        <f t="shared" si="28"/>
        <v>0</v>
      </c>
      <c r="P73" s="26">
        <f t="shared" si="28"/>
        <v>0</v>
      </c>
      <c r="Q73" s="26">
        <f t="shared" si="28"/>
        <v>0</v>
      </c>
      <c r="R73" s="26">
        <f t="shared" si="28"/>
        <v>0</v>
      </c>
      <c r="S73" s="26">
        <f t="shared" si="28"/>
        <v>0</v>
      </c>
      <c r="T73" s="26">
        <f t="shared" si="28"/>
        <v>0</v>
      </c>
      <c r="U73" s="26">
        <f t="shared" si="28"/>
        <v>0</v>
      </c>
      <c r="V73" s="33">
        <f t="shared" ref="V73:AD73" si="29">V54+$AH54/10</f>
        <v>0</v>
      </c>
      <c r="W73" s="33">
        <f t="shared" si="29"/>
        <v>0</v>
      </c>
      <c r="X73" s="33">
        <f t="shared" si="29"/>
        <v>0</v>
      </c>
      <c r="Y73" s="33">
        <f t="shared" si="29"/>
        <v>0</v>
      </c>
      <c r="Z73" s="33">
        <f t="shared" si="29"/>
        <v>0</v>
      </c>
      <c r="AA73" s="33">
        <f t="shared" si="29"/>
        <v>0</v>
      </c>
      <c r="AB73" s="33">
        <f t="shared" si="29"/>
        <v>0</v>
      </c>
      <c r="AC73" s="33">
        <f t="shared" si="29"/>
        <v>0</v>
      </c>
      <c r="AD73" s="33">
        <f t="shared" si="29"/>
        <v>0</v>
      </c>
      <c r="AE73" s="33">
        <f t="shared" si="27"/>
        <v>0</v>
      </c>
    </row>
    <row r="74" spans="1:31">
      <c r="A74" s="22" t="str">
        <f t="shared" si="8"/>
        <v>biomass</v>
      </c>
      <c r="B74" s="30">
        <f>$AH55/11</f>
        <v>28.8490909090909</v>
      </c>
      <c r="C74" s="30">
        <f t="shared" ref="C74:L74" si="30">$AH55/11</f>
        <v>28.8490909090909</v>
      </c>
      <c r="D74" s="30">
        <f t="shared" si="30"/>
        <v>28.8490909090909</v>
      </c>
      <c r="E74" s="30">
        <f t="shared" si="30"/>
        <v>28.8490909090909</v>
      </c>
      <c r="F74" s="30">
        <f t="shared" si="30"/>
        <v>28.8490909090909</v>
      </c>
      <c r="G74" s="30">
        <f t="shared" si="30"/>
        <v>28.8490909090909</v>
      </c>
      <c r="H74" s="30">
        <f t="shared" si="30"/>
        <v>28.8490909090909</v>
      </c>
      <c r="I74" s="30">
        <f t="shared" si="30"/>
        <v>28.8490909090909</v>
      </c>
      <c r="J74" s="30">
        <f t="shared" si="30"/>
        <v>28.8490909090909</v>
      </c>
      <c r="K74" s="30">
        <f t="shared" si="30"/>
        <v>28.8490909090909</v>
      </c>
      <c r="L74" s="30">
        <f t="shared" si="30"/>
        <v>28.8490909090909</v>
      </c>
      <c r="M74" s="26">
        <f t="shared" ref="C74:AE82" si="31">M55</f>
        <v>514.75</v>
      </c>
      <c r="N74" s="26">
        <f t="shared" si="31"/>
        <v>514.75</v>
      </c>
      <c r="O74" s="26">
        <f t="shared" si="31"/>
        <v>514.75</v>
      </c>
      <c r="P74" s="26">
        <f t="shared" si="31"/>
        <v>514.75</v>
      </c>
      <c r="Q74" s="26">
        <f t="shared" si="31"/>
        <v>514.75</v>
      </c>
      <c r="R74" s="26">
        <f t="shared" si="31"/>
        <v>514.75</v>
      </c>
      <c r="S74" s="26">
        <f t="shared" si="31"/>
        <v>514.75</v>
      </c>
      <c r="T74" s="26">
        <f t="shared" si="31"/>
        <v>514.75</v>
      </c>
      <c r="U74" s="26">
        <f t="shared" si="31"/>
        <v>232.5</v>
      </c>
      <c r="V74" s="26">
        <f t="shared" si="31"/>
        <v>433</v>
      </c>
      <c r="W74" s="26">
        <f t="shared" si="31"/>
        <v>654</v>
      </c>
      <c r="X74" s="26">
        <f t="shared" si="31"/>
        <v>786.8</v>
      </c>
      <c r="Y74" s="26">
        <f t="shared" si="31"/>
        <v>574.8</v>
      </c>
      <c r="Z74" s="26">
        <f t="shared" si="31"/>
        <v>705.2</v>
      </c>
      <c r="AA74" s="26">
        <f t="shared" si="31"/>
        <v>474</v>
      </c>
      <c r="AB74" s="26">
        <f t="shared" si="31"/>
        <v>633.5</v>
      </c>
      <c r="AC74" s="26">
        <f t="shared" si="31"/>
        <v>810</v>
      </c>
      <c r="AD74" s="26">
        <f t="shared" si="31"/>
        <v>952.6</v>
      </c>
      <c r="AE74" s="26">
        <f t="shared" si="31"/>
        <v>1190.26</v>
      </c>
    </row>
    <row r="75" spans="1:31">
      <c r="A75" s="22" t="str">
        <f t="shared" si="8"/>
        <v>geothermal</v>
      </c>
      <c r="B75" s="30">
        <f>$AH56/11</f>
        <v>47.9345454545455</v>
      </c>
      <c r="C75" s="30">
        <f t="shared" ref="C75:L75" si="32">$AH56/11</f>
        <v>47.9345454545455</v>
      </c>
      <c r="D75" s="30">
        <f t="shared" si="32"/>
        <v>47.9345454545455</v>
      </c>
      <c r="E75" s="30">
        <f t="shared" si="32"/>
        <v>47.9345454545455</v>
      </c>
      <c r="F75" s="30">
        <f t="shared" si="32"/>
        <v>47.9345454545455</v>
      </c>
      <c r="G75" s="30">
        <f t="shared" si="32"/>
        <v>47.9345454545455</v>
      </c>
      <c r="H75" s="30">
        <f t="shared" si="32"/>
        <v>47.9345454545455</v>
      </c>
      <c r="I75" s="30">
        <f t="shared" si="32"/>
        <v>47.9345454545455</v>
      </c>
      <c r="J75" s="30">
        <f t="shared" si="32"/>
        <v>47.9345454545455</v>
      </c>
      <c r="K75" s="30">
        <f t="shared" si="32"/>
        <v>47.9345454545455</v>
      </c>
      <c r="L75" s="30">
        <f t="shared" si="32"/>
        <v>47.9345454545455</v>
      </c>
      <c r="M75" s="26">
        <f t="shared" si="31"/>
        <v>0</v>
      </c>
      <c r="N75" s="26">
        <f t="shared" si="31"/>
        <v>0</v>
      </c>
      <c r="O75" s="26">
        <f t="shared" si="31"/>
        <v>0</v>
      </c>
      <c r="P75" s="26">
        <f t="shared" si="31"/>
        <v>0</v>
      </c>
      <c r="Q75" s="26">
        <f t="shared" si="31"/>
        <v>0</v>
      </c>
      <c r="R75" s="26">
        <f t="shared" si="31"/>
        <v>0</v>
      </c>
      <c r="S75" s="26">
        <f t="shared" si="31"/>
        <v>0</v>
      </c>
      <c r="T75" s="26">
        <f t="shared" si="31"/>
        <v>0</v>
      </c>
      <c r="U75" s="26">
        <f t="shared" si="31"/>
        <v>0</v>
      </c>
      <c r="V75" s="26">
        <f t="shared" si="31"/>
        <v>0</v>
      </c>
      <c r="W75" s="26">
        <f t="shared" si="31"/>
        <v>0</v>
      </c>
      <c r="X75" s="26">
        <f t="shared" si="31"/>
        <v>0</v>
      </c>
      <c r="Y75" s="26">
        <f t="shared" si="31"/>
        <v>0</v>
      </c>
      <c r="Z75" s="26">
        <f t="shared" si="31"/>
        <v>0</v>
      </c>
      <c r="AA75" s="26">
        <f t="shared" si="31"/>
        <v>0</v>
      </c>
      <c r="AB75" s="26">
        <f t="shared" si="31"/>
        <v>0</v>
      </c>
      <c r="AC75" s="26">
        <f t="shared" si="31"/>
        <v>0</v>
      </c>
      <c r="AD75" s="26">
        <f t="shared" si="31"/>
        <v>0</v>
      </c>
      <c r="AE75" s="26">
        <f t="shared" si="31"/>
        <v>0</v>
      </c>
    </row>
    <row r="76" spans="1:31">
      <c r="A76" s="22" t="str">
        <f t="shared" si="8"/>
        <v>petroleum</v>
      </c>
      <c r="B76" s="30">
        <f t="shared" si="21"/>
        <v>0</v>
      </c>
      <c r="C76" s="30">
        <f>IF(C57=0,0,C57+$AH57)</f>
        <v>16.8984285442646</v>
      </c>
      <c r="D76" s="26">
        <f t="shared" si="31"/>
        <v>27.8333765698711</v>
      </c>
      <c r="E76" s="26">
        <f t="shared" si="31"/>
        <v>27.8333765698711</v>
      </c>
      <c r="F76" s="26">
        <f t="shared" si="31"/>
        <v>27.8333765698711</v>
      </c>
      <c r="G76" s="26">
        <f t="shared" si="31"/>
        <v>27.8333765698711</v>
      </c>
      <c r="H76" s="26">
        <f t="shared" si="31"/>
        <v>27.8333765698711</v>
      </c>
      <c r="I76" s="26">
        <f t="shared" si="31"/>
        <v>27.8333765698711</v>
      </c>
      <c r="J76" s="26">
        <f t="shared" si="31"/>
        <v>27.8333765698711</v>
      </c>
      <c r="K76" s="26">
        <f t="shared" si="31"/>
        <v>27.8333765698711</v>
      </c>
      <c r="L76" s="26">
        <f t="shared" si="31"/>
        <v>27.8333765698711</v>
      </c>
      <c r="M76" s="26">
        <f t="shared" si="31"/>
        <v>27.8333765698711</v>
      </c>
      <c r="N76" s="26">
        <f t="shared" si="31"/>
        <v>10.0432765599109</v>
      </c>
      <c r="O76" s="26">
        <f t="shared" si="31"/>
        <v>7.83120156828656</v>
      </c>
      <c r="P76" s="26">
        <f t="shared" si="31"/>
        <v>7.83120156828656</v>
      </c>
      <c r="Q76" s="26">
        <f t="shared" si="31"/>
        <v>15.1971832414274</v>
      </c>
      <c r="R76" s="26">
        <f t="shared" si="31"/>
        <v>7.83120156828656</v>
      </c>
      <c r="S76" s="26">
        <f t="shared" si="31"/>
        <v>7.83120156828656</v>
      </c>
      <c r="T76" s="26">
        <f t="shared" si="31"/>
        <v>23.7946293428951</v>
      </c>
      <c r="U76" s="26">
        <f t="shared" si="31"/>
        <v>7.83120156828656</v>
      </c>
      <c r="V76" s="26">
        <f t="shared" si="31"/>
        <v>7.83120156828656</v>
      </c>
      <c r="W76" s="26">
        <f t="shared" si="31"/>
        <v>7.83120156828658</v>
      </c>
      <c r="X76" s="26">
        <f t="shared" si="31"/>
        <v>0</v>
      </c>
      <c r="Y76" s="26">
        <f t="shared" si="31"/>
        <v>0</v>
      </c>
      <c r="Z76" s="26">
        <f t="shared" si="31"/>
        <v>0</v>
      </c>
      <c r="AA76" s="26">
        <f t="shared" si="31"/>
        <v>0</v>
      </c>
      <c r="AB76" s="26">
        <f t="shared" si="31"/>
        <v>0</v>
      </c>
      <c r="AC76" s="26">
        <f t="shared" si="31"/>
        <v>0</v>
      </c>
      <c r="AD76" s="26">
        <f t="shared" si="31"/>
        <v>0</v>
      </c>
      <c r="AE76" s="26">
        <f t="shared" si="31"/>
        <v>0</v>
      </c>
    </row>
    <row r="77" spans="1:31">
      <c r="A77" s="32" t="str">
        <f t="shared" si="8"/>
        <v>natural gas peaker</v>
      </c>
      <c r="B77" s="30">
        <f t="shared" ref="B77:B81" si="33">IF(B58=0,0,B58+$AH58)</f>
        <v>0</v>
      </c>
      <c r="C77" s="30">
        <f t="shared" ref="C77:L77" si="34">IF(C58=0,0,C58+$AH58)</f>
        <v>0</v>
      </c>
      <c r="D77" s="30">
        <f t="shared" si="34"/>
        <v>0</v>
      </c>
      <c r="E77" s="30">
        <f t="shared" si="34"/>
        <v>0</v>
      </c>
      <c r="F77" s="30">
        <f t="shared" si="34"/>
        <v>0</v>
      </c>
      <c r="G77" s="30">
        <f t="shared" si="34"/>
        <v>0</v>
      </c>
      <c r="H77" s="30">
        <f t="shared" si="34"/>
        <v>0</v>
      </c>
      <c r="I77" s="30">
        <f t="shared" si="34"/>
        <v>0</v>
      </c>
      <c r="J77" s="30">
        <f t="shared" si="34"/>
        <v>0</v>
      </c>
      <c r="K77" s="30">
        <f t="shared" si="34"/>
        <v>0</v>
      </c>
      <c r="L77" s="30">
        <f t="shared" si="34"/>
        <v>32.6159999999987</v>
      </c>
      <c r="M77" s="26">
        <f t="shared" si="31"/>
        <v>107.34</v>
      </c>
      <c r="N77" s="26">
        <f t="shared" si="31"/>
        <v>116.34</v>
      </c>
      <c r="O77" s="26">
        <f t="shared" si="31"/>
        <v>120.9</v>
      </c>
      <c r="P77" s="26">
        <f t="shared" si="31"/>
        <v>0</v>
      </c>
      <c r="Q77" s="26">
        <f t="shared" si="31"/>
        <v>889.71</v>
      </c>
      <c r="R77" s="26">
        <f t="shared" si="31"/>
        <v>1341.51</v>
      </c>
      <c r="S77" s="26">
        <f t="shared" si="31"/>
        <v>1222.887</v>
      </c>
      <c r="T77" s="26">
        <f t="shared" si="31"/>
        <v>424.533</v>
      </c>
      <c r="U77" s="26">
        <f t="shared" si="31"/>
        <v>1109.88</v>
      </c>
      <c r="V77" s="33">
        <f t="shared" ref="V77:AE77" si="35">$AH58/10+V58</f>
        <v>883.2876</v>
      </c>
      <c r="W77" s="33">
        <f t="shared" si="35"/>
        <v>709.0476</v>
      </c>
      <c r="X77" s="33">
        <f t="shared" si="35"/>
        <v>956.4276</v>
      </c>
      <c r="Y77" s="33">
        <f t="shared" si="35"/>
        <v>2128.1676</v>
      </c>
      <c r="Z77" s="33">
        <f t="shared" si="35"/>
        <v>3905.8776</v>
      </c>
      <c r="AA77" s="33">
        <f t="shared" si="35"/>
        <v>3674.1576</v>
      </c>
      <c r="AB77" s="33">
        <f t="shared" si="35"/>
        <v>2238.0876</v>
      </c>
      <c r="AC77" s="33">
        <f t="shared" si="35"/>
        <v>2053.7556</v>
      </c>
      <c r="AD77" s="33">
        <f t="shared" si="35"/>
        <v>2990.5056</v>
      </c>
      <c r="AE77" s="33">
        <f t="shared" si="35"/>
        <v>2099.4456</v>
      </c>
    </row>
    <row r="78" spans="1:31">
      <c r="A78" s="22" t="str">
        <f t="shared" si="8"/>
        <v>lignite</v>
      </c>
      <c r="B78" s="30">
        <f>$AH59/11</f>
        <v>1882.32727272727</v>
      </c>
      <c r="C78" s="30">
        <f t="shared" ref="C78:L78" si="36">$AH59/11</f>
        <v>1882.32727272727</v>
      </c>
      <c r="D78" s="30">
        <f t="shared" si="36"/>
        <v>1882.32727272727</v>
      </c>
      <c r="E78" s="30">
        <f t="shared" si="36"/>
        <v>1882.32727272727</v>
      </c>
      <c r="F78" s="30">
        <f t="shared" si="36"/>
        <v>1882.32727272727</v>
      </c>
      <c r="G78" s="30">
        <f t="shared" si="36"/>
        <v>1882.32727272727</v>
      </c>
      <c r="H78" s="30">
        <f t="shared" si="36"/>
        <v>1882.32727272727</v>
      </c>
      <c r="I78" s="30">
        <f t="shared" si="36"/>
        <v>1882.32727272727</v>
      </c>
      <c r="J78" s="30">
        <f t="shared" si="36"/>
        <v>1882.32727272727</v>
      </c>
      <c r="K78" s="30">
        <f t="shared" si="36"/>
        <v>1882.32727272727</v>
      </c>
      <c r="L78" s="30">
        <f t="shared" si="36"/>
        <v>1882.32727272727</v>
      </c>
      <c r="M78" s="26">
        <f t="shared" si="31"/>
        <v>648.5</v>
      </c>
      <c r="N78" s="26">
        <f t="shared" si="31"/>
        <v>648.5</v>
      </c>
      <c r="O78" s="26">
        <f t="shared" si="31"/>
        <v>648.5</v>
      </c>
      <c r="P78" s="26">
        <f t="shared" si="31"/>
        <v>648.5</v>
      </c>
      <c r="Q78" s="26">
        <f t="shared" si="31"/>
        <v>648.5</v>
      </c>
      <c r="R78" s="26">
        <f t="shared" si="31"/>
        <v>648.5</v>
      </c>
      <c r="S78" s="26">
        <f t="shared" si="31"/>
        <v>648.5</v>
      </c>
      <c r="T78" s="26">
        <f t="shared" si="31"/>
        <v>648.5</v>
      </c>
      <c r="U78" s="26">
        <f t="shared" si="31"/>
        <v>1550</v>
      </c>
      <c r="V78" s="26">
        <f t="shared" si="31"/>
        <v>1901.4</v>
      </c>
      <c r="W78" s="26">
        <f t="shared" si="31"/>
        <v>1230</v>
      </c>
      <c r="X78" s="26">
        <f t="shared" si="31"/>
        <v>1560</v>
      </c>
      <c r="Y78" s="26">
        <f t="shared" si="31"/>
        <v>606</v>
      </c>
      <c r="Z78" s="26">
        <f t="shared" si="31"/>
        <v>300</v>
      </c>
      <c r="AA78" s="26">
        <f t="shared" si="31"/>
        <v>0</v>
      </c>
      <c r="AB78" s="26">
        <f t="shared" si="31"/>
        <v>318</v>
      </c>
      <c r="AC78" s="26">
        <f t="shared" si="31"/>
        <v>2</v>
      </c>
      <c r="AD78" s="26">
        <f t="shared" si="31"/>
        <v>0</v>
      </c>
      <c r="AE78" s="26">
        <f t="shared" si="31"/>
        <v>1400</v>
      </c>
    </row>
    <row r="79" spans="1:31">
      <c r="A79" s="32" t="str">
        <f t="shared" si="8"/>
        <v>offshore wind</v>
      </c>
      <c r="B79" s="30">
        <f>IF(B60=0,0,B60+$AH60)</f>
        <v>0</v>
      </c>
      <c r="C79" s="30">
        <f t="shared" ref="C79:U79" si="37">IF(C60=0,0,C60+$AH60)</f>
        <v>0</v>
      </c>
      <c r="D79" s="30">
        <f t="shared" si="37"/>
        <v>0</v>
      </c>
      <c r="E79" s="30">
        <f t="shared" si="37"/>
        <v>0</v>
      </c>
      <c r="F79" s="30">
        <f t="shared" si="37"/>
        <v>0</v>
      </c>
      <c r="G79" s="30">
        <f t="shared" si="37"/>
        <v>0</v>
      </c>
      <c r="H79" s="30">
        <f t="shared" si="37"/>
        <v>0</v>
      </c>
      <c r="I79" s="30">
        <f t="shared" si="37"/>
        <v>0</v>
      </c>
      <c r="J79" s="30">
        <f t="shared" si="37"/>
        <v>0</v>
      </c>
      <c r="K79" s="30">
        <f t="shared" si="37"/>
        <v>0</v>
      </c>
      <c r="L79" s="30">
        <f t="shared" si="37"/>
        <v>0</v>
      </c>
      <c r="M79" s="30">
        <f t="shared" si="37"/>
        <v>0</v>
      </c>
      <c r="N79" s="30">
        <f t="shared" si="37"/>
        <v>0</v>
      </c>
      <c r="O79" s="30">
        <f t="shared" si="37"/>
        <v>0</v>
      </c>
      <c r="P79" s="30">
        <f t="shared" si="37"/>
        <v>0</v>
      </c>
      <c r="Q79" s="30">
        <f t="shared" si="37"/>
        <v>0</v>
      </c>
      <c r="R79" s="30">
        <f t="shared" si="37"/>
        <v>0</v>
      </c>
      <c r="S79" s="30">
        <f t="shared" si="37"/>
        <v>0</v>
      </c>
      <c r="T79" s="30">
        <f t="shared" si="37"/>
        <v>0</v>
      </c>
      <c r="U79" s="30">
        <f t="shared" si="37"/>
        <v>344</v>
      </c>
      <c r="V79" s="33">
        <f t="shared" ref="U79:AE79" si="38">V60+$AH60/11</f>
        <v>12.1818181818182</v>
      </c>
      <c r="W79" s="33">
        <f t="shared" si="38"/>
        <v>114.181818181818</v>
      </c>
      <c r="X79" s="33">
        <f t="shared" si="38"/>
        <v>24.1818181818182</v>
      </c>
      <c r="Y79" s="33">
        <f t="shared" si="38"/>
        <v>816.181818181818</v>
      </c>
      <c r="Z79" s="33">
        <f t="shared" si="38"/>
        <v>615.181818181818</v>
      </c>
      <c r="AA79" s="33">
        <f t="shared" si="38"/>
        <v>989.181818181818</v>
      </c>
      <c r="AB79" s="33">
        <f t="shared" si="38"/>
        <v>2367.18181818182</v>
      </c>
      <c r="AC79" s="33">
        <f t="shared" si="38"/>
        <v>12.1818181818182</v>
      </c>
      <c r="AD79" s="33">
        <f t="shared" si="38"/>
        <v>12.1818181818182</v>
      </c>
      <c r="AE79" s="33">
        <f t="shared" si="38"/>
        <v>12.1818181818182</v>
      </c>
    </row>
    <row r="80" spans="1:31">
      <c r="A80" s="22" t="str">
        <f t="shared" si="8"/>
        <v>crude oil</v>
      </c>
      <c r="B80" s="30">
        <f t="shared" si="33"/>
        <v>0</v>
      </c>
      <c r="C80" s="30">
        <f>IF(C61=0,0,C61+$AH61)</f>
        <v>3.85532828077042</v>
      </c>
      <c r="D80" s="26">
        <f t="shared" si="31"/>
        <v>6.3501054880975</v>
      </c>
      <c r="E80" s="26">
        <f t="shared" si="31"/>
        <v>6.3501054880975</v>
      </c>
      <c r="F80" s="26">
        <f t="shared" si="31"/>
        <v>6.3501054880975</v>
      </c>
      <c r="G80" s="26">
        <f t="shared" si="31"/>
        <v>6.3501054880975</v>
      </c>
      <c r="H80" s="26">
        <f t="shared" si="31"/>
        <v>6.3501054880975</v>
      </c>
      <c r="I80" s="26">
        <f t="shared" si="31"/>
        <v>6.3501054880975</v>
      </c>
      <c r="J80" s="26">
        <f t="shared" si="31"/>
        <v>6.3501054880975</v>
      </c>
      <c r="K80" s="26">
        <f t="shared" si="31"/>
        <v>6.3501054880975</v>
      </c>
      <c r="L80" s="26">
        <f t="shared" si="31"/>
        <v>6.3501054880975</v>
      </c>
      <c r="M80" s="26">
        <f t="shared" si="31"/>
        <v>6.3501054880975</v>
      </c>
      <c r="N80" s="26">
        <f t="shared" si="31"/>
        <v>2.29134490533235</v>
      </c>
      <c r="O80" s="26">
        <f t="shared" si="31"/>
        <v>1.78666630447577</v>
      </c>
      <c r="P80" s="26">
        <f t="shared" si="31"/>
        <v>1.78666630447577</v>
      </c>
      <c r="Q80" s="26">
        <f t="shared" si="31"/>
        <v>3.46719401660645</v>
      </c>
      <c r="R80" s="26">
        <f t="shared" si="31"/>
        <v>1.78666630447577</v>
      </c>
      <c r="S80" s="26">
        <f t="shared" si="31"/>
        <v>1.78666630447577</v>
      </c>
      <c r="T80" s="26">
        <f t="shared" si="31"/>
        <v>5.4286768261212</v>
      </c>
      <c r="U80" s="26">
        <f t="shared" si="31"/>
        <v>1.78666630447577</v>
      </c>
      <c r="V80" s="26">
        <f t="shared" si="31"/>
        <v>1.78666630447577</v>
      </c>
      <c r="W80" s="26">
        <f t="shared" si="31"/>
        <v>1.78666630447578</v>
      </c>
      <c r="X80" s="26">
        <f t="shared" si="31"/>
        <v>0</v>
      </c>
      <c r="Y80" s="26">
        <f t="shared" si="31"/>
        <v>0</v>
      </c>
      <c r="Z80" s="26">
        <f t="shared" si="31"/>
        <v>0</v>
      </c>
      <c r="AA80" s="26">
        <f t="shared" si="31"/>
        <v>0</v>
      </c>
      <c r="AB80" s="26">
        <f t="shared" si="31"/>
        <v>0</v>
      </c>
      <c r="AC80" s="26">
        <f t="shared" si="31"/>
        <v>0</v>
      </c>
      <c r="AD80" s="26">
        <f t="shared" si="31"/>
        <v>0</v>
      </c>
      <c r="AE80" s="26">
        <f t="shared" si="31"/>
        <v>0</v>
      </c>
    </row>
    <row r="81" spans="1:43">
      <c r="A81" s="22" t="str">
        <f>A62</f>
        <v>heavy or residual fuel oil</v>
      </c>
      <c r="B81" s="30">
        <f t="shared" si="33"/>
        <v>0</v>
      </c>
      <c r="C81" s="30">
        <f>IF(C62=0,0,C62+$AH62)</f>
        <v>53.3462431749658</v>
      </c>
      <c r="D81" s="26">
        <f t="shared" ref="C81:AE81" si="39">D62</f>
        <v>87.8665179420314</v>
      </c>
      <c r="E81" s="26">
        <f t="shared" si="39"/>
        <v>87.8665179420314</v>
      </c>
      <c r="F81" s="26">
        <f t="shared" si="39"/>
        <v>87.8665179420314</v>
      </c>
      <c r="G81" s="26">
        <f t="shared" si="39"/>
        <v>87.8665179420314</v>
      </c>
      <c r="H81" s="26">
        <f t="shared" si="39"/>
        <v>87.8665179420314</v>
      </c>
      <c r="I81" s="26">
        <f t="shared" si="39"/>
        <v>87.8665179420314</v>
      </c>
      <c r="J81" s="26">
        <f t="shared" si="39"/>
        <v>87.8665179420314</v>
      </c>
      <c r="K81" s="26">
        <f t="shared" si="39"/>
        <v>87.8665179420314</v>
      </c>
      <c r="L81" s="26">
        <f t="shared" si="39"/>
        <v>87.8665179420314</v>
      </c>
      <c r="M81" s="26">
        <f t="shared" si="39"/>
        <v>87.8665179420314</v>
      </c>
      <c r="N81" s="26">
        <f t="shared" si="39"/>
        <v>31.7053785347568</v>
      </c>
      <c r="O81" s="26">
        <f t="shared" si="39"/>
        <v>24.7221321272377</v>
      </c>
      <c r="P81" s="26">
        <f t="shared" si="39"/>
        <v>24.7221321272377</v>
      </c>
      <c r="Q81" s="26">
        <f t="shared" si="39"/>
        <v>47.9756227419662</v>
      </c>
      <c r="R81" s="26">
        <f t="shared" si="39"/>
        <v>24.7221321272377</v>
      </c>
      <c r="S81" s="26">
        <f t="shared" si="39"/>
        <v>24.7221321272377</v>
      </c>
      <c r="T81" s="26">
        <f t="shared" si="39"/>
        <v>75.1166938309836</v>
      </c>
      <c r="U81" s="26">
        <f t="shared" si="39"/>
        <v>24.7221321272377</v>
      </c>
      <c r="V81" s="26">
        <f t="shared" si="39"/>
        <v>24.7221321272377</v>
      </c>
      <c r="W81" s="26">
        <f t="shared" si="39"/>
        <v>24.7221321272377</v>
      </c>
      <c r="X81" s="26">
        <f t="shared" si="39"/>
        <v>0</v>
      </c>
      <c r="Y81" s="26">
        <f t="shared" si="39"/>
        <v>0</v>
      </c>
      <c r="Z81" s="26">
        <f t="shared" si="39"/>
        <v>0</v>
      </c>
      <c r="AA81" s="26">
        <f t="shared" si="39"/>
        <v>0</v>
      </c>
      <c r="AB81" s="26">
        <f t="shared" si="39"/>
        <v>0</v>
      </c>
      <c r="AC81" s="26">
        <f t="shared" si="39"/>
        <v>0</v>
      </c>
      <c r="AD81" s="26">
        <f t="shared" si="39"/>
        <v>0</v>
      </c>
      <c r="AE81" s="26">
        <f t="shared" si="39"/>
        <v>0</v>
      </c>
    </row>
    <row r="82" spans="1:43">
      <c r="A82" s="22" t="str">
        <f t="shared" si="8"/>
        <v>municipal solid waste</v>
      </c>
      <c r="B82" s="30">
        <f>$AH63/11</f>
        <v>15.1</v>
      </c>
      <c r="C82" s="30">
        <f t="shared" ref="C82:L82" si="40">$AH63/11</f>
        <v>15.1</v>
      </c>
      <c r="D82" s="30">
        <f t="shared" si="40"/>
        <v>15.1</v>
      </c>
      <c r="E82" s="30">
        <f t="shared" si="40"/>
        <v>15.1</v>
      </c>
      <c r="F82" s="30">
        <f t="shared" si="40"/>
        <v>15.1</v>
      </c>
      <c r="G82" s="30">
        <f t="shared" si="40"/>
        <v>15.1</v>
      </c>
      <c r="H82" s="30">
        <f t="shared" si="40"/>
        <v>15.1</v>
      </c>
      <c r="I82" s="30">
        <f t="shared" si="40"/>
        <v>15.1</v>
      </c>
      <c r="J82" s="30">
        <f t="shared" si="40"/>
        <v>15.1</v>
      </c>
      <c r="K82" s="30">
        <f t="shared" si="40"/>
        <v>15.1</v>
      </c>
      <c r="L82" s="30">
        <f t="shared" si="40"/>
        <v>15.1</v>
      </c>
      <c r="M82" s="26">
        <f t="shared" si="31"/>
        <v>514.75</v>
      </c>
      <c r="N82" s="26">
        <f t="shared" si="31"/>
        <v>514.75</v>
      </c>
      <c r="O82" s="26">
        <f t="shared" si="31"/>
        <v>514.75</v>
      </c>
      <c r="P82" s="26">
        <f t="shared" si="31"/>
        <v>514.75</v>
      </c>
      <c r="Q82" s="26">
        <f t="shared" si="31"/>
        <v>514.75</v>
      </c>
      <c r="R82" s="26">
        <f t="shared" si="31"/>
        <v>514.75</v>
      </c>
      <c r="S82" s="26">
        <f t="shared" si="31"/>
        <v>514.75</v>
      </c>
      <c r="T82" s="26">
        <f t="shared" si="31"/>
        <v>514.75</v>
      </c>
      <c r="U82" s="26">
        <f t="shared" si="31"/>
        <v>232.5</v>
      </c>
      <c r="V82" s="26">
        <f t="shared" si="31"/>
        <v>433</v>
      </c>
      <c r="W82" s="26">
        <f t="shared" si="31"/>
        <v>654</v>
      </c>
      <c r="X82" s="26">
        <f t="shared" si="31"/>
        <v>786.8</v>
      </c>
      <c r="Y82" s="26">
        <f t="shared" si="31"/>
        <v>574.8</v>
      </c>
      <c r="Z82" s="26">
        <f t="shared" si="31"/>
        <v>705.2</v>
      </c>
      <c r="AA82" s="26">
        <f t="shared" si="31"/>
        <v>474</v>
      </c>
      <c r="AB82" s="26">
        <f t="shared" si="31"/>
        <v>633.5</v>
      </c>
      <c r="AC82" s="26">
        <f t="shared" si="31"/>
        <v>810</v>
      </c>
      <c r="AD82" s="26">
        <f t="shared" si="31"/>
        <v>952.6</v>
      </c>
      <c r="AE82" s="26">
        <f t="shared" si="31"/>
        <v>1189.5</v>
      </c>
    </row>
    <row r="84" ht="13.85" spans="1:43">
      <c r="A84" s="8" t="s">
        <v>2393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10"/>
    </row>
    <row r="85" ht="13.1" spans="1:43">
      <c r="A85" s="3" t="s">
        <v>2394</v>
      </c>
    </row>
    <row r="86" spans="1:43">
      <c r="A86" s="21" t="s">
        <v>2395</v>
      </c>
      <c r="B86" s="22">
        <f t="shared" ref="B86:AE86" si="41">B66</f>
        <v>1990</v>
      </c>
      <c r="C86" s="22">
        <f t="shared" si="41"/>
        <v>1991</v>
      </c>
      <c r="D86" s="22">
        <f t="shared" si="41"/>
        <v>1992</v>
      </c>
      <c r="E86" s="22">
        <f t="shared" si="41"/>
        <v>1993</v>
      </c>
      <c r="F86" s="22">
        <f t="shared" si="41"/>
        <v>1994</v>
      </c>
      <c r="G86" s="22">
        <f t="shared" si="41"/>
        <v>1995</v>
      </c>
      <c r="H86" s="22">
        <f t="shared" si="41"/>
        <v>1996</v>
      </c>
      <c r="I86" s="22">
        <f t="shared" si="41"/>
        <v>1997</v>
      </c>
      <c r="J86" s="22">
        <f t="shared" si="41"/>
        <v>1998</v>
      </c>
      <c r="K86" s="22">
        <f t="shared" si="41"/>
        <v>1999</v>
      </c>
      <c r="L86" s="22">
        <f t="shared" si="41"/>
        <v>2000</v>
      </c>
      <c r="M86" s="22">
        <f t="shared" si="41"/>
        <v>2001</v>
      </c>
      <c r="N86" s="22">
        <f t="shared" si="41"/>
        <v>2002</v>
      </c>
      <c r="O86" s="22">
        <f t="shared" si="41"/>
        <v>2003</v>
      </c>
      <c r="P86" s="22">
        <f t="shared" si="41"/>
        <v>2004</v>
      </c>
      <c r="Q86" s="22">
        <f t="shared" si="41"/>
        <v>2005</v>
      </c>
      <c r="R86" s="22">
        <f t="shared" si="41"/>
        <v>2006</v>
      </c>
      <c r="S86" s="22">
        <f t="shared" si="41"/>
        <v>2007</v>
      </c>
      <c r="T86" s="22">
        <f t="shared" si="41"/>
        <v>2008</v>
      </c>
      <c r="U86" s="22">
        <f t="shared" si="41"/>
        <v>2009</v>
      </c>
      <c r="V86" s="22">
        <f t="shared" si="41"/>
        <v>2010</v>
      </c>
      <c r="W86" s="22">
        <f t="shared" si="41"/>
        <v>2011</v>
      </c>
      <c r="X86" s="22">
        <f t="shared" si="41"/>
        <v>2012</v>
      </c>
      <c r="Y86" s="22">
        <f t="shared" si="41"/>
        <v>2013</v>
      </c>
      <c r="Z86" s="22">
        <f t="shared" si="41"/>
        <v>2014</v>
      </c>
      <c r="AA86" s="22">
        <f t="shared" si="41"/>
        <v>2015</v>
      </c>
      <c r="AB86" s="22">
        <f t="shared" si="41"/>
        <v>2016</v>
      </c>
      <c r="AC86" s="22">
        <f t="shared" si="41"/>
        <v>2017</v>
      </c>
      <c r="AD86" s="22">
        <f t="shared" si="41"/>
        <v>2018</v>
      </c>
      <c r="AE86" s="22">
        <f t="shared" si="41"/>
        <v>2019</v>
      </c>
      <c r="AF86" s="17">
        <v>2020</v>
      </c>
      <c r="AG86" s="17">
        <v>2021</v>
      </c>
      <c r="AH86" s="17">
        <v>2022</v>
      </c>
      <c r="AI86" s="17">
        <v>2023</v>
      </c>
      <c r="AJ86" s="17">
        <v>2024</v>
      </c>
      <c r="AK86" s="17">
        <v>2025</v>
      </c>
      <c r="AL86" s="17">
        <v>2026</v>
      </c>
      <c r="AM86" s="17">
        <v>2027</v>
      </c>
      <c r="AN86" s="17">
        <v>2028</v>
      </c>
      <c r="AO86" s="17">
        <v>2029</v>
      </c>
      <c r="AP86" s="17">
        <v>2030</v>
      </c>
    </row>
    <row r="87" spans="1:43">
      <c r="A87" s="34" t="str">
        <f t="shared" ref="A87:A102" si="42">A67</f>
        <v>hard coal</v>
      </c>
      <c r="B87" s="24">
        <f t="shared" ref="B87:AE87" si="43">B67</f>
        <v>0</v>
      </c>
      <c r="C87" s="24">
        <f t="shared" si="43"/>
        <v>0</v>
      </c>
      <c r="D87" s="24">
        <f t="shared" si="43"/>
        <v>0</v>
      </c>
      <c r="E87" s="24">
        <f t="shared" si="43"/>
        <v>0</v>
      </c>
      <c r="F87" s="24">
        <f t="shared" si="43"/>
        <v>0</v>
      </c>
      <c r="G87" s="24">
        <f t="shared" si="43"/>
        <v>0</v>
      </c>
      <c r="H87" s="24">
        <f t="shared" si="43"/>
        <v>0</v>
      </c>
      <c r="I87" s="24">
        <f t="shared" si="43"/>
        <v>0</v>
      </c>
      <c r="J87" s="24">
        <f t="shared" si="43"/>
        <v>0</v>
      </c>
      <c r="K87" s="24">
        <f t="shared" si="43"/>
        <v>0</v>
      </c>
      <c r="L87" s="24">
        <f t="shared" si="43"/>
        <v>518.099333333084</v>
      </c>
      <c r="M87" s="24">
        <f t="shared" si="43"/>
        <v>15510.2416666667</v>
      </c>
      <c r="N87" s="24">
        <f t="shared" si="43"/>
        <v>14340.25</v>
      </c>
      <c r="O87" s="24">
        <f t="shared" si="43"/>
        <v>23873.05</v>
      </c>
      <c r="P87" s="24">
        <f t="shared" si="43"/>
        <v>45933.375</v>
      </c>
      <c r="Q87" s="24">
        <f t="shared" si="43"/>
        <v>60327</v>
      </c>
      <c r="R87" s="24">
        <f t="shared" si="43"/>
        <v>92699</v>
      </c>
      <c r="S87" s="24">
        <f t="shared" si="43"/>
        <v>89132.345</v>
      </c>
      <c r="T87" s="24">
        <f t="shared" si="43"/>
        <v>70989.9865555555</v>
      </c>
      <c r="U87" s="24">
        <f t="shared" si="43"/>
        <v>72437.0865555556</v>
      </c>
      <c r="V87" s="24">
        <f t="shared" si="43"/>
        <v>64840.9865555556</v>
      </c>
      <c r="W87" s="24">
        <f t="shared" si="43"/>
        <v>67105.9865555556</v>
      </c>
      <c r="X87" s="24">
        <f t="shared" si="43"/>
        <v>56889.3865555556</v>
      </c>
      <c r="Y87" s="24">
        <f t="shared" si="43"/>
        <v>44438.4865555556</v>
      </c>
      <c r="Z87" s="24">
        <f t="shared" si="43"/>
        <v>45250.2865555555</v>
      </c>
      <c r="AA87" s="24">
        <f t="shared" si="43"/>
        <v>64592.1865555556</v>
      </c>
      <c r="AB87" s="24">
        <f t="shared" si="43"/>
        <v>50227.9865555556</v>
      </c>
      <c r="AC87" s="24">
        <f t="shared" si="43"/>
        <v>45106.22</v>
      </c>
      <c r="AD87" s="24">
        <f t="shared" si="43"/>
        <v>40627.02</v>
      </c>
      <c r="AE87" s="24">
        <f t="shared" si="43"/>
        <v>41030.02</v>
      </c>
      <c r="AF87" s="35">
        <f t="shared" ref="AF87:AF102" si="44">H6</f>
        <v>38613</v>
      </c>
      <c r="AG87" s="35">
        <f t="shared" ref="AG87:AG102" si="45">I6</f>
        <v>26707</v>
      </c>
      <c r="AH87" s="35">
        <f t="shared" ref="AH87:AH102" si="46">J6</f>
        <v>28272</v>
      </c>
      <c r="AI87" s="35">
        <f t="shared" ref="AI87:AI102" si="47">K6</f>
        <v>48098</v>
      </c>
      <c r="AJ87" s="35">
        <f t="shared" ref="AJ87:AJ102" si="48">L6</f>
        <v>45448</v>
      </c>
      <c r="AK87" s="35">
        <f t="shared" ref="AK87:AK102" si="49">M6</f>
        <v>115238</v>
      </c>
      <c r="AL87" s="35">
        <f t="shared" ref="AL87:AL102" si="50">N6</f>
        <v>70081</v>
      </c>
      <c r="AM87" s="35">
        <f t="shared" ref="AM87:AM102" si="51">O6</f>
        <v>40605</v>
      </c>
      <c r="AN87" s="35">
        <f t="shared" ref="AN87:AN102" si="52">P6</f>
        <v>33497</v>
      </c>
      <c r="AO87" s="35">
        <f t="shared" ref="AO87:AO102" si="53">Q6</f>
        <v>33497</v>
      </c>
      <c r="AP87" s="35">
        <f t="shared" ref="AP87:AP102" si="54">R6</f>
        <v>0</v>
      </c>
    </row>
    <row r="88" spans="1:43">
      <c r="A88" s="22" t="str">
        <f t="shared" si="42"/>
        <v>natural gas nonpeaker</v>
      </c>
      <c r="B88" s="26">
        <f t="shared" ref="B88:AE88" si="55">B68</f>
        <v>0</v>
      </c>
      <c r="C88" s="26">
        <f t="shared" si="55"/>
        <v>0</v>
      </c>
      <c r="D88" s="26">
        <f t="shared" si="55"/>
        <v>0</v>
      </c>
      <c r="E88" s="26">
        <f t="shared" si="55"/>
        <v>0</v>
      </c>
      <c r="F88" s="26">
        <f t="shared" si="55"/>
        <v>0</v>
      </c>
      <c r="G88" s="26">
        <f t="shared" si="55"/>
        <v>0</v>
      </c>
      <c r="H88" s="26">
        <f t="shared" si="55"/>
        <v>0</v>
      </c>
      <c r="I88" s="26">
        <f t="shared" si="55"/>
        <v>0</v>
      </c>
      <c r="J88" s="26">
        <f t="shared" si="55"/>
        <v>0</v>
      </c>
      <c r="K88" s="26">
        <f t="shared" si="55"/>
        <v>0</v>
      </c>
      <c r="L88" s="26">
        <f t="shared" si="55"/>
        <v>76.1040000000104</v>
      </c>
      <c r="M88" s="26">
        <f t="shared" si="55"/>
        <v>250.46</v>
      </c>
      <c r="N88" s="26">
        <f t="shared" si="55"/>
        <v>271.46</v>
      </c>
      <c r="O88" s="26">
        <f t="shared" si="55"/>
        <v>282.1</v>
      </c>
      <c r="P88" s="26">
        <f t="shared" si="55"/>
        <v>0</v>
      </c>
      <c r="Q88" s="26">
        <f t="shared" si="55"/>
        <v>2075.99</v>
      </c>
      <c r="R88" s="26">
        <f t="shared" si="55"/>
        <v>3130.19</v>
      </c>
      <c r="S88" s="26">
        <f t="shared" si="55"/>
        <v>2853.403</v>
      </c>
      <c r="T88" s="26">
        <f t="shared" si="55"/>
        <v>990.577</v>
      </c>
      <c r="U88" s="26">
        <f t="shared" si="55"/>
        <v>2589.72</v>
      </c>
      <c r="V88" s="26">
        <f t="shared" si="55"/>
        <v>2061.0044</v>
      </c>
      <c r="W88" s="26">
        <f t="shared" si="55"/>
        <v>1654.4444</v>
      </c>
      <c r="X88" s="26">
        <f t="shared" si="55"/>
        <v>2231.6644</v>
      </c>
      <c r="Y88" s="26">
        <f t="shared" si="55"/>
        <v>4965.7244</v>
      </c>
      <c r="Z88" s="26">
        <f t="shared" si="55"/>
        <v>9113.7144</v>
      </c>
      <c r="AA88" s="26">
        <f t="shared" si="55"/>
        <v>8573.0344</v>
      </c>
      <c r="AB88" s="26">
        <f t="shared" si="55"/>
        <v>5222.2044</v>
      </c>
      <c r="AC88" s="26">
        <f t="shared" si="55"/>
        <v>4792.0964</v>
      </c>
      <c r="AD88" s="26">
        <f t="shared" si="55"/>
        <v>6977.8464</v>
      </c>
      <c r="AE88" s="26">
        <f t="shared" si="55"/>
        <v>4898.7064</v>
      </c>
      <c r="AF88" s="36">
        <f t="shared" si="44"/>
        <v>0</v>
      </c>
      <c r="AG88" s="36">
        <f t="shared" si="45"/>
        <v>0</v>
      </c>
      <c r="AH88" s="36">
        <f t="shared" si="46"/>
        <v>0</v>
      </c>
      <c r="AI88" s="36">
        <f t="shared" si="47"/>
        <v>0</v>
      </c>
      <c r="AJ88" s="36">
        <f t="shared" si="48"/>
        <v>0</v>
      </c>
      <c r="AK88" s="36">
        <f t="shared" si="49"/>
        <v>0</v>
      </c>
      <c r="AL88" s="36">
        <f t="shared" si="50"/>
        <v>0</v>
      </c>
      <c r="AM88" s="36">
        <f t="shared" si="51"/>
        <v>0</v>
      </c>
      <c r="AN88" s="36">
        <f t="shared" si="52"/>
        <v>0</v>
      </c>
      <c r="AO88" s="36">
        <f t="shared" si="53"/>
        <v>0</v>
      </c>
      <c r="AP88" s="36">
        <f t="shared" si="54"/>
        <v>0</v>
      </c>
    </row>
    <row r="89" spans="1:43">
      <c r="A89" s="22" t="str">
        <f t="shared" si="42"/>
        <v>nuclear</v>
      </c>
      <c r="B89" s="26">
        <f t="shared" ref="B89:AE89" si="56">B69</f>
        <v>0</v>
      </c>
      <c r="C89" s="26">
        <f t="shared" si="56"/>
        <v>0</v>
      </c>
      <c r="D89" s="26">
        <f t="shared" si="56"/>
        <v>0</v>
      </c>
      <c r="E89" s="26">
        <f t="shared" si="56"/>
        <v>964.639999999985</v>
      </c>
      <c r="F89" s="26">
        <f t="shared" si="56"/>
        <v>964.639999999985</v>
      </c>
      <c r="G89" s="26">
        <f t="shared" si="56"/>
        <v>0</v>
      </c>
      <c r="H89" s="26">
        <f t="shared" si="56"/>
        <v>0</v>
      </c>
      <c r="I89" s="26">
        <f t="shared" si="56"/>
        <v>0</v>
      </c>
      <c r="J89" s="26">
        <f t="shared" si="56"/>
        <v>0</v>
      </c>
      <c r="K89" s="26">
        <f t="shared" si="56"/>
        <v>0</v>
      </c>
      <c r="L89" s="26">
        <f t="shared" si="56"/>
        <v>0</v>
      </c>
      <c r="M89" s="26">
        <f t="shared" si="56"/>
        <v>0</v>
      </c>
      <c r="N89" s="26">
        <f t="shared" si="56"/>
        <v>3338.63999999998</v>
      </c>
      <c r="O89" s="26">
        <f t="shared" si="56"/>
        <v>728</v>
      </c>
      <c r="P89" s="26">
        <f t="shared" si="56"/>
        <v>650</v>
      </c>
      <c r="Q89" s="26">
        <f t="shared" si="56"/>
        <v>0</v>
      </c>
      <c r="R89" s="26">
        <f t="shared" si="56"/>
        <v>1060</v>
      </c>
      <c r="S89" s="26">
        <f t="shared" si="56"/>
        <v>1060</v>
      </c>
      <c r="T89" s="26">
        <f t="shared" si="56"/>
        <v>33.8888888888889</v>
      </c>
      <c r="U89" s="26">
        <f t="shared" si="56"/>
        <v>33.8888888888889</v>
      </c>
      <c r="V89" s="26">
        <f t="shared" si="56"/>
        <v>1779.88888888889</v>
      </c>
      <c r="W89" s="26">
        <f t="shared" si="56"/>
        <v>1779.88888888889</v>
      </c>
      <c r="X89" s="26">
        <f t="shared" si="56"/>
        <v>1122.88888888889</v>
      </c>
      <c r="Y89" s="26">
        <f t="shared" si="56"/>
        <v>3357.46888888889</v>
      </c>
      <c r="Z89" s="26">
        <f t="shared" si="56"/>
        <v>3300.88888888889</v>
      </c>
      <c r="AA89" s="26">
        <f t="shared" si="56"/>
        <v>8327.67888888889</v>
      </c>
      <c r="AB89" s="26">
        <f t="shared" si="56"/>
        <v>5066.67888888889</v>
      </c>
      <c r="AC89" s="26">
        <f t="shared" si="56"/>
        <v>3309.4</v>
      </c>
      <c r="AD89" s="26">
        <f t="shared" si="56"/>
        <v>8978.4</v>
      </c>
      <c r="AE89" s="26">
        <f t="shared" si="56"/>
        <v>2844.4</v>
      </c>
      <c r="AF89" s="36">
        <f t="shared" si="44"/>
        <v>1118</v>
      </c>
      <c r="AG89" s="36">
        <f t="shared" si="45"/>
        <v>0</v>
      </c>
      <c r="AH89" s="36">
        <f t="shared" si="46"/>
        <v>0</v>
      </c>
      <c r="AI89" s="36">
        <f t="shared" si="47"/>
        <v>0</v>
      </c>
      <c r="AJ89" s="36">
        <f t="shared" si="48"/>
        <v>0</v>
      </c>
      <c r="AK89" s="36">
        <f t="shared" si="49"/>
        <v>0</v>
      </c>
      <c r="AL89" s="36">
        <f t="shared" si="50"/>
        <v>0</v>
      </c>
      <c r="AM89" s="36">
        <f t="shared" si="51"/>
        <v>0</v>
      </c>
      <c r="AN89" s="36">
        <f t="shared" si="52"/>
        <v>0</v>
      </c>
      <c r="AO89" s="36">
        <f t="shared" si="53"/>
        <v>0</v>
      </c>
      <c r="AP89" s="36">
        <f t="shared" si="54"/>
        <v>0</v>
      </c>
    </row>
    <row r="90" spans="1:43">
      <c r="A90" s="22" t="str">
        <f t="shared" si="42"/>
        <v>hydro</v>
      </c>
      <c r="B90" s="26">
        <f t="shared" ref="B90:AE90" si="57">B70</f>
        <v>0</v>
      </c>
      <c r="C90" s="26">
        <f t="shared" si="57"/>
        <v>0</v>
      </c>
      <c r="D90" s="26">
        <f t="shared" si="57"/>
        <v>0</v>
      </c>
      <c r="E90" s="26">
        <f t="shared" si="57"/>
        <v>0</v>
      </c>
      <c r="F90" s="26">
        <f t="shared" si="57"/>
        <v>0</v>
      </c>
      <c r="G90" s="26">
        <f t="shared" si="57"/>
        <v>0</v>
      </c>
      <c r="H90" s="26">
        <f t="shared" si="57"/>
        <v>0</v>
      </c>
      <c r="I90" s="26">
        <f t="shared" si="57"/>
        <v>0</v>
      </c>
      <c r="J90" s="26">
        <f t="shared" si="57"/>
        <v>0</v>
      </c>
      <c r="K90" s="26">
        <f t="shared" si="57"/>
        <v>0</v>
      </c>
      <c r="L90" s="26">
        <f t="shared" si="57"/>
        <v>0</v>
      </c>
      <c r="M90" s="26">
        <f t="shared" si="57"/>
        <v>0</v>
      </c>
      <c r="N90" s="26">
        <f t="shared" si="57"/>
        <v>0</v>
      </c>
      <c r="O90" s="26">
        <f t="shared" si="57"/>
        <v>0</v>
      </c>
      <c r="P90" s="26">
        <f t="shared" si="57"/>
        <v>4229.46900000019</v>
      </c>
      <c r="Q90" s="26">
        <f t="shared" si="57"/>
        <v>14272.65</v>
      </c>
      <c r="R90" s="26">
        <f t="shared" si="57"/>
        <v>13552</v>
      </c>
      <c r="S90" s="26">
        <f t="shared" si="57"/>
        <v>20481.115</v>
      </c>
      <c r="T90" s="26">
        <f t="shared" si="57"/>
        <v>7112.99622222222</v>
      </c>
      <c r="U90" s="26">
        <f t="shared" si="57"/>
        <v>13588.9962222222</v>
      </c>
      <c r="V90" s="26">
        <f t="shared" si="57"/>
        <v>18432.0962222222</v>
      </c>
      <c r="W90" s="26">
        <f t="shared" si="57"/>
        <v>18479.6962222222</v>
      </c>
      <c r="X90" s="26">
        <f t="shared" si="57"/>
        <v>18393.6762222222</v>
      </c>
      <c r="Y90" s="26">
        <f t="shared" si="57"/>
        <v>20252.4962222222</v>
      </c>
      <c r="Z90" s="26">
        <f t="shared" si="57"/>
        <v>31412.4862222222</v>
      </c>
      <c r="AA90" s="26">
        <f t="shared" si="57"/>
        <v>38505.1862222222</v>
      </c>
      <c r="AB90" s="26">
        <f t="shared" si="57"/>
        <v>25657.0962222222</v>
      </c>
      <c r="AC90" s="26">
        <f t="shared" si="57"/>
        <v>21789.48</v>
      </c>
      <c r="AD90" s="26">
        <f t="shared" si="57"/>
        <v>31524.68</v>
      </c>
      <c r="AE90" s="26">
        <f t="shared" si="57"/>
        <v>29842.88</v>
      </c>
      <c r="AF90" s="36">
        <f t="shared" si="44"/>
        <v>11925.1</v>
      </c>
      <c r="AG90" s="36">
        <f t="shared" si="45"/>
        <v>0</v>
      </c>
      <c r="AH90" s="36">
        <f t="shared" si="46"/>
        <v>0</v>
      </c>
      <c r="AI90" s="36">
        <f t="shared" si="47"/>
        <v>0</v>
      </c>
      <c r="AJ90" s="36">
        <f t="shared" si="48"/>
        <v>0</v>
      </c>
      <c r="AK90" s="36">
        <f t="shared" si="49"/>
        <v>0</v>
      </c>
      <c r="AL90" s="36">
        <f t="shared" si="50"/>
        <v>0</v>
      </c>
      <c r="AM90" s="36">
        <f t="shared" si="51"/>
        <v>0</v>
      </c>
      <c r="AN90" s="36">
        <f t="shared" si="52"/>
        <v>0</v>
      </c>
      <c r="AO90" s="36">
        <f t="shared" si="53"/>
        <v>0</v>
      </c>
      <c r="AP90" s="36">
        <f t="shared" si="54"/>
        <v>0</v>
      </c>
    </row>
    <row r="91" spans="1:43">
      <c r="A91" s="22" t="str">
        <f t="shared" si="42"/>
        <v>onshore wind</v>
      </c>
      <c r="B91" s="26">
        <f t="shared" ref="B91:AE91" si="58">B71</f>
        <v>0</v>
      </c>
      <c r="C91" s="26">
        <f t="shared" si="58"/>
        <v>0</v>
      </c>
      <c r="D91" s="26">
        <f t="shared" si="58"/>
        <v>0</v>
      </c>
      <c r="E91" s="26">
        <f t="shared" si="58"/>
        <v>0</v>
      </c>
      <c r="F91" s="26">
        <f t="shared" si="58"/>
        <v>0</v>
      </c>
      <c r="G91" s="26">
        <f t="shared" si="58"/>
        <v>0</v>
      </c>
      <c r="H91" s="26">
        <f t="shared" si="58"/>
        <v>0</v>
      </c>
      <c r="I91" s="26">
        <f t="shared" si="58"/>
        <v>0</v>
      </c>
      <c r="J91" s="26">
        <f t="shared" si="58"/>
        <v>0</v>
      </c>
      <c r="K91" s="26">
        <f t="shared" si="58"/>
        <v>0</v>
      </c>
      <c r="L91" s="26">
        <f t="shared" si="58"/>
        <v>0</v>
      </c>
      <c r="M91" s="26">
        <f t="shared" si="58"/>
        <v>0</v>
      </c>
      <c r="N91" s="26">
        <f t="shared" si="58"/>
        <v>0</v>
      </c>
      <c r="O91" s="26">
        <f t="shared" si="58"/>
        <v>0</v>
      </c>
      <c r="P91" s="26">
        <f t="shared" si="58"/>
        <v>0</v>
      </c>
      <c r="Q91" s="26">
        <f t="shared" si="58"/>
        <v>0</v>
      </c>
      <c r="R91" s="26">
        <f t="shared" si="58"/>
        <v>0</v>
      </c>
      <c r="S91" s="26">
        <f t="shared" si="58"/>
        <v>0</v>
      </c>
      <c r="T91" s="26">
        <f t="shared" si="58"/>
        <v>0</v>
      </c>
      <c r="U91" s="26">
        <f t="shared" si="58"/>
        <v>8045.1822222222</v>
      </c>
      <c r="V91" s="26">
        <f t="shared" si="58"/>
        <v>14917.4343055555</v>
      </c>
      <c r="W91" s="26">
        <f t="shared" si="58"/>
        <v>15527.7343055555</v>
      </c>
      <c r="X91" s="26">
        <f t="shared" si="58"/>
        <v>13289.4343055555</v>
      </c>
      <c r="Y91" s="26">
        <f t="shared" si="58"/>
        <v>14566.6009722222</v>
      </c>
      <c r="Z91" s="26">
        <f t="shared" si="58"/>
        <v>20800.0343055555</v>
      </c>
      <c r="AA91" s="26">
        <f t="shared" si="58"/>
        <v>30869.9009722222</v>
      </c>
      <c r="AB91" s="26">
        <f t="shared" si="58"/>
        <v>18998.7009722222</v>
      </c>
      <c r="AC91" s="26">
        <f t="shared" si="58"/>
        <v>17712.2031944444</v>
      </c>
      <c r="AD91" s="26">
        <f t="shared" si="58"/>
        <v>21778.4031944444</v>
      </c>
      <c r="AE91" s="26">
        <f t="shared" si="58"/>
        <v>26230.6031944444</v>
      </c>
      <c r="AF91" s="36">
        <f t="shared" si="44"/>
        <v>69473.5</v>
      </c>
      <c r="AG91" s="36">
        <f t="shared" si="45"/>
        <v>0</v>
      </c>
      <c r="AH91" s="36">
        <f t="shared" si="46"/>
        <v>0</v>
      </c>
      <c r="AI91" s="36">
        <f t="shared" si="47"/>
        <v>0</v>
      </c>
      <c r="AJ91" s="36">
        <f t="shared" si="48"/>
        <v>0</v>
      </c>
      <c r="AK91" s="36">
        <f t="shared" si="49"/>
        <v>0</v>
      </c>
      <c r="AL91" s="36">
        <f t="shared" si="50"/>
        <v>0</v>
      </c>
      <c r="AM91" s="36">
        <f t="shared" si="51"/>
        <v>0</v>
      </c>
      <c r="AN91" s="36">
        <f t="shared" si="52"/>
        <v>0</v>
      </c>
      <c r="AO91" s="36">
        <f t="shared" si="53"/>
        <v>0</v>
      </c>
      <c r="AP91" s="36">
        <f t="shared" si="54"/>
        <v>0</v>
      </c>
    </row>
    <row r="92" spans="1:43">
      <c r="A92" s="22" t="str">
        <f t="shared" si="42"/>
        <v>solar PV</v>
      </c>
      <c r="B92" s="26">
        <f t="shared" ref="B92:AE92" si="59">B72</f>
        <v>0</v>
      </c>
      <c r="C92" s="26">
        <f t="shared" si="59"/>
        <v>0</v>
      </c>
      <c r="D92" s="26">
        <f t="shared" si="59"/>
        <v>0</v>
      </c>
      <c r="E92" s="26">
        <f t="shared" si="59"/>
        <v>0</v>
      </c>
      <c r="F92" s="26">
        <f t="shared" si="59"/>
        <v>0</v>
      </c>
      <c r="G92" s="26">
        <f t="shared" si="59"/>
        <v>0</v>
      </c>
      <c r="H92" s="26">
        <f t="shared" si="59"/>
        <v>0</v>
      </c>
      <c r="I92" s="26">
        <f t="shared" si="59"/>
        <v>0</v>
      </c>
      <c r="J92" s="26">
        <f t="shared" si="59"/>
        <v>0</v>
      </c>
      <c r="K92" s="26">
        <f t="shared" si="59"/>
        <v>0</v>
      </c>
      <c r="L92" s="26">
        <f t="shared" si="59"/>
        <v>0</v>
      </c>
      <c r="M92" s="26">
        <f t="shared" si="59"/>
        <v>0</v>
      </c>
      <c r="N92" s="26">
        <f t="shared" si="59"/>
        <v>0</v>
      </c>
      <c r="O92" s="26">
        <f t="shared" si="59"/>
        <v>0</v>
      </c>
      <c r="P92" s="26">
        <f t="shared" si="59"/>
        <v>0</v>
      </c>
      <c r="Q92" s="26">
        <f t="shared" si="59"/>
        <v>0</v>
      </c>
      <c r="R92" s="26">
        <f t="shared" si="59"/>
        <v>0</v>
      </c>
      <c r="S92" s="26">
        <f t="shared" si="59"/>
        <v>0</v>
      </c>
      <c r="T92" s="26">
        <f t="shared" si="59"/>
        <v>0</v>
      </c>
      <c r="U92" s="26">
        <f t="shared" si="59"/>
        <v>0</v>
      </c>
      <c r="V92" s="26">
        <f t="shared" si="59"/>
        <v>25.018</v>
      </c>
      <c r="W92" s="26">
        <f t="shared" si="59"/>
        <v>1900.21</v>
      </c>
      <c r="X92" s="26">
        <f t="shared" si="59"/>
        <v>1146.566</v>
      </c>
      <c r="Y92" s="26">
        <f t="shared" si="59"/>
        <v>11545.872</v>
      </c>
      <c r="Z92" s="26">
        <f t="shared" si="59"/>
        <v>8510.334</v>
      </c>
      <c r="AA92" s="26">
        <f t="shared" si="59"/>
        <v>13422</v>
      </c>
      <c r="AB92" s="26">
        <f t="shared" si="59"/>
        <v>30282</v>
      </c>
      <c r="AC92" s="26">
        <f t="shared" si="59"/>
        <v>30597</v>
      </c>
      <c r="AD92" s="26">
        <f t="shared" si="59"/>
        <v>26697</v>
      </c>
      <c r="AE92" s="26">
        <f t="shared" si="59"/>
        <v>17382</v>
      </c>
      <c r="AF92" s="36">
        <f t="shared" si="44"/>
        <v>31208.7</v>
      </c>
      <c r="AG92" s="36">
        <f t="shared" si="45"/>
        <v>0</v>
      </c>
      <c r="AH92" s="36">
        <f t="shared" si="46"/>
        <v>0</v>
      </c>
      <c r="AI92" s="36">
        <f t="shared" si="47"/>
        <v>0</v>
      </c>
      <c r="AJ92" s="36">
        <f t="shared" si="48"/>
        <v>0</v>
      </c>
      <c r="AK92" s="36">
        <f t="shared" si="49"/>
        <v>0</v>
      </c>
      <c r="AL92" s="36">
        <f t="shared" si="50"/>
        <v>0</v>
      </c>
      <c r="AM92" s="36">
        <f t="shared" si="51"/>
        <v>0</v>
      </c>
      <c r="AN92" s="36">
        <f t="shared" si="52"/>
        <v>0</v>
      </c>
      <c r="AO92" s="36">
        <f t="shared" si="53"/>
        <v>0</v>
      </c>
      <c r="AP92" s="36">
        <f t="shared" si="54"/>
        <v>0</v>
      </c>
    </row>
    <row r="93" spans="1:43">
      <c r="A93" s="22" t="str">
        <f t="shared" si="42"/>
        <v>solar thermal</v>
      </c>
      <c r="B93" s="26">
        <f t="shared" ref="B93:AE93" si="60">B73</f>
        <v>0</v>
      </c>
      <c r="C93" s="26">
        <f t="shared" si="60"/>
        <v>0</v>
      </c>
      <c r="D93" s="26">
        <f t="shared" si="60"/>
        <v>0</v>
      </c>
      <c r="E93" s="26">
        <f t="shared" si="60"/>
        <v>0</v>
      </c>
      <c r="F93" s="26">
        <f t="shared" si="60"/>
        <v>0</v>
      </c>
      <c r="G93" s="26">
        <f t="shared" si="60"/>
        <v>0</v>
      </c>
      <c r="H93" s="26">
        <f t="shared" si="60"/>
        <v>0</v>
      </c>
      <c r="I93" s="26">
        <f t="shared" si="60"/>
        <v>0</v>
      </c>
      <c r="J93" s="26">
        <f t="shared" si="60"/>
        <v>0</v>
      </c>
      <c r="K93" s="26">
        <f t="shared" si="60"/>
        <v>0</v>
      </c>
      <c r="L93" s="26">
        <f t="shared" si="60"/>
        <v>0</v>
      </c>
      <c r="M93" s="26">
        <f t="shared" si="60"/>
        <v>0</v>
      </c>
      <c r="N93" s="26">
        <f t="shared" si="60"/>
        <v>0</v>
      </c>
      <c r="O93" s="26">
        <f t="shared" si="60"/>
        <v>0</v>
      </c>
      <c r="P93" s="26">
        <f t="shared" si="60"/>
        <v>0</v>
      </c>
      <c r="Q93" s="26">
        <f t="shared" si="60"/>
        <v>0</v>
      </c>
      <c r="R93" s="26">
        <f t="shared" si="60"/>
        <v>0</v>
      </c>
      <c r="S93" s="26">
        <f t="shared" si="60"/>
        <v>0</v>
      </c>
      <c r="T93" s="26">
        <f t="shared" si="60"/>
        <v>0</v>
      </c>
      <c r="U93" s="26">
        <f t="shared" si="60"/>
        <v>0</v>
      </c>
      <c r="V93" s="26">
        <f t="shared" si="60"/>
        <v>0</v>
      </c>
      <c r="W93" s="26">
        <f t="shared" si="60"/>
        <v>0</v>
      </c>
      <c r="X93" s="26">
        <f t="shared" si="60"/>
        <v>0</v>
      </c>
      <c r="Y93" s="26">
        <f t="shared" si="60"/>
        <v>0</v>
      </c>
      <c r="Z93" s="26">
        <f t="shared" si="60"/>
        <v>0</v>
      </c>
      <c r="AA93" s="26">
        <f t="shared" si="60"/>
        <v>0</v>
      </c>
      <c r="AB93" s="26">
        <f t="shared" si="60"/>
        <v>0</v>
      </c>
      <c r="AC93" s="26">
        <f t="shared" si="60"/>
        <v>0</v>
      </c>
      <c r="AD93" s="26">
        <f t="shared" si="60"/>
        <v>0</v>
      </c>
      <c r="AE93" s="26">
        <f t="shared" si="60"/>
        <v>0</v>
      </c>
      <c r="AF93" s="36">
        <f t="shared" si="44"/>
        <v>0</v>
      </c>
      <c r="AG93" s="36">
        <f t="shared" si="45"/>
        <v>0</v>
      </c>
      <c r="AH93" s="36">
        <f t="shared" si="46"/>
        <v>0</v>
      </c>
      <c r="AI93" s="36">
        <f t="shared" si="47"/>
        <v>0</v>
      </c>
      <c r="AJ93" s="36">
        <f t="shared" si="48"/>
        <v>0</v>
      </c>
      <c r="AK93" s="36">
        <f t="shared" si="49"/>
        <v>0</v>
      </c>
      <c r="AL93" s="36">
        <f t="shared" si="50"/>
        <v>0</v>
      </c>
      <c r="AM93" s="36">
        <f t="shared" si="51"/>
        <v>0</v>
      </c>
      <c r="AN93" s="36">
        <f t="shared" si="52"/>
        <v>0</v>
      </c>
      <c r="AO93" s="36">
        <f t="shared" si="53"/>
        <v>0</v>
      </c>
      <c r="AP93" s="36">
        <f t="shared" si="54"/>
        <v>0</v>
      </c>
    </row>
    <row r="94" spans="1:43">
      <c r="A94" s="22" t="str">
        <f t="shared" si="42"/>
        <v>biomass</v>
      </c>
      <c r="B94" s="26">
        <f t="shared" ref="B94:AE94" si="61">B74</f>
        <v>28.8490909090909</v>
      </c>
      <c r="C94" s="26">
        <f t="shared" si="61"/>
        <v>28.8490909090909</v>
      </c>
      <c r="D94" s="26">
        <f t="shared" si="61"/>
        <v>28.8490909090909</v>
      </c>
      <c r="E94" s="26">
        <f t="shared" si="61"/>
        <v>28.8490909090909</v>
      </c>
      <c r="F94" s="26">
        <f t="shared" si="61"/>
        <v>28.8490909090909</v>
      </c>
      <c r="G94" s="26">
        <f t="shared" si="61"/>
        <v>28.8490909090909</v>
      </c>
      <c r="H94" s="26">
        <f t="shared" si="61"/>
        <v>28.8490909090909</v>
      </c>
      <c r="I94" s="26">
        <f t="shared" si="61"/>
        <v>28.8490909090909</v>
      </c>
      <c r="J94" s="26">
        <f t="shared" si="61"/>
        <v>28.8490909090909</v>
      </c>
      <c r="K94" s="26">
        <f t="shared" si="61"/>
        <v>28.8490909090909</v>
      </c>
      <c r="L94" s="26">
        <f t="shared" si="61"/>
        <v>28.8490909090909</v>
      </c>
      <c r="M94" s="26">
        <f t="shared" si="61"/>
        <v>514.75</v>
      </c>
      <c r="N94" s="26">
        <f t="shared" si="61"/>
        <v>514.75</v>
      </c>
      <c r="O94" s="26">
        <f t="shared" si="61"/>
        <v>514.75</v>
      </c>
      <c r="P94" s="26">
        <f t="shared" si="61"/>
        <v>514.75</v>
      </c>
      <c r="Q94" s="26">
        <f t="shared" si="61"/>
        <v>514.75</v>
      </c>
      <c r="R94" s="26">
        <f t="shared" si="61"/>
        <v>514.75</v>
      </c>
      <c r="S94" s="26">
        <f t="shared" si="61"/>
        <v>514.75</v>
      </c>
      <c r="T94" s="26">
        <f t="shared" si="61"/>
        <v>514.75</v>
      </c>
      <c r="U94" s="26">
        <f t="shared" si="61"/>
        <v>232.5</v>
      </c>
      <c r="V94" s="26">
        <f t="shared" si="61"/>
        <v>433</v>
      </c>
      <c r="W94" s="26">
        <f t="shared" si="61"/>
        <v>654</v>
      </c>
      <c r="X94" s="26">
        <f t="shared" si="61"/>
        <v>786.8</v>
      </c>
      <c r="Y94" s="26">
        <f t="shared" si="61"/>
        <v>574.8</v>
      </c>
      <c r="Z94" s="26">
        <f t="shared" si="61"/>
        <v>705.2</v>
      </c>
      <c r="AA94" s="26">
        <f t="shared" si="61"/>
        <v>474</v>
      </c>
      <c r="AB94" s="26">
        <f t="shared" si="61"/>
        <v>633.5</v>
      </c>
      <c r="AC94" s="26">
        <f t="shared" si="61"/>
        <v>810</v>
      </c>
      <c r="AD94" s="26">
        <f t="shared" si="61"/>
        <v>952.6</v>
      </c>
      <c r="AE94" s="26">
        <f t="shared" si="61"/>
        <v>1190.26</v>
      </c>
      <c r="AF94" s="36">
        <f t="shared" si="44"/>
        <v>2230.5</v>
      </c>
      <c r="AG94" s="36">
        <f t="shared" si="45"/>
        <v>0</v>
      </c>
      <c r="AH94" s="36">
        <f t="shared" si="46"/>
        <v>0</v>
      </c>
      <c r="AI94" s="36">
        <f t="shared" si="47"/>
        <v>0</v>
      </c>
      <c r="AJ94" s="36">
        <f t="shared" si="48"/>
        <v>0</v>
      </c>
      <c r="AK94" s="36">
        <f t="shared" si="49"/>
        <v>0</v>
      </c>
      <c r="AL94" s="36">
        <f t="shared" si="50"/>
        <v>0</v>
      </c>
      <c r="AM94" s="36">
        <f t="shared" si="51"/>
        <v>0</v>
      </c>
      <c r="AN94" s="36">
        <f t="shared" si="52"/>
        <v>0</v>
      </c>
      <c r="AO94" s="36">
        <f t="shared" si="53"/>
        <v>0</v>
      </c>
      <c r="AP94" s="36">
        <f t="shared" si="54"/>
        <v>0</v>
      </c>
    </row>
    <row r="95" spans="1:43">
      <c r="A95" s="22" t="str">
        <f t="shared" si="42"/>
        <v>geothermal</v>
      </c>
      <c r="B95" s="26">
        <f t="shared" ref="B95:AE95" si="62">B75</f>
        <v>47.9345454545455</v>
      </c>
      <c r="C95" s="26">
        <f t="shared" si="62"/>
        <v>47.9345454545455</v>
      </c>
      <c r="D95" s="26">
        <f t="shared" si="62"/>
        <v>47.9345454545455</v>
      </c>
      <c r="E95" s="26">
        <f t="shared" si="62"/>
        <v>47.9345454545455</v>
      </c>
      <c r="F95" s="26">
        <f t="shared" si="62"/>
        <v>47.9345454545455</v>
      </c>
      <c r="G95" s="26">
        <f t="shared" si="62"/>
        <v>47.9345454545455</v>
      </c>
      <c r="H95" s="26">
        <f t="shared" si="62"/>
        <v>47.9345454545455</v>
      </c>
      <c r="I95" s="26">
        <f t="shared" si="62"/>
        <v>47.9345454545455</v>
      </c>
      <c r="J95" s="26">
        <f t="shared" si="62"/>
        <v>47.9345454545455</v>
      </c>
      <c r="K95" s="26">
        <f t="shared" si="62"/>
        <v>47.9345454545455</v>
      </c>
      <c r="L95" s="26">
        <f t="shared" si="62"/>
        <v>47.9345454545455</v>
      </c>
      <c r="M95" s="26">
        <f t="shared" si="62"/>
        <v>0</v>
      </c>
      <c r="N95" s="26">
        <f t="shared" si="62"/>
        <v>0</v>
      </c>
      <c r="O95" s="26">
        <f t="shared" si="62"/>
        <v>0</v>
      </c>
      <c r="P95" s="26">
        <f t="shared" si="62"/>
        <v>0</v>
      </c>
      <c r="Q95" s="26">
        <f t="shared" si="62"/>
        <v>0</v>
      </c>
      <c r="R95" s="26">
        <f t="shared" si="62"/>
        <v>0</v>
      </c>
      <c r="S95" s="26">
        <f t="shared" si="62"/>
        <v>0</v>
      </c>
      <c r="T95" s="26">
        <f t="shared" si="62"/>
        <v>0</v>
      </c>
      <c r="U95" s="26">
        <f t="shared" si="62"/>
        <v>0</v>
      </c>
      <c r="V95" s="26">
        <f t="shared" si="62"/>
        <v>0</v>
      </c>
      <c r="W95" s="26">
        <f t="shared" si="62"/>
        <v>0</v>
      </c>
      <c r="X95" s="26">
        <f t="shared" si="62"/>
        <v>0</v>
      </c>
      <c r="Y95" s="26">
        <f t="shared" si="62"/>
        <v>0</v>
      </c>
      <c r="Z95" s="26">
        <f t="shared" si="62"/>
        <v>0</v>
      </c>
      <c r="AA95" s="26">
        <f t="shared" si="62"/>
        <v>0</v>
      </c>
      <c r="AB95" s="26">
        <f t="shared" si="62"/>
        <v>0</v>
      </c>
      <c r="AC95" s="26">
        <f t="shared" si="62"/>
        <v>0</v>
      </c>
      <c r="AD95" s="26">
        <f t="shared" si="62"/>
        <v>0</v>
      </c>
      <c r="AE95" s="26">
        <f t="shared" si="62"/>
        <v>0</v>
      </c>
      <c r="AF95" s="36">
        <f t="shared" si="44"/>
        <v>0</v>
      </c>
      <c r="AG95" s="36">
        <f t="shared" si="45"/>
        <v>0</v>
      </c>
      <c r="AH95" s="36">
        <f t="shared" si="46"/>
        <v>0</v>
      </c>
      <c r="AI95" s="36">
        <f t="shared" si="47"/>
        <v>0</v>
      </c>
      <c r="AJ95" s="36">
        <f t="shared" si="48"/>
        <v>0</v>
      </c>
      <c r="AK95" s="36">
        <f t="shared" si="49"/>
        <v>0</v>
      </c>
      <c r="AL95" s="36">
        <f t="shared" si="50"/>
        <v>0</v>
      </c>
      <c r="AM95" s="36">
        <f t="shared" si="51"/>
        <v>0</v>
      </c>
      <c r="AN95" s="36">
        <f t="shared" si="52"/>
        <v>0</v>
      </c>
      <c r="AO95" s="36">
        <f t="shared" si="53"/>
        <v>0</v>
      </c>
      <c r="AP95" s="36">
        <f t="shared" si="54"/>
        <v>0</v>
      </c>
    </row>
    <row r="96" spans="1:43">
      <c r="A96" s="22" t="str">
        <f t="shared" si="42"/>
        <v>petroleum</v>
      </c>
      <c r="B96" s="26">
        <f t="shared" ref="B96:AE96" si="63">B76</f>
        <v>0</v>
      </c>
      <c r="C96" s="26">
        <f t="shared" si="63"/>
        <v>16.8984285442646</v>
      </c>
      <c r="D96" s="26">
        <f t="shared" si="63"/>
        <v>27.8333765698711</v>
      </c>
      <c r="E96" s="26">
        <f t="shared" si="63"/>
        <v>27.8333765698711</v>
      </c>
      <c r="F96" s="26">
        <f t="shared" si="63"/>
        <v>27.8333765698711</v>
      </c>
      <c r="G96" s="26">
        <f t="shared" si="63"/>
        <v>27.8333765698711</v>
      </c>
      <c r="H96" s="26">
        <f t="shared" si="63"/>
        <v>27.8333765698711</v>
      </c>
      <c r="I96" s="26">
        <f t="shared" si="63"/>
        <v>27.8333765698711</v>
      </c>
      <c r="J96" s="26">
        <f t="shared" si="63"/>
        <v>27.8333765698711</v>
      </c>
      <c r="K96" s="26">
        <f t="shared" si="63"/>
        <v>27.8333765698711</v>
      </c>
      <c r="L96" s="26">
        <f t="shared" si="63"/>
        <v>27.8333765698711</v>
      </c>
      <c r="M96" s="26">
        <f t="shared" si="63"/>
        <v>27.8333765698711</v>
      </c>
      <c r="N96" s="26">
        <f t="shared" si="63"/>
        <v>10.0432765599109</v>
      </c>
      <c r="O96" s="26">
        <f t="shared" si="63"/>
        <v>7.83120156828656</v>
      </c>
      <c r="P96" s="26">
        <f t="shared" si="63"/>
        <v>7.83120156828656</v>
      </c>
      <c r="Q96" s="26">
        <f t="shared" si="63"/>
        <v>15.1971832414274</v>
      </c>
      <c r="R96" s="26">
        <f t="shared" si="63"/>
        <v>7.83120156828656</v>
      </c>
      <c r="S96" s="26">
        <f t="shared" si="63"/>
        <v>7.83120156828656</v>
      </c>
      <c r="T96" s="26">
        <f t="shared" si="63"/>
        <v>23.7946293428951</v>
      </c>
      <c r="U96" s="26">
        <f t="shared" si="63"/>
        <v>7.83120156828656</v>
      </c>
      <c r="V96" s="26">
        <f t="shared" si="63"/>
        <v>7.83120156828656</v>
      </c>
      <c r="W96" s="26">
        <f t="shared" si="63"/>
        <v>7.83120156828658</v>
      </c>
      <c r="X96" s="26">
        <f t="shared" si="63"/>
        <v>0</v>
      </c>
      <c r="Y96" s="26">
        <f t="shared" si="63"/>
        <v>0</v>
      </c>
      <c r="Z96" s="26">
        <f t="shared" si="63"/>
        <v>0</v>
      </c>
      <c r="AA96" s="26">
        <f t="shared" si="63"/>
        <v>0</v>
      </c>
      <c r="AB96" s="26">
        <f t="shared" si="63"/>
        <v>0</v>
      </c>
      <c r="AC96" s="26">
        <f t="shared" si="63"/>
        <v>0</v>
      </c>
      <c r="AD96" s="26">
        <f t="shared" si="63"/>
        <v>0</v>
      </c>
      <c r="AE96" s="26">
        <f t="shared" si="63"/>
        <v>0</v>
      </c>
      <c r="AF96" s="36">
        <f t="shared" si="44"/>
        <v>0</v>
      </c>
      <c r="AG96" s="36">
        <f t="shared" si="45"/>
        <v>0</v>
      </c>
      <c r="AH96" s="36">
        <f t="shared" si="46"/>
        <v>0</v>
      </c>
      <c r="AI96" s="36">
        <f t="shared" si="47"/>
        <v>0</v>
      </c>
      <c r="AJ96" s="36">
        <f t="shared" si="48"/>
        <v>0</v>
      </c>
      <c r="AK96" s="36">
        <f t="shared" si="49"/>
        <v>0</v>
      </c>
      <c r="AL96" s="36">
        <f t="shared" si="50"/>
        <v>0</v>
      </c>
      <c r="AM96" s="36">
        <f t="shared" si="51"/>
        <v>0</v>
      </c>
      <c r="AN96" s="36">
        <f t="shared" si="52"/>
        <v>0</v>
      </c>
      <c r="AO96" s="36">
        <f t="shared" si="53"/>
        <v>0</v>
      </c>
      <c r="AP96" s="36">
        <f t="shared" si="54"/>
        <v>0</v>
      </c>
    </row>
    <row r="97" spans="1:44">
      <c r="A97" s="22" t="str">
        <f t="shared" si="42"/>
        <v>natural gas peaker</v>
      </c>
      <c r="B97" s="26">
        <f t="shared" ref="B97:AE97" si="64">B77</f>
        <v>0</v>
      </c>
      <c r="C97" s="26">
        <f t="shared" si="64"/>
        <v>0</v>
      </c>
      <c r="D97" s="26">
        <f t="shared" si="64"/>
        <v>0</v>
      </c>
      <c r="E97" s="26">
        <f t="shared" si="64"/>
        <v>0</v>
      </c>
      <c r="F97" s="26">
        <f t="shared" si="64"/>
        <v>0</v>
      </c>
      <c r="G97" s="26">
        <f t="shared" si="64"/>
        <v>0</v>
      </c>
      <c r="H97" s="26">
        <f t="shared" si="64"/>
        <v>0</v>
      </c>
      <c r="I97" s="26">
        <f t="shared" si="64"/>
        <v>0</v>
      </c>
      <c r="J97" s="26">
        <f t="shared" si="64"/>
        <v>0</v>
      </c>
      <c r="K97" s="26">
        <f t="shared" si="64"/>
        <v>0</v>
      </c>
      <c r="L97" s="26">
        <f t="shared" si="64"/>
        <v>32.6159999999987</v>
      </c>
      <c r="M97" s="26">
        <f t="shared" si="64"/>
        <v>107.34</v>
      </c>
      <c r="N97" s="26">
        <f t="shared" si="64"/>
        <v>116.34</v>
      </c>
      <c r="O97" s="26">
        <f t="shared" si="64"/>
        <v>120.9</v>
      </c>
      <c r="P97" s="26">
        <f t="shared" si="64"/>
        <v>0</v>
      </c>
      <c r="Q97" s="26">
        <f t="shared" si="64"/>
        <v>889.71</v>
      </c>
      <c r="R97" s="26">
        <f t="shared" si="64"/>
        <v>1341.51</v>
      </c>
      <c r="S97" s="26">
        <f t="shared" si="64"/>
        <v>1222.887</v>
      </c>
      <c r="T97" s="26">
        <f t="shared" si="64"/>
        <v>424.533</v>
      </c>
      <c r="U97" s="26">
        <f t="shared" si="64"/>
        <v>1109.88</v>
      </c>
      <c r="V97" s="26">
        <f t="shared" si="64"/>
        <v>883.2876</v>
      </c>
      <c r="W97" s="26">
        <f t="shared" si="64"/>
        <v>709.0476</v>
      </c>
      <c r="X97" s="26">
        <f t="shared" si="64"/>
        <v>956.4276</v>
      </c>
      <c r="Y97" s="26">
        <f t="shared" si="64"/>
        <v>2128.1676</v>
      </c>
      <c r="Z97" s="26">
        <f t="shared" si="64"/>
        <v>3905.8776</v>
      </c>
      <c r="AA97" s="26">
        <f t="shared" si="64"/>
        <v>3674.1576</v>
      </c>
      <c r="AB97" s="26">
        <f t="shared" si="64"/>
        <v>2238.0876</v>
      </c>
      <c r="AC97" s="26">
        <f t="shared" si="64"/>
        <v>2053.7556</v>
      </c>
      <c r="AD97" s="26">
        <f t="shared" si="64"/>
        <v>2990.5056</v>
      </c>
      <c r="AE97" s="26">
        <f t="shared" si="64"/>
        <v>2099.4456</v>
      </c>
      <c r="AF97" s="36">
        <f t="shared" si="44"/>
        <v>8228.4</v>
      </c>
      <c r="AG97" s="36">
        <f t="shared" si="45"/>
        <v>10236</v>
      </c>
      <c r="AH97" s="36">
        <f t="shared" si="46"/>
        <v>11202</v>
      </c>
      <c r="AI97" s="36">
        <f t="shared" si="47"/>
        <v>11232</v>
      </c>
      <c r="AJ97" s="36">
        <f t="shared" si="48"/>
        <v>28133</v>
      </c>
      <c r="AK97" s="36">
        <f t="shared" si="49"/>
        <v>30535</v>
      </c>
      <c r="AL97" s="36">
        <f t="shared" si="50"/>
        <v>18570</v>
      </c>
      <c r="AM97" s="36">
        <f t="shared" si="51"/>
        <v>13938</v>
      </c>
      <c r="AN97" s="36">
        <f t="shared" si="52"/>
        <v>9519</v>
      </c>
      <c r="AO97" s="36">
        <f t="shared" si="53"/>
        <v>9399</v>
      </c>
      <c r="AP97" s="36">
        <f t="shared" si="54"/>
        <v>10519</v>
      </c>
    </row>
    <row r="98" spans="1:44">
      <c r="A98" s="22" t="str">
        <f t="shared" si="42"/>
        <v>lignite</v>
      </c>
      <c r="B98" s="26">
        <f t="shared" ref="B98:AE98" si="65">B78</f>
        <v>1882.32727272727</v>
      </c>
      <c r="C98" s="26">
        <f t="shared" si="65"/>
        <v>1882.32727272727</v>
      </c>
      <c r="D98" s="26">
        <f t="shared" si="65"/>
        <v>1882.32727272727</v>
      </c>
      <c r="E98" s="26">
        <f t="shared" si="65"/>
        <v>1882.32727272727</v>
      </c>
      <c r="F98" s="26">
        <f t="shared" si="65"/>
        <v>1882.32727272727</v>
      </c>
      <c r="G98" s="26">
        <f t="shared" si="65"/>
        <v>1882.32727272727</v>
      </c>
      <c r="H98" s="26">
        <f t="shared" si="65"/>
        <v>1882.32727272727</v>
      </c>
      <c r="I98" s="26">
        <f t="shared" si="65"/>
        <v>1882.32727272727</v>
      </c>
      <c r="J98" s="26">
        <f t="shared" si="65"/>
        <v>1882.32727272727</v>
      </c>
      <c r="K98" s="26">
        <f t="shared" si="65"/>
        <v>1882.32727272727</v>
      </c>
      <c r="L98" s="26">
        <f t="shared" si="65"/>
        <v>1882.32727272727</v>
      </c>
      <c r="M98" s="26">
        <f t="shared" si="65"/>
        <v>648.5</v>
      </c>
      <c r="N98" s="26">
        <f t="shared" si="65"/>
        <v>648.5</v>
      </c>
      <c r="O98" s="26">
        <f t="shared" si="65"/>
        <v>648.5</v>
      </c>
      <c r="P98" s="26">
        <f t="shared" si="65"/>
        <v>648.5</v>
      </c>
      <c r="Q98" s="26">
        <f t="shared" si="65"/>
        <v>648.5</v>
      </c>
      <c r="R98" s="26">
        <f t="shared" si="65"/>
        <v>648.5</v>
      </c>
      <c r="S98" s="26">
        <f t="shared" si="65"/>
        <v>648.5</v>
      </c>
      <c r="T98" s="26">
        <f t="shared" si="65"/>
        <v>648.5</v>
      </c>
      <c r="U98" s="26">
        <f t="shared" si="65"/>
        <v>1550</v>
      </c>
      <c r="V98" s="26">
        <f t="shared" si="65"/>
        <v>1901.4</v>
      </c>
      <c r="W98" s="26">
        <f t="shared" si="65"/>
        <v>1230</v>
      </c>
      <c r="X98" s="26">
        <f t="shared" si="65"/>
        <v>1560</v>
      </c>
      <c r="Y98" s="26">
        <f t="shared" si="65"/>
        <v>606</v>
      </c>
      <c r="Z98" s="26">
        <f t="shared" si="65"/>
        <v>300</v>
      </c>
      <c r="AA98" s="26">
        <f t="shared" si="65"/>
        <v>0</v>
      </c>
      <c r="AB98" s="26">
        <f t="shared" si="65"/>
        <v>318</v>
      </c>
      <c r="AC98" s="26">
        <f t="shared" si="65"/>
        <v>2</v>
      </c>
      <c r="AD98" s="26">
        <f t="shared" si="65"/>
        <v>0</v>
      </c>
      <c r="AE98" s="26">
        <f t="shared" si="65"/>
        <v>1400</v>
      </c>
      <c r="AF98" s="36">
        <f t="shared" si="44"/>
        <v>1688</v>
      </c>
      <c r="AG98" s="36">
        <f t="shared" si="45"/>
        <v>0</v>
      </c>
      <c r="AH98" s="36">
        <f t="shared" si="46"/>
        <v>0</v>
      </c>
      <c r="AI98" s="36">
        <f t="shared" si="47"/>
        <v>0</v>
      </c>
      <c r="AJ98" s="36">
        <f t="shared" si="48"/>
        <v>0</v>
      </c>
      <c r="AK98" s="36">
        <f t="shared" si="49"/>
        <v>0</v>
      </c>
      <c r="AL98" s="36">
        <f t="shared" si="50"/>
        <v>0</v>
      </c>
      <c r="AM98" s="36">
        <f t="shared" si="51"/>
        <v>0</v>
      </c>
      <c r="AN98" s="36">
        <f t="shared" si="52"/>
        <v>0</v>
      </c>
      <c r="AO98" s="36">
        <f t="shared" si="53"/>
        <v>0</v>
      </c>
      <c r="AP98" s="36">
        <f t="shared" si="54"/>
        <v>0</v>
      </c>
    </row>
    <row r="99" spans="1:44">
      <c r="A99" s="22" t="str">
        <f t="shared" si="42"/>
        <v>offshore wind</v>
      </c>
      <c r="B99" s="26">
        <f t="shared" ref="B99:AE99" si="66">B79</f>
        <v>0</v>
      </c>
      <c r="C99" s="26">
        <f t="shared" si="66"/>
        <v>0</v>
      </c>
      <c r="D99" s="26">
        <f t="shared" si="66"/>
        <v>0</v>
      </c>
      <c r="E99" s="26">
        <f t="shared" si="66"/>
        <v>0</v>
      </c>
      <c r="F99" s="26">
        <f t="shared" si="66"/>
        <v>0</v>
      </c>
      <c r="G99" s="26">
        <f t="shared" si="66"/>
        <v>0</v>
      </c>
      <c r="H99" s="26">
        <f t="shared" si="66"/>
        <v>0</v>
      </c>
      <c r="I99" s="26">
        <f t="shared" si="66"/>
        <v>0</v>
      </c>
      <c r="J99" s="26">
        <f t="shared" si="66"/>
        <v>0</v>
      </c>
      <c r="K99" s="26">
        <f t="shared" si="66"/>
        <v>0</v>
      </c>
      <c r="L99" s="26">
        <f t="shared" si="66"/>
        <v>0</v>
      </c>
      <c r="M99" s="26">
        <f t="shared" si="66"/>
        <v>0</v>
      </c>
      <c r="N99" s="26">
        <f t="shared" si="66"/>
        <v>0</v>
      </c>
      <c r="O99" s="26">
        <f t="shared" si="66"/>
        <v>0</v>
      </c>
      <c r="P99" s="26">
        <f t="shared" si="66"/>
        <v>0</v>
      </c>
      <c r="Q99" s="26">
        <f t="shared" si="66"/>
        <v>0</v>
      </c>
      <c r="R99" s="26">
        <f t="shared" si="66"/>
        <v>0</v>
      </c>
      <c r="S99" s="26">
        <f t="shared" si="66"/>
        <v>0</v>
      </c>
      <c r="T99" s="26">
        <f t="shared" si="66"/>
        <v>0</v>
      </c>
      <c r="U99" s="26">
        <f t="shared" si="66"/>
        <v>344</v>
      </c>
      <c r="V99" s="26">
        <f t="shared" si="66"/>
        <v>12.1818181818182</v>
      </c>
      <c r="W99" s="26">
        <f t="shared" si="66"/>
        <v>114.181818181818</v>
      </c>
      <c r="X99" s="26">
        <f t="shared" si="66"/>
        <v>24.1818181818182</v>
      </c>
      <c r="Y99" s="26">
        <f t="shared" si="66"/>
        <v>816.181818181818</v>
      </c>
      <c r="Z99" s="26">
        <f t="shared" si="66"/>
        <v>615.181818181818</v>
      </c>
      <c r="AA99" s="26">
        <f t="shared" si="66"/>
        <v>989.181818181818</v>
      </c>
      <c r="AB99" s="26">
        <f t="shared" si="66"/>
        <v>2367.18181818182</v>
      </c>
      <c r="AC99" s="26">
        <f t="shared" si="66"/>
        <v>12.1818181818182</v>
      </c>
      <c r="AD99" s="26">
        <f t="shared" si="66"/>
        <v>12.1818181818182</v>
      </c>
      <c r="AE99" s="26">
        <f t="shared" si="66"/>
        <v>12.1818181818182</v>
      </c>
      <c r="AF99" s="36">
        <f t="shared" si="44"/>
        <v>2643</v>
      </c>
      <c r="AG99" s="36">
        <f t="shared" si="45"/>
        <v>17021.5</v>
      </c>
      <c r="AH99" s="36">
        <f t="shared" si="46"/>
        <v>6727.5</v>
      </c>
      <c r="AI99" s="36">
        <f t="shared" si="47"/>
        <v>6169.5</v>
      </c>
      <c r="AJ99" s="36">
        <f t="shared" si="48"/>
        <v>12975</v>
      </c>
      <c r="AK99" s="36">
        <f t="shared" si="49"/>
        <v>6505</v>
      </c>
      <c r="AL99" s="36">
        <f t="shared" si="50"/>
        <v>3600</v>
      </c>
      <c r="AM99" s="36">
        <f t="shared" si="51"/>
        <v>800</v>
      </c>
      <c r="AN99" s="36">
        <f t="shared" si="52"/>
        <v>1000</v>
      </c>
      <c r="AO99" s="36">
        <f t="shared" si="53"/>
        <v>0</v>
      </c>
      <c r="AP99" s="36">
        <f t="shared" si="54"/>
        <v>0</v>
      </c>
    </row>
    <row r="100" spans="1:44">
      <c r="A100" s="22" t="str">
        <f t="shared" si="42"/>
        <v>crude oil</v>
      </c>
      <c r="B100" s="26">
        <f t="shared" ref="B100:AE100" si="67">B80</f>
        <v>0</v>
      </c>
      <c r="C100" s="26">
        <f t="shared" si="67"/>
        <v>3.85532828077042</v>
      </c>
      <c r="D100" s="26">
        <f t="shared" si="67"/>
        <v>6.3501054880975</v>
      </c>
      <c r="E100" s="26">
        <f t="shared" si="67"/>
        <v>6.3501054880975</v>
      </c>
      <c r="F100" s="26">
        <f t="shared" si="67"/>
        <v>6.3501054880975</v>
      </c>
      <c r="G100" s="26">
        <f t="shared" si="67"/>
        <v>6.3501054880975</v>
      </c>
      <c r="H100" s="26">
        <f t="shared" si="67"/>
        <v>6.3501054880975</v>
      </c>
      <c r="I100" s="26">
        <f t="shared" si="67"/>
        <v>6.3501054880975</v>
      </c>
      <c r="J100" s="26">
        <f t="shared" si="67"/>
        <v>6.3501054880975</v>
      </c>
      <c r="K100" s="26">
        <f t="shared" si="67"/>
        <v>6.3501054880975</v>
      </c>
      <c r="L100" s="26">
        <f t="shared" si="67"/>
        <v>6.3501054880975</v>
      </c>
      <c r="M100" s="26">
        <f t="shared" si="67"/>
        <v>6.3501054880975</v>
      </c>
      <c r="N100" s="26">
        <f t="shared" si="67"/>
        <v>2.29134490533235</v>
      </c>
      <c r="O100" s="26">
        <f t="shared" si="67"/>
        <v>1.78666630447577</v>
      </c>
      <c r="P100" s="26">
        <f t="shared" si="67"/>
        <v>1.78666630447577</v>
      </c>
      <c r="Q100" s="26">
        <f t="shared" si="67"/>
        <v>3.46719401660645</v>
      </c>
      <c r="R100" s="26">
        <f t="shared" si="67"/>
        <v>1.78666630447577</v>
      </c>
      <c r="S100" s="26">
        <f t="shared" si="67"/>
        <v>1.78666630447577</v>
      </c>
      <c r="T100" s="26">
        <f t="shared" si="67"/>
        <v>5.4286768261212</v>
      </c>
      <c r="U100" s="26">
        <f t="shared" si="67"/>
        <v>1.78666630447577</v>
      </c>
      <c r="V100" s="26">
        <f t="shared" si="67"/>
        <v>1.78666630447577</v>
      </c>
      <c r="W100" s="26">
        <f t="shared" si="67"/>
        <v>1.78666630447578</v>
      </c>
      <c r="X100" s="26">
        <f t="shared" si="67"/>
        <v>0</v>
      </c>
      <c r="Y100" s="26">
        <f t="shared" si="67"/>
        <v>0</v>
      </c>
      <c r="Z100" s="26">
        <f t="shared" si="67"/>
        <v>0</v>
      </c>
      <c r="AA100" s="26">
        <f t="shared" si="67"/>
        <v>0</v>
      </c>
      <c r="AB100" s="26">
        <f t="shared" si="67"/>
        <v>0</v>
      </c>
      <c r="AC100" s="26">
        <f t="shared" si="67"/>
        <v>0</v>
      </c>
      <c r="AD100" s="26">
        <f t="shared" si="67"/>
        <v>0</v>
      </c>
      <c r="AE100" s="26">
        <f t="shared" si="67"/>
        <v>0</v>
      </c>
      <c r="AF100" s="36">
        <f t="shared" si="44"/>
        <v>0</v>
      </c>
      <c r="AG100" s="36">
        <f t="shared" si="45"/>
        <v>0</v>
      </c>
      <c r="AH100" s="36">
        <f t="shared" si="46"/>
        <v>0</v>
      </c>
      <c r="AI100" s="36">
        <f t="shared" si="47"/>
        <v>0</v>
      </c>
      <c r="AJ100" s="36">
        <f t="shared" si="48"/>
        <v>0</v>
      </c>
      <c r="AK100" s="36">
        <f t="shared" si="49"/>
        <v>0</v>
      </c>
      <c r="AL100" s="36">
        <f t="shared" si="50"/>
        <v>0</v>
      </c>
      <c r="AM100" s="36">
        <f t="shared" si="51"/>
        <v>0</v>
      </c>
      <c r="AN100" s="36">
        <f t="shared" si="52"/>
        <v>0</v>
      </c>
      <c r="AO100" s="36">
        <f t="shared" si="53"/>
        <v>0</v>
      </c>
      <c r="AP100" s="36">
        <f t="shared" si="54"/>
        <v>0</v>
      </c>
    </row>
    <row r="101" spans="1:44">
      <c r="A101" s="22" t="str">
        <f t="shared" si="42"/>
        <v>heavy or residual fuel oil</v>
      </c>
      <c r="B101" s="26">
        <f t="shared" ref="B101:AE101" si="68">B81</f>
        <v>0</v>
      </c>
      <c r="C101" s="26">
        <f t="shared" si="68"/>
        <v>53.3462431749658</v>
      </c>
      <c r="D101" s="26">
        <f t="shared" si="68"/>
        <v>87.8665179420314</v>
      </c>
      <c r="E101" s="26">
        <f t="shared" si="68"/>
        <v>87.8665179420314</v>
      </c>
      <c r="F101" s="26">
        <f t="shared" si="68"/>
        <v>87.8665179420314</v>
      </c>
      <c r="G101" s="26">
        <f t="shared" si="68"/>
        <v>87.8665179420314</v>
      </c>
      <c r="H101" s="26">
        <f t="shared" si="68"/>
        <v>87.8665179420314</v>
      </c>
      <c r="I101" s="26">
        <f t="shared" si="68"/>
        <v>87.8665179420314</v>
      </c>
      <c r="J101" s="26">
        <f t="shared" si="68"/>
        <v>87.8665179420314</v>
      </c>
      <c r="K101" s="26">
        <f t="shared" si="68"/>
        <v>87.8665179420314</v>
      </c>
      <c r="L101" s="26">
        <f t="shared" si="68"/>
        <v>87.8665179420314</v>
      </c>
      <c r="M101" s="26">
        <f t="shared" si="68"/>
        <v>87.8665179420314</v>
      </c>
      <c r="N101" s="26">
        <f t="shared" si="68"/>
        <v>31.7053785347568</v>
      </c>
      <c r="O101" s="26">
        <f t="shared" si="68"/>
        <v>24.7221321272377</v>
      </c>
      <c r="P101" s="26">
        <f t="shared" si="68"/>
        <v>24.7221321272377</v>
      </c>
      <c r="Q101" s="26">
        <f t="shared" si="68"/>
        <v>47.9756227419662</v>
      </c>
      <c r="R101" s="26">
        <f t="shared" si="68"/>
        <v>24.7221321272377</v>
      </c>
      <c r="S101" s="26">
        <f t="shared" si="68"/>
        <v>24.7221321272377</v>
      </c>
      <c r="T101" s="26">
        <f t="shared" si="68"/>
        <v>75.1166938309836</v>
      </c>
      <c r="U101" s="26">
        <f t="shared" si="68"/>
        <v>24.7221321272377</v>
      </c>
      <c r="V101" s="26">
        <f t="shared" si="68"/>
        <v>24.7221321272377</v>
      </c>
      <c r="W101" s="26">
        <f t="shared" si="68"/>
        <v>24.7221321272377</v>
      </c>
      <c r="X101" s="26">
        <f t="shared" si="68"/>
        <v>0</v>
      </c>
      <c r="Y101" s="26">
        <f t="shared" si="68"/>
        <v>0</v>
      </c>
      <c r="Z101" s="26">
        <f t="shared" si="68"/>
        <v>0</v>
      </c>
      <c r="AA101" s="26">
        <f t="shared" si="68"/>
        <v>0</v>
      </c>
      <c r="AB101" s="26">
        <f t="shared" si="68"/>
        <v>0</v>
      </c>
      <c r="AC101" s="26">
        <f t="shared" si="68"/>
        <v>0</v>
      </c>
      <c r="AD101" s="26">
        <f t="shared" si="68"/>
        <v>0</v>
      </c>
      <c r="AE101" s="26">
        <f t="shared" si="68"/>
        <v>0</v>
      </c>
      <c r="AF101" s="36">
        <f t="shared" si="44"/>
        <v>0</v>
      </c>
      <c r="AG101" s="36">
        <f t="shared" si="45"/>
        <v>0</v>
      </c>
      <c r="AH101" s="36">
        <f t="shared" si="46"/>
        <v>0</v>
      </c>
      <c r="AI101" s="36">
        <f t="shared" si="47"/>
        <v>0</v>
      </c>
      <c r="AJ101" s="36">
        <f t="shared" si="48"/>
        <v>0</v>
      </c>
      <c r="AK101" s="36">
        <f t="shared" si="49"/>
        <v>0</v>
      </c>
      <c r="AL101" s="36">
        <f t="shared" si="50"/>
        <v>0</v>
      </c>
      <c r="AM101" s="36">
        <f t="shared" si="51"/>
        <v>0</v>
      </c>
      <c r="AN101" s="36">
        <f t="shared" si="52"/>
        <v>0</v>
      </c>
      <c r="AO101" s="36">
        <f t="shared" si="53"/>
        <v>0</v>
      </c>
      <c r="AP101" s="36">
        <f t="shared" si="54"/>
        <v>0</v>
      </c>
    </row>
    <row r="102" spans="1:44">
      <c r="A102" s="22" t="str">
        <f t="shared" si="42"/>
        <v>municipal solid waste</v>
      </c>
      <c r="B102" s="26">
        <f t="shared" ref="B102:AE102" si="69">B82</f>
        <v>15.1</v>
      </c>
      <c r="C102" s="26">
        <f t="shared" si="69"/>
        <v>15.1</v>
      </c>
      <c r="D102" s="26">
        <f t="shared" si="69"/>
        <v>15.1</v>
      </c>
      <c r="E102" s="26">
        <f t="shared" si="69"/>
        <v>15.1</v>
      </c>
      <c r="F102" s="26">
        <f t="shared" si="69"/>
        <v>15.1</v>
      </c>
      <c r="G102" s="26">
        <f t="shared" si="69"/>
        <v>15.1</v>
      </c>
      <c r="H102" s="26">
        <f t="shared" si="69"/>
        <v>15.1</v>
      </c>
      <c r="I102" s="26">
        <f t="shared" si="69"/>
        <v>15.1</v>
      </c>
      <c r="J102" s="26">
        <f t="shared" si="69"/>
        <v>15.1</v>
      </c>
      <c r="K102" s="26">
        <f t="shared" si="69"/>
        <v>15.1</v>
      </c>
      <c r="L102" s="26">
        <f t="shared" si="69"/>
        <v>15.1</v>
      </c>
      <c r="M102" s="26">
        <f t="shared" si="69"/>
        <v>514.75</v>
      </c>
      <c r="N102" s="26">
        <f t="shared" si="69"/>
        <v>514.75</v>
      </c>
      <c r="O102" s="26">
        <f t="shared" si="69"/>
        <v>514.75</v>
      </c>
      <c r="P102" s="26">
        <f t="shared" si="69"/>
        <v>514.75</v>
      </c>
      <c r="Q102" s="26">
        <f t="shared" si="69"/>
        <v>514.75</v>
      </c>
      <c r="R102" s="26">
        <f t="shared" si="69"/>
        <v>514.75</v>
      </c>
      <c r="S102" s="26">
        <f t="shared" si="69"/>
        <v>514.75</v>
      </c>
      <c r="T102" s="26">
        <f t="shared" si="69"/>
        <v>514.75</v>
      </c>
      <c r="U102" s="26">
        <f t="shared" si="69"/>
        <v>232.5</v>
      </c>
      <c r="V102" s="26">
        <f t="shared" si="69"/>
        <v>433</v>
      </c>
      <c r="W102" s="26">
        <f t="shared" si="69"/>
        <v>654</v>
      </c>
      <c r="X102" s="26">
        <f t="shared" si="69"/>
        <v>786.8</v>
      </c>
      <c r="Y102" s="26">
        <f t="shared" si="69"/>
        <v>574.8</v>
      </c>
      <c r="Z102" s="26">
        <f t="shared" si="69"/>
        <v>705.2</v>
      </c>
      <c r="AA102" s="26">
        <f t="shared" si="69"/>
        <v>474</v>
      </c>
      <c r="AB102" s="26">
        <f t="shared" si="69"/>
        <v>633.5</v>
      </c>
      <c r="AC102" s="26">
        <f t="shared" si="69"/>
        <v>810</v>
      </c>
      <c r="AD102" s="26">
        <f t="shared" si="69"/>
        <v>952.6</v>
      </c>
      <c r="AE102" s="26">
        <f t="shared" si="69"/>
        <v>1189.5</v>
      </c>
      <c r="AF102" s="36">
        <f t="shared" si="44"/>
        <v>3002.3</v>
      </c>
      <c r="AG102" s="36">
        <f t="shared" si="45"/>
        <v>0</v>
      </c>
      <c r="AH102" s="36">
        <f t="shared" si="46"/>
        <v>0</v>
      </c>
      <c r="AI102" s="36">
        <f t="shared" si="47"/>
        <v>0</v>
      </c>
      <c r="AJ102" s="36">
        <f t="shared" si="48"/>
        <v>0</v>
      </c>
      <c r="AK102" s="36">
        <f t="shared" si="49"/>
        <v>0</v>
      </c>
      <c r="AL102" s="36">
        <f t="shared" si="50"/>
        <v>0</v>
      </c>
      <c r="AM102" s="36">
        <f t="shared" si="51"/>
        <v>0</v>
      </c>
      <c r="AN102" s="36">
        <f t="shared" si="52"/>
        <v>0</v>
      </c>
      <c r="AO102" s="36">
        <f t="shared" si="53"/>
        <v>0</v>
      </c>
      <c r="AP102" s="36">
        <f t="shared" si="54"/>
        <v>0</v>
      </c>
    </row>
    <row r="103" s="2" customFormat="1" spans="1:44"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</row>
    <row r="104" ht="13.1" spans="1:44">
      <c r="A104" s="3" t="s">
        <v>2396</v>
      </c>
    </row>
    <row r="105" spans="1:44">
      <c r="A105" s="21" t="s">
        <v>2395</v>
      </c>
      <c r="B105" s="22">
        <v>2018</v>
      </c>
      <c r="C105" s="22">
        <v>2019</v>
      </c>
      <c r="D105" s="22">
        <v>2020</v>
      </c>
      <c r="E105" s="22">
        <v>2021</v>
      </c>
      <c r="F105" s="22">
        <v>2022</v>
      </c>
      <c r="G105" s="22">
        <v>2023</v>
      </c>
      <c r="H105" s="22">
        <v>2024</v>
      </c>
      <c r="I105" s="22">
        <v>2025</v>
      </c>
      <c r="J105" s="22">
        <v>2026</v>
      </c>
      <c r="K105" s="22">
        <v>2027</v>
      </c>
      <c r="L105" s="22">
        <v>2028</v>
      </c>
      <c r="M105" s="22">
        <v>2029</v>
      </c>
      <c r="N105" s="22">
        <v>2030</v>
      </c>
      <c r="O105" s="22">
        <v>2031</v>
      </c>
      <c r="P105" s="22">
        <v>2032</v>
      </c>
      <c r="Q105" s="22">
        <v>2033</v>
      </c>
      <c r="R105" s="22">
        <v>2034</v>
      </c>
      <c r="S105" s="22">
        <v>2035</v>
      </c>
      <c r="T105" s="22">
        <v>2036</v>
      </c>
      <c r="U105" s="22">
        <v>2037</v>
      </c>
      <c r="V105" s="22">
        <v>2038</v>
      </c>
      <c r="W105" s="22">
        <v>2039</v>
      </c>
      <c r="X105" s="22">
        <v>2040</v>
      </c>
      <c r="Y105" s="22">
        <v>2041</v>
      </c>
      <c r="Z105" s="22">
        <v>2042</v>
      </c>
      <c r="AA105" s="22">
        <v>2043</v>
      </c>
      <c r="AB105" s="22">
        <v>2044</v>
      </c>
      <c r="AC105" s="22">
        <v>2045</v>
      </c>
      <c r="AD105" s="22">
        <v>2046</v>
      </c>
      <c r="AE105" s="22">
        <v>2047</v>
      </c>
      <c r="AF105" s="22">
        <v>2048</v>
      </c>
      <c r="AG105" s="22">
        <v>2049</v>
      </c>
      <c r="AH105" s="22">
        <v>2050</v>
      </c>
      <c r="AI105" s="22">
        <v>2051</v>
      </c>
      <c r="AJ105" s="22">
        <v>2052</v>
      </c>
      <c r="AK105" s="22">
        <v>2053</v>
      </c>
      <c r="AL105" s="22">
        <v>2054</v>
      </c>
      <c r="AM105" s="22">
        <v>2055</v>
      </c>
      <c r="AN105" s="22">
        <v>2056</v>
      </c>
      <c r="AO105" s="22">
        <v>2057</v>
      </c>
      <c r="AP105" s="22">
        <v>2058</v>
      </c>
      <c r="AQ105" s="22">
        <v>2059</v>
      </c>
      <c r="AR105" s="22">
        <v>2060</v>
      </c>
    </row>
    <row r="106" spans="1:44">
      <c r="A106" t="s">
        <v>2369</v>
      </c>
      <c r="B106" s="26">
        <f t="shared" ref="B106:F115" si="70">SUMIFS($B87:$AP87,$B$86:$AP$86,B$105-VLOOKUP($A106,$AK$6:$AL$21,2,FALSE))</f>
        <v>0</v>
      </c>
      <c r="C106" s="26">
        <f t="shared" si="70"/>
        <v>0</v>
      </c>
      <c r="D106" s="26">
        <f t="shared" si="70"/>
        <v>0</v>
      </c>
      <c r="E106" s="26">
        <f t="shared" si="70"/>
        <v>0</v>
      </c>
      <c r="F106" s="26">
        <f t="shared" ref="F106:AR106" si="71">SUMIFS($B87:$AP87,$B$86:$AP$86,F$105-VLOOKUP($A106,$AK$6:$AL$21,2,FALSE))</f>
        <v>0</v>
      </c>
      <c r="G106" s="26">
        <f t="shared" si="71"/>
        <v>0</v>
      </c>
      <c r="H106" s="26">
        <f t="shared" si="71"/>
        <v>0</v>
      </c>
      <c r="I106" s="26">
        <f t="shared" si="71"/>
        <v>0</v>
      </c>
      <c r="J106" s="26">
        <f t="shared" si="71"/>
        <v>0</v>
      </c>
      <c r="K106" s="26">
        <f t="shared" si="71"/>
        <v>0</v>
      </c>
      <c r="L106" s="26">
        <f t="shared" si="71"/>
        <v>0</v>
      </c>
      <c r="M106" s="26">
        <f t="shared" si="71"/>
        <v>0</v>
      </c>
      <c r="N106" s="26">
        <f t="shared" si="71"/>
        <v>0</v>
      </c>
      <c r="O106" s="26">
        <f t="shared" si="71"/>
        <v>0</v>
      </c>
      <c r="P106" s="26">
        <f t="shared" si="71"/>
        <v>0</v>
      </c>
      <c r="Q106" s="26">
        <f t="shared" si="71"/>
        <v>0</v>
      </c>
      <c r="R106" s="26">
        <f t="shared" si="71"/>
        <v>0</v>
      </c>
      <c r="S106" s="26">
        <f t="shared" si="71"/>
        <v>518.099333333084</v>
      </c>
      <c r="T106" s="26">
        <f t="shared" si="71"/>
        <v>15510.2416666667</v>
      </c>
      <c r="U106" s="26">
        <f t="shared" si="71"/>
        <v>14340.25</v>
      </c>
      <c r="V106" s="26">
        <f t="shared" si="71"/>
        <v>23873.05</v>
      </c>
      <c r="W106" s="26">
        <f t="shared" si="71"/>
        <v>45933.375</v>
      </c>
      <c r="X106" s="26">
        <f t="shared" si="71"/>
        <v>60327</v>
      </c>
      <c r="Y106" s="26">
        <f t="shared" si="71"/>
        <v>92699</v>
      </c>
      <c r="Z106" s="26">
        <f t="shared" si="71"/>
        <v>89132.345</v>
      </c>
      <c r="AA106" s="26">
        <f t="shared" si="71"/>
        <v>70989.9865555555</v>
      </c>
      <c r="AB106" s="26">
        <f t="shared" si="71"/>
        <v>72437.0865555556</v>
      </c>
      <c r="AC106" s="26">
        <f t="shared" si="71"/>
        <v>64840.9865555556</v>
      </c>
      <c r="AD106" s="26">
        <f t="shared" si="71"/>
        <v>67105.9865555556</v>
      </c>
      <c r="AE106" s="26">
        <f t="shared" si="71"/>
        <v>56889.3865555556</v>
      </c>
      <c r="AF106" s="26">
        <f t="shared" si="71"/>
        <v>44438.4865555556</v>
      </c>
      <c r="AG106" s="26">
        <f t="shared" si="71"/>
        <v>45250.2865555555</v>
      </c>
      <c r="AH106" s="26">
        <f t="shared" si="71"/>
        <v>64592.1865555556</v>
      </c>
      <c r="AI106" s="26">
        <f t="shared" si="71"/>
        <v>50227.9865555556</v>
      </c>
      <c r="AJ106" s="26">
        <f t="shared" si="71"/>
        <v>45106.22</v>
      </c>
      <c r="AK106" s="26">
        <f t="shared" si="71"/>
        <v>40627.02</v>
      </c>
      <c r="AL106" s="26">
        <f t="shared" si="71"/>
        <v>41030.02</v>
      </c>
      <c r="AM106" s="26">
        <f t="shared" si="71"/>
        <v>38613</v>
      </c>
      <c r="AN106" s="26">
        <f t="shared" si="71"/>
        <v>26707</v>
      </c>
      <c r="AO106" s="26">
        <f t="shared" si="71"/>
        <v>28272</v>
      </c>
      <c r="AP106" s="26">
        <f t="shared" si="71"/>
        <v>48098</v>
      </c>
      <c r="AQ106" s="26">
        <f t="shared" si="71"/>
        <v>45448</v>
      </c>
      <c r="AR106" s="26">
        <f t="shared" si="71"/>
        <v>115238</v>
      </c>
    </row>
    <row r="107" spans="1:44">
      <c r="A107" t="s">
        <v>2370</v>
      </c>
      <c r="B107" s="26">
        <f t="shared" si="70"/>
        <v>0</v>
      </c>
      <c r="C107" s="26">
        <f t="shared" si="70"/>
        <v>0</v>
      </c>
      <c r="D107" s="26">
        <f t="shared" si="70"/>
        <v>0</v>
      </c>
      <c r="E107" s="26">
        <f t="shared" si="70"/>
        <v>0</v>
      </c>
      <c r="F107" s="26">
        <f t="shared" si="70"/>
        <v>0</v>
      </c>
      <c r="G107" s="26">
        <f t="shared" ref="G107:G121" si="72">SUMIFS($B88:$AP88,$B$86:$AP$86,G$105-VLOOKUP($A107,$AK$6:$AL$21,2,FALSE))</f>
        <v>0</v>
      </c>
      <c r="H107" s="26">
        <f t="shared" ref="H107:AR107" si="73">SUMIFS($B88:$AP88,$B$86:$AP$86,H$105-VLOOKUP($A107,$AK$6:$AL$21,2,FALSE))</f>
        <v>0</v>
      </c>
      <c r="I107" s="26">
        <f t="shared" si="73"/>
        <v>0</v>
      </c>
      <c r="J107" s="26">
        <f t="shared" si="73"/>
        <v>0</v>
      </c>
      <c r="K107" s="26">
        <f t="shared" si="73"/>
        <v>0</v>
      </c>
      <c r="L107" s="26">
        <f t="shared" si="73"/>
        <v>0</v>
      </c>
      <c r="M107" s="26">
        <f t="shared" si="73"/>
        <v>0</v>
      </c>
      <c r="N107" s="26">
        <f t="shared" si="73"/>
        <v>0</v>
      </c>
      <c r="O107" s="26">
        <f t="shared" si="73"/>
        <v>0</v>
      </c>
      <c r="P107" s="26">
        <f t="shared" si="73"/>
        <v>0</v>
      </c>
      <c r="Q107" s="26">
        <f t="shared" si="73"/>
        <v>0</v>
      </c>
      <c r="R107" s="26">
        <f t="shared" si="73"/>
        <v>0</v>
      </c>
      <c r="S107" s="26">
        <f t="shared" si="73"/>
        <v>76.1040000000104</v>
      </c>
      <c r="T107" s="26">
        <f t="shared" si="73"/>
        <v>250.46</v>
      </c>
      <c r="U107" s="26">
        <f t="shared" si="73"/>
        <v>271.46</v>
      </c>
      <c r="V107" s="26">
        <f t="shared" si="73"/>
        <v>282.1</v>
      </c>
      <c r="W107" s="26">
        <f t="shared" si="73"/>
        <v>0</v>
      </c>
      <c r="X107" s="26">
        <f t="shared" si="73"/>
        <v>2075.99</v>
      </c>
      <c r="Y107" s="26">
        <f t="shared" si="73"/>
        <v>3130.19</v>
      </c>
      <c r="Z107" s="26">
        <f t="shared" si="73"/>
        <v>2853.403</v>
      </c>
      <c r="AA107" s="26">
        <f t="shared" si="73"/>
        <v>990.577</v>
      </c>
      <c r="AB107" s="26">
        <f t="shared" si="73"/>
        <v>2589.72</v>
      </c>
      <c r="AC107" s="26">
        <f t="shared" si="73"/>
        <v>2061.0044</v>
      </c>
      <c r="AD107" s="26">
        <f t="shared" si="73"/>
        <v>1654.4444</v>
      </c>
      <c r="AE107" s="26">
        <f t="shared" si="73"/>
        <v>2231.6644</v>
      </c>
      <c r="AF107" s="26">
        <f t="shared" si="73"/>
        <v>4965.7244</v>
      </c>
      <c r="AG107" s="26">
        <f t="shared" si="73"/>
        <v>9113.7144</v>
      </c>
      <c r="AH107" s="26">
        <f t="shared" si="73"/>
        <v>8573.0344</v>
      </c>
      <c r="AI107" s="26">
        <f t="shared" si="73"/>
        <v>5222.2044</v>
      </c>
      <c r="AJ107" s="26">
        <f t="shared" si="73"/>
        <v>4792.0964</v>
      </c>
      <c r="AK107" s="26">
        <f t="shared" si="73"/>
        <v>6977.8464</v>
      </c>
      <c r="AL107" s="26">
        <f t="shared" si="73"/>
        <v>4898.7064</v>
      </c>
      <c r="AM107" s="26">
        <f t="shared" si="73"/>
        <v>0</v>
      </c>
      <c r="AN107" s="26">
        <f t="shared" si="73"/>
        <v>0</v>
      </c>
      <c r="AO107" s="26">
        <f t="shared" si="73"/>
        <v>0</v>
      </c>
      <c r="AP107" s="26">
        <f t="shared" si="73"/>
        <v>0</v>
      </c>
      <c r="AQ107" s="26">
        <f t="shared" si="73"/>
        <v>0</v>
      </c>
      <c r="AR107" s="26">
        <f t="shared" si="73"/>
        <v>0</v>
      </c>
    </row>
    <row r="108" spans="1:44">
      <c r="A108" t="s">
        <v>2371</v>
      </c>
      <c r="B108" s="26">
        <f t="shared" si="70"/>
        <v>0</v>
      </c>
      <c r="C108" s="26">
        <f t="shared" si="70"/>
        <v>0</v>
      </c>
      <c r="D108" s="26">
        <f t="shared" si="70"/>
        <v>0</v>
      </c>
      <c r="E108" s="26">
        <f t="shared" si="70"/>
        <v>0</v>
      </c>
      <c r="F108" s="26">
        <f t="shared" si="70"/>
        <v>0</v>
      </c>
      <c r="G108" s="26">
        <f t="shared" si="72"/>
        <v>0</v>
      </c>
      <c r="H108" s="26">
        <f t="shared" ref="H108:AR108" si="74">SUMIFS($B89:$AP89,$B$86:$AP$86,H$105-VLOOKUP($A108,$AK$6:$AL$21,2,FALSE))</f>
        <v>0</v>
      </c>
      <c r="I108" s="26">
        <f t="shared" si="74"/>
        <v>0</v>
      </c>
      <c r="J108" s="26">
        <f t="shared" si="74"/>
        <v>0</v>
      </c>
      <c r="K108" s="26">
        <f t="shared" si="74"/>
        <v>0</v>
      </c>
      <c r="L108" s="26">
        <f t="shared" si="74"/>
        <v>0</v>
      </c>
      <c r="M108" s="26">
        <f t="shared" si="74"/>
        <v>0</v>
      </c>
      <c r="N108" s="26">
        <f t="shared" si="74"/>
        <v>0</v>
      </c>
      <c r="O108" s="26">
        <f t="shared" si="74"/>
        <v>0</v>
      </c>
      <c r="P108" s="26">
        <f t="shared" si="74"/>
        <v>0</v>
      </c>
      <c r="Q108" s="26">
        <f t="shared" si="74"/>
        <v>0</v>
      </c>
      <c r="R108" s="26">
        <f t="shared" si="74"/>
        <v>0</v>
      </c>
      <c r="S108" s="26">
        <f t="shared" si="74"/>
        <v>0</v>
      </c>
      <c r="T108" s="26">
        <f t="shared" si="74"/>
        <v>0</v>
      </c>
      <c r="U108" s="26">
        <f t="shared" si="74"/>
        <v>0</v>
      </c>
      <c r="V108" s="26">
        <f t="shared" si="74"/>
        <v>0</v>
      </c>
      <c r="W108" s="26">
        <f t="shared" si="74"/>
        <v>0</v>
      </c>
      <c r="X108" s="26">
        <f t="shared" si="74"/>
        <v>0</v>
      </c>
      <c r="Y108" s="26">
        <f t="shared" si="74"/>
        <v>0</v>
      </c>
      <c r="Z108" s="26">
        <f t="shared" si="74"/>
        <v>0</v>
      </c>
      <c r="AA108" s="26">
        <f t="shared" si="74"/>
        <v>964.639999999985</v>
      </c>
      <c r="AB108" s="26">
        <f t="shared" si="74"/>
        <v>964.639999999985</v>
      </c>
      <c r="AC108" s="26">
        <f t="shared" si="74"/>
        <v>0</v>
      </c>
      <c r="AD108" s="26">
        <f t="shared" si="74"/>
        <v>0</v>
      </c>
      <c r="AE108" s="26">
        <f t="shared" si="74"/>
        <v>0</v>
      </c>
      <c r="AF108" s="26">
        <f t="shared" si="74"/>
        <v>0</v>
      </c>
      <c r="AG108" s="26">
        <f t="shared" si="74"/>
        <v>0</v>
      </c>
      <c r="AH108" s="26">
        <f t="shared" si="74"/>
        <v>0</v>
      </c>
      <c r="AI108" s="26">
        <f t="shared" si="74"/>
        <v>0</v>
      </c>
      <c r="AJ108" s="26">
        <f t="shared" si="74"/>
        <v>3338.63999999998</v>
      </c>
      <c r="AK108" s="26">
        <f t="shared" si="74"/>
        <v>728</v>
      </c>
      <c r="AL108" s="26">
        <f t="shared" si="74"/>
        <v>650</v>
      </c>
      <c r="AM108" s="26">
        <f t="shared" si="74"/>
        <v>0</v>
      </c>
      <c r="AN108" s="26">
        <f t="shared" si="74"/>
        <v>1060</v>
      </c>
      <c r="AO108" s="26">
        <f t="shared" si="74"/>
        <v>1060</v>
      </c>
      <c r="AP108" s="26">
        <f t="shared" si="74"/>
        <v>33.8888888888889</v>
      </c>
      <c r="AQ108" s="26">
        <f t="shared" si="74"/>
        <v>33.8888888888889</v>
      </c>
      <c r="AR108" s="26">
        <f t="shared" si="74"/>
        <v>1779.88888888889</v>
      </c>
    </row>
    <row r="109" spans="1:44">
      <c r="A109" t="s">
        <v>2372</v>
      </c>
      <c r="B109" s="26">
        <f t="shared" si="70"/>
        <v>0</v>
      </c>
      <c r="C109" s="26">
        <f t="shared" si="70"/>
        <v>0</v>
      </c>
      <c r="D109" s="26">
        <f t="shared" si="70"/>
        <v>0</v>
      </c>
      <c r="E109" s="26">
        <f t="shared" si="70"/>
        <v>0</v>
      </c>
      <c r="F109" s="26">
        <f t="shared" si="70"/>
        <v>0</v>
      </c>
      <c r="G109" s="26">
        <f t="shared" si="72"/>
        <v>0</v>
      </c>
      <c r="H109" s="26">
        <f t="shared" ref="H109:AR109" si="75">SUMIFS($B90:$AP90,$B$86:$AP$86,H$105-VLOOKUP($A109,$AK$6:$AL$21,2,FALSE))</f>
        <v>0</v>
      </c>
      <c r="I109" s="26">
        <f t="shared" si="75"/>
        <v>0</v>
      </c>
      <c r="J109" s="26">
        <f t="shared" si="75"/>
        <v>0</v>
      </c>
      <c r="K109" s="26">
        <f t="shared" si="75"/>
        <v>0</v>
      </c>
      <c r="L109" s="26">
        <f t="shared" si="75"/>
        <v>0</v>
      </c>
      <c r="M109" s="26">
        <f t="shared" si="75"/>
        <v>0</v>
      </c>
      <c r="N109" s="26">
        <f t="shared" si="75"/>
        <v>0</v>
      </c>
      <c r="O109" s="26">
        <f t="shared" si="75"/>
        <v>0</v>
      </c>
      <c r="P109" s="26">
        <f t="shared" si="75"/>
        <v>0</v>
      </c>
      <c r="Q109" s="26">
        <f t="shared" si="75"/>
        <v>0</v>
      </c>
      <c r="R109" s="26">
        <f t="shared" si="75"/>
        <v>0</v>
      </c>
      <c r="S109" s="26">
        <f t="shared" si="75"/>
        <v>0</v>
      </c>
      <c r="T109" s="26">
        <f t="shared" si="75"/>
        <v>0</v>
      </c>
      <c r="U109" s="26">
        <f t="shared" si="75"/>
        <v>0</v>
      </c>
      <c r="V109" s="26">
        <f t="shared" si="75"/>
        <v>0</v>
      </c>
      <c r="W109" s="26">
        <f t="shared" si="75"/>
        <v>0</v>
      </c>
      <c r="X109" s="26">
        <f t="shared" si="75"/>
        <v>0</v>
      </c>
      <c r="Y109" s="26">
        <f t="shared" si="75"/>
        <v>0</v>
      </c>
      <c r="Z109" s="26">
        <f t="shared" si="75"/>
        <v>0</v>
      </c>
      <c r="AA109" s="26">
        <f t="shared" si="75"/>
        <v>0</v>
      </c>
      <c r="AB109" s="26">
        <f t="shared" si="75"/>
        <v>0</v>
      </c>
      <c r="AC109" s="26">
        <f t="shared" si="75"/>
        <v>0</v>
      </c>
      <c r="AD109" s="26">
        <f t="shared" si="75"/>
        <v>0</v>
      </c>
      <c r="AE109" s="26">
        <f t="shared" si="75"/>
        <v>0</v>
      </c>
      <c r="AF109" s="26">
        <f t="shared" si="75"/>
        <v>0</v>
      </c>
      <c r="AG109" s="26">
        <f t="shared" si="75"/>
        <v>0</v>
      </c>
      <c r="AH109" s="26">
        <f t="shared" si="75"/>
        <v>0</v>
      </c>
      <c r="AI109" s="26">
        <f t="shared" si="75"/>
        <v>0</v>
      </c>
      <c r="AJ109" s="26">
        <f t="shared" si="75"/>
        <v>0</v>
      </c>
      <c r="AK109" s="26">
        <f t="shared" si="75"/>
        <v>0</v>
      </c>
      <c r="AL109" s="26">
        <f t="shared" si="75"/>
        <v>0</v>
      </c>
      <c r="AM109" s="26">
        <f t="shared" si="75"/>
        <v>0</v>
      </c>
      <c r="AN109" s="26">
        <f t="shared" si="75"/>
        <v>0</v>
      </c>
      <c r="AO109" s="26">
        <f t="shared" si="75"/>
        <v>0</v>
      </c>
      <c r="AP109" s="26">
        <f t="shared" si="75"/>
        <v>0</v>
      </c>
      <c r="AQ109" s="26">
        <f t="shared" si="75"/>
        <v>0</v>
      </c>
      <c r="AR109" s="26">
        <f t="shared" si="75"/>
        <v>0</v>
      </c>
    </row>
    <row r="110" spans="1:44">
      <c r="A110" t="s">
        <v>2373</v>
      </c>
      <c r="B110" s="26">
        <f t="shared" si="70"/>
        <v>0</v>
      </c>
      <c r="C110" s="26">
        <f t="shared" si="70"/>
        <v>0</v>
      </c>
      <c r="D110" s="26">
        <f t="shared" si="70"/>
        <v>0</v>
      </c>
      <c r="E110" s="26">
        <f t="shared" si="70"/>
        <v>0</v>
      </c>
      <c r="F110" s="26">
        <f t="shared" si="70"/>
        <v>0</v>
      </c>
      <c r="G110" s="26">
        <f t="shared" si="72"/>
        <v>0</v>
      </c>
      <c r="H110" s="26">
        <f t="shared" ref="H110:AR110" si="76">SUMIFS($B91:$AP91,$B$86:$AP$86,H$105-VLOOKUP($A110,$AK$6:$AL$21,2,FALSE))</f>
        <v>0</v>
      </c>
      <c r="I110" s="26">
        <f t="shared" si="76"/>
        <v>0</v>
      </c>
      <c r="J110" s="26">
        <f t="shared" si="76"/>
        <v>0</v>
      </c>
      <c r="K110" s="26">
        <f t="shared" si="76"/>
        <v>0</v>
      </c>
      <c r="L110" s="26">
        <f t="shared" si="76"/>
        <v>0</v>
      </c>
      <c r="M110" s="26">
        <f t="shared" si="76"/>
        <v>0</v>
      </c>
      <c r="N110" s="26">
        <f t="shared" si="76"/>
        <v>0</v>
      </c>
      <c r="O110" s="26">
        <f t="shared" si="76"/>
        <v>0</v>
      </c>
      <c r="P110" s="26">
        <f t="shared" si="76"/>
        <v>0</v>
      </c>
      <c r="Q110" s="26">
        <f t="shared" si="76"/>
        <v>0</v>
      </c>
      <c r="R110" s="26">
        <f t="shared" si="76"/>
        <v>8045.1822222222</v>
      </c>
      <c r="S110" s="26">
        <f t="shared" si="76"/>
        <v>14917.4343055555</v>
      </c>
      <c r="T110" s="26">
        <f t="shared" si="76"/>
        <v>15527.7343055555</v>
      </c>
      <c r="U110" s="26">
        <f t="shared" si="76"/>
        <v>13289.4343055555</v>
      </c>
      <c r="V110" s="26">
        <f t="shared" si="76"/>
        <v>14566.6009722222</v>
      </c>
      <c r="W110" s="26">
        <f t="shared" si="76"/>
        <v>20800.0343055555</v>
      </c>
      <c r="X110" s="26">
        <f t="shared" si="76"/>
        <v>30869.9009722222</v>
      </c>
      <c r="Y110" s="26">
        <f t="shared" si="76"/>
        <v>18998.7009722222</v>
      </c>
      <c r="Z110" s="26">
        <f t="shared" si="76"/>
        <v>17712.2031944444</v>
      </c>
      <c r="AA110" s="26">
        <f t="shared" si="76"/>
        <v>21778.4031944444</v>
      </c>
      <c r="AB110" s="26">
        <f t="shared" si="76"/>
        <v>26230.6031944444</v>
      </c>
      <c r="AC110" s="26">
        <f t="shared" si="76"/>
        <v>69473.5</v>
      </c>
      <c r="AD110" s="26">
        <f t="shared" si="76"/>
        <v>0</v>
      </c>
      <c r="AE110" s="26">
        <f t="shared" si="76"/>
        <v>0</v>
      </c>
      <c r="AF110" s="26">
        <f t="shared" si="76"/>
        <v>0</v>
      </c>
      <c r="AG110" s="26">
        <f t="shared" si="76"/>
        <v>0</v>
      </c>
      <c r="AH110" s="26">
        <f t="shared" si="76"/>
        <v>0</v>
      </c>
      <c r="AI110" s="26">
        <f t="shared" si="76"/>
        <v>0</v>
      </c>
      <c r="AJ110" s="26">
        <f t="shared" si="76"/>
        <v>0</v>
      </c>
      <c r="AK110" s="26">
        <f t="shared" si="76"/>
        <v>0</v>
      </c>
      <c r="AL110" s="26">
        <f t="shared" si="76"/>
        <v>0</v>
      </c>
      <c r="AM110" s="26">
        <f t="shared" si="76"/>
        <v>0</v>
      </c>
      <c r="AN110" s="26">
        <f t="shared" si="76"/>
        <v>0</v>
      </c>
      <c r="AO110" s="26">
        <f t="shared" si="76"/>
        <v>0</v>
      </c>
      <c r="AP110" s="26">
        <f t="shared" si="76"/>
        <v>0</v>
      </c>
      <c r="AQ110" s="26">
        <f t="shared" si="76"/>
        <v>0</v>
      </c>
      <c r="AR110" s="26">
        <f t="shared" si="76"/>
        <v>0</v>
      </c>
    </row>
    <row r="111" spans="1:44">
      <c r="A111" t="s">
        <v>2374</v>
      </c>
      <c r="B111" s="26">
        <f t="shared" si="70"/>
        <v>0</v>
      </c>
      <c r="C111" s="26">
        <f t="shared" si="70"/>
        <v>0</v>
      </c>
      <c r="D111" s="26">
        <f t="shared" si="70"/>
        <v>0</v>
      </c>
      <c r="E111" s="26">
        <f t="shared" si="70"/>
        <v>0</v>
      </c>
      <c r="F111" s="26">
        <f t="shared" si="70"/>
        <v>0</v>
      </c>
      <c r="G111" s="26">
        <f t="shared" si="72"/>
        <v>0</v>
      </c>
      <c r="H111" s="26">
        <f t="shared" ref="H111:AR111" si="77">SUMIFS($B92:$AP92,$B$86:$AP$86,H$105-VLOOKUP($A111,$AK$6:$AL$21,2,FALSE))</f>
        <v>0</v>
      </c>
      <c r="I111" s="26">
        <f t="shared" si="77"/>
        <v>0</v>
      </c>
      <c r="J111" s="26">
        <f t="shared" si="77"/>
        <v>0</v>
      </c>
      <c r="K111" s="26">
        <f t="shared" si="77"/>
        <v>0</v>
      </c>
      <c r="L111" s="26">
        <f t="shared" si="77"/>
        <v>0</v>
      </c>
      <c r="M111" s="26">
        <f t="shared" si="77"/>
        <v>0</v>
      </c>
      <c r="N111" s="26">
        <f t="shared" si="77"/>
        <v>0</v>
      </c>
      <c r="O111" s="26">
        <f t="shared" si="77"/>
        <v>0</v>
      </c>
      <c r="P111" s="26">
        <f t="shared" si="77"/>
        <v>0</v>
      </c>
      <c r="Q111" s="26">
        <f t="shared" si="77"/>
        <v>0</v>
      </c>
      <c r="R111" s="26">
        <f t="shared" si="77"/>
        <v>0</v>
      </c>
      <c r="S111" s="26">
        <f t="shared" si="77"/>
        <v>25.018</v>
      </c>
      <c r="T111" s="26">
        <f t="shared" si="77"/>
        <v>1900.21</v>
      </c>
      <c r="U111" s="26">
        <f t="shared" si="77"/>
        <v>1146.566</v>
      </c>
      <c r="V111" s="26">
        <f t="shared" si="77"/>
        <v>11545.872</v>
      </c>
      <c r="W111" s="26">
        <f t="shared" si="77"/>
        <v>8510.334</v>
      </c>
      <c r="X111" s="26">
        <f t="shared" si="77"/>
        <v>13422</v>
      </c>
      <c r="Y111" s="26">
        <f t="shared" si="77"/>
        <v>30282</v>
      </c>
      <c r="Z111" s="26">
        <f t="shared" si="77"/>
        <v>30597</v>
      </c>
      <c r="AA111" s="26">
        <f t="shared" si="77"/>
        <v>26697</v>
      </c>
      <c r="AB111" s="26">
        <f t="shared" si="77"/>
        <v>17382</v>
      </c>
      <c r="AC111" s="26">
        <f t="shared" si="77"/>
        <v>31208.7</v>
      </c>
      <c r="AD111" s="26">
        <f t="shared" si="77"/>
        <v>0</v>
      </c>
      <c r="AE111" s="26">
        <f t="shared" si="77"/>
        <v>0</v>
      </c>
      <c r="AF111" s="26">
        <f t="shared" si="77"/>
        <v>0</v>
      </c>
      <c r="AG111" s="26">
        <f t="shared" si="77"/>
        <v>0</v>
      </c>
      <c r="AH111" s="26">
        <f t="shared" si="77"/>
        <v>0</v>
      </c>
      <c r="AI111" s="26">
        <f t="shared" si="77"/>
        <v>0</v>
      </c>
      <c r="AJ111" s="26">
        <f t="shared" si="77"/>
        <v>0</v>
      </c>
      <c r="AK111" s="26">
        <f t="shared" si="77"/>
        <v>0</v>
      </c>
      <c r="AL111" s="26">
        <f t="shared" si="77"/>
        <v>0</v>
      </c>
      <c r="AM111" s="26">
        <f t="shared" si="77"/>
        <v>0</v>
      </c>
      <c r="AN111" s="26">
        <f t="shared" si="77"/>
        <v>0</v>
      </c>
      <c r="AO111" s="26">
        <f t="shared" si="77"/>
        <v>0</v>
      </c>
      <c r="AP111" s="26">
        <f t="shared" si="77"/>
        <v>0</v>
      </c>
      <c r="AQ111" s="26">
        <f t="shared" si="77"/>
        <v>0</v>
      </c>
      <c r="AR111" s="26">
        <f t="shared" si="77"/>
        <v>0</v>
      </c>
    </row>
    <row r="112" spans="1:44">
      <c r="A112" t="s">
        <v>2375</v>
      </c>
      <c r="B112" s="26">
        <f t="shared" si="70"/>
        <v>0</v>
      </c>
      <c r="C112" s="26">
        <f t="shared" si="70"/>
        <v>0</v>
      </c>
      <c r="D112" s="26">
        <f t="shared" si="70"/>
        <v>0</v>
      </c>
      <c r="E112" s="26">
        <f t="shared" si="70"/>
        <v>0</v>
      </c>
      <c r="F112" s="26">
        <f t="shared" si="70"/>
        <v>0</v>
      </c>
      <c r="G112" s="26">
        <f t="shared" si="72"/>
        <v>0</v>
      </c>
      <c r="H112" s="26">
        <f t="shared" ref="H112:AR112" si="78">SUMIFS($B93:$AP93,$B$86:$AP$86,H$105-VLOOKUP($A112,$AK$6:$AL$21,2,FALSE))</f>
        <v>0</v>
      </c>
      <c r="I112" s="26">
        <f t="shared" si="78"/>
        <v>0</v>
      </c>
      <c r="J112" s="26">
        <f t="shared" si="78"/>
        <v>0</v>
      </c>
      <c r="K112" s="26">
        <f t="shared" si="78"/>
        <v>0</v>
      </c>
      <c r="L112" s="26">
        <f t="shared" si="78"/>
        <v>0</v>
      </c>
      <c r="M112" s="26">
        <f t="shared" si="78"/>
        <v>0</v>
      </c>
      <c r="N112" s="26">
        <f t="shared" si="78"/>
        <v>0</v>
      </c>
      <c r="O112" s="26">
        <f t="shared" si="78"/>
        <v>0</v>
      </c>
      <c r="P112" s="26">
        <f t="shared" si="78"/>
        <v>0</v>
      </c>
      <c r="Q112" s="26">
        <f t="shared" si="78"/>
        <v>0</v>
      </c>
      <c r="R112" s="26">
        <f t="shared" si="78"/>
        <v>0</v>
      </c>
      <c r="S112" s="26">
        <f t="shared" si="78"/>
        <v>0</v>
      </c>
      <c r="T112" s="26">
        <f t="shared" si="78"/>
        <v>0</v>
      </c>
      <c r="U112" s="26">
        <f t="shared" si="78"/>
        <v>0</v>
      </c>
      <c r="V112" s="26">
        <f t="shared" si="78"/>
        <v>0</v>
      </c>
      <c r="W112" s="26">
        <f t="shared" si="78"/>
        <v>0</v>
      </c>
      <c r="X112" s="26">
        <f t="shared" si="78"/>
        <v>0</v>
      </c>
      <c r="Y112" s="26">
        <f t="shared" si="78"/>
        <v>0</v>
      </c>
      <c r="Z112" s="26">
        <f t="shared" si="78"/>
        <v>0</v>
      </c>
      <c r="AA112" s="26">
        <f t="shared" si="78"/>
        <v>0</v>
      </c>
      <c r="AB112" s="26">
        <f t="shared" si="78"/>
        <v>0</v>
      </c>
      <c r="AC112" s="26">
        <f t="shared" si="78"/>
        <v>0</v>
      </c>
      <c r="AD112" s="26">
        <f t="shared" si="78"/>
        <v>0</v>
      </c>
      <c r="AE112" s="26">
        <f t="shared" si="78"/>
        <v>0</v>
      </c>
      <c r="AF112" s="26">
        <f t="shared" si="78"/>
        <v>0</v>
      </c>
      <c r="AG112" s="26">
        <f t="shared" si="78"/>
        <v>0</v>
      </c>
      <c r="AH112" s="26">
        <f t="shared" si="78"/>
        <v>0</v>
      </c>
      <c r="AI112" s="26">
        <f t="shared" si="78"/>
        <v>0</v>
      </c>
      <c r="AJ112" s="26">
        <f t="shared" si="78"/>
        <v>0</v>
      </c>
      <c r="AK112" s="26">
        <f t="shared" si="78"/>
        <v>0</v>
      </c>
      <c r="AL112" s="26">
        <f t="shared" si="78"/>
        <v>0</v>
      </c>
      <c r="AM112" s="26">
        <f t="shared" si="78"/>
        <v>0</v>
      </c>
      <c r="AN112" s="26">
        <f t="shared" si="78"/>
        <v>0</v>
      </c>
      <c r="AO112" s="26">
        <f t="shared" si="78"/>
        <v>0</v>
      </c>
      <c r="AP112" s="26">
        <f t="shared" si="78"/>
        <v>0</v>
      </c>
      <c r="AQ112" s="26">
        <f t="shared" si="78"/>
        <v>0</v>
      </c>
      <c r="AR112" s="26">
        <f t="shared" si="78"/>
        <v>0</v>
      </c>
    </row>
    <row r="113" spans="1:44">
      <c r="A113" t="s">
        <v>2376</v>
      </c>
      <c r="B113" s="26">
        <f t="shared" si="70"/>
        <v>0</v>
      </c>
      <c r="C113" s="26">
        <f t="shared" si="70"/>
        <v>0</v>
      </c>
      <c r="D113" s="26">
        <f t="shared" si="70"/>
        <v>0</v>
      </c>
      <c r="E113" s="26">
        <f t="shared" si="70"/>
        <v>0</v>
      </c>
      <c r="F113" s="26">
        <f t="shared" si="70"/>
        <v>0</v>
      </c>
      <c r="G113" s="26">
        <f t="shared" si="72"/>
        <v>0</v>
      </c>
      <c r="H113" s="26">
        <f t="shared" ref="H113:AR113" si="79">SUMIFS($B94:$AP94,$B$86:$AP$86,H$105-VLOOKUP($A113,$AK$6:$AL$21,2,FALSE))</f>
        <v>0</v>
      </c>
      <c r="I113" s="26">
        <f t="shared" si="79"/>
        <v>28.8490909090909</v>
      </c>
      <c r="J113" s="26">
        <f t="shared" si="79"/>
        <v>28.8490909090909</v>
      </c>
      <c r="K113" s="26">
        <f t="shared" si="79"/>
        <v>28.8490909090909</v>
      </c>
      <c r="L113" s="26">
        <f t="shared" si="79"/>
        <v>28.8490909090909</v>
      </c>
      <c r="M113" s="26">
        <f t="shared" si="79"/>
        <v>28.8490909090909</v>
      </c>
      <c r="N113" s="26">
        <f t="shared" si="79"/>
        <v>28.8490909090909</v>
      </c>
      <c r="O113" s="26">
        <f t="shared" si="79"/>
        <v>28.8490909090909</v>
      </c>
      <c r="P113" s="26">
        <f t="shared" si="79"/>
        <v>28.8490909090909</v>
      </c>
      <c r="Q113" s="26">
        <f t="shared" si="79"/>
        <v>28.8490909090909</v>
      </c>
      <c r="R113" s="26">
        <f t="shared" si="79"/>
        <v>28.8490909090909</v>
      </c>
      <c r="S113" s="26">
        <f t="shared" si="79"/>
        <v>28.8490909090909</v>
      </c>
      <c r="T113" s="26">
        <f t="shared" si="79"/>
        <v>514.75</v>
      </c>
      <c r="U113" s="26">
        <f t="shared" si="79"/>
        <v>514.75</v>
      </c>
      <c r="V113" s="26">
        <f t="shared" si="79"/>
        <v>514.75</v>
      </c>
      <c r="W113" s="26">
        <f t="shared" si="79"/>
        <v>514.75</v>
      </c>
      <c r="X113" s="26">
        <f t="shared" si="79"/>
        <v>514.75</v>
      </c>
      <c r="Y113" s="26">
        <f t="shared" si="79"/>
        <v>514.75</v>
      </c>
      <c r="Z113" s="26">
        <f t="shared" si="79"/>
        <v>514.75</v>
      </c>
      <c r="AA113" s="26">
        <f t="shared" si="79"/>
        <v>514.75</v>
      </c>
      <c r="AB113" s="26">
        <f t="shared" si="79"/>
        <v>232.5</v>
      </c>
      <c r="AC113" s="26">
        <f t="shared" si="79"/>
        <v>433</v>
      </c>
      <c r="AD113" s="26">
        <f t="shared" si="79"/>
        <v>654</v>
      </c>
      <c r="AE113" s="26">
        <f t="shared" si="79"/>
        <v>786.8</v>
      </c>
      <c r="AF113" s="26">
        <f t="shared" si="79"/>
        <v>574.8</v>
      </c>
      <c r="AG113" s="26">
        <f t="shared" si="79"/>
        <v>705.2</v>
      </c>
      <c r="AH113" s="26">
        <f t="shared" si="79"/>
        <v>474</v>
      </c>
      <c r="AI113" s="26">
        <f t="shared" si="79"/>
        <v>633.5</v>
      </c>
      <c r="AJ113" s="26">
        <f t="shared" si="79"/>
        <v>810</v>
      </c>
      <c r="AK113" s="26">
        <f t="shared" si="79"/>
        <v>952.6</v>
      </c>
      <c r="AL113" s="26">
        <f t="shared" si="79"/>
        <v>1190.26</v>
      </c>
      <c r="AM113" s="26">
        <f t="shared" si="79"/>
        <v>2230.5</v>
      </c>
      <c r="AN113" s="26">
        <f t="shared" si="79"/>
        <v>0</v>
      </c>
      <c r="AO113" s="26">
        <f t="shared" si="79"/>
        <v>0</v>
      </c>
      <c r="AP113" s="26">
        <f t="shared" si="79"/>
        <v>0</v>
      </c>
      <c r="AQ113" s="26">
        <f t="shared" si="79"/>
        <v>0</v>
      </c>
      <c r="AR113" s="26">
        <f t="shared" si="79"/>
        <v>0</v>
      </c>
    </row>
    <row r="114" spans="1:44">
      <c r="A114" t="s">
        <v>2377</v>
      </c>
      <c r="B114" s="26">
        <f t="shared" si="70"/>
        <v>0</v>
      </c>
      <c r="C114" s="26">
        <f t="shared" si="70"/>
        <v>0</v>
      </c>
      <c r="D114" s="26">
        <f t="shared" si="70"/>
        <v>47.9345454545455</v>
      </c>
      <c r="E114" s="26">
        <f t="shared" si="70"/>
        <v>47.9345454545455</v>
      </c>
      <c r="F114" s="26">
        <f t="shared" si="70"/>
        <v>47.9345454545455</v>
      </c>
      <c r="G114" s="26">
        <f t="shared" si="72"/>
        <v>47.9345454545455</v>
      </c>
      <c r="H114" s="26">
        <f t="shared" ref="H114:AR114" si="80">SUMIFS($B95:$AP95,$B$86:$AP$86,H$105-VLOOKUP($A114,$AK$6:$AL$21,2,FALSE))</f>
        <v>47.9345454545455</v>
      </c>
      <c r="I114" s="26">
        <f t="shared" si="80"/>
        <v>47.9345454545455</v>
      </c>
      <c r="J114" s="26">
        <f t="shared" si="80"/>
        <v>47.9345454545455</v>
      </c>
      <c r="K114" s="26">
        <f t="shared" si="80"/>
        <v>47.9345454545455</v>
      </c>
      <c r="L114" s="26">
        <f t="shared" si="80"/>
        <v>47.9345454545455</v>
      </c>
      <c r="M114" s="26">
        <f t="shared" si="80"/>
        <v>47.9345454545455</v>
      </c>
      <c r="N114" s="26">
        <f t="shared" si="80"/>
        <v>47.9345454545455</v>
      </c>
      <c r="O114" s="26">
        <f t="shared" si="80"/>
        <v>0</v>
      </c>
      <c r="P114" s="26">
        <f t="shared" si="80"/>
        <v>0</v>
      </c>
      <c r="Q114" s="26">
        <f t="shared" si="80"/>
        <v>0</v>
      </c>
      <c r="R114" s="26">
        <f t="shared" si="80"/>
        <v>0</v>
      </c>
      <c r="S114" s="26">
        <f t="shared" si="80"/>
        <v>0</v>
      </c>
      <c r="T114" s="26">
        <f t="shared" si="80"/>
        <v>0</v>
      </c>
      <c r="U114" s="26">
        <f t="shared" si="80"/>
        <v>0</v>
      </c>
      <c r="V114" s="26">
        <f t="shared" si="80"/>
        <v>0</v>
      </c>
      <c r="W114" s="26">
        <f t="shared" si="80"/>
        <v>0</v>
      </c>
      <c r="X114" s="26">
        <f t="shared" si="80"/>
        <v>0</v>
      </c>
      <c r="Y114" s="26">
        <f t="shared" si="80"/>
        <v>0</v>
      </c>
      <c r="Z114" s="26">
        <f t="shared" si="80"/>
        <v>0</v>
      </c>
      <c r="AA114" s="26">
        <f t="shared" si="80"/>
        <v>0</v>
      </c>
      <c r="AB114" s="26">
        <f t="shared" si="80"/>
        <v>0</v>
      </c>
      <c r="AC114" s="26">
        <f t="shared" si="80"/>
        <v>0</v>
      </c>
      <c r="AD114" s="26">
        <f t="shared" si="80"/>
        <v>0</v>
      </c>
      <c r="AE114" s="26">
        <f t="shared" si="80"/>
        <v>0</v>
      </c>
      <c r="AF114" s="26">
        <f t="shared" si="80"/>
        <v>0</v>
      </c>
      <c r="AG114" s="26">
        <f t="shared" si="80"/>
        <v>0</v>
      </c>
      <c r="AH114" s="26">
        <f t="shared" si="80"/>
        <v>0</v>
      </c>
      <c r="AI114" s="26">
        <f t="shared" si="80"/>
        <v>0</v>
      </c>
      <c r="AJ114" s="26">
        <f t="shared" si="80"/>
        <v>0</v>
      </c>
      <c r="AK114" s="26">
        <f t="shared" si="80"/>
        <v>0</v>
      </c>
      <c r="AL114" s="26">
        <f t="shared" si="80"/>
        <v>0</v>
      </c>
      <c r="AM114" s="26">
        <f t="shared" si="80"/>
        <v>0</v>
      </c>
      <c r="AN114" s="26">
        <f t="shared" si="80"/>
        <v>0</v>
      </c>
      <c r="AO114" s="26">
        <f t="shared" si="80"/>
        <v>0</v>
      </c>
      <c r="AP114" s="26">
        <f t="shared" si="80"/>
        <v>0</v>
      </c>
      <c r="AQ114" s="26">
        <f t="shared" si="80"/>
        <v>0</v>
      </c>
      <c r="AR114" s="26">
        <f t="shared" si="80"/>
        <v>0</v>
      </c>
    </row>
    <row r="115" spans="1:44">
      <c r="A115" t="s">
        <v>2378</v>
      </c>
      <c r="B115" s="26">
        <f t="shared" si="70"/>
        <v>0</v>
      </c>
      <c r="C115" s="26">
        <f t="shared" si="70"/>
        <v>0</v>
      </c>
      <c r="D115" s="26">
        <f t="shared" si="70"/>
        <v>0</v>
      </c>
      <c r="E115" s="26">
        <f t="shared" si="70"/>
        <v>0</v>
      </c>
      <c r="F115" s="26">
        <f t="shared" si="70"/>
        <v>0</v>
      </c>
      <c r="G115" s="26">
        <f t="shared" si="72"/>
        <v>0</v>
      </c>
      <c r="H115" s="26">
        <f t="shared" ref="H115:AR115" si="81">SUMIFS($B96:$AP96,$B$86:$AP$86,H$105-VLOOKUP($A115,$AK$6:$AL$21,2,FALSE))</f>
        <v>0</v>
      </c>
      <c r="I115" s="26">
        <f t="shared" si="81"/>
        <v>0</v>
      </c>
      <c r="J115" s="26">
        <f t="shared" si="81"/>
        <v>16.8984285442646</v>
      </c>
      <c r="K115" s="26">
        <f t="shared" si="81"/>
        <v>27.8333765698711</v>
      </c>
      <c r="L115" s="26">
        <f t="shared" si="81"/>
        <v>27.8333765698711</v>
      </c>
      <c r="M115" s="26">
        <f t="shared" si="81"/>
        <v>27.8333765698711</v>
      </c>
      <c r="N115" s="26">
        <f t="shared" si="81"/>
        <v>27.8333765698711</v>
      </c>
      <c r="O115" s="26">
        <f t="shared" si="81"/>
        <v>27.8333765698711</v>
      </c>
      <c r="P115" s="26">
        <f t="shared" si="81"/>
        <v>27.8333765698711</v>
      </c>
      <c r="Q115" s="26">
        <f t="shared" si="81"/>
        <v>27.8333765698711</v>
      </c>
      <c r="R115" s="26">
        <f t="shared" si="81"/>
        <v>27.8333765698711</v>
      </c>
      <c r="S115" s="26">
        <f t="shared" si="81"/>
        <v>27.8333765698711</v>
      </c>
      <c r="T115" s="26">
        <f t="shared" si="81"/>
        <v>27.8333765698711</v>
      </c>
      <c r="U115" s="26">
        <f t="shared" si="81"/>
        <v>10.0432765599109</v>
      </c>
      <c r="V115" s="26">
        <f t="shared" si="81"/>
        <v>7.83120156828656</v>
      </c>
      <c r="W115" s="26">
        <f t="shared" si="81"/>
        <v>7.83120156828656</v>
      </c>
      <c r="X115" s="26">
        <f t="shared" si="81"/>
        <v>15.1971832414274</v>
      </c>
      <c r="Y115" s="26">
        <f t="shared" si="81"/>
        <v>7.83120156828656</v>
      </c>
      <c r="Z115" s="26">
        <f t="shared" si="81"/>
        <v>7.83120156828656</v>
      </c>
      <c r="AA115" s="26">
        <f t="shared" si="81"/>
        <v>23.7946293428951</v>
      </c>
      <c r="AB115" s="26">
        <f t="shared" si="81"/>
        <v>7.83120156828656</v>
      </c>
      <c r="AC115" s="26">
        <f t="shared" si="81"/>
        <v>7.83120156828656</v>
      </c>
      <c r="AD115" s="26">
        <f t="shared" si="81"/>
        <v>7.83120156828658</v>
      </c>
      <c r="AE115" s="26">
        <f t="shared" si="81"/>
        <v>0</v>
      </c>
      <c r="AF115" s="26">
        <f t="shared" si="81"/>
        <v>0</v>
      </c>
      <c r="AG115" s="26">
        <f t="shared" si="81"/>
        <v>0</v>
      </c>
      <c r="AH115" s="26">
        <f t="shared" si="81"/>
        <v>0</v>
      </c>
      <c r="AI115" s="26">
        <f t="shared" si="81"/>
        <v>0</v>
      </c>
      <c r="AJ115" s="26">
        <f t="shared" si="81"/>
        <v>0</v>
      </c>
      <c r="AK115" s="26">
        <f t="shared" si="81"/>
        <v>0</v>
      </c>
      <c r="AL115" s="26">
        <f t="shared" si="81"/>
        <v>0</v>
      </c>
      <c r="AM115" s="26">
        <f t="shared" si="81"/>
        <v>0</v>
      </c>
      <c r="AN115" s="26">
        <f t="shared" si="81"/>
        <v>0</v>
      </c>
      <c r="AO115" s="26">
        <f t="shared" si="81"/>
        <v>0</v>
      </c>
      <c r="AP115" s="26">
        <f t="shared" si="81"/>
        <v>0</v>
      </c>
      <c r="AQ115" s="26">
        <f t="shared" si="81"/>
        <v>0</v>
      </c>
      <c r="AR115" s="26">
        <f t="shared" si="81"/>
        <v>0</v>
      </c>
    </row>
    <row r="116" spans="1:44">
      <c r="A116" t="s">
        <v>2379</v>
      </c>
      <c r="B116" s="26">
        <f t="shared" ref="B116:F121" si="82">SUMIFS($B97:$AP97,$B$86:$AP$86,B$105-VLOOKUP($A116,$AK$6:$AL$21,2,FALSE))</f>
        <v>0</v>
      </c>
      <c r="C116" s="26">
        <f t="shared" si="82"/>
        <v>0</v>
      </c>
      <c r="D116" s="26">
        <f t="shared" si="82"/>
        <v>0</v>
      </c>
      <c r="E116" s="26">
        <f t="shared" si="82"/>
        <v>0</v>
      </c>
      <c r="F116" s="26">
        <f t="shared" si="82"/>
        <v>0</v>
      </c>
      <c r="G116" s="26">
        <f t="shared" si="72"/>
        <v>0</v>
      </c>
      <c r="H116" s="26">
        <f t="shared" ref="H116:AR116" si="83">SUMIFS($B97:$AP97,$B$86:$AP$86,H$105-VLOOKUP($A116,$AK$6:$AL$21,2,FALSE))</f>
        <v>0</v>
      </c>
      <c r="I116" s="26">
        <f t="shared" si="83"/>
        <v>0</v>
      </c>
      <c r="J116" s="26">
        <f t="shared" si="83"/>
        <v>0</v>
      </c>
      <c r="K116" s="26">
        <f t="shared" si="83"/>
        <v>0</v>
      </c>
      <c r="L116" s="26">
        <f t="shared" si="83"/>
        <v>0</v>
      </c>
      <c r="M116" s="26">
        <f t="shared" si="83"/>
        <v>0</v>
      </c>
      <c r="N116" s="26">
        <f t="shared" si="83"/>
        <v>0</v>
      </c>
      <c r="O116" s="26">
        <f t="shared" si="83"/>
        <v>0</v>
      </c>
      <c r="P116" s="26">
        <f t="shared" si="83"/>
        <v>0</v>
      </c>
      <c r="Q116" s="26">
        <f t="shared" si="83"/>
        <v>0</v>
      </c>
      <c r="R116" s="26">
        <f t="shared" si="83"/>
        <v>0</v>
      </c>
      <c r="S116" s="26">
        <f t="shared" si="83"/>
        <v>32.6159999999987</v>
      </c>
      <c r="T116" s="26">
        <f t="shared" si="83"/>
        <v>107.34</v>
      </c>
      <c r="U116" s="26">
        <f t="shared" si="83"/>
        <v>116.34</v>
      </c>
      <c r="V116" s="26">
        <f t="shared" si="83"/>
        <v>120.9</v>
      </c>
      <c r="W116" s="26">
        <f t="shared" si="83"/>
        <v>0</v>
      </c>
      <c r="X116" s="26">
        <f t="shared" si="83"/>
        <v>889.71</v>
      </c>
      <c r="Y116" s="26">
        <f t="shared" si="83"/>
        <v>1341.51</v>
      </c>
      <c r="Z116" s="26">
        <f t="shared" si="83"/>
        <v>1222.887</v>
      </c>
      <c r="AA116" s="26">
        <f t="shared" si="83"/>
        <v>424.533</v>
      </c>
      <c r="AB116" s="26">
        <f t="shared" si="83"/>
        <v>1109.88</v>
      </c>
      <c r="AC116" s="26">
        <f t="shared" si="83"/>
        <v>883.2876</v>
      </c>
      <c r="AD116" s="26">
        <f t="shared" si="83"/>
        <v>709.0476</v>
      </c>
      <c r="AE116" s="26">
        <f t="shared" si="83"/>
        <v>956.4276</v>
      </c>
      <c r="AF116" s="26">
        <f t="shared" si="83"/>
        <v>2128.1676</v>
      </c>
      <c r="AG116" s="26">
        <f t="shared" si="83"/>
        <v>3905.8776</v>
      </c>
      <c r="AH116" s="26">
        <f t="shared" si="83"/>
        <v>3674.1576</v>
      </c>
      <c r="AI116" s="26">
        <f t="shared" si="83"/>
        <v>2238.0876</v>
      </c>
      <c r="AJ116" s="26">
        <f t="shared" si="83"/>
        <v>2053.7556</v>
      </c>
      <c r="AK116" s="26">
        <f t="shared" si="83"/>
        <v>2990.5056</v>
      </c>
      <c r="AL116" s="26">
        <f t="shared" si="83"/>
        <v>2099.4456</v>
      </c>
      <c r="AM116" s="26">
        <f t="shared" si="83"/>
        <v>8228.4</v>
      </c>
      <c r="AN116" s="26">
        <f t="shared" si="83"/>
        <v>10236</v>
      </c>
      <c r="AO116" s="26">
        <f t="shared" si="83"/>
        <v>11202</v>
      </c>
      <c r="AP116" s="26">
        <f t="shared" si="83"/>
        <v>11232</v>
      </c>
      <c r="AQ116" s="26">
        <f t="shared" si="83"/>
        <v>28133</v>
      </c>
      <c r="AR116" s="26">
        <f t="shared" si="83"/>
        <v>30535</v>
      </c>
    </row>
    <row r="117" spans="1:44">
      <c r="A117" t="s">
        <v>2380</v>
      </c>
      <c r="B117" s="26">
        <f t="shared" si="82"/>
        <v>0</v>
      </c>
      <c r="C117" s="26">
        <f t="shared" si="82"/>
        <v>0</v>
      </c>
      <c r="D117" s="26">
        <f t="shared" si="82"/>
        <v>0</v>
      </c>
      <c r="E117" s="26">
        <f t="shared" si="82"/>
        <v>0</v>
      </c>
      <c r="F117" s="26">
        <f t="shared" si="82"/>
        <v>0</v>
      </c>
      <c r="G117" s="26">
        <f t="shared" si="72"/>
        <v>0</v>
      </c>
      <c r="H117" s="26">
        <f t="shared" ref="H117:AR117" si="84">SUMIFS($B98:$AP98,$B$86:$AP$86,H$105-VLOOKUP($A117,$AK$6:$AL$21,2,FALSE))</f>
        <v>0</v>
      </c>
      <c r="I117" s="26">
        <f t="shared" si="84"/>
        <v>1882.32727272727</v>
      </c>
      <c r="J117" s="26">
        <f t="shared" si="84"/>
        <v>1882.32727272727</v>
      </c>
      <c r="K117" s="26">
        <f t="shared" si="84"/>
        <v>1882.32727272727</v>
      </c>
      <c r="L117" s="26">
        <f t="shared" si="84"/>
        <v>1882.32727272727</v>
      </c>
      <c r="M117" s="26">
        <f t="shared" si="84"/>
        <v>1882.32727272727</v>
      </c>
      <c r="N117" s="26">
        <f t="shared" si="84"/>
        <v>1882.32727272727</v>
      </c>
      <c r="O117" s="26">
        <f t="shared" si="84"/>
        <v>1882.32727272727</v>
      </c>
      <c r="P117" s="26">
        <f t="shared" si="84"/>
        <v>1882.32727272727</v>
      </c>
      <c r="Q117" s="26">
        <f t="shared" si="84"/>
        <v>1882.32727272727</v>
      </c>
      <c r="R117" s="26">
        <f t="shared" si="84"/>
        <v>1882.32727272727</v>
      </c>
      <c r="S117" s="26">
        <f t="shared" si="84"/>
        <v>1882.32727272727</v>
      </c>
      <c r="T117" s="26">
        <f t="shared" si="84"/>
        <v>648.5</v>
      </c>
      <c r="U117" s="26">
        <f t="shared" si="84"/>
        <v>648.5</v>
      </c>
      <c r="V117" s="26">
        <f t="shared" si="84"/>
        <v>648.5</v>
      </c>
      <c r="W117" s="26">
        <f t="shared" si="84"/>
        <v>648.5</v>
      </c>
      <c r="X117" s="26">
        <f t="shared" si="84"/>
        <v>648.5</v>
      </c>
      <c r="Y117" s="26">
        <f t="shared" si="84"/>
        <v>648.5</v>
      </c>
      <c r="Z117" s="26">
        <f t="shared" si="84"/>
        <v>648.5</v>
      </c>
      <c r="AA117" s="26">
        <f t="shared" si="84"/>
        <v>648.5</v>
      </c>
      <c r="AB117" s="26">
        <f t="shared" si="84"/>
        <v>1550</v>
      </c>
      <c r="AC117" s="26">
        <f t="shared" si="84"/>
        <v>1901.4</v>
      </c>
      <c r="AD117" s="26">
        <f t="shared" si="84"/>
        <v>1230</v>
      </c>
      <c r="AE117" s="26">
        <f t="shared" si="84"/>
        <v>1560</v>
      </c>
      <c r="AF117" s="26">
        <f t="shared" si="84"/>
        <v>606</v>
      </c>
      <c r="AG117" s="26">
        <f t="shared" si="84"/>
        <v>300</v>
      </c>
      <c r="AH117" s="26">
        <f t="shared" si="84"/>
        <v>0</v>
      </c>
      <c r="AI117" s="26">
        <f t="shared" si="84"/>
        <v>318</v>
      </c>
      <c r="AJ117" s="26">
        <f t="shared" si="84"/>
        <v>2</v>
      </c>
      <c r="AK117" s="26">
        <f t="shared" si="84"/>
        <v>0</v>
      </c>
      <c r="AL117" s="26">
        <f t="shared" si="84"/>
        <v>1400</v>
      </c>
      <c r="AM117" s="26">
        <f t="shared" si="84"/>
        <v>1688</v>
      </c>
      <c r="AN117" s="26">
        <f t="shared" si="84"/>
        <v>0</v>
      </c>
      <c r="AO117" s="26">
        <f t="shared" si="84"/>
        <v>0</v>
      </c>
      <c r="AP117" s="26">
        <f t="shared" si="84"/>
        <v>0</v>
      </c>
      <c r="AQ117" s="26">
        <f t="shared" si="84"/>
        <v>0</v>
      </c>
      <c r="AR117" s="26">
        <f t="shared" si="84"/>
        <v>0</v>
      </c>
    </row>
    <row r="118" spans="1:44">
      <c r="A118" t="s">
        <v>2381</v>
      </c>
      <c r="B118" s="26">
        <f t="shared" si="82"/>
        <v>0</v>
      </c>
      <c r="C118" s="26">
        <f t="shared" si="82"/>
        <v>0</v>
      </c>
      <c r="D118" s="26">
        <f t="shared" si="82"/>
        <v>0</v>
      </c>
      <c r="E118" s="26">
        <f t="shared" si="82"/>
        <v>0</v>
      </c>
      <c r="F118" s="26">
        <f t="shared" si="82"/>
        <v>0</v>
      </c>
      <c r="G118" s="26">
        <f t="shared" si="72"/>
        <v>0</v>
      </c>
      <c r="H118" s="26">
        <f t="shared" ref="H118:AR118" si="85">SUMIFS($B99:$AP99,$B$86:$AP$86,H$105-VLOOKUP($A118,$AK$6:$AL$21,2,FALSE))</f>
        <v>0</v>
      </c>
      <c r="I118" s="26">
        <f t="shared" si="85"/>
        <v>0</v>
      </c>
      <c r="J118" s="26">
        <f t="shared" si="85"/>
        <v>0</v>
      </c>
      <c r="K118" s="26">
        <f t="shared" si="85"/>
        <v>0</v>
      </c>
      <c r="L118" s="26">
        <f t="shared" si="85"/>
        <v>0</v>
      </c>
      <c r="M118" s="26">
        <f t="shared" si="85"/>
        <v>0</v>
      </c>
      <c r="N118" s="26">
        <f t="shared" si="85"/>
        <v>0</v>
      </c>
      <c r="O118" s="26">
        <f t="shared" si="85"/>
        <v>0</v>
      </c>
      <c r="P118" s="26">
        <f t="shared" si="85"/>
        <v>0</v>
      </c>
      <c r="Q118" s="26">
        <f t="shared" si="85"/>
        <v>0</v>
      </c>
      <c r="R118" s="26">
        <f t="shared" si="85"/>
        <v>0</v>
      </c>
      <c r="S118" s="26">
        <f t="shared" si="85"/>
        <v>0</v>
      </c>
      <c r="T118" s="26">
        <f t="shared" si="85"/>
        <v>0</v>
      </c>
      <c r="U118" s="26">
        <f t="shared" si="85"/>
        <v>0</v>
      </c>
      <c r="V118" s="26">
        <f t="shared" si="85"/>
        <v>0</v>
      </c>
      <c r="W118" s="26">
        <f t="shared" si="85"/>
        <v>344</v>
      </c>
      <c r="X118" s="26">
        <f t="shared" si="85"/>
        <v>12.1818181818182</v>
      </c>
      <c r="Y118" s="26">
        <f t="shared" si="85"/>
        <v>114.181818181818</v>
      </c>
      <c r="Z118" s="26">
        <f t="shared" si="85"/>
        <v>24.1818181818182</v>
      </c>
      <c r="AA118" s="26">
        <f t="shared" si="85"/>
        <v>816.181818181818</v>
      </c>
      <c r="AB118" s="26">
        <f t="shared" si="85"/>
        <v>615.181818181818</v>
      </c>
      <c r="AC118" s="26">
        <f t="shared" si="85"/>
        <v>989.181818181818</v>
      </c>
      <c r="AD118" s="26">
        <f t="shared" si="85"/>
        <v>2367.18181818182</v>
      </c>
      <c r="AE118" s="26">
        <f t="shared" si="85"/>
        <v>12.1818181818182</v>
      </c>
      <c r="AF118" s="26">
        <f t="shared" si="85"/>
        <v>12.1818181818182</v>
      </c>
      <c r="AG118" s="26">
        <f t="shared" si="85"/>
        <v>12.1818181818182</v>
      </c>
      <c r="AH118" s="26">
        <f t="shared" si="85"/>
        <v>2643</v>
      </c>
      <c r="AI118" s="26">
        <f t="shared" si="85"/>
        <v>17021.5</v>
      </c>
      <c r="AJ118" s="26">
        <f t="shared" si="85"/>
        <v>6727.5</v>
      </c>
      <c r="AK118" s="26">
        <f t="shared" si="85"/>
        <v>6169.5</v>
      </c>
      <c r="AL118" s="26">
        <f t="shared" si="85"/>
        <v>12975</v>
      </c>
      <c r="AM118" s="26">
        <f t="shared" si="85"/>
        <v>6505</v>
      </c>
      <c r="AN118" s="26">
        <f t="shared" si="85"/>
        <v>3600</v>
      </c>
      <c r="AO118" s="26">
        <f t="shared" si="85"/>
        <v>800</v>
      </c>
      <c r="AP118" s="26">
        <f t="shared" si="85"/>
        <v>1000</v>
      </c>
      <c r="AQ118" s="26">
        <f t="shared" si="85"/>
        <v>0</v>
      </c>
      <c r="AR118" s="26">
        <f t="shared" si="85"/>
        <v>0</v>
      </c>
    </row>
    <row r="119" spans="1:44">
      <c r="A119" t="s">
        <v>2382</v>
      </c>
      <c r="B119" s="26">
        <f t="shared" si="82"/>
        <v>0</v>
      </c>
      <c r="C119" s="26">
        <f t="shared" si="82"/>
        <v>0</v>
      </c>
      <c r="D119" s="26">
        <f t="shared" si="82"/>
        <v>0</v>
      </c>
      <c r="E119" s="26">
        <f t="shared" si="82"/>
        <v>0</v>
      </c>
      <c r="F119" s="26">
        <f t="shared" si="82"/>
        <v>0</v>
      </c>
      <c r="G119" s="26">
        <f t="shared" si="72"/>
        <v>0</v>
      </c>
      <c r="H119" s="26">
        <f t="shared" ref="H119:AR119" si="86">SUMIFS($B100:$AP100,$B$86:$AP$86,H$105-VLOOKUP($A119,$AK$6:$AL$21,2,FALSE))</f>
        <v>0</v>
      </c>
      <c r="I119" s="26">
        <f t="shared" si="86"/>
        <v>0</v>
      </c>
      <c r="J119" s="26">
        <f t="shared" si="86"/>
        <v>3.85532828077042</v>
      </c>
      <c r="K119" s="26">
        <f t="shared" si="86"/>
        <v>6.3501054880975</v>
      </c>
      <c r="L119" s="26">
        <f t="shared" si="86"/>
        <v>6.3501054880975</v>
      </c>
      <c r="M119" s="26">
        <f t="shared" si="86"/>
        <v>6.3501054880975</v>
      </c>
      <c r="N119" s="26">
        <f t="shared" si="86"/>
        <v>6.3501054880975</v>
      </c>
      <c r="O119" s="26">
        <f t="shared" si="86"/>
        <v>6.3501054880975</v>
      </c>
      <c r="P119" s="26">
        <f t="shared" si="86"/>
        <v>6.3501054880975</v>
      </c>
      <c r="Q119" s="26">
        <f t="shared" si="86"/>
        <v>6.3501054880975</v>
      </c>
      <c r="R119" s="26">
        <f t="shared" si="86"/>
        <v>6.3501054880975</v>
      </c>
      <c r="S119" s="26">
        <f t="shared" si="86"/>
        <v>6.3501054880975</v>
      </c>
      <c r="T119" s="26">
        <f t="shared" si="86"/>
        <v>6.3501054880975</v>
      </c>
      <c r="U119" s="26">
        <f t="shared" si="86"/>
        <v>2.29134490533235</v>
      </c>
      <c r="V119" s="26">
        <f t="shared" si="86"/>
        <v>1.78666630447577</v>
      </c>
      <c r="W119" s="26">
        <f t="shared" si="86"/>
        <v>1.78666630447577</v>
      </c>
      <c r="X119" s="26">
        <f t="shared" si="86"/>
        <v>3.46719401660645</v>
      </c>
      <c r="Y119" s="26">
        <f t="shared" si="86"/>
        <v>1.78666630447577</v>
      </c>
      <c r="Z119" s="26">
        <f t="shared" si="86"/>
        <v>1.78666630447577</v>
      </c>
      <c r="AA119" s="26">
        <f t="shared" si="86"/>
        <v>5.4286768261212</v>
      </c>
      <c r="AB119" s="26">
        <f t="shared" si="86"/>
        <v>1.78666630447577</v>
      </c>
      <c r="AC119" s="26">
        <f t="shared" si="86"/>
        <v>1.78666630447577</v>
      </c>
      <c r="AD119" s="26">
        <f t="shared" si="86"/>
        <v>1.78666630447578</v>
      </c>
      <c r="AE119" s="26">
        <f t="shared" si="86"/>
        <v>0</v>
      </c>
      <c r="AF119" s="26">
        <f t="shared" si="86"/>
        <v>0</v>
      </c>
      <c r="AG119" s="26">
        <f t="shared" si="86"/>
        <v>0</v>
      </c>
      <c r="AH119" s="26">
        <f t="shared" si="86"/>
        <v>0</v>
      </c>
      <c r="AI119" s="26">
        <f t="shared" si="86"/>
        <v>0</v>
      </c>
      <c r="AJ119" s="26">
        <f t="shared" si="86"/>
        <v>0</v>
      </c>
      <c r="AK119" s="26">
        <f t="shared" si="86"/>
        <v>0</v>
      </c>
      <c r="AL119" s="26">
        <f t="shared" si="86"/>
        <v>0</v>
      </c>
      <c r="AM119" s="26">
        <f t="shared" si="86"/>
        <v>0</v>
      </c>
      <c r="AN119" s="26">
        <f t="shared" si="86"/>
        <v>0</v>
      </c>
      <c r="AO119" s="26">
        <f t="shared" si="86"/>
        <v>0</v>
      </c>
      <c r="AP119" s="26">
        <f t="shared" si="86"/>
        <v>0</v>
      </c>
      <c r="AQ119" s="26">
        <f t="shared" si="86"/>
        <v>0</v>
      </c>
      <c r="AR119" s="26">
        <f t="shared" si="86"/>
        <v>0</v>
      </c>
    </row>
    <row r="120" spans="1:44">
      <c r="A120" t="s">
        <v>2383</v>
      </c>
      <c r="B120" s="26">
        <f t="shared" si="82"/>
        <v>0</v>
      </c>
      <c r="C120" s="26">
        <f t="shared" si="82"/>
        <v>0</v>
      </c>
      <c r="D120" s="26">
        <f t="shared" si="82"/>
        <v>0</v>
      </c>
      <c r="E120" s="26">
        <f t="shared" si="82"/>
        <v>0</v>
      </c>
      <c r="F120" s="26">
        <f t="shared" si="82"/>
        <v>0</v>
      </c>
      <c r="G120" s="26">
        <f t="shared" si="72"/>
        <v>0</v>
      </c>
      <c r="H120" s="26">
        <f t="shared" ref="H120:AR120" si="87">SUMIFS($B101:$AP101,$B$86:$AP$86,H$105-VLOOKUP($A120,$AK$6:$AL$21,2,FALSE))</f>
        <v>0</v>
      </c>
      <c r="I120" s="26">
        <f t="shared" si="87"/>
        <v>0</v>
      </c>
      <c r="J120" s="26">
        <f t="shared" si="87"/>
        <v>53.3462431749658</v>
      </c>
      <c r="K120" s="26">
        <f t="shared" si="87"/>
        <v>87.8665179420314</v>
      </c>
      <c r="L120" s="26">
        <f t="shared" si="87"/>
        <v>87.8665179420314</v>
      </c>
      <c r="M120" s="26">
        <f t="shared" si="87"/>
        <v>87.8665179420314</v>
      </c>
      <c r="N120" s="26">
        <f t="shared" si="87"/>
        <v>87.8665179420314</v>
      </c>
      <c r="O120" s="26">
        <f t="shared" si="87"/>
        <v>87.8665179420314</v>
      </c>
      <c r="P120" s="26">
        <f t="shared" si="87"/>
        <v>87.8665179420314</v>
      </c>
      <c r="Q120" s="26">
        <f t="shared" si="87"/>
        <v>87.8665179420314</v>
      </c>
      <c r="R120" s="26">
        <f t="shared" si="87"/>
        <v>87.8665179420314</v>
      </c>
      <c r="S120" s="26">
        <f t="shared" si="87"/>
        <v>87.8665179420314</v>
      </c>
      <c r="T120" s="26">
        <f t="shared" si="87"/>
        <v>87.8665179420314</v>
      </c>
      <c r="U120" s="26">
        <f t="shared" si="87"/>
        <v>31.7053785347568</v>
      </c>
      <c r="V120" s="26">
        <f t="shared" si="87"/>
        <v>24.7221321272377</v>
      </c>
      <c r="W120" s="26">
        <f t="shared" si="87"/>
        <v>24.7221321272377</v>
      </c>
      <c r="X120" s="26">
        <f t="shared" si="87"/>
        <v>47.9756227419662</v>
      </c>
      <c r="Y120" s="26">
        <f t="shared" si="87"/>
        <v>24.7221321272377</v>
      </c>
      <c r="Z120" s="26">
        <f t="shared" si="87"/>
        <v>24.7221321272377</v>
      </c>
      <c r="AA120" s="26">
        <f t="shared" si="87"/>
        <v>75.1166938309836</v>
      </c>
      <c r="AB120" s="26">
        <f t="shared" si="87"/>
        <v>24.7221321272377</v>
      </c>
      <c r="AC120" s="26">
        <f t="shared" si="87"/>
        <v>24.7221321272377</v>
      </c>
      <c r="AD120" s="26">
        <f t="shared" si="87"/>
        <v>24.7221321272377</v>
      </c>
      <c r="AE120" s="26">
        <f t="shared" si="87"/>
        <v>0</v>
      </c>
      <c r="AF120" s="26">
        <f t="shared" si="87"/>
        <v>0</v>
      </c>
      <c r="AG120" s="26">
        <f t="shared" si="87"/>
        <v>0</v>
      </c>
      <c r="AH120" s="26">
        <f t="shared" si="87"/>
        <v>0</v>
      </c>
      <c r="AI120" s="26">
        <f t="shared" si="87"/>
        <v>0</v>
      </c>
      <c r="AJ120" s="26">
        <f t="shared" si="87"/>
        <v>0</v>
      </c>
      <c r="AK120" s="26">
        <f t="shared" si="87"/>
        <v>0</v>
      </c>
      <c r="AL120" s="26">
        <f t="shared" si="87"/>
        <v>0</v>
      </c>
      <c r="AM120" s="26">
        <f t="shared" si="87"/>
        <v>0</v>
      </c>
      <c r="AN120" s="26">
        <f t="shared" si="87"/>
        <v>0</v>
      </c>
      <c r="AO120" s="26">
        <f t="shared" si="87"/>
        <v>0</v>
      </c>
      <c r="AP120" s="26">
        <f t="shared" si="87"/>
        <v>0</v>
      </c>
      <c r="AQ120" s="26">
        <f t="shared" si="87"/>
        <v>0</v>
      </c>
      <c r="AR120" s="26">
        <f t="shared" si="87"/>
        <v>0</v>
      </c>
    </row>
    <row r="121" spans="1:44">
      <c r="A121" t="s">
        <v>2384</v>
      </c>
      <c r="B121" s="26">
        <f t="shared" si="82"/>
        <v>0</v>
      </c>
      <c r="C121" s="26">
        <f t="shared" si="82"/>
        <v>0</v>
      </c>
      <c r="D121" s="26">
        <f t="shared" si="82"/>
        <v>0</v>
      </c>
      <c r="E121" s="26">
        <f t="shared" si="82"/>
        <v>0</v>
      </c>
      <c r="F121" s="26">
        <f t="shared" si="82"/>
        <v>0</v>
      </c>
      <c r="G121" s="26">
        <f t="shared" si="72"/>
        <v>0</v>
      </c>
      <c r="H121" s="26">
        <f t="shared" ref="H121:AR121" si="88">SUMIFS($B102:$AP102,$B$86:$AP$86,H$105-VLOOKUP($A121,$AK$6:$AL$21,2,FALSE))</f>
        <v>0</v>
      </c>
      <c r="I121" s="26">
        <f t="shared" si="88"/>
        <v>15.1</v>
      </c>
      <c r="J121" s="26">
        <f t="shared" si="88"/>
        <v>15.1</v>
      </c>
      <c r="K121" s="26">
        <f t="shared" si="88"/>
        <v>15.1</v>
      </c>
      <c r="L121" s="26">
        <f t="shared" si="88"/>
        <v>15.1</v>
      </c>
      <c r="M121" s="26">
        <f t="shared" si="88"/>
        <v>15.1</v>
      </c>
      <c r="N121" s="26">
        <f t="shared" si="88"/>
        <v>15.1</v>
      </c>
      <c r="O121" s="26">
        <f t="shared" si="88"/>
        <v>15.1</v>
      </c>
      <c r="P121" s="26">
        <f t="shared" si="88"/>
        <v>15.1</v>
      </c>
      <c r="Q121" s="26">
        <f t="shared" si="88"/>
        <v>15.1</v>
      </c>
      <c r="R121" s="26">
        <f t="shared" si="88"/>
        <v>15.1</v>
      </c>
      <c r="S121" s="26">
        <f t="shared" si="88"/>
        <v>15.1</v>
      </c>
      <c r="T121" s="26">
        <f t="shared" si="88"/>
        <v>514.75</v>
      </c>
      <c r="U121" s="26">
        <f t="shared" si="88"/>
        <v>514.75</v>
      </c>
      <c r="V121" s="26">
        <f t="shared" si="88"/>
        <v>514.75</v>
      </c>
      <c r="W121" s="26">
        <f t="shared" si="88"/>
        <v>514.75</v>
      </c>
      <c r="X121" s="26">
        <f t="shared" si="88"/>
        <v>514.75</v>
      </c>
      <c r="Y121" s="26">
        <f t="shared" si="88"/>
        <v>514.75</v>
      </c>
      <c r="Z121" s="26">
        <f t="shared" si="88"/>
        <v>514.75</v>
      </c>
      <c r="AA121" s="26">
        <f t="shared" si="88"/>
        <v>514.75</v>
      </c>
      <c r="AB121" s="26">
        <f t="shared" si="88"/>
        <v>232.5</v>
      </c>
      <c r="AC121" s="26">
        <f t="shared" si="88"/>
        <v>433</v>
      </c>
      <c r="AD121" s="26">
        <f t="shared" si="88"/>
        <v>654</v>
      </c>
      <c r="AE121" s="26">
        <f t="shared" si="88"/>
        <v>786.8</v>
      </c>
      <c r="AF121" s="26">
        <f t="shared" si="88"/>
        <v>574.8</v>
      </c>
      <c r="AG121" s="26">
        <f t="shared" si="88"/>
        <v>705.2</v>
      </c>
      <c r="AH121" s="26">
        <f t="shared" si="88"/>
        <v>474</v>
      </c>
      <c r="AI121" s="26">
        <f t="shared" si="88"/>
        <v>633.5</v>
      </c>
      <c r="AJ121" s="26">
        <f t="shared" si="88"/>
        <v>810</v>
      </c>
      <c r="AK121" s="26">
        <f t="shared" si="88"/>
        <v>952.6</v>
      </c>
      <c r="AL121" s="26">
        <f t="shared" si="88"/>
        <v>1189.5</v>
      </c>
      <c r="AM121" s="26">
        <f t="shared" si="88"/>
        <v>3002.3</v>
      </c>
      <c r="AN121" s="26">
        <f t="shared" si="88"/>
        <v>0</v>
      </c>
      <c r="AO121" s="26">
        <f t="shared" si="88"/>
        <v>0</v>
      </c>
      <c r="AP121" s="26">
        <f t="shared" si="88"/>
        <v>0</v>
      </c>
      <c r="AQ121" s="26">
        <f t="shared" si="88"/>
        <v>0</v>
      </c>
      <c r="AR121" s="26">
        <f t="shared" si="88"/>
        <v>0</v>
      </c>
    </row>
    <row r="123" ht="13.1" spans="1:44">
      <c r="A123" s="3" t="s">
        <v>2397</v>
      </c>
    </row>
    <row r="124" spans="1:44">
      <c r="A124" s="21" t="s">
        <v>2395</v>
      </c>
      <c r="B124" s="22">
        <v>2018</v>
      </c>
      <c r="C124" s="22">
        <v>2019</v>
      </c>
      <c r="D124" s="22">
        <v>2020</v>
      </c>
      <c r="E124" s="22">
        <v>2021</v>
      </c>
      <c r="F124" s="22">
        <v>2022</v>
      </c>
      <c r="G124" s="22">
        <v>2023</v>
      </c>
      <c r="H124" s="22">
        <v>2024</v>
      </c>
      <c r="I124" s="22">
        <v>2025</v>
      </c>
      <c r="J124" s="22">
        <v>2026</v>
      </c>
      <c r="K124" s="22">
        <v>2027</v>
      </c>
      <c r="L124" s="22">
        <v>2028</v>
      </c>
      <c r="M124" s="22">
        <v>2029</v>
      </c>
      <c r="N124" s="22">
        <v>2030</v>
      </c>
      <c r="O124" s="22">
        <v>2031</v>
      </c>
      <c r="P124" s="22">
        <v>2032</v>
      </c>
      <c r="Q124" s="22">
        <v>2033</v>
      </c>
      <c r="R124" s="22">
        <v>2034</v>
      </c>
      <c r="S124" s="22">
        <v>2035</v>
      </c>
      <c r="T124" s="22">
        <v>2036</v>
      </c>
      <c r="U124" s="22">
        <v>2037</v>
      </c>
      <c r="V124" s="22">
        <v>2038</v>
      </c>
      <c r="W124" s="22">
        <v>2039</v>
      </c>
      <c r="X124" s="22">
        <v>2040</v>
      </c>
      <c r="Y124" s="22">
        <v>2041</v>
      </c>
      <c r="Z124" s="22">
        <v>2042</v>
      </c>
      <c r="AA124" s="22">
        <v>2043</v>
      </c>
      <c r="AB124" s="22">
        <v>2044</v>
      </c>
      <c r="AC124" s="22">
        <v>2045</v>
      </c>
      <c r="AD124" s="22">
        <v>2046</v>
      </c>
      <c r="AE124" s="22">
        <v>2047</v>
      </c>
      <c r="AF124" s="22">
        <v>2048</v>
      </c>
      <c r="AG124" s="22">
        <v>2049</v>
      </c>
      <c r="AH124" s="22">
        <v>2050</v>
      </c>
      <c r="AI124" s="22">
        <v>2051</v>
      </c>
      <c r="AJ124" s="22">
        <v>2052</v>
      </c>
      <c r="AK124" s="22">
        <v>2053</v>
      </c>
      <c r="AL124" s="22">
        <v>2054</v>
      </c>
      <c r="AM124" s="22">
        <v>2055</v>
      </c>
      <c r="AN124" s="22">
        <v>2056</v>
      </c>
      <c r="AO124" s="22">
        <v>2057</v>
      </c>
      <c r="AP124" s="22">
        <v>2058</v>
      </c>
      <c r="AQ124" s="22">
        <v>2059</v>
      </c>
      <c r="AR124" s="22">
        <v>2060</v>
      </c>
    </row>
    <row r="125" spans="1:44">
      <c r="A125" t="s">
        <v>2369</v>
      </c>
      <c r="B125" s="26">
        <f ca="1">IF(SUM(A106:$B106)&gt;SUM($D125:$G125),B106,MAX(0,SUM($B106:B106)-SUM($D125:$G125)))</f>
        <v>0</v>
      </c>
      <c r="C125" s="26">
        <f ca="1">IF(SUM($B106:B106)&gt;SUM($D125:$G125),C106,MAX(0,SUM($B106:C106)-SUM($D125:$G125)))</f>
        <v>0</v>
      </c>
      <c r="D125" s="26">
        <f ca="1">IF(SUM($B106:C106)&gt;SUM($D125:$G125),D106,MAX(0,SUM($B106:D106)-SUM($D125:$G125)))</f>
        <v>0</v>
      </c>
      <c r="E125" s="26">
        <f ca="1">IF(SUM($B106:D106)&gt;SUM($D125:$G125),E106,MAX(0,SUM($B106:E106)-SUM($D125:$G125)))</f>
        <v>0</v>
      </c>
      <c r="F125" s="26">
        <f ca="1">IF(SUM($B106:E106)&gt;SUM($D125:$G125),F106,MAX(0,SUM($B106:F106)-SUM($D125:$G125)))</f>
        <v>0</v>
      </c>
      <c r="G125" s="26">
        <f ca="1">IF(SUM($B106:F106)&gt;SUM($D125:$G125),G106,MAX(0,SUM($B106:G106)-SUM($D125:$G125)))</f>
        <v>0</v>
      </c>
      <c r="H125" s="26">
        <f ca="1">IF(SUM($B106:G106)&gt;SUM($D125:$G125),H106,MAX(0,SUM($B106:H106)-SUM($D125:$G125)))</f>
        <v>0</v>
      </c>
      <c r="I125" s="26">
        <f ca="1">IF(SUM($B106:H106)&gt;SUM($D125:$G125),I106,MAX(0,SUM($B106:I106)-SUM($D125:$G125)))</f>
        <v>0</v>
      </c>
      <c r="J125" s="26">
        <f ca="1">IF(SUM($B106:I106)&gt;SUM($D125:$G125),J106,MAX(0,SUM($B106:J106)-SUM($D125:$G125)))</f>
        <v>0</v>
      </c>
      <c r="K125" s="26">
        <f ca="1">IF(SUM($B106:J106)&gt;SUM($D125:$G125),K106,MAX(0,SUM($B106:K106)-SUM($D125:$G125)))</f>
        <v>0</v>
      </c>
      <c r="L125" s="26">
        <f ca="1">IF(SUM($B106:K106)&gt;SUM($D125:$G125),L106,MAX(0,SUM($B106:L106)-SUM($D125:$G125)))</f>
        <v>0</v>
      </c>
      <c r="M125" s="26">
        <f ca="1">IF(SUM($B106:L106)&gt;SUM($D125:$G125),M106,MAX(0,SUM($B106:M106)-SUM($D125:$G125)))</f>
        <v>0</v>
      </c>
      <c r="N125" s="26">
        <f ca="1">IF(SUM($B106:M106)&gt;SUM($D125:$G125),N106,MAX(0,SUM($B106:N106)-SUM($D125:$G125)))</f>
        <v>0</v>
      </c>
      <c r="O125" s="26">
        <f ca="1">IF(SUM($B106:N106)&gt;SUM($D125:$G125),O106,MAX(0,SUM($B106:O106)-SUM($D125:$G125)))</f>
        <v>0</v>
      </c>
      <c r="P125" s="26">
        <f ca="1">IF(SUM($B106:O106)&gt;SUM($D125:$G125),P106,MAX(0,SUM($B106:P106)-SUM($D125:$G125)))</f>
        <v>0</v>
      </c>
      <c r="Q125" s="26">
        <f ca="1">IF(SUM($B106:P106)&gt;SUM($D125:$G125),Q106,MAX(0,SUM($B106:Q106)-SUM($D125:$G125)))</f>
        <v>0</v>
      </c>
      <c r="R125" s="26">
        <f ca="1">IF(SUM($B106:Q106)&gt;SUM($D125:$G125),R106,MAX(0,SUM($B106:R106)-SUM($D125:$G125)))</f>
        <v>0</v>
      </c>
      <c r="S125" s="26">
        <f ca="1">IF(SUM($B106:R106)&gt;SUM($D125:$G125),S106,MAX(0,SUM($B106:S106)-SUM($D125:$G125)))</f>
        <v>0</v>
      </c>
      <c r="T125" s="26">
        <f ca="1">IF(SUM($B106:S106)&gt;SUM($D125:$G125),T106,MAX(0,SUM($B106:T106)-SUM($D125:$G125)))</f>
        <v>0</v>
      </c>
      <c r="U125" s="26">
        <f ca="1">IF(SUM($B106:T106)&gt;SUM($D125:$G125),U106,MAX(0,SUM($B106:U106)-SUM($D125:$G125)))</f>
        <v>0</v>
      </c>
      <c r="V125" s="26">
        <f ca="1">IF(SUM($B106:U106)&gt;SUM($D125:$G125),V106,MAX(0,SUM($B106:V106)-SUM($D125:$G125)))</f>
        <v>20245.6409999998</v>
      </c>
      <c r="W125" s="26">
        <f ca="1">IF(SUM($B106:V106)&gt;SUM($D125:$G125),W106,MAX(0,SUM($B106:W106)-SUM($D125:$G125)))</f>
        <v>45933.375</v>
      </c>
      <c r="X125" s="26">
        <f ca="1">IF(SUM($B106:W106)&gt;SUM($D125:$G125),X106,MAX(0,SUM($B106:X106)-SUM($D125:$G125)))</f>
        <v>60327</v>
      </c>
      <c r="Y125" s="26">
        <f ca="1">IF(SUM($B106:X106)&gt;SUM($D125:$G125),Y106,MAX(0,SUM($B106:Y106)-SUM($D125:$G125)))</f>
        <v>92699</v>
      </c>
      <c r="Z125" s="26">
        <f ca="1">IF(SUM($B106:Y106)&gt;SUM($D125:$G125),Z106,MAX(0,SUM($B106:Z106)-SUM($D125:$G125)))</f>
        <v>89132.345</v>
      </c>
      <c r="AA125" s="26">
        <f ca="1">IF(SUM($B106:Z106)&gt;SUM($D125:$G125),AA106,MAX(0,SUM($B106:AA106)-SUM($D125:$G125)))</f>
        <v>70989.9865555555</v>
      </c>
      <c r="AB125" s="26">
        <f ca="1">IF(SUM($B106:AA106)&gt;SUM($D125:$G125),AB106,MAX(0,SUM($B106:AB106)-SUM($D125:$G125)))</f>
        <v>72437.0865555556</v>
      </c>
      <c r="AC125" s="26">
        <f ca="1">IF(SUM($B106:AB106)&gt;SUM($D125:$G125),AC106,MAX(0,SUM($B106:AC106)-SUM($D125:$G125)))</f>
        <v>64840.9865555556</v>
      </c>
      <c r="AD125" s="26">
        <f ca="1">IF(SUM($B106:AC106)&gt;SUM($D125:$G125),AD106,MAX(0,SUM($B106:AD106)-SUM($D125:$G125)))</f>
        <v>67105.9865555556</v>
      </c>
      <c r="AE125" s="26">
        <f ca="1">IF(SUM($B106:AD106)&gt;SUM($D125:$G125),AE106,MAX(0,SUM($B106:AE106)-SUM($D125:$G125)))</f>
        <v>56889.3865555556</v>
      </c>
      <c r="AF125" s="26">
        <f ca="1">IF(SUM($B106:AE106)&gt;SUM($D125:$G125),AF106,MAX(0,SUM($B106:AF106)-SUM($D125:$G125)))</f>
        <v>44438.4865555556</v>
      </c>
      <c r="AG125" s="26">
        <f ca="1">IF(SUM($B106:AF106)&gt;SUM($D125:$G125),AG106,MAX(0,SUM($B106:AG106)-SUM($D125:$G125)))</f>
        <v>45250.2865555555</v>
      </c>
      <c r="AH125" s="26">
        <f ca="1">IF(SUM($B106:AG106)&gt;SUM($D125:$G125),AH106,MAX(0,SUM($B106:AH106)-SUM($D125:$G125)))</f>
        <v>64592.1865555556</v>
      </c>
      <c r="AI125" s="26">
        <f ca="1">IF(SUM($B106:AH106)&gt;SUM($D125:$G125),AI106,MAX(0,SUM($B106:AI106)-SUM($D125:$G125)))</f>
        <v>50227.9865555556</v>
      </c>
      <c r="AJ125" s="26">
        <f ca="1">IF(SUM($B106:AI106)&gt;SUM($D125:$G125),AJ106,MAX(0,SUM($B106:AJ106)-SUM($D125:$G125)))</f>
        <v>45106.22</v>
      </c>
      <c r="AK125" s="26">
        <f ca="1">IF(SUM($B106:AJ106)&gt;SUM($D125:$G125),AK106,MAX(0,SUM($B106:AK106)-SUM($D125:$G125)))</f>
        <v>40627.02</v>
      </c>
      <c r="AL125" s="26">
        <f ca="1">IF(SUM($B106:AK106)&gt;SUM($D125:$G125),AL106,MAX(0,SUM($B106:AL106)-SUM($D125:$G125)))</f>
        <v>41030.02</v>
      </c>
      <c r="AM125" s="26">
        <f ca="1">IF(SUM($B106:AL106)&gt;SUM($D125:$G125),AM106,MAX(0,SUM($B106:AM106)-SUM($D125:$G125)))</f>
        <v>38613</v>
      </c>
      <c r="AN125" s="26">
        <f ca="1">IF(SUM($B106:AM106)&gt;SUM($D125:$G125),AN106,MAX(0,SUM($B106:AN106)-SUM($D125:$G125)))</f>
        <v>26707</v>
      </c>
      <c r="AO125" s="26">
        <f ca="1">IF(SUM($B106:AN106)&gt;SUM($D125:$G125),AO106,MAX(0,SUM($B106:AO106)-SUM($D125:$G125)))</f>
        <v>28272</v>
      </c>
      <c r="AP125" s="26">
        <f ca="1">IF(SUM($B106:AO106)&gt;SUM($D125:$G125),AP106,MAX(0,SUM($B106:AP106)-SUM($D125:$G125)))</f>
        <v>48098</v>
      </c>
      <c r="AQ125" s="26">
        <f ca="1">IF(SUM($B106:AP106)&gt;SUM($D125:$G125),AQ106,MAX(0,SUM($B106:AQ106)-SUM($D125:$G125)))</f>
        <v>45448</v>
      </c>
      <c r="AR125" s="26">
        <f ca="1">IF(SUM($B106:AQ106)&gt;SUM($D125:$G125),AR106,MAX(0,SUM($B106:AR106)-SUM($D125:$G125)))</f>
        <v>115238</v>
      </c>
    </row>
    <row r="126" spans="1:44">
      <c r="A126" t="s">
        <v>2370</v>
      </c>
      <c r="B126" s="26">
        <f>B107</f>
        <v>0</v>
      </c>
      <c r="C126" s="26">
        <f t="shared" ref="C126:AP132" si="89">C107</f>
        <v>0</v>
      </c>
      <c r="D126" s="26">
        <f t="shared" si="89"/>
        <v>0</v>
      </c>
      <c r="E126" s="26">
        <f t="shared" si="89"/>
        <v>0</v>
      </c>
      <c r="F126" s="26">
        <f t="shared" si="89"/>
        <v>0</v>
      </c>
      <c r="G126" s="26">
        <f t="shared" si="89"/>
        <v>0</v>
      </c>
      <c r="H126" s="26">
        <f t="shared" si="89"/>
        <v>0</v>
      </c>
      <c r="I126" s="26">
        <f t="shared" si="89"/>
        <v>0</v>
      </c>
      <c r="J126" s="26">
        <f t="shared" si="89"/>
        <v>0</v>
      </c>
      <c r="K126" s="26">
        <f t="shared" si="89"/>
        <v>0</v>
      </c>
      <c r="L126" s="26">
        <f t="shared" si="89"/>
        <v>0</v>
      </c>
      <c r="M126" s="26">
        <f t="shared" si="89"/>
        <v>0</v>
      </c>
      <c r="N126" s="26">
        <f t="shared" si="89"/>
        <v>0</v>
      </c>
      <c r="O126" s="26">
        <f t="shared" si="89"/>
        <v>0</v>
      </c>
      <c r="P126" s="26">
        <f t="shared" si="89"/>
        <v>0</v>
      </c>
      <c r="Q126" s="26">
        <f t="shared" si="89"/>
        <v>0</v>
      </c>
      <c r="R126" s="26">
        <f t="shared" si="89"/>
        <v>0</v>
      </c>
      <c r="S126" s="26">
        <f t="shared" si="89"/>
        <v>76.1040000000104</v>
      </c>
      <c r="T126" s="26">
        <f t="shared" si="89"/>
        <v>250.46</v>
      </c>
      <c r="U126" s="26">
        <f t="shared" si="89"/>
        <v>271.46</v>
      </c>
      <c r="V126" s="26">
        <f t="shared" si="89"/>
        <v>282.1</v>
      </c>
      <c r="W126" s="26">
        <f t="shared" si="89"/>
        <v>0</v>
      </c>
      <c r="X126" s="26">
        <f t="shared" si="89"/>
        <v>2075.99</v>
      </c>
      <c r="Y126" s="26">
        <f t="shared" si="89"/>
        <v>3130.19</v>
      </c>
      <c r="Z126" s="26">
        <f t="shared" si="89"/>
        <v>2853.403</v>
      </c>
      <c r="AA126" s="26">
        <f t="shared" si="89"/>
        <v>990.577</v>
      </c>
      <c r="AB126" s="26">
        <f t="shared" si="89"/>
        <v>2589.72</v>
      </c>
      <c r="AC126" s="26">
        <f t="shared" si="89"/>
        <v>2061.0044</v>
      </c>
      <c r="AD126" s="26">
        <f t="shared" si="89"/>
        <v>1654.4444</v>
      </c>
      <c r="AE126" s="26">
        <f t="shared" si="89"/>
        <v>2231.6644</v>
      </c>
      <c r="AF126" s="26">
        <f t="shared" si="89"/>
        <v>4965.7244</v>
      </c>
      <c r="AG126" s="26">
        <f t="shared" si="89"/>
        <v>9113.7144</v>
      </c>
      <c r="AH126" s="26">
        <f t="shared" si="89"/>
        <v>8573.0344</v>
      </c>
      <c r="AI126" s="26">
        <f t="shared" si="89"/>
        <v>5222.2044</v>
      </c>
      <c r="AJ126" s="26">
        <f t="shared" si="89"/>
        <v>4792.0964</v>
      </c>
      <c r="AK126" s="26">
        <f t="shared" si="89"/>
        <v>6977.8464</v>
      </c>
      <c r="AL126" s="26">
        <f t="shared" si="89"/>
        <v>4898.7064</v>
      </c>
      <c r="AM126" s="26">
        <f t="shared" si="89"/>
        <v>0</v>
      </c>
      <c r="AN126" s="26">
        <f t="shared" si="89"/>
        <v>0</v>
      </c>
      <c r="AO126" s="26">
        <f t="shared" si="89"/>
        <v>0</v>
      </c>
      <c r="AP126" s="26">
        <f t="shared" si="89"/>
        <v>0</v>
      </c>
      <c r="AQ126" s="26">
        <f>IF(SUM($B107:AP107)&gt;SUM($D126:$G126),AQ107,MAX(0,SUM($B107:AQ107)-SUM($D126:$G126)))</f>
        <v>0</v>
      </c>
      <c r="AR126" s="26">
        <f>IF(SUM($B107:AQ107)&gt;SUM($D126:$G126),AR107,MAX(0,SUM($B107:AR107)-SUM($D126:$G126)))</f>
        <v>0</v>
      </c>
    </row>
    <row r="127" spans="1:44">
      <c r="A127" t="s">
        <v>2371</v>
      </c>
      <c r="B127" s="26">
        <f t="shared" ref="B127:Q140" si="90">B108</f>
        <v>0</v>
      </c>
      <c r="C127" s="26">
        <f t="shared" si="90"/>
        <v>0</v>
      </c>
      <c r="D127" s="26">
        <f t="shared" si="90"/>
        <v>0</v>
      </c>
      <c r="E127" s="26">
        <f t="shared" si="90"/>
        <v>0</v>
      </c>
      <c r="F127" s="26">
        <f t="shared" si="90"/>
        <v>0</v>
      </c>
      <c r="G127" s="26">
        <f t="shared" si="90"/>
        <v>0</v>
      </c>
      <c r="H127" s="26">
        <f t="shared" si="90"/>
        <v>0</v>
      </c>
      <c r="I127" s="26">
        <f t="shared" si="90"/>
        <v>0</v>
      </c>
      <c r="J127" s="26">
        <f t="shared" si="90"/>
        <v>0</v>
      </c>
      <c r="K127" s="26">
        <f t="shared" si="90"/>
        <v>0</v>
      </c>
      <c r="L127" s="26">
        <f t="shared" si="90"/>
        <v>0</v>
      </c>
      <c r="M127" s="26">
        <f t="shared" si="90"/>
        <v>0</v>
      </c>
      <c r="N127" s="26">
        <f t="shared" si="90"/>
        <v>0</v>
      </c>
      <c r="O127" s="26">
        <f t="shared" si="90"/>
        <v>0</v>
      </c>
      <c r="P127" s="26">
        <f t="shared" si="90"/>
        <v>0</v>
      </c>
      <c r="Q127" s="26">
        <f t="shared" si="90"/>
        <v>0</v>
      </c>
      <c r="R127" s="26">
        <f t="shared" si="89"/>
        <v>0</v>
      </c>
      <c r="S127" s="26">
        <f t="shared" si="89"/>
        <v>0</v>
      </c>
      <c r="T127" s="26">
        <f t="shared" si="89"/>
        <v>0</v>
      </c>
      <c r="U127" s="26">
        <f t="shared" si="89"/>
        <v>0</v>
      </c>
      <c r="V127" s="26">
        <f t="shared" si="89"/>
        <v>0</v>
      </c>
      <c r="W127" s="26">
        <f t="shared" si="89"/>
        <v>0</v>
      </c>
      <c r="X127" s="26">
        <f t="shared" si="89"/>
        <v>0</v>
      </c>
      <c r="Y127" s="26">
        <f t="shared" si="89"/>
        <v>0</v>
      </c>
      <c r="Z127" s="26">
        <f t="shared" si="89"/>
        <v>0</v>
      </c>
      <c r="AA127" s="26">
        <f t="shared" si="89"/>
        <v>964.639999999985</v>
      </c>
      <c r="AB127" s="26">
        <f t="shared" si="89"/>
        <v>964.639999999985</v>
      </c>
      <c r="AC127" s="26">
        <f t="shared" si="89"/>
        <v>0</v>
      </c>
      <c r="AD127" s="26">
        <f t="shared" si="89"/>
        <v>0</v>
      </c>
      <c r="AE127" s="26">
        <f t="shared" si="89"/>
        <v>0</v>
      </c>
      <c r="AF127" s="26">
        <f t="shared" si="89"/>
        <v>0</v>
      </c>
      <c r="AG127" s="26">
        <f t="shared" si="89"/>
        <v>0</v>
      </c>
      <c r="AH127" s="26">
        <f t="shared" si="89"/>
        <v>0</v>
      </c>
      <c r="AI127" s="26">
        <f t="shared" si="89"/>
        <v>0</v>
      </c>
      <c r="AJ127" s="26">
        <f t="shared" si="89"/>
        <v>3338.63999999998</v>
      </c>
      <c r="AK127" s="26">
        <f t="shared" si="89"/>
        <v>728</v>
      </c>
      <c r="AL127" s="26">
        <f t="shared" si="89"/>
        <v>650</v>
      </c>
      <c r="AM127" s="26">
        <f t="shared" si="89"/>
        <v>0</v>
      </c>
      <c r="AN127" s="26">
        <f t="shared" si="89"/>
        <v>1060</v>
      </c>
      <c r="AO127" s="26">
        <f t="shared" si="89"/>
        <v>1060</v>
      </c>
      <c r="AP127" s="26">
        <f t="shared" si="89"/>
        <v>33.8888888888889</v>
      </c>
      <c r="AQ127" s="26">
        <f>IF(SUM($B108:AP108)&gt;SUM($D127:$G127),AQ108,MAX(0,SUM($B108:AQ108)-SUM($D127:$G127)))</f>
        <v>33.8888888888889</v>
      </c>
      <c r="AR127" s="26">
        <f>IF(SUM($B108:AQ108)&gt;SUM($D127:$G127),AR108,MAX(0,SUM($B108:AR108)-SUM($D127:$G127)))</f>
        <v>1779.88888888889</v>
      </c>
    </row>
    <row r="128" spans="1:44">
      <c r="A128" t="s">
        <v>2372</v>
      </c>
      <c r="B128" s="26">
        <f t="shared" si="90"/>
        <v>0</v>
      </c>
      <c r="C128" s="26">
        <f t="shared" si="89"/>
        <v>0</v>
      </c>
      <c r="D128" s="26">
        <f t="shared" si="89"/>
        <v>0</v>
      </c>
      <c r="E128" s="26">
        <f t="shared" si="89"/>
        <v>0</v>
      </c>
      <c r="F128" s="26">
        <f t="shared" si="89"/>
        <v>0</v>
      </c>
      <c r="G128" s="26">
        <f t="shared" si="89"/>
        <v>0</v>
      </c>
      <c r="H128" s="26">
        <f t="shared" si="89"/>
        <v>0</v>
      </c>
      <c r="I128" s="26">
        <f t="shared" si="89"/>
        <v>0</v>
      </c>
      <c r="J128" s="26">
        <f t="shared" si="89"/>
        <v>0</v>
      </c>
      <c r="K128" s="26">
        <f t="shared" si="89"/>
        <v>0</v>
      </c>
      <c r="L128" s="26">
        <f t="shared" si="89"/>
        <v>0</v>
      </c>
      <c r="M128" s="26">
        <f t="shared" si="89"/>
        <v>0</v>
      </c>
      <c r="N128" s="26">
        <f t="shared" si="89"/>
        <v>0</v>
      </c>
      <c r="O128" s="26">
        <f t="shared" si="89"/>
        <v>0</v>
      </c>
      <c r="P128" s="26">
        <f t="shared" si="89"/>
        <v>0</v>
      </c>
      <c r="Q128" s="26">
        <f t="shared" si="89"/>
        <v>0</v>
      </c>
      <c r="R128" s="26">
        <f t="shared" si="89"/>
        <v>0</v>
      </c>
      <c r="S128" s="26">
        <f t="shared" si="89"/>
        <v>0</v>
      </c>
      <c r="T128" s="26">
        <f t="shared" si="89"/>
        <v>0</v>
      </c>
      <c r="U128" s="26">
        <f t="shared" si="89"/>
        <v>0</v>
      </c>
      <c r="V128" s="26">
        <f t="shared" si="89"/>
        <v>0</v>
      </c>
      <c r="W128" s="26">
        <f t="shared" si="89"/>
        <v>0</v>
      </c>
      <c r="X128" s="26">
        <f t="shared" si="89"/>
        <v>0</v>
      </c>
      <c r="Y128" s="26">
        <f t="shared" si="89"/>
        <v>0</v>
      </c>
      <c r="Z128" s="26">
        <f t="shared" si="89"/>
        <v>0</v>
      </c>
      <c r="AA128" s="26">
        <f t="shared" si="89"/>
        <v>0</v>
      </c>
      <c r="AB128" s="26">
        <f t="shared" si="89"/>
        <v>0</v>
      </c>
      <c r="AC128" s="26">
        <f t="shared" si="89"/>
        <v>0</v>
      </c>
      <c r="AD128" s="26">
        <f t="shared" si="89"/>
        <v>0</v>
      </c>
      <c r="AE128" s="26">
        <f t="shared" si="89"/>
        <v>0</v>
      </c>
      <c r="AF128" s="26">
        <f t="shared" si="89"/>
        <v>0</v>
      </c>
      <c r="AG128" s="26">
        <f t="shared" si="89"/>
        <v>0</v>
      </c>
      <c r="AH128" s="26">
        <f t="shared" si="89"/>
        <v>0</v>
      </c>
      <c r="AI128" s="26">
        <f t="shared" si="89"/>
        <v>0</v>
      </c>
      <c r="AJ128" s="26">
        <f t="shared" si="89"/>
        <v>0</v>
      </c>
      <c r="AK128" s="26">
        <f t="shared" si="89"/>
        <v>0</v>
      </c>
      <c r="AL128" s="26">
        <f t="shared" si="89"/>
        <v>0</v>
      </c>
      <c r="AM128" s="26">
        <f t="shared" si="89"/>
        <v>0</v>
      </c>
      <c r="AN128" s="26">
        <f t="shared" si="89"/>
        <v>0</v>
      </c>
      <c r="AO128" s="26">
        <f t="shared" si="89"/>
        <v>0</v>
      </c>
      <c r="AP128" s="26">
        <f t="shared" si="89"/>
        <v>0</v>
      </c>
      <c r="AQ128" s="26">
        <f>IF(SUM($B109:AP109)&gt;SUM($D128:$G128),AQ109,MAX(0,SUM($B109:AQ109)-SUM($D128:$G128)))</f>
        <v>0</v>
      </c>
      <c r="AR128" s="26">
        <f>IF(SUM($B109:AQ109)&gt;SUM($D128:$G128),AR109,MAX(0,SUM($B109:AR109)-SUM($D128:$G128)))</f>
        <v>0</v>
      </c>
    </row>
    <row r="129" spans="1:44">
      <c r="A129" t="s">
        <v>2373</v>
      </c>
      <c r="B129" s="26">
        <f t="shared" si="90"/>
        <v>0</v>
      </c>
      <c r="C129" s="26">
        <f t="shared" si="89"/>
        <v>0</v>
      </c>
      <c r="D129" s="26">
        <f t="shared" si="89"/>
        <v>0</v>
      </c>
      <c r="E129" s="26">
        <f t="shared" si="89"/>
        <v>0</v>
      </c>
      <c r="F129" s="26">
        <f t="shared" si="89"/>
        <v>0</v>
      </c>
      <c r="G129" s="26">
        <f t="shared" si="89"/>
        <v>0</v>
      </c>
      <c r="H129" s="26">
        <f t="shared" si="89"/>
        <v>0</v>
      </c>
      <c r="I129" s="26">
        <f t="shared" si="89"/>
        <v>0</v>
      </c>
      <c r="J129" s="26">
        <f t="shared" si="89"/>
        <v>0</v>
      </c>
      <c r="K129" s="26">
        <f t="shared" si="89"/>
        <v>0</v>
      </c>
      <c r="L129" s="26">
        <f t="shared" si="89"/>
        <v>0</v>
      </c>
      <c r="M129" s="26">
        <f t="shared" si="89"/>
        <v>0</v>
      </c>
      <c r="N129" s="26">
        <f t="shared" si="89"/>
        <v>0</v>
      </c>
      <c r="O129" s="26">
        <f t="shared" si="89"/>
        <v>0</v>
      </c>
      <c r="P129" s="26">
        <f t="shared" si="89"/>
        <v>0</v>
      </c>
      <c r="Q129" s="26">
        <f t="shared" si="89"/>
        <v>0</v>
      </c>
      <c r="R129" s="26">
        <f t="shared" si="89"/>
        <v>8045.1822222222</v>
      </c>
      <c r="S129" s="26">
        <f t="shared" si="89"/>
        <v>14917.4343055555</v>
      </c>
      <c r="T129" s="26">
        <f t="shared" si="89"/>
        <v>15527.7343055555</v>
      </c>
      <c r="U129" s="26">
        <f t="shared" si="89"/>
        <v>13289.4343055555</v>
      </c>
      <c r="V129" s="26">
        <f t="shared" si="89"/>
        <v>14566.6009722222</v>
      </c>
      <c r="W129" s="26">
        <f t="shared" si="89"/>
        <v>20800.0343055555</v>
      </c>
      <c r="X129" s="26">
        <f t="shared" si="89"/>
        <v>30869.9009722222</v>
      </c>
      <c r="Y129" s="26">
        <f t="shared" si="89"/>
        <v>18998.7009722222</v>
      </c>
      <c r="Z129" s="26">
        <f t="shared" si="89"/>
        <v>17712.2031944444</v>
      </c>
      <c r="AA129" s="26">
        <f t="shared" si="89"/>
        <v>21778.4031944444</v>
      </c>
      <c r="AB129" s="26">
        <f t="shared" si="89"/>
        <v>26230.6031944444</v>
      </c>
      <c r="AC129" s="26">
        <f t="shared" si="89"/>
        <v>69473.5</v>
      </c>
      <c r="AD129" s="26">
        <f t="shared" si="89"/>
        <v>0</v>
      </c>
      <c r="AE129" s="26">
        <f t="shared" si="89"/>
        <v>0</v>
      </c>
      <c r="AF129" s="26">
        <f t="shared" si="89"/>
        <v>0</v>
      </c>
      <c r="AG129" s="26">
        <f t="shared" si="89"/>
        <v>0</v>
      </c>
      <c r="AH129" s="26">
        <f t="shared" si="89"/>
        <v>0</v>
      </c>
      <c r="AI129" s="26">
        <f t="shared" si="89"/>
        <v>0</v>
      </c>
      <c r="AJ129" s="26">
        <f t="shared" si="89"/>
        <v>0</v>
      </c>
      <c r="AK129" s="26">
        <f t="shared" si="89"/>
        <v>0</v>
      </c>
      <c r="AL129" s="26">
        <f t="shared" si="89"/>
        <v>0</v>
      </c>
      <c r="AM129" s="26">
        <f t="shared" si="89"/>
        <v>0</v>
      </c>
      <c r="AN129" s="26">
        <f t="shared" si="89"/>
        <v>0</v>
      </c>
      <c r="AO129" s="26">
        <f t="shared" si="89"/>
        <v>0</v>
      </c>
      <c r="AP129" s="26">
        <f t="shared" si="89"/>
        <v>0</v>
      </c>
      <c r="AQ129" s="26">
        <f>IF(SUM($B110:AP110)&gt;SUM($D129:$G129),AQ110,MAX(0,SUM($B110:AQ110)-SUM($D129:$G129)))</f>
        <v>0</v>
      </c>
      <c r="AR129" s="26">
        <f>IF(SUM($B110:AQ110)&gt;SUM($D129:$G129),AR110,MAX(0,SUM($B110:AR110)-SUM($D129:$G129)))</f>
        <v>0</v>
      </c>
    </row>
    <row r="130" spans="1:44">
      <c r="A130" t="s">
        <v>2374</v>
      </c>
      <c r="B130" s="26">
        <f t="shared" si="90"/>
        <v>0</v>
      </c>
      <c r="C130" s="26">
        <f t="shared" si="89"/>
        <v>0</v>
      </c>
      <c r="D130" s="26">
        <f t="shared" si="89"/>
        <v>0</v>
      </c>
      <c r="E130" s="26">
        <f t="shared" si="89"/>
        <v>0</v>
      </c>
      <c r="F130" s="26">
        <f t="shared" si="89"/>
        <v>0</v>
      </c>
      <c r="G130" s="26">
        <f t="shared" si="89"/>
        <v>0</v>
      </c>
      <c r="H130" s="26">
        <f t="shared" si="89"/>
        <v>0</v>
      </c>
      <c r="I130" s="26">
        <f t="shared" si="89"/>
        <v>0</v>
      </c>
      <c r="J130" s="26">
        <f t="shared" si="89"/>
        <v>0</v>
      </c>
      <c r="K130" s="26">
        <f t="shared" si="89"/>
        <v>0</v>
      </c>
      <c r="L130" s="26">
        <f t="shared" si="89"/>
        <v>0</v>
      </c>
      <c r="M130" s="26">
        <f t="shared" si="89"/>
        <v>0</v>
      </c>
      <c r="N130" s="26">
        <f t="shared" si="89"/>
        <v>0</v>
      </c>
      <c r="O130" s="26">
        <f t="shared" si="89"/>
        <v>0</v>
      </c>
      <c r="P130" s="26">
        <f t="shared" si="89"/>
        <v>0</v>
      </c>
      <c r="Q130" s="26">
        <f t="shared" si="89"/>
        <v>0</v>
      </c>
      <c r="R130" s="26">
        <f t="shared" si="89"/>
        <v>0</v>
      </c>
      <c r="S130" s="26">
        <f t="shared" si="89"/>
        <v>25.018</v>
      </c>
      <c r="T130" s="26">
        <f t="shared" si="89"/>
        <v>1900.21</v>
      </c>
      <c r="U130" s="26">
        <f t="shared" si="89"/>
        <v>1146.566</v>
      </c>
      <c r="V130" s="26">
        <f t="shared" si="89"/>
        <v>11545.872</v>
      </c>
      <c r="W130" s="26">
        <f t="shared" si="89"/>
        <v>8510.334</v>
      </c>
      <c r="X130" s="26">
        <f t="shared" si="89"/>
        <v>13422</v>
      </c>
      <c r="Y130" s="26">
        <f t="shared" si="89"/>
        <v>30282</v>
      </c>
      <c r="Z130" s="26">
        <f t="shared" si="89"/>
        <v>30597</v>
      </c>
      <c r="AA130" s="26">
        <f t="shared" si="89"/>
        <v>26697</v>
      </c>
      <c r="AB130" s="26">
        <f t="shared" si="89"/>
        <v>17382</v>
      </c>
      <c r="AC130" s="26">
        <f t="shared" si="89"/>
        <v>31208.7</v>
      </c>
      <c r="AD130" s="26">
        <f t="shared" si="89"/>
        <v>0</v>
      </c>
      <c r="AE130" s="26">
        <f t="shared" si="89"/>
        <v>0</v>
      </c>
      <c r="AF130" s="26">
        <f t="shared" si="89"/>
        <v>0</v>
      </c>
      <c r="AG130" s="26">
        <f t="shared" si="89"/>
        <v>0</v>
      </c>
      <c r="AH130" s="26">
        <f t="shared" si="89"/>
        <v>0</v>
      </c>
      <c r="AI130" s="26">
        <f t="shared" si="89"/>
        <v>0</v>
      </c>
      <c r="AJ130" s="26">
        <f t="shared" si="89"/>
        <v>0</v>
      </c>
      <c r="AK130" s="26">
        <f t="shared" si="89"/>
        <v>0</v>
      </c>
      <c r="AL130" s="26">
        <f t="shared" si="89"/>
        <v>0</v>
      </c>
      <c r="AM130" s="26">
        <f t="shared" si="89"/>
        <v>0</v>
      </c>
      <c r="AN130" s="26">
        <f t="shared" si="89"/>
        <v>0</v>
      </c>
      <c r="AO130" s="26">
        <f t="shared" si="89"/>
        <v>0</v>
      </c>
      <c r="AP130" s="26">
        <f t="shared" si="89"/>
        <v>0</v>
      </c>
      <c r="AQ130" s="26">
        <f>IF(SUM($B111:AP111)&gt;SUM($D130:$G130),AQ111,MAX(0,SUM($B111:AQ111)-SUM($D130:$G130)))</f>
        <v>0</v>
      </c>
      <c r="AR130" s="26">
        <f>IF(SUM($B111:AQ111)&gt;SUM($D130:$G130),AR111,MAX(0,SUM($B111:AR111)-SUM($D130:$G130)))</f>
        <v>0</v>
      </c>
    </row>
    <row r="131" spans="1:44">
      <c r="A131" t="s">
        <v>2375</v>
      </c>
      <c r="B131" s="26">
        <f t="shared" si="90"/>
        <v>0</v>
      </c>
      <c r="C131" s="26">
        <f t="shared" si="89"/>
        <v>0</v>
      </c>
      <c r="D131" s="26">
        <f t="shared" si="89"/>
        <v>0</v>
      </c>
      <c r="E131" s="26">
        <f t="shared" si="89"/>
        <v>0</v>
      </c>
      <c r="F131" s="26">
        <f t="shared" si="89"/>
        <v>0</v>
      </c>
      <c r="G131" s="26">
        <f t="shared" si="89"/>
        <v>0</v>
      </c>
      <c r="H131" s="26">
        <f t="shared" si="89"/>
        <v>0</v>
      </c>
      <c r="I131" s="26">
        <f t="shared" si="89"/>
        <v>0</v>
      </c>
      <c r="J131" s="26">
        <f t="shared" si="89"/>
        <v>0</v>
      </c>
      <c r="K131" s="26">
        <f t="shared" si="89"/>
        <v>0</v>
      </c>
      <c r="L131" s="26">
        <f t="shared" si="89"/>
        <v>0</v>
      </c>
      <c r="M131" s="26">
        <f t="shared" si="89"/>
        <v>0</v>
      </c>
      <c r="N131" s="26">
        <f t="shared" si="89"/>
        <v>0</v>
      </c>
      <c r="O131" s="26">
        <f t="shared" si="89"/>
        <v>0</v>
      </c>
      <c r="P131" s="26">
        <f t="shared" si="89"/>
        <v>0</v>
      </c>
      <c r="Q131" s="26">
        <f t="shared" si="89"/>
        <v>0</v>
      </c>
      <c r="R131" s="26">
        <f t="shared" si="89"/>
        <v>0</v>
      </c>
      <c r="S131" s="26">
        <f t="shared" si="89"/>
        <v>0</v>
      </c>
      <c r="T131" s="26">
        <f t="shared" si="89"/>
        <v>0</v>
      </c>
      <c r="U131" s="26">
        <f t="shared" si="89"/>
        <v>0</v>
      </c>
      <c r="V131" s="26">
        <f t="shared" si="89"/>
        <v>0</v>
      </c>
      <c r="W131" s="26">
        <f t="shared" si="89"/>
        <v>0</v>
      </c>
      <c r="X131" s="26">
        <f t="shared" si="89"/>
        <v>0</v>
      </c>
      <c r="Y131" s="26">
        <f t="shared" si="89"/>
        <v>0</v>
      </c>
      <c r="Z131" s="26">
        <f t="shared" si="89"/>
        <v>0</v>
      </c>
      <c r="AA131" s="26">
        <f t="shared" si="89"/>
        <v>0</v>
      </c>
      <c r="AB131" s="26">
        <f t="shared" si="89"/>
        <v>0</v>
      </c>
      <c r="AC131" s="26">
        <f t="shared" si="89"/>
        <v>0</v>
      </c>
      <c r="AD131" s="26">
        <f t="shared" si="89"/>
        <v>0</v>
      </c>
      <c r="AE131" s="26">
        <f t="shared" si="89"/>
        <v>0</v>
      </c>
      <c r="AF131" s="26">
        <f t="shared" si="89"/>
        <v>0</v>
      </c>
      <c r="AG131" s="26">
        <f t="shared" si="89"/>
        <v>0</v>
      </c>
      <c r="AH131" s="26">
        <f t="shared" si="89"/>
        <v>0</v>
      </c>
      <c r="AI131" s="26">
        <f t="shared" si="89"/>
        <v>0</v>
      </c>
      <c r="AJ131" s="26">
        <f t="shared" si="89"/>
        <v>0</v>
      </c>
      <c r="AK131" s="26">
        <f t="shared" si="89"/>
        <v>0</v>
      </c>
      <c r="AL131" s="26">
        <f t="shared" si="89"/>
        <v>0</v>
      </c>
      <c r="AM131" s="26">
        <f t="shared" si="89"/>
        <v>0</v>
      </c>
      <c r="AN131" s="26">
        <f t="shared" si="89"/>
        <v>0</v>
      </c>
      <c r="AO131" s="26">
        <f t="shared" si="89"/>
        <v>0</v>
      </c>
      <c r="AP131" s="26">
        <f t="shared" si="89"/>
        <v>0</v>
      </c>
      <c r="AQ131" s="26">
        <f>IF(SUM($B112:AP112)&gt;SUM($D131:$G131),AQ112,MAX(0,SUM($B112:AQ112)-SUM($D131:$G131)))</f>
        <v>0</v>
      </c>
      <c r="AR131" s="26">
        <f>IF(SUM($B112:AQ112)&gt;SUM($D131:$G131),AR112,MAX(0,SUM($B112:AR112)-SUM($D131:$G131)))</f>
        <v>0</v>
      </c>
    </row>
    <row r="132" spans="1:44">
      <c r="A132" t="s">
        <v>2376</v>
      </c>
      <c r="B132" s="26">
        <f t="shared" si="90"/>
        <v>0</v>
      </c>
      <c r="C132" s="26">
        <f t="shared" si="89"/>
        <v>0</v>
      </c>
      <c r="D132" s="26">
        <f t="shared" si="89"/>
        <v>0</v>
      </c>
      <c r="E132" s="26">
        <f t="shared" si="89"/>
        <v>0</v>
      </c>
      <c r="F132" s="26">
        <f t="shared" si="89"/>
        <v>0</v>
      </c>
      <c r="G132" s="26">
        <f t="shared" si="89"/>
        <v>0</v>
      </c>
      <c r="H132" s="26">
        <f t="shared" si="89"/>
        <v>0</v>
      </c>
      <c r="I132" s="26">
        <f t="shared" si="89"/>
        <v>28.8490909090909</v>
      </c>
      <c r="J132" s="26">
        <f t="shared" si="89"/>
        <v>28.8490909090909</v>
      </c>
      <c r="K132" s="26">
        <f t="shared" si="89"/>
        <v>28.8490909090909</v>
      </c>
      <c r="L132" s="26">
        <f t="shared" si="89"/>
        <v>28.8490909090909</v>
      </c>
      <c r="M132" s="26">
        <f t="shared" si="89"/>
        <v>28.8490909090909</v>
      </c>
      <c r="N132" s="26">
        <f t="shared" si="89"/>
        <v>28.8490909090909</v>
      </c>
      <c r="O132" s="26">
        <f t="shared" si="89"/>
        <v>28.8490909090909</v>
      </c>
      <c r="P132" s="26">
        <f t="shared" si="89"/>
        <v>28.8490909090909</v>
      </c>
      <c r="Q132" s="26">
        <f t="shared" si="89"/>
        <v>28.8490909090909</v>
      </c>
      <c r="R132" s="26">
        <f t="shared" si="89"/>
        <v>28.8490909090909</v>
      </c>
      <c r="S132" s="26">
        <f t="shared" si="89"/>
        <v>28.8490909090909</v>
      </c>
      <c r="T132" s="26">
        <f t="shared" si="89"/>
        <v>514.75</v>
      </c>
      <c r="U132" s="26">
        <f t="shared" si="89"/>
        <v>514.75</v>
      </c>
      <c r="V132" s="26">
        <f t="shared" si="89"/>
        <v>514.75</v>
      </c>
      <c r="W132" s="26">
        <f t="shared" si="89"/>
        <v>514.75</v>
      </c>
      <c r="X132" s="26">
        <f t="shared" si="89"/>
        <v>514.75</v>
      </c>
      <c r="Y132" s="26">
        <f t="shared" si="89"/>
        <v>514.75</v>
      </c>
      <c r="Z132" s="26">
        <f t="shared" si="89"/>
        <v>514.75</v>
      </c>
      <c r="AA132" s="26">
        <f t="shared" si="89"/>
        <v>514.75</v>
      </c>
      <c r="AB132" s="26">
        <f t="shared" si="89"/>
        <v>232.5</v>
      </c>
      <c r="AC132" s="26">
        <f t="shared" si="89"/>
        <v>433</v>
      </c>
      <c r="AD132" s="26">
        <f t="shared" si="89"/>
        <v>654</v>
      </c>
      <c r="AE132" s="26">
        <f t="shared" si="89"/>
        <v>786.8</v>
      </c>
      <c r="AF132" s="26">
        <f t="shared" si="89"/>
        <v>574.8</v>
      </c>
      <c r="AG132" s="26">
        <f t="shared" ref="C132:AP139" si="91">AG113</f>
        <v>705.2</v>
      </c>
      <c r="AH132" s="26">
        <f t="shared" si="91"/>
        <v>474</v>
      </c>
      <c r="AI132" s="26">
        <f t="shared" si="91"/>
        <v>633.5</v>
      </c>
      <c r="AJ132" s="26">
        <f t="shared" si="91"/>
        <v>810</v>
      </c>
      <c r="AK132" s="26">
        <f t="shared" si="91"/>
        <v>952.6</v>
      </c>
      <c r="AL132" s="26">
        <f t="shared" si="91"/>
        <v>1190.26</v>
      </c>
      <c r="AM132" s="26">
        <f t="shared" si="91"/>
        <v>2230.5</v>
      </c>
      <c r="AN132" s="26">
        <f t="shared" si="91"/>
        <v>0</v>
      </c>
      <c r="AO132" s="26">
        <f t="shared" si="91"/>
        <v>0</v>
      </c>
      <c r="AP132" s="26">
        <f t="shared" si="91"/>
        <v>0</v>
      </c>
      <c r="AQ132" s="26">
        <f>IF(SUM($B113:AP113)&gt;SUM($D132:$G132),AQ113,MAX(0,SUM($B113:AQ113)-SUM($D132:$G132)))</f>
        <v>0</v>
      </c>
      <c r="AR132" s="26">
        <f>IF(SUM($B113:AQ113)&gt;SUM($D132:$G132),AR113,MAX(0,SUM($B113:AR113)-SUM($D132:$G132)))</f>
        <v>0</v>
      </c>
    </row>
    <row r="133" spans="1:44">
      <c r="A133" t="s">
        <v>2377</v>
      </c>
      <c r="B133" s="26">
        <f t="shared" si="90"/>
        <v>0</v>
      </c>
      <c r="C133" s="26">
        <f t="shared" si="91"/>
        <v>0</v>
      </c>
      <c r="D133" s="26">
        <f t="shared" si="91"/>
        <v>47.9345454545455</v>
      </c>
      <c r="E133" s="26">
        <f t="shared" si="91"/>
        <v>47.9345454545455</v>
      </c>
      <c r="F133" s="26">
        <f t="shared" si="91"/>
        <v>47.9345454545455</v>
      </c>
      <c r="G133" s="26">
        <f t="shared" si="91"/>
        <v>47.9345454545455</v>
      </c>
      <c r="H133" s="26">
        <f t="shared" si="91"/>
        <v>47.9345454545455</v>
      </c>
      <c r="I133" s="26">
        <f t="shared" si="91"/>
        <v>47.9345454545455</v>
      </c>
      <c r="J133" s="26">
        <f t="shared" si="91"/>
        <v>47.9345454545455</v>
      </c>
      <c r="K133" s="26">
        <f t="shared" si="91"/>
        <v>47.9345454545455</v>
      </c>
      <c r="L133" s="26">
        <f t="shared" si="91"/>
        <v>47.9345454545455</v>
      </c>
      <c r="M133" s="26">
        <f t="shared" si="91"/>
        <v>47.9345454545455</v>
      </c>
      <c r="N133" s="26">
        <f t="shared" si="91"/>
        <v>47.9345454545455</v>
      </c>
      <c r="O133" s="26">
        <f t="shared" si="91"/>
        <v>0</v>
      </c>
      <c r="P133" s="26">
        <f t="shared" si="91"/>
        <v>0</v>
      </c>
      <c r="Q133" s="26">
        <f t="shared" si="91"/>
        <v>0</v>
      </c>
      <c r="R133" s="26">
        <f t="shared" si="91"/>
        <v>0</v>
      </c>
      <c r="S133" s="26">
        <f t="shared" si="91"/>
        <v>0</v>
      </c>
      <c r="T133" s="26">
        <f t="shared" si="91"/>
        <v>0</v>
      </c>
      <c r="U133" s="26">
        <f t="shared" si="91"/>
        <v>0</v>
      </c>
      <c r="V133" s="26">
        <f t="shared" si="91"/>
        <v>0</v>
      </c>
      <c r="W133" s="26">
        <f t="shared" si="91"/>
        <v>0</v>
      </c>
      <c r="X133" s="26">
        <f t="shared" si="91"/>
        <v>0</v>
      </c>
      <c r="Y133" s="26">
        <f t="shared" si="91"/>
        <v>0</v>
      </c>
      <c r="Z133" s="26">
        <f t="shared" si="91"/>
        <v>0</v>
      </c>
      <c r="AA133" s="26">
        <f t="shared" si="91"/>
        <v>0</v>
      </c>
      <c r="AB133" s="26">
        <f t="shared" si="91"/>
        <v>0</v>
      </c>
      <c r="AC133" s="26">
        <f t="shared" si="91"/>
        <v>0</v>
      </c>
      <c r="AD133" s="26">
        <f t="shared" si="91"/>
        <v>0</v>
      </c>
      <c r="AE133" s="26">
        <f t="shared" si="91"/>
        <v>0</v>
      </c>
      <c r="AF133" s="26">
        <f t="shared" si="91"/>
        <v>0</v>
      </c>
      <c r="AG133" s="26">
        <f t="shared" si="91"/>
        <v>0</v>
      </c>
      <c r="AH133" s="26">
        <f t="shared" si="91"/>
        <v>0</v>
      </c>
      <c r="AI133" s="26">
        <f t="shared" si="91"/>
        <v>0</v>
      </c>
      <c r="AJ133" s="26">
        <f t="shared" si="91"/>
        <v>0</v>
      </c>
      <c r="AK133" s="26">
        <f t="shared" si="91"/>
        <v>0</v>
      </c>
      <c r="AL133" s="26">
        <f t="shared" si="91"/>
        <v>0</v>
      </c>
      <c r="AM133" s="26">
        <f t="shared" si="91"/>
        <v>0</v>
      </c>
      <c r="AN133" s="26">
        <f t="shared" si="91"/>
        <v>0</v>
      </c>
      <c r="AO133" s="26">
        <f t="shared" si="91"/>
        <v>0</v>
      </c>
      <c r="AP133" s="26">
        <f t="shared" si="91"/>
        <v>0</v>
      </c>
      <c r="AQ133" s="26">
        <f>IF(SUM($B114:AP114)&gt;SUM($D133:$G133),AQ114,MAX(0,SUM($B114:AQ114)-SUM($D133:$G133)))</f>
        <v>0</v>
      </c>
      <c r="AR133" s="26">
        <f>IF(SUM($B114:AQ114)&gt;SUM($D133:$G133),AR114,MAX(0,SUM($B114:AR114)-SUM($D133:$G133)))</f>
        <v>0</v>
      </c>
    </row>
    <row r="134" spans="1:44">
      <c r="A134" t="s">
        <v>2378</v>
      </c>
      <c r="B134" s="26">
        <f t="shared" si="90"/>
        <v>0</v>
      </c>
      <c r="C134" s="26">
        <f t="shared" si="91"/>
        <v>0</v>
      </c>
      <c r="D134" s="26">
        <f t="shared" si="91"/>
        <v>0</v>
      </c>
      <c r="E134" s="26">
        <f t="shared" si="91"/>
        <v>0</v>
      </c>
      <c r="F134" s="26">
        <f t="shared" si="91"/>
        <v>0</v>
      </c>
      <c r="G134" s="26">
        <f t="shared" si="91"/>
        <v>0</v>
      </c>
      <c r="H134" s="26">
        <f t="shared" si="91"/>
        <v>0</v>
      </c>
      <c r="I134" s="26">
        <f t="shared" si="91"/>
        <v>0</v>
      </c>
      <c r="J134" s="26">
        <f t="shared" si="91"/>
        <v>16.8984285442646</v>
      </c>
      <c r="K134" s="26">
        <f t="shared" si="91"/>
        <v>27.8333765698711</v>
      </c>
      <c r="L134" s="26">
        <f t="shared" si="91"/>
        <v>27.8333765698711</v>
      </c>
      <c r="M134" s="26">
        <f t="shared" si="91"/>
        <v>27.8333765698711</v>
      </c>
      <c r="N134" s="26">
        <f t="shared" si="91"/>
        <v>27.8333765698711</v>
      </c>
      <c r="O134" s="26">
        <f t="shared" si="91"/>
        <v>27.8333765698711</v>
      </c>
      <c r="P134" s="26">
        <f t="shared" si="91"/>
        <v>27.8333765698711</v>
      </c>
      <c r="Q134" s="26">
        <f t="shared" si="91"/>
        <v>27.8333765698711</v>
      </c>
      <c r="R134" s="26">
        <f t="shared" si="91"/>
        <v>27.8333765698711</v>
      </c>
      <c r="S134" s="26">
        <f t="shared" si="91"/>
        <v>27.8333765698711</v>
      </c>
      <c r="T134" s="26">
        <f t="shared" si="91"/>
        <v>27.8333765698711</v>
      </c>
      <c r="U134" s="26">
        <f t="shared" si="91"/>
        <v>10.0432765599109</v>
      </c>
      <c r="V134" s="26">
        <f t="shared" si="91"/>
        <v>7.83120156828656</v>
      </c>
      <c r="W134" s="26">
        <f t="shared" si="91"/>
        <v>7.83120156828656</v>
      </c>
      <c r="X134" s="26">
        <f t="shared" si="91"/>
        <v>15.1971832414274</v>
      </c>
      <c r="Y134" s="26">
        <f t="shared" si="91"/>
        <v>7.83120156828656</v>
      </c>
      <c r="Z134" s="26">
        <f t="shared" si="91"/>
        <v>7.83120156828656</v>
      </c>
      <c r="AA134" s="26">
        <f t="shared" si="91"/>
        <v>23.7946293428951</v>
      </c>
      <c r="AB134" s="26">
        <f t="shared" si="91"/>
        <v>7.83120156828656</v>
      </c>
      <c r="AC134" s="26">
        <f t="shared" si="91"/>
        <v>7.83120156828656</v>
      </c>
      <c r="AD134" s="26">
        <f t="shared" si="91"/>
        <v>7.83120156828658</v>
      </c>
      <c r="AE134" s="26">
        <f t="shared" si="91"/>
        <v>0</v>
      </c>
      <c r="AF134" s="26">
        <f t="shared" si="91"/>
        <v>0</v>
      </c>
      <c r="AG134" s="26">
        <f t="shared" si="91"/>
        <v>0</v>
      </c>
      <c r="AH134" s="26">
        <f t="shared" si="91"/>
        <v>0</v>
      </c>
      <c r="AI134" s="26">
        <f t="shared" si="91"/>
        <v>0</v>
      </c>
      <c r="AJ134" s="26">
        <f t="shared" si="91"/>
        <v>0</v>
      </c>
      <c r="AK134" s="26">
        <f t="shared" si="91"/>
        <v>0</v>
      </c>
      <c r="AL134" s="26">
        <f t="shared" si="91"/>
        <v>0</v>
      </c>
      <c r="AM134" s="26">
        <f t="shared" si="91"/>
        <v>0</v>
      </c>
      <c r="AN134" s="26">
        <f t="shared" si="91"/>
        <v>0</v>
      </c>
      <c r="AO134" s="26">
        <f t="shared" si="91"/>
        <v>0</v>
      </c>
      <c r="AP134" s="26">
        <f t="shared" si="91"/>
        <v>0</v>
      </c>
      <c r="AQ134" s="26">
        <f>IF(SUM($B115:AP115)&gt;SUM($D134:$G134),AQ115,MAX(0,SUM($B115:AQ115)-SUM($D134:$G134)))</f>
        <v>0</v>
      </c>
      <c r="AR134" s="26">
        <f>IF(SUM($B115:AQ115)&gt;SUM($D134:$G134),AR115,MAX(0,SUM($B115:AR115)-SUM($D134:$G134)))</f>
        <v>0</v>
      </c>
    </row>
    <row r="135" spans="1:44">
      <c r="A135" t="s">
        <v>2379</v>
      </c>
      <c r="B135" s="26">
        <f t="shared" si="90"/>
        <v>0</v>
      </c>
      <c r="C135" s="26">
        <f t="shared" si="91"/>
        <v>0</v>
      </c>
      <c r="D135" s="26">
        <f t="shared" si="91"/>
        <v>0</v>
      </c>
      <c r="E135" s="26">
        <f t="shared" si="91"/>
        <v>0</v>
      </c>
      <c r="F135" s="26">
        <f t="shared" si="91"/>
        <v>0</v>
      </c>
      <c r="G135" s="26">
        <f t="shared" si="91"/>
        <v>0</v>
      </c>
      <c r="H135" s="26">
        <f t="shared" si="91"/>
        <v>0</v>
      </c>
      <c r="I135" s="26">
        <f t="shared" si="91"/>
        <v>0</v>
      </c>
      <c r="J135" s="26">
        <f t="shared" si="91"/>
        <v>0</v>
      </c>
      <c r="K135" s="26">
        <f t="shared" si="91"/>
        <v>0</v>
      </c>
      <c r="L135" s="26">
        <f t="shared" si="91"/>
        <v>0</v>
      </c>
      <c r="M135" s="26">
        <f t="shared" si="91"/>
        <v>0</v>
      </c>
      <c r="N135" s="26">
        <f t="shared" si="91"/>
        <v>0</v>
      </c>
      <c r="O135" s="26">
        <f t="shared" si="91"/>
        <v>0</v>
      </c>
      <c r="P135" s="26">
        <f t="shared" si="91"/>
        <v>0</v>
      </c>
      <c r="Q135" s="26">
        <f t="shared" si="91"/>
        <v>0</v>
      </c>
      <c r="R135" s="26">
        <f t="shared" si="91"/>
        <v>0</v>
      </c>
      <c r="S135" s="26">
        <f t="shared" si="91"/>
        <v>32.6159999999987</v>
      </c>
      <c r="T135" s="26">
        <f t="shared" si="91"/>
        <v>107.34</v>
      </c>
      <c r="U135" s="26">
        <f t="shared" si="91"/>
        <v>116.34</v>
      </c>
      <c r="V135" s="26">
        <f t="shared" si="91"/>
        <v>120.9</v>
      </c>
      <c r="W135" s="26">
        <f t="shared" si="91"/>
        <v>0</v>
      </c>
      <c r="X135" s="26">
        <f t="shared" si="91"/>
        <v>889.71</v>
      </c>
      <c r="Y135" s="26">
        <f t="shared" si="91"/>
        <v>1341.51</v>
      </c>
      <c r="Z135" s="26">
        <f t="shared" si="91"/>
        <v>1222.887</v>
      </c>
      <c r="AA135" s="26">
        <f t="shared" si="91"/>
        <v>424.533</v>
      </c>
      <c r="AB135" s="26">
        <f t="shared" si="91"/>
        <v>1109.88</v>
      </c>
      <c r="AC135" s="26">
        <f t="shared" si="91"/>
        <v>883.2876</v>
      </c>
      <c r="AD135" s="26">
        <f t="shared" si="91"/>
        <v>709.0476</v>
      </c>
      <c r="AE135" s="26">
        <f t="shared" si="91"/>
        <v>956.4276</v>
      </c>
      <c r="AF135" s="26">
        <f t="shared" si="91"/>
        <v>2128.1676</v>
      </c>
      <c r="AG135" s="26">
        <f t="shared" si="91"/>
        <v>3905.8776</v>
      </c>
      <c r="AH135" s="26">
        <f t="shared" si="91"/>
        <v>3674.1576</v>
      </c>
      <c r="AI135" s="26">
        <f t="shared" si="91"/>
        <v>2238.0876</v>
      </c>
      <c r="AJ135" s="26">
        <f t="shared" si="91"/>
        <v>2053.7556</v>
      </c>
      <c r="AK135" s="26">
        <f t="shared" si="91"/>
        <v>2990.5056</v>
      </c>
      <c r="AL135" s="26">
        <f t="shared" si="91"/>
        <v>2099.4456</v>
      </c>
      <c r="AM135" s="26">
        <f t="shared" si="91"/>
        <v>8228.4</v>
      </c>
      <c r="AN135" s="26">
        <f t="shared" si="91"/>
        <v>10236</v>
      </c>
      <c r="AO135" s="26">
        <f t="shared" si="91"/>
        <v>11202</v>
      </c>
      <c r="AP135" s="26">
        <f t="shared" si="91"/>
        <v>11232</v>
      </c>
      <c r="AQ135" s="26">
        <f>IF(SUM($B116:AP116)&gt;SUM($D135:$G135),AQ116,MAX(0,SUM($B116:AQ116)-SUM($D135:$G135)))</f>
        <v>28133</v>
      </c>
      <c r="AR135" s="26">
        <f>IF(SUM($B116:AQ116)&gt;SUM($D135:$G135),AR116,MAX(0,SUM($B116:AR116)-SUM($D135:$G135)))</f>
        <v>30535</v>
      </c>
    </row>
    <row r="136" spans="1:44">
      <c r="A136" t="s">
        <v>2380</v>
      </c>
      <c r="B136" s="26">
        <f t="shared" si="90"/>
        <v>0</v>
      </c>
      <c r="C136" s="26">
        <f t="shared" si="91"/>
        <v>0</v>
      </c>
      <c r="D136" s="26">
        <f t="shared" si="91"/>
        <v>0</v>
      </c>
      <c r="E136" s="26">
        <f t="shared" si="91"/>
        <v>0</v>
      </c>
      <c r="F136" s="26">
        <f t="shared" si="91"/>
        <v>0</v>
      </c>
      <c r="G136" s="26">
        <f t="shared" si="91"/>
        <v>0</v>
      </c>
      <c r="H136" s="26">
        <f t="shared" si="91"/>
        <v>0</v>
      </c>
      <c r="I136" s="26">
        <f t="shared" si="91"/>
        <v>1882.32727272727</v>
      </c>
      <c r="J136" s="26">
        <f t="shared" si="91"/>
        <v>1882.32727272727</v>
      </c>
      <c r="K136" s="26">
        <f t="shared" si="91"/>
        <v>1882.32727272727</v>
      </c>
      <c r="L136" s="26">
        <f t="shared" si="91"/>
        <v>1882.32727272727</v>
      </c>
      <c r="M136" s="26">
        <f t="shared" si="91"/>
        <v>1882.32727272727</v>
      </c>
      <c r="N136" s="26">
        <f t="shared" si="91"/>
        <v>1882.32727272727</v>
      </c>
      <c r="O136" s="26">
        <f t="shared" si="91"/>
        <v>1882.32727272727</v>
      </c>
      <c r="P136" s="26">
        <f t="shared" si="91"/>
        <v>1882.32727272727</v>
      </c>
      <c r="Q136" s="26">
        <f t="shared" si="91"/>
        <v>1882.32727272727</v>
      </c>
      <c r="R136" s="26">
        <f t="shared" si="91"/>
        <v>1882.32727272727</v>
      </c>
      <c r="S136" s="26">
        <f t="shared" si="91"/>
        <v>1882.32727272727</v>
      </c>
      <c r="T136" s="26">
        <f t="shared" si="91"/>
        <v>648.5</v>
      </c>
      <c r="U136" s="26">
        <f t="shared" si="91"/>
        <v>648.5</v>
      </c>
      <c r="V136" s="26">
        <f t="shared" si="91"/>
        <v>648.5</v>
      </c>
      <c r="W136" s="26">
        <f t="shared" si="91"/>
        <v>648.5</v>
      </c>
      <c r="X136" s="26">
        <f t="shared" si="91"/>
        <v>648.5</v>
      </c>
      <c r="Y136" s="26">
        <f t="shared" si="91"/>
        <v>648.5</v>
      </c>
      <c r="Z136" s="26">
        <f t="shared" si="91"/>
        <v>648.5</v>
      </c>
      <c r="AA136" s="26">
        <f t="shared" si="91"/>
        <v>648.5</v>
      </c>
      <c r="AB136" s="26">
        <f t="shared" si="91"/>
        <v>1550</v>
      </c>
      <c r="AC136" s="26">
        <f t="shared" si="91"/>
        <v>1901.4</v>
      </c>
      <c r="AD136" s="26">
        <f t="shared" si="91"/>
        <v>1230</v>
      </c>
      <c r="AE136" s="26">
        <f t="shared" si="91"/>
        <v>1560</v>
      </c>
      <c r="AF136" s="26">
        <f t="shared" si="91"/>
        <v>606</v>
      </c>
      <c r="AG136" s="26">
        <f t="shared" si="91"/>
        <v>300</v>
      </c>
      <c r="AH136" s="26">
        <f t="shared" si="91"/>
        <v>0</v>
      </c>
      <c r="AI136" s="26">
        <f t="shared" si="91"/>
        <v>318</v>
      </c>
      <c r="AJ136" s="26">
        <f t="shared" si="91"/>
        <v>2</v>
      </c>
      <c r="AK136" s="26">
        <f t="shared" si="91"/>
        <v>0</v>
      </c>
      <c r="AL136" s="26">
        <f t="shared" si="91"/>
        <v>1400</v>
      </c>
      <c r="AM136" s="26">
        <f t="shared" si="91"/>
        <v>1688</v>
      </c>
      <c r="AN136" s="26">
        <f t="shared" si="91"/>
        <v>0</v>
      </c>
      <c r="AO136" s="26">
        <f t="shared" si="91"/>
        <v>0</v>
      </c>
      <c r="AP136" s="26">
        <f t="shared" si="91"/>
        <v>0</v>
      </c>
      <c r="AQ136" s="26">
        <f>IF(SUM($B117:AP117)&gt;SUM($D136:$G136),AQ117,MAX(0,SUM($B117:AQ117)-SUM($D136:$G136)))</f>
        <v>0</v>
      </c>
      <c r="AR136" s="26">
        <f>IF(SUM($B117:AQ117)&gt;SUM($D136:$G136),AR117,MAX(0,SUM($B117:AR117)-SUM($D136:$G136)))</f>
        <v>0</v>
      </c>
    </row>
    <row r="137" spans="1:44">
      <c r="A137" t="s">
        <v>2381</v>
      </c>
      <c r="B137" s="26">
        <f t="shared" si="90"/>
        <v>0</v>
      </c>
      <c r="C137" s="26">
        <f t="shared" si="91"/>
        <v>0</v>
      </c>
      <c r="D137" s="26">
        <f t="shared" si="91"/>
        <v>0</v>
      </c>
      <c r="E137" s="26">
        <f t="shared" si="91"/>
        <v>0</v>
      </c>
      <c r="F137" s="26">
        <f t="shared" si="91"/>
        <v>0</v>
      </c>
      <c r="G137" s="26">
        <f t="shared" si="91"/>
        <v>0</v>
      </c>
      <c r="H137" s="26">
        <f t="shared" si="91"/>
        <v>0</v>
      </c>
      <c r="I137" s="26">
        <f t="shared" si="91"/>
        <v>0</v>
      </c>
      <c r="J137" s="26">
        <f t="shared" si="91"/>
        <v>0</v>
      </c>
      <c r="K137" s="26">
        <f t="shared" si="91"/>
        <v>0</v>
      </c>
      <c r="L137" s="26">
        <f t="shared" si="91"/>
        <v>0</v>
      </c>
      <c r="M137" s="26">
        <f t="shared" si="91"/>
        <v>0</v>
      </c>
      <c r="N137" s="26">
        <f t="shared" si="91"/>
        <v>0</v>
      </c>
      <c r="O137" s="26">
        <f t="shared" si="91"/>
        <v>0</v>
      </c>
      <c r="P137" s="26">
        <f t="shared" si="91"/>
        <v>0</v>
      </c>
      <c r="Q137" s="26">
        <f t="shared" si="91"/>
        <v>0</v>
      </c>
      <c r="R137" s="26">
        <f t="shared" si="91"/>
        <v>0</v>
      </c>
      <c r="S137" s="26">
        <f t="shared" si="91"/>
        <v>0</v>
      </c>
      <c r="T137" s="26">
        <f t="shared" si="91"/>
        <v>0</v>
      </c>
      <c r="U137" s="26">
        <f t="shared" si="91"/>
        <v>0</v>
      </c>
      <c r="V137" s="26">
        <f t="shared" si="91"/>
        <v>0</v>
      </c>
      <c r="W137" s="26">
        <f t="shared" si="91"/>
        <v>344</v>
      </c>
      <c r="X137" s="26">
        <f t="shared" si="91"/>
        <v>12.1818181818182</v>
      </c>
      <c r="Y137" s="26">
        <f t="shared" si="91"/>
        <v>114.181818181818</v>
      </c>
      <c r="Z137" s="26">
        <f t="shared" si="91"/>
        <v>24.1818181818182</v>
      </c>
      <c r="AA137" s="26">
        <f t="shared" si="91"/>
        <v>816.181818181818</v>
      </c>
      <c r="AB137" s="26">
        <f t="shared" si="91"/>
        <v>615.181818181818</v>
      </c>
      <c r="AC137" s="26">
        <f t="shared" si="91"/>
        <v>989.181818181818</v>
      </c>
      <c r="AD137" s="26">
        <f t="shared" si="91"/>
        <v>2367.18181818182</v>
      </c>
      <c r="AE137" s="26">
        <f t="shared" si="91"/>
        <v>12.1818181818182</v>
      </c>
      <c r="AF137" s="26">
        <f t="shared" si="91"/>
        <v>12.1818181818182</v>
      </c>
      <c r="AG137" s="26">
        <f t="shared" si="91"/>
        <v>12.1818181818182</v>
      </c>
      <c r="AH137" s="26">
        <f t="shared" si="91"/>
        <v>2643</v>
      </c>
      <c r="AI137" s="26">
        <f t="shared" si="91"/>
        <v>17021.5</v>
      </c>
      <c r="AJ137" s="26">
        <f t="shared" si="91"/>
        <v>6727.5</v>
      </c>
      <c r="AK137" s="26">
        <f t="shared" si="91"/>
        <v>6169.5</v>
      </c>
      <c r="AL137" s="26">
        <f t="shared" si="91"/>
        <v>12975</v>
      </c>
      <c r="AM137" s="26">
        <f t="shared" si="91"/>
        <v>6505</v>
      </c>
      <c r="AN137" s="26">
        <f t="shared" si="91"/>
        <v>3600</v>
      </c>
      <c r="AO137" s="26">
        <f t="shared" si="91"/>
        <v>800</v>
      </c>
      <c r="AP137" s="26">
        <f t="shared" si="91"/>
        <v>1000</v>
      </c>
      <c r="AQ137" s="26">
        <f>IF(SUM($B118:AP118)&gt;SUM($D137:$G137),AQ118,MAX(0,SUM($B118:AQ118)-SUM($D137:$G137)))</f>
        <v>0</v>
      </c>
      <c r="AR137" s="26">
        <f>IF(SUM($B118:AQ118)&gt;SUM($D137:$G137),AR118,MAX(0,SUM($B118:AR118)-SUM($D137:$G137)))</f>
        <v>0</v>
      </c>
    </row>
    <row r="138" spans="1:44">
      <c r="A138" t="s">
        <v>2382</v>
      </c>
      <c r="B138" s="26">
        <f t="shared" si="90"/>
        <v>0</v>
      </c>
      <c r="C138" s="26">
        <f t="shared" si="91"/>
        <v>0</v>
      </c>
      <c r="D138" s="26">
        <f t="shared" si="91"/>
        <v>0</v>
      </c>
      <c r="E138" s="26">
        <f t="shared" si="91"/>
        <v>0</v>
      </c>
      <c r="F138" s="26">
        <f t="shared" si="91"/>
        <v>0</v>
      </c>
      <c r="G138" s="26">
        <f t="shared" si="91"/>
        <v>0</v>
      </c>
      <c r="H138" s="26">
        <f t="shared" si="91"/>
        <v>0</v>
      </c>
      <c r="I138" s="26">
        <f t="shared" si="91"/>
        <v>0</v>
      </c>
      <c r="J138" s="26">
        <f t="shared" si="91"/>
        <v>3.85532828077042</v>
      </c>
      <c r="K138" s="26">
        <f t="shared" si="91"/>
        <v>6.3501054880975</v>
      </c>
      <c r="L138" s="26">
        <f t="shared" si="91"/>
        <v>6.3501054880975</v>
      </c>
      <c r="M138" s="26">
        <f t="shared" si="91"/>
        <v>6.3501054880975</v>
      </c>
      <c r="N138" s="26">
        <f t="shared" si="91"/>
        <v>6.3501054880975</v>
      </c>
      <c r="O138" s="26">
        <f t="shared" si="91"/>
        <v>6.3501054880975</v>
      </c>
      <c r="P138" s="26">
        <f t="shared" si="91"/>
        <v>6.3501054880975</v>
      </c>
      <c r="Q138" s="26">
        <f t="shared" si="91"/>
        <v>6.3501054880975</v>
      </c>
      <c r="R138" s="26">
        <f t="shared" si="91"/>
        <v>6.3501054880975</v>
      </c>
      <c r="S138" s="26">
        <f t="shared" si="91"/>
        <v>6.3501054880975</v>
      </c>
      <c r="T138" s="26">
        <f t="shared" si="91"/>
        <v>6.3501054880975</v>
      </c>
      <c r="U138" s="26">
        <f t="shared" si="91"/>
        <v>2.29134490533235</v>
      </c>
      <c r="V138" s="26">
        <f t="shared" si="91"/>
        <v>1.78666630447577</v>
      </c>
      <c r="W138" s="26">
        <f t="shared" si="91"/>
        <v>1.78666630447577</v>
      </c>
      <c r="X138" s="26">
        <f t="shared" si="91"/>
        <v>3.46719401660645</v>
      </c>
      <c r="Y138" s="26">
        <f t="shared" si="91"/>
        <v>1.78666630447577</v>
      </c>
      <c r="Z138" s="26">
        <f t="shared" si="91"/>
        <v>1.78666630447577</v>
      </c>
      <c r="AA138" s="26">
        <f t="shared" si="91"/>
        <v>5.4286768261212</v>
      </c>
      <c r="AB138" s="26">
        <f t="shared" si="91"/>
        <v>1.78666630447577</v>
      </c>
      <c r="AC138" s="26">
        <f t="shared" si="91"/>
        <v>1.78666630447577</v>
      </c>
      <c r="AD138" s="26">
        <f t="shared" si="91"/>
        <v>1.78666630447578</v>
      </c>
      <c r="AE138" s="26">
        <f t="shared" si="91"/>
        <v>0</v>
      </c>
      <c r="AF138" s="26">
        <f t="shared" si="91"/>
        <v>0</v>
      </c>
      <c r="AG138" s="26">
        <f t="shared" si="91"/>
        <v>0</v>
      </c>
      <c r="AH138" s="26">
        <f t="shared" si="91"/>
        <v>0</v>
      </c>
      <c r="AI138" s="26">
        <f t="shared" si="91"/>
        <v>0</v>
      </c>
      <c r="AJ138" s="26">
        <f t="shared" si="91"/>
        <v>0</v>
      </c>
      <c r="AK138" s="26">
        <f t="shared" si="91"/>
        <v>0</v>
      </c>
      <c r="AL138" s="26">
        <f t="shared" si="91"/>
        <v>0</v>
      </c>
      <c r="AM138" s="26">
        <f t="shared" si="91"/>
        <v>0</v>
      </c>
      <c r="AN138" s="26">
        <f t="shared" si="91"/>
        <v>0</v>
      </c>
      <c r="AO138" s="26">
        <f t="shared" si="91"/>
        <v>0</v>
      </c>
      <c r="AP138" s="26">
        <f t="shared" si="91"/>
        <v>0</v>
      </c>
      <c r="AQ138" s="26">
        <f>IF(SUM($B119:AP119)&gt;SUM($D138:$G138),AQ119,MAX(0,SUM($B119:AQ119)-SUM($D138:$G138)))</f>
        <v>0</v>
      </c>
      <c r="AR138" s="26">
        <f>IF(SUM($B119:AQ119)&gt;SUM($D138:$G138),AR119,MAX(0,SUM($B119:AR119)-SUM($D138:$G138)))</f>
        <v>0</v>
      </c>
    </row>
    <row r="139" spans="1:44">
      <c r="A139" t="s">
        <v>2383</v>
      </c>
      <c r="B139" s="26">
        <f t="shared" si="90"/>
        <v>0</v>
      </c>
      <c r="C139" s="26">
        <f t="shared" si="91"/>
        <v>0</v>
      </c>
      <c r="D139" s="26">
        <f t="shared" si="91"/>
        <v>0</v>
      </c>
      <c r="E139" s="26">
        <f t="shared" si="91"/>
        <v>0</v>
      </c>
      <c r="F139" s="26">
        <f t="shared" si="91"/>
        <v>0</v>
      </c>
      <c r="G139" s="26">
        <f t="shared" si="91"/>
        <v>0</v>
      </c>
      <c r="H139" s="26">
        <f t="shared" ref="C139:AP140" si="92">H120</f>
        <v>0</v>
      </c>
      <c r="I139" s="26">
        <f t="shared" si="92"/>
        <v>0</v>
      </c>
      <c r="J139" s="26">
        <f t="shared" si="92"/>
        <v>53.3462431749658</v>
      </c>
      <c r="K139" s="26">
        <f t="shared" si="92"/>
        <v>87.8665179420314</v>
      </c>
      <c r="L139" s="26">
        <f t="shared" si="92"/>
        <v>87.8665179420314</v>
      </c>
      <c r="M139" s="26">
        <f t="shared" si="92"/>
        <v>87.8665179420314</v>
      </c>
      <c r="N139" s="26">
        <f t="shared" si="92"/>
        <v>87.8665179420314</v>
      </c>
      <c r="O139" s="26">
        <f t="shared" si="92"/>
        <v>87.8665179420314</v>
      </c>
      <c r="P139" s="26">
        <f t="shared" si="92"/>
        <v>87.8665179420314</v>
      </c>
      <c r="Q139" s="26">
        <f t="shared" si="92"/>
        <v>87.8665179420314</v>
      </c>
      <c r="R139" s="26">
        <f t="shared" si="92"/>
        <v>87.8665179420314</v>
      </c>
      <c r="S139" s="26">
        <f t="shared" si="92"/>
        <v>87.8665179420314</v>
      </c>
      <c r="T139" s="26">
        <f t="shared" si="92"/>
        <v>87.8665179420314</v>
      </c>
      <c r="U139" s="26">
        <f t="shared" si="92"/>
        <v>31.7053785347568</v>
      </c>
      <c r="V139" s="26">
        <f t="shared" si="92"/>
        <v>24.7221321272377</v>
      </c>
      <c r="W139" s="26">
        <f t="shared" si="92"/>
        <v>24.7221321272377</v>
      </c>
      <c r="X139" s="26">
        <f t="shared" si="92"/>
        <v>47.9756227419662</v>
      </c>
      <c r="Y139" s="26">
        <f t="shared" si="92"/>
        <v>24.7221321272377</v>
      </c>
      <c r="Z139" s="26">
        <f t="shared" si="92"/>
        <v>24.7221321272377</v>
      </c>
      <c r="AA139" s="26">
        <f t="shared" si="92"/>
        <v>75.1166938309836</v>
      </c>
      <c r="AB139" s="26">
        <f t="shared" si="92"/>
        <v>24.7221321272377</v>
      </c>
      <c r="AC139" s="26">
        <f t="shared" si="92"/>
        <v>24.7221321272377</v>
      </c>
      <c r="AD139" s="26">
        <f t="shared" si="92"/>
        <v>24.7221321272377</v>
      </c>
      <c r="AE139" s="26">
        <f t="shared" si="92"/>
        <v>0</v>
      </c>
      <c r="AF139" s="26">
        <f t="shared" si="92"/>
        <v>0</v>
      </c>
      <c r="AG139" s="26">
        <f t="shared" si="92"/>
        <v>0</v>
      </c>
      <c r="AH139" s="26">
        <f t="shared" si="92"/>
        <v>0</v>
      </c>
      <c r="AI139" s="26">
        <f t="shared" si="92"/>
        <v>0</v>
      </c>
      <c r="AJ139" s="26">
        <f t="shared" si="92"/>
        <v>0</v>
      </c>
      <c r="AK139" s="26">
        <f t="shared" si="92"/>
        <v>0</v>
      </c>
      <c r="AL139" s="26">
        <f t="shared" si="92"/>
        <v>0</v>
      </c>
      <c r="AM139" s="26">
        <f t="shared" si="92"/>
        <v>0</v>
      </c>
      <c r="AN139" s="26">
        <f t="shared" si="92"/>
        <v>0</v>
      </c>
      <c r="AO139" s="26">
        <f t="shared" si="92"/>
        <v>0</v>
      </c>
      <c r="AP139" s="26">
        <f t="shared" si="92"/>
        <v>0</v>
      </c>
      <c r="AQ139" s="26">
        <f>IF(SUM($B120:AP120)&gt;SUM($D139:$G139),AQ120,MAX(0,SUM($B120:AQ120)-SUM($D139:$G139)))</f>
        <v>0</v>
      </c>
      <c r="AR139" s="26">
        <f>IF(SUM($B120:AQ120)&gt;SUM($D139:$G139),AR120,MAX(0,SUM($B120:AR120)-SUM($D139:$G139)))</f>
        <v>0</v>
      </c>
    </row>
    <row r="140" spans="1:44">
      <c r="A140" t="s">
        <v>2384</v>
      </c>
      <c r="B140" s="26">
        <f t="shared" si="90"/>
        <v>0</v>
      </c>
      <c r="C140" s="26">
        <f t="shared" si="92"/>
        <v>0</v>
      </c>
      <c r="D140" s="26">
        <f t="shared" si="92"/>
        <v>0</v>
      </c>
      <c r="E140" s="26">
        <f t="shared" si="92"/>
        <v>0</v>
      </c>
      <c r="F140" s="26">
        <f t="shared" si="92"/>
        <v>0</v>
      </c>
      <c r="G140" s="26">
        <f t="shared" si="92"/>
        <v>0</v>
      </c>
      <c r="H140" s="26">
        <f t="shared" si="92"/>
        <v>0</v>
      </c>
      <c r="I140" s="26">
        <f t="shared" si="92"/>
        <v>15.1</v>
      </c>
      <c r="J140" s="26">
        <f t="shared" si="92"/>
        <v>15.1</v>
      </c>
      <c r="K140" s="26">
        <f t="shared" si="92"/>
        <v>15.1</v>
      </c>
      <c r="L140" s="26">
        <f t="shared" si="92"/>
        <v>15.1</v>
      </c>
      <c r="M140" s="26">
        <f t="shared" si="92"/>
        <v>15.1</v>
      </c>
      <c r="N140" s="26">
        <f t="shared" si="92"/>
        <v>15.1</v>
      </c>
      <c r="O140" s="26">
        <f t="shared" si="92"/>
        <v>15.1</v>
      </c>
      <c r="P140" s="26">
        <f t="shared" si="92"/>
        <v>15.1</v>
      </c>
      <c r="Q140" s="26">
        <f t="shared" si="92"/>
        <v>15.1</v>
      </c>
      <c r="R140" s="26">
        <f t="shared" si="92"/>
        <v>15.1</v>
      </c>
      <c r="S140" s="26">
        <f t="shared" si="92"/>
        <v>15.1</v>
      </c>
      <c r="T140" s="26">
        <f t="shared" si="92"/>
        <v>514.75</v>
      </c>
      <c r="U140" s="26">
        <f t="shared" si="92"/>
        <v>514.75</v>
      </c>
      <c r="V140" s="26">
        <f t="shared" si="92"/>
        <v>514.75</v>
      </c>
      <c r="W140" s="26">
        <f t="shared" si="92"/>
        <v>514.75</v>
      </c>
      <c r="X140" s="26">
        <f t="shared" si="92"/>
        <v>514.75</v>
      </c>
      <c r="Y140" s="26">
        <f t="shared" si="92"/>
        <v>514.75</v>
      </c>
      <c r="Z140" s="26">
        <f t="shared" si="92"/>
        <v>514.75</v>
      </c>
      <c r="AA140" s="26">
        <f t="shared" si="92"/>
        <v>514.75</v>
      </c>
      <c r="AB140" s="26">
        <f t="shared" si="92"/>
        <v>232.5</v>
      </c>
      <c r="AC140" s="26">
        <f t="shared" si="92"/>
        <v>433</v>
      </c>
      <c r="AD140" s="26">
        <f t="shared" si="92"/>
        <v>654</v>
      </c>
      <c r="AE140" s="26">
        <f t="shared" si="92"/>
        <v>786.8</v>
      </c>
      <c r="AF140" s="26">
        <f t="shared" si="92"/>
        <v>574.8</v>
      </c>
      <c r="AG140" s="26">
        <f t="shared" si="92"/>
        <v>705.2</v>
      </c>
      <c r="AH140" s="26">
        <f t="shared" si="92"/>
        <v>474</v>
      </c>
      <c r="AI140" s="26">
        <f t="shared" si="92"/>
        <v>633.5</v>
      </c>
      <c r="AJ140" s="26">
        <f t="shared" si="92"/>
        <v>810</v>
      </c>
      <c r="AK140" s="26">
        <f t="shared" si="92"/>
        <v>952.6</v>
      </c>
      <c r="AL140" s="26">
        <f t="shared" si="92"/>
        <v>1189.5</v>
      </c>
      <c r="AM140" s="26">
        <f t="shared" si="92"/>
        <v>3002.3</v>
      </c>
      <c r="AN140" s="26">
        <f t="shared" si="92"/>
        <v>0</v>
      </c>
      <c r="AO140" s="26">
        <f t="shared" si="92"/>
        <v>0</v>
      </c>
      <c r="AP140" s="26">
        <f t="shared" si="92"/>
        <v>0</v>
      </c>
      <c r="AQ140" s="26">
        <f>IF(SUM($B121:AP121)&gt;SUM($D140:$G140),AQ121,MAX(0,SUM($B121:AQ121)-SUM($D140:$G140)))</f>
        <v>0</v>
      </c>
      <c r="AR140" s="26">
        <f>IF(SUM($B121:AQ121)&gt;SUM($D140:$G140),AR121,MAX(0,SUM($B121:AR121)-SUM($D140:$G140)))</f>
        <v>0</v>
      </c>
    </row>
    <row r="142" ht="13.1" spans="1:44">
      <c r="A142" s="3" t="s">
        <v>2398</v>
      </c>
    </row>
    <row r="143" spans="1:44">
      <c r="A143" s="21" t="s">
        <v>2395</v>
      </c>
      <c r="B143" s="22">
        <v>2020</v>
      </c>
      <c r="C143" s="22">
        <v>2021</v>
      </c>
      <c r="D143" s="22">
        <v>2022</v>
      </c>
      <c r="E143" s="22">
        <v>2023</v>
      </c>
      <c r="F143" s="22">
        <v>2024</v>
      </c>
      <c r="G143" s="22">
        <v>2025</v>
      </c>
      <c r="H143" s="22">
        <v>2026</v>
      </c>
      <c r="I143" s="22">
        <v>2027</v>
      </c>
      <c r="J143" s="22">
        <v>2028</v>
      </c>
      <c r="K143" s="22">
        <v>2029</v>
      </c>
      <c r="L143" s="22">
        <v>2030</v>
      </c>
      <c r="M143" s="22">
        <v>2031</v>
      </c>
      <c r="N143" s="22">
        <v>2032</v>
      </c>
      <c r="O143" s="22">
        <v>2033</v>
      </c>
      <c r="P143" s="22">
        <v>2034</v>
      </c>
      <c r="Q143" s="22">
        <v>2035</v>
      </c>
      <c r="R143" s="22">
        <v>2036</v>
      </c>
      <c r="S143" s="22">
        <v>2037</v>
      </c>
      <c r="T143" s="22">
        <v>2038</v>
      </c>
      <c r="U143" s="22">
        <v>2039</v>
      </c>
      <c r="V143" s="22">
        <v>2040</v>
      </c>
      <c r="W143" s="22">
        <v>2041</v>
      </c>
      <c r="X143" s="22">
        <v>2042</v>
      </c>
      <c r="Y143" s="22">
        <v>2043</v>
      </c>
      <c r="Z143" s="22">
        <v>2044</v>
      </c>
      <c r="AA143" s="22">
        <v>2045</v>
      </c>
      <c r="AB143" s="22">
        <v>2046</v>
      </c>
      <c r="AC143" s="22">
        <v>2047</v>
      </c>
      <c r="AD143" s="22">
        <v>2048</v>
      </c>
      <c r="AE143" s="22">
        <v>2049</v>
      </c>
      <c r="AF143" s="22">
        <v>2050</v>
      </c>
      <c r="AG143" s="22">
        <v>2051</v>
      </c>
      <c r="AH143" s="22">
        <v>2052</v>
      </c>
      <c r="AI143" s="22">
        <v>2053</v>
      </c>
      <c r="AJ143" s="22">
        <v>2054</v>
      </c>
      <c r="AK143" s="22">
        <v>2055</v>
      </c>
      <c r="AL143" s="22">
        <v>2056</v>
      </c>
      <c r="AM143" s="22">
        <v>2057</v>
      </c>
      <c r="AN143" s="22">
        <v>2058</v>
      </c>
      <c r="AO143" s="22">
        <v>2059</v>
      </c>
      <c r="AP143" s="22">
        <v>2060</v>
      </c>
    </row>
    <row r="144" spans="1:44">
      <c r="A144" t="s">
        <v>2369</v>
      </c>
      <c r="B144" s="26" cm="1">
        <f t="array" ref="B144">(SUMPRODUCT(IFERROR(VLOOKUP(B$143-$B$86:$AP$86,'Survival Rate'!$A$2:$D$54,4,FALSE),0),$B87:$AP87))</f>
        <v>4516.91126477845</v>
      </c>
      <c r="C144" s="26" cm="1">
        <f t="array" ref="C144">(SUMPRODUCT(IFERROR(VLOOKUP(C$143-$B$86:$AP$86,'Survival Rate'!$A$2:$D$54,4,FALSE),0),$B87:$AP87))</f>
        <v>5439.95448919854</v>
      </c>
      <c r="D144" s="26" cm="1">
        <f t="array" ref="D144">(SUMPRODUCT(IFERROR(VLOOKUP(D$143-$B$86:$AP$86,'Survival Rate'!$A$2:$D$54,4,FALSE),0),$B87:$AP87))</f>
        <v>6392.52464897095</v>
      </c>
      <c r="E144" s="26" cm="1">
        <f t="array" ref="E144">(SUMPRODUCT(IFERROR(VLOOKUP(E$143-$B$86:$AP$86,'Survival Rate'!$A$2:$D$54,4,FALSE),0),$B87:$AP87))</f>
        <v>7314.48484290311</v>
      </c>
      <c r="F144" s="26" cm="1">
        <f t="array" ref="F144">(SUMPRODUCT(IFERROR(VLOOKUP(F$143-$B$86:$AP$86,'Survival Rate'!$A$2:$D$54,4,FALSE),0),$B87:$AP87))</f>
        <v>8213.57351443586</v>
      </c>
      <c r="G144" s="26" cm="1">
        <f t="array" ref="G144">(SUMPRODUCT(IFERROR(VLOOKUP(G$143-$B$86:$AP$86,'Survival Rate'!$A$2:$D$54,4,FALSE),0),$B87:$AP87))</f>
        <v>9136.95020345526</v>
      </c>
      <c r="H144" s="26" cm="1">
        <f t="array" ref="H144">(SUMPRODUCT(IFERROR(VLOOKUP(H$143-$B$86:$AP$86,'Survival Rate'!$A$2:$D$54,4,FALSE),0),$B87:$AP87))</f>
        <v>10118.166528799</v>
      </c>
      <c r="I144" s="26" cm="1">
        <f t="array" ref="I144">(SUMPRODUCT(IFERROR(VLOOKUP(I$143-$B$86:$AP$86,'Survival Rate'!$A$2:$D$54,4,FALSE),0),$B87:$AP87))</f>
        <v>11213.6886106587</v>
      </c>
      <c r="J144" s="26" cm="1">
        <f t="array" ref="J144">(SUMPRODUCT(IFERROR(VLOOKUP(J$143-$B$86:$AP$86,'Survival Rate'!$A$2:$D$54,4,FALSE),0),$B87:$AP87))</f>
        <v>12393.9032943195</v>
      </c>
      <c r="K144" s="26" cm="1">
        <f t="array" ref="K144">(SUMPRODUCT(IFERROR(VLOOKUP(K$143-$B$86:$AP$86,'Survival Rate'!$A$2:$D$54,4,FALSE),0),$B87:$AP87))</f>
        <v>13629.1847655157</v>
      </c>
      <c r="L144" s="26" cm="1">
        <f t="array" ref="L144">(SUMPRODUCT(IFERROR(VLOOKUP(L$143-$B$86:$AP$86,'Survival Rate'!$A$2:$D$54,4,FALSE),0),$B87:$AP87))</f>
        <v>14995.5533657918</v>
      </c>
      <c r="M144" s="26" cm="1">
        <f t="array" ref="M144">(SUMPRODUCT(IFERROR(VLOOKUP(M$143-$B$86:$AP$86,'Survival Rate'!$A$2:$D$54,4,FALSE),0),$B87:$AP87))</f>
        <v>16493.1293131902</v>
      </c>
      <c r="N144" s="26" cm="1">
        <f t="array" ref="N144">(SUMPRODUCT(IFERROR(VLOOKUP(N$143-$B$86:$AP$86,'Survival Rate'!$A$2:$D$54,4,FALSE),0),$B87:$AP87))</f>
        <v>18044.8824039068</v>
      </c>
      <c r="O144" s="26" cm="1">
        <f t="array" ref="O144">(SUMPRODUCT(IFERROR(VLOOKUP(O$143-$B$86:$AP$86,'Survival Rate'!$A$2:$D$54,4,FALSE),0),$B87:$AP87))</f>
        <v>19655.0977163996</v>
      </c>
      <c r="P144" s="26" cm="1">
        <f t="array" ref="P144">(SUMPRODUCT(IFERROR(VLOOKUP(P$143-$B$86:$AP$86,'Survival Rate'!$A$2:$D$54,4,FALSE),0),$B87:$AP87))</f>
        <v>21288.6323513949</v>
      </c>
      <c r="Q144" s="26" cm="1">
        <f t="array" ref="Q144">(SUMPRODUCT(IFERROR(VLOOKUP(Q$143-$B$86:$AP$86,'Survival Rate'!$A$2:$D$54,4,FALSE),0),$B87:$AP87))</f>
        <v>23061.6071868421</v>
      </c>
      <c r="R144" s="26" cm="1">
        <f t="array" ref="R144">(SUMPRODUCT(IFERROR(VLOOKUP(R$143-$B$86:$AP$86,'Survival Rate'!$A$2:$D$54,4,FALSE),0),$B87:$AP87))</f>
        <v>24982.7089584582</v>
      </c>
      <c r="S144" s="26" cm="1">
        <f t="array" ref="S144">(SUMPRODUCT(IFERROR(VLOOKUP(S$143-$B$86:$AP$86,'Survival Rate'!$A$2:$D$54,4,FALSE),0),$B87:$AP87))</f>
        <v>26936.8748818617</v>
      </c>
      <c r="T144" s="26" cm="1">
        <f t="array" ref="T144">(SUMPRODUCT(IFERROR(VLOOKUP(T$143-$B$86:$AP$86,'Survival Rate'!$A$2:$D$54,4,FALSE),0),$B87:$AP87))</f>
        <v>28892.6184780695</v>
      </c>
      <c r="U144" s="26" cm="1">
        <f t="array" ref="U144">(SUMPRODUCT(IFERROR(VLOOKUP(U$143-$B$86:$AP$86,'Survival Rate'!$A$2:$D$54,4,FALSE),0),$B87:$AP87))</f>
        <v>30814.2112269519</v>
      </c>
      <c r="V144" s="26" cm="1">
        <f t="array" ref="V144">(SUMPRODUCT(IFERROR(VLOOKUP(V$143-$B$86:$AP$86,'Survival Rate'!$A$2:$D$54,4,FALSE),0),$B87:$AP87))</f>
        <v>32708.9404829826</v>
      </c>
      <c r="W144" s="26" cm="1">
        <f t="array" ref="W144">(SUMPRODUCT(IFERROR(VLOOKUP(W$143-$B$86:$AP$86,'Survival Rate'!$A$2:$D$54,4,FALSE),0),$B87:$AP87))</f>
        <v>34559.0990546737</v>
      </c>
      <c r="X144" s="26" cm="1">
        <f t="array" ref="X144">(SUMPRODUCT(IFERROR(VLOOKUP(X$143-$B$86:$AP$86,'Survival Rate'!$A$2:$D$54,4,FALSE),0),$B87:$AP87))</f>
        <v>36025.7302876467</v>
      </c>
      <c r="Y144" s="26" cm="1">
        <f t="array" ref="Y144">(SUMPRODUCT(IFERROR(VLOOKUP(Y$143-$B$86:$AP$86,'Survival Rate'!$A$2:$D$54,4,FALSE),0),$B87:$AP87))</f>
        <v>37174.258855991</v>
      </c>
      <c r="Z144" s="26" cm="1">
        <f t="array" ref="Z144">(SUMPRODUCT(IFERROR(VLOOKUP(Z$143-$B$86:$AP$86,'Survival Rate'!$A$2:$D$54,4,FALSE),0),$B87:$AP87))</f>
        <v>38156.4081047451</v>
      </c>
      <c r="AA144" s="26" cm="1">
        <f t="array" ref="AA144">(SUMPRODUCT(IFERROR(VLOOKUP(AA$143-$B$86:$AP$86,'Survival Rate'!$A$2:$D$54,4,FALSE),0),$B87:$AP87))</f>
        <v>39097.8179152788</v>
      </c>
      <c r="AB144" s="26" cm="1">
        <f t="array" ref="AB144">(SUMPRODUCT(IFERROR(VLOOKUP(AB$143-$B$86:$AP$86,'Survival Rate'!$A$2:$D$54,4,FALSE),0),$B87:$AP87))</f>
        <v>40043.471590861</v>
      </c>
      <c r="AC144" s="26" cm="1">
        <f t="array" ref="AC144">(SUMPRODUCT(IFERROR(VLOOKUP(AC$143-$B$86:$AP$86,'Survival Rate'!$A$2:$D$54,4,FALSE),0),$B87:$AP87))</f>
        <v>40919.1768091805</v>
      </c>
      <c r="AD144" s="26" cm="1">
        <f t="array" ref="AD144">(SUMPRODUCT(IFERROR(VLOOKUP(AD$143-$B$86:$AP$86,'Survival Rate'!$A$2:$D$54,4,FALSE),0),$B87:$AP87))</f>
        <v>41694.8247804585</v>
      </c>
      <c r="AE144" s="26" cm="1">
        <f t="array" ref="AE144">(SUMPRODUCT(IFERROR(VLOOKUP(AE$143-$B$86:$AP$86,'Survival Rate'!$A$2:$D$54,4,FALSE),0),$B87:$AP87))</f>
        <v>42380.6780132082</v>
      </c>
      <c r="AF144" s="26" cm="1">
        <f t="array" ref="AF144">(SUMPRODUCT(IFERROR(VLOOKUP(AF$143-$B$86:$AP$86,'Survival Rate'!$A$2:$D$54,4,FALSE),0),$B87:$AP87))</f>
        <v>42865.0889853619</v>
      </c>
      <c r="AG144" s="26" cm="1">
        <f t="array" ref="AG144">(SUMPRODUCT(IFERROR(VLOOKUP(AG$143-$B$86:$AP$86,'Survival Rate'!$A$2:$D$54,4,FALSE),0),$B87:$AP87))</f>
        <v>43030.2838568393</v>
      </c>
      <c r="AH144" s="26" cm="1">
        <f t="array" ref="AH144">(SUMPRODUCT(IFERROR(VLOOKUP(AH$143-$B$86:$AP$86,'Survival Rate'!$A$2:$D$54,4,FALSE),0),$B87:$AP87))</f>
        <v>43054.6500620677</v>
      </c>
      <c r="AI144" s="26" cm="1">
        <f t="array" ref="AI144">(SUMPRODUCT(IFERROR(VLOOKUP(AI$143-$B$86:$AP$86,'Survival Rate'!$A$2:$D$54,4,FALSE),0),$B87:$AP87))</f>
        <v>42827.7119327031</v>
      </c>
      <c r="AJ144" s="26" cm="1">
        <f t="array" ref="AJ144">(SUMPRODUCT(IFERROR(VLOOKUP(AJ$143-$B$86:$AP$86,'Survival Rate'!$A$2:$D$54,4,FALSE),0),$B87:$AP87))</f>
        <v>42427.0407394939</v>
      </c>
      <c r="AK144" s="26" cm="1">
        <f t="array" ref="AK144">(SUMPRODUCT(IFERROR(VLOOKUP(AK$143-$B$86:$AP$86,'Survival Rate'!$A$2:$D$54,4,FALSE),0),$B87:$AP87))</f>
        <v>41894.7147456238</v>
      </c>
      <c r="AL144" s="26" cm="1">
        <f t="array" ref="AL144">(SUMPRODUCT(IFERROR(VLOOKUP(AL$143-$B$86:$AP$86,'Survival Rate'!$A$2:$D$54,4,FALSE),0),$B87:$AP87))</f>
        <v>40935.672644102</v>
      </c>
      <c r="AM144" s="26" cm="1">
        <f t="array" ref="AM144">(SUMPRODUCT(IFERROR(VLOOKUP(AM$143-$B$86:$AP$86,'Survival Rate'!$A$2:$D$54,4,FALSE),0),$B87:$AP87))</f>
        <v>39749.3549820255</v>
      </c>
      <c r="AN144" s="26" cm="1">
        <f t="array" ref="AN144">(SUMPRODUCT(IFERROR(VLOOKUP(AN$143-$B$86:$AP$86,'Survival Rate'!$A$2:$D$54,4,FALSE),0),$B87:$AP87))</f>
        <v>38518.4863430792</v>
      </c>
      <c r="AO144" s="26" cm="1">
        <f t="array" ref="AO144">(SUMPRODUCT(IFERROR(VLOOKUP(AO$143-$B$86:$AP$86,'Survival Rate'!$A$2:$D$54,4,FALSE),0),$B87:$AP87))</f>
        <v>37007.4167948148</v>
      </c>
      <c r="AP144" s="26" cm="1">
        <f t="array" ref="AP144">(SUMPRODUCT(IFERROR(VLOOKUP(AP$143-$B$86:$AP$86,'Survival Rate'!$A$2:$D$54,4,FALSE),0),$B87:$AP87))</f>
        <v>35317.7919107157</v>
      </c>
    </row>
    <row r="145" spans="1:42">
      <c r="A145" t="s">
        <v>2370</v>
      </c>
      <c r="B145" s="26" cm="1">
        <f t="array" ref="B145">(SUMPRODUCT(IFERROR(VLOOKUP(B$143-$B$86:$AP$86,'Survival Rate'!$A$2:$D$54,4,FALSE),0),$B88:$AP88))</f>
        <v>120.705956670626</v>
      </c>
      <c r="C145" s="26" cm="1">
        <f t="array" ref="C145">(SUMPRODUCT(IFERROR(VLOOKUP(C$143-$B$86:$AP$86,'Survival Rate'!$A$2:$D$54,4,FALSE),0),$B88:$AP88))</f>
        <v>154.713756830056</v>
      </c>
      <c r="D145" s="26" cm="1">
        <f t="array" ref="D145">(SUMPRODUCT(IFERROR(VLOOKUP(D$143-$B$86:$AP$86,'Survival Rate'!$A$2:$D$54,4,FALSE),0),$B88:$AP88))</f>
        <v>192.053388799216</v>
      </c>
      <c r="E145" s="26" cm="1">
        <f t="array" ref="E145">(SUMPRODUCT(IFERROR(VLOOKUP(E$143-$B$86:$AP$86,'Survival Rate'!$A$2:$D$54,4,FALSE),0),$B88:$AP88))</f>
        <v>231.068583900385</v>
      </c>
      <c r="F145" s="26" cm="1">
        <f t="array" ref="F145">(SUMPRODUCT(IFERROR(VLOOKUP(F$143-$B$86:$AP$86,'Survival Rate'!$A$2:$D$54,4,FALSE),0),$B88:$AP88))</f>
        <v>272.463550005482</v>
      </c>
      <c r="G145" s="26" cm="1">
        <f t="array" ref="G145">(SUMPRODUCT(IFERROR(VLOOKUP(G$143-$B$86:$AP$86,'Survival Rate'!$A$2:$D$54,4,FALSE),0),$B88:$AP88))</f>
        <v>324.419637068702</v>
      </c>
      <c r="H145" s="26" cm="1">
        <f t="array" ref="H145">(SUMPRODUCT(IFERROR(VLOOKUP(H$143-$B$86:$AP$86,'Survival Rate'!$A$2:$D$54,4,FALSE),0),$B88:$AP88))</f>
        <v>388.827769485796</v>
      </c>
      <c r="I145" s="26" cm="1">
        <f t="array" ref="I145">(SUMPRODUCT(IFERROR(VLOOKUP(I$143-$B$86:$AP$86,'Survival Rate'!$A$2:$D$54,4,FALSE),0),$B88:$AP88))</f>
        <v>464.635118586021</v>
      </c>
      <c r="J145" s="26" cm="1">
        <f t="array" ref="J145">(SUMPRODUCT(IFERROR(VLOOKUP(J$143-$B$86:$AP$86,'Survival Rate'!$A$2:$D$54,4,FALSE),0),$B88:$AP88))</f>
        <v>545.209982715146</v>
      </c>
      <c r="K145" s="26" cm="1">
        <f t="array" ref="K145">(SUMPRODUCT(IFERROR(VLOOKUP(K$143-$B$86:$AP$86,'Survival Rate'!$A$2:$D$54,4,FALSE),0),$B88:$AP88))</f>
        <v>630.246949436826</v>
      </c>
      <c r="L145" s="26" cm="1">
        <f t="array" ref="L145">(SUMPRODUCT(IFERROR(VLOOKUP(L$143-$B$86:$AP$86,'Survival Rate'!$A$2:$D$54,4,FALSE),0),$B88:$AP88))</f>
        <v>718.341077778674</v>
      </c>
      <c r="M145" s="26" cm="1">
        <f t="array" ref="M145">(SUMPRODUCT(IFERROR(VLOOKUP(M$143-$B$86:$AP$86,'Survival Rate'!$A$2:$D$54,4,FALSE),0),$B88:$AP88))</f>
        <v>799.713121666226</v>
      </c>
      <c r="N145" s="26" cm="1">
        <f t="array" ref="N145">(SUMPRODUCT(IFERROR(VLOOKUP(N$143-$B$86:$AP$86,'Survival Rate'!$A$2:$D$54,4,FALSE),0),$B88:$AP88))</f>
        <v>869.26302441114</v>
      </c>
      <c r="O145" s="26" cm="1">
        <f t="array" ref="O145">(SUMPRODUCT(IFERROR(VLOOKUP(O$143-$B$86:$AP$86,'Survival Rate'!$A$2:$D$54,4,FALSE),0),$B88:$AP88))</f>
        <v>929.945136243297</v>
      </c>
      <c r="P145" s="26" cm="1">
        <f t="array" ref="P145">(SUMPRODUCT(IFERROR(VLOOKUP(P$143-$B$86:$AP$86,'Survival Rate'!$A$2:$D$54,4,FALSE),0),$B88:$AP88))</f>
        <v>991.204428010639</v>
      </c>
      <c r="Q145" s="26" cm="1">
        <f t="array" ref="Q145">(SUMPRODUCT(IFERROR(VLOOKUP(Q$143-$B$86:$AP$86,'Survival Rate'!$A$2:$D$54,4,FALSE),0),$B88:$AP88))</f>
        <v>1057.1951879754</v>
      </c>
      <c r="R145" s="26" cm="1">
        <f t="array" ref="R145">(SUMPRODUCT(IFERROR(VLOOKUP(R$143-$B$86:$AP$86,'Survival Rate'!$A$2:$D$54,4,FALSE),0),$B88:$AP88))</f>
        <v>1127.74238192256</v>
      </c>
      <c r="S145" s="26" cm="1">
        <f t="array" ref="S145">(SUMPRODUCT(IFERROR(VLOOKUP(S$143-$B$86:$AP$86,'Survival Rate'!$A$2:$D$54,4,FALSE),0),$B88:$AP88))</f>
        <v>1195.9086873547</v>
      </c>
      <c r="T145" s="26" cm="1">
        <f t="array" ref="T145">(SUMPRODUCT(IFERROR(VLOOKUP(T$143-$B$86:$AP$86,'Survival Rate'!$A$2:$D$54,4,FALSE),0),$B88:$AP88))</f>
        <v>1267.94329457788</v>
      </c>
      <c r="U145" s="26" cm="1">
        <f t="array" ref="U145">(SUMPRODUCT(IFERROR(VLOOKUP(U$143-$B$86:$AP$86,'Survival Rate'!$A$2:$D$54,4,FALSE),0),$B88:$AP88))</f>
        <v>1353.84514350124</v>
      </c>
      <c r="V145" s="26" cm="1">
        <f t="array" ref="V145">(SUMPRODUCT(IFERROR(VLOOKUP(V$143-$B$86:$AP$86,'Survival Rate'!$A$2:$D$54,4,FALSE),0),$B88:$AP88))</f>
        <v>1451.72805292909</v>
      </c>
      <c r="W145" s="26" cm="1">
        <f t="array" ref="W145">(SUMPRODUCT(IFERROR(VLOOKUP(W$143-$B$86:$AP$86,'Survival Rate'!$A$2:$D$54,4,FALSE),0),$B88:$AP88))</f>
        <v>1544.34037011305</v>
      </c>
      <c r="X145" s="26" cm="1">
        <f t="array" ref="X145">(SUMPRODUCT(IFERROR(VLOOKUP(X$143-$B$86:$AP$86,'Survival Rate'!$A$2:$D$54,4,FALSE),0),$B88:$AP88))</f>
        <v>1626.81430134188</v>
      </c>
      <c r="Y145" s="26" cm="1">
        <f t="array" ref="Y145">(SUMPRODUCT(IFERROR(VLOOKUP(Y$143-$B$86:$AP$86,'Survival Rate'!$A$2:$D$54,4,FALSE),0),$B88:$AP88))</f>
        <v>1707.16102088626</v>
      </c>
      <c r="Z145" s="26" cm="1">
        <f t="array" ref="Z145">(SUMPRODUCT(IFERROR(VLOOKUP(Z$143-$B$86:$AP$86,'Survival Rate'!$A$2:$D$54,4,FALSE),0),$B88:$AP88))</f>
        <v>1792.22576559072</v>
      </c>
      <c r="AA145" s="26" cm="1">
        <f t="array" ref="AA145">(SUMPRODUCT(IFERROR(VLOOKUP(AA$143-$B$86:$AP$86,'Survival Rate'!$A$2:$D$54,4,FALSE),0),$B88:$AP88))</f>
        <v>1863.33265344125</v>
      </c>
      <c r="AB145" s="26" cm="1">
        <f t="array" ref="AB145">(SUMPRODUCT(IFERROR(VLOOKUP(AB$143-$B$86:$AP$86,'Survival Rate'!$A$2:$D$54,4,FALSE),0),$B88:$AP88))</f>
        <v>1915.34504735192</v>
      </c>
      <c r="AC145" s="26" cm="1">
        <f t="array" ref="AC145">(SUMPRODUCT(IFERROR(VLOOKUP(AC$143-$B$86:$AP$86,'Survival Rate'!$A$2:$D$54,4,FALSE),0),$B88:$AP88))</f>
        <v>1966.80491919851</v>
      </c>
      <c r="AD145" s="26" cm="1">
        <f t="array" ref="AD145">(SUMPRODUCT(IFERROR(VLOOKUP(AD$143-$B$86:$AP$86,'Survival Rate'!$A$2:$D$54,4,FALSE),0),$B88:$AP88))</f>
        <v>2036.16543939542</v>
      </c>
      <c r="AE145" s="26" cm="1">
        <f t="array" ref="AE145">(SUMPRODUCT(IFERROR(VLOOKUP(AE$143-$B$86:$AP$86,'Survival Rate'!$A$2:$D$54,4,FALSE),0),$B88:$AP88))</f>
        <v>2094.73949533517</v>
      </c>
      <c r="AF145" s="26" cm="1">
        <f t="array" ref="AF145">(SUMPRODUCT(IFERROR(VLOOKUP(AF$143-$B$86:$AP$86,'Survival Rate'!$A$2:$D$54,4,FALSE),0),$B88:$AP88))</f>
        <v>2112.47213008507</v>
      </c>
      <c r="AG145" s="26" cm="1">
        <f t="array" ref="AG145">(SUMPRODUCT(IFERROR(VLOOKUP(AG$143-$B$86:$AP$86,'Survival Rate'!$A$2:$D$54,4,FALSE),0),$B88:$AP88))</f>
        <v>2100.26059944441</v>
      </c>
      <c r="AH145" s="26" cm="1">
        <f t="array" ref="AH145">(SUMPRODUCT(IFERROR(VLOOKUP(AH$143-$B$86:$AP$86,'Survival Rate'!$A$2:$D$54,4,FALSE),0),$B88:$AP88))</f>
        <v>2082.19400280759</v>
      </c>
      <c r="AI145" s="26" cm="1">
        <f t="array" ref="AI145">(SUMPRODUCT(IFERROR(VLOOKUP(AI$143-$B$86:$AP$86,'Survival Rate'!$A$2:$D$54,4,FALSE),0),$B88:$AP88))</f>
        <v>2056.20341555837</v>
      </c>
      <c r="AJ145" s="26" cm="1">
        <f t="array" ref="AJ145">(SUMPRODUCT(IFERROR(VLOOKUP(AJ$143-$B$86:$AP$86,'Survival Rate'!$A$2:$D$54,4,FALSE),0),$B88:$AP88))</f>
        <v>2018.99069022455</v>
      </c>
      <c r="AK145" s="26" cm="1">
        <f t="array" ref="AK145">(SUMPRODUCT(IFERROR(VLOOKUP(AK$143-$B$86:$AP$86,'Survival Rate'!$A$2:$D$54,4,FALSE),0),$B88:$AP88))</f>
        <v>1975.84991344417</v>
      </c>
      <c r="AL145" s="26" cm="1">
        <f t="array" ref="AL145">(SUMPRODUCT(IFERROR(VLOOKUP(AL$143-$B$86:$AP$86,'Survival Rate'!$A$2:$D$54,4,FALSE),0),$B88:$AP88))</f>
        <v>1930.87520091664</v>
      </c>
      <c r="AM145" s="26" cm="1">
        <f t="array" ref="AM145">(SUMPRODUCT(IFERROR(VLOOKUP(AM$143-$B$86:$AP$86,'Survival Rate'!$A$2:$D$54,4,FALSE),0),$B88:$AP88))</f>
        <v>1873.80678851614</v>
      </c>
      <c r="AN145" s="26" cm="1">
        <f t="array" ref="AN145">(SUMPRODUCT(IFERROR(VLOOKUP(AN$143-$B$86:$AP$86,'Survival Rate'!$A$2:$D$54,4,FALSE),0),$B88:$AP88))</f>
        <v>1805.7753521668</v>
      </c>
      <c r="AO145" s="26" cm="1">
        <f t="array" ref="AO145">(SUMPRODUCT(IFERROR(VLOOKUP(AO$143-$B$86:$AP$86,'Survival Rate'!$A$2:$D$54,4,FALSE),0),$B88:$AP88))</f>
        <v>1726.80222623514</v>
      </c>
      <c r="AP145" s="26" cm="1">
        <f t="array" ref="AP145">(SUMPRODUCT(IFERROR(VLOOKUP(AP$143-$B$86:$AP$86,'Survival Rate'!$A$2:$D$54,4,FALSE),0),$B88:$AP88))</f>
        <v>1623.28213817391</v>
      </c>
    </row>
    <row r="146" spans="1:42">
      <c r="A146" t="s">
        <v>2371</v>
      </c>
      <c r="B146" s="26">
        <f t="shared" ref="B146:B156" si="93">AVERAGE(B127:F127)</f>
        <v>0</v>
      </c>
      <c r="C146" s="26">
        <f t="shared" ref="C146:C156" si="94">AVERAGE(C127:G127)</f>
        <v>0</v>
      </c>
      <c r="D146" s="26">
        <f t="shared" ref="D146:D156" si="95">AVERAGE(D127:H127)</f>
        <v>0</v>
      </c>
      <c r="E146" s="26">
        <f t="shared" ref="E146:E156" si="96">AVERAGE(E127:I127)</f>
        <v>0</v>
      </c>
      <c r="F146" s="26">
        <f t="shared" ref="F146:F156" si="97">AVERAGE(F127:J127)</f>
        <v>0</v>
      </c>
      <c r="G146" s="26">
        <f t="shared" ref="G146:G156" si="98">AVERAGE(G127:K127)</f>
        <v>0</v>
      </c>
      <c r="H146" s="26">
        <f t="shared" ref="H146:H156" si="99">AVERAGE(H127:L127)</f>
        <v>0</v>
      </c>
      <c r="I146" s="26">
        <f t="shared" ref="I146:I156" si="100">AVERAGE(I127:M127)</f>
        <v>0</v>
      </c>
      <c r="J146" s="26">
        <f t="shared" ref="J146:AP150" si="101">AVERAGE(J127:N127)</f>
        <v>0</v>
      </c>
      <c r="K146" s="26">
        <f t="shared" si="101"/>
        <v>0</v>
      </c>
      <c r="L146" s="26">
        <f t="shared" si="101"/>
        <v>0</v>
      </c>
      <c r="M146" s="26">
        <f t="shared" si="101"/>
        <v>0</v>
      </c>
      <c r="N146" s="26">
        <f t="shared" si="101"/>
        <v>0</v>
      </c>
      <c r="O146" s="26">
        <f t="shared" si="101"/>
        <v>0</v>
      </c>
      <c r="P146" s="26">
        <f t="shared" si="101"/>
        <v>0</v>
      </c>
      <c r="Q146" s="26">
        <f t="shared" si="101"/>
        <v>0</v>
      </c>
      <c r="R146" s="26">
        <f t="shared" si="101"/>
        <v>0</v>
      </c>
      <c r="S146" s="26">
        <f t="shared" si="101"/>
        <v>0</v>
      </c>
      <c r="T146" s="26">
        <f t="shared" si="101"/>
        <v>0</v>
      </c>
      <c r="U146" s="26">
        <f t="shared" si="101"/>
        <v>0</v>
      </c>
      <c r="V146" s="26">
        <f t="shared" si="101"/>
        <v>0</v>
      </c>
      <c r="W146" s="26">
        <f t="shared" si="101"/>
        <v>192.927999999997</v>
      </c>
      <c r="X146" s="26">
        <f t="shared" si="101"/>
        <v>385.855999999994</v>
      </c>
      <c r="Y146" s="26">
        <f t="shared" si="101"/>
        <v>385.855999999994</v>
      </c>
      <c r="Z146" s="26">
        <f t="shared" si="101"/>
        <v>385.855999999994</v>
      </c>
      <c r="AA146" s="26">
        <f t="shared" si="101"/>
        <v>385.855999999994</v>
      </c>
      <c r="AB146" s="26">
        <f t="shared" si="101"/>
        <v>192.927999999997</v>
      </c>
      <c r="AC146" s="26">
        <f t="shared" si="101"/>
        <v>0</v>
      </c>
      <c r="AD146" s="26">
        <f t="shared" si="101"/>
        <v>0</v>
      </c>
      <c r="AE146" s="26">
        <f t="shared" si="101"/>
        <v>0</v>
      </c>
      <c r="AF146" s="26">
        <f t="shared" si="101"/>
        <v>667.727999999997</v>
      </c>
      <c r="AG146" s="26">
        <f t="shared" si="101"/>
        <v>813.327999999997</v>
      </c>
      <c r="AH146" s="26">
        <f t="shared" si="101"/>
        <v>943.327999999997</v>
      </c>
      <c r="AI146" s="26">
        <f t="shared" si="101"/>
        <v>943.327999999997</v>
      </c>
      <c r="AJ146" s="26">
        <f t="shared" si="101"/>
        <v>1155.328</v>
      </c>
      <c r="AK146" s="26">
        <f t="shared" si="101"/>
        <v>699.6</v>
      </c>
      <c r="AL146" s="26">
        <f t="shared" si="101"/>
        <v>560.777777777778</v>
      </c>
      <c r="AM146" s="26">
        <f t="shared" si="101"/>
        <v>437.555555555555</v>
      </c>
      <c r="AN146" s="26">
        <f t="shared" si="101"/>
        <v>793.533333333334</v>
      </c>
      <c r="AO146" s="26">
        <f t="shared" si="101"/>
        <v>726.916666666667</v>
      </c>
      <c r="AP146" s="26">
        <f t="shared" si="101"/>
        <v>615.888888888889</v>
      </c>
    </row>
    <row r="147" spans="1:42">
      <c r="A147" t="s">
        <v>2372</v>
      </c>
      <c r="B147" s="26">
        <f t="shared" si="93"/>
        <v>0</v>
      </c>
      <c r="C147" s="26">
        <f t="shared" si="94"/>
        <v>0</v>
      </c>
      <c r="D147" s="26">
        <f t="shared" si="95"/>
        <v>0</v>
      </c>
      <c r="E147" s="26">
        <f t="shared" si="96"/>
        <v>0</v>
      </c>
      <c r="F147" s="26">
        <f t="shared" si="97"/>
        <v>0</v>
      </c>
      <c r="G147" s="26">
        <f t="shared" si="98"/>
        <v>0</v>
      </c>
      <c r="H147" s="26">
        <f t="shared" si="99"/>
        <v>0</v>
      </c>
      <c r="I147" s="26">
        <f t="shared" si="100"/>
        <v>0</v>
      </c>
      <c r="J147" s="26">
        <f t="shared" si="101"/>
        <v>0</v>
      </c>
      <c r="K147" s="26">
        <f t="shared" si="101"/>
        <v>0</v>
      </c>
      <c r="L147" s="26">
        <f t="shared" si="101"/>
        <v>0</v>
      </c>
      <c r="M147" s="26">
        <f t="shared" si="101"/>
        <v>0</v>
      </c>
      <c r="N147" s="26">
        <f t="shared" si="101"/>
        <v>0</v>
      </c>
      <c r="O147" s="26">
        <f t="shared" si="101"/>
        <v>0</v>
      </c>
      <c r="P147" s="26">
        <f t="shared" si="101"/>
        <v>0</v>
      </c>
      <c r="Q147" s="26">
        <f t="shared" si="101"/>
        <v>0</v>
      </c>
      <c r="R147" s="26">
        <f t="shared" si="101"/>
        <v>0</v>
      </c>
      <c r="S147" s="26">
        <f t="shared" si="101"/>
        <v>0</v>
      </c>
      <c r="T147" s="26">
        <f t="shared" si="101"/>
        <v>0</v>
      </c>
      <c r="U147" s="26">
        <f t="shared" si="101"/>
        <v>0</v>
      </c>
      <c r="V147" s="26">
        <f t="shared" si="101"/>
        <v>0</v>
      </c>
      <c r="W147" s="26">
        <f t="shared" si="101"/>
        <v>0</v>
      </c>
      <c r="X147" s="26">
        <f t="shared" si="101"/>
        <v>0</v>
      </c>
      <c r="Y147" s="26">
        <f t="shared" si="101"/>
        <v>0</v>
      </c>
      <c r="Z147" s="26">
        <f t="shared" si="101"/>
        <v>0</v>
      </c>
      <c r="AA147" s="26">
        <f t="shared" si="101"/>
        <v>0</v>
      </c>
      <c r="AB147" s="26">
        <f t="shared" si="101"/>
        <v>0</v>
      </c>
      <c r="AC147" s="26">
        <f t="shared" si="101"/>
        <v>0</v>
      </c>
      <c r="AD147" s="26">
        <f t="shared" si="101"/>
        <v>0</v>
      </c>
      <c r="AE147" s="26">
        <f t="shared" si="101"/>
        <v>0</v>
      </c>
      <c r="AF147" s="26">
        <f t="shared" si="101"/>
        <v>0</v>
      </c>
      <c r="AG147" s="26">
        <f t="shared" si="101"/>
        <v>0</v>
      </c>
      <c r="AH147" s="26">
        <f t="shared" si="101"/>
        <v>0</v>
      </c>
      <c r="AI147" s="26">
        <f t="shared" si="101"/>
        <v>0</v>
      </c>
      <c r="AJ147" s="26">
        <f t="shared" si="101"/>
        <v>0</v>
      </c>
      <c r="AK147" s="26">
        <f t="shared" si="101"/>
        <v>0</v>
      </c>
      <c r="AL147" s="26">
        <f t="shared" si="101"/>
        <v>0</v>
      </c>
      <c r="AM147" s="26">
        <f t="shared" si="101"/>
        <v>0</v>
      </c>
      <c r="AN147" s="26">
        <f t="shared" si="101"/>
        <v>0</v>
      </c>
      <c r="AO147" s="26">
        <f t="shared" si="101"/>
        <v>0</v>
      </c>
      <c r="AP147" s="26">
        <f t="shared" si="101"/>
        <v>0</v>
      </c>
    </row>
    <row r="148" spans="1:42">
      <c r="A148" t="s">
        <v>2373</v>
      </c>
      <c r="B148" s="26">
        <f t="shared" si="93"/>
        <v>0</v>
      </c>
      <c r="C148" s="26">
        <f t="shared" si="94"/>
        <v>0</v>
      </c>
      <c r="D148" s="26">
        <f t="shared" si="95"/>
        <v>0</v>
      </c>
      <c r="E148" s="26">
        <f t="shared" si="96"/>
        <v>0</v>
      </c>
      <c r="F148" s="26">
        <f t="shared" si="97"/>
        <v>0</v>
      </c>
      <c r="G148" s="26">
        <f t="shared" si="98"/>
        <v>0</v>
      </c>
      <c r="H148" s="26">
        <f t="shared" si="99"/>
        <v>0</v>
      </c>
      <c r="I148" s="26">
        <f t="shared" si="100"/>
        <v>0</v>
      </c>
      <c r="J148" s="26">
        <f t="shared" si="101"/>
        <v>0</v>
      </c>
      <c r="K148" s="26">
        <f t="shared" si="101"/>
        <v>0</v>
      </c>
      <c r="L148" s="26">
        <f t="shared" si="101"/>
        <v>0</v>
      </c>
      <c r="M148" s="26">
        <f t="shared" si="101"/>
        <v>0</v>
      </c>
      <c r="N148" s="26">
        <f t="shared" si="101"/>
        <v>1609.03644444444</v>
      </c>
      <c r="O148" s="26">
        <f t="shared" si="101"/>
        <v>4592.52330555555</v>
      </c>
      <c r="P148" s="26">
        <f t="shared" si="101"/>
        <v>7698.07016666666</v>
      </c>
      <c r="Q148" s="26">
        <f t="shared" si="101"/>
        <v>10355.9570277778</v>
      </c>
      <c r="R148" s="26">
        <f t="shared" si="101"/>
        <v>13269.2772222222</v>
      </c>
      <c r="S148" s="26">
        <f t="shared" si="101"/>
        <v>15820.2476388889</v>
      </c>
      <c r="T148" s="26">
        <f t="shared" si="101"/>
        <v>19010.7409722222</v>
      </c>
      <c r="U148" s="26">
        <f t="shared" si="101"/>
        <v>19704.9343055556</v>
      </c>
      <c r="V148" s="26">
        <f t="shared" si="101"/>
        <v>20589.4880833333</v>
      </c>
      <c r="W148" s="26">
        <f t="shared" si="101"/>
        <v>22031.8485277778</v>
      </c>
      <c r="X148" s="26">
        <f t="shared" si="101"/>
        <v>23117.9623055556</v>
      </c>
      <c r="Y148" s="26">
        <f t="shared" si="101"/>
        <v>30838.6821111111</v>
      </c>
      <c r="Z148" s="26">
        <f t="shared" si="101"/>
        <v>27038.9419166667</v>
      </c>
      <c r="AA148" s="26">
        <f t="shared" si="101"/>
        <v>23496.5012777778</v>
      </c>
      <c r="AB148" s="26">
        <f t="shared" si="101"/>
        <v>19140.8206388889</v>
      </c>
      <c r="AC148" s="26">
        <f t="shared" si="101"/>
        <v>13894.7</v>
      </c>
      <c r="AD148" s="26">
        <f t="shared" si="101"/>
        <v>0</v>
      </c>
      <c r="AE148" s="26">
        <f t="shared" si="101"/>
        <v>0</v>
      </c>
      <c r="AF148" s="26">
        <f t="shared" si="101"/>
        <v>0</v>
      </c>
      <c r="AG148" s="26">
        <f t="shared" si="101"/>
        <v>0</v>
      </c>
      <c r="AH148" s="26">
        <f t="shared" si="101"/>
        <v>0</v>
      </c>
      <c r="AI148" s="26">
        <f t="shared" si="101"/>
        <v>0</v>
      </c>
      <c r="AJ148" s="26">
        <f t="shared" si="101"/>
        <v>0</v>
      </c>
      <c r="AK148" s="26">
        <f t="shared" si="101"/>
        <v>0</v>
      </c>
      <c r="AL148" s="26">
        <f t="shared" si="101"/>
        <v>0</v>
      </c>
      <c r="AM148" s="26">
        <f t="shared" si="101"/>
        <v>0</v>
      </c>
      <c r="AN148" s="26">
        <f t="shared" si="101"/>
        <v>0</v>
      </c>
      <c r="AO148" s="26">
        <f t="shared" si="101"/>
        <v>0</v>
      </c>
      <c r="AP148" s="26">
        <f t="shared" si="101"/>
        <v>0</v>
      </c>
    </row>
    <row r="149" spans="1:42">
      <c r="A149" t="s">
        <v>2374</v>
      </c>
      <c r="B149" s="26">
        <f t="shared" si="93"/>
        <v>0</v>
      </c>
      <c r="C149" s="26">
        <f t="shared" si="94"/>
        <v>0</v>
      </c>
      <c r="D149" s="26">
        <f t="shared" si="95"/>
        <v>0</v>
      </c>
      <c r="E149" s="26">
        <f t="shared" si="96"/>
        <v>0</v>
      </c>
      <c r="F149" s="26">
        <f t="shared" si="97"/>
        <v>0</v>
      </c>
      <c r="G149" s="26">
        <f t="shared" si="98"/>
        <v>0</v>
      </c>
      <c r="H149" s="26">
        <f t="shared" si="99"/>
        <v>0</v>
      </c>
      <c r="I149" s="26">
        <f t="shared" si="100"/>
        <v>0</v>
      </c>
      <c r="J149" s="26">
        <f t="shared" si="101"/>
        <v>0</v>
      </c>
      <c r="K149" s="26">
        <f t="shared" si="101"/>
        <v>0</v>
      </c>
      <c r="L149" s="26">
        <f t="shared" si="101"/>
        <v>0</v>
      </c>
      <c r="M149" s="26">
        <f t="shared" si="101"/>
        <v>0</v>
      </c>
      <c r="N149" s="26">
        <f t="shared" si="101"/>
        <v>0</v>
      </c>
      <c r="O149" s="26">
        <f t="shared" si="101"/>
        <v>5.0036</v>
      </c>
      <c r="P149" s="26">
        <f t="shared" si="101"/>
        <v>385.0456</v>
      </c>
      <c r="Q149" s="26">
        <f t="shared" si="101"/>
        <v>614.3588</v>
      </c>
      <c r="R149" s="26">
        <f t="shared" si="101"/>
        <v>2923.5332</v>
      </c>
      <c r="S149" s="26">
        <f t="shared" si="101"/>
        <v>4625.6</v>
      </c>
      <c r="T149" s="26">
        <f t="shared" si="101"/>
        <v>7304.9964</v>
      </c>
      <c r="U149" s="26">
        <f t="shared" si="101"/>
        <v>12981.3544</v>
      </c>
      <c r="V149" s="26">
        <f t="shared" si="101"/>
        <v>18871.4412</v>
      </c>
      <c r="W149" s="26">
        <f t="shared" si="101"/>
        <v>21901.6668</v>
      </c>
      <c r="X149" s="26">
        <f t="shared" si="101"/>
        <v>23676</v>
      </c>
      <c r="Y149" s="26">
        <f t="shared" si="101"/>
        <v>27233.34</v>
      </c>
      <c r="Z149" s="26">
        <f t="shared" si="101"/>
        <v>21176.94</v>
      </c>
      <c r="AA149" s="26">
        <f t="shared" si="101"/>
        <v>15057.54</v>
      </c>
      <c r="AB149" s="26">
        <f t="shared" si="101"/>
        <v>9718.14</v>
      </c>
      <c r="AC149" s="26">
        <f t="shared" si="101"/>
        <v>6241.74</v>
      </c>
      <c r="AD149" s="26">
        <f t="shared" si="101"/>
        <v>0</v>
      </c>
      <c r="AE149" s="26">
        <f t="shared" si="101"/>
        <v>0</v>
      </c>
      <c r="AF149" s="26">
        <f t="shared" si="101"/>
        <v>0</v>
      </c>
      <c r="AG149" s="26">
        <f t="shared" si="101"/>
        <v>0</v>
      </c>
      <c r="AH149" s="26">
        <f t="shared" si="101"/>
        <v>0</v>
      </c>
      <c r="AI149" s="26">
        <f t="shared" si="101"/>
        <v>0</v>
      </c>
      <c r="AJ149" s="26">
        <f t="shared" si="101"/>
        <v>0</v>
      </c>
      <c r="AK149" s="26">
        <f t="shared" si="101"/>
        <v>0</v>
      </c>
      <c r="AL149" s="26">
        <f t="shared" si="101"/>
        <v>0</v>
      </c>
      <c r="AM149" s="26">
        <f t="shared" si="101"/>
        <v>0</v>
      </c>
      <c r="AN149" s="26">
        <f t="shared" si="101"/>
        <v>0</v>
      </c>
      <c r="AO149" s="26">
        <f t="shared" si="101"/>
        <v>0</v>
      </c>
      <c r="AP149" s="26">
        <f t="shared" si="101"/>
        <v>0</v>
      </c>
    </row>
    <row r="150" spans="1:42">
      <c r="A150" t="s">
        <v>2375</v>
      </c>
      <c r="B150" s="26">
        <f t="shared" si="93"/>
        <v>0</v>
      </c>
      <c r="C150" s="26">
        <f t="shared" si="94"/>
        <v>0</v>
      </c>
      <c r="D150" s="26">
        <f t="shared" si="95"/>
        <v>0</v>
      </c>
      <c r="E150" s="26">
        <f t="shared" si="96"/>
        <v>0</v>
      </c>
      <c r="F150" s="26">
        <f t="shared" si="97"/>
        <v>0</v>
      </c>
      <c r="G150" s="26">
        <f t="shared" si="98"/>
        <v>0</v>
      </c>
      <c r="H150" s="26">
        <f t="shared" si="99"/>
        <v>0</v>
      </c>
      <c r="I150" s="26">
        <f t="shared" si="100"/>
        <v>0</v>
      </c>
      <c r="J150" s="26">
        <f t="shared" si="101"/>
        <v>0</v>
      </c>
      <c r="K150" s="26">
        <f t="shared" si="101"/>
        <v>0</v>
      </c>
      <c r="L150" s="26">
        <f t="shared" si="101"/>
        <v>0</v>
      </c>
      <c r="M150" s="26">
        <f t="shared" si="101"/>
        <v>0</v>
      </c>
      <c r="N150" s="26">
        <f t="shared" si="101"/>
        <v>0</v>
      </c>
      <c r="O150" s="26">
        <f t="shared" si="101"/>
        <v>0</v>
      </c>
      <c r="P150" s="26">
        <f t="shared" si="101"/>
        <v>0</v>
      </c>
      <c r="Q150" s="26">
        <f t="shared" si="101"/>
        <v>0</v>
      </c>
      <c r="R150" s="26">
        <f t="shared" si="101"/>
        <v>0</v>
      </c>
      <c r="S150" s="26">
        <f t="shared" si="101"/>
        <v>0</v>
      </c>
      <c r="T150" s="26">
        <f t="shared" si="101"/>
        <v>0</v>
      </c>
      <c r="U150" s="26">
        <f t="shared" si="101"/>
        <v>0</v>
      </c>
      <c r="V150" s="26">
        <f t="shared" si="101"/>
        <v>0</v>
      </c>
      <c r="W150" s="26">
        <f t="shared" si="101"/>
        <v>0</v>
      </c>
      <c r="X150" s="26">
        <f t="shared" si="101"/>
        <v>0</v>
      </c>
      <c r="Y150" s="26">
        <f t="shared" si="101"/>
        <v>0</v>
      </c>
      <c r="Z150" s="26">
        <f t="shared" si="101"/>
        <v>0</v>
      </c>
      <c r="AA150" s="26">
        <f t="shared" si="101"/>
        <v>0</v>
      </c>
      <c r="AB150" s="26">
        <f t="shared" si="101"/>
        <v>0</v>
      </c>
      <c r="AC150" s="26">
        <f t="shared" si="101"/>
        <v>0</v>
      </c>
      <c r="AD150" s="26">
        <f t="shared" si="101"/>
        <v>0</v>
      </c>
      <c r="AE150" s="26">
        <f t="shared" si="101"/>
        <v>0</v>
      </c>
      <c r="AF150" s="26">
        <f t="shared" si="101"/>
        <v>0</v>
      </c>
      <c r="AG150" s="26">
        <f t="shared" si="101"/>
        <v>0</v>
      </c>
      <c r="AH150" s="26">
        <f t="shared" si="101"/>
        <v>0</v>
      </c>
      <c r="AI150" s="26">
        <f t="shared" si="101"/>
        <v>0</v>
      </c>
      <c r="AJ150" s="26">
        <f t="shared" si="101"/>
        <v>0</v>
      </c>
      <c r="AK150" s="26">
        <f t="shared" si="101"/>
        <v>0</v>
      </c>
      <c r="AL150" s="26">
        <f t="shared" si="101"/>
        <v>0</v>
      </c>
      <c r="AM150" s="26">
        <f t="shared" si="101"/>
        <v>0</v>
      </c>
      <c r="AN150" s="26">
        <f t="shared" si="101"/>
        <v>0</v>
      </c>
      <c r="AO150" s="26">
        <f t="shared" si="101"/>
        <v>0</v>
      </c>
      <c r="AP150" s="26">
        <f t="shared" si="101"/>
        <v>0</v>
      </c>
    </row>
    <row r="151" spans="1:42">
      <c r="A151" t="s">
        <v>2376</v>
      </c>
      <c r="B151" s="26" cm="1">
        <f t="array" ref="B151">(SUMPRODUCT(IFERROR(VLOOKUP(B$143-$B$86:$AP$86,'Survival Rate'!$A$2:$D$54,4,FALSE),0),$B94:$AP94))</f>
        <v>55.0032212481299</v>
      </c>
      <c r="C151" s="26" cm="1">
        <f t="array" ref="C151">(SUMPRODUCT(IFERROR(VLOOKUP(C$143-$B$86:$AP$86,'Survival Rate'!$A$2:$D$54,4,FALSE),0),$B94:$AP94))</f>
        <v>62.246512904011</v>
      </c>
      <c r="D151" s="26" cm="1">
        <f t="array" ref="D151">(SUMPRODUCT(IFERROR(VLOOKUP(D$143-$B$86:$AP$86,'Survival Rate'!$A$2:$D$54,4,FALSE),0),$B94:$AP94))</f>
        <v>70.3049787024726</v>
      </c>
      <c r="E151" s="26" cm="1">
        <f t="array" ref="E151">(SUMPRODUCT(IFERROR(VLOOKUP(E$143-$B$86:$AP$86,'Survival Rate'!$A$2:$D$54,4,FALSE),0),$B94:$AP94))</f>
        <v>79.4569208746306</v>
      </c>
      <c r="F151" s="26" cm="1">
        <f t="array" ref="F151">(SUMPRODUCT(IFERROR(VLOOKUP(F$143-$B$86:$AP$86,'Survival Rate'!$A$2:$D$54,4,FALSE),0),$B94:$AP94))</f>
        <v>89.7751129322621</v>
      </c>
      <c r="G151" s="26" cm="1">
        <f t="array" ref="G151">(SUMPRODUCT(IFERROR(VLOOKUP(G$143-$B$86:$AP$86,'Survival Rate'!$A$2:$D$54,4,FALSE),0),$B94:$AP94))</f>
        <v>101.280587165411</v>
      </c>
      <c r="H151" s="26" cm="1">
        <f t="array" ref="H151">(SUMPRODUCT(IFERROR(VLOOKUP(H$143-$B$86:$AP$86,'Survival Rate'!$A$2:$D$54,4,FALSE),0),$B94:$AP94))</f>
        <v>114.152049310554</v>
      </c>
      <c r="I151" s="26" cm="1">
        <f t="array" ref="I151">(SUMPRODUCT(IFERROR(VLOOKUP(I$143-$B$86:$AP$86,'Survival Rate'!$A$2:$D$54,4,FALSE),0),$B94:$AP94))</f>
        <v>128.324217748641</v>
      </c>
      <c r="J151" s="26" cm="1">
        <f t="array" ref="J151">(SUMPRODUCT(IFERROR(VLOOKUP(J$143-$B$86:$AP$86,'Survival Rate'!$A$2:$D$54,4,FALSE),0),$B94:$AP94))</f>
        <v>143.717871554158</v>
      </c>
      <c r="K151" s="26" cm="1">
        <f t="array" ref="K151">(SUMPRODUCT(IFERROR(VLOOKUP(K$143-$B$86:$AP$86,'Survival Rate'!$A$2:$D$54,4,FALSE),0),$B94:$AP94))</f>
        <v>158.872185048317</v>
      </c>
      <c r="L151" s="26" cm="1">
        <f t="array" ref="L151">(SUMPRODUCT(IFERROR(VLOOKUP(L$143-$B$86:$AP$86,'Survival Rate'!$A$2:$D$54,4,FALSE),0),$B94:$AP94))</f>
        <v>175.520605504228</v>
      </c>
      <c r="M151" s="26" cm="1">
        <f t="array" ref="M151">(SUMPRODUCT(IFERROR(VLOOKUP(M$143-$B$86:$AP$86,'Survival Rate'!$A$2:$D$54,4,FALSE),0),$B94:$AP94))</f>
        <v>193.989735740754</v>
      </c>
      <c r="N151" s="26" cm="1">
        <f t="array" ref="N151">(SUMPRODUCT(IFERROR(VLOOKUP(N$143-$B$86:$AP$86,'Survival Rate'!$A$2:$D$54,4,FALSE),0),$B94:$AP94))</f>
        <v>214.409909932639</v>
      </c>
      <c r="O151" s="26" cm="1">
        <f t="array" ref="O151">(SUMPRODUCT(IFERROR(VLOOKUP(O$143-$B$86:$AP$86,'Survival Rate'!$A$2:$D$54,4,FALSE),0),$B94:$AP94))</f>
        <v>233.682045661817</v>
      </c>
      <c r="P151" s="26" cm="1">
        <f t="array" ref="P151">(SUMPRODUCT(IFERROR(VLOOKUP(P$143-$B$86:$AP$86,'Survival Rate'!$A$2:$D$54,4,FALSE),0),$B94:$AP94))</f>
        <v>251.268422768904</v>
      </c>
      <c r="Q151" s="26" cm="1">
        <f t="array" ref="Q151">(SUMPRODUCT(IFERROR(VLOOKUP(Q$143-$B$86:$AP$86,'Survival Rate'!$A$2:$D$54,4,FALSE),0),$B94:$AP94))</f>
        <v>268.074689885627</v>
      </c>
      <c r="R151" s="26" cm="1">
        <f t="array" ref="R151">(SUMPRODUCT(IFERROR(VLOOKUP(R$143-$B$86:$AP$86,'Survival Rate'!$A$2:$D$54,4,FALSE),0),$B94:$AP94))</f>
        <v>284.632506685405</v>
      </c>
      <c r="S151" s="26" cm="1">
        <f t="array" ref="S151">(SUMPRODUCT(IFERROR(VLOOKUP(S$143-$B$86:$AP$86,'Survival Rate'!$A$2:$D$54,4,FALSE),0),$B94:$AP94))</f>
        <v>297.846059326316</v>
      </c>
      <c r="T151" s="26" cm="1">
        <f t="array" ref="T151">(SUMPRODUCT(IFERROR(VLOOKUP(T$143-$B$86:$AP$86,'Survival Rate'!$A$2:$D$54,4,FALSE),0),$B94:$AP94))</f>
        <v>310.995731228438</v>
      </c>
      <c r="U151" s="26" cm="1">
        <f t="array" ref="U151">(SUMPRODUCT(IFERROR(VLOOKUP(U$143-$B$86:$AP$86,'Survival Rate'!$A$2:$D$54,4,FALSE),0),$B94:$AP94))</f>
        <v>322.69779419411</v>
      </c>
      <c r="V151" s="26" cm="1">
        <f t="array" ref="V151">(SUMPRODUCT(IFERROR(VLOOKUP(V$143-$B$86:$AP$86,'Survival Rate'!$A$2:$D$54,4,FALSE),0),$B94:$AP94))</f>
        <v>335.786785652861</v>
      </c>
      <c r="W151" s="26" cm="1">
        <f t="array" ref="W151">(SUMPRODUCT(IFERROR(VLOOKUP(W$143-$B$86:$AP$86,'Survival Rate'!$A$2:$D$54,4,FALSE),0),$B94:$AP94))</f>
        <v>350.592802696991</v>
      </c>
      <c r="X151" s="26" cm="1">
        <f t="array" ref="X151">(SUMPRODUCT(IFERROR(VLOOKUP(X$143-$B$86:$AP$86,'Survival Rate'!$A$2:$D$54,4,FALSE),0),$B94:$AP94))</f>
        <v>364.721936468761</v>
      </c>
      <c r="Y151" s="26" cm="1">
        <f t="array" ref="Y151">(SUMPRODUCT(IFERROR(VLOOKUP(Y$143-$B$86:$AP$86,'Survival Rate'!$A$2:$D$54,4,FALSE),0),$B94:$AP94))</f>
        <v>378.270369695957</v>
      </c>
      <c r="Z151" s="26" cm="1">
        <f t="array" ref="Z151">(SUMPRODUCT(IFERROR(VLOOKUP(Z$143-$B$86:$AP$86,'Survival Rate'!$A$2:$D$54,4,FALSE),0),$B94:$AP94))</f>
        <v>391.303111545998</v>
      </c>
      <c r="AA151" s="26" cm="1">
        <f t="array" ref="AA151">(SUMPRODUCT(IFERROR(VLOOKUP(AA$143-$B$86:$AP$86,'Survival Rate'!$A$2:$D$54,4,FALSE),0),$B94:$AP94))</f>
        <v>402.838597187419</v>
      </c>
      <c r="AB151" s="26" cm="1">
        <f t="array" ref="AB151">(SUMPRODUCT(IFERROR(VLOOKUP(AB$143-$B$86:$AP$86,'Survival Rate'!$A$2:$D$54,4,FALSE),0),$B94:$AP94))</f>
        <v>413.050567864321</v>
      </c>
      <c r="AC151" s="26" cm="1">
        <f t="array" ref="AC151">(SUMPRODUCT(IFERROR(VLOOKUP(AC$143-$B$86:$AP$86,'Survival Rate'!$A$2:$D$54,4,FALSE),0),$B94:$AP94))</f>
        <v>421.785966013916</v>
      </c>
      <c r="AD151" s="26" cm="1">
        <f t="array" ref="AD151">(SUMPRODUCT(IFERROR(VLOOKUP(AD$143-$B$86:$AP$86,'Survival Rate'!$A$2:$D$54,4,FALSE),0),$B94:$AP94))</f>
        <v>426.319122097646</v>
      </c>
      <c r="AE151" s="26" cm="1">
        <f t="array" ref="AE151">(SUMPRODUCT(IFERROR(VLOOKUP(AE$143-$B$86:$AP$86,'Survival Rate'!$A$2:$D$54,4,FALSE),0),$B94:$AP94))</f>
        <v>431.28337676654</v>
      </c>
      <c r="AF151" s="26" cm="1">
        <f t="array" ref="AF151">(SUMPRODUCT(IFERROR(VLOOKUP(AF$143-$B$86:$AP$86,'Survival Rate'!$A$2:$D$54,4,FALSE),0),$B94:$AP94))</f>
        <v>433.177263261705</v>
      </c>
      <c r="AG151" s="26" cm="1">
        <f t="array" ref="AG151">(SUMPRODUCT(IFERROR(VLOOKUP(AG$143-$B$86:$AP$86,'Survival Rate'!$A$2:$D$54,4,FALSE),0),$B94:$AP94))</f>
        <v>429.833102965826</v>
      </c>
      <c r="AH151" s="26" cm="1">
        <f t="array" ref="AH151">(SUMPRODUCT(IFERROR(VLOOKUP(AH$143-$B$86:$AP$86,'Survival Rate'!$A$2:$D$54,4,FALSE),0),$B94:$AP94))</f>
        <v>422.667045697299</v>
      </c>
      <c r="AI151" s="26" cm="1">
        <f t="array" ref="AI151">(SUMPRODUCT(IFERROR(VLOOKUP(AI$143-$B$86:$AP$86,'Survival Rate'!$A$2:$D$54,4,FALSE),0),$B94:$AP94))</f>
        <v>418.493132250681</v>
      </c>
      <c r="AJ151" s="26" cm="1">
        <f t="array" ref="AJ151">(SUMPRODUCT(IFERROR(VLOOKUP(AJ$143-$B$86:$AP$86,'Survival Rate'!$A$2:$D$54,4,FALSE),0),$B94:$AP94))</f>
        <v>415.457618914258</v>
      </c>
      <c r="AK151" s="26" cm="1">
        <f t="array" ref="AK151">(SUMPRODUCT(IFERROR(VLOOKUP(AK$143-$B$86:$AP$86,'Survival Rate'!$A$2:$D$54,4,FALSE),0),$B94:$AP94))</f>
        <v>408.220226108119</v>
      </c>
      <c r="AL151" s="26" cm="1">
        <f t="array" ref="AL151">(SUMPRODUCT(IFERROR(VLOOKUP(AL$143-$B$86:$AP$86,'Survival Rate'!$A$2:$D$54,4,FALSE),0),$B94:$AP94))</f>
        <v>386.721676465129</v>
      </c>
      <c r="AM151" s="26" cm="1">
        <f t="array" ref="AM151">(SUMPRODUCT(IFERROR(VLOOKUP(AM$143-$B$86:$AP$86,'Survival Rate'!$A$2:$D$54,4,FALSE),0),$B94:$AP94))</f>
        <v>365.035396939761</v>
      </c>
      <c r="AN151" s="26" cm="1">
        <f t="array" ref="AN151">(SUMPRODUCT(IFERROR(VLOOKUP(AN$143-$B$86:$AP$86,'Survival Rate'!$A$2:$D$54,4,FALSE),0),$B94:$AP94))</f>
        <v>341.438751585014</v>
      </c>
      <c r="AO151" s="26" cm="1">
        <f t="array" ref="AO151">(SUMPRODUCT(IFERROR(VLOOKUP(AO$143-$B$86:$AP$86,'Survival Rate'!$A$2:$D$54,4,FALSE),0),$B94:$AP94))</f>
        <v>322.578526373605</v>
      </c>
      <c r="AP151" s="26" cm="1">
        <f t="array" ref="AP151">(SUMPRODUCT(IFERROR(VLOOKUP(AP$143-$B$86:$AP$86,'Survival Rate'!$A$2:$D$54,4,FALSE),0),$B94:$AP94))</f>
        <v>306.772159831458</v>
      </c>
    </row>
    <row r="152" spans="1:42">
      <c r="A152" t="s">
        <v>2377</v>
      </c>
      <c r="B152" s="26">
        <f t="shared" si="93"/>
        <v>28.7607272727273</v>
      </c>
      <c r="C152" s="26">
        <f t="shared" si="94"/>
        <v>38.3476363636364</v>
      </c>
      <c r="D152" s="26">
        <f t="shared" si="95"/>
        <v>47.9345454545455</v>
      </c>
      <c r="E152" s="26">
        <f t="shared" si="96"/>
        <v>47.9345454545455</v>
      </c>
      <c r="F152" s="26">
        <f t="shared" si="97"/>
        <v>47.9345454545455</v>
      </c>
      <c r="G152" s="26">
        <f t="shared" si="98"/>
        <v>47.9345454545455</v>
      </c>
      <c r="H152" s="26">
        <f t="shared" si="99"/>
        <v>47.9345454545455</v>
      </c>
      <c r="I152" s="26">
        <f t="shared" si="100"/>
        <v>47.9345454545455</v>
      </c>
      <c r="J152" s="26">
        <f t="shared" ref="J152:J156" si="102">AVERAGE(J133:N133)</f>
        <v>47.9345454545455</v>
      </c>
      <c r="K152" s="26">
        <f t="shared" ref="K152:K156" si="103">AVERAGE(K133:O133)</f>
        <v>38.3476363636364</v>
      </c>
      <c r="L152" s="26">
        <f t="shared" ref="L152:L156" si="104">AVERAGE(L133:P133)</f>
        <v>28.7607272727273</v>
      </c>
      <c r="M152" s="26">
        <f t="shared" ref="M152:M156" si="105">AVERAGE(M133:Q133)</f>
        <v>19.1738181818182</v>
      </c>
      <c r="N152" s="26">
        <f t="shared" ref="N152:N156" si="106">AVERAGE(N133:R133)</f>
        <v>9.58690909090909</v>
      </c>
      <c r="O152" s="26">
        <f t="shared" ref="O152:O156" si="107">AVERAGE(O133:S133)</f>
        <v>0</v>
      </c>
      <c r="P152" s="26">
        <f t="shared" ref="P152:P156" si="108">AVERAGE(P133:T133)</f>
        <v>0</v>
      </c>
      <c r="Q152" s="26">
        <f t="shared" ref="Q152:Q156" si="109">AVERAGE(Q133:U133)</f>
        <v>0</v>
      </c>
      <c r="R152" s="26">
        <f t="shared" ref="R152:R156" si="110">AVERAGE(R133:V133)</f>
        <v>0</v>
      </c>
      <c r="S152" s="26">
        <f t="shared" ref="S152:S156" si="111">AVERAGE(S133:W133)</f>
        <v>0</v>
      </c>
      <c r="T152" s="26">
        <f t="shared" ref="T152:T156" si="112">AVERAGE(T133:X133)</f>
        <v>0</v>
      </c>
      <c r="U152" s="26">
        <f t="shared" ref="U152:U156" si="113">AVERAGE(U133:Y133)</f>
        <v>0</v>
      </c>
      <c r="V152" s="26">
        <f t="shared" ref="V152:V156" si="114">AVERAGE(V133:Z133)</f>
        <v>0</v>
      </c>
      <c r="W152" s="26">
        <f t="shared" ref="W152:W156" si="115">AVERAGE(W133:AA133)</f>
        <v>0</v>
      </c>
      <c r="X152" s="26">
        <f t="shared" ref="X152:X156" si="116">AVERAGE(X133:AB133)</f>
        <v>0</v>
      </c>
      <c r="Y152" s="26">
        <f t="shared" ref="Y152:Y156" si="117">AVERAGE(Y133:AC133)</f>
        <v>0</v>
      </c>
      <c r="Z152" s="26">
        <f t="shared" ref="Z152:Z156" si="118">AVERAGE(Z133:AD133)</f>
        <v>0</v>
      </c>
      <c r="AA152" s="26">
        <f t="shared" ref="AA152:AA156" si="119">AVERAGE(AA133:AE133)</f>
        <v>0</v>
      </c>
      <c r="AB152" s="26">
        <f t="shared" ref="AB152:AB156" si="120">AVERAGE(AB133:AF133)</f>
        <v>0</v>
      </c>
      <c r="AC152" s="26">
        <f t="shared" ref="AC152:AC156" si="121">AVERAGE(AC133:AG133)</f>
        <v>0</v>
      </c>
      <c r="AD152" s="26">
        <f t="shared" ref="AD152:AD156" si="122">AVERAGE(AD133:AH133)</f>
        <v>0</v>
      </c>
      <c r="AE152" s="26">
        <f t="shared" ref="AE152:AE156" si="123">AVERAGE(AE133:AI133)</f>
        <v>0</v>
      </c>
      <c r="AF152" s="26">
        <f t="shared" ref="AF152:AF156" si="124">AVERAGE(AF133:AJ133)</f>
        <v>0</v>
      </c>
      <c r="AG152" s="26">
        <f t="shared" ref="AG152:AG156" si="125">AVERAGE(AG133:AK133)</f>
        <v>0</v>
      </c>
      <c r="AH152" s="26">
        <f t="shared" ref="AH152:AH156" si="126">AVERAGE(AH133:AL133)</f>
        <v>0</v>
      </c>
      <c r="AI152" s="26">
        <f t="shared" ref="AI152:AI156" si="127">AVERAGE(AI133:AM133)</f>
        <v>0</v>
      </c>
      <c r="AJ152" s="26">
        <f t="shared" ref="AJ152:AJ156" si="128">AVERAGE(AJ133:AN133)</f>
        <v>0</v>
      </c>
      <c r="AK152" s="26">
        <f t="shared" ref="AK152:AK156" si="129">AVERAGE(AK133:AO133)</f>
        <v>0</v>
      </c>
      <c r="AL152" s="26">
        <f t="shared" ref="AL152:AL156" si="130">AVERAGE(AL133:AP133)</f>
        <v>0</v>
      </c>
      <c r="AM152" s="26">
        <f t="shared" ref="AM152:AM156" si="131">AVERAGE(AM133:AQ133)</f>
        <v>0</v>
      </c>
      <c r="AN152" s="26">
        <f t="shared" ref="AN152:AN156" si="132">AVERAGE(AN133:AR133)</f>
        <v>0</v>
      </c>
      <c r="AO152" s="26">
        <f t="shared" ref="AO152:AO156" si="133">AVERAGE(AO133:AS133)</f>
        <v>0</v>
      </c>
      <c r="AP152" s="26">
        <f t="shared" ref="AP152:AP156" si="134">AVERAGE(AP133:AT133)</f>
        <v>0</v>
      </c>
    </row>
    <row r="153" spans="1:42">
      <c r="A153" t="s">
        <v>2378</v>
      </c>
      <c r="B153" s="26" cm="1">
        <f t="array" ref="B153">(SUMPRODUCT(IFERROR(VLOOKUP(B$143-$B$86:$AP$86,'Survival Rate'!$A$2:$D$54,4,FALSE),0),$B96:$AP96))</f>
        <v>6.47973930769737</v>
      </c>
      <c r="C153" s="26" cm="1">
        <f t="array" ref="C153">(SUMPRODUCT(IFERROR(VLOOKUP(C$143-$B$86:$AP$86,'Survival Rate'!$A$2:$D$54,4,FALSE),0),$B96:$AP96))</f>
        <v>7.0547675483152</v>
      </c>
      <c r="D153" s="26" cm="1">
        <f t="array" ref="D153">(SUMPRODUCT(IFERROR(VLOOKUP(D$143-$B$86:$AP$86,'Survival Rate'!$A$2:$D$54,4,FALSE),0),$B96:$AP96))</f>
        <v>7.65120355759405</v>
      </c>
      <c r="E153" s="26" cm="1">
        <f t="array" ref="E153">(SUMPRODUCT(IFERROR(VLOOKUP(E$143-$B$86:$AP$86,'Survival Rate'!$A$2:$D$54,4,FALSE),0),$B96:$AP96))</f>
        <v>8.22301122495652</v>
      </c>
      <c r="F153" s="26" cm="1">
        <f t="array" ref="F153">(SUMPRODUCT(IFERROR(VLOOKUP(F$143-$B$86:$AP$86,'Survival Rate'!$A$2:$D$54,4,FALSE),0),$B96:$AP96))</f>
        <v>8.76075519799036</v>
      </c>
      <c r="G153" s="26" cm="1">
        <f t="array" ref="G153">(SUMPRODUCT(IFERROR(VLOOKUP(G$143-$B$86:$AP$86,'Survival Rate'!$A$2:$D$54,4,FALSE),0),$B96:$AP96))</f>
        <v>9.28043238046982</v>
      </c>
      <c r="H153" s="26" cm="1">
        <f t="array" ref="H153">(SUMPRODUCT(IFERROR(VLOOKUP(H$143-$B$86:$AP$86,'Survival Rate'!$A$2:$D$54,4,FALSE),0),$B96:$AP96))</f>
        <v>9.83058149904092</v>
      </c>
      <c r="I153" s="26" cm="1">
        <f t="array" ref="I153">(SUMPRODUCT(IFERROR(VLOOKUP(I$143-$B$86:$AP$86,'Survival Rate'!$A$2:$D$54,4,FALSE),0),$B96:$AP96))</f>
        <v>10.3539156722529</v>
      </c>
      <c r="J153" s="26" cm="1">
        <f t="array" ref="J153">(SUMPRODUCT(IFERROR(VLOOKUP(J$143-$B$86:$AP$86,'Survival Rate'!$A$2:$D$54,4,FALSE),0),$B96:$AP96))</f>
        <v>10.826996547901</v>
      </c>
      <c r="K153" s="26" cm="1">
        <f t="array" ref="K153">(SUMPRODUCT(IFERROR(VLOOKUP(K$143-$B$86:$AP$86,'Survival Rate'!$A$2:$D$54,4,FALSE),0),$B96:$AP96))</f>
        <v>11.2296528411529</v>
      </c>
      <c r="L153" s="26" cm="1">
        <f t="array" ref="L153">(SUMPRODUCT(IFERROR(VLOOKUP(L$143-$B$86:$AP$86,'Survival Rate'!$A$2:$D$54,4,FALSE),0),$B96:$AP96))</f>
        <v>11.5726591922661</v>
      </c>
      <c r="M153" s="26" cm="1">
        <f t="array" ref="M153">(SUMPRODUCT(IFERROR(VLOOKUP(M$143-$B$86:$AP$86,'Survival Rate'!$A$2:$D$54,4,FALSE),0),$B96:$AP96))</f>
        <v>11.8628389422348</v>
      </c>
      <c r="N153" s="26" cm="1">
        <f t="array" ref="N153">(SUMPRODUCT(IFERROR(VLOOKUP(N$143-$B$86:$AP$86,'Survival Rate'!$A$2:$D$54,4,FALSE),0),$B96:$AP96))</f>
        <v>12.1140892837066</v>
      </c>
      <c r="O153" s="26" cm="1">
        <f t="array" ref="O153">(SUMPRODUCT(IFERROR(VLOOKUP(O$143-$B$86:$AP$86,'Survival Rate'!$A$2:$D$54,4,FALSE),0),$B96:$AP96))</f>
        <v>12.3396458815162</v>
      </c>
      <c r="P153" s="26" cm="1">
        <f t="array" ref="P153">(SUMPRODUCT(IFERROR(VLOOKUP(P$143-$B$86:$AP$86,'Survival Rate'!$A$2:$D$54,4,FALSE),0),$B96:$AP96))</f>
        <v>12.5974369609003</v>
      </c>
      <c r="Q153" s="26" cm="1">
        <f t="array" ref="Q153">(SUMPRODUCT(IFERROR(VLOOKUP(Q$143-$B$86:$AP$86,'Survival Rate'!$A$2:$D$54,4,FALSE),0),$B96:$AP96))</f>
        <v>12.8044185741568</v>
      </c>
      <c r="R153" s="26" cm="1">
        <f t="array" ref="R153">(SUMPRODUCT(IFERROR(VLOOKUP(R$143-$B$86:$AP$86,'Survival Rate'!$A$2:$D$54,4,FALSE),0),$B96:$AP96))</f>
        <v>12.8353461250804</v>
      </c>
      <c r="S153" s="26" cm="1">
        <f t="array" ref="S153">(SUMPRODUCT(IFERROR(VLOOKUP(S$143-$B$86:$AP$86,'Survival Rate'!$A$2:$D$54,4,FALSE),0),$B96:$AP96))</f>
        <v>12.7521849269175</v>
      </c>
      <c r="T153" s="26" cm="1">
        <f t="array" ref="T153">(SUMPRODUCT(IFERROR(VLOOKUP(T$143-$B$86:$AP$86,'Survival Rate'!$A$2:$D$54,4,FALSE),0),$B96:$AP96))</f>
        <v>12.6365878533752</v>
      </c>
      <c r="U153" s="26" cm="1">
        <f t="array" ref="U153">(SUMPRODUCT(IFERROR(VLOOKUP(U$143-$B$86:$AP$86,'Survival Rate'!$A$2:$D$54,4,FALSE),0),$B96:$AP96))</f>
        <v>12.4540522707788</v>
      </c>
      <c r="V153" s="26" cm="1">
        <f t="array" ref="V153">(SUMPRODUCT(IFERROR(VLOOKUP(V$143-$B$86:$AP$86,'Survival Rate'!$A$2:$D$54,4,FALSE),0),$B96:$AP96))</f>
        <v>12.2402681152192</v>
      </c>
      <c r="W153" s="26" cm="1">
        <f t="array" ref="W153">(SUMPRODUCT(IFERROR(VLOOKUP(W$143-$B$86:$AP$86,'Survival Rate'!$A$2:$D$54,4,FALSE),0),$B96:$AP96))</f>
        <v>11.9558337832993</v>
      </c>
      <c r="X153" s="26" cm="1">
        <f t="array" ref="X153">(SUMPRODUCT(IFERROR(VLOOKUP(X$143-$B$86:$AP$86,'Survival Rate'!$A$2:$D$54,4,FALSE),0),$B96:$AP96))</f>
        <v>11.6014916721045</v>
      </c>
      <c r="Y153" s="26" cm="1">
        <f t="array" ref="Y153">(SUMPRODUCT(IFERROR(VLOOKUP(Y$143-$B$86:$AP$86,'Survival Rate'!$A$2:$D$54,4,FALSE),0),$B96:$AP96))</f>
        <v>11.1691830333196</v>
      </c>
      <c r="Z153" s="26" cm="1">
        <f t="array" ref="Z153">(SUMPRODUCT(IFERROR(VLOOKUP(Z$143-$B$86:$AP$86,'Survival Rate'!$A$2:$D$54,4,FALSE),0),$B96:$AP96))</f>
        <v>10.6224870311239</v>
      </c>
      <c r="AA153" s="26" cm="1">
        <f t="array" ref="AA153">(SUMPRODUCT(IFERROR(VLOOKUP(AA$143-$B$86:$AP$86,'Survival Rate'!$A$2:$D$54,4,FALSE),0),$B96:$AP96))</f>
        <v>10.0351192399495</v>
      </c>
      <c r="AB153" s="26" cm="1">
        <f t="array" ref="AB153">(SUMPRODUCT(IFERROR(VLOOKUP(AB$143-$B$86:$AP$86,'Survival Rate'!$A$2:$D$54,4,FALSE),0),$B96:$AP96))</f>
        <v>9.23446085600931</v>
      </c>
      <c r="AC153" s="26" cm="1">
        <f t="array" ref="AC153">(SUMPRODUCT(IFERROR(VLOOKUP(AC$143-$B$86:$AP$86,'Survival Rate'!$A$2:$D$54,4,FALSE),0),$B96:$AP96))</f>
        <v>8.36043673209645</v>
      </c>
      <c r="AD153" s="26" cm="1">
        <f t="array" ref="AD153">(SUMPRODUCT(IFERROR(VLOOKUP(AD$143-$B$86:$AP$86,'Survival Rate'!$A$2:$D$54,4,FALSE),0),$B96:$AP96))</f>
        <v>7.53443502995781</v>
      </c>
      <c r="AE153" s="26" cm="1">
        <f t="array" ref="AE153">(SUMPRODUCT(IFERROR(VLOOKUP(AE$143-$B$86:$AP$86,'Survival Rate'!$A$2:$D$54,4,FALSE),0),$B96:$AP96))</f>
        <v>6.72542748612466</v>
      </c>
      <c r="AF153" s="26" cm="1">
        <f t="array" ref="AF153">(SUMPRODUCT(IFERROR(VLOOKUP(AF$143-$B$86:$AP$86,'Survival Rate'!$A$2:$D$54,4,FALSE),0),$B96:$AP96))</f>
        <v>5.98184906060435</v>
      </c>
      <c r="AG153" s="26" cm="1">
        <f t="array" ref="AG153">(SUMPRODUCT(IFERROR(VLOOKUP(AG$143-$B$86:$AP$86,'Survival Rate'!$A$2:$D$54,4,FALSE),0),$B96:$AP96))</f>
        <v>5.26773262613383</v>
      </c>
      <c r="AH153" s="26" cm="1">
        <f t="array" ref="AH153">(SUMPRODUCT(IFERROR(VLOOKUP(AH$143-$B$86:$AP$86,'Survival Rate'!$A$2:$D$54,4,FALSE),0),$B96:$AP96))</f>
        <v>4.57906633862571</v>
      </c>
      <c r="AI153" s="26" cm="1">
        <f t="array" ref="AI153">(SUMPRODUCT(IFERROR(VLOOKUP(AI$143-$B$86:$AP$86,'Survival Rate'!$A$2:$D$54,4,FALSE),0),$B96:$AP96))</f>
        <v>3.91057776132105</v>
      </c>
      <c r="AJ153" s="26" cm="1">
        <f t="array" ref="AJ153">(SUMPRODUCT(IFERROR(VLOOKUP(AJ$143-$B$86:$AP$86,'Survival Rate'!$A$2:$D$54,4,FALSE),0),$B96:$AP96))</f>
        <v>3.29242698783064</v>
      </c>
      <c r="AK153" s="26" cm="1">
        <f t="array" ref="AK153">(SUMPRODUCT(IFERROR(VLOOKUP(AK$143-$B$86:$AP$86,'Survival Rate'!$A$2:$D$54,4,FALSE),0),$B96:$AP96))</f>
        <v>2.70695606358086</v>
      </c>
      <c r="AL153" s="26" cm="1">
        <f t="array" ref="AL153">(SUMPRODUCT(IFERROR(VLOOKUP(AL$143-$B$86:$AP$86,'Survival Rate'!$A$2:$D$54,4,FALSE),0),$B96:$AP96))</f>
        <v>2.1426914804929</v>
      </c>
      <c r="AM153" s="26" cm="1">
        <f t="array" ref="AM153">(SUMPRODUCT(IFERROR(VLOOKUP(AM$143-$B$86:$AP$86,'Survival Rate'!$A$2:$D$54,4,FALSE),0),$B96:$AP96))</f>
        <v>1.86348656275768</v>
      </c>
      <c r="AN153" s="26" cm="1">
        <f t="array" ref="AN153">(SUMPRODUCT(IFERROR(VLOOKUP(AN$143-$B$86:$AP$86,'Survival Rate'!$A$2:$D$54,4,FALSE),0),$B96:$AP96))</f>
        <v>1.5780772658684</v>
      </c>
      <c r="AO153" s="26" cm="1">
        <f t="array" ref="AO153">(SUMPRODUCT(IFERROR(VLOOKUP(AO$143-$B$86:$AP$86,'Survival Rate'!$A$2:$D$54,4,FALSE),0),$B96:$AP96))</f>
        <v>1.3268921229493</v>
      </c>
      <c r="AP153" s="26" cm="1">
        <f t="array" ref="AP153">(SUMPRODUCT(IFERROR(VLOOKUP(AP$143-$B$86:$AP$86,'Survival Rate'!$A$2:$D$54,4,FALSE),0),$B96:$AP96))</f>
        <v>1.03713004316239</v>
      </c>
    </row>
    <row r="154" spans="1:42">
      <c r="A154" t="s">
        <v>2379</v>
      </c>
      <c r="B154" s="26" cm="1">
        <f t="array" ref="B154">(SUMPRODUCT(IFERROR(VLOOKUP(B$143-$B$86:$AP$86,'Survival Rate'!$A$2:$D$54,4,FALSE),0),$B97:$AP97))</f>
        <v>51.7311242874111</v>
      </c>
      <c r="C154" s="26" cm="1">
        <f t="array" ref="C154">(SUMPRODUCT(IFERROR(VLOOKUP(C$143-$B$86:$AP$86,'Survival Rate'!$A$2:$D$54,4,FALSE),0),$B97:$AP97))</f>
        <v>66.3058957843094</v>
      </c>
      <c r="D154" s="26" cm="1">
        <f t="array" ref="D154">(SUMPRODUCT(IFERROR(VLOOKUP(D$143-$B$86:$AP$86,'Survival Rate'!$A$2:$D$54,4,FALSE),0),$B97:$AP97))</f>
        <v>82.308595199664</v>
      </c>
      <c r="E154" s="26" cm="1">
        <f t="array" ref="E154">(SUMPRODUCT(IFERROR(VLOOKUP(E$143-$B$86:$AP$86,'Survival Rate'!$A$2:$D$54,4,FALSE),0),$B97:$AP97))</f>
        <v>99.2926597774954</v>
      </c>
      <c r="F154" s="26" cm="1">
        <f t="array" ref="F154">(SUMPRODUCT(IFERROR(VLOOKUP(F$143-$B$86:$AP$86,'Survival Rate'!$A$2:$D$54,4,FALSE),0),$B97:$AP97))</f>
        <v>117.798491716192</v>
      </c>
      <c r="G154" s="26" cm="1">
        <f t="array" ref="G154">(SUMPRODUCT(IFERROR(VLOOKUP(G$143-$B$86:$AP$86,'Survival Rate'!$A$2:$D$54,4,FALSE),0),$B97:$AP97))</f>
        <v>142.511433359283</v>
      </c>
      <c r="H154" s="26" cm="1">
        <f t="array" ref="H154">(SUMPRODUCT(IFERROR(VLOOKUP(H$143-$B$86:$AP$86,'Survival Rate'!$A$2:$D$54,4,FALSE),0),$B97:$AP97))</f>
        <v>174.908647249498</v>
      </c>
      <c r="I154" s="26" cm="1">
        <f t="array" ref="I154">(SUMPRODUCT(IFERROR(VLOOKUP(I$143-$B$86:$AP$86,'Survival Rate'!$A$2:$D$54,4,FALSE),0),$B97:$AP97))</f>
        <v>215.919088837137</v>
      </c>
      <c r="J154" s="26" cm="1">
        <f t="array" ref="J154">(SUMPRODUCT(IFERROR(VLOOKUP(J$143-$B$86:$AP$86,'Survival Rate'!$A$2:$D$54,4,FALSE),0),$B97:$AP97))</f>
        <v>264.627160522503</v>
      </c>
      <c r="K154" s="26" cm="1">
        <f t="array" ref="K154">(SUMPRODUCT(IFERROR(VLOOKUP(K$143-$B$86:$AP$86,'Survival Rate'!$A$2:$D$54,4,FALSE),0),$B97:$AP97))</f>
        <v>323.200805936311</v>
      </c>
      <c r="L154" s="26" cm="1">
        <f t="array" ref="L154">(SUMPRODUCT(IFERROR(VLOOKUP(L$143-$B$86:$AP$86,'Survival Rate'!$A$2:$D$54,4,FALSE),0),$B97:$AP97))</f>
        <v>393.96659409009</v>
      </c>
      <c r="M154" s="26" cm="1">
        <f t="array" ref="M154">(SUMPRODUCT(IFERROR(VLOOKUP(M$143-$B$86:$AP$86,'Survival Rate'!$A$2:$D$54,4,FALSE),0),$B97:$AP97))</f>
        <v>476.026599447488</v>
      </c>
      <c r="N154" s="26" cm="1">
        <f t="array" ref="N154">(SUMPRODUCT(IFERROR(VLOOKUP(N$143-$B$86:$AP$86,'Survival Rate'!$A$2:$D$54,4,FALSE),0),$B97:$AP97))</f>
        <v>576.068924052047</v>
      </c>
      <c r="O154" s="26" cm="1">
        <f t="array" ref="O154">(SUMPRODUCT(IFERROR(VLOOKUP(O$143-$B$86:$AP$86,'Survival Rate'!$A$2:$D$54,4,FALSE),0),$B97:$AP97))</f>
        <v>697.017536445649</v>
      </c>
      <c r="P154" s="26" cm="1">
        <f t="array" ref="P154">(SUMPRODUCT(IFERROR(VLOOKUP(P$143-$B$86:$AP$86,'Survival Rate'!$A$2:$D$54,4,FALSE),0),$B97:$AP97))</f>
        <v>843.202323205578</v>
      </c>
      <c r="Q154" s="26" cm="1">
        <f t="array" ref="Q154">(SUMPRODUCT(IFERROR(VLOOKUP(Q$143-$B$86:$AP$86,'Survival Rate'!$A$2:$D$54,4,FALSE),0),$B97:$AP97))</f>
        <v>1021.01950983664</v>
      </c>
      <c r="R154" s="26" cm="1">
        <f t="array" ref="R154">(SUMPRODUCT(IFERROR(VLOOKUP(R$143-$B$86:$AP$86,'Survival Rate'!$A$2:$D$54,4,FALSE),0),$B97:$AP97))</f>
        <v>1240.85885758781</v>
      </c>
      <c r="S154" s="26" cm="1">
        <f t="array" ref="S154">(SUMPRODUCT(IFERROR(VLOOKUP(S$143-$B$86:$AP$86,'Survival Rate'!$A$2:$D$54,4,FALSE),0),$B97:$AP97))</f>
        <v>1483.86701957199</v>
      </c>
      <c r="T154" s="26" cm="1">
        <f t="array" ref="T154">(SUMPRODUCT(IFERROR(VLOOKUP(T$143-$B$86:$AP$86,'Survival Rate'!$A$2:$D$54,4,FALSE),0),$B97:$AP97))</f>
        <v>1732.75821063686</v>
      </c>
      <c r="U154" s="26" cm="1">
        <f t="array" ref="U154">(SUMPRODUCT(IFERROR(VLOOKUP(U$143-$B$86:$AP$86,'Survival Rate'!$A$2:$D$54,4,FALSE),0),$B97:$AP97))</f>
        <v>1976.07955962503</v>
      </c>
      <c r="V154" s="26" cm="1">
        <f t="array" ref="V154">(SUMPRODUCT(IFERROR(VLOOKUP(V$143-$B$86:$AP$86,'Survival Rate'!$A$2:$D$54,4,FALSE),0),$B97:$AP97))</f>
        <v>2223.4852626472</v>
      </c>
      <c r="W154" s="26" cm="1">
        <f t="array" ref="W154">(SUMPRODUCT(IFERROR(VLOOKUP(W$143-$B$86:$AP$86,'Survival Rate'!$A$2:$D$54,4,FALSE),0),$B97:$AP97))</f>
        <v>2446.52979763038</v>
      </c>
      <c r="X154" s="26" cm="1">
        <f t="array" ref="X154">(SUMPRODUCT(IFERROR(VLOOKUP(X$143-$B$86:$AP$86,'Survival Rate'!$A$2:$D$54,4,FALSE),0),$B97:$AP97))</f>
        <v>2635.95722007293</v>
      </c>
      <c r="Y154" s="26" cm="1">
        <f t="array" ref="Y154">(SUMPRODUCT(IFERROR(VLOOKUP(Y$143-$B$86:$AP$86,'Survival Rate'!$A$2:$D$54,4,FALSE),0),$B97:$AP97))</f>
        <v>2801.31923376368</v>
      </c>
      <c r="Z154" s="26" cm="1">
        <f t="array" ref="Z154">(SUMPRODUCT(IFERROR(VLOOKUP(Z$143-$B$86:$AP$86,'Survival Rate'!$A$2:$D$54,4,FALSE),0),$B97:$AP97))</f>
        <v>2967.05417189942</v>
      </c>
      <c r="AA154" s="26" cm="1">
        <f t="array" ref="AA154">(SUMPRODUCT(IFERROR(VLOOKUP(AA$143-$B$86:$AP$86,'Survival Rate'!$A$2:$D$54,4,FALSE),0),$B97:$AP97))</f>
        <v>3153.03701172542</v>
      </c>
      <c r="AB154" s="26" cm="1">
        <f t="array" ref="AB154">(SUMPRODUCT(IFERROR(VLOOKUP(AB$143-$B$86:$AP$86,'Survival Rate'!$A$2:$D$54,4,FALSE),0),$B97:$AP97))</f>
        <v>3353.74560618862</v>
      </c>
      <c r="AC154" s="26" cm="1">
        <f t="array" ref="AC154">(SUMPRODUCT(IFERROR(VLOOKUP(AC$143-$B$86:$AP$86,'Survival Rate'!$A$2:$D$54,4,FALSE),0),$B97:$AP97))</f>
        <v>3560.26268005736</v>
      </c>
      <c r="AD154" s="26" cm="1">
        <f t="array" ref="AD154">(SUMPRODUCT(IFERROR(VLOOKUP(AD$143-$B$86:$AP$86,'Survival Rate'!$A$2:$D$54,4,FALSE),0),$B97:$AP97))</f>
        <v>3784.91176262554</v>
      </c>
      <c r="AE154" s="26" cm="1">
        <f t="array" ref="AE154">(SUMPRODUCT(IFERROR(VLOOKUP(AE$143-$B$86:$AP$86,'Survival Rate'!$A$2:$D$54,4,FALSE),0),$B97:$AP97))</f>
        <v>4026.19768489237</v>
      </c>
      <c r="AF154" s="26" cm="1">
        <f t="array" ref="AF154">(SUMPRODUCT(IFERROR(VLOOKUP(AF$143-$B$86:$AP$86,'Survival Rate'!$A$2:$D$54,4,FALSE),0),$B97:$AP97))</f>
        <v>4286.49119428832</v>
      </c>
      <c r="AG154" s="26" cm="1">
        <f t="array" ref="AG154">(SUMPRODUCT(IFERROR(VLOOKUP(AG$143-$B$86:$AP$86,'Survival Rate'!$A$2:$D$54,4,FALSE),0),$B97:$AP97))</f>
        <v>4557.21495532978</v>
      </c>
      <c r="AH154" s="26" cm="1">
        <f t="array" ref="AH154">(SUMPRODUCT(IFERROR(VLOOKUP(AH$143-$B$86:$AP$86,'Survival Rate'!$A$2:$D$54,4,FALSE),0),$B97:$AP97))</f>
        <v>4787.73605200977</v>
      </c>
      <c r="AI154" s="26" cm="1">
        <f t="array" ref="AI154">(SUMPRODUCT(IFERROR(VLOOKUP(AI$143-$B$86:$AP$86,'Survival Rate'!$A$2:$D$54,4,FALSE),0),$B97:$AP97))</f>
        <v>5003.0792559035</v>
      </c>
      <c r="AJ154" s="26" cm="1">
        <f t="array" ref="AJ154">(SUMPRODUCT(IFERROR(VLOOKUP(AJ$143-$B$86:$AP$86,'Survival Rate'!$A$2:$D$54,4,FALSE),0),$B97:$AP97))</f>
        <v>5251.34463977361</v>
      </c>
      <c r="AK154" s="26" cm="1">
        <f t="array" ref="AK154">(SUMPRODUCT(IFERROR(VLOOKUP(AK$143-$B$86:$AP$86,'Survival Rate'!$A$2:$D$54,4,FALSE),0),$B97:$AP97))</f>
        <v>5506.44832607645</v>
      </c>
      <c r="AL154" s="26" cm="1">
        <f t="array" ref="AL154">(SUMPRODUCT(IFERROR(VLOOKUP(AL$143-$B$86:$AP$86,'Survival Rate'!$A$2:$D$54,4,FALSE),0),$B97:$AP97))</f>
        <v>5706.36678040975</v>
      </c>
      <c r="AM154" s="26" cm="1">
        <f t="array" ref="AM154">(SUMPRODUCT(IFERROR(VLOOKUP(AM$143-$B$86:$AP$86,'Survival Rate'!$A$2:$D$54,4,FALSE),0),$B97:$AP97))</f>
        <v>5847.64681593187</v>
      </c>
      <c r="AN154" s="26" cm="1">
        <f t="array" ref="AN154">(SUMPRODUCT(IFERROR(VLOOKUP(AN$143-$B$86:$AP$86,'Survival Rate'!$A$2:$D$54,4,FALSE),0),$B97:$AP97))</f>
        <v>5964.75247504961</v>
      </c>
      <c r="AO154" s="26" cm="1">
        <f t="array" ref="AO154">(SUMPRODUCT(IFERROR(VLOOKUP(AO$143-$B$86:$AP$86,'Survival Rate'!$A$2:$D$54,4,FALSE),0),$B97:$AP97))</f>
        <v>6099.35858914442</v>
      </c>
      <c r="AP154" s="26" cm="1">
        <f t="array" ref="AP154">(SUMPRODUCT(IFERROR(VLOOKUP(AP$143-$B$86:$AP$86,'Survival Rate'!$A$2:$D$54,4,FALSE),0),$B97:$AP97))</f>
        <v>6170.09395694185</v>
      </c>
    </row>
    <row r="155" spans="1:42">
      <c r="A155" t="s">
        <v>2380</v>
      </c>
      <c r="B155" s="26" cm="1">
        <f t="array" ref="B155">(SUMPRODUCT(IFERROR(VLOOKUP(B$143-$B$86:$AP$86,'Survival Rate'!$A$2:$D$54,4,FALSE),0),$B98:$AP98))</f>
        <v>504.718239831283</v>
      </c>
      <c r="C155" s="26" cm="1">
        <f t="array" ref="C155">(SUMPRODUCT(IFERROR(VLOOKUP(C$143-$B$86:$AP$86,'Survival Rate'!$A$2:$D$54,4,FALSE),0),$B98:$AP98))</f>
        <v>550.616153343132</v>
      </c>
      <c r="D155" s="26" cm="1">
        <f t="array" ref="D155">(SUMPRODUCT(IFERROR(VLOOKUP(D$143-$B$86:$AP$86,'Survival Rate'!$A$2:$D$54,4,FALSE),0),$B98:$AP98))</f>
        <v>595.621965860513</v>
      </c>
      <c r="E155" s="26" cm="1">
        <f t="array" ref="E155">(SUMPRODUCT(IFERROR(VLOOKUP(E$143-$B$86:$AP$86,'Survival Rate'!$A$2:$D$54,4,FALSE),0),$B98:$AP98))</f>
        <v>640.384471360683</v>
      </c>
      <c r="F155" s="26" cm="1">
        <f t="array" ref="F155">(SUMPRODUCT(IFERROR(VLOOKUP(F$143-$B$86:$AP$86,'Survival Rate'!$A$2:$D$54,4,FALSE),0),$B98:$AP98))</f>
        <v>688.015176371758</v>
      </c>
      <c r="G155" s="26" cm="1">
        <f t="array" ref="G155">(SUMPRODUCT(IFERROR(VLOOKUP(G$143-$B$86:$AP$86,'Survival Rate'!$A$2:$D$54,4,FALSE),0),$B98:$AP98))</f>
        <v>738.40271857327</v>
      </c>
      <c r="H155" s="26" cm="1">
        <f t="array" ref="H155">(SUMPRODUCT(IFERROR(VLOOKUP(H$143-$B$86:$AP$86,'Survival Rate'!$A$2:$D$54,4,FALSE),0),$B98:$AP98))</f>
        <v>783.870115325988</v>
      </c>
      <c r="I155" s="26" cm="1">
        <f t="array" ref="I155">(SUMPRODUCT(IFERROR(VLOOKUP(I$143-$B$86:$AP$86,'Survival Rate'!$A$2:$D$54,4,FALSE),0),$B98:$AP98))</f>
        <v>823.430772143027</v>
      </c>
      <c r="J155" s="26" cm="1">
        <f t="array" ref="J155">(SUMPRODUCT(IFERROR(VLOOKUP(J$143-$B$86:$AP$86,'Survival Rate'!$A$2:$D$54,4,FALSE),0),$B98:$AP98))</f>
        <v>854.49182406504</v>
      </c>
      <c r="K155" s="26" cm="1">
        <f t="array" ref="K155">(SUMPRODUCT(IFERROR(VLOOKUP(K$143-$B$86:$AP$86,'Survival Rate'!$A$2:$D$54,4,FALSE),0),$B98:$AP98))</f>
        <v>880.936993910104</v>
      </c>
      <c r="L155" s="26" cm="1">
        <f t="array" ref="L155">(SUMPRODUCT(IFERROR(VLOOKUP(L$143-$B$86:$AP$86,'Survival Rate'!$A$2:$D$54,4,FALSE),0),$B98:$AP98))</f>
        <v>905.912756300638</v>
      </c>
      <c r="M155" s="26" cm="1">
        <f t="array" ref="M155">(SUMPRODUCT(IFERROR(VLOOKUP(M$143-$B$86:$AP$86,'Survival Rate'!$A$2:$D$54,4,FALSE),0),$B98:$AP98))</f>
        <v>931.241185642516</v>
      </c>
      <c r="N155" s="26" cm="1">
        <f t="array" ref="N155">(SUMPRODUCT(IFERROR(VLOOKUP(N$143-$B$86:$AP$86,'Survival Rate'!$A$2:$D$54,4,FALSE),0),$B98:$AP98))</f>
        <v>959.623158743961</v>
      </c>
      <c r="O155" s="26" cm="1">
        <f t="array" ref="O155">(SUMPRODUCT(IFERROR(VLOOKUP(O$143-$B$86:$AP$86,'Survival Rate'!$A$2:$D$54,4,FALSE),0),$B98:$AP98))</f>
        <v>988.903027687213</v>
      </c>
      <c r="P155" s="26" cm="1">
        <f t="array" ref="P155">(SUMPRODUCT(IFERROR(VLOOKUP(P$143-$B$86:$AP$86,'Survival Rate'!$A$2:$D$54,4,FALSE),0),$B98:$AP98))</f>
        <v>1012.14368496799</v>
      </c>
      <c r="Q155" s="26" cm="1">
        <f t="array" ref="Q155">(SUMPRODUCT(IFERROR(VLOOKUP(Q$143-$B$86:$AP$86,'Survival Rate'!$A$2:$D$54,4,FALSE),0),$B98:$AP98))</f>
        <v>1025.9169178463</v>
      </c>
      <c r="R155" s="26" cm="1">
        <f t="array" ref="R155">(SUMPRODUCT(IFERROR(VLOOKUP(R$143-$B$86:$AP$86,'Survival Rate'!$A$2:$D$54,4,FALSE),0),$B98:$AP98))</f>
        <v>1031.76143474351</v>
      </c>
      <c r="S155" s="26" cm="1">
        <f t="array" ref="S155">(SUMPRODUCT(IFERROR(VLOOKUP(S$143-$B$86:$AP$86,'Survival Rate'!$A$2:$D$54,4,FALSE),0),$B98:$AP98))</f>
        <v>1031.70630193162</v>
      </c>
      <c r="T155" s="26" cm="1">
        <f t="array" ref="T155">(SUMPRODUCT(IFERROR(VLOOKUP(T$143-$B$86:$AP$86,'Survival Rate'!$A$2:$D$54,4,FALSE),0),$B98:$AP98))</f>
        <v>1025.93993575671</v>
      </c>
      <c r="U155" s="26" cm="1">
        <f t="array" ref="U155">(SUMPRODUCT(IFERROR(VLOOKUP(U$143-$B$86:$AP$86,'Survival Rate'!$A$2:$D$54,4,FALSE),0),$B98:$AP98))</f>
        <v>1022.65831684792</v>
      </c>
      <c r="V155" s="26" cm="1">
        <f t="array" ref="V155">(SUMPRODUCT(IFERROR(VLOOKUP(V$143-$B$86:$AP$86,'Survival Rate'!$A$2:$D$54,4,FALSE),0),$B98:$AP98))</f>
        <v>1014.87464493218</v>
      </c>
      <c r="W155" s="26" cm="1">
        <f t="array" ref="W155">(SUMPRODUCT(IFERROR(VLOOKUP(W$143-$B$86:$AP$86,'Survival Rate'!$A$2:$D$54,4,FALSE),0),$B98:$AP98))</f>
        <v>1001.11536563941</v>
      </c>
      <c r="X155" s="26" cm="1">
        <f t="array" ref="X155">(SUMPRODUCT(IFERROR(VLOOKUP(X$143-$B$86:$AP$86,'Survival Rate'!$A$2:$D$54,4,FALSE),0),$B98:$AP98))</f>
        <v>981.793476195824</v>
      </c>
      <c r="Y155" s="26" cm="1">
        <f t="array" ref="Y155">(SUMPRODUCT(IFERROR(VLOOKUP(Y$143-$B$86:$AP$86,'Survival Rate'!$A$2:$D$54,4,FALSE),0),$B98:$AP98))</f>
        <v>956.279694817987</v>
      </c>
      <c r="Z155" s="26" cm="1">
        <f t="array" ref="Z155">(SUMPRODUCT(IFERROR(VLOOKUP(Z$143-$B$86:$AP$86,'Survival Rate'!$A$2:$D$54,4,FALSE),0),$B98:$AP98))</f>
        <v>928.68064143918</v>
      </c>
      <c r="AA155" s="26" cm="1">
        <f t="array" ref="AA155">(SUMPRODUCT(IFERROR(VLOOKUP(AA$143-$B$86:$AP$86,'Survival Rate'!$A$2:$D$54,4,FALSE),0),$B98:$AP98))</f>
        <v>880.347431079405</v>
      </c>
      <c r="AB155" s="26" cm="1">
        <f t="array" ref="AB155">(SUMPRODUCT(IFERROR(VLOOKUP(AB$143-$B$86:$AP$86,'Survival Rate'!$A$2:$D$54,4,FALSE),0),$B98:$AP98))</f>
        <v>834.549027779375</v>
      </c>
      <c r="AC155" s="26" cm="1">
        <f t="array" ref="AC155">(SUMPRODUCT(IFERROR(VLOOKUP(AC$143-$B$86:$AP$86,'Survival Rate'!$A$2:$D$54,4,FALSE),0),$B98:$AP98))</f>
        <v>784.899866896146</v>
      </c>
      <c r="AD155" s="26" cm="1">
        <f t="array" ref="AD155">(SUMPRODUCT(IFERROR(VLOOKUP(AD$143-$B$86:$AP$86,'Survival Rate'!$A$2:$D$54,4,FALSE),0),$B98:$AP98))</f>
        <v>730.130344006918</v>
      </c>
      <c r="AE155" s="26" cm="1">
        <f t="array" ref="AE155">(SUMPRODUCT(IFERROR(VLOOKUP(AE$143-$B$86:$AP$86,'Survival Rate'!$A$2:$D$54,4,FALSE),0),$B98:$AP98))</f>
        <v>682.386307289095</v>
      </c>
      <c r="AF155" s="26" cm="1">
        <f t="array" ref="AF155">(SUMPRODUCT(IFERROR(VLOOKUP(AF$143-$B$86:$AP$86,'Survival Rate'!$A$2:$D$54,4,FALSE),0),$B98:$AP98))</f>
        <v>636.347181076047</v>
      </c>
      <c r="AG155" s="26" cm="1">
        <f t="array" ref="AG155">(SUMPRODUCT(IFERROR(VLOOKUP(AG$143-$B$86:$AP$86,'Survival Rate'!$A$2:$D$54,4,FALSE),0),$B98:$AP98))</f>
        <v>593.929772544618</v>
      </c>
      <c r="AH155" s="26" cm="1">
        <f t="array" ref="AH155">(SUMPRODUCT(IFERROR(VLOOKUP(AH$143-$B$86:$AP$86,'Survival Rate'!$A$2:$D$54,4,FALSE),0),$B98:$AP98))</f>
        <v>553.743027120939</v>
      </c>
      <c r="AI155" s="26" cm="1">
        <f t="array" ref="AI155">(SUMPRODUCT(IFERROR(VLOOKUP(AI$143-$B$86:$AP$86,'Survival Rate'!$A$2:$D$54,4,FALSE),0),$B98:$AP98))</f>
        <v>516.631241420603</v>
      </c>
      <c r="AJ155" s="26" cm="1">
        <f t="array" ref="AJ155">(SUMPRODUCT(IFERROR(VLOOKUP(AJ$143-$B$86:$AP$86,'Survival Rate'!$A$2:$D$54,4,FALSE),0),$B98:$AP98))</f>
        <v>481.038879547731</v>
      </c>
      <c r="AK155" s="26" cm="1">
        <f t="array" ref="AK155">(SUMPRODUCT(IFERROR(VLOOKUP(AK$143-$B$86:$AP$86,'Survival Rate'!$A$2:$D$54,4,FALSE),0),$B98:$AP98))</f>
        <v>440.751808911703</v>
      </c>
      <c r="AL155" s="26" cm="1">
        <f t="array" ref="AL155">(SUMPRODUCT(IFERROR(VLOOKUP(AL$143-$B$86:$AP$86,'Survival Rate'!$A$2:$D$54,4,FALSE),0),$B98:$AP98))</f>
        <v>410.119572255305</v>
      </c>
      <c r="AM155" s="26" cm="1">
        <f t="array" ref="AM155">(SUMPRODUCT(IFERROR(VLOOKUP(AM$143-$B$86:$AP$86,'Survival Rate'!$A$2:$D$54,4,FALSE),0),$B98:$AP98))</f>
        <v>376.899944162421</v>
      </c>
      <c r="AN155" s="26" cm="1">
        <f t="array" ref="AN155">(SUMPRODUCT(IFERROR(VLOOKUP(AN$143-$B$86:$AP$86,'Survival Rate'!$A$2:$D$54,4,FALSE),0),$B98:$AP98))</f>
        <v>344.223399221579</v>
      </c>
      <c r="AO155" s="26" cm="1">
        <f t="array" ref="AO155">(SUMPRODUCT(IFERROR(VLOOKUP(AO$143-$B$86:$AP$86,'Survival Rate'!$A$2:$D$54,4,FALSE),0),$B98:$AP98))</f>
        <v>315.726453279311</v>
      </c>
      <c r="AP155" s="26" cm="1">
        <f t="array" ref="AP155">(SUMPRODUCT(IFERROR(VLOOKUP(AP$143-$B$86:$AP$86,'Survival Rate'!$A$2:$D$54,4,FALSE),0),$B98:$AP98))</f>
        <v>288.39045424656</v>
      </c>
    </row>
    <row r="156" spans="1:42">
      <c r="A156" t="s">
        <v>2381</v>
      </c>
      <c r="B156" s="26">
        <f t="shared" si="93"/>
        <v>0</v>
      </c>
      <c r="C156" s="26">
        <f t="shared" si="94"/>
        <v>0</v>
      </c>
      <c r="D156" s="26">
        <f t="shared" si="95"/>
        <v>0</v>
      </c>
      <c r="E156" s="26">
        <f t="shared" si="96"/>
        <v>0</v>
      </c>
      <c r="F156" s="26">
        <f t="shared" si="97"/>
        <v>0</v>
      </c>
      <c r="G156" s="26">
        <f t="shared" si="98"/>
        <v>0</v>
      </c>
      <c r="H156" s="26">
        <f t="shared" si="99"/>
        <v>0</v>
      </c>
      <c r="I156" s="26">
        <f t="shared" si="100"/>
        <v>0</v>
      </c>
      <c r="J156" s="26">
        <f t="shared" si="102"/>
        <v>0</v>
      </c>
      <c r="K156" s="26">
        <f t="shared" si="103"/>
        <v>0</v>
      </c>
      <c r="L156" s="26">
        <f t="shared" si="104"/>
        <v>0</v>
      </c>
      <c r="M156" s="26">
        <f t="shared" si="105"/>
        <v>0</v>
      </c>
      <c r="N156" s="26">
        <f t="shared" si="106"/>
        <v>0</v>
      </c>
      <c r="O156" s="26">
        <f t="shared" si="107"/>
        <v>0</v>
      </c>
      <c r="P156" s="26">
        <f t="shared" si="108"/>
        <v>0</v>
      </c>
      <c r="Q156" s="26">
        <f t="shared" si="109"/>
        <v>0</v>
      </c>
      <c r="R156" s="26">
        <f t="shared" si="110"/>
        <v>0</v>
      </c>
      <c r="S156" s="26">
        <f t="shared" si="111"/>
        <v>68.8</v>
      </c>
      <c r="T156" s="26">
        <f t="shared" si="112"/>
        <v>71.2363636363636</v>
      </c>
      <c r="U156" s="26">
        <f t="shared" si="113"/>
        <v>94.0727272727273</v>
      </c>
      <c r="V156" s="26">
        <f t="shared" si="114"/>
        <v>98.9090909090909</v>
      </c>
      <c r="W156" s="26">
        <f t="shared" si="115"/>
        <v>262.145454545455</v>
      </c>
      <c r="X156" s="26">
        <f t="shared" si="116"/>
        <v>316.381818181818</v>
      </c>
      <c r="Y156" s="26">
        <f t="shared" si="117"/>
        <v>511.781818181818</v>
      </c>
      <c r="Z156" s="26">
        <f t="shared" si="118"/>
        <v>962.381818181818</v>
      </c>
      <c r="AA156" s="26">
        <f t="shared" si="119"/>
        <v>959.981818181818</v>
      </c>
      <c r="AB156" s="26">
        <f t="shared" si="120"/>
        <v>799.181818181818</v>
      </c>
      <c r="AC156" s="26">
        <f t="shared" si="121"/>
        <v>678.581818181818</v>
      </c>
      <c r="AD156" s="26">
        <f t="shared" si="122"/>
        <v>1009.34545454545</v>
      </c>
      <c r="AE156" s="26">
        <f t="shared" si="123"/>
        <v>3940.20909090909</v>
      </c>
      <c r="AF156" s="26">
        <f t="shared" si="124"/>
        <v>5283.27272727273</v>
      </c>
      <c r="AG156" s="26">
        <f t="shared" si="125"/>
        <v>6514.73636363636</v>
      </c>
      <c r="AH156" s="26">
        <f t="shared" si="126"/>
        <v>9107.3</v>
      </c>
      <c r="AI156" s="26">
        <f t="shared" si="127"/>
        <v>9879.7</v>
      </c>
      <c r="AJ156" s="26">
        <f t="shared" si="128"/>
        <v>7195.4</v>
      </c>
      <c r="AK156" s="26">
        <f t="shared" si="129"/>
        <v>6009.9</v>
      </c>
      <c r="AL156" s="26">
        <f t="shared" si="130"/>
        <v>4976</v>
      </c>
      <c r="AM156" s="26">
        <f t="shared" si="131"/>
        <v>2381</v>
      </c>
      <c r="AN156" s="26">
        <f t="shared" si="132"/>
        <v>1080</v>
      </c>
      <c r="AO156" s="26">
        <f t="shared" si="133"/>
        <v>450</v>
      </c>
      <c r="AP156" s="26">
        <f t="shared" si="134"/>
        <v>333.333333333333</v>
      </c>
    </row>
    <row r="157" spans="1:42">
      <c r="A157" t="s">
        <v>2382</v>
      </c>
      <c r="B157" s="26" cm="1">
        <f t="array" ref="B157">(SUMPRODUCT(IFERROR(VLOOKUP(B$143-$B$86:$AP$86,'Survival Rate'!$A$2:$D$54,4,FALSE),0),$B100:$AP100))</f>
        <v>1.47833404387561</v>
      </c>
      <c r="C157" s="26" cm="1">
        <f t="array" ref="C157">(SUMPRODUCT(IFERROR(VLOOKUP(C$143-$B$86:$AP$86,'Survival Rate'!$A$2:$D$54,4,FALSE),0),$B100:$AP100))</f>
        <v>1.6095250970844</v>
      </c>
      <c r="D157" s="26" cm="1">
        <f t="array" ref="D157">(SUMPRODUCT(IFERROR(VLOOKUP(D$143-$B$86:$AP$86,'Survival Rate'!$A$2:$D$54,4,FALSE),0),$B100:$AP100))</f>
        <v>1.74560027166169</v>
      </c>
      <c r="E157" s="26" cm="1">
        <f t="array" ref="E157">(SUMPRODUCT(IFERROR(VLOOKUP(E$143-$B$86:$AP$86,'Survival Rate'!$A$2:$D$54,4,FALSE),0),$B100:$AP100))</f>
        <v>1.87605656026683</v>
      </c>
      <c r="F157" s="26" cm="1">
        <f t="array" ref="F157">(SUMPRODUCT(IFERROR(VLOOKUP(F$143-$B$86:$AP$86,'Survival Rate'!$A$2:$D$54,4,FALSE),0),$B100:$AP100))</f>
        <v>1.99874131415507</v>
      </c>
      <c r="G157" s="26" cm="1">
        <f t="array" ref="G157">(SUMPRODUCT(IFERROR(VLOOKUP(G$143-$B$86:$AP$86,'Survival Rate'!$A$2:$D$54,4,FALSE),0),$B100:$AP100))</f>
        <v>2.11730418130192</v>
      </c>
      <c r="H157" s="26" cm="1">
        <f t="array" ref="H157">(SUMPRODUCT(IFERROR(VLOOKUP(H$143-$B$86:$AP$86,'Survival Rate'!$A$2:$D$54,4,FALSE),0),$B100:$AP100))</f>
        <v>2.24281913376701</v>
      </c>
      <c r="I157" s="26" cm="1">
        <f t="array" ref="I157">(SUMPRODUCT(IFERROR(VLOOKUP(I$143-$B$86:$AP$86,'Survival Rate'!$A$2:$D$54,4,FALSE),0),$B100:$AP100))</f>
        <v>2.36221633292034</v>
      </c>
      <c r="J157" s="26" cm="1">
        <f t="array" ref="J157">(SUMPRODUCT(IFERROR(VLOOKUP(J$143-$B$86:$AP$86,'Survival Rate'!$A$2:$D$54,4,FALSE),0),$B100:$AP100))</f>
        <v>2.4701483855488</v>
      </c>
      <c r="K157" s="26" cm="1">
        <f t="array" ref="K157">(SUMPRODUCT(IFERROR(VLOOKUP(K$143-$B$86:$AP$86,'Survival Rate'!$A$2:$D$54,4,FALSE),0),$B100:$AP100))</f>
        <v>2.56201327054314</v>
      </c>
      <c r="L157" s="26" cm="1">
        <f t="array" ref="L157">(SUMPRODUCT(IFERROR(VLOOKUP(L$143-$B$86:$AP$86,'Survival Rate'!$A$2:$D$54,4,FALSE),0),$B100:$AP100))</f>
        <v>2.64026919135062</v>
      </c>
      <c r="M157" s="26" cm="1">
        <f t="array" ref="M157">(SUMPRODUCT(IFERROR(VLOOKUP(M$143-$B$86:$AP$86,'Survival Rate'!$A$2:$D$54,4,FALSE),0),$B100:$AP100))</f>
        <v>2.70647287375994</v>
      </c>
      <c r="N157" s="26" cm="1">
        <f t="array" ref="N157">(SUMPRODUCT(IFERROR(VLOOKUP(N$143-$B$86:$AP$86,'Survival Rate'!$A$2:$D$54,4,FALSE),0),$B100:$AP100))</f>
        <v>2.76379492264113</v>
      </c>
      <c r="O157" s="26" cm="1">
        <f t="array" ref="O157">(SUMPRODUCT(IFERROR(VLOOKUP(O$143-$B$86:$AP$86,'Survival Rate'!$A$2:$D$54,4,FALSE),0),$B100:$AP100))</f>
        <v>2.8152550171802</v>
      </c>
      <c r="P157" s="26" cm="1">
        <f t="array" ref="P157">(SUMPRODUCT(IFERROR(VLOOKUP(P$143-$B$86:$AP$86,'Survival Rate'!$A$2:$D$54,4,FALSE),0),$B100:$AP100))</f>
        <v>2.87406931676293</v>
      </c>
      <c r="Q157" s="26" cm="1">
        <f t="array" ref="Q157">(SUMPRODUCT(IFERROR(VLOOKUP(Q$143-$B$86:$AP$86,'Survival Rate'!$A$2:$D$54,4,FALSE),0),$B100:$AP100))</f>
        <v>2.9212915815491</v>
      </c>
      <c r="R157" s="26" cm="1">
        <f t="array" ref="R157">(SUMPRODUCT(IFERROR(VLOOKUP(R$143-$B$86:$AP$86,'Survival Rate'!$A$2:$D$54,4,FALSE),0),$B100:$AP100))</f>
        <v>2.92834761409192</v>
      </c>
      <c r="S157" s="26" cm="1">
        <f t="array" ref="S157">(SUMPRODUCT(IFERROR(VLOOKUP(S$143-$B$86:$AP$86,'Survival Rate'!$A$2:$D$54,4,FALSE),0),$B100:$AP100))</f>
        <v>2.90937462389344</v>
      </c>
      <c r="T157" s="26" cm="1">
        <f t="array" ref="T157">(SUMPRODUCT(IFERROR(VLOOKUP(T$143-$B$86:$AP$86,'Survival Rate'!$A$2:$D$54,4,FALSE),0),$B100:$AP100))</f>
        <v>2.88300148122904</v>
      </c>
      <c r="U157" s="26" cm="1">
        <f t="array" ref="U157">(SUMPRODUCT(IFERROR(VLOOKUP(U$143-$B$86:$AP$86,'Survival Rate'!$A$2:$D$54,4,FALSE),0),$B100:$AP100))</f>
        <v>2.84135650862182</v>
      </c>
      <c r="V157" s="26" cm="1">
        <f t="array" ref="V157">(SUMPRODUCT(IFERROR(VLOOKUP(V$143-$B$86:$AP$86,'Survival Rate'!$A$2:$D$54,4,FALSE),0),$B100:$AP100))</f>
        <v>2.79258226320898</v>
      </c>
      <c r="W157" s="26" cm="1">
        <f t="array" ref="W157">(SUMPRODUCT(IFERROR(VLOOKUP(W$143-$B$86:$AP$86,'Survival Rate'!$A$2:$D$54,4,FALSE),0),$B100:$AP100))</f>
        <v>2.72768938154246</v>
      </c>
      <c r="X157" s="26" cm="1">
        <f t="array" ref="X157">(SUMPRODUCT(IFERROR(VLOOKUP(X$143-$B$86:$AP$86,'Survival Rate'!$A$2:$D$54,4,FALSE),0),$B100:$AP100))</f>
        <v>2.64684723940015</v>
      </c>
      <c r="Y157" s="26" cm="1">
        <f t="array" ref="Y157">(SUMPRODUCT(IFERROR(VLOOKUP(Y$143-$B$86:$AP$86,'Survival Rate'!$A$2:$D$54,4,FALSE),0),$B100:$AP100))</f>
        <v>2.54821725633616</v>
      </c>
      <c r="Z157" s="26" cm="1">
        <f t="array" ref="Z157">(SUMPRODUCT(IFERROR(VLOOKUP(Z$143-$B$86:$AP$86,'Survival Rate'!$A$2:$D$54,4,FALSE),0),$B100:$AP100))</f>
        <v>2.42349012252439</v>
      </c>
      <c r="AA157" s="26" cm="1">
        <f t="array" ref="AA157">(SUMPRODUCT(IFERROR(VLOOKUP(AA$143-$B$86:$AP$86,'Survival Rate'!$A$2:$D$54,4,FALSE),0),$B100:$AP100))</f>
        <v>2.28948383604654</v>
      </c>
      <c r="AB157" s="26" cm="1">
        <f t="array" ref="AB157">(SUMPRODUCT(IFERROR(VLOOKUP(AB$143-$B$86:$AP$86,'Survival Rate'!$A$2:$D$54,4,FALSE),0),$B100:$AP100))</f>
        <v>2.10681590909966</v>
      </c>
      <c r="AC157" s="26" cm="1">
        <f t="array" ref="AC157">(SUMPRODUCT(IFERROR(VLOOKUP(AC$143-$B$86:$AP$86,'Survival Rate'!$A$2:$D$54,4,FALSE),0),$B100:$AP100))</f>
        <v>1.90740979780533</v>
      </c>
      <c r="AD157" s="26" cm="1">
        <f t="array" ref="AD157">(SUMPRODUCT(IFERROR(VLOOKUP(AD$143-$B$86:$AP$86,'Survival Rate'!$A$2:$D$54,4,FALSE),0),$B100:$AP100))</f>
        <v>1.71895986508656</v>
      </c>
      <c r="AE157" s="26" cm="1">
        <f t="array" ref="AE157">(SUMPRODUCT(IFERROR(VLOOKUP(AE$143-$B$86:$AP$86,'Survival Rate'!$A$2:$D$54,4,FALSE),0),$B100:$AP100))</f>
        <v>1.53438710112058</v>
      </c>
      <c r="AF157" s="26" cm="1">
        <f t="array" ref="AF157">(SUMPRODUCT(IFERROR(VLOOKUP(AF$143-$B$86:$AP$86,'Survival Rate'!$A$2:$D$54,4,FALSE),0),$B100:$AP100))</f>
        <v>1.36474180390433</v>
      </c>
      <c r="AG157" s="26" cm="1">
        <f t="array" ref="AG157">(SUMPRODUCT(IFERROR(VLOOKUP(AG$143-$B$86:$AP$86,'Survival Rate'!$A$2:$D$54,4,FALSE),0),$B100:$AP100))</f>
        <v>1.20181817592523</v>
      </c>
      <c r="AH157" s="26" cm="1">
        <f t="array" ref="AH157">(SUMPRODUCT(IFERROR(VLOOKUP(AH$143-$B$86:$AP$86,'Survival Rate'!$A$2:$D$54,4,FALSE),0),$B100:$AP100))</f>
        <v>1.04470092639588</v>
      </c>
      <c r="AI157" s="26" cm="1">
        <f t="array" ref="AI157">(SUMPRODUCT(IFERROR(VLOOKUP(AI$143-$B$86:$AP$86,'Survival Rate'!$A$2:$D$54,4,FALSE),0),$B100:$AP100))</f>
        <v>0.89218716390585</v>
      </c>
      <c r="AJ157" s="26" cm="1">
        <f t="array" ref="AJ157">(SUMPRODUCT(IFERROR(VLOOKUP(AJ$143-$B$86:$AP$86,'Survival Rate'!$A$2:$D$54,4,FALSE),0),$B100:$AP100))</f>
        <v>0.751157827800714</v>
      </c>
      <c r="AK157" s="26" cm="1">
        <f t="array" ref="AK157">(SUMPRODUCT(IFERROR(VLOOKUP(AK$143-$B$86:$AP$86,'Survival Rate'!$A$2:$D$54,4,FALSE),0),$B100:$AP100))</f>
        <v>0.617584306102147</v>
      </c>
      <c r="AL157" s="26" cm="1">
        <f t="array" ref="AL157">(SUMPRODUCT(IFERROR(VLOOKUP(AL$143-$B$86:$AP$86,'Survival Rate'!$A$2:$D$54,4,FALSE),0),$B100:$AP100))</f>
        <v>0.488848950662572</v>
      </c>
      <c r="AM157" s="26" cm="1">
        <f t="array" ref="AM157">(SUMPRODUCT(IFERROR(VLOOKUP(AM$143-$B$86:$AP$86,'Survival Rate'!$A$2:$D$54,4,FALSE),0),$B100:$AP100))</f>
        <v>0.425149144928852</v>
      </c>
      <c r="AN157" s="26" cm="1">
        <f t="array" ref="AN157">(SUMPRODUCT(IFERROR(VLOOKUP(AN$143-$B$86:$AP$86,'Survival Rate'!$A$2:$D$54,4,FALSE),0),$B100:$AP100))</f>
        <v>0.360033827785029</v>
      </c>
      <c r="AO157" s="26" cm="1">
        <f t="array" ref="AO157">(SUMPRODUCT(IFERROR(VLOOKUP(AO$143-$B$86:$AP$86,'Survival Rate'!$A$2:$D$54,4,FALSE),0),$B100:$AP100))</f>
        <v>0.302726653767711</v>
      </c>
      <c r="AP157" s="26" cm="1">
        <f t="array" ref="AP157">(SUMPRODUCT(IFERROR(VLOOKUP(AP$143-$B$86:$AP$86,'Survival Rate'!$A$2:$D$54,4,FALSE),0),$B100:$AP100))</f>
        <v>0.236618261619229</v>
      </c>
    </row>
    <row r="158" spans="1:42">
      <c r="A158" t="s">
        <v>2383</v>
      </c>
      <c r="B158" s="26" cm="1">
        <f t="array" ref="B158">(SUMPRODUCT(IFERROR(VLOOKUP(B$143-$B$86:$AP$86,'Survival Rate'!$A$2:$D$54,4,FALSE),0),$B101:$AP101))</f>
        <v>20.4557333786008</v>
      </c>
      <c r="C158" s="26" cm="1">
        <f t="array" ref="C158">(SUMPRODUCT(IFERROR(VLOOKUP(C$143-$B$86:$AP$86,'Survival Rate'!$A$2:$D$54,4,FALSE),0),$B101:$AP101))</f>
        <v>22.2710262193592</v>
      </c>
      <c r="D158" s="26" cm="1">
        <f t="array" ref="D158">(SUMPRODUCT(IFERROR(VLOOKUP(D$143-$B$86:$AP$86,'Survival Rate'!$A$2:$D$54,4,FALSE),0),$B101:$AP101))</f>
        <v>24.1539007307939</v>
      </c>
      <c r="E158" s="26" cm="1">
        <f t="array" ref="E158">(SUMPRODUCT(IFERROR(VLOOKUP(E$143-$B$86:$AP$86,'Survival Rate'!$A$2:$D$54,4,FALSE),0),$B101:$AP101))</f>
        <v>25.9590266211999</v>
      </c>
      <c r="F158" s="26" cm="1">
        <f t="array" ref="F158">(SUMPRODUCT(IFERROR(VLOOKUP(F$143-$B$86:$AP$86,'Survival Rate'!$A$2:$D$54,4,FALSE),0),$B101:$AP101))</f>
        <v>27.6566176531821</v>
      </c>
      <c r="G158" s="26" cm="1">
        <f t="array" ref="G158">(SUMPRODUCT(IFERROR(VLOOKUP(G$143-$B$86:$AP$86,'Survival Rate'!$A$2:$D$54,4,FALSE),0),$B101:$AP101))</f>
        <v>29.2971740680235</v>
      </c>
      <c r="H158" s="26" cm="1">
        <f t="array" ref="H158">(SUMPRODUCT(IFERROR(VLOOKUP(H$143-$B$86:$AP$86,'Survival Rate'!$A$2:$D$54,4,FALSE),0),$B101:$AP101))</f>
        <v>31.0339266059835</v>
      </c>
      <c r="I158" s="26" cm="1">
        <f t="array" ref="I158">(SUMPRODUCT(IFERROR(VLOOKUP(I$143-$B$86:$AP$86,'Survival Rate'!$A$2:$D$54,4,FALSE),0),$B101:$AP101))</f>
        <v>32.6860276870282</v>
      </c>
      <c r="J158" s="26" cm="1">
        <f t="array" ref="J158">(SUMPRODUCT(IFERROR(VLOOKUP(J$143-$B$86:$AP$86,'Survival Rate'!$A$2:$D$54,4,FALSE),0),$B101:$AP101))</f>
        <v>34.1794853400664</v>
      </c>
      <c r="K158" s="26" cm="1">
        <f t="array" ref="K158">(SUMPRODUCT(IFERROR(VLOOKUP(K$143-$B$86:$AP$86,'Survival Rate'!$A$2:$D$54,4,FALSE),0),$B101:$AP101))</f>
        <v>35.4506213205202</v>
      </c>
      <c r="L158" s="26" cm="1">
        <f t="array" ref="L158">(SUMPRODUCT(IFERROR(VLOOKUP(L$143-$B$86:$AP$86,'Survival Rate'!$A$2:$D$54,4,FALSE),0),$B101:$AP101))</f>
        <v>36.5334498314149</v>
      </c>
      <c r="M158" s="26" cm="1">
        <f t="array" ref="M158">(SUMPRODUCT(IFERROR(VLOOKUP(M$143-$B$86:$AP$86,'Survival Rate'!$A$2:$D$54,4,FALSE),0),$B101:$AP101))</f>
        <v>37.4495113140391</v>
      </c>
      <c r="N158" s="26" cm="1">
        <f t="array" ref="N158">(SUMPRODUCT(IFERROR(VLOOKUP(N$143-$B$86:$AP$86,'Survival Rate'!$A$2:$D$54,4,FALSE),0),$B101:$AP101))</f>
        <v>38.2426774820553</v>
      </c>
      <c r="O158" s="26" cm="1">
        <f t="array" ref="O158">(SUMPRODUCT(IFERROR(VLOOKUP(O$143-$B$86:$AP$86,'Survival Rate'!$A$2:$D$54,4,FALSE),0),$B101:$AP101))</f>
        <v>38.954731687862</v>
      </c>
      <c r="P158" s="26" cm="1">
        <f t="array" ref="P158">(SUMPRODUCT(IFERROR(VLOOKUP(P$143-$B$86:$AP$86,'Survival Rate'!$A$2:$D$54,4,FALSE),0),$B101:$AP101))</f>
        <v>39.7685461542863</v>
      </c>
      <c r="Q158" s="26" cm="1">
        <f t="array" ref="Q158">(SUMPRODUCT(IFERROR(VLOOKUP(Q$143-$B$86:$AP$86,'Survival Rate'!$A$2:$D$54,4,FALSE),0),$B101:$AP101))</f>
        <v>40.4219614375244</v>
      </c>
      <c r="R158" s="26" cm="1">
        <f t="array" ref="R158">(SUMPRODUCT(IFERROR(VLOOKUP(R$143-$B$86:$AP$86,'Survival Rate'!$A$2:$D$54,4,FALSE),0),$B101:$AP101))</f>
        <v>40.5195958801624</v>
      </c>
      <c r="S158" s="26" cm="1">
        <f t="array" ref="S158">(SUMPRODUCT(IFERROR(VLOOKUP(S$143-$B$86:$AP$86,'Survival Rate'!$A$2:$D$54,4,FALSE),0),$B101:$AP101))</f>
        <v>40.2570662911952</v>
      </c>
      <c r="T158" s="26" cm="1">
        <f t="array" ref="T158">(SUMPRODUCT(IFERROR(VLOOKUP(T$143-$B$86:$AP$86,'Survival Rate'!$A$2:$D$54,4,FALSE),0),$B101:$AP101))</f>
        <v>39.8921406663449</v>
      </c>
      <c r="U158" s="26" cm="1">
        <f t="array" ref="U158">(SUMPRODUCT(IFERROR(VLOOKUP(U$143-$B$86:$AP$86,'Survival Rate'!$A$2:$D$54,4,FALSE),0),$B101:$AP101))</f>
        <v>39.3158984701095</v>
      </c>
      <c r="V158" s="26" cm="1">
        <f t="array" ref="V158">(SUMPRODUCT(IFERROR(VLOOKUP(V$143-$B$86:$AP$86,'Survival Rate'!$A$2:$D$54,4,FALSE),0),$B101:$AP101))</f>
        <v>38.6410084044706</v>
      </c>
      <c r="W158" s="26" cm="1">
        <f t="array" ref="W158">(SUMPRODUCT(IFERROR(VLOOKUP(W$143-$B$86:$AP$86,'Survival Rate'!$A$2:$D$54,4,FALSE),0),$B101:$AP101))</f>
        <v>37.7430844940806</v>
      </c>
      <c r="X158" s="26" cm="1">
        <f t="array" ref="X158">(SUMPRODUCT(IFERROR(VLOOKUP(X$143-$B$86:$AP$86,'Survival Rate'!$A$2:$D$54,4,FALSE),0),$B101:$AP101))</f>
        <v>36.624470394467</v>
      </c>
      <c r="Y158" s="26" cm="1">
        <f t="array" ref="Y158">(SUMPRODUCT(IFERROR(VLOOKUP(Y$143-$B$86:$AP$86,'Survival Rate'!$A$2:$D$54,4,FALSE),0),$B101:$AP101))</f>
        <v>35.2597256366424</v>
      </c>
      <c r="Z158" s="26" cm="1">
        <f t="array" ref="Z158">(SUMPRODUCT(IFERROR(VLOOKUP(Z$143-$B$86:$AP$86,'Survival Rate'!$A$2:$D$54,4,FALSE),0),$B101:$AP101))</f>
        <v>33.5338741588249</v>
      </c>
      <c r="AA158" s="26" cm="1">
        <f t="array" ref="AA158">(SUMPRODUCT(IFERROR(VLOOKUP(AA$143-$B$86:$AP$86,'Survival Rate'!$A$2:$D$54,4,FALSE),0),$B101:$AP101))</f>
        <v>31.6796268873078</v>
      </c>
      <c r="AB158" s="26" cm="1">
        <f t="array" ref="AB158">(SUMPRODUCT(IFERROR(VLOOKUP(AB$143-$B$86:$AP$86,'Survival Rate'!$A$2:$D$54,4,FALSE),0),$B101:$AP101))</f>
        <v>29.1520476666797</v>
      </c>
      <c r="AC158" s="26" cm="1">
        <f t="array" ref="AC158">(SUMPRODUCT(IFERROR(VLOOKUP(AC$143-$B$86:$AP$86,'Survival Rate'!$A$2:$D$54,4,FALSE),0),$B101:$AP101))</f>
        <v>26.3928619037605</v>
      </c>
      <c r="AD158" s="26" cm="1">
        <f t="array" ref="AD158">(SUMPRODUCT(IFERROR(VLOOKUP(AD$143-$B$86:$AP$86,'Survival Rate'!$A$2:$D$54,4,FALSE),0),$B101:$AP101))</f>
        <v>23.7852769706526</v>
      </c>
      <c r="AE158" s="26" cm="1">
        <f t="array" ref="AE158">(SUMPRODUCT(IFERROR(VLOOKUP(AE$143-$B$86:$AP$86,'Survival Rate'!$A$2:$D$54,4,FALSE),0),$B101:$AP101))</f>
        <v>21.2313404877035</v>
      </c>
      <c r="AF158" s="26" cm="1">
        <f t="array" ref="AF158">(SUMPRODUCT(IFERROR(VLOOKUP(AF$143-$B$86:$AP$86,'Survival Rate'!$A$2:$D$54,4,FALSE),0),$B101:$AP101))</f>
        <v>18.8839556167636</v>
      </c>
      <c r="AG158" s="26" cm="1">
        <f t="array" ref="AG158">(SUMPRODUCT(IFERROR(VLOOKUP(AG$143-$B$86:$AP$86,'Survival Rate'!$A$2:$D$54,4,FALSE),0),$B101:$AP101))</f>
        <v>16.6295785976985</v>
      </c>
      <c r="AH158" s="26" cm="1">
        <f t="array" ref="AH158">(SUMPRODUCT(IFERROR(VLOOKUP(AH$143-$B$86:$AP$86,'Survival Rate'!$A$2:$D$54,4,FALSE),0),$B101:$AP101))</f>
        <v>14.4555445362722</v>
      </c>
      <c r="AI158" s="26" cm="1">
        <f t="array" ref="AI158">(SUMPRODUCT(IFERROR(VLOOKUP(AI$143-$B$86:$AP$86,'Survival Rate'!$A$2:$D$54,4,FALSE),0),$B101:$AP101))</f>
        <v>12.3452090035232</v>
      </c>
      <c r="AJ158" s="26" cm="1">
        <f t="array" ref="AJ158">(SUMPRODUCT(IFERROR(VLOOKUP(AJ$143-$B$86:$AP$86,'Survival Rate'!$A$2:$D$54,4,FALSE),0),$B101:$AP101))</f>
        <v>10.3937836745328</v>
      </c>
      <c r="AK158" s="26" cm="1">
        <f t="array" ref="AK158">(SUMPRODUCT(IFERROR(VLOOKUP(AK$143-$B$86:$AP$86,'Survival Rate'!$A$2:$D$54,4,FALSE),0),$B101:$AP101))</f>
        <v>8.54552457664749</v>
      </c>
      <c r="AL158" s="26" cm="1">
        <f t="array" ref="AL158">(SUMPRODUCT(IFERROR(VLOOKUP(AL$143-$B$86:$AP$86,'Survival Rate'!$A$2:$D$54,4,FALSE),0),$B101:$AP101))</f>
        <v>6.76421126780447</v>
      </c>
      <c r="AM158" s="26" cm="1">
        <f t="array" ref="AM158">(SUMPRODUCT(IFERROR(VLOOKUP(AM$143-$B$86:$AP$86,'Survival Rate'!$A$2:$D$54,4,FALSE),0),$B101:$AP101))</f>
        <v>5.88279596944496</v>
      </c>
      <c r="AN158" s="26" cm="1">
        <f t="array" ref="AN158">(SUMPRODUCT(IFERROR(VLOOKUP(AN$143-$B$86:$AP$86,'Survival Rate'!$A$2:$D$54,4,FALSE),0),$B101:$AP101))</f>
        <v>4.98179421556182</v>
      </c>
      <c r="AO158" s="26" cm="1">
        <f t="array" ref="AO158">(SUMPRODUCT(IFERROR(VLOOKUP(AO$143-$B$86:$AP$86,'Survival Rate'!$A$2:$D$54,4,FALSE),0),$B101:$AP101))</f>
        <v>4.18883387129069</v>
      </c>
      <c r="AP158" s="26" cm="1">
        <f t="array" ref="AP158">(SUMPRODUCT(IFERROR(VLOOKUP(AP$143-$B$86:$AP$86,'Survival Rate'!$A$2:$D$54,4,FALSE),0),$B101:$AP101))</f>
        <v>3.27409092163084</v>
      </c>
    </row>
    <row r="159" spans="1:42">
      <c r="A159" t="s">
        <v>2384</v>
      </c>
      <c r="B159" s="26" cm="1">
        <f t="array" ref="B159">(SUMPRODUCT(IFERROR(VLOOKUP(B$143-$B$86:$AP$86,'Survival Rate'!$A$2:$D$54,4,FALSE),0),$B102:$AP102))</f>
        <v>51.8243476333596</v>
      </c>
      <c r="C159" s="26" cm="1">
        <f t="array" ref="C159">(SUMPRODUCT(IFERROR(VLOOKUP(C$143-$B$86:$AP$86,'Survival Rate'!$A$2:$D$54,4,FALSE),0),$B102:$AP102))</f>
        <v>58.8224650029635</v>
      </c>
      <c r="D159" s="26" cm="1">
        <f t="array" ref="D159">(SUMPRODUCT(IFERROR(VLOOKUP(D$143-$B$86:$AP$86,'Survival Rate'!$A$2:$D$54,4,FALSE),0),$B102:$AP102))</f>
        <v>66.6588147722389</v>
      </c>
      <c r="E159" s="26" cm="1">
        <f t="array" ref="E159">(SUMPRODUCT(IFERROR(VLOOKUP(E$143-$B$86:$AP$86,'Survival Rate'!$A$2:$D$54,4,FALSE),0),$B102:$AP102))</f>
        <v>75.6251355917405</v>
      </c>
      <c r="F159" s="26" cm="1">
        <f t="array" ref="F159">(SUMPRODUCT(IFERROR(VLOOKUP(F$143-$B$86:$AP$86,'Survival Rate'!$A$2:$D$54,4,FALSE),0),$B102:$AP102))</f>
        <v>85.7597953227851</v>
      </c>
      <c r="G159" s="26" cm="1">
        <f t="array" ref="G159">(SUMPRODUCT(IFERROR(VLOOKUP(G$143-$B$86:$AP$86,'Survival Rate'!$A$2:$D$54,4,FALSE),0),$B102:$AP102))</f>
        <v>97.1703564787672</v>
      </c>
      <c r="H159" s="26" cm="1">
        <f t="array" ref="H159">(SUMPRODUCT(IFERROR(VLOOKUP(H$143-$B$86:$AP$86,'Survival Rate'!$A$2:$D$54,4,FALSE),0),$B102:$AP102))</f>
        <v>110.0088142184</v>
      </c>
      <c r="I159" s="26" cm="1">
        <f t="array" ref="I159">(SUMPRODUCT(IFERROR(VLOOKUP(I$143-$B$86:$AP$86,'Survival Rate'!$A$2:$D$54,4,FALSE),0),$B102:$AP102))</f>
        <v>124.237384929525</v>
      </c>
      <c r="J159" s="26" cm="1">
        <f t="array" ref="J159">(SUMPRODUCT(IFERROR(VLOOKUP(J$143-$B$86:$AP$86,'Survival Rate'!$A$2:$D$54,4,FALSE),0),$B102:$AP102))</f>
        <v>139.86829694782</v>
      </c>
      <c r="K159" s="26" cm="1">
        <f t="array" ref="K159">(SUMPRODUCT(IFERROR(VLOOKUP(K$143-$B$86:$AP$86,'Survival Rate'!$A$2:$D$54,4,FALSE),0),$B102:$AP102))</f>
        <v>155.278637687641</v>
      </c>
      <c r="L159" s="26" cm="1">
        <f t="array" ref="L159">(SUMPRODUCT(IFERROR(VLOOKUP(L$143-$B$86:$AP$86,'Survival Rate'!$A$2:$D$54,4,FALSE),0),$B102:$AP102))</f>
        <v>172.409798636945</v>
      </c>
      <c r="M159" s="26" cm="1">
        <f t="array" ref="M159">(SUMPRODUCT(IFERROR(VLOOKUP(M$143-$B$86:$AP$86,'Survival Rate'!$A$2:$D$54,4,FALSE),0),$B102:$AP102))</f>
        <v>191.691529368955</v>
      </c>
      <c r="N159" s="26" cm="1">
        <f t="array" ref="N159">(SUMPRODUCT(IFERROR(VLOOKUP(N$143-$B$86:$AP$86,'Survival Rate'!$A$2:$D$54,4,FALSE),0),$B102:$AP102))</f>
        <v>213.514596368147</v>
      </c>
      <c r="O159" s="26" cm="1">
        <f t="array" ref="O159">(SUMPRODUCT(IFERROR(VLOOKUP(O$143-$B$86:$AP$86,'Survival Rate'!$A$2:$D$54,4,FALSE),0),$B102:$AP102))</f>
        <v>234.284335275552</v>
      </c>
      <c r="P159" s="26" cm="1">
        <f t="array" ref="P159">(SUMPRODUCT(IFERROR(VLOOKUP(P$143-$B$86:$AP$86,'Survival Rate'!$A$2:$D$54,4,FALSE),0),$B102:$AP102))</f>
        <v>253.198373701511</v>
      </c>
      <c r="Q159" s="26" cm="1">
        <f t="array" ref="Q159">(SUMPRODUCT(IFERROR(VLOOKUP(Q$143-$B$86:$AP$86,'Survival Rate'!$A$2:$D$54,4,FALSE),0),$B102:$AP102))</f>
        <v>271.299628052882</v>
      </c>
      <c r="R159" s="26" cm="1">
        <f t="array" ref="R159">(SUMPRODUCT(IFERROR(VLOOKUP(R$143-$B$86:$AP$86,'Survival Rate'!$A$2:$D$54,4,FALSE),0),$B102:$AP102))</f>
        <v>289.426861438706</v>
      </c>
      <c r="S159" s="26" cm="1">
        <f t="array" ref="S159">(SUMPRODUCT(IFERROR(VLOOKUP(S$143-$B$86:$AP$86,'Survival Rate'!$A$2:$D$54,4,FALSE),0),$B102:$AP102))</f>
        <v>302.897837081496</v>
      </c>
      <c r="T159" s="26" cm="1">
        <f t="array" ref="T159">(SUMPRODUCT(IFERROR(VLOOKUP(T$143-$B$86:$AP$86,'Survival Rate'!$A$2:$D$54,4,FALSE),0),$B102:$AP102))</f>
        <v>316.353354353634</v>
      </c>
      <c r="U159" s="26" cm="1">
        <f t="array" ref="U159">(SUMPRODUCT(IFERROR(VLOOKUP(U$143-$B$86:$AP$86,'Survival Rate'!$A$2:$D$54,4,FALSE),0),$B102:$AP102))</f>
        <v>328.107131020199</v>
      </c>
      <c r="V159" s="26" cm="1">
        <f t="array" ref="V159">(SUMPRODUCT(IFERROR(VLOOKUP(V$143-$B$86:$AP$86,'Survival Rate'!$A$2:$D$54,4,FALSE),0),$B102:$AP102))</f>
        <v>341.9522806477</v>
      </c>
      <c r="W159" s="26" cm="1">
        <f t="array" ref="W159">(SUMPRODUCT(IFERROR(VLOOKUP(W$143-$B$86:$AP$86,'Survival Rate'!$A$2:$D$54,4,FALSE),0),$B102:$AP102))</f>
        <v>358.075412458152</v>
      </c>
      <c r="X159" s="26" cm="1">
        <f t="array" ref="X159">(SUMPRODUCT(IFERROR(VLOOKUP(X$143-$B$86:$AP$86,'Survival Rate'!$A$2:$D$54,4,FALSE),0),$B102:$AP102))</f>
        <v>373.46045061992</v>
      </c>
      <c r="Y159" s="26" cm="1">
        <f t="array" ref="Y159">(SUMPRODUCT(IFERROR(VLOOKUP(Y$143-$B$86:$AP$86,'Survival Rate'!$A$2:$D$54,4,FALSE),0),$B102:$AP102))</f>
        <v>388.202121550576</v>
      </c>
      <c r="Z159" s="26" cm="1">
        <f t="array" ref="Z159">(SUMPRODUCT(IFERROR(VLOOKUP(Z$143-$B$86:$AP$86,'Survival Rate'!$A$2:$D$54,4,FALSE),0),$B102:$AP102))</f>
        <v>402.738292306156</v>
      </c>
      <c r="AA159" s="26" cm="1">
        <f t="array" ref="AA159">(SUMPRODUCT(IFERROR(VLOOKUP(AA$143-$B$86:$AP$86,'Survival Rate'!$A$2:$D$54,4,FALSE),0),$B102:$AP102))</f>
        <v>415.894698604341</v>
      </c>
      <c r="AB159" s="26" cm="1">
        <f t="array" ref="AB159">(SUMPRODUCT(IFERROR(VLOOKUP(AB$143-$B$86:$AP$86,'Survival Rate'!$A$2:$D$54,4,FALSE),0),$B102:$AP102))</f>
        <v>428.030773033122</v>
      </c>
      <c r="AC159" s="26" cm="1">
        <f t="array" ref="AC159">(SUMPRODUCT(IFERROR(VLOOKUP(AC$143-$B$86:$AP$86,'Survival Rate'!$A$2:$D$54,4,FALSE),0),$B102:$AP102))</f>
        <v>438.732938230377</v>
      </c>
      <c r="AD159" s="26" cm="1">
        <f t="array" ref="AD159">(SUMPRODUCT(IFERROR(VLOOKUP(AD$143-$B$86:$AP$86,'Survival Rate'!$A$2:$D$54,4,FALSE),0),$B102:$AP102))</f>
        <v>443.847225141594</v>
      </c>
      <c r="AE159" s="26" cm="1">
        <f t="array" ref="AE159">(SUMPRODUCT(IFERROR(VLOOKUP(AE$143-$B$86:$AP$86,'Survival Rate'!$A$2:$D$54,4,FALSE),0),$B102:$AP102))</f>
        <v>450.781362078224</v>
      </c>
      <c r="AF159" s="26" cm="1">
        <f t="array" ref="AF159">(SUMPRODUCT(IFERROR(VLOOKUP(AF$143-$B$86:$AP$86,'Survival Rate'!$A$2:$D$54,4,FALSE),0),$B102:$AP102))</f>
        <v>455.101503828582</v>
      </c>
      <c r="AG159" s="26" cm="1">
        <f t="array" ref="AG159">(SUMPRODUCT(IFERROR(VLOOKUP(AG$143-$B$86:$AP$86,'Survival Rate'!$A$2:$D$54,4,FALSE),0),$B102:$AP102))</f>
        <v>453.254051794793</v>
      </c>
      <c r="AH159" s="26" cm="1">
        <f t="array" ref="AH159">(SUMPRODUCT(IFERROR(VLOOKUP(AH$143-$B$86:$AP$86,'Survival Rate'!$A$2:$D$54,4,FALSE),0),$B102:$AP102))</f>
        <v>446.123700080493</v>
      </c>
      <c r="AI159" s="26" cm="1">
        <f t="array" ref="AI159">(SUMPRODUCT(IFERROR(VLOOKUP(AI$143-$B$86:$AP$86,'Survival Rate'!$A$2:$D$54,4,FALSE),0),$B102:$AP102))</f>
        <v>442.519173737199</v>
      </c>
      <c r="AJ159" s="26" cm="1">
        <f t="array" ref="AJ159">(SUMPRODUCT(IFERROR(VLOOKUP(AJ$143-$B$86:$AP$86,'Survival Rate'!$A$2:$D$54,4,FALSE),0),$B102:$AP102))</f>
        <v>441.36719582865</v>
      </c>
      <c r="AK159" s="26" cm="1">
        <f t="array" ref="AK159">(SUMPRODUCT(IFERROR(VLOOKUP(AK$143-$B$86:$AP$86,'Survival Rate'!$A$2:$D$54,4,FALSE),0),$B102:$AP102))</f>
        <v>436.349091739124</v>
      </c>
      <c r="AL159" s="26" cm="1">
        <f t="array" ref="AL159">(SUMPRODUCT(IFERROR(VLOOKUP(AL$143-$B$86:$AP$86,'Survival Rate'!$A$2:$D$54,4,FALSE),0),$B102:$AP102))</f>
        <v>414.537858050053</v>
      </c>
      <c r="AM159" s="26" cm="1">
        <f t="array" ref="AM159">(SUMPRODUCT(IFERROR(VLOOKUP(AM$143-$B$86:$AP$86,'Survival Rate'!$A$2:$D$54,4,FALSE),0),$B102:$AP102))</f>
        <v>392.609932373563</v>
      </c>
      <c r="AN159" s="26" cm="1">
        <f t="array" ref="AN159">(SUMPRODUCT(IFERROR(VLOOKUP(AN$143-$B$86:$AP$86,'Survival Rate'!$A$2:$D$54,4,FALSE),0),$B102:$AP102))</f>
        <v>367.264742599765</v>
      </c>
      <c r="AO159" s="26" cm="1">
        <f t="array" ref="AO159">(SUMPRODUCT(IFERROR(VLOOKUP(AO$143-$B$86:$AP$86,'Survival Rate'!$A$2:$D$54,4,FALSE),0),$B102:$AP102))</f>
        <v>347.409113939379</v>
      </c>
      <c r="AP159" s="26" cm="1">
        <f t="array" ref="AP159">(SUMPRODUCT(IFERROR(VLOOKUP(AP$143-$B$86:$AP$86,'Survival Rate'!$A$2:$D$54,4,FALSE),0),$B102:$AP102))</f>
        <v>331.507078475562</v>
      </c>
    </row>
    <row r="161" ht="13.1" spans="1:42">
      <c r="A161" s="3" t="s">
        <v>2399</v>
      </c>
    </row>
    <row r="162" spans="1:42">
      <c r="A162" s="21" t="s">
        <v>2395</v>
      </c>
      <c r="B162" s="22">
        <v>2020</v>
      </c>
      <c r="C162" s="22">
        <v>2021</v>
      </c>
      <c r="D162" s="22">
        <v>2022</v>
      </c>
      <c r="E162" s="22">
        <v>2023</v>
      </c>
      <c r="F162" s="22">
        <v>2024</v>
      </c>
      <c r="G162" s="22">
        <v>2025</v>
      </c>
      <c r="H162" s="22">
        <v>2026</v>
      </c>
      <c r="I162" s="22">
        <v>2027</v>
      </c>
      <c r="J162" s="22">
        <v>2028</v>
      </c>
      <c r="K162" s="22">
        <v>2029</v>
      </c>
      <c r="L162" s="22">
        <v>2030</v>
      </c>
      <c r="M162" s="22">
        <v>2031</v>
      </c>
      <c r="N162" s="22">
        <v>2032</v>
      </c>
      <c r="O162" s="22">
        <v>2033</v>
      </c>
      <c r="P162" s="22">
        <v>2034</v>
      </c>
      <c r="Q162" s="22">
        <v>2035</v>
      </c>
      <c r="R162" s="22">
        <v>2036</v>
      </c>
      <c r="S162" s="22">
        <v>2037</v>
      </c>
      <c r="T162" s="22">
        <v>2038</v>
      </c>
      <c r="U162" s="22">
        <v>2039</v>
      </c>
      <c r="V162" s="22">
        <v>2040</v>
      </c>
      <c r="W162" s="22">
        <v>2041</v>
      </c>
      <c r="X162" s="22">
        <v>2042</v>
      </c>
      <c r="Y162" s="22">
        <v>2043</v>
      </c>
      <c r="Z162" s="22">
        <v>2044</v>
      </c>
      <c r="AA162" s="22">
        <v>2045</v>
      </c>
      <c r="AB162" s="22">
        <v>2046</v>
      </c>
      <c r="AC162" s="22">
        <v>2047</v>
      </c>
      <c r="AD162" s="22">
        <v>2048</v>
      </c>
      <c r="AE162" s="22">
        <v>2049</v>
      </c>
      <c r="AF162" s="22">
        <v>2050</v>
      </c>
      <c r="AG162" s="22">
        <v>2051</v>
      </c>
      <c r="AH162" s="22">
        <v>2052</v>
      </c>
      <c r="AI162" s="22">
        <v>2053</v>
      </c>
      <c r="AJ162" s="22">
        <v>2054</v>
      </c>
      <c r="AK162" s="22">
        <v>2055</v>
      </c>
      <c r="AL162" s="22">
        <v>2056</v>
      </c>
      <c r="AM162" s="22">
        <v>2057</v>
      </c>
      <c r="AN162" s="22">
        <v>2058</v>
      </c>
      <c r="AO162" s="22">
        <v>2059</v>
      </c>
      <c r="AP162" s="22">
        <v>2060</v>
      </c>
    </row>
    <row r="163" spans="1:42">
      <c r="A163" t="s">
        <v>2369</v>
      </c>
      <c r="B163" s="26">
        <f>IF(SUM($B87:$AP87)&gt;$AI6,IF((SUM($B144:B144))/$AI6&gt;1,ROUNDDOWN((SUM($B144:B144))/$AI6,0)*$AI6,0),SUM($B87:$AP87))</f>
        <v>4512</v>
      </c>
      <c r="C163" s="26">
        <f>IF(SUM($B87:$AP87)-SUM($B163:B163)&gt;$AI6,IF((SUM($B144:C144)-SUM($B163:B163))/$AI6&gt;1,ROUNDDOWN((SUM($B144:C144)-SUM($B163:B163))/$AI6,0)*$AI6,0),SUM($B87:$AP87)-SUM($B163:B163))</f>
        <v>5442</v>
      </c>
      <c r="D163" s="26">
        <f>IF(SUM($B87:$AP87)-SUM($B163:C163)&gt;$AI6,IF((SUM($B144:D144)-SUM($B163:C163))/$AI6&gt;1,ROUNDDOWN((SUM($B144:D144)-SUM($B163:C163))/$AI6,0)*$AI6,0),SUM($B87:$AP87)-SUM($B163:C163))</f>
        <v>6390</v>
      </c>
      <c r="E163" s="26">
        <f>IF(SUM($B87:$AP87)-SUM($B163:D163)&gt;$AI6,IF((SUM($B144:E144)-SUM($B163:D163))/$AI6&gt;1,ROUNDDOWN((SUM($B144:E144)-SUM($B163:D163))/$AI6,0)*$AI6,0),SUM($B87:$AP87)-SUM($B163:D163))</f>
        <v>7314</v>
      </c>
      <c r="F163" s="26">
        <f>IF(SUM($B87:$AP87)-SUM($B163:E163)&gt;$AI6,IF((SUM($B144:F144)-SUM($B163:E163))/$AI6&gt;1,ROUNDDOWN((SUM($B144:F144)-SUM($B163:E163))/$AI6,0)*$AI6,0),SUM($B87:$AP87)-SUM($B163:E163))</f>
        <v>8214</v>
      </c>
      <c r="G163" s="26">
        <f>IF(SUM($B87:$AP87)-SUM($B163:F163)&gt;$AI6,IF((SUM($B144:G144)-SUM($B163:F163))/$AI6&gt;1,ROUNDDOWN((SUM($B144:G144)-SUM($B163:F163))/$AI6,0)*$AI6,0),SUM($B87:$AP87)-SUM($B163:F163))</f>
        <v>9138</v>
      </c>
      <c r="H163" s="26">
        <f>IF(SUM($B87:$AP87)-SUM($B163:G163)&gt;$AI6,IF((SUM($B144:H144)-SUM($B163:G163))/$AI6&gt;1,ROUNDDOWN((SUM($B144:H144)-SUM($B163:G163))/$AI6,0)*$AI6,0),SUM($B87:$AP87)-SUM($B163:G163))</f>
        <v>10122</v>
      </c>
      <c r="I163" s="26">
        <f>IF(SUM($B87:$AP87)-SUM($B163:H163)&gt;$AI6,IF((SUM($B144:I144)-SUM($B163:H163))/$AI6&gt;1,ROUNDDOWN((SUM($B144:I144)-SUM($B163:H163))/$AI6,0)*$AI6,0),SUM($B87:$AP87)-SUM($B163:H163))</f>
        <v>11214</v>
      </c>
      <c r="J163" s="26">
        <f>IF(SUM($B87:$AP87)-SUM($B163:I163)&gt;$AI6,IF((SUM($B144:J144)-SUM($B163:I163))/$AI6&gt;1,ROUNDDOWN((SUM($B144:J144)-SUM($B163:I163))/$AI6,0)*$AI6,0),SUM($B87:$AP87)-SUM($B163:I163))</f>
        <v>12390</v>
      </c>
      <c r="K163" s="26">
        <f>IF(SUM($B87:$AP87)-SUM($B163:J163)&gt;$AI6,IF((SUM($B144:K144)-SUM($B163:J163))/$AI6&gt;1,ROUNDDOWN((SUM($B144:K144)-SUM($B163:J163))/$AI6,0)*$AI6,0),SUM($B87:$AP87)-SUM($B163:J163))</f>
        <v>13632</v>
      </c>
      <c r="L163" s="26">
        <f>IF(SUM($B87:$AP87)-SUM($B163:K163)&gt;$AI6,IF((SUM($B144:L144)-SUM($B163:K163))/$AI6&gt;1,ROUNDDOWN((SUM($B144:L144)-SUM($B163:K163))/$AI6,0)*$AI6,0),SUM($B87:$AP87)-SUM($B163:K163))</f>
        <v>14994</v>
      </c>
      <c r="M163" s="26">
        <f>IF(SUM($B87:$AP87)-SUM($B163:L163)&gt;$AI6,IF((SUM($B144:M144)-SUM($B163:L163))/$AI6&gt;1,ROUNDDOWN((SUM($B144:M144)-SUM($B163:L163))/$AI6,0)*$AI6,0),SUM($B87:$AP87)-SUM($B163:L163))</f>
        <v>16494</v>
      </c>
      <c r="N163" s="26">
        <f>IF(SUM($B87:$AP87)-SUM($B163:M163)&gt;$AI6,IF((SUM($B144:N144)-SUM($B163:M163))/$AI6&gt;1,ROUNDDOWN((SUM($B144:N144)-SUM($B163:M163))/$AI6,0)*$AI6,0),SUM($B87:$AP87)-SUM($B163:M163))</f>
        <v>18042</v>
      </c>
      <c r="O163" s="26">
        <f>IF(SUM($B87:$AP87)-SUM($B163:N163)&gt;$AI6,IF((SUM($B144:O144)-SUM($B163:N163))/$AI6&gt;1,ROUNDDOWN((SUM($B144:O144)-SUM($B163:N163))/$AI6,0)*$AI6,0),SUM($B87:$AP87)-SUM($B163:N163))</f>
        <v>19656</v>
      </c>
      <c r="P163" s="26">
        <f>IF(SUM($B87:$AP87)-SUM($B163:O163)&gt;$AI6,IF((SUM($B144:P144)-SUM($B163:O163))/$AI6&gt;1,ROUNDDOWN((SUM($B144:P144)-SUM($B163:O163))/$AI6,0)*$AI6,0),SUM($B87:$AP87)-SUM($B163:O163))</f>
        <v>21288</v>
      </c>
      <c r="Q163" s="26">
        <f>IF(SUM($B87:$AP87)-SUM($B163:P163)&gt;$AI6,IF((SUM($B144:Q144)-SUM($B163:P163))/$AI6&gt;1,ROUNDDOWN((SUM($B144:Q144)-SUM($B163:P163))/$AI6,0)*$AI6,0),SUM($B87:$AP87)-SUM($B163:P163))</f>
        <v>23064</v>
      </c>
      <c r="R163" s="26">
        <f>IF(SUM($B87:$AP87)-SUM($B163:Q163)&gt;$AI6,IF((SUM($B144:R144)-SUM($B163:Q163))/$AI6&gt;1,ROUNDDOWN((SUM($B144:R144)-SUM($B163:Q163))/$AI6,0)*$AI6,0),SUM($B87:$AP87)-SUM($B163:Q163))</f>
        <v>24984</v>
      </c>
      <c r="S163" s="26">
        <f>IF(SUM($B87:$AP87)-SUM($B163:R163)&gt;$AI6,IF((SUM($B144:S144)-SUM($B163:R163))/$AI6&gt;1,ROUNDDOWN((SUM($B144:S144)-SUM($B163:R163))/$AI6,0)*$AI6,0),SUM($B87:$AP87)-SUM($B163:R163))</f>
        <v>26934</v>
      </c>
      <c r="T163" s="26">
        <f>IF(SUM($B87:$AP87)-SUM($B163:S163)&gt;$AI6,IF((SUM($B144:T144)-SUM($B163:S163))/$AI6&gt;1,ROUNDDOWN((SUM($B144:T144)-SUM($B163:S163))/$AI6,0)*$AI6,0),SUM($B87:$AP87)-SUM($B163:S163))</f>
        <v>28896</v>
      </c>
      <c r="U163" s="26">
        <f>IF(SUM($B87:$AP87)-SUM($B163:T163)&gt;$AI6,IF((SUM($B144:U144)-SUM($B163:T163))/$AI6&gt;1,ROUNDDOWN((SUM($B144:U144)-SUM($B163:T163))/$AI6,0)*$AI6,0),SUM($B87:$AP87)-SUM($B163:T163))</f>
        <v>30810</v>
      </c>
      <c r="V163" s="26">
        <f>IF(SUM($B87:$AP87)-SUM($B163:U163)&gt;$AI6,IF((SUM($B144:V144)-SUM($B163:U163))/$AI6&gt;1,ROUNDDOWN((SUM($B144:V144)-SUM($B163:U163))/$AI6,0)*$AI6,0),SUM($B87:$AP87)-SUM($B163:U163))</f>
        <v>32712</v>
      </c>
      <c r="W163" s="26">
        <f>IF(SUM($B87:$AP87)-SUM($B163:V163)&gt;$AI6,IF((SUM($B144:W144)-SUM($B163:V163))/$AI6&gt;1,ROUNDDOWN((SUM($B144:W144)-SUM($B163:V163))/$AI6,0)*$AI6,0),SUM($B87:$AP87)-SUM($B163:V163))</f>
        <v>34560</v>
      </c>
      <c r="X163" s="26">
        <f>IF(SUM($B87:$AP87)-SUM($B163:W163)&gt;$AI6,IF((SUM($B144:X144)-SUM($B163:W163))/$AI6&gt;1,ROUNDDOWN((SUM($B144:X144)-SUM($B163:W163))/$AI6,0)*$AI6,0),SUM($B87:$AP87)-SUM($B163:W163))</f>
        <v>36024</v>
      </c>
      <c r="Y163" s="26">
        <f>IF(SUM($B87:$AP87)-SUM($B163:X163)&gt;$AI6,IF((SUM($B144:Y144)-SUM($B163:X163))/$AI6&gt;1,ROUNDDOWN((SUM($B144:Y144)-SUM($B163:X163))/$AI6,0)*$AI6,0),SUM($B87:$AP87)-SUM($B163:X163))</f>
        <v>37176</v>
      </c>
      <c r="Z163" s="26">
        <f>IF(SUM($B87:$AP87)-SUM($B163:Y163)&gt;$AI6,IF((SUM($B144:Z144)-SUM($B163:Y163))/$AI6&gt;1,ROUNDDOWN((SUM($B144:Z144)-SUM($B163:Y163))/$AI6,0)*$AI6,0),SUM($B87:$AP87)-SUM($B163:Y163))</f>
        <v>38154</v>
      </c>
      <c r="AA163" s="26">
        <f>IF(SUM($B87:$AP87)-SUM($B163:Z163)&gt;$AI6,IF((SUM($B144:AA144)-SUM($B163:Z163))/$AI6&gt;1,ROUNDDOWN((SUM($B144:AA144)-SUM($B163:Z163))/$AI6,0)*$AI6,0),SUM($B87:$AP87)-SUM($B163:Z163))</f>
        <v>39096</v>
      </c>
      <c r="AB163" s="26">
        <f>IF(SUM($B87:$AP87)-SUM($B163:AA163)&gt;$AI6,IF((SUM($B144:AB144)-SUM($B163:AA163))/$AI6&gt;1,ROUNDDOWN((SUM($B144:AB144)-SUM($B163:AA163))/$AI6,0)*$AI6,0),SUM($B87:$AP87)-SUM($B163:AA163))</f>
        <v>40044</v>
      </c>
      <c r="AC163" s="26">
        <f>IF(SUM($B87:$AP87)-SUM($B163:AB163)&gt;$AI6,IF((SUM($B144:AC144)-SUM($B163:AB163))/$AI6&gt;1,ROUNDDOWN((SUM($B144:AC144)-SUM($B163:AB163))/$AI6,0)*$AI6,0),SUM($B87:$AP87)-SUM($B163:AB163))</f>
        <v>40920</v>
      </c>
      <c r="AD163" s="26">
        <f>IF(SUM($B87:$AP87)-SUM($B163:AC163)&gt;$AI6,IF((SUM($B144:AD144)-SUM($B163:AC163))/$AI6&gt;1,ROUNDDOWN((SUM($B144:AD144)-SUM($B163:AC163))/$AI6,0)*$AI6,0),SUM($B87:$AP87)-SUM($B163:AC163))</f>
        <v>41694</v>
      </c>
      <c r="AE163" s="26">
        <f>IF(SUM($B87:$AP87)-SUM($B163:AD163)&gt;$AI6,IF((SUM($B144:AE144)-SUM($B163:AD163))/$AI6&gt;1,ROUNDDOWN((SUM($B144:AE144)-SUM($B163:AD163))/$AI6,0)*$AI6,0),SUM($B87:$AP87)-SUM($B163:AD163))</f>
        <v>42384</v>
      </c>
      <c r="AF163" s="26">
        <f>IF(SUM($B87:$AP87)-SUM($B163:AE163)&gt;$AI6,IF((SUM($B144:AF144)-SUM($B163:AE163))/$AI6&gt;1,ROUNDDOWN((SUM($B144:AF144)-SUM($B163:AE163))/$AI6,0)*$AI6,0),SUM($B87:$AP87)-SUM($B163:AE163))</f>
        <v>42864</v>
      </c>
      <c r="AG163" s="26">
        <f>IF(SUM($B87:$AP87)-SUM($B163:AF163)&gt;$AI6,IF((SUM($B144:AG144)-SUM($B163:AF163))/$AI6&gt;1,ROUNDDOWN((SUM($B144:AG144)-SUM($B163:AF163))/$AI6,0)*$AI6,0),SUM($B87:$AP87)-SUM($B163:AF163))</f>
        <v>43032</v>
      </c>
      <c r="AH163" s="26">
        <f>IF(SUM($B87:$AP87)-SUM($B163:AG163)&gt;$AI6,IF((SUM($B144:AH144)-SUM($B163:AG163))/$AI6&gt;1,ROUNDDOWN((SUM($B144:AH144)-SUM($B163:AG163))/$AI6,0)*$AI6,0),SUM($B87:$AP87)-SUM($B163:AG163))</f>
        <v>43050</v>
      </c>
      <c r="AI163" s="26">
        <f>IF(SUM($B87:$AP87)-SUM($B163:AH163)&gt;$AI6,IF((SUM($B144:AI144)-SUM($B163:AH163))/$AI6&gt;1,ROUNDDOWN((SUM($B144:AI144)-SUM($B163:AH163))/$AI6,0)*$AI6,0),SUM($B87:$AP87)-SUM($B163:AH163))</f>
        <v>42828</v>
      </c>
      <c r="AJ163" s="26">
        <f>IF(SUM($B87:$AP87)-SUM($B163:AI163)&gt;$AI6,IF((SUM($B144:AJ144)-SUM($B163:AI163))/$AI6&gt;1,ROUNDDOWN((SUM($B144:AJ144)-SUM($B163:AI163))/$AI6,0)*$AI6,0),SUM($B87:$AP87)-SUM($B163:AI163))</f>
        <v>42426</v>
      </c>
      <c r="AK163" s="26">
        <f>IF(SUM($B87:$AP87)-SUM($B163:AJ163)&gt;$AI6,IF((SUM($B144:AK144)-SUM($B163:AJ163))/$AI6&gt;1,ROUNDDOWN((SUM($B144:AK144)-SUM($B163:AJ163))/$AI6,0)*$AI6,0),SUM($B87:$AP87)-SUM($B163:AJ163))</f>
        <v>41898</v>
      </c>
      <c r="AL163" s="26">
        <f>IF(SUM($B87:$AP87)-SUM($B163:AK163)&gt;$AI6,IF((SUM($B144:AL144)-SUM($B163:AK163))/$AI6&gt;1,ROUNDDOWN((SUM($B144:AL144)-SUM($B163:AK163))/$AI6,0)*$AI6,0),SUM($B87:$AP87)-SUM($B163:AK163))</f>
        <v>40938</v>
      </c>
      <c r="AM163" s="26">
        <f>IF(SUM($B87:$AP87)-SUM($B163:AL163)&gt;$AI6,IF((SUM($B144:AM144)-SUM($B163:AL163))/$AI6&gt;1,ROUNDDOWN((SUM($B144:AM144)-SUM($B163:AL163))/$AI6,0)*$AI6,0),SUM($B87:$AP87)-SUM($B163:AL163))</f>
        <v>39744</v>
      </c>
      <c r="AN163" s="26">
        <f>IF(SUM($B87:$AP87)-SUM($B163:AM163)&gt;$AI6,IF((SUM($B144:AN144)-SUM($B163:AM163))/$AI6&gt;1,ROUNDDOWN((SUM($B144:AN144)-SUM($B163:AM163))/$AI6,0)*$AI6,0),SUM($B87:$AP87)-SUM($B163:AM163))</f>
        <v>38520</v>
      </c>
      <c r="AO163" s="26">
        <f>IF(SUM($B87:$AP87)-SUM($B163:AN163)&gt;$AI6,IF((SUM($B144:AO144)-SUM($B163:AN163))/$AI6&gt;1,ROUNDDOWN((SUM($B144:AO144)-SUM($B163:AN163))/$AI6,0)*$AI6,0),SUM($B87:$AP87)-SUM($B163:AN163))</f>
        <v>37008</v>
      </c>
      <c r="AP163" s="26">
        <f>IF(SUM($B87:$AP87)-SUM($B163:AO163)&gt;$AI6,IF((SUM($B144:AP144)-SUM($B163:AO163))/$AI6&gt;1,ROUNDDOWN((SUM($B144:AP144)-SUM($B163:AO163))/$AI6,0)*$AI6,0),SUM($B87:$AP87)-SUM($B163:AO163))</f>
        <v>35316</v>
      </c>
    </row>
    <row r="164" spans="1:42">
      <c r="A164" t="s">
        <v>2370</v>
      </c>
      <c r="B164" s="26">
        <v>0</v>
      </c>
      <c r="C164" s="26">
        <f>IF(SUM($B88:$AP88)-SUM($B164:B164)&gt;$AI7,IF((SUM($B145:C145)-SUM($B164:B164))/$AI7&gt;1,ROUNDDOWN((SUM($B145:C145)-SUM($B164:B164))/$AI7,0)*$AI7,0),SUM($B88:$AP88)-SUM($B164:B164))</f>
        <v>275</v>
      </c>
      <c r="D164" s="26">
        <f>IF(SUM($B88:$AP88)-SUM($B164:C164)&gt;$AI7,IF((SUM($B145:D145)-SUM($B164:C164))/$AI7&gt;1,ROUNDDOWN((SUM($B145:D145)-SUM($B164:C164))/$AI7,0)*$AI7,0),SUM($B88:$AP88)-SUM($B164:C164))</f>
        <v>190</v>
      </c>
      <c r="E164" s="26">
        <f>IF(SUM($B88:$AP88)-SUM($B164:D164)&gt;$AI7,IF((SUM($B145:E145)-SUM($B164:D164))/$AI7&gt;1,ROUNDDOWN((SUM($B145:E145)-SUM($B164:D164))/$AI7,0)*$AI7,0),SUM($B88:$AP88)-SUM($B164:D164))</f>
        <v>230</v>
      </c>
      <c r="F164" s="26">
        <f>IF(SUM($B88:$AP88)-SUM($B164:E164)&gt;$AI7,IF((SUM($B145:F145)-SUM($B164:E164))/$AI7&gt;1,ROUNDDOWN((SUM($B145:F145)-SUM($B164:E164))/$AI7,0)*$AI7,0),SUM($B88:$AP88)-SUM($B164:E164))</f>
        <v>275</v>
      </c>
      <c r="G164" s="26">
        <f>IF(SUM($B88:$AP88)-SUM($B164:F164)&gt;$AI7,IF((SUM($B145:G145)-SUM($B164:F164))/$AI7&gt;1,ROUNDDOWN((SUM($B145:G145)-SUM($B164:F164))/$AI7,0)*$AI7,0),SUM($B88:$AP88)-SUM($B164:F164))</f>
        <v>325</v>
      </c>
      <c r="H164" s="26">
        <f>IF(SUM($B88:$AP88)-SUM($B164:G164)&gt;$AI7,IF((SUM($B145:H145)-SUM($B164:G164))/$AI7&gt;1,ROUNDDOWN((SUM($B145:H145)-SUM($B164:G164))/$AI7,0)*$AI7,0),SUM($B88:$AP88)-SUM($B164:G164))</f>
        <v>385</v>
      </c>
      <c r="I164" s="26">
        <f>IF(SUM($B88:$AP88)-SUM($B164:H164)&gt;$AI7,IF((SUM($B145:I145)-SUM($B164:H164))/$AI7&gt;1,ROUNDDOWN((SUM($B145:I145)-SUM($B164:H164))/$AI7,0)*$AI7,0),SUM($B88:$AP88)-SUM($B164:H164))</f>
        <v>465</v>
      </c>
      <c r="J164" s="26">
        <f>IF(SUM($B88:$AP88)-SUM($B164:I164)&gt;$AI7,IF((SUM($B145:J145)-SUM($B164:I164))/$AI7&gt;1,ROUNDDOWN((SUM($B145:J145)-SUM($B164:I164))/$AI7,0)*$AI7,0),SUM($B88:$AP88)-SUM($B164:I164))</f>
        <v>545</v>
      </c>
      <c r="K164" s="26">
        <f>IF(SUM($B88:$AP88)-SUM($B164:J164)&gt;$AI7,IF((SUM($B145:K145)-SUM($B164:J164))/$AI7&gt;1,ROUNDDOWN((SUM($B145:K145)-SUM($B164:J164))/$AI7,0)*$AI7,0),SUM($B88:$AP88)-SUM($B164:J164))</f>
        <v>630</v>
      </c>
      <c r="L164" s="26">
        <f>IF(SUM($B88:$AP88)-SUM($B164:K164)&gt;$AI7,IF((SUM($B145:L145)-SUM($B164:K164))/$AI7&gt;1,ROUNDDOWN((SUM($B145:L145)-SUM($B164:K164))/$AI7,0)*$AI7,0),SUM($B88:$AP88)-SUM($B164:K164))</f>
        <v>720</v>
      </c>
      <c r="M164" s="26">
        <f>IF(SUM($B88:$AP88)-SUM($B164:L164)&gt;$AI7,IF((SUM($B145:M145)-SUM($B164:L164))/$AI7&gt;1,ROUNDDOWN((SUM($B145:M145)-SUM($B164:L164))/$AI7,0)*$AI7,0),SUM($B88:$AP88)-SUM($B164:L164))</f>
        <v>800</v>
      </c>
      <c r="N164" s="26">
        <f>IF(SUM($B88:$AP88)-SUM($B164:M164)&gt;$AI7,IF((SUM($B145:N145)-SUM($B164:M164))/$AI7&gt;1,ROUNDDOWN((SUM($B145:N145)-SUM($B164:M164))/$AI7,0)*$AI7,0),SUM($B88:$AP88)-SUM($B164:M164))</f>
        <v>870</v>
      </c>
      <c r="O164" s="26">
        <f>IF(SUM($B88:$AP88)-SUM($B164:N164)&gt;$AI7,IF((SUM($B145:O145)-SUM($B164:N164))/$AI7&gt;1,ROUNDDOWN((SUM($B145:O145)-SUM($B164:N164))/$AI7,0)*$AI7,0),SUM($B88:$AP88)-SUM($B164:N164))</f>
        <v>930</v>
      </c>
      <c r="P164" s="26">
        <f>IF(SUM($B88:$AP88)-SUM($B164:O164)&gt;$AI7,IF((SUM($B145:P145)-SUM($B164:O164))/$AI7&gt;1,ROUNDDOWN((SUM($B145:P145)-SUM($B164:O164))/$AI7,0)*$AI7,0),SUM($B88:$AP88)-SUM($B164:O164))</f>
        <v>990</v>
      </c>
      <c r="Q164" s="26">
        <f>IF(SUM($B88:$AP88)-SUM($B164:P164)&gt;$AI7,IF((SUM($B145:Q145)-SUM($B164:P164))/$AI7&gt;1,ROUNDDOWN((SUM($B145:Q145)-SUM($B164:P164))/$AI7,0)*$AI7,0),SUM($B88:$AP88)-SUM($B164:P164))</f>
        <v>1060</v>
      </c>
      <c r="R164" s="26">
        <f>IF(SUM($B88:$AP88)-SUM($B164:Q164)&gt;$AI7,IF((SUM($B145:R145)-SUM($B164:Q164))/$AI7&gt;1,ROUNDDOWN((SUM($B145:R145)-SUM($B164:Q164))/$AI7,0)*$AI7,0),SUM($B88:$AP88)-SUM($B164:Q164))</f>
        <v>1125</v>
      </c>
      <c r="S164" s="26">
        <f>IF(SUM($B88:$AP88)-SUM($B164:R164)&gt;$AI7,IF((SUM($B145:S145)-SUM($B164:R164))/$AI7&gt;1,ROUNDDOWN((SUM($B145:S145)-SUM($B164:R164))/$AI7,0)*$AI7,0),SUM($B88:$AP88)-SUM($B164:R164))</f>
        <v>1195</v>
      </c>
      <c r="T164" s="26">
        <f>IF(SUM($B88:$AP88)-SUM($B164:S164)&gt;$AI7,IF((SUM($B145:T145)-SUM($B164:S164))/$AI7&gt;1,ROUNDDOWN((SUM($B145:T145)-SUM($B164:S164))/$AI7,0)*$AI7,0),SUM($B88:$AP88)-SUM($B164:S164))</f>
        <v>1270</v>
      </c>
      <c r="U164" s="26">
        <f>IF(SUM($B88:$AP88)-SUM($B164:T164)&gt;$AI7,IF((SUM($B145:U145)-SUM($B164:T164))/$AI7&gt;1,ROUNDDOWN((SUM($B145:U145)-SUM($B164:T164))/$AI7,0)*$AI7,0),SUM($B88:$AP88)-SUM($B164:T164))</f>
        <v>1355</v>
      </c>
      <c r="V164" s="26">
        <f>IF(SUM($B88:$AP88)-SUM($B164:U164)&gt;$AI7,IF((SUM($B145:V145)-SUM($B164:U164))/$AI7&gt;1,ROUNDDOWN((SUM($B145:V145)-SUM($B164:U164))/$AI7,0)*$AI7,0),SUM($B88:$AP88)-SUM($B164:U164))</f>
        <v>1450</v>
      </c>
      <c r="W164" s="26">
        <f>IF(SUM($B88:$AP88)-SUM($B164:V164)&gt;$AI7,IF((SUM($B145:W145)-SUM($B164:V164))/$AI7&gt;1,ROUNDDOWN((SUM($B145:W145)-SUM($B164:V164))/$AI7,0)*$AI7,0),SUM($B88:$AP88)-SUM($B164:V164))</f>
        <v>1545</v>
      </c>
      <c r="X164" s="26">
        <f>IF(SUM($B88:$AP88)-SUM($B164:W164)&gt;$AI7,IF((SUM($B145:X145)-SUM($B164:W164))/$AI7&gt;1,ROUNDDOWN((SUM($B145:X145)-SUM($B164:W164))/$AI7,0)*$AI7,0),SUM($B88:$AP88)-SUM($B164:W164))</f>
        <v>1625</v>
      </c>
      <c r="Y164" s="26">
        <f>IF(SUM($B88:$AP88)-SUM($B164:X164)&gt;$AI7,IF((SUM($B145:Y145)-SUM($B164:X164))/$AI7&gt;1,ROUNDDOWN((SUM($B145:Y145)-SUM($B164:X164))/$AI7,0)*$AI7,0),SUM($B88:$AP88)-SUM($B164:X164))</f>
        <v>1710</v>
      </c>
      <c r="Z164" s="26">
        <f>IF(SUM($B88:$AP88)-SUM($B164:Y164)&gt;$AI7,IF((SUM($B145:Z145)-SUM($B164:Y164))/$AI7&gt;1,ROUNDDOWN((SUM($B145:Z145)-SUM($B164:Y164))/$AI7,0)*$AI7,0),SUM($B88:$AP88)-SUM($B164:Y164))</f>
        <v>1790</v>
      </c>
      <c r="AA164" s="26">
        <f>IF(SUM($B88:$AP88)-SUM($B164:Z164)&gt;$AI7,IF((SUM($B145:AA145)-SUM($B164:Z164))/$AI7&gt;1,ROUNDDOWN((SUM($B145:AA145)-SUM($B164:Z164))/$AI7,0)*$AI7,0),SUM($B88:$AP88)-SUM($B164:Z164))</f>
        <v>1865</v>
      </c>
      <c r="AB164" s="26">
        <f>IF(SUM($B88:$AP88)-SUM($B164:AA164)&gt;$AI7,IF((SUM($B145:AB145)-SUM($B164:AA164))/$AI7&gt;1,ROUNDDOWN((SUM($B145:AB145)-SUM($B164:AA164))/$AI7,0)*$AI7,0),SUM($B88:$AP88)-SUM($B164:AA164))</f>
        <v>1915</v>
      </c>
      <c r="AC164" s="26">
        <f>IF(SUM($B88:$AP88)-SUM($B164:AB164)&gt;$AI7,IF((SUM($B145:AC145)-SUM($B164:AB164))/$AI7&gt;1,ROUNDDOWN((SUM($B145:AC145)-SUM($B164:AB164))/$AI7,0)*$AI7,0),SUM($B88:$AP88)-SUM($B164:AB164))</f>
        <v>1965</v>
      </c>
      <c r="AD164" s="26">
        <f>IF(SUM($B88:$AP88)-SUM($B164:AC164)&gt;$AI7,IF((SUM($B145:AD145)-SUM($B164:AC164))/$AI7&gt;1,ROUNDDOWN((SUM($B145:AD145)-SUM($B164:AC164))/$AI7,0)*$AI7,0),SUM($B88:$AP88)-SUM($B164:AC164))</f>
        <v>2035</v>
      </c>
      <c r="AE164" s="26">
        <f>IF(SUM($B88:$AP88)-SUM($B164:AD164)&gt;$AI7,IF((SUM($B145:AE145)-SUM($B164:AD164))/$AI7&gt;1,ROUNDDOWN((SUM($B145:AE145)-SUM($B164:AD164))/$AI7,0)*$AI7,0),SUM($B88:$AP88)-SUM($B164:AD164))</f>
        <v>2095</v>
      </c>
      <c r="AF164" s="26">
        <f>IF(SUM($B88:$AP88)-SUM($B164:AE164)&gt;$AI7,IF((SUM($B145:AF145)-SUM($B164:AE164))/$AI7&gt;1,ROUNDDOWN((SUM($B145:AF145)-SUM($B164:AE164))/$AI7,0)*$AI7,0),SUM($B88:$AP88)-SUM($B164:AE164))</f>
        <v>2115</v>
      </c>
      <c r="AG164" s="26">
        <f>IF(SUM($B88:$AP88)-SUM($B164:AF164)&gt;$AI7,IF((SUM($B145:AG145)-SUM($B164:AF164))/$AI7&gt;1,ROUNDDOWN((SUM($B145:AG145)-SUM($B164:AF164))/$AI7,0)*$AI7,0),SUM($B88:$AP88)-SUM($B164:AF164))</f>
        <v>2100</v>
      </c>
      <c r="AH164" s="26">
        <f>IF(SUM($B88:$AP88)-SUM($B164:AG164)&gt;$AI7,IF((SUM($B145:AH145)-SUM($B164:AG164))/$AI7&gt;1,ROUNDDOWN((SUM($B145:AH145)-SUM($B164:AG164))/$AI7,0)*$AI7,0),SUM($B88:$AP88)-SUM($B164:AG164))</f>
        <v>2080</v>
      </c>
      <c r="AI164" s="26">
        <f>IF(SUM($B88:$AP88)-SUM($B164:AH164)&gt;$AI7,IF((SUM($B145:AI145)-SUM($B164:AH164))/$AI7&gt;1,ROUNDDOWN((SUM($B145:AI145)-SUM($B164:AH164))/$AI7,0)*$AI7,0),SUM($B88:$AP88)-SUM($B164:AH164))</f>
        <v>2060</v>
      </c>
      <c r="AJ164" s="26">
        <f>IF(SUM($B88:$AP88)-SUM($B164:AI164)&gt;$AI7,IF((SUM($B145:AJ145)-SUM($B164:AI164))/$AI7&gt;1,ROUNDDOWN((SUM($B145:AJ145)-SUM($B164:AI164))/$AI7,0)*$AI7,0),SUM($B88:$AP88)-SUM($B164:AI164))</f>
        <v>2015</v>
      </c>
      <c r="AK164" s="26">
        <f>IF(SUM($B88:$AP88)-SUM($B164:AJ164)&gt;$AI7,IF((SUM($B145:AK145)-SUM($B164:AJ164))/$AI7&gt;1,ROUNDDOWN((SUM($B145:AK145)-SUM($B164:AJ164))/$AI7,0)*$AI7,0),SUM($B88:$AP88)-SUM($B164:AJ164))</f>
        <v>1980</v>
      </c>
      <c r="AL164" s="26">
        <f>IF(SUM($B88:$AP88)-SUM($B164:AK164)&gt;$AI7,IF((SUM($B145:AL145)-SUM($B164:AK164))/$AI7&gt;1,ROUNDDOWN((SUM($B145:AL145)-SUM($B164:AK164))/$AI7,0)*$AI7,0),SUM($B88:$AP88)-SUM($B164:AK164))</f>
        <v>1930</v>
      </c>
      <c r="AM164" s="26">
        <f>IF(SUM($B88:$AP88)-SUM($B164:AL164)&gt;$AI7,IF((SUM($B145:AM145)-SUM($B164:AL164))/$AI7&gt;1,ROUNDDOWN((SUM($B145:AM145)-SUM($B164:AL164))/$AI7,0)*$AI7,0),SUM($B88:$AP88)-SUM($B164:AL164))</f>
        <v>1870</v>
      </c>
      <c r="AN164" s="26">
        <f>IF(SUM($B88:$AP88)-SUM($B164:AM164)&gt;$AI7,IF((SUM($B145:AN145)-SUM($B164:AM164))/$AI7&gt;1,ROUNDDOWN((SUM($B145:AN145)-SUM($B164:AM164))/$AI7,0)*$AI7,0),SUM($B88:$AP88)-SUM($B164:AM164))</f>
        <v>1810</v>
      </c>
      <c r="AO164" s="26">
        <f>IF(SUM($B88:$AP88)-SUM($B164:AN164)&gt;$AI7,IF((SUM($B145:AO145)-SUM($B164:AN164))/$AI7&gt;1,ROUNDDOWN((SUM($B145:AO145)-SUM($B164:AN164))/$AI7,0)*$AI7,0),SUM($B88:$AP88)-SUM($B164:AN164))</f>
        <v>1725</v>
      </c>
      <c r="AP164" s="26">
        <f>IF(SUM($B88:$AP88)-SUM($B164:AO164)&gt;$AI7,IF((SUM($B145:AP145)-SUM($B164:AO164))/$AI7&gt;1,ROUNDDOWN((SUM($B145:AP145)-SUM($B164:AO164))/$AI7,0)*$AI7,0),SUM($B88:$AP88)-SUM($B164:AO164))</f>
        <v>1625</v>
      </c>
    </row>
    <row r="165" spans="1:42">
      <c r="A165" t="s">
        <v>2371</v>
      </c>
      <c r="B165" s="26">
        <v>0</v>
      </c>
      <c r="C165" s="26">
        <f>IF(SUM($B89:$AP89)-SUM($B165:B165)&gt;$AI8,IF((SUM($B146:C146)-SUM($B165:B165))/$AI8&gt;1,ROUNDDOWN((SUM($B146:C146)-SUM($B165:B165))/$AI8,0)*$AI8,0),SUM($B89:$AP89)-SUM($B165:B165))</f>
        <v>0</v>
      </c>
      <c r="D165" s="26">
        <f>IF(SUM($B89:$AP89)-SUM($B165:C165)&gt;$AI8,IF((SUM($B146:D146)-SUM($B165:C165))/$AI8&gt;1,ROUNDDOWN((SUM($B146:D146)-SUM($B165:C165))/$AI8,0)*$AI8,0),SUM($B89:$AP89)-SUM($B165:C165))</f>
        <v>0</v>
      </c>
      <c r="E165" s="26">
        <f>IF(SUM($B89:$AP89)-SUM($B165:D165)&gt;$AI8,IF((SUM($B146:E146)-SUM($B165:D165))/$AI8&gt;1,ROUNDDOWN((SUM($B146:E146)-SUM($B165:D165))/$AI8,0)*$AI8,0),SUM($B89:$AP89)-SUM($B165:D165))</f>
        <v>0</v>
      </c>
      <c r="F165" s="26">
        <f>IF(SUM($B89:$AP89)-SUM($B165:E165)&gt;$AI8,IF((SUM($B146:F146)-SUM($B165:E165))/$AI8&gt;1,ROUNDDOWN((SUM($B146:F146)-SUM($B165:E165))/$AI8,0)*$AI8,0),SUM($B89:$AP89)-SUM($B165:E165))</f>
        <v>0</v>
      </c>
      <c r="G165" s="26">
        <f>IF(SUM($B89:$AP89)-SUM($B165:F165)&gt;$AI8,IF((SUM($B146:G146)-SUM($B165:F165))/$AI8&gt;1,ROUNDDOWN((SUM($B146:G146)-SUM($B165:F165))/$AI8,0)*$AI8,0),SUM($B89:$AP89)-SUM($B165:F165))</f>
        <v>0</v>
      </c>
      <c r="H165" s="26">
        <f>IF(SUM($B89:$AP89)-SUM($B165:G165)&gt;$AI8,IF((SUM($B146:H146)-SUM($B165:G165))/$AI8&gt;1,ROUNDDOWN((SUM($B146:H146)-SUM($B165:G165))/$AI8,0)*$AI8,0),SUM($B89:$AP89)-SUM($B165:G165))</f>
        <v>0</v>
      </c>
      <c r="I165" s="26">
        <f>IF(SUM($B89:$AP89)-SUM($B165:H165)&gt;$AI8,IF((SUM($B146:I146)-SUM($B165:H165))/$AI8&gt;1,ROUNDDOWN((SUM($B146:I146)-SUM($B165:H165))/$AI8,0)*$AI8,0),SUM($B89:$AP89)-SUM($B165:H165))</f>
        <v>0</v>
      </c>
      <c r="J165" s="26">
        <f>IF(SUM($B89:$AP89)-SUM($B165:I165)&gt;$AI8,IF((SUM($B146:J146)-SUM($B165:I165))/$AI8&gt;1,ROUNDDOWN((SUM($B146:J146)-SUM($B165:I165))/$AI8,0)*$AI8,0),SUM($B89:$AP89)-SUM($B165:I165))</f>
        <v>0</v>
      </c>
      <c r="K165" s="26">
        <f>IF(SUM($B89:$AP89)-SUM($B165:J165)&gt;$AI8,IF((SUM($B146:K146)-SUM($B165:J165))/$AI8&gt;1,ROUNDDOWN((SUM($B146:K146)-SUM($B165:J165))/$AI8,0)*$AI8,0),SUM($B89:$AP89)-SUM($B165:J165))</f>
        <v>0</v>
      </c>
      <c r="L165" s="26">
        <f>IF(SUM($B89:$AP89)-SUM($B165:K165)&gt;$AI8,IF((SUM($B146:L146)-SUM($B165:K165))/$AI8&gt;1,ROUNDDOWN((SUM($B146:L146)-SUM($B165:K165))/$AI8,0)*$AI8,0),SUM($B89:$AP89)-SUM($B165:K165))</f>
        <v>0</v>
      </c>
      <c r="M165" s="26">
        <f>IF(SUM($B89:$AP89)-SUM($B165:L165)&gt;$AI8,IF((SUM($B146:M146)-SUM($B165:L165))/$AI8&gt;1,ROUNDDOWN((SUM($B146:M146)-SUM($B165:L165))/$AI8,0)*$AI8,0),SUM($B89:$AP89)-SUM($B165:L165))</f>
        <v>0</v>
      </c>
      <c r="N165" s="26">
        <f>IF(SUM($B89:$AP89)-SUM($B165:M165)&gt;$AI8,IF((SUM($B146:N146)-SUM($B165:M165))/$AI8&gt;1,ROUNDDOWN((SUM($B146:N146)-SUM($B165:M165))/$AI8,0)*$AI8,0),SUM($B89:$AP89)-SUM($B165:M165))</f>
        <v>0</v>
      </c>
      <c r="O165" s="26">
        <f>IF(SUM($B89:$AP89)-SUM($B165:N165)&gt;$AI8,IF((SUM($B146:O146)-SUM($B165:N165))/$AI8&gt;1,ROUNDDOWN((SUM($B146:O146)-SUM($B165:N165))/$AI8,0)*$AI8,0),SUM($B89:$AP89)-SUM($B165:N165))</f>
        <v>0</v>
      </c>
      <c r="P165" s="26">
        <f>IF(SUM($B89:$AP89)-SUM($B165:O165)&gt;$AI8,IF((SUM($B146:P146)-SUM($B165:O165))/$AI8&gt;1,ROUNDDOWN((SUM($B146:P146)-SUM($B165:O165))/$AI8,0)*$AI8,0),SUM($B89:$AP89)-SUM($B165:O165))</f>
        <v>0</v>
      </c>
      <c r="Q165" s="26">
        <f>IF(SUM($B89:$AP89)-SUM($B165:P165)&gt;$AI8,IF((SUM($B146:Q146)-SUM($B165:P165))/$AI8&gt;1,ROUNDDOWN((SUM($B146:Q146)-SUM($B165:P165))/$AI8,0)*$AI8,0),SUM($B89:$AP89)-SUM($B165:P165))</f>
        <v>0</v>
      </c>
      <c r="R165" s="26">
        <f>IF(SUM($B89:$AP89)-SUM($B165:Q165)&gt;$AI8,IF((SUM($B146:R146)-SUM($B165:Q165))/$AI8&gt;1,ROUNDDOWN((SUM($B146:R146)-SUM($B165:Q165))/$AI8,0)*$AI8,0),SUM($B89:$AP89)-SUM($B165:Q165))</f>
        <v>0</v>
      </c>
      <c r="S165" s="26">
        <f>IF(SUM($B89:$AP89)-SUM($B165:R165)&gt;$AI8,IF((SUM($B146:S146)-SUM($B165:R165))/$AI8&gt;1,ROUNDDOWN((SUM($B146:S146)-SUM($B165:R165))/$AI8,0)*$AI8,0),SUM($B89:$AP89)-SUM($B165:R165))</f>
        <v>0</v>
      </c>
      <c r="T165" s="26">
        <f>IF(SUM($B89:$AP89)-SUM($B165:S165)&gt;$AI8,IF((SUM($B146:T146)-SUM($B165:S165))/$AI8&gt;1,ROUNDDOWN((SUM($B146:T146)-SUM($B165:S165))/$AI8,0)*$AI8,0),SUM($B89:$AP89)-SUM($B165:S165))</f>
        <v>0</v>
      </c>
      <c r="U165" s="26">
        <f>IF(SUM($B89:$AP89)-SUM($B165:T165)&gt;$AI8,IF((SUM($B146:U146)-SUM($B165:T165))/$AI8&gt;1,ROUNDDOWN((SUM($B146:U146)-SUM($B165:T165))/$AI8,0)*$AI8,0),SUM($B89:$AP89)-SUM($B165:T165))</f>
        <v>0</v>
      </c>
      <c r="V165" s="26">
        <f>IF(SUM($B89:$AP89)-SUM($B165:U165)&gt;$AI8,IF((SUM($B146:V146)-SUM($B165:U165))/$AI8&gt;1,ROUNDDOWN((SUM($B146:V146)-SUM($B165:U165))/$AI8,0)*$AI8,0),SUM($B89:$AP89)-SUM($B165:U165))</f>
        <v>0</v>
      </c>
      <c r="W165" s="26">
        <f>IF(SUM($B89:$AP89)-SUM($B165:V165)&gt;$AI8,IF((SUM($B146:W146)-SUM($B165:V165))/$AI8&gt;1,ROUNDDOWN((SUM($B146:W146)-SUM($B165:V165))/$AI8,0)*$AI8,0),SUM($B89:$AP89)-SUM($B165:V165))</f>
        <v>0</v>
      </c>
      <c r="X165" s="26">
        <f>IF(SUM($B89:$AP89)-SUM($B165:W165)&gt;$AI8,IF((SUM($B146:X146)-SUM($B165:W165))/$AI8&gt;1,ROUNDDOWN((SUM($B146:X146)-SUM($B165:W165))/$AI8,0)*$AI8,0),SUM($B89:$AP89)-SUM($B165:W165))</f>
        <v>0</v>
      </c>
      <c r="Y165" s="26">
        <f>IF(SUM($B89:$AP89)-SUM($B165:X165)&gt;$AI8,IF((SUM($B146:Y146)-SUM($B165:X165))/$AI8&gt;1,ROUNDDOWN((SUM($B146:Y146)-SUM($B165:X165))/$AI8,0)*$AI8,0),SUM($B89:$AP89)-SUM($B165:X165))</f>
        <v>650</v>
      </c>
      <c r="Z165" s="26">
        <f>IF(SUM($B89:$AP89)-SUM($B165:Y165)&gt;$AI8,IF((SUM($B146:Z146)-SUM($B165:Y165))/$AI8&gt;1,ROUNDDOWN((SUM($B146:Z146)-SUM($B165:Y165))/$AI8,0)*$AI8,0),SUM($B89:$AP89)-SUM($B165:Y165))</f>
        <v>650</v>
      </c>
      <c r="AA165" s="26">
        <f>IF(SUM($B89:$AP89)-SUM($B165:Z165)&gt;$AI8,IF((SUM($B146:AA146)-SUM($B165:Z165))/$AI8&gt;1,ROUNDDOWN((SUM($B146:AA146)-SUM($B165:Z165))/$AI8,0)*$AI8,0),SUM($B89:$AP89)-SUM($B165:Z165))</f>
        <v>0</v>
      </c>
      <c r="AB165" s="26">
        <f>IF(SUM($B89:$AP89)-SUM($B165:AA165)&gt;$AI8,IF((SUM($B146:AB146)-SUM($B165:AA165))/$AI8&gt;1,ROUNDDOWN((SUM($B146:AB146)-SUM($B165:AA165))/$AI8,0)*$AI8,0),SUM($B89:$AP89)-SUM($B165:AA165))</f>
        <v>0</v>
      </c>
      <c r="AC165" s="26">
        <f>IF(SUM($B89:$AP89)-SUM($B165:AB165)&gt;$AI8,IF((SUM($B146:AC146)-SUM($B165:AB165))/$AI8&gt;1,ROUNDDOWN((SUM($B146:AC146)-SUM($B165:AB165))/$AI8,0)*$AI8,0),SUM($B89:$AP89)-SUM($B165:AB165))</f>
        <v>0</v>
      </c>
      <c r="AD165" s="26">
        <f>IF(SUM($B89:$AP89)-SUM($B165:AC165)&gt;$AI8,IF((SUM($B146:AD146)-SUM($B165:AC165))/$AI8&gt;1,ROUNDDOWN((SUM($B146:AD146)-SUM($B165:AC165))/$AI8,0)*$AI8,0),SUM($B89:$AP89)-SUM($B165:AC165))</f>
        <v>0</v>
      </c>
      <c r="AE165" s="26">
        <f>IF(SUM($B89:$AP89)-SUM($B165:AD165)&gt;$AI8,IF((SUM($B146:AE146)-SUM($B165:AD165))/$AI8&gt;1,ROUNDDOWN((SUM($B146:AE146)-SUM($B165:AD165))/$AI8,0)*$AI8,0),SUM($B89:$AP89)-SUM($B165:AD165))</f>
        <v>0</v>
      </c>
      <c r="AF165" s="26">
        <f>IF(SUM($B89:$AP89)-SUM($B165:AE165)&gt;$AI8,IF((SUM($B146:AF146)-SUM($B165:AE165))/$AI8&gt;1,ROUNDDOWN((SUM($B146:AF146)-SUM($B165:AE165))/$AI8,0)*$AI8,0),SUM($B89:$AP89)-SUM($B165:AE165))</f>
        <v>650</v>
      </c>
      <c r="AG165" s="26">
        <f>IF(SUM($B89:$AP89)-SUM($B165:AF165)&gt;$AI8,IF((SUM($B146:AG146)-SUM($B165:AF165))/$AI8&gt;1,ROUNDDOWN((SUM($B146:AG146)-SUM($B165:AF165))/$AI8,0)*$AI8,0),SUM($B89:$AP89)-SUM($B165:AF165))</f>
        <v>1300</v>
      </c>
      <c r="AH165" s="26">
        <f>IF(SUM($B89:$AP89)-SUM($B165:AG165)&gt;$AI8,IF((SUM($B146:AH146)-SUM($B165:AG165))/$AI8&gt;1,ROUNDDOWN((SUM($B146:AH146)-SUM($B165:AG165))/$AI8,0)*$AI8,0),SUM($B89:$AP89)-SUM($B165:AG165))</f>
        <v>650</v>
      </c>
      <c r="AI165" s="26">
        <f>IF(SUM($B89:$AP89)-SUM($B165:AH165)&gt;$AI8,IF((SUM($B146:AI146)-SUM($B165:AH165))/$AI8&gt;1,ROUNDDOWN((SUM($B146:AI146)-SUM($B165:AH165))/$AI8,0)*$AI8,0),SUM($B89:$AP89)-SUM($B165:AH165))</f>
        <v>1300</v>
      </c>
      <c r="AJ165" s="26">
        <f>IF(SUM($B89:$AP89)-SUM($B165:AI165)&gt;$AI8,IF((SUM($B146:AJ146)-SUM($B165:AI165))/$AI8&gt;1,ROUNDDOWN((SUM($B146:AJ146)-SUM($B165:AI165))/$AI8,0)*$AI8,0),SUM($B89:$AP89)-SUM($B165:AI165))</f>
        <v>650</v>
      </c>
      <c r="AK165" s="26">
        <f>IF(SUM($B89:$AP89)-SUM($B165:AJ165)&gt;$AI8,IF((SUM($B146:AK146)-SUM($B165:AJ165))/$AI8&gt;1,ROUNDDOWN((SUM($B146:AK146)-SUM($B165:AJ165))/$AI8,0)*$AI8,0),SUM($B89:$AP89)-SUM($B165:AJ165))</f>
        <v>1300</v>
      </c>
      <c r="AL165" s="26">
        <f>IF(SUM($B89:$AP89)-SUM($B165:AK165)&gt;$AI8,IF((SUM($B146:AL146)-SUM($B165:AK165))/$AI8&gt;1,ROUNDDOWN((SUM($B146:AL146)-SUM($B165:AK165))/$AI8,0)*$AI8,0),SUM($B89:$AP89)-SUM($B165:AK165))</f>
        <v>0</v>
      </c>
      <c r="AM165" s="26">
        <f>IF(SUM($B89:$AP89)-SUM($B165:AL165)&gt;$AI8,IF((SUM($B146:AM146)-SUM($B165:AL165))/$AI8&gt;1,ROUNDDOWN((SUM($B146:AM146)-SUM($B165:AL165))/$AI8,0)*$AI8,0),SUM($B89:$AP89)-SUM($B165:AL165))</f>
        <v>650</v>
      </c>
      <c r="AN165" s="26">
        <f>IF(SUM($B89:$AP89)-SUM($B165:AM165)&gt;$AI8,IF((SUM($B146:AN146)-SUM($B165:AM165))/$AI8&gt;1,ROUNDDOWN((SUM($B146:AN146)-SUM($B165:AM165))/$AI8,0)*$AI8,0),SUM($B89:$AP89)-SUM($B165:AM165))</f>
        <v>650</v>
      </c>
      <c r="AO165" s="26">
        <f>IF(SUM($B89:$AP89)-SUM($B165:AN165)&gt;$AI8,IF((SUM($B146:AO146)-SUM($B165:AN165))/$AI8&gt;1,ROUNDDOWN((SUM($B146:AO146)-SUM($B165:AN165))/$AI8,0)*$AI8,0),SUM($B89:$AP89)-SUM($B165:AN165))</f>
        <v>650</v>
      </c>
      <c r="AP165" s="26">
        <f>IF(SUM($B89:$AP89)-SUM($B165:AO165)&gt;$AI8,IF((SUM($B146:AP146)-SUM($B165:AO165))/$AI8&gt;1,ROUNDDOWN((SUM($B146:AP146)-SUM($B165:AO165))/$AI8,0)*$AI8,0),SUM($B89:$AP89)-SUM($B165:AO165))</f>
        <v>650</v>
      </c>
    </row>
    <row r="166" spans="1:42">
      <c r="A166" t="s">
        <v>2372</v>
      </c>
      <c r="B166" s="26">
        <v>0</v>
      </c>
      <c r="C166" s="26">
        <f>IF(SUM($B90:$AP90)-SUM($B166:B166)&gt;$AI9,IF((SUM($B147:C147)-SUM($B166:B166))/$AI9&gt;1,ROUNDDOWN((SUM($B147:C147)-SUM($B166:B166))/$AI9,0)*$AI9,0),SUM($B90:$AP90)-SUM($B166:B166))</f>
        <v>0</v>
      </c>
      <c r="D166" s="26">
        <f>IF(SUM($B90:$AP90)-SUM($B166:C166)&gt;$AI9,IF((SUM($B147:D147)-SUM($B166:C166))/$AI9&gt;1,ROUNDDOWN((SUM($B147:D147)-SUM($B166:C166))/$AI9,0)*$AI9,0),SUM($B90:$AP90)-SUM($B166:C166))</f>
        <v>0</v>
      </c>
      <c r="E166" s="26">
        <f>IF(SUM($B90:$AP90)-SUM($B166:D166)&gt;$AI9,IF((SUM($B147:E147)-SUM($B166:D166))/$AI9&gt;1,ROUNDDOWN((SUM($B147:E147)-SUM($B166:D166))/$AI9,0)*$AI9,0),SUM($B90:$AP90)-SUM($B166:D166))</f>
        <v>0</v>
      </c>
      <c r="F166" s="26">
        <f>IF(SUM($B90:$AP90)-SUM($B166:E166)&gt;$AI9,IF((SUM($B147:F147)-SUM($B166:E166))/$AI9&gt;1,ROUNDDOWN((SUM($B147:F147)-SUM($B166:E166))/$AI9,0)*$AI9,0),SUM($B90:$AP90)-SUM($B166:E166))</f>
        <v>0</v>
      </c>
      <c r="G166" s="26">
        <f>IF(SUM($B90:$AP90)-SUM($B166:F166)&gt;$AI9,IF((SUM($B147:G147)-SUM($B166:F166))/$AI9&gt;1,ROUNDDOWN((SUM($B147:G147)-SUM($B166:F166))/$AI9,0)*$AI9,0),SUM($B90:$AP90)-SUM($B166:F166))</f>
        <v>0</v>
      </c>
      <c r="H166" s="26">
        <f>IF(SUM($B90:$AP90)-SUM($B166:G166)&gt;$AI9,IF((SUM($B147:H147)-SUM($B166:G166))/$AI9&gt;1,ROUNDDOWN((SUM($B147:H147)-SUM($B166:G166))/$AI9,0)*$AI9,0),SUM($B90:$AP90)-SUM($B166:G166))</f>
        <v>0</v>
      </c>
      <c r="I166" s="26">
        <f>IF(SUM($B90:$AP90)-SUM($B166:H166)&gt;$AI9,IF((SUM($B147:I147)-SUM($B166:H166))/$AI9&gt;1,ROUNDDOWN((SUM($B147:I147)-SUM($B166:H166))/$AI9,0)*$AI9,0),SUM($B90:$AP90)-SUM($B166:H166))</f>
        <v>0</v>
      </c>
      <c r="J166" s="26">
        <f>IF(SUM($B90:$AP90)-SUM($B166:I166)&gt;$AI9,IF((SUM($B147:J147)-SUM($B166:I166))/$AI9&gt;1,ROUNDDOWN((SUM($B147:J147)-SUM($B166:I166))/$AI9,0)*$AI9,0),SUM($B90:$AP90)-SUM($B166:I166))</f>
        <v>0</v>
      </c>
      <c r="K166" s="26">
        <f>IF(SUM($B90:$AP90)-SUM($B166:J166)&gt;$AI9,IF((SUM($B147:K147)-SUM($B166:J166))/$AI9&gt;1,ROUNDDOWN((SUM($B147:K147)-SUM($B166:J166))/$AI9,0)*$AI9,0),SUM($B90:$AP90)-SUM($B166:J166))</f>
        <v>0</v>
      </c>
      <c r="L166" s="26">
        <f>IF(SUM($B90:$AP90)-SUM($B166:K166)&gt;$AI9,IF((SUM($B147:L147)-SUM($B166:K166))/$AI9&gt;1,ROUNDDOWN((SUM($B147:L147)-SUM($B166:K166))/$AI9,0)*$AI9,0),SUM($B90:$AP90)-SUM($B166:K166))</f>
        <v>0</v>
      </c>
      <c r="M166" s="26">
        <f>IF(SUM($B90:$AP90)-SUM($B166:L166)&gt;$AI9,IF((SUM($B147:M147)-SUM($B166:L166))/$AI9&gt;1,ROUNDDOWN((SUM($B147:M147)-SUM($B166:L166))/$AI9,0)*$AI9,0),SUM($B90:$AP90)-SUM($B166:L166))</f>
        <v>0</v>
      </c>
      <c r="N166" s="26">
        <f>IF(SUM($B90:$AP90)-SUM($B166:M166)&gt;$AI9,IF((SUM($B147:N147)-SUM($B166:M166))/$AI9&gt;1,ROUNDDOWN((SUM($B147:N147)-SUM($B166:M166))/$AI9,0)*$AI9,0),SUM($B90:$AP90)-SUM($B166:M166))</f>
        <v>0</v>
      </c>
      <c r="O166" s="26">
        <f>IF(SUM($B90:$AP90)-SUM($B166:N166)&gt;$AI9,IF((SUM($B147:O147)-SUM($B166:N166))/$AI9&gt;1,ROUNDDOWN((SUM($B147:O147)-SUM($B166:N166))/$AI9,0)*$AI9,0),SUM($B90:$AP90)-SUM($B166:N166))</f>
        <v>0</v>
      </c>
      <c r="P166" s="26">
        <f>IF(SUM($B90:$AP90)-SUM($B166:O166)&gt;$AI9,IF((SUM($B147:P147)-SUM($B166:O166))/$AI9&gt;1,ROUNDDOWN((SUM($B147:P147)-SUM($B166:O166))/$AI9,0)*$AI9,0),SUM($B90:$AP90)-SUM($B166:O166))</f>
        <v>0</v>
      </c>
      <c r="Q166" s="26">
        <f>IF(SUM($B90:$AP90)-SUM($B166:P166)&gt;$AI9,IF((SUM($B147:Q147)-SUM($B166:P166))/$AI9&gt;1,ROUNDDOWN((SUM($B147:Q147)-SUM($B166:P166))/$AI9,0)*$AI9,0),SUM($B90:$AP90)-SUM($B166:P166))</f>
        <v>0</v>
      </c>
      <c r="R166" s="26">
        <f>IF(SUM($B90:$AP90)-SUM($B166:Q166)&gt;$AI9,IF((SUM($B147:R147)-SUM($B166:Q166))/$AI9&gt;1,ROUNDDOWN((SUM($B147:R147)-SUM($B166:Q166))/$AI9,0)*$AI9,0),SUM($B90:$AP90)-SUM($B166:Q166))</f>
        <v>0</v>
      </c>
      <c r="S166" s="26">
        <f>IF(SUM($B90:$AP90)-SUM($B166:R166)&gt;$AI9,IF((SUM($B147:S147)-SUM($B166:R166))/$AI9&gt;1,ROUNDDOWN((SUM($B147:S147)-SUM($B166:R166))/$AI9,0)*$AI9,0),SUM($B90:$AP90)-SUM($B166:R166))</f>
        <v>0</v>
      </c>
      <c r="T166" s="26">
        <f>IF(SUM($B90:$AP90)-SUM($B166:S166)&gt;$AI9,IF((SUM($B147:T147)-SUM($B166:S166))/$AI9&gt;1,ROUNDDOWN((SUM($B147:T147)-SUM($B166:S166))/$AI9,0)*$AI9,0),SUM($B90:$AP90)-SUM($B166:S166))</f>
        <v>0</v>
      </c>
      <c r="U166" s="26">
        <f>IF(SUM($B90:$AP90)-SUM($B166:T166)&gt;$AI9,IF((SUM($B147:U147)-SUM($B166:T166))/$AI9&gt;1,ROUNDDOWN((SUM($B147:U147)-SUM($B166:T166))/$AI9,0)*$AI9,0),SUM($B90:$AP90)-SUM($B166:T166))</f>
        <v>0</v>
      </c>
      <c r="V166" s="26">
        <f>IF(SUM($B90:$AP90)-SUM($B166:U166)&gt;$AI9,IF((SUM($B147:V147)-SUM($B166:U166))/$AI9&gt;1,ROUNDDOWN((SUM($B147:V147)-SUM($B166:U166))/$AI9,0)*$AI9,0),SUM($B90:$AP90)-SUM($B166:U166))</f>
        <v>0</v>
      </c>
      <c r="W166" s="26">
        <f>IF(SUM($B90:$AP90)-SUM($B166:V166)&gt;$AI9,IF((SUM($B147:W147)-SUM($B166:V166))/$AI9&gt;1,ROUNDDOWN((SUM($B147:W147)-SUM($B166:V166))/$AI9,0)*$AI9,0),SUM($B90:$AP90)-SUM($B166:V166))</f>
        <v>0</v>
      </c>
      <c r="X166" s="26">
        <f>IF(SUM($B90:$AP90)-SUM($B166:W166)&gt;$AI9,IF((SUM($B147:X147)-SUM($B166:W166))/$AI9&gt;1,ROUNDDOWN((SUM($B147:X147)-SUM($B166:W166))/$AI9,0)*$AI9,0),SUM($B90:$AP90)-SUM($B166:W166))</f>
        <v>0</v>
      </c>
      <c r="Y166" s="26">
        <f>IF(SUM($B90:$AP90)-SUM($B166:X166)&gt;$AI9,IF((SUM($B147:Y147)-SUM($B166:X166))/$AI9&gt;1,ROUNDDOWN((SUM($B147:Y147)-SUM($B166:X166))/$AI9,0)*$AI9,0),SUM($B90:$AP90)-SUM($B166:X166))</f>
        <v>0</v>
      </c>
      <c r="Z166" s="26">
        <f>IF(SUM($B90:$AP90)-SUM($B166:Y166)&gt;$AI9,IF((SUM($B147:Z147)-SUM($B166:Y166))/$AI9&gt;1,ROUNDDOWN((SUM($B147:Z147)-SUM($B166:Y166))/$AI9,0)*$AI9,0),SUM($B90:$AP90)-SUM($B166:Y166))</f>
        <v>0</v>
      </c>
      <c r="AA166" s="26">
        <f>IF(SUM($B90:$AP90)-SUM($B166:Z166)&gt;$AI9,IF((SUM($B147:AA147)-SUM($B166:Z166))/$AI9&gt;1,ROUNDDOWN((SUM($B147:AA147)-SUM($B166:Z166))/$AI9,0)*$AI9,0),SUM($B90:$AP90)-SUM($B166:Z166))</f>
        <v>0</v>
      </c>
      <c r="AB166" s="26">
        <f>IF(SUM($B90:$AP90)-SUM($B166:AA166)&gt;$AI9,IF((SUM($B147:AB147)-SUM($B166:AA166))/$AI9&gt;1,ROUNDDOWN((SUM($B147:AB147)-SUM($B166:AA166))/$AI9,0)*$AI9,0),SUM($B90:$AP90)-SUM($B166:AA166))</f>
        <v>0</v>
      </c>
      <c r="AC166" s="26">
        <f>IF(SUM($B90:$AP90)-SUM($B166:AB166)&gt;$AI9,IF((SUM($B147:AC147)-SUM($B166:AB166))/$AI9&gt;1,ROUNDDOWN((SUM($B147:AC147)-SUM($B166:AB166))/$AI9,0)*$AI9,0),SUM($B90:$AP90)-SUM($B166:AB166))</f>
        <v>0</v>
      </c>
      <c r="AD166" s="26">
        <f>IF(SUM($B90:$AP90)-SUM($B166:AC166)&gt;$AI9,IF((SUM($B147:AD147)-SUM($B166:AC166))/$AI9&gt;1,ROUNDDOWN((SUM($B147:AD147)-SUM($B166:AC166))/$AI9,0)*$AI9,0),SUM($B90:$AP90)-SUM($B166:AC166))</f>
        <v>0</v>
      </c>
      <c r="AE166" s="26">
        <f>IF(SUM($B90:$AP90)-SUM($B166:AD166)&gt;$AI9,IF((SUM($B147:AE147)-SUM($B166:AD166))/$AI9&gt;1,ROUNDDOWN((SUM($B147:AE147)-SUM($B166:AD166))/$AI9,0)*$AI9,0),SUM($B90:$AP90)-SUM($B166:AD166))</f>
        <v>0</v>
      </c>
      <c r="AF166" s="26">
        <f>IF(SUM($B90:$AP90)-SUM($B166:AE166)&gt;$AI9,IF((SUM($B147:AF147)-SUM($B166:AE166))/$AI9&gt;1,ROUNDDOWN((SUM($B147:AF147)-SUM($B166:AE166))/$AI9,0)*$AI9,0),SUM($B90:$AP90)-SUM($B166:AE166))</f>
        <v>0</v>
      </c>
      <c r="AG166" s="26">
        <f>IF(SUM($B90:$AP90)-SUM($B166:AF166)&gt;$AI9,IF((SUM($B147:AG147)-SUM($B166:AF166))/$AI9&gt;1,ROUNDDOWN((SUM($B147:AG147)-SUM($B166:AF166))/$AI9,0)*$AI9,0),SUM($B90:$AP90)-SUM($B166:AF166))</f>
        <v>0</v>
      </c>
      <c r="AH166" s="26">
        <f>IF(SUM($B90:$AP90)-SUM($B166:AG166)&gt;$AI9,IF((SUM($B147:AH147)-SUM($B166:AG166))/$AI9&gt;1,ROUNDDOWN((SUM($B147:AH147)-SUM($B166:AG166))/$AI9,0)*$AI9,0),SUM($B90:$AP90)-SUM($B166:AG166))</f>
        <v>0</v>
      </c>
      <c r="AI166" s="26">
        <f>IF(SUM($B90:$AP90)-SUM($B166:AH166)&gt;$AI9,IF((SUM($B147:AI147)-SUM($B166:AH166))/$AI9&gt;1,ROUNDDOWN((SUM($B147:AI147)-SUM($B166:AH166))/$AI9,0)*$AI9,0),SUM($B90:$AP90)-SUM($B166:AH166))</f>
        <v>0</v>
      </c>
      <c r="AJ166" s="26">
        <f>IF(SUM($B90:$AP90)-SUM($B166:AI166)&gt;$AI9,IF((SUM($B147:AJ147)-SUM($B166:AI166))/$AI9&gt;1,ROUNDDOWN((SUM($B147:AJ147)-SUM($B166:AI166))/$AI9,0)*$AI9,0),SUM($B90:$AP90)-SUM($B166:AI166))</f>
        <v>0</v>
      </c>
      <c r="AK166" s="26">
        <f>IF(SUM($B90:$AP90)-SUM($B166:AJ166)&gt;$AI9,IF((SUM($B147:AK147)-SUM($B166:AJ166))/$AI9&gt;1,ROUNDDOWN((SUM($B147:AK147)-SUM($B166:AJ166))/$AI9,0)*$AI9,0),SUM($B90:$AP90)-SUM($B166:AJ166))</f>
        <v>0</v>
      </c>
      <c r="AL166" s="26">
        <f>IF(SUM($B90:$AP90)-SUM($B166:AK166)&gt;$AI9,IF((SUM($B147:AL147)-SUM($B166:AK166))/$AI9&gt;1,ROUNDDOWN((SUM($B147:AL147)-SUM($B166:AK166))/$AI9,0)*$AI9,0),SUM($B90:$AP90)-SUM($B166:AK166))</f>
        <v>0</v>
      </c>
      <c r="AM166" s="26">
        <f>IF(SUM($B90:$AP90)-SUM($B166:AL166)&gt;$AI9,IF((SUM($B147:AM147)-SUM($B166:AL166))/$AI9&gt;1,ROUNDDOWN((SUM($B147:AM147)-SUM($B166:AL166))/$AI9,0)*$AI9,0),SUM($B90:$AP90)-SUM($B166:AL166))</f>
        <v>0</v>
      </c>
      <c r="AN166" s="26">
        <f>IF(SUM($B90:$AP90)-SUM($B166:AM166)&gt;$AI9,IF((SUM($B147:AN147)-SUM($B166:AM166))/$AI9&gt;1,ROUNDDOWN((SUM($B147:AN147)-SUM($B166:AM166))/$AI9,0)*$AI9,0),SUM($B90:$AP90)-SUM($B166:AM166))</f>
        <v>0</v>
      </c>
      <c r="AO166" s="26">
        <f>IF(SUM($B90:$AP90)-SUM($B166:AN166)&gt;$AI9,IF((SUM($B147:AO147)-SUM($B166:AN166))/$AI9&gt;1,ROUNDDOWN((SUM($B147:AO147)-SUM($B166:AN166))/$AI9,0)*$AI9,0),SUM($B90:$AP90)-SUM($B166:AN166))</f>
        <v>0</v>
      </c>
      <c r="AP166" s="26">
        <f>IF(SUM($B90:$AP90)-SUM($B166:AO166)&gt;$AI9,IF((SUM($B147:AP147)-SUM($B166:AO166))/$AI9&gt;1,ROUNDDOWN((SUM($B147:AP147)-SUM($B166:AO166))/$AI9,0)*$AI9,0),SUM($B90:$AP90)-SUM($B166:AO166))</f>
        <v>0</v>
      </c>
    </row>
    <row r="167" spans="1:42">
      <c r="A167" t="s">
        <v>2373</v>
      </c>
      <c r="B167" s="26">
        <v>0</v>
      </c>
      <c r="C167" s="26">
        <f>IF(SUM($B91:$AP91)-SUM($B167:B167)&gt;$AI10,IF((SUM($B148:C148)-SUM($B167:B167))/$AI10&gt;1,ROUNDDOWN((SUM($B148:C148)-SUM($B167:B167))/$AI10,0)*$AI10,0),SUM($B91:$AP91)-SUM($B167:B167))</f>
        <v>0</v>
      </c>
      <c r="D167" s="26">
        <f>IF(SUM($B91:$AP91)-SUM($B167:C167)&gt;$AI10,IF((SUM($B148:D148)-SUM($B167:C167))/$AI10&gt;1,ROUNDDOWN((SUM($B148:D148)-SUM($B167:C167))/$AI10,0)*$AI10,0),SUM($B91:$AP91)-SUM($B167:C167))</f>
        <v>0</v>
      </c>
      <c r="E167" s="26">
        <f>IF(SUM($B91:$AP91)-SUM($B167:D167)&gt;$AI10,IF((SUM($B148:E148)-SUM($B167:D167))/$AI10&gt;1,ROUNDDOWN((SUM($B148:E148)-SUM($B167:D167))/$AI10,0)*$AI10,0),SUM($B91:$AP91)-SUM($B167:D167))</f>
        <v>0</v>
      </c>
      <c r="F167" s="26">
        <f>IF(SUM($B91:$AP91)-SUM($B167:E167)&gt;$AI10,IF((SUM($B148:F148)-SUM($B167:E167))/$AI10&gt;1,ROUNDDOWN((SUM($B148:F148)-SUM($B167:E167))/$AI10,0)*$AI10,0),SUM($B91:$AP91)-SUM($B167:E167))</f>
        <v>0</v>
      </c>
      <c r="G167" s="26">
        <f>IF(SUM($B91:$AP91)-SUM($B167:F167)&gt;$AI10,IF((SUM($B148:G148)-SUM($B167:F167))/$AI10&gt;1,ROUNDDOWN((SUM($B148:G148)-SUM($B167:F167))/$AI10,0)*$AI10,0),SUM($B91:$AP91)-SUM($B167:F167))</f>
        <v>0</v>
      </c>
      <c r="H167" s="26">
        <f>IF(SUM($B91:$AP91)-SUM($B167:G167)&gt;$AI10,IF((SUM($B148:H148)-SUM($B167:G167))/$AI10&gt;1,ROUNDDOWN((SUM($B148:H148)-SUM($B167:G167))/$AI10,0)*$AI10,0),SUM($B91:$AP91)-SUM($B167:G167))</f>
        <v>0</v>
      </c>
      <c r="I167" s="26">
        <f>IF(SUM($B91:$AP91)-SUM($B167:H167)&gt;$AI10,IF((SUM($B148:I148)-SUM($B167:H167))/$AI10&gt;1,ROUNDDOWN((SUM($B148:I148)-SUM($B167:H167))/$AI10,0)*$AI10,0),SUM($B91:$AP91)-SUM($B167:H167))</f>
        <v>0</v>
      </c>
      <c r="J167" s="26">
        <f>IF(SUM($B91:$AP91)-SUM($B167:I167)&gt;$AI10,IF((SUM($B148:J148)-SUM($B167:I167))/$AI10&gt;1,ROUNDDOWN((SUM($B148:J148)-SUM($B167:I167))/$AI10,0)*$AI10,0),SUM($B91:$AP91)-SUM($B167:I167))</f>
        <v>0</v>
      </c>
      <c r="K167" s="26">
        <f>IF(SUM($B91:$AP91)-SUM($B167:J167)&gt;$AI10,IF((SUM($B148:K148)-SUM($B167:J167))/$AI10&gt;1,ROUNDDOWN((SUM($B148:K148)-SUM($B167:J167))/$AI10,0)*$AI10,0),SUM($B91:$AP91)-SUM($B167:J167))</f>
        <v>0</v>
      </c>
      <c r="L167" s="26">
        <f>IF(SUM($B91:$AP91)-SUM($B167:K167)&gt;$AI10,IF((SUM($B148:L148)-SUM($B167:K167))/$AI10&gt;1,ROUNDDOWN((SUM($B148:L148)-SUM($B167:K167))/$AI10,0)*$AI10,0),SUM($B91:$AP91)-SUM($B167:K167))</f>
        <v>0</v>
      </c>
      <c r="M167" s="26">
        <f>IF(SUM($B91:$AP91)-SUM($B167:L167)&gt;$AI10,IF((SUM($B148:M148)-SUM($B167:L167))/$AI10&gt;1,ROUNDDOWN((SUM($B148:M148)-SUM($B167:L167))/$AI10,0)*$AI10,0),SUM($B91:$AP91)-SUM($B167:L167))</f>
        <v>0</v>
      </c>
      <c r="N167" s="26">
        <f>IF(SUM($B91:$AP91)-SUM($B167:M167)&gt;$AI10,IF((SUM($B148:N148)-SUM($B167:M167))/$AI10&gt;1,ROUNDDOWN((SUM($B148:N148)-SUM($B167:M167))/$AI10,0)*$AI10,0),SUM($B91:$AP91)-SUM($B167:M167))</f>
        <v>1608</v>
      </c>
      <c r="O167" s="26">
        <f>IF(SUM($B91:$AP91)-SUM($B167:N167)&gt;$AI10,IF((SUM($B148:O148)-SUM($B167:N167))/$AI10&gt;1,ROUNDDOWN((SUM($B148:O148)-SUM($B167:N167))/$AI10,0)*$AI10,0),SUM($B91:$AP91)-SUM($B167:N167))</f>
        <v>4592</v>
      </c>
      <c r="P167" s="26">
        <f>IF(SUM($B91:$AP91)-SUM($B167:O167)&gt;$AI10,IF((SUM($B148:P148)-SUM($B167:O167))/$AI10&gt;1,ROUNDDOWN((SUM($B148:P148)-SUM($B167:O167))/$AI10,0)*$AI10,0),SUM($B91:$AP91)-SUM($B167:O167))</f>
        <v>7698</v>
      </c>
      <c r="Q167" s="26">
        <f>IF(SUM($B91:$AP91)-SUM($B167:P167)&gt;$AI10,IF((SUM($B148:Q148)-SUM($B167:P167))/$AI10&gt;1,ROUNDDOWN((SUM($B148:Q148)-SUM($B167:P167))/$AI10,0)*$AI10,0),SUM($B91:$AP91)-SUM($B167:P167))</f>
        <v>10356</v>
      </c>
      <c r="R167" s="26">
        <f>IF(SUM($B91:$AP91)-SUM($B167:Q167)&gt;$AI10,IF((SUM($B148:R148)-SUM($B167:Q167))/$AI10&gt;1,ROUNDDOWN((SUM($B148:R148)-SUM($B167:Q167))/$AI10,0)*$AI10,0),SUM($B91:$AP91)-SUM($B167:Q167))</f>
        <v>13270</v>
      </c>
      <c r="S167" s="26">
        <f>IF(SUM($B91:$AP91)-SUM($B167:R167)&gt;$AI10,IF((SUM($B148:S148)-SUM($B167:R167))/$AI10&gt;1,ROUNDDOWN((SUM($B148:S148)-SUM($B167:R167))/$AI10,0)*$AI10,0),SUM($B91:$AP91)-SUM($B167:R167))</f>
        <v>15820</v>
      </c>
      <c r="T167" s="26">
        <f>IF(SUM($B91:$AP91)-SUM($B167:S167)&gt;$AI10,IF((SUM($B148:T148)-SUM($B167:S167))/$AI10&gt;1,ROUNDDOWN((SUM($B148:T148)-SUM($B167:S167))/$AI10,0)*$AI10,0),SUM($B91:$AP91)-SUM($B167:S167))</f>
        <v>19010</v>
      </c>
      <c r="U167" s="26">
        <f>IF(SUM($B91:$AP91)-SUM($B167:T167)&gt;$AI10,IF((SUM($B148:U148)-SUM($B167:T167))/$AI10&gt;1,ROUNDDOWN((SUM($B148:U148)-SUM($B167:T167))/$AI10,0)*$AI10,0),SUM($B91:$AP91)-SUM($B167:T167))</f>
        <v>19706</v>
      </c>
      <c r="V167" s="26">
        <f>IF(SUM($B91:$AP91)-SUM($B167:U167)&gt;$AI10,IF((SUM($B148:V148)-SUM($B167:U167))/$AI10&gt;1,ROUNDDOWN((SUM($B148:V148)-SUM($B167:U167))/$AI10,0)*$AI10,0),SUM($B91:$AP91)-SUM($B167:U167))</f>
        <v>20590</v>
      </c>
      <c r="W167" s="26">
        <f>IF(SUM($B91:$AP91)-SUM($B167:V167)&gt;$AI10,IF((SUM($B148:W148)-SUM($B167:V167))/$AI10&gt;1,ROUNDDOWN((SUM($B148:W148)-SUM($B167:V167))/$AI10,0)*$AI10,0),SUM($B91:$AP91)-SUM($B167:V167))</f>
        <v>22032</v>
      </c>
      <c r="X167" s="26">
        <f>IF(SUM($B91:$AP91)-SUM($B167:W167)&gt;$AI10,IF((SUM($B148:X148)-SUM($B167:W167))/$AI10&gt;1,ROUNDDOWN((SUM($B148:X148)-SUM($B167:W167))/$AI10,0)*$AI10,0),SUM($B91:$AP91)-SUM($B167:W167))</f>
        <v>23118</v>
      </c>
      <c r="Y167" s="26">
        <f>IF(SUM($B91:$AP91)-SUM($B167:X167)&gt;$AI10,IF((SUM($B148:Y148)-SUM($B167:X167))/$AI10&gt;1,ROUNDDOWN((SUM($B148:Y148)-SUM($B167:X167))/$AI10,0)*$AI10,0),SUM($B91:$AP91)-SUM($B167:X167))</f>
        <v>30838</v>
      </c>
      <c r="Z167" s="26">
        <f>IF(SUM($B91:$AP91)-SUM($B167:Y167)&gt;$AI10,IF((SUM($B148:Z148)-SUM($B167:Y167))/$AI10&gt;1,ROUNDDOWN((SUM($B148:Z148)-SUM($B167:Y167))/$AI10,0)*$AI10,0),SUM($B91:$AP91)-SUM($B167:Y167))</f>
        <v>27038</v>
      </c>
      <c r="AA167" s="26">
        <f>IF(SUM($B91:$AP91)-SUM($B167:Z167)&gt;$AI10,IF((SUM($B148:AA148)-SUM($B167:Z167))/$AI10&gt;1,ROUNDDOWN((SUM($B148:AA148)-SUM($B167:Z167))/$AI10,0)*$AI10,0),SUM($B91:$AP91)-SUM($B167:Z167))</f>
        <v>23498</v>
      </c>
      <c r="AB167" s="26">
        <f>IF(SUM($B91:$AP91)-SUM($B167:AA167)&gt;$AI10,IF((SUM($B148:AB148)-SUM($B167:AA167))/$AI10&gt;1,ROUNDDOWN((SUM($B148:AB148)-SUM($B167:AA167))/$AI10,0)*$AI10,0),SUM($B91:$AP91)-SUM($B167:AA167))</f>
        <v>19140</v>
      </c>
      <c r="AC167" s="26">
        <f>IF(SUM($B91:$AP91)-SUM($B167:AB167)&gt;$AI10,IF((SUM($B148:AC148)-SUM($B167:AB167))/$AI10&gt;1,ROUNDDOWN((SUM($B148:AC148)-SUM($B167:AB167))/$AI10,0)*$AI10,0),SUM($B91:$AP91)-SUM($B167:AB167))</f>
        <v>13894</v>
      </c>
      <c r="AD167" s="26">
        <f>IF(SUM($B91:$AP91)-SUM($B167:AC167)&gt;$AI10,IF((SUM($B148:AD148)-SUM($B167:AC167))/$AI10&gt;1,ROUNDDOWN((SUM($B148:AD148)-SUM($B167:AC167))/$AI10,0)*$AI10,0),SUM($B91:$AP91)-SUM($B167:AC167))</f>
        <v>1.73194444441469</v>
      </c>
      <c r="AE167" s="26">
        <f>IF(SUM($B91:$AP91)-SUM($B167:AD167)&gt;$AI10,IF((SUM($B148:AE148)-SUM($B167:AD167))/$AI10&gt;1,ROUNDDOWN((SUM($B148:AE148)-SUM($B167:AD167))/$AI10,0)*$AI10,0),SUM($B91:$AP91)-SUM($B167:AD167))</f>
        <v>0</v>
      </c>
      <c r="AF167" s="26">
        <f>IF(SUM($B91:$AP91)-SUM($B167:AE167)&gt;$AI10,IF((SUM($B148:AF148)-SUM($B167:AE167))/$AI10&gt;1,ROUNDDOWN((SUM($B148:AF148)-SUM($B167:AE167))/$AI10,0)*$AI10,0),SUM($B91:$AP91)-SUM($B167:AE167))</f>
        <v>0</v>
      </c>
      <c r="AG167" s="26">
        <f>IF(SUM($B91:$AP91)-SUM($B167:AF167)&gt;$AI10,IF((SUM($B148:AG148)-SUM($B167:AF167))/$AI10&gt;1,ROUNDDOWN((SUM($B148:AG148)-SUM($B167:AF167))/$AI10,0)*$AI10,0),SUM($B91:$AP91)-SUM($B167:AF167))</f>
        <v>0</v>
      </c>
      <c r="AH167" s="26">
        <f>IF(SUM($B91:$AP91)-SUM($B167:AG167)&gt;$AI10,IF((SUM($B148:AH148)-SUM($B167:AG167))/$AI10&gt;1,ROUNDDOWN((SUM($B148:AH148)-SUM($B167:AG167))/$AI10,0)*$AI10,0),SUM($B91:$AP91)-SUM($B167:AG167))</f>
        <v>0</v>
      </c>
      <c r="AI167" s="26">
        <f>IF(SUM($B91:$AP91)-SUM($B167:AH167)&gt;$AI10,IF((SUM($B148:AI148)-SUM($B167:AH167))/$AI10&gt;1,ROUNDDOWN((SUM($B148:AI148)-SUM($B167:AH167))/$AI10,0)*$AI10,0),SUM($B91:$AP91)-SUM($B167:AH167))</f>
        <v>0</v>
      </c>
      <c r="AJ167" s="26">
        <f>IF(SUM($B91:$AP91)-SUM($B167:AI167)&gt;$AI10,IF((SUM($B148:AJ148)-SUM($B167:AI167))/$AI10&gt;1,ROUNDDOWN((SUM($B148:AJ148)-SUM($B167:AI167))/$AI10,0)*$AI10,0),SUM($B91:$AP91)-SUM($B167:AI167))</f>
        <v>0</v>
      </c>
      <c r="AK167" s="26">
        <f>IF(SUM($B91:$AP91)-SUM($B167:AJ167)&gt;$AI10,IF((SUM($B148:AK148)-SUM($B167:AJ167))/$AI10&gt;1,ROUNDDOWN((SUM($B148:AK148)-SUM($B167:AJ167))/$AI10,0)*$AI10,0),SUM($B91:$AP91)-SUM($B167:AJ167))</f>
        <v>0</v>
      </c>
      <c r="AL167" s="26">
        <f>IF(SUM($B91:$AP91)-SUM($B167:AK167)&gt;$AI10,IF((SUM($B148:AL148)-SUM($B167:AK167))/$AI10&gt;1,ROUNDDOWN((SUM($B148:AL148)-SUM($B167:AK167))/$AI10,0)*$AI10,0),SUM($B91:$AP91)-SUM($B167:AK167))</f>
        <v>0</v>
      </c>
      <c r="AM167" s="26">
        <f>IF(SUM($B91:$AP91)-SUM($B167:AL167)&gt;$AI10,IF((SUM($B148:AM148)-SUM($B167:AL167))/$AI10&gt;1,ROUNDDOWN((SUM($B148:AM148)-SUM($B167:AL167))/$AI10,0)*$AI10,0),SUM($B91:$AP91)-SUM($B167:AL167))</f>
        <v>0</v>
      </c>
      <c r="AN167" s="26">
        <f>IF(SUM($B91:$AP91)-SUM($B167:AM167)&gt;$AI10,IF((SUM($B148:AN148)-SUM($B167:AM167))/$AI10&gt;1,ROUNDDOWN((SUM($B148:AN148)-SUM($B167:AM167))/$AI10,0)*$AI10,0),SUM($B91:$AP91)-SUM($B167:AM167))</f>
        <v>0</v>
      </c>
      <c r="AO167" s="26">
        <f>IF(SUM($B91:$AP91)-SUM($B167:AN167)&gt;$AI10,IF((SUM($B148:AO148)-SUM($B167:AN167))/$AI10&gt;1,ROUNDDOWN((SUM($B148:AO148)-SUM($B167:AN167))/$AI10,0)*$AI10,0),SUM($B91:$AP91)-SUM($B167:AN167))</f>
        <v>0</v>
      </c>
      <c r="AP167" s="26">
        <f>IF(SUM($B91:$AP91)-SUM($B167:AO167)&gt;$AI10,IF((SUM($B148:AP148)-SUM($B167:AO167))/$AI10&gt;1,ROUNDDOWN((SUM($B148:AP148)-SUM($B167:AO167))/$AI10,0)*$AI10,0),SUM($B91:$AP91)-SUM($B167:AO167))</f>
        <v>0</v>
      </c>
    </row>
    <row r="168" spans="1:42">
      <c r="A168" t="s">
        <v>2374</v>
      </c>
      <c r="B168" s="26">
        <v>0</v>
      </c>
      <c r="C168" s="26">
        <f>IF(SUM($B92:$AP92)-SUM($B168:B168)&gt;$AI11,IF((SUM($B149:C149)-SUM($B168:B168))/$AI11&gt;1,ROUNDDOWN((SUM($B149:C149)-SUM($B168:B168))/$AI11,0)*$AI11,0),SUM($B92:$AP92)-SUM($B168:B168))</f>
        <v>0</v>
      </c>
      <c r="D168" s="26">
        <f>IF(SUM($B92:$AP92)-SUM($B168:C168)&gt;$AI11,IF((SUM($B149:D149)-SUM($B168:C168))/$AI11&gt;1,ROUNDDOWN((SUM($B149:D149)-SUM($B168:C168))/$AI11,0)*$AI11,0),SUM($B92:$AP92)-SUM($B168:C168))</f>
        <v>0</v>
      </c>
      <c r="E168" s="26">
        <f>IF(SUM($B92:$AP92)-SUM($B168:D168)&gt;$AI11,IF((SUM($B149:E149)-SUM($B168:D168))/$AI11&gt;1,ROUNDDOWN((SUM($B149:E149)-SUM($B168:D168))/$AI11,0)*$AI11,0),SUM($B92:$AP92)-SUM($B168:D168))</f>
        <v>0</v>
      </c>
      <c r="F168" s="26">
        <f>IF(SUM($B92:$AP92)-SUM($B168:E168)&gt;$AI11,IF((SUM($B149:F149)-SUM($B168:E168))/$AI11&gt;1,ROUNDDOWN((SUM($B149:F149)-SUM($B168:E168))/$AI11,0)*$AI11,0),SUM($B92:$AP92)-SUM($B168:E168))</f>
        <v>0</v>
      </c>
      <c r="G168" s="26">
        <f>IF(SUM($B92:$AP92)-SUM($B168:F168)&gt;$AI11,IF((SUM($B149:G149)-SUM($B168:F168))/$AI11&gt;1,ROUNDDOWN((SUM($B149:G149)-SUM($B168:F168))/$AI11,0)*$AI11,0),SUM($B92:$AP92)-SUM($B168:F168))</f>
        <v>0</v>
      </c>
      <c r="H168" s="26">
        <f>IF(SUM($B92:$AP92)-SUM($B168:G168)&gt;$AI11,IF((SUM($B149:H149)-SUM($B168:G168))/$AI11&gt;1,ROUNDDOWN((SUM($B149:H149)-SUM($B168:G168))/$AI11,0)*$AI11,0),SUM($B92:$AP92)-SUM($B168:G168))</f>
        <v>0</v>
      </c>
      <c r="I168" s="26">
        <f>IF(SUM($B92:$AP92)-SUM($B168:H168)&gt;$AI11,IF((SUM($B149:I149)-SUM($B168:H168))/$AI11&gt;1,ROUNDDOWN((SUM($B149:I149)-SUM($B168:H168))/$AI11,0)*$AI11,0),SUM($B92:$AP92)-SUM($B168:H168))</f>
        <v>0</v>
      </c>
      <c r="J168" s="26">
        <f>IF(SUM($B92:$AP92)-SUM($B168:I168)&gt;$AI11,IF((SUM($B149:J149)-SUM($B168:I168))/$AI11&gt;1,ROUNDDOWN((SUM($B149:J149)-SUM($B168:I168))/$AI11,0)*$AI11,0),SUM($B92:$AP92)-SUM($B168:I168))</f>
        <v>0</v>
      </c>
      <c r="K168" s="26">
        <f>IF(SUM($B92:$AP92)-SUM($B168:J168)&gt;$AI11,IF((SUM($B149:K149)-SUM($B168:J168))/$AI11&gt;1,ROUNDDOWN((SUM($B149:K149)-SUM($B168:J168))/$AI11,0)*$AI11,0),SUM($B92:$AP92)-SUM($B168:J168))</f>
        <v>0</v>
      </c>
      <c r="L168" s="26">
        <f>IF(SUM($B92:$AP92)-SUM($B168:K168)&gt;$AI11,IF((SUM($B149:L149)-SUM($B168:K168))/$AI11&gt;1,ROUNDDOWN((SUM($B149:L149)-SUM($B168:K168))/$AI11,0)*$AI11,0),SUM($B92:$AP92)-SUM($B168:K168))</f>
        <v>0</v>
      </c>
      <c r="M168" s="26">
        <f>IF(SUM($B92:$AP92)-SUM($B168:L168)&gt;$AI11,IF((SUM($B149:M149)-SUM($B168:L168))/$AI11&gt;1,ROUNDDOWN((SUM($B149:M149)-SUM($B168:L168))/$AI11,0)*$AI11,0),SUM($B92:$AP92)-SUM($B168:L168))</f>
        <v>0</v>
      </c>
      <c r="N168" s="26">
        <f>IF(SUM($B92:$AP92)-SUM($B168:M168)&gt;$AI11,IF((SUM($B149:N149)-SUM($B168:M168))/$AI11&gt;1,ROUNDDOWN((SUM($B149:N149)-SUM($B168:M168))/$AI11,0)*$AI11,0),SUM($B92:$AP92)-SUM($B168:M168))</f>
        <v>0</v>
      </c>
      <c r="O168" s="26">
        <f>IF(SUM($B92:$AP92)-SUM($B168:N168)&gt;$AI11,IF((SUM($B149:O149)-SUM($B168:N168))/$AI11&gt;1,ROUNDDOWN((SUM($B149:O149)-SUM($B168:N168))/$AI11,0)*$AI11,0),SUM($B92:$AP92)-SUM($B168:N168))</f>
        <v>5</v>
      </c>
      <c r="P168" s="26">
        <f>IF(SUM($B92:$AP92)-SUM($B168:O168)&gt;$AI11,IF((SUM($B149:P149)-SUM($B168:O168))/$AI11&gt;1,ROUNDDOWN((SUM($B149:P149)-SUM($B168:O168))/$AI11,0)*$AI11,0),SUM($B92:$AP92)-SUM($B168:O168))</f>
        <v>385</v>
      </c>
      <c r="Q168" s="26">
        <f>IF(SUM($B92:$AP92)-SUM($B168:P168)&gt;$AI11,IF((SUM($B149:Q149)-SUM($B168:P168))/$AI11&gt;1,ROUNDDOWN((SUM($B149:Q149)-SUM($B168:P168))/$AI11,0)*$AI11,0),SUM($B92:$AP92)-SUM($B168:P168))</f>
        <v>614</v>
      </c>
      <c r="R168" s="26">
        <f>IF(SUM($B92:$AP92)-SUM($B168:Q168)&gt;$AI11,IF((SUM($B149:R149)-SUM($B168:Q168))/$AI11&gt;1,ROUNDDOWN((SUM($B149:R149)-SUM($B168:Q168))/$AI11,0)*$AI11,0),SUM($B92:$AP92)-SUM($B168:Q168))</f>
        <v>2923</v>
      </c>
      <c r="S168" s="26">
        <f>IF(SUM($B92:$AP92)-SUM($B168:R168)&gt;$AI11,IF((SUM($B149:S149)-SUM($B168:R168))/$AI11&gt;1,ROUNDDOWN((SUM($B149:S149)-SUM($B168:R168))/$AI11,0)*$AI11,0),SUM($B92:$AP92)-SUM($B168:R168))</f>
        <v>4626</v>
      </c>
      <c r="T168" s="26">
        <f>IF(SUM($B92:$AP92)-SUM($B168:S168)&gt;$AI11,IF((SUM($B149:T149)-SUM($B168:S168))/$AI11&gt;1,ROUNDDOWN((SUM($B149:T149)-SUM($B168:S168))/$AI11,0)*$AI11,0),SUM($B92:$AP92)-SUM($B168:S168))</f>
        <v>7305</v>
      </c>
      <c r="U168" s="26">
        <f>IF(SUM($B92:$AP92)-SUM($B168:T168)&gt;$AI11,IF((SUM($B149:U149)-SUM($B168:T168))/$AI11&gt;1,ROUNDDOWN((SUM($B149:U149)-SUM($B168:T168))/$AI11,0)*$AI11,0),SUM($B92:$AP92)-SUM($B168:T168))</f>
        <v>12981</v>
      </c>
      <c r="V168" s="26">
        <f>IF(SUM($B92:$AP92)-SUM($B168:U168)&gt;$AI11,IF((SUM($B149:V149)-SUM($B168:U168))/$AI11&gt;1,ROUNDDOWN((SUM($B149:V149)-SUM($B168:U168))/$AI11,0)*$AI11,0),SUM($B92:$AP92)-SUM($B168:U168))</f>
        <v>18872</v>
      </c>
      <c r="W168" s="26">
        <f>IF(SUM($B92:$AP92)-SUM($B168:V168)&gt;$AI11,IF((SUM($B149:W149)-SUM($B168:V168))/$AI11&gt;1,ROUNDDOWN((SUM($B149:W149)-SUM($B168:V168))/$AI11,0)*$AI11,0),SUM($B92:$AP92)-SUM($B168:V168))</f>
        <v>21902</v>
      </c>
      <c r="X168" s="26">
        <f>IF(SUM($B92:$AP92)-SUM($B168:W168)&gt;$AI11,IF((SUM($B149:X149)-SUM($B168:W168))/$AI11&gt;1,ROUNDDOWN((SUM($B149:X149)-SUM($B168:W168))/$AI11,0)*$AI11,0),SUM($B92:$AP92)-SUM($B168:W168))</f>
        <v>23676</v>
      </c>
      <c r="Y168" s="26">
        <f>IF(SUM($B92:$AP92)-SUM($B168:X168)&gt;$AI11,IF((SUM($B149:Y149)-SUM($B168:X168))/$AI11&gt;1,ROUNDDOWN((SUM($B149:Y149)-SUM($B168:X168))/$AI11,0)*$AI11,0),SUM($B92:$AP92)-SUM($B168:X168))</f>
        <v>27233</v>
      </c>
      <c r="Z168" s="26">
        <f>IF(SUM($B92:$AP92)-SUM($B168:Y168)&gt;$AI11,IF((SUM($B149:Z149)-SUM($B168:Y168))/$AI11&gt;1,ROUNDDOWN((SUM($B149:Z149)-SUM($B168:Y168))/$AI11,0)*$AI11,0),SUM($B92:$AP92)-SUM($B168:Y168))</f>
        <v>21177</v>
      </c>
      <c r="AA168" s="26">
        <f>IF(SUM($B92:$AP92)-SUM($B168:Z168)&gt;$AI11,IF((SUM($B149:AA149)-SUM($B168:Z168))/$AI11&gt;1,ROUNDDOWN((SUM($B149:AA149)-SUM($B168:Z168))/$AI11,0)*$AI11,0),SUM($B92:$AP92)-SUM($B168:Z168))</f>
        <v>15057</v>
      </c>
      <c r="AB168" s="26">
        <f>IF(SUM($B92:$AP92)-SUM($B168:AA168)&gt;$AI11,IF((SUM($B149:AB149)-SUM($B168:AA168))/$AI11&gt;1,ROUNDDOWN((SUM($B149:AB149)-SUM($B168:AA168))/$AI11,0)*$AI11,0),SUM($B92:$AP92)-SUM($B168:AA168))</f>
        <v>9718</v>
      </c>
      <c r="AC168" s="26">
        <f>IF(SUM($B92:$AP92)-SUM($B168:AB168)&gt;$AI11,IF((SUM($B149:AC149)-SUM($B168:AB168))/$AI11&gt;1,ROUNDDOWN((SUM($B149:AC149)-SUM($B168:AB168))/$AI11,0)*$AI11,0),SUM($B92:$AP92)-SUM($B168:AB168))</f>
        <v>6242</v>
      </c>
      <c r="AD168" s="26">
        <f>IF(SUM($B92:$AP92)-SUM($B168:AC168)&gt;$AI11,IF((SUM($B149:AD149)-SUM($B168:AC168))/$AI11&gt;1,ROUNDDOWN((SUM($B149:AD149)-SUM($B168:AC168))/$AI11,0)*$AI11,0),SUM($B92:$AP92)-SUM($B168:AC168))</f>
        <v>0.700000000011642</v>
      </c>
      <c r="AE168" s="26">
        <f>IF(SUM($B92:$AP92)-SUM($B168:AD168)&gt;$AI11,IF((SUM($B149:AE149)-SUM($B168:AD168))/$AI11&gt;1,ROUNDDOWN((SUM($B149:AE149)-SUM($B168:AD168))/$AI11,0)*$AI11,0),SUM($B92:$AP92)-SUM($B168:AD168))</f>
        <v>0</v>
      </c>
      <c r="AF168" s="26">
        <f>IF(SUM($B92:$AP92)-SUM($B168:AE168)&gt;$AI11,IF((SUM($B149:AF149)-SUM($B168:AE168))/$AI11&gt;1,ROUNDDOWN((SUM($B149:AF149)-SUM($B168:AE168))/$AI11,0)*$AI11,0),SUM($B92:$AP92)-SUM($B168:AE168))</f>
        <v>0</v>
      </c>
      <c r="AG168" s="26">
        <f>IF(SUM($B92:$AP92)-SUM($B168:AF168)&gt;$AI11,IF((SUM($B149:AG149)-SUM($B168:AF168))/$AI11&gt;1,ROUNDDOWN((SUM($B149:AG149)-SUM($B168:AF168))/$AI11,0)*$AI11,0),SUM($B92:$AP92)-SUM($B168:AF168))</f>
        <v>0</v>
      </c>
      <c r="AH168" s="26">
        <f>IF(SUM($B92:$AP92)-SUM($B168:AG168)&gt;$AI11,IF((SUM($B149:AH149)-SUM($B168:AG168))/$AI11&gt;1,ROUNDDOWN((SUM($B149:AH149)-SUM($B168:AG168))/$AI11,0)*$AI11,0),SUM($B92:$AP92)-SUM($B168:AG168))</f>
        <v>0</v>
      </c>
      <c r="AI168" s="26">
        <f>IF(SUM($B92:$AP92)-SUM($B168:AH168)&gt;$AI11,IF((SUM($B149:AI149)-SUM($B168:AH168))/$AI11&gt;1,ROUNDDOWN((SUM($B149:AI149)-SUM($B168:AH168))/$AI11,0)*$AI11,0),SUM($B92:$AP92)-SUM($B168:AH168))</f>
        <v>0</v>
      </c>
      <c r="AJ168" s="26">
        <f>IF(SUM($B92:$AP92)-SUM($B168:AI168)&gt;$AI11,IF((SUM($B149:AJ149)-SUM($B168:AI168))/$AI11&gt;1,ROUNDDOWN((SUM($B149:AJ149)-SUM($B168:AI168))/$AI11,0)*$AI11,0),SUM($B92:$AP92)-SUM($B168:AI168))</f>
        <v>0</v>
      </c>
      <c r="AK168" s="26">
        <f>IF(SUM($B92:$AP92)-SUM($B168:AJ168)&gt;$AI11,IF((SUM($B149:AK149)-SUM($B168:AJ168))/$AI11&gt;1,ROUNDDOWN((SUM($B149:AK149)-SUM($B168:AJ168))/$AI11,0)*$AI11,0),SUM($B92:$AP92)-SUM($B168:AJ168))</f>
        <v>0</v>
      </c>
      <c r="AL168" s="26">
        <f>IF(SUM($B92:$AP92)-SUM($B168:AK168)&gt;$AI11,IF((SUM($B149:AL149)-SUM($B168:AK168))/$AI11&gt;1,ROUNDDOWN((SUM($B149:AL149)-SUM($B168:AK168))/$AI11,0)*$AI11,0),SUM($B92:$AP92)-SUM($B168:AK168))</f>
        <v>0</v>
      </c>
      <c r="AM168" s="26">
        <f>IF(SUM($B92:$AP92)-SUM($B168:AL168)&gt;$AI11,IF((SUM($B149:AM149)-SUM($B168:AL168))/$AI11&gt;1,ROUNDDOWN((SUM($B149:AM149)-SUM($B168:AL168))/$AI11,0)*$AI11,0),SUM($B92:$AP92)-SUM($B168:AL168))</f>
        <v>0</v>
      </c>
      <c r="AN168" s="26">
        <f>IF(SUM($B92:$AP92)-SUM($B168:AM168)&gt;$AI11,IF((SUM($B149:AN149)-SUM($B168:AM168))/$AI11&gt;1,ROUNDDOWN((SUM($B149:AN149)-SUM($B168:AM168))/$AI11,0)*$AI11,0),SUM($B92:$AP92)-SUM($B168:AM168))</f>
        <v>0</v>
      </c>
      <c r="AO168" s="26">
        <f>IF(SUM($B92:$AP92)-SUM($B168:AN168)&gt;$AI11,IF((SUM($B149:AO149)-SUM($B168:AN168))/$AI11&gt;1,ROUNDDOWN((SUM($B149:AO149)-SUM($B168:AN168))/$AI11,0)*$AI11,0),SUM($B92:$AP92)-SUM($B168:AN168))</f>
        <v>0</v>
      </c>
      <c r="AP168" s="26">
        <f>IF(SUM($B92:$AP92)-SUM($B168:AO168)&gt;$AI11,IF((SUM($B149:AP149)-SUM($B168:AO168))/$AI11&gt;1,ROUNDDOWN((SUM($B149:AP149)-SUM($B168:AO168))/$AI11,0)*$AI11,0),SUM($B92:$AP92)-SUM($B168:AO168))</f>
        <v>0</v>
      </c>
    </row>
    <row r="169" spans="1:42">
      <c r="A169" t="s">
        <v>2375</v>
      </c>
      <c r="B169" s="26">
        <v>0</v>
      </c>
      <c r="C169" s="26">
        <f>IF(SUM($B93:$AP93)-SUM($B169:B169)&gt;$AI12,IF((SUM($B150:C150)-SUM($B169:B169))/$AI12&gt;1,ROUNDDOWN((SUM($B150:C150)-SUM($B169:B169))/$AI12,0)*$AI12,0),SUM($B93:$AP93)-SUM($B169:B169))</f>
        <v>0</v>
      </c>
      <c r="D169" s="26">
        <f>IF(SUM($B93:$AP93)-SUM($B169:C169)&gt;$AI12,IF((SUM($B150:D150)-SUM($B169:C169))/$AI12&gt;1,ROUNDDOWN((SUM($B150:D150)-SUM($B169:C169))/$AI12,0)*$AI12,0),SUM($B93:$AP93)-SUM($B169:C169))</f>
        <v>0</v>
      </c>
      <c r="E169" s="26">
        <f>IF(SUM($B93:$AP93)-SUM($B169:D169)&gt;$AI12,IF((SUM($B150:E150)-SUM($B169:D169))/$AI12&gt;1,ROUNDDOWN((SUM($B150:E150)-SUM($B169:D169))/$AI12,0)*$AI12,0),SUM($B93:$AP93)-SUM($B169:D169))</f>
        <v>0</v>
      </c>
      <c r="F169" s="26">
        <f>IF(SUM($B93:$AP93)-SUM($B169:E169)&gt;$AI12,IF((SUM($B150:F150)-SUM($B169:E169))/$AI12&gt;1,ROUNDDOWN((SUM($B150:F150)-SUM($B169:E169))/$AI12,0)*$AI12,0),SUM($B93:$AP93)-SUM($B169:E169))</f>
        <v>0</v>
      </c>
      <c r="G169" s="26">
        <f>IF(SUM($B93:$AP93)-SUM($B169:F169)&gt;$AI12,IF((SUM($B150:G150)-SUM($B169:F169))/$AI12&gt;1,ROUNDDOWN((SUM($B150:G150)-SUM($B169:F169))/$AI12,0)*$AI12,0),SUM($B93:$AP93)-SUM($B169:F169))</f>
        <v>0</v>
      </c>
      <c r="H169" s="26">
        <f>IF(SUM($B93:$AP93)-SUM($B169:G169)&gt;$AI12,IF((SUM($B150:H150)-SUM($B169:G169))/$AI12&gt;1,ROUNDDOWN((SUM($B150:H150)-SUM($B169:G169))/$AI12,0)*$AI12,0),SUM($B93:$AP93)-SUM($B169:G169))</f>
        <v>0</v>
      </c>
      <c r="I169" s="26">
        <f>IF(SUM($B93:$AP93)-SUM($B169:H169)&gt;$AI12,IF((SUM($B150:I150)-SUM($B169:H169))/$AI12&gt;1,ROUNDDOWN((SUM($B150:I150)-SUM($B169:H169))/$AI12,0)*$AI12,0),SUM($B93:$AP93)-SUM($B169:H169))</f>
        <v>0</v>
      </c>
      <c r="J169" s="26">
        <f>IF(SUM($B93:$AP93)-SUM($B169:I169)&gt;$AI12,IF((SUM($B150:J150)-SUM($B169:I169))/$AI12&gt;1,ROUNDDOWN((SUM($B150:J150)-SUM($B169:I169))/$AI12,0)*$AI12,0),SUM($B93:$AP93)-SUM($B169:I169))</f>
        <v>0</v>
      </c>
      <c r="K169" s="26">
        <f>IF(SUM($B93:$AP93)-SUM($B169:J169)&gt;$AI12,IF((SUM($B150:K150)-SUM($B169:J169))/$AI12&gt;1,ROUNDDOWN((SUM($B150:K150)-SUM($B169:J169))/$AI12,0)*$AI12,0),SUM($B93:$AP93)-SUM($B169:J169))</f>
        <v>0</v>
      </c>
      <c r="L169" s="26">
        <f>IF(SUM($B93:$AP93)-SUM($B169:K169)&gt;$AI12,IF((SUM($B150:L150)-SUM($B169:K169))/$AI12&gt;1,ROUNDDOWN((SUM($B150:L150)-SUM($B169:K169))/$AI12,0)*$AI12,0),SUM($B93:$AP93)-SUM($B169:K169))</f>
        <v>0</v>
      </c>
      <c r="M169" s="26">
        <f>IF(SUM($B93:$AP93)-SUM($B169:L169)&gt;$AI12,IF((SUM($B150:M150)-SUM($B169:L169))/$AI12&gt;1,ROUNDDOWN((SUM($B150:M150)-SUM($B169:L169))/$AI12,0)*$AI12,0),SUM($B93:$AP93)-SUM($B169:L169))</f>
        <v>0</v>
      </c>
      <c r="N169" s="26">
        <f>IF(SUM($B93:$AP93)-SUM($B169:M169)&gt;$AI12,IF((SUM($B150:N150)-SUM($B169:M169))/$AI12&gt;1,ROUNDDOWN((SUM($B150:N150)-SUM($B169:M169))/$AI12,0)*$AI12,0),SUM($B93:$AP93)-SUM($B169:M169))</f>
        <v>0</v>
      </c>
      <c r="O169" s="26">
        <f>IF(SUM($B93:$AP93)-SUM($B169:N169)&gt;$AI12,IF((SUM($B150:O150)-SUM($B169:N169))/$AI12&gt;1,ROUNDDOWN((SUM($B150:O150)-SUM($B169:N169))/$AI12,0)*$AI12,0),SUM($B93:$AP93)-SUM($B169:N169))</f>
        <v>0</v>
      </c>
      <c r="P169" s="26">
        <f>IF(SUM($B93:$AP93)-SUM($B169:O169)&gt;$AI12,IF((SUM($B150:P150)-SUM($B169:O169))/$AI12&gt;1,ROUNDDOWN((SUM($B150:P150)-SUM($B169:O169))/$AI12,0)*$AI12,0),SUM($B93:$AP93)-SUM($B169:O169))</f>
        <v>0</v>
      </c>
      <c r="Q169" s="26">
        <f>IF(SUM($B93:$AP93)-SUM($B169:P169)&gt;$AI12,IF((SUM($B150:Q150)-SUM($B169:P169))/$AI12&gt;1,ROUNDDOWN((SUM($B150:Q150)-SUM($B169:P169))/$AI12,0)*$AI12,0),SUM($B93:$AP93)-SUM($B169:P169))</f>
        <v>0</v>
      </c>
      <c r="R169" s="26">
        <f>IF(SUM($B93:$AP93)-SUM($B169:Q169)&gt;$AI12,IF((SUM($B150:R150)-SUM($B169:Q169))/$AI12&gt;1,ROUNDDOWN((SUM($B150:R150)-SUM($B169:Q169))/$AI12,0)*$AI12,0),SUM($B93:$AP93)-SUM($B169:Q169))</f>
        <v>0</v>
      </c>
      <c r="S169" s="26">
        <f>IF(SUM($B93:$AP93)-SUM($B169:R169)&gt;$AI12,IF((SUM($B150:S150)-SUM($B169:R169))/$AI12&gt;1,ROUNDDOWN((SUM($B150:S150)-SUM($B169:R169))/$AI12,0)*$AI12,0),SUM($B93:$AP93)-SUM($B169:R169))</f>
        <v>0</v>
      </c>
      <c r="T169" s="26">
        <f>IF(SUM($B93:$AP93)-SUM($B169:S169)&gt;$AI12,IF((SUM($B150:T150)-SUM($B169:S169))/$AI12&gt;1,ROUNDDOWN((SUM($B150:T150)-SUM($B169:S169))/$AI12,0)*$AI12,0),SUM($B93:$AP93)-SUM($B169:S169))</f>
        <v>0</v>
      </c>
      <c r="U169" s="26">
        <f>IF(SUM($B93:$AP93)-SUM($B169:T169)&gt;$AI12,IF((SUM($B150:U150)-SUM($B169:T169))/$AI12&gt;1,ROUNDDOWN((SUM($B150:U150)-SUM($B169:T169))/$AI12,0)*$AI12,0),SUM($B93:$AP93)-SUM($B169:T169))</f>
        <v>0</v>
      </c>
      <c r="V169" s="26">
        <f>IF(SUM($B93:$AP93)-SUM($B169:U169)&gt;$AI12,IF((SUM($B150:V150)-SUM($B169:U169))/$AI12&gt;1,ROUNDDOWN((SUM($B150:V150)-SUM($B169:U169))/$AI12,0)*$AI12,0),SUM($B93:$AP93)-SUM($B169:U169))</f>
        <v>0</v>
      </c>
      <c r="W169" s="26">
        <f>IF(SUM($B93:$AP93)-SUM($B169:V169)&gt;$AI12,IF((SUM($B150:W150)-SUM($B169:V169))/$AI12&gt;1,ROUNDDOWN((SUM($B150:W150)-SUM($B169:V169))/$AI12,0)*$AI12,0),SUM($B93:$AP93)-SUM($B169:V169))</f>
        <v>0</v>
      </c>
      <c r="X169" s="26">
        <f>IF(SUM($B93:$AP93)-SUM($B169:W169)&gt;$AI12,IF((SUM($B150:X150)-SUM($B169:W169))/$AI12&gt;1,ROUNDDOWN((SUM($B150:X150)-SUM($B169:W169))/$AI12,0)*$AI12,0),SUM($B93:$AP93)-SUM($B169:W169))</f>
        <v>0</v>
      </c>
      <c r="Y169" s="26">
        <f>IF(SUM($B93:$AP93)-SUM($B169:X169)&gt;$AI12,IF((SUM($B150:Y150)-SUM($B169:X169))/$AI12&gt;1,ROUNDDOWN((SUM($B150:Y150)-SUM($B169:X169))/$AI12,0)*$AI12,0),SUM($B93:$AP93)-SUM($B169:X169))</f>
        <v>0</v>
      </c>
      <c r="Z169" s="26">
        <f>IF(SUM($B93:$AP93)-SUM($B169:Y169)&gt;$AI12,IF((SUM($B150:Z150)-SUM($B169:Y169))/$AI12&gt;1,ROUNDDOWN((SUM($B150:Z150)-SUM($B169:Y169))/$AI12,0)*$AI12,0),SUM($B93:$AP93)-SUM($B169:Y169))</f>
        <v>0</v>
      </c>
      <c r="AA169" s="26">
        <f>IF(SUM($B93:$AP93)-SUM($B169:Z169)&gt;$AI12,IF((SUM($B150:AA150)-SUM($B169:Z169))/$AI12&gt;1,ROUNDDOWN((SUM($B150:AA150)-SUM($B169:Z169))/$AI12,0)*$AI12,0),SUM($B93:$AP93)-SUM($B169:Z169))</f>
        <v>0</v>
      </c>
      <c r="AB169" s="26">
        <f>IF(SUM($B93:$AP93)-SUM($B169:AA169)&gt;$AI12,IF((SUM($B150:AB150)-SUM($B169:AA169))/$AI12&gt;1,ROUNDDOWN((SUM($B150:AB150)-SUM($B169:AA169))/$AI12,0)*$AI12,0),SUM($B93:$AP93)-SUM($B169:AA169))</f>
        <v>0</v>
      </c>
      <c r="AC169" s="26">
        <f>IF(SUM($B93:$AP93)-SUM($B169:AB169)&gt;$AI12,IF((SUM($B150:AC150)-SUM($B169:AB169))/$AI12&gt;1,ROUNDDOWN((SUM($B150:AC150)-SUM($B169:AB169))/$AI12,0)*$AI12,0),SUM($B93:$AP93)-SUM($B169:AB169))</f>
        <v>0</v>
      </c>
      <c r="AD169" s="26">
        <f>IF(SUM($B93:$AP93)-SUM($B169:AC169)&gt;$AI12,IF((SUM($B150:AD150)-SUM($B169:AC169))/$AI12&gt;1,ROUNDDOWN((SUM($B150:AD150)-SUM($B169:AC169))/$AI12,0)*$AI12,0),SUM($B93:$AP93)-SUM($B169:AC169))</f>
        <v>0</v>
      </c>
      <c r="AE169" s="26">
        <f>IF(SUM($B93:$AP93)-SUM($B169:AD169)&gt;$AI12,IF((SUM($B150:AE150)-SUM($B169:AD169))/$AI12&gt;1,ROUNDDOWN((SUM($B150:AE150)-SUM($B169:AD169))/$AI12,0)*$AI12,0),SUM($B93:$AP93)-SUM($B169:AD169))</f>
        <v>0</v>
      </c>
      <c r="AF169" s="26">
        <f>IF(SUM($B93:$AP93)-SUM($B169:AE169)&gt;$AI12,IF((SUM($B150:AF150)-SUM($B169:AE169))/$AI12&gt;1,ROUNDDOWN((SUM($B150:AF150)-SUM($B169:AE169))/$AI12,0)*$AI12,0),SUM($B93:$AP93)-SUM($B169:AE169))</f>
        <v>0</v>
      </c>
      <c r="AG169" s="26">
        <f>IF(SUM($B93:$AP93)-SUM($B169:AF169)&gt;$AI12,IF((SUM($B150:AG150)-SUM($B169:AF169))/$AI12&gt;1,ROUNDDOWN((SUM($B150:AG150)-SUM($B169:AF169))/$AI12,0)*$AI12,0),SUM($B93:$AP93)-SUM($B169:AF169))</f>
        <v>0</v>
      </c>
      <c r="AH169" s="26">
        <f>IF(SUM($B93:$AP93)-SUM($B169:AG169)&gt;$AI12,IF((SUM($B150:AH150)-SUM($B169:AG169))/$AI12&gt;1,ROUNDDOWN((SUM($B150:AH150)-SUM($B169:AG169))/$AI12,0)*$AI12,0),SUM($B93:$AP93)-SUM($B169:AG169))</f>
        <v>0</v>
      </c>
      <c r="AI169" s="26">
        <f>IF(SUM($B93:$AP93)-SUM($B169:AH169)&gt;$AI12,IF((SUM($B150:AI150)-SUM($B169:AH169))/$AI12&gt;1,ROUNDDOWN((SUM($B150:AI150)-SUM($B169:AH169))/$AI12,0)*$AI12,0),SUM($B93:$AP93)-SUM($B169:AH169))</f>
        <v>0</v>
      </c>
      <c r="AJ169" s="26">
        <f>IF(SUM($B93:$AP93)-SUM($B169:AI169)&gt;$AI12,IF((SUM($B150:AJ150)-SUM($B169:AI169))/$AI12&gt;1,ROUNDDOWN((SUM($B150:AJ150)-SUM($B169:AI169))/$AI12,0)*$AI12,0),SUM($B93:$AP93)-SUM($B169:AI169))</f>
        <v>0</v>
      </c>
      <c r="AK169" s="26">
        <f>IF(SUM($B93:$AP93)-SUM($B169:AJ169)&gt;$AI12,IF((SUM($B150:AK150)-SUM($B169:AJ169))/$AI12&gt;1,ROUNDDOWN((SUM($B150:AK150)-SUM($B169:AJ169))/$AI12,0)*$AI12,0),SUM($B93:$AP93)-SUM($B169:AJ169))</f>
        <v>0</v>
      </c>
      <c r="AL169" s="26">
        <f>IF(SUM($B93:$AP93)-SUM($B169:AK169)&gt;$AI12,IF((SUM($B150:AL150)-SUM($B169:AK169))/$AI12&gt;1,ROUNDDOWN((SUM($B150:AL150)-SUM($B169:AK169))/$AI12,0)*$AI12,0),SUM($B93:$AP93)-SUM($B169:AK169))</f>
        <v>0</v>
      </c>
      <c r="AM169" s="26">
        <f>IF(SUM($B93:$AP93)-SUM($B169:AL169)&gt;$AI12,IF((SUM($B150:AM150)-SUM($B169:AL169))/$AI12&gt;1,ROUNDDOWN((SUM($B150:AM150)-SUM($B169:AL169))/$AI12,0)*$AI12,0),SUM($B93:$AP93)-SUM($B169:AL169))</f>
        <v>0</v>
      </c>
      <c r="AN169" s="26">
        <f>IF(SUM($B93:$AP93)-SUM($B169:AM169)&gt;$AI12,IF((SUM($B150:AN150)-SUM($B169:AM169))/$AI12&gt;1,ROUNDDOWN((SUM($B150:AN150)-SUM($B169:AM169))/$AI12,0)*$AI12,0),SUM($B93:$AP93)-SUM($B169:AM169))</f>
        <v>0</v>
      </c>
      <c r="AO169" s="26">
        <f>IF(SUM($B93:$AP93)-SUM($B169:AN169)&gt;$AI12,IF((SUM($B150:AO150)-SUM($B169:AN169))/$AI12&gt;1,ROUNDDOWN((SUM($B150:AO150)-SUM($B169:AN169))/$AI12,0)*$AI12,0),SUM($B93:$AP93)-SUM($B169:AN169))</f>
        <v>0</v>
      </c>
      <c r="AP169" s="26">
        <f>IF(SUM($B93:$AP93)-SUM($B169:AO169)&gt;$AI12,IF((SUM($B150:AP150)-SUM($B169:AO169))/$AI12&gt;1,ROUNDDOWN((SUM($B150:AP150)-SUM($B169:AO169))/$AI12,0)*$AI12,0),SUM($B93:$AP93)-SUM($B169:AO169))</f>
        <v>0</v>
      </c>
    </row>
    <row r="170" spans="1:42">
      <c r="A170" t="s">
        <v>2376</v>
      </c>
      <c r="B170" s="26">
        <v>0</v>
      </c>
      <c r="C170" s="26">
        <f>IF(SUM($B94:$AP94)-SUM($B170:B170)&gt;$AI13,IF((SUM($B151:C151)-SUM($B170:B170))/$AI13&gt;1,ROUNDDOWN((SUM($B151:C151)-SUM($B170:B170))/$AI13,0)*$AI13,0),SUM($B94:$AP94)-SUM($B170:B170))</f>
        <v>114</v>
      </c>
      <c r="D170" s="26">
        <f>IF(SUM($B94:$AP94)-SUM($B170:C170)&gt;$AI13,IF((SUM($B151:D151)-SUM($B170:C170))/$AI13&gt;1,ROUNDDOWN((SUM($B151:D151)-SUM($B170:C170))/$AI13,0)*$AI13,0),SUM($B94:$AP94)-SUM($B170:C170))</f>
        <v>72</v>
      </c>
      <c r="E170" s="26">
        <f>IF(SUM($B94:$AP94)-SUM($B170:D170)&gt;$AI13,IF((SUM($B151:E151)-SUM($B170:D170))/$AI13&gt;1,ROUNDDOWN((SUM($B151:E151)-SUM($B170:D170))/$AI13,0)*$AI13,0),SUM($B94:$AP94)-SUM($B170:D170))</f>
        <v>78</v>
      </c>
      <c r="F170" s="26">
        <f>IF(SUM($B94:$AP94)-SUM($B170:E170)&gt;$AI13,IF((SUM($B151:F151)-SUM($B170:E170))/$AI13&gt;1,ROUNDDOWN((SUM($B151:F151)-SUM($B170:E170))/$AI13,0)*$AI13,0),SUM($B94:$AP94)-SUM($B170:E170))</f>
        <v>90</v>
      </c>
      <c r="G170" s="26">
        <f>IF(SUM($B94:$AP94)-SUM($B170:F170)&gt;$AI13,IF((SUM($B151:G151)-SUM($B170:F170))/$AI13&gt;1,ROUNDDOWN((SUM($B151:G151)-SUM($B170:F170))/$AI13,0)*$AI13,0),SUM($B94:$AP94)-SUM($B170:F170))</f>
        <v>102</v>
      </c>
      <c r="H170" s="26">
        <f>IF(SUM($B94:$AP94)-SUM($B170:G170)&gt;$AI13,IF((SUM($B151:H151)-SUM($B170:G170))/$AI13&gt;1,ROUNDDOWN((SUM($B151:H151)-SUM($B170:G170))/$AI13,0)*$AI13,0),SUM($B94:$AP94)-SUM($B170:G170))</f>
        <v>114</v>
      </c>
      <c r="I170" s="26">
        <f>IF(SUM($B94:$AP94)-SUM($B170:H170)&gt;$AI13,IF((SUM($B151:I151)-SUM($B170:H170))/$AI13&gt;1,ROUNDDOWN((SUM($B151:I151)-SUM($B170:H170))/$AI13,0)*$AI13,0),SUM($B94:$AP94)-SUM($B170:H170))</f>
        <v>126</v>
      </c>
      <c r="J170" s="26">
        <f>IF(SUM($B94:$AP94)-SUM($B170:I170)&gt;$AI13,IF((SUM($B151:J151)-SUM($B170:I170))/$AI13&gt;1,ROUNDDOWN((SUM($B151:J151)-SUM($B170:I170))/$AI13,0)*$AI13,0),SUM($B94:$AP94)-SUM($B170:I170))</f>
        <v>144</v>
      </c>
      <c r="K170" s="26">
        <f>IF(SUM($B94:$AP94)-SUM($B170:J170)&gt;$AI13,IF((SUM($B151:K151)-SUM($B170:J170))/$AI13&gt;1,ROUNDDOWN((SUM($B151:K151)-SUM($B170:J170))/$AI13,0)*$AI13,0),SUM($B94:$AP94)-SUM($B170:J170))</f>
        <v>162</v>
      </c>
      <c r="L170" s="26">
        <f>IF(SUM($B94:$AP94)-SUM($B170:K170)&gt;$AI13,IF((SUM($B151:L151)-SUM($B170:K170))/$AI13&gt;1,ROUNDDOWN((SUM($B151:L151)-SUM($B170:K170))/$AI13,0)*$AI13,0),SUM($B94:$AP94)-SUM($B170:K170))</f>
        <v>174</v>
      </c>
      <c r="M170" s="26">
        <f>IF(SUM($B94:$AP94)-SUM($B170:L170)&gt;$AI13,IF((SUM($B151:M151)-SUM($B170:L170))/$AI13&gt;1,ROUNDDOWN((SUM($B151:M151)-SUM($B170:L170))/$AI13,0)*$AI13,0),SUM($B94:$AP94)-SUM($B170:L170))</f>
        <v>192</v>
      </c>
      <c r="N170" s="26">
        <f>IF(SUM($B94:$AP94)-SUM($B170:M170)&gt;$AI13,IF((SUM($B151:N151)-SUM($B170:M170))/$AI13&gt;1,ROUNDDOWN((SUM($B151:N151)-SUM($B170:M170))/$AI13,0)*$AI13,0),SUM($B94:$AP94)-SUM($B170:M170))</f>
        <v>216</v>
      </c>
      <c r="O170" s="26">
        <f>IF(SUM($B94:$AP94)-SUM($B170:N170)&gt;$AI13,IF((SUM($B151:O151)-SUM($B170:N170))/$AI13&gt;1,ROUNDDOWN((SUM($B151:O151)-SUM($B170:N170))/$AI13,0)*$AI13,0),SUM($B94:$AP94)-SUM($B170:N170))</f>
        <v>234</v>
      </c>
      <c r="P170" s="26">
        <f>IF(SUM($B94:$AP94)-SUM($B170:O170)&gt;$AI13,IF((SUM($B151:P151)-SUM($B170:O170))/$AI13&gt;1,ROUNDDOWN((SUM($B151:P151)-SUM($B170:O170))/$AI13,0)*$AI13,0),SUM($B94:$AP94)-SUM($B170:O170))</f>
        <v>252</v>
      </c>
      <c r="Q170" s="26">
        <f>IF(SUM($B94:$AP94)-SUM($B170:P170)&gt;$AI13,IF((SUM($B151:Q151)-SUM($B170:P170))/$AI13&gt;1,ROUNDDOWN((SUM($B151:Q151)-SUM($B170:P170))/$AI13,0)*$AI13,0),SUM($B94:$AP94)-SUM($B170:P170))</f>
        <v>270</v>
      </c>
      <c r="R170" s="26">
        <f>IF(SUM($B94:$AP94)-SUM($B170:Q170)&gt;$AI13,IF((SUM($B151:R151)-SUM($B170:Q170))/$AI13&gt;1,ROUNDDOWN((SUM($B151:R151)-SUM($B170:Q170))/$AI13,0)*$AI13,0),SUM($B94:$AP94)-SUM($B170:Q170))</f>
        <v>282</v>
      </c>
      <c r="S170" s="26">
        <f>IF(SUM($B94:$AP94)-SUM($B170:R170)&gt;$AI13,IF((SUM($B151:S151)-SUM($B170:R170))/$AI13&gt;1,ROUNDDOWN((SUM($B151:S151)-SUM($B170:R170))/$AI13,0)*$AI13,0),SUM($B94:$AP94)-SUM($B170:R170))</f>
        <v>300</v>
      </c>
      <c r="T170" s="26">
        <f>IF(SUM($B94:$AP94)-SUM($B170:S170)&gt;$AI13,IF((SUM($B151:T151)-SUM($B170:S170))/$AI13&gt;1,ROUNDDOWN((SUM($B151:T151)-SUM($B170:S170))/$AI13,0)*$AI13,0),SUM($B94:$AP94)-SUM($B170:S170))</f>
        <v>306</v>
      </c>
      <c r="U170" s="26">
        <f>IF(SUM($B94:$AP94)-SUM($B170:T170)&gt;$AI13,IF((SUM($B151:U151)-SUM($B170:T170))/$AI13&gt;1,ROUNDDOWN((SUM($B151:U151)-SUM($B170:T170))/$AI13,0)*$AI13,0),SUM($B94:$AP94)-SUM($B170:T170))</f>
        <v>324</v>
      </c>
      <c r="V170" s="26">
        <f>IF(SUM($B94:$AP94)-SUM($B170:U170)&gt;$AI13,IF((SUM($B151:V151)-SUM($B170:U170))/$AI13&gt;1,ROUNDDOWN((SUM($B151:V151)-SUM($B170:U170))/$AI13,0)*$AI13,0),SUM($B94:$AP94)-SUM($B170:U170))</f>
        <v>336</v>
      </c>
      <c r="W170" s="26">
        <f>IF(SUM($B94:$AP94)-SUM($B170:V170)&gt;$AI13,IF((SUM($B151:W151)-SUM($B170:V170))/$AI13&gt;1,ROUNDDOWN((SUM($B151:W151)-SUM($B170:V170))/$AI13,0)*$AI13,0),SUM($B94:$AP94)-SUM($B170:V170))</f>
        <v>354</v>
      </c>
      <c r="X170" s="26">
        <f>IF(SUM($B94:$AP94)-SUM($B170:W170)&gt;$AI13,IF((SUM($B151:X151)-SUM($B170:W170))/$AI13&gt;1,ROUNDDOWN((SUM($B151:X151)-SUM($B170:W170))/$AI13,0)*$AI13,0),SUM($B94:$AP94)-SUM($B170:W170))</f>
        <v>360</v>
      </c>
      <c r="Y170" s="26">
        <f>IF(SUM($B94:$AP94)-SUM($B170:X170)&gt;$AI13,IF((SUM($B151:Y151)-SUM($B170:X170))/$AI13&gt;1,ROUNDDOWN((SUM($B151:Y151)-SUM($B170:X170))/$AI13,0)*$AI13,0),SUM($B94:$AP94)-SUM($B170:X170))</f>
        <v>378</v>
      </c>
      <c r="Z170" s="26">
        <f>IF(SUM($B94:$AP94)-SUM($B170:Y170)&gt;$AI13,IF((SUM($B151:Z151)-SUM($B170:Y170))/$AI13&gt;1,ROUNDDOWN((SUM($B151:Z151)-SUM($B170:Y170))/$AI13,0)*$AI13,0),SUM($B94:$AP94)-SUM($B170:Y170))</f>
        <v>396</v>
      </c>
      <c r="AA170" s="26">
        <f>IF(SUM($B94:$AP94)-SUM($B170:Z170)&gt;$AI13,IF((SUM($B151:AA151)-SUM($B170:Z170))/$AI13&gt;1,ROUNDDOWN((SUM($B151:AA151)-SUM($B170:Z170))/$AI13,0)*$AI13,0),SUM($B94:$AP94)-SUM($B170:Z170))</f>
        <v>402</v>
      </c>
      <c r="AB170" s="26">
        <f>IF(SUM($B94:$AP94)-SUM($B170:AA170)&gt;$AI13,IF((SUM($B151:AB151)-SUM($B170:AA170))/$AI13&gt;1,ROUNDDOWN((SUM($B151:AB151)-SUM($B170:AA170))/$AI13,0)*$AI13,0),SUM($B94:$AP94)-SUM($B170:AA170))</f>
        <v>414</v>
      </c>
      <c r="AC170" s="26">
        <f>IF(SUM($B94:$AP94)-SUM($B170:AB170)&gt;$AI13,IF((SUM($B151:AC151)-SUM($B170:AB170))/$AI13&gt;1,ROUNDDOWN((SUM($B151:AC151)-SUM($B170:AB170))/$AI13,0)*$AI13,0),SUM($B94:$AP94)-SUM($B170:AB170))</f>
        <v>420</v>
      </c>
      <c r="AD170" s="26">
        <f>IF(SUM($B94:$AP94)-SUM($B170:AC170)&gt;$AI13,IF((SUM($B151:AD151)-SUM($B170:AC170))/$AI13&gt;1,ROUNDDOWN((SUM($B151:AD151)-SUM($B170:AC170))/$AI13,0)*$AI13,0),SUM($B94:$AP94)-SUM($B170:AC170))</f>
        <v>426</v>
      </c>
      <c r="AE170" s="26">
        <f>IF(SUM($B94:$AP94)-SUM($B170:AD170)&gt;$AI13,IF((SUM($B151:AE151)-SUM($B170:AD170))/$AI13&gt;1,ROUNDDOWN((SUM($B151:AE151)-SUM($B170:AD170))/$AI13,0)*$AI13,0),SUM($B94:$AP94)-SUM($B170:AD170))</f>
        <v>432</v>
      </c>
      <c r="AF170" s="26">
        <f>IF(SUM($B94:$AP94)-SUM($B170:AE170)&gt;$AI13,IF((SUM($B151:AF151)-SUM($B170:AE170))/$AI13&gt;1,ROUNDDOWN((SUM($B151:AF151)-SUM($B170:AE170))/$AI13,0)*$AI13,0),SUM($B94:$AP94)-SUM($B170:AE170))</f>
        <v>432</v>
      </c>
      <c r="AG170" s="26">
        <f>IF(SUM($B94:$AP94)-SUM($B170:AF170)&gt;$AI13,IF((SUM($B151:AG151)-SUM($B170:AF170))/$AI13&gt;1,ROUNDDOWN((SUM($B151:AG151)-SUM($B170:AF170))/$AI13,0)*$AI13,0),SUM($B94:$AP94)-SUM($B170:AF170))</f>
        <v>432</v>
      </c>
      <c r="AH170" s="26">
        <f>IF(SUM($B94:$AP94)-SUM($B170:AG170)&gt;$AI13,IF((SUM($B151:AH151)-SUM($B170:AG170))/$AI13&gt;1,ROUNDDOWN((SUM($B151:AH151)-SUM($B170:AG170))/$AI13,0)*$AI13,0),SUM($B94:$AP94)-SUM($B170:AG170))</f>
        <v>420</v>
      </c>
      <c r="AI170" s="26">
        <f>IF(SUM($B94:$AP94)-SUM($B170:AH170)&gt;$AI13,IF((SUM($B151:AI151)-SUM($B170:AH170))/$AI13&gt;1,ROUNDDOWN((SUM($B151:AI151)-SUM($B170:AH170))/$AI13,0)*$AI13,0),SUM($B94:$AP94)-SUM($B170:AH170))</f>
        <v>420</v>
      </c>
      <c r="AJ170" s="26">
        <f>IF(SUM($B94:$AP94)-SUM($B170:AI170)&gt;$AI13,IF((SUM($B151:AJ151)-SUM($B170:AI170))/$AI13&gt;1,ROUNDDOWN((SUM($B151:AJ151)-SUM($B170:AI170))/$AI13,0)*$AI13,0),SUM($B94:$AP94)-SUM($B170:AI170))</f>
        <v>414</v>
      </c>
      <c r="AK170" s="26">
        <f>IF(SUM($B94:$AP94)-SUM($B170:AJ170)&gt;$AI13,IF((SUM($B151:AK151)-SUM($B170:AJ170))/$AI13&gt;1,ROUNDDOWN((SUM($B151:AK151)-SUM($B170:AJ170))/$AI13,0)*$AI13,0),SUM($B94:$AP94)-SUM($B170:AJ170))</f>
        <v>408</v>
      </c>
      <c r="AL170" s="26">
        <f>IF(SUM($B94:$AP94)-SUM($B170:AK170)&gt;$AI13,IF((SUM($B151:AL151)-SUM($B170:AK170))/$AI13&gt;1,ROUNDDOWN((SUM($B151:AL151)-SUM($B170:AK170))/$AI13,0)*$AI13,0),SUM($B94:$AP94)-SUM($B170:AK170))</f>
        <v>390</v>
      </c>
      <c r="AM170" s="26">
        <f>IF(SUM($B94:$AP94)-SUM($B170:AL170)&gt;$AI13,IF((SUM($B151:AM151)-SUM($B170:AL170))/$AI13&gt;1,ROUNDDOWN((SUM($B151:AM151)-SUM($B170:AL170))/$AI13,0)*$AI13,0),SUM($B94:$AP94)-SUM($B170:AL170))</f>
        <v>360</v>
      </c>
      <c r="AN170" s="26">
        <f>IF(SUM($B94:$AP94)-SUM($B170:AM170)&gt;$AI13,IF((SUM($B151:AN151)-SUM($B170:AM170))/$AI13&gt;1,ROUNDDOWN((SUM($B151:AN151)-SUM($B170:AM170))/$AI13,0)*$AI13,0),SUM($B94:$AP94)-SUM($B170:AM170))</f>
        <v>342</v>
      </c>
      <c r="AO170" s="26">
        <f>IF(SUM($B94:$AP94)-SUM($B170:AN170)&gt;$AI13,IF((SUM($B151:AO151)-SUM($B170:AN170))/$AI13&gt;1,ROUNDDOWN((SUM($B151:AO151)-SUM($B170:AN170))/$AI13,0)*$AI13,0),SUM($B94:$AP94)-SUM($B170:AN170))</f>
        <v>324</v>
      </c>
      <c r="AP170" s="26">
        <f>IF(SUM($B94:$AP94)-SUM($B170:AO170)&gt;$AI13,IF((SUM($B151:AP151)-SUM($B170:AO170))/$AI13&gt;1,ROUNDDOWN((SUM($B151:AP151)-SUM($B170:AO170))/$AI13,0)*$AI13,0),SUM($B94:$AP94)-SUM($B170:AO170))</f>
        <v>306</v>
      </c>
    </row>
    <row r="171" spans="1:42">
      <c r="A171" t="s">
        <v>2377</v>
      </c>
      <c r="B171" s="26">
        <v>0</v>
      </c>
      <c r="C171" s="26">
        <f>IF(SUM($B95:$AP95)-SUM($B171:B171)&gt;$AI14,IF((SUM($B152:C152)-SUM($B171:B171))/$AI14&gt;1,ROUNDDOWN((SUM($B152:C152)-SUM($B171:B171))/$AI14,0)*$AI14,0),SUM($B95:$AP95)-SUM($B171:B171))</f>
        <v>65</v>
      </c>
      <c r="D171" s="26">
        <f>IF(SUM($B95:$AP95)-SUM($B171:C171)&gt;$AI14,IF((SUM($B152:D152)-SUM($B171:C171))/$AI14&gt;1,ROUNDDOWN((SUM($B152:D152)-SUM($B171:C171))/$AI14,0)*$AI14,0),SUM($B95:$AP95)-SUM($B171:C171))</f>
        <v>50</v>
      </c>
      <c r="E171" s="26">
        <f>IF(SUM($B95:$AP95)-SUM($B171:D171)&gt;$AI14,IF((SUM($B152:E152)-SUM($B171:D171))/$AI14&gt;1,ROUNDDOWN((SUM($B152:E152)-SUM($B171:D171))/$AI14,0)*$AI14,0),SUM($B95:$AP95)-SUM($B171:D171))</f>
        <v>45</v>
      </c>
      <c r="F171" s="26">
        <f>IF(SUM($B95:$AP95)-SUM($B171:E171)&gt;$AI14,IF((SUM($B152:F152)-SUM($B171:E171))/$AI14&gt;1,ROUNDDOWN((SUM($B152:F152)-SUM($B171:E171))/$AI14,0)*$AI14,0),SUM($B95:$AP95)-SUM($B171:E171))</f>
        <v>50</v>
      </c>
      <c r="G171" s="26">
        <f>IF(SUM($B95:$AP95)-SUM($B171:F171)&gt;$AI14,IF((SUM($B152:G152)-SUM($B171:F171))/$AI14&gt;1,ROUNDDOWN((SUM($B152:G152)-SUM($B171:F171))/$AI14,0)*$AI14,0),SUM($B95:$AP95)-SUM($B171:F171))</f>
        <v>45</v>
      </c>
      <c r="H171" s="26">
        <f>IF(SUM($B95:$AP95)-SUM($B171:G171)&gt;$AI14,IF((SUM($B152:H152)-SUM($B171:G171))/$AI14&gt;1,ROUNDDOWN((SUM($B152:H152)-SUM($B171:G171))/$AI14,0)*$AI14,0),SUM($B95:$AP95)-SUM($B171:G171))</f>
        <v>50</v>
      </c>
      <c r="I171" s="26">
        <f>IF(SUM($B95:$AP95)-SUM($B171:H171)&gt;$AI14,IF((SUM($B152:I152)-SUM($B171:H171))/$AI14&gt;1,ROUNDDOWN((SUM($B152:I152)-SUM($B171:H171))/$AI14,0)*$AI14,0),SUM($B95:$AP95)-SUM($B171:H171))</f>
        <v>45</v>
      </c>
      <c r="J171" s="26">
        <f>IF(SUM($B95:$AP95)-SUM($B171:I171)&gt;$AI14,IF((SUM($B152:J152)-SUM($B171:I171))/$AI14&gt;1,ROUNDDOWN((SUM($B152:J152)-SUM($B171:I171))/$AI14,0)*$AI14,0),SUM($B95:$AP95)-SUM($B171:I171))</f>
        <v>50</v>
      </c>
      <c r="K171" s="26">
        <f>IF(SUM($B95:$AP95)-SUM($B171:J171)&gt;$AI14,IF((SUM($B152:K152)-SUM($B171:J171))/$AI14&gt;1,ROUNDDOWN((SUM($B152:K152)-SUM($B171:J171))/$AI14,0)*$AI14,0),SUM($B95:$AP95)-SUM($B171:J171))</f>
        <v>40</v>
      </c>
      <c r="L171" s="26">
        <f>IF(SUM($B95:$AP95)-SUM($B171:K171)&gt;$AI14,IF((SUM($B152:L152)-SUM($B171:K171))/$AI14&gt;1,ROUNDDOWN((SUM($B152:L152)-SUM($B171:K171))/$AI14,0)*$AI14,0),SUM($B95:$AP95)-SUM($B171:K171))</f>
        <v>25</v>
      </c>
      <c r="M171" s="26">
        <f>IF(SUM($B95:$AP95)-SUM($B171:L171)&gt;$AI14,IF((SUM($B152:M152)-SUM($B171:L171))/$AI14&gt;1,ROUNDDOWN((SUM($B152:M152)-SUM($B171:L171))/$AI14,0)*$AI14,0),SUM($B95:$AP95)-SUM($B171:L171))</f>
        <v>20</v>
      </c>
      <c r="N171" s="26">
        <f>IF(SUM($B95:$AP95)-SUM($B171:M171)&gt;$AI14,IF((SUM($B152:N152)-SUM($B171:M171))/$AI14&gt;1,ROUNDDOWN((SUM($B152:N152)-SUM($B171:M171))/$AI14,0)*$AI14,0),SUM($B95:$AP95)-SUM($B171:M171))</f>
        <v>10</v>
      </c>
      <c r="O171" s="26">
        <f>IF(SUM($B95:$AP95)-SUM($B171:N171)&gt;$AI14,IF((SUM($B152:O152)-SUM($B171:N171))/$AI14&gt;1,ROUNDDOWN((SUM($B152:O152)-SUM($B171:N171))/$AI14,0)*$AI14,0),SUM($B95:$AP95)-SUM($B171:N171))</f>
        <v>0</v>
      </c>
      <c r="P171" s="26">
        <f>IF(SUM($B95:$AP95)-SUM($B171:O171)&gt;$AI14,IF((SUM($B152:P152)-SUM($B171:O171))/$AI14&gt;1,ROUNDDOWN((SUM($B152:P152)-SUM($B171:O171))/$AI14,0)*$AI14,0),SUM($B95:$AP95)-SUM($B171:O171))</f>
        <v>0</v>
      </c>
      <c r="Q171" s="26">
        <f>IF(SUM($B95:$AP95)-SUM($B171:P171)&gt;$AI14,IF((SUM($B152:Q152)-SUM($B171:P171))/$AI14&gt;1,ROUNDDOWN((SUM($B152:Q152)-SUM($B171:P171))/$AI14,0)*$AI14,0),SUM($B95:$AP95)-SUM($B171:P171))</f>
        <v>0</v>
      </c>
      <c r="R171" s="26">
        <f>IF(SUM($B95:$AP95)-SUM($B171:Q171)&gt;$AI14,IF((SUM($B152:R152)-SUM($B171:Q171))/$AI14&gt;1,ROUNDDOWN((SUM($B152:R152)-SUM($B171:Q171))/$AI14,0)*$AI14,0),SUM($B95:$AP95)-SUM($B171:Q171))</f>
        <v>0</v>
      </c>
      <c r="S171" s="26">
        <f>IF(SUM($B95:$AP95)-SUM($B171:R171)&gt;$AI14,IF((SUM($B152:S152)-SUM($B171:R171))/$AI14&gt;1,ROUNDDOWN((SUM($B152:S152)-SUM($B171:R171))/$AI14,0)*$AI14,0),SUM($B95:$AP95)-SUM($B171:R171))</f>
        <v>0</v>
      </c>
      <c r="T171" s="26">
        <f>IF(SUM($B95:$AP95)-SUM($B171:S171)&gt;$AI14,IF((SUM($B152:T152)-SUM($B171:S171))/$AI14&gt;1,ROUNDDOWN((SUM($B152:T152)-SUM($B171:S171))/$AI14,0)*$AI14,0),SUM($B95:$AP95)-SUM($B171:S171))</f>
        <v>0</v>
      </c>
      <c r="U171" s="26">
        <f>IF(SUM($B95:$AP95)-SUM($B171:T171)&gt;$AI14,IF((SUM($B152:U152)-SUM($B171:T171))/$AI14&gt;1,ROUNDDOWN((SUM($B152:U152)-SUM($B171:T171))/$AI14,0)*$AI14,0),SUM($B95:$AP95)-SUM($B171:T171))</f>
        <v>0</v>
      </c>
      <c r="V171" s="26">
        <f>IF(SUM($B95:$AP95)-SUM($B171:U171)&gt;$AI14,IF((SUM($B152:V152)-SUM($B171:U171))/$AI14&gt;1,ROUNDDOWN((SUM($B152:V152)-SUM($B171:U171))/$AI14,0)*$AI14,0),SUM($B95:$AP95)-SUM($B171:U171))</f>
        <v>0</v>
      </c>
      <c r="W171" s="26">
        <f>IF(SUM($B95:$AP95)-SUM($B171:V171)&gt;$AI14,IF((SUM($B152:W152)-SUM($B171:V171))/$AI14&gt;1,ROUNDDOWN((SUM($B152:W152)-SUM($B171:V171))/$AI14,0)*$AI14,0),SUM($B95:$AP95)-SUM($B171:V171))</f>
        <v>0</v>
      </c>
      <c r="X171" s="26">
        <f>IF(SUM($B95:$AP95)-SUM($B171:W171)&gt;$AI14,IF((SUM($B152:X152)-SUM($B171:W171))/$AI14&gt;1,ROUNDDOWN((SUM($B152:X152)-SUM($B171:W171))/$AI14,0)*$AI14,0),SUM($B95:$AP95)-SUM($B171:W171))</f>
        <v>0</v>
      </c>
      <c r="Y171" s="26">
        <f>IF(SUM($B95:$AP95)-SUM($B171:X171)&gt;$AI14,IF((SUM($B152:Y152)-SUM($B171:X171))/$AI14&gt;1,ROUNDDOWN((SUM($B152:Y152)-SUM($B171:X171))/$AI14,0)*$AI14,0),SUM($B95:$AP95)-SUM($B171:X171))</f>
        <v>0</v>
      </c>
      <c r="Z171" s="26">
        <f>IF(SUM($B95:$AP95)-SUM($B171:Y171)&gt;$AI14,IF((SUM($B152:Z152)-SUM($B171:Y171))/$AI14&gt;1,ROUNDDOWN((SUM($B152:Z152)-SUM($B171:Y171))/$AI14,0)*$AI14,0),SUM($B95:$AP95)-SUM($B171:Y171))</f>
        <v>0</v>
      </c>
      <c r="AA171" s="26">
        <f>IF(SUM($B95:$AP95)-SUM($B171:Z171)&gt;$AI14,IF((SUM($B152:AA152)-SUM($B171:Z171))/$AI14&gt;1,ROUNDDOWN((SUM($B152:AA152)-SUM($B171:Z171))/$AI14,0)*$AI14,0),SUM($B95:$AP95)-SUM($B171:Z171))</f>
        <v>0</v>
      </c>
      <c r="AB171" s="26">
        <f>IF(SUM($B95:$AP95)-SUM($B171:AA171)&gt;$AI14,IF((SUM($B152:AB152)-SUM($B171:AA171))/$AI14&gt;1,ROUNDDOWN((SUM($B152:AB152)-SUM($B171:AA171))/$AI14,0)*$AI14,0),SUM($B95:$AP95)-SUM($B171:AA171))</f>
        <v>0</v>
      </c>
      <c r="AC171" s="26">
        <f>IF(SUM($B95:$AP95)-SUM($B171:AB171)&gt;$AI14,IF((SUM($B152:AC152)-SUM($B171:AB171))/$AI14&gt;1,ROUNDDOWN((SUM($B152:AC152)-SUM($B171:AB171))/$AI14,0)*$AI14,0),SUM($B95:$AP95)-SUM($B171:AB171))</f>
        <v>0</v>
      </c>
      <c r="AD171" s="26">
        <f>IF(SUM($B95:$AP95)-SUM($B171:AC171)&gt;$AI14,IF((SUM($B152:AD152)-SUM($B171:AC171))/$AI14&gt;1,ROUNDDOWN((SUM($B152:AD152)-SUM($B171:AC171))/$AI14,0)*$AI14,0),SUM($B95:$AP95)-SUM($B171:AC171))</f>
        <v>0</v>
      </c>
      <c r="AE171" s="26">
        <f>IF(SUM($B95:$AP95)-SUM($B171:AD171)&gt;$AI14,IF((SUM($B152:AE152)-SUM($B171:AD171))/$AI14&gt;1,ROUNDDOWN((SUM($B152:AE152)-SUM($B171:AD171))/$AI14,0)*$AI14,0),SUM($B95:$AP95)-SUM($B171:AD171))</f>
        <v>0</v>
      </c>
      <c r="AF171" s="26">
        <f>IF(SUM($B95:$AP95)-SUM($B171:AE171)&gt;$AI14,IF((SUM($B152:AF152)-SUM($B171:AE171))/$AI14&gt;1,ROUNDDOWN((SUM($B152:AF152)-SUM($B171:AE171))/$AI14,0)*$AI14,0),SUM($B95:$AP95)-SUM($B171:AE171))</f>
        <v>0</v>
      </c>
      <c r="AG171" s="26">
        <f>IF(SUM($B95:$AP95)-SUM($B171:AF171)&gt;$AI14,IF((SUM($B152:AG152)-SUM($B171:AF171))/$AI14&gt;1,ROUNDDOWN((SUM($B152:AG152)-SUM($B171:AF171))/$AI14,0)*$AI14,0),SUM($B95:$AP95)-SUM($B171:AF171))</f>
        <v>0</v>
      </c>
      <c r="AH171" s="26">
        <f>IF(SUM($B95:$AP95)-SUM($B171:AG171)&gt;$AI14,IF((SUM($B152:AH152)-SUM($B171:AG171))/$AI14&gt;1,ROUNDDOWN((SUM($B152:AH152)-SUM($B171:AG171))/$AI14,0)*$AI14,0),SUM($B95:$AP95)-SUM($B171:AG171))</f>
        <v>0</v>
      </c>
      <c r="AI171" s="26">
        <f>IF(SUM($B95:$AP95)-SUM($B171:AH171)&gt;$AI14,IF((SUM($B152:AI152)-SUM($B171:AH171))/$AI14&gt;1,ROUNDDOWN((SUM($B152:AI152)-SUM($B171:AH171))/$AI14,0)*$AI14,0),SUM($B95:$AP95)-SUM($B171:AH171))</f>
        <v>0</v>
      </c>
      <c r="AJ171" s="26">
        <f>IF(SUM($B95:$AP95)-SUM($B171:AI171)&gt;$AI14,IF((SUM($B152:AJ152)-SUM($B171:AI171))/$AI14&gt;1,ROUNDDOWN((SUM($B152:AJ152)-SUM($B171:AI171))/$AI14,0)*$AI14,0),SUM($B95:$AP95)-SUM($B171:AI171))</f>
        <v>0</v>
      </c>
      <c r="AK171" s="26">
        <f>IF(SUM($B95:$AP95)-SUM($B171:AJ171)&gt;$AI14,IF((SUM($B152:AK152)-SUM($B171:AJ171))/$AI14&gt;1,ROUNDDOWN((SUM($B152:AK152)-SUM($B171:AJ171))/$AI14,0)*$AI14,0),SUM($B95:$AP95)-SUM($B171:AJ171))</f>
        <v>0</v>
      </c>
      <c r="AL171" s="26">
        <f>IF(SUM($B95:$AP95)-SUM($B171:AK171)&gt;$AI14,IF((SUM($B152:AL152)-SUM($B171:AK171))/$AI14&gt;1,ROUNDDOWN((SUM($B152:AL152)-SUM($B171:AK171))/$AI14,0)*$AI14,0),SUM($B95:$AP95)-SUM($B171:AK171))</f>
        <v>0</v>
      </c>
      <c r="AM171" s="26">
        <f>IF(SUM($B95:$AP95)-SUM($B171:AL171)&gt;$AI14,IF((SUM($B152:AM152)-SUM($B171:AL171))/$AI14&gt;1,ROUNDDOWN((SUM($B152:AM152)-SUM($B171:AL171))/$AI14,0)*$AI14,0),SUM($B95:$AP95)-SUM($B171:AL171))</f>
        <v>0</v>
      </c>
      <c r="AN171" s="26">
        <f>IF(SUM($B95:$AP95)-SUM($B171:AM171)&gt;$AI14,IF((SUM($B152:AN152)-SUM($B171:AM171))/$AI14&gt;1,ROUNDDOWN((SUM($B152:AN152)-SUM($B171:AM171))/$AI14,0)*$AI14,0),SUM($B95:$AP95)-SUM($B171:AM171))</f>
        <v>0</v>
      </c>
      <c r="AO171" s="26">
        <f>IF(SUM($B95:$AP95)-SUM($B171:AN171)&gt;$AI14,IF((SUM($B152:AO152)-SUM($B171:AN171))/$AI14&gt;1,ROUNDDOWN((SUM($B152:AO152)-SUM($B171:AN171))/$AI14,0)*$AI14,0),SUM($B95:$AP95)-SUM($B171:AN171))</f>
        <v>0</v>
      </c>
      <c r="AP171" s="26">
        <f>IF(SUM($B95:$AP95)-SUM($B171:AO171)&gt;$AI14,IF((SUM($B152:AP152)-SUM($B171:AO171))/$AI14&gt;1,ROUNDDOWN((SUM($B152:AP152)-SUM($B171:AO171))/$AI14,0)*$AI14,0),SUM($B95:$AP95)-SUM($B171:AO171))</f>
        <v>0</v>
      </c>
    </row>
    <row r="172" spans="1:42">
      <c r="A172" t="s">
        <v>2378</v>
      </c>
      <c r="B172" s="26">
        <v>0</v>
      </c>
      <c r="C172" s="26">
        <f>IF(SUM($B96:$AP96)-SUM($B172:B172)&gt;$AI15,IF((SUM($B153:C153)-SUM($B172:B172))/$AI15&gt;1,ROUNDDOWN((SUM($B153:C153)-SUM($B172:B172))/$AI15,0)*$AI15,0),SUM($B96:$AP96)-SUM($B172:B172))</f>
        <v>10</v>
      </c>
      <c r="D172" s="26">
        <f>IF(SUM($B96:$AP96)-SUM($B172:C172)&gt;$AI15,IF((SUM($B153:D153)-SUM($B172:C172))/$AI15&gt;1,ROUNDDOWN((SUM($B153:D153)-SUM($B172:C172))/$AI15,0)*$AI15,0),SUM($B96:$AP96)-SUM($B172:C172))</f>
        <v>10</v>
      </c>
      <c r="E172" s="26">
        <f>IF(SUM($B96:$AP96)-SUM($B172:D172)&gt;$AI15,IF((SUM($B153:E153)-SUM($B172:D172))/$AI15&gt;1,ROUNDDOWN((SUM($B153:E153)-SUM($B172:D172))/$AI15,0)*$AI15,0),SUM($B96:$AP96)-SUM($B172:D172))</f>
        <v>5</v>
      </c>
      <c r="F172" s="26">
        <f>IF(SUM($B96:$AP96)-SUM($B172:E172)&gt;$AI15,IF((SUM($B153:F153)-SUM($B172:E172))/$AI15&gt;1,ROUNDDOWN((SUM($B153:F153)-SUM($B172:E172))/$AI15,0)*$AI15,0),SUM($B96:$AP96)-SUM($B172:E172))</f>
        <v>10</v>
      </c>
      <c r="G172" s="26">
        <f>IF(SUM($B96:$AP96)-SUM($B172:F172)&gt;$AI15,IF((SUM($B153:G153)-SUM($B172:F172))/$AI15&gt;1,ROUNDDOWN((SUM($B153:G153)-SUM($B172:F172))/$AI15,0)*$AI15,0),SUM($B96:$AP96)-SUM($B172:F172))</f>
        <v>10</v>
      </c>
      <c r="H172" s="26">
        <f>IF(SUM($B96:$AP96)-SUM($B172:G172)&gt;$AI15,IF((SUM($B153:H153)-SUM($B172:G172))/$AI15&gt;1,ROUNDDOWN((SUM($B153:H153)-SUM($B172:G172))/$AI15,0)*$AI15,0),SUM($B96:$AP96)-SUM($B172:G172))</f>
        <v>10</v>
      </c>
      <c r="I172" s="26">
        <f>IF(SUM($B96:$AP96)-SUM($B172:H172)&gt;$AI15,IF((SUM($B153:I153)-SUM($B172:H172))/$AI15&gt;1,ROUNDDOWN((SUM($B153:I153)-SUM($B172:H172))/$AI15,0)*$AI15,0),SUM($B96:$AP96)-SUM($B172:H172))</f>
        <v>10</v>
      </c>
      <c r="J172" s="26">
        <f>IF(SUM($B96:$AP96)-SUM($B172:I172)&gt;$AI15,IF((SUM($B153:J153)-SUM($B172:I172))/$AI15&gt;1,ROUNDDOWN((SUM($B153:J153)-SUM($B172:I172))/$AI15,0)*$AI15,0),SUM($B96:$AP96)-SUM($B172:I172))</f>
        <v>10</v>
      </c>
      <c r="K172" s="26">
        <f>IF(SUM($B96:$AP96)-SUM($B172:J172)&gt;$AI15,IF((SUM($B153:K153)-SUM($B172:J172))/$AI15&gt;1,ROUNDDOWN((SUM($B153:K153)-SUM($B172:J172))/$AI15,0)*$AI15,0),SUM($B96:$AP96)-SUM($B172:J172))</f>
        <v>10</v>
      </c>
      <c r="L172" s="26">
        <f>IF(SUM($B96:$AP96)-SUM($B172:K172)&gt;$AI15,IF((SUM($B153:L153)-SUM($B172:K172))/$AI15&gt;1,ROUNDDOWN((SUM($B153:L153)-SUM($B172:K172))/$AI15,0)*$AI15,0),SUM($B96:$AP96)-SUM($B172:K172))</f>
        <v>15</v>
      </c>
      <c r="M172" s="26">
        <f>IF(SUM($B96:$AP96)-SUM($B172:L172)&gt;$AI15,IF((SUM($B153:M153)-SUM($B172:L172))/$AI15&gt;1,ROUNDDOWN((SUM($B153:M153)-SUM($B172:L172))/$AI15,0)*$AI15,0),SUM($B96:$AP96)-SUM($B172:L172))</f>
        <v>10</v>
      </c>
      <c r="N172" s="26">
        <f>IF(SUM($B96:$AP96)-SUM($B172:M172)&gt;$AI15,IF((SUM($B153:N153)-SUM($B172:M172))/$AI15&gt;1,ROUNDDOWN((SUM($B153:N153)-SUM($B172:M172))/$AI15,0)*$AI15,0),SUM($B96:$AP96)-SUM($B172:M172))</f>
        <v>15</v>
      </c>
      <c r="O172" s="26">
        <f>IF(SUM($B96:$AP96)-SUM($B172:N172)&gt;$AI15,IF((SUM($B153:O153)-SUM($B172:N172))/$AI15&gt;1,ROUNDDOWN((SUM($B153:O153)-SUM($B172:N172))/$AI15,0)*$AI15,0),SUM($B96:$AP96)-SUM($B172:N172))</f>
        <v>10</v>
      </c>
      <c r="P172" s="26">
        <f>IF(SUM($B96:$AP96)-SUM($B172:O172)&gt;$AI15,IF((SUM($B153:P153)-SUM($B172:O172))/$AI15&gt;1,ROUNDDOWN((SUM($B153:P153)-SUM($B172:O172))/$AI15,0)*$AI15,0),SUM($B96:$AP96)-SUM($B172:O172))</f>
        <v>15</v>
      </c>
      <c r="Q172" s="26">
        <f>IF(SUM($B96:$AP96)-SUM($B172:P172)&gt;$AI15,IF((SUM($B153:Q153)-SUM($B172:P172))/$AI15&gt;1,ROUNDDOWN((SUM($B153:Q153)-SUM($B172:P172))/$AI15,0)*$AI15,0),SUM($B96:$AP96)-SUM($B172:P172))</f>
        <v>10</v>
      </c>
      <c r="R172" s="26">
        <f>IF(SUM($B96:$AP96)-SUM($B172:Q172)&gt;$AI15,IF((SUM($B153:R153)-SUM($B172:Q172))/$AI15&gt;1,ROUNDDOWN((SUM($B153:R153)-SUM($B172:Q172))/$AI15,0)*$AI15,0),SUM($B96:$AP96)-SUM($B172:Q172))</f>
        <v>15</v>
      </c>
      <c r="S172" s="26">
        <f>IF(SUM($B96:$AP96)-SUM($B172:R172)&gt;$AI15,IF((SUM($B153:S153)-SUM($B172:R172))/$AI15&gt;1,ROUNDDOWN((SUM($B153:S153)-SUM($B172:R172))/$AI15,0)*$AI15,0),SUM($B96:$AP96)-SUM($B172:R172))</f>
        <v>10</v>
      </c>
      <c r="T172" s="26">
        <f>IF(SUM($B96:$AP96)-SUM($B172:S172)&gt;$AI15,IF((SUM($B153:T153)-SUM($B172:S172))/$AI15&gt;1,ROUNDDOWN((SUM($B153:T153)-SUM($B172:S172))/$AI15,0)*$AI15,0),SUM($B96:$AP96)-SUM($B172:S172))</f>
        <v>15</v>
      </c>
      <c r="U172" s="26">
        <f>IF(SUM($B96:$AP96)-SUM($B172:T172)&gt;$AI15,IF((SUM($B153:U153)-SUM($B172:T172))/$AI15&gt;1,ROUNDDOWN((SUM($B153:U153)-SUM($B172:T172))/$AI15,0)*$AI15,0),SUM($B96:$AP96)-SUM($B172:T172))</f>
        <v>10</v>
      </c>
      <c r="V172" s="26">
        <f>IF(SUM($B96:$AP96)-SUM($B172:U172)&gt;$AI15,IF((SUM($B153:V153)-SUM($B172:U172))/$AI15&gt;1,ROUNDDOWN((SUM($B153:V153)-SUM($B172:U172))/$AI15,0)*$AI15,0),SUM($B96:$AP96)-SUM($B172:U172))</f>
        <v>15</v>
      </c>
      <c r="W172" s="26">
        <f>IF(SUM($B96:$AP96)-SUM($B172:V172)&gt;$AI15,IF((SUM($B153:W153)-SUM($B172:V172))/$AI15&gt;1,ROUNDDOWN((SUM($B153:W153)-SUM($B172:V172))/$AI15,0)*$AI15,0),SUM($B96:$AP96)-SUM($B172:V172))</f>
        <v>10</v>
      </c>
      <c r="X172" s="26">
        <f>IF(SUM($B96:$AP96)-SUM($B172:W172)&gt;$AI15,IF((SUM($B153:X153)-SUM($B172:W172))/$AI15&gt;1,ROUNDDOWN((SUM($B153:X153)-SUM($B172:W172))/$AI15,0)*$AI15,0),SUM($B96:$AP96)-SUM($B172:W172))</f>
        <v>10</v>
      </c>
      <c r="Y172" s="26">
        <f>IF(SUM($B96:$AP96)-SUM($B172:X172)&gt;$AI15,IF((SUM($B153:Y153)-SUM($B172:X172))/$AI15&gt;1,ROUNDDOWN((SUM($B153:Y153)-SUM($B172:X172))/$AI15,0)*$AI15,0),SUM($B96:$AP96)-SUM($B172:X172))</f>
        <v>15</v>
      </c>
      <c r="Z172" s="26">
        <f>IF(SUM($B96:$AP96)-SUM($B172:Y172)&gt;$AI15,IF((SUM($B153:Z153)-SUM($B172:Y172))/$AI15&gt;1,ROUNDDOWN((SUM($B153:Z153)-SUM($B172:Y172))/$AI15,0)*$AI15,0),SUM($B96:$AP96)-SUM($B172:Y172))</f>
        <v>10</v>
      </c>
      <c r="AA172" s="26">
        <f>IF(SUM($B96:$AP96)-SUM($B172:Z172)&gt;$AI15,IF((SUM($B153:AA153)-SUM($B172:Z172))/$AI15&gt;1,ROUNDDOWN((SUM($B153:AA153)-SUM($B172:Z172))/$AI15,0)*$AI15,0),SUM($B96:$AP96)-SUM($B172:Z172))</f>
        <v>10</v>
      </c>
      <c r="AB172" s="26">
        <f>IF(SUM($B96:$AP96)-SUM($B172:AA172)&gt;$AI15,IF((SUM($B153:AB153)-SUM($B172:AA172))/$AI15&gt;1,ROUNDDOWN((SUM($B153:AB153)-SUM($B172:AA172))/$AI15,0)*$AI15,0),SUM($B96:$AP96)-SUM($B172:AA172))</f>
        <v>10</v>
      </c>
      <c r="AC172" s="26">
        <f>IF(SUM($B96:$AP96)-SUM($B172:AB172)&gt;$AI15,IF((SUM($B153:AC153)-SUM($B172:AB172))/$AI15&gt;1,ROUNDDOWN((SUM($B153:AC153)-SUM($B172:AB172))/$AI15,0)*$AI15,0),SUM($B96:$AP96)-SUM($B172:AB172))</f>
        <v>5</v>
      </c>
      <c r="AD172" s="26">
        <f>IF(SUM($B96:$AP96)-SUM($B172:AC172)&gt;$AI15,IF((SUM($B153:AD153)-SUM($B172:AC172))/$AI15&gt;1,ROUNDDOWN((SUM($B153:AD153)-SUM($B172:AC172))/$AI15,0)*$AI15,0),SUM($B96:$AP96)-SUM($B172:AC172))</f>
        <v>10</v>
      </c>
      <c r="AE172" s="26">
        <f>IF(SUM($B96:$AP96)-SUM($B172:AD172)&gt;$AI15,IF((SUM($B153:AE153)-SUM($B172:AD172))/$AI15&gt;1,ROUNDDOWN((SUM($B153:AE153)-SUM($B172:AD172))/$AI15,0)*$AI15,0),SUM($B96:$AP96)-SUM($B172:AD172))</f>
        <v>5</v>
      </c>
      <c r="AF172" s="26">
        <f>IF(SUM($B96:$AP96)-SUM($B172:AE172)&gt;$AI15,IF((SUM($B153:AF153)-SUM($B172:AE172))/$AI15&gt;1,ROUNDDOWN((SUM($B153:AF153)-SUM($B172:AE172))/$AI15,0)*$AI15,0),SUM($B96:$AP96)-SUM($B172:AE172))</f>
        <v>5</v>
      </c>
      <c r="AG172" s="26">
        <f>IF(SUM($B96:$AP96)-SUM($B172:AF172)&gt;$AI15,IF((SUM($B153:AG153)-SUM($B172:AF172))/$AI15&gt;1,ROUNDDOWN((SUM($B153:AG153)-SUM($B172:AF172))/$AI15,0)*$AI15,0),SUM($B96:$AP96)-SUM($B172:AF172))</f>
        <v>5</v>
      </c>
      <c r="AH172" s="26">
        <f>IF(SUM($B96:$AP96)-SUM($B172:AG172)&gt;$AI15,IF((SUM($B153:AH153)-SUM($B172:AG172))/$AI15&gt;1,ROUNDDOWN((SUM($B153:AH153)-SUM($B172:AG172))/$AI15,0)*$AI15,0),SUM($B96:$AP96)-SUM($B172:AG172))</f>
        <v>5</v>
      </c>
      <c r="AI172" s="26">
        <f>IF(SUM($B96:$AP96)-SUM($B172:AH172)&gt;$AI15,IF((SUM($B153:AI153)-SUM($B172:AH172))/$AI15&gt;1,ROUNDDOWN((SUM($B153:AI153)-SUM($B172:AH172))/$AI15,0)*$AI15,0),SUM($B96:$AP96)-SUM($B172:AH172))</f>
        <v>5</v>
      </c>
      <c r="AJ172" s="26">
        <f>IF(SUM($B96:$AP96)-SUM($B172:AI172)&gt;$AI15,IF((SUM($B153:AJ153)-SUM($B172:AI172))/$AI15&gt;1,ROUNDDOWN((SUM($B153:AJ153)-SUM($B172:AI172))/$AI15,0)*$AI15,0),SUM($B96:$AP96)-SUM($B172:AI172))</f>
        <v>5</v>
      </c>
      <c r="AK172" s="26">
        <f>IF(SUM($B96:$AP96)-SUM($B172:AJ172)&gt;$AI15,IF((SUM($B153:AK153)-SUM($B172:AJ172))/$AI15&gt;1,ROUNDDOWN((SUM($B153:AK153)-SUM($B172:AJ172))/$AI15,0)*$AI15,0),SUM($B96:$AP96)-SUM($B172:AJ172))</f>
        <v>0</v>
      </c>
      <c r="AL172" s="26">
        <f>IF(SUM($B96:$AP96)-SUM($B172:AK172)&gt;$AI15,IF((SUM($B153:AL153)-SUM($B172:AK172))/$AI15&gt;1,ROUNDDOWN((SUM($B153:AL153)-SUM($B172:AK172))/$AI15,0)*$AI15,0),SUM($B96:$AP96)-SUM($B172:AK172))</f>
        <v>5</v>
      </c>
      <c r="AM172" s="26">
        <f>IF(SUM($B96:$AP96)-SUM($B172:AL172)&gt;$AI15,IF((SUM($B153:AM153)-SUM($B172:AL172))/$AI15&gt;1,ROUNDDOWN((SUM($B153:AM153)-SUM($B172:AL172))/$AI15,0)*$AI15,0),SUM($B96:$AP96)-SUM($B172:AL172))</f>
        <v>0</v>
      </c>
      <c r="AN172" s="26">
        <f>IF(SUM($B96:$AP96)-SUM($B172:AM172)&gt;$AI15,IF((SUM($B153:AN153)-SUM($B172:AM172))/$AI15&gt;1,ROUNDDOWN((SUM($B153:AN153)-SUM($B172:AM172))/$AI15,0)*$AI15,0),SUM($B96:$AP96)-SUM($B172:AM172))</f>
        <v>0</v>
      </c>
      <c r="AO172" s="26">
        <f>IF(SUM($B96:$AP96)-SUM($B172:AN172)&gt;$AI15,IF((SUM($B153:AO153)-SUM($B172:AN172))/$AI15&gt;1,ROUNDDOWN((SUM($B153:AO153)-SUM($B172:AN172))/$AI15,0)*$AI15,0),SUM($B96:$AP96)-SUM($B172:AN172))</f>
        <v>5</v>
      </c>
      <c r="AP172" s="26">
        <f>IF(SUM($B96:$AP96)-SUM($B172:AO172)&gt;$AI15,IF((SUM($B153:AP153)-SUM($B172:AO172))/$AI15&gt;1,ROUNDDOWN((SUM($B153:AP153)-SUM($B172:AO172))/$AI15,0)*$AI15,0),SUM($B96:$AP96)-SUM($B172:AO172))</f>
        <v>0</v>
      </c>
    </row>
    <row r="173" spans="1:42">
      <c r="A173" t="s">
        <v>2379</v>
      </c>
      <c r="B173" s="26">
        <v>0</v>
      </c>
      <c r="C173" s="26">
        <f>IF(SUM($B97:$AP97)-SUM($B173:B173)&gt;$AI16,IF((SUM($B154:C154)-SUM($B173:B173))/$AI16&gt;1,ROUNDDOWN((SUM($B154:C154)-SUM($B173:B173))/$AI16,0)*$AI16,0),SUM($B97:$AP97)-SUM($B173:B173))</f>
        <v>117.8</v>
      </c>
      <c r="D173" s="26">
        <f>IF(SUM($B97:$AP97)-SUM($B173:C173)&gt;$AI16,IF((SUM($B154:D154)-SUM($B173:C173))/$AI16&gt;1,ROUNDDOWN((SUM($B154:D154)-SUM($B173:C173))/$AI16,0)*$AI16,0),SUM($B97:$AP97)-SUM($B173:C173))</f>
        <v>81.7</v>
      </c>
      <c r="E173" s="26">
        <f>IF(SUM($B97:$AP97)-SUM($B173:D173)&gt;$AI16,IF((SUM($B154:E154)-SUM($B173:D173))/$AI16&gt;1,ROUNDDOWN((SUM($B154:E154)-SUM($B173:D173))/$AI16,0)*$AI16,0),SUM($B97:$AP97)-SUM($B173:D173))</f>
        <v>99.75</v>
      </c>
      <c r="F173" s="26">
        <f>IF(SUM($B97:$AP97)-SUM($B173:E173)&gt;$AI16,IF((SUM($B154:F154)-SUM($B173:E173))/$AI16&gt;1,ROUNDDOWN((SUM($B154:F154)-SUM($B173:E173))/$AI16,0)*$AI16,0),SUM($B97:$AP97)-SUM($B173:E173))</f>
        <v>117.8</v>
      </c>
      <c r="G173" s="26">
        <f>IF(SUM($B97:$AP97)-SUM($B173:F173)&gt;$AI16,IF((SUM($B154:G154)-SUM($B173:F173))/$AI16&gt;1,ROUNDDOWN((SUM($B154:G154)-SUM($B173:F173))/$AI16,0)*$AI16,0),SUM($B97:$AP97)-SUM($B173:F173))</f>
        <v>142.5</v>
      </c>
      <c r="H173" s="26">
        <f>IF(SUM($B97:$AP97)-SUM($B173:G173)&gt;$AI16,IF((SUM($B154:H154)-SUM($B173:G173))/$AI16&gt;1,ROUNDDOWN((SUM($B154:H154)-SUM($B173:G173))/$AI16,0)*$AI16,0),SUM($B97:$AP97)-SUM($B173:G173))</f>
        <v>174.8</v>
      </c>
      <c r="I173" s="26">
        <f>IF(SUM($B97:$AP97)-SUM($B173:H173)&gt;$AI16,IF((SUM($B154:I154)-SUM($B173:H173))/$AI16&gt;1,ROUNDDOWN((SUM($B154:I154)-SUM($B173:H173))/$AI16,0)*$AI16,0),SUM($B97:$AP97)-SUM($B173:H173))</f>
        <v>215.65</v>
      </c>
      <c r="J173" s="26">
        <f>IF(SUM($B97:$AP97)-SUM($B173:I173)&gt;$AI16,IF((SUM($B154:J154)-SUM($B173:I173))/$AI16&gt;1,ROUNDDOWN((SUM($B154:J154)-SUM($B173:I173))/$AI16,0)*$AI16,0),SUM($B97:$AP97)-SUM($B173:I173))</f>
        <v>265.05</v>
      </c>
      <c r="K173" s="26">
        <f>IF(SUM($B97:$AP97)-SUM($B173:J173)&gt;$AI16,IF((SUM($B154:K154)-SUM($B173:J173))/$AI16&gt;1,ROUNDDOWN((SUM($B154:K154)-SUM($B173:J173))/$AI16,0)*$AI16,0),SUM($B97:$AP97)-SUM($B173:J173))</f>
        <v>323</v>
      </c>
      <c r="L173" s="26">
        <f>IF(SUM($B97:$AP97)-SUM($B173:K173)&gt;$AI16,IF((SUM($B154:L154)-SUM($B173:K173))/$AI16&gt;1,ROUNDDOWN((SUM($B154:L154)-SUM($B173:K173))/$AI16,0)*$AI16,0),SUM($B97:$AP97)-SUM($B173:K173))</f>
        <v>394.25</v>
      </c>
      <c r="M173" s="26">
        <f>IF(SUM($B97:$AP97)-SUM($B173:L173)&gt;$AI16,IF((SUM($B154:M154)-SUM($B173:L173))/$AI16&gt;1,ROUNDDOWN((SUM($B154:M154)-SUM($B173:L173))/$AI16,0)*$AI16,0),SUM($B97:$AP97)-SUM($B173:L173))</f>
        <v>475.95</v>
      </c>
      <c r="N173" s="26">
        <f>IF(SUM($B97:$AP97)-SUM($B173:M173)&gt;$AI16,IF((SUM($B154:N154)-SUM($B173:M173))/$AI16&gt;1,ROUNDDOWN((SUM($B154:N154)-SUM($B173:M173))/$AI16,0)*$AI16,0),SUM($B97:$AP97)-SUM($B173:M173))</f>
        <v>575.7</v>
      </c>
      <c r="O173" s="26">
        <f>IF(SUM($B97:$AP97)-SUM($B173:N173)&gt;$AI16,IF((SUM($B154:O154)-SUM($B173:N173))/$AI16&gt;1,ROUNDDOWN((SUM($B154:O154)-SUM($B173:N173))/$AI16,0)*$AI16,0),SUM($B97:$AP97)-SUM($B173:N173))</f>
        <v>697.3</v>
      </c>
      <c r="P173" s="26">
        <f>IF(SUM($B97:$AP97)-SUM($B173:O173)&gt;$AI16,IF((SUM($B154:P154)-SUM($B173:O173))/$AI16&gt;1,ROUNDDOWN((SUM($B154:P154)-SUM($B173:O173))/$AI16,0)*$AI16,0),SUM($B97:$AP97)-SUM($B173:O173))</f>
        <v>843.6</v>
      </c>
      <c r="Q173" s="26">
        <f>IF(SUM($B97:$AP97)-SUM($B173:P173)&gt;$AI16,IF((SUM($B154:Q154)-SUM($B173:P173))/$AI16&gt;1,ROUNDDOWN((SUM($B154:Q154)-SUM($B173:P173))/$AI16,0)*$AI16,0),SUM($B97:$AP97)-SUM($B173:P173))</f>
        <v>1020.3</v>
      </c>
      <c r="R173" s="26">
        <f>IF(SUM($B97:$AP97)-SUM($B173:Q173)&gt;$AI16,IF((SUM($B154:R154)-SUM($B173:Q173))/$AI16&gt;1,ROUNDDOWN((SUM($B154:R154)-SUM($B173:Q173))/$AI16,0)*$AI16,0),SUM($B97:$AP97)-SUM($B173:Q173))</f>
        <v>1240.7</v>
      </c>
      <c r="S173" s="26">
        <f>IF(SUM($B97:$AP97)-SUM($B173:R173)&gt;$AI16,IF((SUM($B154:S154)-SUM($B173:R173))/$AI16&gt;1,ROUNDDOWN((SUM($B154:S154)-SUM($B173:R173))/$AI16,0)*$AI16,0),SUM($B97:$AP97)-SUM($B173:R173))</f>
        <v>1483.9</v>
      </c>
      <c r="T173" s="26">
        <f>IF(SUM($B97:$AP97)-SUM($B173:S173)&gt;$AI16,IF((SUM($B154:T154)-SUM($B173:S173))/$AI16&gt;1,ROUNDDOWN((SUM($B154:T154)-SUM($B173:S173))/$AI16,0)*$AI16,0),SUM($B97:$AP97)-SUM($B173:S173))</f>
        <v>1732.8</v>
      </c>
      <c r="U173" s="26">
        <f>IF(SUM($B97:$AP97)-SUM($B173:T173)&gt;$AI16,IF((SUM($B154:U154)-SUM($B173:T173))/$AI16&gt;1,ROUNDDOWN((SUM($B154:U154)-SUM($B173:T173))/$AI16,0)*$AI16,0),SUM($B97:$AP97)-SUM($B173:T173))</f>
        <v>1976</v>
      </c>
      <c r="V173" s="26">
        <f>IF(SUM($B97:$AP97)-SUM($B173:U173)&gt;$AI16,IF((SUM($B154:V154)-SUM($B173:U173))/$AI16&gt;1,ROUNDDOWN((SUM($B154:V154)-SUM($B173:U173))/$AI16,0)*$AI16,0),SUM($B97:$AP97)-SUM($B173:U173))</f>
        <v>2223.95</v>
      </c>
      <c r="W173" s="26">
        <f>IF(SUM($B97:$AP97)-SUM($B173:V173)&gt;$AI16,IF((SUM($B154:W154)-SUM($B173:V173))/$AI16&gt;1,ROUNDDOWN((SUM($B154:W154)-SUM($B173:V173))/$AI16,0)*$AI16,0),SUM($B97:$AP97)-SUM($B173:V173))</f>
        <v>2446.25</v>
      </c>
      <c r="X173" s="26">
        <f>IF(SUM($B97:$AP97)-SUM($B173:W173)&gt;$AI16,IF((SUM($B154:X154)-SUM($B173:W173))/$AI16&gt;1,ROUNDDOWN((SUM($B154:X154)-SUM($B173:W173))/$AI16,0)*$AI16,0),SUM($B97:$AP97)-SUM($B173:W173))</f>
        <v>2636.25</v>
      </c>
      <c r="Y173" s="26">
        <f>IF(SUM($B97:$AP97)-SUM($B173:X173)&gt;$AI16,IF((SUM($B154:Y154)-SUM($B173:X173))/$AI16&gt;1,ROUNDDOWN((SUM($B154:Y154)-SUM($B173:X173))/$AI16,0)*$AI16,0),SUM($B97:$AP97)-SUM($B173:X173))</f>
        <v>2801.55</v>
      </c>
      <c r="Z173" s="26">
        <f>IF(SUM($B97:$AP97)-SUM($B173:Y173)&gt;$AI16,IF((SUM($B154:Z154)-SUM($B173:Y173))/$AI16&gt;1,ROUNDDOWN((SUM($B154:Z154)-SUM($B173:Y173))/$AI16,0)*$AI16,0),SUM($B97:$AP97)-SUM($B173:Y173))</f>
        <v>2966.85</v>
      </c>
      <c r="AA173" s="26">
        <f>IF(SUM($B97:$AP97)-SUM($B173:Z173)&gt;$AI16,IF((SUM($B154:AA154)-SUM($B173:Z173))/$AI16&gt;1,ROUNDDOWN((SUM($B154:AA154)-SUM($B173:Z173))/$AI16,0)*$AI16,0),SUM($B97:$AP97)-SUM($B173:Z173))</f>
        <v>3153.05</v>
      </c>
      <c r="AB173" s="26">
        <f>IF(SUM($B97:$AP97)-SUM($B173:AA173)&gt;$AI16,IF((SUM($B154:AB154)-SUM($B173:AA173))/$AI16&gt;1,ROUNDDOWN((SUM($B154:AB154)-SUM($B173:AA173))/$AI16,0)*$AI16,0),SUM($B97:$AP97)-SUM($B173:AA173))</f>
        <v>3353.5</v>
      </c>
      <c r="AC173" s="26">
        <f>IF(SUM($B97:$AP97)-SUM($B173:AB173)&gt;$AI16,IF((SUM($B154:AC154)-SUM($B173:AB173))/$AI16&gt;1,ROUNDDOWN((SUM($B154:AC154)-SUM($B173:AB173))/$AI16,0)*$AI16,0),SUM($B97:$AP97)-SUM($B173:AB173))</f>
        <v>3560.6</v>
      </c>
      <c r="AD173" s="26">
        <f>IF(SUM($B97:$AP97)-SUM($B173:AC173)&gt;$AI16,IF((SUM($B154:AD154)-SUM($B173:AC173))/$AI16&gt;1,ROUNDDOWN((SUM($B154:AD154)-SUM($B173:AC173))/$AI16,0)*$AI16,0),SUM($B97:$AP97)-SUM($B173:AC173))</f>
        <v>3784.8</v>
      </c>
      <c r="AE173" s="26">
        <f>IF(SUM($B97:$AP97)-SUM($B173:AD173)&gt;$AI16,IF((SUM($B154:AE154)-SUM($B173:AD173))/$AI16&gt;1,ROUNDDOWN((SUM($B154:AE154)-SUM($B173:AD173))/$AI16,0)*$AI16,0),SUM($B97:$AP97)-SUM($B173:AD173))</f>
        <v>4026.1</v>
      </c>
      <c r="AF173" s="26">
        <f>IF(SUM($B97:$AP97)-SUM($B173:AE173)&gt;$AI16,IF((SUM($B154:AF154)-SUM($B173:AE173))/$AI16&gt;1,ROUNDDOWN((SUM($B154:AF154)-SUM($B173:AE173))/$AI16,0)*$AI16,0),SUM($B97:$AP97)-SUM($B173:AE173))</f>
        <v>4286.4</v>
      </c>
      <c r="AG173" s="26">
        <f>IF(SUM($B97:$AP97)-SUM($B173:AF173)&gt;$AI16,IF((SUM($B154:AG154)-SUM($B173:AF173))/$AI16&gt;1,ROUNDDOWN((SUM($B154:AG154)-SUM($B173:AF173))/$AI16,0)*$AI16,0),SUM($B97:$AP97)-SUM($B173:AF173))</f>
        <v>4557.15</v>
      </c>
      <c r="AH173" s="26">
        <f>IF(SUM($B97:$AP97)-SUM($B173:AG173)&gt;$AI16,IF((SUM($B154:AH154)-SUM($B173:AG173))/$AI16&gt;1,ROUNDDOWN((SUM($B154:AH154)-SUM($B173:AG173))/$AI16,0)*$AI16,0),SUM($B97:$AP97)-SUM($B173:AG173))</f>
        <v>4788</v>
      </c>
      <c r="AI173" s="26">
        <f>IF(SUM($B97:$AP97)-SUM($B173:AH173)&gt;$AI16,IF((SUM($B154:AI154)-SUM($B173:AH173))/$AI16&gt;1,ROUNDDOWN((SUM($B154:AI154)-SUM($B173:AH173))/$AI16,0)*$AI16,0),SUM($B97:$AP97)-SUM($B173:AH173))</f>
        <v>5002.7</v>
      </c>
      <c r="AJ173" s="26">
        <f>IF(SUM($B97:$AP97)-SUM($B173:AI173)&gt;$AI16,IF((SUM($B154:AJ154)-SUM($B173:AI173))/$AI16&gt;1,ROUNDDOWN((SUM($B154:AJ154)-SUM($B173:AI173))/$AI16,0)*$AI16,0),SUM($B97:$AP97)-SUM($B173:AI173))</f>
        <v>5251.6</v>
      </c>
      <c r="AK173" s="26">
        <f>IF(SUM($B97:$AP97)-SUM($B173:AJ173)&gt;$AI16,IF((SUM($B154:AK154)-SUM($B173:AJ173))/$AI16&gt;1,ROUNDDOWN((SUM($B154:AK154)-SUM($B173:AJ173))/$AI16,0)*$AI16,0),SUM($B97:$AP97)-SUM($B173:AJ173))</f>
        <v>5506.2</v>
      </c>
      <c r="AL173" s="26">
        <f>IF(SUM($B97:$AP97)-SUM($B173:AK173)&gt;$AI16,IF((SUM($B154:AL154)-SUM($B173:AK173))/$AI16&gt;1,ROUNDDOWN((SUM($B154:AL154)-SUM($B173:AK173))/$AI16,0)*$AI16,0),SUM($B97:$AP97)-SUM($B173:AK173))</f>
        <v>5706.65</v>
      </c>
      <c r="AM173" s="26">
        <f>IF(SUM($B97:$AP97)-SUM($B173:AL173)&gt;$AI16,IF((SUM($B154:AM154)-SUM($B173:AL173))/$AI16&gt;1,ROUNDDOWN((SUM($B154:AM154)-SUM($B173:AL173))/$AI16,0)*$AI16,0),SUM($B97:$AP97)-SUM($B173:AL173))</f>
        <v>5847.25</v>
      </c>
      <c r="AN173" s="26">
        <f>IF(SUM($B97:$AP97)-SUM($B173:AM173)&gt;$AI16,IF((SUM($B154:AN154)-SUM($B173:AM173))/$AI16&gt;1,ROUNDDOWN((SUM($B154:AN154)-SUM($B173:AM173))/$AI16,0)*$AI16,0),SUM($B97:$AP97)-SUM($B173:AM173))</f>
        <v>5965.05</v>
      </c>
      <c r="AO173" s="26">
        <f>IF(SUM($B97:$AP97)-SUM($B173:AN173)&gt;$AI16,IF((SUM($B154:AO154)-SUM($B173:AN173))/$AI16&gt;1,ROUNDDOWN((SUM($B154:AO154)-SUM($B173:AN173))/$AI16,0)*$AI16,0),SUM($B97:$AP97)-SUM($B173:AN173))</f>
        <v>6099.95</v>
      </c>
      <c r="AP173" s="26">
        <f>IF(SUM($B97:$AP97)-SUM($B173:AO173)&gt;$AI16,IF((SUM($B154:AP154)-SUM($B173:AO173))/$AI16&gt;1,ROUNDDOWN((SUM($B154:AP154)-SUM($B173:AO173))/$AI16,0)*$AI16,0),SUM($B97:$AP97)-SUM($B173:AO173))</f>
        <v>6169.3</v>
      </c>
    </row>
    <row r="174" spans="1:42">
      <c r="A174" t="s">
        <v>2380</v>
      </c>
      <c r="B174" s="26">
        <v>0</v>
      </c>
      <c r="C174" s="26">
        <f>IF(SUM($B98:$AP98)-SUM($B174:B174)&gt;$AI17,IF((SUM($B155:C155)-SUM($B174:B174))/$AI17&gt;1,ROUNDDOWN((SUM($B155:C155)-SUM($B174:B174))/$AI17,0)*$AI17,0),SUM($B98:$AP98)-SUM($B174:B174))</f>
        <v>1055</v>
      </c>
      <c r="D174" s="26">
        <f>IF(SUM($B98:$AP98)-SUM($B174:C174)&gt;$AI17,IF((SUM($B155:D155)-SUM($B174:C174))/$AI17&gt;1,ROUNDDOWN((SUM($B155:D155)-SUM($B174:C174))/$AI17,0)*$AI17,0),SUM($B98:$AP98)-SUM($B174:C174))</f>
        <v>595</v>
      </c>
      <c r="E174" s="26">
        <f>IF(SUM($B98:$AP98)-SUM($B174:D174)&gt;$AI17,IF((SUM($B155:E155)-SUM($B174:D174))/$AI17&gt;1,ROUNDDOWN((SUM($B155:E155)-SUM($B174:D174))/$AI17,0)*$AI17,0),SUM($B98:$AP98)-SUM($B174:D174))</f>
        <v>640</v>
      </c>
      <c r="F174" s="26">
        <f>IF(SUM($B98:$AP98)-SUM($B174:E174)&gt;$AI17,IF((SUM($B155:F155)-SUM($B174:E174))/$AI17&gt;1,ROUNDDOWN((SUM($B155:F155)-SUM($B174:E174))/$AI17,0)*$AI17,0),SUM($B98:$AP98)-SUM($B174:E174))</f>
        <v>685</v>
      </c>
      <c r="G174" s="26">
        <f>IF(SUM($B98:$AP98)-SUM($B174:F174)&gt;$AI17,IF((SUM($B155:G155)-SUM($B174:F174))/$AI17&gt;1,ROUNDDOWN((SUM($B155:G155)-SUM($B174:F174))/$AI17,0)*$AI17,0),SUM($B98:$AP98)-SUM($B174:F174))</f>
        <v>740</v>
      </c>
      <c r="H174" s="26">
        <f>IF(SUM($B98:$AP98)-SUM($B174:G174)&gt;$AI17,IF((SUM($B155:H155)-SUM($B174:G174))/$AI17&gt;1,ROUNDDOWN((SUM($B155:H155)-SUM($B174:G174))/$AI17,0)*$AI17,0),SUM($B98:$AP98)-SUM($B174:G174))</f>
        <v>785</v>
      </c>
      <c r="I174" s="26">
        <f>IF(SUM($B98:$AP98)-SUM($B174:H174)&gt;$AI17,IF((SUM($B155:I155)-SUM($B174:H174))/$AI17&gt;1,ROUNDDOWN((SUM($B155:I155)-SUM($B174:H174))/$AI17,0)*$AI17,0),SUM($B98:$AP98)-SUM($B174:H174))</f>
        <v>825</v>
      </c>
      <c r="J174" s="26">
        <f>IF(SUM($B98:$AP98)-SUM($B174:I174)&gt;$AI17,IF((SUM($B155:J155)-SUM($B174:I174))/$AI17&gt;1,ROUNDDOWN((SUM($B155:J155)-SUM($B174:I174))/$AI17,0)*$AI17,0),SUM($B98:$AP98)-SUM($B174:I174))</f>
        <v>850</v>
      </c>
      <c r="K174" s="26">
        <f>IF(SUM($B98:$AP98)-SUM($B174:J174)&gt;$AI17,IF((SUM($B155:K155)-SUM($B174:J174))/$AI17&gt;1,ROUNDDOWN((SUM($B155:K155)-SUM($B174:J174))/$AI17,0)*$AI17,0),SUM($B98:$AP98)-SUM($B174:J174))</f>
        <v>885</v>
      </c>
      <c r="L174" s="26">
        <f>IF(SUM($B98:$AP98)-SUM($B174:K174)&gt;$AI17,IF((SUM($B155:L155)-SUM($B174:K174))/$AI17&gt;1,ROUNDDOWN((SUM($B155:L155)-SUM($B174:K174))/$AI17,0)*$AI17,0),SUM($B98:$AP98)-SUM($B174:K174))</f>
        <v>905</v>
      </c>
      <c r="M174" s="26">
        <f>IF(SUM($B98:$AP98)-SUM($B174:L174)&gt;$AI17,IF((SUM($B155:M155)-SUM($B174:L174))/$AI17&gt;1,ROUNDDOWN((SUM($B155:M155)-SUM($B174:L174))/$AI17,0)*$AI17,0),SUM($B98:$AP98)-SUM($B174:L174))</f>
        <v>930</v>
      </c>
      <c r="N174" s="26">
        <f>IF(SUM($B98:$AP98)-SUM($B174:M174)&gt;$AI17,IF((SUM($B155:N155)-SUM($B174:M174))/$AI17&gt;1,ROUNDDOWN((SUM($B155:N155)-SUM($B174:M174))/$AI17,0)*$AI17,0),SUM($B98:$AP98)-SUM($B174:M174))</f>
        <v>960</v>
      </c>
      <c r="O174" s="26">
        <f>IF(SUM($B98:$AP98)-SUM($B174:N174)&gt;$AI17,IF((SUM($B155:O155)-SUM($B174:N174))/$AI17&gt;1,ROUNDDOWN((SUM($B155:O155)-SUM($B174:N174))/$AI17,0)*$AI17,0),SUM($B98:$AP98)-SUM($B174:N174))</f>
        <v>990</v>
      </c>
      <c r="P174" s="26">
        <f>IF(SUM($B98:$AP98)-SUM($B174:O174)&gt;$AI17,IF((SUM($B155:P155)-SUM($B174:O174))/$AI17&gt;1,ROUNDDOWN((SUM($B155:P155)-SUM($B174:O174))/$AI17,0)*$AI17,0),SUM($B98:$AP98)-SUM($B174:O174))</f>
        <v>1010</v>
      </c>
      <c r="Q174" s="26">
        <f>IF(SUM($B98:$AP98)-SUM($B174:P174)&gt;$AI17,IF((SUM($B155:Q155)-SUM($B174:P174))/$AI17&gt;1,ROUNDDOWN((SUM($B155:Q155)-SUM($B174:P174))/$AI17,0)*$AI17,0),SUM($B98:$AP98)-SUM($B174:P174))</f>
        <v>1025</v>
      </c>
      <c r="R174" s="26">
        <f>IF(SUM($B98:$AP98)-SUM($B174:Q174)&gt;$AI17,IF((SUM($B155:R155)-SUM($B174:Q174))/$AI17&gt;1,ROUNDDOWN((SUM($B155:R155)-SUM($B174:Q174))/$AI17,0)*$AI17,0),SUM($B98:$AP98)-SUM($B174:Q174))</f>
        <v>1035</v>
      </c>
      <c r="S174" s="26">
        <f>IF(SUM($B98:$AP98)-SUM($B174:R174)&gt;$AI17,IF((SUM($B155:S155)-SUM($B174:R174))/$AI17&gt;1,ROUNDDOWN((SUM($B155:S155)-SUM($B174:R174))/$AI17,0)*$AI17,0),SUM($B98:$AP98)-SUM($B174:R174))</f>
        <v>1030</v>
      </c>
      <c r="T174" s="26">
        <f>IF(SUM($B98:$AP98)-SUM($B174:S174)&gt;$AI17,IF((SUM($B155:T155)-SUM($B174:S174))/$AI17&gt;1,ROUNDDOWN((SUM($B155:T155)-SUM($B174:S174))/$AI17,0)*$AI17,0),SUM($B98:$AP98)-SUM($B174:S174))</f>
        <v>1025</v>
      </c>
      <c r="U174" s="26">
        <f>IF(SUM($B98:$AP98)-SUM($B174:T174)&gt;$AI17,IF((SUM($B155:U155)-SUM($B174:T174))/$AI17&gt;1,ROUNDDOWN((SUM($B155:U155)-SUM($B174:T174))/$AI17,0)*$AI17,0),SUM($B98:$AP98)-SUM($B174:T174))</f>
        <v>1025</v>
      </c>
      <c r="V174" s="26">
        <f>IF(SUM($B98:$AP98)-SUM($B174:U174)&gt;$AI17,IF((SUM($B155:V155)-SUM($B174:U174))/$AI17&gt;1,ROUNDDOWN((SUM($B155:V155)-SUM($B174:U174))/$AI17,0)*$AI17,0),SUM($B98:$AP98)-SUM($B174:U174))</f>
        <v>1015</v>
      </c>
      <c r="W174" s="26">
        <f>IF(SUM($B98:$AP98)-SUM($B174:V174)&gt;$AI17,IF((SUM($B155:W155)-SUM($B174:V174))/$AI17&gt;1,ROUNDDOWN((SUM($B155:W155)-SUM($B174:V174))/$AI17,0)*$AI17,0),SUM($B98:$AP98)-SUM($B174:V174))</f>
        <v>1000</v>
      </c>
      <c r="X174" s="26">
        <f>IF(SUM($B98:$AP98)-SUM($B174:W174)&gt;$AI17,IF((SUM($B155:X155)-SUM($B174:W174))/$AI17&gt;1,ROUNDDOWN((SUM($B155:X155)-SUM($B174:W174))/$AI17,0)*$AI17,0),SUM($B98:$AP98)-SUM($B174:W174))</f>
        <v>980</v>
      </c>
      <c r="Y174" s="26">
        <f>IF(SUM($B98:$AP98)-SUM($B174:X174)&gt;$AI17,IF((SUM($B155:Y155)-SUM($B174:X174))/$AI17&gt;1,ROUNDDOWN((SUM($B155:Y155)-SUM($B174:X174))/$AI17,0)*$AI17,0),SUM($B98:$AP98)-SUM($B174:X174))</f>
        <v>960</v>
      </c>
      <c r="Z174" s="26">
        <f>IF(SUM($B98:$AP98)-SUM($B174:Y174)&gt;$AI17,IF((SUM($B155:Z155)-SUM($B174:Y174))/$AI17&gt;1,ROUNDDOWN((SUM($B155:Z155)-SUM($B174:Y174))/$AI17,0)*$AI17,0),SUM($B98:$AP98)-SUM($B174:Y174))</f>
        <v>925</v>
      </c>
      <c r="AA174" s="26">
        <f>IF(SUM($B98:$AP98)-SUM($B174:Z174)&gt;$AI17,IF((SUM($B155:AA155)-SUM($B174:Z174))/$AI17&gt;1,ROUNDDOWN((SUM($B155:AA155)-SUM($B174:Z174))/$AI17,0)*$AI17,0),SUM($B98:$AP98)-SUM($B174:Z174))</f>
        <v>880</v>
      </c>
      <c r="AB174" s="26">
        <f>IF(SUM($B98:$AP98)-SUM($B174:AA174)&gt;$AI17,IF((SUM($B155:AB155)-SUM($B174:AA174))/$AI17&gt;1,ROUNDDOWN((SUM($B155:AB155)-SUM($B174:AA174))/$AI17,0)*$AI17,0),SUM($B98:$AP98)-SUM($B174:AA174))</f>
        <v>835</v>
      </c>
      <c r="AC174" s="26">
        <f>IF(SUM($B98:$AP98)-SUM($B174:AB174)&gt;$AI17,IF((SUM($B155:AC155)-SUM($B174:AB174))/$AI17&gt;1,ROUNDDOWN((SUM($B155:AC155)-SUM($B174:AB174))/$AI17,0)*$AI17,0),SUM($B98:$AP98)-SUM($B174:AB174))</f>
        <v>785</v>
      </c>
      <c r="AD174" s="26">
        <f>IF(SUM($B98:$AP98)-SUM($B174:AC174)&gt;$AI17,IF((SUM($B155:AD155)-SUM($B174:AC174))/$AI17&gt;1,ROUNDDOWN((SUM($B155:AD155)-SUM($B174:AC174))/$AI17,0)*$AI17,0),SUM($B98:$AP98)-SUM($B174:AC174))</f>
        <v>730</v>
      </c>
      <c r="AE174" s="26">
        <f>IF(SUM($B98:$AP98)-SUM($B174:AD174)&gt;$AI17,IF((SUM($B155:AE155)-SUM($B174:AD174))/$AI17&gt;1,ROUNDDOWN((SUM($B155:AE155)-SUM($B174:AD174))/$AI17,0)*$AI17,0),SUM($B98:$AP98)-SUM($B174:AD174))</f>
        <v>685</v>
      </c>
      <c r="AF174" s="26">
        <f>IF(SUM($B98:$AP98)-SUM($B174:AE174)&gt;$AI17,IF((SUM($B155:AF155)-SUM($B174:AE174))/$AI17&gt;1,ROUNDDOWN((SUM($B155:AF155)-SUM($B174:AE174))/$AI17,0)*$AI17,0),SUM($B98:$AP98)-SUM($B174:AE174))</f>
        <v>635</v>
      </c>
      <c r="AG174" s="26">
        <f>IF(SUM($B98:$AP98)-SUM($B174:AF174)&gt;$AI17,IF((SUM($B155:AG155)-SUM($B174:AF174))/$AI17&gt;1,ROUNDDOWN((SUM($B155:AG155)-SUM($B174:AF174))/$AI17,0)*$AI17,0),SUM($B98:$AP98)-SUM($B174:AF174))</f>
        <v>595</v>
      </c>
      <c r="AH174" s="26">
        <f>IF(SUM($B98:$AP98)-SUM($B174:AG174)&gt;$AI17,IF((SUM($B155:AH155)-SUM($B174:AG174))/$AI17&gt;1,ROUNDDOWN((SUM($B155:AH155)-SUM($B174:AG174))/$AI17,0)*$AI17,0),SUM($B98:$AP98)-SUM($B174:AG174))</f>
        <v>555</v>
      </c>
      <c r="AI174" s="26">
        <f>IF(SUM($B98:$AP98)-SUM($B174:AH174)&gt;$AI17,IF((SUM($B155:AI155)-SUM($B174:AH174))/$AI17&gt;1,ROUNDDOWN((SUM($B155:AI155)-SUM($B174:AH174))/$AI17,0)*$AI17,0),SUM($B98:$AP98)-SUM($B174:AH174))</f>
        <v>515</v>
      </c>
      <c r="AJ174" s="26">
        <f>IF(SUM($B98:$AP98)-SUM($B174:AI174)&gt;$AI17,IF((SUM($B155:AJ155)-SUM($B174:AI174))/$AI17&gt;1,ROUNDDOWN((SUM($B155:AJ155)-SUM($B174:AI174))/$AI17,0)*$AI17,0),SUM($B98:$AP98)-SUM($B174:AI174))</f>
        <v>480</v>
      </c>
      <c r="AK174" s="26">
        <f>IF(SUM($B98:$AP98)-SUM($B174:AJ174)&gt;$AI17,IF((SUM($B155:AK155)-SUM($B174:AJ174))/$AI17&gt;1,ROUNDDOWN((SUM($B155:AK155)-SUM($B174:AJ174))/$AI17,0)*$AI17,0),SUM($B98:$AP98)-SUM($B174:AJ174))</f>
        <v>440</v>
      </c>
      <c r="AL174" s="26">
        <f>IF(SUM($B98:$AP98)-SUM($B174:AK174)&gt;$AI17,IF((SUM($B155:AL155)-SUM($B174:AK174))/$AI17&gt;1,ROUNDDOWN((SUM($B155:AL155)-SUM($B174:AK174))/$AI17,0)*$AI17,0),SUM($B98:$AP98)-SUM($B174:AK174))</f>
        <v>410</v>
      </c>
      <c r="AM174" s="26">
        <f>IF(SUM($B98:$AP98)-SUM($B174:AL174)&gt;$AI17,IF((SUM($B155:AM155)-SUM($B174:AL174))/$AI17&gt;1,ROUNDDOWN((SUM($B155:AM155)-SUM($B174:AL174))/$AI17,0)*$AI17,0),SUM($B98:$AP98)-SUM($B174:AL174))</f>
        <v>380</v>
      </c>
      <c r="AN174" s="26">
        <f>IF(SUM($B98:$AP98)-SUM($B174:AM174)&gt;$AI17,IF((SUM($B155:AN155)-SUM($B174:AM174))/$AI17&gt;1,ROUNDDOWN((SUM($B155:AN155)-SUM($B174:AM174))/$AI17,0)*$AI17,0),SUM($B98:$AP98)-SUM($B174:AM174))</f>
        <v>345</v>
      </c>
      <c r="AO174" s="26">
        <f>IF(SUM($B98:$AP98)-SUM($B174:AN174)&gt;$AI17,IF((SUM($B155:AO155)-SUM($B174:AN174))/$AI17&gt;1,ROUNDDOWN((SUM($B155:AO155)-SUM($B174:AN174))/$AI17,0)*$AI17,0),SUM($B98:$AP98)-SUM($B174:AN174))</f>
        <v>315</v>
      </c>
      <c r="AP174" s="26">
        <f>IF(SUM($B98:$AP98)-SUM($B174:AO174)&gt;$AI17,IF((SUM($B155:AP155)-SUM($B174:AO174))/$AI17&gt;1,ROUNDDOWN((SUM($B155:AP155)-SUM($B174:AO174))/$AI17,0)*$AI17,0),SUM($B98:$AP98)-SUM($B174:AO174))</f>
        <v>285</v>
      </c>
    </row>
    <row r="175" spans="1:42">
      <c r="A175" t="s">
        <v>2381</v>
      </c>
      <c r="B175" s="26">
        <v>0</v>
      </c>
      <c r="C175" s="26">
        <f>IF(SUM($B99:$AP99)-SUM($B175:B175)&gt;$AI18,IF((SUM($B156:C156)-SUM($B175:B175))/$AI18&gt;1,ROUNDDOWN((SUM($B156:C156)-SUM($B175:B175))/$AI18,0)*$AI18,0),SUM($B99:$AP99)-SUM($B175:B175))</f>
        <v>0</v>
      </c>
      <c r="D175" s="26">
        <f>IF(SUM($B99:$AP99)-SUM($B175:C175)&gt;$AI18,IF((SUM($B156:D156)-SUM($B175:C175))/$AI18&gt;1,ROUNDDOWN((SUM($B156:D156)-SUM($B175:C175))/$AI18,0)*$AI18,0),SUM($B99:$AP99)-SUM($B175:C175))</f>
        <v>0</v>
      </c>
      <c r="E175" s="26">
        <f>IF(SUM($B99:$AP99)-SUM($B175:D175)&gt;$AI18,IF((SUM($B156:E156)-SUM($B175:D175))/$AI18&gt;1,ROUNDDOWN((SUM($B156:E156)-SUM($B175:D175))/$AI18,0)*$AI18,0),SUM($B99:$AP99)-SUM($B175:D175))</f>
        <v>0</v>
      </c>
      <c r="F175" s="26">
        <f>IF(SUM($B99:$AP99)-SUM($B175:E175)&gt;$AI18,IF((SUM($B156:F156)-SUM($B175:E175))/$AI18&gt;1,ROUNDDOWN((SUM($B156:F156)-SUM($B175:E175))/$AI18,0)*$AI18,0),SUM($B99:$AP99)-SUM($B175:E175))</f>
        <v>0</v>
      </c>
      <c r="G175" s="26">
        <f>IF(SUM($B99:$AP99)-SUM($B175:F175)&gt;$AI18,IF((SUM($B156:G156)-SUM($B175:F175))/$AI18&gt;1,ROUNDDOWN((SUM($B156:G156)-SUM($B175:F175))/$AI18,0)*$AI18,0),SUM($B99:$AP99)-SUM($B175:F175))</f>
        <v>0</v>
      </c>
      <c r="H175" s="26">
        <f>IF(SUM($B99:$AP99)-SUM($B175:G175)&gt;$AI18,IF((SUM($B156:H156)-SUM($B175:G175))/$AI18&gt;1,ROUNDDOWN((SUM($B156:H156)-SUM($B175:G175))/$AI18,0)*$AI18,0),SUM($B99:$AP99)-SUM($B175:G175))</f>
        <v>0</v>
      </c>
      <c r="I175" s="26">
        <f>IF(SUM($B99:$AP99)-SUM($B175:H175)&gt;$AI18,IF((SUM($B156:I156)-SUM($B175:H175))/$AI18&gt;1,ROUNDDOWN((SUM($B156:I156)-SUM($B175:H175))/$AI18,0)*$AI18,0),SUM($B99:$AP99)-SUM($B175:H175))</f>
        <v>0</v>
      </c>
      <c r="J175" s="26">
        <f>IF(SUM($B99:$AP99)-SUM($B175:I175)&gt;$AI18,IF((SUM($B156:J156)-SUM($B175:I175))/$AI18&gt;1,ROUNDDOWN((SUM($B156:J156)-SUM($B175:I175))/$AI18,0)*$AI18,0),SUM($B99:$AP99)-SUM($B175:I175))</f>
        <v>0</v>
      </c>
      <c r="K175" s="26">
        <f>IF(SUM($B99:$AP99)-SUM($B175:J175)&gt;$AI18,IF((SUM($B156:K156)-SUM($B175:J175))/$AI18&gt;1,ROUNDDOWN((SUM($B156:K156)-SUM($B175:J175))/$AI18,0)*$AI18,0),SUM($B99:$AP99)-SUM($B175:J175))</f>
        <v>0</v>
      </c>
      <c r="L175" s="26">
        <f>IF(SUM($B99:$AP99)-SUM($B175:K175)&gt;$AI18,IF((SUM($B156:L156)-SUM($B175:K175))/$AI18&gt;1,ROUNDDOWN((SUM($B156:L156)-SUM($B175:K175))/$AI18,0)*$AI18,0),SUM($B99:$AP99)-SUM($B175:K175))</f>
        <v>0</v>
      </c>
      <c r="M175" s="26">
        <f>IF(SUM($B99:$AP99)-SUM($B175:L175)&gt;$AI18,IF((SUM($B156:M156)-SUM($B175:L175))/$AI18&gt;1,ROUNDDOWN((SUM($B156:M156)-SUM($B175:L175))/$AI18,0)*$AI18,0),SUM($B99:$AP99)-SUM($B175:L175))</f>
        <v>0</v>
      </c>
      <c r="N175" s="26">
        <f>IF(SUM($B99:$AP99)-SUM($B175:M175)&gt;$AI18,IF((SUM($B156:N156)-SUM($B175:M175))/$AI18&gt;1,ROUNDDOWN((SUM($B156:N156)-SUM($B175:M175))/$AI18,0)*$AI18,0),SUM($B99:$AP99)-SUM($B175:M175))</f>
        <v>0</v>
      </c>
      <c r="O175" s="26">
        <f>IF(SUM($B99:$AP99)-SUM($B175:N175)&gt;$AI18,IF((SUM($B156:O156)-SUM($B175:N175))/$AI18&gt;1,ROUNDDOWN((SUM($B156:O156)-SUM($B175:N175))/$AI18,0)*$AI18,0),SUM($B99:$AP99)-SUM($B175:N175))</f>
        <v>0</v>
      </c>
      <c r="P175" s="26">
        <f>IF(SUM($B99:$AP99)-SUM($B175:O175)&gt;$AI18,IF((SUM($B156:P156)-SUM($B175:O175))/$AI18&gt;1,ROUNDDOWN((SUM($B156:P156)-SUM($B175:O175))/$AI18,0)*$AI18,0),SUM($B99:$AP99)-SUM($B175:O175))</f>
        <v>0</v>
      </c>
      <c r="Q175" s="26">
        <f>IF(SUM($B99:$AP99)-SUM($B175:P175)&gt;$AI18,IF((SUM($B156:Q156)-SUM($B175:P175))/$AI18&gt;1,ROUNDDOWN((SUM($B156:Q156)-SUM($B175:P175))/$AI18,0)*$AI18,0),SUM($B99:$AP99)-SUM($B175:P175))</f>
        <v>0</v>
      </c>
      <c r="R175" s="26">
        <f>IF(SUM($B99:$AP99)-SUM($B175:Q175)&gt;$AI18,IF((SUM($B156:R156)-SUM($B175:Q175))/$AI18&gt;1,ROUNDDOWN((SUM($B156:R156)-SUM($B175:Q175))/$AI18,0)*$AI18,0),SUM($B99:$AP99)-SUM($B175:Q175))</f>
        <v>0</v>
      </c>
      <c r="S175" s="26">
        <f>IF(SUM($B99:$AP99)-SUM($B175:R175)&gt;$AI18,IF((SUM($B156:S156)-SUM($B175:R175))/$AI18&gt;1,ROUNDDOWN((SUM($B156:S156)-SUM($B175:R175))/$AI18,0)*$AI18,0),SUM($B99:$AP99)-SUM($B175:R175))</f>
        <v>66</v>
      </c>
      <c r="T175" s="26">
        <f>IF(SUM($B99:$AP99)-SUM($B175:S175)&gt;$AI18,IF((SUM($B156:T156)-SUM($B175:S175))/$AI18&gt;1,ROUNDDOWN((SUM($B156:T156)-SUM($B175:S175))/$AI18,0)*$AI18,0),SUM($B99:$AP99)-SUM($B175:S175))</f>
        <v>66</v>
      </c>
      <c r="U175" s="26">
        <f>IF(SUM($B99:$AP99)-SUM($B175:T175)&gt;$AI18,IF((SUM($B156:U156)-SUM($B175:T175))/$AI18&gt;1,ROUNDDOWN((SUM($B156:U156)-SUM($B175:T175))/$AI18,0)*$AI18,0),SUM($B99:$AP99)-SUM($B175:T175))</f>
        <v>99</v>
      </c>
      <c r="V175" s="26">
        <f>IF(SUM($B99:$AP99)-SUM($B175:U175)&gt;$AI18,IF((SUM($B156:V156)-SUM($B175:U175))/$AI18&gt;1,ROUNDDOWN((SUM($B156:V156)-SUM($B175:U175))/$AI18,0)*$AI18,0),SUM($B99:$AP99)-SUM($B175:U175))</f>
        <v>99</v>
      </c>
      <c r="W175" s="26">
        <f>IF(SUM($B99:$AP99)-SUM($B175:V175)&gt;$AI18,IF((SUM($B156:W156)-SUM($B175:V175))/$AI18&gt;1,ROUNDDOWN((SUM($B156:W156)-SUM($B175:V175))/$AI18,0)*$AI18,0),SUM($B99:$AP99)-SUM($B175:V175))</f>
        <v>264</v>
      </c>
      <c r="X175" s="26">
        <f>IF(SUM($B99:$AP99)-SUM($B175:W175)&gt;$AI18,IF((SUM($B156:X156)-SUM($B175:W175))/$AI18&gt;1,ROUNDDOWN((SUM($B156:X156)-SUM($B175:W175))/$AI18,0)*$AI18,0),SUM($B99:$AP99)-SUM($B175:W175))</f>
        <v>297</v>
      </c>
      <c r="Y175" s="26">
        <f>IF(SUM($B99:$AP99)-SUM($B175:X175)&gt;$AI18,IF((SUM($B156:Y156)-SUM($B175:X175))/$AI18&gt;1,ROUNDDOWN((SUM($B156:Y156)-SUM($B175:X175))/$AI18,0)*$AI18,0),SUM($B99:$AP99)-SUM($B175:X175))</f>
        <v>528</v>
      </c>
      <c r="Z175" s="26">
        <f>IF(SUM($B99:$AP99)-SUM($B175:Y175)&gt;$AI18,IF((SUM($B156:Z156)-SUM($B175:Y175))/$AI18&gt;1,ROUNDDOWN((SUM($B156:Z156)-SUM($B175:Y175))/$AI18,0)*$AI18,0),SUM($B99:$AP99)-SUM($B175:Y175))</f>
        <v>957</v>
      </c>
      <c r="AA175" s="26">
        <f>IF(SUM($B99:$AP99)-SUM($B175:Z175)&gt;$AI18,IF((SUM($B156:AA156)-SUM($B175:Z175))/$AI18&gt;1,ROUNDDOWN((SUM($B156:AA156)-SUM($B175:Z175))/$AI18,0)*$AI18,0),SUM($B99:$AP99)-SUM($B175:Z175))</f>
        <v>957</v>
      </c>
      <c r="AB175" s="26">
        <f>IF(SUM($B99:$AP99)-SUM($B175:AA175)&gt;$AI18,IF((SUM($B156:AB156)-SUM($B175:AA175))/$AI18&gt;1,ROUNDDOWN((SUM($B156:AB156)-SUM($B175:AA175))/$AI18,0)*$AI18,0),SUM($B99:$AP99)-SUM($B175:AA175))</f>
        <v>792</v>
      </c>
      <c r="AC175" s="26">
        <f>IF(SUM($B99:$AP99)-SUM($B175:AB175)&gt;$AI18,IF((SUM($B156:AC156)-SUM($B175:AB175))/$AI18&gt;1,ROUNDDOWN((SUM($B156:AC156)-SUM($B175:AB175))/$AI18,0)*$AI18,0),SUM($B99:$AP99)-SUM($B175:AB175))</f>
        <v>693</v>
      </c>
      <c r="AD175" s="26">
        <f>IF(SUM($B99:$AP99)-SUM($B175:AC175)&gt;$AI18,IF((SUM($B156:AD156)-SUM($B175:AC175))/$AI18&gt;1,ROUNDDOWN((SUM($B156:AD156)-SUM($B175:AC175))/$AI18,0)*$AI18,0),SUM($B99:$AP99)-SUM($B175:AC175))</f>
        <v>990</v>
      </c>
      <c r="AE175" s="26">
        <f>IF(SUM($B99:$AP99)-SUM($B175:AD175)&gt;$AI18,IF((SUM($B156:AE156)-SUM($B175:AD175))/$AI18&gt;1,ROUNDDOWN((SUM($B156:AE156)-SUM($B175:AD175))/$AI18,0)*$AI18,0),SUM($B99:$AP99)-SUM($B175:AD175))</f>
        <v>3960</v>
      </c>
      <c r="AF175" s="26">
        <f>IF(SUM($B99:$AP99)-SUM($B175:AE175)&gt;$AI18,IF((SUM($B156:AF156)-SUM($B175:AE175))/$AI18&gt;1,ROUNDDOWN((SUM($B156:AF156)-SUM($B175:AE175))/$AI18,0)*$AI18,0),SUM($B99:$AP99)-SUM($B175:AE175))</f>
        <v>5280</v>
      </c>
      <c r="AG175" s="26">
        <f>IF(SUM($B99:$AP99)-SUM($B175:AF175)&gt;$AI18,IF((SUM($B156:AG156)-SUM($B175:AF175))/$AI18&gt;1,ROUNDDOWN((SUM($B156:AG156)-SUM($B175:AF175))/$AI18,0)*$AI18,0),SUM($B99:$AP99)-SUM($B175:AF175))</f>
        <v>6501</v>
      </c>
      <c r="AH175" s="26">
        <f>IF(SUM($B99:$AP99)-SUM($B175:AG175)&gt;$AI18,IF((SUM($B156:AH156)-SUM($B175:AG175))/$AI18&gt;1,ROUNDDOWN((SUM($B156:AH156)-SUM($B175:AG175))/$AI18,0)*$AI18,0),SUM($B99:$AP99)-SUM($B175:AG175))</f>
        <v>9108</v>
      </c>
      <c r="AI175" s="26">
        <f>IF(SUM($B99:$AP99)-SUM($B175:AH175)&gt;$AI18,IF((SUM($B156:AI156)-SUM($B175:AH175))/$AI18&gt;1,ROUNDDOWN((SUM($B156:AI156)-SUM($B175:AH175))/$AI18,0)*$AI18,0),SUM($B99:$AP99)-SUM($B175:AH175))</f>
        <v>9900</v>
      </c>
      <c r="AJ175" s="26">
        <f>IF(SUM($B99:$AP99)-SUM($B175:AI175)&gt;$AI18,IF((SUM($B156:AJ156)-SUM($B175:AI175))/$AI18&gt;1,ROUNDDOWN((SUM($B156:AJ156)-SUM($B175:AI175))/$AI18,0)*$AI18,0),SUM($B99:$AP99)-SUM($B175:AI175))</f>
        <v>7194</v>
      </c>
      <c r="AK175" s="26">
        <f>IF(SUM($B99:$AP99)-SUM($B175:AJ175)&gt;$AI18,IF((SUM($B156:AK156)-SUM($B175:AJ175))/$AI18&gt;1,ROUNDDOWN((SUM($B156:AK156)-SUM($B175:AJ175))/$AI18,0)*$AI18,0),SUM($B99:$AP99)-SUM($B175:AJ175))</f>
        <v>6006</v>
      </c>
      <c r="AL175" s="26">
        <f>IF(SUM($B99:$AP99)-SUM($B175:AK175)&gt;$AI18,IF((SUM($B156:AL156)-SUM($B175:AK175))/$AI18&gt;1,ROUNDDOWN((SUM($B156:AL156)-SUM($B175:AK175))/$AI18,0)*$AI18,0),SUM($B99:$AP99)-SUM($B175:AK175))</f>
        <v>4950</v>
      </c>
      <c r="AM175" s="26">
        <f>IF(SUM($B99:$AP99)-SUM($B175:AL175)&gt;$AI18,IF((SUM($B156:AM156)-SUM($B175:AL175))/$AI18&gt;1,ROUNDDOWN((SUM($B156:AM156)-SUM($B175:AL175))/$AI18,0)*$AI18,0),SUM($B99:$AP99)-SUM($B175:AL175))</f>
        <v>2409</v>
      </c>
      <c r="AN175" s="26">
        <f>IF(SUM($B99:$AP99)-SUM($B175:AM175)&gt;$AI18,IF((SUM($B156:AN156)-SUM($B175:AM175))/$AI18&gt;1,ROUNDDOWN((SUM($B156:AN156)-SUM($B175:AM175))/$AI18,0)*$AI18,0),SUM($B99:$AP99)-SUM($B175:AM175))</f>
        <v>1056</v>
      </c>
      <c r="AO175" s="26">
        <f>IF(SUM($B99:$AP99)-SUM($B175:AN175)&gt;$AI18,IF((SUM($B156:AO156)-SUM($B175:AN175))/$AI18&gt;1,ROUNDDOWN((SUM($B156:AO156)-SUM($B175:AN175))/$AI18,0)*$AI18,0),SUM($B99:$AP99)-SUM($B175:AN175))</f>
        <v>462</v>
      </c>
      <c r="AP175" s="26">
        <f>IF(SUM($B99:$AP99)-SUM($B175:AO175)&gt;$AI18,IF((SUM($B156:AP156)-SUM($B175:AO175))/$AI18&gt;1,ROUNDDOWN((SUM($B156:AP156)-SUM($B175:AO175))/$AI18,0)*$AI18,0),SUM($B99:$AP99)-SUM($B175:AO175))</f>
        <v>330</v>
      </c>
    </row>
    <row r="176" spans="1:42">
      <c r="A176" t="s">
        <v>2382</v>
      </c>
      <c r="B176" s="26">
        <v>0</v>
      </c>
      <c r="C176" s="26">
        <f>IF(SUM($B100:$AP100)-SUM($B176:B176)&gt;$AI19,IF((SUM($B157:C157)-SUM($B176:B176))/$AI19&gt;1,ROUNDDOWN((SUM($B157:C157)-SUM($B176:B176))/$AI19,0)*$AI19,0),SUM($B100:$AP100)-SUM($B176:B176))</f>
        <v>0</v>
      </c>
      <c r="D176" s="26">
        <f>IF(SUM($B100:$AP100)-SUM($B176:C176)&gt;$AI19,IF((SUM($B157:D157)-SUM($B176:C176))/$AI19&gt;1,ROUNDDOWN((SUM($B157:D157)-SUM($B176:C176))/$AI19,0)*$AI19,0),SUM($B100:$AP100)-SUM($B176:C176))</f>
        <v>0</v>
      </c>
      <c r="E176" s="26">
        <f>IF(SUM($B100:$AP100)-SUM($B176:D176)&gt;$AI19,IF((SUM($B157:E157)-SUM($B176:D176))/$AI19&gt;1,ROUNDDOWN((SUM($B157:E157)-SUM($B176:D176))/$AI19,0)*$AI19,0),SUM($B100:$AP100)-SUM($B176:D176))</f>
        <v>5</v>
      </c>
      <c r="F176" s="26">
        <f>IF(SUM($B100:$AP100)-SUM($B176:E176)&gt;$AI19,IF((SUM($B157:F157)-SUM($B176:E176))/$AI19&gt;1,ROUNDDOWN((SUM($B157:F157)-SUM($B176:E176))/$AI19,0)*$AI19,0),SUM($B100:$AP100)-SUM($B176:E176))</f>
        <v>0</v>
      </c>
      <c r="G176" s="26">
        <f>IF(SUM($B100:$AP100)-SUM($B176:F176)&gt;$AI19,IF((SUM($B157:G157)-SUM($B176:F176))/$AI19&gt;1,ROUNDDOWN((SUM($B157:G157)-SUM($B176:F176))/$AI19,0)*$AI19,0),SUM($B100:$AP100)-SUM($B176:F176))</f>
        <v>5</v>
      </c>
      <c r="H176" s="26">
        <f>IF(SUM($B100:$AP100)-SUM($B176:G176)&gt;$AI19,IF((SUM($B157:H157)-SUM($B176:G176))/$AI19&gt;1,ROUNDDOWN((SUM($B157:H157)-SUM($B176:G176))/$AI19,0)*$AI19,0),SUM($B100:$AP100)-SUM($B176:G176))</f>
        <v>0</v>
      </c>
      <c r="I176" s="26">
        <f>IF(SUM($B100:$AP100)-SUM($B176:H176)&gt;$AI19,IF((SUM($B157:I157)-SUM($B176:H176))/$AI19&gt;1,ROUNDDOWN((SUM($B157:I157)-SUM($B176:H176))/$AI19,0)*$AI19,0),SUM($B100:$AP100)-SUM($B176:H176))</f>
        <v>5</v>
      </c>
      <c r="J176" s="26">
        <f>IF(SUM($B100:$AP100)-SUM($B176:I176)&gt;$AI19,IF((SUM($B157:J157)-SUM($B176:I176))/$AI19&gt;1,ROUNDDOWN((SUM($B157:J157)-SUM($B176:I176))/$AI19,0)*$AI19,0),SUM($B100:$AP100)-SUM($B176:I176))</f>
        <v>0</v>
      </c>
      <c r="K176" s="26">
        <f>IF(SUM($B100:$AP100)-SUM($B176:J176)&gt;$AI19,IF((SUM($B157:K157)-SUM($B176:J176))/$AI19&gt;1,ROUNDDOWN((SUM($B157:K157)-SUM($B176:J176))/$AI19,0)*$AI19,0),SUM($B100:$AP100)-SUM($B176:J176))</f>
        <v>5</v>
      </c>
      <c r="L176" s="26">
        <f>IF(SUM($B100:$AP100)-SUM($B176:K176)&gt;$AI19,IF((SUM($B157:L157)-SUM($B176:K176))/$AI19&gt;1,ROUNDDOWN((SUM($B157:L157)-SUM($B176:K176))/$AI19,0)*$AI19,0),SUM($B100:$AP100)-SUM($B176:K176))</f>
        <v>0</v>
      </c>
      <c r="M176" s="26">
        <f>IF(SUM($B100:$AP100)-SUM($B176:L176)&gt;$AI19,IF((SUM($B157:M157)-SUM($B176:L176))/$AI19&gt;1,ROUNDDOWN((SUM($B157:M157)-SUM($B176:L176))/$AI19,0)*$AI19,0),SUM($B100:$AP100)-SUM($B176:L176))</f>
        <v>5</v>
      </c>
      <c r="N176" s="26">
        <f>IF(SUM($B100:$AP100)-SUM($B176:M176)&gt;$AI19,IF((SUM($B157:N157)-SUM($B176:M176))/$AI19&gt;1,ROUNDDOWN((SUM($B157:N157)-SUM($B176:M176))/$AI19,0)*$AI19,0),SUM($B100:$AP100)-SUM($B176:M176))</f>
        <v>0</v>
      </c>
      <c r="O176" s="26">
        <f>IF(SUM($B100:$AP100)-SUM($B176:N176)&gt;$AI19,IF((SUM($B157:O157)-SUM($B176:N176))/$AI19&gt;1,ROUNDDOWN((SUM($B157:O157)-SUM($B176:N176))/$AI19,0)*$AI19,0),SUM($B100:$AP100)-SUM($B176:N176))</f>
        <v>5</v>
      </c>
      <c r="P176" s="26">
        <f>IF(SUM($B100:$AP100)-SUM($B176:O176)&gt;$AI19,IF((SUM($B157:P157)-SUM($B176:O176))/$AI19&gt;1,ROUNDDOWN((SUM($B157:P157)-SUM($B176:O176))/$AI19,0)*$AI19,0),SUM($B100:$AP100)-SUM($B176:O176))</f>
        <v>0</v>
      </c>
      <c r="Q176" s="26">
        <f>IF(SUM($B100:$AP100)-SUM($B176:P176)&gt;$AI19,IF((SUM($B157:Q157)-SUM($B176:P176))/$AI19&gt;1,ROUNDDOWN((SUM($B157:Q157)-SUM($B176:P176))/$AI19,0)*$AI19,0),SUM($B100:$AP100)-SUM($B176:P176))</f>
        <v>5</v>
      </c>
      <c r="R176" s="26">
        <f>IF(SUM($B100:$AP100)-SUM($B176:Q176)&gt;$AI19,IF((SUM($B157:R157)-SUM($B176:Q176))/$AI19&gt;1,ROUNDDOWN((SUM($B157:R157)-SUM($B176:Q176))/$AI19,0)*$AI19,0),SUM($B100:$AP100)-SUM($B176:Q176))</f>
        <v>5</v>
      </c>
      <c r="S176" s="26">
        <f>IF(SUM($B100:$AP100)-SUM($B176:R176)&gt;$AI19,IF((SUM($B157:S157)-SUM($B176:R176))/$AI19&gt;1,ROUNDDOWN((SUM($B157:S157)-SUM($B176:R176))/$AI19,0)*$AI19,0),SUM($B100:$AP100)-SUM($B176:R176))</f>
        <v>0</v>
      </c>
      <c r="T176" s="26">
        <f>IF(SUM($B100:$AP100)-SUM($B176:S176)&gt;$AI19,IF((SUM($B157:T157)-SUM($B176:S176))/$AI19&gt;1,ROUNDDOWN((SUM($B157:T157)-SUM($B176:S176))/$AI19,0)*$AI19,0),SUM($B100:$AP100)-SUM($B176:S176))</f>
        <v>5</v>
      </c>
      <c r="U176" s="26">
        <f>IF(SUM($B100:$AP100)-SUM($B176:T176)&gt;$AI19,IF((SUM($B157:U157)-SUM($B176:T176))/$AI19&gt;1,ROUNDDOWN((SUM($B157:U157)-SUM($B176:T176))/$AI19,0)*$AI19,0),SUM($B100:$AP100)-SUM($B176:T176))</f>
        <v>0</v>
      </c>
      <c r="V176" s="26">
        <f>IF(SUM($B100:$AP100)-SUM($B176:U176)&gt;$AI19,IF((SUM($B157:V157)-SUM($B176:U176))/$AI19&gt;1,ROUNDDOWN((SUM($B157:V157)-SUM($B176:U176))/$AI19,0)*$AI19,0),SUM($B100:$AP100)-SUM($B176:U176))</f>
        <v>5</v>
      </c>
      <c r="W176" s="26">
        <f>IF(SUM($B100:$AP100)-SUM($B176:V176)&gt;$AI19,IF((SUM($B157:W157)-SUM($B176:V176))/$AI19&gt;1,ROUNDDOWN((SUM($B157:W157)-SUM($B176:V176))/$AI19,0)*$AI19,0),SUM($B100:$AP100)-SUM($B176:V176))</f>
        <v>0</v>
      </c>
      <c r="X176" s="26">
        <f>IF(SUM($B100:$AP100)-SUM($B176:W176)&gt;$AI19,IF((SUM($B157:X157)-SUM($B176:W176))/$AI19&gt;1,ROUNDDOWN((SUM($B157:X157)-SUM($B176:W176))/$AI19,0)*$AI19,0),SUM($B100:$AP100)-SUM($B176:W176))</f>
        <v>5</v>
      </c>
      <c r="Y176" s="26">
        <f>IF(SUM($B100:$AP100)-SUM($B176:X176)&gt;$AI19,IF((SUM($B157:Y157)-SUM($B176:X176))/$AI19&gt;1,ROUNDDOWN((SUM($B157:Y157)-SUM($B176:X176))/$AI19,0)*$AI19,0),SUM($B100:$AP100)-SUM($B176:X176))</f>
        <v>0</v>
      </c>
      <c r="Z176" s="26">
        <f>IF(SUM($B100:$AP100)-SUM($B176:Y176)&gt;$AI19,IF((SUM($B157:Z157)-SUM($B176:Y176))/$AI19&gt;1,ROUNDDOWN((SUM($B157:Z157)-SUM($B176:Y176))/$AI19,0)*$AI19,0),SUM($B100:$AP100)-SUM($B176:Y176))</f>
        <v>5</v>
      </c>
      <c r="AA176" s="26">
        <f>IF(SUM($B100:$AP100)-SUM($B176:Z176)&gt;$AI19,IF((SUM($B157:AA157)-SUM($B176:Z176))/$AI19&gt;1,ROUNDDOWN((SUM($B157:AA157)-SUM($B176:Z176))/$AI19,0)*$AI19,0),SUM($B100:$AP100)-SUM($B176:Z176))</f>
        <v>0</v>
      </c>
      <c r="AB176" s="26">
        <f>IF(SUM($B100:$AP100)-SUM($B176:AA176)&gt;$AI19,IF((SUM($B157:AB157)-SUM($B176:AA176))/$AI19&gt;1,ROUNDDOWN((SUM($B157:AB157)-SUM($B176:AA176))/$AI19,0)*$AI19,0),SUM($B100:$AP100)-SUM($B176:AA176))</f>
        <v>5</v>
      </c>
      <c r="AC176" s="26">
        <f>IF(SUM($B100:$AP100)-SUM($B176:AB176)&gt;$AI19,IF((SUM($B157:AC157)-SUM($B176:AB176))/$AI19&gt;1,ROUNDDOWN((SUM($B157:AC157)-SUM($B176:AB176))/$AI19,0)*$AI19,0),SUM($B100:$AP100)-SUM($B176:AB176))</f>
        <v>0</v>
      </c>
      <c r="AD176" s="26">
        <f>IF(SUM($B100:$AP100)-SUM($B176:AC176)&gt;$AI19,IF((SUM($B157:AD157)-SUM($B176:AC176))/$AI19&gt;1,ROUNDDOWN((SUM($B157:AD157)-SUM($B176:AC176))/$AI19,0)*$AI19,0),SUM($B100:$AP100)-SUM($B176:AC176))</f>
        <v>0</v>
      </c>
      <c r="AE176" s="26">
        <f>IF(SUM($B100:$AP100)-SUM($B176:AD176)&gt;$AI19,IF((SUM($B157:AE157)-SUM($B176:AD176))/$AI19&gt;1,ROUNDDOWN((SUM($B157:AE157)-SUM($B176:AD176))/$AI19,0)*$AI19,0),SUM($B100:$AP100)-SUM($B176:AD176))</f>
        <v>5</v>
      </c>
      <c r="AF176" s="26">
        <f>IF(SUM($B100:$AP100)-SUM($B176:AE176)&gt;$AI19,IF((SUM($B157:AF157)-SUM($B176:AE176))/$AI19&gt;1,ROUNDDOWN((SUM($B157:AF157)-SUM($B176:AE176))/$AI19,0)*$AI19,0),SUM($B100:$AP100)-SUM($B176:AE176))</f>
        <v>0</v>
      </c>
      <c r="AG176" s="26">
        <f>IF(SUM($B100:$AP100)-SUM($B176:AF176)&gt;$AI19,IF((SUM($B157:AG157)-SUM($B176:AF176))/$AI19&gt;1,ROUNDDOWN((SUM($B157:AG157)-SUM($B176:AF176))/$AI19,0)*$AI19,0),SUM($B100:$AP100)-SUM($B176:AF176))</f>
        <v>0</v>
      </c>
      <c r="AH176" s="26">
        <f>IF(SUM($B100:$AP100)-SUM($B176:AG176)&gt;$AI19,IF((SUM($B157:AH157)-SUM($B176:AG176))/$AI19&gt;1,ROUNDDOWN((SUM($B157:AH157)-SUM($B176:AG176))/$AI19,0)*$AI19,0),SUM($B100:$AP100)-SUM($B176:AG176))</f>
        <v>5</v>
      </c>
      <c r="AI176" s="26">
        <f>IF(SUM($B100:$AP100)-SUM($B176:AH176)&gt;$AI19,IF((SUM($B157:AI157)-SUM($B176:AH176))/$AI19&gt;1,ROUNDDOWN((SUM($B157:AI157)-SUM($B176:AH176))/$AI19,0)*$AI19,0),SUM($B100:$AP100)-SUM($B176:AH176))</f>
        <v>0</v>
      </c>
      <c r="AJ176" s="26">
        <f>IF(SUM($B100:$AP100)-SUM($B176:AI176)&gt;$AI19,IF((SUM($B157:AJ157)-SUM($B176:AI176))/$AI19&gt;1,ROUNDDOWN((SUM($B157:AJ157)-SUM($B176:AI176))/$AI19,0)*$AI19,0),SUM($B100:$AP100)-SUM($B176:AI176))</f>
        <v>0</v>
      </c>
      <c r="AK176" s="26">
        <f>IF(SUM($B100:$AP100)-SUM($B176:AJ176)&gt;$AI19,IF((SUM($B157:AK157)-SUM($B176:AJ176))/$AI19&gt;1,ROUNDDOWN((SUM($B157:AK157)-SUM($B176:AJ176))/$AI19,0)*$AI19,0),SUM($B100:$AP100)-SUM($B176:AJ176))</f>
        <v>0</v>
      </c>
      <c r="AL176" s="26">
        <f>IF(SUM($B100:$AP100)-SUM($B176:AK176)&gt;$AI19,IF((SUM($B157:AL157)-SUM($B176:AK176))/$AI19&gt;1,ROUNDDOWN((SUM($B157:AL157)-SUM($B176:AK176))/$AI19,0)*$AI19,0),SUM($B100:$AP100)-SUM($B176:AK176))</f>
        <v>0</v>
      </c>
      <c r="AM176" s="26">
        <f>IF(SUM($B100:$AP100)-SUM($B176:AL176)&gt;$AI19,IF((SUM($B157:AM157)-SUM($B176:AL176))/$AI19&gt;1,ROUNDDOWN((SUM($B157:AM157)-SUM($B176:AL176))/$AI19,0)*$AI19,0),SUM($B100:$AP100)-SUM($B176:AL176))</f>
        <v>0</v>
      </c>
      <c r="AN176" s="26">
        <f>IF(SUM($B100:$AP100)-SUM($B176:AM176)&gt;$AI19,IF((SUM($B157:AN157)-SUM($B176:AM176))/$AI19&gt;1,ROUNDDOWN((SUM($B157:AN157)-SUM($B176:AM176))/$AI19,0)*$AI19,0),SUM($B100:$AP100)-SUM($B176:AM176))</f>
        <v>0</v>
      </c>
      <c r="AO176" s="26">
        <f>IF(SUM($B100:$AP100)-SUM($B176:AN176)&gt;$AI19,IF((SUM($B157:AO157)-SUM($B176:AN176))/$AI19&gt;1,ROUNDDOWN((SUM($B157:AO157)-SUM($B176:AN176))/$AI19,0)*$AI19,0),SUM($B100:$AP100)-SUM($B176:AN176))</f>
        <v>0</v>
      </c>
      <c r="AP176" s="26">
        <f>IF(SUM($B100:$AP100)-SUM($B176:AO176)&gt;$AI19,IF((SUM($B157:AP157)-SUM($B176:AO176))/$AI19&gt;1,ROUNDDOWN((SUM($B157:AP157)-SUM($B176:AO176))/$AI19,0)*$AI19,0),SUM($B100:$AP100)-SUM($B176:AO176))</f>
        <v>0</v>
      </c>
    </row>
    <row r="177" spans="1:43">
      <c r="A177" t="s">
        <v>2383</v>
      </c>
      <c r="B177" s="26">
        <v>0</v>
      </c>
      <c r="C177" s="26">
        <f>IF(SUM($B101:$AP101)-SUM($B177:B177)&gt;$AI20,IF((SUM($B158:C158)-SUM($B177:B177))/$AI20&gt;1,ROUNDDOWN((SUM($B158:C158)-SUM($B177:B177))/$AI20,0)*$AI20,0),SUM($B101:$AP101)-SUM($B177:B177))</f>
        <v>40</v>
      </c>
      <c r="D177" s="26">
        <f>IF(SUM($B101:$AP101)-SUM($B177:C177)&gt;$AI20,IF((SUM($B158:D158)-SUM($B177:C177))/$AI20&gt;1,ROUNDDOWN((SUM($B158:D158)-SUM($B177:C177))/$AI20,0)*$AI20,0),SUM($B101:$AP101)-SUM($B177:C177))</f>
        <v>25</v>
      </c>
      <c r="E177" s="26">
        <f>IF(SUM($B101:$AP101)-SUM($B177:D177)&gt;$AI20,IF((SUM($B158:E158)-SUM($B177:D177))/$AI20&gt;1,ROUNDDOWN((SUM($B158:E158)-SUM($B177:D177))/$AI20,0)*$AI20,0),SUM($B101:$AP101)-SUM($B177:D177))</f>
        <v>25</v>
      </c>
      <c r="F177" s="26">
        <f>IF(SUM($B101:$AP101)-SUM($B177:E177)&gt;$AI20,IF((SUM($B158:F158)-SUM($B177:E177))/$AI20&gt;1,ROUNDDOWN((SUM($B158:F158)-SUM($B177:E177))/$AI20,0)*$AI20,0),SUM($B101:$AP101)-SUM($B177:E177))</f>
        <v>30</v>
      </c>
      <c r="G177" s="26">
        <f>IF(SUM($B101:$AP101)-SUM($B177:F177)&gt;$AI20,IF((SUM($B158:G158)-SUM($B177:F177))/$AI20&gt;1,ROUNDDOWN((SUM($B158:G158)-SUM($B177:F177))/$AI20,0)*$AI20,0),SUM($B101:$AP101)-SUM($B177:F177))</f>
        <v>25</v>
      </c>
      <c r="H177" s="26">
        <f>IF(SUM($B101:$AP101)-SUM($B177:G177)&gt;$AI20,IF((SUM($B158:H158)-SUM($B177:G177))/$AI20&gt;1,ROUNDDOWN((SUM($B158:H158)-SUM($B177:G177))/$AI20,0)*$AI20,0),SUM($B101:$AP101)-SUM($B177:G177))</f>
        <v>35</v>
      </c>
      <c r="I177" s="26">
        <f>IF(SUM($B101:$AP101)-SUM($B177:H177)&gt;$AI20,IF((SUM($B158:I158)-SUM($B177:H177))/$AI20&gt;1,ROUNDDOWN((SUM($B158:I158)-SUM($B177:H177))/$AI20,0)*$AI20,0),SUM($B101:$AP101)-SUM($B177:H177))</f>
        <v>30</v>
      </c>
      <c r="J177" s="26">
        <f>IF(SUM($B101:$AP101)-SUM($B177:I177)&gt;$AI20,IF((SUM($B158:J158)-SUM($B177:I177))/$AI20&gt;1,ROUNDDOWN((SUM($B158:J158)-SUM($B177:I177))/$AI20,0)*$AI20,0),SUM($B101:$AP101)-SUM($B177:I177))</f>
        <v>35</v>
      </c>
      <c r="K177" s="26">
        <f>IF(SUM($B101:$AP101)-SUM($B177:J177)&gt;$AI20,IF((SUM($B158:K158)-SUM($B177:J177))/$AI20&gt;1,ROUNDDOWN((SUM($B158:K158)-SUM($B177:J177))/$AI20,0)*$AI20,0),SUM($B101:$AP101)-SUM($B177:J177))</f>
        <v>35</v>
      </c>
      <c r="L177" s="26">
        <f>IF(SUM($B101:$AP101)-SUM($B177:K177)&gt;$AI20,IF((SUM($B158:L158)-SUM($B177:K177))/$AI20&gt;1,ROUNDDOWN((SUM($B158:L158)-SUM($B177:K177))/$AI20,0)*$AI20,0),SUM($B101:$AP101)-SUM($B177:K177))</f>
        <v>35</v>
      </c>
      <c r="M177" s="26">
        <f>IF(SUM($B101:$AP101)-SUM($B177:L177)&gt;$AI20,IF((SUM($B158:M158)-SUM($B177:L177))/$AI20&gt;1,ROUNDDOWN((SUM($B158:M158)-SUM($B177:L177))/$AI20,0)*$AI20,0),SUM($B101:$AP101)-SUM($B177:L177))</f>
        <v>40</v>
      </c>
      <c r="N177" s="26">
        <f>IF(SUM($B101:$AP101)-SUM($B177:M177)&gt;$AI20,IF((SUM($B158:N158)-SUM($B177:M177))/$AI20&gt;1,ROUNDDOWN((SUM($B158:N158)-SUM($B177:M177))/$AI20,0)*$AI20,0),SUM($B101:$AP101)-SUM($B177:M177))</f>
        <v>40</v>
      </c>
      <c r="O177" s="26">
        <f>IF(SUM($B101:$AP101)-SUM($B177:N177)&gt;$AI20,IF((SUM($B158:O158)-SUM($B177:N177))/$AI20&gt;1,ROUNDDOWN((SUM($B158:O158)-SUM($B177:N177))/$AI20,0)*$AI20,0),SUM($B101:$AP101)-SUM($B177:N177))</f>
        <v>35</v>
      </c>
      <c r="P177" s="26">
        <f>IF(SUM($B101:$AP101)-SUM($B177:O177)&gt;$AI20,IF((SUM($B158:P158)-SUM($B177:O177))/$AI20&gt;1,ROUNDDOWN((SUM($B158:P158)-SUM($B177:O177))/$AI20,0)*$AI20,0),SUM($B101:$AP101)-SUM($B177:O177))</f>
        <v>40</v>
      </c>
      <c r="Q177" s="26">
        <f>IF(SUM($B101:$AP101)-SUM($B177:P177)&gt;$AI20,IF((SUM($B158:Q158)-SUM($B177:P177))/$AI20&gt;1,ROUNDDOWN((SUM($B158:Q158)-SUM($B177:P177))/$AI20,0)*$AI20,0),SUM($B101:$AP101)-SUM($B177:P177))</f>
        <v>40</v>
      </c>
      <c r="R177" s="26">
        <f>IF(SUM($B101:$AP101)-SUM($B177:Q177)&gt;$AI20,IF((SUM($B158:R158)-SUM($B177:Q177))/$AI20&gt;1,ROUNDDOWN((SUM($B158:R158)-SUM($B177:Q177))/$AI20,0)*$AI20,0),SUM($B101:$AP101)-SUM($B177:Q177))</f>
        <v>45</v>
      </c>
      <c r="S177" s="26">
        <f>IF(SUM($B101:$AP101)-SUM($B177:R177)&gt;$AI20,IF((SUM($B158:S158)-SUM($B177:R177))/$AI20&gt;1,ROUNDDOWN((SUM($B158:S158)-SUM($B177:R177))/$AI20,0)*$AI20,0),SUM($B101:$AP101)-SUM($B177:R177))</f>
        <v>40</v>
      </c>
      <c r="T177" s="26">
        <f>IF(SUM($B101:$AP101)-SUM($B177:S177)&gt;$AI20,IF((SUM($B158:T158)-SUM($B177:S177))/$AI20&gt;1,ROUNDDOWN((SUM($B158:T158)-SUM($B177:S177))/$AI20,0)*$AI20,0),SUM($B101:$AP101)-SUM($B177:S177))</f>
        <v>40</v>
      </c>
      <c r="U177" s="26">
        <f>IF(SUM($B101:$AP101)-SUM($B177:T177)&gt;$AI20,IF((SUM($B158:U158)-SUM($B177:T177))/$AI20&gt;1,ROUNDDOWN((SUM($B158:U158)-SUM($B177:T177))/$AI20,0)*$AI20,0),SUM($B101:$AP101)-SUM($B177:T177))</f>
        <v>35</v>
      </c>
      <c r="V177" s="26">
        <f>IF(SUM($B101:$AP101)-SUM($B177:U177)&gt;$AI20,IF((SUM($B158:V158)-SUM($B177:U177))/$AI20&gt;1,ROUNDDOWN((SUM($B158:V158)-SUM($B177:U177))/$AI20,0)*$AI20,0),SUM($B101:$AP101)-SUM($B177:U177))</f>
        <v>40</v>
      </c>
      <c r="W177" s="26">
        <f>IF(SUM($B101:$AP101)-SUM($B177:V177)&gt;$AI20,IF((SUM($B158:W158)-SUM($B177:V177))/$AI20&gt;1,ROUNDDOWN((SUM($B158:W158)-SUM($B177:V177))/$AI20,0)*$AI20,0),SUM($B101:$AP101)-SUM($B177:V177))</f>
        <v>40</v>
      </c>
      <c r="X177" s="26">
        <f>IF(SUM($B101:$AP101)-SUM($B177:W177)&gt;$AI20,IF((SUM($B158:X158)-SUM($B177:W177))/$AI20&gt;1,ROUNDDOWN((SUM($B158:X158)-SUM($B177:W177))/$AI20,0)*$AI20,0),SUM($B101:$AP101)-SUM($B177:W177))</f>
        <v>35</v>
      </c>
      <c r="Y177" s="26">
        <f>IF(SUM($B101:$AP101)-SUM($B177:X177)&gt;$AI20,IF((SUM($B158:Y158)-SUM($B177:X177))/$AI20&gt;1,ROUNDDOWN((SUM($B158:Y158)-SUM($B177:X177))/$AI20,0)*$AI20,0),SUM($B101:$AP101)-SUM($B177:X177))</f>
        <v>35</v>
      </c>
      <c r="Z177" s="26">
        <f>IF(SUM($B101:$AP101)-SUM($B177:Y177)&gt;$AI20,IF((SUM($B158:Z158)-SUM($B177:Y177))/$AI20&gt;1,ROUNDDOWN((SUM($B158:Z158)-SUM($B177:Y177))/$AI20,0)*$AI20,0),SUM($B101:$AP101)-SUM($B177:Y177))</f>
        <v>35</v>
      </c>
      <c r="AA177" s="26">
        <f>IF(SUM($B101:$AP101)-SUM($B177:Z177)&gt;$AI20,IF((SUM($B158:AA158)-SUM($B177:Z177))/$AI20&gt;1,ROUNDDOWN((SUM($B158:AA158)-SUM($B177:Z177))/$AI20,0)*$AI20,0),SUM($B101:$AP101)-SUM($B177:Z177))</f>
        <v>30</v>
      </c>
      <c r="AB177" s="26">
        <f>IF(SUM($B101:$AP101)-SUM($B177:AA177)&gt;$AI20,IF((SUM($B158:AB158)-SUM($B177:AA177))/$AI20&gt;1,ROUNDDOWN((SUM($B158:AB158)-SUM($B177:AA177))/$AI20,0)*$AI20,0),SUM($B101:$AP101)-SUM($B177:AA177))</f>
        <v>30</v>
      </c>
      <c r="AC177" s="26">
        <f>IF(SUM($B101:$AP101)-SUM($B177:AB177)&gt;$AI20,IF((SUM($B158:AC158)-SUM($B177:AB177))/$AI20&gt;1,ROUNDDOWN((SUM($B158:AC158)-SUM($B177:AB177))/$AI20,0)*$AI20,0),SUM($B101:$AP101)-SUM($B177:AB177))</f>
        <v>25</v>
      </c>
      <c r="AD177" s="26">
        <f>IF(SUM($B101:$AP101)-SUM($B177:AC177)&gt;$AI20,IF((SUM($B158:AD158)-SUM($B177:AC177))/$AI20&gt;1,ROUNDDOWN((SUM($B158:AD158)-SUM($B177:AC177))/$AI20,0)*$AI20,0),SUM($B101:$AP101)-SUM($B177:AC177))</f>
        <v>25</v>
      </c>
      <c r="AE177" s="26">
        <f>IF(SUM($B101:$AP101)-SUM($B177:AD177)&gt;$AI20,IF((SUM($B158:AE158)-SUM($B177:AD177))/$AI20&gt;1,ROUNDDOWN((SUM($B158:AE158)-SUM($B177:AD177))/$AI20,0)*$AI20,0),SUM($B101:$AP101)-SUM($B177:AD177))</f>
        <v>20</v>
      </c>
      <c r="AF177" s="26">
        <f>IF(SUM($B101:$AP101)-SUM($B177:AE177)&gt;$AI20,IF((SUM($B158:AF158)-SUM($B177:AE177))/$AI20&gt;1,ROUNDDOWN((SUM($B158:AF158)-SUM($B177:AE177))/$AI20,0)*$AI20,0),SUM($B101:$AP101)-SUM($B177:AE177))</f>
        <v>20</v>
      </c>
      <c r="AG177" s="26">
        <f>IF(SUM($B101:$AP101)-SUM($B177:AF177)&gt;$AI20,IF((SUM($B158:AG158)-SUM($B177:AF177))/$AI20&gt;1,ROUNDDOWN((SUM($B158:AG158)-SUM($B177:AF177))/$AI20,0)*$AI20,0),SUM($B101:$AP101)-SUM($B177:AF177))</f>
        <v>15</v>
      </c>
      <c r="AH177" s="26">
        <f>IF(SUM($B101:$AP101)-SUM($B177:AG177)&gt;$AI20,IF((SUM($B158:AH158)-SUM($B177:AG177))/$AI20&gt;1,ROUNDDOWN((SUM($B158:AH158)-SUM($B177:AG177))/$AI20,0)*$AI20,0),SUM($B101:$AP101)-SUM($B177:AG177))</f>
        <v>15</v>
      </c>
      <c r="AI177" s="26">
        <f>IF(SUM($B101:$AP101)-SUM($B177:AH177)&gt;$AI20,IF((SUM($B158:AI158)-SUM($B177:AH177))/$AI20&gt;1,ROUNDDOWN((SUM($B158:AI158)-SUM($B177:AH177))/$AI20,0)*$AI20,0),SUM($B101:$AP101)-SUM($B177:AH177))</f>
        <v>15</v>
      </c>
      <c r="AJ177" s="26">
        <f>IF(SUM($B101:$AP101)-SUM($B177:AI177)&gt;$AI20,IF((SUM($B158:AJ158)-SUM($B177:AI177))/$AI20&gt;1,ROUNDDOWN((SUM($B158:AJ158)-SUM($B177:AI177))/$AI20,0)*$AI20,0),SUM($B101:$AP101)-SUM($B177:AI177))</f>
        <v>10</v>
      </c>
      <c r="AK177" s="26">
        <f>IF(SUM($B101:$AP101)-SUM($B177:AJ177)&gt;$AI20,IF((SUM($B158:AK158)-SUM($B177:AJ177))/$AI20&gt;1,ROUNDDOWN((SUM($B158:AK158)-SUM($B177:AJ177))/$AI20,0)*$AI20,0),SUM($B101:$AP101)-SUM($B177:AJ177))</f>
        <v>5</v>
      </c>
      <c r="AL177" s="26">
        <f>IF(SUM($B101:$AP101)-SUM($B177:AK177)&gt;$AI20,IF((SUM($B158:AL158)-SUM($B177:AK177))/$AI20&gt;1,ROUNDDOWN((SUM($B158:AL158)-SUM($B177:AK177))/$AI20,0)*$AI20,0),SUM($B101:$AP101)-SUM($B177:AK177))</f>
        <v>10</v>
      </c>
      <c r="AM177" s="26">
        <f>IF(SUM($B101:$AP101)-SUM($B177:AL177)&gt;$AI20,IF((SUM($B158:AM158)-SUM($B177:AL177))/$AI20&gt;1,ROUNDDOWN((SUM($B158:AM158)-SUM($B177:AL177))/$AI20,0)*$AI20,0),SUM($B101:$AP101)-SUM($B177:AL177))</f>
        <v>5</v>
      </c>
      <c r="AN177" s="26">
        <f>IF(SUM($B101:$AP101)-SUM($B177:AM177)&gt;$AI20,IF((SUM($B158:AN158)-SUM($B177:AM177))/$AI20&gt;1,ROUNDDOWN((SUM($B158:AN158)-SUM($B177:AM177))/$AI20,0)*$AI20,0),SUM($B101:$AP101)-SUM($B177:AM177))</f>
        <v>5</v>
      </c>
      <c r="AO177" s="26">
        <f>IF(SUM($B101:$AP101)-SUM($B177:AN177)&gt;$AI20,IF((SUM($B158:AO158)-SUM($B177:AN177))/$AI20&gt;1,ROUNDDOWN((SUM($B158:AO158)-SUM($B177:AN177))/$AI20,0)*$AI20,0),SUM($B101:$AP101)-SUM($B177:AN177))</f>
        <v>5</v>
      </c>
      <c r="AP177" s="26">
        <f>IF(SUM($B101:$AP101)-SUM($B177:AO177)&gt;$AI20,IF((SUM($B158:AP158)-SUM($B177:AO177))/$AI20&gt;1,ROUNDDOWN((SUM($B158:AP158)-SUM($B177:AO177))/$AI20,0)*$AI20,0),SUM($B101:$AP101)-SUM($B177:AO177))</f>
        <v>0</v>
      </c>
    </row>
    <row r="178" spans="1:43">
      <c r="A178" t="s">
        <v>2384</v>
      </c>
      <c r="B178" s="26">
        <v>0</v>
      </c>
      <c r="C178" s="26">
        <f>IF(SUM($B102:$AP102)-SUM($B178:B178)&gt;$AI21,IF((SUM($B159:C159)-SUM($B178:B178))/$AI21&gt;1,ROUNDDOWN((SUM($B159:C159)-SUM($B178:B178))/$AI21,0)*$AI21,0),SUM($B102:$AP102)-SUM($B178:B178))</f>
        <v>108</v>
      </c>
      <c r="D178" s="26">
        <f>IF(SUM($B102:$AP102)-SUM($B178:C178)&gt;$AI21,IF((SUM($B159:D159)-SUM($B178:C178))/$AI21&gt;1,ROUNDDOWN((SUM($B159:D159)-SUM($B178:C178))/$AI21,0)*$AI21,0),SUM($B102:$AP102)-SUM($B178:C178))</f>
        <v>66</v>
      </c>
      <c r="E178" s="26">
        <f>IF(SUM($B102:$AP102)-SUM($B178:D178)&gt;$AI21,IF((SUM($B159:E159)-SUM($B178:D178))/$AI21&gt;1,ROUNDDOWN((SUM($B159:E159)-SUM($B178:D178))/$AI21,0)*$AI21,0),SUM($B102:$AP102)-SUM($B178:D178))</f>
        <v>78</v>
      </c>
      <c r="F178" s="26">
        <f>IF(SUM($B102:$AP102)-SUM($B178:E178)&gt;$AI21,IF((SUM($B159:F159)-SUM($B178:E178))/$AI21&gt;1,ROUNDDOWN((SUM($B159:F159)-SUM($B178:E178))/$AI21,0)*$AI21,0),SUM($B102:$AP102)-SUM($B178:E178))</f>
        <v>84</v>
      </c>
      <c r="G178" s="26">
        <f>IF(SUM($B102:$AP102)-SUM($B178:F178)&gt;$AI21,IF((SUM($B159:G159)-SUM($B178:F178))/$AI21&gt;1,ROUNDDOWN((SUM($B159:G159)-SUM($B178:F178))/$AI21,0)*$AI21,0),SUM($B102:$AP102)-SUM($B178:F178))</f>
        <v>96</v>
      </c>
      <c r="H178" s="26">
        <f>IF(SUM($B102:$AP102)-SUM($B178:G178)&gt;$AI21,IF((SUM($B159:H159)-SUM($B178:G178))/$AI21&gt;1,ROUNDDOWN((SUM($B159:H159)-SUM($B178:G178))/$AI21,0)*$AI21,0),SUM($B102:$AP102)-SUM($B178:G178))</f>
        <v>108</v>
      </c>
      <c r="I178" s="26">
        <f>IF(SUM($B102:$AP102)-SUM($B178:H178)&gt;$AI21,IF((SUM($B159:I159)-SUM($B178:H178))/$AI21&gt;1,ROUNDDOWN((SUM($B159:I159)-SUM($B178:H178))/$AI21,0)*$AI21,0),SUM($B102:$AP102)-SUM($B178:H178))</f>
        <v>126</v>
      </c>
      <c r="J178" s="26">
        <f>IF(SUM($B102:$AP102)-SUM($B178:I178)&gt;$AI21,IF((SUM($B159:J159)-SUM($B178:I178))/$AI21&gt;1,ROUNDDOWN((SUM($B159:J159)-SUM($B178:I178))/$AI21,0)*$AI21,0),SUM($B102:$AP102)-SUM($B178:I178))</f>
        <v>138</v>
      </c>
      <c r="K178" s="26">
        <f>IF(SUM($B102:$AP102)-SUM($B178:J178)&gt;$AI21,IF((SUM($B159:K159)-SUM($B178:J178))/$AI21&gt;1,ROUNDDOWN((SUM($B159:K159)-SUM($B178:J178))/$AI21,0)*$AI21,0),SUM($B102:$AP102)-SUM($B178:J178))</f>
        <v>156</v>
      </c>
      <c r="L178" s="26">
        <f>IF(SUM($B102:$AP102)-SUM($B178:K178)&gt;$AI21,IF((SUM($B159:L159)-SUM($B178:K178))/$AI21&gt;1,ROUNDDOWN((SUM($B159:L159)-SUM($B178:K178))/$AI21,0)*$AI21,0),SUM($B102:$AP102)-SUM($B178:K178))</f>
        <v>174</v>
      </c>
      <c r="M178" s="26">
        <f>IF(SUM($B102:$AP102)-SUM($B178:L178)&gt;$AI21,IF((SUM($B159:M159)-SUM($B178:L178))/$AI21&gt;1,ROUNDDOWN((SUM($B159:M159)-SUM($B178:L178))/$AI21,0)*$AI21,0),SUM($B102:$AP102)-SUM($B178:L178))</f>
        <v>192</v>
      </c>
      <c r="N178" s="26">
        <f>IF(SUM($B102:$AP102)-SUM($B178:M178)&gt;$AI21,IF((SUM($B159:N159)-SUM($B178:M178))/$AI21&gt;1,ROUNDDOWN((SUM($B159:N159)-SUM($B178:M178))/$AI21,0)*$AI21,0),SUM($B102:$AP102)-SUM($B178:M178))</f>
        <v>216</v>
      </c>
      <c r="O178" s="26">
        <f>IF(SUM($B102:$AP102)-SUM($B178:N178)&gt;$AI21,IF((SUM($B159:O159)-SUM($B178:N178))/$AI21&gt;1,ROUNDDOWN((SUM($B159:O159)-SUM($B178:N178))/$AI21,0)*$AI21,0),SUM($B102:$AP102)-SUM($B178:N178))</f>
        <v>234</v>
      </c>
      <c r="P178" s="26">
        <f>IF(SUM($B102:$AP102)-SUM($B178:O178)&gt;$AI21,IF((SUM($B159:P159)-SUM($B178:O178))/$AI21&gt;1,ROUNDDOWN((SUM($B159:P159)-SUM($B178:O178))/$AI21,0)*$AI21,0),SUM($B102:$AP102)-SUM($B178:O178))</f>
        <v>252</v>
      </c>
      <c r="Q178" s="26">
        <f>IF(SUM($B102:$AP102)-SUM($B178:P178)&gt;$AI21,IF((SUM($B159:Q159)-SUM($B178:P178))/$AI21&gt;1,ROUNDDOWN((SUM($B159:Q159)-SUM($B178:P178))/$AI21,0)*$AI21,0),SUM($B102:$AP102)-SUM($B178:P178))</f>
        <v>270</v>
      </c>
      <c r="R178" s="26">
        <f>IF(SUM($B102:$AP102)-SUM($B178:Q178)&gt;$AI21,IF((SUM($B159:R159)-SUM($B178:Q178))/$AI21&gt;1,ROUNDDOWN((SUM($B159:R159)-SUM($B178:Q178))/$AI21,0)*$AI21,0),SUM($B102:$AP102)-SUM($B178:Q178))</f>
        <v>288</v>
      </c>
      <c r="S178" s="26">
        <f>IF(SUM($B102:$AP102)-SUM($B178:R178)&gt;$AI21,IF((SUM($B159:S159)-SUM($B178:R178))/$AI21&gt;1,ROUNDDOWN((SUM($B159:S159)-SUM($B178:R178))/$AI21,0)*$AI21,0),SUM($B102:$AP102)-SUM($B178:R178))</f>
        <v>306</v>
      </c>
      <c r="T178" s="26">
        <f>IF(SUM($B102:$AP102)-SUM($B178:S178)&gt;$AI21,IF((SUM($B159:T159)-SUM($B178:S178))/$AI21&gt;1,ROUNDDOWN((SUM($B159:T159)-SUM($B178:S178))/$AI21,0)*$AI21,0),SUM($B102:$AP102)-SUM($B178:S178))</f>
        <v>318</v>
      </c>
      <c r="U178" s="26">
        <f>IF(SUM($B102:$AP102)-SUM($B178:T178)&gt;$AI21,IF((SUM($B159:U159)-SUM($B178:T178))/$AI21&gt;1,ROUNDDOWN((SUM($B159:U159)-SUM($B178:T178))/$AI21,0)*$AI21,0),SUM($B102:$AP102)-SUM($B178:T178))</f>
        <v>324</v>
      </c>
      <c r="V178" s="26">
        <f>IF(SUM($B102:$AP102)-SUM($B178:U178)&gt;$AI21,IF((SUM($B159:V159)-SUM($B178:U178))/$AI21&gt;1,ROUNDDOWN((SUM($B159:V159)-SUM($B178:U178))/$AI21,0)*$AI21,0),SUM($B102:$AP102)-SUM($B178:U178))</f>
        <v>342</v>
      </c>
      <c r="W178" s="26">
        <f>IF(SUM($B102:$AP102)-SUM($B178:V178)&gt;$AI21,IF((SUM($B159:W159)-SUM($B178:V178))/$AI21&gt;1,ROUNDDOWN((SUM($B159:W159)-SUM($B178:V178))/$AI21,0)*$AI21,0),SUM($B102:$AP102)-SUM($B178:V178))</f>
        <v>360</v>
      </c>
      <c r="X178" s="26">
        <f>IF(SUM($B102:$AP102)-SUM($B178:W178)&gt;$AI21,IF((SUM($B159:X159)-SUM($B178:W178))/$AI21&gt;1,ROUNDDOWN((SUM($B159:X159)-SUM($B178:W178))/$AI21,0)*$AI21,0),SUM($B102:$AP102)-SUM($B178:W178))</f>
        <v>372</v>
      </c>
      <c r="Y178" s="26">
        <f>IF(SUM($B102:$AP102)-SUM($B178:X178)&gt;$AI21,IF((SUM($B159:Y159)-SUM($B178:X178))/$AI21&gt;1,ROUNDDOWN((SUM($B159:Y159)-SUM($B178:X178))/$AI21,0)*$AI21,0),SUM($B102:$AP102)-SUM($B178:X178))</f>
        <v>390</v>
      </c>
      <c r="Z178" s="26">
        <f>IF(SUM($B102:$AP102)-SUM($B178:Y178)&gt;$AI21,IF((SUM($B159:Z159)-SUM($B178:Y178))/$AI21&gt;1,ROUNDDOWN((SUM($B159:Z159)-SUM($B178:Y178))/$AI21,0)*$AI21,0),SUM($B102:$AP102)-SUM($B178:Y178))</f>
        <v>402</v>
      </c>
      <c r="AA178" s="26">
        <f>IF(SUM($B102:$AP102)-SUM($B178:Z178)&gt;$AI21,IF((SUM($B159:AA159)-SUM($B178:Z178))/$AI21&gt;1,ROUNDDOWN((SUM($B159:AA159)-SUM($B178:Z178))/$AI21,0)*$AI21,0),SUM($B102:$AP102)-SUM($B178:Z178))</f>
        <v>414</v>
      </c>
      <c r="AB178" s="26">
        <f>IF(SUM($B102:$AP102)-SUM($B178:AA178)&gt;$AI21,IF((SUM($B159:AB159)-SUM($B178:AA178))/$AI21&gt;1,ROUNDDOWN((SUM($B159:AB159)-SUM($B178:AA178))/$AI21,0)*$AI21,0),SUM($B102:$AP102)-SUM($B178:AA178))</f>
        <v>432</v>
      </c>
      <c r="AC178" s="26">
        <f>IF(SUM($B102:$AP102)-SUM($B178:AB178)&gt;$AI21,IF((SUM($B159:AC159)-SUM($B178:AB178))/$AI21&gt;1,ROUNDDOWN((SUM($B159:AC159)-SUM($B178:AB178))/$AI21,0)*$AI21,0),SUM($B102:$AP102)-SUM($B178:AB178))</f>
        <v>438</v>
      </c>
      <c r="AD178" s="26">
        <f>IF(SUM($B102:$AP102)-SUM($B178:AC178)&gt;$AI21,IF((SUM($B159:AD159)-SUM($B178:AC178))/$AI21&gt;1,ROUNDDOWN((SUM($B159:AD159)-SUM($B178:AC178))/$AI21,0)*$AI21,0),SUM($B102:$AP102)-SUM($B178:AC178))</f>
        <v>444</v>
      </c>
      <c r="AE178" s="26">
        <f>IF(SUM($B102:$AP102)-SUM($B178:AD178)&gt;$AI21,IF((SUM($B159:AE159)-SUM($B178:AD178))/$AI21&gt;1,ROUNDDOWN((SUM($B159:AE159)-SUM($B178:AD178))/$AI21,0)*$AI21,0),SUM($B102:$AP102)-SUM($B178:AD178))</f>
        <v>450</v>
      </c>
      <c r="AF178" s="26">
        <f>IF(SUM($B102:$AP102)-SUM($B178:AE178)&gt;$AI21,IF((SUM($B159:AF159)-SUM($B178:AE178))/$AI21&gt;1,ROUNDDOWN((SUM($B159:AF159)-SUM($B178:AE178))/$AI21,0)*$AI21,0),SUM($B102:$AP102)-SUM($B178:AE178))</f>
        <v>456</v>
      </c>
      <c r="AG178" s="26">
        <f>IF(SUM($B102:$AP102)-SUM($B178:AF178)&gt;$AI21,IF((SUM($B159:AG159)-SUM($B178:AF178))/$AI21&gt;1,ROUNDDOWN((SUM($B159:AG159)-SUM($B178:AF178))/$AI21,0)*$AI21,0),SUM($B102:$AP102)-SUM($B178:AF178))</f>
        <v>450</v>
      </c>
      <c r="AH178" s="26">
        <f>IF(SUM($B102:$AP102)-SUM($B178:AG178)&gt;$AI21,IF((SUM($B159:AH159)-SUM($B178:AG178))/$AI21&gt;1,ROUNDDOWN((SUM($B159:AH159)-SUM($B178:AG178))/$AI21,0)*$AI21,0),SUM($B102:$AP102)-SUM($B178:AG178))</f>
        <v>450</v>
      </c>
      <c r="AI178" s="26">
        <f>IF(SUM($B102:$AP102)-SUM($B178:AH178)&gt;$AI21,IF((SUM($B159:AI159)-SUM($B178:AH178))/$AI21&gt;1,ROUNDDOWN((SUM($B159:AI159)-SUM($B178:AH178))/$AI21,0)*$AI21,0),SUM($B102:$AP102)-SUM($B178:AH178))</f>
        <v>438</v>
      </c>
      <c r="AJ178" s="26">
        <f>IF(SUM($B102:$AP102)-SUM($B178:AI178)&gt;$AI21,IF((SUM($B159:AJ159)-SUM($B178:AI178))/$AI21&gt;1,ROUNDDOWN((SUM($B159:AJ159)-SUM($B178:AI178))/$AI21,0)*$AI21,0),SUM($B102:$AP102)-SUM($B178:AI178))</f>
        <v>444</v>
      </c>
      <c r="AK178" s="26">
        <f>IF(SUM($B102:$AP102)-SUM($B178:AJ178)&gt;$AI21,IF((SUM($B159:AK159)-SUM($B178:AJ178))/$AI21&gt;1,ROUNDDOWN((SUM($B159:AK159)-SUM($B178:AJ178))/$AI21,0)*$AI21,0),SUM($B102:$AP102)-SUM($B178:AJ178))</f>
        <v>438</v>
      </c>
      <c r="AL178" s="26">
        <f>IF(SUM($B102:$AP102)-SUM($B178:AK178)&gt;$AI21,IF((SUM($B159:AL159)-SUM($B178:AK178))/$AI21&gt;1,ROUNDDOWN((SUM($B159:AL159)-SUM($B178:AK178))/$AI21,0)*$AI21,0),SUM($B102:$AP102)-SUM($B178:AK178))</f>
        <v>414</v>
      </c>
      <c r="AM178" s="26">
        <f>IF(SUM($B102:$AP102)-SUM($B178:AL178)&gt;$AI21,IF((SUM($B159:AM159)-SUM($B178:AL178))/$AI21&gt;1,ROUNDDOWN((SUM($B159:AM159)-SUM($B178:AL178))/$AI21,0)*$AI21,0),SUM($B102:$AP102)-SUM($B178:AL178))</f>
        <v>390</v>
      </c>
      <c r="AN178" s="26">
        <f>IF(SUM($B102:$AP102)-SUM($B178:AM178)&gt;$AI21,IF((SUM($B159:AN159)-SUM($B178:AM178))/$AI21&gt;1,ROUNDDOWN((SUM($B159:AN159)-SUM($B178:AM178))/$AI21,0)*$AI21,0),SUM($B102:$AP102)-SUM($B178:AM178))</f>
        <v>366</v>
      </c>
      <c r="AO178" s="26">
        <f>IF(SUM($B102:$AP102)-SUM($B178:AN178)&gt;$AI21,IF((SUM($B159:AO159)-SUM($B178:AN178))/$AI21&gt;1,ROUNDDOWN((SUM($B159:AO159)-SUM($B178:AN178))/$AI21,0)*$AI21,0),SUM($B102:$AP102)-SUM($B178:AN178))</f>
        <v>348</v>
      </c>
      <c r="AP178" s="26">
        <f>IF(SUM($B102:$AP102)-SUM($B178:AO178)&gt;$AI21,IF((SUM($B159:AP159)-SUM($B178:AO178))/$AI21&gt;1,ROUNDDOWN((SUM($B159:AP159)-SUM($B178:AO178))/$AI21,0)*$AI21,0),SUM($B102:$AP102)-SUM($B178:AO178))</f>
        <v>336</v>
      </c>
    </row>
    <row r="180" ht="13.85" spans="1:43">
      <c r="A180" s="8" t="s">
        <v>2400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10"/>
    </row>
    <row r="181" ht="13.1" spans="1:43">
      <c r="A181" s="3" t="s">
        <v>2401</v>
      </c>
    </row>
    <row r="182" spans="1:43">
      <c r="A182" s="21" t="s">
        <v>2395</v>
      </c>
      <c r="B182" s="22">
        <v>1990</v>
      </c>
      <c r="C182" s="22">
        <v>1991</v>
      </c>
      <c r="D182" s="22">
        <v>1992</v>
      </c>
      <c r="E182" s="22">
        <v>1993</v>
      </c>
      <c r="F182" s="22">
        <v>1994</v>
      </c>
      <c r="G182" s="22">
        <v>1995</v>
      </c>
      <c r="H182" s="22">
        <v>1996</v>
      </c>
      <c r="I182" s="22">
        <v>1997</v>
      </c>
      <c r="J182" s="22">
        <v>1998</v>
      </c>
      <c r="K182" s="22">
        <v>1999</v>
      </c>
      <c r="L182" s="22">
        <v>2000</v>
      </c>
      <c r="M182" s="22">
        <v>2001</v>
      </c>
      <c r="N182" s="22">
        <v>2002</v>
      </c>
      <c r="O182" s="22">
        <v>2003</v>
      </c>
      <c r="P182" s="22">
        <v>2004</v>
      </c>
      <c r="Q182" s="22">
        <v>2005</v>
      </c>
      <c r="R182" s="22">
        <v>2006</v>
      </c>
      <c r="S182" s="22">
        <v>2007</v>
      </c>
      <c r="T182" s="22">
        <v>2008</v>
      </c>
      <c r="U182" s="22">
        <v>2009</v>
      </c>
      <c r="V182" s="22">
        <v>2010</v>
      </c>
      <c r="W182" s="22">
        <v>2011</v>
      </c>
      <c r="X182" s="22">
        <v>2012</v>
      </c>
      <c r="Y182" s="22">
        <v>2013</v>
      </c>
      <c r="Z182" s="22">
        <v>2014</v>
      </c>
      <c r="AA182" s="22">
        <v>2015</v>
      </c>
      <c r="AB182" s="22">
        <v>2016</v>
      </c>
      <c r="AC182" s="22">
        <v>2017</v>
      </c>
      <c r="AD182" s="22">
        <v>2018</v>
      </c>
      <c r="AE182" s="22">
        <v>2019</v>
      </c>
      <c r="AF182" s="22">
        <v>2020</v>
      </c>
      <c r="AG182" s="22">
        <v>2021</v>
      </c>
      <c r="AH182" s="22">
        <v>2022</v>
      </c>
      <c r="AI182" s="22">
        <v>2023</v>
      </c>
      <c r="AJ182" s="22">
        <v>2024</v>
      </c>
      <c r="AK182" s="22">
        <v>2025</v>
      </c>
      <c r="AL182" s="22">
        <v>2026</v>
      </c>
      <c r="AM182" s="22">
        <v>2027</v>
      </c>
      <c r="AN182" s="22">
        <v>2028</v>
      </c>
      <c r="AO182" s="22">
        <v>2029</v>
      </c>
      <c r="AP182" s="22">
        <v>2030</v>
      </c>
    </row>
    <row r="183" spans="1:43">
      <c r="A183" s="34" t="str">
        <f t="shared" ref="A183" si="135">A163</f>
        <v>hard coal</v>
      </c>
      <c r="B183" s="24">
        <f t="shared" ref="B183:AE183" si="136">B67</f>
        <v>0</v>
      </c>
      <c r="C183" s="24">
        <f t="shared" si="136"/>
        <v>0</v>
      </c>
      <c r="D183" s="24">
        <f t="shared" si="136"/>
        <v>0</v>
      </c>
      <c r="E183" s="24">
        <f t="shared" si="136"/>
        <v>0</v>
      </c>
      <c r="F183" s="24">
        <f t="shared" si="136"/>
        <v>0</v>
      </c>
      <c r="G183" s="24">
        <f t="shared" si="136"/>
        <v>0</v>
      </c>
      <c r="H183" s="24">
        <f t="shared" si="136"/>
        <v>0</v>
      </c>
      <c r="I183" s="24">
        <f t="shared" si="136"/>
        <v>0</v>
      </c>
      <c r="J183" s="24">
        <f t="shared" si="136"/>
        <v>0</v>
      </c>
      <c r="K183" s="24">
        <f t="shared" si="136"/>
        <v>0</v>
      </c>
      <c r="L183" s="24">
        <f t="shared" si="136"/>
        <v>518.099333333084</v>
      </c>
      <c r="M183" s="24">
        <f t="shared" si="136"/>
        <v>15510.2416666667</v>
      </c>
      <c r="N183" s="24">
        <f t="shared" si="136"/>
        <v>14340.25</v>
      </c>
      <c r="O183" s="24">
        <f t="shared" si="136"/>
        <v>23873.05</v>
      </c>
      <c r="P183" s="24">
        <f t="shared" si="136"/>
        <v>45933.375</v>
      </c>
      <c r="Q183" s="24">
        <f t="shared" si="136"/>
        <v>60327</v>
      </c>
      <c r="R183" s="24">
        <f t="shared" si="136"/>
        <v>92699</v>
      </c>
      <c r="S183" s="24">
        <f t="shared" si="136"/>
        <v>89132.345</v>
      </c>
      <c r="T183" s="24">
        <f t="shared" si="136"/>
        <v>70989.9865555555</v>
      </c>
      <c r="U183" s="24">
        <f t="shared" si="136"/>
        <v>72437.0865555556</v>
      </c>
      <c r="V183" s="24">
        <f t="shared" si="136"/>
        <v>64840.9865555556</v>
      </c>
      <c r="W183" s="24">
        <f t="shared" si="136"/>
        <v>67105.9865555556</v>
      </c>
      <c r="X183" s="24">
        <f t="shared" si="136"/>
        <v>56889.3865555556</v>
      </c>
      <c r="Y183" s="24">
        <f t="shared" si="136"/>
        <v>44438.4865555556</v>
      </c>
      <c r="Z183" s="24">
        <f t="shared" si="136"/>
        <v>45250.2865555555</v>
      </c>
      <c r="AA183" s="24">
        <f t="shared" si="136"/>
        <v>64592.1865555556</v>
      </c>
      <c r="AB183" s="24">
        <f t="shared" si="136"/>
        <v>50227.9865555556</v>
      </c>
      <c r="AC183" s="24">
        <f t="shared" si="136"/>
        <v>45106.22</v>
      </c>
      <c r="AD183" s="24">
        <f t="shared" si="136"/>
        <v>40627.02</v>
      </c>
      <c r="AE183" s="24">
        <f t="shared" si="136"/>
        <v>41030.02</v>
      </c>
      <c r="AF183" s="24">
        <f t="shared" ref="AF183:AF198" si="137">V6</f>
        <v>38613</v>
      </c>
      <c r="AG183" s="24">
        <f t="shared" ref="AG183:AG198" si="138">W6</f>
        <v>28053</v>
      </c>
      <c r="AH183" s="24">
        <f t="shared" ref="AH183:AH198" si="139">X6</f>
        <v>28272</v>
      </c>
      <c r="AI183" s="24">
        <f t="shared" ref="AI183:AI198" si="140">Y6</f>
        <v>48098</v>
      </c>
      <c r="AJ183" s="24">
        <f t="shared" ref="AJ183:AJ198" si="141">Z6</f>
        <v>44485</v>
      </c>
      <c r="AK183" s="24">
        <f t="shared" ref="AK183:AK198" si="142">AA6</f>
        <v>79084</v>
      </c>
      <c r="AL183" s="24">
        <f t="shared" ref="AL183:AL198" si="143">AB6</f>
        <v>33295</v>
      </c>
      <c r="AM183" s="24">
        <f t="shared" ref="AM183:AM198" si="144">AC6</f>
        <v>14086</v>
      </c>
      <c r="AN183" s="24">
        <f t="shared" ref="AN183:AN198" si="145">AD6</f>
        <v>12762</v>
      </c>
      <c r="AO183" s="24">
        <f t="shared" ref="AO183:AO198" si="146">AE6</f>
        <v>12762</v>
      </c>
      <c r="AP183" s="24">
        <f t="shared" ref="AP183:AP198" si="147">AF6</f>
        <v>0</v>
      </c>
    </row>
    <row r="184" spans="1:43">
      <c r="A184" s="22" t="str">
        <f t="shared" ref="A184" si="148">A164</f>
        <v>natural gas nonpeaker</v>
      </c>
      <c r="B184" s="26">
        <f t="shared" ref="B184:AE184" si="149">B68</f>
        <v>0</v>
      </c>
      <c r="C184" s="26">
        <f t="shared" si="149"/>
        <v>0</v>
      </c>
      <c r="D184" s="26">
        <f t="shared" si="149"/>
        <v>0</v>
      </c>
      <c r="E184" s="26">
        <f t="shared" si="149"/>
        <v>0</v>
      </c>
      <c r="F184" s="26">
        <f t="shared" si="149"/>
        <v>0</v>
      </c>
      <c r="G184" s="26">
        <f t="shared" si="149"/>
        <v>0</v>
      </c>
      <c r="H184" s="26">
        <f t="shared" si="149"/>
        <v>0</v>
      </c>
      <c r="I184" s="26">
        <f t="shared" si="149"/>
        <v>0</v>
      </c>
      <c r="J184" s="26">
        <f t="shared" si="149"/>
        <v>0</v>
      </c>
      <c r="K184" s="26">
        <f t="shared" si="149"/>
        <v>0</v>
      </c>
      <c r="L184" s="26">
        <f t="shared" si="149"/>
        <v>76.1040000000104</v>
      </c>
      <c r="M184" s="26">
        <f t="shared" si="149"/>
        <v>250.46</v>
      </c>
      <c r="N184" s="26">
        <f t="shared" si="149"/>
        <v>271.46</v>
      </c>
      <c r="O184" s="26">
        <f t="shared" si="149"/>
        <v>282.1</v>
      </c>
      <c r="P184" s="26">
        <f t="shared" si="149"/>
        <v>0</v>
      </c>
      <c r="Q184" s="26">
        <f t="shared" si="149"/>
        <v>2075.99</v>
      </c>
      <c r="R184" s="26">
        <f t="shared" si="149"/>
        <v>3130.19</v>
      </c>
      <c r="S184" s="26">
        <f t="shared" si="149"/>
        <v>2853.403</v>
      </c>
      <c r="T184" s="26">
        <f t="shared" si="149"/>
        <v>990.577</v>
      </c>
      <c r="U184" s="26">
        <f t="shared" si="149"/>
        <v>2589.72</v>
      </c>
      <c r="V184" s="26">
        <f t="shared" si="149"/>
        <v>2061.0044</v>
      </c>
      <c r="W184" s="26">
        <f t="shared" si="149"/>
        <v>1654.4444</v>
      </c>
      <c r="X184" s="26">
        <f t="shared" si="149"/>
        <v>2231.6644</v>
      </c>
      <c r="Y184" s="26">
        <f t="shared" si="149"/>
        <v>4965.7244</v>
      </c>
      <c r="Z184" s="26">
        <f t="shared" si="149"/>
        <v>9113.7144</v>
      </c>
      <c r="AA184" s="26">
        <f t="shared" si="149"/>
        <v>8573.0344</v>
      </c>
      <c r="AB184" s="26">
        <f t="shared" si="149"/>
        <v>5222.2044</v>
      </c>
      <c r="AC184" s="26">
        <f t="shared" si="149"/>
        <v>4792.0964</v>
      </c>
      <c r="AD184" s="26">
        <f t="shared" si="149"/>
        <v>6977.8464</v>
      </c>
      <c r="AE184" s="26">
        <f t="shared" si="149"/>
        <v>4898.7064</v>
      </c>
      <c r="AF184" s="24">
        <f t="shared" si="137"/>
        <v>0</v>
      </c>
      <c r="AG184" s="24">
        <f t="shared" si="138"/>
        <v>0</v>
      </c>
      <c r="AH184" s="24">
        <f t="shared" si="139"/>
        <v>0</v>
      </c>
      <c r="AI184" s="24">
        <f t="shared" si="140"/>
        <v>0</v>
      </c>
      <c r="AJ184" s="24">
        <f t="shared" si="141"/>
        <v>0</v>
      </c>
      <c r="AK184" s="24">
        <f t="shared" si="142"/>
        <v>0</v>
      </c>
      <c r="AL184" s="24">
        <f t="shared" si="143"/>
        <v>0</v>
      </c>
      <c r="AM184" s="24">
        <f t="shared" si="144"/>
        <v>0</v>
      </c>
      <c r="AN184" s="24">
        <f t="shared" si="145"/>
        <v>0</v>
      </c>
      <c r="AO184" s="24">
        <f t="shared" si="146"/>
        <v>0</v>
      </c>
      <c r="AP184" s="24">
        <f t="shared" si="147"/>
        <v>0</v>
      </c>
    </row>
    <row r="185" spans="1:43">
      <c r="A185" s="22" t="str">
        <f t="shared" ref="A185" si="150">A165</f>
        <v>nuclear</v>
      </c>
      <c r="B185" s="26">
        <f t="shared" ref="B185:AE185" si="151">B69</f>
        <v>0</v>
      </c>
      <c r="C185" s="26">
        <f t="shared" si="151"/>
        <v>0</v>
      </c>
      <c r="D185" s="26">
        <f t="shared" si="151"/>
        <v>0</v>
      </c>
      <c r="E185" s="26">
        <f t="shared" si="151"/>
        <v>964.639999999985</v>
      </c>
      <c r="F185" s="26">
        <f t="shared" si="151"/>
        <v>964.639999999985</v>
      </c>
      <c r="G185" s="26">
        <f t="shared" si="151"/>
        <v>0</v>
      </c>
      <c r="H185" s="26">
        <f t="shared" si="151"/>
        <v>0</v>
      </c>
      <c r="I185" s="26">
        <f t="shared" si="151"/>
        <v>0</v>
      </c>
      <c r="J185" s="26">
        <f t="shared" si="151"/>
        <v>0</v>
      </c>
      <c r="K185" s="26">
        <f t="shared" si="151"/>
        <v>0</v>
      </c>
      <c r="L185" s="26">
        <f t="shared" si="151"/>
        <v>0</v>
      </c>
      <c r="M185" s="26">
        <f t="shared" si="151"/>
        <v>0</v>
      </c>
      <c r="N185" s="26">
        <f t="shared" si="151"/>
        <v>3338.63999999998</v>
      </c>
      <c r="O185" s="26">
        <f t="shared" si="151"/>
        <v>728</v>
      </c>
      <c r="P185" s="26">
        <f t="shared" si="151"/>
        <v>650</v>
      </c>
      <c r="Q185" s="26">
        <f t="shared" si="151"/>
        <v>0</v>
      </c>
      <c r="R185" s="26">
        <f t="shared" si="151"/>
        <v>1060</v>
      </c>
      <c r="S185" s="26">
        <f t="shared" si="151"/>
        <v>1060</v>
      </c>
      <c r="T185" s="26">
        <f t="shared" si="151"/>
        <v>33.8888888888889</v>
      </c>
      <c r="U185" s="26">
        <f t="shared" si="151"/>
        <v>33.8888888888889</v>
      </c>
      <c r="V185" s="26">
        <f t="shared" si="151"/>
        <v>1779.88888888889</v>
      </c>
      <c r="W185" s="26">
        <f t="shared" si="151"/>
        <v>1779.88888888889</v>
      </c>
      <c r="X185" s="26">
        <f t="shared" si="151"/>
        <v>1122.88888888889</v>
      </c>
      <c r="Y185" s="26">
        <f t="shared" si="151"/>
        <v>3357.46888888889</v>
      </c>
      <c r="Z185" s="26">
        <f t="shared" si="151"/>
        <v>3300.88888888889</v>
      </c>
      <c r="AA185" s="26">
        <f t="shared" si="151"/>
        <v>8327.67888888889</v>
      </c>
      <c r="AB185" s="26">
        <f t="shared" si="151"/>
        <v>5066.67888888889</v>
      </c>
      <c r="AC185" s="26">
        <f t="shared" si="151"/>
        <v>3309.4</v>
      </c>
      <c r="AD185" s="26">
        <f t="shared" si="151"/>
        <v>8978.4</v>
      </c>
      <c r="AE185" s="26">
        <f t="shared" si="151"/>
        <v>2844.4</v>
      </c>
      <c r="AF185" s="24">
        <f t="shared" si="137"/>
        <v>0</v>
      </c>
      <c r="AG185" s="24">
        <f t="shared" si="138"/>
        <v>2236.79</v>
      </c>
      <c r="AH185" s="24">
        <f t="shared" si="139"/>
        <v>2280</v>
      </c>
      <c r="AI185" s="24">
        <f t="shared" si="140"/>
        <v>3171</v>
      </c>
      <c r="AJ185" s="24">
        <f t="shared" si="141"/>
        <v>1212</v>
      </c>
      <c r="AK185" s="24">
        <f t="shared" si="142"/>
        <v>5482</v>
      </c>
      <c r="AL185" s="24">
        <f t="shared" si="143"/>
        <v>5549</v>
      </c>
      <c r="AM185" s="24">
        <f t="shared" si="144"/>
        <v>8652</v>
      </c>
      <c r="AN185" s="24">
        <f t="shared" si="145"/>
        <v>1274</v>
      </c>
      <c r="AO185" s="24">
        <f t="shared" si="146"/>
        <v>2524</v>
      </c>
      <c r="AP185" s="24">
        <f t="shared" si="147"/>
        <v>2400</v>
      </c>
    </row>
    <row r="186" spans="1:43">
      <c r="A186" s="22" t="str">
        <f t="shared" ref="A186" si="152">A166</f>
        <v>hydro</v>
      </c>
      <c r="B186" s="26">
        <f t="shared" ref="B186:AE186" si="153">B70</f>
        <v>0</v>
      </c>
      <c r="C186" s="26">
        <f t="shared" si="153"/>
        <v>0</v>
      </c>
      <c r="D186" s="26">
        <f t="shared" si="153"/>
        <v>0</v>
      </c>
      <c r="E186" s="26">
        <f t="shared" si="153"/>
        <v>0</v>
      </c>
      <c r="F186" s="26">
        <f t="shared" si="153"/>
        <v>0</v>
      </c>
      <c r="G186" s="26">
        <f t="shared" si="153"/>
        <v>0</v>
      </c>
      <c r="H186" s="26">
        <f t="shared" si="153"/>
        <v>0</v>
      </c>
      <c r="I186" s="26">
        <f t="shared" si="153"/>
        <v>0</v>
      </c>
      <c r="J186" s="26">
        <f t="shared" si="153"/>
        <v>0</v>
      </c>
      <c r="K186" s="26">
        <f t="shared" si="153"/>
        <v>0</v>
      </c>
      <c r="L186" s="26">
        <f t="shared" si="153"/>
        <v>0</v>
      </c>
      <c r="M186" s="26">
        <f t="shared" si="153"/>
        <v>0</v>
      </c>
      <c r="N186" s="26">
        <f t="shared" si="153"/>
        <v>0</v>
      </c>
      <c r="O186" s="26">
        <f t="shared" si="153"/>
        <v>0</v>
      </c>
      <c r="P186" s="26">
        <f t="shared" si="153"/>
        <v>4229.46900000019</v>
      </c>
      <c r="Q186" s="26">
        <f t="shared" si="153"/>
        <v>14272.65</v>
      </c>
      <c r="R186" s="26">
        <f t="shared" si="153"/>
        <v>13552</v>
      </c>
      <c r="S186" s="26">
        <f t="shared" si="153"/>
        <v>20481.115</v>
      </c>
      <c r="T186" s="26">
        <f t="shared" si="153"/>
        <v>7112.99622222222</v>
      </c>
      <c r="U186" s="26">
        <f t="shared" si="153"/>
        <v>13588.9962222222</v>
      </c>
      <c r="V186" s="26">
        <f t="shared" si="153"/>
        <v>18432.0962222222</v>
      </c>
      <c r="W186" s="26">
        <f t="shared" si="153"/>
        <v>18479.6962222222</v>
      </c>
      <c r="X186" s="26">
        <f t="shared" si="153"/>
        <v>18393.6762222222</v>
      </c>
      <c r="Y186" s="26">
        <f t="shared" si="153"/>
        <v>20252.4962222222</v>
      </c>
      <c r="Z186" s="26">
        <f t="shared" si="153"/>
        <v>31412.4862222222</v>
      </c>
      <c r="AA186" s="26">
        <f t="shared" si="153"/>
        <v>38505.1862222222</v>
      </c>
      <c r="AB186" s="26">
        <f t="shared" si="153"/>
        <v>25657.0962222222</v>
      </c>
      <c r="AC186" s="26">
        <f t="shared" si="153"/>
        <v>21789.48</v>
      </c>
      <c r="AD186" s="26">
        <f t="shared" si="153"/>
        <v>31524.68</v>
      </c>
      <c r="AE186" s="26">
        <f t="shared" si="153"/>
        <v>29842.88</v>
      </c>
      <c r="AF186" s="24">
        <f t="shared" si="137"/>
        <v>11925.1</v>
      </c>
      <c r="AG186" s="24">
        <f t="shared" si="138"/>
        <v>18286.5</v>
      </c>
      <c r="AH186" s="24">
        <f t="shared" si="139"/>
        <v>14920</v>
      </c>
      <c r="AI186" s="24">
        <f t="shared" si="140"/>
        <v>52663</v>
      </c>
      <c r="AJ186" s="24">
        <f t="shared" si="141"/>
        <v>0</v>
      </c>
      <c r="AK186" s="24">
        <f t="shared" si="142"/>
        <v>0</v>
      </c>
      <c r="AL186" s="24">
        <f t="shared" si="143"/>
        <v>0</v>
      </c>
      <c r="AM186" s="24">
        <f t="shared" si="144"/>
        <v>0</v>
      </c>
      <c r="AN186" s="24">
        <f t="shared" si="145"/>
        <v>0</v>
      </c>
      <c r="AO186" s="24">
        <f t="shared" si="146"/>
        <v>0</v>
      </c>
      <c r="AP186" s="24">
        <f t="shared" si="147"/>
        <v>0</v>
      </c>
    </row>
    <row r="187" spans="1:43">
      <c r="A187" s="22" t="str">
        <f t="shared" ref="A187" si="154">A167</f>
        <v>onshore wind</v>
      </c>
      <c r="B187" s="26">
        <f t="shared" ref="B187:AE187" si="155">B71</f>
        <v>0</v>
      </c>
      <c r="C187" s="26">
        <f t="shared" si="155"/>
        <v>0</v>
      </c>
      <c r="D187" s="26">
        <f t="shared" si="155"/>
        <v>0</v>
      </c>
      <c r="E187" s="26">
        <f t="shared" si="155"/>
        <v>0</v>
      </c>
      <c r="F187" s="26">
        <f t="shared" si="155"/>
        <v>0</v>
      </c>
      <c r="G187" s="26">
        <f t="shared" si="155"/>
        <v>0</v>
      </c>
      <c r="H187" s="26">
        <f t="shared" si="155"/>
        <v>0</v>
      </c>
      <c r="I187" s="26">
        <f t="shared" si="155"/>
        <v>0</v>
      </c>
      <c r="J187" s="26">
        <f t="shared" si="155"/>
        <v>0</v>
      </c>
      <c r="K187" s="26">
        <f t="shared" si="155"/>
        <v>0</v>
      </c>
      <c r="L187" s="26">
        <f t="shared" si="155"/>
        <v>0</v>
      </c>
      <c r="M187" s="26">
        <f t="shared" si="155"/>
        <v>0</v>
      </c>
      <c r="N187" s="26">
        <f t="shared" si="155"/>
        <v>0</v>
      </c>
      <c r="O187" s="26">
        <f t="shared" si="155"/>
        <v>0</v>
      </c>
      <c r="P187" s="26">
        <f t="shared" si="155"/>
        <v>0</v>
      </c>
      <c r="Q187" s="26">
        <f t="shared" si="155"/>
        <v>0</v>
      </c>
      <c r="R187" s="26">
        <f t="shared" si="155"/>
        <v>0</v>
      </c>
      <c r="S187" s="26">
        <f t="shared" si="155"/>
        <v>0</v>
      </c>
      <c r="T187" s="26">
        <f t="shared" si="155"/>
        <v>0</v>
      </c>
      <c r="U187" s="26">
        <f t="shared" si="155"/>
        <v>8045.1822222222</v>
      </c>
      <c r="V187" s="26">
        <f t="shared" si="155"/>
        <v>14917.4343055555</v>
      </c>
      <c r="W187" s="26">
        <f t="shared" si="155"/>
        <v>15527.7343055555</v>
      </c>
      <c r="X187" s="26">
        <f t="shared" si="155"/>
        <v>13289.4343055555</v>
      </c>
      <c r="Y187" s="26">
        <f t="shared" si="155"/>
        <v>14566.6009722222</v>
      </c>
      <c r="Z187" s="26">
        <f t="shared" si="155"/>
        <v>20800.0343055555</v>
      </c>
      <c r="AA187" s="26">
        <f t="shared" si="155"/>
        <v>30869.9009722222</v>
      </c>
      <c r="AB187" s="26">
        <f t="shared" si="155"/>
        <v>18998.7009722222</v>
      </c>
      <c r="AC187" s="26">
        <f t="shared" si="155"/>
        <v>17712.2031944444</v>
      </c>
      <c r="AD187" s="26">
        <f t="shared" si="155"/>
        <v>21778.4031944444</v>
      </c>
      <c r="AE187" s="26">
        <f t="shared" si="155"/>
        <v>26230.6031944444</v>
      </c>
      <c r="AF187" s="24">
        <f t="shared" si="137"/>
        <v>69473.5</v>
      </c>
      <c r="AG187" s="24">
        <f t="shared" si="138"/>
        <v>30317.7</v>
      </c>
      <c r="AH187" s="24">
        <f t="shared" si="139"/>
        <v>31882.5</v>
      </c>
      <c r="AI187" s="24">
        <f t="shared" si="140"/>
        <v>69059</v>
      </c>
      <c r="AJ187" s="24">
        <f t="shared" si="141"/>
        <v>0</v>
      </c>
      <c r="AK187" s="24">
        <f t="shared" si="142"/>
        <v>0</v>
      </c>
      <c r="AL187" s="24">
        <f t="shared" si="143"/>
        <v>0</v>
      </c>
      <c r="AM187" s="24">
        <f t="shared" si="144"/>
        <v>0</v>
      </c>
      <c r="AN187" s="24">
        <f t="shared" si="145"/>
        <v>0</v>
      </c>
      <c r="AO187" s="24">
        <f t="shared" si="146"/>
        <v>0</v>
      </c>
      <c r="AP187" s="24">
        <f t="shared" si="147"/>
        <v>0</v>
      </c>
    </row>
    <row r="188" spans="1:43">
      <c r="A188" s="22" t="str">
        <f t="shared" ref="A188" si="156">A168</f>
        <v>solar PV</v>
      </c>
      <c r="B188" s="26">
        <f t="shared" ref="B188:AE188" si="157">B72</f>
        <v>0</v>
      </c>
      <c r="C188" s="26">
        <f t="shared" si="157"/>
        <v>0</v>
      </c>
      <c r="D188" s="26">
        <f t="shared" si="157"/>
        <v>0</v>
      </c>
      <c r="E188" s="26">
        <f t="shared" si="157"/>
        <v>0</v>
      </c>
      <c r="F188" s="26">
        <f t="shared" si="157"/>
        <v>0</v>
      </c>
      <c r="G188" s="26">
        <f t="shared" si="157"/>
        <v>0</v>
      </c>
      <c r="H188" s="26">
        <f t="shared" si="157"/>
        <v>0</v>
      </c>
      <c r="I188" s="26">
        <f t="shared" si="157"/>
        <v>0</v>
      </c>
      <c r="J188" s="26">
        <f t="shared" si="157"/>
        <v>0</v>
      </c>
      <c r="K188" s="26">
        <f t="shared" si="157"/>
        <v>0</v>
      </c>
      <c r="L188" s="26">
        <f t="shared" si="157"/>
        <v>0</v>
      </c>
      <c r="M188" s="26">
        <f t="shared" si="157"/>
        <v>0</v>
      </c>
      <c r="N188" s="26">
        <f t="shared" si="157"/>
        <v>0</v>
      </c>
      <c r="O188" s="26">
        <f t="shared" si="157"/>
        <v>0</v>
      </c>
      <c r="P188" s="26">
        <f t="shared" si="157"/>
        <v>0</v>
      </c>
      <c r="Q188" s="26">
        <f t="shared" si="157"/>
        <v>0</v>
      </c>
      <c r="R188" s="26">
        <f t="shared" si="157"/>
        <v>0</v>
      </c>
      <c r="S188" s="26">
        <f t="shared" si="157"/>
        <v>0</v>
      </c>
      <c r="T188" s="26">
        <f t="shared" si="157"/>
        <v>0</v>
      </c>
      <c r="U188" s="26">
        <f t="shared" si="157"/>
        <v>0</v>
      </c>
      <c r="V188" s="26">
        <f t="shared" si="157"/>
        <v>25.018</v>
      </c>
      <c r="W188" s="26">
        <f t="shared" si="157"/>
        <v>1900.21</v>
      </c>
      <c r="X188" s="26">
        <f t="shared" si="157"/>
        <v>1146.566</v>
      </c>
      <c r="Y188" s="26">
        <f t="shared" si="157"/>
        <v>11545.872</v>
      </c>
      <c r="Z188" s="26">
        <f t="shared" si="157"/>
        <v>8510.334</v>
      </c>
      <c r="AA188" s="26">
        <f t="shared" si="157"/>
        <v>13422</v>
      </c>
      <c r="AB188" s="26">
        <f t="shared" si="157"/>
        <v>30282</v>
      </c>
      <c r="AC188" s="26">
        <f t="shared" si="157"/>
        <v>30597</v>
      </c>
      <c r="AD188" s="26">
        <f t="shared" si="157"/>
        <v>26697</v>
      </c>
      <c r="AE188" s="26">
        <f t="shared" si="157"/>
        <v>17382</v>
      </c>
      <c r="AF188" s="24">
        <f t="shared" si="137"/>
        <v>31108.7</v>
      </c>
      <c r="AG188" s="24">
        <f t="shared" si="138"/>
        <v>25550.7</v>
      </c>
      <c r="AH188" s="24">
        <f t="shared" si="139"/>
        <v>35794.6</v>
      </c>
      <c r="AI188" s="24">
        <f t="shared" si="140"/>
        <v>120057</v>
      </c>
      <c r="AJ188" s="24">
        <f t="shared" si="141"/>
        <v>0</v>
      </c>
      <c r="AK188" s="24">
        <f t="shared" si="142"/>
        <v>0</v>
      </c>
      <c r="AL188" s="24">
        <f t="shared" si="143"/>
        <v>0</v>
      </c>
      <c r="AM188" s="24">
        <f t="shared" si="144"/>
        <v>0</v>
      </c>
      <c r="AN188" s="24">
        <f t="shared" si="145"/>
        <v>0</v>
      </c>
      <c r="AO188" s="24">
        <f t="shared" si="146"/>
        <v>0</v>
      </c>
      <c r="AP188" s="24">
        <f t="shared" si="147"/>
        <v>0</v>
      </c>
    </row>
    <row r="189" spans="1:43">
      <c r="A189" s="22" t="str">
        <f t="shared" ref="A189" si="158">A169</f>
        <v>solar thermal</v>
      </c>
      <c r="B189" s="26">
        <f t="shared" ref="B189:AE189" si="159">B73</f>
        <v>0</v>
      </c>
      <c r="C189" s="26">
        <f t="shared" si="159"/>
        <v>0</v>
      </c>
      <c r="D189" s="26">
        <f t="shared" si="159"/>
        <v>0</v>
      </c>
      <c r="E189" s="26">
        <f t="shared" si="159"/>
        <v>0</v>
      </c>
      <c r="F189" s="26">
        <f t="shared" si="159"/>
        <v>0</v>
      </c>
      <c r="G189" s="26">
        <f t="shared" si="159"/>
        <v>0</v>
      </c>
      <c r="H189" s="26">
        <f t="shared" si="159"/>
        <v>0</v>
      </c>
      <c r="I189" s="26">
        <f t="shared" si="159"/>
        <v>0</v>
      </c>
      <c r="J189" s="26">
        <f t="shared" si="159"/>
        <v>0</v>
      </c>
      <c r="K189" s="26">
        <f t="shared" si="159"/>
        <v>0</v>
      </c>
      <c r="L189" s="26">
        <f t="shared" si="159"/>
        <v>0</v>
      </c>
      <c r="M189" s="26">
        <f t="shared" si="159"/>
        <v>0</v>
      </c>
      <c r="N189" s="26">
        <f t="shared" si="159"/>
        <v>0</v>
      </c>
      <c r="O189" s="26">
        <f t="shared" si="159"/>
        <v>0</v>
      </c>
      <c r="P189" s="26">
        <f t="shared" si="159"/>
        <v>0</v>
      </c>
      <c r="Q189" s="26">
        <f t="shared" si="159"/>
        <v>0</v>
      </c>
      <c r="R189" s="26">
        <f t="shared" si="159"/>
        <v>0</v>
      </c>
      <c r="S189" s="26">
        <f t="shared" si="159"/>
        <v>0</v>
      </c>
      <c r="T189" s="26">
        <f t="shared" si="159"/>
        <v>0</v>
      </c>
      <c r="U189" s="26">
        <f t="shared" si="159"/>
        <v>0</v>
      </c>
      <c r="V189" s="26">
        <f t="shared" si="159"/>
        <v>0</v>
      </c>
      <c r="W189" s="26">
        <f t="shared" si="159"/>
        <v>0</v>
      </c>
      <c r="X189" s="26">
        <f t="shared" si="159"/>
        <v>0</v>
      </c>
      <c r="Y189" s="26">
        <f t="shared" si="159"/>
        <v>0</v>
      </c>
      <c r="Z189" s="26">
        <f t="shared" si="159"/>
        <v>0</v>
      </c>
      <c r="AA189" s="26">
        <f t="shared" si="159"/>
        <v>0</v>
      </c>
      <c r="AB189" s="26">
        <f t="shared" si="159"/>
        <v>0</v>
      </c>
      <c r="AC189" s="26">
        <f t="shared" si="159"/>
        <v>0</v>
      </c>
      <c r="AD189" s="26">
        <f t="shared" si="159"/>
        <v>0</v>
      </c>
      <c r="AE189" s="26">
        <f t="shared" si="159"/>
        <v>0</v>
      </c>
      <c r="AF189" s="24">
        <f t="shared" si="137"/>
        <v>100</v>
      </c>
      <c r="AG189" s="24">
        <f t="shared" si="138"/>
        <v>50</v>
      </c>
      <c r="AH189" s="24">
        <f t="shared" si="139"/>
        <v>150</v>
      </c>
      <c r="AI189" s="24">
        <f t="shared" si="140"/>
        <v>0</v>
      </c>
      <c r="AJ189" s="24">
        <f t="shared" si="141"/>
        <v>2205</v>
      </c>
      <c r="AK189" s="24">
        <f t="shared" si="142"/>
        <v>2205</v>
      </c>
      <c r="AL189" s="24">
        <f t="shared" si="143"/>
        <v>0</v>
      </c>
      <c r="AM189" s="24">
        <f t="shared" si="144"/>
        <v>0</v>
      </c>
      <c r="AN189" s="24">
        <f t="shared" si="145"/>
        <v>0</v>
      </c>
      <c r="AO189" s="24">
        <f t="shared" si="146"/>
        <v>0</v>
      </c>
      <c r="AP189" s="24">
        <f t="shared" si="147"/>
        <v>0</v>
      </c>
    </row>
    <row r="190" spans="1:43">
      <c r="A190" s="22" t="str">
        <f t="shared" ref="A190" si="160">A170</f>
        <v>biomass</v>
      </c>
      <c r="B190" s="26">
        <f t="shared" ref="B190:AE190" si="161">B74</f>
        <v>28.8490909090909</v>
      </c>
      <c r="C190" s="26">
        <f t="shared" si="161"/>
        <v>28.8490909090909</v>
      </c>
      <c r="D190" s="26">
        <f t="shared" si="161"/>
        <v>28.8490909090909</v>
      </c>
      <c r="E190" s="26">
        <f t="shared" si="161"/>
        <v>28.8490909090909</v>
      </c>
      <c r="F190" s="26">
        <f t="shared" si="161"/>
        <v>28.8490909090909</v>
      </c>
      <c r="G190" s="26">
        <f t="shared" si="161"/>
        <v>28.8490909090909</v>
      </c>
      <c r="H190" s="26">
        <f t="shared" si="161"/>
        <v>28.8490909090909</v>
      </c>
      <c r="I190" s="26">
        <f t="shared" si="161"/>
        <v>28.8490909090909</v>
      </c>
      <c r="J190" s="26">
        <f t="shared" si="161"/>
        <v>28.8490909090909</v>
      </c>
      <c r="K190" s="26">
        <f t="shared" si="161"/>
        <v>28.8490909090909</v>
      </c>
      <c r="L190" s="26">
        <f t="shared" si="161"/>
        <v>28.8490909090909</v>
      </c>
      <c r="M190" s="26">
        <f t="shared" si="161"/>
        <v>514.75</v>
      </c>
      <c r="N190" s="26">
        <f t="shared" si="161"/>
        <v>514.75</v>
      </c>
      <c r="O190" s="26">
        <f t="shared" si="161"/>
        <v>514.75</v>
      </c>
      <c r="P190" s="26">
        <f t="shared" si="161"/>
        <v>514.75</v>
      </c>
      <c r="Q190" s="26">
        <f t="shared" si="161"/>
        <v>514.75</v>
      </c>
      <c r="R190" s="26">
        <f t="shared" si="161"/>
        <v>514.75</v>
      </c>
      <c r="S190" s="26">
        <f t="shared" si="161"/>
        <v>514.75</v>
      </c>
      <c r="T190" s="26">
        <f t="shared" si="161"/>
        <v>514.75</v>
      </c>
      <c r="U190" s="26">
        <f t="shared" si="161"/>
        <v>232.5</v>
      </c>
      <c r="V190" s="26">
        <f t="shared" si="161"/>
        <v>433</v>
      </c>
      <c r="W190" s="26">
        <f t="shared" si="161"/>
        <v>654</v>
      </c>
      <c r="X190" s="26">
        <f t="shared" si="161"/>
        <v>786.8</v>
      </c>
      <c r="Y190" s="26">
        <f t="shared" si="161"/>
        <v>574.8</v>
      </c>
      <c r="Z190" s="26">
        <f t="shared" si="161"/>
        <v>705.2</v>
      </c>
      <c r="AA190" s="26">
        <f t="shared" si="161"/>
        <v>474</v>
      </c>
      <c r="AB190" s="26">
        <f t="shared" si="161"/>
        <v>633.5</v>
      </c>
      <c r="AC190" s="26">
        <f t="shared" si="161"/>
        <v>810</v>
      </c>
      <c r="AD190" s="26">
        <f t="shared" si="161"/>
        <v>952.6</v>
      </c>
      <c r="AE190" s="26">
        <f t="shared" si="161"/>
        <v>1190.26</v>
      </c>
      <c r="AF190" s="24">
        <f t="shared" si="137"/>
        <v>2230.5</v>
      </c>
      <c r="AG190" s="24">
        <f t="shared" si="138"/>
        <v>2251.4</v>
      </c>
      <c r="AH190" s="24">
        <f t="shared" si="139"/>
        <v>1137</v>
      </c>
      <c r="AI190" s="24">
        <f t="shared" si="140"/>
        <v>1170</v>
      </c>
      <c r="AJ190" s="24">
        <f t="shared" si="141"/>
        <v>0</v>
      </c>
      <c r="AK190" s="24">
        <f t="shared" si="142"/>
        <v>0</v>
      </c>
      <c r="AL190" s="24">
        <f t="shared" si="143"/>
        <v>0</v>
      </c>
      <c r="AM190" s="24">
        <f t="shared" si="144"/>
        <v>0</v>
      </c>
      <c r="AN190" s="24">
        <f t="shared" si="145"/>
        <v>0</v>
      </c>
      <c r="AO190" s="24">
        <f t="shared" si="146"/>
        <v>0</v>
      </c>
      <c r="AP190" s="24">
        <f t="shared" si="147"/>
        <v>0</v>
      </c>
    </row>
    <row r="191" spans="1:43">
      <c r="A191" s="22" t="str">
        <f t="shared" ref="A191" si="162">A171</f>
        <v>geothermal</v>
      </c>
      <c r="B191" s="26">
        <f t="shared" ref="B191:AE191" si="163">B75</f>
        <v>47.9345454545455</v>
      </c>
      <c r="C191" s="26">
        <f t="shared" si="163"/>
        <v>47.9345454545455</v>
      </c>
      <c r="D191" s="26">
        <f t="shared" si="163"/>
        <v>47.9345454545455</v>
      </c>
      <c r="E191" s="26">
        <f t="shared" si="163"/>
        <v>47.9345454545455</v>
      </c>
      <c r="F191" s="26">
        <f t="shared" si="163"/>
        <v>47.9345454545455</v>
      </c>
      <c r="G191" s="26">
        <f t="shared" si="163"/>
        <v>47.9345454545455</v>
      </c>
      <c r="H191" s="26">
        <f t="shared" si="163"/>
        <v>47.9345454545455</v>
      </c>
      <c r="I191" s="26">
        <f t="shared" si="163"/>
        <v>47.9345454545455</v>
      </c>
      <c r="J191" s="26">
        <f t="shared" si="163"/>
        <v>47.9345454545455</v>
      </c>
      <c r="K191" s="26">
        <f t="shared" si="163"/>
        <v>47.9345454545455</v>
      </c>
      <c r="L191" s="26">
        <f t="shared" si="163"/>
        <v>47.9345454545455</v>
      </c>
      <c r="M191" s="26">
        <f t="shared" si="163"/>
        <v>0</v>
      </c>
      <c r="N191" s="26">
        <f t="shared" si="163"/>
        <v>0</v>
      </c>
      <c r="O191" s="26">
        <f t="shared" si="163"/>
        <v>0</v>
      </c>
      <c r="P191" s="26">
        <f t="shared" si="163"/>
        <v>0</v>
      </c>
      <c r="Q191" s="26">
        <f t="shared" si="163"/>
        <v>0</v>
      </c>
      <c r="R191" s="26">
        <f t="shared" si="163"/>
        <v>0</v>
      </c>
      <c r="S191" s="26">
        <f t="shared" si="163"/>
        <v>0</v>
      </c>
      <c r="T191" s="26">
        <f t="shared" si="163"/>
        <v>0</v>
      </c>
      <c r="U191" s="26">
        <f t="shared" si="163"/>
        <v>0</v>
      </c>
      <c r="V191" s="26">
        <f t="shared" si="163"/>
        <v>0</v>
      </c>
      <c r="W191" s="26">
        <f t="shared" si="163"/>
        <v>0</v>
      </c>
      <c r="X191" s="26">
        <f t="shared" si="163"/>
        <v>0</v>
      </c>
      <c r="Y191" s="26">
        <f t="shared" si="163"/>
        <v>0</v>
      </c>
      <c r="Z191" s="26">
        <f t="shared" si="163"/>
        <v>0</v>
      </c>
      <c r="AA191" s="26">
        <f t="shared" si="163"/>
        <v>0</v>
      </c>
      <c r="AB191" s="26">
        <f t="shared" si="163"/>
        <v>0</v>
      </c>
      <c r="AC191" s="26">
        <f t="shared" si="163"/>
        <v>0</v>
      </c>
      <c r="AD191" s="26">
        <f t="shared" si="163"/>
        <v>0</v>
      </c>
      <c r="AE191" s="26">
        <f t="shared" si="163"/>
        <v>0</v>
      </c>
      <c r="AF191" s="24">
        <f t="shared" si="137"/>
        <v>0</v>
      </c>
      <c r="AG191" s="24">
        <f t="shared" si="138"/>
        <v>0</v>
      </c>
      <c r="AH191" s="24">
        <f t="shared" si="139"/>
        <v>0</v>
      </c>
      <c r="AI191" s="24">
        <f t="shared" si="140"/>
        <v>0</v>
      </c>
      <c r="AJ191" s="24">
        <f t="shared" si="141"/>
        <v>0</v>
      </c>
      <c r="AK191" s="24">
        <f t="shared" si="142"/>
        <v>0</v>
      </c>
      <c r="AL191" s="24">
        <f t="shared" si="143"/>
        <v>0</v>
      </c>
      <c r="AM191" s="24">
        <f t="shared" si="144"/>
        <v>0</v>
      </c>
      <c r="AN191" s="24">
        <f t="shared" si="145"/>
        <v>0</v>
      </c>
      <c r="AO191" s="24">
        <f t="shared" si="146"/>
        <v>0</v>
      </c>
      <c r="AP191" s="24">
        <f t="shared" si="147"/>
        <v>0</v>
      </c>
    </row>
    <row r="192" spans="1:43">
      <c r="A192" s="22" t="str">
        <f t="shared" ref="A192" si="164">A172</f>
        <v>petroleum</v>
      </c>
      <c r="B192" s="26">
        <f t="shared" ref="B192:AE192" si="165">B76</f>
        <v>0</v>
      </c>
      <c r="C192" s="26">
        <f t="shared" si="165"/>
        <v>16.8984285442646</v>
      </c>
      <c r="D192" s="26">
        <f t="shared" si="165"/>
        <v>27.8333765698711</v>
      </c>
      <c r="E192" s="26">
        <f t="shared" si="165"/>
        <v>27.8333765698711</v>
      </c>
      <c r="F192" s="26">
        <f t="shared" si="165"/>
        <v>27.8333765698711</v>
      </c>
      <c r="G192" s="26">
        <f t="shared" si="165"/>
        <v>27.8333765698711</v>
      </c>
      <c r="H192" s="26">
        <f t="shared" si="165"/>
        <v>27.8333765698711</v>
      </c>
      <c r="I192" s="26">
        <f t="shared" si="165"/>
        <v>27.8333765698711</v>
      </c>
      <c r="J192" s="26">
        <f t="shared" si="165"/>
        <v>27.8333765698711</v>
      </c>
      <c r="K192" s="26">
        <f t="shared" si="165"/>
        <v>27.8333765698711</v>
      </c>
      <c r="L192" s="26">
        <f t="shared" si="165"/>
        <v>27.8333765698711</v>
      </c>
      <c r="M192" s="26">
        <f t="shared" si="165"/>
        <v>27.8333765698711</v>
      </c>
      <c r="N192" s="26">
        <f t="shared" si="165"/>
        <v>10.0432765599109</v>
      </c>
      <c r="O192" s="26">
        <f t="shared" si="165"/>
        <v>7.83120156828656</v>
      </c>
      <c r="P192" s="26">
        <f t="shared" si="165"/>
        <v>7.83120156828656</v>
      </c>
      <c r="Q192" s="26">
        <f t="shared" si="165"/>
        <v>15.1971832414274</v>
      </c>
      <c r="R192" s="26">
        <f t="shared" si="165"/>
        <v>7.83120156828656</v>
      </c>
      <c r="S192" s="26">
        <f t="shared" si="165"/>
        <v>7.83120156828656</v>
      </c>
      <c r="T192" s="26">
        <f t="shared" si="165"/>
        <v>23.7946293428951</v>
      </c>
      <c r="U192" s="26">
        <f t="shared" si="165"/>
        <v>7.83120156828656</v>
      </c>
      <c r="V192" s="26">
        <f t="shared" si="165"/>
        <v>7.83120156828656</v>
      </c>
      <c r="W192" s="26">
        <f t="shared" si="165"/>
        <v>7.83120156828658</v>
      </c>
      <c r="X192" s="26">
        <f t="shared" si="165"/>
        <v>0</v>
      </c>
      <c r="Y192" s="26">
        <f t="shared" si="165"/>
        <v>0</v>
      </c>
      <c r="Z192" s="26">
        <f t="shared" si="165"/>
        <v>0</v>
      </c>
      <c r="AA192" s="26">
        <f t="shared" si="165"/>
        <v>0</v>
      </c>
      <c r="AB192" s="26">
        <f t="shared" si="165"/>
        <v>0</v>
      </c>
      <c r="AC192" s="26">
        <f t="shared" si="165"/>
        <v>0</v>
      </c>
      <c r="AD192" s="26">
        <f t="shared" si="165"/>
        <v>0</v>
      </c>
      <c r="AE192" s="26">
        <f t="shared" si="165"/>
        <v>0</v>
      </c>
      <c r="AF192" s="24">
        <f t="shared" si="137"/>
        <v>0</v>
      </c>
      <c r="AG192" s="24">
        <f t="shared" si="138"/>
        <v>0</v>
      </c>
      <c r="AH192" s="24">
        <f t="shared" si="139"/>
        <v>0</v>
      </c>
      <c r="AI192" s="24">
        <f t="shared" si="140"/>
        <v>0</v>
      </c>
      <c r="AJ192" s="24">
        <f t="shared" si="141"/>
        <v>0</v>
      </c>
      <c r="AK192" s="24">
        <f t="shared" si="142"/>
        <v>0</v>
      </c>
      <c r="AL192" s="24">
        <f t="shared" si="143"/>
        <v>0</v>
      </c>
      <c r="AM192" s="24">
        <f t="shared" si="144"/>
        <v>0</v>
      </c>
      <c r="AN192" s="24">
        <f t="shared" si="145"/>
        <v>0</v>
      </c>
      <c r="AO192" s="24">
        <f t="shared" si="146"/>
        <v>0</v>
      </c>
      <c r="AP192" s="24">
        <f t="shared" si="147"/>
        <v>0</v>
      </c>
    </row>
    <row r="193" spans="1:44">
      <c r="A193" s="22" t="str">
        <f t="shared" ref="A193" si="166">A173</f>
        <v>natural gas peaker</v>
      </c>
      <c r="B193" s="26">
        <f t="shared" ref="B193:AE193" si="167">B77</f>
        <v>0</v>
      </c>
      <c r="C193" s="26">
        <f t="shared" si="167"/>
        <v>0</v>
      </c>
      <c r="D193" s="26">
        <f t="shared" si="167"/>
        <v>0</v>
      </c>
      <c r="E193" s="26">
        <f t="shared" si="167"/>
        <v>0</v>
      </c>
      <c r="F193" s="26">
        <f t="shared" si="167"/>
        <v>0</v>
      </c>
      <c r="G193" s="26">
        <f t="shared" si="167"/>
        <v>0</v>
      </c>
      <c r="H193" s="26">
        <f t="shared" si="167"/>
        <v>0</v>
      </c>
      <c r="I193" s="26">
        <f t="shared" si="167"/>
        <v>0</v>
      </c>
      <c r="J193" s="26">
        <f t="shared" si="167"/>
        <v>0</v>
      </c>
      <c r="K193" s="26">
        <f t="shared" si="167"/>
        <v>0</v>
      </c>
      <c r="L193" s="26">
        <f t="shared" si="167"/>
        <v>32.6159999999987</v>
      </c>
      <c r="M193" s="26">
        <f t="shared" si="167"/>
        <v>107.34</v>
      </c>
      <c r="N193" s="26">
        <f t="shared" si="167"/>
        <v>116.34</v>
      </c>
      <c r="O193" s="26">
        <f t="shared" si="167"/>
        <v>120.9</v>
      </c>
      <c r="P193" s="26">
        <f t="shared" si="167"/>
        <v>0</v>
      </c>
      <c r="Q193" s="26">
        <f t="shared" si="167"/>
        <v>889.71</v>
      </c>
      <c r="R193" s="26">
        <f t="shared" si="167"/>
        <v>1341.51</v>
      </c>
      <c r="S193" s="26">
        <f t="shared" si="167"/>
        <v>1222.887</v>
      </c>
      <c r="T193" s="26">
        <f t="shared" si="167"/>
        <v>424.533</v>
      </c>
      <c r="U193" s="26">
        <f t="shared" si="167"/>
        <v>1109.88</v>
      </c>
      <c r="V193" s="26">
        <f t="shared" si="167"/>
        <v>883.2876</v>
      </c>
      <c r="W193" s="26">
        <f t="shared" si="167"/>
        <v>709.0476</v>
      </c>
      <c r="X193" s="26">
        <f t="shared" si="167"/>
        <v>956.4276</v>
      </c>
      <c r="Y193" s="26">
        <f t="shared" si="167"/>
        <v>2128.1676</v>
      </c>
      <c r="Z193" s="26">
        <f t="shared" si="167"/>
        <v>3905.8776</v>
      </c>
      <c r="AA193" s="26">
        <f t="shared" si="167"/>
        <v>3674.1576</v>
      </c>
      <c r="AB193" s="26">
        <f t="shared" si="167"/>
        <v>2238.0876</v>
      </c>
      <c r="AC193" s="26">
        <f t="shared" si="167"/>
        <v>2053.7556</v>
      </c>
      <c r="AD193" s="26">
        <f t="shared" si="167"/>
        <v>2990.5056</v>
      </c>
      <c r="AE193" s="26">
        <f t="shared" si="167"/>
        <v>2099.4456</v>
      </c>
      <c r="AF193" s="24">
        <f t="shared" si="137"/>
        <v>8228.4</v>
      </c>
      <c r="AG193" s="24">
        <f t="shared" si="138"/>
        <v>6260.3</v>
      </c>
      <c r="AH193" s="24">
        <f t="shared" si="139"/>
        <v>11202</v>
      </c>
      <c r="AI193" s="24">
        <f t="shared" si="140"/>
        <v>11232</v>
      </c>
      <c r="AJ193" s="24">
        <f t="shared" si="141"/>
        <v>24967</v>
      </c>
      <c r="AK193" s="24">
        <f t="shared" si="142"/>
        <v>20447</v>
      </c>
      <c r="AL193" s="24">
        <f t="shared" si="143"/>
        <v>9122</v>
      </c>
      <c r="AM193" s="24">
        <f t="shared" si="144"/>
        <v>6010</v>
      </c>
      <c r="AN193" s="24">
        <f t="shared" si="145"/>
        <v>1590</v>
      </c>
      <c r="AO193" s="24">
        <f t="shared" si="146"/>
        <v>1470</v>
      </c>
      <c r="AP193" s="24">
        <f t="shared" si="147"/>
        <v>1790</v>
      </c>
    </row>
    <row r="194" spans="1:44">
      <c r="A194" s="22" t="str">
        <f t="shared" ref="A194:A195" si="168">A174</f>
        <v>lignite</v>
      </c>
      <c r="B194" s="26">
        <f t="shared" ref="B194:AE194" si="169">B78</f>
        <v>1882.32727272727</v>
      </c>
      <c r="C194" s="26">
        <f t="shared" si="169"/>
        <v>1882.32727272727</v>
      </c>
      <c r="D194" s="26">
        <f t="shared" si="169"/>
        <v>1882.32727272727</v>
      </c>
      <c r="E194" s="26">
        <f t="shared" si="169"/>
        <v>1882.32727272727</v>
      </c>
      <c r="F194" s="26">
        <f t="shared" si="169"/>
        <v>1882.32727272727</v>
      </c>
      <c r="G194" s="26">
        <f t="shared" si="169"/>
        <v>1882.32727272727</v>
      </c>
      <c r="H194" s="26">
        <f t="shared" si="169"/>
        <v>1882.32727272727</v>
      </c>
      <c r="I194" s="26">
        <f t="shared" si="169"/>
        <v>1882.32727272727</v>
      </c>
      <c r="J194" s="26">
        <f t="shared" si="169"/>
        <v>1882.32727272727</v>
      </c>
      <c r="K194" s="26">
        <f t="shared" si="169"/>
        <v>1882.32727272727</v>
      </c>
      <c r="L194" s="26">
        <f t="shared" si="169"/>
        <v>1882.32727272727</v>
      </c>
      <c r="M194" s="26">
        <f t="shared" si="169"/>
        <v>648.5</v>
      </c>
      <c r="N194" s="26">
        <f t="shared" si="169"/>
        <v>648.5</v>
      </c>
      <c r="O194" s="26">
        <f t="shared" si="169"/>
        <v>648.5</v>
      </c>
      <c r="P194" s="26">
        <f t="shared" si="169"/>
        <v>648.5</v>
      </c>
      <c r="Q194" s="26">
        <f t="shared" si="169"/>
        <v>648.5</v>
      </c>
      <c r="R194" s="26">
        <f t="shared" si="169"/>
        <v>648.5</v>
      </c>
      <c r="S194" s="26">
        <f t="shared" si="169"/>
        <v>648.5</v>
      </c>
      <c r="T194" s="26">
        <f t="shared" si="169"/>
        <v>648.5</v>
      </c>
      <c r="U194" s="26">
        <f t="shared" si="169"/>
        <v>1550</v>
      </c>
      <c r="V194" s="26">
        <f t="shared" si="169"/>
        <v>1901.4</v>
      </c>
      <c r="W194" s="26">
        <f t="shared" si="169"/>
        <v>1230</v>
      </c>
      <c r="X194" s="26">
        <f t="shared" si="169"/>
        <v>1560</v>
      </c>
      <c r="Y194" s="26">
        <f t="shared" si="169"/>
        <v>606</v>
      </c>
      <c r="Z194" s="26">
        <f t="shared" si="169"/>
        <v>300</v>
      </c>
      <c r="AA194" s="26">
        <f t="shared" si="169"/>
        <v>0</v>
      </c>
      <c r="AB194" s="26">
        <f t="shared" si="169"/>
        <v>318</v>
      </c>
      <c r="AC194" s="26">
        <f t="shared" si="169"/>
        <v>2</v>
      </c>
      <c r="AD194" s="26">
        <f t="shared" si="169"/>
        <v>0</v>
      </c>
      <c r="AE194" s="26">
        <f t="shared" si="169"/>
        <v>1400</v>
      </c>
      <c r="AF194" s="24">
        <f t="shared" si="137"/>
        <v>1688</v>
      </c>
      <c r="AG194" s="24">
        <f t="shared" si="138"/>
        <v>0</v>
      </c>
      <c r="AH194" s="24">
        <f t="shared" si="139"/>
        <v>0</v>
      </c>
      <c r="AI194" s="24">
        <f t="shared" si="140"/>
        <v>0</v>
      </c>
      <c r="AJ194" s="24">
        <f t="shared" si="141"/>
        <v>0</v>
      </c>
      <c r="AK194" s="24">
        <f t="shared" si="142"/>
        <v>0</v>
      </c>
      <c r="AL194" s="24">
        <f t="shared" si="143"/>
        <v>0</v>
      </c>
      <c r="AM194" s="24">
        <f t="shared" si="144"/>
        <v>0</v>
      </c>
      <c r="AN194" s="24">
        <f t="shared" si="145"/>
        <v>0</v>
      </c>
      <c r="AO194" s="24">
        <f t="shared" si="146"/>
        <v>0</v>
      </c>
      <c r="AP194" s="24">
        <f t="shared" si="147"/>
        <v>0</v>
      </c>
    </row>
    <row r="195" spans="1:44">
      <c r="A195" s="22" t="str">
        <f t="shared" si="168"/>
        <v>offshore wind</v>
      </c>
      <c r="B195" s="26">
        <f t="shared" ref="B195:AE195" si="170">B79</f>
        <v>0</v>
      </c>
      <c r="C195" s="26">
        <f t="shared" si="170"/>
        <v>0</v>
      </c>
      <c r="D195" s="26">
        <f t="shared" si="170"/>
        <v>0</v>
      </c>
      <c r="E195" s="26">
        <f t="shared" si="170"/>
        <v>0</v>
      </c>
      <c r="F195" s="26">
        <f t="shared" si="170"/>
        <v>0</v>
      </c>
      <c r="G195" s="26">
        <f t="shared" si="170"/>
        <v>0</v>
      </c>
      <c r="H195" s="26">
        <f t="shared" si="170"/>
        <v>0</v>
      </c>
      <c r="I195" s="26">
        <f t="shared" si="170"/>
        <v>0</v>
      </c>
      <c r="J195" s="26">
        <f t="shared" si="170"/>
        <v>0</v>
      </c>
      <c r="K195" s="26">
        <f t="shared" si="170"/>
        <v>0</v>
      </c>
      <c r="L195" s="26">
        <f t="shared" si="170"/>
        <v>0</v>
      </c>
      <c r="M195" s="26">
        <f t="shared" si="170"/>
        <v>0</v>
      </c>
      <c r="N195" s="26">
        <f t="shared" si="170"/>
        <v>0</v>
      </c>
      <c r="O195" s="26">
        <f t="shared" si="170"/>
        <v>0</v>
      </c>
      <c r="P195" s="26">
        <f t="shared" si="170"/>
        <v>0</v>
      </c>
      <c r="Q195" s="26">
        <f t="shared" si="170"/>
        <v>0</v>
      </c>
      <c r="R195" s="26">
        <f t="shared" si="170"/>
        <v>0</v>
      </c>
      <c r="S195" s="26">
        <f t="shared" si="170"/>
        <v>0</v>
      </c>
      <c r="T195" s="26">
        <f t="shared" si="170"/>
        <v>0</v>
      </c>
      <c r="U195" s="26">
        <f t="shared" si="170"/>
        <v>344</v>
      </c>
      <c r="V195" s="26">
        <f t="shared" si="170"/>
        <v>12.1818181818182</v>
      </c>
      <c r="W195" s="26">
        <f t="shared" si="170"/>
        <v>114.181818181818</v>
      </c>
      <c r="X195" s="26">
        <f t="shared" si="170"/>
        <v>24.1818181818182</v>
      </c>
      <c r="Y195" s="26">
        <f t="shared" si="170"/>
        <v>816.181818181818</v>
      </c>
      <c r="Z195" s="26">
        <f t="shared" si="170"/>
        <v>615.181818181818</v>
      </c>
      <c r="AA195" s="26">
        <f t="shared" si="170"/>
        <v>989.181818181818</v>
      </c>
      <c r="AB195" s="26">
        <f t="shared" si="170"/>
        <v>2367.18181818182</v>
      </c>
      <c r="AC195" s="26">
        <f t="shared" si="170"/>
        <v>12.1818181818182</v>
      </c>
      <c r="AD195" s="26">
        <f t="shared" si="170"/>
        <v>12.1818181818182</v>
      </c>
      <c r="AE195" s="26">
        <f t="shared" si="170"/>
        <v>12.1818181818182</v>
      </c>
      <c r="AF195" s="24">
        <f t="shared" si="137"/>
        <v>2643</v>
      </c>
      <c r="AG195" s="24">
        <f t="shared" si="138"/>
        <v>17021.5</v>
      </c>
      <c r="AH195" s="24">
        <f t="shared" si="139"/>
        <v>6727.5</v>
      </c>
      <c r="AI195" s="24">
        <f t="shared" si="140"/>
        <v>6170</v>
      </c>
      <c r="AJ195" s="24">
        <f t="shared" si="141"/>
        <v>12975</v>
      </c>
      <c r="AK195" s="24">
        <f t="shared" si="142"/>
        <v>6505</v>
      </c>
      <c r="AL195" s="24">
        <f t="shared" si="143"/>
        <v>3600</v>
      </c>
      <c r="AM195" s="24">
        <f t="shared" si="144"/>
        <v>800</v>
      </c>
      <c r="AN195" s="24">
        <f t="shared" si="145"/>
        <v>1000</v>
      </c>
      <c r="AO195" s="24">
        <f t="shared" si="146"/>
        <v>0</v>
      </c>
      <c r="AP195" s="24">
        <f t="shared" si="147"/>
        <v>0</v>
      </c>
    </row>
    <row r="196" spans="1:44">
      <c r="A196" s="22" t="str">
        <f t="shared" ref="A196" si="171">A176</f>
        <v>crude oil</v>
      </c>
      <c r="B196" s="26">
        <f t="shared" ref="B196:AE196" si="172">B80</f>
        <v>0</v>
      </c>
      <c r="C196" s="26">
        <f t="shared" si="172"/>
        <v>3.85532828077042</v>
      </c>
      <c r="D196" s="26">
        <f t="shared" si="172"/>
        <v>6.3501054880975</v>
      </c>
      <c r="E196" s="26">
        <f t="shared" si="172"/>
        <v>6.3501054880975</v>
      </c>
      <c r="F196" s="26">
        <f t="shared" si="172"/>
        <v>6.3501054880975</v>
      </c>
      <c r="G196" s="26">
        <f t="shared" si="172"/>
        <v>6.3501054880975</v>
      </c>
      <c r="H196" s="26">
        <f t="shared" si="172"/>
        <v>6.3501054880975</v>
      </c>
      <c r="I196" s="26">
        <f t="shared" si="172"/>
        <v>6.3501054880975</v>
      </c>
      <c r="J196" s="26">
        <f t="shared" si="172"/>
        <v>6.3501054880975</v>
      </c>
      <c r="K196" s="26">
        <f t="shared" si="172"/>
        <v>6.3501054880975</v>
      </c>
      <c r="L196" s="26">
        <f t="shared" si="172"/>
        <v>6.3501054880975</v>
      </c>
      <c r="M196" s="26">
        <f t="shared" si="172"/>
        <v>6.3501054880975</v>
      </c>
      <c r="N196" s="26">
        <f t="shared" si="172"/>
        <v>2.29134490533235</v>
      </c>
      <c r="O196" s="26">
        <f t="shared" si="172"/>
        <v>1.78666630447577</v>
      </c>
      <c r="P196" s="26">
        <f t="shared" si="172"/>
        <v>1.78666630447577</v>
      </c>
      <c r="Q196" s="26">
        <f t="shared" si="172"/>
        <v>3.46719401660645</v>
      </c>
      <c r="R196" s="26">
        <f t="shared" si="172"/>
        <v>1.78666630447577</v>
      </c>
      <c r="S196" s="26">
        <f t="shared" si="172"/>
        <v>1.78666630447577</v>
      </c>
      <c r="T196" s="26">
        <f t="shared" si="172"/>
        <v>5.4286768261212</v>
      </c>
      <c r="U196" s="26">
        <f t="shared" si="172"/>
        <v>1.78666630447577</v>
      </c>
      <c r="V196" s="26">
        <f t="shared" si="172"/>
        <v>1.78666630447577</v>
      </c>
      <c r="W196" s="26">
        <f t="shared" si="172"/>
        <v>1.78666630447578</v>
      </c>
      <c r="X196" s="26">
        <f t="shared" si="172"/>
        <v>0</v>
      </c>
      <c r="Y196" s="26">
        <f t="shared" si="172"/>
        <v>0</v>
      </c>
      <c r="Z196" s="26">
        <f t="shared" si="172"/>
        <v>0</v>
      </c>
      <c r="AA196" s="26">
        <f t="shared" si="172"/>
        <v>0</v>
      </c>
      <c r="AB196" s="26">
        <f t="shared" si="172"/>
        <v>0</v>
      </c>
      <c r="AC196" s="26">
        <f t="shared" si="172"/>
        <v>0</v>
      </c>
      <c r="AD196" s="26">
        <f t="shared" si="172"/>
        <v>0</v>
      </c>
      <c r="AE196" s="26">
        <f t="shared" si="172"/>
        <v>0</v>
      </c>
      <c r="AF196" s="24">
        <f t="shared" si="137"/>
        <v>18286.5</v>
      </c>
      <c r="AG196" s="24">
        <f t="shared" si="138"/>
        <v>14920</v>
      </c>
      <c r="AH196" s="24">
        <f t="shared" si="139"/>
        <v>0</v>
      </c>
      <c r="AI196" s="24">
        <f t="shared" si="140"/>
        <v>0</v>
      </c>
      <c r="AJ196" s="24">
        <f t="shared" si="141"/>
        <v>0</v>
      </c>
      <c r="AK196" s="24">
        <f t="shared" si="142"/>
        <v>0</v>
      </c>
      <c r="AL196" s="24">
        <f t="shared" si="143"/>
        <v>0</v>
      </c>
      <c r="AM196" s="24">
        <f t="shared" si="144"/>
        <v>0</v>
      </c>
      <c r="AN196" s="24">
        <f t="shared" si="145"/>
        <v>0</v>
      </c>
      <c r="AO196" s="24">
        <f t="shared" si="146"/>
        <v>0</v>
      </c>
      <c r="AP196" s="24">
        <f t="shared" si="147"/>
        <v>0</v>
      </c>
    </row>
    <row r="197" spans="1:44">
      <c r="A197" s="22" t="str">
        <f t="shared" ref="A197:A198" si="173">A177</f>
        <v>heavy or residual fuel oil</v>
      </c>
      <c r="B197" s="26">
        <f t="shared" ref="B197:AE197" si="174">B81</f>
        <v>0</v>
      </c>
      <c r="C197" s="26">
        <f t="shared" si="174"/>
        <v>53.3462431749658</v>
      </c>
      <c r="D197" s="26">
        <f t="shared" si="174"/>
        <v>87.8665179420314</v>
      </c>
      <c r="E197" s="26">
        <f t="shared" si="174"/>
        <v>87.8665179420314</v>
      </c>
      <c r="F197" s="26">
        <f t="shared" si="174"/>
        <v>87.8665179420314</v>
      </c>
      <c r="G197" s="26">
        <f t="shared" si="174"/>
        <v>87.8665179420314</v>
      </c>
      <c r="H197" s="26">
        <f t="shared" si="174"/>
        <v>87.8665179420314</v>
      </c>
      <c r="I197" s="26">
        <f t="shared" si="174"/>
        <v>87.8665179420314</v>
      </c>
      <c r="J197" s="26">
        <f t="shared" si="174"/>
        <v>87.8665179420314</v>
      </c>
      <c r="K197" s="26">
        <f t="shared" si="174"/>
        <v>87.8665179420314</v>
      </c>
      <c r="L197" s="26">
        <f t="shared" si="174"/>
        <v>87.8665179420314</v>
      </c>
      <c r="M197" s="26">
        <f t="shared" si="174"/>
        <v>87.8665179420314</v>
      </c>
      <c r="N197" s="26">
        <f t="shared" si="174"/>
        <v>31.7053785347568</v>
      </c>
      <c r="O197" s="26">
        <f t="shared" si="174"/>
        <v>24.7221321272377</v>
      </c>
      <c r="P197" s="26">
        <f t="shared" si="174"/>
        <v>24.7221321272377</v>
      </c>
      <c r="Q197" s="26">
        <f t="shared" si="174"/>
        <v>47.9756227419662</v>
      </c>
      <c r="R197" s="26">
        <f t="shared" si="174"/>
        <v>24.7221321272377</v>
      </c>
      <c r="S197" s="26">
        <f t="shared" si="174"/>
        <v>24.7221321272377</v>
      </c>
      <c r="T197" s="26">
        <f t="shared" si="174"/>
        <v>75.1166938309836</v>
      </c>
      <c r="U197" s="26">
        <f t="shared" si="174"/>
        <v>24.7221321272377</v>
      </c>
      <c r="V197" s="26">
        <f t="shared" si="174"/>
        <v>24.7221321272377</v>
      </c>
      <c r="W197" s="26">
        <f t="shared" si="174"/>
        <v>24.7221321272377</v>
      </c>
      <c r="X197" s="26">
        <f t="shared" si="174"/>
        <v>0</v>
      </c>
      <c r="Y197" s="26">
        <f t="shared" si="174"/>
        <v>0</v>
      </c>
      <c r="Z197" s="26">
        <f t="shared" si="174"/>
        <v>0</v>
      </c>
      <c r="AA197" s="26">
        <f t="shared" si="174"/>
        <v>0</v>
      </c>
      <c r="AB197" s="26">
        <f t="shared" si="174"/>
        <v>0</v>
      </c>
      <c r="AC197" s="26">
        <f t="shared" si="174"/>
        <v>0</v>
      </c>
      <c r="AD197" s="26">
        <f t="shared" si="174"/>
        <v>0</v>
      </c>
      <c r="AE197" s="26">
        <f t="shared" si="174"/>
        <v>0</v>
      </c>
      <c r="AF197" s="24">
        <f t="shared" si="137"/>
        <v>0</v>
      </c>
      <c r="AG197" s="24">
        <f t="shared" si="138"/>
        <v>0</v>
      </c>
      <c r="AH197" s="24">
        <f t="shared" si="139"/>
        <v>0</v>
      </c>
      <c r="AI197" s="24">
        <f t="shared" si="140"/>
        <v>0</v>
      </c>
      <c r="AJ197" s="24">
        <f t="shared" si="141"/>
        <v>0</v>
      </c>
      <c r="AK197" s="24">
        <f t="shared" si="142"/>
        <v>0</v>
      </c>
      <c r="AL197" s="24">
        <f t="shared" si="143"/>
        <v>0</v>
      </c>
      <c r="AM197" s="24">
        <f t="shared" si="144"/>
        <v>0</v>
      </c>
      <c r="AN197" s="24">
        <f t="shared" si="145"/>
        <v>0</v>
      </c>
      <c r="AO197" s="24">
        <f t="shared" si="146"/>
        <v>0</v>
      </c>
      <c r="AP197" s="24">
        <f t="shared" si="147"/>
        <v>0</v>
      </c>
    </row>
    <row r="198" spans="1:44">
      <c r="A198" s="22" t="str">
        <f t="shared" si="173"/>
        <v>municipal solid waste</v>
      </c>
      <c r="B198" s="26">
        <f t="shared" ref="B198:AE198" si="175">B82</f>
        <v>15.1</v>
      </c>
      <c r="C198" s="26">
        <f t="shared" si="175"/>
        <v>15.1</v>
      </c>
      <c r="D198" s="26">
        <f t="shared" si="175"/>
        <v>15.1</v>
      </c>
      <c r="E198" s="26">
        <f t="shared" si="175"/>
        <v>15.1</v>
      </c>
      <c r="F198" s="26">
        <f t="shared" si="175"/>
        <v>15.1</v>
      </c>
      <c r="G198" s="26">
        <f t="shared" si="175"/>
        <v>15.1</v>
      </c>
      <c r="H198" s="26">
        <f t="shared" si="175"/>
        <v>15.1</v>
      </c>
      <c r="I198" s="26">
        <f t="shared" si="175"/>
        <v>15.1</v>
      </c>
      <c r="J198" s="26">
        <f t="shared" si="175"/>
        <v>15.1</v>
      </c>
      <c r="K198" s="26">
        <f t="shared" si="175"/>
        <v>15.1</v>
      </c>
      <c r="L198" s="26">
        <f t="shared" si="175"/>
        <v>15.1</v>
      </c>
      <c r="M198" s="26">
        <f t="shared" si="175"/>
        <v>514.75</v>
      </c>
      <c r="N198" s="26">
        <f t="shared" si="175"/>
        <v>514.75</v>
      </c>
      <c r="O198" s="26">
        <f t="shared" si="175"/>
        <v>514.75</v>
      </c>
      <c r="P198" s="26">
        <f t="shared" si="175"/>
        <v>514.75</v>
      </c>
      <c r="Q198" s="26">
        <f t="shared" si="175"/>
        <v>514.75</v>
      </c>
      <c r="R198" s="26">
        <f t="shared" si="175"/>
        <v>514.75</v>
      </c>
      <c r="S198" s="26">
        <f t="shared" si="175"/>
        <v>514.75</v>
      </c>
      <c r="T198" s="26">
        <f t="shared" si="175"/>
        <v>514.75</v>
      </c>
      <c r="U198" s="26">
        <f t="shared" si="175"/>
        <v>232.5</v>
      </c>
      <c r="V198" s="26">
        <f t="shared" si="175"/>
        <v>433</v>
      </c>
      <c r="W198" s="26">
        <f t="shared" si="175"/>
        <v>654</v>
      </c>
      <c r="X198" s="26">
        <f t="shared" si="175"/>
        <v>786.8</v>
      </c>
      <c r="Y198" s="26">
        <f t="shared" si="175"/>
        <v>574.8</v>
      </c>
      <c r="Z198" s="26">
        <f t="shared" si="175"/>
        <v>705.2</v>
      </c>
      <c r="AA198" s="26">
        <f t="shared" si="175"/>
        <v>474</v>
      </c>
      <c r="AB198" s="26">
        <f t="shared" si="175"/>
        <v>633.5</v>
      </c>
      <c r="AC198" s="26">
        <f t="shared" si="175"/>
        <v>810</v>
      </c>
      <c r="AD198" s="26">
        <f t="shared" si="175"/>
        <v>952.6</v>
      </c>
      <c r="AE198" s="26">
        <f t="shared" si="175"/>
        <v>1189.5</v>
      </c>
      <c r="AF198" s="24">
        <f t="shared" si="137"/>
        <v>3002.3</v>
      </c>
      <c r="AG198" s="24">
        <f t="shared" si="138"/>
        <v>6297.6</v>
      </c>
      <c r="AH198" s="24">
        <f t="shared" si="139"/>
        <v>2880</v>
      </c>
      <c r="AI198" s="24">
        <f t="shared" si="140"/>
        <v>1600</v>
      </c>
      <c r="AJ198" s="24">
        <f t="shared" si="141"/>
        <v>0</v>
      </c>
      <c r="AK198" s="24">
        <f t="shared" si="142"/>
        <v>0</v>
      </c>
      <c r="AL198" s="24">
        <f t="shared" si="143"/>
        <v>0</v>
      </c>
      <c r="AM198" s="24">
        <f t="shared" si="144"/>
        <v>0</v>
      </c>
      <c r="AN198" s="24">
        <f t="shared" si="145"/>
        <v>0</v>
      </c>
      <c r="AO198" s="24">
        <f t="shared" si="146"/>
        <v>0</v>
      </c>
      <c r="AP198" s="24">
        <f t="shared" si="147"/>
        <v>0</v>
      </c>
    </row>
    <row r="200" ht="13.1" spans="1:44">
      <c r="A200" s="3" t="s">
        <v>2396</v>
      </c>
    </row>
    <row r="201" spans="1:44">
      <c r="A201" s="21" t="s">
        <v>2395</v>
      </c>
      <c r="B201" s="22">
        <v>2018</v>
      </c>
      <c r="C201" s="22">
        <v>2019</v>
      </c>
      <c r="D201" s="22">
        <v>2020</v>
      </c>
      <c r="E201" s="22">
        <v>2021</v>
      </c>
      <c r="F201" s="22">
        <v>2022</v>
      </c>
      <c r="G201" s="22">
        <v>2023</v>
      </c>
      <c r="H201" s="22">
        <v>2024</v>
      </c>
      <c r="I201" s="22">
        <v>2025</v>
      </c>
      <c r="J201" s="22">
        <v>2026</v>
      </c>
      <c r="K201" s="22">
        <v>2027</v>
      </c>
      <c r="L201" s="22">
        <v>2028</v>
      </c>
      <c r="M201" s="22">
        <v>2029</v>
      </c>
      <c r="N201" s="22">
        <v>2030</v>
      </c>
      <c r="O201" s="22">
        <v>2031</v>
      </c>
      <c r="P201" s="22">
        <v>2032</v>
      </c>
      <c r="Q201" s="22">
        <v>2033</v>
      </c>
      <c r="R201" s="22">
        <v>2034</v>
      </c>
      <c r="S201" s="22">
        <v>2035</v>
      </c>
      <c r="T201" s="22">
        <v>2036</v>
      </c>
      <c r="U201" s="22">
        <v>2037</v>
      </c>
      <c r="V201" s="22">
        <v>2038</v>
      </c>
      <c r="W201" s="22">
        <v>2039</v>
      </c>
      <c r="X201" s="22">
        <v>2040</v>
      </c>
      <c r="Y201" s="22">
        <v>2041</v>
      </c>
      <c r="Z201" s="22">
        <v>2042</v>
      </c>
      <c r="AA201" s="22">
        <v>2043</v>
      </c>
      <c r="AB201" s="22">
        <v>2044</v>
      </c>
      <c r="AC201" s="22">
        <v>2045</v>
      </c>
      <c r="AD201" s="22">
        <v>2046</v>
      </c>
      <c r="AE201" s="22">
        <v>2047</v>
      </c>
      <c r="AF201" s="22">
        <v>2048</v>
      </c>
      <c r="AG201" s="22">
        <v>2049</v>
      </c>
      <c r="AH201" s="22">
        <v>2050</v>
      </c>
      <c r="AI201" s="22">
        <v>2051</v>
      </c>
      <c r="AJ201" s="22">
        <v>2052</v>
      </c>
      <c r="AK201" s="22">
        <v>2053</v>
      </c>
      <c r="AL201" s="22">
        <v>2054</v>
      </c>
      <c r="AM201" s="22">
        <v>2055</v>
      </c>
      <c r="AN201" s="22">
        <v>2056</v>
      </c>
      <c r="AO201" s="22">
        <v>2057</v>
      </c>
      <c r="AP201" s="22">
        <v>2058</v>
      </c>
      <c r="AQ201" s="22">
        <v>2059</v>
      </c>
      <c r="AR201" s="22">
        <v>2060</v>
      </c>
    </row>
    <row r="202" spans="1:44">
      <c r="A202" t="s">
        <v>2369</v>
      </c>
      <c r="B202" s="26">
        <f t="shared" ref="B202:AR202" si="176">SUMIFS($B183:$AP183,$B$86:$AP$86,B$105-VLOOKUP($A202,$AK$6:$AM$21,3,FALSE))</f>
        <v>0</v>
      </c>
      <c r="C202" s="26">
        <f t="shared" si="176"/>
        <v>0</v>
      </c>
      <c r="D202" s="26">
        <f t="shared" si="176"/>
        <v>0</v>
      </c>
      <c r="E202" s="26">
        <f t="shared" si="176"/>
        <v>0</v>
      </c>
      <c r="F202" s="26">
        <f t="shared" si="176"/>
        <v>0</v>
      </c>
      <c r="G202" s="26">
        <f t="shared" si="176"/>
        <v>0</v>
      </c>
      <c r="H202" s="26">
        <f t="shared" si="176"/>
        <v>0</v>
      </c>
      <c r="I202" s="26">
        <f t="shared" si="176"/>
        <v>0</v>
      </c>
      <c r="J202" s="26">
        <f t="shared" si="176"/>
        <v>0</v>
      </c>
      <c r="K202" s="26">
        <f t="shared" si="176"/>
        <v>0</v>
      </c>
      <c r="L202" s="26">
        <f t="shared" si="176"/>
        <v>0</v>
      </c>
      <c r="M202" s="26">
        <f t="shared" si="176"/>
        <v>0</v>
      </c>
      <c r="N202" s="26">
        <f t="shared" si="176"/>
        <v>518.099333333084</v>
      </c>
      <c r="O202" s="26">
        <f t="shared" si="176"/>
        <v>15510.2416666667</v>
      </c>
      <c r="P202" s="26">
        <f t="shared" si="176"/>
        <v>14340.25</v>
      </c>
      <c r="Q202" s="26">
        <f t="shared" si="176"/>
        <v>23873.05</v>
      </c>
      <c r="R202" s="26">
        <f t="shared" si="176"/>
        <v>45933.375</v>
      </c>
      <c r="S202" s="26">
        <f t="shared" si="176"/>
        <v>60327</v>
      </c>
      <c r="T202" s="26">
        <f t="shared" si="176"/>
        <v>92699</v>
      </c>
      <c r="U202" s="26">
        <f t="shared" si="176"/>
        <v>89132.345</v>
      </c>
      <c r="V202" s="26">
        <f t="shared" si="176"/>
        <v>70989.9865555555</v>
      </c>
      <c r="W202" s="26">
        <f t="shared" si="176"/>
        <v>72437.0865555556</v>
      </c>
      <c r="X202" s="26">
        <f t="shared" si="176"/>
        <v>64840.9865555556</v>
      </c>
      <c r="Y202" s="26">
        <f t="shared" si="176"/>
        <v>67105.9865555556</v>
      </c>
      <c r="Z202" s="26">
        <f t="shared" si="176"/>
        <v>56889.3865555556</v>
      </c>
      <c r="AA202" s="26">
        <f t="shared" si="176"/>
        <v>44438.4865555556</v>
      </c>
      <c r="AB202" s="26">
        <f t="shared" si="176"/>
        <v>45250.2865555555</v>
      </c>
      <c r="AC202" s="26">
        <f t="shared" si="176"/>
        <v>64592.1865555556</v>
      </c>
      <c r="AD202" s="26">
        <f t="shared" si="176"/>
        <v>50227.9865555556</v>
      </c>
      <c r="AE202" s="26">
        <f t="shared" si="176"/>
        <v>45106.22</v>
      </c>
      <c r="AF202" s="26">
        <f t="shared" si="176"/>
        <v>40627.02</v>
      </c>
      <c r="AG202" s="26">
        <f t="shared" si="176"/>
        <v>41030.02</v>
      </c>
      <c r="AH202" s="26">
        <f t="shared" si="176"/>
        <v>38613</v>
      </c>
      <c r="AI202" s="26">
        <f t="shared" si="176"/>
        <v>28053</v>
      </c>
      <c r="AJ202" s="26">
        <f t="shared" si="176"/>
        <v>28272</v>
      </c>
      <c r="AK202" s="26">
        <f t="shared" si="176"/>
        <v>48098</v>
      </c>
      <c r="AL202" s="26">
        <f t="shared" si="176"/>
        <v>44485</v>
      </c>
      <c r="AM202" s="26">
        <f t="shared" si="176"/>
        <v>79084</v>
      </c>
      <c r="AN202" s="26">
        <f t="shared" si="176"/>
        <v>33295</v>
      </c>
      <c r="AO202" s="26">
        <f t="shared" si="176"/>
        <v>14086</v>
      </c>
      <c r="AP202" s="26">
        <f t="shared" si="176"/>
        <v>12762</v>
      </c>
      <c r="AQ202" s="26">
        <f t="shared" si="176"/>
        <v>12762</v>
      </c>
      <c r="AR202" s="26">
        <f t="shared" si="176"/>
        <v>0</v>
      </c>
    </row>
    <row r="203" spans="1:44">
      <c r="A203" t="s">
        <v>2370</v>
      </c>
      <c r="B203" s="26">
        <f t="shared" ref="B203:AR203" si="177">SUMIFS($B184:$AP184,$B$86:$AP$86,B$105-VLOOKUP($A203,$AK$6:$AM$21,3,FALSE))</f>
        <v>0</v>
      </c>
      <c r="C203" s="26">
        <f t="shared" si="177"/>
        <v>0</v>
      </c>
      <c r="D203" s="26">
        <f t="shared" si="177"/>
        <v>0</v>
      </c>
      <c r="E203" s="26">
        <f t="shared" si="177"/>
        <v>0</v>
      </c>
      <c r="F203" s="26">
        <f t="shared" si="177"/>
        <v>0</v>
      </c>
      <c r="G203" s="26">
        <f t="shared" si="177"/>
        <v>0</v>
      </c>
      <c r="H203" s="26">
        <f t="shared" si="177"/>
        <v>0</v>
      </c>
      <c r="I203" s="26">
        <f t="shared" si="177"/>
        <v>0</v>
      </c>
      <c r="J203" s="26">
        <f t="shared" si="177"/>
        <v>0</v>
      </c>
      <c r="K203" s="26">
        <f t="shared" si="177"/>
        <v>0</v>
      </c>
      <c r="L203" s="26">
        <f t="shared" si="177"/>
        <v>0</v>
      </c>
      <c r="M203" s="26">
        <f t="shared" si="177"/>
        <v>0</v>
      </c>
      <c r="N203" s="26">
        <f t="shared" si="177"/>
        <v>0</v>
      </c>
      <c r="O203" s="26">
        <f t="shared" si="177"/>
        <v>0</v>
      </c>
      <c r="P203" s="26">
        <f t="shared" si="177"/>
        <v>0</v>
      </c>
      <c r="Q203" s="26">
        <f t="shared" si="177"/>
        <v>0</v>
      </c>
      <c r="R203" s="26">
        <f t="shared" si="177"/>
        <v>0</v>
      </c>
      <c r="S203" s="26">
        <f t="shared" si="177"/>
        <v>76.1040000000104</v>
      </c>
      <c r="T203" s="26">
        <f t="shared" si="177"/>
        <v>250.46</v>
      </c>
      <c r="U203" s="26">
        <f t="shared" si="177"/>
        <v>271.46</v>
      </c>
      <c r="V203" s="26">
        <f t="shared" si="177"/>
        <v>282.1</v>
      </c>
      <c r="W203" s="26">
        <f t="shared" si="177"/>
        <v>0</v>
      </c>
      <c r="X203" s="26">
        <f t="shared" si="177"/>
        <v>2075.99</v>
      </c>
      <c r="Y203" s="26">
        <f t="shared" si="177"/>
        <v>3130.19</v>
      </c>
      <c r="Z203" s="26">
        <f t="shared" si="177"/>
        <v>2853.403</v>
      </c>
      <c r="AA203" s="26">
        <f t="shared" si="177"/>
        <v>990.577</v>
      </c>
      <c r="AB203" s="26">
        <f t="shared" si="177"/>
        <v>2589.72</v>
      </c>
      <c r="AC203" s="26">
        <f t="shared" si="177"/>
        <v>2061.0044</v>
      </c>
      <c r="AD203" s="26">
        <f t="shared" si="177"/>
        <v>1654.4444</v>
      </c>
      <c r="AE203" s="26">
        <f t="shared" si="177"/>
        <v>2231.6644</v>
      </c>
      <c r="AF203" s="26">
        <f t="shared" si="177"/>
        <v>4965.7244</v>
      </c>
      <c r="AG203" s="26">
        <f t="shared" si="177"/>
        <v>9113.7144</v>
      </c>
      <c r="AH203" s="26">
        <f t="shared" si="177"/>
        <v>8573.0344</v>
      </c>
      <c r="AI203" s="26">
        <f t="shared" si="177"/>
        <v>5222.2044</v>
      </c>
      <c r="AJ203" s="26">
        <f t="shared" si="177"/>
        <v>4792.0964</v>
      </c>
      <c r="AK203" s="26">
        <f t="shared" si="177"/>
        <v>6977.8464</v>
      </c>
      <c r="AL203" s="26">
        <f t="shared" si="177"/>
        <v>4898.7064</v>
      </c>
      <c r="AM203" s="26">
        <f t="shared" si="177"/>
        <v>0</v>
      </c>
      <c r="AN203" s="26">
        <f t="shared" si="177"/>
        <v>0</v>
      </c>
      <c r="AO203" s="26">
        <f t="shared" si="177"/>
        <v>0</v>
      </c>
      <c r="AP203" s="26">
        <f t="shared" si="177"/>
        <v>0</v>
      </c>
      <c r="AQ203" s="26">
        <f t="shared" si="177"/>
        <v>0</v>
      </c>
      <c r="AR203" s="26">
        <f t="shared" si="177"/>
        <v>0</v>
      </c>
    </row>
    <row r="204" spans="1:44">
      <c r="A204" t="s">
        <v>2371</v>
      </c>
      <c r="B204" s="26">
        <f t="shared" ref="B204:AR204" si="178">SUMIFS($B185:$AP185,$B$86:$AP$86,B$105-VLOOKUP($A204,$AK$6:$AM$21,3,FALSE))</f>
        <v>0</v>
      </c>
      <c r="C204" s="26">
        <f t="shared" si="178"/>
        <v>0</v>
      </c>
      <c r="D204" s="26">
        <f t="shared" si="178"/>
        <v>0</v>
      </c>
      <c r="E204" s="26">
        <f t="shared" si="178"/>
        <v>0</v>
      </c>
      <c r="F204" s="26">
        <f t="shared" si="178"/>
        <v>0</v>
      </c>
      <c r="G204" s="26">
        <f t="shared" si="178"/>
        <v>0</v>
      </c>
      <c r="H204" s="26">
        <f t="shared" si="178"/>
        <v>0</v>
      </c>
      <c r="I204" s="26">
        <f t="shared" si="178"/>
        <v>0</v>
      </c>
      <c r="J204" s="26">
        <f t="shared" si="178"/>
        <v>0</v>
      </c>
      <c r="K204" s="26">
        <f t="shared" si="178"/>
        <v>0</v>
      </c>
      <c r="L204" s="26">
        <f t="shared" si="178"/>
        <v>0</v>
      </c>
      <c r="M204" s="26">
        <f t="shared" si="178"/>
        <v>0</v>
      </c>
      <c r="N204" s="26">
        <f t="shared" si="178"/>
        <v>0</v>
      </c>
      <c r="O204" s="26">
        <f t="shared" si="178"/>
        <v>0</v>
      </c>
      <c r="P204" s="26">
        <f t="shared" si="178"/>
        <v>0</v>
      </c>
      <c r="Q204" s="26">
        <f t="shared" si="178"/>
        <v>0</v>
      </c>
      <c r="R204" s="26">
        <f t="shared" si="178"/>
        <v>0</v>
      </c>
      <c r="S204" s="26">
        <f t="shared" si="178"/>
        <v>0</v>
      </c>
      <c r="T204" s="26">
        <f t="shared" si="178"/>
        <v>0</v>
      </c>
      <c r="U204" s="26">
        <f t="shared" si="178"/>
        <v>0</v>
      </c>
      <c r="V204" s="26">
        <f t="shared" si="178"/>
        <v>0</v>
      </c>
      <c r="W204" s="26">
        <f t="shared" si="178"/>
        <v>0</v>
      </c>
      <c r="X204" s="26">
        <f t="shared" si="178"/>
        <v>0</v>
      </c>
      <c r="Y204" s="26">
        <f t="shared" si="178"/>
        <v>0</v>
      </c>
      <c r="Z204" s="26">
        <f t="shared" si="178"/>
        <v>0</v>
      </c>
      <c r="AA204" s="26">
        <f t="shared" si="178"/>
        <v>964.639999999985</v>
      </c>
      <c r="AB204" s="26">
        <f t="shared" si="178"/>
        <v>964.639999999985</v>
      </c>
      <c r="AC204" s="26">
        <f t="shared" si="178"/>
        <v>0</v>
      </c>
      <c r="AD204" s="26">
        <f t="shared" si="178"/>
        <v>0</v>
      </c>
      <c r="AE204" s="26">
        <f t="shared" si="178"/>
        <v>0</v>
      </c>
      <c r="AF204" s="26">
        <f t="shared" si="178"/>
        <v>0</v>
      </c>
      <c r="AG204" s="26">
        <f t="shared" si="178"/>
        <v>0</v>
      </c>
      <c r="AH204" s="26">
        <f t="shared" si="178"/>
        <v>0</v>
      </c>
      <c r="AI204" s="26">
        <f t="shared" si="178"/>
        <v>0</v>
      </c>
      <c r="AJ204" s="26">
        <f t="shared" si="178"/>
        <v>3338.63999999998</v>
      </c>
      <c r="AK204" s="26">
        <f t="shared" si="178"/>
        <v>728</v>
      </c>
      <c r="AL204" s="26">
        <f t="shared" si="178"/>
        <v>650</v>
      </c>
      <c r="AM204" s="26">
        <f t="shared" si="178"/>
        <v>0</v>
      </c>
      <c r="AN204" s="26">
        <f t="shared" si="178"/>
        <v>1060</v>
      </c>
      <c r="AO204" s="26">
        <f t="shared" si="178"/>
        <v>1060</v>
      </c>
      <c r="AP204" s="26">
        <f t="shared" si="178"/>
        <v>33.8888888888889</v>
      </c>
      <c r="AQ204" s="26">
        <f t="shared" si="178"/>
        <v>33.8888888888889</v>
      </c>
      <c r="AR204" s="26">
        <f t="shared" si="178"/>
        <v>1779.88888888889</v>
      </c>
    </row>
    <row r="205" spans="1:44">
      <c r="A205" t="s">
        <v>2372</v>
      </c>
      <c r="B205" s="26">
        <f t="shared" ref="B205:AR205" si="179">SUMIFS($B186:$AP186,$B$86:$AP$86,B$105-VLOOKUP($A205,$AK$6:$AM$21,3,FALSE))</f>
        <v>0</v>
      </c>
      <c r="C205" s="26">
        <f t="shared" si="179"/>
        <v>0</v>
      </c>
      <c r="D205" s="26">
        <f t="shared" si="179"/>
        <v>0</v>
      </c>
      <c r="E205" s="26">
        <f t="shared" si="179"/>
        <v>0</v>
      </c>
      <c r="F205" s="26">
        <f t="shared" si="179"/>
        <v>0</v>
      </c>
      <c r="G205" s="26">
        <f t="shared" si="179"/>
        <v>0</v>
      </c>
      <c r="H205" s="26">
        <f t="shared" si="179"/>
        <v>0</v>
      </c>
      <c r="I205" s="26">
        <f t="shared" si="179"/>
        <v>0</v>
      </c>
      <c r="J205" s="26">
        <f t="shared" si="179"/>
        <v>0</v>
      </c>
      <c r="K205" s="26">
        <f t="shared" si="179"/>
        <v>0</v>
      </c>
      <c r="L205" s="26">
        <f t="shared" si="179"/>
        <v>0</v>
      </c>
      <c r="M205" s="26">
        <f t="shared" si="179"/>
        <v>0</v>
      </c>
      <c r="N205" s="26">
        <f t="shared" si="179"/>
        <v>0</v>
      </c>
      <c r="O205" s="26">
        <f t="shared" si="179"/>
        <v>0</v>
      </c>
      <c r="P205" s="26">
        <f t="shared" si="179"/>
        <v>0</v>
      </c>
      <c r="Q205" s="26">
        <f t="shared" si="179"/>
        <v>0</v>
      </c>
      <c r="R205" s="26">
        <f t="shared" si="179"/>
        <v>0</v>
      </c>
      <c r="S205" s="26">
        <f t="shared" si="179"/>
        <v>0</v>
      </c>
      <c r="T205" s="26">
        <f t="shared" si="179"/>
        <v>0</v>
      </c>
      <c r="U205" s="26">
        <f t="shared" si="179"/>
        <v>0</v>
      </c>
      <c r="V205" s="26">
        <f t="shared" si="179"/>
        <v>0</v>
      </c>
      <c r="W205" s="26">
        <f t="shared" si="179"/>
        <v>0</v>
      </c>
      <c r="X205" s="26">
        <f t="shared" si="179"/>
        <v>0</v>
      </c>
      <c r="Y205" s="26">
        <f t="shared" si="179"/>
        <v>0</v>
      </c>
      <c r="Z205" s="26">
        <f t="shared" si="179"/>
        <v>0</v>
      </c>
      <c r="AA205" s="26">
        <f t="shared" si="179"/>
        <v>0</v>
      </c>
      <c r="AB205" s="26">
        <f t="shared" si="179"/>
        <v>0</v>
      </c>
      <c r="AC205" s="26">
        <f t="shared" si="179"/>
        <v>0</v>
      </c>
      <c r="AD205" s="26">
        <f t="shared" si="179"/>
        <v>0</v>
      </c>
      <c r="AE205" s="26">
        <f t="shared" si="179"/>
        <v>0</v>
      </c>
      <c r="AF205" s="26">
        <f t="shared" si="179"/>
        <v>0</v>
      </c>
      <c r="AG205" s="26">
        <f t="shared" si="179"/>
        <v>0</v>
      </c>
      <c r="AH205" s="26">
        <f t="shared" si="179"/>
        <v>0</v>
      </c>
      <c r="AI205" s="26">
        <f t="shared" si="179"/>
        <v>0</v>
      </c>
      <c r="AJ205" s="26">
        <f t="shared" si="179"/>
        <v>0</v>
      </c>
      <c r="AK205" s="26">
        <f t="shared" si="179"/>
        <v>0</v>
      </c>
      <c r="AL205" s="26">
        <f t="shared" si="179"/>
        <v>0</v>
      </c>
      <c r="AM205" s="26">
        <f t="shared" si="179"/>
        <v>0</v>
      </c>
      <c r="AN205" s="26">
        <f t="shared" si="179"/>
        <v>0</v>
      </c>
      <c r="AO205" s="26">
        <f t="shared" si="179"/>
        <v>0</v>
      </c>
      <c r="AP205" s="26">
        <f t="shared" si="179"/>
        <v>0</v>
      </c>
      <c r="AQ205" s="26">
        <f t="shared" si="179"/>
        <v>0</v>
      </c>
      <c r="AR205" s="26">
        <f t="shared" si="179"/>
        <v>0</v>
      </c>
    </row>
    <row r="206" spans="1:44">
      <c r="A206" t="s">
        <v>2373</v>
      </c>
      <c r="B206" s="26">
        <f t="shared" ref="B206:AR206" si="180">SUMIFS($B187:$AP187,$B$86:$AP$86,B$105-VLOOKUP($A206,$AK$6:$AM$21,3,FALSE))</f>
        <v>0</v>
      </c>
      <c r="C206" s="26">
        <f t="shared" si="180"/>
        <v>0</v>
      </c>
      <c r="D206" s="26">
        <f t="shared" si="180"/>
        <v>0</v>
      </c>
      <c r="E206" s="26">
        <f t="shared" si="180"/>
        <v>0</v>
      </c>
      <c r="F206" s="26">
        <f t="shared" si="180"/>
        <v>0</v>
      </c>
      <c r="G206" s="26">
        <f t="shared" si="180"/>
        <v>0</v>
      </c>
      <c r="H206" s="26">
        <f t="shared" si="180"/>
        <v>0</v>
      </c>
      <c r="I206" s="26">
        <f t="shared" si="180"/>
        <v>0</v>
      </c>
      <c r="J206" s="26">
        <f t="shared" si="180"/>
        <v>0</v>
      </c>
      <c r="K206" s="26">
        <f t="shared" si="180"/>
        <v>0</v>
      </c>
      <c r="L206" s="26">
        <f t="shared" si="180"/>
        <v>0</v>
      </c>
      <c r="M206" s="26">
        <f t="shared" si="180"/>
        <v>0</v>
      </c>
      <c r="N206" s="26">
        <f t="shared" si="180"/>
        <v>0</v>
      </c>
      <c r="O206" s="26">
        <f t="shared" si="180"/>
        <v>0</v>
      </c>
      <c r="P206" s="26">
        <f t="shared" si="180"/>
        <v>0</v>
      </c>
      <c r="Q206" s="26">
        <f t="shared" si="180"/>
        <v>0</v>
      </c>
      <c r="R206" s="26">
        <f t="shared" si="180"/>
        <v>8045.1822222222</v>
      </c>
      <c r="S206" s="26">
        <f t="shared" si="180"/>
        <v>14917.4343055555</v>
      </c>
      <c r="T206" s="26">
        <f t="shared" si="180"/>
        <v>15527.7343055555</v>
      </c>
      <c r="U206" s="26">
        <f t="shared" si="180"/>
        <v>13289.4343055555</v>
      </c>
      <c r="V206" s="26">
        <f t="shared" si="180"/>
        <v>14566.6009722222</v>
      </c>
      <c r="W206" s="26">
        <f t="shared" si="180"/>
        <v>20800.0343055555</v>
      </c>
      <c r="X206" s="26">
        <f t="shared" si="180"/>
        <v>30869.9009722222</v>
      </c>
      <c r="Y206" s="26">
        <f t="shared" si="180"/>
        <v>18998.7009722222</v>
      </c>
      <c r="Z206" s="26">
        <f t="shared" si="180"/>
        <v>17712.2031944444</v>
      </c>
      <c r="AA206" s="26">
        <f t="shared" si="180"/>
        <v>21778.4031944444</v>
      </c>
      <c r="AB206" s="26">
        <f t="shared" si="180"/>
        <v>26230.6031944444</v>
      </c>
      <c r="AC206" s="26">
        <f t="shared" si="180"/>
        <v>69473.5</v>
      </c>
      <c r="AD206" s="26">
        <f t="shared" si="180"/>
        <v>30317.7</v>
      </c>
      <c r="AE206" s="26">
        <f t="shared" si="180"/>
        <v>31882.5</v>
      </c>
      <c r="AF206" s="26">
        <f t="shared" si="180"/>
        <v>69059</v>
      </c>
      <c r="AG206" s="26">
        <f t="shared" si="180"/>
        <v>0</v>
      </c>
      <c r="AH206" s="26">
        <f t="shared" si="180"/>
        <v>0</v>
      </c>
      <c r="AI206" s="26">
        <f t="shared" si="180"/>
        <v>0</v>
      </c>
      <c r="AJ206" s="26">
        <f t="shared" si="180"/>
        <v>0</v>
      </c>
      <c r="AK206" s="26">
        <f t="shared" si="180"/>
        <v>0</v>
      </c>
      <c r="AL206" s="26">
        <f t="shared" si="180"/>
        <v>0</v>
      </c>
      <c r="AM206" s="26">
        <f t="shared" si="180"/>
        <v>0</v>
      </c>
      <c r="AN206" s="26">
        <f t="shared" si="180"/>
        <v>0</v>
      </c>
      <c r="AO206" s="26">
        <f t="shared" si="180"/>
        <v>0</v>
      </c>
      <c r="AP206" s="26">
        <f t="shared" si="180"/>
        <v>0</v>
      </c>
      <c r="AQ206" s="26">
        <f t="shared" si="180"/>
        <v>0</v>
      </c>
      <c r="AR206" s="26">
        <f t="shared" si="180"/>
        <v>0</v>
      </c>
    </row>
    <row r="207" spans="1:44">
      <c r="A207" t="s">
        <v>2374</v>
      </c>
      <c r="B207" s="26">
        <f t="shared" ref="B207:AR207" si="181">SUMIFS($B188:$AP188,$B$86:$AP$86,B$105-VLOOKUP($A207,$AK$6:$AM$21,3,FALSE))</f>
        <v>0</v>
      </c>
      <c r="C207" s="26">
        <f t="shared" si="181"/>
        <v>0</v>
      </c>
      <c r="D207" s="26">
        <f t="shared" si="181"/>
        <v>0</v>
      </c>
      <c r="E207" s="26">
        <f t="shared" si="181"/>
        <v>0</v>
      </c>
      <c r="F207" s="26">
        <f t="shared" si="181"/>
        <v>0</v>
      </c>
      <c r="G207" s="26">
        <f t="shared" si="181"/>
        <v>0</v>
      </c>
      <c r="H207" s="26">
        <f t="shared" si="181"/>
        <v>0</v>
      </c>
      <c r="I207" s="26">
        <f t="shared" si="181"/>
        <v>0</v>
      </c>
      <c r="J207" s="26">
        <f t="shared" si="181"/>
        <v>0</v>
      </c>
      <c r="K207" s="26">
        <f t="shared" si="181"/>
        <v>0</v>
      </c>
      <c r="L207" s="26">
        <f t="shared" si="181"/>
        <v>0</v>
      </c>
      <c r="M207" s="26">
        <f t="shared" si="181"/>
        <v>0</v>
      </c>
      <c r="N207" s="26">
        <f t="shared" si="181"/>
        <v>0</v>
      </c>
      <c r="O207" s="26">
        <f t="shared" si="181"/>
        <v>0</v>
      </c>
      <c r="P207" s="26">
        <f t="shared" si="181"/>
        <v>0</v>
      </c>
      <c r="Q207" s="26">
        <f t="shared" si="181"/>
        <v>0</v>
      </c>
      <c r="R207" s="26">
        <f t="shared" si="181"/>
        <v>0</v>
      </c>
      <c r="S207" s="26">
        <f t="shared" si="181"/>
        <v>25.018</v>
      </c>
      <c r="T207" s="26">
        <f t="shared" si="181"/>
        <v>1900.21</v>
      </c>
      <c r="U207" s="26">
        <f t="shared" si="181"/>
        <v>1146.566</v>
      </c>
      <c r="V207" s="26">
        <f t="shared" si="181"/>
        <v>11545.872</v>
      </c>
      <c r="W207" s="26">
        <f t="shared" si="181"/>
        <v>8510.334</v>
      </c>
      <c r="X207" s="26">
        <f t="shared" si="181"/>
        <v>13422</v>
      </c>
      <c r="Y207" s="26">
        <f t="shared" si="181"/>
        <v>30282</v>
      </c>
      <c r="Z207" s="26">
        <f t="shared" si="181"/>
        <v>30597</v>
      </c>
      <c r="AA207" s="26">
        <f t="shared" si="181"/>
        <v>26697</v>
      </c>
      <c r="AB207" s="26">
        <f t="shared" si="181"/>
        <v>17382</v>
      </c>
      <c r="AC207" s="26">
        <f t="shared" si="181"/>
        <v>31108.7</v>
      </c>
      <c r="AD207" s="26">
        <f t="shared" si="181"/>
        <v>25550.7</v>
      </c>
      <c r="AE207" s="26">
        <f t="shared" si="181"/>
        <v>35794.6</v>
      </c>
      <c r="AF207" s="26">
        <f t="shared" si="181"/>
        <v>120057</v>
      </c>
      <c r="AG207" s="26">
        <f t="shared" si="181"/>
        <v>0</v>
      </c>
      <c r="AH207" s="26">
        <f t="shared" si="181"/>
        <v>0</v>
      </c>
      <c r="AI207" s="26">
        <f t="shared" si="181"/>
        <v>0</v>
      </c>
      <c r="AJ207" s="26">
        <f t="shared" si="181"/>
        <v>0</v>
      </c>
      <c r="AK207" s="26">
        <f t="shared" si="181"/>
        <v>0</v>
      </c>
      <c r="AL207" s="26">
        <f t="shared" si="181"/>
        <v>0</v>
      </c>
      <c r="AM207" s="26">
        <f t="shared" si="181"/>
        <v>0</v>
      </c>
      <c r="AN207" s="26">
        <f t="shared" si="181"/>
        <v>0</v>
      </c>
      <c r="AO207" s="26">
        <f t="shared" si="181"/>
        <v>0</v>
      </c>
      <c r="AP207" s="26">
        <f t="shared" si="181"/>
        <v>0</v>
      </c>
      <c r="AQ207" s="26">
        <f t="shared" si="181"/>
        <v>0</v>
      </c>
      <c r="AR207" s="26">
        <f t="shared" si="181"/>
        <v>0</v>
      </c>
    </row>
    <row r="208" spans="1:44">
      <c r="A208" t="s">
        <v>2375</v>
      </c>
      <c r="B208" s="26">
        <f t="shared" ref="B208:AR208" si="182">SUMIFS($B189:$AP189,$B$86:$AP$86,B$105-VLOOKUP($A208,$AK$6:$AM$21,3,FALSE))</f>
        <v>0</v>
      </c>
      <c r="C208" s="26">
        <f t="shared" si="182"/>
        <v>0</v>
      </c>
      <c r="D208" s="26">
        <f t="shared" si="182"/>
        <v>0</v>
      </c>
      <c r="E208" s="26">
        <f t="shared" si="182"/>
        <v>0</v>
      </c>
      <c r="F208" s="26">
        <f t="shared" si="182"/>
        <v>0</v>
      </c>
      <c r="G208" s="26">
        <f t="shared" si="182"/>
        <v>0</v>
      </c>
      <c r="H208" s="26">
        <f t="shared" si="182"/>
        <v>0</v>
      </c>
      <c r="I208" s="26">
        <f t="shared" si="182"/>
        <v>0</v>
      </c>
      <c r="J208" s="26">
        <f t="shared" si="182"/>
        <v>0</v>
      </c>
      <c r="K208" s="26">
        <f t="shared" si="182"/>
        <v>0</v>
      </c>
      <c r="L208" s="26">
        <f t="shared" si="182"/>
        <v>0</v>
      </c>
      <c r="M208" s="26">
        <f t="shared" si="182"/>
        <v>0</v>
      </c>
      <c r="N208" s="26">
        <f t="shared" si="182"/>
        <v>0</v>
      </c>
      <c r="O208" s="26">
        <f t="shared" si="182"/>
        <v>0</v>
      </c>
      <c r="P208" s="26">
        <f t="shared" si="182"/>
        <v>0</v>
      </c>
      <c r="Q208" s="26">
        <f t="shared" si="182"/>
        <v>0</v>
      </c>
      <c r="R208" s="26">
        <f t="shared" si="182"/>
        <v>0</v>
      </c>
      <c r="S208" s="26">
        <f t="shared" si="182"/>
        <v>0</v>
      </c>
      <c r="T208" s="26">
        <f t="shared" si="182"/>
        <v>0</v>
      </c>
      <c r="U208" s="26">
        <f t="shared" si="182"/>
        <v>0</v>
      </c>
      <c r="V208" s="26">
        <f t="shared" si="182"/>
        <v>0</v>
      </c>
      <c r="W208" s="26">
        <f t="shared" si="182"/>
        <v>0</v>
      </c>
      <c r="X208" s="26">
        <f t="shared" si="182"/>
        <v>0</v>
      </c>
      <c r="Y208" s="26">
        <f t="shared" si="182"/>
        <v>0</v>
      </c>
      <c r="Z208" s="26">
        <f t="shared" si="182"/>
        <v>0</v>
      </c>
      <c r="AA208" s="26">
        <f t="shared" si="182"/>
        <v>0</v>
      </c>
      <c r="AB208" s="26">
        <f t="shared" si="182"/>
        <v>0</v>
      </c>
      <c r="AC208" s="26">
        <f t="shared" si="182"/>
        <v>100</v>
      </c>
      <c r="AD208" s="26">
        <f t="shared" si="182"/>
        <v>50</v>
      </c>
      <c r="AE208" s="26">
        <f t="shared" si="182"/>
        <v>150</v>
      </c>
      <c r="AF208" s="26">
        <f t="shared" si="182"/>
        <v>0</v>
      </c>
      <c r="AG208" s="26">
        <f t="shared" si="182"/>
        <v>2205</v>
      </c>
      <c r="AH208" s="26">
        <f t="shared" si="182"/>
        <v>2205</v>
      </c>
      <c r="AI208" s="26">
        <f t="shared" si="182"/>
        <v>0</v>
      </c>
      <c r="AJ208" s="26">
        <f t="shared" si="182"/>
        <v>0</v>
      </c>
      <c r="AK208" s="26">
        <f t="shared" si="182"/>
        <v>0</v>
      </c>
      <c r="AL208" s="26">
        <f t="shared" si="182"/>
        <v>0</v>
      </c>
      <c r="AM208" s="26">
        <f t="shared" si="182"/>
        <v>0</v>
      </c>
      <c r="AN208" s="26">
        <f t="shared" si="182"/>
        <v>0</v>
      </c>
      <c r="AO208" s="26">
        <f t="shared" si="182"/>
        <v>0</v>
      </c>
      <c r="AP208" s="26">
        <f t="shared" si="182"/>
        <v>0</v>
      </c>
      <c r="AQ208" s="26">
        <f t="shared" si="182"/>
        <v>0</v>
      </c>
      <c r="AR208" s="26">
        <f t="shared" si="182"/>
        <v>0</v>
      </c>
    </row>
    <row r="209" spans="1:44">
      <c r="A209" t="s">
        <v>2376</v>
      </c>
      <c r="B209" s="26">
        <f t="shared" ref="B209:AR209" si="183">SUMIFS($B190:$AP190,$B$86:$AP$86,B$105-VLOOKUP($A209,$AK$6:$AM$21,3,FALSE))</f>
        <v>0</v>
      </c>
      <c r="C209" s="26">
        <f t="shared" si="183"/>
        <v>0</v>
      </c>
      <c r="D209" s="26">
        <f t="shared" si="183"/>
        <v>28.8490909090909</v>
      </c>
      <c r="E209" s="26">
        <f t="shared" si="183"/>
        <v>28.8490909090909</v>
      </c>
      <c r="F209" s="26">
        <f t="shared" si="183"/>
        <v>28.8490909090909</v>
      </c>
      <c r="G209" s="26">
        <f t="shared" si="183"/>
        <v>28.8490909090909</v>
      </c>
      <c r="H209" s="26">
        <f t="shared" si="183"/>
        <v>28.8490909090909</v>
      </c>
      <c r="I209" s="26">
        <f t="shared" si="183"/>
        <v>28.8490909090909</v>
      </c>
      <c r="J209" s="26">
        <f t="shared" si="183"/>
        <v>28.8490909090909</v>
      </c>
      <c r="K209" s="26">
        <f t="shared" si="183"/>
        <v>28.8490909090909</v>
      </c>
      <c r="L209" s="26">
        <f t="shared" si="183"/>
        <v>28.8490909090909</v>
      </c>
      <c r="M209" s="26">
        <f t="shared" si="183"/>
        <v>28.8490909090909</v>
      </c>
      <c r="N209" s="26">
        <f t="shared" si="183"/>
        <v>28.8490909090909</v>
      </c>
      <c r="O209" s="26">
        <f t="shared" si="183"/>
        <v>514.75</v>
      </c>
      <c r="P209" s="26">
        <f t="shared" si="183"/>
        <v>514.75</v>
      </c>
      <c r="Q209" s="26">
        <f t="shared" si="183"/>
        <v>514.75</v>
      </c>
      <c r="R209" s="26">
        <f t="shared" si="183"/>
        <v>514.75</v>
      </c>
      <c r="S209" s="26">
        <f t="shared" si="183"/>
        <v>514.75</v>
      </c>
      <c r="T209" s="26">
        <f t="shared" si="183"/>
        <v>514.75</v>
      </c>
      <c r="U209" s="26">
        <f t="shared" si="183"/>
        <v>514.75</v>
      </c>
      <c r="V209" s="26">
        <f t="shared" si="183"/>
        <v>514.75</v>
      </c>
      <c r="W209" s="26">
        <f t="shared" si="183"/>
        <v>232.5</v>
      </c>
      <c r="X209" s="26">
        <f t="shared" si="183"/>
        <v>433</v>
      </c>
      <c r="Y209" s="26">
        <f t="shared" si="183"/>
        <v>654</v>
      </c>
      <c r="Z209" s="26">
        <f t="shared" si="183"/>
        <v>786.8</v>
      </c>
      <c r="AA209" s="26">
        <f t="shared" si="183"/>
        <v>574.8</v>
      </c>
      <c r="AB209" s="26">
        <f t="shared" si="183"/>
        <v>705.2</v>
      </c>
      <c r="AC209" s="26">
        <f t="shared" si="183"/>
        <v>474</v>
      </c>
      <c r="AD209" s="26">
        <f t="shared" si="183"/>
        <v>633.5</v>
      </c>
      <c r="AE209" s="26">
        <f t="shared" si="183"/>
        <v>810</v>
      </c>
      <c r="AF209" s="26">
        <f t="shared" si="183"/>
        <v>952.6</v>
      </c>
      <c r="AG209" s="26">
        <f t="shared" si="183"/>
        <v>1190.26</v>
      </c>
      <c r="AH209" s="26">
        <f t="shared" si="183"/>
        <v>2230.5</v>
      </c>
      <c r="AI209" s="26">
        <f t="shared" si="183"/>
        <v>2251.4</v>
      </c>
      <c r="AJ209" s="26">
        <f t="shared" si="183"/>
        <v>1137</v>
      </c>
      <c r="AK209" s="26">
        <f t="shared" si="183"/>
        <v>1170</v>
      </c>
      <c r="AL209" s="26">
        <f t="shared" si="183"/>
        <v>0</v>
      </c>
      <c r="AM209" s="26">
        <f t="shared" si="183"/>
        <v>0</v>
      </c>
      <c r="AN209" s="26">
        <f t="shared" si="183"/>
        <v>0</v>
      </c>
      <c r="AO209" s="26">
        <f t="shared" si="183"/>
        <v>0</v>
      </c>
      <c r="AP209" s="26">
        <f t="shared" si="183"/>
        <v>0</v>
      </c>
      <c r="AQ209" s="26">
        <f t="shared" si="183"/>
        <v>0</v>
      </c>
      <c r="AR209" s="26">
        <f t="shared" si="183"/>
        <v>0</v>
      </c>
    </row>
    <row r="210" spans="1:44">
      <c r="A210" t="s">
        <v>2377</v>
      </c>
      <c r="B210" s="26">
        <f t="shared" ref="B210:AR210" si="184">SUMIFS($B191:$AP191,$B$86:$AP$86,B$105-VLOOKUP($A210,$AK$6:$AM$21,3,FALSE))</f>
        <v>0</v>
      </c>
      <c r="C210" s="26">
        <f t="shared" si="184"/>
        <v>0</v>
      </c>
      <c r="D210" s="26">
        <f t="shared" si="184"/>
        <v>47.9345454545455</v>
      </c>
      <c r="E210" s="26">
        <f t="shared" si="184"/>
        <v>47.9345454545455</v>
      </c>
      <c r="F210" s="26">
        <f t="shared" si="184"/>
        <v>47.9345454545455</v>
      </c>
      <c r="G210" s="26">
        <f t="shared" si="184"/>
        <v>47.9345454545455</v>
      </c>
      <c r="H210" s="26">
        <f t="shared" si="184"/>
        <v>47.9345454545455</v>
      </c>
      <c r="I210" s="26">
        <f t="shared" si="184"/>
        <v>47.9345454545455</v>
      </c>
      <c r="J210" s="26">
        <f t="shared" si="184"/>
        <v>47.9345454545455</v>
      </c>
      <c r="K210" s="26">
        <f t="shared" si="184"/>
        <v>47.9345454545455</v>
      </c>
      <c r="L210" s="26">
        <f t="shared" si="184"/>
        <v>47.9345454545455</v>
      </c>
      <c r="M210" s="26">
        <f t="shared" si="184"/>
        <v>47.9345454545455</v>
      </c>
      <c r="N210" s="26">
        <f t="shared" si="184"/>
        <v>47.9345454545455</v>
      </c>
      <c r="O210" s="26">
        <f t="shared" si="184"/>
        <v>0</v>
      </c>
      <c r="P210" s="26">
        <f t="shared" si="184"/>
        <v>0</v>
      </c>
      <c r="Q210" s="26">
        <f t="shared" si="184"/>
        <v>0</v>
      </c>
      <c r="R210" s="26">
        <f t="shared" si="184"/>
        <v>0</v>
      </c>
      <c r="S210" s="26">
        <f t="shared" si="184"/>
        <v>0</v>
      </c>
      <c r="T210" s="26">
        <f t="shared" si="184"/>
        <v>0</v>
      </c>
      <c r="U210" s="26">
        <f t="shared" si="184"/>
        <v>0</v>
      </c>
      <c r="V210" s="26">
        <f t="shared" si="184"/>
        <v>0</v>
      </c>
      <c r="W210" s="26">
        <f t="shared" si="184"/>
        <v>0</v>
      </c>
      <c r="X210" s="26">
        <f t="shared" si="184"/>
        <v>0</v>
      </c>
      <c r="Y210" s="26">
        <f t="shared" si="184"/>
        <v>0</v>
      </c>
      <c r="Z210" s="26">
        <f t="shared" si="184"/>
        <v>0</v>
      </c>
      <c r="AA210" s="26">
        <f t="shared" si="184"/>
        <v>0</v>
      </c>
      <c r="AB210" s="26">
        <f t="shared" si="184"/>
        <v>0</v>
      </c>
      <c r="AC210" s="26">
        <f t="shared" si="184"/>
        <v>0</v>
      </c>
      <c r="AD210" s="26">
        <f t="shared" si="184"/>
        <v>0</v>
      </c>
      <c r="AE210" s="26">
        <f t="shared" si="184"/>
        <v>0</v>
      </c>
      <c r="AF210" s="26">
        <f t="shared" si="184"/>
        <v>0</v>
      </c>
      <c r="AG210" s="26">
        <f t="shared" si="184"/>
        <v>0</v>
      </c>
      <c r="AH210" s="26">
        <f t="shared" si="184"/>
        <v>0</v>
      </c>
      <c r="AI210" s="26">
        <f t="shared" si="184"/>
        <v>0</v>
      </c>
      <c r="AJ210" s="26">
        <f t="shared" si="184"/>
        <v>0</v>
      </c>
      <c r="AK210" s="26">
        <f t="shared" si="184"/>
        <v>0</v>
      </c>
      <c r="AL210" s="26">
        <f t="shared" si="184"/>
        <v>0</v>
      </c>
      <c r="AM210" s="26">
        <f t="shared" si="184"/>
        <v>0</v>
      </c>
      <c r="AN210" s="26">
        <f t="shared" si="184"/>
        <v>0</v>
      </c>
      <c r="AO210" s="26">
        <f t="shared" si="184"/>
        <v>0</v>
      </c>
      <c r="AP210" s="26">
        <f t="shared" si="184"/>
        <v>0</v>
      </c>
      <c r="AQ210" s="26">
        <f t="shared" si="184"/>
        <v>0</v>
      </c>
      <c r="AR210" s="26">
        <f t="shared" si="184"/>
        <v>0</v>
      </c>
    </row>
    <row r="211" spans="1:44">
      <c r="A211" t="s">
        <v>2378</v>
      </c>
      <c r="B211" s="26">
        <f t="shared" ref="B211:AR211" si="185">SUMIFS($B192:$AP192,$B$86:$AP$86,B$105-VLOOKUP($A211,$AK$6:$AM$21,3,FALSE))</f>
        <v>0</v>
      </c>
      <c r="C211" s="26">
        <f t="shared" si="185"/>
        <v>0</v>
      </c>
      <c r="D211" s="26">
        <f t="shared" si="185"/>
        <v>0</v>
      </c>
      <c r="E211" s="26">
        <f t="shared" si="185"/>
        <v>16.8984285442646</v>
      </c>
      <c r="F211" s="26">
        <f t="shared" si="185"/>
        <v>27.8333765698711</v>
      </c>
      <c r="G211" s="26">
        <f t="shared" si="185"/>
        <v>27.8333765698711</v>
      </c>
      <c r="H211" s="26">
        <f t="shared" si="185"/>
        <v>27.8333765698711</v>
      </c>
      <c r="I211" s="26">
        <f t="shared" si="185"/>
        <v>27.8333765698711</v>
      </c>
      <c r="J211" s="26">
        <f t="shared" si="185"/>
        <v>27.8333765698711</v>
      </c>
      <c r="K211" s="26">
        <f t="shared" si="185"/>
        <v>27.8333765698711</v>
      </c>
      <c r="L211" s="26">
        <f t="shared" si="185"/>
        <v>27.8333765698711</v>
      </c>
      <c r="M211" s="26">
        <f t="shared" si="185"/>
        <v>27.8333765698711</v>
      </c>
      <c r="N211" s="26">
        <f t="shared" si="185"/>
        <v>27.8333765698711</v>
      </c>
      <c r="O211" s="26">
        <f t="shared" si="185"/>
        <v>27.8333765698711</v>
      </c>
      <c r="P211" s="26">
        <f t="shared" si="185"/>
        <v>10.0432765599109</v>
      </c>
      <c r="Q211" s="26">
        <f t="shared" si="185"/>
        <v>7.83120156828656</v>
      </c>
      <c r="R211" s="26">
        <f t="shared" si="185"/>
        <v>7.83120156828656</v>
      </c>
      <c r="S211" s="26">
        <f t="shared" si="185"/>
        <v>15.1971832414274</v>
      </c>
      <c r="T211" s="26">
        <f t="shared" si="185"/>
        <v>7.83120156828656</v>
      </c>
      <c r="U211" s="26">
        <f t="shared" si="185"/>
        <v>7.83120156828656</v>
      </c>
      <c r="V211" s="26">
        <f t="shared" si="185"/>
        <v>23.7946293428951</v>
      </c>
      <c r="W211" s="26">
        <f t="shared" si="185"/>
        <v>7.83120156828656</v>
      </c>
      <c r="X211" s="26">
        <f t="shared" si="185"/>
        <v>7.83120156828656</v>
      </c>
      <c r="Y211" s="26">
        <f t="shared" si="185"/>
        <v>7.83120156828658</v>
      </c>
      <c r="Z211" s="26">
        <f t="shared" si="185"/>
        <v>0</v>
      </c>
      <c r="AA211" s="26">
        <f t="shared" si="185"/>
        <v>0</v>
      </c>
      <c r="AB211" s="26">
        <f t="shared" si="185"/>
        <v>0</v>
      </c>
      <c r="AC211" s="26">
        <f t="shared" si="185"/>
        <v>0</v>
      </c>
      <c r="AD211" s="26">
        <f t="shared" si="185"/>
        <v>0</v>
      </c>
      <c r="AE211" s="26">
        <f t="shared" si="185"/>
        <v>0</v>
      </c>
      <c r="AF211" s="26">
        <f t="shared" si="185"/>
        <v>0</v>
      </c>
      <c r="AG211" s="26">
        <f t="shared" si="185"/>
        <v>0</v>
      </c>
      <c r="AH211" s="26">
        <f t="shared" si="185"/>
        <v>0</v>
      </c>
      <c r="AI211" s="26">
        <f t="shared" si="185"/>
        <v>0</v>
      </c>
      <c r="AJ211" s="26">
        <f t="shared" si="185"/>
        <v>0</v>
      </c>
      <c r="AK211" s="26">
        <f t="shared" si="185"/>
        <v>0</v>
      </c>
      <c r="AL211" s="26">
        <f t="shared" si="185"/>
        <v>0</v>
      </c>
      <c r="AM211" s="26">
        <f t="shared" si="185"/>
        <v>0</v>
      </c>
      <c r="AN211" s="26">
        <f t="shared" si="185"/>
        <v>0</v>
      </c>
      <c r="AO211" s="26">
        <f t="shared" si="185"/>
        <v>0</v>
      </c>
      <c r="AP211" s="26">
        <f t="shared" si="185"/>
        <v>0</v>
      </c>
      <c r="AQ211" s="26">
        <f t="shared" si="185"/>
        <v>0</v>
      </c>
      <c r="AR211" s="26">
        <f t="shared" si="185"/>
        <v>0</v>
      </c>
    </row>
    <row r="212" spans="1:44">
      <c r="A212" t="s">
        <v>2379</v>
      </c>
      <c r="B212" s="26">
        <f t="shared" ref="B212:AR212" si="186">SUMIFS($B193:$AP193,$B$86:$AP$86,B$105-VLOOKUP($A212,$AK$6:$AM$21,3,FALSE))</f>
        <v>0</v>
      </c>
      <c r="C212" s="26">
        <f t="shared" si="186"/>
        <v>0</v>
      </c>
      <c r="D212" s="26">
        <f t="shared" si="186"/>
        <v>0</v>
      </c>
      <c r="E212" s="26">
        <f t="shared" si="186"/>
        <v>0</v>
      </c>
      <c r="F212" s="26">
        <f t="shared" si="186"/>
        <v>0</v>
      </c>
      <c r="G212" s="26">
        <f t="shared" si="186"/>
        <v>0</v>
      </c>
      <c r="H212" s="26">
        <f t="shared" si="186"/>
        <v>0</v>
      </c>
      <c r="I212" s="26">
        <f t="shared" si="186"/>
        <v>0</v>
      </c>
      <c r="J212" s="26">
        <f t="shared" si="186"/>
        <v>0</v>
      </c>
      <c r="K212" s="26">
        <f t="shared" si="186"/>
        <v>0</v>
      </c>
      <c r="L212" s="26">
        <f t="shared" si="186"/>
        <v>0</v>
      </c>
      <c r="M212" s="26">
        <f t="shared" si="186"/>
        <v>0</v>
      </c>
      <c r="N212" s="26">
        <f t="shared" si="186"/>
        <v>0</v>
      </c>
      <c r="O212" s="26">
        <f t="shared" si="186"/>
        <v>0</v>
      </c>
      <c r="P212" s="26">
        <f t="shared" si="186"/>
        <v>0</v>
      </c>
      <c r="Q212" s="26">
        <f t="shared" si="186"/>
        <v>0</v>
      </c>
      <c r="R212" s="26">
        <f t="shared" si="186"/>
        <v>0</v>
      </c>
      <c r="S212" s="26">
        <f t="shared" si="186"/>
        <v>32.6159999999987</v>
      </c>
      <c r="T212" s="26">
        <f t="shared" si="186"/>
        <v>107.34</v>
      </c>
      <c r="U212" s="26">
        <f t="shared" si="186"/>
        <v>116.34</v>
      </c>
      <c r="V212" s="26">
        <f t="shared" si="186"/>
        <v>120.9</v>
      </c>
      <c r="W212" s="26">
        <f t="shared" si="186"/>
        <v>0</v>
      </c>
      <c r="X212" s="26">
        <f t="shared" si="186"/>
        <v>889.71</v>
      </c>
      <c r="Y212" s="26">
        <f t="shared" si="186"/>
        <v>1341.51</v>
      </c>
      <c r="Z212" s="26">
        <f t="shared" si="186"/>
        <v>1222.887</v>
      </c>
      <c r="AA212" s="26">
        <f t="shared" si="186"/>
        <v>424.533</v>
      </c>
      <c r="AB212" s="26">
        <f t="shared" si="186"/>
        <v>1109.88</v>
      </c>
      <c r="AC212" s="26">
        <f t="shared" si="186"/>
        <v>883.2876</v>
      </c>
      <c r="AD212" s="26">
        <f t="shared" si="186"/>
        <v>709.0476</v>
      </c>
      <c r="AE212" s="26">
        <f t="shared" si="186"/>
        <v>956.4276</v>
      </c>
      <c r="AF212" s="26">
        <f t="shared" si="186"/>
        <v>2128.1676</v>
      </c>
      <c r="AG212" s="26">
        <f t="shared" si="186"/>
        <v>3905.8776</v>
      </c>
      <c r="AH212" s="26">
        <f t="shared" si="186"/>
        <v>3674.1576</v>
      </c>
      <c r="AI212" s="26">
        <f t="shared" si="186"/>
        <v>2238.0876</v>
      </c>
      <c r="AJ212" s="26">
        <f t="shared" si="186"/>
        <v>2053.7556</v>
      </c>
      <c r="AK212" s="26">
        <f t="shared" si="186"/>
        <v>2990.5056</v>
      </c>
      <c r="AL212" s="26">
        <f t="shared" si="186"/>
        <v>2099.4456</v>
      </c>
      <c r="AM212" s="26">
        <f t="shared" si="186"/>
        <v>8228.4</v>
      </c>
      <c r="AN212" s="26">
        <f t="shared" si="186"/>
        <v>6260.3</v>
      </c>
      <c r="AO212" s="26">
        <f t="shared" si="186"/>
        <v>11202</v>
      </c>
      <c r="AP212" s="26">
        <f t="shared" si="186"/>
        <v>11232</v>
      </c>
      <c r="AQ212" s="26">
        <f t="shared" si="186"/>
        <v>24967</v>
      </c>
      <c r="AR212" s="26">
        <f t="shared" si="186"/>
        <v>20447</v>
      </c>
    </row>
    <row r="213" spans="1:44">
      <c r="A213" t="s">
        <v>2380</v>
      </c>
      <c r="B213" s="26">
        <f t="shared" ref="B213:AR213" si="187">SUMIFS($B194:$AP194,$B$86:$AP$86,B$105-VLOOKUP($A213,$AK$6:$AM$21,3,FALSE))</f>
        <v>0</v>
      </c>
      <c r="C213" s="26">
        <f t="shared" si="187"/>
        <v>0</v>
      </c>
      <c r="D213" s="26">
        <f t="shared" si="187"/>
        <v>1882.32727272727</v>
      </c>
      <c r="E213" s="26">
        <f t="shared" si="187"/>
        <v>1882.32727272727</v>
      </c>
      <c r="F213" s="26">
        <f t="shared" si="187"/>
        <v>1882.32727272727</v>
      </c>
      <c r="G213" s="26">
        <f t="shared" si="187"/>
        <v>1882.32727272727</v>
      </c>
      <c r="H213" s="26">
        <f t="shared" si="187"/>
        <v>1882.32727272727</v>
      </c>
      <c r="I213" s="26">
        <f t="shared" si="187"/>
        <v>1882.32727272727</v>
      </c>
      <c r="J213" s="26">
        <f t="shared" si="187"/>
        <v>1882.32727272727</v>
      </c>
      <c r="K213" s="26">
        <f t="shared" si="187"/>
        <v>1882.32727272727</v>
      </c>
      <c r="L213" s="26">
        <f t="shared" si="187"/>
        <v>1882.32727272727</v>
      </c>
      <c r="M213" s="26">
        <f t="shared" si="187"/>
        <v>1882.32727272727</v>
      </c>
      <c r="N213" s="26">
        <f t="shared" si="187"/>
        <v>1882.32727272727</v>
      </c>
      <c r="O213" s="26">
        <f t="shared" si="187"/>
        <v>648.5</v>
      </c>
      <c r="P213" s="26">
        <f t="shared" si="187"/>
        <v>648.5</v>
      </c>
      <c r="Q213" s="26">
        <f t="shared" si="187"/>
        <v>648.5</v>
      </c>
      <c r="R213" s="26">
        <f t="shared" si="187"/>
        <v>648.5</v>
      </c>
      <c r="S213" s="26">
        <f t="shared" si="187"/>
        <v>648.5</v>
      </c>
      <c r="T213" s="26">
        <f t="shared" si="187"/>
        <v>648.5</v>
      </c>
      <c r="U213" s="26">
        <f t="shared" si="187"/>
        <v>648.5</v>
      </c>
      <c r="V213" s="26">
        <f t="shared" si="187"/>
        <v>648.5</v>
      </c>
      <c r="W213" s="26">
        <f t="shared" si="187"/>
        <v>1550</v>
      </c>
      <c r="X213" s="26">
        <f t="shared" si="187"/>
        <v>1901.4</v>
      </c>
      <c r="Y213" s="26">
        <f t="shared" si="187"/>
        <v>1230</v>
      </c>
      <c r="Z213" s="26">
        <f t="shared" si="187"/>
        <v>1560</v>
      </c>
      <c r="AA213" s="26">
        <f t="shared" si="187"/>
        <v>606</v>
      </c>
      <c r="AB213" s="26">
        <f t="shared" si="187"/>
        <v>300</v>
      </c>
      <c r="AC213" s="26">
        <f t="shared" si="187"/>
        <v>0</v>
      </c>
      <c r="AD213" s="26">
        <f t="shared" si="187"/>
        <v>318</v>
      </c>
      <c r="AE213" s="26">
        <f t="shared" si="187"/>
        <v>2</v>
      </c>
      <c r="AF213" s="26">
        <f t="shared" si="187"/>
        <v>0</v>
      </c>
      <c r="AG213" s="26">
        <f t="shared" si="187"/>
        <v>1400</v>
      </c>
      <c r="AH213" s="26">
        <f t="shared" si="187"/>
        <v>1688</v>
      </c>
      <c r="AI213" s="26">
        <f t="shared" si="187"/>
        <v>0</v>
      </c>
      <c r="AJ213" s="26">
        <f t="shared" si="187"/>
        <v>0</v>
      </c>
      <c r="AK213" s="26">
        <f t="shared" si="187"/>
        <v>0</v>
      </c>
      <c r="AL213" s="26">
        <f t="shared" si="187"/>
        <v>0</v>
      </c>
      <c r="AM213" s="26">
        <f t="shared" si="187"/>
        <v>0</v>
      </c>
      <c r="AN213" s="26">
        <f t="shared" si="187"/>
        <v>0</v>
      </c>
      <c r="AO213" s="26">
        <f t="shared" si="187"/>
        <v>0</v>
      </c>
      <c r="AP213" s="26">
        <f t="shared" si="187"/>
        <v>0</v>
      </c>
      <c r="AQ213" s="26">
        <f t="shared" si="187"/>
        <v>0</v>
      </c>
      <c r="AR213" s="26">
        <f t="shared" si="187"/>
        <v>0</v>
      </c>
    </row>
    <row r="214" spans="1:44">
      <c r="A214" t="s">
        <v>2381</v>
      </c>
      <c r="B214" s="26">
        <f t="shared" ref="B214:AR214" si="188">SUMIFS($B195:$AP195,$B$86:$AP$86,B$105-VLOOKUP($A214,$AK$6:$AM$21,3,FALSE))</f>
        <v>0</v>
      </c>
      <c r="C214" s="26">
        <f t="shared" si="188"/>
        <v>0</v>
      </c>
      <c r="D214" s="26">
        <f t="shared" si="188"/>
        <v>0</v>
      </c>
      <c r="E214" s="26">
        <f t="shared" si="188"/>
        <v>0</v>
      </c>
      <c r="F214" s="26">
        <f t="shared" si="188"/>
        <v>0</v>
      </c>
      <c r="G214" s="26">
        <f t="shared" si="188"/>
        <v>0</v>
      </c>
      <c r="H214" s="26">
        <f t="shared" si="188"/>
        <v>0</v>
      </c>
      <c r="I214" s="26">
        <f t="shared" si="188"/>
        <v>0</v>
      </c>
      <c r="J214" s="26">
        <f t="shared" si="188"/>
        <v>0</v>
      </c>
      <c r="K214" s="26">
        <f t="shared" si="188"/>
        <v>0</v>
      </c>
      <c r="L214" s="26">
        <f t="shared" si="188"/>
        <v>0</v>
      </c>
      <c r="M214" s="26">
        <f t="shared" si="188"/>
        <v>0</v>
      </c>
      <c r="N214" s="26">
        <f t="shared" si="188"/>
        <v>0</v>
      </c>
      <c r="O214" s="26">
        <f t="shared" si="188"/>
        <v>0</v>
      </c>
      <c r="P214" s="26">
        <f t="shared" si="188"/>
        <v>0</v>
      </c>
      <c r="Q214" s="26">
        <f t="shared" si="188"/>
        <v>0</v>
      </c>
      <c r="R214" s="26">
        <f t="shared" si="188"/>
        <v>0</v>
      </c>
      <c r="S214" s="26">
        <f t="shared" si="188"/>
        <v>0</v>
      </c>
      <c r="T214" s="26">
        <f t="shared" si="188"/>
        <v>0</v>
      </c>
      <c r="U214" s="26">
        <f t="shared" si="188"/>
        <v>0</v>
      </c>
      <c r="V214" s="26">
        <f t="shared" si="188"/>
        <v>0</v>
      </c>
      <c r="W214" s="26">
        <f t="shared" si="188"/>
        <v>344</v>
      </c>
      <c r="X214" s="26">
        <f t="shared" si="188"/>
        <v>12.1818181818182</v>
      </c>
      <c r="Y214" s="26">
        <f t="shared" si="188"/>
        <v>114.181818181818</v>
      </c>
      <c r="Z214" s="26">
        <f t="shared" si="188"/>
        <v>24.1818181818182</v>
      </c>
      <c r="AA214" s="26">
        <f t="shared" si="188"/>
        <v>816.181818181818</v>
      </c>
      <c r="AB214" s="26">
        <f t="shared" si="188"/>
        <v>615.181818181818</v>
      </c>
      <c r="AC214" s="26">
        <f t="shared" si="188"/>
        <v>989.181818181818</v>
      </c>
      <c r="AD214" s="26">
        <f t="shared" si="188"/>
        <v>2367.18181818182</v>
      </c>
      <c r="AE214" s="26">
        <f t="shared" si="188"/>
        <v>12.1818181818182</v>
      </c>
      <c r="AF214" s="26">
        <f t="shared" si="188"/>
        <v>12.1818181818182</v>
      </c>
      <c r="AG214" s="26">
        <f t="shared" si="188"/>
        <v>12.1818181818182</v>
      </c>
      <c r="AH214" s="26">
        <f t="shared" si="188"/>
        <v>2643</v>
      </c>
      <c r="AI214" s="26">
        <f t="shared" si="188"/>
        <v>17021.5</v>
      </c>
      <c r="AJ214" s="26">
        <f t="shared" si="188"/>
        <v>6727.5</v>
      </c>
      <c r="AK214" s="26">
        <f t="shared" si="188"/>
        <v>6170</v>
      </c>
      <c r="AL214" s="26">
        <f t="shared" si="188"/>
        <v>12975</v>
      </c>
      <c r="AM214" s="26">
        <f t="shared" si="188"/>
        <v>6505</v>
      </c>
      <c r="AN214" s="26">
        <f t="shared" si="188"/>
        <v>3600</v>
      </c>
      <c r="AO214" s="26">
        <f t="shared" si="188"/>
        <v>800</v>
      </c>
      <c r="AP214" s="26">
        <f t="shared" si="188"/>
        <v>1000</v>
      </c>
      <c r="AQ214" s="26">
        <f t="shared" si="188"/>
        <v>0</v>
      </c>
      <c r="AR214" s="26">
        <f t="shared" si="188"/>
        <v>0</v>
      </c>
    </row>
    <row r="215" spans="1:44">
      <c r="A215" t="s">
        <v>2382</v>
      </c>
      <c r="B215" s="26">
        <f t="shared" ref="B215:AR215" si="189">SUMIFS($B196:$AP196,$B$86:$AP$86,B$105-VLOOKUP($A215,$AK$6:$AM$21,3,FALSE))</f>
        <v>0</v>
      </c>
      <c r="C215" s="26">
        <f t="shared" si="189"/>
        <v>0</v>
      </c>
      <c r="D215" s="26">
        <f t="shared" si="189"/>
        <v>0</v>
      </c>
      <c r="E215" s="26">
        <f t="shared" si="189"/>
        <v>3.85532828077042</v>
      </c>
      <c r="F215" s="26">
        <f t="shared" si="189"/>
        <v>6.3501054880975</v>
      </c>
      <c r="G215" s="26">
        <f t="shared" si="189"/>
        <v>6.3501054880975</v>
      </c>
      <c r="H215" s="26">
        <f t="shared" si="189"/>
        <v>6.3501054880975</v>
      </c>
      <c r="I215" s="26">
        <f t="shared" si="189"/>
        <v>6.3501054880975</v>
      </c>
      <c r="J215" s="26">
        <f t="shared" si="189"/>
        <v>6.3501054880975</v>
      </c>
      <c r="K215" s="26">
        <f t="shared" si="189"/>
        <v>6.3501054880975</v>
      </c>
      <c r="L215" s="26">
        <f t="shared" si="189"/>
        <v>6.3501054880975</v>
      </c>
      <c r="M215" s="26">
        <f t="shared" si="189"/>
        <v>6.3501054880975</v>
      </c>
      <c r="N215" s="26">
        <f t="shared" si="189"/>
        <v>6.3501054880975</v>
      </c>
      <c r="O215" s="26">
        <f t="shared" si="189"/>
        <v>6.3501054880975</v>
      </c>
      <c r="P215" s="26">
        <f t="shared" si="189"/>
        <v>2.29134490533235</v>
      </c>
      <c r="Q215" s="26">
        <f t="shared" si="189"/>
        <v>1.78666630447577</v>
      </c>
      <c r="R215" s="26">
        <f t="shared" si="189"/>
        <v>1.78666630447577</v>
      </c>
      <c r="S215" s="26">
        <f t="shared" si="189"/>
        <v>3.46719401660645</v>
      </c>
      <c r="T215" s="26">
        <f t="shared" si="189"/>
        <v>1.78666630447577</v>
      </c>
      <c r="U215" s="26">
        <f t="shared" si="189"/>
        <v>1.78666630447577</v>
      </c>
      <c r="V215" s="26">
        <f t="shared" si="189"/>
        <v>5.4286768261212</v>
      </c>
      <c r="W215" s="26">
        <f t="shared" si="189"/>
        <v>1.78666630447577</v>
      </c>
      <c r="X215" s="26">
        <f t="shared" si="189"/>
        <v>1.78666630447577</v>
      </c>
      <c r="Y215" s="26">
        <f t="shared" si="189"/>
        <v>1.78666630447578</v>
      </c>
      <c r="Z215" s="26">
        <f t="shared" si="189"/>
        <v>0</v>
      </c>
      <c r="AA215" s="26">
        <f t="shared" si="189"/>
        <v>0</v>
      </c>
      <c r="AB215" s="26">
        <f t="shared" si="189"/>
        <v>0</v>
      </c>
      <c r="AC215" s="26">
        <f t="shared" si="189"/>
        <v>0</v>
      </c>
      <c r="AD215" s="26">
        <f t="shared" si="189"/>
        <v>0</v>
      </c>
      <c r="AE215" s="26">
        <f t="shared" si="189"/>
        <v>0</v>
      </c>
      <c r="AF215" s="26">
        <f t="shared" si="189"/>
        <v>0</v>
      </c>
      <c r="AG215" s="26">
        <f t="shared" si="189"/>
        <v>0</v>
      </c>
      <c r="AH215" s="26">
        <f t="shared" si="189"/>
        <v>18286.5</v>
      </c>
      <c r="AI215" s="26">
        <f t="shared" si="189"/>
        <v>14920</v>
      </c>
      <c r="AJ215" s="26">
        <f t="shared" si="189"/>
        <v>0</v>
      </c>
      <c r="AK215" s="26">
        <f t="shared" si="189"/>
        <v>0</v>
      </c>
      <c r="AL215" s="26">
        <f t="shared" si="189"/>
        <v>0</v>
      </c>
      <c r="AM215" s="26">
        <f t="shared" si="189"/>
        <v>0</v>
      </c>
      <c r="AN215" s="26">
        <f t="shared" si="189"/>
        <v>0</v>
      </c>
      <c r="AO215" s="26">
        <f t="shared" si="189"/>
        <v>0</v>
      </c>
      <c r="AP215" s="26">
        <f t="shared" si="189"/>
        <v>0</v>
      </c>
      <c r="AQ215" s="26">
        <f t="shared" si="189"/>
        <v>0</v>
      </c>
      <c r="AR215" s="26">
        <f t="shared" si="189"/>
        <v>0</v>
      </c>
    </row>
    <row r="216" spans="1:44">
      <c r="A216" t="s">
        <v>2383</v>
      </c>
      <c r="B216" s="26">
        <f t="shared" ref="B216:AR216" si="190">SUMIFS($B197:$AP197,$B$86:$AP$86,B$105-VLOOKUP($A216,$AK$6:$AM$21,3,FALSE))</f>
        <v>0</v>
      </c>
      <c r="C216" s="26">
        <f t="shared" si="190"/>
        <v>0</v>
      </c>
      <c r="D216" s="26">
        <f t="shared" si="190"/>
        <v>0</v>
      </c>
      <c r="E216" s="26">
        <f t="shared" si="190"/>
        <v>53.3462431749658</v>
      </c>
      <c r="F216" s="26">
        <f t="shared" si="190"/>
        <v>87.8665179420314</v>
      </c>
      <c r="G216" s="26">
        <f t="shared" si="190"/>
        <v>87.8665179420314</v>
      </c>
      <c r="H216" s="26">
        <f t="shared" si="190"/>
        <v>87.8665179420314</v>
      </c>
      <c r="I216" s="26">
        <f t="shared" si="190"/>
        <v>87.8665179420314</v>
      </c>
      <c r="J216" s="26">
        <f t="shared" si="190"/>
        <v>87.8665179420314</v>
      </c>
      <c r="K216" s="26">
        <f t="shared" si="190"/>
        <v>87.8665179420314</v>
      </c>
      <c r="L216" s="26">
        <f t="shared" si="190"/>
        <v>87.8665179420314</v>
      </c>
      <c r="M216" s="26">
        <f t="shared" si="190"/>
        <v>87.8665179420314</v>
      </c>
      <c r="N216" s="26">
        <f t="shared" si="190"/>
        <v>87.8665179420314</v>
      </c>
      <c r="O216" s="26">
        <f t="shared" si="190"/>
        <v>87.8665179420314</v>
      </c>
      <c r="P216" s="26">
        <f t="shared" si="190"/>
        <v>31.7053785347568</v>
      </c>
      <c r="Q216" s="26">
        <f t="shared" si="190"/>
        <v>24.7221321272377</v>
      </c>
      <c r="R216" s="26">
        <f t="shared" si="190"/>
        <v>24.7221321272377</v>
      </c>
      <c r="S216" s="26">
        <f t="shared" si="190"/>
        <v>47.9756227419662</v>
      </c>
      <c r="T216" s="26">
        <f t="shared" si="190"/>
        <v>24.7221321272377</v>
      </c>
      <c r="U216" s="26">
        <f t="shared" si="190"/>
        <v>24.7221321272377</v>
      </c>
      <c r="V216" s="26">
        <f t="shared" si="190"/>
        <v>75.1166938309836</v>
      </c>
      <c r="W216" s="26">
        <f t="shared" si="190"/>
        <v>24.7221321272377</v>
      </c>
      <c r="X216" s="26">
        <f t="shared" si="190"/>
        <v>24.7221321272377</v>
      </c>
      <c r="Y216" s="26">
        <f t="shared" si="190"/>
        <v>24.7221321272377</v>
      </c>
      <c r="Z216" s="26">
        <f t="shared" si="190"/>
        <v>0</v>
      </c>
      <c r="AA216" s="26">
        <f t="shared" si="190"/>
        <v>0</v>
      </c>
      <c r="AB216" s="26">
        <f t="shared" si="190"/>
        <v>0</v>
      </c>
      <c r="AC216" s="26">
        <f t="shared" si="190"/>
        <v>0</v>
      </c>
      <c r="AD216" s="26">
        <f t="shared" si="190"/>
        <v>0</v>
      </c>
      <c r="AE216" s="26">
        <f t="shared" si="190"/>
        <v>0</v>
      </c>
      <c r="AF216" s="26">
        <f t="shared" si="190"/>
        <v>0</v>
      </c>
      <c r="AG216" s="26">
        <f t="shared" si="190"/>
        <v>0</v>
      </c>
      <c r="AH216" s="26">
        <f t="shared" si="190"/>
        <v>0</v>
      </c>
      <c r="AI216" s="26">
        <f t="shared" si="190"/>
        <v>0</v>
      </c>
      <c r="AJ216" s="26">
        <f t="shared" si="190"/>
        <v>0</v>
      </c>
      <c r="AK216" s="26">
        <f t="shared" si="190"/>
        <v>0</v>
      </c>
      <c r="AL216" s="26">
        <f t="shared" si="190"/>
        <v>0</v>
      </c>
      <c r="AM216" s="26">
        <f t="shared" si="190"/>
        <v>0</v>
      </c>
      <c r="AN216" s="26">
        <f t="shared" si="190"/>
        <v>0</v>
      </c>
      <c r="AO216" s="26">
        <f t="shared" si="190"/>
        <v>0</v>
      </c>
      <c r="AP216" s="26">
        <f t="shared" si="190"/>
        <v>0</v>
      </c>
      <c r="AQ216" s="26">
        <f t="shared" si="190"/>
        <v>0</v>
      </c>
      <c r="AR216" s="26">
        <f t="shared" si="190"/>
        <v>0</v>
      </c>
    </row>
    <row r="217" spans="1:44">
      <c r="A217" t="s">
        <v>2384</v>
      </c>
      <c r="B217" s="26">
        <f t="shared" ref="B217:AR217" si="191">SUMIFS($B198:$AP198,$B$86:$AP$86,B$105-VLOOKUP($A217,$AK$6:$AM$21,3,FALSE))</f>
        <v>0</v>
      </c>
      <c r="C217" s="26">
        <f t="shared" si="191"/>
        <v>0</v>
      </c>
      <c r="D217" s="26">
        <f t="shared" si="191"/>
        <v>15.1</v>
      </c>
      <c r="E217" s="26">
        <f t="shared" si="191"/>
        <v>15.1</v>
      </c>
      <c r="F217" s="26">
        <f t="shared" si="191"/>
        <v>15.1</v>
      </c>
      <c r="G217" s="26">
        <f t="shared" si="191"/>
        <v>15.1</v>
      </c>
      <c r="H217" s="26">
        <f t="shared" si="191"/>
        <v>15.1</v>
      </c>
      <c r="I217" s="26">
        <f t="shared" si="191"/>
        <v>15.1</v>
      </c>
      <c r="J217" s="26">
        <f t="shared" si="191"/>
        <v>15.1</v>
      </c>
      <c r="K217" s="26">
        <f t="shared" si="191"/>
        <v>15.1</v>
      </c>
      <c r="L217" s="26">
        <f t="shared" si="191"/>
        <v>15.1</v>
      </c>
      <c r="M217" s="26">
        <f t="shared" si="191"/>
        <v>15.1</v>
      </c>
      <c r="N217" s="26">
        <f t="shared" si="191"/>
        <v>15.1</v>
      </c>
      <c r="O217" s="26">
        <f t="shared" si="191"/>
        <v>514.75</v>
      </c>
      <c r="P217" s="26">
        <f t="shared" si="191"/>
        <v>514.75</v>
      </c>
      <c r="Q217" s="26">
        <f t="shared" si="191"/>
        <v>514.75</v>
      </c>
      <c r="R217" s="26">
        <f t="shared" si="191"/>
        <v>514.75</v>
      </c>
      <c r="S217" s="26">
        <f t="shared" si="191"/>
        <v>514.75</v>
      </c>
      <c r="T217" s="26">
        <f t="shared" si="191"/>
        <v>514.75</v>
      </c>
      <c r="U217" s="26">
        <f t="shared" si="191"/>
        <v>514.75</v>
      </c>
      <c r="V217" s="26">
        <f t="shared" si="191"/>
        <v>514.75</v>
      </c>
      <c r="W217" s="26">
        <f t="shared" si="191"/>
        <v>232.5</v>
      </c>
      <c r="X217" s="26">
        <f t="shared" si="191"/>
        <v>433</v>
      </c>
      <c r="Y217" s="26">
        <f t="shared" si="191"/>
        <v>654</v>
      </c>
      <c r="Z217" s="26">
        <f t="shared" si="191"/>
        <v>786.8</v>
      </c>
      <c r="AA217" s="26">
        <f t="shared" si="191"/>
        <v>574.8</v>
      </c>
      <c r="AB217" s="26">
        <f t="shared" si="191"/>
        <v>705.2</v>
      </c>
      <c r="AC217" s="26">
        <f t="shared" si="191"/>
        <v>474</v>
      </c>
      <c r="AD217" s="26">
        <f t="shared" si="191"/>
        <v>633.5</v>
      </c>
      <c r="AE217" s="26">
        <f t="shared" si="191"/>
        <v>810</v>
      </c>
      <c r="AF217" s="26">
        <f t="shared" si="191"/>
        <v>952.6</v>
      </c>
      <c r="AG217" s="26">
        <f t="shared" si="191"/>
        <v>1189.5</v>
      </c>
      <c r="AH217" s="26">
        <f t="shared" si="191"/>
        <v>3002.3</v>
      </c>
      <c r="AI217" s="26">
        <f t="shared" si="191"/>
        <v>6297.6</v>
      </c>
      <c r="AJ217" s="26">
        <f t="shared" si="191"/>
        <v>2880</v>
      </c>
      <c r="AK217" s="26">
        <f t="shared" si="191"/>
        <v>1600</v>
      </c>
      <c r="AL217" s="26">
        <f t="shared" si="191"/>
        <v>0</v>
      </c>
      <c r="AM217" s="26">
        <f t="shared" si="191"/>
        <v>0</v>
      </c>
      <c r="AN217" s="26">
        <f t="shared" si="191"/>
        <v>0</v>
      </c>
      <c r="AO217" s="26">
        <f t="shared" si="191"/>
        <v>0</v>
      </c>
      <c r="AP217" s="26">
        <f t="shared" si="191"/>
        <v>0</v>
      </c>
      <c r="AQ217" s="26">
        <f t="shared" si="191"/>
        <v>0</v>
      </c>
      <c r="AR217" s="26">
        <f t="shared" si="191"/>
        <v>0</v>
      </c>
    </row>
    <row r="219" ht="13.1" spans="1:44">
      <c r="A219" s="3" t="s">
        <v>2402</v>
      </c>
    </row>
    <row r="220" spans="1:44">
      <c r="A220" s="21" t="s">
        <v>2395</v>
      </c>
      <c r="B220" s="22">
        <v>2018</v>
      </c>
      <c r="C220" s="22">
        <v>2019</v>
      </c>
      <c r="D220" s="22">
        <v>2020</v>
      </c>
      <c r="E220" s="22">
        <v>2021</v>
      </c>
      <c r="F220" s="22">
        <v>2022</v>
      </c>
      <c r="G220" s="22">
        <v>2023</v>
      </c>
      <c r="H220" s="22">
        <v>2024</v>
      </c>
      <c r="I220" s="22">
        <v>2025</v>
      </c>
      <c r="J220" s="22">
        <v>2026</v>
      </c>
      <c r="K220" s="22">
        <v>2027</v>
      </c>
      <c r="L220" s="22">
        <v>2028</v>
      </c>
      <c r="M220" s="22">
        <v>2029</v>
      </c>
      <c r="N220" s="22">
        <v>2030</v>
      </c>
      <c r="O220" s="22">
        <v>2031</v>
      </c>
      <c r="P220" s="22">
        <v>2032</v>
      </c>
      <c r="Q220" s="22">
        <v>2033</v>
      </c>
      <c r="R220" s="22">
        <v>2034</v>
      </c>
      <c r="S220" s="22">
        <v>2035</v>
      </c>
      <c r="T220" s="22">
        <v>2036</v>
      </c>
      <c r="U220" s="22">
        <v>2037</v>
      </c>
      <c r="V220" s="22">
        <v>2038</v>
      </c>
      <c r="W220" s="22">
        <v>2039</v>
      </c>
      <c r="X220" s="22">
        <v>2040</v>
      </c>
      <c r="Y220" s="22">
        <v>2041</v>
      </c>
      <c r="Z220" s="22">
        <v>2042</v>
      </c>
      <c r="AA220" s="22">
        <v>2043</v>
      </c>
      <c r="AB220" s="22">
        <v>2044</v>
      </c>
      <c r="AC220" s="22">
        <v>2045</v>
      </c>
      <c r="AD220" s="22">
        <v>2046</v>
      </c>
      <c r="AE220" s="22">
        <v>2047</v>
      </c>
      <c r="AF220" s="22">
        <v>2048</v>
      </c>
      <c r="AG220" s="22">
        <v>2049</v>
      </c>
      <c r="AH220" s="22">
        <v>2050</v>
      </c>
      <c r="AI220" s="22">
        <v>2051</v>
      </c>
      <c r="AJ220" s="22">
        <v>2052</v>
      </c>
      <c r="AK220" s="22">
        <v>2053</v>
      </c>
      <c r="AL220" s="22">
        <v>2054</v>
      </c>
      <c r="AM220" s="22">
        <v>2055</v>
      </c>
      <c r="AN220" s="22">
        <v>2056</v>
      </c>
      <c r="AO220" s="22">
        <v>2057</v>
      </c>
      <c r="AP220" s="22">
        <v>2058</v>
      </c>
      <c r="AQ220" s="22">
        <v>2059</v>
      </c>
      <c r="AR220" s="22">
        <v>2060</v>
      </c>
    </row>
    <row r="221" spans="1:44">
      <c r="A221" t="s">
        <v>2369</v>
      </c>
      <c r="B221">
        <v>0</v>
      </c>
      <c r="C221">
        <v>0</v>
      </c>
      <c r="D221" s="37">
        <f>VLOOKUP($B$1,'06-23Closure'!$A$2:$V$34,COLUMN(S97),FALSE)*10</f>
        <v>14693</v>
      </c>
      <c r="E221" s="37">
        <f>VLOOKUP($B$1,'06-23Closure'!$A$2:$V$34,COLUMN(T97),FALSE)*10</f>
        <v>4993</v>
      </c>
      <c r="F221" s="37">
        <f>VLOOKUP($B$1,'06-23Closure'!$A$2:$V$34,COLUMN(U97),FALSE)*10</f>
        <v>7040</v>
      </c>
      <c r="G221" s="37">
        <f>VLOOKUP($B$1,'06-23Closure'!$A$2:$V$34,COLUMN(V97),FALSE)*10</f>
        <v>7270</v>
      </c>
      <c r="H221" s="26">
        <f>IF(SUM($B202:G202)&gt;SUM($D221:$G221),H202,MAX(0,SUM($B202:H202)-SUM($D221:$G221)))</f>
        <v>0</v>
      </c>
      <c r="I221" s="26">
        <f>IF(SUM($B202:H202)&gt;SUM($D221:$G221),I202,MAX(0,SUM($B202:I202)-SUM($D221:$G221)))</f>
        <v>0</v>
      </c>
      <c r="J221" s="26">
        <f>IF(SUM($B202:I202)&gt;SUM($D221:$G221),J202,MAX(0,SUM($B202:J202)-SUM($D221:$G221)))</f>
        <v>0</v>
      </c>
      <c r="K221" s="26">
        <f>IF(SUM($B202:J202)&gt;SUM($D221:$G221),K202,MAX(0,SUM($B202:K202)-SUM($D221:$G221)))</f>
        <v>0</v>
      </c>
      <c r="L221" s="26">
        <f>IF(SUM($B202:K202)&gt;SUM($D221:$G221),L202,MAX(0,SUM($B202:L202)-SUM($D221:$G221)))</f>
        <v>0</v>
      </c>
      <c r="M221" s="26">
        <f>IF(SUM($B202:L202)&gt;SUM($D221:$G221),M202,MAX(0,SUM($B202:M202)-SUM($D221:$G221)))</f>
        <v>0</v>
      </c>
      <c r="N221" s="26">
        <f>IF(SUM($B202:M202)&gt;SUM($D221:$G221),N202,MAX(0,SUM($B202:N202)-SUM($D221:$G221)))</f>
        <v>0</v>
      </c>
      <c r="O221" s="26">
        <f>IF(SUM($B202:N202)&gt;SUM($D221:$G221),O202,MAX(0,SUM($B202:O202)-SUM($D221:$G221)))</f>
        <v>0</v>
      </c>
      <c r="P221" s="26">
        <f>IF(SUM($B202:O202)&gt;SUM($D221:$G221),P202,MAX(0,SUM($B202:P202)-SUM($D221:$G221)))</f>
        <v>0</v>
      </c>
      <c r="Q221" s="26">
        <f>IF(SUM($B202:P202)&gt;SUM($D221:$G221),Q202,MAX(0,SUM($B202:Q202)-SUM($D221:$G221)))</f>
        <v>20245.6409999998</v>
      </c>
      <c r="R221" s="26">
        <f>IF(SUM($B202:Q202)&gt;SUM($D221:$G221),R202,MAX(0,SUM($B202:R202)-SUM($D221:$G221)))</f>
        <v>45933.375</v>
      </c>
      <c r="S221" s="26">
        <f>IF(SUM($B202:R202)&gt;SUM($D221:$G221),S202,MAX(0,SUM($B202:S202)-SUM($D221:$G221)))</f>
        <v>60327</v>
      </c>
      <c r="T221" s="26">
        <f>IF(SUM($B202:S202)&gt;SUM($D221:$G221),T202,MAX(0,SUM($B202:T202)-SUM($D221:$G221)))</f>
        <v>92699</v>
      </c>
      <c r="U221" s="26">
        <f>IF(SUM($B202:T202)&gt;SUM($D221:$G221),U202,MAX(0,SUM($B202:U202)-SUM($D221:$G221)))</f>
        <v>89132.345</v>
      </c>
      <c r="V221" s="26">
        <f>IF(SUM($B202:U202)&gt;SUM($D221:$G221),V202,MAX(0,SUM($B202:V202)-SUM($D221:$G221)))</f>
        <v>70989.9865555555</v>
      </c>
      <c r="W221" s="26">
        <f>IF(SUM($B202:V202)&gt;SUM($D221:$G221),W202,MAX(0,SUM($B202:W202)-SUM($D221:$G221)))</f>
        <v>72437.0865555556</v>
      </c>
      <c r="X221" s="26">
        <f>IF(SUM($B202:W202)&gt;SUM($D221:$G221),X202,MAX(0,SUM($B202:X202)-SUM($D221:$G221)))</f>
        <v>64840.9865555556</v>
      </c>
      <c r="Y221" s="26">
        <f>IF(SUM($B202:X202)&gt;SUM($D221:$G221),Y202,MAX(0,SUM($B202:Y202)-SUM($D221:$G221)))</f>
        <v>67105.9865555556</v>
      </c>
      <c r="Z221" s="26">
        <f>IF(SUM($B202:Y202)&gt;SUM($D221:$G221),Z202,MAX(0,SUM($B202:Z202)-SUM($D221:$G221)))</f>
        <v>56889.3865555556</v>
      </c>
      <c r="AA221" s="26">
        <f>IF(SUM($B202:Z202)&gt;SUM($D221:$G221),AA202,MAX(0,SUM($B202:AA202)-SUM($D221:$G221)))</f>
        <v>44438.4865555556</v>
      </c>
      <c r="AB221" s="26">
        <f>IF(SUM($B202:AA202)&gt;SUM($D221:$G221),AB202,MAX(0,SUM($B202:AB202)-SUM($D221:$G221)))</f>
        <v>45250.2865555555</v>
      </c>
      <c r="AC221" s="26">
        <f>IF(SUM($B202:AB202)&gt;SUM($D221:$G221),AC202,MAX(0,SUM($B202:AC202)-SUM($D221:$G221)))</f>
        <v>64592.1865555556</v>
      </c>
      <c r="AD221" s="26">
        <f>IF(SUM($B202:AC202)&gt;SUM($D221:$G221),AD202,MAX(0,SUM($B202:AD202)-SUM($D221:$G221)))</f>
        <v>50227.9865555556</v>
      </c>
      <c r="AE221" s="26">
        <f>IF(SUM($B202:AD202)&gt;SUM($D221:$G221),AE202,MAX(0,SUM($B202:AE202)-SUM($D221:$G221)))</f>
        <v>45106.22</v>
      </c>
      <c r="AF221" s="26">
        <f>IF(SUM($B202:AE202)&gt;SUM($D221:$G221),AF202,MAX(0,SUM($B202:AF202)-SUM($D221:$G221)))</f>
        <v>40627.02</v>
      </c>
      <c r="AG221" s="26">
        <f>IF(SUM($B202:AF202)&gt;SUM($D221:$G221),AG202,MAX(0,SUM($B202:AG202)-SUM($D221:$G221)))</f>
        <v>41030.02</v>
      </c>
      <c r="AH221" s="26">
        <f>IF(SUM($B202:AG202)&gt;SUM($D221:$G221),AH202,MAX(0,SUM($B202:AH202)-SUM($D221:$G221)))</f>
        <v>38613</v>
      </c>
      <c r="AI221" s="26">
        <f>IF(SUM($B202:AH202)&gt;SUM($D221:$G221),AI202,MAX(0,SUM($B202:AI202)-SUM($D221:$G221)))</f>
        <v>28053</v>
      </c>
      <c r="AJ221" s="26">
        <f>IF(SUM($B202:AI202)&gt;SUM($D221:$G221),AJ202,MAX(0,SUM($B202:AJ202)-SUM($D221:$G221)))</f>
        <v>28272</v>
      </c>
      <c r="AK221" s="26">
        <f>IF(SUM($B202:AJ202)&gt;SUM($D221:$G221),AK202,MAX(0,SUM($B202:AK202)-SUM($D221:$G221)))</f>
        <v>48098</v>
      </c>
      <c r="AL221" s="26">
        <f>IF(SUM($B202:AK202)&gt;SUM($D221:$G221),AL202,MAX(0,SUM($B202:AL202)-SUM($D221:$G221)))</f>
        <v>44485</v>
      </c>
      <c r="AM221" s="26">
        <f>IF(SUM($B202:AL202)&gt;SUM($D221:$G221),AM202,MAX(0,SUM($B202:AM202)-SUM($D221:$G221)))</f>
        <v>79084</v>
      </c>
      <c r="AN221" s="26">
        <f>IF(SUM($B202:AM202)&gt;SUM($D221:$G221),AN202,MAX(0,SUM($B202:AN202)-SUM($D221:$G221)))</f>
        <v>33295</v>
      </c>
      <c r="AO221" s="26">
        <f>IF(SUM($B202:AN202)&gt;SUM($D221:$G221),AO202,MAX(0,SUM($B202:AO202)-SUM($D221:$G221)))</f>
        <v>14086</v>
      </c>
      <c r="AP221" s="26">
        <f>IF(SUM($B202:AO202)&gt;SUM($D221:$G221),AP202,MAX(0,SUM($B202:AP202)-SUM($D221:$G221)))</f>
        <v>12762</v>
      </c>
      <c r="AQ221" s="26">
        <f>IF(SUM($B202:AP202)&gt;SUM($D221:$G221),AQ202,MAX(0,SUM($B202:AQ202)-SUM($D221:$G221)))</f>
        <v>12762</v>
      </c>
      <c r="AR221" s="26">
        <f>IF(SUM($B202:AQ202)&gt;SUM($D221:$G221),AR202,MAX(0,SUM($B202:AR202)-SUM($D221:$G221)))</f>
        <v>0</v>
      </c>
    </row>
    <row r="222" spans="1:44">
      <c r="A222" t="s">
        <v>2370</v>
      </c>
      <c r="B222" s="26">
        <f>B203</f>
        <v>0</v>
      </c>
      <c r="C222" s="26">
        <f t="shared" ref="C222:AP228" si="192">C203</f>
        <v>0</v>
      </c>
      <c r="D222" s="26">
        <f t="shared" si="192"/>
        <v>0</v>
      </c>
      <c r="E222" s="26">
        <f t="shared" si="192"/>
        <v>0</v>
      </c>
      <c r="F222" s="26">
        <f t="shared" si="192"/>
        <v>0</v>
      </c>
      <c r="G222" s="26">
        <f t="shared" si="192"/>
        <v>0</v>
      </c>
      <c r="H222" s="26">
        <f t="shared" si="192"/>
        <v>0</v>
      </c>
      <c r="I222" s="26">
        <f t="shared" si="192"/>
        <v>0</v>
      </c>
      <c r="J222" s="26">
        <f t="shared" si="192"/>
        <v>0</v>
      </c>
      <c r="K222" s="26">
        <f t="shared" si="192"/>
        <v>0</v>
      </c>
      <c r="L222" s="26">
        <f t="shared" si="192"/>
        <v>0</v>
      </c>
      <c r="M222" s="26">
        <f t="shared" si="192"/>
        <v>0</v>
      </c>
      <c r="N222" s="26">
        <f t="shared" si="192"/>
        <v>0</v>
      </c>
      <c r="O222" s="26">
        <f t="shared" si="192"/>
        <v>0</v>
      </c>
      <c r="P222" s="26">
        <f t="shared" si="192"/>
        <v>0</v>
      </c>
      <c r="Q222" s="26">
        <f t="shared" si="192"/>
        <v>0</v>
      </c>
      <c r="R222" s="26">
        <f t="shared" si="192"/>
        <v>0</v>
      </c>
      <c r="S222" s="26">
        <f t="shared" si="192"/>
        <v>76.1040000000104</v>
      </c>
      <c r="T222" s="26">
        <f t="shared" si="192"/>
        <v>250.46</v>
      </c>
      <c r="U222" s="26">
        <f t="shared" si="192"/>
        <v>271.46</v>
      </c>
      <c r="V222" s="26">
        <f t="shared" si="192"/>
        <v>282.1</v>
      </c>
      <c r="W222" s="26">
        <f t="shared" si="192"/>
        <v>0</v>
      </c>
      <c r="X222" s="26">
        <f t="shared" si="192"/>
        <v>2075.99</v>
      </c>
      <c r="Y222" s="26">
        <f t="shared" si="192"/>
        <v>3130.19</v>
      </c>
      <c r="Z222" s="26">
        <f t="shared" si="192"/>
        <v>2853.403</v>
      </c>
      <c r="AA222" s="26">
        <f t="shared" si="192"/>
        <v>990.577</v>
      </c>
      <c r="AB222" s="26">
        <f t="shared" si="192"/>
        <v>2589.72</v>
      </c>
      <c r="AC222" s="26">
        <f t="shared" si="192"/>
        <v>2061.0044</v>
      </c>
      <c r="AD222" s="26">
        <f t="shared" si="192"/>
        <v>1654.4444</v>
      </c>
      <c r="AE222" s="26">
        <f t="shared" si="192"/>
        <v>2231.6644</v>
      </c>
      <c r="AF222" s="26">
        <f t="shared" si="192"/>
        <v>4965.7244</v>
      </c>
      <c r="AG222" s="26">
        <f t="shared" si="192"/>
        <v>9113.7144</v>
      </c>
      <c r="AH222" s="26">
        <f t="shared" si="192"/>
        <v>8573.0344</v>
      </c>
      <c r="AI222" s="26">
        <f t="shared" si="192"/>
        <v>5222.2044</v>
      </c>
      <c r="AJ222" s="26">
        <f t="shared" si="192"/>
        <v>4792.0964</v>
      </c>
      <c r="AK222" s="26">
        <f t="shared" si="192"/>
        <v>6977.8464</v>
      </c>
      <c r="AL222" s="26">
        <f t="shared" si="192"/>
        <v>4898.7064</v>
      </c>
      <c r="AM222" s="26">
        <f t="shared" si="192"/>
        <v>0</v>
      </c>
      <c r="AN222" s="26">
        <f t="shared" si="192"/>
        <v>0</v>
      </c>
      <c r="AO222" s="26">
        <f t="shared" si="192"/>
        <v>0</v>
      </c>
      <c r="AP222" s="26">
        <f t="shared" si="192"/>
        <v>0</v>
      </c>
      <c r="AQ222" s="26">
        <f>IF(SUM($B203:AP203)&gt;SUM($D222:$G222),AQ203,MAX(0,SUM($B203:AQ203)-SUM($D222:$G222)))</f>
        <v>0</v>
      </c>
      <c r="AR222" s="26">
        <f>IF(SUM($B203:AQ203)&gt;SUM($D222:$G222),AR203,MAX(0,SUM($B203:AR203)-SUM($D222:$G222)))</f>
        <v>0</v>
      </c>
    </row>
    <row r="223" spans="1:44">
      <c r="A223" t="s">
        <v>2371</v>
      </c>
      <c r="B223" s="26">
        <f t="shared" ref="B223:Q223" si="193">B204</f>
        <v>0</v>
      </c>
      <c r="C223" s="26">
        <f t="shared" si="193"/>
        <v>0</v>
      </c>
      <c r="D223" s="26">
        <f t="shared" si="193"/>
        <v>0</v>
      </c>
      <c r="E223" s="26">
        <f t="shared" si="193"/>
        <v>0</v>
      </c>
      <c r="F223" s="26">
        <f t="shared" si="193"/>
        <v>0</v>
      </c>
      <c r="G223" s="26">
        <f t="shared" si="193"/>
        <v>0</v>
      </c>
      <c r="H223" s="26">
        <f t="shared" si="193"/>
        <v>0</v>
      </c>
      <c r="I223" s="26">
        <f t="shared" si="193"/>
        <v>0</v>
      </c>
      <c r="J223" s="26">
        <f t="shared" si="193"/>
        <v>0</v>
      </c>
      <c r="K223" s="26">
        <f t="shared" si="193"/>
        <v>0</v>
      </c>
      <c r="L223" s="26">
        <f t="shared" si="193"/>
        <v>0</v>
      </c>
      <c r="M223" s="26">
        <f t="shared" si="193"/>
        <v>0</v>
      </c>
      <c r="N223" s="26">
        <f t="shared" si="193"/>
        <v>0</v>
      </c>
      <c r="O223" s="26">
        <f t="shared" si="193"/>
        <v>0</v>
      </c>
      <c r="P223" s="26">
        <f t="shared" si="193"/>
        <v>0</v>
      </c>
      <c r="Q223" s="26">
        <f t="shared" si="193"/>
        <v>0</v>
      </c>
      <c r="R223" s="26">
        <f t="shared" si="192"/>
        <v>0</v>
      </c>
      <c r="S223" s="26">
        <f t="shared" si="192"/>
        <v>0</v>
      </c>
      <c r="T223" s="26">
        <f t="shared" si="192"/>
        <v>0</v>
      </c>
      <c r="U223" s="26">
        <f t="shared" si="192"/>
        <v>0</v>
      </c>
      <c r="V223" s="26">
        <f t="shared" si="192"/>
        <v>0</v>
      </c>
      <c r="W223" s="26">
        <f t="shared" si="192"/>
        <v>0</v>
      </c>
      <c r="X223" s="26">
        <f t="shared" si="192"/>
        <v>0</v>
      </c>
      <c r="Y223" s="26">
        <f t="shared" si="192"/>
        <v>0</v>
      </c>
      <c r="Z223" s="26">
        <f t="shared" si="192"/>
        <v>0</v>
      </c>
      <c r="AA223" s="26">
        <f t="shared" si="192"/>
        <v>964.639999999985</v>
      </c>
      <c r="AB223" s="26">
        <f t="shared" si="192"/>
        <v>964.639999999985</v>
      </c>
      <c r="AC223" s="26">
        <f t="shared" si="192"/>
        <v>0</v>
      </c>
      <c r="AD223" s="26">
        <f t="shared" si="192"/>
        <v>0</v>
      </c>
      <c r="AE223" s="26">
        <f t="shared" si="192"/>
        <v>0</v>
      </c>
      <c r="AF223" s="26">
        <f t="shared" si="192"/>
        <v>0</v>
      </c>
      <c r="AG223" s="26">
        <f t="shared" si="192"/>
        <v>0</v>
      </c>
      <c r="AH223" s="26">
        <f t="shared" si="192"/>
        <v>0</v>
      </c>
      <c r="AI223" s="26">
        <f t="shared" si="192"/>
        <v>0</v>
      </c>
      <c r="AJ223" s="26">
        <f t="shared" si="192"/>
        <v>3338.63999999998</v>
      </c>
      <c r="AK223" s="26">
        <f t="shared" si="192"/>
        <v>728</v>
      </c>
      <c r="AL223" s="26">
        <f t="shared" si="192"/>
        <v>650</v>
      </c>
      <c r="AM223" s="26">
        <f t="shared" si="192"/>
        <v>0</v>
      </c>
      <c r="AN223" s="26">
        <f t="shared" si="192"/>
        <v>1060</v>
      </c>
      <c r="AO223" s="26">
        <f t="shared" si="192"/>
        <v>1060</v>
      </c>
      <c r="AP223" s="26">
        <f t="shared" si="192"/>
        <v>33.8888888888889</v>
      </c>
      <c r="AQ223" s="26">
        <f>IF(SUM($B204:AP204)&gt;SUM($D223:$G223),AQ204,MAX(0,SUM($B204:AQ204)-SUM($D223:$G223)))</f>
        <v>33.8888888888889</v>
      </c>
      <c r="AR223" s="26">
        <f>IF(SUM($B204:AQ204)&gt;SUM($D223:$G223),AR204,MAX(0,SUM($B204:AR204)-SUM($D223:$G223)))</f>
        <v>1779.88888888889</v>
      </c>
    </row>
    <row r="224" spans="1:44">
      <c r="A224" t="s">
        <v>2372</v>
      </c>
      <c r="B224" s="26">
        <f t="shared" ref="B224" si="194">B205</f>
        <v>0</v>
      </c>
      <c r="C224" s="26">
        <f t="shared" si="192"/>
        <v>0</v>
      </c>
      <c r="D224" s="26">
        <f t="shared" si="192"/>
        <v>0</v>
      </c>
      <c r="E224" s="26">
        <f t="shared" si="192"/>
        <v>0</v>
      </c>
      <c r="F224" s="26">
        <f t="shared" si="192"/>
        <v>0</v>
      </c>
      <c r="G224" s="26">
        <f t="shared" si="192"/>
        <v>0</v>
      </c>
      <c r="H224" s="26">
        <f t="shared" si="192"/>
        <v>0</v>
      </c>
      <c r="I224" s="26">
        <f t="shared" si="192"/>
        <v>0</v>
      </c>
      <c r="J224" s="26">
        <f t="shared" si="192"/>
        <v>0</v>
      </c>
      <c r="K224" s="26">
        <f t="shared" si="192"/>
        <v>0</v>
      </c>
      <c r="L224" s="26">
        <f t="shared" si="192"/>
        <v>0</v>
      </c>
      <c r="M224" s="26">
        <f t="shared" si="192"/>
        <v>0</v>
      </c>
      <c r="N224" s="26">
        <f t="shared" si="192"/>
        <v>0</v>
      </c>
      <c r="O224" s="26">
        <f t="shared" si="192"/>
        <v>0</v>
      </c>
      <c r="P224" s="26">
        <f t="shared" si="192"/>
        <v>0</v>
      </c>
      <c r="Q224" s="26">
        <f t="shared" si="192"/>
        <v>0</v>
      </c>
      <c r="R224" s="26">
        <f t="shared" si="192"/>
        <v>0</v>
      </c>
      <c r="S224" s="26">
        <f t="shared" si="192"/>
        <v>0</v>
      </c>
      <c r="T224" s="26">
        <f t="shared" si="192"/>
        <v>0</v>
      </c>
      <c r="U224" s="26">
        <f t="shared" si="192"/>
        <v>0</v>
      </c>
      <c r="V224" s="26">
        <f t="shared" si="192"/>
        <v>0</v>
      </c>
      <c r="W224" s="26">
        <f t="shared" si="192"/>
        <v>0</v>
      </c>
      <c r="X224" s="26">
        <f t="shared" si="192"/>
        <v>0</v>
      </c>
      <c r="Y224" s="26">
        <f t="shared" si="192"/>
        <v>0</v>
      </c>
      <c r="Z224" s="26">
        <f t="shared" si="192"/>
        <v>0</v>
      </c>
      <c r="AA224" s="26">
        <f t="shared" si="192"/>
        <v>0</v>
      </c>
      <c r="AB224" s="26">
        <f t="shared" si="192"/>
        <v>0</v>
      </c>
      <c r="AC224" s="26">
        <f t="shared" si="192"/>
        <v>0</v>
      </c>
      <c r="AD224" s="26">
        <f t="shared" si="192"/>
        <v>0</v>
      </c>
      <c r="AE224" s="26">
        <f t="shared" si="192"/>
        <v>0</v>
      </c>
      <c r="AF224" s="26">
        <f t="shared" si="192"/>
        <v>0</v>
      </c>
      <c r="AG224" s="26">
        <f t="shared" si="192"/>
        <v>0</v>
      </c>
      <c r="AH224" s="26">
        <f t="shared" si="192"/>
        <v>0</v>
      </c>
      <c r="AI224" s="26">
        <f t="shared" si="192"/>
        <v>0</v>
      </c>
      <c r="AJ224" s="26">
        <f t="shared" si="192"/>
        <v>0</v>
      </c>
      <c r="AK224" s="26">
        <f t="shared" si="192"/>
        <v>0</v>
      </c>
      <c r="AL224" s="26">
        <f t="shared" si="192"/>
        <v>0</v>
      </c>
      <c r="AM224" s="26">
        <f t="shared" si="192"/>
        <v>0</v>
      </c>
      <c r="AN224" s="26">
        <f t="shared" si="192"/>
        <v>0</v>
      </c>
      <c r="AO224" s="26">
        <f t="shared" si="192"/>
        <v>0</v>
      </c>
      <c r="AP224" s="26">
        <f t="shared" si="192"/>
        <v>0</v>
      </c>
      <c r="AQ224" s="26">
        <f>IF(SUM($B205:AP205)&gt;SUM($D224:$G224),AQ205,MAX(0,SUM($B205:AQ205)-SUM($D224:$G224)))</f>
        <v>0</v>
      </c>
      <c r="AR224" s="26">
        <f>IF(SUM($B205:AQ205)&gt;SUM($D224:$G224),AR205,MAX(0,SUM($B205:AR205)-SUM($D224:$G224)))</f>
        <v>0</v>
      </c>
    </row>
    <row r="225" spans="1:44">
      <c r="A225" t="s">
        <v>2373</v>
      </c>
      <c r="B225" s="26">
        <f t="shared" ref="B225" si="195">B206</f>
        <v>0</v>
      </c>
      <c r="C225" s="26">
        <f t="shared" si="192"/>
        <v>0</v>
      </c>
      <c r="D225" s="26">
        <f t="shared" si="192"/>
        <v>0</v>
      </c>
      <c r="E225" s="26">
        <f t="shared" si="192"/>
        <v>0</v>
      </c>
      <c r="F225" s="26">
        <f>F206</f>
        <v>0</v>
      </c>
      <c r="G225" s="26">
        <f t="shared" si="192"/>
        <v>0</v>
      </c>
      <c r="H225" s="26">
        <f t="shared" si="192"/>
        <v>0</v>
      </c>
      <c r="I225" s="26">
        <f t="shared" si="192"/>
        <v>0</v>
      </c>
      <c r="J225" s="26">
        <f t="shared" si="192"/>
        <v>0</v>
      </c>
      <c r="K225" s="26">
        <f t="shared" si="192"/>
        <v>0</v>
      </c>
      <c r="L225" s="26">
        <f t="shared" si="192"/>
        <v>0</v>
      </c>
      <c r="M225" s="26">
        <f t="shared" si="192"/>
        <v>0</v>
      </c>
      <c r="N225" s="26">
        <f t="shared" si="192"/>
        <v>0</v>
      </c>
      <c r="O225" s="26">
        <f t="shared" si="192"/>
        <v>0</v>
      </c>
      <c r="P225" s="26">
        <f t="shared" si="192"/>
        <v>0</v>
      </c>
      <c r="Q225" s="26">
        <f t="shared" si="192"/>
        <v>0</v>
      </c>
      <c r="R225" s="26">
        <f t="shared" si="192"/>
        <v>8045.1822222222</v>
      </c>
      <c r="S225" s="26">
        <f t="shared" si="192"/>
        <v>14917.4343055555</v>
      </c>
      <c r="T225" s="26">
        <f t="shared" si="192"/>
        <v>15527.7343055555</v>
      </c>
      <c r="U225" s="26">
        <f t="shared" si="192"/>
        <v>13289.4343055555</v>
      </c>
      <c r="V225" s="26">
        <f t="shared" si="192"/>
        <v>14566.6009722222</v>
      </c>
      <c r="W225" s="26">
        <f t="shared" si="192"/>
        <v>20800.0343055555</v>
      </c>
      <c r="X225" s="26">
        <f t="shared" si="192"/>
        <v>30869.9009722222</v>
      </c>
      <c r="Y225" s="26">
        <f t="shared" si="192"/>
        <v>18998.7009722222</v>
      </c>
      <c r="Z225" s="26">
        <f t="shared" si="192"/>
        <v>17712.2031944444</v>
      </c>
      <c r="AA225" s="26">
        <f t="shared" si="192"/>
        <v>21778.4031944444</v>
      </c>
      <c r="AB225" s="26">
        <f t="shared" si="192"/>
        <v>26230.6031944444</v>
      </c>
      <c r="AC225" s="26">
        <f t="shared" si="192"/>
        <v>69473.5</v>
      </c>
      <c r="AD225" s="26">
        <f t="shared" si="192"/>
        <v>30317.7</v>
      </c>
      <c r="AE225" s="26">
        <f t="shared" si="192"/>
        <v>31882.5</v>
      </c>
      <c r="AF225" s="26">
        <f t="shared" si="192"/>
        <v>69059</v>
      </c>
      <c r="AG225" s="26">
        <f t="shared" si="192"/>
        <v>0</v>
      </c>
      <c r="AH225" s="26">
        <f t="shared" si="192"/>
        <v>0</v>
      </c>
      <c r="AI225" s="26">
        <f t="shared" si="192"/>
        <v>0</v>
      </c>
      <c r="AJ225" s="26">
        <f t="shared" si="192"/>
        <v>0</v>
      </c>
      <c r="AK225" s="26">
        <f t="shared" si="192"/>
        <v>0</v>
      </c>
      <c r="AL225" s="26">
        <f t="shared" si="192"/>
        <v>0</v>
      </c>
      <c r="AM225" s="26">
        <f t="shared" si="192"/>
        <v>0</v>
      </c>
      <c r="AN225" s="26">
        <f t="shared" si="192"/>
        <v>0</v>
      </c>
      <c r="AO225" s="26">
        <f t="shared" si="192"/>
        <v>0</v>
      </c>
      <c r="AP225" s="26">
        <f t="shared" si="192"/>
        <v>0</v>
      </c>
      <c r="AQ225" s="26">
        <f>IF(SUM($B206:AP206)&gt;SUM($D225:$G225),AQ206,MAX(0,SUM($B206:AQ206)-SUM($D225:$G225)))</f>
        <v>0</v>
      </c>
      <c r="AR225" s="26">
        <f>IF(SUM($B206:AQ206)&gt;SUM($D225:$G225),AR206,MAX(0,SUM($B206:AR206)-SUM($D225:$G225)))</f>
        <v>0</v>
      </c>
    </row>
    <row r="226" spans="1:44">
      <c r="A226" t="s">
        <v>2374</v>
      </c>
      <c r="B226" s="26">
        <f t="shared" ref="B226" si="196">B207</f>
        <v>0</v>
      </c>
      <c r="C226" s="26">
        <f t="shared" si="192"/>
        <v>0</v>
      </c>
      <c r="D226" s="26">
        <f t="shared" si="192"/>
        <v>0</v>
      </c>
      <c r="E226" s="26">
        <f t="shared" si="192"/>
        <v>0</v>
      </c>
      <c r="F226" s="26">
        <f t="shared" si="192"/>
        <v>0</v>
      </c>
      <c r="G226" s="26">
        <f t="shared" si="192"/>
        <v>0</v>
      </c>
      <c r="H226" s="26">
        <f t="shared" si="192"/>
        <v>0</v>
      </c>
      <c r="I226" s="26">
        <f t="shared" si="192"/>
        <v>0</v>
      </c>
      <c r="J226" s="26">
        <f t="shared" si="192"/>
        <v>0</v>
      </c>
      <c r="K226" s="26">
        <f t="shared" si="192"/>
        <v>0</v>
      </c>
      <c r="L226" s="26">
        <f t="shared" si="192"/>
        <v>0</v>
      </c>
      <c r="M226" s="26">
        <f t="shared" si="192"/>
        <v>0</v>
      </c>
      <c r="N226" s="26">
        <f t="shared" si="192"/>
        <v>0</v>
      </c>
      <c r="O226" s="26">
        <f t="shared" si="192"/>
        <v>0</v>
      </c>
      <c r="P226" s="26">
        <f t="shared" si="192"/>
        <v>0</v>
      </c>
      <c r="Q226" s="26">
        <f t="shared" si="192"/>
        <v>0</v>
      </c>
      <c r="R226" s="26">
        <f t="shared" si="192"/>
        <v>0</v>
      </c>
      <c r="S226" s="26">
        <f t="shared" si="192"/>
        <v>25.018</v>
      </c>
      <c r="T226" s="26">
        <f t="shared" si="192"/>
        <v>1900.21</v>
      </c>
      <c r="U226" s="26">
        <f t="shared" si="192"/>
        <v>1146.566</v>
      </c>
      <c r="V226" s="26">
        <f t="shared" si="192"/>
        <v>11545.872</v>
      </c>
      <c r="W226" s="26">
        <f t="shared" si="192"/>
        <v>8510.334</v>
      </c>
      <c r="X226" s="26">
        <f t="shared" si="192"/>
        <v>13422</v>
      </c>
      <c r="Y226" s="26">
        <f t="shared" si="192"/>
        <v>30282</v>
      </c>
      <c r="Z226" s="26">
        <f t="shared" si="192"/>
        <v>30597</v>
      </c>
      <c r="AA226" s="26">
        <f t="shared" si="192"/>
        <v>26697</v>
      </c>
      <c r="AB226" s="26">
        <f t="shared" si="192"/>
        <v>17382</v>
      </c>
      <c r="AC226" s="26">
        <f t="shared" si="192"/>
        <v>31108.7</v>
      </c>
      <c r="AD226" s="26">
        <f t="shared" si="192"/>
        <v>25550.7</v>
      </c>
      <c r="AE226" s="26">
        <f t="shared" si="192"/>
        <v>35794.6</v>
      </c>
      <c r="AF226" s="26">
        <f t="shared" si="192"/>
        <v>120057</v>
      </c>
      <c r="AG226" s="26">
        <f t="shared" si="192"/>
        <v>0</v>
      </c>
      <c r="AH226" s="26">
        <f t="shared" si="192"/>
        <v>0</v>
      </c>
      <c r="AI226" s="26">
        <f t="shared" si="192"/>
        <v>0</v>
      </c>
      <c r="AJ226" s="26">
        <f t="shared" si="192"/>
        <v>0</v>
      </c>
      <c r="AK226" s="26">
        <f t="shared" si="192"/>
        <v>0</v>
      </c>
      <c r="AL226" s="26">
        <f t="shared" si="192"/>
        <v>0</v>
      </c>
      <c r="AM226" s="26">
        <f t="shared" si="192"/>
        <v>0</v>
      </c>
      <c r="AN226" s="26">
        <f t="shared" si="192"/>
        <v>0</v>
      </c>
      <c r="AO226" s="26">
        <f t="shared" si="192"/>
        <v>0</v>
      </c>
      <c r="AP226" s="26">
        <f t="shared" si="192"/>
        <v>0</v>
      </c>
      <c r="AQ226" s="26">
        <f>IF(SUM($B207:AP207)&gt;SUM($D226:$G226),AQ207,MAX(0,SUM($B207:AQ207)-SUM($D226:$G226)))</f>
        <v>0</v>
      </c>
      <c r="AR226" s="26">
        <f>IF(SUM($B207:AQ207)&gt;SUM($D226:$G226),AR207,MAX(0,SUM($B207:AR207)-SUM($D226:$G226)))</f>
        <v>0</v>
      </c>
    </row>
    <row r="227" spans="1:44">
      <c r="A227" t="s">
        <v>2375</v>
      </c>
      <c r="B227" s="26">
        <f t="shared" ref="B227" si="197">B208</f>
        <v>0</v>
      </c>
      <c r="C227" s="26">
        <f t="shared" si="192"/>
        <v>0</v>
      </c>
      <c r="D227" s="26">
        <f t="shared" si="192"/>
        <v>0</v>
      </c>
      <c r="E227" s="26">
        <f t="shared" si="192"/>
        <v>0</v>
      </c>
      <c r="F227" s="26">
        <f t="shared" si="192"/>
        <v>0</v>
      </c>
      <c r="G227" s="26">
        <f t="shared" si="192"/>
        <v>0</v>
      </c>
      <c r="H227" s="26">
        <f t="shared" si="192"/>
        <v>0</v>
      </c>
      <c r="I227" s="26">
        <f t="shared" si="192"/>
        <v>0</v>
      </c>
      <c r="J227" s="26">
        <f t="shared" si="192"/>
        <v>0</v>
      </c>
      <c r="K227" s="26">
        <f t="shared" si="192"/>
        <v>0</v>
      </c>
      <c r="L227" s="26">
        <f t="shared" si="192"/>
        <v>0</v>
      </c>
      <c r="M227" s="26">
        <f t="shared" si="192"/>
        <v>0</v>
      </c>
      <c r="N227" s="26">
        <f t="shared" si="192"/>
        <v>0</v>
      </c>
      <c r="O227" s="26">
        <f t="shared" si="192"/>
        <v>0</v>
      </c>
      <c r="P227" s="26">
        <f t="shared" si="192"/>
        <v>0</v>
      </c>
      <c r="Q227" s="26">
        <f t="shared" si="192"/>
        <v>0</v>
      </c>
      <c r="R227" s="26">
        <f t="shared" si="192"/>
        <v>0</v>
      </c>
      <c r="S227" s="26">
        <f t="shared" si="192"/>
        <v>0</v>
      </c>
      <c r="T227" s="26">
        <f t="shared" si="192"/>
        <v>0</v>
      </c>
      <c r="U227" s="26">
        <f t="shared" si="192"/>
        <v>0</v>
      </c>
      <c r="V227" s="26">
        <f t="shared" si="192"/>
        <v>0</v>
      </c>
      <c r="W227" s="26">
        <f t="shared" si="192"/>
        <v>0</v>
      </c>
      <c r="X227" s="26">
        <f t="shared" si="192"/>
        <v>0</v>
      </c>
      <c r="Y227" s="26">
        <f t="shared" si="192"/>
        <v>0</v>
      </c>
      <c r="Z227" s="26">
        <f t="shared" si="192"/>
        <v>0</v>
      </c>
      <c r="AA227" s="26">
        <f t="shared" si="192"/>
        <v>0</v>
      </c>
      <c r="AB227" s="26">
        <f t="shared" si="192"/>
        <v>0</v>
      </c>
      <c r="AC227" s="26">
        <f t="shared" si="192"/>
        <v>100</v>
      </c>
      <c r="AD227" s="26">
        <f t="shared" si="192"/>
        <v>50</v>
      </c>
      <c r="AE227" s="26">
        <f t="shared" si="192"/>
        <v>150</v>
      </c>
      <c r="AF227" s="26">
        <f t="shared" si="192"/>
        <v>0</v>
      </c>
      <c r="AG227" s="26">
        <f t="shared" si="192"/>
        <v>2205</v>
      </c>
      <c r="AH227" s="26">
        <f t="shared" si="192"/>
        <v>2205</v>
      </c>
      <c r="AI227" s="26">
        <f t="shared" si="192"/>
        <v>0</v>
      </c>
      <c r="AJ227" s="26">
        <f t="shared" si="192"/>
        <v>0</v>
      </c>
      <c r="AK227" s="26">
        <f t="shared" si="192"/>
        <v>0</v>
      </c>
      <c r="AL227" s="26">
        <f t="shared" si="192"/>
        <v>0</v>
      </c>
      <c r="AM227" s="26">
        <f t="shared" si="192"/>
        <v>0</v>
      </c>
      <c r="AN227" s="26">
        <f t="shared" si="192"/>
        <v>0</v>
      </c>
      <c r="AO227" s="26">
        <f t="shared" si="192"/>
        <v>0</v>
      </c>
      <c r="AP227" s="26">
        <f t="shared" si="192"/>
        <v>0</v>
      </c>
      <c r="AQ227" s="26">
        <f>IF(SUM($B208:AP208)&gt;SUM($D227:$G227),AQ208,MAX(0,SUM($B208:AQ208)-SUM($D227:$G227)))</f>
        <v>0</v>
      </c>
      <c r="AR227" s="26">
        <f>IF(SUM($B208:AQ208)&gt;SUM($D227:$G227),AR208,MAX(0,SUM($B208:AR208)-SUM($D227:$G227)))</f>
        <v>0</v>
      </c>
    </row>
    <row r="228" spans="1:44">
      <c r="A228" t="s">
        <v>2376</v>
      </c>
      <c r="B228" s="26">
        <f t="shared" ref="B228" si="198">B209</f>
        <v>0</v>
      </c>
      <c r="C228" s="26">
        <f t="shared" si="192"/>
        <v>0</v>
      </c>
      <c r="D228" s="26">
        <f t="shared" si="192"/>
        <v>28.8490909090909</v>
      </c>
      <c r="E228" s="26">
        <f t="shared" si="192"/>
        <v>28.8490909090909</v>
      </c>
      <c r="F228" s="26">
        <f t="shared" si="192"/>
        <v>28.8490909090909</v>
      </c>
      <c r="G228" s="26">
        <f t="shared" si="192"/>
        <v>28.8490909090909</v>
      </c>
      <c r="H228" s="26">
        <f t="shared" si="192"/>
        <v>28.8490909090909</v>
      </c>
      <c r="I228" s="26">
        <f t="shared" si="192"/>
        <v>28.8490909090909</v>
      </c>
      <c r="J228" s="26">
        <f t="shared" si="192"/>
        <v>28.8490909090909</v>
      </c>
      <c r="K228" s="26">
        <f t="shared" si="192"/>
        <v>28.8490909090909</v>
      </c>
      <c r="L228" s="26">
        <f t="shared" si="192"/>
        <v>28.8490909090909</v>
      </c>
      <c r="M228" s="26">
        <f t="shared" si="192"/>
        <v>28.8490909090909</v>
      </c>
      <c r="N228" s="26">
        <f t="shared" si="192"/>
        <v>28.8490909090909</v>
      </c>
      <c r="O228" s="26">
        <f t="shared" si="192"/>
        <v>514.75</v>
      </c>
      <c r="P228" s="26">
        <f t="shared" si="192"/>
        <v>514.75</v>
      </c>
      <c r="Q228" s="26">
        <f t="shared" si="192"/>
        <v>514.75</v>
      </c>
      <c r="R228" s="26">
        <f t="shared" si="192"/>
        <v>514.75</v>
      </c>
      <c r="S228" s="26">
        <f t="shared" si="192"/>
        <v>514.75</v>
      </c>
      <c r="T228" s="26">
        <f t="shared" si="192"/>
        <v>514.75</v>
      </c>
      <c r="U228" s="26">
        <f t="shared" si="192"/>
        <v>514.75</v>
      </c>
      <c r="V228" s="26">
        <f t="shared" si="192"/>
        <v>514.75</v>
      </c>
      <c r="W228" s="26">
        <f t="shared" si="192"/>
        <v>232.5</v>
      </c>
      <c r="X228" s="26">
        <f t="shared" si="192"/>
        <v>433</v>
      </c>
      <c r="Y228" s="26">
        <f t="shared" si="192"/>
        <v>654</v>
      </c>
      <c r="Z228" s="26">
        <f t="shared" si="192"/>
        <v>786.8</v>
      </c>
      <c r="AA228" s="26">
        <f t="shared" si="192"/>
        <v>574.8</v>
      </c>
      <c r="AB228" s="26">
        <f t="shared" si="192"/>
        <v>705.2</v>
      </c>
      <c r="AC228" s="26">
        <f t="shared" si="192"/>
        <v>474</v>
      </c>
      <c r="AD228" s="26">
        <f t="shared" si="192"/>
        <v>633.5</v>
      </c>
      <c r="AE228" s="26">
        <f t="shared" si="192"/>
        <v>810</v>
      </c>
      <c r="AF228" s="26">
        <f t="shared" si="192"/>
        <v>952.6</v>
      </c>
      <c r="AG228" s="26">
        <f t="shared" ref="AG228:AP228" si="199">AG209</f>
        <v>1190.26</v>
      </c>
      <c r="AH228" s="26">
        <f t="shared" si="199"/>
        <v>2230.5</v>
      </c>
      <c r="AI228" s="26">
        <f t="shared" si="199"/>
        <v>2251.4</v>
      </c>
      <c r="AJ228" s="26">
        <f t="shared" si="199"/>
        <v>1137</v>
      </c>
      <c r="AK228" s="26">
        <f t="shared" si="199"/>
        <v>1170</v>
      </c>
      <c r="AL228" s="26">
        <f t="shared" si="199"/>
        <v>0</v>
      </c>
      <c r="AM228" s="26">
        <f t="shared" si="199"/>
        <v>0</v>
      </c>
      <c r="AN228" s="26">
        <f t="shared" si="199"/>
        <v>0</v>
      </c>
      <c r="AO228" s="26">
        <f t="shared" si="199"/>
        <v>0</v>
      </c>
      <c r="AP228" s="26">
        <f t="shared" si="199"/>
        <v>0</v>
      </c>
      <c r="AQ228" s="26">
        <f>IF(SUM($B209:AP209)&gt;SUM($D228:$G228),AQ209,MAX(0,SUM($B209:AQ209)-SUM($D228:$G228)))</f>
        <v>0</v>
      </c>
      <c r="AR228" s="26">
        <f>IF(SUM($B209:AQ209)&gt;SUM($D228:$G228),AR209,MAX(0,SUM($B209:AR209)-SUM($D228:$G228)))</f>
        <v>0</v>
      </c>
    </row>
    <row r="229" spans="1:44">
      <c r="A229" t="s">
        <v>2377</v>
      </c>
      <c r="B229" s="26">
        <f t="shared" ref="B229:AP235" si="200">B210</f>
        <v>0</v>
      </c>
      <c r="C229" s="26">
        <f t="shared" si="200"/>
        <v>0</v>
      </c>
      <c r="D229" s="26">
        <f t="shared" si="200"/>
        <v>47.9345454545455</v>
      </c>
      <c r="E229" s="26">
        <f t="shared" si="200"/>
        <v>47.9345454545455</v>
      </c>
      <c r="F229" s="26">
        <f t="shared" si="200"/>
        <v>47.9345454545455</v>
      </c>
      <c r="G229" s="26">
        <f t="shared" si="200"/>
        <v>47.9345454545455</v>
      </c>
      <c r="H229" s="26">
        <f t="shared" si="200"/>
        <v>47.9345454545455</v>
      </c>
      <c r="I229" s="26">
        <f t="shared" si="200"/>
        <v>47.9345454545455</v>
      </c>
      <c r="J229" s="26">
        <f t="shared" si="200"/>
        <v>47.9345454545455</v>
      </c>
      <c r="K229" s="26">
        <f t="shared" si="200"/>
        <v>47.9345454545455</v>
      </c>
      <c r="L229" s="26">
        <f t="shared" si="200"/>
        <v>47.9345454545455</v>
      </c>
      <c r="M229" s="26">
        <f t="shared" si="200"/>
        <v>47.9345454545455</v>
      </c>
      <c r="N229" s="26">
        <f t="shared" si="200"/>
        <v>47.9345454545455</v>
      </c>
      <c r="O229" s="26">
        <f t="shared" si="200"/>
        <v>0</v>
      </c>
      <c r="P229" s="26">
        <f t="shared" si="200"/>
        <v>0</v>
      </c>
      <c r="Q229" s="26">
        <f t="shared" si="200"/>
        <v>0</v>
      </c>
      <c r="R229" s="26">
        <f t="shared" si="200"/>
        <v>0</v>
      </c>
      <c r="S229" s="26">
        <f t="shared" si="200"/>
        <v>0</v>
      </c>
      <c r="T229" s="26">
        <f t="shared" si="200"/>
        <v>0</v>
      </c>
      <c r="U229" s="26">
        <f t="shared" si="200"/>
        <v>0</v>
      </c>
      <c r="V229" s="26">
        <f t="shared" si="200"/>
        <v>0</v>
      </c>
      <c r="W229" s="26">
        <f t="shared" si="200"/>
        <v>0</v>
      </c>
      <c r="X229" s="26">
        <f t="shared" si="200"/>
        <v>0</v>
      </c>
      <c r="Y229" s="26">
        <f t="shared" si="200"/>
        <v>0</v>
      </c>
      <c r="Z229" s="26">
        <f t="shared" si="200"/>
        <v>0</v>
      </c>
      <c r="AA229" s="26">
        <f t="shared" si="200"/>
        <v>0</v>
      </c>
      <c r="AB229" s="26">
        <f t="shared" si="200"/>
        <v>0</v>
      </c>
      <c r="AC229" s="26">
        <f t="shared" si="200"/>
        <v>0</v>
      </c>
      <c r="AD229" s="26">
        <f t="shared" si="200"/>
        <v>0</v>
      </c>
      <c r="AE229" s="26">
        <f t="shared" si="200"/>
        <v>0</v>
      </c>
      <c r="AF229" s="26">
        <f t="shared" si="200"/>
        <v>0</v>
      </c>
      <c r="AG229" s="26">
        <f t="shared" si="200"/>
        <v>0</v>
      </c>
      <c r="AH229" s="26">
        <f t="shared" si="200"/>
        <v>0</v>
      </c>
      <c r="AI229" s="26">
        <f t="shared" si="200"/>
        <v>0</v>
      </c>
      <c r="AJ229" s="26">
        <f t="shared" si="200"/>
        <v>0</v>
      </c>
      <c r="AK229" s="26">
        <f t="shared" si="200"/>
        <v>0</v>
      </c>
      <c r="AL229" s="26">
        <f t="shared" si="200"/>
        <v>0</v>
      </c>
      <c r="AM229" s="26">
        <f t="shared" si="200"/>
        <v>0</v>
      </c>
      <c r="AN229" s="26">
        <f t="shared" si="200"/>
        <v>0</v>
      </c>
      <c r="AO229" s="26">
        <f t="shared" si="200"/>
        <v>0</v>
      </c>
      <c r="AP229" s="26">
        <f t="shared" si="200"/>
        <v>0</v>
      </c>
      <c r="AQ229" s="26">
        <f>IF(SUM($B210:AP210)&gt;SUM($D229:$G229),AQ210,MAX(0,SUM($B210:AQ210)-SUM($D229:$G229)))</f>
        <v>0</v>
      </c>
      <c r="AR229" s="26">
        <f>IF(SUM($B210:AQ210)&gt;SUM($D229:$G229),AR210,MAX(0,SUM($B210:AR210)-SUM($D229:$G229)))</f>
        <v>0</v>
      </c>
    </row>
    <row r="230" spans="1:44">
      <c r="A230" t="s">
        <v>2378</v>
      </c>
      <c r="B230" s="26">
        <f t="shared" ref="B230" si="201">B211</f>
        <v>0</v>
      </c>
      <c r="C230" s="26">
        <f t="shared" si="200"/>
        <v>0</v>
      </c>
      <c r="D230" s="26">
        <f t="shared" si="200"/>
        <v>0</v>
      </c>
      <c r="E230" s="26">
        <f t="shared" si="200"/>
        <v>16.8984285442646</v>
      </c>
      <c r="F230" s="26">
        <f t="shared" si="200"/>
        <v>27.8333765698711</v>
      </c>
      <c r="G230" s="26">
        <f t="shared" si="200"/>
        <v>27.8333765698711</v>
      </c>
      <c r="H230" s="26">
        <f t="shared" si="200"/>
        <v>27.8333765698711</v>
      </c>
      <c r="I230" s="26">
        <f t="shared" si="200"/>
        <v>27.8333765698711</v>
      </c>
      <c r="J230" s="26">
        <f t="shared" si="200"/>
        <v>27.8333765698711</v>
      </c>
      <c r="K230" s="26">
        <f t="shared" si="200"/>
        <v>27.8333765698711</v>
      </c>
      <c r="L230" s="26">
        <f t="shared" si="200"/>
        <v>27.8333765698711</v>
      </c>
      <c r="M230" s="26">
        <f t="shared" si="200"/>
        <v>27.8333765698711</v>
      </c>
      <c r="N230" s="26">
        <f t="shared" si="200"/>
        <v>27.8333765698711</v>
      </c>
      <c r="O230" s="26">
        <f t="shared" si="200"/>
        <v>27.8333765698711</v>
      </c>
      <c r="P230" s="26">
        <f t="shared" si="200"/>
        <v>10.0432765599109</v>
      </c>
      <c r="Q230" s="26">
        <f t="shared" si="200"/>
        <v>7.83120156828656</v>
      </c>
      <c r="R230" s="26">
        <f t="shared" si="200"/>
        <v>7.83120156828656</v>
      </c>
      <c r="S230" s="26">
        <f t="shared" si="200"/>
        <v>15.1971832414274</v>
      </c>
      <c r="T230" s="26">
        <f t="shared" si="200"/>
        <v>7.83120156828656</v>
      </c>
      <c r="U230" s="26">
        <f t="shared" si="200"/>
        <v>7.83120156828656</v>
      </c>
      <c r="V230" s="26">
        <f t="shared" si="200"/>
        <v>23.7946293428951</v>
      </c>
      <c r="W230" s="26">
        <f t="shared" si="200"/>
        <v>7.83120156828656</v>
      </c>
      <c r="X230" s="26">
        <f t="shared" si="200"/>
        <v>7.83120156828656</v>
      </c>
      <c r="Y230" s="26">
        <f t="shared" si="200"/>
        <v>7.83120156828658</v>
      </c>
      <c r="Z230" s="26">
        <f t="shared" si="200"/>
        <v>0</v>
      </c>
      <c r="AA230" s="26">
        <f t="shared" si="200"/>
        <v>0</v>
      </c>
      <c r="AB230" s="26">
        <f t="shared" si="200"/>
        <v>0</v>
      </c>
      <c r="AC230" s="26">
        <f t="shared" si="200"/>
        <v>0</v>
      </c>
      <c r="AD230" s="26">
        <f t="shared" si="200"/>
        <v>0</v>
      </c>
      <c r="AE230" s="26">
        <f t="shared" si="200"/>
        <v>0</v>
      </c>
      <c r="AF230" s="26">
        <f t="shared" si="200"/>
        <v>0</v>
      </c>
      <c r="AG230" s="26">
        <f t="shared" si="200"/>
        <v>0</v>
      </c>
      <c r="AH230" s="26">
        <f t="shared" si="200"/>
        <v>0</v>
      </c>
      <c r="AI230" s="26">
        <f t="shared" si="200"/>
        <v>0</v>
      </c>
      <c r="AJ230" s="26">
        <f t="shared" si="200"/>
        <v>0</v>
      </c>
      <c r="AK230" s="26">
        <f t="shared" si="200"/>
        <v>0</v>
      </c>
      <c r="AL230" s="26">
        <f t="shared" si="200"/>
        <v>0</v>
      </c>
      <c r="AM230" s="26">
        <f t="shared" si="200"/>
        <v>0</v>
      </c>
      <c r="AN230" s="26">
        <f t="shared" si="200"/>
        <v>0</v>
      </c>
      <c r="AO230" s="26">
        <f t="shared" si="200"/>
        <v>0</v>
      </c>
      <c r="AP230" s="26">
        <f t="shared" si="200"/>
        <v>0</v>
      </c>
      <c r="AQ230" s="26">
        <f>IF(SUM($B211:AP211)&gt;SUM($D230:$G230),AQ211,MAX(0,SUM($B211:AQ211)-SUM($D230:$G230)))</f>
        <v>0</v>
      </c>
      <c r="AR230" s="26">
        <f>IF(SUM($B211:AQ211)&gt;SUM($D230:$G230),AR211,MAX(0,SUM($B211:AR211)-SUM($D230:$G230)))</f>
        <v>0</v>
      </c>
    </row>
    <row r="231" spans="1:44">
      <c r="A231" t="s">
        <v>2379</v>
      </c>
      <c r="B231" s="26">
        <f t="shared" ref="B231" si="202">B212</f>
        <v>0</v>
      </c>
      <c r="C231" s="26">
        <f t="shared" si="200"/>
        <v>0</v>
      </c>
      <c r="D231" s="26">
        <f t="shared" si="200"/>
        <v>0</v>
      </c>
      <c r="E231" s="26">
        <f t="shared" si="200"/>
        <v>0</v>
      </c>
      <c r="F231" s="26">
        <f t="shared" si="200"/>
        <v>0</v>
      </c>
      <c r="G231" s="26">
        <f t="shared" si="200"/>
        <v>0</v>
      </c>
      <c r="H231" s="26">
        <f t="shared" si="200"/>
        <v>0</v>
      </c>
      <c r="I231" s="26">
        <f t="shared" si="200"/>
        <v>0</v>
      </c>
      <c r="J231" s="26">
        <f t="shared" si="200"/>
        <v>0</v>
      </c>
      <c r="K231" s="26">
        <f t="shared" si="200"/>
        <v>0</v>
      </c>
      <c r="L231" s="26">
        <f t="shared" si="200"/>
        <v>0</v>
      </c>
      <c r="M231" s="26">
        <f t="shared" si="200"/>
        <v>0</v>
      </c>
      <c r="N231" s="26">
        <f t="shared" si="200"/>
        <v>0</v>
      </c>
      <c r="O231" s="26">
        <f t="shared" si="200"/>
        <v>0</v>
      </c>
      <c r="P231" s="26">
        <f t="shared" si="200"/>
        <v>0</v>
      </c>
      <c r="Q231" s="26">
        <f t="shared" si="200"/>
        <v>0</v>
      </c>
      <c r="R231" s="26">
        <f t="shared" si="200"/>
        <v>0</v>
      </c>
      <c r="S231" s="26">
        <f t="shared" si="200"/>
        <v>32.6159999999987</v>
      </c>
      <c r="T231" s="26">
        <f t="shared" si="200"/>
        <v>107.34</v>
      </c>
      <c r="U231" s="26">
        <f t="shared" si="200"/>
        <v>116.34</v>
      </c>
      <c r="V231" s="26">
        <f t="shared" si="200"/>
        <v>120.9</v>
      </c>
      <c r="W231" s="26">
        <f t="shared" si="200"/>
        <v>0</v>
      </c>
      <c r="X231" s="26">
        <f t="shared" si="200"/>
        <v>889.71</v>
      </c>
      <c r="Y231" s="26">
        <f t="shared" si="200"/>
        <v>1341.51</v>
      </c>
      <c r="Z231" s="26">
        <f t="shared" si="200"/>
        <v>1222.887</v>
      </c>
      <c r="AA231" s="26">
        <f t="shared" si="200"/>
        <v>424.533</v>
      </c>
      <c r="AB231" s="26">
        <f t="shared" si="200"/>
        <v>1109.88</v>
      </c>
      <c r="AC231" s="26">
        <f t="shared" si="200"/>
        <v>883.2876</v>
      </c>
      <c r="AD231" s="26">
        <f t="shared" si="200"/>
        <v>709.0476</v>
      </c>
      <c r="AE231" s="26">
        <f t="shared" si="200"/>
        <v>956.4276</v>
      </c>
      <c r="AF231" s="26">
        <f t="shared" si="200"/>
        <v>2128.1676</v>
      </c>
      <c r="AG231" s="26">
        <f t="shared" si="200"/>
        <v>3905.8776</v>
      </c>
      <c r="AH231" s="26">
        <f t="shared" si="200"/>
        <v>3674.1576</v>
      </c>
      <c r="AI231" s="26">
        <f t="shared" si="200"/>
        <v>2238.0876</v>
      </c>
      <c r="AJ231" s="26">
        <f t="shared" si="200"/>
        <v>2053.7556</v>
      </c>
      <c r="AK231" s="26">
        <f t="shared" si="200"/>
        <v>2990.5056</v>
      </c>
      <c r="AL231" s="26">
        <f t="shared" si="200"/>
        <v>2099.4456</v>
      </c>
      <c r="AM231" s="26">
        <f t="shared" si="200"/>
        <v>8228.4</v>
      </c>
      <c r="AN231" s="26">
        <f t="shared" si="200"/>
        <v>6260.3</v>
      </c>
      <c r="AO231" s="26">
        <f t="shared" si="200"/>
        <v>11202</v>
      </c>
      <c r="AP231" s="26">
        <f t="shared" si="200"/>
        <v>11232</v>
      </c>
      <c r="AQ231" s="26">
        <f>IF(SUM($B212:AP212)&gt;SUM($D231:$G231),AQ212,MAX(0,SUM($B212:AQ212)-SUM($D231:$G231)))</f>
        <v>24967</v>
      </c>
      <c r="AR231" s="26">
        <f>IF(SUM($B212:AQ212)&gt;SUM($D231:$G231),AR212,MAX(0,SUM($B212:AR212)-SUM($D231:$G231)))</f>
        <v>20447</v>
      </c>
    </row>
    <row r="232" spans="1:44">
      <c r="A232" t="s">
        <v>2380</v>
      </c>
      <c r="B232" s="26">
        <f t="shared" ref="B232" si="203">B213</f>
        <v>0</v>
      </c>
      <c r="C232" s="26">
        <f t="shared" si="200"/>
        <v>0</v>
      </c>
      <c r="D232" s="26">
        <f t="shared" si="200"/>
        <v>1882.32727272727</v>
      </c>
      <c r="E232" s="26">
        <f t="shared" si="200"/>
        <v>1882.32727272727</v>
      </c>
      <c r="F232" s="26">
        <f t="shared" si="200"/>
        <v>1882.32727272727</v>
      </c>
      <c r="G232" s="26">
        <f t="shared" si="200"/>
        <v>1882.32727272727</v>
      </c>
      <c r="H232" s="26">
        <f t="shared" si="200"/>
        <v>1882.32727272727</v>
      </c>
      <c r="I232" s="26">
        <f t="shared" si="200"/>
        <v>1882.32727272727</v>
      </c>
      <c r="J232" s="26">
        <f t="shared" si="200"/>
        <v>1882.32727272727</v>
      </c>
      <c r="K232" s="26">
        <f t="shared" si="200"/>
        <v>1882.32727272727</v>
      </c>
      <c r="L232" s="26">
        <f t="shared" si="200"/>
        <v>1882.32727272727</v>
      </c>
      <c r="M232" s="26">
        <f t="shared" si="200"/>
        <v>1882.32727272727</v>
      </c>
      <c r="N232" s="26">
        <f t="shared" si="200"/>
        <v>1882.32727272727</v>
      </c>
      <c r="O232" s="26">
        <f t="shared" si="200"/>
        <v>648.5</v>
      </c>
      <c r="P232" s="26">
        <f t="shared" si="200"/>
        <v>648.5</v>
      </c>
      <c r="Q232" s="26">
        <f t="shared" si="200"/>
        <v>648.5</v>
      </c>
      <c r="R232" s="26">
        <f t="shared" si="200"/>
        <v>648.5</v>
      </c>
      <c r="S232" s="26">
        <f t="shared" si="200"/>
        <v>648.5</v>
      </c>
      <c r="T232" s="26">
        <f t="shared" si="200"/>
        <v>648.5</v>
      </c>
      <c r="U232" s="26">
        <f t="shared" si="200"/>
        <v>648.5</v>
      </c>
      <c r="V232" s="26">
        <f t="shared" si="200"/>
        <v>648.5</v>
      </c>
      <c r="W232" s="26">
        <f t="shared" si="200"/>
        <v>1550</v>
      </c>
      <c r="X232" s="26">
        <f t="shared" si="200"/>
        <v>1901.4</v>
      </c>
      <c r="Y232" s="26">
        <f t="shared" si="200"/>
        <v>1230</v>
      </c>
      <c r="Z232" s="26">
        <f t="shared" si="200"/>
        <v>1560</v>
      </c>
      <c r="AA232" s="26">
        <f t="shared" si="200"/>
        <v>606</v>
      </c>
      <c r="AB232" s="26">
        <f t="shared" si="200"/>
        <v>300</v>
      </c>
      <c r="AC232" s="26">
        <f t="shared" si="200"/>
        <v>0</v>
      </c>
      <c r="AD232" s="26">
        <f t="shared" si="200"/>
        <v>318</v>
      </c>
      <c r="AE232" s="26">
        <f t="shared" si="200"/>
        <v>2</v>
      </c>
      <c r="AF232" s="26">
        <f t="shared" si="200"/>
        <v>0</v>
      </c>
      <c r="AG232" s="26">
        <f t="shared" si="200"/>
        <v>1400</v>
      </c>
      <c r="AH232" s="26">
        <f t="shared" si="200"/>
        <v>1688</v>
      </c>
      <c r="AI232" s="26">
        <f t="shared" si="200"/>
        <v>0</v>
      </c>
      <c r="AJ232" s="26">
        <f t="shared" si="200"/>
        <v>0</v>
      </c>
      <c r="AK232" s="26">
        <f t="shared" si="200"/>
        <v>0</v>
      </c>
      <c r="AL232" s="26">
        <f t="shared" si="200"/>
        <v>0</v>
      </c>
      <c r="AM232" s="26">
        <f t="shared" si="200"/>
        <v>0</v>
      </c>
      <c r="AN232" s="26">
        <f t="shared" si="200"/>
        <v>0</v>
      </c>
      <c r="AO232" s="26">
        <f t="shared" si="200"/>
        <v>0</v>
      </c>
      <c r="AP232" s="26">
        <f t="shared" si="200"/>
        <v>0</v>
      </c>
      <c r="AQ232" s="26">
        <f>IF(SUM($B213:AP213)&gt;SUM($D232:$G232),AQ213,MAX(0,SUM($B213:AQ213)-SUM($D232:$G232)))</f>
        <v>0</v>
      </c>
      <c r="AR232" s="26">
        <f>IF(SUM($B213:AQ213)&gt;SUM($D232:$G232),AR213,MAX(0,SUM($B213:AR213)-SUM($D232:$G232)))</f>
        <v>0</v>
      </c>
    </row>
    <row r="233" spans="1:44">
      <c r="A233" t="s">
        <v>2381</v>
      </c>
      <c r="B233" s="26">
        <f t="shared" ref="B233" si="204">B214</f>
        <v>0</v>
      </c>
      <c r="C233" s="26">
        <f t="shared" si="200"/>
        <v>0</v>
      </c>
      <c r="D233" s="26">
        <f t="shared" si="200"/>
        <v>0</v>
      </c>
      <c r="E233" s="26">
        <f t="shared" si="200"/>
        <v>0</v>
      </c>
      <c r="F233" s="26">
        <f t="shared" si="200"/>
        <v>0</v>
      </c>
      <c r="G233" s="26">
        <f t="shared" si="200"/>
        <v>0</v>
      </c>
      <c r="H233" s="26">
        <f t="shared" si="200"/>
        <v>0</v>
      </c>
      <c r="I233" s="26">
        <f t="shared" si="200"/>
        <v>0</v>
      </c>
      <c r="J233" s="26">
        <f t="shared" si="200"/>
        <v>0</v>
      </c>
      <c r="K233" s="26">
        <f t="shared" si="200"/>
        <v>0</v>
      </c>
      <c r="L233" s="26">
        <f t="shared" si="200"/>
        <v>0</v>
      </c>
      <c r="M233" s="26">
        <f t="shared" si="200"/>
        <v>0</v>
      </c>
      <c r="N233" s="26">
        <f t="shared" si="200"/>
        <v>0</v>
      </c>
      <c r="O233" s="26">
        <f t="shared" si="200"/>
        <v>0</v>
      </c>
      <c r="P233" s="26">
        <f t="shared" si="200"/>
        <v>0</v>
      </c>
      <c r="Q233" s="26">
        <f t="shared" si="200"/>
        <v>0</v>
      </c>
      <c r="R233" s="26">
        <f t="shared" si="200"/>
        <v>0</v>
      </c>
      <c r="S233" s="26">
        <f t="shared" si="200"/>
        <v>0</v>
      </c>
      <c r="T233" s="26">
        <f t="shared" si="200"/>
        <v>0</v>
      </c>
      <c r="U233" s="26">
        <f t="shared" si="200"/>
        <v>0</v>
      </c>
      <c r="V233" s="26">
        <f t="shared" si="200"/>
        <v>0</v>
      </c>
      <c r="W233" s="26">
        <f t="shared" si="200"/>
        <v>344</v>
      </c>
      <c r="X233" s="26">
        <f t="shared" si="200"/>
        <v>12.1818181818182</v>
      </c>
      <c r="Y233" s="26">
        <f t="shared" si="200"/>
        <v>114.181818181818</v>
      </c>
      <c r="Z233" s="26">
        <f t="shared" si="200"/>
        <v>24.1818181818182</v>
      </c>
      <c r="AA233" s="26">
        <f t="shared" si="200"/>
        <v>816.181818181818</v>
      </c>
      <c r="AB233" s="26">
        <f t="shared" si="200"/>
        <v>615.181818181818</v>
      </c>
      <c r="AC233" s="26">
        <f t="shared" si="200"/>
        <v>989.181818181818</v>
      </c>
      <c r="AD233" s="26">
        <f t="shared" si="200"/>
        <v>2367.18181818182</v>
      </c>
      <c r="AE233" s="26">
        <f t="shared" si="200"/>
        <v>12.1818181818182</v>
      </c>
      <c r="AF233" s="26">
        <f t="shared" si="200"/>
        <v>12.1818181818182</v>
      </c>
      <c r="AG233" s="26">
        <f t="shared" si="200"/>
        <v>12.1818181818182</v>
      </c>
      <c r="AH233" s="26">
        <f t="shared" si="200"/>
        <v>2643</v>
      </c>
      <c r="AI233" s="26">
        <f t="shared" si="200"/>
        <v>17021.5</v>
      </c>
      <c r="AJ233" s="26">
        <f t="shared" si="200"/>
        <v>6727.5</v>
      </c>
      <c r="AK233" s="26">
        <f t="shared" si="200"/>
        <v>6170</v>
      </c>
      <c r="AL233" s="26">
        <f t="shared" si="200"/>
        <v>12975</v>
      </c>
      <c r="AM233" s="26">
        <f t="shared" si="200"/>
        <v>6505</v>
      </c>
      <c r="AN233" s="26">
        <f t="shared" si="200"/>
        <v>3600</v>
      </c>
      <c r="AO233" s="26">
        <f t="shared" si="200"/>
        <v>800</v>
      </c>
      <c r="AP233" s="26">
        <f t="shared" si="200"/>
        <v>1000</v>
      </c>
      <c r="AQ233" s="26">
        <f>IF(SUM($B214:AP214)&gt;SUM($D233:$G233),AQ214,MAX(0,SUM($B214:AQ214)-SUM($D233:$G233)))</f>
        <v>0</v>
      </c>
      <c r="AR233" s="26">
        <f>IF(SUM($B214:AQ214)&gt;SUM($D233:$G233),AR214,MAX(0,SUM($B214:AR214)-SUM($D233:$G233)))</f>
        <v>0</v>
      </c>
    </row>
    <row r="234" spans="1:44">
      <c r="A234" t="s">
        <v>2382</v>
      </c>
      <c r="B234" s="26">
        <f t="shared" ref="B234" si="205">B215</f>
        <v>0</v>
      </c>
      <c r="C234" s="26">
        <f t="shared" si="200"/>
        <v>0</v>
      </c>
      <c r="D234" s="26">
        <f t="shared" si="200"/>
        <v>0</v>
      </c>
      <c r="E234" s="26">
        <f t="shared" si="200"/>
        <v>3.85532828077042</v>
      </c>
      <c r="F234" s="26">
        <f t="shared" si="200"/>
        <v>6.3501054880975</v>
      </c>
      <c r="G234" s="26">
        <f t="shared" si="200"/>
        <v>6.3501054880975</v>
      </c>
      <c r="H234" s="26">
        <f t="shared" si="200"/>
        <v>6.3501054880975</v>
      </c>
      <c r="I234" s="26">
        <f t="shared" si="200"/>
        <v>6.3501054880975</v>
      </c>
      <c r="J234" s="26">
        <f t="shared" si="200"/>
        <v>6.3501054880975</v>
      </c>
      <c r="K234" s="26">
        <f t="shared" si="200"/>
        <v>6.3501054880975</v>
      </c>
      <c r="L234" s="26">
        <f t="shared" si="200"/>
        <v>6.3501054880975</v>
      </c>
      <c r="M234" s="26">
        <f t="shared" si="200"/>
        <v>6.3501054880975</v>
      </c>
      <c r="N234" s="26">
        <f t="shared" si="200"/>
        <v>6.3501054880975</v>
      </c>
      <c r="O234" s="26">
        <f t="shared" si="200"/>
        <v>6.3501054880975</v>
      </c>
      <c r="P234" s="26">
        <f t="shared" si="200"/>
        <v>2.29134490533235</v>
      </c>
      <c r="Q234" s="26">
        <f t="shared" si="200"/>
        <v>1.78666630447577</v>
      </c>
      <c r="R234" s="26">
        <f t="shared" si="200"/>
        <v>1.78666630447577</v>
      </c>
      <c r="S234" s="26">
        <f t="shared" si="200"/>
        <v>3.46719401660645</v>
      </c>
      <c r="T234" s="26">
        <f t="shared" si="200"/>
        <v>1.78666630447577</v>
      </c>
      <c r="U234" s="26">
        <f t="shared" si="200"/>
        <v>1.78666630447577</v>
      </c>
      <c r="V234" s="26">
        <f t="shared" si="200"/>
        <v>5.4286768261212</v>
      </c>
      <c r="W234" s="26">
        <f t="shared" si="200"/>
        <v>1.78666630447577</v>
      </c>
      <c r="X234" s="26">
        <f t="shared" si="200"/>
        <v>1.78666630447577</v>
      </c>
      <c r="Y234" s="26">
        <f t="shared" si="200"/>
        <v>1.78666630447578</v>
      </c>
      <c r="Z234" s="26">
        <f t="shared" si="200"/>
        <v>0</v>
      </c>
      <c r="AA234" s="26">
        <f t="shared" si="200"/>
        <v>0</v>
      </c>
      <c r="AB234" s="26">
        <f t="shared" si="200"/>
        <v>0</v>
      </c>
      <c r="AC234" s="26">
        <f t="shared" si="200"/>
        <v>0</v>
      </c>
      <c r="AD234" s="26">
        <f t="shared" si="200"/>
        <v>0</v>
      </c>
      <c r="AE234" s="26">
        <f t="shared" si="200"/>
        <v>0</v>
      </c>
      <c r="AF234" s="26">
        <f t="shared" si="200"/>
        <v>0</v>
      </c>
      <c r="AG234" s="26">
        <f t="shared" si="200"/>
        <v>0</v>
      </c>
      <c r="AH234" s="26">
        <f t="shared" si="200"/>
        <v>18286.5</v>
      </c>
      <c r="AI234" s="26">
        <f t="shared" si="200"/>
        <v>14920</v>
      </c>
      <c r="AJ234" s="26">
        <f t="shared" si="200"/>
        <v>0</v>
      </c>
      <c r="AK234" s="26">
        <f t="shared" si="200"/>
        <v>0</v>
      </c>
      <c r="AL234" s="26">
        <f t="shared" si="200"/>
        <v>0</v>
      </c>
      <c r="AM234" s="26">
        <f t="shared" si="200"/>
        <v>0</v>
      </c>
      <c r="AN234" s="26">
        <f t="shared" si="200"/>
        <v>0</v>
      </c>
      <c r="AO234" s="26">
        <f t="shared" si="200"/>
        <v>0</v>
      </c>
      <c r="AP234" s="26">
        <f t="shared" si="200"/>
        <v>0</v>
      </c>
      <c r="AQ234" s="26">
        <f>IF(SUM($B215:AP215)&gt;SUM($D234:$G234),AQ215,MAX(0,SUM($B215:AQ215)-SUM($D234:$G234)))</f>
        <v>0</v>
      </c>
      <c r="AR234" s="26">
        <f>IF(SUM($B215:AQ215)&gt;SUM($D234:$G234),AR215,MAX(0,SUM($B215:AR215)-SUM($D234:$G234)))</f>
        <v>0</v>
      </c>
    </row>
    <row r="235" spans="1:44">
      <c r="A235" t="s">
        <v>2383</v>
      </c>
      <c r="B235" s="26">
        <f t="shared" ref="B235" si="206">B216</f>
        <v>0</v>
      </c>
      <c r="C235" s="26">
        <f t="shared" si="200"/>
        <v>0</v>
      </c>
      <c r="D235" s="26">
        <f t="shared" si="200"/>
        <v>0</v>
      </c>
      <c r="E235" s="26">
        <f t="shared" si="200"/>
        <v>53.3462431749658</v>
      </c>
      <c r="F235" s="26">
        <f t="shared" si="200"/>
        <v>87.8665179420314</v>
      </c>
      <c r="G235" s="26">
        <f t="shared" si="200"/>
        <v>87.8665179420314</v>
      </c>
      <c r="H235" s="26">
        <f t="shared" si="200"/>
        <v>87.8665179420314</v>
      </c>
      <c r="I235" s="26">
        <f t="shared" si="200"/>
        <v>87.8665179420314</v>
      </c>
      <c r="J235" s="26">
        <f t="shared" si="200"/>
        <v>87.8665179420314</v>
      </c>
      <c r="K235" s="26">
        <f t="shared" si="200"/>
        <v>87.8665179420314</v>
      </c>
      <c r="L235" s="26">
        <f t="shared" si="200"/>
        <v>87.8665179420314</v>
      </c>
      <c r="M235" s="26">
        <f t="shared" si="200"/>
        <v>87.8665179420314</v>
      </c>
      <c r="N235" s="26">
        <f t="shared" si="200"/>
        <v>87.8665179420314</v>
      </c>
      <c r="O235" s="26">
        <f t="shared" si="200"/>
        <v>87.8665179420314</v>
      </c>
      <c r="P235" s="26">
        <f t="shared" si="200"/>
        <v>31.7053785347568</v>
      </c>
      <c r="Q235" s="26">
        <f t="shared" ref="Q235:AP235" si="207">Q216</f>
        <v>24.7221321272377</v>
      </c>
      <c r="R235" s="26">
        <f t="shared" si="207"/>
        <v>24.7221321272377</v>
      </c>
      <c r="S235" s="26">
        <f t="shared" si="207"/>
        <v>47.9756227419662</v>
      </c>
      <c r="T235" s="26">
        <f t="shared" si="207"/>
        <v>24.7221321272377</v>
      </c>
      <c r="U235" s="26">
        <f t="shared" si="207"/>
        <v>24.7221321272377</v>
      </c>
      <c r="V235" s="26">
        <f t="shared" si="207"/>
        <v>75.1166938309836</v>
      </c>
      <c r="W235" s="26">
        <f t="shared" si="207"/>
        <v>24.7221321272377</v>
      </c>
      <c r="X235" s="26">
        <f t="shared" si="207"/>
        <v>24.7221321272377</v>
      </c>
      <c r="Y235" s="26">
        <f t="shared" si="207"/>
        <v>24.7221321272377</v>
      </c>
      <c r="Z235" s="26">
        <f t="shared" si="207"/>
        <v>0</v>
      </c>
      <c r="AA235" s="26">
        <f t="shared" si="207"/>
        <v>0</v>
      </c>
      <c r="AB235" s="26">
        <f t="shared" si="207"/>
        <v>0</v>
      </c>
      <c r="AC235" s="26">
        <f t="shared" si="207"/>
        <v>0</v>
      </c>
      <c r="AD235" s="26">
        <f t="shared" si="207"/>
        <v>0</v>
      </c>
      <c r="AE235" s="26">
        <f t="shared" si="207"/>
        <v>0</v>
      </c>
      <c r="AF235" s="26">
        <f t="shared" si="207"/>
        <v>0</v>
      </c>
      <c r="AG235" s="26">
        <f t="shared" si="207"/>
        <v>0</v>
      </c>
      <c r="AH235" s="26">
        <f t="shared" si="207"/>
        <v>0</v>
      </c>
      <c r="AI235" s="26">
        <f t="shared" si="207"/>
        <v>0</v>
      </c>
      <c r="AJ235" s="26">
        <f t="shared" si="207"/>
        <v>0</v>
      </c>
      <c r="AK235" s="26">
        <f t="shared" si="207"/>
        <v>0</v>
      </c>
      <c r="AL235" s="26">
        <f t="shared" si="207"/>
        <v>0</v>
      </c>
      <c r="AM235" s="26">
        <f t="shared" si="207"/>
        <v>0</v>
      </c>
      <c r="AN235" s="26">
        <f t="shared" si="207"/>
        <v>0</v>
      </c>
      <c r="AO235" s="26">
        <f t="shared" si="207"/>
        <v>0</v>
      </c>
      <c r="AP235" s="26">
        <f t="shared" si="207"/>
        <v>0</v>
      </c>
      <c r="AQ235" s="26">
        <f>IF(SUM($B216:AP216)&gt;SUM($D235:$G235),AQ216,MAX(0,SUM($B216:AQ216)-SUM($D235:$G235)))</f>
        <v>0</v>
      </c>
      <c r="AR235" s="26">
        <f>IF(SUM($B216:AQ216)&gt;SUM($D235:$G235),AR216,MAX(0,SUM($B216:AR216)-SUM($D235:$G235)))</f>
        <v>0</v>
      </c>
    </row>
    <row r="236" spans="1:44">
      <c r="A236" t="s">
        <v>2384</v>
      </c>
      <c r="B236" s="26">
        <f t="shared" ref="B236:AP236" si="208">B217</f>
        <v>0</v>
      </c>
      <c r="C236" s="26">
        <f t="shared" si="208"/>
        <v>0</v>
      </c>
      <c r="D236" s="26">
        <f t="shared" si="208"/>
        <v>15.1</v>
      </c>
      <c r="E236" s="26">
        <f t="shared" si="208"/>
        <v>15.1</v>
      </c>
      <c r="F236" s="26">
        <f t="shared" si="208"/>
        <v>15.1</v>
      </c>
      <c r="G236" s="26">
        <f t="shared" si="208"/>
        <v>15.1</v>
      </c>
      <c r="H236" s="26">
        <f t="shared" si="208"/>
        <v>15.1</v>
      </c>
      <c r="I236" s="26">
        <f t="shared" si="208"/>
        <v>15.1</v>
      </c>
      <c r="J236" s="26">
        <f t="shared" si="208"/>
        <v>15.1</v>
      </c>
      <c r="K236" s="26">
        <f t="shared" si="208"/>
        <v>15.1</v>
      </c>
      <c r="L236" s="26">
        <f t="shared" si="208"/>
        <v>15.1</v>
      </c>
      <c r="M236" s="26">
        <f t="shared" si="208"/>
        <v>15.1</v>
      </c>
      <c r="N236" s="26">
        <f t="shared" si="208"/>
        <v>15.1</v>
      </c>
      <c r="O236" s="26">
        <f t="shared" si="208"/>
        <v>514.75</v>
      </c>
      <c r="P236" s="26">
        <f t="shared" si="208"/>
        <v>514.75</v>
      </c>
      <c r="Q236" s="26">
        <f t="shared" si="208"/>
        <v>514.75</v>
      </c>
      <c r="R236" s="26">
        <f t="shared" si="208"/>
        <v>514.75</v>
      </c>
      <c r="S236" s="26">
        <f t="shared" si="208"/>
        <v>514.75</v>
      </c>
      <c r="T236" s="26">
        <f t="shared" si="208"/>
        <v>514.75</v>
      </c>
      <c r="U236" s="26">
        <f t="shared" si="208"/>
        <v>514.75</v>
      </c>
      <c r="V236" s="26">
        <f t="shared" si="208"/>
        <v>514.75</v>
      </c>
      <c r="W236" s="26">
        <f t="shared" si="208"/>
        <v>232.5</v>
      </c>
      <c r="X236" s="26">
        <f t="shared" si="208"/>
        <v>433</v>
      </c>
      <c r="Y236" s="26">
        <f t="shared" si="208"/>
        <v>654</v>
      </c>
      <c r="Z236" s="26">
        <f t="shared" si="208"/>
        <v>786.8</v>
      </c>
      <c r="AA236" s="26">
        <f t="shared" si="208"/>
        <v>574.8</v>
      </c>
      <c r="AB236" s="26">
        <f t="shared" si="208"/>
        <v>705.2</v>
      </c>
      <c r="AC236" s="26">
        <f t="shared" si="208"/>
        <v>474</v>
      </c>
      <c r="AD236" s="26">
        <f t="shared" si="208"/>
        <v>633.5</v>
      </c>
      <c r="AE236" s="26">
        <f t="shared" si="208"/>
        <v>810</v>
      </c>
      <c r="AF236" s="26">
        <f t="shared" si="208"/>
        <v>952.6</v>
      </c>
      <c r="AG236" s="26">
        <f t="shared" si="208"/>
        <v>1189.5</v>
      </c>
      <c r="AH236" s="26">
        <f t="shared" si="208"/>
        <v>3002.3</v>
      </c>
      <c r="AI236" s="26">
        <f t="shared" si="208"/>
        <v>6297.6</v>
      </c>
      <c r="AJ236" s="26">
        <f t="shared" si="208"/>
        <v>2880</v>
      </c>
      <c r="AK236" s="26">
        <f t="shared" si="208"/>
        <v>1600</v>
      </c>
      <c r="AL236" s="26">
        <f t="shared" si="208"/>
        <v>0</v>
      </c>
      <c r="AM236" s="26">
        <f t="shared" si="208"/>
        <v>0</v>
      </c>
      <c r="AN236" s="26">
        <f t="shared" si="208"/>
        <v>0</v>
      </c>
      <c r="AO236" s="26">
        <f t="shared" si="208"/>
        <v>0</v>
      </c>
      <c r="AP236" s="26">
        <f t="shared" si="208"/>
        <v>0</v>
      </c>
      <c r="AQ236" s="26">
        <f>IF(SUM($B217:AP217)&gt;SUM($D236:$G236),AQ217,MAX(0,SUM($B217:AQ217)-SUM($D236:$G236)))</f>
        <v>0</v>
      </c>
      <c r="AR236" s="26">
        <f>IF(SUM($B217:AQ217)&gt;SUM($D236:$G236),AR217,MAX(0,SUM($B217:AR217)-SUM($D236:$G236)))</f>
        <v>0</v>
      </c>
    </row>
    <row r="238" ht="13.1" spans="1:44">
      <c r="A238" s="3" t="s">
        <v>2398</v>
      </c>
    </row>
    <row r="239" spans="1:44">
      <c r="A239" s="21" t="s">
        <v>2395</v>
      </c>
      <c r="B239" s="22">
        <v>2020</v>
      </c>
      <c r="C239" s="22">
        <v>2021</v>
      </c>
      <c r="D239" s="22">
        <v>2022</v>
      </c>
      <c r="E239" s="22">
        <v>2023</v>
      </c>
      <c r="F239" s="22">
        <v>2024</v>
      </c>
      <c r="G239" s="22">
        <v>2025</v>
      </c>
      <c r="H239" s="22">
        <v>2026</v>
      </c>
      <c r="I239" s="22">
        <v>2027</v>
      </c>
      <c r="J239" s="22">
        <v>2028</v>
      </c>
      <c r="K239" s="22">
        <v>2029</v>
      </c>
      <c r="L239" s="22">
        <v>2030</v>
      </c>
      <c r="M239" s="22">
        <v>2031</v>
      </c>
      <c r="N239" s="22">
        <v>2032</v>
      </c>
      <c r="O239" s="22">
        <v>2033</v>
      </c>
      <c r="P239" s="22">
        <v>2034</v>
      </c>
      <c r="Q239" s="22">
        <v>2035</v>
      </c>
      <c r="R239" s="22">
        <v>2036</v>
      </c>
      <c r="S239" s="22">
        <v>2037</v>
      </c>
      <c r="T239" s="22">
        <v>2038</v>
      </c>
      <c r="U239" s="22">
        <v>2039</v>
      </c>
      <c r="V239" s="22">
        <v>2040</v>
      </c>
      <c r="W239" s="22">
        <v>2041</v>
      </c>
      <c r="X239" s="22">
        <v>2042</v>
      </c>
      <c r="Y239" s="22">
        <v>2043</v>
      </c>
      <c r="Z239" s="22">
        <v>2044</v>
      </c>
      <c r="AA239" s="22">
        <v>2045</v>
      </c>
      <c r="AB239" s="22">
        <v>2046</v>
      </c>
      <c r="AC239" s="22">
        <v>2047</v>
      </c>
      <c r="AD239" s="22">
        <v>2048</v>
      </c>
      <c r="AE239" s="22">
        <v>2049</v>
      </c>
      <c r="AF239" s="22">
        <v>2050</v>
      </c>
      <c r="AG239" s="22">
        <v>2051</v>
      </c>
      <c r="AH239" s="22">
        <v>2052</v>
      </c>
      <c r="AI239" s="22">
        <v>2053</v>
      </c>
      <c r="AJ239" s="22">
        <v>2054</v>
      </c>
      <c r="AK239" s="22">
        <v>2055</v>
      </c>
      <c r="AL239" s="22">
        <v>2056</v>
      </c>
      <c r="AM239" s="22">
        <v>2057</v>
      </c>
      <c r="AN239" s="22">
        <v>2058</v>
      </c>
      <c r="AO239" s="22">
        <v>2059</v>
      </c>
      <c r="AP239" s="22">
        <v>2060</v>
      </c>
    </row>
    <row r="240" spans="1:44">
      <c r="A240" t="s">
        <v>2369</v>
      </c>
      <c r="B240" s="37">
        <f>D221</f>
        <v>14693</v>
      </c>
      <c r="C240" s="37">
        <f t="shared" ref="C240" si="209">E221</f>
        <v>4993</v>
      </c>
      <c r="D240" s="37">
        <f t="shared" ref="D240" si="210">F221</f>
        <v>7040</v>
      </c>
      <c r="E240" s="37">
        <f t="shared" ref="E240" si="211">G221</f>
        <v>7270</v>
      </c>
      <c r="F240" s="26">
        <f>AVERAGE(H221:J221)</f>
        <v>0</v>
      </c>
      <c r="G240" s="26">
        <f>AVERAGE(H221:K221)</f>
        <v>0</v>
      </c>
      <c r="H240" s="26">
        <f>AVERAGE(H221:L221)</f>
        <v>0</v>
      </c>
      <c r="I240" s="26">
        <f>AVERAGE(I221:M221)</f>
        <v>0</v>
      </c>
      <c r="J240" s="26">
        <f t="shared" ref="J240:AP247" si="212">AVERAGE(J221:N221)</f>
        <v>0</v>
      </c>
      <c r="K240" s="26">
        <f t="shared" si="212"/>
        <v>0</v>
      </c>
      <c r="L240" s="26">
        <f t="shared" si="212"/>
        <v>0</v>
      </c>
      <c r="M240" s="26">
        <f t="shared" si="212"/>
        <v>4049.12819999996</v>
      </c>
      <c r="N240" s="26">
        <f t="shared" si="212"/>
        <v>13235.8032</v>
      </c>
      <c r="O240" s="26">
        <f t="shared" si="212"/>
        <v>25301.2032</v>
      </c>
      <c r="P240" s="26">
        <f t="shared" si="212"/>
        <v>43841.0032</v>
      </c>
      <c r="Q240" s="26">
        <f t="shared" si="212"/>
        <v>61667.4722</v>
      </c>
      <c r="R240" s="26">
        <f t="shared" si="212"/>
        <v>71816.3413111111</v>
      </c>
      <c r="S240" s="26">
        <f t="shared" si="212"/>
        <v>77117.0836222222</v>
      </c>
      <c r="T240" s="26">
        <f t="shared" si="212"/>
        <v>78019.8809333333</v>
      </c>
      <c r="U240" s="26">
        <f t="shared" si="212"/>
        <v>72901.2782444445</v>
      </c>
      <c r="V240" s="26">
        <f t="shared" si="212"/>
        <v>66452.6865555556</v>
      </c>
      <c r="W240" s="26">
        <f t="shared" si="212"/>
        <v>61142.3865555556</v>
      </c>
      <c r="X240" s="26">
        <f t="shared" si="212"/>
        <v>55705.0265555556</v>
      </c>
      <c r="Y240" s="26">
        <f t="shared" si="212"/>
        <v>55655.2665555556</v>
      </c>
      <c r="Z240" s="26">
        <f t="shared" si="212"/>
        <v>52279.6665555556</v>
      </c>
      <c r="AA240" s="26">
        <f t="shared" si="212"/>
        <v>49923.0332444445</v>
      </c>
      <c r="AB240" s="26">
        <f t="shared" si="212"/>
        <v>49160.7399333333</v>
      </c>
      <c r="AC240" s="26">
        <f t="shared" si="212"/>
        <v>48316.6866222222</v>
      </c>
      <c r="AD240" s="26">
        <f t="shared" si="212"/>
        <v>43120.8493111111</v>
      </c>
      <c r="AE240" s="26">
        <f t="shared" si="212"/>
        <v>38685.852</v>
      </c>
      <c r="AF240" s="26">
        <f t="shared" si="212"/>
        <v>35319.008</v>
      </c>
      <c r="AG240" s="26">
        <f t="shared" si="212"/>
        <v>36813.204</v>
      </c>
      <c r="AH240" s="26">
        <f t="shared" si="212"/>
        <v>37504.2</v>
      </c>
      <c r="AI240" s="26">
        <f t="shared" si="212"/>
        <v>45598.4</v>
      </c>
      <c r="AJ240" s="26">
        <f t="shared" si="212"/>
        <v>46646.8</v>
      </c>
      <c r="AK240" s="26">
        <f t="shared" si="212"/>
        <v>43809.6</v>
      </c>
      <c r="AL240" s="26">
        <f t="shared" si="212"/>
        <v>36742.4</v>
      </c>
      <c r="AM240" s="26">
        <f t="shared" si="212"/>
        <v>30397.8</v>
      </c>
      <c r="AN240" s="26">
        <f t="shared" si="212"/>
        <v>14581</v>
      </c>
      <c r="AO240" s="26">
        <f t="shared" si="212"/>
        <v>9902.5</v>
      </c>
      <c r="AP240" s="26">
        <f t="shared" si="212"/>
        <v>8508</v>
      </c>
    </row>
    <row r="241" spans="1:42">
      <c r="A241" t="s">
        <v>2370</v>
      </c>
      <c r="B241" s="26">
        <f t="shared" ref="B241:B255" si="213">AVERAGE(B222:F222)</f>
        <v>0</v>
      </c>
      <c r="C241" s="26">
        <f t="shared" ref="C241:C255" si="214">AVERAGE(C222:G222)</f>
        <v>0</v>
      </c>
      <c r="D241" s="26">
        <f t="shared" ref="D241:D255" si="215">AVERAGE(D222:H222)</f>
        <v>0</v>
      </c>
      <c r="E241" s="26">
        <f t="shared" ref="E241:E255" si="216">AVERAGE(E222:I222)</f>
        <v>0</v>
      </c>
      <c r="F241" s="26">
        <f t="shared" ref="F241:F255" si="217">AVERAGE(F222:J222)</f>
        <v>0</v>
      </c>
      <c r="G241" s="26">
        <f t="shared" ref="G241:G255" si="218">AVERAGE(G222:K222)</f>
        <v>0</v>
      </c>
      <c r="H241" s="26">
        <f t="shared" ref="H241:H255" si="219">AVERAGE(H222:L222)</f>
        <v>0</v>
      </c>
      <c r="I241" s="26">
        <f t="shared" ref="I241:I255" si="220">AVERAGE(I222:M222)</f>
        <v>0</v>
      </c>
      <c r="J241" s="26">
        <f t="shared" si="212"/>
        <v>0</v>
      </c>
      <c r="K241" s="26">
        <f t="shared" si="212"/>
        <v>0</v>
      </c>
      <c r="L241" s="26">
        <f t="shared" si="212"/>
        <v>0</v>
      </c>
      <c r="M241" s="26">
        <f t="shared" si="212"/>
        <v>0</v>
      </c>
      <c r="N241" s="26">
        <f t="shared" si="212"/>
        <v>0</v>
      </c>
      <c r="O241" s="26">
        <f t="shared" si="212"/>
        <v>15.2208000000021</v>
      </c>
      <c r="P241" s="26">
        <f t="shared" si="212"/>
        <v>65.3128000000021</v>
      </c>
      <c r="Q241" s="26">
        <f t="shared" si="212"/>
        <v>119.604800000002</v>
      </c>
      <c r="R241" s="26">
        <f t="shared" si="212"/>
        <v>176.024800000002</v>
      </c>
      <c r="S241" s="26">
        <f t="shared" si="212"/>
        <v>176.024800000002</v>
      </c>
      <c r="T241" s="26">
        <f t="shared" si="212"/>
        <v>576.002</v>
      </c>
      <c r="U241" s="26">
        <f t="shared" si="212"/>
        <v>1151.948</v>
      </c>
      <c r="V241" s="26">
        <f t="shared" si="212"/>
        <v>1668.3366</v>
      </c>
      <c r="W241" s="26">
        <f t="shared" si="212"/>
        <v>1810.032</v>
      </c>
      <c r="X241" s="26">
        <f t="shared" si="212"/>
        <v>2327.976</v>
      </c>
      <c r="Y241" s="26">
        <f t="shared" si="212"/>
        <v>2324.97888</v>
      </c>
      <c r="Z241" s="26">
        <f t="shared" si="212"/>
        <v>2029.82976</v>
      </c>
      <c r="AA241" s="26">
        <f t="shared" si="212"/>
        <v>1905.48204</v>
      </c>
      <c r="AB241" s="26">
        <f t="shared" si="212"/>
        <v>2700.51152</v>
      </c>
      <c r="AC241" s="26">
        <f t="shared" si="212"/>
        <v>4005.3104</v>
      </c>
      <c r="AD241" s="26">
        <f t="shared" si="212"/>
        <v>5307.7164</v>
      </c>
      <c r="AE241" s="26">
        <f t="shared" si="212"/>
        <v>6021.2684</v>
      </c>
      <c r="AF241" s="26">
        <f t="shared" si="212"/>
        <v>6533.3548</v>
      </c>
      <c r="AG241" s="26">
        <f t="shared" si="212"/>
        <v>6935.7792</v>
      </c>
      <c r="AH241" s="26">
        <f t="shared" si="212"/>
        <v>6092.7776</v>
      </c>
      <c r="AI241" s="26">
        <f t="shared" si="212"/>
        <v>4378.17072</v>
      </c>
      <c r="AJ241" s="26">
        <f t="shared" si="212"/>
        <v>3333.72984</v>
      </c>
      <c r="AK241" s="26">
        <f t="shared" si="212"/>
        <v>2375.31056</v>
      </c>
      <c r="AL241" s="26">
        <f t="shared" si="212"/>
        <v>979.74128</v>
      </c>
      <c r="AM241" s="26">
        <f t="shared" si="212"/>
        <v>0</v>
      </c>
      <c r="AN241" s="26">
        <f t="shared" si="212"/>
        <v>0</v>
      </c>
      <c r="AO241" s="26">
        <f t="shared" si="212"/>
        <v>0</v>
      </c>
      <c r="AP241" s="26">
        <f t="shared" si="212"/>
        <v>0</v>
      </c>
    </row>
    <row r="242" spans="1:42">
      <c r="A242" t="s">
        <v>2371</v>
      </c>
      <c r="B242" s="26">
        <f t="shared" si="213"/>
        <v>0</v>
      </c>
      <c r="C242" s="26">
        <f t="shared" si="214"/>
        <v>0</v>
      </c>
      <c r="D242" s="26">
        <f t="shared" si="215"/>
        <v>0</v>
      </c>
      <c r="E242" s="26">
        <f t="shared" si="216"/>
        <v>0</v>
      </c>
      <c r="F242" s="26">
        <f t="shared" si="217"/>
        <v>0</v>
      </c>
      <c r="G242" s="26">
        <f t="shared" si="218"/>
        <v>0</v>
      </c>
      <c r="H242" s="26">
        <f t="shared" si="219"/>
        <v>0</v>
      </c>
      <c r="I242" s="26">
        <f t="shared" si="220"/>
        <v>0</v>
      </c>
      <c r="J242" s="26">
        <f t="shared" si="212"/>
        <v>0</v>
      </c>
      <c r="K242" s="26">
        <f t="shared" si="212"/>
        <v>0</v>
      </c>
      <c r="L242" s="26">
        <f t="shared" si="212"/>
        <v>0</v>
      </c>
      <c r="M242" s="26">
        <f t="shared" si="212"/>
        <v>0</v>
      </c>
      <c r="N242" s="26">
        <f t="shared" si="212"/>
        <v>0</v>
      </c>
      <c r="O242" s="26">
        <f t="shared" si="212"/>
        <v>0</v>
      </c>
      <c r="P242" s="26">
        <f t="shared" si="212"/>
        <v>0</v>
      </c>
      <c r="Q242" s="26">
        <f t="shared" si="212"/>
        <v>0</v>
      </c>
      <c r="R242" s="26">
        <f t="shared" si="212"/>
        <v>0</v>
      </c>
      <c r="S242" s="26">
        <f t="shared" si="212"/>
        <v>0</v>
      </c>
      <c r="T242" s="26">
        <f t="shared" si="212"/>
        <v>0</v>
      </c>
      <c r="U242" s="26">
        <f t="shared" si="212"/>
        <v>0</v>
      </c>
      <c r="V242" s="26">
        <f t="shared" si="212"/>
        <v>0</v>
      </c>
      <c r="W242" s="26">
        <f t="shared" si="212"/>
        <v>192.927999999997</v>
      </c>
      <c r="X242" s="26">
        <f t="shared" si="212"/>
        <v>385.855999999994</v>
      </c>
      <c r="Y242" s="26">
        <f t="shared" si="212"/>
        <v>385.855999999994</v>
      </c>
      <c r="Z242" s="26">
        <f t="shared" si="212"/>
        <v>385.855999999994</v>
      </c>
      <c r="AA242" s="26">
        <f t="shared" si="212"/>
        <v>385.855999999994</v>
      </c>
      <c r="AB242" s="26">
        <f t="shared" si="212"/>
        <v>192.927999999997</v>
      </c>
      <c r="AC242" s="26">
        <f t="shared" si="212"/>
        <v>0</v>
      </c>
      <c r="AD242" s="26">
        <f t="shared" si="212"/>
        <v>0</v>
      </c>
      <c r="AE242" s="26">
        <f t="shared" si="212"/>
        <v>0</v>
      </c>
      <c r="AF242" s="26">
        <f t="shared" si="212"/>
        <v>667.727999999997</v>
      </c>
      <c r="AG242" s="26">
        <f t="shared" si="212"/>
        <v>813.327999999997</v>
      </c>
      <c r="AH242" s="26">
        <f t="shared" si="212"/>
        <v>943.327999999997</v>
      </c>
      <c r="AI242" s="26">
        <f t="shared" si="212"/>
        <v>943.327999999997</v>
      </c>
      <c r="AJ242" s="26">
        <f t="shared" si="212"/>
        <v>1155.328</v>
      </c>
      <c r="AK242" s="26">
        <f t="shared" si="212"/>
        <v>699.6</v>
      </c>
      <c r="AL242" s="26">
        <f t="shared" si="212"/>
        <v>560.777777777778</v>
      </c>
      <c r="AM242" s="26">
        <f t="shared" si="212"/>
        <v>437.555555555555</v>
      </c>
      <c r="AN242" s="26">
        <f t="shared" si="212"/>
        <v>793.533333333334</v>
      </c>
      <c r="AO242" s="26">
        <f t="shared" si="212"/>
        <v>726.916666666667</v>
      </c>
      <c r="AP242" s="26">
        <f t="shared" si="212"/>
        <v>615.888888888889</v>
      </c>
    </row>
    <row r="243" spans="1:42">
      <c r="A243" t="s">
        <v>2372</v>
      </c>
      <c r="B243" s="26">
        <f t="shared" si="213"/>
        <v>0</v>
      </c>
      <c r="C243" s="26">
        <f t="shared" si="214"/>
        <v>0</v>
      </c>
      <c r="D243" s="26">
        <f t="shared" si="215"/>
        <v>0</v>
      </c>
      <c r="E243" s="26">
        <f t="shared" si="216"/>
        <v>0</v>
      </c>
      <c r="F243" s="26">
        <f t="shared" si="217"/>
        <v>0</v>
      </c>
      <c r="G243" s="26">
        <f t="shared" si="218"/>
        <v>0</v>
      </c>
      <c r="H243" s="26">
        <f t="shared" si="219"/>
        <v>0</v>
      </c>
      <c r="I243" s="26">
        <f t="shared" si="220"/>
        <v>0</v>
      </c>
      <c r="J243" s="26">
        <f t="shared" si="212"/>
        <v>0</v>
      </c>
      <c r="K243" s="26">
        <f t="shared" si="212"/>
        <v>0</v>
      </c>
      <c r="L243" s="26">
        <f t="shared" si="212"/>
        <v>0</v>
      </c>
      <c r="M243" s="26">
        <f t="shared" si="212"/>
        <v>0</v>
      </c>
      <c r="N243" s="26">
        <f t="shared" si="212"/>
        <v>0</v>
      </c>
      <c r="O243" s="26">
        <f t="shared" si="212"/>
        <v>0</v>
      </c>
      <c r="P243" s="26">
        <f t="shared" si="212"/>
        <v>0</v>
      </c>
      <c r="Q243" s="26">
        <f t="shared" si="212"/>
        <v>0</v>
      </c>
      <c r="R243" s="26">
        <f t="shared" si="212"/>
        <v>0</v>
      </c>
      <c r="S243" s="26">
        <f t="shared" si="212"/>
        <v>0</v>
      </c>
      <c r="T243" s="26">
        <f t="shared" si="212"/>
        <v>0</v>
      </c>
      <c r="U243" s="26">
        <f t="shared" si="212"/>
        <v>0</v>
      </c>
      <c r="V243" s="26">
        <f t="shared" si="212"/>
        <v>0</v>
      </c>
      <c r="W243" s="26">
        <f t="shared" si="212"/>
        <v>0</v>
      </c>
      <c r="X243" s="26">
        <f t="shared" si="212"/>
        <v>0</v>
      </c>
      <c r="Y243" s="26">
        <f t="shared" si="212"/>
        <v>0</v>
      </c>
      <c r="Z243" s="26">
        <f t="shared" si="212"/>
        <v>0</v>
      </c>
      <c r="AA243" s="26">
        <f t="shared" si="212"/>
        <v>0</v>
      </c>
      <c r="AB243" s="26">
        <f t="shared" si="212"/>
        <v>0</v>
      </c>
      <c r="AC243" s="26">
        <f t="shared" si="212"/>
        <v>0</v>
      </c>
      <c r="AD243" s="26">
        <f t="shared" si="212"/>
        <v>0</v>
      </c>
      <c r="AE243" s="26">
        <f t="shared" si="212"/>
        <v>0</v>
      </c>
      <c r="AF243" s="26">
        <f t="shared" si="212"/>
        <v>0</v>
      </c>
      <c r="AG243" s="26">
        <f t="shared" si="212"/>
        <v>0</v>
      </c>
      <c r="AH243" s="26">
        <f t="shared" si="212"/>
        <v>0</v>
      </c>
      <c r="AI243" s="26">
        <f t="shared" si="212"/>
        <v>0</v>
      </c>
      <c r="AJ243" s="26">
        <f t="shared" si="212"/>
        <v>0</v>
      </c>
      <c r="AK243" s="26">
        <f t="shared" si="212"/>
        <v>0</v>
      </c>
      <c r="AL243" s="26">
        <f t="shared" si="212"/>
        <v>0</v>
      </c>
      <c r="AM243" s="26">
        <f t="shared" si="212"/>
        <v>0</v>
      </c>
      <c r="AN243" s="26">
        <f t="shared" si="212"/>
        <v>0</v>
      </c>
      <c r="AO243" s="26">
        <f t="shared" si="212"/>
        <v>0</v>
      </c>
      <c r="AP243" s="26">
        <f t="shared" si="212"/>
        <v>0</v>
      </c>
    </row>
    <row r="244" spans="1:42">
      <c r="A244" t="s">
        <v>2373</v>
      </c>
      <c r="B244" s="26">
        <f t="shared" si="213"/>
        <v>0</v>
      </c>
      <c r="C244" s="26">
        <f t="shared" si="214"/>
        <v>0</v>
      </c>
      <c r="D244" s="26">
        <f t="shared" si="215"/>
        <v>0</v>
      </c>
      <c r="E244" s="26">
        <f t="shared" si="216"/>
        <v>0</v>
      </c>
      <c r="F244" s="26">
        <f t="shared" si="217"/>
        <v>0</v>
      </c>
      <c r="G244" s="26">
        <f t="shared" si="218"/>
        <v>0</v>
      </c>
      <c r="H244" s="26">
        <f t="shared" si="219"/>
        <v>0</v>
      </c>
      <c r="I244" s="26">
        <f t="shared" si="220"/>
        <v>0</v>
      </c>
      <c r="J244" s="26">
        <f t="shared" si="212"/>
        <v>0</v>
      </c>
      <c r="K244" s="26">
        <f t="shared" si="212"/>
        <v>0</v>
      </c>
      <c r="L244" s="26">
        <f t="shared" si="212"/>
        <v>0</v>
      </c>
      <c r="M244" s="26">
        <f t="shared" si="212"/>
        <v>0</v>
      </c>
      <c r="N244" s="26">
        <f t="shared" si="212"/>
        <v>1609.03644444444</v>
      </c>
      <c r="O244" s="26">
        <f t="shared" si="212"/>
        <v>4592.52330555555</v>
      </c>
      <c r="P244" s="26">
        <f t="shared" si="212"/>
        <v>7698.07016666666</v>
      </c>
      <c r="Q244" s="26">
        <f t="shared" si="212"/>
        <v>10355.9570277778</v>
      </c>
      <c r="R244" s="26">
        <f t="shared" si="212"/>
        <v>13269.2772222222</v>
      </c>
      <c r="S244" s="26">
        <f t="shared" si="212"/>
        <v>15820.2476388889</v>
      </c>
      <c r="T244" s="26">
        <f t="shared" si="212"/>
        <v>19010.7409722222</v>
      </c>
      <c r="U244" s="26">
        <f t="shared" si="212"/>
        <v>19704.9343055556</v>
      </c>
      <c r="V244" s="26">
        <f t="shared" si="212"/>
        <v>20589.4880833333</v>
      </c>
      <c r="W244" s="26">
        <f t="shared" si="212"/>
        <v>22031.8485277778</v>
      </c>
      <c r="X244" s="26">
        <f t="shared" si="212"/>
        <v>23117.9623055556</v>
      </c>
      <c r="Y244" s="26">
        <f t="shared" si="212"/>
        <v>30838.6821111111</v>
      </c>
      <c r="Z244" s="26">
        <f t="shared" si="212"/>
        <v>33102.4819166667</v>
      </c>
      <c r="AA244" s="26">
        <f t="shared" si="212"/>
        <v>35936.5412777778</v>
      </c>
      <c r="AB244" s="26">
        <f t="shared" si="212"/>
        <v>45392.6606388889</v>
      </c>
      <c r="AC244" s="26">
        <f t="shared" si="212"/>
        <v>40146.54</v>
      </c>
      <c r="AD244" s="26">
        <f t="shared" si="212"/>
        <v>26251.84</v>
      </c>
      <c r="AE244" s="26">
        <f t="shared" si="212"/>
        <v>20188.3</v>
      </c>
      <c r="AF244" s="26">
        <f t="shared" si="212"/>
        <v>13811.8</v>
      </c>
      <c r="AG244" s="26">
        <f t="shared" si="212"/>
        <v>0</v>
      </c>
      <c r="AH244" s="26">
        <f t="shared" si="212"/>
        <v>0</v>
      </c>
      <c r="AI244" s="26">
        <f t="shared" si="212"/>
        <v>0</v>
      </c>
      <c r="AJ244" s="26">
        <f t="shared" si="212"/>
        <v>0</v>
      </c>
      <c r="AK244" s="26">
        <f t="shared" si="212"/>
        <v>0</v>
      </c>
      <c r="AL244" s="26">
        <f t="shared" si="212"/>
        <v>0</v>
      </c>
      <c r="AM244" s="26">
        <f t="shared" si="212"/>
        <v>0</v>
      </c>
      <c r="AN244" s="26">
        <f t="shared" si="212"/>
        <v>0</v>
      </c>
      <c r="AO244" s="26">
        <f t="shared" si="212"/>
        <v>0</v>
      </c>
      <c r="AP244" s="26">
        <f t="shared" si="212"/>
        <v>0</v>
      </c>
    </row>
    <row r="245" spans="1:42">
      <c r="A245" t="s">
        <v>2374</v>
      </c>
      <c r="B245" s="26">
        <f t="shared" si="213"/>
        <v>0</v>
      </c>
      <c r="C245" s="26">
        <f t="shared" si="214"/>
        <v>0</v>
      </c>
      <c r="D245" s="26">
        <f t="shared" si="215"/>
        <v>0</v>
      </c>
      <c r="E245" s="26">
        <f t="shared" si="216"/>
        <v>0</v>
      </c>
      <c r="F245" s="26">
        <f t="shared" si="217"/>
        <v>0</v>
      </c>
      <c r="G245" s="26">
        <f t="shared" si="218"/>
        <v>0</v>
      </c>
      <c r="H245" s="26">
        <f t="shared" si="219"/>
        <v>0</v>
      </c>
      <c r="I245" s="26">
        <f t="shared" si="220"/>
        <v>0</v>
      </c>
      <c r="J245" s="26">
        <f t="shared" si="212"/>
        <v>0</v>
      </c>
      <c r="K245" s="26">
        <f t="shared" si="212"/>
        <v>0</v>
      </c>
      <c r="L245" s="26">
        <f t="shared" si="212"/>
        <v>0</v>
      </c>
      <c r="M245" s="26">
        <f t="shared" si="212"/>
        <v>0</v>
      </c>
      <c r="N245" s="26">
        <f t="shared" si="212"/>
        <v>0</v>
      </c>
      <c r="O245" s="26">
        <f t="shared" si="212"/>
        <v>5.0036</v>
      </c>
      <c r="P245" s="26">
        <f t="shared" si="212"/>
        <v>385.0456</v>
      </c>
      <c r="Q245" s="26">
        <f t="shared" si="212"/>
        <v>614.3588</v>
      </c>
      <c r="R245" s="26">
        <f t="shared" si="212"/>
        <v>2923.5332</v>
      </c>
      <c r="S245" s="26">
        <f t="shared" si="212"/>
        <v>4625.6</v>
      </c>
      <c r="T245" s="26">
        <f t="shared" si="212"/>
        <v>7304.9964</v>
      </c>
      <c r="U245" s="26">
        <f t="shared" si="212"/>
        <v>12981.3544</v>
      </c>
      <c r="V245" s="26">
        <f t="shared" si="212"/>
        <v>18871.4412</v>
      </c>
      <c r="W245" s="26">
        <f t="shared" si="212"/>
        <v>21901.6668</v>
      </c>
      <c r="X245" s="26">
        <f t="shared" si="212"/>
        <v>23676</v>
      </c>
      <c r="Y245" s="26">
        <f t="shared" si="212"/>
        <v>27213.34</v>
      </c>
      <c r="Z245" s="26">
        <f t="shared" si="212"/>
        <v>26267.08</v>
      </c>
      <c r="AA245" s="26">
        <f t="shared" si="212"/>
        <v>27306.6</v>
      </c>
      <c r="AB245" s="26">
        <f t="shared" si="212"/>
        <v>45978.6</v>
      </c>
      <c r="AC245" s="26">
        <f t="shared" si="212"/>
        <v>42502.2</v>
      </c>
      <c r="AD245" s="26">
        <f t="shared" si="212"/>
        <v>36280.46</v>
      </c>
      <c r="AE245" s="26">
        <f t="shared" si="212"/>
        <v>31170.32</v>
      </c>
      <c r="AF245" s="26">
        <f t="shared" si="212"/>
        <v>24011.4</v>
      </c>
      <c r="AG245" s="26">
        <f t="shared" si="212"/>
        <v>0</v>
      </c>
      <c r="AH245" s="26">
        <f t="shared" si="212"/>
        <v>0</v>
      </c>
      <c r="AI245" s="26">
        <f t="shared" si="212"/>
        <v>0</v>
      </c>
      <c r="AJ245" s="26">
        <f t="shared" si="212"/>
        <v>0</v>
      </c>
      <c r="AK245" s="26">
        <f t="shared" si="212"/>
        <v>0</v>
      </c>
      <c r="AL245" s="26">
        <f t="shared" si="212"/>
        <v>0</v>
      </c>
      <c r="AM245" s="26">
        <f t="shared" si="212"/>
        <v>0</v>
      </c>
      <c r="AN245" s="26">
        <f t="shared" si="212"/>
        <v>0</v>
      </c>
      <c r="AO245" s="26">
        <f t="shared" si="212"/>
        <v>0</v>
      </c>
      <c r="AP245" s="26">
        <f t="shared" si="212"/>
        <v>0</v>
      </c>
    </row>
    <row r="246" spans="1:42">
      <c r="A246" t="s">
        <v>2375</v>
      </c>
      <c r="B246" s="26">
        <f t="shared" si="213"/>
        <v>0</v>
      </c>
      <c r="C246" s="26">
        <f t="shared" si="214"/>
        <v>0</v>
      </c>
      <c r="D246" s="26">
        <f t="shared" si="215"/>
        <v>0</v>
      </c>
      <c r="E246" s="26">
        <f t="shared" si="216"/>
        <v>0</v>
      </c>
      <c r="F246" s="26">
        <f t="shared" si="217"/>
        <v>0</v>
      </c>
      <c r="G246" s="26">
        <f t="shared" si="218"/>
        <v>0</v>
      </c>
      <c r="H246" s="26">
        <f t="shared" si="219"/>
        <v>0</v>
      </c>
      <c r="I246" s="26">
        <f t="shared" si="220"/>
        <v>0</v>
      </c>
      <c r="J246" s="26">
        <f t="shared" si="212"/>
        <v>0</v>
      </c>
      <c r="K246" s="26">
        <f t="shared" si="212"/>
        <v>0</v>
      </c>
      <c r="L246" s="26">
        <f t="shared" si="212"/>
        <v>0</v>
      </c>
      <c r="M246" s="26">
        <f t="shared" si="212"/>
        <v>0</v>
      </c>
      <c r="N246" s="26">
        <f t="shared" si="212"/>
        <v>0</v>
      </c>
      <c r="O246" s="26">
        <f t="shared" si="212"/>
        <v>0</v>
      </c>
      <c r="P246" s="26">
        <f t="shared" si="212"/>
        <v>0</v>
      </c>
      <c r="Q246" s="26">
        <f t="shared" si="212"/>
        <v>0</v>
      </c>
      <c r="R246" s="26">
        <f t="shared" si="212"/>
        <v>0</v>
      </c>
      <c r="S246" s="26">
        <f t="shared" si="212"/>
        <v>0</v>
      </c>
      <c r="T246" s="26">
        <f t="shared" si="212"/>
        <v>0</v>
      </c>
      <c r="U246" s="26">
        <f t="shared" si="212"/>
        <v>0</v>
      </c>
      <c r="V246" s="26">
        <f t="shared" si="212"/>
        <v>0</v>
      </c>
      <c r="W246" s="26">
        <f t="shared" si="212"/>
        <v>0</v>
      </c>
      <c r="X246" s="26">
        <f t="shared" si="212"/>
        <v>0</v>
      </c>
      <c r="Y246" s="26">
        <f t="shared" si="212"/>
        <v>20</v>
      </c>
      <c r="Z246" s="26">
        <f t="shared" si="212"/>
        <v>30</v>
      </c>
      <c r="AA246" s="26">
        <f t="shared" si="212"/>
        <v>60</v>
      </c>
      <c r="AB246" s="26">
        <f t="shared" si="212"/>
        <v>60</v>
      </c>
      <c r="AC246" s="26">
        <f t="shared" si="212"/>
        <v>501</v>
      </c>
      <c r="AD246" s="26">
        <f t="shared" si="212"/>
        <v>922</v>
      </c>
      <c r="AE246" s="26">
        <f t="shared" si="212"/>
        <v>912</v>
      </c>
      <c r="AF246" s="26">
        <f t="shared" si="212"/>
        <v>882</v>
      </c>
      <c r="AG246" s="26">
        <f t="shared" si="212"/>
        <v>882</v>
      </c>
      <c r="AH246" s="26">
        <f t="shared" si="212"/>
        <v>441</v>
      </c>
      <c r="AI246" s="26">
        <f t="shared" si="212"/>
        <v>0</v>
      </c>
      <c r="AJ246" s="26">
        <f t="shared" si="212"/>
        <v>0</v>
      </c>
      <c r="AK246" s="26">
        <f t="shared" si="212"/>
        <v>0</v>
      </c>
      <c r="AL246" s="26">
        <f t="shared" si="212"/>
        <v>0</v>
      </c>
      <c r="AM246" s="26">
        <f t="shared" si="212"/>
        <v>0</v>
      </c>
      <c r="AN246" s="26">
        <f t="shared" si="212"/>
        <v>0</v>
      </c>
      <c r="AO246" s="26">
        <f t="shared" si="212"/>
        <v>0</v>
      </c>
      <c r="AP246" s="26">
        <f t="shared" si="212"/>
        <v>0</v>
      </c>
    </row>
    <row r="247" spans="1:42">
      <c r="A247" t="s">
        <v>2376</v>
      </c>
      <c r="B247" s="26">
        <f t="shared" si="213"/>
        <v>17.3094545454546</v>
      </c>
      <c r="C247" s="26">
        <f t="shared" si="214"/>
        <v>23.0792727272727</v>
      </c>
      <c r="D247" s="26">
        <f t="shared" si="215"/>
        <v>28.8490909090909</v>
      </c>
      <c r="E247" s="26">
        <f t="shared" si="216"/>
        <v>28.8490909090909</v>
      </c>
      <c r="F247" s="26">
        <f t="shared" si="217"/>
        <v>28.8490909090909</v>
      </c>
      <c r="G247" s="26">
        <f t="shared" si="218"/>
        <v>28.8490909090909</v>
      </c>
      <c r="H247" s="26">
        <f t="shared" si="219"/>
        <v>28.8490909090909</v>
      </c>
      <c r="I247" s="26">
        <f t="shared" si="220"/>
        <v>28.8490909090909</v>
      </c>
      <c r="J247" s="26">
        <f t="shared" si="212"/>
        <v>28.8490909090909</v>
      </c>
      <c r="K247" s="26">
        <f t="shared" si="212"/>
        <v>126.029272727273</v>
      </c>
      <c r="L247" s="26">
        <f t="shared" si="212"/>
        <v>223.209454545455</v>
      </c>
      <c r="M247" s="26">
        <f t="shared" si="212"/>
        <v>320.389636363636</v>
      </c>
      <c r="N247" s="26">
        <f t="shared" si="212"/>
        <v>417.569818181818</v>
      </c>
      <c r="O247" s="26">
        <f t="shared" si="212"/>
        <v>514.75</v>
      </c>
      <c r="P247" s="26">
        <f t="shared" si="212"/>
        <v>514.75</v>
      </c>
      <c r="Q247" s="26">
        <f t="shared" si="212"/>
        <v>514.75</v>
      </c>
      <c r="R247" s="26">
        <f t="shared" si="212"/>
        <v>514.75</v>
      </c>
      <c r="S247" s="26">
        <f t="shared" si="212"/>
        <v>458.3</v>
      </c>
      <c r="T247" s="26">
        <f t="shared" si="212"/>
        <v>441.95</v>
      </c>
      <c r="U247" s="26">
        <f t="shared" si="212"/>
        <v>469.8</v>
      </c>
      <c r="V247" s="26">
        <f t="shared" si="212"/>
        <v>524.21</v>
      </c>
      <c r="W247" s="26">
        <f t="shared" si="212"/>
        <v>536.22</v>
      </c>
      <c r="X247" s="26">
        <f t="shared" si="212"/>
        <v>630.76</v>
      </c>
      <c r="Y247" s="26">
        <f t="shared" si="212"/>
        <v>638.96</v>
      </c>
      <c r="Z247" s="26">
        <f t="shared" si="212"/>
        <v>634.86</v>
      </c>
      <c r="AA247" s="26">
        <f t="shared" si="212"/>
        <v>639.5</v>
      </c>
      <c r="AB247" s="26">
        <f t="shared" si="212"/>
        <v>715.06</v>
      </c>
      <c r="AC247" s="26">
        <f t="shared" si="212"/>
        <v>812.072</v>
      </c>
      <c r="AD247" s="26">
        <f t="shared" si="212"/>
        <v>1163.372</v>
      </c>
      <c r="AE247" s="26">
        <f t="shared" si="212"/>
        <v>1486.952</v>
      </c>
      <c r="AF247" s="26">
        <f t="shared" si="212"/>
        <v>1552.352</v>
      </c>
      <c r="AG247" s="26">
        <f t="shared" si="212"/>
        <v>1595.832</v>
      </c>
      <c r="AH247" s="26">
        <f t="shared" ref="AH247:AH255" si="221">AVERAGE(AH228:AL228)</f>
        <v>1357.78</v>
      </c>
      <c r="AI247" s="26">
        <f t="shared" ref="AI247:AI255" si="222">AVERAGE(AI228:AM228)</f>
        <v>911.68</v>
      </c>
      <c r="AJ247" s="26">
        <f t="shared" ref="AJ247:AJ255" si="223">AVERAGE(AJ228:AN228)</f>
        <v>461.4</v>
      </c>
      <c r="AK247" s="26">
        <f t="shared" ref="AK247:AK255" si="224">AVERAGE(AK228:AO228)</f>
        <v>234</v>
      </c>
      <c r="AL247" s="26">
        <f t="shared" ref="AL247:AL255" si="225">AVERAGE(AL228:AP228)</f>
        <v>0</v>
      </c>
      <c r="AM247" s="26">
        <f t="shared" ref="AM247:AM255" si="226">AVERAGE(AM228:AQ228)</f>
        <v>0</v>
      </c>
      <c r="AN247" s="26">
        <f t="shared" ref="AN247:AN255" si="227">AVERAGE(AN228:AR228)</f>
        <v>0</v>
      </c>
      <c r="AO247" s="26">
        <f t="shared" ref="AO247:AO255" si="228">AVERAGE(AO228:AS228)</f>
        <v>0</v>
      </c>
      <c r="AP247" s="26">
        <f t="shared" ref="AP247:AP255" si="229">AVERAGE(AP228:AT228)</f>
        <v>0</v>
      </c>
    </row>
    <row r="248" spans="1:42">
      <c r="A248" t="s">
        <v>2377</v>
      </c>
      <c r="B248" s="26">
        <f t="shared" si="213"/>
        <v>28.7607272727273</v>
      </c>
      <c r="C248" s="26">
        <f t="shared" si="214"/>
        <v>38.3476363636364</v>
      </c>
      <c r="D248" s="26">
        <f t="shared" si="215"/>
        <v>47.9345454545455</v>
      </c>
      <c r="E248" s="26">
        <f t="shared" si="216"/>
        <v>47.9345454545455</v>
      </c>
      <c r="F248" s="26">
        <f t="shared" si="217"/>
        <v>47.9345454545455</v>
      </c>
      <c r="G248" s="26">
        <f t="shared" si="218"/>
        <v>47.9345454545455</v>
      </c>
      <c r="H248" s="26">
        <f t="shared" si="219"/>
        <v>47.9345454545455</v>
      </c>
      <c r="I248" s="26">
        <f t="shared" si="220"/>
        <v>47.9345454545455</v>
      </c>
      <c r="J248" s="26">
        <f t="shared" ref="J248:J255" si="230">AVERAGE(J229:N229)</f>
        <v>47.9345454545455</v>
      </c>
      <c r="K248" s="26">
        <f t="shared" ref="K248:K255" si="231">AVERAGE(K229:O229)</f>
        <v>38.3476363636364</v>
      </c>
      <c r="L248" s="26">
        <f t="shared" ref="L248:L255" si="232">AVERAGE(L229:P229)</f>
        <v>28.7607272727273</v>
      </c>
      <c r="M248" s="26">
        <f t="shared" ref="M248:M255" si="233">AVERAGE(M229:Q229)</f>
        <v>19.1738181818182</v>
      </c>
      <c r="N248" s="26">
        <f t="shared" ref="N248:N255" si="234">AVERAGE(N229:R229)</f>
        <v>9.58690909090909</v>
      </c>
      <c r="O248" s="26">
        <f t="shared" ref="O248:O255" si="235">AVERAGE(O229:S229)</f>
        <v>0</v>
      </c>
      <c r="P248" s="26">
        <f t="shared" ref="P248:P255" si="236">AVERAGE(P229:T229)</f>
        <v>0</v>
      </c>
      <c r="Q248" s="26">
        <f t="shared" ref="Q248:Q255" si="237">AVERAGE(Q229:U229)</f>
        <v>0</v>
      </c>
      <c r="R248" s="26">
        <f t="shared" ref="R248:R255" si="238">AVERAGE(R229:V229)</f>
        <v>0</v>
      </c>
      <c r="S248" s="26">
        <f t="shared" ref="S248:S255" si="239">AVERAGE(S229:W229)</f>
        <v>0</v>
      </c>
      <c r="T248" s="26">
        <f t="shared" ref="T248:T255" si="240">AVERAGE(T229:X229)</f>
        <v>0</v>
      </c>
      <c r="U248" s="26">
        <f t="shared" ref="U248:U255" si="241">AVERAGE(U229:Y229)</f>
        <v>0</v>
      </c>
      <c r="V248" s="26">
        <f t="shared" ref="V248:V255" si="242">AVERAGE(V229:Z229)</f>
        <v>0</v>
      </c>
      <c r="W248" s="26">
        <f t="shared" ref="W248:W255" si="243">AVERAGE(W229:AA229)</f>
        <v>0</v>
      </c>
      <c r="X248" s="26">
        <f t="shared" ref="X248:X255" si="244">AVERAGE(X229:AB229)</f>
        <v>0</v>
      </c>
      <c r="Y248" s="26">
        <f t="shared" ref="Y248:Y255" si="245">AVERAGE(Y229:AC229)</f>
        <v>0</v>
      </c>
      <c r="Z248" s="26">
        <f t="shared" ref="Z248:Z255" si="246">AVERAGE(Z229:AD229)</f>
        <v>0</v>
      </c>
      <c r="AA248" s="26">
        <f t="shared" ref="AA248:AA255" si="247">AVERAGE(AA229:AE229)</f>
        <v>0</v>
      </c>
      <c r="AB248" s="26">
        <f t="shared" ref="AB248:AB255" si="248">AVERAGE(AB229:AF229)</f>
        <v>0</v>
      </c>
      <c r="AC248" s="26">
        <f t="shared" ref="AC248:AC255" si="249">AVERAGE(AC229:AG229)</f>
        <v>0</v>
      </c>
      <c r="AD248" s="26">
        <f t="shared" ref="AD248:AD255" si="250">AVERAGE(AD229:AH229)</f>
        <v>0</v>
      </c>
      <c r="AE248" s="26">
        <f t="shared" ref="AE248:AE255" si="251">AVERAGE(AE229:AI229)</f>
        <v>0</v>
      </c>
      <c r="AF248" s="26">
        <f t="shared" ref="AF248:AF255" si="252">AVERAGE(AF229:AJ229)</f>
        <v>0</v>
      </c>
      <c r="AG248" s="26">
        <f t="shared" ref="AG248:AG255" si="253">AVERAGE(AG229:AK229)</f>
        <v>0</v>
      </c>
      <c r="AH248" s="26">
        <f t="shared" si="221"/>
        <v>0</v>
      </c>
      <c r="AI248" s="26">
        <f t="shared" si="222"/>
        <v>0</v>
      </c>
      <c r="AJ248" s="26">
        <f t="shared" si="223"/>
        <v>0</v>
      </c>
      <c r="AK248" s="26">
        <f t="shared" si="224"/>
        <v>0</v>
      </c>
      <c r="AL248" s="26">
        <f t="shared" si="225"/>
        <v>0</v>
      </c>
      <c r="AM248" s="26">
        <f t="shared" si="226"/>
        <v>0</v>
      </c>
      <c r="AN248" s="26">
        <f t="shared" si="227"/>
        <v>0</v>
      </c>
      <c r="AO248" s="26">
        <f t="shared" si="228"/>
        <v>0</v>
      </c>
      <c r="AP248" s="26">
        <f t="shared" si="229"/>
        <v>0</v>
      </c>
    </row>
    <row r="249" spans="1:42">
      <c r="A249" t="s">
        <v>2378</v>
      </c>
      <c r="B249" s="26">
        <f t="shared" si="213"/>
        <v>8.94636102282714</v>
      </c>
      <c r="C249" s="26">
        <f t="shared" si="214"/>
        <v>14.5130363368014</v>
      </c>
      <c r="D249" s="26">
        <f t="shared" si="215"/>
        <v>20.0797116507756</v>
      </c>
      <c r="E249" s="26">
        <f t="shared" si="216"/>
        <v>25.6463869647498</v>
      </c>
      <c r="F249" s="26">
        <f t="shared" si="217"/>
        <v>27.8333765698711</v>
      </c>
      <c r="G249" s="26">
        <f t="shared" si="218"/>
        <v>27.8333765698711</v>
      </c>
      <c r="H249" s="26">
        <f t="shared" si="219"/>
        <v>27.8333765698711</v>
      </c>
      <c r="I249" s="26">
        <f t="shared" si="220"/>
        <v>27.8333765698711</v>
      </c>
      <c r="J249" s="26">
        <f t="shared" si="230"/>
        <v>27.8333765698711</v>
      </c>
      <c r="K249" s="26">
        <f t="shared" si="231"/>
        <v>27.8333765698711</v>
      </c>
      <c r="L249" s="26">
        <f t="shared" si="232"/>
        <v>24.2753565678791</v>
      </c>
      <c r="M249" s="26">
        <f t="shared" si="233"/>
        <v>20.2749215675622</v>
      </c>
      <c r="N249" s="26">
        <f t="shared" si="234"/>
        <v>16.2744865672453</v>
      </c>
      <c r="O249" s="26">
        <f t="shared" si="235"/>
        <v>13.7472479015565</v>
      </c>
      <c r="P249" s="26">
        <f t="shared" si="236"/>
        <v>9.74681290123959</v>
      </c>
      <c r="Q249" s="26">
        <f t="shared" si="237"/>
        <v>9.30439790291472</v>
      </c>
      <c r="R249" s="26">
        <f t="shared" si="238"/>
        <v>12.4970834578364</v>
      </c>
      <c r="S249" s="26">
        <f t="shared" si="239"/>
        <v>12.4970834578364</v>
      </c>
      <c r="T249" s="26">
        <f t="shared" si="240"/>
        <v>11.0238871232083</v>
      </c>
      <c r="U249" s="26">
        <f t="shared" si="241"/>
        <v>11.0238871232083</v>
      </c>
      <c r="V249" s="26">
        <f t="shared" si="242"/>
        <v>9.45764680955097</v>
      </c>
      <c r="W249" s="26">
        <f t="shared" si="243"/>
        <v>4.69872094097194</v>
      </c>
      <c r="X249" s="26">
        <f t="shared" si="244"/>
        <v>3.13248062731463</v>
      </c>
      <c r="Y249" s="26">
        <f t="shared" si="245"/>
        <v>1.56624031365732</v>
      </c>
      <c r="Z249" s="26">
        <f t="shared" si="246"/>
        <v>0</v>
      </c>
      <c r="AA249" s="26">
        <f t="shared" si="247"/>
        <v>0</v>
      </c>
      <c r="AB249" s="26">
        <f t="shared" si="248"/>
        <v>0</v>
      </c>
      <c r="AC249" s="26">
        <f t="shared" si="249"/>
        <v>0</v>
      </c>
      <c r="AD249" s="26">
        <f t="shared" si="250"/>
        <v>0</v>
      </c>
      <c r="AE249" s="26">
        <f t="shared" si="251"/>
        <v>0</v>
      </c>
      <c r="AF249" s="26">
        <f t="shared" si="252"/>
        <v>0</v>
      </c>
      <c r="AG249" s="26">
        <f t="shared" si="253"/>
        <v>0</v>
      </c>
      <c r="AH249" s="26">
        <f t="shared" si="221"/>
        <v>0</v>
      </c>
      <c r="AI249" s="26">
        <f t="shared" si="222"/>
        <v>0</v>
      </c>
      <c r="AJ249" s="26">
        <f t="shared" si="223"/>
        <v>0</v>
      </c>
      <c r="AK249" s="26">
        <f t="shared" si="224"/>
        <v>0</v>
      </c>
      <c r="AL249" s="26">
        <f t="shared" si="225"/>
        <v>0</v>
      </c>
      <c r="AM249" s="26">
        <f t="shared" si="226"/>
        <v>0</v>
      </c>
      <c r="AN249" s="26">
        <f t="shared" si="227"/>
        <v>0</v>
      </c>
      <c r="AO249" s="26">
        <f t="shared" si="228"/>
        <v>0</v>
      </c>
      <c r="AP249" s="26">
        <f t="shared" si="229"/>
        <v>0</v>
      </c>
    </row>
    <row r="250" spans="1:42">
      <c r="A250" t="s">
        <v>2379</v>
      </c>
      <c r="B250" s="26">
        <f t="shared" si="213"/>
        <v>0</v>
      </c>
      <c r="C250" s="26">
        <f t="shared" si="214"/>
        <v>0</v>
      </c>
      <c r="D250" s="26">
        <f t="shared" si="215"/>
        <v>0</v>
      </c>
      <c r="E250" s="26">
        <f t="shared" si="216"/>
        <v>0</v>
      </c>
      <c r="F250" s="26">
        <f t="shared" si="217"/>
        <v>0</v>
      </c>
      <c r="G250" s="26">
        <f t="shared" si="218"/>
        <v>0</v>
      </c>
      <c r="H250" s="26">
        <f t="shared" si="219"/>
        <v>0</v>
      </c>
      <c r="I250" s="26">
        <f t="shared" si="220"/>
        <v>0</v>
      </c>
      <c r="J250" s="26">
        <f t="shared" si="230"/>
        <v>0</v>
      </c>
      <c r="K250" s="26">
        <f t="shared" si="231"/>
        <v>0</v>
      </c>
      <c r="L250" s="26">
        <f t="shared" si="232"/>
        <v>0</v>
      </c>
      <c r="M250" s="26">
        <f t="shared" si="233"/>
        <v>0</v>
      </c>
      <c r="N250" s="26">
        <f t="shared" si="234"/>
        <v>0</v>
      </c>
      <c r="O250" s="26">
        <f t="shared" si="235"/>
        <v>6.52319999999975</v>
      </c>
      <c r="P250" s="26">
        <f t="shared" si="236"/>
        <v>27.9911999999998</v>
      </c>
      <c r="Q250" s="26">
        <f t="shared" si="237"/>
        <v>51.2591999999998</v>
      </c>
      <c r="R250" s="26">
        <f t="shared" si="238"/>
        <v>75.4391999999998</v>
      </c>
      <c r="S250" s="26">
        <f t="shared" si="239"/>
        <v>75.4391999999998</v>
      </c>
      <c r="T250" s="26">
        <f t="shared" si="240"/>
        <v>246.858</v>
      </c>
      <c r="U250" s="26">
        <f t="shared" si="241"/>
        <v>493.692</v>
      </c>
      <c r="V250" s="26">
        <f t="shared" si="242"/>
        <v>715.0014</v>
      </c>
      <c r="W250" s="26">
        <f t="shared" si="243"/>
        <v>775.728</v>
      </c>
      <c r="X250" s="26">
        <f t="shared" si="244"/>
        <v>997.704</v>
      </c>
      <c r="Y250" s="26">
        <f t="shared" si="245"/>
        <v>996.41952</v>
      </c>
      <c r="Z250" s="26">
        <f t="shared" si="246"/>
        <v>869.92704</v>
      </c>
      <c r="AA250" s="26">
        <f t="shared" si="247"/>
        <v>816.63516</v>
      </c>
      <c r="AB250" s="26">
        <f t="shared" si="248"/>
        <v>1157.36208</v>
      </c>
      <c r="AC250" s="26">
        <f t="shared" si="249"/>
        <v>1716.5616</v>
      </c>
      <c r="AD250" s="26">
        <f t="shared" si="250"/>
        <v>2274.7356</v>
      </c>
      <c r="AE250" s="26">
        <f t="shared" si="251"/>
        <v>2580.5436</v>
      </c>
      <c r="AF250" s="26">
        <f t="shared" si="252"/>
        <v>2800.0092</v>
      </c>
      <c r="AG250" s="26">
        <f t="shared" si="253"/>
        <v>2972.4768</v>
      </c>
      <c r="AH250" s="26">
        <f t="shared" si="221"/>
        <v>2611.1904</v>
      </c>
      <c r="AI250" s="26">
        <f t="shared" si="222"/>
        <v>3522.03888</v>
      </c>
      <c r="AJ250" s="26">
        <f t="shared" si="223"/>
        <v>4326.48136</v>
      </c>
      <c r="AK250" s="26">
        <f t="shared" si="224"/>
        <v>6156.13024</v>
      </c>
      <c r="AL250" s="26">
        <f t="shared" si="225"/>
        <v>7804.42912</v>
      </c>
      <c r="AM250" s="26">
        <f t="shared" si="226"/>
        <v>12377.94</v>
      </c>
      <c r="AN250" s="26">
        <f t="shared" si="227"/>
        <v>14821.66</v>
      </c>
      <c r="AO250" s="26">
        <f t="shared" si="228"/>
        <v>16962</v>
      </c>
      <c r="AP250" s="26">
        <f t="shared" si="229"/>
        <v>18882</v>
      </c>
    </row>
    <row r="251" spans="1:42">
      <c r="A251" t="s">
        <v>2380</v>
      </c>
      <c r="B251" s="26">
        <f t="shared" si="213"/>
        <v>1129.39636363636</v>
      </c>
      <c r="C251" s="26">
        <f t="shared" si="214"/>
        <v>1505.86181818182</v>
      </c>
      <c r="D251" s="26">
        <f t="shared" si="215"/>
        <v>1882.32727272727</v>
      </c>
      <c r="E251" s="26">
        <f t="shared" si="216"/>
        <v>1882.32727272727</v>
      </c>
      <c r="F251" s="26">
        <f t="shared" si="217"/>
        <v>1882.32727272727</v>
      </c>
      <c r="G251" s="26">
        <f t="shared" si="218"/>
        <v>1882.32727272727</v>
      </c>
      <c r="H251" s="26">
        <f t="shared" si="219"/>
        <v>1882.32727272727</v>
      </c>
      <c r="I251" s="26">
        <f t="shared" si="220"/>
        <v>1882.32727272727</v>
      </c>
      <c r="J251" s="26">
        <f t="shared" si="230"/>
        <v>1882.32727272727</v>
      </c>
      <c r="K251" s="26">
        <f t="shared" si="231"/>
        <v>1635.56181818182</v>
      </c>
      <c r="L251" s="26">
        <f t="shared" si="232"/>
        <v>1388.79636363636</v>
      </c>
      <c r="M251" s="26">
        <f t="shared" si="233"/>
        <v>1142.03090909091</v>
      </c>
      <c r="N251" s="26">
        <f t="shared" si="234"/>
        <v>895.265454545455</v>
      </c>
      <c r="O251" s="26">
        <f t="shared" si="235"/>
        <v>648.5</v>
      </c>
      <c r="P251" s="26">
        <f t="shared" si="236"/>
        <v>648.5</v>
      </c>
      <c r="Q251" s="26">
        <f t="shared" si="237"/>
        <v>648.5</v>
      </c>
      <c r="R251" s="26">
        <f t="shared" si="238"/>
        <v>648.5</v>
      </c>
      <c r="S251" s="26">
        <f t="shared" si="239"/>
        <v>828.8</v>
      </c>
      <c r="T251" s="26">
        <f t="shared" si="240"/>
        <v>1079.38</v>
      </c>
      <c r="U251" s="26">
        <f t="shared" si="241"/>
        <v>1195.68</v>
      </c>
      <c r="V251" s="26">
        <f t="shared" si="242"/>
        <v>1377.98</v>
      </c>
      <c r="W251" s="26">
        <f t="shared" si="243"/>
        <v>1369.48</v>
      </c>
      <c r="X251" s="26">
        <f t="shared" si="244"/>
        <v>1119.48</v>
      </c>
      <c r="Y251" s="26">
        <f t="shared" si="245"/>
        <v>739.2</v>
      </c>
      <c r="Z251" s="26">
        <f t="shared" si="246"/>
        <v>556.8</v>
      </c>
      <c r="AA251" s="26">
        <f t="shared" si="247"/>
        <v>245.2</v>
      </c>
      <c r="AB251" s="26">
        <f t="shared" si="248"/>
        <v>124</v>
      </c>
      <c r="AC251" s="26">
        <f t="shared" si="249"/>
        <v>344</v>
      </c>
      <c r="AD251" s="26">
        <f t="shared" si="250"/>
        <v>681.6</v>
      </c>
      <c r="AE251" s="26">
        <f t="shared" si="251"/>
        <v>618</v>
      </c>
      <c r="AF251" s="26">
        <f t="shared" si="252"/>
        <v>617.6</v>
      </c>
      <c r="AG251" s="26">
        <f t="shared" si="253"/>
        <v>617.6</v>
      </c>
      <c r="AH251" s="26">
        <f t="shared" si="221"/>
        <v>337.6</v>
      </c>
      <c r="AI251" s="26">
        <f t="shared" si="222"/>
        <v>0</v>
      </c>
      <c r="AJ251" s="26">
        <f t="shared" si="223"/>
        <v>0</v>
      </c>
      <c r="AK251" s="26">
        <f t="shared" si="224"/>
        <v>0</v>
      </c>
      <c r="AL251" s="26">
        <f t="shared" si="225"/>
        <v>0</v>
      </c>
      <c r="AM251" s="26">
        <f t="shared" si="226"/>
        <v>0</v>
      </c>
      <c r="AN251" s="26">
        <f t="shared" si="227"/>
        <v>0</v>
      </c>
      <c r="AO251" s="26">
        <f t="shared" si="228"/>
        <v>0</v>
      </c>
      <c r="AP251" s="26">
        <f t="shared" si="229"/>
        <v>0</v>
      </c>
    </row>
    <row r="252" spans="1:42">
      <c r="A252" t="s">
        <v>2381</v>
      </c>
      <c r="B252" s="26">
        <f t="shared" si="213"/>
        <v>0</v>
      </c>
      <c r="C252" s="26">
        <f t="shared" si="214"/>
        <v>0</v>
      </c>
      <c r="D252" s="26">
        <f t="shared" si="215"/>
        <v>0</v>
      </c>
      <c r="E252" s="26">
        <f t="shared" si="216"/>
        <v>0</v>
      </c>
      <c r="F252" s="26">
        <f t="shared" si="217"/>
        <v>0</v>
      </c>
      <c r="G252" s="26">
        <f t="shared" si="218"/>
        <v>0</v>
      </c>
      <c r="H252" s="26">
        <f t="shared" si="219"/>
        <v>0</v>
      </c>
      <c r="I252" s="26">
        <f t="shared" si="220"/>
        <v>0</v>
      </c>
      <c r="J252" s="26">
        <f t="shared" si="230"/>
        <v>0</v>
      </c>
      <c r="K252" s="26">
        <f t="shared" si="231"/>
        <v>0</v>
      </c>
      <c r="L252" s="26">
        <f t="shared" si="232"/>
        <v>0</v>
      </c>
      <c r="M252" s="26">
        <f t="shared" si="233"/>
        <v>0</v>
      </c>
      <c r="N252" s="26">
        <f t="shared" si="234"/>
        <v>0</v>
      </c>
      <c r="O252" s="26">
        <f t="shared" si="235"/>
        <v>0</v>
      </c>
      <c r="P252" s="26">
        <f t="shared" si="236"/>
        <v>0</v>
      </c>
      <c r="Q252" s="26">
        <f t="shared" si="237"/>
        <v>0</v>
      </c>
      <c r="R252" s="26">
        <f t="shared" si="238"/>
        <v>0</v>
      </c>
      <c r="S252" s="26">
        <f t="shared" si="239"/>
        <v>68.8</v>
      </c>
      <c r="T252" s="26">
        <f t="shared" si="240"/>
        <v>71.2363636363636</v>
      </c>
      <c r="U252" s="26">
        <f t="shared" si="241"/>
        <v>94.0727272727273</v>
      </c>
      <c r="V252" s="26">
        <f t="shared" si="242"/>
        <v>98.9090909090909</v>
      </c>
      <c r="W252" s="26">
        <f t="shared" si="243"/>
        <v>262.145454545455</v>
      </c>
      <c r="X252" s="26">
        <f t="shared" si="244"/>
        <v>316.381818181818</v>
      </c>
      <c r="Y252" s="26">
        <f t="shared" si="245"/>
        <v>511.781818181818</v>
      </c>
      <c r="Z252" s="26">
        <f t="shared" si="246"/>
        <v>962.381818181818</v>
      </c>
      <c r="AA252" s="26">
        <f t="shared" si="247"/>
        <v>959.981818181818</v>
      </c>
      <c r="AB252" s="26">
        <f t="shared" si="248"/>
        <v>799.181818181818</v>
      </c>
      <c r="AC252" s="26">
        <f t="shared" si="249"/>
        <v>678.581818181818</v>
      </c>
      <c r="AD252" s="26">
        <f t="shared" si="250"/>
        <v>1009.34545454545</v>
      </c>
      <c r="AE252" s="26">
        <f t="shared" si="251"/>
        <v>3940.20909090909</v>
      </c>
      <c r="AF252" s="26">
        <f t="shared" si="252"/>
        <v>5283.27272727273</v>
      </c>
      <c r="AG252" s="26">
        <f t="shared" si="253"/>
        <v>6514.83636363636</v>
      </c>
      <c r="AH252" s="26">
        <f t="shared" si="221"/>
        <v>9107.4</v>
      </c>
      <c r="AI252" s="26">
        <f t="shared" si="222"/>
        <v>9879.8</v>
      </c>
      <c r="AJ252" s="26">
        <f t="shared" si="223"/>
        <v>7195.5</v>
      </c>
      <c r="AK252" s="26">
        <f t="shared" si="224"/>
        <v>6010</v>
      </c>
      <c r="AL252" s="26">
        <f t="shared" si="225"/>
        <v>4976</v>
      </c>
      <c r="AM252" s="26">
        <f t="shared" si="226"/>
        <v>2381</v>
      </c>
      <c r="AN252" s="26">
        <f t="shared" si="227"/>
        <v>1080</v>
      </c>
      <c r="AO252" s="26">
        <f t="shared" si="228"/>
        <v>450</v>
      </c>
      <c r="AP252" s="26">
        <f t="shared" si="229"/>
        <v>333.333333333333</v>
      </c>
    </row>
    <row r="253" spans="1:42">
      <c r="A253" t="s">
        <v>2382</v>
      </c>
      <c r="B253" s="26">
        <f t="shared" si="213"/>
        <v>2.04108675377358</v>
      </c>
      <c r="C253" s="26">
        <f t="shared" si="214"/>
        <v>3.31110785139308</v>
      </c>
      <c r="D253" s="26">
        <f t="shared" si="215"/>
        <v>4.58112894901258</v>
      </c>
      <c r="E253" s="26">
        <f t="shared" si="216"/>
        <v>5.85115004663208</v>
      </c>
      <c r="F253" s="26">
        <f t="shared" si="217"/>
        <v>6.3501054880975</v>
      </c>
      <c r="G253" s="26">
        <f t="shared" si="218"/>
        <v>6.3501054880975</v>
      </c>
      <c r="H253" s="26">
        <f t="shared" si="219"/>
        <v>6.3501054880975</v>
      </c>
      <c r="I253" s="26">
        <f t="shared" si="220"/>
        <v>6.3501054880975</v>
      </c>
      <c r="J253" s="26">
        <f t="shared" si="230"/>
        <v>6.3501054880975</v>
      </c>
      <c r="K253" s="26">
        <f t="shared" si="231"/>
        <v>6.3501054880975</v>
      </c>
      <c r="L253" s="26">
        <f t="shared" si="232"/>
        <v>5.53835337154447</v>
      </c>
      <c r="M253" s="26">
        <f t="shared" si="233"/>
        <v>4.62566553482012</v>
      </c>
      <c r="N253" s="26">
        <f t="shared" si="234"/>
        <v>3.71297769809578</v>
      </c>
      <c r="O253" s="26">
        <f t="shared" si="235"/>
        <v>3.13639540379757</v>
      </c>
      <c r="P253" s="26">
        <f t="shared" si="236"/>
        <v>2.22370756707322</v>
      </c>
      <c r="Q253" s="26">
        <f t="shared" si="237"/>
        <v>2.12277184690191</v>
      </c>
      <c r="R253" s="26">
        <f t="shared" si="238"/>
        <v>2.85117395123099</v>
      </c>
      <c r="S253" s="26">
        <f t="shared" si="239"/>
        <v>2.85117395123099</v>
      </c>
      <c r="T253" s="26">
        <f t="shared" si="240"/>
        <v>2.51506840880486</v>
      </c>
      <c r="U253" s="26">
        <f t="shared" si="241"/>
        <v>2.51506840880486</v>
      </c>
      <c r="V253" s="26">
        <f t="shared" si="242"/>
        <v>2.15773514790971</v>
      </c>
      <c r="W253" s="26">
        <f t="shared" si="243"/>
        <v>1.07199978268546</v>
      </c>
      <c r="X253" s="26">
        <f t="shared" si="244"/>
        <v>0.71466652179031</v>
      </c>
      <c r="Y253" s="26">
        <f t="shared" si="245"/>
        <v>0.357333260895156</v>
      </c>
      <c r="Z253" s="26">
        <f t="shared" si="246"/>
        <v>0</v>
      </c>
      <c r="AA253" s="26">
        <f t="shared" si="247"/>
        <v>0</v>
      </c>
      <c r="AB253" s="26">
        <f t="shared" si="248"/>
        <v>0</v>
      </c>
      <c r="AC253" s="26">
        <f t="shared" si="249"/>
        <v>0</v>
      </c>
      <c r="AD253" s="26">
        <f t="shared" si="250"/>
        <v>3657.3</v>
      </c>
      <c r="AE253" s="26">
        <f t="shared" si="251"/>
        <v>6641.3</v>
      </c>
      <c r="AF253" s="26">
        <f t="shared" si="252"/>
        <v>6641.3</v>
      </c>
      <c r="AG253" s="26">
        <f t="shared" si="253"/>
        <v>6641.3</v>
      </c>
      <c r="AH253" s="26">
        <f t="shared" si="221"/>
        <v>6641.3</v>
      </c>
      <c r="AI253" s="26">
        <f t="shared" si="222"/>
        <v>2984</v>
      </c>
      <c r="AJ253" s="26">
        <f t="shared" si="223"/>
        <v>0</v>
      </c>
      <c r="AK253" s="26">
        <f t="shared" si="224"/>
        <v>0</v>
      </c>
      <c r="AL253" s="26">
        <f t="shared" si="225"/>
        <v>0</v>
      </c>
      <c r="AM253" s="26">
        <f t="shared" si="226"/>
        <v>0</v>
      </c>
      <c r="AN253" s="26">
        <f t="shared" si="227"/>
        <v>0</v>
      </c>
      <c r="AO253" s="26">
        <f t="shared" si="228"/>
        <v>0</v>
      </c>
      <c r="AP253" s="26">
        <f t="shared" si="229"/>
        <v>0</v>
      </c>
    </row>
    <row r="254" spans="1:42">
      <c r="A254" t="s">
        <v>2383</v>
      </c>
      <c r="B254" s="26">
        <f t="shared" si="213"/>
        <v>28.2425522233994</v>
      </c>
      <c r="C254" s="26">
        <f t="shared" si="214"/>
        <v>45.8158558118057</v>
      </c>
      <c r="D254" s="26">
        <f t="shared" si="215"/>
        <v>63.389159400212</v>
      </c>
      <c r="E254" s="26">
        <f t="shared" si="216"/>
        <v>80.9624629886183</v>
      </c>
      <c r="F254" s="26">
        <f t="shared" si="217"/>
        <v>87.8665179420314</v>
      </c>
      <c r="G254" s="26">
        <f t="shared" si="218"/>
        <v>87.8665179420314</v>
      </c>
      <c r="H254" s="26">
        <f t="shared" si="219"/>
        <v>87.8665179420314</v>
      </c>
      <c r="I254" s="26">
        <f t="shared" si="220"/>
        <v>87.8665179420314</v>
      </c>
      <c r="J254" s="26">
        <f t="shared" si="230"/>
        <v>87.8665179420314</v>
      </c>
      <c r="K254" s="26">
        <f t="shared" si="231"/>
        <v>87.8665179420314</v>
      </c>
      <c r="L254" s="26">
        <f t="shared" si="232"/>
        <v>76.6342900605764</v>
      </c>
      <c r="M254" s="26">
        <f t="shared" si="233"/>
        <v>64.0054128976177</v>
      </c>
      <c r="N254" s="26">
        <f t="shared" si="234"/>
        <v>51.376535734659</v>
      </c>
      <c r="O254" s="26">
        <f t="shared" si="235"/>
        <v>43.3983566946459</v>
      </c>
      <c r="P254" s="26">
        <f t="shared" si="236"/>
        <v>30.7694795316872</v>
      </c>
      <c r="Q254" s="26">
        <f t="shared" si="237"/>
        <v>29.3728302501834</v>
      </c>
      <c r="R254" s="26">
        <f t="shared" si="238"/>
        <v>39.4517425909326</v>
      </c>
      <c r="S254" s="26">
        <f t="shared" si="239"/>
        <v>39.4517425909326</v>
      </c>
      <c r="T254" s="26">
        <f t="shared" si="240"/>
        <v>34.8010444679869</v>
      </c>
      <c r="U254" s="26">
        <f t="shared" si="241"/>
        <v>34.8010444679869</v>
      </c>
      <c r="V254" s="26">
        <f t="shared" si="242"/>
        <v>29.8566180425393</v>
      </c>
      <c r="W254" s="26">
        <f t="shared" si="243"/>
        <v>14.8332792763426</v>
      </c>
      <c r="X254" s="26">
        <f t="shared" si="244"/>
        <v>9.88885285089508</v>
      </c>
      <c r="Y254" s="26">
        <f t="shared" si="245"/>
        <v>4.94442642544755</v>
      </c>
      <c r="Z254" s="26">
        <f t="shared" si="246"/>
        <v>0</v>
      </c>
      <c r="AA254" s="26">
        <f t="shared" si="247"/>
        <v>0</v>
      </c>
      <c r="AB254" s="26">
        <f t="shared" si="248"/>
        <v>0</v>
      </c>
      <c r="AC254" s="26">
        <f t="shared" si="249"/>
        <v>0</v>
      </c>
      <c r="AD254" s="26">
        <f t="shared" si="250"/>
        <v>0</v>
      </c>
      <c r="AE254" s="26">
        <f t="shared" si="251"/>
        <v>0</v>
      </c>
      <c r="AF254" s="26">
        <f t="shared" si="252"/>
        <v>0</v>
      </c>
      <c r="AG254" s="26">
        <f t="shared" si="253"/>
        <v>0</v>
      </c>
      <c r="AH254" s="26">
        <f t="shared" si="221"/>
        <v>0</v>
      </c>
      <c r="AI254" s="26">
        <f t="shared" si="222"/>
        <v>0</v>
      </c>
      <c r="AJ254" s="26">
        <f t="shared" si="223"/>
        <v>0</v>
      </c>
      <c r="AK254" s="26">
        <f t="shared" si="224"/>
        <v>0</v>
      </c>
      <c r="AL254" s="26">
        <f t="shared" si="225"/>
        <v>0</v>
      </c>
      <c r="AM254" s="26">
        <f t="shared" si="226"/>
        <v>0</v>
      </c>
      <c r="AN254" s="26">
        <f t="shared" si="227"/>
        <v>0</v>
      </c>
      <c r="AO254" s="26">
        <f t="shared" si="228"/>
        <v>0</v>
      </c>
      <c r="AP254" s="26">
        <f t="shared" si="229"/>
        <v>0</v>
      </c>
    </row>
    <row r="255" spans="1:42">
      <c r="A255" t="s">
        <v>2384</v>
      </c>
      <c r="B255" s="26">
        <f t="shared" si="213"/>
        <v>9.06000000000002</v>
      </c>
      <c r="C255" s="26">
        <f t="shared" si="214"/>
        <v>12.08</v>
      </c>
      <c r="D255" s="26">
        <f t="shared" si="215"/>
        <v>15.1</v>
      </c>
      <c r="E255" s="26">
        <f t="shared" si="216"/>
        <v>15.1</v>
      </c>
      <c r="F255" s="26">
        <f t="shared" si="217"/>
        <v>15.1</v>
      </c>
      <c r="G255" s="26">
        <f t="shared" si="218"/>
        <v>15.1</v>
      </c>
      <c r="H255" s="26">
        <f t="shared" si="219"/>
        <v>15.1</v>
      </c>
      <c r="I255" s="26">
        <f t="shared" si="220"/>
        <v>15.1</v>
      </c>
      <c r="J255" s="26">
        <f t="shared" si="230"/>
        <v>15.1</v>
      </c>
      <c r="K255" s="26">
        <f t="shared" si="231"/>
        <v>115.03</v>
      </c>
      <c r="L255" s="26">
        <f t="shared" si="232"/>
        <v>214.96</v>
      </c>
      <c r="M255" s="26">
        <f t="shared" si="233"/>
        <v>314.89</v>
      </c>
      <c r="N255" s="26">
        <f t="shared" si="234"/>
        <v>414.82</v>
      </c>
      <c r="O255" s="26">
        <f t="shared" si="235"/>
        <v>514.75</v>
      </c>
      <c r="P255" s="26">
        <f t="shared" si="236"/>
        <v>514.75</v>
      </c>
      <c r="Q255" s="26">
        <f t="shared" si="237"/>
        <v>514.75</v>
      </c>
      <c r="R255" s="26">
        <f t="shared" si="238"/>
        <v>514.75</v>
      </c>
      <c r="S255" s="26">
        <f t="shared" si="239"/>
        <v>458.3</v>
      </c>
      <c r="T255" s="26">
        <f t="shared" si="240"/>
        <v>441.95</v>
      </c>
      <c r="U255" s="26">
        <f t="shared" si="241"/>
        <v>469.8</v>
      </c>
      <c r="V255" s="26">
        <f t="shared" si="242"/>
        <v>524.21</v>
      </c>
      <c r="W255" s="26">
        <f t="shared" si="243"/>
        <v>536.22</v>
      </c>
      <c r="X255" s="26">
        <f t="shared" si="244"/>
        <v>630.76</v>
      </c>
      <c r="Y255" s="26">
        <f t="shared" si="245"/>
        <v>638.96</v>
      </c>
      <c r="Z255" s="26">
        <f t="shared" si="246"/>
        <v>634.86</v>
      </c>
      <c r="AA255" s="26">
        <f t="shared" si="247"/>
        <v>639.5</v>
      </c>
      <c r="AB255" s="26">
        <f t="shared" si="248"/>
        <v>715.06</v>
      </c>
      <c r="AC255" s="26">
        <f t="shared" si="249"/>
        <v>811.92</v>
      </c>
      <c r="AD255" s="26">
        <f t="shared" si="250"/>
        <v>1317.58</v>
      </c>
      <c r="AE255" s="26">
        <f t="shared" si="251"/>
        <v>2450.4</v>
      </c>
      <c r="AF255" s="26">
        <f t="shared" si="252"/>
        <v>2864.4</v>
      </c>
      <c r="AG255" s="26">
        <f t="shared" si="253"/>
        <v>2993.88</v>
      </c>
      <c r="AH255" s="26">
        <f t="shared" si="221"/>
        <v>2755.98</v>
      </c>
      <c r="AI255" s="26">
        <f t="shared" si="222"/>
        <v>2155.52</v>
      </c>
      <c r="AJ255" s="26">
        <f t="shared" si="223"/>
        <v>896</v>
      </c>
      <c r="AK255" s="26">
        <f t="shared" si="224"/>
        <v>320</v>
      </c>
      <c r="AL255" s="26">
        <f t="shared" si="225"/>
        <v>0</v>
      </c>
      <c r="AM255" s="26">
        <f t="shared" si="226"/>
        <v>0</v>
      </c>
      <c r="AN255" s="26">
        <f t="shared" si="227"/>
        <v>0</v>
      </c>
      <c r="AO255" s="26">
        <f t="shared" si="228"/>
        <v>0</v>
      </c>
      <c r="AP255" s="26">
        <f t="shared" si="229"/>
        <v>0</v>
      </c>
    </row>
    <row r="257" ht="13.1" spans="1:42">
      <c r="A257" s="3" t="s">
        <v>2399</v>
      </c>
    </row>
    <row r="258" spans="1:42">
      <c r="A258" s="21" t="s">
        <v>2395</v>
      </c>
      <c r="B258" s="22">
        <v>2020</v>
      </c>
      <c r="C258" s="22">
        <v>2021</v>
      </c>
      <c r="D258" s="22">
        <v>2022</v>
      </c>
      <c r="E258" s="22">
        <v>2023</v>
      </c>
      <c r="F258" s="22">
        <v>2024</v>
      </c>
      <c r="G258" s="22">
        <v>2025</v>
      </c>
      <c r="H258" s="22">
        <v>2026</v>
      </c>
      <c r="I258" s="22">
        <v>2027</v>
      </c>
      <c r="J258" s="22">
        <v>2028</v>
      </c>
      <c r="K258" s="22">
        <v>2029</v>
      </c>
      <c r="L258" s="22">
        <v>2030</v>
      </c>
      <c r="M258" s="22">
        <v>2031</v>
      </c>
      <c r="N258" s="22">
        <v>2032</v>
      </c>
      <c r="O258" s="22">
        <v>2033</v>
      </c>
      <c r="P258" s="22">
        <v>2034</v>
      </c>
      <c r="Q258" s="22">
        <v>2035</v>
      </c>
      <c r="R258" s="22">
        <v>2036</v>
      </c>
      <c r="S258" s="22">
        <v>2037</v>
      </c>
      <c r="T258" s="22">
        <v>2038</v>
      </c>
      <c r="U258" s="22">
        <v>2039</v>
      </c>
      <c r="V258" s="22">
        <v>2040</v>
      </c>
      <c r="W258" s="22">
        <v>2041</v>
      </c>
      <c r="X258" s="22">
        <v>2042</v>
      </c>
      <c r="Y258" s="22">
        <v>2043</v>
      </c>
      <c r="Z258" s="22">
        <v>2044</v>
      </c>
      <c r="AA258" s="22">
        <v>2045</v>
      </c>
      <c r="AB258" s="22">
        <v>2046</v>
      </c>
      <c r="AC258" s="22">
        <v>2047</v>
      </c>
      <c r="AD258" s="22">
        <v>2048</v>
      </c>
      <c r="AE258" s="22">
        <v>2049</v>
      </c>
      <c r="AF258" s="22">
        <v>2050</v>
      </c>
      <c r="AG258" s="22">
        <v>2051</v>
      </c>
      <c r="AH258" s="22">
        <v>2052</v>
      </c>
      <c r="AI258" s="22">
        <v>2053</v>
      </c>
      <c r="AJ258" s="22">
        <v>2054</v>
      </c>
      <c r="AK258" s="22">
        <v>2055</v>
      </c>
      <c r="AL258" s="22">
        <v>2056</v>
      </c>
      <c r="AM258" s="22">
        <v>2057</v>
      </c>
      <c r="AN258" s="22">
        <v>2058</v>
      </c>
      <c r="AO258" s="22">
        <v>2059</v>
      </c>
      <c r="AP258" s="22">
        <v>2060</v>
      </c>
    </row>
    <row r="259" spans="1:42">
      <c r="A259" t="s">
        <v>2369</v>
      </c>
      <c r="B259" s="37">
        <f>B240</f>
        <v>14693</v>
      </c>
      <c r="C259" s="37">
        <f t="shared" ref="C259:E259" si="254">C240</f>
        <v>4993</v>
      </c>
      <c r="D259" s="37">
        <f t="shared" si="254"/>
        <v>7040</v>
      </c>
      <c r="E259" s="37">
        <f t="shared" si="254"/>
        <v>7270</v>
      </c>
      <c r="F259" s="26">
        <f>IF(SUM($B183:$AP183)-SUM($B259:E259)&gt;$AI6,IF((SUM($B240:F240)-SUM($B259:E259))/$AI6&gt;1,ROUNDDOWN((SUM($B240:F240)-SUM($B259:E259))/$AI6,0)*$AI6,0),SUM($B183:$AP183)-SUM($B259:E259))</f>
        <v>0</v>
      </c>
      <c r="G259" s="26">
        <f>IF(SUM($B183:$AP183)-SUM($B259:F259)&gt;$AI6,IF((SUM($B240:G240)-SUM($B259:F259))/$AI6&gt;1,ROUNDDOWN((SUM($B240:G240)-SUM($B259:F259))/$AI6,0)*$AI6,0),SUM($B183:$AP183)-SUM($B259:F259))</f>
        <v>0</v>
      </c>
      <c r="H259" s="26">
        <f>IF(SUM($B183:$AP183)-SUM($B259:G259)&gt;$AI6,IF((SUM($B240:H240)-SUM($B259:G259))/$AI6&gt;1,ROUNDDOWN((SUM($B240:H240)-SUM($B259:G259))/$AI6,0)*$AI6,0),SUM($B183:$AP183)-SUM($B259:G259))</f>
        <v>0</v>
      </c>
      <c r="I259" s="26">
        <f>IF(SUM($B183:$AP183)-SUM($B259:H259)&gt;$AI6,IF((SUM($B240:I240)-SUM($B259:H259))/$AI6&gt;1,ROUNDDOWN((SUM($B240:I240)-SUM($B259:H259))/$AI6,0)*$AI6,0),SUM($B183:$AP183)-SUM($B259:H259))</f>
        <v>0</v>
      </c>
      <c r="J259" s="26">
        <f>IF(SUM($B183:$AP183)-SUM($B259:I259)&gt;$AI6,IF((SUM($B240:J240)-SUM($B259:I259))/$AI6&gt;1,ROUNDDOWN((SUM($B240:J240)-SUM($B259:I259))/$AI6,0)*$AI6,0),SUM($B183:$AP183)-SUM($B259:I259))</f>
        <v>0</v>
      </c>
      <c r="K259" s="26">
        <f>IF(SUM($B183:$AP183)-SUM($B259:J259)&gt;$AI6,IF((SUM($B240:K240)-SUM($B259:J259))/$AI6&gt;1,ROUNDDOWN((SUM($B240:K240)-SUM($B259:J259))/$AI6,0)*$AI6,0),SUM($B183:$AP183)-SUM($B259:J259))</f>
        <v>0</v>
      </c>
      <c r="L259" s="26">
        <f>IF(SUM($B183:$AP183)-SUM($B259:K259)&gt;$AI6,IF((SUM($B240:L240)-SUM($B259:K259))/$AI6&gt;1,ROUNDDOWN((SUM($B240:L240)-SUM($B259:K259))/$AI6,0)*$AI6,0),SUM($B183:$AP183)-SUM($B259:K259))</f>
        <v>0</v>
      </c>
      <c r="M259" s="26">
        <f>IF(SUM($B183:$AP183)-SUM($B259:L259)&gt;$AI6,IF((SUM($B240:M240)-SUM($B259:L259))/$AI6&gt;1,ROUNDDOWN((SUM($B240:M240)-SUM($B259:L259))/$AI6,0)*$AI6,0),SUM($B183:$AP183)-SUM($B259:L259))</f>
        <v>4044</v>
      </c>
      <c r="N259" s="26">
        <f>IF(SUM($B183:$AP183)-SUM($B259:M259)&gt;$AI6,IF((SUM($B240:N240)-SUM($B259:M259))/$AI6&gt;1,ROUNDDOWN((SUM($B240:N240)-SUM($B259:M259))/$AI6,0)*$AI6,0),SUM($B183:$AP183)-SUM($B259:M259))</f>
        <v>13236</v>
      </c>
      <c r="O259" s="26">
        <f>IF(SUM($B183:$AP183)-SUM($B259:N259)&gt;$AI6,IF((SUM($B240:O240)-SUM($B259:N259))/$AI6&gt;1,ROUNDDOWN((SUM($B240:O240)-SUM($B259:N259))/$AI6,0)*$AI6,0),SUM($B183:$AP183)-SUM($B259:N259))</f>
        <v>25302</v>
      </c>
      <c r="P259" s="26">
        <f>IF(SUM($B183:$AP183)-SUM($B259:O259)&gt;$AI6,IF((SUM($B240:P240)-SUM($B259:O259))/$AI6&gt;1,ROUNDDOWN((SUM($B240:P240)-SUM($B259:O259))/$AI6,0)*$AI6,0),SUM($B183:$AP183)-SUM($B259:O259))</f>
        <v>43842</v>
      </c>
      <c r="Q259" s="26">
        <f>IF(SUM($B183:$AP183)-SUM($B259:P259)&gt;$AI6,IF((SUM($B240:Q240)-SUM($B259:P259))/$AI6&gt;1,ROUNDDOWN((SUM($B240:Q240)-SUM($B259:P259))/$AI6,0)*$AI6,0),SUM($B183:$AP183)-SUM($B259:P259))</f>
        <v>61668</v>
      </c>
      <c r="R259" s="26">
        <f>IF(SUM($B183:$AP183)-SUM($B259:Q259)&gt;$AI6,IF((SUM($B240:R240)-SUM($B259:Q259))/$AI6&gt;1,ROUNDDOWN((SUM($B240:R240)-SUM($B259:Q259))/$AI6,0)*$AI6,0),SUM($B183:$AP183)-SUM($B259:Q259))</f>
        <v>71814</v>
      </c>
      <c r="S259" s="26">
        <f>IF(SUM($B183:$AP183)-SUM($B259:R259)&gt;$AI6,IF((SUM($B240:S240)-SUM($B259:R259))/$AI6&gt;1,ROUNDDOWN((SUM($B240:S240)-SUM($B259:R259))/$AI6,0)*$AI6,0),SUM($B183:$AP183)-SUM($B259:R259))</f>
        <v>77118</v>
      </c>
      <c r="T259" s="26">
        <f>IF(SUM($B183:$AP183)-SUM($B259:S259)&gt;$AI6,IF((SUM($B240:T240)-SUM($B259:S259))/$AI6&gt;1,ROUNDDOWN((SUM($B240:T240)-SUM($B259:S259))/$AI6,0)*$AI6,0),SUM($B183:$AP183)-SUM($B259:S259))</f>
        <v>78018</v>
      </c>
      <c r="U259" s="26">
        <f>IF(SUM($B183:$AP183)-SUM($B259:T259)&gt;$AI6,IF((SUM($B240:U240)-SUM($B259:T259))/$AI6&gt;1,ROUNDDOWN((SUM($B240:U240)-SUM($B259:T259))/$AI6,0)*$AI6,0),SUM($B183:$AP183)-SUM($B259:T259))</f>
        <v>72906</v>
      </c>
      <c r="V259" s="26">
        <f>IF(SUM($B183:$AP183)-SUM($B259:U259)&gt;$AI6,IF((SUM($B240:V240)-SUM($B259:U259))/$AI6&gt;1,ROUNDDOWN((SUM($B240:V240)-SUM($B259:U259))/$AI6,0)*$AI6,0),SUM($B183:$AP183)-SUM($B259:U259))</f>
        <v>66450</v>
      </c>
      <c r="W259" s="26">
        <f>IF(SUM($B183:$AP183)-SUM($B259:V259)&gt;$AI6,IF((SUM($B240:W240)-SUM($B259:V259))/$AI6&gt;1,ROUNDDOWN((SUM($B240:W240)-SUM($B259:V259))/$AI6,0)*$AI6,0),SUM($B183:$AP183)-SUM($B259:V259))</f>
        <v>61146</v>
      </c>
      <c r="X259" s="26">
        <f>IF(SUM($B183:$AP183)-SUM($B259:W259)&gt;$AI6,IF((SUM($B240:X240)-SUM($B259:W259))/$AI6&gt;1,ROUNDDOWN((SUM($B240:X240)-SUM($B259:W259))/$AI6,0)*$AI6,0),SUM($B183:$AP183)-SUM($B259:W259))</f>
        <v>55704</v>
      </c>
      <c r="Y259" s="26">
        <f>IF(SUM($B183:$AP183)-SUM($B259:X259)&gt;$AI6,IF((SUM($B240:Y240)-SUM($B259:X259))/$AI6&gt;1,ROUNDDOWN((SUM($B240:Y240)-SUM($B259:X259))/$AI6,0)*$AI6,0),SUM($B183:$AP183)-SUM($B259:X259))</f>
        <v>55656</v>
      </c>
      <c r="Z259" s="26">
        <f>IF(SUM($B183:$AP183)-SUM($B259:Y259)&gt;$AI6,IF((SUM($B240:Z240)-SUM($B259:Y259))/$AI6&gt;1,ROUNDDOWN((SUM($B240:Z240)-SUM($B259:Y259))/$AI6,0)*$AI6,0),SUM($B183:$AP183)-SUM($B259:Y259))</f>
        <v>52278</v>
      </c>
      <c r="AA259" s="26">
        <f>IF(SUM($B183:$AP183)-SUM($B259:Z259)&gt;$AI6,IF((SUM($B240:AA240)-SUM($B259:Z259))/$AI6&gt;1,ROUNDDOWN((SUM($B240:AA240)-SUM($B259:Z259))/$AI6,0)*$AI6,0),SUM($B183:$AP183)-SUM($B259:Z259))</f>
        <v>49920</v>
      </c>
      <c r="AB259" s="26">
        <f>IF(SUM($B183:$AP183)-SUM($B259:AA259)&gt;$AI6,IF((SUM($B240:AB240)-SUM($B259:AA259))/$AI6&gt;1,ROUNDDOWN((SUM($B240:AB240)-SUM($B259:AA259))/$AI6,0)*$AI6,0),SUM($B183:$AP183)-SUM($B259:AA259))</f>
        <v>49164</v>
      </c>
      <c r="AC259" s="26">
        <f>IF(SUM($B183:$AP183)-SUM($B259:AB259)&gt;$AI6,IF((SUM($B240:AC240)-SUM($B259:AB259))/$AI6&gt;1,ROUNDDOWN((SUM($B240:AC240)-SUM($B259:AB259))/$AI6,0)*$AI6,0),SUM($B183:$AP183)-SUM($B259:AB259))</f>
        <v>48318</v>
      </c>
      <c r="AD259" s="26">
        <f>IF(SUM($B183:$AP183)-SUM($B259:AC259)&gt;$AI6,IF((SUM($B240:AD240)-SUM($B259:AC259))/$AI6&gt;1,ROUNDDOWN((SUM($B240:AD240)-SUM($B259:AC259))/$AI6,0)*$AI6,0),SUM($B183:$AP183)-SUM($B259:AC259))</f>
        <v>43116</v>
      </c>
      <c r="AE259" s="26">
        <f>IF(SUM($B183:$AP183)-SUM($B259:AD259)&gt;$AI6,IF((SUM($B240:AE240)-SUM($B259:AD259))/$AI6&gt;1,ROUNDDOWN((SUM($B240:AE240)-SUM($B259:AD259))/$AI6,0)*$AI6,0),SUM($B183:$AP183)-SUM($B259:AD259))</f>
        <v>38688</v>
      </c>
      <c r="AF259" s="26">
        <f>IF(SUM($B183:$AP183)-SUM($B259:AE259)&gt;$AI6,IF((SUM($B240:AF240)-SUM($B259:AE259))/$AI6&gt;1,ROUNDDOWN((SUM($B240:AF240)-SUM($B259:AE259))/$AI6,0)*$AI6,0),SUM($B183:$AP183)-SUM($B259:AE259))</f>
        <v>35322</v>
      </c>
      <c r="AG259" s="26">
        <f>IF(SUM($B183:$AP183)-SUM($B259:AF259)&gt;$AI6,IF((SUM($B240:AG240)-SUM($B259:AF259))/$AI6&gt;1,ROUNDDOWN((SUM($B240:AG240)-SUM($B259:AF259))/$AI6,0)*$AI6,0),SUM($B183:$AP183)-SUM($B259:AF259))</f>
        <v>36810</v>
      </c>
      <c r="AH259" s="26">
        <f>IF(SUM($B183:$AP183)-SUM($B259:AG259)&gt;$AI6,IF((SUM($B240:AH240)-SUM($B259:AG259))/$AI6&gt;1,ROUNDDOWN((SUM($B240:AH240)-SUM($B259:AG259))/$AI6,0)*$AI6,0),SUM($B183:$AP183)-SUM($B259:AG259))</f>
        <v>37506</v>
      </c>
      <c r="AI259" s="26">
        <f>IF(SUM($B183:$AP183)-SUM($B259:AH259)&gt;$AI6,IF((SUM($B240:AI240)-SUM($B259:AH259))/$AI6&gt;1,ROUNDDOWN((SUM($B240:AI240)-SUM($B259:AH259))/$AI6,0)*$AI6,0),SUM($B183:$AP183)-SUM($B259:AH259))</f>
        <v>45600</v>
      </c>
      <c r="AJ259" s="26">
        <f>IF(SUM($B183:$AP183)-SUM($B259:AI259)&gt;$AI6,IF((SUM($B240:AJ240)-SUM($B259:AI259))/$AI6&gt;1,ROUNDDOWN((SUM($B240:AJ240)-SUM($B259:AI259))/$AI6,0)*$AI6,0),SUM($B183:$AP183)-SUM($B259:AI259))</f>
        <v>46644</v>
      </c>
      <c r="AK259" s="26">
        <f>IF(SUM($B183:$AP183)-SUM($B259:AJ259)&gt;$AI6,IF((SUM($B240:AK240)-SUM($B259:AJ259))/$AI6&gt;1,ROUNDDOWN((SUM($B240:AK240)-SUM($B259:AJ259))/$AI6,0)*$AI6,0),SUM($B183:$AP183)-SUM($B259:AJ259))</f>
        <v>43812</v>
      </c>
      <c r="AL259" s="26">
        <f>IF(SUM($B183:$AP183)-SUM($B259:AK259)&gt;$AI6,IF((SUM($B240:AL240)-SUM($B259:AK259))/$AI6&gt;1,ROUNDDOWN((SUM($B240:AL240)-SUM($B259:AK259))/$AI6,0)*$AI6,0),SUM($B183:$AP183)-SUM($B259:AK259))</f>
        <v>36738</v>
      </c>
      <c r="AM259" s="26">
        <f>IF(SUM($B183:$AP183)-SUM($B259:AL259)&gt;$AI6,IF((SUM($B240:AM240)-SUM($B259:AL259))/$AI6&gt;1,ROUNDDOWN((SUM($B240:AM240)-SUM($B259:AL259))/$AI6,0)*$AI6,0),SUM($B183:$AP183)-SUM($B259:AL259))</f>
        <v>30402</v>
      </c>
      <c r="AN259" s="26">
        <f>IF(SUM($B183:$AP183)-SUM($B259:AM259)&gt;$AI6,IF((SUM($B240:AN240)-SUM($B259:AM259))/$AI6&gt;1,ROUNDDOWN((SUM($B240:AN240)-SUM($B259:AM259))/$AI6,0)*$AI6,0),SUM($B183:$AP183)-SUM($B259:AM259))</f>
        <v>14580</v>
      </c>
      <c r="AO259" s="26">
        <f>IF(SUM($B183:$AP183)-SUM($B259:AN259)&gt;$AI6,IF((SUM($B240:AO240)-SUM($B259:AN259))/$AI6&gt;1,ROUNDDOWN((SUM($B240:AO240)-SUM($B259:AN259))/$AI6,0)*$AI6,0),SUM($B183:$AP183)-SUM($B259:AN259))</f>
        <v>9900</v>
      </c>
      <c r="AP259" s="26">
        <f>IF(SUM($B183:$AP183)-SUM($B259:AO259)&gt;$AI6,IF((SUM($B240:AP240)-SUM($B259:AO259))/$AI6&gt;1,ROUNDDOWN((SUM($B240:AP240)-SUM($B259:AO259))/$AI6,0)*$AI6,0),SUM($B183:$AP183)-SUM($B259:AO259))</f>
        <v>8508</v>
      </c>
    </row>
    <row r="260" spans="1:42">
      <c r="A260" t="s">
        <v>2370</v>
      </c>
      <c r="B260" s="26">
        <v>0</v>
      </c>
      <c r="C260" s="26">
        <f>IF(SUM($B184:$AP184)-SUM($B260:B260)&gt;$AI7,IF((SUM($B241:C241)-SUM($B260:B260))/$AI7&gt;1,ROUNDDOWN((SUM($B241:C241)-SUM($B260:B260))/$AI7,0)*$AI7,0),SUM($B184:$AP184)-SUM($B260:B260))</f>
        <v>0</v>
      </c>
      <c r="D260" s="26">
        <f>IF(SUM($B184:$AP184)-SUM($B260:C260)&gt;$AI7,IF((SUM($B241:D241)-SUM($B260:C260))/$AI7&gt;1,ROUNDDOWN((SUM($B241:D241)-SUM($B260:C260))/$AI7,0)*$AI7,0),SUM($B184:$AP184)-SUM($B260:C260))</f>
        <v>0</v>
      </c>
      <c r="E260" s="26">
        <f>IF(SUM($B184:$AP184)-SUM($B260:D260)&gt;$AI7,IF((SUM($B241:E241)-SUM($B260:D260))/$AI7&gt;1,ROUNDDOWN((SUM($B241:E241)-SUM($B260:D260))/$AI7,0)*$AI7,0),SUM($B184:$AP184)-SUM($B260:D260))</f>
        <v>0</v>
      </c>
      <c r="F260" s="26">
        <f>IF(SUM($B184:$AP184)-SUM($B260:E260)&gt;$AI7,IF((SUM($B241:F241)-SUM($B260:E260))/$AI7&gt;1,ROUNDDOWN((SUM($B241:F241)-SUM($B260:E260))/$AI7,0)*$AI7,0),SUM($B184:$AP184)-SUM($B260:E260))</f>
        <v>0</v>
      </c>
      <c r="G260" s="26">
        <f>IF(SUM($B184:$AP184)-SUM($B260:F260)&gt;$AI7,IF((SUM($B241:G241)-SUM($B260:F260))/$AI7&gt;1,ROUNDDOWN((SUM($B241:G241)-SUM($B260:F260))/$AI7,0)*$AI7,0),SUM($B184:$AP184)-SUM($B260:F260))</f>
        <v>0</v>
      </c>
      <c r="H260" s="26">
        <f>IF(SUM($B184:$AP184)-SUM($B260:G260)&gt;$AI7,IF((SUM($B241:H241)-SUM($B260:G260))/$AI7&gt;1,ROUNDDOWN((SUM($B241:H241)-SUM($B260:G260))/$AI7,0)*$AI7,0),SUM($B184:$AP184)-SUM($B260:G260))</f>
        <v>0</v>
      </c>
      <c r="I260" s="26">
        <f>IF(SUM($B184:$AP184)-SUM($B260:H260)&gt;$AI7,IF((SUM($B241:I241)-SUM($B260:H260))/$AI7&gt;1,ROUNDDOWN((SUM($B241:I241)-SUM($B260:H260))/$AI7,0)*$AI7,0),SUM($B184:$AP184)-SUM($B260:H260))</f>
        <v>0</v>
      </c>
      <c r="J260" s="26">
        <f>IF(SUM($B184:$AP184)-SUM($B260:I260)&gt;$AI7,IF((SUM($B241:J241)-SUM($B260:I260))/$AI7&gt;1,ROUNDDOWN((SUM($B241:J241)-SUM($B260:I260))/$AI7,0)*$AI7,0),SUM($B184:$AP184)-SUM($B260:I260))</f>
        <v>0</v>
      </c>
      <c r="K260" s="26">
        <f>IF(SUM($B184:$AP184)-SUM($B260:J260)&gt;$AI7,IF((SUM($B241:K241)-SUM($B260:J260))/$AI7&gt;1,ROUNDDOWN((SUM($B241:K241)-SUM($B260:J260))/$AI7,0)*$AI7,0),SUM($B184:$AP184)-SUM($B260:J260))</f>
        <v>0</v>
      </c>
      <c r="L260" s="26">
        <f>IF(SUM($B184:$AP184)-SUM($B260:K260)&gt;$AI7,IF((SUM($B241:L241)-SUM($B260:K260))/$AI7&gt;1,ROUNDDOWN((SUM($B241:L241)-SUM($B260:K260))/$AI7,0)*$AI7,0),SUM($B184:$AP184)-SUM($B260:K260))</f>
        <v>0</v>
      </c>
      <c r="M260" s="26">
        <f>IF(SUM($B184:$AP184)-SUM($B260:L260)&gt;$AI7,IF((SUM($B241:M241)-SUM($B260:L260))/$AI7&gt;1,ROUNDDOWN((SUM($B241:M241)-SUM($B260:L260))/$AI7,0)*$AI7,0),SUM($B184:$AP184)-SUM($B260:L260))</f>
        <v>0</v>
      </c>
      <c r="N260" s="26">
        <f>IF(SUM($B184:$AP184)-SUM($B260:M260)&gt;$AI7,IF((SUM($B241:N241)-SUM($B260:M260))/$AI7&gt;1,ROUNDDOWN((SUM($B241:N241)-SUM($B260:M260))/$AI7,0)*$AI7,0),SUM($B184:$AP184)-SUM($B260:M260))</f>
        <v>0</v>
      </c>
      <c r="O260" s="26">
        <f>IF(SUM($B184:$AP184)-SUM($B260:N260)&gt;$AI7,IF((SUM($B241:O241)-SUM($B260:N260))/$AI7&gt;1,ROUNDDOWN((SUM($B241:O241)-SUM($B260:N260))/$AI7,0)*$AI7,0),SUM($B184:$AP184)-SUM($B260:N260))</f>
        <v>15</v>
      </c>
      <c r="P260" s="26">
        <f>IF(SUM($B184:$AP184)-SUM($B260:O260)&gt;$AI7,IF((SUM($B241:P241)-SUM($B260:O260))/$AI7&gt;1,ROUNDDOWN((SUM($B241:P241)-SUM($B260:O260))/$AI7,0)*$AI7,0),SUM($B184:$AP184)-SUM($B260:O260))</f>
        <v>65</v>
      </c>
      <c r="Q260" s="26">
        <f>IF(SUM($B184:$AP184)-SUM($B260:P260)&gt;$AI7,IF((SUM($B241:Q241)-SUM($B260:P260))/$AI7&gt;1,ROUNDDOWN((SUM($B241:Q241)-SUM($B260:P260))/$AI7,0)*$AI7,0),SUM($B184:$AP184)-SUM($B260:P260))</f>
        <v>120</v>
      </c>
      <c r="R260" s="26">
        <f>IF(SUM($B184:$AP184)-SUM($B260:Q260)&gt;$AI7,IF((SUM($B241:R241)-SUM($B260:Q260))/$AI7&gt;1,ROUNDDOWN((SUM($B241:R241)-SUM($B260:Q260))/$AI7,0)*$AI7,0),SUM($B184:$AP184)-SUM($B260:Q260))</f>
        <v>175</v>
      </c>
      <c r="S260" s="26">
        <f>IF(SUM($B184:$AP184)-SUM($B260:R260)&gt;$AI7,IF((SUM($B241:S241)-SUM($B260:R260))/$AI7&gt;1,ROUNDDOWN((SUM($B241:S241)-SUM($B260:R260))/$AI7,0)*$AI7,0),SUM($B184:$AP184)-SUM($B260:R260))</f>
        <v>175</v>
      </c>
      <c r="T260" s="26">
        <f>IF(SUM($B184:$AP184)-SUM($B260:S260)&gt;$AI7,IF((SUM($B241:T241)-SUM($B260:S260))/$AI7&gt;1,ROUNDDOWN((SUM($B241:T241)-SUM($B260:S260))/$AI7,0)*$AI7,0),SUM($B184:$AP184)-SUM($B260:S260))</f>
        <v>575</v>
      </c>
      <c r="U260" s="26">
        <f>IF(SUM($B184:$AP184)-SUM($B260:T260)&gt;$AI7,IF((SUM($B241:U241)-SUM($B260:T260))/$AI7&gt;1,ROUNDDOWN((SUM($B241:U241)-SUM($B260:T260))/$AI7,0)*$AI7,0),SUM($B184:$AP184)-SUM($B260:T260))</f>
        <v>1155</v>
      </c>
      <c r="V260" s="26">
        <f>IF(SUM($B184:$AP184)-SUM($B260:U260)&gt;$AI7,IF((SUM($B241:V241)-SUM($B260:U260))/$AI7&gt;1,ROUNDDOWN((SUM($B241:V241)-SUM($B260:U260))/$AI7,0)*$AI7,0),SUM($B184:$AP184)-SUM($B260:U260))</f>
        <v>1665</v>
      </c>
      <c r="W260" s="26">
        <f>IF(SUM($B184:$AP184)-SUM($B260:V260)&gt;$AI7,IF((SUM($B241:W241)-SUM($B260:V260))/$AI7&gt;1,ROUNDDOWN((SUM($B241:W241)-SUM($B260:V260))/$AI7,0)*$AI7,0),SUM($B184:$AP184)-SUM($B260:V260))</f>
        <v>1810</v>
      </c>
      <c r="X260" s="26">
        <f>IF(SUM($B184:$AP184)-SUM($B260:W260)&gt;$AI7,IF((SUM($B241:X241)-SUM($B260:W260))/$AI7&gt;1,ROUNDDOWN((SUM($B241:X241)-SUM($B260:W260))/$AI7,0)*$AI7,0),SUM($B184:$AP184)-SUM($B260:W260))</f>
        <v>2330</v>
      </c>
      <c r="Y260" s="26">
        <f>IF(SUM($B184:$AP184)-SUM($B260:X260)&gt;$AI7,IF((SUM($B241:Y241)-SUM($B260:X260))/$AI7&gt;1,ROUNDDOWN((SUM($B241:Y241)-SUM($B260:X260))/$AI7,0)*$AI7,0),SUM($B184:$AP184)-SUM($B260:X260))</f>
        <v>2325</v>
      </c>
      <c r="Z260" s="26">
        <f>IF(SUM($B184:$AP184)-SUM($B260:Y260)&gt;$AI7,IF((SUM($B241:Z241)-SUM($B260:Y260))/$AI7&gt;1,ROUNDDOWN((SUM($B241:Z241)-SUM($B260:Y260))/$AI7,0)*$AI7,0),SUM($B184:$AP184)-SUM($B260:Y260))</f>
        <v>2030</v>
      </c>
      <c r="AA260" s="26">
        <f>IF(SUM($B184:$AP184)-SUM($B260:Z260)&gt;$AI7,IF((SUM($B241:AA241)-SUM($B260:Z260))/$AI7&gt;1,ROUNDDOWN((SUM($B241:AA241)-SUM($B260:Z260))/$AI7,0)*$AI7,0),SUM($B184:$AP184)-SUM($B260:Z260))</f>
        <v>1905</v>
      </c>
      <c r="AB260" s="26">
        <f>IF(SUM($B184:$AP184)-SUM($B260:AA260)&gt;$AI7,IF((SUM($B241:AB241)-SUM($B260:AA260))/$AI7&gt;1,ROUNDDOWN((SUM($B241:AB241)-SUM($B260:AA260))/$AI7,0)*$AI7,0),SUM($B184:$AP184)-SUM($B260:AA260))</f>
        <v>2700</v>
      </c>
      <c r="AC260" s="26">
        <f>IF(SUM($B184:$AP184)-SUM($B260:AB260)&gt;$AI7,IF((SUM($B241:AC241)-SUM($B260:AB260))/$AI7&gt;1,ROUNDDOWN((SUM($B241:AC241)-SUM($B260:AB260))/$AI7,0)*$AI7,0),SUM($B184:$AP184)-SUM($B260:AB260))</f>
        <v>4005</v>
      </c>
      <c r="AD260" s="26">
        <f>IF(SUM($B184:$AP184)-SUM($B260:AC260)&gt;$AI7,IF((SUM($B241:AD241)-SUM($B260:AC260))/$AI7&gt;1,ROUNDDOWN((SUM($B241:AD241)-SUM($B260:AC260))/$AI7,0)*$AI7,0),SUM($B184:$AP184)-SUM($B260:AC260))</f>
        <v>5310</v>
      </c>
      <c r="AE260" s="26">
        <f>IF(SUM($B184:$AP184)-SUM($B260:AD260)&gt;$AI7,IF((SUM($B241:AE241)-SUM($B260:AD260))/$AI7&gt;1,ROUNDDOWN((SUM($B241:AE241)-SUM($B260:AD260))/$AI7,0)*$AI7,0),SUM($B184:$AP184)-SUM($B260:AD260))</f>
        <v>6020</v>
      </c>
      <c r="AF260" s="26">
        <f>IF(SUM($B184:$AP184)-SUM($B260:AE260)&gt;$AI7,IF((SUM($B241:AF241)-SUM($B260:AE260))/$AI7&gt;1,ROUNDDOWN((SUM($B241:AF241)-SUM($B260:AE260))/$AI7,0)*$AI7,0),SUM($B184:$AP184)-SUM($B260:AE260))</f>
        <v>6530</v>
      </c>
      <c r="AG260" s="26">
        <f>IF(SUM($B184:$AP184)-SUM($B260:AF260)&gt;$AI7,IF((SUM($B241:AG241)-SUM($B260:AF260))/$AI7&gt;1,ROUNDDOWN((SUM($B241:AG241)-SUM($B260:AF260))/$AI7,0)*$AI7,0),SUM($B184:$AP184)-SUM($B260:AF260))</f>
        <v>6940</v>
      </c>
      <c r="AH260" s="26">
        <f>IF(SUM($B184:$AP184)-SUM($B260:AG260)&gt;$AI7,IF((SUM($B241:AH241)-SUM($B260:AG260))/$AI7&gt;1,ROUNDDOWN((SUM($B241:AH241)-SUM($B260:AG260))/$AI7,0)*$AI7,0),SUM($B184:$AP184)-SUM($B260:AG260))</f>
        <v>6090</v>
      </c>
      <c r="AI260" s="26">
        <f>IF(SUM($B184:$AP184)-SUM($B260:AH260)&gt;$AI7,IF((SUM($B241:AI241)-SUM($B260:AH260))/$AI7&gt;1,ROUNDDOWN((SUM($B241:AI241)-SUM($B260:AH260))/$AI7,0)*$AI7,0),SUM($B184:$AP184)-SUM($B260:AH260))</f>
        <v>4380</v>
      </c>
      <c r="AJ260" s="26">
        <f>IF(SUM($B184:$AP184)-SUM($B260:AI260)&gt;$AI7,IF((SUM($B241:AJ241)-SUM($B260:AI260))/$AI7&gt;1,ROUNDDOWN((SUM($B241:AJ241)-SUM($B260:AI260))/$AI7,0)*$AI7,0),SUM($B184:$AP184)-SUM($B260:AI260))</f>
        <v>3335</v>
      </c>
      <c r="AK260" s="26">
        <f>IF(SUM($B184:$AP184)-SUM($B260:AJ260)&gt;$AI7,IF((SUM($B241:AK241)-SUM($B260:AJ260))/$AI7&gt;1,ROUNDDOWN((SUM($B241:AK241)-SUM($B260:AJ260))/$AI7,0)*$AI7,0),SUM($B184:$AP184)-SUM($B260:AJ260))</f>
        <v>2375</v>
      </c>
      <c r="AL260" s="26">
        <f>IF(SUM($B184:$AP184)-SUM($B260:AK260)&gt;$AI7,IF((SUM($B241:AL241)-SUM($B260:AK260))/$AI7&gt;1,ROUNDDOWN((SUM($B241:AL241)-SUM($B260:AK260))/$AI7,0)*$AI7,0),SUM($B184:$AP184)-SUM($B260:AK260))</f>
        <v>980</v>
      </c>
      <c r="AM260" s="26">
        <f>IF(SUM($B184:$AP184)-SUM($B260:AL260)&gt;$AI7,IF((SUM($B241:AM241)-SUM($B260:AL260))/$AI7&gt;1,ROUNDDOWN((SUM($B241:AM241)-SUM($B260:AL260))/$AI7,0)*$AI7,0),SUM($B184:$AP184)-SUM($B260:AL260))</f>
        <v>0.444000000024971</v>
      </c>
      <c r="AN260" s="26">
        <f>IF(SUM($B184:$AP184)-SUM($B260:AM260)&gt;$AI7,IF((SUM($B241:AN241)-SUM($B260:AM260))/$AI7&gt;1,ROUNDDOWN((SUM($B241:AN241)-SUM($B260:AM260))/$AI7,0)*$AI7,0),SUM($B184:$AP184)-SUM($B260:AM260))</f>
        <v>0</v>
      </c>
      <c r="AO260" s="26">
        <f>IF(SUM($B184:$AP184)-SUM($B260:AN260)&gt;$AI7,IF((SUM($B241:AO241)-SUM($B260:AN260))/$AI7&gt;1,ROUNDDOWN((SUM($B241:AO241)-SUM($B260:AN260))/$AI7,0)*$AI7,0),SUM($B184:$AP184)-SUM($B260:AN260))</f>
        <v>0</v>
      </c>
      <c r="AP260" s="26">
        <f>IF(SUM($B184:$AP184)-SUM($B260:AO260)&gt;$AI7,IF((SUM($B241:AP241)-SUM($B260:AO260))/$AI7&gt;1,ROUNDDOWN((SUM($B241:AP241)-SUM($B260:AO260))/$AI7,0)*$AI7,0),SUM($B184:$AP184)-SUM($B260:AO260))</f>
        <v>0</v>
      </c>
    </row>
    <row r="261" spans="1:42">
      <c r="A261" t="s">
        <v>2371</v>
      </c>
      <c r="B261" s="26">
        <v>0</v>
      </c>
      <c r="C261" s="26">
        <f>IF(SUM($B185:$AP185)-SUM($B261:B261)&gt;$AI8,IF((SUM($B242:C242)-SUM($B261:B261))/$AI8&gt;1,ROUNDDOWN((SUM($B242:C242)-SUM($B261:B261))/$AI8,0)*$AI8,0),SUM($B185:$AP185)-SUM($B261:B261))</f>
        <v>0</v>
      </c>
      <c r="D261" s="26">
        <f>IF(SUM($B185:$AP185)-SUM($B261:C261)&gt;$AI8,IF((SUM($B242:D242)-SUM($B261:C261))/$AI8&gt;1,ROUNDDOWN((SUM($B242:D242)-SUM($B261:C261))/$AI8,0)*$AI8,0),SUM($B185:$AP185)-SUM($B261:C261))</f>
        <v>0</v>
      </c>
      <c r="E261" s="26">
        <f>IF(SUM($B185:$AP185)-SUM($B261:D261)&gt;$AI8,IF((SUM($B242:E242)-SUM($B261:D261))/$AI8&gt;1,ROUNDDOWN((SUM($B242:E242)-SUM($B261:D261))/$AI8,0)*$AI8,0),SUM($B185:$AP185)-SUM($B261:D261))</f>
        <v>0</v>
      </c>
      <c r="F261" s="26">
        <f>IF(SUM($B185:$AP185)-SUM($B261:E261)&gt;$AI8,IF((SUM($B242:F242)-SUM($B261:E261))/$AI8&gt;1,ROUNDDOWN((SUM($B242:F242)-SUM($B261:E261))/$AI8,0)*$AI8,0),SUM($B185:$AP185)-SUM($B261:E261))</f>
        <v>0</v>
      </c>
      <c r="G261" s="26">
        <f>IF(SUM($B185:$AP185)-SUM($B261:F261)&gt;$AI8,IF((SUM($B242:G242)-SUM($B261:F261))/$AI8&gt;1,ROUNDDOWN((SUM($B242:G242)-SUM($B261:F261))/$AI8,0)*$AI8,0),SUM($B185:$AP185)-SUM($B261:F261))</f>
        <v>0</v>
      </c>
      <c r="H261" s="26">
        <f>IF(SUM($B185:$AP185)-SUM($B261:G261)&gt;$AI8,IF((SUM($B242:H242)-SUM($B261:G261))/$AI8&gt;1,ROUNDDOWN((SUM($B242:H242)-SUM($B261:G261))/$AI8,0)*$AI8,0),SUM($B185:$AP185)-SUM($B261:G261))</f>
        <v>0</v>
      </c>
      <c r="I261" s="26">
        <f>IF(SUM($B185:$AP185)-SUM($B261:H261)&gt;$AI8,IF((SUM($B242:I242)-SUM($B261:H261))/$AI8&gt;1,ROUNDDOWN((SUM($B242:I242)-SUM($B261:H261))/$AI8,0)*$AI8,0),SUM($B185:$AP185)-SUM($B261:H261))</f>
        <v>0</v>
      </c>
      <c r="J261" s="26">
        <f>IF(SUM($B185:$AP185)-SUM($B261:I261)&gt;$AI8,IF((SUM($B242:J242)-SUM($B261:I261))/$AI8&gt;1,ROUNDDOWN((SUM($B242:J242)-SUM($B261:I261))/$AI8,0)*$AI8,0),SUM($B185:$AP185)-SUM($B261:I261))</f>
        <v>0</v>
      </c>
      <c r="K261" s="26">
        <f>IF(SUM($B185:$AP185)-SUM($B261:J261)&gt;$AI8,IF((SUM($B242:K242)-SUM($B261:J261))/$AI8&gt;1,ROUNDDOWN((SUM($B242:K242)-SUM($B261:J261))/$AI8,0)*$AI8,0),SUM($B185:$AP185)-SUM($B261:J261))</f>
        <v>0</v>
      </c>
      <c r="L261" s="26">
        <f>IF(SUM($B185:$AP185)-SUM($B261:K261)&gt;$AI8,IF((SUM($B242:L242)-SUM($B261:K261))/$AI8&gt;1,ROUNDDOWN((SUM($B242:L242)-SUM($B261:K261))/$AI8,0)*$AI8,0),SUM($B185:$AP185)-SUM($B261:K261))</f>
        <v>0</v>
      </c>
      <c r="M261" s="26">
        <f>IF(SUM($B185:$AP185)-SUM($B261:L261)&gt;$AI8,IF((SUM($B242:M242)-SUM($B261:L261))/$AI8&gt;1,ROUNDDOWN((SUM($B242:M242)-SUM($B261:L261))/$AI8,0)*$AI8,0),SUM($B185:$AP185)-SUM($B261:L261))</f>
        <v>0</v>
      </c>
      <c r="N261" s="26">
        <f>IF(SUM($B185:$AP185)-SUM($B261:M261)&gt;$AI8,IF((SUM($B242:N242)-SUM($B261:M261))/$AI8&gt;1,ROUNDDOWN((SUM($B242:N242)-SUM($B261:M261))/$AI8,0)*$AI8,0),SUM($B185:$AP185)-SUM($B261:M261))</f>
        <v>0</v>
      </c>
      <c r="O261" s="26">
        <f>IF(SUM($B185:$AP185)-SUM($B261:N261)&gt;$AI8,IF((SUM($B242:O242)-SUM($B261:N261))/$AI8&gt;1,ROUNDDOWN((SUM($B242:O242)-SUM($B261:N261))/$AI8,0)*$AI8,0),SUM($B185:$AP185)-SUM($B261:N261))</f>
        <v>0</v>
      </c>
      <c r="P261" s="26">
        <f>IF(SUM($B185:$AP185)-SUM($B261:O261)&gt;$AI8,IF((SUM($B242:P242)-SUM($B261:O261))/$AI8&gt;1,ROUNDDOWN((SUM($B242:P242)-SUM($B261:O261))/$AI8,0)*$AI8,0),SUM($B185:$AP185)-SUM($B261:O261))</f>
        <v>0</v>
      </c>
      <c r="Q261" s="26">
        <f>IF(SUM($B185:$AP185)-SUM($B261:P261)&gt;$AI8,IF((SUM($B242:Q242)-SUM($B261:P261))/$AI8&gt;1,ROUNDDOWN((SUM($B242:Q242)-SUM($B261:P261))/$AI8,0)*$AI8,0),SUM($B185:$AP185)-SUM($B261:P261))</f>
        <v>0</v>
      </c>
      <c r="R261" s="26">
        <f>IF(SUM($B185:$AP185)-SUM($B261:Q261)&gt;$AI8,IF((SUM($B242:R242)-SUM($B261:Q261))/$AI8&gt;1,ROUNDDOWN((SUM($B242:R242)-SUM($B261:Q261))/$AI8,0)*$AI8,0),SUM($B185:$AP185)-SUM($B261:Q261))</f>
        <v>0</v>
      </c>
      <c r="S261" s="26">
        <f>IF(SUM($B185:$AP185)-SUM($B261:R261)&gt;$AI8,IF((SUM($B242:S242)-SUM($B261:R261))/$AI8&gt;1,ROUNDDOWN((SUM($B242:S242)-SUM($B261:R261))/$AI8,0)*$AI8,0),SUM($B185:$AP185)-SUM($B261:R261))</f>
        <v>0</v>
      </c>
      <c r="T261" s="26">
        <f>IF(SUM($B185:$AP185)-SUM($B261:S261)&gt;$AI8,IF((SUM($B242:T242)-SUM($B261:S261))/$AI8&gt;1,ROUNDDOWN((SUM($B242:T242)-SUM($B261:S261))/$AI8,0)*$AI8,0),SUM($B185:$AP185)-SUM($B261:S261))</f>
        <v>0</v>
      </c>
      <c r="U261" s="26">
        <f>IF(SUM($B185:$AP185)-SUM($B261:T261)&gt;$AI8,IF((SUM($B242:U242)-SUM($B261:T261))/$AI8&gt;1,ROUNDDOWN((SUM($B242:U242)-SUM($B261:T261))/$AI8,0)*$AI8,0),SUM($B185:$AP185)-SUM($B261:T261))</f>
        <v>0</v>
      </c>
      <c r="V261" s="26">
        <f>IF(SUM($B185:$AP185)-SUM($B261:U261)&gt;$AI8,IF((SUM($B242:V242)-SUM($B261:U261))/$AI8&gt;1,ROUNDDOWN((SUM($B242:V242)-SUM($B261:U261))/$AI8,0)*$AI8,0),SUM($B185:$AP185)-SUM($B261:U261))</f>
        <v>0</v>
      </c>
      <c r="W261" s="26">
        <f>IF(SUM($B185:$AP185)-SUM($B261:V261)&gt;$AI8,IF((SUM($B242:W242)-SUM($B261:V261))/$AI8&gt;1,ROUNDDOWN((SUM($B242:W242)-SUM($B261:V261))/$AI8,0)*$AI8,0),SUM($B185:$AP185)-SUM($B261:V261))</f>
        <v>0</v>
      </c>
      <c r="X261" s="26">
        <f>IF(SUM($B185:$AP185)-SUM($B261:W261)&gt;$AI8,IF((SUM($B242:X242)-SUM($B261:W261))/$AI8&gt;1,ROUNDDOWN((SUM($B242:X242)-SUM($B261:W261))/$AI8,0)*$AI8,0),SUM($B185:$AP185)-SUM($B261:W261))</f>
        <v>0</v>
      </c>
      <c r="Y261" s="26">
        <f>IF(SUM($B185:$AP185)-SUM($B261:X261)&gt;$AI8,IF((SUM($B242:Y242)-SUM($B261:X261))/$AI8&gt;1,ROUNDDOWN((SUM($B242:Y242)-SUM($B261:X261))/$AI8,0)*$AI8,0),SUM($B185:$AP185)-SUM($B261:X261))</f>
        <v>650</v>
      </c>
      <c r="Z261" s="26">
        <f>IF(SUM($B185:$AP185)-SUM($B261:Y261)&gt;$AI8,IF((SUM($B242:Z242)-SUM($B261:Y261))/$AI8&gt;1,ROUNDDOWN((SUM($B242:Z242)-SUM($B261:Y261))/$AI8,0)*$AI8,0),SUM($B185:$AP185)-SUM($B261:Y261))</f>
        <v>650</v>
      </c>
      <c r="AA261" s="26">
        <f>IF(SUM($B185:$AP185)-SUM($B261:Z261)&gt;$AI8,IF((SUM($B242:AA242)-SUM($B261:Z261))/$AI8&gt;1,ROUNDDOWN((SUM($B242:AA242)-SUM($B261:Z261))/$AI8,0)*$AI8,0),SUM($B185:$AP185)-SUM($B261:Z261))</f>
        <v>0</v>
      </c>
      <c r="AB261" s="26">
        <f>IF(SUM($B185:$AP185)-SUM($B261:AA261)&gt;$AI8,IF((SUM($B242:AB242)-SUM($B261:AA261))/$AI8&gt;1,ROUNDDOWN((SUM($B242:AB242)-SUM($B261:AA261))/$AI8,0)*$AI8,0),SUM($B185:$AP185)-SUM($B261:AA261))</f>
        <v>0</v>
      </c>
      <c r="AC261" s="26">
        <f>IF(SUM($B185:$AP185)-SUM($B261:AB261)&gt;$AI8,IF((SUM($B242:AC242)-SUM($B261:AB261))/$AI8&gt;1,ROUNDDOWN((SUM($B242:AC242)-SUM($B261:AB261))/$AI8,0)*$AI8,0),SUM($B185:$AP185)-SUM($B261:AB261))</f>
        <v>0</v>
      </c>
      <c r="AD261" s="26">
        <f>IF(SUM($B185:$AP185)-SUM($B261:AC261)&gt;$AI8,IF((SUM($B242:AD242)-SUM($B261:AC261))/$AI8&gt;1,ROUNDDOWN((SUM($B242:AD242)-SUM($B261:AC261))/$AI8,0)*$AI8,0),SUM($B185:$AP185)-SUM($B261:AC261))</f>
        <v>0</v>
      </c>
      <c r="AE261" s="26">
        <f>IF(SUM($B185:$AP185)-SUM($B261:AD261)&gt;$AI8,IF((SUM($B242:AE242)-SUM($B261:AD261))/$AI8&gt;1,ROUNDDOWN((SUM($B242:AE242)-SUM($B261:AD261))/$AI8,0)*$AI8,0),SUM($B185:$AP185)-SUM($B261:AD261))</f>
        <v>0</v>
      </c>
      <c r="AF261" s="26">
        <f>IF(SUM($B185:$AP185)-SUM($B261:AE261)&gt;$AI8,IF((SUM($B242:AF242)-SUM($B261:AE261))/$AI8&gt;1,ROUNDDOWN((SUM($B242:AF242)-SUM($B261:AE261))/$AI8,0)*$AI8,0),SUM($B185:$AP185)-SUM($B261:AE261))</f>
        <v>650</v>
      </c>
      <c r="AG261" s="26">
        <f>IF(SUM($B185:$AP185)-SUM($B261:AF261)&gt;$AI8,IF((SUM($B242:AG242)-SUM($B261:AF261))/$AI8&gt;1,ROUNDDOWN((SUM($B242:AG242)-SUM($B261:AF261))/$AI8,0)*$AI8,0),SUM($B185:$AP185)-SUM($B261:AF261))</f>
        <v>1300</v>
      </c>
      <c r="AH261" s="26">
        <f>IF(SUM($B185:$AP185)-SUM($B261:AG261)&gt;$AI8,IF((SUM($B242:AH242)-SUM($B261:AG261))/$AI8&gt;1,ROUNDDOWN((SUM($B242:AH242)-SUM($B261:AG261))/$AI8,0)*$AI8,0),SUM($B185:$AP185)-SUM($B261:AG261))</f>
        <v>650</v>
      </c>
      <c r="AI261" s="26">
        <f>IF(SUM($B185:$AP185)-SUM($B261:AH261)&gt;$AI8,IF((SUM($B242:AI242)-SUM($B261:AH261))/$AI8&gt;1,ROUNDDOWN((SUM($B242:AI242)-SUM($B261:AH261))/$AI8,0)*$AI8,0),SUM($B185:$AP185)-SUM($B261:AH261))</f>
        <v>1300</v>
      </c>
      <c r="AJ261" s="26">
        <f>IF(SUM($B185:$AP185)-SUM($B261:AI261)&gt;$AI8,IF((SUM($B242:AJ242)-SUM($B261:AI261))/$AI8&gt;1,ROUNDDOWN((SUM($B242:AJ242)-SUM($B261:AI261))/$AI8,0)*$AI8,0),SUM($B185:$AP185)-SUM($B261:AI261))</f>
        <v>650</v>
      </c>
      <c r="AK261" s="26">
        <f>IF(SUM($B185:$AP185)-SUM($B261:AJ261)&gt;$AI8,IF((SUM($B242:AK242)-SUM($B261:AJ261))/$AI8&gt;1,ROUNDDOWN((SUM($B242:AK242)-SUM($B261:AJ261))/$AI8,0)*$AI8,0),SUM($B185:$AP185)-SUM($B261:AJ261))</f>
        <v>1300</v>
      </c>
      <c r="AL261" s="26">
        <f>IF(SUM($B185:$AP185)-SUM($B261:AK261)&gt;$AI8,IF((SUM($B242:AL242)-SUM($B261:AK261))/$AI8&gt;1,ROUNDDOWN((SUM($B242:AL242)-SUM($B261:AK261))/$AI8,0)*$AI8,0),SUM($B185:$AP185)-SUM($B261:AK261))</f>
        <v>0</v>
      </c>
      <c r="AM261" s="26">
        <f>IF(SUM($B185:$AP185)-SUM($B261:AL261)&gt;$AI8,IF((SUM($B242:AM242)-SUM($B261:AL261))/$AI8&gt;1,ROUNDDOWN((SUM($B242:AM242)-SUM($B261:AL261))/$AI8,0)*$AI8,0),SUM($B185:$AP185)-SUM($B261:AL261))</f>
        <v>650</v>
      </c>
      <c r="AN261" s="26">
        <f>IF(SUM($B185:$AP185)-SUM($B261:AM261)&gt;$AI8,IF((SUM($B242:AN242)-SUM($B261:AM261))/$AI8&gt;1,ROUNDDOWN((SUM($B242:AN242)-SUM($B261:AM261))/$AI8,0)*$AI8,0),SUM($B185:$AP185)-SUM($B261:AM261))</f>
        <v>650</v>
      </c>
      <c r="AO261" s="26">
        <f>IF(SUM($B185:$AP185)-SUM($B261:AN261)&gt;$AI8,IF((SUM($B242:AO242)-SUM($B261:AN261))/$AI8&gt;1,ROUNDDOWN((SUM($B242:AO242)-SUM($B261:AN261))/$AI8,0)*$AI8,0),SUM($B185:$AP185)-SUM($B261:AN261))</f>
        <v>650</v>
      </c>
      <c r="AP261" s="26">
        <f>IF(SUM($B185:$AP185)-SUM($B261:AO261)&gt;$AI8,IF((SUM($B242:AP242)-SUM($B261:AO261))/$AI8&gt;1,ROUNDDOWN((SUM($B242:AP242)-SUM($B261:AO261))/$AI8,0)*$AI8,0),SUM($B185:$AP185)-SUM($B261:AO261))</f>
        <v>650</v>
      </c>
    </row>
    <row r="262" spans="1:42">
      <c r="A262" t="s">
        <v>2372</v>
      </c>
      <c r="B262" s="26">
        <v>0</v>
      </c>
      <c r="C262" s="26">
        <f>IF(SUM($B186:$AP186)-SUM($B262:B262)&gt;$AI9,IF((SUM($B243:C243)-SUM($B262:B262))/$AI9&gt;1,ROUNDDOWN((SUM($B243:C243)-SUM($B262:B262))/$AI9,0)*$AI9,0),SUM($B186:$AP186)-SUM($B262:B262))</f>
        <v>0</v>
      </c>
      <c r="D262" s="26">
        <f>IF(SUM($B186:$AP186)-SUM($B262:C262)&gt;$AI9,IF((SUM($B243:D243)-SUM($B262:C262))/$AI9&gt;1,ROUNDDOWN((SUM($B243:D243)-SUM($B262:C262))/$AI9,0)*$AI9,0),SUM($B186:$AP186)-SUM($B262:C262))</f>
        <v>0</v>
      </c>
      <c r="E262" s="26">
        <f>IF(SUM($B186:$AP186)-SUM($B262:D262)&gt;$AI9,IF((SUM($B243:E243)-SUM($B262:D262))/$AI9&gt;1,ROUNDDOWN((SUM($B243:E243)-SUM($B262:D262))/$AI9,0)*$AI9,0),SUM($B186:$AP186)-SUM($B262:D262))</f>
        <v>0</v>
      </c>
      <c r="F262" s="26">
        <f>IF(SUM($B186:$AP186)-SUM($B262:E262)&gt;$AI9,IF((SUM($B243:F243)-SUM($B262:E262))/$AI9&gt;1,ROUNDDOWN((SUM($B243:F243)-SUM($B262:E262))/$AI9,0)*$AI9,0),SUM($B186:$AP186)-SUM($B262:E262))</f>
        <v>0</v>
      </c>
      <c r="G262" s="26">
        <f>IF(SUM($B186:$AP186)-SUM($B262:F262)&gt;$AI9,IF((SUM($B243:G243)-SUM($B262:F262))/$AI9&gt;1,ROUNDDOWN((SUM($B243:G243)-SUM($B262:F262))/$AI9,0)*$AI9,0),SUM($B186:$AP186)-SUM($B262:F262))</f>
        <v>0</v>
      </c>
      <c r="H262" s="26">
        <f>IF(SUM($B186:$AP186)-SUM($B262:G262)&gt;$AI9,IF((SUM($B243:H243)-SUM($B262:G262))/$AI9&gt;1,ROUNDDOWN((SUM($B243:H243)-SUM($B262:G262))/$AI9,0)*$AI9,0),SUM($B186:$AP186)-SUM($B262:G262))</f>
        <v>0</v>
      </c>
      <c r="I262" s="26">
        <f>IF(SUM($B186:$AP186)-SUM($B262:H262)&gt;$AI9,IF((SUM($B243:I243)-SUM($B262:H262))/$AI9&gt;1,ROUNDDOWN((SUM($B243:I243)-SUM($B262:H262))/$AI9,0)*$AI9,0),SUM($B186:$AP186)-SUM($B262:H262))</f>
        <v>0</v>
      </c>
      <c r="J262" s="26">
        <f>IF(SUM($B186:$AP186)-SUM($B262:I262)&gt;$AI9,IF((SUM($B243:J243)-SUM($B262:I262))/$AI9&gt;1,ROUNDDOWN((SUM($B243:J243)-SUM($B262:I262))/$AI9,0)*$AI9,0),SUM($B186:$AP186)-SUM($B262:I262))</f>
        <v>0</v>
      </c>
      <c r="K262" s="26">
        <f>IF(SUM($B186:$AP186)-SUM($B262:J262)&gt;$AI9,IF((SUM($B243:K243)-SUM($B262:J262))/$AI9&gt;1,ROUNDDOWN((SUM($B243:K243)-SUM($B262:J262))/$AI9,0)*$AI9,0),SUM($B186:$AP186)-SUM($B262:J262))</f>
        <v>0</v>
      </c>
      <c r="L262" s="26">
        <f>IF(SUM($B186:$AP186)-SUM($B262:K262)&gt;$AI9,IF((SUM($B243:L243)-SUM($B262:K262))/$AI9&gt;1,ROUNDDOWN((SUM($B243:L243)-SUM($B262:K262))/$AI9,0)*$AI9,0),SUM($B186:$AP186)-SUM($B262:K262))</f>
        <v>0</v>
      </c>
      <c r="M262" s="26">
        <f>IF(SUM($B186:$AP186)-SUM($B262:L262)&gt;$AI9,IF((SUM($B243:M243)-SUM($B262:L262))/$AI9&gt;1,ROUNDDOWN((SUM($B243:M243)-SUM($B262:L262))/$AI9,0)*$AI9,0),SUM($B186:$AP186)-SUM($B262:L262))</f>
        <v>0</v>
      </c>
      <c r="N262" s="26">
        <f>IF(SUM($B186:$AP186)-SUM($B262:M262)&gt;$AI9,IF((SUM($B243:N243)-SUM($B262:M262))/$AI9&gt;1,ROUNDDOWN((SUM($B243:N243)-SUM($B262:M262))/$AI9,0)*$AI9,0),SUM($B186:$AP186)-SUM($B262:M262))</f>
        <v>0</v>
      </c>
      <c r="O262" s="26">
        <f>IF(SUM($B186:$AP186)-SUM($B262:N262)&gt;$AI9,IF((SUM($B243:O243)-SUM($B262:N262))/$AI9&gt;1,ROUNDDOWN((SUM($B243:O243)-SUM($B262:N262))/$AI9,0)*$AI9,0),SUM($B186:$AP186)-SUM($B262:N262))</f>
        <v>0</v>
      </c>
      <c r="P262" s="26">
        <f>IF(SUM($B186:$AP186)-SUM($B262:O262)&gt;$AI9,IF((SUM($B243:P243)-SUM($B262:O262))/$AI9&gt;1,ROUNDDOWN((SUM($B243:P243)-SUM($B262:O262))/$AI9,0)*$AI9,0),SUM($B186:$AP186)-SUM($B262:O262))</f>
        <v>0</v>
      </c>
      <c r="Q262" s="26">
        <f>IF(SUM($B186:$AP186)-SUM($B262:P262)&gt;$AI9,IF((SUM($B243:Q243)-SUM($B262:P262))/$AI9&gt;1,ROUNDDOWN((SUM($B243:Q243)-SUM($B262:P262))/$AI9,0)*$AI9,0),SUM($B186:$AP186)-SUM($B262:P262))</f>
        <v>0</v>
      </c>
      <c r="R262" s="26">
        <f>IF(SUM($B186:$AP186)-SUM($B262:Q262)&gt;$AI9,IF((SUM($B243:R243)-SUM($B262:Q262))/$AI9&gt;1,ROUNDDOWN((SUM($B243:R243)-SUM($B262:Q262))/$AI9,0)*$AI9,0),SUM($B186:$AP186)-SUM($B262:Q262))</f>
        <v>0</v>
      </c>
      <c r="S262" s="26">
        <f>IF(SUM($B186:$AP186)-SUM($B262:R262)&gt;$AI9,IF((SUM($B243:S243)-SUM($B262:R262))/$AI9&gt;1,ROUNDDOWN((SUM($B243:S243)-SUM($B262:R262))/$AI9,0)*$AI9,0),SUM($B186:$AP186)-SUM($B262:R262))</f>
        <v>0</v>
      </c>
      <c r="T262" s="26">
        <f>IF(SUM($B186:$AP186)-SUM($B262:S262)&gt;$AI9,IF((SUM($B243:T243)-SUM($B262:S262))/$AI9&gt;1,ROUNDDOWN((SUM($B243:T243)-SUM($B262:S262))/$AI9,0)*$AI9,0),SUM($B186:$AP186)-SUM($B262:S262))</f>
        <v>0</v>
      </c>
      <c r="U262" s="26">
        <f>IF(SUM($B186:$AP186)-SUM($B262:T262)&gt;$AI9,IF((SUM($B243:U243)-SUM($B262:T262))/$AI9&gt;1,ROUNDDOWN((SUM($B243:U243)-SUM($B262:T262))/$AI9,0)*$AI9,0),SUM($B186:$AP186)-SUM($B262:T262))</f>
        <v>0</v>
      </c>
      <c r="V262" s="26">
        <f>IF(SUM($B186:$AP186)-SUM($B262:U262)&gt;$AI9,IF((SUM($B243:V243)-SUM($B262:U262))/$AI9&gt;1,ROUNDDOWN((SUM($B243:V243)-SUM($B262:U262))/$AI9,0)*$AI9,0),SUM($B186:$AP186)-SUM($B262:U262))</f>
        <v>0</v>
      </c>
      <c r="W262" s="26">
        <f>IF(SUM($B186:$AP186)-SUM($B262:V262)&gt;$AI9,IF((SUM($B243:W243)-SUM($B262:V262))/$AI9&gt;1,ROUNDDOWN((SUM($B243:W243)-SUM($B262:V262))/$AI9,0)*$AI9,0),SUM($B186:$AP186)-SUM($B262:V262))</f>
        <v>0</v>
      </c>
      <c r="X262" s="26">
        <f>IF(SUM($B186:$AP186)-SUM($B262:W262)&gt;$AI9,IF((SUM($B243:X243)-SUM($B262:W262))/$AI9&gt;1,ROUNDDOWN((SUM($B243:X243)-SUM($B262:W262))/$AI9,0)*$AI9,0),SUM($B186:$AP186)-SUM($B262:W262))</f>
        <v>0</v>
      </c>
      <c r="Y262" s="26">
        <f>IF(SUM($B186:$AP186)-SUM($B262:X262)&gt;$AI9,IF((SUM($B243:Y243)-SUM($B262:X262))/$AI9&gt;1,ROUNDDOWN((SUM($B243:Y243)-SUM($B262:X262))/$AI9,0)*$AI9,0),SUM($B186:$AP186)-SUM($B262:X262))</f>
        <v>0</v>
      </c>
      <c r="Z262" s="26">
        <f>IF(SUM($B186:$AP186)-SUM($B262:Y262)&gt;$AI9,IF((SUM($B243:Z243)-SUM($B262:Y262))/$AI9&gt;1,ROUNDDOWN((SUM($B243:Z243)-SUM($B262:Y262))/$AI9,0)*$AI9,0),SUM($B186:$AP186)-SUM($B262:Y262))</f>
        <v>0</v>
      </c>
      <c r="AA262" s="26">
        <f>IF(SUM($B186:$AP186)-SUM($B262:Z262)&gt;$AI9,IF((SUM($B243:AA243)-SUM($B262:Z262))/$AI9&gt;1,ROUNDDOWN((SUM($B243:AA243)-SUM($B262:Z262))/$AI9,0)*$AI9,0),SUM($B186:$AP186)-SUM($B262:Z262))</f>
        <v>0</v>
      </c>
      <c r="AB262" s="26">
        <f>IF(SUM($B186:$AP186)-SUM($B262:AA262)&gt;$AI9,IF((SUM($B243:AB243)-SUM($B262:AA262))/$AI9&gt;1,ROUNDDOWN((SUM($B243:AB243)-SUM($B262:AA262))/$AI9,0)*$AI9,0),SUM($B186:$AP186)-SUM($B262:AA262))</f>
        <v>0</v>
      </c>
      <c r="AC262" s="26">
        <f>IF(SUM($B186:$AP186)-SUM($B262:AB262)&gt;$AI9,IF((SUM($B243:AC243)-SUM($B262:AB262))/$AI9&gt;1,ROUNDDOWN((SUM($B243:AC243)-SUM($B262:AB262))/$AI9,0)*$AI9,0),SUM($B186:$AP186)-SUM($B262:AB262))</f>
        <v>0</v>
      </c>
      <c r="AD262" s="26">
        <f>IF(SUM($B186:$AP186)-SUM($B262:AC262)&gt;$AI9,IF((SUM($B243:AD243)-SUM($B262:AC262))/$AI9&gt;1,ROUNDDOWN((SUM($B243:AD243)-SUM($B262:AC262))/$AI9,0)*$AI9,0),SUM($B186:$AP186)-SUM($B262:AC262))</f>
        <v>0</v>
      </c>
      <c r="AE262" s="26">
        <f>IF(SUM($B186:$AP186)-SUM($B262:AD262)&gt;$AI9,IF((SUM($B243:AE243)-SUM($B262:AD262))/$AI9&gt;1,ROUNDDOWN((SUM($B243:AE243)-SUM($B262:AD262))/$AI9,0)*$AI9,0),SUM($B186:$AP186)-SUM($B262:AD262))</f>
        <v>0</v>
      </c>
      <c r="AF262" s="26">
        <f>IF(SUM($B186:$AP186)-SUM($B262:AE262)&gt;$AI9,IF((SUM($B243:AF243)-SUM($B262:AE262))/$AI9&gt;1,ROUNDDOWN((SUM($B243:AF243)-SUM($B262:AE262))/$AI9,0)*$AI9,0),SUM($B186:$AP186)-SUM($B262:AE262))</f>
        <v>0</v>
      </c>
      <c r="AG262" s="26">
        <f>IF(SUM($B186:$AP186)-SUM($B262:AF262)&gt;$AI9,IF((SUM($B243:AG243)-SUM($B262:AF262))/$AI9&gt;1,ROUNDDOWN((SUM($B243:AG243)-SUM($B262:AF262))/$AI9,0)*$AI9,0),SUM($B186:$AP186)-SUM($B262:AF262))</f>
        <v>0</v>
      </c>
      <c r="AH262" s="26">
        <f>IF(SUM($B186:$AP186)-SUM($B262:AG262)&gt;$AI9,IF((SUM($B243:AH243)-SUM($B262:AG262))/$AI9&gt;1,ROUNDDOWN((SUM($B243:AH243)-SUM($B262:AG262))/$AI9,0)*$AI9,0),SUM($B186:$AP186)-SUM($B262:AG262))</f>
        <v>0</v>
      </c>
      <c r="AI262" s="26">
        <f>IF(SUM($B186:$AP186)-SUM($B262:AH262)&gt;$AI9,IF((SUM($B243:AI243)-SUM($B262:AH262))/$AI9&gt;1,ROUNDDOWN((SUM($B243:AI243)-SUM($B262:AH262))/$AI9,0)*$AI9,0),SUM($B186:$AP186)-SUM($B262:AH262))</f>
        <v>0</v>
      </c>
      <c r="AJ262" s="26">
        <f>IF(SUM($B186:$AP186)-SUM($B262:AI262)&gt;$AI9,IF((SUM($B243:AJ243)-SUM($B262:AI262))/$AI9&gt;1,ROUNDDOWN((SUM($B243:AJ243)-SUM($B262:AI262))/$AI9,0)*$AI9,0),SUM($B186:$AP186)-SUM($B262:AI262))</f>
        <v>0</v>
      </c>
      <c r="AK262" s="26">
        <f>IF(SUM($B186:$AP186)-SUM($B262:AJ262)&gt;$AI9,IF((SUM($B243:AK243)-SUM($B262:AJ262))/$AI9&gt;1,ROUNDDOWN((SUM($B243:AK243)-SUM($B262:AJ262))/$AI9,0)*$AI9,0),SUM($B186:$AP186)-SUM($B262:AJ262))</f>
        <v>0</v>
      </c>
      <c r="AL262" s="26">
        <f>IF(SUM($B186:$AP186)-SUM($B262:AK262)&gt;$AI9,IF((SUM($B243:AL243)-SUM($B262:AK262))/$AI9&gt;1,ROUNDDOWN((SUM($B243:AL243)-SUM($B262:AK262))/$AI9,0)*$AI9,0),SUM($B186:$AP186)-SUM($B262:AK262))</f>
        <v>0</v>
      </c>
      <c r="AM262" s="26">
        <f>IF(SUM($B186:$AP186)-SUM($B262:AL262)&gt;$AI9,IF((SUM($B243:AM243)-SUM($B262:AL262))/$AI9&gt;1,ROUNDDOWN((SUM($B243:AM243)-SUM($B262:AL262))/$AI9,0)*$AI9,0),SUM($B186:$AP186)-SUM($B262:AL262))</f>
        <v>0</v>
      </c>
      <c r="AN262" s="26">
        <f>IF(SUM($B186:$AP186)-SUM($B262:AM262)&gt;$AI9,IF((SUM($B243:AN243)-SUM($B262:AM262))/$AI9&gt;1,ROUNDDOWN((SUM($B243:AN243)-SUM($B262:AM262))/$AI9,0)*$AI9,0),SUM($B186:$AP186)-SUM($B262:AM262))</f>
        <v>0</v>
      </c>
      <c r="AO262" s="26">
        <f>IF(SUM($B186:$AP186)-SUM($B262:AN262)&gt;$AI9,IF((SUM($B243:AO243)-SUM($B262:AN262))/$AI9&gt;1,ROUNDDOWN((SUM($B243:AO243)-SUM($B262:AN262))/$AI9,0)*$AI9,0),SUM($B186:$AP186)-SUM($B262:AN262))</f>
        <v>0</v>
      </c>
      <c r="AP262" s="26">
        <f>IF(SUM($B186:$AP186)-SUM($B262:AO262)&gt;$AI9,IF((SUM($B243:AP243)-SUM($B262:AO262))/$AI9&gt;1,ROUNDDOWN((SUM($B243:AP243)-SUM($B262:AO262))/$AI9,0)*$AI9,0),SUM($B186:$AP186)-SUM($B262:AO262))</f>
        <v>0</v>
      </c>
    </row>
    <row r="263" spans="1:42">
      <c r="A263" t="s">
        <v>2373</v>
      </c>
      <c r="B263" s="26">
        <v>0</v>
      </c>
      <c r="C263" s="26">
        <f>IF(SUM($B187:$AP187)-SUM($B263:B263)&gt;$AI10,IF((SUM($B244:C244)-SUM($B263:B263))/$AI10&gt;1,ROUNDDOWN((SUM($B244:C244)-SUM($B263:B263))/$AI10,0)*$AI10,0),SUM($B187:$AP187)-SUM($B263:B263))</f>
        <v>0</v>
      </c>
      <c r="D263" s="26">
        <f>IF(SUM($B187:$AP187)-SUM($B263:C263)&gt;$AI10,IF((SUM($B244:D244)-SUM($B263:C263))/$AI10&gt;1,ROUNDDOWN((SUM($B244:D244)-SUM($B263:C263))/$AI10,0)*$AI10,0),SUM($B187:$AP187)-SUM($B263:C263))</f>
        <v>0</v>
      </c>
      <c r="E263" s="26">
        <f>IF(SUM($B187:$AP187)-SUM($B263:D263)&gt;$AI10,IF((SUM($B244:E244)-SUM($B263:D263))/$AI10&gt;1,ROUNDDOWN((SUM($B244:E244)-SUM($B263:D263))/$AI10,0)*$AI10,0),SUM($B187:$AP187)-SUM($B263:D263))</f>
        <v>0</v>
      </c>
      <c r="F263" s="26">
        <f>IF(SUM($B187:$AP187)-SUM($B263:E263)&gt;$AI10,IF((SUM($B244:F244)-SUM($B263:E263))/$AI10&gt;1,ROUNDDOWN((SUM($B244:F244)-SUM($B263:E263))/$AI10,0)*$AI10,0),SUM($B187:$AP187)-SUM($B263:E263))</f>
        <v>0</v>
      </c>
      <c r="G263" s="26">
        <f>IF(SUM($B187:$AP187)-SUM($B263:F263)&gt;$AI10,IF((SUM($B244:G244)-SUM($B263:F263))/$AI10&gt;1,ROUNDDOWN((SUM($B244:G244)-SUM($B263:F263))/$AI10,0)*$AI10,0),SUM($B187:$AP187)-SUM($B263:F263))</f>
        <v>0</v>
      </c>
      <c r="H263" s="26">
        <f>IF(SUM($B187:$AP187)-SUM($B263:G263)&gt;$AI10,IF((SUM($B244:H244)-SUM($B263:G263))/$AI10&gt;1,ROUNDDOWN((SUM($B244:H244)-SUM($B263:G263))/$AI10,0)*$AI10,0),SUM($B187:$AP187)-SUM($B263:G263))</f>
        <v>0</v>
      </c>
      <c r="I263" s="26">
        <f>IF(SUM($B187:$AP187)-SUM($B263:H263)&gt;$AI10,IF((SUM($B244:I244)-SUM($B263:H263))/$AI10&gt;1,ROUNDDOWN((SUM($B244:I244)-SUM($B263:H263))/$AI10,0)*$AI10,0),SUM($B187:$AP187)-SUM($B263:H263))</f>
        <v>0</v>
      </c>
      <c r="J263" s="26">
        <f>IF(SUM($B187:$AP187)-SUM($B263:I263)&gt;$AI10,IF((SUM($B244:J244)-SUM($B263:I263))/$AI10&gt;1,ROUNDDOWN((SUM($B244:J244)-SUM($B263:I263))/$AI10,0)*$AI10,0),SUM($B187:$AP187)-SUM($B263:I263))</f>
        <v>0</v>
      </c>
      <c r="K263" s="26">
        <f>IF(SUM($B187:$AP187)-SUM($B263:J263)&gt;$AI10,IF((SUM($B244:K244)-SUM($B263:J263))/$AI10&gt;1,ROUNDDOWN((SUM($B244:K244)-SUM($B263:J263))/$AI10,0)*$AI10,0),SUM($B187:$AP187)-SUM($B263:J263))</f>
        <v>0</v>
      </c>
      <c r="L263" s="26">
        <f>IF(SUM($B187:$AP187)-SUM($B263:K263)&gt;$AI10,IF((SUM($B244:L244)-SUM($B263:K263))/$AI10&gt;1,ROUNDDOWN((SUM($B244:L244)-SUM($B263:K263))/$AI10,0)*$AI10,0),SUM($B187:$AP187)-SUM($B263:K263))</f>
        <v>0</v>
      </c>
      <c r="M263" s="26">
        <f>IF(SUM($B187:$AP187)-SUM($B263:L263)&gt;$AI10,IF((SUM($B244:M244)-SUM($B263:L263))/$AI10&gt;1,ROUNDDOWN((SUM($B244:M244)-SUM($B263:L263))/$AI10,0)*$AI10,0),SUM($B187:$AP187)-SUM($B263:L263))</f>
        <v>0</v>
      </c>
      <c r="N263" s="26">
        <f>IF(SUM($B187:$AP187)-SUM($B263:M263)&gt;$AI10,IF((SUM($B244:N244)-SUM($B263:M263))/$AI10&gt;1,ROUNDDOWN((SUM($B244:N244)-SUM($B263:M263))/$AI10,0)*$AI10,0),SUM($B187:$AP187)-SUM($B263:M263))</f>
        <v>1608</v>
      </c>
      <c r="O263" s="26">
        <f>IF(SUM($B187:$AP187)-SUM($B263:N263)&gt;$AI10,IF((SUM($B244:O244)-SUM($B263:N263))/$AI10&gt;1,ROUNDDOWN((SUM($B244:O244)-SUM($B263:N263))/$AI10,0)*$AI10,0),SUM($B187:$AP187)-SUM($B263:N263))</f>
        <v>4592</v>
      </c>
      <c r="P263" s="26">
        <f>IF(SUM($B187:$AP187)-SUM($B263:O263)&gt;$AI10,IF((SUM($B244:P244)-SUM($B263:O263))/$AI10&gt;1,ROUNDDOWN((SUM($B244:P244)-SUM($B263:O263))/$AI10,0)*$AI10,0),SUM($B187:$AP187)-SUM($B263:O263))</f>
        <v>7698</v>
      </c>
      <c r="Q263" s="26">
        <f>IF(SUM($B187:$AP187)-SUM($B263:P263)&gt;$AI10,IF((SUM($B244:Q244)-SUM($B263:P263))/$AI10&gt;1,ROUNDDOWN((SUM($B244:Q244)-SUM($B263:P263))/$AI10,0)*$AI10,0),SUM($B187:$AP187)-SUM($B263:P263))</f>
        <v>10356</v>
      </c>
      <c r="R263" s="26">
        <f>IF(SUM($B187:$AP187)-SUM($B263:Q263)&gt;$AI10,IF((SUM($B244:R244)-SUM($B263:Q263))/$AI10&gt;1,ROUNDDOWN((SUM($B244:R244)-SUM($B263:Q263))/$AI10,0)*$AI10,0),SUM($B187:$AP187)-SUM($B263:Q263))</f>
        <v>13270</v>
      </c>
      <c r="S263" s="26">
        <f>IF(SUM($B187:$AP187)-SUM($B263:R263)&gt;$AI10,IF((SUM($B244:S244)-SUM($B263:R263))/$AI10&gt;1,ROUNDDOWN((SUM($B244:S244)-SUM($B263:R263))/$AI10,0)*$AI10,0),SUM($B187:$AP187)-SUM($B263:R263))</f>
        <v>15820</v>
      </c>
      <c r="T263" s="26">
        <f>IF(SUM($B187:$AP187)-SUM($B263:S263)&gt;$AI10,IF((SUM($B244:T244)-SUM($B263:S263))/$AI10&gt;1,ROUNDDOWN((SUM($B244:T244)-SUM($B263:S263))/$AI10,0)*$AI10,0),SUM($B187:$AP187)-SUM($B263:S263))</f>
        <v>19010</v>
      </c>
      <c r="U263" s="26">
        <f>IF(SUM($B187:$AP187)-SUM($B263:T263)&gt;$AI10,IF((SUM($B244:U244)-SUM($B263:T263))/$AI10&gt;1,ROUNDDOWN((SUM($B244:U244)-SUM($B263:T263))/$AI10,0)*$AI10,0),SUM($B187:$AP187)-SUM($B263:T263))</f>
        <v>19706</v>
      </c>
      <c r="V263" s="26">
        <f>IF(SUM($B187:$AP187)-SUM($B263:U263)&gt;$AI10,IF((SUM($B244:V244)-SUM($B263:U263))/$AI10&gt;1,ROUNDDOWN((SUM($B244:V244)-SUM($B263:U263))/$AI10,0)*$AI10,0),SUM($B187:$AP187)-SUM($B263:U263))</f>
        <v>20590</v>
      </c>
      <c r="W263" s="26">
        <f>IF(SUM($B187:$AP187)-SUM($B263:V263)&gt;$AI10,IF((SUM($B244:W244)-SUM($B263:V263))/$AI10&gt;1,ROUNDDOWN((SUM($B244:W244)-SUM($B263:V263))/$AI10,0)*$AI10,0),SUM($B187:$AP187)-SUM($B263:V263))</f>
        <v>22032</v>
      </c>
      <c r="X263" s="26">
        <f>IF(SUM($B187:$AP187)-SUM($B263:W263)&gt;$AI10,IF((SUM($B244:X244)-SUM($B263:W263))/$AI10&gt;1,ROUNDDOWN((SUM($B244:X244)-SUM($B263:W263))/$AI10,0)*$AI10,0),SUM($B187:$AP187)-SUM($B263:W263))</f>
        <v>23118</v>
      </c>
      <c r="Y263" s="26">
        <f>IF(SUM($B187:$AP187)-SUM($B263:X263)&gt;$AI10,IF((SUM($B244:Y244)-SUM($B263:X263))/$AI10&gt;1,ROUNDDOWN((SUM($B244:Y244)-SUM($B263:X263))/$AI10,0)*$AI10,0),SUM($B187:$AP187)-SUM($B263:X263))</f>
        <v>30838</v>
      </c>
      <c r="Z263" s="26">
        <f>IF(SUM($B187:$AP187)-SUM($B263:Y263)&gt;$AI10,IF((SUM($B244:Z244)-SUM($B263:Y263))/$AI10&gt;1,ROUNDDOWN((SUM($B244:Z244)-SUM($B263:Y263))/$AI10,0)*$AI10,0),SUM($B187:$AP187)-SUM($B263:Y263))</f>
        <v>33102</v>
      </c>
      <c r="AA263" s="26">
        <f>IF(SUM($B187:$AP187)-SUM($B263:Z263)&gt;$AI10,IF((SUM($B244:AA244)-SUM($B263:Z263))/$AI10&gt;1,ROUNDDOWN((SUM($B244:AA244)-SUM($B263:Z263))/$AI10,0)*$AI10,0),SUM($B187:$AP187)-SUM($B263:Z263))</f>
        <v>35936</v>
      </c>
      <c r="AB263" s="26">
        <f>IF(SUM($B187:$AP187)-SUM($B263:AA263)&gt;$AI10,IF((SUM($B244:AB244)-SUM($B263:AA263))/$AI10&gt;1,ROUNDDOWN((SUM($B244:AB244)-SUM($B263:AA263))/$AI10,0)*$AI10,0),SUM($B187:$AP187)-SUM($B263:AA263))</f>
        <v>45394</v>
      </c>
      <c r="AC263" s="26">
        <f>IF(SUM($B187:$AP187)-SUM($B263:AB263)&gt;$AI10,IF((SUM($B244:AC244)-SUM($B263:AB263))/$AI10&gt;1,ROUNDDOWN((SUM($B244:AC244)-SUM($B263:AB263))/$AI10,0)*$AI10,0),SUM($B187:$AP187)-SUM($B263:AB263))</f>
        <v>40146</v>
      </c>
      <c r="AD263" s="26">
        <f>IF(SUM($B187:$AP187)-SUM($B263:AC263)&gt;$AI10,IF((SUM($B244:AD244)-SUM($B263:AC263))/$AI10&gt;1,ROUNDDOWN((SUM($B244:AD244)-SUM($B263:AC263))/$AI10,0)*$AI10,0),SUM($B187:$AP187)-SUM($B263:AC263))</f>
        <v>26252</v>
      </c>
      <c r="AE263" s="26">
        <f>IF(SUM($B187:$AP187)-SUM($B263:AD263)&gt;$AI10,IF((SUM($B244:AE244)-SUM($B263:AD263))/$AI10&gt;1,ROUNDDOWN((SUM($B244:AE244)-SUM($B263:AD263))/$AI10,0)*$AI10,0),SUM($B187:$AP187)-SUM($B263:AD263))</f>
        <v>20188</v>
      </c>
      <c r="AF263" s="26">
        <f>IF(SUM($B187:$AP187)-SUM($B263:AE263)&gt;$AI10,IF((SUM($B244:AF244)-SUM($B263:AE263))/$AI10&gt;1,ROUNDDOWN((SUM($B244:AF244)-SUM($B263:AE263))/$AI10,0)*$AI10,0),SUM($B187:$AP187)-SUM($B263:AE263))</f>
        <v>13812</v>
      </c>
      <c r="AG263" s="26">
        <f>IF(SUM($B187:$AP187)-SUM($B263:AF263)&gt;$AI10,IF((SUM($B244:AG244)-SUM($B263:AF263))/$AI10&gt;1,ROUNDDOWN((SUM($B244:AG244)-SUM($B263:AF263))/$AI10,0)*$AI10,0),SUM($B187:$AP187)-SUM($B263:AF263))</f>
        <v>0.931944444426335</v>
      </c>
      <c r="AH263" s="26">
        <f>IF(SUM($B187:$AP187)-SUM($B263:AG263)&gt;$AI10,IF((SUM($B244:AH244)-SUM($B263:AG263))/$AI10&gt;1,ROUNDDOWN((SUM($B244:AH244)-SUM($B263:AG263))/$AI10,0)*$AI10,0),SUM($B187:$AP187)-SUM($B263:AG263))</f>
        <v>0</v>
      </c>
      <c r="AI263" s="26">
        <f>IF(SUM($B187:$AP187)-SUM($B263:AH263)&gt;$AI10,IF((SUM($B244:AI244)-SUM($B263:AH263))/$AI10&gt;1,ROUNDDOWN((SUM($B244:AI244)-SUM($B263:AH263))/$AI10,0)*$AI10,0),SUM($B187:$AP187)-SUM($B263:AH263))</f>
        <v>0</v>
      </c>
      <c r="AJ263" s="26">
        <f>IF(SUM($B187:$AP187)-SUM($B263:AI263)&gt;$AI10,IF((SUM($B244:AJ244)-SUM($B263:AI263))/$AI10&gt;1,ROUNDDOWN((SUM($B244:AJ244)-SUM($B263:AI263))/$AI10,0)*$AI10,0),SUM($B187:$AP187)-SUM($B263:AI263))</f>
        <v>0</v>
      </c>
      <c r="AK263" s="26">
        <f>IF(SUM($B187:$AP187)-SUM($B263:AJ263)&gt;$AI10,IF((SUM($B244:AK244)-SUM($B263:AJ263))/$AI10&gt;1,ROUNDDOWN((SUM($B244:AK244)-SUM($B263:AJ263))/$AI10,0)*$AI10,0),SUM($B187:$AP187)-SUM($B263:AJ263))</f>
        <v>0</v>
      </c>
      <c r="AL263" s="26">
        <f>IF(SUM($B187:$AP187)-SUM($B263:AK263)&gt;$AI10,IF((SUM($B244:AL244)-SUM($B263:AK263))/$AI10&gt;1,ROUNDDOWN((SUM($B244:AL244)-SUM($B263:AK263))/$AI10,0)*$AI10,0),SUM($B187:$AP187)-SUM($B263:AK263))</f>
        <v>0</v>
      </c>
      <c r="AM263" s="26">
        <f>IF(SUM($B187:$AP187)-SUM($B263:AL263)&gt;$AI10,IF((SUM($B244:AM244)-SUM($B263:AL263))/$AI10&gt;1,ROUNDDOWN((SUM($B244:AM244)-SUM($B263:AL263))/$AI10,0)*$AI10,0),SUM($B187:$AP187)-SUM($B263:AL263))</f>
        <v>0</v>
      </c>
      <c r="AN263" s="26">
        <f>IF(SUM($B187:$AP187)-SUM($B263:AM263)&gt;$AI10,IF((SUM($B244:AN244)-SUM($B263:AM263))/$AI10&gt;1,ROUNDDOWN((SUM($B244:AN244)-SUM($B263:AM263))/$AI10,0)*$AI10,0),SUM($B187:$AP187)-SUM($B263:AM263))</f>
        <v>0</v>
      </c>
      <c r="AO263" s="26">
        <f>IF(SUM($B187:$AP187)-SUM($B263:AN263)&gt;$AI10,IF((SUM($B244:AO244)-SUM($B263:AN263))/$AI10&gt;1,ROUNDDOWN((SUM($B244:AO244)-SUM($B263:AN263))/$AI10,0)*$AI10,0),SUM($B187:$AP187)-SUM($B263:AN263))</f>
        <v>0</v>
      </c>
      <c r="AP263" s="26">
        <f>IF(SUM($B187:$AP187)-SUM($B263:AO263)&gt;$AI10,IF((SUM($B244:AP244)-SUM($B263:AO263))/$AI10&gt;1,ROUNDDOWN((SUM($B244:AP244)-SUM($B263:AO263))/$AI10,0)*$AI10,0),SUM($B187:$AP187)-SUM($B263:AO263))</f>
        <v>0</v>
      </c>
    </row>
    <row r="264" spans="1:42">
      <c r="A264" t="s">
        <v>2374</v>
      </c>
      <c r="B264" s="26">
        <v>0</v>
      </c>
      <c r="C264" s="26">
        <f>IF(SUM($B188:$AP188)-SUM($B264:B264)&gt;$AI11,IF((SUM($B245:C245)-SUM($B264:B264))/$AI11&gt;1,ROUNDDOWN((SUM($B245:C245)-SUM($B264:B264))/$AI11,0)*$AI11,0),SUM($B188:$AP188)-SUM($B264:B264))</f>
        <v>0</v>
      </c>
      <c r="D264" s="26">
        <f>IF(SUM($B188:$AP188)-SUM($B264:C264)&gt;$AI11,IF((SUM($B245:D245)-SUM($B264:C264))/$AI11&gt;1,ROUNDDOWN((SUM($B245:D245)-SUM($B264:C264))/$AI11,0)*$AI11,0),SUM($B188:$AP188)-SUM($B264:C264))</f>
        <v>0</v>
      </c>
      <c r="E264" s="26">
        <f>IF(SUM($B188:$AP188)-SUM($B264:D264)&gt;$AI11,IF((SUM($B245:E245)-SUM($B264:D264))/$AI11&gt;1,ROUNDDOWN((SUM($B245:E245)-SUM($B264:D264))/$AI11,0)*$AI11,0),SUM($B188:$AP188)-SUM($B264:D264))</f>
        <v>0</v>
      </c>
      <c r="F264" s="26">
        <f>IF(SUM($B188:$AP188)-SUM($B264:E264)&gt;$AI11,IF((SUM($B245:F245)-SUM($B264:E264))/$AI11&gt;1,ROUNDDOWN((SUM($B245:F245)-SUM($B264:E264))/$AI11,0)*$AI11,0),SUM($B188:$AP188)-SUM($B264:E264))</f>
        <v>0</v>
      </c>
      <c r="G264" s="26">
        <f>IF(SUM($B188:$AP188)-SUM($B264:F264)&gt;$AI11,IF((SUM($B245:G245)-SUM($B264:F264))/$AI11&gt;1,ROUNDDOWN((SUM($B245:G245)-SUM($B264:F264))/$AI11,0)*$AI11,0),SUM($B188:$AP188)-SUM($B264:F264))</f>
        <v>0</v>
      </c>
      <c r="H264" s="26">
        <f>IF(SUM($B188:$AP188)-SUM($B264:G264)&gt;$AI11,IF((SUM($B245:H245)-SUM($B264:G264))/$AI11&gt;1,ROUNDDOWN((SUM($B245:H245)-SUM($B264:G264))/$AI11,0)*$AI11,0),SUM($B188:$AP188)-SUM($B264:G264))</f>
        <v>0</v>
      </c>
      <c r="I264" s="26">
        <f>IF(SUM($B188:$AP188)-SUM($B264:H264)&gt;$AI11,IF((SUM($B245:I245)-SUM($B264:H264))/$AI11&gt;1,ROUNDDOWN((SUM($B245:I245)-SUM($B264:H264))/$AI11,0)*$AI11,0),SUM($B188:$AP188)-SUM($B264:H264))</f>
        <v>0</v>
      </c>
      <c r="J264" s="26">
        <f>IF(SUM($B188:$AP188)-SUM($B264:I264)&gt;$AI11,IF((SUM($B245:J245)-SUM($B264:I264))/$AI11&gt;1,ROUNDDOWN((SUM($B245:J245)-SUM($B264:I264))/$AI11,0)*$AI11,0),SUM($B188:$AP188)-SUM($B264:I264))</f>
        <v>0</v>
      </c>
      <c r="K264" s="26">
        <f>IF(SUM($B188:$AP188)-SUM($B264:J264)&gt;$AI11,IF((SUM($B245:K245)-SUM($B264:J264))/$AI11&gt;1,ROUNDDOWN((SUM($B245:K245)-SUM($B264:J264))/$AI11,0)*$AI11,0),SUM($B188:$AP188)-SUM($B264:J264))</f>
        <v>0</v>
      </c>
      <c r="L264" s="26">
        <f>IF(SUM($B188:$AP188)-SUM($B264:K264)&gt;$AI11,IF((SUM($B245:L245)-SUM($B264:K264))/$AI11&gt;1,ROUNDDOWN((SUM($B245:L245)-SUM($B264:K264))/$AI11,0)*$AI11,0),SUM($B188:$AP188)-SUM($B264:K264))</f>
        <v>0</v>
      </c>
      <c r="M264" s="26">
        <f>IF(SUM($B188:$AP188)-SUM($B264:L264)&gt;$AI11,IF((SUM($B245:M245)-SUM($B264:L264))/$AI11&gt;1,ROUNDDOWN((SUM($B245:M245)-SUM($B264:L264))/$AI11,0)*$AI11,0),SUM($B188:$AP188)-SUM($B264:L264))</f>
        <v>0</v>
      </c>
      <c r="N264" s="26">
        <f>IF(SUM($B188:$AP188)-SUM($B264:M264)&gt;$AI11,IF((SUM($B245:N245)-SUM($B264:M264))/$AI11&gt;1,ROUNDDOWN((SUM($B245:N245)-SUM($B264:M264))/$AI11,0)*$AI11,0),SUM($B188:$AP188)-SUM($B264:M264))</f>
        <v>0</v>
      </c>
      <c r="O264" s="26">
        <f>IF(SUM($B188:$AP188)-SUM($B264:N264)&gt;$AI11,IF((SUM($B245:O245)-SUM($B264:N264))/$AI11&gt;1,ROUNDDOWN((SUM($B245:O245)-SUM($B264:N264))/$AI11,0)*$AI11,0),SUM($B188:$AP188)-SUM($B264:N264))</f>
        <v>5</v>
      </c>
      <c r="P264" s="26">
        <f>IF(SUM($B188:$AP188)-SUM($B264:O264)&gt;$AI11,IF((SUM($B245:P245)-SUM($B264:O264))/$AI11&gt;1,ROUNDDOWN((SUM($B245:P245)-SUM($B264:O264))/$AI11,0)*$AI11,0),SUM($B188:$AP188)-SUM($B264:O264))</f>
        <v>385</v>
      </c>
      <c r="Q264" s="26">
        <f>IF(SUM($B188:$AP188)-SUM($B264:P264)&gt;$AI11,IF((SUM($B245:Q245)-SUM($B264:P264))/$AI11&gt;1,ROUNDDOWN((SUM($B245:Q245)-SUM($B264:P264))/$AI11,0)*$AI11,0),SUM($B188:$AP188)-SUM($B264:P264))</f>
        <v>614</v>
      </c>
      <c r="R264" s="26">
        <f>IF(SUM($B188:$AP188)-SUM($B264:Q264)&gt;$AI11,IF((SUM($B245:R245)-SUM($B264:Q264))/$AI11&gt;1,ROUNDDOWN((SUM($B245:R245)-SUM($B264:Q264))/$AI11,0)*$AI11,0),SUM($B188:$AP188)-SUM($B264:Q264))</f>
        <v>2923</v>
      </c>
      <c r="S264" s="26">
        <f>IF(SUM($B188:$AP188)-SUM($B264:R264)&gt;$AI11,IF((SUM($B245:S245)-SUM($B264:R264))/$AI11&gt;1,ROUNDDOWN((SUM($B245:S245)-SUM($B264:R264))/$AI11,0)*$AI11,0),SUM($B188:$AP188)-SUM($B264:R264))</f>
        <v>4626</v>
      </c>
      <c r="T264" s="26">
        <f>IF(SUM($B188:$AP188)-SUM($B264:S264)&gt;$AI11,IF((SUM($B245:T245)-SUM($B264:S264))/$AI11&gt;1,ROUNDDOWN((SUM($B245:T245)-SUM($B264:S264))/$AI11,0)*$AI11,0),SUM($B188:$AP188)-SUM($B264:S264))</f>
        <v>7305</v>
      </c>
      <c r="U264" s="26">
        <f>IF(SUM($B188:$AP188)-SUM($B264:T264)&gt;$AI11,IF((SUM($B245:U245)-SUM($B264:T264))/$AI11&gt;1,ROUNDDOWN((SUM($B245:U245)-SUM($B264:T264))/$AI11,0)*$AI11,0),SUM($B188:$AP188)-SUM($B264:T264))</f>
        <v>12981</v>
      </c>
      <c r="V264" s="26">
        <f>IF(SUM($B188:$AP188)-SUM($B264:U264)&gt;$AI11,IF((SUM($B245:V245)-SUM($B264:U264))/$AI11&gt;1,ROUNDDOWN((SUM($B245:V245)-SUM($B264:U264))/$AI11,0)*$AI11,0),SUM($B188:$AP188)-SUM($B264:U264))</f>
        <v>18872</v>
      </c>
      <c r="W264" s="26">
        <f>IF(SUM($B188:$AP188)-SUM($B264:V264)&gt;$AI11,IF((SUM($B245:W245)-SUM($B264:V264))/$AI11&gt;1,ROUNDDOWN((SUM($B245:W245)-SUM($B264:V264))/$AI11,0)*$AI11,0),SUM($B188:$AP188)-SUM($B264:V264))</f>
        <v>21902</v>
      </c>
      <c r="X264" s="26">
        <f>IF(SUM($B188:$AP188)-SUM($B264:W264)&gt;$AI11,IF((SUM($B245:X245)-SUM($B264:W264))/$AI11&gt;1,ROUNDDOWN((SUM($B245:X245)-SUM($B264:W264))/$AI11,0)*$AI11,0),SUM($B188:$AP188)-SUM($B264:W264))</f>
        <v>23676</v>
      </c>
      <c r="Y264" s="26">
        <f>IF(SUM($B188:$AP188)-SUM($B264:X264)&gt;$AI11,IF((SUM($B245:Y245)-SUM($B264:X264))/$AI11&gt;1,ROUNDDOWN((SUM($B245:Y245)-SUM($B264:X264))/$AI11,0)*$AI11,0),SUM($B188:$AP188)-SUM($B264:X264))</f>
        <v>27213</v>
      </c>
      <c r="Z264" s="26">
        <f>IF(SUM($B188:$AP188)-SUM($B264:Y264)&gt;$AI11,IF((SUM($B245:Z245)-SUM($B264:Y264))/$AI11&gt;1,ROUNDDOWN((SUM($B245:Z245)-SUM($B264:Y264))/$AI11,0)*$AI11,0),SUM($B188:$AP188)-SUM($B264:Y264))</f>
        <v>26267</v>
      </c>
      <c r="AA264" s="26">
        <f>IF(SUM($B188:$AP188)-SUM($B264:Z264)&gt;$AI11,IF((SUM($B245:AA245)-SUM($B264:Z264))/$AI11&gt;1,ROUNDDOWN((SUM($B245:AA245)-SUM($B264:Z264))/$AI11,0)*$AI11,0),SUM($B188:$AP188)-SUM($B264:Z264))</f>
        <v>27307</v>
      </c>
      <c r="AB264" s="26">
        <f>IF(SUM($B188:$AP188)-SUM($B264:AA264)&gt;$AI11,IF((SUM($B245:AB245)-SUM($B264:AA264))/$AI11&gt;1,ROUNDDOWN((SUM($B245:AB245)-SUM($B264:AA264))/$AI11,0)*$AI11,0),SUM($B188:$AP188)-SUM($B264:AA264))</f>
        <v>45978</v>
      </c>
      <c r="AC264" s="26">
        <f>IF(SUM($B188:$AP188)-SUM($B264:AB264)&gt;$AI11,IF((SUM($B245:AC245)-SUM($B264:AB264))/$AI11&gt;1,ROUNDDOWN((SUM($B245:AC245)-SUM($B264:AB264))/$AI11,0)*$AI11,0),SUM($B188:$AP188)-SUM($B264:AB264))</f>
        <v>42502</v>
      </c>
      <c r="AD264" s="26">
        <f>IF(SUM($B188:$AP188)-SUM($B264:AC264)&gt;$AI11,IF((SUM($B245:AD245)-SUM($B264:AC264))/$AI11&gt;1,ROUNDDOWN((SUM($B245:AD245)-SUM($B264:AC264))/$AI11,0)*$AI11,0),SUM($B188:$AP188)-SUM($B264:AC264))</f>
        <v>36281</v>
      </c>
      <c r="AE264" s="26">
        <f>IF(SUM($B188:$AP188)-SUM($B264:AD264)&gt;$AI11,IF((SUM($B245:AE245)-SUM($B264:AD264))/$AI11&gt;1,ROUNDDOWN((SUM($B245:AE245)-SUM($B264:AD264))/$AI11,0)*$AI11,0),SUM($B188:$AP188)-SUM($B264:AD264))</f>
        <v>31170</v>
      </c>
      <c r="AF264" s="26">
        <f>IF(SUM($B188:$AP188)-SUM($B264:AE264)&gt;$AI11,IF((SUM($B245:AF245)-SUM($B264:AE264))/$AI11&gt;1,ROUNDDOWN((SUM($B245:AF245)-SUM($B264:AE264))/$AI11,0)*$AI11,0),SUM($B188:$AP188)-SUM($B264:AE264))</f>
        <v>24012</v>
      </c>
      <c r="AG264" s="26">
        <f>IF(SUM($B188:$AP188)-SUM($B264:AF264)&gt;$AI11,IF((SUM($B245:AG245)-SUM($B264:AF264))/$AI11&gt;1,ROUNDDOWN((SUM($B245:AG245)-SUM($B264:AF264))/$AI11,0)*$AI11,0),SUM($B188:$AP188)-SUM($B264:AF264))</f>
        <v>0</v>
      </c>
      <c r="AH264" s="26">
        <f>IF(SUM($B188:$AP188)-SUM($B264:AG264)&gt;$AI11,IF((SUM($B245:AH245)-SUM($B264:AG264))/$AI11&gt;1,ROUNDDOWN((SUM($B245:AH245)-SUM($B264:AG264))/$AI11,0)*$AI11,0),SUM($B188:$AP188)-SUM($B264:AG264))</f>
        <v>0</v>
      </c>
      <c r="AI264" s="26">
        <f>IF(SUM($B188:$AP188)-SUM($B264:AH264)&gt;$AI11,IF((SUM($B245:AI245)-SUM($B264:AH264))/$AI11&gt;1,ROUNDDOWN((SUM($B245:AI245)-SUM($B264:AH264))/$AI11,0)*$AI11,0),SUM($B188:$AP188)-SUM($B264:AH264))</f>
        <v>0</v>
      </c>
      <c r="AJ264" s="26">
        <f>IF(SUM($B188:$AP188)-SUM($B264:AI264)&gt;$AI11,IF((SUM($B245:AJ245)-SUM($B264:AI264))/$AI11&gt;1,ROUNDDOWN((SUM($B245:AJ245)-SUM($B264:AI264))/$AI11,0)*$AI11,0),SUM($B188:$AP188)-SUM($B264:AI264))</f>
        <v>0</v>
      </c>
      <c r="AK264" s="26">
        <f>IF(SUM($B188:$AP188)-SUM($B264:AJ264)&gt;$AI11,IF((SUM($B245:AK245)-SUM($B264:AJ264))/$AI11&gt;1,ROUNDDOWN((SUM($B245:AK245)-SUM($B264:AJ264))/$AI11,0)*$AI11,0),SUM($B188:$AP188)-SUM($B264:AJ264))</f>
        <v>0</v>
      </c>
      <c r="AL264" s="26">
        <f>IF(SUM($B188:$AP188)-SUM($B264:AK264)&gt;$AI11,IF((SUM($B245:AL245)-SUM($B264:AK264))/$AI11&gt;1,ROUNDDOWN((SUM($B245:AL245)-SUM($B264:AK264))/$AI11,0)*$AI11,0),SUM($B188:$AP188)-SUM($B264:AK264))</f>
        <v>0</v>
      </c>
      <c r="AM264" s="26">
        <f>IF(SUM($B188:$AP188)-SUM($B264:AL264)&gt;$AI11,IF((SUM($B245:AM245)-SUM($B264:AL264))/$AI11&gt;1,ROUNDDOWN((SUM($B245:AM245)-SUM($B264:AL264))/$AI11,0)*$AI11,0),SUM($B188:$AP188)-SUM($B264:AL264))</f>
        <v>0</v>
      </c>
      <c r="AN264" s="26">
        <f>IF(SUM($B188:$AP188)-SUM($B264:AM264)&gt;$AI11,IF((SUM($B245:AN245)-SUM($B264:AM264))/$AI11&gt;1,ROUNDDOWN((SUM($B245:AN245)-SUM($B264:AM264))/$AI11,0)*$AI11,0),SUM($B188:$AP188)-SUM($B264:AM264))</f>
        <v>0</v>
      </c>
      <c r="AO264" s="26">
        <f>IF(SUM($B188:$AP188)-SUM($B264:AN264)&gt;$AI11,IF((SUM($B245:AO245)-SUM($B264:AN264))/$AI11&gt;1,ROUNDDOWN((SUM($B245:AO245)-SUM($B264:AN264))/$AI11,0)*$AI11,0),SUM($B188:$AP188)-SUM($B264:AN264))</f>
        <v>0</v>
      </c>
      <c r="AP264" s="26">
        <f>IF(SUM($B188:$AP188)-SUM($B264:AO264)&gt;$AI11,IF((SUM($B245:AP245)-SUM($B264:AO264))/$AI11&gt;1,ROUNDDOWN((SUM($B245:AP245)-SUM($B264:AO264))/$AI11,0)*$AI11,0),SUM($B188:$AP188)-SUM($B264:AO264))</f>
        <v>0</v>
      </c>
    </row>
    <row r="265" spans="1:42">
      <c r="A265" t="s">
        <v>2375</v>
      </c>
      <c r="B265" s="26">
        <v>0</v>
      </c>
      <c r="C265" s="26">
        <f>IF(SUM($B189:$AP189)-SUM($B265:B265)&gt;$AI12,IF((SUM($B246:C246)-SUM($B265:B265))/$AI12&gt;1,ROUNDDOWN((SUM($B246:C246)-SUM($B265:B265))/$AI12,0)*$AI12,0),SUM($B189:$AP189)-SUM($B265:B265))</f>
        <v>0</v>
      </c>
      <c r="D265" s="26">
        <f>IF(SUM($B189:$AP189)-SUM($B265:C265)&gt;$AI12,IF((SUM($B246:D246)-SUM($B265:C265))/$AI12&gt;1,ROUNDDOWN((SUM($B246:D246)-SUM($B265:C265))/$AI12,0)*$AI12,0),SUM($B189:$AP189)-SUM($B265:C265))</f>
        <v>0</v>
      </c>
      <c r="E265" s="26">
        <f>IF(SUM($B189:$AP189)-SUM($B265:D265)&gt;$AI12,IF((SUM($B246:E246)-SUM($B265:D265))/$AI12&gt;1,ROUNDDOWN((SUM($B246:E246)-SUM($B265:D265))/$AI12,0)*$AI12,0),SUM($B189:$AP189)-SUM($B265:D265))</f>
        <v>0</v>
      </c>
      <c r="F265" s="26">
        <f>IF(SUM($B189:$AP189)-SUM($B265:E265)&gt;$AI12,IF((SUM($B246:F246)-SUM($B265:E265))/$AI12&gt;1,ROUNDDOWN((SUM($B246:F246)-SUM($B265:E265))/$AI12,0)*$AI12,0),SUM($B189:$AP189)-SUM($B265:E265))</f>
        <v>0</v>
      </c>
      <c r="G265" s="26">
        <f>IF(SUM($B189:$AP189)-SUM($B265:F265)&gt;$AI12,IF((SUM($B246:G246)-SUM($B265:F265))/$AI12&gt;1,ROUNDDOWN((SUM($B246:G246)-SUM($B265:F265))/$AI12,0)*$AI12,0),SUM($B189:$AP189)-SUM($B265:F265))</f>
        <v>0</v>
      </c>
      <c r="H265" s="26">
        <f>IF(SUM($B189:$AP189)-SUM($B265:G265)&gt;$AI12,IF((SUM($B246:H246)-SUM($B265:G265))/$AI12&gt;1,ROUNDDOWN((SUM($B246:H246)-SUM($B265:G265))/$AI12,0)*$AI12,0),SUM($B189:$AP189)-SUM($B265:G265))</f>
        <v>0</v>
      </c>
      <c r="I265" s="26">
        <f>IF(SUM($B189:$AP189)-SUM($B265:H265)&gt;$AI12,IF((SUM($B246:I246)-SUM($B265:H265))/$AI12&gt;1,ROUNDDOWN((SUM($B246:I246)-SUM($B265:H265))/$AI12,0)*$AI12,0),SUM($B189:$AP189)-SUM($B265:H265))</f>
        <v>0</v>
      </c>
      <c r="J265" s="26">
        <f>IF(SUM($B189:$AP189)-SUM($B265:I265)&gt;$AI12,IF((SUM($B246:J246)-SUM($B265:I265))/$AI12&gt;1,ROUNDDOWN((SUM($B246:J246)-SUM($B265:I265))/$AI12,0)*$AI12,0),SUM($B189:$AP189)-SUM($B265:I265))</f>
        <v>0</v>
      </c>
      <c r="K265" s="26">
        <f>IF(SUM($B189:$AP189)-SUM($B265:J265)&gt;$AI12,IF((SUM($B246:K246)-SUM($B265:J265))/$AI12&gt;1,ROUNDDOWN((SUM($B246:K246)-SUM($B265:J265))/$AI12,0)*$AI12,0),SUM($B189:$AP189)-SUM($B265:J265))</f>
        <v>0</v>
      </c>
      <c r="L265" s="26">
        <f>IF(SUM($B189:$AP189)-SUM($B265:K265)&gt;$AI12,IF((SUM($B246:L246)-SUM($B265:K265))/$AI12&gt;1,ROUNDDOWN((SUM($B246:L246)-SUM($B265:K265))/$AI12,0)*$AI12,0),SUM($B189:$AP189)-SUM($B265:K265))</f>
        <v>0</v>
      </c>
      <c r="M265" s="26">
        <f>IF(SUM($B189:$AP189)-SUM($B265:L265)&gt;$AI12,IF((SUM($B246:M246)-SUM($B265:L265))/$AI12&gt;1,ROUNDDOWN((SUM($B246:M246)-SUM($B265:L265))/$AI12,0)*$AI12,0),SUM($B189:$AP189)-SUM($B265:L265))</f>
        <v>0</v>
      </c>
      <c r="N265" s="26">
        <f>IF(SUM($B189:$AP189)-SUM($B265:M265)&gt;$AI12,IF((SUM($B246:N246)-SUM($B265:M265))/$AI12&gt;1,ROUNDDOWN((SUM($B246:N246)-SUM($B265:M265))/$AI12,0)*$AI12,0),SUM($B189:$AP189)-SUM($B265:M265))</f>
        <v>0</v>
      </c>
      <c r="O265" s="26">
        <f>IF(SUM($B189:$AP189)-SUM($B265:N265)&gt;$AI12,IF((SUM($B246:O246)-SUM($B265:N265))/$AI12&gt;1,ROUNDDOWN((SUM($B246:O246)-SUM($B265:N265))/$AI12,0)*$AI12,0),SUM($B189:$AP189)-SUM($B265:N265))</f>
        <v>0</v>
      </c>
      <c r="P265" s="26">
        <f>IF(SUM($B189:$AP189)-SUM($B265:O265)&gt;$AI12,IF((SUM($B246:P246)-SUM($B265:O265))/$AI12&gt;1,ROUNDDOWN((SUM($B246:P246)-SUM($B265:O265))/$AI12,0)*$AI12,0),SUM($B189:$AP189)-SUM($B265:O265))</f>
        <v>0</v>
      </c>
      <c r="Q265" s="26">
        <f>IF(SUM($B189:$AP189)-SUM($B265:P265)&gt;$AI12,IF((SUM($B246:Q246)-SUM($B265:P265))/$AI12&gt;1,ROUNDDOWN((SUM($B246:Q246)-SUM($B265:P265))/$AI12,0)*$AI12,0),SUM($B189:$AP189)-SUM($B265:P265))</f>
        <v>0</v>
      </c>
      <c r="R265" s="26">
        <f>IF(SUM($B189:$AP189)-SUM($B265:Q265)&gt;$AI12,IF((SUM($B246:R246)-SUM($B265:Q265))/$AI12&gt;1,ROUNDDOWN((SUM($B246:R246)-SUM($B265:Q265))/$AI12,0)*$AI12,0),SUM($B189:$AP189)-SUM($B265:Q265))</f>
        <v>0</v>
      </c>
      <c r="S265" s="26">
        <f>IF(SUM($B189:$AP189)-SUM($B265:R265)&gt;$AI12,IF((SUM($B246:S246)-SUM($B265:R265))/$AI12&gt;1,ROUNDDOWN((SUM($B246:S246)-SUM($B265:R265))/$AI12,0)*$AI12,0),SUM($B189:$AP189)-SUM($B265:R265))</f>
        <v>0</v>
      </c>
      <c r="T265" s="26">
        <f>IF(SUM($B189:$AP189)-SUM($B265:S265)&gt;$AI12,IF((SUM($B246:T246)-SUM($B265:S265))/$AI12&gt;1,ROUNDDOWN((SUM($B246:T246)-SUM($B265:S265))/$AI12,0)*$AI12,0),SUM($B189:$AP189)-SUM($B265:S265))</f>
        <v>0</v>
      </c>
      <c r="U265" s="26">
        <f>IF(SUM($B189:$AP189)-SUM($B265:T265)&gt;$AI12,IF((SUM($B246:U246)-SUM($B265:T265))/$AI12&gt;1,ROUNDDOWN((SUM($B246:U246)-SUM($B265:T265))/$AI12,0)*$AI12,0),SUM($B189:$AP189)-SUM($B265:T265))</f>
        <v>0</v>
      </c>
      <c r="V265" s="26">
        <f>IF(SUM($B189:$AP189)-SUM($B265:U265)&gt;$AI12,IF((SUM($B246:V246)-SUM($B265:U265))/$AI12&gt;1,ROUNDDOWN((SUM($B246:V246)-SUM($B265:U265))/$AI12,0)*$AI12,0),SUM($B189:$AP189)-SUM($B265:U265))</f>
        <v>0</v>
      </c>
      <c r="W265" s="26">
        <f>IF(SUM($B189:$AP189)-SUM($B265:V265)&gt;$AI12,IF((SUM($B246:W246)-SUM($B265:V265))/$AI12&gt;1,ROUNDDOWN((SUM($B246:W246)-SUM($B265:V265))/$AI12,0)*$AI12,0),SUM($B189:$AP189)-SUM($B265:V265))</f>
        <v>0</v>
      </c>
      <c r="X265" s="26">
        <f>IF(SUM($B189:$AP189)-SUM($B265:W265)&gt;$AI12,IF((SUM($B246:X246)-SUM($B265:W265))/$AI12&gt;1,ROUNDDOWN((SUM($B246:X246)-SUM($B265:W265))/$AI12,0)*$AI12,0),SUM($B189:$AP189)-SUM($B265:W265))</f>
        <v>0</v>
      </c>
      <c r="Y265" s="26">
        <f>IF(SUM($B189:$AP189)-SUM($B265:X265)&gt;$AI12,IF((SUM($B246:Y246)-SUM($B265:X265))/$AI12&gt;1,ROUNDDOWN((SUM($B246:Y246)-SUM($B265:X265))/$AI12,0)*$AI12,0),SUM($B189:$AP189)-SUM($B265:X265))</f>
        <v>0</v>
      </c>
      <c r="Z265" s="26">
        <f>IF(SUM($B189:$AP189)-SUM($B265:Y265)&gt;$AI12,IF((SUM($B246:Z246)-SUM($B265:Y265))/$AI12&gt;1,ROUNDDOWN((SUM($B246:Z246)-SUM($B265:Y265))/$AI12,0)*$AI12,0),SUM($B189:$AP189)-SUM($B265:Y265))</f>
        <v>0</v>
      </c>
      <c r="AA265" s="26">
        <f>IF(SUM($B189:$AP189)-SUM($B265:Z265)&gt;$AI12,IF((SUM($B246:AA246)-SUM($B265:Z265))/$AI12&gt;1,ROUNDDOWN((SUM($B246:AA246)-SUM($B265:Z265))/$AI12,0)*$AI12,0),SUM($B189:$AP189)-SUM($B265:Z265))</f>
        <v>100</v>
      </c>
      <c r="AB265" s="26">
        <f>IF(SUM($B189:$AP189)-SUM($B265:AA265)&gt;$AI12,IF((SUM($B246:AB246)-SUM($B265:AA265))/$AI12&gt;1,ROUNDDOWN((SUM($B246:AB246)-SUM($B265:AA265))/$AI12,0)*$AI12,0),SUM($B189:$AP189)-SUM($B265:AA265))</f>
        <v>50</v>
      </c>
      <c r="AC265" s="26">
        <f>IF(SUM($B189:$AP189)-SUM($B265:AB265)&gt;$AI12,IF((SUM($B246:AC246)-SUM($B265:AB265))/$AI12&gt;1,ROUNDDOWN((SUM($B246:AC246)-SUM($B265:AB265))/$AI12,0)*$AI12,0),SUM($B189:$AP189)-SUM($B265:AB265))</f>
        <v>500</v>
      </c>
      <c r="AD265" s="26">
        <f>IF(SUM($B189:$AP189)-SUM($B265:AC265)&gt;$AI12,IF((SUM($B246:AD246)-SUM($B265:AC265))/$AI12&gt;1,ROUNDDOWN((SUM($B246:AD246)-SUM($B265:AC265))/$AI12,0)*$AI12,0),SUM($B189:$AP189)-SUM($B265:AC265))</f>
        <v>900</v>
      </c>
      <c r="AE265" s="26">
        <f>IF(SUM($B189:$AP189)-SUM($B265:AD265)&gt;$AI12,IF((SUM($B246:AE246)-SUM($B265:AD265))/$AI12&gt;1,ROUNDDOWN((SUM($B246:AE246)-SUM($B265:AD265))/$AI12,0)*$AI12,0),SUM($B189:$AP189)-SUM($B265:AD265))</f>
        <v>950</v>
      </c>
      <c r="AF265" s="26">
        <f>IF(SUM($B189:$AP189)-SUM($B265:AE265)&gt;$AI12,IF((SUM($B246:AF246)-SUM($B265:AE265))/$AI12&gt;1,ROUNDDOWN((SUM($B246:AF246)-SUM($B265:AE265))/$AI12,0)*$AI12,0),SUM($B189:$AP189)-SUM($B265:AE265))</f>
        <v>850</v>
      </c>
      <c r="AG265" s="26">
        <f>IF(SUM($B189:$AP189)-SUM($B265:AF265)&gt;$AI12,IF((SUM($B246:AG246)-SUM($B265:AF265))/$AI12&gt;1,ROUNDDOWN((SUM($B246:AG246)-SUM($B265:AF265))/$AI12,0)*$AI12,0),SUM($B189:$AP189)-SUM($B265:AF265))</f>
        <v>900</v>
      </c>
      <c r="AH265" s="26">
        <f>IF(SUM($B189:$AP189)-SUM($B265:AG265)&gt;$AI12,IF((SUM($B246:AH246)-SUM($B265:AG265))/$AI12&gt;1,ROUNDDOWN((SUM($B246:AH246)-SUM($B265:AG265))/$AI12,0)*$AI12,0),SUM($B189:$AP189)-SUM($B265:AG265))</f>
        <v>450</v>
      </c>
      <c r="AI265" s="26">
        <f>IF(SUM($B189:$AP189)-SUM($B265:AH265)&gt;$AI12,IF((SUM($B246:AI246)-SUM($B265:AH265))/$AI12&gt;1,ROUNDDOWN((SUM($B246:AI246)-SUM($B265:AH265))/$AI12,0)*$AI12,0),SUM($B189:$AP189)-SUM($B265:AH265))</f>
        <v>10</v>
      </c>
      <c r="AJ265" s="26">
        <f>IF(SUM($B189:$AP189)-SUM($B265:AI265)&gt;$AI12,IF((SUM($B246:AJ246)-SUM($B265:AI265))/$AI12&gt;1,ROUNDDOWN((SUM($B246:AJ246)-SUM($B265:AI265))/$AI12,0)*$AI12,0),SUM($B189:$AP189)-SUM($B265:AI265))</f>
        <v>0</v>
      </c>
      <c r="AK265" s="26">
        <f>IF(SUM($B189:$AP189)-SUM($B265:AJ265)&gt;$AI12,IF((SUM($B246:AK246)-SUM($B265:AJ265))/$AI12&gt;1,ROUNDDOWN((SUM($B246:AK246)-SUM($B265:AJ265))/$AI12,0)*$AI12,0),SUM($B189:$AP189)-SUM($B265:AJ265))</f>
        <v>0</v>
      </c>
      <c r="AL265" s="26">
        <f>IF(SUM($B189:$AP189)-SUM($B265:AK265)&gt;$AI12,IF((SUM($B246:AL246)-SUM($B265:AK265))/$AI12&gt;1,ROUNDDOWN((SUM($B246:AL246)-SUM($B265:AK265))/$AI12,0)*$AI12,0),SUM($B189:$AP189)-SUM($B265:AK265))</f>
        <v>0</v>
      </c>
      <c r="AM265" s="26">
        <f>IF(SUM($B189:$AP189)-SUM($B265:AL265)&gt;$AI12,IF((SUM($B246:AM246)-SUM($B265:AL265))/$AI12&gt;1,ROUNDDOWN((SUM($B246:AM246)-SUM($B265:AL265))/$AI12,0)*$AI12,0),SUM($B189:$AP189)-SUM($B265:AL265))</f>
        <v>0</v>
      </c>
      <c r="AN265" s="26">
        <f>IF(SUM($B189:$AP189)-SUM($B265:AM265)&gt;$AI12,IF((SUM($B246:AN246)-SUM($B265:AM265))/$AI12&gt;1,ROUNDDOWN((SUM($B246:AN246)-SUM($B265:AM265))/$AI12,0)*$AI12,0),SUM($B189:$AP189)-SUM($B265:AM265))</f>
        <v>0</v>
      </c>
      <c r="AO265" s="26">
        <f>IF(SUM($B189:$AP189)-SUM($B265:AN265)&gt;$AI12,IF((SUM($B246:AO246)-SUM($B265:AN265))/$AI12&gt;1,ROUNDDOWN((SUM($B246:AO246)-SUM($B265:AN265))/$AI12,0)*$AI12,0),SUM($B189:$AP189)-SUM($B265:AN265))</f>
        <v>0</v>
      </c>
      <c r="AP265" s="26">
        <f>IF(SUM($B189:$AP189)-SUM($B265:AO265)&gt;$AI12,IF((SUM($B246:AP246)-SUM($B265:AO265))/$AI12&gt;1,ROUNDDOWN((SUM($B246:AP246)-SUM($B265:AO265))/$AI12,0)*$AI12,0),SUM($B189:$AP189)-SUM($B265:AO265))</f>
        <v>0</v>
      </c>
    </row>
    <row r="266" spans="1:42">
      <c r="A266" t="s">
        <v>2376</v>
      </c>
      <c r="B266" s="26">
        <v>0</v>
      </c>
      <c r="C266" s="26">
        <f>IF(SUM($B190:$AP190)-SUM($B266:B266)&gt;$AI13,IF((SUM($B247:C247)-SUM($B266:B266))/$AI13&gt;1,ROUNDDOWN((SUM($B247:C247)-SUM($B266:B266))/$AI13,0)*$AI13,0),SUM($B190:$AP190)-SUM($B266:B266))</f>
        <v>36</v>
      </c>
      <c r="D266" s="26">
        <f>IF(SUM($B190:$AP190)-SUM($B266:C266)&gt;$AI13,IF((SUM($B247:D247)-SUM($B266:C266))/$AI13&gt;1,ROUNDDOWN((SUM($B247:D247)-SUM($B266:C266))/$AI13,0)*$AI13,0),SUM($B190:$AP190)-SUM($B266:C266))</f>
        <v>30</v>
      </c>
      <c r="E266" s="26">
        <f>IF(SUM($B190:$AP190)-SUM($B266:D266)&gt;$AI13,IF((SUM($B247:E247)-SUM($B266:D266))/$AI13&gt;1,ROUNDDOWN((SUM($B247:E247)-SUM($B266:D266))/$AI13,0)*$AI13,0),SUM($B190:$AP190)-SUM($B266:D266))</f>
        <v>30</v>
      </c>
      <c r="F266" s="26">
        <f>IF(SUM($B190:$AP190)-SUM($B266:E266)&gt;$AI13,IF((SUM($B247:F247)-SUM($B266:E266))/$AI13&gt;1,ROUNDDOWN((SUM($B247:F247)-SUM($B266:E266))/$AI13,0)*$AI13,0),SUM($B190:$AP190)-SUM($B266:E266))</f>
        <v>30</v>
      </c>
      <c r="G266" s="26">
        <f>IF(SUM($B190:$AP190)-SUM($B266:F266)&gt;$AI13,IF((SUM($B247:G247)-SUM($B266:F266))/$AI13&gt;1,ROUNDDOWN((SUM($B247:G247)-SUM($B266:F266))/$AI13,0)*$AI13,0),SUM($B190:$AP190)-SUM($B266:F266))</f>
        <v>24</v>
      </c>
      <c r="H266" s="26">
        <f>IF(SUM($B190:$AP190)-SUM($B266:G266)&gt;$AI13,IF((SUM($B247:H247)-SUM($B266:G266))/$AI13&gt;1,ROUNDDOWN((SUM($B247:H247)-SUM($B266:G266))/$AI13,0)*$AI13,0),SUM($B190:$AP190)-SUM($B266:G266))</f>
        <v>30</v>
      </c>
      <c r="I266" s="26">
        <f>IF(SUM($B190:$AP190)-SUM($B266:H266)&gt;$AI13,IF((SUM($B247:I247)-SUM($B266:H266))/$AI13&gt;1,ROUNDDOWN((SUM($B247:I247)-SUM($B266:H266))/$AI13,0)*$AI13,0),SUM($B190:$AP190)-SUM($B266:H266))</f>
        <v>30</v>
      </c>
      <c r="J266" s="26">
        <f>IF(SUM($B190:$AP190)-SUM($B266:I266)&gt;$AI13,IF((SUM($B247:J247)-SUM($B266:I266))/$AI13&gt;1,ROUNDDOWN((SUM($B247:J247)-SUM($B266:I266))/$AI13,0)*$AI13,0),SUM($B190:$AP190)-SUM($B266:I266))</f>
        <v>30</v>
      </c>
      <c r="K266" s="26">
        <f>IF(SUM($B190:$AP190)-SUM($B266:J266)&gt;$AI13,IF((SUM($B247:K247)-SUM($B266:J266))/$AI13&gt;1,ROUNDDOWN((SUM($B247:K247)-SUM($B266:J266))/$AI13,0)*$AI13,0),SUM($B190:$AP190)-SUM($B266:J266))</f>
        <v>126</v>
      </c>
      <c r="L266" s="26">
        <f>IF(SUM($B190:$AP190)-SUM($B266:K266)&gt;$AI13,IF((SUM($B247:L247)-SUM($B266:K266))/$AI13&gt;1,ROUNDDOWN((SUM($B247:L247)-SUM($B266:K266))/$AI13,0)*$AI13,0),SUM($B190:$AP190)-SUM($B266:K266))</f>
        <v>222</v>
      </c>
      <c r="M266" s="26">
        <f>IF(SUM($B190:$AP190)-SUM($B266:L266)&gt;$AI13,IF((SUM($B247:M247)-SUM($B266:L266))/$AI13&gt;1,ROUNDDOWN((SUM($B247:M247)-SUM($B266:L266))/$AI13,0)*$AI13,0),SUM($B190:$AP190)-SUM($B266:L266))</f>
        <v>318</v>
      </c>
      <c r="N266" s="26">
        <f>IF(SUM($B190:$AP190)-SUM($B266:M266)&gt;$AI13,IF((SUM($B247:N247)-SUM($B266:M266))/$AI13&gt;1,ROUNDDOWN((SUM($B247:N247)-SUM($B266:M266))/$AI13,0)*$AI13,0),SUM($B190:$AP190)-SUM($B266:M266))</f>
        <v>420</v>
      </c>
      <c r="O266" s="26">
        <f>IF(SUM($B190:$AP190)-SUM($B266:N266)&gt;$AI13,IF((SUM($B247:O247)-SUM($B266:N266))/$AI13&gt;1,ROUNDDOWN((SUM($B247:O247)-SUM($B266:N266))/$AI13,0)*$AI13,0),SUM($B190:$AP190)-SUM($B266:N266))</f>
        <v>516</v>
      </c>
      <c r="P266" s="26">
        <f>IF(SUM($B190:$AP190)-SUM($B266:O266)&gt;$AI13,IF((SUM($B247:P247)-SUM($B266:O266))/$AI13&gt;1,ROUNDDOWN((SUM($B247:P247)-SUM($B266:O266))/$AI13,0)*$AI13,0),SUM($B190:$AP190)-SUM($B266:O266))</f>
        <v>516</v>
      </c>
      <c r="Q266" s="26">
        <f>IF(SUM($B190:$AP190)-SUM($B266:P266)&gt;$AI13,IF((SUM($B247:Q247)-SUM($B266:P266))/$AI13&gt;1,ROUNDDOWN((SUM($B247:Q247)-SUM($B266:P266))/$AI13,0)*$AI13,0),SUM($B190:$AP190)-SUM($B266:P266))</f>
        <v>510</v>
      </c>
      <c r="R266" s="26">
        <f>IF(SUM($B190:$AP190)-SUM($B266:Q266)&gt;$AI13,IF((SUM($B247:R247)-SUM($B266:Q266))/$AI13&gt;1,ROUNDDOWN((SUM($B247:R247)-SUM($B266:Q266))/$AI13,0)*$AI13,0),SUM($B190:$AP190)-SUM($B266:Q266))</f>
        <v>516</v>
      </c>
      <c r="S266" s="26">
        <f>IF(SUM($B190:$AP190)-SUM($B266:R266)&gt;$AI13,IF((SUM($B247:S247)-SUM($B266:R266))/$AI13&gt;1,ROUNDDOWN((SUM($B247:S247)-SUM($B266:R266))/$AI13,0)*$AI13,0),SUM($B190:$AP190)-SUM($B266:R266))</f>
        <v>462</v>
      </c>
      <c r="T266" s="26">
        <f>IF(SUM($B190:$AP190)-SUM($B266:S266)&gt;$AI13,IF((SUM($B247:T247)-SUM($B266:S266))/$AI13&gt;1,ROUNDDOWN((SUM($B247:T247)-SUM($B266:S266))/$AI13,0)*$AI13,0),SUM($B190:$AP190)-SUM($B266:S266))</f>
        <v>438</v>
      </c>
      <c r="U266" s="26">
        <f>IF(SUM($B190:$AP190)-SUM($B266:T266)&gt;$AI13,IF((SUM($B247:U247)-SUM($B266:T266))/$AI13&gt;1,ROUNDDOWN((SUM($B247:U247)-SUM($B266:T266))/$AI13,0)*$AI13,0),SUM($B190:$AP190)-SUM($B266:T266))</f>
        <v>474</v>
      </c>
      <c r="V266" s="26">
        <f>IF(SUM($B190:$AP190)-SUM($B266:U266)&gt;$AI13,IF((SUM($B247:V247)-SUM($B266:U266))/$AI13&gt;1,ROUNDDOWN((SUM($B247:V247)-SUM($B266:U266))/$AI13,0)*$AI13,0),SUM($B190:$AP190)-SUM($B266:U266))</f>
        <v>522</v>
      </c>
      <c r="W266" s="26">
        <f>IF(SUM($B190:$AP190)-SUM($B266:V266)&gt;$AI13,IF((SUM($B247:W247)-SUM($B266:V266))/$AI13&gt;1,ROUNDDOWN((SUM($B247:W247)-SUM($B266:V266))/$AI13,0)*$AI13,0),SUM($B190:$AP190)-SUM($B266:V266))</f>
        <v>534</v>
      </c>
      <c r="X266" s="26">
        <f>IF(SUM($B190:$AP190)-SUM($B266:W266)&gt;$AI13,IF((SUM($B247:X247)-SUM($B266:W266))/$AI13&gt;1,ROUNDDOWN((SUM($B247:X247)-SUM($B266:W266))/$AI13,0)*$AI13,0),SUM($B190:$AP190)-SUM($B266:W266))</f>
        <v>630</v>
      </c>
      <c r="Y266" s="26">
        <f>IF(SUM($B190:$AP190)-SUM($B266:X266)&gt;$AI13,IF((SUM($B247:Y247)-SUM($B266:X266))/$AI13&gt;1,ROUNDDOWN((SUM($B247:Y247)-SUM($B266:X266))/$AI13,0)*$AI13,0),SUM($B190:$AP190)-SUM($B266:X266))</f>
        <v>642</v>
      </c>
      <c r="Z266" s="26">
        <f>IF(SUM($B190:$AP190)-SUM($B266:Y266)&gt;$AI13,IF((SUM($B247:Z247)-SUM($B266:Y266))/$AI13&gt;1,ROUNDDOWN((SUM($B247:Z247)-SUM($B266:Y266))/$AI13,0)*$AI13,0),SUM($B190:$AP190)-SUM($B266:Y266))</f>
        <v>636</v>
      </c>
      <c r="AA266" s="26">
        <f>IF(SUM($B190:$AP190)-SUM($B266:Z266)&gt;$AI13,IF((SUM($B247:AA247)-SUM($B266:Z266))/$AI13&gt;1,ROUNDDOWN((SUM($B247:AA247)-SUM($B266:Z266))/$AI13,0)*$AI13,0),SUM($B190:$AP190)-SUM($B266:Z266))</f>
        <v>636</v>
      </c>
      <c r="AB266" s="26">
        <f>IF(SUM($B190:$AP190)-SUM($B266:AA266)&gt;$AI13,IF((SUM($B247:AB247)-SUM($B266:AA266))/$AI13&gt;1,ROUNDDOWN((SUM($B247:AB247)-SUM($B266:AA266))/$AI13,0)*$AI13,0),SUM($B190:$AP190)-SUM($B266:AA266))</f>
        <v>720</v>
      </c>
      <c r="AC266" s="26">
        <f>IF(SUM($B190:$AP190)-SUM($B266:AB266)&gt;$AI13,IF((SUM($B247:AC247)-SUM($B266:AB266))/$AI13&gt;1,ROUNDDOWN((SUM($B247:AC247)-SUM($B266:AB266))/$AI13,0)*$AI13,0),SUM($B190:$AP190)-SUM($B266:AB266))</f>
        <v>810</v>
      </c>
      <c r="AD266" s="26">
        <f>IF(SUM($B190:$AP190)-SUM($B266:AC266)&gt;$AI13,IF((SUM($B247:AD247)-SUM($B266:AC266))/$AI13&gt;1,ROUNDDOWN((SUM($B247:AD247)-SUM($B266:AC266))/$AI13,0)*$AI13,0),SUM($B190:$AP190)-SUM($B266:AC266))</f>
        <v>1164</v>
      </c>
      <c r="AE266" s="26">
        <f>IF(SUM($B190:$AP190)-SUM($B266:AD266)&gt;$AI13,IF((SUM($B247:AE247)-SUM($B266:AD266))/$AI13&gt;1,ROUNDDOWN((SUM($B247:AE247)-SUM($B266:AD266))/$AI13,0)*$AI13,0),SUM($B190:$AP190)-SUM($B266:AD266))</f>
        <v>1488</v>
      </c>
      <c r="AF266" s="26">
        <f>IF(SUM($B190:$AP190)-SUM($B266:AE266)&gt;$AI13,IF((SUM($B247:AF247)-SUM($B266:AE266))/$AI13&gt;1,ROUNDDOWN((SUM($B247:AF247)-SUM($B266:AE266))/$AI13,0)*$AI13,0),SUM($B190:$AP190)-SUM($B266:AE266))</f>
        <v>1548</v>
      </c>
      <c r="AG266" s="26">
        <f>IF(SUM($B190:$AP190)-SUM($B266:AF266)&gt;$AI13,IF((SUM($B247:AG247)-SUM($B266:AF266))/$AI13&gt;1,ROUNDDOWN((SUM($B247:AG247)-SUM($B266:AF266))/$AI13,0)*$AI13,0),SUM($B190:$AP190)-SUM($B266:AF266))</f>
        <v>1596</v>
      </c>
      <c r="AH266" s="26">
        <f>IF(SUM($B190:$AP190)-SUM($B266:AG266)&gt;$AI13,IF((SUM($B247:AH247)-SUM($B266:AG266))/$AI13&gt;1,ROUNDDOWN((SUM($B247:AH247)-SUM($B266:AG266))/$AI13,0)*$AI13,0),SUM($B190:$AP190)-SUM($B266:AG266))</f>
        <v>1362</v>
      </c>
      <c r="AI266" s="26">
        <f>IF(SUM($B190:$AP190)-SUM($B266:AH266)&gt;$AI13,IF((SUM($B247:AI247)-SUM($B266:AH266))/$AI13&gt;1,ROUNDDOWN((SUM($B247:AI247)-SUM($B266:AH266))/$AI13,0)*$AI13,0),SUM($B190:$AP190)-SUM($B266:AH266))</f>
        <v>912</v>
      </c>
      <c r="AJ266" s="26">
        <f>IF(SUM($B190:$AP190)-SUM($B266:AI266)&gt;$AI13,IF((SUM($B247:AJ247)-SUM($B266:AI266))/$AI13&gt;1,ROUNDDOWN((SUM($B247:AJ247)-SUM($B266:AI266))/$AI13,0)*$AI13,0),SUM($B190:$AP190)-SUM($B266:AI266))</f>
        <v>456</v>
      </c>
      <c r="AK266" s="26">
        <f>IF(SUM($B190:$AP190)-SUM($B266:AJ266)&gt;$AI13,IF((SUM($B247:AK247)-SUM($B266:AJ266))/$AI13&gt;1,ROUNDDOWN((SUM($B247:AK247)-SUM($B266:AJ266))/$AI13,0)*$AI13,0),SUM($B190:$AP190)-SUM($B266:AJ266))</f>
        <v>234</v>
      </c>
      <c r="AL266" s="26">
        <f>IF(SUM($B190:$AP190)-SUM($B266:AK266)&gt;$AI13,IF((SUM($B247:AL247)-SUM($B266:AK266))/$AI13&gt;1,ROUNDDOWN((SUM($B247:AL247)-SUM($B266:AK266))/$AI13,0)*$AI13,0),SUM($B190:$AP190)-SUM($B266:AK266))</f>
        <v>0</v>
      </c>
      <c r="AM266" s="26">
        <f>IF(SUM($B190:$AP190)-SUM($B266:AL266)&gt;$AI13,IF((SUM($B247:AM247)-SUM($B266:AL266))/$AI13&gt;1,ROUNDDOWN((SUM($B247:AM247)-SUM($B266:AL266))/$AI13,0)*$AI13,0),SUM($B190:$AP190)-SUM($B266:AL266))</f>
        <v>0</v>
      </c>
      <c r="AN266" s="26">
        <f>IF(SUM($B190:$AP190)-SUM($B266:AM266)&gt;$AI13,IF((SUM($B247:AN247)-SUM($B266:AM266))/$AI13&gt;1,ROUNDDOWN((SUM($B247:AN247)-SUM($B266:AM266))/$AI13,0)*$AI13,0),SUM($B190:$AP190)-SUM($B266:AM266))</f>
        <v>0</v>
      </c>
      <c r="AO266" s="26">
        <f>IF(SUM($B190:$AP190)-SUM($B266:AN266)&gt;$AI13,IF((SUM($B247:AO247)-SUM($B266:AN266))/$AI13&gt;1,ROUNDDOWN((SUM($B247:AO247)-SUM($B266:AN266))/$AI13,0)*$AI13,0),SUM($B190:$AP190)-SUM($B266:AN266))</f>
        <v>0</v>
      </c>
      <c r="AP266" s="26">
        <f>IF(SUM($B190:$AP190)-SUM($B266:AO266)&gt;$AI13,IF((SUM($B247:AP247)-SUM($B266:AO266))/$AI13&gt;1,ROUNDDOWN((SUM($B247:AP247)-SUM($B266:AO266))/$AI13,0)*$AI13,0),SUM($B190:$AP190)-SUM($B266:AO266))</f>
        <v>0</v>
      </c>
    </row>
    <row r="267" spans="1:42">
      <c r="A267" t="s">
        <v>2377</v>
      </c>
      <c r="B267" s="26">
        <v>0</v>
      </c>
      <c r="C267" s="26">
        <f>IF(SUM($B191:$AP191)-SUM($B267:B267)&gt;$AI14,IF((SUM($B248:C248)-SUM($B267:B267))/$AI14&gt;1,ROUNDDOWN((SUM($B248:C248)-SUM($B267:B267))/$AI14,0)*$AI14,0),SUM($B191:$AP191)-SUM($B267:B267))</f>
        <v>65</v>
      </c>
      <c r="D267" s="26">
        <f>IF(SUM($B191:$AP191)-SUM($B267:C267)&gt;$AI14,IF((SUM($B248:D248)-SUM($B267:C267))/$AI14&gt;1,ROUNDDOWN((SUM($B248:D248)-SUM($B267:C267))/$AI14,0)*$AI14,0),SUM($B191:$AP191)-SUM($B267:C267))</f>
        <v>50</v>
      </c>
      <c r="E267" s="26">
        <f>IF(SUM($B191:$AP191)-SUM($B267:D267)&gt;$AI14,IF((SUM($B248:E248)-SUM($B267:D267))/$AI14&gt;1,ROUNDDOWN((SUM($B248:E248)-SUM($B267:D267))/$AI14,0)*$AI14,0),SUM($B191:$AP191)-SUM($B267:D267))</f>
        <v>45</v>
      </c>
      <c r="F267" s="26">
        <f>IF(SUM($B191:$AP191)-SUM($B267:E267)&gt;$AI14,IF((SUM($B248:F248)-SUM($B267:E267))/$AI14&gt;1,ROUNDDOWN((SUM($B248:F248)-SUM($B267:E267))/$AI14,0)*$AI14,0),SUM($B191:$AP191)-SUM($B267:E267))</f>
        <v>50</v>
      </c>
      <c r="G267" s="26">
        <f>IF(SUM($B191:$AP191)-SUM($B267:F267)&gt;$AI14,IF((SUM($B248:G248)-SUM($B267:F267))/$AI14&gt;1,ROUNDDOWN((SUM($B248:G248)-SUM($B267:F267))/$AI14,0)*$AI14,0),SUM($B191:$AP191)-SUM($B267:F267))</f>
        <v>45</v>
      </c>
      <c r="H267" s="26">
        <f>IF(SUM($B191:$AP191)-SUM($B267:G267)&gt;$AI14,IF((SUM($B248:H248)-SUM($B267:G267))/$AI14&gt;1,ROUNDDOWN((SUM($B248:H248)-SUM($B267:G267))/$AI14,0)*$AI14,0),SUM($B191:$AP191)-SUM($B267:G267))</f>
        <v>50</v>
      </c>
      <c r="I267" s="26">
        <f>IF(SUM($B191:$AP191)-SUM($B267:H267)&gt;$AI14,IF((SUM($B248:I248)-SUM($B267:H267))/$AI14&gt;1,ROUNDDOWN((SUM($B248:I248)-SUM($B267:H267))/$AI14,0)*$AI14,0),SUM($B191:$AP191)-SUM($B267:H267))</f>
        <v>45</v>
      </c>
      <c r="J267" s="26">
        <f>IF(SUM($B191:$AP191)-SUM($B267:I267)&gt;$AI14,IF((SUM($B248:J248)-SUM($B267:I267))/$AI14&gt;1,ROUNDDOWN((SUM($B248:J248)-SUM($B267:I267))/$AI14,0)*$AI14,0),SUM($B191:$AP191)-SUM($B267:I267))</f>
        <v>50</v>
      </c>
      <c r="K267" s="26">
        <f>IF(SUM($B191:$AP191)-SUM($B267:J267)&gt;$AI14,IF((SUM($B248:K248)-SUM($B267:J267))/$AI14&gt;1,ROUNDDOWN((SUM($B248:K248)-SUM($B267:J267))/$AI14,0)*$AI14,0),SUM($B191:$AP191)-SUM($B267:J267))</f>
        <v>40</v>
      </c>
      <c r="L267" s="26">
        <f>IF(SUM($B191:$AP191)-SUM($B267:K267)&gt;$AI14,IF((SUM($B248:L248)-SUM($B267:K267))/$AI14&gt;1,ROUNDDOWN((SUM($B248:L248)-SUM($B267:K267))/$AI14,0)*$AI14,0),SUM($B191:$AP191)-SUM($B267:K267))</f>
        <v>25</v>
      </c>
      <c r="M267" s="26">
        <f>IF(SUM($B191:$AP191)-SUM($B267:L267)&gt;$AI14,IF((SUM($B248:M248)-SUM($B267:L267))/$AI14&gt;1,ROUNDDOWN((SUM($B248:M248)-SUM($B267:L267))/$AI14,0)*$AI14,0),SUM($B191:$AP191)-SUM($B267:L267))</f>
        <v>20</v>
      </c>
      <c r="N267" s="26">
        <f>IF(SUM($B191:$AP191)-SUM($B267:M267)&gt;$AI14,IF((SUM($B248:N248)-SUM($B267:M267))/$AI14&gt;1,ROUNDDOWN((SUM($B248:N248)-SUM($B267:M267))/$AI14,0)*$AI14,0),SUM($B191:$AP191)-SUM($B267:M267))</f>
        <v>10</v>
      </c>
      <c r="O267" s="26">
        <f>IF(SUM($B191:$AP191)-SUM($B267:N267)&gt;$AI14,IF((SUM($B248:O248)-SUM($B267:N267))/$AI14&gt;1,ROUNDDOWN((SUM($B248:O248)-SUM($B267:N267))/$AI14,0)*$AI14,0),SUM($B191:$AP191)-SUM($B267:N267))</f>
        <v>0</v>
      </c>
      <c r="P267" s="26">
        <f>IF(SUM($B191:$AP191)-SUM($B267:O267)&gt;$AI14,IF((SUM($B248:P248)-SUM($B267:O267))/$AI14&gt;1,ROUNDDOWN((SUM($B248:P248)-SUM($B267:O267))/$AI14,0)*$AI14,0),SUM($B191:$AP191)-SUM($B267:O267))</f>
        <v>0</v>
      </c>
      <c r="Q267" s="26">
        <f>IF(SUM($B191:$AP191)-SUM($B267:P267)&gt;$AI14,IF((SUM($B248:Q248)-SUM($B267:P267))/$AI14&gt;1,ROUNDDOWN((SUM($B248:Q248)-SUM($B267:P267))/$AI14,0)*$AI14,0),SUM($B191:$AP191)-SUM($B267:P267))</f>
        <v>0</v>
      </c>
      <c r="R267" s="26">
        <f>IF(SUM($B191:$AP191)-SUM($B267:Q267)&gt;$AI14,IF((SUM($B248:R248)-SUM($B267:Q267))/$AI14&gt;1,ROUNDDOWN((SUM($B248:R248)-SUM($B267:Q267))/$AI14,0)*$AI14,0),SUM($B191:$AP191)-SUM($B267:Q267))</f>
        <v>0</v>
      </c>
      <c r="S267" s="26">
        <f>IF(SUM($B191:$AP191)-SUM($B267:R267)&gt;$AI14,IF((SUM($B248:S248)-SUM($B267:R267))/$AI14&gt;1,ROUNDDOWN((SUM($B248:S248)-SUM($B267:R267))/$AI14,0)*$AI14,0),SUM($B191:$AP191)-SUM($B267:R267))</f>
        <v>0</v>
      </c>
      <c r="T267" s="26">
        <f>IF(SUM($B191:$AP191)-SUM($B267:S267)&gt;$AI14,IF((SUM($B248:T248)-SUM($B267:S267))/$AI14&gt;1,ROUNDDOWN((SUM($B248:T248)-SUM($B267:S267))/$AI14,0)*$AI14,0),SUM($B191:$AP191)-SUM($B267:S267))</f>
        <v>0</v>
      </c>
      <c r="U267" s="26">
        <f>IF(SUM($B191:$AP191)-SUM($B267:T267)&gt;$AI14,IF((SUM($B248:U248)-SUM($B267:T267))/$AI14&gt;1,ROUNDDOWN((SUM($B248:U248)-SUM($B267:T267))/$AI14,0)*$AI14,0),SUM($B191:$AP191)-SUM($B267:T267))</f>
        <v>0</v>
      </c>
      <c r="V267" s="26">
        <f>IF(SUM($B191:$AP191)-SUM($B267:U267)&gt;$AI14,IF((SUM($B248:V248)-SUM($B267:U267))/$AI14&gt;1,ROUNDDOWN((SUM($B248:V248)-SUM($B267:U267))/$AI14,0)*$AI14,0),SUM($B191:$AP191)-SUM($B267:U267))</f>
        <v>0</v>
      </c>
      <c r="W267" s="26">
        <f>IF(SUM($B191:$AP191)-SUM($B267:V267)&gt;$AI14,IF((SUM($B248:W248)-SUM($B267:V267))/$AI14&gt;1,ROUNDDOWN((SUM($B248:W248)-SUM($B267:V267))/$AI14,0)*$AI14,0),SUM($B191:$AP191)-SUM($B267:V267))</f>
        <v>0</v>
      </c>
      <c r="X267" s="26">
        <f>IF(SUM($B191:$AP191)-SUM($B267:W267)&gt;$AI14,IF((SUM($B248:X248)-SUM($B267:W267))/$AI14&gt;1,ROUNDDOWN((SUM($B248:X248)-SUM($B267:W267))/$AI14,0)*$AI14,0),SUM($B191:$AP191)-SUM($B267:W267))</f>
        <v>0</v>
      </c>
      <c r="Y267" s="26">
        <f>IF(SUM($B191:$AP191)-SUM($B267:X267)&gt;$AI14,IF((SUM($B248:Y248)-SUM($B267:X267))/$AI14&gt;1,ROUNDDOWN((SUM($B248:Y248)-SUM($B267:X267))/$AI14,0)*$AI14,0),SUM($B191:$AP191)-SUM($B267:X267))</f>
        <v>0</v>
      </c>
      <c r="Z267" s="26">
        <f>IF(SUM($B191:$AP191)-SUM($B267:Y267)&gt;$AI14,IF((SUM($B248:Z248)-SUM($B267:Y267))/$AI14&gt;1,ROUNDDOWN((SUM($B248:Z248)-SUM($B267:Y267))/$AI14,0)*$AI14,0),SUM($B191:$AP191)-SUM($B267:Y267))</f>
        <v>0</v>
      </c>
      <c r="AA267" s="26">
        <f>IF(SUM($B191:$AP191)-SUM($B267:Z267)&gt;$AI14,IF((SUM($B248:AA248)-SUM($B267:Z267))/$AI14&gt;1,ROUNDDOWN((SUM($B248:AA248)-SUM($B267:Z267))/$AI14,0)*$AI14,0),SUM($B191:$AP191)-SUM($B267:Z267))</f>
        <v>0</v>
      </c>
      <c r="AB267" s="26">
        <f>IF(SUM($B191:$AP191)-SUM($B267:AA267)&gt;$AI14,IF((SUM($B248:AB248)-SUM($B267:AA267))/$AI14&gt;1,ROUNDDOWN((SUM($B248:AB248)-SUM($B267:AA267))/$AI14,0)*$AI14,0),SUM($B191:$AP191)-SUM($B267:AA267))</f>
        <v>0</v>
      </c>
      <c r="AC267" s="26">
        <f>IF(SUM($B191:$AP191)-SUM($B267:AB267)&gt;$AI14,IF((SUM($B248:AC248)-SUM($B267:AB267))/$AI14&gt;1,ROUNDDOWN((SUM($B248:AC248)-SUM($B267:AB267))/$AI14,0)*$AI14,0),SUM($B191:$AP191)-SUM($B267:AB267))</f>
        <v>0</v>
      </c>
      <c r="AD267" s="26">
        <f>IF(SUM($B191:$AP191)-SUM($B267:AC267)&gt;$AI14,IF((SUM($B248:AD248)-SUM($B267:AC267))/$AI14&gt;1,ROUNDDOWN((SUM($B248:AD248)-SUM($B267:AC267))/$AI14,0)*$AI14,0),SUM($B191:$AP191)-SUM($B267:AC267))</f>
        <v>0</v>
      </c>
      <c r="AE267" s="26">
        <f>IF(SUM($B191:$AP191)-SUM($B267:AD267)&gt;$AI14,IF((SUM($B248:AE248)-SUM($B267:AD267))/$AI14&gt;1,ROUNDDOWN((SUM($B248:AE248)-SUM($B267:AD267))/$AI14,0)*$AI14,0),SUM($B191:$AP191)-SUM($B267:AD267))</f>
        <v>0</v>
      </c>
      <c r="AF267" s="26">
        <f>IF(SUM($B191:$AP191)-SUM($B267:AE267)&gt;$AI14,IF((SUM($B248:AF248)-SUM($B267:AE267))/$AI14&gt;1,ROUNDDOWN((SUM($B248:AF248)-SUM($B267:AE267))/$AI14,0)*$AI14,0),SUM($B191:$AP191)-SUM($B267:AE267))</f>
        <v>0</v>
      </c>
      <c r="AG267" s="26">
        <f>IF(SUM($B191:$AP191)-SUM($B267:AF267)&gt;$AI14,IF((SUM($B248:AG248)-SUM($B267:AF267))/$AI14&gt;1,ROUNDDOWN((SUM($B248:AG248)-SUM($B267:AF267))/$AI14,0)*$AI14,0),SUM($B191:$AP191)-SUM($B267:AF267))</f>
        <v>0</v>
      </c>
      <c r="AH267" s="26">
        <f>IF(SUM($B191:$AP191)-SUM($B267:AG267)&gt;$AI14,IF((SUM($B248:AH248)-SUM($B267:AG267))/$AI14&gt;1,ROUNDDOWN((SUM($B248:AH248)-SUM($B267:AG267))/$AI14,0)*$AI14,0),SUM($B191:$AP191)-SUM($B267:AG267))</f>
        <v>0</v>
      </c>
      <c r="AI267" s="26">
        <f>IF(SUM($B191:$AP191)-SUM($B267:AH267)&gt;$AI14,IF((SUM($B248:AI248)-SUM($B267:AH267))/$AI14&gt;1,ROUNDDOWN((SUM($B248:AI248)-SUM($B267:AH267))/$AI14,0)*$AI14,0),SUM($B191:$AP191)-SUM($B267:AH267))</f>
        <v>0</v>
      </c>
      <c r="AJ267" s="26">
        <f>IF(SUM($B191:$AP191)-SUM($B267:AI267)&gt;$AI14,IF((SUM($B248:AJ248)-SUM($B267:AI267))/$AI14&gt;1,ROUNDDOWN((SUM($B248:AJ248)-SUM($B267:AI267))/$AI14,0)*$AI14,0),SUM($B191:$AP191)-SUM($B267:AI267))</f>
        <v>0</v>
      </c>
      <c r="AK267" s="26">
        <f>IF(SUM($B191:$AP191)-SUM($B267:AJ267)&gt;$AI14,IF((SUM($B248:AK248)-SUM($B267:AJ267))/$AI14&gt;1,ROUNDDOWN((SUM($B248:AK248)-SUM($B267:AJ267))/$AI14,0)*$AI14,0),SUM($B191:$AP191)-SUM($B267:AJ267))</f>
        <v>0</v>
      </c>
      <c r="AL267" s="26">
        <f>IF(SUM($B191:$AP191)-SUM($B267:AK267)&gt;$AI14,IF((SUM($B248:AL248)-SUM($B267:AK267))/$AI14&gt;1,ROUNDDOWN((SUM($B248:AL248)-SUM($B267:AK267))/$AI14,0)*$AI14,0),SUM($B191:$AP191)-SUM($B267:AK267))</f>
        <v>0</v>
      </c>
      <c r="AM267" s="26">
        <f>IF(SUM($B191:$AP191)-SUM($B267:AL267)&gt;$AI14,IF((SUM($B248:AM248)-SUM($B267:AL267))/$AI14&gt;1,ROUNDDOWN((SUM($B248:AM248)-SUM($B267:AL267))/$AI14,0)*$AI14,0),SUM($B191:$AP191)-SUM($B267:AL267))</f>
        <v>0</v>
      </c>
      <c r="AN267" s="26">
        <f>IF(SUM($B191:$AP191)-SUM($B267:AM267)&gt;$AI14,IF((SUM($B248:AN248)-SUM($B267:AM267))/$AI14&gt;1,ROUNDDOWN((SUM($B248:AN248)-SUM($B267:AM267))/$AI14,0)*$AI14,0),SUM($B191:$AP191)-SUM($B267:AM267))</f>
        <v>0</v>
      </c>
      <c r="AO267" s="26">
        <f>IF(SUM($B191:$AP191)-SUM($B267:AN267)&gt;$AI14,IF((SUM($B248:AO248)-SUM($B267:AN267))/$AI14&gt;1,ROUNDDOWN((SUM($B248:AO248)-SUM($B267:AN267))/$AI14,0)*$AI14,0),SUM($B191:$AP191)-SUM($B267:AN267))</f>
        <v>0</v>
      </c>
      <c r="AP267" s="26">
        <f>IF(SUM($B191:$AP191)-SUM($B267:AO267)&gt;$AI14,IF((SUM($B248:AP248)-SUM($B267:AO267))/$AI14&gt;1,ROUNDDOWN((SUM($B248:AP248)-SUM($B267:AO267))/$AI14,0)*$AI14,0),SUM($B191:$AP191)-SUM($B267:AO267))</f>
        <v>0</v>
      </c>
    </row>
    <row r="268" spans="1:42">
      <c r="A268" t="s">
        <v>2378</v>
      </c>
      <c r="B268" s="26">
        <v>0</v>
      </c>
      <c r="C268" s="26">
        <f>IF(SUM($B192:$AP192)-SUM($B268:B268)&gt;$AI15,IF((SUM($B249:C249)-SUM($B268:B268))/$AI15&gt;1,ROUNDDOWN((SUM($B249:C249)-SUM($B268:B268))/$AI15,0)*$AI15,0),SUM($B192:$AP192)-SUM($B268:B268))</f>
        <v>20</v>
      </c>
      <c r="D268" s="26">
        <f>IF(SUM($B192:$AP192)-SUM($B268:C268)&gt;$AI15,IF((SUM($B249:D249)-SUM($B268:C268))/$AI15&gt;1,ROUNDDOWN((SUM($B249:D249)-SUM($B268:C268))/$AI15,0)*$AI15,0),SUM($B192:$AP192)-SUM($B268:C268))</f>
        <v>20</v>
      </c>
      <c r="E268" s="26">
        <f>IF(SUM($B192:$AP192)-SUM($B268:D268)&gt;$AI15,IF((SUM($B249:E249)-SUM($B268:D268))/$AI15&gt;1,ROUNDDOWN((SUM($B249:E249)-SUM($B268:D268))/$AI15,0)*$AI15,0),SUM($B192:$AP192)-SUM($B268:D268))</f>
        <v>25</v>
      </c>
      <c r="F268" s="26">
        <f>IF(SUM($B192:$AP192)-SUM($B268:E268)&gt;$AI15,IF((SUM($B249:F249)-SUM($B268:E268))/$AI15&gt;1,ROUNDDOWN((SUM($B249:F249)-SUM($B268:E268))/$AI15,0)*$AI15,0),SUM($B192:$AP192)-SUM($B268:E268))</f>
        <v>30</v>
      </c>
      <c r="G268" s="26">
        <f>IF(SUM($B192:$AP192)-SUM($B268:F268)&gt;$AI15,IF((SUM($B249:G249)-SUM($B268:F268))/$AI15&gt;1,ROUNDDOWN((SUM($B249:G249)-SUM($B268:F268))/$AI15,0)*$AI15,0),SUM($B192:$AP192)-SUM($B268:F268))</f>
        <v>25</v>
      </c>
      <c r="H268" s="26">
        <f>IF(SUM($B192:$AP192)-SUM($B268:G268)&gt;$AI15,IF((SUM($B249:H249)-SUM($B268:G268))/$AI15&gt;1,ROUNDDOWN((SUM($B249:H249)-SUM($B268:G268))/$AI15,0)*$AI15,0),SUM($B192:$AP192)-SUM($B268:G268))</f>
        <v>30</v>
      </c>
      <c r="I268" s="26">
        <f>IF(SUM($B192:$AP192)-SUM($B268:H268)&gt;$AI15,IF((SUM($B249:I249)-SUM($B268:H268))/$AI15&gt;1,ROUNDDOWN((SUM($B249:I249)-SUM($B268:H268))/$AI15,0)*$AI15,0),SUM($B192:$AP192)-SUM($B268:H268))</f>
        <v>30</v>
      </c>
      <c r="J268" s="26">
        <f>IF(SUM($B192:$AP192)-SUM($B268:I268)&gt;$AI15,IF((SUM($B249:J249)-SUM($B268:I268))/$AI15&gt;1,ROUNDDOWN((SUM($B249:J249)-SUM($B268:I268))/$AI15,0)*$AI15,0),SUM($B192:$AP192)-SUM($B268:I268))</f>
        <v>25</v>
      </c>
      <c r="K268" s="26">
        <f>IF(SUM($B192:$AP192)-SUM($B268:J268)&gt;$AI15,IF((SUM($B249:K249)-SUM($B268:J268))/$AI15&gt;1,ROUNDDOWN((SUM($B249:K249)-SUM($B268:J268))/$AI15,0)*$AI15,0),SUM($B192:$AP192)-SUM($B268:J268))</f>
        <v>30</v>
      </c>
      <c r="L268" s="26">
        <f>IF(SUM($B192:$AP192)-SUM($B268:K268)&gt;$AI15,IF((SUM($B249:L249)-SUM($B268:K268))/$AI15&gt;1,ROUNDDOWN((SUM($B249:L249)-SUM($B268:K268))/$AI15,0)*$AI15,0),SUM($B192:$AP192)-SUM($B268:K268))</f>
        <v>25</v>
      </c>
      <c r="M268" s="26">
        <f>IF(SUM($B192:$AP192)-SUM($B268:L268)&gt;$AI15,IF((SUM($B249:M249)-SUM($B268:L268))/$AI15&gt;1,ROUNDDOWN((SUM($B249:M249)-SUM($B268:L268))/$AI15,0)*$AI15,0),SUM($B192:$AP192)-SUM($B268:L268))</f>
        <v>20</v>
      </c>
      <c r="N268" s="26">
        <f>IF(SUM($B192:$AP192)-SUM($B268:M268)&gt;$AI15,IF((SUM($B249:N249)-SUM($B268:M268))/$AI15&gt;1,ROUNDDOWN((SUM($B249:N249)-SUM($B268:M268))/$AI15,0)*$AI15,0),SUM($B192:$AP192)-SUM($B268:M268))</f>
        <v>15</v>
      </c>
      <c r="O268" s="26">
        <f>IF(SUM($B192:$AP192)-SUM($B268:N268)&gt;$AI15,IF((SUM($B249:O249)-SUM($B268:N268))/$AI15&gt;1,ROUNDDOWN((SUM($B249:O249)-SUM($B268:N268))/$AI15,0)*$AI15,0),SUM($B192:$AP192)-SUM($B268:N268))</f>
        <v>15</v>
      </c>
      <c r="P268" s="26">
        <f>IF(SUM($B192:$AP192)-SUM($B268:O268)&gt;$AI15,IF((SUM($B249:P249)-SUM($B268:O268))/$AI15&gt;1,ROUNDDOWN((SUM($B249:P249)-SUM($B268:O268))/$AI15,0)*$AI15,0),SUM($B192:$AP192)-SUM($B268:O268))</f>
        <v>10</v>
      </c>
      <c r="Q268" s="26">
        <f>IF(SUM($B192:$AP192)-SUM($B268:P268)&gt;$AI15,IF((SUM($B249:Q249)-SUM($B268:P268))/$AI15&gt;1,ROUNDDOWN((SUM($B249:Q249)-SUM($B268:P268))/$AI15,0)*$AI15,0),SUM($B192:$AP192)-SUM($B268:P268))</f>
        <v>5</v>
      </c>
      <c r="R268" s="26">
        <f>IF(SUM($B192:$AP192)-SUM($B268:Q268)&gt;$AI15,IF((SUM($B249:R249)-SUM($B268:Q268))/$AI15&gt;1,ROUNDDOWN((SUM($B249:R249)-SUM($B268:Q268))/$AI15,0)*$AI15,0),SUM($B192:$AP192)-SUM($B268:Q268))</f>
        <v>15</v>
      </c>
      <c r="S268" s="26">
        <f>IF(SUM($B192:$AP192)-SUM($B268:R268)&gt;$AI15,IF((SUM($B249:S249)-SUM($B268:R268))/$AI15&gt;1,ROUNDDOWN((SUM($B249:S249)-SUM($B268:R268))/$AI15,0)*$AI15,0),SUM($B192:$AP192)-SUM($B268:R268))</f>
        <v>10</v>
      </c>
      <c r="T268" s="26">
        <f>IF(SUM($B192:$AP192)-SUM($B268:S268)&gt;$AI15,IF((SUM($B249:T249)-SUM($B268:S268))/$AI15&gt;1,ROUNDDOWN((SUM($B249:T249)-SUM($B268:S268))/$AI15,0)*$AI15,0),SUM($B192:$AP192)-SUM($B268:S268))</f>
        <v>15</v>
      </c>
      <c r="U268" s="26">
        <f>IF(SUM($B192:$AP192)-SUM($B268:T268)&gt;$AI15,IF((SUM($B249:U249)-SUM($B268:T268))/$AI15&gt;1,ROUNDDOWN((SUM($B249:U249)-SUM($B268:T268))/$AI15,0)*$AI15,0),SUM($B192:$AP192)-SUM($B268:T268))</f>
        <v>10</v>
      </c>
      <c r="V268" s="26">
        <f>IF(SUM($B192:$AP192)-SUM($B268:U268)&gt;$AI15,IF((SUM($B249:V249)-SUM($B268:U268))/$AI15&gt;1,ROUNDDOWN((SUM($B249:V249)-SUM($B268:U268))/$AI15,0)*$AI15,0),SUM($B192:$AP192)-SUM($B268:U268))</f>
        <v>10</v>
      </c>
      <c r="W268" s="26">
        <f>IF(SUM($B192:$AP192)-SUM($B268:V268)&gt;$AI15,IF((SUM($B249:W249)-SUM($B268:V268))/$AI15&gt;1,ROUNDDOWN((SUM($B249:W249)-SUM($B268:V268))/$AI15,0)*$AI15,0),SUM($B192:$AP192)-SUM($B268:V268))</f>
        <v>5</v>
      </c>
      <c r="X268" s="26">
        <f>IF(SUM($B192:$AP192)-SUM($B268:W268)&gt;$AI15,IF((SUM($B249:X249)-SUM($B268:W268))/$AI15&gt;1,ROUNDDOWN((SUM($B249:X249)-SUM($B268:W268))/$AI15,0)*$AI15,0),SUM($B192:$AP192)-SUM($B268:W268))</f>
        <v>0</v>
      </c>
      <c r="Y268" s="26">
        <f>IF(SUM($B192:$AP192)-SUM($B268:X268)&gt;$AI15,IF((SUM($B249:Y249)-SUM($B268:X268))/$AI15&gt;1,ROUNDDOWN((SUM($B249:Y249)-SUM($B268:X268))/$AI15,0)*$AI15,0),SUM($B192:$AP192)-SUM($B268:X268))</f>
        <v>5</v>
      </c>
      <c r="Z268" s="26">
        <f>IF(SUM($B192:$AP192)-SUM($B268:Y268)&gt;$AI15,IF((SUM($B249:Z249)-SUM($B268:Y268))/$AI15&gt;1,ROUNDDOWN((SUM($B249:Z249)-SUM($B268:Y268))/$AI15,0)*$AI15,0),SUM($B192:$AP192)-SUM($B268:Y268))</f>
        <v>4.08569436521498</v>
      </c>
      <c r="AA268" s="26">
        <f>IF(SUM($B192:$AP192)-SUM($B268:Z268)&gt;$AI15,IF((SUM($B249:AA249)-SUM($B268:Z268))/$AI15&gt;1,ROUNDDOWN((SUM($B249:AA249)-SUM($B268:Z268))/$AI15,0)*$AI15,0),SUM($B192:$AP192)-SUM($B268:Z268))</f>
        <v>0</v>
      </c>
      <c r="AB268" s="26">
        <f>IF(SUM($B192:$AP192)-SUM($B268:AA268)&gt;$AI15,IF((SUM($B249:AB249)-SUM($B268:AA268))/$AI15&gt;1,ROUNDDOWN((SUM($B249:AB249)-SUM($B268:AA268))/$AI15,0)*$AI15,0),SUM($B192:$AP192)-SUM($B268:AA268))</f>
        <v>0</v>
      </c>
      <c r="AC268" s="26">
        <f>IF(SUM($B192:$AP192)-SUM($B268:AB268)&gt;$AI15,IF((SUM($B249:AC249)-SUM($B268:AB268))/$AI15&gt;1,ROUNDDOWN((SUM($B249:AC249)-SUM($B268:AB268))/$AI15,0)*$AI15,0),SUM($B192:$AP192)-SUM($B268:AB268))</f>
        <v>0</v>
      </c>
      <c r="AD268" s="26">
        <f>IF(SUM($B192:$AP192)-SUM($B268:AC268)&gt;$AI15,IF((SUM($B249:AD249)-SUM($B268:AC268))/$AI15&gt;1,ROUNDDOWN((SUM($B249:AD249)-SUM($B268:AC268))/$AI15,0)*$AI15,0),SUM($B192:$AP192)-SUM($B268:AC268))</f>
        <v>0</v>
      </c>
      <c r="AE268" s="26">
        <f>IF(SUM($B192:$AP192)-SUM($B268:AD268)&gt;$AI15,IF((SUM($B249:AE249)-SUM($B268:AD268))/$AI15&gt;1,ROUNDDOWN((SUM($B249:AE249)-SUM($B268:AD268))/$AI15,0)*$AI15,0),SUM($B192:$AP192)-SUM($B268:AD268))</f>
        <v>0</v>
      </c>
      <c r="AF268" s="26">
        <f>IF(SUM($B192:$AP192)-SUM($B268:AE268)&gt;$AI15,IF((SUM($B249:AF249)-SUM($B268:AE268))/$AI15&gt;1,ROUNDDOWN((SUM($B249:AF249)-SUM($B268:AE268))/$AI15,0)*$AI15,0),SUM($B192:$AP192)-SUM($B268:AE268))</f>
        <v>0</v>
      </c>
      <c r="AG268" s="26">
        <f>IF(SUM($B192:$AP192)-SUM($B268:AF268)&gt;$AI15,IF((SUM($B249:AG249)-SUM($B268:AF268))/$AI15&gt;1,ROUNDDOWN((SUM($B249:AG249)-SUM($B268:AF268))/$AI15,0)*$AI15,0),SUM($B192:$AP192)-SUM($B268:AF268))</f>
        <v>0</v>
      </c>
      <c r="AH268" s="26">
        <f>IF(SUM($B192:$AP192)-SUM($B268:AG268)&gt;$AI15,IF((SUM($B249:AH249)-SUM($B268:AG268))/$AI15&gt;1,ROUNDDOWN((SUM($B249:AH249)-SUM($B268:AG268))/$AI15,0)*$AI15,0),SUM($B192:$AP192)-SUM($B268:AG268))</f>
        <v>0</v>
      </c>
      <c r="AI268" s="26">
        <f>IF(SUM($B192:$AP192)-SUM($B268:AH268)&gt;$AI15,IF((SUM($B249:AI249)-SUM($B268:AH268))/$AI15&gt;1,ROUNDDOWN((SUM($B249:AI249)-SUM($B268:AH268))/$AI15,0)*$AI15,0),SUM($B192:$AP192)-SUM($B268:AH268))</f>
        <v>0</v>
      </c>
      <c r="AJ268" s="26">
        <f>IF(SUM($B192:$AP192)-SUM($B268:AI268)&gt;$AI15,IF((SUM($B249:AJ249)-SUM($B268:AI268))/$AI15&gt;1,ROUNDDOWN((SUM($B249:AJ249)-SUM($B268:AI268))/$AI15,0)*$AI15,0),SUM($B192:$AP192)-SUM($B268:AI268))</f>
        <v>0</v>
      </c>
      <c r="AK268" s="26">
        <f>IF(SUM($B192:$AP192)-SUM($B268:AJ268)&gt;$AI15,IF((SUM($B249:AK249)-SUM($B268:AJ268))/$AI15&gt;1,ROUNDDOWN((SUM($B249:AK249)-SUM($B268:AJ268))/$AI15,0)*$AI15,0),SUM($B192:$AP192)-SUM($B268:AJ268))</f>
        <v>0</v>
      </c>
      <c r="AL268" s="26">
        <f>IF(SUM($B192:$AP192)-SUM($B268:AK268)&gt;$AI15,IF((SUM($B249:AL249)-SUM($B268:AK268))/$AI15&gt;1,ROUNDDOWN((SUM($B249:AL249)-SUM($B268:AK268))/$AI15,0)*$AI15,0),SUM($B192:$AP192)-SUM($B268:AK268))</f>
        <v>0</v>
      </c>
      <c r="AM268" s="26">
        <f>IF(SUM($B192:$AP192)-SUM($B268:AL268)&gt;$AI15,IF((SUM($B249:AM249)-SUM($B268:AL268))/$AI15&gt;1,ROUNDDOWN((SUM($B249:AM249)-SUM($B268:AL268))/$AI15,0)*$AI15,0),SUM($B192:$AP192)-SUM($B268:AL268))</f>
        <v>0</v>
      </c>
      <c r="AN268" s="26">
        <f>IF(SUM($B192:$AP192)-SUM($B268:AM268)&gt;$AI15,IF((SUM($B249:AN249)-SUM($B268:AM268))/$AI15&gt;1,ROUNDDOWN((SUM($B249:AN249)-SUM($B268:AM268))/$AI15,0)*$AI15,0),SUM($B192:$AP192)-SUM($B268:AM268))</f>
        <v>0</v>
      </c>
      <c r="AO268" s="26">
        <f>IF(SUM($B192:$AP192)-SUM($B268:AN268)&gt;$AI15,IF((SUM($B249:AO249)-SUM($B268:AN268))/$AI15&gt;1,ROUNDDOWN((SUM($B249:AO249)-SUM($B268:AN268))/$AI15,0)*$AI15,0),SUM($B192:$AP192)-SUM($B268:AN268))</f>
        <v>0</v>
      </c>
      <c r="AP268" s="26">
        <f>IF(SUM($B192:$AP192)-SUM($B268:AO268)&gt;$AI15,IF((SUM($B249:AP249)-SUM($B268:AO268))/$AI15&gt;1,ROUNDDOWN((SUM($B249:AP249)-SUM($B268:AO268))/$AI15,0)*$AI15,0),SUM($B192:$AP192)-SUM($B268:AO268))</f>
        <v>0</v>
      </c>
    </row>
    <row r="269" spans="1:42">
      <c r="A269" t="s">
        <v>2379</v>
      </c>
      <c r="B269" s="26">
        <v>0</v>
      </c>
      <c r="C269" s="26">
        <f>IF(SUM($B193:$AP193)-SUM($B269:B269)&gt;$AI16,IF((SUM($B250:C250)-SUM($B269:B269))/$AI16&gt;1,ROUNDDOWN((SUM($B250:C250)-SUM($B269:B269))/$AI16,0)*$AI16,0),SUM($B193:$AP193)-SUM($B269:B269))</f>
        <v>0</v>
      </c>
      <c r="D269" s="26">
        <f>IF(SUM($B193:$AP193)-SUM($B269:C269)&gt;$AI16,IF((SUM($B250:D250)-SUM($B269:C269))/$AI16&gt;1,ROUNDDOWN((SUM($B250:D250)-SUM($B269:C269))/$AI16,0)*$AI16,0),SUM($B193:$AP193)-SUM($B269:C269))</f>
        <v>0</v>
      </c>
      <c r="E269" s="26">
        <f>IF(SUM($B193:$AP193)-SUM($B269:D269)&gt;$AI16,IF((SUM($B250:E250)-SUM($B269:D269))/$AI16&gt;1,ROUNDDOWN((SUM($B250:E250)-SUM($B269:D269))/$AI16,0)*$AI16,0),SUM($B193:$AP193)-SUM($B269:D269))</f>
        <v>0</v>
      </c>
      <c r="F269" s="26">
        <f>IF(SUM($B193:$AP193)-SUM($B269:E269)&gt;$AI16,IF((SUM($B250:F250)-SUM($B269:E269))/$AI16&gt;1,ROUNDDOWN((SUM($B250:F250)-SUM($B269:E269))/$AI16,0)*$AI16,0),SUM($B193:$AP193)-SUM($B269:E269))</f>
        <v>0</v>
      </c>
      <c r="G269" s="26">
        <f>IF(SUM($B193:$AP193)-SUM($B269:F269)&gt;$AI16,IF((SUM($B250:G250)-SUM($B269:F269))/$AI16&gt;1,ROUNDDOWN((SUM($B250:G250)-SUM($B269:F269))/$AI16,0)*$AI16,0),SUM($B193:$AP193)-SUM($B269:F269))</f>
        <v>0</v>
      </c>
      <c r="H269" s="26">
        <f>IF(SUM($B193:$AP193)-SUM($B269:G269)&gt;$AI16,IF((SUM($B250:H250)-SUM($B269:G269))/$AI16&gt;1,ROUNDDOWN((SUM($B250:H250)-SUM($B269:G269))/$AI16,0)*$AI16,0),SUM($B193:$AP193)-SUM($B269:G269))</f>
        <v>0</v>
      </c>
      <c r="I269" s="26">
        <f>IF(SUM($B193:$AP193)-SUM($B269:H269)&gt;$AI16,IF((SUM($B250:I250)-SUM($B269:H269))/$AI16&gt;1,ROUNDDOWN((SUM($B250:I250)-SUM($B269:H269))/$AI16,0)*$AI16,0),SUM($B193:$AP193)-SUM($B269:H269))</f>
        <v>0</v>
      </c>
      <c r="J269" s="26">
        <f>IF(SUM($B193:$AP193)-SUM($B269:I269)&gt;$AI16,IF((SUM($B250:J250)-SUM($B269:I269))/$AI16&gt;1,ROUNDDOWN((SUM($B250:J250)-SUM($B269:I269))/$AI16,0)*$AI16,0),SUM($B193:$AP193)-SUM($B269:I269))</f>
        <v>0</v>
      </c>
      <c r="K269" s="26">
        <f>IF(SUM($B193:$AP193)-SUM($B269:J269)&gt;$AI16,IF((SUM($B250:K250)-SUM($B269:J269))/$AI16&gt;1,ROUNDDOWN((SUM($B250:K250)-SUM($B269:J269))/$AI16,0)*$AI16,0),SUM($B193:$AP193)-SUM($B269:J269))</f>
        <v>0</v>
      </c>
      <c r="L269" s="26">
        <f>IF(SUM($B193:$AP193)-SUM($B269:K269)&gt;$AI16,IF((SUM($B250:L250)-SUM($B269:K269))/$AI16&gt;1,ROUNDDOWN((SUM($B250:L250)-SUM($B269:K269))/$AI16,0)*$AI16,0),SUM($B193:$AP193)-SUM($B269:K269))</f>
        <v>0</v>
      </c>
      <c r="M269" s="26">
        <f>IF(SUM($B193:$AP193)-SUM($B269:L269)&gt;$AI16,IF((SUM($B250:M250)-SUM($B269:L269))/$AI16&gt;1,ROUNDDOWN((SUM($B250:M250)-SUM($B269:L269))/$AI16,0)*$AI16,0),SUM($B193:$AP193)-SUM($B269:L269))</f>
        <v>0</v>
      </c>
      <c r="N269" s="26">
        <f>IF(SUM($B193:$AP193)-SUM($B269:M269)&gt;$AI16,IF((SUM($B250:N250)-SUM($B269:M269))/$AI16&gt;1,ROUNDDOWN((SUM($B250:N250)-SUM($B269:M269))/$AI16,0)*$AI16,0),SUM($B193:$AP193)-SUM($B269:M269))</f>
        <v>0</v>
      </c>
      <c r="O269" s="26">
        <f>IF(SUM($B193:$AP193)-SUM($B269:N269)&gt;$AI16,IF((SUM($B250:O250)-SUM($B269:N269))/$AI16&gt;1,ROUNDDOWN((SUM($B250:O250)-SUM($B269:N269))/$AI16,0)*$AI16,0),SUM($B193:$AP193)-SUM($B269:N269))</f>
        <v>5.7</v>
      </c>
      <c r="P269" s="26">
        <f>IF(SUM($B193:$AP193)-SUM($B269:O269)&gt;$AI16,IF((SUM($B250:P250)-SUM($B269:O269))/$AI16&gt;1,ROUNDDOWN((SUM($B250:P250)-SUM($B269:O269))/$AI16,0)*$AI16,0),SUM($B193:$AP193)-SUM($B269:O269))</f>
        <v>28.5</v>
      </c>
      <c r="Q269" s="26">
        <f>IF(SUM($B193:$AP193)-SUM($B269:P269)&gt;$AI16,IF((SUM($B250:Q250)-SUM($B269:P269))/$AI16&gt;1,ROUNDDOWN((SUM($B250:Q250)-SUM($B269:P269))/$AI16,0)*$AI16,0),SUM($B193:$AP193)-SUM($B269:P269))</f>
        <v>51.3</v>
      </c>
      <c r="R269" s="26">
        <f>IF(SUM($B193:$AP193)-SUM($B269:Q269)&gt;$AI16,IF((SUM($B250:R250)-SUM($B269:Q269))/$AI16&gt;1,ROUNDDOWN((SUM($B250:R250)-SUM($B269:Q269))/$AI16,0)*$AI16,0),SUM($B193:$AP193)-SUM($B269:Q269))</f>
        <v>75.05</v>
      </c>
      <c r="S269" s="26">
        <f>IF(SUM($B193:$AP193)-SUM($B269:R269)&gt;$AI16,IF((SUM($B250:S250)-SUM($B269:R269))/$AI16&gt;1,ROUNDDOWN((SUM($B250:S250)-SUM($B269:R269))/$AI16,0)*$AI16,0),SUM($B193:$AP193)-SUM($B269:R269))</f>
        <v>76</v>
      </c>
      <c r="T269" s="26">
        <f>IF(SUM($B193:$AP193)-SUM($B269:S269)&gt;$AI16,IF((SUM($B250:T250)-SUM($B269:S269))/$AI16&gt;1,ROUNDDOWN((SUM($B250:T250)-SUM($B269:S269))/$AI16,0)*$AI16,0),SUM($B193:$AP193)-SUM($B269:S269))</f>
        <v>246.05</v>
      </c>
      <c r="U269" s="26">
        <f>IF(SUM($B193:$AP193)-SUM($B269:T269)&gt;$AI16,IF((SUM($B250:U250)-SUM($B269:T269))/$AI16&gt;1,ROUNDDOWN((SUM($B250:U250)-SUM($B269:T269))/$AI16,0)*$AI16,0),SUM($B193:$AP193)-SUM($B269:T269))</f>
        <v>494</v>
      </c>
      <c r="V269" s="26">
        <f>IF(SUM($B193:$AP193)-SUM($B269:U269)&gt;$AI16,IF((SUM($B250:V250)-SUM($B269:U269))/$AI16&gt;1,ROUNDDOWN((SUM($B250:V250)-SUM($B269:U269))/$AI16,0)*$AI16,0),SUM($B193:$AP193)-SUM($B269:U269))</f>
        <v>715.35</v>
      </c>
      <c r="W269" s="26">
        <f>IF(SUM($B193:$AP193)-SUM($B269:V269)&gt;$AI16,IF((SUM($B250:W250)-SUM($B269:V269))/$AI16&gt;1,ROUNDDOWN((SUM($B250:W250)-SUM($B269:V269))/$AI16,0)*$AI16,0),SUM($B193:$AP193)-SUM($B269:V269))</f>
        <v>775.2</v>
      </c>
      <c r="X269" s="26">
        <f>IF(SUM($B193:$AP193)-SUM($B269:W269)&gt;$AI16,IF((SUM($B250:X250)-SUM($B269:W269))/$AI16&gt;1,ROUNDDOWN((SUM($B250:X250)-SUM($B269:W269))/$AI16,0)*$AI16,0),SUM($B193:$AP193)-SUM($B269:W269))</f>
        <v>998.45</v>
      </c>
      <c r="Y269" s="26">
        <f>IF(SUM($B193:$AP193)-SUM($B269:X269)&gt;$AI16,IF((SUM($B250:Y250)-SUM($B269:X269))/$AI16&gt;1,ROUNDDOWN((SUM($B250:Y250)-SUM($B269:X269))/$AI16,0)*$AI16,0),SUM($B193:$AP193)-SUM($B269:X269))</f>
        <v>995.6</v>
      </c>
      <c r="Z269" s="26">
        <f>IF(SUM($B193:$AP193)-SUM($B269:Y269)&gt;$AI16,IF((SUM($B250:Z250)-SUM($B269:Y269))/$AI16&gt;1,ROUNDDOWN((SUM($B250:Z250)-SUM($B269:Y269))/$AI16,0)*$AI16,0),SUM($B193:$AP193)-SUM($B269:Y269))</f>
        <v>870.2</v>
      </c>
      <c r="AA269" s="26">
        <f>IF(SUM($B193:$AP193)-SUM($B269:Z269)&gt;$AI16,IF((SUM($B250:AA250)-SUM($B269:Z269))/$AI16&gt;1,ROUNDDOWN((SUM($B250:AA250)-SUM($B269:Z269))/$AI16,0)*$AI16,0),SUM($B193:$AP193)-SUM($B269:Z269))</f>
        <v>817</v>
      </c>
      <c r="AB269" s="26">
        <f>IF(SUM($B193:$AP193)-SUM($B269:AA269)&gt;$AI16,IF((SUM($B250:AB250)-SUM($B269:AA269))/$AI16&gt;1,ROUNDDOWN((SUM($B250:AB250)-SUM($B269:AA269))/$AI16,0)*$AI16,0),SUM($B193:$AP193)-SUM($B269:AA269))</f>
        <v>1157.1</v>
      </c>
      <c r="AC269" s="26">
        <f>IF(SUM($B193:$AP193)-SUM($B269:AB269)&gt;$AI16,IF((SUM($B250:AC250)-SUM($B269:AB269))/$AI16&gt;1,ROUNDDOWN((SUM($B250:AC250)-SUM($B269:AB269))/$AI16,0)*$AI16,0),SUM($B193:$AP193)-SUM($B269:AB269))</f>
        <v>1716.65</v>
      </c>
      <c r="AD269" s="26">
        <f>IF(SUM($B193:$AP193)-SUM($B269:AC269)&gt;$AI16,IF((SUM($B250:AD250)-SUM($B269:AC269))/$AI16&gt;1,ROUNDDOWN((SUM($B250:AD250)-SUM($B269:AC269))/$AI16,0)*$AI16,0),SUM($B193:$AP193)-SUM($B269:AC269))</f>
        <v>2274.3</v>
      </c>
      <c r="AE269" s="26">
        <f>IF(SUM($B193:$AP193)-SUM($B269:AD269)&gt;$AI16,IF((SUM($B250:AE250)-SUM($B269:AD269))/$AI16&gt;1,ROUNDDOWN((SUM($B250:AE250)-SUM($B269:AD269))/$AI16,0)*$AI16,0),SUM($B193:$AP193)-SUM($B269:AD269))</f>
        <v>2581.15</v>
      </c>
      <c r="AF269" s="26">
        <f>IF(SUM($B193:$AP193)-SUM($B269:AE269)&gt;$AI16,IF((SUM($B250:AF250)-SUM($B269:AE269))/$AI16&gt;1,ROUNDDOWN((SUM($B250:AF250)-SUM($B269:AE269))/$AI16,0)*$AI16,0),SUM($B193:$AP193)-SUM($B269:AE269))</f>
        <v>2799.65</v>
      </c>
      <c r="AG269" s="26">
        <f>IF(SUM($B193:$AP193)-SUM($B269:AF269)&gt;$AI16,IF((SUM($B250:AG250)-SUM($B269:AF269))/$AI16&gt;1,ROUNDDOWN((SUM($B250:AG250)-SUM($B269:AF269))/$AI16,0)*$AI16,0),SUM($B193:$AP193)-SUM($B269:AF269))</f>
        <v>2972.55</v>
      </c>
      <c r="AH269" s="26">
        <f>IF(SUM($B193:$AP193)-SUM($B269:AG269)&gt;$AI16,IF((SUM($B250:AH250)-SUM($B269:AG269))/$AI16&gt;1,ROUNDDOWN((SUM($B250:AH250)-SUM($B269:AG269))/$AI16,0)*$AI16,0),SUM($B193:$AP193)-SUM($B269:AG269))</f>
        <v>2611.55</v>
      </c>
      <c r="AI269" s="26">
        <f>IF(SUM($B193:$AP193)-SUM($B269:AH269)&gt;$AI16,IF((SUM($B250:AI250)-SUM($B269:AH269))/$AI16&gt;1,ROUNDDOWN((SUM($B250:AI250)-SUM($B269:AH269))/$AI16,0)*$AI16,0),SUM($B193:$AP193)-SUM($B269:AH269))</f>
        <v>3521.65</v>
      </c>
      <c r="AJ269" s="26">
        <f>IF(SUM($B193:$AP193)-SUM($B269:AI269)&gt;$AI16,IF((SUM($B250:AJ250)-SUM($B269:AI269))/$AI16&gt;1,ROUNDDOWN((SUM($B250:AJ250)-SUM($B269:AI269))/$AI16,0)*$AI16,0),SUM($B193:$AP193)-SUM($B269:AI269))</f>
        <v>4326.3</v>
      </c>
      <c r="AK269" s="26">
        <f>IF(SUM($B193:$AP193)-SUM($B269:AJ269)&gt;$AI16,IF((SUM($B250:AK250)-SUM($B269:AJ269))/$AI16&gt;1,ROUNDDOWN((SUM($B250:AK250)-SUM($B269:AJ269))/$AI16,0)*$AI16,0),SUM($B193:$AP193)-SUM($B269:AJ269))</f>
        <v>6156</v>
      </c>
      <c r="AL269" s="26">
        <f>IF(SUM($B193:$AP193)-SUM($B269:AK269)&gt;$AI16,IF((SUM($B250:AL250)-SUM($B269:AK269))/$AI16&gt;1,ROUNDDOWN((SUM($B250:AL250)-SUM($B269:AK269))/$AI16,0)*$AI16,0),SUM($B193:$AP193)-SUM($B269:AK269))</f>
        <v>7805.2</v>
      </c>
      <c r="AM269" s="26">
        <f>IF(SUM($B193:$AP193)-SUM($B269:AL269)&gt;$AI16,IF((SUM($B250:AM250)-SUM($B269:AL269))/$AI16&gt;1,ROUNDDOWN((SUM($B250:AM250)-SUM($B269:AL269))/$AI16,0)*$AI16,0),SUM($B193:$AP193)-SUM($B269:AL269))</f>
        <v>12377.55</v>
      </c>
      <c r="AN269" s="26">
        <f>IF(SUM($B193:$AP193)-SUM($B269:AM269)&gt;$AI16,IF((SUM($B250:AN250)-SUM($B269:AM269))/$AI16&gt;1,ROUNDDOWN((SUM($B250:AN250)-SUM($B269:AM269))/$AI16,0)*$AI16,0),SUM($B193:$AP193)-SUM($B269:AM269))</f>
        <v>14821.9</v>
      </c>
      <c r="AO269" s="26">
        <f>IF(SUM($B193:$AP193)-SUM($B269:AN269)&gt;$AI16,IF((SUM($B250:AO250)-SUM($B269:AN269))/$AI16&gt;1,ROUNDDOWN((SUM($B250:AO250)-SUM($B269:AN269))/$AI16,0)*$AI16,0),SUM($B193:$AP193)-SUM($B269:AN269))</f>
        <v>16961.3</v>
      </c>
      <c r="AP269" s="26">
        <f>IF(SUM($B193:$AP193)-SUM($B269:AO269)&gt;$AI16,IF((SUM($B250:AP250)-SUM($B269:AO269))/$AI16&gt;1,ROUNDDOWN((SUM($B250:AP250)-SUM($B269:AO269))/$AI16,0)*$AI16,0),SUM($B193:$AP193)-SUM($B269:AO269))</f>
        <v>18882.2</v>
      </c>
    </row>
    <row r="270" spans="1:42">
      <c r="A270" t="s">
        <v>2380</v>
      </c>
      <c r="B270" s="26">
        <v>0</v>
      </c>
      <c r="C270" s="26">
        <f>IF(SUM($B194:$AP194)-SUM($B270:B270)&gt;$AI17,IF((SUM($B251:C251)-SUM($B270:B270))/$AI17&gt;1,ROUNDDOWN((SUM($B251:C251)-SUM($B270:B270))/$AI17,0)*$AI17,0),SUM($B194:$AP194)-SUM($B270:B270))</f>
        <v>2635</v>
      </c>
      <c r="D270" s="26">
        <f>IF(SUM($B194:$AP194)-SUM($B270:C270)&gt;$AI17,IF((SUM($B251:D251)-SUM($B270:C270))/$AI17&gt;1,ROUNDDOWN((SUM($B251:D251)-SUM($B270:C270))/$AI17,0)*$AI17,0),SUM($B194:$AP194)-SUM($B270:C270))</f>
        <v>1880</v>
      </c>
      <c r="E270" s="26">
        <f>IF(SUM($B194:$AP194)-SUM($B270:D270)&gt;$AI17,IF((SUM($B251:E251)-SUM($B270:D270))/$AI17&gt;1,ROUNDDOWN((SUM($B251:E251)-SUM($B270:D270))/$AI17,0)*$AI17,0),SUM($B194:$AP194)-SUM($B270:D270))</f>
        <v>1880</v>
      </c>
      <c r="F270" s="26">
        <f>IF(SUM($B194:$AP194)-SUM($B270:E270)&gt;$AI17,IF((SUM($B251:F251)-SUM($B270:E270))/$AI17&gt;1,ROUNDDOWN((SUM($B251:F251)-SUM($B270:E270))/$AI17,0)*$AI17,0),SUM($B194:$AP194)-SUM($B270:E270))</f>
        <v>1885</v>
      </c>
      <c r="G270" s="26">
        <f>IF(SUM($B194:$AP194)-SUM($B270:F270)&gt;$AI17,IF((SUM($B251:G251)-SUM($B270:F270))/$AI17&gt;1,ROUNDDOWN((SUM($B251:G251)-SUM($B270:F270))/$AI17,0)*$AI17,0),SUM($B194:$AP194)-SUM($B270:F270))</f>
        <v>1880</v>
      </c>
      <c r="H270" s="26">
        <f>IF(SUM($B194:$AP194)-SUM($B270:G270)&gt;$AI17,IF((SUM($B251:H251)-SUM($B270:G270))/$AI17&gt;1,ROUNDDOWN((SUM($B251:H251)-SUM($B270:G270))/$AI17,0)*$AI17,0),SUM($B194:$AP194)-SUM($B270:G270))</f>
        <v>1885</v>
      </c>
      <c r="I270" s="26">
        <f>IF(SUM($B194:$AP194)-SUM($B270:H270)&gt;$AI17,IF((SUM($B251:I251)-SUM($B270:H270))/$AI17&gt;1,ROUNDDOWN((SUM($B251:I251)-SUM($B270:H270))/$AI17,0)*$AI17,0),SUM($B194:$AP194)-SUM($B270:H270))</f>
        <v>1880</v>
      </c>
      <c r="J270" s="26">
        <f>IF(SUM($B194:$AP194)-SUM($B270:I270)&gt;$AI17,IF((SUM($B251:J251)-SUM($B270:I270))/$AI17&gt;1,ROUNDDOWN((SUM($B251:J251)-SUM($B270:I270))/$AI17,0)*$AI17,0),SUM($B194:$AP194)-SUM($B270:I270))</f>
        <v>1885</v>
      </c>
      <c r="K270" s="26">
        <f>IF(SUM($B194:$AP194)-SUM($B270:J270)&gt;$AI17,IF((SUM($B251:K251)-SUM($B270:J270))/$AI17&gt;1,ROUNDDOWN((SUM($B251:K251)-SUM($B270:J270))/$AI17,0)*$AI17,0),SUM($B194:$AP194)-SUM($B270:J270))</f>
        <v>1635</v>
      </c>
      <c r="L270" s="26">
        <f>IF(SUM($B194:$AP194)-SUM($B270:K270)&gt;$AI17,IF((SUM($B251:L251)-SUM($B270:K270))/$AI17&gt;1,ROUNDDOWN((SUM($B251:L251)-SUM($B270:K270))/$AI17,0)*$AI17,0),SUM($B194:$AP194)-SUM($B270:K270))</f>
        <v>1390</v>
      </c>
      <c r="M270" s="26">
        <f>IF(SUM($B194:$AP194)-SUM($B270:L270)&gt;$AI17,IF((SUM($B251:M251)-SUM($B270:L270))/$AI17&gt;1,ROUNDDOWN((SUM($B251:M251)-SUM($B270:L270))/$AI17,0)*$AI17,0),SUM($B194:$AP194)-SUM($B270:L270))</f>
        <v>1140</v>
      </c>
      <c r="N270" s="26">
        <f>IF(SUM($B194:$AP194)-SUM($B270:M270)&gt;$AI17,IF((SUM($B251:N251)-SUM($B270:M270))/$AI17&gt;1,ROUNDDOWN((SUM($B251:N251)-SUM($B270:M270))/$AI17,0)*$AI17,0),SUM($B194:$AP194)-SUM($B270:M270))</f>
        <v>895</v>
      </c>
      <c r="O270" s="26">
        <f>IF(SUM($B194:$AP194)-SUM($B270:N270)&gt;$AI17,IF((SUM($B251:O251)-SUM($B270:N270))/$AI17&gt;1,ROUNDDOWN((SUM($B251:O251)-SUM($B270:N270))/$AI17,0)*$AI17,0),SUM($B194:$AP194)-SUM($B270:N270))</f>
        <v>650</v>
      </c>
      <c r="P270" s="26">
        <f>IF(SUM($B194:$AP194)-SUM($B270:O270)&gt;$AI17,IF((SUM($B251:P251)-SUM($B270:O270))/$AI17&gt;1,ROUNDDOWN((SUM($B251:P251)-SUM($B270:O270))/$AI17,0)*$AI17,0),SUM($B194:$AP194)-SUM($B270:O270))</f>
        <v>650</v>
      </c>
      <c r="Q270" s="26">
        <f>IF(SUM($B194:$AP194)-SUM($B270:P270)&gt;$AI17,IF((SUM($B251:Q251)-SUM($B270:P270))/$AI17&gt;1,ROUNDDOWN((SUM($B251:Q251)-SUM($B270:P270))/$AI17,0)*$AI17,0),SUM($B194:$AP194)-SUM($B270:P270))</f>
        <v>645</v>
      </c>
      <c r="R270" s="26">
        <f>IF(SUM($B194:$AP194)-SUM($B270:Q270)&gt;$AI17,IF((SUM($B251:R251)-SUM($B270:Q270))/$AI17&gt;1,ROUNDDOWN((SUM($B251:R251)-SUM($B270:Q270))/$AI17,0)*$AI17,0),SUM($B194:$AP194)-SUM($B270:Q270))</f>
        <v>650</v>
      </c>
      <c r="S270" s="26">
        <f>IF(SUM($B194:$AP194)-SUM($B270:R270)&gt;$AI17,IF((SUM($B251:S251)-SUM($B270:R270))/$AI17&gt;1,ROUNDDOWN((SUM($B251:S251)-SUM($B270:R270))/$AI17,0)*$AI17,0),SUM($B194:$AP194)-SUM($B270:R270))</f>
        <v>830</v>
      </c>
      <c r="T270" s="26">
        <f>IF(SUM($B194:$AP194)-SUM($B270:S270)&gt;$AI17,IF((SUM($B251:T251)-SUM($B270:S270))/$AI17&gt;1,ROUNDDOWN((SUM($B251:T251)-SUM($B270:S270))/$AI17,0)*$AI17,0),SUM($B194:$AP194)-SUM($B270:S270))</f>
        <v>1080</v>
      </c>
      <c r="U270" s="26">
        <f>IF(SUM($B194:$AP194)-SUM($B270:T270)&gt;$AI17,IF((SUM($B251:U251)-SUM($B270:T270))/$AI17&gt;1,ROUNDDOWN((SUM($B251:U251)-SUM($B270:T270))/$AI17,0)*$AI17,0),SUM($B194:$AP194)-SUM($B270:T270))</f>
        <v>1195</v>
      </c>
      <c r="V270" s="26">
        <f>IF(SUM($B194:$AP194)-SUM($B270:U270)&gt;$AI17,IF((SUM($B251:V251)-SUM($B270:U270))/$AI17&gt;1,ROUNDDOWN((SUM($B251:V251)-SUM($B270:U270))/$AI17,0)*$AI17,0),SUM($B194:$AP194)-SUM($B270:U270))</f>
        <v>1375</v>
      </c>
      <c r="W270" s="26">
        <f>IF(SUM($B194:$AP194)-SUM($B270:V270)&gt;$AI17,IF((SUM($B251:W251)-SUM($B270:V270))/$AI17&gt;1,ROUNDDOWN((SUM($B251:W251)-SUM($B270:V270))/$AI17,0)*$AI17,0),SUM($B194:$AP194)-SUM($B270:V270))</f>
        <v>1370</v>
      </c>
      <c r="X270" s="26">
        <f>IF(SUM($B194:$AP194)-SUM($B270:W270)&gt;$AI17,IF((SUM($B251:X251)-SUM($B270:W270))/$AI17&gt;1,ROUNDDOWN((SUM($B251:X251)-SUM($B270:W270))/$AI17,0)*$AI17,0),SUM($B194:$AP194)-SUM($B270:W270))</f>
        <v>1120</v>
      </c>
      <c r="Y270" s="26">
        <f>IF(SUM($B194:$AP194)-SUM($B270:X270)&gt;$AI17,IF((SUM($B251:Y251)-SUM($B270:X270))/$AI17&gt;1,ROUNDDOWN((SUM($B251:Y251)-SUM($B270:X270))/$AI17,0)*$AI17,0),SUM($B194:$AP194)-SUM($B270:X270))</f>
        <v>740</v>
      </c>
      <c r="Z270" s="26">
        <f>IF(SUM($B194:$AP194)-SUM($B270:Y270)&gt;$AI17,IF((SUM($B251:Z251)-SUM($B270:Y270))/$AI17&gt;1,ROUNDDOWN((SUM($B251:Z251)-SUM($B270:Y270))/$AI17,0)*$AI17,0),SUM($B194:$AP194)-SUM($B270:Y270))</f>
        <v>555</v>
      </c>
      <c r="AA270" s="26">
        <f>IF(SUM($B194:$AP194)-SUM($B270:Z270)&gt;$AI17,IF((SUM($B251:AA251)-SUM($B270:Z270))/$AI17&gt;1,ROUNDDOWN((SUM($B251:AA251)-SUM($B270:Z270))/$AI17,0)*$AI17,0),SUM($B194:$AP194)-SUM($B270:Z270))</f>
        <v>245</v>
      </c>
      <c r="AB270" s="26">
        <f>IF(SUM($B194:$AP194)-SUM($B270:AA270)&gt;$AI17,IF((SUM($B251:AB251)-SUM($B270:AA270))/$AI17&gt;1,ROUNDDOWN((SUM($B251:AB251)-SUM($B270:AA270))/$AI17,0)*$AI17,0),SUM($B194:$AP194)-SUM($B270:AA270))</f>
        <v>125</v>
      </c>
      <c r="AC270" s="26">
        <f>IF(SUM($B194:$AP194)-SUM($B270:AB270)&gt;$AI17,IF((SUM($B251:AC251)-SUM($B270:AB270))/$AI17&gt;1,ROUNDDOWN((SUM($B251:AC251)-SUM($B270:AB270))/$AI17,0)*$AI17,0),SUM($B194:$AP194)-SUM($B270:AB270))</f>
        <v>345</v>
      </c>
      <c r="AD270" s="26">
        <f>IF(SUM($B194:$AP194)-SUM($B270:AC270)&gt;$AI17,IF((SUM($B251:AD251)-SUM($B270:AC270))/$AI17&gt;1,ROUNDDOWN((SUM($B251:AD251)-SUM($B270:AC270))/$AI17,0)*$AI17,0),SUM($B194:$AP194)-SUM($B270:AC270))</f>
        <v>680</v>
      </c>
      <c r="AE270" s="26">
        <f>IF(SUM($B194:$AP194)-SUM($B270:AD270)&gt;$AI17,IF((SUM($B251:AE251)-SUM($B270:AD270))/$AI17&gt;1,ROUNDDOWN((SUM($B251:AE251)-SUM($B270:AD270))/$AI17,0)*$AI17,0),SUM($B194:$AP194)-SUM($B270:AD270))</f>
        <v>620</v>
      </c>
      <c r="AF270" s="26">
        <f>IF(SUM($B194:$AP194)-SUM($B270:AE270)&gt;$AI17,IF((SUM($B251:AF251)-SUM($B270:AE270))/$AI17&gt;1,ROUNDDOWN((SUM($B251:AF251)-SUM($B270:AE270))/$AI17,0)*$AI17,0),SUM($B194:$AP194)-SUM($B270:AE270))</f>
        <v>615</v>
      </c>
      <c r="AG270" s="26">
        <f>IF(SUM($B194:$AP194)-SUM($B270:AF270)&gt;$AI17,IF((SUM($B251:AG251)-SUM($B270:AF270))/$AI17&gt;1,ROUNDDOWN((SUM($B251:AG251)-SUM($B270:AF270))/$AI17,0)*$AI17,0),SUM($B194:$AP194)-SUM($B270:AF270))</f>
        <v>620</v>
      </c>
      <c r="AH270" s="26">
        <f>IF(SUM($B194:$AP194)-SUM($B270:AG270)&gt;$AI17,IF((SUM($B251:AH251)-SUM($B270:AG270))/$AI17&gt;1,ROUNDDOWN((SUM($B251:AH251)-SUM($B270:AG270))/$AI17,0)*$AI17,0),SUM($B194:$AP194)-SUM($B270:AG270))</f>
        <v>335</v>
      </c>
      <c r="AI270" s="26">
        <f>IF(SUM($B194:$AP194)-SUM($B270:AH270)&gt;$AI17,IF((SUM($B251:AI251)-SUM($B270:AH270))/$AI17&gt;1,ROUNDDOWN((SUM($B251:AI251)-SUM($B270:AH270))/$AI17,0)*$AI17,0),SUM($B194:$AP194)-SUM($B270:AH270))</f>
        <v>0</v>
      </c>
      <c r="AJ270" s="26">
        <f>IF(SUM($B194:$AP194)-SUM($B270:AI270)&gt;$AI17,IF((SUM($B251:AJ251)-SUM($B270:AI270))/$AI17&gt;1,ROUNDDOWN((SUM($B251:AJ251)-SUM($B270:AI270))/$AI17,0)*$AI17,0),SUM($B194:$AP194)-SUM($B270:AI270))</f>
        <v>0</v>
      </c>
      <c r="AK270" s="26">
        <f>IF(SUM($B194:$AP194)-SUM($B270:AJ270)&gt;$AI17,IF((SUM($B251:AK251)-SUM($B270:AJ270))/$AI17&gt;1,ROUNDDOWN((SUM($B251:AK251)-SUM($B270:AJ270))/$AI17,0)*$AI17,0),SUM($B194:$AP194)-SUM($B270:AJ270))</f>
        <v>0</v>
      </c>
      <c r="AL270" s="26">
        <f>IF(SUM($B194:$AP194)-SUM($B270:AK270)&gt;$AI17,IF((SUM($B251:AL251)-SUM($B270:AK270))/$AI17&gt;1,ROUNDDOWN((SUM($B251:AL251)-SUM($B270:AK270))/$AI17,0)*$AI17,0),SUM($B194:$AP194)-SUM($B270:AK270))</f>
        <v>0</v>
      </c>
      <c r="AM270" s="26">
        <f>IF(SUM($B194:$AP194)-SUM($B270:AL270)&gt;$AI17,IF((SUM($B251:AM251)-SUM($B270:AL270))/$AI17&gt;1,ROUNDDOWN((SUM($B251:AM251)-SUM($B270:AL270))/$AI17,0)*$AI17,0),SUM($B194:$AP194)-SUM($B270:AL270))</f>
        <v>0</v>
      </c>
      <c r="AN270" s="26">
        <f>IF(SUM($B194:$AP194)-SUM($B270:AM270)&gt;$AI17,IF((SUM($B251:AN251)-SUM($B270:AM270))/$AI17&gt;1,ROUNDDOWN((SUM($B251:AN251)-SUM($B270:AM270))/$AI17,0)*$AI17,0),SUM($B194:$AP194)-SUM($B270:AM270))</f>
        <v>0</v>
      </c>
      <c r="AO270" s="26">
        <f>IF(SUM($B194:$AP194)-SUM($B270:AN270)&gt;$AI17,IF((SUM($B251:AO251)-SUM($B270:AN270))/$AI17&gt;1,ROUNDDOWN((SUM($B251:AO251)-SUM($B270:AN270))/$AI17,0)*$AI17,0),SUM($B194:$AP194)-SUM($B270:AN270))</f>
        <v>0</v>
      </c>
      <c r="AP270" s="26">
        <f>IF(SUM($B194:$AP194)-SUM($B270:AO270)&gt;$AI17,IF((SUM($B251:AP251)-SUM($B270:AO270))/$AI17&gt;1,ROUNDDOWN((SUM($B251:AP251)-SUM($B270:AO270))/$AI17,0)*$AI17,0),SUM($B194:$AP194)-SUM($B270:AO270))</f>
        <v>0</v>
      </c>
    </row>
    <row r="271" spans="1:42">
      <c r="A271" t="s">
        <v>2381</v>
      </c>
      <c r="B271" s="26">
        <v>0</v>
      </c>
      <c r="C271" s="26">
        <f>IF(SUM($B195:$AP195)-SUM($B271:B271)&gt;$AI18,IF((SUM($B252:C252)-SUM($B271:B271))/$AI18&gt;1,ROUNDDOWN((SUM($B252:C252)-SUM($B271:B271))/$AI18,0)*$AI18,0),SUM($B195:$AP195)-SUM($B271:B271))</f>
        <v>0</v>
      </c>
      <c r="D271" s="26">
        <f>IF(SUM($B195:$AP195)-SUM($B271:C271)&gt;$AI18,IF((SUM($B252:D252)-SUM($B271:C271))/$AI18&gt;1,ROUNDDOWN((SUM($B252:D252)-SUM($B271:C271))/$AI18,0)*$AI18,0),SUM($B195:$AP195)-SUM($B271:C271))</f>
        <v>0</v>
      </c>
      <c r="E271" s="26">
        <f>IF(SUM($B195:$AP195)-SUM($B271:D271)&gt;$AI18,IF((SUM($B252:E252)-SUM($B271:D271))/$AI18&gt;1,ROUNDDOWN((SUM($B252:E252)-SUM($B271:D271))/$AI18,0)*$AI18,0),SUM($B195:$AP195)-SUM($B271:D271))</f>
        <v>0</v>
      </c>
      <c r="F271" s="26">
        <f>IF(SUM($B195:$AP195)-SUM($B271:E271)&gt;$AI18,IF((SUM($B252:F252)-SUM($B271:E271))/$AI18&gt;1,ROUNDDOWN((SUM($B252:F252)-SUM($B271:E271))/$AI18,0)*$AI18,0),SUM($B195:$AP195)-SUM($B271:E271))</f>
        <v>0</v>
      </c>
      <c r="G271" s="26">
        <f>IF(SUM($B195:$AP195)-SUM($B271:F271)&gt;$AI18,IF((SUM($B252:G252)-SUM($B271:F271))/$AI18&gt;1,ROUNDDOWN((SUM($B252:G252)-SUM($B271:F271))/$AI18,0)*$AI18,0),SUM($B195:$AP195)-SUM($B271:F271))</f>
        <v>0</v>
      </c>
      <c r="H271" s="26">
        <f>IF(SUM($B195:$AP195)-SUM($B271:G271)&gt;$AI18,IF((SUM($B252:H252)-SUM($B271:G271))/$AI18&gt;1,ROUNDDOWN((SUM($B252:H252)-SUM($B271:G271))/$AI18,0)*$AI18,0),SUM($B195:$AP195)-SUM($B271:G271))</f>
        <v>0</v>
      </c>
      <c r="I271" s="26">
        <f>IF(SUM($B195:$AP195)-SUM($B271:H271)&gt;$AI18,IF((SUM($B252:I252)-SUM($B271:H271))/$AI18&gt;1,ROUNDDOWN((SUM($B252:I252)-SUM($B271:H271))/$AI18,0)*$AI18,0),SUM($B195:$AP195)-SUM($B271:H271))</f>
        <v>0</v>
      </c>
      <c r="J271" s="26">
        <f>IF(SUM($B195:$AP195)-SUM($B271:I271)&gt;$AI18,IF((SUM($B252:J252)-SUM($B271:I271))/$AI18&gt;1,ROUNDDOWN((SUM($B252:J252)-SUM($B271:I271))/$AI18,0)*$AI18,0),SUM($B195:$AP195)-SUM($B271:I271))</f>
        <v>0</v>
      </c>
      <c r="K271" s="26">
        <f>IF(SUM($B195:$AP195)-SUM($B271:J271)&gt;$AI18,IF((SUM($B252:K252)-SUM($B271:J271))/$AI18&gt;1,ROUNDDOWN((SUM($B252:K252)-SUM($B271:J271))/$AI18,0)*$AI18,0),SUM($B195:$AP195)-SUM($B271:J271))</f>
        <v>0</v>
      </c>
      <c r="L271" s="26">
        <f>IF(SUM($B195:$AP195)-SUM($B271:K271)&gt;$AI18,IF((SUM($B252:L252)-SUM($B271:K271))/$AI18&gt;1,ROUNDDOWN((SUM($B252:L252)-SUM($B271:K271))/$AI18,0)*$AI18,0),SUM($B195:$AP195)-SUM($B271:K271))</f>
        <v>0</v>
      </c>
      <c r="M271" s="26">
        <f>IF(SUM($B195:$AP195)-SUM($B271:L271)&gt;$AI18,IF((SUM($B252:M252)-SUM($B271:L271))/$AI18&gt;1,ROUNDDOWN((SUM($B252:M252)-SUM($B271:L271))/$AI18,0)*$AI18,0),SUM($B195:$AP195)-SUM($B271:L271))</f>
        <v>0</v>
      </c>
      <c r="N271" s="26">
        <f>IF(SUM($B195:$AP195)-SUM($B271:M271)&gt;$AI18,IF((SUM($B252:N252)-SUM($B271:M271))/$AI18&gt;1,ROUNDDOWN((SUM($B252:N252)-SUM($B271:M271))/$AI18,0)*$AI18,0),SUM($B195:$AP195)-SUM($B271:M271))</f>
        <v>0</v>
      </c>
      <c r="O271" s="26">
        <f>IF(SUM($B195:$AP195)-SUM($B271:N271)&gt;$AI18,IF((SUM($B252:O252)-SUM($B271:N271))/$AI18&gt;1,ROUNDDOWN((SUM($B252:O252)-SUM($B271:N271))/$AI18,0)*$AI18,0),SUM($B195:$AP195)-SUM($B271:N271))</f>
        <v>0</v>
      </c>
      <c r="P271" s="26">
        <f>IF(SUM($B195:$AP195)-SUM($B271:O271)&gt;$AI18,IF((SUM($B252:P252)-SUM($B271:O271))/$AI18&gt;1,ROUNDDOWN((SUM($B252:P252)-SUM($B271:O271))/$AI18,0)*$AI18,0),SUM($B195:$AP195)-SUM($B271:O271))</f>
        <v>0</v>
      </c>
      <c r="Q271" s="26">
        <f>IF(SUM($B195:$AP195)-SUM($B271:P271)&gt;$AI18,IF((SUM($B252:Q252)-SUM($B271:P271))/$AI18&gt;1,ROUNDDOWN((SUM($B252:Q252)-SUM($B271:P271))/$AI18,0)*$AI18,0),SUM($B195:$AP195)-SUM($B271:P271))</f>
        <v>0</v>
      </c>
      <c r="R271" s="26">
        <f>IF(SUM($B195:$AP195)-SUM($B271:Q271)&gt;$AI18,IF((SUM($B252:R252)-SUM($B271:Q271))/$AI18&gt;1,ROUNDDOWN((SUM($B252:R252)-SUM($B271:Q271))/$AI18,0)*$AI18,0),SUM($B195:$AP195)-SUM($B271:Q271))</f>
        <v>0</v>
      </c>
      <c r="S271" s="26">
        <f>IF(SUM($B195:$AP195)-SUM($B271:R271)&gt;$AI18,IF((SUM($B252:S252)-SUM($B271:R271))/$AI18&gt;1,ROUNDDOWN((SUM($B252:S252)-SUM($B271:R271))/$AI18,0)*$AI18,0),SUM($B195:$AP195)-SUM($B271:R271))</f>
        <v>66</v>
      </c>
      <c r="T271" s="26">
        <f>IF(SUM($B195:$AP195)-SUM($B271:S271)&gt;$AI18,IF((SUM($B252:T252)-SUM($B271:S271))/$AI18&gt;1,ROUNDDOWN((SUM($B252:T252)-SUM($B271:S271))/$AI18,0)*$AI18,0),SUM($B195:$AP195)-SUM($B271:S271))</f>
        <v>66</v>
      </c>
      <c r="U271" s="26">
        <f>IF(SUM($B195:$AP195)-SUM($B271:T271)&gt;$AI18,IF((SUM($B252:U252)-SUM($B271:T271))/$AI18&gt;1,ROUNDDOWN((SUM($B252:U252)-SUM($B271:T271))/$AI18,0)*$AI18,0),SUM($B195:$AP195)-SUM($B271:T271))</f>
        <v>99</v>
      </c>
      <c r="V271" s="26">
        <f>IF(SUM($B195:$AP195)-SUM($B271:U271)&gt;$AI18,IF((SUM($B252:V252)-SUM($B271:U271))/$AI18&gt;1,ROUNDDOWN((SUM($B252:V252)-SUM($B271:U271))/$AI18,0)*$AI18,0),SUM($B195:$AP195)-SUM($B271:U271))</f>
        <v>99</v>
      </c>
      <c r="W271" s="26">
        <f>IF(SUM($B195:$AP195)-SUM($B271:V271)&gt;$AI18,IF((SUM($B252:W252)-SUM($B271:V271))/$AI18&gt;1,ROUNDDOWN((SUM($B252:W252)-SUM($B271:V271))/$AI18,0)*$AI18,0),SUM($B195:$AP195)-SUM($B271:V271))</f>
        <v>264</v>
      </c>
      <c r="X271" s="26">
        <f>IF(SUM($B195:$AP195)-SUM($B271:W271)&gt;$AI18,IF((SUM($B252:X252)-SUM($B271:W271))/$AI18&gt;1,ROUNDDOWN((SUM($B252:X252)-SUM($B271:W271))/$AI18,0)*$AI18,0),SUM($B195:$AP195)-SUM($B271:W271))</f>
        <v>297</v>
      </c>
      <c r="Y271" s="26">
        <f>IF(SUM($B195:$AP195)-SUM($B271:X271)&gt;$AI18,IF((SUM($B252:Y252)-SUM($B271:X271))/$AI18&gt;1,ROUNDDOWN((SUM($B252:Y252)-SUM($B271:X271))/$AI18,0)*$AI18,0),SUM($B195:$AP195)-SUM($B271:X271))</f>
        <v>528</v>
      </c>
      <c r="Z271" s="26">
        <f>IF(SUM($B195:$AP195)-SUM($B271:Y271)&gt;$AI18,IF((SUM($B252:Z252)-SUM($B271:Y271))/$AI18&gt;1,ROUNDDOWN((SUM($B252:Z252)-SUM($B271:Y271))/$AI18,0)*$AI18,0),SUM($B195:$AP195)-SUM($B271:Y271))</f>
        <v>957</v>
      </c>
      <c r="AA271" s="26">
        <f>IF(SUM($B195:$AP195)-SUM($B271:Z271)&gt;$AI18,IF((SUM($B252:AA252)-SUM($B271:Z271))/$AI18&gt;1,ROUNDDOWN((SUM($B252:AA252)-SUM($B271:Z271))/$AI18,0)*$AI18,0),SUM($B195:$AP195)-SUM($B271:Z271))</f>
        <v>957</v>
      </c>
      <c r="AB271" s="26">
        <f>IF(SUM($B195:$AP195)-SUM($B271:AA271)&gt;$AI18,IF((SUM($B252:AB252)-SUM($B271:AA271))/$AI18&gt;1,ROUNDDOWN((SUM($B252:AB252)-SUM($B271:AA271))/$AI18,0)*$AI18,0),SUM($B195:$AP195)-SUM($B271:AA271))</f>
        <v>792</v>
      </c>
      <c r="AC271" s="26">
        <f>IF(SUM($B195:$AP195)-SUM($B271:AB271)&gt;$AI18,IF((SUM($B252:AC252)-SUM($B271:AB271))/$AI18&gt;1,ROUNDDOWN((SUM($B252:AC252)-SUM($B271:AB271))/$AI18,0)*$AI18,0),SUM($B195:$AP195)-SUM($B271:AB271))</f>
        <v>693</v>
      </c>
      <c r="AD271" s="26">
        <f>IF(SUM($B195:$AP195)-SUM($B271:AC271)&gt;$AI18,IF((SUM($B252:AD252)-SUM($B271:AC271))/$AI18&gt;1,ROUNDDOWN((SUM($B252:AD252)-SUM($B271:AC271))/$AI18,0)*$AI18,0),SUM($B195:$AP195)-SUM($B271:AC271))</f>
        <v>990</v>
      </c>
      <c r="AE271" s="26">
        <f>IF(SUM($B195:$AP195)-SUM($B271:AD271)&gt;$AI18,IF((SUM($B252:AE252)-SUM($B271:AD271))/$AI18&gt;1,ROUNDDOWN((SUM($B252:AE252)-SUM($B271:AD271))/$AI18,0)*$AI18,0),SUM($B195:$AP195)-SUM($B271:AD271))</f>
        <v>3960</v>
      </c>
      <c r="AF271" s="26">
        <f>IF(SUM($B195:$AP195)-SUM($B271:AE271)&gt;$AI18,IF((SUM($B252:AF252)-SUM($B271:AE271))/$AI18&gt;1,ROUNDDOWN((SUM($B252:AF252)-SUM($B271:AE271))/$AI18,0)*$AI18,0),SUM($B195:$AP195)-SUM($B271:AE271))</f>
        <v>5280</v>
      </c>
      <c r="AG271" s="26">
        <f>IF(SUM($B195:$AP195)-SUM($B271:AF271)&gt;$AI18,IF((SUM($B252:AG252)-SUM($B271:AF271))/$AI18&gt;1,ROUNDDOWN((SUM($B252:AG252)-SUM($B271:AF271))/$AI18,0)*$AI18,0),SUM($B195:$AP195)-SUM($B271:AF271))</f>
        <v>6501</v>
      </c>
      <c r="AH271" s="26">
        <f>IF(SUM($B195:$AP195)-SUM($B271:AG271)&gt;$AI18,IF((SUM($B252:AH252)-SUM($B271:AG271))/$AI18&gt;1,ROUNDDOWN((SUM($B252:AH252)-SUM($B271:AG271))/$AI18,0)*$AI18,0),SUM($B195:$AP195)-SUM($B271:AG271))</f>
        <v>9108</v>
      </c>
      <c r="AI271" s="26">
        <f>IF(SUM($B195:$AP195)-SUM($B271:AH271)&gt;$AI18,IF((SUM($B252:AI252)-SUM($B271:AH271))/$AI18&gt;1,ROUNDDOWN((SUM($B252:AI252)-SUM($B271:AH271))/$AI18,0)*$AI18,0),SUM($B195:$AP195)-SUM($B271:AH271))</f>
        <v>9900</v>
      </c>
      <c r="AJ271" s="26">
        <f>IF(SUM($B195:$AP195)-SUM($B271:AI271)&gt;$AI18,IF((SUM($B252:AJ252)-SUM($B271:AI271))/$AI18&gt;1,ROUNDDOWN((SUM($B252:AJ252)-SUM($B271:AI271))/$AI18,0)*$AI18,0),SUM($B195:$AP195)-SUM($B271:AI271))</f>
        <v>7194</v>
      </c>
      <c r="AK271" s="26">
        <f>IF(SUM($B195:$AP195)-SUM($B271:AJ271)&gt;$AI18,IF((SUM($B252:AK252)-SUM($B271:AJ271))/$AI18&gt;1,ROUNDDOWN((SUM($B252:AK252)-SUM($B271:AJ271))/$AI18,0)*$AI18,0),SUM($B195:$AP195)-SUM($B271:AJ271))</f>
        <v>6006</v>
      </c>
      <c r="AL271" s="26">
        <f>IF(SUM($B195:$AP195)-SUM($B271:AK271)&gt;$AI18,IF((SUM($B252:AL252)-SUM($B271:AK271))/$AI18&gt;1,ROUNDDOWN((SUM($B252:AL252)-SUM($B271:AK271))/$AI18,0)*$AI18,0),SUM($B195:$AP195)-SUM($B271:AK271))</f>
        <v>4950</v>
      </c>
      <c r="AM271" s="26">
        <f>IF(SUM($B195:$AP195)-SUM($B271:AL271)&gt;$AI18,IF((SUM($B252:AM252)-SUM($B271:AL271))/$AI18&gt;1,ROUNDDOWN((SUM($B252:AM252)-SUM($B271:AL271))/$AI18,0)*$AI18,0),SUM($B195:$AP195)-SUM($B271:AL271))</f>
        <v>2409</v>
      </c>
      <c r="AN271" s="26">
        <f>IF(SUM($B195:$AP195)-SUM($B271:AM271)&gt;$AI18,IF((SUM($B252:AN252)-SUM($B271:AM271))/$AI18&gt;1,ROUNDDOWN((SUM($B252:AN252)-SUM($B271:AM271))/$AI18,0)*$AI18,0),SUM($B195:$AP195)-SUM($B271:AM271))</f>
        <v>1056</v>
      </c>
      <c r="AO271" s="26">
        <f>IF(SUM($B195:$AP195)-SUM($B271:AN271)&gt;$AI18,IF((SUM($B252:AO252)-SUM($B271:AN271))/$AI18&gt;1,ROUNDDOWN((SUM($B252:AO252)-SUM($B271:AN271))/$AI18,0)*$AI18,0),SUM($B195:$AP195)-SUM($B271:AN271))</f>
        <v>462</v>
      </c>
      <c r="AP271" s="26">
        <f>IF(SUM($B195:$AP195)-SUM($B271:AO271)&gt;$AI18,IF((SUM($B252:AP252)-SUM($B271:AO271))/$AI18&gt;1,ROUNDDOWN((SUM($B252:AP252)-SUM($B271:AO271))/$AI18,0)*$AI18,0),SUM($B195:$AP195)-SUM($B271:AO271))</f>
        <v>330</v>
      </c>
    </row>
    <row r="272" spans="1:42">
      <c r="A272" t="s">
        <v>2382</v>
      </c>
      <c r="B272" s="26">
        <v>0</v>
      </c>
      <c r="C272" s="26">
        <f>IF(SUM($B196:$AP196)-SUM($B272:B272)&gt;$AI19,IF((SUM($B253:C253)-SUM($B272:B272))/$AI19&gt;1,ROUNDDOWN((SUM($B253:C253)-SUM($B272:B272))/$AI19,0)*$AI19,0),SUM($B196:$AP196)-SUM($B272:B272))</f>
        <v>5</v>
      </c>
      <c r="D272" s="26">
        <f>IF(SUM($B196:$AP196)-SUM($B272:C272)&gt;$AI19,IF((SUM($B253:D253)-SUM($B272:C272))/$AI19&gt;1,ROUNDDOWN((SUM($B253:D253)-SUM($B272:C272))/$AI19,0)*$AI19,0),SUM($B196:$AP196)-SUM($B272:C272))</f>
        <v>0</v>
      </c>
      <c r="E272" s="26">
        <f>IF(SUM($B196:$AP196)-SUM($B272:D272)&gt;$AI19,IF((SUM($B253:E253)-SUM($B272:D272))/$AI19&gt;1,ROUNDDOWN((SUM($B253:E253)-SUM($B272:D272))/$AI19,0)*$AI19,0),SUM($B196:$AP196)-SUM($B272:D272))</f>
        <v>10</v>
      </c>
      <c r="F272" s="26">
        <f>IF(SUM($B196:$AP196)-SUM($B272:E272)&gt;$AI19,IF((SUM($B253:F253)-SUM($B272:E272))/$AI19&gt;1,ROUNDDOWN((SUM($B253:F253)-SUM($B272:E272))/$AI19,0)*$AI19,0),SUM($B196:$AP196)-SUM($B272:E272))</f>
        <v>5</v>
      </c>
      <c r="G272" s="26">
        <f>IF(SUM($B196:$AP196)-SUM($B272:F272)&gt;$AI19,IF((SUM($B253:G253)-SUM($B272:F272))/$AI19&gt;1,ROUNDDOWN((SUM($B253:G253)-SUM($B272:F272))/$AI19,0)*$AI19,0),SUM($B196:$AP196)-SUM($B272:F272))</f>
        <v>5</v>
      </c>
      <c r="H272" s="26">
        <f>IF(SUM($B196:$AP196)-SUM($B272:G272)&gt;$AI19,IF((SUM($B253:H253)-SUM($B272:G272))/$AI19&gt;1,ROUNDDOWN((SUM($B253:H253)-SUM($B272:G272))/$AI19,0)*$AI19,0),SUM($B196:$AP196)-SUM($B272:G272))</f>
        <v>5</v>
      </c>
      <c r="I272" s="26">
        <f>IF(SUM($B196:$AP196)-SUM($B272:H272)&gt;$AI19,IF((SUM($B253:I253)-SUM($B272:H272))/$AI19&gt;1,ROUNDDOWN((SUM($B253:I253)-SUM($B272:H272))/$AI19,0)*$AI19,0),SUM($B196:$AP196)-SUM($B272:H272))</f>
        <v>10</v>
      </c>
      <c r="J272" s="26">
        <f>IF(SUM($B196:$AP196)-SUM($B272:I272)&gt;$AI19,IF((SUM($B253:J253)-SUM($B272:I272))/$AI19&gt;1,ROUNDDOWN((SUM($B253:J253)-SUM($B272:I272))/$AI19,0)*$AI19,0),SUM($B196:$AP196)-SUM($B272:I272))</f>
        <v>5</v>
      </c>
      <c r="K272" s="26">
        <f>IF(SUM($B196:$AP196)-SUM($B272:J272)&gt;$AI19,IF((SUM($B253:K253)-SUM($B272:J272))/$AI19&gt;1,ROUNDDOWN((SUM($B253:K253)-SUM($B272:J272))/$AI19,0)*$AI19,0),SUM($B196:$AP196)-SUM($B272:J272))</f>
        <v>5</v>
      </c>
      <c r="L272" s="26">
        <f>IF(SUM($B196:$AP196)-SUM($B272:K272)&gt;$AI19,IF((SUM($B253:L253)-SUM($B272:K272))/$AI19&gt;1,ROUNDDOWN((SUM($B253:L253)-SUM($B272:K272))/$AI19,0)*$AI19,0),SUM($B196:$AP196)-SUM($B272:K272))</f>
        <v>5</v>
      </c>
      <c r="M272" s="26">
        <f>IF(SUM($B196:$AP196)-SUM($B272:L272)&gt;$AI19,IF((SUM($B253:M253)-SUM($B272:L272))/$AI19&gt;1,ROUNDDOWN((SUM($B253:M253)-SUM($B272:L272))/$AI19,0)*$AI19,0),SUM($B196:$AP196)-SUM($B272:L272))</f>
        <v>5</v>
      </c>
      <c r="N272" s="26">
        <f>IF(SUM($B196:$AP196)-SUM($B272:M272)&gt;$AI19,IF((SUM($B253:N253)-SUM($B272:M272))/$AI19&gt;1,ROUNDDOWN((SUM($B253:N253)-SUM($B272:M272))/$AI19,0)*$AI19,0),SUM($B196:$AP196)-SUM($B272:M272))</f>
        <v>5</v>
      </c>
      <c r="O272" s="26">
        <f>IF(SUM($B196:$AP196)-SUM($B272:N272)&gt;$AI19,IF((SUM($B253:O253)-SUM($B272:N272))/$AI19&gt;1,ROUNDDOWN((SUM($B253:O253)-SUM($B272:N272))/$AI19,0)*$AI19,0),SUM($B196:$AP196)-SUM($B272:N272))</f>
        <v>5</v>
      </c>
      <c r="P272" s="26">
        <f>IF(SUM($B196:$AP196)-SUM($B272:O272)&gt;$AI19,IF((SUM($B253:P253)-SUM($B272:O272))/$AI19&gt;1,ROUNDDOWN((SUM($B253:P253)-SUM($B272:O272))/$AI19,0)*$AI19,0),SUM($B196:$AP196)-SUM($B272:O272))</f>
        <v>0</v>
      </c>
      <c r="Q272" s="26">
        <f>IF(SUM($B196:$AP196)-SUM($B272:P272)&gt;$AI19,IF((SUM($B253:Q253)-SUM($B272:P272))/$AI19&gt;1,ROUNDDOWN((SUM($B253:Q253)-SUM($B272:P272))/$AI19,0)*$AI19,0),SUM($B196:$AP196)-SUM($B272:P272))</f>
        <v>5</v>
      </c>
      <c r="R272" s="26">
        <f>IF(SUM($B196:$AP196)-SUM($B272:Q272)&gt;$AI19,IF((SUM($B253:R253)-SUM($B272:Q272))/$AI19&gt;1,ROUNDDOWN((SUM($B253:R253)-SUM($B272:Q272))/$AI19,0)*$AI19,0),SUM($B196:$AP196)-SUM($B272:Q272))</f>
        <v>0</v>
      </c>
      <c r="S272" s="26">
        <f>IF(SUM($B196:$AP196)-SUM($B272:R272)&gt;$AI19,IF((SUM($B253:S253)-SUM($B272:R272))/$AI19&gt;1,ROUNDDOWN((SUM($B253:S253)-SUM($B272:R272))/$AI19,0)*$AI19,0),SUM($B196:$AP196)-SUM($B272:R272))</f>
        <v>5</v>
      </c>
      <c r="T272" s="26">
        <f>IF(SUM($B196:$AP196)-SUM($B272:S272)&gt;$AI19,IF((SUM($B253:T253)-SUM($B272:S272))/$AI19&gt;1,ROUNDDOWN((SUM($B253:T253)-SUM($B272:S272))/$AI19,0)*$AI19,0),SUM($B196:$AP196)-SUM($B272:S272))</f>
        <v>0</v>
      </c>
      <c r="U272" s="26">
        <f>IF(SUM($B196:$AP196)-SUM($B272:T272)&gt;$AI19,IF((SUM($B253:U253)-SUM($B272:T272))/$AI19&gt;1,ROUNDDOWN((SUM($B253:U253)-SUM($B272:T272))/$AI19,0)*$AI19,0),SUM($B196:$AP196)-SUM($B272:T272))</f>
        <v>5</v>
      </c>
      <c r="V272" s="26">
        <f>IF(SUM($B196:$AP196)-SUM($B272:U272)&gt;$AI19,IF((SUM($B253:V253)-SUM($B272:U272))/$AI19&gt;1,ROUNDDOWN((SUM($B253:V253)-SUM($B272:U272))/$AI19,0)*$AI19,0),SUM($B196:$AP196)-SUM($B272:U272))</f>
        <v>0</v>
      </c>
      <c r="W272" s="26">
        <f>IF(SUM($B196:$AP196)-SUM($B272:V272)&gt;$AI19,IF((SUM($B253:W253)-SUM($B272:V272))/$AI19&gt;1,ROUNDDOWN((SUM($B253:W253)-SUM($B272:V272))/$AI19,0)*$AI19,0),SUM($B196:$AP196)-SUM($B272:V272))</f>
        <v>0</v>
      </c>
      <c r="X272" s="26">
        <f>IF(SUM($B196:$AP196)-SUM($B272:W272)&gt;$AI19,IF((SUM($B253:X253)-SUM($B272:W272))/$AI19&gt;1,ROUNDDOWN((SUM($B253:X253)-SUM($B272:W272))/$AI19,0)*$AI19,0),SUM($B196:$AP196)-SUM($B272:W272))</f>
        <v>0</v>
      </c>
      <c r="Y272" s="26">
        <f>IF(SUM($B196:$AP196)-SUM($B272:X272)&gt;$AI19,IF((SUM($B253:Y253)-SUM($B272:X272))/$AI19&gt;1,ROUNDDOWN((SUM($B253:Y253)-SUM($B272:X272))/$AI19,0)*$AI19,0),SUM($B196:$AP196)-SUM($B272:X272))</f>
        <v>5</v>
      </c>
      <c r="Z272" s="26">
        <f>IF(SUM($B196:$AP196)-SUM($B272:Y272)&gt;$AI19,IF((SUM($B253:Z253)-SUM($B272:Y272))/$AI19&gt;1,ROUNDDOWN((SUM($B253:Z253)-SUM($B272:Y272))/$AI19,0)*$AI19,0),SUM($B196:$AP196)-SUM($B272:Y272))</f>
        <v>0</v>
      </c>
      <c r="AA272" s="26">
        <f>IF(SUM($B196:$AP196)-SUM($B272:Z272)&gt;$AI19,IF((SUM($B253:AA253)-SUM($B272:Z272))/$AI19&gt;1,ROUNDDOWN((SUM($B253:AA253)-SUM($B272:Z272))/$AI19,0)*$AI19,0),SUM($B196:$AP196)-SUM($B272:Z272))</f>
        <v>0</v>
      </c>
      <c r="AB272" s="26">
        <f>IF(SUM($B196:$AP196)-SUM($B272:AA272)&gt;$AI19,IF((SUM($B253:AB253)-SUM($B272:AA272))/$AI19&gt;1,ROUNDDOWN((SUM($B253:AB253)-SUM($B272:AA272))/$AI19,0)*$AI19,0),SUM($B196:$AP196)-SUM($B272:AA272))</f>
        <v>0</v>
      </c>
      <c r="AC272" s="26">
        <f>IF(SUM($B196:$AP196)-SUM($B272:AB272)&gt;$AI19,IF((SUM($B253:AC253)-SUM($B272:AB272))/$AI19&gt;1,ROUNDDOWN((SUM($B253:AC253)-SUM($B272:AB272))/$AI19,0)*$AI19,0),SUM($B196:$AP196)-SUM($B272:AB272))</f>
        <v>0</v>
      </c>
      <c r="AD272" s="26">
        <f>IF(SUM($B196:$AP196)-SUM($B272:AC272)&gt;$AI19,IF((SUM($B253:AD253)-SUM($B272:AC272))/$AI19&gt;1,ROUNDDOWN((SUM($B253:AD253)-SUM($B272:AC272))/$AI19,0)*$AI19,0),SUM($B196:$AP196)-SUM($B272:AC272))</f>
        <v>3655</v>
      </c>
      <c r="AE272" s="26">
        <f>IF(SUM($B196:$AP196)-SUM($B272:AD272)&gt;$AI19,IF((SUM($B253:AE253)-SUM($B272:AD272))/$AI19&gt;1,ROUNDDOWN((SUM($B253:AE253)-SUM($B272:AD272))/$AI19,0)*$AI19,0),SUM($B196:$AP196)-SUM($B272:AD272))</f>
        <v>6640</v>
      </c>
      <c r="AF272" s="26">
        <f>IF(SUM($B196:$AP196)-SUM($B272:AE272)&gt;$AI19,IF((SUM($B253:AF253)-SUM($B272:AE272))/$AI19&gt;1,ROUNDDOWN((SUM($B253:AF253)-SUM($B272:AE272))/$AI19,0)*$AI19,0),SUM($B196:$AP196)-SUM($B272:AE272))</f>
        <v>6645</v>
      </c>
      <c r="AG272" s="26">
        <f>IF(SUM($B196:$AP196)-SUM($B272:AF272)&gt;$AI19,IF((SUM($B253:AG253)-SUM($B272:AF272))/$AI19&gt;1,ROUNDDOWN((SUM($B253:AG253)-SUM($B272:AF272))/$AI19,0)*$AI19,0),SUM($B196:$AP196)-SUM($B272:AF272))</f>
        <v>6640</v>
      </c>
      <c r="AH272" s="26">
        <f>IF(SUM($B196:$AP196)-SUM($B272:AG272)&gt;$AI19,IF((SUM($B253:AH253)-SUM($B272:AG272))/$AI19&gt;1,ROUNDDOWN((SUM($B253:AH253)-SUM($B272:AG272))/$AI19,0)*$AI19,0),SUM($B196:$AP196)-SUM($B272:AG272))</f>
        <v>6640</v>
      </c>
      <c r="AI272" s="26">
        <f>IF(SUM($B196:$AP196)-SUM($B272:AH272)&gt;$AI19,IF((SUM($B253:AI253)-SUM($B272:AH272))/$AI19&gt;1,ROUNDDOWN((SUM($B253:AI253)-SUM($B272:AH272))/$AI19,0)*$AI19,0),SUM($B196:$AP196)-SUM($B272:AH272))</f>
        <v>2985</v>
      </c>
      <c r="AJ272" s="26">
        <f>IF(SUM($B196:$AP196)-SUM($B272:AI272)&gt;$AI19,IF((SUM($B253:AJ253)-SUM($B272:AI272))/$AI19&gt;1,ROUNDDOWN((SUM($B253:AJ253)-SUM($B272:AI272))/$AI19,0)*$AI19,0),SUM($B196:$AP196)-SUM($B272:AI272))</f>
        <v>2.55026304113562</v>
      </c>
      <c r="AK272" s="26">
        <f>IF(SUM($B196:$AP196)-SUM($B272:AJ272)&gt;$AI19,IF((SUM($B253:AK253)-SUM($B272:AJ272))/$AI19&gt;1,ROUNDDOWN((SUM($B253:AK253)-SUM($B272:AJ272))/$AI19,0)*$AI19,0),SUM($B196:$AP196)-SUM($B272:AJ272))</f>
        <v>0</v>
      </c>
      <c r="AL272" s="26">
        <f>IF(SUM($B196:$AP196)-SUM($B272:AK272)&gt;$AI19,IF((SUM($B253:AL253)-SUM($B272:AK272))/$AI19&gt;1,ROUNDDOWN((SUM($B253:AL253)-SUM($B272:AK272))/$AI19,0)*$AI19,0),SUM($B196:$AP196)-SUM($B272:AK272))</f>
        <v>0</v>
      </c>
      <c r="AM272" s="26">
        <f>IF(SUM($B196:$AP196)-SUM($B272:AL272)&gt;$AI19,IF((SUM($B253:AM253)-SUM($B272:AL272))/$AI19&gt;1,ROUNDDOWN((SUM($B253:AM253)-SUM($B272:AL272))/$AI19,0)*$AI19,0),SUM($B196:$AP196)-SUM($B272:AL272))</f>
        <v>0</v>
      </c>
      <c r="AN272" s="26">
        <f>IF(SUM($B196:$AP196)-SUM($B272:AM272)&gt;$AI19,IF((SUM($B253:AN253)-SUM($B272:AM272))/$AI19&gt;1,ROUNDDOWN((SUM($B253:AN253)-SUM($B272:AM272))/$AI19,0)*$AI19,0),SUM($B196:$AP196)-SUM($B272:AM272))</f>
        <v>0</v>
      </c>
      <c r="AO272" s="26">
        <f>IF(SUM($B196:$AP196)-SUM($B272:AN272)&gt;$AI19,IF((SUM($B253:AO253)-SUM($B272:AN272))/$AI19&gt;1,ROUNDDOWN((SUM($B253:AO253)-SUM($B272:AN272))/$AI19,0)*$AI19,0),SUM($B196:$AP196)-SUM($B272:AN272))</f>
        <v>0</v>
      </c>
      <c r="AP272" s="26">
        <f>IF(SUM($B196:$AP196)-SUM($B272:AO272)&gt;$AI19,IF((SUM($B253:AP253)-SUM($B272:AO272))/$AI19&gt;1,ROUNDDOWN((SUM($B253:AP253)-SUM($B272:AO272))/$AI19,0)*$AI19,0),SUM($B196:$AP196)-SUM($B272:AO272))</f>
        <v>0</v>
      </c>
    </row>
    <row r="273" spans="1:42">
      <c r="A273" t="s">
        <v>2383</v>
      </c>
      <c r="B273" s="26">
        <v>0</v>
      </c>
      <c r="C273" s="26">
        <f>IF(SUM($B197:$AP197)-SUM($B273:B273)&gt;$AI20,IF((SUM($B254:C254)-SUM($B273:B273))/$AI20&gt;1,ROUNDDOWN((SUM($B254:C254)-SUM($B273:B273))/$AI20,0)*$AI20,0),SUM($B197:$AP197)-SUM($B273:B273))</f>
        <v>70</v>
      </c>
      <c r="D273" s="26">
        <f>IF(SUM($B197:$AP197)-SUM($B273:C273)&gt;$AI20,IF((SUM($B254:D254)-SUM($B273:C273))/$AI20&gt;1,ROUNDDOWN((SUM($B254:D254)-SUM($B273:C273))/$AI20,0)*$AI20,0),SUM($B197:$AP197)-SUM($B273:C273))</f>
        <v>65</v>
      </c>
      <c r="E273" s="26">
        <f>IF(SUM($B197:$AP197)-SUM($B273:D273)&gt;$AI20,IF((SUM($B254:E254)-SUM($B273:D273))/$AI20&gt;1,ROUNDDOWN((SUM($B254:E254)-SUM($B273:D273))/$AI20,0)*$AI20,0),SUM($B197:$AP197)-SUM($B273:D273))</f>
        <v>80</v>
      </c>
      <c r="F273" s="26">
        <f>IF(SUM($B197:$AP197)-SUM($B273:E273)&gt;$AI20,IF((SUM($B254:F254)-SUM($B273:E273))/$AI20&gt;1,ROUNDDOWN((SUM($B254:F254)-SUM($B273:E273))/$AI20,0)*$AI20,0),SUM($B197:$AP197)-SUM($B273:E273))</f>
        <v>90</v>
      </c>
      <c r="G273" s="26">
        <f>IF(SUM($B197:$AP197)-SUM($B273:F273)&gt;$AI20,IF((SUM($B254:G254)-SUM($B273:F273))/$AI20&gt;1,ROUNDDOWN((SUM($B254:G254)-SUM($B273:F273))/$AI20,0)*$AI20,0),SUM($B197:$AP197)-SUM($B273:F273))</f>
        <v>85</v>
      </c>
      <c r="H273" s="26">
        <f>IF(SUM($B197:$AP197)-SUM($B273:G273)&gt;$AI20,IF((SUM($B254:H254)-SUM($B273:G273))/$AI20&gt;1,ROUNDDOWN((SUM($B254:H254)-SUM($B273:G273))/$AI20,0)*$AI20,0),SUM($B197:$AP197)-SUM($B273:G273))</f>
        <v>90</v>
      </c>
      <c r="I273" s="26">
        <f>IF(SUM($B197:$AP197)-SUM($B273:H273)&gt;$AI20,IF((SUM($B254:I254)-SUM($B273:H273))/$AI20&gt;1,ROUNDDOWN((SUM($B254:I254)-SUM($B273:H273))/$AI20,0)*$AI20,0),SUM($B197:$AP197)-SUM($B273:H273))</f>
        <v>85</v>
      </c>
      <c r="J273" s="26">
        <f>IF(SUM($B197:$AP197)-SUM($B273:I273)&gt;$AI20,IF((SUM($B254:J254)-SUM($B273:I273))/$AI20&gt;1,ROUNDDOWN((SUM($B254:J254)-SUM($B273:I273))/$AI20,0)*$AI20,0),SUM($B197:$AP197)-SUM($B273:I273))</f>
        <v>90</v>
      </c>
      <c r="K273" s="26">
        <f>IF(SUM($B197:$AP197)-SUM($B273:J273)&gt;$AI20,IF((SUM($B254:K254)-SUM($B273:J273))/$AI20&gt;1,ROUNDDOWN((SUM($B254:K254)-SUM($B273:J273))/$AI20,0)*$AI20,0),SUM($B197:$AP197)-SUM($B273:J273))</f>
        <v>90</v>
      </c>
      <c r="L273" s="26">
        <f>IF(SUM($B197:$AP197)-SUM($B273:K273)&gt;$AI20,IF((SUM($B254:L254)-SUM($B273:K273))/$AI20&gt;1,ROUNDDOWN((SUM($B254:L254)-SUM($B273:K273))/$AI20,0)*$AI20,0),SUM($B197:$AP197)-SUM($B273:K273))</f>
        <v>75</v>
      </c>
      <c r="M273" s="26">
        <f>IF(SUM($B197:$AP197)-SUM($B273:L273)&gt;$AI20,IF((SUM($B254:M254)-SUM($B273:L273))/$AI20&gt;1,ROUNDDOWN((SUM($B254:M254)-SUM($B273:L273))/$AI20,0)*$AI20,0),SUM($B197:$AP197)-SUM($B273:L273))</f>
        <v>65</v>
      </c>
      <c r="N273" s="26">
        <f>IF(SUM($B197:$AP197)-SUM($B273:M273)&gt;$AI20,IF((SUM($B254:N254)-SUM($B273:M273))/$AI20&gt;1,ROUNDDOWN((SUM($B254:N254)-SUM($B273:M273))/$AI20,0)*$AI20,0),SUM($B197:$AP197)-SUM($B273:M273))</f>
        <v>50</v>
      </c>
      <c r="O273" s="26">
        <f>IF(SUM($B197:$AP197)-SUM($B273:N273)&gt;$AI20,IF((SUM($B254:O254)-SUM($B273:N273))/$AI20&gt;1,ROUNDDOWN((SUM($B254:O254)-SUM($B273:N273))/$AI20,0)*$AI20,0),SUM($B197:$AP197)-SUM($B273:N273))</f>
        <v>45</v>
      </c>
      <c r="P273" s="26">
        <f>IF(SUM($B197:$AP197)-SUM($B273:O273)&gt;$AI20,IF((SUM($B254:P254)-SUM($B273:O273))/$AI20&gt;1,ROUNDDOWN((SUM($B254:P254)-SUM($B273:O273))/$AI20,0)*$AI20,0),SUM($B197:$AP197)-SUM($B273:O273))</f>
        <v>30</v>
      </c>
      <c r="Q273" s="26">
        <f>IF(SUM($B197:$AP197)-SUM($B273:P273)&gt;$AI20,IF((SUM($B254:Q254)-SUM($B273:P273))/$AI20&gt;1,ROUNDDOWN((SUM($B254:Q254)-SUM($B273:P273))/$AI20,0)*$AI20,0),SUM($B197:$AP197)-SUM($B273:P273))</f>
        <v>30</v>
      </c>
      <c r="R273" s="26">
        <f>IF(SUM($B197:$AP197)-SUM($B273:Q273)&gt;$AI20,IF((SUM($B254:R254)-SUM($B273:Q273))/$AI20&gt;1,ROUNDDOWN((SUM($B254:R254)-SUM($B273:Q273))/$AI20,0)*$AI20,0),SUM($B197:$AP197)-SUM($B273:Q273))</f>
        <v>40</v>
      </c>
      <c r="S273" s="26">
        <f>IF(SUM($B197:$AP197)-SUM($B273:R273)&gt;$AI20,IF((SUM($B254:S254)-SUM($B273:R273))/$AI20&gt;1,ROUNDDOWN((SUM($B254:S254)-SUM($B273:R273))/$AI20,0)*$AI20,0),SUM($B197:$AP197)-SUM($B273:R273))</f>
        <v>40</v>
      </c>
      <c r="T273" s="26">
        <f>IF(SUM($B197:$AP197)-SUM($B273:S273)&gt;$AI20,IF((SUM($B254:T254)-SUM($B273:S273))/$AI20&gt;1,ROUNDDOWN((SUM($B254:T254)-SUM($B273:S273))/$AI20,0)*$AI20,0),SUM($B197:$AP197)-SUM($B273:S273))</f>
        <v>30</v>
      </c>
      <c r="U273" s="26">
        <f>IF(SUM($B197:$AP197)-SUM($B273:T273)&gt;$AI20,IF((SUM($B254:U254)-SUM($B273:T273))/$AI20&gt;1,ROUNDDOWN((SUM($B254:U254)-SUM($B273:T273))/$AI20,0)*$AI20,0),SUM($B197:$AP197)-SUM($B273:T273))</f>
        <v>35</v>
      </c>
      <c r="V273" s="26">
        <f>IF(SUM($B197:$AP197)-SUM($B273:U273)&gt;$AI20,IF((SUM($B254:V254)-SUM($B273:U273))/$AI20&gt;1,ROUNDDOWN((SUM($B254:V254)-SUM($B273:U273))/$AI20,0)*$AI20,0),SUM($B197:$AP197)-SUM($B273:U273))</f>
        <v>30</v>
      </c>
      <c r="W273" s="26">
        <f>IF(SUM($B197:$AP197)-SUM($B273:V273)&gt;$AI20,IF((SUM($B254:W254)-SUM($B273:V273))/$AI20&gt;1,ROUNDDOWN((SUM($B254:W254)-SUM($B273:V273))/$AI20,0)*$AI20,0),SUM($B197:$AP197)-SUM($B273:V273))</f>
        <v>15</v>
      </c>
      <c r="X273" s="26">
        <f>IF(SUM($B197:$AP197)-SUM($B273:W273)&gt;$AI20,IF((SUM($B254:X254)-SUM($B273:W273))/$AI20&gt;1,ROUNDDOWN((SUM($B254:X254)-SUM($B273:W273))/$AI20,0)*$AI20,0),SUM($B197:$AP197)-SUM($B273:W273))</f>
        <v>10</v>
      </c>
      <c r="Y273" s="26">
        <f>IF(SUM($B197:$AP197)-SUM($B273:X273)&gt;$AI20,IF((SUM($B254:Y254)-SUM($B273:X273))/$AI20&gt;1,ROUNDDOWN((SUM($B254:Y254)-SUM($B273:X273))/$AI20,0)*$AI20,0),SUM($B197:$AP197)-SUM($B273:X273))</f>
        <v>5</v>
      </c>
      <c r="Z273" s="26">
        <f>IF(SUM($B197:$AP197)-SUM($B273:Y273)&gt;$AI20,IF((SUM($B254:Z254)-SUM($B273:Y273))/$AI20&gt;1,ROUNDDOWN((SUM($B254:Z254)-SUM($B273:Y273))/$AI20,0)*$AI20,0),SUM($B197:$AP197)-SUM($B273:Y273))</f>
        <v>0</v>
      </c>
      <c r="AA273" s="26">
        <f>IF(SUM($B197:$AP197)-SUM($B273:Z273)&gt;$AI20,IF((SUM($B254:AA254)-SUM($B273:Z273))/$AI20&gt;1,ROUNDDOWN((SUM($B254:AA254)-SUM($B273:Z273))/$AI20,0)*$AI20,0),SUM($B197:$AP197)-SUM($B273:Z273))</f>
        <v>0</v>
      </c>
      <c r="AB273" s="26">
        <f>IF(SUM($B197:$AP197)-SUM($B273:AA273)&gt;$AI20,IF((SUM($B254:AB254)-SUM($B273:AA273))/$AI20&gt;1,ROUNDDOWN((SUM($B254:AB254)-SUM($B273:AA273))/$AI20,0)*$AI20,0),SUM($B197:$AP197)-SUM($B273:AA273))</f>
        <v>0</v>
      </c>
      <c r="AC273" s="26">
        <f>IF(SUM($B197:$AP197)-SUM($B273:AB273)&gt;$AI20,IF((SUM($B254:AC254)-SUM($B273:AB273))/$AI20&gt;1,ROUNDDOWN((SUM($B254:AC254)-SUM($B273:AB273))/$AI20,0)*$AI20,0),SUM($B197:$AP197)-SUM($B273:AB273))</f>
        <v>0</v>
      </c>
      <c r="AD273" s="26">
        <f>IF(SUM($B197:$AP197)-SUM($B273:AC273)&gt;$AI20,IF((SUM($B254:AD254)-SUM($B273:AC273))/$AI20&gt;1,ROUNDDOWN((SUM($B254:AD254)-SUM($B273:AC273))/$AI20,0)*$AI20,0),SUM($B197:$AP197)-SUM($B273:AC273))</f>
        <v>0</v>
      </c>
      <c r="AE273" s="26">
        <f>IF(SUM($B197:$AP197)-SUM($B273:AD273)&gt;$AI20,IF((SUM($B254:AE254)-SUM($B273:AD273))/$AI20&gt;1,ROUNDDOWN((SUM($B254:AE254)-SUM($B273:AD273))/$AI20,0)*$AI20,0),SUM($B197:$AP197)-SUM($B273:AD273))</f>
        <v>0</v>
      </c>
      <c r="AF273" s="26">
        <f>IF(SUM($B197:$AP197)-SUM($B273:AE273)&gt;$AI20,IF((SUM($B254:AF254)-SUM($B273:AE273))/$AI20&gt;1,ROUNDDOWN((SUM($B254:AF254)-SUM($B273:AE273))/$AI20,0)*$AI20,0),SUM($B197:$AP197)-SUM($B273:AE273))</f>
        <v>0</v>
      </c>
      <c r="AG273" s="26">
        <f>IF(SUM($B197:$AP197)-SUM($B273:AF273)&gt;$AI20,IF((SUM($B254:AG254)-SUM($B273:AF273))/$AI20&gt;1,ROUNDDOWN((SUM($B254:AG254)-SUM($B273:AF273))/$AI20,0)*$AI20,0),SUM($B197:$AP197)-SUM($B273:AF273))</f>
        <v>0</v>
      </c>
      <c r="AH273" s="26">
        <f>IF(SUM($B197:$AP197)-SUM($B273:AG273)&gt;$AI20,IF((SUM($B254:AH254)-SUM($B273:AG273))/$AI20&gt;1,ROUNDDOWN((SUM($B254:AH254)-SUM($B273:AG273))/$AI20,0)*$AI20,0),SUM($B197:$AP197)-SUM($B273:AG273))</f>
        <v>0</v>
      </c>
      <c r="AI273" s="26">
        <f>IF(SUM($B197:$AP197)-SUM($B273:AH273)&gt;$AI20,IF((SUM($B254:AI254)-SUM($B273:AH273))/$AI20&gt;1,ROUNDDOWN((SUM($B254:AI254)-SUM($B273:AH273))/$AI20,0)*$AI20,0),SUM($B197:$AP197)-SUM($B273:AH273))</f>
        <v>0</v>
      </c>
      <c r="AJ273" s="26">
        <f>IF(SUM($B197:$AP197)-SUM($B273:AI273)&gt;$AI20,IF((SUM($B254:AJ254)-SUM($B273:AI273))/$AI20&gt;1,ROUNDDOWN((SUM($B254:AJ254)-SUM($B273:AI273))/$AI20,0)*$AI20,0),SUM($B197:$AP197)-SUM($B273:AI273))</f>
        <v>0</v>
      </c>
      <c r="AK273" s="26">
        <f>IF(SUM($B197:$AP197)-SUM($B273:AJ273)&gt;$AI20,IF((SUM($B254:AK254)-SUM($B273:AJ273))/$AI20&gt;1,ROUNDDOWN((SUM($B254:AK254)-SUM($B273:AJ273))/$AI20,0)*$AI20,0),SUM($B197:$AP197)-SUM($B273:AJ273))</f>
        <v>0</v>
      </c>
      <c r="AL273" s="26">
        <f>IF(SUM($B197:$AP197)-SUM($B273:AK273)&gt;$AI20,IF((SUM($B254:AL254)-SUM($B273:AK273))/$AI20&gt;1,ROUNDDOWN((SUM($B254:AL254)-SUM($B273:AK273))/$AI20,0)*$AI20,0),SUM($B197:$AP197)-SUM($B273:AK273))</f>
        <v>0</v>
      </c>
      <c r="AM273" s="26">
        <f>IF(SUM($B197:$AP197)-SUM($B273:AL273)&gt;$AI20,IF((SUM($B254:AM254)-SUM($B273:AL273))/$AI20&gt;1,ROUNDDOWN((SUM($B254:AM254)-SUM($B273:AL273))/$AI20,0)*$AI20,0),SUM($B197:$AP197)-SUM($B273:AL273))</f>
        <v>0</v>
      </c>
      <c r="AN273" s="26">
        <f>IF(SUM($B197:$AP197)-SUM($B273:AM273)&gt;$AI20,IF((SUM($B254:AN254)-SUM($B273:AM273))/$AI20&gt;1,ROUNDDOWN((SUM($B254:AN254)-SUM($B273:AM273))/$AI20,0)*$AI20,0),SUM($B197:$AP197)-SUM($B273:AM273))</f>
        <v>0</v>
      </c>
      <c r="AO273" s="26">
        <f>IF(SUM($B197:$AP197)-SUM($B273:AN273)&gt;$AI20,IF((SUM($B254:AO254)-SUM($B273:AN273))/$AI20&gt;1,ROUNDDOWN((SUM($B254:AO254)-SUM($B273:AN273))/$AI20,0)*$AI20,0),SUM($B197:$AP197)-SUM($B273:AN273))</f>
        <v>0</v>
      </c>
      <c r="AP273" s="26">
        <f>IF(SUM($B197:$AP197)-SUM($B273:AO273)&gt;$AI20,IF((SUM($B254:AP254)-SUM($B273:AO273))/$AI20&gt;1,ROUNDDOWN((SUM($B254:AP254)-SUM($B273:AO273))/$AI20,0)*$AI20,0),SUM($B197:$AP197)-SUM($B273:AO273))</f>
        <v>0</v>
      </c>
    </row>
    <row r="274" spans="1:42">
      <c r="A274" t="s">
        <v>2384</v>
      </c>
      <c r="B274" s="26">
        <v>0</v>
      </c>
      <c r="C274" s="26">
        <f>IF(SUM($B198:$AP198)-SUM($B274:B274)&gt;$AI21,IF((SUM($B255:C255)-SUM($B274:B274))/$AI21&gt;1,ROUNDDOWN((SUM($B255:C255)-SUM($B274:B274))/$AI21,0)*$AI21,0),SUM($B198:$AP198)-SUM($B274:B274))</f>
        <v>18</v>
      </c>
      <c r="D274" s="26">
        <f>IF(SUM($B198:$AP198)-SUM($B274:C274)&gt;$AI21,IF((SUM($B255:D255)-SUM($B274:C274))/$AI21&gt;1,ROUNDDOWN((SUM($B255:D255)-SUM($B274:C274))/$AI21,0)*$AI21,0),SUM($B198:$AP198)-SUM($B274:C274))</f>
        <v>18</v>
      </c>
      <c r="E274" s="26">
        <f>IF(SUM($B198:$AP198)-SUM($B274:D274)&gt;$AI21,IF((SUM($B255:E255)-SUM($B274:D274))/$AI21&gt;1,ROUNDDOWN((SUM($B255:E255)-SUM($B274:D274))/$AI21,0)*$AI21,0),SUM($B198:$AP198)-SUM($B274:D274))</f>
        <v>12</v>
      </c>
      <c r="F274" s="26">
        <f>IF(SUM($B198:$AP198)-SUM($B274:E274)&gt;$AI21,IF((SUM($B255:F255)-SUM($B274:E274))/$AI21&gt;1,ROUNDDOWN((SUM($B255:F255)-SUM($B274:E274))/$AI21,0)*$AI21,0),SUM($B198:$AP198)-SUM($B274:E274))</f>
        <v>18</v>
      </c>
      <c r="G274" s="26">
        <f>IF(SUM($B198:$AP198)-SUM($B274:F274)&gt;$AI21,IF((SUM($B255:G255)-SUM($B274:F274))/$AI21&gt;1,ROUNDDOWN((SUM($B255:G255)-SUM($B274:F274))/$AI21,0)*$AI21,0),SUM($B198:$AP198)-SUM($B274:F274))</f>
        <v>12</v>
      </c>
      <c r="H274" s="26">
        <f>IF(SUM($B198:$AP198)-SUM($B274:G274)&gt;$AI21,IF((SUM($B255:H255)-SUM($B274:G274))/$AI21&gt;1,ROUNDDOWN((SUM($B255:H255)-SUM($B274:G274))/$AI21,0)*$AI21,0),SUM($B198:$AP198)-SUM($B274:G274))</f>
        <v>18</v>
      </c>
      <c r="I274" s="26">
        <f>IF(SUM($B198:$AP198)-SUM($B274:H274)&gt;$AI21,IF((SUM($B255:I255)-SUM($B274:H274))/$AI21&gt;1,ROUNDDOWN((SUM($B255:I255)-SUM($B274:H274))/$AI21,0)*$AI21,0),SUM($B198:$AP198)-SUM($B274:H274))</f>
        <v>12</v>
      </c>
      <c r="J274" s="26">
        <f>IF(SUM($B198:$AP198)-SUM($B274:I274)&gt;$AI21,IF((SUM($B255:J255)-SUM($B274:I274))/$AI21&gt;1,ROUNDDOWN((SUM($B255:J255)-SUM($B274:I274))/$AI21,0)*$AI21,0),SUM($B198:$AP198)-SUM($B274:I274))</f>
        <v>18</v>
      </c>
      <c r="K274" s="26">
        <f>IF(SUM($B198:$AP198)-SUM($B274:J274)&gt;$AI21,IF((SUM($B255:K255)-SUM($B274:J274))/$AI21&gt;1,ROUNDDOWN((SUM($B255:K255)-SUM($B274:J274))/$AI21,0)*$AI21,0),SUM($B198:$AP198)-SUM($B274:J274))</f>
        <v>114</v>
      </c>
      <c r="L274" s="26">
        <f>IF(SUM($B198:$AP198)-SUM($B274:K274)&gt;$AI21,IF((SUM($B255:L255)-SUM($B274:K274))/$AI21&gt;1,ROUNDDOWN((SUM($B255:L255)-SUM($B274:K274))/$AI21,0)*$AI21,0),SUM($B198:$AP198)-SUM($B274:K274))</f>
        <v>216</v>
      </c>
      <c r="M274" s="26">
        <f>IF(SUM($B198:$AP198)-SUM($B274:L274)&gt;$AI21,IF((SUM($B255:M255)-SUM($B274:L274))/$AI21&gt;1,ROUNDDOWN((SUM($B255:M255)-SUM($B274:L274))/$AI21,0)*$AI21,0),SUM($B198:$AP198)-SUM($B274:L274))</f>
        <v>312</v>
      </c>
      <c r="N274" s="26">
        <f>IF(SUM($B198:$AP198)-SUM($B274:M274)&gt;$AI21,IF((SUM($B255:N255)-SUM($B274:M274))/$AI21&gt;1,ROUNDDOWN((SUM($B255:N255)-SUM($B274:M274))/$AI21,0)*$AI21,0),SUM($B198:$AP198)-SUM($B274:M274))</f>
        <v>414</v>
      </c>
      <c r="O274" s="26">
        <f>IF(SUM($B198:$AP198)-SUM($B274:N274)&gt;$AI21,IF((SUM($B255:O255)-SUM($B274:N274))/$AI21&gt;1,ROUNDDOWN((SUM($B255:O255)-SUM($B274:N274))/$AI21,0)*$AI21,0),SUM($B198:$AP198)-SUM($B274:N274))</f>
        <v>516</v>
      </c>
      <c r="P274" s="26">
        <f>IF(SUM($B198:$AP198)-SUM($B274:O274)&gt;$AI21,IF((SUM($B255:P255)-SUM($B274:O274))/$AI21&gt;1,ROUNDDOWN((SUM($B255:P255)-SUM($B274:O274))/$AI21,0)*$AI21,0),SUM($B198:$AP198)-SUM($B274:O274))</f>
        <v>516</v>
      </c>
      <c r="Q274" s="26">
        <f>IF(SUM($B198:$AP198)-SUM($B274:P274)&gt;$AI21,IF((SUM($B255:Q255)-SUM($B274:P274))/$AI21&gt;1,ROUNDDOWN((SUM($B255:Q255)-SUM($B274:P274))/$AI21,0)*$AI21,0),SUM($B198:$AP198)-SUM($B274:P274))</f>
        <v>516</v>
      </c>
      <c r="R274" s="26">
        <f>IF(SUM($B198:$AP198)-SUM($B274:Q274)&gt;$AI21,IF((SUM($B255:R255)-SUM($B274:Q274))/$AI21&gt;1,ROUNDDOWN((SUM($B255:R255)-SUM($B274:Q274))/$AI21,0)*$AI21,0),SUM($B198:$AP198)-SUM($B274:Q274))</f>
        <v>510</v>
      </c>
      <c r="S274" s="26">
        <f>IF(SUM($B198:$AP198)-SUM($B274:R274)&gt;$AI21,IF((SUM($B255:S255)-SUM($B274:R274))/$AI21&gt;1,ROUNDDOWN((SUM($B255:S255)-SUM($B274:R274))/$AI21,0)*$AI21,0),SUM($B198:$AP198)-SUM($B274:R274))</f>
        <v>462</v>
      </c>
      <c r="T274" s="26">
        <f>IF(SUM($B198:$AP198)-SUM($B274:S274)&gt;$AI21,IF((SUM($B255:T255)-SUM($B274:S274))/$AI21&gt;1,ROUNDDOWN((SUM($B255:T255)-SUM($B274:S274))/$AI21,0)*$AI21,0),SUM($B198:$AP198)-SUM($B274:S274))</f>
        <v>438</v>
      </c>
      <c r="U274" s="26">
        <f>IF(SUM($B198:$AP198)-SUM($B274:T274)&gt;$AI21,IF((SUM($B255:U255)-SUM($B274:T274))/$AI21&gt;1,ROUNDDOWN((SUM($B255:U255)-SUM($B274:T274))/$AI21,0)*$AI21,0),SUM($B198:$AP198)-SUM($B274:T274))</f>
        <v>474</v>
      </c>
      <c r="V274" s="26">
        <f>IF(SUM($B198:$AP198)-SUM($B274:U274)&gt;$AI21,IF((SUM($B255:V255)-SUM($B274:U274))/$AI21&gt;1,ROUNDDOWN((SUM($B255:V255)-SUM($B274:U274))/$AI21,0)*$AI21,0),SUM($B198:$AP198)-SUM($B274:U274))</f>
        <v>522</v>
      </c>
      <c r="W274" s="26">
        <f>IF(SUM($B198:$AP198)-SUM($B274:V274)&gt;$AI21,IF((SUM($B255:W255)-SUM($B274:V274))/$AI21&gt;1,ROUNDDOWN((SUM($B255:W255)-SUM($B274:V274))/$AI21,0)*$AI21,0),SUM($B198:$AP198)-SUM($B274:V274))</f>
        <v>540</v>
      </c>
      <c r="X274" s="26">
        <f>IF(SUM($B198:$AP198)-SUM($B274:W274)&gt;$AI21,IF((SUM($B255:X255)-SUM($B274:W274))/$AI21&gt;1,ROUNDDOWN((SUM($B255:X255)-SUM($B274:W274))/$AI21,0)*$AI21,0),SUM($B198:$AP198)-SUM($B274:W274))</f>
        <v>630</v>
      </c>
      <c r="Y274" s="26">
        <f>IF(SUM($B198:$AP198)-SUM($B274:X274)&gt;$AI21,IF((SUM($B255:Y255)-SUM($B274:X274))/$AI21&gt;1,ROUNDDOWN((SUM($B255:Y255)-SUM($B274:X274))/$AI21,0)*$AI21,0),SUM($B198:$AP198)-SUM($B274:X274))</f>
        <v>636</v>
      </c>
      <c r="Z274" s="26">
        <f>IF(SUM($B198:$AP198)-SUM($B274:Y274)&gt;$AI21,IF((SUM($B255:Z255)-SUM($B274:Y274))/$AI21&gt;1,ROUNDDOWN((SUM($B255:Z255)-SUM($B274:Y274))/$AI21,0)*$AI21,0),SUM($B198:$AP198)-SUM($B274:Y274))</f>
        <v>636</v>
      </c>
      <c r="AA274" s="26">
        <f>IF(SUM($B198:$AP198)-SUM($B274:Z274)&gt;$AI21,IF((SUM($B255:AA255)-SUM($B274:Z274))/$AI21&gt;1,ROUNDDOWN((SUM($B255:AA255)-SUM($B274:Z274))/$AI21,0)*$AI21,0),SUM($B198:$AP198)-SUM($B274:Z274))</f>
        <v>642</v>
      </c>
      <c r="AB274" s="26">
        <f>IF(SUM($B198:$AP198)-SUM($B274:AA274)&gt;$AI21,IF((SUM($B255:AB255)-SUM($B274:AA274))/$AI21&gt;1,ROUNDDOWN((SUM($B255:AB255)-SUM($B274:AA274))/$AI21,0)*$AI21,0),SUM($B198:$AP198)-SUM($B274:AA274))</f>
        <v>714</v>
      </c>
      <c r="AC274" s="26">
        <f>IF(SUM($B198:$AP198)-SUM($B274:AB274)&gt;$AI21,IF((SUM($B255:AC255)-SUM($B274:AB274))/$AI21&gt;1,ROUNDDOWN((SUM($B255:AC255)-SUM($B274:AB274))/$AI21,0)*$AI21,0),SUM($B198:$AP198)-SUM($B274:AB274))</f>
        <v>810</v>
      </c>
      <c r="AD274" s="26">
        <f>IF(SUM($B198:$AP198)-SUM($B274:AC274)&gt;$AI21,IF((SUM($B255:AD255)-SUM($B274:AC274))/$AI21&gt;1,ROUNDDOWN((SUM($B255:AD255)-SUM($B274:AC274))/$AI21,0)*$AI21,0),SUM($B198:$AP198)-SUM($B274:AC274))</f>
        <v>1320</v>
      </c>
      <c r="AE274" s="26">
        <f>IF(SUM($B198:$AP198)-SUM($B274:AD274)&gt;$AI21,IF((SUM($B255:AE255)-SUM($B274:AD274))/$AI21&gt;1,ROUNDDOWN((SUM($B255:AE255)-SUM($B274:AD274))/$AI21,0)*$AI21,0),SUM($B198:$AP198)-SUM($B274:AD274))</f>
        <v>2448</v>
      </c>
      <c r="AF274" s="26">
        <f>IF(SUM($B198:$AP198)-SUM($B274:AE274)&gt;$AI21,IF((SUM($B255:AF255)-SUM($B274:AE274))/$AI21&gt;1,ROUNDDOWN((SUM($B255:AF255)-SUM($B274:AE274))/$AI21,0)*$AI21,0),SUM($B198:$AP198)-SUM($B274:AE274))</f>
        <v>2862</v>
      </c>
      <c r="AG274" s="26">
        <f>IF(SUM($B198:$AP198)-SUM($B274:AF274)&gt;$AI21,IF((SUM($B255:AG255)-SUM($B274:AF274))/$AI21&gt;1,ROUNDDOWN((SUM($B255:AG255)-SUM($B274:AF274))/$AI21,0)*$AI21,0),SUM($B198:$AP198)-SUM($B274:AF274))</f>
        <v>2994</v>
      </c>
      <c r="AH274" s="26">
        <f>IF(SUM($B198:$AP198)-SUM($B274:AG274)&gt;$AI21,IF((SUM($B255:AH255)-SUM($B274:AG274))/$AI21&gt;1,ROUNDDOWN((SUM($B255:AH255)-SUM($B274:AG274))/$AI21,0)*$AI21,0),SUM($B198:$AP198)-SUM($B274:AG274))</f>
        <v>2760</v>
      </c>
      <c r="AI274" s="26">
        <f>IF(SUM($B198:$AP198)-SUM($B274:AH274)&gt;$AI21,IF((SUM($B255:AI255)-SUM($B274:AH274))/$AI21&gt;1,ROUNDDOWN((SUM($B255:AI255)-SUM($B274:AH274))/$AI21,0)*$AI21,0),SUM($B198:$AP198)-SUM($B274:AH274))</f>
        <v>2154</v>
      </c>
      <c r="AJ274" s="26">
        <f>IF(SUM($B198:$AP198)-SUM($B274:AI274)&gt;$AI21,IF((SUM($B255:AJ255)-SUM($B274:AI274))/$AI21&gt;1,ROUNDDOWN((SUM($B255:AJ255)-SUM($B274:AI274))/$AI21,0)*$AI21,0),SUM($B198:$AP198)-SUM($B274:AI274))</f>
        <v>894</v>
      </c>
      <c r="AK274" s="26">
        <f>IF(SUM($B198:$AP198)-SUM($B274:AJ274)&gt;$AI21,IF((SUM($B255:AK255)-SUM($B274:AJ274))/$AI21&gt;1,ROUNDDOWN((SUM($B255:AK255)-SUM($B274:AJ274))/$AI21,0)*$AI21,0),SUM($B198:$AP198)-SUM($B274:AJ274))</f>
        <v>324</v>
      </c>
      <c r="AL274" s="26">
        <f>IF(SUM($B198:$AP198)-SUM($B274:AK274)&gt;$AI21,IF((SUM($B255:AL255)-SUM($B274:AK274))/$AI21&gt;1,ROUNDDOWN((SUM($B255:AL255)-SUM($B274:AK274))/$AI21,0)*$AI21,0),SUM($B198:$AP198)-SUM($B274:AK274))</f>
        <v>0</v>
      </c>
      <c r="AM274" s="26">
        <f>IF(SUM($B198:$AP198)-SUM($B274:AL274)&gt;$AI21,IF((SUM($B255:AM255)-SUM($B274:AL274))/$AI21&gt;1,ROUNDDOWN((SUM($B255:AM255)-SUM($B274:AL274))/$AI21,0)*$AI21,0),SUM($B198:$AP198)-SUM($B274:AL274))</f>
        <v>0</v>
      </c>
      <c r="AN274" s="26">
        <f>IF(SUM($B198:$AP198)-SUM($B274:AM274)&gt;$AI21,IF((SUM($B255:AN255)-SUM($B274:AM274))/$AI21&gt;1,ROUNDDOWN((SUM($B255:AN255)-SUM($B274:AM274))/$AI21,0)*$AI21,0),SUM($B198:$AP198)-SUM($B274:AM274))</f>
        <v>0</v>
      </c>
      <c r="AO274" s="26">
        <f>IF(SUM($B198:$AP198)-SUM($B274:AN274)&gt;$AI21,IF((SUM($B255:AO255)-SUM($B274:AN274))/$AI21&gt;1,ROUNDDOWN((SUM($B255:AO255)-SUM($B274:AN274))/$AI21,0)*$AI21,0),SUM($B198:$AP198)-SUM($B274:AN274))</f>
        <v>0</v>
      </c>
      <c r="AP274" s="26">
        <f>IF(SUM($B198:$AP198)-SUM($B274:AO274)&gt;$AI21,IF((SUM($B255:AP255)-SUM($B274:AO274))/$AI21&gt;1,ROUNDDOWN((SUM($B255:AP255)-SUM($B274:AO274))/$AI21,0)*$AI21,0),SUM($B198:$AP198)-SUM($B274:AO274))</f>
        <v>0</v>
      </c>
    </row>
  </sheetData>
  <mergeCells count="9">
    <mergeCell ref="A3:AM3"/>
    <mergeCell ref="A4:D4"/>
    <mergeCell ref="F4:R4"/>
    <mergeCell ref="T4:AF4"/>
    <mergeCell ref="AH4:AI4"/>
    <mergeCell ref="AK4:AM4"/>
    <mergeCell ref="A23:AM23"/>
    <mergeCell ref="A84:AQ84"/>
    <mergeCell ref="A180:AQ180"/>
  </mergeCells>
  <conditionalFormatting sqref="AH48:AH63">
    <cfRule type="cellIs" dxfId="58" priority="1" operator="greaterThan">
      <formula>0</formula>
    </cfRule>
  </conditionalFormatting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P17"/>
  <sheetViews>
    <sheetView workbookViewId="0">
      <selection activeCell="E22" sqref="E22"/>
    </sheetView>
  </sheetViews>
  <sheetFormatPr defaultColWidth="9" defaultRowHeight="12.75"/>
  <sheetData>
    <row r="1" spans="1:42">
      <c r="A1" t="s">
        <v>2403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2369</v>
      </c>
      <c r="B2">
        <f>Extrapoliation!B163</f>
        <v>4512</v>
      </c>
      <c r="C2">
        <f>Extrapoliation!C163</f>
        <v>5442</v>
      </c>
      <c r="D2">
        <f>Extrapoliation!D163</f>
        <v>6390</v>
      </c>
      <c r="E2">
        <f>Extrapoliation!E163</f>
        <v>7314</v>
      </c>
      <c r="F2">
        <f>Extrapoliation!F163</f>
        <v>8214</v>
      </c>
      <c r="G2">
        <f>Extrapoliation!G163</f>
        <v>9138</v>
      </c>
      <c r="H2">
        <f>Extrapoliation!H163</f>
        <v>10122</v>
      </c>
      <c r="I2">
        <f>Extrapoliation!I163</f>
        <v>11214</v>
      </c>
      <c r="J2">
        <f>Extrapoliation!J163</f>
        <v>12390</v>
      </c>
      <c r="K2">
        <f>Extrapoliation!K163</f>
        <v>13632</v>
      </c>
      <c r="L2">
        <f>Extrapoliation!L163</f>
        <v>14994</v>
      </c>
      <c r="M2">
        <f>Extrapoliation!M163</f>
        <v>16494</v>
      </c>
      <c r="N2">
        <f>Extrapoliation!N163</f>
        <v>18042</v>
      </c>
      <c r="O2">
        <f>Extrapoliation!O163</f>
        <v>19656</v>
      </c>
      <c r="P2">
        <f>Extrapoliation!P163</f>
        <v>21288</v>
      </c>
      <c r="Q2">
        <f>Extrapoliation!Q163</f>
        <v>23064</v>
      </c>
      <c r="R2">
        <f>Extrapoliation!R163</f>
        <v>24984</v>
      </c>
      <c r="S2">
        <f>Extrapoliation!S163</f>
        <v>26934</v>
      </c>
      <c r="T2">
        <f>Extrapoliation!T163</f>
        <v>28896</v>
      </c>
      <c r="U2">
        <f>Extrapoliation!U163</f>
        <v>30810</v>
      </c>
      <c r="V2">
        <f>Extrapoliation!V163</f>
        <v>32712</v>
      </c>
      <c r="W2">
        <f>Extrapoliation!W163</f>
        <v>34560</v>
      </c>
      <c r="X2">
        <f>Extrapoliation!X163</f>
        <v>36024</v>
      </c>
      <c r="Y2">
        <f>Extrapoliation!Y163</f>
        <v>37176</v>
      </c>
      <c r="Z2">
        <f>Extrapoliation!Z163</f>
        <v>38154</v>
      </c>
      <c r="AA2">
        <f>Extrapoliation!AA163</f>
        <v>39096</v>
      </c>
      <c r="AB2">
        <f>Extrapoliation!AB163</f>
        <v>40044</v>
      </c>
      <c r="AC2">
        <f>Extrapoliation!AC163</f>
        <v>40920</v>
      </c>
      <c r="AD2">
        <f>Extrapoliation!AD163</f>
        <v>41694</v>
      </c>
      <c r="AE2">
        <f>Extrapoliation!AE163</f>
        <v>42384</v>
      </c>
      <c r="AF2">
        <f>Extrapoliation!AF163</f>
        <v>42864</v>
      </c>
      <c r="AG2">
        <f>Extrapoliation!AG163</f>
        <v>43032</v>
      </c>
      <c r="AH2">
        <f>Extrapoliation!AH163</f>
        <v>43050</v>
      </c>
      <c r="AI2">
        <f>Extrapoliation!AI163</f>
        <v>42828</v>
      </c>
      <c r="AJ2">
        <f>Extrapoliation!AJ163</f>
        <v>42426</v>
      </c>
      <c r="AK2">
        <f>Extrapoliation!AK163</f>
        <v>41898</v>
      </c>
      <c r="AL2">
        <f>Extrapoliation!AL163</f>
        <v>40938</v>
      </c>
      <c r="AM2">
        <f>Extrapoliation!AM163</f>
        <v>39744</v>
      </c>
      <c r="AN2">
        <f>Extrapoliation!AN163</f>
        <v>38520</v>
      </c>
      <c r="AO2">
        <f>Extrapoliation!AO163</f>
        <v>37008</v>
      </c>
      <c r="AP2">
        <f>Extrapoliation!AP163</f>
        <v>35316</v>
      </c>
    </row>
    <row r="3" spans="1:42">
      <c r="A3" t="s">
        <v>2370</v>
      </c>
      <c r="B3">
        <f>Extrapoliation!B164</f>
        <v>0</v>
      </c>
      <c r="C3">
        <f>Extrapoliation!C164</f>
        <v>275</v>
      </c>
      <c r="D3">
        <f>Extrapoliation!D164</f>
        <v>190</v>
      </c>
      <c r="E3">
        <f>Extrapoliation!E164</f>
        <v>230</v>
      </c>
      <c r="F3">
        <f>Extrapoliation!F164</f>
        <v>275</v>
      </c>
      <c r="G3">
        <f>Extrapoliation!G164</f>
        <v>325</v>
      </c>
      <c r="H3">
        <f>Extrapoliation!H164</f>
        <v>385</v>
      </c>
      <c r="I3">
        <f>Extrapoliation!I164</f>
        <v>465</v>
      </c>
      <c r="J3">
        <f>Extrapoliation!J164</f>
        <v>545</v>
      </c>
      <c r="K3">
        <f>Extrapoliation!K164</f>
        <v>630</v>
      </c>
      <c r="L3">
        <f>Extrapoliation!L164</f>
        <v>720</v>
      </c>
      <c r="M3">
        <f>Extrapoliation!M164</f>
        <v>800</v>
      </c>
      <c r="N3">
        <f>Extrapoliation!N164</f>
        <v>870</v>
      </c>
      <c r="O3">
        <f>Extrapoliation!O164</f>
        <v>930</v>
      </c>
      <c r="P3">
        <f>Extrapoliation!P164</f>
        <v>990</v>
      </c>
      <c r="Q3">
        <f>Extrapoliation!Q164</f>
        <v>1060</v>
      </c>
      <c r="R3">
        <f>Extrapoliation!R164</f>
        <v>1125</v>
      </c>
      <c r="S3">
        <f>Extrapoliation!S164</f>
        <v>1195</v>
      </c>
      <c r="T3">
        <f>Extrapoliation!T164</f>
        <v>1270</v>
      </c>
      <c r="U3">
        <f>Extrapoliation!U164</f>
        <v>1355</v>
      </c>
      <c r="V3">
        <f>Extrapoliation!V164</f>
        <v>1450</v>
      </c>
      <c r="W3">
        <f>Extrapoliation!W164</f>
        <v>1545</v>
      </c>
      <c r="X3">
        <f>Extrapoliation!X164</f>
        <v>1625</v>
      </c>
      <c r="Y3">
        <f>Extrapoliation!Y164</f>
        <v>1710</v>
      </c>
      <c r="Z3">
        <f>Extrapoliation!Z164</f>
        <v>1790</v>
      </c>
      <c r="AA3">
        <f>Extrapoliation!AA164</f>
        <v>1865</v>
      </c>
      <c r="AB3">
        <f>Extrapoliation!AB164</f>
        <v>1915</v>
      </c>
      <c r="AC3">
        <f>Extrapoliation!AC164</f>
        <v>1965</v>
      </c>
      <c r="AD3">
        <f>Extrapoliation!AD164</f>
        <v>2035</v>
      </c>
      <c r="AE3">
        <f>Extrapoliation!AE164</f>
        <v>2095</v>
      </c>
      <c r="AF3">
        <f>Extrapoliation!AF164</f>
        <v>2115</v>
      </c>
      <c r="AG3">
        <f>Extrapoliation!AG164</f>
        <v>2100</v>
      </c>
      <c r="AH3">
        <f>Extrapoliation!AH164</f>
        <v>2080</v>
      </c>
      <c r="AI3">
        <f>Extrapoliation!AI164</f>
        <v>2060</v>
      </c>
      <c r="AJ3">
        <f>Extrapoliation!AJ164</f>
        <v>2015</v>
      </c>
      <c r="AK3">
        <f>Extrapoliation!AK164</f>
        <v>1980</v>
      </c>
      <c r="AL3">
        <f>Extrapoliation!AL164</f>
        <v>1930</v>
      </c>
      <c r="AM3">
        <f>Extrapoliation!AM164</f>
        <v>1870</v>
      </c>
      <c r="AN3">
        <f>Extrapoliation!AN164</f>
        <v>1810</v>
      </c>
      <c r="AO3">
        <f>Extrapoliation!AO164</f>
        <v>1725</v>
      </c>
      <c r="AP3">
        <f>Extrapoliation!AP164</f>
        <v>1625</v>
      </c>
    </row>
    <row r="4" spans="1:42">
      <c r="A4" t="s">
        <v>2371</v>
      </c>
      <c r="B4">
        <f>Extrapoliation!B165</f>
        <v>0</v>
      </c>
      <c r="C4">
        <f>Extrapoliation!C165</f>
        <v>0</v>
      </c>
      <c r="D4">
        <f>Extrapoliation!D165</f>
        <v>0</v>
      </c>
      <c r="E4">
        <f>Extrapoliation!E165</f>
        <v>0</v>
      </c>
      <c r="F4">
        <f>Extrapoliation!F165</f>
        <v>0</v>
      </c>
      <c r="G4">
        <f>Extrapoliation!G165</f>
        <v>0</v>
      </c>
      <c r="H4">
        <f>Extrapoliation!H165</f>
        <v>0</v>
      </c>
      <c r="I4">
        <f>Extrapoliation!I165</f>
        <v>0</v>
      </c>
      <c r="J4">
        <f>Extrapoliation!J165</f>
        <v>0</v>
      </c>
      <c r="K4">
        <f>Extrapoliation!K165</f>
        <v>0</v>
      </c>
      <c r="L4">
        <f>Extrapoliation!L165</f>
        <v>0</v>
      </c>
      <c r="M4">
        <f>Extrapoliation!M165</f>
        <v>0</v>
      </c>
      <c r="N4">
        <f>Extrapoliation!N165</f>
        <v>0</v>
      </c>
      <c r="O4">
        <f>Extrapoliation!O165</f>
        <v>0</v>
      </c>
      <c r="P4">
        <f>Extrapoliation!P165</f>
        <v>0</v>
      </c>
      <c r="Q4">
        <f>Extrapoliation!Q165</f>
        <v>0</v>
      </c>
      <c r="R4">
        <f>Extrapoliation!R165</f>
        <v>0</v>
      </c>
      <c r="S4">
        <f>Extrapoliation!S165</f>
        <v>0</v>
      </c>
      <c r="T4">
        <f>Extrapoliation!T165</f>
        <v>0</v>
      </c>
      <c r="U4">
        <f>Extrapoliation!U165</f>
        <v>0</v>
      </c>
      <c r="V4">
        <f>Extrapoliation!V165</f>
        <v>0</v>
      </c>
      <c r="W4">
        <f>Extrapoliation!W165</f>
        <v>0</v>
      </c>
      <c r="X4">
        <f>Extrapoliation!X165</f>
        <v>0</v>
      </c>
      <c r="Y4">
        <f>Extrapoliation!Y165</f>
        <v>650</v>
      </c>
      <c r="Z4">
        <f>Extrapoliation!Z165</f>
        <v>650</v>
      </c>
      <c r="AA4">
        <f>Extrapoliation!AA165</f>
        <v>0</v>
      </c>
      <c r="AB4">
        <f>Extrapoliation!AB165</f>
        <v>0</v>
      </c>
      <c r="AC4">
        <f>Extrapoliation!AC165</f>
        <v>0</v>
      </c>
      <c r="AD4">
        <f>Extrapoliation!AD165</f>
        <v>0</v>
      </c>
      <c r="AE4">
        <f>Extrapoliation!AE165</f>
        <v>0</v>
      </c>
      <c r="AF4">
        <f>Extrapoliation!AF165</f>
        <v>650</v>
      </c>
      <c r="AG4">
        <f>Extrapoliation!AG165</f>
        <v>1300</v>
      </c>
      <c r="AH4">
        <f>Extrapoliation!AH165</f>
        <v>650</v>
      </c>
      <c r="AI4">
        <f>Extrapoliation!AI165</f>
        <v>1300</v>
      </c>
      <c r="AJ4">
        <f>Extrapoliation!AJ165</f>
        <v>650</v>
      </c>
      <c r="AK4">
        <f>Extrapoliation!AK165</f>
        <v>1300</v>
      </c>
      <c r="AL4">
        <f>Extrapoliation!AL165</f>
        <v>0</v>
      </c>
      <c r="AM4">
        <f>Extrapoliation!AM165</f>
        <v>650</v>
      </c>
      <c r="AN4">
        <f>Extrapoliation!AN165</f>
        <v>650</v>
      </c>
      <c r="AO4">
        <f>Extrapoliation!AO165</f>
        <v>650</v>
      </c>
      <c r="AP4">
        <f>Extrapoliation!AP165</f>
        <v>650</v>
      </c>
    </row>
    <row r="5" spans="1:42">
      <c r="A5" t="s">
        <v>2372</v>
      </c>
      <c r="B5">
        <f>Extrapoliation!B166</f>
        <v>0</v>
      </c>
      <c r="C5">
        <f>Extrapoliation!C166</f>
        <v>0</v>
      </c>
      <c r="D5">
        <f>Extrapoliation!D166</f>
        <v>0</v>
      </c>
      <c r="E5">
        <f>Extrapoliation!E166</f>
        <v>0</v>
      </c>
      <c r="F5">
        <f>Extrapoliation!F166</f>
        <v>0</v>
      </c>
      <c r="G5">
        <f>Extrapoliation!G166</f>
        <v>0</v>
      </c>
      <c r="H5">
        <f>Extrapoliation!H166</f>
        <v>0</v>
      </c>
      <c r="I5">
        <f>Extrapoliation!I166</f>
        <v>0</v>
      </c>
      <c r="J5">
        <f>Extrapoliation!J166</f>
        <v>0</v>
      </c>
      <c r="K5">
        <f>Extrapoliation!K166</f>
        <v>0</v>
      </c>
      <c r="L5">
        <f>Extrapoliation!L166</f>
        <v>0</v>
      </c>
      <c r="M5">
        <f>Extrapoliation!M166</f>
        <v>0</v>
      </c>
      <c r="N5">
        <f>Extrapoliation!N166</f>
        <v>0</v>
      </c>
      <c r="O5">
        <f>Extrapoliation!O166</f>
        <v>0</v>
      </c>
      <c r="P5">
        <f>Extrapoliation!P166</f>
        <v>0</v>
      </c>
      <c r="Q5">
        <f>Extrapoliation!Q166</f>
        <v>0</v>
      </c>
      <c r="R5">
        <f>Extrapoliation!R166</f>
        <v>0</v>
      </c>
      <c r="S5">
        <f>Extrapoliation!S166</f>
        <v>0</v>
      </c>
      <c r="T5">
        <f>Extrapoliation!T166</f>
        <v>0</v>
      </c>
      <c r="U5">
        <f>Extrapoliation!U166</f>
        <v>0</v>
      </c>
      <c r="V5">
        <f>Extrapoliation!V166</f>
        <v>0</v>
      </c>
      <c r="W5">
        <f>Extrapoliation!W166</f>
        <v>0</v>
      </c>
      <c r="X5">
        <f>Extrapoliation!X166</f>
        <v>0</v>
      </c>
      <c r="Y5">
        <f>Extrapoliation!Y166</f>
        <v>0</v>
      </c>
      <c r="Z5">
        <f>Extrapoliation!Z166</f>
        <v>0</v>
      </c>
      <c r="AA5">
        <f>Extrapoliation!AA166</f>
        <v>0</v>
      </c>
      <c r="AB5">
        <f>Extrapoliation!AB166</f>
        <v>0</v>
      </c>
      <c r="AC5">
        <f>Extrapoliation!AC166</f>
        <v>0</v>
      </c>
      <c r="AD5">
        <f>Extrapoliation!AD166</f>
        <v>0</v>
      </c>
      <c r="AE5">
        <f>Extrapoliation!AE166</f>
        <v>0</v>
      </c>
      <c r="AF5">
        <f>Extrapoliation!AF166</f>
        <v>0</v>
      </c>
      <c r="AG5">
        <f>Extrapoliation!AG166</f>
        <v>0</v>
      </c>
      <c r="AH5">
        <f>Extrapoliation!AH166</f>
        <v>0</v>
      </c>
      <c r="AI5">
        <f>Extrapoliation!AI166</f>
        <v>0</v>
      </c>
      <c r="AJ5">
        <f>Extrapoliation!AJ166</f>
        <v>0</v>
      </c>
      <c r="AK5">
        <f>Extrapoliation!AK166</f>
        <v>0</v>
      </c>
      <c r="AL5">
        <f>Extrapoliation!AL166</f>
        <v>0</v>
      </c>
      <c r="AM5">
        <f>Extrapoliation!AM166</f>
        <v>0</v>
      </c>
      <c r="AN5">
        <f>Extrapoliation!AN166</f>
        <v>0</v>
      </c>
      <c r="AO5">
        <f>Extrapoliation!AO166</f>
        <v>0</v>
      </c>
      <c r="AP5">
        <f>Extrapoliation!AP166</f>
        <v>0</v>
      </c>
    </row>
    <row r="6" spans="1:42">
      <c r="A6" t="s">
        <v>2373</v>
      </c>
      <c r="B6">
        <f>Extrapoliation!B167</f>
        <v>0</v>
      </c>
      <c r="C6">
        <f>Extrapoliation!C167</f>
        <v>0</v>
      </c>
      <c r="D6">
        <f>Extrapoliation!D167</f>
        <v>0</v>
      </c>
      <c r="E6">
        <f>Extrapoliation!E167</f>
        <v>0</v>
      </c>
      <c r="F6">
        <f>Extrapoliation!F167</f>
        <v>0</v>
      </c>
      <c r="G6">
        <f>Extrapoliation!G167</f>
        <v>0</v>
      </c>
      <c r="H6">
        <f>Extrapoliation!H167</f>
        <v>0</v>
      </c>
      <c r="I6">
        <f>Extrapoliation!I167</f>
        <v>0</v>
      </c>
      <c r="J6">
        <f>Extrapoliation!J167</f>
        <v>0</v>
      </c>
      <c r="K6">
        <f>Extrapoliation!K167</f>
        <v>0</v>
      </c>
      <c r="L6">
        <f>Extrapoliation!L167</f>
        <v>0</v>
      </c>
      <c r="M6">
        <f>Extrapoliation!M167</f>
        <v>0</v>
      </c>
      <c r="N6">
        <f>Extrapoliation!N167</f>
        <v>1608</v>
      </c>
      <c r="O6">
        <f>Extrapoliation!O167</f>
        <v>4592</v>
      </c>
      <c r="P6">
        <f>Extrapoliation!P167</f>
        <v>7698</v>
      </c>
      <c r="Q6">
        <f>Extrapoliation!Q167</f>
        <v>10356</v>
      </c>
      <c r="R6">
        <f>Extrapoliation!R167</f>
        <v>13270</v>
      </c>
      <c r="S6">
        <f>Extrapoliation!S167</f>
        <v>15820</v>
      </c>
      <c r="T6">
        <f>Extrapoliation!T167</f>
        <v>19010</v>
      </c>
      <c r="U6">
        <f>Extrapoliation!U167</f>
        <v>19706</v>
      </c>
      <c r="V6">
        <f>Extrapoliation!V167</f>
        <v>20590</v>
      </c>
      <c r="W6">
        <f>Extrapoliation!W167</f>
        <v>22032</v>
      </c>
      <c r="X6">
        <f>Extrapoliation!X167</f>
        <v>23118</v>
      </c>
      <c r="Y6">
        <f>Extrapoliation!Y167</f>
        <v>30838</v>
      </c>
      <c r="Z6">
        <f>Extrapoliation!Z167</f>
        <v>27038</v>
      </c>
      <c r="AA6">
        <f>Extrapoliation!AA167</f>
        <v>23498</v>
      </c>
      <c r="AB6">
        <f>Extrapoliation!AB167</f>
        <v>19140</v>
      </c>
      <c r="AC6">
        <f>Extrapoliation!AC167</f>
        <v>13894</v>
      </c>
      <c r="AD6">
        <f>Extrapoliation!AD167</f>
        <v>1.73194444441469</v>
      </c>
      <c r="AE6">
        <f>Extrapoliation!AE167</f>
        <v>0</v>
      </c>
      <c r="AF6">
        <f>Extrapoliation!AF167</f>
        <v>0</v>
      </c>
      <c r="AG6">
        <f>Extrapoliation!AG167</f>
        <v>0</v>
      </c>
      <c r="AH6">
        <f>Extrapoliation!AH167</f>
        <v>0</v>
      </c>
      <c r="AI6">
        <f>Extrapoliation!AI167</f>
        <v>0</v>
      </c>
      <c r="AJ6">
        <f>Extrapoliation!AJ167</f>
        <v>0</v>
      </c>
      <c r="AK6">
        <f>Extrapoliation!AK167</f>
        <v>0</v>
      </c>
      <c r="AL6">
        <f>Extrapoliation!AL167</f>
        <v>0</v>
      </c>
      <c r="AM6">
        <f>Extrapoliation!AM167</f>
        <v>0</v>
      </c>
      <c r="AN6">
        <f>Extrapoliation!AN167</f>
        <v>0</v>
      </c>
      <c r="AO6">
        <f>Extrapoliation!AO167</f>
        <v>0</v>
      </c>
      <c r="AP6">
        <f>Extrapoliation!AP167</f>
        <v>0</v>
      </c>
    </row>
    <row r="7" spans="1:42">
      <c r="A7" t="s">
        <v>2404</v>
      </c>
      <c r="B7">
        <f>Extrapoliation!B168</f>
        <v>0</v>
      </c>
      <c r="C7">
        <f>Extrapoliation!C168</f>
        <v>0</v>
      </c>
      <c r="D7">
        <f>Extrapoliation!D168</f>
        <v>0</v>
      </c>
      <c r="E7">
        <f>Extrapoliation!E168</f>
        <v>0</v>
      </c>
      <c r="F7">
        <f>Extrapoliation!F168</f>
        <v>0</v>
      </c>
      <c r="G7">
        <f>Extrapoliation!G168</f>
        <v>0</v>
      </c>
      <c r="H7">
        <f>Extrapoliation!H168</f>
        <v>0</v>
      </c>
      <c r="I7">
        <f>Extrapoliation!I168</f>
        <v>0</v>
      </c>
      <c r="J7">
        <f>Extrapoliation!J168</f>
        <v>0</v>
      </c>
      <c r="K7">
        <f>Extrapoliation!K168</f>
        <v>0</v>
      </c>
      <c r="L7">
        <f>Extrapoliation!L168</f>
        <v>0</v>
      </c>
      <c r="M7">
        <f>Extrapoliation!M168</f>
        <v>0</v>
      </c>
      <c r="N7">
        <f>Extrapoliation!N168</f>
        <v>0</v>
      </c>
      <c r="O7">
        <f>Extrapoliation!O168</f>
        <v>5</v>
      </c>
      <c r="P7">
        <f>Extrapoliation!P168</f>
        <v>385</v>
      </c>
      <c r="Q7">
        <f>Extrapoliation!Q168</f>
        <v>614</v>
      </c>
      <c r="R7">
        <f>Extrapoliation!R168</f>
        <v>2923</v>
      </c>
      <c r="S7">
        <f>Extrapoliation!S168</f>
        <v>4626</v>
      </c>
      <c r="T7">
        <f>Extrapoliation!T168</f>
        <v>7305</v>
      </c>
      <c r="U7">
        <f>Extrapoliation!U168</f>
        <v>12981</v>
      </c>
      <c r="V7">
        <f>Extrapoliation!V168</f>
        <v>18872</v>
      </c>
      <c r="W7">
        <f>Extrapoliation!W168</f>
        <v>21902</v>
      </c>
      <c r="X7">
        <f>Extrapoliation!X168</f>
        <v>23676</v>
      </c>
      <c r="Y7">
        <f>Extrapoliation!Y168</f>
        <v>27233</v>
      </c>
      <c r="Z7">
        <f>Extrapoliation!Z168</f>
        <v>21177</v>
      </c>
      <c r="AA7">
        <f>Extrapoliation!AA168</f>
        <v>15057</v>
      </c>
      <c r="AB7">
        <f>Extrapoliation!AB168</f>
        <v>9718</v>
      </c>
      <c r="AC7">
        <f>Extrapoliation!AC168</f>
        <v>6242</v>
      </c>
      <c r="AD7">
        <f>Extrapoliation!AD168</f>
        <v>0.700000000011642</v>
      </c>
      <c r="AE7">
        <f>Extrapoliation!AE168</f>
        <v>0</v>
      </c>
      <c r="AF7">
        <f>Extrapoliation!AF168</f>
        <v>0</v>
      </c>
      <c r="AG7">
        <f>Extrapoliation!AG168</f>
        <v>0</v>
      </c>
      <c r="AH7">
        <f>Extrapoliation!AH168</f>
        <v>0</v>
      </c>
      <c r="AI7">
        <f>Extrapoliation!AI168</f>
        <v>0</v>
      </c>
      <c r="AJ7">
        <f>Extrapoliation!AJ168</f>
        <v>0</v>
      </c>
      <c r="AK7">
        <f>Extrapoliation!AK168</f>
        <v>0</v>
      </c>
      <c r="AL7">
        <f>Extrapoliation!AL168</f>
        <v>0</v>
      </c>
      <c r="AM7">
        <f>Extrapoliation!AM168</f>
        <v>0</v>
      </c>
      <c r="AN7">
        <f>Extrapoliation!AN168</f>
        <v>0</v>
      </c>
      <c r="AO7">
        <f>Extrapoliation!AO168</f>
        <v>0</v>
      </c>
      <c r="AP7">
        <f>Extrapoliation!AP168</f>
        <v>0</v>
      </c>
    </row>
    <row r="8" spans="1:42">
      <c r="A8" t="s">
        <v>2375</v>
      </c>
      <c r="B8">
        <f>Extrapoliation!B169</f>
        <v>0</v>
      </c>
      <c r="C8">
        <f>Extrapoliation!C169</f>
        <v>0</v>
      </c>
      <c r="D8">
        <f>Extrapoliation!D169</f>
        <v>0</v>
      </c>
      <c r="E8">
        <f>Extrapoliation!E169</f>
        <v>0</v>
      </c>
      <c r="F8">
        <f>Extrapoliation!F169</f>
        <v>0</v>
      </c>
      <c r="G8">
        <f>Extrapoliation!G169</f>
        <v>0</v>
      </c>
      <c r="H8">
        <f>Extrapoliation!H169</f>
        <v>0</v>
      </c>
      <c r="I8">
        <f>Extrapoliation!I169</f>
        <v>0</v>
      </c>
      <c r="J8">
        <f>Extrapoliation!J169</f>
        <v>0</v>
      </c>
      <c r="K8">
        <f>Extrapoliation!K169</f>
        <v>0</v>
      </c>
      <c r="L8">
        <f>Extrapoliation!L169</f>
        <v>0</v>
      </c>
      <c r="M8">
        <f>Extrapoliation!M169</f>
        <v>0</v>
      </c>
      <c r="N8">
        <f>Extrapoliation!N169</f>
        <v>0</v>
      </c>
      <c r="O8">
        <f>Extrapoliation!O169</f>
        <v>0</v>
      </c>
      <c r="P8">
        <f>Extrapoliation!P169</f>
        <v>0</v>
      </c>
      <c r="Q8">
        <f>Extrapoliation!Q169</f>
        <v>0</v>
      </c>
      <c r="R8">
        <f>Extrapoliation!R169</f>
        <v>0</v>
      </c>
      <c r="S8">
        <f>Extrapoliation!S169</f>
        <v>0</v>
      </c>
      <c r="T8">
        <f>Extrapoliation!T169</f>
        <v>0</v>
      </c>
      <c r="U8">
        <f>Extrapoliation!U169</f>
        <v>0</v>
      </c>
      <c r="V8">
        <f>Extrapoliation!V169</f>
        <v>0</v>
      </c>
      <c r="W8">
        <f>Extrapoliation!W169</f>
        <v>0</v>
      </c>
      <c r="X8">
        <f>Extrapoliation!X169</f>
        <v>0</v>
      </c>
      <c r="Y8">
        <f>Extrapoliation!Y169</f>
        <v>0</v>
      </c>
      <c r="Z8">
        <f>Extrapoliation!Z169</f>
        <v>0</v>
      </c>
      <c r="AA8">
        <f>Extrapoliation!AA169</f>
        <v>0</v>
      </c>
      <c r="AB8">
        <f>Extrapoliation!AB169</f>
        <v>0</v>
      </c>
      <c r="AC8">
        <f>Extrapoliation!AC169</f>
        <v>0</v>
      </c>
      <c r="AD8">
        <f>Extrapoliation!AD169</f>
        <v>0</v>
      </c>
      <c r="AE8">
        <f>Extrapoliation!AE169</f>
        <v>0</v>
      </c>
      <c r="AF8">
        <f>Extrapoliation!AF169</f>
        <v>0</v>
      </c>
      <c r="AG8">
        <f>Extrapoliation!AG169</f>
        <v>0</v>
      </c>
      <c r="AH8">
        <f>Extrapoliation!AH169</f>
        <v>0</v>
      </c>
      <c r="AI8">
        <f>Extrapoliation!AI169</f>
        <v>0</v>
      </c>
      <c r="AJ8">
        <f>Extrapoliation!AJ169</f>
        <v>0</v>
      </c>
      <c r="AK8">
        <f>Extrapoliation!AK169</f>
        <v>0</v>
      </c>
      <c r="AL8">
        <f>Extrapoliation!AL169</f>
        <v>0</v>
      </c>
      <c r="AM8">
        <f>Extrapoliation!AM169</f>
        <v>0</v>
      </c>
      <c r="AN8">
        <f>Extrapoliation!AN169</f>
        <v>0</v>
      </c>
      <c r="AO8">
        <f>Extrapoliation!AO169</f>
        <v>0</v>
      </c>
      <c r="AP8">
        <f>Extrapoliation!AP169</f>
        <v>0</v>
      </c>
    </row>
    <row r="9" spans="1:42">
      <c r="A9" t="s">
        <v>2376</v>
      </c>
      <c r="B9">
        <f>Extrapoliation!B170</f>
        <v>0</v>
      </c>
      <c r="C9">
        <f>Extrapoliation!C170</f>
        <v>114</v>
      </c>
      <c r="D9">
        <f>Extrapoliation!D170</f>
        <v>72</v>
      </c>
      <c r="E9">
        <f>Extrapoliation!E170</f>
        <v>78</v>
      </c>
      <c r="F9">
        <f>Extrapoliation!F170</f>
        <v>90</v>
      </c>
      <c r="G9">
        <f>Extrapoliation!G170</f>
        <v>102</v>
      </c>
      <c r="H9">
        <f>Extrapoliation!H170</f>
        <v>114</v>
      </c>
      <c r="I9">
        <f>Extrapoliation!I170</f>
        <v>126</v>
      </c>
      <c r="J9">
        <f>Extrapoliation!J170</f>
        <v>144</v>
      </c>
      <c r="K9">
        <f>Extrapoliation!K170</f>
        <v>162</v>
      </c>
      <c r="L9">
        <f>Extrapoliation!L170</f>
        <v>174</v>
      </c>
      <c r="M9">
        <f>Extrapoliation!M170</f>
        <v>192</v>
      </c>
      <c r="N9">
        <f>Extrapoliation!N170</f>
        <v>216</v>
      </c>
      <c r="O9">
        <f>Extrapoliation!O170</f>
        <v>234</v>
      </c>
      <c r="P9">
        <f>Extrapoliation!P170</f>
        <v>252</v>
      </c>
      <c r="Q9">
        <f>Extrapoliation!Q170</f>
        <v>270</v>
      </c>
      <c r="R9">
        <f>Extrapoliation!R170</f>
        <v>282</v>
      </c>
      <c r="S9">
        <f>Extrapoliation!S170</f>
        <v>300</v>
      </c>
      <c r="T9">
        <f>Extrapoliation!T170</f>
        <v>306</v>
      </c>
      <c r="U9">
        <f>Extrapoliation!U170</f>
        <v>324</v>
      </c>
      <c r="V9">
        <f>Extrapoliation!V170</f>
        <v>336</v>
      </c>
      <c r="W9">
        <f>Extrapoliation!W170</f>
        <v>354</v>
      </c>
      <c r="X9">
        <f>Extrapoliation!X170</f>
        <v>360</v>
      </c>
      <c r="Y9">
        <f>Extrapoliation!Y170</f>
        <v>378</v>
      </c>
      <c r="Z9">
        <f>Extrapoliation!Z170</f>
        <v>396</v>
      </c>
      <c r="AA9">
        <f>Extrapoliation!AA170</f>
        <v>402</v>
      </c>
      <c r="AB9">
        <f>Extrapoliation!AB170</f>
        <v>414</v>
      </c>
      <c r="AC9">
        <f>Extrapoliation!AC170</f>
        <v>420</v>
      </c>
      <c r="AD9">
        <f>Extrapoliation!AD170</f>
        <v>426</v>
      </c>
      <c r="AE9">
        <f>Extrapoliation!AE170</f>
        <v>432</v>
      </c>
      <c r="AF9">
        <f>Extrapoliation!AF170</f>
        <v>432</v>
      </c>
      <c r="AG9">
        <f>Extrapoliation!AG170</f>
        <v>432</v>
      </c>
      <c r="AH9">
        <f>Extrapoliation!AH170</f>
        <v>420</v>
      </c>
      <c r="AI9">
        <f>Extrapoliation!AI170</f>
        <v>420</v>
      </c>
      <c r="AJ9">
        <f>Extrapoliation!AJ170</f>
        <v>414</v>
      </c>
      <c r="AK9">
        <f>Extrapoliation!AK170</f>
        <v>408</v>
      </c>
      <c r="AL9">
        <f>Extrapoliation!AL170</f>
        <v>390</v>
      </c>
      <c r="AM9">
        <f>Extrapoliation!AM170</f>
        <v>360</v>
      </c>
      <c r="AN9">
        <f>Extrapoliation!AN170</f>
        <v>342</v>
      </c>
      <c r="AO9">
        <f>Extrapoliation!AO170</f>
        <v>324</v>
      </c>
      <c r="AP9">
        <f>Extrapoliation!AP170</f>
        <v>306</v>
      </c>
    </row>
    <row r="10" spans="1:42">
      <c r="A10" t="s">
        <v>2377</v>
      </c>
      <c r="B10">
        <f>Extrapoliation!B171</f>
        <v>0</v>
      </c>
      <c r="C10">
        <f>Extrapoliation!C171</f>
        <v>65</v>
      </c>
      <c r="D10">
        <f>Extrapoliation!D171</f>
        <v>50</v>
      </c>
      <c r="E10">
        <f>Extrapoliation!E171</f>
        <v>45</v>
      </c>
      <c r="F10">
        <f>Extrapoliation!F171</f>
        <v>50</v>
      </c>
      <c r="G10">
        <f>Extrapoliation!G171</f>
        <v>45</v>
      </c>
      <c r="H10">
        <f>Extrapoliation!H171</f>
        <v>50</v>
      </c>
      <c r="I10">
        <f>Extrapoliation!I171</f>
        <v>45</v>
      </c>
      <c r="J10">
        <f>Extrapoliation!J171</f>
        <v>50</v>
      </c>
      <c r="K10">
        <f>Extrapoliation!K171</f>
        <v>40</v>
      </c>
      <c r="L10">
        <f>Extrapoliation!L171</f>
        <v>25</v>
      </c>
      <c r="M10">
        <f>Extrapoliation!M171</f>
        <v>20</v>
      </c>
      <c r="N10">
        <f>Extrapoliation!N171</f>
        <v>10</v>
      </c>
      <c r="O10">
        <f>Extrapoliation!O171</f>
        <v>0</v>
      </c>
      <c r="P10">
        <f>Extrapoliation!P171</f>
        <v>0</v>
      </c>
      <c r="Q10">
        <f>Extrapoliation!Q171</f>
        <v>0</v>
      </c>
      <c r="R10">
        <f>Extrapoliation!R171</f>
        <v>0</v>
      </c>
      <c r="S10">
        <f>Extrapoliation!S171</f>
        <v>0</v>
      </c>
      <c r="T10">
        <f>Extrapoliation!T171</f>
        <v>0</v>
      </c>
      <c r="U10">
        <f>Extrapoliation!U171</f>
        <v>0</v>
      </c>
      <c r="V10">
        <f>Extrapoliation!V171</f>
        <v>0</v>
      </c>
      <c r="W10">
        <f>Extrapoliation!W171</f>
        <v>0</v>
      </c>
      <c r="X10">
        <f>Extrapoliation!X171</f>
        <v>0</v>
      </c>
      <c r="Y10">
        <f>Extrapoliation!Y171</f>
        <v>0</v>
      </c>
      <c r="Z10">
        <f>Extrapoliation!Z171</f>
        <v>0</v>
      </c>
      <c r="AA10">
        <f>Extrapoliation!AA171</f>
        <v>0</v>
      </c>
      <c r="AB10">
        <f>Extrapoliation!AB171</f>
        <v>0</v>
      </c>
      <c r="AC10">
        <f>Extrapoliation!AC171</f>
        <v>0</v>
      </c>
      <c r="AD10">
        <f>Extrapoliation!AD171</f>
        <v>0</v>
      </c>
      <c r="AE10">
        <f>Extrapoliation!AE171</f>
        <v>0</v>
      </c>
      <c r="AF10">
        <f>Extrapoliation!AF171</f>
        <v>0</v>
      </c>
      <c r="AG10">
        <f>Extrapoliation!AG171</f>
        <v>0</v>
      </c>
      <c r="AH10">
        <f>Extrapoliation!AH171</f>
        <v>0</v>
      </c>
      <c r="AI10">
        <f>Extrapoliation!AI171</f>
        <v>0</v>
      </c>
      <c r="AJ10">
        <f>Extrapoliation!AJ171</f>
        <v>0</v>
      </c>
      <c r="AK10">
        <f>Extrapoliation!AK171</f>
        <v>0</v>
      </c>
      <c r="AL10">
        <f>Extrapoliation!AL171</f>
        <v>0</v>
      </c>
      <c r="AM10">
        <f>Extrapoliation!AM171</f>
        <v>0</v>
      </c>
      <c r="AN10">
        <f>Extrapoliation!AN171</f>
        <v>0</v>
      </c>
      <c r="AO10">
        <f>Extrapoliation!AO171</f>
        <v>0</v>
      </c>
      <c r="AP10">
        <f>Extrapoliation!AP171</f>
        <v>0</v>
      </c>
    </row>
    <row r="11" spans="1:42">
      <c r="A11" t="s">
        <v>2378</v>
      </c>
      <c r="B11">
        <f>Extrapoliation!B172</f>
        <v>0</v>
      </c>
      <c r="C11">
        <f>Extrapoliation!C172</f>
        <v>10</v>
      </c>
      <c r="D11">
        <f>Extrapoliation!D172</f>
        <v>10</v>
      </c>
      <c r="E11">
        <f>Extrapoliation!E172</f>
        <v>5</v>
      </c>
      <c r="F11">
        <f>Extrapoliation!F172</f>
        <v>10</v>
      </c>
      <c r="G11">
        <f>Extrapoliation!G172</f>
        <v>10</v>
      </c>
      <c r="H11">
        <f>Extrapoliation!H172</f>
        <v>10</v>
      </c>
      <c r="I11">
        <f>Extrapoliation!I172</f>
        <v>10</v>
      </c>
      <c r="J11">
        <f>Extrapoliation!J172</f>
        <v>10</v>
      </c>
      <c r="K11">
        <f>Extrapoliation!K172</f>
        <v>10</v>
      </c>
      <c r="L11">
        <f>Extrapoliation!L172</f>
        <v>15</v>
      </c>
      <c r="M11">
        <f>Extrapoliation!M172</f>
        <v>10</v>
      </c>
      <c r="N11">
        <f>Extrapoliation!N172</f>
        <v>15</v>
      </c>
      <c r="O11">
        <f>Extrapoliation!O172</f>
        <v>10</v>
      </c>
      <c r="P11">
        <f>Extrapoliation!P172</f>
        <v>15</v>
      </c>
      <c r="Q11">
        <f>Extrapoliation!Q172</f>
        <v>10</v>
      </c>
      <c r="R11">
        <f>Extrapoliation!R172</f>
        <v>15</v>
      </c>
      <c r="S11">
        <f>Extrapoliation!S172</f>
        <v>10</v>
      </c>
      <c r="T11">
        <f>Extrapoliation!T172</f>
        <v>15</v>
      </c>
      <c r="U11">
        <f>Extrapoliation!U172</f>
        <v>10</v>
      </c>
      <c r="V11">
        <f>Extrapoliation!V172</f>
        <v>15</v>
      </c>
      <c r="W11">
        <f>Extrapoliation!W172</f>
        <v>10</v>
      </c>
      <c r="X11">
        <f>Extrapoliation!X172</f>
        <v>10</v>
      </c>
      <c r="Y11">
        <f>Extrapoliation!Y172</f>
        <v>15</v>
      </c>
      <c r="Z11">
        <f>Extrapoliation!Z172</f>
        <v>10</v>
      </c>
      <c r="AA11">
        <f>Extrapoliation!AA172</f>
        <v>10</v>
      </c>
      <c r="AB11">
        <f>Extrapoliation!AB172</f>
        <v>10</v>
      </c>
      <c r="AC11">
        <f>Extrapoliation!AC172</f>
        <v>5</v>
      </c>
      <c r="AD11">
        <f>Extrapoliation!AD172</f>
        <v>10</v>
      </c>
      <c r="AE11">
        <f>Extrapoliation!AE172</f>
        <v>5</v>
      </c>
      <c r="AF11">
        <f>Extrapoliation!AF172</f>
        <v>5</v>
      </c>
      <c r="AG11">
        <f>Extrapoliation!AG172</f>
        <v>5</v>
      </c>
      <c r="AH11">
        <f>Extrapoliation!AH172</f>
        <v>5</v>
      </c>
      <c r="AI11">
        <f>Extrapoliation!AI172</f>
        <v>5</v>
      </c>
      <c r="AJ11">
        <f>Extrapoliation!AJ172</f>
        <v>5</v>
      </c>
      <c r="AK11">
        <f>Extrapoliation!AK172</f>
        <v>0</v>
      </c>
      <c r="AL11">
        <f>Extrapoliation!AL172</f>
        <v>5</v>
      </c>
      <c r="AM11">
        <f>Extrapoliation!AM172</f>
        <v>0</v>
      </c>
      <c r="AN11">
        <f>Extrapoliation!AN172</f>
        <v>0</v>
      </c>
      <c r="AO11">
        <f>Extrapoliation!AO172</f>
        <v>5</v>
      </c>
      <c r="AP11">
        <f>Extrapoliation!AP172</f>
        <v>0</v>
      </c>
    </row>
    <row r="12" spans="1:42">
      <c r="A12" t="s">
        <v>2379</v>
      </c>
      <c r="B12">
        <f>Extrapoliation!B173</f>
        <v>0</v>
      </c>
      <c r="C12">
        <f>Extrapoliation!C173</f>
        <v>117.8</v>
      </c>
      <c r="D12">
        <f>Extrapoliation!D173</f>
        <v>81.7</v>
      </c>
      <c r="E12">
        <f>Extrapoliation!E173</f>
        <v>99.75</v>
      </c>
      <c r="F12">
        <f>Extrapoliation!F173</f>
        <v>117.8</v>
      </c>
      <c r="G12">
        <f>Extrapoliation!G173</f>
        <v>142.5</v>
      </c>
      <c r="H12">
        <f>Extrapoliation!H173</f>
        <v>174.8</v>
      </c>
      <c r="I12">
        <f>Extrapoliation!I173</f>
        <v>215.65</v>
      </c>
      <c r="J12">
        <f>Extrapoliation!J173</f>
        <v>265.05</v>
      </c>
      <c r="K12">
        <f>Extrapoliation!K173</f>
        <v>323</v>
      </c>
      <c r="L12">
        <f>Extrapoliation!L173</f>
        <v>394.25</v>
      </c>
      <c r="M12">
        <f>Extrapoliation!M173</f>
        <v>475.95</v>
      </c>
      <c r="N12">
        <f>Extrapoliation!N173</f>
        <v>575.7</v>
      </c>
      <c r="O12">
        <f>Extrapoliation!O173</f>
        <v>697.3</v>
      </c>
      <c r="P12">
        <f>Extrapoliation!P173</f>
        <v>843.6</v>
      </c>
      <c r="Q12">
        <f>Extrapoliation!Q173</f>
        <v>1020.3</v>
      </c>
      <c r="R12">
        <f>Extrapoliation!R173</f>
        <v>1240.7</v>
      </c>
      <c r="S12">
        <f>Extrapoliation!S173</f>
        <v>1483.9</v>
      </c>
      <c r="T12">
        <f>Extrapoliation!T173</f>
        <v>1732.8</v>
      </c>
      <c r="U12">
        <f>Extrapoliation!U173</f>
        <v>1976</v>
      </c>
      <c r="V12">
        <f>Extrapoliation!V173</f>
        <v>2223.95</v>
      </c>
      <c r="W12">
        <f>Extrapoliation!W173</f>
        <v>2446.25</v>
      </c>
      <c r="X12">
        <f>Extrapoliation!X173</f>
        <v>2636.25</v>
      </c>
      <c r="Y12">
        <f>Extrapoliation!Y173</f>
        <v>2801.55</v>
      </c>
      <c r="Z12">
        <f>Extrapoliation!Z173</f>
        <v>2966.85</v>
      </c>
      <c r="AA12">
        <f>Extrapoliation!AA173</f>
        <v>3153.05</v>
      </c>
      <c r="AB12">
        <f>Extrapoliation!AB173</f>
        <v>3353.5</v>
      </c>
      <c r="AC12">
        <f>Extrapoliation!AC173</f>
        <v>3560.6</v>
      </c>
      <c r="AD12">
        <f>Extrapoliation!AD173</f>
        <v>3784.8</v>
      </c>
      <c r="AE12">
        <f>Extrapoliation!AE173</f>
        <v>4026.1</v>
      </c>
      <c r="AF12">
        <f>Extrapoliation!AF173</f>
        <v>4286.4</v>
      </c>
      <c r="AG12">
        <f>Extrapoliation!AG173</f>
        <v>4557.15</v>
      </c>
      <c r="AH12">
        <f>Extrapoliation!AH173</f>
        <v>4788</v>
      </c>
      <c r="AI12">
        <f>Extrapoliation!AI173</f>
        <v>5002.7</v>
      </c>
      <c r="AJ12">
        <f>Extrapoliation!AJ173</f>
        <v>5251.6</v>
      </c>
      <c r="AK12">
        <f>Extrapoliation!AK173</f>
        <v>5506.2</v>
      </c>
      <c r="AL12">
        <f>Extrapoliation!AL173</f>
        <v>5706.65</v>
      </c>
      <c r="AM12">
        <f>Extrapoliation!AM173</f>
        <v>5847.25</v>
      </c>
      <c r="AN12">
        <f>Extrapoliation!AN173</f>
        <v>5965.05</v>
      </c>
      <c r="AO12">
        <f>Extrapoliation!AO173</f>
        <v>6099.95</v>
      </c>
      <c r="AP12">
        <f>Extrapoliation!AP173</f>
        <v>6169.3</v>
      </c>
    </row>
    <row r="13" spans="1:42">
      <c r="A13" t="s">
        <v>2380</v>
      </c>
      <c r="B13">
        <f>Extrapoliation!B174</f>
        <v>0</v>
      </c>
      <c r="C13">
        <f>Extrapoliation!C174</f>
        <v>1055</v>
      </c>
      <c r="D13">
        <f>Extrapoliation!D174</f>
        <v>595</v>
      </c>
      <c r="E13">
        <f>Extrapoliation!E174</f>
        <v>640</v>
      </c>
      <c r="F13">
        <f>Extrapoliation!F174</f>
        <v>685</v>
      </c>
      <c r="G13">
        <f>Extrapoliation!G174</f>
        <v>740</v>
      </c>
      <c r="H13">
        <f>Extrapoliation!H174</f>
        <v>785</v>
      </c>
      <c r="I13">
        <f>Extrapoliation!I174</f>
        <v>825</v>
      </c>
      <c r="J13">
        <f>Extrapoliation!J174</f>
        <v>850</v>
      </c>
      <c r="K13">
        <f>Extrapoliation!K174</f>
        <v>885</v>
      </c>
      <c r="L13">
        <f>Extrapoliation!L174</f>
        <v>905</v>
      </c>
      <c r="M13">
        <f>Extrapoliation!M174</f>
        <v>930</v>
      </c>
      <c r="N13">
        <f>Extrapoliation!N174</f>
        <v>960</v>
      </c>
      <c r="O13">
        <f>Extrapoliation!O174</f>
        <v>990</v>
      </c>
      <c r="P13">
        <f>Extrapoliation!P174</f>
        <v>1010</v>
      </c>
      <c r="Q13">
        <f>Extrapoliation!Q174</f>
        <v>1025</v>
      </c>
      <c r="R13">
        <f>Extrapoliation!R174</f>
        <v>1035</v>
      </c>
      <c r="S13">
        <f>Extrapoliation!S174</f>
        <v>1030</v>
      </c>
      <c r="T13">
        <f>Extrapoliation!T174</f>
        <v>1025</v>
      </c>
      <c r="U13">
        <f>Extrapoliation!U174</f>
        <v>1025</v>
      </c>
      <c r="V13">
        <f>Extrapoliation!V174</f>
        <v>1015</v>
      </c>
      <c r="W13">
        <f>Extrapoliation!W174</f>
        <v>1000</v>
      </c>
      <c r="X13">
        <f>Extrapoliation!X174</f>
        <v>980</v>
      </c>
      <c r="Y13">
        <f>Extrapoliation!Y174</f>
        <v>960</v>
      </c>
      <c r="Z13">
        <f>Extrapoliation!Z174</f>
        <v>925</v>
      </c>
      <c r="AA13">
        <f>Extrapoliation!AA174</f>
        <v>880</v>
      </c>
      <c r="AB13">
        <f>Extrapoliation!AB174</f>
        <v>835</v>
      </c>
      <c r="AC13">
        <f>Extrapoliation!AC174</f>
        <v>785</v>
      </c>
      <c r="AD13">
        <f>Extrapoliation!AD174</f>
        <v>730</v>
      </c>
      <c r="AE13">
        <f>Extrapoliation!AE174</f>
        <v>685</v>
      </c>
      <c r="AF13">
        <f>Extrapoliation!AF174</f>
        <v>635</v>
      </c>
      <c r="AG13">
        <f>Extrapoliation!AG174</f>
        <v>595</v>
      </c>
      <c r="AH13">
        <f>Extrapoliation!AH174</f>
        <v>555</v>
      </c>
      <c r="AI13">
        <f>Extrapoliation!AI174</f>
        <v>515</v>
      </c>
      <c r="AJ13">
        <f>Extrapoliation!AJ174</f>
        <v>480</v>
      </c>
      <c r="AK13">
        <f>Extrapoliation!AK174</f>
        <v>440</v>
      </c>
      <c r="AL13">
        <f>Extrapoliation!AL174</f>
        <v>410</v>
      </c>
      <c r="AM13">
        <f>Extrapoliation!AM174</f>
        <v>380</v>
      </c>
      <c r="AN13">
        <f>Extrapoliation!AN174</f>
        <v>345</v>
      </c>
      <c r="AO13">
        <f>Extrapoliation!AO174</f>
        <v>315</v>
      </c>
      <c r="AP13">
        <f>Extrapoliation!AP174</f>
        <v>285</v>
      </c>
    </row>
    <row r="14" spans="1:42">
      <c r="A14" t="s">
        <v>2381</v>
      </c>
      <c r="B14">
        <f>Extrapoliation!B175</f>
        <v>0</v>
      </c>
      <c r="C14">
        <f>Extrapoliation!C175</f>
        <v>0</v>
      </c>
      <c r="D14">
        <f>Extrapoliation!D175</f>
        <v>0</v>
      </c>
      <c r="E14">
        <f>Extrapoliation!E175</f>
        <v>0</v>
      </c>
      <c r="F14">
        <f>Extrapoliation!F175</f>
        <v>0</v>
      </c>
      <c r="G14">
        <f>Extrapoliation!G175</f>
        <v>0</v>
      </c>
      <c r="H14">
        <f>Extrapoliation!H175</f>
        <v>0</v>
      </c>
      <c r="I14">
        <f>Extrapoliation!I175</f>
        <v>0</v>
      </c>
      <c r="J14">
        <f>Extrapoliation!J175</f>
        <v>0</v>
      </c>
      <c r="K14">
        <f>Extrapoliation!K175</f>
        <v>0</v>
      </c>
      <c r="L14">
        <f>Extrapoliation!L175</f>
        <v>0</v>
      </c>
      <c r="M14">
        <f>Extrapoliation!M175</f>
        <v>0</v>
      </c>
      <c r="N14">
        <f>Extrapoliation!N175</f>
        <v>0</v>
      </c>
      <c r="O14">
        <f>Extrapoliation!O175</f>
        <v>0</v>
      </c>
      <c r="P14">
        <f>Extrapoliation!P175</f>
        <v>0</v>
      </c>
      <c r="Q14">
        <f>Extrapoliation!Q175</f>
        <v>0</v>
      </c>
      <c r="R14">
        <f>Extrapoliation!R175</f>
        <v>0</v>
      </c>
      <c r="S14">
        <f>Extrapoliation!S175</f>
        <v>66</v>
      </c>
      <c r="T14">
        <f>Extrapoliation!T175</f>
        <v>66</v>
      </c>
      <c r="U14">
        <f>Extrapoliation!U175</f>
        <v>99</v>
      </c>
      <c r="V14">
        <f>Extrapoliation!V175</f>
        <v>99</v>
      </c>
      <c r="W14">
        <f>Extrapoliation!W175</f>
        <v>264</v>
      </c>
      <c r="X14">
        <f>Extrapoliation!X175</f>
        <v>297</v>
      </c>
      <c r="Y14">
        <f>Extrapoliation!Y175</f>
        <v>528</v>
      </c>
      <c r="Z14">
        <f>Extrapoliation!Z175</f>
        <v>957</v>
      </c>
      <c r="AA14">
        <f>Extrapoliation!AA175</f>
        <v>957</v>
      </c>
      <c r="AB14">
        <f>Extrapoliation!AB175</f>
        <v>792</v>
      </c>
      <c r="AC14">
        <f>Extrapoliation!AC175</f>
        <v>693</v>
      </c>
      <c r="AD14">
        <f>Extrapoliation!AD175</f>
        <v>990</v>
      </c>
      <c r="AE14">
        <f>Extrapoliation!AE175</f>
        <v>3960</v>
      </c>
      <c r="AF14">
        <f>Extrapoliation!AF175</f>
        <v>5280</v>
      </c>
      <c r="AG14">
        <f>Extrapoliation!AG175</f>
        <v>6501</v>
      </c>
      <c r="AH14">
        <f>Extrapoliation!AH175</f>
        <v>9108</v>
      </c>
      <c r="AI14">
        <f>Extrapoliation!AI175</f>
        <v>9900</v>
      </c>
      <c r="AJ14">
        <f>Extrapoliation!AJ175</f>
        <v>7194</v>
      </c>
      <c r="AK14">
        <f>Extrapoliation!AK175</f>
        <v>6006</v>
      </c>
      <c r="AL14">
        <f>Extrapoliation!AL175</f>
        <v>4950</v>
      </c>
      <c r="AM14">
        <f>Extrapoliation!AM175</f>
        <v>2409</v>
      </c>
      <c r="AN14">
        <f>Extrapoliation!AN175</f>
        <v>1056</v>
      </c>
      <c r="AO14">
        <f>Extrapoliation!AO175</f>
        <v>462</v>
      </c>
      <c r="AP14">
        <f>Extrapoliation!AP175</f>
        <v>330</v>
      </c>
    </row>
    <row r="15" spans="1:42">
      <c r="A15" t="s">
        <v>2382</v>
      </c>
      <c r="B15">
        <f>Extrapoliation!B176</f>
        <v>0</v>
      </c>
      <c r="C15">
        <f>Extrapoliation!C176</f>
        <v>0</v>
      </c>
      <c r="D15">
        <f>Extrapoliation!D176</f>
        <v>0</v>
      </c>
      <c r="E15">
        <f>Extrapoliation!E176</f>
        <v>5</v>
      </c>
      <c r="F15">
        <f>Extrapoliation!F176</f>
        <v>0</v>
      </c>
      <c r="G15">
        <f>Extrapoliation!G176</f>
        <v>5</v>
      </c>
      <c r="H15">
        <f>Extrapoliation!H176</f>
        <v>0</v>
      </c>
      <c r="I15">
        <f>Extrapoliation!I176</f>
        <v>5</v>
      </c>
      <c r="J15">
        <f>Extrapoliation!J176</f>
        <v>0</v>
      </c>
      <c r="K15">
        <f>Extrapoliation!K176</f>
        <v>5</v>
      </c>
      <c r="L15">
        <f>Extrapoliation!L176</f>
        <v>0</v>
      </c>
      <c r="M15">
        <f>Extrapoliation!M176</f>
        <v>5</v>
      </c>
      <c r="N15">
        <f>Extrapoliation!N176</f>
        <v>0</v>
      </c>
      <c r="O15">
        <f>Extrapoliation!O176</f>
        <v>5</v>
      </c>
      <c r="P15">
        <f>Extrapoliation!P176</f>
        <v>0</v>
      </c>
      <c r="Q15">
        <f>Extrapoliation!Q176</f>
        <v>5</v>
      </c>
      <c r="R15">
        <f>Extrapoliation!R176</f>
        <v>5</v>
      </c>
      <c r="S15">
        <f>Extrapoliation!S176</f>
        <v>0</v>
      </c>
      <c r="T15">
        <f>Extrapoliation!T176</f>
        <v>5</v>
      </c>
      <c r="U15">
        <f>Extrapoliation!U176</f>
        <v>0</v>
      </c>
      <c r="V15">
        <f>Extrapoliation!V176</f>
        <v>5</v>
      </c>
      <c r="W15">
        <f>Extrapoliation!W176</f>
        <v>0</v>
      </c>
      <c r="X15">
        <f>Extrapoliation!X176</f>
        <v>5</v>
      </c>
      <c r="Y15">
        <f>Extrapoliation!Y176</f>
        <v>0</v>
      </c>
      <c r="Z15">
        <f>Extrapoliation!Z176</f>
        <v>5</v>
      </c>
      <c r="AA15">
        <f>Extrapoliation!AA176</f>
        <v>0</v>
      </c>
      <c r="AB15">
        <f>Extrapoliation!AB176</f>
        <v>5</v>
      </c>
      <c r="AC15">
        <f>Extrapoliation!AC176</f>
        <v>0</v>
      </c>
      <c r="AD15">
        <f>Extrapoliation!AD176</f>
        <v>0</v>
      </c>
      <c r="AE15">
        <f>Extrapoliation!AE176</f>
        <v>5</v>
      </c>
      <c r="AF15">
        <f>Extrapoliation!AF176</f>
        <v>0</v>
      </c>
      <c r="AG15">
        <f>Extrapoliation!AG176</f>
        <v>0</v>
      </c>
      <c r="AH15">
        <f>Extrapoliation!AH176</f>
        <v>5</v>
      </c>
      <c r="AI15">
        <f>Extrapoliation!AI176</f>
        <v>0</v>
      </c>
      <c r="AJ15">
        <f>Extrapoliation!AJ176</f>
        <v>0</v>
      </c>
      <c r="AK15">
        <f>Extrapoliation!AK176</f>
        <v>0</v>
      </c>
      <c r="AL15">
        <f>Extrapoliation!AL176</f>
        <v>0</v>
      </c>
      <c r="AM15">
        <f>Extrapoliation!AM176</f>
        <v>0</v>
      </c>
      <c r="AN15">
        <f>Extrapoliation!AN176</f>
        <v>0</v>
      </c>
      <c r="AO15">
        <f>Extrapoliation!AO176</f>
        <v>0</v>
      </c>
      <c r="AP15">
        <f>Extrapoliation!AP176</f>
        <v>0</v>
      </c>
    </row>
    <row r="16" spans="1:42">
      <c r="A16" t="s">
        <v>2383</v>
      </c>
      <c r="B16">
        <f>Extrapoliation!B177</f>
        <v>0</v>
      </c>
      <c r="C16">
        <f>Extrapoliation!C177</f>
        <v>40</v>
      </c>
      <c r="D16">
        <f>Extrapoliation!D177</f>
        <v>25</v>
      </c>
      <c r="E16">
        <f>Extrapoliation!E177</f>
        <v>25</v>
      </c>
      <c r="F16">
        <f>Extrapoliation!F177</f>
        <v>30</v>
      </c>
      <c r="G16">
        <f>Extrapoliation!G177</f>
        <v>25</v>
      </c>
      <c r="H16">
        <f>Extrapoliation!H177</f>
        <v>35</v>
      </c>
      <c r="I16">
        <f>Extrapoliation!I177</f>
        <v>30</v>
      </c>
      <c r="J16">
        <f>Extrapoliation!J177</f>
        <v>35</v>
      </c>
      <c r="K16">
        <f>Extrapoliation!K177</f>
        <v>35</v>
      </c>
      <c r="L16">
        <f>Extrapoliation!L177</f>
        <v>35</v>
      </c>
      <c r="M16">
        <f>Extrapoliation!M177</f>
        <v>40</v>
      </c>
      <c r="N16">
        <f>Extrapoliation!N177</f>
        <v>40</v>
      </c>
      <c r="O16">
        <f>Extrapoliation!O177</f>
        <v>35</v>
      </c>
      <c r="P16">
        <f>Extrapoliation!P177</f>
        <v>40</v>
      </c>
      <c r="Q16">
        <f>Extrapoliation!Q177</f>
        <v>40</v>
      </c>
      <c r="R16">
        <f>Extrapoliation!R177</f>
        <v>45</v>
      </c>
      <c r="S16">
        <f>Extrapoliation!S177</f>
        <v>40</v>
      </c>
      <c r="T16">
        <f>Extrapoliation!T177</f>
        <v>40</v>
      </c>
      <c r="U16">
        <f>Extrapoliation!U177</f>
        <v>35</v>
      </c>
      <c r="V16">
        <f>Extrapoliation!V177</f>
        <v>40</v>
      </c>
      <c r="W16">
        <f>Extrapoliation!W177</f>
        <v>40</v>
      </c>
      <c r="X16">
        <f>Extrapoliation!X177</f>
        <v>35</v>
      </c>
      <c r="Y16">
        <f>Extrapoliation!Y177</f>
        <v>35</v>
      </c>
      <c r="Z16">
        <f>Extrapoliation!Z177</f>
        <v>35</v>
      </c>
      <c r="AA16">
        <f>Extrapoliation!AA177</f>
        <v>30</v>
      </c>
      <c r="AB16">
        <f>Extrapoliation!AB177</f>
        <v>30</v>
      </c>
      <c r="AC16">
        <f>Extrapoliation!AC177</f>
        <v>25</v>
      </c>
      <c r="AD16">
        <f>Extrapoliation!AD177</f>
        <v>25</v>
      </c>
      <c r="AE16">
        <f>Extrapoliation!AE177</f>
        <v>20</v>
      </c>
      <c r="AF16">
        <f>Extrapoliation!AF177</f>
        <v>20</v>
      </c>
      <c r="AG16">
        <f>Extrapoliation!AG177</f>
        <v>15</v>
      </c>
      <c r="AH16">
        <f>Extrapoliation!AH177</f>
        <v>15</v>
      </c>
      <c r="AI16">
        <f>Extrapoliation!AI177</f>
        <v>15</v>
      </c>
      <c r="AJ16">
        <f>Extrapoliation!AJ177</f>
        <v>10</v>
      </c>
      <c r="AK16">
        <f>Extrapoliation!AK177</f>
        <v>5</v>
      </c>
      <c r="AL16">
        <f>Extrapoliation!AL177</f>
        <v>10</v>
      </c>
      <c r="AM16">
        <f>Extrapoliation!AM177</f>
        <v>5</v>
      </c>
      <c r="AN16">
        <f>Extrapoliation!AN177</f>
        <v>5</v>
      </c>
      <c r="AO16">
        <f>Extrapoliation!AO177</f>
        <v>5</v>
      </c>
      <c r="AP16">
        <f>Extrapoliation!AP177</f>
        <v>0</v>
      </c>
    </row>
    <row r="17" spans="1:42">
      <c r="A17" t="s">
        <v>2384</v>
      </c>
      <c r="B17">
        <f>Extrapoliation!B178</f>
        <v>0</v>
      </c>
      <c r="C17">
        <f>Extrapoliation!C178</f>
        <v>108</v>
      </c>
      <c r="D17">
        <f>Extrapoliation!D178</f>
        <v>66</v>
      </c>
      <c r="E17">
        <f>Extrapoliation!E178</f>
        <v>78</v>
      </c>
      <c r="F17">
        <f>Extrapoliation!F178</f>
        <v>84</v>
      </c>
      <c r="G17">
        <f>Extrapoliation!G178</f>
        <v>96</v>
      </c>
      <c r="H17">
        <f>Extrapoliation!H178</f>
        <v>108</v>
      </c>
      <c r="I17">
        <f>Extrapoliation!I178</f>
        <v>126</v>
      </c>
      <c r="J17">
        <f>Extrapoliation!J178</f>
        <v>138</v>
      </c>
      <c r="K17">
        <f>Extrapoliation!K178</f>
        <v>156</v>
      </c>
      <c r="L17">
        <f>Extrapoliation!L178</f>
        <v>174</v>
      </c>
      <c r="M17">
        <f>Extrapoliation!M178</f>
        <v>192</v>
      </c>
      <c r="N17">
        <f>Extrapoliation!N178</f>
        <v>216</v>
      </c>
      <c r="O17">
        <f>Extrapoliation!O178</f>
        <v>234</v>
      </c>
      <c r="P17">
        <f>Extrapoliation!P178</f>
        <v>252</v>
      </c>
      <c r="Q17">
        <f>Extrapoliation!Q178</f>
        <v>270</v>
      </c>
      <c r="R17">
        <f>Extrapoliation!R178</f>
        <v>288</v>
      </c>
      <c r="S17">
        <f>Extrapoliation!S178</f>
        <v>306</v>
      </c>
      <c r="T17">
        <f>Extrapoliation!T178</f>
        <v>318</v>
      </c>
      <c r="U17">
        <f>Extrapoliation!U178</f>
        <v>324</v>
      </c>
      <c r="V17">
        <f>Extrapoliation!V178</f>
        <v>342</v>
      </c>
      <c r="W17">
        <f>Extrapoliation!W178</f>
        <v>360</v>
      </c>
      <c r="X17">
        <f>Extrapoliation!X178</f>
        <v>372</v>
      </c>
      <c r="Y17">
        <f>Extrapoliation!Y178</f>
        <v>390</v>
      </c>
      <c r="Z17">
        <f>Extrapoliation!Z178</f>
        <v>402</v>
      </c>
      <c r="AA17">
        <f>Extrapoliation!AA178</f>
        <v>414</v>
      </c>
      <c r="AB17">
        <f>Extrapoliation!AB178</f>
        <v>432</v>
      </c>
      <c r="AC17">
        <f>Extrapoliation!AC178</f>
        <v>438</v>
      </c>
      <c r="AD17">
        <f>Extrapoliation!AD178</f>
        <v>444</v>
      </c>
      <c r="AE17">
        <f>Extrapoliation!AE178</f>
        <v>450</v>
      </c>
      <c r="AF17">
        <f>Extrapoliation!AF178</f>
        <v>456</v>
      </c>
      <c r="AG17">
        <f>Extrapoliation!AG178</f>
        <v>450</v>
      </c>
      <c r="AH17">
        <f>Extrapoliation!AH178</f>
        <v>450</v>
      </c>
      <c r="AI17">
        <f>Extrapoliation!AI178</f>
        <v>438</v>
      </c>
      <c r="AJ17">
        <f>Extrapoliation!AJ178</f>
        <v>444</v>
      </c>
      <c r="AK17">
        <f>Extrapoliation!AK178</f>
        <v>438</v>
      </c>
      <c r="AL17">
        <f>Extrapoliation!AL178</f>
        <v>414</v>
      </c>
      <c r="AM17">
        <f>Extrapoliation!AM178</f>
        <v>390</v>
      </c>
      <c r="AN17">
        <f>Extrapoliation!AN178</f>
        <v>366</v>
      </c>
      <c r="AO17">
        <f>Extrapoliation!AO178</f>
        <v>348</v>
      </c>
      <c r="AP17">
        <f>Extrapoliation!AP178</f>
        <v>336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P17"/>
  <sheetViews>
    <sheetView workbookViewId="0">
      <selection activeCell="C13" sqref="C13"/>
    </sheetView>
  </sheetViews>
  <sheetFormatPr defaultColWidth="9" defaultRowHeight="12.75"/>
  <sheetData>
    <row r="1" spans="1:42">
      <c r="A1" t="s">
        <v>2405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2369</v>
      </c>
      <c r="B2">
        <f>Extrapoliation!B259</f>
        <v>14693</v>
      </c>
      <c r="C2">
        <f>Extrapoliation!C259</f>
        <v>4993</v>
      </c>
      <c r="D2">
        <f>Extrapoliation!D259</f>
        <v>7040</v>
      </c>
      <c r="E2">
        <f>Extrapoliation!E259</f>
        <v>7270</v>
      </c>
      <c r="F2">
        <f>Extrapoliation!F259</f>
        <v>0</v>
      </c>
      <c r="G2">
        <f>Extrapoliation!G259</f>
        <v>0</v>
      </c>
      <c r="H2">
        <f>Extrapoliation!H259</f>
        <v>0</v>
      </c>
      <c r="I2">
        <f>Extrapoliation!I259</f>
        <v>0</v>
      </c>
      <c r="J2">
        <f>Extrapoliation!J259</f>
        <v>0</v>
      </c>
      <c r="K2">
        <f>Extrapoliation!K259</f>
        <v>0</v>
      </c>
      <c r="L2">
        <f>Extrapoliation!L259</f>
        <v>0</v>
      </c>
      <c r="M2">
        <f>Extrapoliation!M259</f>
        <v>4044</v>
      </c>
      <c r="N2">
        <f>Extrapoliation!N259</f>
        <v>13236</v>
      </c>
      <c r="O2">
        <f>Extrapoliation!O259</f>
        <v>25302</v>
      </c>
      <c r="P2">
        <f>Extrapoliation!P259</f>
        <v>43842</v>
      </c>
      <c r="Q2">
        <f>Extrapoliation!Q259</f>
        <v>61668</v>
      </c>
      <c r="R2">
        <f>Extrapoliation!R259</f>
        <v>71814</v>
      </c>
      <c r="S2">
        <f>Extrapoliation!S259</f>
        <v>77118</v>
      </c>
      <c r="T2">
        <f>Extrapoliation!T259</f>
        <v>78018</v>
      </c>
      <c r="U2">
        <f>Extrapoliation!U259</f>
        <v>72906</v>
      </c>
      <c r="V2">
        <f>Extrapoliation!V259</f>
        <v>66450</v>
      </c>
      <c r="W2">
        <f>Extrapoliation!W259</f>
        <v>61146</v>
      </c>
      <c r="X2">
        <f>Extrapoliation!X259</f>
        <v>55704</v>
      </c>
      <c r="Y2">
        <f>Extrapoliation!Y259</f>
        <v>55656</v>
      </c>
      <c r="Z2">
        <f>Extrapoliation!Z259</f>
        <v>52278</v>
      </c>
      <c r="AA2">
        <f>Extrapoliation!AA259</f>
        <v>49920</v>
      </c>
      <c r="AB2">
        <f>Extrapoliation!AB259</f>
        <v>49164</v>
      </c>
      <c r="AC2">
        <f>Extrapoliation!AC259</f>
        <v>48318</v>
      </c>
      <c r="AD2">
        <f>Extrapoliation!AD259</f>
        <v>43116</v>
      </c>
      <c r="AE2">
        <f>Extrapoliation!AE259</f>
        <v>38688</v>
      </c>
      <c r="AF2">
        <f>Extrapoliation!AF259</f>
        <v>35322</v>
      </c>
      <c r="AG2">
        <f>Extrapoliation!AG259</f>
        <v>36810</v>
      </c>
      <c r="AH2">
        <f>Extrapoliation!AH259</f>
        <v>37506</v>
      </c>
      <c r="AI2">
        <f>Extrapoliation!AI259</f>
        <v>45600</v>
      </c>
      <c r="AJ2">
        <f>Extrapoliation!AJ259</f>
        <v>46644</v>
      </c>
      <c r="AK2">
        <f>Extrapoliation!AK259</f>
        <v>43812</v>
      </c>
      <c r="AL2">
        <f>Extrapoliation!AL259</f>
        <v>36738</v>
      </c>
      <c r="AM2">
        <f>Extrapoliation!AM259</f>
        <v>30402</v>
      </c>
      <c r="AN2">
        <f>Extrapoliation!AN259</f>
        <v>14580</v>
      </c>
      <c r="AO2">
        <f>Extrapoliation!AO259</f>
        <v>9900</v>
      </c>
      <c r="AP2">
        <f>Extrapoliation!AP259</f>
        <v>8508</v>
      </c>
    </row>
    <row r="3" spans="1:42">
      <c r="A3" t="s">
        <v>2370</v>
      </c>
      <c r="B3">
        <f>Extrapoliation!B260</f>
        <v>0</v>
      </c>
      <c r="C3">
        <f>Extrapoliation!C260</f>
        <v>0</v>
      </c>
      <c r="D3">
        <f>Extrapoliation!D260</f>
        <v>0</v>
      </c>
      <c r="E3">
        <f>Extrapoliation!E260</f>
        <v>0</v>
      </c>
      <c r="F3">
        <f>Extrapoliation!F260</f>
        <v>0</v>
      </c>
      <c r="G3">
        <f>Extrapoliation!G260</f>
        <v>0</v>
      </c>
      <c r="H3">
        <f>Extrapoliation!H260</f>
        <v>0</v>
      </c>
      <c r="I3">
        <f>Extrapoliation!I260</f>
        <v>0</v>
      </c>
      <c r="J3">
        <f>Extrapoliation!J260</f>
        <v>0</v>
      </c>
      <c r="K3">
        <f>Extrapoliation!K260</f>
        <v>0</v>
      </c>
      <c r="L3">
        <f>Extrapoliation!L260</f>
        <v>0</v>
      </c>
      <c r="M3">
        <f>Extrapoliation!M260</f>
        <v>0</v>
      </c>
      <c r="N3">
        <f>Extrapoliation!N260</f>
        <v>0</v>
      </c>
      <c r="O3">
        <f>Extrapoliation!O260</f>
        <v>15</v>
      </c>
      <c r="P3">
        <f>Extrapoliation!P260</f>
        <v>65</v>
      </c>
      <c r="Q3">
        <f>Extrapoliation!Q260</f>
        <v>120</v>
      </c>
      <c r="R3">
        <f>Extrapoliation!R260</f>
        <v>175</v>
      </c>
      <c r="S3">
        <f>Extrapoliation!S260</f>
        <v>175</v>
      </c>
      <c r="T3">
        <f>Extrapoliation!T260</f>
        <v>575</v>
      </c>
      <c r="U3">
        <f>Extrapoliation!U260</f>
        <v>1155</v>
      </c>
      <c r="V3">
        <f>Extrapoliation!V260</f>
        <v>1665</v>
      </c>
      <c r="W3">
        <f>Extrapoliation!W260</f>
        <v>1810</v>
      </c>
      <c r="X3">
        <f>Extrapoliation!X260</f>
        <v>2330</v>
      </c>
      <c r="Y3">
        <f>Extrapoliation!Y260</f>
        <v>2325</v>
      </c>
      <c r="Z3">
        <f>Extrapoliation!Z260</f>
        <v>2030</v>
      </c>
      <c r="AA3">
        <f>Extrapoliation!AA260</f>
        <v>1905</v>
      </c>
      <c r="AB3">
        <f>Extrapoliation!AB260</f>
        <v>2700</v>
      </c>
      <c r="AC3">
        <f>Extrapoliation!AC260</f>
        <v>4005</v>
      </c>
      <c r="AD3">
        <f>Extrapoliation!AD260</f>
        <v>5310</v>
      </c>
      <c r="AE3">
        <f>Extrapoliation!AE260</f>
        <v>6020</v>
      </c>
      <c r="AF3">
        <f>Extrapoliation!AF260</f>
        <v>6530</v>
      </c>
      <c r="AG3">
        <f>Extrapoliation!AG260</f>
        <v>6940</v>
      </c>
      <c r="AH3">
        <f>Extrapoliation!AH260</f>
        <v>6090</v>
      </c>
      <c r="AI3">
        <f>Extrapoliation!AI260</f>
        <v>4380</v>
      </c>
      <c r="AJ3">
        <f>Extrapoliation!AJ260</f>
        <v>3335</v>
      </c>
      <c r="AK3">
        <f>Extrapoliation!AK260</f>
        <v>2375</v>
      </c>
      <c r="AL3">
        <f>Extrapoliation!AL260</f>
        <v>980</v>
      </c>
      <c r="AM3">
        <f>Extrapoliation!AM260</f>
        <v>0.444000000024971</v>
      </c>
      <c r="AN3">
        <f>Extrapoliation!AN260</f>
        <v>0</v>
      </c>
      <c r="AO3">
        <f>Extrapoliation!AO260</f>
        <v>0</v>
      </c>
      <c r="AP3">
        <f>Extrapoliation!AP260</f>
        <v>0</v>
      </c>
    </row>
    <row r="4" spans="1:42">
      <c r="A4" t="s">
        <v>2371</v>
      </c>
      <c r="B4">
        <f>Extrapoliation!B261</f>
        <v>0</v>
      </c>
      <c r="C4">
        <f>Extrapoliation!C261</f>
        <v>0</v>
      </c>
      <c r="D4">
        <f>Extrapoliation!D261</f>
        <v>0</v>
      </c>
      <c r="E4">
        <f>Extrapoliation!E261</f>
        <v>0</v>
      </c>
      <c r="F4">
        <f>Extrapoliation!F261</f>
        <v>0</v>
      </c>
      <c r="G4">
        <f>Extrapoliation!G261</f>
        <v>0</v>
      </c>
      <c r="H4">
        <f>Extrapoliation!H261</f>
        <v>0</v>
      </c>
      <c r="I4">
        <f>Extrapoliation!I261</f>
        <v>0</v>
      </c>
      <c r="J4">
        <f>Extrapoliation!J261</f>
        <v>0</v>
      </c>
      <c r="K4">
        <f>Extrapoliation!K261</f>
        <v>0</v>
      </c>
      <c r="L4">
        <f>Extrapoliation!L261</f>
        <v>0</v>
      </c>
      <c r="M4">
        <f>Extrapoliation!M261</f>
        <v>0</v>
      </c>
      <c r="N4">
        <f>Extrapoliation!N261</f>
        <v>0</v>
      </c>
      <c r="O4">
        <f>Extrapoliation!O261</f>
        <v>0</v>
      </c>
      <c r="P4">
        <f>Extrapoliation!P261</f>
        <v>0</v>
      </c>
      <c r="Q4">
        <f>Extrapoliation!Q261</f>
        <v>0</v>
      </c>
      <c r="R4">
        <f>Extrapoliation!R261</f>
        <v>0</v>
      </c>
      <c r="S4">
        <f>Extrapoliation!S261</f>
        <v>0</v>
      </c>
      <c r="T4">
        <f>Extrapoliation!T261</f>
        <v>0</v>
      </c>
      <c r="U4">
        <f>Extrapoliation!U261</f>
        <v>0</v>
      </c>
      <c r="V4">
        <f>Extrapoliation!V261</f>
        <v>0</v>
      </c>
      <c r="W4">
        <f>Extrapoliation!W261</f>
        <v>0</v>
      </c>
      <c r="X4">
        <f>Extrapoliation!X261</f>
        <v>0</v>
      </c>
      <c r="Y4">
        <f>Extrapoliation!Y261</f>
        <v>650</v>
      </c>
      <c r="Z4">
        <f>Extrapoliation!Z261</f>
        <v>650</v>
      </c>
      <c r="AA4">
        <f>Extrapoliation!AA261</f>
        <v>0</v>
      </c>
      <c r="AB4">
        <f>Extrapoliation!AB261</f>
        <v>0</v>
      </c>
      <c r="AC4">
        <f>Extrapoliation!AC261</f>
        <v>0</v>
      </c>
      <c r="AD4">
        <f>Extrapoliation!AD261</f>
        <v>0</v>
      </c>
      <c r="AE4">
        <f>Extrapoliation!AE261</f>
        <v>0</v>
      </c>
      <c r="AF4">
        <f>Extrapoliation!AF261</f>
        <v>650</v>
      </c>
      <c r="AG4">
        <f>Extrapoliation!AG261</f>
        <v>1300</v>
      </c>
      <c r="AH4">
        <f>Extrapoliation!AH261</f>
        <v>650</v>
      </c>
      <c r="AI4">
        <f>Extrapoliation!AI261</f>
        <v>1300</v>
      </c>
      <c r="AJ4">
        <f>Extrapoliation!AJ261</f>
        <v>650</v>
      </c>
      <c r="AK4">
        <f>Extrapoliation!AK261</f>
        <v>1300</v>
      </c>
      <c r="AL4">
        <f>Extrapoliation!AL261</f>
        <v>0</v>
      </c>
      <c r="AM4">
        <f>Extrapoliation!AM261</f>
        <v>650</v>
      </c>
      <c r="AN4">
        <f>Extrapoliation!AN261</f>
        <v>650</v>
      </c>
      <c r="AO4">
        <f>Extrapoliation!AO261</f>
        <v>650</v>
      </c>
      <c r="AP4">
        <f>Extrapoliation!AP261</f>
        <v>650</v>
      </c>
    </row>
    <row r="5" spans="1:42">
      <c r="A5" t="s">
        <v>2372</v>
      </c>
      <c r="B5">
        <f>Extrapoliation!B262</f>
        <v>0</v>
      </c>
      <c r="C5">
        <f>Extrapoliation!C262</f>
        <v>0</v>
      </c>
      <c r="D5">
        <f>Extrapoliation!D262</f>
        <v>0</v>
      </c>
      <c r="E5">
        <f>Extrapoliation!E262</f>
        <v>0</v>
      </c>
      <c r="F5">
        <f>Extrapoliation!F262</f>
        <v>0</v>
      </c>
      <c r="G5">
        <f>Extrapoliation!G262</f>
        <v>0</v>
      </c>
      <c r="H5">
        <f>Extrapoliation!H262</f>
        <v>0</v>
      </c>
      <c r="I5">
        <f>Extrapoliation!I262</f>
        <v>0</v>
      </c>
      <c r="J5">
        <f>Extrapoliation!J262</f>
        <v>0</v>
      </c>
      <c r="K5">
        <f>Extrapoliation!K262</f>
        <v>0</v>
      </c>
      <c r="L5">
        <f>Extrapoliation!L262</f>
        <v>0</v>
      </c>
      <c r="M5">
        <f>Extrapoliation!M262</f>
        <v>0</v>
      </c>
      <c r="N5">
        <f>Extrapoliation!N262</f>
        <v>0</v>
      </c>
      <c r="O5">
        <f>Extrapoliation!O262</f>
        <v>0</v>
      </c>
      <c r="P5">
        <f>Extrapoliation!P262</f>
        <v>0</v>
      </c>
      <c r="Q5">
        <f>Extrapoliation!Q262</f>
        <v>0</v>
      </c>
      <c r="R5">
        <f>Extrapoliation!R262</f>
        <v>0</v>
      </c>
      <c r="S5">
        <f>Extrapoliation!S262</f>
        <v>0</v>
      </c>
      <c r="T5">
        <f>Extrapoliation!T262</f>
        <v>0</v>
      </c>
      <c r="U5">
        <f>Extrapoliation!U262</f>
        <v>0</v>
      </c>
      <c r="V5">
        <f>Extrapoliation!V262</f>
        <v>0</v>
      </c>
      <c r="W5">
        <f>Extrapoliation!W262</f>
        <v>0</v>
      </c>
      <c r="X5">
        <f>Extrapoliation!X262</f>
        <v>0</v>
      </c>
      <c r="Y5">
        <f>Extrapoliation!Y262</f>
        <v>0</v>
      </c>
      <c r="Z5">
        <f>Extrapoliation!Z262</f>
        <v>0</v>
      </c>
      <c r="AA5">
        <f>Extrapoliation!AA262</f>
        <v>0</v>
      </c>
      <c r="AB5">
        <f>Extrapoliation!AB262</f>
        <v>0</v>
      </c>
      <c r="AC5">
        <f>Extrapoliation!AC262</f>
        <v>0</v>
      </c>
      <c r="AD5">
        <f>Extrapoliation!AD262</f>
        <v>0</v>
      </c>
      <c r="AE5">
        <f>Extrapoliation!AE262</f>
        <v>0</v>
      </c>
      <c r="AF5">
        <f>Extrapoliation!AF262</f>
        <v>0</v>
      </c>
      <c r="AG5">
        <f>Extrapoliation!AG262</f>
        <v>0</v>
      </c>
      <c r="AH5">
        <f>Extrapoliation!AH262</f>
        <v>0</v>
      </c>
      <c r="AI5">
        <f>Extrapoliation!AI262</f>
        <v>0</v>
      </c>
      <c r="AJ5">
        <f>Extrapoliation!AJ262</f>
        <v>0</v>
      </c>
      <c r="AK5">
        <f>Extrapoliation!AK262</f>
        <v>0</v>
      </c>
      <c r="AL5">
        <f>Extrapoliation!AL262</f>
        <v>0</v>
      </c>
      <c r="AM5">
        <f>Extrapoliation!AM262</f>
        <v>0</v>
      </c>
      <c r="AN5">
        <f>Extrapoliation!AN262</f>
        <v>0</v>
      </c>
      <c r="AO5">
        <f>Extrapoliation!AO262</f>
        <v>0</v>
      </c>
      <c r="AP5">
        <f>Extrapoliation!AP262</f>
        <v>0</v>
      </c>
    </row>
    <row r="6" spans="1:42">
      <c r="A6" t="s">
        <v>2373</v>
      </c>
      <c r="B6">
        <f>Extrapoliation!B263</f>
        <v>0</v>
      </c>
      <c r="C6">
        <f>Extrapoliation!C263</f>
        <v>0</v>
      </c>
      <c r="D6">
        <f>Extrapoliation!D263</f>
        <v>0</v>
      </c>
      <c r="E6">
        <f>Extrapoliation!E263</f>
        <v>0</v>
      </c>
      <c r="F6">
        <f>Extrapoliation!F263</f>
        <v>0</v>
      </c>
      <c r="G6">
        <f>Extrapoliation!G263</f>
        <v>0</v>
      </c>
      <c r="H6">
        <f>Extrapoliation!H263</f>
        <v>0</v>
      </c>
      <c r="I6">
        <f>Extrapoliation!I263</f>
        <v>0</v>
      </c>
      <c r="J6">
        <f>Extrapoliation!J263</f>
        <v>0</v>
      </c>
      <c r="K6">
        <f>Extrapoliation!K263</f>
        <v>0</v>
      </c>
      <c r="L6">
        <f>Extrapoliation!L263</f>
        <v>0</v>
      </c>
      <c r="M6">
        <f>Extrapoliation!M263</f>
        <v>0</v>
      </c>
      <c r="N6">
        <f>Extrapoliation!N263</f>
        <v>1608</v>
      </c>
      <c r="O6">
        <f>Extrapoliation!O263</f>
        <v>4592</v>
      </c>
      <c r="P6">
        <f>Extrapoliation!P263</f>
        <v>7698</v>
      </c>
      <c r="Q6">
        <f>Extrapoliation!Q263</f>
        <v>10356</v>
      </c>
      <c r="R6">
        <f>Extrapoliation!R263</f>
        <v>13270</v>
      </c>
      <c r="S6">
        <f>Extrapoliation!S263</f>
        <v>15820</v>
      </c>
      <c r="T6">
        <f>Extrapoliation!T263</f>
        <v>19010</v>
      </c>
      <c r="U6">
        <f>Extrapoliation!U263</f>
        <v>19706</v>
      </c>
      <c r="V6">
        <f>Extrapoliation!V263</f>
        <v>20590</v>
      </c>
      <c r="W6">
        <f>Extrapoliation!W263</f>
        <v>22032</v>
      </c>
      <c r="X6">
        <f>Extrapoliation!X263</f>
        <v>23118</v>
      </c>
      <c r="Y6">
        <f>Extrapoliation!Y263</f>
        <v>30838</v>
      </c>
      <c r="Z6">
        <f>Extrapoliation!Z263</f>
        <v>33102</v>
      </c>
      <c r="AA6">
        <f>Extrapoliation!AA263</f>
        <v>35936</v>
      </c>
      <c r="AB6">
        <f>Extrapoliation!AB263</f>
        <v>45394</v>
      </c>
      <c r="AC6">
        <f>Extrapoliation!AC263</f>
        <v>40146</v>
      </c>
      <c r="AD6">
        <f>Extrapoliation!AD263</f>
        <v>26252</v>
      </c>
      <c r="AE6">
        <f>Extrapoliation!AE263</f>
        <v>20188</v>
      </c>
      <c r="AF6">
        <f>Extrapoliation!AF263</f>
        <v>13812</v>
      </c>
      <c r="AG6">
        <f>Extrapoliation!AG263</f>
        <v>0.931944444426335</v>
      </c>
      <c r="AH6">
        <f>Extrapoliation!AH263</f>
        <v>0</v>
      </c>
      <c r="AI6">
        <f>Extrapoliation!AI263</f>
        <v>0</v>
      </c>
      <c r="AJ6">
        <f>Extrapoliation!AJ263</f>
        <v>0</v>
      </c>
      <c r="AK6">
        <f>Extrapoliation!AK263</f>
        <v>0</v>
      </c>
      <c r="AL6">
        <f>Extrapoliation!AL263</f>
        <v>0</v>
      </c>
      <c r="AM6">
        <f>Extrapoliation!AM263</f>
        <v>0</v>
      </c>
      <c r="AN6">
        <f>Extrapoliation!AN263</f>
        <v>0</v>
      </c>
      <c r="AO6">
        <f>Extrapoliation!AO263</f>
        <v>0</v>
      </c>
      <c r="AP6">
        <f>Extrapoliation!AP263</f>
        <v>0</v>
      </c>
    </row>
    <row r="7" spans="1:42">
      <c r="A7" t="s">
        <v>2404</v>
      </c>
      <c r="B7">
        <f>Extrapoliation!B264</f>
        <v>0</v>
      </c>
      <c r="C7">
        <f>Extrapoliation!C264</f>
        <v>0</v>
      </c>
      <c r="D7">
        <f>Extrapoliation!D264</f>
        <v>0</v>
      </c>
      <c r="E7">
        <f>Extrapoliation!E264</f>
        <v>0</v>
      </c>
      <c r="F7">
        <f>Extrapoliation!F264</f>
        <v>0</v>
      </c>
      <c r="G7">
        <f>Extrapoliation!G264</f>
        <v>0</v>
      </c>
      <c r="H7">
        <f>Extrapoliation!H264</f>
        <v>0</v>
      </c>
      <c r="I7">
        <f>Extrapoliation!I264</f>
        <v>0</v>
      </c>
      <c r="J7">
        <f>Extrapoliation!J264</f>
        <v>0</v>
      </c>
      <c r="K7">
        <f>Extrapoliation!K264</f>
        <v>0</v>
      </c>
      <c r="L7">
        <f>Extrapoliation!L264</f>
        <v>0</v>
      </c>
      <c r="M7">
        <f>Extrapoliation!M264</f>
        <v>0</v>
      </c>
      <c r="N7">
        <f>Extrapoliation!N264</f>
        <v>0</v>
      </c>
      <c r="O7">
        <f>Extrapoliation!O264</f>
        <v>5</v>
      </c>
      <c r="P7">
        <f>Extrapoliation!P264</f>
        <v>385</v>
      </c>
      <c r="Q7">
        <f>Extrapoliation!Q264</f>
        <v>614</v>
      </c>
      <c r="R7">
        <f>Extrapoliation!R264</f>
        <v>2923</v>
      </c>
      <c r="S7">
        <f>Extrapoliation!S264</f>
        <v>4626</v>
      </c>
      <c r="T7">
        <f>Extrapoliation!T264</f>
        <v>7305</v>
      </c>
      <c r="U7">
        <f>Extrapoliation!U264</f>
        <v>12981</v>
      </c>
      <c r="V7">
        <f>Extrapoliation!V264</f>
        <v>18872</v>
      </c>
      <c r="W7">
        <f>Extrapoliation!W264</f>
        <v>21902</v>
      </c>
      <c r="X7">
        <f>Extrapoliation!X264</f>
        <v>23676</v>
      </c>
      <c r="Y7">
        <f>Extrapoliation!Y264</f>
        <v>27213</v>
      </c>
      <c r="Z7">
        <f>Extrapoliation!Z264</f>
        <v>26267</v>
      </c>
      <c r="AA7">
        <f>Extrapoliation!AA264</f>
        <v>27307</v>
      </c>
      <c r="AB7">
        <f>Extrapoliation!AB264</f>
        <v>45978</v>
      </c>
      <c r="AC7">
        <f>Extrapoliation!AC264</f>
        <v>42502</v>
      </c>
      <c r="AD7">
        <f>Extrapoliation!AD264</f>
        <v>36281</v>
      </c>
      <c r="AE7">
        <f>Extrapoliation!AE264</f>
        <v>31170</v>
      </c>
      <c r="AF7">
        <f>Extrapoliation!AF264</f>
        <v>24012</v>
      </c>
      <c r="AG7">
        <f>Extrapoliation!AG264</f>
        <v>0</v>
      </c>
      <c r="AH7">
        <f>Extrapoliation!AH264</f>
        <v>0</v>
      </c>
      <c r="AI7">
        <f>Extrapoliation!AI264</f>
        <v>0</v>
      </c>
      <c r="AJ7">
        <f>Extrapoliation!AJ264</f>
        <v>0</v>
      </c>
      <c r="AK7">
        <f>Extrapoliation!AK264</f>
        <v>0</v>
      </c>
      <c r="AL7">
        <f>Extrapoliation!AL264</f>
        <v>0</v>
      </c>
      <c r="AM7">
        <f>Extrapoliation!AM264</f>
        <v>0</v>
      </c>
      <c r="AN7">
        <f>Extrapoliation!AN264</f>
        <v>0</v>
      </c>
      <c r="AO7">
        <f>Extrapoliation!AO264</f>
        <v>0</v>
      </c>
      <c r="AP7">
        <f>Extrapoliation!AP264</f>
        <v>0</v>
      </c>
    </row>
    <row r="8" spans="1:42">
      <c r="A8" t="s">
        <v>2375</v>
      </c>
      <c r="B8">
        <f>Extrapoliation!B265</f>
        <v>0</v>
      </c>
      <c r="C8">
        <f>Extrapoliation!C265</f>
        <v>0</v>
      </c>
      <c r="D8">
        <f>Extrapoliation!D265</f>
        <v>0</v>
      </c>
      <c r="E8">
        <f>Extrapoliation!E265</f>
        <v>0</v>
      </c>
      <c r="F8">
        <f>Extrapoliation!F265</f>
        <v>0</v>
      </c>
      <c r="G8">
        <f>Extrapoliation!G265</f>
        <v>0</v>
      </c>
      <c r="H8">
        <f>Extrapoliation!H265</f>
        <v>0</v>
      </c>
      <c r="I8">
        <f>Extrapoliation!I265</f>
        <v>0</v>
      </c>
      <c r="J8">
        <f>Extrapoliation!J265</f>
        <v>0</v>
      </c>
      <c r="K8">
        <f>Extrapoliation!K265</f>
        <v>0</v>
      </c>
      <c r="L8">
        <f>Extrapoliation!L265</f>
        <v>0</v>
      </c>
      <c r="M8">
        <f>Extrapoliation!M265</f>
        <v>0</v>
      </c>
      <c r="N8">
        <f>Extrapoliation!N265</f>
        <v>0</v>
      </c>
      <c r="O8">
        <f>Extrapoliation!O265</f>
        <v>0</v>
      </c>
      <c r="P8">
        <f>Extrapoliation!P265</f>
        <v>0</v>
      </c>
      <c r="Q8">
        <f>Extrapoliation!Q265</f>
        <v>0</v>
      </c>
      <c r="R8">
        <f>Extrapoliation!R265</f>
        <v>0</v>
      </c>
      <c r="S8">
        <f>Extrapoliation!S265</f>
        <v>0</v>
      </c>
      <c r="T8">
        <f>Extrapoliation!T265</f>
        <v>0</v>
      </c>
      <c r="U8">
        <f>Extrapoliation!U265</f>
        <v>0</v>
      </c>
      <c r="V8">
        <f>Extrapoliation!V265</f>
        <v>0</v>
      </c>
      <c r="W8">
        <f>Extrapoliation!W265</f>
        <v>0</v>
      </c>
      <c r="X8">
        <f>Extrapoliation!X265</f>
        <v>0</v>
      </c>
      <c r="Y8">
        <f>Extrapoliation!Y265</f>
        <v>0</v>
      </c>
      <c r="Z8">
        <f>Extrapoliation!Z265</f>
        <v>0</v>
      </c>
      <c r="AA8">
        <f>Extrapoliation!AA265</f>
        <v>100</v>
      </c>
      <c r="AB8">
        <f>Extrapoliation!AB265</f>
        <v>50</v>
      </c>
      <c r="AC8">
        <f>Extrapoliation!AC265</f>
        <v>500</v>
      </c>
      <c r="AD8">
        <f>Extrapoliation!AD265</f>
        <v>900</v>
      </c>
      <c r="AE8">
        <f>Extrapoliation!AE265</f>
        <v>950</v>
      </c>
      <c r="AF8">
        <f>Extrapoliation!AF265</f>
        <v>850</v>
      </c>
      <c r="AG8">
        <f>Extrapoliation!AG265</f>
        <v>900</v>
      </c>
      <c r="AH8">
        <f>Extrapoliation!AH265</f>
        <v>450</v>
      </c>
      <c r="AI8">
        <f>Extrapoliation!AI265</f>
        <v>10</v>
      </c>
      <c r="AJ8">
        <f>Extrapoliation!AJ265</f>
        <v>0</v>
      </c>
      <c r="AK8">
        <f>Extrapoliation!AK265</f>
        <v>0</v>
      </c>
      <c r="AL8">
        <f>Extrapoliation!AL265</f>
        <v>0</v>
      </c>
      <c r="AM8">
        <f>Extrapoliation!AM265</f>
        <v>0</v>
      </c>
      <c r="AN8">
        <f>Extrapoliation!AN265</f>
        <v>0</v>
      </c>
      <c r="AO8">
        <f>Extrapoliation!AO265</f>
        <v>0</v>
      </c>
      <c r="AP8">
        <f>Extrapoliation!AP265</f>
        <v>0</v>
      </c>
    </row>
    <row r="9" spans="1:42">
      <c r="A9" t="s">
        <v>2376</v>
      </c>
      <c r="B9">
        <f>Extrapoliation!B266</f>
        <v>0</v>
      </c>
      <c r="C9">
        <f>Extrapoliation!C266</f>
        <v>36</v>
      </c>
      <c r="D9">
        <f>Extrapoliation!D266</f>
        <v>30</v>
      </c>
      <c r="E9">
        <f>Extrapoliation!E266</f>
        <v>30</v>
      </c>
      <c r="F9">
        <f>Extrapoliation!F266</f>
        <v>30</v>
      </c>
      <c r="G9">
        <f>Extrapoliation!G266</f>
        <v>24</v>
      </c>
      <c r="H9">
        <f>Extrapoliation!H266</f>
        <v>30</v>
      </c>
      <c r="I9">
        <f>Extrapoliation!I266</f>
        <v>30</v>
      </c>
      <c r="J9">
        <f>Extrapoliation!J266</f>
        <v>30</v>
      </c>
      <c r="K9">
        <f>Extrapoliation!K266</f>
        <v>126</v>
      </c>
      <c r="L9">
        <f>Extrapoliation!L266</f>
        <v>222</v>
      </c>
      <c r="M9">
        <f>Extrapoliation!M266</f>
        <v>318</v>
      </c>
      <c r="N9">
        <f>Extrapoliation!N266</f>
        <v>420</v>
      </c>
      <c r="O9">
        <f>Extrapoliation!O266</f>
        <v>516</v>
      </c>
      <c r="P9">
        <f>Extrapoliation!P266</f>
        <v>516</v>
      </c>
      <c r="Q9">
        <f>Extrapoliation!Q266</f>
        <v>510</v>
      </c>
      <c r="R9">
        <f>Extrapoliation!R266</f>
        <v>516</v>
      </c>
      <c r="S9">
        <f>Extrapoliation!S266</f>
        <v>462</v>
      </c>
      <c r="T9">
        <f>Extrapoliation!T266</f>
        <v>438</v>
      </c>
      <c r="U9">
        <f>Extrapoliation!U266</f>
        <v>474</v>
      </c>
      <c r="V9">
        <f>Extrapoliation!V266</f>
        <v>522</v>
      </c>
      <c r="W9">
        <f>Extrapoliation!W266</f>
        <v>534</v>
      </c>
      <c r="X9">
        <f>Extrapoliation!X266</f>
        <v>630</v>
      </c>
      <c r="Y9">
        <f>Extrapoliation!Y266</f>
        <v>642</v>
      </c>
      <c r="Z9">
        <f>Extrapoliation!Z266</f>
        <v>636</v>
      </c>
      <c r="AA9">
        <f>Extrapoliation!AA266</f>
        <v>636</v>
      </c>
      <c r="AB9">
        <f>Extrapoliation!AB266</f>
        <v>720</v>
      </c>
      <c r="AC9">
        <f>Extrapoliation!AC266</f>
        <v>810</v>
      </c>
      <c r="AD9">
        <f>Extrapoliation!AD266</f>
        <v>1164</v>
      </c>
      <c r="AE9">
        <f>Extrapoliation!AE266</f>
        <v>1488</v>
      </c>
      <c r="AF9">
        <f>Extrapoliation!AF266</f>
        <v>1548</v>
      </c>
      <c r="AG9">
        <f>Extrapoliation!AG266</f>
        <v>1596</v>
      </c>
      <c r="AH9">
        <f>Extrapoliation!AH266</f>
        <v>1362</v>
      </c>
      <c r="AI9">
        <f>Extrapoliation!AI266</f>
        <v>912</v>
      </c>
      <c r="AJ9">
        <f>Extrapoliation!AJ266</f>
        <v>456</v>
      </c>
      <c r="AK9">
        <f>Extrapoliation!AK266</f>
        <v>234</v>
      </c>
      <c r="AL9">
        <f>Extrapoliation!AL266</f>
        <v>0</v>
      </c>
      <c r="AM9">
        <f>Extrapoliation!AM266</f>
        <v>0</v>
      </c>
      <c r="AN9">
        <f>Extrapoliation!AN266</f>
        <v>0</v>
      </c>
      <c r="AO9">
        <f>Extrapoliation!AO266</f>
        <v>0</v>
      </c>
      <c r="AP9">
        <f>Extrapoliation!AP266</f>
        <v>0</v>
      </c>
    </row>
    <row r="10" spans="1:42">
      <c r="A10" t="s">
        <v>2377</v>
      </c>
      <c r="B10">
        <f>Extrapoliation!B267</f>
        <v>0</v>
      </c>
      <c r="C10">
        <f>Extrapoliation!C267</f>
        <v>65</v>
      </c>
      <c r="D10">
        <f>Extrapoliation!D267</f>
        <v>50</v>
      </c>
      <c r="E10">
        <f>Extrapoliation!E267</f>
        <v>45</v>
      </c>
      <c r="F10">
        <f>Extrapoliation!F267</f>
        <v>50</v>
      </c>
      <c r="G10">
        <f>Extrapoliation!G267</f>
        <v>45</v>
      </c>
      <c r="H10">
        <f>Extrapoliation!H267</f>
        <v>50</v>
      </c>
      <c r="I10">
        <f>Extrapoliation!I267</f>
        <v>45</v>
      </c>
      <c r="J10">
        <f>Extrapoliation!J267</f>
        <v>50</v>
      </c>
      <c r="K10">
        <f>Extrapoliation!K267</f>
        <v>40</v>
      </c>
      <c r="L10">
        <f>Extrapoliation!L267</f>
        <v>25</v>
      </c>
      <c r="M10">
        <f>Extrapoliation!M267</f>
        <v>20</v>
      </c>
      <c r="N10">
        <f>Extrapoliation!N267</f>
        <v>10</v>
      </c>
      <c r="O10">
        <f>Extrapoliation!O267</f>
        <v>0</v>
      </c>
      <c r="P10">
        <f>Extrapoliation!P267</f>
        <v>0</v>
      </c>
      <c r="Q10">
        <f>Extrapoliation!Q267</f>
        <v>0</v>
      </c>
      <c r="R10">
        <f>Extrapoliation!R267</f>
        <v>0</v>
      </c>
      <c r="S10">
        <f>Extrapoliation!S267</f>
        <v>0</v>
      </c>
      <c r="T10">
        <f>Extrapoliation!T267</f>
        <v>0</v>
      </c>
      <c r="U10">
        <f>Extrapoliation!U267</f>
        <v>0</v>
      </c>
      <c r="V10">
        <f>Extrapoliation!V267</f>
        <v>0</v>
      </c>
      <c r="W10">
        <f>Extrapoliation!W267</f>
        <v>0</v>
      </c>
      <c r="X10">
        <f>Extrapoliation!X267</f>
        <v>0</v>
      </c>
      <c r="Y10">
        <f>Extrapoliation!Y267</f>
        <v>0</v>
      </c>
      <c r="Z10">
        <f>Extrapoliation!Z267</f>
        <v>0</v>
      </c>
      <c r="AA10">
        <f>Extrapoliation!AA267</f>
        <v>0</v>
      </c>
      <c r="AB10">
        <f>Extrapoliation!AB267</f>
        <v>0</v>
      </c>
      <c r="AC10">
        <f>Extrapoliation!AC267</f>
        <v>0</v>
      </c>
      <c r="AD10">
        <f>Extrapoliation!AD267</f>
        <v>0</v>
      </c>
      <c r="AE10">
        <f>Extrapoliation!AE267</f>
        <v>0</v>
      </c>
      <c r="AF10">
        <f>Extrapoliation!AF267</f>
        <v>0</v>
      </c>
      <c r="AG10">
        <f>Extrapoliation!AG267</f>
        <v>0</v>
      </c>
      <c r="AH10">
        <f>Extrapoliation!AH267</f>
        <v>0</v>
      </c>
      <c r="AI10">
        <f>Extrapoliation!AI267</f>
        <v>0</v>
      </c>
      <c r="AJ10">
        <f>Extrapoliation!AJ267</f>
        <v>0</v>
      </c>
      <c r="AK10">
        <f>Extrapoliation!AK267</f>
        <v>0</v>
      </c>
      <c r="AL10">
        <f>Extrapoliation!AL267</f>
        <v>0</v>
      </c>
      <c r="AM10">
        <f>Extrapoliation!AM267</f>
        <v>0</v>
      </c>
      <c r="AN10">
        <f>Extrapoliation!AN267</f>
        <v>0</v>
      </c>
      <c r="AO10">
        <f>Extrapoliation!AO267</f>
        <v>0</v>
      </c>
      <c r="AP10">
        <f>Extrapoliation!AP267</f>
        <v>0</v>
      </c>
    </row>
    <row r="11" spans="1:42">
      <c r="A11" t="s">
        <v>2378</v>
      </c>
      <c r="B11">
        <f>Extrapoliation!B268</f>
        <v>0</v>
      </c>
      <c r="C11">
        <f>Extrapoliation!C268</f>
        <v>20</v>
      </c>
      <c r="D11">
        <f>Extrapoliation!D268</f>
        <v>20</v>
      </c>
      <c r="E11">
        <f>Extrapoliation!E268</f>
        <v>25</v>
      </c>
      <c r="F11">
        <f>Extrapoliation!F268</f>
        <v>30</v>
      </c>
      <c r="G11">
        <f>Extrapoliation!G268</f>
        <v>25</v>
      </c>
      <c r="H11">
        <f>Extrapoliation!H268</f>
        <v>30</v>
      </c>
      <c r="I11">
        <f>Extrapoliation!I268</f>
        <v>30</v>
      </c>
      <c r="J11">
        <f>Extrapoliation!J268</f>
        <v>25</v>
      </c>
      <c r="K11">
        <f>Extrapoliation!K268</f>
        <v>30</v>
      </c>
      <c r="L11">
        <f>Extrapoliation!L268</f>
        <v>25</v>
      </c>
      <c r="M11">
        <f>Extrapoliation!M268</f>
        <v>20</v>
      </c>
      <c r="N11">
        <f>Extrapoliation!N268</f>
        <v>15</v>
      </c>
      <c r="O11">
        <f>Extrapoliation!O268</f>
        <v>15</v>
      </c>
      <c r="P11">
        <f>Extrapoliation!P268</f>
        <v>10</v>
      </c>
      <c r="Q11">
        <f>Extrapoliation!Q268</f>
        <v>5</v>
      </c>
      <c r="R11">
        <f>Extrapoliation!R268</f>
        <v>15</v>
      </c>
      <c r="S11">
        <f>Extrapoliation!S268</f>
        <v>10</v>
      </c>
      <c r="T11">
        <f>Extrapoliation!T268</f>
        <v>15</v>
      </c>
      <c r="U11">
        <f>Extrapoliation!U268</f>
        <v>10</v>
      </c>
      <c r="V11">
        <f>Extrapoliation!V268</f>
        <v>10</v>
      </c>
      <c r="W11">
        <f>Extrapoliation!W268</f>
        <v>5</v>
      </c>
      <c r="X11">
        <f>Extrapoliation!X268</f>
        <v>0</v>
      </c>
      <c r="Y11">
        <f>Extrapoliation!Y268</f>
        <v>5</v>
      </c>
      <c r="Z11">
        <f>Extrapoliation!Z268</f>
        <v>4.08569436521498</v>
      </c>
      <c r="AA11">
        <f>Extrapoliation!AA268</f>
        <v>0</v>
      </c>
      <c r="AB11">
        <f>Extrapoliation!AB268</f>
        <v>0</v>
      </c>
      <c r="AC11">
        <f>Extrapoliation!AC268</f>
        <v>0</v>
      </c>
      <c r="AD11">
        <f>Extrapoliation!AD268</f>
        <v>0</v>
      </c>
      <c r="AE11">
        <f>Extrapoliation!AE268</f>
        <v>0</v>
      </c>
      <c r="AF11">
        <f>Extrapoliation!AF268</f>
        <v>0</v>
      </c>
      <c r="AG11">
        <f>Extrapoliation!AG268</f>
        <v>0</v>
      </c>
      <c r="AH11">
        <f>Extrapoliation!AH268</f>
        <v>0</v>
      </c>
      <c r="AI11">
        <f>Extrapoliation!AI268</f>
        <v>0</v>
      </c>
      <c r="AJ11">
        <f>Extrapoliation!AJ268</f>
        <v>0</v>
      </c>
      <c r="AK11">
        <f>Extrapoliation!AK268</f>
        <v>0</v>
      </c>
      <c r="AL11">
        <f>Extrapoliation!AL268</f>
        <v>0</v>
      </c>
      <c r="AM11">
        <f>Extrapoliation!AM268</f>
        <v>0</v>
      </c>
      <c r="AN11">
        <f>Extrapoliation!AN268</f>
        <v>0</v>
      </c>
      <c r="AO11">
        <f>Extrapoliation!AO268</f>
        <v>0</v>
      </c>
      <c r="AP11">
        <f>Extrapoliation!AP268</f>
        <v>0</v>
      </c>
    </row>
    <row r="12" spans="1:42">
      <c r="A12" t="s">
        <v>2379</v>
      </c>
      <c r="B12">
        <f>Extrapoliation!B269</f>
        <v>0</v>
      </c>
      <c r="C12">
        <f>Extrapoliation!C269</f>
        <v>0</v>
      </c>
      <c r="D12">
        <f>Extrapoliation!D269</f>
        <v>0</v>
      </c>
      <c r="E12">
        <f>Extrapoliation!E269</f>
        <v>0</v>
      </c>
      <c r="F12">
        <f>Extrapoliation!F269</f>
        <v>0</v>
      </c>
      <c r="G12">
        <f>Extrapoliation!G269</f>
        <v>0</v>
      </c>
      <c r="H12">
        <f>Extrapoliation!H269</f>
        <v>0</v>
      </c>
      <c r="I12">
        <f>Extrapoliation!I269</f>
        <v>0</v>
      </c>
      <c r="J12">
        <f>Extrapoliation!J269</f>
        <v>0</v>
      </c>
      <c r="K12">
        <f>Extrapoliation!K269</f>
        <v>0</v>
      </c>
      <c r="L12">
        <f>Extrapoliation!L269</f>
        <v>0</v>
      </c>
      <c r="M12">
        <f>Extrapoliation!M269</f>
        <v>0</v>
      </c>
      <c r="N12">
        <f>Extrapoliation!N269</f>
        <v>0</v>
      </c>
      <c r="O12">
        <f>Extrapoliation!O269</f>
        <v>5.7</v>
      </c>
      <c r="P12">
        <f>Extrapoliation!P269</f>
        <v>28.5</v>
      </c>
      <c r="Q12">
        <f>Extrapoliation!Q269</f>
        <v>51.3</v>
      </c>
      <c r="R12">
        <f>Extrapoliation!R269</f>
        <v>75.05</v>
      </c>
      <c r="S12">
        <f>Extrapoliation!S269</f>
        <v>76</v>
      </c>
      <c r="T12">
        <f>Extrapoliation!T269</f>
        <v>246.05</v>
      </c>
      <c r="U12">
        <f>Extrapoliation!U269</f>
        <v>494</v>
      </c>
      <c r="V12">
        <f>Extrapoliation!V269</f>
        <v>715.35</v>
      </c>
      <c r="W12">
        <f>Extrapoliation!W269</f>
        <v>775.2</v>
      </c>
      <c r="X12">
        <f>Extrapoliation!X269</f>
        <v>998.45</v>
      </c>
      <c r="Y12">
        <f>Extrapoliation!Y269</f>
        <v>995.6</v>
      </c>
      <c r="Z12">
        <f>Extrapoliation!Z269</f>
        <v>870.2</v>
      </c>
      <c r="AA12">
        <f>Extrapoliation!AA269</f>
        <v>817</v>
      </c>
      <c r="AB12">
        <f>Extrapoliation!AB269</f>
        <v>1157.1</v>
      </c>
      <c r="AC12">
        <f>Extrapoliation!AC269</f>
        <v>1716.65</v>
      </c>
      <c r="AD12">
        <f>Extrapoliation!AD269</f>
        <v>2274.3</v>
      </c>
      <c r="AE12">
        <f>Extrapoliation!AE269</f>
        <v>2581.15</v>
      </c>
      <c r="AF12">
        <f>Extrapoliation!AF269</f>
        <v>2799.65</v>
      </c>
      <c r="AG12">
        <f>Extrapoliation!AG269</f>
        <v>2972.55</v>
      </c>
      <c r="AH12">
        <f>Extrapoliation!AH269</f>
        <v>2611.55</v>
      </c>
      <c r="AI12">
        <f>Extrapoliation!AI269</f>
        <v>3521.65</v>
      </c>
      <c r="AJ12">
        <f>Extrapoliation!AJ269</f>
        <v>4326.3</v>
      </c>
      <c r="AK12">
        <f>Extrapoliation!AK269</f>
        <v>6156</v>
      </c>
      <c r="AL12">
        <f>Extrapoliation!AL269</f>
        <v>7805.2</v>
      </c>
      <c r="AM12">
        <f>Extrapoliation!AM269</f>
        <v>12377.55</v>
      </c>
      <c r="AN12">
        <f>Extrapoliation!AN269</f>
        <v>14821.9</v>
      </c>
      <c r="AO12">
        <f>Extrapoliation!AO269</f>
        <v>16961.3</v>
      </c>
      <c r="AP12">
        <f>Extrapoliation!AP269</f>
        <v>18882.2</v>
      </c>
    </row>
    <row r="13" spans="1:42">
      <c r="A13" t="s">
        <v>2380</v>
      </c>
      <c r="B13">
        <f>Extrapoliation!B270</f>
        <v>0</v>
      </c>
      <c r="C13">
        <f>Extrapoliation!C270</f>
        <v>2635</v>
      </c>
      <c r="D13">
        <f>Extrapoliation!D270</f>
        <v>1880</v>
      </c>
      <c r="E13">
        <f>Extrapoliation!E270</f>
        <v>1880</v>
      </c>
      <c r="F13">
        <f>Extrapoliation!F270</f>
        <v>1885</v>
      </c>
      <c r="G13">
        <f>Extrapoliation!G270</f>
        <v>1880</v>
      </c>
      <c r="H13">
        <f>Extrapoliation!H270</f>
        <v>1885</v>
      </c>
      <c r="I13">
        <f>Extrapoliation!I270</f>
        <v>1880</v>
      </c>
      <c r="J13">
        <f>Extrapoliation!J270</f>
        <v>1885</v>
      </c>
      <c r="K13">
        <f>Extrapoliation!K270</f>
        <v>1635</v>
      </c>
      <c r="L13">
        <f>Extrapoliation!L270</f>
        <v>1390</v>
      </c>
      <c r="M13">
        <f>Extrapoliation!M270</f>
        <v>1140</v>
      </c>
      <c r="N13">
        <f>Extrapoliation!N270</f>
        <v>895</v>
      </c>
      <c r="O13">
        <f>Extrapoliation!O270</f>
        <v>650</v>
      </c>
      <c r="P13">
        <f>Extrapoliation!P270</f>
        <v>650</v>
      </c>
      <c r="Q13">
        <f>Extrapoliation!Q270</f>
        <v>645</v>
      </c>
      <c r="R13">
        <f>Extrapoliation!R270</f>
        <v>650</v>
      </c>
      <c r="S13">
        <f>Extrapoliation!S270</f>
        <v>830</v>
      </c>
      <c r="T13">
        <f>Extrapoliation!T270</f>
        <v>1080</v>
      </c>
      <c r="U13">
        <f>Extrapoliation!U270</f>
        <v>1195</v>
      </c>
      <c r="V13">
        <f>Extrapoliation!V270</f>
        <v>1375</v>
      </c>
      <c r="W13">
        <f>Extrapoliation!W270</f>
        <v>1370</v>
      </c>
      <c r="X13">
        <f>Extrapoliation!X270</f>
        <v>1120</v>
      </c>
      <c r="Y13">
        <f>Extrapoliation!Y270</f>
        <v>740</v>
      </c>
      <c r="Z13">
        <f>Extrapoliation!Z270</f>
        <v>555</v>
      </c>
      <c r="AA13">
        <f>Extrapoliation!AA270</f>
        <v>245</v>
      </c>
      <c r="AB13">
        <f>Extrapoliation!AB270</f>
        <v>125</v>
      </c>
      <c r="AC13">
        <f>Extrapoliation!AC270</f>
        <v>345</v>
      </c>
      <c r="AD13">
        <f>Extrapoliation!AD270</f>
        <v>680</v>
      </c>
      <c r="AE13">
        <f>Extrapoliation!AE270</f>
        <v>620</v>
      </c>
      <c r="AF13">
        <f>Extrapoliation!AF270</f>
        <v>615</v>
      </c>
      <c r="AG13">
        <f>Extrapoliation!AG270</f>
        <v>620</v>
      </c>
      <c r="AH13">
        <f>Extrapoliation!AH270</f>
        <v>335</v>
      </c>
      <c r="AI13">
        <f>Extrapoliation!AI270</f>
        <v>0</v>
      </c>
      <c r="AJ13">
        <f>Extrapoliation!AJ270</f>
        <v>0</v>
      </c>
      <c r="AK13">
        <f>Extrapoliation!AK270</f>
        <v>0</v>
      </c>
      <c r="AL13">
        <f>Extrapoliation!AL270</f>
        <v>0</v>
      </c>
      <c r="AM13">
        <f>Extrapoliation!AM270</f>
        <v>0</v>
      </c>
      <c r="AN13">
        <f>Extrapoliation!AN270</f>
        <v>0</v>
      </c>
      <c r="AO13">
        <f>Extrapoliation!AO270</f>
        <v>0</v>
      </c>
      <c r="AP13">
        <f>Extrapoliation!AP270</f>
        <v>0</v>
      </c>
    </row>
    <row r="14" spans="1:42">
      <c r="A14" t="s">
        <v>2381</v>
      </c>
      <c r="B14">
        <f>Extrapoliation!B271</f>
        <v>0</v>
      </c>
      <c r="C14">
        <f>Extrapoliation!C271</f>
        <v>0</v>
      </c>
      <c r="D14">
        <f>Extrapoliation!D271</f>
        <v>0</v>
      </c>
      <c r="E14">
        <f>Extrapoliation!E271</f>
        <v>0</v>
      </c>
      <c r="F14">
        <f>Extrapoliation!F271</f>
        <v>0</v>
      </c>
      <c r="G14">
        <f>Extrapoliation!G271</f>
        <v>0</v>
      </c>
      <c r="H14">
        <f>Extrapoliation!H271</f>
        <v>0</v>
      </c>
      <c r="I14">
        <f>Extrapoliation!I271</f>
        <v>0</v>
      </c>
      <c r="J14">
        <f>Extrapoliation!J271</f>
        <v>0</v>
      </c>
      <c r="K14">
        <f>Extrapoliation!K271</f>
        <v>0</v>
      </c>
      <c r="L14">
        <f>Extrapoliation!L271</f>
        <v>0</v>
      </c>
      <c r="M14">
        <f>Extrapoliation!M271</f>
        <v>0</v>
      </c>
      <c r="N14">
        <f>Extrapoliation!N271</f>
        <v>0</v>
      </c>
      <c r="O14">
        <f>Extrapoliation!O271</f>
        <v>0</v>
      </c>
      <c r="P14">
        <f>Extrapoliation!P271</f>
        <v>0</v>
      </c>
      <c r="Q14">
        <f>Extrapoliation!Q271</f>
        <v>0</v>
      </c>
      <c r="R14">
        <f>Extrapoliation!R271</f>
        <v>0</v>
      </c>
      <c r="S14">
        <f>Extrapoliation!S271</f>
        <v>66</v>
      </c>
      <c r="T14">
        <f>Extrapoliation!T271</f>
        <v>66</v>
      </c>
      <c r="U14">
        <f>Extrapoliation!U271</f>
        <v>99</v>
      </c>
      <c r="V14">
        <f>Extrapoliation!V271</f>
        <v>99</v>
      </c>
      <c r="W14">
        <f>Extrapoliation!W271</f>
        <v>264</v>
      </c>
      <c r="X14">
        <f>Extrapoliation!X271</f>
        <v>297</v>
      </c>
      <c r="Y14">
        <f>Extrapoliation!Y271</f>
        <v>528</v>
      </c>
      <c r="Z14">
        <f>Extrapoliation!Z271</f>
        <v>957</v>
      </c>
      <c r="AA14">
        <f>Extrapoliation!AA271</f>
        <v>957</v>
      </c>
      <c r="AB14">
        <f>Extrapoliation!AB271</f>
        <v>792</v>
      </c>
      <c r="AC14">
        <f>Extrapoliation!AC271</f>
        <v>693</v>
      </c>
      <c r="AD14">
        <f>Extrapoliation!AD271</f>
        <v>990</v>
      </c>
      <c r="AE14">
        <f>Extrapoliation!AE271</f>
        <v>3960</v>
      </c>
      <c r="AF14">
        <f>Extrapoliation!AF271</f>
        <v>5280</v>
      </c>
      <c r="AG14">
        <f>Extrapoliation!AG271</f>
        <v>6501</v>
      </c>
      <c r="AH14">
        <f>Extrapoliation!AH271</f>
        <v>9108</v>
      </c>
      <c r="AI14">
        <f>Extrapoliation!AI271</f>
        <v>9900</v>
      </c>
      <c r="AJ14">
        <f>Extrapoliation!AJ271</f>
        <v>7194</v>
      </c>
      <c r="AK14">
        <f>Extrapoliation!AK271</f>
        <v>6006</v>
      </c>
      <c r="AL14">
        <f>Extrapoliation!AL271</f>
        <v>4950</v>
      </c>
      <c r="AM14">
        <f>Extrapoliation!AM271</f>
        <v>2409</v>
      </c>
      <c r="AN14">
        <f>Extrapoliation!AN271</f>
        <v>1056</v>
      </c>
      <c r="AO14">
        <f>Extrapoliation!AO271</f>
        <v>462</v>
      </c>
      <c r="AP14">
        <f>Extrapoliation!AP271</f>
        <v>330</v>
      </c>
    </row>
    <row r="15" spans="1:42">
      <c r="A15" t="s">
        <v>2382</v>
      </c>
      <c r="B15">
        <f>Extrapoliation!B272</f>
        <v>0</v>
      </c>
      <c r="C15">
        <f>Extrapoliation!C272</f>
        <v>5</v>
      </c>
      <c r="D15">
        <f>Extrapoliation!D272</f>
        <v>0</v>
      </c>
      <c r="E15">
        <f>Extrapoliation!E272</f>
        <v>10</v>
      </c>
      <c r="F15">
        <f>Extrapoliation!F272</f>
        <v>5</v>
      </c>
      <c r="G15">
        <f>Extrapoliation!G272</f>
        <v>5</v>
      </c>
      <c r="H15">
        <f>Extrapoliation!H272</f>
        <v>5</v>
      </c>
      <c r="I15">
        <f>Extrapoliation!I272</f>
        <v>10</v>
      </c>
      <c r="J15">
        <f>Extrapoliation!J272</f>
        <v>5</v>
      </c>
      <c r="K15">
        <f>Extrapoliation!K272</f>
        <v>5</v>
      </c>
      <c r="L15">
        <f>Extrapoliation!L272</f>
        <v>5</v>
      </c>
      <c r="M15">
        <f>Extrapoliation!M272</f>
        <v>5</v>
      </c>
      <c r="N15">
        <f>Extrapoliation!N272</f>
        <v>5</v>
      </c>
      <c r="O15">
        <f>Extrapoliation!O272</f>
        <v>5</v>
      </c>
      <c r="P15">
        <f>Extrapoliation!P272</f>
        <v>0</v>
      </c>
      <c r="Q15">
        <f>Extrapoliation!Q272</f>
        <v>5</v>
      </c>
      <c r="R15">
        <f>Extrapoliation!R272</f>
        <v>0</v>
      </c>
      <c r="S15">
        <f>Extrapoliation!S272</f>
        <v>5</v>
      </c>
      <c r="T15">
        <f>Extrapoliation!T272</f>
        <v>0</v>
      </c>
      <c r="U15">
        <f>Extrapoliation!U272</f>
        <v>5</v>
      </c>
      <c r="V15">
        <f>Extrapoliation!V272</f>
        <v>0</v>
      </c>
      <c r="W15">
        <f>Extrapoliation!W272</f>
        <v>0</v>
      </c>
      <c r="X15">
        <f>Extrapoliation!X272</f>
        <v>0</v>
      </c>
      <c r="Y15">
        <f>Extrapoliation!Y272</f>
        <v>5</v>
      </c>
      <c r="Z15">
        <f>Extrapoliation!Z272</f>
        <v>0</v>
      </c>
      <c r="AA15">
        <f>Extrapoliation!AA272</f>
        <v>0</v>
      </c>
      <c r="AB15">
        <f>Extrapoliation!AB272</f>
        <v>0</v>
      </c>
      <c r="AC15">
        <f>Extrapoliation!AC272</f>
        <v>0</v>
      </c>
      <c r="AD15">
        <f>Extrapoliation!AD272</f>
        <v>3655</v>
      </c>
      <c r="AE15">
        <f>Extrapoliation!AE272</f>
        <v>6640</v>
      </c>
      <c r="AF15">
        <f>Extrapoliation!AF272</f>
        <v>6645</v>
      </c>
      <c r="AG15">
        <f>Extrapoliation!AG272</f>
        <v>6640</v>
      </c>
      <c r="AH15">
        <f>Extrapoliation!AH272</f>
        <v>6640</v>
      </c>
      <c r="AI15">
        <f>Extrapoliation!AI272</f>
        <v>2985</v>
      </c>
      <c r="AJ15">
        <f>Extrapoliation!AJ272</f>
        <v>2.55026304113562</v>
      </c>
      <c r="AK15">
        <f>Extrapoliation!AK272</f>
        <v>0</v>
      </c>
      <c r="AL15">
        <f>Extrapoliation!AL272</f>
        <v>0</v>
      </c>
      <c r="AM15">
        <f>Extrapoliation!AM272</f>
        <v>0</v>
      </c>
      <c r="AN15">
        <f>Extrapoliation!AN272</f>
        <v>0</v>
      </c>
      <c r="AO15">
        <f>Extrapoliation!AO272</f>
        <v>0</v>
      </c>
      <c r="AP15">
        <f>Extrapoliation!AP272</f>
        <v>0</v>
      </c>
    </row>
    <row r="16" spans="1:42">
      <c r="A16" t="s">
        <v>2383</v>
      </c>
      <c r="B16">
        <f>Extrapoliation!B273</f>
        <v>0</v>
      </c>
      <c r="C16">
        <f>Extrapoliation!C273</f>
        <v>70</v>
      </c>
      <c r="D16">
        <f>Extrapoliation!D273</f>
        <v>65</v>
      </c>
      <c r="E16">
        <f>Extrapoliation!E273</f>
        <v>80</v>
      </c>
      <c r="F16">
        <f>Extrapoliation!F273</f>
        <v>90</v>
      </c>
      <c r="G16">
        <f>Extrapoliation!G273</f>
        <v>85</v>
      </c>
      <c r="H16">
        <f>Extrapoliation!H273</f>
        <v>90</v>
      </c>
      <c r="I16">
        <f>Extrapoliation!I273</f>
        <v>85</v>
      </c>
      <c r="J16">
        <f>Extrapoliation!J273</f>
        <v>90</v>
      </c>
      <c r="K16">
        <f>Extrapoliation!K273</f>
        <v>90</v>
      </c>
      <c r="L16">
        <f>Extrapoliation!L273</f>
        <v>75</v>
      </c>
      <c r="M16">
        <f>Extrapoliation!M273</f>
        <v>65</v>
      </c>
      <c r="N16">
        <f>Extrapoliation!N273</f>
        <v>50</v>
      </c>
      <c r="O16">
        <f>Extrapoliation!O273</f>
        <v>45</v>
      </c>
      <c r="P16">
        <f>Extrapoliation!P273</f>
        <v>30</v>
      </c>
      <c r="Q16">
        <f>Extrapoliation!Q273</f>
        <v>30</v>
      </c>
      <c r="R16">
        <f>Extrapoliation!R273</f>
        <v>40</v>
      </c>
      <c r="S16">
        <f>Extrapoliation!S273</f>
        <v>40</v>
      </c>
      <c r="T16">
        <f>Extrapoliation!T273</f>
        <v>30</v>
      </c>
      <c r="U16">
        <f>Extrapoliation!U273</f>
        <v>35</v>
      </c>
      <c r="V16">
        <f>Extrapoliation!V273</f>
        <v>30</v>
      </c>
      <c r="W16">
        <f>Extrapoliation!W273</f>
        <v>15</v>
      </c>
      <c r="X16">
        <f>Extrapoliation!X273</f>
        <v>10</v>
      </c>
      <c r="Y16">
        <f>Extrapoliation!Y273</f>
        <v>5</v>
      </c>
      <c r="Z16">
        <f>Extrapoliation!Z273</f>
        <v>0</v>
      </c>
      <c r="AA16">
        <f>Extrapoliation!AA273</f>
        <v>0</v>
      </c>
      <c r="AB16">
        <f>Extrapoliation!AB273</f>
        <v>0</v>
      </c>
      <c r="AC16">
        <f>Extrapoliation!AC273</f>
        <v>0</v>
      </c>
      <c r="AD16">
        <f>Extrapoliation!AD273</f>
        <v>0</v>
      </c>
      <c r="AE16">
        <f>Extrapoliation!AE273</f>
        <v>0</v>
      </c>
      <c r="AF16">
        <f>Extrapoliation!AF273</f>
        <v>0</v>
      </c>
      <c r="AG16">
        <f>Extrapoliation!AG273</f>
        <v>0</v>
      </c>
      <c r="AH16">
        <f>Extrapoliation!AH273</f>
        <v>0</v>
      </c>
      <c r="AI16">
        <f>Extrapoliation!AI273</f>
        <v>0</v>
      </c>
      <c r="AJ16">
        <f>Extrapoliation!AJ273</f>
        <v>0</v>
      </c>
      <c r="AK16">
        <f>Extrapoliation!AK273</f>
        <v>0</v>
      </c>
      <c r="AL16">
        <f>Extrapoliation!AL273</f>
        <v>0</v>
      </c>
      <c r="AM16">
        <f>Extrapoliation!AM273</f>
        <v>0</v>
      </c>
      <c r="AN16">
        <f>Extrapoliation!AN273</f>
        <v>0</v>
      </c>
      <c r="AO16">
        <f>Extrapoliation!AO273</f>
        <v>0</v>
      </c>
      <c r="AP16">
        <f>Extrapoliation!AP273</f>
        <v>0</v>
      </c>
    </row>
    <row r="17" spans="1:42">
      <c r="A17" t="s">
        <v>2384</v>
      </c>
      <c r="B17">
        <f>Extrapoliation!B274</f>
        <v>0</v>
      </c>
      <c r="C17">
        <f>Extrapoliation!C274</f>
        <v>18</v>
      </c>
      <c r="D17">
        <f>Extrapoliation!D274</f>
        <v>18</v>
      </c>
      <c r="E17">
        <f>Extrapoliation!E274</f>
        <v>12</v>
      </c>
      <c r="F17">
        <f>Extrapoliation!F274</f>
        <v>18</v>
      </c>
      <c r="G17">
        <f>Extrapoliation!G274</f>
        <v>12</v>
      </c>
      <c r="H17">
        <f>Extrapoliation!H274</f>
        <v>18</v>
      </c>
      <c r="I17">
        <f>Extrapoliation!I274</f>
        <v>12</v>
      </c>
      <c r="J17">
        <f>Extrapoliation!J274</f>
        <v>18</v>
      </c>
      <c r="K17">
        <f>Extrapoliation!K274</f>
        <v>114</v>
      </c>
      <c r="L17">
        <f>Extrapoliation!L274</f>
        <v>216</v>
      </c>
      <c r="M17">
        <f>Extrapoliation!M274</f>
        <v>312</v>
      </c>
      <c r="N17">
        <f>Extrapoliation!N274</f>
        <v>414</v>
      </c>
      <c r="O17">
        <f>Extrapoliation!O274</f>
        <v>516</v>
      </c>
      <c r="P17">
        <f>Extrapoliation!P274</f>
        <v>516</v>
      </c>
      <c r="Q17">
        <f>Extrapoliation!Q274</f>
        <v>516</v>
      </c>
      <c r="R17">
        <f>Extrapoliation!R274</f>
        <v>510</v>
      </c>
      <c r="S17">
        <f>Extrapoliation!S274</f>
        <v>462</v>
      </c>
      <c r="T17">
        <f>Extrapoliation!T274</f>
        <v>438</v>
      </c>
      <c r="U17">
        <f>Extrapoliation!U274</f>
        <v>474</v>
      </c>
      <c r="V17">
        <f>Extrapoliation!V274</f>
        <v>522</v>
      </c>
      <c r="W17">
        <f>Extrapoliation!W274</f>
        <v>540</v>
      </c>
      <c r="X17">
        <f>Extrapoliation!X274</f>
        <v>630</v>
      </c>
      <c r="Y17">
        <f>Extrapoliation!Y274</f>
        <v>636</v>
      </c>
      <c r="Z17">
        <f>Extrapoliation!Z274</f>
        <v>636</v>
      </c>
      <c r="AA17">
        <f>Extrapoliation!AA274</f>
        <v>642</v>
      </c>
      <c r="AB17">
        <f>Extrapoliation!AB274</f>
        <v>714</v>
      </c>
      <c r="AC17">
        <f>Extrapoliation!AC274</f>
        <v>810</v>
      </c>
      <c r="AD17">
        <f>Extrapoliation!AD274</f>
        <v>1320</v>
      </c>
      <c r="AE17">
        <f>Extrapoliation!AE274</f>
        <v>2448</v>
      </c>
      <c r="AF17">
        <f>Extrapoliation!AF274</f>
        <v>2862</v>
      </c>
      <c r="AG17">
        <f>Extrapoliation!AG274</f>
        <v>2994</v>
      </c>
      <c r="AH17">
        <f>Extrapoliation!AH274</f>
        <v>2760</v>
      </c>
      <c r="AI17">
        <f>Extrapoliation!AI274</f>
        <v>2154</v>
      </c>
      <c r="AJ17">
        <f>Extrapoliation!AJ274</f>
        <v>894</v>
      </c>
      <c r="AK17">
        <f>Extrapoliation!AK274</f>
        <v>324</v>
      </c>
      <c r="AL17">
        <f>Extrapoliation!AL274</f>
        <v>0</v>
      </c>
      <c r="AM17">
        <f>Extrapoliation!AM274</f>
        <v>0</v>
      </c>
      <c r="AN17">
        <f>Extrapoliation!AN274</f>
        <v>0</v>
      </c>
      <c r="AO17">
        <f>Extrapoliation!AO274</f>
        <v>0</v>
      </c>
      <c r="AP17">
        <f>Extrapoliation!AP274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About</vt:lpstr>
      <vt:lpstr>Province Selector</vt:lpstr>
      <vt:lpstr>93-07workbook</vt:lpstr>
      <vt:lpstr>08-21addition</vt:lpstr>
      <vt:lpstr>06-23Closure</vt:lpstr>
      <vt:lpstr>Solar10-12</vt:lpstr>
      <vt:lpstr>Solar12-13</vt:lpstr>
      <vt:lpstr>Solar14-16</vt:lpstr>
      <vt:lpstr>Solar17-22</vt:lpstr>
      <vt:lpstr>Solar Station Addition</vt:lpstr>
      <vt:lpstr>Solar Thermal</vt:lpstr>
      <vt:lpstr>NG2012</vt:lpstr>
      <vt:lpstr>NG09-21</vt:lpstr>
      <vt:lpstr>NG pre2009</vt:lpstr>
      <vt:lpstr>NG Pivot</vt:lpstr>
      <vt:lpstr>NG Stock Track</vt:lpstr>
      <vt:lpstr>NG Result</vt:lpstr>
      <vt:lpstr>Diesel Worksheet</vt:lpstr>
      <vt:lpstr>Biomass&amp;MSW</vt:lpstr>
      <vt:lpstr>Offshore Wind</vt:lpstr>
      <vt:lpstr>Nuclear</vt:lpstr>
      <vt:lpstr>Pumped Hydro Worksheet</vt:lpstr>
      <vt:lpstr>Geothermal</vt:lpstr>
      <vt:lpstr>Gangue</vt:lpstr>
      <vt:lpstr>Survival Rate</vt:lpstr>
      <vt:lpstr>project vs stock</vt:lpstr>
      <vt:lpstr>Summary</vt:lpstr>
      <vt:lpstr>Extrapoliation</vt:lpstr>
      <vt:lpstr>BCRbQ</vt:lpstr>
      <vt:lpstr>CRbQ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仰望星空✨✨</cp:lastModifiedBy>
  <dcterms:created xsi:type="dcterms:W3CDTF">2024-04-22T12:11:00Z</dcterms:created>
  <dcterms:modified xsi:type="dcterms:W3CDTF">2026-04-22T02:27:42Z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754B439263614FC9BC17F725F5E11C35_12</vt:lpwstr>
  </property>
  <property fmtid="{D5CDD505-2E9C-101B-9397-08002B2CF9AE}" pid="4" name="CalculationRule">
    <vt:i4>0</vt:i4>
  </property>
</Properties>
</file>