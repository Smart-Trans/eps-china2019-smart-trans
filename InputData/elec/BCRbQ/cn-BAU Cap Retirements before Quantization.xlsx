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G:\Workfile\EPS China 3.3.1\InputData\elec\BCRbQ\"/>
    </mc:Choice>
  </mc:AlternateContent>
  <xr:revisionPtr revIDLastSave="0" documentId="13_ncr:1_{7A64D033-74CC-4EDC-886F-D13358AA7C61}" xr6:coauthVersionLast="47" xr6:coauthVersionMax="47" xr10:uidLastSave="{00000000-0000-0000-0000-000000000000}"/>
  <bookViews>
    <workbookView xWindow="-120" yWindow="-120" windowWidth="29040" windowHeight="15840" tabRatio="800" activeTab="1" xr2:uid="{00000000-000D-0000-FFFF-FFFF00000000}"/>
  </bookViews>
  <sheets>
    <sheet name="火电关停" sheetId="7" r:id="rId1"/>
    <sheet name="天然气新增+退役" sheetId="1" r:id="rId2"/>
    <sheet name="operating" sheetId="2" r:id="rId3"/>
    <sheet name="pre-construction+construction+a" sheetId="4" r:id="rId4"/>
    <sheet name="燃煤新增+退役" sheetId="6" r:id="rId5"/>
    <sheet name="BCRbQ" sheetId="8" r:id="rId6"/>
  </sheets>
  <definedNames>
    <definedName name="_xlnm._FilterDatabase" localSheetId="2" hidden="1">operating!$B$1:$C$378</definedName>
    <definedName name="_xlnm._FilterDatabase" localSheetId="3" hidden="1">'pre-construction+construction+a'!$A$1:$D$120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8" l="1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AK2" i="8"/>
  <c r="AL2" i="8"/>
  <c r="AM2" i="8"/>
  <c r="AN2" i="8"/>
  <c r="AO2" i="8"/>
  <c r="AP2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B2" i="8"/>
  <c r="C30" i="6" a="1"/>
  <c r="C30" i="6" s="1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38" i="6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B3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B12" i="8"/>
  <c r="F22" i="1"/>
  <c r="F23" i="1"/>
  <c r="F24" i="1"/>
  <c r="F25" i="1"/>
  <c r="F26" i="1"/>
  <c r="F27" i="1"/>
  <c r="F28" i="1"/>
  <c r="F29" i="1"/>
  <c r="F30" i="1"/>
  <c r="F31" i="1"/>
  <c r="F32" i="1"/>
  <c r="F33" i="1"/>
  <c r="G33" i="1" s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21" i="1"/>
  <c r="D22" i="1"/>
  <c r="D23" i="1"/>
  <c r="D24" i="1"/>
  <c r="D25" i="1"/>
  <c r="D26" i="1"/>
  <c r="D27" i="1"/>
  <c r="D28" i="1"/>
  <c r="D29" i="1"/>
  <c r="G29" i="1" s="1"/>
  <c r="D30" i="1"/>
  <c r="D31" i="1"/>
  <c r="D32" i="1"/>
  <c r="D33" i="1"/>
  <c r="D34" i="1"/>
  <c r="D35" i="1"/>
  <c r="D36" i="1"/>
  <c r="D37" i="1"/>
  <c r="G37" i="1" s="1"/>
  <c r="D38" i="1"/>
  <c r="D39" i="1"/>
  <c r="D40" i="1"/>
  <c r="D41" i="1"/>
  <c r="D42" i="1"/>
  <c r="D43" i="1"/>
  <c r="D44" i="1"/>
  <c r="D45" i="1"/>
  <c r="G45" i="1" s="1"/>
  <c r="D46" i="1"/>
  <c r="D47" i="1"/>
  <c r="D48" i="1"/>
  <c r="D49" i="1"/>
  <c r="D50" i="1"/>
  <c r="D51" i="1"/>
  <c r="D52" i="1"/>
  <c r="D53" i="1"/>
  <c r="D54" i="1"/>
  <c r="D55" i="1"/>
  <c r="D56" i="1"/>
  <c r="D57" i="1"/>
  <c r="D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E21" i="1"/>
  <c r="C37" i="6" l="1"/>
  <c r="G32" i="1"/>
  <c r="G25" i="1"/>
  <c r="G39" i="1"/>
  <c r="G57" i="1"/>
  <c r="G44" i="1"/>
  <c r="G41" i="1"/>
  <c r="G24" i="1"/>
  <c r="G54" i="1"/>
  <c r="G53" i="1"/>
  <c r="G22" i="1"/>
  <c r="G46" i="1"/>
  <c r="G26" i="1"/>
  <c r="G31" i="1"/>
  <c r="G30" i="1"/>
  <c r="G36" i="1"/>
  <c r="G55" i="1"/>
  <c r="G50" i="1"/>
  <c r="G40" i="1"/>
  <c r="G35" i="1"/>
  <c r="G56" i="1"/>
  <c r="G51" i="1"/>
  <c r="G49" i="1"/>
  <c r="G34" i="1"/>
  <c r="G23" i="1"/>
  <c r="G38" i="1"/>
  <c r="G28" i="1"/>
  <c r="G48" i="1"/>
  <c r="G47" i="1"/>
  <c r="G42" i="1"/>
  <c r="G43" i="1"/>
  <c r="G52" i="1"/>
  <c r="G27" i="1"/>
  <c r="C22" i="1"/>
  <c r="C23" i="1"/>
  <c r="C24" i="1"/>
  <c r="C25" i="1"/>
  <c r="C21" i="1"/>
  <c r="G2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<sst xmlns="http://schemas.openxmlformats.org/spreadsheetml/2006/main" count="570" uniqueCount="341">
  <si>
    <t>燃气</t>
  </si>
  <si>
    <t>operating</t>
  </si>
  <si>
    <t>Start year</t>
  </si>
  <si>
    <t>总计</t>
  </si>
  <si>
    <t>求和项:Capacity elec. (MW)</t>
  </si>
  <si>
    <t>Plant name (local script)</t>
  </si>
  <si>
    <t>Capacity elec. (MW)</t>
  </si>
  <si>
    <t>新疆克拉玛依电厂</t>
  </si>
  <si>
    <t>华能南山燃气发电厂</t>
  </si>
  <si>
    <t>江苏常州苏源发电厂</t>
  </si>
  <si>
    <t>中海油中山嘉明电厂</t>
  </si>
  <si>
    <t>华能北京热电厂</t>
  </si>
  <si>
    <t>浙能温州龙湾燃机发电厂</t>
  </si>
  <si>
    <t>浙能镇海联合发电厂</t>
  </si>
  <si>
    <t>国电滨海发电厂</t>
  </si>
  <si>
    <t>中海油深圳电厂</t>
  </si>
  <si>
    <t>大唐宝昌燃气发电站</t>
  </si>
  <si>
    <t>佛山市福能发电厂</t>
  </si>
  <si>
    <t>深南电南山热电厂</t>
  </si>
  <si>
    <t>中海油海南洋浦电厂, 中海油洋浦天然气分布式能源站项目</t>
  </si>
  <si>
    <t>华电上海奉贤燃机发电厂</t>
  </si>
  <si>
    <t>深能东莞樟洋燃机电厂</t>
  </si>
  <si>
    <t>深圳钰湖燃气发电厂</t>
  </si>
  <si>
    <t>东莞虎门电厂</t>
  </si>
  <si>
    <t>协鑫苏州工业园蓝天燃气热电厂</t>
  </si>
  <si>
    <t>杭州华电半山发电厂</t>
  </si>
  <si>
    <t>汉能电力沌口燃机电厂</t>
  </si>
  <si>
    <t>华晨电力张家港华兴燃气发电厂</t>
  </si>
  <si>
    <t>华电戚墅堰燃机发电厂</t>
  </si>
  <si>
    <t>华电望亭发电厂</t>
  </si>
  <si>
    <t>南京六合区扬巴电厂</t>
  </si>
  <si>
    <t>普星洁能德能电厂</t>
  </si>
  <si>
    <t>上海漕泾燃机发电厂</t>
  </si>
  <si>
    <t>深能丰达天然气热电厂</t>
  </si>
  <si>
    <t>深能洪湾燃机电厂</t>
  </si>
  <si>
    <t>南方电网海南清澜电厂</t>
  </si>
  <si>
    <t>浙能金华燃机热电厂</t>
  </si>
  <si>
    <t>中山南朗燃气电厂</t>
  </si>
  <si>
    <t>中山永安热电厂</t>
  </si>
  <si>
    <t>京能京丰燃气发电厂</t>
  </si>
  <si>
    <t>华润协鑫(北京)燃气热电厂</t>
  </si>
  <si>
    <t>东莞中电新能源热电厂</t>
  </si>
  <si>
    <t>东莞众明燃气发电厂</t>
  </si>
  <si>
    <t>广州珠江LNG电厂</t>
  </si>
  <si>
    <t>华能南京金陵燃机发电厂</t>
  </si>
  <si>
    <t>华能上海燃机电厂</t>
  </si>
  <si>
    <t>内蒙古苏里格燃气发电厂</t>
  </si>
  <si>
    <t>宁波科丰燃机热电厂</t>
  </si>
  <si>
    <t>普星洁能京兴电厂</t>
  </si>
  <si>
    <t>普星洁能蓝天电厂</t>
  </si>
  <si>
    <t>深南电东莞高埗天然气电厂</t>
  </si>
  <si>
    <t>深圳能源东部电厂</t>
  </si>
  <si>
    <t>粤电深圳前湾燃机电厂</t>
  </si>
  <si>
    <t>国能浙江余姚燃气发电厂</t>
  </si>
  <si>
    <t>华能中原燃气发电厂</t>
  </si>
  <si>
    <t>国家电投郑州燃气电厂</t>
  </si>
  <si>
    <t>深圳美视燃气电厂</t>
  </si>
  <si>
    <t>广东惠州天然气发电厂</t>
  </si>
  <si>
    <t>浙能镇海天然气发电厂</t>
  </si>
  <si>
    <t>京能太阳宫燃气热电厂</t>
  </si>
  <si>
    <t>华电北京(郑常庄)热电厂</t>
  </si>
  <si>
    <t>浙能萧山发电厂</t>
  </si>
  <si>
    <t>北京正东电子动力集团动力南厂</t>
  </si>
  <si>
    <t>广州大学城天然气分布式电厂</t>
  </si>
  <si>
    <t>晋江燃气电厂</t>
  </si>
  <si>
    <t>宁波绿源天然气发电厂</t>
  </si>
  <si>
    <t>宁夏西部热电厂</t>
  </si>
  <si>
    <t>厦门东部燃气电厂</t>
  </si>
  <si>
    <t>中海福建燃气发电公司莆田燃气电厂</t>
  </si>
  <si>
    <t>华电武昌燃机热电厂</t>
  </si>
  <si>
    <t>申能上海临港燃机发电厂</t>
  </si>
  <si>
    <t>国家电网拉萨燃机电厂</t>
  </si>
  <si>
    <t>华电仪征热电厂</t>
  </si>
  <si>
    <t>北京市草桥燃气热电厂</t>
  </si>
  <si>
    <t>大唐国际江山新城燃机热电厂</t>
  </si>
  <si>
    <t>大唐国际绍兴江滨热电厂</t>
  </si>
  <si>
    <t>大唐苏州燃机热电厂</t>
  </si>
  <si>
    <t>协鑫苏州工业园北部燃机热电厂</t>
  </si>
  <si>
    <t>华电吴江热电厂</t>
  </si>
  <si>
    <t>浙能长兴天然气热电厂</t>
  </si>
  <si>
    <t>京能未来城燃气热电厂</t>
  </si>
  <si>
    <t>京能高安屯燃气热电厂</t>
  </si>
  <si>
    <t>京能京西燃气热电厂</t>
  </si>
  <si>
    <t>中海油珠海天然气发电有限公司</t>
  </si>
  <si>
    <t>天津陈塘庄热电厂</t>
  </si>
  <si>
    <t>大唐国际北京高井热电厂</t>
  </si>
  <si>
    <t>华电杭州下沙热电厂</t>
  </si>
  <si>
    <t>华电南宁江南分布式能源站</t>
  </si>
  <si>
    <t>华电天津福源热电厂</t>
  </si>
  <si>
    <t>华能重庆两江燃机发电厂</t>
  </si>
  <si>
    <t>华能天津临港燃机热电厂</t>
  </si>
  <si>
    <t>华能桐乡燃机热电厂</t>
  </si>
  <si>
    <t>宁夏东部热电厂</t>
  </si>
  <si>
    <t>普星洁能安吉电厂</t>
  </si>
  <si>
    <t>普星洁能衢州天然气热电厂</t>
  </si>
  <si>
    <t>国家电投珠海横琴热电厂</t>
  </si>
  <si>
    <t>山西国际电力太原嘉节燃气热电厂</t>
  </si>
  <si>
    <t>浙能常山天然气热电厂</t>
  </si>
  <si>
    <t>浙能宁波镇海动力中心天然气热电厂</t>
  </si>
  <si>
    <t>广州协鑫蓝天燃气热电站</t>
  </si>
  <si>
    <t>协鑫无锡蓝天燃机热电厂</t>
  </si>
  <si>
    <t>华电江东热电厂</t>
  </si>
  <si>
    <t>华电龙游热电厂</t>
  </si>
  <si>
    <t>上海华电莘庄工业区燃气热电厂</t>
  </si>
  <si>
    <t>华能太原东山燃机热电厂</t>
  </si>
  <si>
    <t>上海电力罗泾燃机电厂</t>
  </si>
  <si>
    <t>神华国华北京燃气热电厂</t>
  </si>
  <si>
    <t>川投达州燃气发电站</t>
  </si>
  <si>
    <t>武汉东湖燃机热电厂</t>
  </si>
  <si>
    <t>国信协联燃气热电厂</t>
  </si>
  <si>
    <t>华电南通通州燃机发电厂</t>
  </si>
  <si>
    <t>宁波热电股份公司春晓热电站</t>
  </si>
  <si>
    <t>无锡西区燃气热电厂</t>
  </si>
  <si>
    <t>大唐姜堰燃机热电厂</t>
  </si>
  <si>
    <t>国信高邮燃机热电厂</t>
  </si>
  <si>
    <t>国信淮安燃气发电厂</t>
  </si>
  <si>
    <t>国信淮安第二燃气发电厂</t>
  </si>
  <si>
    <t>华电昆山东部燃机热电厂</t>
  </si>
  <si>
    <t>华电扬州燃机电厂</t>
  </si>
  <si>
    <t>华能桂林燃气分布式能源站</t>
  </si>
  <si>
    <t>华能苏州燃机热电厂</t>
  </si>
  <si>
    <t>京能上庄燃气热电厂</t>
  </si>
  <si>
    <t>大唐高要金淘燃气热电站</t>
  </si>
  <si>
    <t>东亚电力无锡燃气发电厂</t>
  </si>
  <si>
    <t>昆山协鑫蓝天天然气分布式能源站</t>
  </si>
  <si>
    <t>协鑫南京蓝天燃机热电厂</t>
  </si>
  <si>
    <t>国电南浔天然气热电厂</t>
  </si>
  <si>
    <t>国信仪征燃机热电厂</t>
  </si>
  <si>
    <t>中电合肥空港天然气分布式能源站</t>
  </si>
  <si>
    <t>北京华电北燃电厂</t>
  </si>
  <si>
    <t>华电江门蓬沙江沙分布式能源站</t>
  </si>
  <si>
    <t>华电坪山分布式能源站</t>
  </si>
  <si>
    <t>华电三水天然气分布式能源站</t>
  </si>
  <si>
    <t>华电天津北宸分布式能源站</t>
  </si>
  <si>
    <t>洛阳万众吉利热电厂</t>
  </si>
  <si>
    <t>中电国际四会热电厂</t>
  </si>
  <si>
    <t>国家电投周口燃气电厂</t>
  </si>
  <si>
    <t>申能崇明燃气发电厂</t>
  </si>
  <si>
    <t>粤电新会电厂</t>
  </si>
  <si>
    <t>粤电中山三角燃机发电厂</t>
  </si>
  <si>
    <t>保德县煤层气热电联产工程</t>
  </si>
  <si>
    <t>华润常州钟楼分布式能源站</t>
  </si>
  <si>
    <t>大唐国际金坛燃机热电厂</t>
  </si>
  <si>
    <t>国电中山民众天然气热电站</t>
  </si>
  <si>
    <t>华电石家庄燃气热电厂</t>
  </si>
  <si>
    <t>华电天津南疆热电厂</t>
  </si>
  <si>
    <t>申能上海奉贤燃机热电厂</t>
  </si>
  <si>
    <t>京能珠海钰海燃气热电厂</t>
  </si>
  <si>
    <t>协鑫高州燃气分布式发电站</t>
  </si>
  <si>
    <t>协鑫钦州中马天然气分布式能源站</t>
  </si>
  <si>
    <t>华电广州增城燃气热电厂</t>
  </si>
  <si>
    <t>华能东莞燃机热电</t>
  </si>
  <si>
    <t>华能江阴燃机热电厂</t>
  </si>
  <si>
    <t>中电江门高新区分布式能源站</t>
  </si>
  <si>
    <t>中电国际东莞立沙岛燃机发电厂</t>
  </si>
  <si>
    <t>南方电网海南文昌燃气电厂</t>
  </si>
  <si>
    <t>昔阳煤层气发电站</t>
  </si>
  <si>
    <t>粤电黄埔电厂</t>
  </si>
  <si>
    <t>大唐溧水燃机热电厂</t>
  </si>
  <si>
    <t>大唐万宁燃气电厂</t>
  </si>
  <si>
    <t>东莞中堂燃气热电厂</t>
  </si>
  <si>
    <t>华电清远经济合作区燃气热电站</t>
  </si>
  <si>
    <t>华电襄阳樊城燃机热电厂</t>
  </si>
  <si>
    <t>中国电力江门综能天然气分布式能源站项目</t>
  </si>
  <si>
    <t>江苏华峰超纤分布式能源站</t>
  </si>
  <si>
    <t>江苏镇江燃气热电厂</t>
  </si>
  <si>
    <t>荆门绿动电厂</t>
  </si>
  <si>
    <t>玖龙纸业东莞天然气热电站</t>
  </si>
  <si>
    <t>天津军粮城电厂</t>
  </si>
  <si>
    <t>上海电力闵行燃机发电厂</t>
  </si>
  <si>
    <t>中海油阜宁燃机热电厂</t>
  </si>
  <si>
    <t>潮州深能凤泉湖高新区燃气热电厂</t>
  </si>
  <si>
    <t>潮州深能甘露燃气热电厂</t>
  </si>
  <si>
    <t>大唐佛山燃气发电站</t>
  </si>
  <si>
    <t>大唐海口天然气发电厂</t>
  </si>
  <si>
    <t>华能洋浦燃气热电厂</t>
  </si>
  <si>
    <t>江阴燃机热电厂</t>
  </si>
  <si>
    <t>南海长海燃气热电站</t>
  </si>
  <si>
    <t>中电投常熟燃机热电厂</t>
  </si>
  <si>
    <t>国家电投揭东燃气热电站</t>
  </si>
  <si>
    <t>粤电花都天然气热电厂</t>
  </si>
  <si>
    <t>Status</t>
  </si>
  <si>
    <t>广州白云恒运天然气发电项目</t>
  </si>
  <si>
    <t>announced</t>
  </si>
  <si>
    <t>上海LNG站线扩建项目</t>
  </si>
  <si>
    <t>大唐广州从化燃气发电厂</t>
  </si>
  <si>
    <t>华电福新增城电厂二期项目</t>
  </si>
  <si>
    <t>华润电力东莞大朗分布式能源项目</t>
  </si>
  <si>
    <t>泸州天然气发电项目</t>
  </si>
  <si>
    <t>pre-construction</t>
  </si>
  <si>
    <t>鹤山燃气-蒸汽联合循环热电联产项目</t>
  </si>
  <si>
    <t>广海湾天然气热电联产项目</t>
  </si>
  <si>
    <t>华电重庆潼南燃机热电联产项目</t>
  </si>
  <si>
    <t>construction</t>
  </si>
  <si>
    <t>华润电力东莞大朗天然气发电项目</t>
  </si>
  <si>
    <t>江门台山工业新城分布式能源电站</t>
  </si>
  <si>
    <t>华电内江白马燃气发电厂</t>
  </si>
  <si>
    <t>国家电投开平翠山湖燃气热电站</t>
  </si>
  <si>
    <t>汕尾海丰天然气热电联产</t>
  </si>
  <si>
    <t>顺德均安片区燃气热电厂</t>
  </si>
  <si>
    <t>粤电新会电厂二期</t>
  </si>
  <si>
    <t>安吉梅溪燃机电厂</t>
  </si>
  <si>
    <t>国家能源集团海南公司三亚东天然气发电项目</t>
  </si>
  <si>
    <t>华润南沙横沥燃气热电厂</t>
  </si>
  <si>
    <t>珠海华润热电富山燃气发电厂</t>
  </si>
  <si>
    <t>乌江电力燃机发电联产项目</t>
  </si>
  <si>
    <t>滁州天然气调峰电厂</t>
  </si>
  <si>
    <t>大唐（华瀛）潮州热电冷联产项目</t>
  </si>
  <si>
    <t>大唐惠州博罗燃气热电厂</t>
  </si>
  <si>
    <t>东莞石碣（兴宁）产业转移工业园分布式能源站项目</t>
  </si>
  <si>
    <t>华润电力东莞松山湖分布式能源项目</t>
  </si>
  <si>
    <t>广东能源揭阳大南海天然气热电联产项目</t>
  </si>
  <si>
    <t>广东能源东莞谢岗调峰气电项目</t>
  </si>
  <si>
    <t>新会大泽2×50MW级燃气热电项目</t>
  </si>
  <si>
    <t>华电顺德龙江燃气分布式能源站（一期）</t>
  </si>
  <si>
    <t>华电章丘燃机热电厂</t>
  </si>
  <si>
    <t>华能南通电厂</t>
  </si>
  <si>
    <t>华能彭州天然气热电联产项目</t>
  </si>
  <si>
    <t>华能清远高新区燃气电厂</t>
  </si>
  <si>
    <t>华能烟台发电厂2×9F级燃气蒸汽联合循环热电联产项目</t>
  </si>
  <si>
    <t>华能济南黄台发电厂</t>
  </si>
  <si>
    <t>茂名天然气热电厂</t>
  </si>
  <si>
    <t>妈湾电厂升级改造气电一期</t>
  </si>
  <si>
    <t>国能清远石角天然气分布式能源站</t>
  </si>
  <si>
    <t>国投吉能燃气发电项目</t>
  </si>
  <si>
    <t>国家电投东莞东城天然气热电联产扩建工程</t>
  </si>
  <si>
    <t>山东丰源燃气热电有限公司燃气-蒸汽联合循环热电联产项目</t>
  </si>
  <si>
    <t>华能泰安2×9F级燃气蒸汽联合循环热电联产项目</t>
  </si>
  <si>
    <t>汕头经济特区天然气热电厂</t>
  </si>
  <si>
    <t>深能光明燃机电厂</t>
  </si>
  <si>
    <t>四川能投广元天然气发电厂</t>
  </si>
  <si>
    <t>川投集团资阳燃气电站</t>
  </si>
  <si>
    <t>皖能合肥天然气调峰电厂</t>
  </si>
  <si>
    <t>阳江高新区天然气热电联产</t>
  </si>
  <si>
    <t>宜昌市夷陵区中基热电厂</t>
  </si>
  <si>
    <t>粤电云河发电公司天然气热电厂</t>
  </si>
  <si>
    <t>知识城恒运天然气热电联产项目</t>
  </si>
  <si>
    <t>亚太森博（广东）纸业有限公司热电厂</t>
  </si>
  <si>
    <t>东莞市粤文智慧能源有限公司热电厂</t>
  </si>
  <si>
    <t>东莞宁洲燃气电厂</t>
  </si>
  <si>
    <t>佛燃三水水都分布式能源站</t>
  </si>
  <si>
    <t>协鑫佛冈燃气分布式能源电站</t>
  </si>
  <si>
    <t>澄海益鑫天然气分布式二期项目</t>
  </si>
  <si>
    <t>广州（梅州）产业转移工业园分布式综合能源站项目</t>
  </si>
  <si>
    <t>国电广东肇庆热电公司</t>
  </si>
  <si>
    <t>广州开发区东区热电厂</t>
  </si>
  <si>
    <t>长沙电厂二期燃气发电调峰</t>
  </si>
  <si>
    <t>华电广东鹤山燃机热电站</t>
  </si>
  <si>
    <t>华电广东惠州东江燃机热电厂</t>
  </si>
  <si>
    <t>华电青岛燃机热电厂</t>
  </si>
  <si>
    <t>广东华电清远华侨工业园天然气分布式能源站</t>
  </si>
  <si>
    <t>珠海斗门华电热电联产项目</t>
  </si>
  <si>
    <t>华能松原热电有限公司</t>
  </si>
  <si>
    <t>华能湖南湘阴调峰燃气厂</t>
  </si>
  <si>
    <t>中国神华能源股份有限公司惠州热电分公司</t>
  </si>
  <si>
    <t>广东粤电大亚湾综合能源有限公司</t>
  </si>
  <si>
    <t>济宣能源华山热电厂</t>
  </si>
  <si>
    <t>四川德阳经开区分布式能源站</t>
  </si>
  <si>
    <t>华电安居天然气发电厂</t>
  </si>
  <si>
    <t>温州LNG配套电厂一期</t>
  </si>
  <si>
    <t>湘投国际衡东燃气发电项目</t>
  </si>
  <si>
    <t>永川港桥工业园热电联产项目</t>
  </si>
  <si>
    <t>粤电鼎湖天然气热电厂</t>
  </si>
  <si>
    <t>东莞企石天然气分布式热电厂</t>
  </si>
  <si>
    <t>捷能热力电站有限公司哈尔滨新区燃气热电联产项目</t>
  </si>
  <si>
    <t>华海能源德庆工业园天然气热电厂</t>
  </si>
  <si>
    <t>江门市新会区古井能源服务有限公司热电厂</t>
  </si>
  <si>
    <t>荣成市天然气热电厂</t>
  </si>
  <si>
    <t>国家电投吴淞江燃机发电厂</t>
  </si>
  <si>
    <t>吴江盛泽燃机热电厂</t>
  </si>
  <si>
    <t>协鑫襄阳燃气分布式能源</t>
  </si>
  <si>
    <t>舟山石化热电厂</t>
  </si>
  <si>
    <t>威海南海新区燃气热电厂（待定）</t>
  </si>
  <si>
    <t>丹阳华海燃机热电厂</t>
  </si>
  <si>
    <t>国信盐城燃机热电厂</t>
  </si>
  <si>
    <t>全国</t>
    <phoneticPr fontId="9" type="noConversion"/>
  </si>
  <si>
    <r>
      <rPr>
        <sz val="11"/>
        <rFont val="宋体"/>
        <family val="3"/>
        <charset val="134"/>
        <scheme val="minor"/>
      </rPr>
      <t>1090. 7</t>
    </r>
  </si>
  <si>
    <t>北京</t>
    <phoneticPr fontId="9" type="noConversion"/>
  </si>
  <si>
    <t>天津</t>
    <phoneticPr fontId="9" type="noConversion"/>
  </si>
  <si>
    <t>河北</t>
    <phoneticPr fontId="9" type="noConversion"/>
  </si>
  <si>
    <t>山西</t>
    <phoneticPr fontId="9" type="noConversion"/>
  </si>
  <si>
    <t>内蒙古</t>
    <phoneticPr fontId="9" type="noConversion"/>
  </si>
  <si>
    <t>辽宁</t>
    <phoneticPr fontId="9" type="noConversion"/>
  </si>
  <si>
    <t>吉林</t>
    <phoneticPr fontId="9" type="noConversion"/>
  </si>
  <si>
    <t>黑龙江</t>
    <phoneticPr fontId="9" type="noConversion"/>
  </si>
  <si>
    <t>上海</t>
    <phoneticPr fontId="9" type="noConversion"/>
  </si>
  <si>
    <t>江苏</t>
    <phoneticPr fontId="9" type="noConversion"/>
  </si>
  <si>
    <t>浙江</t>
    <phoneticPr fontId="9" type="noConversion"/>
  </si>
  <si>
    <t>安徽</t>
    <phoneticPr fontId="9" type="noConversion"/>
  </si>
  <si>
    <t>福建</t>
    <phoneticPr fontId="9" type="noConversion"/>
  </si>
  <si>
    <t>江西</t>
    <phoneticPr fontId="9" type="noConversion"/>
  </si>
  <si>
    <t>山东</t>
    <phoneticPr fontId="9" type="noConversion"/>
  </si>
  <si>
    <t>河南</t>
    <phoneticPr fontId="9" type="noConversion"/>
  </si>
  <si>
    <t>湖北</t>
    <phoneticPr fontId="9" type="noConversion"/>
  </si>
  <si>
    <t>湖南</t>
    <phoneticPr fontId="9" type="noConversion"/>
  </si>
  <si>
    <t>广东</t>
    <phoneticPr fontId="9" type="noConversion"/>
  </si>
  <si>
    <t>广西</t>
    <phoneticPr fontId="9" type="noConversion"/>
  </si>
  <si>
    <t>海南</t>
    <phoneticPr fontId="9" type="noConversion"/>
  </si>
  <si>
    <t>重庆</t>
    <phoneticPr fontId="9" type="noConversion"/>
  </si>
  <si>
    <t>四川</t>
    <phoneticPr fontId="9" type="noConversion"/>
  </si>
  <si>
    <t>贵州</t>
    <phoneticPr fontId="9" type="noConversion"/>
  </si>
  <si>
    <t>云南</t>
    <phoneticPr fontId="9" type="noConversion"/>
  </si>
  <si>
    <t>西藏</t>
    <phoneticPr fontId="9" type="noConversion"/>
  </si>
  <si>
    <t>陕西</t>
    <phoneticPr fontId="9" type="noConversion"/>
  </si>
  <si>
    <t>甘肃</t>
    <phoneticPr fontId="9" type="noConversion"/>
  </si>
  <si>
    <t>青海</t>
    <phoneticPr fontId="9" type="noConversion"/>
  </si>
  <si>
    <t>宁夏</t>
    <phoneticPr fontId="9" type="noConversion"/>
  </si>
  <si>
    <t>新疆</t>
    <phoneticPr fontId="9" type="noConversion"/>
  </si>
  <si>
    <t>BAU Capacity Retirements (MW)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</si>
  <si>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</si>
  <si>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</si>
  <si>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</si>
  <si>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</si>
  <si>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</si>
  <si>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</si>
  <si>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</si>
  <si>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</si>
  <si>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</si>
  <si>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</si>
  <si>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</si>
  <si>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</si>
  <si>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</si>
  <si>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</si>
  <si>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</si>
  <si>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</si>
  <si>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统计数据</t>
    <phoneticPr fontId="8" type="noConversion"/>
  </si>
  <si>
    <t>GEM历史数据</t>
    <phoneticPr fontId="8" type="noConversion"/>
  </si>
  <si>
    <t>GEM在建数据</t>
    <phoneticPr fontId="8" type="noConversion"/>
  </si>
  <si>
    <t>年份</t>
    <phoneticPr fontId="8" type="noConversion"/>
  </si>
  <si>
    <t>Data Source: 电力工业统计资料汇编</t>
    <phoneticPr fontId="8" type="noConversion"/>
  </si>
  <si>
    <t>Data Source: Global Energy Monitor</t>
    <phoneticPr fontId="8" type="noConversion"/>
  </si>
  <si>
    <t>新增天然气(万千瓦）</t>
    <phoneticPr fontId="8" type="noConversion"/>
  </si>
  <si>
    <t>预计退役年份</t>
    <phoneticPr fontId="8" type="noConversion"/>
  </si>
  <si>
    <t>BGCL Natural Gas</t>
    <phoneticPr fontId="8" type="noConversion"/>
  </si>
  <si>
    <t>合计</t>
    <phoneticPr fontId="8" type="noConversion"/>
  </si>
  <si>
    <t>列标签</t>
  </si>
  <si>
    <t>construction/pre-construction/announced</t>
    <phoneticPr fontId="8" type="noConversion"/>
  </si>
  <si>
    <t>燃气新增数据 (MW）</t>
    <phoneticPr fontId="8" type="noConversion"/>
  </si>
  <si>
    <t>non-Peaker vs Peaker Ratio</t>
    <phoneticPr fontId="8" type="noConversion"/>
  </si>
  <si>
    <t>新增煤电</t>
    <phoneticPr fontId="8" type="noConversion"/>
  </si>
  <si>
    <t>退役煤电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</si>
</sst>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3" fillId="0" borderId="0" xfId="0" applyFont="1" applyAlignment="1"/>
    <xf numFmtId="0" fontId="4" fillId="0" borderId="1" xfId="0" applyFont="1" applyBorder="1" applyAlignment="1">
      <alignment horizontal="center" vertical="top" wrapText="1"/>
    </xf>
    <xf numFmtId="0" fontId="0" fillId="0" borderId="1" xfId="0" applyBorder="1">
      <alignment vertical="center"/>
    </xf>
    <xf numFmtId="0" fontId="5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76" fontId="5" fillId="2" borderId="1" xfId="1" applyNumberFormat="1" applyFill="1" applyBorder="1" applyAlignment="1">
      <alignment horizontal="center" vertical="center"/>
    </xf>
    <xf numFmtId="0" fontId="1" fillId="0" borderId="1" xfId="2" applyFont="1" applyBorder="1">
      <alignment vertical="center"/>
    </xf>
    <xf numFmtId="0" fontId="1" fillId="0" borderId="1" xfId="2" applyFont="1" applyBorder="1" applyAlignment="1">
      <alignment horizontal="center" vertical="center"/>
    </xf>
    <xf numFmtId="0" fontId="7" fillId="0" borderId="0" xfId="2">
      <alignment vertical="center"/>
    </xf>
    <xf numFmtId="0" fontId="2" fillId="0" borderId="1" xfId="2" applyFont="1" applyBorder="1">
      <alignment vertical="center"/>
    </xf>
    <xf numFmtId="0" fontId="7" fillId="0" borderId="1" xfId="2" applyBorder="1" applyAlignment="1">
      <alignment horizontal="center" vertical="center"/>
    </xf>
    <xf numFmtId="0" fontId="1" fillId="0" borderId="1" xfId="2" applyFont="1" applyBorder="1" applyAlignment="1">
      <alignment horizontal="center" vertical="top"/>
    </xf>
    <xf numFmtId="0" fontId="1" fillId="0" borderId="1" xfId="2" applyFont="1" applyBorder="1" applyAlignment="1">
      <alignment horizontal="center"/>
    </xf>
    <xf numFmtId="0" fontId="7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1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0" fontId="0" fillId="0" borderId="0" xfId="0" pivotButton="1">
      <alignment vertical="center"/>
    </xf>
    <xf numFmtId="176" fontId="0" fillId="0" borderId="1" xfId="0" applyNumberFormat="1" applyBorder="1">
      <alignment vertical="center"/>
    </xf>
    <xf numFmtId="0" fontId="2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96DFBFF-DD3B-4CDD-A284-BE23DF452F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995.626809374997" createdVersion="8" refreshedVersion="8" minRefreshableVersion="3" recordCount="240" xr:uid="{FD504A88-B17A-4786-9B96-97C51EE2241A}">
  <cacheSource type="worksheet">
    <worksheetSource ref="A1:C1048576" sheet="operating"/>
  </cacheSource>
  <cacheFields count="3">
    <cacheField name="Plant name (local script)" numFmtId="0">
      <sharedItems containsBlank="1"/>
    </cacheField>
    <cacheField name="Start year" numFmtId="0">
      <sharedItems containsString="0" containsBlank="1" containsNumber="1" containsInteger="1" minValue="1991" maxValue="2022" count="29">
        <n v="1991"/>
        <n v="1994"/>
        <n v="1995"/>
        <n v="1996"/>
        <n v="1997"/>
        <n v="1998"/>
        <n v="1999"/>
        <n v="2000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m/>
      </sharedItems>
    </cacheField>
    <cacheField name="Capacity elec. (MW)" numFmtId="0">
      <sharedItems containsString="0" containsBlank="1" containsNumber="1" minValue="50" maxValue="998" count="97">
        <n v="69"/>
        <n v="66"/>
        <n v="51"/>
        <n v="125"/>
        <n v="845"/>
        <n v="342"/>
        <n v="344"/>
        <n v="54"/>
        <n v="235"/>
        <n v="180"/>
        <n v="220"/>
        <n v="360"/>
        <n v="60"/>
        <n v="390"/>
        <n v="123"/>
        <n v="52"/>
        <n v="56"/>
        <n v="330"/>
        <n v="328"/>
        <n v="50"/>
        <n v="186"/>
        <n v="410"/>
        <n v="75"/>
        <n v="400"/>
        <n v="150"/>
        <n v="51.5"/>
        <n v="780"/>
        <n v="395"/>
        <n v="254"/>
        <n v="122"/>
        <n v="78"/>
        <n v="101"/>
        <n v="64"/>
        <n v="111.9"/>
        <n v="185"/>
        <n v="924"/>
        <n v="200"/>
        <n v="420"/>
        <n v="838"/>
        <n v="120"/>
        <n v="452"/>
        <n v="415"/>
        <n v="191"/>
        <n v="54.62"/>
        <n v="435"/>
        <n v="255"/>
        <n v="873"/>
        <n v="434"/>
        <n v="460"/>
        <n v="900"/>
        <n v="350"/>
        <n v="470"/>
        <n v="463"/>
        <n v="229"/>
        <n v="158"/>
        <n v="115"/>
        <n v="298"/>
        <n v="244"/>
        <n v="260"/>
        <n v="458"/>
        <n v="480"/>
        <n v="203"/>
        <n v="475"/>
        <n v="430"/>
        <n v="264"/>
        <n v="951"/>
        <n v="54.6"/>
        <n v="100"/>
        <n v="451"/>
        <n v="998"/>
        <n v="70"/>
        <n v="266"/>
        <n v="80"/>
        <n v="59"/>
        <n v="450"/>
        <n v="424.2"/>
        <n v="144"/>
        <n v="459"/>
        <n v="269"/>
        <n v="74"/>
        <n v="245"/>
        <n v="453"/>
        <n v="930"/>
        <n v="465"/>
        <n v="670"/>
        <n v="473"/>
        <n v="472.52"/>
        <n v="130"/>
        <n v="423"/>
        <n v="122.8"/>
        <n v="175"/>
        <n v="650"/>
        <n v="468"/>
        <n v="487"/>
        <n v="495"/>
        <n v="74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995.627959953701" createdVersion="8" refreshedVersion="8" minRefreshableVersion="3" recordCount="128" xr:uid="{3539A4D6-E90D-420A-9924-FE28A5A9AFBC}">
  <cacheSource type="worksheet">
    <worksheetSource ref="A1:D1048576" sheet="pre-construction+construction+a"/>
  </cacheSource>
  <cacheFields count="4">
    <cacheField name="Plant name (local script)" numFmtId="0">
      <sharedItems containsBlank="1"/>
    </cacheField>
    <cacheField name="Status" numFmtId="0">
      <sharedItems containsBlank="1"/>
    </cacheField>
    <cacheField name="Start year" numFmtId="0">
      <sharedItems containsString="0" containsBlank="1" containsNumber="1" containsInteger="1" minValue="2020" maxValue="2030" count="9">
        <n v="2030"/>
        <n v="2026"/>
        <n v="2025"/>
        <n v="2024"/>
        <n v="2023"/>
        <n v="2022"/>
        <n v="2021"/>
        <n v="2020"/>
        <m/>
      </sharedItems>
    </cacheField>
    <cacheField name="Capacity elec. (MW)" numFmtId="0">
      <sharedItems containsString="0" containsBlank="1" containsNumber="1" minValue="50" maxValue="1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新疆克拉玛依电厂"/>
    <x v="0"/>
    <x v="0"/>
  </r>
  <r>
    <s v="华能南山燃气发电厂"/>
    <x v="1"/>
    <x v="1"/>
  </r>
  <r>
    <s v="华能南山燃气发电厂"/>
    <x v="2"/>
    <x v="1"/>
  </r>
  <r>
    <s v="江苏常州苏源发电厂"/>
    <x v="3"/>
    <x v="2"/>
  </r>
  <r>
    <s v="中海油中山嘉明电厂"/>
    <x v="4"/>
    <x v="3"/>
  </r>
  <r>
    <s v="新疆克拉玛依电厂"/>
    <x v="4"/>
    <x v="0"/>
  </r>
  <r>
    <s v="中海油中山嘉明电厂"/>
    <x v="5"/>
    <x v="3"/>
  </r>
  <r>
    <s v="华能北京热电厂"/>
    <x v="6"/>
    <x v="4"/>
  </r>
  <r>
    <s v="浙能温州龙湾燃机发电厂"/>
    <x v="6"/>
    <x v="5"/>
  </r>
  <r>
    <s v="浙能镇海联合发电厂"/>
    <x v="6"/>
    <x v="6"/>
  </r>
  <r>
    <s v="国电滨海发电厂"/>
    <x v="7"/>
    <x v="7"/>
  </r>
  <r>
    <s v="中海油深圳电厂"/>
    <x v="8"/>
    <x v="8"/>
  </r>
  <r>
    <s v="大唐宝昌燃气发电站"/>
    <x v="8"/>
    <x v="9"/>
  </r>
  <r>
    <s v="佛山市福能发电厂"/>
    <x v="8"/>
    <x v="9"/>
  </r>
  <r>
    <s v="深南电南山热电厂"/>
    <x v="8"/>
    <x v="9"/>
  </r>
  <r>
    <s v="中海油海南洋浦电厂, 中海油洋浦天然气分布式能源站项目"/>
    <x v="9"/>
    <x v="10"/>
  </r>
  <r>
    <s v="大唐宝昌燃气发电站"/>
    <x v="9"/>
    <x v="9"/>
  </r>
  <r>
    <s v="华电上海奉贤燃机发电厂"/>
    <x v="9"/>
    <x v="9"/>
  </r>
  <r>
    <s v="深能东莞樟洋燃机电厂"/>
    <x v="9"/>
    <x v="9"/>
  </r>
  <r>
    <s v="深圳钰湖燃气发电厂"/>
    <x v="9"/>
    <x v="9"/>
  </r>
  <r>
    <s v="新疆克拉玛依电厂"/>
    <x v="9"/>
    <x v="0"/>
  </r>
  <r>
    <s v="中海油深圳电厂"/>
    <x v="10"/>
    <x v="11"/>
  </r>
  <r>
    <s v="东莞虎门电厂"/>
    <x v="10"/>
    <x v="9"/>
  </r>
  <r>
    <s v="东莞虎门电厂"/>
    <x v="10"/>
    <x v="12"/>
  </r>
  <r>
    <s v="协鑫苏州工业园蓝天燃气热电厂"/>
    <x v="10"/>
    <x v="9"/>
  </r>
  <r>
    <s v="杭州华电半山发电厂"/>
    <x v="10"/>
    <x v="13"/>
  </r>
  <r>
    <s v="汉能电力沌口燃机电厂"/>
    <x v="10"/>
    <x v="14"/>
  </r>
  <r>
    <s v="华晨电力张家港华兴燃气发电厂"/>
    <x v="10"/>
    <x v="13"/>
  </r>
  <r>
    <s v="华电戚墅堰燃机发电厂"/>
    <x v="10"/>
    <x v="13"/>
  </r>
  <r>
    <s v="华电望亭发电厂"/>
    <x v="10"/>
    <x v="13"/>
  </r>
  <r>
    <s v="南京六合区扬巴电厂"/>
    <x v="10"/>
    <x v="15"/>
  </r>
  <r>
    <s v="普星洁能德能电厂"/>
    <x v="10"/>
    <x v="16"/>
  </r>
  <r>
    <s v="上海漕泾燃机发电厂"/>
    <x v="10"/>
    <x v="17"/>
  </r>
  <r>
    <s v="上海漕泾燃机发电厂"/>
    <x v="10"/>
    <x v="18"/>
  </r>
  <r>
    <s v="深能丰达天然气热电厂"/>
    <x v="10"/>
    <x v="9"/>
  </r>
  <r>
    <s v="深能洪湾燃机电厂"/>
    <x v="10"/>
    <x v="9"/>
  </r>
  <r>
    <s v="南方电网海南清澜电厂"/>
    <x v="10"/>
    <x v="19"/>
  </r>
  <r>
    <s v="浙能金华燃机热电厂"/>
    <x v="10"/>
    <x v="20"/>
  </r>
  <r>
    <s v="中山南朗燃气电厂"/>
    <x v="10"/>
    <x v="9"/>
  </r>
  <r>
    <s v="中山永安热电厂"/>
    <x v="10"/>
    <x v="9"/>
  </r>
  <r>
    <s v="京能京丰燃气发电厂"/>
    <x v="11"/>
    <x v="21"/>
  </r>
  <r>
    <s v="华润协鑫(北京)燃气热电厂"/>
    <x v="11"/>
    <x v="22"/>
  </r>
  <r>
    <s v="东莞中电新能源热电厂"/>
    <x v="11"/>
    <x v="9"/>
  </r>
  <r>
    <s v="东莞众明燃气发电厂"/>
    <x v="11"/>
    <x v="9"/>
  </r>
  <r>
    <s v="广州珠江LNG电厂"/>
    <x v="11"/>
    <x v="13"/>
  </r>
  <r>
    <s v="华晨电力张家港华兴燃气发电厂"/>
    <x v="11"/>
    <x v="13"/>
  </r>
  <r>
    <s v="华能南京金陵燃机发电厂"/>
    <x v="11"/>
    <x v="13"/>
  </r>
  <r>
    <s v="华能上海燃机电厂"/>
    <x v="11"/>
    <x v="23"/>
  </r>
  <r>
    <s v="内蒙古苏里格燃气发电厂"/>
    <x v="11"/>
    <x v="24"/>
  </r>
  <r>
    <s v="宁波科丰燃机热电厂"/>
    <x v="11"/>
    <x v="25"/>
  </r>
  <r>
    <s v="普星洁能京兴电厂"/>
    <x v="11"/>
    <x v="22"/>
  </r>
  <r>
    <s v="普星洁能蓝天电厂"/>
    <x v="11"/>
    <x v="16"/>
  </r>
  <r>
    <s v="深南电东莞高埗天然气电厂"/>
    <x v="11"/>
    <x v="9"/>
  </r>
  <r>
    <s v="深圳能源东部电厂"/>
    <x v="11"/>
    <x v="13"/>
  </r>
  <r>
    <s v="粤电深圳前湾燃机电厂"/>
    <x v="11"/>
    <x v="13"/>
  </r>
  <r>
    <s v="广州珠江LNG电厂"/>
    <x v="12"/>
    <x v="13"/>
  </r>
  <r>
    <s v="国能浙江余姚燃气发电厂"/>
    <x v="12"/>
    <x v="26"/>
  </r>
  <r>
    <s v="华能南京金陵燃机发电厂"/>
    <x v="12"/>
    <x v="13"/>
  </r>
  <r>
    <s v="华能中原燃气发电厂"/>
    <x v="12"/>
    <x v="13"/>
  </r>
  <r>
    <s v="国家电投郑州燃气电厂"/>
    <x v="12"/>
    <x v="13"/>
  </r>
  <r>
    <s v="深圳能源东部电厂"/>
    <x v="12"/>
    <x v="13"/>
  </r>
  <r>
    <s v="深圳美视燃气电厂"/>
    <x v="12"/>
    <x v="9"/>
  </r>
  <r>
    <s v="广东惠州天然气发电厂"/>
    <x v="12"/>
    <x v="13"/>
  </r>
  <r>
    <s v="粤电深圳前湾燃机电厂"/>
    <x v="12"/>
    <x v="13"/>
  </r>
  <r>
    <s v="浙能镇海天然气发电厂"/>
    <x v="12"/>
    <x v="27"/>
  </r>
  <r>
    <s v="京能太阳宫燃气热电厂"/>
    <x v="13"/>
    <x v="13"/>
  </r>
  <r>
    <s v="华电北京(郑常庄)热电厂"/>
    <x v="13"/>
    <x v="28"/>
  </r>
  <r>
    <s v="华能中原燃气发电厂"/>
    <x v="13"/>
    <x v="13"/>
  </r>
  <r>
    <s v="浙能萧山发电厂"/>
    <x v="13"/>
    <x v="23"/>
  </r>
  <r>
    <s v="北京正东电子动力集团动力南厂"/>
    <x v="14"/>
    <x v="29"/>
  </r>
  <r>
    <s v="中海油中山嘉明电厂"/>
    <x v="14"/>
    <x v="13"/>
  </r>
  <r>
    <s v="广州大学城天然气分布式电厂"/>
    <x v="14"/>
    <x v="30"/>
  </r>
  <r>
    <s v="晋江燃气电厂"/>
    <x v="14"/>
    <x v="13"/>
  </r>
  <r>
    <s v="宁波绿源天然气发电厂"/>
    <x v="14"/>
    <x v="31"/>
  </r>
  <r>
    <s v="宁夏西部热电厂"/>
    <x v="14"/>
    <x v="32"/>
  </r>
  <r>
    <s v="厦门东部燃气电厂"/>
    <x v="14"/>
    <x v="13"/>
  </r>
  <r>
    <s v="新疆克拉玛依电厂"/>
    <x v="14"/>
    <x v="33"/>
  </r>
  <r>
    <s v="中海福建燃气发电公司莆田燃气电厂"/>
    <x v="15"/>
    <x v="13"/>
  </r>
  <r>
    <s v="华电武昌燃机热电厂"/>
    <x v="15"/>
    <x v="34"/>
  </r>
  <r>
    <s v="晋江燃气电厂"/>
    <x v="15"/>
    <x v="13"/>
  </r>
  <r>
    <s v="厦门东部燃气电厂"/>
    <x v="15"/>
    <x v="13"/>
  </r>
  <r>
    <s v="华电戚墅堰燃机发电厂"/>
    <x v="16"/>
    <x v="10"/>
  </r>
  <r>
    <s v="华能北京热电厂"/>
    <x v="16"/>
    <x v="35"/>
  </r>
  <r>
    <s v="申能上海临港燃机发电厂"/>
    <x v="16"/>
    <x v="23"/>
  </r>
  <r>
    <s v="国家电网拉萨燃机电厂"/>
    <x v="16"/>
    <x v="9"/>
  </r>
  <r>
    <s v="华电仪征热电厂"/>
    <x v="17"/>
    <x v="36"/>
  </r>
  <r>
    <s v="申能上海临港燃机发电厂"/>
    <x v="17"/>
    <x v="23"/>
  </r>
  <r>
    <s v="浙能萧山发电厂"/>
    <x v="17"/>
    <x v="37"/>
  </r>
  <r>
    <s v="北京市草桥燃气热电厂"/>
    <x v="18"/>
    <x v="38"/>
  </r>
  <r>
    <s v="大唐国际江山新城燃机热电厂"/>
    <x v="18"/>
    <x v="39"/>
  </r>
  <r>
    <s v="大唐国际绍兴江滨热电厂"/>
    <x v="18"/>
    <x v="40"/>
  </r>
  <r>
    <s v="大唐苏州燃机热电厂"/>
    <x v="18"/>
    <x v="36"/>
  </r>
  <r>
    <s v="协鑫苏州工业园北部燃机热电厂"/>
    <x v="18"/>
    <x v="9"/>
  </r>
  <r>
    <s v="杭州华电半山发电厂"/>
    <x v="18"/>
    <x v="41"/>
  </r>
  <r>
    <s v="华电吴江热电厂"/>
    <x v="18"/>
    <x v="9"/>
  </r>
  <r>
    <s v="华能南京金陵燃机发电厂"/>
    <x v="18"/>
    <x v="42"/>
  </r>
  <r>
    <s v="宁波科丰燃机热电厂"/>
    <x v="18"/>
    <x v="43"/>
  </r>
  <r>
    <s v="浙能长兴天然气热电厂"/>
    <x v="18"/>
    <x v="44"/>
  </r>
  <r>
    <s v="京能未来城燃气热电厂"/>
    <x v="19"/>
    <x v="45"/>
  </r>
  <r>
    <s v="京能高安屯燃气热电厂"/>
    <x v="19"/>
    <x v="4"/>
  </r>
  <r>
    <s v="京能京西燃气热电厂"/>
    <x v="19"/>
    <x v="46"/>
  </r>
  <r>
    <s v="京能京西燃气热电厂"/>
    <x v="19"/>
    <x v="47"/>
  </r>
  <r>
    <s v="中海油中山嘉明电厂"/>
    <x v="19"/>
    <x v="48"/>
  </r>
  <r>
    <s v="中海油珠海天然气发电有限公司"/>
    <x v="19"/>
    <x v="48"/>
  </r>
  <r>
    <s v="天津陈塘庄热电厂"/>
    <x v="19"/>
    <x v="49"/>
  </r>
  <r>
    <s v="大唐国际北京高井热电厂"/>
    <x v="19"/>
    <x v="50"/>
  </r>
  <r>
    <s v="华电杭州下沙热电厂"/>
    <x v="19"/>
    <x v="14"/>
  </r>
  <r>
    <s v="华电南宁江南分布式能源站"/>
    <x v="19"/>
    <x v="12"/>
  </r>
  <r>
    <s v="华电天津福源热电厂"/>
    <x v="19"/>
    <x v="36"/>
  </r>
  <r>
    <s v="华能重庆两江燃机发电厂"/>
    <x v="19"/>
    <x v="51"/>
  </r>
  <r>
    <s v="华能天津临港燃机热电厂"/>
    <x v="19"/>
    <x v="52"/>
  </r>
  <r>
    <s v="华能桐乡燃机热电厂"/>
    <x v="19"/>
    <x v="53"/>
  </r>
  <r>
    <s v="宁夏东部热电厂"/>
    <x v="19"/>
    <x v="36"/>
  </r>
  <r>
    <s v="普星洁能安吉电厂"/>
    <x v="19"/>
    <x v="54"/>
  </r>
  <r>
    <s v="普星洁能衢州天然气热电厂"/>
    <x v="19"/>
    <x v="55"/>
  </r>
  <r>
    <s v="国家电投珠海横琴热电厂"/>
    <x v="19"/>
    <x v="13"/>
  </r>
  <r>
    <s v="山西国际电力太原嘉节燃气热电厂"/>
    <x v="19"/>
    <x v="56"/>
  </r>
  <r>
    <s v="深圳美视燃气电厂"/>
    <x v="19"/>
    <x v="57"/>
  </r>
  <r>
    <s v="深圳美视燃气电厂"/>
    <x v="19"/>
    <x v="58"/>
  </r>
  <r>
    <s v="浙能常山天然气热电厂"/>
    <x v="19"/>
    <x v="59"/>
  </r>
  <r>
    <s v="浙能宁波镇海动力中心天然气热电厂"/>
    <x v="19"/>
    <x v="50"/>
  </r>
  <r>
    <s v="广州协鑫蓝天燃气热电站"/>
    <x v="20"/>
    <x v="9"/>
  </r>
  <r>
    <s v="协鑫无锡蓝天燃机热电厂"/>
    <x v="20"/>
    <x v="36"/>
  </r>
  <r>
    <s v="华电江东热电厂"/>
    <x v="20"/>
    <x v="60"/>
  </r>
  <r>
    <s v="华电龙游热电厂"/>
    <x v="20"/>
    <x v="61"/>
  </r>
  <r>
    <s v="华电戚墅堰燃机发电厂"/>
    <x v="20"/>
    <x v="62"/>
  </r>
  <r>
    <s v="华电上海奉贤燃机发电厂"/>
    <x v="20"/>
    <x v="63"/>
  </r>
  <r>
    <s v="华电武昌燃机热电厂"/>
    <x v="20"/>
    <x v="34"/>
  </r>
  <r>
    <s v="上海华电莘庄工业区燃气热电厂"/>
    <x v="20"/>
    <x v="12"/>
  </r>
  <r>
    <s v="华能太原东山燃机热电厂"/>
    <x v="20"/>
    <x v="63"/>
  </r>
  <r>
    <s v="上海电力罗泾燃机电厂"/>
    <x v="20"/>
    <x v="36"/>
  </r>
  <r>
    <s v="山西国际电力太原嘉节燃气热电厂"/>
    <x v="20"/>
    <x v="64"/>
  </r>
  <r>
    <s v="神华国华北京燃气热电厂"/>
    <x v="20"/>
    <x v="65"/>
  </r>
  <r>
    <s v="川投达州燃气发电站"/>
    <x v="20"/>
    <x v="50"/>
  </r>
  <r>
    <s v="武汉东湖燃机热电厂"/>
    <x v="20"/>
    <x v="34"/>
  </r>
  <r>
    <s v="国信协联燃气热电厂"/>
    <x v="20"/>
    <x v="37"/>
  </r>
  <r>
    <s v="天津陈塘庄热电厂"/>
    <x v="21"/>
    <x v="49"/>
  </r>
  <r>
    <s v="东莞中电新能源热电厂"/>
    <x v="21"/>
    <x v="51"/>
  </r>
  <r>
    <s v="华电南通通州燃机发电厂"/>
    <x v="21"/>
    <x v="36"/>
  </r>
  <r>
    <s v="宁波热电股份公司春晓热电站"/>
    <x v="21"/>
    <x v="66"/>
  </r>
  <r>
    <s v="无锡西区燃气热电厂"/>
    <x v="21"/>
    <x v="23"/>
  </r>
  <r>
    <s v="大唐姜堰燃机热电厂"/>
    <x v="22"/>
    <x v="9"/>
  </r>
  <r>
    <s v="国信高邮燃机热电厂"/>
    <x v="22"/>
    <x v="67"/>
  </r>
  <r>
    <s v="国信淮安燃气发电厂"/>
    <x v="22"/>
    <x v="9"/>
  </r>
  <r>
    <s v="国信淮安第二燃气发电厂"/>
    <x v="22"/>
    <x v="48"/>
  </r>
  <r>
    <s v="华电昆山东部燃机热电厂"/>
    <x v="22"/>
    <x v="68"/>
  </r>
  <r>
    <s v="华电扬州燃机电厂"/>
    <x v="22"/>
    <x v="62"/>
  </r>
  <r>
    <s v="华能北京热电厂"/>
    <x v="22"/>
    <x v="69"/>
  </r>
  <r>
    <s v="华能桂林燃气分布式能源站"/>
    <x v="22"/>
    <x v="70"/>
  </r>
  <r>
    <s v="华能苏州燃机热电厂"/>
    <x v="22"/>
    <x v="45"/>
  </r>
  <r>
    <s v="武汉东湖燃机热电厂"/>
    <x v="22"/>
    <x v="34"/>
  </r>
  <r>
    <s v="京能上庄燃气热电厂"/>
    <x v="23"/>
    <x v="71"/>
  </r>
  <r>
    <s v="大唐高要金淘燃气热电站"/>
    <x v="23"/>
    <x v="23"/>
  </r>
  <r>
    <s v="东亚电力无锡燃气发电厂"/>
    <x v="23"/>
    <x v="23"/>
  </r>
  <r>
    <s v="昆山协鑫蓝天天然气分布式能源站"/>
    <x v="23"/>
    <x v="12"/>
  </r>
  <r>
    <s v="协鑫南京蓝天燃机热电厂"/>
    <x v="23"/>
    <x v="36"/>
  </r>
  <r>
    <s v="国电南浔天然气热电厂"/>
    <x v="23"/>
    <x v="67"/>
  </r>
  <r>
    <s v="国信仪征燃机热电厂"/>
    <x v="23"/>
    <x v="67"/>
  </r>
  <r>
    <s v="中电合肥空港天然气分布式能源站"/>
    <x v="23"/>
    <x v="12"/>
  </r>
  <r>
    <s v="北京华电北燃电厂"/>
    <x v="23"/>
    <x v="72"/>
  </r>
  <r>
    <s v="华电江门蓬沙江沙分布式能源站"/>
    <x v="23"/>
    <x v="55"/>
  </r>
  <r>
    <s v="华电坪山分布式能源站"/>
    <x v="23"/>
    <x v="39"/>
  </r>
  <r>
    <s v="华电三水天然气分布式能源站"/>
    <x v="23"/>
    <x v="73"/>
  </r>
  <r>
    <s v="华电天津北宸分布式能源站"/>
    <x v="23"/>
    <x v="12"/>
  </r>
  <r>
    <s v="洛阳万众吉利热电厂"/>
    <x v="23"/>
    <x v="74"/>
  </r>
  <r>
    <s v="中电国际四会热电厂"/>
    <x v="23"/>
    <x v="23"/>
  </r>
  <r>
    <s v="国家电投周口燃气电厂"/>
    <x v="23"/>
    <x v="74"/>
  </r>
  <r>
    <s v="申能崇明燃气发电厂"/>
    <x v="23"/>
    <x v="75"/>
  </r>
  <r>
    <s v="粤电新会电厂"/>
    <x v="23"/>
    <x v="13"/>
  </r>
  <r>
    <s v="粤电中山三角燃机发电厂"/>
    <x v="23"/>
    <x v="48"/>
  </r>
  <r>
    <s v="保德县煤层气热电联产工程"/>
    <x v="24"/>
    <x v="76"/>
  </r>
  <r>
    <s v="华润常州钟楼分布式能源站"/>
    <x v="24"/>
    <x v="7"/>
  </r>
  <r>
    <s v="大唐国际金坛燃机热电厂"/>
    <x v="24"/>
    <x v="77"/>
  </r>
  <r>
    <s v="东亚电力无锡燃气发电厂"/>
    <x v="24"/>
    <x v="23"/>
  </r>
  <r>
    <s v="国电中山民众天然气热电站"/>
    <x v="24"/>
    <x v="78"/>
  </r>
  <r>
    <s v="北京华电北燃电厂"/>
    <x v="24"/>
    <x v="79"/>
  </r>
  <r>
    <s v="华电坪山分布式能源站"/>
    <x v="24"/>
    <x v="80"/>
  </r>
  <r>
    <s v="华电石家庄燃气热电厂"/>
    <x v="24"/>
    <x v="81"/>
  </r>
  <r>
    <s v="华电天津南疆热电厂"/>
    <x v="24"/>
    <x v="82"/>
  </r>
  <r>
    <s v="洛阳万众吉利热电厂"/>
    <x v="24"/>
    <x v="74"/>
  </r>
  <r>
    <s v="国家电投周口燃气电厂"/>
    <x v="24"/>
    <x v="74"/>
  </r>
  <r>
    <s v="申能上海奉贤燃机热电厂"/>
    <x v="24"/>
    <x v="48"/>
  </r>
  <r>
    <s v="广东惠州天然气发电厂"/>
    <x v="24"/>
    <x v="48"/>
  </r>
  <r>
    <s v="粤电中山三角燃机发电厂"/>
    <x v="24"/>
    <x v="48"/>
  </r>
  <r>
    <s v="京能珠海钰海燃气热电厂"/>
    <x v="25"/>
    <x v="83"/>
  </r>
  <r>
    <s v="协鑫高州燃气分布式发电站"/>
    <x v="25"/>
    <x v="22"/>
  </r>
  <r>
    <s v="协鑫钦州中马天然气分布式能源站"/>
    <x v="25"/>
    <x v="22"/>
  </r>
  <r>
    <s v="北京华电北燃电厂"/>
    <x v="25"/>
    <x v="79"/>
  </r>
  <r>
    <s v="华电石家庄燃气热电厂"/>
    <x v="25"/>
    <x v="81"/>
  </r>
  <r>
    <s v="华电广州增城燃气热电厂"/>
    <x v="25"/>
    <x v="84"/>
  </r>
  <r>
    <s v="华能东莞燃机热电"/>
    <x v="25"/>
    <x v="85"/>
  </r>
  <r>
    <s v="华能东莞燃机热电"/>
    <x v="25"/>
    <x v="86"/>
  </r>
  <r>
    <s v="华能江阴燃机热电厂"/>
    <x v="25"/>
    <x v="23"/>
  </r>
  <r>
    <s v="中电江门高新区分布式能源站"/>
    <x v="25"/>
    <x v="87"/>
  </r>
  <r>
    <s v="中电国际东莞立沙岛燃机发电厂"/>
    <x v="25"/>
    <x v="36"/>
  </r>
  <r>
    <s v="南方电网海南文昌燃气电厂"/>
    <x v="25"/>
    <x v="48"/>
  </r>
  <r>
    <s v="昔阳煤层气发电站"/>
    <x v="25"/>
    <x v="76"/>
  </r>
  <r>
    <s v="粤电黄埔电厂"/>
    <x v="25"/>
    <x v="88"/>
  </r>
  <r>
    <s v="大唐溧水燃机热电厂"/>
    <x v="26"/>
    <x v="67"/>
  </r>
  <r>
    <s v="大唐万宁燃气电厂"/>
    <x v="26"/>
    <x v="48"/>
  </r>
  <r>
    <s v="东莞中堂燃气热电厂"/>
    <x v="26"/>
    <x v="48"/>
  </r>
  <r>
    <s v="协鑫高州燃气分布式发电站"/>
    <x v="26"/>
    <x v="22"/>
  </r>
  <r>
    <s v="协鑫钦州中马天然气分布式能源站"/>
    <x v="26"/>
    <x v="22"/>
  </r>
  <r>
    <s v="华晨电力张家港华兴燃气发电厂"/>
    <x v="26"/>
    <x v="23"/>
  </r>
  <r>
    <s v="华电清远经济合作区燃气热电站"/>
    <x v="26"/>
    <x v="48"/>
  </r>
  <r>
    <s v="华电襄阳樊城燃机热电厂"/>
    <x v="26"/>
    <x v="89"/>
  </r>
  <r>
    <s v="中国电力江门综能天然气分布式能源站项目"/>
    <x v="26"/>
    <x v="12"/>
  </r>
  <r>
    <s v="江苏华峰超纤分布式能源站"/>
    <x v="26"/>
    <x v="19"/>
  </r>
  <r>
    <s v="江苏镇江燃气热电厂"/>
    <x v="26"/>
    <x v="62"/>
  </r>
  <r>
    <s v="荆门绿动电厂"/>
    <x v="26"/>
    <x v="32"/>
  </r>
  <r>
    <s v="玖龙纸业东莞天然气热电站"/>
    <x v="26"/>
    <x v="90"/>
  </r>
  <r>
    <s v="天津军粮城电厂"/>
    <x v="26"/>
    <x v="91"/>
  </r>
  <r>
    <s v="中电江门高新区分布式能源站"/>
    <x v="26"/>
    <x v="87"/>
  </r>
  <r>
    <s v="上海电力闵行燃机发电厂"/>
    <x v="26"/>
    <x v="92"/>
  </r>
  <r>
    <s v="深能东莞樟洋燃机电厂"/>
    <x v="26"/>
    <x v="13"/>
  </r>
  <r>
    <s v="中海油阜宁燃机热电厂"/>
    <x v="27"/>
    <x v="67"/>
  </r>
  <r>
    <s v="潮州深能凤泉湖高新区燃气热电厂"/>
    <x v="27"/>
    <x v="67"/>
  </r>
  <r>
    <s v="潮州深能甘露燃气热电厂"/>
    <x v="27"/>
    <x v="67"/>
  </r>
  <r>
    <s v="大唐宝昌燃气发电站"/>
    <x v="27"/>
    <x v="23"/>
  </r>
  <r>
    <s v="大唐佛山燃气发电站"/>
    <x v="27"/>
    <x v="23"/>
  </r>
  <r>
    <s v="大唐海口天然气发电厂"/>
    <x v="27"/>
    <x v="93"/>
  </r>
  <r>
    <s v="大唐万宁燃气电厂"/>
    <x v="27"/>
    <x v="48"/>
  </r>
  <r>
    <s v="东莞中堂燃气热电厂"/>
    <x v="27"/>
    <x v="48"/>
  </r>
  <r>
    <s v="华能洋浦燃气热电厂"/>
    <x v="27"/>
    <x v="94"/>
  </r>
  <r>
    <s v="江阴燃机热电厂"/>
    <x v="27"/>
    <x v="67"/>
  </r>
  <r>
    <s v="南海长海燃气热电站"/>
    <x v="27"/>
    <x v="67"/>
  </r>
  <r>
    <s v="中电投常熟燃机热电厂"/>
    <x v="27"/>
    <x v="67"/>
  </r>
  <r>
    <s v="国家电投揭东燃气热电站"/>
    <x v="27"/>
    <x v="67"/>
  </r>
  <r>
    <s v="上海电力闵行燃机发电厂"/>
    <x v="27"/>
    <x v="95"/>
  </r>
  <r>
    <s v="粤电花都天然气热电厂"/>
    <x v="27"/>
    <x v="48"/>
  </r>
  <r>
    <m/>
    <x v="28"/>
    <x v="96"/>
  </r>
  <r>
    <m/>
    <x v="28"/>
    <x v="96"/>
  </r>
  <r>
    <m/>
    <x v="28"/>
    <x v="96"/>
  </r>
  <r>
    <m/>
    <x v="28"/>
    <x v="96"/>
  </r>
  <r>
    <m/>
    <x v="28"/>
    <x v="96"/>
  </r>
  <r>
    <m/>
    <x v="28"/>
    <x v="96"/>
  </r>
  <r>
    <m/>
    <x v="28"/>
    <x v="96"/>
  </r>
  <r>
    <m/>
    <x v="28"/>
    <x v="96"/>
  </r>
  <r>
    <m/>
    <x v="28"/>
    <x v="96"/>
  </r>
  <r>
    <m/>
    <x v="28"/>
    <x v="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广州白云恒运天然气发电项目"/>
    <s v="announced"/>
    <x v="0"/>
    <n v="460"/>
  </r>
  <r>
    <s v="上海LNG站线扩建项目"/>
    <s v="announced"/>
    <x v="0"/>
    <n v="1600"/>
  </r>
  <r>
    <s v="大唐广州从化燃气发电厂"/>
    <s v="announced"/>
    <x v="1"/>
    <n v="700"/>
  </r>
  <r>
    <s v="华电福新增城电厂二期项目"/>
    <s v="announced"/>
    <x v="1"/>
    <n v="600"/>
  </r>
  <r>
    <s v="华润电力东莞大朗分布式能源项目"/>
    <s v="announced"/>
    <x v="2"/>
    <n v="120"/>
  </r>
  <r>
    <s v="泸州天然气发电项目"/>
    <s v="pre-construction"/>
    <x v="2"/>
    <n v="700"/>
  </r>
  <r>
    <s v="鹤山燃气-蒸汽联合循环热电联产项目"/>
    <s v="announced"/>
    <x v="2"/>
    <n v="120"/>
  </r>
  <r>
    <s v="广海湾天然气热电联产项目"/>
    <s v="announced"/>
    <x v="2"/>
    <n v="650"/>
  </r>
  <r>
    <s v="华电重庆潼南燃机热电联产项目"/>
    <s v="construction"/>
    <x v="2"/>
    <n v="700"/>
  </r>
  <r>
    <s v="华润电力东莞大朗天然气发电项目"/>
    <s v="announced"/>
    <x v="2"/>
    <n v="470"/>
  </r>
  <r>
    <s v="江门台山工业新城分布式能源电站"/>
    <s v="construction"/>
    <x v="2"/>
    <n v="70"/>
  </r>
  <r>
    <s v="华电内江白马燃气发电厂"/>
    <s v="pre-construction"/>
    <x v="2"/>
    <n v="475"/>
  </r>
  <r>
    <s v="国家电投开平翠山湖燃气热电站"/>
    <s v="construction"/>
    <x v="2"/>
    <n v="100"/>
  </r>
  <r>
    <s v="汕尾海丰天然气热电联产"/>
    <s v="pre-construction"/>
    <x v="2"/>
    <n v="460"/>
  </r>
  <r>
    <s v="汕尾海丰天然气热电联产"/>
    <s v="pre-construction"/>
    <x v="2"/>
    <n v="115"/>
  </r>
  <r>
    <s v="深南电东莞高埗天然气电厂"/>
    <s v="construction"/>
    <x v="2"/>
    <n v="470"/>
  </r>
  <r>
    <s v="顺德均安片区燃气热电厂"/>
    <s v="pre-construction"/>
    <x v="2"/>
    <n v="460"/>
  </r>
  <r>
    <s v="粤电新会电厂二期"/>
    <s v="announced"/>
    <x v="2"/>
    <n v="800"/>
  </r>
  <r>
    <s v="安吉梅溪燃机电厂"/>
    <s v="construction"/>
    <x v="3"/>
    <n v="780"/>
  </r>
  <r>
    <s v="中海油深圳电厂"/>
    <s v="pre-construction"/>
    <x v="3"/>
    <n v="490"/>
  </r>
  <r>
    <s v="国家能源集团海南公司三亚东天然气发电项目"/>
    <s v="pre-construction"/>
    <x v="3"/>
    <n v="400"/>
  </r>
  <r>
    <s v="华润南沙横沥燃气热电厂"/>
    <s v="pre-construction"/>
    <x v="3"/>
    <n v="60"/>
  </r>
  <r>
    <s v="珠海华润热电富山燃气发电厂"/>
    <s v="construction"/>
    <x v="3"/>
    <n v="60"/>
  </r>
  <r>
    <s v="乌江电力燃机发电联产项目"/>
    <s v="announced"/>
    <x v="3"/>
    <n v="480"/>
  </r>
  <r>
    <s v="滁州天然气调峰电厂"/>
    <s v="construction"/>
    <x v="3"/>
    <n v="450"/>
  </r>
  <r>
    <s v="大唐（华瀛）潮州热电冷联产项目"/>
    <s v="pre-construction"/>
    <x v="3"/>
    <n v="460"/>
  </r>
  <r>
    <s v="大唐惠州博罗燃气热电厂"/>
    <s v="pre-construction"/>
    <x v="3"/>
    <n v="460"/>
  </r>
  <r>
    <s v="东莞石碣（兴宁）产业转移工业园分布式能源站项目"/>
    <s v="pre-construction"/>
    <x v="3"/>
    <n v="50"/>
  </r>
  <r>
    <s v="华润电力东莞松山湖分布式能源项目"/>
    <s v="construction"/>
    <x v="3"/>
    <n v="50"/>
  </r>
  <r>
    <s v="广东能源揭阳大南海天然气热电联产项目"/>
    <s v="pre-construction"/>
    <x v="3"/>
    <n v="480"/>
  </r>
  <r>
    <s v="广东能源东莞谢岗调峰气电项目"/>
    <s v="announced"/>
    <x v="3"/>
    <n v="650"/>
  </r>
  <r>
    <s v="新会大泽2×50MW级燃气热电项目"/>
    <s v="pre-construction"/>
    <x v="3"/>
    <n v="50"/>
  </r>
  <r>
    <s v="广州白云恒运天然气发电项目"/>
    <s v="pre-construction"/>
    <x v="3"/>
    <n v="460"/>
  </r>
  <r>
    <s v="华电顺德龙江燃气分布式能源站（一期）"/>
    <s v="pre-construction"/>
    <x v="3"/>
    <n v="76"/>
  </r>
  <r>
    <s v="华电章丘燃机热电厂"/>
    <s v="construction"/>
    <x v="3"/>
    <n v="490"/>
  </r>
  <r>
    <s v="华能重庆两江燃机发电厂"/>
    <s v="pre-construction"/>
    <x v="3"/>
    <n v="700"/>
  </r>
  <r>
    <s v="华能东莞燃机热电"/>
    <s v="pre-construction"/>
    <x v="3"/>
    <n v="470"/>
  </r>
  <r>
    <s v="华能南通电厂"/>
    <s v="construction"/>
    <x v="3"/>
    <n v="745"/>
  </r>
  <r>
    <s v="华能彭州天然气热电联产项目"/>
    <s v="pre-construction"/>
    <x v="3"/>
    <n v="363.5"/>
  </r>
  <r>
    <s v="华能清远高新区燃气电厂"/>
    <s v="construction"/>
    <x v="3"/>
    <n v="120"/>
  </r>
  <r>
    <s v="华能烟台发电厂2×9F级燃气蒸汽联合循环热电联产项目"/>
    <s v="pre-construction"/>
    <x v="3"/>
    <n v="530"/>
  </r>
  <r>
    <s v="华能济南黄台发电厂"/>
    <s v="announced"/>
    <x v="3"/>
    <n v="470"/>
  </r>
  <r>
    <s v="茂名天然气热电厂"/>
    <s v="pre-construction"/>
    <x v="3"/>
    <n v="450"/>
  </r>
  <r>
    <s v="茂名天然气热电厂"/>
    <s v="pre-construction"/>
    <x v="3"/>
    <n v="120"/>
  </r>
  <r>
    <s v="妈湾电厂升级改造气电一期"/>
    <s v="construction"/>
    <x v="3"/>
    <n v="681"/>
  </r>
  <r>
    <s v="国能清远石角天然气分布式能源站"/>
    <s v="construction"/>
    <x v="3"/>
    <n v="100"/>
  </r>
  <r>
    <s v="国投吉能燃气发电项目"/>
    <s v="pre-construction"/>
    <x v="3"/>
    <n v="745"/>
  </r>
  <r>
    <s v="国家电投东莞东城天然气热电联产扩建工程"/>
    <s v="announced"/>
    <x v="3"/>
    <n v="470"/>
  </r>
  <r>
    <s v="山东丰源燃气热电有限公司燃气-蒸汽联合循环热电联产项目"/>
    <s v="construction"/>
    <x v="3"/>
    <n v="200"/>
  </r>
  <r>
    <s v="华能泰安2×9F级燃气蒸汽联合循环热电联产项目"/>
    <s v="pre-construction"/>
    <x v="3"/>
    <n v="500"/>
  </r>
  <r>
    <s v="汕头经济特区天然气热电厂"/>
    <s v="construction"/>
    <x v="3"/>
    <n v="460"/>
  </r>
  <r>
    <s v="深能光明燃机电厂"/>
    <s v="pre-construction"/>
    <x v="3"/>
    <n v="600"/>
  </r>
  <r>
    <s v="深能洪湾燃机电厂"/>
    <s v="construction"/>
    <x v="3"/>
    <n v="400"/>
  </r>
  <r>
    <s v="四川能投广元天然气发电厂"/>
    <s v="construction"/>
    <x v="3"/>
    <n v="700"/>
  </r>
  <r>
    <s v="川投达州燃气发电站"/>
    <s v="announced"/>
    <x v="3"/>
    <n v="700"/>
  </r>
  <r>
    <s v="川投集团资阳燃气电站"/>
    <s v="construction"/>
    <x v="3"/>
    <n v="700"/>
  </r>
  <r>
    <s v="皖能合肥天然气调峰电厂"/>
    <s v="construction"/>
    <x v="3"/>
    <n v="450"/>
  </r>
  <r>
    <s v="无锡西区燃气热电厂"/>
    <s v="construction"/>
    <x v="3"/>
    <n v="450"/>
  </r>
  <r>
    <s v="阳江高新区天然气热电联产"/>
    <s v="construction"/>
    <x v="3"/>
    <n v="120"/>
  </r>
  <r>
    <s v="宜昌市夷陵区中基热电厂"/>
    <s v="pre-construction"/>
    <x v="3"/>
    <n v="75"/>
  </r>
  <r>
    <s v="粤电深圳前湾燃机电厂"/>
    <s v="pre-construction"/>
    <x v="3"/>
    <n v="390"/>
  </r>
  <r>
    <s v="粤电云河发电公司天然气热电厂"/>
    <s v="pre-construction"/>
    <x v="3"/>
    <n v="460"/>
  </r>
  <r>
    <s v="知识城恒运天然气热电联产项目"/>
    <s v="announced"/>
    <x v="3"/>
    <n v="460"/>
  </r>
  <r>
    <s v="亚太森博（广东）纸业有限公司热电厂"/>
    <s v="construction"/>
    <x v="4"/>
    <n v="80"/>
  </r>
  <r>
    <s v="滁州天然气调峰电厂"/>
    <s v="construction"/>
    <x v="4"/>
    <n v="450"/>
  </r>
  <r>
    <s v="大唐惠州博罗燃气热电厂"/>
    <s v="pre-construction"/>
    <x v="4"/>
    <n v="460"/>
  </r>
  <r>
    <s v="东莞市粤文智慧能源有限公司热电厂"/>
    <s v="construction"/>
    <x v="4"/>
    <n v="460"/>
  </r>
  <r>
    <s v="东莞宁洲燃气电厂"/>
    <s v="construction"/>
    <x v="4"/>
    <n v="700"/>
  </r>
  <r>
    <s v="佛燃三水水都分布式能源站"/>
    <s v="pre-construction"/>
    <x v="4"/>
    <n v="120"/>
  </r>
  <r>
    <s v="协鑫佛冈燃气分布式能源电站"/>
    <s v="pre-construction"/>
    <x v="4"/>
    <n v="120"/>
  </r>
  <r>
    <s v="澄海益鑫天然气分布式二期项目"/>
    <s v="pre-construction"/>
    <x v="4"/>
    <n v="75"/>
  </r>
  <r>
    <s v="广州（梅州）产业转移工业园分布式综合能源站项目"/>
    <s v="pre-construction"/>
    <x v="4"/>
    <n v="50"/>
  </r>
  <r>
    <s v="广州白云恒运天然气发电项目"/>
    <s v="pre-construction"/>
    <x v="4"/>
    <n v="460"/>
  </r>
  <r>
    <s v="广州珠江LNG电厂"/>
    <s v="construction"/>
    <x v="4"/>
    <n v="600"/>
  </r>
  <r>
    <s v="国电广东肇庆热电公司"/>
    <s v="construction"/>
    <x v="4"/>
    <n v="500"/>
  </r>
  <r>
    <s v="汉能电力沌口燃机电厂"/>
    <s v="construction"/>
    <x v="4"/>
    <n v="75"/>
  </r>
  <r>
    <s v="广州开发区东区热电厂"/>
    <s v="construction"/>
    <x v="4"/>
    <n v="460"/>
  </r>
  <r>
    <s v="长沙电厂二期燃气发电调峰"/>
    <s v="announced"/>
    <x v="4"/>
    <n v="500"/>
  </r>
  <r>
    <s v="华电广东鹤山燃机热电站"/>
    <s v="pre-construction"/>
    <x v="4"/>
    <n v="115"/>
  </r>
  <r>
    <s v="华电广东鹤山燃机热电站"/>
    <s v="announced"/>
    <x v="4"/>
    <n v="115"/>
  </r>
  <r>
    <s v="华电广东惠州东江燃机热电厂"/>
    <s v="pre-construction"/>
    <x v="4"/>
    <n v="460"/>
  </r>
  <r>
    <s v="华电青岛燃机热电厂"/>
    <s v="construction"/>
    <x v="4"/>
    <n v="400"/>
  </r>
  <r>
    <s v="广东华电清远华侨工业园天然气分布式能源站"/>
    <s v="construction"/>
    <x v="4"/>
    <n v="75"/>
  </r>
  <r>
    <s v="华电顺德龙江燃气分布式能源站（一期）"/>
    <s v="pre-construction"/>
    <x v="4"/>
    <n v="500"/>
  </r>
  <r>
    <s v="华电望亭发电厂"/>
    <s v="pre-construction"/>
    <x v="4"/>
    <n v="485"/>
  </r>
  <r>
    <s v="华电章丘燃机热电厂"/>
    <s v="construction"/>
    <x v="4"/>
    <n v="490"/>
  </r>
  <r>
    <s v="珠海斗门华电热电联产项目"/>
    <s v="construction"/>
    <x v="4"/>
    <n v="115"/>
  </r>
  <r>
    <s v="华能重庆两江燃机发电厂"/>
    <s v="pre-construction"/>
    <x v="4"/>
    <n v="700"/>
  </r>
  <r>
    <s v="华能松原热电有限公司"/>
    <s v="pre-construction"/>
    <x v="4"/>
    <n v="830"/>
  </r>
  <r>
    <s v="华能天津临港燃机热电厂"/>
    <s v="pre-construction"/>
    <x v="4"/>
    <n v="463"/>
  </r>
  <r>
    <s v="华能湖南湘阴调峰燃气厂"/>
    <s v="pre-construction"/>
    <x v="4"/>
    <n v="500"/>
  </r>
  <r>
    <s v="中国神华能源股份有限公司惠州热电分公司"/>
    <s v="construction"/>
    <x v="4"/>
    <n v="500"/>
  </r>
  <r>
    <s v="广东粤电大亚湾综合能源有限公司"/>
    <s v="construction"/>
    <x v="4"/>
    <n v="670"/>
  </r>
  <r>
    <s v="济宣能源华山热电厂"/>
    <s v="pre-construction"/>
    <x v="4"/>
    <n v="75"/>
  </r>
  <r>
    <s v="国能清远石角天然气分布式能源站"/>
    <s v="construction"/>
    <x v="4"/>
    <n v="100"/>
  </r>
  <r>
    <s v="深南电东莞高埗天然气电厂"/>
    <s v="construction"/>
    <x v="4"/>
    <n v="470"/>
  </r>
  <r>
    <s v="深圳能源东部电厂"/>
    <s v="construction"/>
    <x v="4"/>
    <n v="478"/>
  </r>
  <r>
    <s v="深能丰达天然气热电厂"/>
    <s v="construction"/>
    <x v="4"/>
    <n v="460"/>
  </r>
  <r>
    <s v="四川德阳经开区分布式能源站"/>
    <s v="pre-construction"/>
    <x v="4"/>
    <n v="70"/>
  </r>
  <r>
    <s v="华电安居天然气发电厂"/>
    <s v="announced"/>
    <x v="4"/>
    <n v="600"/>
  </r>
  <r>
    <s v="温州LNG配套电厂一期"/>
    <s v="announced"/>
    <x v="4"/>
    <n v="780"/>
  </r>
  <r>
    <s v="湘投国际衡东燃气发电项目"/>
    <s v="construction"/>
    <x v="4"/>
    <n v="490"/>
  </r>
  <r>
    <s v="宜昌市夷陵区中基热电厂"/>
    <s v="construction"/>
    <x v="4"/>
    <n v="75"/>
  </r>
  <r>
    <s v="永川港桥工业园热电联产项目"/>
    <s v="announced"/>
    <x v="4"/>
    <n v="490"/>
  </r>
  <r>
    <s v="粤电鼎湖天然气热电厂"/>
    <s v="construction"/>
    <x v="4"/>
    <n v="460"/>
  </r>
  <r>
    <s v="粤电黄埔电厂"/>
    <s v="construction"/>
    <x v="4"/>
    <n v="600"/>
  </r>
  <r>
    <s v="东莞企石天然气分布式热电厂"/>
    <s v="pre-construction"/>
    <x v="5"/>
    <n v="120"/>
  </r>
  <r>
    <s v="捷能热力电站有限公司哈尔滨新区燃气热电联产项目"/>
    <s v="construction"/>
    <x v="5"/>
    <n v="80"/>
  </r>
  <r>
    <s v="华海能源德庆工业园天然气热电厂"/>
    <s v="construction"/>
    <x v="5"/>
    <n v="120"/>
  </r>
  <r>
    <s v="江门市新会区古井能源服务有限公司热电厂"/>
    <s v="construction"/>
    <x v="5"/>
    <n v="60"/>
  </r>
  <r>
    <s v="荣成市天然气热电厂"/>
    <s v="construction"/>
    <x v="5"/>
    <n v="200"/>
  </r>
  <r>
    <s v="国家电投吴淞江燃机发电厂"/>
    <s v="construction"/>
    <x v="5"/>
    <n v="80"/>
  </r>
  <r>
    <s v="吴江盛泽燃机热电厂"/>
    <s v="construction"/>
    <x v="5"/>
    <n v="100"/>
  </r>
  <r>
    <s v="协鑫襄阳燃气分布式能源"/>
    <s v="construction"/>
    <x v="5"/>
    <n v="75"/>
  </r>
  <r>
    <s v="中山永安热电厂"/>
    <s v="construction"/>
    <x v="5"/>
    <n v="220"/>
  </r>
  <r>
    <s v="舟山石化热电厂"/>
    <s v="pre-construction"/>
    <x v="5"/>
    <n v="180"/>
  </r>
  <r>
    <s v="威海南海新区燃气热电厂（待定）"/>
    <s v="announced"/>
    <x v="6"/>
    <n v="474"/>
  </r>
  <r>
    <s v="丹阳华海燃机热电厂"/>
    <s v="construction"/>
    <x v="7"/>
    <n v="100"/>
  </r>
  <r>
    <s v="国信盐城燃机热电厂"/>
    <s v="pre-construction"/>
    <x v="7"/>
    <n v="100"/>
  </r>
  <r>
    <m/>
    <m/>
    <x v="8"/>
    <m/>
  </r>
  <r>
    <m/>
    <m/>
    <x v="8"/>
    <m/>
  </r>
  <r>
    <m/>
    <m/>
    <x v="8"/>
    <m/>
  </r>
  <r>
    <m/>
    <m/>
    <x v="8"/>
    <m/>
  </r>
  <r>
    <m/>
    <m/>
    <x v="8"/>
    <m/>
  </r>
  <r>
    <m/>
    <m/>
    <x v="8"/>
    <m/>
  </r>
  <r>
    <m/>
    <m/>
    <x v="8"/>
    <m/>
  </r>
  <r>
    <m/>
    <m/>
    <x v="8"/>
    <m/>
  </r>
  <r>
    <m/>
    <m/>
    <x v="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774E0-1420-4F99-8C3D-5FD7FCFB3A7F}" name="数据透视表6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8:J10" firstHeaderRow="1" firstDataRow="2" firstDataCol="1"/>
  <pivotFields count="3">
    <pivotField showAll="0"/>
    <pivotField axis="axisCol" showAll="0">
      <items count="30">
        <item x="0"/>
        <item x="1"/>
        <item x="2"/>
        <item x="3"/>
        <item x="4"/>
        <item x="5"/>
        <item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t="default"/>
      </items>
    </pivotField>
    <pivotField dataField="1" showAll="0"/>
  </pivotFields>
  <rowItems count="1">
    <i/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求和项:Capacity elec. (MW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6E872-9BC7-44B7-849C-CA2A0C2FA18F}" name="数据透视表7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14:F16" firstHeaderRow="1" firstDataRow="2" firstDataCol="1"/>
  <pivotFields count="4">
    <pivotField showAll="0"/>
    <pivotField showAll="0"/>
    <pivotField axis="axisCol" showAll="0">
      <items count="10">
        <item h="1" x="7"/>
        <item h="1" x="6"/>
        <item h="1" x="5"/>
        <item x="4"/>
        <item x="3"/>
        <item x="2"/>
        <item x="1"/>
        <item h="1" x="0"/>
        <item h="1" x="8"/>
        <item t="default"/>
      </items>
    </pivotField>
    <pivotField dataField="1" showAll="0"/>
  </pivotFields>
  <rowItems count="1">
    <i/>
  </rowItems>
  <colFields count="1">
    <field x="2"/>
  </colFields>
  <colItems count="5">
    <i>
      <x v="3"/>
    </i>
    <i>
      <x v="4"/>
    </i>
    <i>
      <x v="5"/>
    </i>
    <i>
      <x v="6"/>
    </i>
    <i t="grand">
      <x/>
    </i>
  </colItems>
  <dataFields count="1">
    <dataField name="求和项:Capacity elec. (MW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8BE6-5616-4BA6-B990-023EB8A9846B}">
  <dimension ref="A1:H33"/>
  <sheetViews>
    <sheetView workbookViewId="0">
      <selection activeCell="C43" sqref="C42:C43"/>
    </sheetView>
  </sheetViews>
  <sheetFormatPr defaultRowHeight="13.5" x14ac:dyDescent="0.15"/>
  <cols>
    <col min="1" max="1" width="9" style="14"/>
    <col min="2" max="5" width="9" style="19"/>
    <col min="6" max="16384" width="9" style="14"/>
  </cols>
  <sheetData>
    <row r="1" spans="1:8" x14ac:dyDescent="0.15">
      <c r="A1" s="12"/>
      <c r="B1" s="13">
        <v>2015</v>
      </c>
      <c r="C1" s="13">
        <v>2016</v>
      </c>
      <c r="D1" s="13">
        <v>2017</v>
      </c>
      <c r="E1" s="13">
        <v>2018</v>
      </c>
      <c r="F1" s="13">
        <v>2019</v>
      </c>
      <c r="G1" s="13">
        <v>2020</v>
      </c>
      <c r="H1" s="13">
        <v>2021</v>
      </c>
    </row>
    <row r="2" spans="1:8" x14ac:dyDescent="0.15">
      <c r="A2" s="15" t="s">
        <v>275</v>
      </c>
      <c r="B2" s="13" t="s">
        <v>276</v>
      </c>
      <c r="C2" s="13">
        <v>571</v>
      </c>
      <c r="D2" s="13">
        <v>929</v>
      </c>
      <c r="E2" s="13">
        <v>1197</v>
      </c>
      <c r="F2" s="13">
        <v>1024</v>
      </c>
      <c r="G2" s="13">
        <v>1469</v>
      </c>
      <c r="H2" s="16">
        <v>499</v>
      </c>
    </row>
    <row r="3" spans="1:8" x14ac:dyDescent="0.15">
      <c r="A3" s="15" t="s">
        <v>277</v>
      </c>
      <c r="B3" s="13">
        <v>102.2</v>
      </c>
      <c r="C3" s="13"/>
      <c r="D3" s="13"/>
      <c r="E3" s="13"/>
      <c r="F3" s="17"/>
      <c r="G3" s="16"/>
      <c r="H3" s="16"/>
    </row>
    <row r="4" spans="1:8" x14ac:dyDescent="0.15">
      <c r="A4" s="15" t="s">
        <v>278</v>
      </c>
      <c r="B4" s="13">
        <v>88.5</v>
      </c>
      <c r="C4" s="13">
        <v>89</v>
      </c>
      <c r="D4" s="13">
        <v>89</v>
      </c>
      <c r="E4" s="13">
        <v>86</v>
      </c>
      <c r="F4" s="18">
        <v>1</v>
      </c>
      <c r="G4" s="16">
        <v>0.3</v>
      </c>
      <c r="H4" s="16">
        <v>5</v>
      </c>
    </row>
    <row r="5" spans="1:8" x14ac:dyDescent="0.15">
      <c r="A5" s="15" t="s">
        <v>279</v>
      </c>
      <c r="B5" s="13">
        <v>106.7</v>
      </c>
      <c r="C5" s="13">
        <v>27</v>
      </c>
      <c r="D5" s="13">
        <v>51</v>
      </c>
      <c r="E5" s="13">
        <v>69</v>
      </c>
      <c r="F5" s="13">
        <v>58</v>
      </c>
      <c r="G5" s="13">
        <v>44</v>
      </c>
      <c r="H5" s="16">
        <v>25</v>
      </c>
    </row>
    <row r="6" spans="1:8" x14ac:dyDescent="0.15">
      <c r="A6" s="15" t="s">
        <v>280</v>
      </c>
      <c r="B6" s="13">
        <v>65</v>
      </c>
      <c r="C6" s="13">
        <v>3</v>
      </c>
      <c r="D6" s="13">
        <v>43</v>
      </c>
      <c r="E6" s="13">
        <v>60</v>
      </c>
      <c r="F6" s="18">
        <v>216</v>
      </c>
      <c r="G6" s="16">
        <v>174</v>
      </c>
      <c r="H6" s="16">
        <v>19</v>
      </c>
    </row>
    <row r="7" spans="1:8" x14ac:dyDescent="0.15">
      <c r="A7" s="15" t="s">
        <v>281</v>
      </c>
      <c r="B7" s="13">
        <v>5.4</v>
      </c>
      <c r="C7" s="13">
        <v>18</v>
      </c>
      <c r="D7" s="13">
        <v>14</v>
      </c>
      <c r="E7" s="13">
        <v>4</v>
      </c>
      <c r="F7" s="13">
        <v>4</v>
      </c>
      <c r="G7" s="13">
        <v>9</v>
      </c>
      <c r="H7" s="16">
        <v>8</v>
      </c>
    </row>
    <row r="8" spans="1:8" x14ac:dyDescent="0.15">
      <c r="A8" s="15" t="s">
        <v>282</v>
      </c>
      <c r="B8" s="13">
        <v>10.6</v>
      </c>
      <c r="C8" s="13"/>
      <c r="D8" s="13">
        <v>15</v>
      </c>
      <c r="E8" s="13">
        <v>24</v>
      </c>
      <c r="F8" s="17"/>
      <c r="G8" s="16"/>
      <c r="H8" s="16">
        <v>15</v>
      </c>
    </row>
    <row r="9" spans="1:8" x14ac:dyDescent="0.15">
      <c r="A9" s="15" t="s">
        <v>283</v>
      </c>
      <c r="B9" s="13">
        <v>1.8</v>
      </c>
      <c r="C9" s="13">
        <v>20</v>
      </c>
      <c r="D9" s="13"/>
      <c r="E9" s="13"/>
      <c r="F9" s="18">
        <v>60</v>
      </c>
      <c r="G9" s="16"/>
      <c r="H9" s="16">
        <v>26</v>
      </c>
    </row>
    <row r="10" spans="1:8" x14ac:dyDescent="0.15">
      <c r="A10" s="15" t="s">
        <v>284</v>
      </c>
      <c r="B10" s="13">
        <v>0.9</v>
      </c>
      <c r="C10" s="13">
        <v>11</v>
      </c>
      <c r="D10" s="13">
        <v>31</v>
      </c>
      <c r="E10" s="13">
        <v>29</v>
      </c>
      <c r="F10" s="18">
        <v>21</v>
      </c>
      <c r="G10" s="13">
        <v>10</v>
      </c>
      <c r="H10" s="16">
        <v>25</v>
      </c>
    </row>
    <row r="11" spans="1:8" x14ac:dyDescent="0.15">
      <c r="A11" s="15" t="s">
        <v>285</v>
      </c>
      <c r="B11" s="13">
        <v>0.2</v>
      </c>
      <c r="C11" s="13">
        <v>5</v>
      </c>
      <c r="D11" s="13"/>
      <c r="E11" s="13"/>
      <c r="F11" s="13">
        <v>5</v>
      </c>
      <c r="G11" s="16"/>
      <c r="H11" s="16"/>
    </row>
    <row r="12" spans="1:8" x14ac:dyDescent="0.15">
      <c r="A12" s="15" t="s">
        <v>286</v>
      </c>
      <c r="B12" s="13">
        <v>76.3</v>
      </c>
      <c r="C12" s="13">
        <v>30</v>
      </c>
      <c r="D12" s="13">
        <v>137</v>
      </c>
      <c r="E12" s="13">
        <v>58</v>
      </c>
      <c r="F12" s="13">
        <v>58</v>
      </c>
      <c r="G12" s="13">
        <v>25</v>
      </c>
      <c r="H12" s="16"/>
    </row>
    <row r="13" spans="1:8" x14ac:dyDescent="0.15">
      <c r="A13" s="15" t="s">
        <v>287</v>
      </c>
      <c r="B13" s="13">
        <v>103.8</v>
      </c>
      <c r="C13" s="13">
        <v>32</v>
      </c>
      <c r="D13" s="13">
        <v>18</v>
      </c>
      <c r="E13" s="13">
        <v>60</v>
      </c>
      <c r="F13" s="18">
        <v>66</v>
      </c>
      <c r="G13" s="13">
        <v>141</v>
      </c>
      <c r="H13" s="16">
        <v>76</v>
      </c>
    </row>
    <row r="14" spans="1:8" x14ac:dyDescent="0.15">
      <c r="A14" s="15" t="s">
        <v>288</v>
      </c>
      <c r="B14" s="13">
        <v>7</v>
      </c>
      <c r="C14" s="13">
        <v>8</v>
      </c>
      <c r="D14" s="13">
        <v>46</v>
      </c>
      <c r="E14" s="13">
        <v>38</v>
      </c>
      <c r="F14" s="18">
        <v>12</v>
      </c>
      <c r="G14" s="13">
        <v>67</v>
      </c>
      <c r="H14" s="16">
        <v>27</v>
      </c>
    </row>
    <row r="15" spans="1:8" x14ac:dyDescent="0.15">
      <c r="A15" s="15" t="s">
        <v>289</v>
      </c>
      <c r="B15" s="13">
        <v>6.4</v>
      </c>
      <c r="C15" s="13">
        <v>6</v>
      </c>
      <c r="D15" s="13">
        <v>54</v>
      </c>
      <c r="E15" s="13">
        <v>2</v>
      </c>
      <c r="F15" s="13">
        <v>0.2</v>
      </c>
      <c r="G15" s="16">
        <v>2</v>
      </c>
      <c r="H15" s="16">
        <v>15</v>
      </c>
    </row>
    <row r="16" spans="1:8" x14ac:dyDescent="0.15">
      <c r="A16" s="15" t="s">
        <v>290</v>
      </c>
      <c r="B16" s="13">
        <v>12.3</v>
      </c>
      <c r="C16" s="13"/>
      <c r="D16" s="13">
        <v>2</v>
      </c>
      <c r="E16" s="13"/>
      <c r="F16" s="18">
        <v>2</v>
      </c>
      <c r="G16" s="16">
        <v>31</v>
      </c>
      <c r="H16" s="16">
        <v>7</v>
      </c>
    </row>
    <row r="17" spans="1:8" x14ac:dyDescent="0.15">
      <c r="A17" s="15" t="s">
        <v>291</v>
      </c>
      <c r="B17" s="13">
        <v>146.5</v>
      </c>
      <c r="C17" s="13">
        <v>94</v>
      </c>
      <c r="D17" s="13">
        <v>89</v>
      </c>
      <c r="E17" s="13">
        <v>87</v>
      </c>
      <c r="F17" s="13">
        <v>127</v>
      </c>
      <c r="G17" s="13">
        <v>306</v>
      </c>
      <c r="H17" s="13">
        <v>110</v>
      </c>
    </row>
    <row r="18" spans="1:8" x14ac:dyDescent="0.15">
      <c r="A18" s="15" t="s">
        <v>292</v>
      </c>
      <c r="B18" s="13">
        <v>142.5</v>
      </c>
      <c r="C18" s="13"/>
      <c r="D18" s="13">
        <v>114</v>
      </c>
      <c r="E18" s="13">
        <v>282</v>
      </c>
      <c r="F18" s="13">
        <v>169</v>
      </c>
      <c r="G18" s="13">
        <v>243</v>
      </c>
      <c r="H18" s="16">
        <v>46</v>
      </c>
    </row>
    <row r="19" spans="1:8" x14ac:dyDescent="0.15">
      <c r="A19" s="15" t="s">
        <v>293</v>
      </c>
      <c r="B19" s="13">
        <v>8.3000000000000007</v>
      </c>
      <c r="C19" s="13">
        <v>2</v>
      </c>
      <c r="D19" s="13">
        <v>26</v>
      </c>
      <c r="E19" s="13">
        <v>7</v>
      </c>
      <c r="F19" s="13">
        <v>5</v>
      </c>
      <c r="G19" s="16">
        <v>224</v>
      </c>
      <c r="H19" s="16">
        <v>2</v>
      </c>
    </row>
    <row r="20" spans="1:8" x14ac:dyDescent="0.15">
      <c r="A20" s="15" t="s">
        <v>294</v>
      </c>
      <c r="B20" s="13">
        <v>16.899999999999999</v>
      </c>
      <c r="C20" s="13">
        <v>4</v>
      </c>
      <c r="D20" s="13">
        <v>74</v>
      </c>
      <c r="E20" s="13">
        <v>10</v>
      </c>
      <c r="F20" s="18">
        <v>11</v>
      </c>
      <c r="G20" s="16">
        <v>2</v>
      </c>
      <c r="H20" s="16">
        <v>4</v>
      </c>
    </row>
    <row r="21" spans="1:8" x14ac:dyDescent="0.15">
      <c r="A21" s="15" t="s">
        <v>295</v>
      </c>
      <c r="B21" s="13">
        <v>1.2</v>
      </c>
      <c r="C21" s="13"/>
      <c r="D21" s="13">
        <v>53</v>
      </c>
      <c r="E21" s="13">
        <v>97</v>
      </c>
      <c r="F21" s="17">
        <v>115</v>
      </c>
      <c r="G21" s="13">
        <v>40</v>
      </c>
      <c r="H21" s="16">
        <v>15</v>
      </c>
    </row>
    <row r="22" spans="1:8" x14ac:dyDescent="0.15">
      <c r="A22" s="15" t="s">
        <v>296</v>
      </c>
      <c r="B22" s="13">
        <v>0.7</v>
      </c>
      <c r="C22" s="13">
        <v>31</v>
      </c>
      <c r="D22" s="13">
        <v>10</v>
      </c>
      <c r="E22" s="13">
        <v>57</v>
      </c>
      <c r="F22" s="18">
        <v>6</v>
      </c>
      <c r="G22" s="16">
        <v>5</v>
      </c>
      <c r="H22" s="16">
        <v>5</v>
      </c>
    </row>
    <row r="23" spans="1:8" x14ac:dyDescent="0.15">
      <c r="A23" s="15" t="s">
        <v>297</v>
      </c>
      <c r="B23" s="13"/>
      <c r="C23" s="13"/>
      <c r="D23" s="13"/>
      <c r="E23" s="13"/>
      <c r="F23" s="17"/>
      <c r="G23" s="16">
        <v>28</v>
      </c>
      <c r="H23" s="16"/>
    </row>
    <row r="24" spans="1:8" x14ac:dyDescent="0.15">
      <c r="A24" s="15" t="s">
        <v>298</v>
      </c>
      <c r="B24" s="13">
        <v>45.5</v>
      </c>
      <c r="C24" s="13">
        <v>9</v>
      </c>
      <c r="D24" s="13">
        <v>2</v>
      </c>
      <c r="E24" s="13">
        <v>14</v>
      </c>
      <c r="F24" s="18">
        <v>1</v>
      </c>
      <c r="G24" s="16">
        <v>58</v>
      </c>
      <c r="H24" s="16">
        <v>7</v>
      </c>
    </row>
    <row r="25" spans="1:8" x14ac:dyDescent="0.15">
      <c r="A25" s="15" t="s">
        <v>299</v>
      </c>
      <c r="B25" s="13">
        <v>2.4</v>
      </c>
      <c r="C25" s="13">
        <v>40</v>
      </c>
      <c r="D25" s="13">
        <v>1</v>
      </c>
      <c r="E25" s="13">
        <v>73</v>
      </c>
      <c r="F25" s="13">
        <v>30</v>
      </c>
      <c r="G25" s="16">
        <v>2</v>
      </c>
      <c r="H25" s="16">
        <v>8</v>
      </c>
    </row>
    <row r="26" spans="1:8" x14ac:dyDescent="0.15">
      <c r="A26" s="15" t="s">
        <v>300</v>
      </c>
      <c r="B26" s="13"/>
      <c r="C26" s="13"/>
      <c r="D26" s="13"/>
      <c r="E26" s="13"/>
      <c r="F26" s="17"/>
      <c r="G26" s="16"/>
      <c r="H26" s="16"/>
    </row>
    <row r="27" spans="1:8" x14ac:dyDescent="0.15">
      <c r="A27" s="15" t="s">
        <v>301</v>
      </c>
      <c r="B27" s="13">
        <v>5.6</v>
      </c>
      <c r="C27" s="13"/>
      <c r="D27" s="13"/>
      <c r="E27" s="13"/>
      <c r="F27" s="17"/>
      <c r="G27" s="16"/>
      <c r="H27" s="16">
        <v>0.3</v>
      </c>
    </row>
    <row r="28" spans="1:8" x14ac:dyDescent="0.15">
      <c r="A28" s="15" t="s">
        <v>302</v>
      </c>
      <c r="B28" s="13"/>
      <c r="C28" s="13">
        <v>2</v>
      </c>
      <c r="D28" s="13">
        <v>1</v>
      </c>
      <c r="E28" s="13"/>
      <c r="F28" s="17"/>
      <c r="G28" s="16"/>
      <c r="H28" s="16"/>
    </row>
    <row r="29" spans="1:8" x14ac:dyDescent="0.15">
      <c r="A29" s="15" t="s">
        <v>303</v>
      </c>
      <c r="B29" s="13">
        <v>15.6</v>
      </c>
      <c r="C29" s="13"/>
      <c r="D29" s="13">
        <v>58</v>
      </c>
      <c r="E29" s="13">
        <v>13</v>
      </c>
      <c r="F29" s="18">
        <v>1</v>
      </c>
      <c r="G29" s="16">
        <v>2</v>
      </c>
      <c r="H29" s="16">
        <v>28</v>
      </c>
    </row>
    <row r="30" spans="1:8" x14ac:dyDescent="0.15">
      <c r="A30" s="15" t="s">
        <v>304</v>
      </c>
      <c r="B30" s="13"/>
      <c r="C30" s="13"/>
      <c r="D30" s="13"/>
      <c r="E30" s="13"/>
      <c r="F30" s="18">
        <v>34</v>
      </c>
      <c r="G30" s="16"/>
      <c r="H30" s="16">
        <v>6</v>
      </c>
    </row>
    <row r="31" spans="1:8" x14ac:dyDescent="0.15">
      <c r="A31" s="15" t="s">
        <v>305</v>
      </c>
      <c r="B31" s="13">
        <v>25</v>
      </c>
      <c r="C31" s="13"/>
      <c r="D31" s="13"/>
      <c r="E31" s="13"/>
      <c r="F31" s="17"/>
      <c r="G31" s="16"/>
      <c r="H31" s="16"/>
    </row>
    <row r="32" spans="1:8" x14ac:dyDescent="0.15">
      <c r="A32" s="15" t="s">
        <v>306</v>
      </c>
      <c r="B32" s="13">
        <v>11.6</v>
      </c>
      <c r="C32" s="13"/>
      <c r="D32" s="13"/>
      <c r="E32" s="13">
        <v>18</v>
      </c>
      <c r="F32" s="18">
        <v>18</v>
      </c>
      <c r="G32" s="16">
        <v>27</v>
      </c>
      <c r="H32" s="16"/>
    </row>
    <row r="33" spans="1:8" x14ac:dyDescent="0.15">
      <c r="A33" s="15" t="s">
        <v>307</v>
      </c>
      <c r="B33" s="13">
        <v>81.900000000000006</v>
      </c>
      <c r="C33" s="13">
        <v>142</v>
      </c>
      <c r="D33" s="13">
        <v>3</v>
      </c>
      <c r="E33" s="13">
        <v>110</v>
      </c>
      <c r="F33" s="18">
        <v>6</v>
      </c>
      <c r="G33" s="16">
        <v>29</v>
      </c>
      <c r="H33" s="16">
        <v>20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6"/>
  <sheetViews>
    <sheetView tabSelected="1" topLeftCell="A13" workbookViewId="0">
      <selection activeCell="J24" sqref="J24"/>
    </sheetView>
  </sheetViews>
  <sheetFormatPr defaultColWidth="9.25" defaultRowHeight="13.5" x14ac:dyDescent="0.15"/>
  <cols>
    <col min="1" max="1" width="32.375" bestFit="1" customWidth="1"/>
    <col min="2" max="22" width="8.875" customWidth="1"/>
    <col min="23" max="23" width="8.5" bestFit="1" customWidth="1"/>
    <col min="24" max="24" width="8" bestFit="1" customWidth="1"/>
    <col min="25" max="25" width="10.75" bestFit="1" customWidth="1"/>
  </cols>
  <sheetData>
    <row r="1" spans="1:25" x14ac:dyDescent="0.15">
      <c r="A1" s="1" t="s">
        <v>329</v>
      </c>
    </row>
    <row r="2" spans="1:25" x14ac:dyDescent="0.15">
      <c r="A2" s="8"/>
      <c r="B2" s="9">
        <v>2002</v>
      </c>
      <c r="C2" s="9">
        <v>2003</v>
      </c>
      <c r="D2" s="9">
        <v>2004</v>
      </c>
      <c r="E2" s="9">
        <v>2005</v>
      </c>
      <c r="F2" s="9">
        <v>2006</v>
      </c>
      <c r="G2" s="9">
        <v>2007</v>
      </c>
      <c r="H2" s="9">
        <v>2008</v>
      </c>
      <c r="I2" s="9">
        <v>2009</v>
      </c>
      <c r="J2" s="9">
        <v>2010</v>
      </c>
      <c r="K2" s="9">
        <v>2011</v>
      </c>
      <c r="L2" s="9">
        <v>2012</v>
      </c>
      <c r="M2" s="9">
        <v>2013</v>
      </c>
      <c r="N2" s="9">
        <v>2014</v>
      </c>
      <c r="O2" s="9">
        <v>2015</v>
      </c>
      <c r="P2" s="9">
        <v>2016</v>
      </c>
      <c r="Q2" s="9">
        <v>2017</v>
      </c>
      <c r="R2" s="9">
        <v>2018</v>
      </c>
      <c r="S2" s="9">
        <v>2019</v>
      </c>
      <c r="T2" s="9">
        <v>2020</v>
      </c>
      <c r="U2" s="9">
        <v>2021</v>
      </c>
      <c r="V2" s="9">
        <v>2022</v>
      </c>
    </row>
    <row r="3" spans="1:25" x14ac:dyDescent="0.15">
      <c r="A3" s="8"/>
      <c r="B3" s="10" t="s">
        <v>0</v>
      </c>
      <c r="C3" s="10" t="s">
        <v>0</v>
      </c>
      <c r="D3" s="10" t="s">
        <v>0</v>
      </c>
      <c r="E3" s="10" t="s">
        <v>0</v>
      </c>
      <c r="F3" s="10" t="s">
        <v>0</v>
      </c>
      <c r="G3" s="10" t="s">
        <v>0</v>
      </c>
      <c r="H3" s="10" t="s">
        <v>0</v>
      </c>
      <c r="I3" s="10" t="s">
        <v>0</v>
      </c>
      <c r="J3" s="10" t="s">
        <v>0</v>
      </c>
      <c r="K3" s="10" t="s">
        <v>0</v>
      </c>
      <c r="L3" s="10" t="s">
        <v>0</v>
      </c>
      <c r="M3" s="10" t="s">
        <v>0</v>
      </c>
      <c r="N3" s="10" t="s">
        <v>0</v>
      </c>
      <c r="O3" s="10" t="s">
        <v>0</v>
      </c>
      <c r="P3" s="10" t="s">
        <v>0</v>
      </c>
      <c r="Q3" s="10" t="s">
        <v>0</v>
      </c>
      <c r="R3" s="10" t="s">
        <v>0</v>
      </c>
      <c r="S3" s="10" t="s">
        <v>0</v>
      </c>
      <c r="T3" s="10" t="s">
        <v>0</v>
      </c>
      <c r="U3" s="10" t="s">
        <v>0</v>
      </c>
      <c r="V3" s="10" t="s">
        <v>0</v>
      </c>
    </row>
    <row r="4" spans="1:25" x14ac:dyDescent="0.15">
      <c r="A4" s="5" t="s">
        <v>331</v>
      </c>
      <c r="B4" s="11">
        <v>134</v>
      </c>
      <c r="C4" s="11">
        <v>57</v>
      </c>
      <c r="D4" s="11">
        <v>191</v>
      </c>
      <c r="E4" s="11">
        <v>624</v>
      </c>
      <c r="F4" s="11">
        <v>563</v>
      </c>
      <c r="G4" s="11">
        <v>577</v>
      </c>
      <c r="H4" s="11">
        <v>321</v>
      </c>
      <c r="I4" s="11">
        <v>127</v>
      </c>
      <c r="J4" s="11">
        <v>124</v>
      </c>
      <c r="K4" s="11">
        <v>237</v>
      </c>
      <c r="L4" s="11">
        <v>247</v>
      </c>
      <c r="M4" s="11">
        <v>440</v>
      </c>
      <c r="N4" s="11">
        <v>945</v>
      </c>
      <c r="O4" s="11">
        <v>696</v>
      </c>
      <c r="P4" s="11">
        <v>214</v>
      </c>
      <c r="Q4" s="11">
        <v>570</v>
      </c>
      <c r="R4" s="11">
        <v>882</v>
      </c>
      <c r="S4" s="11">
        <v>631</v>
      </c>
      <c r="T4" s="11">
        <v>825</v>
      </c>
      <c r="U4" s="11">
        <v>771</v>
      </c>
      <c r="V4" s="11">
        <v>697.9</v>
      </c>
    </row>
    <row r="6" spans="1:25" x14ac:dyDescent="0.15">
      <c r="A6" s="1" t="s">
        <v>330</v>
      </c>
    </row>
    <row r="7" spans="1:25" x14ac:dyDescent="0.15">
      <c r="A7" t="s">
        <v>1</v>
      </c>
    </row>
    <row r="8" spans="1:25" x14ac:dyDescent="0.15">
      <c r="B8" s="24" t="s">
        <v>335</v>
      </c>
    </row>
    <row r="9" spans="1:25" s="23" customFormat="1" x14ac:dyDescent="0.15">
      <c r="A9"/>
      <c r="B9">
        <v>1991</v>
      </c>
      <c r="C9">
        <v>1994</v>
      </c>
      <c r="D9">
        <v>1995</v>
      </c>
      <c r="E9">
        <v>1996</v>
      </c>
      <c r="F9">
        <v>1997</v>
      </c>
      <c r="G9">
        <v>1998</v>
      </c>
      <c r="H9">
        <v>1999</v>
      </c>
      <c r="I9">
        <v>2000</v>
      </c>
      <c r="J9" t="s">
        <v>3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1:25" x14ac:dyDescent="0.15">
      <c r="A10" t="s">
        <v>4</v>
      </c>
      <c r="B10">
        <v>69</v>
      </c>
      <c r="C10">
        <v>66</v>
      </c>
      <c r="D10">
        <v>66</v>
      </c>
      <c r="E10">
        <v>51</v>
      </c>
      <c r="F10">
        <v>194</v>
      </c>
      <c r="G10">
        <v>125</v>
      </c>
      <c r="H10">
        <v>1531</v>
      </c>
      <c r="I10">
        <v>54</v>
      </c>
      <c r="J10">
        <v>2156</v>
      </c>
    </row>
    <row r="12" spans="1:25" x14ac:dyDescent="0.15">
      <c r="A12" s="1" t="s">
        <v>330</v>
      </c>
    </row>
    <row r="13" spans="1:25" x14ac:dyDescent="0.15">
      <c r="A13" s="1" t="s">
        <v>336</v>
      </c>
    </row>
    <row r="14" spans="1:25" x14ac:dyDescent="0.15">
      <c r="B14" s="24" t="s">
        <v>335</v>
      </c>
    </row>
    <row r="15" spans="1:25" x14ac:dyDescent="0.15">
      <c r="B15">
        <v>2023</v>
      </c>
      <c r="C15">
        <v>2024</v>
      </c>
      <c r="D15">
        <v>2025</v>
      </c>
      <c r="E15">
        <v>2026</v>
      </c>
      <c r="F15" t="s">
        <v>3</v>
      </c>
    </row>
    <row r="16" spans="1:25" x14ac:dyDescent="0.15">
      <c r="A16" t="s">
        <v>4</v>
      </c>
      <c r="B16">
        <v>16676</v>
      </c>
      <c r="C16">
        <v>18575.5</v>
      </c>
      <c r="D16">
        <v>5710</v>
      </c>
      <c r="E16">
        <v>1300</v>
      </c>
      <c r="F16">
        <v>42261.5</v>
      </c>
    </row>
    <row r="19" spans="2:10" x14ac:dyDescent="0.15">
      <c r="B19" s="27" t="s">
        <v>337</v>
      </c>
      <c r="C19" s="27"/>
      <c r="D19" s="27"/>
      <c r="E19" s="27"/>
      <c r="F19" s="27"/>
      <c r="G19" s="27"/>
    </row>
    <row r="20" spans="2:10" x14ac:dyDescent="0.15">
      <c r="B20" s="5" t="s">
        <v>328</v>
      </c>
      <c r="C20" s="5" t="s">
        <v>332</v>
      </c>
      <c r="D20" s="5" t="s">
        <v>326</v>
      </c>
      <c r="E20" s="5" t="s">
        <v>325</v>
      </c>
      <c r="F20" s="5" t="s">
        <v>327</v>
      </c>
      <c r="G20" s="5" t="s">
        <v>334</v>
      </c>
      <c r="I20" s="1" t="s">
        <v>333</v>
      </c>
    </row>
    <row r="21" spans="2:10" x14ac:dyDescent="0.15">
      <c r="B21" s="8">
        <v>1990</v>
      </c>
      <c r="C21" s="8">
        <f t="shared" ref="C21:C57" si="0">B21+I$21</f>
        <v>2025</v>
      </c>
      <c r="D21" s="25">
        <f>IFERROR(HLOOKUP(B21,$B$9:$I$10,2,FALSE),0)</f>
        <v>0</v>
      </c>
      <c r="E21" s="4">
        <f>IFERROR(HLOOKUP(B21,$B$2:$V$4,3,FALSE),0)*10</f>
        <v>0</v>
      </c>
      <c r="F21" s="4">
        <f>IFERROR(HLOOKUP(B21,$B$15:$E$16,2,FALSE),0)</f>
        <v>0</v>
      </c>
      <c r="G21" s="25">
        <f>SUM(D21:F21)</f>
        <v>0</v>
      </c>
      <c r="I21">
        <v>35</v>
      </c>
    </row>
    <row r="22" spans="2:10" x14ac:dyDescent="0.15">
      <c r="B22" s="8">
        <v>1991</v>
      </c>
      <c r="C22" s="8">
        <f t="shared" si="0"/>
        <v>2026</v>
      </c>
      <c r="D22" s="25">
        <f t="shared" ref="D22:D57" si="1">IFERROR(HLOOKUP(B22,$B$9:$I$10,2,FALSE),0)</f>
        <v>69</v>
      </c>
      <c r="E22" s="4">
        <f t="shared" ref="E22:E57" si="2">IFERROR(HLOOKUP(B22,$B$2:$V$4,3,FALSE),0)*10</f>
        <v>0</v>
      </c>
      <c r="F22" s="4">
        <f t="shared" ref="F22:F57" si="3">IFERROR(HLOOKUP(B22,$B$15:$E$16,2,FALSE),0)</f>
        <v>0</v>
      </c>
      <c r="G22" s="25">
        <f t="shared" ref="G22:G57" si="4">SUM(D22:F22)</f>
        <v>69</v>
      </c>
      <c r="I22" s="1" t="s">
        <v>338</v>
      </c>
    </row>
    <row r="23" spans="2:10" x14ac:dyDescent="0.15">
      <c r="B23" s="8">
        <v>1992</v>
      </c>
      <c r="C23" s="8">
        <f t="shared" si="0"/>
        <v>2027</v>
      </c>
      <c r="D23" s="25">
        <f t="shared" si="1"/>
        <v>0</v>
      </c>
      <c r="E23" s="4">
        <f t="shared" si="2"/>
        <v>0</v>
      </c>
      <c r="F23" s="4">
        <f t="shared" si="3"/>
        <v>0</v>
      </c>
      <c r="G23" s="25">
        <f t="shared" si="4"/>
        <v>0</v>
      </c>
      <c r="I23">
        <v>0.2</v>
      </c>
      <c r="J23">
        <v>0.8</v>
      </c>
    </row>
    <row r="24" spans="2:10" x14ac:dyDescent="0.15">
      <c r="B24" s="8">
        <v>1993</v>
      </c>
      <c r="C24" s="8">
        <f t="shared" si="0"/>
        <v>2028</v>
      </c>
      <c r="D24" s="25">
        <f t="shared" si="1"/>
        <v>0</v>
      </c>
      <c r="E24" s="4">
        <f t="shared" si="2"/>
        <v>0</v>
      </c>
      <c r="F24" s="4">
        <f t="shared" si="3"/>
        <v>0</v>
      </c>
      <c r="G24" s="25">
        <f t="shared" si="4"/>
        <v>0</v>
      </c>
    </row>
    <row r="25" spans="2:10" x14ac:dyDescent="0.15">
      <c r="B25" s="8">
        <v>1994</v>
      </c>
      <c r="C25" s="8">
        <f t="shared" si="0"/>
        <v>2029</v>
      </c>
      <c r="D25" s="25">
        <f t="shared" si="1"/>
        <v>66</v>
      </c>
      <c r="E25" s="4">
        <f t="shared" si="2"/>
        <v>0</v>
      </c>
      <c r="F25" s="4">
        <f t="shared" si="3"/>
        <v>0</v>
      </c>
      <c r="G25" s="25">
        <f t="shared" si="4"/>
        <v>66</v>
      </c>
    </row>
    <row r="26" spans="2:10" x14ac:dyDescent="0.15">
      <c r="B26" s="8">
        <v>1995</v>
      </c>
      <c r="C26" s="8">
        <f t="shared" si="0"/>
        <v>2030</v>
      </c>
      <c r="D26" s="25">
        <f t="shared" si="1"/>
        <v>66</v>
      </c>
      <c r="E26" s="4">
        <f t="shared" si="2"/>
        <v>0</v>
      </c>
      <c r="F26" s="4">
        <f t="shared" si="3"/>
        <v>0</v>
      </c>
      <c r="G26" s="25">
        <f t="shared" si="4"/>
        <v>66</v>
      </c>
    </row>
    <row r="27" spans="2:10" x14ac:dyDescent="0.15">
      <c r="B27" s="8">
        <v>1996</v>
      </c>
      <c r="C27" s="8">
        <f t="shared" si="0"/>
        <v>2031</v>
      </c>
      <c r="D27" s="25">
        <f t="shared" si="1"/>
        <v>51</v>
      </c>
      <c r="E27" s="4">
        <f t="shared" si="2"/>
        <v>0</v>
      </c>
      <c r="F27" s="4">
        <f t="shared" si="3"/>
        <v>0</v>
      </c>
      <c r="G27" s="25">
        <f t="shared" si="4"/>
        <v>51</v>
      </c>
    </row>
    <row r="28" spans="2:10" x14ac:dyDescent="0.15">
      <c r="B28" s="8">
        <v>1997</v>
      </c>
      <c r="C28" s="8">
        <f t="shared" si="0"/>
        <v>2032</v>
      </c>
      <c r="D28" s="25">
        <f t="shared" si="1"/>
        <v>194</v>
      </c>
      <c r="E28" s="4">
        <f t="shared" si="2"/>
        <v>0</v>
      </c>
      <c r="F28" s="4">
        <f t="shared" si="3"/>
        <v>0</v>
      </c>
      <c r="G28" s="25">
        <f t="shared" si="4"/>
        <v>194</v>
      </c>
    </row>
    <row r="29" spans="2:10" x14ac:dyDescent="0.15">
      <c r="B29" s="8">
        <v>1998</v>
      </c>
      <c r="C29" s="8">
        <f t="shared" si="0"/>
        <v>2033</v>
      </c>
      <c r="D29" s="25">
        <f t="shared" si="1"/>
        <v>125</v>
      </c>
      <c r="E29" s="4">
        <f t="shared" si="2"/>
        <v>0</v>
      </c>
      <c r="F29" s="4">
        <f t="shared" si="3"/>
        <v>0</v>
      </c>
      <c r="G29" s="25">
        <f t="shared" si="4"/>
        <v>125</v>
      </c>
    </row>
    <row r="30" spans="2:10" x14ac:dyDescent="0.15">
      <c r="B30" s="8">
        <v>1999</v>
      </c>
      <c r="C30" s="8">
        <f t="shared" si="0"/>
        <v>2034</v>
      </c>
      <c r="D30" s="25">
        <f t="shared" si="1"/>
        <v>1531</v>
      </c>
      <c r="E30" s="4">
        <f t="shared" si="2"/>
        <v>0</v>
      </c>
      <c r="F30" s="4">
        <f t="shared" si="3"/>
        <v>0</v>
      </c>
      <c r="G30" s="25">
        <f t="shared" si="4"/>
        <v>1531</v>
      </c>
    </row>
    <row r="31" spans="2:10" x14ac:dyDescent="0.15">
      <c r="B31" s="8">
        <v>2000</v>
      </c>
      <c r="C31" s="8">
        <f t="shared" si="0"/>
        <v>2035</v>
      </c>
      <c r="D31" s="25">
        <f t="shared" si="1"/>
        <v>54</v>
      </c>
      <c r="E31" s="4">
        <f t="shared" si="2"/>
        <v>0</v>
      </c>
      <c r="F31" s="4">
        <f t="shared" si="3"/>
        <v>0</v>
      </c>
      <c r="G31" s="25">
        <f t="shared" si="4"/>
        <v>54</v>
      </c>
    </row>
    <row r="32" spans="2:10" x14ac:dyDescent="0.15">
      <c r="B32" s="8">
        <v>2001</v>
      </c>
      <c r="C32" s="8">
        <f t="shared" si="0"/>
        <v>2036</v>
      </c>
      <c r="D32" s="25">
        <f t="shared" si="1"/>
        <v>0</v>
      </c>
      <c r="E32" s="4">
        <f t="shared" si="2"/>
        <v>0</v>
      </c>
      <c r="F32" s="4">
        <f t="shared" si="3"/>
        <v>0</v>
      </c>
      <c r="G32" s="25">
        <f t="shared" si="4"/>
        <v>0</v>
      </c>
    </row>
    <row r="33" spans="2:12" x14ac:dyDescent="0.15">
      <c r="B33" s="8">
        <v>2002</v>
      </c>
      <c r="C33" s="8">
        <f t="shared" si="0"/>
        <v>2037</v>
      </c>
      <c r="D33" s="25">
        <f t="shared" si="1"/>
        <v>0</v>
      </c>
      <c r="E33" s="4">
        <f t="shared" si="2"/>
        <v>1340</v>
      </c>
      <c r="F33" s="4">
        <f t="shared" si="3"/>
        <v>0</v>
      </c>
      <c r="G33" s="25">
        <f t="shared" si="4"/>
        <v>1340</v>
      </c>
    </row>
    <row r="34" spans="2:12" x14ac:dyDescent="0.15">
      <c r="B34" s="8">
        <v>2003</v>
      </c>
      <c r="C34" s="8">
        <f t="shared" si="0"/>
        <v>2038</v>
      </c>
      <c r="D34" s="25">
        <f t="shared" si="1"/>
        <v>0</v>
      </c>
      <c r="E34" s="4">
        <f t="shared" si="2"/>
        <v>570</v>
      </c>
      <c r="F34" s="4">
        <f t="shared" si="3"/>
        <v>0</v>
      </c>
      <c r="G34" s="25">
        <f t="shared" si="4"/>
        <v>570</v>
      </c>
    </row>
    <row r="35" spans="2:12" x14ac:dyDescent="0.15">
      <c r="B35" s="8">
        <v>2004</v>
      </c>
      <c r="C35" s="8">
        <f t="shared" si="0"/>
        <v>2039</v>
      </c>
      <c r="D35" s="25">
        <f t="shared" si="1"/>
        <v>0</v>
      </c>
      <c r="E35" s="4">
        <f t="shared" si="2"/>
        <v>1910</v>
      </c>
      <c r="F35" s="4">
        <f t="shared" si="3"/>
        <v>0</v>
      </c>
      <c r="G35" s="25">
        <f t="shared" si="4"/>
        <v>1910</v>
      </c>
    </row>
    <row r="36" spans="2:12" x14ac:dyDescent="0.15">
      <c r="B36" s="8">
        <v>2005</v>
      </c>
      <c r="C36" s="8">
        <f t="shared" si="0"/>
        <v>2040</v>
      </c>
      <c r="D36" s="25">
        <f t="shared" si="1"/>
        <v>0</v>
      </c>
      <c r="E36" s="4">
        <f t="shared" si="2"/>
        <v>6240</v>
      </c>
      <c r="F36" s="4">
        <f t="shared" si="3"/>
        <v>0</v>
      </c>
      <c r="G36" s="25">
        <f t="shared" si="4"/>
        <v>6240</v>
      </c>
    </row>
    <row r="37" spans="2:12" x14ac:dyDescent="0.15">
      <c r="B37" s="8">
        <v>2006</v>
      </c>
      <c r="C37" s="8">
        <f t="shared" si="0"/>
        <v>2041</v>
      </c>
      <c r="D37" s="25">
        <f t="shared" si="1"/>
        <v>0</v>
      </c>
      <c r="E37" s="4">
        <f t="shared" si="2"/>
        <v>5630</v>
      </c>
      <c r="F37" s="4">
        <f t="shared" si="3"/>
        <v>0</v>
      </c>
      <c r="G37" s="25">
        <f t="shared" si="4"/>
        <v>5630</v>
      </c>
    </row>
    <row r="38" spans="2:12" x14ac:dyDescent="0.15">
      <c r="B38" s="8">
        <v>2007</v>
      </c>
      <c r="C38" s="8">
        <f t="shared" si="0"/>
        <v>2042</v>
      </c>
      <c r="D38" s="25">
        <f t="shared" si="1"/>
        <v>0</v>
      </c>
      <c r="E38" s="4">
        <f t="shared" si="2"/>
        <v>5770</v>
      </c>
      <c r="F38" s="4">
        <f t="shared" si="3"/>
        <v>0</v>
      </c>
      <c r="G38" s="25">
        <f t="shared" si="4"/>
        <v>5770</v>
      </c>
      <c r="L38" s="20"/>
    </row>
    <row r="39" spans="2:12" x14ac:dyDescent="0.15">
      <c r="B39" s="8">
        <v>2008</v>
      </c>
      <c r="C39" s="8">
        <f t="shared" si="0"/>
        <v>2043</v>
      </c>
      <c r="D39" s="25">
        <f t="shared" si="1"/>
        <v>0</v>
      </c>
      <c r="E39" s="4">
        <f t="shared" si="2"/>
        <v>3210</v>
      </c>
      <c r="F39" s="4">
        <f t="shared" si="3"/>
        <v>0</v>
      </c>
      <c r="G39" s="25">
        <f t="shared" si="4"/>
        <v>3210</v>
      </c>
      <c r="L39" s="20"/>
    </row>
    <row r="40" spans="2:12" x14ac:dyDescent="0.15">
      <c r="B40" s="8">
        <v>2009</v>
      </c>
      <c r="C40" s="8">
        <f t="shared" si="0"/>
        <v>2044</v>
      </c>
      <c r="D40" s="25">
        <f t="shared" si="1"/>
        <v>0</v>
      </c>
      <c r="E40" s="4">
        <f t="shared" si="2"/>
        <v>1270</v>
      </c>
      <c r="F40" s="4">
        <f t="shared" si="3"/>
        <v>0</v>
      </c>
      <c r="G40" s="25">
        <f t="shared" si="4"/>
        <v>1270</v>
      </c>
    </row>
    <row r="41" spans="2:12" x14ac:dyDescent="0.15">
      <c r="B41" s="8">
        <v>2010</v>
      </c>
      <c r="C41" s="8">
        <f t="shared" si="0"/>
        <v>2045</v>
      </c>
      <c r="D41" s="25">
        <f t="shared" si="1"/>
        <v>0</v>
      </c>
      <c r="E41" s="4">
        <f t="shared" si="2"/>
        <v>1240</v>
      </c>
      <c r="F41" s="4">
        <f t="shared" si="3"/>
        <v>0</v>
      </c>
      <c r="G41" s="25">
        <f t="shared" si="4"/>
        <v>1240</v>
      </c>
    </row>
    <row r="42" spans="2:12" x14ac:dyDescent="0.15">
      <c r="B42" s="8">
        <v>2011</v>
      </c>
      <c r="C42" s="8">
        <f t="shared" si="0"/>
        <v>2046</v>
      </c>
      <c r="D42" s="25">
        <f t="shared" si="1"/>
        <v>0</v>
      </c>
      <c r="E42" s="4">
        <f t="shared" si="2"/>
        <v>2370</v>
      </c>
      <c r="F42" s="4">
        <f t="shared" si="3"/>
        <v>0</v>
      </c>
      <c r="G42" s="25">
        <f t="shared" si="4"/>
        <v>2370</v>
      </c>
    </row>
    <row r="43" spans="2:12" x14ac:dyDescent="0.15">
      <c r="B43" s="8">
        <v>2012</v>
      </c>
      <c r="C43" s="8">
        <f t="shared" si="0"/>
        <v>2047</v>
      </c>
      <c r="D43" s="25">
        <f t="shared" si="1"/>
        <v>0</v>
      </c>
      <c r="E43" s="4">
        <f t="shared" si="2"/>
        <v>2470</v>
      </c>
      <c r="F43" s="4">
        <f t="shared" si="3"/>
        <v>0</v>
      </c>
      <c r="G43" s="25">
        <f t="shared" si="4"/>
        <v>2470</v>
      </c>
    </row>
    <row r="44" spans="2:12" x14ac:dyDescent="0.15">
      <c r="B44" s="8">
        <v>2013</v>
      </c>
      <c r="C44" s="8">
        <f t="shared" si="0"/>
        <v>2048</v>
      </c>
      <c r="D44" s="25">
        <f t="shared" si="1"/>
        <v>0</v>
      </c>
      <c r="E44" s="4">
        <f t="shared" si="2"/>
        <v>4400</v>
      </c>
      <c r="F44" s="4">
        <f t="shared" si="3"/>
        <v>0</v>
      </c>
      <c r="G44" s="25">
        <f t="shared" si="4"/>
        <v>4400</v>
      </c>
    </row>
    <row r="45" spans="2:12" x14ac:dyDescent="0.15">
      <c r="B45" s="8">
        <v>2014</v>
      </c>
      <c r="C45" s="8">
        <f t="shared" si="0"/>
        <v>2049</v>
      </c>
      <c r="D45" s="25">
        <f t="shared" si="1"/>
        <v>0</v>
      </c>
      <c r="E45" s="4">
        <f t="shared" si="2"/>
        <v>9450</v>
      </c>
      <c r="F45" s="4">
        <f t="shared" si="3"/>
        <v>0</v>
      </c>
      <c r="G45" s="25">
        <f t="shared" si="4"/>
        <v>9450</v>
      </c>
    </row>
    <row r="46" spans="2:12" x14ac:dyDescent="0.15">
      <c r="B46" s="8">
        <v>2015</v>
      </c>
      <c r="C46" s="8">
        <f t="shared" si="0"/>
        <v>2050</v>
      </c>
      <c r="D46" s="25">
        <f t="shared" si="1"/>
        <v>0</v>
      </c>
      <c r="E46" s="4">
        <f t="shared" si="2"/>
        <v>6960</v>
      </c>
      <c r="F46" s="4">
        <f t="shared" si="3"/>
        <v>0</v>
      </c>
      <c r="G46" s="25">
        <f t="shared" si="4"/>
        <v>6960</v>
      </c>
    </row>
    <row r="47" spans="2:12" x14ac:dyDescent="0.15">
      <c r="B47" s="8">
        <v>2016</v>
      </c>
      <c r="C47" s="8">
        <f t="shared" si="0"/>
        <v>2051</v>
      </c>
      <c r="D47" s="25">
        <f t="shared" si="1"/>
        <v>0</v>
      </c>
      <c r="E47" s="4">
        <f t="shared" si="2"/>
        <v>2140</v>
      </c>
      <c r="F47" s="4">
        <f t="shared" si="3"/>
        <v>0</v>
      </c>
      <c r="G47" s="25">
        <f t="shared" si="4"/>
        <v>2140</v>
      </c>
    </row>
    <row r="48" spans="2:12" x14ac:dyDescent="0.15">
      <c r="B48" s="8">
        <v>2017</v>
      </c>
      <c r="C48" s="8">
        <f t="shared" si="0"/>
        <v>2052</v>
      </c>
      <c r="D48" s="25">
        <f t="shared" si="1"/>
        <v>0</v>
      </c>
      <c r="E48" s="4">
        <f t="shared" si="2"/>
        <v>5700</v>
      </c>
      <c r="F48" s="4">
        <f t="shared" si="3"/>
        <v>0</v>
      </c>
      <c r="G48" s="25">
        <f t="shared" si="4"/>
        <v>5700</v>
      </c>
    </row>
    <row r="49" spans="2:7" x14ac:dyDescent="0.15">
      <c r="B49" s="8">
        <v>2018</v>
      </c>
      <c r="C49" s="8">
        <f t="shared" si="0"/>
        <v>2053</v>
      </c>
      <c r="D49" s="25">
        <f t="shared" si="1"/>
        <v>0</v>
      </c>
      <c r="E49" s="4">
        <f t="shared" si="2"/>
        <v>8820</v>
      </c>
      <c r="F49" s="4">
        <f t="shared" si="3"/>
        <v>0</v>
      </c>
      <c r="G49" s="25">
        <f t="shared" si="4"/>
        <v>8820</v>
      </c>
    </row>
    <row r="50" spans="2:7" x14ac:dyDescent="0.15">
      <c r="B50" s="8">
        <v>2019</v>
      </c>
      <c r="C50" s="8">
        <f t="shared" si="0"/>
        <v>2054</v>
      </c>
      <c r="D50" s="25">
        <f t="shared" si="1"/>
        <v>0</v>
      </c>
      <c r="E50" s="4">
        <f t="shared" si="2"/>
        <v>6310</v>
      </c>
      <c r="F50" s="4">
        <f t="shared" si="3"/>
        <v>0</v>
      </c>
      <c r="G50" s="25">
        <f t="shared" si="4"/>
        <v>6310</v>
      </c>
    </row>
    <row r="51" spans="2:7" x14ac:dyDescent="0.15">
      <c r="B51" s="8">
        <v>2020</v>
      </c>
      <c r="C51" s="8">
        <f t="shared" si="0"/>
        <v>2055</v>
      </c>
      <c r="D51" s="25">
        <f t="shared" si="1"/>
        <v>0</v>
      </c>
      <c r="E51" s="4">
        <f t="shared" si="2"/>
        <v>8250</v>
      </c>
      <c r="F51" s="4">
        <f t="shared" si="3"/>
        <v>0</v>
      </c>
      <c r="G51" s="25">
        <f t="shared" si="4"/>
        <v>8250</v>
      </c>
    </row>
    <row r="52" spans="2:7" x14ac:dyDescent="0.15">
      <c r="B52" s="8">
        <v>2021</v>
      </c>
      <c r="C52" s="8">
        <f t="shared" si="0"/>
        <v>2056</v>
      </c>
      <c r="D52" s="25">
        <f t="shared" si="1"/>
        <v>0</v>
      </c>
      <c r="E52" s="4">
        <f t="shared" si="2"/>
        <v>7710</v>
      </c>
      <c r="F52" s="4">
        <f t="shared" si="3"/>
        <v>0</v>
      </c>
      <c r="G52" s="25">
        <f t="shared" si="4"/>
        <v>7710</v>
      </c>
    </row>
    <row r="53" spans="2:7" x14ac:dyDescent="0.15">
      <c r="B53" s="8">
        <v>2022</v>
      </c>
      <c r="C53" s="8">
        <f t="shared" si="0"/>
        <v>2057</v>
      </c>
      <c r="D53" s="25">
        <f t="shared" si="1"/>
        <v>0</v>
      </c>
      <c r="E53" s="4">
        <f t="shared" si="2"/>
        <v>6979</v>
      </c>
      <c r="F53" s="4">
        <f t="shared" si="3"/>
        <v>0</v>
      </c>
      <c r="G53" s="25">
        <f t="shared" si="4"/>
        <v>6979</v>
      </c>
    </row>
    <row r="54" spans="2:7" x14ac:dyDescent="0.15">
      <c r="B54" s="8">
        <v>2023</v>
      </c>
      <c r="C54" s="8">
        <f t="shared" si="0"/>
        <v>2058</v>
      </c>
      <c r="D54" s="25">
        <f t="shared" si="1"/>
        <v>0</v>
      </c>
      <c r="E54" s="4">
        <f t="shared" si="2"/>
        <v>0</v>
      </c>
      <c r="F54" s="4">
        <f t="shared" si="3"/>
        <v>16676</v>
      </c>
      <c r="G54" s="25">
        <f t="shared" si="4"/>
        <v>16676</v>
      </c>
    </row>
    <row r="55" spans="2:7" x14ac:dyDescent="0.15">
      <c r="B55" s="8">
        <v>2024</v>
      </c>
      <c r="C55" s="8">
        <f t="shared" si="0"/>
        <v>2059</v>
      </c>
      <c r="D55" s="25">
        <f t="shared" si="1"/>
        <v>0</v>
      </c>
      <c r="E55" s="4">
        <f t="shared" si="2"/>
        <v>0</v>
      </c>
      <c r="F55" s="4">
        <f t="shared" si="3"/>
        <v>18575.5</v>
      </c>
      <c r="G55" s="25">
        <f t="shared" si="4"/>
        <v>18575.5</v>
      </c>
    </row>
    <row r="56" spans="2:7" x14ac:dyDescent="0.15">
      <c r="B56" s="8">
        <v>2025</v>
      </c>
      <c r="C56" s="8">
        <f t="shared" si="0"/>
        <v>2060</v>
      </c>
      <c r="D56" s="25">
        <f t="shared" si="1"/>
        <v>0</v>
      </c>
      <c r="E56" s="4">
        <f t="shared" si="2"/>
        <v>0</v>
      </c>
      <c r="F56" s="4">
        <f t="shared" si="3"/>
        <v>5710</v>
      </c>
      <c r="G56" s="25">
        <f t="shared" si="4"/>
        <v>5710</v>
      </c>
    </row>
    <row r="57" spans="2:7" x14ac:dyDescent="0.15">
      <c r="B57" s="8">
        <v>2026</v>
      </c>
      <c r="C57" s="8">
        <f t="shared" si="0"/>
        <v>2061</v>
      </c>
      <c r="D57" s="25">
        <f t="shared" si="1"/>
        <v>0</v>
      </c>
      <c r="E57" s="4">
        <f t="shared" si="2"/>
        <v>0</v>
      </c>
      <c r="F57" s="4">
        <f t="shared" si="3"/>
        <v>1300</v>
      </c>
      <c r="G57" s="25">
        <f t="shared" si="4"/>
        <v>1300</v>
      </c>
    </row>
    <row r="58" spans="2:7" x14ac:dyDescent="0.15">
      <c r="D58" s="21"/>
      <c r="E58" s="22"/>
      <c r="F58" s="22"/>
      <c r="G58" s="21"/>
    </row>
    <row r="59" spans="2:7" x14ac:dyDescent="0.15">
      <c r="D59" s="21"/>
      <c r="E59" s="22"/>
      <c r="F59" s="22"/>
      <c r="G59" s="21"/>
    </row>
    <row r="60" spans="2:7" x14ac:dyDescent="0.15">
      <c r="D60" s="21"/>
      <c r="E60" s="22"/>
      <c r="F60" s="22"/>
      <c r="G60" s="21"/>
    </row>
    <row r="61" spans="2:7" x14ac:dyDescent="0.15">
      <c r="D61" s="21"/>
      <c r="E61" s="22"/>
      <c r="F61" s="22"/>
      <c r="G61" s="21"/>
    </row>
    <row r="62" spans="2:7" x14ac:dyDescent="0.15">
      <c r="D62" s="21"/>
      <c r="E62" s="22"/>
      <c r="F62" s="22"/>
      <c r="G62" s="21"/>
    </row>
    <row r="63" spans="2:7" x14ac:dyDescent="0.15">
      <c r="D63" s="21"/>
      <c r="E63" s="22"/>
      <c r="F63" s="22"/>
      <c r="G63" s="21"/>
    </row>
    <row r="64" spans="2:7" x14ac:dyDescent="0.15">
      <c r="D64" s="21"/>
      <c r="E64" s="22"/>
      <c r="F64" s="22"/>
      <c r="G64" s="21"/>
    </row>
    <row r="65" spans="4:7" x14ac:dyDescent="0.15">
      <c r="D65" s="21"/>
      <c r="E65" s="22"/>
      <c r="F65" s="22"/>
      <c r="G65" s="21"/>
    </row>
    <row r="66" spans="4:7" x14ac:dyDescent="0.15">
      <c r="D66" s="21"/>
      <c r="E66" s="22"/>
      <c r="F66" s="22"/>
      <c r="G66" s="21"/>
    </row>
  </sheetData>
  <mergeCells count="1">
    <mergeCell ref="B19:G19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48576"/>
  <sheetViews>
    <sheetView workbookViewId="0">
      <selection sqref="A1:C1048576"/>
    </sheetView>
  </sheetViews>
  <sheetFormatPr defaultColWidth="9.25" defaultRowHeight="13.5" x14ac:dyDescent="0.15"/>
  <cols>
    <col min="1" max="1" width="23.875" style="6" customWidth="1"/>
    <col min="2" max="3" width="9.25" style="6"/>
  </cols>
  <sheetData>
    <row r="1" spans="1:3" ht="40.5" x14ac:dyDescent="0.15">
      <c r="A1" s="7" t="s">
        <v>5</v>
      </c>
      <c r="B1" s="7" t="s">
        <v>2</v>
      </c>
      <c r="C1" s="7" t="s">
        <v>6</v>
      </c>
    </row>
    <row r="2" spans="1:3" x14ac:dyDescent="0.15">
      <c r="A2" s="6" t="s">
        <v>7</v>
      </c>
      <c r="B2" s="6">
        <v>1991</v>
      </c>
      <c r="C2" s="6">
        <v>69</v>
      </c>
    </row>
    <row r="3" spans="1:3" x14ac:dyDescent="0.15">
      <c r="A3" s="6" t="s">
        <v>8</v>
      </c>
      <c r="B3" s="6">
        <v>1994</v>
      </c>
      <c r="C3" s="6">
        <v>66</v>
      </c>
    </row>
    <row r="4" spans="1:3" x14ac:dyDescent="0.15">
      <c r="A4" s="6" t="s">
        <v>8</v>
      </c>
      <c r="B4" s="6">
        <v>1995</v>
      </c>
      <c r="C4" s="6">
        <v>66</v>
      </c>
    </row>
    <row r="5" spans="1:3" x14ac:dyDescent="0.15">
      <c r="A5" s="6" t="s">
        <v>9</v>
      </c>
      <c r="B5" s="6">
        <v>1996</v>
      </c>
      <c r="C5" s="6">
        <v>51</v>
      </c>
    </row>
    <row r="6" spans="1:3" x14ac:dyDescent="0.15">
      <c r="A6" s="6" t="s">
        <v>10</v>
      </c>
      <c r="B6" s="6">
        <v>1997</v>
      </c>
      <c r="C6" s="6">
        <v>125</v>
      </c>
    </row>
    <row r="7" spans="1:3" x14ac:dyDescent="0.15">
      <c r="A7" s="6" t="s">
        <v>7</v>
      </c>
      <c r="B7" s="6">
        <v>1997</v>
      </c>
      <c r="C7" s="6">
        <v>69</v>
      </c>
    </row>
    <row r="8" spans="1:3" x14ac:dyDescent="0.15">
      <c r="A8" s="6" t="s">
        <v>10</v>
      </c>
      <c r="B8" s="6">
        <v>1998</v>
      </c>
      <c r="C8" s="6">
        <v>125</v>
      </c>
    </row>
    <row r="9" spans="1:3" x14ac:dyDescent="0.15">
      <c r="A9" s="6" t="s">
        <v>11</v>
      </c>
      <c r="B9" s="6">
        <v>1999</v>
      </c>
      <c r="C9" s="6">
        <v>845</v>
      </c>
    </row>
    <row r="10" spans="1:3" x14ac:dyDescent="0.15">
      <c r="A10" s="6" t="s">
        <v>12</v>
      </c>
      <c r="B10" s="6">
        <v>1999</v>
      </c>
      <c r="C10" s="6">
        <v>342</v>
      </c>
    </row>
    <row r="11" spans="1:3" x14ac:dyDescent="0.15">
      <c r="A11" s="6" t="s">
        <v>13</v>
      </c>
      <c r="B11" s="6">
        <v>1999</v>
      </c>
      <c r="C11" s="6">
        <v>344</v>
      </c>
    </row>
    <row r="12" spans="1:3" x14ac:dyDescent="0.15">
      <c r="A12" s="6" t="s">
        <v>14</v>
      </c>
      <c r="B12" s="6">
        <v>2000</v>
      </c>
      <c r="C12" s="6">
        <v>54</v>
      </c>
    </row>
    <row r="13" spans="1:3" x14ac:dyDescent="0.15">
      <c r="A13" s="6" t="s">
        <v>15</v>
      </c>
      <c r="B13" s="6">
        <v>2003</v>
      </c>
      <c r="C13" s="6">
        <v>235</v>
      </c>
    </row>
    <row r="14" spans="1:3" x14ac:dyDescent="0.15">
      <c r="A14" s="6" t="s">
        <v>16</v>
      </c>
      <c r="B14" s="6">
        <v>2003</v>
      </c>
      <c r="C14" s="6">
        <v>180</v>
      </c>
    </row>
    <row r="15" spans="1:3" x14ac:dyDescent="0.15">
      <c r="A15" s="6" t="s">
        <v>17</v>
      </c>
      <c r="B15" s="6">
        <v>2003</v>
      </c>
      <c r="C15" s="6">
        <v>180</v>
      </c>
    </row>
    <row r="16" spans="1:3" x14ac:dyDescent="0.15">
      <c r="A16" s="6" t="s">
        <v>18</v>
      </c>
      <c r="B16" s="6">
        <v>2003</v>
      </c>
      <c r="C16" s="6">
        <v>180</v>
      </c>
    </row>
    <row r="17" spans="1:3" x14ac:dyDescent="0.15">
      <c r="A17" s="6" t="s">
        <v>19</v>
      </c>
      <c r="B17" s="6">
        <v>2004</v>
      </c>
      <c r="C17" s="6">
        <v>220</v>
      </c>
    </row>
    <row r="18" spans="1:3" x14ac:dyDescent="0.15">
      <c r="A18" s="6" t="s">
        <v>16</v>
      </c>
      <c r="B18" s="6">
        <v>2004</v>
      </c>
      <c r="C18" s="6">
        <v>180</v>
      </c>
    </row>
    <row r="19" spans="1:3" x14ac:dyDescent="0.15">
      <c r="A19" s="6" t="s">
        <v>20</v>
      </c>
      <c r="B19" s="6">
        <v>2004</v>
      </c>
      <c r="C19" s="6">
        <v>180</v>
      </c>
    </row>
    <row r="20" spans="1:3" x14ac:dyDescent="0.15">
      <c r="A20" s="6" t="s">
        <v>21</v>
      </c>
      <c r="B20" s="6">
        <v>2004</v>
      </c>
      <c r="C20" s="6">
        <v>180</v>
      </c>
    </row>
    <row r="21" spans="1:3" x14ac:dyDescent="0.15">
      <c r="A21" s="6" t="s">
        <v>22</v>
      </c>
      <c r="B21" s="6">
        <v>2004</v>
      </c>
      <c r="C21" s="6">
        <v>180</v>
      </c>
    </row>
    <row r="22" spans="1:3" x14ac:dyDescent="0.15">
      <c r="A22" s="6" t="s">
        <v>7</v>
      </c>
      <c r="B22" s="6">
        <v>2004</v>
      </c>
      <c r="C22" s="6">
        <v>69</v>
      </c>
    </row>
    <row r="23" spans="1:3" x14ac:dyDescent="0.15">
      <c r="A23" s="6" t="s">
        <v>15</v>
      </c>
      <c r="B23" s="6">
        <v>2005</v>
      </c>
      <c r="C23" s="6">
        <v>360</v>
      </c>
    </row>
    <row r="24" spans="1:3" x14ac:dyDescent="0.15">
      <c r="A24" s="6" t="s">
        <v>23</v>
      </c>
      <c r="B24" s="6">
        <v>2005</v>
      </c>
      <c r="C24" s="6">
        <v>180</v>
      </c>
    </row>
    <row r="25" spans="1:3" x14ac:dyDescent="0.15">
      <c r="A25" s="6" t="s">
        <v>23</v>
      </c>
      <c r="B25" s="6">
        <v>2005</v>
      </c>
      <c r="C25" s="6">
        <v>60</v>
      </c>
    </row>
    <row r="26" spans="1:3" x14ac:dyDescent="0.15">
      <c r="A26" s="6" t="s">
        <v>24</v>
      </c>
      <c r="B26" s="6">
        <v>2005</v>
      </c>
      <c r="C26" s="6">
        <v>180</v>
      </c>
    </row>
    <row r="27" spans="1:3" x14ac:dyDescent="0.15">
      <c r="A27" s="6" t="s">
        <v>25</v>
      </c>
      <c r="B27" s="6">
        <v>2005</v>
      </c>
      <c r="C27" s="6">
        <v>390</v>
      </c>
    </row>
    <row r="28" spans="1:3" x14ac:dyDescent="0.15">
      <c r="A28" s="6" t="s">
        <v>26</v>
      </c>
      <c r="B28" s="6">
        <v>2005</v>
      </c>
      <c r="C28" s="6">
        <v>123</v>
      </c>
    </row>
    <row r="29" spans="1:3" x14ac:dyDescent="0.15">
      <c r="A29" s="6" t="s">
        <v>27</v>
      </c>
      <c r="B29" s="6">
        <v>2005</v>
      </c>
      <c r="C29" s="6">
        <v>390</v>
      </c>
    </row>
    <row r="30" spans="1:3" x14ac:dyDescent="0.15">
      <c r="A30" s="6" t="s">
        <v>28</v>
      </c>
      <c r="B30" s="6">
        <v>2005</v>
      </c>
      <c r="C30" s="6">
        <v>390</v>
      </c>
    </row>
    <row r="31" spans="1:3" x14ac:dyDescent="0.15">
      <c r="A31" s="6" t="s">
        <v>29</v>
      </c>
      <c r="B31" s="6">
        <v>2005</v>
      </c>
      <c r="C31" s="6">
        <v>390</v>
      </c>
    </row>
    <row r="32" spans="1:3" x14ac:dyDescent="0.15">
      <c r="A32" s="6" t="s">
        <v>30</v>
      </c>
      <c r="B32" s="6">
        <v>2005</v>
      </c>
      <c r="C32" s="6">
        <v>52</v>
      </c>
    </row>
    <row r="33" spans="1:3" x14ac:dyDescent="0.15">
      <c r="A33" s="6" t="s">
        <v>31</v>
      </c>
      <c r="B33" s="6">
        <v>2005</v>
      </c>
      <c r="C33" s="6">
        <v>56</v>
      </c>
    </row>
    <row r="34" spans="1:3" x14ac:dyDescent="0.15">
      <c r="A34" s="6" t="s">
        <v>32</v>
      </c>
      <c r="B34" s="6">
        <v>2005</v>
      </c>
      <c r="C34" s="6">
        <v>330</v>
      </c>
    </row>
    <row r="35" spans="1:3" x14ac:dyDescent="0.15">
      <c r="A35" s="6" t="s">
        <v>32</v>
      </c>
      <c r="B35" s="6">
        <v>2005</v>
      </c>
      <c r="C35" s="6">
        <v>328</v>
      </c>
    </row>
    <row r="36" spans="1:3" x14ac:dyDescent="0.15">
      <c r="A36" s="6" t="s">
        <v>33</v>
      </c>
      <c r="B36" s="6">
        <v>2005</v>
      </c>
      <c r="C36" s="6">
        <v>180</v>
      </c>
    </row>
    <row r="37" spans="1:3" x14ac:dyDescent="0.15">
      <c r="A37" s="6" t="s">
        <v>34</v>
      </c>
      <c r="B37" s="6">
        <v>2005</v>
      </c>
      <c r="C37" s="6">
        <v>180</v>
      </c>
    </row>
    <row r="38" spans="1:3" x14ac:dyDescent="0.15">
      <c r="A38" s="6" t="s">
        <v>35</v>
      </c>
      <c r="B38" s="6">
        <v>2005</v>
      </c>
      <c r="C38" s="6">
        <v>50</v>
      </c>
    </row>
    <row r="39" spans="1:3" x14ac:dyDescent="0.15">
      <c r="A39" s="6" t="s">
        <v>36</v>
      </c>
      <c r="B39" s="6">
        <v>2005</v>
      </c>
      <c r="C39" s="6">
        <v>186</v>
      </c>
    </row>
    <row r="40" spans="1:3" x14ac:dyDescent="0.15">
      <c r="A40" s="6" t="s">
        <v>37</v>
      </c>
      <c r="B40" s="6">
        <v>2005</v>
      </c>
      <c r="C40" s="6">
        <v>180</v>
      </c>
    </row>
    <row r="41" spans="1:3" x14ac:dyDescent="0.15">
      <c r="A41" s="6" t="s">
        <v>38</v>
      </c>
      <c r="B41" s="6">
        <v>2005</v>
      </c>
      <c r="C41" s="6">
        <v>180</v>
      </c>
    </row>
    <row r="42" spans="1:3" x14ac:dyDescent="0.15">
      <c r="A42" s="6" t="s">
        <v>39</v>
      </c>
      <c r="B42" s="6">
        <v>2006</v>
      </c>
      <c r="C42" s="6">
        <v>410</v>
      </c>
    </row>
    <row r="43" spans="1:3" x14ac:dyDescent="0.15">
      <c r="A43" s="6" t="s">
        <v>40</v>
      </c>
      <c r="B43" s="6">
        <v>2006</v>
      </c>
      <c r="C43" s="6">
        <v>75</v>
      </c>
    </row>
    <row r="44" spans="1:3" x14ac:dyDescent="0.15">
      <c r="A44" s="6" t="s">
        <v>41</v>
      </c>
      <c r="B44" s="6">
        <v>2006</v>
      </c>
      <c r="C44" s="6">
        <v>180</v>
      </c>
    </row>
    <row r="45" spans="1:3" x14ac:dyDescent="0.15">
      <c r="A45" s="6" t="s">
        <v>42</v>
      </c>
      <c r="B45" s="6">
        <v>2006</v>
      </c>
      <c r="C45" s="6">
        <v>180</v>
      </c>
    </row>
    <row r="46" spans="1:3" x14ac:dyDescent="0.15">
      <c r="A46" s="6" t="s">
        <v>43</v>
      </c>
      <c r="B46" s="6">
        <v>2006</v>
      </c>
      <c r="C46" s="6">
        <v>390</v>
      </c>
    </row>
    <row r="47" spans="1:3" x14ac:dyDescent="0.15">
      <c r="A47" s="6" t="s">
        <v>27</v>
      </c>
      <c r="B47" s="6">
        <v>2006</v>
      </c>
      <c r="C47" s="6">
        <v>390</v>
      </c>
    </row>
    <row r="48" spans="1:3" x14ac:dyDescent="0.15">
      <c r="A48" s="6" t="s">
        <v>44</v>
      </c>
      <c r="B48" s="6">
        <v>2006</v>
      </c>
      <c r="C48" s="6">
        <v>390</v>
      </c>
    </row>
    <row r="49" spans="1:3" x14ac:dyDescent="0.15">
      <c r="A49" s="6" t="s">
        <v>45</v>
      </c>
      <c r="B49" s="6">
        <v>2006</v>
      </c>
      <c r="C49" s="6">
        <v>400</v>
      </c>
    </row>
    <row r="50" spans="1:3" x14ac:dyDescent="0.15">
      <c r="A50" s="6" t="s">
        <v>46</v>
      </c>
      <c r="B50" s="6">
        <v>2006</v>
      </c>
      <c r="C50" s="6">
        <v>150</v>
      </c>
    </row>
    <row r="51" spans="1:3" x14ac:dyDescent="0.15">
      <c r="A51" s="6" t="s">
        <v>47</v>
      </c>
      <c r="B51" s="6">
        <v>2006</v>
      </c>
      <c r="C51" s="6">
        <v>51.5</v>
      </c>
    </row>
    <row r="52" spans="1:3" x14ac:dyDescent="0.15">
      <c r="A52" s="6" t="s">
        <v>48</v>
      </c>
      <c r="B52" s="6">
        <v>2006</v>
      </c>
      <c r="C52" s="6">
        <v>75</v>
      </c>
    </row>
    <row r="53" spans="1:3" x14ac:dyDescent="0.15">
      <c r="A53" s="6" t="s">
        <v>49</v>
      </c>
      <c r="B53" s="6">
        <v>2006</v>
      </c>
      <c r="C53" s="6">
        <v>56</v>
      </c>
    </row>
    <row r="54" spans="1:3" x14ac:dyDescent="0.15">
      <c r="A54" s="6" t="s">
        <v>50</v>
      </c>
      <c r="B54" s="6">
        <v>2006</v>
      </c>
      <c r="C54" s="6">
        <v>180</v>
      </c>
    </row>
    <row r="55" spans="1:3" x14ac:dyDescent="0.15">
      <c r="A55" s="6" t="s">
        <v>51</v>
      </c>
      <c r="B55" s="6">
        <v>2006</v>
      </c>
      <c r="C55" s="6">
        <v>390</v>
      </c>
    </row>
    <row r="56" spans="1:3" x14ac:dyDescent="0.15">
      <c r="A56" s="6" t="s">
        <v>52</v>
      </c>
      <c r="B56" s="6">
        <v>2006</v>
      </c>
      <c r="C56" s="6">
        <v>390</v>
      </c>
    </row>
    <row r="57" spans="1:3" x14ac:dyDescent="0.15">
      <c r="A57" s="6" t="s">
        <v>43</v>
      </c>
      <c r="B57" s="6">
        <v>2007</v>
      </c>
      <c r="C57" s="6">
        <v>390</v>
      </c>
    </row>
    <row r="58" spans="1:3" x14ac:dyDescent="0.15">
      <c r="A58" s="6" t="s">
        <v>53</v>
      </c>
      <c r="B58" s="6">
        <v>2007</v>
      </c>
      <c r="C58" s="6">
        <v>780</v>
      </c>
    </row>
    <row r="59" spans="1:3" x14ac:dyDescent="0.15">
      <c r="A59" s="6" t="s">
        <v>44</v>
      </c>
      <c r="B59" s="6">
        <v>2007</v>
      </c>
      <c r="C59" s="6">
        <v>390</v>
      </c>
    </row>
    <row r="60" spans="1:3" x14ac:dyDescent="0.15">
      <c r="A60" s="6" t="s">
        <v>54</v>
      </c>
      <c r="B60" s="6">
        <v>2007</v>
      </c>
      <c r="C60" s="6">
        <v>390</v>
      </c>
    </row>
    <row r="61" spans="1:3" x14ac:dyDescent="0.15">
      <c r="A61" s="6" t="s">
        <v>55</v>
      </c>
      <c r="B61" s="6">
        <v>2007</v>
      </c>
      <c r="C61" s="6">
        <v>390</v>
      </c>
    </row>
    <row r="62" spans="1:3" x14ac:dyDescent="0.15">
      <c r="A62" s="6" t="s">
        <v>51</v>
      </c>
      <c r="B62" s="6">
        <v>2007</v>
      </c>
      <c r="C62" s="6">
        <v>390</v>
      </c>
    </row>
    <row r="63" spans="1:3" x14ac:dyDescent="0.15">
      <c r="A63" s="6" t="s">
        <v>56</v>
      </c>
      <c r="B63" s="6">
        <v>2007</v>
      </c>
      <c r="C63" s="6">
        <v>180</v>
      </c>
    </row>
    <row r="64" spans="1:3" x14ac:dyDescent="0.15">
      <c r="A64" s="6" t="s">
        <v>57</v>
      </c>
      <c r="B64" s="6">
        <v>2007</v>
      </c>
      <c r="C64" s="6">
        <v>390</v>
      </c>
    </row>
    <row r="65" spans="1:3" x14ac:dyDescent="0.15">
      <c r="A65" s="6" t="s">
        <v>52</v>
      </c>
      <c r="B65" s="6">
        <v>2007</v>
      </c>
      <c r="C65" s="6">
        <v>390</v>
      </c>
    </row>
    <row r="66" spans="1:3" x14ac:dyDescent="0.15">
      <c r="A66" s="6" t="s">
        <v>58</v>
      </c>
      <c r="B66" s="6">
        <v>2007</v>
      </c>
      <c r="C66" s="6">
        <v>395</v>
      </c>
    </row>
    <row r="67" spans="1:3" x14ac:dyDescent="0.15">
      <c r="A67" s="6" t="s">
        <v>59</v>
      </c>
      <c r="B67" s="6">
        <v>2008</v>
      </c>
      <c r="C67" s="6">
        <v>390</v>
      </c>
    </row>
    <row r="68" spans="1:3" x14ac:dyDescent="0.15">
      <c r="A68" s="6" t="s">
        <v>60</v>
      </c>
      <c r="B68" s="6">
        <v>2008</v>
      </c>
      <c r="C68" s="6">
        <v>254</v>
      </c>
    </row>
    <row r="69" spans="1:3" x14ac:dyDescent="0.15">
      <c r="A69" s="6" t="s">
        <v>54</v>
      </c>
      <c r="B69" s="6">
        <v>2008</v>
      </c>
      <c r="C69" s="6">
        <v>390</v>
      </c>
    </row>
    <row r="70" spans="1:3" x14ac:dyDescent="0.15">
      <c r="A70" s="6" t="s">
        <v>61</v>
      </c>
      <c r="B70" s="6">
        <v>2008</v>
      </c>
      <c r="C70" s="6">
        <v>400</v>
      </c>
    </row>
    <row r="71" spans="1:3" x14ac:dyDescent="0.15">
      <c r="A71" s="6" t="s">
        <v>62</v>
      </c>
      <c r="B71" s="6">
        <v>2009</v>
      </c>
      <c r="C71" s="6">
        <v>122</v>
      </c>
    </row>
    <row r="72" spans="1:3" x14ac:dyDescent="0.15">
      <c r="A72" s="6" t="s">
        <v>10</v>
      </c>
      <c r="B72" s="6">
        <v>2009</v>
      </c>
      <c r="C72" s="6">
        <v>390</v>
      </c>
    </row>
    <row r="73" spans="1:3" x14ac:dyDescent="0.15">
      <c r="A73" s="6" t="s">
        <v>63</v>
      </c>
      <c r="B73" s="6">
        <v>2009</v>
      </c>
      <c r="C73" s="6">
        <v>78</v>
      </c>
    </row>
    <row r="74" spans="1:3" x14ac:dyDescent="0.15">
      <c r="A74" s="6" t="s">
        <v>64</v>
      </c>
      <c r="B74" s="6">
        <v>2009</v>
      </c>
      <c r="C74" s="6">
        <v>390</v>
      </c>
    </row>
    <row r="75" spans="1:3" x14ac:dyDescent="0.15">
      <c r="A75" s="6" t="s">
        <v>65</v>
      </c>
      <c r="B75" s="6">
        <v>2009</v>
      </c>
      <c r="C75" s="6">
        <v>101</v>
      </c>
    </row>
    <row r="76" spans="1:3" x14ac:dyDescent="0.15">
      <c r="A76" s="6" t="s">
        <v>66</v>
      </c>
      <c r="B76" s="6">
        <v>2009</v>
      </c>
      <c r="C76" s="6">
        <v>64</v>
      </c>
    </row>
    <row r="77" spans="1:3" x14ac:dyDescent="0.15">
      <c r="A77" s="6" t="s">
        <v>67</v>
      </c>
      <c r="B77" s="6">
        <v>2009</v>
      </c>
      <c r="C77" s="6">
        <v>390</v>
      </c>
    </row>
    <row r="78" spans="1:3" x14ac:dyDescent="0.15">
      <c r="A78" s="6" t="s">
        <v>7</v>
      </c>
      <c r="B78" s="6">
        <v>2009</v>
      </c>
      <c r="C78" s="6">
        <v>111.9</v>
      </c>
    </row>
    <row r="79" spans="1:3" x14ac:dyDescent="0.15">
      <c r="A79" s="6" t="s">
        <v>68</v>
      </c>
      <c r="B79" s="6">
        <v>2010</v>
      </c>
      <c r="C79" s="6">
        <v>390</v>
      </c>
    </row>
    <row r="80" spans="1:3" x14ac:dyDescent="0.15">
      <c r="A80" s="6" t="s">
        <v>69</v>
      </c>
      <c r="B80" s="6">
        <v>2010</v>
      </c>
      <c r="C80" s="6">
        <v>185</v>
      </c>
    </row>
    <row r="81" spans="1:3" x14ac:dyDescent="0.15">
      <c r="A81" s="6" t="s">
        <v>64</v>
      </c>
      <c r="B81" s="6">
        <v>2010</v>
      </c>
      <c r="C81" s="6">
        <v>390</v>
      </c>
    </row>
    <row r="82" spans="1:3" x14ac:dyDescent="0.15">
      <c r="A82" s="6" t="s">
        <v>67</v>
      </c>
      <c r="B82" s="6">
        <v>2010</v>
      </c>
      <c r="C82" s="6">
        <v>390</v>
      </c>
    </row>
    <row r="83" spans="1:3" x14ac:dyDescent="0.15">
      <c r="A83" s="6" t="s">
        <v>28</v>
      </c>
      <c r="B83" s="6">
        <v>2011</v>
      </c>
      <c r="C83" s="6">
        <v>220</v>
      </c>
    </row>
    <row r="84" spans="1:3" x14ac:dyDescent="0.15">
      <c r="A84" s="6" t="s">
        <v>11</v>
      </c>
      <c r="B84" s="6">
        <v>2011</v>
      </c>
      <c r="C84" s="6">
        <v>924</v>
      </c>
    </row>
    <row r="85" spans="1:3" x14ac:dyDescent="0.15">
      <c r="A85" s="6" t="s">
        <v>70</v>
      </c>
      <c r="B85" s="6">
        <v>2011</v>
      </c>
      <c r="C85" s="6">
        <v>400</v>
      </c>
    </row>
    <row r="86" spans="1:3" x14ac:dyDescent="0.15">
      <c r="A86" s="6" t="s">
        <v>71</v>
      </c>
      <c r="B86" s="6">
        <v>2011</v>
      </c>
      <c r="C86" s="6">
        <v>180</v>
      </c>
    </row>
    <row r="87" spans="1:3" x14ac:dyDescent="0.15">
      <c r="A87" s="6" t="s">
        <v>72</v>
      </c>
      <c r="B87" s="6">
        <v>2012</v>
      </c>
      <c r="C87" s="6">
        <v>200</v>
      </c>
    </row>
    <row r="88" spans="1:3" x14ac:dyDescent="0.15">
      <c r="A88" s="6" t="s">
        <v>70</v>
      </c>
      <c r="B88" s="6">
        <v>2012</v>
      </c>
      <c r="C88" s="6">
        <v>400</v>
      </c>
    </row>
    <row r="89" spans="1:3" x14ac:dyDescent="0.15">
      <c r="A89" s="6" t="s">
        <v>61</v>
      </c>
      <c r="B89" s="6">
        <v>2012</v>
      </c>
      <c r="C89" s="6">
        <v>420</v>
      </c>
    </row>
    <row r="90" spans="1:3" x14ac:dyDescent="0.15">
      <c r="A90" s="6" t="s">
        <v>73</v>
      </c>
      <c r="B90" s="6">
        <v>2013</v>
      </c>
      <c r="C90" s="6">
        <v>838</v>
      </c>
    </row>
    <row r="91" spans="1:3" x14ac:dyDescent="0.15">
      <c r="A91" s="6" t="s">
        <v>74</v>
      </c>
      <c r="B91" s="6">
        <v>2013</v>
      </c>
      <c r="C91" s="6">
        <v>120</v>
      </c>
    </row>
    <row r="92" spans="1:3" x14ac:dyDescent="0.15">
      <c r="A92" s="6" t="s">
        <v>75</v>
      </c>
      <c r="B92" s="6">
        <v>2013</v>
      </c>
      <c r="C92" s="6">
        <v>452</v>
      </c>
    </row>
    <row r="93" spans="1:3" x14ac:dyDescent="0.15">
      <c r="A93" s="6" t="s">
        <v>76</v>
      </c>
      <c r="B93" s="6">
        <v>2013</v>
      </c>
      <c r="C93" s="6">
        <v>200</v>
      </c>
    </row>
    <row r="94" spans="1:3" x14ac:dyDescent="0.15">
      <c r="A94" s="6" t="s">
        <v>77</v>
      </c>
      <c r="B94" s="6">
        <v>2013</v>
      </c>
      <c r="C94" s="6">
        <v>180</v>
      </c>
    </row>
    <row r="95" spans="1:3" x14ac:dyDescent="0.15">
      <c r="A95" s="6" t="s">
        <v>25</v>
      </c>
      <c r="B95" s="6">
        <v>2013</v>
      </c>
      <c r="C95" s="6">
        <v>415</v>
      </c>
    </row>
    <row r="96" spans="1:3" x14ac:dyDescent="0.15">
      <c r="A96" s="6" t="s">
        <v>78</v>
      </c>
      <c r="B96" s="6">
        <v>2013</v>
      </c>
      <c r="C96" s="6">
        <v>180</v>
      </c>
    </row>
    <row r="97" spans="1:3" x14ac:dyDescent="0.15">
      <c r="A97" s="6" t="s">
        <v>44</v>
      </c>
      <c r="B97" s="6">
        <v>2013</v>
      </c>
      <c r="C97" s="6">
        <v>191</v>
      </c>
    </row>
    <row r="98" spans="1:3" x14ac:dyDescent="0.15">
      <c r="A98" s="6" t="s">
        <v>47</v>
      </c>
      <c r="B98" s="6">
        <v>2013</v>
      </c>
      <c r="C98" s="6">
        <v>54.62</v>
      </c>
    </row>
    <row r="99" spans="1:3" x14ac:dyDescent="0.15">
      <c r="A99" s="6" t="s">
        <v>79</v>
      </c>
      <c r="B99" s="6">
        <v>2013</v>
      </c>
      <c r="C99" s="6">
        <v>435</v>
      </c>
    </row>
    <row r="100" spans="1:3" x14ac:dyDescent="0.15">
      <c r="A100" s="6" t="s">
        <v>80</v>
      </c>
      <c r="B100" s="6">
        <v>2014</v>
      </c>
      <c r="C100" s="6">
        <v>255</v>
      </c>
    </row>
    <row r="101" spans="1:3" x14ac:dyDescent="0.15">
      <c r="A101" s="6" t="s">
        <v>81</v>
      </c>
      <c r="B101" s="6">
        <v>2014</v>
      </c>
      <c r="C101" s="6">
        <v>845</v>
      </c>
    </row>
    <row r="102" spans="1:3" x14ac:dyDescent="0.15">
      <c r="A102" s="6" t="s">
        <v>82</v>
      </c>
      <c r="B102" s="6">
        <v>2014</v>
      </c>
      <c r="C102" s="6">
        <v>873</v>
      </c>
    </row>
    <row r="103" spans="1:3" x14ac:dyDescent="0.15">
      <c r="A103" s="6" t="s">
        <v>82</v>
      </c>
      <c r="B103" s="6">
        <v>2014</v>
      </c>
      <c r="C103" s="6">
        <v>434</v>
      </c>
    </row>
    <row r="104" spans="1:3" x14ac:dyDescent="0.15">
      <c r="A104" s="6" t="s">
        <v>10</v>
      </c>
      <c r="B104" s="6">
        <v>2014</v>
      </c>
      <c r="C104" s="6">
        <v>460</v>
      </c>
    </row>
    <row r="105" spans="1:3" x14ac:dyDescent="0.15">
      <c r="A105" s="6" t="s">
        <v>83</v>
      </c>
      <c r="B105" s="6">
        <v>2014</v>
      </c>
      <c r="C105" s="6">
        <v>460</v>
      </c>
    </row>
    <row r="106" spans="1:3" x14ac:dyDescent="0.15">
      <c r="A106" s="6" t="s">
        <v>84</v>
      </c>
      <c r="B106" s="6">
        <v>2014</v>
      </c>
      <c r="C106" s="6">
        <v>900</v>
      </c>
    </row>
    <row r="107" spans="1:3" x14ac:dyDescent="0.15">
      <c r="A107" s="6" t="s">
        <v>85</v>
      </c>
      <c r="B107" s="6">
        <v>2014</v>
      </c>
      <c r="C107" s="6">
        <v>350</v>
      </c>
    </row>
    <row r="108" spans="1:3" x14ac:dyDescent="0.15">
      <c r="A108" s="6" t="s">
        <v>86</v>
      </c>
      <c r="B108" s="6">
        <v>2014</v>
      </c>
      <c r="C108" s="6">
        <v>123</v>
      </c>
    </row>
    <row r="109" spans="1:3" x14ac:dyDescent="0.15">
      <c r="A109" s="6" t="s">
        <v>87</v>
      </c>
      <c r="B109" s="6">
        <v>2014</v>
      </c>
      <c r="C109" s="6">
        <v>60</v>
      </c>
    </row>
    <row r="110" spans="1:3" x14ac:dyDescent="0.15">
      <c r="A110" s="6" t="s">
        <v>88</v>
      </c>
      <c r="B110" s="6">
        <v>2014</v>
      </c>
      <c r="C110" s="6">
        <v>200</v>
      </c>
    </row>
    <row r="111" spans="1:3" x14ac:dyDescent="0.15">
      <c r="A111" s="6" t="s">
        <v>89</v>
      </c>
      <c r="B111" s="6">
        <v>2014</v>
      </c>
      <c r="C111" s="6">
        <v>470</v>
      </c>
    </row>
    <row r="112" spans="1:3" x14ac:dyDescent="0.15">
      <c r="A112" s="6" t="s">
        <v>90</v>
      </c>
      <c r="B112" s="6">
        <v>2014</v>
      </c>
      <c r="C112" s="6">
        <v>463</v>
      </c>
    </row>
    <row r="113" spans="1:3" x14ac:dyDescent="0.15">
      <c r="A113" s="6" t="s">
        <v>91</v>
      </c>
      <c r="B113" s="6">
        <v>2014</v>
      </c>
      <c r="C113" s="6">
        <v>229</v>
      </c>
    </row>
    <row r="114" spans="1:3" x14ac:dyDescent="0.15">
      <c r="A114" s="6" t="s">
        <v>92</v>
      </c>
      <c r="B114" s="6">
        <v>2014</v>
      </c>
      <c r="C114" s="6">
        <v>200</v>
      </c>
    </row>
    <row r="115" spans="1:3" x14ac:dyDescent="0.15">
      <c r="A115" s="6" t="s">
        <v>93</v>
      </c>
      <c r="B115" s="6">
        <v>2014</v>
      </c>
      <c r="C115" s="6">
        <v>158</v>
      </c>
    </row>
    <row r="116" spans="1:3" x14ac:dyDescent="0.15">
      <c r="A116" s="6" t="s">
        <v>94</v>
      </c>
      <c r="B116" s="6">
        <v>2014</v>
      </c>
      <c r="C116" s="6">
        <v>115</v>
      </c>
    </row>
    <row r="117" spans="1:3" x14ac:dyDescent="0.15">
      <c r="A117" s="6" t="s">
        <v>95</v>
      </c>
      <c r="B117" s="6">
        <v>2014</v>
      </c>
      <c r="C117" s="6">
        <v>390</v>
      </c>
    </row>
    <row r="118" spans="1:3" x14ac:dyDescent="0.15">
      <c r="A118" s="6" t="s">
        <v>96</v>
      </c>
      <c r="B118" s="6">
        <v>2014</v>
      </c>
      <c r="C118" s="6">
        <v>298</v>
      </c>
    </row>
    <row r="119" spans="1:3" x14ac:dyDescent="0.15">
      <c r="A119" s="6" t="s">
        <v>56</v>
      </c>
      <c r="B119" s="6">
        <v>2014</v>
      </c>
      <c r="C119" s="6">
        <v>244</v>
      </c>
    </row>
    <row r="120" spans="1:3" x14ac:dyDescent="0.15">
      <c r="A120" s="6" t="s">
        <v>56</v>
      </c>
      <c r="B120" s="6">
        <v>2014</v>
      </c>
      <c r="C120" s="6">
        <v>260</v>
      </c>
    </row>
    <row r="121" spans="1:3" x14ac:dyDescent="0.15">
      <c r="A121" s="6" t="s">
        <v>97</v>
      </c>
      <c r="B121" s="6">
        <v>2014</v>
      </c>
      <c r="C121" s="6">
        <v>458</v>
      </c>
    </row>
    <row r="122" spans="1:3" x14ac:dyDescent="0.15">
      <c r="A122" s="6" t="s">
        <v>98</v>
      </c>
      <c r="B122" s="6">
        <v>2014</v>
      </c>
      <c r="C122" s="6">
        <v>350</v>
      </c>
    </row>
    <row r="123" spans="1:3" x14ac:dyDescent="0.15">
      <c r="A123" s="6" t="s">
        <v>99</v>
      </c>
      <c r="B123" s="6">
        <v>2015</v>
      </c>
      <c r="C123" s="6">
        <v>180</v>
      </c>
    </row>
    <row r="124" spans="1:3" x14ac:dyDescent="0.15">
      <c r="A124" s="6" t="s">
        <v>100</v>
      </c>
      <c r="B124" s="6">
        <v>2015</v>
      </c>
      <c r="C124" s="6">
        <v>200</v>
      </c>
    </row>
    <row r="125" spans="1:3" x14ac:dyDescent="0.15">
      <c r="A125" s="6" t="s">
        <v>101</v>
      </c>
      <c r="B125" s="6">
        <v>2015</v>
      </c>
      <c r="C125" s="6">
        <v>480</v>
      </c>
    </row>
    <row r="126" spans="1:3" x14ac:dyDescent="0.15">
      <c r="A126" s="6" t="s">
        <v>102</v>
      </c>
      <c r="B126" s="6">
        <v>2015</v>
      </c>
      <c r="C126" s="6">
        <v>203</v>
      </c>
    </row>
    <row r="127" spans="1:3" x14ac:dyDescent="0.15">
      <c r="A127" s="6" t="s">
        <v>28</v>
      </c>
      <c r="B127" s="6">
        <v>2015</v>
      </c>
      <c r="C127" s="6">
        <v>475</v>
      </c>
    </row>
    <row r="128" spans="1:3" x14ac:dyDescent="0.15">
      <c r="A128" s="6" t="s">
        <v>20</v>
      </c>
      <c r="B128" s="6">
        <v>2015</v>
      </c>
      <c r="C128" s="6">
        <v>430</v>
      </c>
    </row>
    <row r="129" spans="1:3" x14ac:dyDescent="0.15">
      <c r="A129" s="6" t="s">
        <v>69</v>
      </c>
      <c r="B129" s="6">
        <v>2015</v>
      </c>
      <c r="C129" s="6">
        <v>185</v>
      </c>
    </row>
    <row r="130" spans="1:3" x14ac:dyDescent="0.15">
      <c r="A130" s="6" t="s">
        <v>103</v>
      </c>
      <c r="B130" s="6">
        <v>2015</v>
      </c>
      <c r="C130" s="6">
        <v>60</v>
      </c>
    </row>
    <row r="131" spans="1:3" x14ac:dyDescent="0.15">
      <c r="A131" s="6" t="s">
        <v>104</v>
      </c>
      <c r="B131" s="6">
        <v>2015</v>
      </c>
      <c r="C131" s="6">
        <v>430</v>
      </c>
    </row>
    <row r="132" spans="1:3" x14ac:dyDescent="0.15">
      <c r="A132" s="6" t="s">
        <v>105</v>
      </c>
      <c r="B132" s="6">
        <v>2015</v>
      </c>
      <c r="C132" s="6">
        <v>200</v>
      </c>
    </row>
    <row r="133" spans="1:3" x14ac:dyDescent="0.15">
      <c r="A133" s="6" t="s">
        <v>96</v>
      </c>
      <c r="B133" s="6">
        <v>2015</v>
      </c>
      <c r="C133" s="6">
        <v>264</v>
      </c>
    </row>
    <row r="134" spans="1:3" x14ac:dyDescent="0.15">
      <c r="A134" s="6" t="s">
        <v>106</v>
      </c>
      <c r="B134" s="6">
        <v>2015</v>
      </c>
      <c r="C134" s="6">
        <v>951</v>
      </c>
    </row>
    <row r="135" spans="1:3" x14ac:dyDescent="0.15">
      <c r="A135" s="6" t="s">
        <v>107</v>
      </c>
      <c r="B135" s="6">
        <v>2015</v>
      </c>
      <c r="C135" s="6">
        <v>350</v>
      </c>
    </row>
    <row r="136" spans="1:3" x14ac:dyDescent="0.15">
      <c r="A136" s="6" t="s">
        <v>108</v>
      </c>
      <c r="B136" s="6">
        <v>2015</v>
      </c>
      <c r="C136" s="6">
        <v>185</v>
      </c>
    </row>
    <row r="137" spans="1:3" x14ac:dyDescent="0.15">
      <c r="A137" s="6" t="s">
        <v>109</v>
      </c>
      <c r="B137" s="6">
        <v>2015</v>
      </c>
      <c r="C137" s="6">
        <v>420</v>
      </c>
    </row>
    <row r="138" spans="1:3" x14ac:dyDescent="0.15">
      <c r="A138" s="6" t="s">
        <v>84</v>
      </c>
      <c r="B138" s="6">
        <v>2016</v>
      </c>
      <c r="C138" s="6">
        <v>900</v>
      </c>
    </row>
    <row r="139" spans="1:3" x14ac:dyDescent="0.15">
      <c r="A139" s="6" t="s">
        <v>41</v>
      </c>
      <c r="B139" s="6">
        <v>2016</v>
      </c>
      <c r="C139" s="6">
        <v>470</v>
      </c>
    </row>
    <row r="140" spans="1:3" x14ac:dyDescent="0.15">
      <c r="A140" s="6" t="s">
        <v>110</v>
      </c>
      <c r="B140" s="6">
        <v>2016</v>
      </c>
      <c r="C140" s="6">
        <v>200</v>
      </c>
    </row>
    <row r="141" spans="1:3" x14ac:dyDescent="0.15">
      <c r="A141" s="6" t="s">
        <v>111</v>
      </c>
      <c r="B141" s="6">
        <v>2016</v>
      </c>
      <c r="C141" s="6">
        <v>54.6</v>
      </c>
    </row>
    <row r="142" spans="1:3" x14ac:dyDescent="0.15">
      <c r="A142" s="6" t="s">
        <v>112</v>
      </c>
      <c r="B142" s="6">
        <v>2016</v>
      </c>
      <c r="C142" s="6">
        <v>400</v>
      </c>
    </row>
    <row r="143" spans="1:3" x14ac:dyDescent="0.15">
      <c r="A143" s="6" t="s">
        <v>113</v>
      </c>
      <c r="B143" s="6">
        <v>2017</v>
      </c>
      <c r="C143" s="6">
        <v>180</v>
      </c>
    </row>
    <row r="144" spans="1:3" x14ac:dyDescent="0.15">
      <c r="A144" s="6" t="s">
        <v>114</v>
      </c>
      <c r="B144" s="6">
        <v>2017</v>
      </c>
      <c r="C144" s="6">
        <v>100</v>
      </c>
    </row>
    <row r="145" spans="1:3" x14ac:dyDescent="0.15">
      <c r="A145" s="6" t="s">
        <v>115</v>
      </c>
      <c r="B145" s="6">
        <v>2017</v>
      </c>
      <c r="C145" s="6">
        <v>180</v>
      </c>
    </row>
    <row r="146" spans="1:3" x14ac:dyDescent="0.15">
      <c r="A146" s="6" t="s">
        <v>116</v>
      </c>
      <c r="B146" s="6">
        <v>2017</v>
      </c>
      <c r="C146" s="6">
        <v>460</v>
      </c>
    </row>
    <row r="147" spans="1:3" x14ac:dyDescent="0.15">
      <c r="A147" s="6" t="s">
        <v>117</v>
      </c>
      <c r="B147" s="6">
        <v>2017</v>
      </c>
      <c r="C147" s="6">
        <v>451</v>
      </c>
    </row>
    <row r="148" spans="1:3" x14ac:dyDescent="0.15">
      <c r="A148" s="6" t="s">
        <v>118</v>
      </c>
      <c r="B148" s="6">
        <v>2017</v>
      </c>
      <c r="C148" s="6">
        <v>475</v>
      </c>
    </row>
    <row r="149" spans="1:3" x14ac:dyDescent="0.15">
      <c r="A149" s="6" t="s">
        <v>11</v>
      </c>
      <c r="B149" s="6">
        <v>2017</v>
      </c>
      <c r="C149" s="6">
        <v>998</v>
      </c>
    </row>
    <row r="150" spans="1:3" x14ac:dyDescent="0.15">
      <c r="A150" s="6" t="s">
        <v>119</v>
      </c>
      <c r="B150" s="6">
        <v>2017</v>
      </c>
      <c r="C150" s="6">
        <v>70</v>
      </c>
    </row>
    <row r="151" spans="1:3" x14ac:dyDescent="0.15">
      <c r="A151" s="6" t="s">
        <v>120</v>
      </c>
      <c r="B151" s="6">
        <v>2017</v>
      </c>
      <c r="C151" s="6">
        <v>255</v>
      </c>
    </row>
    <row r="152" spans="1:3" x14ac:dyDescent="0.15">
      <c r="A152" s="6" t="s">
        <v>108</v>
      </c>
      <c r="B152" s="6">
        <v>2017</v>
      </c>
      <c r="C152" s="6">
        <v>185</v>
      </c>
    </row>
    <row r="153" spans="1:3" x14ac:dyDescent="0.15">
      <c r="A153" s="6" t="s">
        <v>121</v>
      </c>
      <c r="B153" s="6">
        <v>2018</v>
      </c>
      <c r="C153" s="6">
        <v>266</v>
      </c>
    </row>
    <row r="154" spans="1:3" x14ac:dyDescent="0.15">
      <c r="A154" s="6" t="s">
        <v>122</v>
      </c>
      <c r="B154" s="6">
        <v>2018</v>
      </c>
      <c r="C154" s="6">
        <v>400</v>
      </c>
    </row>
    <row r="155" spans="1:3" x14ac:dyDescent="0.15">
      <c r="A155" s="6" t="s">
        <v>123</v>
      </c>
      <c r="B155" s="6">
        <v>2018</v>
      </c>
      <c r="C155" s="6">
        <v>400</v>
      </c>
    </row>
    <row r="156" spans="1:3" x14ac:dyDescent="0.15">
      <c r="A156" s="6" t="s">
        <v>124</v>
      </c>
      <c r="B156" s="6">
        <v>2018</v>
      </c>
      <c r="C156" s="6">
        <v>60</v>
      </c>
    </row>
    <row r="157" spans="1:3" x14ac:dyDescent="0.15">
      <c r="A157" s="6" t="s">
        <v>125</v>
      </c>
      <c r="B157" s="6">
        <v>2018</v>
      </c>
      <c r="C157" s="6">
        <v>200</v>
      </c>
    </row>
    <row r="158" spans="1:3" x14ac:dyDescent="0.15">
      <c r="A158" s="6" t="s">
        <v>126</v>
      </c>
      <c r="B158" s="6">
        <v>2018</v>
      </c>
      <c r="C158" s="6">
        <v>100</v>
      </c>
    </row>
    <row r="159" spans="1:3" x14ac:dyDescent="0.15">
      <c r="A159" s="6" t="s">
        <v>127</v>
      </c>
      <c r="B159" s="6">
        <v>2018</v>
      </c>
      <c r="C159" s="6">
        <v>100</v>
      </c>
    </row>
    <row r="160" spans="1:3" x14ac:dyDescent="0.15">
      <c r="A160" s="6" t="s">
        <v>128</v>
      </c>
      <c r="B160" s="6">
        <v>2018</v>
      </c>
      <c r="C160" s="6">
        <v>60</v>
      </c>
    </row>
    <row r="161" spans="1:3" x14ac:dyDescent="0.15">
      <c r="A161" s="6" t="s">
        <v>129</v>
      </c>
      <c r="B161" s="6">
        <v>2018</v>
      </c>
      <c r="C161" s="6">
        <v>80</v>
      </c>
    </row>
    <row r="162" spans="1:3" x14ac:dyDescent="0.15">
      <c r="A162" s="6" t="s">
        <v>130</v>
      </c>
      <c r="B162" s="6">
        <v>2018</v>
      </c>
      <c r="C162" s="6">
        <v>115</v>
      </c>
    </row>
    <row r="163" spans="1:3" x14ac:dyDescent="0.15">
      <c r="A163" s="6" t="s">
        <v>131</v>
      </c>
      <c r="B163" s="6">
        <v>2018</v>
      </c>
      <c r="C163" s="6">
        <v>120</v>
      </c>
    </row>
    <row r="164" spans="1:3" x14ac:dyDescent="0.15">
      <c r="A164" s="6" t="s">
        <v>132</v>
      </c>
      <c r="B164" s="6">
        <v>2018</v>
      </c>
      <c r="C164" s="6">
        <v>59</v>
      </c>
    </row>
    <row r="165" spans="1:3" x14ac:dyDescent="0.15">
      <c r="A165" s="6" t="s">
        <v>133</v>
      </c>
      <c r="B165" s="6">
        <v>2018</v>
      </c>
      <c r="C165" s="6">
        <v>60</v>
      </c>
    </row>
    <row r="166" spans="1:3" x14ac:dyDescent="0.15">
      <c r="A166" s="6" t="s">
        <v>134</v>
      </c>
      <c r="B166" s="6">
        <v>2018</v>
      </c>
      <c r="C166" s="6">
        <v>450</v>
      </c>
    </row>
    <row r="167" spans="1:3" x14ac:dyDescent="0.15">
      <c r="A167" s="6" t="s">
        <v>135</v>
      </c>
      <c r="B167" s="6">
        <v>2018</v>
      </c>
      <c r="C167" s="6">
        <v>400</v>
      </c>
    </row>
    <row r="168" spans="1:3" x14ac:dyDescent="0.15">
      <c r="A168" s="6" t="s">
        <v>136</v>
      </c>
      <c r="B168" s="6">
        <v>2018</v>
      </c>
      <c r="C168" s="6">
        <v>450</v>
      </c>
    </row>
    <row r="169" spans="1:3" x14ac:dyDescent="0.15">
      <c r="A169" s="6" t="s">
        <v>137</v>
      </c>
      <c r="B169" s="6">
        <v>2018</v>
      </c>
      <c r="C169" s="6">
        <v>424.2</v>
      </c>
    </row>
    <row r="170" spans="1:3" x14ac:dyDescent="0.15">
      <c r="A170" s="6" t="s">
        <v>138</v>
      </c>
      <c r="B170" s="6">
        <v>2018</v>
      </c>
      <c r="C170" s="6">
        <v>390</v>
      </c>
    </row>
    <row r="171" spans="1:3" x14ac:dyDescent="0.15">
      <c r="A171" s="6" t="s">
        <v>139</v>
      </c>
      <c r="B171" s="6">
        <v>2018</v>
      </c>
      <c r="C171" s="6">
        <v>460</v>
      </c>
    </row>
    <row r="172" spans="1:3" x14ac:dyDescent="0.15">
      <c r="A172" s="6" t="s">
        <v>140</v>
      </c>
      <c r="B172" s="6">
        <v>2019</v>
      </c>
      <c r="C172" s="6">
        <v>144</v>
      </c>
    </row>
    <row r="173" spans="1:3" x14ac:dyDescent="0.15">
      <c r="A173" s="6" t="s">
        <v>141</v>
      </c>
      <c r="B173" s="6">
        <v>2019</v>
      </c>
      <c r="C173" s="6">
        <v>54</v>
      </c>
    </row>
    <row r="174" spans="1:3" x14ac:dyDescent="0.15">
      <c r="A174" s="6" t="s">
        <v>142</v>
      </c>
      <c r="B174" s="6">
        <v>2019</v>
      </c>
      <c r="C174" s="6">
        <v>459</v>
      </c>
    </row>
    <row r="175" spans="1:3" x14ac:dyDescent="0.15">
      <c r="A175" s="6" t="s">
        <v>123</v>
      </c>
      <c r="B175" s="6">
        <v>2019</v>
      </c>
      <c r="C175" s="6">
        <v>400</v>
      </c>
    </row>
    <row r="176" spans="1:3" x14ac:dyDescent="0.15">
      <c r="A176" s="6" t="s">
        <v>143</v>
      </c>
      <c r="B176" s="6">
        <v>2019</v>
      </c>
      <c r="C176" s="6">
        <v>269</v>
      </c>
    </row>
    <row r="177" spans="1:3" x14ac:dyDescent="0.15">
      <c r="A177" s="6" t="s">
        <v>129</v>
      </c>
      <c r="B177" s="6">
        <v>2019</v>
      </c>
      <c r="C177" s="6">
        <v>74</v>
      </c>
    </row>
    <row r="178" spans="1:3" x14ac:dyDescent="0.15">
      <c r="A178" s="6" t="s">
        <v>131</v>
      </c>
      <c r="B178" s="6">
        <v>2019</v>
      </c>
      <c r="C178" s="6">
        <v>245</v>
      </c>
    </row>
    <row r="179" spans="1:3" x14ac:dyDescent="0.15">
      <c r="A179" s="6" t="s">
        <v>144</v>
      </c>
      <c r="B179" s="6">
        <v>2019</v>
      </c>
      <c r="C179" s="6">
        <v>453</v>
      </c>
    </row>
    <row r="180" spans="1:3" x14ac:dyDescent="0.15">
      <c r="A180" s="6" t="s">
        <v>145</v>
      </c>
      <c r="B180" s="6">
        <v>2019</v>
      </c>
      <c r="C180" s="6">
        <v>930</v>
      </c>
    </row>
    <row r="181" spans="1:3" x14ac:dyDescent="0.15">
      <c r="A181" s="6" t="s">
        <v>134</v>
      </c>
      <c r="B181" s="6">
        <v>2019</v>
      </c>
      <c r="C181" s="6">
        <v>450</v>
      </c>
    </row>
    <row r="182" spans="1:3" x14ac:dyDescent="0.15">
      <c r="A182" s="6" t="s">
        <v>136</v>
      </c>
      <c r="B182" s="6">
        <v>2019</v>
      </c>
      <c r="C182" s="6">
        <v>450</v>
      </c>
    </row>
    <row r="183" spans="1:3" x14ac:dyDescent="0.15">
      <c r="A183" s="6" t="s">
        <v>146</v>
      </c>
      <c r="B183" s="6">
        <v>2019</v>
      </c>
      <c r="C183" s="6">
        <v>460</v>
      </c>
    </row>
    <row r="184" spans="1:3" x14ac:dyDescent="0.15">
      <c r="A184" s="6" t="s">
        <v>57</v>
      </c>
      <c r="B184" s="6">
        <v>2019</v>
      </c>
      <c r="C184" s="6">
        <v>460</v>
      </c>
    </row>
    <row r="185" spans="1:3" x14ac:dyDescent="0.15">
      <c r="A185" s="6" t="s">
        <v>139</v>
      </c>
      <c r="B185" s="6">
        <v>2019</v>
      </c>
      <c r="C185" s="6">
        <v>460</v>
      </c>
    </row>
    <row r="186" spans="1:3" x14ac:dyDescent="0.15">
      <c r="A186" s="6" t="s">
        <v>147</v>
      </c>
      <c r="B186" s="6">
        <v>2020</v>
      </c>
      <c r="C186" s="6">
        <v>465</v>
      </c>
    </row>
    <row r="187" spans="1:3" x14ac:dyDescent="0.15">
      <c r="A187" s="6" t="s">
        <v>148</v>
      </c>
      <c r="B187" s="6">
        <v>2020</v>
      </c>
      <c r="C187" s="6">
        <v>75</v>
      </c>
    </row>
    <row r="188" spans="1:3" x14ac:dyDescent="0.15">
      <c r="A188" s="6" t="s">
        <v>149</v>
      </c>
      <c r="B188" s="6">
        <v>2020</v>
      </c>
      <c r="C188" s="6">
        <v>75</v>
      </c>
    </row>
    <row r="189" spans="1:3" x14ac:dyDescent="0.15">
      <c r="A189" s="6" t="s">
        <v>129</v>
      </c>
      <c r="B189" s="6">
        <v>2020</v>
      </c>
      <c r="C189" s="6">
        <v>74</v>
      </c>
    </row>
    <row r="190" spans="1:3" x14ac:dyDescent="0.15">
      <c r="A190" s="6" t="s">
        <v>144</v>
      </c>
      <c r="B190" s="6">
        <v>2020</v>
      </c>
      <c r="C190" s="6">
        <v>453</v>
      </c>
    </row>
    <row r="191" spans="1:3" x14ac:dyDescent="0.15">
      <c r="A191" s="6" t="s">
        <v>150</v>
      </c>
      <c r="B191" s="6">
        <v>2020</v>
      </c>
      <c r="C191" s="6">
        <v>670</v>
      </c>
    </row>
    <row r="192" spans="1:3" x14ac:dyDescent="0.15">
      <c r="A192" s="6" t="s">
        <v>151</v>
      </c>
      <c r="B192" s="6">
        <v>2020</v>
      </c>
      <c r="C192" s="6">
        <v>473</v>
      </c>
    </row>
    <row r="193" spans="1:3" x14ac:dyDescent="0.15">
      <c r="A193" s="6" t="s">
        <v>151</v>
      </c>
      <c r="B193" s="6">
        <v>2020</v>
      </c>
      <c r="C193" s="6">
        <v>472.52</v>
      </c>
    </row>
    <row r="194" spans="1:3" x14ac:dyDescent="0.15">
      <c r="A194" s="6" t="s">
        <v>152</v>
      </c>
      <c r="B194" s="6">
        <v>2020</v>
      </c>
      <c r="C194" s="6">
        <v>400</v>
      </c>
    </row>
    <row r="195" spans="1:3" x14ac:dyDescent="0.15">
      <c r="A195" s="6" t="s">
        <v>153</v>
      </c>
      <c r="B195" s="6">
        <v>2020</v>
      </c>
      <c r="C195" s="6">
        <v>130</v>
      </c>
    </row>
    <row r="196" spans="1:3" x14ac:dyDescent="0.15">
      <c r="A196" s="6" t="s">
        <v>154</v>
      </c>
      <c r="B196" s="6">
        <v>2020</v>
      </c>
      <c r="C196" s="6">
        <v>200</v>
      </c>
    </row>
    <row r="197" spans="1:3" x14ac:dyDescent="0.15">
      <c r="A197" s="6" t="s">
        <v>155</v>
      </c>
      <c r="B197" s="6">
        <v>2020</v>
      </c>
      <c r="C197" s="6">
        <v>460</v>
      </c>
    </row>
    <row r="198" spans="1:3" x14ac:dyDescent="0.15">
      <c r="A198" s="6" t="s">
        <v>156</v>
      </c>
      <c r="B198" s="6">
        <v>2020</v>
      </c>
      <c r="C198" s="6">
        <v>144</v>
      </c>
    </row>
    <row r="199" spans="1:3" x14ac:dyDescent="0.15">
      <c r="A199" s="6" t="s">
        <v>157</v>
      </c>
      <c r="B199" s="6">
        <v>2020</v>
      </c>
      <c r="C199" s="6">
        <v>423</v>
      </c>
    </row>
    <row r="200" spans="1:3" x14ac:dyDescent="0.15">
      <c r="A200" s="6" t="s">
        <v>158</v>
      </c>
      <c r="B200" s="6">
        <v>2021</v>
      </c>
      <c r="C200" s="6">
        <v>100</v>
      </c>
    </row>
    <row r="201" spans="1:3" x14ac:dyDescent="0.15">
      <c r="A201" s="6" t="s">
        <v>159</v>
      </c>
      <c r="B201" s="6">
        <v>2021</v>
      </c>
      <c r="C201" s="6">
        <v>460</v>
      </c>
    </row>
    <row r="202" spans="1:3" x14ac:dyDescent="0.15">
      <c r="A202" s="6" t="s">
        <v>160</v>
      </c>
      <c r="B202" s="6">
        <v>2021</v>
      </c>
      <c r="C202" s="6">
        <v>460</v>
      </c>
    </row>
    <row r="203" spans="1:3" x14ac:dyDescent="0.15">
      <c r="A203" s="6" t="s">
        <v>148</v>
      </c>
      <c r="B203" s="6">
        <v>2021</v>
      </c>
      <c r="C203" s="6">
        <v>75</v>
      </c>
    </row>
    <row r="204" spans="1:3" x14ac:dyDescent="0.15">
      <c r="A204" s="6" t="s">
        <v>149</v>
      </c>
      <c r="B204" s="6">
        <v>2021</v>
      </c>
      <c r="C204" s="6">
        <v>75</v>
      </c>
    </row>
    <row r="205" spans="1:3" x14ac:dyDescent="0.15">
      <c r="A205" s="6" t="s">
        <v>27</v>
      </c>
      <c r="B205" s="6">
        <v>2021</v>
      </c>
      <c r="C205" s="6">
        <v>400</v>
      </c>
    </row>
    <row r="206" spans="1:3" x14ac:dyDescent="0.15">
      <c r="A206" s="6" t="s">
        <v>161</v>
      </c>
      <c r="B206" s="6">
        <v>2021</v>
      </c>
      <c r="C206" s="6">
        <v>460</v>
      </c>
    </row>
    <row r="207" spans="1:3" x14ac:dyDescent="0.15">
      <c r="A207" s="6" t="s">
        <v>162</v>
      </c>
      <c r="B207" s="6">
        <v>2021</v>
      </c>
      <c r="C207" s="6">
        <v>122.8</v>
      </c>
    </row>
    <row r="208" spans="1:3" x14ac:dyDescent="0.15">
      <c r="A208" s="6" t="s">
        <v>163</v>
      </c>
      <c r="B208" s="6">
        <v>2021</v>
      </c>
      <c r="C208" s="6">
        <v>60</v>
      </c>
    </row>
    <row r="209" spans="1:3" x14ac:dyDescent="0.15">
      <c r="A209" s="6" t="s">
        <v>164</v>
      </c>
      <c r="B209" s="6">
        <v>2021</v>
      </c>
      <c r="C209" s="6">
        <v>50</v>
      </c>
    </row>
    <row r="210" spans="1:3" x14ac:dyDescent="0.15">
      <c r="A210" s="6" t="s">
        <v>165</v>
      </c>
      <c r="B210" s="6">
        <v>2021</v>
      </c>
      <c r="C210" s="6">
        <v>475</v>
      </c>
    </row>
    <row r="211" spans="1:3" x14ac:dyDescent="0.15">
      <c r="A211" s="6" t="s">
        <v>166</v>
      </c>
      <c r="B211" s="6">
        <v>2021</v>
      </c>
      <c r="C211" s="6">
        <v>64</v>
      </c>
    </row>
    <row r="212" spans="1:3" x14ac:dyDescent="0.15">
      <c r="A212" s="6" t="s">
        <v>167</v>
      </c>
      <c r="B212" s="6">
        <v>2021</v>
      </c>
      <c r="C212" s="6">
        <v>175</v>
      </c>
    </row>
    <row r="213" spans="1:3" x14ac:dyDescent="0.15">
      <c r="A213" s="6" t="s">
        <v>168</v>
      </c>
      <c r="B213" s="6">
        <v>2021</v>
      </c>
      <c r="C213" s="6">
        <v>650</v>
      </c>
    </row>
    <row r="214" spans="1:3" x14ac:dyDescent="0.15">
      <c r="A214" s="6" t="s">
        <v>153</v>
      </c>
      <c r="B214" s="6">
        <v>2021</v>
      </c>
      <c r="C214" s="6">
        <v>130</v>
      </c>
    </row>
    <row r="215" spans="1:3" x14ac:dyDescent="0.15">
      <c r="A215" s="6" t="s">
        <v>169</v>
      </c>
      <c r="B215" s="6">
        <v>2021</v>
      </c>
      <c r="C215" s="6">
        <v>468</v>
      </c>
    </row>
    <row r="216" spans="1:3" x14ac:dyDescent="0.15">
      <c r="A216" s="6" t="s">
        <v>21</v>
      </c>
      <c r="B216" s="6">
        <v>2021</v>
      </c>
      <c r="C216" s="6">
        <v>390</v>
      </c>
    </row>
    <row r="217" spans="1:3" x14ac:dyDescent="0.15">
      <c r="A217" s="6" t="s">
        <v>170</v>
      </c>
      <c r="B217" s="6">
        <v>2022</v>
      </c>
      <c r="C217" s="6">
        <v>100</v>
      </c>
    </row>
    <row r="218" spans="1:3" x14ac:dyDescent="0.15">
      <c r="A218" s="6" t="s">
        <v>171</v>
      </c>
      <c r="B218" s="6">
        <v>2022</v>
      </c>
      <c r="C218" s="6">
        <v>100</v>
      </c>
    </row>
    <row r="219" spans="1:3" x14ac:dyDescent="0.15">
      <c r="A219" s="6" t="s">
        <v>172</v>
      </c>
      <c r="B219" s="6">
        <v>2022</v>
      </c>
      <c r="C219" s="6">
        <v>100</v>
      </c>
    </row>
    <row r="220" spans="1:3" x14ac:dyDescent="0.15">
      <c r="A220" s="6" t="s">
        <v>16</v>
      </c>
      <c r="B220" s="6">
        <v>2022</v>
      </c>
      <c r="C220" s="6">
        <v>400</v>
      </c>
    </row>
    <row r="221" spans="1:3" x14ac:dyDescent="0.15">
      <c r="A221" s="6" t="s">
        <v>173</v>
      </c>
      <c r="B221" s="6">
        <v>2022</v>
      </c>
      <c r="C221" s="6">
        <v>400</v>
      </c>
    </row>
    <row r="222" spans="1:3" x14ac:dyDescent="0.15">
      <c r="A222" s="6" t="s">
        <v>174</v>
      </c>
      <c r="B222" s="6">
        <v>2022</v>
      </c>
      <c r="C222" s="6">
        <v>487</v>
      </c>
    </row>
    <row r="223" spans="1:3" x14ac:dyDescent="0.15">
      <c r="A223" s="6" t="s">
        <v>159</v>
      </c>
      <c r="B223" s="6">
        <v>2022</v>
      </c>
      <c r="C223" s="6">
        <v>460</v>
      </c>
    </row>
    <row r="224" spans="1:3" x14ac:dyDescent="0.15">
      <c r="A224" s="6" t="s">
        <v>160</v>
      </c>
      <c r="B224" s="6">
        <v>2022</v>
      </c>
      <c r="C224" s="6">
        <v>460</v>
      </c>
    </row>
    <row r="225" spans="1:3" x14ac:dyDescent="0.15">
      <c r="A225" s="6" t="s">
        <v>175</v>
      </c>
      <c r="B225" s="6">
        <v>2022</v>
      </c>
      <c r="C225" s="6">
        <v>495</v>
      </c>
    </row>
    <row r="226" spans="1:3" x14ac:dyDescent="0.15">
      <c r="A226" s="6" t="s">
        <v>176</v>
      </c>
      <c r="B226" s="6">
        <v>2022</v>
      </c>
      <c r="C226" s="6">
        <v>100</v>
      </c>
    </row>
    <row r="227" spans="1:3" x14ac:dyDescent="0.15">
      <c r="A227" s="6" t="s">
        <v>177</v>
      </c>
      <c r="B227" s="6">
        <v>2022</v>
      </c>
      <c r="C227" s="6">
        <v>100</v>
      </c>
    </row>
    <row r="228" spans="1:3" x14ac:dyDescent="0.15">
      <c r="A228" s="6" t="s">
        <v>178</v>
      </c>
      <c r="B228" s="6">
        <v>2022</v>
      </c>
      <c r="C228" s="6">
        <v>100</v>
      </c>
    </row>
    <row r="229" spans="1:3" x14ac:dyDescent="0.15">
      <c r="A229" s="6" t="s">
        <v>179</v>
      </c>
      <c r="B229" s="6">
        <v>2022</v>
      </c>
      <c r="C229" s="6">
        <v>100</v>
      </c>
    </row>
    <row r="230" spans="1:3" x14ac:dyDescent="0.15">
      <c r="A230" s="6" t="s">
        <v>169</v>
      </c>
      <c r="B230" s="6">
        <v>2022</v>
      </c>
      <c r="C230" s="6">
        <v>745</v>
      </c>
    </row>
    <row r="231" spans="1:3" x14ac:dyDescent="0.15">
      <c r="A231" s="6" t="s">
        <v>180</v>
      </c>
      <c r="B231" s="6">
        <v>2022</v>
      </c>
      <c r="C231" s="6">
        <v>460</v>
      </c>
    </row>
    <row r="232" spans="1:3" x14ac:dyDescent="0.15">
      <c r="A232"/>
      <c r="B232"/>
      <c r="C232"/>
    </row>
    <row r="233" spans="1:3" x14ac:dyDescent="0.15">
      <c r="A233"/>
      <c r="B233"/>
      <c r="C233"/>
    </row>
    <row r="234" spans="1:3" x14ac:dyDescent="0.15">
      <c r="A234"/>
      <c r="B234"/>
      <c r="C234"/>
    </row>
    <row r="235" spans="1:3" x14ac:dyDescent="0.15">
      <c r="A235"/>
      <c r="B235"/>
      <c r="C235"/>
    </row>
    <row r="236" spans="1:3" x14ac:dyDescent="0.15">
      <c r="A236"/>
      <c r="B236"/>
      <c r="C236"/>
    </row>
    <row r="237" spans="1:3" x14ac:dyDescent="0.15">
      <c r="A237"/>
      <c r="B237"/>
      <c r="C237"/>
    </row>
    <row r="238" spans="1:3" x14ac:dyDescent="0.15">
      <c r="A238"/>
      <c r="B238"/>
      <c r="C238"/>
    </row>
    <row r="239" spans="1:3" x14ac:dyDescent="0.15">
      <c r="A239"/>
      <c r="B239"/>
      <c r="C239"/>
    </row>
    <row r="240" spans="1:3" x14ac:dyDescent="0.15">
      <c r="A240"/>
      <c r="B240"/>
      <c r="C240"/>
    </row>
    <row r="241" customFormat="1" x14ac:dyDescent="0.15"/>
    <row r="242" customFormat="1" x14ac:dyDescent="0.15"/>
    <row r="243" customFormat="1" x14ac:dyDescent="0.15"/>
    <row r="244" customFormat="1" x14ac:dyDescent="0.15"/>
    <row r="245" customFormat="1" x14ac:dyDescent="0.15"/>
    <row r="246" customFormat="1" x14ac:dyDescent="0.15"/>
    <row r="247" customFormat="1" x14ac:dyDescent="0.15"/>
    <row r="248" customFormat="1" x14ac:dyDescent="0.15"/>
    <row r="249" customFormat="1" x14ac:dyDescent="0.15"/>
    <row r="250" customFormat="1" x14ac:dyDescent="0.15"/>
    <row r="251" customFormat="1" x14ac:dyDescent="0.15"/>
    <row r="252" customFormat="1" x14ac:dyDescent="0.15"/>
    <row r="253" customFormat="1" x14ac:dyDescent="0.15"/>
    <row r="254" customFormat="1" x14ac:dyDescent="0.15"/>
    <row r="255" customFormat="1" x14ac:dyDescent="0.15"/>
    <row r="256" customFormat="1" x14ac:dyDescent="0.15"/>
    <row r="257" customFormat="1" x14ac:dyDescent="0.15"/>
    <row r="258" customFormat="1" x14ac:dyDescent="0.15"/>
    <row r="259" customFormat="1" x14ac:dyDescent="0.15"/>
    <row r="260" customFormat="1" x14ac:dyDescent="0.15"/>
    <row r="261" customFormat="1" x14ac:dyDescent="0.15"/>
    <row r="262" customFormat="1" x14ac:dyDescent="0.15"/>
    <row r="263" customFormat="1" x14ac:dyDescent="0.15"/>
    <row r="264" customFormat="1" x14ac:dyDescent="0.15"/>
    <row r="265" customFormat="1" x14ac:dyDescent="0.15"/>
    <row r="266" customFormat="1" x14ac:dyDescent="0.15"/>
    <row r="267" customFormat="1" x14ac:dyDescent="0.15"/>
    <row r="268" customFormat="1" x14ac:dyDescent="0.15"/>
    <row r="269" customFormat="1" x14ac:dyDescent="0.15"/>
    <row r="270" customFormat="1" x14ac:dyDescent="0.15"/>
    <row r="271" customFormat="1" x14ac:dyDescent="0.15"/>
    <row r="272" customFormat="1" x14ac:dyDescent="0.15"/>
    <row r="273" customFormat="1" x14ac:dyDescent="0.15"/>
    <row r="274" customFormat="1" x14ac:dyDescent="0.15"/>
    <row r="275" customFormat="1" x14ac:dyDescent="0.15"/>
    <row r="276" customFormat="1" x14ac:dyDescent="0.15"/>
    <row r="277" customFormat="1" x14ac:dyDescent="0.15"/>
    <row r="278" customFormat="1" x14ac:dyDescent="0.15"/>
    <row r="279" customFormat="1" x14ac:dyDescent="0.15"/>
    <row r="280" customFormat="1" x14ac:dyDescent="0.15"/>
    <row r="281" customFormat="1" x14ac:dyDescent="0.15"/>
    <row r="282" customFormat="1" x14ac:dyDescent="0.15"/>
    <row r="283" customFormat="1" x14ac:dyDescent="0.15"/>
    <row r="284" customFormat="1" x14ac:dyDescent="0.15"/>
    <row r="285" customFormat="1" x14ac:dyDescent="0.15"/>
    <row r="286" customFormat="1" x14ac:dyDescent="0.15"/>
    <row r="287" customFormat="1" x14ac:dyDescent="0.15"/>
    <row r="288" customFormat="1" x14ac:dyDescent="0.15"/>
    <row r="289" customFormat="1" x14ac:dyDescent="0.15"/>
    <row r="290" customFormat="1" x14ac:dyDescent="0.15"/>
    <row r="291" customFormat="1" x14ac:dyDescent="0.15"/>
    <row r="292" customFormat="1" x14ac:dyDescent="0.15"/>
    <row r="293" customFormat="1" x14ac:dyDescent="0.15"/>
    <row r="294" customFormat="1" x14ac:dyDescent="0.15"/>
    <row r="295" customFormat="1" x14ac:dyDescent="0.15"/>
    <row r="296" customFormat="1" x14ac:dyDescent="0.15"/>
    <row r="297" customFormat="1" x14ac:dyDescent="0.15"/>
    <row r="298" customFormat="1" x14ac:dyDescent="0.15"/>
    <row r="299" customFormat="1" x14ac:dyDescent="0.15"/>
    <row r="300" customFormat="1" x14ac:dyDescent="0.15"/>
    <row r="301" customFormat="1" x14ac:dyDescent="0.15"/>
    <row r="302" customFormat="1" x14ac:dyDescent="0.15"/>
    <row r="303" customFormat="1" x14ac:dyDescent="0.15"/>
    <row r="304" customFormat="1" x14ac:dyDescent="0.15"/>
    <row r="305" customFormat="1" x14ac:dyDescent="0.15"/>
    <row r="306" customFormat="1" x14ac:dyDescent="0.15"/>
    <row r="307" customFormat="1" x14ac:dyDescent="0.15"/>
    <row r="308" customFormat="1" x14ac:dyDescent="0.15"/>
    <row r="309" customFormat="1" x14ac:dyDescent="0.15"/>
    <row r="310" customFormat="1" x14ac:dyDescent="0.15"/>
    <row r="311" customFormat="1" x14ac:dyDescent="0.15"/>
    <row r="312" customFormat="1" x14ac:dyDescent="0.15"/>
    <row r="313" customFormat="1" x14ac:dyDescent="0.15"/>
    <row r="314" customFormat="1" x14ac:dyDescent="0.15"/>
    <row r="315" customFormat="1" x14ac:dyDescent="0.15"/>
    <row r="316" customFormat="1" x14ac:dyDescent="0.15"/>
    <row r="317" customFormat="1" x14ac:dyDescent="0.15"/>
    <row r="318" customFormat="1" x14ac:dyDescent="0.15"/>
    <row r="319" customFormat="1" x14ac:dyDescent="0.15"/>
    <row r="320" customFormat="1" x14ac:dyDescent="0.15"/>
    <row r="321" customFormat="1" x14ac:dyDescent="0.15"/>
    <row r="322" customFormat="1" x14ac:dyDescent="0.15"/>
    <row r="323" customFormat="1" x14ac:dyDescent="0.15"/>
    <row r="324" customFormat="1" x14ac:dyDescent="0.15"/>
    <row r="325" customFormat="1" x14ac:dyDescent="0.15"/>
    <row r="326" customFormat="1" x14ac:dyDescent="0.15"/>
    <row r="327" customFormat="1" x14ac:dyDescent="0.15"/>
    <row r="328" customFormat="1" x14ac:dyDescent="0.15"/>
    <row r="329" customFormat="1" x14ac:dyDescent="0.15"/>
    <row r="330" customFormat="1" x14ac:dyDescent="0.15"/>
    <row r="331" customFormat="1" x14ac:dyDescent="0.15"/>
    <row r="332" customFormat="1" x14ac:dyDescent="0.15"/>
    <row r="333" customFormat="1" x14ac:dyDescent="0.15"/>
    <row r="334" customFormat="1" x14ac:dyDescent="0.15"/>
    <row r="335" customFormat="1" x14ac:dyDescent="0.15"/>
    <row r="336" customFormat="1" x14ac:dyDescent="0.15"/>
    <row r="337" customFormat="1" x14ac:dyDescent="0.15"/>
    <row r="338" customFormat="1" x14ac:dyDescent="0.15"/>
    <row r="339" customFormat="1" x14ac:dyDescent="0.15"/>
    <row r="340" customFormat="1" x14ac:dyDescent="0.15"/>
    <row r="341" customFormat="1" x14ac:dyDescent="0.15"/>
    <row r="342" customFormat="1" x14ac:dyDescent="0.15"/>
    <row r="343" customFormat="1" x14ac:dyDescent="0.15"/>
    <row r="344" customFormat="1" x14ac:dyDescent="0.15"/>
    <row r="345" customFormat="1" x14ac:dyDescent="0.15"/>
    <row r="346" customFormat="1" x14ac:dyDescent="0.15"/>
    <row r="347" customFormat="1" x14ac:dyDescent="0.15"/>
    <row r="348" customFormat="1" x14ac:dyDescent="0.15"/>
    <row r="349" customFormat="1" x14ac:dyDescent="0.15"/>
    <row r="350" customFormat="1" x14ac:dyDescent="0.15"/>
    <row r="351" customFormat="1" x14ac:dyDescent="0.15"/>
    <row r="352" customFormat="1" x14ac:dyDescent="0.15"/>
    <row r="353" customFormat="1" x14ac:dyDescent="0.15"/>
    <row r="354" customFormat="1" x14ac:dyDescent="0.15"/>
    <row r="355" customFormat="1" x14ac:dyDescent="0.15"/>
    <row r="356" customFormat="1" x14ac:dyDescent="0.15"/>
    <row r="357" customFormat="1" x14ac:dyDescent="0.15"/>
    <row r="358" customFormat="1" x14ac:dyDescent="0.15"/>
    <row r="359" customFormat="1" x14ac:dyDescent="0.15"/>
    <row r="360" customFormat="1" x14ac:dyDescent="0.15"/>
    <row r="361" customFormat="1" x14ac:dyDescent="0.15"/>
    <row r="362" customFormat="1" x14ac:dyDescent="0.15"/>
    <row r="363" customFormat="1" x14ac:dyDescent="0.15"/>
    <row r="364" customFormat="1" x14ac:dyDescent="0.15"/>
    <row r="365" customFormat="1" x14ac:dyDescent="0.15"/>
    <row r="366" customFormat="1" x14ac:dyDescent="0.15"/>
    <row r="367" customFormat="1" x14ac:dyDescent="0.15"/>
    <row r="368" customFormat="1" x14ac:dyDescent="0.15"/>
    <row r="369" customFormat="1" x14ac:dyDescent="0.15"/>
    <row r="370" customFormat="1" x14ac:dyDescent="0.15"/>
    <row r="371" customFormat="1" x14ac:dyDescent="0.15"/>
    <row r="372" customFormat="1" x14ac:dyDescent="0.15"/>
    <row r="373" customFormat="1" x14ac:dyDescent="0.15"/>
    <row r="374" customFormat="1" x14ac:dyDescent="0.15"/>
    <row r="375" customFormat="1" x14ac:dyDescent="0.15"/>
    <row r="376" customFormat="1" x14ac:dyDescent="0.15"/>
    <row r="377" customFormat="1" x14ac:dyDescent="0.15"/>
    <row r="378" customFormat="1" x14ac:dyDescent="0.15"/>
    <row r="1039056" customFormat="1" x14ac:dyDescent="0.15"/>
    <row r="1039057" customFormat="1" x14ac:dyDescent="0.15"/>
    <row r="1039058" customFormat="1" x14ac:dyDescent="0.15"/>
    <row r="1039059" customFormat="1" x14ac:dyDescent="0.15"/>
    <row r="1039060" customFormat="1" x14ac:dyDescent="0.15"/>
    <row r="1039061" customFormat="1" x14ac:dyDescent="0.15"/>
    <row r="1039062" customFormat="1" x14ac:dyDescent="0.15"/>
    <row r="1039063" customFormat="1" x14ac:dyDescent="0.15"/>
    <row r="1039064" customFormat="1" x14ac:dyDescent="0.15"/>
    <row r="1039065" customFormat="1" x14ac:dyDescent="0.15"/>
    <row r="1039066" customFormat="1" x14ac:dyDescent="0.15"/>
    <row r="1039067" customFormat="1" x14ac:dyDescent="0.15"/>
    <row r="1039068" customFormat="1" x14ac:dyDescent="0.15"/>
    <row r="1039069" customFormat="1" x14ac:dyDescent="0.15"/>
    <row r="1039070" customFormat="1" x14ac:dyDescent="0.15"/>
    <row r="1039071" customFormat="1" x14ac:dyDescent="0.15"/>
    <row r="1039072" customFormat="1" x14ac:dyDescent="0.15"/>
    <row r="1039073" customFormat="1" x14ac:dyDescent="0.15"/>
    <row r="1039074" customFormat="1" x14ac:dyDescent="0.15"/>
    <row r="1039075" customFormat="1" x14ac:dyDescent="0.15"/>
    <row r="1039076" customFormat="1" x14ac:dyDescent="0.15"/>
    <row r="1039077" customFormat="1" x14ac:dyDescent="0.15"/>
    <row r="1039078" customFormat="1" x14ac:dyDescent="0.15"/>
    <row r="1039079" customFormat="1" x14ac:dyDescent="0.15"/>
    <row r="1039080" customFormat="1" x14ac:dyDescent="0.15"/>
    <row r="1039081" customFormat="1" x14ac:dyDescent="0.15"/>
    <row r="1039082" customFormat="1" x14ac:dyDescent="0.15"/>
    <row r="1039083" customFormat="1" x14ac:dyDescent="0.15"/>
    <row r="1039084" customFormat="1" x14ac:dyDescent="0.15"/>
    <row r="1039085" customFormat="1" x14ac:dyDescent="0.15"/>
    <row r="1039086" customFormat="1" x14ac:dyDescent="0.15"/>
    <row r="1039087" customFormat="1" x14ac:dyDescent="0.15"/>
    <row r="1039088" customFormat="1" x14ac:dyDescent="0.15"/>
    <row r="1039089" customFormat="1" x14ac:dyDescent="0.15"/>
    <row r="1039090" customFormat="1" x14ac:dyDescent="0.15"/>
    <row r="1039091" customFormat="1" x14ac:dyDescent="0.15"/>
    <row r="1039092" customFormat="1" x14ac:dyDescent="0.15"/>
    <row r="1039093" customFormat="1" x14ac:dyDescent="0.15"/>
    <row r="1039094" customFormat="1" x14ac:dyDescent="0.15"/>
    <row r="1039095" customFormat="1" x14ac:dyDescent="0.15"/>
    <row r="1039096" customFormat="1" x14ac:dyDescent="0.15"/>
    <row r="1039097" customFormat="1" x14ac:dyDescent="0.15"/>
    <row r="1039098" customFormat="1" x14ac:dyDescent="0.15"/>
    <row r="1039099" customFormat="1" x14ac:dyDescent="0.15"/>
    <row r="1039100" customFormat="1" x14ac:dyDescent="0.15"/>
    <row r="1039101" customFormat="1" x14ac:dyDescent="0.15"/>
    <row r="1039102" customFormat="1" x14ac:dyDescent="0.15"/>
    <row r="1039103" customFormat="1" x14ac:dyDescent="0.15"/>
    <row r="1039104" customFormat="1" x14ac:dyDescent="0.15"/>
    <row r="1039105" customFormat="1" x14ac:dyDescent="0.15"/>
    <row r="1039106" customFormat="1" x14ac:dyDescent="0.15"/>
    <row r="1039107" customFormat="1" x14ac:dyDescent="0.15"/>
    <row r="1039108" customFormat="1" x14ac:dyDescent="0.15"/>
    <row r="1039109" customFormat="1" x14ac:dyDescent="0.15"/>
    <row r="1039110" customFormat="1" x14ac:dyDescent="0.15"/>
    <row r="1039111" customFormat="1" x14ac:dyDescent="0.15"/>
    <row r="1039112" customFormat="1" x14ac:dyDescent="0.15"/>
    <row r="1039113" customFormat="1" x14ac:dyDescent="0.15"/>
    <row r="1039114" customFormat="1" x14ac:dyDescent="0.15"/>
    <row r="1039115" customFormat="1" x14ac:dyDescent="0.15"/>
    <row r="1039116" customFormat="1" x14ac:dyDescent="0.15"/>
    <row r="1039117" customFormat="1" x14ac:dyDescent="0.15"/>
    <row r="1039118" customFormat="1" x14ac:dyDescent="0.15"/>
    <row r="1039119" customFormat="1" x14ac:dyDescent="0.15"/>
    <row r="1039120" customFormat="1" x14ac:dyDescent="0.15"/>
    <row r="1039121" customFormat="1" x14ac:dyDescent="0.15"/>
    <row r="1039122" customFormat="1" x14ac:dyDescent="0.15"/>
    <row r="1039123" customFormat="1" x14ac:dyDescent="0.15"/>
    <row r="1039124" customFormat="1" x14ac:dyDescent="0.15"/>
    <row r="1039125" customFormat="1" x14ac:dyDescent="0.15"/>
    <row r="1039126" customFormat="1" x14ac:dyDescent="0.15"/>
    <row r="1039127" customFormat="1" x14ac:dyDescent="0.15"/>
    <row r="1039128" customFormat="1" x14ac:dyDescent="0.15"/>
    <row r="1039129" customFormat="1" x14ac:dyDescent="0.15"/>
    <row r="1039130" customFormat="1" x14ac:dyDescent="0.15"/>
    <row r="1039131" customFormat="1" x14ac:dyDescent="0.15"/>
    <row r="1039132" customFormat="1" x14ac:dyDescent="0.15"/>
    <row r="1039133" customFormat="1" x14ac:dyDescent="0.15"/>
    <row r="1039134" customFormat="1" x14ac:dyDescent="0.15"/>
    <row r="1039135" customFormat="1" x14ac:dyDescent="0.15"/>
    <row r="1039136" customFormat="1" x14ac:dyDescent="0.15"/>
    <row r="1039137" customFormat="1" x14ac:dyDescent="0.15"/>
    <row r="1039138" customFormat="1" x14ac:dyDescent="0.15"/>
    <row r="1039139" customFormat="1" x14ac:dyDescent="0.15"/>
    <row r="1039140" customFormat="1" x14ac:dyDescent="0.15"/>
    <row r="1039141" customFormat="1" x14ac:dyDescent="0.15"/>
    <row r="1039142" customFormat="1" x14ac:dyDescent="0.15"/>
    <row r="1039143" customFormat="1" x14ac:dyDescent="0.15"/>
    <row r="1039144" customFormat="1" x14ac:dyDescent="0.15"/>
    <row r="1039145" customFormat="1" x14ac:dyDescent="0.15"/>
    <row r="1039146" customFormat="1" x14ac:dyDescent="0.15"/>
    <row r="1039147" customFormat="1" x14ac:dyDescent="0.15"/>
    <row r="1039148" customFormat="1" x14ac:dyDescent="0.15"/>
    <row r="1039149" customFormat="1" x14ac:dyDescent="0.15"/>
    <row r="1039150" customFormat="1" x14ac:dyDescent="0.15"/>
    <row r="1039151" customFormat="1" x14ac:dyDescent="0.15"/>
    <row r="1039152" customFormat="1" x14ac:dyDescent="0.15"/>
    <row r="1039153" customFormat="1" x14ac:dyDescent="0.15"/>
    <row r="1039154" customFormat="1" x14ac:dyDescent="0.15"/>
    <row r="1039155" customFormat="1" x14ac:dyDescent="0.15"/>
    <row r="1039156" customFormat="1" x14ac:dyDescent="0.15"/>
    <row r="1039157" customFormat="1" x14ac:dyDescent="0.15"/>
    <row r="1039158" customFormat="1" x14ac:dyDescent="0.15"/>
    <row r="1039159" customFormat="1" x14ac:dyDescent="0.15"/>
    <row r="1039160" customFormat="1" x14ac:dyDescent="0.15"/>
    <row r="1039161" customFormat="1" x14ac:dyDescent="0.15"/>
    <row r="1039162" customFormat="1" x14ac:dyDescent="0.15"/>
    <row r="1039163" customFormat="1" x14ac:dyDescent="0.15"/>
    <row r="1039164" customFormat="1" x14ac:dyDescent="0.15"/>
    <row r="1039165" customFormat="1" x14ac:dyDescent="0.15"/>
    <row r="1039166" customFormat="1" x14ac:dyDescent="0.15"/>
    <row r="1039167" customFormat="1" x14ac:dyDescent="0.15"/>
    <row r="1039168" customFormat="1" x14ac:dyDescent="0.15"/>
    <row r="1039169" customFormat="1" x14ac:dyDescent="0.15"/>
    <row r="1039170" customFormat="1" x14ac:dyDescent="0.15"/>
    <row r="1039171" customFormat="1" x14ac:dyDescent="0.15"/>
    <row r="1039172" customFormat="1" x14ac:dyDescent="0.15"/>
    <row r="1039173" customFormat="1" x14ac:dyDescent="0.15"/>
    <row r="1039174" customFormat="1" x14ac:dyDescent="0.15"/>
    <row r="1039175" customFormat="1" x14ac:dyDescent="0.15"/>
    <row r="1039176" customFormat="1" x14ac:dyDescent="0.15"/>
    <row r="1039177" customFormat="1" x14ac:dyDescent="0.15"/>
    <row r="1039178" customFormat="1" x14ac:dyDescent="0.15"/>
    <row r="1039179" customFormat="1" x14ac:dyDescent="0.15"/>
    <row r="1039180" customFormat="1" x14ac:dyDescent="0.15"/>
    <row r="1039181" customFormat="1" x14ac:dyDescent="0.15"/>
    <row r="1039182" customFormat="1" x14ac:dyDescent="0.15"/>
    <row r="1039183" customFormat="1" x14ac:dyDescent="0.15"/>
    <row r="1039184" customFormat="1" x14ac:dyDescent="0.15"/>
    <row r="1039185" customFormat="1" x14ac:dyDescent="0.15"/>
    <row r="1039186" customFormat="1" x14ac:dyDescent="0.15"/>
    <row r="1039187" customFormat="1" x14ac:dyDescent="0.15"/>
    <row r="1039188" customFormat="1" x14ac:dyDescent="0.15"/>
    <row r="1039189" customFormat="1" x14ac:dyDescent="0.15"/>
    <row r="1039190" customFormat="1" x14ac:dyDescent="0.15"/>
    <row r="1039191" customFormat="1" x14ac:dyDescent="0.15"/>
    <row r="1039192" customFormat="1" x14ac:dyDescent="0.15"/>
    <row r="1039193" customFormat="1" x14ac:dyDescent="0.15"/>
    <row r="1039194" customFormat="1" x14ac:dyDescent="0.15"/>
    <row r="1039195" customFormat="1" x14ac:dyDescent="0.15"/>
    <row r="1039196" customFormat="1" x14ac:dyDescent="0.15"/>
    <row r="1039197" customFormat="1" x14ac:dyDescent="0.15"/>
    <row r="1039198" customFormat="1" x14ac:dyDescent="0.15"/>
    <row r="1039199" customFormat="1" x14ac:dyDescent="0.15"/>
    <row r="1039200" customFormat="1" x14ac:dyDescent="0.15"/>
    <row r="1039201" customFormat="1" x14ac:dyDescent="0.15"/>
    <row r="1039202" customFormat="1" x14ac:dyDescent="0.15"/>
    <row r="1039203" customFormat="1" x14ac:dyDescent="0.15"/>
    <row r="1039204" customFormat="1" x14ac:dyDescent="0.15"/>
    <row r="1039205" customFormat="1" x14ac:dyDescent="0.15"/>
    <row r="1039206" customFormat="1" x14ac:dyDescent="0.15"/>
    <row r="1039207" customFormat="1" x14ac:dyDescent="0.15"/>
    <row r="1039208" customFormat="1" x14ac:dyDescent="0.15"/>
    <row r="1039209" customFormat="1" x14ac:dyDescent="0.15"/>
    <row r="1039210" customFormat="1" x14ac:dyDescent="0.15"/>
    <row r="1039211" customFormat="1" x14ac:dyDescent="0.15"/>
    <row r="1039212" customFormat="1" x14ac:dyDescent="0.15"/>
    <row r="1039213" customFormat="1" x14ac:dyDescent="0.15"/>
    <row r="1039214" customFormat="1" x14ac:dyDescent="0.15"/>
    <row r="1039215" customFormat="1" x14ac:dyDescent="0.15"/>
    <row r="1039216" customFormat="1" x14ac:dyDescent="0.15"/>
    <row r="1039217" customFormat="1" x14ac:dyDescent="0.15"/>
    <row r="1039218" customFormat="1" x14ac:dyDescent="0.15"/>
    <row r="1039219" customFormat="1" x14ac:dyDescent="0.15"/>
    <row r="1039220" customFormat="1" x14ac:dyDescent="0.15"/>
    <row r="1039221" customFormat="1" x14ac:dyDescent="0.15"/>
    <row r="1039222" customFormat="1" x14ac:dyDescent="0.15"/>
    <row r="1039223" customFormat="1" x14ac:dyDescent="0.15"/>
    <row r="1039224" customFormat="1" x14ac:dyDescent="0.15"/>
    <row r="1039225" customFormat="1" x14ac:dyDescent="0.15"/>
    <row r="1039226" customFormat="1" x14ac:dyDescent="0.15"/>
    <row r="1039227" customFormat="1" x14ac:dyDescent="0.15"/>
    <row r="1039228" customFormat="1" x14ac:dyDescent="0.15"/>
    <row r="1039229" customFormat="1" x14ac:dyDescent="0.15"/>
    <row r="1039230" customFormat="1" x14ac:dyDescent="0.15"/>
    <row r="1039231" customFormat="1" x14ac:dyDescent="0.15"/>
    <row r="1039232" customFormat="1" x14ac:dyDescent="0.15"/>
    <row r="1039233" customFormat="1" x14ac:dyDescent="0.15"/>
    <row r="1039234" customFormat="1" x14ac:dyDescent="0.15"/>
    <row r="1039235" customFormat="1" x14ac:dyDescent="0.15"/>
    <row r="1039236" customFormat="1" x14ac:dyDescent="0.15"/>
    <row r="1039237" customFormat="1" x14ac:dyDescent="0.15"/>
    <row r="1039238" customFormat="1" x14ac:dyDescent="0.15"/>
    <row r="1039239" customFormat="1" x14ac:dyDescent="0.15"/>
    <row r="1039240" customFormat="1" x14ac:dyDescent="0.15"/>
    <row r="1039241" customFormat="1" x14ac:dyDescent="0.15"/>
    <row r="1039242" customFormat="1" x14ac:dyDescent="0.15"/>
    <row r="1039243" customFormat="1" x14ac:dyDescent="0.15"/>
    <row r="1039244" customFormat="1" x14ac:dyDescent="0.15"/>
    <row r="1039245" customFormat="1" x14ac:dyDescent="0.15"/>
    <row r="1039246" customFormat="1" x14ac:dyDescent="0.15"/>
    <row r="1039247" customFormat="1" x14ac:dyDescent="0.15"/>
    <row r="1039248" customFormat="1" x14ac:dyDescent="0.15"/>
    <row r="1039249" customFormat="1" x14ac:dyDescent="0.15"/>
    <row r="1039250" customFormat="1" x14ac:dyDescent="0.15"/>
    <row r="1039251" customFormat="1" x14ac:dyDescent="0.15"/>
    <row r="1039252" customFormat="1" x14ac:dyDescent="0.15"/>
    <row r="1039253" customFormat="1" x14ac:dyDescent="0.15"/>
    <row r="1039254" customFormat="1" x14ac:dyDescent="0.15"/>
    <row r="1039255" customFormat="1" x14ac:dyDescent="0.15"/>
    <row r="1039256" customFormat="1" x14ac:dyDescent="0.15"/>
    <row r="1039257" customFormat="1" x14ac:dyDescent="0.15"/>
    <row r="1039258" customFormat="1" x14ac:dyDescent="0.15"/>
    <row r="1039259" customFormat="1" x14ac:dyDescent="0.15"/>
    <row r="1039260" customFormat="1" x14ac:dyDescent="0.15"/>
    <row r="1039261" customFormat="1" x14ac:dyDescent="0.15"/>
    <row r="1039262" customFormat="1" x14ac:dyDescent="0.15"/>
    <row r="1039263" customFormat="1" x14ac:dyDescent="0.15"/>
    <row r="1039264" customFormat="1" x14ac:dyDescent="0.15"/>
    <row r="1039265" customFormat="1" x14ac:dyDescent="0.15"/>
    <row r="1039266" customFormat="1" x14ac:dyDescent="0.15"/>
    <row r="1039267" customFormat="1" x14ac:dyDescent="0.15"/>
    <row r="1039268" customFormat="1" x14ac:dyDescent="0.15"/>
    <row r="1039269" customFormat="1" x14ac:dyDescent="0.15"/>
    <row r="1039270" customFormat="1" x14ac:dyDescent="0.15"/>
    <row r="1039271" customFormat="1" x14ac:dyDescent="0.15"/>
    <row r="1039272" customFormat="1" x14ac:dyDescent="0.15"/>
    <row r="1039273" customFormat="1" x14ac:dyDescent="0.15"/>
    <row r="1039274" customFormat="1" x14ac:dyDescent="0.15"/>
    <row r="1039275" customFormat="1" x14ac:dyDescent="0.15"/>
    <row r="1039276" customFormat="1" x14ac:dyDescent="0.15"/>
    <row r="1039277" customFormat="1" x14ac:dyDescent="0.15"/>
    <row r="1039278" customFormat="1" x14ac:dyDescent="0.15"/>
    <row r="1039279" customFormat="1" x14ac:dyDescent="0.15"/>
    <row r="1039280" customFormat="1" x14ac:dyDescent="0.15"/>
    <row r="1039281" customFormat="1" x14ac:dyDescent="0.15"/>
    <row r="1039282" customFormat="1" x14ac:dyDescent="0.15"/>
    <row r="1039283" customFormat="1" x14ac:dyDescent="0.15"/>
    <row r="1039284" customFormat="1" x14ac:dyDescent="0.15"/>
    <row r="1039285" customFormat="1" x14ac:dyDescent="0.15"/>
    <row r="1039286" customFormat="1" x14ac:dyDescent="0.15"/>
    <row r="1039287" customFormat="1" x14ac:dyDescent="0.15"/>
    <row r="1039288" customFormat="1" x14ac:dyDescent="0.15"/>
    <row r="1039289" customFormat="1" x14ac:dyDescent="0.15"/>
    <row r="1039290" customFormat="1" x14ac:dyDescent="0.15"/>
    <row r="1039291" customFormat="1" x14ac:dyDescent="0.15"/>
    <row r="1039292" customFormat="1" x14ac:dyDescent="0.15"/>
    <row r="1039293" customFormat="1" x14ac:dyDescent="0.15"/>
    <row r="1039294" customFormat="1" x14ac:dyDescent="0.15"/>
    <row r="1039295" customFormat="1" x14ac:dyDescent="0.15"/>
    <row r="1039296" customFormat="1" x14ac:dyDescent="0.15"/>
    <row r="1039297" customFormat="1" x14ac:dyDescent="0.15"/>
    <row r="1039298" customFormat="1" x14ac:dyDescent="0.15"/>
    <row r="1039299" customFormat="1" x14ac:dyDescent="0.15"/>
    <row r="1039300" customFormat="1" x14ac:dyDescent="0.15"/>
    <row r="1039301" customFormat="1" x14ac:dyDescent="0.15"/>
    <row r="1039302" customFormat="1" x14ac:dyDescent="0.15"/>
    <row r="1039303" customFormat="1" x14ac:dyDescent="0.15"/>
    <row r="1039304" customFormat="1" x14ac:dyDescent="0.15"/>
    <row r="1039305" customFormat="1" x14ac:dyDescent="0.15"/>
    <row r="1039306" customFormat="1" x14ac:dyDescent="0.15"/>
    <row r="1039307" customFormat="1" x14ac:dyDescent="0.15"/>
    <row r="1039308" customFormat="1" x14ac:dyDescent="0.15"/>
    <row r="1039309" customFormat="1" x14ac:dyDescent="0.15"/>
    <row r="1039310" customFormat="1" x14ac:dyDescent="0.15"/>
    <row r="1039311" customFormat="1" x14ac:dyDescent="0.15"/>
    <row r="1039312" customFormat="1" x14ac:dyDescent="0.15"/>
    <row r="1039313" customFormat="1" x14ac:dyDescent="0.15"/>
    <row r="1039314" customFormat="1" x14ac:dyDescent="0.15"/>
    <row r="1039315" customFormat="1" x14ac:dyDescent="0.15"/>
    <row r="1039316" customFormat="1" x14ac:dyDescent="0.15"/>
    <row r="1039317" customFormat="1" x14ac:dyDescent="0.15"/>
    <row r="1039318" customFormat="1" x14ac:dyDescent="0.15"/>
    <row r="1039319" customFormat="1" x14ac:dyDescent="0.15"/>
    <row r="1039320" customFormat="1" x14ac:dyDescent="0.15"/>
    <row r="1039321" customFormat="1" x14ac:dyDescent="0.15"/>
    <row r="1039322" customFormat="1" x14ac:dyDescent="0.15"/>
    <row r="1039323" customFormat="1" x14ac:dyDescent="0.15"/>
    <row r="1039324" customFormat="1" x14ac:dyDescent="0.15"/>
    <row r="1039325" customFormat="1" x14ac:dyDescent="0.15"/>
    <row r="1039326" customFormat="1" x14ac:dyDescent="0.15"/>
    <row r="1039327" customFormat="1" x14ac:dyDescent="0.15"/>
    <row r="1039328" customFormat="1" x14ac:dyDescent="0.15"/>
    <row r="1039329" customFormat="1" x14ac:dyDescent="0.15"/>
    <row r="1039330" customFormat="1" x14ac:dyDescent="0.15"/>
    <row r="1039331" customFormat="1" x14ac:dyDescent="0.15"/>
    <row r="1039332" customFormat="1" x14ac:dyDescent="0.15"/>
    <row r="1039333" customFormat="1" x14ac:dyDescent="0.15"/>
    <row r="1039334" customFormat="1" x14ac:dyDescent="0.15"/>
    <row r="1039335" customFormat="1" x14ac:dyDescent="0.15"/>
    <row r="1039336" customFormat="1" x14ac:dyDescent="0.15"/>
    <row r="1039337" customFormat="1" x14ac:dyDescent="0.15"/>
    <row r="1039338" customFormat="1" x14ac:dyDescent="0.15"/>
    <row r="1039339" customFormat="1" x14ac:dyDescent="0.15"/>
    <row r="1039340" customFormat="1" x14ac:dyDescent="0.15"/>
    <row r="1039341" customFormat="1" x14ac:dyDescent="0.15"/>
    <row r="1039342" customFormat="1" x14ac:dyDescent="0.15"/>
    <row r="1039343" customFormat="1" x14ac:dyDescent="0.15"/>
    <row r="1039344" customFormat="1" x14ac:dyDescent="0.15"/>
    <row r="1039345" customFormat="1" x14ac:dyDescent="0.15"/>
    <row r="1039346" customFormat="1" x14ac:dyDescent="0.15"/>
    <row r="1039347" customFormat="1" x14ac:dyDescent="0.15"/>
    <row r="1039348" customFormat="1" x14ac:dyDescent="0.15"/>
    <row r="1039349" customFormat="1" x14ac:dyDescent="0.15"/>
    <row r="1039350" customFormat="1" x14ac:dyDescent="0.15"/>
    <row r="1039351" customFormat="1" x14ac:dyDescent="0.15"/>
    <row r="1039352" customFormat="1" x14ac:dyDescent="0.15"/>
    <row r="1039353" customFormat="1" x14ac:dyDescent="0.15"/>
    <row r="1039354" customFormat="1" x14ac:dyDescent="0.15"/>
    <row r="1039355" customFormat="1" x14ac:dyDescent="0.15"/>
    <row r="1039356" customFormat="1" x14ac:dyDescent="0.15"/>
    <row r="1039357" customFormat="1" x14ac:dyDescent="0.15"/>
    <row r="1039358" customFormat="1" x14ac:dyDescent="0.15"/>
    <row r="1039359" customFormat="1" x14ac:dyDescent="0.15"/>
    <row r="1039360" customFormat="1" x14ac:dyDescent="0.15"/>
    <row r="1039361" customFormat="1" x14ac:dyDescent="0.15"/>
    <row r="1039362" customFormat="1" x14ac:dyDescent="0.15"/>
    <row r="1039363" customFormat="1" x14ac:dyDescent="0.15"/>
    <row r="1039364" customFormat="1" x14ac:dyDescent="0.15"/>
    <row r="1039365" customFormat="1" x14ac:dyDescent="0.15"/>
    <row r="1039366" customFormat="1" x14ac:dyDescent="0.15"/>
    <row r="1039367" customFormat="1" x14ac:dyDescent="0.15"/>
    <row r="1039368" customFormat="1" x14ac:dyDescent="0.15"/>
    <row r="1039369" customFormat="1" x14ac:dyDescent="0.15"/>
    <row r="1039370" customFormat="1" x14ac:dyDescent="0.15"/>
    <row r="1039371" customFormat="1" x14ac:dyDescent="0.15"/>
    <row r="1039372" customFormat="1" x14ac:dyDescent="0.15"/>
    <row r="1039373" customFormat="1" x14ac:dyDescent="0.15"/>
    <row r="1039374" customFormat="1" x14ac:dyDescent="0.15"/>
    <row r="1039375" customFormat="1" x14ac:dyDescent="0.15"/>
    <row r="1039376" customFormat="1" x14ac:dyDescent="0.15"/>
    <row r="1039377" customFormat="1" x14ac:dyDescent="0.15"/>
    <row r="1039378" customFormat="1" x14ac:dyDescent="0.15"/>
    <row r="1039379" customFormat="1" x14ac:dyDescent="0.15"/>
    <row r="1039380" customFormat="1" x14ac:dyDescent="0.15"/>
    <row r="1039381" customFormat="1" x14ac:dyDescent="0.15"/>
    <row r="1039382" customFormat="1" x14ac:dyDescent="0.15"/>
    <row r="1039383" customFormat="1" x14ac:dyDescent="0.15"/>
    <row r="1039384" customFormat="1" x14ac:dyDescent="0.15"/>
    <row r="1039385" customFormat="1" x14ac:dyDescent="0.15"/>
    <row r="1039386" customFormat="1" x14ac:dyDescent="0.15"/>
    <row r="1039387" customFormat="1" x14ac:dyDescent="0.15"/>
    <row r="1039388" customFormat="1" x14ac:dyDescent="0.15"/>
    <row r="1039389" customFormat="1" x14ac:dyDescent="0.15"/>
    <row r="1039390" customFormat="1" x14ac:dyDescent="0.15"/>
    <row r="1039391" customFormat="1" x14ac:dyDescent="0.15"/>
    <row r="1039392" customFormat="1" x14ac:dyDescent="0.15"/>
    <row r="1039393" customFormat="1" x14ac:dyDescent="0.15"/>
    <row r="1039394" customFormat="1" x14ac:dyDescent="0.15"/>
    <row r="1039395" customFormat="1" x14ac:dyDescent="0.15"/>
    <row r="1039396" customFormat="1" x14ac:dyDescent="0.15"/>
    <row r="1039397" customFormat="1" x14ac:dyDescent="0.15"/>
    <row r="1039398" customFormat="1" x14ac:dyDescent="0.15"/>
    <row r="1039399" customFormat="1" x14ac:dyDescent="0.15"/>
    <row r="1039400" customFormat="1" x14ac:dyDescent="0.15"/>
    <row r="1039401" customFormat="1" x14ac:dyDescent="0.15"/>
    <row r="1039402" customFormat="1" x14ac:dyDescent="0.15"/>
    <row r="1039403" customFormat="1" x14ac:dyDescent="0.15"/>
    <row r="1039404" customFormat="1" x14ac:dyDescent="0.15"/>
    <row r="1039405" customFormat="1" x14ac:dyDescent="0.15"/>
    <row r="1039406" customFormat="1" x14ac:dyDescent="0.15"/>
    <row r="1039407" customFormat="1" x14ac:dyDescent="0.15"/>
    <row r="1039408" customFormat="1" x14ac:dyDescent="0.15"/>
    <row r="1039409" customFormat="1" x14ac:dyDescent="0.15"/>
    <row r="1039410" customFormat="1" x14ac:dyDescent="0.15"/>
    <row r="1039411" customFormat="1" x14ac:dyDescent="0.15"/>
    <row r="1039412" customFormat="1" x14ac:dyDescent="0.15"/>
    <row r="1039413" customFormat="1" x14ac:dyDescent="0.15"/>
    <row r="1039414" customFormat="1" x14ac:dyDescent="0.15"/>
    <row r="1039415" customFormat="1" x14ac:dyDescent="0.15"/>
    <row r="1039416" customFormat="1" x14ac:dyDescent="0.15"/>
    <row r="1039417" customFormat="1" x14ac:dyDescent="0.15"/>
    <row r="1039418" customFormat="1" x14ac:dyDescent="0.15"/>
    <row r="1039419" customFormat="1" x14ac:dyDescent="0.15"/>
    <row r="1039420" customFormat="1" x14ac:dyDescent="0.15"/>
    <row r="1039421" customFormat="1" x14ac:dyDescent="0.15"/>
    <row r="1039422" customFormat="1" x14ac:dyDescent="0.15"/>
    <row r="1039423" customFormat="1" x14ac:dyDescent="0.15"/>
    <row r="1039424" customFormat="1" x14ac:dyDescent="0.15"/>
    <row r="1039425" customFormat="1" x14ac:dyDescent="0.15"/>
    <row r="1039426" customFormat="1" x14ac:dyDescent="0.15"/>
    <row r="1039427" customFormat="1" x14ac:dyDescent="0.15"/>
    <row r="1039428" customFormat="1" x14ac:dyDescent="0.15"/>
    <row r="1039429" customFormat="1" x14ac:dyDescent="0.15"/>
    <row r="1039430" customFormat="1" x14ac:dyDescent="0.15"/>
    <row r="1039431" customFormat="1" x14ac:dyDescent="0.15"/>
    <row r="1039432" customFormat="1" x14ac:dyDescent="0.15"/>
    <row r="1039433" customFormat="1" x14ac:dyDescent="0.15"/>
    <row r="1039434" customFormat="1" x14ac:dyDescent="0.15"/>
    <row r="1039435" customFormat="1" x14ac:dyDescent="0.15"/>
    <row r="1039436" customFormat="1" x14ac:dyDescent="0.15"/>
    <row r="1039437" customFormat="1" x14ac:dyDescent="0.15"/>
    <row r="1039438" customFormat="1" x14ac:dyDescent="0.15"/>
    <row r="1039439" customFormat="1" x14ac:dyDescent="0.15"/>
    <row r="1039440" customFormat="1" x14ac:dyDescent="0.15"/>
    <row r="1039441" customFormat="1" x14ac:dyDescent="0.15"/>
    <row r="1039442" customFormat="1" x14ac:dyDescent="0.15"/>
    <row r="1039443" customFormat="1" x14ac:dyDescent="0.15"/>
    <row r="1039444" customFormat="1" x14ac:dyDescent="0.15"/>
    <row r="1039445" customFormat="1" x14ac:dyDescent="0.15"/>
    <row r="1039446" customFormat="1" x14ac:dyDescent="0.15"/>
    <row r="1039447" customFormat="1" x14ac:dyDescent="0.15"/>
    <row r="1039448" customFormat="1" x14ac:dyDescent="0.15"/>
    <row r="1039449" customFormat="1" x14ac:dyDescent="0.15"/>
    <row r="1039450" customFormat="1" x14ac:dyDescent="0.15"/>
    <row r="1039451" customFormat="1" x14ac:dyDescent="0.15"/>
    <row r="1039452" customFormat="1" x14ac:dyDescent="0.15"/>
    <row r="1039453" customFormat="1" x14ac:dyDescent="0.15"/>
    <row r="1039454" customFormat="1" x14ac:dyDescent="0.15"/>
    <row r="1039455" customFormat="1" x14ac:dyDescent="0.15"/>
    <row r="1039456" customFormat="1" x14ac:dyDescent="0.15"/>
    <row r="1039457" customFormat="1" x14ac:dyDescent="0.15"/>
    <row r="1039458" customFormat="1" x14ac:dyDescent="0.15"/>
    <row r="1039459" customFormat="1" x14ac:dyDescent="0.15"/>
    <row r="1039460" customFormat="1" x14ac:dyDescent="0.15"/>
    <row r="1039461" customFormat="1" x14ac:dyDescent="0.15"/>
    <row r="1039462" customFormat="1" x14ac:dyDescent="0.15"/>
    <row r="1039463" customFormat="1" x14ac:dyDescent="0.15"/>
    <row r="1039464" customFormat="1" x14ac:dyDescent="0.15"/>
    <row r="1039465" customFormat="1" x14ac:dyDescent="0.15"/>
    <row r="1039466" customFormat="1" x14ac:dyDescent="0.15"/>
    <row r="1039467" customFormat="1" x14ac:dyDescent="0.15"/>
    <row r="1039468" customFormat="1" x14ac:dyDescent="0.15"/>
    <row r="1039469" customFormat="1" x14ac:dyDescent="0.15"/>
    <row r="1039470" customFormat="1" x14ac:dyDescent="0.15"/>
    <row r="1039471" customFormat="1" x14ac:dyDescent="0.15"/>
    <row r="1039472" customFormat="1" x14ac:dyDescent="0.15"/>
    <row r="1039473" customFormat="1" x14ac:dyDescent="0.15"/>
    <row r="1039474" customFormat="1" x14ac:dyDescent="0.15"/>
    <row r="1039475" customFormat="1" x14ac:dyDescent="0.15"/>
    <row r="1039476" customFormat="1" x14ac:dyDescent="0.15"/>
    <row r="1039477" customFormat="1" x14ac:dyDescent="0.15"/>
    <row r="1039478" customFormat="1" x14ac:dyDescent="0.15"/>
    <row r="1039479" customFormat="1" x14ac:dyDescent="0.15"/>
    <row r="1039480" customFormat="1" x14ac:dyDescent="0.15"/>
    <row r="1039481" customFormat="1" x14ac:dyDescent="0.15"/>
    <row r="1039482" customFormat="1" x14ac:dyDescent="0.15"/>
    <row r="1039483" customFormat="1" x14ac:dyDescent="0.15"/>
    <row r="1039484" customFormat="1" x14ac:dyDescent="0.15"/>
    <row r="1039485" customFormat="1" x14ac:dyDescent="0.15"/>
    <row r="1039486" customFormat="1" x14ac:dyDescent="0.15"/>
    <row r="1039487" customFormat="1" x14ac:dyDescent="0.15"/>
    <row r="1039488" customFormat="1" x14ac:dyDescent="0.15"/>
    <row r="1039489" customFormat="1" x14ac:dyDescent="0.15"/>
    <row r="1039490" customFormat="1" x14ac:dyDescent="0.15"/>
    <row r="1039491" customFormat="1" x14ac:dyDescent="0.15"/>
    <row r="1039492" customFormat="1" x14ac:dyDescent="0.15"/>
    <row r="1039493" customFormat="1" x14ac:dyDescent="0.15"/>
    <row r="1039494" customFormat="1" x14ac:dyDescent="0.15"/>
    <row r="1039495" customFormat="1" x14ac:dyDescent="0.15"/>
    <row r="1039496" customFormat="1" x14ac:dyDescent="0.15"/>
    <row r="1039497" customFormat="1" x14ac:dyDescent="0.15"/>
    <row r="1039498" customFormat="1" x14ac:dyDescent="0.15"/>
    <row r="1039499" customFormat="1" x14ac:dyDescent="0.15"/>
    <row r="1039500" customFormat="1" x14ac:dyDescent="0.15"/>
    <row r="1039501" customFormat="1" x14ac:dyDescent="0.15"/>
    <row r="1039502" customFormat="1" x14ac:dyDescent="0.15"/>
    <row r="1039503" customFormat="1" x14ac:dyDescent="0.15"/>
    <row r="1039504" customFormat="1" x14ac:dyDescent="0.15"/>
    <row r="1039505" customFormat="1" x14ac:dyDescent="0.15"/>
    <row r="1039506" customFormat="1" x14ac:dyDescent="0.15"/>
    <row r="1039507" customFormat="1" x14ac:dyDescent="0.15"/>
    <row r="1039508" customFormat="1" x14ac:dyDescent="0.15"/>
    <row r="1039509" customFormat="1" x14ac:dyDescent="0.15"/>
    <row r="1039510" customFormat="1" x14ac:dyDescent="0.15"/>
    <row r="1039511" customFormat="1" x14ac:dyDescent="0.15"/>
    <row r="1039512" customFormat="1" x14ac:dyDescent="0.15"/>
    <row r="1039513" customFormat="1" x14ac:dyDescent="0.15"/>
    <row r="1039514" customFormat="1" x14ac:dyDescent="0.15"/>
    <row r="1039515" customFormat="1" x14ac:dyDescent="0.15"/>
    <row r="1039516" customFormat="1" x14ac:dyDescent="0.15"/>
    <row r="1039517" customFormat="1" x14ac:dyDescent="0.15"/>
    <row r="1039518" customFormat="1" x14ac:dyDescent="0.15"/>
    <row r="1039519" customFormat="1" x14ac:dyDescent="0.15"/>
    <row r="1039520" customFormat="1" x14ac:dyDescent="0.15"/>
    <row r="1039521" customFormat="1" x14ac:dyDescent="0.15"/>
    <row r="1039522" customFormat="1" x14ac:dyDescent="0.15"/>
    <row r="1039523" customFormat="1" x14ac:dyDescent="0.15"/>
    <row r="1039524" customFormat="1" x14ac:dyDescent="0.15"/>
    <row r="1039525" customFormat="1" x14ac:dyDescent="0.15"/>
    <row r="1039526" customFormat="1" x14ac:dyDescent="0.15"/>
    <row r="1039527" customFormat="1" x14ac:dyDescent="0.15"/>
    <row r="1039528" customFormat="1" x14ac:dyDescent="0.15"/>
    <row r="1039529" customFormat="1" x14ac:dyDescent="0.15"/>
    <row r="1039530" customFormat="1" x14ac:dyDescent="0.15"/>
    <row r="1039531" customFormat="1" x14ac:dyDescent="0.15"/>
    <row r="1039532" customFormat="1" x14ac:dyDescent="0.15"/>
    <row r="1039533" customFormat="1" x14ac:dyDescent="0.15"/>
    <row r="1039534" customFormat="1" x14ac:dyDescent="0.15"/>
    <row r="1039535" customFormat="1" x14ac:dyDescent="0.15"/>
    <row r="1039536" customFormat="1" x14ac:dyDescent="0.15"/>
    <row r="1039537" customFormat="1" x14ac:dyDescent="0.15"/>
    <row r="1039538" customFormat="1" x14ac:dyDescent="0.15"/>
    <row r="1039539" customFormat="1" x14ac:dyDescent="0.15"/>
    <row r="1039540" customFormat="1" x14ac:dyDescent="0.15"/>
    <row r="1039541" customFormat="1" x14ac:dyDescent="0.15"/>
    <row r="1039542" customFormat="1" x14ac:dyDescent="0.15"/>
    <row r="1039543" customFormat="1" x14ac:dyDescent="0.15"/>
    <row r="1039544" customFormat="1" x14ac:dyDescent="0.15"/>
    <row r="1039545" customFormat="1" x14ac:dyDescent="0.15"/>
    <row r="1039546" customFormat="1" x14ac:dyDescent="0.15"/>
    <row r="1039547" customFormat="1" x14ac:dyDescent="0.15"/>
    <row r="1039548" customFormat="1" x14ac:dyDescent="0.15"/>
    <row r="1039549" customFormat="1" x14ac:dyDescent="0.15"/>
    <row r="1039550" customFormat="1" x14ac:dyDescent="0.15"/>
    <row r="1039551" customFormat="1" x14ac:dyDescent="0.15"/>
    <row r="1039552" customFormat="1" x14ac:dyDescent="0.15"/>
    <row r="1039553" customFormat="1" x14ac:dyDescent="0.15"/>
    <row r="1039554" customFormat="1" x14ac:dyDescent="0.15"/>
    <row r="1039555" customFormat="1" x14ac:dyDescent="0.15"/>
    <row r="1039556" customFormat="1" x14ac:dyDescent="0.15"/>
    <row r="1039557" customFormat="1" x14ac:dyDescent="0.15"/>
    <row r="1039558" customFormat="1" x14ac:dyDescent="0.15"/>
    <row r="1039559" customFormat="1" x14ac:dyDescent="0.15"/>
    <row r="1039560" customFormat="1" x14ac:dyDescent="0.15"/>
    <row r="1039561" customFormat="1" x14ac:dyDescent="0.15"/>
    <row r="1039562" customFormat="1" x14ac:dyDescent="0.15"/>
    <row r="1039563" customFormat="1" x14ac:dyDescent="0.15"/>
    <row r="1039564" customFormat="1" x14ac:dyDescent="0.15"/>
    <row r="1039565" customFormat="1" x14ac:dyDescent="0.15"/>
    <row r="1039566" customFormat="1" x14ac:dyDescent="0.15"/>
    <row r="1039567" customFormat="1" x14ac:dyDescent="0.15"/>
    <row r="1039568" customFormat="1" x14ac:dyDescent="0.15"/>
    <row r="1039569" customFormat="1" x14ac:dyDescent="0.15"/>
    <row r="1039570" customFormat="1" x14ac:dyDescent="0.15"/>
    <row r="1039571" customFormat="1" x14ac:dyDescent="0.15"/>
    <row r="1039572" customFormat="1" x14ac:dyDescent="0.15"/>
    <row r="1039573" customFormat="1" x14ac:dyDescent="0.15"/>
    <row r="1039574" customFormat="1" x14ac:dyDescent="0.15"/>
    <row r="1039575" customFormat="1" x14ac:dyDescent="0.15"/>
    <row r="1039576" customFormat="1" x14ac:dyDescent="0.15"/>
    <row r="1039577" customFormat="1" x14ac:dyDescent="0.15"/>
    <row r="1039578" customFormat="1" x14ac:dyDescent="0.15"/>
    <row r="1039579" customFormat="1" x14ac:dyDescent="0.15"/>
    <row r="1039580" customFormat="1" x14ac:dyDescent="0.15"/>
    <row r="1039581" customFormat="1" x14ac:dyDescent="0.15"/>
    <row r="1039582" customFormat="1" x14ac:dyDescent="0.15"/>
    <row r="1039583" customFormat="1" x14ac:dyDescent="0.15"/>
    <row r="1039584" customFormat="1" x14ac:dyDescent="0.15"/>
    <row r="1039585" customFormat="1" x14ac:dyDescent="0.15"/>
    <row r="1039586" customFormat="1" x14ac:dyDescent="0.15"/>
    <row r="1039587" customFormat="1" x14ac:dyDescent="0.15"/>
    <row r="1039588" customFormat="1" x14ac:dyDescent="0.15"/>
    <row r="1039589" customFormat="1" x14ac:dyDescent="0.15"/>
    <row r="1039590" customFormat="1" x14ac:dyDescent="0.15"/>
    <row r="1039591" customFormat="1" x14ac:dyDescent="0.15"/>
    <row r="1039592" customFormat="1" x14ac:dyDescent="0.15"/>
    <row r="1039593" customFormat="1" x14ac:dyDescent="0.15"/>
    <row r="1039594" customFormat="1" x14ac:dyDescent="0.15"/>
    <row r="1039595" customFormat="1" x14ac:dyDescent="0.15"/>
    <row r="1039596" customFormat="1" x14ac:dyDescent="0.15"/>
    <row r="1039597" customFormat="1" x14ac:dyDescent="0.15"/>
    <row r="1039598" customFormat="1" x14ac:dyDescent="0.15"/>
    <row r="1039599" customFormat="1" x14ac:dyDescent="0.15"/>
    <row r="1039600" customFormat="1" x14ac:dyDescent="0.15"/>
    <row r="1039601" customFormat="1" x14ac:dyDescent="0.15"/>
    <row r="1039602" customFormat="1" x14ac:dyDescent="0.15"/>
    <row r="1039603" customFormat="1" x14ac:dyDescent="0.15"/>
    <row r="1039604" customFormat="1" x14ac:dyDescent="0.15"/>
    <row r="1039605" customFormat="1" x14ac:dyDescent="0.15"/>
    <row r="1039606" customFormat="1" x14ac:dyDescent="0.15"/>
    <row r="1039607" customFormat="1" x14ac:dyDescent="0.15"/>
    <row r="1039608" customFormat="1" x14ac:dyDescent="0.15"/>
    <row r="1039609" customFormat="1" x14ac:dyDescent="0.15"/>
    <row r="1039610" customFormat="1" x14ac:dyDescent="0.15"/>
    <row r="1039611" customFormat="1" x14ac:dyDescent="0.15"/>
    <row r="1039612" customFormat="1" x14ac:dyDescent="0.15"/>
    <row r="1039613" customFormat="1" x14ac:dyDescent="0.15"/>
    <row r="1039614" customFormat="1" x14ac:dyDescent="0.15"/>
    <row r="1039615" customFormat="1" x14ac:dyDescent="0.15"/>
    <row r="1039616" customFormat="1" x14ac:dyDescent="0.15"/>
    <row r="1039617" customFormat="1" x14ac:dyDescent="0.15"/>
    <row r="1039618" customFormat="1" x14ac:dyDescent="0.15"/>
    <row r="1039619" customFormat="1" x14ac:dyDescent="0.15"/>
    <row r="1039620" customFormat="1" x14ac:dyDescent="0.15"/>
    <row r="1039621" customFormat="1" x14ac:dyDescent="0.15"/>
    <row r="1039622" customFormat="1" x14ac:dyDescent="0.15"/>
    <row r="1039623" customFormat="1" x14ac:dyDescent="0.15"/>
    <row r="1039624" customFormat="1" x14ac:dyDescent="0.15"/>
    <row r="1039625" customFormat="1" x14ac:dyDescent="0.15"/>
    <row r="1039626" customFormat="1" x14ac:dyDescent="0.15"/>
    <row r="1039627" customFormat="1" x14ac:dyDescent="0.15"/>
    <row r="1039628" customFormat="1" x14ac:dyDescent="0.15"/>
    <row r="1039629" customFormat="1" x14ac:dyDescent="0.15"/>
    <row r="1039630" customFormat="1" x14ac:dyDescent="0.15"/>
    <row r="1039631" customFormat="1" x14ac:dyDescent="0.15"/>
    <row r="1039632" customFormat="1" x14ac:dyDescent="0.15"/>
    <row r="1039633" customFormat="1" x14ac:dyDescent="0.15"/>
    <row r="1039634" customFormat="1" x14ac:dyDescent="0.15"/>
    <row r="1039635" customFormat="1" x14ac:dyDescent="0.15"/>
    <row r="1039636" customFormat="1" x14ac:dyDescent="0.15"/>
    <row r="1039637" customFormat="1" x14ac:dyDescent="0.15"/>
    <row r="1039638" customFormat="1" x14ac:dyDescent="0.15"/>
    <row r="1039639" customFormat="1" x14ac:dyDescent="0.15"/>
    <row r="1039640" customFormat="1" x14ac:dyDescent="0.15"/>
    <row r="1039641" customFormat="1" x14ac:dyDescent="0.15"/>
    <row r="1039642" customFormat="1" x14ac:dyDescent="0.15"/>
    <row r="1039643" customFormat="1" x14ac:dyDescent="0.15"/>
    <row r="1039644" customFormat="1" x14ac:dyDescent="0.15"/>
    <row r="1039645" customFormat="1" x14ac:dyDescent="0.15"/>
    <row r="1039646" customFormat="1" x14ac:dyDescent="0.15"/>
    <row r="1039647" customFormat="1" x14ac:dyDescent="0.15"/>
    <row r="1039648" customFormat="1" x14ac:dyDescent="0.15"/>
    <row r="1039649" customFormat="1" x14ac:dyDescent="0.15"/>
    <row r="1039650" customFormat="1" x14ac:dyDescent="0.15"/>
    <row r="1039651" customFormat="1" x14ac:dyDescent="0.15"/>
    <row r="1039652" customFormat="1" x14ac:dyDescent="0.15"/>
    <row r="1039653" customFormat="1" x14ac:dyDescent="0.15"/>
    <row r="1039654" customFormat="1" x14ac:dyDescent="0.15"/>
    <row r="1039655" customFormat="1" x14ac:dyDescent="0.15"/>
    <row r="1039656" customFormat="1" x14ac:dyDescent="0.15"/>
    <row r="1039657" customFormat="1" x14ac:dyDescent="0.15"/>
    <row r="1039658" customFormat="1" x14ac:dyDescent="0.15"/>
    <row r="1039659" customFormat="1" x14ac:dyDescent="0.15"/>
    <row r="1039660" customFormat="1" x14ac:dyDescent="0.15"/>
    <row r="1039661" customFormat="1" x14ac:dyDescent="0.15"/>
    <row r="1039662" customFormat="1" x14ac:dyDescent="0.15"/>
    <row r="1039663" customFormat="1" x14ac:dyDescent="0.15"/>
    <row r="1039664" customFormat="1" x14ac:dyDescent="0.15"/>
    <row r="1039665" customFormat="1" x14ac:dyDescent="0.15"/>
    <row r="1039666" customFormat="1" x14ac:dyDescent="0.15"/>
    <row r="1039667" customFormat="1" x14ac:dyDescent="0.15"/>
    <row r="1039668" customFormat="1" x14ac:dyDescent="0.15"/>
    <row r="1039669" customFormat="1" x14ac:dyDescent="0.15"/>
    <row r="1039670" customFormat="1" x14ac:dyDescent="0.15"/>
    <row r="1039671" customFormat="1" x14ac:dyDescent="0.15"/>
    <row r="1039672" customFormat="1" x14ac:dyDescent="0.15"/>
    <row r="1039673" customFormat="1" x14ac:dyDescent="0.15"/>
    <row r="1039674" customFormat="1" x14ac:dyDescent="0.15"/>
    <row r="1039675" customFormat="1" x14ac:dyDescent="0.15"/>
    <row r="1039676" customFormat="1" x14ac:dyDescent="0.15"/>
    <row r="1039677" customFormat="1" x14ac:dyDescent="0.15"/>
    <row r="1039678" customFormat="1" x14ac:dyDescent="0.15"/>
    <row r="1039679" customFormat="1" x14ac:dyDescent="0.15"/>
    <row r="1039680" customFormat="1" x14ac:dyDescent="0.15"/>
    <row r="1039681" customFormat="1" x14ac:dyDescent="0.15"/>
    <row r="1039682" customFormat="1" x14ac:dyDescent="0.15"/>
    <row r="1039683" customFormat="1" x14ac:dyDescent="0.15"/>
    <row r="1039684" customFormat="1" x14ac:dyDescent="0.15"/>
    <row r="1039685" customFormat="1" x14ac:dyDescent="0.15"/>
    <row r="1039686" customFormat="1" x14ac:dyDescent="0.15"/>
    <row r="1039687" customFormat="1" x14ac:dyDescent="0.15"/>
    <row r="1039688" customFormat="1" x14ac:dyDescent="0.15"/>
    <row r="1039689" customFormat="1" x14ac:dyDescent="0.15"/>
    <row r="1039690" customFormat="1" x14ac:dyDescent="0.15"/>
    <row r="1039691" customFormat="1" x14ac:dyDescent="0.15"/>
    <row r="1039692" customFormat="1" x14ac:dyDescent="0.15"/>
    <row r="1039693" customFormat="1" x14ac:dyDescent="0.15"/>
    <row r="1039694" customFormat="1" x14ac:dyDescent="0.15"/>
    <row r="1039695" customFormat="1" x14ac:dyDescent="0.15"/>
    <row r="1039696" customFormat="1" x14ac:dyDescent="0.15"/>
    <row r="1039697" customFormat="1" x14ac:dyDescent="0.15"/>
    <row r="1039698" customFormat="1" x14ac:dyDescent="0.15"/>
    <row r="1039699" customFormat="1" x14ac:dyDescent="0.15"/>
    <row r="1039700" customFormat="1" x14ac:dyDescent="0.15"/>
    <row r="1039701" customFormat="1" x14ac:dyDescent="0.15"/>
    <row r="1039702" customFormat="1" x14ac:dyDescent="0.15"/>
    <row r="1039703" customFormat="1" x14ac:dyDescent="0.15"/>
    <row r="1039704" customFormat="1" x14ac:dyDescent="0.15"/>
    <row r="1039705" customFormat="1" x14ac:dyDescent="0.15"/>
    <row r="1039706" customFormat="1" x14ac:dyDescent="0.15"/>
    <row r="1039707" customFormat="1" x14ac:dyDescent="0.15"/>
    <row r="1039708" customFormat="1" x14ac:dyDescent="0.15"/>
    <row r="1039709" customFormat="1" x14ac:dyDescent="0.15"/>
    <row r="1039710" customFormat="1" x14ac:dyDescent="0.15"/>
    <row r="1039711" customFormat="1" x14ac:dyDescent="0.15"/>
    <row r="1039712" customFormat="1" x14ac:dyDescent="0.15"/>
    <row r="1039713" customFormat="1" x14ac:dyDescent="0.15"/>
    <row r="1039714" customFormat="1" x14ac:dyDescent="0.15"/>
    <row r="1039715" customFormat="1" x14ac:dyDescent="0.15"/>
    <row r="1039716" customFormat="1" x14ac:dyDescent="0.15"/>
    <row r="1039717" customFormat="1" x14ac:dyDescent="0.15"/>
    <row r="1039718" customFormat="1" x14ac:dyDescent="0.15"/>
    <row r="1039719" customFormat="1" x14ac:dyDescent="0.15"/>
    <row r="1039720" customFormat="1" x14ac:dyDescent="0.15"/>
    <row r="1039721" customFormat="1" x14ac:dyDescent="0.15"/>
    <row r="1039722" customFormat="1" x14ac:dyDescent="0.15"/>
    <row r="1039723" customFormat="1" x14ac:dyDescent="0.15"/>
    <row r="1039724" customFormat="1" x14ac:dyDescent="0.15"/>
    <row r="1039725" customFormat="1" x14ac:dyDescent="0.15"/>
    <row r="1039726" customFormat="1" x14ac:dyDescent="0.15"/>
    <row r="1039727" customFormat="1" x14ac:dyDescent="0.15"/>
    <row r="1039728" customFormat="1" x14ac:dyDescent="0.15"/>
    <row r="1039729" customFormat="1" x14ac:dyDescent="0.15"/>
    <row r="1039730" customFormat="1" x14ac:dyDescent="0.15"/>
    <row r="1039731" customFormat="1" x14ac:dyDescent="0.15"/>
    <row r="1039732" customFormat="1" x14ac:dyDescent="0.15"/>
    <row r="1039733" customFormat="1" x14ac:dyDescent="0.15"/>
    <row r="1039734" customFormat="1" x14ac:dyDescent="0.15"/>
    <row r="1039735" customFormat="1" x14ac:dyDescent="0.15"/>
    <row r="1039736" customFormat="1" x14ac:dyDescent="0.15"/>
    <row r="1039737" customFormat="1" x14ac:dyDescent="0.15"/>
    <row r="1039738" customFormat="1" x14ac:dyDescent="0.15"/>
    <row r="1039739" customFormat="1" x14ac:dyDescent="0.15"/>
    <row r="1039740" customFormat="1" x14ac:dyDescent="0.15"/>
    <row r="1039741" customFormat="1" x14ac:dyDescent="0.15"/>
    <row r="1039742" customFormat="1" x14ac:dyDescent="0.15"/>
    <row r="1039743" customFormat="1" x14ac:dyDescent="0.15"/>
    <row r="1039744" customFormat="1" x14ac:dyDescent="0.15"/>
    <row r="1039745" customFormat="1" x14ac:dyDescent="0.15"/>
    <row r="1039746" customFormat="1" x14ac:dyDescent="0.15"/>
    <row r="1039747" customFormat="1" x14ac:dyDescent="0.15"/>
    <row r="1039748" customFormat="1" x14ac:dyDescent="0.15"/>
    <row r="1039749" customFormat="1" x14ac:dyDescent="0.15"/>
    <row r="1039750" customFormat="1" x14ac:dyDescent="0.15"/>
    <row r="1039751" customFormat="1" x14ac:dyDescent="0.15"/>
    <row r="1039752" customFormat="1" x14ac:dyDescent="0.15"/>
    <row r="1039753" customFormat="1" x14ac:dyDescent="0.15"/>
    <row r="1039754" customFormat="1" x14ac:dyDescent="0.15"/>
    <row r="1039755" customFormat="1" x14ac:dyDescent="0.15"/>
    <row r="1039756" customFormat="1" x14ac:dyDescent="0.15"/>
    <row r="1039757" customFormat="1" x14ac:dyDescent="0.15"/>
    <row r="1039758" customFormat="1" x14ac:dyDescent="0.15"/>
    <row r="1039759" customFormat="1" x14ac:dyDescent="0.15"/>
    <row r="1039760" customFormat="1" x14ac:dyDescent="0.15"/>
    <row r="1039761" customFormat="1" x14ac:dyDescent="0.15"/>
    <row r="1039762" customFormat="1" x14ac:dyDescent="0.15"/>
    <row r="1039763" customFormat="1" x14ac:dyDescent="0.15"/>
    <row r="1039764" customFormat="1" x14ac:dyDescent="0.15"/>
    <row r="1039765" customFormat="1" x14ac:dyDescent="0.15"/>
    <row r="1039766" customFormat="1" x14ac:dyDescent="0.15"/>
    <row r="1039767" customFormat="1" x14ac:dyDescent="0.15"/>
    <row r="1039768" customFormat="1" x14ac:dyDescent="0.15"/>
    <row r="1039769" customFormat="1" x14ac:dyDescent="0.15"/>
    <row r="1039770" customFormat="1" x14ac:dyDescent="0.15"/>
    <row r="1039771" customFormat="1" x14ac:dyDescent="0.15"/>
    <row r="1039772" customFormat="1" x14ac:dyDescent="0.15"/>
    <row r="1039773" customFormat="1" x14ac:dyDescent="0.15"/>
    <row r="1039774" customFormat="1" x14ac:dyDescent="0.15"/>
    <row r="1039775" customFormat="1" x14ac:dyDescent="0.15"/>
    <row r="1039776" customFormat="1" x14ac:dyDescent="0.15"/>
    <row r="1039777" customFormat="1" x14ac:dyDescent="0.15"/>
    <row r="1039778" customFormat="1" x14ac:dyDescent="0.15"/>
    <row r="1039779" customFormat="1" x14ac:dyDescent="0.15"/>
    <row r="1039780" customFormat="1" x14ac:dyDescent="0.15"/>
    <row r="1039781" customFormat="1" x14ac:dyDescent="0.15"/>
    <row r="1039782" customFormat="1" x14ac:dyDescent="0.15"/>
    <row r="1039783" customFormat="1" x14ac:dyDescent="0.15"/>
    <row r="1039784" customFormat="1" x14ac:dyDescent="0.15"/>
    <row r="1039785" customFormat="1" x14ac:dyDescent="0.15"/>
    <row r="1039786" customFormat="1" x14ac:dyDescent="0.15"/>
    <row r="1039787" customFormat="1" x14ac:dyDescent="0.15"/>
    <row r="1039788" customFormat="1" x14ac:dyDescent="0.15"/>
    <row r="1039789" customFormat="1" x14ac:dyDescent="0.15"/>
    <row r="1039790" customFormat="1" x14ac:dyDescent="0.15"/>
    <row r="1039791" customFormat="1" x14ac:dyDescent="0.15"/>
    <row r="1039792" customFormat="1" x14ac:dyDescent="0.15"/>
    <row r="1039793" customFormat="1" x14ac:dyDescent="0.15"/>
    <row r="1039794" customFormat="1" x14ac:dyDescent="0.15"/>
    <row r="1039795" customFormat="1" x14ac:dyDescent="0.15"/>
    <row r="1039796" customFormat="1" x14ac:dyDescent="0.15"/>
    <row r="1039797" customFormat="1" x14ac:dyDescent="0.15"/>
    <row r="1039798" customFormat="1" x14ac:dyDescent="0.15"/>
    <row r="1039799" customFormat="1" x14ac:dyDescent="0.15"/>
    <row r="1039800" customFormat="1" x14ac:dyDescent="0.15"/>
    <row r="1039801" customFormat="1" x14ac:dyDescent="0.15"/>
    <row r="1039802" customFormat="1" x14ac:dyDescent="0.15"/>
    <row r="1039803" customFormat="1" x14ac:dyDescent="0.15"/>
    <row r="1039804" customFormat="1" x14ac:dyDescent="0.15"/>
    <row r="1039805" customFormat="1" x14ac:dyDescent="0.15"/>
    <row r="1039806" customFormat="1" x14ac:dyDescent="0.15"/>
    <row r="1039807" customFormat="1" x14ac:dyDescent="0.15"/>
    <row r="1039808" customFormat="1" x14ac:dyDescent="0.15"/>
    <row r="1039809" customFormat="1" x14ac:dyDescent="0.15"/>
    <row r="1039810" customFormat="1" x14ac:dyDescent="0.15"/>
    <row r="1039811" customFormat="1" x14ac:dyDescent="0.15"/>
    <row r="1039812" customFormat="1" x14ac:dyDescent="0.15"/>
    <row r="1039813" customFormat="1" x14ac:dyDescent="0.15"/>
    <row r="1039814" customFormat="1" x14ac:dyDescent="0.15"/>
    <row r="1039815" customFormat="1" x14ac:dyDescent="0.15"/>
    <row r="1039816" customFormat="1" x14ac:dyDescent="0.15"/>
    <row r="1039817" customFormat="1" x14ac:dyDescent="0.15"/>
    <row r="1039818" customFormat="1" x14ac:dyDescent="0.15"/>
    <row r="1039819" customFormat="1" x14ac:dyDescent="0.15"/>
    <row r="1039820" customFormat="1" x14ac:dyDescent="0.15"/>
    <row r="1039821" customFormat="1" x14ac:dyDescent="0.15"/>
    <row r="1039822" customFormat="1" x14ac:dyDescent="0.15"/>
    <row r="1039823" customFormat="1" x14ac:dyDescent="0.15"/>
    <row r="1039824" customFormat="1" x14ac:dyDescent="0.15"/>
    <row r="1039825" customFormat="1" x14ac:dyDescent="0.15"/>
    <row r="1039826" customFormat="1" x14ac:dyDescent="0.15"/>
    <row r="1039827" customFormat="1" x14ac:dyDescent="0.15"/>
    <row r="1039828" customFormat="1" x14ac:dyDescent="0.15"/>
    <row r="1039829" customFormat="1" x14ac:dyDescent="0.15"/>
    <row r="1039830" customFormat="1" x14ac:dyDescent="0.15"/>
    <row r="1039831" customFormat="1" x14ac:dyDescent="0.15"/>
    <row r="1039832" customFormat="1" x14ac:dyDescent="0.15"/>
    <row r="1039833" customFormat="1" x14ac:dyDescent="0.15"/>
    <row r="1039834" customFormat="1" x14ac:dyDescent="0.15"/>
    <row r="1039835" customFormat="1" x14ac:dyDescent="0.15"/>
    <row r="1039836" customFormat="1" x14ac:dyDescent="0.15"/>
    <row r="1039837" customFormat="1" x14ac:dyDescent="0.15"/>
    <row r="1039838" customFormat="1" x14ac:dyDescent="0.15"/>
    <row r="1039839" customFormat="1" x14ac:dyDescent="0.15"/>
    <row r="1039840" customFormat="1" x14ac:dyDescent="0.15"/>
    <row r="1039841" customFormat="1" x14ac:dyDescent="0.15"/>
    <row r="1039842" customFormat="1" x14ac:dyDescent="0.15"/>
    <row r="1039843" customFormat="1" x14ac:dyDescent="0.15"/>
    <row r="1039844" customFormat="1" x14ac:dyDescent="0.15"/>
    <row r="1039845" customFormat="1" x14ac:dyDescent="0.15"/>
    <row r="1039846" customFormat="1" x14ac:dyDescent="0.15"/>
    <row r="1039847" customFormat="1" x14ac:dyDescent="0.15"/>
    <row r="1039848" customFormat="1" x14ac:dyDescent="0.15"/>
    <row r="1039849" customFormat="1" x14ac:dyDescent="0.15"/>
    <row r="1039850" customFormat="1" x14ac:dyDescent="0.15"/>
    <row r="1039851" customFormat="1" x14ac:dyDescent="0.15"/>
    <row r="1039852" customFormat="1" x14ac:dyDescent="0.15"/>
    <row r="1039853" customFormat="1" x14ac:dyDescent="0.15"/>
    <row r="1039854" customFormat="1" x14ac:dyDescent="0.15"/>
    <row r="1039855" customFormat="1" x14ac:dyDescent="0.15"/>
    <row r="1039856" customFormat="1" x14ac:dyDescent="0.15"/>
    <row r="1039857" customFormat="1" x14ac:dyDescent="0.15"/>
    <row r="1039858" customFormat="1" x14ac:dyDescent="0.15"/>
    <row r="1039859" customFormat="1" x14ac:dyDescent="0.15"/>
    <row r="1039860" customFormat="1" x14ac:dyDescent="0.15"/>
    <row r="1039861" customFormat="1" x14ac:dyDescent="0.15"/>
    <row r="1039862" customFormat="1" x14ac:dyDescent="0.15"/>
    <row r="1039863" customFormat="1" x14ac:dyDescent="0.15"/>
    <row r="1039864" customFormat="1" x14ac:dyDescent="0.15"/>
    <row r="1039865" customFormat="1" x14ac:dyDescent="0.15"/>
    <row r="1039866" customFormat="1" x14ac:dyDescent="0.15"/>
    <row r="1039867" customFormat="1" x14ac:dyDescent="0.15"/>
    <row r="1039868" customFormat="1" x14ac:dyDescent="0.15"/>
    <row r="1039869" customFormat="1" x14ac:dyDescent="0.15"/>
    <row r="1039870" customFormat="1" x14ac:dyDescent="0.15"/>
    <row r="1039871" customFormat="1" x14ac:dyDescent="0.15"/>
    <row r="1039872" customFormat="1" x14ac:dyDescent="0.15"/>
    <row r="1039873" customFormat="1" x14ac:dyDescent="0.15"/>
    <row r="1039874" customFormat="1" x14ac:dyDescent="0.15"/>
    <row r="1039875" customFormat="1" x14ac:dyDescent="0.15"/>
    <row r="1039876" customFormat="1" x14ac:dyDescent="0.15"/>
    <row r="1039877" customFormat="1" x14ac:dyDescent="0.15"/>
    <row r="1039878" customFormat="1" x14ac:dyDescent="0.15"/>
    <row r="1039879" customFormat="1" x14ac:dyDescent="0.15"/>
    <row r="1039880" customFormat="1" x14ac:dyDescent="0.15"/>
    <row r="1039881" customFormat="1" x14ac:dyDescent="0.15"/>
    <row r="1039882" customFormat="1" x14ac:dyDescent="0.15"/>
    <row r="1039883" customFormat="1" x14ac:dyDescent="0.15"/>
    <row r="1039884" customFormat="1" x14ac:dyDescent="0.15"/>
    <row r="1039885" customFormat="1" x14ac:dyDescent="0.15"/>
    <row r="1039886" customFormat="1" x14ac:dyDescent="0.15"/>
    <row r="1039887" customFormat="1" x14ac:dyDescent="0.15"/>
    <row r="1039888" customFormat="1" x14ac:dyDescent="0.15"/>
    <row r="1039889" customFormat="1" x14ac:dyDescent="0.15"/>
    <row r="1039890" customFormat="1" x14ac:dyDescent="0.15"/>
    <row r="1039891" customFormat="1" x14ac:dyDescent="0.15"/>
    <row r="1039892" customFormat="1" x14ac:dyDescent="0.15"/>
    <row r="1039893" customFormat="1" x14ac:dyDescent="0.15"/>
    <row r="1039894" customFormat="1" x14ac:dyDescent="0.15"/>
    <row r="1039895" customFormat="1" x14ac:dyDescent="0.15"/>
    <row r="1039896" customFormat="1" x14ac:dyDescent="0.15"/>
    <row r="1039897" customFormat="1" x14ac:dyDescent="0.15"/>
    <row r="1039898" customFormat="1" x14ac:dyDescent="0.15"/>
    <row r="1039899" customFormat="1" x14ac:dyDescent="0.15"/>
    <row r="1039900" customFormat="1" x14ac:dyDescent="0.15"/>
    <row r="1039901" customFormat="1" x14ac:dyDescent="0.15"/>
    <row r="1039902" customFormat="1" x14ac:dyDescent="0.15"/>
    <row r="1039903" customFormat="1" x14ac:dyDescent="0.15"/>
    <row r="1039904" customFormat="1" x14ac:dyDescent="0.15"/>
    <row r="1039905" customFormat="1" x14ac:dyDescent="0.15"/>
    <row r="1039906" customFormat="1" x14ac:dyDescent="0.15"/>
    <row r="1039907" customFormat="1" x14ac:dyDescent="0.15"/>
    <row r="1039908" customFormat="1" x14ac:dyDescent="0.15"/>
    <row r="1039909" customFormat="1" x14ac:dyDescent="0.15"/>
    <row r="1039910" customFormat="1" x14ac:dyDescent="0.15"/>
    <row r="1039911" customFormat="1" x14ac:dyDescent="0.15"/>
    <row r="1039912" customFormat="1" x14ac:dyDescent="0.15"/>
    <row r="1039913" customFormat="1" x14ac:dyDescent="0.15"/>
    <row r="1039914" customFormat="1" x14ac:dyDescent="0.15"/>
    <row r="1039915" customFormat="1" x14ac:dyDescent="0.15"/>
    <row r="1039916" customFormat="1" x14ac:dyDescent="0.15"/>
    <row r="1039917" customFormat="1" x14ac:dyDescent="0.15"/>
    <row r="1039918" customFormat="1" x14ac:dyDescent="0.15"/>
    <row r="1039919" customFormat="1" x14ac:dyDescent="0.15"/>
    <row r="1039920" customFormat="1" x14ac:dyDescent="0.15"/>
    <row r="1039921" customFormat="1" x14ac:dyDescent="0.15"/>
    <row r="1039922" customFormat="1" x14ac:dyDescent="0.15"/>
    <row r="1039923" customFormat="1" x14ac:dyDescent="0.15"/>
    <row r="1039924" customFormat="1" x14ac:dyDescent="0.15"/>
    <row r="1039925" customFormat="1" x14ac:dyDescent="0.15"/>
    <row r="1039926" customFormat="1" x14ac:dyDescent="0.15"/>
    <row r="1039927" customFormat="1" x14ac:dyDescent="0.15"/>
    <row r="1039928" customFormat="1" x14ac:dyDescent="0.15"/>
    <row r="1039929" customFormat="1" x14ac:dyDescent="0.15"/>
    <row r="1039930" customFormat="1" x14ac:dyDescent="0.15"/>
    <row r="1039931" customFormat="1" x14ac:dyDescent="0.15"/>
    <row r="1039932" customFormat="1" x14ac:dyDescent="0.15"/>
    <row r="1039933" customFormat="1" x14ac:dyDescent="0.15"/>
    <row r="1039934" customFormat="1" x14ac:dyDescent="0.15"/>
    <row r="1039935" customFormat="1" x14ac:dyDescent="0.15"/>
    <row r="1039936" customFormat="1" x14ac:dyDescent="0.15"/>
    <row r="1039937" customFormat="1" x14ac:dyDescent="0.15"/>
    <row r="1039938" customFormat="1" x14ac:dyDescent="0.15"/>
    <row r="1039939" customFormat="1" x14ac:dyDescent="0.15"/>
    <row r="1039940" customFormat="1" x14ac:dyDescent="0.15"/>
    <row r="1039941" customFormat="1" x14ac:dyDescent="0.15"/>
    <row r="1039942" customFormat="1" x14ac:dyDescent="0.15"/>
    <row r="1039943" customFormat="1" x14ac:dyDescent="0.15"/>
    <row r="1039944" customFormat="1" x14ac:dyDescent="0.15"/>
    <row r="1039945" customFormat="1" x14ac:dyDescent="0.15"/>
    <row r="1039946" customFormat="1" x14ac:dyDescent="0.15"/>
    <row r="1039947" customFormat="1" x14ac:dyDescent="0.15"/>
    <row r="1039948" customFormat="1" x14ac:dyDescent="0.15"/>
    <row r="1039949" customFormat="1" x14ac:dyDescent="0.15"/>
    <row r="1039950" customFormat="1" x14ac:dyDescent="0.15"/>
    <row r="1039951" customFormat="1" x14ac:dyDescent="0.15"/>
    <row r="1039952" customFormat="1" x14ac:dyDescent="0.15"/>
    <row r="1039953" customFormat="1" x14ac:dyDescent="0.15"/>
    <row r="1039954" customFormat="1" x14ac:dyDescent="0.15"/>
    <row r="1039955" customFormat="1" x14ac:dyDescent="0.15"/>
    <row r="1039956" customFormat="1" x14ac:dyDescent="0.15"/>
    <row r="1039957" customFormat="1" x14ac:dyDescent="0.15"/>
    <row r="1039958" customFormat="1" x14ac:dyDescent="0.15"/>
    <row r="1039959" customFormat="1" x14ac:dyDescent="0.15"/>
    <row r="1039960" customFormat="1" x14ac:dyDescent="0.15"/>
    <row r="1039961" customFormat="1" x14ac:dyDescent="0.15"/>
    <row r="1039962" customFormat="1" x14ac:dyDescent="0.15"/>
    <row r="1039963" customFormat="1" x14ac:dyDescent="0.15"/>
    <row r="1039964" customFormat="1" x14ac:dyDescent="0.15"/>
    <row r="1039965" customFormat="1" x14ac:dyDescent="0.15"/>
    <row r="1039966" customFormat="1" x14ac:dyDescent="0.15"/>
    <row r="1039967" customFormat="1" x14ac:dyDescent="0.15"/>
    <row r="1039968" customFormat="1" x14ac:dyDescent="0.15"/>
    <row r="1039969" customFormat="1" x14ac:dyDescent="0.15"/>
    <row r="1039970" customFormat="1" x14ac:dyDescent="0.15"/>
    <row r="1039971" customFormat="1" x14ac:dyDescent="0.15"/>
    <row r="1039972" customFormat="1" x14ac:dyDescent="0.15"/>
    <row r="1039973" customFormat="1" x14ac:dyDescent="0.15"/>
    <row r="1039974" customFormat="1" x14ac:dyDescent="0.15"/>
    <row r="1039975" customFormat="1" x14ac:dyDescent="0.15"/>
    <row r="1039976" customFormat="1" x14ac:dyDescent="0.15"/>
    <row r="1039977" customFormat="1" x14ac:dyDescent="0.15"/>
    <row r="1039978" customFormat="1" x14ac:dyDescent="0.15"/>
    <row r="1039979" customFormat="1" x14ac:dyDescent="0.15"/>
    <row r="1039980" customFormat="1" x14ac:dyDescent="0.15"/>
    <row r="1039981" customFormat="1" x14ac:dyDescent="0.15"/>
    <row r="1039982" customFormat="1" x14ac:dyDescent="0.15"/>
    <row r="1039983" customFormat="1" x14ac:dyDescent="0.15"/>
    <row r="1039984" customFormat="1" x14ac:dyDescent="0.15"/>
    <row r="1039985" customFormat="1" x14ac:dyDescent="0.15"/>
    <row r="1039986" customFormat="1" x14ac:dyDescent="0.15"/>
    <row r="1039987" customFormat="1" x14ac:dyDescent="0.15"/>
    <row r="1039988" customFormat="1" x14ac:dyDescent="0.15"/>
    <row r="1039989" customFormat="1" x14ac:dyDescent="0.15"/>
    <row r="1039990" customFormat="1" x14ac:dyDescent="0.15"/>
    <row r="1039991" customFormat="1" x14ac:dyDescent="0.15"/>
    <row r="1039992" customFormat="1" x14ac:dyDescent="0.15"/>
    <row r="1039993" customFormat="1" x14ac:dyDescent="0.15"/>
    <row r="1039994" customFormat="1" x14ac:dyDescent="0.15"/>
    <row r="1039995" customFormat="1" x14ac:dyDescent="0.15"/>
    <row r="1039996" customFormat="1" x14ac:dyDescent="0.15"/>
    <row r="1039997" customFormat="1" x14ac:dyDescent="0.15"/>
    <row r="1039998" customFormat="1" x14ac:dyDescent="0.15"/>
    <row r="1039999" customFormat="1" x14ac:dyDescent="0.15"/>
    <row r="1040000" customFormat="1" x14ac:dyDescent="0.15"/>
    <row r="1040001" customFormat="1" x14ac:dyDescent="0.15"/>
    <row r="1040002" customFormat="1" x14ac:dyDescent="0.15"/>
    <row r="1040003" customFormat="1" x14ac:dyDescent="0.15"/>
    <row r="1040004" customFormat="1" x14ac:dyDescent="0.15"/>
    <row r="1040005" customFormat="1" x14ac:dyDescent="0.15"/>
    <row r="1040006" customFormat="1" x14ac:dyDescent="0.15"/>
    <row r="1040007" customFormat="1" x14ac:dyDescent="0.15"/>
    <row r="1040008" customFormat="1" x14ac:dyDescent="0.15"/>
    <row r="1040009" customFormat="1" x14ac:dyDescent="0.15"/>
    <row r="1040010" customFormat="1" x14ac:dyDescent="0.15"/>
    <row r="1040011" customFormat="1" x14ac:dyDescent="0.15"/>
    <row r="1040012" customFormat="1" x14ac:dyDescent="0.15"/>
    <row r="1040013" customFormat="1" x14ac:dyDescent="0.15"/>
    <row r="1040014" customFormat="1" x14ac:dyDescent="0.15"/>
    <row r="1040015" customFormat="1" x14ac:dyDescent="0.15"/>
    <row r="1040016" customFormat="1" x14ac:dyDescent="0.15"/>
    <row r="1040017" customFormat="1" x14ac:dyDescent="0.15"/>
    <row r="1040018" customFormat="1" x14ac:dyDescent="0.15"/>
    <row r="1040019" customFormat="1" x14ac:dyDescent="0.15"/>
    <row r="1040020" customFormat="1" x14ac:dyDescent="0.15"/>
    <row r="1040021" customFormat="1" x14ac:dyDescent="0.15"/>
    <row r="1040022" customFormat="1" x14ac:dyDescent="0.15"/>
    <row r="1040023" customFormat="1" x14ac:dyDescent="0.15"/>
    <row r="1040024" customFormat="1" x14ac:dyDescent="0.15"/>
    <row r="1040025" customFormat="1" x14ac:dyDescent="0.15"/>
    <row r="1040026" customFormat="1" x14ac:dyDescent="0.15"/>
    <row r="1040027" customFormat="1" x14ac:dyDescent="0.15"/>
    <row r="1040028" customFormat="1" x14ac:dyDescent="0.15"/>
    <row r="1040029" customFormat="1" x14ac:dyDescent="0.15"/>
    <row r="1040030" customFormat="1" x14ac:dyDescent="0.15"/>
    <row r="1040031" customFormat="1" x14ac:dyDescent="0.15"/>
    <row r="1040032" customFormat="1" x14ac:dyDescent="0.15"/>
    <row r="1040033" customFormat="1" x14ac:dyDescent="0.15"/>
    <row r="1040034" customFormat="1" x14ac:dyDescent="0.15"/>
    <row r="1040035" customFormat="1" x14ac:dyDescent="0.15"/>
    <row r="1040036" customFormat="1" x14ac:dyDescent="0.15"/>
    <row r="1040037" customFormat="1" x14ac:dyDescent="0.15"/>
    <row r="1040038" customFormat="1" x14ac:dyDescent="0.15"/>
    <row r="1040039" customFormat="1" x14ac:dyDescent="0.15"/>
    <row r="1040040" customFormat="1" x14ac:dyDescent="0.15"/>
    <row r="1040041" customFormat="1" x14ac:dyDescent="0.15"/>
    <row r="1040042" customFormat="1" x14ac:dyDescent="0.15"/>
    <row r="1040043" customFormat="1" x14ac:dyDescent="0.15"/>
    <row r="1040044" customFormat="1" x14ac:dyDescent="0.15"/>
    <row r="1040045" customFormat="1" x14ac:dyDescent="0.15"/>
    <row r="1040046" customFormat="1" x14ac:dyDescent="0.15"/>
    <row r="1040047" customFormat="1" x14ac:dyDescent="0.15"/>
    <row r="1040048" customFormat="1" x14ac:dyDescent="0.15"/>
    <row r="1040049" customFormat="1" x14ac:dyDescent="0.15"/>
    <row r="1040050" customFormat="1" x14ac:dyDescent="0.15"/>
    <row r="1040051" customFormat="1" x14ac:dyDescent="0.15"/>
    <row r="1040052" customFormat="1" x14ac:dyDescent="0.15"/>
    <row r="1040053" customFormat="1" x14ac:dyDescent="0.15"/>
    <row r="1040054" customFormat="1" x14ac:dyDescent="0.15"/>
    <row r="1040055" customFormat="1" x14ac:dyDescent="0.15"/>
    <row r="1040056" customFormat="1" x14ac:dyDescent="0.15"/>
    <row r="1040057" customFormat="1" x14ac:dyDescent="0.15"/>
    <row r="1040058" customFormat="1" x14ac:dyDescent="0.15"/>
    <row r="1040059" customFormat="1" x14ac:dyDescent="0.15"/>
    <row r="1040060" customFormat="1" x14ac:dyDescent="0.15"/>
    <row r="1040061" customFormat="1" x14ac:dyDescent="0.15"/>
    <row r="1040062" customFormat="1" x14ac:dyDescent="0.15"/>
    <row r="1040063" customFormat="1" x14ac:dyDescent="0.15"/>
    <row r="1040064" customFormat="1" x14ac:dyDescent="0.15"/>
    <row r="1040065" customFormat="1" x14ac:dyDescent="0.15"/>
    <row r="1040066" customFormat="1" x14ac:dyDescent="0.15"/>
    <row r="1040067" customFormat="1" x14ac:dyDescent="0.15"/>
    <row r="1040068" customFormat="1" x14ac:dyDescent="0.15"/>
    <row r="1040069" customFormat="1" x14ac:dyDescent="0.15"/>
    <row r="1040070" customFormat="1" x14ac:dyDescent="0.15"/>
    <row r="1040071" customFormat="1" x14ac:dyDescent="0.15"/>
    <row r="1040072" customFormat="1" x14ac:dyDescent="0.15"/>
    <row r="1040073" customFormat="1" x14ac:dyDescent="0.15"/>
    <row r="1040074" customFormat="1" x14ac:dyDescent="0.15"/>
    <row r="1040075" customFormat="1" x14ac:dyDescent="0.15"/>
    <row r="1040076" customFormat="1" x14ac:dyDescent="0.15"/>
    <row r="1040077" customFormat="1" x14ac:dyDescent="0.15"/>
    <row r="1040078" customFormat="1" x14ac:dyDescent="0.15"/>
    <row r="1040079" customFormat="1" x14ac:dyDescent="0.15"/>
    <row r="1040080" customFormat="1" x14ac:dyDescent="0.15"/>
    <row r="1040081" customFormat="1" x14ac:dyDescent="0.15"/>
    <row r="1040082" customFormat="1" x14ac:dyDescent="0.15"/>
    <row r="1040083" customFormat="1" x14ac:dyDescent="0.15"/>
    <row r="1040084" customFormat="1" x14ac:dyDescent="0.15"/>
    <row r="1040085" customFormat="1" x14ac:dyDescent="0.15"/>
    <row r="1040086" customFormat="1" x14ac:dyDescent="0.15"/>
    <row r="1040087" customFormat="1" x14ac:dyDescent="0.15"/>
    <row r="1040088" customFormat="1" x14ac:dyDescent="0.15"/>
    <row r="1040089" customFormat="1" x14ac:dyDescent="0.15"/>
    <row r="1040090" customFormat="1" x14ac:dyDescent="0.15"/>
    <row r="1040091" customFormat="1" x14ac:dyDescent="0.15"/>
    <row r="1040092" customFormat="1" x14ac:dyDescent="0.15"/>
    <row r="1040093" customFormat="1" x14ac:dyDescent="0.15"/>
    <row r="1040094" customFormat="1" x14ac:dyDescent="0.15"/>
    <row r="1040095" customFormat="1" x14ac:dyDescent="0.15"/>
    <row r="1040096" customFormat="1" x14ac:dyDescent="0.15"/>
    <row r="1040097" customFormat="1" x14ac:dyDescent="0.15"/>
    <row r="1040098" customFormat="1" x14ac:dyDescent="0.15"/>
    <row r="1040099" customFormat="1" x14ac:dyDescent="0.15"/>
    <row r="1040100" customFormat="1" x14ac:dyDescent="0.15"/>
    <row r="1040101" customFormat="1" x14ac:dyDescent="0.15"/>
    <row r="1040102" customFormat="1" x14ac:dyDescent="0.15"/>
    <row r="1040103" customFormat="1" x14ac:dyDescent="0.15"/>
    <row r="1040104" customFormat="1" x14ac:dyDescent="0.15"/>
    <row r="1040105" customFormat="1" x14ac:dyDescent="0.15"/>
    <row r="1040106" customFormat="1" x14ac:dyDescent="0.15"/>
    <row r="1040107" customFormat="1" x14ac:dyDescent="0.15"/>
    <row r="1040108" customFormat="1" x14ac:dyDescent="0.15"/>
    <row r="1040109" customFormat="1" x14ac:dyDescent="0.15"/>
    <row r="1040110" customFormat="1" x14ac:dyDescent="0.15"/>
    <row r="1040111" customFormat="1" x14ac:dyDescent="0.15"/>
    <row r="1040112" customFormat="1" x14ac:dyDescent="0.15"/>
    <row r="1040113" customFormat="1" x14ac:dyDescent="0.15"/>
    <row r="1040114" customFormat="1" x14ac:dyDescent="0.15"/>
    <row r="1040115" customFormat="1" x14ac:dyDescent="0.15"/>
    <row r="1040116" customFormat="1" x14ac:dyDescent="0.15"/>
    <row r="1040117" customFormat="1" x14ac:dyDescent="0.15"/>
    <row r="1040118" customFormat="1" x14ac:dyDescent="0.15"/>
    <row r="1040119" customFormat="1" x14ac:dyDescent="0.15"/>
    <row r="1040120" customFormat="1" x14ac:dyDescent="0.15"/>
    <row r="1040121" customFormat="1" x14ac:dyDescent="0.15"/>
    <row r="1040122" customFormat="1" x14ac:dyDescent="0.15"/>
    <row r="1040123" customFormat="1" x14ac:dyDescent="0.15"/>
    <row r="1040124" customFormat="1" x14ac:dyDescent="0.15"/>
    <row r="1040125" customFormat="1" x14ac:dyDescent="0.15"/>
    <row r="1040126" customFormat="1" x14ac:dyDescent="0.15"/>
    <row r="1040127" customFormat="1" x14ac:dyDescent="0.15"/>
    <row r="1040128" customFormat="1" x14ac:dyDescent="0.15"/>
    <row r="1040129" customFormat="1" x14ac:dyDescent="0.15"/>
    <row r="1040130" customFormat="1" x14ac:dyDescent="0.15"/>
    <row r="1040131" customFormat="1" x14ac:dyDescent="0.15"/>
    <row r="1040132" customFormat="1" x14ac:dyDescent="0.15"/>
    <row r="1040133" customFormat="1" x14ac:dyDescent="0.15"/>
    <row r="1040134" customFormat="1" x14ac:dyDescent="0.15"/>
    <row r="1040135" customFormat="1" x14ac:dyDescent="0.15"/>
    <row r="1040136" customFormat="1" x14ac:dyDescent="0.15"/>
    <row r="1040137" customFormat="1" x14ac:dyDescent="0.15"/>
    <row r="1040138" customFormat="1" x14ac:dyDescent="0.15"/>
    <row r="1040139" customFormat="1" x14ac:dyDescent="0.15"/>
    <row r="1040140" customFormat="1" x14ac:dyDescent="0.15"/>
    <row r="1040141" customFormat="1" x14ac:dyDescent="0.15"/>
    <row r="1040142" customFormat="1" x14ac:dyDescent="0.15"/>
    <row r="1040143" customFormat="1" x14ac:dyDescent="0.15"/>
    <row r="1040144" customFormat="1" x14ac:dyDescent="0.15"/>
    <row r="1040145" customFormat="1" x14ac:dyDescent="0.15"/>
    <row r="1040146" customFormat="1" x14ac:dyDescent="0.15"/>
    <row r="1040147" customFormat="1" x14ac:dyDescent="0.15"/>
    <row r="1040148" customFormat="1" x14ac:dyDescent="0.15"/>
    <row r="1040149" customFormat="1" x14ac:dyDescent="0.15"/>
    <row r="1040150" customFormat="1" x14ac:dyDescent="0.15"/>
    <row r="1040151" customFormat="1" x14ac:dyDescent="0.15"/>
    <row r="1040152" customFormat="1" x14ac:dyDescent="0.15"/>
    <row r="1040153" customFormat="1" x14ac:dyDescent="0.15"/>
    <row r="1040154" customFormat="1" x14ac:dyDescent="0.15"/>
    <row r="1040155" customFormat="1" x14ac:dyDescent="0.15"/>
    <row r="1040156" customFormat="1" x14ac:dyDescent="0.15"/>
    <row r="1040157" customFormat="1" x14ac:dyDescent="0.15"/>
    <row r="1040158" customFormat="1" x14ac:dyDescent="0.15"/>
    <row r="1040159" customFormat="1" x14ac:dyDescent="0.15"/>
    <row r="1040160" customFormat="1" x14ac:dyDescent="0.15"/>
    <row r="1040161" customFormat="1" x14ac:dyDescent="0.15"/>
    <row r="1040162" customFormat="1" x14ac:dyDescent="0.15"/>
    <row r="1040163" customFormat="1" x14ac:dyDescent="0.15"/>
    <row r="1040164" customFormat="1" x14ac:dyDescent="0.15"/>
    <row r="1040165" customFormat="1" x14ac:dyDescent="0.15"/>
    <row r="1040166" customFormat="1" x14ac:dyDescent="0.15"/>
    <row r="1040167" customFormat="1" x14ac:dyDescent="0.15"/>
    <row r="1040168" customFormat="1" x14ac:dyDescent="0.15"/>
    <row r="1040169" customFormat="1" x14ac:dyDescent="0.15"/>
    <row r="1040170" customFormat="1" x14ac:dyDescent="0.15"/>
    <row r="1040171" customFormat="1" x14ac:dyDescent="0.15"/>
    <row r="1040172" customFormat="1" x14ac:dyDescent="0.15"/>
    <row r="1040173" customFormat="1" x14ac:dyDescent="0.15"/>
    <row r="1040174" customFormat="1" x14ac:dyDescent="0.15"/>
    <row r="1040175" customFormat="1" x14ac:dyDescent="0.15"/>
    <row r="1040176" customFormat="1" x14ac:dyDescent="0.15"/>
    <row r="1040177" customFormat="1" x14ac:dyDescent="0.15"/>
    <row r="1040178" customFormat="1" x14ac:dyDescent="0.15"/>
    <row r="1040179" customFormat="1" x14ac:dyDescent="0.15"/>
    <row r="1040180" customFormat="1" x14ac:dyDescent="0.15"/>
    <row r="1040181" customFormat="1" x14ac:dyDescent="0.15"/>
    <row r="1040182" customFormat="1" x14ac:dyDescent="0.15"/>
    <row r="1040183" customFormat="1" x14ac:dyDescent="0.15"/>
    <row r="1040184" customFormat="1" x14ac:dyDescent="0.15"/>
    <row r="1040185" customFormat="1" x14ac:dyDescent="0.15"/>
    <row r="1040186" customFormat="1" x14ac:dyDescent="0.15"/>
    <row r="1040187" customFormat="1" x14ac:dyDescent="0.15"/>
    <row r="1040188" customFormat="1" x14ac:dyDescent="0.15"/>
    <row r="1040189" customFormat="1" x14ac:dyDescent="0.15"/>
    <row r="1040190" customFormat="1" x14ac:dyDescent="0.15"/>
    <row r="1040191" customFormat="1" x14ac:dyDescent="0.15"/>
    <row r="1040192" customFormat="1" x14ac:dyDescent="0.15"/>
    <row r="1040193" customFormat="1" x14ac:dyDescent="0.15"/>
    <row r="1040194" customFormat="1" x14ac:dyDescent="0.15"/>
    <row r="1040195" customFormat="1" x14ac:dyDescent="0.15"/>
    <row r="1040196" customFormat="1" x14ac:dyDescent="0.15"/>
    <row r="1040197" customFormat="1" x14ac:dyDescent="0.15"/>
    <row r="1040198" customFormat="1" x14ac:dyDescent="0.15"/>
    <row r="1040199" customFormat="1" x14ac:dyDescent="0.15"/>
    <row r="1040200" customFormat="1" x14ac:dyDescent="0.15"/>
    <row r="1040201" customFormat="1" x14ac:dyDescent="0.15"/>
    <row r="1040202" customFormat="1" x14ac:dyDescent="0.15"/>
    <row r="1040203" customFormat="1" x14ac:dyDescent="0.15"/>
    <row r="1040204" customFormat="1" x14ac:dyDescent="0.15"/>
    <row r="1040205" customFormat="1" x14ac:dyDescent="0.15"/>
    <row r="1040206" customFormat="1" x14ac:dyDescent="0.15"/>
    <row r="1040207" customFormat="1" x14ac:dyDescent="0.15"/>
    <row r="1040208" customFormat="1" x14ac:dyDescent="0.15"/>
    <row r="1040209" customFormat="1" x14ac:dyDescent="0.15"/>
    <row r="1040210" customFormat="1" x14ac:dyDescent="0.15"/>
    <row r="1040211" customFormat="1" x14ac:dyDescent="0.15"/>
    <row r="1040212" customFormat="1" x14ac:dyDescent="0.15"/>
    <row r="1040213" customFormat="1" x14ac:dyDescent="0.15"/>
    <row r="1040214" customFormat="1" x14ac:dyDescent="0.15"/>
    <row r="1040215" customFormat="1" x14ac:dyDescent="0.15"/>
    <row r="1040216" customFormat="1" x14ac:dyDescent="0.15"/>
    <row r="1040217" customFormat="1" x14ac:dyDescent="0.15"/>
    <row r="1040218" customFormat="1" x14ac:dyDescent="0.15"/>
    <row r="1040219" customFormat="1" x14ac:dyDescent="0.15"/>
    <row r="1040220" customFormat="1" x14ac:dyDescent="0.15"/>
    <row r="1040221" customFormat="1" x14ac:dyDescent="0.15"/>
    <row r="1040222" customFormat="1" x14ac:dyDescent="0.15"/>
    <row r="1040223" customFormat="1" x14ac:dyDescent="0.15"/>
    <row r="1040224" customFormat="1" x14ac:dyDescent="0.15"/>
    <row r="1040225" customFormat="1" x14ac:dyDescent="0.15"/>
    <row r="1040226" customFormat="1" x14ac:dyDescent="0.15"/>
    <row r="1040227" customFormat="1" x14ac:dyDescent="0.15"/>
    <row r="1040228" customFormat="1" x14ac:dyDescent="0.15"/>
    <row r="1040229" customFormat="1" x14ac:dyDescent="0.15"/>
    <row r="1040230" customFormat="1" x14ac:dyDescent="0.15"/>
    <row r="1040231" customFormat="1" x14ac:dyDescent="0.15"/>
    <row r="1040232" customFormat="1" x14ac:dyDescent="0.15"/>
    <row r="1040233" customFormat="1" x14ac:dyDescent="0.15"/>
    <row r="1040234" customFormat="1" x14ac:dyDescent="0.15"/>
    <row r="1040235" customFormat="1" x14ac:dyDescent="0.15"/>
    <row r="1040236" customFormat="1" x14ac:dyDescent="0.15"/>
    <row r="1040237" customFormat="1" x14ac:dyDescent="0.15"/>
    <row r="1040238" customFormat="1" x14ac:dyDescent="0.15"/>
    <row r="1040239" customFormat="1" x14ac:dyDescent="0.15"/>
    <row r="1040240" customFormat="1" x14ac:dyDescent="0.15"/>
    <row r="1040241" customFormat="1" x14ac:dyDescent="0.15"/>
    <row r="1040242" customFormat="1" x14ac:dyDescent="0.15"/>
    <row r="1040243" customFormat="1" x14ac:dyDescent="0.15"/>
    <row r="1040244" customFormat="1" x14ac:dyDescent="0.15"/>
    <row r="1040245" customFormat="1" x14ac:dyDescent="0.15"/>
    <row r="1040246" customFormat="1" x14ac:dyDescent="0.15"/>
    <row r="1040247" customFormat="1" x14ac:dyDescent="0.15"/>
    <row r="1040248" customFormat="1" x14ac:dyDescent="0.15"/>
    <row r="1040249" customFormat="1" x14ac:dyDescent="0.15"/>
    <row r="1040250" customFormat="1" x14ac:dyDescent="0.15"/>
    <row r="1040251" customFormat="1" x14ac:dyDescent="0.15"/>
    <row r="1040252" customFormat="1" x14ac:dyDescent="0.15"/>
    <row r="1040253" customFormat="1" x14ac:dyDescent="0.15"/>
    <row r="1040254" customFormat="1" x14ac:dyDescent="0.15"/>
    <row r="1040255" customFormat="1" x14ac:dyDescent="0.15"/>
    <row r="1040256" customFormat="1" x14ac:dyDescent="0.15"/>
    <row r="1040257" customFormat="1" x14ac:dyDescent="0.15"/>
    <row r="1040258" customFormat="1" x14ac:dyDescent="0.15"/>
    <row r="1040259" customFormat="1" x14ac:dyDescent="0.15"/>
    <row r="1040260" customFormat="1" x14ac:dyDescent="0.15"/>
    <row r="1040261" customFormat="1" x14ac:dyDescent="0.15"/>
    <row r="1040262" customFormat="1" x14ac:dyDescent="0.15"/>
    <row r="1040263" customFormat="1" x14ac:dyDescent="0.15"/>
    <row r="1040264" customFormat="1" x14ac:dyDescent="0.15"/>
    <row r="1040265" customFormat="1" x14ac:dyDescent="0.15"/>
    <row r="1040266" customFormat="1" x14ac:dyDescent="0.15"/>
    <row r="1040267" customFormat="1" x14ac:dyDescent="0.15"/>
    <row r="1040268" customFormat="1" x14ac:dyDescent="0.15"/>
    <row r="1040269" customFormat="1" x14ac:dyDescent="0.15"/>
    <row r="1040270" customFormat="1" x14ac:dyDescent="0.15"/>
    <row r="1040271" customFormat="1" x14ac:dyDescent="0.15"/>
    <row r="1040272" customFormat="1" x14ac:dyDescent="0.15"/>
    <row r="1040273" customFormat="1" x14ac:dyDescent="0.15"/>
    <row r="1040274" customFormat="1" x14ac:dyDescent="0.15"/>
    <row r="1040275" customFormat="1" x14ac:dyDescent="0.15"/>
    <row r="1040276" customFormat="1" x14ac:dyDescent="0.15"/>
    <row r="1040277" customFormat="1" x14ac:dyDescent="0.15"/>
    <row r="1040278" customFormat="1" x14ac:dyDescent="0.15"/>
    <row r="1040279" customFormat="1" x14ac:dyDescent="0.15"/>
    <row r="1040280" customFormat="1" x14ac:dyDescent="0.15"/>
    <row r="1040281" customFormat="1" x14ac:dyDescent="0.15"/>
    <row r="1040282" customFormat="1" x14ac:dyDescent="0.15"/>
    <row r="1040283" customFormat="1" x14ac:dyDescent="0.15"/>
    <row r="1040284" customFormat="1" x14ac:dyDescent="0.15"/>
    <row r="1040285" customFormat="1" x14ac:dyDescent="0.15"/>
    <row r="1040286" customFormat="1" x14ac:dyDescent="0.15"/>
    <row r="1040287" customFormat="1" x14ac:dyDescent="0.15"/>
    <row r="1040288" customFormat="1" x14ac:dyDescent="0.15"/>
    <row r="1040289" customFormat="1" x14ac:dyDescent="0.15"/>
    <row r="1040290" customFormat="1" x14ac:dyDescent="0.15"/>
    <row r="1040291" customFormat="1" x14ac:dyDescent="0.15"/>
    <row r="1040292" customFormat="1" x14ac:dyDescent="0.15"/>
    <row r="1040293" customFormat="1" x14ac:dyDescent="0.15"/>
    <row r="1040294" customFormat="1" x14ac:dyDescent="0.15"/>
    <row r="1040295" customFormat="1" x14ac:dyDescent="0.15"/>
    <row r="1040296" customFormat="1" x14ac:dyDescent="0.15"/>
    <row r="1040297" customFormat="1" x14ac:dyDescent="0.15"/>
    <row r="1040298" customFormat="1" x14ac:dyDescent="0.15"/>
    <row r="1040299" customFormat="1" x14ac:dyDescent="0.15"/>
    <row r="1040300" customFormat="1" x14ac:dyDescent="0.15"/>
    <row r="1040301" customFormat="1" x14ac:dyDescent="0.15"/>
    <row r="1040302" customFormat="1" x14ac:dyDescent="0.15"/>
    <row r="1040303" customFormat="1" x14ac:dyDescent="0.15"/>
    <row r="1040304" customFormat="1" x14ac:dyDescent="0.15"/>
    <row r="1040305" customFormat="1" x14ac:dyDescent="0.15"/>
    <row r="1040306" customFormat="1" x14ac:dyDescent="0.15"/>
    <row r="1040307" customFormat="1" x14ac:dyDescent="0.15"/>
    <row r="1040308" customFormat="1" x14ac:dyDescent="0.15"/>
    <row r="1040309" customFormat="1" x14ac:dyDescent="0.15"/>
    <row r="1040310" customFormat="1" x14ac:dyDescent="0.15"/>
    <row r="1040311" customFormat="1" x14ac:dyDescent="0.15"/>
    <row r="1040312" customFormat="1" x14ac:dyDescent="0.15"/>
    <row r="1040313" customFormat="1" x14ac:dyDescent="0.15"/>
    <row r="1040314" customFormat="1" x14ac:dyDescent="0.15"/>
    <row r="1040315" customFormat="1" x14ac:dyDescent="0.15"/>
    <row r="1040316" customFormat="1" x14ac:dyDescent="0.15"/>
    <row r="1040317" customFormat="1" x14ac:dyDescent="0.15"/>
    <row r="1040318" customFormat="1" x14ac:dyDescent="0.15"/>
    <row r="1040319" customFormat="1" x14ac:dyDescent="0.15"/>
    <row r="1040320" customFormat="1" x14ac:dyDescent="0.15"/>
    <row r="1040321" customFormat="1" x14ac:dyDescent="0.15"/>
    <row r="1040322" customFormat="1" x14ac:dyDescent="0.15"/>
    <row r="1040323" customFormat="1" x14ac:dyDescent="0.15"/>
    <row r="1040324" customFormat="1" x14ac:dyDescent="0.15"/>
    <row r="1040325" customFormat="1" x14ac:dyDescent="0.15"/>
    <row r="1040326" customFormat="1" x14ac:dyDescent="0.15"/>
    <row r="1040327" customFormat="1" x14ac:dyDescent="0.15"/>
    <row r="1040328" customFormat="1" x14ac:dyDescent="0.15"/>
    <row r="1040329" customFormat="1" x14ac:dyDescent="0.15"/>
    <row r="1040330" customFormat="1" x14ac:dyDescent="0.15"/>
    <row r="1040331" customFormat="1" x14ac:dyDescent="0.15"/>
    <row r="1040332" customFormat="1" x14ac:dyDescent="0.15"/>
    <row r="1040333" customFormat="1" x14ac:dyDescent="0.15"/>
    <row r="1040334" customFormat="1" x14ac:dyDescent="0.15"/>
    <row r="1040335" customFormat="1" x14ac:dyDescent="0.15"/>
    <row r="1040336" customFormat="1" x14ac:dyDescent="0.15"/>
    <row r="1040337" customFormat="1" x14ac:dyDescent="0.15"/>
    <row r="1040338" customFormat="1" x14ac:dyDescent="0.15"/>
    <row r="1040339" customFormat="1" x14ac:dyDescent="0.15"/>
    <row r="1040340" customFormat="1" x14ac:dyDescent="0.15"/>
    <row r="1040341" customFormat="1" x14ac:dyDescent="0.15"/>
    <row r="1040342" customFormat="1" x14ac:dyDescent="0.15"/>
    <row r="1040343" customFormat="1" x14ac:dyDescent="0.15"/>
    <row r="1040344" customFormat="1" x14ac:dyDescent="0.15"/>
    <row r="1040345" customFormat="1" x14ac:dyDescent="0.15"/>
    <row r="1040346" customFormat="1" x14ac:dyDescent="0.15"/>
    <row r="1040347" customFormat="1" x14ac:dyDescent="0.15"/>
    <row r="1040348" customFormat="1" x14ac:dyDescent="0.15"/>
    <row r="1040349" customFormat="1" x14ac:dyDescent="0.15"/>
    <row r="1040350" customFormat="1" x14ac:dyDescent="0.15"/>
    <row r="1040351" customFormat="1" x14ac:dyDescent="0.15"/>
    <row r="1040352" customFormat="1" x14ac:dyDescent="0.15"/>
    <row r="1040353" customFormat="1" x14ac:dyDescent="0.15"/>
    <row r="1040354" customFormat="1" x14ac:dyDescent="0.15"/>
    <row r="1040355" customFormat="1" x14ac:dyDescent="0.15"/>
    <row r="1040356" customFormat="1" x14ac:dyDescent="0.15"/>
    <row r="1040357" customFormat="1" x14ac:dyDescent="0.15"/>
    <row r="1040358" customFormat="1" x14ac:dyDescent="0.15"/>
    <row r="1040359" customFormat="1" x14ac:dyDescent="0.15"/>
    <row r="1040360" customFormat="1" x14ac:dyDescent="0.15"/>
    <row r="1040361" customFormat="1" x14ac:dyDescent="0.15"/>
    <row r="1040362" customFormat="1" x14ac:dyDescent="0.15"/>
    <row r="1040363" customFormat="1" x14ac:dyDescent="0.15"/>
    <row r="1040364" customFormat="1" x14ac:dyDescent="0.15"/>
    <row r="1040365" customFormat="1" x14ac:dyDescent="0.15"/>
    <row r="1040366" customFormat="1" x14ac:dyDescent="0.15"/>
    <row r="1040367" customFormat="1" x14ac:dyDescent="0.15"/>
    <row r="1040368" customFormat="1" x14ac:dyDescent="0.15"/>
    <row r="1040369" customFormat="1" x14ac:dyDescent="0.15"/>
    <row r="1040370" customFormat="1" x14ac:dyDescent="0.15"/>
    <row r="1040371" customFormat="1" x14ac:dyDescent="0.15"/>
    <row r="1040372" customFormat="1" x14ac:dyDescent="0.15"/>
    <row r="1040373" customFormat="1" x14ac:dyDescent="0.15"/>
    <row r="1040374" customFormat="1" x14ac:dyDescent="0.15"/>
    <row r="1040375" customFormat="1" x14ac:dyDescent="0.15"/>
    <row r="1040376" customFormat="1" x14ac:dyDescent="0.15"/>
    <row r="1040377" customFormat="1" x14ac:dyDescent="0.15"/>
    <row r="1040378" customFormat="1" x14ac:dyDescent="0.15"/>
    <row r="1040379" customFormat="1" x14ac:dyDescent="0.15"/>
    <row r="1040380" customFormat="1" x14ac:dyDescent="0.15"/>
    <row r="1040381" customFormat="1" x14ac:dyDescent="0.15"/>
    <row r="1040382" customFormat="1" x14ac:dyDescent="0.15"/>
    <row r="1040383" customFormat="1" x14ac:dyDescent="0.15"/>
    <row r="1040384" customFormat="1" x14ac:dyDescent="0.15"/>
    <row r="1040385" customFormat="1" x14ac:dyDescent="0.15"/>
    <row r="1040386" customFormat="1" x14ac:dyDescent="0.15"/>
    <row r="1040387" customFormat="1" x14ac:dyDescent="0.15"/>
    <row r="1040388" customFormat="1" x14ac:dyDescent="0.15"/>
    <row r="1040389" customFormat="1" x14ac:dyDescent="0.15"/>
    <row r="1040390" customFormat="1" x14ac:dyDescent="0.15"/>
    <row r="1040391" customFormat="1" x14ac:dyDescent="0.15"/>
    <row r="1040392" customFormat="1" x14ac:dyDescent="0.15"/>
    <row r="1040393" customFormat="1" x14ac:dyDescent="0.15"/>
    <row r="1040394" customFormat="1" x14ac:dyDescent="0.15"/>
    <row r="1040395" customFormat="1" x14ac:dyDescent="0.15"/>
    <row r="1040396" customFormat="1" x14ac:dyDescent="0.15"/>
    <row r="1040397" customFormat="1" x14ac:dyDescent="0.15"/>
    <row r="1040398" customFormat="1" x14ac:dyDescent="0.15"/>
    <row r="1040399" customFormat="1" x14ac:dyDescent="0.15"/>
    <row r="1040400" customFormat="1" x14ac:dyDescent="0.15"/>
    <row r="1040401" customFormat="1" x14ac:dyDescent="0.15"/>
    <row r="1040402" customFormat="1" x14ac:dyDescent="0.15"/>
    <row r="1040403" customFormat="1" x14ac:dyDescent="0.15"/>
    <row r="1040404" customFormat="1" x14ac:dyDescent="0.15"/>
    <row r="1040405" customFormat="1" x14ac:dyDescent="0.15"/>
    <row r="1040406" customFormat="1" x14ac:dyDescent="0.15"/>
    <row r="1040407" customFormat="1" x14ac:dyDescent="0.15"/>
    <row r="1040408" customFormat="1" x14ac:dyDescent="0.15"/>
    <row r="1040409" customFormat="1" x14ac:dyDescent="0.15"/>
    <row r="1040410" customFormat="1" x14ac:dyDescent="0.15"/>
    <row r="1040411" customFormat="1" x14ac:dyDescent="0.15"/>
    <row r="1040412" customFormat="1" x14ac:dyDescent="0.15"/>
    <row r="1040413" customFormat="1" x14ac:dyDescent="0.15"/>
    <row r="1040414" customFormat="1" x14ac:dyDescent="0.15"/>
    <row r="1040415" customFormat="1" x14ac:dyDescent="0.15"/>
    <row r="1040416" customFormat="1" x14ac:dyDescent="0.15"/>
    <row r="1040417" customFormat="1" x14ac:dyDescent="0.15"/>
    <row r="1040418" customFormat="1" x14ac:dyDescent="0.15"/>
    <row r="1040419" customFormat="1" x14ac:dyDescent="0.15"/>
    <row r="1040420" customFormat="1" x14ac:dyDescent="0.15"/>
    <row r="1040421" customFormat="1" x14ac:dyDescent="0.15"/>
    <row r="1040422" customFormat="1" x14ac:dyDescent="0.15"/>
    <row r="1040423" customFormat="1" x14ac:dyDescent="0.15"/>
    <row r="1040424" customFormat="1" x14ac:dyDescent="0.15"/>
    <row r="1040425" customFormat="1" x14ac:dyDescent="0.15"/>
    <row r="1040426" customFormat="1" x14ac:dyDescent="0.15"/>
    <row r="1040427" customFormat="1" x14ac:dyDescent="0.15"/>
    <row r="1040428" customFormat="1" x14ac:dyDescent="0.15"/>
    <row r="1040429" customFormat="1" x14ac:dyDescent="0.15"/>
    <row r="1040430" customFormat="1" x14ac:dyDescent="0.15"/>
    <row r="1040431" customFormat="1" x14ac:dyDescent="0.15"/>
    <row r="1040432" customFormat="1" x14ac:dyDescent="0.15"/>
    <row r="1040433" customFormat="1" x14ac:dyDescent="0.15"/>
    <row r="1040434" customFormat="1" x14ac:dyDescent="0.15"/>
    <row r="1040435" customFormat="1" x14ac:dyDescent="0.15"/>
    <row r="1040436" customFormat="1" x14ac:dyDescent="0.15"/>
    <row r="1040437" customFormat="1" x14ac:dyDescent="0.15"/>
    <row r="1040438" customFormat="1" x14ac:dyDescent="0.15"/>
    <row r="1040439" customFormat="1" x14ac:dyDescent="0.15"/>
    <row r="1040440" customFormat="1" x14ac:dyDescent="0.15"/>
    <row r="1040441" customFormat="1" x14ac:dyDescent="0.15"/>
    <row r="1040442" customFormat="1" x14ac:dyDescent="0.15"/>
    <row r="1040443" customFormat="1" x14ac:dyDescent="0.15"/>
    <row r="1040444" customFormat="1" x14ac:dyDescent="0.15"/>
    <row r="1040445" customFormat="1" x14ac:dyDescent="0.15"/>
    <row r="1040446" customFormat="1" x14ac:dyDescent="0.15"/>
    <row r="1040447" customFormat="1" x14ac:dyDescent="0.15"/>
    <row r="1040448" customFormat="1" x14ac:dyDescent="0.15"/>
    <row r="1040449" customFormat="1" x14ac:dyDescent="0.15"/>
    <row r="1040450" customFormat="1" x14ac:dyDescent="0.15"/>
    <row r="1040451" customFormat="1" x14ac:dyDescent="0.15"/>
    <row r="1040452" customFormat="1" x14ac:dyDescent="0.15"/>
    <row r="1040453" customFormat="1" x14ac:dyDescent="0.15"/>
    <row r="1040454" customFormat="1" x14ac:dyDescent="0.15"/>
    <row r="1040455" customFormat="1" x14ac:dyDescent="0.15"/>
    <row r="1040456" customFormat="1" x14ac:dyDescent="0.15"/>
    <row r="1040457" customFormat="1" x14ac:dyDescent="0.15"/>
    <row r="1040458" customFormat="1" x14ac:dyDescent="0.15"/>
    <row r="1040459" customFormat="1" x14ac:dyDescent="0.15"/>
    <row r="1040460" customFormat="1" x14ac:dyDescent="0.15"/>
    <row r="1040461" customFormat="1" x14ac:dyDescent="0.15"/>
    <row r="1040462" customFormat="1" x14ac:dyDescent="0.15"/>
    <row r="1040463" customFormat="1" x14ac:dyDescent="0.15"/>
    <row r="1040464" customFormat="1" x14ac:dyDescent="0.15"/>
    <row r="1040465" customFormat="1" x14ac:dyDescent="0.15"/>
    <row r="1040466" customFormat="1" x14ac:dyDescent="0.15"/>
    <row r="1040467" customFormat="1" x14ac:dyDescent="0.15"/>
    <row r="1040468" customFormat="1" x14ac:dyDescent="0.15"/>
    <row r="1040469" customFormat="1" x14ac:dyDescent="0.15"/>
    <row r="1040470" customFormat="1" x14ac:dyDescent="0.15"/>
    <row r="1040471" customFormat="1" x14ac:dyDescent="0.15"/>
    <row r="1040472" customFormat="1" x14ac:dyDescent="0.15"/>
    <row r="1040473" customFormat="1" x14ac:dyDescent="0.15"/>
    <row r="1040474" customFormat="1" x14ac:dyDescent="0.15"/>
    <row r="1040475" customFormat="1" x14ac:dyDescent="0.15"/>
    <row r="1040476" customFormat="1" x14ac:dyDescent="0.15"/>
    <row r="1040477" customFormat="1" x14ac:dyDescent="0.15"/>
    <row r="1040478" customFormat="1" x14ac:dyDescent="0.15"/>
    <row r="1040479" customFormat="1" x14ac:dyDescent="0.15"/>
    <row r="1040480" customFormat="1" x14ac:dyDescent="0.15"/>
    <row r="1040481" customFormat="1" x14ac:dyDescent="0.15"/>
    <row r="1040482" customFormat="1" x14ac:dyDescent="0.15"/>
    <row r="1040483" customFormat="1" x14ac:dyDescent="0.15"/>
    <row r="1040484" customFormat="1" x14ac:dyDescent="0.15"/>
    <row r="1040485" customFormat="1" x14ac:dyDescent="0.15"/>
    <row r="1040486" customFormat="1" x14ac:dyDescent="0.15"/>
    <row r="1040487" customFormat="1" x14ac:dyDescent="0.15"/>
    <row r="1040488" customFormat="1" x14ac:dyDescent="0.15"/>
    <row r="1040489" customFormat="1" x14ac:dyDescent="0.15"/>
    <row r="1040490" customFormat="1" x14ac:dyDescent="0.15"/>
    <row r="1040491" customFormat="1" x14ac:dyDescent="0.15"/>
    <row r="1040492" customFormat="1" x14ac:dyDescent="0.15"/>
    <row r="1040493" customFormat="1" x14ac:dyDescent="0.15"/>
    <row r="1040494" customFormat="1" x14ac:dyDescent="0.15"/>
    <row r="1040495" customFormat="1" x14ac:dyDescent="0.15"/>
    <row r="1040496" customFormat="1" x14ac:dyDescent="0.15"/>
    <row r="1040497" customFormat="1" x14ac:dyDescent="0.15"/>
    <row r="1040498" customFormat="1" x14ac:dyDescent="0.15"/>
    <row r="1040499" customFormat="1" x14ac:dyDescent="0.15"/>
    <row r="1040500" customFormat="1" x14ac:dyDescent="0.15"/>
    <row r="1040501" customFormat="1" x14ac:dyDescent="0.15"/>
    <row r="1040502" customFormat="1" x14ac:dyDescent="0.15"/>
    <row r="1040503" customFormat="1" x14ac:dyDescent="0.15"/>
    <row r="1040504" customFormat="1" x14ac:dyDescent="0.15"/>
    <row r="1040505" customFormat="1" x14ac:dyDescent="0.15"/>
    <row r="1040506" customFormat="1" x14ac:dyDescent="0.15"/>
    <row r="1040507" customFormat="1" x14ac:dyDescent="0.15"/>
    <row r="1040508" customFormat="1" x14ac:dyDescent="0.15"/>
    <row r="1040509" customFormat="1" x14ac:dyDescent="0.15"/>
    <row r="1040510" customFormat="1" x14ac:dyDescent="0.15"/>
    <row r="1040511" customFormat="1" x14ac:dyDescent="0.15"/>
    <row r="1040512" customFormat="1" x14ac:dyDescent="0.15"/>
    <row r="1040513" customFormat="1" x14ac:dyDescent="0.15"/>
    <row r="1040514" customFormat="1" x14ac:dyDescent="0.15"/>
    <row r="1040515" customFormat="1" x14ac:dyDescent="0.15"/>
    <row r="1040516" customFormat="1" x14ac:dyDescent="0.15"/>
    <row r="1040517" customFormat="1" x14ac:dyDescent="0.15"/>
    <row r="1040518" customFormat="1" x14ac:dyDescent="0.15"/>
    <row r="1040519" customFormat="1" x14ac:dyDescent="0.15"/>
    <row r="1040520" customFormat="1" x14ac:dyDescent="0.15"/>
    <row r="1040521" customFormat="1" x14ac:dyDescent="0.15"/>
    <row r="1040522" customFormat="1" x14ac:dyDescent="0.15"/>
    <row r="1040523" customFormat="1" x14ac:dyDescent="0.15"/>
    <row r="1040524" customFormat="1" x14ac:dyDescent="0.15"/>
    <row r="1040525" customFormat="1" x14ac:dyDescent="0.15"/>
    <row r="1040526" customFormat="1" x14ac:dyDescent="0.15"/>
    <row r="1040527" customFormat="1" x14ac:dyDescent="0.15"/>
    <row r="1040528" customFormat="1" x14ac:dyDescent="0.15"/>
    <row r="1040529" customFormat="1" x14ac:dyDescent="0.15"/>
    <row r="1040530" customFormat="1" x14ac:dyDescent="0.15"/>
    <row r="1040531" customFormat="1" x14ac:dyDescent="0.15"/>
    <row r="1040532" customFormat="1" x14ac:dyDescent="0.15"/>
    <row r="1040533" customFormat="1" x14ac:dyDescent="0.15"/>
    <row r="1040534" customFormat="1" x14ac:dyDescent="0.15"/>
    <row r="1040535" customFormat="1" x14ac:dyDescent="0.15"/>
    <row r="1040536" customFormat="1" x14ac:dyDescent="0.15"/>
    <row r="1040537" customFormat="1" x14ac:dyDescent="0.15"/>
    <row r="1040538" customFormat="1" x14ac:dyDescent="0.15"/>
    <row r="1040539" customFormat="1" x14ac:dyDescent="0.15"/>
    <row r="1040540" customFormat="1" x14ac:dyDescent="0.15"/>
    <row r="1040541" customFormat="1" x14ac:dyDescent="0.15"/>
    <row r="1040542" customFormat="1" x14ac:dyDescent="0.15"/>
    <row r="1040543" customFormat="1" x14ac:dyDescent="0.15"/>
    <row r="1040544" customFormat="1" x14ac:dyDescent="0.15"/>
    <row r="1040545" customFormat="1" x14ac:dyDescent="0.15"/>
    <row r="1040546" customFormat="1" x14ac:dyDescent="0.15"/>
    <row r="1040547" customFormat="1" x14ac:dyDescent="0.15"/>
    <row r="1040548" customFormat="1" x14ac:dyDescent="0.15"/>
    <row r="1040549" customFormat="1" x14ac:dyDescent="0.15"/>
    <row r="1040550" customFormat="1" x14ac:dyDescent="0.15"/>
    <row r="1040551" customFormat="1" x14ac:dyDescent="0.15"/>
    <row r="1040552" customFormat="1" x14ac:dyDescent="0.15"/>
    <row r="1040553" customFormat="1" x14ac:dyDescent="0.15"/>
    <row r="1040554" customFormat="1" x14ac:dyDescent="0.15"/>
    <row r="1040555" customFormat="1" x14ac:dyDescent="0.15"/>
    <row r="1040556" customFormat="1" x14ac:dyDescent="0.15"/>
    <row r="1040557" customFormat="1" x14ac:dyDescent="0.15"/>
    <row r="1040558" customFormat="1" x14ac:dyDescent="0.15"/>
    <row r="1040559" customFormat="1" x14ac:dyDescent="0.15"/>
    <row r="1040560" customFormat="1" x14ac:dyDescent="0.15"/>
    <row r="1040561" customFormat="1" x14ac:dyDescent="0.15"/>
    <row r="1040562" customFormat="1" x14ac:dyDescent="0.15"/>
    <row r="1040563" customFormat="1" x14ac:dyDescent="0.15"/>
    <row r="1040564" customFormat="1" x14ac:dyDescent="0.15"/>
    <row r="1040565" customFormat="1" x14ac:dyDescent="0.15"/>
    <row r="1040566" customFormat="1" x14ac:dyDescent="0.15"/>
    <row r="1040567" customFormat="1" x14ac:dyDescent="0.15"/>
    <row r="1040568" customFormat="1" x14ac:dyDescent="0.15"/>
    <row r="1040569" customFormat="1" x14ac:dyDescent="0.15"/>
    <row r="1040570" customFormat="1" x14ac:dyDescent="0.15"/>
    <row r="1040571" customFormat="1" x14ac:dyDescent="0.15"/>
    <row r="1040572" customFormat="1" x14ac:dyDescent="0.15"/>
    <row r="1040573" customFormat="1" x14ac:dyDescent="0.15"/>
    <row r="1040574" customFormat="1" x14ac:dyDescent="0.15"/>
    <row r="1040575" customFormat="1" x14ac:dyDescent="0.15"/>
    <row r="1040576" customFormat="1" x14ac:dyDescent="0.15"/>
    <row r="1040577" customFormat="1" x14ac:dyDescent="0.15"/>
    <row r="1040578" customFormat="1" x14ac:dyDescent="0.15"/>
    <row r="1040579" customFormat="1" x14ac:dyDescent="0.15"/>
    <row r="1040580" customFormat="1" x14ac:dyDescent="0.15"/>
    <row r="1040581" customFormat="1" x14ac:dyDescent="0.15"/>
    <row r="1040582" customFormat="1" x14ac:dyDescent="0.15"/>
    <row r="1040583" customFormat="1" x14ac:dyDescent="0.15"/>
    <row r="1040584" customFormat="1" x14ac:dyDescent="0.15"/>
    <row r="1040585" customFormat="1" x14ac:dyDescent="0.15"/>
    <row r="1040586" customFormat="1" x14ac:dyDescent="0.15"/>
    <row r="1040587" customFormat="1" x14ac:dyDescent="0.15"/>
    <row r="1040588" customFormat="1" x14ac:dyDescent="0.15"/>
    <row r="1040589" customFormat="1" x14ac:dyDescent="0.15"/>
    <row r="1040590" customFormat="1" x14ac:dyDescent="0.15"/>
    <row r="1040591" customFormat="1" x14ac:dyDescent="0.15"/>
    <row r="1040592" customFormat="1" x14ac:dyDescent="0.15"/>
    <row r="1040593" customFormat="1" x14ac:dyDescent="0.15"/>
    <row r="1040594" customFormat="1" x14ac:dyDescent="0.15"/>
    <row r="1040595" customFormat="1" x14ac:dyDescent="0.15"/>
    <row r="1040596" customFormat="1" x14ac:dyDescent="0.15"/>
    <row r="1040597" customFormat="1" x14ac:dyDescent="0.15"/>
    <row r="1040598" customFormat="1" x14ac:dyDescent="0.15"/>
    <row r="1040599" customFormat="1" x14ac:dyDescent="0.15"/>
    <row r="1040600" customFormat="1" x14ac:dyDescent="0.15"/>
    <row r="1040601" customFormat="1" x14ac:dyDescent="0.15"/>
    <row r="1040602" customFormat="1" x14ac:dyDescent="0.15"/>
    <row r="1040603" customFormat="1" x14ac:dyDescent="0.15"/>
    <row r="1040604" customFormat="1" x14ac:dyDescent="0.15"/>
    <row r="1040605" customFormat="1" x14ac:dyDescent="0.15"/>
    <row r="1040606" customFormat="1" x14ac:dyDescent="0.15"/>
    <row r="1040607" customFormat="1" x14ac:dyDescent="0.15"/>
    <row r="1040608" customFormat="1" x14ac:dyDescent="0.15"/>
    <row r="1040609" customFormat="1" x14ac:dyDescent="0.15"/>
    <row r="1040610" customFormat="1" x14ac:dyDescent="0.15"/>
    <row r="1040611" customFormat="1" x14ac:dyDescent="0.15"/>
    <row r="1040612" customFormat="1" x14ac:dyDescent="0.15"/>
    <row r="1040613" customFormat="1" x14ac:dyDescent="0.15"/>
    <row r="1040614" customFormat="1" x14ac:dyDescent="0.15"/>
    <row r="1040615" customFormat="1" x14ac:dyDescent="0.15"/>
    <row r="1040616" customFormat="1" x14ac:dyDescent="0.15"/>
    <row r="1040617" customFormat="1" x14ac:dyDescent="0.15"/>
    <row r="1040618" customFormat="1" x14ac:dyDescent="0.15"/>
    <row r="1040619" customFormat="1" x14ac:dyDescent="0.15"/>
    <row r="1040620" customFormat="1" x14ac:dyDescent="0.15"/>
    <row r="1040621" customFormat="1" x14ac:dyDescent="0.15"/>
    <row r="1040622" customFormat="1" x14ac:dyDescent="0.15"/>
    <row r="1040623" customFormat="1" x14ac:dyDescent="0.15"/>
    <row r="1040624" customFormat="1" x14ac:dyDescent="0.15"/>
    <row r="1040625" customFormat="1" x14ac:dyDescent="0.15"/>
    <row r="1040626" customFormat="1" x14ac:dyDescent="0.15"/>
    <row r="1040627" customFormat="1" x14ac:dyDescent="0.15"/>
    <row r="1040628" customFormat="1" x14ac:dyDescent="0.15"/>
    <row r="1040629" customFormat="1" x14ac:dyDescent="0.15"/>
    <row r="1040630" customFormat="1" x14ac:dyDescent="0.15"/>
    <row r="1040631" customFormat="1" x14ac:dyDescent="0.15"/>
    <row r="1040632" customFormat="1" x14ac:dyDescent="0.15"/>
    <row r="1040633" customFormat="1" x14ac:dyDescent="0.15"/>
    <row r="1040634" customFormat="1" x14ac:dyDescent="0.15"/>
    <row r="1040635" customFormat="1" x14ac:dyDescent="0.15"/>
    <row r="1040636" customFormat="1" x14ac:dyDescent="0.15"/>
    <row r="1040637" customFormat="1" x14ac:dyDescent="0.15"/>
    <row r="1040638" customFormat="1" x14ac:dyDescent="0.15"/>
    <row r="1040639" customFormat="1" x14ac:dyDescent="0.15"/>
    <row r="1040640" customFormat="1" x14ac:dyDescent="0.15"/>
    <row r="1040641" customFormat="1" x14ac:dyDescent="0.15"/>
    <row r="1040642" customFormat="1" x14ac:dyDescent="0.15"/>
    <row r="1040643" customFormat="1" x14ac:dyDescent="0.15"/>
    <row r="1040644" customFormat="1" x14ac:dyDescent="0.15"/>
    <row r="1040645" customFormat="1" x14ac:dyDescent="0.15"/>
    <row r="1040646" customFormat="1" x14ac:dyDescent="0.15"/>
    <row r="1040647" customFormat="1" x14ac:dyDescent="0.15"/>
    <row r="1040648" customFormat="1" x14ac:dyDescent="0.15"/>
    <row r="1040649" customFormat="1" x14ac:dyDescent="0.15"/>
    <row r="1040650" customFormat="1" x14ac:dyDescent="0.15"/>
    <row r="1040651" customFormat="1" x14ac:dyDescent="0.15"/>
    <row r="1040652" customFormat="1" x14ac:dyDescent="0.15"/>
    <row r="1040653" customFormat="1" x14ac:dyDescent="0.15"/>
    <row r="1040654" customFormat="1" x14ac:dyDescent="0.15"/>
    <row r="1040655" customFormat="1" x14ac:dyDescent="0.15"/>
    <row r="1040656" customFormat="1" x14ac:dyDescent="0.15"/>
    <row r="1040657" customFormat="1" x14ac:dyDescent="0.15"/>
    <row r="1040658" customFormat="1" x14ac:dyDescent="0.15"/>
    <row r="1040659" customFormat="1" x14ac:dyDescent="0.15"/>
    <row r="1040660" customFormat="1" x14ac:dyDescent="0.15"/>
    <row r="1040661" customFormat="1" x14ac:dyDescent="0.15"/>
    <row r="1040662" customFormat="1" x14ac:dyDescent="0.15"/>
    <row r="1040663" customFormat="1" x14ac:dyDescent="0.15"/>
    <row r="1040664" customFormat="1" x14ac:dyDescent="0.15"/>
    <row r="1040665" customFormat="1" x14ac:dyDescent="0.15"/>
    <row r="1040666" customFormat="1" x14ac:dyDescent="0.15"/>
    <row r="1040667" customFormat="1" x14ac:dyDescent="0.15"/>
    <row r="1040668" customFormat="1" x14ac:dyDescent="0.15"/>
    <row r="1040669" customFormat="1" x14ac:dyDescent="0.15"/>
    <row r="1040670" customFormat="1" x14ac:dyDescent="0.15"/>
    <row r="1040671" customFormat="1" x14ac:dyDescent="0.15"/>
    <row r="1040672" customFormat="1" x14ac:dyDescent="0.15"/>
    <row r="1040673" customFormat="1" x14ac:dyDescent="0.15"/>
    <row r="1040674" customFormat="1" x14ac:dyDescent="0.15"/>
    <row r="1040675" customFormat="1" x14ac:dyDescent="0.15"/>
    <row r="1040676" customFormat="1" x14ac:dyDescent="0.15"/>
    <row r="1040677" customFormat="1" x14ac:dyDescent="0.15"/>
    <row r="1040678" customFormat="1" x14ac:dyDescent="0.15"/>
    <row r="1040679" customFormat="1" x14ac:dyDescent="0.15"/>
    <row r="1040680" customFormat="1" x14ac:dyDescent="0.15"/>
    <row r="1040681" customFormat="1" x14ac:dyDescent="0.15"/>
    <row r="1040682" customFormat="1" x14ac:dyDescent="0.15"/>
    <row r="1040683" customFormat="1" x14ac:dyDescent="0.15"/>
    <row r="1040684" customFormat="1" x14ac:dyDescent="0.15"/>
    <row r="1040685" customFormat="1" x14ac:dyDescent="0.15"/>
    <row r="1040686" customFormat="1" x14ac:dyDescent="0.15"/>
    <row r="1040687" customFormat="1" x14ac:dyDescent="0.15"/>
    <row r="1040688" customFormat="1" x14ac:dyDescent="0.15"/>
    <row r="1040689" customFormat="1" x14ac:dyDescent="0.15"/>
    <row r="1040690" customFormat="1" x14ac:dyDescent="0.15"/>
    <row r="1040691" customFormat="1" x14ac:dyDescent="0.15"/>
    <row r="1040692" customFormat="1" x14ac:dyDescent="0.15"/>
    <row r="1040693" customFormat="1" x14ac:dyDescent="0.15"/>
    <row r="1040694" customFormat="1" x14ac:dyDescent="0.15"/>
    <row r="1040695" customFormat="1" x14ac:dyDescent="0.15"/>
    <row r="1040696" customFormat="1" x14ac:dyDescent="0.15"/>
    <row r="1040697" customFormat="1" x14ac:dyDescent="0.15"/>
    <row r="1040698" customFormat="1" x14ac:dyDescent="0.15"/>
    <row r="1040699" customFormat="1" x14ac:dyDescent="0.15"/>
    <row r="1040700" customFormat="1" x14ac:dyDescent="0.15"/>
    <row r="1040701" customFormat="1" x14ac:dyDescent="0.15"/>
    <row r="1040702" customFormat="1" x14ac:dyDescent="0.15"/>
    <row r="1040703" customFormat="1" x14ac:dyDescent="0.15"/>
    <row r="1040704" customFormat="1" x14ac:dyDescent="0.15"/>
    <row r="1040705" customFormat="1" x14ac:dyDescent="0.15"/>
    <row r="1040706" customFormat="1" x14ac:dyDescent="0.15"/>
    <row r="1040707" customFormat="1" x14ac:dyDescent="0.15"/>
    <row r="1040708" customFormat="1" x14ac:dyDescent="0.15"/>
    <row r="1040709" customFormat="1" x14ac:dyDescent="0.15"/>
    <row r="1040710" customFormat="1" x14ac:dyDescent="0.15"/>
    <row r="1040711" customFormat="1" x14ac:dyDescent="0.15"/>
    <row r="1040712" customFormat="1" x14ac:dyDescent="0.15"/>
    <row r="1040713" customFormat="1" x14ac:dyDescent="0.15"/>
    <row r="1040714" customFormat="1" x14ac:dyDescent="0.15"/>
    <row r="1040715" customFormat="1" x14ac:dyDescent="0.15"/>
    <row r="1040716" customFormat="1" x14ac:dyDescent="0.15"/>
    <row r="1040717" customFormat="1" x14ac:dyDescent="0.15"/>
    <row r="1040718" customFormat="1" x14ac:dyDescent="0.15"/>
    <row r="1040719" customFormat="1" x14ac:dyDescent="0.15"/>
    <row r="1040720" customFormat="1" x14ac:dyDescent="0.15"/>
    <row r="1040721" customFormat="1" x14ac:dyDescent="0.15"/>
    <row r="1040722" customFormat="1" x14ac:dyDescent="0.15"/>
    <row r="1040723" customFormat="1" x14ac:dyDescent="0.15"/>
    <row r="1040724" customFormat="1" x14ac:dyDescent="0.15"/>
    <row r="1040725" customFormat="1" x14ac:dyDescent="0.15"/>
    <row r="1040726" customFormat="1" x14ac:dyDescent="0.15"/>
    <row r="1040727" customFormat="1" x14ac:dyDescent="0.15"/>
    <row r="1040728" customFormat="1" x14ac:dyDescent="0.15"/>
    <row r="1040729" customFormat="1" x14ac:dyDescent="0.15"/>
    <row r="1040730" customFormat="1" x14ac:dyDescent="0.15"/>
    <row r="1040731" customFormat="1" x14ac:dyDescent="0.15"/>
    <row r="1040732" customFormat="1" x14ac:dyDescent="0.15"/>
    <row r="1040733" customFormat="1" x14ac:dyDescent="0.15"/>
    <row r="1040734" customFormat="1" x14ac:dyDescent="0.15"/>
    <row r="1040735" customFormat="1" x14ac:dyDescent="0.15"/>
    <row r="1040736" customFormat="1" x14ac:dyDescent="0.15"/>
    <row r="1040737" customFormat="1" x14ac:dyDescent="0.15"/>
    <row r="1040738" customFormat="1" x14ac:dyDescent="0.15"/>
    <row r="1040739" customFormat="1" x14ac:dyDescent="0.15"/>
    <row r="1040740" customFormat="1" x14ac:dyDescent="0.15"/>
    <row r="1040741" customFormat="1" x14ac:dyDescent="0.15"/>
    <row r="1040742" customFormat="1" x14ac:dyDescent="0.15"/>
    <row r="1040743" customFormat="1" x14ac:dyDescent="0.15"/>
    <row r="1040744" customFormat="1" x14ac:dyDescent="0.15"/>
    <row r="1040745" customFormat="1" x14ac:dyDescent="0.15"/>
    <row r="1040746" customFormat="1" x14ac:dyDescent="0.15"/>
    <row r="1040747" customFormat="1" x14ac:dyDescent="0.15"/>
    <row r="1040748" customFormat="1" x14ac:dyDescent="0.15"/>
    <row r="1040749" customFormat="1" x14ac:dyDescent="0.15"/>
    <row r="1040750" customFormat="1" x14ac:dyDescent="0.15"/>
    <row r="1040751" customFormat="1" x14ac:dyDescent="0.15"/>
    <row r="1040752" customFormat="1" x14ac:dyDescent="0.15"/>
    <row r="1040753" customFormat="1" x14ac:dyDescent="0.15"/>
    <row r="1040754" customFormat="1" x14ac:dyDescent="0.15"/>
    <row r="1040755" customFormat="1" x14ac:dyDescent="0.15"/>
    <row r="1040756" customFormat="1" x14ac:dyDescent="0.15"/>
    <row r="1040757" customFormat="1" x14ac:dyDescent="0.15"/>
    <row r="1040758" customFormat="1" x14ac:dyDescent="0.15"/>
    <row r="1040759" customFormat="1" x14ac:dyDescent="0.15"/>
    <row r="1040760" customFormat="1" x14ac:dyDescent="0.15"/>
    <row r="1040761" customFormat="1" x14ac:dyDescent="0.15"/>
    <row r="1040762" customFormat="1" x14ac:dyDescent="0.15"/>
    <row r="1040763" customFormat="1" x14ac:dyDescent="0.15"/>
    <row r="1040764" customFormat="1" x14ac:dyDescent="0.15"/>
    <row r="1040765" customFormat="1" x14ac:dyDescent="0.15"/>
    <row r="1040766" customFormat="1" x14ac:dyDescent="0.15"/>
    <row r="1040767" customFormat="1" x14ac:dyDescent="0.15"/>
    <row r="1040768" customFormat="1" x14ac:dyDescent="0.15"/>
    <row r="1040769" customFormat="1" x14ac:dyDescent="0.15"/>
    <row r="1040770" customFormat="1" x14ac:dyDescent="0.15"/>
    <row r="1040771" customFormat="1" x14ac:dyDescent="0.15"/>
    <row r="1040772" customFormat="1" x14ac:dyDescent="0.15"/>
    <row r="1040773" customFormat="1" x14ac:dyDescent="0.15"/>
    <row r="1040774" customFormat="1" x14ac:dyDescent="0.15"/>
    <row r="1040775" customFormat="1" x14ac:dyDescent="0.15"/>
    <row r="1040776" customFormat="1" x14ac:dyDescent="0.15"/>
    <row r="1040777" customFormat="1" x14ac:dyDescent="0.15"/>
    <row r="1040778" customFormat="1" x14ac:dyDescent="0.15"/>
    <row r="1040779" customFormat="1" x14ac:dyDescent="0.15"/>
    <row r="1040780" customFormat="1" x14ac:dyDescent="0.15"/>
    <row r="1040781" customFormat="1" x14ac:dyDescent="0.15"/>
    <row r="1040782" customFormat="1" x14ac:dyDescent="0.15"/>
    <row r="1040783" customFormat="1" x14ac:dyDescent="0.15"/>
    <row r="1040784" customFormat="1" x14ac:dyDescent="0.15"/>
    <row r="1040785" customFormat="1" x14ac:dyDescent="0.15"/>
    <row r="1040786" customFormat="1" x14ac:dyDescent="0.15"/>
    <row r="1040787" customFormat="1" x14ac:dyDescent="0.15"/>
    <row r="1040788" customFormat="1" x14ac:dyDescent="0.15"/>
    <row r="1040789" customFormat="1" x14ac:dyDescent="0.15"/>
    <row r="1040790" customFormat="1" x14ac:dyDescent="0.15"/>
    <row r="1040791" customFormat="1" x14ac:dyDescent="0.15"/>
    <row r="1040792" customFormat="1" x14ac:dyDescent="0.15"/>
    <row r="1040793" customFormat="1" x14ac:dyDescent="0.15"/>
    <row r="1040794" customFormat="1" x14ac:dyDescent="0.15"/>
    <row r="1040795" customFormat="1" x14ac:dyDescent="0.15"/>
    <row r="1040796" customFormat="1" x14ac:dyDescent="0.15"/>
    <row r="1040797" customFormat="1" x14ac:dyDescent="0.15"/>
    <row r="1040798" customFormat="1" x14ac:dyDescent="0.15"/>
    <row r="1040799" customFormat="1" x14ac:dyDescent="0.15"/>
    <row r="1040800" customFormat="1" x14ac:dyDescent="0.15"/>
    <row r="1040801" customFormat="1" x14ac:dyDescent="0.15"/>
    <row r="1040802" customFormat="1" x14ac:dyDescent="0.15"/>
    <row r="1040803" customFormat="1" x14ac:dyDescent="0.15"/>
    <row r="1040804" customFormat="1" x14ac:dyDescent="0.15"/>
    <row r="1040805" customFormat="1" x14ac:dyDescent="0.15"/>
    <row r="1040806" customFormat="1" x14ac:dyDescent="0.15"/>
    <row r="1040807" customFormat="1" x14ac:dyDescent="0.15"/>
    <row r="1040808" customFormat="1" x14ac:dyDescent="0.15"/>
    <row r="1040809" customFormat="1" x14ac:dyDescent="0.15"/>
    <row r="1040810" customFormat="1" x14ac:dyDescent="0.15"/>
    <row r="1040811" customFormat="1" x14ac:dyDescent="0.15"/>
    <row r="1040812" customFormat="1" x14ac:dyDescent="0.15"/>
    <row r="1040813" customFormat="1" x14ac:dyDescent="0.15"/>
    <row r="1040814" customFormat="1" x14ac:dyDescent="0.15"/>
    <row r="1040815" customFormat="1" x14ac:dyDescent="0.15"/>
    <row r="1040816" customFormat="1" x14ac:dyDescent="0.15"/>
    <row r="1040817" customFormat="1" x14ac:dyDescent="0.15"/>
    <row r="1040818" customFormat="1" x14ac:dyDescent="0.15"/>
    <row r="1040819" customFormat="1" x14ac:dyDescent="0.15"/>
    <row r="1040820" customFormat="1" x14ac:dyDescent="0.15"/>
    <row r="1040821" customFormat="1" x14ac:dyDescent="0.15"/>
    <row r="1040822" customFormat="1" x14ac:dyDescent="0.15"/>
    <row r="1040823" customFormat="1" x14ac:dyDescent="0.15"/>
    <row r="1040824" customFormat="1" x14ac:dyDescent="0.15"/>
    <row r="1040825" customFormat="1" x14ac:dyDescent="0.15"/>
    <row r="1040826" customFormat="1" x14ac:dyDescent="0.15"/>
    <row r="1040827" customFormat="1" x14ac:dyDescent="0.15"/>
    <row r="1040828" customFormat="1" x14ac:dyDescent="0.15"/>
    <row r="1040829" customFormat="1" x14ac:dyDescent="0.15"/>
    <row r="1040830" customFormat="1" x14ac:dyDescent="0.15"/>
    <row r="1040831" customFormat="1" x14ac:dyDescent="0.15"/>
    <row r="1040832" customFormat="1" x14ac:dyDescent="0.15"/>
    <row r="1040833" customFormat="1" x14ac:dyDescent="0.15"/>
    <row r="1040834" customFormat="1" x14ac:dyDescent="0.15"/>
    <row r="1040835" customFormat="1" x14ac:dyDescent="0.15"/>
    <row r="1040836" customFormat="1" x14ac:dyDescent="0.15"/>
    <row r="1040837" customFormat="1" x14ac:dyDescent="0.15"/>
    <row r="1040838" customFormat="1" x14ac:dyDescent="0.15"/>
    <row r="1040839" customFormat="1" x14ac:dyDescent="0.15"/>
    <row r="1040840" customFormat="1" x14ac:dyDescent="0.15"/>
    <row r="1040841" customFormat="1" x14ac:dyDescent="0.15"/>
    <row r="1040842" customFormat="1" x14ac:dyDescent="0.15"/>
    <row r="1040843" customFormat="1" x14ac:dyDescent="0.15"/>
    <row r="1040844" customFormat="1" x14ac:dyDescent="0.15"/>
    <row r="1040845" customFormat="1" x14ac:dyDescent="0.15"/>
    <row r="1040846" customFormat="1" x14ac:dyDescent="0.15"/>
    <row r="1040847" customFormat="1" x14ac:dyDescent="0.15"/>
    <row r="1040848" customFormat="1" x14ac:dyDescent="0.15"/>
    <row r="1040849" customFormat="1" x14ac:dyDescent="0.15"/>
    <row r="1040850" customFormat="1" x14ac:dyDescent="0.15"/>
    <row r="1040851" customFormat="1" x14ac:dyDescent="0.15"/>
    <row r="1040852" customFormat="1" x14ac:dyDescent="0.15"/>
    <row r="1040853" customFormat="1" x14ac:dyDescent="0.15"/>
    <row r="1040854" customFormat="1" x14ac:dyDescent="0.15"/>
    <row r="1040855" customFormat="1" x14ac:dyDescent="0.15"/>
    <row r="1040856" customFormat="1" x14ac:dyDescent="0.15"/>
    <row r="1040857" customFormat="1" x14ac:dyDescent="0.15"/>
    <row r="1040858" customFormat="1" x14ac:dyDescent="0.15"/>
    <row r="1040859" customFormat="1" x14ac:dyDescent="0.15"/>
    <row r="1040860" customFormat="1" x14ac:dyDescent="0.15"/>
    <row r="1040861" customFormat="1" x14ac:dyDescent="0.15"/>
    <row r="1040862" customFormat="1" x14ac:dyDescent="0.15"/>
    <row r="1040863" customFormat="1" x14ac:dyDescent="0.15"/>
    <row r="1040864" customFormat="1" x14ac:dyDescent="0.15"/>
    <row r="1040865" customFormat="1" x14ac:dyDescent="0.15"/>
    <row r="1040866" customFormat="1" x14ac:dyDescent="0.15"/>
    <row r="1040867" customFormat="1" x14ac:dyDescent="0.15"/>
    <row r="1040868" customFormat="1" x14ac:dyDescent="0.15"/>
    <row r="1040869" customFormat="1" x14ac:dyDescent="0.15"/>
    <row r="1040870" customFormat="1" x14ac:dyDescent="0.15"/>
    <row r="1040871" customFormat="1" x14ac:dyDescent="0.15"/>
    <row r="1040872" customFormat="1" x14ac:dyDescent="0.15"/>
    <row r="1040873" customFormat="1" x14ac:dyDescent="0.15"/>
    <row r="1040874" customFormat="1" x14ac:dyDescent="0.15"/>
    <row r="1040875" customFormat="1" x14ac:dyDescent="0.15"/>
    <row r="1040876" customFormat="1" x14ac:dyDescent="0.15"/>
    <row r="1040877" customFormat="1" x14ac:dyDescent="0.15"/>
    <row r="1040878" customFormat="1" x14ac:dyDescent="0.15"/>
    <row r="1040879" customFormat="1" x14ac:dyDescent="0.15"/>
    <row r="1040880" customFormat="1" x14ac:dyDescent="0.15"/>
    <row r="1040881" customFormat="1" x14ac:dyDescent="0.15"/>
    <row r="1040882" customFormat="1" x14ac:dyDescent="0.15"/>
    <row r="1040883" customFormat="1" x14ac:dyDescent="0.15"/>
    <row r="1040884" customFormat="1" x14ac:dyDescent="0.15"/>
    <row r="1040885" customFormat="1" x14ac:dyDescent="0.15"/>
    <row r="1040886" customFormat="1" x14ac:dyDescent="0.15"/>
    <row r="1040887" customFormat="1" x14ac:dyDescent="0.15"/>
    <row r="1040888" customFormat="1" x14ac:dyDescent="0.15"/>
    <row r="1040889" customFormat="1" x14ac:dyDescent="0.15"/>
    <row r="1040890" customFormat="1" x14ac:dyDescent="0.15"/>
    <row r="1040891" customFormat="1" x14ac:dyDescent="0.15"/>
    <row r="1040892" customFormat="1" x14ac:dyDescent="0.15"/>
    <row r="1040893" customFormat="1" x14ac:dyDescent="0.15"/>
    <row r="1040894" customFormat="1" x14ac:dyDescent="0.15"/>
    <row r="1040895" customFormat="1" x14ac:dyDescent="0.15"/>
    <row r="1040896" customFormat="1" x14ac:dyDescent="0.15"/>
    <row r="1040897" customFormat="1" x14ac:dyDescent="0.15"/>
    <row r="1040898" customFormat="1" x14ac:dyDescent="0.15"/>
    <row r="1040899" customFormat="1" x14ac:dyDescent="0.15"/>
    <row r="1040900" customFormat="1" x14ac:dyDescent="0.15"/>
    <row r="1040901" customFormat="1" x14ac:dyDescent="0.15"/>
    <row r="1040902" customFormat="1" x14ac:dyDescent="0.15"/>
    <row r="1040903" customFormat="1" x14ac:dyDescent="0.15"/>
    <row r="1040904" customFormat="1" x14ac:dyDescent="0.15"/>
    <row r="1040905" customFormat="1" x14ac:dyDescent="0.15"/>
    <row r="1040906" customFormat="1" x14ac:dyDescent="0.15"/>
    <row r="1040907" customFormat="1" x14ac:dyDescent="0.15"/>
    <row r="1040908" customFormat="1" x14ac:dyDescent="0.15"/>
    <row r="1040909" customFormat="1" x14ac:dyDescent="0.15"/>
    <row r="1040910" customFormat="1" x14ac:dyDescent="0.15"/>
    <row r="1040911" customFormat="1" x14ac:dyDescent="0.15"/>
    <row r="1040912" customFormat="1" x14ac:dyDescent="0.15"/>
    <row r="1040913" customFormat="1" x14ac:dyDescent="0.15"/>
    <row r="1040914" customFormat="1" x14ac:dyDescent="0.15"/>
    <row r="1040915" customFormat="1" x14ac:dyDescent="0.15"/>
    <row r="1040916" customFormat="1" x14ac:dyDescent="0.15"/>
    <row r="1040917" customFormat="1" x14ac:dyDescent="0.15"/>
    <row r="1040918" customFormat="1" x14ac:dyDescent="0.15"/>
    <row r="1040919" customFormat="1" x14ac:dyDescent="0.15"/>
    <row r="1040920" customFormat="1" x14ac:dyDescent="0.15"/>
    <row r="1040921" customFormat="1" x14ac:dyDescent="0.15"/>
    <row r="1040922" customFormat="1" x14ac:dyDescent="0.15"/>
    <row r="1040923" customFormat="1" x14ac:dyDescent="0.15"/>
    <row r="1040924" customFormat="1" x14ac:dyDescent="0.15"/>
    <row r="1040925" customFormat="1" x14ac:dyDescent="0.15"/>
    <row r="1040926" customFormat="1" x14ac:dyDescent="0.15"/>
    <row r="1040927" customFormat="1" x14ac:dyDescent="0.15"/>
    <row r="1040928" customFormat="1" x14ac:dyDescent="0.15"/>
    <row r="1040929" customFormat="1" x14ac:dyDescent="0.15"/>
    <row r="1040930" customFormat="1" x14ac:dyDescent="0.15"/>
    <row r="1040931" customFormat="1" x14ac:dyDescent="0.15"/>
    <row r="1040932" customFormat="1" x14ac:dyDescent="0.15"/>
    <row r="1040933" customFormat="1" x14ac:dyDescent="0.15"/>
    <row r="1040934" customFormat="1" x14ac:dyDescent="0.15"/>
    <row r="1040935" customFormat="1" x14ac:dyDescent="0.15"/>
    <row r="1040936" customFormat="1" x14ac:dyDescent="0.15"/>
    <row r="1040937" customFormat="1" x14ac:dyDescent="0.15"/>
    <row r="1040938" customFormat="1" x14ac:dyDescent="0.15"/>
    <row r="1040939" customFormat="1" x14ac:dyDescent="0.15"/>
    <row r="1040940" customFormat="1" x14ac:dyDescent="0.15"/>
    <row r="1040941" customFormat="1" x14ac:dyDescent="0.15"/>
    <row r="1040942" customFormat="1" x14ac:dyDescent="0.15"/>
    <row r="1040943" customFormat="1" x14ac:dyDescent="0.15"/>
    <row r="1040944" customFormat="1" x14ac:dyDescent="0.15"/>
    <row r="1040945" customFormat="1" x14ac:dyDescent="0.15"/>
    <row r="1040946" customFormat="1" x14ac:dyDescent="0.15"/>
    <row r="1040947" customFormat="1" x14ac:dyDescent="0.15"/>
    <row r="1040948" customFormat="1" x14ac:dyDescent="0.15"/>
    <row r="1040949" customFormat="1" x14ac:dyDescent="0.15"/>
    <row r="1040950" customFormat="1" x14ac:dyDescent="0.15"/>
    <row r="1040951" customFormat="1" x14ac:dyDescent="0.15"/>
    <row r="1040952" customFormat="1" x14ac:dyDescent="0.15"/>
    <row r="1040953" customFormat="1" x14ac:dyDescent="0.15"/>
    <row r="1040954" customFormat="1" x14ac:dyDescent="0.15"/>
    <row r="1040955" customFormat="1" x14ac:dyDescent="0.15"/>
    <row r="1040956" customFormat="1" x14ac:dyDescent="0.15"/>
    <row r="1040957" customFormat="1" x14ac:dyDescent="0.15"/>
    <row r="1040958" customFormat="1" x14ac:dyDescent="0.15"/>
    <row r="1040959" customFormat="1" x14ac:dyDescent="0.15"/>
    <row r="1040960" customFormat="1" x14ac:dyDescent="0.15"/>
    <row r="1040961" customFormat="1" x14ac:dyDescent="0.15"/>
    <row r="1040962" customFormat="1" x14ac:dyDescent="0.15"/>
    <row r="1040963" customFormat="1" x14ac:dyDescent="0.15"/>
    <row r="1040964" customFormat="1" x14ac:dyDescent="0.15"/>
    <row r="1040965" customFormat="1" x14ac:dyDescent="0.15"/>
    <row r="1040966" customFormat="1" x14ac:dyDescent="0.15"/>
    <row r="1040967" customFormat="1" x14ac:dyDescent="0.15"/>
    <row r="1040968" customFormat="1" x14ac:dyDescent="0.15"/>
    <row r="1040969" customFormat="1" x14ac:dyDescent="0.15"/>
    <row r="1040970" customFormat="1" x14ac:dyDescent="0.15"/>
    <row r="1040971" customFormat="1" x14ac:dyDescent="0.15"/>
    <row r="1040972" customFormat="1" x14ac:dyDescent="0.15"/>
    <row r="1040973" customFormat="1" x14ac:dyDescent="0.15"/>
    <row r="1040974" customFormat="1" x14ac:dyDescent="0.15"/>
    <row r="1040975" customFormat="1" x14ac:dyDescent="0.15"/>
    <row r="1040976" customFormat="1" x14ac:dyDescent="0.15"/>
    <row r="1040977" customFormat="1" x14ac:dyDescent="0.15"/>
    <row r="1040978" customFormat="1" x14ac:dyDescent="0.15"/>
    <row r="1040979" customFormat="1" x14ac:dyDescent="0.15"/>
    <row r="1040980" customFormat="1" x14ac:dyDescent="0.15"/>
    <row r="1040981" customFormat="1" x14ac:dyDescent="0.15"/>
    <row r="1040982" customFormat="1" x14ac:dyDescent="0.15"/>
    <row r="1040983" customFormat="1" x14ac:dyDescent="0.15"/>
    <row r="1040984" customFormat="1" x14ac:dyDescent="0.15"/>
    <row r="1040985" customFormat="1" x14ac:dyDescent="0.15"/>
    <row r="1040986" customFormat="1" x14ac:dyDescent="0.15"/>
    <row r="1040987" customFormat="1" x14ac:dyDescent="0.15"/>
    <row r="1040988" customFormat="1" x14ac:dyDescent="0.15"/>
    <row r="1040989" customFormat="1" x14ac:dyDescent="0.15"/>
    <row r="1040990" customFormat="1" x14ac:dyDescent="0.15"/>
    <row r="1040991" customFormat="1" x14ac:dyDescent="0.15"/>
    <row r="1040992" customFormat="1" x14ac:dyDescent="0.15"/>
    <row r="1040993" customFormat="1" x14ac:dyDescent="0.15"/>
    <row r="1040994" customFormat="1" x14ac:dyDescent="0.15"/>
    <row r="1040995" customFormat="1" x14ac:dyDescent="0.15"/>
    <row r="1040996" customFormat="1" x14ac:dyDescent="0.15"/>
    <row r="1040997" customFormat="1" x14ac:dyDescent="0.15"/>
    <row r="1040998" customFormat="1" x14ac:dyDescent="0.15"/>
    <row r="1040999" customFormat="1" x14ac:dyDescent="0.15"/>
    <row r="1041000" customFormat="1" x14ac:dyDescent="0.15"/>
    <row r="1041001" customFormat="1" x14ac:dyDescent="0.15"/>
    <row r="1041002" customFormat="1" x14ac:dyDescent="0.15"/>
    <row r="1041003" customFormat="1" x14ac:dyDescent="0.15"/>
    <row r="1041004" customFormat="1" x14ac:dyDescent="0.15"/>
    <row r="1041005" customFormat="1" x14ac:dyDescent="0.15"/>
    <row r="1041006" customFormat="1" x14ac:dyDescent="0.15"/>
    <row r="1041007" customFormat="1" x14ac:dyDescent="0.15"/>
    <row r="1041008" customFormat="1" x14ac:dyDescent="0.15"/>
    <row r="1041009" customFormat="1" x14ac:dyDescent="0.15"/>
    <row r="1041010" customFormat="1" x14ac:dyDescent="0.15"/>
    <row r="1041011" customFormat="1" x14ac:dyDescent="0.15"/>
    <row r="1041012" customFormat="1" x14ac:dyDescent="0.15"/>
    <row r="1041013" customFormat="1" x14ac:dyDescent="0.15"/>
    <row r="1041014" customFormat="1" x14ac:dyDescent="0.15"/>
    <row r="1041015" customFormat="1" x14ac:dyDescent="0.15"/>
    <row r="1041016" customFormat="1" x14ac:dyDescent="0.15"/>
    <row r="1041017" customFormat="1" x14ac:dyDescent="0.15"/>
    <row r="1041018" customFormat="1" x14ac:dyDescent="0.15"/>
    <row r="1041019" customFormat="1" x14ac:dyDescent="0.15"/>
    <row r="1041020" customFormat="1" x14ac:dyDescent="0.15"/>
    <row r="1041021" customFormat="1" x14ac:dyDescent="0.15"/>
    <row r="1041022" customFormat="1" x14ac:dyDescent="0.15"/>
    <row r="1041023" customFormat="1" x14ac:dyDescent="0.15"/>
    <row r="1041024" customFormat="1" x14ac:dyDescent="0.15"/>
    <row r="1041025" customFormat="1" x14ac:dyDescent="0.15"/>
    <row r="1041026" customFormat="1" x14ac:dyDescent="0.15"/>
    <row r="1041027" customFormat="1" x14ac:dyDescent="0.15"/>
    <row r="1041028" customFormat="1" x14ac:dyDescent="0.15"/>
    <row r="1041029" customFormat="1" x14ac:dyDescent="0.15"/>
    <row r="1041030" customFormat="1" x14ac:dyDescent="0.15"/>
    <row r="1041031" customFormat="1" x14ac:dyDescent="0.15"/>
    <row r="1041032" customFormat="1" x14ac:dyDescent="0.15"/>
    <row r="1041033" customFormat="1" x14ac:dyDescent="0.15"/>
    <row r="1041034" customFormat="1" x14ac:dyDescent="0.15"/>
    <row r="1041035" customFormat="1" x14ac:dyDescent="0.15"/>
    <row r="1041036" customFormat="1" x14ac:dyDescent="0.15"/>
    <row r="1041037" customFormat="1" x14ac:dyDescent="0.15"/>
    <row r="1041038" customFormat="1" x14ac:dyDescent="0.15"/>
    <row r="1041039" customFormat="1" x14ac:dyDescent="0.15"/>
    <row r="1041040" customFormat="1" x14ac:dyDescent="0.15"/>
    <row r="1041041" customFormat="1" x14ac:dyDescent="0.15"/>
    <row r="1041042" customFormat="1" x14ac:dyDescent="0.15"/>
    <row r="1041043" customFormat="1" x14ac:dyDescent="0.15"/>
    <row r="1041044" customFormat="1" x14ac:dyDescent="0.15"/>
    <row r="1041045" customFormat="1" x14ac:dyDescent="0.15"/>
    <row r="1041046" customFormat="1" x14ac:dyDescent="0.15"/>
    <row r="1041047" customFormat="1" x14ac:dyDescent="0.15"/>
    <row r="1041048" customFormat="1" x14ac:dyDescent="0.15"/>
    <row r="1041049" customFormat="1" x14ac:dyDescent="0.15"/>
    <row r="1041050" customFormat="1" x14ac:dyDescent="0.15"/>
    <row r="1041051" customFormat="1" x14ac:dyDescent="0.15"/>
    <row r="1041052" customFormat="1" x14ac:dyDescent="0.15"/>
    <row r="1041053" customFormat="1" x14ac:dyDescent="0.15"/>
    <row r="1041054" customFormat="1" x14ac:dyDescent="0.15"/>
    <row r="1041055" customFormat="1" x14ac:dyDescent="0.15"/>
    <row r="1041056" customFormat="1" x14ac:dyDescent="0.15"/>
    <row r="1041057" customFormat="1" x14ac:dyDescent="0.15"/>
    <row r="1041058" customFormat="1" x14ac:dyDescent="0.15"/>
    <row r="1041059" customFormat="1" x14ac:dyDescent="0.15"/>
    <row r="1041060" customFormat="1" x14ac:dyDescent="0.15"/>
    <row r="1041061" customFormat="1" x14ac:dyDescent="0.15"/>
    <row r="1041062" customFormat="1" x14ac:dyDescent="0.15"/>
    <row r="1041063" customFormat="1" x14ac:dyDescent="0.15"/>
    <row r="1041064" customFormat="1" x14ac:dyDescent="0.15"/>
    <row r="1041065" customFormat="1" x14ac:dyDescent="0.15"/>
    <row r="1041066" customFormat="1" x14ac:dyDescent="0.15"/>
    <row r="1041067" customFormat="1" x14ac:dyDescent="0.15"/>
    <row r="1041068" customFormat="1" x14ac:dyDescent="0.15"/>
    <row r="1041069" customFormat="1" x14ac:dyDescent="0.15"/>
    <row r="1041070" customFormat="1" x14ac:dyDescent="0.15"/>
    <row r="1041071" customFormat="1" x14ac:dyDescent="0.15"/>
    <row r="1041072" customFormat="1" x14ac:dyDescent="0.15"/>
    <row r="1041073" customFormat="1" x14ac:dyDescent="0.15"/>
    <row r="1041074" customFormat="1" x14ac:dyDescent="0.15"/>
    <row r="1041075" customFormat="1" x14ac:dyDescent="0.15"/>
    <row r="1041076" customFormat="1" x14ac:dyDescent="0.15"/>
    <row r="1041077" customFormat="1" x14ac:dyDescent="0.15"/>
    <row r="1041078" customFormat="1" x14ac:dyDescent="0.15"/>
    <row r="1041079" customFormat="1" x14ac:dyDescent="0.15"/>
    <row r="1041080" customFormat="1" x14ac:dyDescent="0.15"/>
    <row r="1041081" customFormat="1" x14ac:dyDescent="0.15"/>
    <row r="1041082" customFormat="1" x14ac:dyDescent="0.15"/>
    <row r="1041083" customFormat="1" x14ac:dyDescent="0.15"/>
    <row r="1041084" customFormat="1" x14ac:dyDescent="0.15"/>
    <row r="1041085" customFormat="1" x14ac:dyDescent="0.15"/>
    <row r="1041086" customFormat="1" x14ac:dyDescent="0.15"/>
    <row r="1041087" customFormat="1" x14ac:dyDescent="0.15"/>
    <row r="1041088" customFormat="1" x14ac:dyDescent="0.15"/>
    <row r="1041089" customFormat="1" x14ac:dyDescent="0.15"/>
    <row r="1041090" customFormat="1" x14ac:dyDescent="0.15"/>
    <row r="1041091" customFormat="1" x14ac:dyDescent="0.15"/>
    <row r="1041092" customFormat="1" x14ac:dyDescent="0.15"/>
    <row r="1041093" customFormat="1" x14ac:dyDescent="0.15"/>
    <row r="1041094" customFormat="1" x14ac:dyDescent="0.15"/>
    <row r="1041095" customFormat="1" x14ac:dyDescent="0.15"/>
    <row r="1041096" customFormat="1" x14ac:dyDescent="0.15"/>
    <row r="1041097" customFormat="1" x14ac:dyDescent="0.15"/>
    <row r="1041098" customFormat="1" x14ac:dyDescent="0.15"/>
    <row r="1041099" customFormat="1" x14ac:dyDescent="0.15"/>
    <row r="1041100" customFormat="1" x14ac:dyDescent="0.15"/>
    <row r="1041101" customFormat="1" x14ac:dyDescent="0.15"/>
    <row r="1041102" customFormat="1" x14ac:dyDescent="0.15"/>
    <row r="1041103" customFormat="1" x14ac:dyDescent="0.15"/>
    <row r="1041104" customFormat="1" x14ac:dyDescent="0.15"/>
    <row r="1041105" customFormat="1" x14ac:dyDescent="0.15"/>
    <row r="1041106" customFormat="1" x14ac:dyDescent="0.15"/>
    <row r="1041107" customFormat="1" x14ac:dyDescent="0.15"/>
    <row r="1041108" customFormat="1" x14ac:dyDescent="0.15"/>
    <row r="1041109" customFormat="1" x14ac:dyDescent="0.15"/>
    <row r="1041110" customFormat="1" x14ac:dyDescent="0.15"/>
    <row r="1041111" customFormat="1" x14ac:dyDescent="0.15"/>
    <row r="1041112" customFormat="1" x14ac:dyDescent="0.15"/>
    <row r="1041113" customFormat="1" x14ac:dyDescent="0.15"/>
    <row r="1041114" customFormat="1" x14ac:dyDescent="0.15"/>
    <row r="1041115" customFormat="1" x14ac:dyDescent="0.15"/>
    <row r="1041116" customFormat="1" x14ac:dyDescent="0.15"/>
    <row r="1041117" customFormat="1" x14ac:dyDescent="0.15"/>
    <row r="1041118" customFormat="1" x14ac:dyDescent="0.15"/>
    <row r="1041119" customFormat="1" x14ac:dyDescent="0.15"/>
    <row r="1041120" customFormat="1" x14ac:dyDescent="0.15"/>
    <row r="1041121" customFormat="1" x14ac:dyDescent="0.15"/>
    <row r="1041122" customFormat="1" x14ac:dyDescent="0.15"/>
    <row r="1041123" customFormat="1" x14ac:dyDescent="0.15"/>
    <row r="1041124" customFormat="1" x14ac:dyDescent="0.15"/>
    <row r="1041125" customFormat="1" x14ac:dyDescent="0.15"/>
    <row r="1041126" customFormat="1" x14ac:dyDescent="0.15"/>
    <row r="1041127" customFormat="1" x14ac:dyDescent="0.15"/>
    <row r="1041128" customFormat="1" x14ac:dyDescent="0.15"/>
    <row r="1041129" customFormat="1" x14ac:dyDescent="0.15"/>
    <row r="1041130" customFormat="1" x14ac:dyDescent="0.15"/>
    <row r="1041131" customFormat="1" x14ac:dyDescent="0.15"/>
    <row r="1041132" customFormat="1" x14ac:dyDescent="0.15"/>
    <row r="1041133" customFormat="1" x14ac:dyDescent="0.15"/>
    <row r="1041134" customFormat="1" x14ac:dyDescent="0.15"/>
    <row r="1041135" customFormat="1" x14ac:dyDescent="0.15"/>
    <row r="1041136" customFormat="1" x14ac:dyDescent="0.15"/>
    <row r="1041137" customFormat="1" x14ac:dyDescent="0.15"/>
    <row r="1041138" customFormat="1" x14ac:dyDescent="0.15"/>
    <row r="1041139" customFormat="1" x14ac:dyDescent="0.15"/>
    <row r="1041140" customFormat="1" x14ac:dyDescent="0.15"/>
    <row r="1041141" customFormat="1" x14ac:dyDescent="0.15"/>
    <row r="1041142" customFormat="1" x14ac:dyDescent="0.15"/>
    <row r="1041143" customFormat="1" x14ac:dyDescent="0.15"/>
    <row r="1041144" customFormat="1" x14ac:dyDescent="0.15"/>
    <row r="1041145" customFormat="1" x14ac:dyDescent="0.15"/>
    <row r="1041146" customFormat="1" x14ac:dyDescent="0.15"/>
    <row r="1041147" customFormat="1" x14ac:dyDescent="0.15"/>
    <row r="1041148" customFormat="1" x14ac:dyDescent="0.15"/>
    <row r="1041149" customFormat="1" x14ac:dyDescent="0.15"/>
    <row r="1041150" customFormat="1" x14ac:dyDescent="0.15"/>
    <row r="1041151" customFormat="1" x14ac:dyDescent="0.15"/>
    <row r="1041152" customFormat="1" x14ac:dyDescent="0.15"/>
    <row r="1041153" customFormat="1" x14ac:dyDescent="0.15"/>
    <row r="1041154" customFormat="1" x14ac:dyDescent="0.15"/>
    <row r="1041155" customFormat="1" x14ac:dyDescent="0.15"/>
    <row r="1041156" customFormat="1" x14ac:dyDescent="0.15"/>
    <row r="1041157" customFormat="1" x14ac:dyDescent="0.15"/>
    <row r="1041158" customFormat="1" x14ac:dyDescent="0.15"/>
    <row r="1041159" customFormat="1" x14ac:dyDescent="0.15"/>
    <row r="1041160" customFormat="1" x14ac:dyDescent="0.15"/>
    <row r="1041161" customFormat="1" x14ac:dyDescent="0.15"/>
    <row r="1041162" customFormat="1" x14ac:dyDescent="0.15"/>
    <row r="1041163" customFormat="1" x14ac:dyDescent="0.15"/>
    <row r="1041164" customFormat="1" x14ac:dyDescent="0.15"/>
    <row r="1041165" customFormat="1" x14ac:dyDescent="0.15"/>
    <row r="1041166" customFormat="1" x14ac:dyDescent="0.15"/>
    <row r="1041167" customFormat="1" x14ac:dyDescent="0.15"/>
    <row r="1041168" customFormat="1" x14ac:dyDescent="0.15"/>
    <row r="1041169" customFormat="1" x14ac:dyDescent="0.15"/>
    <row r="1041170" customFormat="1" x14ac:dyDescent="0.15"/>
    <row r="1041171" customFormat="1" x14ac:dyDescent="0.15"/>
    <row r="1041172" customFormat="1" x14ac:dyDescent="0.15"/>
    <row r="1041173" customFormat="1" x14ac:dyDescent="0.15"/>
    <row r="1041174" customFormat="1" x14ac:dyDescent="0.15"/>
    <row r="1041175" customFormat="1" x14ac:dyDescent="0.15"/>
    <row r="1041176" customFormat="1" x14ac:dyDescent="0.15"/>
    <row r="1041177" customFormat="1" x14ac:dyDescent="0.15"/>
    <row r="1041178" customFormat="1" x14ac:dyDescent="0.15"/>
    <row r="1041179" customFormat="1" x14ac:dyDescent="0.15"/>
    <row r="1041180" customFormat="1" x14ac:dyDescent="0.15"/>
    <row r="1041181" customFormat="1" x14ac:dyDescent="0.15"/>
    <row r="1041182" customFormat="1" x14ac:dyDescent="0.15"/>
    <row r="1041183" customFormat="1" x14ac:dyDescent="0.15"/>
    <row r="1041184" customFormat="1" x14ac:dyDescent="0.15"/>
    <row r="1041185" customFormat="1" x14ac:dyDescent="0.15"/>
    <row r="1041186" customFormat="1" x14ac:dyDescent="0.15"/>
    <row r="1041187" customFormat="1" x14ac:dyDescent="0.15"/>
    <row r="1041188" customFormat="1" x14ac:dyDescent="0.15"/>
    <row r="1041189" customFormat="1" x14ac:dyDescent="0.15"/>
    <row r="1041190" customFormat="1" x14ac:dyDescent="0.15"/>
    <row r="1041191" customFormat="1" x14ac:dyDescent="0.15"/>
    <row r="1041192" customFormat="1" x14ac:dyDescent="0.15"/>
    <row r="1041193" customFormat="1" x14ac:dyDescent="0.15"/>
    <row r="1041194" customFormat="1" x14ac:dyDescent="0.15"/>
    <row r="1041195" customFormat="1" x14ac:dyDescent="0.15"/>
    <row r="1041196" customFormat="1" x14ac:dyDescent="0.15"/>
    <row r="1041197" customFormat="1" x14ac:dyDescent="0.15"/>
    <row r="1041198" customFormat="1" x14ac:dyDescent="0.15"/>
    <row r="1041199" customFormat="1" x14ac:dyDescent="0.15"/>
    <row r="1041200" customFormat="1" x14ac:dyDescent="0.15"/>
    <row r="1041201" customFormat="1" x14ac:dyDescent="0.15"/>
    <row r="1041202" customFormat="1" x14ac:dyDescent="0.15"/>
    <row r="1041203" customFormat="1" x14ac:dyDescent="0.15"/>
    <row r="1041204" customFormat="1" x14ac:dyDescent="0.15"/>
    <row r="1041205" customFormat="1" x14ac:dyDescent="0.15"/>
    <row r="1041206" customFormat="1" x14ac:dyDescent="0.15"/>
    <row r="1041207" customFormat="1" x14ac:dyDescent="0.15"/>
    <row r="1041208" customFormat="1" x14ac:dyDescent="0.15"/>
    <row r="1041209" customFormat="1" x14ac:dyDescent="0.15"/>
    <row r="1041210" customFormat="1" x14ac:dyDescent="0.15"/>
    <row r="1041211" customFormat="1" x14ac:dyDescent="0.15"/>
    <row r="1041212" customFormat="1" x14ac:dyDescent="0.15"/>
    <row r="1041213" customFormat="1" x14ac:dyDescent="0.15"/>
    <row r="1041214" customFormat="1" x14ac:dyDescent="0.15"/>
    <row r="1041215" customFormat="1" x14ac:dyDescent="0.15"/>
    <row r="1041216" customFormat="1" x14ac:dyDescent="0.15"/>
    <row r="1041217" customFormat="1" x14ac:dyDescent="0.15"/>
    <row r="1041218" customFormat="1" x14ac:dyDescent="0.15"/>
    <row r="1041219" customFormat="1" x14ac:dyDescent="0.15"/>
    <row r="1041220" customFormat="1" x14ac:dyDescent="0.15"/>
    <row r="1041221" customFormat="1" x14ac:dyDescent="0.15"/>
    <row r="1041222" customFormat="1" x14ac:dyDescent="0.15"/>
    <row r="1041223" customFormat="1" x14ac:dyDescent="0.15"/>
    <row r="1041224" customFormat="1" x14ac:dyDescent="0.15"/>
    <row r="1041225" customFormat="1" x14ac:dyDescent="0.15"/>
    <row r="1041226" customFormat="1" x14ac:dyDescent="0.15"/>
    <row r="1041227" customFormat="1" x14ac:dyDescent="0.15"/>
    <row r="1041228" customFormat="1" x14ac:dyDescent="0.15"/>
    <row r="1041229" customFormat="1" x14ac:dyDescent="0.15"/>
    <row r="1041230" customFormat="1" x14ac:dyDescent="0.15"/>
    <row r="1041231" customFormat="1" x14ac:dyDescent="0.15"/>
    <row r="1041232" customFormat="1" x14ac:dyDescent="0.15"/>
    <row r="1041233" customFormat="1" x14ac:dyDescent="0.15"/>
    <row r="1041234" customFormat="1" x14ac:dyDescent="0.15"/>
    <row r="1041235" customFormat="1" x14ac:dyDescent="0.15"/>
    <row r="1041236" customFormat="1" x14ac:dyDescent="0.15"/>
    <row r="1041237" customFormat="1" x14ac:dyDescent="0.15"/>
    <row r="1041238" customFormat="1" x14ac:dyDescent="0.15"/>
    <row r="1041239" customFormat="1" x14ac:dyDescent="0.15"/>
    <row r="1041240" customFormat="1" x14ac:dyDescent="0.15"/>
    <row r="1041241" customFormat="1" x14ac:dyDescent="0.15"/>
    <row r="1041242" customFormat="1" x14ac:dyDescent="0.15"/>
    <row r="1041243" customFormat="1" x14ac:dyDescent="0.15"/>
    <row r="1041244" customFormat="1" x14ac:dyDescent="0.15"/>
    <row r="1041245" customFormat="1" x14ac:dyDescent="0.15"/>
    <row r="1041246" customFormat="1" x14ac:dyDescent="0.15"/>
    <row r="1041247" customFormat="1" x14ac:dyDescent="0.15"/>
    <row r="1041248" customFormat="1" x14ac:dyDescent="0.15"/>
    <row r="1041249" customFormat="1" x14ac:dyDescent="0.15"/>
    <row r="1041250" customFormat="1" x14ac:dyDescent="0.15"/>
    <row r="1041251" customFormat="1" x14ac:dyDescent="0.15"/>
    <row r="1041252" customFormat="1" x14ac:dyDescent="0.15"/>
    <row r="1041253" customFormat="1" x14ac:dyDescent="0.15"/>
    <row r="1041254" customFormat="1" x14ac:dyDescent="0.15"/>
    <row r="1041255" customFormat="1" x14ac:dyDescent="0.15"/>
    <row r="1041256" customFormat="1" x14ac:dyDescent="0.15"/>
    <row r="1041257" customFormat="1" x14ac:dyDescent="0.15"/>
    <row r="1041258" customFormat="1" x14ac:dyDescent="0.15"/>
    <row r="1041259" customFormat="1" x14ac:dyDescent="0.15"/>
    <row r="1041260" customFormat="1" x14ac:dyDescent="0.15"/>
    <row r="1041261" customFormat="1" x14ac:dyDescent="0.15"/>
    <row r="1041262" customFormat="1" x14ac:dyDescent="0.15"/>
    <row r="1041263" customFormat="1" x14ac:dyDescent="0.15"/>
    <row r="1041264" customFormat="1" x14ac:dyDescent="0.15"/>
    <row r="1041265" customFormat="1" x14ac:dyDescent="0.15"/>
    <row r="1041266" customFormat="1" x14ac:dyDescent="0.15"/>
    <row r="1041267" customFormat="1" x14ac:dyDescent="0.15"/>
    <row r="1041268" customFormat="1" x14ac:dyDescent="0.15"/>
    <row r="1041269" customFormat="1" x14ac:dyDescent="0.15"/>
    <row r="1041270" customFormat="1" x14ac:dyDescent="0.15"/>
    <row r="1041271" customFormat="1" x14ac:dyDescent="0.15"/>
    <row r="1041272" customFormat="1" x14ac:dyDescent="0.15"/>
    <row r="1041273" customFormat="1" x14ac:dyDescent="0.15"/>
    <row r="1041274" customFormat="1" x14ac:dyDescent="0.15"/>
    <row r="1041275" customFormat="1" x14ac:dyDescent="0.15"/>
    <row r="1041276" customFormat="1" x14ac:dyDescent="0.15"/>
    <row r="1041277" customFormat="1" x14ac:dyDescent="0.15"/>
    <row r="1041278" customFormat="1" x14ac:dyDescent="0.15"/>
    <row r="1041279" customFormat="1" x14ac:dyDescent="0.15"/>
    <row r="1041280" customFormat="1" x14ac:dyDescent="0.15"/>
    <row r="1041281" customFormat="1" x14ac:dyDescent="0.15"/>
    <row r="1041282" customFormat="1" x14ac:dyDescent="0.15"/>
    <row r="1041283" customFormat="1" x14ac:dyDescent="0.15"/>
    <row r="1041284" customFormat="1" x14ac:dyDescent="0.15"/>
    <row r="1041285" customFormat="1" x14ac:dyDescent="0.15"/>
    <row r="1041286" customFormat="1" x14ac:dyDescent="0.15"/>
    <row r="1041287" customFormat="1" x14ac:dyDescent="0.15"/>
    <row r="1041288" customFormat="1" x14ac:dyDescent="0.15"/>
    <row r="1041289" customFormat="1" x14ac:dyDescent="0.15"/>
    <row r="1041290" customFormat="1" x14ac:dyDescent="0.15"/>
    <row r="1041291" customFormat="1" x14ac:dyDescent="0.15"/>
    <row r="1041292" customFormat="1" x14ac:dyDescent="0.15"/>
    <row r="1041293" customFormat="1" x14ac:dyDescent="0.15"/>
    <row r="1041294" customFormat="1" x14ac:dyDescent="0.15"/>
    <row r="1041295" customFormat="1" x14ac:dyDescent="0.15"/>
    <row r="1041296" customFormat="1" x14ac:dyDescent="0.15"/>
    <row r="1041297" customFormat="1" x14ac:dyDescent="0.15"/>
    <row r="1041298" customFormat="1" x14ac:dyDescent="0.15"/>
    <row r="1041299" customFormat="1" x14ac:dyDescent="0.15"/>
    <row r="1041300" customFormat="1" x14ac:dyDescent="0.15"/>
    <row r="1041301" customFormat="1" x14ac:dyDescent="0.15"/>
    <row r="1041302" customFormat="1" x14ac:dyDescent="0.15"/>
    <row r="1041303" customFormat="1" x14ac:dyDescent="0.15"/>
    <row r="1041304" customFormat="1" x14ac:dyDescent="0.15"/>
    <row r="1041305" customFormat="1" x14ac:dyDescent="0.15"/>
    <row r="1041306" customFormat="1" x14ac:dyDescent="0.15"/>
    <row r="1041307" customFormat="1" x14ac:dyDescent="0.15"/>
    <row r="1041308" customFormat="1" x14ac:dyDescent="0.15"/>
    <row r="1041309" customFormat="1" x14ac:dyDescent="0.15"/>
    <row r="1041310" customFormat="1" x14ac:dyDescent="0.15"/>
    <row r="1041311" customFormat="1" x14ac:dyDescent="0.15"/>
    <row r="1041312" customFormat="1" x14ac:dyDescent="0.15"/>
    <row r="1041313" customFormat="1" x14ac:dyDescent="0.15"/>
    <row r="1041314" customFormat="1" x14ac:dyDescent="0.15"/>
    <row r="1041315" customFormat="1" x14ac:dyDescent="0.15"/>
    <row r="1041316" customFormat="1" x14ac:dyDescent="0.15"/>
    <row r="1041317" customFormat="1" x14ac:dyDescent="0.15"/>
    <row r="1041318" customFormat="1" x14ac:dyDescent="0.15"/>
    <row r="1041319" customFormat="1" x14ac:dyDescent="0.15"/>
    <row r="1041320" customFormat="1" x14ac:dyDescent="0.15"/>
    <row r="1041321" customFormat="1" x14ac:dyDescent="0.15"/>
    <row r="1041322" customFormat="1" x14ac:dyDescent="0.15"/>
    <row r="1041323" customFormat="1" x14ac:dyDescent="0.15"/>
    <row r="1041324" customFormat="1" x14ac:dyDescent="0.15"/>
    <row r="1041325" customFormat="1" x14ac:dyDescent="0.15"/>
    <row r="1041326" customFormat="1" x14ac:dyDescent="0.15"/>
    <row r="1041327" customFormat="1" x14ac:dyDescent="0.15"/>
    <row r="1041328" customFormat="1" x14ac:dyDescent="0.15"/>
    <row r="1041329" customFormat="1" x14ac:dyDescent="0.15"/>
    <row r="1041330" customFormat="1" x14ac:dyDescent="0.15"/>
    <row r="1041331" customFormat="1" x14ac:dyDescent="0.15"/>
    <row r="1041332" customFormat="1" x14ac:dyDescent="0.15"/>
    <row r="1041333" customFormat="1" x14ac:dyDescent="0.15"/>
    <row r="1041334" customFormat="1" x14ac:dyDescent="0.15"/>
    <row r="1041335" customFormat="1" x14ac:dyDescent="0.15"/>
    <row r="1041336" customFormat="1" x14ac:dyDescent="0.15"/>
    <row r="1041337" customFormat="1" x14ac:dyDescent="0.15"/>
    <row r="1041338" customFormat="1" x14ac:dyDescent="0.15"/>
    <row r="1041339" customFormat="1" x14ac:dyDescent="0.15"/>
    <row r="1041340" customFormat="1" x14ac:dyDescent="0.15"/>
    <row r="1041341" customFormat="1" x14ac:dyDescent="0.15"/>
    <row r="1041342" customFormat="1" x14ac:dyDescent="0.15"/>
    <row r="1041343" customFormat="1" x14ac:dyDescent="0.15"/>
    <row r="1041344" customFormat="1" x14ac:dyDescent="0.15"/>
    <row r="1041345" customFormat="1" x14ac:dyDescent="0.15"/>
    <row r="1041346" customFormat="1" x14ac:dyDescent="0.15"/>
    <row r="1041347" customFormat="1" x14ac:dyDescent="0.15"/>
    <row r="1041348" customFormat="1" x14ac:dyDescent="0.15"/>
    <row r="1041349" customFormat="1" x14ac:dyDescent="0.15"/>
    <row r="1041350" customFormat="1" x14ac:dyDescent="0.15"/>
    <row r="1041351" customFormat="1" x14ac:dyDescent="0.15"/>
    <row r="1041352" customFormat="1" x14ac:dyDescent="0.15"/>
    <row r="1041353" customFormat="1" x14ac:dyDescent="0.15"/>
    <row r="1041354" customFormat="1" x14ac:dyDescent="0.15"/>
    <row r="1041355" customFormat="1" x14ac:dyDescent="0.15"/>
    <row r="1041356" customFormat="1" x14ac:dyDescent="0.15"/>
    <row r="1041357" customFormat="1" x14ac:dyDescent="0.15"/>
    <row r="1041358" customFormat="1" x14ac:dyDescent="0.15"/>
    <row r="1041359" customFormat="1" x14ac:dyDescent="0.15"/>
    <row r="1041360" customFormat="1" x14ac:dyDescent="0.15"/>
    <row r="1041361" customFormat="1" x14ac:dyDescent="0.15"/>
    <row r="1041362" customFormat="1" x14ac:dyDescent="0.15"/>
    <row r="1041363" customFormat="1" x14ac:dyDescent="0.15"/>
    <row r="1041364" customFormat="1" x14ac:dyDescent="0.15"/>
    <row r="1041365" customFormat="1" x14ac:dyDescent="0.15"/>
    <row r="1041366" customFormat="1" x14ac:dyDescent="0.15"/>
    <row r="1041367" customFormat="1" x14ac:dyDescent="0.15"/>
    <row r="1041368" customFormat="1" x14ac:dyDescent="0.15"/>
    <row r="1041369" customFormat="1" x14ac:dyDescent="0.15"/>
    <row r="1041370" customFormat="1" x14ac:dyDescent="0.15"/>
    <row r="1041371" customFormat="1" x14ac:dyDescent="0.15"/>
    <row r="1041372" customFormat="1" x14ac:dyDescent="0.15"/>
    <row r="1041373" customFormat="1" x14ac:dyDescent="0.15"/>
    <row r="1041374" customFormat="1" x14ac:dyDescent="0.15"/>
    <row r="1041375" customFormat="1" x14ac:dyDescent="0.15"/>
    <row r="1041376" customFormat="1" x14ac:dyDescent="0.15"/>
    <row r="1041377" customFormat="1" x14ac:dyDescent="0.15"/>
    <row r="1041378" customFormat="1" x14ac:dyDescent="0.15"/>
    <row r="1041379" customFormat="1" x14ac:dyDescent="0.15"/>
    <row r="1041380" customFormat="1" x14ac:dyDescent="0.15"/>
    <row r="1041381" customFormat="1" x14ac:dyDescent="0.15"/>
    <row r="1041382" customFormat="1" x14ac:dyDescent="0.15"/>
    <row r="1041383" customFormat="1" x14ac:dyDescent="0.15"/>
    <row r="1041384" customFormat="1" x14ac:dyDescent="0.15"/>
    <row r="1041385" customFormat="1" x14ac:dyDescent="0.15"/>
    <row r="1041386" customFormat="1" x14ac:dyDescent="0.15"/>
    <row r="1041387" customFormat="1" x14ac:dyDescent="0.15"/>
    <row r="1041388" customFormat="1" x14ac:dyDescent="0.15"/>
    <row r="1041389" customFormat="1" x14ac:dyDescent="0.15"/>
    <row r="1041390" customFormat="1" x14ac:dyDescent="0.15"/>
    <row r="1041391" customFormat="1" x14ac:dyDescent="0.15"/>
    <row r="1041392" customFormat="1" x14ac:dyDescent="0.15"/>
    <row r="1041393" customFormat="1" x14ac:dyDescent="0.15"/>
    <row r="1041394" customFormat="1" x14ac:dyDescent="0.15"/>
    <row r="1041395" customFormat="1" x14ac:dyDescent="0.15"/>
    <row r="1041396" customFormat="1" x14ac:dyDescent="0.15"/>
    <row r="1041397" customFormat="1" x14ac:dyDescent="0.15"/>
    <row r="1041398" customFormat="1" x14ac:dyDescent="0.15"/>
    <row r="1041399" customFormat="1" x14ac:dyDescent="0.15"/>
    <row r="1041400" customFormat="1" x14ac:dyDescent="0.15"/>
    <row r="1041401" customFormat="1" x14ac:dyDescent="0.15"/>
    <row r="1041402" customFormat="1" x14ac:dyDescent="0.15"/>
    <row r="1041403" customFormat="1" x14ac:dyDescent="0.15"/>
    <row r="1041404" customFormat="1" x14ac:dyDescent="0.15"/>
    <row r="1041405" customFormat="1" x14ac:dyDescent="0.15"/>
    <row r="1041406" customFormat="1" x14ac:dyDescent="0.15"/>
    <row r="1041407" customFormat="1" x14ac:dyDescent="0.15"/>
    <row r="1041408" customFormat="1" x14ac:dyDescent="0.15"/>
    <row r="1041409" customFormat="1" x14ac:dyDescent="0.15"/>
    <row r="1041410" customFormat="1" x14ac:dyDescent="0.15"/>
    <row r="1041411" customFormat="1" x14ac:dyDescent="0.15"/>
    <row r="1041412" customFormat="1" x14ac:dyDescent="0.15"/>
    <row r="1041413" customFormat="1" x14ac:dyDescent="0.15"/>
    <row r="1041414" customFormat="1" x14ac:dyDescent="0.15"/>
    <row r="1041415" customFormat="1" x14ac:dyDescent="0.15"/>
    <row r="1041416" customFormat="1" x14ac:dyDescent="0.15"/>
    <row r="1041417" customFormat="1" x14ac:dyDescent="0.15"/>
    <row r="1041418" customFormat="1" x14ac:dyDescent="0.15"/>
    <row r="1041419" customFormat="1" x14ac:dyDescent="0.15"/>
    <row r="1041420" customFormat="1" x14ac:dyDescent="0.15"/>
    <row r="1041421" customFormat="1" x14ac:dyDescent="0.15"/>
    <row r="1041422" customFormat="1" x14ac:dyDescent="0.15"/>
    <row r="1041423" customFormat="1" x14ac:dyDescent="0.15"/>
    <row r="1041424" customFormat="1" x14ac:dyDescent="0.15"/>
    <row r="1041425" customFormat="1" x14ac:dyDescent="0.15"/>
    <row r="1041426" customFormat="1" x14ac:dyDescent="0.15"/>
    <row r="1041427" customFormat="1" x14ac:dyDescent="0.15"/>
    <row r="1041428" customFormat="1" x14ac:dyDescent="0.15"/>
    <row r="1041429" customFormat="1" x14ac:dyDescent="0.15"/>
    <row r="1041430" customFormat="1" x14ac:dyDescent="0.15"/>
    <row r="1041431" customFormat="1" x14ac:dyDescent="0.15"/>
    <row r="1041432" customFormat="1" x14ac:dyDescent="0.15"/>
    <row r="1041433" customFormat="1" x14ac:dyDescent="0.15"/>
    <row r="1041434" customFormat="1" x14ac:dyDescent="0.15"/>
    <row r="1041435" customFormat="1" x14ac:dyDescent="0.15"/>
    <row r="1041436" customFormat="1" x14ac:dyDescent="0.15"/>
    <row r="1041437" customFormat="1" x14ac:dyDescent="0.15"/>
    <row r="1041438" customFormat="1" x14ac:dyDescent="0.15"/>
    <row r="1041439" customFormat="1" x14ac:dyDescent="0.15"/>
    <row r="1041440" customFormat="1" x14ac:dyDescent="0.15"/>
    <row r="1041441" customFormat="1" x14ac:dyDescent="0.15"/>
    <row r="1041442" customFormat="1" x14ac:dyDescent="0.15"/>
    <row r="1041443" customFormat="1" x14ac:dyDescent="0.15"/>
    <row r="1041444" customFormat="1" x14ac:dyDescent="0.15"/>
    <row r="1041445" customFormat="1" x14ac:dyDescent="0.15"/>
    <row r="1041446" customFormat="1" x14ac:dyDescent="0.15"/>
    <row r="1041447" customFormat="1" x14ac:dyDescent="0.15"/>
    <row r="1041448" customFormat="1" x14ac:dyDescent="0.15"/>
    <row r="1041449" customFormat="1" x14ac:dyDescent="0.15"/>
    <row r="1041450" customFormat="1" x14ac:dyDescent="0.15"/>
    <row r="1041451" customFormat="1" x14ac:dyDescent="0.15"/>
    <row r="1041452" customFormat="1" x14ac:dyDescent="0.15"/>
    <row r="1041453" customFormat="1" x14ac:dyDescent="0.15"/>
    <row r="1041454" customFormat="1" x14ac:dyDescent="0.15"/>
    <row r="1041455" customFormat="1" x14ac:dyDescent="0.15"/>
    <row r="1041456" customFormat="1" x14ac:dyDescent="0.15"/>
    <row r="1041457" customFormat="1" x14ac:dyDescent="0.15"/>
    <row r="1041458" customFormat="1" x14ac:dyDescent="0.15"/>
    <row r="1041459" customFormat="1" x14ac:dyDescent="0.15"/>
    <row r="1041460" customFormat="1" x14ac:dyDescent="0.15"/>
    <row r="1041461" customFormat="1" x14ac:dyDescent="0.15"/>
    <row r="1041462" customFormat="1" x14ac:dyDescent="0.15"/>
    <row r="1041463" customFormat="1" x14ac:dyDescent="0.15"/>
    <row r="1041464" customFormat="1" x14ac:dyDescent="0.15"/>
    <row r="1041465" customFormat="1" x14ac:dyDescent="0.15"/>
    <row r="1041466" customFormat="1" x14ac:dyDescent="0.15"/>
    <row r="1041467" customFormat="1" x14ac:dyDescent="0.15"/>
    <row r="1041468" customFormat="1" x14ac:dyDescent="0.15"/>
    <row r="1041469" customFormat="1" x14ac:dyDescent="0.15"/>
    <row r="1041470" customFormat="1" x14ac:dyDescent="0.15"/>
    <row r="1041471" customFormat="1" x14ac:dyDescent="0.15"/>
    <row r="1041472" customFormat="1" x14ac:dyDescent="0.15"/>
    <row r="1041473" customFormat="1" x14ac:dyDescent="0.15"/>
    <row r="1041474" customFormat="1" x14ac:dyDescent="0.15"/>
    <row r="1041475" customFormat="1" x14ac:dyDescent="0.15"/>
    <row r="1041476" customFormat="1" x14ac:dyDescent="0.15"/>
    <row r="1041477" customFormat="1" x14ac:dyDescent="0.15"/>
    <row r="1041478" customFormat="1" x14ac:dyDescent="0.15"/>
    <row r="1041479" customFormat="1" x14ac:dyDescent="0.15"/>
    <row r="1041480" customFormat="1" x14ac:dyDescent="0.15"/>
    <row r="1041481" customFormat="1" x14ac:dyDescent="0.15"/>
    <row r="1041482" customFormat="1" x14ac:dyDescent="0.15"/>
    <row r="1041483" customFormat="1" x14ac:dyDescent="0.15"/>
    <row r="1041484" customFormat="1" x14ac:dyDescent="0.15"/>
    <row r="1041485" customFormat="1" x14ac:dyDescent="0.15"/>
    <row r="1041486" customFormat="1" x14ac:dyDescent="0.15"/>
    <row r="1041487" customFormat="1" x14ac:dyDescent="0.15"/>
    <row r="1041488" customFormat="1" x14ac:dyDescent="0.15"/>
    <row r="1041489" customFormat="1" x14ac:dyDescent="0.15"/>
    <row r="1041490" customFormat="1" x14ac:dyDescent="0.15"/>
    <row r="1041491" customFormat="1" x14ac:dyDescent="0.15"/>
    <row r="1041492" customFormat="1" x14ac:dyDescent="0.15"/>
    <row r="1041493" customFormat="1" x14ac:dyDescent="0.15"/>
    <row r="1041494" customFormat="1" x14ac:dyDescent="0.15"/>
    <row r="1041495" customFormat="1" x14ac:dyDescent="0.15"/>
    <row r="1041496" customFormat="1" x14ac:dyDescent="0.15"/>
    <row r="1041497" customFormat="1" x14ac:dyDescent="0.15"/>
    <row r="1041498" customFormat="1" x14ac:dyDescent="0.15"/>
    <row r="1041499" customFormat="1" x14ac:dyDescent="0.15"/>
    <row r="1041500" customFormat="1" x14ac:dyDescent="0.15"/>
    <row r="1041501" customFormat="1" x14ac:dyDescent="0.15"/>
    <row r="1041502" customFormat="1" x14ac:dyDescent="0.15"/>
    <row r="1041503" customFormat="1" x14ac:dyDescent="0.15"/>
    <row r="1041504" customFormat="1" x14ac:dyDescent="0.15"/>
    <row r="1041505" customFormat="1" x14ac:dyDescent="0.15"/>
    <row r="1041506" customFormat="1" x14ac:dyDescent="0.15"/>
    <row r="1041507" customFormat="1" x14ac:dyDescent="0.15"/>
    <row r="1041508" customFormat="1" x14ac:dyDescent="0.15"/>
    <row r="1041509" customFormat="1" x14ac:dyDescent="0.15"/>
    <row r="1041510" customFormat="1" x14ac:dyDescent="0.15"/>
    <row r="1041511" customFormat="1" x14ac:dyDescent="0.15"/>
    <row r="1041512" customFormat="1" x14ac:dyDescent="0.15"/>
    <row r="1041513" customFormat="1" x14ac:dyDescent="0.15"/>
    <row r="1041514" customFormat="1" x14ac:dyDescent="0.15"/>
    <row r="1041515" customFormat="1" x14ac:dyDescent="0.15"/>
    <row r="1041516" customFormat="1" x14ac:dyDescent="0.15"/>
    <row r="1041517" customFormat="1" x14ac:dyDescent="0.15"/>
    <row r="1041518" customFormat="1" x14ac:dyDescent="0.15"/>
    <row r="1041519" customFormat="1" x14ac:dyDescent="0.15"/>
    <row r="1041520" customFormat="1" x14ac:dyDescent="0.15"/>
    <row r="1041521" customFormat="1" x14ac:dyDescent="0.15"/>
    <row r="1041522" customFormat="1" x14ac:dyDescent="0.15"/>
    <row r="1041523" customFormat="1" x14ac:dyDescent="0.15"/>
    <row r="1041524" customFormat="1" x14ac:dyDescent="0.15"/>
    <row r="1041525" customFormat="1" x14ac:dyDescent="0.15"/>
    <row r="1041526" customFormat="1" x14ac:dyDescent="0.15"/>
    <row r="1041527" customFormat="1" x14ac:dyDescent="0.15"/>
    <row r="1041528" customFormat="1" x14ac:dyDescent="0.15"/>
    <row r="1041529" customFormat="1" x14ac:dyDescent="0.15"/>
    <row r="1041530" customFormat="1" x14ac:dyDescent="0.15"/>
    <row r="1041531" customFormat="1" x14ac:dyDescent="0.15"/>
    <row r="1041532" customFormat="1" x14ac:dyDescent="0.15"/>
    <row r="1041533" customFormat="1" x14ac:dyDescent="0.15"/>
    <row r="1041534" customFormat="1" x14ac:dyDescent="0.15"/>
    <row r="1041535" customFormat="1" x14ac:dyDescent="0.15"/>
    <row r="1041536" customFormat="1" x14ac:dyDescent="0.15"/>
    <row r="1041537" customFormat="1" x14ac:dyDescent="0.15"/>
    <row r="1041538" customFormat="1" x14ac:dyDescent="0.15"/>
    <row r="1041539" customFormat="1" x14ac:dyDescent="0.15"/>
    <row r="1041540" customFormat="1" x14ac:dyDescent="0.15"/>
    <row r="1041541" customFormat="1" x14ac:dyDescent="0.15"/>
    <row r="1041542" customFormat="1" x14ac:dyDescent="0.15"/>
    <row r="1041543" customFormat="1" x14ac:dyDescent="0.15"/>
    <row r="1041544" customFormat="1" x14ac:dyDescent="0.15"/>
    <row r="1041545" customFormat="1" x14ac:dyDescent="0.15"/>
    <row r="1041546" customFormat="1" x14ac:dyDescent="0.15"/>
    <row r="1041547" customFormat="1" x14ac:dyDescent="0.15"/>
    <row r="1041548" customFormat="1" x14ac:dyDescent="0.15"/>
    <row r="1041549" customFormat="1" x14ac:dyDescent="0.15"/>
    <row r="1041550" customFormat="1" x14ac:dyDescent="0.15"/>
    <row r="1041551" customFormat="1" x14ac:dyDescent="0.15"/>
    <row r="1041552" customFormat="1" x14ac:dyDescent="0.15"/>
    <row r="1041553" customFormat="1" x14ac:dyDescent="0.15"/>
    <row r="1041554" customFormat="1" x14ac:dyDescent="0.15"/>
    <row r="1041555" customFormat="1" x14ac:dyDescent="0.15"/>
    <row r="1041556" customFormat="1" x14ac:dyDescent="0.15"/>
    <row r="1041557" customFormat="1" x14ac:dyDescent="0.15"/>
    <row r="1041558" customFormat="1" x14ac:dyDescent="0.15"/>
    <row r="1041559" customFormat="1" x14ac:dyDescent="0.15"/>
    <row r="1041560" customFormat="1" x14ac:dyDescent="0.15"/>
    <row r="1041561" customFormat="1" x14ac:dyDescent="0.15"/>
    <row r="1041562" customFormat="1" x14ac:dyDescent="0.15"/>
    <row r="1041563" customFormat="1" x14ac:dyDescent="0.15"/>
    <row r="1041564" customFormat="1" x14ac:dyDescent="0.15"/>
    <row r="1041565" customFormat="1" x14ac:dyDescent="0.15"/>
    <row r="1041566" customFormat="1" x14ac:dyDescent="0.15"/>
    <row r="1041567" customFormat="1" x14ac:dyDescent="0.15"/>
    <row r="1041568" customFormat="1" x14ac:dyDescent="0.15"/>
    <row r="1041569" customFormat="1" x14ac:dyDescent="0.15"/>
    <row r="1041570" customFormat="1" x14ac:dyDescent="0.15"/>
    <row r="1041571" customFormat="1" x14ac:dyDescent="0.15"/>
    <row r="1041572" customFormat="1" x14ac:dyDescent="0.15"/>
    <row r="1041573" customFormat="1" x14ac:dyDescent="0.15"/>
    <row r="1041574" customFormat="1" x14ac:dyDescent="0.15"/>
    <row r="1041575" customFormat="1" x14ac:dyDescent="0.15"/>
    <row r="1041576" customFormat="1" x14ac:dyDescent="0.15"/>
    <row r="1041577" customFormat="1" x14ac:dyDescent="0.15"/>
    <row r="1041578" customFormat="1" x14ac:dyDescent="0.15"/>
    <row r="1041579" customFormat="1" x14ac:dyDescent="0.15"/>
    <row r="1041580" customFormat="1" x14ac:dyDescent="0.15"/>
    <row r="1041581" customFormat="1" x14ac:dyDescent="0.15"/>
    <row r="1041582" customFormat="1" x14ac:dyDescent="0.15"/>
    <row r="1041583" customFormat="1" x14ac:dyDescent="0.15"/>
    <row r="1041584" customFormat="1" x14ac:dyDescent="0.15"/>
    <row r="1041585" customFormat="1" x14ac:dyDescent="0.15"/>
    <row r="1041586" customFormat="1" x14ac:dyDescent="0.15"/>
    <row r="1041587" customFormat="1" x14ac:dyDescent="0.15"/>
    <row r="1041588" customFormat="1" x14ac:dyDescent="0.15"/>
    <row r="1041589" customFormat="1" x14ac:dyDescent="0.15"/>
    <row r="1041590" customFormat="1" x14ac:dyDescent="0.15"/>
    <row r="1041591" customFormat="1" x14ac:dyDescent="0.15"/>
    <row r="1041592" customFormat="1" x14ac:dyDescent="0.15"/>
    <row r="1041593" customFormat="1" x14ac:dyDescent="0.15"/>
    <row r="1041594" customFormat="1" x14ac:dyDescent="0.15"/>
    <row r="1041595" customFormat="1" x14ac:dyDescent="0.15"/>
    <row r="1041596" customFormat="1" x14ac:dyDescent="0.15"/>
    <row r="1041597" customFormat="1" x14ac:dyDescent="0.15"/>
    <row r="1041598" customFormat="1" x14ac:dyDescent="0.15"/>
    <row r="1041599" customFormat="1" x14ac:dyDescent="0.15"/>
    <row r="1041600" customFormat="1" x14ac:dyDescent="0.15"/>
    <row r="1041601" customFormat="1" x14ac:dyDescent="0.15"/>
    <row r="1041602" customFormat="1" x14ac:dyDescent="0.15"/>
    <row r="1041603" customFormat="1" x14ac:dyDescent="0.15"/>
    <row r="1041604" customFormat="1" x14ac:dyDescent="0.15"/>
    <row r="1041605" customFormat="1" x14ac:dyDescent="0.15"/>
    <row r="1041606" customFormat="1" x14ac:dyDescent="0.15"/>
    <row r="1041607" customFormat="1" x14ac:dyDescent="0.15"/>
    <row r="1041608" customFormat="1" x14ac:dyDescent="0.15"/>
    <row r="1041609" customFormat="1" x14ac:dyDescent="0.15"/>
    <row r="1041610" customFormat="1" x14ac:dyDescent="0.15"/>
    <row r="1041611" customFormat="1" x14ac:dyDescent="0.15"/>
    <row r="1041612" customFormat="1" x14ac:dyDescent="0.15"/>
    <row r="1041613" customFormat="1" x14ac:dyDescent="0.15"/>
    <row r="1041614" customFormat="1" x14ac:dyDescent="0.15"/>
    <row r="1041615" customFormat="1" x14ac:dyDescent="0.15"/>
    <row r="1041616" customFormat="1" x14ac:dyDescent="0.15"/>
    <row r="1041617" customFormat="1" x14ac:dyDescent="0.15"/>
    <row r="1041618" customFormat="1" x14ac:dyDescent="0.15"/>
    <row r="1041619" customFormat="1" x14ac:dyDescent="0.15"/>
    <row r="1041620" customFormat="1" x14ac:dyDescent="0.15"/>
    <row r="1041621" customFormat="1" x14ac:dyDescent="0.15"/>
    <row r="1041622" customFormat="1" x14ac:dyDescent="0.15"/>
    <row r="1041623" customFormat="1" x14ac:dyDescent="0.15"/>
    <row r="1041624" customFormat="1" x14ac:dyDescent="0.15"/>
    <row r="1041625" customFormat="1" x14ac:dyDescent="0.15"/>
    <row r="1041626" customFormat="1" x14ac:dyDescent="0.15"/>
    <row r="1041627" customFormat="1" x14ac:dyDescent="0.15"/>
    <row r="1041628" customFormat="1" x14ac:dyDescent="0.15"/>
    <row r="1041629" customFormat="1" x14ac:dyDescent="0.15"/>
    <row r="1041630" customFormat="1" x14ac:dyDescent="0.15"/>
    <row r="1041631" customFormat="1" x14ac:dyDescent="0.15"/>
    <row r="1041632" customFormat="1" x14ac:dyDescent="0.15"/>
    <row r="1041633" customFormat="1" x14ac:dyDescent="0.15"/>
    <row r="1041634" customFormat="1" x14ac:dyDescent="0.15"/>
    <row r="1041635" customFormat="1" x14ac:dyDescent="0.15"/>
    <row r="1041636" customFormat="1" x14ac:dyDescent="0.15"/>
    <row r="1041637" customFormat="1" x14ac:dyDescent="0.15"/>
    <row r="1041638" customFormat="1" x14ac:dyDescent="0.15"/>
    <row r="1041639" customFormat="1" x14ac:dyDescent="0.15"/>
    <row r="1041640" customFormat="1" x14ac:dyDescent="0.15"/>
    <row r="1041641" customFormat="1" x14ac:dyDescent="0.15"/>
    <row r="1041642" customFormat="1" x14ac:dyDescent="0.15"/>
    <row r="1041643" customFormat="1" x14ac:dyDescent="0.15"/>
    <row r="1041644" customFormat="1" x14ac:dyDescent="0.15"/>
    <row r="1041645" customFormat="1" x14ac:dyDescent="0.15"/>
    <row r="1041646" customFormat="1" x14ac:dyDescent="0.15"/>
    <row r="1041647" customFormat="1" x14ac:dyDescent="0.15"/>
    <row r="1041648" customFormat="1" x14ac:dyDescent="0.15"/>
    <row r="1041649" customFormat="1" x14ac:dyDescent="0.15"/>
    <row r="1041650" customFormat="1" x14ac:dyDescent="0.15"/>
    <row r="1041651" customFormat="1" x14ac:dyDescent="0.15"/>
    <row r="1041652" customFormat="1" x14ac:dyDescent="0.15"/>
    <row r="1041653" customFormat="1" x14ac:dyDescent="0.15"/>
    <row r="1041654" customFormat="1" x14ac:dyDescent="0.15"/>
    <row r="1041655" customFormat="1" x14ac:dyDescent="0.15"/>
    <row r="1041656" customFormat="1" x14ac:dyDescent="0.15"/>
    <row r="1041657" customFormat="1" x14ac:dyDescent="0.15"/>
    <row r="1041658" customFormat="1" x14ac:dyDescent="0.15"/>
    <row r="1041659" customFormat="1" x14ac:dyDescent="0.15"/>
    <row r="1041660" customFormat="1" x14ac:dyDescent="0.15"/>
    <row r="1041661" customFormat="1" x14ac:dyDescent="0.15"/>
    <row r="1041662" customFormat="1" x14ac:dyDescent="0.15"/>
    <row r="1041663" customFormat="1" x14ac:dyDescent="0.15"/>
    <row r="1041664" customFormat="1" x14ac:dyDescent="0.15"/>
    <row r="1041665" customFormat="1" x14ac:dyDescent="0.15"/>
    <row r="1041666" customFormat="1" x14ac:dyDescent="0.15"/>
    <row r="1041667" customFormat="1" x14ac:dyDescent="0.15"/>
    <row r="1041668" customFormat="1" x14ac:dyDescent="0.15"/>
    <row r="1041669" customFormat="1" x14ac:dyDescent="0.15"/>
    <row r="1041670" customFormat="1" x14ac:dyDescent="0.15"/>
    <row r="1041671" customFormat="1" x14ac:dyDescent="0.15"/>
    <row r="1041672" customFormat="1" x14ac:dyDescent="0.15"/>
    <row r="1041673" customFormat="1" x14ac:dyDescent="0.15"/>
    <row r="1041674" customFormat="1" x14ac:dyDescent="0.15"/>
    <row r="1041675" customFormat="1" x14ac:dyDescent="0.15"/>
    <row r="1041676" customFormat="1" x14ac:dyDescent="0.15"/>
    <row r="1041677" customFormat="1" x14ac:dyDescent="0.15"/>
    <row r="1041678" customFormat="1" x14ac:dyDescent="0.15"/>
    <row r="1041679" customFormat="1" x14ac:dyDescent="0.15"/>
    <row r="1041680" customFormat="1" x14ac:dyDescent="0.15"/>
    <row r="1041681" customFormat="1" x14ac:dyDescent="0.15"/>
    <row r="1041682" customFormat="1" x14ac:dyDescent="0.15"/>
    <row r="1041683" customFormat="1" x14ac:dyDescent="0.15"/>
    <row r="1041684" customFormat="1" x14ac:dyDescent="0.15"/>
    <row r="1041685" customFormat="1" x14ac:dyDescent="0.15"/>
    <row r="1041686" customFormat="1" x14ac:dyDescent="0.15"/>
    <row r="1041687" customFormat="1" x14ac:dyDescent="0.15"/>
    <row r="1041688" customFormat="1" x14ac:dyDescent="0.15"/>
    <row r="1041689" customFormat="1" x14ac:dyDescent="0.15"/>
    <row r="1041690" customFormat="1" x14ac:dyDescent="0.15"/>
    <row r="1041691" customFormat="1" x14ac:dyDescent="0.15"/>
    <row r="1041692" customFormat="1" x14ac:dyDescent="0.15"/>
    <row r="1041693" customFormat="1" x14ac:dyDescent="0.15"/>
    <row r="1041694" customFormat="1" x14ac:dyDescent="0.15"/>
    <row r="1041695" customFormat="1" x14ac:dyDescent="0.15"/>
    <row r="1041696" customFormat="1" x14ac:dyDescent="0.15"/>
    <row r="1041697" customFormat="1" x14ac:dyDescent="0.15"/>
    <row r="1041698" customFormat="1" x14ac:dyDescent="0.15"/>
    <row r="1041699" customFormat="1" x14ac:dyDescent="0.15"/>
    <row r="1041700" customFormat="1" x14ac:dyDescent="0.15"/>
    <row r="1041701" customFormat="1" x14ac:dyDescent="0.15"/>
    <row r="1041702" customFormat="1" x14ac:dyDescent="0.15"/>
    <row r="1041703" customFormat="1" x14ac:dyDescent="0.15"/>
    <row r="1041704" customFormat="1" x14ac:dyDescent="0.15"/>
    <row r="1041705" customFormat="1" x14ac:dyDescent="0.15"/>
    <row r="1041706" customFormat="1" x14ac:dyDescent="0.15"/>
    <row r="1041707" customFormat="1" x14ac:dyDescent="0.15"/>
    <row r="1041708" customFormat="1" x14ac:dyDescent="0.15"/>
    <row r="1041709" customFormat="1" x14ac:dyDescent="0.15"/>
    <row r="1041710" customFormat="1" x14ac:dyDescent="0.15"/>
    <row r="1041711" customFormat="1" x14ac:dyDescent="0.15"/>
    <row r="1041712" customFormat="1" x14ac:dyDescent="0.15"/>
    <row r="1041713" customFormat="1" x14ac:dyDescent="0.15"/>
    <row r="1041714" customFormat="1" x14ac:dyDescent="0.15"/>
    <row r="1041715" customFormat="1" x14ac:dyDescent="0.15"/>
    <row r="1041716" customFormat="1" x14ac:dyDescent="0.15"/>
    <row r="1041717" customFormat="1" x14ac:dyDescent="0.15"/>
    <row r="1041718" customFormat="1" x14ac:dyDescent="0.15"/>
    <row r="1041719" customFormat="1" x14ac:dyDescent="0.15"/>
    <row r="1041720" customFormat="1" x14ac:dyDescent="0.15"/>
    <row r="1041721" customFormat="1" x14ac:dyDescent="0.15"/>
    <row r="1041722" customFormat="1" x14ac:dyDescent="0.15"/>
    <row r="1041723" customFormat="1" x14ac:dyDescent="0.15"/>
    <row r="1041724" customFormat="1" x14ac:dyDescent="0.15"/>
    <row r="1041725" customFormat="1" x14ac:dyDescent="0.15"/>
    <row r="1041726" customFormat="1" x14ac:dyDescent="0.15"/>
    <row r="1041727" customFormat="1" x14ac:dyDescent="0.15"/>
    <row r="1041728" customFormat="1" x14ac:dyDescent="0.15"/>
    <row r="1041729" customFormat="1" x14ac:dyDescent="0.15"/>
    <row r="1041730" customFormat="1" x14ac:dyDescent="0.15"/>
    <row r="1041731" customFormat="1" x14ac:dyDescent="0.15"/>
    <row r="1041732" customFormat="1" x14ac:dyDescent="0.15"/>
    <row r="1041733" customFormat="1" x14ac:dyDescent="0.15"/>
    <row r="1041734" customFormat="1" x14ac:dyDescent="0.15"/>
    <row r="1041735" customFormat="1" x14ac:dyDescent="0.15"/>
    <row r="1041736" customFormat="1" x14ac:dyDescent="0.15"/>
    <row r="1041737" customFormat="1" x14ac:dyDescent="0.15"/>
    <row r="1041738" customFormat="1" x14ac:dyDescent="0.15"/>
    <row r="1041739" customFormat="1" x14ac:dyDescent="0.15"/>
    <row r="1041740" customFormat="1" x14ac:dyDescent="0.15"/>
    <row r="1041741" customFormat="1" x14ac:dyDescent="0.15"/>
    <row r="1041742" customFormat="1" x14ac:dyDescent="0.15"/>
    <row r="1041743" customFormat="1" x14ac:dyDescent="0.15"/>
    <row r="1041744" customFormat="1" x14ac:dyDescent="0.15"/>
    <row r="1041745" customFormat="1" x14ac:dyDescent="0.15"/>
    <row r="1041746" customFormat="1" x14ac:dyDescent="0.15"/>
    <row r="1041747" customFormat="1" x14ac:dyDescent="0.15"/>
    <row r="1041748" customFormat="1" x14ac:dyDescent="0.15"/>
    <row r="1041749" customFormat="1" x14ac:dyDescent="0.15"/>
    <row r="1041750" customFormat="1" x14ac:dyDescent="0.15"/>
    <row r="1041751" customFormat="1" x14ac:dyDescent="0.15"/>
    <row r="1041752" customFormat="1" x14ac:dyDescent="0.15"/>
    <row r="1041753" customFormat="1" x14ac:dyDescent="0.15"/>
    <row r="1041754" customFormat="1" x14ac:dyDescent="0.15"/>
    <row r="1041755" customFormat="1" x14ac:dyDescent="0.15"/>
    <row r="1041756" customFormat="1" x14ac:dyDescent="0.15"/>
    <row r="1041757" customFormat="1" x14ac:dyDescent="0.15"/>
    <row r="1041758" customFormat="1" x14ac:dyDescent="0.15"/>
    <row r="1041759" customFormat="1" x14ac:dyDescent="0.15"/>
    <row r="1041760" customFormat="1" x14ac:dyDescent="0.15"/>
    <row r="1041761" customFormat="1" x14ac:dyDescent="0.15"/>
    <row r="1041762" customFormat="1" x14ac:dyDescent="0.15"/>
    <row r="1041763" customFormat="1" x14ac:dyDescent="0.15"/>
    <row r="1041764" customFormat="1" x14ac:dyDescent="0.15"/>
    <row r="1041765" customFormat="1" x14ac:dyDescent="0.15"/>
    <row r="1041766" customFormat="1" x14ac:dyDescent="0.15"/>
    <row r="1041767" customFormat="1" x14ac:dyDescent="0.15"/>
    <row r="1041768" customFormat="1" x14ac:dyDescent="0.15"/>
    <row r="1041769" customFormat="1" x14ac:dyDescent="0.15"/>
    <row r="1041770" customFormat="1" x14ac:dyDescent="0.15"/>
    <row r="1041771" customFormat="1" x14ac:dyDescent="0.15"/>
    <row r="1041772" customFormat="1" x14ac:dyDescent="0.15"/>
    <row r="1041773" customFormat="1" x14ac:dyDescent="0.15"/>
    <row r="1041774" customFormat="1" x14ac:dyDescent="0.15"/>
    <row r="1041775" customFormat="1" x14ac:dyDescent="0.15"/>
    <row r="1041776" customFormat="1" x14ac:dyDescent="0.15"/>
    <row r="1041777" customFormat="1" x14ac:dyDescent="0.15"/>
    <row r="1041778" customFormat="1" x14ac:dyDescent="0.15"/>
    <row r="1041779" customFormat="1" x14ac:dyDescent="0.15"/>
    <row r="1041780" customFormat="1" x14ac:dyDescent="0.15"/>
    <row r="1041781" customFormat="1" x14ac:dyDescent="0.15"/>
    <row r="1041782" customFormat="1" x14ac:dyDescent="0.15"/>
    <row r="1041783" customFormat="1" x14ac:dyDescent="0.15"/>
    <row r="1041784" customFormat="1" x14ac:dyDescent="0.15"/>
    <row r="1041785" customFormat="1" x14ac:dyDescent="0.15"/>
    <row r="1041786" customFormat="1" x14ac:dyDescent="0.15"/>
    <row r="1041787" customFormat="1" x14ac:dyDescent="0.15"/>
    <row r="1041788" customFormat="1" x14ac:dyDescent="0.15"/>
    <row r="1041789" customFormat="1" x14ac:dyDescent="0.15"/>
    <row r="1041790" customFormat="1" x14ac:dyDescent="0.15"/>
    <row r="1041791" customFormat="1" x14ac:dyDescent="0.15"/>
    <row r="1041792" customFormat="1" x14ac:dyDescent="0.15"/>
    <row r="1041793" customFormat="1" x14ac:dyDescent="0.15"/>
    <row r="1041794" customFormat="1" x14ac:dyDescent="0.15"/>
    <row r="1041795" customFormat="1" x14ac:dyDescent="0.15"/>
    <row r="1041796" customFormat="1" x14ac:dyDescent="0.15"/>
    <row r="1041797" customFormat="1" x14ac:dyDescent="0.15"/>
    <row r="1041798" customFormat="1" x14ac:dyDescent="0.15"/>
    <row r="1041799" customFormat="1" x14ac:dyDescent="0.15"/>
    <row r="1041800" customFormat="1" x14ac:dyDescent="0.15"/>
    <row r="1041801" customFormat="1" x14ac:dyDescent="0.15"/>
    <row r="1041802" customFormat="1" x14ac:dyDescent="0.15"/>
    <row r="1041803" customFormat="1" x14ac:dyDescent="0.15"/>
    <row r="1041804" customFormat="1" x14ac:dyDescent="0.15"/>
    <row r="1041805" customFormat="1" x14ac:dyDescent="0.15"/>
    <row r="1041806" customFormat="1" x14ac:dyDescent="0.15"/>
    <row r="1041807" customFormat="1" x14ac:dyDescent="0.15"/>
    <row r="1041808" customFormat="1" x14ac:dyDescent="0.15"/>
    <row r="1041809" customFormat="1" x14ac:dyDescent="0.15"/>
    <row r="1041810" customFormat="1" x14ac:dyDescent="0.15"/>
    <row r="1041811" customFormat="1" x14ac:dyDescent="0.15"/>
    <row r="1041812" customFormat="1" x14ac:dyDescent="0.15"/>
    <row r="1041813" customFormat="1" x14ac:dyDescent="0.15"/>
    <row r="1041814" customFormat="1" x14ac:dyDescent="0.15"/>
    <row r="1041815" customFormat="1" x14ac:dyDescent="0.15"/>
    <row r="1041816" customFormat="1" x14ac:dyDescent="0.15"/>
    <row r="1041817" customFormat="1" x14ac:dyDescent="0.15"/>
    <row r="1041818" customFormat="1" x14ac:dyDescent="0.15"/>
    <row r="1041819" customFormat="1" x14ac:dyDescent="0.15"/>
    <row r="1041820" customFormat="1" x14ac:dyDescent="0.15"/>
    <row r="1041821" customFormat="1" x14ac:dyDescent="0.15"/>
    <row r="1041822" customFormat="1" x14ac:dyDescent="0.15"/>
    <row r="1041823" customFormat="1" x14ac:dyDescent="0.15"/>
    <row r="1041824" customFormat="1" x14ac:dyDescent="0.15"/>
    <row r="1041825" customFormat="1" x14ac:dyDescent="0.15"/>
    <row r="1041826" customFormat="1" x14ac:dyDescent="0.15"/>
    <row r="1041827" customFormat="1" x14ac:dyDescent="0.15"/>
    <row r="1041828" customFormat="1" x14ac:dyDescent="0.15"/>
    <row r="1041829" customFormat="1" x14ac:dyDescent="0.15"/>
    <row r="1041830" customFormat="1" x14ac:dyDescent="0.15"/>
    <row r="1041831" customFormat="1" x14ac:dyDescent="0.15"/>
    <row r="1041832" customFormat="1" x14ac:dyDescent="0.15"/>
    <row r="1041833" customFormat="1" x14ac:dyDescent="0.15"/>
    <row r="1041834" customFormat="1" x14ac:dyDescent="0.15"/>
    <row r="1041835" customFormat="1" x14ac:dyDescent="0.15"/>
    <row r="1041836" customFormat="1" x14ac:dyDescent="0.15"/>
    <row r="1041837" customFormat="1" x14ac:dyDescent="0.15"/>
    <row r="1041838" customFormat="1" x14ac:dyDescent="0.15"/>
    <row r="1041839" customFormat="1" x14ac:dyDescent="0.15"/>
    <row r="1041840" customFormat="1" x14ac:dyDescent="0.15"/>
    <row r="1041841" customFormat="1" x14ac:dyDescent="0.15"/>
    <row r="1041842" customFormat="1" x14ac:dyDescent="0.15"/>
    <row r="1041843" customFormat="1" x14ac:dyDescent="0.15"/>
    <row r="1041844" customFormat="1" x14ac:dyDescent="0.15"/>
    <row r="1041845" customFormat="1" x14ac:dyDescent="0.15"/>
    <row r="1041846" customFormat="1" x14ac:dyDescent="0.15"/>
    <row r="1041847" customFormat="1" x14ac:dyDescent="0.15"/>
    <row r="1041848" customFormat="1" x14ac:dyDescent="0.15"/>
    <row r="1041849" customFormat="1" x14ac:dyDescent="0.15"/>
    <row r="1041850" customFormat="1" x14ac:dyDescent="0.15"/>
    <row r="1041851" customFormat="1" x14ac:dyDescent="0.15"/>
    <row r="1041852" customFormat="1" x14ac:dyDescent="0.15"/>
    <row r="1041853" customFormat="1" x14ac:dyDescent="0.15"/>
    <row r="1041854" customFormat="1" x14ac:dyDescent="0.15"/>
    <row r="1041855" customFormat="1" x14ac:dyDescent="0.15"/>
    <row r="1041856" customFormat="1" x14ac:dyDescent="0.15"/>
    <row r="1041857" customFormat="1" x14ac:dyDescent="0.15"/>
    <row r="1041858" customFormat="1" x14ac:dyDescent="0.15"/>
    <row r="1041859" customFormat="1" x14ac:dyDescent="0.15"/>
    <row r="1041860" customFormat="1" x14ac:dyDescent="0.15"/>
    <row r="1041861" customFormat="1" x14ac:dyDescent="0.15"/>
    <row r="1041862" customFormat="1" x14ac:dyDescent="0.15"/>
    <row r="1041863" customFormat="1" x14ac:dyDescent="0.15"/>
    <row r="1041864" customFormat="1" x14ac:dyDescent="0.15"/>
    <row r="1041865" customFormat="1" x14ac:dyDescent="0.15"/>
    <row r="1041866" customFormat="1" x14ac:dyDescent="0.15"/>
    <row r="1041867" customFormat="1" x14ac:dyDescent="0.15"/>
    <row r="1041868" customFormat="1" x14ac:dyDescent="0.15"/>
    <row r="1041869" customFormat="1" x14ac:dyDescent="0.15"/>
    <row r="1041870" customFormat="1" x14ac:dyDescent="0.15"/>
    <row r="1041871" customFormat="1" x14ac:dyDescent="0.15"/>
    <row r="1041872" customFormat="1" x14ac:dyDescent="0.15"/>
    <row r="1041873" customFormat="1" x14ac:dyDescent="0.15"/>
    <row r="1041874" customFormat="1" x14ac:dyDescent="0.15"/>
    <row r="1041875" customFormat="1" x14ac:dyDescent="0.15"/>
    <row r="1041876" customFormat="1" x14ac:dyDescent="0.15"/>
    <row r="1041877" customFormat="1" x14ac:dyDescent="0.15"/>
    <row r="1041878" customFormat="1" x14ac:dyDescent="0.15"/>
    <row r="1041879" customFormat="1" x14ac:dyDescent="0.15"/>
    <row r="1041880" customFormat="1" x14ac:dyDescent="0.15"/>
    <row r="1041881" customFormat="1" x14ac:dyDescent="0.15"/>
    <row r="1041882" customFormat="1" x14ac:dyDescent="0.15"/>
    <row r="1041883" customFormat="1" x14ac:dyDescent="0.15"/>
    <row r="1041884" customFormat="1" x14ac:dyDescent="0.15"/>
    <row r="1041885" customFormat="1" x14ac:dyDescent="0.15"/>
    <row r="1041886" customFormat="1" x14ac:dyDescent="0.15"/>
    <row r="1041887" customFormat="1" x14ac:dyDescent="0.15"/>
    <row r="1041888" customFormat="1" x14ac:dyDescent="0.15"/>
    <row r="1041889" customFormat="1" x14ac:dyDescent="0.15"/>
    <row r="1041890" customFormat="1" x14ac:dyDescent="0.15"/>
    <row r="1041891" customFormat="1" x14ac:dyDescent="0.15"/>
    <row r="1041892" customFormat="1" x14ac:dyDescent="0.15"/>
    <row r="1041893" customFormat="1" x14ac:dyDescent="0.15"/>
    <row r="1041894" customFormat="1" x14ac:dyDescent="0.15"/>
    <row r="1041895" customFormat="1" x14ac:dyDescent="0.15"/>
    <row r="1041896" customFormat="1" x14ac:dyDescent="0.15"/>
    <row r="1041897" customFormat="1" x14ac:dyDescent="0.15"/>
    <row r="1041898" customFormat="1" x14ac:dyDescent="0.15"/>
    <row r="1041899" customFormat="1" x14ac:dyDescent="0.15"/>
    <row r="1041900" customFormat="1" x14ac:dyDescent="0.15"/>
    <row r="1041901" customFormat="1" x14ac:dyDescent="0.15"/>
    <row r="1041902" customFormat="1" x14ac:dyDescent="0.15"/>
    <row r="1041903" customFormat="1" x14ac:dyDescent="0.15"/>
    <row r="1041904" customFormat="1" x14ac:dyDescent="0.15"/>
    <row r="1041905" customFormat="1" x14ac:dyDescent="0.15"/>
    <row r="1041906" customFormat="1" x14ac:dyDescent="0.15"/>
    <row r="1041907" customFormat="1" x14ac:dyDescent="0.15"/>
    <row r="1041908" customFormat="1" x14ac:dyDescent="0.15"/>
    <row r="1041909" customFormat="1" x14ac:dyDescent="0.15"/>
    <row r="1041910" customFormat="1" x14ac:dyDescent="0.15"/>
    <row r="1041911" customFormat="1" x14ac:dyDescent="0.15"/>
    <row r="1041912" customFormat="1" x14ac:dyDescent="0.15"/>
    <row r="1041913" customFormat="1" x14ac:dyDescent="0.15"/>
    <row r="1041914" customFormat="1" x14ac:dyDescent="0.15"/>
    <row r="1041915" customFormat="1" x14ac:dyDescent="0.15"/>
    <row r="1041916" customFormat="1" x14ac:dyDescent="0.15"/>
    <row r="1041917" customFormat="1" x14ac:dyDescent="0.15"/>
    <row r="1041918" customFormat="1" x14ac:dyDescent="0.15"/>
    <row r="1041919" customFormat="1" x14ac:dyDescent="0.15"/>
    <row r="1041920" customFormat="1" x14ac:dyDescent="0.15"/>
    <row r="1041921" customFormat="1" x14ac:dyDescent="0.15"/>
    <row r="1041922" customFormat="1" x14ac:dyDescent="0.15"/>
    <row r="1041923" customFormat="1" x14ac:dyDescent="0.15"/>
    <row r="1041924" customFormat="1" x14ac:dyDescent="0.15"/>
    <row r="1041925" customFormat="1" x14ac:dyDescent="0.15"/>
    <row r="1041926" customFormat="1" x14ac:dyDescent="0.15"/>
    <row r="1041927" customFormat="1" x14ac:dyDescent="0.15"/>
    <row r="1041928" customFormat="1" x14ac:dyDescent="0.15"/>
    <row r="1041929" customFormat="1" x14ac:dyDescent="0.15"/>
    <row r="1041930" customFormat="1" x14ac:dyDescent="0.15"/>
    <row r="1041931" customFormat="1" x14ac:dyDescent="0.15"/>
    <row r="1041932" customFormat="1" x14ac:dyDescent="0.15"/>
    <row r="1041933" customFormat="1" x14ac:dyDescent="0.15"/>
    <row r="1041934" customFormat="1" x14ac:dyDescent="0.15"/>
    <row r="1041935" customFormat="1" x14ac:dyDescent="0.15"/>
    <row r="1041936" customFormat="1" x14ac:dyDescent="0.15"/>
    <row r="1041937" customFormat="1" x14ac:dyDescent="0.15"/>
    <row r="1041938" customFormat="1" x14ac:dyDescent="0.15"/>
    <row r="1041939" customFormat="1" x14ac:dyDescent="0.15"/>
    <row r="1041940" customFormat="1" x14ac:dyDescent="0.15"/>
    <row r="1041941" customFormat="1" x14ac:dyDescent="0.15"/>
    <row r="1041942" customFormat="1" x14ac:dyDescent="0.15"/>
    <row r="1041943" customFormat="1" x14ac:dyDescent="0.15"/>
    <row r="1041944" customFormat="1" x14ac:dyDescent="0.15"/>
    <row r="1041945" customFormat="1" x14ac:dyDescent="0.15"/>
    <row r="1041946" customFormat="1" x14ac:dyDescent="0.15"/>
    <row r="1041947" customFormat="1" x14ac:dyDescent="0.15"/>
    <row r="1041948" customFormat="1" x14ac:dyDescent="0.15"/>
    <row r="1041949" customFormat="1" x14ac:dyDescent="0.15"/>
    <row r="1041950" customFormat="1" x14ac:dyDescent="0.15"/>
    <row r="1041951" customFormat="1" x14ac:dyDescent="0.15"/>
    <row r="1041952" customFormat="1" x14ac:dyDescent="0.15"/>
    <row r="1041953" customFormat="1" x14ac:dyDescent="0.15"/>
    <row r="1041954" customFormat="1" x14ac:dyDescent="0.15"/>
    <row r="1041955" customFormat="1" x14ac:dyDescent="0.15"/>
    <row r="1041956" customFormat="1" x14ac:dyDescent="0.15"/>
    <row r="1041957" customFormat="1" x14ac:dyDescent="0.15"/>
    <row r="1041958" customFormat="1" x14ac:dyDescent="0.15"/>
    <row r="1041959" customFormat="1" x14ac:dyDescent="0.15"/>
    <row r="1041960" customFormat="1" x14ac:dyDescent="0.15"/>
    <row r="1041961" customFormat="1" x14ac:dyDescent="0.15"/>
    <row r="1041962" customFormat="1" x14ac:dyDescent="0.15"/>
    <row r="1041963" customFormat="1" x14ac:dyDescent="0.15"/>
    <row r="1041964" customFormat="1" x14ac:dyDescent="0.15"/>
    <row r="1041965" customFormat="1" x14ac:dyDescent="0.15"/>
    <row r="1041966" customFormat="1" x14ac:dyDescent="0.15"/>
    <row r="1041967" customFormat="1" x14ac:dyDescent="0.15"/>
    <row r="1041968" customFormat="1" x14ac:dyDescent="0.15"/>
    <row r="1041969" customFormat="1" x14ac:dyDescent="0.15"/>
    <row r="1041970" customFormat="1" x14ac:dyDescent="0.15"/>
    <row r="1041971" customFormat="1" x14ac:dyDescent="0.15"/>
    <row r="1041972" customFormat="1" x14ac:dyDescent="0.15"/>
    <row r="1041973" customFormat="1" x14ac:dyDescent="0.15"/>
    <row r="1041974" customFormat="1" x14ac:dyDescent="0.15"/>
    <row r="1041975" customFormat="1" x14ac:dyDescent="0.15"/>
    <row r="1041976" customFormat="1" x14ac:dyDescent="0.15"/>
    <row r="1041977" customFormat="1" x14ac:dyDescent="0.15"/>
    <row r="1041978" customFormat="1" x14ac:dyDescent="0.15"/>
    <row r="1041979" customFormat="1" x14ac:dyDescent="0.15"/>
    <row r="1041980" customFormat="1" x14ac:dyDescent="0.15"/>
    <row r="1041981" customFormat="1" x14ac:dyDescent="0.15"/>
    <row r="1041982" customFormat="1" x14ac:dyDescent="0.15"/>
    <row r="1041983" customFormat="1" x14ac:dyDescent="0.15"/>
    <row r="1041984" customFormat="1" x14ac:dyDescent="0.15"/>
    <row r="1041985" customFormat="1" x14ac:dyDescent="0.15"/>
    <row r="1041986" customFormat="1" x14ac:dyDescent="0.15"/>
    <row r="1041987" customFormat="1" x14ac:dyDescent="0.15"/>
    <row r="1041988" customFormat="1" x14ac:dyDescent="0.15"/>
    <row r="1041989" customFormat="1" x14ac:dyDescent="0.15"/>
    <row r="1041990" customFormat="1" x14ac:dyDescent="0.15"/>
    <row r="1041991" customFormat="1" x14ac:dyDescent="0.15"/>
    <row r="1041992" customFormat="1" x14ac:dyDescent="0.15"/>
    <row r="1041993" customFormat="1" x14ac:dyDescent="0.15"/>
    <row r="1041994" customFormat="1" x14ac:dyDescent="0.15"/>
    <row r="1041995" customFormat="1" x14ac:dyDescent="0.15"/>
    <row r="1041996" customFormat="1" x14ac:dyDescent="0.15"/>
    <row r="1041997" customFormat="1" x14ac:dyDescent="0.15"/>
    <row r="1041998" customFormat="1" x14ac:dyDescent="0.15"/>
    <row r="1041999" customFormat="1" x14ac:dyDescent="0.15"/>
    <row r="1042000" customFormat="1" x14ac:dyDescent="0.15"/>
    <row r="1042001" customFormat="1" x14ac:dyDescent="0.15"/>
    <row r="1042002" customFormat="1" x14ac:dyDescent="0.15"/>
    <row r="1042003" customFormat="1" x14ac:dyDescent="0.15"/>
    <row r="1042004" customFormat="1" x14ac:dyDescent="0.15"/>
    <row r="1042005" customFormat="1" x14ac:dyDescent="0.15"/>
    <row r="1042006" customFormat="1" x14ac:dyDescent="0.15"/>
    <row r="1042007" customFormat="1" x14ac:dyDescent="0.15"/>
    <row r="1042008" customFormat="1" x14ac:dyDescent="0.15"/>
    <row r="1042009" customFormat="1" x14ac:dyDescent="0.15"/>
    <row r="1042010" customFormat="1" x14ac:dyDescent="0.15"/>
    <row r="1042011" customFormat="1" x14ac:dyDescent="0.15"/>
    <row r="1042012" customFormat="1" x14ac:dyDescent="0.15"/>
    <row r="1042013" customFormat="1" x14ac:dyDescent="0.15"/>
    <row r="1042014" customFormat="1" x14ac:dyDescent="0.15"/>
    <row r="1042015" customFormat="1" x14ac:dyDescent="0.15"/>
    <row r="1042016" customFormat="1" x14ac:dyDescent="0.15"/>
    <row r="1042017" customFormat="1" x14ac:dyDescent="0.15"/>
    <row r="1042018" customFormat="1" x14ac:dyDescent="0.15"/>
    <row r="1042019" customFormat="1" x14ac:dyDescent="0.15"/>
    <row r="1042020" customFormat="1" x14ac:dyDescent="0.15"/>
    <row r="1042021" customFormat="1" x14ac:dyDescent="0.15"/>
    <row r="1042022" customFormat="1" x14ac:dyDescent="0.15"/>
    <row r="1042023" customFormat="1" x14ac:dyDescent="0.15"/>
    <row r="1042024" customFormat="1" x14ac:dyDescent="0.15"/>
    <row r="1042025" customFormat="1" x14ac:dyDescent="0.15"/>
    <row r="1042026" customFormat="1" x14ac:dyDescent="0.15"/>
    <row r="1042027" customFormat="1" x14ac:dyDescent="0.15"/>
    <row r="1042028" customFormat="1" x14ac:dyDescent="0.15"/>
    <row r="1042029" customFormat="1" x14ac:dyDescent="0.15"/>
    <row r="1042030" customFormat="1" x14ac:dyDescent="0.15"/>
    <row r="1042031" customFormat="1" x14ac:dyDescent="0.15"/>
    <row r="1042032" customFormat="1" x14ac:dyDescent="0.15"/>
    <row r="1042033" customFormat="1" x14ac:dyDescent="0.15"/>
    <row r="1042034" customFormat="1" x14ac:dyDescent="0.15"/>
    <row r="1042035" customFormat="1" x14ac:dyDescent="0.15"/>
    <row r="1042036" customFormat="1" x14ac:dyDescent="0.15"/>
    <row r="1042037" customFormat="1" x14ac:dyDescent="0.15"/>
    <row r="1042038" customFormat="1" x14ac:dyDescent="0.15"/>
    <row r="1042039" customFormat="1" x14ac:dyDescent="0.15"/>
    <row r="1042040" customFormat="1" x14ac:dyDescent="0.15"/>
    <row r="1042041" customFormat="1" x14ac:dyDescent="0.15"/>
    <row r="1042042" customFormat="1" x14ac:dyDescent="0.15"/>
    <row r="1042043" customFormat="1" x14ac:dyDescent="0.15"/>
    <row r="1042044" customFormat="1" x14ac:dyDescent="0.15"/>
    <row r="1042045" customFormat="1" x14ac:dyDescent="0.15"/>
    <row r="1042046" customFormat="1" x14ac:dyDescent="0.15"/>
    <row r="1042047" customFormat="1" x14ac:dyDescent="0.15"/>
    <row r="1042048" customFormat="1" x14ac:dyDescent="0.15"/>
    <row r="1042049" customFormat="1" x14ac:dyDescent="0.15"/>
    <row r="1042050" customFormat="1" x14ac:dyDescent="0.15"/>
    <row r="1042051" customFormat="1" x14ac:dyDescent="0.15"/>
    <row r="1042052" customFormat="1" x14ac:dyDescent="0.15"/>
    <row r="1042053" customFormat="1" x14ac:dyDescent="0.15"/>
    <row r="1042054" customFormat="1" x14ac:dyDescent="0.15"/>
    <row r="1042055" customFormat="1" x14ac:dyDescent="0.15"/>
    <row r="1042056" customFormat="1" x14ac:dyDescent="0.15"/>
    <row r="1042057" customFormat="1" x14ac:dyDescent="0.15"/>
    <row r="1042058" customFormat="1" x14ac:dyDescent="0.15"/>
    <row r="1042059" customFormat="1" x14ac:dyDescent="0.15"/>
    <row r="1042060" customFormat="1" x14ac:dyDescent="0.15"/>
    <row r="1042061" customFormat="1" x14ac:dyDescent="0.15"/>
    <row r="1042062" customFormat="1" x14ac:dyDescent="0.15"/>
    <row r="1042063" customFormat="1" x14ac:dyDescent="0.15"/>
    <row r="1042064" customFormat="1" x14ac:dyDescent="0.15"/>
    <row r="1042065" customFormat="1" x14ac:dyDescent="0.15"/>
    <row r="1042066" customFormat="1" x14ac:dyDescent="0.15"/>
    <row r="1042067" customFormat="1" x14ac:dyDescent="0.15"/>
    <row r="1042068" customFormat="1" x14ac:dyDescent="0.15"/>
    <row r="1042069" customFormat="1" x14ac:dyDescent="0.15"/>
    <row r="1042070" customFormat="1" x14ac:dyDescent="0.15"/>
    <row r="1042071" customFormat="1" x14ac:dyDescent="0.15"/>
    <row r="1042072" customFormat="1" x14ac:dyDescent="0.15"/>
    <row r="1042073" customFormat="1" x14ac:dyDescent="0.15"/>
    <row r="1042074" customFormat="1" x14ac:dyDescent="0.15"/>
    <row r="1042075" customFormat="1" x14ac:dyDescent="0.15"/>
    <row r="1042076" customFormat="1" x14ac:dyDescent="0.15"/>
    <row r="1042077" customFormat="1" x14ac:dyDescent="0.15"/>
    <row r="1042078" customFormat="1" x14ac:dyDescent="0.15"/>
    <row r="1042079" customFormat="1" x14ac:dyDescent="0.15"/>
    <row r="1042080" customFormat="1" x14ac:dyDescent="0.15"/>
    <row r="1042081" customFormat="1" x14ac:dyDescent="0.15"/>
    <row r="1042082" customFormat="1" x14ac:dyDescent="0.15"/>
    <row r="1042083" customFormat="1" x14ac:dyDescent="0.15"/>
    <row r="1042084" customFormat="1" x14ac:dyDescent="0.15"/>
    <row r="1042085" customFormat="1" x14ac:dyDescent="0.15"/>
    <row r="1042086" customFormat="1" x14ac:dyDescent="0.15"/>
    <row r="1042087" customFormat="1" x14ac:dyDescent="0.15"/>
    <row r="1042088" customFormat="1" x14ac:dyDescent="0.15"/>
    <row r="1042089" customFormat="1" x14ac:dyDescent="0.15"/>
    <row r="1042090" customFormat="1" x14ac:dyDescent="0.15"/>
    <row r="1042091" customFormat="1" x14ac:dyDescent="0.15"/>
    <row r="1042092" customFormat="1" x14ac:dyDescent="0.15"/>
    <row r="1042093" customFormat="1" x14ac:dyDescent="0.15"/>
    <row r="1042094" customFormat="1" x14ac:dyDescent="0.15"/>
    <row r="1042095" customFormat="1" x14ac:dyDescent="0.15"/>
    <row r="1042096" customFormat="1" x14ac:dyDescent="0.15"/>
    <row r="1042097" customFormat="1" x14ac:dyDescent="0.15"/>
    <row r="1042098" customFormat="1" x14ac:dyDescent="0.15"/>
    <row r="1042099" customFormat="1" x14ac:dyDescent="0.15"/>
    <row r="1042100" customFormat="1" x14ac:dyDescent="0.15"/>
    <row r="1042101" customFormat="1" x14ac:dyDescent="0.15"/>
    <row r="1042102" customFormat="1" x14ac:dyDescent="0.15"/>
    <row r="1042103" customFormat="1" x14ac:dyDescent="0.15"/>
    <row r="1042104" customFormat="1" x14ac:dyDescent="0.15"/>
    <row r="1042105" customFormat="1" x14ac:dyDescent="0.15"/>
    <row r="1042106" customFormat="1" x14ac:dyDescent="0.15"/>
    <row r="1042107" customFormat="1" x14ac:dyDescent="0.15"/>
    <row r="1042108" customFormat="1" x14ac:dyDescent="0.15"/>
    <row r="1042109" customFormat="1" x14ac:dyDescent="0.15"/>
    <row r="1042110" customFormat="1" x14ac:dyDescent="0.15"/>
    <row r="1042111" customFormat="1" x14ac:dyDescent="0.15"/>
    <row r="1042112" customFormat="1" x14ac:dyDescent="0.15"/>
    <row r="1042113" customFormat="1" x14ac:dyDescent="0.15"/>
    <row r="1042114" customFormat="1" x14ac:dyDescent="0.15"/>
    <row r="1042115" customFormat="1" x14ac:dyDescent="0.15"/>
    <row r="1042116" customFormat="1" x14ac:dyDescent="0.15"/>
    <row r="1042117" customFormat="1" x14ac:dyDescent="0.15"/>
    <row r="1042118" customFormat="1" x14ac:dyDescent="0.15"/>
    <row r="1042119" customFormat="1" x14ac:dyDescent="0.15"/>
    <row r="1042120" customFormat="1" x14ac:dyDescent="0.15"/>
    <row r="1042121" customFormat="1" x14ac:dyDescent="0.15"/>
    <row r="1042122" customFormat="1" x14ac:dyDescent="0.15"/>
    <row r="1042123" customFormat="1" x14ac:dyDescent="0.15"/>
    <row r="1042124" customFormat="1" x14ac:dyDescent="0.15"/>
    <row r="1042125" customFormat="1" x14ac:dyDescent="0.15"/>
    <row r="1042126" customFormat="1" x14ac:dyDescent="0.15"/>
    <row r="1042127" customFormat="1" x14ac:dyDescent="0.15"/>
    <row r="1042128" customFormat="1" x14ac:dyDescent="0.15"/>
    <row r="1042129" customFormat="1" x14ac:dyDescent="0.15"/>
    <row r="1042130" customFormat="1" x14ac:dyDescent="0.15"/>
    <row r="1042131" customFormat="1" x14ac:dyDescent="0.15"/>
    <row r="1042132" customFormat="1" x14ac:dyDescent="0.15"/>
    <row r="1042133" customFormat="1" x14ac:dyDescent="0.15"/>
    <row r="1042134" customFormat="1" x14ac:dyDescent="0.15"/>
    <row r="1042135" customFormat="1" x14ac:dyDescent="0.15"/>
    <row r="1042136" customFormat="1" x14ac:dyDescent="0.15"/>
    <row r="1042137" customFormat="1" x14ac:dyDescent="0.15"/>
    <row r="1042138" customFormat="1" x14ac:dyDescent="0.15"/>
    <row r="1042139" customFormat="1" x14ac:dyDescent="0.15"/>
    <row r="1042140" customFormat="1" x14ac:dyDescent="0.15"/>
    <row r="1042141" customFormat="1" x14ac:dyDescent="0.15"/>
    <row r="1042142" customFormat="1" x14ac:dyDescent="0.15"/>
    <row r="1042143" customFormat="1" x14ac:dyDescent="0.15"/>
    <row r="1042144" customFormat="1" x14ac:dyDescent="0.15"/>
    <row r="1042145" customFormat="1" x14ac:dyDescent="0.15"/>
    <row r="1042146" customFormat="1" x14ac:dyDescent="0.15"/>
    <row r="1042147" customFormat="1" x14ac:dyDescent="0.15"/>
    <row r="1042148" customFormat="1" x14ac:dyDescent="0.15"/>
    <row r="1042149" customFormat="1" x14ac:dyDescent="0.15"/>
    <row r="1042150" customFormat="1" x14ac:dyDescent="0.15"/>
    <row r="1042151" customFormat="1" x14ac:dyDescent="0.15"/>
    <row r="1042152" customFormat="1" x14ac:dyDescent="0.15"/>
    <row r="1042153" customFormat="1" x14ac:dyDescent="0.15"/>
    <row r="1042154" customFormat="1" x14ac:dyDescent="0.15"/>
    <row r="1042155" customFormat="1" x14ac:dyDescent="0.15"/>
    <row r="1042156" customFormat="1" x14ac:dyDescent="0.15"/>
    <row r="1042157" customFormat="1" x14ac:dyDescent="0.15"/>
    <row r="1042158" customFormat="1" x14ac:dyDescent="0.15"/>
    <row r="1042159" customFormat="1" x14ac:dyDescent="0.15"/>
    <row r="1042160" customFormat="1" x14ac:dyDescent="0.15"/>
    <row r="1042161" customFormat="1" x14ac:dyDescent="0.15"/>
    <row r="1042162" customFormat="1" x14ac:dyDescent="0.15"/>
    <row r="1042163" customFormat="1" x14ac:dyDescent="0.15"/>
    <row r="1042164" customFormat="1" x14ac:dyDescent="0.15"/>
    <row r="1042165" customFormat="1" x14ac:dyDescent="0.15"/>
    <row r="1042166" customFormat="1" x14ac:dyDescent="0.15"/>
    <row r="1042167" customFormat="1" x14ac:dyDescent="0.15"/>
    <row r="1042168" customFormat="1" x14ac:dyDescent="0.15"/>
    <row r="1042169" customFormat="1" x14ac:dyDescent="0.15"/>
    <row r="1042170" customFormat="1" x14ac:dyDescent="0.15"/>
    <row r="1042171" customFormat="1" x14ac:dyDescent="0.15"/>
    <row r="1042172" customFormat="1" x14ac:dyDescent="0.15"/>
    <row r="1042173" customFormat="1" x14ac:dyDescent="0.15"/>
    <row r="1042174" customFormat="1" x14ac:dyDescent="0.15"/>
    <row r="1042175" customFormat="1" x14ac:dyDescent="0.15"/>
    <row r="1042176" customFormat="1" x14ac:dyDescent="0.15"/>
    <row r="1042177" customFormat="1" x14ac:dyDescent="0.15"/>
    <row r="1042178" customFormat="1" x14ac:dyDescent="0.15"/>
    <row r="1042179" customFormat="1" x14ac:dyDescent="0.15"/>
    <row r="1042180" customFormat="1" x14ac:dyDescent="0.15"/>
    <row r="1042181" customFormat="1" x14ac:dyDescent="0.15"/>
    <row r="1042182" customFormat="1" x14ac:dyDescent="0.15"/>
    <row r="1042183" customFormat="1" x14ac:dyDescent="0.15"/>
    <row r="1042184" customFormat="1" x14ac:dyDescent="0.15"/>
    <row r="1042185" customFormat="1" x14ac:dyDescent="0.15"/>
    <row r="1042186" customFormat="1" x14ac:dyDescent="0.15"/>
    <row r="1042187" customFormat="1" x14ac:dyDescent="0.15"/>
    <row r="1042188" customFormat="1" x14ac:dyDescent="0.15"/>
    <row r="1042189" customFormat="1" x14ac:dyDescent="0.15"/>
    <row r="1042190" customFormat="1" x14ac:dyDescent="0.15"/>
    <row r="1042191" customFormat="1" x14ac:dyDescent="0.15"/>
    <row r="1042192" customFormat="1" x14ac:dyDescent="0.15"/>
    <row r="1042193" customFormat="1" x14ac:dyDescent="0.15"/>
    <row r="1042194" customFormat="1" x14ac:dyDescent="0.15"/>
    <row r="1042195" customFormat="1" x14ac:dyDescent="0.15"/>
    <row r="1042196" customFormat="1" x14ac:dyDescent="0.15"/>
    <row r="1042197" customFormat="1" x14ac:dyDescent="0.15"/>
    <row r="1042198" customFormat="1" x14ac:dyDescent="0.15"/>
    <row r="1042199" customFormat="1" x14ac:dyDescent="0.15"/>
    <row r="1042200" customFormat="1" x14ac:dyDescent="0.15"/>
    <row r="1042201" customFormat="1" x14ac:dyDescent="0.15"/>
    <row r="1042202" customFormat="1" x14ac:dyDescent="0.15"/>
    <row r="1042203" customFormat="1" x14ac:dyDescent="0.15"/>
    <row r="1042204" customFormat="1" x14ac:dyDescent="0.15"/>
    <row r="1042205" customFormat="1" x14ac:dyDescent="0.15"/>
    <row r="1042206" customFormat="1" x14ac:dyDescent="0.15"/>
    <row r="1042207" customFormat="1" x14ac:dyDescent="0.15"/>
    <row r="1042208" customFormat="1" x14ac:dyDescent="0.15"/>
    <row r="1042209" customFormat="1" x14ac:dyDescent="0.15"/>
    <row r="1042210" customFormat="1" x14ac:dyDescent="0.15"/>
    <row r="1042211" customFormat="1" x14ac:dyDescent="0.15"/>
    <row r="1042212" customFormat="1" x14ac:dyDescent="0.15"/>
    <row r="1042213" customFormat="1" x14ac:dyDescent="0.15"/>
    <row r="1042214" customFormat="1" x14ac:dyDescent="0.15"/>
    <row r="1042215" customFormat="1" x14ac:dyDescent="0.15"/>
    <row r="1042216" customFormat="1" x14ac:dyDescent="0.15"/>
    <row r="1042217" customFormat="1" x14ac:dyDescent="0.15"/>
    <row r="1042218" customFormat="1" x14ac:dyDescent="0.15"/>
    <row r="1042219" customFormat="1" x14ac:dyDescent="0.15"/>
    <row r="1042220" customFormat="1" x14ac:dyDescent="0.15"/>
    <row r="1042221" customFormat="1" x14ac:dyDescent="0.15"/>
    <row r="1042222" customFormat="1" x14ac:dyDescent="0.15"/>
    <row r="1042223" customFormat="1" x14ac:dyDescent="0.15"/>
    <row r="1042224" customFormat="1" x14ac:dyDescent="0.15"/>
    <row r="1042225" customFormat="1" x14ac:dyDescent="0.15"/>
    <row r="1042226" customFormat="1" x14ac:dyDescent="0.15"/>
    <row r="1042227" customFormat="1" x14ac:dyDescent="0.15"/>
    <row r="1042228" customFormat="1" x14ac:dyDescent="0.15"/>
    <row r="1042229" customFormat="1" x14ac:dyDescent="0.15"/>
    <row r="1042230" customFormat="1" x14ac:dyDescent="0.15"/>
    <row r="1042231" customFormat="1" x14ac:dyDescent="0.15"/>
    <row r="1042232" customFormat="1" x14ac:dyDescent="0.15"/>
    <row r="1042233" customFormat="1" x14ac:dyDescent="0.15"/>
    <row r="1042234" customFormat="1" x14ac:dyDescent="0.15"/>
    <row r="1042235" customFormat="1" x14ac:dyDescent="0.15"/>
    <row r="1042236" customFormat="1" x14ac:dyDescent="0.15"/>
    <row r="1042237" customFormat="1" x14ac:dyDescent="0.15"/>
    <row r="1042238" customFormat="1" x14ac:dyDescent="0.15"/>
    <row r="1042239" customFormat="1" x14ac:dyDescent="0.15"/>
    <row r="1042240" customFormat="1" x14ac:dyDescent="0.15"/>
    <row r="1042241" customFormat="1" x14ac:dyDescent="0.15"/>
    <row r="1042242" customFormat="1" x14ac:dyDescent="0.15"/>
    <row r="1042243" customFormat="1" x14ac:dyDescent="0.15"/>
    <row r="1042244" customFormat="1" x14ac:dyDescent="0.15"/>
    <row r="1042245" customFormat="1" x14ac:dyDescent="0.15"/>
    <row r="1042246" customFormat="1" x14ac:dyDescent="0.15"/>
    <row r="1042247" customFormat="1" x14ac:dyDescent="0.15"/>
    <row r="1042248" customFormat="1" x14ac:dyDescent="0.15"/>
    <row r="1042249" customFormat="1" x14ac:dyDescent="0.15"/>
    <row r="1042250" customFormat="1" x14ac:dyDescent="0.15"/>
    <row r="1042251" customFormat="1" x14ac:dyDescent="0.15"/>
    <row r="1042252" customFormat="1" x14ac:dyDescent="0.15"/>
    <row r="1042253" customFormat="1" x14ac:dyDescent="0.15"/>
    <row r="1042254" customFormat="1" x14ac:dyDescent="0.15"/>
    <row r="1042255" customFormat="1" x14ac:dyDescent="0.15"/>
    <row r="1042256" customFormat="1" x14ac:dyDescent="0.15"/>
    <row r="1042257" customFormat="1" x14ac:dyDescent="0.15"/>
    <row r="1042258" customFormat="1" x14ac:dyDescent="0.15"/>
    <row r="1042259" customFormat="1" x14ac:dyDescent="0.15"/>
    <row r="1042260" customFormat="1" x14ac:dyDescent="0.15"/>
    <row r="1042261" customFormat="1" x14ac:dyDescent="0.15"/>
    <row r="1042262" customFormat="1" x14ac:dyDescent="0.15"/>
    <row r="1042263" customFormat="1" x14ac:dyDescent="0.15"/>
    <row r="1042264" customFormat="1" x14ac:dyDescent="0.15"/>
    <row r="1042265" customFormat="1" x14ac:dyDescent="0.15"/>
    <row r="1042266" customFormat="1" x14ac:dyDescent="0.15"/>
    <row r="1042267" customFormat="1" x14ac:dyDescent="0.15"/>
    <row r="1042268" customFormat="1" x14ac:dyDescent="0.15"/>
    <row r="1042269" customFormat="1" x14ac:dyDescent="0.15"/>
    <row r="1042270" customFormat="1" x14ac:dyDescent="0.15"/>
    <row r="1042271" customFormat="1" x14ac:dyDescent="0.15"/>
    <row r="1042272" customFormat="1" x14ac:dyDescent="0.15"/>
    <row r="1042273" customFormat="1" x14ac:dyDescent="0.15"/>
    <row r="1042274" customFormat="1" x14ac:dyDescent="0.15"/>
    <row r="1042275" customFormat="1" x14ac:dyDescent="0.15"/>
    <row r="1042276" customFormat="1" x14ac:dyDescent="0.15"/>
    <row r="1042277" customFormat="1" x14ac:dyDescent="0.15"/>
    <row r="1042278" customFormat="1" x14ac:dyDescent="0.15"/>
    <row r="1042279" customFormat="1" x14ac:dyDescent="0.15"/>
    <row r="1042280" customFormat="1" x14ac:dyDescent="0.15"/>
    <row r="1042281" customFormat="1" x14ac:dyDescent="0.15"/>
    <row r="1042282" customFormat="1" x14ac:dyDescent="0.15"/>
    <row r="1042283" customFormat="1" x14ac:dyDescent="0.15"/>
    <row r="1042284" customFormat="1" x14ac:dyDescent="0.15"/>
    <row r="1042285" customFormat="1" x14ac:dyDescent="0.15"/>
    <row r="1042286" customFormat="1" x14ac:dyDescent="0.15"/>
    <row r="1042287" customFormat="1" x14ac:dyDescent="0.15"/>
    <row r="1042288" customFormat="1" x14ac:dyDescent="0.15"/>
    <row r="1042289" customFormat="1" x14ac:dyDescent="0.15"/>
    <row r="1042290" customFormat="1" x14ac:dyDescent="0.15"/>
    <row r="1042291" customFormat="1" x14ac:dyDescent="0.15"/>
    <row r="1042292" customFormat="1" x14ac:dyDescent="0.15"/>
    <row r="1042293" customFormat="1" x14ac:dyDescent="0.15"/>
    <row r="1042294" customFormat="1" x14ac:dyDescent="0.15"/>
    <row r="1042295" customFormat="1" x14ac:dyDescent="0.15"/>
    <row r="1042296" customFormat="1" x14ac:dyDescent="0.15"/>
    <row r="1042297" customFormat="1" x14ac:dyDescent="0.15"/>
    <row r="1042298" customFormat="1" x14ac:dyDescent="0.15"/>
    <row r="1042299" customFormat="1" x14ac:dyDescent="0.15"/>
    <row r="1042300" customFormat="1" x14ac:dyDescent="0.15"/>
    <row r="1042301" customFormat="1" x14ac:dyDescent="0.15"/>
    <row r="1042302" customFormat="1" x14ac:dyDescent="0.15"/>
    <row r="1042303" customFormat="1" x14ac:dyDescent="0.15"/>
    <row r="1042304" customFormat="1" x14ac:dyDescent="0.15"/>
    <row r="1042305" customFormat="1" x14ac:dyDescent="0.15"/>
    <row r="1042306" customFormat="1" x14ac:dyDescent="0.15"/>
    <row r="1042307" customFormat="1" x14ac:dyDescent="0.15"/>
    <row r="1042308" customFormat="1" x14ac:dyDescent="0.15"/>
    <row r="1042309" customFormat="1" x14ac:dyDescent="0.15"/>
    <row r="1042310" customFormat="1" x14ac:dyDescent="0.15"/>
    <row r="1042311" customFormat="1" x14ac:dyDescent="0.15"/>
    <row r="1042312" customFormat="1" x14ac:dyDescent="0.15"/>
    <row r="1042313" customFormat="1" x14ac:dyDescent="0.15"/>
    <row r="1042314" customFormat="1" x14ac:dyDescent="0.15"/>
    <row r="1042315" customFormat="1" x14ac:dyDescent="0.15"/>
    <row r="1042316" customFormat="1" x14ac:dyDescent="0.15"/>
    <row r="1042317" customFormat="1" x14ac:dyDescent="0.15"/>
    <row r="1042318" customFormat="1" x14ac:dyDescent="0.15"/>
    <row r="1042319" customFormat="1" x14ac:dyDescent="0.15"/>
    <row r="1042320" customFormat="1" x14ac:dyDescent="0.15"/>
    <row r="1042321" customFormat="1" x14ac:dyDescent="0.15"/>
    <row r="1042322" customFormat="1" x14ac:dyDescent="0.15"/>
    <row r="1042323" customFormat="1" x14ac:dyDescent="0.15"/>
    <row r="1042324" customFormat="1" x14ac:dyDescent="0.15"/>
    <row r="1042325" customFormat="1" x14ac:dyDescent="0.15"/>
    <row r="1042326" customFormat="1" x14ac:dyDescent="0.15"/>
    <row r="1042327" customFormat="1" x14ac:dyDescent="0.15"/>
    <row r="1042328" customFormat="1" x14ac:dyDescent="0.15"/>
    <row r="1042329" customFormat="1" x14ac:dyDescent="0.15"/>
    <row r="1042330" customFormat="1" x14ac:dyDescent="0.15"/>
    <row r="1042331" customFormat="1" x14ac:dyDescent="0.15"/>
    <row r="1042332" customFormat="1" x14ac:dyDescent="0.15"/>
    <row r="1042333" customFormat="1" x14ac:dyDescent="0.15"/>
    <row r="1042334" customFormat="1" x14ac:dyDescent="0.15"/>
    <row r="1042335" customFormat="1" x14ac:dyDescent="0.15"/>
    <row r="1042336" customFormat="1" x14ac:dyDescent="0.15"/>
    <row r="1042337" customFormat="1" x14ac:dyDescent="0.15"/>
    <row r="1042338" customFormat="1" x14ac:dyDescent="0.15"/>
    <row r="1042339" customFormat="1" x14ac:dyDescent="0.15"/>
    <row r="1042340" customFormat="1" x14ac:dyDescent="0.15"/>
    <row r="1042341" customFormat="1" x14ac:dyDescent="0.15"/>
    <row r="1042342" customFormat="1" x14ac:dyDescent="0.15"/>
    <row r="1042343" customFormat="1" x14ac:dyDescent="0.15"/>
    <row r="1042344" customFormat="1" x14ac:dyDescent="0.15"/>
    <row r="1042345" customFormat="1" x14ac:dyDescent="0.15"/>
    <row r="1042346" customFormat="1" x14ac:dyDescent="0.15"/>
    <row r="1042347" customFormat="1" x14ac:dyDescent="0.15"/>
    <row r="1042348" customFormat="1" x14ac:dyDescent="0.15"/>
    <row r="1042349" customFormat="1" x14ac:dyDescent="0.15"/>
    <row r="1042350" customFormat="1" x14ac:dyDescent="0.15"/>
    <row r="1042351" customFormat="1" x14ac:dyDescent="0.15"/>
    <row r="1042352" customFormat="1" x14ac:dyDescent="0.15"/>
    <row r="1042353" customFormat="1" x14ac:dyDescent="0.15"/>
    <row r="1042354" customFormat="1" x14ac:dyDescent="0.15"/>
    <row r="1042355" customFormat="1" x14ac:dyDescent="0.15"/>
    <row r="1042356" customFormat="1" x14ac:dyDescent="0.15"/>
    <row r="1042357" customFormat="1" x14ac:dyDescent="0.15"/>
    <row r="1042358" customFormat="1" x14ac:dyDescent="0.15"/>
    <row r="1042359" customFormat="1" x14ac:dyDescent="0.15"/>
    <row r="1042360" customFormat="1" x14ac:dyDescent="0.15"/>
    <row r="1042361" customFormat="1" x14ac:dyDescent="0.15"/>
    <row r="1042362" customFormat="1" x14ac:dyDescent="0.15"/>
    <row r="1042363" customFormat="1" x14ac:dyDescent="0.15"/>
    <row r="1042364" customFormat="1" x14ac:dyDescent="0.15"/>
    <row r="1042365" customFormat="1" x14ac:dyDescent="0.15"/>
    <row r="1042366" customFormat="1" x14ac:dyDescent="0.15"/>
    <row r="1042367" customFormat="1" x14ac:dyDescent="0.15"/>
    <row r="1042368" customFormat="1" x14ac:dyDescent="0.15"/>
    <row r="1042369" customFormat="1" x14ac:dyDescent="0.15"/>
    <row r="1042370" customFormat="1" x14ac:dyDescent="0.15"/>
    <row r="1042371" customFormat="1" x14ac:dyDescent="0.15"/>
    <row r="1042372" customFormat="1" x14ac:dyDescent="0.15"/>
    <row r="1042373" customFormat="1" x14ac:dyDescent="0.15"/>
    <row r="1042374" customFormat="1" x14ac:dyDescent="0.15"/>
    <row r="1042375" customFormat="1" x14ac:dyDescent="0.15"/>
    <row r="1042376" customFormat="1" x14ac:dyDescent="0.15"/>
    <row r="1042377" customFormat="1" x14ac:dyDescent="0.15"/>
    <row r="1042378" customFormat="1" x14ac:dyDescent="0.15"/>
    <row r="1042379" customFormat="1" x14ac:dyDescent="0.15"/>
    <row r="1042380" customFormat="1" x14ac:dyDescent="0.15"/>
    <row r="1042381" customFormat="1" x14ac:dyDescent="0.15"/>
    <row r="1042382" customFormat="1" x14ac:dyDescent="0.15"/>
    <row r="1042383" customFormat="1" x14ac:dyDescent="0.15"/>
    <row r="1042384" customFormat="1" x14ac:dyDescent="0.15"/>
    <row r="1042385" customFormat="1" x14ac:dyDescent="0.15"/>
    <row r="1042386" customFormat="1" x14ac:dyDescent="0.15"/>
    <row r="1042387" customFormat="1" x14ac:dyDescent="0.15"/>
    <row r="1042388" customFormat="1" x14ac:dyDescent="0.15"/>
    <row r="1042389" customFormat="1" x14ac:dyDescent="0.15"/>
    <row r="1042390" customFormat="1" x14ac:dyDescent="0.15"/>
    <row r="1042391" customFormat="1" x14ac:dyDescent="0.15"/>
    <row r="1042392" customFormat="1" x14ac:dyDescent="0.15"/>
    <row r="1042393" customFormat="1" x14ac:dyDescent="0.15"/>
    <row r="1042394" customFormat="1" x14ac:dyDescent="0.15"/>
    <row r="1042395" customFormat="1" x14ac:dyDescent="0.15"/>
    <row r="1042396" customFormat="1" x14ac:dyDescent="0.15"/>
    <row r="1042397" customFormat="1" x14ac:dyDescent="0.15"/>
    <row r="1042398" customFormat="1" x14ac:dyDescent="0.15"/>
    <row r="1042399" customFormat="1" x14ac:dyDescent="0.15"/>
    <row r="1042400" customFormat="1" x14ac:dyDescent="0.15"/>
    <row r="1042401" customFormat="1" x14ac:dyDescent="0.15"/>
    <row r="1042402" customFormat="1" x14ac:dyDescent="0.15"/>
    <row r="1042403" customFormat="1" x14ac:dyDescent="0.15"/>
    <row r="1042404" customFormat="1" x14ac:dyDescent="0.15"/>
    <row r="1042405" customFormat="1" x14ac:dyDescent="0.15"/>
    <row r="1042406" customFormat="1" x14ac:dyDescent="0.15"/>
    <row r="1042407" customFormat="1" x14ac:dyDescent="0.15"/>
    <row r="1042408" customFormat="1" x14ac:dyDescent="0.15"/>
    <row r="1042409" customFormat="1" x14ac:dyDescent="0.15"/>
    <row r="1042410" customFormat="1" x14ac:dyDescent="0.15"/>
    <row r="1042411" customFormat="1" x14ac:dyDescent="0.15"/>
    <row r="1042412" customFormat="1" x14ac:dyDescent="0.15"/>
    <row r="1042413" customFormat="1" x14ac:dyDescent="0.15"/>
    <row r="1042414" customFormat="1" x14ac:dyDescent="0.15"/>
    <row r="1042415" customFormat="1" x14ac:dyDescent="0.15"/>
    <row r="1042416" customFormat="1" x14ac:dyDescent="0.15"/>
    <row r="1042417" customFormat="1" x14ac:dyDescent="0.15"/>
    <row r="1042418" customFormat="1" x14ac:dyDescent="0.15"/>
    <row r="1042419" customFormat="1" x14ac:dyDescent="0.15"/>
    <row r="1042420" customFormat="1" x14ac:dyDescent="0.15"/>
    <row r="1042421" customFormat="1" x14ac:dyDescent="0.15"/>
    <row r="1042422" customFormat="1" x14ac:dyDescent="0.15"/>
    <row r="1042423" customFormat="1" x14ac:dyDescent="0.15"/>
    <row r="1042424" customFormat="1" x14ac:dyDescent="0.15"/>
    <row r="1042425" customFormat="1" x14ac:dyDescent="0.15"/>
    <row r="1042426" customFormat="1" x14ac:dyDescent="0.15"/>
    <row r="1042427" customFormat="1" x14ac:dyDescent="0.15"/>
    <row r="1042428" customFormat="1" x14ac:dyDescent="0.15"/>
    <row r="1042429" customFormat="1" x14ac:dyDescent="0.15"/>
    <row r="1042430" customFormat="1" x14ac:dyDescent="0.15"/>
    <row r="1042431" customFormat="1" x14ac:dyDescent="0.15"/>
    <row r="1042432" customFormat="1" x14ac:dyDescent="0.15"/>
    <row r="1042433" customFormat="1" x14ac:dyDescent="0.15"/>
    <row r="1042434" customFormat="1" x14ac:dyDescent="0.15"/>
    <row r="1042435" customFormat="1" x14ac:dyDescent="0.15"/>
    <row r="1042436" customFormat="1" x14ac:dyDescent="0.15"/>
    <row r="1042437" customFormat="1" x14ac:dyDescent="0.15"/>
    <row r="1042438" customFormat="1" x14ac:dyDescent="0.15"/>
    <row r="1042439" customFormat="1" x14ac:dyDescent="0.15"/>
    <row r="1042440" customFormat="1" x14ac:dyDescent="0.15"/>
    <row r="1042441" customFormat="1" x14ac:dyDescent="0.15"/>
    <row r="1042442" customFormat="1" x14ac:dyDescent="0.15"/>
    <row r="1042443" customFormat="1" x14ac:dyDescent="0.15"/>
    <row r="1042444" customFormat="1" x14ac:dyDescent="0.15"/>
    <row r="1042445" customFormat="1" x14ac:dyDescent="0.15"/>
    <row r="1042446" customFormat="1" x14ac:dyDescent="0.15"/>
    <row r="1042447" customFormat="1" x14ac:dyDescent="0.15"/>
    <row r="1042448" customFormat="1" x14ac:dyDescent="0.15"/>
    <row r="1042449" customFormat="1" x14ac:dyDescent="0.15"/>
    <row r="1042450" customFormat="1" x14ac:dyDescent="0.15"/>
    <row r="1042451" customFormat="1" x14ac:dyDescent="0.15"/>
    <row r="1042452" customFormat="1" x14ac:dyDescent="0.15"/>
    <row r="1042453" customFormat="1" x14ac:dyDescent="0.15"/>
    <row r="1042454" customFormat="1" x14ac:dyDescent="0.15"/>
    <row r="1042455" customFormat="1" x14ac:dyDescent="0.15"/>
    <row r="1042456" customFormat="1" x14ac:dyDescent="0.15"/>
    <row r="1042457" customFormat="1" x14ac:dyDescent="0.15"/>
    <row r="1042458" customFormat="1" x14ac:dyDescent="0.15"/>
    <row r="1042459" customFormat="1" x14ac:dyDescent="0.15"/>
    <row r="1042460" customFormat="1" x14ac:dyDescent="0.15"/>
    <row r="1042461" customFormat="1" x14ac:dyDescent="0.15"/>
    <row r="1042462" customFormat="1" x14ac:dyDescent="0.15"/>
    <row r="1042463" customFormat="1" x14ac:dyDescent="0.15"/>
    <row r="1042464" customFormat="1" x14ac:dyDescent="0.15"/>
    <row r="1042465" customFormat="1" x14ac:dyDescent="0.15"/>
    <row r="1042466" customFormat="1" x14ac:dyDescent="0.15"/>
    <row r="1042467" customFormat="1" x14ac:dyDescent="0.15"/>
    <row r="1042468" customFormat="1" x14ac:dyDescent="0.15"/>
    <row r="1042469" customFormat="1" x14ac:dyDescent="0.15"/>
    <row r="1042470" customFormat="1" x14ac:dyDescent="0.15"/>
    <row r="1042471" customFormat="1" x14ac:dyDescent="0.15"/>
    <row r="1042472" customFormat="1" x14ac:dyDescent="0.15"/>
    <row r="1042473" customFormat="1" x14ac:dyDescent="0.15"/>
    <row r="1042474" customFormat="1" x14ac:dyDescent="0.15"/>
    <row r="1042475" customFormat="1" x14ac:dyDescent="0.15"/>
    <row r="1042476" customFormat="1" x14ac:dyDescent="0.15"/>
    <row r="1042477" customFormat="1" x14ac:dyDescent="0.15"/>
    <row r="1042478" customFormat="1" x14ac:dyDescent="0.15"/>
    <row r="1042479" customFormat="1" x14ac:dyDescent="0.15"/>
    <row r="1042480" customFormat="1" x14ac:dyDescent="0.15"/>
    <row r="1042481" customFormat="1" x14ac:dyDescent="0.15"/>
    <row r="1042482" customFormat="1" x14ac:dyDescent="0.15"/>
    <row r="1042483" customFormat="1" x14ac:dyDescent="0.15"/>
    <row r="1042484" customFormat="1" x14ac:dyDescent="0.15"/>
    <row r="1042485" customFormat="1" x14ac:dyDescent="0.15"/>
    <row r="1042486" customFormat="1" x14ac:dyDescent="0.15"/>
    <row r="1042487" customFormat="1" x14ac:dyDescent="0.15"/>
    <row r="1042488" customFormat="1" x14ac:dyDescent="0.15"/>
    <row r="1042489" customFormat="1" x14ac:dyDescent="0.15"/>
    <row r="1042490" customFormat="1" x14ac:dyDescent="0.15"/>
    <row r="1042491" customFormat="1" x14ac:dyDescent="0.15"/>
    <row r="1042492" customFormat="1" x14ac:dyDescent="0.15"/>
    <row r="1042493" customFormat="1" x14ac:dyDescent="0.15"/>
    <row r="1042494" customFormat="1" x14ac:dyDescent="0.15"/>
    <row r="1042495" customFormat="1" x14ac:dyDescent="0.15"/>
    <row r="1042496" customFormat="1" x14ac:dyDescent="0.15"/>
    <row r="1042497" customFormat="1" x14ac:dyDescent="0.15"/>
    <row r="1042498" customFormat="1" x14ac:dyDescent="0.15"/>
    <row r="1042499" customFormat="1" x14ac:dyDescent="0.15"/>
    <row r="1042500" customFormat="1" x14ac:dyDescent="0.15"/>
    <row r="1042501" customFormat="1" x14ac:dyDescent="0.15"/>
    <row r="1042502" customFormat="1" x14ac:dyDescent="0.15"/>
    <row r="1042503" customFormat="1" x14ac:dyDescent="0.15"/>
    <row r="1042504" customFormat="1" x14ac:dyDescent="0.15"/>
    <row r="1042505" customFormat="1" x14ac:dyDescent="0.15"/>
    <row r="1042506" customFormat="1" x14ac:dyDescent="0.15"/>
    <row r="1042507" customFormat="1" x14ac:dyDescent="0.15"/>
    <row r="1042508" customFormat="1" x14ac:dyDescent="0.15"/>
    <row r="1042509" customFormat="1" x14ac:dyDescent="0.15"/>
    <row r="1042510" customFormat="1" x14ac:dyDescent="0.15"/>
    <row r="1042511" customFormat="1" x14ac:dyDescent="0.15"/>
    <row r="1042512" customFormat="1" x14ac:dyDescent="0.15"/>
    <row r="1042513" customFormat="1" x14ac:dyDescent="0.15"/>
    <row r="1042514" customFormat="1" x14ac:dyDescent="0.15"/>
    <row r="1042515" customFormat="1" x14ac:dyDescent="0.15"/>
    <row r="1042516" customFormat="1" x14ac:dyDescent="0.15"/>
    <row r="1042517" customFormat="1" x14ac:dyDescent="0.15"/>
    <row r="1042518" customFormat="1" x14ac:dyDescent="0.15"/>
    <row r="1042519" customFormat="1" x14ac:dyDescent="0.15"/>
    <row r="1042520" customFormat="1" x14ac:dyDescent="0.15"/>
    <row r="1042521" customFormat="1" x14ac:dyDescent="0.15"/>
    <row r="1042522" customFormat="1" x14ac:dyDescent="0.15"/>
    <row r="1042523" customFormat="1" x14ac:dyDescent="0.15"/>
    <row r="1042524" customFormat="1" x14ac:dyDescent="0.15"/>
    <row r="1042525" customFormat="1" x14ac:dyDescent="0.15"/>
    <row r="1042526" customFormat="1" x14ac:dyDescent="0.15"/>
    <row r="1042527" customFormat="1" x14ac:dyDescent="0.15"/>
    <row r="1042528" customFormat="1" x14ac:dyDescent="0.15"/>
    <row r="1042529" customFormat="1" x14ac:dyDescent="0.15"/>
    <row r="1042530" customFormat="1" x14ac:dyDescent="0.15"/>
    <row r="1042531" customFormat="1" x14ac:dyDescent="0.15"/>
    <row r="1042532" customFormat="1" x14ac:dyDescent="0.15"/>
    <row r="1042533" customFormat="1" x14ac:dyDescent="0.15"/>
    <row r="1042534" customFormat="1" x14ac:dyDescent="0.15"/>
    <row r="1042535" customFormat="1" x14ac:dyDescent="0.15"/>
    <row r="1042536" customFormat="1" x14ac:dyDescent="0.15"/>
    <row r="1042537" customFormat="1" x14ac:dyDescent="0.15"/>
    <row r="1042538" customFormat="1" x14ac:dyDescent="0.15"/>
    <row r="1042539" customFormat="1" x14ac:dyDescent="0.15"/>
    <row r="1042540" customFormat="1" x14ac:dyDescent="0.15"/>
    <row r="1042541" customFormat="1" x14ac:dyDescent="0.15"/>
    <row r="1042542" customFormat="1" x14ac:dyDescent="0.15"/>
    <row r="1042543" customFormat="1" x14ac:dyDescent="0.15"/>
    <row r="1042544" customFormat="1" x14ac:dyDescent="0.15"/>
    <row r="1042545" customFormat="1" x14ac:dyDescent="0.15"/>
    <row r="1042546" customFormat="1" x14ac:dyDescent="0.15"/>
    <row r="1042547" customFormat="1" x14ac:dyDescent="0.15"/>
    <row r="1042548" customFormat="1" x14ac:dyDescent="0.15"/>
    <row r="1042549" customFormat="1" x14ac:dyDescent="0.15"/>
    <row r="1042550" customFormat="1" x14ac:dyDescent="0.15"/>
    <row r="1042551" customFormat="1" x14ac:dyDescent="0.15"/>
    <row r="1042552" customFormat="1" x14ac:dyDescent="0.15"/>
    <row r="1042553" customFormat="1" x14ac:dyDescent="0.15"/>
    <row r="1042554" customFormat="1" x14ac:dyDescent="0.15"/>
    <row r="1042555" customFormat="1" x14ac:dyDescent="0.15"/>
    <row r="1042556" customFormat="1" x14ac:dyDescent="0.15"/>
    <row r="1042557" customFormat="1" x14ac:dyDescent="0.15"/>
    <row r="1042558" customFormat="1" x14ac:dyDescent="0.15"/>
    <row r="1042559" customFormat="1" x14ac:dyDescent="0.15"/>
    <row r="1042560" customFormat="1" x14ac:dyDescent="0.15"/>
    <row r="1042561" customFormat="1" x14ac:dyDescent="0.15"/>
    <row r="1042562" customFormat="1" x14ac:dyDescent="0.15"/>
    <row r="1042563" customFormat="1" x14ac:dyDescent="0.15"/>
    <row r="1042564" customFormat="1" x14ac:dyDescent="0.15"/>
    <row r="1042565" customFormat="1" x14ac:dyDescent="0.15"/>
    <row r="1042566" customFormat="1" x14ac:dyDescent="0.15"/>
    <row r="1042567" customFormat="1" x14ac:dyDescent="0.15"/>
    <row r="1042568" customFormat="1" x14ac:dyDescent="0.15"/>
    <row r="1042569" customFormat="1" x14ac:dyDescent="0.15"/>
    <row r="1042570" customFormat="1" x14ac:dyDescent="0.15"/>
    <row r="1042571" customFormat="1" x14ac:dyDescent="0.15"/>
    <row r="1042572" customFormat="1" x14ac:dyDescent="0.15"/>
    <row r="1042573" customFormat="1" x14ac:dyDescent="0.15"/>
    <row r="1042574" customFormat="1" x14ac:dyDescent="0.15"/>
    <row r="1042575" customFormat="1" x14ac:dyDescent="0.15"/>
    <row r="1042576" customFormat="1" x14ac:dyDescent="0.15"/>
    <row r="1042577" customFormat="1" x14ac:dyDescent="0.15"/>
    <row r="1042578" customFormat="1" x14ac:dyDescent="0.15"/>
    <row r="1042579" customFormat="1" x14ac:dyDescent="0.15"/>
    <row r="1042580" customFormat="1" x14ac:dyDescent="0.15"/>
    <row r="1042581" customFormat="1" x14ac:dyDescent="0.15"/>
    <row r="1042582" customFormat="1" x14ac:dyDescent="0.15"/>
    <row r="1042583" customFormat="1" x14ac:dyDescent="0.15"/>
    <row r="1042584" customFormat="1" x14ac:dyDescent="0.15"/>
    <row r="1042585" customFormat="1" x14ac:dyDescent="0.15"/>
    <row r="1042586" customFormat="1" x14ac:dyDescent="0.15"/>
    <row r="1042587" customFormat="1" x14ac:dyDescent="0.15"/>
    <row r="1042588" customFormat="1" x14ac:dyDescent="0.15"/>
    <row r="1042589" customFormat="1" x14ac:dyDescent="0.15"/>
    <row r="1042590" customFormat="1" x14ac:dyDescent="0.15"/>
    <row r="1042591" customFormat="1" x14ac:dyDescent="0.15"/>
    <row r="1042592" customFormat="1" x14ac:dyDescent="0.15"/>
    <row r="1042593" customFormat="1" x14ac:dyDescent="0.15"/>
    <row r="1042594" customFormat="1" x14ac:dyDescent="0.15"/>
    <row r="1042595" customFormat="1" x14ac:dyDescent="0.15"/>
    <row r="1042596" customFormat="1" x14ac:dyDescent="0.15"/>
    <row r="1042597" customFormat="1" x14ac:dyDescent="0.15"/>
    <row r="1042598" customFormat="1" x14ac:dyDescent="0.15"/>
    <row r="1042599" customFormat="1" x14ac:dyDescent="0.15"/>
    <row r="1042600" customFormat="1" x14ac:dyDescent="0.15"/>
    <row r="1042601" customFormat="1" x14ac:dyDescent="0.15"/>
    <row r="1042602" customFormat="1" x14ac:dyDescent="0.15"/>
    <row r="1042603" customFormat="1" x14ac:dyDescent="0.15"/>
    <row r="1042604" customFormat="1" x14ac:dyDescent="0.15"/>
    <row r="1042605" customFormat="1" x14ac:dyDescent="0.15"/>
    <row r="1042606" customFormat="1" x14ac:dyDescent="0.15"/>
    <row r="1042607" customFormat="1" x14ac:dyDescent="0.15"/>
    <row r="1042608" customFormat="1" x14ac:dyDescent="0.15"/>
    <row r="1042609" customFormat="1" x14ac:dyDescent="0.15"/>
    <row r="1042610" customFormat="1" x14ac:dyDescent="0.15"/>
    <row r="1042611" customFormat="1" x14ac:dyDescent="0.15"/>
    <row r="1042612" customFormat="1" x14ac:dyDescent="0.15"/>
    <row r="1042613" customFormat="1" x14ac:dyDescent="0.15"/>
    <row r="1042614" customFormat="1" x14ac:dyDescent="0.15"/>
    <row r="1042615" customFormat="1" x14ac:dyDescent="0.15"/>
    <row r="1042616" customFormat="1" x14ac:dyDescent="0.15"/>
    <row r="1042617" customFormat="1" x14ac:dyDescent="0.15"/>
    <row r="1042618" customFormat="1" x14ac:dyDescent="0.15"/>
    <row r="1042619" customFormat="1" x14ac:dyDescent="0.15"/>
    <row r="1042620" customFormat="1" x14ac:dyDescent="0.15"/>
    <row r="1042621" customFormat="1" x14ac:dyDescent="0.15"/>
    <row r="1042622" customFormat="1" x14ac:dyDescent="0.15"/>
    <row r="1042623" customFormat="1" x14ac:dyDescent="0.15"/>
    <row r="1042624" customFormat="1" x14ac:dyDescent="0.15"/>
    <row r="1042625" customFormat="1" x14ac:dyDescent="0.15"/>
    <row r="1042626" customFormat="1" x14ac:dyDescent="0.15"/>
    <row r="1042627" customFormat="1" x14ac:dyDescent="0.15"/>
    <row r="1042628" customFormat="1" x14ac:dyDescent="0.15"/>
    <row r="1042629" customFormat="1" x14ac:dyDescent="0.15"/>
    <row r="1042630" customFormat="1" x14ac:dyDescent="0.15"/>
    <row r="1042631" customFormat="1" x14ac:dyDescent="0.15"/>
    <row r="1042632" customFormat="1" x14ac:dyDescent="0.15"/>
    <row r="1042633" customFormat="1" x14ac:dyDescent="0.15"/>
    <row r="1042634" customFormat="1" x14ac:dyDescent="0.15"/>
    <row r="1042635" customFormat="1" x14ac:dyDescent="0.15"/>
    <row r="1042636" customFormat="1" x14ac:dyDescent="0.15"/>
    <row r="1042637" customFormat="1" x14ac:dyDescent="0.15"/>
    <row r="1042638" customFormat="1" x14ac:dyDescent="0.15"/>
    <row r="1042639" customFormat="1" x14ac:dyDescent="0.15"/>
    <row r="1042640" customFormat="1" x14ac:dyDescent="0.15"/>
    <row r="1042641" customFormat="1" x14ac:dyDescent="0.15"/>
    <row r="1042642" customFormat="1" x14ac:dyDescent="0.15"/>
    <row r="1042643" customFormat="1" x14ac:dyDescent="0.15"/>
    <row r="1042644" customFormat="1" x14ac:dyDescent="0.15"/>
    <row r="1042645" customFormat="1" x14ac:dyDescent="0.15"/>
    <row r="1042646" customFormat="1" x14ac:dyDescent="0.15"/>
    <row r="1042647" customFormat="1" x14ac:dyDescent="0.15"/>
    <row r="1042648" customFormat="1" x14ac:dyDescent="0.15"/>
    <row r="1042649" customFormat="1" x14ac:dyDescent="0.15"/>
    <row r="1042650" customFormat="1" x14ac:dyDescent="0.15"/>
    <row r="1042651" customFormat="1" x14ac:dyDescent="0.15"/>
    <row r="1042652" customFormat="1" x14ac:dyDescent="0.15"/>
    <row r="1042653" customFormat="1" x14ac:dyDescent="0.15"/>
    <row r="1042654" customFormat="1" x14ac:dyDescent="0.15"/>
    <row r="1042655" customFormat="1" x14ac:dyDescent="0.15"/>
    <row r="1042656" customFormat="1" x14ac:dyDescent="0.15"/>
    <row r="1042657" customFormat="1" x14ac:dyDescent="0.15"/>
    <row r="1042658" customFormat="1" x14ac:dyDescent="0.15"/>
    <row r="1042659" customFormat="1" x14ac:dyDescent="0.15"/>
    <row r="1042660" customFormat="1" x14ac:dyDescent="0.15"/>
    <row r="1042661" customFormat="1" x14ac:dyDescent="0.15"/>
    <row r="1042662" customFormat="1" x14ac:dyDescent="0.15"/>
    <row r="1042663" customFormat="1" x14ac:dyDescent="0.15"/>
    <row r="1042664" customFormat="1" x14ac:dyDescent="0.15"/>
    <row r="1042665" customFormat="1" x14ac:dyDescent="0.15"/>
    <row r="1042666" customFormat="1" x14ac:dyDescent="0.15"/>
    <row r="1042667" customFormat="1" x14ac:dyDescent="0.15"/>
    <row r="1042668" customFormat="1" x14ac:dyDescent="0.15"/>
    <row r="1042669" customFormat="1" x14ac:dyDescent="0.15"/>
    <row r="1042670" customFormat="1" x14ac:dyDescent="0.15"/>
    <row r="1042671" customFormat="1" x14ac:dyDescent="0.15"/>
    <row r="1042672" customFormat="1" x14ac:dyDescent="0.15"/>
    <row r="1042673" customFormat="1" x14ac:dyDescent="0.15"/>
    <row r="1042674" customFormat="1" x14ac:dyDescent="0.15"/>
    <row r="1042675" customFormat="1" x14ac:dyDescent="0.15"/>
    <row r="1042676" customFormat="1" x14ac:dyDescent="0.15"/>
    <row r="1042677" customFormat="1" x14ac:dyDescent="0.15"/>
    <row r="1042678" customFormat="1" x14ac:dyDescent="0.15"/>
    <row r="1042679" customFormat="1" x14ac:dyDescent="0.15"/>
    <row r="1042680" customFormat="1" x14ac:dyDescent="0.15"/>
    <row r="1042681" customFormat="1" x14ac:dyDescent="0.15"/>
    <row r="1042682" customFormat="1" x14ac:dyDescent="0.15"/>
    <row r="1042683" customFormat="1" x14ac:dyDescent="0.15"/>
    <row r="1042684" customFormat="1" x14ac:dyDescent="0.15"/>
    <row r="1042685" customFormat="1" x14ac:dyDescent="0.15"/>
    <row r="1042686" customFormat="1" x14ac:dyDescent="0.15"/>
    <row r="1042687" customFormat="1" x14ac:dyDescent="0.15"/>
    <row r="1042688" customFormat="1" x14ac:dyDescent="0.15"/>
    <row r="1042689" customFormat="1" x14ac:dyDescent="0.15"/>
    <row r="1042690" customFormat="1" x14ac:dyDescent="0.15"/>
    <row r="1042691" customFormat="1" x14ac:dyDescent="0.15"/>
    <row r="1042692" customFormat="1" x14ac:dyDescent="0.15"/>
    <row r="1042693" customFormat="1" x14ac:dyDescent="0.15"/>
    <row r="1042694" customFormat="1" x14ac:dyDescent="0.15"/>
    <row r="1042695" customFormat="1" x14ac:dyDescent="0.15"/>
    <row r="1042696" customFormat="1" x14ac:dyDescent="0.15"/>
    <row r="1042697" customFormat="1" x14ac:dyDescent="0.15"/>
    <row r="1042698" customFormat="1" x14ac:dyDescent="0.15"/>
    <row r="1042699" customFormat="1" x14ac:dyDescent="0.15"/>
    <row r="1042700" customFormat="1" x14ac:dyDescent="0.15"/>
    <row r="1042701" customFormat="1" x14ac:dyDescent="0.15"/>
    <row r="1042702" customFormat="1" x14ac:dyDescent="0.15"/>
    <row r="1042703" customFormat="1" x14ac:dyDescent="0.15"/>
    <row r="1042704" customFormat="1" x14ac:dyDescent="0.15"/>
    <row r="1042705" customFormat="1" x14ac:dyDescent="0.15"/>
    <row r="1042706" customFormat="1" x14ac:dyDescent="0.15"/>
    <row r="1042707" customFormat="1" x14ac:dyDescent="0.15"/>
    <row r="1042708" customFormat="1" x14ac:dyDescent="0.15"/>
    <row r="1042709" customFormat="1" x14ac:dyDescent="0.15"/>
    <row r="1042710" customFormat="1" x14ac:dyDescent="0.15"/>
    <row r="1042711" customFormat="1" x14ac:dyDescent="0.15"/>
    <row r="1042712" customFormat="1" x14ac:dyDescent="0.15"/>
    <row r="1042713" customFormat="1" x14ac:dyDescent="0.15"/>
    <row r="1042714" customFormat="1" x14ac:dyDescent="0.15"/>
    <row r="1042715" customFormat="1" x14ac:dyDescent="0.15"/>
    <row r="1042716" customFormat="1" x14ac:dyDescent="0.15"/>
    <row r="1042717" customFormat="1" x14ac:dyDescent="0.15"/>
    <row r="1042718" customFormat="1" x14ac:dyDescent="0.15"/>
    <row r="1042719" customFormat="1" x14ac:dyDescent="0.15"/>
    <row r="1042720" customFormat="1" x14ac:dyDescent="0.15"/>
    <row r="1042721" customFormat="1" x14ac:dyDescent="0.15"/>
    <row r="1042722" customFormat="1" x14ac:dyDescent="0.15"/>
    <row r="1042723" customFormat="1" x14ac:dyDescent="0.15"/>
    <row r="1042724" customFormat="1" x14ac:dyDescent="0.15"/>
    <row r="1042725" customFormat="1" x14ac:dyDescent="0.15"/>
    <row r="1042726" customFormat="1" x14ac:dyDescent="0.15"/>
    <row r="1042727" customFormat="1" x14ac:dyDescent="0.15"/>
    <row r="1042728" customFormat="1" x14ac:dyDescent="0.15"/>
    <row r="1042729" customFormat="1" x14ac:dyDescent="0.15"/>
    <row r="1042730" customFormat="1" x14ac:dyDescent="0.15"/>
    <row r="1042731" customFormat="1" x14ac:dyDescent="0.15"/>
    <row r="1042732" customFormat="1" x14ac:dyDescent="0.15"/>
    <row r="1042733" customFormat="1" x14ac:dyDescent="0.15"/>
    <row r="1042734" customFormat="1" x14ac:dyDescent="0.15"/>
    <row r="1042735" customFormat="1" x14ac:dyDescent="0.15"/>
    <row r="1042736" customFormat="1" x14ac:dyDescent="0.15"/>
    <row r="1042737" customFormat="1" x14ac:dyDescent="0.15"/>
    <row r="1042738" customFormat="1" x14ac:dyDescent="0.15"/>
    <row r="1042739" customFormat="1" x14ac:dyDescent="0.15"/>
    <row r="1042740" customFormat="1" x14ac:dyDescent="0.15"/>
    <row r="1042741" customFormat="1" x14ac:dyDescent="0.15"/>
    <row r="1042742" customFormat="1" x14ac:dyDescent="0.15"/>
    <row r="1042743" customFormat="1" x14ac:dyDescent="0.15"/>
    <row r="1042744" customFormat="1" x14ac:dyDescent="0.15"/>
    <row r="1042745" customFormat="1" x14ac:dyDescent="0.15"/>
    <row r="1042746" customFormat="1" x14ac:dyDescent="0.15"/>
    <row r="1042747" customFormat="1" x14ac:dyDescent="0.15"/>
    <row r="1042748" customFormat="1" x14ac:dyDescent="0.15"/>
    <row r="1042749" customFormat="1" x14ac:dyDescent="0.15"/>
    <row r="1042750" customFormat="1" x14ac:dyDescent="0.15"/>
    <row r="1042751" customFormat="1" x14ac:dyDescent="0.15"/>
    <row r="1042752" customFormat="1" x14ac:dyDescent="0.15"/>
    <row r="1042753" customFormat="1" x14ac:dyDescent="0.15"/>
    <row r="1042754" customFormat="1" x14ac:dyDescent="0.15"/>
    <row r="1042755" customFormat="1" x14ac:dyDescent="0.15"/>
    <row r="1042756" customFormat="1" x14ac:dyDescent="0.15"/>
    <row r="1042757" customFormat="1" x14ac:dyDescent="0.15"/>
    <row r="1042758" customFormat="1" x14ac:dyDescent="0.15"/>
    <row r="1042759" customFormat="1" x14ac:dyDescent="0.15"/>
    <row r="1042760" customFormat="1" x14ac:dyDescent="0.15"/>
    <row r="1042761" customFormat="1" x14ac:dyDescent="0.15"/>
    <row r="1042762" customFormat="1" x14ac:dyDescent="0.15"/>
    <row r="1042763" customFormat="1" x14ac:dyDescent="0.15"/>
    <row r="1042764" customFormat="1" x14ac:dyDescent="0.15"/>
    <row r="1042765" customFormat="1" x14ac:dyDescent="0.15"/>
    <row r="1042766" customFormat="1" x14ac:dyDescent="0.15"/>
    <row r="1042767" customFormat="1" x14ac:dyDescent="0.15"/>
    <row r="1042768" customFormat="1" x14ac:dyDescent="0.15"/>
    <row r="1042769" customFormat="1" x14ac:dyDescent="0.15"/>
    <row r="1042770" customFormat="1" x14ac:dyDescent="0.15"/>
    <row r="1042771" customFormat="1" x14ac:dyDescent="0.15"/>
    <row r="1042772" customFormat="1" x14ac:dyDescent="0.15"/>
    <row r="1042773" customFormat="1" x14ac:dyDescent="0.15"/>
    <row r="1042774" customFormat="1" x14ac:dyDescent="0.15"/>
    <row r="1042775" customFormat="1" x14ac:dyDescent="0.15"/>
    <row r="1042776" customFormat="1" x14ac:dyDescent="0.15"/>
    <row r="1042777" customFormat="1" x14ac:dyDescent="0.15"/>
    <row r="1042778" customFormat="1" x14ac:dyDescent="0.15"/>
    <row r="1042779" customFormat="1" x14ac:dyDescent="0.15"/>
    <row r="1042780" customFormat="1" x14ac:dyDescent="0.15"/>
    <row r="1042781" customFormat="1" x14ac:dyDescent="0.15"/>
    <row r="1042782" customFormat="1" x14ac:dyDescent="0.15"/>
    <row r="1042783" customFormat="1" x14ac:dyDescent="0.15"/>
    <row r="1042784" customFormat="1" x14ac:dyDescent="0.15"/>
    <row r="1042785" customFormat="1" x14ac:dyDescent="0.15"/>
    <row r="1042786" customFormat="1" x14ac:dyDescent="0.15"/>
    <row r="1042787" customFormat="1" x14ac:dyDescent="0.15"/>
    <row r="1042788" customFormat="1" x14ac:dyDescent="0.15"/>
    <row r="1042789" customFormat="1" x14ac:dyDescent="0.15"/>
    <row r="1042790" customFormat="1" x14ac:dyDescent="0.15"/>
    <row r="1042791" customFormat="1" x14ac:dyDescent="0.15"/>
    <row r="1042792" customFormat="1" x14ac:dyDescent="0.15"/>
    <row r="1042793" customFormat="1" x14ac:dyDescent="0.15"/>
    <row r="1042794" customFormat="1" x14ac:dyDescent="0.15"/>
    <row r="1042795" customFormat="1" x14ac:dyDescent="0.15"/>
    <row r="1042796" customFormat="1" x14ac:dyDescent="0.15"/>
    <row r="1042797" customFormat="1" x14ac:dyDescent="0.15"/>
    <row r="1042798" customFormat="1" x14ac:dyDescent="0.15"/>
    <row r="1042799" customFormat="1" x14ac:dyDescent="0.15"/>
    <row r="1042800" customFormat="1" x14ac:dyDescent="0.15"/>
    <row r="1042801" customFormat="1" x14ac:dyDescent="0.15"/>
    <row r="1042802" customFormat="1" x14ac:dyDescent="0.15"/>
    <row r="1042803" customFormat="1" x14ac:dyDescent="0.15"/>
    <row r="1042804" customFormat="1" x14ac:dyDescent="0.15"/>
    <row r="1042805" customFormat="1" x14ac:dyDescent="0.15"/>
    <row r="1042806" customFormat="1" x14ac:dyDescent="0.15"/>
    <row r="1042807" customFormat="1" x14ac:dyDescent="0.15"/>
    <row r="1042808" customFormat="1" x14ac:dyDescent="0.15"/>
    <row r="1042809" customFormat="1" x14ac:dyDescent="0.15"/>
    <row r="1042810" customFormat="1" x14ac:dyDescent="0.15"/>
    <row r="1042811" customFormat="1" x14ac:dyDescent="0.15"/>
    <row r="1042812" customFormat="1" x14ac:dyDescent="0.15"/>
    <row r="1042813" customFormat="1" x14ac:dyDescent="0.15"/>
    <row r="1042814" customFormat="1" x14ac:dyDescent="0.15"/>
    <row r="1042815" customFormat="1" x14ac:dyDescent="0.15"/>
    <row r="1042816" customFormat="1" x14ac:dyDescent="0.15"/>
    <row r="1042817" customFormat="1" x14ac:dyDescent="0.15"/>
    <row r="1042818" customFormat="1" x14ac:dyDescent="0.15"/>
    <row r="1042819" customFormat="1" x14ac:dyDescent="0.15"/>
    <row r="1042820" customFormat="1" x14ac:dyDescent="0.15"/>
    <row r="1042821" customFormat="1" x14ac:dyDescent="0.15"/>
    <row r="1042822" customFormat="1" x14ac:dyDescent="0.15"/>
    <row r="1042823" customFormat="1" x14ac:dyDescent="0.15"/>
    <row r="1042824" customFormat="1" x14ac:dyDescent="0.15"/>
    <row r="1042825" customFormat="1" x14ac:dyDescent="0.15"/>
    <row r="1042826" customFormat="1" x14ac:dyDescent="0.15"/>
    <row r="1042827" customFormat="1" x14ac:dyDescent="0.15"/>
    <row r="1042828" customFormat="1" x14ac:dyDescent="0.15"/>
    <row r="1042829" customFormat="1" x14ac:dyDescent="0.15"/>
    <row r="1042830" customFormat="1" x14ac:dyDescent="0.15"/>
    <row r="1042831" customFormat="1" x14ac:dyDescent="0.15"/>
    <row r="1042832" customFormat="1" x14ac:dyDescent="0.15"/>
    <row r="1042833" customFormat="1" x14ac:dyDescent="0.15"/>
    <row r="1042834" customFormat="1" x14ac:dyDescent="0.15"/>
    <row r="1042835" customFormat="1" x14ac:dyDescent="0.15"/>
    <row r="1042836" customFormat="1" x14ac:dyDescent="0.15"/>
    <row r="1042837" customFormat="1" x14ac:dyDescent="0.15"/>
    <row r="1042838" customFormat="1" x14ac:dyDescent="0.15"/>
    <row r="1042839" customFormat="1" x14ac:dyDescent="0.15"/>
    <row r="1042840" customFormat="1" x14ac:dyDescent="0.15"/>
    <row r="1042841" customFormat="1" x14ac:dyDescent="0.15"/>
    <row r="1042842" customFormat="1" x14ac:dyDescent="0.15"/>
    <row r="1042843" customFormat="1" x14ac:dyDescent="0.15"/>
    <row r="1042844" customFormat="1" x14ac:dyDescent="0.15"/>
    <row r="1042845" customFormat="1" x14ac:dyDescent="0.15"/>
    <row r="1042846" customFormat="1" x14ac:dyDescent="0.15"/>
    <row r="1042847" customFormat="1" x14ac:dyDescent="0.15"/>
    <row r="1042848" customFormat="1" x14ac:dyDescent="0.15"/>
    <row r="1042849" customFormat="1" x14ac:dyDescent="0.15"/>
    <row r="1042850" customFormat="1" x14ac:dyDescent="0.15"/>
    <row r="1042851" customFormat="1" x14ac:dyDescent="0.15"/>
    <row r="1042852" customFormat="1" x14ac:dyDescent="0.15"/>
    <row r="1042853" customFormat="1" x14ac:dyDescent="0.15"/>
    <row r="1042854" customFormat="1" x14ac:dyDescent="0.15"/>
    <row r="1042855" customFormat="1" x14ac:dyDescent="0.15"/>
    <row r="1042856" customFormat="1" x14ac:dyDescent="0.15"/>
    <row r="1042857" customFormat="1" x14ac:dyDescent="0.15"/>
    <row r="1042858" customFormat="1" x14ac:dyDescent="0.15"/>
    <row r="1042859" customFormat="1" x14ac:dyDescent="0.15"/>
    <row r="1042860" customFormat="1" x14ac:dyDescent="0.15"/>
    <row r="1042861" customFormat="1" x14ac:dyDescent="0.15"/>
    <row r="1042862" customFormat="1" x14ac:dyDescent="0.15"/>
    <row r="1042863" customFormat="1" x14ac:dyDescent="0.15"/>
    <row r="1042864" customFormat="1" x14ac:dyDescent="0.15"/>
    <row r="1042865" customFormat="1" x14ac:dyDescent="0.15"/>
    <row r="1042866" customFormat="1" x14ac:dyDescent="0.15"/>
    <row r="1042867" customFormat="1" x14ac:dyDescent="0.15"/>
    <row r="1042868" customFormat="1" x14ac:dyDescent="0.15"/>
    <row r="1042869" customFormat="1" x14ac:dyDescent="0.15"/>
    <row r="1042870" customFormat="1" x14ac:dyDescent="0.15"/>
    <row r="1042871" customFormat="1" x14ac:dyDescent="0.15"/>
    <row r="1042872" customFormat="1" x14ac:dyDescent="0.15"/>
    <row r="1042873" customFormat="1" x14ac:dyDescent="0.15"/>
    <row r="1042874" customFormat="1" x14ac:dyDescent="0.15"/>
    <row r="1042875" customFormat="1" x14ac:dyDescent="0.15"/>
    <row r="1042876" customFormat="1" x14ac:dyDescent="0.15"/>
    <row r="1042877" customFormat="1" x14ac:dyDescent="0.15"/>
    <row r="1042878" customFormat="1" x14ac:dyDescent="0.15"/>
    <row r="1042879" customFormat="1" x14ac:dyDescent="0.15"/>
    <row r="1042880" customFormat="1" x14ac:dyDescent="0.15"/>
    <row r="1042881" customFormat="1" x14ac:dyDescent="0.15"/>
    <row r="1042882" customFormat="1" x14ac:dyDescent="0.15"/>
    <row r="1042883" customFormat="1" x14ac:dyDescent="0.15"/>
    <row r="1042884" customFormat="1" x14ac:dyDescent="0.15"/>
    <row r="1042885" customFormat="1" x14ac:dyDescent="0.15"/>
    <row r="1042886" customFormat="1" x14ac:dyDescent="0.15"/>
    <row r="1042887" customFormat="1" x14ac:dyDescent="0.15"/>
    <row r="1042888" customFormat="1" x14ac:dyDescent="0.15"/>
    <row r="1042889" customFormat="1" x14ac:dyDescent="0.15"/>
    <row r="1042890" customFormat="1" x14ac:dyDescent="0.15"/>
    <row r="1042891" customFormat="1" x14ac:dyDescent="0.15"/>
    <row r="1042892" customFormat="1" x14ac:dyDescent="0.15"/>
    <row r="1042893" customFormat="1" x14ac:dyDescent="0.15"/>
    <row r="1042894" customFormat="1" x14ac:dyDescent="0.15"/>
    <row r="1042895" customFormat="1" x14ac:dyDescent="0.15"/>
    <row r="1042896" customFormat="1" x14ac:dyDescent="0.15"/>
    <row r="1042897" customFormat="1" x14ac:dyDescent="0.15"/>
    <row r="1042898" customFormat="1" x14ac:dyDescent="0.15"/>
    <row r="1042899" customFormat="1" x14ac:dyDescent="0.15"/>
    <row r="1042900" customFormat="1" x14ac:dyDescent="0.15"/>
    <row r="1042901" customFormat="1" x14ac:dyDescent="0.15"/>
    <row r="1042902" customFormat="1" x14ac:dyDescent="0.15"/>
    <row r="1042903" customFormat="1" x14ac:dyDescent="0.15"/>
    <row r="1042904" customFormat="1" x14ac:dyDescent="0.15"/>
    <row r="1042905" customFormat="1" x14ac:dyDescent="0.15"/>
    <row r="1042906" customFormat="1" x14ac:dyDescent="0.15"/>
    <row r="1042907" customFormat="1" x14ac:dyDescent="0.15"/>
    <row r="1042908" customFormat="1" x14ac:dyDescent="0.15"/>
    <row r="1042909" customFormat="1" x14ac:dyDescent="0.15"/>
    <row r="1042910" customFormat="1" x14ac:dyDescent="0.15"/>
    <row r="1042911" customFormat="1" x14ac:dyDescent="0.15"/>
    <row r="1042912" customFormat="1" x14ac:dyDescent="0.15"/>
    <row r="1042913" customFormat="1" x14ac:dyDescent="0.15"/>
    <row r="1042914" customFormat="1" x14ac:dyDescent="0.15"/>
    <row r="1042915" customFormat="1" x14ac:dyDescent="0.15"/>
    <row r="1042916" customFormat="1" x14ac:dyDescent="0.15"/>
    <row r="1042917" customFormat="1" x14ac:dyDescent="0.15"/>
    <row r="1042918" customFormat="1" x14ac:dyDescent="0.15"/>
    <row r="1042919" customFormat="1" x14ac:dyDescent="0.15"/>
    <row r="1042920" customFormat="1" x14ac:dyDescent="0.15"/>
    <row r="1042921" customFormat="1" x14ac:dyDescent="0.15"/>
    <row r="1042922" customFormat="1" x14ac:dyDescent="0.15"/>
    <row r="1042923" customFormat="1" x14ac:dyDescent="0.15"/>
    <row r="1042924" customFormat="1" x14ac:dyDescent="0.15"/>
    <row r="1042925" customFormat="1" x14ac:dyDescent="0.15"/>
    <row r="1042926" customFormat="1" x14ac:dyDescent="0.15"/>
    <row r="1042927" customFormat="1" x14ac:dyDescent="0.15"/>
    <row r="1042928" customFormat="1" x14ac:dyDescent="0.15"/>
    <row r="1042929" customFormat="1" x14ac:dyDescent="0.15"/>
    <row r="1042930" customFormat="1" x14ac:dyDescent="0.15"/>
    <row r="1042931" customFormat="1" x14ac:dyDescent="0.15"/>
    <row r="1042932" customFormat="1" x14ac:dyDescent="0.15"/>
    <row r="1042933" customFormat="1" x14ac:dyDescent="0.15"/>
    <row r="1042934" customFormat="1" x14ac:dyDescent="0.15"/>
    <row r="1042935" customFormat="1" x14ac:dyDescent="0.15"/>
    <row r="1042936" customFormat="1" x14ac:dyDescent="0.15"/>
    <row r="1042937" customFormat="1" x14ac:dyDescent="0.15"/>
    <row r="1042938" customFormat="1" x14ac:dyDescent="0.15"/>
    <row r="1042939" customFormat="1" x14ac:dyDescent="0.15"/>
    <row r="1042940" customFormat="1" x14ac:dyDescent="0.15"/>
    <row r="1042941" customFormat="1" x14ac:dyDescent="0.15"/>
    <row r="1042942" customFormat="1" x14ac:dyDescent="0.15"/>
    <row r="1042943" customFormat="1" x14ac:dyDescent="0.15"/>
    <row r="1042944" customFormat="1" x14ac:dyDescent="0.15"/>
    <row r="1042945" customFormat="1" x14ac:dyDescent="0.15"/>
    <row r="1042946" customFormat="1" x14ac:dyDescent="0.15"/>
    <row r="1042947" customFormat="1" x14ac:dyDescent="0.15"/>
    <row r="1042948" customFormat="1" x14ac:dyDescent="0.15"/>
    <row r="1042949" customFormat="1" x14ac:dyDescent="0.15"/>
    <row r="1042950" customFormat="1" x14ac:dyDescent="0.15"/>
    <row r="1042951" customFormat="1" x14ac:dyDescent="0.15"/>
    <row r="1042952" customFormat="1" x14ac:dyDescent="0.15"/>
    <row r="1042953" customFormat="1" x14ac:dyDescent="0.15"/>
    <row r="1042954" customFormat="1" x14ac:dyDescent="0.15"/>
    <row r="1042955" customFormat="1" x14ac:dyDescent="0.15"/>
    <row r="1042956" customFormat="1" x14ac:dyDescent="0.15"/>
    <row r="1042957" customFormat="1" x14ac:dyDescent="0.15"/>
    <row r="1042958" customFormat="1" x14ac:dyDescent="0.15"/>
    <row r="1042959" customFormat="1" x14ac:dyDescent="0.15"/>
    <row r="1042960" customFormat="1" x14ac:dyDescent="0.15"/>
    <row r="1042961" customFormat="1" x14ac:dyDescent="0.15"/>
    <row r="1042962" customFormat="1" x14ac:dyDescent="0.15"/>
    <row r="1042963" customFormat="1" x14ac:dyDescent="0.15"/>
    <row r="1042964" customFormat="1" x14ac:dyDescent="0.15"/>
    <row r="1042965" customFormat="1" x14ac:dyDescent="0.15"/>
    <row r="1042966" customFormat="1" x14ac:dyDescent="0.15"/>
    <row r="1042967" customFormat="1" x14ac:dyDescent="0.15"/>
    <row r="1042968" customFormat="1" x14ac:dyDescent="0.15"/>
    <row r="1042969" customFormat="1" x14ac:dyDescent="0.15"/>
    <row r="1042970" customFormat="1" x14ac:dyDescent="0.15"/>
    <row r="1042971" customFormat="1" x14ac:dyDescent="0.15"/>
    <row r="1042972" customFormat="1" x14ac:dyDescent="0.15"/>
    <row r="1042973" customFormat="1" x14ac:dyDescent="0.15"/>
    <row r="1042974" customFormat="1" x14ac:dyDescent="0.15"/>
    <row r="1042975" customFormat="1" x14ac:dyDescent="0.15"/>
    <row r="1042976" customFormat="1" x14ac:dyDescent="0.15"/>
    <row r="1042977" customFormat="1" x14ac:dyDescent="0.15"/>
    <row r="1042978" customFormat="1" x14ac:dyDescent="0.15"/>
    <row r="1042979" customFormat="1" x14ac:dyDescent="0.15"/>
    <row r="1042980" customFormat="1" x14ac:dyDescent="0.15"/>
    <row r="1042981" customFormat="1" x14ac:dyDescent="0.15"/>
    <row r="1042982" customFormat="1" x14ac:dyDescent="0.15"/>
    <row r="1042983" customFormat="1" x14ac:dyDescent="0.15"/>
    <row r="1042984" customFormat="1" x14ac:dyDescent="0.15"/>
    <row r="1042985" customFormat="1" x14ac:dyDescent="0.15"/>
    <row r="1042986" customFormat="1" x14ac:dyDescent="0.15"/>
    <row r="1042987" customFormat="1" x14ac:dyDescent="0.15"/>
    <row r="1042988" customFormat="1" x14ac:dyDescent="0.15"/>
    <row r="1042989" customFormat="1" x14ac:dyDescent="0.15"/>
    <row r="1042990" customFormat="1" x14ac:dyDescent="0.15"/>
    <row r="1042991" customFormat="1" x14ac:dyDescent="0.15"/>
    <row r="1042992" customFormat="1" x14ac:dyDescent="0.15"/>
    <row r="1042993" customFormat="1" x14ac:dyDescent="0.15"/>
    <row r="1042994" customFormat="1" x14ac:dyDescent="0.15"/>
    <row r="1042995" customFormat="1" x14ac:dyDescent="0.15"/>
    <row r="1042996" customFormat="1" x14ac:dyDescent="0.15"/>
    <row r="1042997" customFormat="1" x14ac:dyDescent="0.15"/>
    <row r="1042998" customFormat="1" x14ac:dyDescent="0.15"/>
    <row r="1042999" customFormat="1" x14ac:dyDescent="0.15"/>
    <row r="1043000" customFormat="1" x14ac:dyDescent="0.15"/>
    <row r="1043001" customFormat="1" x14ac:dyDescent="0.15"/>
    <row r="1043002" customFormat="1" x14ac:dyDescent="0.15"/>
    <row r="1043003" customFormat="1" x14ac:dyDescent="0.15"/>
    <row r="1043004" customFormat="1" x14ac:dyDescent="0.15"/>
    <row r="1043005" customFormat="1" x14ac:dyDescent="0.15"/>
    <row r="1043006" customFormat="1" x14ac:dyDescent="0.15"/>
    <row r="1043007" customFormat="1" x14ac:dyDescent="0.15"/>
    <row r="1043008" customFormat="1" x14ac:dyDescent="0.15"/>
    <row r="1043009" customFormat="1" x14ac:dyDescent="0.15"/>
    <row r="1043010" customFormat="1" x14ac:dyDescent="0.15"/>
    <row r="1043011" customFormat="1" x14ac:dyDescent="0.15"/>
    <row r="1043012" customFormat="1" x14ac:dyDescent="0.15"/>
    <row r="1043013" customFormat="1" x14ac:dyDescent="0.15"/>
    <row r="1043014" customFormat="1" x14ac:dyDescent="0.15"/>
    <row r="1043015" customFormat="1" x14ac:dyDescent="0.15"/>
    <row r="1043016" customFormat="1" x14ac:dyDescent="0.15"/>
    <row r="1043017" customFormat="1" x14ac:dyDescent="0.15"/>
    <row r="1043018" customFormat="1" x14ac:dyDescent="0.15"/>
    <row r="1043019" customFormat="1" x14ac:dyDescent="0.15"/>
    <row r="1043020" customFormat="1" x14ac:dyDescent="0.15"/>
    <row r="1043021" customFormat="1" x14ac:dyDescent="0.15"/>
    <row r="1043022" customFormat="1" x14ac:dyDescent="0.15"/>
    <row r="1043023" customFormat="1" x14ac:dyDescent="0.15"/>
    <row r="1043024" customFormat="1" x14ac:dyDescent="0.15"/>
    <row r="1043025" customFormat="1" x14ac:dyDescent="0.15"/>
    <row r="1043026" customFormat="1" x14ac:dyDescent="0.15"/>
    <row r="1043027" customFormat="1" x14ac:dyDescent="0.15"/>
    <row r="1043028" customFormat="1" x14ac:dyDescent="0.15"/>
    <row r="1043029" customFormat="1" x14ac:dyDescent="0.15"/>
    <row r="1043030" customFormat="1" x14ac:dyDescent="0.15"/>
    <row r="1043031" customFormat="1" x14ac:dyDescent="0.15"/>
    <row r="1043032" customFormat="1" x14ac:dyDescent="0.15"/>
    <row r="1043033" customFormat="1" x14ac:dyDescent="0.15"/>
    <row r="1043034" customFormat="1" x14ac:dyDescent="0.15"/>
    <row r="1043035" customFormat="1" x14ac:dyDescent="0.15"/>
    <row r="1043036" customFormat="1" x14ac:dyDescent="0.15"/>
    <row r="1043037" customFormat="1" x14ac:dyDescent="0.15"/>
    <row r="1043038" customFormat="1" x14ac:dyDescent="0.15"/>
    <row r="1043039" customFormat="1" x14ac:dyDescent="0.15"/>
    <row r="1043040" customFormat="1" x14ac:dyDescent="0.15"/>
    <row r="1043041" customFormat="1" x14ac:dyDescent="0.15"/>
    <row r="1043042" customFormat="1" x14ac:dyDescent="0.15"/>
    <row r="1043043" customFormat="1" x14ac:dyDescent="0.15"/>
    <row r="1043044" customFormat="1" x14ac:dyDescent="0.15"/>
    <row r="1043045" customFormat="1" x14ac:dyDescent="0.15"/>
    <row r="1043046" customFormat="1" x14ac:dyDescent="0.15"/>
    <row r="1043047" customFormat="1" x14ac:dyDescent="0.15"/>
    <row r="1043048" customFormat="1" x14ac:dyDescent="0.15"/>
    <row r="1043049" customFormat="1" x14ac:dyDescent="0.15"/>
    <row r="1043050" customFormat="1" x14ac:dyDescent="0.15"/>
    <row r="1043051" customFormat="1" x14ac:dyDescent="0.15"/>
    <row r="1043052" customFormat="1" x14ac:dyDescent="0.15"/>
    <row r="1043053" customFormat="1" x14ac:dyDescent="0.15"/>
    <row r="1043054" customFormat="1" x14ac:dyDescent="0.15"/>
    <row r="1043055" customFormat="1" x14ac:dyDescent="0.15"/>
    <row r="1043056" customFormat="1" x14ac:dyDescent="0.15"/>
    <row r="1043057" customFormat="1" x14ac:dyDescent="0.15"/>
    <row r="1043058" customFormat="1" x14ac:dyDescent="0.15"/>
    <row r="1043059" customFormat="1" x14ac:dyDescent="0.15"/>
    <row r="1043060" customFormat="1" x14ac:dyDescent="0.15"/>
    <row r="1043061" customFormat="1" x14ac:dyDescent="0.15"/>
    <row r="1043062" customFormat="1" x14ac:dyDescent="0.15"/>
    <row r="1043063" customFormat="1" x14ac:dyDescent="0.15"/>
    <row r="1043064" customFormat="1" x14ac:dyDescent="0.15"/>
    <row r="1043065" customFormat="1" x14ac:dyDescent="0.15"/>
    <row r="1043066" customFormat="1" x14ac:dyDescent="0.15"/>
    <row r="1043067" customFormat="1" x14ac:dyDescent="0.15"/>
    <row r="1043068" customFormat="1" x14ac:dyDescent="0.15"/>
    <row r="1043069" customFormat="1" x14ac:dyDescent="0.15"/>
    <row r="1043070" customFormat="1" x14ac:dyDescent="0.15"/>
    <row r="1043071" customFormat="1" x14ac:dyDescent="0.15"/>
    <row r="1043072" customFormat="1" x14ac:dyDescent="0.15"/>
    <row r="1043073" customFormat="1" x14ac:dyDescent="0.15"/>
    <row r="1043074" customFormat="1" x14ac:dyDescent="0.15"/>
    <row r="1043075" customFormat="1" x14ac:dyDescent="0.15"/>
    <row r="1043076" customFormat="1" x14ac:dyDescent="0.15"/>
    <row r="1043077" customFormat="1" x14ac:dyDescent="0.15"/>
    <row r="1043078" customFormat="1" x14ac:dyDescent="0.15"/>
    <row r="1043079" customFormat="1" x14ac:dyDescent="0.15"/>
    <row r="1043080" customFormat="1" x14ac:dyDescent="0.15"/>
    <row r="1043081" customFormat="1" x14ac:dyDescent="0.15"/>
    <row r="1043082" customFormat="1" x14ac:dyDescent="0.15"/>
    <row r="1043083" customFormat="1" x14ac:dyDescent="0.15"/>
    <row r="1043084" customFormat="1" x14ac:dyDescent="0.15"/>
    <row r="1043085" customFormat="1" x14ac:dyDescent="0.15"/>
    <row r="1043086" customFormat="1" x14ac:dyDescent="0.15"/>
    <row r="1043087" customFormat="1" x14ac:dyDescent="0.15"/>
    <row r="1043088" customFormat="1" x14ac:dyDescent="0.15"/>
    <row r="1043089" customFormat="1" x14ac:dyDescent="0.15"/>
    <row r="1043090" customFormat="1" x14ac:dyDescent="0.15"/>
    <row r="1043091" customFormat="1" x14ac:dyDescent="0.15"/>
    <row r="1043092" customFormat="1" x14ac:dyDescent="0.15"/>
    <row r="1043093" customFormat="1" x14ac:dyDescent="0.15"/>
    <row r="1043094" customFormat="1" x14ac:dyDescent="0.15"/>
    <row r="1043095" customFormat="1" x14ac:dyDescent="0.15"/>
    <row r="1043096" customFormat="1" x14ac:dyDescent="0.15"/>
    <row r="1043097" customFormat="1" x14ac:dyDescent="0.15"/>
    <row r="1043098" customFormat="1" x14ac:dyDescent="0.15"/>
    <row r="1043099" customFormat="1" x14ac:dyDescent="0.15"/>
    <row r="1043100" customFormat="1" x14ac:dyDescent="0.15"/>
    <row r="1043101" customFormat="1" x14ac:dyDescent="0.15"/>
    <row r="1043102" customFormat="1" x14ac:dyDescent="0.15"/>
    <row r="1043103" customFormat="1" x14ac:dyDescent="0.15"/>
    <row r="1043104" customFormat="1" x14ac:dyDescent="0.15"/>
    <row r="1043105" customFormat="1" x14ac:dyDescent="0.15"/>
    <row r="1043106" customFormat="1" x14ac:dyDescent="0.15"/>
    <row r="1043107" customFormat="1" x14ac:dyDescent="0.15"/>
    <row r="1043108" customFormat="1" x14ac:dyDescent="0.15"/>
    <row r="1043109" customFormat="1" x14ac:dyDescent="0.15"/>
    <row r="1043110" customFormat="1" x14ac:dyDescent="0.15"/>
    <row r="1043111" customFormat="1" x14ac:dyDescent="0.15"/>
    <row r="1043112" customFormat="1" x14ac:dyDescent="0.15"/>
    <row r="1043113" customFormat="1" x14ac:dyDescent="0.15"/>
    <row r="1043114" customFormat="1" x14ac:dyDescent="0.15"/>
    <row r="1043115" customFormat="1" x14ac:dyDescent="0.15"/>
    <row r="1043116" customFormat="1" x14ac:dyDescent="0.15"/>
    <row r="1043117" customFormat="1" x14ac:dyDescent="0.15"/>
    <row r="1043118" customFormat="1" x14ac:dyDescent="0.15"/>
    <row r="1043119" customFormat="1" x14ac:dyDescent="0.15"/>
    <row r="1043120" customFormat="1" x14ac:dyDescent="0.15"/>
    <row r="1043121" customFormat="1" x14ac:dyDescent="0.15"/>
    <row r="1043122" customFormat="1" x14ac:dyDescent="0.15"/>
    <row r="1043123" customFormat="1" x14ac:dyDescent="0.15"/>
    <row r="1043124" customFormat="1" x14ac:dyDescent="0.15"/>
    <row r="1043125" customFormat="1" x14ac:dyDescent="0.15"/>
    <row r="1043126" customFormat="1" x14ac:dyDescent="0.15"/>
    <row r="1043127" customFormat="1" x14ac:dyDescent="0.15"/>
    <row r="1043128" customFormat="1" x14ac:dyDescent="0.15"/>
    <row r="1043129" customFormat="1" x14ac:dyDescent="0.15"/>
    <row r="1043130" customFormat="1" x14ac:dyDescent="0.15"/>
    <row r="1043131" customFormat="1" x14ac:dyDescent="0.15"/>
    <row r="1043132" customFormat="1" x14ac:dyDescent="0.15"/>
    <row r="1043133" customFormat="1" x14ac:dyDescent="0.15"/>
    <row r="1043134" customFormat="1" x14ac:dyDescent="0.15"/>
    <row r="1043135" customFormat="1" x14ac:dyDescent="0.15"/>
    <row r="1043136" customFormat="1" x14ac:dyDescent="0.15"/>
    <row r="1043137" customFormat="1" x14ac:dyDescent="0.15"/>
    <row r="1043138" customFormat="1" x14ac:dyDescent="0.15"/>
    <row r="1043139" customFormat="1" x14ac:dyDescent="0.15"/>
    <row r="1043140" customFormat="1" x14ac:dyDescent="0.15"/>
    <row r="1043141" customFormat="1" x14ac:dyDescent="0.15"/>
    <row r="1043142" customFormat="1" x14ac:dyDescent="0.15"/>
    <row r="1043143" customFormat="1" x14ac:dyDescent="0.15"/>
    <row r="1043144" customFormat="1" x14ac:dyDescent="0.15"/>
    <row r="1043145" customFormat="1" x14ac:dyDescent="0.15"/>
    <row r="1043146" customFormat="1" x14ac:dyDescent="0.15"/>
    <row r="1043147" customFormat="1" x14ac:dyDescent="0.15"/>
    <row r="1043148" customFormat="1" x14ac:dyDescent="0.15"/>
    <row r="1043149" customFormat="1" x14ac:dyDescent="0.15"/>
    <row r="1043150" customFormat="1" x14ac:dyDescent="0.15"/>
    <row r="1043151" customFormat="1" x14ac:dyDescent="0.15"/>
    <row r="1043152" customFormat="1" x14ac:dyDescent="0.15"/>
    <row r="1043153" customFormat="1" x14ac:dyDescent="0.15"/>
    <row r="1043154" customFormat="1" x14ac:dyDescent="0.15"/>
    <row r="1043155" customFormat="1" x14ac:dyDescent="0.15"/>
    <row r="1043156" customFormat="1" x14ac:dyDescent="0.15"/>
    <row r="1043157" customFormat="1" x14ac:dyDescent="0.15"/>
    <row r="1043158" customFormat="1" x14ac:dyDescent="0.15"/>
    <row r="1043159" customFormat="1" x14ac:dyDescent="0.15"/>
    <row r="1043160" customFormat="1" x14ac:dyDescent="0.15"/>
    <row r="1043161" customFormat="1" x14ac:dyDescent="0.15"/>
    <row r="1043162" customFormat="1" x14ac:dyDescent="0.15"/>
    <row r="1043163" customFormat="1" x14ac:dyDescent="0.15"/>
    <row r="1043164" customFormat="1" x14ac:dyDescent="0.15"/>
    <row r="1043165" customFormat="1" x14ac:dyDescent="0.15"/>
    <row r="1043166" customFormat="1" x14ac:dyDescent="0.15"/>
    <row r="1043167" customFormat="1" x14ac:dyDescent="0.15"/>
    <row r="1043168" customFormat="1" x14ac:dyDescent="0.15"/>
    <row r="1043169" customFormat="1" x14ac:dyDescent="0.15"/>
    <row r="1043170" customFormat="1" x14ac:dyDescent="0.15"/>
    <row r="1043171" customFormat="1" x14ac:dyDescent="0.15"/>
    <row r="1043172" customFormat="1" x14ac:dyDescent="0.15"/>
    <row r="1043173" customFormat="1" x14ac:dyDescent="0.15"/>
    <row r="1043174" customFormat="1" x14ac:dyDescent="0.15"/>
    <row r="1043175" customFormat="1" x14ac:dyDescent="0.15"/>
    <row r="1043176" customFormat="1" x14ac:dyDescent="0.15"/>
    <row r="1043177" customFormat="1" x14ac:dyDescent="0.15"/>
    <row r="1043178" customFormat="1" x14ac:dyDescent="0.15"/>
    <row r="1043179" customFormat="1" x14ac:dyDescent="0.15"/>
    <row r="1043180" customFormat="1" x14ac:dyDescent="0.15"/>
    <row r="1043181" customFormat="1" x14ac:dyDescent="0.15"/>
    <row r="1043182" customFormat="1" x14ac:dyDescent="0.15"/>
    <row r="1043183" customFormat="1" x14ac:dyDescent="0.15"/>
    <row r="1043184" customFormat="1" x14ac:dyDescent="0.15"/>
    <row r="1043185" customFormat="1" x14ac:dyDescent="0.15"/>
    <row r="1043186" customFormat="1" x14ac:dyDescent="0.15"/>
    <row r="1043187" customFormat="1" x14ac:dyDescent="0.15"/>
    <row r="1043188" customFormat="1" x14ac:dyDescent="0.15"/>
    <row r="1043189" customFormat="1" x14ac:dyDescent="0.15"/>
    <row r="1043190" customFormat="1" x14ac:dyDescent="0.15"/>
    <row r="1043191" customFormat="1" x14ac:dyDescent="0.15"/>
    <row r="1043192" customFormat="1" x14ac:dyDescent="0.15"/>
    <row r="1043193" customFormat="1" x14ac:dyDescent="0.15"/>
    <row r="1043194" customFormat="1" x14ac:dyDescent="0.15"/>
    <row r="1043195" customFormat="1" x14ac:dyDescent="0.15"/>
    <row r="1043196" customFormat="1" x14ac:dyDescent="0.15"/>
    <row r="1043197" customFormat="1" x14ac:dyDescent="0.15"/>
    <row r="1043198" customFormat="1" x14ac:dyDescent="0.15"/>
    <row r="1043199" customFormat="1" x14ac:dyDescent="0.15"/>
    <row r="1043200" customFormat="1" x14ac:dyDescent="0.15"/>
    <row r="1043201" customFormat="1" x14ac:dyDescent="0.15"/>
    <row r="1043202" customFormat="1" x14ac:dyDescent="0.15"/>
    <row r="1043203" customFormat="1" x14ac:dyDescent="0.15"/>
    <row r="1043204" customFormat="1" x14ac:dyDescent="0.15"/>
    <row r="1043205" customFormat="1" x14ac:dyDescent="0.15"/>
    <row r="1043206" customFormat="1" x14ac:dyDescent="0.15"/>
    <row r="1043207" customFormat="1" x14ac:dyDescent="0.15"/>
    <row r="1043208" customFormat="1" x14ac:dyDescent="0.15"/>
    <row r="1043209" customFormat="1" x14ac:dyDescent="0.15"/>
    <row r="1043210" customFormat="1" x14ac:dyDescent="0.15"/>
    <row r="1043211" customFormat="1" x14ac:dyDescent="0.15"/>
    <row r="1043212" customFormat="1" x14ac:dyDescent="0.15"/>
    <row r="1043213" customFormat="1" x14ac:dyDescent="0.15"/>
    <row r="1043214" customFormat="1" x14ac:dyDescent="0.15"/>
    <row r="1043215" customFormat="1" x14ac:dyDescent="0.15"/>
    <row r="1043216" customFormat="1" x14ac:dyDescent="0.15"/>
    <row r="1043217" customFormat="1" x14ac:dyDescent="0.15"/>
    <row r="1043218" customFormat="1" x14ac:dyDescent="0.15"/>
    <row r="1043219" customFormat="1" x14ac:dyDescent="0.15"/>
    <row r="1043220" customFormat="1" x14ac:dyDescent="0.15"/>
    <row r="1043221" customFormat="1" x14ac:dyDescent="0.15"/>
    <row r="1043222" customFormat="1" x14ac:dyDescent="0.15"/>
    <row r="1043223" customFormat="1" x14ac:dyDescent="0.15"/>
    <row r="1043224" customFormat="1" x14ac:dyDescent="0.15"/>
    <row r="1043225" customFormat="1" x14ac:dyDescent="0.15"/>
    <row r="1043226" customFormat="1" x14ac:dyDescent="0.15"/>
    <row r="1043227" customFormat="1" x14ac:dyDescent="0.15"/>
    <row r="1043228" customFormat="1" x14ac:dyDescent="0.15"/>
    <row r="1043229" customFormat="1" x14ac:dyDescent="0.15"/>
    <row r="1043230" customFormat="1" x14ac:dyDescent="0.15"/>
    <row r="1043231" customFormat="1" x14ac:dyDescent="0.15"/>
    <row r="1043232" customFormat="1" x14ac:dyDescent="0.15"/>
    <row r="1043233" customFormat="1" x14ac:dyDescent="0.15"/>
    <row r="1043234" customFormat="1" x14ac:dyDescent="0.15"/>
    <row r="1043235" customFormat="1" x14ac:dyDescent="0.15"/>
    <row r="1043236" customFormat="1" x14ac:dyDescent="0.15"/>
    <row r="1043237" customFormat="1" x14ac:dyDescent="0.15"/>
    <row r="1043238" customFormat="1" x14ac:dyDescent="0.15"/>
    <row r="1043239" customFormat="1" x14ac:dyDescent="0.15"/>
    <row r="1043240" customFormat="1" x14ac:dyDescent="0.15"/>
    <row r="1043241" customFormat="1" x14ac:dyDescent="0.15"/>
    <row r="1043242" customFormat="1" x14ac:dyDescent="0.15"/>
    <row r="1043243" customFormat="1" x14ac:dyDescent="0.15"/>
    <row r="1043244" customFormat="1" x14ac:dyDescent="0.15"/>
    <row r="1043245" customFormat="1" x14ac:dyDescent="0.15"/>
    <row r="1043246" customFormat="1" x14ac:dyDescent="0.15"/>
    <row r="1043247" customFormat="1" x14ac:dyDescent="0.15"/>
    <row r="1043248" customFormat="1" x14ac:dyDescent="0.15"/>
    <row r="1043249" customFormat="1" x14ac:dyDescent="0.15"/>
    <row r="1043250" customFormat="1" x14ac:dyDescent="0.15"/>
    <row r="1043251" customFormat="1" x14ac:dyDescent="0.15"/>
    <row r="1043252" customFormat="1" x14ac:dyDescent="0.15"/>
    <row r="1043253" customFormat="1" x14ac:dyDescent="0.15"/>
    <row r="1043254" customFormat="1" x14ac:dyDescent="0.15"/>
    <row r="1043255" customFormat="1" x14ac:dyDescent="0.15"/>
    <row r="1043256" customFormat="1" x14ac:dyDescent="0.15"/>
    <row r="1043257" customFormat="1" x14ac:dyDescent="0.15"/>
    <row r="1043258" customFormat="1" x14ac:dyDescent="0.15"/>
    <row r="1043259" customFormat="1" x14ac:dyDescent="0.15"/>
    <row r="1043260" customFormat="1" x14ac:dyDescent="0.15"/>
    <row r="1043261" customFormat="1" x14ac:dyDescent="0.15"/>
    <row r="1043262" customFormat="1" x14ac:dyDescent="0.15"/>
    <row r="1043263" customFormat="1" x14ac:dyDescent="0.15"/>
    <row r="1043264" customFormat="1" x14ac:dyDescent="0.15"/>
    <row r="1043265" customFormat="1" x14ac:dyDescent="0.15"/>
    <row r="1043266" customFormat="1" x14ac:dyDescent="0.15"/>
    <row r="1043267" customFormat="1" x14ac:dyDescent="0.15"/>
    <row r="1043268" customFormat="1" x14ac:dyDescent="0.15"/>
    <row r="1043269" customFormat="1" x14ac:dyDescent="0.15"/>
    <row r="1043270" customFormat="1" x14ac:dyDescent="0.15"/>
    <row r="1043271" customFormat="1" x14ac:dyDescent="0.15"/>
    <row r="1043272" customFormat="1" x14ac:dyDescent="0.15"/>
    <row r="1043273" customFormat="1" x14ac:dyDescent="0.15"/>
    <row r="1043274" customFormat="1" x14ac:dyDescent="0.15"/>
    <row r="1043275" customFormat="1" x14ac:dyDescent="0.15"/>
    <row r="1043276" customFormat="1" x14ac:dyDescent="0.15"/>
    <row r="1043277" customFormat="1" x14ac:dyDescent="0.15"/>
    <row r="1043278" customFormat="1" x14ac:dyDescent="0.15"/>
    <row r="1043279" customFormat="1" x14ac:dyDescent="0.15"/>
    <row r="1043280" customFormat="1" x14ac:dyDescent="0.15"/>
    <row r="1043281" customFormat="1" x14ac:dyDescent="0.15"/>
    <row r="1043282" customFormat="1" x14ac:dyDescent="0.15"/>
    <row r="1043283" customFormat="1" x14ac:dyDescent="0.15"/>
    <row r="1043284" customFormat="1" x14ac:dyDescent="0.15"/>
    <row r="1043285" customFormat="1" x14ac:dyDescent="0.15"/>
    <row r="1043286" customFormat="1" x14ac:dyDescent="0.15"/>
    <row r="1043287" customFormat="1" x14ac:dyDescent="0.15"/>
    <row r="1043288" customFormat="1" x14ac:dyDescent="0.15"/>
    <row r="1043289" customFormat="1" x14ac:dyDescent="0.15"/>
    <row r="1043290" customFormat="1" x14ac:dyDescent="0.15"/>
    <row r="1043291" customFormat="1" x14ac:dyDescent="0.15"/>
    <row r="1043292" customFormat="1" x14ac:dyDescent="0.15"/>
    <row r="1043293" customFormat="1" x14ac:dyDescent="0.15"/>
    <row r="1043294" customFormat="1" x14ac:dyDescent="0.15"/>
    <row r="1043295" customFormat="1" x14ac:dyDescent="0.15"/>
    <row r="1043296" customFormat="1" x14ac:dyDescent="0.15"/>
    <row r="1043297" customFormat="1" x14ac:dyDescent="0.15"/>
    <row r="1043298" customFormat="1" x14ac:dyDescent="0.15"/>
    <row r="1043299" customFormat="1" x14ac:dyDescent="0.15"/>
    <row r="1043300" customFormat="1" x14ac:dyDescent="0.15"/>
    <row r="1043301" customFormat="1" x14ac:dyDescent="0.15"/>
    <row r="1043302" customFormat="1" x14ac:dyDescent="0.15"/>
    <row r="1043303" customFormat="1" x14ac:dyDescent="0.15"/>
    <row r="1043304" customFormat="1" x14ac:dyDescent="0.15"/>
    <row r="1043305" customFormat="1" x14ac:dyDescent="0.15"/>
    <row r="1043306" customFormat="1" x14ac:dyDescent="0.15"/>
    <row r="1043307" customFormat="1" x14ac:dyDescent="0.15"/>
    <row r="1043308" customFormat="1" x14ac:dyDescent="0.15"/>
    <row r="1043309" customFormat="1" x14ac:dyDescent="0.15"/>
    <row r="1043310" customFormat="1" x14ac:dyDescent="0.15"/>
    <row r="1043311" customFormat="1" x14ac:dyDescent="0.15"/>
    <row r="1043312" customFormat="1" x14ac:dyDescent="0.15"/>
    <row r="1043313" customFormat="1" x14ac:dyDescent="0.15"/>
    <row r="1043314" customFormat="1" x14ac:dyDescent="0.15"/>
    <row r="1043315" customFormat="1" x14ac:dyDescent="0.15"/>
    <row r="1043316" customFormat="1" x14ac:dyDescent="0.15"/>
    <row r="1043317" customFormat="1" x14ac:dyDescent="0.15"/>
    <row r="1043318" customFormat="1" x14ac:dyDescent="0.15"/>
    <row r="1043319" customFormat="1" x14ac:dyDescent="0.15"/>
    <row r="1043320" customFormat="1" x14ac:dyDescent="0.15"/>
    <row r="1043321" customFormat="1" x14ac:dyDescent="0.15"/>
    <row r="1043322" customFormat="1" x14ac:dyDescent="0.15"/>
    <row r="1043323" customFormat="1" x14ac:dyDescent="0.15"/>
    <row r="1043324" customFormat="1" x14ac:dyDescent="0.15"/>
    <row r="1043325" customFormat="1" x14ac:dyDescent="0.15"/>
    <row r="1043326" customFormat="1" x14ac:dyDescent="0.15"/>
    <row r="1043327" customFormat="1" x14ac:dyDescent="0.15"/>
    <row r="1043328" customFormat="1" x14ac:dyDescent="0.15"/>
    <row r="1043329" customFormat="1" x14ac:dyDescent="0.15"/>
    <row r="1043330" customFormat="1" x14ac:dyDescent="0.15"/>
    <row r="1043331" customFormat="1" x14ac:dyDescent="0.15"/>
    <row r="1043332" customFormat="1" x14ac:dyDescent="0.15"/>
    <row r="1043333" customFormat="1" x14ac:dyDescent="0.15"/>
    <row r="1043334" customFormat="1" x14ac:dyDescent="0.15"/>
    <row r="1043335" customFormat="1" x14ac:dyDescent="0.15"/>
    <row r="1043336" customFormat="1" x14ac:dyDescent="0.15"/>
    <row r="1043337" customFormat="1" x14ac:dyDescent="0.15"/>
    <row r="1043338" customFormat="1" x14ac:dyDescent="0.15"/>
    <row r="1043339" customFormat="1" x14ac:dyDescent="0.15"/>
    <row r="1043340" customFormat="1" x14ac:dyDescent="0.15"/>
    <row r="1043341" customFormat="1" x14ac:dyDescent="0.15"/>
    <row r="1043342" customFormat="1" x14ac:dyDescent="0.15"/>
    <row r="1043343" customFormat="1" x14ac:dyDescent="0.15"/>
    <row r="1043344" customFormat="1" x14ac:dyDescent="0.15"/>
    <row r="1043345" customFormat="1" x14ac:dyDescent="0.15"/>
    <row r="1043346" customFormat="1" x14ac:dyDescent="0.15"/>
    <row r="1043347" customFormat="1" x14ac:dyDescent="0.15"/>
    <row r="1043348" customFormat="1" x14ac:dyDescent="0.15"/>
    <row r="1043349" customFormat="1" x14ac:dyDescent="0.15"/>
    <row r="1043350" customFormat="1" x14ac:dyDescent="0.15"/>
    <row r="1043351" customFormat="1" x14ac:dyDescent="0.15"/>
    <row r="1043352" customFormat="1" x14ac:dyDescent="0.15"/>
    <row r="1043353" customFormat="1" x14ac:dyDescent="0.15"/>
    <row r="1043354" customFormat="1" x14ac:dyDescent="0.15"/>
    <row r="1043355" customFormat="1" x14ac:dyDescent="0.15"/>
    <row r="1043356" customFormat="1" x14ac:dyDescent="0.15"/>
    <row r="1043357" customFormat="1" x14ac:dyDescent="0.15"/>
    <row r="1043358" customFormat="1" x14ac:dyDescent="0.15"/>
    <row r="1043359" customFormat="1" x14ac:dyDescent="0.15"/>
    <row r="1043360" customFormat="1" x14ac:dyDescent="0.15"/>
    <row r="1043361" customFormat="1" x14ac:dyDescent="0.15"/>
    <row r="1043362" customFormat="1" x14ac:dyDescent="0.15"/>
    <row r="1043363" customFormat="1" x14ac:dyDescent="0.15"/>
    <row r="1043364" customFormat="1" x14ac:dyDescent="0.15"/>
    <row r="1043365" customFormat="1" x14ac:dyDescent="0.15"/>
    <row r="1043366" customFormat="1" x14ac:dyDescent="0.15"/>
    <row r="1043367" customFormat="1" x14ac:dyDescent="0.15"/>
    <row r="1043368" customFormat="1" x14ac:dyDescent="0.15"/>
    <row r="1043369" customFormat="1" x14ac:dyDescent="0.15"/>
    <row r="1043370" customFormat="1" x14ac:dyDescent="0.15"/>
    <row r="1043371" customFormat="1" x14ac:dyDescent="0.15"/>
    <row r="1043372" customFormat="1" x14ac:dyDescent="0.15"/>
    <row r="1043373" customFormat="1" x14ac:dyDescent="0.15"/>
    <row r="1043374" customFormat="1" x14ac:dyDescent="0.15"/>
    <row r="1043375" customFormat="1" x14ac:dyDescent="0.15"/>
    <row r="1043376" customFormat="1" x14ac:dyDescent="0.15"/>
    <row r="1043377" customFormat="1" x14ac:dyDescent="0.15"/>
    <row r="1043378" customFormat="1" x14ac:dyDescent="0.15"/>
    <row r="1043379" customFormat="1" x14ac:dyDescent="0.15"/>
    <row r="1043380" customFormat="1" x14ac:dyDescent="0.15"/>
    <row r="1043381" customFormat="1" x14ac:dyDescent="0.15"/>
    <row r="1043382" customFormat="1" x14ac:dyDescent="0.15"/>
    <row r="1043383" customFormat="1" x14ac:dyDescent="0.15"/>
    <row r="1043384" customFormat="1" x14ac:dyDescent="0.15"/>
    <row r="1043385" customFormat="1" x14ac:dyDescent="0.15"/>
    <row r="1043386" customFormat="1" x14ac:dyDescent="0.15"/>
    <row r="1043387" customFormat="1" x14ac:dyDescent="0.15"/>
    <row r="1043388" customFormat="1" x14ac:dyDescent="0.15"/>
    <row r="1043389" customFormat="1" x14ac:dyDescent="0.15"/>
    <row r="1043390" customFormat="1" x14ac:dyDescent="0.15"/>
    <row r="1043391" customFormat="1" x14ac:dyDescent="0.15"/>
    <row r="1043392" customFormat="1" x14ac:dyDescent="0.15"/>
    <row r="1043393" customFormat="1" x14ac:dyDescent="0.15"/>
    <row r="1043394" customFormat="1" x14ac:dyDescent="0.15"/>
    <row r="1043395" customFormat="1" x14ac:dyDescent="0.15"/>
    <row r="1043396" customFormat="1" x14ac:dyDescent="0.15"/>
    <row r="1043397" customFormat="1" x14ac:dyDescent="0.15"/>
    <row r="1043398" customFormat="1" x14ac:dyDescent="0.15"/>
    <row r="1043399" customFormat="1" x14ac:dyDescent="0.15"/>
    <row r="1043400" customFormat="1" x14ac:dyDescent="0.15"/>
    <row r="1043401" customFormat="1" x14ac:dyDescent="0.15"/>
    <row r="1043402" customFormat="1" x14ac:dyDescent="0.15"/>
    <row r="1043403" customFormat="1" x14ac:dyDescent="0.15"/>
    <row r="1043404" customFormat="1" x14ac:dyDescent="0.15"/>
    <row r="1043405" customFormat="1" x14ac:dyDescent="0.15"/>
    <row r="1043406" customFormat="1" x14ac:dyDescent="0.15"/>
    <row r="1043407" customFormat="1" x14ac:dyDescent="0.15"/>
    <row r="1043408" customFormat="1" x14ac:dyDescent="0.15"/>
    <row r="1043409" customFormat="1" x14ac:dyDescent="0.15"/>
    <row r="1043410" customFormat="1" x14ac:dyDescent="0.15"/>
    <row r="1043411" customFormat="1" x14ac:dyDescent="0.15"/>
    <row r="1043412" customFormat="1" x14ac:dyDescent="0.15"/>
    <row r="1043413" customFormat="1" x14ac:dyDescent="0.15"/>
    <row r="1043414" customFormat="1" x14ac:dyDescent="0.15"/>
    <row r="1043415" customFormat="1" x14ac:dyDescent="0.15"/>
    <row r="1043416" customFormat="1" x14ac:dyDescent="0.15"/>
    <row r="1043417" customFormat="1" x14ac:dyDescent="0.15"/>
    <row r="1043418" customFormat="1" x14ac:dyDescent="0.15"/>
    <row r="1043419" customFormat="1" x14ac:dyDescent="0.15"/>
    <row r="1043420" customFormat="1" x14ac:dyDescent="0.15"/>
    <row r="1043421" customFormat="1" x14ac:dyDescent="0.15"/>
    <row r="1043422" customFormat="1" x14ac:dyDescent="0.15"/>
    <row r="1043423" customFormat="1" x14ac:dyDescent="0.15"/>
    <row r="1043424" customFormat="1" x14ac:dyDescent="0.15"/>
    <row r="1043425" customFormat="1" x14ac:dyDescent="0.15"/>
    <row r="1043426" customFormat="1" x14ac:dyDescent="0.15"/>
    <row r="1043427" customFormat="1" x14ac:dyDescent="0.15"/>
    <row r="1043428" customFormat="1" x14ac:dyDescent="0.15"/>
    <row r="1043429" customFormat="1" x14ac:dyDescent="0.15"/>
    <row r="1043430" customFormat="1" x14ac:dyDescent="0.15"/>
    <row r="1043431" customFormat="1" x14ac:dyDescent="0.15"/>
    <row r="1043432" customFormat="1" x14ac:dyDescent="0.15"/>
    <row r="1043433" customFormat="1" x14ac:dyDescent="0.15"/>
    <row r="1043434" customFormat="1" x14ac:dyDescent="0.15"/>
    <row r="1043435" customFormat="1" x14ac:dyDescent="0.15"/>
    <row r="1043436" customFormat="1" x14ac:dyDescent="0.15"/>
    <row r="1043437" customFormat="1" x14ac:dyDescent="0.15"/>
    <row r="1043438" customFormat="1" x14ac:dyDescent="0.15"/>
    <row r="1043439" customFormat="1" x14ac:dyDescent="0.15"/>
    <row r="1043440" customFormat="1" x14ac:dyDescent="0.15"/>
    <row r="1043441" customFormat="1" x14ac:dyDescent="0.15"/>
    <row r="1043442" customFormat="1" x14ac:dyDescent="0.15"/>
    <row r="1043443" customFormat="1" x14ac:dyDescent="0.15"/>
    <row r="1043444" customFormat="1" x14ac:dyDescent="0.15"/>
    <row r="1043445" customFormat="1" x14ac:dyDescent="0.15"/>
    <row r="1043446" customFormat="1" x14ac:dyDescent="0.15"/>
    <row r="1043447" customFormat="1" x14ac:dyDescent="0.15"/>
    <row r="1043448" customFormat="1" x14ac:dyDescent="0.15"/>
    <row r="1043449" customFormat="1" x14ac:dyDescent="0.15"/>
    <row r="1043450" customFormat="1" x14ac:dyDescent="0.15"/>
    <row r="1043451" customFormat="1" x14ac:dyDescent="0.15"/>
    <row r="1043452" customFormat="1" x14ac:dyDescent="0.15"/>
    <row r="1043453" customFormat="1" x14ac:dyDescent="0.15"/>
    <row r="1043454" customFormat="1" x14ac:dyDescent="0.15"/>
    <row r="1043455" customFormat="1" x14ac:dyDescent="0.15"/>
    <row r="1043456" customFormat="1" x14ac:dyDescent="0.15"/>
    <row r="1043457" customFormat="1" x14ac:dyDescent="0.15"/>
    <row r="1043458" customFormat="1" x14ac:dyDescent="0.15"/>
    <row r="1043459" customFormat="1" x14ac:dyDescent="0.15"/>
    <row r="1043460" customFormat="1" x14ac:dyDescent="0.15"/>
    <row r="1043461" customFormat="1" x14ac:dyDescent="0.15"/>
    <row r="1043462" customFormat="1" x14ac:dyDescent="0.15"/>
    <row r="1043463" customFormat="1" x14ac:dyDescent="0.15"/>
    <row r="1043464" customFormat="1" x14ac:dyDescent="0.15"/>
    <row r="1043465" customFormat="1" x14ac:dyDescent="0.15"/>
    <row r="1043466" customFormat="1" x14ac:dyDescent="0.15"/>
    <row r="1043467" customFormat="1" x14ac:dyDescent="0.15"/>
    <row r="1043468" customFormat="1" x14ac:dyDescent="0.15"/>
    <row r="1043469" customFormat="1" x14ac:dyDescent="0.15"/>
    <row r="1043470" customFormat="1" x14ac:dyDescent="0.15"/>
    <row r="1043471" customFormat="1" x14ac:dyDescent="0.15"/>
    <row r="1043472" customFormat="1" x14ac:dyDescent="0.15"/>
    <row r="1043473" customFormat="1" x14ac:dyDescent="0.15"/>
    <row r="1043474" customFormat="1" x14ac:dyDescent="0.15"/>
    <row r="1043475" customFormat="1" x14ac:dyDescent="0.15"/>
    <row r="1043476" customFormat="1" x14ac:dyDescent="0.15"/>
    <row r="1043477" customFormat="1" x14ac:dyDescent="0.15"/>
    <row r="1043478" customFormat="1" x14ac:dyDescent="0.15"/>
    <row r="1043479" customFormat="1" x14ac:dyDescent="0.15"/>
    <row r="1043480" customFormat="1" x14ac:dyDescent="0.15"/>
    <row r="1043481" customFormat="1" x14ac:dyDescent="0.15"/>
    <row r="1043482" customFormat="1" x14ac:dyDescent="0.15"/>
    <row r="1043483" customFormat="1" x14ac:dyDescent="0.15"/>
    <row r="1043484" customFormat="1" x14ac:dyDescent="0.15"/>
    <row r="1043485" customFormat="1" x14ac:dyDescent="0.15"/>
    <row r="1043486" customFormat="1" x14ac:dyDescent="0.15"/>
    <row r="1043487" customFormat="1" x14ac:dyDescent="0.15"/>
    <row r="1043488" customFormat="1" x14ac:dyDescent="0.15"/>
    <row r="1043489" customFormat="1" x14ac:dyDescent="0.15"/>
    <row r="1043490" customFormat="1" x14ac:dyDescent="0.15"/>
    <row r="1043491" customFormat="1" x14ac:dyDescent="0.15"/>
    <row r="1043492" customFormat="1" x14ac:dyDescent="0.15"/>
    <row r="1043493" customFormat="1" x14ac:dyDescent="0.15"/>
    <row r="1043494" customFormat="1" x14ac:dyDescent="0.15"/>
    <row r="1043495" customFormat="1" x14ac:dyDescent="0.15"/>
    <row r="1043496" customFormat="1" x14ac:dyDescent="0.15"/>
    <row r="1043497" customFormat="1" x14ac:dyDescent="0.15"/>
    <row r="1043498" customFormat="1" x14ac:dyDescent="0.15"/>
    <row r="1043499" customFormat="1" x14ac:dyDescent="0.15"/>
    <row r="1043500" customFormat="1" x14ac:dyDescent="0.15"/>
    <row r="1043501" customFormat="1" x14ac:dyDescent="0.15"/>
    <row r="1043502" customFormat="1" x14ac:dyDescent="0.15"/>
    <row r="1043503" customFormat="1" x14ac:dyDescent="0.15"/>
    <row r="1043504" customFormat="1" x14ac:dyDescent="0.15"/>
    <row r="1043505" customFormat="1" x14ac:dyDescent="0.15"/>
    <row r="1043506" customFormat="1" x14ac:dyDescent="0.15"/>
    <row r="1043507" customFormat="1" x14ac:dyDescent="0.15"/>
    <row r="1043508" customFormat="1" x14ac:dyDescent="0.15"/>
    <row r="1043509" customFormat="1" x14ac:dyDescent="0.15"/>
    <row r="1043510" customFormat="1" x14ac:dyDescent="0.15"/>
    <row r="1043511" customFormat="1" x14ac:dyDescent="0.15"/>
    <row r="1043512" customFormat="1" x14ac:dyDescent="0.15"/>
    <row r="1043513" customFormat="1" x14ac:dyDescent="0.15"/>
    <row r="1043514" customFormat="1" x14ac:dyDescent="0.15"/>
    <row r="1043515" customFormat="1" x14ac:dyDescent="0.15"/>
    <row r="1043516" customFormat="1" x14ac:dyDescent="0.15"/>
    <row r="1043517" customFormat="1" x14ac:dyDescent="0.15"/>
    <row r="1043518" customFormat="1" x14ac:dyDescent="0.15"/>
    <row r="1043519" customFormat="1" x14ac:dyDescent="0.15"/>
    <row r="1043520" customFormat="1" x14ac:dyDescent="0.15"/>
    <row r="1043521" customFormat="1" x14ac:dyDescent="0.15"/>
    <row r="1043522" customFormat="1" x14ac:dyDescent="0.15"/>
    <row r="1043523" customFormat="1" x14ac:dyDescent="0.15"/>
    <row r="1043524" customFormat="1" x14ac:dyDescent="0.15"/>
    <row r="1043525" customFormat="1" x14ac:dyDescent="0.15"/>
    <row r="1043526" customFormat="1" x14ac:dyDescent="0.15"/>
    <row r="1043527" customFormat="1" x14ac:dyDescent="0.15"/>
    <row r="1043528" customFormat="1" x14ac:dyDescent="0.15"/>
    <row r="1043529" customFormat="1" x14ac:dyDescent="0.15"/>
    <row r="1043530" customFormat="1" x14ac:dyDescent="0.15"/>
    <row r="1043531" customFormat="1" x14ac:dyDescent="0.15"/>
    <row r="1043532" customFormat="1" x14ac:dyDescent="0.15"/>
    <row r="1043533" customFormat="1" x14ac:dyDescent="0.15"/>
    <row r="1043534" customFormat="1" x14ac:dyDescent="0.15"/>
    <row r="1043535" customFormat="1" x14ac:dyDescent="0.15"/>
    <row r="1043536" customFormat="1" x14ac:dyDescent="0.15"/>
    <row r="1043537" customFormat="1" x14ac:dyDescent="0.15"/>
    <row r="1043538" customFormat="1" x14ac:dyDescent="0.15"/>
    <row r="1043539" customFormat="1" x14ac:dyDescent="0.15"/>
    <row r="1043540" customFormat="1" x14ac:dyDescent="0.15"/>
    <row r="1043541" customFormat="1" x14ac:dyDescent="0.15"/>
    <row r="1043542" customFormat="1" x14ac:dyDescent="0.15"/>
    <row r="1043543" customFormat="1" x14ac:dyDescent="0.15"/>
    <row r="1043544" customFormat="1" x14ac:dyDescent="0.15"/>
    <row r="1043545" customFormat="1" x14ac:dyDescent="0.15"/>
    <row r="1043546" customFormat="1" x14ac:dyDescent="0.15"/>
    <row r="1043547" customFormat="1" x14ac:dyDescent="0.15"/>
    <row r="1043548" customFormat="1" x14ac:dyDescent="0.15"/>
    <row r="1043549" customFormat="1" x14ac:dyDescent="0.15"/>
    <row r="1043550" customFormat="1" x14ac:dyDescent="0.15"/>
    <row r="1043551" customFormat="1" x14ac:dyDescent="0.15"/>
    <row r="1043552" customFormat="1" x14ac:dyDescent="0.15"/>
    <row r="1043553" customFormat="1" x14ac:dyDescent="0.15"/>
    <row r="1043554" customFormat="1" x14ac:dyDescent="0.15"/>
    <row r="1043555" customFormat="1" x14ac:dyDescent="0.15"/>
    <row r="1043556" customFormat="1" x14ac:dyDescent="0.15"/>
    <row r="1043557" customFormat="1" x14ac:dyDescent="0.15"/>
    <row r="1043558" customFormat="1" x14ac:dyDescent="0.15"/>
    <row r="1043559" customFormat="1" x14ac:dyDescent="0.15"/>
    <row r="1043560" customFormat="1" x14ac:dyDescent="0.15"/>
    <row r="1043561" customFormat="1" x14ac:dyDescent="0.15"/>
    <row r="1043562" customFormat="1" x14ac:dyDescent="0.15"/>
    <row r="1043563" customFormat="1" x14ac:dyDescent="0.15"/>
    <row r="1043564" customFormat="1" x14ac:dyDescent="0.15"/>
    <row r="1043565" customFormat="1" x14ac:dyDescent="0.15"/>
    <row r="1043566" customFormat="1" x14ac:dyDescent="0.15"/>
    <row r="1043567" customFormat="1" x14ac:dyDescent="0.15"/>
    <row r="1043568" customFormat="1" x14ac:dyDescent="0.15"/>
    <row r="1043569" customFormat="1" x14ac:dyDescent="0.15"/>
    <row r="1043570" customFormat="1" x14ac:dyDescent="0.15"/>
    <row r="1043571" customFormat="1" x14ac:dyDescent="0.15"/>
    <row r="1043572" customFormat="1" x14ac:dyDescent="0.15"/>
    <row r="1043573" customFormat="1" x14ac:dyDescent="0.15"/>
    <row r="1043574" customFormat="1" x14ac:dyDescent="0.15"/>
    <row r="1043575" customFormat="1" x14ac:dyDescent="0.15"/>
    <row r="1043576" customFormat="1" x14ac:dyDescent="0.15"/>
    <row r="1043577" customFormat="1" x14ac:dyDescent="0.15"/>
    <row r="1043578" customFormat="1" x14ac:dyDescent="0.15"/>
    <row r="1043579" customFormat="1" x14ac:dyDescent="0.15"/>
    <row r="1043580" customFormat="1" x14ac:dyDescent="0.15"/>
    <row r="1043581" customFormat="1" x14ac:dyDescent="0.15"/>
    <row r="1043582" customFormat="1" x14ac:dyDescent="0.15"/>
    <row r="1043583" customFormat="1" x14ac:dyDescent="0.15"/>
    <row r="1043584" customFormat="1" x14ac:dyDescent="0.15"/>
    <row r="1043585" customFormat="1" x14ac:dyDescent="0.15"/>
    <row r="1043586" customFormat="1" x14ac:dyDescent="0.15"/>
    <row r="1043587" customFormat="1" x14ac:dyDescent="0.15"/>
    <row r="1043588" customFormat="1" x14ac:dyDescent="0.15"/>
    <row r="1043589" customFormat="1" x14ac:dyDescent="0.15"/>
    <row r="1043590" customFormat="1" x14ac:dyDescent="0.15"/>
    <row r="1043591" customFormat="1" x14ac:dyDescent="0.15"/>
    <row r="1043592" customFormat="1" x14ac:dyDescent="0.15"/>
    <row r="1043593" customFormat="1" x14ac:dyDescent="0.15"/>
    <row r="1043594" customFormat="1" x14ac:dyDescent="0.15"/>
    <row r="1043595" customFormat="1" x14ac:dyDescent="0.15"/>
    <row r="1043596" customFormat="1" x14ac:dyDescent="0.15"/>
    <row r="1043597" customFormat="1" x14ac:dyDescent="0.15"/>
    <row r="1043598" customFormat="1" x14ac:dyDescent="0.15"/>
    <row r="1043599" customFormat="1" x14ac:dyDescent="0.15"/>
    <row r="1043600" customFormat="1" x14ac:dyDescent="0.15"/>
    <row r="1043601" customFormat="1" x14ac:dyDescent="0.15"/>
    <row r="1043602" customFormat="1" x14ac:dyDescent="0.15"/>
    <row r="1043603" customFormat="1" x14ac:dyDescent="0.15"/>
    <row r="1043604" customFormat="1" x14ac:dyDescent="0.15"/>
    <row r="1043605" customFormat="1" x14ac:dyDescent="0.15"/>
    <row r="1043606" customFormat="1" x14ac:dyDescent="0.15"/>
    <row r="1043607" customFormat="1" x14ac:dyDescent="0.15"/>
    <row r="1043608" customFormat="1" x14ac:dyDescent="0.15"/>
    <row r="1043609" customFormat="1" x14ac:dyDescent="0.15"/>
    <row r="1043610" customFormat="1" x14ac:dyDescent="0.15"/>
    <row r="1043611" customFormat="1" x14ac:dyDescent="0.15"/>
    <row r="1043612" customFormat="1" x14ac:dyDescent="0.15"/>
    <row r="1043613" customFormat="1" x14ac:dyDescent="0.15"/>
    <row r="1043614" customFormat="1" x14ac:dyDescent="0.15"/>
    <row r="1043615" customFormat="1" x14ac:dyDescent="0.15"/>
    <row r="1043616" customFormat="1" x14ac:dyDescent="0.15"/>
    <row r="1043617" customFormat="1" x14ac:dyDescent="0.15"/>
    <row r="1043618" customFormat="1" x14ac:dyDescent="0.15"/>
    <row r="1043619" customFormat="1" x14ac:dyDescent="0.15"/>
    <row r="1043620" customFormat="1" x14ac:dyDescent="0.15"/>
    <row r="1043621" customFormat="1" x14ac:dyDescent="0.15"/>
    <row r="1043622" customFormat="1" x14ac:dyDescent="0.15"/>
    <row r="1043623" customFormat="1" x14ac:dyDescent="0.15"/>
    <row r="1043624" customFormat="1" x14ac:dyDescent="0.15"/>
    <row r="1043625" customFormat="1" x14ac:dyDescent="0.15"/>
    <row r="1043626" customFormat="1" x14ac:dyDescent="0.15"/>
    <row r="1043627" customFormat="1" x14ac:dyDescent="0.15"/>
    <row r="1043628" customFormat="1" x14ac:dyDescent="0.15"/>
    <row r="1043629" customFormat="1" x14ac:dyDescent="0.15"/>
    <row r="1043630" customFormat="1" x14ac:dyDescent="0.15"/>
    <row r="1043631" customFormat="1" x14ac:dyDescent="0.15"/>
    <row r="1043632" customFormat="1" x14ac:dyDescent="0.15"/>
    <row r="1043633" customFormat="1" x14ac:dyDescent="0.15"/>
    <row r="1043634" customFormat="1" x14ac:dyDescent="0.15"/>
    <row r="1043635" customFormat="1" x14ac:dyDescent="0.15"/>
    <row r="1043636" customFormat="1" x14ac:dyDescent="0.15"/>
    <row r="1043637" customFormat="1" x14ac:dyDescent="0.15"/>
    <row r="1043638" customFormat="1" x14ac:dyDescent="0.15"/>
    <row r="1043639" customFormat="1" x14ac:dyDescent="0.15"/>
    <row r="1043640" customFormat="1" x14ac:dyDescent="0.15"/>
    <row r="1043641" customFormat="1" x14ac:dyDescent="0.15"/>
    <row r="1043642" customFormat="1" x14ac:dyDescent="0.15"/>
    <row r="1043643" customFormat="1" x14ac:dyDescent="0.15"/>
    <row r="1043644" customFormat="1" x14ac:dyDescent="0.15"/>
    <row r="1043645" customFormat="1" x14ac:dyDescent="0.15"/>
    <row r="1043646" customFormat="1" x14ac:dyDescent="0.15"/>
    <row r="1043647" customFormat="1" x14ac:dyDescent="0.15"/>
    <row r="1043648" customFormat="1" x14ac:dyDescent="0.15"/>
    <row r="1043649" customFormat="1" x14ac:dyDescent="0.15"/>
    <row r="1043650" customFormat="1" x14ac:dyDescent="0.15"/>
    <row r="1043651" customFormat="1" x14ac:dyDescent="0.15"/>
    <row r="1043652" customFormat="1" x14ac:dyDescent="0.15"/>
    <row r="1043653" customFormat="1" x14ac:dyDescent="0.15"/>
    <row r="1043654" customFormat="1" x14ac:dyDescent="0.15"/>
    <row r="1043655" customFormat="1" x14ac:dyDescent="0.15"/>
    <row r="1043656" customFormat="1" x14ac:dyDescent="0.15"/>
    <row r="1043657" customFormat="1" x14ac:dyDescent="0.15"/>
    <row r="1043658" customFormat="1" x14ac:dyDescent="0.15"/>
    <row r="1043659" customFormat="1" x14ac:dyDescent="0.15"/>
    <row r="1043660" customFormat="1" x14ac:dyDescent="0.15"/>
    <row r="1043661" customFormat="1" x14ac:dyDescent="0.15"/>
    <row r="1043662" customFormat="1" x14ac:dyDescent="0.15"/>
    <row r="1043663" customFormat="1" x14ac:dyDescent="0.15"/>
    <row r="1043664" customFormat="1" x14ac:dyDescent="0.15"/>
    <row r="1043665" customFormat="1" x14ac:dyDescent="0.15"/>
    <row r="1043666" customFormat="1" x14ac:dyDescent="0.15"/>
    <row r="1043667" customFormat="1" x14ac:dyDescent="0.15"/>
    <row r="1043668" customFormat="1" x14ac:dyDescent="0.15"/>
    <row r="1043669" customFormat="1" x14ac:dyDescent="0.15"/>
    <row r="1043670" customFormat="1" x14ac:dyDescent="0.15"/>
    <row r="1043671" customFormat="1" x14ac:dyDescent="0.15"/>
    <row r="1043672" customFormat="1" x14ac:dyDescent="0.15"/>
    <row r="1043673" customFormat="1" x14ac:dyDescent="0.15"/>
    <row r="1043674" customFormat="1" x14ac:dyDescent="0.15"/>
    <row r="1043675" customFormat="1" x14ac:dyDescent="0.15"/>
    <row r="1043676" customFormat="1" x14ac:dyDescent="0.15"/>
    <row r="1043677" customFormat="1" x14ac:dyDescent="0.15"/>
    <row r="1043678" customFormat="1" x14ac:dyDescent="0.15"/>
    <row r="1043679" customFormat="1" x14ac:dyDescent="0.15"/>
    <row r="1043680" customFormat="1" x14ac:dyDescent="0.15"/>
    <row r="1043681" customFormat="1" x14ac:dyDescent="0.15"/>
    <row r="1043682" customFormat="1" x14ac:dyDescent="0.15"/>
    <row r="1043683" customFormat="1" x14ac:dyDescent="0.15"/>
    <row r="1043684" customFormat="1" x14ac:dyDescent="0.15"/>
    <row r="1043685" customFormat="1" x14ac:dyDescent="0.15"/>
    <row r="1043686" customFormat="1" x14ac:dyDescent="0.15"/>
    <row r="1043687" customFormat="1" x14ac:dyDescent="0.15"/>
    <row r="1043688" customFormat="1" x14ac:dyDescent="0.15"/>
    <row r="1043689" customFormat="1" x14ac:dyDescent="0.15"/>
    <row r="1043690" customFormat="1" x14ac:dyDescent="0.15"/>
    <row r="1043691" customFormat="1" x14ac:dyDescent="0.15"/>
    <row r="1043692" customFormat="1" x14ac:dyDescent="0.15"/>
    <row r="1043693" customFormat="1" x14ac:dyDescent="0.15"/>
    <row r="1043694" customFormat="1" x14ac:dyDescent="0.15"/>
    <row r="1043695" customFormat="1" x14ac:dyDescent="0.15"/>
    <row r="1043696" customFormat="1" x14ac:dyDescent="0.15"/>
    <row r="1043697" customFormat="1" x14ac:dyDescent="0.15"/>
    <row r="1043698" customFormat="1" x14ac:dyDescent="0.15"/>
    <row r="1043699" customFormat="1" x14ac:dyDescent="0.15"/>
    <row r="1043700" customFormat="1" x14ac:dyDescent="0.15"/>
    <row r="1043701" customFormat="1" x14ac:dyDescent="0.15"/>
    <row r="1043702" customFormat="1" x14ac:dyDescent="0.15"/>
    <row r="1043703" customFormat="1" x14ac:dyDescent="0.15"/>
    <row r="1043704" customFormat="1" x14ac:dyDescent="0.15"/>
    <row r="1043705" customFormat="1" x14ac:dyDescent="0.15"/>
    <row r="1043706" customFormat="1" x14ac:dyDescent="0.15"/>
    <row r="1043707" customFormat="1" x14ac:dyDescent="0.15"/>
    <row r="1043708" customFormat="1" x14ac:dyDescent="0.15"/>
    <row r="1043709" customFormat="1" x14ac:dyDescent="0.15"/>
    <row r="1043710" customFormat="1" x14ac:dyDescent="0.15"/>
    <row r="1043711" customFormat="1" x14ac:dyDescent="0.15"/>
    <row r="1043712" customFormat="1" x14ac:dyDescent="0.15"/>
    <row r="1043713" customFormat="1" x14ac:dyDescent="0.15"/>
    <row r="1043714" customFormat="1" x14ac:dyDescent="0.15"/>
    <row r="1043715" customFormat="1" x14ac:dyDescent="0.15"/>
    <row r="1043716" customFormat="1" x14ac:dyDescent="0.15"/>
    <row r="1043717" customFormat="1" x14ac:dyDescent="0.15"/>
    <row r="1043718" customFormat="1" x14ac:dyDescent="0.15"/>
    <row r="1043719" customFormat="1" x14ac:dyDescent="0.15"/>
    <row r="1043720" customFormat="1" x14ac:dyDescent="0.15"/>
    <row r="1043721" customFormat="1" x14ac:dyDescent="0.15"/>
    <row r="1043722" customFormat="1" x14ac:dyDescent="0.15"/>
    <row r="1043723" customFormat="1" x14ac:dyDescent="0.15"/>
    <row r="1043724" customFormat="1" x14ac:dyDescent="0.15"/>
    <row r="1043725" customFormat="1" x14ac:dyDescent="0.15"/>
    <row r="1043726" customFormat="1" x14ac:dyDescent="0.15"/>
    <row r="1043727" customFormat="1" x14ac:dyDescent="0.15"/>
    <row r="1043728" customFormat="1" x14ac:dyDescent="0.15"/>
    <row r="1043729" customFormat="1" x14ac:dyDescent="0.15"/>
    <row r="1043730" customFormat="1" x14ac:dyDescent="0.15"/>
    <row r="1043731" customFormat="1" x14ac:dyDescent="0.15"/>
    <row r="1043732" customFormat="1" x14ac:dyDescent="0.15"/>
    <row r="1043733" customFormat="1" x14ac:dyDescent="0.15"/>
    <row r="1043734" customFormat="1" x14ac:dyDescent="0.15"/>
    <row r="1043735" customFormat="1" x14ac:dyDescent="0.15"/>
    <row r="1043736" customFormat="1" x14ac:dyDescent="0.15"/>
    <row r="1043737" customFormat="1" x14ac:dyDescent="0.15"/>
    <row r="1043738" customFormat="1" x14ac:dyDescent="0.15"/>
    <row r="1043739" customFormat="1" x14ac:dyDescent="0.15"/>
    <row r="1043740" customFormat="1" x14ac:dyDescent="0.15"/>
    <row r="1043741" customFormat="1" x14ac:dyDescent="0.15"/>
    <row r="1043742" customFormat="1" x14ac:dyDescent="0.15"/>
    <row r="1043743" customFormat="1" x14ac:dyDescent="0.15"/>
    <row r="1043744" customFormat="1" x14ac:dyDescent="0.15"/>
    <row r="1043745" customFormat="1" x14ac:dyDescent="0.15"/>
    <row r="1043746" customFormat="1" x14ac:dyDescent="0.15"/>
    <row r="1043747" customFormat="1" x14ac:dyDescent="0.15"/>
    <row r="1043748" customFormat="1" x14ac:dyDescent="0.15"/>
    <row r="1043749" customFormat="1" x14ac:dyDescent="0.15"/>
    <row r="1043750" customFormat="1" x14ac:dyDescent="0.15"/>
    <row r="1043751" customFormat="1" x14ac:dyDescent="0.15"/>
    <row r="1043752" customFormat="1" x14ac:dyDescent="0.15"/>
    <row r="1043753" customFormat="1" x14ac:dyDescent="0.15"/>
    <row r="1043754" customFormat="1" x14ac:dyDescent="0.15"/>
    <row r="1043755" customFormat="1" x14ac:dyDescent="0.15"/>
    <row r="1043756" customFormat="1" x14ac:dyDescent="0.15"/>
    <row r="1043757" customFormat="1" x14ac:dyDescent="0.15"/>
    <row r="1043758" customFormat="1" x14ac:dyDescent="0.15"/>
    <row r="1043759" customFormat="1" x14ac:dyDescent="0.15"/>
    <row r="1043760" customFormat="1" x14ac:dyDescent="0.15"/>
    <row r="1043761" customFormat="1" x14ac:dyDescent="0.15"/>
    <row r="1043762" customFormat="1" x14ac:dyDescent="0.15"/>
    <row r="1043763" customFormat="1" x14ac:dyDescent="0.15"/>
    <row r="1043764" customFormat="1" x14ac:dyDescent="0.15"/>
    <row r="1043765" customFormat="1" x14ac:dyDescent="0.15"/>
    <row r="1043766" customFormat="1" x14ac:dyDescent="0.15"/>
    <row r="1043767" customFormat="1" x14ac:dyDescent="0.15"/>
    <row r="1043768" customFormat="1" x14ac:dyDescent="0.15"/>
    <row r="1043769" customFormat="1" x14ac:dyDescent="0.15"/>
    <row r="1043770" customFormat="1" x14ac:dyDescent="0.15"/>
    <row r="1043771" customFormat="1" x14ac:dyDescent="0.15"/>
    <row r="1043772" customFormat="1" x14ac:dyDescent="0.15"/>
    <row r="1043773" customFormat="1" x14ac:dyDescent="0.15"/>
    <row r="1043774" customFormat="1" x14ac:dyDescent="0.15"/>
    <row r="1043775" customFormat="1" x14ac:dyDescent="0.15"/>
    <row r="1043776" customFormat="1" x14ac:dyDescent="0.15"/>
    <row r="1043777" customFormat="1" x14ac:dyDescent="0.15"/>
    <row r="1043778" customFormat="1" x14ac:dyDescent="0.15"/>
    <row r="1043779" customFormat="1" x14ac:dyDescent="0.15"/>
    <row r="1043780" customFormat="1" x14ac:dyDescent="0.15"/>
    <row r="1043781" customFormat="1" x14ac:dyDescent="0.15"/>
    <row r="1043782" customFormat="1" x14ac:dyDescent="0.15"/>
    <row r="1043783" customFormat="1" x14ac:dyDescent="0.15"/>
    <row r="1043784" customFormat="1" x14ac:dyDescent="0.15"/>
    <row r="1043785" customFormat="1" x14ac:dyDescent="0.15"/>
    <row r="1043786" customFormat="1" x14ac:dyDescent="0.15"/>
    <row r="1043787" customFormat="1" x14ac:dyDescent="0.15"/>
    <row r="1043788" customFormat="1" x14ac:dyDescent="0.15"/>
    <row r="1043789" customFormat="1" x14ac:dyDescent="0.15"/>
    <row r="1043790" customFormat="1" x14ac:dyDescent="0.15"/>
    <row r="1043791" customFormat="1" x14ac:dyDescent="0.15"/>
    <row r="1043792" customFormat="1" x14ac:dyDescent="0.15"/>
    <row r="1043793" customFormat="1" x14ac:dyDescent="0.15"/>
    <row r="1043794" customFormat="1" x14ac:dyDescent="0.15"/>
    <row r="1043795" customFormat="1" x14ac:dyDescent="0.15"/>
    <row r="1043796" customFormat="1" x14ac:dyDescent="0.15"/>
    <row r="1043797" customFormat="1" x14ac:dyDescent="0.15"/>
    <row r="1043798" customFormat="1" x14ac:dyDescent="0.15"/>
    <row r="1043799" customFormat="1" x14ac:dyDescent="0.15"/>
    <row r="1043800" customFormat="1" x14ac:dyDescent="0.15"/>
    <row r="1043801" customFormat="1" x14ac:dyDescent="0.15"/>
    <row r="1043802" customFormat="1" x14ac:dyDescent="0.15"/>
    <row r="1043803" customFormat="1" x14ac:dyDescent="0.15"/>
    <row r="1043804" customFormat="1" x14ac:dyDescent="0.15"/>
    <row r="1043805" customFormat="1" x14ac:dyDescent="0.15"/>
    <row r="1043806" customFormat="1" x14ac:dyDescent="0.15"/>
    <row r="1043807" customFormat="1" x14ac:dyDescent="0.15"/>
    <row r="1043808" customFormat="1" x14ac:dyDescent="0.15"/>
    <row r="1043809" customFormat="1" x14ac:dyDescent="0.15"/>
    <row r="1043810" customFormat="1" x14ac:dyDescent="0.15"/>
    <row r="1043811" customFormat="1" x14ac:dyDescent="0.15"/>
    <row r="1043812" customFormat="1" x14ac:dyDescent="0.15"/>
    <row r="1043813" customFormat="1" x14ac:dyDescent="0.15"/>
    <row r="1043814" customFormat="1" x14ac:dyDescent="0.15"/>
    <row r="1043815" customFormat="1" x14ac:dyDescent="0.15"/>
    <row r="1043816" customFormat="1" x14ac:dyDescent="0.15"/>
    <row r="1043817" customFormat="1" x14ac:dyDescent="0.15"/>
    <row r="1043818" customFormat="1" x14ac:dyDescent="0.15"/>
    <row r="1043819" customFormat="1" x14ac:dyDescent="0.15"/>
    <row r="1043820" customFormat="1" x14ac:dyDescent="0.15"/>
    <row r="1043821" customFormat="1" x14ac:dyDescent="0.15"/>
    <row r="1043822" customFormat="1" x14ac:dyDescent="0.15"/>
    <row r="1043823" customFormat="1" x14ac:dyDescent="0.15"/>
    <row r="1043824" customFormat="1" x14ac:dyDescent="0.15"/>
    <row r="1043825" customFormat="1" x14ac:dyDescent="0.15"/>
    <row r="1043826" customFormat="1" x14ac:dyDescent="0.15"/>
    <row r="1043827" customFormat="1" x14ac:dyDescent="0.15"/>
    <row r="1043828" customFormat="1" x14ac:dyDescent="0.15"/>
    <row r="1043829" customFormat="1" x14ac:dyDescent="0.15"/>
    <row r="1043830" customFormat="1" x14ac:dyDescent="0.15"/>
    <row r="1043831" customFormat="1" x14ac:dyDescent="0.15"/>
    <row r="1043832" customFormat="1" x14ac:dyDescent="0.15"/>
    <row r="1043833" customFormat="1" x14ac:dyDescent="0.15"/>
    <row r="1043834" customFormat="1" x14ac:dyDescent="0.15"/>
    <row r="1043835" customFormat="1" x14ac:dyDescent="0.15"/>
    <row r="1043836" customFormat="1" x14ac:dyDescent="0.15"/>
    <row r="1043837" customFormat="1" x14ac:dyDescent="0.15"/>
    <row r="1043838" customFormat="1" x14ac:dyDescent="0.15"/>
    <row r="1043839" customFormat="1" x14ac:dyDescent="0.15"/>
    <row r="1043840" customFormat="1" x14ac:dyDescent="0.15"/>
    <row r="1043841" customFormat="1" x14ac:dyDescent="0.15"/>
    <row r="1043842" customFormat="1" x14ac:dyDescent="0.15"/>
    <row r="1043843" customFormat="1" x14ac:dyDescent="0.15"/>
    <row r="1043844" customFormat="1" x14ac:dyDescent="0.15"/>
    <row r="1043845" customFormat="1" x14ac:dyDescent="0.15"/>
    <row r="1043846" customFormat="1" x14ac:dyDescent="0.15"/>
    <row r="1043847" customFormat="1" x14ac:dyDescent="0.15"/>
    <row r="1043848" customFormat="1" x14ac:dyDescent="0.15"/>
    <row r="1043849" customFormat="1" x14ac:dyDescent="0.15"/>
    <row r="1043850" customFormat="1" x14ac:dyDescent="0.15"/>
    <row r="1043851" customFormat="1" x14ac:dyDescent="0.15"/>
    <row r="1043852" customFormat="1" x14ac:dyDescent="0.15"/>
    <row r="1043853" customFormat="1" x14ac:dyDescent="0.15"/>
    <row r="1043854" customFormat="1" x14ac:dyDescent="0.15"/>
    <row r="1043855" customFormat="1" x14ac:dyDescent="0.15"/>
    <row r="1043856" customFormat="1" x14ac:dyDescent="0.15"/>
    <row r="1043857" customFormat="1" x14ac:dyDescent="0.15"/>
    <row r="1043858" customFormat="1" x14ac:dyDescent="0.15"/>
    <row r="1043859" customFormat="1" x14ac:dyDescent="0.15"/>
    <row r="1043860" customFormat="1" x14ac:dyDescent="0.15"/>
    <row r="1043861" customFormat="1" x14ac:dyDescent="0.15"/>
    <row r="1043862" customFormat="1" x14ac:dyDescent="0.15"/>
    <row r="1043863" customFormat="1" x14ac:dyDescent="0.15"/>
    <row r="1043864" customFormat="1" x14ac:dyDescent="0.15"/>
    <row r="1043865" customFormat="1" x14ac:dyDescent="0.15"/>
    <row r="1043866" customFormat="1" x14ac:dyDescent="0.15"/>
    <row r="1043867" customFormat="1" x14ac:dyDescent="0.15"/>
    <row r="1043868" customFormat="1" x14ac:dyDescent="0.15"/>
    <row r="1043869" customFormat="1" x14ac:dyDescent="0.15"/>
    <row r="1043870" customFormat="1" x14ac:dyDescent="0.15"/>
    <row r="1043871" customFormat="1" x14ac:dyDescent="0.15"/>
    <row r="1043872" customFormat="1" x14ac:dyDescent="0.15"/>
    <row r="1043873" customFormat="1" x14ac:dyDescent="0.15"/>
    <row r="1043874" customFormat="1" x14ac:dyDescent="0.15"/>
    <row r="1043875" customFormat="1" x14ac:dyDescent="0.15"/>
    <row r="1043876" customFormat="1" x14ac:dyDescent="0.15"/>
    <row r="1043877" customFormat="1" x14ac:dyDescent="0.15"/>
    <row r="1043878" customFormat="1" x14ac:dyDescent="0.15"/>
    <row r="1043879" customFormat="1" x14ac:dyDescent="0.15"/>
    <row r="1043880" customFormat="1" x14ac:dyDescent="0.15"/>
    <row r="1043881" customFormat="1" x14ac:dyDescent="0.15"/>
    <row r="1043882" customFormat="1" x14ac:dyDescent="0.15"/>
    <row r="1043883" customFormat="1" x14ac:dyDescent="0.15"/>
    <row r="1043884" customFormat="1" x14ac:dyDescent="0.15"/>
    <row r="1043885" customFormat="1" x14ac:dyDescent="0.15"/>
    <row r="1043886" customFormat="1" x14ac:dyDescent="0.15"/>
    <row r="1043887" customFormat="1" x14ac:dyDescent="0.15"/>
    <row r="1043888" customFormat="1" x14ac:dyDescent="0.15"/>
    <row r="1043889" customFormat="1" x14ac:dyDescent="0.15"/>
    <row r="1043890" customFormat="1" x14ac:dyDescent="0.15"/>
    <row r="1043891" customFormat="1" x14ac:dyDescent="0.15"/>
    <row r="1043892" customFormat="1" x14ac:dyDescent="0.15"/>
    <row r="1043893" customFormat="1" x14ac:dyDescent="0.15"/>
    <row r="1043894" customFormat="1" x14ac:dyDescent="0.15"/>
    <row r="1043895" customFormat="1" x14ac:dyDescent="0.15"/>
    <row r="1043896" customFormat="1" x14ac:dyDescent="0.15"/>
    <row r="1043897" customFormat="1" x14ac:dyDescent="0.15"/>
    <row r="1043898" customFormat="1" x14ac:dyDescent="0.15"/>
    <row r="1043899" customFormat="1" x14ac:dyDescent="0.15"/>
    <row r="1043900" customFormat="1" x14ac:dyDescent="0.15"/>
    <row r="1043901" customFormat="1" x14ac:dyDescent="0.15"/>
    <row r="1043902" customFormat="1" x14ac:dyDescent="0.15"/>
    <row r="1043903" customFormat="1" x14ac:dyDescent="0.15"/>
    <row r="1043904" customFormat="1" x14ac:dyDescent="0.15"/>
    <row r="1043905" customFormat="1" x14ac:dyDescent="0.15"/>
    <row r="1043906" customFormat="1" x14ac:dyDescent="0.15"/>
    <row r="1043907" customFormat="1" x14ac:dyDescent="0.15"/>
    <row r="1043908" customFormat="1" x14ac:dyDescent="0.15"/>
    <row r="1043909" customFormat="1" x14ac:dyDescent="0.15"/>
    <row r="1043910" customFormat="1" x14ac:dyDescent="0.15"/>
    <row r="1043911" customFormat="1" x14ac:dyDescent="0.15"/>
    <row r="1043912" customFormat="1" x14ac:dyDescent="0.15"/>
    <row r="1043913" customFormat="1" x14ac:dyDescent="0.15"/>
    <row r="1043914" customFormat="1" x14ac:dyDescent="0.15"/>
    <row r="1043915" customFormat="1" x14ac:dyDescent="0.15"/>
    <row r="1043916" customFormat="1" x14ac:dyDescent="0.15"/>
    <row r="1043917" customFormat="1" x14ac:dyDescent="0.15"/>
    <row r="1043918" customFormat="1" x14ac:dyDescent="0.15"/>
    <row r="1043919" customFormat="1" x14ac:dyDescent="0.15"/>
    <row r="1043920" customFormat="1" x14ac:dyDescent="0.15"/>
    <row r="1043921" customFormat="1" x14ac:dyDescent="0.15"/>
    <row r="1043922" customFormat="1" x14ac:dyDescent="0.15"/>
    <row r="1043923" customFormat="1" x14ac:dyDescent="0.15"/>
    <row r="1043924" customFormat="1" x14ac:dyDescent="0.15"/>
    <row r="1043925" customFormat="1" x14ac:dyDescent="0.15"/>
    <row r="1043926" customFormat="1" x14ac:dyDescent="0.15"/>
    <row r="1043927" customFormat="1" x14ac:dyDescent="0.15"/>
    <row r="1043928" customFormat="1" x14ac:dyDescent="0.15"/>
    <row r="1043929" customFormat="1" x14ac:dyDescent="0.15"/>
    <row r="1043930" customFormat="1" x14ac:dyDescent="0.15"/>
    <row r="1043931" customFormat="1" x14ac:dyDescent="0.15"/>
    <row r="1043932" customFormat="1" x14ac:dyDescent="0.15"/>
    <row r="1043933" customFormat="1" x14ac:dyDescent="0.15"/>
    <row r="1043934" customFormat="1" x14ac:dyDescent="0.15"/>
    <row r="1043935" customFormat="1" x14ac:dyDescent="0.15"/>
    <row r="1043936" customFormat="1" x14ac:dyDescent="0.15"/>
    <row r="1043937" customFormat="1" x14ac:dyDescent="0.15"/>
    <row r="1043938" customFormat="1" x14ac:dyDescent="0.15"/>
    <row r="1043939" customFormat="1" x14ac:dyDescent="0.15"/>
    <row r="1043940" customFormat="1" x14ac:dyDescent="0.15"/>
    <row r="1043941" customFormat="1" x14ac:dyDescent="0.15"/>
    <row r="1043942" customFormat="1" x14ac:dyDescent="0.15"/>
    <row r="1043943" customFormat="1" x14ac:dyDescent="0.15"/>
    <row r="1043944" customFormat="1" x14ac:dyDescent="0.15"/>
    <row r="1043945" customFormat="1" x14ac:dyDescent="0.15"/>
    <row r="1043946" customFormat="1" x14ac:dyDescent="0.15"/>
    <row r="1043947" customFormat="1" x14ac:dyDescent="0.15"/>
    <row r="1043948" customFormat="1" x14ac:dyDescent="0.15"/>
    <row r="1043949" customFormat="1" x14ac:dyDescent="0.15"/>
    <row r="1043950" customFormat="1" x14ac:dyDescent="0.15"/>
    <row r="1043951" customFormat="1" x14ac:dyDescent="0.15"/>
    <row r="1043952" customFormat="1" x14ac:dyDescent="0.15"/>
    <row r="1043953" customFormat="1" x14ac:dyDescent="0.15"/>
    <row r="1043954" customFormat="1" x14ac:dyDescent="0.15"/>
    <row r="1043955" customFormat="1" x14ac:dyDescent="0.15"/>
    <row r="1043956" customFormat="1" x14ac:dyDescent="0.15"/>
    <row r="1043957" customFormat="1" x14ac:dyDescent="0.15"/>
    <row r="1043958" customFormat="1" x14ac:dyDescent="0.15"/>
    <row r="1043959" customFormat="1" x14ac:dyDescent="0.15"/>
    <row r="1043960" customFormat="1" x14ac:dyDescent="0.15"/>
    <row r="1043961" customFormat="1" x14ac:dyDescent="0.15"/>
    <row r="1043962" customFormat="1" x14ac:dyDescent="0.15"/>
    <row r="1043963" customFormat="1" x14ac:dyDescent="0.15"/>
    <row r="1043964" customFormat="1" x14ac:dyDescent="0.15"/>
    <row r="1043965" customFormat="1" x14ac:dyDescent="0.15"/>
    <row r="1043966" customFormat="1" x14ac:dyDescent="0.15"/>
    <row r="1043967" customFormat="1" x14ac:dyDescent="0.15"/>
    <row r="1043968" customFormat="1" x14ac:dyDescent="0.15"/>
    <row r="1043969" customFormat="1" x14ac:dyDescent="0.15"/>
    <row r="1043970" customFormat="1" x14ac:dyDescent="0.15"/>
    <row r="1043971" customFormat="1" x14ac:dyDescent="0.15"/>
    <row r="1043972" customFormat="1" x14ac:dyDescent="0.15"/>
    <row r="1043973" customFormat="1" x14ac:dyDescent="0.15"/>
    <row r="1043974" customFormat="1" x14ac:dyDescent="0.15"/>
    <row r="1043975" customFormat="1" x14ac:dyDescent="0.15"/>
    <row r="1043976" customFormat="1" x14ac:dyDescent="0.15"/>
    <row r="1043977" customFormat="1" x14ac:dyDescent="0.15"/>
    <row r="1043978" customFormat="1" x14ac:dyDescent="0.15"/>
    <row r="1043979" customFormat="1" x14ac:dyDescent="0.15"/>
    <row r="1043980" customFormat="1" x14ac:dyDescent="0.15"/>
    <row r="1043981" customFormat="1" x14ac:dyDescent="0.15"/>
    <row r="1043982" customFormat="1" x14ac:dyDescent="0.15"/>
    <row r="1043983" customFormat="1" x14ac:dyDescent="0.15"/>
    <row r="1043984" customFormat="1" x14ac:dyDescent="0.15"/>
    <row r="1043985" customFormat="1" x14ac:dyDescent="0.15"/>
    <row r="1043986" customFormat="1" x14ac:dyDescent="0.15"/>
    <row r="1043987" customFormat="1" x14ac:dyDescent="0.15"/>
    <row r="1043988" customFormat="1" x14ac:dyDescent="0.15"/>
    <row r="1043989" customFormat="1" x14ac:dyDescent="0.15"/>
    <row r="1043990" customFormat="1" x14ac:dyDescent="0.15"/>
    <row r="1043991" customFormat="1" x14ac:dyDescent="0.15"/>
    <row r="1043992" customFormat="1" x14ac:dyDescent="0.15"/>
    <row r="1043993" customFormat="1" x14ac:dyDescent="0.15"/>
    <row r="1043994" customFormat="1" x14ac:dyDescent="0.15"/>
    <row r="1043995" customFormat="1" x14ac:dyDescent="0.15"/>
    <row r="1043996" customFormat="1" x14ac:dyDescent="0.15"/>
    <row r="1043997" customFormat="1" x14ac:dyDescent="0.15"/>
    <row r="1043998" customFormat="1" x14ac:dyDescent="0.15"/>
    <row r="1043999" customFormat="1" x14ac:dyDescent="0.15"/>
    <row r="1044000" customFormat="1" x14ac:dyDescent="0.15"/>
    <row r="1044001" customFormat="1" x14ac:dyDescent="0.15"/>
    <row r="1044002" customFormat="1" x14ac:dyDescent="0.15"/>
    <row r="1044003" customFormat="1" x14ac:dyDescent="0.15"/>
    <row r="1044004" customFormat="1" x14ac:dyDescent="0.15"/>
    <row r="1044005" customFormat="1" x14ac:dyDescent="0.15"/>
    <row r="1044006" customFormat="1" x14ac:dyDescent="0.15"/>
    <row r="1044007" customFormat="1" x14ac:dyDescent="0.15"/>
    <row r="1044008" customFormat="1" x14ac:dyDescent="0.15"/>
    <row r="1044009" customFormat="1" x14ac:dyDescent="0.15"/>
    <row r="1044010" customFormat="1" x14ac:dyDescent="0.15"/>
    <row r="1044011" customFormat="1" x14ac:dyDescent="0.15"/>
    <row r="1044012" customFormat="1" x14ac:dyDescent="0.15"/>
    <row r="1044013" customFormat="1" x14ac:dyDescent="0.15"/>
    <row r="1044014" customFormat="1" x14ac:dyDescent="0.15"/>
    <row r="1044015" customFormat="1" x14ac:dyDescent="0.15"/>
    <row r="1044016" customFormat="1" x14ac:dyDescent="0.15"/>
    <row r="1044017" customFormat="1" x14ac:dyDescent="0.15"/>
    <row r="1044018" customFormat="1" x14ac:dyDescent="0.15"/>
    <row r="1044019" customFormat="1" x14ac:dyDescent="0.15"/>
    <row r="1044020" customFormat="1" x14ac:dyDescent="0.15"/>
    <row r="1044021" customFormat="1" x14ac:dyDescent="0.15"/>
    <row r="1044022" customFormat="1" x14ac:dyDescent="0.15"/>
    <row r="1044023" customFormat="1" x14ac:dyDescent="0.15"/>
    <row r="1044024" customFormat="1" x14ac:dyDescent="0.15"/>
    <row r="1044025" customFormat="1" x14ac:dyDescent="0.15"/>
    <row r="1044026" customFormat="1" x14ac:dyDescent="0.15"/>
    <row r="1044027" customFormat="1" x14ac:dyDescent="0.15"/>
    <row r="1044028" customFormat="1" x14ac:dyDescent="0.15"/>
    <row r="1044029" customFormat="1" x14ac:dyDescent="0.15"/>
    <row r="1044030" customFormat="1" x14ac:dyDescent="0.15"/>
    <row r="1044031" customFormat="1" x14ac:dyDescent="0.15"/>
    <row r="1044032" customFormat="1" x14ac:dyDescent="0.15"/>
    <row r="1044033" customFormat="1" x14ac:dyDescent="0.15"/>
    <row r="1044034" customFormat="1" x14ac:dyDescent="0.15"/>
    <row r="1044035" customFormat="1" x14ac:dyDescent="0.15"/>
    <row r="1044036" customFormat="1" x14ac:dyDescent="0.15"/>
    <row r="1044037" customFormat="1" x14ac:dyDescent="0.15"/>
    <row r="1044038" customFormat="1" x14ac:dyDescent="0.15"/>
    <row r="1044039" customFormat="1" x14ac:dyDescent="0.15"/>
    <row r="1044040" customFormat="1" x14ac:dyDescent="0.15"/>
    <row r="1044041" customFormat="1" x14ac:dyDescent="0.15"/>
    <row r="1044042" customFormat="1" x14ac:dyDescent="0.15"/>
    <row r="1044043" customFormat="1" x14ac:dyDescent="0.15"/>
    <row r="1044044" customFormat="1" x14ac:dyDescent="0.15"/>
    <row r="1044045" customFormat="1" x14ac:dyDescent="0.15"/>
    <row r="1044046" customFormat="1" x14ac:dyDescent="0.15"/>
    <row r="1044047" customFormat="1" x14ac:dyDescent="0.15"/>
    <row r="1044048" customFormat="1" x14ac:dyDescent="0.15"/>
    <row r="1044049" customFormat="1" x14ac:dyDescent="0.15"/>
    <row r="1044050" customFormat="1" x14ac:dyDescent="0.15"/>
    <row r="1044051" customFormat="1" x14ac:dyDescent="0.15"/>
    <row r="1044052" customFormat="1" x14ac:dyDescent="0.15"/>
    <row r="1044053" customFormat="1" x14ac:dyDescent="0.15"/>
    <row r="1044054" customFormat="1" x14ac:dyDescent="0.15"/>
    <row r="1044055" customFormat="1" x14ac:dyDescent="0.15"/>
    <row r="1044056" customFormat="1" x14ac:dyDescent="0.15"/>
    <row r="1044057" customFormat="1" x14ac:dyDescent="0.15"/>
    <row r="1044058" customFormat="1" x14ac:dyDescent="0.15"/>
    <row r="1044059" customFormat="1" x14ac:dyDescent="0.15"/>
    <row r="1044060" customFormat="1" x14ac:dyDescent="0.15"/>
    <row r="1044061" customFormat="1" x14ac:dyDescent="0.15"/>
    <row r="1044062" customFormat="1" x14ac:dyDescent="0.15"/>
    <row r="1044063" customFormat="1" x14ac:dyDescent="0.15"/>
    <row r="1044064" customFormat="1" x14ac:dyDescent="0.15"/>
    <row r="1044065" customFormat="1" x14ac:dyDescent="0.15"/>
    <row r="1044066" customFormat="1" x14ac:dyDescent="0.15"/>
    <row r="1044067" customFormat="1" x14ac:dyDescent="0.15"/>
    <row r="1044068" customFormat="1" x14ac:dyDescent="0.15"/>
    <row r="1044069" customFormat="1" x14ac:dyDescent="0.15"/>
    <row r="1044070" customFormat="1" x14ac:dyDescent="0.15"/>
    <row r="1044071" customFormat="1" x14ac:dyDescent="0.15"/>
    <row r="1044072" customFormat="1" x14ac:dyDescent="0.15"/>
    <row r="1044073" customFormat="1" x14ac:dyDescent="0.15"/>
    <row r="1044074" customFormat="1" x14ac:dyDescent="0.15"/>
    <row r="1044075" customFormat="1" x14ac:dyDescent="0.15"/>
    <row r="1044076" customFormat="1" x14ac:dyDescent="0.15"/>
    <row r="1044077" customFormat="1" x14ac:dyDescent="0.15"/>
    <row r="1044078" customFormat="1" x14ac:dyDescent="0.15"/>
    <row r="1044079" customFormat="1" x14ac:dyDescent="0.15"/>
    <row r="1044080" customFormat="1" x14ac:dyDescent="0.15"/>
    <row r="1044081" customFormat="1" x14ac:dyDescent="0.15"/>
    <row r="1044082" customFormat="1" x14ac:dyDescent="0.15"/>
    <row r="1044083" customFormat="1" x14ac:dyDescent="0.15"/>
    <row r="1044084" customFormat="1" x14ac:dyDescent="0.15"/>
    <row r="1044085" customFormat="1" x14ac:dyDescent="0.15"/>
    <row r="1044086" customFormat="1" x14ac:dyDescent="0.15"/>
    <row r="1044087" customFormat="1" x14ac:dyDescent="0.15"/>
    <row r="1044088" customFormat="1" x14ac:dyDescent="0.15"/>
    <row r="1044089" customFormat="1" x14ac:dyDescent="0.15"/>
    <row r="1044090" customFormat="1" x14ac:dyDescent="0.15"/>
    <row r="1044091" customFormat="1" x14ac:dyDescent="0.15"/>
    <row r="1044092" customFormat="1" x14ac:dyDescent="0.15"/>
    <row r="1044093" customFormat="1" x14ac:dyDescent="0.15"/>
    <row r="1044094" customFormat="1" x14ac:dyDescent="0.15"/>
    <row r="1044095" customFormat="1" x14ac:dyDescent="0.15"/>
    <row r="1044096" customFormat="1" x14ac:dyDescent="0.15"/>
    <row r="1044097" customFormat="1" x14ac:dyDescent="0.15"/>
    <row r="1044098" customFormat="1" x14ac:dyDescent="0.15"/>
    <row r="1044099" customFormat="1" x14ac:dyDescent="0.15"/>
    <row r="1044100" customFormat="1" x14ac:dyDescent="0.15"/>
    <row r="1044101" customFormat="1" x14ac:dyDescent="0.15"/>
    <row r="1044102" customFormat="1" x14ac:dyDescent="0.15"/>
    <row r="1044103" customFormat="1" x14ac:dyDescent="0.15"/>
    <row r="1044104" customFormat="1" x14ac:dyDescent="0.15"/>
    <row r="1044105" customFormat="1" x14ac:dyDescent="0.15"/>
    <row r="1044106" customFormat="1" x14ac:dyDescent="0.15"/>
    <row r="1044107" customFormat="1" x14ac:dyDescent="0.15"/>
    <row r="1044108" customFormat="1" x14ac:dyDescent="0.15"/>
    <row r="1044109" customFormat="1" x14ac:dyDescent="0.15"/>
    <row r="1044110" customFormat="1" x14ac:dyDescent="0.15"/>
    <row r="1044111" customFormat="1" x14ac:dyDescent="0.15"/>
    <row r="1044112" customFormat="1" x14ac:dyDescent="0.15"/>
    <row r="1044113" customFormat="1" x14ac:dyDescent="0.15"/>
    <row r="1044114" customFormat="1" x14ac:dyDescent="0.15"/>
    <row r="1044115" customFormat="1" x14ac:dyDescent="0.15"/>
    <row r="1044116" customFormat="1" x14ac:dyDescent="0.15"/>
    <row r="1044117" customFormat="1" x14ac:dyDescent="0.15"/>
    <row r="1044118" customFormat="1" x14ac:dyDescent="0.15"/>
    <row r="1044119" customFormat="1" x14ac:dyDescent="0.15"/>
    <row r="1044120" customFormat="1" x14ac:dyDescent="0.15"/>
    <row r="1044121" customFormat="1" x14ac:dyDescent="0.15"/>
    <row r="1044122" customFormat="1" x14ac:dyDescent="0.15"/>
    <row r="1044123" customFormat="1" x14ac:dyDescent="0.15"/>
    <row r="1044124" customFormat="1" x14ac:dyDescent="0.15"/>
    <row r="1044125" customFormat="1" x14ac:dyDescent="0.15"/>
    <row r="1044126" customFormat="1" x14ac:dyDescent="0.15"/>
    <row r="1044127" customFormat="1" x14ac:dyDescent="0.15"/>
    <row r="1044128" customFormat="1" x14ac:dyDescent="0.15"/>
    <row r="1044129" customFormat="1" x14ac:dyDescent="0.15"/>
    <row r="1044130" customFormat="1" x14ac:dyDescent="0.15"/>
    <row r="1044131" customFormat="1" x14ac:dyDescent="0.15"/>
    <row r="1044132" customFormat="1" x14ac:dyDescent="0.15"/>
    <row r="1044133" customFormat="1" x14ac:dyDescent="0.15"/>
    <row r="1044134" customFormat="1" x14ac:dyDescent="0.15"/>
    <row r="1044135" customFormat="1" x14ac:dyDescent="0.15"/>
    <row r="1044136" customFormat="1" x14ac:dyDescent="0.15"/>
    <row r="1044137" customFormat="1" x14ac:dyDescent="0.15"/>
    <row r="1044138" customFormat="1" x14ac:dyDescent="0.15"/>
    <row r="1044139" customFormat="1" x14ac:dyDescent="0.15"/>
    <row r="1044140" customFormat="1" x14ac:dyDescent="0.15"/>
    <row r="1044141" customFormat="1" x14ac:dyDescent="0.15"/>
    <row r="1044142" customFormat="1" x14ac:dyDescent="0.15"/>
    <row r="1044143" customFormat="1" x14ac:dyDescent="0.15"/>
    <row r="1044144" customFormat="1" x14ac:dyDescent="0.15"/>
    <row r="1044145" customFormat="1" x14ac:dyDescent="0.15"/>
    <row r="1044146" customFormat="1" x14ac:dyDescent="0.15"/>
    <row r="1044147" customFormat="1" x14ac:dyDescent="0.15"/>
    <row r="1044148" customFormat="1" x14ac:dyDescent="0.15"/>
    <row r="1044149" customFormat="1" x14ac:dyDescent="0.15"/>
    <row r="1044150" customFormat="1" x14ac:dyDescent="0.15"/>
    <row r="1044151" customFormat="1" x14ac:dyDescent="0.15"/>
    <row r="1044152" customFormat="1" x14ac:dyDescent="0.15"/>
    <row r="1044153" customFormat="1" x14ac:dyDescent="0.15"/>
    <row r="1044154" customFormat="1" x14ac:dyDescent="0.15"/>
    <row r="1044155" customFormat="1" x14ac:dyDescent="0.15"/>
    <row r="1044156" customFormat="1" x14ac:dyDescent="0.15"/>
    <row r="1044157" customFormat="1" x14ac:dyDescent="0.15"/>
    <row r="1044158" customFormat="1" x14ac:dyDescent="0.15"/>
    <row r="1044159" customFormat="1" x14ac:dyDescent="0.15"/>
    <row r="1044160" customFormat="1" x14ac:dyDescent="0.15"/>
    <row r="1044161" customFormat="1" x14ac:dyDescent="0.15"/>
    <row r="1044162" customFormat="1" x14ac:dyDescent="0.15"/>
    <row r="1044163" customFormat="1" x14ac:dyDescent="0.15"/>
    <row r="1044164" customFormat="1" x14ac:dyDescent="0.15"/>
    <row r="1044165" customFormat="1" x14ac:dyDescent="0.15"/>
    <row r="1044166" customFormat="1" x14ac:dyDescent="0.15"/>
    <row r="1044167" customFormat="1" x14ac:dyDescent="0.15"/>
    <row r="1044168" customFormat="1" x14ac:dyDescent="0.15"/>
    <row r="1044169" customFormat="1" x14ac:dyDescent="0.15"/>
    <row r="1044170" customFormat="1" x14ac:dyDescent="0.15"/>
    <row r="1044171" customFormat="1" x14ac:dyDescent="0.15"/>
    <row r="1044172" customFormat="1" x14ac:dyDescent="0.15"/>
    <row r="1044173" customFormat="1" x14ac:dyDescent="0.15"/>
    <row r="1044174" customFormat="1" x14ac:dyDescent="0.15"/>
    <row r="1044175" customFormat="1" x14ac:dyDescent="0.15"/>
    <row r="1044176" customFormat="1" x14ac:dyDescent="0.15"/>
    <row r="1044177" customFormat="1" x14ac:dyDescent="0.15"/>
    <row r="1044178" customFormat="1" x14ac:dyDescent="0.15"/>
    <row r="1044179" customFormat="1" x14ac:dyDescent="0.15"/>
    <row r="1044180" customFormat="1" x14ac:dyDescent="0.15"/>
    <row r="1044181" customFormat="1" x14ac:dyDescent="0.15"/>
    <row r="1044182" customFormat="1" x14ac:dyDescent="0.15"/>
    <row r="1044183" customFormat="1" x14ac:dyDescent="0.15"/>
    <row r="1044184" customFormat="1" x14ac:dyDescent="0.15"/>
    <row r="1044185" customFormat="1" x14ac:dyDescent="0.15"/>
    <row r="1044186" customFormat="1" x14ac:dyDescent="0.15"/>
    <row r="1044187" customFormat="1" x14ac:dyDescent="0.15"/>
    <row r="1044188" customFormat="1" x14ac:dyDescent="0.15"/>
    <row r="1044189" customFormat="1" x14ac:dyDescent="0.15"/>
    <row r="1044190" customFormat="1" x14ac:dyDescent="0.15"/>
    <row r="1044191" customFormat="1" x14ac:dyDescent="0.15"/>
    <row r="1044192" customFormat="1" x14ac:dyDescent="0.15"/>
    <row r="1044193" customFormat="1" x14ac:dyDescent="0.15"/>
    <row r="1044194" customFormat="1" x14ac:dyDescent="0.15"/>
    <row r="1044195" customFormat="1" x14ac:dyDescent="0.15"/>
    <row r="1044196" customFormat="1" x14ac:dyDescent="0.15"/>
    <row r="1044197" customFormat="1" x14ac:dyDescent="0.15"/>
    <row r="1044198" customFormat="1" x14ac:dyDescent="0.15"/>
    <row r="1044199" customFormat="1" x14ac:dyDescent="0.15"/>
    <row r="1044200" customFormat="1" x14ac:dyDescent="0.15"/>
    <row r="1044201" customFormat="1" x14ac:dyDescent="0.15"/>
    <row r="1044202" customFormat="1" x14ac:dyDescent="0.15"/>
    <row r="1044203" customFormat="1" x14ac:dyDescent="0.15"/>
    <row r="1044204" customFormat="1" x14ac:dyDescent="0.15"/>
    <row r="1044205" customFormat="1" x14ac:dyDescent="0.15"/>
    <row r="1044206" customFormat="1" x14ac:dyDescent="0.15"/>
    <row r="1044207" customFormat="1" x14ac:dyDescent="0.15"/>
    <row r="1044208" customFormat="1" x14ac:dyDescent="0.15"/>
    <row r="1044209" customFormat="1" x14ac:dyDescent="0.15"/>
    <row r="1044210" customFormat="1" x14ac:dyDescent="0.15"/>
    <row r="1044211" customFormat="1" x14ac:dyDescent="0.15"/>
    <row r="1044212" customFormat="1" x14ac:dyDescent="0.15"/>
    <row r="1044213" customFormat="1" x14ac:dyDescent="0.15"/>
    <row r="1044214" customFormat="1" x14ac:dyDescent="0.15"/>
    <row r="1044215" customFormat="1" x14ac:dyDescent="0.15"/>
    <row r="1044216" customFormat="1" x14ac:dyDescent="0.15"/>
    <row r="1044217" customFormat="1" x14ac:dyDescent="0.15"/>
    <row r="1044218" customFormat="1" x14ac:dyDescent="0.15"/>
    <row r="1044219" customFormat="1" x14ac:dyDescent="0.15"/>
    <row r="1044220" customFormat="1" x14ac:dyDescent="0.15"/>
    <row r="1044221" customFormat="1" x14ac:dyDescent="0.15"/>
    <row r="1044222" customFormat="1" x14ac:dyDescent="0.15"/>
    <row r="1044223" customFormat="1" x14ac:dyDescent="0.15"/>
    <row r="1044224" customFormat="1" x14ac:dyDescent="0.15"/>
    <row r="1044225" customFormat="1" x14ac:dyDescent="0.15"/>
    <row r="1044226" customFormat="1" x14ac:dyDescent="0.15"/>
    <row r="1044227" customFormat="1" x14ac:dyDescent="0.15"/>
    <row r="1044228" customFormat="1" x14ac:dyDescent="0.15"/>
    <row r="1044229" customFormat="1" x14ac:dyDescent="0.15"/>
    <row r="1044230" customFormat="1" x14ac:dyDescent="0.15"/>
    <row r="1044231" customFormat="1" x14ac:dyDescent="0.15"/>
    <row r="1044232" customFormat="1" x14ac:dyDescent="0.15"/>
    <row r="1044233" customFormat="1" x14ac:dyDescent="0.15"/>
    <row r="1044234" customFormat="1" x14ac:dyDescent="0.15"/>
    <row r="1044235" customFormat="1" x14ac:dyDescent="0.15"/>
    <row r="1044236" customFormat="1" x14ac:dyDescent="0.15"/>
    <row r="1044237" customFormat="1" x14ac:dyDescent="0.15"/>
    <row r="1044238" customFormat="1" x14ac:dyDescent="0.15"/>
    <row r="1044239" customFormat="1" x14ac:dyDescent="0.15"/>
    <row r="1044240" customFormat="1" x14ac:dyDescent="0.15"/>
    <row r="1044241" customFormat="1" x14ac:dyDescent="0.15"/>
    <row r="1044242" customFormat="1" x14ac:dyDescent="0.15"/>
    <row r="1044243" customFormat="1" x14ac:dyDescent="0.15"/>
    <row r="1044244" customFormat="1" x14ac:dyDescent="0.15"/>
    <row r="1044245" customFormat="1" x14ac:dyDescent="0.15"/>
    <row r="1044246" customFormat="1" x14ac:dyDescent="0.15"/>
    <row r="1044247" customFormat="1" x14ac:dyDescent="0.15"/>
    <row r="1044248" customFormat="1" x14ac:dyDescent="0.15"/>
    <row r="1044249" customFormat="1" x14ac:dyDescent="0.15"/>
    <row r="1044250" customFormat="1" x14ac:dyDescent="0.15"/>
    <row r="1044251" customFormat="1" x14ac:dyDescent="0.15"/>
    <row r="1044252" customFormat="1" x14ac:dyDescent="0.15"/>
    <row r="1044253" customFormat="1" x14ac:dyDescent="0.15"/>
    <row r="1044254" customFormat="1" x14ac:dyDescent="0.15"/>
    <row r="1044255" customFormat="1" x14ac:dyDescent="0.15"/>
    <row r="1044256" customFormat="1" x14ac:dyDescent="0.15"/>
    <row r="1044257" customFormat="1" x14ac:dyDescent="0.15"/>
    <row r="1044258" customFormat="1" x14ac:dyDescent="0.15"/>
    <row r="1044259" customFormat="1" x14ac:dyDescent="0.15"/>
    <row r="1044260" customFormat="1" x14ac:dyDescent="0.15"/>
    <row r="1044261" customFormat="1" x14ac:dyDescent="0.15"/>
    <row r="1044262" customFormat="1" x14ac:dyDescent="0.15"/>
    <row r="1044263" customFormat="1" x14ac:dyDescent="0.15"/>
    <row r="1044264" customFormat="1" x14ac:dyDescent="0.15"/>
    <row r="1044265" customFormat="1" x14ac:dyDescent="0.15"/>
    <row r="1044266" customFormat="1" x14ac:dyDescent="0.15"/>
    <row r="1044267" customFormat="1" x14ac:dyDescent="0.15"/>
    <row r="1044268" customFormat="1" x14ac:dyDescent="0.15"/>
    <row r="1044269" customFormat="1" x14ac:dyDescent="0.15"/>
    <row r="1044270" customFormat="1" x14ac:dyDescent="0.15"/>
    <row r="1044271" customFormat="1" x14ac:dyDescent="0.15"/>
    <row r="1044272" customFormat="1" x14ac:dyDescent="0.15"/>
    <row r="1044273" customFormat="1" x14ac:dyDescent="0.15"/>
    <row r="1044274" customFormat="1" x14ac:dyDescent="0.15"/>
    <row r="1044275" customFormat="1" x14ac:dyDescent="0.15"/>
    <row r="1044276" customFormat="1" x14ac:dyDescent="0.15"/>
    <row r="1044277" customFormat="1" x14ac:dyDescent="0.15"/>
    <row r="1044278" customFormat="1" x14ac:dyDescent="0.15"/>
    <row r="1044279" customFormat="1" x14ac:dyDescent="0.15"/>
    <row r="1044280" customFormat="1" x14ac:dyDescent="0.15"/>
    <row r="1044281" customFormat="1" x14ac:dyDescent="0.15"/>
    <row r="1044282" customFormat="1" x14ac:dyDescent="0.15"/>
    <row r="1044283" customFormat="1" x14ac:dyDescent="0.15"/>
    <row r="1044284" customFormat="1" x14ac:dyDescent="0.15"/>
    <row r="1044285" customFormat="1" x14ac:dyDescent="0.15"/>
    <row r="1044286" customFormat="1" x14ac:dyDescent="0.15"/>
    <row r="1044287" customFormat="1" x14ac:dyDescent="0.15"/>
    <row r="1044288" customFormat="1" x14ac:dyDescent="0.15"/>
    <row r="1044289" customFormat="1" x14ac:dyDescent="0.15"/>
    <row r="1044290" customFormat="1" x14ac:dyDescent="0.15"/>
    <row r="1044291" customFormat="1" x14ac:dyDescent="0.15"/>
    <row r="1044292" customFormat="1" x14ac:dyDescent="0.15"/>
    <row r="1044293" customFormat="1" x14ac:dyDescent="0.15"/>
    <row r="1044294" customFormat="1" x14ac:dyDescent="0.15"/>
    <row r="1044295" customFormat="1" x14ac:dyDescent="0.15"/>
    <row r="1044296" customFormat="1" x14ac:dyDescent="0.15"/>
    <row r="1044297" customFormat="1" x14ac:dyDescent="0.15"/>
    <row r="1044298" customFormat="1" x14ac:dyDescent="0.15"/>
    <row r="1044299" customFormat="1" x14ac:dyDescent="0.15"/>
    <row r="1044300" customFormat="1" x14ac:dyDescent="0.15"/>
    <row r="1044301" customFormat="1" x14ac:dyDescent="0.15"/>
    <row r="1044302" customFormat="1" x14ac:dyDescent="0.15"/>
    <row r="1044303" customFormat="1" x14ac:dyDescent="0.15"/>
    <row r="1044304" customFormat="1" x14ac:dyDescent="0.15"/>
    <row r="1044305" customFormat="1" x14ac:dyDescent="0.15"/>
    <row r="1044306" customFormat="1" x14ac:dyDescent="0.15"/>
    <row r="1044307" customFormat="1" x14ac:dyDescent="0.15"/>
    <row r="1044308" customFormat="1" x14ac:dyDescent="0.15"/>
    <row r="1044309" customFormat="1" x14ac:dyDescent="0.15"/>
    <row r="1044310" customFormat="1" x14ac:dyDescent="0.15"/>
    <row r="1044311" customFormat="1" x14ac:dyDescent="0.15"/>
    <row r="1044312" customFormat="1" x14ac:dyDescent="0.15"/>
    <row r="1044313" customFormat="1" x14ac:dyDescent="0.15"/>
    <row r="1044314" customFormat="1" x14ac:dyDescent="0.15"/>
    <row r="1044315" customFormat="1" x14ac:dyDescent="0.15"/>
    <row r="1044316" customFormat="1" x14ac:dyDescent="0.15"/>
    <row r="1044317" customFormat="1" x14ac:dyDescent="0.15"/>
    <row r="1044318" customFormat="1" x14ac:dyDescent="0.15"/>
    <row r="1044319" customFormat="1" x14ac:dyDescent="0.15"/>
    <row r="1044320" customFormat="1" x14ac:dyDescent="0.15"/>
    <row r="1044321" customFormat="1" x14ac:dyDescent="0.15"/>
    <row r="1044322" customFormat="1" x14ac:dyDescent="0.15"/>
    <row r="1044323" customFormat="1" x14ac:dyDescent="0.15"/>
    <row r="1044324" customFormat="1" x14ac:dyDescent="0.15"/>
    <row r="1044325" customFormat="1" x14ac:dyDescent="0.15"/>
    <row r="1044326" customFormat="1" x14ac:dyDescent="0.15"/>
    <row r="1044327" customFormat="1" x14ac:dyDescent="0.15"/>
    <row r="1044328" customFormat="1" x14ac:dyDescent="0.15"/>
    <row r="1044329" customFormat="1" x14ac:dyDescent="0.15"/>
    <row r="1044330" customFormat="1" x14ac:dyDescent="0.15"/>
    <row r="1044331" customFormat="1" x14ac:dyDescent="0.15"/>
    <row r="1044332" customFormat="1" x14ac:dyDescent="0.15"/>
    <row r="1044333" customFormat="1" x14ac:dyDescent="0.15"/>
    <row r="1044334" customFormat="1" x14ac:dyDescent="0.15"/>
    <row r="1044335" customFormat="1" x14ac:dyDescent="0.15"/>
    <row r="1044336" customFormat="1" x14ac:dyDescent="0.15"/>
    <row r="1044337" customFormat="1" x14ac:dyDescent="0.15"/>
    <row r="1044338" customFormat="1" x14ac:dyDescent="0.15"/>
    <row r="1044339" customFormat="1" x14ac:dyDescent="0.15"/>
    <row r="1044340" customFormat="1" x14ac:dyDescent="0.15"/>
    <row r="1044341" customFormat="1" x14ac:dyDescent="0.15"/>
    <row r="1044342" customFormat="1" x14ac:dyDescent="0.15"/>
    <row r="1044343" customFormat="1" x14ac:dyDescent="0.15"/>
    <row r="1044344" customFormat="1" x14ac:dyDescent="0.15"/>
    <row r="1044345" customFormat="1" x14ac:dyDescent="0.15"/>
    <row r="1044346" customFormat="1" x14ac:dyDescent="0.15"/>
    <row r="1044347" customFormat="1" x14ac:dyDescent="0.15"/>
    <row r="1044348" customFormat="1" x14ac:dyDescent="0.15"/>
    <row r="1044349" customFormat="1" x14ac:dyDescent="0.15"/>
    <row r="1044350" customFormat="1" x14ac:dyDescent="0.15"/>
    <row r="1044351" customFormat="1" x14ac:dyDescent="0.15"/>
    <row r="1044352" customFormat="1" x14ac:dyDescent="0.15"/>
    <row r="1044353" customFormat="1" x14ac:dyDescent="0.15"/>
    <row r="1044354" customFormat="1" x14ac:dyDescent="0.15"/>
    <row r="1044355" customFormat="1" x14ac:dyDescent="0.15"/>
    <row r="1044356" customFormat="1" x14ac:dyDescent="0.15"/>
    <row r="1044357" customFormat="1" x14ac:dyDescent="0.15"/>
    <row r="1044358" customFormat="1" x14ac:dyDescent="0.15"/>
    <row r="1044359" customFormat="1" x14ac:dyDescent="0.15"/>
    <row r="1044360" customFormat="1" x14ac:dyDescent="0.15"/>
    <row r="1044361" customFormat="1" x14ac:dyDescent="0.15"/>
    <row r="1044362" customFormat="1" x14ac:dyDescent="0.15"/>
    <row r="1044363" customFormat="1" x14ac:dyDescent="0.15"/>
    <row r="1044364" customFormat="1" x14ac:dyDescent="0.15"/>
    <row r="1044365" customFormat="1" x14ac:dyDescent="0.15"/>
    <row r="1044366" customFormat="1" x14ac:dyDescent="0.15"/>
    <row r="1044367" customFormat="1" x14ac:dyDescent="0.15"/>
    <row r="1044368" customFormat="1" x14ac:dyDescent="0.15"/>
    <row r="1044369" customFormat="1" x14ac:dyDescent="0.15"/>
    <row r="1044370" customFormat="1" x14ac:dyDescent="0.15"/>
    <row r="1044371" customFormat="1" x14ac:dyDescent="0.15"/>
    <row r="1044372" customFormat="1" x14ac:dyDescent="0.15"/>
    <row r="1044373" customFormat="1" x14ac:dyDescent="0.15"/>
    <row r="1044374" customFormat="1" x14ac:dyDescent="0.15"/>
    <row r="1044375" customFormat="1" x14ac:dyDescent="0.15"/>
    <row r="1044376" customFormat="1" x14ac:dyDescent="0.15"/>
    <row r="1044377" customFormat="1" x14ac:dyDescent="0.15"/>
    <row r="1044378" customFormat="1" x14ac:dyDescent="0.15"/>
    <row r="1044379" customFormat="1" x14ac:dyDescent="0.15"/>
    <row r="1044380" customFormat="1" x14ac:dyDescent="0.15"/>
    <row r="1044381" customFormat="1" x14ac:dyDescent="0.15"/>
    <row r="1044382" customFormat="1" x14ac:dyDescent="0.15"/>
    <row r="1044383" customFormat="1" x14ac:dyDescent="0.15"/>
    <row r="1044384" customFormat="1" x14ac:dyDescent="0.15"/>
    <row r="1044385" customFormat="1" x14ac:dyDescent="0.15"/>
    <row r="1044386" customFormat="1" x14ac:dyDescent="0.15"/>
    <row r="1044387" customFormat="1" x14ac:dyDescent="0.15"/>
    <row r="1044388" customFormat="1" x14ac:dyDescent="0.15"/>
    <row r="1044389" customFormat="1" x14ac:dyDescent="0.15"/>
    <row r="1044390" customFormat="1" x14ac:dyDescent="0.15"/>
    <row r="1044391" customFormat="1" x14ac:dyDescent="0.15"/>
    <row r="1044392" customFormat="1" x14ac:dyDescent="0.15"/>
    <row r="1044393" customFormat="1" x14ac:dyDescent="0.15"/>
    <row r="1044394" customFormat="1" x14ac:dyDescent="0.15"/>
    <row r="1044395" customFormat="1" x14ac:dyDescent="0.15"/>
    <row r="1044396" customFormat="1" x14ac:dyDescent="0.15"/>
    <row r="1044397" customFormat="1" x14ac:dyDescent="0.15"/>
    <row r="1044398" customFormat="1" x14ac:dyDescent="0.15"/>
    <row r="1044399" customFormat="1" x14ac:dyDescent="0.15"/>
    <row r="1044400" customFormat="1" x14ac:dyDescent="0.15"/>
    <row r="1044401" customFormat="1" x14ac:dyDescent="0.15"/>
    <row r="1044402" customFormat="1" x14ac:dyDescent="0.15"/>
    <row r="1044403" customFormat="1" x14ac:dyDescent="0.15"/>
    <row r="1044404" customFormat="1" x14ac:dyDescent="0.15"/>
    <row r="1044405" customFormat="1" x14ac:dyDescent="0.15"/>
    <row r="1044406" customFormat="1" x14ac:dyDescent="0.15"/>
    <row r="1044407" customFormat="1" x14ac:dyDescent="0.15"/>
    <row r="1044408" customFormat="1" x14ac:dyDescent="0.15"/>
    <row r="1044409" customFormat="1" x14ac:dyDescent="0.15"/>
    <row r="1044410" customFormat="1" x14ac:dyDescent="0.15"/>
    <row r="1044411" customFormat="1" x14ac:dyDescent="0.15"/>
    <row r="1044412" customFormat="1" x14ac:dyDescent="0.15"/>
    <row r="1044413" customFormat="1" x14ac:dyDescent="0.15"/>
    <row r="1044414" customFormat="1" x14ac:dyDescent="0.15"/>
    <row r="1044415" customFormat="1" x14ac:dyDescent="0.15"/>
    <row r="1044416" customFormat="1" x14ac:dyDescent="0.15"/>
    <row r="1044417" customFormat="1" x14ac:dyDescent="0.15"/>
    <row r="1044418" customFormat="1" x14ac:dyDescent="0.15"/>
    <row r="1044419" customFormat="1" x14ac:dyDescent="0.15"/>
    <row r="1044420" customFormat="1" x14ac:dyDescent="0.15"/>
    <row r="1044421" customFormat="1" x14ac:dyDescent="0.15"/>
    <row r="1044422" customFormat="1" x14ac:dyDescent="0.15"/>
    <row r="1044423" customFormat="1" x14ac:dyDescent="0.15"/>
    <row r="1044424" customFormat="1" x14ac:dyDescent="0.15"/>
    <row r="1044425" customFormat="1" x14ac:dyDescent="0.15"/>
    <row r="1044426" customFormat="1" x14ac:dyDescent="0.15"/>
    <row r="1044427" customFormat="1" x14ac:dyDescent="0.15"/>
    <row r="1044428" customFormat="1" x14ac:dyDescent="0.15"/>
    <row r="1044429" customFormat="1" x14ac:dyDescent="0.15"/>
    <row r="1044430" customFormat="1" x14ac:dyDescent="0.15"/>
    <row r="1044431" customFormat="1" x14ac:dyDescent="0.15"/>
    <row r="1044432" customFormat="1" x14ac:dyDescent="0.15"/>
    <row r="1044433" customFormat="1" x14ac:dyDescent="0.15"/>
    <row r="1044434" customFormat="1" x14ac:dyDescent="0.15"/>
    <row r="1044435" customFormat="1" x14ac:dyDescent="0.15"/>
    <row r="1044436" customFormat="1" x14ac:dyDescent="0.15"/>
    <row r="1044437" customFormat="1" x14ac:dyDescent="0.15"/>
    <row r="1044438" customFormat="1" x14ac:dyDescent="0.15"/>
    <row r="1044439" customFormat="1" x14ac:dyDescent="0.15"/>
    <row r="1044440" customFormat="1" x14ac:dyDescent="0.15"/>
    <row r="1044441" customFormat="1" x14ac:dyDescent="0.15"/>
    <row r="1044442" customFormat="1" x14ac:dyDescent="0.15"/>
    <row r="1044443" customFormat="1" x14ac:dyDescent="0.15"/>
    <row r="1044444" customFormat="1" x14ac:dyDescent="0.15"/>
    <row r="1044445" customFormat="1" x14ac:dyDescent="0.15"/>
    <row r="1044446" customFormat="1" x14ac:dyDescent="0.15"/>
    <row r="1044447" customFormat="1" x14ac:dyDescent="0.15"/>
    <row r="1044448" customFormat="1" x14ac:dyDescent="0.15"/>
    <row r="1044449" customFormat="1" x14ac:dyDescent="0.15"/>
    <row r="1044450" customFormat="1" x14ac:dyDescent="0.15"/>
    <row r="1044451" customFormat="1" x14ac:dyDescent="0.15"/>
    <row r="1044452" customFormat="1" x14ac:dyDescent="0.15"/>
    <row r="1044453" customFormat="1" x14ac:dyDescent="0.15"/>
    <row r="1044454" customFormat="1" x14ac:dyDescent="0.15"/>
    <row r="1044455" customFormat="1" x14ac:dyDescent="0.15"/>
    <row r="1044456" customFormat="1" x14ac:dyDescent="0.15"/>
    <row r="1044457" customFormat="1" x14ac:dyDescent="0.15"/>
    <row r="1044458" customFormat="1" x14ac:dyDescent="0.15"/>
    <row r="1044459" customFormat="1" x14ac:dyDescent="0.15"/>
    <row r="1044460" customFormat="1" x14ac:dyDescent="0.15"/>
    <row r="1044461" customFormat="1" x14ac:dyDescent="0.15"/>
    <row r="1044462" customFormat="1" x14ac:dyDescent="0.15"/>
    <row r="1044463" customFormat="1" x14ac:dyDescent="0.15"/>
    <row r="1044464" customFormat="1" x14ac:dyDescent="0.15"/>
    <row r="1044465" customFormat="1" x14ac:dyDescent="0.15"/>
    <row r="1044466" customFormat="1" x14ac:dyDescent="0.15"/>
    <row r="1044467" customFormat="1" x14ac:dyDescent="0.15"/>
    <row r="1044468" customFormat="1" x14ac:dyDescent="0.15"/>
    <row r="1044469" customFormat="1" x14ac:dyDescent="0.15"/>
    <row r="1044470" customFormat="1" x14ac:dyDescent="0.15"/>
    <row r="1044471" customFormat="1" x14ac:dyDescent="0.15"/>
    <row r="1044472" customFormat="1" x14ac:dyDescent="0.15"/>
    <row r="1044473" customFormat="1" x14ac:dyDescent="0.15"/>
    <row r="1044474" customFormat="1" x14ac:dyDescent="0.15"/>
    <row r="1044475" customFormat="1" x14ac:dyDescent="0.15"/>
    <row r="1044476" customFormat="1" x14ac:dyDescent="0.15"/>
    <row r="1044477" customFormat="1" x14ac:dyDescent="0.15"/>
    <row r="1044478" customFormat="1" x14ac:dyDescent="0.15"/>
    <row r="1044479" customFormat="1" x14ac:dyDescent="0.15"/>
    <row r="1044480" customFormat="1" x14ac:dyDescent="0.15"/>
    <row r="1044481" customFormat="1" x14ac:dyDescent="0.15"/>
    <row r="1044482" customFormat="1" x14ac:dyDescent="0.15"/>
    <row r="1044483" customFormat="1" x14ac:dyDescent="0.15"/>
    <row r="1044484" customFormat="1" x14ac:dyDescent="0.15"/>
    <row r="1044485" customFormat="1" x14ac:dyDescent="0.15"/>
    <row r="1044486" customFormat="1" x14ac:dyDescent="0.15"/>
    <row r="1044487" customFormat="1" x14ac:dyDescent="0.15"/>
    <row r="1044488" customFormat="1" x14ac:dyDescent="0.15"/>
    <row r="1044489" customFormat="1" x14ac:dyDescent="0.15"/>
    <row r="1044490" customFormat="1" x14ac:dyDescent="0.15"/>
    <row r="1044491" customFormat="1" x14ac:dyDescent="0.15"/>
    <row r="1044492" customFormat="1" x14ac:dyDescent="0.15"/>
    <row r="1044493" customFormat="1" x14ac:dyDescent="0.15"/>
    <row r="1044494" customFormat="1" x14ac:dyDescent="0.15"/>
    <row r="1044495" customFormat="1" x14ac:dyDescent="0.15"/>
    <row r="1044496" customFormat="1" x14ac:dyDescent="0.15"/>
    <row r="1044497" customFormat="1" x14ac:dyDescent="0.15"/>
    <row r="1044498" customFormat="1" x14ac:dyDescent="0.15"/>
    <row r="1044499" customFormat="1" x14ac:dyDescent="0.15"/>
    <row r="1044500" customFormat="1" x14ac:dyDescent="0.15"/>
    <row r="1044501" customFormat="1" x14ac:dyDescent="0.15"/>
    <row r="1044502" customFormat="1" x14ac:dyDescent="0.15"/>
    <row r="1044503" customFormat="1" x14ac:dyDescent="0.15"/>
    <row r="1044504" customFormat="1" x14ac:dyDescent="0.15"/>
    <row r="1044505" customFormat="1" x14ac:dyDescent="0.15"/>
    <row r="1044506" customFormat="1" x14ac:dyDescent="0.15"/>
    <row r="1044507" customFormat="1" x14ac:dyDescent="0.15"/>
    <row r="1044508" customFormat="1" x14ac:dyDescent="0.15"/>
    <row r="1044509" customFormat="1" x14ac:dyDescent="0.15"/>
    <row r="1044510" customFormat="1" x14ac:dyDescent="0.15"/>
    <row r="1044511" customFormat="1" x14ac:dyDescent="0.15"/>
    <row r="1044512" customFormat="1" x14ac:dyDescent="0.15"/>
    <row r="1044513" customFormat="1" x14ac:dyDescent="0.15"/>
    <row r="1044514" customFormat="1" x14ac:dyDescent="0.15"/>
    <row r="1044515" customFormat="1" x14ac:dyDescent="0.15"/>
    <row r="1044516" customFormat="1" x14ac:dyDescent="0.15"/>
    <row r="1044517" customFormat="1" x14ac:dyDescent="0.15"/>
    <row r="1044518" customFormat="1" x14ac:dyDescent="0.15"/>
    <row r="1044519" customFormat="1" x14ac:dyDescent="0.15"/>
    <row r="1044520" customFormat="1" x14ac:dyDescent="0.15"/>
    <row r="1044521" customFormat="1" x14ac:dyDescent="0.15"/>
    <row r="1044522" customFormat="1" x14ac:dyDescent="0.15"/>
    <row r="1044523" customFormat="1" x14ac:dyDescent="0.15"/>
    <row r="1044524" customFormat="1" x14ac:dyDescent="0.15"/>
    <row r="1044525" customFormat="1" x14ac:dyDescent="0.15"/>
    <row r="1044526" customFormat="1" x14ac:dyDescent="0.15"/>
    <row r="1044527" customFormat="1" x14ac:dyDescent="0.15"/>
    <row r="1044528" customFormat="1" x14ac:dyDescent="0.15"/>
    <row r="1044529" customFormat="1" x14ac:dyDescent="0.15"/>
    <row r="1044530" customFormat="1" x14ac:dyDescent="0.15"/>
    <row r="1044531" customFormat="1" x14ac:dyDescent="0.15"/>
    <row r="1044532" customFormat="1" x14ac:dyDescent="0.15"/>
    <row r="1044533" customFormat="1" x14ac:dyDescent="0.15"/>
    <row r="1044534" customFormat="1" x14ac:dyDescent="0.15"/>
    <row r="1044535" customFormat="1" x14ac:dyDescent="0.15"/>
    <row r="1044536" customFormat="1" x14ac:dyDescent="0.15"/>
    <row r="1044537" customFormat="1" x14ac:dyDescent="0.15"/>
    <row r="1044538" customFormat="1" x14ac:dyDescent="0.15"/>
    <row r="1044539" customFormat="1" x14ac:dyDescent="0.15"/>
    <row r="1044540" customFormat="1" x14ac:dyDescent="0.15"/>
    <row r="1044541" customFormat="1" x14ac:dyDescent="0.15"/>
    <row r="1044542" customFormat="1" x14ac:dyDescent="0.15"/>
    <row r="1044543" customFormat="1" x14ac:dyDescent="0.15"/>
    <row r="1044544" customFormat="1" x14ac:dyDescent="0.15"/>
    <row r="1044545" customFormat="1" x14ac:dyDescent="0.15"/>
    <row r="1044546" customFormat="1" x14ac:dyDescent="0.15"/>
    <row r="1044547" customFormat="1" x14ac:dyDescent="0.15"/>
    <row r="1044548" customFormat="1" x14ac:dyDescent="0.15"/>
    <row r="1044549" customFormat="1" x14ac:dyDescent="0.15"/>
    <row r="1044550" customFormat="1" x14ac:dyDescent="0.15"/>
    <row r="1044551" customFormat="1" x14ac:dyDescent="0.15"/>
    <row r="1044552" customFormat="1" x14ac:dyDescent="0.15"/>
    <row r="1044553" customFormat="1" x14ac:dyDescent="0.15"/>
    <row r="1044554" customFormat="1" x14ac:dyDescent="0.15"/>
    <row r="1044555" customFormat="1" x14ac:dyDescent="0.15"/>
    <row r="1044556" customFormat="1" x14ac:dyDescent="0.15"/>
    <row r="1044557" customFormat="1" x14ac:dyDescent="0.15"/>
    <row r="1044558" customFormat="1" x14ac:dyDescent="0.15"/>
    <row r="1044559" customFormat="1" x14ac:dyDescent="0.15"/>
    <row r="1044560" customFormat="1" x14ac:dyDescent="0.15"/>
    <row r="1044561" customFormat="1" x14ac:dyDescent="0.15"/>
    <row r="1044562" customFormat="1" x14ac:dyDescent="0.15"/>
    <row r="1044563" customFormat="1" x14ac:dyDescent="0.15"/>
    <row r="1044564" customFormat="1" x14ac:dyDescent="0.15"/>
    <row r="1044565" customFormat="1" x14ac:dyDescent="0.15"/>
    <row r="1044566" customFormat="1" x14ac:dyDescent="0.15"/>
    <row r="1044567" customFormat="1" x14ac:dyDescent="0.15"/>
    <row r="1044568" customFormat="1" x14ac:dyDescent="0.15"/>
    <row r="1044569" customFormat="1" x14ac:dyDescent="0.15"/>
    <row r="1044570" customFormat="1" x14ac:dyDescent="0.15"/>
    <row r="1044571" customFormat="1" x14ac:dyDescent="0.15"/>
    <row r="1044572" customFormat="1" x14ac:dyDescent="0.15"/>
    <row r="1044573" customFormat="1" x14ac:dyDescent="0.15"/>
    <row r="1044574" customFormat="1" x14ac:dyDescent="0.15"/>
    <row r="1044575" customFormat="1" x14ac:dyDescent="0.15"/>
    <row r="1044576" customFormat="1" x14ac:dyDescent="0.15"/>
    <row r="1044577" customFormat="1" x14ac:dyDescent="0.15"/>
    <row r="1044578" customFormat="1" x14ac:dyDescent="0.15"/>
    <row r="1044579" customFormat="1" x14ac:dyDescent="0.15"/>
    <row r="1044580" customFormat="1" x14ac:dyDescent="0.15"/>
    <row r="1044581" customFormat="1" x14ac:dyDescent="0.15"/>
    <row r="1044582" customFormat="1" x14ac:dyDescent="0.15"/>
    <row r="1044583" customFormat="1" x14ac:dyDescent="0.15"/>
    <row r="1044584" customFormat="1" x14ac:dyDescent="0.15"/>
    <row r="1044585" customFormat="1" x14ac:dyDescent="0.15"/>
    <row r="1044586" customFormat="1" x14ac:dyDescent="0.15"/>
    <row r="1044587" customFormat="1" x14ac:dyDescent="0.15"/>
    <row r="1044588" customFormat="1" x14ac:dyDescent="0.15"/>
    <row r="1044589" customFormat="1" x14ac:dyDescent="0.15"/>
    <row r="1044590" customFormat="1" x14ac:dyDescent="0.15"/>
    <row r="1044591" customFormat="1" x14ac:dyDescent="0.15"/>
    <row r="1044592" customFormat="1" x14ac:dyDescent="0.15"/>
    <row r="1044593" customFormat="1" x14ac:dyDescent="0.15"/>
    <row r="1044594" customFormat="1" x14ac:dyDescent="0.15"/>
    <row r="1044595" customFormat="1" x14ac:dyDescent="0.15"/>
    <row r="1044596" customFormat="1" x14ac:dyDescent="0.15"/>
    <row r="1044597" customFormat="1" x14ac:dyDescent="0.15"/>
    <row r="1044598" customFormat="1" x14ac:dyDescent="0.15"/>
    <row r="1044599" customFormat="1" x14ac:dyDescent="0.15"/>
    <row r="1044600" customFormat="1" x14ac:dyDescent="0.15"/>
    <row r="1044601" customFormat="1" x14ac:dyDescent="0.15"/>
    <row r="1044602" customFormat="1" x14ac:dyDescent="0.15"/>
    <row r="1044603" customFormat="1" x14ac:dyDescent="0.15"/>
    <row r="1044604" customFormat="1" x14ac:dyDescent="0.15"/>
    <row r="1044605" customFormat="1" x14ac:dyDescent="0.15"/>
    <row r="1044606" customFormat="1" x14ac:dyDescent="0.15"/>
    <row r="1044607" customFormat="1" x14ac:dyDescent="0.15"/>
    <row r="1044608" customFormat="1" x14ac:dyDescent="0.15"/>
    <row r="1044609" customFormat="1" x14ac:dyDescent="0.15"/>
    <row r="1044610" customFormat="1" x14ac:dyDescent="0.15"/>
    <row r="1044611" customFormat="1" x14ac:dyDescent="0.15"/>
    <row r="1044612" customFormat="1" x14ac:dyDescent="0.15"/>
    <row r="1044613" customFormat="1" x14ac:dyDescent="0.15"/>
    <row r="1044614" customFormat="1" x14ac:dyDescent="0.15"/>
    <row r="1044615" customFormat="1" x14ac:dyDescent="0.15"/>
    <row r="1044616" customFormat="1" x14ac:dyDescent="0.15"/>
    <row r="1044617" customFormat="1" x14ac:dyDescent="0.15"/>
    <row r="1044618" customFormat="1" x14ac:dyDescent="0.15"/>
    <row r="1044619" customFormat="1" x14ac:dyDescent="0.15"/>
    <row r="1044620" customFormat="1" x14ac:dyDescent="0.15"/>
    <row r="1044621" customFormat="1" x14ac:dyDescent="0.15"/>
    <row r="1044622" customFormat="1" x14ac:dyDescent="0.15"/>
    <row r="1044623" customFormat="1" x14ac:dyDescent="0.15"/>
    <row r="1044624" customFormat="1" x14ac:dyDescent="0.15"/>
    <row r="1044625" customFormat="1" x14ac:dyDescent="0.15"/>
    <row r="1044626" customFormat="1" x14ac:dyDescent="0.15"/>
    <row r="1044627" customFormat="1" x14ac:dyDescent="0.15"/>
    <row r="1044628" customFormat="1" x14ac:dyDescent="0.15"/>
    <row r="1044629" customFormat="1" x14ac:dyDescent="0.15"/>
    <row r="1044630" customFormat="1" x14ac:dyDescent="0.15"/>
    <row r="1044631" customFormat="1" x14ac:dyDescent="0.15"/>
    <row r="1044632" customFormat="1" x14ac:dyDescent="0.15"/>
    <row r="1044633" customFormat="1" x14ac:dyDescent="0.15"/>
    <row r="1044634" customFormat="1" x14ac:dyDescent="0.15"/>
    <row r="1044635" customFormat="1" x14ac:dyDescent="0.15"/>
    <row r="1044636" customFormat="1" x14ac:dyDescent="0.15"/>
    <row r="1044637" customFormat="1" x14ac:dyDescent="0.15"/>
    <row r="1044638" customFormat="1" x14ac:dyDescent="0.15"/>
    <row r="1044639" customFormat="1" x14ac:dyDescent="0.15"/>
    <row r="1044640" customFormat="1" x14ac:dyDescent="0.15"/>
    <row r="1044641" customFormat="1" x14ac:dyDescent="0.15"/>
    <row r="1044642" customFormat="1" x14ac:dyDescent="0.15"/>
    <row r="1044643" customFormat="1" x14ac:dyDescent="0.15"/>
    <row r="1044644" customFormat="1" x14ac:dyDescent="0.15"/>
    <row r="1044645" customFormat="1" x14ac:dyDescent="0.15"/>
    <row r="1044646" customFormat="1" x14ac:dyDescent="0.15"/>
    <row r="1044647" customFormat="1" x14ac:dyDescent="0.15"/>
    <row r="1044648" customFormat="1" x14ac:dyDescent="0.15"/>
    <row r="1044649" customFormat="1" x14ac:dyDescent="0.15"/>
    <row r="1044650" customFormat="1" x14ac:dyDescent="0.15"/>
    <row r="1044651" customFormat="1" x14ac:dyDescent="0.15"/>
    <row r="1044652" customFormat="1" x14ac:dyDescent="0.15"/>
    <row r="1044653" customFormat="1" x14ac:dyDescent="0.15"/>
    <row r="1044654" customFormat="1" x14ac:dyDescent="0.15"/>
    <row r="1044655" customFormat="1" x14ac:dyDescent="0.15"/>
    <row r="1044656" customFormat="1" x14ac:dyDescent="0.15"/>
    <row r="1044657" customFormat="1" x14ac:dyDescent="0.15"/>
    <row r="1044658" customFormat="1" x14ac:dyDescent="0.15"/>
    <row r="1044659" customFormat="1" x14ac:dyDescent="0.15"/>
    <row r="1044660" customFormat="1" x14ac:dyDescent="0.15"/>
    <row r="1044661" customFormat="1" x14ac:dyDescent="0.15"/>
    <row r="1044662" customFormat="1" x14ac:dyDescent="0.15"/>
    <row r="1044663" customFormat="1" x14ac:dyDescent="0.15"/>
    <row r="1044664" customFormat="1" x14ac:dyDescent="0.15"/>
    <row r="1044665" customFormat="1" x14ac:dyDescent="0.15"/>
    <row r="1044666" customFormat="1" x14ac:dyDescent="0.15"/>
    <row r="1044667" customFormat="1" x14ac:dyDescent="0.15"/>
    <row r="1044668" customFormat="1" x14ac:dyDescent="0.15"/>
    <row r="1044669" customFormat="1" x14ac:dyDescent="0.15"/>
    <row r="1044670" customFormat="1" x14ac:dyDescent="0.15"/>
    <row r="1044671" customFormat="1" x14ac:dyDescent="0.15"/>
    <row r="1044672" customFormat="1" x14ac:dyDescent="0.15"/>
    <row r="1044673" customFormat="1" x14ac:dyDescent="0.15"/>
    <row r="1044674" customFormat="1" x14ac:dyDescent="0.15"/>
    <row r="1044675" customFormat="1" x14ac:dyDescent="0.15"/>
    <row r="1044676" customFormat="1" x14ac:dyDescent="0.15"/>
    <row r="1044677" customFormat="1" x14ac:dyDescent="0.15"/>
    <row r="1044678" customFormat="1" x14ac:dyDescent="0.15"/>
    <row r="1044679" customFormat="1" x14ac:dyDescent="0.15"/>
    <row r="1044680" customFormat="1" x14ac:dyDescent="0.15"/>
    <row r="1044681" customFormat="1" x14ac:dyDescent="0.15"/>
    <row r="1044682" customFormat="1" x14ac:dyDescent="0.15"/>
    <row r="1044683" customFormat="1" x14ac:dyDescent="0.15"/>
    <row r="1044684" customFormat="1" x14ac:dyDescent="0.15"/>
    <row r="1044685" customFormat="1" x14ac:dyDescent="0.15"/>
    <row r="1044686" customFormat="1" x14ac:dyDescent="0.15"/>
    <row r="1044687" customFormat="1" x14ac:dyDescent="0.15"/>
    <row r="1044688" customFormat="1" x14ac:dyDescent="0.15"/>
    <row r="1044689" customFormat="1" x14ac:dyDescent="0.15"/>
    <row r="1044690" customFormat="1" x14ac:dyDescent="0.15"/>
    <row r="1044691" customFormat="1" x14ac:dyDescent="0.15"/>
    <row r="1044692" customFormat="1" x14ac:dyDescent="0.15"/>
    <row r="1044693" customFormat="1" x14ac:dyDescent="0.15"/>
    <row r="1044694" customFormat="1" x14ac:dyDescent="0.15"/>
    <row r="1044695" customFormat="1" x14ac:dyDescent="0.15"/>
    <row r="1044696" customFormat="1" x14ac:dyDescent="0.15"/>
    <row r="1044697" customFormat="1" x14ac:dyDescent="0.15"/>
    <row r="1044698" customFormat="1" x14ac:dyDescent="0.15"/>
    <row r="1044699" customFormat="1" x14ac:dyDescent="0.15"/>
    <row r="1044700" customFormat="1" x14ac:dyDescent="0.15"/>
    <row r="1044701" customFormat="1" x14ac:dyDescent="0.15"/>
    <row r="1044702" customFormat="1" x14ac:dyDescent="0.15"/>
    <row r="1044703" customFormat="1" x14ac:dyDescent="0.15"/>
    <row r="1044704" customFormat="1" x14ac:dyDescent="0.15"/>
    <row r="1044705" customFormat="1" x14ac:dyDescent="0.15"/>
    <row r="1044706" customFormat="1" x14ac:dyDescent="0.15"/>
    <row r="1044707" customFormat="1" x14ac:dyDescent="0.15"/>
    <row r="1044708" customFormat="1" x14ac:dyDescent="0.15"/>
    <row r="1044709" customFormat="1" x14ac:dyDescent="0.15"/>
    <row r="1044710" customFormat="1" x14ac:dyDescent="0.15"/>
    <row r="1044711" customFormat="1" x14ac:dyDescent="0.15"/>
    <row r="1044712" customFormat="1" x14ac:dyDescent="0.15"/>
    <row r="1044713" customFormat="1" x14ac:dyDescent="0.15"/>
    <row r="1044714" customFormat="1" x14ac:dyDescent="0.15"/>
    <row r="1044715" customFormat="1" x14ac:dyDescent="0.15"/>
    <row r="1044716" customFormat="1" x14ac:dyDescent="0.15"/>
    <row r="1044717" customFormat="1" x14ac:dyDescent="0.15"/>
    <row r="1044718" customFormat="1" x14ac:dyDescent="0.15"/>
    <row r="1044719" customFormat="1" x14ac:dyDescent="0.15"/>
    <row r="1044720" customFormat="1" x14ac:dyDescent="0.15"/>
    <row r="1044721" customFormat="1" x14ac:dyDescent="0.15"/>
    <row r="1044722" customFormat="1" x14ac:dyDescent="0.15"/>
    <row r="1044723" customFormat="1" x14ac:dyDescent="0.15"/>
    <row r="1044724" customFormat="1" x14ac:dyDescent="0.15"/>
    <row r="1044725" customFormat="1" x14ac:dyDescent="0.15"/>
    <row r="1044726" customFormat="1" x14ac:dyDescent="0.15"/>
    <row r="1044727" customFormat="1" x14ac:dyDescent="0.15"/>
    <row r="1044728" customFormat="1" x14ac:dyDescent="0.15"/>
    <row r="1044729" customFormat="1" x14ac:dyDescent="0.15"/>
    <row r="1044730" customFormat="1" x14ac:dyDescent="0.15"/>
    <row r="1044731" customFormat="1" x14ac:dyDescent="0.15"/>
    <row r="1044732" customFormat="1" x14ac:dyDescent="0.15"/>
    <row r="1044733" customFormat="1" x14ac:dyDescent="0.15"/>
    <row r="1044734" customFormat="1" x14ac:dyDescent="0.15"/>
    <row r="1044735" customFormat="1" x14ac:dyDescent="0.15"/>
    <row r="1044736" customFormat="1" x14ac:dyDescent="0.15"/>
    <row r="1044737" customFormat="1" x14ac:dyDescent="0.15"/>
    <row r="1044738" customFormat="1" x14ac:dyDescent="0.15"/>
    <row r="1044739" customFormat="1" x14ac:dyDescent="0.15"/>
    <row r="1044740" customFormat="1" x14ac:dyDescent="0.15"/>
    <row r="1044741" customFormat="1" x14ac:dyDescent="0.15"/>
    <row r="1044742" customFormat="1" x14ac:dyDescent="0.15"/>
    <row r="1044743" customFormat="1" x14ac:dyDescent="0.15"/>
    <row r="1044744" customFormat="1" x14ac:dyDescent="0.15"/>
    <row r="1044745" customFormat="1" x14ac:dyDescent="0.15"/>
    <row r="1044746" customFormat="1" x14ac:dyDescent="0.15"/>
    <row r="1044747" customFormat="1" x14ac:dyDescent="0.15"/>
    <row r="1044748" customFormat="1" x14ac:dyDescent="0.15"/>
    <row r="1044749" customFormat="1" x14ac:dyDescent="0.15"/>
    <row r="1044750" customFormat="1" x14ac:dyDescent="0.15"/>
    <row r="1044751" customFormat="1" x14ac:dyDescent="0.15"/>
    <row r="1044752" customFormat="1" x14ac:dyDescent="0.15"/>
    <row r="1044753" customFormat="1" x14ac:dyDescent="0.15"/>
    <row r="1044754" customFormat="1" x14ac:dyDescent="0.15"/>
    <row r="1044755" customFormat="1" x14ac:dyDescent="0.15"/>
    <row r="1044756" customFormat="1" x14ac:dyDescent="0.15"/>
    <row r="1044757" customFormat="1" x14ac:dyDescent="0.15"/>
    <row r="1044758" customFormat="1" x14ac:dyDescent="0.15"/>
    <row r="1044759" customFormat="1" x14ac:dyDescent="0.15"/>
    <row r="1044760" customFormat="1" x14ac:dyDescent="0.15"/>
    <row r="1044761" customFormat="1" x14ac:dyDescent="0.15"/>
    <row r="1044762" customFormat="1" x14ac:dyDescent="0.15"/>
    <row r="1044763" customFormat="1" x14ac:dyDescent="0.15"/>
    <row r="1044764" customFormat="1" x14ac:dyDescent="0.15"/>
    <row r="1044765" customFormat="1" x14ac:dyDescent="0.15"/>
    <row r="1044766" customFormat="1" x14ac:dyDescent="0.15"/>
    <row r="1044767" customFormat="1" x14ac:dyDescent="0.15"/>
    <row r="1044768" customFormat="1" x14ac:dyDescent="0.15"/>
    <row r="1044769" customFormat="1" x14ac:dyDescent="0.15"/>
    <row r="1044770" customFormat="1" x14ac:dyDescent="0.15"/>
    <row r="1044771" customFormat="1" x14ac:dyDescent="0.15"/>
    <row r="1044772" customFormat="1" x14ac:dyDescent="0.15"/>
    <row r="1044773" customFormat="1" x14ac:dyDescent="0.15"/>
    <row r="1044774" customFormat="1" x14ac:dyDescent="0.15"/>
    <row r="1044775" customFormat="1" x14ac:dyDescent="0.15"/>
    <row r="1044776" customFormat="1" x14ac:dyDescent="0.15"/>
    <row r="1044777" customFormat="1" x14ac:dyDescent="0.15"/>
    <row r="1044778" customFormat="1" x14ac:dyDescent="0.15"/>
    <row r="1044779" customFormat="1" x14ac:dyDescent="0.15"/>
    <row r="1044780" customFormat="1" x14ac:dyDescent="0.15"/>
    <row r="1044781" customFormat="1" x14ac:dyDescent="0.15"/>
    <row r="1044782" customFormat="1" x14ac:dyDescent="0.15"/>
    <row r="1044783" customFormat="1" x14ac:dyDescent="0.15"/>
    <row r="1044784" customFormat="1" x14ac:dyDescent="0.15"/>
    <row r="1044785" customFormat="1" x14ac:dyDescent="0.15"/>
    <row r="1044786" customFormat="1" x14ac:dyDescent="0.15"/>
    <row r="1044787" customFormat="1" x14ac:dyDescent="0.15"/>
    <row r="1044788" customFormat="1" x14ac:dyDescent="0.15"/>
    <row r="1044789" customFormat="1" x14ac:dyDescent="0.15"/>
    <row r="1044790" customFormat="1" x14ac:dyDescent="0.15"/>
    <row r="1044791" customFormat="1" x14ac:dyDescent="0.15"/>
    <row r="1044792" customFormat="1" x14ac:dyDescent="0.15"/>
    <row r="1044793" customFormat="1" x14ac:dyDescent="0.15"/>
    <row r="1044794" customFormat="1" x14ac:dyDescent="0.15"/>
    <row r="1044795" customFormat="1" x14ac:dyDescent="0.15"/>
    <row r="1044796" customFormat="1" x14ac:dyDescent="0.15"/>
    <row r="1044797" customFormat="1" x14ac:dyDescent="0.15"/>
    <row r="1044798" customFormat="1" x14ac:dyDescent="0.15"/>
    <row r="1044799" customFormat="1" x14ac:dyDescent="0.15"/>
    <row r="1044800" customFormat="1" x14ac:dyDescent="0.15"/>
    <row r="1044801" customFormat="1" x14ac:dyDescent="0.15"/>
    <row r="1044802" customFormat="1" x14ac:dyDescent="0.15"/>
    <row r="1044803" customFormat="1" x14ac:dyDescent="0.15"/>
    <row r="1044804" customFormat="1" x14ac:dyDescent="0.15"/>
    <row r="1044805" customFormat="1" x14ac:dyDescent="0.15"/>
    <row r="1044806" customFormat="1" x14ac:dyDescent="0.15"/>
    <row r="1044807" customFormat="1" x14ac:dyDescent="0.15"/>
    <row r="1044808" customFormat="1" x14ac:dyDescent="0.15"/>
    <row r="1044809" customFormat="1" x14ac:dyDescent="0.15"/>
    <row r="1044810" customFormat="1" x14ac:dyDescent="0.15"/>
    <row r="1044811" customFormat="1" x14ac:dyDescent="0.15"/>
    <row r="1044812" customFormat="1" x14ac:dyDescent="0.15"/>
    <row r="1044813" customFormat="1" x14ac:dyDescent="0.15"/>
    <row r="1044814" customFormat="1" x14ac:dyDescent="0.15"/>
    <row r="1044815" customFormat="1" x14ac:dyDescent="0.15"/>
    <row r="1044816" customFormat="1" x14ac:dyDescent="0.15"/>
    <row r="1044817" customFormat="1" x14ac:dyDescent="0.15"/>
    <row r="1044818" customFormat="1" x14ac:dyDescent="0.15"/>
    <row r="1044819" customFormat="1" x14ac:dyDescent="0.15"/>
    <row r="1044820" customFormat="1" x14ac:dyDescent="0.15"/>
    <row r="1044821" customFormat="1" x14ac:dyDescent="0.15"/>
    <row r="1044822" customFormat="1" x14ac:dyDescent="0.15"/>
    <row r="1044823" customFormat="1" x14ac:dyDescent="0.15"/>
    <row r="1044824" customFormat="1" x14ac:dyDescent="0.15"/>
    <row r="1044825" customFormat="1" x14ac:dyDescent="0.15"/>
    <row r="1044826" customFormat="1" x14ac:dyDescent="0.15"/>
    <row r="1044827" customFormat="1" x14ac:dyDescent="0.15"/>
    <row r="1044828" customFormat="1" x14ac:dyDescent="0.15"/>
    <row r="1044829" customFormat="1" x14ac:dyDescent="0.15"/>
    <row r="1044830" customFormat="1" x14ac:dyDescent="0.15"/>
    <row r="1044831" customFormat="1" x14ac:dyDescent="0.15"/>
    <row r="1044832" customFormat="1" x14ac:dyDescent="0.15"/>
    <row r="1044833" customFormat="1" x14ac:dyDescent="0.15"/>
    <row r="1044834" customFormat="1" x14ac:dyDescent="0.15"/>
    <row r="1044835" customFormat="1" x14ac:dyDescent="0.15"/>
    <row r="1044836" customFormat="1" x14ac:dyDescent="0.15"/>
    <row r="1044837" customFormat="1" x14ac:dyDescent="0.15"/>
    <row r="1044838" customFormat="1" x14ac:dyDescent="0.15"/>
    <row r="1044839" customFormat="1" x14ac:dyDescent="0.15"/>
    <row r="1044840" customFormat="1" x14ac:dyDescent="0.15"/>
    <row r="1044841" customFormat="1" x14ac:dyDescent="0.15"/>
    <row r="1044842" customFormat="1" x14ac:dyDescent="0.15"/>
    <row r="1044843" customFormat="1" x14ac:dyDescent="0.15"/>
    <row r="1044844" customFormat="1" x14ac:dyDescent="0.15"/>
    <row r="1044845" customFormat="1" x14ac:dyDescent="0.15"/>
    <row r="1044846" customFormat="1" x14ac:dyDescent="0.15"/>
    <row r="1044847" customFormat="1" x14ac:dyDescent="0.15"/>
    <row r="1044848" customFormat="1" x14ac:dyDescent="0.15"/>
    <row r="1044849" customFormat="1" x14ac:dyDescent="0.15"/>
    <row r="1044850" customFormat="1" x14ac:dyDescent="0.15"/>
    <row r="1044851" customFormat="1" x14ac:dyDescent="0.15"/>
    <row r="1044852" customFormat="1" x14ac:dyDescent="0.15"/>
    <row r="1044853" customFormat="1" x14ac:dyDescent="0.15"/>
    <row r="1044854" customFormat="1" x14ac:dyDescent="0.15"/>
    <row r="1044855" customFormat="1" x14ac:dyDescent="0.15"/>
    <row r="1044856" customFormat="1" x14ac:dyDescent="0.15"/>
    <row r="1044857" customFormat="1" x14ac:dyDescent="0.15"/>
    <row r="1044858" customFormat="1" x14ac:dyDescent="0.15"/>
    <row r="1044859" customFormat="1" x14ac:dyDescent="0.15"/>
    <row r="1044860" customFormat="1" x14ac:dyDescent="0.15"/>
    <row r="1044861" customFormat="1" x14ac:dyDescent="0.15"/>
    <row r="1044862" customFormat="1" x14ac:dyDescent="0.15"/>
    <row r="1044863" customFormat="1" x14ac:dyDescent="0.15"/>
    <row r="1044864" customFormat="1" x14ac:dyDescent="0.15"/>
    <row r="1044865" customFormat="1" x14ac:dyDescent="0.15"/>
    <row r="1044866" customFormat="1" x14ac:dyDescent="0.15"/>
    <row r="1044867" customFormat="1" x14ac:dyDescent="0.15"/>
    <row r="1044868" customFormat="1" x14ac:dyDescent="0.15"/>
    <row r="1044869" customFormat="1" x14ac:dyDescent="0.15"/>
    <row r="1044870" customFormat="1" x14ac:dyDescent="0.15"/>
    <row r="1044871" customFormat="1" x14ac:dyDescent="0.15"/>
    <row r="1044872" customFormat="1" x14ac:dyDescent="0.15"/>
    <row r="1044873" customFormat="1" x14ac:dyDescent="0.15"/>
    <row r="1044874" customFormat="1" x14ac:dyDescent="0.15"/>
    <row r="1044875" customFormat="1" x14ac:dyDescent="0.15"/>
    <row r="1044876" customFormat="1" x14ac:dyDescent="0.15"/>
    <row r="1044877" customFormat="1" x14ac:dyDescent="0.15"/>
    <row r="1044878" customFormat="1" x14ac:dyDescent="0.15"/>
    <row r="1044879" customFormat="1" x14ac:dyDescent="0.15"/>
    <row r="1044880" customFormat="1" x14ac:dyDescent="0.15"/>
    <row r="1044881" customFormat="1" x14ac:dyDescent="0.15"/>
    <row r="1044882" customFormat="1" x14ac:dyDescent="0.15"/>
    <row r="1044883" customFormat="1" x14ac:dyDescent="0.15"/>
    <row r="1044884" customFormat="1" x14ac:dyDescent="0.15"/>
    <row r="1044885" customFormat="1" x14ac:dyDescent="0.15"/>
    <row r="1044886" customFormat="1" x14ac:dyDescent="0.15"/>
    <row r="1044887" customFormat="1" x14ac:dyDescent="0.15"/>
    <row r="1044888" customFormat="1" x14ac:dyDescent="0.15"/>
    <row r="1044889" customFormat="1" x14ac:dyDescent="0.15"/>
    <row r="1044890" customFormat="1" x14ac:dyDescent="0.15"/>
    <row r="1044891" customFormat="1" x14ac:dyDescent="0.15"/>
    <row r="1044892" customFormat="1" x14ac:dyDescent="0.15"/>
    <row r="1044893" customFormat="1" x14ac:dyDescent="0.15"/>
    <row r="1044894" customFormat="1" x14ac:dyDescent="0.15"/>
    <row r="1044895" customFormat="1" x14ac:dyDescent="0.15"/>
    <row r="1044896" customFormat="1" x14ac:dyDescent="0.15"/>
    <row r="1044897" customFormat="1" x14ac:dyDescent="0.15"/>
    <row r="1044898" customFormat="1" x14ac:dyDescent="0.15"/>
    <row r="1044899" customFormat="1" x14ac:dyDescent="0.15"/>
    <row r="1044900" customFormat="1" x14ac:dyDescent="0.15"/>
    <row r="1044901" customFormat="1" x14ac:dyDescent="0.15"/>
    <row r="1044902" customFormat="1" x14ac:dyDescent="0.15"/>
    <row r="1044903" customFormat="1" x14ac:dyDescent="0.15"/>
    <row r="1044904" customFormat="1" x14ac:dyDescent="0.15"/>
    <row r="1044905" customFormat="1" x14ac:dyDescent="0.15"/>
    <row r="1044906" customFormat="1" x14ac:dyDescent="0.15"/>
    <row r="1044907" customFormat="1" x14ac:dyDescent="0.15"/>
    <row r="1044908" customFormat="1" x14ac:dyDescent="0.15"/>
    <row r="1044909" customFormat="1" x14ac:dyDescent="0.15"/>
    <row r="1044910" customFormat="1" x14ac:dyDescent="0.15"/>
    <row r="1044911" customFormat="1" x14ac:dyDescent="0.15"/>
    <row r="1044912" customFormat="1" x14ac:dyDescent="0.15"/>
    <row r="1044913" customFormat="1" x14ac:dyDescent="0.15"/>
    <row r="1044914" customFormat="1" x14ac:dyDescent="0.15"/>
    <row r="1044915" customFormat="1" x14ac:dyDescent="0.15"/>
    <row r="1044916" customFormat="1" x14ac:dyDescent="0.15"/>
    <row r="1044917" customFormat="1" x14ac:dyDescent="0.15"/>
    <row r="1044918" customFormat="1" x14ac:dyDescent="0.15"/>
    <row r="1044919" customFormat="1" x14ac:dyDescent="0.15"/>
    <row r="1044920" customFormat="1" x14ac:dyDescent="0.15"/>
    <row r="1044921" customFormat="1" x14ac:dyDescent="0.15"/>
    <row r="1044922" customFormat="1" x14ac:dyDescent="0.15"/>
    <row r="1044923" customFormat="1" x14ac:dyDescent="0.15"/>
    <row r="1044924" customFormat="1" x14ac:dyDescent="0.15"/>
    <row r="1044925" customFormat="1" x14ac:dyDescent="0.15"/>
    <row r="1044926" customFormat="1" x14ac:dyDescent="0.15"/>
    <row r="1044927" customFormat="1" x14ac:dyDescent="0.15"/>
    <row r="1044928" customFormat="1" x14ac:dyDescent="0.15"/>
    <row r="1044929" customFormat="1" x14ac:dyDescent="0.15"/>
    <row r="1044930" customFormat="1" x14ac:dyDescent="0.15"/>
    <row r="1044931" customFormat="1" x14ac:dyDescent="0.15"/>
    <row r="1044932" customFormat="1" x14ac:dyDescent="0.15"/>
    <row r="1044933" customFormat="1" x14ac:dyDescent="0.15"/>
    <row r="1044934" customFormat="1" x14ac:dyDescent="0.15"/>
    <row r="1044935" customFormat="1" x14ac:dyDescent="0.15"/>
    <row r="1044936" customFormat="1" x14ac:dyDescent="0.15"/>
    <row r="1044937" customFormat="1" x14ac:dyDescent="0.15"/>
    <row r="1044938" customFormat="1" x14ac:dyDescent="0.15"/>
    <row r="1044939" customFormat="1" x14ac:dyDescent="0.15"/>
    <row r="1044940" customFormat="1" x14ac:dyDescent="0.15"/>
    <row r="1044941" customFormat="1" x14ac:dyDescent="0.15"/>
    <row r="1044942" customFormat="1" x14ac:dyDescent="0.15"/>
    <row r="1044943" customFormat="1" x14ac:dyDescent="0.15"/>
    <row r="1044944" customFormat="1" x14ac:dyDescent="0.15"/>
    <row r="1044945" customFormat="1" x14ac:dyDescent="0.15"/>
    <row r="1044946" customFormat="1" x14ac:dyDescent="0.15"/>
    <row r="1044947" customFormat="1" x14ac:dyDescent="0.15"/>
    <row r="1044948" customFormat="1" x14ac:dyDescent="0.15"/>
    <row r="1044949" customFormat="1" x14ac:dyDescent="0.15"/>
    <row r="1044950" customFormat="1" x14ac:dyDescent="0.15"/>
    <row r="1044951" customFormat="1" x14ac:dyDescent="0.15"/>
    <row r="1044952" customFormat="1" x14ac:dyDescent="0.15"/>
    <row r="1044953" customFormat="1" x14ac:dyDescent="0.15"/>
    <row r="1044954" customFormat="1" x14ac:dyDescent="0.15"/>
    <row r="1044955" customFormat="1" x14ac:dyDescent="0.15"/>
    <row r="1044956" customFormat="1" x14ac:dyDescent="0.15"/>
    <row r="1044957" customFormat="1" x14ac:dyDescent="0.15"/>
    <row r="1044958" customFormat="1" x14ac:dyDescent="0.15"/>
    <row r="1044959" customFormat="1" x14ac:dyDescent="0.15"/>
    <row r="1044960" customFormat="1" x14ac:dyDescent="0.15"/>
    <row r="1044961" customFormat="1" x14ac:dyDescent="0.15"/>
    <row r="1044962" customFormat="1" x14ac:dyDescent="0.15"/>
    <row r="1044963" customFormat="1" x14ac:dyDescent="0.15"/>
    <row r="1044964" customFormat="1" x14ac:dyDescent="0.15"/>
    <row r="1044965" customFormat="1" x14ac:dyDescent="0.15"/>
    <row r="1044966" customFormat="1" x14ac:dyDescent="0.15"/>
    <row r="1044967" customFormat="1" x14ac:dyDescent="0.15"/>
    <row r="1044968" customFormat="1" x14ac:dyDescent="0.15"/>
    <row r="1044969" customFormat="1" x14ac:dyDescent="0.15"/>
    <row r="1044970" customFormat="1" x14ac:dyDescent="0.15"/>
    <row r="1044971" customFormat="1" x14ac:dyDescent="0.15"/>
    <row r="1044972" customFormat="1" x14ac:dyDescent="0.15"/>
    <row r="1044973" customFormat="1" x14ac:dyDescent="0.15"/>
    <row r="1044974" customFormat="1" x14ac:dyDescent="0.15"/>
    <row r="1044975" customFormat="1" x14ac:dyDescent="0.15"/>
    <row r="1044976" customFormat="1" x14ac:dyDescent="0.15"/>
    <row r="1044977" customFormat="1" x14ac:dyDescent="0.15"/>
    <row r="1044978" customFormat="1" x14ac:dyDescent="0.15"/>
    <row r="1044979" customFormat="1" x14ac:dyDescent="0.15"/>
    <row r="1044980" customFormat="1" x14ac:dyDescent="0.15"/>
    <row r="1044981" customFormat="1" x14ac:dyDescent="0.15"/>
    <row r="1044982" customFormat="1" x14ac:dyDescent="0.15"/>
    <row r="1044983" customFormat="1" x14ac:dyDescent="0.15"/>
    <row r="1044984" customFormat="1" x14ac:dyDescent="0.15"/>
    <row r="1044985" customFormat="1" x14ac:dyDescent="0.15"/>
    <row r="1044986" customFormat="1" x14ac:dyDescent="0.15"/>
    <row r="1044987" customFormat="1" x14ac:dyDescent="0.15"/>
    <row r="1044988" customFormat="1" x14ac:dyDescent="0.15"/>
    <row r="1044989" customFormat="1" x14ac:dyDescent="0.15"/>
    <row r="1044990" customFormat="1" x14ac:dyDescent="0.15"/>
    <row r="1044991" customFormat="1" x14ac:dyDescent="0.15"/>
    <row r="1044992" customFormat="1" x14ac:dyDescent="0.15"/>
    <row r="1044993" customFormat="1" x14ac:dyDescent="0.15"/>
    <row r="1044994" customFormat="1" x14ac:dyDescent="0.15"/>
    <row r="1044995" customFormat="1" x14ac:dyDescent="0.15"/>
    <row r="1044996" customFormat="1" x14ac:dyDescent="0.15"/>
    <row r="1044997" customFormat="1" x14ac:dyDescent="0.15"/>
    <row r="1044998" customFormat="1" x14ac:dyDescent="0.15"/>
    <row r="1044999" customFormat="1" x14ac:dyDescent="0.15"/>
    <row r="1045000" customFormat="1" x14ac:dyDescent="0.15"/>
    <row r="1045001" customFormat="1" x14ac:dyDescent="0.15"/>
    <row r="1045002" customFormat="1" x14ac:dyDescent="0.15"/>
    <row r="1045003" customFormat="1" x14ac:dyDescent="0.15"/>
    <row r="1045004" customFormat="1" x14ac:dyDescent="0.15"/>
    <row r="1045005" customFormat="1" x14ac:dyDescent="0.15"/>
    <row r="1045006" customFormat="1" x14ac:dyDescent="0.15"/>
    <row r="1045007" customFormat="1" x14ac:dyDescent="0.15"/>
    <row r="1045008" customFormat="1" x14ac:dyDescent="0.15"/>
    <row r="1045009" customFormat="1" x14ac:dyDescent="0.15"/>
    <row r="1045010" customFormat="1" x14ac:dyDescent="0.15"/>
    <row r="1045011" customFormat="1" x14ac:dyDescent="0.15"/>
    <row r="1045012" customFormat="1" x14ac:dyDescent="0.15"/>
    <row r="1045013" customFormat="1" x14ac:dyDescent="0.15"/>
    <row r="1045014" customFormat="1" x14ac:dyDescent="0.15"/>
    <row r="1045015" customFormat="1" x14ac:dyDescent="0.15"/>
    <row r="1045016" customFormat="1" x14ac:dyDescent="0.15"/>
    <row r="1045017" customFormat="1" x14ac:dyDescent="0.15"/>
    <row r="1045018" customFormat="1" x14ac:dyDescent="0.15"/>
    <row r="1045019" customFormat="1" x14ac:dyDescent="0.15"/>
    <row r="1045020" customFormat="1" x14ac:dyDescent="0.15"/>
    <row r="1045021" customFormat="1" x14ac:dyDescent="0.15"/>
    <row r="1045022" customFormat="1" x14ac:dyDescent="0.15"/>
    <row r="1045023" customFormat="1" x14ac:dyDescent="0.15"/>
    <row r="1045024" customFormat="1" x14ac:dyDescent="0.15"/>
    <row r="1045025" customFormat="1" x14ac:dyDescent="0.15"/>
    <row r="1045026" customFormat="1" x14ac:dyDescent="0.15"/>
    <row r="1045027" customFormat="1" x14ac:dyDescent="0.15"/>
    <row r="1045028" customFormat="1" x14ac:dyDescent="0.15"/>
    <row r="1045029" customFormat="1" x14ac:dyDescent="0.15"/>
    <row r="1045030" customFormat="1" x14ac:dyDescent="0.15"/>
    <row r="1045031" customFormat="1" x14ac:dyDescent="0.15"/>
    <row r="1045032" customFormat="1" x14ac:dyDescent="0.15"/>
    <row r="1045033" customFormat="1" x14ac:dyDescent="0.15"/>
    <row r="1045034" customFormat="1" x14ac:dyDescent="0.15"/>
    <row r="1045035" customFormat="1" x14ac:dyDescent="0.15"/>
    <row r="1045036" customFormat="1" x14ac:dyDescent="0.15"/>
    <row r="1045037" customFormat="1" x14ac:dyDescent="0.15"/>
    <row r="1045038" customFormat="1" x14ac:dyDescent="0.15"/>
    <row r="1045039" customFormat="1" x14ac:dyDescent="0.15"/>
    <row r="1045040" customFormat="1" x14ac:dyDescent="0.15"/>
    <row r="1045041" customFormat="1" x14ac:dyDescent="0.15"/>
    <row r="1045042" customFormat="1" x14ac:dyDescent="0.15"/>
    <row r="1045043" customFormat="1" x14ac:dyDescent="0.15"/>
    <row r="1045044" customFormat="1" x14ac:dyDescent="0.15"/>
    <row r="1045045" customFormat="1" x14ac:dyDescent="0.15"/>
    <row r="1045046" customFormat="1" x14ac:dyDescent="0.15"/>
    <row r="1045047" customFormat="1" x14ac:dyDescent="0.15"/>
    <row r="1045048" customFormat="1" x14ac:dyDescent="0.15"/>
    <row r="1045049" customFormat="1" x14ac:dyDescent="0.15"/>
    <row r="1045050" customFormat="1" x14ac:dyDescent="0.15"/>
    <row r="1045051" customFormat="1" x14ac:dyDescent="0.15"/>
    <row r="1045052" customFormat="1" x14ac:dyDescent="0.15"/>
    <row r="1045053" customFormat="1" x14ac:dyDescent="0.15"/>
    <row r="1045054" customFormat="1" x14ac:dyDescent="0.15"/>
    <row r="1045055" customFormat="1" x14ac:dyDescent="0.15"/>
    <row r="1045056" customFormat="1" x14ac:dyDescent="0.15"/>
    <row r="1045057" customFormat="1" x14ac:dyDescent="0.15"/>
    <row r="1045058" customFormat="1" x14ac:dyDescent="0.15"/>
    <row r="1045059" customFormat="1" x14ac:dyDescent="0.15"/>
    <row r="1045060" customFormat="1" x14ac:dyDescent="0.15"/>
    <row r="1045061" customFormat="1" x14ac:dyDescent="0.15"/>
    <row r="1045062" customFormat="1" x14ac:dyDescent="0.15"/>
    <row r="1045063" customFormat="1" x14ac:dyDescent="0.15"/>
    <row r="1045064" customFormat="1" x14ac:dyDescent="0.15"/>
    <row r="1045065" customFormat="1" x14ac:dyDescent="0.15"/>
    <row r="1045066" customFormat="1" x14ac:dyDescent="0.15"/>
    <row r="1045067" customFormat="1" x14ac:dyDescent="0.15"/>
    <row r="1045068" customFormat="1" x14ac:dyDescent="0.15"/>
    <row r="1045069" customFormat="1" x14ac:dyDescent="0.15"/>
    <row r="1045070" customFormat="1" x14ac:dyDescent="0.15"/>
    <row r="1045071" customFormat="1" x14ac:dyDescent="0.15"/>
    <row r="1045072" customFormat="1" x14ac:dyDescent="0.15"/>
    <row r="1045073" customFormat="1" x14ac:dyDescent="0.15"/>
    <row r="1045074" customFormat="1" x14ac:dyDescent="0.15"/>
    <row r="1045075" customFormat="1" x14ac:dyDescent="0.15"/>
    <row r="1045076" customFormat="1" x14ac:dyDescent="0.15"/>
    <row r="1045077" customFormat="1" x14ac:dyDescent="0.15"/>
    <row r="1045078" customFormat="1" x14ac:dyDescent="0.15"/>
    <row r="1045079" customFormat="1" x14ac:dyDescent="0.15"/>
    <row r="1045080" customFormat="1" x14ac:dyDescent="0.15"/>
    <row r="1045081" customFormat="1" x14ac:dyDescent="0.15"/>
    <row r="1045082" customFormat="1" x14ac:dyDescent="0.15"/>
    <row r="1045083" customFormat="1" x14ac:dyDescent="0.15"/>
    <row r="1045084" customFormat="1" x14ac:dyDescent="0.15"/>
    <row r="1045085" customFormat="1" x14ac:dyDescent="0.15"/>
    <row r="1045086" customFormat="1" x14ac:dyDescent="0.15"/>
    <row r="1045087" customFormat="1" x14ac:dyDescent="0.15"/>
    <row r="1045088" customFormat="1" x14ac:dyDescent="0.15"/>
    <row r="1045089" customFormat="1" x14ac:dyDescent="0.15"/>
    <row r="1045090" customFormat="1" x14ac:dyDescent="0.15"/>
    <row r="1045091" customFormat="1" x14ac:dyDescent="0.15"/>
    <row r="1045092" customFormat="1" x14ac:dyDescent="0.15"/>
    <row r="1045093" customFormat="1" x14ac:dyDescent="0.15"/>
    <row r="1045094" customFormat="1" x14ac:dyDescent="0.15"/>
    <row r="1045095" customFormat="1" x14ac:dyDescent="0.15"/>
    <row r="1045096" customFormat="1" x14ac:dyDescent="0.15"/>
    <row r="1045097" customFormat="1" x14ac:dyDescent="0.15"/>
    <row r="1045098" customFormat="1" x14ac:dyDescent="0.15"/>
    <row r="1045099" customFormat="1" x14ac:dyDescent="0.15"/>
    <row r="1045100" customFormat="1" x14ac:dyDescent="0.15"/>
    <row r="1045101" customFormat="1" x14ac:dyDescent="0.15"/>
    <row r="1045102" customFormat="1" x14ac:dyDescent="0.15"/>
    <row r="1045103" customFormat="1" x14ac:dyDescent="0.15"/>
    <row r="1045104" customFormat="1" x14ac:dyDescent="0.15"/>
    <row r="1045105" customFormat="1" x14ac:dyDescent="0.15"/>
    <row r="1045106" customFormat="1" x14ac:dyDescent="0.15"/>
    <row r="1045107" customFormat="1" x14ac:dyDescent="0.15"/>
    <row r="1045108" customFormat="1" x14ac:dyDescent="0.15"/>
    <row r="1045109" customFormat="1" x14ac:dyDescent="0.15"/>
    <row r="1045110" customFormat="1" x14ac:dyDescent="0.15"/>
    <row r="1045111" customFormat="1" x14ac:dyDescent="0.15"/>
    <row r="1045112" customFormat="1" x14ac:dyDescent="0.15"/>
    <row r="1045113" customFormat="1" x14ac:dyDescent="0.15"/>
    <row r="1045114" customFormat="1" x14ac:dyDescent="0.15"/>
    <row r="1045115" customFormat="1" x14ac:dyDescent="0.15"/>
    <row r="1045116" customFormat="1" x14ac:dyDescent="0.15"/>
    <row r="1045117" customFormat="1" x14ac:dyDescent="0.15"/>
    <row r="1045118" customFormat="1" x14ac:dyDescent="0.15"/>
    <row r="1045119" customFormat="1" x14ac:dyDescent="0.15"/>
    <row r="1045120" customFormat="1" x14ac:dyDescent="0.15"/>
    <row r="1045121" customFormat="1" x14ac:dyDescent="0.15"/>
    <row r="1045122" customFormat="1" x14ac:dyDescent="0.15"/>
    <row r="1045123" customFormat="1" x14ac:dyDescent="0.15"/>
    <row r="1045124" customFormat="1" x14ac:dyDescent="0.15"/>
    <row r="1045125" customFormat="1" x14ac:dyDescent="0.15"/>
    <row r="1045126" customFormat="1" x14ac:dyDescent="0.15"/>
    <row r="1045127" customFormat="1" x14ac:dyDescent="0.15"/>
    <row r="1045128" customFormat="1" x14ac:dyDescent="0.15"/>
    <row r="1045129" customFormat="1" x14ac:dyDescent="0.15"/>
    <row r="1045130" customFormat="1" x14ac:dyDescent="0.15"/>
    <row r="1045131" customFormat="1" x14ac:dyDescent="0.15"/>
    <row r="1045132" customFormat="1" x14ac:dyDescent="0.15"/>
    <row r="1045133" customFormat="1" x14ac:dyDescent="0.15"/>
    <row r="1045134" customFormat="1" x14ac:dyDescent="0.15"/>
    <row r="1045135" customFormat="1" x14ac:dyDescent="0.15"/>
    <row r="1045136" customFormat="1" x14ac:dyDescent="0.15"/>
    <row r="1045137" customFormat="1" x14ac:dyDescent="0.15"/>
    <row r="1045138" customFormat="1" x14ac:dyDescent="0.15"/>
    <row r="1045139" customFormat="1" x14ac:dyDescent="0.15"/>
    <row r="1045140" customFormat="1" x14ac:dyDescent="0.15"/>
    <row r="1045141" customFormat="1" x14ac:dyDescent="0.15"/>
    <row r="1045142" customFormat="1" x14ac:dyDescent="0.15"/>
    <row r="1045143" customFormat="1" x14ac:dyDescent="0.15"/>
    <row r="1045144" customFormat="1" x14ac:dyDescent="0.15"/>
    <row r="1045145" customFormat="1" x14ac:dyDescent="0.15"/>
    <row r="1045146" customFormat="1" x14ac:dyDescent="0.15"/>
    <row r="1045147" customFormat="1" x14ac:dyDescent="0.15"/>
    <row r="1045148" customFormat="1" x14ac:dyDescent="0.15"/>
    <row r="1045149" customFormat="1" x14ac:dyDescent="0.15"/>
    <row r="1045150" customFormat="1" x14ac:dyDescent="0.15"/>
    <row r="1045151" customFormat="1" x14ac:dyDescent="0.15"/>
    <row r="1045152" customFormat="1" x14ac:dyDescent="0.15"/>
    <row r="1045153" customFormat="1" x14ac:dyDescent="0.15"/>
    <row r="1045154" customFormat="1" x14ac:dyDescent="0.15"/>
    <row r="1045155" customFormat="1" x14ac:dyDescent="0.15"/>
    <row r="1045156" customFormat="1" x14ac:dyDescent="0.15"/>
    <row r="1045157" customFormat="1" x14ac:dyDescent="0.15"/>
    <row r="1045158" customFormat="1" x14ac:dyDescent="0.15"/>
    <row r="1045159" customFormat="1" x14ac:dyDescent="0.15"/>
    <row r="1045160" customFormat="1" x14ac:dyDescent="0.15"/>
    <row r="1045161" customFormat="1" x14ac:dyDescent="0.15"/>
    <row r="1045162" customFormat="1" x14ac:dyDescent="0.15"/>
    <row r="1045163" customFormat="1" x14ac:dyDescent="0.15"/>
    <row r="1045164" customFormat="1" x14ac:dyDescent="0.15"/>
    <row r="1045165" customFormat="1" x14ac:dyDescent="0.15"/>
    <row r="1045166" customFormat="1" x14ac:dyDescent="0.15"/>
    <row r="1045167" customFormat="1" x14ac:dyDescent="0.15"/>
    <row r="1045168" customFormat="1" x14ac:dyDescent="0.15"/>
    <row r="1045169" customFormat="1" x14ac:dyDescent="0.15"/>
    <row r="1045170" customFormat="1" x14ac:dyDescent="0.15"/>
    <row r="1045171" customFormat="1" x14ac:dyDescent="0.15"/>
    <row r="1045172" customFormat="1" x14ac:dyDescent="0.15"/>
    <row r="1045173" customFormat="1" x14ac:dyDescent="0.15"/>
    <row r="1045174" customFormat="1" x14ac:dyDescent="0.15"/>
    <row r="1045175" customFormat="1" x14ac:dyDescent="0.15"/>
    <row r="1045176" customFormat="1" x14ac:dyDescent="0.15"/>
    <row r="1045177" customFormat="1" x14ac:dyDescent="0.15"/>
    <row r="1045178" customFormat="1" x14ac:dyDescent="0.15"/>
    <row r="1045179" customFormat="1" x14ac:dyDescent="0.15"/>
    <row r="1045180" customFormat="1" x14ac:dyDescent="0.15"/>
    <row r="1045181" customFormat="1" x14ac:dyDescent="0.15"/>
    <row r="1045182" customFormat="1" x14ac:dyDescent="0.15"/>
    <row r="1045183" customFormat="1" x14ac:dyDescent="0.15"/>
    <row r="1045184" customFormat="1" x14ac:dyDescent="0.15"/>
    <row r="1045185" customFormat="1" x14ac:dyDescent="0.15"/>
    <row r="1045186" customFormat="1" x14ac:dyDescent="0.15"/>
    <row r="1045187" customFormat="1" x14ac:dyDescent="0.15"/>
    <row r="1045188" customFormat="1" x14ac:dyDescent="0.15"/>
    <row r="1045189" customFormat="1" x14ac:dyDescent="0.15"/>
    <row r="1045190" customFormat="1" x14ac:dyDescent="0.15"/>
    <row r="1045191" customFormat="1" x14ac:dyDescent="0.15"/>
    <row r="1045192" customFormat="1" x14ac:dyDescent="0.15"/>
    <row r="1045193" customFormat="1" x14ac:dyDescent="0.15"/>
    <row r="1045194" customFormat="1" x14ac:dyDescent="0.15"/>
    <row r="1045195" customFormat="1" x14ac:dyDescent="0.15"/>
    <row r="1045196" customFormat="1" x14ac:dyDescent="0.15"/>
    <row r="1045197" customFormat="1" x14ac:dyDescent="0.15"/>
    <row r="1045198" customFormat="1" x14ac:dyDescent="0.15"/>
    <row r="1045199" customFormat="1" x14ac:dyDescent="0.15"/>
    <row r="1045200" customFormat="1" x14ac:dyDescent="0.15"/>
    <row r="1045201" customFormat="1" x14ac:dyDescent="0.15"/>
    <row r="1045202" customFormat="1" x14ac:dyDescent="0.15"/>
    <row r="1045203" customFormat="1" x14ac:dyDescent="0.15"/>
    <row r="1045204" customFormat="1" x14ac:dyDescent="0.15"/>
    <row r="1045205" customFormat="1" x14ac:dyDescent="0.15"/>
    <row r="1045206" customFormat="1" x14ac:dyDescent="0.15"/>
    <row r="1045207" customFormat="1" x14ac:dyDescent="0.15"/>
    <row r="1045208" customFormat="1" x14ac:dyDescent="0.15"/>
    <row r="1045209" customFormat="1" x14ac:dyDescent="0.15"/>
    <row r="1045210" customFormat="1" x14ac:dyDescent="0.15"/>
    <row r="1045211" customFormat="1" x14ac:dyDescent="0.15"/>
    <row r="1045212" customFormat="1" x14ac:dyDescent="0.15"/>
    <row r="1045213" customFormat="1" x14ac:dyDescent="0.15"/>
    <row r="1045214" customFormat="1" x14ac:dyDescent="0.15"/>
    <row r="1045215" customFormat="1" x14ac:dyDescent="0.15"/>
    <row r="1045216" customFormat="1" x14ac:dyDescent="0.15"/>
    <row r="1045217" customFormat="1" x14ac:dyDescent="0.15"/>
    <row r="1045218" customFormat="1" x14ac:dyDescent="0.15"/>
    <row r="1045219" customFormat="1" x14ac:dyDescent="0.15"/>
    <row r="1045220" customFormat="1" x14ac:dyDescent="0.15"/>
    <row r="1045221" customFormat="1" x14ac:dyDescent="0.15"/>
    <row r="1045222" customFormat="1" x14ac:dyDescent="0.15"/>
    <row r="1045223" customFormat="1" x14ac:dyDescent="0.15"/>
    <row r="1045224" customFormat="1" x14ac:dyDescent="0.15"/>
    <row r="1045225" customFormat="1" x14ac:dyDescent="0.15"/>
    <row r="1045226" customFormat="1" x14ac:dyDescent="0.15"/>
    <row r="1045227" customFormat="1" x14ac:dyDescent="0.15"/>
    <row r="1045228" customFormat="1" x14ac:dyDescent="0.15"/>
    <row r="1045229" customFormat="1" x14ac:dyDescent="0.15"/>
    <row r="1045230" customFormat="1" x14ac:dyDescent="0.15"/>
    <row r="1045231" customFormat="1" x14ac:dyDescent="0.15"/>
    <row r="1045232" customFormat="1" x14ac:dyDescent="0.15"/>
    <row r="1045233" customFormat="1" x14ac:dyDescent="0.15"/>
    <row r="1045234" customFormat="1" x14ac:dyDescent="0.15"/>
    <row r="1045235" customFormat="1" x14ac:dyDescent="0.15"/>
    <row r="1045236" customFormat="1" x14ac:dyDescent="0.15"/>
    <row r="1045237" customFormat="1" x14ac:dyDescent="0.15"/>
    <row r="1045238" customFormat="1" x14ac:dyDescent="0.15"/>
    <row r="1045239" customFormat="1" x14ac:dyDescent="0.15"/>
    <row r="1045240" customFormat="1" x14ac:dyDescent="0.15"/>
    <row r="1045241" customFormat="1" x14ac:dyDescent="0.15"/>
    <row r="1045242" customFormat="1" x14ac:dyDescent="0.15"/>
    <row r="1045243" customFormat="1" x14ac:dyDescent="0.15"/>
    <row r="1045244" customFormat="1" x14ac:dyDescent="0.15"/>
    <row r="1045245" customFormat="1" x14ac:dyDescent="0.15"/>
    <row r="1045246" customFormat="1" x14ac:dyDescent="0.15"/>
    <row r="1045247" customFormat="1" x14ac:dyDescent="0.15"/>
    <row r="1045248" customFormat="1" x14ac:dyDescent="0.15"/>
    <row r="1045249" customFormat="1" x14ac:dyDescent="0.15"/>
    <row r="1045250" customFormat="1" x14ac:dyDescent="0.15"/>
    <row r="1045251" customFormat="1" x14ac:dyDescent="0.15"/>
    <row r="1045252" customFormat="1" x14ac:dyDescent="0.15"/>
    <row r="1045253" customFormat="1" x14ac:dyDescent="0.15"/>
    <row r="1045254" customFormat="1" x14ac:dyDescent="0.15"/>
    <row r="1045255" customFormat="1" x14ac:dyDescent="0.15"/>
    <row r="1045256" customFormat="1" x14ac:dyDescent="0.15"/>
    <row r="1045257" customFormat="1" x14ac:dyDescent="0.15"/>
    <row r="1045258" customFormat="1" x14ac:dyDescent="0.15"/>
    <row r="1045259" customFormat="1" x14ac:dyDescent="0.15"/>
    <row r="1045260" customFormat="1" x14ac:dyDescent="0.15"/>
    <row r="1045261" customFormat="1" x14ac:dyDescent="0.15"/>
    <row r="1045262" customFormat="1" x14ac:dyDescent="0.15"/>
    <row r="1045263" customFormat="1" x14ac:dyDescent="0.15"/>
    <row r="1045264" customFormat="1" x14ac:dyDescent="0.15"/>
    <row r="1045265" customFormat="1" x14ac:dyDescent="0.15"/>
    <row r="1045266" customFormat="1" x14ac:dyDescent="0.15"/>
    <row r="1045267" customFormat="1" x14ac:dyDescent="0.15"/>
    <row r="1045268" customFormat="1" x14ac:dyDescent="0.15"/>
    <row r="1045269" customFormat="1" x14ac:dyDescent="0.15"/>
    <row r="1045270" customFormat="1" x14ac:dyDescent="0.15"/>
    <row r="1045271" customFormat="1" x14ac:dyDescent="0.15"/>
    <row r="1045272" customFormat="1" x14ac:dyDescent="0.15"/>
    <row r="1045273" customFormat="1" x14ac:dyDescent="0.15"/>
    <row r="1045274" customFormat="1" x14ac:dyDescent="0.15"/>
    <row r="1045275" customFormat="1" x14ac:dyDescent="0.15"/>
    <row r="1045276" customFormat="1" x14ac:dyDescent="0.15"/>
    <row r="1045277" customFormat="1" x14ac:dyDescent="0.15"/>
    <row r="1045278" customFormat="1" x14ac:dyDescent="0.15"/>
    <row r="1045279" customFormat="1" x14ac:dyDescent="0.15"/>
    <row r="1045280" customFormat="1" x14ac:dyDescent="0.15"/>
    <row r="1045281" customFormat="1" x14ac:dyDescent="0.15"/>
    <row r="1045282" customFormat="1" x14ac:dyDescent="0.15"/>
    <row r="1045283" customFormat="1" x14ac:dyDescent="0.15"/>
    <row r="1045284" customFormat="1" x14ac:dyDescent="0.15"/>
    <row r="1045285" customFormat="1" x14ac:dyDescent="0.15"/>
    <row r="1045286" customFormat="1" x14ac:dyDescent="0.15"/>
    <row r="1045287" customFormat="1" x14ac:dyDescent="0.15"/>
    <row r="1045288" customFormat="1" x14ac:dyDescent="0.15"/>
    <row r="1045289" customFormat="1" x14ac:dyDescent="0.15"/>
    <row r="1045290" customFormat="1" x14ac:dyDescent="0.15"/>
    <row r="1045291" customFormat="1" x14ac:dyDescent="0.15"/>
    <row r="1045292" customFormat="1" x14ac:dyDescent="0.15"/>
    <row r="1045293" customFormat="1" x14ac:dyDescent="0.15"/>
    <row r="1045294" customFormat="1" x14ac:dyDescent="0.15"/>
    <row r="1045295" customFormat="1" x14ac:dyDescent="0.15"/>
    <row r="1045296" customFormat="1" x14ac:dyDescent="0.15"/>
    <row r="1045297" customFormat="1" x14ac:dyDescent="0.15"/>
    <row r="1045298" customFormat="1" x14ac:dyDescent="0.15"/>
    <row r="1045299" customFormat="1" x14ac:dyDescent="0.15"/>
    <row r="1045300" customFormat="1" x14ac:dyDescent="0.15"/>
    <row r="1045301" customFormat="1" x14ac:dyDescent="0.15"/>
    <row r="1045302" customFormat="1" x14ac:dyDescent="0.15"/>
    <row r="1045303" customFormat="1" x14ac:dyDescent="0.15"/>
    <row r="1045304" customFormat="1" x14ac:dyDescent="0.15"/>
    <row r="1045305" customFormat="1" x14ac:dyDescent="0.15"/>
    <row r="1045306" customFormat="1" x14ac:dyDescent="0.15"/>
    <row r="1045307" customFormat="1" x14ac:dyDescent="0.15"/>
    <row r="1045308" customFormat="1" x14ac:dyDescent="0.15"/>
    <row r="1045309" customFormat="1" x14ac:dyDescent="0.15"/>
    <row r="1045310" customFormat="1" x14ac:dyDescent="0.15"/>
    <row r="1045311" customFormat="1" x14ac:dyDescent="0.15"/>
    <row r="1045312" customFormat="1" x14ac:dyDescent="0.15"/>
    <row r="1045313" customFormat="1" x14ac:dyDescent="0.15"/>
    <row r="1045314" customFormat="1" x14ac:dyDescent="0.15"/>
    <row r="1045315" customFormat="1" x14ac:dyDescent="0.15"/>
    <row r="1045316" customFormat="1" x14ac:dyDescent="0.15"/>
    <row r="1045317" customFormat="1" x14ac:dyDescent="0.15"/>
    <row r="1045318" customFormat="1" x14ac:dyDescent="0.15"/>
    <row r="1045319" customFormat="1" x14ac:dyDescent="0.15"/>
    <row r="1045320" customFormat="1" x14ac:dyDescent="0.15"/>
    <row r="1045321" customFormat="1" x14ac:dyDescent="0.15"/>
    <row r="1045322" customFormat="1" x14ac:dyDescent="0.15"/>
    <row r="1045323" customFormat="1" x14ac:dyDescent="0.15"/>
    <row r="1045324" customFormat="1" x14ac:dyDescent="0.15"/>
    <row r="1045325" customFormat="1" x14ac:dyDescent="0.15"/>
    <row r="1045326" customFormat="1" x14ac:dyDescent="0.15"/>
    <row r="1045327" customFormat="1" x14ac:dyDescent="0.15"/>
    <row r="1045328" customFormat="1" x14ac:dyDescent="0.15"/>
    <row r="1045329" customFormat="1" x14ac:dyDescent="0.15"/>
    <row r="1045330" customFormat="1" x14ac:dyDescent="0.15"/>
    <row r="1045331" customFormat="1" x14ac:dyDescent="0.15"/>
    <row r="1045332" customFormat="1" x14ac:dyDescent="0.15"/>
    <row r="1045333" customFormat="1" x14ac:dyDescent="0.15"/>
    <row r="1045334" customFormat="1" x14ac:dyDescent="0.15"/>
    <row r="1045335" customFormat="1" x14ac:dyDescent="0.15"/>
    <row r="1045336" customFormat="1" x14ac:dyDescent="0.15"/>
    <row r="1045337" customFormat="1" x14ac:dyDescent="0.15"/>
    <row r="1045338" customFormat="1" x14ac:dyDescent="0.15"/>
    <row r="1045339" customFormat="1" x14ac:dyDescent="0.15"/>
    <row r="1045340" customFormat="1" x14ac:dyDescent="0.15"/>
    <row r="1045341" customFormat="1" x14ac:dyDescent="0.15"/>
    <row r="1045342" customFormat="1" x14ac:dyDescent="0.15"/>
    <row r="1045343" customFormat="1" x14ac:dyDescent="0.15"/>
    <row r="1045344" customFormat="1" x14ac:dyDescent="0.15"/>
    <row r="1045345" customFormat="1" x14ac:dyDescent="0.15"/>
    <row r="1045346" customFormat="1" x14ac:dyDescent="0.15"/>
    <row r="1045347" customFormat="1" x14ac:dyDescent="0.15"/>
    <row r="1045348" customFormat="1" x14ac:dyDescent="0.15"/>
    <row r="1045349" customFormat="1" x14ac:dyDescent="0.15"/>
    <row r="1045350" customFormat="1" x14ac:dyDescent="0.15"/>
    <row r="1045351" customFormat="1" x14ac:dyDescent="0.15"/>
    <row r="1045352" customFormat="1" x14ac:dyDescent="0.15"/>
    <row r="1045353" customFormat="1" x14ac:dyDescent="0.15"/>
    <row r="1045354" customFormat="1" x14ac:dyDescent="0.15"/>
    <row r="1045355" customFormat="1" x14ac:dyDescent="0.15"/>
    <row r="1045356" customFormat="1" x14ac:dyDescent="0.15"/>
    <row r="1045357" customFormat="1" x14ac:dyDescent="0.15"/>
    <row r="1045358" customFormat="1" x14ac:dyDescent="0.15"/>
    <row r="1045359" customFormat="1" x14ac:dyDescent="0.15"/>
    <row r="1045360" customFormat="1" x14ac:dyDescent="0.15"/>
    <row r="1045361" customFormat="1" x14ac:dyDescent="0.15"/>
    <row r="1045362" customFormat="1" x14ac:dyDescent="0.15"/>
    <row r="1045363" customFormat="1" x14ac:dyDescent="0.15"/>
    <row r="1045364" customFormat="1" x14ac:dyDescent="0.15"/>
    <row r="1045365" customFormat="1" x14ac:dyDescent="0.15"/>
    <row r="1045366" customFormat="1" x14ac:dyDescent="0.15"/>
    <row r="1045367" customFormat="1" x14ac:dyDescent="0.15"/>
    <row r="1045368" customFormat="1" x14ac:dyDescent="0.15"/>
    <row r="1045369" customFormat="1" x14ac:dyDescent="0.15"/>
    <row r="1045370" customFormat="1" x14ac:dyDescent="0.15"/>
    <row r="1045371" customFormat="1" x14ac:dyDescent="0.15"/>
    <row r="1045372" customFormat="1" x14ac:dyDescent="0.15"/>
    <row r="1045373" customFormat="1" x14ac:dyDescent="0.15"/>
    <row r="1045374" customFormat="1" x14ac:dyDescent="0.15"/>
    <row r="1045375" customFormat="1" x14ac:dyDescent="0.15"/>
    <row r="1045376" customFormat="1" x14ac:dyDescent="0.15"/>
    <row r="1045377" customFormat="1" x14ac:dyDescent="0.15"/>
    <row r="1045378" customFormat="1" x14ac:dyDescent="0.15"/>
    <row r="1045379" customFormat="1" x14ac:dyDescent="0.15"/>
    <row r="1045380" customFormat="1" x14ac:dyDescent="0.15"/>
    <row r="1045381" customFormat="1" x14ac:dyDescent="0.15"/>
    <row r="1045382" customFormat="1" x14ac:dyDescent="0.15"/>
    <row r="1045383" customFormat="1" x14ac:dyDescent="0.15"/>
    <row r="1045384" customFormat="1" x14ac:dyDescent="0.15"/>
    <row r="1045385" customFormat="1" x14ac:dyDescent="0.15"/>
    <row r="1045386" customFormat="1" x14ac:dyDescent="0.15"/>
    <row r="1045387" customFormat="1" x14ac:dyDescent="0.15"/>
    <row r="1045388" customFormat="1" x14ac:dyDescent="0.15"/>
    <row r="1045389" customFormat="1" x14ac:dyDescent="0.15"/>
    <row r="1045390" customFormat="1" x14ac:dyDescent="0.15"/>
    <row r="1045391" customFormat="1" x14ac:dyDescent="0.15"/>
    <row r="1045392" customFormat="1" x14ac:dyDescent="0.15"/>
    <row r="1045393" customFormat="1" x14ac:dyDescent="0.15"/>
    <row r="1045394" customFormat="1" x14ac:dyDescent="0.15"/>
    <row r="1045395" customFormat="1" x14ac:dyDescent="0.15"/>
    <row r="1045396" customFormat="1" x14ac:dyDescent="0.15"/>
    <row r="1045397" customFormat="1" x14ac:dyDescent="0.15"/>
    <row r="1045398" customFormat="1" x14ac:dyDescent="0.15"/>
    <row r="1045399" customFormat="1" x14ac:dyDescent="0.15"/>
    <row r="1045400" customFormat="1" x14ac:dyDescent="0.15"/>
    <row r="1045401" customFormat="1" x14ac:dyDescent="0.15"/>
    <row r="1045402" customFormat="1" x14ac:dyDescent="0.15"/>
    <row r="1045403" customFormat="1" x14ac:dyDescent="0.15"/>
    <row r="1045404" customFormat="1" x14ac:dyDescent="0.15"/>
    <row r="1045405" customFormat="1" x14ac:dyDescent="0.15"/>
    <row r="1045406" customFormat="1" x14ac:dyDescent="0.15"/>
    <row r="1045407" customFormat="1" x14ac:dyDescent="0.15"/>
    <row r="1045408" customFormat="1" x14ac:dyDescent="0.15"/>
    <row r="1045409" customFormat="1" x14ac:dyDescent="0.15"/>
    <row r="1045410" customFormat="1" x14ac:dyDescent="0.15"/>
    <row r="1045411" customFormat="1" x14ac:dyDescent="0.15"/>
    <row r="1045412" customFormat="1" x14ac:dyDescent="0.15"/>
    <row r="1045413" customFormat="1" x14ac:dyDescent="0.15"/>
    <row r="1045414" customFormat="1" x14ac:dyDescent="0.15"/>
    <row r="1045415" customFormat="1" x14ac:dyDescent="0.15"/>
    <row r="1045416" customFormat="1" x14ac:dyDescent="0.15"/>
    <row r="1045417" customFormat="1" x14ac:dyDescent="0.15"/>
    <row r="1045418" customFormat="1" x14ac:dyDescent="0.15"/>
    <row r="1045419" customFormat="1" x14ac:dyDescent="0.15"/>
    <row r="1045420" customFormat="1" x14ac:dyDescent="0.15"/>
    <row r="1045421" customFormat="1" x14ac:dyDescent="0.15"/>
    <row r="1045422" customFormat="1" x14ac:dyDescent="0.15"/>
    <row r="1045423" customFormat="1" x14ac:dyDescent="0.15"/>
    <row r="1045424" customFormat="1" x14ac:dyDescent="0.15"/>
    <row r="1045425" customFormat="1" x14ac:dyDescent="0.15"/>
    <row r="1045426" customFormat="1" x14ac:dyDescent="0.15"/>
    <row r="1045427" customFormat="1" x14ac:dyDescent="0.15"/>
    <row r="1045428" customFormat="1" x14ac:dyDescent="0.15"/>
    <row r="1045429" customFormat="1" x14ac:dyDescent="0.15"/>
    <row r="1045430" customFormat="1" x14ac:dyDescent="0.15"/>
    <row r="1045431" customFormat="1" x14ac:dyDescent="0.15"/>
    <row r="1045432" customFormat="1" x14ac:dyDescent="0.15"/>
    <row r="1045433" customFormat="1" x14ac:dyDescent="0.15"/>
    <row r="1045434" customFormat="1" x14ac:dyDescent="0.15"/>
    <row r="1045435" customFormat="1" x14ac:dyDescent="0.15"/>
    <row r="1045436" customFormat="1" x14ac:dyDescent="0.15"/>
    <row r="1045437" customFormat="1" x14ac:dyDescent="0.15"/>
    <row r="1045438" customFormat="1" x14ac:dyDescent="0.15"/>
    <row r="1045439" customFormat="1" x14ac:dyDescent="0.15"/>
    <row r="1045440" customFormat="1" x14ac:dyDescent="0.15"/>
    <row r="1045441" customFormat="1" x14ac:dyDescent="0.15"/>
    <row r="1045442" customFormat="1" x14ac:dyDescent="0.15"/>
    <row r="1045443" customFormat="1" x14ac:dyDescent="0.15"/>
    <row r="1045444" customFormat="1" x14ac:dyDescent="0.15"/>
    <row r="1045445" customFormat="1" x14ac:dyDescent="0.15"/>
    <row r="1045446" customFormat="1" x14ac:dyDescent="0.15"/>
    <row r="1045447" customFormat="1" x14ac:dyDescent="0.15"/>
    <row r="1045448" customFormat="1" x14ac:dyDescent="0.15"/>
    <row r="1045449" customFormat="1" x14ac:dyDescent="0.15"/>
    <row r="1045450" customFormat="1" x14ac:dyDescent="0.15"/>
    <row r="1045451" customFormat="1" x14ac:dyDescent="0.15"/>
    <row r="1045452" customFormat="1" x14ac:dyDescent="0.15"/>
    <row r="1045453" customFormat="1" x14ac:dyDescent="0.15"/>
    <row r="1045454" customFormat="1" x14ac:dyDescent="0.15"/>
    <row r="1045455" customFormat="1" x14ac:dyDescent="0.15"/>
    <row r="1045456" customFormat="1" x14ac:dyDescent="0.15"/>
    <row r="1045457" customFormat="1" x14ac:dyDescent="0.15"/>
    <row r="1045458" customFormat="1" x14ac:dyDescent="0.15"/>
    <row r="1045459" customFormat="1" x14ac:dyDescent="0.15"/>
    <row r="1045460" customFormat="1" x14ac:dyDescent="0.15"/>
    <row r="1045461" customFormat="1" x14ac:dyDescent="0.15"/>
    <row r="1045462" customFormat="1" x14ac:dyDescent="0.15"/>
    <row r="1045463" customFormat="1" x14ac:dyDescent="0.15"/>
    <row r="1045464" customFormat="1" x14ac:dyDescent="0.15"/>
    <row r="1045465" customFormat="1" x14ac:dyDescent="0.15"/>
    <row r="1045466" customFormat="1" x14ac:dyDescent="0.15"/>
    <row r="1045467" customFormat="1" x14ac:dyDescent="0.15"/>
    <row r="1045468" customFormat="1" x14ac:dyDescent="0.15"/>
    <row r="1045469" customFormat="1" x14ac:dyDescent="0.15"/>
    <row r="1045470" customFormat="1" x14ac:dyDescent="0.15"/>
    <row r="1045471" customFormat="1" x14ac:dyDescent="0.15"/>
    <row r="1045472" customFormat="1" x14ac:dyDescent="0.15"/>
    <row r="1045473" customFormat="1" x14ac:dyDescent="0.15"/>
    <row r="1045474" customFormat="1" x14ac:dyDescent="0.15"/>
    <row r="1045475" customFormat="1" x14ac:dyDescent="0.15"/>
    <row r="1045476" customFormat="1" x14ac:dyDescent="0.15"/>
    <row r="1045477" customFormat="1" x14ac:dyDescent="0.15"/>
    <row r="1045478" customFormat="1" x14ac:dyDescent="0.15"/>
    <row r="1045479" customFormat="1" x14ac:dyDescent="0.15"/>
    <row r="1045480" customFormat="1" x14ac:dyDescent="0.15"/>
    <row r="1045481" customFormat="1" x14ac:dyDescent="0.15"/>
    <row r="1045482" customFormat="1" x14ac:dyDescent="0.15"/>
    <row r="1045483" customFormat="1" x14ac:dyDescent="0.15"/>
    <row r="1045484" customFormat="1" x14ac:dyDescent="0.15"/>
    <row r="1045485" customFormat="1" x14ac:dyDescent="0.15"/>
    <row r="1045486" customFormat="1" x14ac:dyDescent="0.15"/>
    <row r="1045487" customFormat="1" x14ac:dyDescent="0.15"/>
    <row r="1045488" customFormat="1" x14ac:dyDescent="0.15"/>
    <row r="1045489" customFormat="1" x14ac:dyDescent="0.15"/>
    <row r="1045490" customFormat="1" x14ac:dyDescent="0.15"/>
    <row r="1045491" customFormat="1" x14ac:dyDescent="0.15"/>
    <row r="1045492" customFormat="1" x14ac:dyDescent="0.15"/>
    <row r="1045493" customFormat="1" x14ac:dyDescent="0.15"/>
    <row r="1045494" customFormat="1" x14ac:dyDescent="0.15"/>
    <row r="1045495" customFormat="1" x14ac:dyDescent="0.15"/>
    <row r="1045496" customFormat="1" x14ac:dyDescent="0.15"/>
    <row r="1045497" customFormat="1" x14ac:dyDescent="0.15"/>
    <row r="1045498" customFormat="1" x14ac:dyDescent="0.15"/>
    <row r="1045499" customFormat="1" x14ac:dyDescent="0.15"/>
    <row r="1045500" customFormat="1" x14ac:dyDescent="0.15"/>
    <row r="1045501" customFormat="1" x14ac:dyDescent="0.15"/>
    <row r="1045502" customFormat="1" x14ac:dyDescent="0.15"/>
    <row r="1045503" customFormat="1" x14ac:dyDescent="0.15"/>
    <row r="1045504" customFormat="1" x14ac:dyDescent="0.15"/>
    <row r="1045505" customFormat="1" x14ac:dyDescent="0.15"/>
    <row r="1045506" customFormat="1" x14ac:dyDescent="0.15"/>
    <row r="1045507" customFormat="1" x14ac:dyDescent="0.15"/>
    <row r="1045508" customFormat="1" x14ac:dyDescent="0.15"/>
    <row r="1045509" customFormat="1" x14ac:dyDescent="0.15"/>
    <row r="1045510" customFormat="1" x14ac:dyDescent="0.15"/>
    <row r="1045511" customFormat="1" x14ac:dyDescent="0.15"/>
    <row r="1045512" customFormat="1" x14ac:dyDescent="0.15"/>
    <row r="1045513" customFormat="1" x14ac:dyDescent="0.15"/>
    <row r="1045514" customFormat="1" x14ac:dyDescent="0.15"/>
    <row r="1045515" customFormat="1" x14ac:dyDescent="0.15"/>
    <row r="1045516" customFormat="1" x14ac:dyDescent="0.15"/>
    <row r="1045517" customFormat="1" x14ac:dyDescent="0.15"/>
    <row r="1045518" customFormat="1" x14ac:dyDescent="0.15"/>
    <row r="1045519" customFormat="1" x14ac:dyDescent="0.15"/>
    <row r="1045520" customFormat="1" x14ac:dyDescent="0.15"/>
    <row r="1045521" customFormat="1" x14ac:dyDescent="0.15"/>
    <row r="1045522" customFormat="1" x14ac:dyDescent="0.15"/>
    <row r="1045523" customFormat="1" x14ac:dyDescent="0.15"/>
    <row r="1045524" customFormat="1" x14ac:dyDescent="0.15"/>
    <row r="1045525" customFormat="1" x14ac:dyDescent="0.15"/>
    <row r="1045526" customFormat="1" x14ac:dyDescent="0.15"/>
    <row r="1045527" customFormat="1" x14ac:dyDescent="0.15"/>
    <row r="1045528" customFormat="1" x14ac:dyDescent="0.15"/>
    <row r="1045529" customFormat="1" x14ac:dyDescent="0.15"/>
    <row r="1045530" customFormat="1" x14ac:dyDescent="0.15"/>
    <row r="1045531" customFormat="1" x14ac:dyDescent="0.15"/>
    <row r="1045532" customFormat="1" x14ac:dyDescent="0.15"/>
    <row r="1045533" customFormat="1" x14ac:dyDescent="0.15"/>
    <row r="1045534" customFormat="1" x14ac:dyDescent="0.15"/>
    <row r="1045535" customFormat="1" x14ac:dyDescent="0.15"/>
    <row r="1045536" customFormat="1" x14ac:dyDescent="0.15"/>
    <row r="1045537" customFormat="1" x14ac:dyDescent="0.15"/>
    <row r="1045538" customFormat="1" x14ac:dyDescent="0.15"/>
    <row r="1045539" customFormat="1" x14ac:dyDescent="0.15"/>
    <row r="1045540" customFormat="1" x14ac:dyDescent="0.15"/>
    <row r="1045541" customFormat="1" x14ac:dyDescent="0.15"/>
    <row r="1045542" customFormat="1" x14ac:dyDescent="0.15"/>
    <row r="1045543" customFormat="1" x14ac:dyDescent="0.15"/>
    <row r="1045544" customFormat="1" x14ac:dyDescent="0.15"/>
    <row r="1045545" customFormat="1" x14ac:dyDescent="0.15"/>
    <row r="1045546" customFormat="1" x14ac:dyDescent="0.15"/>
    <row r="1045547" customFormat="1" x14ac:dyDescent="0.15"/>
    <row r="1045548" customFormat="1" x14ac:dyDescent="0.15"/>
    <row r="1045549" customFormat="1" x14ac:dyDescent="0.15"/>
    <row r="1045550" customFormat="1" x14ac:dyDescent="0.15"/>
    <row r="1045551" customFormat="1" x14ac:dyDescent="0.15"/>
    <row r="1045552" customFormat="1" x14ac:dyDescent="0.15"/>
    <row r="1045553" customFormat="1" x14ac:dyDescent="0.15"/>
    <row r="1045554" customFormat="1" x14ac:dyDescent="0.15"/>
    <row r="1045555" customFormat="1" x14ac:dyDescent="0.15"/>
    <row r="1045556" customFormat="1" x14ac:dyDescent="0.15"/>
    <row r="1045557" customFormat="1" x14ac:dyDescent="0.15"/>
    <row r="1045558" customFormat="1" x14ac:dyDescent="0.15"/>
    <row r="1045559" customFormat="1" x14ac:dyDescent="0.15"/>
    <row r="1045560" customFormat="1" x14ac:dyDescent="0.15"/>
    <row r="1045561" customFormat="1" x14ac:dyDescent="0.15"/>
    <row r="1045562" customFormat="1" x14ac:dyDescent="0.15"/>
    <row r="1045563" customFormat="1" x14ac:dyDescent="0.15"/>
    <row r="1045564" customFormat="1" x14ac:dyDescent="0.15"/>
    <row r="1045565" customFormat="1" x14ac:dyDescent="0.15"/>
    <row r="1045566" customFormat="1" x14ac:dyDescent="0.15"/>
    <row r="1045567" customFormat="1" x14ac:dyDescent="0.15"/>
    <row r="1045568" customFormat="1" x14ac:dyDescent="0.15"/>
    <row r="1045569" customFormat="1" x14ac:dyDescent="0.15"/>
    <row r="1045570" customFormat="1" x14ac:dyDescent="0.15"/>
    <row r="1045571" customFormat="1" x14ac:dyDescent="0.15"/>
    <row r="1045572" customFormat="1" x14ac:dyDescent="0.15"/>
    <row r="1045573" customFormat="1" x14ac:dyDescent="0.15"/>
    <row r="1045574" customFormat="1" x14ac:dyDescent="0.15"/>
    <row r="1045575" customFormat="1" x14ac:dyDescent="0.15"/>
    <row r="1045576" customFormat="1" x14ac:dyDescent="0.15"/>
    <row r="1045577" customFormat="1" x14ac:dyDescent="0.15"/>
    <row r="1045578" customFormat="1" x14ac:dyDescent="0.15"/>
    <row r="1045579" customFormat="1" x14ac:dyDescent="0.15"/>
    <row r="1045580" customFormat="1" x14ac:dyDescent="0.15"/>
    <row r="1045581" customFormat="1" x14ac:dyDescent="0.15"/>
    <row r="1045582" customFormat="1" x14ac:dyDescent="0.15"/>
    <row r="1045583" customFormat="1" x14ac:dyDescent="0.15"/>
    <row r="1045584" customFormat="1" x14ac:dyDescent="0.15"/>
    <row r="1045585" customFormat="1" x14ac:dyDescent="0.15"/>
    <row r="1045586" customFormat="1" x14ac:dyDescent="0.15"/>
    <row r="1045587" customFormat="1" x14ac:dyDescent="0.15"/>
    <row r="1045588" customFormat="1" x14ac:dyDescent="0.15"/>
    <row r="1045589" customFormat="1" x14ac:dyDescent="0.15"/>
    <row r="1045590" customFormat="1" x14ac:dyDescent="0.15"/>
    <row r="1045591" customFormat="1" x14ac:dyDescent="0.15"/>
    <row r="1045592" customFormat="1" x14ac:dyDescent="0.15"/>
    <row r="1045593" customFormat="1" x14ac:dyDescent="0.15"/>
    <row r="1045594" customFormat="1" x14ac:dyDescent="0.15"/>
    <row r="1045595" customFormat="1" x14ac:dyDescent="0.15"/>
    <row r="1045596" customFormat="1" x14ac:dyDescent="0.15"/>
    <row r="1045597" customFormat="1" x14ac:dyDescent="0.15"/>
    <row r="1045598" customFormat="1" x14ac:dyDescent="0.15"/>
    <row r="1045599" customFormat="1" x14ac:dyDescent="0.15"/>
    <row r="1045600" customFormat="1" x14ac:dyDescent="0.15"/>
    <row r="1045601" customFormat="1" x14ac:dyDescent="0.15"/>
    <row r="1045602" customFormat="1" x14ac:dyDescent="0.15"/>
    <row r="1045603" customFormat="1" x14ac:dyDescent="0.15"/>
    <row r="1045604" customFormat="1" x14ac:dyDescent="0.15"/>
    <row r="1045605" customFormat="1" x14ac:dyDescent="0.15"/>
    <row r="1045606" customFormat="1" x14ac:dyDescent="0.15"/>
    <row r="1045607" customFormat="1" x14ac:dyDescent="0.15"/>
    <row r="1045608" customFormat="1" x14ac:dyDescent="0.15"/>
    <row r="1045609" customFormat="1" x14ac:dyDescent="0.15"/>
    <row r="1045610" customFormat="1" x14ac:dyDescent="0.15"/>
    <row r="1045611" customFormat="1" x14ac:dyDescent="0.15"/>
    <row r="1045612" customFormat="1" x14ac:dyDescent="0.15"/>
    <row r="1045613" customFormat="1" x14ac:dyDescent="0.15"/>
    <row r="1045614" customFormat="1" x14ac:dyDescent="0.15"/>
    <row r="1045615" customFormat="1" x14ac:dyDescent="0.15"/>
    <row r="1045616" customFormat="1" x14ac:dyDescent="0.15"/>
    <row r="1045617" customFormat="1" x14ac:dyDescent="0.15"/>
    <row r="1045618" customFormat="1" x14ac:dyDescent="0.15"/>
    <row r="1045619" customFormat="1" x14ac:dyDescent="0.15"/>
    <row r="1045620" customFormat="1" x14ac:dyDescent="0.15"/>
    <row r="1045621" customFormat="1" x14ac:dyDescent="0.15"/>
    <row r="1045622" customFormat="1" x14ac:dyDescent="0.15"/>
    <row r="1045623" customFormat="1" x14ac:dyDescent="0.15"/>
    <row r="1045624" customFormat="1" x14ac:dyDescent="0.15"/>
    <row r="1045625" customFormat="1" x14ac:dyDescent="0.15"/>
    <row r="1045626" customFormat="1" x14ac:dyDescent="0.15"/>
    <row r="1045627" customFormat="1" x14ac:dyDescent="0.15"/>
    <row r="1045628" customFormat="1" x14ac:dyDescent="0.15"/>
    <row r="1045629" customFormat="1" x14ac:dyDescent="0.15"/>
    <row r="1045630" customFormat="1" x14ac:dyDescent="0.15"/>
    <row r="1045631" customFormat="1" x14ac:dyDescent="0.15"/>
    <row r="1045632" customFormat="1" x14ac:dyDescent="0.15"/>
    <row r="1045633" customFormat="1" x14ac:dyDescent="0.15"/>
    <row r="1045634" customFormat="1" x14ac:dyDescent="0.15"/>
    <row r="1045635" customFormat="1" x14ac:dyDescent="0.15"/>
    <row r="1045636" customFormat="1" x14ac:dyDescent="0.15"/>
    <row r="1045637" customFormat="1" x14ac:dyDescent="0.15"/>
    <row r="1045638" customFormat="1" x14ac:dyDescent="0.15"/>
    <row r="1045639" customFormat="1" x14ac:dyDescent="0.15"/>
    <row r="1045640" customFormat="1" x14ac:dyDescent="0.15"/>
    <row r="1045641" customFormat="1" x14ac:dyDescent="0.15"/>
    <row r="1045642" customFormat="1" x14ac:dyDescent="0.15"/>
    <row r="1045643" customFormat="1" x14ac:dyDescent="0.15"/>
    <row r="1045644" customFormat="1" x14ac:dyDescent="0.15"/>
    <row r="1045645" customFormat="1" x14ac:dyDescent="0.15"/>
    <row r="1045646" customFormat="1" x14ac:dyDescent="0.15"/>
    <row r="1045647" customFormat="1" x14ac:dyDescent="0.15"/>
    <row r="1045648" customFormat="1" x14ac:dyDescent="0.15"/>
    <row r="1045649" customFormat="1" x14ac:dyDescent="0.15"/>
    <row r="1045650" customFormat="1" x14ac:dyDescent="0.15"/>
    <row r="1045651" customFormat="1" x14ac:dyDescent="0.15"/>
    <row r="1045652" customFormat="1" x14ac:dyDescent="0.15"/>
    <row r="1045653" customFormat="1" x14ac:dyDescent="0.15"/>
    <row r="1045654" customFormat="1" x14ac:dyDescent="0.15"/>
    <row r="1045655" customFormat="1" x14ac:dyDescent="0.15"/>
    <row r="1045656" customFormat="1" x14ac:dyDescent="0.15"/>
    <row r="1045657" customFormat="1" x14ac:dyDescent="0.15"/>
    <row r="1045658" customFormat="1" x14ac:dyDescent="0.15"/>
    <row r="1045659" customFormat="1" x14ac:dyDescent="0.15"/>
    <row r="1045660" customFormat="1" x14ac:dyDescent="0.15"/>
    <row r="1045661" customFormat="1" x14ac:dyDescent="0.15"/>
    <row r="1045662" customFormat="1" x14ac:dyDescent="0.15"/>
    <row r="1045663" customFormat="1" x14ac:dyDescent="0.15"/>
    <row r="1045664" customFormat="1" x14ac:dyDescent="0.15"/>
    <row r="1045665" customFormat="1" x14ac:dyDescent="0.15"/>
    <row r="1045666" customFormat="1" x14ac:dyDescent="0.15"/>
    <row r="1045667" customFormat="1" x14ac:dyDescent="0.15"/>
    <row r="1045668" customFormat="1" x14ac:dyDescent="0.15"/>
    <row r="1045669" customFormat="1" x14ac:dyDescent="0.15"/>
    <row r="1045670" customFormat="1" x14ac:dyDescent="0.15"/>
    <row r="1045671" customFormat="1" x14ac:dyDescent="0.15"/>
    <row r="1045672" customFormat="1" x14ac:dyDescent="0.15"/>
    <row r="1045673" customFormat="1" x14ac:dyDescent="0.15"/>
    <row r="1045674" customFormat="1" x14ac:dyDescent="0.15"/>
    <row r="1045675" customFormat="1" x14ac:dyDescent="0.15"/>
    <row r="1045676" customFormat="1" x14ac:dyDescent="0.15"/>
    <row r="1045677" customFormat="1" x14ac:dyDescent="0.15"/>
    <row r="1045678" customFormat="1" x14ac:dyDescent="0.15"/>
    <row r="1045679" customFormat="1" x14ac:dyDescent="0.15"/>
    <row r="1045680" customFormat="1" x14ac:dyDescent="0.15"/>
    <row r="1045681" customFormat="1" x14ac:dyDescent="0.15"/>
    <row r="1045682" customFormat="1" x14ac:dyDescent="0.15"/>
    <row r="1045683" customFormat="1" x14ac:dyDescent="0.15"/>
    <row r="1045684" customFormat="1" x14ac:dyDescent="0.15"/>
    <row r="1045685" customFormat="1" x14ac:dyDescent="0.15"/>
    <row r="1045686" customFormat="1" x14ac:dyDescent="0.15"/>
    <row r="1045687" customFormat="1" x14ac:dyDescent="0.15"/>
    <row r="1045688" customFormat="1" x14ac:dyDescent="0.15"/>
    <row r="1045689" customFormat="1" x14ac:dyDescent="0.15"/>
    <row r="1045690" customFormat="1" x14ac:dyDescent="0.15"/>
    <row r="1045691" customFormat="1" x14ac:dyDescent="0.15"/>
    <row r="1045692" customFormat="1" x14ac:dyDescent="0.15"/>
    <row r="1045693" customFormat="1" x14ac:dyDescent="0.15"/>
    <row r="1045694" customFormat="1" x14ac:dyDescent="0.15"/>
    <row r="1045695" customFormat="1" x14ac:dyDescent="0.15"/>
    <row r="1045696" customFormat="1" x14ac:dyDescent="0.15"/>
    <row r="1045697" customFormat="1" x14ac:dyDescent="0.15"/>
    <row r="1045698" customFormat="1" x14ac:dyDescent="0.15"/>
    <row r="1045699" customFormat="1" x14ac:dyDescent="0.15"/>
    <row r="1045700" customFormat="1" x14ac:dyDescent="0.15"/>
    <row r="1045701" customFormat="1" x14ac:dyDescent="0.15"/>
    <row r="1045702" customFormat="1" x14ac:dyDescent="0.15"/>
    <row r="1045703" customFormat="1" x14ac:dyDescent="0.15"/>
    <row r="1045704" customFormat="1" x14ac:dyDescent="0.15"/>
    <row r="1045705" customFormat="1" x14ac:dyDescent="0.15"/>
    <row r="1045706" customFormat="1" x14ac:dyDescent="0.15"/>
    <row r="1045707" customFormat="1" x14ac:dyDescent="0.15"/>
    <row r="1045708" customFormat="1" x14ac:dyDescent="0.15"/>
    <row r="1045709" customFormat="1" x14ac:dyDescent="0.15"/>
    <row r="1045710" customFormat="1" x14ac:dyDescent="0.15"/>
    <row r="1045711" customFormat="1" x14ac:dyDescent="0.15"/>
    <row r="1045712" customFormat="1" x14ac:dyDescent="0.15"/>
    <row r="1045713" customFormat="1" x14ac:dyDescent="0.15"/>
    <row r="1045714" customFormat="1" x14ac:dyDescent="0.15"/>
    <row r="1045715" customFormat="1" x14ac:dyDescent="0.15"/>
    <row r="1045716" customFormat="1" x14ac:dyDescent="0.15"/>
    <row r="1045717" customFormat="1" x14ac:dyDescent="0.15"/>
    <row r="1045718" customFormat="1" x14ac:dyDescent="0.15"/>
    <row r="1045719" customFormat="1" x14ac:dyDescent="0.15"/>
    <row r="1045720" customFormat="1" x14ac:dyDescent="0.15"/>
    <row r="1045721" customFormat="1" x14ac:dyDescent="0.15"/>
    <row r="1045722" customFormat="1" x14ac:dyDescent="0.15"/>
    <row r="1045723" customFormat="1" x14ac:dyDescent="0.15"/>
    <row r="1045724" customFormat="1" x14ac:dyDescent="0.15"/>
    <row r="1045725" customFormat="1" x14ac:dyDescent="0.15"/>
    <row r="1045726" customFormat="1" x14ac:dyDescent="0.15"/>
    <row r="1045727" customFormat="1" x14ac:dyDescent="0.15"/>
    <row r="1045728" customFormat="1" x14ac:dyDescent="0.15"/>
    <row r="1045729" customFormat="1" x14ac:dyDescent="0.15"/>
    <row r="1045730" customFormat="1" x14ac:dyDescent="0.15"/>
    <row r="1045731" customFormat="1" x14ac:dyDescent="0.15"/>
    <row r="1045732" customFormat="1" x14ac:dyDescent="0.15"/>
    <row r="1045733" customFormat="1" x14ac:dyDescent="0.15"/>
    <row r="1045734" customFormat="1" x14ac:dyDescent="0.15"/>
    <row r="1045735" customFormat="1" x14ac:dyDescent="0.15"/>
    <row r="1045736" customFormat="1" x14ac:dyDescent="0.15"/>
    <row r="1045737" customFormat="1" x14ac:dyDescent="0.15"/>
    <row r="1045738" customFormat="1" x14ac:dyDescent="0.15"/>
    <row r="1045739" customFormat="1" x14ac:dyDescent="0.15"/>
    <row r="1045740" customFormat="1" x14ac:dyDescent="0.15"/>
    <row r="1045741" customFormat="1" x14ac:dyDescent="0.15"/>
    <row r="1045742" customFormat="1" x14ac:dyDescent="0.15"/>
    <row r="1045743" customFormat="1" x14ac:dyDescent="0.15"/>
    <row r="1045744" customFormat="1" x14ac:dyDescent="0.15"/>
    <row r="1045745" customFormat="1" x14ac:dyDescent="0.15"/>
    <row r="1045746" customFormat="1" x14ac:dyDescent="0.15"/>
    <row r="1045747" customFormat="1" x14ac:dyDescent="0.15"/>
    <row r="1045748" customFormat="1" x14ac:dyDescent="0.15"/>
    <row r="1045749" customFormat="1" x14ac:dyDescent="0.15"/>
    <row r="1045750" customFormat="1" x14ac:dyDescent="0.15"/>
    <row r="1045751" customFormat="1" x14ac:dyDescent="0.15"/>
    <row r="1045752" customFormat="1" x14ac:dyDescent="0.15"/>
    <row r="1045753" customFormat="1" x14ac:dyDescent="0.15"/>
    <row r="1045754" customFormat="1" x14ac:dyDescent="0.15"/>
    <row r="1045755" customFormat="1" x14ac:dyDescent="0.15"/>
    <row r="1045756" customFormat="1" x14ac:dyDescent="0.15"/>
    <row r="1045757" customFormat="1" x14ac:dyDescent="0.15"/>
    <row r="1045758" customFormat="1" x14ac:dyDescent="0.15"/>
    <row r="1045759" customFormat="1" x14ac:dyDescent="0.15"/>
    <row r="1045760" customFormat="1" x14ac:dyDescent="0.15"/>
    <row r="1045761" customFormat="1" x14ac:dyDescent="0.15"/>
    <row r="1045762" customFormat="1" x14ac:dyDescent="0.15"/>
    <row r="1045763" customFormat="1" x14ac:dyDescent="0.15"/>
    <row r="1045764" customFormat="1" x14ac:dyDescent="0.15"/>
    <row r="1045765" customFormat="1" x14ac:dyDescent="0.15"/>
    <row r="1045766" customFormat="1" x14ac:dyDescent="0.15"/>
    <row r="1045767" customFormat="1" x14ac:dyDescent="0.15"/>
    <row r="1045768" customFormat="1" x14ac:dyDescent="0.15"/>
    <row r="1045769" customFormat="1" x14ac:dyDescent="0.15"/>
    <row r="1045770" customFormat="1" x14ac:dyDescent="0.15"/>
    <row r="1045771" customFormat="1" x14ac:dyDescent="0.15"/>
    <row r="1045772" customFormat="1" x14ac:dyDescent="0.15"/>
    <row r="1045773" customFormat="1" x14ac:dyDescent="0.15"/>
    <row r="1045774" customFormat="1" x14ac:dyDescent="0.15"/>
    <row r="1045775" customFormat="1" x14ac:dyDescent="0.15"/>
    <row r="1045776" customFormat="1" x14ac:dyDescent="0.15"/>
    <row r="1045777" customFormat="1" x14ac:dyDescent="0.15"/>
    <row r="1045778" customFormat="1" x14ac:dyDescent="0.15"/>
    <row r="1045779" customFormat="1" x14ac:dyDescent="0.15"/>
    <row r="1045780" customFormat="1" x14ac:dyDescent="0.15"/>
    <row r="1045781" customFormat="1" x14ac:dyDescent="0.15"/>
    <row r="1045782" customFormat="1" x14ac:dyDescent="0.15"/>
    <row r="1045783" customFormat="1" x14ac:dyDescent="0.15"/>
    <row r="1045784" customFormat="1" x14ac:dyDescent="0.15"/>
    <row r="1045785" customFormat="1" x14ac:dyDescent="0.15"/>
    <row r="1045786" customFormat="1" x14ac:dyDescent="0.15"/>
    <row r="1045787" customFormat="1" x14ac:dyDescent="0.15"/>
    <row r="1045788" customFormat="1" x14ac:dyDescent="0.15"/>
    <row r="1045789" customFormat="1" x14ac:dyDescent="0.15"/>
    <row r="1045790" customFormat="1" x14ac:dyDescent="0.15"/>
    <row r="1045791" customFormat="1" x14ac:dyDescent="0.15"/>
    <row r="1045792" customFormat="1" x14ac:dyDescent="0.15"/>
    <row r="1045793" customFormat="1" x14ac:dyDescent="0.15"/>
    <row r="1045794" customFormat="1" x14ac:dyDescent="0.15"/>
    <row r="1045795" customFormat="1" x14ac:dyDescent="0.15"/>
    <row r="1045796" customFormat="1" x14ac:dyDescent="0.15"/>
    <row r="1045797" customFormat="1" x14ac:dyDescent="0.15"/>
    <row r="1045798" customFormat="1" x14ac:dyDescent="0.15"/>
    <row r="1045799" customFormat="1" x14ac:dyDescent="0.15"/>
    <row r="1045800" customFormat="1" x14ac:dyDescent="0.15"/>
    <row r="1045801" customFormat="1" x14ac:dyDescent="0.15"/>
    <row r="1045802" customFormat="1" x14ac:dyDescent="0.15"/>
    <row r="1045803" customFormat="1" x14ac:dyDescent="0.15"/>
    <row r="1045804" customFormat="1" x14ac:dyDescent="0.15"/>
    <row r="1045805" customFormat="1" x14ac:dyDescent="0.15"/>
    <row r="1045806" customFormat="1" x14ac:dyDescent="0.15"/>
    <row r="1045807" customFormat="1" x14ac:dyDescent="0.15"/>
    <row r="1045808" customFormat="1" x14ac:dyDescent="0.15"/>
    <row r="1045809" customFormat="1" x14ac:dyDescent="0.15"/>
    <row r="1045810" customFormat="1" x14ac:dyDescent="0.15"/>
    <row r="1045811" customFormat="1" x14ac:dyDescent="0.15"/>
    <row r="1045812" customFormat="1" x14ac:dyDescent="0.15"/>
    <row r="1045813" customFormat="1" x14ac:dyDescent="0.15"/>
    <row r="1045814" customFormat="1" x14ac:dyDescent="0.15"/>
    <row r="1045815" customFormat="1" x14ac:dyDescent="0.15"/>
    <row r="1045816" customFormat="1" x14ac:dyDescent="0.15"/>
    <row r="1045817" customFormat="1" x14ac:dyDescent="0.15"/>
    <row r="1045818" customFormat="1" x14ac:dyDescent="0.15"/>
    <row r="1045819" customFormat="1" x14ac:dyDescent="0.15"/>
    <row r="1045820" customFormat="1" x14ac:dyDescent="0.15"/>
    <row r="1045821" customFormat="1" x14ac:dyDescent="0.15"/>
    <row r="1045822" customFormat="1" x14ac:dyDescent="0.15"/>
    <row r="1045823" customFormat="1" x14ac:dyDescent="0.15"/>
    <row r="1045824" customFormat="1" x14ac:dyDescent="0.15"/>
    <row r="1045825" customFormat="1" x14ac:dyDescent="0.15"/>
    <row r="1045826" customFormat="1" x14ac:dyDescent="0.15"/>
    <row r="1045827" customFormat="1" x14ac:dyDescent="0.15"/>
    <row r="1045828" customFormat="1" x14ac:dyDescent="0.15"/>
    <row r="1045829" customFormat="1" x14ac:dyDescent="0.15"/>
    <row r="1045830" customFormat="1" x14ac:dyDescent="0.15"/>
    <row r="1045831" customFormat="1" x14ac:dyDescent="0.15"/>
    <row r="1045832" customFormat="1" x14ac:dyDescent="0.15"/>
    <row r="1045833" customFormat="1" x14ac:dyDescent="0.15"/>
    <row r="1045834" customFormat="1" x14ac:dyDescent="0.15"/>
    <row r="1045835" customFormat="1" x14ac:dyDescent="0.15"/>
    <row r="1045836" customFormat="1" x14ac:dyDescent="0.15"/>
    <row r="1045837" customFormat="1" x14ac:dyDescent="0.15"/>
    <row r="1045838" customFormat="1" x14ac:dyDescent="0.15"/>
    <row r="1045839" customFormat="1" x14ac:dyDescent="0.15"/>
    <row r="1045840" customFormat="1" x14ac:dyDescent="0.15"/>
    <row r="1045841" customFormat="1" x14ac:dyDescent="0.15"/>
    <row r="1045842" customFormat="1" x14ac:dyDescent="0.15"/>
    <row r="1045843" customFormat="1" x14ac:dyDescent="0.15"/>
    <row r="1045844" customFormat="1" x14ac:dyDescent="0.15"/>
    <row r="1045845" customFormat="1" x14ac:dyDescent="0.15"/>
    <row r="1045846" customFormat="1" x14ac:dyDescent="0.15"/>
    <row r="1045847" customFormat="1" x14ac:dyDescent="0.15"/>
    <row r="1045848" customFormat="1" x14ac:dyDescent="0.15"/>
    <row r="1045849" customFormat="1" x14ac:dyDescent="0.15"/>
    <row r="1045850" customFormat="1" x14ac:dyDescent="0.15"/>
    <row r="1045851" customFormat="1" x14ac:dyDescent="0.15"/>
    <row r="1045852" customFormat="1" x14ac:dyDescent="0.15"/>
    <row r="1045853" customFormat="1" x14ac:dyDescent="0.15"/>
    <row r="1045854" customFormat="1" x14ac:dyDescent="0.15"/>
    <row r="1045855" customFormat="1" x14ac:dyDescent="0.15"/>
    <row r="1045856" customFormat="1" x14ac:dyDescent="0.15"/>
    <row r="1045857" customFormat="1" x14ac:dyDescent="0.15"/>
    <row r="1045858" customFormat="1" x14ac:dyDescent="0.15"/>
    <row r="1045859" customFormat="1" x14ac:dyDescent="0.15"/>
    <row r="1045860" customFormat="1" x14ac:dyDescent="0.15"/>
    <row r="1045861" customFormat="1" x14ac:dyDescent="0.15"/>
    <row r="1045862" customFormat="1" x14ac:dyDescent="0.15"/>
    <row r="1045863" customFormat="1" x14ac:dyDescent="0.15"/>
    <row r="1045864" customFormat="1" x14ac:dyDescent="0.15"/>
    <row r="1045865" customFormat="1" x14ac:dyDescent="0.15"/>
    <row r="1045866" customFormat="1" x14ac:dyDescent="0.15"/>
    <row r="1045867" customFormat="1" x14ac:dyDescent="0.15"/>
    <row r="1045868" customFormat="1" x14ac:dyDescent="0.15"/>
    <row r="1045869" customFormat="1" x14ac:dyDescent="0.15"/>
    <row r="1045870" customFormat="1" x14ac:dyDescent="0.15"/>
    <row r="1045871" customFormat="1" x14ac:dyDescent="0.15"/>
    <row r="1045872" customFormat="1" x14ac:dyDescent="0.15"/>
    <row r="1045873" customFormat="1" x14ac:dyDescent="0.15"/>
    <row r="1045874" customFormat="1" x14ac:dyDescent="0.15"/>
    <row r="1045875" customFormat="1" x14ac:dyDescent="0.15"/>
    <row r="1045876" customFormat="1" x14ac:dyDescent="0.15"/>
    <row r="1045877" customFormat="1" x14ac:dyDescent="0.15"/>
    <row r="1045878" customFormat="1" x14ac:dyDescent="0.15"/>
    <row r="1045879" customFormat="1" x14ac:dyDescent="0.15"/>
    <row r="1045880" customFormat="1" x14ac:dyDescent="0.15"/>
    <row r="1045881" customFormat="1" x14ac:dyDescent="0.15"/>
    <row r="1045882" customFormat="1" x14ac:dyDescent="0.15"/>
    <row r="1045883" customFormat="1" x14ac:dyDescent="0.15"/>
    <row r="1045884" customFormat="1" x14ac:dyDescent="0.15"/>
    <row r="1045885" customFormat="1" x14ac:dyDescent="0.15"/>
    <row r="1045886" customFormat="1" x14ac:dyDescent="0.15"/>
    <row r="1045887" customFormat="1" x14ac:dyDescent="0.15"/>
    <row r="1045888" customFormat="1" x14ac:dyDescent="0.15"/>
    <row r="1045889" customFormat="1" x14ac:dyDescent="0.15"/>
    <row r="1045890" customFormat="1" x14ac:dyDescent="0.15"/>
    <row r="1045891" customFormat="1" x14ac:dyDescent="0.15"/>
    <row r="1045892" customFormat="1" x14ac:dyDescent="0.15"/>
    <row r="1045893" customFormat="1" x14ac:dyDescent="0.15"/>
    <row r="1045894" customFormat="1" x14ac:dyDescent="0.15"/>
    <row r="1045895" customFormat="1" x14ac:dyDescent="0.15"/>
    <row r="1045896" customFormat="1" x14ac:dyDescent="0.15"/>
    <row r="1045897" customFormat="1" x14ac:dyDescent="0.15"/>
    <row r="1045898" customFormat="1" x14ac:dyDescent="0.15"/>
    <row r="1045899" customFormat="1" x14ac:dyDescent="0.15"/>
    <row r="1045900" customFormat="1" x14ac:dyDescent="0.15"/>
    <row r="1045901" customFormat="1" x14ac:dyDescent="0.15"/>
    <row r="1045902" customFormat="1" x14ac:dyDescent="0.15"/>
    <row r="1045903" customFormat="1" x14ac:dyDescent="0.15"/>
    <row r="1045904" customFormat="1" x14ac:dyDescent="0.15"/>
    <row r="1045905" customFormat="1" x14ac:dyDescent="0.15"/>
    <row r="1045906" customFormat="1" x14ac:dyDescent="0.15"/>
    <row r="1045907" customFormat="1" x14ac:dyDescent="0.15"/>
    <row r="1045908" customFormat="1" x14ac:dyDescent="0.15"/>
    <row r="1045909" customFormat="1" x14ac:dyDescent="0.15"/>
    <row r="1045910" customFormat="1" x14ac:dyDescent="0.15"/>
    <row r="1045911" customFormat="1" x14ac:dyDescent="0.15"/>
    <row r="1045912" customFormat="1" x14ac:dyDescent="0.15"/>
    <row r="1045913" customFormat="1" x14ac:dyDescent="0.15"/>
    <row r="1045914" customFormat="1" x14ac:dyDescent="0.15"/>
    <row r="1045915" customFormat="1" x14ac:dyDescent="0.15"/>
    <row r="1045916" customFormat="1" x14ac:dyDescent="0.15"/>
    <row r="1045917" customFormat="1" x14ac:dyDescent="0.15"/>
    <row r="1045918" customFormat="1" x14ac:dyDescent="0.15"/>
    <row r="1045919" customFormat="1" x14ac:dyDescent="0.15"/>
    <row r="1045920" customFormat="1" x14ac:dyDescent="0.15"/>
    <row r="1045921" customFormat="1" x14ac:dyDescent="0.15"/>
    <row r="1045922" customFormat="1" x14ac:dyDescent="0.15"/>
    <row r="1045923" customFormat="1" x14ac:dyDescent="0.15"/>
    <row r="1045924" customFormat="1" x14ac:dyDescent="0.15"/>
    <row r="1045925" customFormat="1" x14ac:dyDescent="0.15"/>
    <row r="1045926" customFormat="1" x14ac:dyDescent="0.15"/>
    <row r="1045927" customFormat="1" x14ac:dyDescent="0.15"/>
    <row r="1045928" customFormat="1" x14ac:dyDescent="0.15"/>
    <row r="1045929" customFormat="1" x14ac:dyDescent="0.15"/>
    <row r="1045930" customFormat="1" x14ac:dyDescent="0.15"/>
    <row r="1045931" customFormat="1" x14ac:dyDescent="0.15"/>
    <row r="1045932" customFormat="1" x14ac:dyDescent="0.15"/>
    <row r="1045933" customFormat="1" x14ac:dyDescent="0.15"/>
    <row r="1045934" customFormat="1" x14ac:dyDescent="0.15"/>
    <row r="1045935" customFormat="1" x14ac:dyDescent="0.15"/>
    <row r="1045936" customFormat="1" x14ac:dyDescent="0.15"/>
    <row r="1045937" customFormat="1" x14ac:dyDescent="0.15"/>
    <row r="1045938" customFormat="1" x14ac:dyDescent="0.15"/>
    <row r="1045939" customFormat="1" x14ac:dyDescent="0.15"/>
    <row r="1045940" customFormat="1" x14ac:dyDescent="0.15"/>
    <row r="1045941" customFormat="1" x14ac:dyDescent="0.15"/>
    <row r="1045942" customFormat="1" x14ac:dyDescent="0.15"/>
    <row r="1045943" customFormat="1" x14ac:dyDescent="0.15"/>
    <row r="1045944" customFormat="1" x14ac:dyDescent="0.15"/>
    <row r="1045945" customFormat="1" x14ac:dyDescent="0.15"/>
    <row r="1045946" customFormat="1" x14ac:dyDescent="0.15"/>
    <row r="1045947" customFormat="1" x14ac:dyDescent="0.15"/>
    <row r="1045948" customFormat="1" x14ac:dyDescent="0.15"/>
    <row r="1045949" customFormat="1" x14ac:dyDescent="0.15"/>
    <row r="1045950" customFormat="1" x14ac:dyDescent="0.15"/>
    <row r="1045951" customFormat="1" x14ac:dyDescent="0.15"/>
    <row r="1045952" customFormat="1" x14ac:dyDescent="0.15"/>
    <row r="1045953" customFormat="1" x14ac:dyDescent="0.15"/>
    <row r="1045954" customFormat="1" x14ac:dyDescent="0.15"/>
    <row r="1045955" customFormat="1" x14ac:dyDescent="0.15"/>
    <row r="1045956" customFormat="1" x14ac:dyDescent="0.15"/>
    <row r="1045957" customFormat="1" x14ac:dyDescent="0.15"/>
    <row r="1045958" customFormat="1" x14ac:dyDescent="0.15"/>
    <row r="1045959" customFormat="1" x14ac:dyDescent="0.15"/>
    <row r="1045960" customFormat="1" x14ac:dyDescent="0.15"/>
    <row r="1045961" customFormat="1" x14ac:dyDescent="0.15"/>
    <row r="1045962" customFormat="1" x14ac:dyDescent="0.15"/>
    <row r="1045963" customFormat="1" x14ac:dyDescent="0.15"/>
    <row r="1045964" customFormat="1" x14ac:dyDescent="0.15"/>
    <row r="1045965" customFormat="1" x14ac:dyDescent="0.15"/>
    <row r="1045966" customFormat="1" x14ac:dyDescent="0.15"/>
    <row r="1045967" customFormat="1" x14ac:dyDescent="0.15"/>
    <row r="1045968" customFormat="1" x14ac:dyDescent="0.15"/>
    <row r="1045969" customFormat="1" x14ac:dyDescent="0.15"/>
    <row r="1045970" customFormat="1" x14ac:dyDescent="0.15"/>
    <row r="1045971" customFormat="1" x14ac:dyDescent="0.15"/>
    <row r="1045972" customFormat="1" x14ac:dyDescent="0.15"/>
    <row r="1045973" customFormat="1" x14ac:dyDescent="0.15"/>
    <row r="1045974" customFormat="1" x14ac:dyDescent="0.15"/>
    <row r="1045975" customFormat="1" x14ac:dyDescent="0.15"/>
    <row r="1045976" customFormat="1" x14ac:dyDescent="0.15"/>
    <row r="1045977" customFormat="1" x14ac:dyDescent="0.15"/>
    <row r="1045978" customFormat="1" x14ac:dyDescent="0.15"/>
    <row r="1045979" customFormat="1" x14ac:dyDescent="0.15"/>
    <row r="1045980" customFormat="1" x14ac:dyDescent="0.15"/>
    <row r="1045981" customFormat="1" x14ac:dyDescent="0.15"/>
    <row r="1045982" customFormat="1" x14ac:dyDescent="0.15"/>
    <row r="1045983" customFormat="1" x14ac:dyDescent="0.15"/>
    <row r="1045984" customFormat="1" x14ac:dyDescent="0.15"/>
    <row r="1045985" customFormat="1" x14ac:dyDescent="0.15"/>
    <row r="1045986" customFormat="1" x14ac:dyDescent="0.15"/>
    <row r="1045987" customFormat="1" x14ac:dyDescent="0.15"/>
    <row r="1045988" customFormat="1" x14ac:dyDescent="0.15"/>
    <row r="1045989" customFormat="1" x14ac:dyDescent="0.15"/>
    <row r="1045990" customFormat="1" x14ac:dyDescent="0.15"/>
    <row r="1045991" customFormat="1" x14ac:dyDescent="0.15"/>
    <row r="1045992" customFormat="1" x14ac:dyDescent="0.15"/>
    <row r="1045993" customFormat="1" x14ac:dyDescent="0.15"/>
    <row r="1045994" customFormat="1" x14ac:dyDescent="0.15"/>
    <row r="1045995" customFormat="1" x14ac:dyDescent="0.15"/>
    <row r="1045996" customFormat="1" x14ac:dyDescent="0.15"/>
    <row r="1045997" customFormat="1" x14ac:dyDescent="0.15"/>
    <row r="1045998" customFormat="1" x14ac:dyDescent="0.15"/>
    <row r="1045999" customFormat="1" x14ac:dyDescent="0.15"/>
    <row r="1046000" customFormat="1" x14ac:dyDescent="0.15"/>
    <row r="1046001" customFormat="1" x14ac:dyDescent="0.15"/>
    <row r="1046002" customFormat="1" x14ac:dyDescent="0.15"/>
    <row r="1046003" customFormat="1" x14ac:dyDescent="0.15"/>
    <row r="1046004" customFormat="1" x14ac:dyDescent="0.15"/>
    <row r="1046005" customFormat="1" x14ac:dyDescent="0.15"/>
    <row r="1046006" customFormat="1" x14ac:dyDescent="0.15"/>
    <row r="1046007" customFormat="1" x14ac:dyDescent="0.15"/>
    <row r="1046008" customFormat="1" x14ac:dyDescent="0.15"/>
    <row r="1046009" customFormat="1" x14ac:dyDescent="0.15"/>
    <row r="1046010" customFormat="1" x14ac:dyDescent="0.15"/>
    <row r="1046011" customFormat="1" x14ac:dyDescent="0.15"/>
    <row r="1046012" customFormat="1" x14ac:dyDescent="0.15"/>
    <row r="1046013" customFormat="1" x14ac:dyDescent="0.15"/>
    <row r="1046014" customFormat="1" x14ac:dyDescent="0.15"/>
    <row r="1046015" customFormat="1" x14ac:dyDescent="0.15"/>
    <row r="1046016" customFormat="1" x14ac:dyDescent="0.15"/>
    <row r="1046017" customFormat="1" x14ac:dyDescent="0.15"/>
    <row r="1046018" customFormat="1" x14ac:dyDescent="0.15"/>
    <row r="1046019" customFormat="1" x14ac:dyDescent="0.15"/>
    <row r="1046020" customFormat="1" x14ac:dyDescent="0.15"/>
    <row r="1046021" customFormat="1" x14ac:dyDescent="0.15"/>
    <row r="1046022" customFormat="1" x14ac:dyDescent="0.15"/>
    <row r="1046023" customFormat="1" x14ac:dyDescent="0.15"/>
    <row r="1046024" customFormat="1" x14ac:dyDescent="0.15"/>
    <row r="1046025" customFormat="1" x14ac:dyDescent="0.15"/>
    <row r="1046026" customFormat="1" x14ac:dyDescent="0.15"/>
    <row r="1046027" customFormat="1" x14ac:dyDescent="0.15"/>
    <row r="1046028" customFormat="1" x14ac:dyDescent="0.15"/>
    <row r="1046029" customFormat="1" x14ac:dyDescent="0.15"/>
    <row r="1046030" customFormat="1" x14ac:dyDescent="0.15"/>
    <row r="1046031" customFormat="1" x14ac:dyDescent="0.15"/>
    <row r="1046032" customFormat="1" x14ac:dyDescent="0.15"/>
    <row r="1046033" customFormat="1" x14ac:dyDescent="0.15"/>
    <row r="1046034" customFormat="1" x14ac:dyDescent="0.15"/>
    <row r="1046035" customFormat="1" x14ac:dyDescent="0.15"/>
    <row r="1046036" customFormat="1" x14ac:dyDescent="0.15"/>
    <row r="1046037" customFormat="1" x14ac:dyDescent="0.15"/>
    <row r="1046038" customFormat="1" x14ac:dyDescent="0.15"/>
    <row r="1046039" customFormat="1" x14ac:dyDescent="0.15"/>
    <row r="1046040" customFormat="1" x14ac:dyDescent="0.15"/>
    <row r="1046041" customFormat="1" x14ac:dyDescent="0.15"/>
    <row r="1046042" customFormat="1" x14ac:dyDescent="0.15"/>
    <row r="1046043" customFormat="1" x14ac:dyDescent="0.15"/>
    <row r="1046044" customFormat="1" x14ac:dyDescent="0.15"/>
    <row r="1046045" customFormat="1" x14ac:dyDescent="0.15"/>
    <row r="1046046" customFormat="1" x14ac:dyDescent="0.15"/>
    <row r="1046047" customFormat="1" x14ac:dyDescent="0.15"/>
    <row r="1046048" customFormat="1" x14ac:dyDescent="0.15"/>
    <row r="1046049" customFormat="1" x14ac:dyDescent="0.15"/>
    <row r="1046050" customFormat="1" x14ac:dyDescent="0.15"/>
    <row r="1046051" customFormat="1" x14ac:dyDescent="0.15"/>
    <row r="1046052" customFormat="1" x14ac:dyDescent="0.15"/>
    <row r="1046053" customFormat="1" x14ac:dyDescent="0.15"/>
    <row r="1046054" customFormat="1" x14ac:dyDescent="0.15"/>
    <row r="1046055" customFormat="1" x14ac:dyDescent="0.15"/>
    <row r="1046056" customFormat="1" x14ac:dyDescent="0.15"/>
    <row r="1046057" customFormat="1" x14ac:dyDescent="0.15"/>
    <row r="1046058" customFormat="1" x14ac:dyDescent="0.15"/>
    <row r="1046059" customFormat="1" x14ac:dyDescent="0.15"/>
    <row r="1046060" customFormat="1" x14ac:dyDescent="0.15"/>
    <row r="1046061" customFormat="1" x14ac:dyDescent="0.15"/>
    <row r="1046062" customFormat="1" x14ac:dyDescent="0.15"/>
    <row r="1046063" customFormat="1" x14ac:dyDescent="0.15"/>
    <row r="1046064" customFormat="1" x14ac:dyDescent="0.15"/>
    <row r="1046065" customFormat="1" x14ac:dyDescent="0.15"/>
    <row r="1046066" customFormat="1" x14ac:dyDescent="0.15"/>
    <row r="1046067" customFormat="1" x14ac:dyDescent="0.15"/>
    <row r="1046068" customFormat="1" x14ac:dyDescent="0.15"/>
    <row r="1046069" customFormat="1" x14ac:dyDescent="0.15"/>
    <row r="1046070" customFormat="1" x14ac:dyDescent="0.15"/>
    <row r="1046071" customFormat="1" x14ac:dyDescent="0.15"/>
    <row r="1046072" customFormat="1" x14ac:dyDescent="0.15"/>
    <row r="1046073" customFormat="1" x14ac:dyDescent="0.15"/>
    <row r="1046074" customFormat="1" x14ac:dyDescent="0.15"/>
    <row r="1046075" customFormat="1" x14ac:dyDescent="0.15"/>
    <row r="1046076" customFormat="1" x14ac:dyDescent="0.15"/>
    <row r="1046077" customFormat="1" x14ac:dyDescent="0.15"/>
    <row r="1046078" customFormat="1" x14ac:dyDescent="0.15"/>
    <row r="1046079" customFormat="1" x14ac:dyDescent="0.15"/>
    <row r="1046080" customFormat="1" x14ac:dyDescent="0.15"/>
    <row r="1046081" customFormat="1" x14ac:dyDescent="0.15"/>
    <row r="1046082" customFormat="1" x14ac:dyDescent="0.15"/>
    <row r="1046083" customFormat="1" x14ac:dyDescent="0.15"/>
    <row r="1046084" customFormat="1" x14ac:dyDescent="0.15"/>
    <row r="1046085" customFormat="1" x14ac:dyDescent="0.15"/>
    <row r="1046086" customFormat="1" x14ac:dyDescent="0.15"/>
    <row r="1046087" customFormat="1" x14ac:dyDescent="0.15"/>
    <row r="1046088" customFormat="1" x14ac:dyDescent="0.15"/>
    <row r="1046089" customFormat="1" x14ac:dyDescent="0.15"/>
    <row r="1046090" customFormat="1" x14ac:dyDescent="0.15"/>
    <row r="1046091" customFormat="1" x14ac:dyDescent="0.15"/>
    <row r="1046092" customFormat="1" x14ac:dyDescent="0.15"/>
    <row r="1046093" customFormat="1" x14ac:dyDescent="0.15"/>
    <row r="1046094" customFormat="1" x14ac:dyDescent="0.15"/>
    <row r="1046095" customFormat="1" x14ac:dyDescent="0.15"/>
    <row r="1046096" customFormat="1" x14ac:dyDescent="0.15"/>
    <row r="1046097" customFormat="1" x14ac:dyDescent="0.15"/>
    <row r="1046098" customFormat="1" x14ac:dyDescent="0.15"/>
    <row r="1046099" customFormat="1" x14ac:dyDescent="0.15"/>
    <row r="1046100" customFormat="1" x14ac:dyDescent="0.15"/>
    <row r="1046101" customFormat="1" x14ac:dyDescent="0.15"/>
    <row r="1046102" customFormat="1" x14ac:dyDescent="0.15"/>
    <row r="1046103" customFormat="1" x14ac:dyDescent="0.15"/>
    <row r="1046104" customFormat="1" x14ac:dyDescent="0.15"/>
    <row r="1046105" customFormat="1" x14ac:dyDescent="0.15"/>
    <row r="1046106" customFormat="1" x14ac:dyDescent="0.15"/>
    <row r="1046107" customFormat="1" x14ac:dyDescent="0.15"/>
    <row r="1046108" customFormat="1" x14ac:dyDescent="0.15"/>
    <row r="1046109" customFormat="1" x14ac:dyDescent="0.15"/>
    <row r="1046110" customFormat="1" x14ac:dyDescent="0.15"/>
    <row r="1046111" customFormat="1" x14ac:dyDescent="0.15"/>
    <row r="1046112" customFormat="1" x14ac:dyDescent="0.15"/>
    <row r="1046113" customFormat="1" x14ac:dyDescent="0.15"/>
    <row r="1046114" customFormat="1" x14ac:dyDescent="0.15"/>
    <row r="1046115" customFormat="1" x14ac:dyDescent="0.15"/>
    <row r="1046116" customFormat="1" x14ac:dyDescent="0.15"/>
    <row r="1046117" customFormat="1" x14ac:dyDescent="0.15"/>
    <row r="1046118" customFormat="1" x14ac:dyDescent="0.15"/>
    <row r="1046119" customFormat="1" x14ac:dyDescent="0.15"/>
    <row r="1046120" customFormat="1" x14ac:dyDescent="0.15"/>
    <row r="1046121" customFormat="1" x14ac:dyDescent="0.15"/>
    <row r="1046122" customFormat="1" x14ac:dyDescent="0.15"/>
    <row r="1046123" customFormat="1" x14ac:dyDescent="0.15"/>
    <row r="1046124" customFormat="1" x14ac:dyDescent="0.15"/>
    <row r="1046125" customFormat="1" x14ac:dyDescent="0.15"/>
    <row r="1046126" customFormat="1" x14ac:dyDescent="0.15"/>
    <row r="1046127" customFormat="1" x14ac:dyDescent="0.15"/>
    <row r="1046128" customFormat="1" x14ac:dyDescent="0.15"/>
    <row r="1046129" customFormat="1" x14ac:dyDescent="0.15"/>
    <row r="1046130" customFormat="1" x14ac:dyDescent="0.15"/>
    <row r="1046131" customFormat="1" x14ac:dyDescent="0.15"/>
    <row r="1046132" customFormat="1" x14ac:dyDescent="0.15"/>
    <row r="1046133" customFormat="1" x14ac:dyDescent="0.15"/>
    <row r="1046134" customFormat="1" x14ac:dyDescent="0.15"/>
    <row r="1046135" customFormat="1" x14ac:dyDescent="0.15"/>
    <row r="1046136" customFormat="1" x14ac:dyDescent="0.15"/>
    <row r="1046137" customFormat="1" x14ac:dyDescent="0.15"/>
    <row r="1046138" customFormat="1" x14ac:dyDescent="0.15"/>
    <row r="1046139" customFormat="1" x14ac:dyDescent="0.15"/>
    <row r="1046140" customFormat="1" x14ac:dyDescent="0.15"/>
    <row r="1046141" customFormat="1" x14ac:dyDescent="0.15"/>
    <row r="1046142" customFormat="1" x14ac:dyDescent="0.15"/>
    <row r="1046143" customFormat="1" x14ac:dyDescent="0.15"/>
    <row r="1046144" customFormat="1" x14ac:dyDescent="0.15"/>
    <row r="1046145" customFormat="1" x14ac:dyDescent="0.15"/>
    <row r="1046146" customFormat="1" x14ac:dyDescent="0.15"/>
    <row r="1046147" customFormat="1" x14ac:dyDescent="0.15"/>
    <row r="1046148" customFormat="1" x14ac:dyDescent="0.15"/>
    <row r="1046149" customFormat="1" x14ac:dyDescent="0.15"/>
    <row r="1046150" customFormat="1" x14ac:dyDescent="0.15"/>
    <row r="1046151" customFormat="1" x14ac:dyDescent="0.15"/>
    <row r="1046152" customFormat="1" x14ac:dyDescent="0.15"/>
    <row r="1046153" customFormat="1" x14ac:dyDescent="0.15"/>
    <row r="1046154" customFormat="1" x14ac:dyDescent="0.15"/>
    <row r="1046155" customFormat="1" x14ac:dyDescent="0.15"/>
    <row r="1046156" customFormat="1" x14ac:dyDescent="0.15"/>
    <row r="1046157" customFormat="1" x14ac:dyDescent="0.15"/>
    <row r="1046158" customFormat="1" x14ac:dyDescent="0.15"/>
    <row r="1046159" customFormat="1" x14ac:dyDescent="0.15"/>
    <row r="1046160" customFormat="1" x14ac:dyDescent="0.15"/>
    <row r="1046161" customFormat="1" x14ac:dyDescent="0.15"/>
    <row r="1046162" customFormat="1" x14ac:dyDescent="0.15"/>
    <row r="1046163" customFormat="1" x14ac:dyDescent="0.15"/>
    <row r="1046164" customFormat="1" x14ac:dyDescent="0.15"/>
    <row r="1046165" customFormat="1" x14ac:dyDescent="0.15"/>
    <row r="1046166" customFormat="1" x14ac:dyDescent="0.15"/>
    <row r="1046167" customFormat="1" x14ac:dyDescent="0.15"/>
    <row r="1046168" customFormat="1" x14ac:dyDescent="0.15"/>
    <row r="1046169" customFormat="1" x14ac:dyDescent="0.15"/>
    <row r="1046170" customFormat="1" x14ac:dyDescent="0.15"/>
    <row r="1046171" customFormat="1" x14ac:dyDescent="0.15"/>
    <row r="1046172" customFormat="1" x14ac:dyDescent="0.15"/>
    <row r="1046173" customFormat="1" x14ac:dyDescent="0.15"/>
    <row r="1046174" customFormat="1" x14ac:dyDescent="0.15"/>
    <row r="1046175" customFormat="1" x14ac:dyDescent="0.15"/>
    <row r="1046176" customFormat="1" x14ac:dyDescent="0.15"/>
    <row r="1046177" customFormat="1" x14ac:dyDescent="0.15"/>
    <row r="1046178" customFormat="1" x14ac:dyDescent="0.15"/>
    <row r="1046179" customFormat="1" x14ac:dyDescent="0.15"/>
    <row r="1046180" customFormat="1" x14ac:dyDescent="0.15"/>
    <row r="1046181" customFormat="1" x14ac:dyDescent="0.15"/>
    <row r="1046182" customFormat="1" x14ac:dyDescent="0.15"/>
    <row r="1046183" customFormat="1" x14ac:dyDescent="0.15"/>
    <row r="1046184" customFormat="1" x14ac:dyDescent="0.15"/>
    <row r="1046185" customFormat="1" x14ac:dyDescent="0.15"/>
    <row r="1046186" customFormat="1" x14ac:dyDescent="0.15"/>
    <row r="1046187" customFormat="1" x14ac:dyDescent="0.15"/>
    <row r="1046188" customFormat="1" x14ac:dyDescent="0.15"/>
    <row r="1046189" customFormat="1" x14ac:dyDescent="0.15"/>
    <row r="1046190" customFormat="1" x14ac:dyDescent="0.15"/>
    <row r="1046191" customFormat="1" x14ac:dyDescent="0.15"/>
    <row r="1046192" customFormat="1" x14ac:dyDescent="0.15"/>
    <row r="1046193" customFormat="1" x14ac:dyDescent="0.15"/>
    <row r="1046194" customFormat="1" x14ac:dyDescent="0.15"/>
    <row r="1046195" customFormat="1" x14ac:dyDescent="0.15"/>
    <row r="1046196" customFormat="1" x14ac:dyDescent="0.15"/>
    <row r="1046197" customFormat="1" x14ac:dyDescent="0.15"/>
    <row r="1046198" customFormat="1" x14ac:dyDescent="0.15"/>
    <row r="1046199" customFormat="1" x14ac:dyDescent="0.15"/>
    <row r="1046200" customFormat="1" x14ac:dyDescent="0.15"/>
    <row r="1046201" customFormat="1" x14ac:dyDescent="0.15"/>
    <row r="1046202" customFormat="1" x14ac:dyDescent="0.15"/>
    <row r="1046203" customFormat="1" x14ac:dyDescent="0.15"/>
    <row r="1046204" customFormat="1" x14ac:dyDescent="0.15"/>
    <row r="1046205" customFormat="1" x14ac:dyDescent="0.15"/>
    <row r="1046206" customFormat="1" x14ac:dyDescent="0.15"/>
    <row r="1046207" customFormat="1" x14ac:dyDescent="0.15"/>
    <row r="1046208" customFormat="1" x14ac:dyDescent="0.15"/>
    <row r="1046209" customFormat="1" x14ac:dyDescent="0.15"/>
    <row r="1046210" customFormat="1" x14ac:dyDescent="0.15"/>
    <row r="1046211" customFormat="1" x14ac:dyDescent="0.15"/>
    <row r="1046212" customFormat="1" x14ac:dyDescent="0.15"/>
    <row r="1046213" customFormat="1" x14ac:dyDescent="0.15"/>
    <row r="1046214" customFormat="1" x14ac:dyDescent="0.15"/>
    <row r="1046215" customFormat="1" x14ac:dyDescent="0.15"/>
    <row r="1046216" customFormat="1" x14ac:dyDescent="0.15"/>
    <row r="1046217" customFormat="1" x14ac:dyDescent="0.15"/>
    <row r="1046218" customFormat="1" x14ac:dyDescent="0.15"/>
    <row r="1046219" customFormat="1" x14ac:dyDescent="0.15"/>
    <row r="1046220" customFormat="1" x14ac:dyDescent="0.15"/>
    <row r="1046221" customFormat="1" x14ac:dyDescent="0.15"/>
    <row r="1046222" customFormat="1" x14ac:dyDescent="0.15"/>
    <row r="1046223" customFormat="1" x14ac:dyDescent="0.15"/>
    <row r="1046224" customFormat="1" x14ac:dyDescent="0.15"/>
    <row r="1046225" customFormat="1" x14ac:dyDescent="0.15"/>
    <row r="1046226" customFormat="1" x14ac:dyDescent="0.15"/>
    <row r="1046227" customFormat="1" x14ac:dyDescent="0.15"/>
    <row r="1046228" customFormat="1" x14ac:dyDescent="0.15"/>
    <row r="1046229" customFormat="1" x14ac:dyDescent="0.15"/>
    <row r="1046230" customFormat="1" x14ac:dyDescent="0.15"/>
    <row r="1046231" customFormat="1" x14ac:dyDescent="0.15"/>
    <row r="1046232" customFormat="1" x14ac:dyDescent="0.15"/>
    <row r="1046233" customFormat="1" x14ac:dyDescent="0.15"/>
    <row r="1046234" customFormat="1" x14ac:dyDescent="0.15"/>
    <row r="1046235" customFormat="1" x14ac:dyDescent="0.15"/>
    <row r="1046236" customFormat="1" x14ac:dyDescent="0.15"/>
    <row r="1046237" customFormat="1" x14ac:dyDescent="0.15"/>
    <row r="1046238" customFormat="1" x14ac:dyDescent="0.15"/>
    <row r="1046239" customFormat="1" x14ac:dyDescent="0.15"/>
    <row r="1046240" customFormat="1" x14ac:dyDescent="0.15"/>
    <row r="1046241" customFormat="1" x14ac:dyDescent="0.15"/>
    <row r="1046242" customFormat="1" x14ac:dyDescent="0.15"/>
    <row r="1046243" customFormat="1" x14ac:dyDescent="0.15"/>
    <row r="1046244" customFormat="1" x14ac:dyDescent="0.15"/>
    <row r="1046245" customFormat="1" x14ac:dyDescent="0.15"/>
    <row r="1046246" customFormat="1" x14ac:dyDescent="0.15"/>
    <row r="1046247" customFormat="1" x14ac:dyDescent="0.15"/>
    <row r="1046248" customFormat="1" x14ac:dyDescent="0.15"/>
    <row r="1046249" customFormat="1" x14ac:dyDescent="0.15"/>
    <row r="1046250" customFormat="1" x14ac:dyDescent="0.15"/>
    <row r="1046251" customFormat="1" x14ac:dyDescent="0.15"/>
    <row r="1046252" customFormat="1" x14ac:dyDescent="0.15"/>
    <row r="1046253" customFormat="1" x14ac:dyDescent="0.15"/>
    <row r="1046254" customFormat="1" x14ac:dyDescent="0.15"/>
    <row r="1046255" customFormat="1" x14ac:dyDescent="0.15"/>
    <row r="1046256" customFormat="1" x14ac:dyDescent="0.15"/>
    <row r="1046257" customFormat="1" x14ac:dyDescent="0.15"/>
    <row r="1046258" customFormat="1" x14ac:dyDescent="0.15"/>
    <row r="1046259" customFormat="1" x14ac:dyDescent="0.15"/>
    <row r="1046260" customFormat="1" x14ac:dyDescent="0.15"/>
    <row r="1046261" customFormat="1" x14ac:dyDescent="0.15"/>
    <row r="1046262" customFormat="1" x14ac:dyDescent="0.15"/>
    <row r="1046263" customFormat="1" x14ac:dyDescent="0.15"/>
    <row r="1046264" customFormat="1" x14ac:dyDescent="0.15"/>
    <row r="1046265" customFormat="1" x14ac:dyDescent="0.15"/>
    <row r="1046266" customFormat="1" x14ac:dyDescent="0.15"/>
    <row r="1046267" customFormat="1" x14ac:dyDescent="0.15"/>
    <row r="1046268" customFormat="1" x14ac:dyDescent="0.15"/>
    <row r="1046269" customFormat="1" x14ac:dyDescent="0.15"/>
    <row r="1046270" customFormat="1" x14ac:dyDescent="0.15"/>
    <row r="1046271" customFormat="1" x14ac:dyDescent="0.15"/>
    <row r="1046272" customFormat="1" x14ac:dyDescent="0.15"/>
    <row r="1046273" customFormat="1" x14ac:dyDescent="0.15"/>
    <row r="1046274" customFormat="1" x14ac:dyDescent="0.15"/>
    <row r="1046275" customFormat="1" x14ac:dyDescent="0.15"/>
    <row r="1046276" customFormat="1" x14ac:dyDescent="0.15"/>
    <row r="1046277" customFormat="1" x14ac:dyDescent="0.15"/>
    <row r="1046278" customFormat="1" x14ac:dyDescent="0.15"/>
    <row r="1046279" customFormat="1" x14ac:dyDescent="0.15"/>
    <row r="1046280" customFormat="1" x14ac:dyDescent="0.15"/>
    <row r="1046281" customFormat="1" x14ac:dyDescent="0.15"/>
    <row r="1046282" customFormat="1" x14ac:dyDescent="0.15"/>
    <row r="1046283" customFormat="1" x14ac:dyDescent="0.15"/>
    <row r="1046284" customFormat="1" x14ac:dyDescent="0.15"/>
    <row r="1046285" customFormat="1" x14ac:dyDescent="0.15"/>
    <row r="1046286" customFormat="1" x14ac:dyDescent="0.15"/>
    <row r="1046287" customFormat="1" x14ac:dyDescent="0.15"/>
    <row r="1046288" customFormat="1" x14ac:dyDescent="0.15"/>
    <row r="1046289" customFormat="1" x14ac:dyDescent="0.15"/>
    <row r="1046290" customFormat="1" x14ac:dyDescent="0.15"/>
    <row r="1046291" customFormat="1" x14ac:dyDescent="0.15"/>
    <row r="1046292" customFormat="1" x14ac:dyDescent="0.15"/>
    <row r="1046293" customFormat="1" x14ac:dyDescent="0.15"/>
    <row r="1046294" customFormat="1" x14ac:dyDescent="0.15"/>
    <row r="1046295" customFormat="1" x14ac:dyDescent="0.15"/>
    <row r="1046296" customFormat="1" x14ac:dyDescent="0.15"/>
    <row r="1046297" customFormat="1" x14ac:dyDescent="0.15"/>
    <row r="1046298" customFormat="1" x14ac:dyDescent="0.15"/>
    <row r="1046299" customFormat="1" x14ac:dyDescent="0.15"/>
    <row r="1046300" customFormat="1" x14ac:dyDescent="0.15"/>
    <row r="1046301" customFormat="1" x14ac:dyDescent="0.15"/>
    <row r="1046302" customFormat="1" x14ac:dyDescent="0.15"/>
    <row r="1046303" customFormat="1" x14ac:dyDescent="0.15"/>
    <row r="1046304" customFormat="1" x14ac:dyDescent="0.15"/>
    <row r="1046305" customFormat="1" x14ac:dyDescent="0.15"/>
    <row r="1046306" customFormat="1" x14ac:dyDescent="0.15"/>
    <row r="1046307" customFormat="1" x14ac:dyDescent="0.15"/>
    <row r="1046308" customFormat="1" x14ac:dyDescent="0.15"/>
    <row r="1046309" customFormat="1" x14ac:dyDescent="0.15"/>
    <row r="1046310" customFormat="1" x14ac:dyDescent="0.15"/>
    <row r="1046311" customFormat="1" x14ac:dyDescent="0.15"/>
    <row r="1046312" customFormat="1" x14ac:dyDescent="0.15"/>
    <row r="1046313" customFormat="1" x14ac:dyDescent="0.15"/>
    <row r="1046314" customFormat="1" x14ac:dyDescent="0.15"/>
    <row r="1046315" customFormat="1" x14ac:dyDescent="0.15"/>
    <row r="1046316" customFormat="1" x14ac:dyDescent="0.15"/>
    <row r="1046317" customFormat="1" x14ac:dyDescent="0.15"/>
    <row r="1046318" customFormat="1" x14ac:dyDescent="0.15"/>
    <row r="1046319" customFormat="1" x14ac:dyDescent="0.15"/>
    <row r="1046320" customFormat="1" x14ac:dyDescent="0.15"/>
    <row r="1046321" customFormat="1" x14ac:dyDescent="0.15"/>
    <row r="1046322" customFormat="1" x14ac:dyDescent="0.15"/>
    <row r="1046323" customFormat="1" x14ac:dyDescent="0.15"/>
    <row r="1046324" customFormat="1" x14ac:dyDescent="0.15"/>
    <row r="1046325" customFormat="1" x14ac:dyDescent="0.15"/>
    <row r="1046326" customFormat="1" x14ac:dyDescent="0.15"/>
    <row r="1046327" customFormat="1" x14ac:dyDescent="0.15"/>
    <row r="1046328" customFormat="1" x14ac:dyDescent="0.15"/>
    <row r="1046329" customFormat="1" x14ac:dyDescent="0.15"/>
    <row r="1046330" customFormat="1" x14ac:dyDescent="0.15"/>
    <row r="1046331" customFormat="1" x14ac:dyDescent="0.15"/>
    <row r="1046332" customFormat="1" x14ac:dyDescent="0.15"/>
    <row r="1046333" customFormat="1" x14ac:dyDescent="0.15"/>
    <row r="1046334" customFormat="1" x14ac:dyDescent="0.15"/>
    <row r="1046335" customFormat="1" x14ac:dyDescent="0.15"/>
    <row r="1046336" customFormat="1" x14ac:dyDescent="0.15"/>
    <row r="1046337" customFormat="1" x14ac:dyDescent="0.15"/>
    <row r="1046338" customFormat="1" x14ac:dyDescent="0.15"/>
    <row r="1046339" customFormat="1" x14ac:dyDescent="0.15"/>
    <row r="1046340" customFormat="1" x14ac:dyDescent="0.15"/>
    <row r="1046341" customFormat="1" x14ac:dyDescent="0.15"/>
    <row r="1046342" customFormat="1" x14ac:dyDescent="0.15"/>
    <row r="1046343" customFormat="1" x14ac:dyDescent="0.15"/>
    <row r="1046344" customFormat="1" x14ac:dyDescent="0.15"/>
    <row r="1046345" customFormat="1" x14ac:dyDescent="0.15"/>
    <row r="1046346" customFormat="1" x14ac:dyDescent="0.15"/>
    <row r="1046347" customFormat="1" x14ac:dyDescent="0.15"/>
    <row r="1046348" customFormat="1" x14ac:dyDescent="0.15"/>
    <row r="1046349" customFormat="1" x14ac:dyDescent="0.15"/>
    <row r="1046350" customFormat="1" x14ac:dyDescent="0.15"/>
    <row r="1046351" customFormat="1" x14ac:dyDescent="0.15"/>
    <row r="1046352" customFormat="1" x14ac:dyDescent="0.15"/>
    <row r="1046353" customFormat="1" x14ac:dyDescent="0.15"/>
    <row r="1046354" customFormat="1" x14ac:dyDescent="0.15"/>
    <row r="1046355" customFormat="1" x14ac:dyDescent="0.15"/>
    <row r="1046356" customFormat="1" x14ac:dyDescent="0.15"/>
    <row r="1046357" customFormat="1" x14ac:dyDescent="0.15"/>
    <row r="1046358" customFormat="1" x14ac:dyDescent="0.15"/>
    <row r="1046359" customFormat="1" x14ac:dyDescent="0.15"/>
    <row r="1046360" customFormat="1" x14ac:dyDescent="0.15"/>
    <row r="1046361" customFormat="1" x14ac:dyDescent="0.15"/>
    <row r="1046362" customFormat="1" x14ac:dyDescent="0.15"/>
    <row r="1046363" customFormat="1" x14ac:dyDescent="0.15"/>
    <row r="1046364" customFormat="1" x14ac:dyDescent="0.15"/>
    <row r="1046365" customFormat="1" x14ac:dyDescent="0.15"/>
    <row r="1046366" customFormat="1" x14ac:dyDescent="0.15"/>
    <row r="1046367" customFormat="1" x14ac:dyDescent="0.15"/>
    <row r="1046368" customFormat="1" x14ac:dyDescent="0.15"/>
    <row r="1046369" customFormat="1" x14ac:dyDescent="0.15"/>
    <row r="1046370" customFormat="1" x14ac:dyDescent="0.15"/>
    <row r="1046371" customFormat="1" x14ac:dyDescent="0.15"/>
    <row r="1046372" customFormat="1" x14ac:dyDescent="0.15"/>
    <row r="1046373" customFormat="1" x14ac:dyDescent="0.15"/>
    <row r="1046374" customFormat="1" x14ac:dyDescent="0.15"/>
    <row r="1046375" customFormat="1" x14ac:dyDescent="0.15"/>
    <row r="1046376" customFormat="1" x14ac:dyDescent="0.15"/>
    <row r="1046377" customFormat="1" x14ac:dyDescent="0.15"/>
    <row r="1046378" customFormat="1" x14ac:dyDescent="0.15"/>
    <row r="1046379" customFormat="1" x14ac:dyDescent="0.15"/>
    <row r="1046380" customFormat="1" x14ac:dyDescent="0.15"/>
    <row r="1046381" customFormat="1" x14ac:dyDescent="0.15"/>
    <row r="1046382" customFormat="1" x14ac:dyDescent="0.15"/>
    <row r="1046383" customFormat="1" x14ac:dyDescent="0.15"/>
    <row r="1046384" customFormat="1" x14ac:dyDescent="0.15"/>
    <row r="1046385" customFormat="1" x14ac:dyDescent="0.15"/>
    <row r="1046386" customFormat="1" x14ac:dyDescent="0.15"/>
    <row r="1046387" customFormat="1" x14ac:dyDescent="0.15"/>
    <row r="1046388" customFormat="1" x14ac:dyDescent="0.15"/>
    <row r="1046389" customFormat="1" x14ac:dyDescent="0.15"/>
    <row r="1046390" customFormat="1" x14ac:dyDescent="0.15"/>
    <row r="1046391" customFormat="1" x14ac:dyDescent="0.15"/>
    <row r="1046392" customFormat="1" x14ac:dyDescent="0.15"/>
    <row r="1046393" customFormat="1" x14ac:dyDescent="0.15"/>
    <row r="1046394" customFormat="1" x14ac:dyDescent="0.15"/>
    <row r="1046395" customFormat="1" x14ac:dyDescent="0.15"/>
    <row r="1046396" customFormat="1" x14ac:dyDescent="0.15"/>
    <row r="1046397" customFormat="1" x14ac:dyDescent="0.15"/>
    <row r="1046398" customFormat="1" x14ac:dyDescent="0.15"/>
    <row r="1046399" customFormat="1" x14ac:dyDescent="0.15"/>
    <row r="1046400" customFormat="1" x14ac:dyDescent="0.15"/>
    <row r="1046401" customFormat="1" x14ac:dyDescent="0.15"/>
    <row r="1046402" customFormat="1" x14ac:dyDescent="0.15"/>
    <row r="1046403" customFormat="1" x14ac:dyDescent="0.15"/>
    <row r="1046404" customFormat="1" x14ac:dyDescent="0.15"/>
    <row r="1046405" customFormat="1" x14ac:dyDescent="0.15"/>
    <row r="1046406" customFormat="1" x14ac:dyDescent="0.15"/>
    <row r="1046407" customFormat="1" x14ac:dyDescent="0.15"/>
    <row r="1046408" customFormat="1" x14ac:dyDescent="0.15"/>
    <row r="1046409" customFormat="1" x14ac:dyDescent="0.15"/>
    <row r="1046410" customFormat="1" x14ac:dyDescent="0.15"/>
    <row r="1046411" customFormat="1" x14ac:dyDescent="0.15"/>
    <row r="1046412" customFormat="1" x14ac:dyDescent="0.15"/>
    <row r="1046413" customFormat="1" x14ac:dyDescent="0.15"/>
    <row r="1046414" customFormat="1" x14ac:dyDescent="0.15"/>
    <row r="1046415" customFormat="1" x14ac:dyDescent="0.15"/>
    <row r="1046416" customFormat="1" x14ac:dyDescent="0.15"/>
    <row r="1046417" customFormat="1" x14ac:dyDescent="0.15"/>
    <row r="1046418" customFormat="1" x14ac:dyDescent="0.15"/>
    <row r="1046419" customFormat="1" x14ac:dyDescent="0.15"/>
    <row r="1046420" customFormat="1" x14ac:dyDescent="0.15"/>
    <row r="1046421" customFormat="1" x14ac:dyDescent="0.15"/>
    <row r="1046422" customFormat="1" x14ac:dyDescent="0.15"/>
    <row r="1046423" customFormat="1" x14ac:dyDescent="0.15"/>
    <row r="1046424" customFormat="1" x14ac:dyDescent="0.15"/>
    <row r="1046425" customFormat="1" x14ac:dyDescent="0.15"/>
    <row r="1046426" customFormat="1" x14ac:dyDescent="0.15"/>
    <row r="1046427" customFormat="1" x14ac:dyDescent="0.15"/>
    <row r="1046428" customFormat="1" x14ac:dyDescent="0.15"/>
    <row r="1046429" customFormat="1" x14ac:dyDescent="0.15"/>
    <row r="1046430" customFormat="1" x14ac:dyDescent="0.15"/>
    <row r="1046431" customFormat="1" x14ac:dyDescent="0.15"/>
    <row r="1046432" customFormat="1" x14ac:dyDescent="0.15"/>
    <row r="1046433" customFormat="1" x14ac:dyDescent="0.15"/>
    <row r="1046434" customFormat="1" x14ac:dyDescent="0.15"/>
    <row r="1046435" customFormat="1" x14ac:dyDescent="0.15"/>
    <row r="1046436" customFormat="1" x14ac:dyDescent="0.15"/>
    <row r="1046437" customFormat="1" x14ac:dyDescent="0.15"/>
    <row r="1046438" customFormat="1" x14ac:dyDescent="0.15"/>
    <row r="1046439" customFormat="1" x14ac:dyDescent="0.15"/>
    <row r="1046440" customFormat="1" x14ac:dyDescent="0.15"/>
    <row r="1046441" customFormat="1" x14ac:dyDescent="0.15"/>
    <row r="1046442" customFormat="1" x14ac:dyDescent="0.15"/>
    <row r="1046443" customFormat="1" x14ac:dyDescent="0.15"/>
    <row r="1046444" customFormat="1" x14ac:dyDescent="0.15"/>
    <row r="1046445" customFormat="1" x14ac:dyDescent="0.15"/>
    <row r="1046446" customFormat="1" x14ac:dyDescent="0.15"/>
    <row r="1046447" customFormat="1" x14ac:dyDescent="0.15"/>
    <row r="1046448" customFormat="1" x14ac:dyDescent="0.15"/>
    <row r="1046449" customFormat="1" x14ac:dyDescent="0.15"/>
    <row r="1046450" customFormat="1" x14ac:dyDescent="0.15"/>
    <row r="1046451" customFormat="1" x14ac:dyDescent="0.15"/>
    <row r="1046452" customFormat="1" x14ac:dyDescent="0.15"/>
    <row r="1046453" customFormat="1" x14ac:dyDescent="0.15"/>
    <row r="1046454" customFormat="1" x14ac:dyDescent="0.15"/>
    <row r="1046455" customFormat="1" x14ac:dyDescent="0.15"/>
    <row r="1046456" customFormat="1" x14ac:dyDescent="0.15"/>
    <row r="1046457" customFormat="1" x14ac:dyDescent="0.15"/>
    <row r="1046458" customFormat="1" x14ac:dyDescent="0.15"/>
    <row r="1046459" customFormat="1" x14ac:dyDescent="0.15"/>
    <row r="1046460" customFormat="1" x14ac:dyDescent="0.15"/>
    <row r="1046461" customFormat="1" x14ac:dyDescent="0.15"/>
    <row r="1046462" customFormat="1" x14ac:dyDescent="0.15"/>
    <row r="1046463" customFormat="1" x14ac:dyDescent="0.15"/>
    <row r="1046464" customFormat="1" x14ac:dyDescent="0.15"/>
    <row r="1046465" customFormat="1" x14ac:dyDescent="0.15"/>
    <row r="1046466" customFormat="1" x14ac:dyDescent="0.15"/>
    <row r="1046467" customFormat="1" x14ac:dyDescent="0.15"/>
    <row r="1046468" customFormat="1" x14ac:dyDescent="0.15"/>
    <row r="1046469" customFormat="1" x14ac:dyDescent="0.15"/>
    <row r="1046470" customFormat="1" x14ac:dyDescent="0.15"/>
    <row r="1046471" customFormat="1" x14ac:dyDescent="0.15"/>
    <row r="1046472" customFormat="1" x14ac:dyDescent="0.15"/>
    <row r="1046473" customFormat="1" x14ac:dyDescent="0.15"/>
    <row r="1046474" customFormat="1" x14ac:dyDescent="0.15"/>
    <row r="1046475" customFormat="1" x14ac:dyDescent="0.15"/>
    <row r="1046476" customFormat="1" x14ac:dyDescent="0.15"/>
    <row r="1046477" customFormat="1" x14ac:dyDescent="0.15"/>
    <row r="1046478" customFormat="1" x14ac:dyDescent="0.15"/>
    <row r="1046479" customFormat="1" x14ac:dyDescent="0.15"/>
    <row r="1046480" customFormat="1" x14ac:dyDescent="0.15"/>
    <row r="1046481" customFormat="1" x14ac:dyDescent="0.15"/>
    <row r="1046482" customFormat="1" x14ac:dyDescent="0.15"/>
    <row r="1046483" customFormat="1" x14ac:dyDescent="0.15"/>
    <row r="1046484" customFormat="1" x14ac:dyDescent="0.15"/>
    <row r="1046485" customFormat="1" x14ac:dyDescent="0.15"/>
    <row r="1046486" customFormat="1" x14ac:dyDescent="0.15"/>
    <row r="1046487" customFormat="1" x14ac:dyDescent="0.15"/>
    <row r="1046488" customFormat="1" x14ac:dyDescent="0.15"/>
    <row r="1046489" customFormat="1" x14ac:dyDescent="0.15"/>
    <row r="1046490" customFormat="1" x14ac:dyDescent="0.15"/>
    <row r="1046491" customFormat="1" x14ac:dyDescent="0.15"/>
    <row r="1046492" customFormat="1" x14ac:dyDescent="0.15"/>
    <row r="1046493" customFormat="1" x14ac:dyDescent="0.15"/>
    <row r="1046494" customFormat="1" x14ac:dyDescent="0.15"/>
    <row r="1046495" customFormat="1" x14ac:dyDescent="0.15"/>
    <row r="1046496" customFormat="1" x14ac:dyDescent="0.15"/>
    <row r="1046497" customFormat="1" x14ac:dyDescent="0.15"/>
    <row r="1046498" customFormat="1" x14ac:dyDescent="0.15"/>
    <row r="1046499" customFormat="1" x14ac:dyDescent="0.15"/>
    <row r="1046500" customFormat="1" x14ac:dyDescent="0.15"/>
    <row r="1046501" customFormat="1" x14ac:dyDescent="0.15"/>
    <row r="1046502" customFormat="1" x14ac:dyDescent="0.15"/>
    <row r="1046503" customFormat="1" x14ac:dyDescent="0.15"/>
    <row r="1046504" customFormat="1" x14ac:dyDescent="0.15"/>
    <row r="1046505" customFormat="1" x14ac:dyDescent="0.15"/>
    <row r="1046506" customFormat="1" x14ac:dyDescent="0.15"/>
    <row r="1046507" customFormat="1" x14ac:dyDescent="0.15"/>
    <row r="1046508" customFormat="1" x14ac:dyDescent="0.15"/>
    <row r="1046509" customFormat="1" x14ac:dyDescent="0.15"/>
    <row r="1046510" customFormat="1" x14ac:dyDescent="0.15"/>
    <row r="1046511" customFormat="1" x14ac:dyDescent="0.15"/>
    <row r="1046512" customFormat="1" x14ac:dyDescent="0.15"/>
    <row r="1046513" customFormat="1" x14ac:dyDescent="0.15"/>
    <row r="1046514" customFormat="1" x14ac:dyDescent="0.15"/>
    <row r="1046515" customFormat="1" x14ac:dyDescent="0.15"/>
    <row r="1046516" customFormat="1" x14ac:dyDescent="0.15"/>
    <row r="1046517" customFormat="1" x14ac:dyDescent="0.15"/>
    <row r="1046518" customFormat="1" x14ac:dyDescent="0.15"/>
    <row r="1046519" customFormat="1" x14ac:dyDescent="0.15"/>
    <row r="1046520" customFormat="1" x14ac:dyDescent="0.15"/>
    <row r="1046521" customFormat="1" x14ac:dyDescent="0.15"/>
    <row r="1046522" customFormat="1" x14ac:dyDescent="0.15"/>
    <row r="1046523" customFormat="1" x14ac:dyDescent="0.15"/>
    <row r="1046524" customFormat="1" x14ac:dyDescent="0.15"/>
    <row r="1046525" customFormat="1" x14ac:dyDescent="0.15"/>
    <row r="1046526" customFormat="1" x14ac:dyDescent="0.15"/>
    <row r="1046527" customFormat="1" x14ac:dyDescent="0.15"/>
    <row r="1046528" customFormat="1" x14ac:dyDescent="0.15"/>
    <row r="1046529" customFormat="1" x14ac:dyDescent="0.15"/>
    <row r="1046530" customFormat="1" x14ac:dyDescent="0.15"/>
    <row r="1046531" customFormat="1" x14ac:dyDescent="0.15"/>
    <row r="1046532" customFormat="1" x14ac:dyDescent="0.15"/>
    <row r="1046533" customFormat="1" x14ac:dyDescent="0.15"/>
    <row r="1046534" customFormat="1" x14ac:dyDescent="0.15"/>
    <row r="1046535" customFormat="1" x14ac:dyDescent="0.15"/>
    <row r="1046536" customFormat="1" x14ac:dyDescent="0.15"/>
    <row r="1046537" customFormat="1" x14ac:dyDescent="0.15"/>
    <row r="1046538" customFormat="1" x14ac:dyDescent="0.15"/>
    <row r="1046539" customFormat="1" x14ac:dyDescent="0.15"/>
    <row r="1046540" customFormat="1" x14ac:dyDescent="0.15"/>
    <row r="1046541" customFormat="1" x14ac:dyDescent="0.15"/>
    <row r="1046542" customFormat="1" x14ac:dyDescent="0.15"/>
    <row r="1046543" customFormat="1" x14ac:dyDescent="0.15"/>
    <row r="1046544" customFormat="1" x14ac:dyDescent="0.15"/>
    <row r="1046545" customFormat="1" x14ac:dyDescent="0.15"/>
    <row r="1046546" customFormat="1" x14ac:dyDescent="0.15"/>
    <row r="1046547" customFormat="1" x14ac:dyDescent="0.15"/>
    <row r="1046548" customFormat="1" x14ac:dyDescent="0.15"/>
    <row r="1046549" customFormat="1" x14ac:dyDescent="0.15"/>
    <row r="1046550" customFormat="1" x14ac:dyDescent="0.15"/>
    <row r="1046551" customFormat="1" x14ac:dyDescent="0.15"/>
    <row r="1046552" customFormat="1" x14ac:dyDescent="0.15"/>
    <row r="1046553" customFormat="1" x14ac:dyDescent="0.15"/>
    <row r="1046554" customFormat="1" x14ac:dyDescent="0.15"/>
    <row r="1046555" customFormat="1" x14ac:dyDescent="0.15"/>
    <row r="1046556" customFormat="1" x14ac:dyDescent="0.15"/>
    <row r="1046557" customFormat="1" x14ac:dyDescent="0.15"/>
    <row r="1046558" customFormat="1" x14ac:dyDescent="0.15"/>
    <row r="1046559" customFormat="1" x14ac:dyDescent="0.15"/>
    <row r="1046560" customFormat="1" x14ac:dyDescent="0.15"/>
    <row r="1046561" customFormat="1" x14ac:dyDescent="0.15"/>
    <row r="1046562" customFormat="1" x14ac:dyDescent="0.15"/>
    <row r="1046563" customFormat="1" x14ac:dyDescent="0.15"/>
    <row r="1046564" customFormat="1" x14ac:dyDescent="0.15"/>
    <row r="1046565" customFormat="1" x14ac:dyDescent="0.15"/>
    <row r="1046566" customFormat="1" x14ac:dyDescent="0.15"/>
    <row r="1046567" customFormat="1" x14ac:dyDescent="0.15"/>
    <row r="1046568" customFormat="1" x14ac:dyDescent="0.15"/>
    <row r="1046569" customFormat="1" x14ac:dyDescent="0.15"/>
    <row r="1046570" customFormat="1" x14ac:dyDescent="0.15"/>
    <row r="1046571" customFormat="1" x14ac:dyDescent="0.15"/>
    <row r="1046572" customFormat="1" x14ac:dyDescent="0.15"/>
    <row r="1046573" customFormat="1" x14ac:dyDescent="0.15"/>
    <row r="1046574" customFormat="1" x14ac:dyDescent="0.15"/>
    <row r="1046575" customFormat="1" x14ac:dyDescent="0.15"/>
    <row r="1046576" customFormat="1" x14ac:dyDescent="0.15"/>
    <row r="1046577" customFormat="1" x14ac:dyDescent="0.15"/>
    <row r="1046578" customFormat="1" x14ac:dyDescent="0.15"/>
    <row r="1046579" customFormat="1" x14ac:dyDescent="0.15"/>
    <row r="1046580" customFormat="1" x14ac:dyDescent="0.15"/>
    <row r="1046581" customFormat="1" x14ac:dyDescent="0.15"/>
    <row r="1046582" customFormat="1" x14ac:dyDescent="0.15"/>
    <row r="1046583" customFormat="1" x14ac:dyDescent="0.15"/>
    <row r="1046584" customFormat="1" x14ac:dyDescent="0.15"/>
    <row r="1046585" customFormat="1" x14ac:dyDescent="0.15"/>
    <row r="1046586" customFormat="1" x14ac:dyDescent="0.15"/>
    <row r="1046587" customFormat="1" x14ac:dyDescent="0.15"/>
    <row r="1046588" customFormat="1" x14ac:dyDescent="0.15"/>
    <row r="1046589" customFormat="1" x14ac:dyDescent="0.15"/>
    <row r="1046590" customFormat="1" x14ac:dyDescent="0.15"/>
    <row r="1046591" customFormat="1" x14ac:dyDescent="0.15"/>
    <row r="1046592" customFormat="1" x14ac:dyDescent="0.15"/>
    <row r="1046593" customFormat="1" x14ac:dyDescent="0.15"/>
    <row r="1046594" customFormat="1" x14ac:dyDescent="0.15"/>
    <row r="1046595" customFormat="1" x14ac:dyDescent="0.15"/>
    <row r="1046596" customFormat="1" x14ac:dyDescent="0.15"/>
    <row r="1046597" customFormat="1" x14ac:dyDescent="0.15"/>
    <row r="1046598" customFormat="1" x14ac:dyDescent="0.15"/>
    <row r="1046599" customFormat="1" x14ac:dyDescent="0.15"/>
    <row r="1046600" customFormat="1" x14ac:dyDescent="0.15"/>
    <row r="1046601" customFormat="1" x14ac:dyDescent="0.15"/>
    <row r="1046602" customFormat="1" x14ac:dyDescent="0.15"/>
    <row r="1046603" customFormat="1" x14ac:dyDescent="0.15"/>
    <row r="1046604" customFormat="1" x14ac:dyDescent="0.15"/>
    <row r="1046605" customFormat="1" x14ac:dyDescent="0.15"/>
    <row r="1046606" customFormat="1" x14ac:dyDescent="0.15"/>
    <row r="1046607" customFormat="1" x14ac:dyDescent="0.15"/>
    <row r="1046608" customFormat="1" x14ac:dyDescent="0.15"/>
    <row r="1046609" customFormat="1" x14ac:dyDescent="0.15"/>
    <row r="1046610" customFormat="1" x14ac:dyDescent="0.15"/>
    <row r="1046611" customFormat="1" x14ac:dyDescent="0.15"/>
    <row r="1046612" customFormat="1" x14ac:dyDescent="0.15"/>
    <row r="1046613" customFormat="1" x14ac:dyDescent="0.15"/>
    <row r="1046614" customFormat="1" x14ac:dyDescent="0.15"/>
    <row r="1046615" customFormat="1" x14ac:dyDescent="0.15"/>
    <row r="1046616" customFormat="1" x14ac:dyDescent="0.15"/>
    <row r="1046617" customFormat="1" x14ac:dyDescent="0.15"/>
    <row r="1046618" customFormat="1" x14ac:dyDescent="0.15"/>
    <row r="1046619" customFormat="1" x14ac:dyDescent="0.15"/>
    <row r="1046620" customFormat="1" x14ac:dyDescent="0.15"/>
    <row r="1046621" customFormat="1" x14ac:dyDescent="0.15"/>
    <row r="1046622" customFormat="1" x14ac:dyDescent="0.15"/>
    <row r="1046623" customFormat="1" x14ac:dyDescent="0.15"/>
    <row r="1046624" customFormat="1" x14ac:dyDescent="0.15"/>
    <row r="1046625" customFormat="1" x14ac:dyDescent="0.15"/>
    <row r="1046626" customFormat="1" x14ac:dyDescent="0.15"/>
    <row r="1046627" customFormat="1" x14ac:dyDescent="0.15"/>
    <row r="1046628" customFormat="1" x14ac:dyDescent="0.15"/>
    <row r="1046629" customFormat="1" x14ac:dyDescent="0.15"/>
    <row r="1046630" customFormat="1" x14ac:dyDescent="0.15"/>
    <row r="1046631" customFormat="1" x14ac:dyDescent="0.15"/>
    <row r="1046632" customFormat="1" x14ac:dyDescent="0.15"/>
    <row r="1046633" customFormat="1" x14ac:dyDescent="0.15"/>
    <row r="1046634" customFormat="1" x14ac:dyDescent="0.15"/>
    <row r="1046635" customFormat="1" x14ac:dyDescent="0.15"/>
    <row r="1046636" customFormat="1" x14ac:dyDescent="0.15"/>
    <row r="1046637" customFormat="1" x14ac:dyDescent="0.15"/>
    <row r="1046638" customFormat="1" x14ac:dyDescent="0.15"/>
    <row r="1046639" customFormat="1" x14ac:dyDescent="0.15"/>
    <row r="1046640" customFormat="1" x14ac:dyDescent="0.15"/>
    <row r="1046641" customFormat="1" x14ac:dyDescent="0.15"/>
    <row r="1046642" customFormat="1" x14ac:dyDescent="0.15"/>
    <row r="1046643" customFormat="1" x14ac:dyDescent="0.15"/>
    <row r="1046644" customFormat="1" x14ac:dyDescent="0.15"/>
    <row r="1046645" customFormat="1" x14ac:dyDescent="0.15"/>
    <row r="1046646" customFormat="1" x14ac:dyDescent="0.15"/>
    <row r="1046647" customFormat="1" x14ac:dyDescent="0.15"/>
    <row r="1046648" customFormat="1" x14ac:dyDescent="0.15"/>
    <row r="1046649" customFormat="1" x14ac:dyDescent="0.15"/>
    <row r="1046650" customFormat="1" x14ac:dyDescent="0.15"/>
    <row r="1046651" customFormat="1" x14ac:dyDescent="0.15"/>
    <row r="1046652" customFormat="1" x14ac:dyDescent="0.15"/>
    <row r="1046653" customFormat="1" x14ac:dyDescent="0.15"/>
    <row r="1046654" customFormat="1" x14ac:dyDescent="0.15"/>
    <row r="1046655" customFormat="1" x14ac:dyDescent="0.15"/>
    <row r="1046656" customFormat="1" x14ac:dyDescent="0.15"/>
    <row r="1046657" customFormat="1" x14ac:dyDescent="0.15"/>
    <row r="1046658" customFormat="1" x14ac:dyDescent="0.15"/>
    <row r="1046659" customFormat="1" x14ac:dyDescent="0.15"/>
    <row r="1046660" customFormat="1" x14ac:dyDescent="0.15"/>
    <row r="1046661" customFormat="1" x14ac:dyDescent="0.15"/>
    <row r="1046662" customFormat="1" x14ac:dyDescent="0.15"/>
    <row r="1046663" customFormat="1" x14ac:dyDescent="0.15"/>
    <row r="1046664" customFormat="1" x14ac:dyDescent="0.15"/>
    <row r="1046665" customFormat="1" x14ac:dyDescent="0.15"/>
    <row r="1046666" customFormat="1" x14ac:dyDescent="0.15"/>
    <row r="1046667" customFormat="1" x14ac:dyDescent="0.15"/>
    <row r="1046668" customFormat="1" x14ac:dyDescent="0.15"/>
    <row r="1046669" customFormat="1" x14ac:dyDescent="0.15"/>
    <row r="1046670" customFormat="1" x14ac:dyDescent="0.15"/>
    <row r="1046671" customFormat="1" x14ac:dyDescent="0.15"/>
    <row r="1046672" customFormat="1" x14ac:dyDescent="0.15"/>
    <row r="1046673" customFormat="1" x14ac:dyDescent="0.15"/>
    <row r="1046674" customFormat="1" x14ac:dyDescent="0.15"/>
    <row r="1046675" customFormat="1" x14ac:dyDescent="0.15"/>
    <row r="1046676" customFormat="1" x14ac:dyDescent="0.15"/>
    <row r="1046677" customFormat="1" x14ac:dyDescent="0.15"/>
    <row r="1046678" customFormat="1" x14ac:dyDescent="0.15"/>
    <row r="1046679" customFormat="1" x14ac:dyDescent="0.15"/>
    <row r="1046680" customFormat="1" x14ac:dyDescent="0.15"/>
    <row r="1046681" customFormat="1" x14ac:dyDescent="0.15"/>
    <row r="1046682" customFormat="1" x14ac:dyDescent="0.15"/>
    <row r="1046683" customFormat="1" x14ac:dyDescent="0.15"/>
    <row r="1046684" customFormat="1" x14ac:dyDescent="0.15"/>
    <row r="1046685" customFormat="1" x14ac:dyDescent="0.15"/>
    <row r="1046686" customFormat="1" x14ac:dyDescent="0.15"/>
    <row r="1046687" customFormat="1" x14ac:dyDescent="0.15"/>
    <row r="1046688" customFormat="1" x14ac:dyDescent="0.15"/>
    <row r="1046689" customFormat="1" x14ac:dyDescent="0.15"/>
    <row r="1046690" customFormat="1" x14ac:dyDescent="0.15"/>
    <row r="1046691" customFormat="1" x14ac:dyDescent="0.15"/>
    <row r="1046692" customFormat="1" x14ac:dyDescent="0.15"/>
    <row r="1046693" customFormat="1" x14ac:dyDescent="0.15"/>
    <row r="1046694" customFormat="1" x14ac:dyDescent="0.15"/>
    <row r="1046695" customFormat="1" x14ac:dyDescent="0.15"/>
    <row r="1046696" customFormat="1" x14ac:dyDescent="0.15"/>
    <row r="1046697" customFormat="1" x14ac:dyDescent="0.15"/>
    <row r="1046698" customFormat="1" x14ac:dyDescent="0.15"/>
    <row r="1046699" customFormat="1" x14ac:dyDescent="0.15"/>
    <row r="1046700" customFormat="1" x14ac:dyDescent="0.15"/>
    <row r="1046701" customFormat="1" x14ac:dyDescent="0.15"/>
    <row r="1046702" customFormat="1" x14ac:dyDescent="0.15"/>
    <row r="1046703" customFormat="1" x14ac:dyDescent="0.15"/>
    <row r="1046704" customFormat="1" x14ac:dyDescent="0.15"/>
    <row r="1046705" customFormat="1" x14ac:dyDescent="0.15"/>
    <row r="1046706" customFormat="1" x14ac:dyDescent="0.15"/>
    <row r="1046707" customFormat="1" x14ac:dyDescent="0.15"/>
    <row r="1046708" customFormat="1" x14ac:dyDescent="0.15"/>
    <row r="1046709" customFormat="1" x14ac:dyDescent="0.15"/>
    <row r="1046710" customFormat="1" x14ac:dyDescent="0.15"/>
    <row r="1046711" customFormat="1" x14ac:dyDescent="0.15"/>
    <row r="1046712" customFormat="1" x14ac:dyDescent="0.15"/>
    <row r="1046713" customFormat="1" x14ac:dyDescent="0.15"/>
    <row r="1046714" customFormat="1" x14ac:dyDescent="0.15"/>
    <row r="1046715" customFormat="1" x14ac:dyDescent="0.15"/>
    <row r="1046716" customFormat="1" x14ac:dyDescent="0.15"/>
    <row r="1046717" customFormat="1" x14ac:dyDescent="0.15"/>
    <row r="1046718" customFormat="1" x14ac:dyDescent="0.15"/>
    <row r="1046719" customFormat="1" x14ac:dyDescent="0.15"/>
    <row r="1046720" customFormat="1" x14ac:dyDescent="0.15"/>
    <row r="1046721" customFormat="1" x14ac:dyDescent="0.15"/>
    <row r="1046722" customFormat="1" x14ac:dyDescent="0.15"/>
    <row r="1046723" customFormat="1" x14ac:dyDescent="0.15"/>
    <row r="1046724" customFormat="1" x14ac:dyDescent="0.15"/>
    <row r="1046725" customFormat="1" x14ac:dyDescent="0.15"/>
    <row r="1046726" customFormat="1" x14ac:dyDescent="0.15"/>
    <row r="1046727" customFormat="1" x14ac:dyDescent="0.15"/>
    <row r="1046728" customFormat="1" x14ac:dyDescent="0.15"/>
    <row r="1046729" customFormat="1" x14ac:dyDescent="0.15"/>
    <row r="1046730" customFormat="1" x14ac:dyDescent="0.15"/>
    <row r="1046731" customFormat="1" x14ac:dyDescent="0.15"/>
    <row r="1046732" customFormat="1" x14ac:dyDescent="0.15"/>
    <row r="1046733" customFormat="1" x14ac:dyDescent="0.15"/>
    <row r="1046734" customFormat="1" x14ac:dyDescent="0.15"/>
    <row r="1046735" customFormat="1" x14ac:dyDescent="0.15"/>
    <row r="1046736" customFormat="1" x14ac:dyDescent="0.15"/>
    <row r="1046737" customFormat="1" x14ac:dyDescent="0.15"/>
    <row r="1046738" customFormat="1" x14ac:dyDescent="0.15"/>
    <row r="1046739" customFormat="1" x14ac:dyDescent="0.15"/>
    <row r="1046740" customFormat="1" x14ac:dyDescent="0.15"/>
    <row r="1046741" customFormat="1" x14ac:dyDescent="0.15"/>
    <row r="1046742" customFormat="1" x14ac:dyDescent="0.15"/>
    <row r="1046743" customFormat="1" x14ac:dyDescent="0.15"/>
    <row r="1046744" customFormat="1" x14ac:dyDescent="0.15"/>
    <row r="1046745" customFormat="1" x14ac:dyDescent="0.15"/>
    <row r="1046746" customFormat="1" x14ac:dyDescent="0.15"/>
    <row r="1046747" customFormat="1" x14ac:dyDescent="0.15"/>
    <row r="1046748" customFormat="1" x14ac:dyDescent="0.15"/>
    <row r="1046749" customFormat="1" x14ac:dyDescent="0.15"/>
    <row r="1046750" customFormat="1" x14ac:dyDescent="0.15"/>
    <row r="1046751" customFormat="1" x14ac:dyDescent="0.15"/>
    <row r="1046752" customFormat="1" x14ac:dyDescent="0.15"/>
    <row r="1046753" customFormat="1" x14ac:dyDescent="0.15"/>
    <row r="1046754" customFormat="1" x14ac:dyDescent="0.15"/>
    <row r="1046755" customFormat="1" x14ac:dyDescent="0.15"/>
    <row r="1046756" customFormat="1" x14ac:dyDescent="0.15"/>
    <row r="1046757" customFormat="1" x14ac:dyDescent="0.15"/>
    <row r="1046758" customFormat="1" x14ac:dyDescent="0.15"/>
    <row r="1046759" customFormat="1" x14ac:dyDescent="0.15"/>
    <row r="1046760" customFormat="1" x14ac:dyDescent="0.15"/>
    <row r="1046761" customFormat="1" x14ac:dyDescent="0.15"/>
    <row r="1046762" customFormat="1" x14ac:dyDescent="0.15"/>
    <row r="1046763" customFormat="1" x14ac:dyDescent="0.15"/>
    <row r="1046764" customFormat="1" x14ac:dyDescent="0.15"/>
    <row r="1046765" customFormat="1" x14ac:dyDescent="0.15"/>
    <row r="1046766" customFormat="1" x14ac:dyDescent="0.15"/>
    <row r="1046767" customFormat="1" x14ac:dyDescent="0.15"/>
    <row r="1046768" customFormat="1" x14ac:dyDescent="0.15"/>
    <row r="1046769" customFormat="1" x14ac:dyDescent="0.15"/>
    <row r="1046770" customFormat="1" x14ac:dyDescent="0.15"/>
    <row r="1046771" customFormat="1" x14ac:dyDescent="0.15"/>
    <row r="1046772" customFormat="1" x14ac:dyDescent="0.15"/>
    <row r="1046773" customFormat="1" x14ac:dyDescent="0.15"/>
    <row r="1046774" customFormat="1" x14ac:dyDescent="0.15"/>
    <row r="1046775" customFormat="1" x14ac:dyDescent="0.15"/>
    <row r="1046776" customFormat="1" x14ac:dyDescent="0.15"/>
    <row r="1046777" customFormat="1" x14ac:dyDescent="0.15"/>
    <row r="1046778" customFormat="1" x14ac:dyDescent="0.15"/>
    <row r="1046779" customFormat="1" x14ac:dyDescent="0.15"/>
    <row r="1046780" customFormat="1" x14ac:dyDescent="0.15"/>
    <row r="1046781" customFormat="1" x14ac:dyDescent="0.15"/>
    <row r="1046782" customFormat="1" x14ac:dyDescent="0.15"/>
    <row r="1046783" customFormat="1" x14ac:dyDescent="0.15"/>
    <row r="1046784" customFormat="1" x14ac:dyDescent="0.15"/>
    <row r="1046785" customFormat="1" x14ac:dyDescent="0.15"/>
    <row r="1046786" customFormat="1" x14ac:dyDescent="0.15"/>
    <row r="1046787" customFormat="1" x14ac:dyDescent="0.15"/>
    <row r="1046788" customFormat="1" x14ac:dyDescent="0.15"/>
    <row r="1046789" customFormat="1" x14ac:dyDescent="0.15"/>
    <row r="1046790" customFormat="1" x14ac:dyDescent="0.15"/>
    <row r="1046791" customFormat="1" x14ac:dyDescent="0.15"/>
    <row r="1046792" customFormat="1" x14ac:dyDescent="0.15"/>
    <row r="1046793" customFormat="1" x14ac:dyDescent="0.15"/>
    <row r="1046794" customFormat="1" x14ac:dyDescent="0.15"/>
    <row r="1046795" customFormat="1" x14ac:dyDescent="0.15"/>
    <row r="1046796" customFormat="1" x14ac:dyDescent="0.15"/>
    <row r="1046797" customFormat="1" x14ac:dyDescent="0.15"/>
    <row r="1046798" customFormat="1" x14ac:dyDescent="0.15"/>
    <row r="1046799" customFormat="1" x14ac:dyDescent="0.15"/>
    <row r="1046800" customFormat="1" x14ac:dyDescent="0.15"/>
    <row r="1046801" customFormat="1" x14ac:dyDescent="0.15"/>
    <row r="1046802" customFormat="1" x14ac:dyDescent="0.15"/>
    <row r="1046803" customFormat="1" x14ac:dyDescent="0.15"/>
    <row r="1046804" customFormat="1" x14ac:dyDescent="0.15"/>
    <row r="1046805" customFormat="1" x14ac:dyDescent="0.15"/>
    <row r="1046806" customFormat="1" x14ac:dyDescent="0.15"/>
    <row r="1046807" customFormat="1" x14ac:dyDescent="0.15"/>
    <row r="1046808" customFormat="1" x14ac:dyDescent="0.15"/>
    <row r="1046809" customFormat="1" x14ac:dyDescent="0.15"/>
    <row r="1046810" customFormat="1" x14ac:dyDescent="0.15"/>
    <row r="1046811" customFormat="1" x14ac:dyDescent="0.15"/>
    <row r="1046812" customFormat="1" x14ac:dyDescent="0.15"/>
    <row r="1046813" customFormat="1" x14ac:dyDescent="0.15"/>
    <row r="1046814" customFormat="1" x14ac:dyDescent="0.15"/>
    <row r="1046815" customFormat="1" x14ac:dyDescent="0.15"/>
    <row r="1046816" customFormat="1" x14ac:dyDescent="0.15"/>
    <row r="1046817" customFormat="1" x14ac:dyDescent="0.15"/>
    <row r="1046818" customFormat="1" x14ac:dyDescent="0.15"/>
    <row r="1046819" customFormat="1" x14ac:dyDescent="0.15"/>
    <row r="1046820" customFormat="1" x14ac:dyDescent="0.15"/>
    <row r="1046821" customFormat="1" x14ac:dyDescent="0.15"/>
    <row r="1046822" customFormat="1" x14ac:dyDescent="0.15"/>
    <row r="1046823" customFormat="1" x14ac:dyDescent="0.15"/>
    <row r="1046824" customFormat="1" x14ac:dyDescent="0.15"/>
    <row r="1046825" customFormat="1" x14ac:dyDescent="0.15"/>
    <row r="1046826" customFormat="1" x14ac:dyDescent="0.15"/>
    <row r="1046827" customFormat="1" x14ac:dyDescent="0.15"/>
    <row r="1046828" customFormat="1" x14ac:dyDescent="0.15"/>
    <row r="1046829" customFormat="1" x14ac:dyDescent="0.15"/>
    <row r="1046830" customFormat="1" x14ac:dyDescent="0.15"/>
    <row r="1046831" customFormat="1" x14ac:dyDescent="0.15"/>
    <row r="1046832" customFormat="1" x14ac:dyDescent="0.15"/>
    <row r="1046833" customFormat="1" x14ac:dyDescent="0.15"/>
    <row r="1046834" customFormat="1" x14ac:dyDescent="0.15"/>
    <row r="1046835" customFormat="1" x14ac:dyDescent="0.15"/>
    <row r="1046836" customFormat="1" x14ac:dyDescent="0.15"/>
    <row r="1046837" customFormat="1" x14ac:dyDescent="0.15"/>
    <row r="1046838" customFormat="1" x14ac:dyDescent="0.15"/>
    <row r="1046839" customFormat="1" x14ac:dyDescent="0.15"/>
    <row r="1046840" customFormat="1" x14ac:dyDescent="0.15"/>
    <row r="1046841" customFormat="1" x14ac:dyDescent="0.15"/>
    <row r="1046842" customFormat="1" x14ac:dyDescent="0.15"/>
    <row r="1046843" customFormat="1" x14ac:dyDescent="0.15"/>
    <row r="1046844" customFormat="1" x14ac:dyDescent="0.15"/>
    <row r="1046845" customFormat="1" x14ac:dyDescent="0.15"/>
    <row r="1046846" customFormat="1" x14ac:dyDescent="0.15"/>
    <row r="1046847" customFormat="1" x14ac:dyDescent="0.15"/>
    <row r="1046848" customFormat="1" x14ac:dyDescent="0.15"/>
    <row r="1046849" customFormat="1" x14ac:dyDescent="0.15"/>
    <row r="1046850" customFormat="1" x14ac:dyDescent="0.15"/>
    <row r="1046851" customFormat="1" x14ac:dyDescent="0.15"/>
    <row r="1046852" customFormat="1" x14ac:dyDescent="0.15"/>
    <row r="1046853" customFormat="1" x14ac:dyDescent="0.15"/>
    <row r="1046854" customFormat="1" x14ac:dyDescent="0.15"/>
    <row r="1046855" customFormat="1" x14ac:dyDescent="0.15"/>
    <row r="1046856" customFormat="1" x14ac:dyDescent="0.15"/>
    <row r="1046857" customFormat="1" x14ac:dyDescent="0.15"/>
    <row r="1046858" customFormat="1" x14ac:dyDescent="0.15"/>
    <row r="1046859" customFormat="1" x14ac:dyDescent="0.15"/>
    <row r="1046860" customFormat="1" x14ac:dyDescent="0.15"/>
    <row r="1046861" customFormat="1" x14ac:dyDescent="0.15"/>
    <row r="1046862" customFormat="1" x14ac:dyDescent="0.15"/>
    <row r="1046863" customFormat="1" x14ac:dyDescent="0.15"/>
    <row r="1046864" customFormat="1" x14ac:dyDescent="0.15"/>
    <row r="1046865" customFormat="1" x14ac:dyDescent="0.15"/>
    <row r="1046866" customFormat="1" x14ac:dyDescent="0.15"/>
    <row r="1046867" customFormat="1" x14ac:dyDescent="0.15"/>
    <row r="1046868" customFormat="1" x14ac:dyDescent="0.15"/>
    <row r="1046869" customFormat="1" x14ac:dyDescent="0.15"/>
    <row r="1046870" customFormat="1" x14ac:dyDescent="0.15"/>
    <row r="1046871" customFormat="1" x14ac:dyDescent="0.15"/>
    <row r="1046872" customFormat="1" x14ac:dyDescent="0.15"/>
    <row r="1046873" customFormat="1" x14ac:dyDescent="0.15"/>
    <row r="1046874" customFormat="1" x14ac:dyDescent="0.15"/>
    <row r="1046875" customFormat="1" x14ac:dyDescent="0.15"/>
    <row r="1046876" customFormat="1" x14ac:dyDescent="0.15"/>
    <row r="1046877" customFormat="1" x14ac:dyDescent="0.15"/>
    <row r="1046878" customFormat="1" x14ac:dyDescent="0.15"/>
    <row r="1046879" customFormat="1" x14ac:dyDescent="0.15"/>
    <row r="1046880" customFormat="1" x14ac:dyDescent="0.15"/>
    <row r="1046881" customFormat="1" x14ac:dyDescent="0.15"/>
    <row r="1046882" customFormat="1" x14ac:dyDescent="0.15"/>
    <row r="1046883" customFormat="1" x14ac:dyDescent="0.15"/>
    <row r="1046884" customFormat="1" x14ac:dyDescent="0.15"/>
    <row r="1046885" customFormat="1" x14ac:dyDescent="0.15"/>
    <row r="1046886" customFormat="1" x14ac:dyDescent="0.15"/>
    <row r="1046887" customFormat="1" x14ac:dyDescent="0.15"/>
    <row r="1046888" customFormat="1" x14ac:dyDescent="0.15"/>
    <row r="1046889" customFormat="1" x14ac:dyDescent="0.15"/>
    <row r="1046890" customFormat="1" x14ac:dyDescent="0.15"/>
    <row r="1046891" customFormat="1" x14ac:dyDescent="0.15"/>
    <row r="1046892" customFormat="1" x14ac:dyDescent="0.15"/>
    <row r="1046893" customFormat="1" x14ac:dyDescent="0.15"/>
    <row r="1046894" customFormat="1" x14ac:dyDescent="0.15"/>
    <row r="1046895" customFormat="1" x14ac:dyDescent="0.15"/>
    <row r="1046896" customFormat="1" x14ac:dyDescent="0.15"/>
    <row r="1046897" customFormat="1" x14ac:dyDescent="0.15"/>
    <row r="1046898" customFormat="1" x14ac:dyDescent="0.15"/>
    <row r="1046899" customFormat="1" x14ac:dyDescent="0.15"/>
    <row r="1046900" customFormat="1" x14ac:dyDescent="0.15"/>
    <row r="1046901" customFormat="1" x14ac:dyDescent="0.15"/>
    <row r="1046902" customFormat="1" x14ac:dyDescent="0.15"/>
    <row r="1046903" customFormat="1" x14ac:dyDescent="0.15"/>
    <row r="1046904" customFormat="1" x14ac:dyDescent="0.15"/>
    <row r="1046905" customFormat="1" x14ac:dyDescent="0.15"/>
    <row r="1046906" customFormat="1" x14ac:dyDescent="0.15"/>
    <row r="1046907" customFormat="1" x14ac:dyDescent="0.15"/>
    <row r="1046908" customFormat="1" x14ac:dyDescent="0.15"/>
    <row r="1046909" customFormat="1" x14ac:dyDescent="0.15"/>
    <row r="1046910" customFormat="1" x14ac:dyDescent="0.15"/>
    <row r="1046911" customFormat="1" x14ac:dyDescent="0.15"/>
    <row r="1046912" customFormat="1" x14ac:dyDescent="0.15"/>
    <row r="1046913" customFormat="1" x14ac:dyDescent="0.15"/>
    <row r="1046914" customFormat="1" x14ac:dyDescent="0.15"/>
    <row r="1046915" customFormat="1" x14ac:dyDescent="0.15"/>
    <row r="1046916" customFormat="1" x14ac:dyDescent="0.15"/>
    <row r="1046917" customFormat="1" x14ac:dyDescent="0.15"/>
    <row r="1046918" customFormat="1" x14ac:dyDescent="0.15"/>
    <row r="1046919" customFormat="1" x14ac:dyDescent="0.15"/>
    <row r="1046920" customFormat="1" x14ac:dyDescent="0.15"/>
    <row r="1046921" customFormat="1" x14ac:dyDescent="0.15"/>
    <row r="1046922" customFormat="1" x14ac:dyDescent="0.15"/>
    <row r="1046923" customFormat="1" x14ac:dyDescent="0.15"/>
    <row r="1046924" customFormat="1" x14ac:dyDescent="0.15"/>
    <row r="1046925" customFormat="1" x14ac:dyDescent="0.15"/>
    <row r="1046926" customFormat="1" x14ac:dyDescent="0.15"/>
    <row r="1046927" customFormat="1" x14ac:dyDescent="0.15"/>
    <row r="1046928" customFormat="1" x14ac:dyDescent="0.15"/>
    <row r="1046929" customFormat="1" x14ac:dyDescent="0.15"/>
    <row r="1046930" customFormat="1" x14ac:dyDescent="0.15"/>
    <row r="1046931" customFormat="1" x14ac:dyDescent="0.15"/>
    <row r="1046932" customFormat="1" x14ac:dyDescent="0.15"/>
    <row r="1046933" customFormat="1" x14ac:dyDescent="0.15"/>
    <row r="1046934" customFormat="1" x14ac:dyDescent="0.15"/>
    <row r="1046935" customFormat="1" x14ac:dyDescent="0.15"/>
    <row r="1046936" customFormat="1" x14ac:dyDescent="0.15"/>
    <row r="1046937" customFormat="1" x14ac:dyDescent="0.15"/>
    <row r="1046938" customFormat="1" x14ac:dyDescent="0.15"/>
    <row r="1046939" customFormat="1" x14ac:dyDescent="0.15"/>
    <row r="1046940" customFormat="1" x14ac:dyDescent="0.15"/>
    <row r="1046941" customFormat="1" x14ac:dyDescent="0.15"/>
    <row r="1046942" customFormat="1" x14ac:dyDescent="0.15"/>
    <row r="1046943" customFormat="1" x14ac:dyDescent="0.15"/>
    <row r="1046944" customFormat="1" x14ac:dyDescent="0.15"/>
    <row r="1046945" customFormat="1" x14ac:dyDescent="0.15"/>
    <row r="1046946" customFormat="1" x14ac:dyDescent="0.15"/>
    <row r="1046947" customFormat="1" x14ac:dyDescent="0.15"/>
    <row r="1046948" customFormat="1" x14ac:dyDescent="0.15"/>
    <row r="1046949" customFormat="1" x14ac:dyDescent="0.15"/>
    <row r="1046950" customFormat="1" x14ac:dyDescent="0.15"/>
    <row r="1046951" customFormat="1" x14ac:dyDescent="0.15"/>
    <row r="1046952" customFormat="1" x14ac:dyDescent="0.15"/>
    <row r="1046953" customFormat="1" x14ac:dyDescent="0.15"/>
    <row r="1046954" customFormat="1" x14ac:dyDescent="0.15"/>
    <row r="1046955" customFormat="1" x14ac:dyDescent="0.15"/>
    <row r="1046956" customFormat="1" x14ac:dyDescent="0.15"/>
    <row r="1046957" customFormat="1" x14ac:dyDescent="0.15"/>
    <row r="1046958" customFormat="1" x14ac:dyDescent="0.15"/>
    <row r="1046959" customFormat="1" x14ac:dyDescent="0.15"/>
    <row r="1046960" customFormat="1" x14ac:dyDescent="0.15"/>
    <row r="1046961" customFormat="1" x14ac:dyDescent="0.15"/>
    <row r="1046962" customFormat="1" x14ac:dyDescent="0.15"/>
    <row r="1046963" customFormat="1" x14ac:dyDescent="0.15"/>
    <row r="1046964" customFormat="1" x14ac:dyDescent="0.15"/>
    <row r="1046965" customFormat="1" x14ac:dyDescent="0.15"/>
    <row r="1046966" customFormat="1" x14ac:dyDescent="0.15"/>
    <row r="1046967" customFormat="1" x14ac:dyDescent="0.15"/>
    <row r="1046968" customFormat="1" x14ac:dyDescent="0.15"/>
    <row r="1046969" customFormat="1" x14ac:dyDescent="0.15"/>
    <row r="1046970" customFormat="1" x14ac:dyDescent="0.15"/>
    <row r="1046971" customFormat="1" x14ac:dyDescent="0.15"/>
    <row r="1046972" customFormat="1" x14ac:dyDescent="0.15"/>
    <row r="1046973" customFormat="1" x14ac:dyDescent="0.15"/>
    <row r="1046974" customFormat="1" x14ac:dyDescent="0.15"/>
    <row r="1046975" customFormat="1" x14ac:dyDescent="0.15"/>
    <row r="1046976" customFormat="1" x14ac:dyDescent="0.15"/>
    <row r="1046977" customFormat="1" x14ac:dyDescent="0.15"/>
    <row r="1046978" customFormat="1" x14ac:dyDescent="0.15"/>
    <row r="1046979" customFormat="1" x14ac:dyDescent="0.15"/>
    <row r="1046980" customFormat="1" x14ac:dyDescent="0.15"/>
    <row r="1046981" customFormat="1" x14ac:dyDescent="0.15"/>
    <row r="1046982" customFormat="1" x14ac:dyDescent="0.15"/>
    <row r="1046983" customFormat="1" x14ac:dyDescent="0.15"/>
    <row r="1046984" customFormat="1" x14ac:dyDescent="0.15"/>
    <row r="1046985" customFormat="1" x14ac:dyDescent="0.15"/>
    <row r="1046986" customFormat="1" x14ac:dyDescent="0.15"/>
    <row r="1046987" customFormat="1" x14ac:dyDescent="0.15"/>
    <row r="1046988" customFormat="1" x14ac:dyDescent="0.15"/>
    <row r="1046989" customFormat="1" x14ac:dyDescent="0.15"/>
    <row r="1046990" customFormat="1" x14ac:dyDescent="0.15"/>
    <row r="1046991" customFormat="1" x14ac:dyDescent="0.15"/>
    <row r="1046992" customFormat="1" x14ac:dyDescent="0.15"/>
    <row r="1046993" customFormat="1" x14ac:dyDescent="0.15"/>
    <row r="1046994" customFormat="1" x14ac:dyDescent="0.15"/>
    <row r="1046995" customFormat="1" x14ac:dyDescent="0.15"/>
    <row r="1046996" customFormat="1" x14ac:dyDescent="0.15"/>
    <row r="1046997" customFormat="1" x14ac:dyDescent="0.15"/>
    <row r="1046998" customFormat="1" x14ac:dyDescent="0.15"/>
    <row r="1046999" customFormat="1" x14ac:dyDescent="0.15"/>
    <row r="1047000" customFormat="1" x14ac:dyDescent="0.15"/>
    <row r="1047001" customFormat="1" x14ac:dyDescent="0.15"/>
    <row r="1047002" customFormat="1" x14ac:dyDescent="0.15"/>
    <row r="1047003" customFormat="1" x14ac:dyDescent="0.15"/>
    <row r="1047004" customFormat="1" x14ac:dyDescent="0.15"/>
    <row r="1047005" customFormat="1" x14ac:dyDescent="0.15"/>
    <row r="1047006" customFormat="1" x14ac:dyDescent="0.15"/>
    <row r="1047007" customFormat="1" x14ac:dyDescent="0.15"/>
    <row r="1047008" customFormat="1" x14ac:dyDescent="0.15"/>
    <row r="1047009" customFormat="1" x14ac:dyDescent="0.15"/>
    <row r="1047010" customFormat="1" x14ac:dyDescent="0.15"/>
    <row r="1047011" customFormat="1" x14ac:dyDescent="0.15"/>
    <row r="1047012" customFormat="1" x14ac:dyDescent="0.15"/>
    <row r="1047013" customFormat="1" x14ac:dyDescent="0.15"/>
    <row r="1047014" customFormat="1" x14ac:dyDescent="0.15"/>
    <row r="1047015" customFormat="1" x14ac:dyDescent="0.15"/>
    <row r="1047016" customFormat="1" x14ac:dyDescent="0.15"/>
    <row r="1047017" customFormat="1" x14ac:dyDescent="0.15"/>
    <row r="1047018" customFormat="1" x14ac:dyDescent="0.15"/>
    <row r="1047019" customFormat="1" x14ac:dyDescent="0.15"/>
    <row r="1047020" customFormat="1" x14ac:dyDescent="0.15"/>
    <row r="1047021" customFormat="1" x14ac:dyDescent="0.15"/>
    <row r="1047022" customFormat="1" x14ac:dyDescent="0.15"/>
    <row r="1047023" customFormat="1" x14ac:dyDescent="0.15"/>
    <row r="1047024" customFormat="1" x14ac:dyDescent="0.15"/>
    <row r="1047025" customFormat="1" x14ac:dyDescent="0.15"/>
    <row r="1047026" customFormat="1" x14ac:dyDescent="0.15"/>
    <row r="1047027" customFormat="1" x14ac:dyDescent="0.15"/>
    <row r="1047028" customFormat="1" x14ac:dyDescent="0.15"/>
    <row r="1047029" customFormat="1" x14ac:dyDescent="0.15"/>
    <row r="1047030" customFormat="1" x14ac:dyDescent="0.15"/>
    <row r="1047031" customFormat="1" x14ac:dyDescent="0.15"/>
    <row r="1047032" customFormat="1" x14ac:dyDescent="0.15"/>
    <row r="1047033" customFormat="1" x14ac:dyDescent="0.15"/>
    <row r="1047034" customFormat="1" x14ac:dyDescent="0.15"/>
    <row r="1047035" customFormat="1" x14ac:dyDescent="0.15"/>
    <row r="1047036" customFormat="1" x14ac:dyDescent="0.15"/>
    <row r="1047037" customFormat="1" x14ac:dyDescent="0.15"/>
    <row r="1047038" customFormat="1" x14ac:dyDescent="0.15"/>
    <row r="1047039" customFormat="1" x14ac:dyDescent="0.15"/>
    <row r="1047040" customFormat="1" x14ac:dyDescent="0.15"/>
    <row r="1047041" customFormat="1" x14ac:dyDescent="0.15"/>
    <row r="1047042" customFormat="1" x14ac:dyDescent="0.15"/>
    <row r="1047043" customFormat="1" x14ac:dyDescent="0.15"/>
    <row r="1047044" customFormat="1" x14ac:dyDescent="0.15"/>
    <row r="1047045" customFormat="1" x14ac:dyDescent="0.15"/>
    <row r="1047046" customFormat="1" x14ac:dyDescent="0.15"/>
    <row r="1047047" customFormat="1" x14ac:dyDescent="0.15"/>
    <row r="1047048" customFormat="1" x14ac:dyDescent="0.15"/>
    <row r="1047049" customFormat="1" x14ac:dyDescent="0.15"/>
    <row r="1047050" customFormat="1" x14ac:dyDescent="0.15"/>
    <row r="1047051" customFormat="1" x14ac:dyDescent="0.15"/>
    <row r="1047052" customFormat="1" x14ac:dyDescent="0.15"/>
    <row r="1047053" customFormat="1" x14ac:dyDescent="0.15"/>
    <row r="1047054" customFormat="1" x14ac:dyDescent="0.15"/>
    <row r="1047055" customFormat="1" x14ac:dyDescent="0.15"/>
    <row r="1047056" customFormat="1" x14ac:dyDescent="0.15"/>
    <row r="1047057" customFormat="1" x14ac:dyDescent="0.15"/>
    <row r="1047058" customFormat="1" x14ac:dyDescent="0.15"/>
    <row r="1047059" customFormat="1" x14ac:dyDescent="0.15"/>
    <row r="1047060" customFormat="1" x14ac:dyDescent="0.15"/>
    <row r="1047061" customFormat="1" x14ac:dyDescent="0.15"/>
    <row r="1047062" customFormat="1" x14ac:dyDescent="0.15"/>
    <row r="1047063" customFormat="1" x14ac:dyDescent="0.15"/>
    <row r="1047064" customFormat="1" x14ac:dyDescent="0.15"/>
    <row r="1047065" customFormat="1" x14ac:dyDescent="0.15"/>
    <row r="1047066" customFormat="1" x14ac:dyDescent="0.15"/>
    <row r="1047067" customFormat="1" x14ac:dyDescent="0.15"/>
    <row r="1047068" customFormat="1" x14ac:dyDescent="0.15"/>
    <row r="1047069" customFormat="1" x14ac:dyDescent="0.15"/>
    <row r="1047070" customFormat="1" x14ac:dyDescent="0.15"/>
    <row r="1047071" customFormat="1" x14ac:dyDescent="0.15"/>
    <row r="1047072" customFormat="1" x14ac:dyDescent="0.15"/>
    <row r="1047073" customFormat="1" x14ac:dyDescent="0.15"/>
    <row r="1047074" customFormat="1" x14ac:dyDescent="0.15"/>
    <row r="1047075" customFormat="1" x14ac:dyDescent="0.15"/>
    <row r="1047076" customFormat="1" x14ac:dyDescent="0.15"/>
    <row r="1047077" customFormat="1" x14ac:dyDescent="0.15"/>
    <row r="1047078" customFormat="1" x14ac:dyDescent="0.15"/>
    <row r="1047079" customFormat="1" x14ac:dyDescent="0.15"/>
    <row r="1047080" customFormat="1" x14ac:dyDescent="0.15"/>
    <row r="1047081" customFormat="1" x14ac:dyDescent="0.15"/>
    <row r="1047082" customFormat="1" x14ac:dyDescent="0.15"/>
    <row r="1047083" customFormat="1" x14ac:dyDescent="0.15"/>
    <row r="1047084" customFormat="1" x14ac:dyDescent="0.15"/>
    <row r="1047085" customFormat="1" x14ac:dyDescent="0.15"/>
    <row r="1047086" customFormat="1" x14ac:dyDescent="0.15"/>
    <row r="1047087" customFormat="1" x14ac:dyDescent="0.15"/>
    <row r="1047088" customFormat="1" x14ac:dyDescent="0.15"/>
    <row r="1047089" customFormat="1" x14ac:dyDescent="0.15"/>
    <row r="1047090" customFormat="1" x14ac:dyDescent="0.15"/>
    <row r="1047091" customFormat="1" x14ac:dyDescent="0.15"/>
    <row r="1047092" customFormat="1" x14ac:dyDescent="0.15"/>
    <row r="1047093" customFormat="1" x14ac:dyDescent="0.15"/>
    <row r="1047094" customFormat="1" x14ac:dyDescent="0.15"/>
    <row r="1047095" customFormat="1" x14ac:dyDescent="0.15"/>
    <row r="1047096" customFormat="1" x14ac:dyDescent="0.15"/>
    <row r="1047097" customFormat="1" x14ac:dyDescent="0.15"/>
    <row r="1047098" customFormat="1" x14ac:dyDescent="0.15"/>
    <row r="1047099" customFormat="1" x14ac:dyDescent="0.15"/>
    <row r="1047100" customFormat="1" x14ac:dyDescent="0.15"/>
    <row r="1047101" customFormat="1" x14ac:dyDescent="0.15"/>
    <row r="1047102" customFormat="1" x14ac:dyDescent="0.15"/>
    <row r="1047103" customFormat="1" x14ac:dyDescent="0.15"/>
    <row r="1047104" customFormat="1" x14ac:dyDescent="0.15"/>
    <row r="1047105" customFormat="1" x14ac:dyDescent="0.15"/>
    <row r="1047106" customFormat="1" x14ac:dyDescent="0.15"/>
    <row r="1047107" customFormat="1" x14ac:dyDescent="0.15"/>
    <row r="1047108" customFormat="1" x14ac:dyDescent="0.15"/>
    <row r="1047109" customFormat="1" x14ac:dyDescent="0.15"/>
    <row r="1047110" customFormat="1" x14ac:dyDescent="0.15"/>
    <row r="1047111" customFormat="1" x14ac:dyDescent="0.15"/>
    <row r="1047112" customFormat="1" x14ac:dyDescent="0.15"/>
    <row r="1047113" customFormat="1" x14ac:dyDescent="0.15"/>
    <row r="1047114" customFormat="1" x14ac:dyDescent="0.15"/>
    <row r="1047115" customFormat="1" x14ac:dyDescent="0.15"/>
    <row r="1047116" customFormat="1" x14ac:dyDescent="0.15"/>
    <row r="1047117" customFormat="1" x14ac:dyDescent="0.15"/>
    <row r="1047118" customFormat="1" x14ac:dyDescent="0.15"/>
    <row r="1047119" customFormat="1" x14ac:dyDescent="0.15"/>
    <row r="1047120" customFormat="1" x14ac:dyDescent="0.15"/>
    <row r="1047121" customFormat="1" x14ac:dyDescent="0.15"/>
    <row r="1047122" customFormat="1" x14ac:dyDescent="0.15"/>
    <row r="1047123" customFormat="1" x14ac:dyDescent="0.15"/>
    <row r="1047124" customFormat="1" x14ac:dyDescent="0.15"/>
    <row r="1047125" customFormat="1" x14ac:dyDescent="0.15"/>
    <row r="1047126" customFormat="1" x14ac:dyDescent="0.15"/>
    <row r="1047127" customFormat="1" x14ac:dyDescent="0.15"/>
    <row r="1047128" customFormat="1" x14ac:dyDescent="0.15"/>
    <row r="1047129" customFormat="1" x14ac:dyDescent="0.15"/>
    <row r="1047130" customFormat="1" x14ac:dyDescent="0.15"/>
    <row r="1047131" customFormat="1" x14ac:dyDescent="0.15"/>
    <row r="1047132" customFormat="1" x14ac:dyDescent="0.15"/>
    <row r="1047133" customFormat="1" x14ac:dyDescent="0.15"/>
    <row r="1047134" customFormat="1" x14ac:dyDescent="0.15"/>
    <row r="1047135" customFormat="1" x14ac:dyDescent="0.15"/>
    <row r="1047136" customFormat="1" x14ac:dyDescent="0.15"/>
    <row r="1047137" customFormat="1" x14ac:dyDescent="0.15"/>
    <row r="1047138" customFormat="1" x14ac:dyDescent="0.15"/>
    <row r="1047139" customFormat="1" x14ac:dyDescent="0.15"/>
    <row r="1047140" customFormat="1" x14ac:dyDescent="0.15"/>
    <row r="1047141" customFormat="1" x14ac:dyDescent="0.15"/>
    <row r="1047142" customFormat="1" x14ac:dyDescent="0.15"/>
    <row r="1047143" customFormat="1" x14ac:dyDescent="0.15"/>
    <row r="1047144" customFormat="1" x14ac:dyDescent="0.15"/>
    <row r="1047145" customFormat="1" x14ac:dyDescent="0.15"/>
    <row r="1047146" customFormat="1" x14ac:dyDescent="0.15"/>
    <row r="1047147" customFormat="1" x14ac:dyDescent="0.15"/>
    <row r="1047148" customFormat="1" x14ac:dyDescent="0.15"/>
    <row r="1047149" customFormat="1" x14ac:dyDescent="0.15"/>
    <row r="1047150" customFormat="1" x14ac:dyDescent="0.15"/>
    <row r="1047151" customFormat="1" x14ac:dyDescent="0.15"/>
    <row r="1047152" customFormat="1" x14ac:dyDescent="0.15"/>
    <row r="1047153" customFormat="1" x14ac:dyDescent="0.15"/>
    <row r="1047154" customFormat="1" x14ac:dyDescent="0.15"/>
    <row r="1047155" customFormat="1" x14ac:dyDescent="0.15"/>
    <row r="1047156" customFormat="1" x14ac:dyDescent="0.15"/>
    <row r="1047157" customFormat="1" x14ac:dyDescent="0.15"/>
    <row r="1047158" customFormat="1" x14ac:dyDescent="0.15"/>
    <row r="1047159" customFormat="1" x14ac:dyDescent="0.15"/>
    <row r="1047160" customFormat="1" x14ac:dyDescent="0.15"/>
    <row r="1047161" customFormat="1" x14ac:dyDescent="0.15"/>
    <row r="1047162" customFormat="1" x14ac:dyDescent="0.15"/>
    <row r="1047163" customFormat="1" x14ac:dyDescent="0.15"/>
    <row r="1047164" customFormat="1" x14ac:dyDescent="0.15"/>
    <row r="1047165" customFormat="1" x14ac:dyDescent="0.15"/>
    <row r="1047166" customFormat="1" x14ac:dyDescent="0.15"/>
    <row r="1047167" customFormat="1" x14ac:dyDescent="0.15"/>
    <row r="1047168" customFormat="1" x14ac:dyDescent="0.15"/>
    <row r="1047169" customFormat="1" x14ac:dyDescent="0.15"/>
    <row r="1047170" customFormat="1" x14ac:dyDescent="0.15"/>
    <row r="1047171" customFormat="1" x14ac:dyDescent="0.15"/>
    <row r="1047172" customFormat="1" x14ac:dyDescent="0.15"/>
    <row r="1047173" customFormat="1" x14ac:dyDescent="0.15"/>
    <row r="1047174" customFormat="1" x14ac:dyDescent="0.15"/>
    <row r="1047175" customFormat="1" x14ac:dyDescent="0.15"/>
    <row r="1047176" customFormat="1" x14ac:dyDescent="0.15"/>
    <row r="1047177" customFormat="1" x14ac:dyDescent="0.15"/>
    <row r="1047178" customFormat="1" x14ac:dyDescent="0.15"/>
    <row r="1047179" customFormat="1" x14ac:dyDescent="0.15"/>
    <row r="1047180" customFormat="1" x14ac:dyDescent="0.15"/>
    <row r="1047181" customFormat="1" x14ac:dyDescent="0.15"/>
    <row r="1047182" customFormat="1" x14ac:dyDescent="0.15"/>
    <row r="1047183" customFormat="1" x14ac:dyDescent="0.15"/>
    <row r="1047184" customFormat="1" x14ac:dyDescent="0.15"/>
    <row r="1047185" customFormat="1" x14ac:dyDescent="0.15"/>
    <row r="1047186" customFormat="1" x14ac:dyDescent="0.15"/>
    <row r="1047187" customFormat="1" x14ac:dyDescent="0.15"/>
    <row r="1047188" customFormat="1" x14ac:dyDescent="0.15"/>
    <row r="1047189" customFormat="1" x14ac:dyDescent="0.15"/>
    <row r="1047190" customFormat="1" x14ac:dyDescent="0.15"/>
    <row r="1047191" customFormat="1" x14ac:dyDescent="0.15"/>
    <row r="1047192" customFormat="1" x14ac:dyDescent="0.15"/>
    <row r="1047193" customFormat="1" x14ac:dyDescent="0.15"/>
    <row r="1047194" customFormat="1" x14ac:dyDescent="0.15"/>
    <row r="1047195" customFormat="1" x14ac:dyDescent="0.15"/>
    <row r="1047196" customFormat="1" x14ac:dyDescent="0.15"/>
    <row r="1047197" customFormat="1" x14ac:dyDescent="0.15"/>
    <row r="1047198" customFormat="1" x14ac:dyDescent="0.15"/>
    <row r="1047199" customFormat="1" x14ac:dyDescent="0.15"/>
    <row r="1047200" customFormat="1" x14ac:dyDescent="0.15"/>
    <row r="1047201" customFormat="1" x14ac:dyDescent="0.15"/>
    <row r="1047202" customFormat="1" x14ac:dyDescent="0.15"/>
    <row r="1047203" customFormat="1" x14ac:dyDescent="0.15"/>
    <row r="1047204" customFormat="1" x14ac:dyDescent="0.15"/>
    <row r="1047205" customFormat="1" x14ac:dyDescent="0.15"/>
    <row r="1047206" customFormat="1" x14ac:dyDescent="0.15"/>
    <row r="1047207" customFormat="1" x14ac:dyDescent="0.15"/>
    <row r="1047208" customFormat="1" x14ac:dyDescent="0.15"/>
    <row r="1047209" customFormat="1" x14ac:dyDescent="0.15"/>
    <row r="1047210" customFormat="1" x14ac:dyDescent="0.15"/>
    <row r="1047211" customFormat="1" x14ac:dyDescent="0.15"/>
    <row r="1047212" customFormat="1" x14ac:dyDescent="0.15"/>
    <row r="1047213" customFormat="1" x14ac:dyDescent="0.15"/>
    <row r="1047214" customFormat="1" x14ac:dyDescent="0.15"/>
    <row r="1047215" customFormat="1" x14ac:dyDescent="0.15"/>
    <row r="1047216" customFormat="1" x14ac:dyDescent="0.15"/>
    <row r="1047217" customFormat="1" x14ac:dyDescent="0.15"/>
    <row r="1047218" customFormat="1" x14ac:dyDescent="0.15"/>
    <row r="1047219" customFormat="1" x14ac:dyDescent="0.15"/>
    <row r="1047220" customFormat="1" x14ac:dyDescent="0.15"/>
    <row r="1047221" customFormat="1" x14ac:dyDescent="0.15"/>
    <row r="1047222" customFormat="1" x14ac:dyDescent="0.15"/>
    <row r="1047223" customFormat="1" x14ac:dyDescent="0.15"/>
    <row r="1047224" customFormat="1" x14ac:dyDescent="0.15"/>
    <row r="1047225" customFormat="1" x14ac:dyDescent="0.15"/>
    <row r="1047226" customFormat="1" x14ac:dyDescent="0.15"/>
    <row r="1047227" customFormat="1" x14ac:dyDescent="0.15"/>
    <row r="1047228" customFormat="1" x14ac:dyDescent="0.15"/>
    <row r="1047229" customFormat="1" x14ac:dyDescent="0.15"/>
    <row r="1047230" customFormat="1" x14ac:dyDescent="0.15"/>
    <row r="1047231" customFormat="1" x14ac:dyDescent="0.15"/>
    <row r="1047232" customFormat="1" x14ac:dyDescent="0.15"/>
    <row r="1047233" customFormat="1" x14ac:dyDescent="0.15"/>
    <row r="1047234" customFormat="1" x14ac:dyDescent="0.15"/>
    <row r="1047235" customFormat="1" x14ac:dyDescent="0.15"/>
    <row r="1047236" customFormat="1" x14ac:dyDescent="0.15"/>
    <row r="1047237" customFormat="1" x14ac:dyDescent="0.15"/>
    <row r="1047238" customFormat="1" x14ac:dyDescent="0.15"/>
    <row r="1047239" customFormat="1" x14ac:dyDescent="0.15"/>
    <row r="1047240" customFormat="1" x14ac:dyDescent="0.15"/>
    <row r="1047241" customFormat="1" x14ac:dyDescent="0.15"/>
    <row r="1047242" customFormat="1" x14ac:dyDescent="0.15"/>
    <row r="1047243" customFormat="1" x14ac:dyDescent="0.15"/>
    <row r="1047244" customFormat="1" x14ac:dyDescent="0.15"/>
    <row r="1047245" customFormat="1" x14ac:dyDescent="0.15"/>
    <row r="1047246" customFormat="1" x14ac:dyDescent="0.15"/>
    <row r="1047247" customFormat="1" x14ac:dyDescent="0.15"/>
    <row r="1047248" customFormat="1" x14ac:dyDescent="0.15"/>
    <row r="1047249" customFormat="1" x14ac:dyDescent="0.15"/>
    <row r="1047250" customFormat="1" x14ac:dyDescent="0.15"/>
    <row r="1047251" customFormat="1" x14ac:dyDescent="0.15"/>
    <row r="1047252" customFormat="1" x14ac:dyDescent="0.15"/>
    <row r="1047253" customFormat="1" x14ac:dyDescent="0.15"/>
    <row r="1047254" customFormat="1" x14ac:dyDescent="0.15"/>
    <row r="1047255" customFormat="1" x14ac:dyDescent="0.15"/>
    <row r="1047256" customFormat="1" x14ac:dyDescent="0.15"/>
    <row r="1047257" customFormat="1" x14ac:dyDescent="0.15"/>
    <row r="1047258" customFormat="1" x14ac:dyDescent="0.15"/>
    <row r="1047259" customFormat="1" x14ac:dyDescent="0.15"/>
    <row r="1047260" customFormat="1" x14ac:dyDescent="0.15"/>
    <row r="1047261" customFormat="1" x14ac:dyDescent="0.15"/>
    <row r="1047262" customFormat="1" x14ac:dyDescent="0.15"/>
    <row r="1047263" customFormat="1" x14ac:dyDescent="0.15"/>
    <row r="1047264" customFormat="1" x14ac:dyDescent="0.15"/>
    <row r="1047265" customFormat="1" x14ac:dyDescent="0.15"/>
    <row r="1047266" customFormat="1" x14ac:dyDescent="0.15"/>
    <row r="1047267" customFormat="1" x14ac:dyDescent="0.15"/>
    <row r="1047268" customFormat="1" x14ac:dyDescent="0.15"/>
    <row r="1047269" customFormat="1" x14ac:dyDescent="0.15"/>
    <row r="1047270" customFormat="1" x14ac:dyDescent="0.15"/>
    <row r="1047271" customFormat="1" x14ac:dyDescent="0.15"/>
    <row r="1047272" customFormat="1" x14ac:dyDescent="0.15"/>
    <row r="1047273" customFormat="1" x14ac:dyDescent="0.15"/>
    <row r="1047274" customFormat="1" x14ac:dyDescent="0.15"/>
    <row r="1047275" customFormat="1" x14ac:dyDescent="0.15"/>
    <row r="1047276" customFormat="1" x14ac:dyDescent="0.15"/>
    <row r="1047277" customFormat="1" x14ac:dyDescent="0.15"/>
    <row r="1047278" customFormat="1" x14ac:dyDescent="0.15"/>
    <row r="1047279" customFormat="1" x14ac:dyDescent="0.15"/>
    <row r="1047280" customFormat="1" x14ac:dyDescent="0.15"/>
    <row r="1047281" customFormat="1" x14ac:dyDescent="0.15"/>
    <row r="1047282" customFormat="1" x14ac:dyDescent="0.15"/>
    <row r="1047283" customFormat="1" x14ac:dyDescent="0.15"/>
    <row r="1047284" customFormat="1" x14ac:dyDescent="0.15"/>
    <row r="1047285" customFormat="1" x14ac:dyDescent="0.15"/>
    <row r="1047286" customFormat="1" x14ac:dyDescent="0.15"/>
    <row r="1047287" customFormat="1" x14ac:dyDescent="0.15"/>
    <row r="1047288" customFormat="1" x14ac:dyDescent="0.15"/>
    <row r="1047289" customFormat="1" x14ac:dyDescent="0.15"/>
    <row r="1047290" customFormat="1" x14ac:dyDescent="0.15"/>
    <row r="1047291" customFormat="1" x14ac:dyDescent="0.15"/>
    <row r="1047292" customFormat="1" x14ac:dyDescent="0.15"/>
    <row r="1047293" customFormat="1" x14ac:dyDescent="0.15"/>
    <row r="1047294" customFormat="1" x14ac:dyDescent="0.15"/>
    <row r="1047295" customFormat="1" x14ac:dyDescent="0.15"/>
    <row r="1047296" customFormat="1" x14ac:dyDescent="0.15"/>
    <row r="1047297" customFormat="1" x14ac:dyDescent="0.15"/>
    <row r="1047298" customFormat="1" x14ac:dyDescent="0.15"/>
    <row r="1047299" customFormat="1" x14ac:dyDescent="0.15"/>
    <row r="1047300" customFormat="1" x14ac:dyDescent="0.15"/>
    <row r="1047301" customFormat="1" x14ac:dyDescent="0.15"/>
    <row r="1047302" customFormat="1" x14ac:dyDescent="0.15"/>
    <row r="1047303" customFormat="1" x14ac:dyDescent="0.15"/>
    <row r="1047304" customFormat="1" x14ac:dyDescent="0.15"/>
    <row r="1047305" customFormat="1" x14ac:dyDescent="0.15"/>
    <row r="1047306" customFormat="1" x14ac:dyDescent="0.15"/>
    <row r="1047307" customFormat="1" x14ac:dyDescent="0.15"/>
    <row r="1047308" customFormat="1" x14ac:dyDescent="0.15"/>
    <row r="1047309" customFormat="1" x14ac:dyDescent="0.15"/>
    <row r="1047310" customFormat="1" x14ac:dyDescent="0.15"/>
    <row r="1047311" customFormat="1" x14ac:dyDescent="0.15"/>
    <row r="1047312" customFormat="1" x14ac:dyDescent="0.15"/>
    <row r="1047313" customFormat="1" x14ac:dyDescent="0.15"/>
    <row r="1047314" customFormat="1" x14ac:dyDescent="0.15"/>
    <row r="1047315" customFormat="1" x14ac:dyDescent="0.15"/>
    <row r="1047316" customFormat="1" x14ac:dyDescent="0.15"/>
    <row r="1047317" customFormat="1" x14ac:dyDescent="0.15"/>
    <row r="1047318" customFormat="1" x14ac:dyDescent="0.15"/>
    <row r="1047319" customFormat="1" x14ac:dyDescent="0.15"/>
    <row r="1047320" customFormat="1" x14ac:dyDescent="0.15"/>
    <row r="1047321" customFormat="1" x14ac:dyDescent="0.15"/>
    <row r="1047322" customFormat="1" x14ac:dyDescent="0.15"/>
    <row r="1047323" customFormat="1" x14ac:dyDescent="0.15"/>
    <row r="1047324" customFormat="1" x14ac:dyDescent="0.15"/>
    <row r="1047325" customFormat="1" x14ac:dyDescent="0.15"/>
    <row r="1047326" customFormat="1" x14ac:dyDescent="0.15"/>
    <row r="1047327" customFormat="1" x14ac:dyDescent="0.15"/>
    <row r="1047328" customFormat="1" x14ac:dyDescent="0.15"/>
    <row r="1047329" customFormat="1" x14ac:dyDescent="0.15"/>
    <row r="1047330" customFormat="1" x14ac:dyDescent="0.15"/>
    <row r="1047331" customFormat="1" x14ac:dyDescent="0.15"/>
    <row r="1047332" customFormat="1" x14ac:dyDescent="0.15"/>
    <row r="1047333" customFormat="1" x14ac:dyDescent="0.15"/>
    <row r="1047334" customFormat="1" x14ac:dyDescent="0.15"/>
    <row r="1047335" customFormat="1" x14ac:dyDescent="0.15"/>
    <row r="1047336" customFormat="1" x14ac:dyDescent="0.15"/>
    <row r="1047337" customFormat="1" x14ac:dyDescent="0.15"/>
    <row r="1047338" customFormat="1" x14ac:dyDescent="0.15"/>
    <row r="1047339" customFormat="1" x14ac:dyDescent="0.15"/>
    <row r="1047340" customFormat="1" x14ac:dyDescent="0.15"/>
    <row r="1047341" customFormat="1" x14ac:dyDescent="0.15"/>
    <row r="1047342" customFormat="1" x14ac:dyDescent="0.15"/>
    <row r="1047343" customFormat="1" x14ac:dyDescent="0.15"/>
    <row r="1047344" customFormat="1" x14ac:dyDescent="0.15"/>
    <row r="1047345" customFormat="1" x14ac:dyDescent="0.15"/>
    <row r="1047346" customFormat="1" x14ac:dyDescent="0.15"/>
    <row r="1047347" customFormat="1" x14ac:dyDescent="0.15"/>
    <row r="1047348" customFormat="1" x14ac:dyDescent="0.15"/>
    <row r="1047349" customFormat="1" x14ac:dyDescent="0.15"/>
    <row r="1047350" customFormat="1" x14ac:dyDescent="0.15"/>
    <row r="1047351" customFormat="1" x14ac:dyDescent="0.15"/>
    <row r="1047352" customFormat="1" x14ac:dyDescent="0.15"/>
    <row r="1047353" customFormat="1" x14ac:dyDescent="0.15"/>
    <row r="1047354" customFormat="1" x14ac:dyDescent="0.15"/>
    <row r="1047355" customFormat="1" x14ac:dyDescent="0.15"/>
    <row r="1047356" customFormat="1" x14ac:dyDescent="0.15"/>
    <row r="1047357" customFormat="1" x14ac:dyDescent="0.15"/>
    <row r="1047358" customFormat="1" x14ac:dyDescent="0.15"/>
    <row r="1047359" customFormat="1" x14ac:dyDescent="0.15"/>
    <row r="1047360" customFormat="1" x14ac:dyDescent="0.15"/>
    <row r="1047361" customFormat="1" x14ac:dyDescent="0.15"/>
    <row r="1047362" customFormat="1" x14ac:dyDescent="0.15"/>
    <row r="1047363" customFormat="1" x14ac:dyDescent="0.15"/>
    <row r="1047364" customFormat="1" x14ac:dyDescent="0.15"/>
    <row r="1047365" customFormat="1" x14ac:dyDescent="0.15"/>
    <row r="1047366" customFormat="1" x14ac:dyDescent="0.15"/>
    <row r="1047367" customFormat="1" x14ac:dyDescent="0.15"/>
    <row r="1047368" customFormat="1" x14ac:dyDescent="0.15"/>
    <row r="1047369" customFormat="1" x14ac:dyDescent="0.15"/>
    <row r="1047370" customFormat="1" x14ac:dyDescent="0.15"/>
    <row r="1047371" customFormat="1" x14ac:dyDescent="0.15"/>
    <row r="1047372" customFormat="1" x14ac:dyDescent="0.15"/>
    <row r="1047373" customFormat="1" x14ac:dyDescent="0.15"/>
    <row r="1047374" customFormat="1" x14ac:dyDescent="0.15"/>
    <row r="1047375" customFormat="1" x14ac:dyDescent="0.15"/>
    <row r="1047376" customFormat="1" x14ac:dyDescent="0.15"/>
    <row r="1047377" customFormat="1" x14ac:dyDescent="0.15"/>
    <row r="1047378" customFormat="1" x14ac:dyDescent="0.15"/>
    <row r="1047379" customFormat="1" x14ac:dyDescent="0.15"/>
    <row r="1047380" customFormat="1" x14ac:dyDescent="0.15"/>
    <row r="1047381" customFormat="1" x14ac:dyDescent="0.15"/>
    <row r="1047382" customFormat="1" x14ac:dyDescent="0.15"/>
    <row r="1047383" customFormat="1" x14ac:dyDescent="0.15"/>
    <row r="1047384" customFormat="1" x14ac:dyDescent="0.15"/>
    <row r="1047385" customFormat="1" x14ac:dyDescent="0.15"/>
    <row r="1047386" customFormat="1" x14ac:dyDescent="0.15"/>
    <row r="1047387" customFormat="1" x14ac:dyDescent="0.15"/>
    <row r="1047388" customFormat="1" x14ac:dyDescent="0.15"/>
    <row r="1047389" customFormat="1" x14ac:dyDescent="0.15"/>
    <row r="1047390" customFormat="1" x14ac:dyDescent="0.15"/>
    <row r="1047391" customFormat="1" x14ac:dyDescent="0.15"/>
    <row r="1047392" customFormat="1" x14ac:dyDescent="0.15"/>
    <row r="1047393" customFormat="1" x14ac:dyDescent="0.15"/>
    <row r="1047394" customFormat="1" x14ac:dyDescent="0.15"/>
    <row r="1047395" customFormat="1" x14ac:dyDescent="0.15"/>
    <row r="1047396" customFormat="1" x14ac:dyDescent="0.15"/>
    <row r="1047397" customFormat="1" x14ac:dyDescent="0.15"/>
    <row r="1047398" customFormat="1" x14ac:dyDescent="0.15"/>
    <row r="1047399" customFormat="1" x14ac:dyDescent="0.15"/>
    <row r="1047400" customFormat="1" x14ac:dyDescent="0.15"/>
    <row r="1047401" customFormat="1" x14ac:dyDescent="0.15"/>
    <row r="1047402" customFormat="1" x14ac:dyDescent="0.15"/>
    <row r="1047403" customFormat="1" x14ac:dyDescent="0.15"/>
    <row r="1047404" customFormat="1" x14ac:dyDescent="0.15"/>
    <row r="1047405" customFormat="1" x14ac:dyDescent="0.15"/>
    <row r="1047406" customFormat="1" x14ac:dyDescent="0.15"/>
    <row r="1047407" customFormat="1" x14ac:dyDescent="0.15"/>
    <row r="1047408" customFormat="1" x14ac:dyDescent="0.15"/>
    <row r="1047409" customFormat="1" x14ac:dyDescent="0.15"/>
    <row r="1047410" customFormat="1" x14ac:dyDescent="0.15"/>
    <row r="1047411" customFormat="1" x14ac:dyDescent="0.15"/>
    <row r="1047412" customFormat="1" x14ac:dyDescent="0.15"/>
    <row r="1047413" customFormat="1" x14ac:dyDescent="0.15"/>
    <row r="1047414" customFormat="1" x14ac:dyDescent="0.15"/>
    <row r="1047415" customFormat="1" x14ac:dyDescent="0.15"/>
    <row r="1047416" customFormat="1" x14ac:dyDescent="0.15"/>
    <row r="1047417" customFormat="1" x14ac:dyDescent="0.15"/>
    <row r="1047418" customFormat="1" x14ac:dyDescent="0.15"/>
    <row r="1047419" customFormat="1" x14ac:dyDescent="0.15"/>
    <row r="1047420" customFormat="1" x14ac:dyDescent="0.15"/>
    <row r="1047421" customFormat="1" x14ac:dyDescent="0.15"/>
    <row r="1047422" customFormat="1" x14ac:dyDescent="0.15"/>
    <row r="1047423" customFormat="1" x14ac:dyDescent="0.15"/>
    <row r="1047424" customFormat="1" x14ac:dyDescent="0.15"/>
    <row r="1047425" customFormat="1" x14ac:dyDescent="0.15"/>
    <row r="1047426" customFormat="1" x14ac:dyDescent="0.15"/>
    <row r="1047427" customFormat="1" x14ac:dyDescent="0.15"/>
    <row r="1047428" customFormat="1" x14ac:dyDescent="0.15"/>
    <row r="1047429" customFormat="1" x14ac:dyDescent="0.15"/>
    <row r="1047430" customFormat="1" x14ac:dyDescent="0.15"/>
    <row r="1047431" customFormat="1" x14ac:dyDescent="0.15"/>
    <row r="1047432" customFormat="1" x14ac:dyDescent="0.15"/>
    <row r="1047433" customFormat="1" x14ac:dyDescent="0.15"/>
    <row r="1047434" customFormat="1" x14ac:dyDescent="0.15"/>
    <row r="1047435" customFormat="1" x14ac:dyDescent="0.15"/>
    <row r="1047436" customFormat="1" x14ac:dyDescent="0.15"/>
    <row r="1047437" customFormat="1" x14ac:dyDescent="0.15"/>
    <row r="1047438" customFormat="1" x14ac:dyDescent="0.15"/>
    <row r="1047439" customFormat="1" x14ac:dyDescent="0.15"/>
    <row r="1047440" customFormat="1" x14ac:dyDescent="0.15"/>
    <row r="1047441" customFormat="1" x14ac:dyDescent="0.15"/>
    <row r="1047442" customFormat="1" x14ac:dyDescent="0.15"/>
    <row r="1047443" customFormat="1" x14ac:dyDescent="0.15"/>
    <row r="1047444" customFormat="1" x14ac:dyDescent="0.15"/>
    <row r="1047445" customFormat="1" x14ac:dyDescent="0.15"/>
    <row r="1047446" customFormat="1" x14ac:dyDescent="0.15"/>
    <row r="1047447" customFormat="1" x14ac:dyDescent="0.15"/>
    <row r="1047448" customFormat="1" x14ac:dyDescent="0.15"/>
    <row r="1047449" customFormat="1" x14ac:dyDescent="0.15"/>
    <row r="1047450" customFormat="1" x14ac:dyDescent="0.15"/>
    <row r="1047451" customFormat="1" x14ac:dyDescent="0.15"/>
    <row r="1047452" customFormat="1" x14ac:dyDescent="0.15"/>
    <row r="1047453" customFormat="1" x14ac:dyDescent="0.15"/>
    <row r="1047454" customFormat="1" x14ac:dyDescent="0.15"/>
    <row r="1047455" customFormat="1" x14ac:dyDescent="0.15"/>
    <row r="1047456" customFormat="1" x14ac:dyDescent="0.15"/>
    <row r="1047457" customFormat="1" x14ac:dyDescent="0.15"/>
    <row r="1047458" customFormat="1" x14ac:dyDescent="0.15"/>
    <row r="1047459" customFormat="1" x14ac:dyDescent="0.15"/>
    <row r="1047460" customFormat="1" x14ac:dyDescent="0.15"/>
    <row r="1047461" customFormat="1" x14ac:dyDescent="0.15"/>
    <row r="1047462" customFormat="1" x14ac:dyDescent="0.15"/>
    <row r="1047463" customFormat="1" x14ac:dyDescent="0.15"/>
    <row r="1047464" customFormat="1" x14ac:dyDescent="0.15"/>
    <row r="1047465" customFormat="1" x14ac:dyDescent="0.15"/>
    <row r="1047466" customFormat="1" x14ac:dyDescent="0.15"/>
    <row r="1047467" customFormat="1" x14ac:dyDescent="0.15"/>
    <row r="1047468" customFormat="1" x14ac:dyDescent="0.15"/>
    <row r="1047469" customFormat="1" x14ac:dyDescent="0.15"/>
    <row r="1047470" customFormat="1" x14ac:dyDescent="0.15"/>
    <row r="1047471" customFormat="1" x14ac:dyDescent="0.15"/>
    <row r="1047472" customFormat="1" x14ac:dyDescent="0.15"/>
    <row r="1047473" customFormat="1" x14ac:dyDescent="0.15"/>
    <row r="1047474" customFormat="1" x14ac:dyDescent="0.15"/>
    <row r="1047475" customFormat="1" x14ac:dyDescent="0.15"/>
    <row r="1047476" customFormat="1" x14ac:dyDescent="0.15"/>
    <row r="1047477" customFormat="1" x14ac:dyDescent="0.15"/>
    <row r="1047478" customFormat="1" x14ac:dyDescent="0.15"/>
    <row r="1047479" customFormat="1" x14ac:dyDescent="0.15"/>
    <row r="1047480" customFormat="1" x14ac:dyDescent="0.15"/>
    <row r="1047481" customFormat="1" x14ac:dyDescent="0.15"/>
    <row r="1047482" customFormat="1" x14ac:dyDescent="0.15"/>
    <row r="1047483" customFormat="1" x14ac:dyDescent="0.15"/>
    <row r="1047484" customFormat="1" x14ac:dyDescent="0.15"/>
    <row r="1047485" customFormat="1" x14ac:dyDescent="0.15"/>
    <row r="1047486" customFormat="1" x14ac:dyDescent="0.15"/>
    <row r="1047487" customFormat="1" x14ac:dyDescent="0.15"/>
    <row r="1047488" customFormat="1" x14ac:dyDescent="0.15"/>
    <row r="1047489" customFormat="1" x14ac:dyDescent="0.15"/>
    <row r="1047490" customFormat="1" x14ac:dyDescent="0.15"/>
    <row r="1047491" customFormat="1" x14ac:dyDescent="0.15"/>
    <row r="1047492" customFormat="1" x14ac:dyDescent="0.15"/>
    <row r="1047493" customFormat="1" x14ac:dyDescent="0.15"/>
    <row r="1047494" customFormat="1" x14ac:dyDescent="0.15"/>
    <row r="1047495" customFormat="1" x14ac:dyDescent="0.15"/>
    <row r="1047496" customFormat="1" x14ac:dyDescent="0.15"/>
    <row r="1047497" customFormat="1" x14ac:dyDescent="0.15"/>
    <row r="1047498" customFormat="1" x14ac:dyDescent="0.15"/>
    <row r="1047499" customFormat="1" x14ac:dyDescent="0.15"/>
    <row r="1047500" customFormat="1" x14ac:dyDescent="0.15"/>
    <row r="1047501" customFormat="1" x14ac:dyDescent="0.15"/>
    <row r="1047502" customFormat="1" x14ac:dyDescent="0.15"/>
    <row r="1047503" customFormat="1" x14ac:dyDescent="0.15"/>
    <row r="1047504" customFormat="1" x14ac:dyDescent="0.15"/>
    <row r="1047505" customFormat="1" x14ac:dyDescent="0.15"/>
    <row r="1047506" customFormat="1" x14ac:dyDescent="0.15"/>
    <row r="1047507" customFormat="1" x14ac:dyDescent="0.15"/>
    <row r="1047508" customFormat="1" x14ac:dyDescent="0.15"/>
    <row r="1047509" customFormat="1" x14ac:dyDescent="0.15"/>
    <row r="1047510" customFormat="1" x14ac:dyDescent="0.15"/>
    <row r="1047511" customFormat="1" x14ac:dyDescent="0.15"/>
    <row r="1047512" customFormat="1" x14ac:dyDescent="0.15"/>
    <row r="1047513" customFormat="1" x14ac:dyDescent="0.15"/>
    <row r="1047514" customFormat="1" x14ac:dyDescent="0.15"/>
    <row r="1047515" customFormat="1" x14ac:dyDescent="0.15"/>
    <row r="1047516" customFormat="1" x14ac:dyDescent="0.15"/>
    <row r="1047517" customFormat="1" x14ac:dyDescent="0.15"/>
    <row r="1047518" customFormat="1" x14ac:dyDescent="0.15"/>
    <row r="1047519" customFormat="1" x14ac:dyDescent="0.15"/>
    <row r="1047520" customFormat="1" x14ac:dyDescent="0.15"/>
    <row r="1047521" customFormat="1" x14ac:dyDescent="0.15"/>
    <row r="1047522" customFormat="1" x14ac:dyDescent="0.15"/>
    <row r="1047523" customFormat="1" x14ac:dyDescent="0.15"/>
    <row r="1047524" customFormat="1" x14ac:dyDescent="0.15"/>
    <row r="1047525" customFormat="1" x14ac:dyDescent="0.15"/>
    <row r="1047526" customFormat="1" x14ac:dyDescent="0.15"/>
    <row r="1047527" customFormat="1" x14ac:dyDescent="0.15"/>
    <row r="1047528" customFormat="1" x14ac:dyDescent="0.15"/>
    <row r="1047529" customFormat="1" x14ac:dyDescent="0.15"/>
    <row r="1047530" customFormat="1" x14ac:dyDescent="0.15"/>
    <row r="1047531" customFormat="1" x14ac:dyDescent="0.15"/>
    <row r="1047532" customFormat="1" x14ac:dyDescent="0.15"/>
    <row r="1047533" customFormat="1" x14ac:dyDescent="0.15"/>
    <row r="1047534" customFormat="1" x14ac:dyDescent="0.15"/>
    <row r="1047535" customFormat="1" x14ac:dyDescent="0.15"/>
    <row r="1047536" customFormat="1" x14ac:dyDescent="0.15"/>
    <row r="1047537" customFormat="1" x14ac:dyDescent="0.15"/>
    <row r="1047538" customFormat="1" x14ac:dyDescent="0.15"/>
    <row r="1047539" customFormat="1" x14ac:dyDescent="0.15"/>
    <row r="1047540" customFormat="1" x14ac:dyDescent="0.15"/>
    <row r="1047541" customFormat="1" x14ac:dyDescent="0.15"/>
    <row r="1047542" customFormat="1" x14ac:dyDescent="0.15"/>
    <row r="1047543" customFormat="1" x14ac:dyDescent="0.15"/>
    <row r="1047544" customFormat="1" x14ac:dyDescent="0.15"/>
    <row r="1047545" customFormat="1" x14ac:dyDescent="0.15"/>
    <row r="1047546" customFormat="1" x14ac:dyDescent="0.15"/>
    <row r="1047547" customFormat="1" x14ac:dyDescent="0.15"/>
    <row r="1047548" customFormat="1" x14ac:dyDescent="0.15"/>
    <row r="1047549" customFormat="1" x14ac:dyDescent="0.15"/>
    <row r="1047550" customFormat="1" x14ac:dyDescent="0.15"/>
    <row r="1047551" customFormat="1" x14ac:dyDescent="0.15"/>
    <row r="1047552" customFormat="1" x14ac:dyDescent="0.15"/>
    <row r="1047553" customFormat="1" x14ac:dyDescent="0.15"/>
    <row r="1047554" customFormat="1" x14ac:dyDescent="0.15"/>
    <row r="1047555" customFormat="1" x14ac:dyDescent="0.15"/>
    <row r="1047556" customFormat="1" x14ac:dyDescent="0.15"/>
    <row r="1047557" customFormat="1" x14ac:dyDescent="0.15"/>
    <row r="1047558" customFormat="1" x14ac:dyDescent="0.15"/>
    <row r="1047559" customFormat="1" x14ac:dyDescent="0.15"/>
    <row r="1047560" customFormat="1" x14ac:dyDescent="0.15"/>
    <row r="1047561" customFormat="1" x14ac:dyDescent="0.15"/>
    <row r="1047562" customFormat="1" x14ac:dyDescent="0.15"/>
    <row r="1047563" customFormat="1" x14ac:dyDescent="0.15"/>
    <row r="1047564" customFormat="1" x14ac:dyDescent="0.15"/>
    <row r="1047565" customFormat="1" x14ac:dyDescent="0.15"/>
    <row r="1047566" customFormat="1" x14ac:dyDescent="0.15"/>
    <row r="1047567" customFormat="1" x14ac:dyDescent="0.15"/>
    <row r="1047568" customFormat="1" x14ac:dyDescent="0.15"/>
    <row r="1047569" customFormat="1" x14ac:dyDescent="0.15"/>
    <row r="1047570" customFormat="1" x14ac:dyDescent="0.15"/>
    <row r="1047571" customFormat="1" x14ac:dyDescent="0.15"/>
    <row r="1047572" customFormat="1" x14ac:dyDescent="0.15"/>
    <row r="1047573" customFormat="1" x14ac:dyDescent="0.15"/>
    <row r="1047574" customFormat="1" x14ac:dyDescent="0.15"/>
    <row r="1047575" customFormat="1" x14ac:dyDescent="0.15"/>
    <row r="1047576" customFormat="1" x14ac:dyDescent="0.15"/>
    <row r="1047577" customFormat="1" x14ac:dyDescent="0.15"/>
    <row r="1047578" customFormat="1" x14ac:dyDescent="0.15"/>
    <row r="1047579" customFormat="1" x14ac:dyDescent="0.15"/>
    <row r="1047580" customFormat="1" x14ac:dyDescent="0.15"/>
    <row r="1047581" customFormat="1" x14ac:dyDescent="0.15"/>
    <row r="1047582" customFormat="1" x14ac:dyDescent="0.15"/>
    <row r="1047583" customFormat="1" x14ac:dyDescent="0.15"/>
    <row r="1047584" customFormat="1" x14ac:dyDescent="0.15"/>
    <row r="1047585" customFormat="1" x14ac:dyDescent="0.15"/>
    <row r="1047586" customFormat="1" x14ac:dyDescent="0.15"/>
    <row r="1047587" customFormat="1" x14ac:dyDescent="0.15"/>
    <row r="1047588" customFormat="1" x14ac:dyDescent="0.15"/>
    <row r="1047589" customFormat="1" x14ac:dyDescent="0.15"/>
    <row r="1047590" customFormat="1" x14ac:dyDescent="0.15"/>
    <row r="1047591" customFormat="1" x14ac:dyDescent="0.15"/>
    <row r="1047592" customFormat="1" x14ac:dyDescent="0.15"/>
    <row r="1047593" customFormat="1" x14ac:dyDescent="0.15"/>
    <row r="1047594" customFormat="1" x14ac:dyDescent="0.15"/>
    <row r="1047595" customFormat="1" x14ac:dyDescent="0.15"/>
    <row r="1047596" customFormat="1" x14ac:dyDescent="0.15"/>
    <row r="1047597" customFormat="1" x14ac:dyDescent="0.15"/>
    <row r="1047598" customFormat="1" x14ac:dyDescent="0.15"/>
    <row r="1047599" customFormat="1" x14ac:dyDescent="0.15"/>
    <row r="1047600" customFormat="1" x14ac:dyDescent="0.15"/>
    <row r="1047601" customFormat="1" x14ac:dyDescent="0.15"/>
    <row r="1047602" customFormat="1" x14ac:dyDescent="0.15"/>
    <row r="1047603" customFormat="1" x14ac:dyDescent="0.15"/>
    <row r="1047604" customFormat="1" x14ac:dyDescent="0.15"/>
    <row r="1047605" customFormat="1" x14ac:dyDescent="0.15"/>
    <row r="1047606" customFormat="1" x14ac:dyDescent="0.15"/>
    <row r="1047607" customFormat="1" x14ac:dyDescent="0.15"/>
    <row r="1047608" customFormat="1" x14ac:dyDescent="0.15"/>
    <row r="1047609" customFormat="1" x14ac:dyDescent="0.15"/>
    <row r="1047610" customFormat="1" x14ac:dyDescent="0.15"/>
    <row r="1047611" customFormat="1" x14ac:dyDescent="0.15"/>
    <row r="1047612" customFormat="1" x14ac:dyDescent="0.15"/>
    <row r="1047613" customFormat="1" x14ac:dyDescent="0.15"/>
    <row r="1047614" customFormat="1" x14ac:dyDescent="0.15"/>
    <row r="1047615" customFormat="1" x14ac:dyDescent="0.15"/>
    <row r="1047616" customFormat="1" x14ac:dyDescent="0.15"/>
    <row r="1047617" customFormat="1" x14ac:dyDescent="0.15"/>
    <row r="1047618" customFormat="1" x14ac:dyDescent="0.15"/>
    <row r="1047619" customFormat="1" x14ac:dyDescent="0.15"/>
    <row r="1047620" customFormat="1" x14ac:dyDescent="0.15"/>
    <row r="1047621" customFormat="1" x14ac:dyDescent="0.15"/>
    <row r="1047622" customFormat="1" x14ac:dyDescent="0.15"/>
    <row r="1047623" customFormat="1" x14ac:dyDescent="0.15"/>
    <row r="1047624" customFormat="1" x14ac:dyDescent="0.15"/>
    <row r="1047625" customFormat="1" x14ac:dyDescent="0.15"/>
    <row r="1047626" customFormat="1" x14ac:dyDescent="0.15"/>
    <row r="1047627" customFormat="1" x14ac:dyDescent="0.15"/>
    <row r="1047628" customFormat="1" x14ac:dyDescent="0.15"/>
    <row r="1047629" customFormat="1" x14ac:dyDescent="0.15"/>
    <row r="1047630" customFormat="1" x14ac:dyDescent="0.15"/>
    <row r="1047631" customFormat="1" x14ac:dyDescent="0.15"/>
    <row r="1047632" customFormat="1" x14ac:dyDescent="0.15"/>
    <row r="1047633" customFormat="1" x14ac:dyDescent="0.15"/>
    <row r="1047634" customFormat="1" x14ac:dyDescent="0.15"/>
    <row r="1047635" customFormat="1" x14ac:dyDescent="0.15"/>
    <row r="1047636" customFormat="1" x14ac:dyDescent="0.15"/>
    <row r="1047637" customFormat="1" x14ac:dyDescent="0.15"/>
    <row r="1047638" customFormat="1" x14ac:dyDescent="0.15"/>
    <row r="1047639" customFormat="1" x14ac:dyDescent="0.15"/>
    <row r="1047640" customFormat="1" x14ac:dyDescent="0.15"/>
    <row r="1047641" customFormat="1" x14ac:dyDescent="0.15"/>
    <row r="1047642" customFormat="1" x14ac:dyDescent="0.15"/>
    <row r="1047643" customFormat="1" x14ac:dyDescent="0.15"/>
    <row r="1047644" customFormat="1" x14ac:dyDescent="0.15"/>
    <row r="1047645" customFormat="1" x14ac:dyDescent="0.15"/>
    <row r="1047646" customFormat="1" x14ac:dyDescent="0.15"/>
    <row r="1047647" customFormat="1" x14ac:dyDescent="0.15"/>
    <row r="1047648" customFormat="1" x14ac:dyDescent="0.15"/>
    <row r="1047649" customFormat="1" x14ac:dyDescent="0.15"/>
    <row r="1047650" customFormat="1" x14ac:dyDescent="0.15"/>
    <row r="1047651" customFormat="1" x14ac:dyDescent="0.15"/>
    <row r="1047652" customFormat="1" x14ac:dyDescent="0.15"/>
    <row r="1047653" customFormat="1" x14ac:dyDescent="0.15"/>
    <row r="1047654" customFormat="1" x14ac:dyDescent="0.15"/>
    <row r="1047655" customFormat="1" x14ac:dyDescent="0.15"/>
    <row r="1047656" customFormat="1" x14ac:dyDescent="0.15"/>
    <row r="1047657" customFormat="1" x14ac:dyDescent="0.15"/>
    <row r="1047658" customFormat="1" x14ac:dyDescent="0.15"/>
    <row r="1047659" customFormat="1" x14ac:dyDescent="0.15"/>
    <row r="1047660" customFormat="1" x14ac:dyDescent="0.15"/>
    <row r="1047661" customFormat="1" x14ac:dyDescent="0.15"/>
    <row r="1047662" customFormat="1" x14ac:dyDescent="0.15"/>
    <row r="1047663" customFormat="1" x14ac:dyDescent="0.15"/>
    <row r="1047664" customFormat="1" x14ac:dyDescent="0.15"/>
    <row r="1047665" customFormat="1" x14ac:dyDescent="0.15"/>
    <row r="1047666" customFormat="1" x14ac:dyDescent="0.15"/>
    <row r="1047667" customFormat="1" x14ac:dyDescent="0.15"/>
    <row r="1047668" customFormat="1" x14ac:dyDescent="0.15"/>
    <row r="1047669" customFormat="1" x14ac:dyDescent="0.15"/>
    <row r="1047670" customFormat="1" x14ac:dyDescent="0.15"/>
    <row r="1047671" customFormat="1" x14ac:dyDescent="0.15"/>
    <row r="1047672" customFormat="1" x14ac:dyDescent="0.15"/>
    <row r="1047673" customFormat="1" x14ac:dyDescent="0.15"/>
    <row r="1047674" customFormat="1" x14ac:dyDescent="0.15"/>
    <row r="1047675" customFormat="1" x14ac:dyDescent="0.15"/>
    <row r="1047676" customFormat="1" x14ac:dyDescent="0.15"/>
    <row r="1047677" customFormat="1" x14ac:dyDescent="0.15"/>
    <row r="1047678" customFormat="1" x14ac:dyDescent="0.15"/>
    <row r="1047679" customFormat="1" x14ac:dyDescent="0.15"/>
    <row r="1047680" customFormat="1" x14ac:dyDescent="0.15"/>
    <row r="1047681" customFormat="1" x14ac:dyDescent="0.15"/>
    <row r="1047682" customFormat="1" x14ac:dyDescent="0.15"/>
    <row r="1047683" customFormat="1" x14ac:dyDescent="0.15"/>
    <row r="1047684" customFormat="1" x14ac:dyDescent="0.15"/>
    <row r="1047685" customFormat="1" x14ac:dyDescent="0.15"/>
    <row r="1047686" customFormat="1" x14ac:dyDescent="0.15"/>
    <row r="1047687" customFormat="1" x14ac:dyDescent="0.15"/>
    <row r="1047688" customFormat="1" x14ac:dyDescent="0.15"/>
    <row r="1047689" customFormat="1" x14ac:dyDescent="0.15"/>
    <row r="1047690" customFormat="1" x14ac:dyDescent="0.15"/>
    <row r="1047691" customFormat="1" x14ac:dyDescent="0.15"/>
    <row r="1047692" customFormat="1" x14ac:dyDescent="0.15"/>
    <row r="1047693" customFormat="1" x14ac:dyDescent="0.15"/>
    <row r="1047694" customFormat="1" x14ac:dyDescent="0.15"/>
    <row r="1047695" customFormat="1" x14ac:dyDescent="0.15"/>
    <row r="1047696" customFormat="1" x14ac:dyDescent="0.15"/>
    <row r="1047697" customFormat="1" x14ac:dyDescent="0.15"/>
    <row r="1047698" customFormat="1" x14ac:dyDescent="0.15"/>
    <row r="1047699" customFormat="1" x14ac:dyDescent="0.15"/>
    <row r="1047700" customFormat="1" x14ac:dyDescent="0.15"/>
    <row r="1047701" customFormat="1" x14ac:dyDescent="0.15"/>
    <row r="1047702" customFormat="1" x14ac:dyDescent="0.15"/>
    <row r="1047703" customFormat="1" x14ac:dyDescent="0.15"/>
    <row r="1047704" customFormat="1" x14ac:dyDescent="0.15"/>
    <row r="1047705" customFormat="1" x14ac:dyDescent="0.15"/>
    <row r="1047706" customFormat="1" x14ac:dyDescent="0.15"/>
    <row r="1047707" customFormat="1" x14ac:dyDescent="0.15"/>
    <row r="1047708" customFormat="1" x14ac:dyDescent="0.15"/>
    <row r="1047709" customFormat="1" x14ac:dyDescent="0.15"/>
    <row r="1047710" customFormat="1" x14ac:dyDescent="0.15"/>
    <row r="1047711" customFormat="1" x14ac:dyDescent="0.15"/>
    <row r="1047712" customFormat="1" x14ac:dyDescent="0.15"/>
    <row r="1047713" customFormat="1" x14ac:dyDescent="0.15"/>
    <row r="1047714" customFormat="1" x14ac:dyDescent="0.15"/>
    <row r="1047715" customFormat="1" x14ac:dyDescent="0.15"/>
    <row r="1047716" customFormat="1" x14ac:dyDescent="0.15"/>
    <row r="1047717" customFormat="1" x14ac:dyDescent="0.15"/>
    <row r="1047718" customFormat="1" x14ac:dyDescent="0.15"/>
    <row r="1047719" customFormat="1" x14ac:dyDescent="0.15"/>
    <row r="1047720" customFormat="1" x14ac:dyDescent="0.15"/>
    <row r="1047721" customFormat="1" x14ac:dyDescent="0.15"/>
    <row r="1047722" customFormat="1" x14ac:dyDescent="0.15"/>
    <row r="1047723" customFormat="1" x14ac:dyDescent="0.15"/>
    <row r="1047724" customFormat="1" x14ac:dyDescent="0.15"/>
    <row r="1047725" customFormat="1" x14ac:dyDescent="0.15"/>
    <row r="1047726" customFormat="1" x14ac:dyDescent="0.15"/>
    <row r="1047727" customFormat="1" x14ac:dyDescent="0.15"/>
    <row r="1047728" customFormat="1" x14ac:dyDescent="0.15"/>
    <row r="1047729" customFormat="1" x14ac:dyDescent="0.15"/>
    <row r="1047730" customFormat="1" x14ac:dyDescent="0.15"/>
    <row r="1047731" customFormat="1" x14ac:dyDescent="0.15"/>
    <row r="1047732" customFormat="1" x14ac:dyDescent="0.15"/>
    <row r="1047733" customFormat="1" x14ac:dyDescent="0.15"/>
    <row r="1047734" customFormat="1" x14ac:dyDescent="0.15"/>
    <row r="1047735" customFormat="1" x14ac:dyDescent="0.15"/>
    <row r="1047736" customFormat="1" x14ac:dyDescent="0.15"/>
    <row r="1047737" customFormat="1" x14ac:dyDescent="0.15"/>
    <row r="1047738" customFormat="1" x14ac:dyDescent="0.15"/>
    <row r="1047739" customFormat="1" x14ac:dyDescent="0.15"/>
    <row r="1047740" customFormat="1" x14ac:dyDescent="0.15"/>
    <row r="1047741" customFormat="1" x14ac:dyDescent="0.15"/>
    <row r="1047742" customFormat="1" x14ac:dyDescent="0.15"/>
    <row r="1047743" customFormat="1" x14ac:dyDescent="0.15"/>
    <row r="1047744" customFormat="1" x14ac:dyDescent="0.15"/>
    <row r="1047745" customFormat="1" x14ac:dyDescent="0.15"/>
    <row r="1047746" customFormat="1" x14ac:dyDescent="0.15"/>
    <row r="1047747" customFormat="1" x14ac:dyDescent="0.15"/>
    <row r="1047748" customFormat="1" x14ac:dyDescent="0.15"/>
    <row r="1047749" customFormat="1" x14ac:dyDescent="0.15"/>
    <row r="1047750" customFormat="1" x14ac:dyDescent="0.15"/>
    <row r="1047751" customFormat="1" x14ac:dyDescent="0.15"/>
    <row r="1047752" customFormat="1" x14ac:dyDescent="0.15"/>
    <row r="1047753" customFormat="1" x14ac:dyDescent="0.15"/>
    <row r="1047754" customFormat="1" x14ac:dyDescent="0.15"/>
    <row r="1047755" customFormat="1" x14ac:dyDescent="0.15"/>
    <row r="1047756" customFormat="1" x14ac:dyDescent="0.15"/>
    <row r="1047757" customFormat="1" x14ac:dyDescent="0.15"/>
    <row r="1047758" customFormat="1" x14ac:dyDescent="0.15"/>
    <row r="1047759" customFormat="1" x14ac:dyDescent="0.15"/>
    <row r="1047760" customFormat="1" x14ac:dyDescent="0.15"/>
    <row r="1047761" customFormat="1" x14ac:dyDescent="0.15"/>
    <row r="1047762" customFormat="1" x14ac:dyDescent="0.15"/>
    <row r="1047763" customFormat="1" x14ac:dyDescent="0.15"/>
    <row r="1047764" customFormat="1" x14ac:dyDescent="0.15"/>
    <row r="1047765" customFormat="1" x14ac:dyDescent="0.15"/>
    <row r="1047766" customFormat="1" x14ac:dyDescent="0.15"/>
    <row r="1047767" customFormat="1" x14ac:dyDescent="0.15"/>
    <row r="1047768" customFormat="1" x14ac:dyDescent="0.15"/>
    <row r="1047769" customFormat="1" x14ac:dyDescent="0.15"/>
    <row r="1047770" customFormat="1" x14ac:dyDescent="0.15"/>
    <row r="1047771" customFormat="1" x14ac:dyDescent="0.15"/>
    <row r="1047772" customFormat="1" x14ac:dyDescent="0.15"/>
    <row r="1047773" customFormat="1" x14ac:dyDescent="0.15"/>
    <row r="1047774" customFormat="1" x14ac:dyDescent="0.15"/>
    <row r="1047775" customFormat="1" x14ac:dyDescent="0.15"/>
    <row r="1047776" customFormat="1" x14ac:dyDescent="0.15"/>
    <row r="1047777" customFormat="1" x14ac:dyDescent="0.15"/>
    <row r="1047778" customFormat="1" x14ac:dyDescent="0.15"/>
    <row r="1047779" customFormat="1" x14ac:dyDescent="0.15"/>
    <row r="1047780" customFormat="1" x14ac:dyDescent="0.15"/>
    <row r="1047781" customFormat="1" x14ac:dyDescent="0.15"/>
    <row r="1047782" customFormat="1" x14ac:dyDescent="0.15"/>
    <row r="1047783" customFormat="1" x14ac:dyDescent="0.15"/>
    <row r="1047784" customFormat="1" x14ac:dyDescent="0.15"/>
    <row r="1047785" customFormat="1" x14ac:dyDescent="0.15"/>
    <row r="1047786" customFormat="1" x14ac:dyDescent="0.15"/>
    <row r="1047787" customFormat="1" x14ac:dyDescent="0.15"/>
    <row r="1047788" customFormat="1" x14ac:dyDescent="0.15"/>
    <row r="1047789" customFormat="1" x14ac:dyDescent="0.15"/>
    <row r="1047790" customFormat="1" x14ac:dyDescent="0.15"/>
    <row r="1047791" customFormat="1" x14ac:dyDescent="0.15"/>
    <row r="1047792" customFormat="1" x14ac:dyDescent="0.15"/>
    <row r="1047793" customFormat="1" x14ac:dyDescent="0.15"/>
    <row r="1047794" customFormat="1" x14ac:dyDescent="0.15"/>
    <row r="1047795" customFormat="1" x14ac:dyDescent="0.15"/>
    <row r="1047796" customFormat="1" x14ac:dyDescent="0.15"/>
    <row r="1047797" customFormat="1" x14ac:dyDescent="0.15"/>
    <row r="1047798" customFormat="1" x14ac:dyDescent="0.15"/>
    <row r="1047799" customFormat="1" x14ac:dyDescent="0.15"/>
    <row r="1047800" customFormat="1" x14ac:dyDescent="0.15"/>
    <row r="1047801" customFormat="1" x14ac:dyDescent="0.15"/>
    <row r="1047802" customFormat="1" x14ac:dyDescent="0.15"/>
    <row r="1047803" customFormat="1" x14ac:dyDescent="0.15"/>
    <row r="1047804" customFormat="1" x14ac:dyDescent="0.15"/>
    <row r="1047805" customFormat="1" x14ac:dyDescent="0.15"/>
    <row r="1047806" customFormat="1" x14ac:dyDescent="0.15"/>
    <row r="1047807" customFormat="1" x14ac:dyDescent="0.15"/>
    <row r="1047808" customFormat="1" x14ac:dyDescent="0.15"/>
    <row r="1047809" customFormat="1" x14ac:dyDescent="0.15"/>
    <row r="1047810" customFormat="1" x14ac:dyDescent="0.15"/>
    <row r="1047811" customFormat="1" x14ac:dyDescent="0.15"/>
    <row r="1047812" customFormat="1" x14ac:dyDescent="0.15"/>
    <row r="1047813" customFormat="1" x14ac:dyDescent="0.15"/>
    <row r="1047814" customFormat="1" x14ac:dyDescent="0.15"/>
    <row r="1047815" customFormat="1" x14ac:dyDescent="0.15"/>
    <row r="1047816" customFormat="1" x14ac:dyDescent="0.15"/>
    <row r="1047817" customFormat="1" x14ac:dyDescent="0.15"/>
    <row r="1047818" customFormat="1" x14ac:dyDescent="0.15"/>
    <row r="1047819" customFormat="1" x14ac:dyDescent="0.15"/>
    <row r="1047820" customFormat="1" x14ac:dyDescent="0.15"/>
    <row r="1047821" customFormat="1" x14ac:dyDescent="0.15"/>
    <row r="1047822" customFormat="1" x14ac:dyDescent="0.15"/>
    <row r="1047823" customFormat="1" x14ac:dyDescent="0.15"/>
    <row r="1047824" customFormat="1" x14ac:dyDescent="0.15"/>
    <row r="1047825" customFormat="1" x14ac:dyDescent="0.15"/>
    <row r="1047826" customFormat="1" x14ac:dyDescent="0.15"/>
    <row r="1047827" customFormat="1" x14ac:dyDescent="0.15"/>
    <row r="1047828" customFormat="1" x14ac:dyDescent="0.15"/>
    <row r="1047829" customFormat="1" x14ac:dyDescent="0.15"/>
    <row r="1047830" customFormat="1" x14ac:dyDescent="0.15"/>
    <row r="1047831" customFormat="1" x14ac:dyDescent="0.15"/>
    <row r="1047832" customFormat="1" x14ac:dyDescent="0.15"/>
    <row r="1047833" customFormat="1" x14ac:dyDescent="0.15"/>
    <row r="1047834" customFormat="1" x14ac:dyDescent="0.15"/>
    <row r="1047835" customFormat="1" x14ac:dyDescent="0.15"/>
    <row r="1047836" customFormat="1" x14ac:dyDescent="0.15"/>
    <row r="1047837" customFormat="1" x14ac:dyDescent="0.15"/>
    <row r="1047838" customFormat="1" x14ac:dyDescent="0.15"/>
    <row r="1047839" customFormat="1" x14ac:dyDescent="0.15"/>
    <row r="1047840" customFormat="1" x14ac:dyDescent="0.15"/>
    <row r="1047841" customFormat="1" x14ac:dyDescent="0.15"/>
    <row r="1047842" customFormat="1" x14ac:dyDescent="0.15"/>
    <row r="1047843" customFormat="1" x14ac:dyDescent="0.15"/>
    <row r="1047844" customFormat="1" x14ac:dyDescent="0.15"/>
    <row r="1047845" customFormat="1" x14ac:dyDescent="0.15"/>
    <row r="1047846" customFormat="1" x14ac:dyDescent="0.15"/>
    <row r="1047847" customFormat="1" x14ac:dyDescent="0.15"/>
    <row r="1047848" customFormat="1" x14ac:dyDescent="0.15"/>
    <row r="1047849" customFormat="1" x14ac:dyDescent="0.15"/>
    <row r="1047850" customFormat="1" x14ac:dyDescent="0.15"/>
    <row r="1047851" customFormat="1" x14ac:dyDescent="0.15"/>
    <row r="1047852" customFormat="1" x14ac:dyDescent="0.15"/>
    <row r="1047853" customFormat="1" x14ac:dyDescent="0.15"/>
    <row r="1047854" customFormat="1" x14ac:dyDescent="0.15"/>
    <row r="1047855" customFormat="1" x14ac:dyDescent="0.15"/>
    <row r="1047856" customFormat="1" x14ac:dyDescent="0.15"/>
    <row r="1047857" customFormat="1" x14ac:dyDescent="0.15"/>
    <row r="1047858" customFormat="1" x14ac:dyDescent="0.15"/>
    <row r="1047859" customFormat="1" x14ac:dyDescent="0.15"/>
    <row r="1047860" customFormat="1" x14ac:dyDescent="0.15"/>
    <row r="1047861" customFormat="1" x14ac:dyDescent="0.15"/>
    <row r="1047862" customFormat="1" x14ac:dyDescent="0.15"/>
    <row r="1047863" customFormat="1" x14ac:dyDescent="0.15"/>
    <row r="1047864" customFormat="1" x14ac:dyDescent="0.15"/>
    <row r="1047865" customFormat="1" x14ac:dyDescent="0.15"/>
    <row r="1047866" customFormat="1" x14ac:dyDescent="0.15"/>
    <row r="1047867" customFormat="1" x14ac:dyDescent="0.15"/>
    <row r="1047868" customFormat="1" x14ac:dyDescent="0.15"/>
    <row r="1047869" customFormat="1" x14ac:dyDescent="0.15"/>
    <row r="1047870" customFormat="1" x14ac:dyDescent="0.15"/>
    <row r="1047871" customFormat="1" x14ac:dyDescent="0.15"/>
    <row r="1047872" customFormat="1" x14ac:dyDescent="0.15"/>
    <row r="1047873" customFormat="1" x14ac:dyDescent="0.15"/>
    <row r="1047874" customFormat="1" x14ac:dyDescent="0.15"/>
    <row r="1047875" customFormat="1" x14ac:dyDescent="0.15"/>
    <row r="1047876" customFormat="1" x14ac:dyDescent="0.15"/>
    <row r="1047877" customFormat="1" x14ac:dyDescent="0.15"/>
    <row r="1047878" customFormat="1" x14ac:dyDescent="0.15"/>
    <row r="1047879" customFormat="1" x14ac:dyDescent="0.15"/>
    <row r="1047880" customFormat="1" x14ac:dyDescent="0.15"/>
    <row r="1047881" customFormat="1" x14ac:dyDescent="0.15"/>
    <row r="1047882" customFormat="1" x14ac:dyDescent="0.15"/>
    <row r="1047883" customFormat="1" x14ac:dyDescent="0.15"/>
    <row r="1047884" customFormat="1" x14ac:dyDescent="0.15"/>
    <row r="1047885" customFormat="1" x14ac:dyDescent="0.15"/>
    <row r="1047886" customFormat="1" x14ac:dyDescent="0.15"/>
    <row r="1047887" customFormat="1" x14ac:dyDescent="0.15"/>
    <row r="1047888" customFormat="1" x14ac:dyDescent="0.15"/>
    <row r="1047889" customFormat="1" x14ac:dyDescent="0.15"/>
    <row r="1047890" customFormat="1" x14ac:dyDescent="0.15"/>
    <row r="1047891" customFormat="1" x14ac:dyDescent="0.15"/>
    <row r="1047892" customFormat="1" x14ac:dyDescent="0.15"/>
    <row r="1047893" customFormat="1" x14ac:dyDescent="0.15"/>
    <row r="1047894" customFormat="1" x14ac:dyDescent="0.15"/>
    <row r="1047895" customFormat="1" x14ac:dyDescent="0.15"/>
    <row r="1047896" customFormat="1" x14ac:dyDescent="0.15"/>
    <row r="1047897" customFormat="1" x14ac:dyDescent="0.15"/>
    <row r="1047898" customFormat="1" x14ac:dyDescent="0.15"/>
    <row r="1047899" customFormat="1" x14ac:dyDescent="0.15"/>
    <row r="1047900" customFormat="1" x14ac:dyDescent="0.15"/>
    <row r="1047901" customFormat="1" x14ac:dyDescent="0.15"/>
    <row r="1047902" customFormat="1" x14ac:dyDescent="0.15"/>
    <row r="1047903" customFormat="1" x14ac:dyDescent="0.15"/>
    <row r="1047904" customFormat="1" x14ac:dyDescent="0.15"/>
    <row r="1047905" customFormat="1" x14ac:dyDescent="0.15"/>
    <row r="1047906" customFormat="1" x14ac:dyDescent="0.15"/>
    <row r="1047907" customFormat="1" x14ac:dyDescent="0.15"/>
    <row r="1047908" customFormat="1" x14ac:dyDescent="0.15"/>
    <row r="1047909" customFormat="1" x14ac:dyDescent="0.15"/>
    <row r="1047910" customFormat="1" x14ac:dyDescent="0.15"/>
    <row r="1047911" customFormat="1" x14ac:dyDescent="0.15"/>
    <row r="1047912" customFormat="1" x14ac:dyDescent="0.15"/>
    <row r="1047913" customFormat="1" x14ac:dyDescent="0.15"/>
    <row r="1047914" customFormat="1" x14ac:dyDescent="0.15"/>
    <row r="1047915" customFormat="1" x14ac:dyDescent="0.15"/>
    <row r="1047916" customFormat="1" x14ac:dyDescent="0.15"/>
    <row r="1047917" customFormat="1" x14ac:dyDescent="0.15"/>
    <row r="1047918" customFormat="1" x14ac:dyDescent="0.15"/>
    <row r="1047919" customFormat="1" x14ac:dyDescent="0.15"/>
    <row r="1047920" customFormat="1" x14ac:dyDescent="0.15"/>
    <row r="1047921" customFormat="1" x14ac:dyDescent="0.15"/>
    <row r="1047922" customFormat="1" x14ac:dyDescent="0.15"/>
    <row r="1047923" customFormat="1" x14ac:dyDescent="0.15"/>
    <row r="1047924" customFormat="1" x14ac:dyDescent="0.15"/>
    <row r="1047925" customFormat="1" x14ac:dyDescent="0.15"/>
    <row r="1047926" customFormat="1" x14ac:dyDescent="0.15"/>
    <row r="1047927" customFormat="1" x14ac:dyDescent="0.15"/>
    <row r="1047928" customFormat="1" x14ac:dyDescent="0.15"/>
    <row r="1047929" customFormat="1" x14ac:dyDescent="0.15"/>
    <row r="1047930" customFormat="1" x14ac:dyDescent="0.15"/>
    <row r="1047931" customFormat="1" x14ac:dyDescent="0.15"/>
    <row r="1047932" customFormat="1" x14ac:dyDescent="0.15"/>
    <row r="1047933" customFormat="1" x14ac:dyDescent="0.15"/>
    <row r="1047934" customFormat="1" x14ac:dyDescent="0.15"/>
    <row r="1047935" customFormat="1" x14ac:dyDescent="0.15"/>
    <row r="1047936" customFormat="1" x14ac:dyDescent="0.15"/>
    <row r="1047937" customFormat="1" x14ac:dyDescent="0.15"/>
    <row r="1047938" customFormat="1" x14ac:dyDescent="0.15"/>
    <row r="1047939" customFormat="1" x14ac:dyDescent="0.15"/>
    <row r="1047940" customFormat="1" x14ac:dyDescent="0.15"/>
    <row r="1047941" customFormat="1" x14ac:dyDescent="0.15"/>
    <row r="1047942" customFormat="1" x14ac:dyDescent="0.15"/>
    <row r="1047943" customFormat="1" x14ac:dyDescent="0.15"/>
    <row r="1047944" customFormat="1" x14ac:dyDescent="0.15"/>
    <row r="1047945" customFormat="1" x14ac:dyDescent="0.15"/>
    <row r="1047946" customFormat="1" x14ac:dyDescent="0.15"/>
    <row r="1047947" customFormat="1" x14ac:dyDescent="0.15"/>
    <row r="1047948" customFormat="1" x14ac:dyDescent="0.15"/>
    <row r="1047949" customFormat="1" x14ac:dyDescent="0.15"/>
    <row r="1047950" customFormat="1" x14ac:dyDescent="0.15"/>
    <row r="1047951" customFormat="1" x14ac:dyDescent="0.15"/>
    <row r="1047952" customFormat="1" x14ac:dyDescent="0.15"/>
    <row r="1047953" customFormat="1" x14ac:dyDescent="0.15"/>
    <row r="1047954" customFormat="1" x14ac:dyDescent="0.15"/>
    <row r="1047955" customFormat="1" x14ac:dyDescent="0.15"/>
    <row r="1047956" customFormat="1" x14ac:dyDescent="0.15"/>
    <row r="1047957" customFormat="1" x14ac:dyDescent="0.15"/>
    <row r="1047958" customFormat="1" x14ac:dyDescent="0.15"/>
    <row r="1047959" customFormat="1" x14ac:dyDescent="0.15"/>
    <row r="1047960" customFormat="1" x14ac:dyDescent="0.15"/>
    <row r="1047961" customFormat="1" x14ac:dyDescent="0.15"/>
    <row r="1047962" customFormat="1" x14ac:dyDescent="0.15"/>
    <row r="1047963" customFormat="1" x14ac:dyDescent="0.15"/>
    <row r="1047964" customFormat="1" x14ac:dyDescent="0.15"/>
    <row r="1047965" customFormat="1" x14ac:dyDescent="0.15"/>
    <row r="1047966" customFormat="1" x14ac:dyDescent="0.15"/>
    <row r="1047967" customFormat="1" x14ac:dyDescent="0.15"/>
    <row r="1047968" customFormat="1" x14ac:dyDescent="0.15"/>
    <row r="1047969" customFormat="1" x14ac:dyDescent="0.15"/>
    <row r="1047970" customFormat="1" x14ac:dyDescent="0.15"/>
    <row r="1047971" customFormat="1" x14ac:dyDescent="0.15"/>
    <row r="1047972" customFormat="1" x14ac:dyDescent="0.15"/>
    <row r="1047973" customFormat="1" x14ac:dyDescent="0.15"/>
    <row r="1047974" customFormat="1" x14ac:dyDescent="0.15"/>
    <row r="1047975" customFormat="1" x14ac:dyDescent="0.15"/>
    <row r="1047976" customFormat="1" x14ac:dyDescent="0.15"/>
    <row r="1047977" customFormat="1" x14ac:dyDescent="0.15"/>
    <row r="1047978" customFormat="1" x14ac:dyDescent="0.15"/>
    <row r="1047979" customFormat="1" x14ac:dyDescent="0.15"/>
    <row r="1047980" customFormat="1" x14ac:dyDescent="0.15"/>
    <row r="1047981" customFormat="1" x14ac:dyDescent="0.15"/>
    <row r="1047982" customFormat="1" x14ac:dyDescent="0.15"/>
    <row r="1047983" customFormat="1" x14ac:dyDescent="0.15"/>
    <row r="1047984" customFormat="1" x14ac:dyDescent="0.15"/>
    <row r="1047985" customFormat="1" x14ac:dyDescent="0.15"/>
    <row r="1047986" customFormat="1" x14ac:dyDescent="0.15"/>
    <row r="1047987" customFormat="1" x14ac:dyDescent="0.15"/>
    <row r="1047988" customFormat="1" x14ac:dyDescent="0.15"/>
    <row r="1047989" customFormat="1" x14ac:dyDescent="0.15"/>
    <row r="1047990" customFormat="1" x14ac:dyDescent="0.15"/>
    <row r="1047991" customFormat="1" x14ac:dyDescent="0.15"/>
    <row r="1047992" customFormat="1" x14ac:dyDescent="0.15"/>
    <row r="1047993" customFormat="1" x14ac:dyDescent="0.15"/>
    <row r="1047994" customFormat="1" x14ac:dyDescent="0.15"/>
    <row r="1047995" customFormat="1" x14ac:dyDescent="0.15"/>
    <row r="1047996" customFormat="1" x14ac:dyDescent="0.15"/>
    <row r="1047997" customFormat="1" x14ac:dyDescent="0.15"/>
    <row r="1047998" customFormat="1" x14ac:dyDescent="0.15"/>
    <row r="1047999" customFormat="1" x14ac:dyDescent="0.15"/>
    <row r="1048000" customFormat="1" x14ac:dyDescent="0.15"/>
    <row r="1048001" customFormat="1" x14ac:dyDescent="0.15"/>
    <row r="1048002" customFormat="1" x14ac:dyDescent="0.15"/>
    <row r="1048003" customFormat="1" x14ac:dyDescent="0.15"/>
    <row r="1048004" customFormat="1" x14ac:dyDescent="0.15"/>
    <row r="1048005" customFormat="1" x14ac:dyDescent="0.15"/>
    <row r="1048006" customFormat="1" x14ac:dyDescent="0.15"/>
    <row r="1048007" customFormat="1" x14ac:dyDescent="0.15"/>
    <row r="1048008" customFormat="1" x14ac:dyDescent="0.15"/>
    <row r="1048009" customFormat="1" x14ac:dyDescent="0.15"/>
    <row r="1048010" customFormat="1" x14ac:dyDescent="0.15"/>
    <row r="1048011" customFormat="1" x14ac:dyDescent="0.15"/>
    <row r="1048012" customFormat="1" x14ac:dyDescent="0.15"/>
    <row r="1048013" customFormat="1" x14ac:dyDescent="0.15"/>
    <row r="1048014" customFormat="1" x14ac:dyDescent="0.15"/>
    <row r="1048015" customFormat="1" x14ac:dyDescent="0.15"/>
    <row r="1048016" customFormat="1" x14ac:dyDescent="0.15"/>
    <row r="1048017" customFormat="1" x14ac:dyDescent="0.15"/>
    <row r="1048018" customFormat="1" x14ac:dyDescent="0.15"/>
    <row r="1048019" customFormat="1" x14ac:dyDescent="0.15"/>
    <row r="1048020" customFormat="1" x14ac:dyDescent="0.15"/>
    <row r="1048021" customFormat="1" x14ac:dyDescent="0.15"/>
    <row r="1048022" customFormat="1" x14ac:dyDescent="0.15"/>
    <row r="1048023" customFormat="1" x14ac:dyDescent="0.15"/>
    <row r="1048024" customFormat="1" x14ac:dyDescent="0.15"/>
    <row r="1048025" customFormat="1" x14ac:dyDescent="0.15"/>
    <row r="1048026" customFormat="1" x14ac:dyDescent="0.15"/>
    <row r="1048027" customFormat="1" x14ac:dyDescent="0.15"/>
    <row r="1048028" customFormat="1" x14ac:dyDescent="0.15"/>
    <row r="1048029" customFormat="1" x14ac:dyDescent="0.15"/>
    <row r="1048030" customFormat="1" x14ac:dyDescent="0.15"/>
    <row r="1048031" customFormat="1" x14ac:dyDescent="0.15"/>
    <row r="1048032" customFormat="1" x14ac:dyDescent="0.15"/>
    <row r="1048033" customFormat="1" x14ac:dyDescent="0.15"/>
    <row r="1048034" customFormat="1" x14ac:dyDescent="0.15"/>
    <row r="1048035" customFormat="1" x14ac:dyDescent="0.15"/>
    <row r="1048036" customFormat="1" x14ac:dyDescent="0.15"/>
    <row r="1048037" customFormat="1" x14ac:dyDescent="0.15"/>
    <row r="1048038" customFormat="1" x14ac:dyDescent="0.15"/>
    <row r="1048039" customFormat="1" x14ac:dyDescent="0.15"/>
    <row r="1048040" customFormat="1" x14ac:dyDescent="0.15"/>
    <row r="1048041" customFormat="1" x14ac:dyDescent="0.15"/>
    <row r="1048042" customFormat="1" x14ac:dyDescent="0.15"/>
    <row r="1048043" customFormat="1" x14ac:dyDescent="0.15"/>
    <row r="1048044" customFormat="1" x14ac:dyDescent="0.15"/>
    <row r="1048045" customFormat="1" x14ac:dyDescent="0.15"/>
    <row r="1048046" customFormat="1" x14ac:dyDescent="0.15"/>
    <row r="1048047" customFormat="1" x14ac:dyDescent="0.15"/>
    <row r="1048048" customFormat="1" x14ac:dyDescent="0.15"/>
    <row r="1048049" customFormat="1" x14ac:dyDescent="0.15"/>
    <row r="1048050" customFormat="1" x14ac:dyDescent="0.15"/>
    <row r="1048051" customFormat="1" x14ac:dyDescent="0.15"/>
    <row r="1048052" customFormat="1" x14ac:dyDescent="0.15"/>
    <row r="1048053" customFormat="1" x14ac:dyDescent="0.15"/>
    <row r="1048054" customFormat="1" x14ac:dyDescent="0.15"/>
    <row r="1048055" customFormat="1" x14ac:dyDescent="0.15"/>
    <row r="1048056" customFormat="1" x14ac:dyDescent="0.15"/>
    <row r="1048057" customFormat="1" x14ac:dyDescent="0.15"/>
    <row r="1048058" customFormat="1" x14ac:dyDescent="0.15"/>
    <row r="1048059" customFormat="1" x14ac:dyDescent="0.15"/>
    <row r="1048060" customFormat="1" x14ac:dyDescent="0.15"/>
    <row r="1048061" customFormat="1" x14ac:dyDescent="0.15"/>
    <row r="1048062" customFormat="1" x14ac:dyDescent="0.15"/>
    <row r="1048063" customFormat="1" x14ac:dyDescent="0.15"/>
    <row r="1048064" customFormat="1" x14ac:dyDescent="0.15"/>
    <row r="1048065" customFormat="1" x14ac:dyDescent="0.15"/>
    <row r="1048066" customFormat="1" x14ac:dyDescent="0.15"/>
    <row r="1048067" customFormat="1" x14ac:dyDescent="0.15"/>
    <row r="1048068" customFormat="1" x14ac:dyDescent="0.15"/>
    <row r="1048069" customFormat="1" x14ac:dyDescent="0.15"/>
    <row r="1048070" customFormat="1" x14ac:dyDescent="0.15"/>
    <row r="1048071" customFormat="1" x14ac:dyDescent="0.15"/>
    <row r="1048072" customFormat="1" x14ac:dyDescent="0.15"/>
    <row r="1048073" customFormat="1" x14ac:dyDescent="0.15"/>
    <row r="1048074" customFormat="1" x14ac:dyDescent="0.15"/>
    <row r="1048075" customFormat="1" x14ac:dyDescent="0.15"/>
    <row r="1048076" customFormat="1" x14ac:dyDescent="0.15"/>
    <row r="1048077" customFormat="1" x14ac:dyDescent="0.15"/>
    <row r="1048078" customFormat="1" x14ac:dyDescent="0.15"/>
    <row r="1048079" customFormat="1" x14ac:dyDescent="0.15"/>
    <row r="1048080" customFormat="1" x14ac:dyDescent="0.15"/>
    <row r="1048081" customFormat="1" x14ac:dyDescent="0.15"/>
    <row r="1048082" customFormat="1" x14ac:dyDescent="0.15"/>
    <row r="1048083" customFormat="1" x14ac:dyDescent="0.15"/>
    <row r="1048084" customFormat="1" x14ac:dyDescent="0.15"/>
    <row r="1048085" customFormat="1" x14ac:dyDescent="0.15"/>
    <row r="1048086" customFormat="1" x14ac:dyDescent="0.15"/>
    <row r="1048087" customFormat="1" x14ac:dyDescent="0.15"/>
    <row r="1048088" customFormat="1" x14ac:dyDescent="0.15"/>
    <row r="1048089" customFormat="1" x14ac:dyDescent="0.15"/>
    <row r="1048090" customFormat="1" x14ac:dyDescent="0.15"/>
    <row r="1048091" customFormat="1" x14ac:dyDescent="0.15"/>
    <row r="1048092" customFormat="1" x14ac:dyDescent="0.15"/>
    <row r="1048093" customFormat="1" x14ac:dyDescent="0.15"/>
    <row r="1048094" customFormat="1" x14ac:dyDescent="0.15"/>
    <row r="1048095" customFormat="1" x14ac:dyDescent="0.15"/>
    <row r="1048096" customFormat="1" x14ac:dyDescent="0.15"/>
    <row r="1048097" customFormat="1" x14ac:dyDescent="0.15"/>
    <row r="1048098" customFormat="1" x14ac:dyDescent="0.15"/>
    <row r="1048099" customFormat="1" x14ac:dyDescent="0.15"/>
    <row r="1048100" customFormat="1" x14ac:dyDescent="0.15"/>
    <row r="1048101" customFormat="1" x14ac:dyDescent="0.15"/>
    <row r="1048102" customFormat="1" x14ac:dyDescent="0.15"/>
    <row r="1048103" customFormat="1" x14ac:dyDescent="0.15"/>
    <row r="1048104" customFormat="1" x14ac:dyDescent="0.15"/>
    <row r="1048105" customFormat="1" x14ac:dyDescent="0.15"/>
    <row r="1048106" customFormat="1" x14ac:dyDescent="0.15"/>
    <row r="1048107" customFormat="1" x14ac:dyDescent="0.15"/>
    <row r="1048108" customFormat="1" x14ac:dyDescent="0.15"/>
    <row r="1048109" customFormat="1" x14ac:dyDescent="0.15"/>
    <row r="1048110" customFormat="1" x14ac:dyDescent="0.15"/>
    <row r="1048111" customFormat="1" x14ac:dyDescent="0.15"/>
    <row r="1048112" customFormat="1" x14ac:dyDescent="0.15"/>
    <row r="1048113" customFormat="1" x14ac:dyDescent="0.15"/>
    <row r="1048114" customFormat="1" x14ac:dyDescent="0.15"/>
    <row r="1048115" customFormat="1" x14ac:dyDescent="0.15"/>
    <row r="1048116" customFormat="1" x14ac:dyDescent="0.15"/>
    <row r="1048117" customFormat="1" x14ac:dyDescent="0.15"/>
    <row r="1048118" customFormat="1" x14ac:dyDescent="0.15"/>
    <row r="1048119" customFormat="1" x14ac:dyDescent="0.15"/>
    <row r="1048120" customFormat="1" x14ac:dyDescent="0.15"/>
    <row r="1048121" customFormat="1" x14ac:dyDescent="0.15"/>
    <row r="1048122" customFormat="1" x14ac:dyDescent="0.15"/>
    <row r="1048123" customFormat="1" x14ac:dyDescent="0.15"/>
    <row r="1048124" customFormat="1" x14ac:dyDescent="0.15"/>
    <row r="1048125" customFormat="1" x14ac:dyDescent="0.15"/>
    <row r="1048126" customFormat="1" x14ac:dyDescent="0.15"/>
    <row r="1048127" customFormat="1" x14ac:dyDescent="0.15"/>
    <row r="1048128" customFormat="1" x14ac:dyDescent="0.15"/>
    <row r="1048129" customFormat="1" x14ac:dyDescent="0.15"/>
    <row r="1048130" customFormat="1" x14ac:dyDescent="0.15"/>
    <row r="1048131" customFormat="1" x14ac:dyDescent="0.15"/>
    <row r="1048132" customFormat="1" x14ac:dyDescent="0.15"/>
    <row r="1048133" customFormat="1" x14ac:dyDescent="0.15"/>
    <row r="1048134" customFormat="1" x14ac:dyDescent="0.15"/>
    <row r="1048135" customFormat="1" x14ac:dyDescent="0.15"/>
    <row r="1048136" customFormat="1" x14ac:dyDescent="0.15"/>
    <row r="1048137" customFormat="1" x14ac:dyDescent="0.15"/>
    <row r="1048138" customFormat="1" x14ac:dyDescent="0.15"/>
    <row r="1048139" customFormat="1" x14ac:dyDescent="0.15"/>
    <row r="1048140" customFormat="1" x14ac:dyDescent="0.15"/>
    <row r="1048141" customFormat="1" x14ac:dyDescent="0.15"/>
    <row r="1048142" customFormat="1" x14ac:dyDescent="0.15"/>
    <row r="1048143" customFormat="1" x14ac:dyDescent="0.15"/>
    <row r="1048144" customFormat="1" x14ac:dyDescent="0.15"/>
    <row r="1048145" customFormat="1" x14ac:dyDescent="0.15"/>
    <row r="1048146" customFormat="1" x14ac:dyDescent="0.15"/>
    <row r="1048147" customFormat="1" x14ac:dyDescent="0.15"/>
    <row r="1048148" customFormat="1" x14ac:dyDescent="0.15"/>
    <row r="1048149" customFormat="1" x14ac:dyDescent="0.15"/>
    <row r="1048150" customFormat="1" x14ac:dyDescent="0.15"/>
    <row r="1048151" customFormat="1" x14ac:dyDescent="0.15"/>
    <row r="1048152" customFormat="1" x14ac:dyDescent="0.15"/>
    <row r="1048153" customFormat="1" x14ac:dyDescent="0.15"/>
    <row r="1048154" customFormat="1" x14ac:dyDescent="0.15"/>
    <row r="1048155" customFormat="1" x14ac:dyDescent="0.15"/>
    <row r="1048156" customFormat="1" x14ac:dyDescent="0.15"/>
    <row r="1048157" customFormat="1" x14ac:dyDescent="0.15"/>
    <row r="1048158" customFormat="1" x14ac:dyDescent="0.15"/>
    <row r="1048159" customFormat="1" x14ac:dyDescent="0.15"/>
    <row r="1048160" customFormat="1" x14ac:dyDescent="0.15"/>
    <row r="1048161" customFormat="1" x14ac:dyDescent="0.15"/>
    <row r="1048162" customFormat="1" x14ac:dyDescent="0.15"/>
    <row r="1048163" customFormat="1" x14ac:dyDescent="0.15"/>
    <row r="1048164" customFormat="1" x14ac:dyDescent="0.15"/>
    <row r="1048165" customFormat="1" x14ac:dyDescent="0.15"/>
    <row r="1048166" customFormat="1" x14ac:dyDescent="0.15"/>
    <row r="1048167" customFormat="1" x14ac:dyDescent="0.15"/>
    <row r="1048168" customFormat="1" x14ac:dyDescent="0.15"/>
    <row r="1048169" customFormat="1" x14ac:dyDescent="0.15"/>
    <row r="1048170" customFormat="1" x14ac:dyDescent="0.15"/>
    <row r="1048171" customFormat="1" x14ac:dyDescent="0.15"/>
    <row r="1048172" customFormat="1" x14ac:dyDescent="0.15"/>
    <row r="1048173" customFormat="1" x14ac:dyDescent="0.15"/>
    <row r="1048174" customFormat="1" x14ac:dyDescent="0.15"/>
    <row r="1048175" customFormat="1" x14ac:dyDescent="0.15"/>
    <row r="1048176" customFormat="1" x14ac:dyDescent="0.15"/>
    <row r="1048177" customFormat="1" x14ac:dyDescent="0.15"/>
    <row r="1048178" customFormat="1" x14ac:dyDescent="0.15"/>
    <row r="1048179" customFormat="1" x14ac:dyDescent="0.15"/>
    <row r="1048180" customFormat="1" x14ac:dyDescent="0.15"/>
    <row r="1048181" customFormat="1" x14ac:dyDescent="0.15"/>
    <row r="1048182" customFormat="1" x14ac:dyDescent="0.15"/>
    <row r="1048183" customFormat="1" x14ac:dyDescent="0.15"/>
    <row r="1048184" customFormat="1" x14ac:dyDescent="0.15"/>
    <row r="1048185" customFormat="1" x14ac:dyDescent="0.15"/>
    <row r="1048186" customFormat="1" x14ac:dyDescent="0.15"/>
    <row r="1048187" customFormat="1" x14ac:dyDescent="0.15"/>
    <row r="1048188" customFormat="1" x14ac:dyDescent="0.15"/>
    <row r="1048189" customFormat="1" x14ac:dyDescent="0.15"/>
    <row r="1048190" customFormat="1" x14ac:dyDescent="0.15"/>
    <row r="1048191" customFormat="1" x14ac:dyDescent="0.15"/>
    <row r="1048192" customFormat="1" x14ac:dyDescent="0.15"/>
    <row r="1048193" customFormat="1" x14ac:dyDescent="0.15"/>
    <row r="1048194" customFormat="1" x14ac:dyDescent="0.15"/>
    <row r="1048195" customFormat="1" x14ac:dyDescent="0.15"/>
    <row r="1048196" customFormat="1" x14ac:dyDescent="0.15"/>
    <row r="1048197" customFormat="1" x14ac:dyDescent="0.15"/>
    <row r="1048198" customFormat="1" x14ac:dyDescent="0.15"/>
    <row r="1048199" customFormat="1" x14ac:dyDescent="0.15"/>
    <row r="1048200" customFormat="1" x14ac:dyDescent="0.15"/>
    <row r="1048201" customFormat="1" x14ac:dyDescent="0.15"/>
    <row r="1048202" customFormat="1" x14ac:dyDescent="0.15"/>
    <row r="1048203" customFormat="1" x14ac:dyDescent="0.15"/>
    <row r="1048204" customFormat="1" x14ac:dyDescent="0.15"/>
    <row r="1048205" customFormat="1" x14ac:dyDescent="0.15"/>
    <row r="1048206" customFormat="1" x14ac:dyDescent="0.15"/>
    <row r="1048207" customFormat="1" x14ac:dyDescent="0.15"/>
    <row r="1048208" customFormat="1" x14ac:dyDescent="0.15"/>
    <row r="1048209" customFormat="1" x14ac:dyDescent="0.15"/>
    <row r="1048210" customFormat="1" x14ac:dyDescent="0.15"/>
    <row r="1048211" customFormat="1" x14ac:dyDescent="0.15"/>
    <row r="1048212" customFormat="1" x14ac:dyDescent="0.15"/>
    <row r="1048213" customFormat="1" x14ac:dyDescent="0.15"/>
    <row r="1048214" customFormat="1" x14ac:dyDescent="0.15"/>
    <row r="1048215" customFormat="1" x14ac:dyDescent="0.15"/>
    <row r="1048216" customFormat="1" x14ac:dyDescent="0.15"/>
    <row r="1048217" customFormat="1" x14ac:dyDescent="0.15"/>
    <row r="1048218" customFormat="1" x14ac:dyDescent="0.15"/>
    <row r="1048219" customFormat="1" x14ac:dyDescent="0.15"/>
    <row r="1048220" customFormat="1" x14ac:dyDescent="0.15"/>
    <row r="1048221" customFormat="1" x14ac:dyDescent="0.15"/>
    <row r="1048222" customFormat="1" x14ac:dyDescent="0.15"/>
    <row r="1048223" customFormat="1" x14ac:dyDescent="0.15"/>
    <row r="1048224" customFormat="1" x14ac:dyDescent="0.15"/>
    <row r="1048225" customFormat="1" x14ac:dyDescent="0.15"/>
    <row r="1048226" customFormat="1" x14ac:dyDescent="0.15"/>
    <row r="1048227" customFormat="1" x14ac:dyDescent="0.15"/>
    <row r="1048228" customFormat="1" x14ac:dyDescent="0.15"/>
    <row r="1048229" customFormat="1" x14ac:dyDescent="0.15"/>
    <row r="1048230" customFormat="1" x14ac:dyDescent="0.15"/>
    <row r="1048231" customFormat="1" x14ac:dyDescent="0.15"/>
    <row r="1048232" customFormat="1" x14ac:dyDescent="0.15"/>
    <row r="1048233" customFormat="1" x14ac:dyDescent="0.15"/>
    <row r="1048234" customFormat="1" x14ac:dyDescent="0.15"/>
    <row r="1048235" customFormat="1" x14ac:dyDescent="0.15"/>
    <row r="1048236" customFormat="1" x14ac:dyDescent="0.15"/>
    <row r="1048237" customFormat="1" x14ac:dyDescent="0.15"/>
    <row r="1048238" customFormat="1" x14ac:dyDescent="0.15"/>
    <row r="1048239" customFormat="1" x14ac:dyDescent="0.15"/>
    <row r="1048240" customFormat="1" x14ac:dyDescent="0.15"/>
    <row r="1048241" customFormat="1" x14ac:dyDescent="0.15"/>
    <row r="1048242" customFormat="1" x14ac:dyDescent="0.15"/>
    <row r="1048243" customFormat="1" x14ac:dyDescent="0.15"/>
    <row r="1048244" customFormat="1" x14ac:dyDescent="0.15"/>
    <row r="1048245" customFormat="1" x14ac:dyDescent="0.15"/>
    <row r="1048246" customFormat="1" x14ac:dyDescent="0.15"/>
    <row r="1048247" customFormat="1" x14ac:dyDescent="0.15"/>
    <row r="1048248" customFormat="1" x14ac:dyDescent="0.15"/>
    <row r="1048249" customFormat="1" x14ac:dyDescent="0.15"/>
    <row r="1048250" customFormat="1" x14ac:dyDescent="0.15"/>
    <row r="1048251" customFormat="1" x14ac:dyDescent="0.15"/>
    <row r="1048252" customFormat="1" x14ac:dyDescent="0.15"/>
    <row r="1048253" customFormat="1" x14ac:dyDescent="0.15"/>
    <row r="1048254" customFormat="1" x14ac:dyDescent="0.15"/>
    <row r="1048255" customFormat="1" x14ac:dyDescent="0.15"/>
    <row r="1048256" customFormat="1" x14ac:dyDescent="0.15"/>
    <row r="1048257" customFormat="1" x14ac:dyDescent="0.15"/>
    <row r="1048258" customFormat="1" x14ac:dyDescent="0.15"/>
    <row r="1048259" customFormat="1" x14ac:dyDescent="0.15"/>
    <row r="1048260" customFormat="1" x14ac:dyDescent="0.15"/>
    <row r="1048261" customFormat="1" x14ac:dyDescent="0.15"/>
    <row r="1048262" customFormat="1" x14ac:dyDescent="0.15"/>
    <row r="1048263" customFormat="1" x14ac:dyDescent="0.15"/>
    <row r="1048264" customFormat="1" x14ac:dyDescent="0.15"/>
    <row r="1048265" customFormat="1" x14ac:dyDescent="0.15"/>
    <row r="1048266" customFormat="1" x14ac:dyDescent="0.15"/>
    <row r="1048267" customFormat="1" x14ac:dyDescent="0.15"/>
    <row r="1048268" customFormat="1" x14ac:dyDescent="0.15"/>
    <row r="1048269" customFormat="1" x14ac:dyDescent="0.15"/>
    <row r="1048270" customFormat="1" x14ac:dyDescent="0.15"/>
    <row r="1048271" customFormat="1" x14ac:dyDescent="0.15"/>
    <row r="1048272" customFormat="1" x14ac:dyDescent="0.15"/>
    <row r="1048273" customFormat="1" x14ac:dyDescent="0.15"/>
    <row r="1048274" customFormat="1" x14ac:dyDescent="0.15"/>
    <row r="1048275" customFormat="1" x14ac:dyDescent="0.15"/>
    <row r="1048276" customFormat="1" x14ac:dyDescent="0.15"/>
    <row r="1048277" customFormat="1" x14ac:dyDescent="0.15"/>
    <row r="1048278" customFormat="1" x14ac:dyDescent="0.15"/>
    <row r="1048279" customFormat="1" x14ac:dyDescent="0.15"/>
    <row r="1048280" customFormat="1" x14ac:dyDescent="0.15"/>
    <row r="1048281" customFormat="1" x14ac:dyDescent="0.15"/>
    <row r="1048282" customFormat="1" x14ac:dyDescent="0.15"/>
    <row r="1048283" customFormat="1" x14ac:dyDescent="0.15"/>
    <row r="1048284" customFormat="1" x14ac:dyDescent="0.15"/>
    <row r="1048285" customFormat="1" x14ac:dyDescent="0.15"/>
    <row r="1048286" customFormat="1" x14ac:dyDescent="0.15"/>
    <row r="1048287" customFormat="1" x14ac:dyDescent="0.15"/>
    <row r="1048288" customFormat="1" x14ac:dyDescent="0.15"/>
    <row r="1048289" customFormat="1" x14ac:dyDescent="0.15"/>
    <row r="1048290" customFormat="1" x14ac:dyDescent="0.15"/>
    <row r="1048291" customFormat="1" x14ac:dyDescent="0.15"/>
    <row r="1048292" customFormat="1" x14ac:dyDescent="0.15"/>
    <row r="1048293" customFormat="1" x14ac:dyDescent="0.15"/>
    <row r="1048294" customFormat="1" x14ac:dyDescent="0.15"/>
    <row r="1048295" customFormat="1" x14ac:dyDescent="0.15"/>
    <row r="1048296" customFormat="1" x14ac:dyDescent="0.15"/>
    <row r="1048297" customFormat="1" x14ac:dyDescent="0.15"/>
    <row r="1048298" customFormat="1" x14ac:dyDescent="0.15"/>
    <row r="1048299" customFormat="1" x14ac:dyDescent="0.15"/>
    <row r="1048300" customFormat="1" x14ac:dyDescent="0.15"/>
    <row r="1048301" customFormat="1" x14ac:dyDescent="0.15"/>
    <row r="1048302" customFormat="1" x14ac:dyDescent="0.15"/>
    <row r="1048303" customFormat="1" x14ac:dyDescent="0.15"/>
    <row r="1048304" customFormat="1" x14ac:dyDescent="0.15"/>
    <row r="1048305" customFormat="1" x14ac:dyDescent="0.15"/>
    <row r="1048306" customFormat="1" x14ac:dyDescent="0.15"/>
    <row r="1048307" customFormat="1" x14ac:dyDescent="0.15"/>
    <row r="1048308" customFormat="1" x14ac:dyDescent="0.15"/>
    <row r="1048309" customFormat="1" x14ac:dyDescent="0.15"/>
    <row r="1048310" customFormat="1" x14ac:dyDescent="0.15"/>
    <row r="1048311" customFormat="1" x14ac:dyDescent="0.15"/>
    <row r="1048312" customFormat="1" x14ac:dyDescent="0.15"/>
    <row r="1048313" customFormat="1" x14ac:dyDescent="0.15"/>
    <row r="1048314" customFormat="1" x14ac:dyDescent="0.15"/>
    <row r="1048315" customFormat="1" x14ac:dyDescent="0.15"/>
    <row r="1048316" customFormat="1" x14ac:dyDescent="0.15"/>
    <row r="1048317" customFormat="1" x14ac:dyDescent="0.15"/>
    <row r="1048318" customFormat="1" x14ac:dyDescent="0.15"/>
    <row r="1048319" customFormat="1" x14ac:dyDescent="0.15"/>
    <row r="1048320" customFormat="1" x14ac:dyDescent="0.15"/>
    <row r="1048321" customFormat="1" x14ac:dyDescent="0.15"/>
    <row r="1048322" customFormat="1" x14ac:dyDescent="0.15"/>
    <row r="1048323" customFormat="1" x14ac:dyDescent="0.15"/>
    <row r="1048324" customFormat="1" x14ac:dyDescent="0.15"/>
    <row r="1048325" customFormat="1" x14ac:dyDescent="0.15"/>
    <row r="1048326" customFormat="1" x14ac:dyDescent="0.15"/>
    <row r="1048327" customFormat="1" x14ac:dyDescent="0.15"/>
    <row r="1048328" customFormat="1" x14ac:dyDescent="0.15"/>
    <row r="1048329" customFormat="1" x14ac:dyDescent="0.15"/>
    <row r="1048330" customFormat="1" x14ac:dyDescent="0.15"/>
    <row r="1048331" customFormat="1" x14ac:dyDescent="0.15"/>
    <row r="1048332" customFormat="1" x14ac:dyDescent="0.15"/>
    <row r="1048333" customFormat="1" x14ac:dyDescent="0.15"/>
    <row r="1048334" customFormat="1" x14ac:dyDescent="0.15"/>
    <row r="1048335" customFormat="1" x14ac:dyDescent="0.15"/>
    <row r="1048336" customFormat="1" x14ac:dyDescent="0.15"/>
    <row r="1048337" customFormat="1" x14ac:dyDescent="0.15"/>
    <row r="1048338" customFormat="1" x14ac:dyDescent="0.15"/>
    <row r="1048339" customFormat="1" x14ac:dyDescent="0.15"/>
    <row r="1048340" customFormat="1" x14ac:dyDescent="0.15"/>
    <row r="1048341" customFormat="1" x14ac:dyDescent="0.15"/>
    <row r="1048342" customFormat="1" x14ac:dyDescent="0.15"/>
    <row r="1048343" customFormat="1" x14ac:dyDescent="0.15"/>
    <row r="1048344" customFormat="1" x14ac:dyDescent="0.15"/>
    <row r="1048345" customFormat="1" x14ac:dyDescent="0.15"/>
    <row r="1048346" customFormat="1" x14ac:dyDescent="0.15"/>
    <row r="1048347" customFormat="1" x14ac:dyDescent="0.15"/>
    <row r="1048348" customFormat="1" x14ac:dyDescent="0.15"/>
    <row r="1048349" customFormat="1" x14ac:dyDescent="0.15"/>
    <row r="1048350" customFormat="1" x14ac:dyDescent="0.15"/>
    <row r="1048351" customFormat="1" x14ac:dyDescent="0.15"/>
    <row r="1048352" customFormat="1" x14ac:dyDescent="0.15"/>
    <row r="1048353" customFormat="1" x14ac:dyDescent="0.15"/>
    <row r="1048354" customFormat="1" x14ac:dyDescent="0.15"/>
    <row r="1048355" customFormat="1" x14ac:dyDescent="0.15"/>
    <row r="1048356" customFormat="1" x14ac:dyDescent="0.15"/>
    <row r="1048357" customFormat="1" x14ac:dyDescent="0.15"/>
    <row r="1048358" customFormat="1" x14ac:dyDescent="0.15"/>
    <row r="1048359" customFormat="1" x14ac:dyDescent="0.15"/>
    <row r="1048360" customFormat="1" x14ac:dyDescent="0.15"/>
    <row r="1048361" customFormat="1" x14ac:dyDescent="0.15"/>
    <row r="1048362" customFormat="1" x14ac:dyDescent="0.15"/>
    <row r="1048363" customFormat="1" x14ac:dyDescent="0.15"/>
    <row r="1048364" customFormat="1" x14ac:dyDescent="0.15"/>
    <row r="1048365" customFormat="1" x14ac:dyDescent="0.15"/>
    <row r="1048366" customFormat="1" x14ac:dyDescent="0.15"/>
    <row r="1048367" customFormat="1" x14ac:dyDescent="0.15"/>
    <row r="1048368" customFormat="1" x14ac:dyDescent="0.15"/>
    <row r="1048369" customFormat="1" x14ac:dyDescent="0.15"/>
    <row r="1048370" customFormat="1" x14ac:dyDescent="0.15"/>
    <row r="1048371" customFormat="1" x14ac:dyDescent="0.15"/>
    <row r="1048372" customFormat="1" x14ac:dyDescent="0.15"/>
    <row r="1048373" customFormat="1" x14ac:dyDescent="0.15"/>
    <row r="1048374" customFormat="1" x14ac:dyDescent="0.15"/>
    <row r="1048375" customFormat="1" x14ac:dyDescent="0.15"/>
    <row r="1048376" customFormat="1" x14ac:dyDescent="0.15"/>
    <row r="1048377" customFormat="1" x14ac:dyDescent="0.15"/>
    <row r="1048378" customFormat="1" x14ac:dyDescent="0.15"/>
    <row r="1048379" customFormat="1" x14ac:dyDescent="0.15"/>
    <row r="1048380" customFormat="1" x14ac:dyDescent="0.15"/>
    <row r="1048381" customFormat="1" x14ac:dyDescent="0.15"/>
    <row r="1048382" customFormat="1" x14ac:dyDescent="0.15"/>
    <row r="1048383" customFormat="1" x14ac:dyDescent="0.15"/>
    <row r="1048384" customFormat="1" x14ac:dyDescent="0.15"/>
    <row r="1048385" customFormat="1" x14ac:dyDescent="0.15"/>
    <row r="1048386" customFormat="1" x14ac:dyDescent="0.15"/>
    <row r="1048387" customFormat="1" x14ac:dyDescent="0.15"/>
    <row r="1048388" customFormat="1" x14ac:dyDescent="0.15"/>
    <row r="1048389" customFormat="1" x14ac:dyDescent="0.15"/>
    <row r="1048390" customFormat="1" x14ac:dyDescent="0.15"/>
    <row r="1048391" customFormat="1" x14ac:dyDescent="0.15"/>
    <row r="1048392" customFormat="1" x14ac:dyDescent="0.15"/>
    <row r="1048393" customFormat="1" x14ac:dyDescent="0.15"/>
    <row r="1048394" customFormat="1" x14ac:dyDescent="0.15"/>
    <row r="1048395" customFormat="1" x14ac:dyDescent="0.15"/>
    <row r="1048396" customFormat="1" x14ac:dyDescent="0.15"/>
    <row r="1048397" customFormat="1" x14ac:dyDescent="0.15"/>
    <row r="1048398" customFormat="1" x14ac:dyDescent="0.15"/>
    <row r="1048399" customFormat="1" x14ac:dyDescent="0.15"/>
    <row r="1048400" customFormat="1" x14ac:dyDescent="0.15"/>
    <row r="1048401" customFormat="1" x14ac:dyDescent="0.15"/>
    <row r="1048402" customFormat="1" x14ac:dyDescent="0.15"/>
    <row r="1048403" customFormat="1" x14ac:dyDescent="0.15"/>
    <row r="1048404" customFormat="1" x14ac:dyDescent="0.15"/>
    <row r="1048405" customFormat="1" x14ac:dyDescent="0.15"/>
    <row r="1048406" customFormat="1" x14ac:dyDescent="0.15"/>
    <row r="1048407" customFormat="1" x14ac:dyDescent="0.15"/>
    <row r="1048408" customFormat="1" x14ac:dyDescent="0.15"/>
    <row r="1048409" customFormat="1" x14ac:dyDescent="0.15"/>
    <row r="1048410" customFormat="1" x14ac:dyDescent="0.15"/>
    <row r="1048411" customFormat="1" x14ac:dyDescent="0.15"/>
    <row r="1048412" customFormat="1" x14ac:dyDescent="0.15"/>
    <row r="1048413" customFormat="1" x14ac:dyDescent="0.15"/>
    <row r="1048414" customFormat="1" x14ac:dyDescent="0.15"/>
    <row r="1048415" customFormat="1" x14ac:dyDescent="0.15"/>
    <row r="1048416" customFormat="1" x14ac:dyDescent="0.15"/>
    <row r="1048417" customFormat="1" x14ac:dyDescent="0.15"/>
    <row r="1048418" customFormat="1" x14ac:dyDescent="0.15"/>
    <row r="1048419" customFormat="1" x14ac:dyDescent="0.15"/>
    <row r="1048420" customFormat="1" x14ac:dyDescent="0.15"/>
    <row r="1048421" customFormat="1" x14ac:dyDescent="0.15"/>
    <row r="1048422" customFormat="1" x14ac:dyDescent="0.15"/>
    <row r="1048423" customFormat="1" x14ac:dyDescent="0.15"/>
    <row r="1048424" customFormat="1" x14ac:dyDescent="0.15"/>
    <row r="1048425" customFormat="1" x14ac:dyDescent="0.15"/>
    <row r="1048426" customFormat="1" x14ac:dyDescent="0.15"/>
    <row r="1048427" customFormat="1" x14ac:dyDescent="0.15"/>
    <row r="1048428" customFormat="1" x14ac:dyDescent="0.15"/>
    <row r="1048429" customFormat="1" x14ac:dyDescent="0.15"/>
    <row r="1048430" customFormat="1" x14ac:dyDescent="0.15"/>
    <row r="1048431" customFormat="1" x14ac:dyDescent="0.15"/>
    <row r="1048432" customFormat="1" x14ac:dyDescent="0.15"/>
    <row r="1048433" customFormat="1" x14ac:dyDescent="0.15"/>
    <row r="1048434" customFormat="1" x14ac:dyDescent="0.15"/>
    <row r="1048435" customFormat="1" x14ac:dyDescent="0.15"/>
    <row r="1048436" customFormat="1" x14ac:dyDescent="0.15"/>
    <row r="1048437" customFormat="1" x14ac:dyDescent="0.15"/>
    <row r="1048438" customFormat="1" x14ac:dyDescent="0.15"/>
    <row r="1048439" customFormat="1" x14ac:dyDescent="0.15"/>
    <row r="1048440" customFormat="1" x14ac:dyDescent="0.15"/>
    <row r="1048441" customFormat="1" x14ac:dyDescent="0.15"/>
    <row r="1048442" customFormat="1" x14ac:dyDescent="0.15"/>
    <row r="1048443" customFormat="1" x14ac:dyDescent="0.15"/>
    <row r="1048444" customFormat="1" x14ac:dyDescent="0.15"/>
    <row r="1048445" customFormat="1" x14ac:dyDescent="0.15"/>
    <row r="1048446" customFormat="1" x14ac:dyDescent="0.15"/>
    <row r="1048447" customFormat="1" x14ac:dyDescent="0.15"/>
    <row r="1048448" customFormat="1" x14ac:dyDescent="0.15"/>
    <row r="1048449" customFormat="1" x14ac:dyDescent="0.15"/>
    <row r="1048450" customFormat="1" x14ac:dyDescent="0.15"/>
    <row r="1048451" customFormat="1" x14ac:dyDescent="0.15"/>
    <row r="1048452" customFormat="1" x14ac:dyDescent="0.15"/>
    <row r="1048453" customFormat="1" x14ac:dyDescent="0.15"/>
    <row r="1048454" customFormat="1" x14ac:dyDescent="0.15"/>
    <row r="1048455" customFormat="1" x14ac:dyDescent="0.15"/>
    <row r="1048456" customFormat="1" x14ac:dyDescent="0.15"/>
    <row r="1048457" customFormat="1" x14ac:dyDescent="0.15"/>
    <row r="1048458" customFormat="1" x14ac:dyDescent="0.15"/>
    <row r="1048459" customFormat="1" x14ac:dyDescent="0.15"/>
    <row r="1048460" customFormat="1" x14ac:dyDescent="0.15"/>
    <row r="1048461" customFormat="1" x14ac:dyDescent="0.15"/>
    <row r="1048462" customFormat="1" x14ac:dyDescent="0.15"/>
    <row r="1048463" customFormat="1" x14ac:dyDescent="0.15"/>
    <row r="1048464" customFormat="1" x14ac:dyDescent="0.15"/>
    <row r="1048465" customFormat="1" x14ac:dyDescent="0.15"/>
    <row r="1048466" customFormat="1" x14ac:dyDescent="0.15"/>
    <row r="1048467" customFormat="1" x14ac:dyDescent="0.15"/>
    <row r="1048468" customFormat="1" x14ac:dyDescent="0.15"/>
    <row r="1048469" customFormat="1" x14ac:dyDescent="0.15"/>
    <row r="1048470" customFormat="1" x14ac:dyDescent="0.15"/>
    <row r="1048471" customFormat="1" x14ac:dyDescent="0.15"/>
    <row r="1048472" customFormat="1" x14ac:dyDescent="0.15"/>
    <row r="1048473" customFormat="1" x14ac:dyDescent="0.15"/>
    <row r="1048474" customFormat="1" x14ac:dyDescent="0.15"/>
    <row r="1048475" customFormat="1" x14ac:dyDescent="0.15"/>
    <row r="1048476" customFormat="1" x14ac:dyDescent="0.15"/>
    <row r="1048477" customFormat="1" x14ac:dyDescent="0.15"/>
    <row r="1048478" customFormat="1" x14ac:dyDescent="0.15"/>
    <row r="1048479" customFormat="1" x14ac:dyDescent="0.15"/>
    <row r="1048480" customFormat="1" x14ac:dyDescent="0.15"/>
    <row r="1048481" customFormat="1" x14ac:dyDescent="0.15"/>
    <row r="1048482" customFormat="1" x14ac:dyDescent="0.15"/>
    <row r="1048483" customFormat="1" x14ac:dyDescent="0.15"/>
    <row r="1048484" customFormat="1" x14ac:dyDescent="0.15"/>
    <row r="1048485" customFormat="1" x14ac:dyDescent="0.15"/>
    <row r="1048486" customFormat="1" x14ac:dyDescent="0.15"/>
    <row r="1048487" customFormat="1" x14ac:dyDescent="0.15"/>
    <row r="1048488" customFormat="1" x14ac:dyDescent="0.15"/>
    <row r="1048489" customFormat="1" x14ac:dyDescent="0.15"/>
    <row r="1048490" customFormat="1" x14ac:dyDescent="0.15"/>
    <row r="1048491" customFormat="1" x14ac:dyDescent="0.15"/>
    <row r="1048492" customFormat="1" x14ac:dyDescent="0.15"/>
    <row r="1048493" customFormat="1" x14ac:dyDescent="0.15"/>
    <row r="1048494" customFormat="1" x14ac:dyDescent="0.15"/>
    <row r="1048495" customFormat="1" x14ac:dyDescent="0.15"/>
    <row r="1048496" customFormat="1" x14ac:dyDescent="0.15"/>
    <row r="1048497" customFormat="1" x14ac:dyDescent="0.15"/>
    <row r="1048498" customFormat="1" x14ac:dyDescent="0.15"/>
    <row r="1048499" customFormat="1" x14ac:dyDescent="0.15"/>
    <row r="1048500" customFormat="1" x14ac:dyDescent="0.15"/>
    <row r="1048501" customFormat="1" x14ac:dyDescent="0.15"/>
    <row r="1048502" customFormat="1" x14ac:dyDescent="0.15"/>
    <row r="1048503" customFormat="1" x14ac:dyDescent="0.15"/>
    <row r="1048504" customFormat="1" x14ac:dyDescent="0.15"/>
    <row r="1048505" customFormat="1" x14ac:dyDescent="0.15"/>
    <row r="1048506" customFormat="1" x14ac:dyDescent="0.15"/>
    <row r="1048507" customFormat="1" x14ac:dyDescent="0.15"/>
    <row r="1048508" customFormat="1" x14ac:dyDescent="0.15"/>
    <row r="1048509" customFormat="1" x14ac:dyDescent="0.15"/>
    <row r="1048510" customFormat="1" x14ac:dyDescent="0.15"/>
    <row r="1048511" customFormat="1" x14ac:dyDescent="0.15"/>
    <row r="1048512" customFormat="1" x14ac:dyDescent="0.15"/>
    <row r="1048513" customFormat="1" x14ac:dyDescent="0.15"/>
    <row r="1048514" customFormat="1" x14ac:dyDescent="0.15"/>
    <row r="1048515" customFormat="1" x14ac:dyDescent="0.15"/>
    <row r="1048516" customFormat="1" x14ac:dyDescent="0.15"/>
    <row r="1048517" customFormat="1" x14ac:dyDescent="0.15"/>
    <row r="1048518" customFormat="1" x14ac:dyDescent="0.15"/>
    <row r="1048519" customFormat="1" x14ac:dyDescent="0.15"/>
    <row r="1048520" customFormat="1" x14ac:dyDescent="0.15"/>
    <row r="1048521" customFormat="1" x14ac:dyDescent="0.15"/>
    <row r="1048522" customFormat="1" x14ac:dyDescent="0.15"/>
    <row r="1048523" customFormat="1" x14ac:dyDescent="0.15"/>
    <row r="1048524" customFormat="1" x14ac:dyDescent="0.15"/>
    <row r="1048525" customFormat="1" x14ac:dyDescent="0.15"/>
    <row r="1048526" customFormat="1" x14ac:dyDescent="0.15"/>
    <row r="1048527" customFormat="1" x14ac:dyDescent="0.15"/>
    <row r="1048528" customFormat="1" x14ac:dyDescent="0.15"/>
    <row r="1048529" customFormat="1" x14ac:dyDescent="0.15"/>
    <row r="1048530" customFormat="1" x14ac:dyDescent="0.15"/>
    <row r="1048531" customFormat="1" x14ac:dyDescent="0.15"/>
    <row r="1048532" customFormat="1" x14ac:dyDescent="0.15"/>
    <row r="1048533" customFormat="1" x14ac:dyDescent="0.15"/>
    <row r="1048534" customFormat="1" x14ac:dyDescent="0.15"/>
    <row r="1048535" customFormat="1" x14ac:dyDescent="0.15"/>
    <row r="1048536" customFormat="1" x14ac:dyDescent="0.15"/>
    <row r="1048537" customFormat="1" x14ac:dyDescent="0.15"/>
    <row r="1048538" customFormat="1" x14ac:dyDescent="0.15"/>
    <row r="1048539" customFormat="1" x14ac:dyDescent="0.15"/>
    <row r="1048540" customFormat="1" x14ac:dyDescent="0.15"/>
    <row r="1048541" customFormat="1" x14ac:dyDescent="0.15"/>
    <row r="1048542" customFormat="1" x14ac:dyDescent="0.15"/>
    <row r="1048543" customFormat="1" x14ac:dyDescent="0.15"/>
    <row r="1048544" customFormat="1" x14ac:dyDescent="0.15"/>
    <row r="1048545" customFormat="1" x14ac:dyDescent="0.15"/>
    <row r="1048546" customFormat="1" x14ac:dyDescent="0.15"/>
    <row r="1048547" customFormat="1" x14ac:dyDescent="0.15"/>
    <row r="1048548" customFormat="1" x14ac:dyDescent="0.15"/>
    <row r="1048549" customFormat="1" x14ac:dyDescent="0.15"/>
    <row r="1048550" customFormat="1" x14ac:dyDescent="0.15"/>
    <row r="1048551" customFormat="1" x14ac:dyDescent="0.15"/>
    <row r="1048552" customFormat="1" x14ac:dyDescent="0.15"/>
    <row r="1048553" customFormat="1" x14ac:dyDescent="0.15"/>
    <row r="1048554" customFormat="1" x14ac:dyDescent="0.15"/>
    <row r="1048555" customFormat="1" x14ac:dyDescent="0.15"/>
    <row r="1048556" customFormat="1" x14ac:dyDescent="0.15"/>
    <row r="1048557" customFormat="1" x14ac:dyDescent="0.15"/>
    <row r="1048558" customFormat="1" x14ac:dyDescent="0.15"/>
    <row r="1048559" customFormat="1" x14ac:dyDescent="0.15"/>
    <row r="1048560" customFormat="1" x14ac:dyDescent="0.15"/>
    <row r="1048561" customFormat="1" x14ac:dyDescent="0.15"/>
    <row r="1048562" customFormat="1" x14ac:dyDescent="0.15"/>
    <row r="1048563" customFormat="1" x14ac:dyDescent="0.15"/>
    <row r="1048564" customFormat="1" x14ac:dyDescent="0.15"/>
    <row r="1048565" customFormat="1" x14ac:dyDescent="0.15"/>
    <row r="1048566" customFormat="1" x14ac:dyDescent="0.15"/>
    <row r="1048567" customFormat="1" x14ac:dyDescent="0.15"/>
    <row r="1048568" customFormat="1" x14ac:dyDescent="0.15"/>
    <row r="1048569" customFormat="1" x14ac:dyDescent="0.15"/>
    <row r="1048570" customFormat="1" x14ac:dyDescent="0.15"/>
    <row r="1048571" customFormat="1" x14ac:dyDescent="0.15"/>
    <row r="1048572" customFormat="1" x14ac:dyDescent="0.15"/>
    <row r="1048573" customFormat="1" x14ac:dyDescent="0.15"/>
    <row r="1048574" customFormat="1" x14ac:dyDescent="0.15"/>
    <row r="1048575" customFormat="1" x14ac:dyDescent="0.15"/>
    <row r="1048576" customFormat="1" x14ac:dyDescent="0.15"/>
  </sheetData>
  <autoFilter ref="B1:C378" xr:uid="{00000000-0009-0000-0000-000002000000}"/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1048575"/>
  <sheetViews>
    <sheetView topLeftCell="A75" workbookViewId="0">
      <selection activeCell="E88" sqref="E88"/>
    </sheetView>
  </sheetViews>
  <sheetFormatPr defaultColWidth="9.25" defaultRowHeight="13.5" x14ac:dyDescent="0.15"/>
  <cols>
    <col min="1" max="1" width="35.75" style="6" customWidth="1"/>
    <col min="2" max="2" width="18.625" style="6" customWidth="1"/>
    <col min="3" max="3" width="9.25" style="6"/>
    <col min="4" max="4" width="18" style="6" customWidth="1"/>
  </cols>
  <sheetData>
    <row r="1" spans="1:4" ht="27" x14ac:dyDescent="0.15">
      <c r="A1" s="7" t="s">
        <v>5</v>
      </c>
      <c r="B1" s="7" t="s">
        <v>181</v>
      </c>
      <c r="C1" s="7" t="s">
        <v>2</v>
      </c>
      <c r="D1" s="7" t="s">
        <v>6</v>
      </c>
    </row>
    <row r="2" spans="1:4" hidden="1" x14ac:dyDescent="0.15">
      <c r="A2" s="6" t="s">
        <v>182</v>
      </c>
      <c r="B2" s="6" t="s">
        <v>183</v>
      </c>
      <c r="C2" s="6">
        <v>2030</v>
      </c>
      <c r="D2" s="6">
        <v>460</v>
      </c>
    </row>
    <row r="3" spans="1:4" hidden="1" x14ac:dyDescent="0.15">
      <c r="A3" s="6" t="s">
        <v>184</v>
      </c>
      <c r="B3" s="6" t="s">
        <v>183</v>
      </c>
      <c r="C3" s="6">
        <v>2030</v>
      </c>
      <c r="D3" s="6">
        <v>1600</v>
      </c>
    </row>
    <row r="4" spans="1:4" hidden="1" x14ac:dyDescent="0.15">
      <c r="A4" s="6" t="s">
        <v>185</v>
      </c>
      <c r="B4" s="6" t="s">
        <v>183</v>
      </c>
      <c r="C4" s="6">
        <v>2026</v>
      </c>
      <c r="D4" s="6">
        <v>700</v>
      </c>
    </row>
    <row r="5" spans="1:4" hidden="1" x14ac:dyDescent="0.15">
      <c r="A5" s="6" t="s">
        <v>186</v>
      </c>
      <c r="B5" s="6" t="s">
        <v>183</v>
      </c>
      <c r="C5" s="6">
        <v>2026</v>
      </c>
      <c r="D5" s="6">
        <v>600</v>
      </c>
    </row>
    <row r="6" spans="1:4" hidden="1" x14ac:dyDescent="0.15">
      <c r="A6" s="6" t="s">
        <v>187</v>
      </c>
      <c r="B6" s="6" t="s">
        <v>183</v>
      </c>
      <c r="C6" s="6">
        <v>2025</v>
      </c>
      <c r="D6" s="6">
        <v>120</v>
      </c>
    </row>
    <row r="7" spans="1:4" hidden="1" x14ac:dyDescent="0.15">
      <c r="A7" s="6" t="s">
        <v>188</v>
      </c>
      <c r="B7" s="6" t="s">
        <v>189</v>
      </c>
      <c r="C7" s="6">
        <v>2025</v>
      </c>
      <c r="D7" s="6">
        <v>700</v>
      </c>
    </row>
    <row r="8" spans="1:4" hidden="1" x14ac:dyDescent="0.15">
      <c r="A8" s="6" t="s">
        <v>190</v>
      </c>
      <c r="B8" s="6" t="s">
        <v>183</v>
      </c>
      <c r="C8" s="6">
        <v>2025</v>
      </c>
      <c r="D8" s="6">
        <v>120</v>
      </c>
    </row>
    <row r="9" spans="1:4" hidden="1" x14ac:dyDescent="0.15">
      <c r="A9" s="6" t="s">
        <v>191</v>
      </c>
      <c r="B9" s="6" t="s">
        <v>183</v>
      </c>
      <c r="C9" s="6">
        <v>2025</v>
      </c>
      <c r="D9" s="6">
        <v>650</v>
      </c>
    </row>
    <row r="10" spans="1:4" hidden="1" x14ac:dyDescent="0.15">
      <c r="A10" s="6" t="s">
        <v>192</v>
      </c>
      <c r="B10" s="6" t="s">
        <v>193</v>
      </c>
      <c r="C10" s="6">
        <v>2025</v>
      </c>
      <c r="D10" s="6">
        <v>700</v>
      </c>
    </row>
    <row r="11" spans="1:4" hidden="1" x14ac:dyDescent="0.15">
      <c r="A11" s="6" t="s">
        <v>194</v>
      </c>
      <c r="B11" s="6" t="s">
        <v>183</v>
      </c>
      <c r="C11" s="6">
        <v>2025</v>
      </c>
      <c r="D11" s="6">
        <v>470</v>
      </c>
    </row>
    <row r="12" spans="1:4" hidden="1" x14ac:dyDescent="0.15">
      <c r="A12" s="6" t="s">
        <v>195</v>
      </c>
      <c r="B12" s="6" t="s">
        <v>193</v>
      </c>
      <c r="C12" s="6">
        <v>2025</v>
      </c>
      <c r="D12" s="6">
        <v>70</v>
      </c>
    </row>
    <row r="13" spans="1:4" hidden="1" x14ac:dyDescent="0.15">
      <c r="A13" s="6" t="s">
        <v>196</v>
      </c>
      <c r="B13" s="6" t="s">
        <v>189</v>
      </c>
      <c r="C13" s="6">
        <v>2025</v>
      </c>
      <c r="D13" s="6">
        <v>475</v>
      </c>
    </row>
    <row r="14" spans="1:4" hidden="1" x14ac:dyDescent="0.15">
      <c r="A14" s="6" t="s">
        <v>197</v>
      </c>
      <c r="B14" s="6" t="s">
        <v>193</v>
      </c>
      <c r="C14" s="6">
        <v>2025</v>
      </c>
      <c r="D14" s="6">
        <v>100</v>
      </c>
    </row>
    <row r="15" spans="1:4" hidden="1" x14ac:dyDescent="0.15">
      <c r="A15" s="6" t="s">
        <v>198</v>
      </c>
      <c r="B15" s="6" t="s">
        <v>189</v>
      </c>
      <c r="C15" s="6">
        <v>2025</v>
      </c>
      <c r="D15" s="6">
        <v>460</v>
      </c>
    </row>
    <row r="16" spans="1:4" hidden="1" x14ac:dyDescent="0.15">
      <c r="A16" s="6" t="s">
        <v>198</v>
      </c>
      <c r="B16" s="6" t="s">
        <v>189</v>
      </c>
      <c r="C16" s="6">
        <v>2025</v>
      </c>
      <c r="D16" s="6">
        <v>115</v>
      </c>
    </row>
    <row r="17" spans="1:4" hidden="1" x14ac:dyDescent="0.15">
      <c r="A17" s="6" t="s">
        <v>50</v>
      </c>
      <c r="B17" s="6" t="s">
        <v>193</v>
      </c>
      <c r="C17" s="6">
        <v>2025</v>
      </c>
      <c r="D17" s="6">
        <v>470</v>
      </c>
    </row>
    <row r="18" spans="1:4" hidden="1" x14ac:dyDescent="0.15">
      <c r="A18" s="6" t="s">
        <v>199</v>
      </c>
      <c r="B18" s="6" t="s">
        <v>189</v>
      </c>
      <c r="C18" s="6">
        <v>2025</v>
      </c>
      <c r="D18" s="6">
        <v>460</v>
      </c>
    </row>
    <row r="19" spans="1:4" hidden="1" x14ac:dyDescent="0.15">
      <c r="A19" s="6" t="s">
        <v>200</v>
      </c>
      <c r="B19" s="6" t="s">
        <v>183</v>
      </c>
      <c r="C19" s="6">
        <v>2025</v>
      </c>
      <c r="D19" s="6">
        <v>800</v>
      </c>
    </row>
    <row r="20" spans="1:4" hidden="1" x14ac:dyDescent="0.15">
      <c r="A20" s="6" t="s">
        <v>201</v>
      </c>
      <c r="B20" s="6" t="s">
        <v>193</v>
      </c>
      <c r="C20" s="6">
        <v>2024</v>
      </c>
      <c r="D20" s="6">
        <v>780</v>
      </c>
    </row>
    <row r="21" spans="1:4" hidden="1" x14ac:dyDescent="0.15">
      <c r="A21" s="6" t="s">
        <v>15</v>
      </c>
      <c r="B21" s="6" t="s">
        <v>189</v>
      </c>
      <c r="C21" s="6">
        <v>2024</v>
      </c>
      <c r="D21" s="6">
        <v>490</v>
      </c>
    </row>
    <row r="22" spans="1:4" hidden="1" x14ac:dyDescent="0.15">
      <c r="A22" s="6" t="s">
        <v>202</v>
      </c>
      <c r="B22" s="6" t="s">
        <v>189</v>
      </c>
      <c r="C22" s="6">
        <v>2024</v>
      </c>
      <c r="D22" s="6">
        <v>400</v>
      </c>
    </row>
    <row r="23" spans="1:4" hidden="1" x14ac:dyDescent="0.15">
      <c r="A23" s="6" t="s">
        <v>203</v>
      </c>
      <c r="B23" s="6" t="s">
        <v>189</v>
      </c>
      <c r="C23" s="6">
        <v>2024</v>
      </c>
      <c r="D23" s="6">
        <v>60</v>
      </c>
    </row>
    <row r="24" spans="1:4" hidden="1" x14ac:dyDescent="0.15">
      <c r="A24" s="6" t="s">
        <v>204</v>
      </c>
      <c r="B24" s="6" t="s">
        <v>193</v>
      </c>
      <c r="C24" s="6">
        <v>2024</v>
      </c>
      <c r="D24" s="6">
        <v>60</v>
      </c>
    </row>
    <row r="25" spans="1:4" hidden="1" x14ac:dyDescent="0.15">
      <c r="A25" s="6" t="s">
        <v>205</v>
      </c>
      <c r="B25" s="6" t="s">
        <v>183</v>
      </c>
      <c r="C25" s="6">
        <v>2024</v>
      </c>
      <c r="D25" s="6">
        <v>480</v>
      </c>
    </row>
    <row r="26" spans="1:4" hidden="1" x14ac:dyDescent="0.15">
      <c r="A26" s="6" t="s">
        <v>206</v>
      </c>
      <c r="B26" s="6" t="s">
        <v>193</v>
      </c>
      <c r="C26" s="6">
        <v>2024</v>
      </c>
      <c r="D26" s="6">
        <v>450</v>
      </c>
    </row>
    <row r="27" spans="1:4" hidden="1" x14ac:dyDescent="0.15">
      <c r="A27" s="6" t="s">
        <v>207</v>
      </c>
      <c r="B27" s="6" t="s">
        <v>189</v>
      </c>
      <c r="C27" s="6">
        <v>2024</v>
      </c>
      <c r="D27" s="6">
        <v>460</v>
      </c>
    </row>
    <row r="28" spans="1:4" hidden="1" x14ac:dyDescent="0.15">
      <c r="A28" s="6" t="s">
        <v>208</v>
      </c>
      <c r="B28" s="6" t="s">
        <v>189</v>
      </c>
      <c r="C28" s="6">
        <v>2024</v>
      </c>
      <c r="D28" s="6">
        <v>460</v>
      </c>
    </row>
    <row r="29" spans="1:4" hidden="1" x14ac:dyDescent="0.15">
      <c r="A29" s="6" t="s">
        <v>209</v>
      </c>
      <c r="B29" s="6" t="s">
        <v>189</v>
      </c>
      <c r="C29" s="6">
        <v>2024</v>
      </c>
      <c r="D29" s="6">
        <v>50</v>
      </c>
    </row>
    <row r="30" spans="1:4" hidden="1" x14ac:dyDescent="0.15">
      <c r="A30" s="6" t="s">
        <v>210</v>
      </c>
      <c r="B30" s="6" t="s">
        <v>193</v>
      </c>
      <c r="C30" s="6">
        <v>2024</v>
      </c>
      <c r="D30" s="6">
        <v>50</v>
      </c>
    </row>
    <row r="31" spans="1:4" hidden="1" x14ac:dyDescent="0.15">
      <c r="A31" s="6" t="s">
        <v>211</v>
      </c>
      <c r="B31" s="6" t="s">
        <v>189</v>
      </c>
      <c r="C31" s="6">
        <v>2024</v>
      </c>
      <c r="D31" s="6">
        <v>480</v>
      </c>
    </row>
    <row r="32" spans="1:4" hidden="1" x14ac:dyDescent="0.15">
      <c r="A32" s="6" t="s">
        <v>212</v>
      </c>
      <c r="B32" s="6" t="s">
        <v>183</v>
      </c>
      <c r="C32" s="6">
        <v>2024</v>
      </c>
      <c r="D32" s="6">
        <v>650</v>
      </c>
    </row>
    <row r="33" spans="1:4" hidden="1" x14ac:dyDescent="0.15">
      <c r="A33" s="6" t="s">
        <v>213</v>
      </c>
      <c r="B33" s="6" t="s">
        <v>189</v>
      </c>
      <c r="C33" s="6">
        <v>2024</v>
      </c>
      <c r="D33" s="6">
        <v>50</v>
      </c>
    </row>
    <row r="34" spans="1:4" hidden="1" x14ac:dyDescent="0.15">
      <c r="A34" s="6" t="s">
        <v>182</v>
      </c>
      <c r="B34" s="6" t="s">
        <v>189</v>
      </c>
      <c r="C34" s="6">
        <v>2024</v>
      </c>
      <c r="D34" s="6">
        <v>460</v>
      </c>
    </row>
    <row r="35" spans="1:4" hidden="1" x14ac:dyDescent="0.15">
      <c r="A35" s="6" t="s">
        <v>214</v>
      </c>
      <c r="B35" s="6" t="s">
        <v>189</v>
      </c>
      <c r="C35" s="6">
        <v>2024</v>
      </c>
      <c r="D35" s="6">
        <v>76</v>
      </c>
    </row>
    <row r="36" spans="1:4" hidden="1" x14ac:dyDescent="0.15">
      <c r="A36" s="6" t="s">
        <v>215</v>
      </c>
      <c r="B36" s="6" t="s">
        <v>193</v>
      </c>
      <c r="C36" s="6">
        <v>2024</v>
      </c>
      <c r="D36" s="6">
        <v>490</v>
      </c>
    </row>
    <row r="37" spans="1:4" hidden="1" x14ac:dyDescent="0.15">
      <c r="A37" s="6" t="s">
        <v>89</v>
      </c>
      <c r="B37" s="6" t="s">
        <v>189</v>
      </c>
      <c r="C37" s="6">
        <v>2024</v>
      </c>
      <c r="D37" s="6">
        <v>700</v>
      </c>
    </row>
    <row r="38" spans="1:4" hidden="1" x14ac:dyDescent="0.15">
      <c r="A38" s="6" t="s">
        <v>151</v>
      </c>
      <c r="B38" s="6" t="s">
        <v>189</v>
      </c>
      <c r="C38" s="6">
        <v>2024</v>
      </c>
      <c r="D38" s="6">
        <v>470</v>
      </c>
    </row>
    <row r="39" spans="1:4" hidden="1" x14ac:dyDescent="0.15">
      <c r="A39" s="6" t="s">
        <v>216</v>
      </c>
      <c r="B39" s="6" t="s">
        <v>193</v>
      </c>
      <c r="C39" s="6">
        <v>2024</v>
      </c>
      <c r="D39" s="6">
        <v>745</v>
      </c>
    </row>
    <row r="40" spans="1:4" hidden="1" x14ac:dyDescent="0.15">
      <c r="A40" s="6" t="s">
        <v>217</v>
      </c>
      <c r="B40" s="6" t="s">
        <v>189</v>
      </c>
      <c r="C40" s="6">
        <v>2024</v>
      </c>
      <c r="D40" s="6">
        <v>363.5</v>
      </c>
    </row>
    <row r="41" spans="1:4" hidden="1" x14ac:dyDescent="0.15">
      <c r="A41" s="6" t="s">
        <v>218</v>
      </c>
      <c r="B41" s="6" t="s">
        <v>193</v>
      </c>
      <c r="C41" s="6">
        <v>2024</v>
      </c>
      <c r="D41" s="6">
        <v>120</v>
      </c>
    </row>
    <row r="42" spans="1:4" hidden="1" x14ac:dyDescent="0.15">
      <c r="A42" s="6" t="s">
        <v>219</v>
      </c>
      <c r="B42" s="6" t="s">
        <v>189</v>
      </c>
      <c r="C42" s="6">
        <v>2024</v>
      </c>
      <c r="D42" s="6">
        <v>530</v>
      </c>
    </row>
    <row r="43" spans="1:4" hidden="1" x14ac:dyDescent="0.15">
      <c r="A43" s="6" t="s">
        <v>220</v>
      </c>
      <c r="B43" s="6" t="s">
        <v>183</v>
      </c>
      <c r="C43" s="6">
        <v>2024</v>
      </c>
      <c r="D43" s="6">
        <v>470</v>
      </c>
    </row>
    <row r="44" spans="1:4" hidden="1" x14ac:dyDescent="0.15">
      <c r="A44" s="6" t="s">
        <v>221</v>
      </c>
      <c r="B44" s="6" t="s">
        <v>189</v>
      </c>
      <c r="C44" s="6">
        <v>2024</v>
      </c>
      <c r="D44" s="6">
        <v>450</v>
      </c>
    </row>
    <row r="45" spans="1:4" hidden="1" x14ac:dyDescent="0.15">
      <c r="A45" s="6" t="s">
        <v>221</v>
      </c>
      <c r="B45" s="6" t="s">
        <v>189</v>
      </c>
      <c r="C45" s="6">
        <v>2024</v>
      </c>
      <c r="D45" s="6">
        <v>120</v>
      </c>
    </row>
    <row r="46" spans="1:4" hidden="1" x14ac:dyDescent="0.15">
      <c r="A46" s="6" t="s">
        <v>222</v>
      </c>
      <c r="B46" s="6" t="s">
        <v>193</v>
      </c>
      <c r="C46" s="6">
        <v>2024</v>
      </c>
      <c r="D46" s="6">
        <v>681</v>
      </c>
    </row>
    <row r="47" spans="1:4" hidden="1" x14ac:dyDescent="0.15">
      <c r="A47" s="6" t="s">
        <v>223</v>
      </c>
      <c r="B47" s="6" t="s">
        <v>193</v>
      </c>
      <c r="C47" s="6">
        <v>2024</v>
      </c>
      <c r="D47" s="6">
        <v>100</v>
      </c>
    </row>
    <row r="48" spans="1:4" hidden="1" x14ac:dyDescent="0.15">
      <c r="A48" s="6" t="s">
        <v>224</v>
      </c>
      <c r="B48" s="6" t="s">
        <v>189</v>
      </c>
      <c r="C48" s="6">
        <v>2024</v>
      </c>
      <c r="D48" s="6">
        <v>745</v>
      </c>
    </row>
    <row r="49" spans="1:4" hidden="1" x14ac:dyDescent="0.15">
      <c r="A49" s="6" t="s">
        <v>225</v>
      </c>
      <c r="B49" s="6" t="s">
        <v>183</v>
      </c>
      <c r="C49" s="6">
        <v>2024</v>
      </c>
      <c r="D49" s="6">
        <v>470</v>
      </c>
    </row>
    <row r="50" spans="1:4" hidden="1" x14ac:dyDescent="0.15">
      <c r="A50" s="6" t="s">
        <v>226</v>
      </c>
      <c r="B50" s="6" t="s">
        <v>193</v>
      </c>
      <c r="C50" s="6">
        <v>2024</v>
      </c>
      <c r="D50" s="6">
        <v>200</v>
      </c>
    </row>
    <row r="51" spans="1:4" hidden="1" x14ac:dyDescent="0.15">
      <c r="A51" s="6" t="s">
        <v>227</v>
      </c>
      <c r="B51" s="6" t="s">
        <v>189</v>
      </c>
      <c r="C51" s="6">
        <v>2024</v>
      </c>
      <c r="D51" s="6">
        <v>500</v>
      </c>
    </row>
    <row r="52" spans="1:4" hidden="1" x14ac:dyDescent="0.15">
      <c r="A52" s="6" t="s">
        <v>228</v>
      </c>
      <c r="B52" s="6" t="s">
        <v>193</v>
      </c>
      <c r="C52" s="6">
        <v>2024</v>
      </c>
      <c r="D52" s="6">
        <v>460</v>
      </c>
    </row>
    <row r="53" spans="1:4" hidden="1" x14ac:dyDescent="0.15">
      <c r="A53" s="6" t="s">
        <v>229</v>
      </c>
      <c r="B53" s="6" t="s">
        <v>189</v>
      </c>
      <c r="C53" s="6">
        <v>2024</v>
      </c>
      <c r="D53" s="6">
        <v>600</v>
      </c>
    </row>
    <row r="54" spans="1:4" hidden="1" x14ac:dyDescent="0.15">
      <c r="A54" s="6" t="s">
        <v>34</v>
      </c>
      <c r="B54" s="6" t="s">
        <v>193</v>
      </c>
      <c r="C54" s="6">
        <v>2024</v>
      </c>
      <c r="D54" s="6">
        <v>400</v>
      </c>
    </row>
    <row r="55" spans="1:4" hidden="1" x14ac:dyDescent="0.15">
      <c r="A55" s="6" t="s">
        <v>230</v>
      </c>
      <c r="B55" s="6" t="s">
        <v>193</v>
      </c>
      <c r="C55" s="6">
        <v>2024</v>
      </c>
      <c r="D55" s="6">
        <v>700</v>
      </c>
    </row>
    <row r="56" spans="1:4" hidden="1" x14ac:dyDescent="0.15">
      <c r="A56" s="6" t="s">
        <v>107</v>
      </c>
      <c r="B56" s="6" t="s">
        <v>183</v>
      </c>
      <c r="C56" s="6">
        <v>2024</v>
      </c>
      <c r="D56" s="6">
        <v>700</v>
      </c>
    </row>
    <row r="57" spans="1:4" hidden="1" x14ac:dyDescent="0.15">
      <c r="A57" s="6" t="s">
        <v>231</v>
      </c>
      <c r="B57" s="6" t="s">
        <v>193</v>
      </c>
      <c r="C57" s="6">
        <v>2024</v>
      </c>
      <c r="D57" s="6">
        <v>700</v>
      </c>
    </row>
    <row r="58" spans="1:4" hidden="1" x14ac:dyDescent="0.15">
      <c r="A58" s="6" t="s">
        <v>232</v>
      </c>
      <c r="B58" s="6" t="s">
        <v>193</v>
      </c>
      <c r="C58" s="6">
        <v>2024</v>
      </c>
      <c r="D58" s="6">
        <v>450</v>
      </c>
    </row>
    <row r="59" spans="1:4" hidden="1" x14ac:dyDescent="0.15">
      <c r="A59" s="6" t="s">
        <v>112</v>
      </c>
      <c r="B59" s="6" t="s">
        <v>193</v>
      </c>
      <c r="C59" s="6">
        <v>2024</v>
      </c>
      <c r="D59" s="6">
        <v>450</v>
      </c>
    </row>
    <row r="60" spans="1:4" hidden="1" x14ac:dyDescent="0.15">
      <c r="A60" s="6" t="s">
        <v>233</v>
      </c>
      <c r="B60" s="6" t="s">
        <v>193</v>
      </c>
      <c r="C60" s="6">
        <v>2024</v>
      </c>
      <c r="D60" s="6">
        <v>120</v>
      </c>
    </row>
    <row r="61" spans="1:4" hidden="1" x14ac:dyDescent="0.15">
      <c r="A61" s="6" t="s">
        <v>234</v>
      </c>
      <c r="B61" s="6" t="s">
        <v>189</v>
      </c>
      <c r="C61" s="6">
        <v>2024</v>
      </c>
      <c r="D61" s="6">
        <v>75</v>
      </c>
    </row>
    <row r="62" spans="1:4" hidden="1" x14ac:dyDescent="0.15">
      <c r="A62" s="6" t="s">
        <v>52</v>
      </c>
      <c r="B62" s="6" t="s">
        <v>189</v>
      </c>
      <c r="C62" s="6">
        <v>2024</v>
      </c>
      <c r="D62" s="6">
        <v>390</v>
      </c>
    </row>
    <row r="63" spans="1:4" hidden="1" x14ac:dyDescent="0.15">
      <c r="A63" s="6" t="s">
        <v>235</v>
      </c>
      <c r="B63" s="6" t="s">
        <v>189</v>
      </c>
      <c r="C63" s="6">
        <v>2024</v>
      </c>
      <c r="D63" s="6">
        <v>460</v>
      </c>
    </row>
    <row r="64" spans="1:4" hidden="1" x14ac:dyDescent="0.15">
      <c r="A64" s="6" t="s">
        <v>236</v>
      </c>
      <c r="B64" s="6" t="s">
        <v>183</v>
      </c>
      <c r="C64" s="6">
        <v>2024</v>
      </c>
      <c r="D64" s="6">
        <v>460</v>
      </c>
    </row>
    <row r="65" spans="1:4" x14ac:dyDescent="0.15">
      <c r="A65" s="6" t="s">
        <v>237</v>
      </c>
      <c r="B65" s="6" t="s">
        <v>193</v>
      </c>
      <c r="C65" s="6">
        <v>2023</v>
      </c>
      <c r="D65" s="6">
        <v>80</v>
      </c>
    </row>
    <row r="66" spans="1:4" x14ac:dyDescent="0.15">
      <c r="A66" s="6" t="s">
        <v>206</v>
      </c>
      <c r="B66" s="6" t="s">
        <v>193</v>
      </c>
      <c r="C66" s="6">
        <v>2023</v>
      </c>
      <c r="D66" s="6">
        <v>450</v>
      </c>
    </row>
    <row r="67" spans="1:4" x14ac:dyDescent="0.15">
      <c r="A67" s="6" t="s">
        <v>208</v>
      </c>
      <c r="B67" s="6" t="s">
        <v>189</v>
      </c>
      <c r="C67" s="6">
        <v>2023</v>
      </c>
      <c r="D67" s="6">
        <v>460</v>
      </c>
    </row>
    <row r="68" spans="1:4" x14ac:dyDescent="0.15">
      <c r="A68" s="6" t="s">
        <v>238</v>
      </c>
      <c r="B68" s="6" t="s">
        <v>193</v>
      </c>
      <c r="C68" s="6">
        <v>2023</v>
      </c>
      <c r="D68" s="6">
        <v>460</v>
      </c>
    </row>
    <row r="69" spans="1:4" x14ac:dyDescent="0.15">
      <c r="A69" s="6" t="s">
        <v>239</v>
      </c>
      <c r="B69" s="6" t="s">
        <v>193</v>
      </c>
      <c r="C69" s="6">
        <v>2023</v>
      </c>
      <c r="D69" s="6">
        <v>700</v>
      </c>
    </row>
    <row r="70" spans="1:4" x14ac:dyDescent="0.15">
      <c r="A70" s="6" t="s">
        <v>240</v>
      </c>
      <c r="B70" s="6" t="s">
        <v>189</v>
      </c>
      <c r="C70" s="6">
        <v>2023</v>
      </c>
      <c r="D70" s="6">
        <v>120</v>
      </c>
    </row>
    <row r="71" spans="1:4" x14ac:dyDescent="0.15">
      <c r="A71" s="6" t="s">
        <v>241</v>
      </c>
      <c r="B71" s="6" t="s">
        <v>189</v>
      </c>
      <c r="C71" s="6">
        <v>2023</v>
      </c>
      <c r="D71" s="6">
        <v>120</v>
      </c>
    </row>
    <row r="72" spans="1:4" x14ac:dyDescent="0.15">
      <c r="A72" s="6" t="s">
        <v>242</v>
      </c>
      <c r="B72" s="6" t="s">
        <v>189</v>
      </c>
      <c r="C72" s="6">
        <v>2023</v>
      </c>
      <c r="D72" s="6">
        <v>75</v>
      </c>
    </row>
    <row r="73" spans="1:4" x14ac:dyDescent="0.15">
      <c r="A73" s="6" t="s">
        <v>243</v>
      </c>
      <c r="B73" s="6" t="s">
        <v>189</v>
      </c>
      <c r="C73" s="6">
        <v>2023</v>
      </c>
      <c r="D73" s="6">
        <v>50</v>
      </c>
    </row>
    <row r="74" spans="1:4" x14ac:dyDescent="0.15">
      <c r="A74" s="6" t="s">
        <v>182</v>
      </c>
      <c r="B74" s="6" t="s">
        <v>189</v>
      </c>
      <c r="C74" s="6">
        <v>2023</v>
      </c>
      <c r="D74" s="6">
        <v>460</v>
      </c>
    </row>
    <row r="75" spans="1:4" x14ac:dyDescent="0.15">
      <c r="A75" s="6" t="s">
        <v>43</v>
      </c>
      <c r="B75" s="6" t="s">
        <v>193</v>
      </c>
      <c r="C75" s="6">
        <v>2023</v>
      </c>
      <c r="D75" s="6">
        <v>600</v>
      </c>
    </row>
    <row r="76" spans="1:4" x14ac:dyDescent="0.15">
      <c r="A76" s="6" t="s">
        <v>244</v>
      </c>
      <c r="B76" s="6" t="s">
        <v>193</v>
      </c>
      <c r="C76" s="6">
        <v>2023</v>
      </c>
      <c r="D76" s="6">
        <v>500</v>
      </c>
    </row>
    <row r="77" spans="1:4" x14ac:dyDescent="0.15">
      <c r="A77" s="6" t="s">
        <v>26</v>
      </c>
      <c r="B77" s="6" t="s">
        <v>193</v>
      </c>
      <c r="C77" s="6">
        <v>2023</v>
      </c>
      <c r="D77" s="6">
        <v>75</v>
      </c>
    </row>
    <row r="78" spans="1:4" x14ac:dyDescent="0.15">
      <c r="A78" s="6" t="s">
        <v>245</v>
      </c>
      <c r="B78" s="6" t="s">
        <v>193</v>
      </c>
      <c r="C78" s="6">
        <v>2023</v>
      </c>
      <c r="D78" s="6">
        <v>460</v>
      </c>
    </row>
    <row r="79" spans="1:4" x14ac:dyDescent="0.15">
      <c r="A79" s="6" t="s">
        <v>246</v>
      </c>
      <c r="B79" s="6" t="s">
        <v>183</v>
      </c>
      <c r="C79" s="6">
        <v>2023</v>
      </c>
      <c r="D79" s="6">
        <v>500</v>
      </c>
    </row>
    <row r="80" spans="1:4" x14ac:dyDescent="0.15">
      <c r="A80" s="6" t="s">
        <v>247</v>
      </c>
      <c r="B80" s="6" t="s">
        <v>189</v>
      </c>
      <c r="C80" s="6">
        <v>2023</v>
      </c>
      <c r="D80" s="6">
        <v>115</v>
      </c>
    </row>
    <row r="81" spans="1:4" x14ac:dyDescent="0.15">
      <c r="A81" s="6" t="s">
        <v>247</v>
      </c>
      <c r="B81" s="6" t="s">
        <v>183</v>
      </c>
      <c r="C81" s="6">
        <v>2023</v>
      </c>
      <c r="D81" s="6">
        <v>115</v>
      </c>
    </row>
    <row r="82" spans="1:4" x14ac:dyDescent="0.15">
      <c r="A82" s="6" t="s">
        <v>248</v>
      </c>
      <c r="B82" s="6" t="s">
        <v>189</v>
      </c>
      <c r="C82" s="6">
        <v>2023</v>
      </c>
      <c r="D82" s="6">
        <v>460</v>
      </c>
    </row>
    <row r="83" spans="1:4" x14ac:dyDescent="0.15">
      <c r="A83" s="6" t="s">
        <v>249</v>
      </c>
      <c r="B83" s="6" t="s">
        <v>193</v>
      </c>
      <c r="C83" s="6">
        <v>2023</v>
      </c>
      <c r="D83" s="6">
        <v>400</v>
      </c>
    </row>
    <row r="84" spans="1:4" x14ac:dyDescent="0.15">
      <c r="A84" s="6" t="s">
        <v>250</v>
      </c>
      <c r="B84" s="6" t="s">
        <v>193</v>
      </c>
      <c r="C84" s="6">
        <v>2023</v>
      </c>
      <c r="D84" s="6">
        <v>75</v>
      </c>
    </row>
    <row r="85" spans="1:4" x14ac:dyDescent="0.15">
      <c r="A85" s="6" t="s">
        <v>214</v>
      </c>
      <c r="B85" s="6" t="s">
        <v>189</v>
      </c>
      <c r="C85" s="6">
        <v>2023</v>
      </c>
      <c r="D85" s="6">
        <v>500</v>
      </c>
    </row>
    <row r="86" spans="1:4" x14ac:dyDescent="0.15">
      <c r="A86" s="6" t="s">
        <v>29</v>
      </c>
      <c r="B86" s="6" t="s">
        <v>189</v>
      </c>
      <c r="C86" s="6">
        <v>2023</v>
      </c>
      <c r="D86" s="6">
        <v>485</v>
      </c>
    </row>
    <row r="87" spans="1:4" x14ac:dyDescent="0.15">
      <c r="A87" s="6" t="s">
        <v>215</v>
      </c>
      <c r="B87" s="6" t="s">
        <v>193</v>
      </c>
      <c r="C87" s="6">
        <v>2023</v>
      </c>
      <c r="D87" s="6">
        <v>490</v>
      </c>
    </row>
    <row r="88" spans="1:4" x14ac:dyDescent="0.15">
      <c r="A88" s="6" t="s">
        <v>251</v>
      </c>
      <c r="B88" s="6" t="s">
        <v>193</v>
      </c>
      <c r="C88" s="6">
        <v>2023</v>
      </c>
      <c r="D88" s="6">
        <v>115</v>
      </c>
    </row>
    <row r="89" spans="1:4" x14ac:dyDescent="0.15">
      <c r="A89" s="6" t="s">
        <v>89</v>
      </c>
      <c r="B89" s="6" t="s">
        <v>189</v>
      </c>
      <c r="C89" s="6">
        <v>2023</v>
      </c>
      <c r="D89" s="6">
        <v>700</v>
      </c>
    </row>
    <row r="90" spans="1:4" x14ac:dyDescent="0.15">
      <c r="A90" s="6" t="s">
        <v>252</v>
      </c>
      <c r="B90" s="6" t="s">
        <v>189</v>
      </c>
      <c r="C90" s="6">
        <v>2023</v>
      </c>
      <c r="D90" s="6">
        <v>830</v>
      </c>
    </row>
    <row r="91" spans="1:4" x14ac:dyDescent="0.15">
      <c r="A91" s="6" t="s">
        <v>90</v>
      </c>
      <c r="B91" s="6" t="s">
        <v>189</v>
      </c>
      <c r="C91" s="6">
        <v>2023</v>
      </c>
      <c r="D91" s="6">
        <v>463</v>
      </c>
    </row>
    <row r="92" spans="1:4" x14ac:dyDescent="0.15">
      <c r="A92" s="6" t="s">
        <v>253</v>
      </c>
      <c r="B92" s="6" t="s">
        <v>189</v>
      </c>
      <c r="C92" s="6">
        <v>2023</v>
      </c>
      <c r="D92" s="6">
        <v>500</v>
      </c>
    </row>
    <row r="93" spans="1:4" x14ac:dyDescent="0.15">
      <c r="A93" s="6" t="s">
        <v>254</v>
      </c>
      <c r="B93" s="6" t="s">
        <v>193</v>
      </c>
      <c r="C93" s="6">
        <v>2023</v>
      </c>
      <c r="D93" s="6">
        <v>500</v>
      </c>
    </row>
    <row r="94" spans="1:4" x14ac:dyDescent="0.15">
      <c r="A94" s="6" t="s">
        <v>255</v>
      </c>
      <c r="B94" s="6" t="s">
        <v>193</v>
      </c>
      <c r="C94" s="6">
        <v>2023</v>
      </c>
      <c r="D94" s="6">
        <v>670</v>
      </c>
    </row>
    <row r="95" spans="1:4" x14ac:dyDescent="0.15">
      <c r="A95" s="6" t="s">
        <v>256</v>
      </c>
      <c r="B95" s="6" t="s">
        <v>189</v>
      </c>
      <c r="C95" s="6">
        <v>2023</v>
      </c>
      <c r="D95" s="6">
        <v>75</v>
      </c>
    </row>
    <row r="96" spans="1:4" x14ac:dyDescent="0.15">
      <c r="A96" s="6" t="s">
        <v>223</v>
      </c>
      <c r="B96" s="6" t="s">
        <v>193</v>
      </c>
      <c r="C96" s="6">
        <v>2023</v>
      </c>
      <c r="D96" s="6">
        <v>100</v>
      </c>
    </row>
    <row r="97" spans="1:4" x14ac:dyDescent="0.15">
      <c r="A97" s="6" t="s">
        <v>50</v>
      </c>
      <c r="B97" s="6" t="s">
        <v>193</v>
      </c>
      <c r="C97" s="6">
        <v>2023</v>
      </c>
      <c r="D97" s="6">
        <v>470</v>
      </c>
    </row>
    <row r="98" spans="1:4" x14ac:dyDescent="0.15">
      <c r="A98" s="6" t="s">
        <v>51</v>
      </c>
      <c r="B98" s="6" t="s">
        <v>193</v>
      </c>
      <c r="C98" s="6">
        <v>2023</v>
      </c>
      <c r="D98" s="6">
        <v>478</v>
      </c>
    </row>
    <row r="99" spans="1:4" x14ac:dyDescent="0.15">
      <c r="A99" s="6" t="s">
        <v>33</v>
      </c>
      <c r="B99" s="6" t="s">
        <v>193</v>
      </c>
      <c r="C99" s="6">
        <v>2023</v>
      </c>
      <c r="D99" s="6">
        <v>460</v>
      </c>
    </row>
    <row r="100" spans="1:4" x14ac:dyDescent="0.15">
      <c r="A100" s="6" t="s">
        <v>257</v>
      </c>
      <c r="B100" s="6" t="s">
        <v>189</v>
      </c>
      <c r="C100" s="6">
        <v>2023</v>
      </c>
      <c r="D100" s="6">
        <v>70</v>
      </c>
    </row>
    <row r="101" spans="1:4" x14ac:dyDescent="0.15">
      <c r="A101" s="6" t="s">
        <v>258</v>
      </c>
      <c r="B101" s="6" t="s">
        <v>183</v>
      </c>
      <c r="C101" s="6">
        <v>2023</v>
      </c>
      <c r="D101" s="6">
        <v>600</v>
      </c>
    </row>
    <row r="102" spans="1:4" x14ac:dyDescent="0.15">
      <c r="A102" s="6" t="s">
        <v>259</v>
      </c>
      <c r="B102" s="6" t="s">
        <v>183</v>
      </c>
      <c r="C102" s="6">
        <v>2023</v>
      </c>
      <c r="D102" s="6">
        <v>780</v>
      </c>
    </row>
    <row r="103" spans="1:4" x14ac:dyDescent="0.15">
      <c r="A103" s="6" t="s">
        <v>260</v>
      </c>
      <c r="B103" s="6" t="s">
        <v>193</v>
      </c>
      <c r="C103" s="6">
        <v>2023</v>
      </c>
      <c r="D103" s="6">
        <v>490</v>
      </c>
    </row>
    <row r="104" spans="1:4" x14ac:dyDescent="0.15">
      <c r="A104" s="6" t="s">
        <v>234</v>
      </c>
      <c r="B104" s="6" t="s">
        <v>193</v>
      </c>
      <c r="C104" s="6">
        <v>2023</v>
      </c>
      <c r="D104" s="6">
        <v>75</v>
      </c>
    </row>
    <row r="105" spans="1:4" x14ac:dyDescent="0.15">
      <c r="A105" s="6" t="s">
        <v>261</v>
      </c>
      <c r="B105" s="6" t="s">
        <v>183</v>
      </c>
      <c r="C105" s="6">
        <v>2023</v>
      </c>
      <c r="D105" s="6">
        <v>490</v>
      </c>
    </row>
    <row r="106" spans="1:4" x14ac:dyDescent="0.15">
      <c r="A106" s="6" t="s">
        <v>262</v>
      </c>
      <c r="B106" s="6" t="s">
        <v>193</v>
      </c>
      <c r="C106" s="6">
        <v>2023</v>
      </c>
      <c r="D106" s="6">
        <v>460</v>
      </c>
    </row>
    <row r="107" spans="1:4" x14ac:dyDescent="0.15">
      <c r="A107" s="6" t="s">
        <v>157</v>
      </c>
      <c r="B107" s="6" t="s">
        <v>193</v>
      </c>
      <c r="C107" s="6">
        <v>2023</v>
      </c>
      <c r="D107" s="6">
        <v>600</v>
      </c>
    </row>
    <row r="108" spans="1:4" hidden="1" x14ac:dyDescent="0.15">
      <c r="A108" s="6" t="s">
        <v>263</v>
      </c>
      <c r="B108" s="6" t="s">
        <v>189</v>
      </c>
      <c r="C108" s="6">
        <v>2022</v>
      </c>
      <c r="D108" s="6">
        <v>120</v>
      </c>
    </row>
    <row r="109" spans="1:4" hidden="1" x14ac:dyDescent="0.15">
      <c r="A109" s="6" t="s">
        <v>264</v>
      </c>
      <c r="B109" s="6" t="s">
        <v>193</v>
      </c>
      <c r="C109" s="6">
        <v>2022</v>
      </c>
      <c r="D109" s="6">
        <v>80</v>
      </c>
    </row>
    <row r="110" spans="1:4" hidden="1" x14ac:dyDescent="0.15">
      <c r="A110" s="6" t="s">
        <v>265</v>
      </c>
      <c r="B110" s="6" t="s">
        <v>193</v>
      </c>
      <c r="C110" s="6">
        <v>2022</v>
      </c>
      <c r="D110" s="6">
        <v>120</v>
      </c>
    </row>
    <row r="111" spans="1:4" hidden="1" x14ac:dyDescent="0.15">
      <c r="A111" s="6" t="s">
        <v>266</v>
      </c>
      <c r="B111" s="6" t="s">
        <v>193</v>
      </c>
      <c r="C111" s="6">
        <v>2022</v>
      </c>
      <c r="D111" s="6">
        <v>60</v>
      </c>
    </row>
    <row r="112" spans="1:4" hidden="1" x14ac:dyDescent="0.15">
      <c r="A112" s="6" t="s">
        <v>267</v>
      </c>
      <c r="B112" s="6" t="s">
        <v>193</v>
      </c>
      <c r="C112" s="6">
        <v>2022</v>
      </c>
      <c r="D112" s="6">
        <v>200</v>
      </c>
    </row>
    <row r="113" spans="1:4" hidden="1" x14ac:dyDescent="0.15">
      <c r="A113" s="6" t="s">
        <v>268</v>
      </c>
      <c r="B113" s="6" t="s">
        <v>193</v>
      </c>
      <c r="C113" s="6">
        <v>2022</v>
      </c>
      <c r="D113" s="6">
        <v>80</v>
      </c>
    </row>
    <row r="114" spans="1:4" hidden="1" x14ac:dyDescent="0.15">
      <c r="A114" s="6" t="s">
        <v>269</v>
      </c>
      <c r="B114" s="6" t="s">
        <v>193</v>
      </c>
      <c r="C114" s="6">
        <v>2022</v>
      </c>
      <c r="D114" s="6">
        <v>100</v>
      </c>
    </row>
    <row r="115" spans="1:4" hidden="1" x14ac:dyDescent="0.15">
      <c r="A115" s="6" t="s">
        <v>270</v>
      </c>
      <c r="B115" s="6" t="s">
        <v>193</v>
      </c>
      <c r="C115" s="6">
        <v>2022</v>
      </c>
      <c r="D115" s="6">
        <v>75</v>
      </c>
    </row>
    <row r="116" spans="1:4" hidden="1" x14ac:dyDescent="0.15">
      <c r="A116" s="6" t="s">
        <v>38</v>
      </c>
      <c r="B116" s="6" t="s">
        <v>193</v>
      </c>
      <c r="C116" s="6">
        <v>2022</v>
      </c>
      <c r="D116" s="6">
        <v>220</v>
      </c>
    </row>
    <row r="117" spans="1:4" hidden="1" x14ac:dyDescent="0.15">
      <c r="A117" s="6" t="s">
        <v>271</v>
      </c>
      <c r="B117" s="6" t="s">
        <v>189</v>
      </c>
      <c r="C117" s="6">
        <v>2022</v>
      </c>
      <c r="D117" s="6">
        <v>180</v>
      </c>
    </row>
    <row r="118" spans="1:4" hidden="1" x14ac:dyDescent="0.15">
      <c r="A118" s="6" t="s">
        <v>272</v>
      </c>
      <c r="B118" s="6" t="s">
        <v>183</v>
      </c>
      <c r="C118" s="6">
        <v>2021</v>
      </c>
      <c r="D118" s="6">
        <v>474</v>
      </c>
    </row>
    <row r="119" spans="1:4" hidden="1" x14ac:dyDescent="0.15">
      <c r="A119" s="6" t="s">
        <v>273</v>
      </c>
      <c r="B119" s="6" t="s">
        <v>193</v>
      </c>
      <c r="C119" s="6">
        <v>2020</v>
      </c>
      <c r="D119" s="6">
        <v>100</v>
      </c>
    </row>
    <row r="120" spans="1:4" hidden="1" x14ac:dyDescent="0.15">
      <c r="A120" s="6" t="s">
        <v>274</v>
      </c>
      <c r="B120" s="6" t="s">
        <v>189</v>
      </c>
      <c r="C120" s="6">
        <v>2020</v>
      </c>
      <c r="D120" s="6">
        <v>100</v>
      </c>
    </row>
    <row r="121" spans="1:4" x14ac:dyDescent="0.15">
      <c r="A121"/>
      <c r="B121"/>
      <c r="C121"/>
      <c r="D121"/>
    </row>
    <row r="122" spans="1:4" x14ac:dyDescent="0.15">
      <c r="A122"/>
      <c r="B122"/>
      <c r="C122"/>
      <c r="D122"/>
    </row>
    <row r="123" spans="1:4" x14ac:dyDescent="0.15">
      <c r="A123"/>
      <c r="B123"/>
      <c r="C123"/>
      <c r="D123"/>
    </row>
    <row r="124" spans="1:4" x14ac:dyDescent="0.15">
      <c r="A124"/>
      <c r="B124"/>
      <c r="C124"/>
      <c r="D124"/>
    </row>
    <row r="125" spans="1:4" x14ac:dyDescent="0.15">
      <c r="A125"/>
      <c r="B125"/>
      <c r="C125"/>
      <c r="D125"/>
    </row>
    <row r="126" spans="1:4" x14ac:dyDescent="0.15">
      <c r="A126"/>
      <c r="B126"/>
      <c r="C126"/>
      <c r="D126"/>
    </row>
    <row r="127" spans="1:4" x14ac:dyDescent="0.15">
      <c r="A127"/>
      <c r="B127"/>
      <c r="C127"/>
      <c r="D127"/>
    </row>
    <row r="128" spans="1:4" x14ac:dyDescent="0.15">
      <c r="A128"/>
      <c r="B128"/>
      <c r="C128"/>
      <c r="D128"/>
    </row>
    <row r="129" customFormat="1" x14ac:dyDescent="0.15"/>
    <row r="130" customFormat="1" x14ac:dyDescent="0.15"/>
    <row r="131" customFormat="1" x14ac:dyDescent="0.15"/>
    <row r="132" customFormat="1" x14ac:dyDescent="0.15"/>
    <row r="133" customFormat="1" x14ac:dyDescent="0.15"/>
    <row r="134" customFormat="1" x14ac:dyDescent="0.15"/>
    <row r="135" customFormat="1" x14ac:dyDescent="0.15"/>
    <row r="136" customFormat="1" x14ac:dyDescent="0.15"/>
    <row r="137" customFormat="1" x14ac:dyDescent="0.15"/>
    <row r="138" customFormat="1" x14ac:dyDescent="0.15"/>
    <row r="139" customFormat="1" x14ac:dyDescent="0.15"/>
    <row r="140" customFormat="1" x14ac:dyDescent="0.15"/>
    <row r="141" customFormat="1" x14ac:dyDescent="0.15"/>
    <row r="142" customFormat="1" x14ac:dyDescent="0.15"/>
    <row r="143" customFormat="1" x14ac:dyDescent="0.15"/>
    <row r="144" customFormat="1" x14ac:dyDescent="0.15"/>
    <row r="145" customFormat="1" x14ac:dyDescent="0.15"/>
    <row r="146" customFormat="1" x14ac:dyDescent="0.15"/>
    <row r="147" customFormat="1" x14ac:dyDescent="0.15"/>
    <row r="148" customFormat="1" x14ac:dyDescent="0.15"/>
    <row r="149" customFormat="1" x14ac:dyDescent="0.15"/>
    <row r="150" customFormat="1" x14ac:dyDescent="0.15"/>
    <row r="151" customFormat="1" x14ac:dyDescent="0.15"/>
    <row r="152" customFormat="1" x14ac:dyDescent="0.15"/>
    <row r="153" customFormat="1" x14ac:dyDescent="0.15"/>
    <row r="154" customFormat="1" x14ac:dyDescent="0.15"/>
    <row r="155" customFormat="1" x14ac:dyDescent="0.15"/>
    <row r="156" customFormat="1" x14ac:dyDescent="0.15"/>
    <row r="157" customFormat="1" x14ac:dyDescent="0.15"/>
    <row r="158" customFormat="1" x14ac:dyDescent="0.15"/>
    <row r="159" customFormat="1" x14ac:dyDescent="0.15"/>
    <row r="160" customFormat="1" x14ac:dyDescent="0.15"/>
    <row r="161" customFormat="1" x14ac:dyDescent="0.15"/>
    <row r="162" customFormat="1" x14ac:dyDescent="0.15"/>
    <row r="163" customFormat="1" x14ac:dyDescent="0.15"/>
    <row r="164" customFormat="1" x14ac:dyDescent="0.15"/>
    <row r="165" customFormat="1" x14ac:dyDescent="0.15"/>
    <row r="166" customFormat="1" x14ac:dyDescent="0.15"/>
    <row r="167" customFormat="1" x14ac:dyDescent="0.15"/>
    <row r="168" customFormat="1" x14ac:dyDescent="0.15"/>
    <row r="169" customFormat="1" x14ac:dyDescent="0.15"/>
    <row r="170" customFormat="1" x14ac:dyDescent="0.15"/>
    <row r="171" customFormat="1" x14ac:dyDescent="0.15"/>
    <row r="172" customFormat="1" x14ac:dyDescent="0.15"/>
    <row r="173" customFormat="1" x14ac:dyDescent="0.15"/>
    <row r="174" customFormat="1" x14ac:dyDescent="0.15"/>
    <row r="175" customFormat="1" x14ac:dyDescent="0.15"/>
    <row r="176" customFormat="1" x14ac:dyDescent="0.15"/>
    <row r="177" customFormat="1" x14ac:dyDescent="0.15"/>
    <row r="178" customFormat="1" x14ac:dyDescent="0.15"/>
    <row r="179" customFormat="1" x14ac:dyDescent="0.15"/>
    <row r="180" customFormat="1" x14ac:dyDescent="0.15"/>
    <row r="181" customFormat="1" x14ac:dyDescent="0.15"/>
    <row r="182" customFormat="1" x14ac:dyDescent="0.15"/>
    <row r="183" customFormat="1" x14ac:dyDescent="0.15"/>
    <row r="184" customFormat="1" x14ac:dyDescent="0.15"/>
    <row r="185" customFormat="1" x14ac:dyDescent="0.15"/>
    <row r="186" customFormat="1" x14ac:dyDescent="0.15"/>
    <row r="187" customFormat="1" x14ac:dyDescent="0.15"/>
    <row r="188" customFormat="1" x14ac:dyDescent="0.15"/>
    <row r="189" customFormat="1" x14ac:dyDescent="0.15"/>
    <row r="190" customFormat="1" x14ac:dyDescent="0.15"/>
    <row r="191" customFormat="1" x14ac:dyDescent="0.15"/>
    <row r="192" customFormat="1" x14ac:dyDescent="0.15"/>
    <row r="193" customFormat="1" x14ac:dyDescent="0.15"/>
    <row r="194" customFormat="1" x14ac:dyDescent="0.15"/>
    <row r="195" customFormat="1" x14ac:dyDescent="0.15"/>
    <row r="196" customFormat="1" x14ac:dyDescent="0.15"/>
    <row r="197" customFormat="1" x14ac:dyDescent="0.15"/>
    <row r="198" customFormat="1" x14ac:dyDescent="0.15"/>
    <row r="199" customFormat="1" x14ac:dyDescent="0.15"/>
    <row r="200" customFormat="1" x14ac:dyDescent="0.15"/>
    <row r="201" customFormat="1" x14ac:dyDescent="0.15"/>
    <row r="202" customFormat="1" x14ac:dyDescent="0.15"/>
    <row r="203" customFormat="1" x14ac:dyDescent="0.15"/>
    <row r="204" customFormat="1" x14ac:dyDescent="0.15"/>
    <row r="205" customFormat="1" x14ac:dyDescent="0.15"/>
    <row r="206" customFormat="1" x14ac:dyDescent="0.15"/>
    <row r="207" customFormat="1" x14ac:dyDescent="0.15"/>
    <row r="208" customFormat="1" x14ac:dyDescent="0.15"/>
    <row r="209" customFormat="1" x14ac:dyDescent="0.15"/>
    <row r="210" customFormat="1" x14ac:dyDescent="0.15"/>
    <row r="211" customFormat="1" x14ac:dyDescent="0.15"/>
    <row r="212" customFormat="1" x14ac:dyDescent="0.15"/>
    <row r="213" customFormat="1" x14ac:dyDescent="0.15"/>
    <row r="214" customFormat="1" x14ac:dyDescent="0.15"/>
    <row r="1038892" customFormat="1" x14ac:dyDescent="0.15"/>
    <row r="1038893" customFormat="1" x14ac:dyDescent="0.15"/>
    <row r="1038894" customFormat="1" x14ac:dyDescent="0.15"/>
    <row r="1038895" customFormat="1" x14ac:dyDescent="0.15"/>
    <row r="1038896" customFormat="1" x14ac:dyDescent="0.15"/>
    <row r="1038897" customFormat="1" x14ac:dyDescent="0.15"/>
    <row r="1038898" customFormat="1" x14ac:dyDescent="0.15"/>
    <row r="1038899" customFormat="1" x14ac:dyDescent="0.15"/>
    <row r="1038900" customFormat="1" x14ac:dyDescent="0.15"/>
    <row r="1038901" customFormat="1" x14ac:dyDescent="0.15"/>
    <row r="1038902" customFormat="1" x14ac:dyDescent="0.15"/>
    <row r="1038903" customFormat="1" x14ac:dyDescent="0.15"/>
    <row r="1038904" customFormat="1" x14ac:dyDescent="0.15"/>
    <row r="1038905" customFormat="1" x14ac:dyDescent="0.15"/>
    <row r="1038906" customFormat="1" x14ac:dyDescent="0.15"/>
    <row r="1038907" customFormat="1" x14ac:dyDescent="0.15"/>
    <row r="1038908" customFormat="1" x14ac:dyDescent="0.15"/>
    <row r="1038909" customFormat="1" x14ac:dyDescent="0.15"/>
    <row r="1038910" customFormat="1" x14ac:dyDescent="0.15"/>
    <row r="1038911" customFormat="1" x14ac:dyDescent="0.15"/>
    <row r="1038912" customFormat="1" x14ac:dyDescent="0.15"/>
    <row r="1038913" customFormat="1" x14ac:dyDescent="0.15"/>
    <row r="1038914" customFormat="1" x14ac:dyDescent="0.15"/>
    <row r="1038915" customFormat="1" x14ac:dyDescent="0.15"/>
    <row r="1038916" customFormat="1" x14ac:dyDescent="0.15"/>
    <row r="1038917" customFormat="1" x14ac:dyDescent="0.15"/>
    <row r="1038918" customFormat="1" x14ac:dyDescent="0.15"/>
    <row r="1038919" customFormat="1" x14ac:dyDescent="0.15"/>
    <row r="1038920" customFormat="1" x14ac:dyDescent="0.15"/>
    <row r="1038921" customFormat="1" x14ac:dyDescent="0.15"/>
    <row r="1038922" customFormat="1" x14ac:dyDescent="0.15"/>
    <row r="1038923" customFormat="1" x14ac:dyDescent="0.15"/>
    <row r="1038924" customFormat="1" x14ac:dyDescent="0.15"/>
    <row r="1038925" customFormat="1" x14ac:dyDescent="0.15"/>
    <row r="1038926" customFormat="1" x14ac:dyDescent="0.15"/>
    <row r="1038927" customFormat="1" x14ac:dyDescent="0.15"/>
    <row r="1038928" customFormat="1" x14ac:dyDescent="0.15"/>
    <row r="1038929" customFormat="1" x14ac:dyDescent="0.15"/>
    <row r="1038930" customFormat="1" x14ac:dyDescent="0.15"/>
    <row r="1038931" customFormat="1" x14ac:dyDescent="0.15"/>
    <row r="1038932" customFormat="1" x14ac:dyDescent="0.15"/>
    <row r="1038933" customFormat="1" x14ac:dyDescent="0.15"/>
    <row r="1038934" customFormat="1" x14ac:dyDescent="0.15"/>
    <row r="1038935" customFormat="1" x14ac:dyDescent="0.15"/>
    <row r="1038936" customFormat="1" x14ac:dyDescent="0.15"/>
    <row r="1038937" customFormat="1" x14ac:dyDescent="0.15"/>
    <row r="1038938" customFormat="1" x14ac:dyDescent="0.15"/>
    <row r="1038939" customFormat="1" x14ac:dyDescent="0.15"/>
    <row r="1038940" customFormat="1" x14ac:dyDescent="0.15"/>
    <row r="1038941" customFormat="1" x14ac:dyDescent="0.15"/>
    <row r="1038942" customFormat="1" x14ac:dyDescent="0.15"/>
    <row r="1038943" customFormat="1" x14ac:dyDescent="0.15"/>
    <row r="1038944" customFormat="1" x14ac:dyDescent="0.15"/>
    <row r="1038945" customFormat="1" x14ac:dyDescent="0.15"/>
    <row r="1038946" customFormat="1" x14ac:dyDescent="0.15"/>
    <row r="1038947" customFormat="1" x14ac:dyDescent="0.15"/>
    <row r="1038948" customFormat="1" x14ac:dyDescent="0.15"/>
    <row r="1038949" customFormat="1" x14ac:dyDescent="0.15"/>
    <row r="1038950" customFormat="1" x14ac:dyDescent="0.15"/>
    <row r="1038951" customFormat="1" x14ac:dyDescent="0.15"/>
    <row r="1038952" customFormat="1" x14ac:dyDescent="0.15"/>
    <row r="1038953" customFormat="1" x14ac:dyDescent="0.15"/>
    <row r="1038954" customFormat="1" x14ac:dyDescent="0.15"/>
    <row r="1038955" customFormat="1" x14ac:dyDescent="0.15"/>
    <row r="1038956" customFormat="1" x14ac:dyDescent="0.15"/>
    <row r="1038957" customFormat="1" x14ac:dyDescent="0.15"/>
    <row r="1038958" customFormat="1" x14ac:dyDescent="0.15"/>
    <row r="1038959" customFormat="1" x14ac:dyDescent="0.15"/>
    <row r="1038960" customFormat="1" x14ac:dyDescent="0.15"/>
    <row r="1038961" customFormat="1" x14ac:dyDescent="0.15"/>
    <row r="1038962" customFormat="1" x14ac:dyDescent="0.15"/>
    <row r="1038963" customFormat="1" x14ac:dyDescent="0.15"/>
    <row r="1038964" customFormat="1" x14ac:dyDescent="0.15"/>
    <row r="1038965" customFormat="1" x14ac:dyDescent="0.15"/>
    <row r="1038966" customFormat="1" x14ac:dyDescent="0.15"/>
    <row r="1038967" customFormat="1" x14ac:dyDescent="0.15"/>
    <row r="1038968" customFormat="1" x14ac:dyDescent="0.15"/>
    <row r="1038969" customFormat="1" x14ac:dyDescent="0.15"/>
    <row r="1038970" customFormat="1" x14ac:dyDescent="0.15"/>
    <row r="1038971" customFormat="1" x14ac:dyDescent="0.15"/>
    <row r="1038972" customFormat="1" x14ac:dyDescent="0.15"/>
    <row r="1038973" customFormat="1" x14ac:dyDescent="0.15"/>
    <row r="1038974" customFormat="1" x14ac:dyDescent="0.15"/>
    <row r="1038975" customFormat="1" x14ac:dyDescent="0.15"/>
    <row r="1038976" customFormat="1" x14ac:dyDescent="0.15"/>
    <row r="1038977" customFormat="1" x14ac:dyDescent="0.15"/>
    <row r="1038978" customFormat="1" x14ac:dyDescent="0.15"/>
    <row r="1038979" customFormat="1" x14ac:dyDescent="0.15"/>
    <row r="1038980" customFormat="1" x14ac:dyDescent="0.15"/>
    <row r="1038981" customFormat="1" x14ac:dyDescent="0.15"/>
    <row r="1038982" customFormat="1" x14ac:dyDescent="0.15"/>
    <row r="1038983" customFormat="1" x14ac:dyDescent="0.15"/>
    <row r="1038984" customFormat="1" x14ac:dyDescent="0.15"/>
    <row r="1038985" customFormat="1" x14ac:dyDescent="0.15"/>
    <row r="1038986" customFormat="1" x14ac:dyDescent="0.15"/>
    <row r="1038987" customFormat="1" x14ac:dyDescent="0.15"/>
    <row r="1038988" customFormat="1" x14ac:dyDescent="0.15"/>
    <row r="1038989" customFormat="1" x14ac:dyDescent="0.15"/>
    <row r="1038990" customFormat="1" x14ac:dyDescent="0.15"/>
    <row r="1038991" customFormat="1" x14ac:dyDescent="0.15"/>
    <row r="1038992" customFormat="1" x14ac:dyDescent="0.15"/>
    <row r="1038993" customFormat="1" x14ac:dyDescent="0.15"/>
    <row r="1038994" customFormat="1" x14ac:dyDescent="0.15"/>
    <row r="1038995" customFormat="1" x14ac:dyDescent="0.15"/>
    <row r="1038996" customFormat="1" x14ac:dyDescent="0.15"/>
    <row r="1038997" customFormat="1" x14ac:dyDescent="0.15"/>
    <row r="1038998" customFormat="1" x14ac:dyDescent="0.15"/>
    <row r="1038999" customFormat="1" x14ac:dyDescent="0.15"/>
    <row r="1039000" customFormat="1" x14ac:dyDescent="0.15"/>
    <row r="1039001" customFormat="1" x14ac:dyDescent="0.15"/>
    <row r="1039002" customFormat="1" x14ac:dyDescent="0.15"/>
    <row r="1039003" customFormat="1" x14ac:dyDescent="0.15"/>
    <row r="1039004" customFormat="1" x14ac:dyDescent="0.15"/>
    <row r="1039005" customFormat="1" x14ac:dyDescent="0.15"/>
    <row r="1039006" customFormat="1" x14ac:dyDescent="0.15"/>
    <row r="1039007" customFormat="1" x14ac:dyDescent="0.15"/>
    <row r="1039008" customFormat="1" x14ac:dyDescent="0.15"/>
    <row r="1039009" customFormat="1" x14ac:dyDescent="0.15"/>
    <row r="1039010" customFormat="1" x14ac:dyDescent="0.15"/>
    <row r="1039011" customFormat="1" x14ac:dyDescent="0.15"/>
    <row r="1039012" customFormat="1" x14ac:dyDescent="0.15"/>
    <row r="1039013" customFormat="1" x14ac:dyDescent="0.15"/>
    <row r="1039014" customFormat="1" x14ac:dyDescent="0.15"/>
    <row r="1039015" customFormat="1" x14ac:dyDescent="0.15"/>
    <row r="1039016" customFormat="1" x14ac:dyDescent="0.15"/>
    <row r="1039017" customFormat="1" x14ac:dyDescent="0.15"/>
    <row r="1039018" customFormat="1" x14ac:dyDescent="0.15"/>
    <row r="1039019" customFormat="1" x14ac:dyDescent="0.15"/>
    <row r="1039020" customFormat="1" x14ac:dyDescent="0.15"/>
    <row r="1039021" customFormat="1" x14ac:dyDescent="0.15"/>
    <row r="1039022" customFormat="1" x14ac:dyDescent="0.15"/>
    <row r="1039023" customFormat="1" x14ac:dyDescent="0.15"/>
    <row r="1039024" customFormat="1" x14ac:dyDescent="0.15"/>
    <row r="1039025" customFormat="1" x14ac:dyDescent="0.15"/>
    <row r="1039026" customFormat="1" x14ac:dyDescent="0.15"/>
    <row r="1039027" customFormat="1" x14ac:dyDescent="0.15"/>
    <row r="1039028" customFormat="1" x14ac:dyDescent="0.15"/>
    <row r="1039029" customFormat="1" x14ac:dyDescent="0.15"/>
    <row r="1039030" customFormat="1" x14ac:dyDescent="0.15"/>
    <row r="1039031" customFormat="1" x14ac:dyDescent="0.15"/>
    <row r="1039032" customFormat="1" x14ac:dyDescent="0.15"/>
    <row r="1039033" customFormat="1" x14ac:dyDescent="0.15"/>
    <row r="1039034" customFormat="1" x14ac:dyDescent="0.15"/>
    <row r="1039035" customFormat="1" x14ac:dyDescent="0.15"/>
    <row r="1039036" customFormat="1" x14ac:dyDescent="0.15"/>
    <row r="1039037" customFormat="1" x14ac:dyDescent="0.15"/>
    <row r="1039038" customFormat="1" x14ac:dyDescent="0.15"/>
    <row r="1039039" customFormat="1" x14ac:dyDescent="0.15"/>
    <row r="1039040" customFormat="1" x14ac:dyDescent="0.15"/>
    <row r="1039041" customFormat="1" x14ac:dyDescent="0.15"/>
    <row r="1039042" customFormat="1" x14ac:dyDescent="0.15"/>
    <row r="1039043" customFormat="1" x14ac:dyDescent="0.15"/>
    <row r="1039044" customFormat="1" x14ac:dyDescent="0.15"/>
    <row r="1039045" customFormat="1" x14ac:dyDescent="0.15"/>
    <row r="1039046" customFormat="1" x14ac:dyDescent="0.15"/>
    <row r="1039047" customFormat="1" x14ac:dyDescent="0.15"/>
    <row r="1039048" customFormat="1" x14ac:dyDescent="0.15"/>
    <row r="1039049" customFormat="1" x14ac:dyDescent="0.15"/>
    <row r="1039050" customFormat="1" x14ac:dyDescent="0.15"/>
    <row r="1039051" customFormat="1" x14ac:dyDescent="0.15"/>
    <row r="1039052" customFormat="1" x14ac:dyDescent="0.15"/>
    <row r="1039053" customFormat="1" x14ac:dyDescent="0.15"/>
    <row r="1039054" customFormat="1" x14ac:dyDescent="0.15"/>
    <row r="1039055" customFormat="1" x14ac:dyDescent="0.15"/>
    <row r="1039056" customFormat="1" x14ac:dyDescent="0.15"/>
    <row r="1039057" customFormat="1" x14ac:dyDescent="0.15"/>
    <row r="1039058" customFormat="1" x14ac:dyDescent="0.15"/>
    <row r="1039059" customFormat="1" x14ac:dyDescent="0.15"/>
    <row r="1039060" customFormat="1" x14ac:dyDescent="0.15"/>
    <row r="1039061" customFormat="1" x14ac:dyDescent="0.15"/>
    <row r="1039062" customFormat="1" x14ac:dyDescent="0.15"/>
    <row r="1039063" customFormat="1" x14ac:dyDescent="0.15"/>
    <row r="1039064" customFormat="1" x14ac:dyDescent="0.15"/>
    <row r="1039065" customFormat="1" x14ac:dyDescent="0.15"/>
    <row r="1039066" customFormat="1" x14ac:dyDescent="0.15"/>
    <row r="1039067" customFormat="1" x14ac:dyDescent="0.15"/>
    <row r="1039068" customFormat="1" x14ac:dyDescent="0.15"/>
    <row r="1039069" customFormat="1" x14ac:dyDescent="0.15"/>
    <row r="1039070" customFormat="1" x14ac:dyDescent="0.15"/>
    <row r="1039071" customFormat="1" x14ac:dyDescent="0.15"/>
    <row r="1039072" customFormat="1" x14ac:dyDescent="0.15"/>
    <row r="1039073" customFormat="1" x14ac:dyDescent="0.15"/>
    <row r="1039074" customFormat="1" x14ac:dyDescent="0.15"/>
    <row r="1039075" customFormat="1" x14ac:dyDescent="0.15"/>
    <row r="1039076" customFormat="1" x14ac:dyDescent="0.15"/>
    <row r="1039077" customFormat="1" x14ac:dyDescent="0.15"/>
    <row r="1039078" customFormat="1" x14ac:dyDescent="0.15"/>
    <row r="1039079" customFormat="1" x14ac:dyDescent="0.15"/>
    <row r="1039080" customFormat="1" x14ac:dyDescent="0.15"/>
    <row r="1039081" customFormat="1" x14ac:dyDescent="0.15"/>
    <row r="1039082" customFormat="1" x14ac:dyDescent="0.15"/>
    <row r="1039083" customFormat="1" x14ac:dyDescent="0.15"/>
    <row r="1039084" customFormat="1" x14ac:dyDescent="0.15"/>
    <row r="1039085" customFormat="1" x14ac:dyDescent="0.15"/>
    <row r="1039086" customFormat="1" x14ac:dyDescent="0.15"/>
    <row r="1039087" customFormat="1" x14ac:dyDescent="0.15"/>
    <row r="1039088" customFormat="1" x14ac:dyDescent="0.15"/>
    <row r="1039089" customFormat="1" x14ac:dyDescent="0.15"/>
    <row r="1039090" customFormat="1" x14ac:dyDescent="0.15"/>
    <row r="1039091" customFormat="1" x14ac:dyDescent="0.15"/>
    <row r="1039092" customFormat="1" x14ac:dyDescent="0.15"/>
    <row r="1039093" customFormat="1" x14ac:dyDescent="0.15"/>
    <row r="1039094" customFormat="1" x14ac:dyDescent="0.15"/>
    <row r="1039095" customFormat="1" x14ac:dyDescent="0.15"/>
    <row r="1039096" customFormat="1" x14ac:dyDescent="0.15"/>
    <row r="1039097" customFormat="1" x14ac:dyDescent="0.15"/>
    <row r="1039098" customFormat="1" x14ac:dyDescent="0.15"/>
    <row r="1039099" customFormat="1" x14ac:dyDescent="0.15"/>
    <row r="1039100" customFormat="1" x14ac:dyDescent="0.15"/>
    <row r="1039101" customFormat="1" x14ac:dyDescent="0.15"/>
    <row r="1039102" customFormat="1" x14ac:dyDescent="0.15"/>
    <row r="1039103" customFormat="1" x14ac:dyDescent="0.15"/>
    <row r="1039104" customFormat="1" x14ac:dyDescent="0.15"/>
    <row r="1039105" customFormat="1" x14ac:dyDescent="0.15"/>
    <row r="1039106" customFormat="1" x14ac:dyDescent="0.15"/>
    <row r="1039107" customFormat="1" x14ac:dyDescent="0.15"/>
    <row r="1039108" customFormat="1" x14ac:dyDescent="0.15"/>
    <row r="1039109" customFormat="1" x14ac:dyDescent="0.15"/>
    <row r="1039110" customFormat="1" x14ac:dyDescent="0.15"/>
    <row r="1039111" customFormat="1" x14ac:dyDescent="0.15"/>
    <row r="1039112" customFormat="1" x14ac:dyDescent="0.15"/>
    <row r="1039113" customFormat="1" x14ac:dyDescent="0.15"/>
    <row r="1039114" customFormat="1" x14ac:dyDescent="0.15"/>
    <row r="1039115" customFormat="1" x14ac:dyDescent="0.15"/>
    <row r="1039116" customFormat="1" x14ac:dyDescent="0.15"/>
    <row r="1039117" customFormat="1" x14ac:dyDescent="0.15"/>
    <row r="1039118" customFormat="1" x14ac:dyDescent="0.15"/>
    <row r="1039119" customFormat="1" x14ac:dyDescent="0.15"/>
    <row r="1039120" customFormat="1" x14ac:dyDescent="0.15"/>
    <row r="1039121" customFormat="1" x14ac:dyDescent="0.15"/>
    <row r="1039122" customFormat="1" x14ac:dyDescent="0.15"/>
    <row r="1039123" customFormat="1" x14ac:dyDescent="0.15"/>
    <row r="1039124" customFormat="1" x14ac:dyDescent="0.15"/>
    <row r="1039125" customFormat="1" x14ac:dyDescent="0.15"/>
    <row r="1039126" customFormat="1" x14ac:dyDescent="0.15"/>
    <row r="1039127" customFormat="1" x14ac:dyDescent="0.15"/>
    <row r="1039128" customFormat="1" x14ac:dyDescent="0.15"/>
    <row r="1039129" customFormat="1" x14ac:dyDescent="0.15"/>
    <row r="1039130" customFormat="1" x14ac:dyDescent="0.15"/>
    <row r="1039131" customFormat="1" x14ac:dyDescent="0.15"/>
    <row r="1039132" customFormat="1" x14ac:dyDescent="0.15"/>
    <row r="1039133" customFormat="1" x14ac:dyDescent="0.15"/>
    <row r="1039134" customFormat="1" x14ac:dyDescent="0.15"/>
    <row r="1039135" customFormat="1" x14ac:dyDescent="0.15"/>
    <row r="1039136" customFormat="1" x14ac:dyDescent="0.15"/>
    <row r="1039137" customFormat="1" x14ac:dyDescent="0.15"/>
    <row r="1039138" customFormat="1" x14ac:dyDescent="0.15"/>
    <row r="1039139" customFormat="1" x14ac:dyDescent="0.15"/>
    <row r="1039140" customFormat="1" x14ac:dyDescent="0.15"/>
    <row r="1039141" customFormat="1" x14ac:dyDescent="0.15"/>
    <row r="1039142" customFormat="1" x14ac:dyDescent="0.15"/>
    <row r="1039143" customFormat="1" x14ac:dyDescent="0.15"/>
    <row r="1039144" customFormat="1" x14ac:dyDescent="0.15"/>
    <row r="1039145" customFormat="1" x14ac:dyDescent="0.15"/>
    <row r="1039146" customFormat="1" x14ac:dyDescent="0.15"/>
    <row r="1039147" customFormat="1" x14ac:dyDescent="0.15"/>
    <row r="1039148" customFormat="1" x14ac:dyDescent="0.15"/>
    <row r="1039149" customFormat="1" x14ac:dyDescent="0.15"/>
    <row r="1039150" customFormat="1" x14ac:dyDescent="0.15"/>
    <row r="1039151" customFormat="1" x14ac:dyDescent="0.15"/>
    <row r="1039152" customFormat="1" x14ac:dyDescent="0.15"/>
    <row r="1039153" customFormat="1" x14ac:dyDescent="0.15"/>
    <row r="1039154" customFormat="1" x14ac:dyDescent="0.15"/>
    <row r="1039155" customFormat="1" x14ac:dyDescent="0.15"/>
    <row r="1039156" customFormat="1" x14ac:dyDescent="0.15"/>
    <row r="1039157" customFormat="1" x14ac:dyDescent="0.15"/>
    <row r="1039158" customFormat="1" x14ac:dyDescent="0.15"/>
    <row r="1039159" customFormat="1" x14ac:dyDescent="0.15"/>
    <row r="1039160" customFormat="1" x14ac:dyDescent="0.15"/>
    <row r="1039161" customFormat="1" x14ac:dyDescent="0.15"/>
    <row r="1039162" customFormat="1" x14ac:dyDescent="0.15"/>
    <row r="1039163" customFormat="1" x14ac:dyDescent="0.15"/>
    <row r="1039164" customFormat="1" x14ac:dyDescent="0.15"/>
    <row r="1039165" customFormat="1" x14ac:dyDescent="0.15"/>
    <row r="1039166" customFormat="1" x14ac:dyDescent="0.15"/>
    <row r="1039167" customFormat="1" x14ac:dyDescent="0.15"/>
    <row r="1039168" customFormat="1" x14ac:dyDescent="0.15"/>
    <row r="1039169" customFormat="1" x14ac:dyDescent="0.15"/>
    <row r="1039170" customFormat="1" x14ac:dyDescent="0.15"/>
    <row r="1039171" customFormat="1" x14ac:dyDescent="0.15"/>
    <row r="1039172" customFormat="1" x14ac:dyDescent="0.15"/>
    <row r="1039173" customFormat="1" x14ac:dyDescent="0.15"/>
    <row r="1039174" customFormat="1" x14ac:dyDescent="0.15"/>
    <row r="1039175" customFormat="1" x14ac:dyDescent="0.15"/>
    <row r="1039176" customFormat="1" x14ac:dyDescent="0.15"/>
    <row r="1039177" customFormat="1" x14ac:dyDescent="0.15"/>
    <row r="1039178" customFormat="1" x14ac:dyDescent="0.15"/>
    <row r="1039179" customFormat="1" x14ac:dyDescent="0.15"/>
    <row r="1039180" customFormat="1" x14ac:dyDescent="0.15"/>
    <row r="1039181" customFormat="1" x14ac:dyDescent="0.15"/>
    <row r="1039182" customFormat="1" x14ac:dyDescent="0.15"/>
    <row r="1039183" customFormat="1" x14ac:dyDescent="0.15"/>
    <row r="1039184" customFormat="1" x14ac:dyDescent="0.15"/>
    <row r="1039185" customFormat="1" x14ac:dyDescent="0.15"/>
    <row r="1039186" customFormat="1" x14ac:dyDescent="0.15"/>
    <row r="1039187" customFormat="1" x14ac:dyDescent="0.15"/>
    <row r="1039188" customFormat="1" x14ac:dyDescent="0.15"/>
    <row r="1039189" customFormat="1" x14ac:dyDescent="0.15"/>
    <row r="1039190" customFormat="1" x14ac:dyDescent="0.15"/>
    <row r="1039191" customFormat="1" x14ac:dyDescent="0.15"/>
    <row r="1039192" customFormat="1" x14ac:dyDescent="0.15"/>
    <row r="1039193" customFormat="1" x14ac:dyDescent="0.15"/>
    <row r="1039194" customFormat="1" x14ac:dyDescent="0.15"/>
    <row r="1039195" customFormat="1" x14ac:dyDescent="0.15"/>
    <row r="1039196" customFormat="1" x14ac:dyDescent="0.15"/>
    <row r="1039197" customFormat="1" x14ac:dyDescent="0.15"/>
    <row r="1039198" customFormat="1" x14ac:dyDescent="0.15"/>
    <row r="1039199" customFormat="1" x14ac:dyDescent="0.15"/>
    <row r="1039200" customFormat="1" x14ac:dyDescent="0.15"/>
    <row r="1039201" customFormat="1" x14ac:dyDescent="0.15"/>
    <row r="1039202" customFormat="1" x14ac:dyDescent="0.15"/>
    <row r="1039203" customFormat="1" x14ac:dyDescent="0.15"/>
    <row r="1039204" customFormat="1" x14ac:dyDescent="0.15"/>
    <row r="1039205" customFormat="1" x14ac:dyDescent="0.15"/>
    <row r="1039206" customFormat="1" x14ac:dyDescent="0.15"/>
    <row r="1039207" customFormat="1" x14ac:dyDescent="0.15"/>
    <row r="1039208" customFormat="1" x14ac:dyDescent="0.15"/>
    <row r="1039209" customFormat="1" x14ac:dyDescent="0.15"/>
    <row r="1039210" customFormat="1" x14ac:dyDescent="0.15"/>
    <row r="1039211" customFormat="1" x14ac:dyDescent="0.15"/>
    <row r="1039212" customFormat="1" x14ac:dyDescent="0.15"/>
    <row r="1039213" customFormat="1" x14ac:dyDescent="0.15"/>
    <row r="1039214" customFormat="1" x14ac:dyDescent="0.15"/>
    <row r="1039215" customFormat="1" x14ac:dyDescent="0.15"/>
    <row r="1039216" customFormat="1" x14ac:dyDescent="0.15"/>
    <row r="1039217" customFormat="1" x14ac:dyDescent="0.15"/>
    <row r="1039218" customFormat="1" x14ac:dyDescent="0.15"/>
    <row r="1039219" customFormat="1" x14ac:dyDescent="0.15"/>
    <row r="1039220" customFormat="1" x14ac:dyDescent="0.15"/>
    <row r="1039221" customFormat="1" x14ac:dyDescent="0.15"/>
    <row r="1039222" customFormat="1" x14ac:dyDescent="0.15"/>
    <row r="1039223" customFormat="1" x14ac:dyDescent="0.15"/>
    <row r="1039224" customFormat="1" x14ac:dyDescent="0.15"/>
    <row r="1039225" customFormat="1" x14ac:dyDescent="0.15"/>
    <row r="1039226" customFormat="1" x14ac:dyDescent="0.15"/>
    <row r="1039227" customFormat="1" x14ac:dyDescent="0.15"/>
    <row r="1039228" customFormat="1" x14ac:dyDescent="0.15"/>
    <row r="1039229" customFormat="1" x14ac:dyDescent="0.15"/>
    <row r="1039230" customFormat="1" x14ac:dyDescent="0.15"/>
    <row r="1039231" customFormat="1" x14ac:dyDescent="0.15"/>
    <row r="1039232" customFormat="1" x14ac:dyDescent="0.15"/>
    <row r="1039233" customFormat="1" x14ac:dyDescent="0.15"/>
    <row r="1039234" customFormat="1" x14ac:dyDescent="0.15"/>
    <row r="1039235" customFormat="1" x14ac:dyDescent="0.15"/>
    <row r="1039236" customFormat="1" x14ac:dyDescent="0.15"/>
    <row r="1039237" customFormat="1" x14ac:dyDescent="0.15"/>
    <row r="1039238" customFormat="1" x14ac:dyDescent="0.15"/>
    <row r="1039239" customFormat="1" x14ac:dyDescent="0.15"/>
    <row r="1039240" customFormat="1" x14ac:dyDescent="0.15"/>
    <row r="1039241" customFormat="1" x14ac:dyDescent="0.15"/>
    <row r="1039242" customFormat="1" x14ac:dyDescent="0.15"/>
    <row r="1039243" customFormat="1" x14ac:dyDescent="0.15"/>
    <row r="1039244" customFormat="1" x14ac:dyDescent="0.15"/>
    <row r="1039245" customFormat="1" x14ac:dyDescent="0.15"/>
    <row r="1039246" customFormat="1" x14ac:dyDescent="0.15"/>
    <row r="1039247" customFormat="1" x14ac:dyDescent="0.15"/>
    <row r="1039248" customFormat="1" x14ac:dyDescent="0.15"/>
    <row r="1039249" customFormat="1" x14ac:dyDescent="0.15"/>
    <row r="1039250" customFormat="1" x14ac:dyDescent="0.15"/>
    <row r="1039251" customFormat="1" x14ac:dyDescent="0.15"/>
    <row r="1039252" customFormat="1" x14ac:dyDescent="0.15"/>
    <row r="1039253" customFormat="1" x14ac:dyDescent="0.15"/>
    <row r="1039254" customFormat="1" x14ac:dyDescent="0.15"/>
    <row r="1039255" customFormat="1" x14ac:dyDescent="0.15"/>
    <row r="1039256" customFormat="1" x14ac:dyDescent="0.15"/>
    <row r="1039257" customFormat="1" x14ac:dyDescent="0.15"/>
    <row r="1039258" customFormat="1" x14ac:dyDescent="0.15"/>
    <row r="1039259" customFormat="1" x14ac:dyDescent="0.15"/>
    <row r="1039260" customFormat="1" x14ac:dyDescent="0.15"/>
    <row r="1039261" customFormat="1" x14ac:dyDescent="0.15"/>
    <row r="1039262" customFormat="1" x14ac:dyDescent="0.15"/>
    <row r="1039263" customFormat="1" x14ac:dyDescent="0.15"/>
    <row r="1039264" customFormat="1" x14ac:dyDescent="0.15"/>
    <row r="1039265" customFormat="1" x14ac:dyDescent="0.15"/>
    <row r="1039266" customFormat="1" x14ac:dyDescent="0.15"/>
    <row r="1039267" customFormat="1" x14ac:dyDescent="0.15"/>
    <row r="1039268" customFormat="1" x14ac:dyDescent="0.15"/>
    <row r="1039269" customFormat="1" x14ac:dyDescent="0.15"/>
    <row r="1039270" customFormat="1" x14ac:dyDescent="0.15"/>
    <row r="1039271" customFormat="1" x14ac:dyDescent="0.15"/>
    <row r="1039272" customFormat="1" x14ac:dyDescent="0.15"/>
    <row r="1039273" customFormat="1" x14ac:dyDescent="0.15"/>
    <row r="1039274" customFormat="1" x14ac:dyDescent="0.15"/>
    <row r="1039275" customFormat="1" x14ac:dyDescent="0.15"/>
    <row r="1039276" customFormat="1" x14ac:dyDescent="0.15"/>
    <row r="1039277" customFormat="1" x14ac:dyDescent="0.15"/>
    <row r="1039278" customFormat="1" x14ac:dyDescent="0.15"/>
    <row r="1039279" customFormat="1" x14ac:dyDescent="0.15"/>
    <row r="1039280" customFormat="1" x14ac:dyDescent="0.15"/>
    <row r="1039281" customFormat="1" x14ac:dyDescent="0.15"/>
    <row r="1039282" customFormat="1" x14ac:dyDescent="0.15"/>
    <row r="1039283" customFormat="1" x14ac:dyDescent="0.15"/>
    <row r="1039284" customFormat="1" x14ac:dyDescent="0.15"/>
    <row r="1039285" customFormat="1" x14ac:dyDescent="0.15"/>
    <row r="1039286" customFormat="1" x14ac:dyDescent="0.15"/>
    <row r="1039287" customFormat="1" x14ac:dyDescent="0.15"/>
    <row r="1039288" customFormat="1" x14ac:dyDescent="0.15"/>
    <row r="1039289" customFormat="1" x14ac:dyDescent="0.15"/>
    <row r="1039290" customFormat="1" x14ac:dyDescent="0.15"/>
    <row r="1039291" customFormat="1" x14ac:dyDescent="0.15"/>
    <row r="1039292" customFormat="1" x14ac:dyDescent="0.15"/>
    <row r="1039293" customFormat="1" x14ac:dyDescent="0.15"/>
    <row r="1039294" customFormat="1" x14ac:dyDescent="0.15"/>
    <row r="1039295" customFormat="1" x14ac:dyDescent="0.15"/>
    <row r="1039296" customFormat="1" x14ac:dyDescent="0.15"/>
    <row r="1039297" customFormat="1" x14ac:dyDescent="0.15"/>
    <row r="1039298" customFormat="1" x14ac:dyDescent="0.15"/>
    <row r="1039299" customFormat="1" x14ac:dyDescent="0.15"/>
    <row r="1039300" customFormat="1" x14ac:dyDescent="0.15"/>
    <row r="1039301" customFormat="1" x14ac:dyDescent="0.15"/>
    <row r="1039302" customFormat="1" x14ac:dyDescent="0.15"/>
    <row r="1039303" customFormat="1" x14ac:dyDescent="0.15"/>
    <row r="1039304" customFormat="1" x14ac:dyDescent="0.15"/>
    <row r="1039305" customFormat="1" x14ac:dyDescent="0.15"/>
    <row r="1039306" customFormat="1" x14ac:dyDescent="0.15"/>
    <row r="1039307" customFormat="1" x14ac:dyDescent="0.15"/>
    <row r="1039308" customFormat="1" x14ac:dyDescent="0.15"/>
    <row r="1039309" customFormat="1" x14ac:dyDescent="0.15"/>
    <row r="1039310" customFormat="1" x14ac:dyDescent="0.15"/>
    <row r="1039311" customFormat="1" x14ac:dyDescent="0.15"/>
    <row r="1039312" customFormat="1" x14ac:dyDescent="0.15"/>
    <row r="1039313" customFormat="1" x14ac:dyDescent="0.15"/>
    <row r="1039314" customFormat="1" x14ac:dyDescent="0.15"/>
    <row r="1039315" customFormat="1" x14ac:dyDescent="0.15"/>
    <row r="1039316" customFormat="1" x14ac:dyDescent="0.15"/>
    <row r="1039317" customFormat="1" x14ac:dyDescent="0.15"/>
    <row r="1039318" customFormat="1" x14ac:dyDescent="0.15"/>
    <row r="1039319" customFormat="1" x14ac:dyDescent="0.15"/>
    <row r="1039320" customFormat="1" x14ac:dyDescent="0.15"/>
    <row r="1039321" customFormat="1" x14ac:dyDescent="0.15"/>
    <row r="1039322" customFormat="1" x14ac:dyDescent="0.15"/>
    <row r="1039323" customFormat="1" x14ac:dyDescent="0.15"/>
    <row r="1039324" customFormat="1" x14ac:dyDescent="0.15"/>
    <row r="1039325" customFormat="1" x14ac:dyDescent="0.15"/>
    <row r="1039326" customFormat="1" x14ac:dyDescent="0.15"/>
    <row r="1039327" customFormat="1" x14ac:dyDescent="0.15"/>
    <row r="1039328" customFormat="1" x14ac:dyDescent="0.15"/>
    <row r="1039329" customFormat="1" x14ac:dyDescent="0.15"/>
    <row r="1039330" customFormat="1" x14ac:dyDescent="0.15"/>
    <row r="1039331" customFormat="1" x14ac:dyDescent="0.15"/>
    <row r="1039332" customFormat="1" x14ac:dyDescent="0.15"/>
    <row r="1039333" customFormat="1" x14ac:dyDescent="0.15"/>
    <row r="1039334" customFormat="1" x14ac:dyDescent="0.15"/>
    <row r="1039335" customFormat="1" x14ac:dyDescent="0.15"/>
    <row r="1039336" customFormat="1" x14ac:dyDescent="0.15"/>
    <row r="1039337" customFormat="1" x14ac:dyDescent="0.15"/>
    <row r="1039338" customFormat="1" x14ac:dyDescent="0.15"/>
    <row r="1039339" customFormat="1" x14ac:dyDescent="0.15"/>
    <row r="1039340" customFormat="1" x14ac:dyDescent="0.15"/>
    <row r="1039341" customFormat="1" x14ac:dyDescent="0.15"/>
    <row r="1039342" customFormat="1" x14ac:dyDescent="0.15"/>
    <row r="1039343" customFormat="1" x14ac:dyDescent="0.15"/>
    <row r="1039344" customFormat="1" x14ac:dyDescent="0.15"/>
    <row r="1039345" customFormat="1" x14ac:dyDescent="0.15"/>
    <row r="1039346" customFormat="1" x14ac:dyDescent="0.15"/>
    <row r="1039347" customFormat="1" x14ac:dyDescent="0.15"/>
    <row r="1039348" customFormat="1" x14ac:dyDescent="0.15"/>
    <row r="1039349" customFormat="1" x14ac:dyDescent="0.15"/>
    <row r="1039350" customFormat="1" x14ac:dyDescent="0.15"/>
    <row r="1039351" customFormat="1" x14ac:dyDescent="0.15"/>
    <row r="1039352" customFormat="1" x14ac:dyDescent="0.15"/>
    <row r="1039353" customFormat="1" x14ac:dyDescent="0.15"/>
    <row r="1039354" customFormat="1" x14ac:dyDescent="0.15"/>
    <row r="1039355" customFormat="1" x14ac:dyDescent="0.15"/>
    <row r="1039356" customFormat="1" x14ac:dyDescent="0.15"/>
    <row r="1039357" customFormat="1" x14ac:dyDescent="0.15"/>
    <row r="1039358" customFormat="1" x14ac:dyDescent="0.15"/>
    <row r="1039359" customFormat="1" x14ac:dyDescent="0.15"/>
    <row r="1039360" customFormat="1" x14ac:dyDescent="0.15"/>
    <row r="1039361" customFormat="1" x14ac:dyDescent="0.15"/>
    <row r="1039362" customFormat="1" x14ac:dyDescent="0.15"/>
    <row r="1039363" customFormat="1" x14ac:dyDescent="0.15"/>
    <row r="1039364" customFormat="1" x14ac:dyDescent="0.15"/>
    <row r="1039365" customFormat="1" x14ac:dyDescent="0.15"/>
    <row r="1039366" customFormat="1" x14ac:dyDescent="0.15"/>
    <row r="1039367" customFormat="1" x14ac:dyDescent="0.15"/>
    <row r="1039368" customFormat="1" x14ac:dyDescent="0.15"/>
    <row r="1039369" customFormat="1" x14ac:dyDescent="0.15"/>
    <row r="1039370" customFormat="1" x14ac:dyDescent="0.15"/>
    <row r="1039371" customFormat="1" x14ac:dyDescent="0.15"/>
    <row r="1039372" customFormat="1" x14ac:dyDescent="0.15"/>
    <row r="1039373" customFormat="1" x14ac:dyDescent="0.15"/>
    <row r="1039374" customFormat="1" x14ac:dyDescent="0.15"/>
    <row r="1039375" customFormat="1" x14ac:dyDescent="0.15"/>
    <row r="1039376" customFormat="1" x14ac:dyDescent="0.15"/>
    <row r="1039377" customFormat="1" x14ac:dyDescent="0.15"/>
    <row r="1039378" customFormat="1" x14ac:dyDescent="0.15"/>
    <row r="1039379" customFormat="1" x14ac:dyDescent="0.15"/>
    <row r="1039380" customFormat="1" x14ac:dyDescent="0.15"/>
    <row r="1039381" customFormat="1" x14ac:dyDescent="0.15"/>
    <row r="1039382" customFormat="1" x14ac:dyDescent="0.15"/>
    <row r="1039383" customFormat="1" x14ac:dyDescent="0.15"/>
    <row r="1039384" customFormat="1" x14ac:dyDescent="0.15"/>
    <row r="1039385" customFormat="1" x14ac:dyDescent="0.15"/>
    <row r="1039386" customFormat="1" x14ac:dyDescent="0.15"/>
    <row r="1039387" customFormat="1" x14ac:dyDescent="0.15"/>
    <row r="1039388" customFormat="1" x14ac:dyDescent="0.15"/>
    <row r="1039389" customFormat="1" x14ac:dyDescent="0.15"/>
    <row r="1039390" customFormat="1" x14ac:dyDescent="0.15"/>
    <row r="1039391" customFormat="1" x14ac:dyDescent="0.15"/>
    <row r="1039392" customFormat="1" x14ac:dyDescent="0.15"/>
    <row r="1039393" customFormat="1" x14ac:dyDescent="0.15"/>
    <row r="1039394" customFormat="1" x14ac:dyDescent="0.15"/>
    <row r="1039395" customFormat="1" x14ac:dyDescent="0.15"/>
    <row r="1039396" customFormat="1" x14ac:dyDescent="0.15"/>
    <row r="1039397" customFormat="1" x14ac:dyDescent="0.15"/>
    <row r="1039398" customFormat="1" x14ac:dyDescent="0.15"/>
    <row r="1039399" customFormat="1" x14ac:dyDescent="0.15"/>
    <row r="1039400" customFormat="1" x14ac:dyDescent="0.15"/>
    <row r="1039401" customFormat="1" x14ac:dyDescent="0.15"/>
    <row r="1039402" customFormat="1" x14ac:dyDescent="0.15"/>
    <row r="1039403" customFormat="1" x14ac:dyDescent="0.15"/>
    <row r="1039404" customFormat="1" x14ac:dyDescent="0.15"/>
    <row r="1039405" customFormat="1" x14ac:dyDescent="0.15"/>
    <row r="1039406" customFormat="1" x14ac:dyDescent="0.15"/>
    <row r="1039407" customFormat="1" x14ac:dyDescent="0.15"/>
    <row r="1039408" customFormat="1" x14ac:dyDescent="0.15"/>
    <row r="1039409" customFormat="1" x14ac:dyDescent="0.15"/>
    <row r="1039410" customFormat="1" x14ac:dyDescent="0.15"/>
    <row r="1039411" customFormat="1" x14ac:dyDescent="0.15"/>
    <row r="1039412" customFormat="1" x14ac:dyDescent="0.15"/>
    <row r="1039413" customFormat="1" x14ac:dyDescent="0.15"/>
    <row r="1039414" customFormat="1" x14ac:dyDescent="0.15"/>
    <row r="1039415" customFormat="1" x14ac:dyDescent="0.15"/>
    <row r="1039416" customFormat="1" x14ac:dyDescent="0.15"/>
    <row r="1039417" customFormat="1" x14ac:dyDescent="0.15"/>
    <row r="1039418" customFormat="1" x14ac:dyDescent="0.15"/>
    <row r="1039419" customFormat="1" x14ac:dyDescent="0.15"/>
    <row r="1039420" customFormat="1" x14ac:dyDescent="0.15"/>
    <row r="1039421" customFormat="1" x14ac:dyDescent="0.15"/>
    <row r="1039422" customFormat="1" x14ac:dyDescent="0.15"/>
    <row r="1039423" customFormat="1" x14ac:dyDescent="0.15"/>
    <row r="1039424" customFormat="1" x14ac:dyDescent="0.15"/>
    <row r="1039425" customFormat="1" x14ac:dyDescent="0.15"/>
    <row r="1039426" customFormat="1" x14ac:dyDescent="0.15"/>
    <row r="1039427" customFormat="1" x14ac:dyDescent="0.15"/>
    <row r="1039428" customFormat="1" x14ac:dyDescent="0.15"/>
    <row r="1039429" customFormat="1" x14ac:dyDescent="0.15"/>
    <row r="1039430" customFormat="1" x14ac:dyDescent="0.15"/>
    <row r="1039431" customFormat="1" x14ac:dyDescent="0.15"/>
    <row r="1039432" customFormat="1" x14ac:dyDescent="0.15"/>
    <row r="1039433" customFormat="1" x14ac:dyDescent="0.15"/>
    <row r="1039434" customFormat="1" x14ac:dyDescent="0.15"/>
    <row r="1039435" customFormat="1" x14ac:dyDescent="0.15"/>
    <row r="1039436" customFormat="1" x14ac:dyDescent="0.15"/>
    <row r="1039437" customFormat="1" x14ac:dyDescent="0.15"/>
    <row r="1039438" customFormat="1" x14ac:dyDescent="0.15"/>
    <row r="1039439" customFormat="1" x14ac:dyDescent="0.15"/>
    <row r="1039440" customFormat="1" x14ac:dyDescent="0.15"/>
    <row r="1039441" customFormat="1" x14ac:dyDescent="0.15"/>
    <row r="1039442" customFormat="1" x14ac:dyDescent="0.15"/>
    <row r="1039443" customFormat="1" x14ac:dyDescent="0.15"/>
    <row r="1039444" customFormat="1" x14ac:dyDescent="0.15"/>
    <row r="1039445" customFormat="1" x14ac:dyDescent="0.15"/>
    <row r="1039446" customFormat="1" x14ac:dyDescent="0.15"/>
    <row r="1039447" customFormat="1" x14ac:dyDescent="0.15"/>
    <row r="1039448" customFormat="1" x14ac:dyDescent="0.15"/>
    <row r="1039449" customFormat="1" x14ac:dyDescent="0.15"/>
    <row r="1039450" customFormat="1" x14ac:dyDescent="0.15"/>
    <row r="1039451" customFormat="1" x14ac:dyDescent="0.15"/>
    <row r="1039452" customFormat="1" x14ac:dyDescent="0.15"/>
    <row r="1039453" customFormat="1" x14ac:dyDescent="0.15"/>
    <row r="1039454" customFormat="1" x14ac:dyDescent="0.15"/>
    <row r="1039455" customFormat="1" x14ac:dyDescent="0.15"/>
    <row r="1039456" customFormat="1" x14ac:dyDescent="0.15"/>
    <row r="1039457" customFormat="1" x14ac:dyDescent="0.15"/>
    <row r="1039458" customFormat="1" x14ac:dyDescent="0.15"/>
    <row r="1039459" customFormat="1" x14ac:dyDescent="0.15"/>
    <row r="1039460" customFormat="1" x14ac:dyDescent="0.15"/>
    <row r="1039461" customFormat="1" x14ac:dyDescent="0.15"/>
    <row r="1039462" customFormat="1" x14ac:dyDescent="0.15"/>
    <row r="1039463" customFormat="1" x14ac:dyDescent="0.15"/>
    <row r="1039464" customFormat="1" x14ac:dyDescent="0.15"/>
    <row r="1039465" customFormat="1" x14ac:dyDescent="0.15"/>
    <row r="1039466" customFormat="1" x14ac:dyDescent="0.15"/>
    <row r="1039467" customFormat="1" x14ac:dyDescent="0.15"/>
    <row r="1039468" customFormat="1" x14ac:dyDescent="0.15"/>
    <row r="1039469" customFormat="1" x14ac:dyDescent="0.15"/>
    <row r="1039470" customFormat="1" x14ac:dyDescent="0.15"/>
    <row r="1039471" customFormat="1" x14ac:dyDescent="0.15"/>
    <row r="1039472" customFormat="1" x14ac:dyDescent="0.15"/>
    <row r="1039473" customFormat="1" x14ac:dyDescent="0.15"/>
    <row r="1039474" customFormat="1" x14ac:dyDescent="0.15"/>
    <row r="1039475" customFormat="1" x14ac:dyDescent="0.15"/>
    <row r="1039476" customFormat="1" x14ac:dyDescent="0.15"/>
    <row r="1039477" customFormat="1" x14ac:dyDescent="0.15"/>
    <row r="1039478" customFormat="1" x14ac:dyDescent="0.15"/>
    <row r="1039479" customFormat="1" x14ac:dyDescent="0.15"/>
    <row r="1039480" customFormat="1" x14ac:dyDescent="0.15"/>
    <row r="1039481" customFormat="1" x14ac:dyDescent="0.15"/>
    <row r="1039482" customFormat="1" x14ac:dyDescent="0.15"/>
    <row r="1039483" customFormat="1" x14ac:dyDescent="0.15"/>
    <row r="1039484" customFormat="1" x14ac:dyDescent="0.15"/>
    <row r="1039485" customFormat="1" x14ac:dyDescent="0.15"/>
    <row r="1039486" customFormat="1" x14ac:dyDescent="0.15"/>
    <row r="1039487" customFormat="1" x14ac:dyDescent="0.15"/>
    <row r="1039488" customFormat="1" x14ac:dyDescent="0.15"/>
    <row r="1039489" customFormat="1" x14ac:dyDescent="0.15"/>
    <row r="1039490" customFormat="1" x14ac:dyDescent="0.15"/>
    <row r="1039491" customFormat="1" x14ac:dyDescent="0.15"/>
    <row r="1039492" customFormat="1" x14ac:dyDescent="0.15"/>
    <row r="1039493" customFormat="1" x14ac:dyDescent="0.15"/>
    <row r="1039494" customFormat="1" x14ac:dyDescent="0.15"/>
    <row r="1039495" customFormat="1" x14ac:dyDescent="0.15"/>
    <row r="1039496" customFormat="1" x14ac:dyDescent="0.15"/>
    <row r="1039497" customFormat="1" x14ac:dyDescent="0.15"/>
    <row r="1039498" customFormat="1" x14ac:dyDescent="0.15"/>
    <row r="1039499" customFormat="1" x14ac:dyDescent="0.15"/>
    <row r="1039500" customFormat="1" x14ac:dyDescent="0.15"/>
    <row r="1039501" customFormat="1" x14ac:dyDescent="0.15"/>
    <row r="1039502" customFormat="1" x14ac:dyDescent="0.15"/>
    <row r="1039503" customFormat="1" x14ac:dyDescent="0.15"/>
    <row r="1039504" customFormat="1" x14ac:dyDescent="0.15"/>
    <row r="1039505" customFormat="1" x14ac:dyDescent="0.15"/>
    <row r="1039506" customFormat="1" x14ac:dyDescent="0.15"/>
    <row r="1039507" customFormat="1" x14ac:dyDescent="0.15"/>
    <row r="1039508" customFormat="1" x14ac:dyDescent="0.15"/>
    <row r="1039509" customFormat="1" x14ac:dyDescent="0.15"/>
    <row r="1039510" customFormat="1" x14ac:dyDescent="0.15"/>
    <row r="1039511" customFormat="1" x14ac:dyDescent="0.15"/>
    <row r="1039512" customFormat="1" x14ac:dyDescent="0.15"/>
    <row r="1039513" customFormat="1" x14ac:dyDescent="0.15"/>
    <row r="1039514" customFormat="1" x14ac:dyDescent="0.15"/>
    <row r="1039515" customFormat="1" x14ac:dyDescent="0.15"/>
    <row r="1039516" customFormat="1" x14ac:dyDescent="0.15"/>
    <row r="1039517" customFormat="1" x14ac:dyDescent="0.15"/>
    <row r="1039518" customFormat="1" x14ac:dyDescent="0.15"/>
    <row r="1039519" customFormat="1" x14ac:dyDescent="0.15"/>
    <row r="1039520" customFormat="1" x14ac:dyDescent="0.15"/>
    <row r="1039521" customFormat="1" x14ac:dyDescent="0.15"/>
    <row r="1039522" customFormat="1" x14ac:dyDescent="0.15"/>
    <row r="1039523" customFormat="1" x14ac:dyDescent="0.15"/>
    <row r="1039524" customFormat="1" x14ac:dyDescent="0.15"/>
    <row r="1039525" customFormat="1" x14ac:dyDescent="0.15"/>
    <row r="1039526" customFormat="1" x14ac:dyDescent="0.15"/>
    <row r="1039527" customFormat="1" x14ac:dyDescent="0.15"/>
    <row r="1039528" customFormat="1" x14ac:dyDescent="0.15"/>
    <row r="1039529" customFormat="1" x14ac:dyDescent="0.15"/>
    <row r="1039530" customFormat="1" x14ac:dyDescent="0.15"/>
    <row r="1039531" customFormat="1" x14ac:dyDescent="0.15"/>
    <row r="1039532" customFormat="1" x14ac:dyDescent="0.15"/>
    <row r="1039533" customFormat="1" x14ac:dyDescent="0.15"/>
    <row r="1039534" customFormat="1" x14ac:dyDescent="0.15"/>
    <row r="1039535" customFormat="1" x14ac:dyDescent="0.15"/>
    <row r="1039536" customFormat="1" x14ac:dyDescent="0.15"/>
    <row r="1039537" customFormat="1" x14ac:dyDescent="0.15"/>
    <row r="1039538" customFormat="1" x14ac:dyDescent="0.15"/>
    <row r="1039539" customFormat="1" x14ac:dyDescent="0.15"/>
    <row r="1039540" customFormat="1" x14ac:dyDescent="0.15"/>
    <row r="1039541" customFormat="1" x14ac:dyDescent="0.15"/>
    <row r="1039542" customFormat="1" x14ac:dyDescent="0.15"/>
    <row r="1039543" customFormat="1" x14ac:dyDescent="0.15"/>
    <row r="1039544" customFormat="1" x14ac:dyDescent="0.15"/>
    <row r="1039545" customFormat="1" x14ac:dyDescent="0.15"/>
    <row r="1039546" customFormat="1" x14ac:dyDescent="0.15"/>
    <row r="1039547" customFormat="1" x14ac:dyDescent="0.15"/>
    <row r="1039548" customFormat="1" x14ac:dyDescent="0.15"/>
    <row r="1039549" customFormat="1" x14ac:dyDescent="0.15"/>
    <row r="1039550" customFormat="1" x14ac:dyDescent="0.15"/>
    <row r="1039551" customFormat="1" x14ac:dyDescent="0.15"/>
    <row r="1039552" customFormat="1" x14ac:dyDescent="0.15"/>
    <row r="1039553" customFormat="1" x14ac:dyDescent="0.15"/>
    <row r="1039554" customFormat="1" x14ac:dyDescent="0.15"/>
    <row r="1039555" customFormat="1" x14ac:dyDescent="0.15"/>
    <row r="1039556" customFormat="1" x14ac:dyDescent="0.15"/>
    <row r="1039557" customFormat="1" x14ac:dyDescent="0.15"/>
    <row r="1039558" customFormat="1" x14ac:dyDescent="0.15"/>
    <row r="1039559" customFormat="1" x14ac:dyDescent="0.15"/>
    <row r="1039560" customFormat="1" x14ac:dyDescent="0.15"/>
    <row r="1039561" customFormat="1" x14ac:dyDescent="0.15"/>
    <row r="1039562" customFormat="1" x14ac:dyDescent="0.15"/>
    <row r="1039563" customFormat="1" x14ac:dyDescent="0.15"/>
    <row r="1039564" customFormat="1" x14ac:dyDescent="0.15"/>
    <row r="1039565" customFormat="1" x14ac:dyDescent="0.15"/>
    <row r="1039566" customFormat="1" x14ac:dyDescent="0.15"/>
    <row r="1039567" customFormat="1" x14ac:dyDescent="0.15"/>
    <row r="1039568" customFormat="1" x14ac:dyDescent="0.15"/>
    <row r="1039569" customFormat="1" x14ac:dyDescent="0.15"/>
    <row r="1039570" customFormat="1" x14ac:dyDescent="0.15"/>
    <row r="1039571" customFormat="1" x14ac:dyDescent="0.15"/>
    <row r="1039572" customFormat="1" x14ac:dyDescent="0.15"/>
    <row r="1039573" customFormat="1" x14ac:dyDescent="0.15"/>
    <row r="1039574" customFormat="1" x14ac:dyDescent="0.15"/>
    <row r="1039575" customFormat="1" x14ac:dyDescent="0.15"/>
    <row r="1039576" customFormat="1" x14ac:dyDescent="0.15"/>
    <row r="1039577" customFormat="1" x14ac:dyDescent="0.15"/>
    <row r="1039578" customFormat="1" x14ac:dyDescent="0.15"/>
    <row r="1039579" customFormat="1" x14ac:dyDescent="0.15"/>
    <row r="1039580" customFormat="1" x14ac:dyDescent="0.15"/>
    <row r="1039581" customFormat="1" x14ac:dyDescent="0.15"/>
    <row r="1039582" customFormat="1" x14ac:dyDescent="0.15"/>
    <row r="1039583" customFormat="1" x14ac:dyDescent="0.15"/>
    <row r="1039584" customFormat="1" x14ac:dyDescent="0.15"/>
    <row r="1039585" customFormat="1" x14ac:dyDescent="0.15"/>
    <row r="1039586" customFormat="1" x14ac:dyDescent="0.15"/>
    <row r="1039587" customFormat="1" x14ac:dyDescent="0.15"/>
    <row r="1039588" customFormat="1" x14ac:dyDescent="0.15"/>
    <row r="1039589" customFormat="1" x14ac:dyDescent="0.15"/>
    <row r="1039590" customFormat="1" x14ac:dyDescent="0.15"/>
    <row r="1039591" customFormat="1" x14ac:dyDescent="0.15"/>
    <row r="1039592" customFormat="1" x14ac:dyDescent="0.15"/>
    <row r="1039593" customFormat="1" x14ac:dyDescent="0.15"/>
    <row r="1039594" customFormat="1" x14ac:dyDescent="0.15"/>
    <row r="1039595" customFormat="1" x14ac:dyDescent="0.15"/>
    <row r="1039596" customFormat="1" x14ac:dyDescent="0.15"/>
    <row r="1039597" customFormat="1" x14ac:dyDescent="0.15"/>
    <row r="1039598" customFormat="1" x14ac:dyDescent="0.15"/>
    <row r="1039599" customFormat="1" x14ac:dyDescent="0.15"/>
    <row r="1039600" customFormat="1" x14ac:dyDescent="0.15"/>
    <row r="1039601" customFormat="1" x14ac:dyDescent="0.15"/>
    <row r="1039602" customFormat="1" x14ac:dyDescent="0.15"/>
    <row r="1039603" customFormat="1" x14ac:dyDescent="0.15"/>
    <row r="1039604" customFormat="1" x14ac:dyDescent="0.15"/>
    <row r="1039605" customFormat="1" x14ac:dyDescent="0.15"/>
    <row r="1039606" customFormat="1" x14ac:dyDescent="0.15"/>
    <row r="1039607" customFormat="1" x14ac:dyDescent="0.15"/>
    <row r="1039608" customFormat="1" x14ac:dyDescent="0.15"/>
    <row r="1039609" customFormat="1" x14ac:dyDescent="0.15"/>
    <row r="1039610" customFormat="1" x14ac:dyDescent="0.15"/>
    <row r="1039611" customFormat="1" x14ac:dyDescent="0.15"/>
    <row r="1039612" customFormat="1" x14ac:dyDescent="0.15"/>
    <row r="1039613" customFormat="1" x14ac:dyDescent="0.15"/>
    <row r="1039614" customFormat="1" x14ac:dyDescent="0.15"/>
    <row r="1039615" customFormat="1" x14ac:dyDescent="0.15"/>
    <row r="1039616" customFormat="1" x14ac:dyDescent="0.15"/>
    <row r="1039617" customFormat="1" x14ac:dyDescent="0.15"/>
    <row r="1039618" customFormat="1" x14ac:dyDescent="0.15"/>
    <row r="1039619" customFormat="1" x14ac:dyDescent="0.15"/>
    <row r="1039620" customFormat="1" x14ac:dyDescent="0.15"/>
    <row r="1039621" customFormat="1" x14ac:dyDescent="0.15"/>
    <row r="1039622" customFormat="1" x14ac:dyDescent="0.15"/>
    <row r="1039623" customFormat="1" x14ac:dyDescent="0.15"/>
    <row r="1039624" customFormat="1" x14ac:dyDescent="0.15"/>
    <row r="1039625" customFormat="1" x14ac:dyDescent="0.15"/>
    <row r="1039626" customFormat="1" x14ac:dyDescent="0.15"/>
    <row r="1039627" customFormat="1" x14ac:dyDescent="0.15"/>
    <row r="1039628" customFormat="1" x14ac:dyDescent="0.15"/>
    <row r="1039629" customFormat="1" x14ac:dyDescent="0.15"/>
    <row r="1039630" customFormat="1" x14ac:dyDescent="0.15"/>
    <row r="1039631" customFormat="1" x14ac:dyDescent="0.15"/>
    <row r="1039632" customFormat="1" x14ac:dyDescent="0.15"/>
    <row r="1039633" customFormat="1" x14ac:dyDescent="0.15"/>
    <row r="1039634" customFormat="1" x14ac:dyDescent="0.15"/>
    <row r="1039635" customFormat="1" x14ac:dyDescent="0.15"/>
    <row r="1039636" customFormat="1" x14ac:dyDescent="0.15"/>
    <row r="1039637" customFormat="1" x14ac:dyDescent="0.15"/>
    <row r="1039638" customFormat="1" x14ac:dyDescent="0.15"/>
    <row r="1039639" customFormat="1" x14ac:dyDescent="0.15"/>
    <row r="1039640" customFormat="1" x14ac:dyDescent="0.15"/>
    <row r="1039641" customFormat="1" x14ac:dyDescent="0.15"/>
    <row r="1039642" customFormat="1" x14ac:dyDescent="0.15"/>
    <row r="1039643" customFormat="1" x14ac:dyDescent="0.15"/>
    <row r="1039644" customFormat="1" x14ac:dyDescent="0.15"/>
    <row r="1039645" customFormat="1" x14ac:dyDescent="0.15"/>
    <row r="1039646" customFormat="1" x14ac:dyDescent="0.15"/>
    <row r="1039647" customFormat="1" x14ac:dyDescent="0.15"/>
    <row r="1039648" customFormat="1" x14ac:dyDescent="0.15"/>
    <row r="1039649" customFormat="1" x14ac:dyDescent="0.15"/>
    <row r="1039650" customFormat="1" x14ac:dyDescent="0.15"/>
    <row r="1039651" customFormat="1" x14ac:dyDescent="0.15"/>
    <row r="1039652" customFormat="1" x14ac:dyDescent="0.15"/>
    <row r="1039653" customFormat="1" x14ac:dyDescent="0.15"/>
    <row r="1039654" customFormat="1" x14ac:dyDescent="0.15"/>
    <row r="1039655" customFormat="1" x14ac:dyDescent="0.15"/>
    <row r="1039656" customFormat="1" x14ac:dyDescent="0.15"/>
    <row r="1039657" customFormat="1" x14ac:dyDescent="0.15"/>
    <row r="1039658" customFormat="1" x14ac:dyDescent="0.15"/>
    <row r="1039659" customFormat="1" x14ac:dyDescent="0.15"/>
    <row r="1039660" customFormat="1" x14ac:dyDescent="0.15"/>
    <row r="1039661" customFormat="1" x14ac:dyDescent="0.15"/>
    <row r="1039662" customFormat="1" x14ac:dyDescent="0.15"/>
    <row r="1039663" customFormat="1" x14ac:dyDescent="0.15"/>
    <row r="1039664" customFormat="1" x14ac:dyDescent="0.15"/>
    <row r="1039665" customFormat="1" x14ac:dyDescent="0.15"/>
    <row r="1039666" customFormat="1" x14ac:dyDescent="0.15"/>
    <row r="1039667" customFormat="1" x14ac:dyDescent="0.15"/>
    <row r="1039668" customFormat="1" x14ac:dyDescent="0.15"/>
    <row r="1039669" customFormat="1" x14ac:dyDescent="0.15"/>
    <row r="1039670" customFormat="1" x14ac:dyDescent="0.15"/>
    <row r="1039671" customFormat="1" x14ac:dyDescent="0.15"/>
    <row r="1039672" customFormat="1" x14ac:dyDescent="0.15"/>
    <row r="1039673" customFormat="1" x14ac:dyDescent="0.15"/>
    <row r="1039674" customFormat="1" x14ac:dyDescent="0.15"/>
    <row r="1039675" customFormat="1" x14ac:dyDescent="0.15"/>
    <row r="1039676" customFormat="1" x14ac:dyDescent="0.15"/>
    <row r="1039677" customFormat="1" x14ac:dyDescent="0.15"/>
    <row r="1039678" customFormat="1" x14ac:dyDescent="0.15"/>
    <row r="1039679" customFormat="1" x14ac:dyDescent="0.15"/>
    <row r="1039680" customFormat="1" x14ac:dyDescent="0.15"/>
    <row r="1039681" customFormat="1" x14ac:dyDescent="0.15"/>
    <row r="1039682" customFormat="1" x14ac:dyDescent="0.15"/>
    <row r="1039683" customFormat="1" x14ac:dyDescent="0.15"/>
    <row r="1039684" customFormat="1" x14ac:dyDescent="0.15"/>
    <row r="1039685" customFormat="1" x14ac:dyDescent="0.15"/>
    <row r="1039686" customFormat="1" x14ac:dyDescent="0.15"/>
    <row r="1039687" customFormat="1" x14ac:dyDescent="0.15"/>
    <row r="1039688" customFormat="1" x14ac:dyDescent="0.15"/>
    <row r="1039689" customFormat="1" x14ac:dyDescent="0.15"/>
    <row r="1039690" customFormat="1" x14ac:dyDescent="0.15"/>
    <row r="1039691" customFormat="1" x14ac:dyDescent="0.15"/>
    <row r="1039692" customFormat="1" x14ac:dyDescent="0.15"/>
    <row r="1039693" customFormat="1" x14ac:dyDescent="0.15"/>
    <row r="1039694" customFormat="1" x14ac:dyDescent="0.15"/>
    <row r="1039695" customFormat="1" x14ac:dyDescent="0.15"/>
    <row r="1039696" customFormat="1" x14ac:dyDescent="0.15"/>
    <row r="1039697" customFormat="1" x14ac:dyDescent="0.15"/>
    <row r="1039698" customFormat="1" x14ac:dyDescent="0.15"/>
    <row r="1039699" customFormat="1" x14ac:dyDescent="0.15"/>
    <row r="1039700" customFormat="1" x14ac:dyDescent="0.15"/>
    <row r="1039701" customFormat="1" x14ac:dyDescent="0.15"/>
    <row r="1039702" customFormat="1" x14ac:dyDescent="0.15"/>
    <row r="1039703" customFormat="1" x14ac:dyDescent="0.15"/>
    <row r="1039704" customFormat="1" x14ac:dyDescent="0.15"/>
    <row r="1039705" customFormat="1" x14ac:dyDescent="0.15"/>
    <row r="1039706" customFormat="1" x14ac:dyDescent="0.15"/>
    <row r="1039707" customFormat="1" x14ac:dyDescent="0.15"/>
    <row r="1039708" customFormat="1" x14ac:dyDescent="0.15"/>
    <row r="1039709" customFormat="1" x14ac:dyDescent="0.15"/>
    <row r="1039710" customFormat="1" x14ac:dyDescent="0.15"/>
    <row r="1039711" customFormat="1" x14ac:dyDescent="0.15"/>
    <row r="1039712" customFormat="1" x14ac:dyDescent="0.15"/>
    <row r="1039713" customFormat="1" x14ac:dyDescent="0.15"/>
    <row r="1039714" customFormat="1" x14ac:dyDescent="0.15"/>
    <row r="1039715" customFormat="1" x14ac:dyDescent="0.15"/>
    <row r="1039716" customFormat="1" x14ac:dyDescent="0.15"/>
    <row r="1039717" customFormat="1" x14ac:dyDescent="0.15"/>
    <row r="1039718" customFormat="1" x14ac:dyDescent="0.15"/>
    <row r="1039719" customFormat="1" x14ac:dyDescent="0.15"/>
    <row r="1039720" customFormat="1" x14ac:dyDescent="0.15"/>
    <row r="1039721" customFormat="1" x14ac:dyDescent="0.15"/>
    <row r="1039722" customFormat="1" x14ac:dyDescent="0.15"/>
    <row r="1039723" customFormat="1" x14ac:dyDescent="0.15"/>
    <row r="1039724" customFormat="1" x14ac:dyDescent="0.15"/>
    <row r="1039725" customFormat="1" x14ac:dyDescent="0.15"/>
    <row r="1039726" customFormat="1" x14ac:dyDescent="0.15"/>
    <row r="1039727" customFormat="1" x14ac:dyDescent="0.15"/>
    <row r="1039728" customFormat="1" x14ac:dyDescent="0.15"/>
    <row r="1039729" customFormat="1" x14ac:dyDescent="0.15"/>
    <row r="1039730" customFormat="1" x14ac:dyDescent="0.15"/>
    <row r="1039731" customFormat="1" x14ac:dyDescent="0.15"/>
    <row r="1039732" customFormat="1" x14ac:dyDescent="0.15"/>
    <row r="1039733" customFormat="1" x14ac:dyDescent="0.15"/>
    <row r="1039734" customFormat="1" x14ac:dyDescent="0.15"/>
    <row r="1039735" customFormat="1" x14ac:dyDescent="0.15"/>
    <row r="1039736" customFormat="1" x14ac:dyDescent="0.15"/>
    <row r="1039737" customFormat="1" x14ac:dyDescent="0.15"/>
    <row r="1039738" customFormat="1" x14ac:dyDescent="0.15"/>
    <row r="1039739" customFormat="1" x14ac:dyDescent="0.15"/>
    <row r="1039740" customFormat="1" x14ac:dyDescent="0.15"/>
    <row r="1039741" customFormat="1" x14ac:dyDescent="0.15"/>
    <row r="1039742" customFormat="1" x14ac:dyDescent="0.15"/>
    <row r="1039743" customFormat="1" x14ac:dyDescent="0.15"/>
    <row r="1039744" customFormat="1" x14ac:dyDescent="0.15"/>
    <row r="1039745" customFormat="1" x14ac:dyDescent="0.15"/>
    <row r="1039746" customFormat="1" x14ac:dyDescent="0.15"/>
    <row r="1039747" customFormat="1" x14ac:dyDescent="0.15"/>
    <row r="1039748" customFormat="1" x14ac:dyDescent="0.15"/>
    <row r="1039749" customFormat="1" x14ac:dyDescent="0.15"/>
    <row r="1039750" customFormat="1" x14ac:dyDescent="0.15"/>
    <row r="1039751" customFormat="1" x14ac:dyDescent="0.15"/>
    <row r="1039752" customFormat="1" x14ac:dyDescent="0.15"/>
    <row r="1039753" customFormat="1" x14ac:dyDescent="0.15"/>
    <row r="1039754" customFormat="1" x14ac:dyDescent="0.15"/>
    <row r="1039755" customFormat="1" x14ac:dyDescent="0.15"/>
    <row r="1039756" customFormat="1" x14ac:dyDescent="0.15"/>
    <row r="1039757" customFormat="1" x14ac:dyDescent="0.15"/>
    <row r="1039758" customFormat="1" x14ac:dyDescent="0.15"/>
    <row r="1039759" customFormat="1" x14ac:dyDescent="0.15"/>
    <row r="1039760" customFormat="1" x14ac:dyDescent="0.15"/>
    <row r="1039761" customFormat="1" x14ac:dyDescent="0.15"/>
    <row r="1039762" customFormat="1" x14ac:dyDescent="0.15"/>
    <row r="1039763" customFormat="1" x14ac:dyDescent="0.15"/>
    <row r="1039764" customFormat="1" x14ac:dyDescent="0.15"/>
    <row r="1039765" customFormat="1" x14ac:dyDescent="0.15"/>
    <row r="1039766" customFormat="1" x14ac:dyDescent="0.15"/>
    <row r="1039767" customFormat="1" x14ac:dyDescent="0.15"/>
    <row r="1039768" customFormat="1" x14ac:dyDescent="0.15"/>
    <row r="1039769" customFormat="1" x14ac:dyDescent="0.15"/>
    <row r="1039770" customFormat="1" x14ac:dyDescent="0.15"/>
    <row r="1039771" customFormat="1" x14ac:dyDescent="0.15"/>
    <row r="1039772" customFormat="1" x14ac:dyDescent="0.15"/>
    <row r="1039773" customFormat="1" x14ac:dyDescent="0.15"/>
    <row r="1039774" customFormat="1" x14ac:dyDescent="0.15"/>
    <row r="1039775" customFormat="1" x14ac:dyDescent="0.15"/>
    <row r="1039776" customFormat="1" x14ac:dyDescent="0.15"/>
    <row r="1039777" customFormat="1" x14ac:dyDescent="0.15"/>
    <row r="1039778" customFormat="1" x14ac:dyDescent="0.15"/>
    <row r="1039779" customFormat="1" x14ac:dyDescent="0.15"/>
    <row r="1039780" customFormat="1" x14ac:dyDescent="0.15"/>
    <row r="1039781" customFormat="1" x14ac:dyDescent="0.15"/>
    <row r="1039782" customFormat="1" x14ac:dyDescent="0.15"/>
    <row r="1039783" customFormat="1" x14ac:dyDescent="0.15"/>
    <row r="1039784" customFormat="1" x14ac:dyDescent="0.15"/>
    <row r="1039785" customFormat="1" x14ac:dyDescent="0.15"/>
    <row r="1039786" customFormat="1" x14ac:dyDescent="0.15"/>
    <row r="1039787" customFormat="1" x14ac:dyDescent="0.15"/>
    <row r="1039788" customFormat="1" x14ac:dyDescent="0.15"/>
    <row r="1039789" customFormat="1" x14ac:dyDescent="0.15"/>
    <row r="1039790" customFormat="1" x14ac:dyDescent="0.15"/>
    <row r="1039791" customFormat="1" x14ac:dyDescent="0.15"/>
    <row r="1039792" customFormat="1" x14ac:dyDescent="0.15"/>
    <row r="1039793" customFormat="1" x14ac:dyDescent="0.15"/>
    <row r="1039794" customFormat="1" x14ac:dyDescent="0.15"/>
    <row r="1039795" customFormat="1" x14ac:dyDescent="0.15"/>
    <row r="1039796" customFormat="1" x14ac:dyDescent="0.15"/>
    <row r="1039797" customFormat="1" x14ac:dyDescent="0.15"/>
    <row r="1039798" customFormat="1" x14ac:dyDescent="0.15"/>
    <row r="1039799" customFormat="1" x14ac:dyDescent="0.15"/>
    <row r="1039800" customFormat="1" x14ac:dyDescent="0.15"/>
    <row r="1039801" customFormat="1" x14ac:dyDescent="0.15"/>
    <row r="1039802" customFormat="1" x14ac:dyDescent="0.15"/>
    <row r="1039803" customFormat="1" x14ac:dyDescent="0.15"/>
    <row r="1039804" customFormat="1" x14ac:dyDescent="0.15"/>
    <row r="1039805" customFormat="1" x14ac:dyDescent="0.15"/>
    <row r="1039806" customFormat="1" x14ac:dyDescent="0.15"/>
    <row r="1039807" customFormat="1" x14ac:dyDescent="0.15"/>
    <row r="1039808" customFormat="1" x14ac:dyDescent="0.15"/>
    <row r="1039809" customFormat="1" x14ac:dyDescent="0.15"/>
    <row r="1039810" customFormat="1" x14ac:dyDescent="0.15"/>
    <row r="1039811" customFormat="1" x14ac:dyDescent="0.15"/>
    <row r="1039812" customFormat="1" x14ac:dyDescent="0.15"/>
    <row r="1039813" customFormat="1" x14ac:dyDescent="0.15"/>
    <row r="1039814" customFormat="1" x14ac:dyDescent="0.15"/>
    <row r="1039815" customFormat="1" x14ac:dyDescent="0.15"/>
    <row r="1039816" customFormat="1" x14ac:dyDescent="0.15"/>
    <row r="1039817" customFormat="1" x14ac:dyDescent="0.15"/>
    <row r="1039818" customFormat="1" x14ac:dyDescent="0.15"/>
    <row r="1039819" customFormat="1" x14ac:dyDescent="0.15"/>
    <row r="1039820" customFormat="1" x14ac:dyDescent="0.15"/>
    <row r="1039821" customFormat="1" x14ac:dyDescent="0.15"/>
    <row r="1039822" customFormat="1" x14ac:dyDescent="0.15"/>
    <row r="1039823" customFormat="1" x14ac:dyDescent="0.15"/>
    <row r="1039824" customFormat="1" x14ac:dyDescent="0.15"/>
    <row r="1039825" customFormat="1" x14ac:dyDescent="0.15"/>
    <row r="1039826" customFormat="1" x14ac:dyDescent="0.15"/>
    <row r="1039827" customFormat="1" x14ac:dyDescent="0.15"/>
    <row r="1039828" customFormat="1" x14ac:dyDescent="0.15"/>
    <row r="1039829" customFormat="1" x14ac:dyDescent="0.15"/>
    <row r="1039830" customFormat="1" x14ac:dyDescent="0.15"/>
    <row r="1039831" customFormat="1" x14ac:dyDescent="0.15"/>
    <row r="1039832" customFormat="1" x14ac:dyDescent="0.15"/>
    <row r="1039833" customFormat="1" x14ac:dyDescent="0.15"/>
    <row r="1039834" customFormat="1" x14ac:dyDescent="0.15"/>
    <row r="1039835" customFormat="1" x14ac:dyDescent="0.15"/>
    <row r="1039836" customFormat="1" x14ac:dyDescent="0.15"/>
    <row r="1039837" customFormat="1" x14ac:dyDescent="0.15"/>
    <row r="1039838" customFormat="1" x14ac:dyDescent="0.15"/>
    <row r="1039839" customFormat="1" x14ac:dyDescent="0.15"/>
    <row r="1039840" customFormat="1" x14ac:dyDescent="0.15"/>
    <row r="1039841" customFormat="1" x14ac:dyDescent="0.15"/>
    <row r="1039842" customFormat="1" x14ac:dyDescent="0.15"/>
    <row r="1039843" customFormat="1" x14ac:dyDescent="0.15"/>
    <row r="1039844" customFormat="1" x14ac:dyDescent="0.15"/>
    <row r="1039845" customFormat="1" x14ac:dyDescent="0.15"/>
    <row r="1039846" customFormat="1" x14ac:dyDescent="0.15"/>
    <row r="1039847" customFormat="1" x14ac:dyDescent="0.15"/>
    <row r="1039848" customFormat="1" x14ac:dyDescent="0.15"/>
    <row r="1039849" customFormat="1" x14ac:dyDescent="0.15"/>
    <row r="1039850" customFormat="1" x14ac:dyDescent="0.15"/>
    <row r="1039851" customFormat="1" x14ac:dyDescent="0.15"/>
    <row r="1039852" customFormat="1" x14ac:dyDescent="0.15"/>
    <row r="1039853" customFormat="1" x14ac:dyDescent="0.15"/>
    <row r="1039854" customFormat="1" x14ac:dyDescent="0.15"/>
    <row r="1039855" customFormat="1" x14ac:dyDescent="0.15"/>
    <row r="1039856" customFormat="1" x14ac:dyDescent="0.15"/>
    <row r="1039857" customFormat="1" x14ac:dyDescent="0.15"/>
    <row r="1039858" customFormat="1" x14ac:dyDescent="0.15"/>
    <row r="1039859" customFormat="1" x14ac:dyDescent="0.15"/>
    <row r="1039860" customFormat="1" x14ac:dyDescent="0.15"/>
    <row r="1039861" customFormat="1" x14ac:dyDescent="0.15"/>
    <row r="1039862" customFormat="1" x14ac:dyDescent="0.15"/>
    <row r="1039863" customFormat="1" x14ac:dyDescent="0.15"/>
    <row r="1039864" customFormat="1" x14ac:dyDescent="0.15"/>
    <row r="1039865" customFormat="1" x14ac:dyDescent="0.15"/>
    <row r="1039866" customFormat="1" x14ac:dyDescent="0.15"/>
    <row r="1039867" customFormat="1" x14ac:dyDescent="0.15"/>
    <row r="1039868" customFormat="1" x14ac:dyDescent="0.15"/>
    <row r="1039869" customFormat="1" x14ac:dyDescent="0.15"/>
    <row r="1039870" customFormat="1" x14ac:dyDescent="0.15"/>
    <row r="1039871" customFormat="1" x14ac:dyDescent="0.15"/>
    <row r="1039872" customFormat="1" x14ac:dyDescent="0.15"/>
    <row r="1039873" customFormat="1" x14ac:dyDescent="0.15"/>
    <row r="1039874" customFormat="1" x14ac:dyDescent="0.15"/>
    <row r="1039875" customFormat="1" x14ac:dyDescent="0.15"/>
    <row r="1039876" customFormat="1" x14ac:dyDescent="0.15"/>
    <row r="1039877" customFormat="1" x14ac:dyDescent="0.15"/>
    <row r="1039878" customFormat="1" x14ac:dyDescent="0.15"/>
    <row r="1039879" customFormat="1" x14ac:dyDescent="0.15"/>
    <row r="1039880" customFormat="1" x14ac:dyDescent="0.15"/>
    <row r="1039881" customFormat="1" x14ac:dyDescent="0.15"/>
    <row r="1039882" customFormat="1" x14ac:dyDescent="0.15"/>
    <row r="1039883" customFormat="1" x14ac:dyDescent="0.15"/>
    <row r="1039884" customFormat="1" x14ac:dyDescent="0.15"/>
    <row r="1039885" customFormat="1" x14ac:dyDescent="0.15"/>
    <row r="1039886" customFormat="1" x14ac:dyDescent="0.15"/>
    <row r="1039887" customFormat="1" x14ac:dyDescent="0.15"/>
    <row r="1039888" customFormat="1" x14ac:dyDescent="0.15"/>
    <row r="1039889" customFormat="1" x14ac:dyDescent="0.15"/>
    <row r="1039890" customFormat="1" x14ac:dyDescent="0.15"/>
    <row r="1039891" customFormat="1" x14ac:dyDescent="0.15"/>
    <row r="1039892" customFormat="1" x14ac:dyDescent="0.15"/>
    <row r="1039893" customFormat="1" x14ac:dyDescent="0.15"/>
    <row r="1039894" customFormat="1" x14ac:dyDescent="0.15"/>
    <row r="1039895" customFormat="1" x14ac:dyDescent="0.15"/>
    <row r="1039896" customFormat="1" x14ac:dyDescent="0.15"/>
    <row r="1039897" customFormat="1" x14ac:dyDescent="0.15"/>
    <row r="1039898" customFormat="1" x14ac:dyDescent="0.15"/>
    <row r="1039899" customFormat="1" x14ac:dyDescent="0.15"/>
    <row r="1039900" customFormat="1" x14ac:dyDescent="0.15"/>
    <row r="1039901" customFormat="1" x14ac:dyDescent="0.15"/>
    <row r="1039902" customFormat="1" x14ac:dyDescent="0.15"/>
    <row r="1039903" customFormat="1" x14ac:dyDescent="0.15"/>
    <row r="1039904" customFormat="1" x14ac:dyDescent="0.15"/>
    <row r="1039905" customFormat="1" x14ac:dyDescent="0.15"/>
    <row r="1039906" customFormat="1" x14ac:dyDescent="0.15"/>
    <row r="1039907" customFormat="1" x14ac:dyDescent="0.15"/>
    <row r="1039908" customFormat="1" x14ac:dyDescent="0.15"/>
    <row r="1039909" customFormat="1" x14ac:dyDescent="0.15"/>
    <row r="1039910" customFormat="1" x14ac:dyDescent="0.15"/>
    <row r="1039911" customFormat="1" x14ac:dyDescent="0.15"/>
    <row r="1039912" customFormat="1" x14ac:dyDescent="0.15"/>
    <row r="1039913" customFormat="1" x14ac:dyDescent="0.15"/>
    <row r="1039914" customFormat="1" x14ac:dyDescent="0.15"/>
    <row r="1039915" customFormat="1" x14ac:dyDescent="0.15"/>
    <row r="1039916" customFormat="1" x14ac:dyDescent="0.15"/>
    <row r="1039917" customFormat="1" x14ac:dyDescent="0.15"/>
    <row r="1039918" customFormat="1" x14ac:dyDescent="0.15"/>
    <row r="1039919" customFormat="1" x14ac:dyDescent="0.15"/>
    <row r="1039920" customFormat="1" x14ac:dyDescent="0.15"/>
    <row r="1039921" customFormat="1" x14ac:dyDescent="0.15"/>
    <row r="1039922" customFormat="1" x14ac:dyDescent="0.15"/>
    <row r="1039923" customFormat="1" x14ac:dyDescent="0.15"/>
    <row r="1039924" customFormat="1" x14ac:dyDescent="0.15"/>
    <row r="1039925" customFormat="1" x14ac:dyDescent="0.15"/>
    <row r="1039926" customFormat="1" x14ac:dyDescent="0.15"/>
    <row r="1039927" customFormat="1" x14ac:dyDescent="0.15"/>
    <row r="1039928" customFormat="1" x14ac:dyDescent="0.15"/>
    <row r="1039929" customFormat="1" x14ac:dyDescent="0.15"/>
    <row r="1039930" customFormat="1" x14ac:dyDescent="0.15"/>
    <row r="1039931" customFormat="1" x14ac:dyDescent="0.15"/>
    <row r="1039932" customFormat="1" x14ac:dyDescent="0.15"/>
    <row r="1039933" customFormat="1" x14ac:dyDescent="0.15"/>
    <row r="1039934" customFormat="1" x14ac:dyDescent="0.15"/>
    <row r="1039935" customFormat="1" x14ac:dyDescent="0.15"/>
    <row r="1039936" customFormat="1" x14ac:dyDescent="0.15"/>
    <row r="1039937" customFormat="1" x14ac:dyDescent="0.15"/>
    <row r="1039938" customFormat="1" x14ac:dyDescent="0.15"/>
    <row r="1039939" customFormat="1" x14ac:dyDescent="0.15"/>
    <row r="1039940" customFormat="1" x14ac:dyDescent="0.15"/>
    <row r="1039941" customFormat="1" x14ac:dyDescent="0.15"/>
    <row r="1039942" customFormat="1" x14ac:dyDescent="0.15"/>
    <row r="1039943" customFormat="1" x14ac:dyDescent="0.15"/>
    <row r="1039944" customFormat="1" x14ac:dyDescent="0.15"/>
    <row r="1039945" customFormat="1" x14ac:dyDescent="0.15"/>
    <row r="1039946" customFormat="1" x14ac:dyDescent="0.15"/>
    <row r="1039947" customFormat="1" x14ac:dyDescent="0.15"/>
    <row r="1039948" customFormat="1" x14ac:dyDescent="0.15"/>
    <row r="1039949" customFormat="1" x14ac:dyDescent="0.15"/>
    <row r="1039950" customFormat="1" x14ac:dyDescent="0.15"/>
    <row r="1039951" customFormat="1" x14ac:dyDescent="0.15"/>
    <row r="1039952" customFormat="1" x14ac:dyDescent="0.15"/>
    <row r="1039953" customFormat="1" x14ac:dyDescent="0.15"/>
    <row r="1039954" customFormat="1" x14ac:dyDescent="0.15"/>
    <row r="1039955" customFormat="1" x14ac:dyDescent="0.15"/>
    <row r="1039956" customFormat="1" x14ac:dyDescent="0.15"/>
    <row r="1039957" customFormat="1" x14ac:dyDescent="0.15"/>
    <row r="1039958" customFormat="1" x14ac:dyDescent="0.15"/>
    <row r="1039959" customFormat="1" x14ac:dyDescent="0.15"/>
    <row r="1039960" customFormat="1" x14ac:dyDescent="0.15"/>
    <row r="1039961" customFormat="1" x14ac:dyDescent="0.15"/>
    <row r="1039962" customFormat="1" x14ac:dyDescent="0.15"/>
    <row r="1039963" customFormat="1" x14ac:dyDescent="0.15"/>
    <row r="1039964" customFormat="1" x14ac:dyDescent="0.15"/>
    <row r="1039965" customFormat="1" x14ac:dyDescent="0.15"/>
    <row r="1039966" customFormat="1" x14ac:dyDescent="0.15"/>
    <row r="1039967" customFormat="1" x14ac:dyDescent="0.15"/>
    <row r="1039968" customFormat="1" x14ac:dyDescent="0.15"/>
    <row r="1039969" customFormat="1" x14ac:dyDescent="0.15"/>
    <row r="1039970" customFormat="1" x14ac:dyDescent="0.15"/>
    <row r="1039971" customFormat="1" x14ac:dyDescent="0.15"/>
    <row r="1039972" customFormat="1" x14ac:dyDescent="0.15"/>
    <row r="1039973" customFormat="1" x14ac:dyDescent="0.15"/>
    <row r="1039974" customFormat="1" x14ac:dyDescent="0.15"/>
    <row r="1039975" customFormat="1" x14ac:dyDescent="0.15"/>
    <row r="1039976" customFormat="1" x14ac:dyDescent="0.15"/>
    <row r="1039977" customFormat="1" x14ac:dyDescent="0.15"/>
    <row r="1039978" customFormat="1" x14ac:dyDescent="0.15"/>
    <row r="1039979" customFormat="1" x14ac:dyDescent="0.15"/>
    <row r="1039980" customFormat="1" x14ac:dyDescent="0.15"/>
    <row r="1039981" customFormat="1" x14ac:dyDescent="0.15"/>
    <row r="1039982" customFormat="1" x14ac:dyDescent="0.15"/>
    <row r="1039983" customFormat="1" x14ac:dyDescent="0.15"/>
    <row r="1039984" customFormat="1" x14ac:dyDescent="0.15"/>
    <row r="1039985" customFormat="1" x14ac:dyDescent="0.15"/>
    <row r="1039986" customFormat="1" x14ac:dyDescent="0.15"/>
    <row r="1039987" customFormat="1" x14ac:dyDescent="0.15"/>
    <row r="1039988" customFormat="1" x14ac:dyDescent="0.15"/>
    <row r="1039989" customFormat="1" x14ac:dyDescent="0.15"/>
    <row r="1039990" customFormat="1" x14ac:dyDescent="0.15"/>
    <row r="1039991" customFormat="1" x14ac:dyDescent="0.15"/>
    <row r="1039992" customFormat="1" x14ac:dyDescent="0.15"/>
    <row r="1039993" customFormat="1" x14ac:dyDescent="0.15"/>
    <row r="1039994" customFormat="1" x14ac:dyDescent="0.15"/>
    <row r="1039995" customFormat="1" x14ac:dyDescent="0.15"/>
    <row r="1039996" customFormat="1" x14ac:dyDescent="0.15"/>
    <row r="1039997" customFormat="1" x14ac:dyDescent="0.15"/>
    <row r="1039998" customFormat="1" x14ac:dyDescent="0.15"/>
    <row r="1039999" customFormat="1" x14ac:dyDescent="0.15"/>
    <row r="1040000" customFormat="1" x14ac:dyDescent="0.15"/>
    <row r="1040001" customFormat="1" x14ac:dyDescent="0.15"/>
    <row r="1040002" customFormat="1" x14ac:dyDescent="0.15"/>
    <row r="1040003" customFormat="1" x14ac:dyDescent="0.15"/>
    <row r="1040004" customFormat="1" x14ac:dyDescent="0.15"/>
    <row r="1040005" customFormat="1" x14ac:dyDescent="0.15"/>
    <row r="1040006" customFormat="1" x14ac:dyDescent="0.15"/>
    <row r="1040007" customFormat="1" x14ac:dyDescent="0.15"/>
    <row r="1040008" customFormat="1" x14ac:dyDescent="0.15"/>
    <row r="1040009" customFormat="1" x14ac:dyDescent="0.15"/>
    <row r="1040010" customFormat="1" x14ac:dyDescent="0.15"/>
    <row r="1040011" customFormat="1" x14ac:dyDescent="0.15"/>
    <row r="1040012" customFormat="1" x14ac:dyDescent="0.15"/>
    <row r="1040013" customFormat="1" x14ac:dyDescent="0.15"/>
    <row r="1040014" customFormat="1" x14ac:dyDescent="0.15"/>
    <row r="1040015" customFormat="1" x14ac:dyDescent="0.15"/>
    <row r="1040016" customFormat="1" x14ac:dyDescent="0.15"/>
    <row r="1040017" customFormat="1" x14ac:dyDescent="0.15"/>
    <row r="1040018" customFormat="1" x14ac:dyDescent="0.15"/>
    <row r="1040019" customFormat="1" x14ac:dyDescent="0.15"/>
    <row r="1040020" customFormat="1" x14ac:dyDescent="0.15"/>
    <row r="1040021" customFormat="1" x14ac:dyDescent="0.15"/>
    <row r="1040022" customFormat="1" x14ac:dyDescent="0.15"/>
    <row r="1040023" customFormat="1" x14ac:dyDescent="0.15"/>
    <row r="1040024" customFormat="1" x14ac:dyDescent="0.15"/>
    <row r="1040025" customFormat="1" x14ac:dyDescent="0.15"/>
    <row r="1040026" customFormat="1" x14ac:dyDescent="0.15"/>
    <row r="1040027" customFormat="1" x14ac:dyDescent="0.15"/>
    <row r="1040028" customFormat="1" x14ac:dyDescent="0.15"/>
    <row r="1040029" customFormat="1" x14ac:dyDescent="0.15"/>
    <row r="1040030" customFormat="1" x14ac:dyDescent="0.15"/>
    <row r="1040031" customFormat="1" x14ac:dyDescent="0.15"/>
    <row r="1040032" customFormat="1" x14ac:dyDescent="0.15"/>
    <row r="1040033" customFormat="1" x14ac:dyDescent="0.15"/>
    <row r="1040034" customFormat="1" x14ac:dyDescent="0.15"/>
    <row r="1040035" customFormat="1" x14ac:dyDescent="0.15"/>
    <row r="1040036" customFormat="1" x14ac:dyDescent="0.15"/>
    <row r="1040037" customFormat="1" x14ac:dyDescent="0.15"/>
    <row r="1040038" customFormat="1" x14ac:dyDescent="0.15"/>
    <row r="1040039" customFormat="1" x14ac:dyDescent="0.15"/>
    <row r="1040040" customFormat="1" x14ac:dyDescent="0.15"/>
    <row r="1040041" customFormat="1" x14ac:dyDescent="0.15"/>
    <row r="1040042" customFormat="1" x14ac:dyDescent="0.15"/>
    <row r="1040043" customFormat="1" x14ac:dyDescent="0.15"/>
    <row r="1040044" customFormat="1" x14ac:dyDescent="0.15"/>
    <row r="1040045" customFormat="1" x14ac:dyDescent="0.15"/>
    <row r="1040046" customFormat="1" x14ac:dyDescent="0.15"/>
    <row r="1040047" customFormat="1" x14ac:dyDescent="0.15"/>
    <row r="1040048" customFormat="1" x14ac:dyDescent="0.15"/>
    <row r="1040049" customFormat="1" x14ac:dyDescent="0.15"/>
    <row r="1040050" customFormat="1" x14ac:dyDescent="0.15"/>
    <row r="1040051" customFormat="1" x14ac:dyDescent="0.15"/>
    <row r="1040052" customFormat="1" x14ac:dyDescent="0.15"/>
    <row r="1040053" customFormat="1" x14ac:dyDescent="0.15"/>
    <row r="1040054" customFormat="1" x14ac:dyDescent="0.15"/>
    <row r="1040055" customFormat="1" x14ac:dyDescent="0.15"/>
    <row r="1040056" customFormat="1" x14ac:dyDescent="0.15"/>
    <row r="1040057" customFormat="1" x14ac:dyDescent="0.15"/>
    <row r="1040058" customFormat="1" x14ac:dyDescent="0.15"/>
    <row r="1040059" customFormat="1" x14ac:dyDescent="0.15"/>
    <row r="1040060" customFormat="1" x14ac:dyDescent="0.15"/>
    <row r="1040061" customFormat="1" x14ac:dyDescent="0.15"/>
    <row r="1040062" customFormat="1" x14ac:dyDescent="0.15"/>
    <row r="1040063" customFormat="1" x14ac:dyDescent="0.15"/>
    <row r="1040064" customFormat="1" x14ac:dyDescent="0.15"/>
    <row r="1040065" customFormat="1" x14ac:dyDescent="0.15"/>
    <row r="1040066" customFormat="1" x14ac:dyDescent="0.15"/>
    <row r="1040067" customFormat="1" x14ac:dyDescent="0.15"/>
    <row r="1040068" customFormat="1" x14ac:dyDescent="0.15"/>
    <row r="1040069" customFormat="1" x14ac:dyDescent="0.15"/>
    <row r="1040070" customFormat="1" x14ac:dyDescent="0.15"/>
    <row r="1040071" customFormat="1" x14ac:dyDescent="0.15"/>
    <row r="1040072" customFormat="1" x14ac:dyDescent="0.15"/>
    <row r="1040073" customFormat="1" x14ac:dyDescent="0.15"/>
    <row r="1040074" customFormat="1" x14ac:dyDescent="0.15"/>
    <row r="1040075" customFormat="1" x14ac:dyDescent="0.15"/>
    <row r="1040076" customFormat="1" x14ac:dyDescent="0.15"/>
    <row r="1040077" customFormat="1" x14ac:dyDescent="0.15"/>
    <row r="1040078" customFormat="1" x14ac:dyDescent="0.15"/>
    <row r="1040079" customFormat="1" x14ac:dyDescent="0.15"/>
    <row r="1040080" customFormat="1" x14ac:dyDescent="0.15"/>
    <row r="1040081" customFormat="1" x14ac:dyDescent="0.15"/>
    <row r="1040082" customFormat="1" x14ac:dyDescent="0.15"/>
    <row r="1040083" customFormat="1" x14ac:dyDescent="0.15"/>
    <row r="1040084" customFormat="1" x14ac:dyDescent="0.15"/>
    <row r="1040085" customFormat="1" x14ac:dyDescent="0.15"/>
    <row r="1040086" customFormat="1" x14ac:dyDescent="0.15"/>
    <row r="1040087" customFormat="1" x14ac:dyDescent="0.15"/>
    <row r="1040088" customFormat="1" x14ac:dyDescent="0.15"/>
    <row r="1040089" customFormat="1" x14ac:dyDescent="0.15"/>
    <row r="1040090" customFormat="1" x14ac:dyDescent="0.15"/>
    <row r="1040091" customFormat="1" x14ac:dyDescent="0.15"/>
    <row r="1040092" customFormat="1" x14ac:dyDescent="0.15"/>
    <row r="1040093" customFormat="1" x14ac:dyDescent="0.15"/>
    <row r="1040094" customFormat="1" x14ac:dyDescent="0.15"/>
    <row r="1040095" customFormat="1" x14ac:dyDescent="0.15"/>
    <row r="1040096" customFormat="1" x14ac:dyDescent="0.15"/>
    <row r="1040097" customFormat="1" x14ac:dyDescent="0.15"/>
    <row r="1040098" customFormat="1" x14ac:dyDescent="0.15"/>
    <row r="1040099" customFormat="1" x14ac:dyDescent="0.15"/>
    <row r="1040100" customFormat="1" x14ac:dyDescent="0.15"/>
    <row r="1040101" customFormat="1" x14ac:dyDescent="0.15"/>
    <row r="1040102" customFormat="1" x14ac:dyDescent="0.15"/>
    <row r="1040103" customFormat="1" x14ac:dyDescent="0.15"/>
    <row r="1040104" customFormat="1" x14ac:dyDescent="0.15"/>
    <row r="1040105" customFormat="1" x14ac:dyDescent="0.15"/>
    <row r="1040106" customFormat="1" x14ac:dyDescent="0.15"/>
    <row r="1040107" customFormat="1" x14ac:dyDescent="0.15"/>
    <row r="1040108" customFormat="1" x14ac:dyDescent="0.15"/>
    <row r="1040109" customFormat="1" x14ac:dyDescent="0.15"/>
    <row r="1040110" customFormat="1" x14ac:dyDescent="0.15"/>
    <row r="1040111" customFormat="1" x14ac:dyDescent="0.15"/>
    <row r="1040112" customFormat="1" x14ac:dyDescent="0.15"/>
    <row r="1040113" customFormat="1" x14ac:dyDescent="0.15"/>
    <row r="1040114" customFormat="1" x14ac:dyDescent="0.15"/>
    <row r="1040115" customFormat="1" x14ac:dyDescent="0.15"/>
    <row r="1040116" customFormat="1" x14ac:dyDescent="0.15"/>
    <row r="1040117" customFormat="1" x14ac:dyDescent="0.15"/>
    <row r="1040118" customFormat="1" x14ac:dyDescent="0.15"/>
    <row r="1040119" customFormat="1" x14ac:dyDescent="0.15"/>
    <row r="1040120" customFormat="1" x14ac:dyDescent="0.15"/>
    <row r="1040121" customFormat="1" x14ac:dyDescent="0.15"/>
    <row r="1040122" customFormat="1" x14ac:dyDescent="0.15"/>
    <row r="1040123" customFormat="1" x14ac:dyDescent="0.15"/>
    <row r="1040124" customFormat="1" x14ac:dyDescent="0.15"/>
    <row r="1040125" customFormat="1" x14ac:dyDescent="0.15"/>
    <row r="1040126" customFormat="1" x14ac:dyDescent="0.15"/>
    <row r="1040127" customFormat="1" x14ac:dyDescent="0.15"/>
    <row r="1040128" customFormat="1" x14ac:dyDescent="0.15"/>
    <row r="1040129" customFormat="1" x14ac:dyDescent="0.15"/>
    <row r="1040130" customFormat="1" x14ac:dyDescent="0.15"/>
    <row r="1040131" customFormat="1" x14ac:dyDescent="0.15"/>
    <row r="1040132" customFormat="1" x14ac:dyDescent="0.15"/>
    <row r="1040133" customFormat="1" x14ac:dyDescent="0.15"/>
    <row r="1040134" customFormat="1" x14ac:dyDescent="0.15"/>
    <row r="1040135" customFormat="1" x14ac:dyDescent="0.15"/>
    <row r="1040136" customFormat="1" x14ac:dyDescent="0.15"/>
    <row r="1040137" customFormat="1" x14ac:dyDescent="0.15"/>
    <row r="1040138" customFormat="1" x14ac:dyDescent="0.15"/>
    <row r="1040139" customFormat="1" x14ac:dyDescent="0.15"/>
    <row r="1040140" customFormat="1" x14ac:dyDescent="0.15"/>
    <row r="1040141" customFormat="1" x14ac:dyDescent="0.15"/>
    <row r="1040142" customFormat="1" x14ac:dyDescent="0.15"/>
    <row r="1040143" customFormat="1" x14ac:dyDescent="0.15"/>
    <row r="1040144" customFormat="1" x14ac:dyDescent="0.15"/>
    <row r="1040145" customFormat="1" x14ac:dyDescent="0.15"/>
    <row r="1040146" customFormat="1" x14ac:dyDescent="0.15"/>
    <row r="1040147" customFormat="1" x14ac:dyDescent="0.15"/>
    <row r="1040148" customFormat="1" x14ac:dyDescent="0.15"/>
    <row r="1040149" customFormat="1" x14ac:dyDescent="0.15"/>
    <row r="1040150" customFormat="1" x14ac:dyDescent="0.15"/>
    <row r="1040151" customFormat="1" x14ac:dyDescent="0.15"/>
    <row r="1040152" customFormat="1" x14ac:dyDescent="0.15"/>
    <row r="1040153" customFormat="1" x14ac:dyDescent="0.15"/>
    <row r="1040154" customFormat="1" x14ac:dyDescent="0.15"/>
    <row r="1040155" customFormat="1" x14ac:dyDescent="0.15"/>
    <row r="1040156" customFormat="1" x14ac:dyDescent="0.15"/>
    <row r="1040157" customFormat="1" x14ac:dyDescent="0.15"/>
    <row r="1040158" customFormat="1" x14ac:dyDescent="0.15"/>
    <row r="1040159" customFormat="1" x14ac:dyDescent="0.15"/>
    <row r="1040160" customFormat="1" x14ac:dyDescent="0.15"/>
    <row r="1040161" customFormat="1" x14ac:dyDescent="0.15"/>
    <row r="1040162" customFormat="1" x14ac:dyDescent="0.15"/>
    <row r="1040163" customFormat="1" x14ac:dyDescent="0.15"/>
    <row r="1040164" customFormat="1" x14ac:dyDescent="0.15"/>
    <row r="1040165" customFormat="1" x14ac:dyDescent="0.15"/>
    <row r="1040166" customFormat="1" x14ac:dyDescent="0.15"/>
    <row r="1040167" customFormat="1" x14ac:dyDescent="0.15"/>
    <row r="1040168" customFormat="1" x14ac:dyDescent="0.15"/>
    <row r="1040169" customFormat="1" x14ac:dyDescent="0.15"/>
    <row r="1040170" customFormat="1" x14ac:dyDescent="0.15"/>
    <row r="1040171" customFormat="1" x14ac:dyDescent="0.15"/>
    <row r="1040172" customFormat="1" x14ac:dyDescent="0.15"/>
    <row r="1040173" customFormat="1" x14ac:dyDescent="0.15"/>
    <row r="1040174" customFormat="1" x14ac:dyDescent="0.15"/>
    <row r="1040175" customFormat="1" x14ac:dyDescent="0.15"/>
    <row r="1040176" customFormat="1" x14ac:dyDescent="0.15"/>
    <row r="1040177" customFormat="1" x14ac:dyDescent="0.15"/>
    <row r="1040178" customFormat="1" x14ac:dyDescent="0.15"/>
    <row r="1040179" customFormat="1" x14ac:dyDescent="0.15"/>
    <row r="1040180" customFormat="1" x14ac:dyDescent="0.15"/>
    <row r="1040181" customFormat="1" x14ac:dyDescent="0.15"/>
    <row r="1040182" customFormat="1" x14ac:dyDescent="0.15"/>
    <row r="1040183" customFormat="1" x14ac:dyDescent="0.15"/>
    <row r="1040184" customFormat="1" x14ac:dyDescent="0.15"/>
    <row r="1040185" customFormat="1" x14ac:dyDescent="0.15"/>
    <row r="1040186" customFormat="1" x14ac:dyDescent="0.15"/>
    <row r="1040187" customFormat="1" x14ac:dyDescent="0.15"/>
    <row r="1040188" customFormat="1" x14ac:dyDescent="0.15"/>
    <row r="1040189" customFormat="1" x14ac:dyDescent="0.15"/>
    <row r="1040190" customFormat="1" x14ac:dyDescent="0.15"/>
    <row r="1040191" customFormat="1" x14ac:dyDescent="0.15"/>
    <row r="1040192" customFormat="1" x14ac:dyDescent="0.15"/>
    <row r="1040193" customFormat="1" x14ac:dyDescent="0.15"/>
    <row r="1040194" customFormat="1" x14ac:dyDescent="0.15"/>
    <row r="1040195" customFormat="1" x14ac:dyDescent="0.15"/>
    <row r="1040196" customFormat="1" x14ac:dyDescent="0.15"/>
    <row r="1040197" customFormat="1" x14ac:dyDescent="0.15"/>
    <row r="1040198" customFormat="1" x14ac:dyDescent="0.15"/>
    <row r="1040199" customFormat="1" x14ac:dyDescent="0.15"/>
    <row r="1040200" customFormat="1" x14ac:dyDescent="0.15"/>
    <row r="1040201" customFormat="1" x14ac:dyDescent="0.15"/>
    <row r="1040202" customFormat="1" x14ac:dyDescent="0.15"/>
    <row r="1040203" customFormat="1" x14ac:dyDescent="0.15"/>
    <row r="1040204" customFormat="1" x14ac:dyDescent="0.15"/>
    <row r="1040205" customFormat="1" x14ac:dyDescent="0.15"/>
    <row r="1040206" customFormat="1" x14ac:dyDescent="0.15"/>
    <row r="1040207" customFormat="1" x14ac:dyDescent="0.15"/>
    <row r="1040208" customFormat="1" x14ac:dyDescent="0.15"/>
    <row r="1040209" customFormat="1" x14ac:dyDescent="0.15"/>
    <row r="1040210" customFormat="1" x14ac:dyDescent="0.15"/>
    <row r="1040211" customFormat="1" x14ac:dyDescent="0.15"/>
    <row r="1040212" customFormat="1" x14ac:dyDescent="0.15"/>
    <row r="1040213" customFormat="1" x14ac:dyDescent="0.15"/>
    <row r="1040214" customFormat="1" x14ac:dyDescent="0.15"/>
    <row r="1040215" customFormat="1" x14ac:dyDescent="0.15"/>
    <row r="1040216" customFormat="1" x14ac:dyDescent="0.15"/>
    <row r="1040217" customFormat="1" x14ac:dyDescent="0.15"/>
    <row r="1040218" customFormat="1" x14ac:dyDescent="0.15"/>
    <row r="1040219" customFormat="1" x14ac:dyDescent="0.15"/>
    <row r="1040220" customFormat="1" x14ac:dyDescent="0.15"/>
    <row r="1040221" customFormat="1" x14ac:dyDescent="0.15"/>
    <row r="1040222" customFormat="1" x14ac:dyDescent="0.15"/>
    <row r="1040223" customFormat="1" x14ac:dyDescent="0.15"/>
    <row r="1040224" customFormat="1" x14ac:dyDescent="0.15"/>
    <row r="1040225" customFormat="1" x14ac:dyDescent="0.15"/>
    <row r="1040226" customFormat="1" x14ac:dyDescent="0.15"/>
    <row r="1040227" customFormat="1" x14ac:dyDescent="0.15"/>
    <row r="1040228" customFormat="1" x14ac:dyDescent="0.15"/>
    <row r="1040229" customFormat="1" x14ac:dyDescent="0.15"/>
    <row r="1040230" customFormat="1" x14ac:dyDescent="0.15"/>
    <row r="1040231" customFormat="1" x14ac:dyDescent="0.15"/>
    <row r="1040232" customFormat="1" x14ac:dyDescent="0.15"/>
    <row r="1040233" customFormat="1" x14ac:dyDescent="0.15"/>
    <row r="1040234" customFormat="1" x14ac:dyDescent="0.15"/>
    <row r="1040235" customFormat="1" x14ac:dyDescent="0.15"/>
    <row r="1040236" customFormat="1" x14ac:dyDescent="0.15"/>
    <row r="1040237" customFormat="1" x14ac:dyDescent="0.15"/>
    <row r="1040238" customFormat="1" x14ac:dyDescent="0.15"/>
    <row r="1040239" customFormat="1" x14ac:dyDescent="0.15"/>
    <row r="1040240" customFormat="1" x14ac:dyDescent="0.15"/>
    <row r="1040241" customFormat="1" x14ac:dyDescent="0.15"/>
    <row r="1040242" customFormat="1" x14ac:dyDescent="0.15"/>
    <row r="1040243" customFormat="1" x14ac:dyDescent="0.15"/>
    <row r="1040244" customFormat="1" x14ac:dyDescent="0.15"/>
    <row r="1040245" customFormat="1" x14ac:dyDescent="0.15"/>
    <row r="1040246" customFormat="1" x14ac:dyDescent="0.15"/>
    <row r="1040247" customFormat="1" x14ac:dyDescent="0.15"/>
    <row r="1040248" customFormat="1" x14ac:dyDescent="0.15"/>
    <row r="1040249" customFormat="1" x14ac:dyDescent="0.15"/>
    <row r="1040250" customFormat="1" x14ac:dyDescent="0.15"/>
    <row r="1040251" customFormat="1" x14ac:dyDescent="0.15"/>
    <row r="1040252" customFormat="1" x14ac:dyDescent="0.15"/>
    <row r="1040253" customFormat="1" x14ac:dyDescent="0.15"/>
    <row r="1040254" customFormat="1" x14ac:dyDescent="0.15"/>
    <row r="1040255" customFormat="1" x14ac:dyDescent="0.15"/>
    <row r="1040256" customFormat="1" x14ac:dyDescent="0.15"/>
    <row r="1040257" customFormat="1" x14ac:dyDescent="0.15"/>
    <row r="1040258" customFormat="1" x14ac:dyDescent="0.15"/>
    <row r="1040259" customFormat="1" x14ac:dyDescent="0.15"/>
    <row r="1040260" customFormat="1" x14ac:dyDescent="0.15"/>
    <row r="1040261" customFormat="1" x14ac:dyDescent="0.15"/>
    <row r="1040262" customFormat="1" x14ac:dyDescent="0.15"/>
    <row r="1040263" customFormat="1" x14ac:dyDescent="0.15"/>
    <row r="1040264" customFormat="1" x14ac:dyDescent="0.15"/>
    <row r="1040265" customFormat="1" x14ac:dyDescent="0.15"/>
    <row r="1040266" customFormat="1" x14ac:dyDescent="0.15"/>
    <row r="1040267" customFormat="1" x14ac:dyDescent="0.15"/>
    <row r="1040268" customFormat="1" x14ac:dyDescent="0.15"/>
    <row r="1040269" customFormat="1" x14ac:dyDescent="0.15"/>
    <row r="1040270" customFormat="1" x14ac:dyDescent="0.15"/>
    <row r="1040271" customFormat="1" x14ac:dyDescent="0.15"/>
    <row r="1040272" customFormat="1" x14ac:dyDescent="0.15"/>
    <row r="1040273" customFormat="1" x14ac:dyDescent="0.15"/>
    <row r="1040274" customFormat="1" x14ac:dyDescent="0.15"/>
    <row r="1040275" customFormat="1" x14ac:dyDescent="0.15"/>
    <row r="1040276" customFormat="1" x14ac:dyDescent="0.15"/>
    <row r="1040277" customFormat="1" x14ac:dyDescent="0.15"/>
    <row r="1040278" customFormat="1" x14ac:dyDescent="0.15"/>
    <row r="1040279" customFormat="1" x14ac:dyDescent="0.15"/>
    <row r="1040280" customFormat="1" x14ac:dyDescent="0.15"/>
    <row r="1040281" customFormat="1" x14ac:dyDescent="0.15"/>
    <row r="1040282" customFormat="1" x14ac:dyDescent="0.15"/>
    <row r="1040283" customFormat="1" x14ac:dyDescent="0.15"/>
    <row r="1040284" customFormat="1" x14ac:dyDescent="0.15"/>
    <row r="1040285" customFormat="1" x14ac:dyDescent="0.15"/>
    <row r="1040286" customFormat="1" x14ac:dyDescent="0.15"/>
    <row r="1040287" customFormat="1" x14ac:dyDescent="0.15"/>
    <row r="1040288" customFormat="1" x14ac:dyDescent="0.15"/>
    <row r="1040289" customFormat="1" x14ac:dyDescent="0.15"/>
    <row r="1040290" customFormat="1" x14ac:dyDescent="0.15"/>
    <row r="1040291" customFormat="1" x14ac:dyDescent="0.15"/>
    <row r="1040292" customFormat="1" x14ac:dyDescent="0.15"/>
    <row r="1040293" customFormat="1" x14ac:dyDescent="0.15"/>
    <row r="1040294" customFormat="1" x14ac:dyDescent="0.15"/>
    <row r="1040295" customFormat="1" x14ac:dyDescent="0.15"/>
    <row r="1040296" customFormat="1" x14ac:dyDescent="0.15"/>
    <row r="1040297" customFormat="1" x14ac:dyDescent="0.15"/>
    <row r="1040298" customFormat="1" x14ac:dyDescent="0.15"/>
    <row r="1040299" customFormat="1" x14ac:dyDescent="0.15"/>
    <row r="1040300" customFormat="1" x14ac:dyDescent="0.15"/>
    <row r="1040301" customFormat="1" x14ac:dyDescent="0.15"/>
    <row r="1040302" customFormat="1" x14ac:dyDescent="0.15"/>
    <row r="1040303" customFormat="1" x14ac:dyDescent="0.15"/>
    <row r="1040304" customFormat="1" x14ac:dyDescent="0.15"/>
    <row r="1040305" customFormat="1" x14ac:dyDescent="0.15"/>
    <row r="1040306" customFormat="1" x14ac:dyDescent="0.15"/>
    <row r="1040307" customFormat="1" x14ac:dyDescent="0.15"/>
    <row r="1040308" customFormat="1" x14ac:dyDescent="0.15"/>
    <row r="1040309" customFormat="1" x14ac:dyDescent="0.15"/>
    <row r="1040310" customFormat="1" x14ac:dyDescent="0.15"/>
    <row r="1040311" customFormat="1" x14ac:dyDescent="0.15"/>
    <row r="1040312" customFormat="1" x14ac:dyDescent="0.15"/>
    <row r="1040313" customFormat="1" x14ac:dyDescent="0.15"/>
    <row r="1040314" customFormat="1" x14ac:dyDescent="0.15"/>
    <row r="1040315" customFormat="1" x14ac:dyDescent="0.15"/>
    <row r="1040316" customFormat="1" x14ac:dyDescent="0.15"/>
    <row r="1040317" customFormat="1" x14ac:dyDescent="0.15"/>
    <row r="1040318" customFormat="1" x14ac:dyDescent="0.15"/>
    <row r="1040319" customFormat="1" x14ac:dyDescent="0.15"/>
    <row r="1040320" customFormat="1" x14ac:dyDescent="0.15"/>
    <row r="1040321" customFormat="1" x14ac:dyDescent="0.15"/>
    <row r="1040322" customFormat="1" x14ac:dyDescent="0.15"/>
    <row r="1040323" customFormat="1" x14ac:dyDescent="0.15"/>
    <row r="1040324" customFormat="1" x14ac:dyDescent="0.15"/>
    <row r="1040325" customFormat="1" x14ac:dyDescent="0.15"/>
    <row r="1040326" customFormat="1" x14ac:dyDescent="0.15"/>
    <row r="1040327" customFormat="1" x14ac:dyDescent="0.15"/>
    <row r="1040328" customFormat="1" x14ac:dyDescent="0.15"/>
    <row r="1040329" customFormat="1" x14ac:dyDescent="0.15"/>
    <row r="1040330" customFormat="1" x14ac:dyDescent="0.15"/>
    <row r="1040331" customFormat="1" x14ac:dyDescent="0.15"/>
    <row r="1040332" customFormat="1" x14ac:dyDescent="0.15"/>
    <row r="1040333" customFormat="1" x14ac:dyDescent="0.15"/>
    <row r="1040334" customFormat="1" x14ac:dyDescent="0.15"/>
    <row r="1040335" customFormat="1" x14ac:dyDescent="0.15"/>
    <row r="1040336" customFormat="1" x14ac:dyDescent="0.15"/>
    <row r="1040337" customFormat="1" x14ac:dyDescent="0.15"/>
    <row r="1040338" customFormat="1" x14ac:dyDescent="0.15"/>
    <row r="1040339" customFormat="1" x14ac:dyDescent="0.15"/>
    <row r="1040340" customFormat="1" x14ac:dyDescent="0.15"/>
    <row r="1040341" customFormat="1" x14ac:dyDescent="0.15"/>
    <row r="1040342" customFormat="1" x14ac:dyDescent="0.15"/>
    <row r="1040343" customFormat="1" x14ac:dyDescent="0.15"/>
    <row r="1040344" customFormat="1" x14ac:dyDescent="0.15"/>
    <row r="1040345" customFormat="1" x14ac:dyDescent="0.15"/>
    <row r="1040346" customFormat="1" x14ac:dyDescent="0.15"/>
    <row r="1040347" customFormat="1" x14ac:dyDescent="0.15"/>
    <row r="1040348" customFormat="1" x14ac:dyDescent="0.15"/>
    <row r="1040349" customFormat="1" x14ac:dyDescent="0.15"/>
    <row r="1040350" customFormat="1" x14ac:dyDescent="0.15"/>
    <row r="1040351" customFormat="1" x14ac:dyDescent="0.15"/>
    <row r="1040352" customFormat="1" x14ac:dyDescent="0.15"/>
    <row r="1040353" customFormat="1" x14ac:dyDescent="0.15"/>
    <row r="1040354" customFormat="1" x14ac:dyDescent="0.15"/>
    <row r="1040355" customFormat="1" x14ac:dyDescent="0.15"/>
    <row r="1040356" customFormat="1" x14ac:dyDescent="0.15"/>
    <row r="1040357" customFormat="1" x14ac:dyDescent="0.15"/>
    <row r="1040358" customFormat="1" x14ac:dyDescent="0.15"/>
    <row r="1040359" customFormat="1" x14ac:dyDescent="0.15"/>
    <row r="1040360" customFormat="1" x14ac:dyDescent="0.15"/>
    <row r="1040361" customFormat="1" x14ac:dyDescent="0.15"/>
    <row r="1040362" customFormat="1" x14ac:dyDescent="0.15"/>
    <row r="1040363" customFormat="1" x14ac:dyDescent="0.15"/>
    <row r="1040364" customFormat="1" x14ac:dyDescent="0.15"/>
    <row r="1040365" customFormat="1" x14ac:dyDescent="0.15"/>
    <row r="1040366" customFormat="1" x14ac:dyDescent="0.15"/>
    <row r="1040367" customFormat="1" x14ac:dyDescent="0.15"/>
    <row r="1040368" customFormat="1" x14ac:dyDescent="0.15"/>
    <row r="1040369" customFormat="1" x14ac:dyDescent="0.15"/>
    <row r="1040370" customFormat="1" x14ac:dyDescent="0.15"/>
    <row r="1040371" customFormat="1" x14ac:dyDescent="0.15"/>
    <row r="1040372" customFormat="1" x14ac:dyDescent="0.15"/>
    <row r="1040373" customFormat="1" x14ac:dyDescent="0.15"/>
    <row r="1040374" customFormat="1" x14ac:dyDescent="0.15"/>
    <row r="1040375" customFormat="1" x14ac:dyDescent="0.15"/>
    <row r="1040376" customFormat="1" x14ac:dyDescent="0.15"/>
    <row r="1040377" customFormat="1" x14ac:dyDescent="0.15"/>
    <row r="1040378" customFormat="1" x14ac:dyDescent="0.15"/>
    <row r="1040379" customFormat="1" x14ac:dyDescent="0.15"/>
    <row r="1040380" customFormat="1" x14ac:dyDescent="0.15"/>
    <row r="1040381" customFormat="1" x14ac:dyDescent="0.15"/>
    <row r="1040382" customFormat="1" x14ac:dyDescent="0.15"/>
    <row r="1040383" customFormat="1" x14ac:dyDescent="0.15"/>
    <row r="1040384" customFormat="1" x14ac:dyDescent="0.15"/>
    <row r="1040385" customFormat="1" x14ac:dyDescent="0.15"/>
    <row r="1040386" customFormat="1" x14ac:dyDescent="0.15"/>
    <row r="1040387" customFormat="1" x14ac:dyDescent="0.15"/>
    <row r="1040388" customFormat="1" x14ac:dyDescent="0.15"/>
    <row r="1040389" customFormat="1" x14ac:dyDescent="0.15"/>
    <row r="1040390" customFormat="1" x14ac:dyDescent="0.15"/>
    <row r="1040391" customFormat="1" x14ac:dyDescent="0.15"/>
    <row r="1040392" customFormat="1" x14ac:dyDescent="0.15"/>
    <row r="1040393" customFormat="1" x14ac:dyDescent="0.15"/>
    <row r="1040394" customFormat="1" x14ac:dyDescent="0.15"/>
    <row r="1040395" customFormat="1" x14ac:dyDescent="0.15"/>
    <row r="1040396" customFormat="1" x14ac:dyDescent="0.15"/>
    <row r="1040397" customFormat="1" x14ac:dyDescent="0.15"/>
    <row r="1040398" customFormat="1" x14ac:dyDescent="0.15"/>
    <row r="1040399" customFormat="1" x14ac:dyDescent="0.15"/>
    <row r="1040400" customFormat="1" x14ac:dyDescent="0.15"/>
    <row r="1040401" customFormat="1" x14ac:dyDescent="0.15"/>
    <row r="1040402" customFormat="1" x14ac:dyDescent="0.15"/>
    <row r="1040403" customFormat="1" x14ac:dyDescent="0.15"/>
    <row r="1040404" customFormat="1" x14ac:dyDescent="0.15"/>
    <row r="1040405" customFormat="1" x14ac:dyDescent="0.15"/>
    <row r="1040406" customFormat="1" x14ac:dyDescent="0.15"/>
    <row r="1040407" customFormat="1" x14ac:dyDescent="0.15"/>
    <row r="1040408" customFormat="1" x14ac:dyDescent="0.15"/>
    <row r="1040409" customFormat="1" x14ac:dyDescent="0.15"/>
    <row r="1040410" customFormat="1" x14ac:dyDescent="0.15"/>
    <row r="1040411" customFormat="1" x14ac:dyDescent="0.15"/>
    <row r="1040412" customFormat="1" x14ac:dyDescent="0.15"/>
    <row r="1040413" customFormat="1" x14ac:dyDescent="0.15"/>
    <row r="1040414" customFormat="1" x14ac:dyDescent="0.15"/>
    <row r="1040415" customFormat="1" x14ac:dyDescent="0.15"/>
    <row r="1040416" customFormat="1" x14ac:dyDescent="0.15"/>
    <row r="1040417" customFormat="1" x14ac:dyDescent="0.15"/>
    <row r="1040418" customFormat="1" x14ac:dyDescent="0.15"/>
    <row r="1040419" customFormat="1" x14ac:dyDescent="0.15"/>
    <row r="1040420" customFormat="1" x14ac:dyDescent="0.15"/>
    <row r="1040421" customFormat="1" x14ac:dyDescent="0.15"/>
    <row r="1040422" customFormat="1" x14ac:dyDescent="0.15"/>
    <row r="1040423" customFormat="1" x14ac:dyDescent="0.15"/>
    <row r="1040424" customFormat="1" x14ac:dyDescent="0.15"/>
    <row r="1040425" customFormat="1" x14ac:dyDescent="0.15"/>
    <row r="1040426" customFormat="1" x14ac:dyDescent="0.15"/>
    <row r="1040427" customFormat="1" x14ac:dyDescent="0.15"/>
    <row r="1040428" customFormat="1" x14ac:dyDescent="0.15"/>
    <row r="1040429" customFormat="1" x14ac:dyDescent="0.15"/>
    <row r="1040430" customFormat="1" x14ac:dyDescent="0.15"/>
    <row r="1040431" customFormat="1" x14ac:dyDescent="0.15"/>
    <row r="1040432" customFormat="1" x14ac:dyDescent="0.15"/>
    <row r="1040433" customFormat="1" x14ac:dyDescent="0.15"/>
    <row r="1040434" customFormat="1" x14ac:dyDescent="0.15"/>
    <row r="1040435" customFormat="1" x14ac:dyDescent="0.15"/>
    <row r="1040436" customFormat="1" x14ac:dyDescent="0.15"/>
    <row r="1040437" customFormat="1" x14ac:dyDescent="0.15"/>
    <row r="1040438" customFormat="1" x14ac:dyDescent="0.15"/>
    <row r="1040439" customFormat="1" x14ac:dyDescent="0.15"/>
    <row r="1040440" customFormat="1" x14ac:dyDescent="0.15"/>
    <row r="1040441" customFormat="1" x14ac:dyDescent="0.15"/>
    <row r="1040442" customFormat="1" x14ac:dyDescent="0.15"/>
    <row r="1040443" customFormat="1" x14ac:dyDescent="0.15"/>
    <row r="1040444" customFormat="1" x14ac:dyDescent="0.15"/>
    <row r="1040445" customFormat="1" x14ac:dyDescent="0.15"/>
    <row r="1040446" customFormat="1" x14ac:dyDescent="0.15"/>
    <row r="1040447" customFormat="1" x14ac:dyDescent="0.15"/>
    <row r="1040448" customFormat="1" x14ac:dyDescent="0.15"/>
    <row r="1040449" customFormat="1" x14ac:dyDescent="0.15"/>
    <row r="1040450" customFormat="1" x14ac:dyDescent="0.15"/>
    <row r="1040451" customFormat="1" x14ac:dyDescent="0.15"/>
    <row r="1040452" customFormat="1" x14ac:dyDescent="0.15"/>
    <row r="1040453" customFormat="1" x14ac:dyDescent="0.15"/>
    <row r="1040454" customFormat="1" x14ac:dyDescent="0.15"/>
    <row r="1040455" customFormat="1" x14ac:dyDescent="0.15"/>
    <row r="1040456" customFormat="1" x14ac:dyDescent="0.15"/>
    <row r="1040457" customFormat="1" x14ac:dyDescent="0.15"/>
    <row r="1040458" customFormat="1" x14ac:dyDescent="0.15"/>
    <row r="1040459" customFormat="1" x14ac:dyDescent="0.15"/>
    <row r="1040460" customFormat="1" x14ac:dyDescent="0.15"/>
    <row r="1040461" customFormat="1" x14ac:dyDescent="0.15"/>
    <row r="1040462" customFormat="1" x14ac:dyDescent="0.15"/>
    <row r="1040463" customFormat="1" x14ac:dyDescent="0.15"/>
    <row r="1040464" customFormat="1" x14ac:dyDescent="0.15"/>
    <row r="1040465" customFormat="1" x14ac:dyDescent="0.15"/>
    <row r="1040466" customFormat="1" x14ac:dyDescent="0.15"/>
    <row r="1040467" customFormat="1" x14ac:dyDescent="0.15"/>
    <row r="1040468" customFormat="1" x14ac:dyDescent="0.15"/>
    <row r="1040469" customFormat="1" x14ac:dyDescent="0.15"/>
    <row r="1040470" customFormat="1" x14ac:dyDescent="0.15"/>
    <row r="1040471" customFormat="1" x14ac:dyDescent="0.15"/>
    <row r="1040472" customFormat="1" x14ac:dyDescent="0.15"/>
    <row r="1040473" customFormat="1" x14ac:dyDescent="0.15"/>
    <row r="1040474" customFormat="1" x14ac:dyDescent="0.15"/>
    <row r="1040475" customFormat="1" x14ac:dyDescent="0.15"/>
    <row r="1040476" customFormat="1" x14ac:dyDescent="0.15"/>
    <row r="1040477" customFormat="1" x14ac:dyDescent="0.15"/>
    <row r="1040478" customFormat="1" x14ac:dyDescent="0.15"/>
    <row r="1040479" customFormat="1" x14ac:dyDescent="0.15"/>
    <row r="1040480" customFormat="1" x14ac:dyDescent="0.15"/>
    <row r="1040481" customFormat="1" x14ac:dyDescent="0.15"/>
    <row r="1040482" customFormat="1" x14ac:dyDescent="0.15"/>
    <row r="1040483" customFormat="1" x14ac:dyDescent="0.15"/>
    <row r="1040484" customFormat="1" x14ac:dyDescent="0.15"/>
    <row r="1040485" customFormat="1" x14ac:dyDescent="0.15"/>
    <row r="1040486" customFormat="1" x14ac:dyDescent="0.15"/>
    <row r="1040487" customFormat="1" x14ac:dyDescent="0.15"/>
    <row r="1040488" customFormat="1" x14ac:dyDescent="0.15"/>
    <row r="1040489" customFormat="1" x14ac:dyDescent="0.15"/>
    <row r="1040490" customFormat="1" x14ac:dyDescent="0.15"/>
    <row r="1040491" customFormat="1" x14ac:dyDescent="0.15"/>
    <row r="1040492" customFormat="1" x14ac:dyDescent="0.15"/>
    <row r="1040493" customFormat="1" x14ac:dyDescent="0.15"/>
    <row r="1040494" customFormat="1" x14ac:dyDescent="0.15"/>
    <row r="1040495" customFormat="1" x14ac:dyDescent="0.15"/>
    <row r="1040496" customFormat="1" x14ac:dyDescent="0.15"/>
    <row r="1040497" customFormat="1" x14ac:dyDescent="0.15"/>
    <row r="1040498" customFormat="1" x14ac:dyDescent="0.15"/>
    <row r="1040499" customFormat="1" x14ac:dyDescent="0.15"/>
    <row r="1040500" customFormat="1" x14ac:dyDescent="0.15"/>
    <row r="1040501" customFormat="1" x14ac:dyDescent="0.15"/>
    <row r="1040502" customFormat="1" x14ac:dyDescent="0.15"/>
    <row r="1040503" customFormat="1" x14ac:dyDescent="0.15"/>
    <row r="1040504" customFormat="1" x14ac:dyDescent="0.15"/>
    <row r="1040505" customFormat="1" x14ac:dyDescent="0.15"/>
    <row r="1040506" customFormat="1" x14ac:dyDescent="0.15"/>
    <row r="1040507" customFormat="1" x14ac:dyDescent="0.15"/>
    <row r="1040508" customFormat="1" x14ac:dyDescent="0.15"/>
    <row r="1040509" customFormat="1" x14ac:dyDescent="0.15"/>
    <row r="1040510" customFormat="1" x14ac:dyDescent="0.15"/>
    <row r="1040511" customFormat="1" x14ac:dyDescent="0.15"/>
    <row r="1040512" customFormat="1" x14ac:dyDescent="0.15"/>
    <row r="1040513" customFormat="1" x14ac:dyDescent="0.15"/>
    <row r="1040514" customFormat="1" x14ac:dyDescent="0.15"/>
    <row r="1040515" customFormat="1" x14ac:dyDescent="0.15"/>
    <row r="1040516" customFormat="1" x14ac:dyDescent="0.15"/>
    <row r="1040517" customFormat="1" x14ac:dyDescent="0.15"/>
    <row r="1040518" customFormat="1" x14ac:dyDescent="0.15"/>
    <row r="1040519" customFormat="1" x14ac:dyDescent="0.15"/>
    <row r="1040520" customFormat="1" x14ac:dyDescent="0.15"/>
    <row r="1040521" customFormat="1" x14ac:dyDescent="0.15"/>
    <row r="1040522" customFormat="1" x14ac:dyDescent="0.15"/>
    <row r="1040523" customFormat="1" x14ac:dyDescent="0.15"/>
    <row r="1040524" customFormat="1" x14ac:dyDescent="0.15"/>
    <row r="1040525" customFormat="1" x14ac:dyDescent="0.15"/>
    <row r="1040526" customFormat="1" x14ac:dyDescent="0.15"/>
    <row r="1040527" customFormat="1" x14ac:dyDescent="0.15"/>
    <row r="1040528" customFormat="1" x14ac:dyDescent="0.15"/>
    <row r="1040529" customFormat="1" x14ac:dyDescent="0.15"/>
    <row r="1040530" customFormat="1" x14ac:dyDescent="0.15"/>
    <row r="1040531" customFormat="1" x14ac:dyDescent="0.15"/>
    <row r="1040532" customFormat="1" x14ac:dyDescent="0.15"/>
    <row r="1040533" customFormat="1" x14ac:dyDescent="0.15"/>
    <row r="1040534" customFormat="1" x14ac:dyDescent="0.15"/>
    <row r="1040535" customFormat="1" x14ac:dyDescent="0.15"/>
    <row r="1040536" customFormat="1" x14ac:dyDescent="0.15"/>
    <row r="1040537" customFormat="1" x14ac:dyDescent="0.15"/>
    <row r="1040538" customFormat="1" x14ac:dyDescent="0.15"/>
    <row r="1040539" customFormat="1" x14ac:dyDescent="0.15"/>
    <row r="1040540" customFormat="1" x14ac:dyDescent="0.15"/>
    <row r="1040541" customFormat="1" x14ac:dyDescent="0.15"/>
    <row r="1040542" customFormat="1" x14ac:dyDescent="0.15"/>
    <row r="1040543" customFormat="1" x14ac:dyDescent="0.15"/>
    <row r="1040544" customFormat="1" x14ac:dyDescent="0.15"/>
    <row r="1040545" customFormat="1" x14ac:dyDescent="0.15"/>
    <row r="1040546" customFormat="1" x14ac:dyDescent="0.15"/>
    <row r="1040547" customFormat="1" x14ac:dyDescent="0.15"/>
    <row r="1040548" customFormat="1" x14ac:dyDescent="0.15"/>
    <row r="1040549" customFormat="1" x14ac:dyDescent="0.15"/>
    <row r="1040550" customFormat="1" x14ac:dyDescent="0.15"/>
    <row r="1040551" customFormat="1" x14ac:dyDescent="0.15"/>
    <row r="1040552" customFormat="1" x14ac:dyDescent="0.15"/>
    <row r="1040553" customFormat="1" x14ac:dyDescent="0.15"/>
    <row r="1040554" customFormat="1" x14ac:dyDescent="0.15"/>
    <row r="1040555" customFormat="1" x14ac:dyDescent="0.15"/>
    <row r="1040556" customFormat="1" x14ac:dyDescent="0.15"/>
    <row r="1040557" customFormat="1" x14ac:dyDescent="0.15"/>
    <row r="1040558" customFormat="1" x14ac:dyDescent="0.15"/>
    <row r="1040559" customFormat="1" x14ac:dyDescent="0.15"/>
    <row r="1040560" customFormat="1" x14ac:dyDescent="0.15"/>
    <row r="1040561" customFormat="1" x14ac:dyDescent="0.15"/>
    <row r="1040562" customFormat="1" x14ac:dyDescent="0.15"/>
    <row r="1040563" customFormat="1" x14ac:dyDescent="0.15"/>
    <row r="1040564" customFormat="1" x14ac:dyDescent="0.15"/>
    <row r="1040565" customFormat="1" x14ac:dyDescent="0.15"/>
    <row r="1040566" customFormat="1" x14ac:dyDescent="0.15"/>
    <row r="1040567" customFormat="1" x14ac:dyDescent="0.15"/>
    <row r="1040568" customFormat="1" x14ac:dyDescent="0.15"/>
    <row r="1040569" customFormat="1" x14ac:dyDescent="0.15"/>
    <row r="1040570" customFormat="1" x14ac:dyDescent="0.15"/>
    <row r="1040571" customFormat="1" x14ac:dyDescent="0.15"/>
    <row r="1040572" customFormat="1" x14ac:dyDescent="0.15"/>
    <row r="1040573" customFormat="1" x14ac:dyDescent="0.15"/>
    <row r="1040574" customFormat="1" x14ac:dyDescent="0.15"/>
    <row r="1040575" customFormat="1" x14ac:dyDescent="0.15"/>
    <row r="1040576" customFormat="1" x14ac:dyDescent="0.15"/>
    <row r="1040577" customFormat="1" x14ac:dyDescent="0.15"/>
    <row r="1040578" customFormat="1" x14ac:dyDescent="0.15"/>
    <row r="1040579" customFormat="1" x14ac:dyDescent="0.15"/>
    <row r="1040580" customFormat="1" x14ac:dyDescent="0.15"/>
    <row r="1040581" customFormat="1" x14ac:dyDescent="0.15"/>
    <row r="1040582" customFormat="1" x14ac:dyDescent="0.15"/>
    <row r="1040583" customFormat="1" x14ac:dyDescent="0.15"/>
    <row r="1040584" customFormat="1" x14ac:dyDescent="0.15"/>
    <row r="1040585" customFormat="1" x14ac:dyDescent="0.15"/>
    <row r="1040586" customFormat="1" x14ac:dyDescent="0.15"/>
    <row r="1040587" customFormat="1" x14ac:dyDescent="0.15"/>
    <row r="1040588" customFormat="1" x14ac:dyDescent="0.15"/>
    <row r="1040589" customFormat="1" x14ac:dyDescent="0.15"/>
    <row r="1040590" customFormat="1" x14ac:dyDescent="0.15"/>
    <row r="1040591" customFormat="1" x14ac:dyDescent="0.15"/>
    <row r="1040592" customFormat="1" x14ac:dyDescent="0.15"/>
    <row r="1040593" customFormat="1" x14ac:dyDescent="0.15"/>
    <row r="1040594" customFormat="1" x14ac:dyDescent="0.15"/>
    <row r="1040595" customFormat="1" x14ac:dyDescent="0.15"/>
    <row r="1040596" customFormat="1" x14ac:dyDescent="0.15"/>
    <row r="1040597" customFormat="1" x14ac:dyDescent="0.15"/>
    <row r="1040598" customFormat="1" x14ac:dyDescent="0.15"/>
    <row r="1040599" customFormat="1" x14ac:dyDescent="0.15"/>
    <row r="1040600" customFormat="1" x14ac:dyDescent="0.15"/>
    <row r="1040601" customFormat="1" x14ac:dyDescent="0.15"/>
    <row r="1040602" customFormat="1" x14ac:dyDescent="0.15"/>
    <row r="1040603" customFormat="1" x14ac:dyDescent="0.15"/>
    <row r="1040604" customFormat="1" x14ac:dyDescent="0.15"/>
    <row r="1040605" customFormat="1" x14ac:dyDescent="0.15"/>
    <row r="1040606" customFormat="1" x14ac:dyDescent="0.15"/>
    <row r="1040607" customFormat="1" x14ac:dyDescent="0.15"/>
    <row r="1040608" customFormat="1" x14ac:dyDescent="0.15"/>
    <row r="1040609" customFormat="1" x14ac:dyDescent="0.15"/>
    <row r="1040610" customFormat="1" x14ac:dyDescent="0.15"/>
    <row r="1040611" customFormat="1" x14ac:dyDescent="0.15"/>
    <row r="1040612" customFormat="1" x14ac:dyDescent="0.15"/>
    <row r="1040613" customFormat="1" x14ac:dyDescent="0.15"/>
    <row r="1040614" customFormat="1" x14ac:dyDescent="0.15"/>
    <row r="1040615" customFormat="1" x14ac:dyDescent="0.15"/>
    <row r="1040616" customFormat="1" x14ac:dyDescent="0.15"/>
    <row r="1040617" customFormat="1" x14ac:dyDescent="0.15"/>
    <row r="1040618" customFormat="1" x14ac:dyDescent="0.15"/>
    <row r="1040619" customFormat="1" x14ac:dyDescent="0.15"/>
    <row r="1040620" customFormat="1" x14ac:dyDescent="0.15"/>
    <row r="1040621" customFormat="1" x14ac:dyDescent="0.15"/>
    <row r="1040622" customFormat="1" x14ac:dyDescent="0.15"/>
    <row r="1040623" customFormat="1" x14ac:dyDescent="0.15"/>
    <row r="1040624" customFormat="1" x14ac:dyDescent="0.15"/>
    <row r="1040625" customFormat="1" x14ac:dyDescent="0.15"/>
    <row r="1040626" customFormat="1" x14ac:dyDescent="0.15"/>
    <row r="1040627" customFormat="1" x14ac:dyDescent="0.15"/>
    <row r="1040628" customFormat="1" x14ac:dyDescent="0.15"/>
    <row r="1040629" customFormat="1" x14ac:dyDescent="0.15"/>
    <row r="1040630" customFormat="1" x14ac:dyDescent="0.15"/>
    <row r="1040631" customFormat="1" x14ac:dyDescent="0.15"/>
    <row r="1040632" customFormat="1" x14ac:dyDescent="0.15"/>
    <row r="1040633" customFormat="1" x14ac:dyDescent="0.15"/>
    <row r="1040634" customFormat="1" x14ac:dyDescent="0.15"/>
    <row r="1040635" customFormat="1" x14ac:dyDescent="0.15"/>
    <row r="1040636" customFormat="1" x14ac:dyDescent="0.15"/>
    <row r="1040637" customFormat="1" x14ac:dyDescent="0.15"/>
    <row r="1040638" customFormat="1" x14ac:dyDescent="0.15"/>
    <row r="1040639" customFormat="1" x14ac:dyDescent="0.15"/>
    <row r="1040640" customFormat="1" x14ac:dyDescent="0.15"/>
    <row r="1040641" customFormat="1" x14ac:dyDescent="0.15"/>
    <row r="1040642" customFormat="1" x14ac:dyDescent="0.15"/>
    <row r="1040643" customFormat="1" x14ac:dyDescent="0.15"/>
    <row r="1040644" customFormat="1" x14ac:dyDescent="0.15"/>
    <row r="1040645" customFormat="1" x14ac:dyDescent="0.15"/>
    <row r="1040646" customFormat="1" x14ac:dyDescent="0.15"/>
    <row r="1040647" customFormat="1" x14ac:dyDescent="0.15"/>
    <row r="1040648" customFormat="1" x14ac:dyDescent="0.15"/>
    <row r="1040649" customFormat="1" x14ac:dyDescent="0.15"/>
    <row r="1040650" customFormat="1" x14ac:dyDescent="0.15"/>
    <row r="1040651" customFormat="1" x14ac:dyDescent="0.15"/>
    <row r="1040652" customFormat="1" x14ac:dyDescent="0.15"/>
    <row r="1040653" customFormat="1" x14ac:dyDescent="0.15"/>
    <row r="1040654" customFormat="1" x14ac:dyDescent="0.15"/>
    <row r="1040655" customFormat="1" x14ac:dyDescent="0.15"/>
    <row r="1040656" customFormat="1" x14ac:dyDescent="0.15"/>
    <row r="1040657" customFormat="1" x14ac:dyDescent="0.15"/>
    <row r="1040658" customFormat="1" x14ac:dyDescent="0.15"/>
    <row r="1040659" customFormat="1" x14ac:dyDescent="0.15"/>
    <row r="1040660" customFormat="1" x14ac:dyDescent="0.15"/>
    <row r="1040661" customFormat="1" x14ac:dyDescent="0.15"/>
    <row r="1040662" customFormat="1" x14ac:dyDescent="0.15"/>
    <row r="1040663" customFormat="1" x14ac:dyDescent="0.15"/>
    <row r="1040664" customFormat="1" x14ac:dyDescent="0.15"/>
    <row r="1040665" customFormat="1" x14ac:dyDescent="0.15"/>
    <row r="1040666" customFormat="1" x14ac:dyDescent="0.15"/>
    <row r="1040667" customFormat="1" x14ac:dyDescent="0.15"/>
    <row r="1040668" customFormat="1" x14ac:dyDescent="0.15"/>
    <row r="1040669" customFormat="1" x14ac:dyDescent="0.15"/>
    <row r="1040670" customFormat="1" x14ac:dyDescent="0.15"/>
    <row r="1040671" customFormat="1" x14ac:dyDescent="0.15"/>
    <row r="1040672" customFormat="1" x14ac:dyDescent="0.15"/>
    <row r="1040673" customFormat="1" x14ac:dyDescent="0.15"/>
    <row r="1040674" customFormat="1" x14ac:dyDescent="0.15"/>
    <row r="1040675" customFormat="1" x14ac:dyDescent="0.15"/>
    <row r="1040676" customFormat="1" x14ac:dyDescent="0.15"/>
    <row r="1040677" customFormat="1" x14ac:dyDescent="0.15"/>
    <row r="1040678" customFormat="1" x14ac:dyDescent="0.15"/>
    <row r="1040679" customFormat="1" x14ac:dyDescent="0.15"/>
    <row r="1040680" customFormat="1" x14ac:dyDescent="0.15"/>
    <row r="1040681" customFormat="1" x14ac:dyDescent="0.15"/>
    <row r="1040682" customFormat="1" x14ac:dyDescent="0.15"/>
    <row r="1040683" customFormat="1" x14ac:dyDescent="0.15"/>
    <row r="1040684" customFormat="1" x14ac:dyDescent="0.15"/>
    <row r="1040685" customFormat="1" x14ac:dyDescent="0.15"/>
    <row r="1040686" customFormat="1" x14ac:dyDescent="0.15"/>
    <row r="1040687" customFormat="1" x14ac:dyDescent="0.15"/>
    <row r="1040688" customFormat="1" x14ac:dyDescent="0.15"/>
    <row r="1040689" customFormat="1" x14ac:dyDescent="0.15"/>
    <row r="1040690" customFormat="1" x14ac:dyDescent="0.15"/>
    <row r="1040691" customFormat="1" x14ac:dyDescent="0.15"/>
    <row r="1040692" customFormat="1" x14ac:dyDescent="0.15"/>
    <row r="1040693" customFormat="1" x14ac:dyDescent="0.15"/>
    <row r="1040694" customFormat="1" x14ac:dyDescent="0.15"/>
    <row r="1040695" customFormat="1" x14ac:dyDescent="0.15"/>
    <row r="1040696" customFormat="1" x14ac:dyDescent="0.15"/>
    <row r="1040697" customFormat="1" x14ac:dyDescent="0.15"/>
    <row r="1040698" customFormat="1" x14ac:dyDescent="0.15"/>
    <row r="1040699" customFormat="1" x14ac:dyDescent="0.15"/>
    <row r="1040700" customFormat="1" x14ac:dyDescent="0.15"/>
    <row r="1040701" customFormat="1" x14ac:dyDescent="0.15"/>
    <row r="1040702" customFormat="1" x14ac:dyDescent="0.15"/>
    <row r="1040703" customFormat="1" x14ac:dyDescent="0.15"/>
    <row r="1040704" customFormat="1" x14ac:dyDescent="0.15"/>
    <row r="1040705" customFormat="1" x14ac:dyDescent="0.15"/>
    <row r="1040706" customFormat="1" x14ac:dyDescent="0.15"/>
    <row r="1040707" customFormat="1" x14ac:dyDescent="0.15"/>
    <row r="1040708" customFormat="1" x14ac:dyDescent="0.15"/>
    <row r="1040709" customFormat="1" x14ac:dyDescent="0.15"/>
    <row r="1040710" customFormat="1" x14ac:dyDescent="0.15"/>
    <row r="1040711" customFormat="1" x14ac:dyDescent="0.15"/>
    <row r="1040712" customFormat="1" x14ac:dyDescent="0.15"/>
    <row r="1040713" customFormat="1" x14ac:dyDescent="0.15"/>
    <row r="1040714" customFormat="1" x14ac:dyDescent="0.15"/>
    <row r="1040715" customFormat="1" x14ac:dyDescent="0.15"/>
    <row r="1040716" customFormat="1" x14ac:dyDescent="0.15"/>
    <row r="1040717" customFormat="1" x14ac:dyDescent="0.15"/>
    <row r="1040718" customFormat="1" x14ac:dyDescent="0.15"/>
    <row r="1040719" customFormat="1" x14ac:dyDescent="0.15"/>
    <row r="1040720" customFormat="1" x14ac:dyDescent="0.15"/>
    <row r="1040721" customFormat="1" x14ac:dyDescent="0.15"/>
    <row r="1040722" customFormat="1" x14ac:dyDescent="0.15"/>
    <row r="1040723" customFormat="1" x14ac:dyDescent="0.15"/>
    <row r="1040724" customFormat="1" x14ac:dyDescent="0.15"/>
    <row r="1040725" customFormat="1" x14ac:dyDescent="0.15"/>
    <row r="1040726" customFormat="1" x14ac:dyDescent="0.15"/>
    <row r="1040727" customFormat="1" x14ac:dyDescent="0.15"/>
    <row r="1040728" customFormat="1" x14ac:dyDescent="0.15"/>
    <row r="1040729" customFormat="1" x14ac:dyDescent="0.15"/>
    <row r="1040730" customFormat="1" x14ac:dyDescent="0.15"/>
    <row r="1040731" customFormat="1" x14ac:dyDescent="0.15"/>
    <row r="1040732" customFormat="1" x14ac:dyDescent="0.15"/>
    <row r="1040733" customFormat="1" x14ac:dyDescent="0.15"/>
    <row r="1040734" customFormat="1" x14ac:dyDescent="0.15"/>
    <row r="1040735" customFormat="1" x14ac:dyDescent="0.15"/>
    <row r="1040736" customFormat="1" x14ac:dyDescent="0.15"/>
    <row r="1040737" customFormat="1" x14ac:dyDescent="0.15"/>
    <row r="1040738" customFormat="1" x14ac:dyDescent="0.15"/>
    <row r="1040739" customFormat="1" x14ac:dyDescent="0.15"/>
    <row r="1040740" customFormat="1" x14ac:dyDescent="0.15"/>
    <row r="1040741" customFormat="1" x14ac:dyDescent="0.15"/>
    <row r="1040742" customFormat="1" x14ac:dyDescent="0.15"/>
    <row r="1040743" customFormat="1" x14ac:dyDescent="0.15"/>
    <row r="1040744" customFormat="1" x14ac:dyDescent="0.15"/>
    <row r="1040745" customFormat="1" x14ac:dyDescent="0.15"/>
    <row r="1040746" customFormat="1" x14ac:dyDescent="0.15"/>
    <row r="1040747" customFormat="1" x14ac:dyDescent="0.15"/>
    <row r="1040748" customFormat="1" x14ac:dyDescent="0.15"/>
    <row r="1040749" customFormat="1" x14ac:dyDescent="0.15"/>
    <row r="1040750" customFormat="1" x14ac:dyDescent="0.15"/>
    <row r="1040751" customFormat="1" x14ac:dyDescent="0.15"/>
    <row r="1040752" customFormat="1" x14ac:dyDescent="0.15"/>
    <row r="1040753" customFormat="1" x14ac:dyDescent="0.15"/>
    <row r="1040754" customFormat="1" x14ac:dyDescent="0.15"/>
    <row r="1040755" customFormat="1" x14ac:dyDescent="0.15"/>
    <row r="1040756" customFormat="1" x14ac:dyDescent="0.15"/>
    <row r="1040757" customFormat="1" x14ac:dyDescent="0.15"/>
    <row r="1040758" customFormat="1" x14ac:dyDescent="0.15"/>
    <row r="1040759" customFormat="1" x14ac:dyDescent="0.15"/>
    <row r="1040760" customFormat="1" x14ac:dyDescent="0.15"/>
    <row r="1040761" customFormat="1" x14ac:dyDescent="0.15"/>
    <row r="1040762" customFormat="1" x14ac:dyDescent="0.15"/>
    <row r="1040763" customFormat="1" x14ac:dyDescent="0.15"/>
    <row r="1040764" customFormat="1" x14ac:dyDescent="0.15"/>
    <row r="1040765" customFormat="1" x14ac:dyDescent="0.15"/>
    <row r="1040766" customFormat="1" x14ac:dyDescent="0.15"/>
    <row r="1040767" customFormat="1" x14ac:dyDescent="0.15"/>
    <row r="1040768" customFormat="1" x14ac:dyDescent="0.15"/>
    <row r="1040769" customFormat="1" x14ac:dyDescent="0.15"/>
    <row r="1040770" customFormat="1" x14ac:dyDescent="0.15"/>
    <row r="1040771" customFormat="1" x14ac:dyDescent="0.15"/>
    <row r="1040772" customFormat="1" x14ac:dyDescent="0.15"/>
    <row r="1040773" customFormat="1" x14ac:dyDescent="0.15"/>
    <row r="1040774" customFormat="1" x14ac:dyDescent="0.15"/>
    <row r="1040775" customFormat="1" x14ac:dyDescent="0.15"/>
    <row r="1040776" customFormat="1" x14ac:dyDescent="0.15"/>
    <row r="1040777" customFormat="1" x14ac:dyDescent="0.15"/>
    <row r="1040778" customFormat="1" x14ac:dyDescent="0.15"/>
    <row r="1040779" customFormat="1" x14ac:dyDescent="0.15"/>
    <row r="1040780" customFormat="1" x14ac:dyDescent="0.15"/>
    <row r="1040781" customFormat="1" x14ac:dyDescent="0.15"/>
    <row r="1040782" customFormat="1" x14ac:dyDescent="0.15"/>
    <row r="1040783" customFormat="1" x14ac:dyDescent="0.15"/>
    <row r="1040784" customFormat="1" x14ac:dyDescent="0.15"/>
    <row r="1040785" customFormat="1" x14ac:dyDescent="0.15"/>
    <row r="1040786" customFormat="1" x14ac:dyDescent="0.15"/>
    <row r="1040787" customFormat="1" x14ac:dyDescent="0.15"/>
    <row r="1040788" customFormat="1" x14ac:dyDescent="0.15"/>
    <row r="1040789" customFormat="1" x14ac:dyDescent="0.15"/>
    <row r="1040790" customFormat="1" x14ac:dyDescent="0.15"/>
    <row r="1040791" customFormat="1" x14ac:dyDescent="0.15"/>
    <row r="1040792" customFormat="1" x14ac:dyDescent="0.15"/>
    <row r="1040793" customFormat="1" x14ac:dyDescent="0.15"/>
    <row r="1040794" customFormat="1" x14ac:dyDescent="0.15"/>
    <row r="1040795" customFormat="1" x14ac:dyDescent="0.15"/>
    <row r="1040796" customFormat="1" x14ac:dyDescent="0.15"/>
    <row r="1040797" customFormat="1" x14ac:dyDescent="0.15"/>
    <row r="1040798" customFormat="1" x14ac:dyDescent="0.15"/>
    <row r="1040799" customFormat="1" x14ac:dyDescent="0.15"/>
    <row r="1040800" customFormat="1" x14ac:dyDescent="0.15"/>
    <row r="1040801" customFormat="1" x14ac:dyDescent="0.15"/>
    <row r="1040802" customFormat="1" x14ac:dyDescent="0.15"/>
    <row r="1040803" customFormat="1" x14ac:dyDescent="0.15"/>
    <row r="1040804" customFormat="1" x14ac:dyDescent="0.15"/>
    <row r="1040805" customFormat="1" x14ac:dyDescent="0.15"/>
    <row r="1040806" customFormat="1" x14ac:dyDescent="0.15"/>
    <row r="1040807" customFormat="1" x14ac:dyDescent="0.15"/>
    <row r="1040808" customFormat="1" x14ac:dyDescent="0.15"/>
    <row r="1040809" customFormat="1" x14ac:dyDescent="0.15"/>
    <row r="1040810" customFormat="1" x14ac:dyDescent="0.15"/>
    <row r="1040811" customFormat="1" x14ac:dyDescent="0.15"/>
    <row r="1040812" customFormat="1" x14ac:dyDescent="0.15"/>
    <row r="1040813" customFormat="1" x14ac:dyDescent="0.15"/>
    <row r="1040814" customFormat="1" x14ac:dyDescent="0.15"/>
    <row r="1040815" customFormat="1" x14ac:dyDescent="0.15"/>
    <row r="1040816" customFormat="1" x14ac:dyDescent="0.15"/>
    <row r="1040817" customFormat="1" x14ac:dyDescent="0.15"/>
    <row r="1040818" customFormat="1" x14ac:dyDescent="0.15"/>
    <row r="1040819" customFormat="1" x14ac:dyDescent="0.15"/>
    <row r="1040820" customFormat="1" x14ac:dyDescent="0.15"/>
    <row r="1040821" customFormat="1" x14ac:dyDescent="0.15"/>
    <row r="1040822" customFormat="1" x14ac:dyDescent="0.15"/>
    <row r="1040823" customFormat="1" x14ac:dyDescent="0.15"/>
    <row r="1040824" customFormat="1" x14ac:dyDescent="0.15"/>
    <row r="1040825" customFormat="1" x14ac:dyDescent="0.15"/>
    <row r="1040826" customFormat="1" x14ac:dyDescent="0.15"/>
    <row r="1040827" customFormat="1" x14ac:dyDescent="0.15"/>
    <row r="1040828" customFormat="1" x14ac:dyDescent="0.15"/>
    <row r="1040829" customFormat="1" x14ac:dyDescent="0.15"/>
    <row r="1040830" customFormat="1" x14ac:dyDescent="0.15"/>
    <row r="1040831" customFormat="1" x14ac:dyDescent="0.15"/>
    <row r="1040832" customFormat="1" x14ac:dyDescent="0.15"/>
    <row r="1040833" customFormat="1" x14ac:dyDescent="0.15"/>
    <row r="1040834" customFormat="1" x14ac:dyDescent="0.15"/>
    <row r="1040835" customFormat="1" x14ac:dyDescent="0.15"/>
    <row r="1040836" customFormat="1" x14ac:dyDescent="0.15"/>
    <row r="1040837" customFormat="1" x14ac:dyDescent="0.15"/>
    <row r="1040838" customFormat="1" x14ac:dyDescent="0.15"/>
    <row r="1040839" customFormat="1" x14ac:dyDescent="0.15"/>
    <row r="1040840" customFormat="1" x14ac:dyDescent="0.15"/>
    <row r="1040841" customFormat="1" x14ac:dyDescent="0.15"/>
    <row r="1040842" customFormat="1" x14ac:dyDescent="0.15"/>
    <row r="1040843" customFormat="1" x14ac:dyDescent="0.15"/>
    <row r="1040844" customFormat="1" x14ac:dyDescent="0.15"/>
    <row r="1040845" customFormat="1" x14ac:dyDescent="0.15"/>
    <row r="1040846" customFormat="1" x14ac:dyDescent="0.15"/>
    <row r="1040847" customFormat="1" x14ac:dyDescent="0.15"/>
    <row r="1040848" customFormat="1" x14ac:dyDescent="0.15"/>
    <row r="1040849" customFormat="1" x14ac:dyDescent="0.15"/>
    <row r="1040850" customFormat="1" x14ac:dyDescent="0.15"/>
    <row r="1040851" customFormat="1" x14ac:dyDescent="0.15"/>
    <row r="1040852" customFormat="1" x14ac:dyDescent="0.15"/>
    <row r="1040853" customFormat="1" x14ac:dyDescent="0.15"/>
    <row r="1040854" customFormat="1" x14ac:dyDescent="0.15"/>
    <row r="1040855" customFormat="1" x14ac:dyDescent="0.15"/>
    <row r="1040856" customFormat="1" x14ac:dyDescent="0.15"/>
    <row r="1040857" customFormat="1" x14ac:dyDescent="0.15"/>
    <row r="1040858" customFormat="1" x14ac:dyDescent="0.15"/>
    <row r="1040859" customFormat="1" x14ac:dyDescent="0.15"/>
    <row r="1040860" customFormat="1" x14ac:dyDescent="0.15"/>
    <row r="1040861" customFormat="1" x14ac:dyDescent="0.15"/>
    <row r="1040862" customFormat="1" x14ac:dyDescent="0.15"/>
    <row r="1040863" customFormat="1" x14ac:dyDescent="0.15"/>
    <row r="1040864" customFormat="1" x14ac:dyDescent="0.15"/>
    <row r="1040865" customFormat="1" x14ac:dyDescent="0.15"/>
    <row r="1040866" customFormat="1" x14ac:dyDescent="0.15"/>
    <row r="1040867" customFormat="1" x14ac:dyDescent="0.15"/>
    <row r="1040868" customFormat="1" x14ac:dyDescent="0.15"/>
    <row r="1040869" customFormat="1" x14ac:dyDescent="0.15"/>
    <row r="1040870" customFormat="1" x14ac:dyDescent="0.15"/>
    <row r="1040871" customFormat="1" x14ac:dyDescent="0.15"/>
    <row r="1040872" customFormat="1" x14ac:dyDescent="0.15"/>
    <row r="1040873" customFormat="1" x14ac:dyDescent="0.15"/>
    <row r="1040874" customFormat="1" x14ac:dyDescent="0.15"/>
    <row r="1040875" customFormat="1" x14ac:dyDescent="0.15"/>
    <row r="1040876" customFormat="1" x14ac:dyDescent="0.15"/>
    <row r="1040877" customFormat="1" x14ac:dyDescent="0.15"/>
    <row r="1040878" customFormat="1" x14ac:dyDescent="0.15"/>
    <row r="1040879" customFormat="1" x14ac:dyDescent="0.15"/>
    <row r="1040880" customFormat="1" x14ac:dyDescent="0.15"/>
    <row r="1040881" customFormat="1" x14ac:dyDescent="0.15"/>
    <row r="1040882" customFormat="1" x14ac:dyDescent="0.15"/>
    <row r="1040883" customFormat="1" x14ac:dyDescent="0.15"/>
    <row r="1040884" customFormat="1" x14ac:dyDescent="0.15"/>
    <row r="1040885" customFormat="1" x14ac:dyDescent="0.15"/>
    <row r="1040886" customFormat="1" x14ac:dyDescent="0.15"/>
    <row r="1040887" customFormat="1" x14ac:dyDescent="0.15"/>
    <row r="1040888" customFormat="1" x14ac:dyDescent="0.15"/>
    <row r="1040889" customFormat="1" x14ac:dyDescent="0.15"/>
    <row r="1040890" customFormat="1" x14ac:dyDescent="0.15"/>
    <row r="1040891" customFormat="1" x14ac:dyDescent="0.15"/>
    <row r="1040892" customFormat="1" x14ac:dyDescent="0.15"/>
    <row r="1040893" customFormat="1" x14ac:dyDescent="0.15"/>
    <row r="1040894" customFormat="1" x14ac:dyDescent="0.15"/>
    <row r="1040895" customFormat="1" x14ac:dyDescent="0.15"/>
    <row r="1040896" customFormat="1" x14ac:dyDescent="0.15"/>
    <row r="1040897" customFormat="1" x14ac:dyDescent="0.15"/>
    <row r="1040898" customFormat="1" x14ac:dyDescent="0.15"/>
    <row r="1040899" customFormat="1" x14ac:dyDescent="0.15"/>
    <row r="1040900" customFormat="1" x14ac:dyDescent="0.15"/>
    <row r="1040901" customFormat="1" x14ac:dyDescent="0.15"/>
    <row r="1040902" customFormat="1" x14ac:dyDescent="0.15"/>
    <row r="1040903" customFormat="1" x14ac:dyDescent="0.15"/>
    <row r="1040904" customFormat="1" x14ac:dyDescent="0.15"/>
    <row r="1040905" customFormat="1" x14ac:dyDescent="0.15"/>
    <row r="1040906" customFormat="1" x14ac:dyDescent="0.15"/>
    <row r="1040907" customFormat="1" x14ac:dyDescent="0.15"/>
    <row r="1040908" customFormat="1" x14ac:dyDescent="0.15"/>
    <row r="1040909" customFormat="1" x14ac:dyDescent="0.15"/>
    <row r="1040910" customFormat="1" x14ac:dyDescent="0.15"/>
    <row r="1040911" customFormat="1" x14ac:dyDescent="0.15"/>
    <row r="1040912" customFormat="1" x14ac:dyDescent="0.15"/>
    <row r="1040913" customFormat="1" x14ac:dyDescent="0.15"/>
    <row r="1040914" customFormat="1" x14ac:dyDescent="0.15"/>
    <row r="1040915" customFormat="1" x14ac:dyDescent="0.15"/>
    <row r="1040916" customFormat="1" x14ac:dyDescent="0.15"/>
    <row r="1040917" customFormat="1" x14ac:dyDescent="0.15"/>
    <row r="1040918" customFormat="1" x14ac:dyDescent="0.15"/>
    <row r="1040919" customFormat="1" x14ac:dyDescent="0.15"/>
    <row r="1040920" customFormat="1" x14ac:dyDescent="0.15"/>
    <row r="1040921" customFormat="1" x14ac:dyDescent="0.15"/>
    <row r="1040922" customFormat="1" x14ac:dyDescent="0.15"/>
    <row r="1040923" customFormat="1" x14ac:dyDescent="0.15"/>
    <row r="1040924" customFormat="1" x14ac:dyDescent="0.15"/>
    <row r="1040925" customFormat="1" x14ac:dyDescent="0.15"/>
    <row r="1040926" customFormat="1" x14ac:dyDescent="0.15"/>
    <row r="1040927" customFormat="1" x14ac:dyDescent="0.15"/>
    <row r="1040928" customFormat="1" x14ac:dyDescent="0.15"/>
    <row r="1040929" customFormat="1" x14ac:dyDescent="0.15"/>
    <row r="1040930" customFormat="1" x14ac:dyDescent="0.15"/>
    <row r="1040931" customFormat="1" x14ac:dyDescent="0.15"/>
    <row r="1040932" customFormat="1" x14ac:dyDescent="0.15"/>
    <row r="1040933" customFormat="1" x14ac:dyDescent="0.15"/>
    <row r="1040934" customFormat="1" x14ac:dyDescent="0.15"/>
    <row r="1040935" customFormat="1" x14ac:dyDescent="0.15"/>
    <row r="1040936" customFormat="1" x14ac:dyDescent="0.15"/>
    <row r="1040937" customFormat="1" x14ac:dyDescent="0.15"/>
    <row r="1040938" customFormat="1" x14ac:dyDescent="0.15"/>
    <row r="1040939" customFormat="1" x14ac:dyDescent="0.15"/>
    <row r="1040940" customFormat="1" x14ac:dyDescent="0.15"/>
    <row r="1040941" customFormat="1" x14ac:dyDescent="0.15"/>
    <row r="1040942" customFormat="1" x14ac:dyDescent="0.15"/>
    <row r="1040943" customFormat="1" x14ac:dyDescent="0.15"/>
    <row r="1040944" customFormat="1" x14ac:dyDescent="0.15"/>
    <row r="1040945" customFormat="1" x14ac:dyDescent="0.15"/>
    <row r="1040946" customFormat="1" x14ac:dyDescent="0.15"/>
    <row r="1040947" customFormat="1" x14ac:dyDescent="0.15"/>
    <row r="1040948" customFormat="1" x14ac:dyDescent="0.15"/>
    <row r="1040949" customFormat="1" x14ac:dyDescent="0.15"/>
    <row r="1040950" customFormat="1" x14ac:dyDescent="0.15"/>
    <row r="1040951" customFormat="1" x14ac:dyDescent="0.15"/>
    <row r="1040952" customFormat="1" x14ac:dyDescent="0.15"/>
    <row r="1040953" customFormat="1" x14ac:dyDescent="0.15"/>
    <row r="1040954" customFormat="1" x14ac:dyDescent="0.15"/>
    <row r="1040955" customFormat="1" x14ac:dyDescent="0.15"/>
    <row r="1040956" customFormat="1" x14ac:dyDescent="0.15"/>
    <row r="1040957" customFormat="1" x14ac:dyDescent="0.15"/>
    <row r="1040958" customFormat="1" x14ac:dyDescent="0.15"/>
    <row r="1040959" customFormat="1" x14ac:dyDescent="0.15"/>
    <row r="1040960" customFormat="1" x14ac:dyDescent="0.15"/>
    <row r="1040961" customFormat="1" x14ac:dyDescent="0.15"/>
    <row r="1040962" customFormat="1" x14ac:dyDescent="0.15"/>
    <row r="1040963" customFormat="1" x14ac:dyDescent="0.15"/>
    <row r="1040964" customFormat="1" x14ac:dyDescent="0.15"/>
    <row r="1040965" customFormat="1" x14ac:dyDescent="0.15"/>
    <row r="1040966" customFormat="1" x14ac:dyDescent="0.15"/>
    <row r="1040967" customFormat="1" x14ac:dyDescent="0.15"/>
    <row r="1040968" customFormat="1" x14ac:dyDescent="0.15"/>
    <row r="1040969" customFormat="1" x14ac:dyDescent="0.15"/>
    <row r="1040970" customFormat="1" x14ac:dyDescent="0.15"/>
    <row r="1040971" customFormat="1" x14ac:dyDescent="0.15"/>
    <row r="1040972" customFormat="1" x14ac:dyDescent="0.15"/>
    <row r="1040973" customFormat="1" x14ac:dyDescent="0.15"/>
    <row r="1040974" customFormat="1" x14ac:dyDescent="0.15"/>
    <row r="1040975" customFormat="1" x14ac:dyDescent="0.15"/>
    <row r="1040976" customFormat="1" x14ac:dyDescent="0.15"/>
    <row r="1040977" customFormat="1" x14ac:dyDescent="0.15"/>
    <row r="1040978" customFormat="1" x14ac:dyDescent="0.15"/>
    <row r="1040979" customFormat="1" x14ac:dyDescent="0.15"/>
    <row r="1040980" customFormat="1" x14ac:dyDescent="0.15"/>
    <row r="1040981" customFormat="1" x14ac:dyDescent="0.15"/>
    <row r="1040982" customFormat="1" x14ac:dyDescent="0.15"/>
    <row r="1040983" customFormat="1" x14ac:dyDescent="0.15"/>
    <row r="1040984" customFormat="1" x14ac:dyDescent="0.15"/>
    <row r="1040985" customFormat="1" x14ac:dyDescent="0.15"/>
    <row r="1040986" customFormat="1" x14ac:dyDescent="0.15"/>
    <row r="1040987" customFormat="1" x14ac:dyDescent="0.15"/>
    <row r="1040988" customFormat="1" x14ac:dyDescent="0.15"/>
    <row r="1040989" customFormat="1" x14ac:dyDescent="0.15"/>
    <row r="1040990" customFormat="1" x14ac:dyDescent="0.15"/>
    <row r="1040991" customFormat="1" x14ac:dyDescent="0.15"/>
    <row r="1040992" customFormat="1" x14ac:dyDescent="0.15"/>
    <row r="1040993" customFormat="1" x14ac:dyDescent="0.15"/>
    <row r="1040994" customFormat="1" x14ac:dyDescent="0.15"/>
    <row r="1040995" customFormat="1" x14ac:dyDescent="0.15"/>
    <row r="1040996" customFormat="1" x14ac:dyDescent="0.15"/>
    <row r="1040997" customFormat="1" x14ac:dyDescent="0.15"/>
    <row r="1040998" customFormat="1" x14ac:dyDescent="0.15"/>
    <row r="1040999" customFormat="1" x14ac:dyDescent="0.15"/>
    <row r="1041000" customFormat="1" x14ac:dyDescent="0.15"/>
    <row r="1041001" customFormat="1" x14ac:dyDescent="0.15"/>
    <row r="1041002" customFormat="1" x14ac:dyDescent="0.15"/>
    <row r="1041003" customFormat="1" x14ac:dyDescent="0.15"/>
    <row r="1041004" customFormat="1" x14ac:dyDescent="0.15"/>
    <row r="1041005" customFormat="1" x14ac:dyDescent="0.15"/>
    <row r="1041006" customFormat="1" x14ac:dyDescent="0.15"/>
    <row r="1041007" customFormat="1" x14ac:dyDescent="0.15"/>
    <row r="1041008" customFormat="1" x14ac:dyDescent="0.15"/>
    <row r="1041009" customFormat="1" x14ac:dyDescent="0.15"/>
    <row r="1041010" customFormat="1" x14ac:dyDescent="0.15"/>
    <row r="1041011" customFormat="1" x14ac:dyDescent="0.15"/>
    <row r="1041012" customFormat="1" x14ac:dyDescent="0.15"/>
    <row r="1041013" customFormat="1" x14ac:dyDescent="0.15"/>
    <row r="1041014" customFormat="1" x14ac:dyDescent="0.15"/>
    <row r="1041015" customFormat="1" x14ac:dyDescent="0.15"/>
    <row r="1041016" customFormat="1" x14ac:dyDescent="0.15"/>
    <row r="1041017" customFormat="1" x14ac:dyDescent="0.15"/>
    <row r="1041018" customFormat="1" x14ac:dyDescent="0.15"/>
    <row r="1041019" customFormat="1" x14ac:dyDescent="0.15"/>
    <row r="1041020" customFormat="1" x14ac:dyDescent="0.15"/>
    <row r="1041021" customFormat="1" x14ac:dyDescent="0.15"/>
    <row r="1041022" customFormat="1" x14ac:dyDescent="0.15"/>
    <row r="1041023" customFormat="1" x14ac:dyDescent="0.15"/>
    <row r="1041024" customFormat="1" x14ac:dyDescent="0.15"/>
    <row r="1041025" customFormat="1" x14ac:dyDescent="0.15"/>
    <row r="1041026" customFormat="1" x14ac:dyDescent="0.15"/>
    <row r="1041027" customFormat="1" x14ac:dyDescent="0.15"/>
    <row r="1041028" customFormat="1" x14ac:dyDescent="0.15"/>
    <row r="1041029" customFormat="1" x14ac:dyDescent="0.15"/>
    <row r="1041030" customFormat="1" x14ac:dyDescent="0.15"/>
    <row r="1041031" customFormat="1" x14ac:dyDescent="0.15"/>
    <row r="1041032" customFormat="1" x14ac:dyDescent="0.15"/>
    <row r="1041033" customFormat="1" x14ac:dyDescent="0.15"/>
    <row r="1041034" customFormat="1" x14ac:dyDescent="0.15"/>
    <row r="1041035" customFormat="1" x14ac:dyDescent="0.15"/>
    <row r="1041036" customFormat="1" x14ac:dyDescent="0.15"/>
    <row r="1041037" customFormat="1" x14ac:dyDescent="0.15"/>
    <row r="1041038" customFormat="1" x14ac:dyDescent="0.15"/>
    <row r="1041039" customFormat="1" x14ac:dyDescent="0.15"/>
    <row r="1041040" customFormat="1" x14ac:dyDescent="0.15"/>
    <row r="1041041" customFormat="1" x14ac:dyDescent="0.15"/>
    <row r="1041042" customFormat="1" x14ac:dyDescent="0.15"/>
    <row r="1041043" customFormat="1" x14ac:dyDescent="0.15"/>
    <row r="1041044" customFormat="1" x14ac:dyDescent="0.15"/>
    <row r="1041045" customFormat="1" x14ac:dyDescent="0.15"/>
    <row r="1041046" customFormat="1" x14ac:dyDescent="0.15"/>
    <row r="1041047" customFormat="1" x14ac:dyDescent="0.15"/>
    <row r="1041048" customFormat="1" x14ac:dyDescent="0.15"/>
    <row r="1041049" customFormat="1" x14ac:dyDescent="0.15"/>
    <row r="1041050" customFormat="1" x14ac:dyDescent="0.15"/>
    <row r="1041051" customFormat="1" x14ac:dyDescent="0.15"/>
    <row r="1041052" customFormat="1" x14ac:dyDescent="0.15"/>
    <row r="1041053" customFormat="1" x14ac:dyDescent="0.15"/>
    <row r="1041054" customFormat="1" x14ac:dyDescent="0.15"/>
    <row r="1041055" customFormat="1" x14ac:dyDescent="0.15"/>
    <row r="1041056" customFormat="1" x14ac:dyDescent="0.15"/>
    <row r="1041057" customFormat="1" x14ac:dyDescent="0.15"/>
    <row r="1041058" customFormat="1" x14ac:dyDescent="0.15"/>
    <row r="1041059" customFormat="1" x14ac:dyDescent="0.15"/>
    <row r="1041060" customFormat="1" x14ac:dyDescent="0.15"/>
    <row r="1041061" customFormat="1" x14ac:dyDescent="0.15"/>
    <row r="1041062" customFormat="1" x14ac:dyDescent="0.15"/>
    <row r="1041063" customFormat="1" x14ac:dyDescent="0.15"/>
    <row r="1041064" customFormat="1" x14ac:dyDescent="0.15"/>
    <row r="1041065" customFormat="1" x14ac:dyDescent="0.15"/>
    <row r="1041066" customFormat="1" x14ac:dyDescent="0.15"/>
    <row r="1041067" customFormat="1" x14ac:dyDescent="0.15"/>
    <row r="1041068" customFormat="1" x14ac:dyDescent="0.15"/>
    <row r="1041069" customFormat="1" x14ac:dyDescent="0.15"/>
    <row r="1041070" customFormat="1" x14ac:dyDescent="0.15"/>
    <row r="1041071" customFormat="1" x14ac:dyDescent="0.15"/>
    <row r="1041072" customFormat="1" x14ac:dyDescent="0.15"/>
    <row r="1041073" customFormat="1" x14ac:dyDescent="0.15"/>
    <row r="1041074" customFormat="1" x14ac:dyDescent="0.15"/>
    <row r="1041075" customFormat="1" x14ac:dyDescent="0.15"/>
    <row r="1041076" customFormat="1" x14ac:dyDescent="0.15"/>
    <row r="1041077" customFormat="1" x14ac:dyDescent="0.15"/>
    <row r="1041078" customFormat="1" x14ac:dyDescent="0.15"/>
    <row r="1041079" customFormat="1" x14ac:dyDescent="0.15"/>
    <row r="1041080" customFormat="1" x14ac:dyDescent="0.15"/>
    <row r="1041081" customFormat="1" x14ac:dyDescent="0.15"/>
    <row r="1041082" customFormat="1" x14ac:dyDescent="0.15"/>
    <row r="1041083" customFormat="1" x14ac:dyDescent="0.15"/>
    <row r="1041084" customFormat="1" x14ac:dyDescent="0.15"/>
    <row r="1041085" customFormat="1" x14ac:dyDescent="0.15"/>
    <row r="1041086" customFormat="1" x14ac:dyDescent="0.15"/>
    <row r="1041087" customFormat="1" x14ac:dyDescent="0.15"/>
    <row r="1041088" customFormat="1" x14ac:dyDescent="0.15"/>
    <row r="1041089" customFormat="1" x14ac:dyDescent="0.15"/>
    <row r="1041090" customFormat="1" x14ac:dyDescent="0.15"/>
    <row r="1041091" customFormat="1" x14ac:dyDescent="0.15"/>
    <row r="1041092" customFormat="1" x14ac:dyDescent="0.15"/>
    <row r="1041093" customFormat="1" x14ac:dyDescent="0.15"/>
    <row r="1041094" customFormat="1" x14ac:dyDescent="0.15"/>
    <row r="1041095" customFormat="1" x14ac:dyDescent="0.15"/>
    <row r="1041096" customFormat="1" x14ac:dyDescent="0.15"/>
    <row r="1041097" customFormat="1" x14ac:dyDescent="0.15"/>
    <row r="1041098" customFormat="1" x14ac:dyDescent="0.15"/>
    <row r="1041099" customFormat="1" x14ac:dyDescent="0.15"/>
    <row r="1041100" customFormat="1" x14ac:dyDescent="0.15"/>
    <row r="1041101" customFormat="1" x14ac:dyDescent="0.15"/>
    <row r="1041102" customFormat="1" x14ac:dyDescent="0.15"/>
    <row r="1041103" customFormat="1" x14ac:dyDescent="0.15"/>
    <row r="1041104" customFormat="1" x14ac:dyDescent="0.15"/>
    <row r="1041105" customFormat="1" x14ac:dyDescent="0.15"/>
    <row r="1041106" customFormat="1" x14ac:dyDescent="0.15"/>
    <row r="1041107" customFormat="1" x14ac:dyDescent="0.15"/>
    <row r="1041108" customFormat="1" x14ac:dyDescent="0.15"/>
    <row r="1041109" customFormat="1" x14ac:dyDescent="0.15"/>
    <row r="1041110" customFormat="1" x14ac:dyDescent="0.15"/>
    <row r="1041111" customFormat="1" x14ac:dyDescent="0.15"/>
    <row r="1041112" customFormat="1" x14ac:dyDescent="0.15"/>
    <row r="1041113" customFormat="1" x14ac:dyDescent="0.15"/>
    <row r="1041114" customFormat="1" x14ac:dyDescent="0.15"/>
    <row r="1041115" customFormat="1" x14ac:dyDescent="0.15"/>
    <row r="1041116" customFormat="1" x14ac:dyDescent="0.15"/>
    <row r="1041117" customFormat="1" x14ac:dyDescent="0.15"/>
    <row r="1041118" customFormat="1" x14ac:dyDescent="0.15"/>
    <row r="1041119" customFormat="1" x14ac:dyDescent="0.15"/>
    <row r="1041120" customFormat="1" x14ac:dyDescent="0.15"/>
    <row r="1041121" customFormat="1" x14ac:dyDescent="0.15"/>
    <row r="1041122" customFormat="1" x14ac:dyDescent="0.15"/>
    <row r="1041123" customFormat="1" x14ac:dyDescent="0.15"/>
    <row r="1041124" customFormat="1" x14ac:dyDescent="0.15"/>
    <row r="1041125" customFormat="1" x14ac:dyDescent="0.15"/>
    <row r="1041126" customFormat="1" x14ac:dyDescent="0.15"/>
    <row r="1041127" customFormat="1" x14ac:dyDescent="0.15"/>
    <row r="1041128" customFormat="1" x14ac:dyDescent="0.15"/>
    <row r="1041129" customFormat="1" x14ac:dyDescent="0.15"/>
    <row r="1041130" customFormat="1" x14ac:dyDescent="0.15"/>
    <row r="1041131" customFormat="1" x14ac:dyDescent="0.15"/>
    <row r="1041132" customFormat="1" x14ac:dyDescent="0.15"/>
    <row r="1041133" customFormat="1" x14ac:dyDescent="0.15"/>
    <row r="1041134" customFormat="1" x14ac:dyDescent="0.15"/>
    <row r="1041135" customFormat="1" x14ac:dyDescent="0.15"/>
    <row r="1041136" customFormat="1" x14ac:dyDescent="0.15"/>
    <row r="1041137" customFormat="1" x14ac:dyDescent="0.15"/>
    <row r="1041138" customFormat="1" x14ac:dyDescent="0.15"/>
    <row r="1041139" customFormat="1" x14ac:dyDescent="0.15"/>
    <row r="1041140" customFormat="1" x14ac:dyDescent="0.15"/>
    <row r="1041141" customFormat="1" x14ac:dyDescent="0.15"/>
    <row r="1041142" customFormat="1" x14ac:dyDescent="0.15"/>
    <row r="1041143" customFormat="1" x14ac:dyDescent="0.15"/>
    <row r="1041144" customFormat="1" x14ac:dyDescent="0.15"/>
    <row r="1041145" customFormat="1" x14ac:dyDescent="0.15"/>
    <row r="1041146" customFormat="1" x14ac:dyDescent="0.15"/>
    <row r="1041147" customFormat="1" x14ac:dyDescent="0.15"/>
    <row r="1041148" customFormat="1" x14ac:dyDescent="0.15"/>
    <row r="1041149" customFormat="1" x14ac:dyDescent="0.15"/>
    <row r="1041150" customFormat="1" x14ac:dyDescent="0.15"/>
    <row r="1041151" customFormat="1" x14ac:dyDescent="0.15"/>
    <row r="1041152" customFormat="1" x14ac:dyDescent="0.15"/>
    <row r="1041153" customFormat="1" x14ac:dyDescent="0.15"/>
    <row r="1041154" customFormat="1" x14ac:dyDescent="0.15"/>
    <row r="1041155" customFormat="1" x14ac:dyDescent="0.15"/>
    <row r="1041156" customFormat="1" x14ac:dyDescent="0.15"/>
    <row r="1041157" customFormat="1" x14ac:dyDescent="0.15"/>
    <row r="1041158" customFormat="1" x14ac:dyDescent="0.15"/>
    <row r="1041159" customFormat="1" x14ac:dyDescent="0.15"/>
    <row r="1041160" customFormat="1" x14ac:dyDescent="0.15"/>
    <row r="1041161" customFormat="1" x14ac:dyDescent="0.15"/>
    <row r="1041162" customFormat="1" x14ac:dyDescent="0.15"/>
    <row r="1041163" customFormat="1" x14ac:dyDescent="0.15"/>
    <row r="1041164" customFormat="1" x14ac:dyDescent="0.15"/>
    <row r="1041165" customFormat="1" x14ac:dyDescent="0.15"/>
    <row r="1041166" customFormat="1" x14ac:dyDescent="0.15"/>
    <row r="1041167" customFormat="1" x14ac:dyDescent="0.15"/>
    <row r="1041168" customFormat="1" x14ac:dyDescent="0.15"/>
    <row r="1041169" customFormat="1" x14ac:dyDescent="0.15"/>
    <row r="1041170" customFormat="1" x14ac:dyDescent="0.15"/>
    <row r="1041171" customFormat="1" x14ac:dyDescent="0.15"/>
    <row r="1041172" customFormat="1" x14ac:dyDescent="0.15"/>
    <row r="1041173" customFormat="1" x14ac:dyDescent="0.15"/>
    <row r="1041174" customFormat="1" x14ac:dyDescent="0.15"/>
    <row r="1041175" customFormat="1" x14ac:dyDescent="0.15"/>
    <row r="1041176" customFormat="1" x14ac:dyDescent="0.15"/>
    <row r="1041177" customFormat="1" x14ac:dyDescent="0.15"/>
    <row r="1041178" customFormat="1" x14ac:dyDescent="0.15"/>
    <row r="1041179" customFormat="1" x14ac:dyDescent="0.15"/>
    <row r="1041180" customFormat="1" x14ac:dyDescent="0.15"/>
    <row r="1041181" customFormat="1" x14ac:dyDescent="0.15"/>
    <row r="1041182" customFormat="1" x14ac:dyDescent="0.15"/>
    <row r="1041183" customFormat="1" x14ac:dyDescent="0.15"/>
    <row r="1041184" customFormat="1" x14ac:dyDescent="0.15"/>
    <row r="1041185" customFormat="1" x14ac:dyDescent="0.15"/>
    <row r="1041186" customFormat="1" x14ac:dyDescent="0.15"/>
    <row r="1041187" customFormat="1" x14ac:dyDescent="0.15"/>
    <row r="1041188" customFormat="1" x14ac:dyDescent="0.15"/>
    <row r="1041189" customFormat="1" x14ac:dyDescent="0.15"/>
    <row r="1041190" customFormat="1" x14ac:dyDescent="0.15"/>
    <row r="1041191" customFormat="1" x14ac:dyDescent="0.15"/>
    <row r="1041192" customFormat="1" x14ac:dyDescent="0.15"/>
    <row r="1041193" customFormat="1" x14ac:dyDescent="0.15"/>
    <row r="1041194" customFormat="1" x14ac:dyDescent="0.15"/>
    <row r="1041195" customFormat="1" x14ac:dyDescent="0.15"/>
    <row r="1041196" customFormat="1" x14ac:dyDescent="0.15"/>
    <row r="1041197" customFormat="1" x14ac:dyDescent="0.15"/>
    <row r="1041198" customFormat="1" x14ac:dyDescent="0.15"/>
    <row r="1041199" customFormat="1" x14ac:dyDescent="0.15"/>
    <row r="1041200" customFormat="1" x14ac:dyDescent="0.15"/>
    <row r="1041201" customFormat="1" x14ac:dyDescent="0.15"/>
    <row r="1041202" customFormat="1" x14ac:dyDescent="0.15"/>
    <row r="1041203" customFormat="1" x14ac:dyDescent="0.15"/>
    <row r="1041204" customFormat="1" x14ac:dyDescent="0.15"/>
    <row r="1041205" customFormat="1" x14ac:dyDescent="0.15"/>
    <row r="1041206" customFormat="1" x14ac:dyDescent="0.15"/>
    <row r="1041207" customFormat="1" x14ac:dyDescent="0.15"/>
    <row r="1041208" customFormat="1" x14ac:dyDescent="0.15"/>
    <row r="1041209" customFormat="1" x14ac:dyDescent="0.15"/>
    <row r="1041210" customFormat="1" x14ac:dyDescent="0.15"/>
    <row r="1041211" customFormat="1" x14ac:dyDescent="0.15"/>
    <row r="1041212" customFormat="1" x14ac:dyDescent="0.15"/>
    <row r="1041213" customFormat="1" x14ac:dyDescent="0.15"/>
    <row r="1041214" customFormat="1" x14ac:dyDescent="0.15"/>
    <row r="1041215" customFormat="1" x14ac:dyDescent="0.15"/>
    <row r="1041216" customFormat="1" x14ac:dyDescent="0.15"/>
    <row r="1041217" customFormat="1" x14ac:dyDescent="0.15"/>
    <row r="1041218" customFormat="1" x14ac:dyDescent="0.15"/>
    <row r="1041219" customFormat="1" x14ac:dyDescent="0.15"/>
    <row r="1041220" customFormat="1" x14ac:dyDescent="0.15"/>
    <row r="1041221" customFormat="1" x14ac:dyDescent="0.15"/>
    <row r="1041222" customFormat="1" x14ac:dyDescent="0.15"/>
    <row r="1041223" customFormat="1" x14ac:dyDescent="0.15"/>
    <row r="1041224" customFormat="1" x14ac:dyDescent="0.15"/>
    <row r="1041225" customFormat="1" x14ac:dyDescent="0.15"/>
    <row r="1041226" customFormat="1" x14ac:dyDescent="0.15"/>
    <row r="1041227" customFormat="1" x14ac:dyDescent="0.15"/>
    <row r="1041228" customFormat="1" x14ac:dyDescent="0.15"/>
    <row r="1041229" customFormat="1" x14ac:dyDescent="0.15"/>
    <row r="1041230" customFormat="1" x14ac:dyDescent="0.15"/>
    <row r="1041231" customFormat="1" x14ac:dyDescent="0.15"/>
    <row r="1041232" customFormat="1" x14ac:dyDescent="0.15"/>
    <row r="1041233" customFormat="1" x14ac:dyDescent="0.15"/>
    <row r="1041234" customFormat="1" x14ac:dyDescent="0.15"/>
    <row r="1041235" customFormat="1" x14ac:dyDescent="0.15"/>
    <row r="1041236" customFormat="1" x14ac:dyDescent="0.15"/>
    <row r="1041237" customFormat="1" x14ac:dyDescent="0.15"/>
    <row r="1041238" customFormat="1" x14ac:dyDescent="0.15"/>
    <row r="1041239" customFormat="1" x14ac:dyDescent="0.15"/>
    <row r="1041240" customFormat="1" x14ac:dyDescent="0.15"/>
    <row r="1041241" customFormat="1" x14ac:dyDescent="0.15"/>
    <row r="1041242" customFormat="1" x14ac:dyDescent="0.15"/>
    <row r="1041243" customFormat="1" x14ac:dyDescent="0.15"/>
    <row r="1041244" customFormat="1" x14ac:dyDescent="0.15"/>
    <row r="1041245" customFormat="1" x14ac:dyDescent="0.15"/>
    <row r="1041246" customFormat="1" x14ac:dyDescent="0.15"/>
    <row r="1041247" customFormat="1" x14ac:dyDescent="0.15"/>
    <row r="1041248" customFormat="1" x14ac:dyDescent="0.15"/>
    <row r="1041249" customFormat="1" x14ac:dyDescent="0.15"/>
    <row r="1041250" customFormat="1" x14ac:dyDescent="0.15"/>
    <row r="1041251" customFormat="1" x14ac:dyDescent="0.15"/>
    <row r="1041252" customFormat="1" x14ac:dyDescent="0.15"/>
    <row r="1041253" customFormat="1" x14ac:dyDescent="0.15"/>
    <row r="1041254" customFormat="1" x14ac:dyDescent="0.15"/>
    <row r="1041255" customFormat="1" x14ac:dyDescent="0.15"/>
    <row r="1041256" customFormat="1" x14ac:dyDescent="0.15"/>
    <row r="1041257" customFormat="1" x14ac:dyDescent="0.15"/>
    <row r="1041258" customFormat="1" x14ac:dyDescent="0.15"/>
    <row r="1041259" customFormat="1" x14ac:dyDescent="0.15"/>
    <row r="1041260" customFormat="1" x14ac:dyDescent="0.15"/>
    <row r="1041261" customFormat="1" x14ac:dyDescent="0.15"/>
    <row r="1041262" customFormat="1" x14ac:dyDescent="0.15"/>
    <row r="1041263" customFormat="1" x14ac:dyDescent="0.15"/>
    <row r="1041264" customFormat="1" x14ac:dyDescent="0.15"/>
    <row r="1041265" customFormat="1" x14ac:dyDescent="0.15"/>
    <row r="1041266" customFormat="1" x14ac:dyDescent="0.15"/>
    <row r="1041267" customFormat="1" x14ac:dyDescent="0.15"/>
    <row r="1041268" customFormat="1" x14ac:dyDescent="0.15"/>
    <row r="1041269" customFormat="1" x14ac:dyDescent="0.15"/>
    <row r="1041270" customFormat="1" x14ac:dyDescent="0.15"/>
    <row r="1041271" customFormat="1" x14ac:dyDescent="0.15"/>
    <row r="1041272" customFormat="1" x14ac:dyDescent="0.15"/>
    <row r="1041273" customFormat="1" x14ac:dyDescent="0.15"/>
    <row r="1041274" customFormat="1" x14ac:dyDescent="0.15"/>
    <row r="1041275" customFormat="1" x14ac:dyDescent="0.15"/>
    <row r="1041276" customFormat="1" x14ac:dyDescent="0.15"/>
    <row r="1041277" customFormat="1" x14ac:dyDescent="0.15"/>
    <row r="1041278" customFormat="1" x14ac:dyDescent="0.15"/>
    <row r="1041279" customFormat="1" x14ac:dyDescent="0.15"/>
    <row r="1041280" customFormat="1" x14ac:dyDescent="0.15"/>
    <row r="1041281" customFormat="1" x14ac:dyDescent="0.15"/>
    <row r="1041282" customFormat="1" x14ac:dyDescent="0.15"/>
    <row r="1041283" customFormat="1" x14ac:dyDescent="0.15"/>
    <row r="1041284" customFormat="1" x14ac:dyDescent="0.15"/>
    <row r="1041285" customFormat="1" x14ac:dyDescent="0.15"/>
    <row r="1041286" customFormat="1" x14ac:dyDescent="0.15"/>
    <row r="1041287" customFormat="1" x14ac:dyDescent="0.15"/>
    <row r="1041288" customFormat="1" x14ac:dyDescent="0.15"/>
    <row r="1041289" customFormat="1" x14ac:dyDescent="0.15"/>
    <row r="1041290" customFormat="1" x14ac:dyDescent="0.15"/>
    <row r="1041291" customFormat="1" x14ac:dyDescent="0.15"/>
    <row r="1041292" customFormat="1" x14ac:dyDescent="0.15"/>
    <row r="1041293" customFormat="1" x14ac:dyDescent="0.15"/>
    <row r="1041294" customFormat="1" x14ac:dyDescent="0.15"/>
    <row r="1041295" customFormat="1" x14ac:dyDescent="0.15"/>
    <row r="1041296" customFormat="1" x14ac:dyDescent="0.15"/>
    <row r="1041297" customFormat="1" x14ac:dyDescent="0.15"/>
    <row r="1041298" customFormat="1" x14ac:dyDescent="0.15"/>
    <row r="1041299" customFormat="1" x14ac:dyDescent="0.15"/>
    <row r="1041300" customFormat="1" x14ac:dyDescent="0.15"/>
    <row r="1041301" customFormat="1" x14ac:dyDescent="0.15"/>
    <row r="1041302" customFormat="1" x14ac:dyDescent="0.15"/>
    <row r="1041303" customFormat="1" x14ac:dyDescent="0.15"/>
    <row r="1041304" customFormat="1" x14ac:dyDescent="0.15"/>
    <row r="1041305" customFormat="1" x14ac:dyDescent="0.15"/>
    <row r="1041306" customFormat="1" x14ac:dyDescent="0.15"/>
    <row r="1041307" customFormat="1" x14ac:dyDescent="0.15"/>
    <row r="1041308" customFormat="1" x14ac:dyDescent="0.15"/>
    <row r="1041309" customFormat="1" x14ac:dyDescent="0.15"/>
    <row r="1041310" customFormat="1" x14ac:dyDescent="0.15"/>
    <row r="1041311" customFormat="1" x14ac:dyDescent="0.15"/>
    <row r="1041312" customFormat="1" x14ac:dyDescent="0.15"/>
    <row r="1041313" customFormat="1" x14ac:dyDescent="0.15"/>
    <row r="1041314" customFormat="1" x14ac:dyDescent="0.15"/>
    <row r="1041315" customFormat="1" x14ac:dyDescent="0.15"/>
    <row r="1041316" customFormat="1" x14ac:dyDescent="0.15"/>
    <row r="1041317" customFormat="1" x14ac:dyDescent="0.15"/>
    <row r="1041318" customFormat="1" x14ac:dyDescent="0.15"/>
    <row r="1041319" customFormat="1" x14ac:dyDescent="0.15"/>
    <row r="1041320" customFormat="1" x14ac:dyDescent="0.15"/>
    <row r="1041321" customFormat="1" x14ac:dyDescent="0.15"/>
    <row r="1041322" customFormat="1" x14ac:dyDescent="0.15"/>
    <row r="1041323" customFormat="1" x14ac:dyDescent="0.15"/>
    <row r="1041324" customFormat="1" x14ac:dyDescent="0.15"/>
    <row r="1041325" customFormat="1" x14ac:dyDescent="0.15"/>
    <row r="1041326" customFormat="1" x14ac:dyDescent="0.15"/>
    <row r="1041327" customFormat="1" x14ac:dyDescent="0.15"/>
    <row r="1041328" customFormat="1" x14ac:dyDescent="0.15"/>
    <row r="1041329" customFormat="1" x14ac:dyDescent="0.15"/>
    <row r="1041330" customFormat="1" x14ac:dyDescent="0.15"/>
    <row r="1041331" customFormat="1" x14ac:dyDescent="0.15"/>
    <row r="1041332" customFormat="1" x14ac:dyDescent="0.15"/>
    <row r="1041333" customFormat="1" x14ac:dyDescent="0.15"/>
    <row r="1041334" customFormat="1" x14ac:dyDescent="0.15"/>
    <row r="1041335" customFormat="1" x14ac:dyDescent="0.15"/>
    <row r="1041336" customFormat="1" x14ac:dyDescent="0.15"/>
    <row r="1041337" customFormat="1" x14ac:dyDescent="0.15"/>
    <row r="1041338" customFormat="1" x14ac:dyDescent="0.15"/>
    <row r="1041339" customFormat="1" x14ac:dyDescent="0.15"/>
    <row r="1041340" customFormat="1" x14ac:dyDescent="0.15"/>
    <row r="1041341" customFormat="1" x14ac:dyDescent="0.15"/>
    <row r="1041342" customFormat="1" x14ac:dyDescent="0.15"/>
    <row r="1041343" customFormat="1" x14ac:dyDescent="0.15"/>
    <row r="1041344" customFormat="1" x14ac:dyDescent="0.15"/>
    <row r="1041345" customFormat="1" x14ac:dyDescent="0.15"/>
    <row r="1041346" customFormat="1" x14ac:dyDescent="0.15"/>
    <row r="1041347" customFormat="1" x14ac:dyDescent="0.15"/>
    <row r="1041348" customFormat="1" x14ac:dyDescent="0.15"/>
    <row r="1041349" customFormat="1" x14ac:dyDescent="0.15"/>
    <row r="1041350" customFormat="1" x14ac:dyDescent="0.15"/>
    <row r="1041351" customFormat="1" x14ac:dyDescent="0.15"/>
    <row r="1041352" customFormat="1" x14ac:dyDescent="0.15"/>
    <row r="1041353" customFormat="1" x14ac:dyDescent="0.15"/>
    <row r="1041354" customFormat="1" x14ac:dyDescent="0.15"/>
    <row r="1041355" customFormat="1" x14ac:dyDescent="0.15"/>
    <row r="1041356" customFormat="1" x14ac:dyDescent="0.15"/>
    <row r="1041357" customFormat="1" x14ac:dyDescent="0.15"/>
    <row r="1041358" customFormat="1" x14ac:dyDescent="0.15"/>
    <row r="1041359" customFormat="1" x14ac:dyDescent="0.15"/>
    <row r="1041360" customFormat="1" x14ac:dyDescent="0.15"/>
    <row r="1041361" customFormat="1" x14ac:dyDescent="0.15"/>
    <row r="1041362" customFormat="1" x14ac:dyDescent="0.15"/>
    <row r="1041363" customFormat="1" x14ac:dyDescent="0.15"/>
    <row r="1041364" customFormat="1" x14ac:dyDescent="0.15"/>
    <row r="1041365" customFormat="1" x14ac:dyDescent="0.15"/>
    <row r="1041366" customFormat="1" x14ac:dyDescent="0.15"/>
    <row r="1041367" customFormat="1" x14ac:dyDescent="0.15"/>
    <row r="1041368" customFormat="1" x14ac:dyDescent="0.15"/>
    <row r="1041369" customFormat="1" x14ac:dyDescent="0.15"/>
    <row r="1041370" customFormat="1" x14ac:dyDescent="0.15"/>
    <row r="1041371" customFormat="1" x14ac:dyDescent="0.15"/>
    <row r="1041372" customFormat="1" x14ac:dyDescent="0.15"/>
    <row r="1041373" customFormat="1" x14ac:dyDescent="0.15"/>
    <row r="1041374" customFormat="1" x14ac:dyDescent="0.15"/>
    <row r="1041375" customFormat="1" x14ac:dyDescent="0.15"/>
    <row r="1041376" customFormat="1" x14ac:dyDescent="0.15"/>
    <row r="1041377" customFormat="1" x14ac:dyDescent="0.15"/>
    <row r="1041378" customFormat="1" x14ac:dyDescent="0.15"/>
    <row r="1041379" customFormat="1" x14ac:dyDescent="0.15"/>
    <row r="1041380" customFormat="1" x14ac:dyDescent="0.15"/>
    <row r="1041381" customFormat="1" x14ac:dyDescent="0.15"/>
    <row r="1041382" customFormat="1" x14ac:dyDescent="0.15"/>
    <row r="1041383" customFormat="1" x14ac:dyDescent="0.15"/>
    <row r="1041384" customFormat="1" x14ac:dyDescent="0.15"/>
    <row r="1041385" customFormat="1" x14ac:dyDescent="0.15"/>
    <row r="1041386" customFormat="1" x14ac:dyDescent="0.15"/>
    <row r="1041387" customFormat="1" x14ac:dyDescent="0.15"/>
    <row r="1041388" customFormat="1" x14ac:dyDescent="0.15"/>
    <row r="1041389" customFormat="1" x14ac:dyDescent="0.15"/>
    <row r="1041390" customFormat="1" x14ac:dyDescent="0.15"/>
    <row r="1041391" customFormat="1" x14ac:dyDescent="0.15"/>
    <row r="1041392" customFormat="1" x14ac:dyDescent="0.15"/>
    <row r="1041393" customFormat="1" x14ac:dyDescent="0.15"/>
    <row r="1041394" customFormat="1" x14ac:dyDescent="0.15"/>
    <row r="1041395" customFormat="1" x14ac:dyDescent="0.15"/>
    <row r="1041396" customFormat="1" x14ac:dyDescent="0.15"/>
    <row r="1041397" customFormat="1" x14ac:dyDescent="0.15"/>
    <row r="1041398" customFormat="1" x14ac:dyDescent="0.15"/>
    <row r="1041399" customFormat="1" x14ac:dyDescent="0.15"/>
    <row r="1041400" customFormat="1" x14ac:dyDescent="0.15"/>
    <row r="1041401" customFormat="1" x14ac:dyDescent="0.15"/>
    <row r="1041402" customFormat="1" x14ac:dyDescent="0.15"/>
    <row r="1041403" customFormat="1" x14ac:dyDescent="0.15"/>
    <row r="1041404" customFormat="1" x14ac:dyDescent="0.15"/>
    <row r="1041405" customFormat="1" x14ac:dyDescent="0.15"/>
    <row r="1041406" customFormat="1" x14ac:dyDescent="0.15"/>
    <row r="1041407" customFormat="1" x14ac:dyDescent="0.15"/>
    <row r="1041408" customFormat="1" x14ac:dyDescent="0.15"/>
    <row r="1041409" customFormat="1" x14ac:dyDescent="0.15"/>
    <row r="1041410" customFormat="1" x14ac:dyDescent="0.15"/>
    <row r="1041411" customFormat="1" x14ac:dyDescent="0.15"/>
    <row r="1041412" customFormat="1" x14ac:dyDescent="0.15"/>
    <row r="1041413" customFormat="1" x14ac:dyDescent="0.15"/>
    <row r="1041414" customFormat="1" x14ac:dyDescent="0.15"/>
    <row r="1041415" customFormat="1" x14ac:dyDescent="0.15"/>
    <row r="1041416" customFormat="1" x14ac:dyDescent="0.15"/>
    <row r="1041417" customFormat="1" x14ac:dyDescent="0.15"/>
    <row r="1041418" customFormat="1" x14ac:dyDescent="0.15"/>
    <row r="1041419" customFormat="1" x14ac:dyDescent="0.15"/>
    <row r="1041420" customFormat="1" x14ac:dyDescent="0.15"/>
    <row r="1041421" customFormat="1" x14ac:dyDescent="0.15"/>
    <row r="1041422" customFormat="1" x14ac:dyDescent="0.15"/>
    <row r="1041423" customFormat="1" x14ac:dyDescent="0.15"/>
    <row r="1041424" customFormat="1" x14ac:dyDescent="0.15"/>
    <row r="1041425" customFormat="1" x14ac:dyDescent="0.15"/>
    <row r="1041426" customFormat="1" x14ac:dyDescent="0.15"/>
    <row r="1041427" customFormat="1" x14ac:dyDescent="0.15"/>
    <row r="1041428" customFormat="1" x14ac:dyDescent="0.15"/>
    <row r="1041429" customFormat="1" x14ac:dyDescent="0.15"/>
    <row r="1041430" customFormat="1" x14ac:dyDescent="0.15"/>
    <row r="1041431" customFormat="1" x14ac:dyDescent="0.15"/>
    <row r="1041432" customFormat="1" x14ac:dyDescent="0.15"/>
    <row r="1041433" customFormat="1" x14ac:dyDescent="0.15"/>
    <row r="1041434" customFormat="1" x14ac:dyDescent="0.15"/>
    <row r="1041435" customFormat="1" x14ac:dyDescent="0.15"/>
    <row r="1041436" customFormat="1" x14ac:dyDescent="0.15"/>
    <row r="1041437" customFormat="1" x14ac:dyDescent="0.15"/>
    <row r="1041438" customFormat="1" x14ac:dyDescent="0.15"/>
    <row r="1041439" customFormat="1" x14ac:dyDescent="0.15"/>
    <row r="1041440" customFormat="1" x14ac:dyDescent="0.15"/>
    <row r="1041441" customFormat="1" x14ac:dyDescent="0.15"/>
    <row r="1041442" customFormat="1" x14ac:dyDescent="0.15"/>
    <row r="1041443" customFormat="1" x14ac:dyDescent="0.15"/>
    <row r="1041444" customFormat="1" x14ac:dyDescent="0.15"/>
    <row r="1041445" customFormat="1" x14ac:dyDescent="0.15"/>
    <row r="1041446" customFormat="1" x14ac:dyDescent="0.15"/>
    <row r="1041447" customFormat="1" x14ac:dyDescent="0.15"/>
    <row r="1041448" customFormat="1" x14ac:dyDescent="0.15"/>
    <row r="1041449" customFormat="1" x14ac:dyDescent="0.15"/>
    <row r="1041450" customFormat="1" x14ac:dyDescent="0.15"/>
    <row r="1041451" customFormat="1" x14ac:dyDescent="0.15"/>
    <row r="1041452" customFormat="1" x14ac:dyDescent="0.15"/>
    <row r="1041453" customFormat="1" x14ac:dyDescent="0.15"/>
    <row r="1041454" customFormat="1" x14ac:dyDescent="0.15"/>
    <row r="1041455" customFormat="1" x14ac:dyDescent="0.15"/>
    <row r="1041456" customFormat="1" x14ac:dyDescent="0.15"/>
    <row r="1041457" customFormat="1" x14ac:dyDescent="0.15"/>
    <row r="1041458" customFormat="1" x14ac:dyDescent="0.15"/>
    <row r="1041459" customFormat="1" x14ac:dyDescent="0.15"/>
    <row r="1041460" customFormat="1" x14ac:dyDescent="0.15"/>
    <row r="1041461" customFormat="1" x14ac:dyDescent="0.15"/>
    <row r="1041462" customFormat="1" x14ac:dyDescent="0.15"/>
    <row r="1041463" customFormat="1" x14ac:dyDescent="0.15"/>
    <row r="1041464" customFormat="1" x14ac:dyDescent="0.15"/>
    <row r="1041465" customFormat="1" x14ac:dyDescent="0.15"/>
    <row r="1041466" customFormat="1" x14ac:dyDescent="0.15"/>
    <row r="1041467" customFormat="1" x14ac:dyDescent="0.15"/>
    <row r="1041468" customFormat="1" x14ac:dyDescent="0.15"/>
    <row r="1041469" customFormat="1" x14ac:dyDescent="0.15"/>
    <row r="1041470" customFormat="1" x14ac:dyDescent="0.15"/>
    <row r="1041471" customFormat="1" x14ac:dyDescent="0.15"/>
    <row r="1041472" customFormat="1" x14ac:dyDescent="0.15"/>
    <row r="1041473" customFormat="1" x14ac:dyDescent="0.15"/>
    <row r="1041474" customFormat="1" x14ac:dyDescent="0.15"/>
    <row r="1041475" customFormat="1" x14ac:dyDescent="0.15"/>
    <row r="1041476" customFormat="1" x14ac:dyDescent="0.15"/>
    <row r="1041477" customFormat="1" x14ac:dyDescent="0.15"/>
    <row r="1041478" customFormat="1" x14ac:dyDescent="0.15"/>
    <row r="1041479" customFormat="1" x14ac:dyDescent="0.15"/>
    <row r="1041480" customFormat="1" x14ac:dyDescent="0.15"/>
    <row r="1041481" customFormat="1" x14ac:dyDescent="0.15"/>
    <row r="1041482" customFormat="1" x14ac:dyDescent="0.15"/>
    <row r="1041483" customFormat="1" x14ac:dyDescent="0.15"/>
    <row r="1041484" customFormat="1" x14ac:dyDescent="0.15"/>
    <row r="1041485" customFormat="1" x14ac:dyDescent="0.15"/>
    <row r="1041486" customFormat="1" x14ac:dyDescent="0.15"/>
    <row r="1041487" customFormat="1" x14ac:dyDescent="0.15"/>
    <row r="1041488" customFormat="1" x14ac:dyDescent="0.15"/>
    <row r="1041489" customFormat="1" x14ac:dyDescent="0.15"/>
    <row r="1041490" customFormat="1" x14ac:dyDescent="0.15"/>
    <row r="1041491" customFormat="1" x14ac:dyDescent="0.15"/>
    <row r="1041492" customFormat="1" x14ac:dyDescent="0.15"/>
    <row r="1041493" customFormat="1" x14ac:dyDescent="0.15"/>
    <row r="1041494" customFormat="1" x14ac:dyDescent="0.15"/>
    <row r="1041495" customFormat="1" x14ac:dyDescent="0.15"/>
    <row r="1041496" customFormat="1" x14ac:dyDescent="0.15"/>
    <row r="1041497" customFormat="1" x14ac:dyDescent="0.15"/>
    <row r="1041498" customFormat="1" x14ac:dyDescent="0.15"/>
    <row r="1041499" customFormat="1" x14ac:dyDescent="0.15"/>
    <row r="1041500" customFormat="1" x14ac:dyDescent="0.15"/>
    <row r="1041501" customFormat="1" x14ac:dyDescent="0.15"/>
    <row r="1041502" customFormat="1" x14ac:dyDescent="0.15"/>
    <row r="1041503" customFormat="1" x14ac:dyDescent="0.15"/>
    <row r="1041504" customFormat="1" x14ac:dyDescent="0.15"/>
    <row r="1041505" customFormat="1" x14ac:dyDescent="0.15"/>
    <row r="1041506" customFormat="1" x14ac:dyDescent="0.15"/>
    <row r="1041507" customFormat="1" x14ac:dyDescent="0.15"/>
    <row r="1041508" customFormat="1" x14ac:dyDescent="0.15"/>
    <row r="1041509" customFormat="1" x14ac:dyDescent="0.15"/>
    <row r="1041510" customFormat="1" x14ac:dyDescent="0.15"/>
    <row r="1041511" customFormat="1" x14ac:dyDescent="0.15"/>
    <row r="1041512" customFormat="1" x14ac:dyDescent="0.15"/>
    <row r="1041513" customFormat="1" x14ac:dyDescent="0.15"/>
    <row r="1041514" customFormat="1" x14ac:dyDescent="0.15"/>
    <row r="1041515" customFormat="1" x14ac:dyDescent="0.15"/>
    <row r="1041516" customFormat="1" x14ac:dyDescent="0.15"/>
    <row r="1041517" customFormat="1" x14ac:dyDescent="0.15"/>
    <row r="1041518" customFormat="1" x14ac:dyDescent="0.15"/>
    <row r="1041519" customFormat="1" x14ac:dyDescent="0.15"/>
    <row r="1041520" customFormat="1" x14ac:dyDescent="0.15"/>
    <row r="1041521" customFormat="1" x14ac:dyDescent="0.15"/>
    <row r="1041522" customFormat="1" x14ac:dyDescent="0.15"/>
    <row r="1041523" customFormat="1" x14ac:dyDescent="0.15"/>
    <row r="1041524" customFormat="1" x14ac:dyDescent="0.15"/>
    <row r="1041525" customFormat="1" x14ac:dyDescent="0.15"/>
    <row r="1041526" customFormat="1" x14ac:dyDescent="0.15"/>
    <row r="1041527" customFormat="1" x14ac:dyDescent="0.15"/>
    <row r="1041528" customFormat="1" x14ac:dyDescent="0.15"/>
    <row r="1041529" customFormat="1" x14ac:dyDescent="0.15"/>
    <row r="1041530" customFormat="1" x14ac:dyDescent="0.15"/>
    <row r="1041531" customFormat="1" x14ac:dyDescent="0.15"/>
    <row r="1041532" customFormat="1" x14ac:dyDescent="0.15"/>
    <row r="1041533" customFormat="1" x14ac:dyDescent="0.15"/>
    <row r="1041534" customFormat="1" x14ac:dyDescent="0.15"/>
    <row r="1041535" customFormat="1" x14ac:dyDescent="0.15"/>
    <row r="1041536" customFormat="1" x14ac:dyDescent="0.15"/>
    <row r="1041537" customFormat="1" x14ac:dyDescent="0.15"/>
    <row r="1041538" customFormat="1" x14ac:dyDescent="0.15"/>
    <row r="1041539" customFormat="1" x14ac:dyDescent="0.15"/>
    <row r="1041540" customFormat="1" x14ac:dyDescent="0.15"/>
    <row r="1041541" customFormat="1" x14ac:dyDescent="0.15"/>
    <row r="1041542" customFormat="1" x14ac:dyDescent="0.15"/>
    <row r="1041543" customFormat="1" x14ac:dyDescent="0.15"/>
    <row r="1041544" customFormat="1" x14ac:dyDescent="0.15"/>
    <row r="1041545" customFormat="1" x14ac:dyDescent="0.15"/>
    <row r="1041546" customFormat="1" x14ac:dyDescent="0.15"/>
    <row r="1041547" customFormat="1" x14ac:dyDescent="0.15"/>
    <row r="1041548" customFormat="1" x14ac:dyDescent="0.15"/>
    <row r="1041549" customFormat="1" x14ac:dyDescent="0.15"/>
    <row r="1041550" customFormat="1" x14ac:dyDescent="0.15"/>
    <row r="1041551" customFormat="1" x14ac:dyDescent="0.15"/>
    <row r="1041552" customFormat="1" x14ac:dyDescent="0.15"/>
    <row r="1041553" customFormat="1" x14ac:dyDescent="0.15"/>
    <row r="1041554" customFormat="1" x14ac:dyDescent="0.15"/>
    <row r="1041555" customFormat="1" x14ac:dyDescent="0.15"/>
    <row r="1041556" customFormat="1" x14ac:dyDescent="0.15"/>
    <row r="1041557" customFormat="1" x14ac:dyDescent="0.15"/>
    <row r="1041558" customFormat="1" x14ac:dyDescent="0.15"/>
    <row r="1041559" customFormat="1" x14ac:dyDescent="0.15"/>
    <row r="1041560" customFormat="1" x14ac:dyDescent="0.15"/>
    <row r="1041561" customFormat="1" x14ac:dyDescent="0.15"/>
    <row r="1041562" customFormat="1" x14ac:dyDescent="0.15"/>
    <row r="1041563" customFormat="1" x14ac:dyDescent="0.15"/>
    <row r="1041564" customFormat="1" x14ac:dyDescent="0.15"/>
    <row r="1041565" customFormat="1" x14ac:dyDescent="0.15"/>
    <row r="1041566" customFormat="1" x14ac:dyDescent="0.15"/>
    <row r="1041567" customFormat="1" x14ac:dyDescent="0.15"/>
    <row r="1041568" customFormat="1" x14ac:dyDescent="0.15"/>
    <row r="1041569" customFormat="1" x14ac:dyDescent="0.15"/>
    <row r="1041570" customFormat="1" x14ac:dyDescent="0.15"/>
    <row r="1041571" customFormat="1" x14ac:dyDescent="0.15"/>
    <row r="1041572" customFormat="1" x14ac:dyDescent="0.15"/>
    <row r="1041573" customFormat="1" x14ac:dyDescent="0.15"/>
    <row r="1041574" customFormat="1" x14ac:dyDescent="0.15"/>
    <row r="1041575" customFormat="1" x14ac:dyDescent="0.15"/>
    <row r="1041576" customFormat="1" x14ac:dyDescent="0.15"/>
    <row r="1041577" customFormat="1" x14ac:dyDescent="0.15"/>
    <row r="1041578" customFormat="1" x14ac:dyDescent="0.15"/>
    <row r="1041579" customFormat="1" x14ac:dyDescent="0.15"/>
    <row r="1041580" customFormat="1" x14ac:dyDescent="0.15"/>
    <row r="1041581" customFormat="1" x14ac:dyDescent="0.15"/>
    <row r="1041582" customFormat="1" x14ac:dyDescent="0.15"/>
    <row r="1041583" customFormat="1" x14ac:dyDescent="0.15"/>
    <row r="1041584" customFormat="1" x14ac:dyDescent="0.15"/>
    <row r="1041585" customFormat="1" x14ac:dyDescent="0.15"/>
    <row r="1041586" customFormat="1" x14ac:dyDescent="0.15"/>
    <row r="1041587" customFormat="1" x14ac:dyDescent="0.15"/>
    <row r="1041588" customFormat="1" x14ac:dyDescent="0.15"/>
    <row r="1041589" customFormat="1" x14ac:dyDescent="0.15"/>
    <row r="1041590" customFormat="1" x14ac:dyDescent="0.15"/>
    <row r="1041591" customFormat="1" x14ac:dyDescent="0.15"/>
    <row r="1041592" customFormat="1" x14ac:dyDescent="0.15"/>
    <row r="1041593" customFormat="1" x14ac:dyDescent="0.15"/>
    <row r="1041594" customFormat="1" x14ac:dyDescent="0.15"/>
    <row r="1041595" customFormat="1" x14ac:dyDescent="0.15"/>
    <row r="1041596" customFormat="1" x14ac:dyDescent="0.15"/>
    <row r="1041597" customFormat="1" x14ac:dyDescent="0.15"/>
    <row r="1041598" customFormat="1" x14ac:dyDescent="0.15"/>
    <row r="1041599" customFormat="1" x14ac:dyDescent="0.15"/>
    <row r="1041600" customFormat="1" x14ac:dyDescent="0.15"/>
    <row r="1041601" customFormat="1" x14ac:dyDescent="0.15"/>
    <row r="1041602" customFormat="1" x14ac:dyDescent="0.15"/>
    <row r="1041603" customFormat="1" x14ac:dyDescent="0.15"/>
    <row r="1041604" customFormat="1" x14ac:dyDescent="0.15"/>
    <row r="1041605" customFormat="1" x14ac:dyDescent="0.15"/>
    <row r="1041606" customFormat="1" x14ac:dyDescent="0.15"/>
    <row r="1041607" customFormat="1" x14ac:dyDescent="0.15"/>
    <row r="1041608" customFormat="1" x14ac:dyDescent="0.15"/>
    <row r="1041609" customFormat="1" x14ac:dyDescent="0.15"/>
    <row r="1041610" customFormat="1" x14ac:dyDescent="0.15"/>
    <row r="1041611" customFormat="1" x14ac:dyDescent="0.15"/>
    <row r="1041612" customFormat="1" x14ac:dyDescent="0.15"/>
    <row r="1041613" customFormat="1" x14ac:dyDescent="0.15"/>
    <row r="1041614" customFormat="1" x14ac:dyDescent="0.15"/>
    <row r="1041615" customFormat="1" x14ac:dyDescent="0.15"/>
    <row r="1041616" customFormat="1" x14ac:dyDescent="0.15"/>
    <row r="1041617" customFormat="1" x14ac:dyDescent="0.15"/>
    <row r="1041618" customFormat="1" x14ac:dyDescent="0.15"/>
    <row r="1041619" customFormat="1" x14ac:dyDescent="0.15"/>
    <row r="1041620" customFormat="1" x14ac:dyDescent="0.15"/>
    <row r="1041621" customFormat="1" x14ac:dyDescent="0.15"/>
    <row r="1041622" customFormat="1" x14ac:dyDescent="0.15"/>
    <row r="1041623" customFormat="1" x14ac:dyDescent="0.15"/>
    <row r="1041624" customFormat="1" x14ac:dyDescent="0.15"/>
    <row r="1041625" customFormat="1" x14ac:dyDescent="0.15"/>
    <row r="1041626" customFormat="1" x14ac:dyDescent="0.15"/>
    <row r="1041627" customFormat="1" x14ac:dyDescent="0.15"/>
    <row r="1041628" customFormat="1" x14ac:dyDescent="0.15"/>
    <row r="1041629" customFormat="1" x14ac:dyDescent="0.15"/>
    <row r="1041630" customFormat="1" x14ac:dyDescent="0.15"/>
    <row r="1041631" customFormat="1" x14ac:dyDescent="0.15"/>
    <row r="1041632" customFormat="1" x14ac:dyDescent="0.15"/>
    <row r="1041633" customFormat="1" x14ac:dyDescent="0.15"/>
    <row r="1041634" customFormat="1" x14ac:dyDescent="0.15"/>
    <row r="1041635" customFormat="1" x14ac:dyDescent="0.15"/>
    <row r="1041636" customFormat="1" x14ac:dyDescent="0.15"/>
    <row r="1041637" customFormat="1" x14ac:dyDescent="0.15"/>
    <row r="1041638" customFormat="1" x14ac:dyDescent="0.15"/>
    <row r="1041639" customFormat="1" x14ac:dyDescent="0.15"/>
    <row r="1041640" customFormat="1" x14ac:dyDescent="0.15"/>
    <row r="1041641" customFormat="1" x14ac:dyDescent="0.15"/>
    <row r="1041642" customFormat="1" x14ac:dyDescent="0.15"/>
    <row r="1041643" customFormat="1" x14ac:dyDescent="0.15"/>
    <row r="1041644" customFormat="1" x14ac:dyDescent="0.15"/>
    <row r="1041645" customFormat="1" x14ac:dyDescent="0.15"/>
    <row r="1041646" customFormat="1" x14ac:dyDescent="0.15"/>
    <row r="1041647" customFormat="1" x14ac:dyDescent="0.15"/>
    <row r="1041648" customFormat="1" x14ac:dyDescent="0.15"/>
    <row r="1041649" customFormat="1" x14ac:dyDescent="0.15"/>
    <row r="1041650" customFormat="1" x14ac:dyDescent="0.15"/>
    <row r="1041651" customFormat="1" x14ac:dyDescent="0.15"/>
    <row r="1041652" customFormat="1" x14ac:dyDescent="0.15"/>
    <row r="1041653" customFormat="1" x14ac:dyDescent="0.15"/>
    <row r="1041654" customFormat="1" x14ac:dyDescent="0.15"/>
    <row r="1041655" customFormat="1" x14ac:dyDescent="0.15"/>
    <row r="1041656" customFormat="1" x14ac:dyDescent="0.15"/>
    <row r="1041657" customFormat="1" x14ac:dyDescent="0.15"/>
    <row r="1041658" customFormat="1" x14ac:dyDescent="0.15"/>
    <row r="1041659" customFormat="1" x14ac:dyDescent="0.15"/>
    <row r="1041660" customFormat="1" x14ac:dyDescent="0.15"/>
    <row r="1041661" customFormat="1" x14ac:dyDescent="0.15"/>
    <row r="1041662" customFormat="1" x14ac:dyDescent="0.15"/>
    <row r="1041663" customFormat="1" x14ac:dyDescent="0.15"/>
    <row r="1041664" customFormat="1" x14ac:dyDescent="0.15"/>
    <row r="1041665" customFormat="1" x14ac:dyDescent="0.15"/>
    <row r="1041666" customFormat="1" x14ac:dyDescent="0.15"/>
    <row r="1041667" customFormat="1" x14ac:dyDescent="0.15"/>
    <row r="1041668" customFormat="1" x14ac:dyDescent="0.15"/>
    <row r="1041669" customFormat="1" x14ac:dyDescent="0.15"/>
    <row r="1041670" customFormat="1" x14ac:dyDescent="0.15"/>
    <row r="1041671" customFormat="1" x14ac:dyDescent="0.15"/>
    <row r="1041672" customFormat="1" x14ac:dyDescent="0.15"/>
    <row r="1041673" customFormat="1" x14ac:dyDescent="0.15"/>
    <row r="1041674" customFormat="1" x14ac:dyDescent="0.15"/>
    <row r="1041675" customFormat="1" x14ac:dyDescent="0.15"/>
    <row r="1041676" customFormat="1" x14ac:dyDescent="0.15"/>
    <row r="1041677" customFormat="1" x14ac:dyDescent="0.15"/>
    <row r="1041678" customFormat="1" x14ac:dyDescent="0.15"/>
    <row r="1041679" customFormat="1" x14ac:dyDescent="0.15"/>
    <row r="1041680" customFormat="1" x14ac:dyDescent="0.15"/>
    <row r="1041681" customFormat="1" x14ac:dyDescent="0.15"/>
    <row r="1041682" customFormat="1" x14ac:dyDescent="0.15"/>
    <row r="1041683" customFormat="1" x14ac:dyDescent="0.15"/>
    <row r="1041684" customFormat="1" x14ac:dyDescent="0.15"/>
    <row r="1041685" customFormat="1" x14ac:dyDescent="0.15"/>
    <row r="1041686" customFormat="1" x14ac:dyDescent="0.15"/>
    <row r="1041687" customFormat="1" x14ac:dyDescent="0.15"/>
    <row r="1041688" customFormat="1" x14ac:dyDescent="0.15"/>
    <row r="1041689" customFormat="1" x14ac:dyDescent="0.15"/>
    <row r="1041690" customFormat="1" x14ac:dyDescent="0.15"/>
    <row r="1041691" customFormat="1" x14ac:dyDescent="0.15"/>
    <row r="1041692" customFormat="1" x14ac:dyDescent="0.15"/>
    <row r="1041693" customFormat="1" x14ac:dyDescent="0.15"/>
    <row r="1041694" customFormat="1" x14ac:dyDescent="0.15"/>
    <row r="1041695" customFormat="1" x14ac:dyDescent="0.15"/>
    <row r="1041696" customFormat="1" x14ac:dyDescent="0.15"/>
    <row r="1041697" customFormat="1" x14ac:dyDescent="0.15"/>
    <row r="1041698" customFormat="1" x14ac:dyDescent="0.15"/>
    <row r="1041699" customFormat="1" x14ac:dyDescent="0.15"/>
    <row r="1041700" customFormat="1" x14ac:dyDescent="0.15"/>
    <row r="1041701" customFormat="1" x14ac:dyDescent="0.15"/>
    <row r="1041702" customFormat="1" x14ac:dyDescent="0.15"/>
    <row r="1041703" customFormat="1" x14ac:dyDescent="0.15"/>
    <row r="1041704" customFormat="1" x14ac:dyDescent="0.15"/>
    <row r="1041705" customFormat="1" x14ac:dyDescent="0.15"/>
    <row r="1041706" customFormat="1" x14ac:dyDescent="0.15"/>
    <row r="1041707" customFormat="1" x14ac:dyDescent="0.15"/>
    <row r="1041708" customFormat="1" x14ac:dyDescent="0.15"/>
    <row r="1041709" customFormat="1" x14ac:dyDescent="0.15"/>
    <row r="1041710" customFormat="1" x14ac:dyDescent="0.15"/>
    <row r="1041711" customFormat="1" x14ac:dyDescent="0.15"/>
    <row r="1041712" customFormat="1" x14ac:dyDescent="0.15"/>
    <row r="1041713" customFormat="1" x14ac:dyDescent="0.15"/>
    <row r="1041714" customFormat="1" x14ac:dyDescent="0.15"/>
    <row r="1041715" customFormat="1" x14ac:dyDescent="0.15"/>
    <row r="1041716" customFormat="1" x14ac:dyDescent="0.15"/>
    <row r="1041717" customFormat="1" x14ac:dyDescent="0.15"/>
    <row r="1041718" customFormat="1" x14ac:dyDescent="0.15"/>
    <row r="1041719" customFormat="1" x14ac:dyDescent="0.15"/>
    <row r="1041720" customFormat="1" x14ac:dyDescent="0.15"/>
    <row r="1041721" customFormat="1" x14ac:dyDescent="0.15"/>
    <row r="1041722" customFormat="1" x14ac:dyDescent="0.15"/>
    <row r="1041723" customFormat="1" x14ac:dyDescent="0.15"/>
    <row r="1041724" customFormat="1" x14ac:dyDescent="0.15"/>
    <row r="1041725" customFormat="1" x14ac:dyDescent="0.15"/>
    <row r="1041726" customFormat="1" x14ac:dyDescent="0.15"/>
    <row r="1041727" customFormat="1" x14ac:dyDescent="0.15"/>
    <row r="1041728" customFormat="1" x14ac:dyDescent="0.15"/>
    <row r="1041729" customFormat="1" x14ac:dyDescent="0.15"/>
    <row r="1041730" customFormat="1" x14ac:dyDescent="0.15"/>
    <row r="1041731" customFormat="1" x14ac:dyDescent="0.15"/>
    <row r="1041732" customFormat="1" x14ac:dyDescent="0.15"/>
    <row r="1041733" customFormat="1" x14ac:dyDescent="0.15"/>
    <row r="1041734" customFormat="1" x14ac:dyDescent="0.15"/>
    <row r="1041735" customFormat="1" x14ac:dyDescent="0.15"/>
    <row r="1041736" customFormat="1" x14ac:dyDescent="0.15"/>
    <row r="1041737" customFormat="1" x14ac:dyDescent="0.15"/>
    <row r="1041738" customFormat="1" x14ac:dyDescent="0.15"/>
    <row r="1041739" customFormat="1" x14ac:dyDescent="0.15"/>
    <row r="1041740" customFormat="1" x14ac:dyDescent="0.15"/>
    <row r="1041741" customFormat="1" x14ac:dyDescent="0.15"/>
    <row r="1041742" customFormat="1" x14ac:dyDescent="0.15"/>
    <row r="1041743" customFormat="1" x14ac:dyDescent="0.15"/>
    <row r="1041744" customFormat="1" x14ac:dyDescent="0.15"/>
    <row r="1041745" customFormat="1" x14ac:dyDescent="0.15"/>
    <row r="1041746" customFormat="1" x14ac:dyDescent="0.15"/>
    <row r="1041747" customFormat="1" x14ac:dyDescent="0.15"/>
    <row r="1041748" customFormat="1" x14ac:dyDescent="0.15"/>
    <row r="1041749" customFormat="1" x14ac:dyDescent="0.15"/>
    <row r="1041750" customFormat="1" x14ac:dyDescent="0.15"/>
    <row r="1041751" customFormat="1" x14ac:dyDescent="0.15"/>
    <row r="1041752" customFormat="1" x14ac:dyDescent="0.15"/>
    <row r="1041753" customFormat="1" x14ac:dyDescent="0.15"/>
    <row r="1041754" customFormat="1" x14ac:dyDescent="0.15"/>
    <row r="1041755" customFormat="1" x14ac:dyDescent="0.15"/>
    <row r="1041756" customFormat="1" x14ac:dyDescent="0.15"/>
    <row r="1041757" customFormat="1" x14ac:dyDescent="0.15"/>
    <row r="1041758" customFormat="1" x14ac:dyDescent="0.15"/>
    <row r="1041759" customFormat="1" x14ac:dyDescent="0.15"/>
    <row r="1041760" customFormat="1" x14ac:dyDescent="0.15"/>
    <row r="1041761" customFormat="1" x14ac:dyDescent="0.15"/>
    <row r="1041762" customFormat="1" x14ac:dyDescent="0.15"/>
    <row r="1041763" customFormat="1" x14ac:dyDescent="0.15"/>
    <row r="1041764" customFormat="1" x14ac:dyDescent="0.15"/>
    <row r="1041765" customFormat="1" x14ac:dyDescent="0.15"/>
    <row r="1041766" customFormat="1" x14ac:dyDescent="0.15"/>
    <row r="1041767" customFormat="1" x14ac:dyDescent="0.15"/>
    <row r="1041768" customFormat="1" x14ac:dyDescent="0.15"/>
    <row r="1041769" customFormat="1" x14ac:dyDescent="0.15"/>
    <row r="1041770" customFormat="1" x14ac:dyDescent="0.15"/>
    <row r="1041771" customFormat="1" x14ac:dyDescent="0.15"/>
    <row r="1041772" customFormat="1" x14ac:dyDescent="0.15"/>
    <row r="1041773" customFormat="1" x14ac:dyDescent="0.15"/>
    <row r="1041774" customFormat="1" x14ac:dyDescent="0.15"/>
    <row r="1041775" customFormat="1" x14ac:dyDescent="0.15"/>
    <row r="1041776" customFormat="1" x14ac:dyDescent="0.15"/>
    <row r="1041777" customFormat="1" x14ac:dyDescent="0.15"/>
    <row r="1041778" customFormat="1" x14ac:dyDescent="0.15"/>
    <row r="1041779" customFormat="1" x14ac:dyDescent="0.15"/>
    <row r="1041780" customFormat="1" x14ac:dyDescent="0.15"/>
    <row r="1041781" customFormat="1" x14ac:dyDescent="0.15"/>
    <row r="1041782" customFormat="1" x14ac:dyDescent="0.15"/>
    <row r="1041783" customFormat="1" x14ac:dyDescent="0.15"/>
    <row r="1041784" customFormat="1" x14ac:dyDescent="0.15"/>
    <row r="1041785" customFormat="1" x14ac:dyDescent="0.15"/>
    <row r="1041786" customFormat="1" x14ac:dyDescent="0.15"/>
    <row r="1041787" customFormat="1" x14ac:dyDescent="0.15"/>
    <row r="1041788" customFormat="1" x14ac:dyDescent="0.15"/>
    <row r="1041789" customFormat="1" x14ac:dyDescent="0.15"/>
    <row r="1041790" customFormat="1" x14ac:dyDescent="0.15"/>
    <row r="1041791" customFormat="1" x14ac:dyDescent="0.15"/>
    <row r="1041792" customFormat="1" x14ac:dyDescent="0.15"/>
    <row r="1041793" customFormat="1" x14ac:dyDescent="0.15"/>
    <row r="1041794" customFormat="1" x14ac:dyDescent="0.15"/>
    <row r="1041795" customFormat="1" x14ac:dyDescent="0.15"/>
    <row r="1041796" customFormat="1" x14ac:dyDescent="0.15"/>
    <row r="1041797" customFormat="1" x14ac:dyDescent="0.15"/>
    <row r="1041798" customFormat="1" x14ac:dyDescent="0.15"/>
    <row r="1041799" customFormat="1" x14ac:dyDescent="0.15"/>
    <row r="1041800" customFormat="1" x14ac:dyDescent="0.15"/>
    <row r="1041801" customFormat="1" x14ac:dyDescent="0.15"/>
    <row r="1041802" customFormat="1" x14ac:dyDescent="0.15"/>
    <row r="1041803" customFormat="1" x14ac:dyDescent="0.15"/>
    <row r="1041804" customFormat="1" x14ac:dyDescent="0.15"/>
    <row r="1041805" customFormat="1" x14ac:dyDescent="0.15"/>
    <row r="1041806" customFormat="1" x14ac:dyDescent="0.15"/>
    <row r="1041807" customFormat="1" x14ac:dyDescent="0.15"/>
    <row r="1041808" customFormat="1" x14ac:dyDescent="0.15"/>
    <row r="1041809" customFormat="1" x14ac:dyDescent="0.15"/>
    <row r="1041810" customFormat="1" x14ac:dyDescent="0.15"/>
    <row r="1041811" customFormat="1" x14ac:dyDescent="0.15"/>
    <row r="1041812" customFormat="1" x14ac:dyDescent="0.15"/>
    <row r="1041813" customFormat="1" x14ac:dyDescent="0.15"/>
    <row r="1041814" customFormat="1" x14ac:dyDescent="0.15"/>
    <row r="1041815" customFormat="1" x14ac:dyDescent="0.15"/>
    <row r="1041816" customFormat="1" x14ac:dyDescent="0.15"/>
    <row r="1041817" customFormat="1" x14ac:dyDescent="0.15"/>
    <row r="1041818" customFormat="1" x14ac:dyDescent="0.15"/>
    <row r="1041819" customFormat="1" x14ac:dyDescent="0.15"/>
    <row r="1041820" customFormat="1" x14ac:dyDescent="0.15"/>
    <row r="1041821" customFormat="1" x14ac:dyDescent="0.15"/>
    <row r="1041822" customFormat="1" x14ac:dyDescent="0.15"/>
    <row r="1041823" customFormat="1" x14ac:dyDescent="0.15"/>
    <row r="1041824" customFormat="1" x14ac:dyDescent="0.15"/>
    <row r="1041825" customFormat="1" x14ac:dyDescent="0.15"/>
    <row r="1041826" customFormat="1" x14ac:dyDescent="0.15"/>
    <row r="1041827" customFormat="1" x14ac:dyDescent="0.15"/>
    <row r="1041828" customFormat="1" x14ac:dyDescent="0.15"/>
    <row r="1041829" customFormat="1" x14ac:dyDescent="0.15"/>
    <row r="1041830" customFormat="1" x14ac:dyDescent="0.15"/>
    <row r="1041831" customFormat="1" x14ac:dyDescent="0.15"/>
    <row r="1041832" customFormat="1" x14ac:dyDescent="0.15"/>
    <row r="1041833" customFormat="1" x14ac:dyDescent="0.15"/>
    <row r="1041834" customFormat="1" x14ac:dyDescent="0.15"/>
    <row r="1041835" customFormat="1" x14ac:dyDescent="0.15"/>
    <row r="1041836" customFormat="1" x14ac:dyDescent="0.15"/>
    <row r="1041837" customFormat="1" x14ac:dyDescent="0.15"/>
    <row r="1041838" customFormat="1" x14ac:dyDescent="0.15"/>
    <row r="1041839" customFormat="1" x14ac:dyDescent="0.15"/>
    <row r="1041840" customFormat="1" x14ac:dyDescent="0.15"/>
    <row r="1041841" customFormat="1" x14ac:dyDescent="0.15"/>
    <row r="1041842" customFormat="1" x14ac:dyDescent="0.15"/>
    <row r="1041843" customFormat="1" x14ac:dyDescent="0.15"/>
    <row r="1041844" customFormat="1" x14ac:dyDescent="0.15"/>
    <row r="1041845" customFormat="1" x14ac:dyDescent="0.15"/>
    <row r="1041846" customFormat="1" x14ac:dyDescent="0.15"/>
    <row r="1041847" customFormat="1" x14ac:dyDescent="0.15"/>
    <row r="1041848" customFormat="1" x14ac:dyDescent="0.15"/>
    <row r="1041849" customFormat="1" x14ac:dyDescent="0.15"/>
    <row r="1041850" customFormat="1" x14ac:dyDescent="0.15"/>
    <row r="1041851" customFormat="1" x14ac:dyDescent="0.15"/>
    <row r="1041852" customFormat="1" x14ac:dyDescent="0.15"/>
    <row r="1041853" customFormat="1" x14ac:dyDescent="0.15"/>
    <row r="1041854" customFormat="1" x14ac:dyDescent="0.15"/>
    <row r="1041855" customFormat="1" x14ac:dyDescent="0.15"/>
    <row r="1041856" customFormat="1" x14ac:dyDescent="0.15"/>
    <row r="1041857" customFormat="1" x14ac:dyDescent="0.15"/>
    <row r="1041858" customFormat="1" x14ac:dyDescent="0.15"/>
    <row r="1041859" customFormat="1" x14ac:dyDescent="0.15"/>
    <row r="1041860" customFormat="1" x14ac:dyDescent="0.15"/>
    <row r="1041861" customFormat="1" x14ac:dyDescent="0.15"/>
    <row r="1041862" customFormat="1" x14ac:dyDescent="0.15"/>
    <row r="1041863" customFormat="1" x14ac:dyDescent="0.15"/>
    <row r="1041864" customFormat="1" x14ac:dyDescent="0.15"/>
    <row r="1041865" customFormat="1" x14ac:dyDescent="0.15"/>
    <row r="1041866" customFormat="1" x14ac:dyDescent="0.15"/>
    <row r="1041867" customFormat="1" x14ac:dyDescent="0.15"/>
    <row r="1041868" customFormat="1" x14ac:dyDescent="0.15"/>
    <row r="1041869" customFormat="1" x14ac:dyDescent="0.15"/>
    <row r="1041870" customFormat="1" x14ac:dyDescent="0.15"/>
    <row r="1041871" customFormat="1" x14ac:dyDescent="0.15"/>
    <row r="1041872" customFormat="1" x14ac:dyDescent="0.15"/>
    <row r="1041873" customFormat="1" x14ac:dyDescent="0.15"/>
    <row r="1041874" customFormat="1" x14ac:dyDescent="0.15"/>
    <row r="1041875" customFormat="1" x14ac:dyDescent="0.15"/>
    <row r="1041876" customFormat="1" x14ac:dyDescent="0.15"/>
    <row r="1041877" customFormat="1" x14ac:dyDescent="0.15"/>
    <row r="1041878" customFormat="1" x14ac:dyDescent="0.15"/>
    <row r="1041879" customFormat="1" x14ac:dyDescent="0.15"/>
    <row r="1041880" customFormat="1" x14ac:dyDescent="0.15"/>
    <row r="1041881" customFormat="1" x14ac:dyDescent="0.15"/>
    <row r="1041882" customFormat="1" x14ac:dyDescent="0.15"/>
    <row r="1041883" customFormat="1" x14ac:dyDescent="0.15"/>
    <row r="1041884" customFormat="1" x14ac:dyDescent="0.15"/>
    <row r="1041885" customFormat="1" x14ac:dyDescent="0.15"/>
    <row r="1041886" customFormat="1" x14ac:dyDescent="0.15"/>
    <row r="1041887" customFormat="1" x14ac:dyDescent="0.15"/>
    <row r="1041888" customFormat="1" x14ac:dyDescent="0.15"/>
    <row r="1041889" customFormat="1" x14ac:dyDescent="0.15"/>
    <row r="1041890" customFormat="1" x14ac:dyDescent="0.15"/>
    <row r="1041891" customFormat="1" x14ac:dyDescent="0.15"/>
    <row r="1041892" customFormat="1" x14ac:dyDescent="0.15"/>
    <row r="1041893" customFormat="1" x14ac:dyDescent="0.15"/>
    <row r="1041894" customFormat="1" x14ac:dyDescent="0.15"/>
    <row r="1041895" customFormat="1" x14ac:dyDescent="0.15"/>
    <row r="1041896" customFormat="1" x14ac:dyDescent="0.15"/>
    <row r="1041897" customFormat="1" x14ac:dyDescent="0.15"/>
    <row r="1041898" customFormat="1" x14ac:dyDescent="0.15"/>
    <row r="1041899" customFormat="1" x14ac:dyDescent="0.15"/>
    <row r="1041900" customFormat="1" x14ac:dyDescent="0.15"/>
    <row r="1041901" customFormat="1" x14ac:dyDescent="0.15"/>
    <row r="1041902" customFormat="1" x14ac:dyDescent="0.15"/>
    <row r="1041903" customFormat="1" x14ac:dyDescent="0.15"/>
    <row r="1041904" customFormat="1" x14ac:dyDescent="0.15"/>
    <row r="1041905" customFormat="1" x14ac:dyDescent="0.15"/>
    <row r="1041906" customFormat="1" x14ac:dyDescent="0.15"/>
    <row r="1041907" customFormat="1" x14ac:dyDescent="0.15"/>
    <row r="1041908" customFormat="1" x14ac:dyDescent="0.15"/>
    <row r="1041909" customFormat="1" x14ac:dyDescent="0.15"/>
    <row r="1041910" customFormat="1" x14ac:dyDescent="0.15"/>
    <row r="1041911" customFormat="1" x14ac:dyDescent="0.15"/>
    <row r="1041912" customFormat="1" x14ac:dyDescent="0.15"/>
    <row r="1041913" customFormat="1" x14ac:dyDescent="0.15"/>
    <row r="1041914" customFormat="1" x14ac:dyDescent="0.15"/>
    <row r="1041915" customFormat="1" x14ac:dyDescent="0.15"/>
    <row r="1041916" customFormat="1" x14ac:dyDescent="0.15"/>
    <row r="1041917" customFormat="1" x14ac:dyDescent="0.15"/>
    <row r="1041918" customFormat="1" x14ac:dyDescent="0.15"/>
    <row r="1041919" customFormat="1" x14ac:dyDescent="0.15"/>
    <row r="1041920" customFormat="1" x14ac:dyDescent="0.15"/>
    <row r="1041921" customFormat="1" x14ac:dyDescent="0.15"/>
    <row r="1041922" customFormat="1" x14ac:dyDescent="0.15"/>
    <row r="1041923" customFormat="1" x14ac:dyDescent="0.15"/>
    <row r="1041924" customFormat="1" x14ac:dyDescent="0.15"/>
    <row r="1041925" customFormat="1" x14ac:dyDescent="0.15"/>
    <row r="1041926" customFormat="1" x14ac:dyDescent="0.15"/>
    <row r="1041927" customFormat="1" x14ac:dyDescent="0.15"/>
    <row r="1041928" customFormat="1" x14ac:dyDescent="0.15"/>
    <row r="1041929" customFormat="1" x14ac:dyDescent="0.15"/>
    <row r="1041930" customFormat="1" x14ac:dyDescent="0.15"/>
    <row r="1041931" customFormat="1" x14ac:dyDescent="0.15"/>
    <row r="1041932" customFormat="1" x14ac:dyDescent="0.15"/>
    <row r="1041933" customFormat="1" x14ac:dyDescent="0.15"/>
    <row r="1041934" customFormat="1" x14ac:dyDescent="0.15"/>
    <row r="1041935" customFormat="1" x14ac:dyDescent="0.15"/>
    <row r="1041936" customFormat="1" x14ac:dyDescent="0.15"/>
    <row r="1041937" customFormat="1" x14ac:dyDescent="0.15"/>
    <row r="1041938" customFormat="1" x14ac:dyDescent="0.15"/>
    <row r="1041939" customFormat="1" x14ac:dyDescent="0.15"/>
    <row r="1041940" customFormat="1" x14ac:dyDescent="0.15"/>
    <row r="1041941" customFormat="1" x14ac:dyDescent="0.15"/>
    <row r="1041942" customFormat="1" x14ac:dyDescent="0.15"/>
    <row r="1041943" customFormat="1" x14ac:dyDescent="0.15"/>
    <row r="1041944" customFormat="1" x14ac:dyDescent="0.15"/>
    <row r="1041945" customFormat="1" x14ac:dyDescent="0.15"/>
    <row r="1041946" customFormat="1" x14ac:dyDescent="0.15"/>
    <row r="1041947" customFormat="1" x14ac:dyDescent="0.15"/>
    <row r="1041948" customFormat="1" x14ac:dyDescent="0.15"/>
    <row r="1041949" customFormat="1" x14ac:dyDescent="0.15"/>
    <row r="1041950" customFormat="1" x14ac:dyDescent="0.15"/>
    <row r="1041951" customFormat="1" x14ac:dyDescent="0.15"/>
    <row r="1041952" customFormat="1" x14ac:dyDescent="0.15"/>
    <row r="1041953" customFormat="1" x14ac:dyDescent="0.15"/>
    <row r="1041954" customFormat="1" x14ac:dyDescent="0.15"/>
    <row r="1041955" customFormat="1" x14ac:dyDescent="0.15"/>
    <row r="1041956" customFormat="1" x14ac:dyDescent="0.15"/>
    <row r="1041957" customFormat="1" x14ac:dyDescent="0.15"/>
    <row r="1041958" customFormat="1" x14ac:dyDescent="0.15"/>
    <row r="1041959" customFormat="1" x14ac:dyDescent="0.15"/>
    <row r="1041960" customFormat="1" x14ac:dyDescent="0.15"/>
    <row r="1041961" customFormat="1" x14ac:dyDescent="0.15"/>
    <row r="1041962" customFormat="1" x14ac:dyDescent="0.15"/>
    <row r="1041963" customFormat="1" x14ac:dyDescent="0.15"/>
    <row r="1041964" customFormat="1" x14ac:dyDescent="0.15"/>
    <row r="1041965" customFormat="1" x14ac:dyDescent="0.15"/>
    <row r="1041966" customFormat="1" x14ac:dyDescent="0.15"/>
    <row r="1041967" customFormat="1" x14ac:dyDescent="0.15"/>
    <row r="1041968" customFormat="1" x14ac:dyDescent="0.15"/>
    <row r="1041969" customFormat="1" x14ac:dyDescent="0.15"/>
    <row r="1041970" customFormat="1" x14ac:dyDescent="0.15"/>
    <row r="1041971" customFormat="1" x14ac:dyDescent="0.15"/>
    <row r="1041972" customFormat="1" x14ac:dyDescent="0.15"/>
    <row r="1041973" customFormat="1" x14ac:dyDescent="0.15"/>
    <row r="1041974" customFormat="1" x14ac:dyDescent="0.15"/>
    <row r="1041975" customFormat="1" x14ac:dyDescent="0.15"/>
    <row r="1041976" customFormat="1" x14ac:dyDescent="0.15"/>
    <row r="1041977" customFormat="1" x14ac:dyDescent="0.15"/>
    <row r="1041978" customFormat="1" x14ac:dyDescent="0.15"/>
    <row r="1041979" customFormat="1" x14ac:dyDescent="0.15"/>
    <row r="1041980" customFormat="1" x14ac:dyDescent="0.15"/>
    <row r="1041981" customFormat="1" x14ac:dyDescent="0.15"/>
    <row r="1041982" customFormat="1" x14ac:dyDescent="0.15"/>
    <row r="1041983" customFormat="1" x14ac:dyDescent="0.15"/>
    <row r="1041984" customFormat="1" x14ac:dyDescent="0.15"/>
    <row r="1041985" customFormat="1" x14ac:dyDescent="0.15"/>
    <row r="1041986" customFormat="1" x14ac:dyDescent="0.15"/>
    <row r="1041987" customFormat="1" x14ac:dyDescent="0.15"/>
    <row r="1041988" customFormat="1" x14ac:dyDescent="0.15"/>
    <row r="1041989" customFormat="1" x14ac:dyDescent="0.15"/>
    <row r="1041990" customFormat="1" x14ac:dyDescent="0.15"/>
    <row r="1041991" customFormat="1" x14ac:dyDescent="0.15"/>
    <row r="1041992" customFormat="1" x14ac:dyDescent="0.15"/>
    <row r="1041993" customFormat="1" x14ac:dyDescent="0.15"/>
    <row r="1041994" customFormat="1" x14ac:dyDescent="0.15"/>
    <row r="1041995" customFormat="1" x14ac:dyDescent="0.15"/>
    <row r="1041996" customFormat="1" x14ac:dyDescent="0.15"/>
    <row r="1041997" customFormat="1" x14ac:dyDescent="0.15"/>
    <row r="1041998" customFormat="1" x14ac:dyDescent="0.15"/>
    <row r="1041999" customFormat="1" x14ac:dyDescent="0.15"/>
    <row r="1042000" customFormat="1" x14ac:dyDescent="0.15"/>
    <row r="1042001" customFormat="1" x14ac:dyDescent="0.15"/>
    <row r="1042002" customFormat="1" x14ac:dyDescent="0.15"/>
    <row r="1042003" customFormat="1" x14ac:dyDescent="0.15"/>
    <row r="1042004" customFormat="1" x14ac:dyDescent="0.15"/>
    <row r="1042005" customFormat="1" x14ac:dyDescent="0.15"/>
    <row r="1042006" customFormat="1" x14ac:dyDescent="0.15"/>
    <row r="1042007" customFormat="1" x14ac:dyDescent="0.15"/>
    <row r="1042008" customFormat="1" x14ac:dyDescent="0.15"/>
    <row r="1042009" customFormat="1" x14ac:dyDescent="0.15"/>
    <row r="1042010" customFormat="1" x14ac:dyDescent="0.15"/>
    <row r="1042011" customFormat="1" x14ac:dyDescent="0.15"/>
    <row r="1042012" customFormat="1" x14ac:dyDescent="0.15"/>
    <row r="1042013" customFormat="1" x14ac:dyDescent="0.15"/>
    <row r="1042014" customFormat="1" x14ac:dyDescent="0.15"/>
    <row r="1042015" customFormat="1" x14ac:dyDescent="0.15"/>
    <row r="1042016" customFormat="1" x14ac:dyDescent="0.15"/>
    <row r="1042017" customFormat="1" x14ac:dyDescent="0.15"/>
    <row r="1042018" customFormat="1" x14ac:dyDescent="0.15"/>
    <row r="1042019" customFormat="1" x14ac:dyDescent="0.15"/>
    <row r="1042020" customFormat="1" x14ac:dyDescent="0.15"/>
    <row r="1042021" customFormat="1" x14ac:dyDescent="0.15"/>
    <row r="1042022" customFormat="1" x14ac:dyDescent="0.15"/>
    <row r="1042023" customFormat="1" x14ac:dyDescent="0.15"/>
    <row r="1042024" customFormat="1" x14ac:dyDescent="0.15"/>
    <row r="1042025" customFormat="1" x14ac:dyDescent="0.15"/>
    <row r="1042026" customFormat="1" x14ac:dyDescent="0.15"/>
    <row r="1042027" customFormat="1" x14ac:dyDescent="0.15"/>
    <row r="1042028" customFormat="1" x14ac:dyDescent="0.15"/>
    <row r="1042029" customFormat="1" x14ac:dyDescent="0.15"/>
    <row r="1042030" customFormat="1" x14ac:dyDescent="0.15"/>
    <row r="1042031" customFormat="1" x14ac:dyDescent="0.15"/>
    <row r="1042032" customFormat="1" x14ac:dyDescent="0.15"/>
    <row r="1042033" customFormat="1" x14ac:dyDescent="0.15"/>
    <row r="1042034" customFormat="1" x14ac:dyDescent="0.15"/>
    <row r="1042035" customFormat="1" x14ac:dyDescent="0.15"/>
    <row r="1042036" customFormat="1" x14ac:dyDescent="0.15"/>
    <row r="1042037" customFormat="1" x14ac:dyDescent="0.15"/>
    <row r="1042038" customFormat="1" x14ac:dyDescent="0.15"/>
    <row r="1042039" customFormat="1" x14ac:dyDescent="0.15"/>
    <row r="1042040" customFormat="1" x14ac:dyDescent="0.15"/>
    <row r="1042041" customFormat="1" x14ac:dyDescent="0.15"/>
    <row r="1042042" customFormat="1" x14ac:dyDescent="0.15"/>
    <row r="1042043" customFormat="1" x14ac:dyDescent="0.15"/>
    <row r="1042044" customFormat="1" x14ac:dyDescent="0.15"/>
    <row r="1042045" customFormat="1" x14ac:dyDescent="0.15"/>
    <row r="1042046" customFormat="1" x14ac:dyDescent="0.15"/>
    <row r="1042047" customFormat="1" x14ac:dyDescent="0.15"/>
    <row r="1042048" customFormat="1" x14ac:dyDescent="0.15"/>
    <row r="1042049" customFormat="1" x14ac:dyDescent="0.15"/>
    <row r="1042050" customFormat="1" x14ac:dyDescent="0.15"/>
    <row r="1042051" customFormat="1" x14ac:dyDescent="0.15"/>
    <row r="1042052" customFormat="1" x14ac:dyDescent="0.15"/>
    <row r="1042053" customFormat="1" x14ac:dyDescent="0.15"/>
    <row r="1042054" customFormat="1" x14ac:dyDescent="0.15"/>
    <row r="1042055" customFormat="1" x14ac:dyDescent="0.15"/>
    <row r="1042056" customFormat="1" x14ac:dyDescent="0.15"/>
    <row r="1042057" customFormat="1" x14ac:dyDescent="0.15"/>
    <row r="1042058" customFormat="1" x14ac:dyDescent="0.15"/>
    <row r="1042059" customFormat="1" x14ac:dyDescent="0.15"/>
    <row r="1042060" customFormat="1" x14ac:dyDescent="0.15"/>
    <row r="1042061" customFormat="1" x14ac:dyDescent="0.15"/>
    <row r="1042062" customFormat="1" x14ac:dyDescent="0.15"/>
    <row r="1042063" customFormat="1" x14ac:dyDescent="0.15"/>
    <row r="1042064" customFormat="1" x14ac:dyDescent="0.15"/>
    <row r="1042065" customFormat="1" x14ac:dyDescent="0.15"/>
    <row r="1042066" customFormat="1" x14ac:dyDescent="0.15"/>
    <row r="1042067" customFormat="1" x14ac:dyDescent="0.15"/>
    <row r="1042068" customFormat="1" x14ac:dyDescent="0.15"/>
    <row r="1042069" customFormat="1" x14ac:dyDescent="0.15"/>
    <row r="1042070" customFormat="1" x14ac:dyDescent="0.15"/>
    <row r="1042071" customFormat="1" x14ac:dyDescent="0.15"/>
    <row r="1042072" customFormat="1" x14ac:dyDescent="0.15"/>
    <row r="1042073" customFormat="1" x14ac:dyDescent="0.15"/>
    <row r="1042074" customFormat="1" x14ac:dyDescent="0.15"/>
    <row r="1042075" customFormat="1" x14ac:dyDescent="0.15"/>
    <row r="1042076" customFormat="1" x14ac:dyDescent="0.15"/>
    <row r="1042077" customFormat="1" x14ac:dyDescent="0.15"/>
    <row r="1042078" customFormat="1" x14ac:dyDescent="0.15"/>
    <row r="1042079" customFormat="1" x14ac:dyDescent="0.15"/>
    <row r="1042080" customFormat="1" x14ac:dyDescent="0.15"/>
    <row r="1042081" customFormat="1" x14ac:dyDescent="0.15"/>
    <row r="1042082" customFormat="1" x14ac:dyDescent="0.15"/>
    <row r="1042083" customFormat="1" x14ac:dyDescent="0.15"/>
    <row r="1042084" customFormat="1" x14ac:dyDescent="0.15"/>
    <row r="1042085" customFormat="1" x14ac:dyDescent="0.15"/>
    <row r="1042086" customFormat="1" x14ac:dyDescent="0.15"/>
    <row r="1042087" customFormat="1" x14ac:dyDescent="0.15"/>
    <row r="1042088" customFormat="1" x14ac:dyDescent="0.15"/>
    <row r="1042089" customFormat="1" x14ac:dyDescent="0.15"/>
    <row r="1042090" customFormat="1" x14ac:dyDescent="0.15"/>
    <row r="1042091" customFormat="1" x14ac:dyDescent="0.15"/>
    <row r="1042092" customFormat="1" x14ac:dyDescent="0.15"/>
    <row r="1042093" customFormat="1" x14ac:dyDescent="0.15"/>
    <row r="1042094" customFormat="1" x14ac:dyDescent="0.15"/>
    <row r="1042095" customFormat="1" x14ac:dyDescent="0.15"/>
    <row r="1042096" customFormat="1" x14ac:dyDescent="0.15"/>
    <row r="1042097" customFormat="1" x14ac:dyDescent="0.15"/>
    <row r="1042098" customFormat="1" x14ac:dyDescent="0.15"/>
    <row r="1042099" customFormat="1" x14ac:dyDescent="0.15"/>
    <row r="1042100" customFormat="1" x14ac:dyDescent="0.15"/>
    <row r="1042101" customFormat="1" x14ac:dyDescent="0.15"/>
    <row r="1042102" customFormat="1" x14ac:dyDescent="0.15"/>
    <row r="1042103" customFormat="1" x14ac:dyDescent="0.15"/>
    <row r="1042104" customFormat="1" x14ac:dyDescent="0.15"/>
    <row r="1042105" customFormat="1" x14ac:dyDescent="0.15"/>
    <row r="1042106" customFormat="1" x14ac:dyDescent="0.15"/>
    <row r="1042107" customFormat="1" x14ac:dyDescent="0.15"/>
    <row r="1042108" customFormat="1" x14ac:dyDescent="0.15"/>
    <row r="1042109" customFormat="1" x14ac:dyDescent="0.15"/>
    <row r="1042110" customFormat="1" x14ac:dyDescent="0.15"/>
    <row r="1042111" customFormat="1" x14ac:dyDescent="0.15"/>
    <row r="1042112" customFormat="1" x14ac:dyDescent="0.15"/>
    <row r="1042113" customFormat="1" x14ac:dyDescent="0.15"/>
    <row r="1042114" customFormat="1" x14ac:dyDescent="0.15"/>
    <row r="1042115" customFormat="1" x14ac:dyDescent="0.15"/>
    <row r="1042116" customFormat="1" x14ac:dyDescent="0.15"/>
    <row r="1042117" customFormat="1" x14ac:dyDescent="0.15"/>
    <row r="1042118" customFormat="1" x14ac:dyDescent="0.15"/>
    <row r="1042119" customFormat="1" x14ac:dyDescent="0.15"/>
    <row r="1042120" customFormat="1" x14ac:dyDescent="0.15"/>
    <row r="1042121" customFormat="1" x14ac:dyDescent="0.15"/>
    <row r="1042122" customFormat="1" x14ac:dyDescent="0.15"/>
    <row r="1042123" customFormat="1" x14ac:dyDescent="0.15"/>
    <row r="1042124" customFormat="1" x14ac:dyDescent="0.15"/>
    <row r="1042125" customFormat="1" x14ac:dyDescent="0.15"/>
    <row r="1042126" customFormat="1" x14ac:dyDescent="0.15"/>
    <row r="1042127" customFormat="1" x14ac:dyDescent="0.15"/>
    <row r="1042128" customFormat="1" x14ac:dyDescent="0.15"/>
    <row r="1042129" customFormat="1" x14ac:dyDescent="0.15"/>
    <row r="1042130" customFormat="1" x14ac:dyDescent="0.15"/>
    <row r="1042131" customFormat="1" x14ac:dyDescent="0.15"/>
    <row r="1042132" customFormat="1" x14ac:dyDescent="0.15"/>
    <row r="1042133" customFormat="1" x14ac:dyDescent="0.15"/>
    <row r="1042134" customFormat="1" x14ac:dyDescent="0.15"/>
    <row r="1042135" customFormat="1" x14ac:dyDescent="0.15"/>
    <row r="1042136" customFormat="1" x14ac:dyDescent="0.15"/>
    <row r="1042137" customFormat="1" x14ac:dyDescent="0.15"/>
    <row r="1042138" customFormat="1" x14ac:dyDescent="0.15"/>
    <row r="1042139" customFormat="1" x14ac:dyDescent="0.15"/>
    <row r="1042140" customFormat="1" x14ac:dyDescent="0.15"/>
    <row r="1042141" customFormat="1" x14ac:dyDescent="0.15"/>
    <row r="1042142" customFormat="1" x14ac:dyDescent="0.15"/>
    <row r="1042143" customFormat="1" x14ac:dyDescent="0.15"/>
    <row r="1042144" customFormat="1" x14ac:dyDescent="0.15"/>
    <row r="1042145" customFormat="1" x14ac:dyDescent="0.15"/>
    <row r="1042146" customFormat="1" x14ac:dyDescent="0.15"/>
    <row r="1042147" customFormat="1" x14ac:dyDescent="0.15"/>
    <row r="1042148" customFormat="1" x14ac:dyDescent="0.15"/>
    <row r="1042149" customFormat="1" x14ac:dyDescent="0.15"/>
    <row r="1042150" customFormat="1" x14ac:dyDescent="0.15"/>
    <row r="1042151" customFormat="1" x14ac:dyDescent="0.15"/>
    <row r="1042152" customFormat="1" x14ac:dyDescent="0.15"/>
    <row r="1042153" customFormat="1" x14ac:dyDescent="0.15"/>
    <row r="1042154" customFormat="1" x14ac:dyDescent="0.15"/>
    <row r="1042155" customFormat="1" x14ac:dyDescent="0.15"/>
    <row r="1042156" customFormat="1" x14ac:dyDescent="0.15"/>
    <row r="1042157" customFormat="1" x14ac:dyDescent="0.15"/>
    <row r="1042158" customFormat="1" x14ac:dyDescent="0.15"/>
    <row r="1042159" customFormat="1" x14ac:dyDescent="0.15"/>
    <row r="1042160" customFormat="1" x14ac:dyDescent="0.15"/>
    <row r="1042161" customFormat="1" x14ac:dyDescent="0.15"/>
    <row r="1042162" customFormat="1" x14ac:dyDescent="0.15"/>
    <row r="1042163" customFormat="1" x14ac:dyDescent="0.15"/>
    <row r="1042164" customFormat="1" x14ac:dyDescent="0.15"/>
    <row r="1042165" customFormat="1" x14ac:dyDescent="0.15"/>
    <row r="1042166" customFormat="1" x14ac:dyDescent="0.15"/>
    <row r="1042167" customFormat="1" x14ac:dyDescent="0.15"/>
    <row r="1042168" customFormat="1" x14ac:dyDescent="0.15"/>
    <row r="1042169" customFormat="1" x14ac:dyDescent="0.15"/>
    <row r="1042170" customFormat="1" x14ac:dyDescent="0.15"/>
    <row r="1042171" customFormat="1" x14ac:dyDescent="0.15"/>
    <row r="1042172" customFormat="1" x14ac:dyDescent="0.15"/>
    <row r="1042173" customFormat="1" x14ac:dyDescent="0.15"/>
    <row r="1042174" customFormat="1" x14ac:dyDescent="0.15"/>
    <row r="1042175" customFormat="1" x14ac:dyDescent="0.15"/>
    <row r="1042176" customFormat="1" x14ac:dyDescent="0.15"/>
    <row r="1042177" customFormat="1" x14ac:dyDescent="0.15"/>
    <row r="1042178" customFormat="1" x14ac:dyDescent="0.15"/>
    <row r="1042179" customFormat="1" x14ac:dyDescent="0.15"/>
    <row r="1042180" customFormat="1" x14ac:dyDescent="0.15"/>
    <row r="1042181" customFormat="1" x14ac:dyDescent="0.15"/>
    <row r="1042182" customFormat="1" x14ac:dyDescent="0.15"/>
    <row r="1042183" customFormat="1" x14ac:dyDescent="0.15"/>
    <row r="1042184" customFormat="1" x14ac:dyDescent="0.15"/>
    <row r="1042185" customFormat="1" x14ac:dyDescent="0.15"/>
    <row r="1042186" customFormat="1" x14ac:dyDescent="0.15"/>
    <row r="1042187" customFormat="1" x14ac:dyDescent="0.15"/>
    <row r="1042188" customFormat="1" x14ac:dyDescent="0.15"/>
    <row r="1042189" customFormat="1" x14ac:dyDescent="0.15"/>
    <row r="1042190" customFormat="1" x14ac:dyDescent="0.15"/>
    <row r="1042191" customFormat="1" x14ac:dyDescent="0.15"/>
    <row r="1042192" customFormat="1" x14ac:dyDescent="0.15"/>
    <row r="1042193" customFormat="1" x14ac:dyDescent="0.15"/>
    <row r="1042194" customFormat="1" x14ac:dyDescent="0.15"/>
    <row r="1042195" customFormat="1" x14ac:dyDescent="0.15"/>
    <row r="1042196" customFormat="1" x14ac:dyDescent="0.15"/>
    <row r="1042197" customFormat="1" x14ac:dyDescent="0.15"/>
    <row r="1042198" customFormat="1" x14ac:dyDescent="0.15"/>
    <row r="1042199" customFormat="1" x14ac:dyDescent="0.15"/>
    <row r="1042200" customFormat="1" x14ac:dyDescent="0.15"/>
    <row r="1042201" customFormat="1" x14ac:dyDescent="0.15"/>
    <row r="1042202" customFormat="1" x14ac:dyDescent="0.15"/>
    <row r="1042203" customFormat="1" x14ac:dyDescent="0.15"/>
    <row r="1042204" customFormat="1" x14ac:dyDescent="0.15"/>
    <row r="1042205" customFormat="1" x14ac:dyDescent="0.15"/>
    <row r="1042206" customFormat="1" x14ac:dyDescent="0.15"/>
    <row r="1042207" customFormat="1" x14ac:dyDescent="0.15"/>
    <row r="1042208" customFormat="1" x14ac:dyDescent="0.15"/>
    <row r="1042209" customFormat="1" x14ac:dyDescent="0.15"/>
    <row r="1042210" customFormat="1" x14ac:dyDescent="0.15"/>
    <row r="1042211" customFormat="1" x14ac:dyDescent="0.15"/>
    <row r="1042212" customFormat="1" x14ac:dyDescent="0.15"/>
    <row r="1042213" customFormat="1" x14ac:dyDescent="0.15"/>
    <row r="1042214" customFormat="1" x14ac:dyDescent="0.15"/>
    <row r="1042215" customFormat="1" x14ac:dyDescent="0.15"/>
    <row r="1042216" customFormat="1" x14ac:dyDescent="0.15"/>
    <row r="1042217" customFormat="1" x14ac:dyDescent="0.15"/>
    <row r="1042218" customFormat="1" x14ac:dyDescent="0.15"/>
    <row r="1042219" customFormat="1" x14ac:dyDescent="0.15"/>
    <row r="1042220" customFormat="1" x14ac:dyDescent="0.15"/>
    <row r="1042221" customFormat="1" x14ac:dyDescent="0.15"/>
    <row r="1042222" customFormat="1" x14ac:dyDescent="0.15"/>
    <row r="1042223" customFormat="1" x14ac:dyDescent="0.15"/>
    <row r="1042224" customFormat="1" x14ac:dyDescent="0.15"/>
    <row r="1042225" customFormat="1" x14ac:dyDescent="0.15"/>
    <row r="1042226" customFormat="1" x14ac:dyDescent="0.15"/>
    <row r="1042227" customFormat="1" x14ac:dyDescent="0.15"/>
    <row r="1042228" customFormat="1" x14ac:dyDescent="0.15"/>
    <row r="1042229" customFormat="1" x14ac:dyDescent="0.15"/>
    <row r="1042230" customFormat="1" x14ac:dyDescent="0.15"/>
    <row r="1042231" customFormat="1" x14ac:dyDescent="0.15"/>
    <row r="1042232" customFormat="1" x14ac:dyDescent="0.15"/>
    <row r="1042233" customFormat="1" x14ac:dyDescent="0.15"/>
    <row r="1042234" customFormat="1" x14ac:dyDescent="0.15"/>
    <row r="1042235" customFormat="1" x14ac:dyDescent="0.15"/>
    <row r="1042236" customFormat="1" x14ac:dyDescent="0.15"/>
    <row r="1042237" customFormat="1" x14ac:dyDescent="0.15"/>
    <row r="1042238" customFormat="1" x14ac:dyDescent="0.15"/>
    <row r="1042239" customFormat="1" x14ac:dyDescent="0.15"/>
    <row r="1042240" customFormat="1" x14ac:dyDescent="0.15"/>
    <row r="1042241" customFormat="1" x14ac:dyDescent="0.15"/>
    <row r="1042242" customFormat="1" x14ac:dyDescent="0.15"/>
    <row r="1042243" customFormat="1" x14ac:dyDescent="0.15"/>
    <row r="1042244" customFormat="1" x14ac:dyDescent="0.15"/>
    <row r="1042245" customFormat="1" x14ac:dyDescent="0.15"/>
    <row r="1042246" customFormat="1" x14ac:dyDescent="0.15"/>
    <row r="1042247" customFormat="1" x14ac:dyDescent="0.15"/>
    <row r="1042248" customFormat="1" x14ac:dyDescent="0.15"/>
    <row r="1042249" customFormat="1" x14ac:dyDescent="0.15"/>
    <row r="1042250" customFormat="1" x14ac:dyDescent="0.15"/>
    <row r="1042251" customFormat="1" x14ac:dyDescent="0.15"/>
    <row r="1042252" customFormat="1" x14ac:dyDescent="0.15"/>
    <row r="1042253" customFormat="1" x14ac:dyDescent="0.15"/>
    <row r="1042254" customFormat="1" x14ac:dyDescent="0.15"/>
    <row r="1042255" customFormat="1" x14ac:dyDescent="0.15"/>
    <row r="1042256" customFormat="1" x14ac:dyDescent="0.15"/>
    <row r="1042257" customFormat="1" x14ac:dyDescent="0.15"/>
    <row r="1042258" customFormat="1" x14ac:dyDescent="0.15"/>
    <row r="1042259" customFormat="1" x14ac:dyDescent="0.15"/>
    <row r="1042260" customFormat="1" x14ac:dyDescent="0.15"/>
    <row r="1042261" customFormat="1" x14ac:dyDescent="0.15"/>
    <row r="1042262" customFormat="1" x14ac:dyDescent="0.15"/>
    <row r="1042263" customFormat="1" x14ac:dyDescent="0.15"/>
    <row r="1042264" customFormat="1" x14ac:dyDescent="0.15"/>
    <row r="1042265" customFormat="1" x14ac:dyDescent="0.15"/>
    <row r="1042266" customFormat="1" x14ac:dyDescent="0.15"/>
    <row r="1042267" customFormat="1" x14ac:dyDescent="0.15"/>
    <row r="1042268" customFormat="1" x14ac:dyDescent="0.15"/>
    <row r="1042269" customFormat="1" x14ac:dyDescent="0.15"/>
    <row r="1042270" customFormat="1" x14ac:dyDescent="0.15"/>
    <row r="1042271" customFormat="1" x14ac:dyDescent="0.15"/>
    <row r="1042272" customFormat="1" x14ac:dyDescent="0.15"/>
    <row r="1042273" customFormat="1" x14ac:dyDescent="0.15"/>
    <row r="1042274" customFormat="1" x14ac:dyDescent="0.15"/>
    <row r="1042275" customFormat="1" x14ac:dyDescent="0.15"/>
    <row r="1042276" customFormat="1" x14ac:dyDescent="0.15"/>
    <row r="1042277" customFormat="1" x14ac:dyDescent="0.15"/>
    <row r="1042278" customFormat="1" x14ac:dyDescent="0.15"/>
    <row r="1042279" customFormat="1" x14ac:dyDescent="0.15"/>
    <row r="1042280" customFormat="1" x14ac:dyDescent="0.15"/>
    <row r="1042281" customFormat="1" x14ac:dyDescent="0.15"/>
    <row r="1042282" customFormat="1" x14ac:dyDescent="0.15"/>
    <row r="1042283" customFormat="1" x14ac:dyDescent="0.15"/>
    <row r="1042284" customFormat="1" x14ac:dyDescent="0.15"/>
    <row r="1042285" customFormat="1" x14ac:dyDescent="0.15"/>
    <row r="1042286" customFormat="1" x14ac:dyDescent="0.15"/>
    <row r="1042287" customFormat="1" x14ac:dyDescent="0.15"/>
    <row r="1042288" customFormat="1" x14ac:dyDescent="0.15"/>
    <row r="1042289" customFormat="1" x14ac:dyDescent="0.15"/>
    <row r="1042290" customFormat="1" x14ac:dyDescent="0.15"/>
    <row r="1042291" customFormat="1" x14ac:dyDescent="0.15"/>
    <row r="1042292" customFormat="1" x14ac:dyDescent="0.15"/>
    <row r="1042293" customFormat="1" x14ac:dyDescent="0.15"/>
    <row r="1042294" customFormat="1" x14ac:dyDescent="0.15"/>
    <row r="1042295" customFormat="1" x14ac:dyDescent="0.15"/>
    <row r="1042296" customFormat="1" x14ac:dyDescent="0.15"/>
    <row r="1042297" customFormat="1" x14ac:dyDescent="0.15"/>
    <row r="1042298" customFormat="1" x14ac:dyDescent="0.15"/>
    <row r="1042299" customFormat="1" x14ac:dyDescent="0.15"/>
    <row r="1042300" customFormat="1" x14ac:dyDescent="0.15"/>
    <row r="1042301" customFormat="1" x14ac:dyDescent="0.15"/>
    <row r="1042302" customFormat="1" x14ac:dyDescent="0.15"/>
    <row r="1042303" customFormat="1" x14ac:dyDescent="0.15"/>
    <row r="1042304" customFormat="1" x14ac:dyDescent="0.15"/>
    <row r="1042305" customFormat="1" x14ac:dyDescent="0.15"/>
    <row r="1042306" customFormat="1" x14ac:dyDescent="0.15"/>
    <row r="1042307" customFormat="1" x14ac:dyDescent="0.15"/>
    <row r="1042308" customFormat="1" x14ac:dyDescent="0.15"/>
    <row r="1042309" customFormat="1" x14ac:dyDescent="0.15"/>
    <row r="1042310" customFormat="1" x14ac:dyDescent="0.15"/>
    <row r="1042311" customFormat="1" x14ac:dyDescent="0.15"/>
    <row r="1042312" customFormat="1" x14ac:dyDescent="0.15"/>
    <row r="1042313" customFormat="1" x14ac:dyDescent="0.15"/>
    <row r="1042314" customFormat="1" x14ac:dyDescent="0.15"/>
    <row r="1042315" customFormat="1" x14ac:dyDescent="0.15"/>
    <row r="1042316" customFormat="1" x14ac:dyDescent="0.15"/>
    <row r="1042317" customFormat="1" x14ac:dyDescent="0.15"/>
    <row r="1042318" customFormat="1" x14ac:dyDescent="0.15"/>
    <row r="1042319" customFormat="1" x14ac:dyDescent="0.15"/>
    <row r="1042320" customFormat="1" x14ac:dyDescent="0.15"/>
    <row r="1042321" customFormat="1" x14ac:dyDescent="0.15"/>
    <row r="1042322" customFormat="1" x14ac:dyDescent="0.15"/>
    <row r="1042323" customFormat="1" x14ac:dyDescent="0.15"/>
    <row r="1042324" customFormat="1" x14ac:dyDescent="0.15"/>
    <row r="1042325" customFormat="1" x14ac:dyDescent="0.15"/>
    <row r="1042326" customFormat="1" x14ac:dyDescent="0.15"/>
    <row r="1042327" customFormat="1" x14ac:dyDescent="0.15"/>
    <row r="1042328" customFormat="1" x14ac:dyDescent="0.15"/>
    <row r="1042329" customFormat="1" x14ac:dyDescent="0.15"/>
    <row r="1042330" customFormat="1" x14ac:dyDescent="0.15"/>
    <row r="1042331" customFormat="1" x14ac:dyDescent="0.15"/>
    <row r="1042332" customFormat="1" x14ac:dyDescent="0.15"/>
    <row r="1042333" customFormat="1" x14ac:dyDescent="0.15"/>
    <row r="1042334" customFormat="1" x14ac:dyDescent="0.15"/>
    <row r="1042335" customFormat="1" x14ac:dyDescent="0.15"/>
    <row r="1042336" customFormat="1" x14ac:dyDescent="0.15"/>
    <row r="1042337" customFormat="1" x14ac:dyDescent="0.15"/>
    <row r="1042338" customFormat="1" x14ac:dyDescent="0.15"/>
    <row r="1042339" customFormat="1" x14ac:dyDescent="0.15"/>
    <row r="1042340" customFormat="1" x14ac:dyDescent="0.15"/>
    <row r="1042341" customFormat="1" x14ac:dyDescent="0.15"/>
    <row r="1042342" customFormat="1" x14ac:dyDescent="0.15"/>
    <row r="1042343" customFormat="1" x14ac:dyDescent="0.15"/>
    <row r="1042344" customFormat="1" x14ac:dyDescent="0.15"/>
    <row r="1042345" customFormat="1" x14ac:dyDescent="0.15"/>
    <row r="1042346" customFormat="1" x14ac:dyDescent="0.15"/>
    <row r="1042347" customFormat="1" x14ac:dyDescent="0.15"/>
    <row r="1042348" customFormat="1" x14ac:dyDescent="0.15"/>
    <row r="1042349" customFormat="1" x14ac:dyDescent="0.15"/>
    <row r="1042350" customFormat="1" x14ac:dyDescent="0.15"/>
    <row r="1042351" customFormat="1" x14ac:dyDescent="0.15"/>
    <row r="1042352" customFormat="1" x14ac:dyDescent="0.15"/>
    <row r="1042353" customFormat="1" x14ac:dyDescent="0.15"/>
    <row r="1042354" customFormat="1" x14ac:dyDescent="0.15"/>
    <row r="1042355" customFormat="1" x14ac:dyDescent="0.15"/>
    <row r="1042356" customFormat="1" x14ac:dyDescent="0.15"/>
    <row r="1042357" customFormat="1" x14ac:dyDescent="0.15"/>
    <row r="1042358" customFormat="1" x14ac:dyDescent="0.15"/>
    <row r="1042359" customFormat="1" x14ac:dyDescent="0.15"/>
    <row r="1042360" customFormat="1" x14ac:dyDescent="0.15"/>
    <row r="1042361" customFormat="1" x14ac:dyDescent="0.15"/>
    <row r="1042362" customFormat="1" x14ac:dyDescent="0.15"/>
    <row r="1042363" customFormat="1" x14ac:dyDescent="0.15"/>
    <row r="1042364" customFormat="1" x14ac:dyDescent="0.15"/>
    <row r="1042365" customFormat="1" x14ac:dyDescent="0.15"/>
    <row r="1042366" customFormat="1" x14ac:dyDescent="0.15"/>
    <row r="1042367" customFormat="1" x14ac:dyDescent="0.15"/>
    <row r="1042368" customFormat="1" x14ac:dyDescent="0.15"/>
    <row r="1042369" customFormat="1" x14ac:dyDescent="0.15"/>
    <row r="1042370" customFormat="1" x14ac:dyDescent="0.15"/>
    <row r="1042371" customFormat="1" x14ac:dyDescent="0.15"/>
    <row r="1042372" customFormat="1" x14ac:dyDescent="0.15"/>
    <row r="1042373" customFormat="1" x14ac:dyDescent="0.15"/>
    <row r="1042374" customFormat="1" x14ac:dyDescent="0.15"/>
    <row r="1042375" customFormat="1" x14ac:dyDescent="0.15"/>
    <row r="1042376" customFormat="1" x14ac:dyDescent="0.15"/>
    <row r="1042377" customFormat="1" x14ac:dyDescent="0.15"/>
    <row r="1042378" customFormat="1" x14ac:dyDescent="0.15"/>
    <row r="1042379" customFormat="1" x14ac:dyDescent="0.15"/>
    <row r="1042380" customFormat="1" x14ac:dyDescent="0.15"/>
    <row r="1042381" customFormat="1" x14ac:dyDescent="0.15"/>
    <row r="1042382" customFormat="1" x14ac:dyDescent="0.15"/>
    <row r="1042383" customFormat="1" x14ac:dyDescent="0.15"/>
    <row r="1042384" customFormat="1" x14ac:dyDescent="0.15"/>
    <row r="1042385" customFormat="1" x14ac:dyDescent="0.15"/>
    <row r="1042386" customFormat="1" x14ac:dyDescent="0.15"/>
    <row r="1042387" customFormat="1" x14ac:dyDescent="0.15"/>
    <row r="1042388" customFormat="1" x14ac:dyDescent="0.15"/>
    <row r="1042389" customFormat="1" x14ac:dyDescent="0.15"/>
    <row r="1042390" customFormat="1" x14ac:dyDescent="0.15"/>
    <row r="1042391" customFormat="1" x14ac:dyDescent="0.15"/>
    <row r="1042392" customFormat="1" x14ac:dyDescent="0.15"/>
    <row r="1042393" customFormat="1" x14ac:dyDescent="0.15"/>
    <row r="1042394" customFormat="1" x14ac:dyDescent="0.15"/>
    <row r="1042395" customFormat="1" x14ac:dyDescent="0.15"/>
    <row r="1042396" customFormat="1" x14ac:dyDescent="0.15"/>
    <row r="1042397" customFormat="1" x14ac:dyDescent="0.15"/>
    <row r="1042398" customFormat="1" x14ac:dyDescent="0.15"/>
    <row r="1042399" customFormat="1" x14ac:dyDescent="0.15"/>
    <row r="1042400" customFormat="1" x14ac:dyDescent="0.15"/>
    <row r="1042401" customFormat="1" x14ac:dyDescent="0.15"/>
    <row r="1042402" customFormat="1" x14ac:dyDescent="0.15"/>
    <row r="1042403" customFormat="1" x14ac:dyDescent="0.15"/>
    <row r="1042404" customFormat="1" x14ac:dyDescent="0.15"/>
    <row r="1042405" customFormat="1" x14ac:dyDescent="0.15"/>
    <row r="1042406" customFormat="1" x14ac:dyDescent="0.15"/>
    <row r="1042407" customFormat="1" x14ac:dyDescent="0.15"/>
    <row r="1042408" customFormat="1" x14ac:dyDescent="0.15"/>
    <row r="1042409" customFormat="1" x14ac:dyDescent="0.15"/>
    <row r="1042410" customFormat="1" x14ac:dyDescent="0.15"/>
    <row r="1042411" customFormat="1" x14ac:dyDescent="0.15"/>
    <row r="1042412" customFormat="1" x14ac:dyDescent="0.15"/>
    <row r="1042413" customFormat="1" x14ac:dyDescent="0.15"/>
    <row r="1042414" customFormat="1" x14ac:dyDescent="0.15"/>
    <row r="1042415" customFormat="1" x14ac:dyDescent="0.15"/>
    <row r="1042416" customFormat="1" x14ac:dyDescent="0.15"/>
    <row r="1042417" customFormat="1" x14ac:dyDescent="0.15"/>
    <row r="1042418" customFormat="1" x14ac:dyDescent="0.15"/>
    <row r="1042419" customFormat="1" x14ac:dyDescent="0.15"/>
    <row r="1042420" customFormat="1" x14ac:dyDescent="0.15"/>
    <row r="1042421" customFormat="1" x14ac:dyDescent="0.15"/>
    <row r="1042422" customFormat="1" x14ac:dyDescent="0.15"/>
    <row r="1042423" customFormat="1" x14ac:dyDescent="0.15"/>
    <row r="1042424" customFormat="1" x14ac:dyDescent="0.15"/>
    <row r="1042425" customFormat="1" x14ac:dyDescent="0.15"/>
    <row r="1042426" customFormat="1" x14ac:dyDescent="0.15"/>
    <row r="1042427" customFormat="1" x14ac:dyDescent="0.15"/>
    <row r="1042428" customFormat="1" x14ac:dyDescent="0.15"/>
    <row r="1042429" customFormat="1" x14ac:dyDescent="0.15"/>
    <row r="1042430" customFormat="1" x14ac:dyDescent="0.15"/>
    <row r="1042431" customFormat="1" x14ac:dyDescent="0.15"/>
    <row r="1042432" customFormat="1" x14ac:dyDescent="0.15"/>
    <row r="1042433" customFormat="1" x14ac:dyDescent="0.15"/>
    <row r="1042434" customFormat="1" x14ac:dyDescent="0.15"/>
    <row r="1042435" customFormat="1" x14ac:dyDescent="0.15"/>
    <row r="1042436" customFormat="1" x14ac:dyDescent="0.15"/>
    <row r="1042437" customFormat="1" x14ac:dyDescent="0.15"/>
    <row r="1042438" customFormat="1" x14ac:dyDescent="0.15"/>
    <row r="1042439" customFormat="1" x14ac:dyDescent="0.15"/>
    <row r="1042440" customFormat="1" x14ac:dyDescent="0.15"/>
    <row r="1042441" customFormat="1" x14ac:dyDescent="0.15"/>
    <row r="1042442" customFormat="1" x14ac:dyDescent="0.15"/>
    <row r="1042443" customFormat="1" x14ac:dyDescent="0.15"/>
    <row r="1042444" customFormat="1" x14ac:dyDescent="0.15"/>
    <row r="1042445" customFormat="1" x14ac:dyDescent="0.15"/>
    <row r="1042446" customFormat="1" x14ac:dyDescent="0.15"/>
    <row r="1042447" customFormat="1" x14ac:dyDescent="0.15"/>
    <row r="1042448" customFormat="1" x14ac:dyDescent="0.15"/>
    <row r="1042449" customFormat="1" x14ac:dyDescent="0.15"/>
    <row r="1042450" customFormat="1" x14ac:dyDescent="0.15"/>
    <row r="1042451" customFormat="1" x14ac:dyDescent="0.15"/>
    <row r="1042452" customFormat="1" x14ac:dyDescent="0.15"/>
    <row r="1042453" customFormat="1" x14ac:dyDescent="0.15"/>
    <row r="1042454" customFormat="1" x14ac:dyDescent="0.15"/>
    <row r="1042455" customFormat="1" x14ac:dyDescent="0.15"/>
    <row r="1042456" customFormat="1" x14ac:dyDescent="0.15"/>
    <row r="1042457" customFormat="1" x14ac:dyDescent="0.15"/>
    <row r="1042458" customFormat="1" x14ac:dyDescent="0.15"/>
    <row r="1042459" customFormat="1" x14ac:dyDescent="0.15"/>
    <row r="1042460" customFormat="1" x14ac:dyDescent="0.15"/>
    <row r="1042461" customFormat="1" x14ac:dyDescent="0.15"/>
    <row r="1042462" customFormat="1" x14ac:dyDescent="0.15"/>
    <row r="1042463" customFormat="1" x14ac:dyDescent="0.15"/>
    <row r="1042464" customFormat="1" x14ac:dyDescent="0.15"/>
    <row r="1042465" customFormat="1" x14ac:dyDescent="0.15"/>
    <row r="1042466" customFormat="1" x14ac:dyDescent="0.15"/>
    <row r="1042467" customFormat="1" x14ac:dyDescent="0.15"/>
    <row r="1042468" customFormat="1" x14ac:dyDescent="0.15"/>
    <row r="1042469" customFormat="1" x14ac:dyDescent="0.15"/>
    <row r="1042470" customFormat="1" x14ac:dyDescent="0.15"/>
    <row r="1042471" customFormat="1" x14ac:dyDescent="0.15"/>
    <row r="1042472" customFormat="1" x14ac:dyDescent="0.15"/>
    <row r="1042473" customFormat="1" x14ac:dyDescent="0.15"/>
    <row r="1042474" customFormat="1" x14ac:dyDescent="0.15"/>
    <row r="1042475" customFormat="1" x14ac:dyDescent="0.15"/>
    <row r="1042476" customFormat="1" x14ac:dyDescent="0.15"/>
    <row r="1042477" customFormat="1" x14ac:dyDescent="0.15"/>
    <row r="1042478" customFormat="1" x14ac:dyDescent="0.15"/>
    <row r="1042479" customFormat="1" x14ac:dyDescent="0.15"/>
    <row r="1042480" customFormat="1" x14ac:dyDescent="0.15"/>
    <row r="1042481" customFormat="1" x14ac:dyDescent="0.15"/>
    <row r="1042482" customFormat="1" x14ac:dyDescent="0.15"/>
    <row r="1042483" customFormat="1" x14ac:dyDescent="0.15"/>
    <row r="1042484" customFormat="1" x14ac:dyDescent="0.15"/>
    <row r="1042485" customFormat="1" x14ac:dyDescent="0.15"/>
    <row r="1042486" customFormat="1" x14ac:dyDescent="0.15"/>
    <row r="1042487" customFormat="1" x14ac:dyDescent="0.15"/>
    <row r="1042488" customFormat="1" x14ac:dyDescent="0.15"/>
    <row r="1042489" customFormat="1" x14ac:dyDescent="0.15"/>
    <row r="1042490" customFormat="1" x14ac:dyDescent="0.15"/>
    <row r="1042491" customFormat="1" x14ac:dyDescent="0.15"/>
    <row r="1042492" customFormat="1" x14ac:dyDescent="0.15"/>
    <row r="1042493" customFormat="1" x14ac:dyDescent="0.15"/>
    <row r="1042494" customFormat="1" x14ac:dyDescent="0.15"/>
    <row r="1042495" customFormat="1" x14ac:dyDescent="0.15"/>
    <row r="1042496" customFormat="1" x14ac:dyDescent="0.15"/>
    <row r="1042497" customFormat="1" x14ac:dyDescent="0.15"/>
    <row r="1042498" customFormat="1" x14ac:dyDescent="0.15"/>
    <row r="1042499" customFormat="1" x14ac:dyDescent="0.15"/>
    <row r="1042500" customFormat="1" x14ac:dyDescent="0.15"/>
    <row r="1042501" customFormat="1" x14ac:dyDescent="0.15"/>
    <row r="1042502" customFormat="1" x14ac:dyDescent="0.15"/>
    <row r="1042503" customFormat="1" x14ac:dyDescent="0.15"/>
    <row r="1042504" customFormat="1" x14ac:dyDescent="0.15"/>
    <row r="1042505" customFormat="1" x14ac:dyDescent="0.15"/>
    <row r="1042506" customFormat="1" x14ac:dyDescent="0.15"/>
    <row r="1042507" customFormat="1" x14ac:dyDescent="0.15"/>
    <row r="1042508" customFormat="1" x14ac:dyDescent="0.15"/>
    <row r="1042509" customFormat="1" x14ac:dyDescent="0.15"/>
    <row r="1042510" customFormat="1" x14ac:dyDescent="0.15"/>
    <row r="1042511" customFormat="1" x14ac:dyDescent="0.15"/>
    <row r="1042512" customFormat="1" x14ac:dyDescent="0.15"/>
    <row r="1042513" customFormat="1" x14ac:dyDescent="0.15"/>
    <row r="1042514" customFormat="1" x14ac:dyDescent="0.15"/>
    <row r="1042515" customFormat="1" x14ac:dyDescent="0.15"/>
    <row r="1042516" customFormat="1" x14ac:dyDescent="0.15"/>
    <row r="1042517" customFormat="1" x14ac:dyDescent="0.15"/>
    <row r="1042518" customFormat="1" x14ac:dyDescent="0.15"/>
    <row r="1042519" customFormat="1" x14ac:dyDescent="0.15"/>
    <row r="1042520" customFormat="1" x14ac:dyDescent="0.15"/>
    <row r="1042521" customFormat="1" x14ac:dyDescent="0.15"/>
    <row r="1042522" customFormat="1" x14ac:dyDescent="0.15"/>
    <row r="1042523" customFormat="1" x14ac:dyDescent="0.15"/>
    <row r="1042524" customFormat="1" x14ac:dyDescent="0.15"/>
    <row r="1042525" customFormat="1" x14ac:dyDescent="0.15"/>
    <row r="1042526" customFormat="1" x14ac:dyDescent="0.15"/>
    <row r="1042527" customFormat="1" x14ac:dyDescent="0.15"/>
    <row r="1042528" customFormat="1" x14ac:dyDescent="0.15"/>
    <row r="1042529" customFormat="1" x14ac:dyDescent="0.15"/>
    <row r="1042530" customFormat="1" x14ac:dyDescent="0.15"/>
    <row r="1042531" customFormat="1" x14ac:dyDescent="0.15"/>
    <row r="1042532" customFormat="1" x14ac:dyDescent="0.15"/>
    <row r="1042533" customFormat="1" x14ac:dyDescent="0.15"/>
    <row r="1042534" customFormat="1" x14ac:dyDescent="0.15"/>
    <row r="1042535" customFormat="1" x14ac:dyDescent="0.15"/>
    <row r="1042536" customFormat="1" x14ac:dyDescent="0.15"/>
    <row r="1042537" customFormat="1" x14ac:dyDescent="0.15"/>
    <row r="1042538" customFormat="1" x14ac:dyDescent="0.15"/>
    <row r="1042539" customFormat="1" x14ac:dyDescent="0.15"/>
    <row r="1042540" customFormat="1" x14ac:dyDescent="0.15"/>
    <row r="1042541" customFormat="1" x14ac:dyDescent="0.15"/>
    <row r="1042542" customFormat="1" x14ac:dyDescent="0.15"/>
    <row r="1042543" customFormat="1" x14ac:dyDescent="0.15"/>
    <row r="1042544" customFormat="1" x14ac:dyDescent="0.15"/>
    <row r="1042545" customFormat="1" x14ac:dyDescent="0.15"/>
    <row r="1042546" customFormat="1" x14ac:dyDescent="0.15"/>
    <row r="1042547" customFormat="1" x14ac:dyDescent="0.15"/>
    <row r="1042548" customFormat="1" x14ac:dyDescent="0.15"/>
    <row r="1042549" customFormat="1" x14ac:dyDescent="0.15"/>
    <row r="1042550" customFormat="1" x14ac:dyDescent="0.15"/>
    <row r="1042551" customFormat="1" x14ac:dyDescent="0.15"/>
    <row r="1042552" customFormat="1" x14ac:dyDescent="0.15"/>
    <row r="1042553" customFormat="1" x14ac:dyDescent="0.15"/>
    <row r="1042554" customFormat="1" x14ac:dyDescent="0.15"/>
    <row r="1042555" customFormat="1" x14ac:dyDescent="0.15"/>
    <row r="1042556" customFormat="1" x14ac:dyDescent="0.15"/>
    <row r="1042557" customFormat="1" x14ac:dyDescent="0.15"/>
    <row r="1042558" customFormat="1" x14ac:dyDescent="0.15"/>
    <row r="1042559" customFormat="1" x14ac:dyDescent="0.15"/>
    <row r="1042560" customFormat="1" x14ac:dyDescent="0.15"/>
    <row r="1042561" customFormat="1" x14ac:dyDescent="0.15"/>
    <row r="1042562" customFormat="1" x14ac:dyDescent="0.15"/>
    <row r="1042563" customFormat="1" x14ac:dyDescent="0.15"/>
    <row r="1042564" customFormat="1" x14ac:dyDescent="0.15"/>
    <row r="1042565" customFormat="1" x14ac:dyDescent="0.15"/>
    <row r="1042566" customFormat="1" x14ac:dyDescent="0.15"/>
    <row r="1042567" customFormat="1" x14ac:dyDescent="0.15"/>
    <row r="1042568" customFormat="1" x14ac:dyDescent="0.15"/>
    <row r="1042569" customFormat="1" x14ac:dyDescent="0.15"/>
    <row r="1042570" customFormat="1" x14ac:dyDescent="0.15"/>
    <row r="1042571" customFormat="1" x14ac:dyDescent="0.15"/>
    <row r="1042572" customFormat="1" x14ac:dyDescent="0.15"/>
    <row r="1042573" customFormat="1" x14ac:dyDescent="0.15"/>
    <row r="1042574" customFormat="1" x14ac:dyDescent="0.15"/>
    <row r="1042575" customFormat="1" x14ac:dyDescent="0.15"/>
    <row r="1042576" customFormat="1" x14ac:dyDescent="0.15"/>
    <row r="1042577" customFormat="1" x14ac:dyDescent="0.15"/>
    <row r="1042578" customFormat="1" x14ac:dyDescent="0.15"/>
    <row r="1042579" customFormat="1" x14ac:dyDescent="0.15"/>
    <row r="1042580" customFormat="1" x14ac:dyDescent="0.15"/>
    <row r="1042581" customFormat="1" x14ac:dyDescent="0.15"/>
    <row r="1042582" customFormat="1" x14ac:dyDescent="0.15"/>
    <row r="1042583" customFormat="1" x14ac:dyDescent="0.15"/>
    <row r="1042584" customFormat="1" x14ac:dyDescent="0.15"/>
    <row r="1042585" customFormat="1" x14ac:dyDescent="0.15"/>
    <row r="1042586" customFormat="1" x14ac:dyDescent="0.15"/>
    <row r="1042587" customFormat="1" x14ac:dyDescent="0.15"/>
    <row r="1042588" customFormat="1" x14ac:dyDescent="0.15"/>
    <row r="1042589" customFormat="1" x14ac:dyDescent="0.15"/>
    <row r="1042590" customFormat="1" x14ac:dyDescent="0.15"/>
    <row r="1042591" customFormat="1" x14ac:dyDescent="0.15"/>
    <row r="1042592" customFormat="1" x14ac:dyDescent="0.15"/>
    <row r="1042593" customFormat="1" x14ac:dyDescent="0.15"/>
    <row r="1042594" customFormat="1" x14ac:dyDescent="0.15"/>
    <row r="1042595" customFormat="1" x14ac:dyDescent="0.15"/>
    <row r="1042596" customFormat="1" x14ac:dyDescent="0.15"/>
    <row r="1042597" customFormat="1" x14ac:dyDescent="0.15"/>
    <row r="1042598" customFormat="1" x14ac:dyDescent="0.15"/>
    <row r="1042599" customFormat="1" x14ac:dyDescent="0.15"/>
    <row r="1042600" customFormat="1" x14ac:dyDescent="0.15"/>
    <row r="1042601" customFormat="1" x14ac:dyDescent="0.15"/>
    <row r="1042602" customFormat="1" x14ac:dyDescent="0.15"/>
    <row r="1042603" customFormat="1" x14ac:dyDescent="0.15"/>
    <row r="1042604" customFormat="1" x14ac:dyDescent="0.15"/>
    <row r="1042605" customFormat="1" x14ac:dyDescent="0.15"/>
    <row r="1042606" customFormat="1" x14ac:dyDescent="0.15"/>
    <row r="1042607" customFormat="1" x14ac:dyDescent="0.15"/>
    <row r="1042608" customFormat="1" x14ac:dyDescent="0.15"/>
    <row r="1042609" customFormat="1" x14ac:dyDescent="0.15"/>
    <row r="1042610" customFormat="1" x14ac:dyDescent="0.15"/>
    <row r="1042611" customFormat="1" x14ac:dyDescent="0.15"/>
    <row r="1042612" customFormat="1" x14ac:dyDescent="0.15"/>
    <row r="1042613" customFormat="1" x14ac:dyDescent="0.15"/>
    <row r="1042614" customFormat="1" x14ac:dyDescent="0.15"/>
    <row r="1042615" customFormat="1" x14ac:dyDescent="0.15"/>
    <row r="1042616" customFormat="1" x14ac:dyDescent="0.15"/>
    <row r="1042617" customFormat="1" x14ac:dyDescent="0.15"/>
    <row r="1042618" customFormat="1" x14ac:dyDescent="0.15"/>
    <row r="1042619" customFormat="1" x14ac:dyDescent="0.15"/>
    <row r="1042620" customFormat="1" x14ac:dyDescent="0.15"/>
    <row r="1042621" customFormat="1" x14ac:dyDescent="0.15"/>
    <row r="1042622" customFormat="1" x14ac:dyDescent="0.15"/>
    <row r="1042623" customFormat="1" x14ac:dyDescent="0.15"/>
    <row r="1042624" customFormat="1" x14ac:dyDescent="0.15"/>
    <row r="1042625" customFormat="1" x14ac:dyDescent="0.15"/>
    <row r="1042626" customFormat="1" x14ac:dyDescent="0.15"/>
    <row r="1042627" customFormat="1" x14ac:dyDescent="0.15"/>
    <row r="1042628" customFormat="1" x14ac:dyDescent="0.15"/>
    <row r="1042629" customFormat="1" x14ac:dyDescent="0.15"/>
    <row r="1042630" customFormat="1" x14ac:dyDescent="0.15"/>
    <row r="1042631" customFormat="1" x14ac:dyDescent="0.15"/>
    <row r="1042632" customFormat="1" x14ac:dyDescent="0.15"/>
    <row r="1042633" customFormat="1" x14ac:dyDescent="0.15"/>
    <row r="1042634" customFormat="1" x14ac:dyDescent="0.15"/>
    <row r="1042635" customFormat="1" x14ac:dyDescent="0.15"/>
    <row r="1042636" customFormat="1" x14ac:dyDescent="0.15"/>
    <row r="1042637" customFormat="1" x14ac:dyDescent="0.15"/>
    <row r="1042638" customFormat="1" x14ac:dyDescent="0.15"/>
    <row r="1042639" customFormat="1" x14ac:dyDescent="0.15"/>
    <row r="1042640" customFormat="1" x14ac:dyDescent="0.15"/>
    <row r="1042641" customFormat="1" x14ac:dyDescent="0.15"/>
    <row r="1042642" customFormat="1" x14ac:dyDescent="0.15"/>
    <row r="1042643" customFormat="1" x14ac:dyDescent="0.15"/>
    <row r="1042644" customFormat="1" x14ac:dyDescent="0.15"/>
    <row r="1042645" customFormat="1" x14ac:dyDescent="0.15"/>
    <row r="1042646" customFormat="1" x14ac:dyDescent="0.15"/>
    <row r="1042647" customFormat="1" x14ac:dyDescent="0.15"/>
    <row r="1042648" customFormat="1" x14ac:dyDescent="0.15"/>
    <row r="1042649" customFormat="1" x14ac:dyDescent="0.15"/>
    <row r="1042650" customFormat="1" x14ac:dyDescent="0.15"/>
    <row r="1042651" customFormat="1" x14ac:dyDescent="0.15"/>
    <row r="1042652" customFormat="1" x14ac:dyDescent="0.15"/>
    <row r="1042653" customFormat="1" x14ac:dyDescent="0.15"/>
    <row r="1042654" customFormat="1" x14ac:dyDescent="0.15"/>
    <row r="1042655" customFormat="1" x14ac:dyDescent="0.15"/>
    <row r="1042656" customFormat="1" x14ac:dyDescent="0.15"/>
    <row r="1042657" customFormat="1" x14ac:dyDescent="0.15"/>
    <row r="1042658" customFormat="1" x14ac:dyDescent="0.15"/>
    <row r="1042659" customFormat="1" x14ac:dyDescent="0.15"/>
    <row r="1042660" customFormat="1" x14ac:dyDescent="0.15"/>
    <row r="1042661" customFormat="1" x14ac:dyDescent="0.15"/>
    <row r="1042662" customFormat="1" x14ac:dyDescent="0.15"/>
    <row r="1042663" customFormat="1" x14ac:dyDescent="0.15"/>
    <row r="1042664" customFormat="1" x14ac:dyDescent="0.15"/>
    <row r="1042665" customFormat="1" x14ac:dyDescent="0.15"/>
    <row r="1042666" customFormat="1" x14ac:dyDescent="0.15"/>
    <row r="1042667" customFormat="1" x14ac:dyDescent="0.15"/>
    <row r="1042668" customFormat="1" x14ac:dyDescent="0.15"/>
    <row r="1042669" customFormat="1" x14ac:dyDescent="0.15"/>
    <row r="1042670" customFormat="1" x14ac:dyDescent="0.15"/>
    <row r="1042671" customFormat="1" x14ac:dyDescent="0.15"/>
    <row r="1042672" customFormat="1" x14ac:dyDescent="0.15"/>
    <row r="1042673" customFormat="1" x14ac:dyDescent="0.15"/>
    <row r="1042674" customFormat="1" x14ac:dyDescent="0.15"/>
    <row r="1042675" customFormat="1" x14ac:dyDescent="0.15"/>
    <row r="1042676" customFormat="1" x14ac:dyDescent="0.15"/>
    <row r="1042677" customFormat="1" x14ac:dyDescent="0.15"/>
    <row r="1042678" customFormat="1" x14ac:dyDescent="0.15"/>
    <row r="1042679" customFormat="1" x14ac:dyDescent="0.15"/>
    <row r="1042680" customFormat="1" x14ac:dyDescent="0.15"/>
    <row r="1042681" customFormat="1" x14ac:dyDescent="0.15"/>
    <row r="1042682" customFormat="1" x14ac:dyDescent="0.15"/>
    <row r="1042683" customFormat="1" x14ac:dyDescent="0.15"/>
    <row r="1042684" customFormat="1" x14ac:dyDescent="0.15"/>
    <row r="1042685" customFormat="1" x14ac:dyDescent="0.15"/>
    <row r="1042686" customFormat="1" x14ac:dyDescent="0.15"/>
    <row r="1042687" customFormat="1" x14ac:dyDescent="0.15"/>
    <row r="1042688" customFormat="1" x14ac:dyDescent="0.15"/>
    <row r="1042689" customFormat="1" x14ac:dyDescent="0.15"/>
    <row r="1042690" customFormat="1" x14ac:dyDescent="0.15"/>
    <row r="1042691" customFormat="1" x14ac:dyDescent="0.15"/>
    <row r="1042692" customFormat="1" x14ac:dyDescent="0.15"/>
    <row r="1042693" customFormat="1" x14ac:dyDescent="0.15"/>
    <row r="1042694" customFormat="1" x14ac:dyDescent="0.15"/>
    <row r="1042695" customFormat="1" x14ac:dyDescent="0.15"/>
    <row r="1042696" customFormat="1" x14ac:dyDescent="0.15"/>
    <row r="1042697" customFormat="1" x14ac:dyDescent="0.15"/>
    <row r="1042698" customFormat="1" x14ac:dyDescent="0.15"/>
    <row r="1042699" customFormat="1" x14ac:dyDescent="0.15"/>
    <row r="1042700" customFormat="1" x14ac:dyDescent="0.15"/>
    <row r="1042701" customFormat="1" x14ac:dyDescent="0.15"/>
    <row r="1042702" customFormat="1" x14ac:dyDescent="0.15"/>
    <row r="1042703" customFormat="1" x14ac:dyDescent="0.15"/>
    <row r="1042704" customFormat="1" x14ac:dyDescent="0.15"/>
    <row r="1042705" customFormat="1" x14ac:dyDescent="0.15"/>
    <row r="1042706" customFormat="1" x14ac:dyDescent="0.15"/>
    <row r="1042707" customFormat="1" x14ac:dyDescent="0.15"/>
    <row r="1042708" customFormat="1" x14ac:dyDescent="0.15"/>
    <row r="1042709" customFormat="1" x14ac:dyDescent="0.15"/>
    <row r="1042710" customFormat="1" x14ac:dyDescent="0.15"/>
    <row r="1042711" customFormat="1" x14ac:dyDescent="0.15"/>
    <row r="1042712" customFormat="1" x14ac:dyDescent="0.15"/>
    <row r="1042713" customFormat="1" x14ac:dyDescent="0.15"/>
    <row r="1042714" customFormat="1" x14ac:dyDescent="0.15"/>
    <row r="1042715" customFormat="1" x14ac:dyDescent="0.15"/>
    <row r="1042716" customFormat="1" x14ac:dyDescent="0.15"/>
    <row r="1042717" customFormat="1" x14ac:dyDescent="0.15"/>
    <row r="1042718" customFormat="1" x14ac:dyDescent="0.15"/>
    <row r="1042719" customFormat="1" x14ac:dyDescent="0.15"/>
    <row r="1042720" customFormat="1" x14ac:dyDescent="0.15"/>
    <row r="1042721" customFormat="1" x14ac:dyDescent="0.15"/>
    <row r="1042722" customFormat="1" x14ac:dyDescent="0.15"/>
    <row r="1042723" customFormat="1" x14ac:dyDescent="0.15"/>
    <row r="1042724" customFormat="1" x14ac:dyDescent="0.15"/>
    <row r="1042725" customFormat="1" x14ac:dyDescent="0.15"/>
    <row r="1042726" customFormat="1" x14ac:dyDescent="0.15"/>
    <row r="1042727" customFormat="1" x14ac:dyDescent="0.15"/>
    <row r="1042728" customFormat="1" x14ac:dyDescent="0.15"/>
    <row r="1042729" customFormat="1" x14ac:dyDescent="0.15"/>
    <row r="1042730" customFormat="1" x14ac:dyDescent="0.15"/>
    <row r="1042731" customFormat="1" x14ac:dyDescent="0.15"/>
    <row r="1042732" customFormat="1" x14ac:dyDescent="0.15"/>
    <row r="1042733" customFormat="1" x14ac:dyDescent="0.15"/>
    <row r="1042734" customFormat="1" x14ac:dyDescent="0.15"/>
    <row r="1042735" customFormat="1" x14ac:dyDescent="0.15"/>
    <row r="1042736" customFormat="1" x14ac:dyDescent="0.15"/>
    <row r="1042737" customFormat="1" x14ac:dyDescent="0.15"/>
    <row r="1042738" customFormat="1" x14ac:dyDescent="0.15"/>
    <row r="1042739" customFormat="1" x14ac:dyDescent="0.15"/>
    <row r="1042740" customFormat="1" x14ac:dyDescent="0.15"/>
    <row r="1042741" customFormat="1" x14ac:dyDescent="0.15"/>
    <row r="1042742" customFormat="1" x14ac:dyDescent="0.15"/>
    <row r="1042743" customFormat="1" x14ac:dyDescent="0.15"/>
    <row r="1042744" customFormat="1" x14ac:dyDescent="0.15"/>
    <row r="1042745" customFormat="1" x14ac:dyDescent="0.15"/>
    <row r="1042746" customFormat="1" x14ac:dyDescent="0.15"/>
    <row r="1042747" customFormat="1" x14ac:dyDescent="0.15"/>
    <row r="1042748" customFormat="1" x14ac:dyDescent="0.15"/>
    <row r="1042749" customFormat="1" x14ac:dyDescent="0.15"/>
    <row r="1042750" customFormat="1" x14ac:dyDescent="0.15"/>
    <row r="1042751" customFormat="1" x14ac:dyDescent="0.15"/>
    <row r="1042752" customFormat="1" x14ac:dyDescent="0.15"/>
    <row r="1042753" customFormat="1" x14ac:dyDescent="0.15"/>
    <row r="1042754" customFormat="1" x14ac:dyDescent="0.15"/>
    <row r="1042755" customFormat="1" x14ac:dyDescent="0.15"/>
    <row r="1042756" customFormat="1" x14ac:dyDescent="0.15"/>
    <row r="1042757" customFormat="1" x14ac:dyDescent="0.15"/>
    <row r="1042758" customFormat="1" x14ac:dyDescent="0.15"/>
    <row r="1042759" customFormat="1" x14ac:dyDescent="0.15"/>
    <row r="1042760" customFormat="1" x14ac:dyDescent="0.15"/>
    <row r="1042761" customFormat="1" x14ac:dyDescent="0.15"/>
    <row r="1042762" customFormat="1" x14ac:dyDescent="0.15"/>
    <row r="1042763" customFormat="1" x14ac:dyDescent="0.15"/>
    <row r="1042764" customFormat="1" x14ac:dyDescent="0.15"/>
    <row r="1042765" customFormat="1" x14ac:dyDescent="0.15"/>
    <row r="1042766" customFormat="1" x14ac:dyDescent="0.15"/>
    <row r="1042767" customFormat="1" x14ac:dyDescent="0.15"/>
    <row r="1042768" customFormat="1" x14ac:dyDescent="0.15"/>
    <row r="1042769" customFormat="1" x14ac:dyDescent="0.15"/>
    <row r="1042770" customFormat="1" x14ac:dyDescent="0.15"/>
    <row r="1042771" customFormat="1" x14ac:dyDescent="0.15"/>
    <row r="1042772" customFormat="1" x14ac:dyDescent="0.15"/>
    <row r="1042773" customFormat="1" x14ac:dyDescent="0.15"/>
    <row r="1042774" customFormat="1" x14ac:dyDescent="0.15"/>
    <row r="1042775" customFormat="1" x14ac:dyDescent="0.15"/>
    <row r="1042776" customFormat="1" x14ac:dyDescent="0.15"/>
    <row r="1042777" customFormat="1" x14ac:dyDescent="0.15"/>
    <row r="1042778" customFormat="1" x14ac:dyDescent="0.15"/>
    <row r="1042779" customFormat="1" x14ac:dyDescent="0.15"/>
    <row r="1042780" customFormat="1" x14ac:dyDescent="0.15"/>
    <row r="1042781" customFormat="1" x14ac:dyDescent="0.15"/>
    <row r="1042782" customFormat="1" x14ac:dyDescent="0.15"/>
    <row r="1042783" customFormat="1" x14ac:dyDescent="0.15"/>
    <row r="1042784" customFormat="1" x14ac:dyDescent="0.15"/>
    <row r="1042785" customFormat="1" x14ac:dyDescent="0.15"/>
    <row r="1042786" customFormat="1" x14ac:dyDescent="0.15"/>
    <row r="1042787" customFormat="1" x14ac:dyDescent="0.15"/>
    <row r="1042788" customFormat="1" x14ac:dyDescent="0.15"/>
    <row r="1042789" customFormat="1" x14ac:dyDescent="0.15"/>
    <row r="1042790" customFormat="1" x14ac:dyDescent="0.15"/>
    <row r="1042791" customFormat="1" x14ac:dyDescent="0.15"/>
    <row r="1042792" customFormat="1" x14ac:dyDescent="0.15"/>
    <row r="1042793" customFormat="1" x14ac:dyDescent="0.15"/>
    <row r="1042794" customFormat="1" x14ac:dyDescent="0.15"/>
    <row r="1042795" customFormat="1" x14ac:dyDescent="0.15"/>
    <row r="1042796" customFormat="1" x14ac:dyDescent="0.15"/>
    <row r="1042797" customFormat="1" x14ac:dyDescent="0.15"/>
    <row r="1042798" customFormat="1" x14ac:dyDescent="0.15"/>
    <row r="1042799" customFormat="1" x14ac:dyDescent="0.15"/>
    <row r="1042800" customFormat="1" x14ac:dyDescent="0.15"/>
    <row r="1042801" customFormat="1" x14ac:dyDescent="0.15"/>
    <row r="1042802" customFormat="1" x14ac:dyDescent="0.15"/>
    <row r="1042803" customFormat="1" x14ac:dyDescent="0.15"/>
    <row r="1042804" customFormat="1" x14ac:dyDescent="0.15"/>
    <row r="1042805" customFormat="1" x14ac:dyDescent="0.15"/>
    <row r="1042806" customFormat="1" x14ac:dyDescent="0.15"/>
    <row r="1042807" customFormat="1" x14ac:dyDescent="0.15"/>
    <row r="1042808" customFormat="1" x14ac:dyDescent="0.15"/>
    <row r="1042809" customFormat="1" x14ac:dyDescent="0.15"/>
    <row r="1042810" customFormat="1" x14ac:dyDescent="0.15"/>
    <row r="1042811" customFormat="1" x14ac:dyDescent="0.15"/>
    <row r="1042812" customFormat="1" x14ac:dyDescent="0.15"/>
    <row r="1042813" customFormat="1" x14ac:dyDescent="0.15"/>
    <row r="1042814" customFormat="1" x14ac:dyDescent="0.15"/>
    <row r="1042815" customFormat="1" x14ac:dyDescent="0.15"/>
    <row r="1042816" customFormat="1" x14ac:dyDescent="0.15"/>
    <row r="1042817" customFormat="1" x14ac:dyDescent="0.15"/>
    <row r="1042818" customFormat="1" x14ac:dyDescent="0.15"/>
    <row r="1042819" customFormat="1" x14ac:dyDescent="0.15"/>
    <row r="1042820" customFormat="1" x14ac:dyDescent="0.15"/>
    <row r="1042821" customFormat="1" x14ac:dyDescent="0.15"/>
    <row r="1042822" customFormat="1" x14ac:dyDescent="0.15"/>
    <row r="1042823" customFormat="1" x14ac:dyDescent="0.15"/>
    <row r="1042824" customFormat="1" x14ac:dyDescent="0.15"/>
    <row r="1042825" customFormat="1" x14ac:dyDescent="0.15"/>
    <row r="1042826" customFormat="1" x14ac:dyDescent="0.15"/>
    <row r="1042827" customFormat="1" x14ac:dyDescent="0.15"/>
    <row r="1042828" customFormat="1" x14ac:dyDescent="0.15"/>
    <row r="1042829" customFormat="1" x14ac:dyDescent="0.15"/>
    <row r="1042830" customFormat="1" x14ac:dyDescent="0.15"/>
    <row r="1042831" customFormat="1" x14ac:dyDescent="0.15"/>
    <row r="1042832" customFormat="1" x14ac:dyDescent="0.15"/>
    <row r="1042833" customFormat="1" x14ac:dyDescent="0.15"/>
    <row r="1042834" customFormat="1" x14ac:dyDescent="0.15"/>
    <row r="1042835" customFormat="1" x14ac:dyDescent="0.15"/>
    <row r="1042836" customFormat="1" x14ac:dyDescent="0.15"/>
    <row r="1042837" customFormat="1" x14ac:dyDescent="0.15"/>
    <row r="1042838" customFormat="1" x14ac:dyDescent="0.15"/>
    <row r="1042839" customFormat="1" x14ac:dyDescent="0.15"/>
    <row r="1042840" customFormat="1" x14ac:dyDescent="0.15"/>
    <row r="1042841" customFormat="1" x14ac:dyDescent="0.15"/>
    <row r="1042842" customFormat="1" x14ac:dyDescent="0.15"/>
    <row r="1042843" customFormat="1" x14ac:dyDescent="0.15"/>
    <row r="1042844" customFormat="1" x14ac:dyDescent="0.15"/>
    <row r="1042845" customFormat="1" x14ac:dyDescent="0.15"/>
    <row r="1042846" customFormat="1" x14ac:dyDescent="0.15"/>
    <row r="1042847" customFormat="1" x14ac:dyDescent="0.15"/>
    <row r="1042848" customFormat="1" x14ac:dyDescent="0.15"/>
    <row r="1042849" customFormat="1" x14ac:dyDescent="0.15"/>
    <row r="1042850" customFormat="1" x14ac:dyDescent="0.15"/>
    <row r="1042851" customFormat="1" x14ac:dyDescent="0.15"/>
    <row r="1042852" customFormat="1" x14ac:dyDescent="0.15"/>
    <row r="1042853" customFormat="1" x14ac:dyDescent="0.15"/>
    <row r="1042854" customFormat="1" x14ac:dyDescent="0.15"/>
    <row r="1042855" customFormat="1" x14ac:dyDescent="0.15"/>
    <row r="1042856" customFormat="1" x14ac:dyDescent="0.15"/>
    <row r="1042857" customFormat="1" x14ac:dyDescent="0.15"/>
    <row r="1042858" customFormat="1" x14ac:dyDescent="0.15"/>
    <row r="1042859" customFormat="1" x14ac:dyDescent="0.15"/>
    <row r="1042860" customFormat="1" x14ac:dyDescent="0.15"/>
    <row r="1042861" customFormat="1" x14ac:dyDescent="0.15"/>
    <row r="1042862" customFormat="1" x14ac:dyDescent="0.15"/>
    <row r="1042863" customFormat="1" x14ac:dyDescent="0.15"/>
    <row r="1042864" customFormat="1" x14ac:dyDescent="0.15"/>
    <row r="1042865" customFormat="1" x14ac:dyDescent="0.15"/>
    <row r="1042866" customFormat="1" x14ac:dyDescent="0.15"/>
    <row r="1042867" customFormat="1" x14ac:dyDescent="0.15"/>
    <row r="1042868" customFormat="1" x14ac:dyDescent="0.15"/>
    <row r="1042869" customFormat="1" x14ac:dyDescent="0.15"/>
    <row r="1042870" customFormat="1" x14ac:dyDescent="0.15"/>
    <row r="1042871" customFormat="1" x14ac:dyDescent="0.15"/>
    <row r="1042872" customFormat="1" x14ac:dyDescent="0.15"/>
    <row r="1042873" customFormat="1" x14ac:dyDescent="0.15"/>
    <row r="1042874" customFormat="1" x14ac:dyDescent="0.15"/>
    <row r="1042875" customFormat="1" x14ac:dyDescent="0.15"/>
    <row r="1042876" customFormat="1" x14ac:dyDescent="0.15"/>
    <row r="1042877" customFormat="1" x14ac:dyDescent="0.15"/>
    <row r="1042878" customFormat="1" x14ac:dyDescent="0.15"/>
    <row r="1042879" customFormat="1" x14ac:dyDescent="0.15"/>
    <row r="1042880" customFormat="1" x14ac:dyDescent="0.15"/>
    <row r="1042881" customFormat="1" x14ac:dyDescent="0.15"/>
    <row r="1042882" customFormat="1" x14ac:dyDescent="0.15"/>
    <row r="1042883" customFormat="1" x14ac:dyDescent="0.15"/>
    <row r="1042884" customFormat="1" x14ac:dyDescent="0.15"/>
    <row r="1042885" customFormat="1" x14ac:dyDescent="0.15"/>
    <row r="1042886" customFormat="1" x14ac:dyDescent="0.15"/>
    <row r="1042887" customFormat="1" x14ac:dyDescent="0.15"/>
    <row r="1042888" customFormat="1" x14ac:dyDescent="0.15"/>
    <row r="1042889" customFormat="1" x14ac:dyDescent="0.15"/>
    <row r="1042890" customFormat="1" x14ac:dyDescent="0.15"/>
    <row r="1042891" customFormat="1" x14ac:dyDescent="0.15"/>
    <row r="1042892" customFormat="1" x14ac:dyDescent="0.15"/>
    <row r="1042893" customFormat="1" x14ac:dyDescent="0.15"/>
    <row r="1042894" customFormat="1" x14ac:dyDescent="0.15"/>
    <row r="1042895" customFormat="1" x14ac:dyDescent="0.15"/>
    <row r="1042896" customFormat="1" x14ac:dyDescent="0.15"/>
    <row r="1042897" customFormat="1" x14ac:dyDescent="0.15"/>
    <row r="1042898" customFormat="1" x14ac:dyDescent="0.15"/>
    <row r="1042899" customFormat="1" x14ac:dyDescent="0.15"/>
    <row r="1042900" customFormat="1" x14ac:dyDescent="0.15"/>
    <row r="1042901" customFormat="1" x14ac:dyDescent="0.15"/>
    <row r="1042902" customFormat="1" x14ac:dyDescent="0.15"/>
    <row r="1042903" customFormat="1" x14ac:dyDescent="0.15"/>
    <row r="1042904" customFormat="1" x14ac:dyDescent="0.15"/>
    <row r="1042905" customFormat="1" x14ac:dyDescent="0.15"/>
    <row r="1042906" customFormat="1" x14ac:dyDescent="0.15"/>
    <row r="1042907" customFormat="1" x14ac:dyDescent="0.15"/>
    <row r="1042908" customFormat="1" x14ac:dyDescent="0.15"/>
    <row r="1042909" customFormat="1" x14ac:dyDescent="0.15"/>
    <row r="1042910" customFormat="1" x14ac:dyDescent="0.15"/>
    <row r="1042911" customFormat="1" x14ac:dyDescent="0.15"/>
    <row r="1042912" customFormat="1" x14ac:dyDescent="0.15"/>
    <row r="1042913" customFormat="1" x14ac:dyDescent="0.15"/>
    <row r="1042914" customFormat="1" x14ac:dyDescent="0.15"/>
    <row r="1042915" customFormat="1" x14ac:dyDescent="0.15"/>
    <row r="1042916" customFormat="1" x14ac:dyDescent="0.15"/>
    <row r="1042917" customFormat="1" x14ac:dyDescent="0.15"/>
    <row r="1042918" customFormat="1" x14ac:dyDescent="0.15"/>
    <row r="1042919" customFormat="1" x14ac:dyDescent="0.15"/>
    <row r="1042920" customFormat="1" x14ac:dyDescent="0.15"/>
    <row r="1042921" customFormat="1" x14ac:dyDescent="0.15"/>
    <row r="1042922" customFormat="1" x14ac:dyDescent="0.15"/>
    <row r="1042923" customFormat="1" x14ac:dyDescent="0.15"/>
    <row r="1042924" customFormat="1" x14ac:dyDescent="0.15"/>
    <row r="1042925" customFormat="1" x14ac:dyDescent="0.15"/>
    <row r="1042926" customFormat="1" x14ac:dyDescent="0.15"/>
    <row r="1042927" customFormat="1" x14ac:dyDescent="0.15"/>
    <row r="1042928" customFormat="1" x14ac:dyDescent="0.15"/>
    <row r="1042929" customFormat="1" x14ac:dyDescent="0.15"/>
    <row r="1042930" customFormat="1" x14ac:dyDescent="0.15"/>
    <row r="1042931" customFormat="1" x14ac:dyDescent="0.15"/>
    <row r="1042932" customFormat="1" x14ac:dyDescent="0.15"/>
    <row r="1042933" customFormat="1" x14ac:dyDescent="0.15"/>
    <row r="1042934" customFormat="1" x14ac:dyDescent="0.15"/>
    <row r="1042935" customFormat="1" x14ac:dyDescent="0.15"/>
    <row r="1042936" customFormat="1" x14ac:dyDescent="0.15"/>
    <row r="1042937" customFormat="1" x14ac:dyDescent="0.15"/>
    <row r="1042938" customFormat="1" x14ac:dyDescent="0.15"/>
    <row r="1042939" customFormat="1" x14ac:dyDescent="0.15"/>
    <row r="1042940" customFormat="1" x14ac:dyDescent="0.15"/>
    <row r="1042941" customFormat="1" x14ac:dyDescent="0.15"/>
    <row r="1042942" customFormat="1" x14ac:dyDescent="0.15"/>
    <row r="1042943" customFormat="1" x14ac:dyDescent="0.15"/>
    <row r="1042944" customFormat="1" x14ac:dyDescent="0.15"/>
    <row r="1042945" customFormat="1" x14ac:dyDescent="0.15"/>
    <row r="1042946" customFormat="1" x14ac:dyDescent="0.15"/>
    <row r="1042947" customFormat="1" x14ac:dyDescent="0.15"/>
    <row r="1042948" customFormat="1" x14ac:dyDescent="0.15"/>
    <row r="1042949" customFormat="1" x14ac:dyDescent="0.15"/>
    <row r="1042950" customFormat="1" x14ac:dyDescent="0.15"/>
    <row r="1042951" customFormat="1" x14ac:dyDescent="0.15"/>
    <row r="1042952" customFormat="1" x14ac:dyDescent="0.15"/>
    <row r="1042953" customFormat="1" x14ac:dyDescent="0.15"/>
    <row r="1042954" customFormat="1" x14ac:dyDescent="0.15"/>
    <row r="1042955" customFormat="1" x14ac:dyDescent="0.15"/>
    <row r="1042956" customFormat="1" x14ac:dyDescent="0.15"/>
    <row r="1042957" customFormat="1" x14ac:dyDescent="0.15"/>
    <row r="1042958" customFormat="1" x14ac:dyDescent="0.15"/>
    <row r="1042959" customFormat="1" x14ac:dyDescent="0.15"/>
    <row r="1042960" customFormat="1" x14ac:dyDescent="0.15"/>
    <row r="1042961" customFormat="1" x14ac:dyDescent="0.15"/>
    <row r="1042962" customFormat="1" x14ac:dyDescent="0.15"/>
    <row r="1042963" customFormat="1" x14ac:dyDescent="0.15"/>
    <row r="1042964" customFormat="1" x14ac:dyDescent="0.15"/>
    <row r="1042965" customFormat="1" x14ac:dyDescent="0.15"/>
    <row r="1042966" customFormat="1" x14ac:dyDescent="0.15"/>
    <row r="1042967" customFormat="1" x14ac:dyDescent="0.15"/>
    <row r="1042968" customFormat="1" x14ac:dyDescent="0.15"/>
    <row r="1042969" customFormat="1" x14ac:dyDescent="0.15"/>
    <row r="1042970" customFormat="1" x14ac:dyDescent="0.15"/>
    <row r="1042971" customFormat="1" x14ac:dyDescent="0.15"/>
    <row r="1042972" customFormat="1" x14ac:dyDescent="0.15"/>
    <row r="1042973" customFormat="1" x14ac:dyDescent="0.15"/>
    <row r="1042974" customFormat="1" x14ac:dyDescent="0.15"/>
    <row r="1042975" customFormat="1" x14ac:dyDescent="0.15"/>
    <row r="1042976" customFormat="1" x14ac:dyDescent="0.15"/>
    <row r="1042977" customFormat="1" x14ac:dyDescent="0.15"/>
    <row r="1042978" customFormat="1" x14ac:dyDescent="0.15"/>
    <row r="1042979" customFormat="1" x14ac:dyDescent="0.15"/>
    <row r="1042980" customFormat="1" x14ac:dyDescent="0.15"/>
    <row r="1042981" customFormat="1" x14ac:dyDescent="0.15"/>
    <row r="1042982" customFormat="1" x14ac:dyDescent="0.15"/>
    <row r="1042983" customFormat="1" x14ac:dyDescent="0.15"/>
    <row r="1042984" customFormat="1" x14ac:dyDescent="0.15"/>
    <row r="1042985" customFormat="1" x14ac:dyDescent="0.15"/>
    <row r="1042986" customFormat="1" x14ac:dyDescent="0.15"/>
    <row r="1042987" customFormat="1" x14ac:dyDescent="0.15"/>
    <row r="1042988" customFormat="1" x14ac:dyDescent="0.15"/>
    <row r="1042989" customFormat="1" x14ac:dyDescent="0.15"/>
    <row r="1042990" customFormat="1" x14ac:dyDescent="0.15"/>
    <row r="1042991" customFormat="1" x14ac:dyDescent="0.15"/>
    <row r="1042992" customFormat="1" x14ac:dyDescent="0.15"/>
    <row r="1042993" customFormat="1" x14ac:dyDescent="0.15"/>
    <row r="1042994" customFormat="1" x14ac:dyDescent="0.15"/>
    <row r="1042995" customFormat="1" x14ac:dyDescent="0.15"/>
    <row r="1042996" customFormat="1" x14ac:dyDescent="0.15"/>
    <row r="1042997" customFormat="1" x14ac:dyDescent="0.15"/>
    <row r="1042998" customFormat="1" x14ac:dyDescent="0.15"/>
    <row r="1042999" customFormat="1" x14ac:dyDescent="0.15"/>
    <row r="1043000" customFormat="1" x14ac:dyDescent="0.15"/>
    <row r="1043001" customFormat="1" x14ac:dyDescent="0.15"/>
    <row r="1043002" customFormat="1" x14ac:dyDescent="0.15"/>
    <row r="1043003" customFormat="1" x14ac:dyDescent="0.15"/>
    <row r="1043004" customFormat="1" x14ac:dyDescent="0.15"/>
    <row r="1043005" customFormat="1" x14ac:dyDescent="0.15"/>
    <row r="1043006" customFormat="1" x14ac:dyDescent="0.15"/>
    <row r="1043007" customFormat="1" x14ac:dyDescent="0.15"/>
    <row r="1043008" customFormat="1" x14ac:dyDescent="0.15"/>
    <row r="1043009" customFormat="1" x14ac:dyDescent="0.15"/>
    <row r="1043010" customFormat="1" x14ac:dyDescent="0.15"/>
    <row r="1043011" customFormat="1" x14ac:dyDescent="0.15"/>
    <row r="1043012" customFormat="1" x14ac:dyDescent="0.15"/>
    <row r="1043013" customFormat="1" x14ac:dyDescent="0.15"/>
    <row r="1043014" customFormat="1" x14ac:dyDescent="0.15"/>
    <row r="1043015" customFormat="1" x14ac:dyDescent="0.15"/>
    <row r="1043016" customFormat="1" x14ac:dyDescent="0.15"/>
    <row r="1043017" customFormat="1" x14ac:dyDescent="0.15"/>
    <row r="1043018" customFormat="1" x14ac:dyDescent="0.15"/>
    <row r="1043019" customFormat="1" x14ac:dyDescent="0.15"/>
    <row r="1043020" customFormat="1" x14ac:dyDescent="0.15"/>
    <row r="1043021" customFormat="1" x14ac:dyDescent="0.15"/>
    <row r="1043022" customFormat="1" x14ac:dyDescent="0.15"/>
    <row r="1043023" customFormat="1" x14ac:dyDescent="0.15"/>
    <row r="1043024" customFormat="1" x14ac:dyDescent="0.15"/>
    <row r="1043025" customFormat="1" x14ac:dyDescent="0.15"/>
    <row r="1043026" customFormat="1" x14ac:dyDescent="0.15"/>
    <row r="1043027" customFormat="1" x14ac:dyDescent="0.15"/>
    <row r="1043028" customFormat="1" x14ac:dyDescent="0.15"/>
    <row r="1043029" customFormat="1" x14ac:dyDescent="0.15"/>
    <row r="1043030" customFormat="1" x14ac:dyDescent="0.15"/>
    <row r="1043031" customFormat="1" x14ac:dyDescent="0.15"/>
    <row r="1043032" customFormat="1" x14ac:dyDescent="0.15"/>
    <row r="1043033" customFormat="1" x14ac:dyDescent="0.15"/>
    <row r="1043034" customFormat="1" x14ac:dyDescent="0.15"/>
    <row r="1043035" customFormat="1" x14ac:dyDescent="0.15"/>
    <row r="1043036" customFormat="1" x14ac:dyDescent="0.15"/>
    <row r="1043037" customFormat="1" x14ac:dyDescent="0.15"/>
    <row r="1043038" customFormat="1" x14ac:dyDescent="0.15"/>
    <row r="1043039" customFormat="1" x14ac:dyDescent="0.15"/>
    <row r="1043040" customFormat="1" x14ac:dyDescent="0.15"/>
    <row r="1043041" customFormat="1" x14ac:dyDescent="0.15"/>
    <row r="1043042" customFormat="1" x14ac:dyDescent="0.15"/>
    <row r="1043043" customFormat="1" x14ac:dyDescent="0.15"/>
    <row r="1043044" customFormat="1" x14ac:dyDescent="0.15"/>
    <row r="1043045" customFormat="1" x14ac:dyDescent="0.15"/>
    <row r="1043046" customFormat="1" x14ac:dyDescent="0.15"/>
    <row r="1043047" customFormat="1" x14ac:dyDescent="0.15"/>
    <row r="1043048" customFormat="1" x14ac:dyDescent="0.15"/>
    <row r="1043049" customFormat="1" x14ac:dyDescent="0.15"/>
    <row r="1043050" customFormat="1" x14ac:dyDescent="0.15"/>
    <row r="1043051" customFormat="1" x14ac:dyDescent="0.15"/>
    <row r="1043052" customFormat="1" x14ac:dyDescent="0.15"/>
    <row r="1043053" customFormat="1" x14ac:dyDescent="0.15"/>
    <row r="1043054" customFormat="1" x14ac:dyDescent="0.15"/>
    <row r="1043055" customFormat="1" x14ac:dyDescent="0.15"/>
    <row r="1043056" customFormat="1" x14ac:dyDescent="0.15"/>
    <row r="1043057" customFormat="1" x14ac:dyDescent="0.15"/>
    <row r="1043058" customFormat="1" x14ac:dyDescent="0.15"/>
    <row r="1043059" customFormat="1" x14ac:dyDescent="0.15"/>
    <row r="1043060" customFormat="1" x14ac:dyDescent="0.15"/>
    <row r="1043061" customFormat="1" x14ac:dyDescent="0.15"/>
    <row r="1043062" customFormat="1" x14ac:dyDescent="0.15"/>
    <row r="1043063" customFormat="1" x14ac:dyDescent="0.15"/>
    <row r="1043064" customFormat="1" x14ac:dyDescent="0.15"/>
    <row r="1043065" customFormat="1" x14ac:dyDescent="0.15"/>
    <row r="1043066" customFormat="1" x14ac:dyDescent="0.15"/>
    <row r="1043067" customFormat="1" x14ac:dyDescent="0.15"/>
    <row r="1043068" customFormat="1" x14ac:dyDescent="0.15"/>
    <row r="1043069" customFormat="1" x14ac:dyDescent="0.15"/>
    <row r="1043070" customFormat="1" x14ac:dyDescent="0.15"/>
    <row r="1043071" customFormat="1" x14ac:dyDescent="0.15"/>
    <row r="1043072" customFormat="1" x14ac:dyDescent="0.15"/>
    <row r="1043073" customFormat="1" x14ac:dyDescent="0.15"/>
    <row r="1043074" customFormat="1" x14ac:dyDescent="0.15"/>
    <row r="1043075" customFormat="1" x14ac:dyDescent="0.15"/>
    <row r="1043076" customFormat="1" x14ac:dyDescent="0.15"/>
    <row r="1043077" customFormat="1" x14ac:dyDescent="0.15"/>
    <row r="1043078" customFormat="1" x14ac:dyDescent="0.15"/>
    <row r="1043079" customFormat="1" x14ac:dyDescent="0.15"/>
    <row r="1043080" customFormat="1" x14ac:dyDescent="0.15"/>
    <row r="1043081" customFormat="1" x14ac:dyDescent="0.15"/>
    <row r="1043082" customFormat="1" x14ac:dyDescent="0.15"/>
    <row r="1043083" customFormat="1" x14ac:dyDescent="0.15"/>
    <row r="1043084" customFormat="1" x14ac:dyDescent="0.15"/>
    <row r="1043085" customFormat="1" x14ac:dyDescent="0.15"/>
    <row r="1043086" customFormat="1" x14ac:dyDescent="0.15"/>
    <row r="1043087" customFormat="1" x14ac:dyDescent="0.15"/>
    <row r="1043088" customFormat="1" x14ac:dyDescent="0.15"/>
    <row r="1043089" customFormat="1" x14ac:dyDescent="0.15"/>
    <row r="1043090" customFormat="1" x14ac:dyDescent="0.15"/>
    <row r="1043091" customFormat="1" x14ac:dyDescent="0.15"/>
    <row r="1043092" customFormat="1" x14ac:dyDescent="0.15"/>
    <row r="1043093" customFormat="1" x14ac:dyDescent="0.15"/>
    <row r="1043094" customFormat="1" x14ac:dyDescent="0.15"/>
    <row r="1043095" customFormat="1" x14ac:dyDescent="0.15"/>
    <row r="1043096" customFormat="1" x14ac:dyDescent="0.15"/>
    <row r="1043097" customFormat="1" x14ac:dyDescent="0.15"/>
    <row r="1043098" customFormat="1" x14ac:dyDescent="0.15"/>
    <row r="1043099" customFormat="1" x14ac:dyDescent="0.15"/>
    <row r="1043100" customFormat="1" x14ac:dyDescent="0.15"/>
    <row r="1043101" customFormat="1" x14ac:dyDescent="0.15"/>
    <row r="1043102" customFormat="1" x14ac:dyDescent="0.15"/>
    <row r="1043103" customFormat="1" x14ac:dyDescent="0.15"/>
    <row r="1043104" customFormat="1" x14ac:dyDescent="0.15"/>
    <row r="1043105" customFormat="1" x14ac:dyDescent="0.15"/>
    <row r="1043106" customFormat="1" x14ac:dyDescent="0.15"/>
    <row r="1043107" customFormat="1" x14ac:dyDescent="0.15"/>
    <row r="1043108" customFormat="1" x14ac:dyDescent="0.15"/>
    <row r="1043109" customFormat="1" x14ac:dyDescent="0.15"/>
    <row r="1043110" customFormat="1" x14ac:dyDescent="0.15"/>
    <row r="1043111" customFormat="1" x14ac:dyDescent="0.15"/>
    <row r="1043112" customFormat="1" x14ac:dyDescent="0.15"/>
    <row r="1043113" customFormat="1" x14ac:dyDescent="0.15"/>
    <row r="1043114" customFormat="1" x14ac:dyDescent="0.15"/>
    <row r="1043115" customFormat="1" x14ac:dyDescent="0.15"/>
    <row r="1043116" customFormat="1" x14ac:dyDescent="0.15"/>
    <row r="1043117" customFormat="1" x14ac:dyDescent="0.15"/>
    <row r="1043118" customFormat="1" x14ac:dyDescent="0.15"/>
    <row r="1043119" customFormat="1" x14ac:dyDescent="0.15"/>
    <row r="1043120" customFormat="1" x14ac:dyDescent="0.15"/>
    <row r="1043121" customFormat="1" x14ac:dyDescent="0.15"/>
    <row r="1043122" customFormat="1" x14ac:dyDescent="0.15"/>
    <row r="1043123" customFormat="1" x14ac:dyDescent="0.15"/>
    <row r="1043124" customFormat="1" x14ac:dyDescent="0.15"/>
    <row r="1043125" customFormat="1" x14ac:dyDescent="0.15"/>
    <row r="1043126" customFormat="1" x14ac:dyDescent="0.15"/>
    <row r="1043127" customFormat="1" x14ac:dyDescent="0.15"/>
    <row r="1043128" customFormat="1" x14ac:dyDescent="0.15"/>
    <row r="1043129" customFormat="1" x14ac:dyDescent="0.15"/>
    <row r="1043130" customFormat="1" x14ac:dyDescent="0.15"/>
    <row r="1043131" customFormat="1" x14ac:dyDescent="0.15"/>
    <row r="1043132" customFormat="1" x14ac:dyDescent="0.15"/>
    <row r="1043133" customFormat="1" x14ac:dyDescent="0.15"/>
    <row r="1043134" customFormat="1" x14ac:dyDescent="0.15"/>
    <row r="1043135" customFormat="1" x14ac:dyDescent="0.15"/>
    <row r="1043136" customFormat="1" x14ac:dyDescent="0.15"/>
    <row r="1043137" customFormat="1" x14ac:dyDescent="0.15"/>
    <row r="1043138" customFormat="1" x14ac:dyDescent="0.15"/>
    <row r="1043139" customFormat="1" x14ac:dyDescent="0.15"/>
    <row r="1043140" customFormat="1" x14ac:dyDescent="0.15"/>
    <row r="1043141" customFormat="1" x14ac:dyDescent="0.15"/>
    <row r="1043142" customFormat="1" x14ac:dyDescent="0.15"/>
    <row r="1043143" customFormat="1" x14ac:dyDescent="0.15"/>
    <row r="1043144" customFormat="1" x14ac:dyDescent="0.15"/>
    <row r="1043145" customFormat="1" x14ac:dyDescent="0.15"/>
    <row r="1043146" customFormat="1" x14ac:dyDescent="0.15"/>
    <row r="1043147" customFormat="1" x14ac:dyDescent="0.15"/>
    <row r="1043148" customFormat="1" x14ac:dyDescent="0.15"/>
    <row r="1043149" customFormat="1" x14ac:dyDescent="0.15"/>
    <row r="1043150" customFormat="1" x14ac:dyDescent="0.15"/>
    <row r="1043151" customFormat="1" x14ac:dyDescent="0.15"/>
    <row r="1043152" customFormat="1" x14ac:dyDescent="0.15"/>
    <row r="1043153" customFormat="1" x14ac:dyDescent="0.15"/>
    <row r="1043154" customFormat="1" x14ac:dyDescent="0.15"/>
    <row r="1043155" customFormat="1" x14ac:dyDescent="0.15"/>
    <row r="1043156" customFormat="1" x14ac:dyDescent="0.15"/>
    <row r="1043157" customFormat="1" x14ac:dyDescent="0.15"/>
    <row r="1043158" customFormat="1" x14ac:dyDescent="0.15"/>
    <row r="1043159" customFormat="1" x14ac:dyDescent="0.15"/>
    <row r="1043160" customFormat="1" x14ac:dyDescent="0.15"/>
    <row r="1043161" customFormat="1" x14ac:dyDescent="0.15"/>
    <row r="1043162" customFormat="1" x14ac:dyDescent="0.15"/>
    <row r="1043163" customFormat="1" x14ac:dyDescent="0.15"/>
    <row r="1043164" customFormat="1" x14ac:dyDescent="0.15"/>
    <row r="1043165" customFormat="1" x14ac:dyDescent="0.15"/>
    <row r="1043166" customFormat="1" x14ac:dyDescent="0.15"/>
    <row r="1043167" customFormat="1" x14ac:dyDescent="0.15"/>
    <row r="1043168" customFormat="1" x14ac:dyDescent="0.15"/>
    <row r="1043169" customFormat="1" x14ac:dyDescent="0.15"/>
    <row r="1043170" customFormat="1" x14ac:dyDescent="0.15"/>
    <row r="1043171" customFormat="1" x14ac:dyDescent="0.15"/>
    <row r="1043172" customFormat="1" x14ac:dyDescent="0.15"/>
    <row r="1043173" customFormat="1" x14ac:dyDescent="0.15"/>
    <row r="1043174" customFormat="1" x14ac:dyDescent="0.15"/>
    <row r="1043175" customFormat="1" x14ac:dyDescent="0.15"/>
    <row r="1043176" customFormat="1" x14ac:dyDescent="0.15"/>
    <row r="1043177" customFormat="1" x14ac:dyDescent="0.15"/>
    <row r="1043178" customFormat="1" x14ac:dyDescent="0.15"/>
    <row r="1043179" customFormat="1" x14ac:dyDescent="0.15"/>
    <row r="1043180" customFormat="1" x14ac:dyDescent="0.15"/>
    <row r="1043181" customFormat="1" x14ac:dyDescent="0.15"/>
    <row r="1043182" customFormat="1" x14ac:dyDescent="0.15"/>
    <row r="1043183" customFormat="1" x14ac:dyDescent="0.15"/>
    <row r="1043184" customFormat="1" x14ac:dyDescent="0.15"/>
    <row r="1043185" customFormat="1" x14ac:dyDescent="0.15"/>
    <row r="1043186" customFormat="1" x14ac:dyDescent="0.15"/>
    <row r="1043187" customFormat="1" x14ac:dyDescent="0.15"/>
    <row r="1043188" customFormat="1" x14ac:dyDescent="0.15"/>
    <row r="1043189" customFormat="1" x14ac:dyDescent="0.15"/>
    <row r="1043190" customFormat="1" x14ac:dyDescent="0.15"/>
    <row r="1043191" customFormat="1" x14ac:dyDescent="0.15"/>
    <row r="1043192" customFormat="1" x14ac:dyDescent="0.15"/>
    <row r="1043193" customFormat="1" x14ac:dyDescent="0.15"/>
    <row r="1043194" customFormat="1" x14ac:dyDescent="0.15"/>
    <row r="1043195" customFormat="1" x14ac:dyDescent="0.15"/>
    <row r="1043196" customFormat="1" x14ac:dyDescent="0.15"/>
    <row r="1043197" customFormat="1" x14ac:dyDescent="0.15"/>
    <row r="1043198" customFormat="1" x14ac:dyDescent="0.15"/>
    <row r="1043199" customFormat="1" x14ac:dyDescent="0.15"/>
    <row r="1043200" customFormat="1" x14ac:dyDescent="0.15"/>
    <row r="1043201" customFormat="1" x14ac:dyDescent="0.15"/>
    <row r="1043202" customFormat="1" x14ac:dyDescent="0.15"/>
    <row r="1043203" customFormat="1" x14ac:dyDescent="0.15"/>
    <row r="1043204" customFormat="1" x14ac:dyDescent="0.15"/>
    <row r="1043205" customFormat="1" x14ac:dyDescent="0.15"/>
    <row r="1043206" customFormat="1" x14ac:dyDescent="0.15"/>
    <row r="1043207" customFormat="1" x14ac:dyDescent="0.15"/>
    <row r="1043208" customFormat="1" x14ac:dyDescent="0.15"/>
    <row r="1043209" customFormat="1" x14ac:dyDescent="0.15"/>
    <row r="1043210" customFormat="1" x14ac:dyDescent="0.15"/>
    <row r="1043211" customFormat="1" x14ac:dyDescent="0.15"/>
    <row r="1043212" customFormat="1" x14ac:dyDescent="0.15"/>
    <row r="1043213" customFormat="1" x14ac:dyDescent="0.15"/>
    <row r="1043214" customFormat="1" x14ac:dyDescent="0.15"/>
    <row r="1043215" customFormat="1" x14ac:dyDescent="0.15"/>
    <row r="1043216" customFormat="1" x14ac:dyDescent="0.15"/>
    <row r="1043217" customFormat="1" x14ac:dyDescent="0.15"/>
    <row r="1043218" customFormat="1" x14ac:dyDescent="0.15"/>
    <row r="1043219" customFormat="1" x14ac:dyDescent="0.15"/>
    <row r="1043220" customFormat="1" x14ac:dyDescent="0.15"/>
    <row r="1043221" customFormat="1" x14ac:dyDescent="0.15"/>
    <row r="1043222" customFormat="1" x14ac:dyDescent="0.15"/>
    <row r="1043223" customFormat="1" x14ac:dyDescent="0.15"/>
    <row r="1043224" customFormat="1" x14ac:dyDescent="0.15"/>
    <row r="1043225" customFormat="1" x14ac:dyDescent="0.15"/>
    <row r="1043226" customFormat="1" x14ac:dyDescent="0.15"/>
    <row r="1043227" customFormat="1" x14ac:dyDescent="0.15"/>
    <row r="1043228" customFormat="1" x14ac:dyDescent="0.15"/>
    <row r="1043229" customFormat="1" x14ac:dyDescent="0.15"/>
    <row r="1043230" customFormat="1" x14ac:dyDescent="0.15"/>
    <row r="1043231" customFormat="1" x14ac:dyDescent="0.15"/>
    <row r="1043232" customFormat="1" x14ac:dyDescent="0.15"/>
    <row r="1043233" customFormat="1" x14ac:dyDescent="0.15"/>
    <row r="1043234" customFormat="1" x14ac:dyDescent="0.15"/>
    <row r="1043235" customFormat="1" x14ac:dyDescent="0.15"/>
    <row r="1043236" customFormat="1" x14ac:dyDescent="0.15"/>
    <row r="1043237" customFormat="1" x14ac:dyDescent="0.15"/>
    <row r="1043238" customFormat="1" x14ac:dyDescent="0.15"/>
    <row r="1043239" customFormat="1" x14ac:dyDescent="0.15"/>
    <row r="1043240" customFormat="1" x14ac:dyDescent="0.15"/>
    <row r="1043241" customFormat="1" x14ac:dyDescent="0.15"/>
    <row r="1043242" customFormat="1" x14ac:dyDescent="0.15"/>
    <row r="1043243" customFormat="1" x14ac:dyDescent="0.15"/>
    <row r="1043244" customFormat="1" x14ac:dyDescent="0.15"/>
    <row r="1043245" customFormat="1" x14ac:dyDescent="0.15"/>
    <row r="1043246" customFormat="1" x14ac:dyDescent="0.15"/>
    <row r="1043247" customFormat="1" x14ac:dyDescent="0.15"/>
    <row r="1043248" customFormat="1" x14ac:dyDescent="0.15"/>
    <row r="1043249" customFormat="1" x14ac:dyDescent="0.15"/>
    <row r="1043250" customFormat="1" x14ac:dyDescent="0.15"/>
    <row r="1043251" customFormat="1" x14ac:dyDescent="0.15"/>
    <row r="1043252" customFormat="1" x14ac:dyDescent="0.15"/>
    <row r="1043253" customFormat="1" x14ac:dyDescent="0.15"/>
    <row r="1043254" customFormat="1" x14ac:dyDescent="0.15"/>
    <row r="1043255" customFormat="1" x14ac:dyDescent="0.15"/>
    <row r="1043256" customFormat="1" x14ac:dyDescent="0.15"/>
    <row r="1043257" customFormat="1" x14ac:dyDescent="0.15"/>
    <row r="1043258" customFormat="1" x14ac:dyDescent="0.15"/>
    <row r="1043259" customFormat="1" x14ac:dyDescent="0.15"/>
    <row r="1043260" customFormat="1" x14ac:dyDescent="0.15"/>
    <row r="1043261" customFormat="1" x14ac:dyDescent="0.15"/>
    <row r="1043262" customFormat="1" x14ac:dyDescent="0.15"/>
    <row r="1043263" customFormat="1" x14ac:dyDescent="0.15"/>
    <row r="1043264" customFormat="1" x14ac:dyDescent="0.15"/>
    <row r="1043265" customFormat="1" x14ac:dyDescent="0.15"/>
    <row r="1043266" customFormat="1" x14ac:dyDescent="0.15"/>
    <row r="1043267" customFormat="1" x14ac:dyDescent="0.15"/>
    <row r="1043268" customFormat="1" x14ac:dyDescent="0.15"/>
    <row r="1043269" customFormat="1" x14ac:dyDescent="0.15"/>
    <row r="1043270" customFormat="1" x14ac:dyDescent="0.15"/>
    <row r="1043271" customFormat="1" x14ac:dyDescent="0.15"/>
    <row r="1043272" customFormat="1" x14ac:dyDescent="0.15"/>
    <row r="1043273" customFormat="1" x14ac:dyDescent="0.15"/>
    <row r="1043274" customFormat="1" x14ac:dyDescent="0.15"/>
    <row r="1043275" customFormat="1" x14ac:dyDescent="0.15"/>
    <row r="1043276" customFormat="1" x14ac:dyDescent="0.15"/>
    <row r="1043277" customFormat="1" x14ac:dyDescent="0.15"/>
    <row r="1043278" customFormat="1" x14ac:dyDescent="0.15"/>
    <row r="1043279" customFormat="1" x14ac:dyDescent="0.15"/>
    <row r="1043280" customFormat="1" x14ac:dyDescent="0.15"/>
    <row r="1043281" customFormat="1" x14ac:dyDescent="0.15"/>
    <row r="1043282" customFormat="1" x14ac:dyDescent="0.15"/>
    <row r="1043283" customFormat="1" x14ac:dyDescent="0.15"/>
    <row r="1043284" customFormat="1" x14ac:dyDescent="0.15"/>
    <row r="1043285" customFormat="1" x14ac:dyDescent="0.15"/>
    <row r="1043286" customFormat="1" x14ac:dyDescent="0.15"/>
    <row r="1043287" customFormat="1" x14ac:dyDescent="0.15"/>
    <row r="1043288" customFormat="1" x14ac:dyDescent="0.15"/>
    <row r="1043289" customFormat="1" x14ac:dyDescent="0.15"/>
    <row r="1043290" customFormat="1" x14ac:dyDescent="0.15"/>
    <row r="1043291" customFormat="1" x14ac:dyDescent="0.15"/>
    <row r="1043292" customFormat="1" x14ac:dyDescent="0.15"/>
    <row r="1043293" customFormat="1" x14ac:dyDescent="0.15"/>
    <row r="1043294" customFormat="1" x14ac:dyDescent="0.15"/>
    <row r="1043295" customFormat="1" x14ac:dyDescent="0.15"/>
    <row r="1043296" customFormat="1" x14ac:dyDescent="0.15"/>
    <row r="1043297" customFormat="1" x14ac:dyDescent="0.15"/>
    <row r="1043298" customFormat="1" x14ac:dyDescent="0.15"/>
    <row r="1043299" customFormat="1" x14ac:dyDescent="0.15"/>
    <row r="1043300" customFormat="1" x14ac:dyDescent="0.15"/>
    <row r="1043301" customFormat="1" x14ac:dyDescent="0.15"/>
    <row r="1043302" customFormat="1" x14ac:dyDescent="0.15"/>
    <row r="1043303" customFormat="1" x14ac:dyDescent="0.15"/>
    <row r="1043304" customFormat="1" x14ac:dyDescent="0.15"/>
    <row r="1043305" customFormat="1" x14ac:dyDescent="0.15"/>
    <row r="1043306" customFormat="1" x14ac:dyDescent="0.15"/>
    <row r="1043307" customFormat="1" x14ac:dyDescent="0.15"/>
    <row r="1043308" customFormat="1" x14ac:dyDescent="0.15"/>
    <row r="1043309" customFormat="1" x14ac:dyDescent="0.15"/>
    <row r="1043310" customFormat="1" x14ac:dyDescent="0.15"/>
    <row r="1043311" customFormat="1" x14ac:dyDescent="0.15"/>
    <row r="1043312" customFormat="1" x14ac:dyDescent="0.15"/>
    <row r="1043313" customFormat="1" x14ac:dyDescent="0.15"/>
    <row r="1043314" customFormat="1" x14ac:dyDescent="0.15"/>
    <row r="1043315" customFormat="1" x14ac:dyDescent="0.15"/>
    <row r="1043316" customFormat="1" x14ac:dyDescent="0.15"/>
    <row r="1043317" customFormat="1" x14ac:dyDescent="0.15"/>
    <row r="1043318" customFormat="1" x14ac:dyDescent="0.15"/>
    <row r="1043319" customFormat="1" x14ac:dyDescent="0.15"/>
    <row r="1043320" customFormat="1" x14ac:dyDescent="0.15"/>
    <row r="1043321" customFormat="1" x14ac:dyDescent="0.15"/>
    <row r="1043322" customFormat="1" x14ac:dyDescent="0.15"/>
    <row r="1043323" customFormat="1" x14ac:dyDescent="0.15"/>
    <row r="1043324" customFormat="1" x14ac:dyDescent="0.15"/>
    <row r="1043325" customFormat="1" x14ac:dyDescent="0.15"/>
    <row r="1043326" customFormat="1" x14ac:dyDescent="0.15"/>
    <row r="1043327" customFormat="1" x14ac:dyDescent="0.15"/>
    <row r="1043328" customFormat="1" x14ac:dyDescent="0.15"/>
    <row r="1043329" customFormat="1" x14ac:dyDescent="0.15"/>
    <row r="1043330" customFormat="1" x14ac:dyDescent="0.15"/>
    <row r="1043331" customFormat="1" x14ac:dyDescent="0.15"/>
    <row r="1043332" customFormat="1" x14ac:dyDescent="0.15"/>
    <row r="1043333" customFormat="1" x14ac:dyDescent="0.15"/>
    <row r="1043334" customFormat="1" x14ac:dyDescent="0.15"/>
    <row r="1043335" customFormat="1" x14ac:dyDescent="0.15"/>
    <row r="1043336" customFormat="1" x14ac:dyDescent="0.15"/>
    <row r="1043337" customFormat="1" x14ac:dyDescent="0.15"/>
    <row r="1043338" customFormat="1" x14ac:dyDescent="0.15"/>
    <row r="1043339" customFormat="1" x14ac:dyDescent="0.15"/>
    <row r="1043340" customFormat="1" x14ac:dyDescent="0.15"/>
    <row r="1043341" customFormat="1" x14ac:dyDescent="0.15"/>
    <row r="1043342" customFormat="1" x14ac:dyDescent="0.15"/>
    <row r="1043343" customFormat="1" x14ac:dyDescent="0.15"/>
    <row r="1043344" customFormat="1" x14ac:dyDescent="0.15"/>
    <row r="1043345" customFormat="1" x14ac:dyDescent="0.15"/>
    <row r="1043346" customFormat="1" x14ac:dyDescent="0.15"/>
    <row r="1043347" customFormat="1" x14ac:dyDescent="0.15"/>
    <row r="1043348" customFormat="1" x14ac:dyDescent="0.15"/>
    <row r="1043349" customFormat="1" x14ac:dyDescent="0.15"/>
    <row r="1043350" customFormat="1" x14ac:dyDescent="0.15"/>
    <row r="1043351" customFormat="1" x14ac:dyDescent="0.15"/>
    <row r="1043352" customFormat="1" x14ac:dyDescent="0.15"/>
    <row r="1043353" customFormat="1" x14ac:dyDescent="0.15"/>
    <row r="1043354" customFormat="1" x14ac:dyDescent="0.15"/>
    <row r="1043355" customFormat="1" x14ac:dyDescent="0.15"/>
    <row r="1043356" customFormat="1" x14ac:dyDescent="0.15"/>
    <row r="1043357" customFormat="1" x14ac:dyDescent="0.15"/>
    <row r="1043358" customFormat="1" x14ac:dyDescent="0.15"/>
    <row r="1043359" customFormat="1" x14ac:dyDescent="0.15"/>
    <row r="1043360" customFormat="1" x14ac:dyDescent="0.15"/>
    <row r="1043361" customFormat="1" x14ac:dyDescent="0.15"/>
    <row r="1043362" customFormat="1" x14ac:dyDescent="0.15"/>
    <row r="1043363" customFormat="1" x14ac:dyDescent="0.15"/>
    <row r="1043364" customFormat="1" x14ac:dyDescent="0.15"/>
    <row r="1043365" customFormat="1" x14ac:dyDescent="0.15"/>
    <row r="1043366" customFormat="1" x14ac:dyDescent="0.15"/>
    <row r="1043367" customFormat="1" x14ac:dyDescent="0.15"/>
    <row r="1043368" customFormat="1" x14ac:dyDescent="0.15"/>
    <row r="1043369" customFormat="1" x14ac:dyDescent="0.15"/>
    <row r="1043370" customFormat="1" x14ac:dyDescent="0.15"/>
    <row r="1043371" customFormat="1" x14ac:dyDescent="0.15"/>
    <row r="1043372" customFormat="1" x14ac:dyDescent="0.15"/>
    <row r="1043373" customFormat="1" x14ac:dyDescent="0.15"/>
    <row r="1043374" customFormat="1" x14ac:dyDescent="0.15"/>
    <row r="1043375" customFormat="1" x14ac:dyDescent="0.15"/>
    <row r="1043376" customFormat="1" x14ac:dyDescent="0.15"/>
    <row r="1043377" customFormat="1" x14ac:dyDescent="0.15"/>
    <row r="1043378" customFormat="1" x14ac:dyDescent="0.15"/>
    <row r="1043379" customFormat="1" x14ac:dyDescent="0.15"/>
    <row r="1043380" customFormat="1" x14ac:dyDescent="0.15"/>
    <row r="1043381" customFormat="1" x14ac:dyDescent="0.15"/>
    <row r="1043382" customFormat="1" x14ac:dyDescent="0.15"/>
    <row r="1043383" customFormat="1" x14ac:dyDescent="0.15"/>
    <row r="1043384" customFormat="1" x14ac:dyDescent="0.15"/>
    <row r="1043385" customFormat="1" x14ac:dyDescent="0.15"/>
    <row r="1043386" customFormat="1" x14ac:dyDescent="0.15"/>
    <row r="1043387" customFormat="1" x14ac:dyDescent="0.15"/>
    <row r="1043388" customFormat="1" x14ac:dyDescent="0.15"/>
    <row r="1043389" customFormat="1" x14ac:dyDescent="0.15"/>
    <row r="1043390" customFormat="1" x14ac:dyDescent="0.15"/>
    <row r="1043391" customFormat="1" x14ac:dyDescent="0.15"/>
    <row r="1043392" customFormat="1" x14ac:dyDescent="0.15"/>
    <row r="1043393" customFormat="1" x14ac:dyDescent="0.15"/>
    <row r="1043394" customFormat="1" x14ac:dyDescent="0.15"/>
    <row r="1043395" customFormat="1" x14ac:dyDescent="0.15"/>
    <row r="1043396" customFormat="1" x14ac:dyDescent="0.15"/>
    <row r="1043397" customFormat="1" x14ac:dyDescent="0.15"/>
    <row r="1043398" customFormat="1" x14ac:dyDescent="0.15"/>
    <row r="1043399" customFormat="1" x14ac:dyDescent="0.15"/>
    <row r="1043400" customFormat="1" x14ac:dyDescent="0.15"/>
    <row r="1043401" customFormat="1" x14ac:dyDescent="0.15"/>
    <row r="1043402" customFormat="1" x14ac:dyDescent="0.15"/>
    <row r="1043403" customFormat="1" x14ac:dyDescent="0.15"/>
    <row r="1043404" customFormat="1" x14ac:dyDescent="0.15"/>
    <row r="1043405" customFormat="1" x14ac:dyDescent="0.15"/>
    <row r="1043406" customFormat="1" x14ac:dyDescent="0.15"/>
    <row r="1043407" customFormat="1" x14ac:dyDescent="0.15"/>
    <row r="1043408" customFormat="1" x14ac:dyDescent="0.15"/>
    <row r="1043409" customFormat="1" x14ac:dyDescent="0.15"/>
    <row r="1043410" customFormat="1" x14ac:dyDescent="0.15"/>
    <row r="1043411" customFormat="1" x14ac:dyDescent="0.15"/>
    <row r="1043412" customFormat="1" x14ac:dyDescent="0.15"/>
    <row r="1043413" customFormat="1" x14ac:dyDescent="0.15"/>
    <row r="1043414" customFormat="1" x14ac:dyDescent="0.15"/>
    <row r="1043415" customFormat="1" x14ac:dyDescent="0.15"/>
    <row r="1043416" customFormat="1" x14ac:dyDescent="0.15"/>
    <row r="1043417" customFormat="1" x14ac:dyDescent="0.15"/>
    <row r="1043418" customFormat="1" x14ac:dyDescent="0.15"/>
    <row r="1043419" customFormat="1" x14ac:dyDescent="0.15"/>
    <row r="1043420" customFormat="1" x14ac:dyDescent="0.15"/>
    <row r="1043421" customFormat="1" x14ac:dyDescent="0.15"/>
    <row r="1043422" customFormat="1" x14ac:dyDescent="0.15"/>
    <row r="1043423" customFormat="1" x14ac:dyDescent="0.15"/>
    <row r="1043424" customFormat="1" x14ac:dyDescent="0.15"/>
    <row r="1043425" customFormat="1" x14ac:dyDescent="0.15"/>
    <row r="1043426" customFormat="1" x14ac:dyDescent="0.15"/>
    <row r="1043427" customFormat="1" x14ac:dyDescent="0.15"/>
    <row r="1043428" customFormat="1" x14ac:dyDescent="0.15"/>
    <row r="1043429" customFormat="1" x14ac:dyDescent="0.15"/>
    <row r="1043430" customFormat="1" x14ac:dyDescent="0.15"/>
    <row r="1043431" customFormat="1" x14ac:dyDescent="0.15"/>
    <row r="1043432" customFormat="1" x14ac:dyDescent="0.15"/>
    <row r="1043433" customFormat="1" x14ac:dyDescent="0.15"/>
    <row r="1043434" customFormat="1" x14ac:dyDescent="0.15"/>
    <row r="1043435" customFormat="1" x14ac:dyDescent="0.15"/>
    <row r="1043436" customFormat="1" x14ac:dyDescent="0.15"/>
    <row r="1043437" customFormat="1" x14ac:dyDescent="0.15"/>
    <row r="1043438" customFormat="1" x14ac:dyDescent="0.15"/>
    <row r="1043439" customFormat="1" x14ac:dyDescent="0.15"/>
    <row r="1043440" customFormat="1" x14ac:dyDescent="0.15"/>
    <row r="1043441" customFormat="1" x14ac:dyDescent="0.15"/>
    <row r="1043442" customFormat="1" x14ac:dyDescent="0.15"/>
    <row r="1043443" customFormat="1" x14ac:dyDescent="0.15"/>
    <row r="1043444" customFormat="1" x14ac:dyDescent="0.15"/>
    <row r="1043445" customFormat="1" x14ac:dyDescent="0.15"/>
    <row r="1043446" customFormat="1" x14ac:dyDescent="0.15"/>
    <row r="1043447" customFormat="1" x14ac:dyDescent="0.15"/>
    <row r="1043448" customFormat="1" x14ac:dyDescent="0.15"/>
    <row r="1043449" customFormat="1" x14ac:dyDescent="0.15"/>
    <row r="1043450" customFormat="1" x14ac:dyDescent="0.15"/>
    <row r="1043451" customFormat="1" x14ac:dyDescent="0.15"/>
    <row r="1043452" customFormat="1" x14ac:dyDescent="0.15"/>
    <row r="1043453" customFormat="1" x14ac:dyDescent="0.15"/>
    <row r="1043454" customFormat="1" x14ac:dyDescent="0.15"/>
    <row r="1043455" customFormat="1" x14ac:dyDescent="0.15"/>
    <row r="1043456" customFormat="1" x14ac:dyDescent="0.15"/>
    <row r="1043457" customFormat="1" x14ac:dyDescent="0.15"/>
    <row r="1043458" customFormat="1" x14ac:dyDescent="0.15"/>
    <row r="1043459" customFormat="1" x14ac:dyDescent="0.15"/>
    <row r="1043460" customFormat="1" x14ac:dyDescent="0.15"/>
    <row r="1043461" customFormat="1" x14ac:dyDescent="0.15"/>
    <row r="1043462" customFormat="1" x14ac:dyDescent="0.15"/>
    <row r="1043463" customFormat="1" x14ac:dyDescent="0.15"/>
    <row r="1043464" customFormat="1" x14ac:dyDescent="0.15"/>
    <row r="1043465" customFormat="1" x14ac:dyDescent="0.15"/>
    <row r="1043466" customFormat="1" x14ac:dyDescent="0.15"/>
    <row r="1043467" customFormat="1" x14ac:dyDescent="0.15"/>
    <row r="1043468" customFormat="1" x14ac:dyDescent="0.15"/>
    <row r="1043469" customFormat="1" x14ac:dyDescent="0.15"/>
    <row r="1043470" customFormat="1" x14ac:dyDescent="0.15"/>
    <row r="1043471" customFormat="1" x14ac:dyDescent="0.15"/>
    <row r="1043472" customFormat="1" x14ac:dyDescent="0.15"/>
    <row r="1043473" customFormat="1" x14ac:dyDescent="0.15"/>
    <row r="1043474" customFormat="1" x14ac:dyDescent="0.15"/>
    <row r="1043475" customFormat="1" x14ac:dyDescent="0.15"/>
    <row r="1043476" customFormat="1" x14ac:dyDescent="0.15"/>
    <row r="1043477" customFormat="1" x14ac:dyDescent="0.15"/>
    <row r="1043478" customFormat="1" x14ac:dyDescent="0.15"/>
    <row r="1043479" customFormat="1" x14ac:dyDescent="0.15"/>
    <row r="1043480" customFormat="1" x14ac:dyDescent="0.15"/>
    <row r="1043481" customFormat="1" x14ac:dyDescent="0.15"/>
    <row r="1043482" customFormat="1" x14ac:dyDescent="0.15"/>
    <row r="1043483" customFormat="1" x14ac:dyDescent="0.15"/>
    <row r="1043484" customFormat="1" x14ac:dyDescent="0.15"/>
    <row r="1043485" customFormat="1" x14ac:dyDescent="0.15"/>
    <row r="1043486" customFormat="1" x14ac:dyDescent="0.15"/>
    <row r="1043487" customFormat="1" x14ac:dyDescent="0.15"/>
    <row r="1043488" customFormat="1" x14ac:dyDescent="0.15"/>
    <row r="1043489" customFormat="1" x14ac:dyDescent="0.15"/>
    <row r="1043490" customFormat="1" x14ac:dyDescent="0.15"/>
    <row r="1043491" customFormat="1" x14ac:dyDescent="0.15"/>
    <row r="1043492" customFormat="1" x14ac:dyDescent="0.15"/>
    <row r="1043493" customFormat="1" x14ac:dyDescent="0.15"/>
    <row r="1043494" customFormat="1" x14ac:dyDescent="0.15"/>
    <row r="1043495" customFormat="1" x14ac:dyDescent="0.15"/>
    <row r="1043496" customFormat="1" x14ac:dyDescent="0.15"/>
    <row r="1043497" customFormat="1" x14ac:dyDescent="0.15"/>
    <row r="1043498" customFormat="1" x14ac:dyDescent="0.15"/>
    <row r="1043499" customFormat="1" x14ac:dyDescent="0.15"/>
    <row r="1043500" customFormat="1" x14ac:dyDescent="0.15"/>
    <row r="1043501" customFormat="1" x14ac:dyDescent="0.15"/>
    <row r="1043502" customFormat="1" x14ac:dyDescent="0.15"/>
    <row r="1043503" customFormat="1" x14ac:dyDescent="0.15"/>
    <row r="1043504" customFormat="1" x14ac:dyDescent="0.15"/>
    <row r="1043505" customFormat="1" x14ac:dyDescent="0.15"/>
    <row r="1043506" customFormat="1" x14ac:dyDescent="0.15"/>
    <row r="1043507" customFormat="1" x14ac:dyDescent="0.15"/>
    <row r="1043508" customFormat="1" x14ac:dyDescent="0.15"/>
    <row r="1043509" customFormat="1" x14ac:dyDescent="0.15"/>
    <row r="1043510" customFormat="1" x14ac:dyDescent="0.15"/>
    <row r="1043511" customFormat="1" x14ac:dyDescent="0.15"/>
    <row r="1043512" customFormat="1" x14ac:dyDescent="0.15"/>
    <row r="1043513" customFormat="1" x14ac:dyDescent="0.15"/>
    <row r="1043514" customFormat="1" x14ac:dyDescent="0.15"/>
    <row r="1043515" customFormat="1" x14ac:dyDescent="0.15"/>
    <row r="1043516" customFormat="1" x14ac:dyDescent="0.15"/>
    <row r="1043517" customFormat="1" x14ac:dyDescent="0.15"/>
    <row r="1043518" customFormat="1" x14ac:dyDescent="0.15"/>
    <row r="1043519" customFormat="1" x14ac:dyDescent="0.15"/>
    <row r="1043520" customFormat="1" x14ac:dyDescent="0.15"/>
    <row r="1043521" customFormat="1" x14ac:dyDescent="0.15"/>
    <row r="1043522" customFormat="1" x14ac:dyDescent="0.15"/>
    <row r="1043523" customFormat="1" x14ac:dyDescent="0.15"/>
    <row r="1043524" customFormat="1" x14ac:dyDescent="0.15"/>
    <row r="1043525" customFormat="1" x14ac:dyDescent="0.15"/>
    <row r="1043526" customFormat="1" x14ac:dyDescent="0.15"/>
    <row r="1043527" customFormat="1" x14ac:dyDescent="0.15"/>
    <row r="1043528" customFormat="1" x14ac:dyDescent="0.15"/>
    <row r="1043529" customFormat="1" x14ac:dyDescent="0.15"/>
    <row r="1043530" customFormat="1" x14ac:dyDescent="0.15"/>
    <row r="1043531" customFormat="1" x14ac:dyDescent="0.15"/>
    <row r="1043532" customFormat="1" x14ac:dyDescent="0.15"/>
    <row r="1043533" customFormat="1" x14ac:dyDescent="0.15"/>
    <row r="1043534" customFormat="1" x14ac:dyDescent="0.15"/>
    <row r="1043535" customFormat="1" x14ac:dyDescent="0.15"/>
    <row r="1043536" customFormat="1" x14ac:dyDescent="0.15"/>
    <row r="1043537" customFormat="1" x14ac:dyDescent="0.15"/>
    <row r="1043538" customFormat="1" x14ac:dyDescent="0.15"/>
    <row r="1043539" customFormat="1" x14ac:dyDescent="0.15"/>
    <row r="1043540" customFormat="1" x14ac:dyDescent="0.15"/>
    <row r="1043541" customFormat="1" x14ac:dyDescent="0.15"/>
    <row r="1043542" customFormat="1" x14ac:dyDescent="0.15"/>
    <row r="1043543" customFormat="1" x14ac:dyDescent="0.15"/>
    <row r="1043544" customFormat="1" x14ac:dyDescent="0.15"/>
    <row r="1043545" customFormat="1" x14ac:dyDescent="0.15"/>
    <row r="1043546" customFormat="1" x14ac:dyDescent="0.15"/>
    <row r="1043547" customFormat="1" x14ac:dyDescent="0.15"/>
    <row r="1043548" customFormat="1" x14ac:dyDescent="0.15"/>
    <row r="1043549" customFormat="1" x14ac:dyDescent="0.15"/>
    <row r="1043550" customFormat="1" x14ac:dyDescent="0.15"/>
    <row r="1043551" customFormat="1" x14ac:dyDescent="0.15"/>
    <row r="1043552" customFormat="1" x14ac:dyDescent="0.15"/>
    <row r="1043553" customFormat="1" x14ac:dyDescent="0.15"/>
    <row r="1043554" customFormat="1" x14ac:dyDescent="0.15"/>
    <row r="1043555" customFormat="1" x14ac:dyDescent="0.15"/>
    <row r="1043556" customFormat="1" x14ac:dyDescent="0.15"/>
    <row r="1043557" customFormat="1" x14ac:dyDescent="0.15"/>
    <row r="1043558" customFormat="1" x14ac:dyDescent="0.15"/>
    <row r="1043559" customFormat="1" x14ac:dyDescent="0.15"/>
    <row r="1043560" customFormat="1" x14ac:dyDescent="0.15"/>
    <row r="1043561" customFormat="1" x14ac:dyDescent="0.15"/>
    <row r="1043562" customFormat="1" x14ac:dyDescent="0.15"/>
    <row r="1043563" customFormat="1" x14ac:dyDescent="0.15"/>
    <row r="1043564" customFormat="1" x14ac:dyDescent="0.15"/>
    <row r="1043565" customFormat="1" x14ac:dyDescent="0.15"/>
    <row r="1043566" customFormat="1" x14ac:dyDescent="0.15"/>
    <row r="1043567" customFormat="1" x14ac:dyDescent="0.15"/>
    <row r="1043568" customFormat="1" x14ac:dyDescent="0.15"/>
    <row r="1043569" customFormat="1" x14ac:dyDescent="0.15"/>
    <row r="1043570" customFormat="1" x14ac:dyDescent="0.15"/>
    <row r="1043571" customFormat="1" x14ac:dyDescent="0.15"/>
    <row r="1043572" customFormat="1" x14ac:dyDescent="0.15"/>
    <row r="1043573" customFormat="1" x14ac:dyDescent="0.15"/>
    <row r="1043574" customFormat="1" x14ac:dyDescent="0.15"/>
    <row r="1043575" customFormat="1" x14ac:dyDescent="0.15"/>
    <row r="1043576" customFormat="1" x14ac:dyDescent="0.15"/>
    <row r="1043577" customFormat="1" x14ac:dyDescent="0.15"/>
    <row r="1043578" customFormat="1" x14ac:dyDescent="0.15"/>
    <row r="1043579" customFormat="1" x14ac:dyDescent="0.15"/>
    <row r="1043580" customFormat="1" x14ac:dyDescent="0.15"/>
    <row r="1043581" customFormat="1" x14ac:dyDescent="0.15"/>
    <row r="1043582" customFormat="1" x14ac:dyDescent="0.15"/>
    <row r="1043583" customFormat="1" x14ac:dyDescent="0.15"/>
    <row r="1043584" customFormat="1" x14ac:dyDescent="0.15"/>
    <row r="1043585" customFormat="1" x14ac:dyDescent="0.15"/>
    <row r="1043586" customFormat="1" x14ac:dyDescent="0.15"/>
    <row r="1043587" customFormat="1" x14ac:dyDescent="0.15"/>
    <row r="1043588" customFormat="1" x14ac:dyDescent="0.15"/>
    <row r="1043589" customFormat="1" x14ac:dyDescent="0.15"/>
    <row r="1043590" customFormat="1" x14ac:dyDescent="0.15"/>
    <row r="1043591" customFormat="1" x14ac:dyDescent="0.15"/>
    <row r="1043592" customFormat="1" x14ac:dyDescent="0.15"/>
    <row r="1043593" customFormat="1" x14ac:dyDescent="0.15"/>
    <row r="1043594" customFormat="1" x14ac:dyDescent="0.15"/>
    <row r="1043595" customFormat="1" x14ac:dyDescent="0.15"/>
    <row r="1043596" customFormat="1" x14ac:dyDescent="0.15"/>
    <row r="1043597" customFormat="1" x14ac:dyDescent="0.15"/>
    <row r="1043598" customFormat="1" x14ac:dyDescent="0.15"/>
    <row r="1043599" customFormat="1" x14ac:dyDescent="0.15"/>
    <row r="1043600" customFormat="1" x14ac:dyDescent="0.15"/>
    <row r="1043601" customFormat="1" x14ac:dyDescent="0.15"/>
    <row r="1043602" customFormat="1" x14ac:dyDescent="0.15"/>
    <row r="1043603" customFormat="1" x14ac:dyDescent="0.15"/>
    <row r="1043604" customFormat="1" x14ac:dyDescent="0.15"/>
    <row r="1043605" customFormat="1" x14ac:dyDescent="0.15"/>
    <row r="1043606" customFormat="1" x14ac:dyDescent="0.15"/>
    <row r="1043607" customFormat="1" x14ac:dyDescent="0.15"/>
    <row r="1043608" customFormat="1" x14ac:dyDescent="0.15"/>
    <row r="1043609" customFormat="1" x14ac:dyDescent="0.15"/>
    <row r="1043610" customFormat="1" x14ac:dyDescent="0.15"/>
    <row r="1043611" customFormat="1" x14ac:dyDescent="0.15"/>
    <row r="1043612" customFormat="1" x14ac:dyDescent="0.15"/>
    <row r="1043613" customFormat="1" x14ac:dyDescent="0.15"/>
    <row r="1043614" customFormat="1" x14ac:dyDescent="0.15"/>
    <row r="1043615" customFormat="1" x14ac:dyDescent="0.15"/>
    <row r="1043616" customFormat="1" x14ac:dyDescent="0.15"/>
    <row r="1043617" customFormat="1" x14ac:dyDescent="0.15"/>
    <row r="1043618" customFormat="1" x14ac:dyDescent="0.15"/>
    <row r="1043619" customFormat="1" x14ac:dyDescent="0.15"/>
    <row r="1043620" customFormat="1" x14ac:dyDescent="0.15"/>
    <row r="1043621" customFormat="1" x14ac:dyDescent="0.15"/>
    <row r="1043622" customFormat="1" x14ac:dyDescent="0.15"/>
    <row r="1043623" customFormat="1" x14ac:dyDescent="0.15"/>
    <row r="1043624" customFormat="1" x14ac:dyDescent="0.15"/>
    <row r="1043625" customFormat="1" x14ac:dyDescent="0.15"/>
    <row r="1043626" customFormat="1" x14ac:dyDescent="0.15"/>
    <row r="1043627" customFormat="1" x14ac:dyDescent="0.15"/>
    <row r="1043628" customFormat="1" x14ac:dyDescent="0.15"/>
    <row r="1043629" customFormat="1" x14ac:dyDescent="0.15"/>
    <row r="1043630" customFormat="1" x14ac:dyDescent="0.15"/>
    <row r="1043631" customFormat="1" x14ac:dyDescent="0.15"/>
    <row r="1043632" customFormat="1" x14ac:dyDescent="0.15"/>
    <row r="1043633" customFormat="1" x14ac:dyDescent="0.15"/>
    <row r="1043634" customFormat="1" x14ac:dyDescent="0.15"/>
    <row r="1043635" customFormat="1" x14ac:dyDescent="0.15"/>
    <row r="1043636" customFormat="1" x14ac:dyDescent="0.15"/>
    <row r="1043637" customFormat="1" x14ac:dyDescent="0.15"/>
    <row r="1043638" customFormat="1" x14ac:dyDescent="0.15"/>
    <row r="1043639" customFormat="1" x14ac:dyDescent="0.15"/>
    <row r="1043640" customFormat="1" x14ac:dyDescent="0.15"/>
    <row r="1043641" customFormat="1" x14ac:dyDescent="0.15"/>
    <row r="1043642" customFormat="1" x14ac:dyDescent="0.15"/>
    <row r="1043643" customFormat="1" x14ac:dyDescent="0.15"/>
    <row r="1043644" customFormat="1" x14ac:dyDescent="0.15"/>
    <row r="1043645" customFormat="1" x14ac:dyDescent="0.15"/>
    <row r="1043646" customFormat="1" x14ac:dyDescent="0.15"/>
    <row r="1043647" customFormat="1" x14ac:dyDescent="0.15"/>
    <row r="1043648" customFormat="1" x14ac:dyDescent="0.15"/>
    <row r="1043649" customFormat="1" x14ac:dyDescent="0.15"/>
    <row r="1043650" customFormat="1" x14ac:dyDescent="0.15"/>
    <row r="1043651" customFormat="1" x14ac:dyDescent="0.15"/>
    <row r="1043652" customFormat="1" x14ac:dyDescent="0.15"/>
    <row r="1043653" customFormat="1" x14ac:dyDescent="0.15"/>
    <row r="1043654" customFormat="1" x14ac:dyDescent="0.15"/>
    <row r="1043655" customFormat="1" x14ac:dyDescent="0.15"/>
    <row r="1043656" customFormat="1" x14ac:dyDescent="0.15"/>
    <row r="1043657" customFormat="1" x14ac:dyDescent="0.15"/>
    <row r="1043658" customFormat="1" x14ac:dyDescent="0.15"/>
    <row r="1043659" customFormat="1" x14ac:dyDescent="0.15"/>
    <row r="1043660" customFormat="1" x14ac:dyDescent="0.15"/>
    <row r="1043661" customFormat="1" x14ac:dyDescent="0.15"/>
    <row r="1043662" customFormat="1" x14ac:dyDescent="0.15"/>
    <row r="1043663" customFormat="1" x14ac:dyDescent="0.15"/>
    <row r="1043664" customFormat="1" x14ac:dyDescent="0.15"/>
    <row r="1043665" customFormat="1" x14ac:dyDescent="0.15"/>
    <row r="1043666" customFormat="1" x14ac:dyDescent="0.15"/>
    <row r="1043667" customFormat="1" x14ac:dyDescent="0.15"/>
    <row r="1043668" customFormat="1" x14ac:dyDescent="0.15"/>
    <row r="1043669" customFormat="1" x14ac:dyDescent="0.15"/>
    <row r="1043670" customFormat="1" x14ac:dyDescent="0.15"/>
    <row r="1043671" customFormat="1" x14ac:dyDescent="0.15"/>
    <row r="1043672" customFormat="1" x14ac:dyDescent="0.15"/>
    <row r="1043673" customFormat="1" x14ac:dyDescent="0.15"/>
    <row r="1043674" customFormat="1" x14ac:dyDescent="0.15"/>
    <row r="1043675" customFormat="1" x14ac:dyDescent="0.15"/>
    <row r="1043676" customFormat="1" x14ac:dyDescent="0.15"/>
    <row r="1043677" customFormat="1" x14ac:dyDescent="0.15"/>
    <row r="1043678" customFormat="1" x14ac:dyDescent="0.15"/>
    <row r="1043679" customFormat="1" x14ac:dyDescent="0.15"/>
    <row r="1043680" customFormat="1" x14ac:dyDescent="0.15"/>
    <row r="1043681" customFormat="1" x14ac:dyDescent="0.15"/>
    <row r="1043682" customFormat="1" x14ac:dyDescent="0.15"/>
    <row r="1043683" customFormat="1" x14ac:dyDescent="0.15"/>
    <row r="1043684" customFormat="1" x14ac:dyDescent="0.15"/>
    <row r="1043685" customFormat="1" x14ac:dyDescent="0.15"/>
    <row r="1043686" customFormat="1" x14ac:dyDescent="0.15"/>
    <row r="1043687" customFormat="1" x14ac:dyDescent="0.15"/>
    <row r="1043688" customFormat="1" x14ac:dyDescent="0.15"/>
    <row r="1043689" customFormat="1" x14ac:dyDescent="0.15"/>
    <row r="1043690" customFormat="1" x14ac:dyDescent="0.15"/>
    <row r="1043691" customFormat="1" x14ac:dyDescent="0.15"/>
    <row r="1043692" customFormat="1" x14ac:dyDescent="0.15"/>
    <row r="1043693" customFormat="1" x14ac:dyDescent="0.15"/>
    <row r="1043694" customFormat="1" x14ac:dyDescent="0.15"/>
    <row r="1043695" customFormat="1" x14ac:dyDescent="0.15"/>
    <row r="1043696" customFormat="1" x14ac:dyDescent="0.15"/>
    <row r="1043697" customFormat="1" x14ac:dyDescent="0.15"/>
    <row r="1043698" customFormat="1" x14ac:dyDescent="0.15"/>
    <row r="1043699" customFormat="1" x14ac:dyDescent="0.15"/>
    <row r="1043700" customFormat="1" x14ac:dyDescent="0.15"/>
    <row r="1043701" customFormat="1" x14ac:dyDescent="0.15"/>
    <row r="1043702" customFormat="1" x14ac:dyDescent="0.15"/>
    <row r="1043703" customFormat="1" x14ac:dyDescent="0.15"/>
    <row r="1043704" customFormat="1" x14ac:dyDescent="0.15"/>
    <row r="1043705" customFormat="1" x14ac:dyDescent="0.15"/>
    <row r="1043706" customFormat="1" x14ac:dyDescent="0.15"/>
    <row r="1043707" customFormat="1" x14ac:dyDescent="0.15"/>
    <row r="1043708" customFormat="1" x14ac:dyDescent="0.15"/>
    <row r="1043709" customFormat="1" x14ac:dyDescent="0.15"/>
    <row r="1043710" customFormat="1" x14ac:dyDescent="0.15"/>
    <row r="1043711" customFormat="1" x14ac:dyDescent="0.15"/>
    <row r="1043712" customFormat="1" x14ac:dyDescent="0.15"/>
    <row r="1043713" customFormat="1" x14ac:dyDescent="0.15"/>
    <row r="1043714" customFormat="1" x14ac:dyDescent="0.15"/>
    <row r="1043715" customFormat="1" x14ac:dyDescent="0.15"/>
    <row r="1043716" customFormat="1" x14ac:dyDescent="0.15"/>
    <row r="1043717" customFormat="1" x14ac:dyDescent="0.15"/>
    <row r="1043718" customFormat="1" x14ac:dyDescent="0.15"/>
    <row r="1043719" customFormat="1" x14ac:dyDescent="0.15"/>
    <row r="1043720" customFormat="1" x14ac:dyDescent="0.15"/>
    <row r="1043721" customFormat="1" x14ac:dyDescent="0.15"/>
    <row r="1043722" customFormat="1" x14ac:dyDescent="0.15"/>
    <row r="1043723" customFormat="1" x14ac:dyDescent="0.15"/>
    <row r="1043724" customFormat="1" x14ac:dyDescent="0.15"/>
    <row r="1043725" customFormat="1" x14ac:dyDescent="0.15"/>
    <row r="1043726" customFormat="1" x14ac:dyDescent="0.15"/>
    <row r="1043727" customFormat="1" x14ac:dyDescent="0.15"/>
    <row r="1043728" customFormat="1" x14ac:dyDescent="0.15"/>
    <row r="1043729" customFormat="1" x14ac:dyDescent="0.15"/>
    <row r="1043730" customFormat="1" x14ac:dyDescent="0.15"/>
    <row r="1043731" customFormat="1" x14ac:dyDescent="0.15"/>
    <row r="1043732" customFormat="1" x14ac:dyDescent="0.15"/>
    <row r="1043733" customFormat="1" x14ac:dyDescent="0.15"/>
    <row r="1043734" customFormat="1" x14ac:dyDescent="0.15"/>
    <row r="1043735" customFormat="1" x14ac:dyDescent="0.15"/>
    <row r="1043736" customFormat="1" x14ac:dyDescent="0.15"/>
    <row r="1043737" customFormat="1" x14ac:dyDescent="0.15"/>
    <row r="1043738" customFormat="1" x14ac:dyDescent="0.15"/>
    <row r="1043739" customFormat="1" x14ac:dyDescent="0.15"/>
    <row r="1043740" customFormat="1" x14ac:dyDescent="0.15"/>
    <row r="1043741" customFormat="1" x14ac:dyDescent="0.15"/>
    <row r="1043742" customFormat="1" x14ac:dyDescent="0.15"/>
    <row r="1043743" customFormat="1" x14ac:dyDescent="0.15"/>
    <row r="1043744" customFormat="1" x14ac:dyDescent="0.15"/>
    <row r="1043745" customFormat="1" x14ac:dyDescent="0.15"/>
    <row r="1043746" customFormat="1" x14ac:dyDescent="0.15"/>
    <row r="1043747" customFormat="1" x14ac:dyDescent="0.15"/>
    <row r="1043748" customFormat="1" x14ac:dyDescent="0.15"/>
    <row r="1043749" customFormat="1" x14ac:dyDescent="0.15"/>
    <row r="1043750" customFormat="1" x14ac:dyDescent="0.15"/>
    <row r="1043751" customFormat="1" x14ac:dyDescent="0.15"/>
    <row r="1043752" customFormat="1" x14ac:dyDescent="0.15"/>
    <row r="1043753" customFormat="1" x14ac:dyDescent="0.15"/>
    <row r="1043754" customFormat="1" x14ac:dyDescent="0.15"/>
    <row r="1043755" customFormat="1" x14ac:dyDescent="0.15"/>
    <row r="1043756" customFormat="1" x14ac:dyDescent="0.15"/>
    <row r="1043757" customFormat="1" x14ac:dyDescent="0.15"/>
    <row r="1043758" customFormat="1" x14ac:dyDescent="0.15"/>
    <row r="1043759" customFormat="1" x14ac:dyDescent="0.15"/>
    <row r="1043760" customFormat="1" x14ac:dyDescent="0.15"/>
    <row r="1043761" customFormat="1" x14ac:dyDescent="0.15"/>
    <row r="1043762" customFormat="1" x14ac:dyDescent="0.15"/>
    <row r="1043763" customFormat="1" x14ac:dyDescent="0.15"/>
    <row r="1043764" customFormat="1" x14ac:dyDescent="0.15"/>
    <row r="1043765" customFormat="1" x14ac:dyDescent="0.15"/>
    <row r="1043766" customFormat="1" x14ac:dyDescent="0.15"/>
    <row r="1043767" customFormat="1" x14ac:dyDescent="0.15"/>
    <row r="1043768" customFormat="1" x14ac:dyDescent="0.15"/>
    <row r="1043769" customFormat="1" x14ac:dyDescent="0.15"/>
    <row r="1043770" customFormat="1" x14ac:dyDescent="0.15"/>
    <row r="1043771" customFormat="1" x14ac:dyDescent="0.15"/>
    <row r="1043772" customFormat="1" x14ac:dyDescent="0.15"/>
    <row r="1043773" customFormat="1" x14ac:dyDescent="0.15"/>
    <row r="1043774" customFormat="1" x14ac:dyDescent="0.15"/>
    <row r="1043775" customFormat="1" x14ac:dyDescent="0.15"/>
    <row r="1043776" customFormat="1" x14ac:dyDescent="0.15"/>
    <row r="1043777" customFormat="1" x14ac:dyDescent="0.15"/>
    <row r="1043778" customFormat="1" x14ac:dyDescent="0.15"/>
    <row r="1043779" customFormat="1" x14ac:dyDescent="0.15"/>
    <row r="1043780" customFormat="1" x14ac:dyDescent="0.15"/>
    <row r="1043781" customFormat="1" x14ac:dyDescent="0.15"/>
    <row r="1043782" customFormat="1" x14ac:dyDescent="0.15"/>
    <row r="1043783" customFormat="1" x14ac:dyDescent="0.15"/>
    <row r="1043784" customFormat="1" x14ac:dyDescent="0.15"/>
    <row r="1043785" customFormat="1" x14ac:dyDescent="0.15"/>
    <row r="1043786" customFormat="1" x14ac:dyDescent="0.15"/>
    <row r="1043787" customFormat="1" x14ac:dyDescent="0.15"/>
    <row r="1043788" customFormat="1" x14ac:dyDescent="0.15"/>
    <row r="1043789" customFormat="1" x14ac:dyDescent="0.15"/>
    <row r="1043790" customFormat="1" x14ac:dyDescent="0.15"/>
    <row r="1043791" customFormat="1" x14ac:dyDescent="0.15"/>
    <row r="1043792" customFormat="1" x14ac:dyDescent="0.15"/>
    <row r="1043793" customFormat="1" x14ac:dyDescent="0.15"/>
    <row r="1043794" customFormat="1" x14ac:dyDescent="0.15"/>
    <row r="1043795" customFormat="1" x14ac:dyDescent="0.15"/>
    <row r="1043796" customFormat="1" x14ac:dyDescent="0.15"/>
    <row r="1043797" customFormat="1" x14ac:dyDescent="0.15"/>
    <row r="1043798" customFormat="1" x14ac:dyDescent="0.15"/>
    <row r="1043799" customFormat="1" x14ac:dyDescent="0.15"/>
    <row r="1043800" customFormat="1" x14ac:dyDescent="0.15"/>
    <row r="1043801" customFormat="1" x14ac:dyDescent="0.15"/>
    <row r="1043802" customFormat="1" x14ac:dyDescent="0.15"/>
    <row r="1043803" customFormat="1" x14ac:dyDescent="0.15"/>
    <row r="1043804" customFormat="1" x14ac:dyDescent="0.15"/>
    <row r="1043805" customFormat="1" x14ac:dyDescent="0.15"/>
    <row r="1043806" customFormat="1" x14ac:dyDescent="0.15"/>
    <row r="1043807" customFormat="1" x14ac:dyDescent="0.15"/>
    <row r="1043808" customFormat="1" x14ac:dyDescent="0.15"/>
    <row r="1043809" customFormat="1" x14ac:dyDescent="0.15"/>
    <row r="1043810" customFormat="1" x14ac:dyDescent="0.15"/>
    <row r="1043811" customFormat="1" x14ac:dyDescent="0.15"/>
    <row r="1043812" customFormat="1" x14ac:dyDescent="0.15"/>
    <row r="1043813" customFormat="1" x14ac:dyDescent="0.15"/>
    <row r="1043814" customFormat="1" x14ac:dyDescent="0.15"/>
    <row r="1043815" customFormat="1" x14ac:dyDescent="0.15"/>
    <row r="1043816" customFormat="1" x14ac:dyDescent="0.15"/>
    <row r="1043817" customFormat="1" x14ac:dyDescent="0.15"/>
    <row r="1043818" customFormat="1" x14ac:dyDescent="0.15"/>
    <row r="1043819" customFormat="1" x14ac:dyDescent="0.15"/>
    <row r="1043820" customFormat="1" x14ac:dyDescent="0.15"/>
    <row r="1043821" customFormat="1" x14ac:dyDescent="0.15"/>
    <row r="1043822" customFormat="1" x14ac:dyDescent="0.15"/>
    <row r="1043823" customFormat="1" x14ac:dyDescent="0.15"/>
    <row r="1043824" customFormat="1" x14ac:dyDescent="0.15"/>
    <row r="1043825" customFormat="1" x14ac:dyDescent="0.15"/>
    <row r="1043826" customFormat="1" x14ac:dyDescent="0.15"/>
    <row r="1043827" customFormat="1" x14ac:dyDescent="0.15"/>
    <row r="1043828" customFormat="1" x14ac:dyDescent="0.15"/>
    <row r="1043829" customFormat="1" x14ac:dyDescent="0.15"/>
    <row r="1043830" customFormat="1" x14ac:dyDescent="0.15"/>
    <row r="1043831" customFormat="1" x14ac:dyDescent="0.15"/>
    <row r="1043832" customFormat="1" x14ac:dyDescent="0.15"/>
    <row r="1043833" customFormat="1" x14ac:dyDescent="0.15"/>
    <row r="1043834" customFormat="1" x14ac:dyDescent="0.15"/>
    <row r="1043835" customFormat="1" x14ac:dyDescent="0.15"/>
    <row r="1043836" customFormat="1" x14ac:dyDescent="0.15"/>
    <row r="1043837" customFormat="1" x14ac:dyDescent="0.15"/>
    <row r="1043838" customFormat="1" x14ac:dyDescent="0.15"/>
    <row r="1043839" customFormat="1" x14ac:dyDescent="0.15"/>
    <row r="1043840" customFormat="1" x14ac:dyDescent="0.15"/>
    <row r="1043841" customFormat="1" x14ac:dyDescent="0.15"/>
    <row r="1043842" customFormat="1" x14ac:dyDescent="0.15"/>
    <row r="1043843" customFormat="1" x14ac:dyDescent="0.15"/>
    <row r="1043844" customFormat="1" x14ac:dyDescent="0.15"/>
    <row r="1043845" customFormat="1" x14ac:dyDescent="0.15"/>
    <row r="1043846" customFormat="1" x14ac:dyDescent="0.15"/>
    <row r="1043847" customFormat="1" x14ac:dyDescent="0.15"/>
    <row r="1043848" customFormat="1" x14ac:dyDescent="0.15"/>
    <row r="1043849" customFormat="1" x14ac:dyDescent="0.15"/>
    <row r="1043850" customFormat="1" x14ac:dyDescent="0.15"/>
    <row r="1043851" customFormat="1" x14ac:dyDescent="0.15"/>
    <row r="1043852" customFormat="1" x14ac:dyDescent="0.15"/>
    <row r="1043853" customFormat="1" x14ac:dyDescent="0.15"/>
    <row r="1043854" customFormat="1" x14ac:dyDescent="0.15"/>
    <row r="1043855" customFormat="1" x14ac:dyDescent="0.15"/>
    <row r="1043856" customFormat="1" x14ac:dyDescent="0.15"/>
    <row r="1043857" customFormat="1" x14ac:dyDescent="0.15"/>
    <row r="1043858" customFormat="1" x14ac:dyDescent="0.15"/>
    <row r="1043859" customFormat="1" x14ac:dyDescent="0.15"/>
    <row r="1043860" customFormat="1" x14ac:dyDescent="0.15"/>
    <row r="1043861" customFormat="1" x14ac:dyDescent="0.15"/>
    <row r="1043862" customFormat="1" x14ac:dyDescent="0.15"/>
    <row r="1043863" customFormat="1" x14ac:dyDescent="0.15"/>
    <row r="1043864" customFormat="1" x14ac:dyDescent="0.15"/>
    <row r="1043865" customFormat="1" x14ac:dyDescent="0.15"/>
    <row r="1043866" customFormat="1" x14ac:dyDescent="0.15"/>
    <row r="1043867" customFormat="1" x14ac:dyDescent="0.15"/>
    <row r="1043868" customFormat="1" x14ac:dyDescent="0.15"/>
    <row r="1043869" customFormat="1" x14ac:dyDescent="0.15"/>
    <row r="1043870" customFormat="1" x14ac:dyDescent="0.15"/>
    <row r="1043871" customFormat="1" x14ac:dyDescent="0.15"/>
    <row r="1043872" customFormat="1" x14ac:dyDescent="0.15"/>
    <row r="1043873" customFormat="1" x14ac:dyDescent="0.15"/>
    <row r="1043874" customFormat="1" x14ac:dyDescent="0.15"/>
    <row r="1043875" customFormat="1" x14ac:dyDescent="0.15"/>
    <row r="1043876" customFormat="1" x14ac:dyDescent="0.15"/>
    <row r="1043877" customFormat="1" x14ac:dyDescent="0.15"/>
    <row r="1043878" customFormat="1" x14ac:dyDescent="0.15"/>
    <row r="1043879" customFormat="1" x14ac:dyDescent="0.15"/>
    <row r="1043880" customFormat="1" x14ac:dyDescent="0.15"/>
    <row r="1043881" customFormat="1" x14ac:dyDescent="0.15"/>
    <row r="1043882" customFormat="1" x14ac:dyDescent="0.15"/>
    <row r="1043883" customFormat="1" x14ac:dyDescent="0.15"/>
    <row r="1043884" customFormat="1" x14ac:dyDescent="0.15"/>
    <row r="1043885" customFormat="1" x14ac:dyDescent="0.15"/>
    <row r="1043886" customFormat="1" x14ac:dyDescent="0.15"/>
    <row r="1043887" customFormat="1" x14ac:dyDescent="0.15"/>
    <row r="1043888" customFormat="1" x14ac:dyDescent="0.15"/>
    <row r="1043889" customFormat="1" x14ac:dyDescent="0.15"/>
    <row r="1043890" customFormat="1" x14ac:dyDescent="0.15"/>
    <row r="1043891" customFormat="1" x14ac:dyDescent="0.15"/>
    <row r="1043892" customFormat="1" x14ac:dyDescent="0.15"/>
    <row r="1043893" customFormat="1" x14ac:dyDescent="0.15"/>
    <row r="1043894" customFormat="1" x14ac:dyDescent="0.15"/>
    <row r="1043895" customFormat="1" x14ac:dyDescent="0.15"/>
    <row r="1043896" customFormat="1" x14ac:dyDescent="0.15"/>
    <row r="1043897" customFormat="1" x14ac:dyDescent="0.15"/>
    <row r="1043898" customFormat="1" x14ac:dyDescent="0.15"/>
    <row r="1043899" customFormat="1" x14ac:dyDescent="0.15"/>
    <row r="1043900" customFormat="1" x14ac:dyDescent="0.15"/>
    <row r="1043901" customFormat="1" x14ac:dyDescent="0.15"/>
    <row r="1043902" customFormat="1" x14ac:dyDescent="0.15"/>
    <row r="1043903" customFormat="1" x14ac:dyDescent="0.15"/>
    <row r="1043904" customFormat="1" x14ac:dyDescent="0.15"/>
    <row r="1043905" customFormat="1" x14ac:dyDescent="0.15"/>
    <row r="1043906" customFormat="1" x14ac:dyDescent="0.15"/>
    <row r="1043907" customFormat="1" x14ac:dyDescent="0.15"/>
    <row r="1043908" customFormat="1" x14ac:dyDescent="0.15"/>
    <row r="1043909" customFormat="1" x14ac:dyDescent="0.15"/>
    <row r="1043910" customFormat="1" x14ac:dyDescent="0.15"/>
    <row r="1043911" customFormat="1" x14ac:dyDescent="0.15"/>
    <row r="1043912" customFormat="1" x14ac:dyDescent="0.15"/>
    <row r="1043913" customFormat="1" x14ac:dyDescent="0.15"/>
    <row r="1043914" customFormat="1" x14ac:dyDescent="0.15"/>
    <row r="1043915" customFormat="1" x14ac:dyDescent="0.15"/>
    <row r="1043916" customFormat="1" x14ac:dyDescent="0.15"/>
    <row r="1043917" customFormat="1" x14ac:dyDescent="0.15"/>
    <row r="1043918" customFormat="1" x14ac:dyDescent="0.15"/>
    <row r="1043919" customFormat="1" x14ac:dyDescent="0.15"/>
    <row r="1043920" customFormat="1" x14ac:dyDescent="0.15"/>
    <row r="1043921" customFormat="1" x14ac:dyDescent="0.15"/>
    <row r="1043922" customFormat="1" x14ac:dyDescent="0.15"/>
    <row r="1043923" customFormat="1" x14ac:dyDescent="0.15"/>
    <row r="1043924" customFormat="1" x14ac:dyDescent="0.15"/>
    <row r="1043925" customFormat="1" x14ac:dyDescent="0.15"/>
    <row r="1043926" customFormat="1" x14ac:dyDescent="0.15"/>
    <row r="1043927" customFormat="1" x14ac:dyDescent="0.15"/>
    <row r="1043928" customFormat="1" x14ac:dyDescent="0.15"/>
    <row r="1043929" customFormat="1" x14ac:dyDescent="0.15"/>
    <row r="1043930" customFormat="1" x14ac:dyDescent="0.15"/>
    <row r="1043931" customFormat="1" x14ac:dyDescent="0.15"/>
    <row r="1043932" customFormat="1" x14ac:dyDescent="0.15"/>
    <row r="1043933" customFormat="1" x14ac:dyDescent="0.15"/>
    <row r="1043934" customFormat="1" x14ac:dyDescent="0.15"/>
    <row r="1043935" customFormat="1" x14ac:dyDescent="0.15"/>
    <row r="1043936" customFormat="1" x14ac:dyDescent="0.15"/>
    <row r="1043937" customFormat="1" x14ac:dyDescent="0.15"/>
    <row r="1043938" customFormat="1" x14ac:dyDescent="0.15"/>
    <row r="1043939" customFormat="1" x14ac:dyDescent="0.15"/>
    <row r="1043940" customFormat="1" x14ac:dyDescent="0.15"/>
    <row r="1043941" customFormat="1" x14ac:dyDescent="0.15"/>
    <row r="1043942" customFormat="1" x14ac:dyDescent="0.15"/>
    <row r="1043943" customFormat="1" x14ac:dyDescent="0.15"/>
    <row r="1043944" customFormat="1" x14ac:dyDescent="0.15"/>
    <row r="1043945" customFormat="1" x14ac:dyDescent="0.15"/>
    <row r="1043946" customFormat="1" x14ac:dyDescent="0.15"/>
    <row r="1043947" customFormat="1" x14ac:dyDescent="0.15"/>
    <row r="1043948" customFormat="1" x14ac:dyDescent="0.15"/>
    <row r="1043949" customFormat="1" x14ac:dyDescent="0.15"/>
    <row r="1043950" customFormat="1" x14ac:dyDescent="0.15"/>
    <row r="1043951" customFormat="1" x14ac:dyDescent="0.15"/>
    <row r="1043952" customFormat="1" x14ac:dyDescent="0.15"/>
    <row r="1043953" customFormat="1" x14ac:dyDescent="0.15"/>
    <row r="1043954" customFormat="1" x14ac:dyDescent="0.15"/>
    <row r="1043955" customFormat="1" x14ac:dyDescent="0.15"/>
    <row r="1043956" customFormat="1" x14ac:dyDescent="0.15"/>
    <row r="1043957" customFormat="1" x14ac:dyDescent="0.15"/>
    <row r="1043958" customFormat="1" x14ac:dyDescent="0.15"/>
    <row r="1043959" customFormat="1" x14ac:dyDescent="0.15"/>
    <row r="1043960" customFormat="1" x14ac:dyDescent="0.15"/>
    <row r="1043961" customFormat="1" x14ac:dyDescent="0.15"/>
    <row r="1043962" customFormat="1" x14ac:dyDescent="0.15"/>
    <row r="1043963" customFormat="1" x14ac:dyDescent="0.15"/>
    <row r="1043964" customFormat="1" x14ac:dyDescent="0.15"/>
    <row r="1043965" customFormat="1" x14ac:dyDescent="0.15"/>
    <row r="1043966" customFormat="1" x14ac:dyDescent="0.15"/>
    <row r="1043967" customFormat="1" x14ac:dyDescent="0.15"/>
    <row r="1043968" customFormat="1" x14ac:dyDescent="0.15"/>
    <row r="1043969" customFormat="1" x14ac:dyDescent="0.15"/>
    <row r="1043970" customFormat="1" x14ac:dyDescent="0.15"/>
    <row r="1043971" customFormat="1" x14ac:dyDescent="0.15"/>
    <row r="1043972" customFormat="1" x14ac:dyDescent="0.15"/>
    <row r="1043973" customFormat="1" x14ac:dyDescent="0.15"/>
    <row r="1043974" customFormat="1" x14ac:dyDescent="0.15"/>
    <row r="1043975" customFormat="1" x14ac:dyDescent="0.15"/>
    <row r="1043976" customFormat="1" x14ac:dyDescent="0.15"/>
    <row r="1043977" customFormat="1" x14ac:dyDescent="0.15"/>
    <row r="1043978" customFormat="1" x14ac:dyDescent="0.15"/>
    <row r="1043979" customFormat="1" x14ac:dyDescent="0.15"/>
    <row r="1043980" customFormat="1" x14ac:dyDescent="0.15"/>
    <row r="1043981" customFormat="1" x14ac:dyDescent="0.15"/>
    <row r="1043982" customFormat="1" x14ac:dyDescent="0.15"/>
    <row r="1043983" customFormat="1" x14ac:dyDescent="0.15"/>
    <row r="1043984" customFormat="1" x14ac:dyDescent="0.15"/>
    <row r="1043985" customFormat="1" x14ac:dyDescent="0.15"/>
    <row r="1043986" customFormat="1" x14ac:dyDescent="0.15"/>
    <row r="1043987" customFormat="1" x14ac:dyDescent="0.15"/>
    <row r="1043988" customFormat="1" x14ac:dyDescent="0.15"/>
    <row r="1043989" customFormat="1" x14ac:dyDescent="0.15"/>
    <row r="1043990" customFormat="1" x14ac:dyDescent="0.15"/>
    <row r="1043991" customFormat="1" x14ac:dyDescent="0.15"/>
    <row r="1043992" customFormat="1" x14ac:dyDescent="0.15"/>
    <row r="1043993" customFormat="1" x14ac:dyDescent="0.15"/>
    <row r="1043994" customFormat="1" x14ac:dyDescent="0.15"/>
    <row r="1043995" customFormat="1" x14ac:dyDescent="0.15"/>
    <row r="1043996" customFormat="1" x14ac:dyDescent="0.15"/>
    <row r="1043997" customFormat="1" x14ac:dyDescent="0.15"/>
    <row r="1043998" customFormat="1" x14ac:dyDescent="0.15"/>
    <row r="1043999" customFormat="1" x14ac:dyDescent="0.15"/>
    <row r="1044000" customFormat="1" x14ac:dyDescent="0.15"/>
    <row r="1044001" customFormat="1" x14ac:dyDescent="0.15"/>
    <row r="1044002" customFormat="1" x14ac:dyDescent="0.15"/>
    <row r="1044003" customFormat="1" x14ac:dyDescent="0.15"/>
    <row r="1044004" customFormat="1" x14ac:dyDescent="0.15"/>
    <row r="1044005" customFormat="1" x14ac:dyDescent="0.15"/>
    <row r="1044006" customFormat="1" x14ac:dyDescent="0.15"/>
    <row r="1044007" customFormat="1" x14ac:dyDescent="0.15"/>
    <row r="1044008" customFormat="1" x14ac:dyDescent="0.15"/>
    <row r="1044009" customFormat="1" x14ac:dyDescent="0.15"/>
    <row r="1044010" customFormat="1" x14ac:dyDescent="0.15"/>
    <row r="1044011" customFormat="1" x14ac:dyDescent="0.15"/>
    <row r="1044012" customFormat="1" x14ac:dyDescent="0.15"/>
    <row r="1044013" customFormat="1" x14ac:dyDescent="0.15"/>
    <row r="1044014" customFormat="1" x14ac:dyDescent="0.15"/>
    <row r="1044015" customFormat="1" x14ac:dyDescent="0.15"/>
    <row r="1044016" customFormat="1" x14ac:dyDescent="0.15"/>
    <row r="1044017" customFormat="1" x14ac:dyDescent="0.15"/>
    <row r="1044018" customFormat="1" x14ac:dyDescent="0.15"/>
    <row r="1044019" customFormat="1" x14ac:dyDescent="0.15"/>
    <row r="1044020" customFormat="1" x14ac:dyDescent="0.15"/>
    <row r="1044021" customFormat="1" x14ac:dyDescent="0.15"/>
    <row r="1044022" customFormat="1" x14ac:dyDescent="0.15"/>
    <row r="1044023" customFormat="1" x14ac:dyDescent="0.15"/>
    <row r="1044024" customFormat="1" x14ac:dyDescent="0.15"/>
    <row r="1044025" customFormat="1" x14ac:dyDescent="0.15"/>
    <row r="1044026" customFormat="1" x14ac:dyDescent="0.15"/>
    <row r="1044027" customFormat="1" x14ac:dyDescent="0.15"/>
    <row r="1044028" customFormat="1" x14ac:dyDescent="0.15"/>
    <row r="1044029" customFormat="1" x14ac:dyDescent="0.15"/>
    <row r="1044030" customFormat="1" x14ac:dyDescent="0.15"/>
    <row r="1044031" customFormat="1" x14ac:dyDescent="0.15"/>
    <row r="1044032" customFormat="1" x14ac:dyDescent="0.15"/>
    <row r="1044033" customFormat="1" x14ac:dyDescent="0.15"/>
    <row r="1044034" customFormat="1" x14ac:dyDescent="0.15"/>
    <row r="1044035" customFormat="1" x14ac:dyDescent="0.15"/>
    <row r="1044036" customFormat="1" x14ac:dyDescent="0.15"/>
    <row r="1044037" customFormat="1" x14ac:dyDescent="0.15"/>
    <row r="1044038" customFormat="1" x14ac:dyDescent="0.15"/>
    <row r="1044039" customFormat="1" x14ac:dyDescent="0.15"/>
    <row r="1044040" customFormat="1" x14ac:dyDescent="0.15"/>
    <row r="1044041" customFormat="1" x14ac:dyDescent="0.15"/>
    <row r="1044042" customFormat="1" x14ac:dyDescent="0.15"/>
    <row r="1044043" customFormat="1" x14ac:dyDescent="0.15"/>
    <row r="1044044" customFormat="1" x14ac:dyDescent="0.15"/>
    <row r="1044045" customFormat="1" x14ac:dyDescent="0.15"/>
    <row r="1044046" customFormat="1" x14ac:dyDescent="0.15"/>
    <row r="1044047" customFormat="1" x14ac:dyDescent="0.15"/>
    <row r="1044048" customFormat="1" x14ac:dyDescent="0.15"/>
    <row r="1044049" customFormat="1" x14ac:dyDescent="0.15"/>
    <row r="1044050" customFormat="1" x14ac:dyDescent="0.15"/>
    <row r="1044051" customFormat="1" x14ac:dyDescent="0.15"/>
    <row r="1044052" customFormat="1" x14ac:dyDescent="0.15"/>
    <row r="1044053" customFormat="1" x14ac:dyDescent="0.15"/>
    <row r="1044054" customFormat="1" x14ac:dyDescent="0.15"/>
    <row r="1044055" customFormat="1" x14ac:dyDescent="0.15"/>
    <row r="1044056" customFormat="1" x14ac:dyDescent="0.15"/>
    <row r="1044057" customFormat="1" x14ac:dyDescent="0.15"/>
    <row r="1044058" customFormat="1" x14ac:dyDescent="0.15"/>
    <row r="1044059" customFormat="1" x14ac:dyDescent="0.15"/>
    <row r="1044060" customFormat="1" x14ac:dyDescent="0.15"/>
    <row r="1044061" customFormat="1" x14ac:dyDescent="0.15"/>
    <row r="1044062" customFormat="1" x14ac:dyDescent="0.15"/>
    <row r="1044063" customFormat="1" x14ac:dyDescent="0.15"/>
    <row r="1044064" customFormat="1" x14ac:dyDescent="0.15"/>
    <row r="1044065" customFormat="1" x14ac:dyDescent="0.15"/>
    <row r="1044066" customFormat="1" x14ac:dyDescent="0.15"/>
    <row r="1044067" customFormat="1" x14ac:dyDescent="0.15"/>
    <row r="1044068" customFormat="1" x14ac:dyDescent="0.15"/>
    <row r="1044069" customFormat="1" x14ac:dyDescent="0.15"/>
    <row r="1044070" customFormat="1" x14ac:dyDescent="0.15"/>
    <row r="1044071" customFormat="1" x14ac:dyDescent="0.15"/>
    <row r="1044072" customFormat="1" x14ac:dyDescent="0.15"/>
    <row r="1044073" customFormat="1" x14ac:dyDescent="0.15"/>
    <row r="1044074" customFormat="1" x14ac:dyDescent="0.15"/>
    <row r="1044075" customFormat="1" x14ac:dyDescent="0.15"/>
    <row r="1044076" customFormat="1" x14ac:dyDescent="0.15"/>
    <row r="1044077" customFormat="1" x14ac:dyDescent="0.15"/>
    <row r="1044078" customFormat="1" x14ac:dyDescent="0.15"/>
    <row r="1044079" customFormat="1" x14ac:dyDescent="0.15"/>
    <row r="1044080" customFormat="1" x14ac:dyDescent="0.15"/>
    <row r="1044081" customFormat="1" x14ac:dyDescent="0.15"/>
    <row r="1044082" customFormat="1" x14ac:dyDescent="0.15"/>
    <row r="1044083" customFormat="1" x14ac:dyDescent="0.15"/>
    <row r="1044084" customFormat="1" x14ac:dyDescent="0.15"/>
    <row r="1044085" customFormat="1" x14ac:dyDescent="0.15"/>
    <row r="1044086" customFormat="1" x14ac:dyDescent="0.15"/>
    <row r="1044087" customFormat="1" x14ac:dyDescent="0.15"/>
    <row r="1044088" customFormat="1" x14ac:dyDescent="0.15"/>
    <row r="1044089" customFormat="1" x14ac:dyDescent="0.15"/>
    <row r="1044090" customFormat="1" x14ac:dyDescent="0.15"/>
    <row r="1044091" customFormat="1" x14ac:dyDescent="0.15"/>
    <row r="1044092" customFormat="1" x14ac:dyDescent="0.15"/>
    <row r="1044093" customFormat="1" x14ac:dyDescent="0.15"/>
    <row r="1044094" customFormat="1" x14ac:dyDescent="0.15"/>
    <row r="1044095" customFormat="1" x14ac:dyDescent="0.15"/>
    <row r="1044096" customFormat="1" x14ac:dyDescent="0.15"/>
    <row r="1044097" customFormat="1" x14ac:dyDescent="0.15"/>
    <row r="1044098" customFormat="1" x14ac:dyDescent="0.15"/>
    <row r="1044099" customFormat="1" x14ac:dyDescent="0.15"/>
    <row r="1044100" customFormat="1" x14ac:dyDescent="0.15"/>
    <row r="1044101" customFormat="1" x14ac:dyDescent="0.15"/>
    <row r="1044102" customFormat="1" x14ac:dyDescent="0.15"/>
    <row r="1044103" customFormat="1" x14ac:dyDescent="0.15"/>
    <row r="1044104" customFormat="1" x14ac:dyDescent="0.15"/>
    <row r="1044105" customFormat="1" x14ac:dyDescent="0.15"/>
    <row r="1044106" customFormat="1" x14ac:dyDescent="0.15"/>
    <row r="1044107" customFormat="1" x14ac:dyDescent="0.15"/>
    <row r="1044108" customFormat="1" x14ac:dyDescent="0.15"/>
    <row r="1044109" customFormat="1" x14ac:dyDescent="0.15"/>
    <row r="1044110" customFormat="1" x14ac:dyDescent="0.15"/>
    <row r="1044111" customFormat="1" x14ac:dyDescent="0.15"/>
    <row r="1044112" customFormat="1" x14ac:dyDescent="0.15"/>
    <row r="1044113" customFormat="1" x14ac:dyDescent="0.15"/>
    <row r="1044114" customFormat="1" x14ac:dyDescent="0.15"/>
    <row r="1044115" customFormat="1" x14ac:dyDescent="0.15"/>
    <row r="1044116" customFormat="1" x14ac:dyDescent="0.15"/>
    <row r="1044117" customFormat="1" x14ac:dyDescent="0.15"/>
    <row r="1044118" customFormat="1" x14ac:dyDescent="0.15"/>
    <row r="1044119" customFormat="1" x14ac:dyDescent="0.15"/>
    <row r="1044120" customFormat="1" x14ac:dyDescent="0.15"/>
    <row r="1044121" customFormat="1" x14ac:dyDescent="0.15"/>
    <row r="1044122" customFormat="1" x14ac:dyDescent="0.15"/>
    <row r="1044123" customFormat="1" x14ac:dyDescent="0.15"/>
    <row r="1044124" customFormat="1" x14ac:dyDescent="0.15"/>
    <row r="1044125" customFormat="1" x14ac:dyDescent="0.15"/>
    <row r="1044126" customFormat="1" x14ac:dyDescent="0.15"/>
    <row r="1044127" customFormat="1" x14ac:dyDescent="0.15"/>
    <row r="1044128" customFormat="1" x14ac:dyDescent="0.15"/>
    <row r="1044129" customFormat="1" x14ac:dyDescent="0.15"/>
    <row r="1044130" customFormat="1" x14ac:dyDescent="0.15"/>
    <row r="1044131" customFormat="1" x14ac:dyDescent="0.15"/>
    <row r="1044132" customFormat="1" x14ac:dyDescent="0.15"/>
    <row r="1044133" customFormat="1" x14ac:dyDescent="0.15"/>
    <row r="1044134" customFormat="1" x14ac:dyDescent="0.15"/>
    <row r="1044135" customFormat="1" x14ac:dyDescent="0.15"/>
    <row r="1044136" customFormat="1" x14ac:dyDescent="0.15"/>
    <row r="1044137" customFormat="1" x14ac:dyDescent="0.15"/>
    <row r="1044138" customFormat="1" x14ac:dyDescent="0.15"/>
    <row r="1044139" customFormat="1" x14ac:dyDescent="0.15"/>
    <row r="1044140" customFormat="1" x14ac:dyDescent="0.15"/>
    <row r="1044141" customFormat="1" x14ac:dyDescent="0.15"/>
    <row r="1044142" customFormat="1" x14ac:dyDescent="0.15"/>
    <row r="1044143" customFormat="1" x14ac:dyDescent="0.15"/>
    <row r="1044144" customFormat="1" x14ac:dyDescent="0.15"/>
    <row r="1044145" customFormat="1" x14ac:dyDescent="0.15"/>
    <row r="1044146" customFormat="1" x14ac:dyDescent="0.15"/>
    <row r="1044147" customFormat="1" x14ac:dyDescent="0.15"/>
    <row r="1044148" customFormat="1" x14ac:dyDescent="0.15"/>
    <row r="1044149" customFormat="1" x14ac:dyDescent="0.15"/>
    <row r="1044150" customFormat="1" x14ac:dyDescent="0.15"/>
    <row r="1044151" customFormat="1" x14ac:dyDescent="0.15"/>
    <row r="1044152" customFormat="1" x14ac:dyDescent="0.15"/>
    <row r="1044153" customFormat="1" x14ac:dyDescent="0.15"/>
    <row r="1044154" customFormat="1" x14ac:dyDescent="0.15"/>
    <row r="1044155" customFormat="1" x14ac:dyDescent="0.15"/>
    <row r="1044156" customFormat="1" x14ac:dyDescent="0.15"/>
    <row r="1044157" customFormat="1" x14ac:dyDescent="0.15"/>
    <row r="1044158" customFormat="1" x14ac:dyDescent="0.15"/>
    <row r="1044159" customFormat="1" x14ac:dyDescent="0.15"/>
    <row r="1044160" customFormat="1" x14ac:dyDescent="0.15"/>
    <row r="1044161" customFormat="1" x14ac:dyDescent="0.15"/>
    <row r="1044162" customFormat="1" x14ac:dyDescent="0.15"/>
    <row r="1044163" customFormat="1" x14ac:dyDescent="0.15"/>
    <row r="1044164" customFormat="1" x14ac:dyDescent="0.15"/>
    <row r="1044165" customFormat="1" x14ac:dyDescent="0.15"/>
    <row r="1044166" customFormat="1" x14ac:dyDescent="0.15"/>
    <row r="1044167" customFormat="1" x14ac:dyDescent="0.15"/>
    <row r="1044168" customFormat="1" x14ac:dyDescent="0.15"/>
    <row r="1044169" customFormat="1" x14ac:dyDescent="0.15"/>
    <row r="1044170" customFormat="1" x14ac:dyDescent="0.15"/>
    <row r="1044171" customFormat="1" x14ac:dyDescent="0.15"/>
    <row r="1044172" customFormat="1" x14ac:dyDescent="0.15"/>
    <row r="1044173" customFormat="1" x14ac:dyDescent="0.15"/>
    <row r="1044174" customFormat="1" x14ac:dyDescent="0.15"/>
    <row r="1044175" customFormat="1" x14ac:dyDescent="0.15"/>
    <row r="1044176" customFormat="1" x14ac:dyDescent="0.15"/>
    <row r="1044177" customFormat="1" x14ac:dyDescent="0.15"/>
    <row r="1044178" customFormat="1" x14ac:dyDescent="0.15"/>
    <row r="1044179" customFormat="1" x14ac:dyDescent="0.15"/>
    <row r="1044180" customFormat="1" x14ac:dyDescent="0.15"/>
    <row r="1044181" customFormat="1" x14ac:dyDescent="0.15"/>
    <row r="1044182" customFormat="1" x14ac:dyDescent="0.15"/>
    <row r="1044183" customFormat="1" x14ac:dyDescent="0.15"/>
    <row r="1044184" customFormat="1" x14ac:dyDescent="0.15"/>
    <row r="1044185" customFormat="1" x14ac:dyDescent="0.15"/>
    <row r="1044186" customFormat="1" x14ac:dyDescent="0.15"/>
    <row r="1044187" customFormat="1" x14ac:dyDescent="0.15"/>
    <row r="1044188" customFormat="1" x14ac:dyDescent="0.15"/>
    <row r="1044189" customFormat="1" x14ac:dyDescent="0.15"/>
    <row r="1044190" customFormat="1" x14ac:dyDescent="0.15"/>
    <row r="1044191" customFormat="1" x14ac:dyDescent="0.15"/>
    <row r="1044192" customFormat="1" x14ac:dyDescent="0.15"/>
    <row r="1044193" customFormat="1" x14ac:dyDescent="0.15"/>
    <row r="1044194" customFormat="1" x14ac:dyDescent="0.15"/>
    <row r="1044195" customFormat="1" x14ac:dyDescent="0.15"/>
    <row r="1044196" customFormat="1" x14ac:dyDescent="0.15"/>
    <row r="1044197" customFormat="1" x14ac:dyDescent="0.15"/>
    <row r="1044198" customFormat="1" x14ac:dyDescent="0.15"/>
    <row r="1044199" customFormat="1" x14ac:dyDescent="0.15"/>
    <row r="1044200" customFormat="1" x14ac:dyDescent="0.15"/>
    <row r="1044201" customFormat="1" x14ac:dyDescent="0.15"/>
    <row r="1044202" customFormat="1" x14ac:dyDescent="0.15"/>
    <row r="1044203" customFormat="1" x14ac:dyDescent="0.15"/>
    <row r="1044204" customFormat="1" x14ac:dyDescent="0.15"/>
    <row r="1044205" customFormat="1" x14ac:dyDescent="0.15"/>
    <row r="1044206" customFormat="1" x14ac:dyDescent="0.15"/>
    <row r="1044207" customFormat="1" x14ac:dyDescent="0.15"/>
    <row r="1044208" customFormat="1" x14ac:dyDescent="0.15"/>
    <row r="1044209" customFormat="1" x14ac:dyDescent="0.15"/>
    <row r="1044210" customFormat="1" x14ac:dyDescent="0.15"/>
    <row r="1044211" customFormat="1" x14ac:dyDescent="0.15"/>
    <row r="1044212" customFormat="1" x14ac:dyDescent="0.15"/>
    <row r="1044213" customFormat="1" x14ac:dyDescent="0.15"/>
    <row r="1044214" customFormat="1" x14ac:dyDescent="0.15"/>
    <row r="1044215" customFormat="1" x14ac:dyDescent="0.15"/>
    <row r="1044216" customFormat="1" x14ac:dyDescent="0.15"/>
    <row r="1044217" customFormat="1" x14ac:dyDescent="0.15"/>
    <row r="1044218" customFormat="1" x14ac:dyDescent="0.15"/>
    <row r="1044219" customFormat="1" x14ac:dyDescent="0.15"/>
    <row r="1044220" customFormat="1" x14ac:dyDescent="0.15"/>
    <row r="1044221" customFormat="1" x14ac:dyDescent="0.15"/>
    <row r="1044222" customFormat="1" x14ac:dyDescent="0.15"/>
    <row r="1044223" customFormat="1" x14ac:dyDescent="0.15"/>
    <row r="1044224" customFormat="1" x14ac:dyDescent="0.15"/>
    <row r="1044225" customFormat="1" x14ac:dyDescent="0.15"/>
    <row r="1044226" customFormat="1" x14ac:dyDescent="0.15"/>
    <row r="1044227" customFormat="1" x14ac:dyDescent="0.15"/>
    <row r="1044228" customFormat="1" x14ac:dyDescent="0.15"/>
    <row r="1044229" customFormat="1" x14ac:dyDescent="0.15"/>
    <row r="1044230" customFormat="1" x14ac:dyDescent="0.15"/>
    <row r="1044231" customFormat="1" x14ac:dyDescent="0.15"/>
    <row r="1044232" customFormat="1" x14ac:dyDescent="0.15"/>
    <row r="1044233" customFormat="1" x14ac:dyDescent="0.15"/>
    <row r="1044234" customFormat="1" x14ac:dyDescent="0.15"/>
    <row r="1044235" customFormat="1" x14ac:dyDescent="0.15"/>
    <row r="1044236" customFormat="1" x14ac:dyDescent="0.15"/>
    <row r="1044237" customFormat="1" x14ac:dyDescent="0.15"/>
    <row r="1044238" customFormat="1" x14ac:dyDescent="0.15"/>
    <row r="1044239" customFormat="1" x14ac:dyDescent="0.15"/>
    <row r="1044240" customFormat="1" x14ac:dyDescent="0.15"/>
    <row r="1044241" customFormat="1" x14ac:dyDescent="0.15"/>
    <row r="1044242" customFormat="1" x14ac:dyDescent="0.15"/>
    <row r="1044243" customFormat="1" x14ac:dyDescent="0.15"/>
    <row r="1044244" customFormat="1" x14ac:dyDescent="0.15"/>
    <row r="1044245" customFormat="1" x14ac:dyDescent="0.15"/>
    <row r="1044246" customFormat="1" x14ac:dyDescent="0.15"/>
    <row r="1044247" customFormat="1" x14ac:dyDescent="0.15"/>
    <row r="1044248" customFormat="1" x14ac:dyDescent="0.15"/>
    <row r="1044249" customFormat="1" x14ac:dyDescent="0.15"/>
    <row r="1044250" customFormat="1" x14ac:dyDescent="0.15"/>
    <row r="1044251" customFormat="1" x14ac:dyDescent="0.15"/>
    <row r="1044252" customFormat="1" x14ac:dyDescent="0.15"/>
    <row r="1044253" customFormat="1" x14ac:dyDescent="0.15"/>
    <row r="1044254" customFormat="1" x14ac:dyDescent="0.15"/>
    <row r="1044255" customFormat="1" x14ac:dyDescent="0.15"/>
    <row r="1044256" customFormat="1" x14ac:dyDescent="0.15"/>
    <row r="1044257" customFormat="1" x14ac:dyDescent="0.15"/>
    <row r="1044258" customFormat="1" x14ac:dyDescent="0.15"/>
    <row r="1044259" customFormat="1" x14ac:dyDescent="0.15"/>
    <row r="1044260" customFormat="1" x14ac:dyDescent="0.15"/>
    <row r="1044261" customFormat="1" x14ac:dyDescent="0.15"/>
    <row r="1044262" customFormat="1" x14ac:dyDescent="0.15"/>
    <row r="1044263" customFormat="1" x14ac:dyDescent="0.15"/>
    <row r="1044264" customFormat="1" x14ac:dyDescent="0.15"/>
    <row r="1044265" customFormat="1" x14ac:dyDescent="0.15"/>
    <row r="1044266" customFormat="1" x14ac:dyDescent="0.15"/>
    <row r="1044267" customFormat="1" x14ac:dyDescent="0.15"/>
    <row r="1044268" customFormat="1" x14ac:dyDescent="0.15"/>
    <row r="1044269" customFormat="1" x14ac:dyDescent="0.15"/>
    <row r="1044270" customFormat="1" x14ac:dyDescent="0.15"/>
    <row r="1044271" customFormat="1" x14ac:dyDescent="0.15"/>
    <row r="1044272" customFormat="1" x14ac:dyDescent="0.15"/>
    <row r="1044273" customFormat="1" x14ac:dyDescent="0.15"/>
    <row r="1044274" customFormat="1" x14ac:dyDescent="0.15"/>
    <row r="1044275" customFormat="1" x14ac:dyDescent="0.15"/>
    <row r="1044276" customFormat="1" x14ac:dyDescent="0.15"/>
    <row r="1044277" customFormat="1" x14ac:dyDescent="0.15"/>
    <row r="1044278" customFormat="1" x14ac:dyDescent="0.15"/>
    <row r="1044279" customFormat="1" x14ac:dyDescent="0.15"/>
    <row r="1044280" customFormat="1" x14ac:dyDescent="0.15"/>
    <row r="1044281" customFormat="1" x14ac:dyDescent="0.15"/>
    <row r="1044282" customFormat="1" x14ac:dyDescent="0.15"/>
    <row r="1044283" customFormat="1" x14ac:dyDescent="0.15"/>
    <row r="1044284" customFormat="1" x14ac:dyDescent="0.15"/>
    <row r="1044285" customFormat="1" x14ac:dyDescent="0.15"/>
    <row r="1044286" customFormat="1" x14ac:dyDescent="0.15"/>
    <row r="1044287" customFormat="1" x14ac:dyDescent="0.15"/>
    <row r="1044288" customFormat="1" x14ac:dyDescent="0.15"/>
    <row r="1044289" customFormat="1" x14ac:dyDescent="0.15"/>
    <row r="1044290" customFormat="1" x14ac:dyDescent="0.15"/>
    <row r="1044291" customFormat="1" x14ac:dyDescent="0.15"/>
    <row r="1044292" customFormat="1" x14ac:dyDescent="0.15"/>
    <row r="1044293" customFormat="1" x14ac:dyDescent="0.15"/>
    <row r="1044294" customFormat="1" x14ac:dyDescent="0.15"/>
    <row r="1044295" customFormat="1" x14ac:dyDescent="0.15"/>
    <row r="1044296" customFormat="1" x14ac:dyDescent="0.15"/>
    <row r="1044297" customFormat="1" x14ac:dyDescent="0.15"/>
    <row r="1044298" customFormat="1" x14ac:dyDescent="0.15"/>
    <row r="1044299" customFormat="1" x14ac:dyDescent="0.15"/>
    <row r="1044300" customFormat="1" x14ac:dyDescent="0.15"/>
    <row r="1044301" customFormat="1" x14ac:dyDescent="0.15"/>
    <row r="1044302" customFormat="1" x14ac:dyDescent="0.15"/>
    <row r="1044303" customFormat="1" x14ac:dyDescent="0.15"/>
    <row r="1044304" customFormat="1" x14ac:dyDescent="0.15"/>
    <row r="1044305" customFormat="1" x14ac:dyDescent="0.15"/>
    <row r="1044306" customFormat="1" x14ac:dyDescent="0.15"/>
    <row r="1044307" customFormat="1" x14ac:dyDescent="0.15"/>
    <row r="1044308" customFormat="1" x14ac:dyDescent="0.15"/>
    <row r="1044309" customFormat="1" x14ac:dyDescent="0.15"/>
    <row r="1044310" customFormat="1" x14ac:dyDescent="0.15"/>
    <row r="1044311" customFormat="1" x14ac:dyDescent="0.15"/>
    <row r="1044312" customFormat="1" x14ac:dyDescent="0.15"/>
    <row r="1044313" customFormat="1" x14ac:dyDescent="0.15"/>
    <row r="1044314" customFormat="1" x14ac:dyDescent="0.15"/>
    <row r="1044315" customFormat="1" x14ac:dyDescent="0.15"/>
    <row r="1044316" customFormat="1" x14ac:dyDescent="0.15"/>
    <row r="1044317" customFormat="1" x14ac:dyDescent="0.15"/>
    <row r="1044318" customFormat="1" x14ac:dyDescent="0.15"/>
    <row r="1044319" customFormat="1" x14ac:dyDescent="0.15"/>
    <row r="1044320" customFormat="1" x14ac:dyDescent="0.15"/>
    <row r="1044321" customFormat="1" x14ac:dyDescent="0.15"/>
    <row r="1044322" customFormat="1" x14ac:dyDescent="0.15"/>
    <row r="1044323" customFormat="1" x14ac:dyDescent="0.15"/>
    <row r="1044324" customFormat="1" x14ac:dyDescent="0.15"/>
    <row r="1044325" customFormat="1" x14ac:dyDescent="0.15"/>
    <row r="1044326" customFormat="1" x14ac:dyDescent="0.15"/>
    <row r="1044327" customFormat="1" x14ac:dyDescent="0.15"/>
    <row r="1044328" customFormat="1" x14ac:dyDescent="0.15"/>
    <row r="1044329" customFormat="1" x14ac:dyDescent="0.15"/>
    <row r="1044330" customFormat="1" x14ac:dyDescent="0.15"/>
    <row r="1044331" customFormat="1" x14ac:dyDescent="0.15"/>
    <row r="1044332" customFormat="1" x14ac:dyDescent="0.15"/>
    <row r="1044333" customFormat="1" x14ac:dyDescent="0.15"/>
    <row r="1044334" customFormat="1" x14ac:dyDescent="0.15"/>
    <row r="1044335" customFormat="1" x14ac:dyDescent="0.15"/>
    <row r="1044336" customFormat="1" x14ac:dyDescent="0.15"/>
    <row r="1044337" customFormat="1" x14ac:dyDescent="0.15"/>
    <row r="1044338" customFormat="1" x14ac:dyDescent="0.15"/>
    <row r="1044339" customFormat="1" x14ac:dyDescent="0.15"/>
    <row r="1044340" customFormat="1" x14ac:dyDescent="0.15"/>
    <row r="1044341" customFormat="1" x14ac:dyDescent="0.15"/>
    <row r="1044342" customFormat="1" x14ac:dyDescent="0.15"/>
    <row r="1044343" customFormat="1" x14ac:dyDescent="0.15"/>
    <row r="1044344" customFormat="1" x14ac:dyDescent="0.15"/>
    <row r="1044345" customFormat="1" x14ac:dyDescent="0.15"/>
    <row r="1044346" customFormat="1" x14ac:dyDescent="0.15"/>
    <row r="1044347" customFormat="1" x14ac:dyDescent="0.15"/>
    <row r="1044348" customFormat="1" x14ac:dyDescent="0.15"/>
    <row r="1044349" customFormat="1" x14ac:dyDescent="0.15"/>
    <row r="1044350" customFormat="1" x14ac:dyDescent="0.15"/>
    <row r="1044351" customFormat="1" x14ac:dyDescent="0.15"/>
    <row r="1044352" customFormat="1" x14ac:dyDescent="0.15"/>
    <row r="1044353" customFormat="1" x14ac:dyDescent="0.15"/>
    <row r="1044354" customFormat="1" x14ac:dyDescent="0.15"/>
    <row r="1044355" customFormat="1" x14ac:dyDescent="0.15"/>
    <row r="1044356" customFormat="1" x14ac:dyDescent="0.15"/>
    <row r="1044357" customFormat="1" x14ac:dyDescent="0.15"/>
    <row r="1044358" customFormat="1" x14ac:dyDescent="0.15"/>
    <row r="1044359" customFormat="1" x14ac:dyDescent="0.15"/>
    <row r="1044360" customFormat="1" x14ac:dyDescent="0.15"/>
    <row r="1044361" customFormat="1" x14ac:dyDescent="0.15"/>
    <row r="1044362" customFormat="1" x14ac:dyDescent="0.15"/>
    <row r="1044363" customFormat="1" x14ac:dyDescent="0.15"/>
    <row r="1044364" customFormat="1" x14ac:dyDescent="0.15"/>
    <row r="1044365" customFormat="1" x14ac:dyDescent="0.15"/>
    <row r="1044366" customFormat="1" x14ac:dyDescent="0.15"/>
    <row r="1044367" customFormat="1" x14ac:dyDescent="0.15"/>
    <row r="1044368" customFormat="1" x14ac:dyDescent="0.15"/>
    <row r="1044369" customFormat="1" x14ac:dyDescent="0.15"/>
    <row r="1044370" customFormat="1" x14ac:dyDescent="0.15"/>
    <row r="1044371" customFormat="1" x14ac:dyDescent="0.15"/>
    <row r="1044372" customFormat="1" x14ac:dyDescent="0.15"/>
    <row r="1044373" customFormat="1" x14ac:dyDescent="0.15"/>
    <row r="1044374" customFormat="1" x14ac:dyDescent="0.15"/>
    <row r="1044375" customFormat="1" x14ac:dyDescent="0.15"/>
    <row r="1044376" customFormat="1" x14ac:dyDescent="0.15"/>
    <row r="1044377" customFormat="1" x14ac:dyDescent="0.15"/>
    <row r="1044378" customFormat="1" x14ac:dyDescent="0.15"/>
    <row r="1044379" customFormat="1" x14ac:dyDescent="0.15"/>
    <row r="1044380" customFormat="1" x14ac:dyDescent="0.15"/>
    <row r="1044381" customFormat="1" x14ac:dyDescent="0.15"/>
    <row r="1044382" customFormat="1" x14ac:dyDescent="0.15"/>
    <row r="1044383" customFormat="1" x14ac:dyDescent="0.15"/>
    <row r="1044384" customFormat="1" x14ac:dyDescent="0.15"/>
    <row r="1044385" customFormat="1" x14ac:dyDescent="0.15"/>
    <row r="1044386" customFormat="1" x14ac:dyDescent="0.15"/>
    <row r="1044387" customFormat="1" x14ac:dyDescent="0.15"/>
    <row r="1044388" customFormat="1" x14ac:dyDescent="0.15"/>
    <row r="1044389" customFormat="1" x14ac:dyDescent="0.15"/>
    <row r="1044390" customFormat="1" x14ac:dyDescent="0.15"/>
    <row r="1044391" customFormat="1" x14ac:dyDescent="0.15"/>
    <row r="1044392" customFormat="1" x14ac:dyDescent="0.15"/>
    <row r="1044393" customFormat="1" x14ac:dyDescent="0.15"/>
    <row r="1044394" customFormat="1" x14ac:dyDescent="0.15"/>
    <row r="1044395" customFormat="1" x14ac:dyDescent="0.15"/>
    <row r="1044396" customFormat="1" x14ac:dyDescent="0.15"/>
    <row r="1044397" customFormat="1" x14ac:dyDescent="0.15"/>
    <row r="1044398" customFormat="1" x14ac:dyDescent="0.15"/>
    <row r="1044399" customFormat="1" x14ac:dyDescent="0.15"/>
    <row r="1044400" customFormat="1" x14ac:dyDescent="0.15"/>
    <row r="1044401" customFormat="1" x14ac:dyDescent="0.15"/>
    <row r="1044402" customFormat="1" x14ac:dyDescent="0.15"/>
    <row r="1044403" customFormat="1" x14ac:dyDescent="0.15"/>
    <row r="1044404" customFormat="1" x14ac:dyDescent="0.15"/>
    <row r="1044405" customFormat="1" x14ac:dyDescent="0.15"/>
    <row r="1044406" customFormat="1" x14ac:dyDescent="0.15"/>
    <row r="1044407" customFormat="1" x14ac:dyDescent="0.15"/>
    <row r="1044408" customFormat="1" x14ac:dyDescent="0.15"/>
    <row r="1044409" customFormat="1" x14ac:dyDescent="0.15"/>
    <row r="1044410" customFormat="1" x14ac:dyDescent="0.15"/>
    <row r="1044411" customFormat="1" x14ac:dyDescent="0.15"/>
    <row r="1044412" customFormat="1" x14ac:dyDescent="0.15"/>
    <row r="1044413" customFormat="1" x14ac:dyDescent="0.15"/>
    <row r="1044414" customFormat="1" x14ac:dyDescent="0.15"/>
    <row r="1044415" customFormat="1" x14ac:dyDescent="0.15"/>
    <row r="1044416" customFormat="1" x14ac:dyDescent="0.15"/>
    <row r="1044417" customFormat="1" x14ac:dyDescent="0.15"/>
    <row r="1044418" customFormat="1" x14ac:dyDescent="0.15"/>
    <row r="1044419" customFormat="1" x14ac:dyDescent="0.15"/>
    <row r="1044420" customFormat="1" x14ac:dyDescent="0.15"/>
    <row r="1044421" customFormat="1" x14ac:dyDescent="0.15"/>
    <row r="1044422" customFormat="1" x14ac:dyDescent="0.15"/>
    <row r="1044423" customFormat="1" x14ac:dyDescent="0.15"/>
    <row r="1044424" customFormat="1" x14ac:dyDescent="0.15"/>
    <row r="1044425" customFormat="1" x14ac:dyDescent="0.15"/>
    <row r="1044426" customFormat="1" x14ac:dyDescent="0.15"/>
    <row r="1044427" customFormat="1" x14ac:dyDescent="0.15"/>
    <row r="1044428" customFormat="1" x14ac:dyDescent="0.15"/>
    <row r="1044429" customFormat="1" x14ac:dyDescent="0.15"/>
    <row r="1044430" customFormat="1" x14ac:dyDescent="0.15"/>
    <row r="1044431" customFormat="1" x14ac:dyDescent="0.15"/>
    <row r="1044432" customFormat="1" x14ac:dyDescent="0.15"/>
    <row r="1044433" customFormat="1" x14ac:dyDescent="0.15"/>
    <row r="1044434" customFormat="1" x14ac:dyDescent="0.15"/>
    <row r="1044435" customFormat="1" x14ac:dyDescent="0.15"/>
    <row r="1044436" customFormat="1" x14ac:dyDescent="0.15"/>
    <row r="1044437" customFormat="1" x14ac:dyDescent="0.15"/>
    <row r="1044438" customFormat="1" x14ac:dyDescent="0.15"/>
    <row r="1044439" customFormat="1" x14ac:dyDescent="0.15"/>
    <row r="1044440" customFormat="1" x14ac:dyDescent="0.15"/>
    <row r="1044441" customFormat="1" x14ac:dyDescent="0.15"/>
    <row r="1044442" customFormat="1" x14ac:dyDescent="0.15"/>
    <row r="1044443" customFormat="1" x14ac:dyDescent="0.15"/>
    <row r="1044444" customFormat="1" x14ac:dyDescent="0.15"/>
    <row r="1044445" customFormat="1" x14ac:dyDescent="0.15"/>
    <row r="1044446" customFormat="1" x14ac:dyDescent="0.15"/>
    <row r="1044447" customFormat="1" x14ac:dyDescent="0.15"/>
    <row r="1044448" customFormat="1" x14ac:dyDescent="0.15"/>
    <row r="1044449" customFormat="1" x14ac:dyDescent="0.15"/>
    <row r="1044450" customFormat="1" x14ac:dyDescent="0.15"/>
    <row r="1044451" customFormat="1" x14ac:dyDescent="0.15"/>
    <row r="1044452" customFormat="1" x14ac:dyDescent="0.15"/>
    <row r="1044453" customFormat="1" x14ac:dyDescent="0.15"/>
    <row r="1044454" customFormat="1" x14ac:dyDescent="0.15"/>
    <row r="1044455" customFormat="1" x14ac:dyDescent="0.15"/>
    <row r="1044456" customFormat="1" x14ac:dyDescent="0.15"/>
    <row r="1044457" customFormat="1" x14ac:dyDescent="0.15"/>
    <row r="1044458" customFormat="1" x14ac:dyDescent="0.15"/>
    <row r="1044459" customFormat="1" x14ac:dyDescent="0.15"/>
    <row r="1044460" customFormat="1" x14ac:dyDescent="0.15"/>
    <row r="1044461" customFormat="1" x14ac:dyDescent="0.15"/>
    <row r="1044462" customFormat="1" x14ac:dyDescent="0.15"/>
    <row r="1044463" customFormat="1" x14ac:dyDescent="0.15"/>
    <row r="1044464" customFormat="1" x14ac:dyDescent="0.15"/>
    <row r="1044465" customFormat="1" x14ac:dyDescent="0.15"/>
    <row r="1044466" customFormat="1" x14ac:dyDescent="0.15"/>
    <row r="1044467" customFormat="1" x14ac:dyDescent="0.15"/>
    <row r="1044468" customFormat="1" x14ac:dyDescent="0.15"/>
    <row r="1044469" customFormat="1" x14ac:dyDescent="0.15"/>
    <row r="1044470" customFormat="1" x14ac:dyDescent="0.15"/>
    <row r="1044471" customFormat="1" x14ac:dyDescent="0.15"/>
    <row r="1044472" customFormat="1" x14ac:dyDescent="0.15"/>
    <row r="1044473" customFormat="1" x14ac:dyDescent="0.15"/>
    <row r="1044474" customFormat="1" x14ac:dyDescent="0.15"/>
    <row r="1044475" customFormat="1" x14ac:dyDescent="0.15"/>
    <row r="1044476" customFormat="1" x14ac:dyDescent="0.15"/>
    <row r="1044477" customFormat="1" x14ac:dyDescent="0.15"/>
    <row r="1044478" customFormat="1" x14ac:dyDescent="0.15"/>
    <row r="1044479" customFormat="1" x14ac:dyDescent="0.15"/>
    <row r="1044480" customFormat="1" x14ac:dyDescent="0.15"/>
    <row r="1044481" customFormat="1" x14ac:dyDescent="0.15"/>
    <row r="1044482" customFormat="1" x14ac:dyDescent="0.15"/>
    <row r="1044483" customFormat="1" x14ac:dyDescent="0.15"/>
    <row r="1044484" customFormat="1" x14ac:dyDescent="0.15"/>
    <row r="1044485" customFormat="1" x14ac:dyDescent="0.15"/>
    <row r="1044486" customFormat="1" x14ac:dyDescent="0.15"/>
    <row r="1044487" customFormat="1" x14ac:dyDescent="0.15"/>
    <row r="1044488" customFormat="1" x14ac:dyDescent="0.15"/>
    <row r="1044489" customFormat="1" x14ac:dyDescent="0.15"/>
    <row r="1044490" customFormat="1" x14ac:dyDescent="0.15"/>
    <row r="1044491" customFormat="1" x14ac:dyDescent="0.15"/>
    <row r="1044492" customFormat="1" x14ac:dyDescent="0.15"/>
    <row r="1044493" customFormat="1" x14ac:dyDescent="0.15"/>
    <row r="1044494" customFormat="1" x14ac:dyDescent="0.15"/>
    <row r="1044495" customFormat="1" x14ac:dyDescent="0.15"/>
    <row r="1044496" customFormat="1" x14ac:dyDescent="0.15"/>
    <row r="1044497" customFormat="1" x14ac:dyDescent="0.15"/>
    <row r="1044498" customFormat="1" x14ac:dyDescent="0.15"/>
    <row r="1044499" customFormat="1" x14ac:dyDescent="0.15"/>
    <row r="1044500" customFormat="1" x14ac:dyDescent="0.15"/>
    <row r="1044501" customFormat="1" x14ac:dyDescent="0.15"/>
    <row r="1044502" customFormat="1" x14ac:dyDescent="0.15"/>
    <row r="1044503" customFormat="1" x14ac:dyDescent="0.15"/>
    <row r="1044504" customFormat="1" x14ac:dyDescent="0.15"/>
    <row r="1044505" customFormat="1" x14ac:dyDescent="0.15"/>
    <row r="1044506" customFormat="1" x14ac:dyDescent="0.15"/>
    <row r="1044507" customFormat="1" x14ac:dyDescent="0.15"/>
    <row r="1044508" customFormat="1" x14ac:dyDescent="0.15"/>
    <row r="1044509" customFormat="1" x14ac:dyDescent="0.15"/>
    <row r="1044510" customFormat="1" x14ac:dyDescent="0.15"/>
    <row r="1044511" customFormat="1" x14ac:dyDescent="0.15"/>
    <row r="1044512" customFormat="1" x14ac:dyDescent="0.15"/>
    <row r="1044513" customFormat="1" x14ac:dyDescent="0.15"/>
    <row r="1044514" customFormat="1" x14ac:dyDescent="0.15"/>
    <row r="1044515" customFormat="1" x14ac:dyDescent="0.15"/>
    <row r="1044516" customFormat="1" x14ac:dyDescent="0.15"/>
    <row r="1044517" customFormat="1" x14ac:dyDescent="0.15"/>
    <row r="1044518" customFormat="1" x14ac:dyDescent="0.15"/>
    <row r="1044519" customFormat="1" x14ac:dyDescent="0.15"/>
    <row r="1044520" customFormat="1" x14ac:dyDescent="0.15"/>
    <row r="1044521" customFormat="1" x14ac:dyDescent="0.15"/>
    <row r="1044522" customFormat="1" x14ac:dyDescent="0.15"/>
    <row r="1044523" customFormat="1" x14ac:dyDescent="0.15"/>
    <row r="1044524" customFormat="1" x14ac:dyDescent="0.15"/>
    <row r="1044525" customFormat="1" x14ac:dyDescent="0.15"/>
    <row r="1044526" customFormat="1" x14ac:dyDescent="0.15"/>
    <row r="1044527" customFormat="1" x14ac:dyDescent="0.15"/>
    <row r="1044528" customFormat="1" x14ac:dyDescent="0.15"/>
    <row r="1044529" customFormat="1" x14ac:dyDescent="0.15"/>
    <row r="1044530" customFormat="1" x14ac:dyDescent="0.15"/>
    <row r="1044531" customFormat="1" x14ac:dyDescent="0.15"/>
    <row r="1044532" customFormat="1" x14ac:dyDescent="0.15"/>
    <row r="1044533" customFormat="1" x14ac:dyDescent="0.15"/>
    <row r="1044534" customFormat="1" x14ac:dyDescent="0.15"/>
    <row r="1044535" customFormat="1" x14ac:dyDescent="0.15"/>
    <row r="1044536" customFormat="1" x14ac:dyDescent="0.15"/>
    <row r="1044537" customFormat="1" x14ac:dyDescent="0.15"/>
    <row r="1044538" customFormat="1" x14ac:dyDescent="0.15"/>
    <row r="1044539" customFormat="1" x14ac:dyDescent="0.15"/>
    <row r="1044540" customFormat="1" x14ac:dyDescent="0.15"/>
    <row r="1044541" customFormat="1" x14ac:dyDescent="0.15"/>
    <row r="1044542" customFormat="1" x14ac:dyDescent="0.15"/>
    <row r="1044543" customFormat="1" x14ac:dyDescent="0.15"/>
    <row r="1044544" customFormat="1" x14ac:dyDescent="0.15"/>
    <row r="1044545" customFormat="1" x14ac:dyDescent="0.15"/>
    <row r="1044546" customFormat="1" x14ac:dyDescent="0.15"/>
    <row r="1044547" customFormat="1" x14ac:dyDescent="0.15"/>
    <row r="1044548" customFormat="1" x14ac:dyDescent="0.15"/>
    <row r="1044549" customFormat="1" x14ac:dyDescent="0.15"/>
    <row r="1044550" customFormat="1" x14ac:dyDescent="0.15"/>
    <row r="1044551" customFormat="1" x14ac:dyDescent="0.15"/>
    <row r="1044552" customFormat="1" x14ac:dyDescent="0.15"/>
    <row r="1044553" customFormat="1" x14ac:dyDescent="0.15"/>
    <row r="1044554" customFormat="1" x14ac:dyDescent="0.15"/>
    <row r="1044555" customFormat="1" x14ac:dyDescent="0.15"/>
    <row r="1044556" customFormat="1" x14ac:dyDescent="0.15"/>
    <row r="1044557" customFormat="1" x14ac:dyDescent="0.15"/>
    <row r="1044558" customFormat="1" x14ac:dyDescent="0.15"/>
    <row r="1044559" customFormat="1" x14ac:dyDescent="0.15"/>
    <row r="1044560" customFormat="1" x14ac:dyDescent="0.15"/>
    <row r="1044561" customFormat="1" x14ac:dyDescent="0.15"/>
    <row r="1044562" customFormat="1" x14ac:dyDescent="0.15"/>
    <row r="1044563" customFormat="1" x14ac:dyDescent="0.15"/>
    <row r="1044564" customFormat="1" x14ac:dyDescent="0.15"/>
    <row r="1044565" customFormat="1" x14ac:dyDescent="0.15"/>
    <row r="1044566" customFormat="1" x14ac:dyDescent="0.15"/>
    <row r="1044567" customFormat="1" x14ac:dyDescent="0.15"/>
    <row r="1044568" customFormat="1" x14ac:dyDescent="0.15"/>
    <row r="1044569" customFormat="1" x14ac:dyDescent="0.15"/>
    <row r="1044570" customFormat="1" x14ac:dyDescent="0.15"/>
    <row r="1044571" customFormat="1" x14ac:dyDescent="0.15"/>
    <row r="1044572" customFormat="1" x14ac:dyDescent="0.15"/>
    <row r="1044573" customFormat="1" x14ac:dyDescent="0.15"/>
    <row r="1044574" customFormat="1" x14ac:dyDescent="0.15"/>
    <row r="1044575" customFormat="1" x14ac:dyDescent="0.15"/>
    <row r="1044576" customFormat="1" x14ac:dyDescent="0.15"/>
    <row r="1044577" customFormat="1" x14ac:dyDescent="0.15"/>
    <row r="1044578" customFormat="1" x14ac:dyDescent="0.15"/>
    <row r="1044579" customFormat="1" x14ac:dyDescent="0.15"/>
    <row r="1044580" customFormat="1" x14ac:dyDescent="0.15"/>
    <row r="1044581" customFormat="1" x14ac:dyDescent="0.15"/>
    <row r="1044582" customFormat="1" x14ac:dyDescent="0.15"/>
    <row r="1044583" customFormat="1" x14ac:dyDescent="0.15"/>
    <row r="1044584" customFormat="1" x14ac:dyDescent="0.15"/>
    <row r="1044585" customFormat="1" x14ac:dyDescent="0.15"/>
    <row r="1044586" customFormat="1" x14ac:dyDescent="0.15"/>
    <row r="1044587" customFormat="1" x14ac:dyDescent="0.15"/>
    <row r="1044588" customFormat="1" x14ac:dyDescent="0.15"/>
    <row r="1044589" customFormat="1" x14ac:dyDescent="0.15"/>
    <row r="1044590" customFormat="1" x14ac:dyDescent="0.15"/>
    <row r="1044591" customFormat="1" x14ac:dyDescent="0.15"/>
    <row r="1044592" customFormat="1" x14ac:dyDescent="0.15"/>
    <row r="1044593" customFormat="1" x14ac:dyDescent="0.15"/>
    <row r="1044594" customFormat="1" x14ac:dyDescent="0.15"/>
    <row r="1044595" customFormat="1" x14ac:dyDescent="0.15"/>
    <row r="1044596" customFormat="1" x14ac:dyDescent="0.15"/>
    <row r="1044597" customFormat="1" x14ac:dyDescent="0.15"/>
    <row r="1044598" customFormat="1" x14ac:dyDescent="0.15"/>
    <row r="1044599" customFormat="1" x14ac:dyDescent="0.15"/>
    <row r="1044600" customFormat="1" x14ac:dyDescent="0.15"/>
    <row r="1044601" customFormat="1" x14ac:dyDescent="0.15"/>
    <row r="1044602" customFormat="1" x14ac:dyDescent="0.15"/>
    <row r="1044603" customFormat="1" x14ac:dyDescent="0.15"/>
    <row r="1044604" customFormat="1" x14ac:dyDescent="0.15"/>
    <row r="1044605" customFormat="1" x14ac:dyDescent="0.15"/>
    <row r="1044606" customFormat="1" x14ac:dyDescent="0.15"/>
    <row r="1044607" customFormat="1" x14ac:dyDescent="0.15"/>
    <row r="1044608" customFormat="1" x14ac:dyDescent="0.15"/>
    <row r="1044609" customFormat="1" x14ac:dyDescent="0.15"/>
    <row r="1044610" customFormat="1" x14ac:dyDescent="0.15"/>
    <row r="1044611" customFormat="1" x14ac:dyDescent="0.15"/>
    <row r="1044612" customFormat="1" x14ac:dyDescent="0.15"/>
    <row r="1044613" customFormat="1" x14ac:dyDescent="0.15"/>
    <row r="1044614" customFormat="1" x14ac:dyDescent="0.15"/>
    <row r="1044615" customFormat="1" x14ac:dyDescent="0.15"/>
    <row r="1044616" customFormat="1" x14ac:dyDescent="0.15"/>
    <row r="1044617" customFormat="1" x14ac:dyDescent="0.15"/>
    <row r="1044618" customFormat="1" x14ac:dyDescent="0.15"/>
    <row r="1044619" customFormat="1" x14ac:dyDescent="0.15"/>
    <row r="1044620" customFormat="1" x14ac:dyDescent="0.15"/>
    <row r="1044621" customFormat="1" x14ac:dyDescent="0.15"/>
    <row r="1044622" customFormat="1" x14ac:dyDescent="0.15"/>
    <row r="1044623" customFormat="1" x14ac:dyDescent="0.15"/>
    <row r="1044624" customFormat="1" x14ac:dyDescent="0.15"/>
    <row r="1044625" customFormat="1" x14ac:dyDescent="0.15"/>
    <row r="1044626" customFormat="1" x14ac:dyDescent="0.15"/>
    <row r="1044627" customFormat="1" x14ac:dyDescent="0.15"/>
    <row r="1044628" customFormat="1" x14ac:dyDescent="0.15"/>
    <row r="1044629" customFormat="1" x14ac:dyDescent="0.15"/>
    <row r="1044630" customFormat="1" x14ac:dyDescent="0.15"/>
    <row r="1044631" customFormat="1" x14ac:dyDescent="0.15"/>
    <row r="1044632" customFormat="1" x14ac:dyDescent="0.15"/>
    <row r="1044633" customFormat="1" x14ac:dyDescent="0.15"/>
    <row r="1044634" customFormat="1" x14ac:dyDescent="0.15"/>
    <row r="1044635" customFormat="1" x14ac:dyDescent="0.15"/>
    <row r="1044636" customFormat="1" x14ac:dyDescent="0.15"/>
    <row r="1044637" customFormat="1" x14ac:dyDescent="0.15"/>
    <row r="1044638" customFormat="1" x14ac:dyDescent="0.15"/>
    <row r="1044639" customFormat="1" x14ac:dyDescent="0.15"/>
    <row r="1044640" customFormat="1" x14ac:dyDescent="0.15"/>
    <row r="1044641" customFormat="1" x14ac:dyDescent="0.15"/>
    <row r="1044642" customFormat="1" x14ac:dyDescent="0.15"/>
    <row r="1044643" customFormat="1" x14ac:dyDescent="0.15"/>
    <row r="1044644" customFormat="1" x14ac:dyDescent="0.15"/>
    <row r="1044645" customFormat="1" x14ac:dyDescent="0.15"/>
    <row r="1044646" customFormat="1" x14ac:dyDescent="0.15"/>
    <row r="1044647" customFormat="1" x14ac:dyDescent="0.15"/>
    <row r="1044648" customFormat="1" x14ac:dyDescent="0.15"/>
    <row r="1044649" customFormat="1" x14ac:dyDescent="0.15"/>
    <row r="1044650" customFormat="1" x14ac:dyDescent="0.15"/>
    <row r="1044651" customFormat="1" x14ac:dyDescent="0.15"/>
    <row r="1044652" customFormat="1" x14ac:dyDescent="0.15"/>
    <row r="1044653" customFormat="1" x14ac:dyDescent="0.15"/>
    <row r="1044654" customFormat="1" x14ac:dyDescent="0.15"/>
    <row r="1044655" customFormat="1" x14ac:dyDescent="0.15"/>
    <row r="1044656" customFormat="1" x14ac:dyDescent="0.15"/>
    <row r="1044657" customFormat="1" x14ac:dyDescent="0.15"/>
    <row r="1044658" customFormat="1" x14ac:dyDescent="0.15"/>
    <row r="1044659" customFormat="1" x14ac:dyDescent="0.15"/>
    <row r="1044660" customFormat="1" x14ac:dyDescent="0.15"/>
    <row r="1044661" customFormat="1" x14ac:dyDescent="0.15"/>
    <row r="1044662" customFormat="1" x14ac:dyDescent="0.15"/>
    <row r="1044663" customFormat="1" x14ac:dyDescent="0.15"/>
    <row r="1044664" customFormat="1" x14ac:dyDescent="0.15"/>
    <row r="1044665" customFormat="1" x14ac:dyDescent="0.15"/>
    <row r="1044666" customFormat="1" x14ac:dyDescent="0.15"/>
    <row r="1044667" customFormat="1" x14ac:dyDescent="0.15"/>
    <row r="1044668" customFormat="1" x14ac:dyDescent="0.15"/>
    <row r="1044669" customFormat="1" x14ac:dyDescent="0.15"/>
    <row r="1044670" customFormat="1" x14ac:dyDescent="0.15"/>
    <row r="1044671" customFormat="1" x14ac:dyDescent="0.15"/>
    <row r="1044672" customFormat="1" x14ac:dyDescent="0.15"/>
    <row r="1044673" customFormat="1" x14ac:dyDescent="0.15"/>
    <row r="1044674" customFormat="1" x14ac:dyDescent="0.15"/>
    <row r="1044675" customFormat="1" x14ac:dyDescent="0.15"/>
    <row r="1044676" customFormat="1" x14ac:dyDescent="0.15"/>
    <row r="1044677" customFormat="1" x14ac:dyDescent="0.15"/>
    <row r="1044678" customFormat="1" x14ac:dyDescent="0.15"/>
    <row r="1044679" customFormat="1" x14ac:dyDescent="0.15"/>
    <row r="1044680" customFormat="1" x14ac:dyDescent="0.15"/>
    <row r="1044681" customFormat="1" x14ac:dyDescent="0.15"/>
    <row r="1044682" customFormat="1" x14ac:dyDescent="0.15"/>
    <row r="1044683" customFormat="1" x14ac:dyDescent="0.15"/>
    <row r="1044684" customFormat="1" x14ac:dyDescent="0.15"/>
    <row r="1044685" customFormat="1" x14ac:dyDescent="0.15"/>
    <row r="1044686" customFormat="1" x14ac:dyDescent="0.15"/>
    <row r="1044687" customFormat="1" x14ac:dyDescent="0.15"/>
    <row r="1044688" customFormat="1" x14ac:dyDescent="0.15"/>
    <row r="1044689" customFormat="1" x14ac:dyDescent="0.15"/>
    <row r="1044690" customFormat="1" x14ac:dyDescent="0.15"/>
    <row r="1044691" customFormat="1" x14ac:dyDescent="0.15"/>
    <row r="1044692" customFormat="1" x14ac:dyDescent="0.15"/>
    <row r="1044693" customFormat="1" x14ac:dyDescent="0.15"/>
    <row r="1044694" customFormat="1" x14ac:dyDescent="0.15"/>
    <row r="1044695" customFormat="1" x14ac:dyDescent="0.15"/>
    <row r="1044696" customFormat="1" x14ac:dyDescent="0.15"/>
    <row r="1044697" customFormat="1" x14ac:dyDescent="0.15"/>
    <row r="1044698" customFormat="1" x14ac:dyDescent="0.15"/>
    <row r="1044699" customFormat="1" x14ac:dyDescent="0.15"/>
    <row r="1044700" customFormat="1" x14ac:dyDescent="0.15"/>
    <row r="1044701" customFormat="1" x14ac:dyDescent="0.15"/>
    <row r="1044702" customFormat="1" x14ac:dyDescent="0.15"/>
    <row r="1044703" customFormat="1" x14ac:dyDescent="0.15"/>
    <row r="1044704" customFormat="1" x14ac:dyDescent="0.15"/>
    <row r="1044705" customFormat="1" x14ac:dyDescent="0.15"/>
    <row r="1044706" customFormat="1" x14ac:dyDescent="0.15"/>
    <row r="1044707" customFormat="1" x14ac:dyDescent="0.15"/>
    <row r="1044708" customFormat="1" x14ac:dyDescent="0.15"/>
    <row r="1044709" customFormat="1" x14ac:dyDescent="0.15"/>
    <row r="1044710" customFormat="1" x14ac:dyDescent="0.15"/>
    <row r="1044711" customFormat="1" x14ac:dyDescent="0.15"/>
    <row r="1044712" customFormat="1" x14ac:dyDescent="0.15"/>
    <row r="1044713" customFormat="1" x14ac:dyDescent="0.15"/>
    <row r="1044714" customFormat="1" x14ac:dyDescent="0.15"/>
    <row r="1044715" customFormat="1" x14ac:dyDescent="0.15"/>
    <row r="1044716" customFormat="1" x14ac:dyDescent="0.15"/>
    <row r="1044717" customFormat="1" x14ac:dyDescent="0.15"/>
    <row r="1044718" customFormat="1" x14ac:dyDescent="0.15"/>
    <row r="1044719" customFormat="1" x14ac:dyDescent="0.15"/>
    <row r="1044720" customFormat="1" x14ac:dyDescent="0.15"/>
    <row r="1044721" customFormat="1" x14ac:dyDescent="0.15"/>
    <row r="1044722" customFormat="1" x14ac:dyDescent="0.15"/>
    <row r="1044723" customFormat="1" x14ac:dyDescent="0.15"/>
    <row r="1044724" customFormat="1" x14ac:dyDescent="0.15"/>
    <row r="1044725" customFormat="1" x14ac:dyDescent="0.15"/>
    <row r="1044726" customFormat="1" x14ac:dyDescent="0.15"/>
    <row r="1044727" customFormat="1" x14ac:dyDescent="0.15"/>
    <row r="1044728" customFormat="1" x14ac:dyDescent="0.15"/>
    <row r="1044729" customFormat="1" x14ac:dyDescent="0.15"/>
    <row r="1044730" customFormat="1" x14ac:dyDescent="0.15"/>
    <row r="1044731" customFormat="1" x14ac:dyDescent="0.15"/>
    <row r="1044732" customFormat="1" x14ac:dyDescent="0.15"/>
    <row r="1044733" customFormat="1" x14ac:dyDescent="0.15"/>
    <row r="1044734" customFormat="1" x14ac:dyDescent="0.15"/>
    <row r="1044735" customFormat="1" x14ac:dyDescent="0.15"/>
    <row r="1044736" customFormat="1" x14ac:dyDescent="0.15"/>
    <row r="1044737" customFormat="1" x14ac:dyDescent="0.15"/>
    <row r="1044738" customFormat="1" x14ac:dyDescent="0.15"/>
    <row r="1044739" customFormat="1" x14ac:dyDescent="0.15"/>
    <row r="1044740" customFormat="1" x14ac:dyDescent="0.15"/>
    <row r="1044741" customFormat="1" x14ac:dyDescent="0.15"/>
    <row r="1044742" customFormat="1" x14ac:dyDescent="0.15"/>
    <row r="1044743" customFormat="1" x14ac:dyDescent="0.15"/>
    <row r="1044744" customFormat="1" x14ac:dyDescent="0.15"/>
    <row r="1044745" customFormat="1" x14ac:dyDescent="0.15"/>
    <row r="1044746" customFormat="1" x14ac:dyDescent="0.15"/>
    <row r="1044747" customFormat="1" x14ac:dyDescent="0.15"/>
    <row r="1044748" customFormat="1" x14ac:dyDescent="0.15"/>
    <row r="1044749" customFormat="1" x14ac:dyDescent="0.15"/>
    <row r="1044750" customFormat="1" x14ac:dyDescent="0.15"/>
    <row r="1044751" customFormat="1" x14ac:dyDescent="0.15"/>
    <row r="1044752" customFormat="1" x14ac:dyDescent="0.15"/>
    <row r="1044753" customFormat="1" x14ac:dyDescent="0.15"/>
    <row r="1044754" customFormat="1" x14ac:dyDescent="0.15"/>
    <row r="1044755" customFormat="1" x14ac:dyDescent="0.15"/>
    <row r="1044756" customFormat="1" x14ac:dyDescent="0.15"/>
    <row r="1044757" customFormat="1" x14ac:dyDescent="0.15"/>
    <row r="1044758" customFormat="1" x14ac:dyDescent="0.15"/>
    <row r="1044759" customFormat="1" x14ac:dyDescent="0.15"/>
    <row r="1044760" customFormat="1" x14ac:dyDescent="0.15"/>
    <row r="1044761" customFormat="1" x14ac:dyDescent="0.15"/>
    <row r="1044762" customFormat="1" x14ac:dyDescent="0.15"/>
    <row r="1044763" customFormat="1" x14ac:dyDescent="0.15"/>
    <row r="1044764" customFormat="1" x14ac:dyDescent="0.15"/>
    <row r="1044765" customFormat="1" x14ac:dyDescent="0.15"/>
    <row r="1044766" customFormat="1" x14ac:dyDescent="0.15"/>
    <row r="1044767" customFormat="1" x14ac:dyDescent="0.15"/>
    <row r="1044768" customFormat="1" x14ac:dyDescent="0.15"/>
    <row r="1044769" customFormat="1" x14ac:dyDescent="0.15"/>
    <row r="1044770" customFormat="1" x14ac:dyDescent="0.15"/>
    <row r="1044771" customFormat="1" x14ac:dyDescent="0.15"/>
    <row r="1044772" customFormat="1" x14ac:dyDescent="0.15"/>
    <row r="1044773" customFormat="1" x14ac:dyDescent="0.15"/>
    <row r="1044774" customFormat="1" x14ac:dyDescent="0.15"/>
    <row r="1044775" customFormat="1" x14ac:dyDescent="0.15"/>
    <row r="1044776" customFormat="1" x14ac:dyDescent="0.15"/>
    <row r="1044777" customFormat="1" x14ac:dyDescent="0.15"/>
    <row r="1044778" customFormat="1" x14ac:dyDescent="0.15"/>
    <row r="1044779" customFormat="1" x14ac:dyDescent="0.15"/>
    <row r="1044780" customFormat="1" x14ac:dyDescent="0.15"/>
    <row r="1044781" customFormat="1" x14ac:dyDescent="0.15"/>
    <row r="1044782" customFormat="1" x14ac:dyDescent="0.15"/>
    <row r="1044783" customFormat="1" x14ac:dyDescent="0.15"/>
    <row r="1044784" customFormat="1" x14ac:dyDescent="0.15"/>
    <row r="1044785" customFormat="1" x14ac:dyDescent="0.15"/>
    <row r="1044786" customFormat="1" x14ac:dyDescent="0.15"/>
    <row r="1044787" customFormat="1" x14ac:dyDescent="0.15"/>
    <row r="1044788" customFormat="1" x14ac:dyDescent="0.15"/>
    <row r="1044789" customFormat="1" x14ac:dyDescent="0.15"/>
    <row r="1044790" customFormat="1" x14ac:dyDescent="0.15"/>
    <row r="1044791" customFormat="1" x14ac:dyDescent="0.15"/>
    <row r="1044792" customFormat="1" x14ac:dyDescent="0.15"/>
    <row r="1044793" customFormat="1" x14ac:dyDescent="0.15"/>
    <row r="1044794" customFormat="1" x14ac:dyDescent="0.15"/>
    <row r="1044795" customFormat="1" x14ac:dyDescent="0.15"/>
    <row r="1044796" customFormat="1" x14ac:dyDescent="0.15"/>
    <row r="1044797" customFormat="1" x14ac:dyDescent="0.15"/>
    <row r="1044798" customFormat="1" x14ac:dyDescent="0.15"/>
    <row r="1044799" customFormat="1" x14ac:dyDescent="0.15"/>
    <row r="1044800" customFormat="1" x14ac:dyDescent="0.15"/>
    <row r="1044801" customFormat="1" x14ac:dyDescent="0.15"/>
    <row r="1044802" customFormat="1" x14ac:dyDescent="0.15"/>
    <row r="1044803" customFormat="1" x14ac:dyDescent="0.15"/>
    <row r="1044804" customFormat="1" x14ac:dyDescent="0.15"/>
    <row r="1044805" customFormat="1" x14ac:dyDescent="0.15"/>
    <row r="1044806" customFormat="1" x14ac:dyDescent="0.15"/>
    <row r="1044807" customFormat="1" x14ac:dyDescent="0.15"/>
    <row r="1044808" customFormat="1" x14ac:dyDescent="0.15"/>
    <row r="1044809" customFormat="1" x14ac:dyDescent="0.15"/>
    <row r="1044810" customFormat="1" x14ac:dyDescent="0.15"/>
    <row r="1044811" customFormat="1" x14ac:dyDescent="0.15"/>
    <row r="1044812" customFormat="1" x14ac:dyDescent="0.15"/>
    <row r="1044813" customFormat="1" x14ac:dyDescent="0.15"/>
    <row r="1044814" customFormat="1" x14ac:dyDescent="0.15"/>
    <row r="1044815" customFormat="1" x14ac:dyDescent="0.15"/>
    <row r="1044816" customFormat="1" x14ac:dyDescent="0.15"/>
    <row r="1044817" customFormat="1" x14ac:dyDescent="0.15"/>
    <row r="1044818" customFormat="1" x14ac:dyDescent="0.15"/>
    <row r="1044819" customFormat="1" x14ac:dyDescent="0.15"/>
    <row r="1044820" customFormat="1" x14ac:dyDescent="0.15"/>
    <row r="1044821" customFormat="1" x14ac:dyDescent="0.15"/>
    <row r="1044822" customFormat="1" x14ac:dyDescent="0.15"/>
    <row r="1044823" customFormat="1" x14ac:dyDescent="0.15"/>
    <row r="1044824" customFormat="1" x14ac:dyDescent="0.15"/>
    <row r="1044825" customFormat="1" x14ac:dyDescent="0.15"/>
    <row r="1044826" customFormat="1" x14ac:dyDescent="0.15"/>
    <row r="1044827" customFormat="1" x14ac:dyDescent="0.15"/>
    <row r="1044828" customFormat="1" x14ac:dyDescent="0.15"/>
    <row r="1044829" customFormat="1" x14ac:dyDescent="0.15"/>
    <row r="1044830" customFormat="1" x14ac:dyDescent="0.15"/>
    <row r="1044831" customFormat="1" x14ac:dyDescent="0.15"/>
    <row r="1044832" customFormat="1" x14ac:dyDescent="0.15"/>
    <row r="1044833" customFormat="1" x14ac:dyDescent="0.15"/>
    <row r="1044834" customFormat="1" x14ac:dyDescent="0.15"/>
    <row r="1044835" customFormat="1" x14ac:dyDescent="0.15"/>
    <row r="1044836" customFormat="1" x14ac:dyDescent="0.15"/>
    <row r="1044837" customFormat="1" x14ac:dyDescent="0.15"/>
    <row r="1044838" customFormat="1" x14ac:dyDescent="0.15"/>
    <row r="1044839" customFormat="1" x14ac:dyDescent="0.15"/>
    <row r="1044840" customFormat="1" x14ac:dyDescent="0.15"/>
    <row r="1044841" customFormat="1" x14ac:dyDescent="0.15"/>
    <row r="1044842" customFormat="1" x14ac:dyDescent="0.15"/>
    <row r="1044843" customFormat="1" x14ac:dyDescent="0.15"/>
    <row r="1044844" customFormat="1" x14ac:dyDescent="0.15"/>
    <row r="1044845" customFormat="1" x14ac:dyDescent="0.15"/>
    <row r="1044846" customFormat="1" x14ac:dyDescent="0.15"/>
    <row r="1044847" customFormat="1" x14ac:dyDescent="0.15"/>
    <row r="1044848" customFormat="1" x14ac:dyDescent="0.15"/>
    <row r="1044849" customFormat="1" x14ac:dyDescent="0.15"/>
    <row r="1044850" customFormat="1" x14ac:dyDescent="0.15"/>
    <row r="1044851" customFormat="1" x14ac:dyDescent="0.15"/>
    <row r="1044852" customFormat="1" x14ac:dyDescent="0.15"/>
    <row r="1044853" customFormat="1" x14ac:dyDescent="0.15"/>
    <row r="1044854" customFormat="1" x14ac:dyDescent="0.15"/>
    <row r="1044855" customFormat="1" x14ac:dyDescent="0.15"/>
    <row r="1044856" customFormat="1" x14ac:dyDescent="0.15"/>
    <row r="1044857" customFormat="1" x14ac:dyDescent="0.15"/>
    <row r="1044858" customFormat="1" x14ac:dyDescent="0.15"/>
    <row r="1044859" customFormat="1" x14ac:dyDescent="0.15"/>
    <row r="1044860" customFormat="1" x14ac:dyDescent="0.15"/>
    <row r="1044861" customFormat="1" x14ac:dyDescent="0.15"/>
    <row r="1044862" customFormat="1" x14ac:dyDescent="0.15"/>
    <row r="1044863" customFormat="1" x14ac:dyDescent="0.15"/>
    <row r="1044864" customFormat="1" x14ac:dyDescent="0.15"/>
    <row r="1044865" customFormat="1" x14ac:dyDescent="0.15"/>
    <row r="1044866" customFormat="1" x14ac:dyDescent="0.15"/>
    <row r="1044867" customFormat="1" x14ac:dyDescent="0.15"/>
    <row r="1044868" customFormat="1" x14ac:dyDescent="0.15"/>
    <row r="1044869" customFormat="1" x14ac:dyDescent="0.15"/>
    <row r="1044870" customFormat="1" x14ac:dyDescent="0.15"/>
    <row r="1044871" customFormat="1" x14ac:dyDescent="0.15"/>
    <row r="1044872" customFormat="1" x14ac:dyDescent="0.15"/>
    <row r="1044873" customFormat="1" x14ac:dyDescent="0.15"/>
    <row r="1044874" customFormat="1" x14ac:dyDescent="0.15"/>
    <row r="1044875" customFormat="1" x14ac:dyDescent="0.15"/>
    <row r="1044876" customFormat="1" x14ac:dyDescent="0.15"/>
    <row r="1044877" customFormat="1" x14ac:dyDescent="0.15"/>
    <row r="1044878" customFormat="1" x14ac:dyDescent="0.15"/>
    <row r="1044879" customFormat="1" x14ac:dyDescent="0.15"/>
    <row r="1044880" customFormat="1" x14ac:dyDescent="0.15"/>
    <row r="1044881" customFormat="1" x14ac:dyDescent="0.15"/>
    <row r="1044882" customFormat="1" x14ac:dyDescent="0.15"/>
    <row r="1044883" customFormat="1" x14ac:dyDescent="0.15"/>
    <row r="1044884" customFormat="1" x14ac:dyDescent="0.15"/>
    <row r="1044885" customFormat="1" x14ac:dyDescent="0.15"/>
    <row r="1044886" customFormat="1" x14ac:dyDescent="0.15"/>
    <row r="1044887" customFormat="1" x14ac:dyDescent="0.15"/>
    <row r="1044888" customFormat="1" x14ac:dyDescent="0.15"/>
    <row r="1044889" customFormat="1" x14ac:dyDescent="0.15"/>
    <row r="1044890" customFormat="1" x14ac:dyDescent="0.15"/>
    <row r="1044891" customFormat="1" x14ac:dyDescent="0.15"/>
    <row r="1044892" customFormat="1" x14ac:dyDescent="0.15"/>
    <row r="1044893" customFormat="1" x14ac:dyDescent="0.15"/>
    <row r="1044894" customFormat="1" x14ac:dyDescent="0.15"/>
    <row r="1044895" customFormat="1" x14ac:dyDescent="0.15"/>
    <row r="1044896" customFormat="1" x14ac:dyDescent="0.15"/>
    <row r="1044897" customFormat="1" x14ac:dyDescent="0.15"/>
    <row r="1044898" customFormat="1" x14ac:dyDescent="0.15"/>
    <row r="1044899" customFormat="1" x14ac:dyDescent="0.15"/>
    <row r="1044900" customFormat="1" x14ac:dyDescent="0.15"/>
    <row r="1044901" customFormat="1" x14ac:dyDescent="0.15"/>
    <row r="1044902" customFormat="1" x14ac:dyDescent="0.15"/>
    <row r="1044903" customFormat="1" x14ac:dyDescent="0.15"/>
    <row r="1044904" customFormat="1" x14ac:dyDescent="0.15"/>
    <row r="1044905" customFormat="1" x14ac:dyDescent="0.15"/>
    <row r="1044906" customFormat="1" x14ac:dyDescent="0.15"/>
    <row r="1044907" customFormat="1" x14ac:dyDescent="0.15"/>
    <row r="1044908" customFormat="1" x14ac:dyDescent="0.15"/>
    <row r="1044909" customFormat="1" x14ac:dyDescent="0.15"/>
    <row r="1044910" customFormat="1" x14ac:dyDescent="0.15"/>
    <row r="1044911" customFormat="1" x14ac:dyDescent="0.15"/>
    <row r="1044912" customFormat="1" x14ac:dyDescent="0.15"/>
    <row r="1044913" customFormat="1" x14ac:dyDescent="0.15"/>
    <row r="1044914" customFormat="1" x14ac:dyDescent="0.15"/>
    <row r="1044915" customFormat="1" x14ac:dyDescent="0.15"/>
    <row r="1044916" customFormat="1" x14ac:dyDescent="0.15"/>
    <row r="1044917" customFormat="1" x14ac:dyDescent="0.15"/>
    <row r="1044918" customFormat="1" x14ac:dyDescent="0.15"/>
    <row r="1044919" customFormat="1" x14ac:dyDescent="0.15"/>
    <row r="1044920" customFormat="1" x14ac:dyDescent="0.15"/>
    <row r="1044921" customFormat="1" x14ac:dyDescent="0.15"/>
    <row r="1044922" customFormat="1" x14ac:dyDescent="0.15"/>
    <row r="1044923" customFormat="1" x14ac:dyDescent="0.15"/>
    <row r="1044924" customFormat="1" x14ac:dyDescent="0.15"/>
    <row r="1044925" customFormat="1" x14ac:dyDescent="0.15"/>
    <row r="1044926" customFormat="1" x14ac:dyDescent="0.15"/>
    <row r="1044927" customFormat="1" x14ac:dyDescent="0.15"/>
    <row r="1044928" customFormat="1" x14ac:dyDescent="0.15"/>
    <row r="1044929" customFormat="1" x14ac:dyDescent="0.15"/>
    <row r="1044930" customFormat="1" x14ac:dyDescent="0.15"/>
    <row r="1044931" customFormat="1" x14ac:dyDescent="0.15"/>
    <row r="1044932" customFormat="1" x14ac:dyDescent="0.15"/>
    <row r="1044933" customFormat="1" x14ac:dyDescent="0.15"/>
    <row r="1044934" customFormat="1" x14ac:dyDescent="0.15"/>
    <row r="1044935" customFormat="1" x14ac:dyDescent="0.15"/>
    <row r="1044936" customFormat="1" x14ac:dyDescent="0.15"/>
    <row r="1044937" customFormat="1" x14ac:dyDescent="0.15"/>
    <row r="1044938" customFormat="1" x14ac:dyDescent="0.15"/>
    <row r="1044939" customFormat="1" x14ac:dyDescent="0.15"/>
    <row r="1044940" customFormat="1" x14ac:dyDescent="0.15"/>
    <row r="1044941" customFormat="1" x14ac:dyDescent="0.15"/>
    <row r="1044942" customFormat="1" x14ac:dyDescent="0.15"/>
    <row r="1044943" customFormat="1" x14ac:dyDescent="0.15"/>
    <row r="1044944" customFormat="1" x14ac:dyDescent="0.15"/>
    <row r="1044945" customFormat="1" x14ac:dyDescent="0.15"/>
    <row r="1044946" customFormat="1" x14ac:dyDescent="0.15"/>
    <row r="1044947" customFormat="1" x14ac:dyDescent="0.15"/>
    <row r="1044948" customFormat="1" x14ac:dyDescent="0.15"/>
    <row r="1044949" customFormat="1" x14ac:dyDescent="0.15"/>
    <row r="1044950" customFormat="1" x14ac:dyDescent="0.15"/>
    <row r="1044951" customFormat="1" x14ac:dyDescent="0.15"/>
    <row r="1044952" customFormat="1" x14ac:dyDescent="0.15"/>
    <row r="1044953" customFormat="1" x14ac:dyDescent="0.15"/>
    <row r="1044954" customFormat="1" x14ac:dyDescent="0.15"/>
    <row r="1044955" customFormat="1" x14ac:dyDescent="0.15"/>
    <row r="1044956" customFormat="1" x14ac:dyDescent="0.15"/>
    <row r="1044957" customFormat="1" x14ac:dyDescent="0.15"/>
    <row r="1044958" customFormat="1" x14ac:dyDescent="0.15"/>
    <row r="1044959" customFormat="1" x14ac:dyDescent="0.15"/>
    <row r="1044960" customFormat="1" x14ac:dyDescent="0.15"/>
    <row r="1044961" customFormat="1" x14ac:dyDescent="0.15"/>
    <row r="1044962" customFormat="1" x14ac:dyDescent="0.15"/>
    <row r="1044963" customFormat="1" x14ac:dyDescent="0.15"/>
    <row r="1044964" customFormat="1" x14ac:dyDescent="0.15"/>
    <row r="1044965" customFormat="1" x14ac:dyDescent="0.15"/>
    <row r="1044966" customFormat="1" x14ac:dyDescent="0.15"/>
    <row r="1044967" customFormat="1" x14ac:dyDescent="0.15"/>
    <row r="1044968" customFormat="1" x14ac:dyDescent="0.15"/>
    <row r="1044969" customFormat="1" x14ac:dyDescent="0.15"/>
    <row r="1044970" customFormat="1" x14ac:dyDescent="0.15"/>
    <row r="1044971" customFormat="1" x14ac:dyDescent="0.15"/>
    <row r="1044972" customFormat="1" x14ac:dyDescent="0.15"/>
    <row r="1044973" customFormat="1" x14ac:dyDescent="0.15"/>
    <row r="1044974" customFormat="1" x14ac:dyDescent="0.15"/>
    <row r="1044975" customFormat="1" x14ac:dyDescent="0.15"/>
    <row r="1044976" customFormat="1" x14ac:dyDescent="0.15"/>
    <row r="1044977" customFormat="1" x14ac:dyDescent="0.15"/>
    <row r="1044978" customFormat="1" x14ac:dyDescent="0.15"/>
    <row r="1044979" customFormat="1" x14ac:dyDescent="0.15"/>
    <row r="1044980" customFormat="1" x14ac:dyDescent="0.15"/>
    <row r="1044981" customFormat="1" x14ac:dyDescent="0.15"/>
    <row r="1044982" customFormat="1" x14ac:dyDescent="0.15"/>
    <row r="1044983" customFormat="1" x14ac:dyDescent="0.15"/>
    <row r="1044984" customFormat="1" x14ac:dyDescent="0.15"/>
    <row r="1044985" customFormat="1" x14ac:dyDescent="0.15"/>
    <row r="1044986" customFormat="1" x14ac:dyDescent="0.15"/>
    <row r="1044987" customFormat="1" x14ac:dyDescent="0.15"/>
    <row r="1044988" customFormat="1" x14ac:dyDescent="0.15"/>
    <row r="1044989" customFormat="1" x14ac:dyDescent="0.15"/>
    <row r="1044990" customFormat="1" x14ac:dyDescent="0.15"/>
    <row r="1044991" customFormat="1" x14ac:dyDescent="0.15"/>
    <row r="1044992" customFormat="1" x14ac:dyDescent="0.15"/>
    <row r="1044993" customFormat="1" x14ac:dyDescent="0.15"/>
    <row r="1044994" customFormat="1" x14ac:dyDescent="0.15"/>
    <row r="1044995" customFormat="1" x14ac:dyDescent="0.15"/>
    <row r="1044996" customFormat="1" x14ac:dyDescent="0.15"/>
    <row r="1044997" customFormat="1" x14ac:dyDescent="0.15"/>
    <row r="1044998" customFormat="1" x14ac:dyDescent="0.15"/>
    <row r="1044999" customFormat="1" x14ac:dyDescent="0.15"/>
    <row r="1045000" customFormat="1" x14ac:dyDescent="0.15"/>
    <row r="1045001" customFormat="1" x14ac:dyDescent="0.15"/>
    <row r="1045002" customFormat="1" x14ac:dyDescent="0.15"/>
    <row r="1045003" customFormat="1" x14ac:dyDescent="0.15"/>
    <row r="1045004" customFormat="1" x14ac:dyDescent="0.15"/>
    <row r="1045005" customFormat="1" x14ac:dyDescent="0.15"/>
    <row r="1045006" customFormat="1" x14ac:dyDescent="0.15"/>
    <row r="1045007" customFormat="1" x14ac:dyDescent="0.15"/>
    <row r="1045008" customFormat="1" x14ac:dyDescent="0.15"/>
    <row r="1045009" customFormat="1" x14ac:dyDescent="0.15"/>
    <row r="1045010" customFormat="1" x14ac:dyDescent="0.15"/>
    <row r="1045011" customFormat="1" x14ac:dyDescent="0.15"/>
    <row r="1045012" customFormat="1" x14ac:dyDescent="0.15"/>
    <row r="1045013" customFormat="1" x14ac:dyDescent="0.15"/>
    <row r="1045014" customFormat="1" x14ac:dyDescent="0.15"/>
    <row r="1045015" customFormat="1" x14ac:dyDescent="0.15"/>
    <row r="1045016" customFormat="1" x14ac:dyDescent="0.15"/>
    <row r="1045017" customFormat="1" x14ac:dyDescent="0.15"/>
    <row r="1045018" customFormat="1" x14ac:dyDescent="0.15"/>
    <row r="1045019" customFormat="1" x14ac:dyDescent="0.15"/>
    <row r="1045020" customFormat="1" x14ac:dyDescent="0.15"/>
    <row r="1045021" customFormat="1" x14ac:dyDescent="0.15"/>
    <row r="1045022" customFormat="1" x14ac:dyDescent="0.15"/>
    <row r="1045023" customFormat="1" x14ac:dyDescent="0.15"/>
    <row r="1045024" customFormat="1" x14ac:dyDescent="0.15"/>
    <row r="1045025" customFormat="1" x14ac:dyDescent="0.15"/>
    <row r="1045026" customFormat="1" x14ac:dyDescent="0.15"/>
    <row r="1045027" customFormat="1" x14ac:dyDescent="0.15"/>
    <row r="1045028" customFormat="1" x14ac:dyDescent="0.15"/>
    <row r="1045029" customFormat="1" x14ac:dyDescent="0.15"/>
    <row r="1045030" customFormat="1" x14ac:dyDescent="0.15"/>
    <row r="1045031" customFormat="1" x14ac:dyDescent="0.15"/>
    <row r="1045032" customFormat="1" x14ac:dyDescent="0.15"/>
    <row r="1045033" customFormat="1" x14ac:dyDescent="0.15"/>
    <row r="1045034" customFormat="1" x14ac:dyDescent="0.15"/>
    <row r="1045035" customFormat="1" x14ac:dyDescent="0.15"/>
    <row r="1045036" customFormat="1" x14ac:dyDescent="0.15"/>
    <row r="1045037" customFormat="1" x14ac:dyDescent="0.15"/>
    <row r="1045038" customFormat="1" x14ac:dyDescent="0.15"/>
    <row r="1045039" customFormat="1" x14ac:dyDescent="0.15"/>
    <row r="1045040" customFormat="1" x14ac:dyDescent="0.15"/>
    <row r="1045041" customFormat="1" x14ac:dyDescent="0.15"/>
    <row r="1045042" customFormat="1" x14ac:dyDescent="0.15"/>
    <row r="1045043" customFormat="1" x14ac:dyDescent="0.15"/>
    <row r="1045044" customFormat="1" x14ac:dyDescent="0.15"/>
    <row r="1045045" customFormat="1" x14ac:dyDescent="0.15"/>
    <row r="1045046" customFormat="1" x14ac:dyDescent="0.15"/>
    <row r="1045047" customFormat="1" x14ac:dyDescent="0.15"/>
    <row r="1045048" customFormat="1" x14ac:dyDescent="0.15"/>
    <row r="1045049" customFormat="1" x14ac:dyDescent="0.15"/>
    <row r="1045050" customFormat="1" x14ac:dyDescent="0.15"/>
    <row r="1045051" customFormat="1" x14ac:dyDescent="0.15"/>
    <row r="1045052" customFormat="1" x14ac:dyDescent="0.15"/>
    <row r="1045053" customFormat="1" x14ac:dyDescent="0.15"/>
    <row r="1045054" customFormat="1" x14ac:dyDescent="0.15"/>
    <row r="1045055" customFormat="1" x14ac:dyDescent="0.15"/>
    <row r="1045056" customFormat="1" x14ac:dyDescent="0.15"/>
    <row r="1045057" customFormat="1" x14ac:dyDescent="0.15"/>
    <row r="1045058" customFormat="1" x14ac:dyDescent="0.15"/>
    <row r="1045059" customFormat="1" x14ac:dyDescent="0.15"/>
    <row r="1045060" customFormat="1" x14ac:dyDescent="0.15"/>
    <row r="1045061" customFormat="1" x14ac:dyDescent="0.15"/>
    <row r="1045062" customFormat="1" x14ac:dyDescent="0.15"/>
    <row r="1045063" customFormat="1" x14ac:dyDescent="0.15"/>
    <row r="1045064" customFormat="1" x14ac:dyDescent="0.15"/>
    <row r="1045065" customFormat="1" x14ac:dyDescent="0.15"/>
    <row r="1045066" customFormat="1" x14ac:dyDescent="0.15"/>
    <row r="1045067" customFormat="1" x14ac:dyDescent="0.15"/>
    <row r="1045068" customFormat="1" x14ac:dyDescent="0.15"/>
    <row r="1045069" customFormat="1" x14ac:dyDescent="0.15"/>
    <row r="1045070" customFormat="1" x14ac:dyDescent="0.15"/>
    <row r="1045071" customFormat="1" x14ac:dyDescent="0.15"/>
    <row r="1045072" customFormat="1" x14ac:dyDescent="0.15"/>
    <row r="1045073" customFormat="1" x14ac:dyDescent="0.15"/>
    <row r="1045074" customFormat="1" x14ac:dyDescent="0.15"/>
    <row r="1045075" customFormat="1" x14ac:dyDescent="0.15"/>
    <row r="1045076" customFormat="1" x14ac:dyDescent="0.15"/>
    <row r="1045077" customFormat="1" x14ac:dyDescent="0.15"/>
    <row r="1045078" customFormat="1" x14ac:dyDescent="0.15"/>
    <row r="1045079" customFormat="1" x14ac:dyDescent="0.15"/>
    <row r="1045080" customFormat="1" x14ac:dyDescent="0.15"/>
    <row r="1045081" customFormat="1" x14ac:dyDescent="0.15"/>
    <row r="1045082" customFormat="1" x14ac:dyDescent="0.15"/>
    <row r="1045083" customFormat="1" x14ac:dyDescent="0.15"/>
    <row r="1045084" customFormat="1" x14ac:dyDescent="0.15"/>
    <row r="1045085" customFormat="1" x14ac:dyDescent="0.15"/>
    <row r="1045086" customFormat="1" x14ac:dyDescent="0.15"/>
    <row r="1045087" customFormat="1" x14ac:dyDescent="0.15"/>
    <row r="1045088" customFormat="1" x14ac:dyDescent="0.15"/>
    <row r="1045089" customFormat="1" x14ac:dyDescent="0.15"/>
    <row r="1045090" customFormat="1" x14ac:dyDescent="0.15"/>
    <row r="1045091" customFormat="1" x14ac:dyDescent="0.15"/>
    <row r="1045092" customFormat="1" x14ac:dyDescent="0.15"/>
    <row r="1045093" customFormat="1" x14ac:dyDescent="0.15"/>
    <row r="1045094" customFormat="1" x14ac:dyDescent="0.15"/>
    <row r="1045095" customFormat="1" x14ac:dyDescent="0.15"/>
    <row r="1045096" customFormat="1" x14ac:dyDescent="0.15"/>
    <row r="1045097" customFormat="1" x14ac:dyDescent="0.15"/>
    <row r="1045098" customFormat="1" x14ac:dyDescent="0.15"/>
    <row r="1045099" customFormat="1" x14ac:dyDescent="0.15"/>
    <row r="1045100" customFormat="1" x14ac:dyDescent="0.15"/>
    <row r="1045101" customFormat="1" x14ac:dyDescent="0.15"/>
    <row r="1045102" customFormat="1" x14ac:dyDescent="0.15"/>
    <row r="1045103" customFormat="1" x14ac:dyDescent="0.15"/>
    <row r="1045104" customFormat="1" x14ac:dyDescent="0.15"/>
    <row r="1045105" customFormat="1" x14ac:dyDescent="0.15"/>
    <row r="1045106" customFormat="1" x14ac:dyDescent="0.15"/>
    <row r="1045107" customFormat="1" x14ac:dyDescent="0.15"/>
    <row r="1045108" customFormat="1" x14ac:dyDescent="0.15"/>
    <row r="1045109" customFormat="1" x14ac:dyDescent="0.15"/>
    <row r="1045110" customFormat="1" x14ac:dyDescent="0.15"/>
    <row r="1045111" customFormat="1" x14ac:dyDescent="0.15"/>
    <row r="1045112" customFormat="1" x14ac:dyDescent="0.15"/>
    <row r="1045113" customFormat="1" x14ac:dyDescent="0.15"/>
    <row r="1045114" customFormat="1" x14ac:dyDescent="0.15"/>
    <row r="1045115" customFormat="1" x14ac:dyDescent="0.15"/>
    <row r="1045116" customFormat="1" x14ac:dyDescent="0.15"/>
    <row r="1045117" customFormat="1" x14ac:dyDescent="0.15"/>
    <row r="1045118" customFormat="1" x14ac:dyDescent="0.15"/>
    <row r="1045119" customFormat="1" x14ac:dyDescent="0.15"/>
    <row r="1045120" customFormat="1" x14ac:dyDescent="0.15"/>
    <row r="1045121" customFormat="1" x14ac:dyDescent="0.15"/>
    <row r="1045122" customFormat="1" x14ac:dyDescent="0.15"/>
    <row r="1045123" customFormat="1" x14ac:dyDescent="0.15"/>
    <row r="1045124" customFormat="1" x14ac:dyDescent="0.15"/>
    <row r="1045125" customFormat="1" x14ac:dyDescent="0.15"/>
    <row r="1045126" customFormat="1" x14ac:dyDescent="0.15"/>
    <row r="1045127" customFormat="1" x14ac:dyDescent="0.15"/>
    <row r="1045128" customFormat="1" x14ac:dyDescent="0.15"/>
    <row r="1045129" customFormat="1" x14ac:dyDescent="0.15"/>
    <row r="1045130" customFormat="1" x14ac:dyDescent="0.15"/>
    <row r="1045131" customFormat="1" x14ac:dyDescent="0.15"/>
    <row r="1045132" customFormat="1" x14ac:dyDescent="0.15"/>
    <row r="1045133" customFormat="1" x14ac:dyDescent="0.15"/>
    <row r="1045134" customFormat="1" x14ac:dyDescent="0.15"/>
    <row r="1045135" customFormat="1" x14ac:dyDescent="0.15"/>
    <row r="1045136" customFormat="1" x14ac:dyDescent="0.15"/>
    <row r="1045137" customFormat="1" x14ac:dyDescent="0.15"/>
    <row r="1045138" customFormat="1" x14ac:dyDescent="0.15"/>
    <row r="1045139" customFormat="1" x14ac:dyDescent="0.15"/>
    <row r="1045140" customFormat="1" x14ac:dyDescent="0.15"/>
    <row r="1045141" customFormat="1" x14ac:dyDescent="0.15"/>
    <row r="1045142" customFormat="1" x14ac:dyDescent="0.15"/>
    <row r="1045143" customFormat="1" x14ac:dyDescent="0.15"/>
    <row r="1045144" customFormat="1" x14ac:dyDescent="0.15"/>
    <row r="1045145" customFormat="1" x14ac:dyDescent="0.15"/>
    <row r="1045146" customFormat="1" x14ac:dyDescent="0.15"/>
    <row r="1045147" customFormat="1" x14ac:dyDescent="0.15"/>
    <row r="1045148" customFormat="1" x14ac:dyDescent="0.15"/>
    <row r="1045149" customFormat="1" x14ac:dyDescent="0.15"/>
    <row r="1045150" customFormat="1" x14ac:dyDescent="0.15"/>
    <row r="1045151" customFormat="1" x14ac:dyDescent="0.15"/>
    <row r="1045152" customFormat="1" x14ac:dyDescent="0.15"/>
    <row r="1045153" customFormat="1" x14ac:dyDescent="0.15"/>
    <row r="1045154" customFormat="1" x14ac:dyDescent="0.15"/>
    <row r="1045155" customFormat="1" x14ac:dyDescent="0.15"/>
    <row r="1045156" customFormat="1" x14ac:dyDescent="0.15"/>
    <row r="1045157" customFormat="1" x14ac:dyDescent="0.15"/>
    <row r="1045158" customFormat="1" x14ac:dyDescent="0.15"/>
    <row r="1045159" customFormat="1" x14ac:dyDescent="0.15"/>
    <row r="1045160" customFormat="1" x14ac:dyDescent="0.15"/>
    <row r="1045161" customFormat="1" x14ac:dyDescent="0.15"/>
    <row r="1045162" customFormat="1" x14ac:dyDescent="0.15"/>
    <row r="1045163" customFormat="1" x14ac:dyDescent="0.15"/>
    <row r="1045164" customFormat="1" x14ac:dyDescent="0.15"/>
    <row r="1045165" customFormat="1" x14ac:dyDescent="0.15"/>
    <row r="1045166" customFormat="1" x14ac:dyDescent="0.15"/>
    <row r="1045167" customFormat="1" x14ac:dyDescent="0.15"/>
    <row r="1045168" customFormat="1" x14ac:dyDescent="0.15"/>
    <row r="1045169" customFormat="1" x14ac:dyDescent="0.15"/>
    <row r="1045170" customFormat="1" x14ac:dyDescent="0.15"/>
    <row r="1045171" customFormat="1" x14ac:dyDescent="0.15"/>
    <row r="1045172" customFormat="1" x14ac:dyDescent="0.15"/>
    <row r="1045173" customFormat="1" x14ac:dyDescent="0.15"/>
    <row r="1045174" customFormat="1" x14ac:dyDescent="0.15"/>
    <row r="1045175" customFormat="1" x14ac:dyDescent="0.15"/>
    <row r="1045176" customFormat="1" x14ac:dyDescent="0.15"/>
    <row r="1045177" customFormat="1" x14ac:dyDescent="0.15"/>
    <row r="1045178" customFormat="1" x14ac:dyDescent="0.15"/>
    <row r="1045179" customFormat="1" x14ac:dyDescent="0.15"/>
    <row r="1045180" customFormat="1" x14ac:dyDescent="0.15"/>
    <row r="1045181" customFormat="1" x14ac:dyDescent="0.15"/>
    <row r="1045182" customFormat="1" x14ac:dyDescent="0.15"/>
    <row r="1045183" customFormat="1" x14ac:dyDescent="0.15"/>
    <row r="1045184" customFormat="1" x14ac:dyDescent="0.15"/>
    <row r="1045185" customFormat="1" x14ac:dyDescent="0.15"/>
    <row r="1045186" customFormat="1" x14ac:dyDescent="0.15"/>
    <row r="1045187" customFormat="1" x14ac:dyDescent="0.15"/>
    <row r="1045188" customFormat="1" x14ac:dyDescent="0.15"/>
    <row r="1045189" customFormat="1" x14ac:dyDescent="0.15"/>
    <row r="1045190" customFormat="1" x14ac:dyDescent="0.15"/>
    <row r="1045191" customFormat="1" x14ac:dyDescent="0.15"/>
    <row r="1045192" customFormat="1" x14ac:dyDescent="0.15"/>
    <row r="1045193" customFormat="1" x14ac:dyDescent="0.15"/>
    <row r="1045194" customFormat="1" x14ac:dyDescent="0.15"/>
    <row r="1045195" customFormat="1" x14ac:dyDescent="0.15"/>
    <row r="1045196" customFormat="1" x14ac:dyDescent="0.15"/>
    <row r="1045197" customFormat="1" x14ac:dyDescent="0.15"/>
    <row r="1045198" customFormat="1" x14ac:dyDescent="0.15"/>
    <row r="1045199" customFormat="1" x14ac:dyDescent="0.15"/>
    <row r="1045200" customFormat="1" x14ac:dyDescent="0.15"/>
    <row r="1045201" customFormat="1" x14ac:dyDescent="0.15"/>
    <row r="1045202" customFormat="1" x14ac:dyDescent="0.15"/>
    <row r="1045203" customFormat="1" x14ac:dyDescent="0.15"/>
    <row r="1045204" customFormat="1" x14ac:dyDescent="0.15"/>
    <row r="1045205" customFormat="1" x14ac:dyDescent="0.15"/>
    <row r="1045206" customFormat="1" x14ac:dyDescent="0.15"/>
    <row r="1045207" customFormat="1" x14ac:dyDescent="0.15"/>
    <row r="1045208" customFormat="1" x14ac:dyDescent="0.15"/>
    <row r="1045209" customFormat="1" x14ac:dyDescent="0.15"/>
    <row r="1045210" customFormat="1" x14ac:dyDescent="0.15"/>
    <row r="1045211" customFormat="1" x14ac:dyDescent="0.15"/>
    <row r="1045212" customFormat="1" x14ac:dyDescent="0.15"/>
    <row r="1045213" customFormat="1" x14ac:dyDescent="0.15"/>
    <row r="1045214" customFormat="1" x14ac:dyDescent="0.15"/>
    <row r="1045215" customFormat="1" x14ac:dyDescent="0.15"/>
    <row r="1045216" customFormat="1" x14ac:dyDescent="0.15"/>
    <row r="1045217" customFormat="1" x14ac:dyDescent="0.15"/>
    <row r="1045218" customFormat="1" x14ac:dyDescent="0.15"/>
    <row r="1045219" customFormat="1" x14ac:dyDescent="0.15"/>
    <row r="1045220" customFormat="1" x14ac:dyDescent="0.15"/>
    <row r="1045221" customFormat="1" x14ac:dyDescent="0.15"/>
    <row r="1045222" customFormat="1" x14ac:dyDescent="0.15"/>
    <row r="1045223" customFormat="1" x14ac:dyDescent="0.15"/>
    <row r="1045224" customFormat="1" x14ac:dyDescent="0.15"/>
    <row r="1045225" customFormat="1" x14ac:dyDescent="0.15"/>
    <row r="1045226" customFormat="1" x14ac:dyDescent="0.15"/>
    <row r="1045227" customFormat="1" x14ac:dyDescent="0.15"/>
    <row r="1045228" customFormat="1" x14ac:dyDescent="0.15"/>
    <row r="1045229" customFormat="1" x14ac:dyDescent="0.15"/>
    <row r="1045230" customFormat="1" x14ac:dyDescent="0.15"/>
    <row r="1045231" customFormat="1" x14ac:dyDescent="0.15"/>
    <row r="1045232" customFormat="1" x14ac:dyDescent="0.15"/>
    <row r="1045233" customFormat="1" x14ac:dyDescent="0.15"/>
    <row r="1045234" customFormat="1" x14ac:dyDescent="0.15"/>
    <row r="1045235" customFormat="1" x14ac:dyDescent="0.15"/>
    <row r="1045236" customFormat="1" x14ac:dyDescent="0.15"/>
    <row r="1045237" customFormat="1" x14ac:dyDescent="0.15"/>
    <row r="1045238" customFormat="1" x14ac:dyDescent="0.15"/>
    <row r="1045239" customFormat="1" x14ac:dyDescent="0.15"/>
    <row r="1045240" customFormat="1" x14ac:dyDescent="0.15"/>
    <row r="1045241" customFormat="1" x14ac:dyDescent="0.15"/>
    <row r="1045242" customFormat="1" x14ac:dyDescent="0.15"/>
    <row r="1045243" customFormat="1" x14ac:dyDescent="0.15"/>
    <row r="1045244" customFormat="1" x14ac:dyDescent="0.15"/>
    <row r="1045245" customFormat="1" x14ac:dyDescent="0.15"/>
    <row r="1045246" customFormat="1" x14ac:dyDescent="0.15"/>
    <row r="1045247" customFormat="1" x14ac:dyDescent="0.15"/>
    <row r="1045248" customFormat="1" x14ac:dyDescent="0.15"/>
    <row r="1045249" customFormat="1" x14ac:dyDescent="0.15"/>
    <row r="1045250" customFormat="1" x14ac:dyDescent="0.15"/>
    <row r="1045251" customFormat="1" x14ac:dyDescent="0.15"/>
    <row r="1045252" customFormat="1" x14ac:dyDescent="0.15"/>
    <row r="1045253" customFormat="1" x14ac:dyDescent="0.15"/>
    <row r="1045254" customFormat="1" x14ac:dyDescent="0.15"/>
    <row r="1045255" customFormat="1" x14ac:dyDescent="0.15"/>
    <row r="1045256" customFormat="1" x14ac:dyDescent="0.15"/>
    <row r="1045257" customFormat="1" x14ac:dyDescent="0.15"/>
    <row r="1045258" customFormat="1" x14ac:dyDescent="0.15"/>
    <row r="1045259" customFormat="1" x14ac:dyDescent="0.15"/>
    <row r="1045260" customFormat="1" x14ac:dyDescent="0.15"/>
    <row r="1045261" customFormat="1" x14ac:dyDescent="0.15"/>
    <row r="1045262" customFormat="1" x14ac:dyDescent="0.15"/>
    <row r="1045263" customFormat="1" x14ac:dyDescent="0.15"/>
    <row r="1045264" customFormat="1" x14ac:dyDescent="0.15"/>
    <row r="1045265" customFormat="1" x14ac:dyDescent="0.15"/>
    <row r="1045266" customFormat="1" x14ac:dyDescent="0.15"/>
    <row r="1045267" customFormat="1" x14ac:dyDescent="0.15"/>
    <row r="1045268" customFormat="1" x14ac:dyDescent="0.15"/>
    <row r="1045269" customFormat="1" x14ac:dyDescent="0.15"/>
    <row r="1045270" customFormat="1" x14ac:dyDescent="0.15"/>
    <row r="1045271" customFormat="1" x14ac:dyDescent="0.15"/>
    <row r="1045272" customFormat="1" x14ac:dyDescent="0.15"/>
    <row r="1045273" customFormat="1" x14ac:dyDescent="0.15"/>
    <row r="1045274" customFormat="1" x14ac:dyDescent="0.15"/>
    <row r="1045275" customFormat="1" x14ac:dyDescent="0.15"/>
    <row r="1045276" customFormat="1" x14ac:dyDescent="0.15"/>
    <row r="1045277" customFormat="1" x14ac:dyDescent="0.15"/>
    <row r="1045278" customFormat="1" x14ac:dyDescent="0.15"/>
    <row r="1045279" customFormat="1" x14ac:dyDescent="0.15"/>
    <row r="1045280" customFormat="1" x14ac:dyDescent="0.15"/>
    <row r="1045281" customFormat="1" x14ac:dyDescent="0.15"/>
    <row r="1045282" customFormat="1" x14ac:dyDescent="0.15"/>
    <row r="1045283" customFormat="1" x14ac:dyDescent="0.15"/>
    <row r="1045284" customFormat="1" x14ac:dyDescent="0.15"/>
    <row r="1045285" customFormat="1" x14ac:dyDescent="0.15"/>
    <row r="1045286" customFormat="1" x14ac:dyDescent="0.15"/>
    <row r="1045287" customFormat="1" x14ac:dyDescent="0.15"/>
    <row r="1045288" customFormat="1" x14ac:dyDescent="0.15"/>
    <row r="1045289" customFormat="1" x14ac:dyDescent="0.15"/>
    <row r="1045290" customFormat="1" x14ac:dyDescent="0.15"/>
    <row r="1045291" customFormat="1" x14ac:dyDescent="0.15"/>
    <row r="1045292" customFormat="1" x14ac:dyDescent="0.15"/>
    <row r="1045293" customFormat="1" x14ac:dyDescent="0.15"/>
    <row r="1045294" customFormat="1" x14ac:dyDescent="0.15"/>
    <row r="1045295" customFormat="1" x14ac:dyDescent="0.15"/>
    <row r="1045296" customFormat="1" x14ac:dyDescent="0.15"/>
    <row r="1045297" customFormat="1" x14ac:dyDescent="0.15"/>
    <row r="1045298" customFormat="1" x14ac:dyDescent="0.15"/>
    <row r="1045299" customFormat="1" x14ac:dyDescent="0.15"/>
    <row r="1045300" customFormat="1" x14ac:dyDescent="0.15"/>
    <row r="1045301" customFormat="1" x14ac:dyDescent="0.15"/>
    <row r="1045302" customFormat="1" x14ac:dyDescent="0.15"/>
    <row r="1045303" customFormat="1" x14ac:dyDescent="0.15"/>
    <row r="1045304" customFormat="1" x14ac:dyDescent="0.15"/>
    <row r="1045305" customFormat="1" x14ac:dyDescent="0.15"/>
    <row r="1045306" customFormat="1" x14ac:dyDescent="0.15"/>
    <row r="1045307" customFormat="1" x14ac:dyDescent="0.15"/>
    <row r="1045308" customFormat="1" x14ac:dyDescent="0.15"/>
    <row r="1045309" customFormat="1" x14ac:dyDescent="0.15"/>
    <row r="1045310" customFormat="1" x14ac:dyDescent="0.15"/>
    <row r="1045311" customFormat="1" x14ac:dyDescent="0.15"/>
    <row r="1045312" customFormat="1" x14ac:dyDescent="0.15"/>
    <row r="1045313" customFormat="1" x14ac:dyDescent="0.15"/>
    <row r="1045314" customFormat="1" x14ac:dyDescent="0.15"/>
    <row r="1045315" customFormat="1" x14ac:dyDescent="0.15"/>
    <row r="1045316" customFormat="1" x14ac:dyDescent="0.15"/>
    <row r="1045317" customFormat="1" x14ac:dyDescent="0.15"/>
    <row r="1045318" customFormat="1" x14ac:dyDescent="0.15"/>
    <row r="1045319" customFormat="1" x14ac:dyDescent="0.15"/>
    <row r="1045320" customFormat="1" x14ac:dyDescent="0.15"/>
    <row r="1045321" customFormat="1" x14ac:dyDescent="0.15"/>
    <row r="1045322" customFormat="1" x14ac:dyDescent="0.15"/>
    <row r="1045323" customFormat="1" x14ac:dyDescent="0.15"/>
    <row r="1045324" customFormat="1" x14ac:dyDescent="0.15"/>
    <row r="1045325" customFormat="1" x14ac:dyDescent="0.15"/>
    <row r="1045326" customFormat="1" x14ac:dyDescent="0.15"/>
    <row r="1045327" customFormat="1" x14ac:dyDescent="0.15"/>
    <row r="1045328" customFormat="1" x14ac:dyDescent="0.15"/>
    <row r="1045329" customFormat="1" x14ac:dyDescent="0.15"/>
    <row r="1045330" customFormat="1" x14ac:dyDescent="0.15"/>
    <row r="1045331" customFormat="1" x14ac:dyDescent="0.15"/>
    <row r="1045332" customFormat="1" x14ac:dyDescent="0.15"/>
    <row r="1045333" customFormat="1" x14ac:dyDescent="0.15"/>
    <row r="1045334" customFormat="1" x14ac:dyDescent="0.15"/>
    <row r="1045335" customFormat="1" x14ac:dyDescent="0.15"/>
    <row r="1045336" customFormat="1" x14ac:dyDescent="0.15"/>
    <row r="1045337" customFormat="1" x14ac:dyDescent="0.15"/>
    <row r="1045338" customFormat="1" x14ac:dyDescent="0.15"/>
    <row r="1045339" customFormat="1" x14ac:dyDescent="0.15"/>
    <row r="1045340" customFormat="1" x14ac:dyDescent="0.15"/>
    <row r="1045341" customFormat="1" x14ac:dyDescent="0.15"/>
    <row r="1045342" customFormat="1" x14ac:dyDescent="0.15"/>
    <row r="1045343" customFormat="1" x14ac:dyDescent="0.15"/>
    <row r="1045344" customFormat="1" x14ac:dyDescent="0.15"/>
    <row r="1045345" customFormat="1" x14ac:dyDescent="0.15"/>
    <row r="1045346" customFormat="1" x14ac:dyDescent="0.15"/>
    <row r="1045347" customFormat="1" x14ac:dyDescent="0.15"/>
    <row r="1045348" customFormat="1" x14ac:dyDescent="0.15"/>
    <row r="1045349" customFormat="1" x14ac:dyDescent="0.15"/>
    <row r="1045350" customFormat="1" x14ac:dyDescent="0.15"/>
    <row r="1045351" customFormat="1" x14ac:dyDescent="0.15"/>
    <row r="1045352" customFormat="1" x14ac:dyDescent="0.15"/>
    <row r="1045353" customFormat="1" x14ac:dyDescent="0.15"/>
    <row r="1045354" customFormat="1" x14ac:dyDescent="0.15"/>
    <row r="1045355" customFormat="1" x14ac:dyDescent="0.15"/>
    <row r="1045356" customFormat="1" x14ac:dyDescent="0.15"/>
    <row r="1045357" customFormat="1" x14ac:dyDescent="0.15"/>
    <row r="1045358" customFormat="1" x14ac:dyDescent="0.15"/>
    <row r="1045359" customFormat="1" x14ac:dyDescent="0.15"/>
    <row r="1045360" customFormat="1" x14ac:dyDescent="0.15"/>
    <row r="1045361" customFormat="1" x14ac:dyDescent="0.15"/>
    <row r="1045362" customFormat="1" x14ac:dyDescent="0.15"/>
    <row r="1045363" customFormat="1" x14ac:dyDescent="0.15"/>
    <row r="1045364" customFormat="1" x14ac:dyDescent="0.15"/>
    <row r="1045365" customFormat="1" x14ac:dyDescent="0.15"/>
    <row r="1045366" customFormat="1" x14ac:dyDescent="0.15"/>
    <row r="1045367" customFormat="1" x14ac:dyDescent="0.15"/>
    <row r="1045368" customFormat="1" x14ac:dyDescent="0.15"/>
    <row r="1045369" customFormat="1" x14ac:dyDescent="0.15"/>
    <row r="1045370" customFormat="1" x14ac:dyDescent="0.15"/>
    <row r="1045371" customFormat="1" x14ac:dyDescent="0.15"/>
    <row r="1045372" customFormat="1" x14ac:dyDescent="0.15"/>
    <row r="1045373" customFormat="1" x14ac:dyDescent="0.15"/>
    <row r="1045374" customFormat="1" x14ac:dyDescent="0.15"/>
    <row r="1045375" customFormat="1" x14ac:dyDescent="0.15"/>
    <row r="1045376" customFormat="1" x14ac:dyDescent="0.15"/>
    <row r="1045377" customFormat="1" x14ac:dyDescent="0.15"/>
    <row r="1045378" customFormat="1" x14ac:dyDescent="0.15"/>
    <row r="1045379" customFormat="1" x14ac:dyDescent="0.15"/>
    <row r="1045380" customFormat="1" x14ac:dyDescent="0.15"/>
    <row r="1045381" customFormat="1" x14ac:dyDescent="0.15"/>
    <row r="1045382" customFormat="1" x14ac:dyDescent="0.15"/>
    <row r="1045383" customFormat="1" x14ac:dyDescent="0.15"/>
    <row r="1045384" customFormat="1" x14ac:dyDescent="0.15"/>
    <row r="1045385" customFormat="1" x14ac:dyDescent="0.15"/>
    <row r="1045386" customFormat="1" x14ac:dyDescent="0.15"/>
    <row r="1045387" customFormat="1" x14ac:dyDescent="0.15"/>
    <row r="1045388" customFormat="1" x14ac:dyDescent="0.15"/>
    <row r="1045389" customFormat="1" x14ac:dyDescent="0.15"/>
    <row r="1045390" customFormat="1" x14ac:dyDescent="0.15"/>
    <row r="1045391" customFormat="1" x14ac:dyDescent="0.15"/>
    <row r="1045392" customFormat="1" x14ac:dyDescent="0.15"/>
    <row r="1045393" customFormat="1" x14ac:dyDescent="0.15"/>
    <row r="1045394" customFormat="1" x14ac:dyDescent="0.15"/>
    <row r="1045395" customFormat="1" x14ac:dyDescent="0.15"/>
    <row r="1045396" customFormat="1" x14ac:dyDescent="0.15"/>
    <row r="1045397" customFormat="1" x14ac:dyDescent="0.15"/>
    <row r="1045398" customFormat="1" x14ac:dyDescent="0.15"/>
    <row r="1045399" customFormat="1" x14ac:dyDescent="0.15"/>
    <row r="1045400" customFormat="1" x14ac:dyDescent="0.15"/>
    <row r="1045401" customFormat="1" x14ac:dyDescent="0.15"/>
    <row r="1045402" customFormat="1" x14ac:dyDescent="0.15"/>
    <row r="1045403" customFormat="1" x14ac:dyDescent="0.15"/>
    <row r="1045404" customFormat="1" x14ac:dyDescent="0.15"/>
    <row r="1045405" customFormat="1" x14ac:dyDescent="0.15"/>
    <row r="1045406" customFormat="1" x14ac:dyDescent="0.15"/>
    <row r="1045407" customFormat="1" x14ac:dyDescent="0.15"/>
    <row r="1045408" customFormat="1" x14ac:dyDescent="0.15"/>
    <row r="1045409" customFormat="1" x14ac:dyDescent="0.15"/>
    <row r="1045410" customFormat="1" x14ac:dyDescent="0.15"/>
    <row r="1045411" customFormat="1" x14ac:dyDescent="0.15"/>
    <row r="1045412" customFormat="1" x14ac:dyDescent="0.15"/>
    <row r="1045413" customFormat="1" x14ac:dyDescent="0.15"/>
    <row r="1045414" customFormat="1" x14ac:dyDescent="0.15"/>
    <row r="1045415" customFormat="1" x14ac:dyDescent="0.15"/>
    <row r="1045416" customFormat="1" x14ac:dyDescent="0.15"/>
    <row r="1045417" customFormat="1" x14ac:dyDescent="0.15"/>
    <row r="1045418" customFormat="1" x14ac:dyDescent="0.15"/>
    <row r="1045419" customFormat="1" x14ac:dyDescent="0.15"/>
    <row r="1045420" customFormat="1" x14ac:dyDescent="0.15"/>
    <row r="1045421" customFormat="1" x14ac:dyDescent="0.15"/>
    <row r="1045422" customFormat="1" x14ac:dyDescent="0.15"/>
    <row r="1045423" customFormat="1" x14ac:dyDescent="0.15"/>
    <row r="1045424" customFormat="1" x14ac:dyDescent="0.15"/>
    <row r="1045425" customFormat="1" x14ac:dyDescent="0.15"/>
    <row r="1045426" customFormat="1" x14ac:dyDescent="0.15"/>
    <row r="1045427" customFormat="1" x14ac:dyDescent="0.15"/>
    <row r="1045428" customFormat="1" x14ac:dyDescent="0.15"/>
    <row r="1045429" customFormat="1" x14ac:dyDescent="0.15"/>
    <row r="1045430" customFormat="1" x14ac:dyDescent="0.15"/>
    <row r="1045431" customFormat="1" x14ac:dyDescent="0.15"/>
    <row r="1045432" customFormat="1" x14ac:dyDescent="0.15"/>
    <row r="1045433" customFormat="1" x14ac:dyDescent="0.15"/>
    <row r="1045434" customFormat="1" x14ac:dyDescent="0.15"/>
    <row r="1045435" customFormat="1" x14ac:dyDescent="0.15"/>
    <row r="1045436" customFormat="1" x14ac:dyDescent="0.15"/>
    <row r="1045437" customFormat="1" x14ac:dyDescent="0.15"/>
    <row r="1045438" customFormat="1" x14ac:dyDescent="0.15"/>
    <row r="1045439" customFormat="1" x14ac:dyDescent="0.15"/>
    <row r="1045440" customFormat="1" x14ac:dyDescent="0.15"/>
    <row r="1045441" customFormat="1" x14ac:dyDescent="0.15"/>
    <row r="1045442" customFormat="1" x14ac:dyDescent="0.15"/>
    <row r="1045443" customFormat="1" x14ac:dyDescent="0.15"/>
    <row r="1045444" customFormat="1" x14ac:dyDescent="0.15"/>
    <row r="1045445" customFormat="1" x14ac:dyDescent="0.15"/>
    <row r="1045446" customFormat="1" x14ac:dyDescent="0.15"/>
    <row r="1045447" customFormat="1" x14ac:dyDescent="0.15"/>
    <row r="1045448" customFormat="1" x14ac:dyDescent="0.15"/>
    <row r="1045449" customFormat="1" x14ac:dyDescent="0.15"/>
    <row r="1045450" customFormat="1" x14ac:dyDescent="0.15"/>
    <row r="1045451" customFormat="1" x14ac:dyDescent="0.15"/>
    <row r="1045452" customFormat="1" x14ac:dyDescent="0.15"/>
    <row r="1045453" customFormat="1" x14ac:dyDescent="0.15"/>
    <row r="1045454" customFormat="1" x14ac:dyDescent="0.15"/>
    <row r="1045455" customFormat="1" x14ac:dyDescent="0.15"/>
    <row r="1045456" customFormat="1" x14ac:dyDescent="0.15"/>
    <row r="1045457" customFormat="1" x14ac:dyDescent="0.15"/>
    <row r="1045458" customFormat="1" x14ac:dyDescent="0.15"/>
    <row r="1045459" customFormat="1" x14ac:dyDescent="0.15"/>
    <row r="1045460" customFormat="1" x14ac:dyDescent="0.15"/>
    <row r="1045461" customFormat="1" x14ac:dyDescent="0.15"/>
    <row r="1045462" customFormat="1" x14ac:dyDescent="0.15"/>
    <row r="1045463" customFormat="1" x14ac:dyDescent="0.15"/>
    <row r="1045464" customFormat="1" x14ac:dyDescent="0.15"/>
    <row r="1045465" customFormat="1" x14ac:dyDescent="0.15"/>
    <row r="1045466" customFormat="1" x14ac:dyDescent="0.15"/>
    <row r="1045467" customFormat="1" x14ac:dyDescent="0.15"/>
    <row r="1045468" customFormat="1" x14ac:dyDescent="0.15"/>
    <row r="1045469" customFormat="1" x14ac:dyDescent="0.15"/>
    <row r="1045470" customFormat="1" x14ac:dyDescent="0.15"/>
    <row r="1045471" customFormat="1" x14ac:dyDescent="0.15"/>
    <row r="1045472" customFormat="1" x14ac:dyDescent="0.15"/>
    <row r="1045473" customFormat="1" x14ac:dyDescent="0.15"/>
    <row r="1045474" customFormat="1" x14ac:dyDescent="0.15"/>
    <row r="1045475" customFormat="1" x14ac:dyDescent="0.15"/>
    <row r="1045476" customFormat="1" x14ac:dyDescent="0.15"/>
    <row r="1045477" customFormat="1" x14ac:dyDescent="0.15"/>
    <row r="1045478" customFormat="1" x14ac:dyDescent="0.15"/>
    <row r="1045479" customFormat="1" x14ac:dyDescent="0.15"/>
    <row r="1045480" customFormat="1" x14ac:dyDescent="0.15"/>
    <row r="1045481" customFormat="1" x14ac:dyDescent="0.15"/>
    <row r="1045482" customFormat="1" x14ac:dyDescent="0.15"/>
    <row r="1045483" customFormat="1" x14ac:dyDescent="0.15"/>
    <row r="1045484" customFormat="1" x14ac:dyDescent="0.15"/>
    <row r="1045485" customFormat="1" x14ac:dyDescent="0.15"/>
    <row r="1045486" customFormat="1" x14ac:dyDescent="0.15"/>
    <row r="1045487" customFormat="1" x14ac:dyDescent="0.15"/>
    <row r="1045488" customFormat="1" x14ac:dyDescent="0.15"/>
    <row r="1045489" customFormat="1" x14ac:dyDescent="0.15"/>
    <row r="1045490" customFormat="1" x14ac:dyDescent="0.15"/>
    <row r="1045491" customFormat="1" x14ac:dyDescent="0.15"/>
    <row r="1045492" customFormat="1" x14ac:dyDescent="0.15"/>
    <row r="1045493" customFormat="1" x14ac:dyDescent="0.15"/>
    <row r="1045494" customFormat="1" x14ac:dyDescent="0.15"/>
    <row r="1045495" customFormat="1" x14ac:dyDescent="0.15"/>
    <row r="1045496" customFormat="1" x14ac:dyDescent="0.15"/>
    <row r="1045497" customFormat="1" x14ac:dyDescent="0.15"/>
    <row r="1045498" customFormat="1" x14ac:dyDescent="0.15"/>
    <row r="1045499" customFormat="1" x14ac:dyDescent="0.15"/>
    <row r="1045500" customFormat="1" x14ac:dyDescent="0.15"/>
    <row r="1045501" customFormat="1" x14ac:dyDescent="0.15"/>
    <row r="1045502" customFormat="1" x14ac:dyDescent="0.15"/>
    <row r="1045503" customFormat="1" x14ac:dyDescent="0.15"/>
    <row r="1045504" customFormat="1" x14ac:dyDescent="0.15"/>
    <row r="1045505" customFormat="1" x14ac:dyDescent="0.15"/>
    <row r="1045506" customFormat="1" x14ac:dyDescent="0.15"/>
    <row r="1045507" customFormat="1" x14ac:dyDescent="0.15"/>
    <row r="1045508" customFormat="1" x14ac:dyDescent="0.15"/>
    <row r="1045509" customFormat="1" x14ac:dyDescent="0.15"/>
    <row r="1045510" customFormat="1" x14ac:dyDescent="0.15"/>
    <row r="1045511" customFormat="1" x14ac:dyDescent="0.15"/>
    <row r="1045512" customFormat="1" x14ac:dyDescent="0.15"/>
    <row r="1045513" customFormat="1" x14ac:dyDescent="0.15"/>
    <row r="1045514" customFormat="1" x14ac:dyDescent="0.15"/>
    <row r="1045515" customFormat="1" x14ac:dyDescent="0.15"/>
    <row r="1045516" customFormat="1" x14ac:dyDescent="0.15"/>
    <row r="1045517" customFormat="1" x14ac:dyDescent="0.15"/>
    <row r="1045518" customFormat="1" x14ac:dyDescent="0.15"/>
    <row r="1045519" customFormat="1" x14ac:dyDescent="0.15"/>
    <row r="1045520" customFormat="1" x14ac:dyDescent="0.15"/>
    <row r="1045521" customFormat="1" x14ac:dyDescent="0.15"/>
    <row r="1045522" customFormat="1" x14ac:dyDescent="0.15"/>
    <row r="1045523" customFormat="1" x14ac:dyDescent="0.15"/>
    <row r="1045524" customFormat="1" x14ac:dyDescent="0.15"/>
    <row r="1045525" customFormat="1" x14ac:dyDescent="0.15"/>
    <row r="1045526" customFormat="1" x14ac:dyDescent="0.15"/>
    <row r="1045527" customFormat="1" x14ac:dyDescent="0.15"/>
    <row r="1045528" customFormat="1" x14ac:dyDescent="0.15"/>
    <row r="1045529" customFormat="1" x14ac:dyDescent="0.15"/>
    <row r="1045530" customFormat="1" x14ac:dyDescent="0.15"/>
    <row r="1045531" customFormat="1" x14ac:dyDescent="0.15"/>
    <row r="1045532" customFormat="1" x14ac:dyDescent="0.15"/>
    <row r="1045533" customFormat="1" x14ac:dyDescent="0.15"/>
    <row r="1045534" customFormat="1" x14ac:dyDescent="0.15"/>
    <row r="1045535" customFormat="1" x14ac:dyDescent="0.15"/>
    <row r="1045536" customFormat="1" x14ac:dyDescent="0.15"/>
    <row r="1045537" customFormat="1" x14ac:dyDescent="0.15"/>
    <row r="1045538" customFormat="1" x14ac:dyDescent="0.15"/>
    <row r="1045539" customFormat="1" x14ac:dyDescent="0.15"/>
    <row r="1045540" customFormat="1" x14ac:dyDescent="0.15"/>
    <row r="1045541" customFormat="1" x14ac:dyDescent="0.15"/>
    <row r="1045542" customFormat="1" x14ac:dyDescent="0.15"/>
    <row r="1045543" customFormat="1" x14ac:dyDescent="0.15"/>
    <row r="1045544" customFormat="1" x14ac:dyDescent="0.15"/>
    <row r="1045545" customFormat="1" x14ac:dyDescent="0.15"/>
    <row r="1045546" customFormat="1" x14ac:dyDescent="0.15"/>
    <row r="1045547" customFormat="1" x14ac:dyDescent="0.15"/>
    <row r="1045548" customFormat="1" x14ac:dyDescent="0.15"/>
    <row r="1045549" customFormat="1" x14ac:dyDescent="0.15"/>
    <row r="1045550" customFormat="1" x14ac:dyDescent="0.15"/>
    <row r="1045551" customFormat="1" x14ac:dyDescent="0.15"/>
    <row r="1045552" customFormat="1" x14ac:dyDescent="0.15"/>
    <row r="1045553" customFormat="1" x14ac:dyDescent="0.15"/>
    <row r="1045554" customFormat="1" x14ac:dyDescent="0.15"/>
    <row r="1045555" customFormat="1" x14ac:dyDescent="0.15"/>
    <row r="1045556" customFormat="1" x14ac:dyDescent="0.15"/>
    <row r="1045557" customFormat="1" x14ac:dyDescent="0.15"/>
    <row r="1045558" customFormat="1" x14ac:dyDescent="0.15"/>
    <row r="1045559" customFormat="1" x14ac:dyDescent="0.15"/>
    <row r="1045560" customFormat="1" x14ac:dyDescent="0.15"/>
    <row r="1045561" customFormat="1" x14ac:dyDescent="0.15"/>
    <row r="1045562" customFormat="1" x14ac:dyDescent="0.15"/>
    <row r="1045563" customFormat="1" x14ac:dyDescent="0.15"/>
    <row r="1045564" customFormat="1" x14ac:dyDescent="0.15"/>
    <row r="1045565" customFormat="1" x14ac:dyDescent="0.15"/>
    <row r="1045566" customFormat="1" x14ac:dyDescent="0.15"/>
    <row r="1045567" customFormat="1" x14ac:dyDescent="0.15"/>
    <row r="1045568" customFormat="1" x14ac:dyDescent="0.15"/>
    <row r="1045569" customFormat="1" x14ac:dyDescent="0.15"/>
    <row r="1045570" customFormat="1" x14ac:dyDescent="0.15"/>
    <row r="1045571" customFormat="1" x14ac:dyDescent="0.15"/>
    <row r="1045572" customFormat="1" x14ac:dyDescent="0.15"/>
    <row r="1045573" customFormat="1" x14ac:dyDescent="0.15"/>
    <row r="1045574" customFormat="1" x14ac:dyDescent="0.15"/>
    <row r="1045575" customFormat="1" x14ac:dyDescent="0.15"/>
    <row r="1045576" customFormat="1" x14ac:dyDescent="0.15"/>
    <row r="1045577" customFormat="1" x14ac:dyDescent="0.15"/>
    <row r="1045578" customFormat="1" x14ac:dyDescent="0.15"/>
    <row r="1045579" customFormat="1" x14ac:dyDescent="0.15"/>
    <row r="1045580" customFormat="1" x14ac:dyDescent="0.15"/>
    <row r="1045581" customFormat="1" x14ac:dyDescent="0.15"/>
    <row r="1045582" customFormat="1" x14ac:dyDescent="0.15"/>
    <row r="1045583" customFormat="1" x14ac:dyDescent="0.15"/>
    <row r="1045584" customFormat="1" x14ac:dyDescent="0.15"/>
    <row r="1045585" customFormat="1" x14ac:dyDescent="0.15"/>
    <row r="1045586" customFormat="1" x14ac:dyDescent="0.15"/>
    <row r="1045587" customFormat="1" x14ac:dyDescent="0.15"/>
    <row r="1045588" customFormat="1" x14ac:dyDescent="0.15"/>
    <row r="1045589" customFormat="1" x14ac:dyDescent="0.15"/>
    <row r="1045590" customFormat="1" x14ac:dyDescent="0.15"/>
    <row r="1045591" customFormat="1" x14ac:dyDescent="0.15"/>
    <row r="1045592" customFormat="1" x14ac:dyDescent="0.15"/>
    <row r="1045593" customFormat="1" x14ac:dyDescent="0.15"/>
    <row r="1045594" customFormat="1" x14ac:dyDescent="0.15"/>
    <row r="1045595" customFormat="1" x14ac:dyDescent="0.15"/>
    <row r="1045596" customFormat="1" x14ac:dyDescent="0.15"/>
    <row r="1045597" customFormat="1" x14ac:dyDescent="0.15"/>
    <row r="1045598" customFormat="1" x14ac:dyDescent="0.15"/>
    <row r="1045599" customFormat="1" x14ac:dyDescent="0.15"/>
    <row r="1045600" customFormat="1" x14ac:dyDescent="0.15"/>
    <row r="1045601" customFormat="1" x14ac:dyDescent="0.15"/>
    <row r="1045602" customFormat="1" x14ac:dyDescent="0.15"/>
    <row r="1045603" customFormat="1" x14ac:dyDescent="0.15"/>
    <row r="1045604" customFormat="1" x14ac:dyDescent="0.15"/>
    <row r="1045605" customFormat="1" x14ac:dyDescent="0.15"/>
    <row r="1045606" customFormat="1" x14ac:dyDescent="0.15"/>
    <row r="1045607" customFormat="1" x14ac:dyDescent="0.15"/>
    <row r="1045608" customFormat="1" x14ac:dyDescent="0.15"/>
    <row r="1045609" customFormat="1" x14ac:dyDescent="0.15"/>
    <row r="1045610" customFormat="1" x14ac:dyDescent="0.15"/>
    <row r="1045611" customFormat="1" x14ac:dyDescent="0.15"/>
    <row r="1045612" customFormat="1" x14ac:dyDescent="0.15"/>
    <row r="1045613" customFormat="1" x14ac:dyDescent="0.15"/>
    <row r="1045614" customFormat="1" x14ac:dyDescent="0.15"/>
    <row r="1045615" customFormat="1" x14ac:dyDescent="0.15"/>
    <row r="1045616" customFormat="1" x14ac:dyDescent="0.15"/>
    <row r="1045617" customFormat="1" x14ac:dyDescent="0.15"/>
    <row r="1045618" customFormat="1" x14ac:dyDescent="0.15"/>
    <row r="1045619" customFormat="1" x14ac:dyDescent="0.15"/>
    <row r="1045620" customFormat="1" x14ac:dyDescent="0.15"/>
    <row r="1045621" customFormat="1" x14ac:dyDescent="0.15"/>
    <row r="1045622" customFormat="1" x14ac:dyDescent="0.15"/>
    <row r="1045623" customFormat="1" x14ac:dyDescent="0.15"/>
    <row r="1045624" customFormat="1" x14ac:dyDescent="0.15"/>
    <row r="1045625" customFormat="1" x14ac:dyDescent="0.15"/>
    <row r="1045626" customFormat="1" x14ac:dyDescent="0.15"/>
    <row r="1045627" customFormat="1" x14ac:dyDescent="0.15"/>
    <row r="1045628" customFormat="1" x14ac:dyDescent="0.15"/>
    <row r="1045629" customFormat="1" x14ac:dyDescent="0.15"/>
    <row r="1045630" customFormat="1" x14ac:dyDescent="0.15"/>
    <row r="1045631" customFormat="1" x14ac:dyDescent="0.15"/>
    <row r="1045632" customFormat="1" x14ac:dyDescent="0.15"/>
    <row r="1045633" customFormat="1" x14ac:dyDescent="0.15"/>
    <row r="1045634" customFormat="1" x14ac:dyDescent="0.15"/>
    <row r="1045635" customFormat="1" x14ac:dyDescent="0.15"/>
    <row r="1045636" customFormat="1" x14ac:dyDescent="0.15"/>
    <row r="1045637" customFormat="1" x14ac:dyDescent="0.15"/>
    <row r="1045638" customFormat="1" x14ac:dyDescent="0.15"/>
    <row r="1045639" customFormat="1" x14ac:dyDescent="0.15"/>
    <row r="1045640" customFormat="1" x14ac:dyDescent="0.15"/>
    <row r="1045641" customFormat="1" x14ac:dyDescent="0.15"/>
    <row r="1045642" customFormat="1" x14ac:dyDescent="0.15"/>
    <row r="1045643" customFormat="1" x14ac:dyDescent="0.15"/>
    <row r="1045644" customFormat="1" x14ac:dyDescent="0.15"/>
    <row r="1045645" customFormat="1" x14ac:dyDescent="0.15"/>
    <row r="1045646" customFormat="1" x14ac:dyDescent="0.15"/>
    <row r="1045647" customFormat="1" x14ac:dyDescent="0.15"/>
    <row r="1045648" customFormat="1" x14ac:dyDescent="0.15"/>
    <row r="1045649" customFormat="1" x14ac:dyDescent="0.15"/>
    <row r="1045650" customFormat="1" x14ac:dyDescent="0.15"/>
    <row r="1045651" customFormat="1" x14ac:dyDescent="0.15"/>
    <row r="1045652" customFormat="1" x14ac:dyDescent="0.15"/>
    <row r="1045653" customFormat="1" x14ac:dyDescent="0.15"/>
    <row r="1045654" customFormat="1" x14ac:dyDescent="0.15"/>
    <row r="1045655" customFormat="1" x14ac:dyDescent="0.15"/>
    <row r="1045656" customFormat="1" x14ac:dyDescent="0.15"/>
    <row r="1045657" customFormat="1" x14ac:dyDescent="0.15"/>
    <row r="1045658" customFormat="1" x14ac:dyDescent="0.15"/>
    <row r="1045659" customFormat="1" x14ac:dyDescent="0.15"/>
    <row r="1045660" customFormat="1" x14ac:dyDescent="0.15"/>
    <row r="1045661" customFormat="1" x14ac:dyDescent="0.15"/>
    <row r="1045662" customFormat="1" x14ac:dyDescent="0.15"/>
    <row r="1045663" customFormat="1" x14ac:dyDescent="0.15"/>
    <row r="1045664" customFormat="1" x14ac:dyDescent="0.15"/>
    <row r="1045665" customFormat="1" x14ac:dyDescent="0.15"/>
    <row r="1045666" customFormat="1" x14ac:dyDescent="0.15"/>
    <row r="1045667" customFormat="1" x14ac:dyDescent="0.15"/>
    <row r="1045668" customFormat="1" x14ac:dyDescent="0.15"/>
    <row r="1045669" customFormat="1" x14ac:dyDescent="0.15"/>
    <row r="1045670" customFormat="1" x14ac:dyDescent="0.15"/>
    <row r="1045671" customFormat="1" x14ac:dyDescent="0.15"/>
    <row r="1045672" customFormat="1" x14ac:dyDescent="0.15"/>
    <row r="1045673" customFormat="1" x14ac:dyDescent="0.15"/>
    <row r="1045674" customFormat="1" x14ac:dyDescent="0.15"/>
    <row r="1045675" customFormat="1" x14ac:dyDescent="0.15"/>
    <row r="1045676" customFormat="1" x14ac:dyDescent="0.15"/>
    <row r="1045677" customFormat="1" x14ac:dyDescent="0.15"/>
    <row r="1045678" customFormat="1" x14ac:dyDescent="0.15"/>
    <row r="1045679" customFormat="1" x14ac:dyDescent="0.15"/>
    <row r="1045680" customFormat="1" x14ac:dyDescent="0.15"/>
    <row r="1045681" customFormat="1" x14ac:dyDescent="0.15"/>
    <row r="1045682" customFormat="1" x14ac:dyDescent="0.15"/>
    <row r="1045683" customFormat="1" x14ac:dyDescent="0.15"/>
    <row r="1045684" customFormat="1" x14ac:dyDescent="0.15"/>
    <row r="1045685" customFormat="1" x14ac:dyDescent="0.15"/>
    <row r="1045686" customFormat="1" x14ac:dyDescent="0.15"/>
    <row r="1045687" customFormat="1" x14ac:dyDescent="0.15"/>
    <row r="1045688" customFormat="1" x14ac:dyDescent="0.15"/>
    <row r="1045689" customFormat="1" x14ac:dyDescent="0.15"/>
    <row r="1045690" customFormat="1" x14ac:dyDescent="0.15"/>
    <row r="1045691" customFormat="1" x14ac:dyDescent="0.15"/>
    <row r="1045692" customFormat="1" x14ac:dyDescent="0.15"/>
    <row r="1045693" customFormat="1" x14ac:dyDescent="0.15"/>
    <row r="1045694" customFormat="1" x14ac:dyDescent="0.15"/>
    <row r="1045695" customFormat="1" x14ac:dyDescent="0.15"/>
    <row r="1045696" customFormat="1" x14ac:dyDescent="0.15"/>
    <row r="1045697" customFormat="1" x14ac:dyDescent="0.15"/>
    <row r="1045698" customFormat="1" x14ac:dyDescent="0.15"/>
    <row r="1045699" customFormat="1" x14ac:dyDescent="0.15"/>
    <row r="1045700" customFormat="1" x14ac:dyDescent="0.15"/>
    <row r="1045701" customFormat="1" x14ac:dyDescent="0.15"/>
    <row r="1045702" customFormat="1" x14ac:dyDescent="0.15"/>
    <row r="1045703" customFormat="1" x14ac:dyDescent="0.15"/>
    <row r="1045704" customFormat="1" x14ac:dyDescent="0.15"/>
    <row r="1045705" customFormat="1" x14ac:dyDescent="0.15"/>
    <row r="1045706" customFormat="1" x14ac:dyDescent="0.15"/>
    <row r="1045707" customFormat="1" x14ac:dyDescent="0.15"/>
    <row r="1045708" customFormat="1" x14ac:dyDescent="0.15"/>
    <row r="1045709" customFormat="1" x14ac:dyDescent="0.15"/>
    <row r="1045710" customFormat="1" x14ac:dyDescent="0.15"/>
    <row r="1045711" customFormat="1" x14ac:dyDescent="0.15"/>
    <row r="1045712" customFormat="1" x14ac:dyDescent="0.15"/>
    <row r="1045713" customFormat="1" x14ac:dyDescent="0.15"/>
    <row r="1045714" customFormat="1" x14ac:dyDescent="0.15"/>
    <row r="1045715" customFormat="1" x14ac:dyDescent="0.15"/>
    <row r="1045716" customFormat="1" x14ac:dyDescent="0.15"/>
    <row r="1045717" customFormat="1" x14ac:dyDescent="0.15"/>
    <row r="1045718" customFormat="1" x14ac:dyDescent="0.15"/>
    <row r="1045719" customFormat="1" x14ac:dyDescent="0.15"/>
    <row r="1045720" customFormat="1" x14ac:dyDescent="0.15"/>
    <row r="1045721" customFormat="1" x14ac:dyDescent="0.15"/>
    <row r="1045722" customFormat="1" x14ac:dyDescent="0.15"/>
    <row r="1045723" customFormat="1" x14ac:dyDescent="0.15"/>
    <row r="1045724" customFormat="1" x14ac:dyDescent="0.15"/>
    <row r="1045725" customFormat="1" x14ac:dyDescent="0.15"/>
    <row r="1045726" customFormat="1" x14ac:dyDescent="0.15"/>
    <row r="1045727" customFormat="1" x14ac:dyDescent="0.15"/>
    <row r="1045728" customFormat="1" x14ac:dyDescent="0.15"/>
    <row r="1045729" customFormat="1" x14ac:dyDescent="0.15"/>
    <row r="1045730" customFormat="1" x14ac:dyDescent="0.15"/>
    <row r="1045731" customFormat="1" x14ac:dyDescent="0.15"/>
    <row r="1045732" customFormat="1" x14ac:dyDescent="0.15"/>
    <row r="1045733" customFormat="1" x14ac:dyDescent="0.15"/>
    <row r="1045734" customFormat="1" x14ac:dyDescent="0.15"/>
    <row r="1045735" customFormat="1" x14ac:dyDescent="0.15"/>
    <row r="1045736" customFormat="1" x14ac:dyDescent="0.15"/>
    <row r="1045737" customFormat="1" x14ac:dyDescent="0.15"/>
    <row r="1045738" customFormat="1" x14ac:dyDescent="0.15"/>
    <row r="1045739" customFormat="1" x14ac:dyDescent="0.15"/>
    <row r="1045740" customFormat="1" x14ac:dyDescent="0.15"/>
    <row r="1045741" customFormat="1" x14ac:dyDescent="0.15"/>
    <row r="1045742" customFormat="1" x14ac:dyDescent="0.15"/>
    <row r="1045743" customFormat="1" x14ac:dyDescent="0.15"/>
    <row r="1045744" customFormat="1" x14ac:dyDescent="0.15"/>
    <row r="1045745" customFormat="1" x14ac:dyDescent="0.15"/>
    <row r="1045746" customFormat="1" x14ac:dyDescent="0.15"/>
    <row r="1045747" customFormat="1" x14ac:dyDescent="0.15"/>
    <row r="1045748" customFormat="1" x14ac:dyDescent="0.15"/>
    <row r="1045749" customFormat="1" x14ac:dyDescent="0.15"/>
    <row r="1045750" customFormat="1" x14ac:dyDescent="0.15"/>
    <row r="1045751" customFormat="1" x14ac:dyDescent="0.15"/>
    <row r="1045752" customFormat="1" x14ac:dyDescent="0.15"/>
    <row r="1045753" customFormat="1" x14ac:dyDescent="0.15"/>
    <row r="1045754" customFormat="1" x14ac:dyDescent="0.15"/>
    <row r="1045755" customFormat="1" x14ac:dyDescent="0.15"/>
    <row r="1045756" customFormat="1" x14ac:dyDescent="0.15"/>
    <row r="1045757" customFormat="1" x14ac:dyDescent="0.15"/>
    <row r="1045758" customFormat="1" x14ac:dyDescent="0.15"/>
    <row r="1045759" customFormat="1" x14ac:dyDescent="0.15"/>
    <row r="1045760" customFormat="1" x14ac:dyDescent="0.15"/>
    <row r="1045761" customFormat="1" x14ac:dyDescent="0.15"/>
    <row r="1045762" customFormat="1" x14ac:dyDescent="0.15"/>
    <row r="1045763" customFormat="1" x14ac:dyDescent="0.15"/>
    <row r="1045764" customFormat="1" x14ac:dyDescent="0.15"/>
    <row r="1045765" customFormat="1" x14ac:dyDescent="0.15"/>
    <row r="1045766" customFormat="1" x14ac:dyDescent="0.15"/>
    <row r="1045767" customFormat="1" x14ac:dyDescent="0.15"/>
    <row r="1045768" customFormat="1" x14ac:dyDescent="0.15"/>
    <row r="1045769" customFormat="1" x14ac:dyDescent="0.15"/>
    <row r="1045770" customFormat="1" x14ac:dyDescent="0.15"/>
    <row r="1045771" customFormat="1" x14ac:dyDescent="0.15"/>
    <row r="1045772" customFormat="1" x14ac:dyDescent="0.15"/>
    <row r="1045773" customFormat="1" x14ac:dyDescent="0.15"/>
    <row r="1045774" customFormat="1" x14ac:dyDescent="0.15"/>
    <row r="1045775" customFormat="1" x14ac:dyDescent="0.15"/>
    <row r="1045776" customFormat="1" x14ac:dyDescent="0.15"/>
    <row r="1045777" customFormat="1" x14ac:dyDescent="0.15"/>
    <row r="1045778" customFormat="1" x14ac:dyDescent="0.15"/>
    <row r="1045779" customFormat="1" x14ac:dyDescent="0.15"/>
    <row r="1045780" customFormat="1" x14ac:dyDescent="0.15"/>
    <row r="1045781" customFormat="1" x14ac:dyDescent="0.15"/>
    <row r="1045782" customFormat="1" x14ac:dyDescent="0.15"/>
    <row r="1045783" customFormat="1" x14ac:dyDescent="0.15"/>
    <row r="1045784" customFormat="1" x14ac:dyDescent="0.15"/>
    <row r="1045785" customFormat="1" x14ac:dyDescent="0.15"/>
    <row r="1045786" customFormat="1" x14ac:dyDescent="0.15"/>
    <row r="1045787" customFormat="1" x14ac:dyDescent="0.15"/>
    <row r="1045788" customFormat="1" x14ac:dyDescent="0.15"/>
    <row r="1045789" customFormat="1" x14ac:dyDescent="0.15"/>
    <row r="1045790" customFormat="1" x14ac:dyDescent="0.15"/>
    <row r="1045791" customFormat="1" x14ac:dyDescent="0.15"/>
    <row r="1045792" customFormat="1" x14ac:dyDescent="0.15"/>
    <row r="1045793" customFormat="1" x14ac:dyDescent="0.15"/>
    <row r="1045794" customFormat="1" x14ac:dyDescent="0.15"/>
    <row r="1045795" customFormat="1" x14ac:dyDescent="0.15"/>
    <row r="1045796" customFormat="1" x14ac:dyDescent="0.15"/>
    <row r="1045797" customFormat="1" x14ac:dyDescent="0.15"/>
    <row r="1045798" customFormat="1" x14ac:dyDescent="0.15"/>
    <row r="1045799" customFormat="1" x14ac:dyDescent="0.15"/>
    <row r="1045800" customFormat="1" x14ac:dyDescent="0.15"/>
    <row r="1045801" customFormat="1" x14ac:dyDescent="0.15"/>
    <row r="1045802" customFormat="1" x14ac:dyDescent="0.15"/>
    <row r="1045803" customFormat="1" x14ac:dyDescent="0.15"/>
    <row r="1045804" customFormat="1" x14ac:dyDescent="0.15"/>
    <row r="1045805" customFormat="1" x14ac:dyDescent="0.15"/>
    <row r="1045806" customFormat="1" x14ac:dyDescent="0.15"/>
    <row r="1045807" customFormat="1" x14ac:dyDescent="0.15"/>
    <row r="1045808" customFormat="1" x14ac:dyDescent="0.15"/>
    <row r="1045809" customFormat="1" x14ac:dyDescent="0.15"/>
    <row r="1045810" customFormat="1" x14ac:dyDescent="0.15"/>
    <row r="1045811" customFormat="1" x14ac:dyDescent="0.15"/>
    <row r="1045812" customFormat="1" x14ac:dyDescent="0.15"/>
    <row r="1045813" customFormat="1" x14ac:dyDescent="0.15"/>
    <row r="1045814" customFormat="1" x14ac:dyDescent="0.15"/>
    <row r="1045815" customFormat="1" x14ac:dyDescent="0.15"/>
    <row r="1045816" customFormat="1" x14ac:dyDescent="0.15"/>
    <row r="1045817" customFormat="1" x14ac:dyDescent="0.15"/>
    <row r="1045818" customFormat="1" x14ac:dyDescent="0.15"/>
    <row r="1045819" customFormat="1" x14ac:dyDescent="0.15"/>
    <row r="1045820" customFormat="1" x14ac:dyDescent="0.15"/>
    <row r="1045821" customFormat="1" x14ac:dyDescent="0.15"/>
    <row r="1045822" customFormat="1" x14ac:dyDescent="0.15"/>
    <row r="1045823" customFormat="1" x14ac:dyDescent="0.15"/>
    <row r="1045824" customFormat="1" x14ac:dyDescent="0.15"/>
    <row r="1045825" customFormat="1" x14ac:dyDescent="0.15"/>
    <row r="1045826" customFormat="1" x14ac:dyDescent="0.15"/>
    <row r="1045827" customFormat="1" x14ac:dyDescent="0.15"/>
    <row r="1045828" customFormat="1" x14ac:dyDescent="0.15"/>
    <row r="1045829" customFormat="1" x14ac:dyDescent="0.15"/>
    <row r="1045830" customFormat="1" x14ac:dyDescent="0.15"/>
    <row r="1045831" customFormat="1" x14ac:dyDescent="0.15"/>
    <row r="1045832" customFormat="1" x14ac:dyDescent="0.15"/>
    <row r="1045833" customFormat="1" x14ac:dyDescent="0.15"/>
    <row r="1045834" customFormat="1" x14ac:dyDescent="0.15"/>
    <row r="1045835" customFormat="1" x14ac:dyDescent="0.15"/>
    <row r="1045836" customFormat="1" x14ac:dyDescent="0.15"/>
    <row r="1045837" customFormat="1" x14ac:dyDescent="0.15"/>
    <row r="1045838" customFormat="1" x14ac:dyDescent="0.15"/>
    <row r="1045839" customFormat="1" x14ac:dyDescent="0.15"/>
    <row r="1045840" customFormat="1" x14ac:dyDescent="0.15"/>
    <row r="1045841" customFormat="1" x14ac:dyDescent="0.15"/>
    <row r="1045842" customFormat="1" x14ac:dyDescent="0.15"/>
    <row r="1045843" customFormat="1" x14ac:dyDescent="0.15"/>
    <row r="1045844" customFormat="1" x14ac:dyDescent="0.15"/>
    <row r="1045845" customFormat="1" x14ac:dyDescent="0.15"/>
    <row r="1045846" customFormat="1" x14ac:dyDescent="0.15"/>
    <row r="1045847" customFormat="1" x14ac:dyDescent="0.15"/>
    <row r="1045848" customFormat="1" x14ac:dyDescent="0.15"/>
    <row r="1045849" customFormat="1" x14ac:dyDescent="0.15"/>
    <row r="1045850" customFormat="1" x14ac:dyDescent="0.15"/>
    <row r="1045851" customFormat="1" x14ac:dyDescent="0.15"/>
    <row r="1045852" customFormat="1" x14ac:dyDescent="0.15"/>
    <row r="1045853" customFormat="1" x14ac:dyDescent="0.15"/>
    <row r="1045854" customFormat="1" x14ac:dyDescent="0.15"/>
    <row r="1045855" customFormat="1" x14ac:dyDescent="0.15"/>
    <row r="1045856" customFormat="1" x14ac:dyDescent="0.15"/>
    <row r="1045857" customFormat="1" x14ac:dyDescent="0.15"/>
    <row r="1045858" customFormat="1" x14ac:dyDescent="0.15"/>
    <row r="1045859" customFormat="1" x14ac:dyDescent="0.15"/>
    <row r="1045860" customFormat="1" x14ac:dyDescent="0.15"/>
    <row r="1045861" customFormat="1" x14ac:dyDescent="0.15"/>
    <row r="1045862" customFormat="1" x14ac:dyDescent="0.15"/>
    <row r="1045863" customFormat="1" x14ac:dyDescent="0.15"/>
    <row r="1045864" customFormat="1" x14ac:dyDescent="0.15"/>
    <row r="1045865" customFormat="1" x14ac:dyDescent="0.15"/>
    <row r="1045866" customFormat="1" x14ac:dyDescent="0.15"/>
    <row r="1045867" customFormat="1" x14ac:dyDescent="0.15"/>
    <row r="1045868" customFormat="1" x14ac:dyDescent="0.15"/>
    <row r="1045869" customFormat="1" x14ac:dyDescent="0.15"/>
    <row r="1045870" customFormat="1" x14ac:dyDescent="0.15"/>
    <row r="1045871" customFormat="1" x14ac:dyDescent="0.15"/>
    <row r="1045872" customFormat="1" x14ac:dyDescent="0.15"/>
    <row r="1045873" customFormat="1" x14ac:dyDescent="0.15"/>
    <row r="1045874" customFormat="1" x14ac:dyDescent="0.15"/>
    <row r="1045875" customFormat="1" x14ac:dyDescent="0.15"/>
    <row r="1045876" customFormat="1" x14ac:dyDescent="0.15"/>
    <row r="1045877" customFormat="1" x14ac:dyDescent="0.15"/>
    <row r="1045878" customFormat="1" x14ac:dyDescent="0.15"/>
    <row r="1045879" customFormat="1" x14ac:dyDescent="0.15"/>
    <row r="1045880" customFormat="1" x14ac:dyDescent="0.15"/>
    <row r="1045881" customFormat="1" x14ac:dyDescent="0.15"/>
    <row r="1045882" customFormat="1" x14ac:dyDescent="0.15"/>
    <row r="1045883" customFormat="1" x14ac:dyDescent="0.15"/>
    <row r="1045884" customFormat="1" x14ac:dyDescent="0.15"/>
    <row r="1045885" customFormat="1" x14ac:dyDescent="0.15"/>
    <row r="1045886" customFormat="1" x14ac:dyDescent="0.15"/>
    <row r="1045887" customFormat="1" x14ac:dyDescent="0.15"/>
    <row r="1045888" customFormat="1" x14ac:dyDescent="0.15"/>
    <row r="1045889" customFormat="1" x14ac:dyDescent="0.15"/>
    <row r="1045890" customFormat="1" x14ac:dyDescent="0.15"/>
    <row r="1045891" customFormat="1" x14ac:dyDescent="0.15"/>
    <row r="1045892" customFormat="1" x14ac:dyDescent="0.15"/>
    <row r="1045893" customFormat="1" x14ac:dyDescent="0.15"/>
    <row r="1045894" customFormat="1" x14ac:dyDescent="0.15"/>
    <row r="1045895" customFormat="1" x14ac:dyDescent="0.15"/>
    <row r="1045896" customFormat="1" x14ac:dyDescent="0.15"/>
    <row r="1045897" customFormat="1" x14ac:dyDescent="0.15"/>
    <row r="1045898" customFormat="1" x14ac:dyDescent="0.15"/>
    <row r="1045899" customFormat="1" x14ac:dyDescent="0.15"/>
    <row r="1045900" customFormat="1" x14ac:dyDescent="0.15"/>
    <row r="1045901" customFormat="1" x14ac:dyDescent="0.15"/>
    <row r="1045902" customFormat="1" x14ac:dyDescent="0.15"/>
    <row r="1045903" customFormat="1" x14ac:dyDescent="0.15"/>
    <row r="1045904" customFormat="1" x14ac:dyDescent="0.15"/>
    <row r="1045905" customFormat="1" x14ac:dyDescent="0.15"/>
    <row r="1045906" customFormat="1" x14ac:dyDescent="0.15"/>
    <row r="1045907" customFormat="1" x14ac:dyDescent="0.15"/>
    <row r="1045908" customFormat="1" x14ac:dyDescent="0.15"/>
    <row r="1045909" customFormat="1" x14ac:dyDescent="0.15"/>
    <row r="1045910" customFormat="1" x14ac:dyDescent="0.15"/>
    <row r="1045911" customFormat="1" x14ac:dyDescent="0.15"/>
    <row r="1045912" customFormat="1" x14ac:dyDescent="0.15"/>
    <row r="1045913" customFormat="1" x14ac:dyDescent="0.15"/>
    <row r="1045914" customFormat="1" x14ac:dyDescent="0.15"/>
    <row r="1045915" customFormat="1" x14ac:dyDescent="0.15"/>
    <row r="1045916" customFormat="1" x14ac:dyDescent="0.15"/>
    <row r="1045917" customFormat="1" x14ac:dyDescent="0.15"/>
    <row r="1045918" customFormat="1" x14ac:dyDescent="0.15"/>
    <row r="1045919" customFormat="1" x14ac:dyDescent="0.15"/>
    <row r="1045920" customFormat="1" x14ac:dyDescent="0.15"/>
    <row r="1045921" customFormat="1" x14ac:dyDescent="0.15"/>
    <row r="1045922" customFormat="1" x14ac:dyDescent="0.15"/>
    <row r="1045923" customFormat="1" x14ac:dyDescent="0.15"/>
    <row r="1045924" customFormat="1" x14ac:dyDescent="0.15"/>
    <row r="1045925" customFormat="1" x14ac:dyDescent="0.15"/>
    <row r="1045926" customFormat="1" x14ac:dyDescent="0.15"/>
    <row r="1045927" customFormat="1" x14ac:dyDescent="0.15"/>
    <row r="1045928" customFormat="1" x14ac:dyDescent="0.15"/>
    <row r="1045929" customFormat="1" x14ac:dyDescent="0.15"/>
    <row r="1045930" customFormat="1" x14ac:dyDescent="0.15"/>
    <row r="1045931" customFormat="1" x14ac:dyDescent="0.15"/>
    <row r="1045932" customFormat="1" x14ac:dyDescent="0.15"/>
    <row r="1045933" customFormat="1" x14ac:dyDescent="0.15"/>
    <row r="1045934" customFormat="1" x14ac:dyDescent="0.15"/>
    <row r="1045935" customFormat="1" x14ac:dyDescent="0.15"/>
    <row r="1045936" customFormat="1" x14ac:dyDescent="0.15"/>
    <row r="1045937" customFormat="1" x14ac:dyDescent="0.15"/>
    <row r="1045938" customFormat="1" x14ac:dyDescent="0.15"/>
    <row r="1045939" customFormat="1" x14ac:dyDescent="0.15"/>
    <row r="1045940" customFormat="1" x14ac:dyDescent="0.15"/>
    <row r="1045941" customFormat="1" x14ac:dyDescent="0.15"/>
    <row r="1045942" customFormat="1" x14ac:dyDescent="0.15"/>
    <row r="1045943" customFormat="1" x14ac:dyDescent="0.15"/>
    <row r="1045944" customFormat="1" x14ac:dyDescent="0.15"/>
    <row r="1045945" customFormat="1" x14ac:dyDescent="0.15"/>
    <row r="1045946" customFormat="1" x14ac:dyDescent="0.15"/>
    <row r="1045947" customFormat="1" x14ac:dyDescent="0.15"/>
    <row r="1045948" customFormat="1" x14ac:dyDescent="0.15"/>
    <row r="1045949" customFormat="1" x14ac:dyDescent="0.15"/>
    <row r="1045950" customFormat="1" x14ac:dyDescent="0.15"/>
    <row r="1045951" customFormat="1" x14ac:dyDescent="0.15"/>
    <row r="1045952" customFormat="1" x14ac:dyDescent="0.15"/>
    <row r="1045953" customFormat="1" x14ac:dyDescent="0.15"/>
    <row r="1045954" customFormat="1" x14ac:dyDescent="0.15"/>
    <row r="1045955" customFormat="1" x14ac:dyDescent="0.15"/>
    <row r="1045956" customFormat="1" x14ac:dyDescent="0.15"/>
    <row r="1045957" customFormat="1" x14ac:dyDescent="0.15"/>
    <row r="1045958" customFormat="1" x14ac:dyDescent="0.15"/>
    <row r="1045959" customFormat="1" x14ac:dyDescent="0.15"/>
    <row r="1045960" customFormat="1" x14ac:dyDescent="0.15"/>
    <row r="1045961" customFormat="1" x14ac:dyDescent="0.15"/>
    <row r="1045962" customFormat="1" x14ac:dyDescent="0.15"/>
    <row r="1045963" customFormat="1" x14ac:dyDescent="0.15"/>
    <row r="1045964" customFormat="1" x14ac:dyDescent="0.15"/>
    <row r="1045965" customFormat="1" x14ac:dyDescent="0.15"/>
    <row r="1045966" customFormat="1" x14ac:dyDescent="0.15"/>
    <row r="1045967" customFormat="1" x14ac:dyDescent="0.15"/>
    <row r="1045968" customFormat="1" x14ac:dyDescent="0.15"/>
    <row r="1045969" customFormat="1" x14ac:dyDescent="0.15"/>
    <row r="1045970" customFormat="1" x14ac:dyDescent="0.15"/>
    <row r="1045971" customFormat="1" x14ac:dyDescent="0.15"/>
    <row r="1045972" customFormat="1" x14ac:dyDescent="0.15"/>
    <row r="1045973" customFormat="1" x14ac:dyDescent="0.15"/>
    <row r="1045974" customFormat="1" x14ac:dyDescent="0.15"/>
    <row r="1045975" customFormat="1" x14ac:dyDescent="0.15"/>
    <row r="1045976" customFormat="1" x14ac:dyDescent="0.15"/>
    <row r="1045977" customFormat="1" x14ac:dyDescent="0.15"/>
    <row r="1045978" customFormat="1" x14ac:dyDescent="0.15"/>
    <row r="1045979" customFormat="1" x14ac:dyDescent="0.15"/>
    <row r="1045980" customFormat="1" x14ac:dyDescent="0.15"/>
    <row r="1045981" customFormat="1" x14ac:dyDescent="0.15"/>
    <row r="1045982" customFormat="1" x14ac:dyDescent="0.15"/>
    <row r="1045983" customFormat="1" x14ac:dyDescent="0.15"/>
    <row r="1045984" customFormat="1" x14ac:dyDescent="0.15"/>
    <row r="1045985" customFormat="1" x14ac:dyDescent="0.15"/>
    <row r="1045986" customFormat="1" x14ac:dyDescent="0.15"/>
    <row r="1045987" customFormat="1" x14ac:dyDescent="0.15"/>
    <row r="1045988" customFormat="1" x14ac:dyDescent="0.15"/>
    <row r="1045989" customFormat="1" x14ac:dyDescent="0.15"/>
    <row r="1045990" customFormat="1" x14ac:dyDescent="0.15"/>
    <row r="1045991" customFormat="1" x14ac:dyDescent="0.15"/>
    <row r="1045992" customFormat="1" x14ac:dyDescent="0.15"/>
    <row r="1045993" customFormat="1" x14ac:dyDescent="0.15"/>
    <row r="1045994" customFormat="1" x14ac:dyDescent="0.15"/>
    <row r="1045995" customFormat="1" x14ac:dyDescent="0.15"/>
    <row r="1045996" customFormat="1" x14ac:dyDescent="0.15"/>
    <row r="1045997" customFormat="1" x14ac:dyDescent="0.15"/>
    <row r="1045998" customFormat="1" x14ac:dyDescent="0.15"/>
    <row r="1045999" customFormat="1" x14ac:dyDescent="0.15"/>
    <row r="1046000" customFormat="1" x14ac:dyDescent="0.15"/>
    <row r="1046001" customFormat="1" x14ac:dyDescent="0.15"/>
    <row r="1046002" customFormat="1" x14ac:dyDescent="0.15"/>
    <row r="1046003" customFormat="1" x14ac:dyDescent="0.15"/>
    <row r="1046004" customFormat="1" x14ac:dyDescent="0.15"/>
    <row r="1046005" customFormat="1" x14ac:dyDescent="0.15"/>
    <row r="1046006" customFormat="1" x14ac:dyDescent="0.15"/>
    <row r="1046007" customFormat="1" x14ac:dyDescent="0.15"/>
    <row r="1046008" customFormat="1" x14ac:dyDescent="0.15"/>
    <row r="1046009" customFormat="1" x14ac:dyDescent="0.15"/>
    <row r="1046010" customFormat="1" x14ac:dyDescent="0.15"/>
    <row r="1046011" customFormat="1" x14ac:dyDescent="0.15"/>
    <row r="1046012" customFormat="1" x14ac:dyDescent="0.15"/>
    <row r="1046013" customFormat="1" x14ac:dyDescent="0.15"/>
    <row r="1046014" customFormat="1" x14ac:dyDescent="0.15"/>
    <row r="1046015" customFormat="1" x14ac:dyDescent="0.15"/>
    <row r="1046016" customFormat="1" x14ac:dyDescent="0.15"/>
    <row r="1046017" customFormat="1" x14ac:dyDescent="0.15"/>
    <row r="1046018" customFormat="1" x14ac:dyDescent="0.15"/>
    <row r="1046019" customFormat="1" x14ac:dyDescent="0.15"/>
    <row r="1046020" customFormat="1" x14ac:dyDescent="0.15"/>
    <row r="1046021" customFormat="1" x14ac:dyDescent="0.15"/>
    <row r="1046022" customFormat="1" x14ac:dyDescent="0.15"/>
    <row r="1046023" customFormat="1" x14ac:dyDescent="0.15"/>
    <row r="1046024" customFormat="1" x14ac:dyDescent="0.15"/>
    <row r="1046025" customFormat="1" x14ac:dyDescent="0.15"/>
    <row r="1046026" customFormat="1" x14ac:dyDescent="0.15"/>
    <row r="1046027" customFormat="1" x14ac:dyDescent="0.15"/>
    <row r="1046028" customFormat="1" x14ac:dyDescent="0.15"/>
    <row r="1046029" customFormat="1" x14ac:dyDescent="0.15"/>
    <row r="1046030" customFormat="1" x14ac:dyDescent="0.15"/>
    <row r="1046031" customFormat="1" x14ac:dyDescent="0.15"/>
    <row r="1046032" customFormat="1" x14ac:dyDescent="0.15"/>
    <row r="1046033" customFormat="1" x14ac:dyDescent="0.15"/>
    <row r="1046034" customFormat="1" x14ac:dyDescent="0.15"/>
    <row r="1046035" customFormat="1" x14ac:dyDescent="0.15"/>
    <row r="1046036" customFormat="1" x14ac:dyDescent="0.15"/>
    <row r="1046037" customFormat="1" x14ac:dyDescent="0.15"/>
    <row r="1046038" customFormat="1" x14ac:dyDescent="0.15"/>
    <row r="1046039" customFormat="1" x14ac:dyDescent="0.15"/>
    <row r="1046040" customFormat="1" x14ac:dyDescent="0.15"/>
    <row r="1046041" customFormat="1" x14ac:dyDescent="0.15"/>
    <row r="1046042" customFormat="1" x14ac:dyDescent="0.15"/>
    <row r="1046043" customFormat="1" x14ac:dyDescent="0.15"/>
    <row r="1046044" customFormat="1" x14ac:dyDescent="0.15"/>
    <row r="1046045" customFormat="1" x14ac:dyDescent="0.15"/>
    <row r="1046046" customFormat="1" x14ac:dyDescent="0.15"/>
    <row r="1046047" customFormat="1" x14ac:dyDescent="0.15"/>
    <row r="1046048" customFormat="1" x14ac:dyDescent="0.15"/>
    <row r="1046049" customFormat="1" x14ac:dyDescent="0.15"/>
    <row r="1046050" customFormat="1" x14ac:dyDescent="0.15"/>
    <row r="1046051" customFormat="1" x14ac:dyDescent="0.15"/>
    <row r="1046052" customFormat="1" x14ac:dyDescent="0.15"/>
    <row r="1046053" customFormat="1" x14ac:dyDescent="0.15"/>
    <row r="1046054" customFormat="1" x14ac:dyDescent="0.15"/>
    <row r="1046055" customFormat="1" x14ac:dyDescent="0.15"/>
    <row r="1046056" customFormat="1" x14ac:dyDescent="0.15"/>
    <row r="1046057" customFormat="1" x14ac:dyDescent="0.15"/>
    <row r="1046058" customFormat="1" x14ac:dyDescent="0.15"/>
    <row r="1046059" customFormat="1" x14ac:dyDescent="0.15"/>
    <row r="1046060" customFormat="1" x14ac:dyDescent="0.15"/>
    <row r="1046061" customFormat="1" x14ac:dyDescent="0.15"/>
    <row r="1046062" customFormat="1" x14ac:dyDescent="0.15"/>
    <row r="1046063" customFormat="1" x14ac:dyDescent="0.15"/>
    <row r="1046064" customFormat="1" x14ac:dyDescent="0.15"/>
    <row r="1046065" customFormat="1" x14ac:dyDescent="0.15"/>
    <row r="1046066" customFormat="1" x14ac:dyDescent="0.15"/>
    <row r="1046067" customFormat="1" x14ac:dyDescent="0.15"/>
    <row r="1046068" customFormat="1" x14ac:dyDescent="0.15"/>
    <row r="1046069" customFormat="1" x14ac:dyDescent="0.15"/>
    <row r="1046070" customFormat="1" x14ac:dyDescent="0.15"/>
    <row r="1046071" customFormat="1" x14ac:dyDescent="0.15"/>
    <row r="1046072" customFormat="1" x14ac:dyDescent="0.15"/>
    <row r="1046073" customFormat="1" x14ac:dyDescent="0.15"/>
    <row r="1046074" customFormat="1" x14ac:dyDescent="0.15"/>
    <row r="1046075" customFormat="1" x14ac:dyDescent="0.15"/>
    <row r="1046076" customFormat="1" x14ac:dyDescent="0.15"/>
    <row r="1046077" customFormat="1" x14ac:dyDescent="0.15"/>
    <row r="1046078" customFormat="1" x14ac:dyDescent="0.15"/>
    <row r="1046079" customFormat="1" x14ac:dyDescent="0.15"/>
    <row r="1046080" customFormat="1" x14ac:dyDescent="0.15"/>
    <row r="1046081" customFormat="1" x14ac:dyDescent="0.15"/>
    <row r="1046082" customFormat="1" x14ac:dyDescent="0.15"/>
    <row r="1046083" customFormat="1" x14ac:dyDescent="0.15"/>
    <row r="1046084" customFormat="1" x14ac:dyDescent="0.15"/>
    <row r="1046085" customFormat="1" x14ac:dyDescent="0.15"/>
    <row r="1046086" customFormat="1" x14ac:dyDescent="0.15"/>
    <row r="1046087" customFormat="1" x14ac:dyDescent="0.15"/>
    <row r="1046088" customFormat="1" x14ac:dyDescent="0.15"/>
    <row r="1046089" customFormat="1" x14ac:dyDescent="0.15"/>
    <row r="1046090" customFormat="1" x14ac:dyDescent="0.15"/>
    <row r="1046091" customFormat="1" x14ac:dyDescent="0.15"/>
    <row r="1046092" customFormat="1" x14ac:dyDescent="0.15"/>
    <row r="1046093" customFormat="1" x14ac:dyDescent="0.15"/>
    <row r="1046094" customFormat="1" x14ac:dyDescent="0.15"/>
    <row r="1046095" customFormat="1" x14ac:dyDescent="0.15"/>
    <row r="1046096" customFormat="1" x14ac:dyDescent="0.15"/>
    <row r="1046097" customFormat="1" x14ac:dyDescent="0.15"/>
    <row r="1046098" customFormat="1" x14ac:dyDescent="0.15"/>
    <row r="1046099" customFormat="1" x14ac:dyDescent="0.15"/>
    <row r="1046100" customFormat="1" x14ac:dyDescent="0.15"/>
    <row r="1046101" customFormat="1" x14ac:dyDescent="0.15"/>
    <row r="1046102" customFormat="1" x14ac:dyDescent="0.15"/>
    <row r="1046103" customFormat="1" x14ac:dyDescent="0.15"/>
    <row r="1046104" customFormat="1" x14ac:dyDescent="0.15"/>
    <row r="1046105" customFormat="1" x14ac:dyDescent="0.15"/>
    <row r="1046106" customFormat="1" x14ac:dyDescent="0.15"/>
    <row r="1046107" customFormat="1" x14ac:dyDescent="0.15"/>
    <row r="1046108" customFormat="1" x14ac:dyDescent="0.15"/>
    <row r="1046109" customFormat="1" x14ac:dyDescent="0.15"/>
    <row r="1046110" customFormat="1" x14ac:dyDescent="0.15"/>
    <row r="1046111" customFormat="1" x14ac:dyDescent="0.15"/>
    <row r="1046112" customFormat="1" x14ac:dyDescent="0.15"/>
    <row r="1046113" customFormat="1" x14ac:dyDescent="0.15"/>
    <row r="1046114" customFormat="1" x14ac:dyDescent="0.15"/>
    <row r="1046115" customFormat="1" x14ac:dyDescent="0.15"/>
    <row r="1046116" customFormat="1" x14ac:dyDescent="0.15"/>
    <row r="1046117" customFormat="1" x14ac:dyDescent="0.15"/>
    <row r="1046118" customFormat="1" x14ac:dyDescent="0.15"/>
    <row r="1046119" customFormat="1" x14ac:dyDescent="0.15"/>
    <row r="1046120" customFormat="1" x14ac:dyDescent="0.15"/>
    <row r="1046121" customFormat="1" x14ac:dyDescent="0.15"/>
    <row r="1046122" customFormat="1" x14ac:dyDescent="0.15"/>
    <row r="1046123" customFormat="1" x14ac:dyDescent="0.15"/>
    <row r="1046124" customFormat="1" x14ac:dyDescent="0.15"/>
    <row r="1046125" customFormat="1" x14ac:dyDescent="0.15"/>
    <row r="1046126" customFormat="1" x14ac:dyDescent="0.15"/>
    <row r="1046127" customFormat="1" x14ac:dyDescent="0.15"/>
    <row r="1046128" customFormat="1" x14ac:dyDescent="0.15"/>
    <row r="1046129" customFormat="1" x14ac:dyDescent="0.15"/>
    <row r="1046130" customFormat="1" x14ac:dyDescent="0.15"/>
    <row r="1046131" customFormat="1" x14ac:dyDescent="0.15"/>
    <row r="1046132" customFormat="1" x14ac:dyDescent="0.15"/>
    <row r="1046133" customFormat="1" x14ac:dyDescent="0.15"/>
    <row r="1046134" customFormat="1" x14ac:dyDescent="0.15"/>
    <row r="1046135" customFormat="1" x14ac:dyDescent="0.15"/>
    <row r="1046136" customFormat="1" x14ac:dyDescent="0.15"/>
    <row r="1046137" customFormat="1" x14ac:dyDescent="0.15"/>
    <row r="1046138" customFormat="1" x14ac:dyDescent="0.15"/>
    <row r="1046139" customFormat="1" x14ac:dyDescent="0.15"/>
    <row r="1046140" customFormat="1" x14ac:dyDescent="0.15"/>
    <row r="1046141" customFormat="1" x14ac:dyDescent="0.15"/>
    <row r="1046142" customFormat="1" x14ac:dyDescent="0.15"/>
    <row r="1046143" customFormat="1" x14ac:dyDescent="0.15"/>
    <row r="1046144" customFormat="1" x14ac:dyDescent="0.15"/>
    <row r="1046145" customFormat="1" x14ac:dyDescent="0.15"/>
    <row r="1046146" customFormat="1" x14ac:dyDescent="0.15"/>
    <row r="1046147" customFormat="1" x14ac:dyDescent="0.15"/>
    <row r="1046148" customFormat="1" x14ac:dyDescent="0.15"/>
    <row r="1046149" customFormat="1" x14ac:dyDescent="0.15"/>
    <row r="1046150" customFormat="1" x14ac:dyDescent="0.15"/>
    <row r="1046151" customFormat="1" x14ac:dyDescent="0.15"/>
    <row r="1046152" customFormat="1" x14ac:dyDescent="0.15"/>
    <row r="1046153" customFormat="1" x14ac:dyDescent="0.15"/>
    <row r="1046154" customFormat="1" x14ac:dyDescent="0.15"/>
    <row r="1046155" customFormat="1" x14ac:dyDescent="0.15"/>
    <row r="1046156" customFormat="1" x14ac:dyDescent="0.15"/>
    <row r="1046157" customFormat="1" x14ac:dyDescent="0.15"/>
    <row r="1046158" customFormat="1" x14ac:dyDescent="0.15"/>
    <row r="1046159" customFormat="1" x14ac:dyDescent="0.15"/>
    <row r="1046160" customFormat="1" x14ac:dyDescent="0.15"/>
    <row r="1046161" customFormat="1" x14ac:dyDescent="0.15"/>
    <row r="1046162" customFormat="1" x14ac:dyDescent="0.15"/>
    <row r="1046163" customFormat="1" x14ac:dyDescent="0.15"/>
    <row r="1046164" customFormat="1" x14ac:dyDescent="0.15"/>
    <row r="1046165" customFormat="1" x14ac:dyDescent="0.15"/>
    <row r="1046166" customFormat="1" x14ac:dyDescent="0.15"/>
    <row r="1046167" customFormat="1" x14ac:dyDescent="0.15"/>
    <row r="1046168" customFormat="1" x14ac:dyDescent="0.15"/>
    <row r="1046169" customFormat="1" x14ac:dyDescent="0.15"/>
    <row r="1046170" customFormat="1" x14ac:dyDescent="0.15"/>
    <row r="1046171" customFormat="1" x14ac:dyDescent="0.15"/>
    <row r="1046172" customFormat="1" x14ac:dyDescent="0.15"/>
    <row r="1046173" customFormat="1" x14ac:dyDescent="0.15"/>
    <row r="1046174" customFormat="1" x14ac:dyDescent="0.15"/>
    <row r="1046175" customFormat="1" x14ac:dyDescent="0.15"/>
    <row r="1046176" customFormat="1" x14ac:dyDescent="0.15"/>
    <row r="1046177" customFormat="1" x14ac:dyDescent="0.15"/>
    <row r="1046178" customFormat="1" x14ac:dyDescent="0.15"/>
    <row r="1046179" customFormat="1" x14ac:dyDescent="0.15"/>
    <row r="1046180" customFormat="1" x14ac:dyDescent="0.15"/>
    <row r="1046181" customFormat="1" x14ac:dyDescent="0.15"/>
    <row r="1046182" customFormat="1" x14ac:dyDescent="0.15"/>
    <row r="1046183" customFormat="1" x14ac:dyDescent="0.15"/>
    <row r="1046184" customFormat="1" x14ac:dyDescent="0.15"/>
    <row r="1046185" customFormat="1" x14ac:dyDescent="0.15"/>
    <row r="1046186" customFormat="1" x14ac:dyDescent="0.15"/>
    <row r="1046187" customFormat="1" x14ac:dyDescent="0.15"/>
    <row r="1046188" customFormat="1" x14ac:dyDescent="0.15"/>
    <row r="1046189" customFormat="1" x14ac:dyDescent="0.15"/>
    <row r="1046190" customFormat="1" x14ac:dyDescent="0.15"/>
    <row r="1046191" customFormat="1" x14ac:dyDescent="0.15"/>
    <row r="1046192" customFormat="1" x14ac:dyDescent="0.15"/>
    <row r="1046193" customFormat="1" x14ac:dyDescent="0.15"/>
    <row r="1046194" customFormat="1" x14ac:dyDescent="0.15"/>
    <row r="1046195" customFormat="1" x14ac:dyDescent="0.15"/>
    <row r="1046196" customFormat="1" x14ac:dyDescent="0.15"/>
    <row r="1046197" customFormat="1" x14ac:dyDescent="0.15"/>
    <row r="1046198" customFormat="1" x14ac:dyDescent="0.15"/>
    <row r="1046199" customFormat="1" x14ac:dyDescent="0.15"/>
    <row r="1046200" customFormat="1" x14ac:dyDescent="0.15"/>
    <row r="1046201" customFormat="1" x14ac:dyDescent="0.15"/>
    <row r="1046202" customFormat="1" x14ac:dyDescent="0.15"/>
    <row r="1046203" customFormat="1" x14ac:dyDescent="0.15"/>
    <row r="1046204" customFormat="1" x14ac:dyDescent="0.15"/>
    <row r="1046205" customFormat="1" x14ac:dyDescent="0.15"/>
    <row r="1046206" customFormat="1" x14ac:dyDescent="0.15"/>
    <row r="1046207" customFormat="1" x14ac:dyDescent="0.15"/>
    <row r="1046208" customFormat="1" x14ac:dyDescent="0.15"/>
    <row r="1046209" customFormat="1" x14ac:dyDescent="0.15"/>
    <row r="1046210" customFormat="1" x14ac:dyDescent="0.15"/>
    <row r="1046211" customFormat="1" x14ac:dyDescent="0.15"/>
    <row r="1046212" customFormat="1" x14ac:dyDescent="0.15"/>
    <row r="1046213" customFormat="1" x14ac:dyDescent="0.15"/>
    <row r="1046214" customFormat="1" x14ac:dyDescent="0.15"/>
    <row r="1046215" customFormat="1" x14ac:dyDescent="0.15"/>
    <row r="1046216" customFormat="1" x14ac:dyDescent="0.15"/>
    <row r="1046217" customFormat="1" x14ac:dyDescent="0.15"/>
    <row r="1046218" customFormat="1" x14ac:dyDescent="0.15"/>
    <row r="1046219" customFormat="1" x14ac:dyDescent="0.15"/>
    <row r="1046220" customFormat="1" x14ac:dyDescent="0.15"/>
    <row r="1046221" customFormat="1" x14ac:dyDescent="0.15"/>
    <row r="1046222" customFormat="1" x14ac:dyDescent="0.15"/>
    <row r="1046223" customFormat="1" x14ac:dyDescent="0.15"/>
    <row r="1046224" customFormat="1" x14ac:dyDescent="0.15"/>
    <row r="1046225" customFormat="1" x14ac:dyDescent="0.15"/>
    <row r="1046226" customFormat="1" x14ac:dyDescent="0.15"/>
    <row r="1046227" customFormat="1" x14ac:dyDescent="0.15"/>
    <row r="1046228" customFormat="1" x14ac:dyDescent="0.15"/>
    <row r="1046229" customFormat="1" x14ac:dyDescent="0.15"/>
    <row r="1046230" customFormat="1" x14ac:dyDescent="0.15"/>
    <row r="1046231" customFormat="1" x14ac:dyDescent="0.15"/>
    <row r="1046232" customFormat="1" x14ac:dyDescent="0.15"/>
    <row r="1046233" customFormat="1" x14ac:dyDescent="0.15"/>
    <row r="1046234" customFormat="1" x14ac:dyDescent="0.15"/>
    <row r="1046235" customFormat="1" x14ac:dyDescent="0.15"/>
    <row r="1046236" customFormat="1" x14ac:dyDescent="0.15"/>
    <row r="1046237" customFormat="1" x14ac:dyDescent="0.15"/>
    <row r="1046238" customFormat="1" x14ac:dyDescent="0.15"/>
    <row r="1046239" customFormat="1" x14ac:dyDescent="0.15"/>
    <row r="1046240" customFormat="1" x14ac:dyDescent="0.15"/>
    <row r="1046241" customFormat="1" x14ac:dyDescent="0.15"/>
    <row r="1046242" customFormat="1" x14ac:dyDescent="0.15"/>
    <row r="1046243" customFormat="1" x14ac:dyDescent="0.15"/>
    <row r="1046244" customFormat="1" x14ac:dyDescent="0.15"/>
    <row r="1046245" customFormat="1" x14ac:dyDescent="0.15"/>
    <row r="1046246" customFormat="1" x14ac:dyDescent="0.15"/>
    <row r="1046247" customFormat="1" x14ac:dyDescent="0.15"/>
    <row r="1046248" customFormat="1" x14ac:dyDescent="0.15"/>
    <row r="1046249" customFormat="1" x14ac:dyDescent="0.15"/>
    <row r="1046250" customFormat="1" x14ac:dyDescent="0.15"/>
    <row r="1046251" customFormat="1" x14ac:dyDescent="0.15"/>
    <row r="1046252" customFormat="1" x14ac:dyDescent="0.15"/>
    <row r="1046253" customFormat="1" x14ac:dyDescent="0.15"/>
    <row r="1046254" customFormat="1" x14ac:dyDescent="0.15"/>
    <row r="1046255" customFormat="1" x14ac:dyDescent="0.15"/>
    <row r="1046256" customFormat="1" x14ac:dyDescent="0.15"/>
    <row r="1046257" customFormat="1" x14ac:dyDescent="0.15"/>
    <row r="1046258" customFormat="1" x14ac:dyDescent="0.15"/>
    <row r="1046259" customFormat="1" x14ac:dyDescent="0.15"/>
    <row r="1046260" customFormat="1" x14ac:dyDescent="0.15"/>
    <row r="1046261" customFormat="1" x14ac:dyDescent="0.15"/>
    <row r="1046262" customFormat="1" x14ac:dyDescent="0.15"/>
    <row r="1046263" customFormat="1" x14ac:dyDescent="0.15"/>
    <row r="1046264" customFormat="1" x14ac:dyDescent="0.15"/>
    <row r="1046265" customFormat="1" x14ac:dyDescent="0.15"/>
    <row r="1046266" customFormat="1" x14ac:dyDescent="0.15"/>
    <row r="1046267" customFormat="1" x14ac:dyDescent="0.15"/>
    <row r="1046268" customFormat="1" x14ac:dyDescent="0.15"/>
    <row r="1046269" customFormat="1" x14ac:dyDescent="0.15"/>
    <row r="1046270" customFormat="1" x14ac:dyDescent="0.15"/>
    <row r="1046271" customFormat="1" x14ac:dyDescent="0.15"/>
    <row r="1046272" customFormat="1" x14ac:dyDescent="0.15"/>
    <row r="1046273" customFormat="1" x14ac:dyDescent="0.15"/>
    <row r="1046274" customFormat="1" x14ac:dyDescent="0.15"/>
    <row r="1046275" customFormat="1" x14ac:dyDescent="0.15"/>
    <row r="1046276" customFormat="1" x14ac:dyDescent="0.15"/>
    <row r="1046277" customFormat="1" x14ac:dyDescent="0.15"/>
    <row r="1046278" customFormat="1" x14ac:dyDescent="0.15"/>
    <row r="1046279" customFormat="1" x14ac:dyDescent="0.15"/>
    <row r="1046280" customFormat="1" x14ac:dyDescent="0.15"/>
    <row r="1046281" customFormat="1" x14ac:dyDescent="0.15"/>
    <row r="1046282" customFormat="1" x14ac:dyDescent="0.15"/>
    <row r="1046283" customFormat="1" x14ac:dyDescent="0.15"/>
    <row r="1046284" customFormat="1" x14ac:dyDescent="0.15"/>
    <row r="1046285" customFormat="1" x14ac:dyDescent="0.15"/>
    <row r="1046286" customFormat="1" x14ac:dyDescent="0.15"/>
    <row r="1046287" customFormat="1" x14ac:dyDescent="0.15"/>
    <row r="1046288" customFormat="1" x14ac:dyDescent="0.15"/>
    <row r="1046289" customFormat="1" x14ac:dyDescent="0.15"/>
    <row r="1046290" customFormat="1" x14ac:dyDescent="0.15"/>
    <row r="1046291" customFormat="1" x14ac:dyDescent="0.15"/>
    <row r="1046292" customFormat="1" x14ac:dyDescent="0.15"/>
    <row r="1046293" customFormat="1" x14ac:dyDescent="0.15"/>
    <row r="1046294" customFormat="1" x14ac:dyDescent="0.15"/>
    <row r="1046295" customFormat="1" x14ac:dyDescent="0.15"/>
    <row r="1046296" customFormat="1" x14ac:dyDescent="0.15"/>
    <row r="1046297" customFormat="1" x14ac:dyDescent="0.15"/>
    <row r="1046298" customFormat="1" x14ac:dyDescent="0.15"/>
    <row r="1046299" customFormat="1" x14ac:dyDescent="0.15"/>
    <row r="1046300" customFormat="1" x14ac:dyDescent="0.15"/>
    <row r="1046301" customFormat="1" x14ac:dyDescent="0.15"/>
    <row r="1046302" customFormat="1" x14ac:dyDescent="0.15"/>
    <row r="1046303" customFormat="1" x14ac:dyDescent="0.15"/>
    <row r="1046304" customFormat="1" x14ac:dyDescent="0.15"/>
    <row r="1046305" customFormat="1" x14ac:dyDescent="0.15"/>
    <row r="1046306" customFormat="1" x14ac:dyDescent="0.15"/>
    <row r="1046307" customFormat="1" x14ac:dyDescent="0.15"/>
    <row r="1046308" customFormat="1" x14ac:dyDescent="0.15"/>
    <row r="1046309" customFormat="1" x14ac:dyDescent="0.15"/>
    <row r="1046310" customFormat="1" x14ac:dyDescent="0.15"/>
    <row r="1046311" customFormat="1" x14ac:dyDescent="0.15"/>
    <row r="1046312" customFormat="1" x14ac:dyDescent="0.15"/>
    <row r="1046313" customFormat="1" x14ac:dyDescent="0.15"/>
    <row r="1046314" customFormat="1" x14ac:dyDescent="0.15"/>
    <row r="1046315" customFormat="1" x14ac:dyDescent="0.15"/>
    <row r="1046316" customFormat="1" x14ac:dyDescent="0.15"/>
    <row r="1046317" customFormat="1" x14ac:dyDescent="0.15"/>
    <row r="1046318" customFormat="1" x14ac:dyDescent="0.15"/>
    <row r="1046319" customFormat="1" x14ac:dyDescent="0.15"/>
    <row r="1046320" customFormat="1" x14ac:dyDescent="0.15"/>
    <row r="1046321" customFormat="1" x14ac:dyDescent="0.15"/>
    <row r="1046322" customFormat="1" x14ac:dyDescent="0.15"/>
    <row r="1046323" customFormat="1" x14ac:dyDescent="0.15"/>
    <row r="1046324" customFormat="1" x14ac:dyDescent="0.15"/>
    <row r="1046325" customFormat="1" x14ac:dyDescent="0.15"/>
    <row r="1046326" customFormat="1" x14ac:dyDescent="0.15"/>
    <row r="1046327" customFormat="1" x14ac:dyDescent="0.15"/>
    <row r="1046328" customFormat="1" x14ac:dyDescent="0.15"/>
    <row r="1046329" customFormat="1" x14ac:dyDescent="0.15"/>
    <row r="1046330" customFormat="1" x14ac:dyDescent="0.15"/>
    <row r="1046331" customFormat="1" x14ac:dyDescent="0.15"/>
    <row r="1046332" customFormat="1" x14ac:dyDescent="0.15"/>
    <row r="1046333" customFormat="1" x14ac:dyDescent="0.15"/>
    <row r="1046334" customFormat="1" x14ac:dyDescent="0.15"/>
    <row r="1046335" customFormat="1" x14ac:dyDescent="0.15"/>
    <row r="1046336" customFormat="1" x14ac:dyDescent="0.15"/>
    <row r="1046337" customFormat="1" x14ac:dyDescent="0.15"/>
    <row r="1046338" customFormat="1" x14ac:dyDescent="0.15"/>
    <row r="1046339" customFormat="1" x14ac:dyDescent="0.15"/>
    <row r="1046340" customFormat="1" x14ac:dyDescent="0.15"/>
    <row r="1046341" customFormat="1" x14ac:dyDescent="0.15"/>
    <row r="1046342" customFormat="1" x14ac:dyDescent="0.15"/>
    <row r="1046343" customFormat="1" x14ac:dyDescent="0.15"/>
    <row r="1046344" customFormat="1" x14ac:dyDescent="0.15"/>
    <row r="1046345" customFormat="1" x14ac:dyDescent="0.15"/>
    <row r="1046346" customFormat="1" x14ac:dyDescent="0.15"/>
    <row r="1046347" customFormat="1" x14ac:dyDescent="0.15"/>
    <row r="1046348" customFormat="1" x14ac:dyDescent="0.15"/>
    <row r="1046349" customFormat="1" x14ac:dyDescent="0.15"/>
    <row r="1046350" customFormat="1" x14ac:dyDescent="0.15"/>
    <row r="1046351" customFormat="1" x14ac:dyDescent="0.15"/>
    <row r="1046352" customFormat="1" x14ac:dyDescent="0.15"/>
    <row r="1046353" customFormat="1" x14ac:dyDescent="0.15"/>
    <row r="1046354" customFormat="1" x14ac:dyDescent="0.15"/>
    <row r="1046355" customFormat="1" x14ac:dyDescent="0.15"/>
    <row r="1046356" customFormat="1" x14ac:dyDescent="0.15"/>
    <row r="1046357" customFormat="1" x14ac:dyDescent="0.15"/>
    <row r="1046358" customFormat="1" x14ac:dyDescent="0.15"/>
    <row r="1046359" customFormat="1" x14ac:dyDescent="0.15"/>
    <row r="1046360" customFormat="1" x14ac:dyDescent="0.15"/>
    <row r="1046361" customFormat="1" x14ac:dyDescent="0.15"/>
    <row r="1046362" customFormat="1" x14ac:dyDescent="0.15"/>
    <row r="1046363" customFormat="1" x14ac:dyDescent="0.15"/>
    <row r="1046364" customFormat="1" x14ac:dyDescent="0.15"/>
    <row r="1046365" customFormat="1" x14ac:dyDescent="0.15"/>
    <row r="1046366" customFormat="1" x14ac:dyDescent="0.15"/>
    <row r="1046367" customFormat="1" x14ac:dyDescent="0.15"/>
    <row r="1046368" customFormat="1" x14ac:dyDescent="0.15"/>
    <row r="1046369" customFormat="1" x14ac:dyDescent="0.15"/>
    <row r="1046370" customFormat="1" x14ac:dyDescent="0.15"/>
    <row r="1046371" customFormat="1" x14ac:dyDescent="0.15"/>
    <row r="1046372" customFormat="1" x14ac:dyDescent="0.15"/>
    <row r="1046373" customFormat="1" x14ac:dyDescent="0.15"/>
    <row r="1046374" customFormat="1" x14ac:dyDescent="0.15"/>
    <row r="1046375" customFormat="1" x14ac:dyDescent="0.15"/>
    <row r="1046376" customFormat="1" x14ac:dyDescent="0.15"/>
    <row r="1046377" customFormat="1" x14ac:dyDescent="0.15"/>
    <row r="1046378" customFormat="1" x14ac:dyDescent="0.15"/>
    <row r="1046379" customFormat="1" x14ac:dyDescent="0.15"/>
    <row r="1046380" customFormat="1" x14ac:dyDescent="0.15"/>
    <row r="1046381" customFormat="1" x14ac:dyDescent="0.15"/>
    <row r="1046382" customFormat="1" x14ac:dyDescent="0.15"/>
    <row r="1046383" customFormat="1" x14ac:dyDescent="0.15"/>
    <row r="1046384" customFormat="1" x14ac:dyDescent="0.15"/>
    <row r="1046385" customFormat="1" x14ac:dyDescent="0.15"/>
    <row r="1046386" customFormat="1" x14ac:dyDescent="0.15"/>
    <row r="1046387" customFormat="1" x14ac:dyDescent="0.15"/>
    <row r="1046388" customFormat="1" x14ac:dyDescent="0.15"/>
    <row r="1046389" customFormat="1" x14ac:dyDescent="0.15"/>
    <row r="1046390" customFormat="1" x14ac:dyDescent="0.15"/>
    <row r="1046391" customFormat="1" x14ac:dyDescent="0.15"/>
    <row r="1046392" customFormat="1" x14ac:dyDescent="0.15"/>
    <row r="1046393" customFormat="1" x14ac:dyDescent="0.15"/>
    <row r="1046394" customFormat="1" x14ac:dyDescent="0.15"/>
    <row r="1046395" customFormat="1" x14ac:dyDescent="0.15"/>
    <row r="1046396" customFormat="1" x14ac:dyDescent="0.15"/>
    <row r="1046397" customFormat="1" x14ac:dyDescent="0.15"/>
    <row r="1046398" customFormat="1" x14ac:dyDescent="0.15"/>
    <row r="1046399" customFormat="1" x14ac:dyDescent="0.15"/>
    <row r="1046400" customFormat="1" x14ac:dyDescent="0.15"/>
    <row r="1046401" customFormat="1" x14ac:dyDescent="0.15"/>
    <row r="1046402" customFormat="1" x14ac:dyDescent="0.15"/>
    <row r="1046403" customFormat="1" x14ac:dyDescent="0.15"/>
    <row r="1046404" customFormat="1" x14ac:dyDescent="0.15"/>
    <row r="1046405" customFormat="1" x14ac:dyDescent="0.15"/>
    <row r="1046406" customFormat="1" x14ac:dyDescent="0.15"/>
    <row r="1046407" customFormat="1" x14ac:dyDescent="0.15"/>
    <row r="1046408" customFormat="1" x14ac:dyDescent="0.15"/>
    <row r="1046409" customFormat="1" x14ac:dyDescent="0.15"/>
    <row r="1046410" customFormat="1" x14ac:dyDescent="0.15"/>
    <row r="1046411" customFormat="1" x14ac:dyDescent="0.15"/>
    <row r="1046412" customFormat="1" x14ac:dyDescent="0.15"/>
    <row r="1046413" customFormat="1" x14ac:dyDescent="0.15"/>
    <row r="1046414" customFormat="1" x14ac:dyDescent="0.15"/>
    <row r="1046415" customFormat="1" x14ac:dyDescent="0.15"/>
    <row r="1046416" customFormat="1" x14ac:dyDescent="0.15"/>
    <row r="1046417" customFormat="1" x14ac:dyDescent="0.15"/>
    <row r="1046418" customFormat="1" x14ac:dyDescent="0.15"/>
    <row r="1046419" customFormat="1" x14ac:dyDescent="0.15"/>
    <row r="1046420" customFormat="1" x14ac:dyDescent="0.15"/>
    <row r="1046421" customFormat="1" x14ac:dyDescent="0.15"/>
    <row r="1046422" customFormat="1" x14ac:dyDescent="0.15"/>
    <row r="1046423" customFormat="1" x14ac:dyDescent="0.15"/>
    <row r="1046424" customFormat="1" x14ac:dyDescent="0.15"/>
    <row r="1046425" customFormat="1" x14ac:dyDescent="0.15"/>
    <row r="1046426" customFormat="1" x14ac:dyDescent="0.15"/>
    <row r="1046427" customFormat="1" x14ac:dyDescent="0.15"/>
    <row r="1046428" customFormat="1" x14ac:dyDescent="0.15"/>
    <row r="1046429" customFormat="1" x14ac:dyDescent="0.15"/>
    <row r="1046430" customFormat="1" x14ac:dyDescent="0.15"/>
    <row r="1046431" customFormat="1" x14ac:dyDescent="0.15"/>
    <row r="1046432" customFormat="1" x14ac:dyDescent="0.15"/>
    <row r="1046433" customFormat="1" x14ac:dyDescent="0.15"/>
    <row r="1046434" customFormat="1" x14ac:dyDescent="0.15"/>
    <row r="1046435" customFormat="1" x14ac:dyDescent="0.15"/>
    <row r="1046436" customFormat="1" x14ac:dyDescent="0.15"/>
    <row r="1046437" customFormat="1" x14ac:dyDescent="0.15"/>
    <row r="1046438" customFormat="1" x14ac:dyDescent="0.15"/>
    <row r="1046439" customFormat="1" x14ac:dyDescent="0.15"/>
    <row r="1046440" customFormat="1" x14ac:dyDescent="0.15"/>
    <row r="1046441" customFormat="1" x14ac:dyDescent="0.15"/>
    <row r="1046442" customFormat="1" x14ac:dyDescent="0.15"/>
    <row r="1046443" customFormat="1" x14ac:dyDescent="0.15"/>
    <row r="1046444" customFormat="1" x14ac:dyDescent="0.15"/>
    <row r="1046445" customFormat="1" x14ac:dyDescent="0.15"/>
    <row r="1046446" customFormat="1" x14ac:dyDescent="0.15"/>
    <row r="1046447" customFormat="1" x14ac:dyDescent="0.15"/>
    <row r="1046448" customFormat="1" x14ac:dyDescent="0.15"/>
    <row r="1046449" customFormat="1" x14ac:dyDescent="0.15"/>
    <row r="1046450" customFormat="1" x14ac:dyDescent="0.15"/>
    <row r="1046451" customFormat="1" x14ac:dyDescent="0.15"/>
    <row r="1046452" customFormat="1" x14ac:dyDescent="0.15"/>
    <row r="1046453" customFormat="1" x14ac:dyDescent="0.15"/>
    <row r="1046454" customFormat="1" x14ac:dyDescent="0.15"/>
    <row r="1046455" customFormat="1" x14ac:dyDescent="0.15"/>
    <row r="1046456" customFormat="1" x14ac:dyDescent="0.15"/>
    <row r="1046457" customFormat="1" x14ac:dyDescent="0.15"/>
    <row r="1046458" customFormat="1" x14ac:dyDescent="0.15"/>
    <row r="1046459" customFormat="1" x14ac:dyDescent="0.15"/>
    <row r="1046460" customFormat="1" x14ac:dyDescent="0.15"/>
    <row r="1046461" customFormat="1" x14ac:dyDescent="0.15"/>
    <row r="1046462" customFormat="1" x14ac:dyDescent="0.15"/>
    <row r="1046463" customFormat="1" x14ac:dyDescent="0.15"/>
    <row r="1046464" customFormat="1" x14ac:dyDescent="0.15"/>
    <row r="1046465" customFormat="1" x14ac:dyDescent="0.15"/>
    <row r="1046466" customFormat="1" x14ac:dyDescent="0.15"/>
    <row r="1046467" customFormat="1" x14ac:dyDescent="0.15"/>
    <row r="1046468" customFormat="1" x14ac:dyDescent="0.15"/>
    <row r="1046469" customFormat="1" x14ac:dyDescent="0.15"/>
    <row r="1046470" customFormat="1" x14ac:dyDescent="0.15"/>
    <row r="1046471" customFormat="1" x14ac:dyDescent="0.15"/>
    <row r="1046472" customFormat="1" x14ac:dyDescent="0.15"/>
    <row r="1046473" customFormat="1" x14ac:dyDescent="0.15"/>
    <row r="1046474" customFormat="1" x14ac:dyDescent="0.15"/>
    <row r="1046475" customFormat="1" x14ac:dyDescent="0.15"/>
    <row r="1046476" customFormat="1" x14ac:dyDescent="0.15"/>
    <row r="1046477" customFormat="1" x14ac:dyDescent="0.15"/>
    <row r="1046478" customFormat="1" x14ac:dyDescent="0.15"/>
    <row r="1046479" customFormat="1" x14ac:dyDescent="0.15"/>
    <row r="1046480" customFormat="1" x14ac:dyDescent="0.15"/>
    <row r="1046481" customFormat="1" x14ac:dyDescent="0.15"/>
    <row r="1046482" customFormat="1" x14ac:dyDescent="0.15"/>
    <row r="1046483" customFormat="1" x14ac:dyDescent="0.15"/>
    <row r="1046484" customFormat="1" x14ac:dyDescent="0.15"/>
    <row r="1046485" customFormat="1" x14ac:dyDescent="0.15"/>
    <row r="1046486" customFormat="1" x14ac:dyDescent="0.15"/>
    <row r="1046487" customFormat="1" x14ac:dyDescent="0.15"/>
    <row r="1046488" customFormat="1" x14ac:dyDescent="0.15"/>
    <row r="1046489" customFormat="1" x14ac:dyDescent="0.15"/>
    <row r="1046490" customFormat="1" x14ac:dyDescent="0.15"/>
    <row r="1046491" customFormat="1" x14ac:dyDescent="0.15"/>
    <row r="1046492" customFormat="1" x14ac:dyDescent="0.15"/>
    <row r="1046493" customFormat="1" x14ac:dyDescent="0.15"/>
    <row r="1046494" customFormat="1" x14ac:dyDescent="0.15"/>
    <row r="1046495" customFormat="1" x14ac:dyDescent="0.15"/>
    <row r="1046496" customFormat="1" x14ac:dyDescent="0.15"/>
    <row r="1046497" customFormat="1" x14ac:dyDescent="0.15"/>
    <row r="1046498" customFormat="1" x14ac:dyDescent="0.15"/>
    <row r="1046499" customFormat="1" x14ac:dyDescent="0.15"/>
    <row r="1046500" customFormat="1" x14ac:dyDescent="0.15"/>
    <row r="1046501" customFormat="1" x14ac:dyDescent="0.15"/>
    <row r="1046502" customFormat="1" x14ac:dyDescent="0.15"/>
    <row r="1046503" customFormat="1" x14ac:dyDescent="0.15"/>
    <row r="1046504" customFormat="1" x14ac:dyDescent="0.15"/>
    <row r="1046505" customFormat="1" x14ac:dyDescent="0.15"/>
    <row r="1046506" customFormat="1" x14ac:dyDescent="0.15"/>
    <row r="1046507" customFormat="1" x14ac:dyDescent="0.15"/>
    <row r="1046508" customFormat="1" x14ac:dyDescent="0.15"/>
    <row r="1046509" customFormat="1" x14ac:dyDescent="0.15"/>
    <row r="1046510" customFormat="1" x14ac:dyDescent="0.15"/>
    <row r="1046511" customFormat="1" x14ac:dyDescent="0.15"/>
    <row r="1046512" customFormat="1" x14ac:dyDescent="0.15"/>
    <row r="1046513" customFormat="1" x14ac:dyDescent="0.15"/>
    <row r="1046514" customFormat="1" x14ac:dyDescent="0.15"/>
    <row r="1046515" customFormat="1" x14ac:dyDescent="0.15"/>
    <row r="1046516" customFormat="1" x14ac:dyDescent="0.15"/>
    <row r="1046517" customFormat="1" x14ac:dyDescent="0.15"/>
    <row r="1046518" customFormat="1" x14ac:dyDescent="0.15"/>
    <row r="1046519" customFormat="1" x14ac:dyDescent="0.15"/>
    <row r="1046520" customFormat="1" x14ac:dyDescent="0.15"/>
    <row r="1046521" customFormat="1" x14ac:dyDescent="0.15"/>
    <row r="1046522" customFormat="1" x14ac:dyDescent="0.15"/>
    <row r="1046523" customFormat="1" x14ac:dyDescent="0.15"/>
    <row r="1046524" customFormat="1" x14ac:dyDescent="0.15"/>
    <row r="1046525" customFormat="1" x14ac:dyDescent="0.15"/>
    <row r="1046526" customFormat="1" x14ac:dyDescent="0.15"/>
    <row r="1046527" customFormat="1" x14ac:dyDescent="0.15"/>
    <row r="1046528" customFormat="1" x14ac:dyDescent="0.15"/>
    <row r="1046529" customFormat="1" x14ac:dyDescent="0.15"/>
    <row r="1046530" customFormat="1" x14ac:dyDescent="0.15"/>
    <row r="1046531" customFormat="1" x14ac:dyDescent="0.15"/>
    <row r="1046532" customFormat="1" x14ac:dyDescent="0.15"/>
    <row r="1046533" customFormat="1" x14ac:dyDescent="0.15"/>
    <row r="1046534" customFormat="1" x14ac:dyDescent="0.15"/>
    <row r="1046535" customFormat="1" x14ac:dyDescent="0.15"/>
    <row r="1046536" customFormat="1" x14ac:dyDescent="0.15"/>
    <row r="1046537" customFormat="1" x14ac:dyDescent="0.15"/>
    <row r="1046538" customFormat="1" x14ac:dyDescent="0.15"/>
    <row r="1046539" customFormat="1" x14ac:dyDescent="0.15"/>
    <row r="1046540" customFormat="1" x14ac:dyDescent="0.15"/>
    <row r="1046541" customFormat="1" x14ac:dyDescent="0.15"/>
    <row r="1046542" customFormat="1" x14ac:dyDescent="0.15"/>
    <row r="1046543" customFormat="1" x14ac:dyDescent="0.15"/>
    <row r="1046544" customFormat="1" x14ac:dyDescent="0.15"/>
    <row r="1046545" customFormat="1" x14ac:dyDescent="0.15"/>
    <row r="1046546" customFormat="1" x14ac:dyDescent="0.15"/>
    <row r="1046547" customFormat="1" x14ac:dyDescent="0.15"/>
    <row r="1046548" customFormat="1" x14ac:dyDescent="0.15"/>
    <row r="1046549" customFormat="1" x14ac:dyDescent="0.15"/>
    <row r="1046550" customFormat="1" x14ac:dyDescent="0.15"/>
    <row r="1046551" customFormat="1" x14ac:dyDescent="0.15"/>
    <row r="1046552" customFormat="1" x14ac:dyDescent="0.15"/>
    <row r="1046553" customFormat="1" x14ac:dyDescent="0.15"/>
    <row r="1046554" customFormat="1" x14ac:dyDescent="0.15"/>
    <row r="1046555" customFormat="1" x14ac:dyDescent="0.15"/>
    <row r="1046556" customFormat="1" x14ac:dyDescent="0.15"/>
    <row r="1046557" customFormat="1" x14ac:dyDescent="0.15"/>
    <row r="1046558" customFormat="1" x14ac:dyDescent="0.15"/>
    <row r="1046559" customFormat="1" x14ac:dyDescent="0.15"/>
    <row r="1046560" customFormat="1" x14ac:dyDescent="0.15"/>
    <row r="1046561" customFormat="1" x14ac:dyDescent="0.15"/>
    <row r="1046562" customFormat="1" x14ac:dyDescent="0.15"/>
    <row r="1046563" customFormat="1" x14ac:dyDescent="0.15"/>
    <row r="1046564" customFormat="1" x14ac:dyDescent="0.15"/>
    <row r="1046565" customFormat="1" x14ac:dyDescent="0.15"/>
    <row r="1046566" customFormat="1" x14ac:dyDescent="0.15"/>
    <row r="1046567" customFormat="1" x14ac:dyDescent="0.15"/>
    <row r="1046568" customFormat="1" x14ac:dyDescent="0.15"/>
    <row r="1046569" customFormat="1" x14ac:dyDescent="0.15"/>
    <row r="1046570" customFormat="1" x14ac:dyDescent="0.15"/>
    <row r="1046571" customFormat="1" x14ac:dyDescent="0.15"/>
    <row r="1046572" customFormat="1" x14ac:dyDescent="0.15"/>
    <row r="1046573" customFormat="1" x14ac:dyDescent="0.15"/>
    <row r="1046574" customFormat="1" x14ac:dyDescent="0.15"/>
    <row r="1046575" customFormat="1" x14ac:dyDescent="0.15"/>
    <row r="1046576" customFormat="1" x14ac:dyDescent="0.15"/>
    <row r="1046577" customFormat="1" x14ac:dyDescent="0.15"/>
    <row r="1046578" customFormat="1" x14ac:dyDescent="0.15"/>
    <row r="1046579" customFormat="1" x14ac:dyDescent="0.15"/>
    <row r="1046580" customFormat="1" x14ac:dyDescent="0.15"/>
    <row r="1046581" customFormat="1" x14ac:dyDescent="0.15"/>
    <row r="1046582" customFormat="1" x14ac:dyDescent="0.15"/>
    <row r="1046583" customFormat="1" x14ac:dyDescent="0.15"/>
    <row r="1046584" customFormat="1" x14ac:dyDescent="0.15"/>
    <row r="1046585" customFormat="1" x14ac:dyDescent="0.15"/>
    <row r="1046586" customFormat="1" x14ac:dyDescent="0.15"/>
    <row r="1046587" customFormat="1" x14ac:dyDescent="0.15"/>
    <row r="1046588" customFormat="1" x14ac:dyDescent="0.15"/>
    <row r="1046589" customFormat="1" x14ac:dyDescent="0.15"/>
    <row r="1046590" customFormat="1" x14ac:dyDescent="0.15"/>
    <row r="1046591" customFormat="1" x14ac:dyDescent="0.15"/>
    <row r="1046592" customFormat="1" x14ac:dyDescent="0.15"/>
    <row r="1046593" customFormat="1" x14ac:dyDescent="0.15"/>
    <row r="1046594" customFormat="1" x14ac:dyDescent="0.15"/>
    <row r="1046595" customFormat="1" x14ac:dyDescent="0.15"/>
    <row r="1046596" customFormat="1" x14ac:dyDescent="0.15"/>
    <row r="1046597" customFormat="1" x14ac:dyDescent="0.15"/>
    <row r="1046598" customFormat="1" x14ac:dyDescent="0.15"/>
    <row r="1046599" customFormat="1" x14ac:dyDescent="0.15"/>
    <row r="1046600" customFormat="1" x14ac:dyDescent="0.15"/>
    <row r="1046601" customFormat="1" x14ac:dyDescent="0.15"/>
    <row r="1046602" customFormat="1" x14ac:dyDescent="0.15"/>
    <row r="1046603" customFormat="1" x14ac:dyDescent="0.15"/>
    <row r="1046604" customFormat="1" x14ac:dyDescent="0.15"/>
    <row r="1046605" customFormat="1" x14ac:dyDescent="0.15"/>
    <row r="1046606" customFormat="1" x14ac:dyDescent="0.15"/>
    <row r="1046607" customFormat="1" x14ac:dyDescent="0.15"/>
    <row r="1046608" customFormat="1" x14ac:dyDescent="0.15"/>
    <row r="1046609" customFormat="1" x14ac:dyDescent="0.15"/>
    <row r="1046610" customFormat="1" x14ac:dyDescent="0.15"/>
    <row r="1046611" customFormat="1" x14ac:dyDescent="0.15"/>
    <row r="1046612" customFormat="1" x14ac:dyDescent="0.15"/>
    <row r="1046613" customFormat="1" x14ac:dyDescent="0.15"/>
    <row r="1046614" customFormat="1" x14ac:dyDescent="0.15"/>
    <row r="1046615" customFormat="1" x14ac:dyDescent="0.15"/>
    <row r="1046616" customFormat="1" x14ac:dyDescent="0.15"/>
    <row r="1046617" customFormat="1" x14ac:dyDescent="0.15"/>
    <row r="1046618" customFormat="1" x14ac:dyDescent="0.15"/>
    <row r="1046619" customFormat="1" x14ac:dyDescent="0.15"/>
    <row r="1046620" customFormat="1" x14ac:dyDescent="0.15"/>
    <row r="1046621" customFormat="1" x14ac:dyDescent="0.15"/>
    <row r="1046622" customFormat="1" x14ac:dyDescent="0.15"/>
    <row r="1046623" customFormat="1" x14ac:dyDescent="0.15"/>
    <row r="1046624" customFormat="1" x14ac:dyDescent="0.15"/>
    <row r="1046625" customFormat="1" x14ac:dyDescent="0.15"/>
    <row r="1046626" customFormat="1" x14ac:dyDescent="0.15"/>
    <row r="1046627" customFormat="1" x14ac:dyDescent="0.15"/>
    <row r="1046628" customFormat="1" x14ac:dyDescent="0.15"/>
    <row r="1046629" customFormat="1" x14ac:dyDescent="0.15"/>
    <row r="1046630" customFormat="1" x14ac:dyDescent="0.15"/>
    <row r="1046631" customFormat="1" x14ac:dyDescent="0.15"/>
    <row r="1046632" customFormat="1" x14ac:dyDescent="0.15"/>
    <row r="1046633" customFormat="1" x14ac:dyDescent="0.15"/>
    <row r="1046634" customFormat="1" x14ac:dyDescent="0.15"/>
    <row r="1046635" customFormat="1" x14ac:dyDescent="0.15"/>
    <row r="1046636" customFormat="1" x14ac:dyDescent="0.15"/>
    <row r="1046637" customFormat="1" x14ac:dyDescent="0.15"/>
    <row r="1046638" customFormat="1" x14ac:dyDescent="0.15"/>
    <row r="1046639" customFormat="1" x14ac:dyDescent="0.15"/>
    <row r="1046640" customFormat="1" x14ac:dyDescent="0.15"/>
    <row r="1046641" customFormat="1" x14ac:dyDescent="0.15"/>
    <row r="1046642" customFormat="1" x14ac:dyDescent="0.15"/>
    <row r="1046643" customFormat="1" x14ac:dyDescent="0.15"/>
    <row r="1046644" customFormat="1" x14ac:dyDescent="0.15"/>
    <row r="1046645" customFormat="1" x14ac:dyDescent="0.15"/>
    <row r="1046646" customFormat="1" x14ac:dyDescent="0.15"/>
    <row r="1046647" customFormat="1" x14ac:dyDescent="0.15"/>
    <row r="1046648" customFormat="1" x14ac:dyDescent="0.15"/>
    <row r="1046649" customFormat="1" x14ac:dyDescent="0.15"/>
    <row r="1046650" customFormat="1" x14ac:dyDescent="0.15"/>
    <row r="1046651" customFormat="1" x14ac:dyDescent="0.15"/>
    <row r="1046652" customFormat="1" x14ac:dyDescent="0.15"/>
    <row r="1046653" customFormat="1" x14ac:dyDescent="0.15"/>
    <row r="1046654" customFormat="1" x14ac:dyDescent="0.15"/>
    <row r="1046655" customFormat="1" x14ac:dyDescent="0.15"/>
    <row r="1046656" customFormat="1" x14ac:dyDescent="0.15"/>
    <row r="1046657" customFormat="1" x14ac:dyDescent="0.15"/>
    <row r="1046658" customFormat="1" x14ac:dyDescent="0.15"/>
    <row r="1046659" customFormat="1" x14ac:dyDescent="0.15"/>
    <row r="1046660" customFormat="1" x14ac:dyDescent="0.15"/>
    <row r="1046661" customFormat="1" x14ac:dyDescent="0.15"/>
    <row r="1046662" customFormat="1" x14ac:dyDescent="0.15"/>
    <row r="1046663" customFormat="1" x14ac:dyDescent="0.15"/>
    <row r="1046664" customFormat="1" x14ac:dyDescent="0.15"/>
    <row r="1046665" customFormat="1" x14ac:dyDescent="0.15"/>
    <row r="1046666" customFormat="1" x14ac:dyDescent="0.15"/>
    <row r="1046667" customFormat="1" x14ac:dyDescent="0.15"/>
    <row r="1046668" customFormat="1" x14ac:dyDescent="0.15"/>
    <row r="1046669" customFormat="1" x14ac:dyDescent="0.15"/>
    <row r="1046670" customFormat="1" x14ac:dyDescent="0.15"/>
    <row r="1046671" customFormat="1" x14ac:dyDescent="0.15"/>
    <row r="1046672" customFormat="1" x14ac:dyDescent="0.15"/>
    <row r="1046673" customFormat="1" x14ac:dyDescent="0.15"/>
    <row r="1046674" customFormat="1" x14ac:dyDescent="0.15"/>
    <row r="1046675" customFormat="1" x14ac:dyDescent="0.15"/>
    <row r="1046676" customFormat="1" x14ac:dyDescent="0.15"/>
    <row r="1046677" customFormat="1" x14ac:dyDescent="0.15"/>
    <row r="1046678" customFormat="1" x14ac:dyDescent="0.15"/>
    <row r="1046679" customFormat="1" x14ac:dyDescent="0.15"/>
    <row r="1046680" customFormat="1" x14ac:dyDescent="0.15"/>
    <row r="1046681" customFormat="1" x14ac:dyDescent="0.15"/>
    <row r="1046682" customFormat="1" x14ac:dyDescent="0.15"/>
    <row r="1046683" customFormat="1" x14ac:dyDescent="0.15"/>
    <row r="1046684" customFormat="1" x14ac:dyDescent="0.15"/>
    <row r="1046685" customFormat="1" x14ac:dyDescent="0.15"/>
    <row r="1046686" customFormat="1" x14ac:dyDescent="0.15"/>
    <row r="1046687" customFormat="1" x14ac:dyDescent="0.15"/>
    <row r="1046688" customFormat="1" x14ac:dyDescent="0.15"/>
    <row r="1046689" customFormat="1" x14ac:dyDescent="0.15"/>
    <row r="1046690" customFormat="1" x14ac:dyDescent="0.15"/>
    <row r="1046691" customFormat="1" x14ac:dyDescent="0.15"/>
    <row r="1046692" customFormat="1" x14ac:dyDescent="0.15"/>
    <row r="1046693" customFormat="1" x14ac:dyDescent="0.15"/>
    <row r="1046694" customFormat="1" x14ac:dyDescent="0.15"/>
    <row r="1046695" customFormat="1" x14ac:dyDescent="0.15"/>
    <row r="1046696" customFormat="1" x14ac:dyDescent="0.15"/>
    <row r="1046697" customFormat="1" x14ac:dyDescent="0.15"/>
    <row r="1046698" customFormat="1" x14ac:dyDescent="0.15"/>
    <row r="1046699" customFormat="1" x14ac:dyDescent="0.15"/>
    <row r="1046700" customFormat="1" x14ac:dyDescent="0.15"/>
    <row r="1046701" customFormat="1" x14ac:dyDescent="0.15"/>
    <row r="1046702" customFormat="1" x14ac:dyDescent="0.15"/>
    <row r="1046703" customFormat="1" x14ac:dyDescent="0.15"/>
    <row r="1046704" customFormat="1" x14ac:dyDescent="0.15"/>
    <row r="1046705" customFormat="1" x14ac:dyDescent="0.15"/>
    <row r="1046706" customFormat="1" x14ac:dyDescent="0.15"/>
    <row r="1046707" customFormat="1" x14ac:dyDescent="0.15"/>
    <row r="1046708" customFormat="1" x14ac:dyDescent="0.15"/>
    <row r="1046709" customFormat="1" x14ac:dyDescent="0.15"/>
    <row r="1046710" customFormat="1" x14ac:dyDescent="0.15"/>
    <row r="1046711" customFormat="1" x14ac:dyDescent="0.15"/>
    <row r="1046712" customFormat="1" x14ac:dyDescent="0.15"/>
    <row r="1046713" customFormat="1" x14ac:dyDescent="0.15"/>
    <row r="1046714" customFormat="1" x14ac:dyDescent="0.15"/>
    <row r="1046715" customFormat="1" x14ac:dyDescent="0.15"/>
    <row r="1046716" customFormat="1" x14ac:dyDescent="0.15"/>
    <row r="1046717" customFormat="1" x14ac:dyDescent="0.15"/>
    <row r="1046718" customFormat="1" x14ac:dyDescent="0.15"/>
    <row r="1046719" customFormat="1" x14ac:dyDescent="0.15"/>
    <row r="1046720" customFormat="1" x14ac:dyDescent="0.15"/>
    <row r="1046721" customFormat="1" x14ac:dyDescent="0.15"/>
    <row r="1046722" customFormat="1" x14ac:dyDescent="0.15"/>
    <row r="1046723" customFormat="1" x14ac:dyDescent="0.15"/>
    <row r="1046724" customFormat="1" x14ac:dyDescent="0.15"/>
    <row r="1046725" customFormat="1" x14ac:dyDescent="0.15"/>
    <row r="1046726" customFormat="1" x14ac:dyDescent="0.15"/>
    <row r="1046727" customFormat="1" x14ac:dyDescent="0.15"/>
    <row r="1046728" customFormat="1" x14ac:dyDescent="0.15"/>
    <row r="1046729" customFormat="1" x14ac:dyDescent="0.15"/>
    <row r="1046730" customFormat="1" x14ac:dyDescent="0.15"/>
    <row r="1046731" customFormat="1" x14ac:dyDescent="0.15"/>
    <row r="1046732" customFormat="1" x14ac:dyDescent="0.15"/>
    <row r="1046733" customFormat="1" x14ac:dyDescent="0.15"/>
    <row r="1046734" customFormat="1" x14ac:dyDescent="0.15"/>
    <row r="1046735" customFormat="1" x14ac:dyDescent="0.15"/>
    <row r="1046736" customFormat="1" x14ac:dyDescent="0.15"/>
    <row r="1046737" customFormat="1" x14ac:dyDescent="0.15"/>
    <row r="1046738" customFormat="1" x14ac:dyDescent="0.15"/>
    <row r="1046739" customFormat="1" x14ac:dyDescent="0.15"/>
    <row r="1046740" customFormat="1" x14ac:dyDescent="0.15"/>
    <row r="1046741" customFormat="1" x14ac:dyDescent="0.15"/>
    <row r="1046742" customFormat="1" x14ac:dyDescent="0.15"/>
    <row r="1046743" customFormat="1" x14ac:dyDescent="0.15"/>
    <row r="1046744" customFormat="1" x14ac:dyDescent="0.15"/>
    <row r="1046745" customFormat="1" x14ac:dyDescent="0.15"/>
    <row r="1046746" customFormat="1" x14ac:dyDescent="0.15"/>
    <row r="1046747" customFormat="1" x14ac:dyDescent="0.15"/>
    <row r="1046748" customFormat="1" x14ac:dyDescent="0.15"/>
    <row r="1046749" customFormat="1" x14ac:dyDescent="0.15"/>
    <row r="1046750" customFormat="1" x14ac:dyDescent="0.15"/>
    <row r="1046751" customFormat="1" x14ac:dyDescent="0.15"/>
    <row r="1046752" customFormat="1" x14ac:dyDescent="0.15"/>
    <row r="1046753" customFormat="1" x14ac:dyDescent="0.15"/>
    <row r="1046754" customFormat="1" x14ac:dyDescent="0.15"/>
    <row r="1046755" customFormat="1" x14ac:dyDescent="0.15"/>
    <row r="1046756" customFormat="1" x14ac:dyDescent="0.15"/>
    <row r="1046757" customFormat="1" x14ac:dyDescent="0.15"/>
    <row r="1046758" customFormat="1" x14ac:dyDescent="0.15"/>
    <row r="1046759" customFormat="1" x14ac:dyDescent="0.15"/>
    <row r="1046760" customFormat="1" x14ac:dyDescent="0.15"/>
    <row r="1046761" customFormat="1" x14ac:dyDescent="0.15"/>
    <row r="1046762" customFormat="1" x14ac:dyDescent="0.15"/>
    <row r="1046763" customFormat="1" x14ac:dyDescent="0.15"/>
    <row r="1046764" customFormat="1" x14ac:dyDescent="0.15"/>
    <row r="1046765" customFormat="1" x14ac:dyDescent="0.15"/>
    <row r="1046766" customFormat="1" x14ac:dyDescent="0.15"/>
    <row r="1046767" customFormat="1" x14ac:dyDescent="0.15"/>
    <row r="1046768" customFormat="1" x14ac:dyDescent="0.15"/>
    <row r="1046769" customFormat="1" x14ac:dyDescent="0.15"/>
    <row r="1046770" customFormat="1" x14ac:dyDescent="0.15"/>
    <row r="1046771" customFormat="1" x14ac:dyDescent="0.15"/>
    <row r="1046772" customFormat="1" x14ac:dyDescent="0.15"/>
    <row r="1046773" customFormat="1" x14ac:dyDescent="0.15"/>
    <row r="1046774" customFormat="1" x14ac:dyDescent="0.15"/>
    <row r="1046775" customFormat="1" x14ac:dyDescent="0.15"/>
    <row r="1046776" customFormat="1" x14ac:dyDescent="0.15"/>
    <row r="1046777" customFormat="1" x14ac:dyDescent="0.15"/>
    <row r="1046778" customFormat="1" x14ac:dyDescent="0.15"/>
    <row r="1046779" customFormat="1" x14ac:dyDescent="0.15"/>
    <row r="1046780" customFormat="1" x14ac:dyDescent="0.15"/>
    <row r="1046781" customFormat="1" x14ac:dyDescent="0.15"/>
    <row r="1046782" customFormat="1" x14ac:dyDescent="0.15"/>
    <row r="1046783" customFormat="1" x14ac:dyDescent="0.15"/>
    <row r="1046784" customFormat="1" x14ac:dyDescent="0.15"/>
    <row r="1046785" customFormat="1" x14ac:dyDescent="0.15"/>
    <row r="1046786" customFormat="1" x14ac:dyDescent="0.15"/>
    <row r="1046787" customFormat="1" x14ac:dyDescent="0.15"/>
    <row r="1046788" customFormat="1" x14ac:dyDescent="0.15"/>
    <row r="1046789" customFormat="1" x14ac:dyDescent="0.15"/>
    <row r="1046790" customFormat="1" x14ac:dyDescent="0.15"/>
    <row r="1046791" customFormat="1" x14ac:dyDescent="0.15"/>
    <row r="1046792" customFormat="1" x14ac:dyDescent="0.15"/>
    <row r="1046793" customFormat="1" x14ac:dyDescent="0.15"/>
    <row r="1046794" customFormat="1" x14ac:dyDescent="0.15"/>
    <row r="1046795" customFormat="1" x14ac:dyDescent="0.15"/>
    <row r="1046796" customFormat="1" x14ac:dyDescent="0.15"/>
    <row r="1046797" customFormat="1" x14ac:dyDescent="0.15"/>
    <row r="1046798" customFormat="1" x14ac:dyDescent="0.15"/>
    <row r="1046799" customFormat="1" x14ac:dyDescent="0.15"/>
    <row r="1046800" customFormat="1" x14ac:dyDescent="0.15"/>
    <row r="1046801" customFormat="1" x14ac:dyDescent="0.15"/>
    <row r="1046802" customFormat="1" x14ac:dyDescent="0.15"/>
    <row r="1046803" customFormat="1" x14ac:dyDescent="0.15"/>
    <row r="1046804" customFormat="1" x14ac:dyDescent="0.15"/>
    <row r="1046805" customFormat="1" x14ac:dyDescent="0.15"/>
    <row r="1046806" customFormat="1" x14ac:dyDescent="0.15"/>
    <row r="1046807" customFormat="1" x14ac:dyDescent="0.15"/>
    <row r="1046808" customFormat="1" x14ac:dyDescent="0.15"/>
    <row r="1046809" customFormat="1" x14ac:dyDescent="0.15"/>
    <row r="1046810" customFormat="1" x14ac:dyDescent="0.15"/>
    <row r="1046811" customFormat="1" x14ac:dyDescent="0.15"/>
    <row r="1046812" customFormat="1" x14ac:dyDescent="0.15"/>
    <row r="1046813" customFormat="1" x14ac:dyDescent="0.15"/>
    <row r="1046814" customFormat="1" x14ac:dyDescent="0.15"/>
    <row r="1046815" customFormat="1" x14ac:dyDescent="0.15"/>
    <row r="1046816" customFormat="1" x14ac:dyDescent="0.15"/>
    <row r="1046817" customFormat="1" x14ac:dyDescent="0.15"/>
    <row r="1046818" customFormat="1" x14ac:dyDescent="0.15"/>
    <row r="1046819" customFormat="1" x14ac:dyDescent="0.15"/>
    <row r="1046820" customFormat="1" x14ac:dyDescent="0.15"/>
    <row r="1046821" customFormat="1" x14ac:dyDescent="0.15"/>
    <row r="1046822" customFormat="1" x14ac:dyDescent="0.15"/>
    <row r="1046823" customFormat="1" x14ac:dyDescent="0.15"/>
    <row r="1046824" customFormat="1" x14ac:dyDescent="0.15"/>
    <row r="1046825" customFormat="1" x14ac:dyDescent="0.15"/>
    <row r="1046826" customFormat="1" x14ac:dyDescent="0.15"/>
    <row r="1046827" customFormat="1" x14ac:dyDescent="0.15"/>
    <row r="1046828" customFormat="1" x14ac:dyDescent="0.15"/>
    <row r="1046829" customFormat="1" x14ac:dyDescent="0.15"/>
    <row r="1046830" customFormat="1" x14ac:dyDescent="0.15"/>
    <row r="1046831" customFormat="1" x14ac:dyDescent="0.15"/>
    <row r="1046832" customFormat="1" x14ac:dyDescent="0.15"/>
    <row r="1046833" customFormat="1" x14ac:dyDescent="0.15"/>
    <row r="1046834" customFormat="1" x14ac:dyDescent="0.15"/>
    <row r="1046835" customFormat="1" x14ac:dyDescent="0.15"/>
    <row r="1046836" customFormat="1" x14ac:dyDescent="0.15"/>
    <row r="1046837" customFormat="1" x14ac:dyDescent="0.15"/>
    <row r="1046838" customFormat="1" x14ac:dyDescent="0.15"/>
    <row r="1046839" customFormat="1" x14ac:dyDescent="0.15"/>
    <row r="1046840" customFormat="1" x14ac:dyDescent="0.15"/>
    <row r="1046841" customFormat="1" x14ac:dyDescent="0.15"/>
    <row r="1046842" customFormat="1" x14ac:dyDescent="0.15"/>
    <row r="1046843" customFormat="1" x14ac:dyDescent="0.15"/>
    <row r="1046844" customFormat="1" x14ac:dyDescent="0.15"/>
    <row r="1046845" customFormat="1" x14ac:dyDescent="0.15"/>
    <row r="1046846" customFormat="1" x14ac:dyDescent="0.15"/>
    <row r="1046847" customFormat="1" x14ac:dyDescent="0.15"/>
    <row r="1046848" customFormat="1" x14ac:dyDescent="0.15"/>
    <row r="1046849" customFormat="1" x14ac:dyDescent="0.15"/>
    <row r="1046850" customFormat="1" x14ac:dyDescent="0.15"/>
    <row r="1046851" customFormat="1" x14ac:dyDescent="0.15"/>
    <row r="1046852" customFormat="1" x14ac:dyDescent="0.15"/>
    <row r="1046853" customFormat="1" x14ac:dyDescent="0.15"/>
    <row r="1046854" customFormat="1" x14ac:dyDescent="0.15"/>
    <row r="1046855" customFormat="1" x14ac:dyDescent="0.15"/>
    <row r="1046856" customFormat="1" x14ac:dyDescent="0.15"/>
    <row r="1046857" customFormat="1" x14ac:dyDescent="0.15"/>
    <row r="1046858" customFormat="1" x14ac:dyDescent="0.15"/>
    <row r="1046859" customFormat="1" x14ac:dyDescent="0.15"/>
    <row r="1046860" customFormat="1" x14ac:dyDescent="0.15"/>
    <row r="1046861" customFormat="1" x14ac:dyDescent="0.15"/>
    <row r="1046862" customFormat="1" x14ac:dyDescent="0.15"/>
    <row r="1046863" customFormat="1" x14ac:dyDescent="0.15"/>
    <row r="1046864" customFormat="1" x14ac:dyDescent="0.15"/>
    <row r="1046865" customFormat="1" x14ac:dyDescent="0.15"/>
    <row r="1046866" customFormat="1" x14ac:dyDescent="0.15"/>
    <row r="1046867" customFormat="1" x14ac:dyDescent="0.15"/>
    <row r="1046868" customFormat="1" x14ac:dyDescent="0.15"/>
    <row r="1046869" customFormat="1" x14ac:dyDescent="0.15"/>
    <row r="1046870" customFormat="1" x14ac:dyDescent="0.15"/>
    <row r="1046871" customFormat="1" x14ac:dyDescent="0.15"/>
    <row r="1046872" customFormat="1" x14ac:dyDescent="0.15"/>
    <row r="1046873" customFormat="1" x14ac:dyDescent="0.15"/>
    <row r="1046874" customFormat="1" x14ac:dyDescent="0.15"/>
    <row r="1046875" customFormat="1" x14ac:dyDescent="0.15"/>
    <row r="1046876" customFormat="1" x14ac:dyDescent="0.15"/>
    <row r="1046877" customFormat="1" x14ac:dyDescent="0.15"/>
    <row r="1046878" customFormat="1" x14ac:dyDescent="0.15"/>
    <row r="1046879" customFormat="1" x14ac:dyDescent="0.15"/>
    <row r="1046880" customFormat="1" x14ac:dyDescent="0.15"/>
    <row r="1046881" customFormat="1" x14ac:dyDescent="0.15"/>
    <row r="1046882" customFormat="1" x14ac:dyDescent="0.15"/>
    <row r="1046883" customFormat="1" x14ac:dyDescent="0.15"/>
    <row r="1046884" customFormat="1" x14ac:dyDescent="0.15"/>
    <row r="1046885" customFormat="1" x14ac:dyDescent="0.15"/>
    <row r="1046886" customFormat="1" x14ac:dyDescent="0.15"/>
    <row r="1046887" customFormat="1" x14ac:dyDescent="0.15"/>
    <row r="1046888" customFormat="1" x14ac:dyDescent="0.15"/>
    <row r="1046889" customFormat="1" x14ac:dyDescent="0.15"/>
    <row r="1046890" customFormat="1" x14ac:dyDescent="0.15"/>
    <row r="1046891" customFormat="1" x14ac:dyDescent="0.15"/>
    <row r="1046892" customFormat="1" x14ac:dyDescent="0.15"/>
    <row r="1046893" customFormat="1" x14ac:dyDescent="0.15"/>
    <row r="1046894" customFormat="1" x14ac:dyDescent="0.15"/>
    <row r="1046895" customFormat="1" x14ac:dyDescent="0.15"/>
    <row r="1046896" customFormat="1" x14ac:dyDescent="0.15"/>
    <row r="1046897" customFormat="1" x14ac:dyDescent="0.15"/>
    <row r="1046898" customFormat="1" x14ac:dyDescent="0.15"/>
    <row r="1046899" customFormat="1" x14ac:dyDescent="0.15"/>
    <row r="1046900" customFormat="1" x14ac:dyDescent="0.15"/>
    <row r="1046901" customFormat="1" x14ac:dyDescent="0.15"/>
    <row r="1046902" customFormat="1" x14ac:dyDescent="0.15"/>
    <row r="1046903" customFormat="1" x14ac:dyDescent="0.15"/>
    <row r="1046904" customFormat="1" x14ac:dyDescent="0.15"/>
    <row r="1046905" customFormat="1" x14ac:dyDescent="0.15"/>
    <row r="1046906" customFormat="1" x14ac:dyDescent="0.15"/>
    <row r="1046907" customFormat="1" x14ac:dyDescent="0.15"/>
    <row r="1046908" customFormat="1" x14ac:dyDescent="0.15"/>
    <row r="1046909" customFormat="1" x14ac:dyDescent="0.15"/>
    <row r="1046910" customFormat="1" x14ac:dyDescent="0.15"/>
    <row r="1046911" customFormat="1" x14ac:dyDescent="0.15"/>
    <row r="1046912" customFormat="1" x14ac:dyDescent="0.15"/>
    <row r="1046913" customFormat="1" x14ac:dyDescent="0.15"/>
    <row r="1046914" customFormat="1" x14ac:dyDescent="0.15"/>
    <row r="1046915" customFormat="1" x14ac:dyDescent="0.15"/>
    <row r="1046916" customFormat="1" x14ac:dyDescent="0.15"/>
    <row r="1046917" customFormat="1" x14ac:dyDescent="0.15"/>
    <row r="1046918" customFormat="1" x14ac:dyDescent="0.15"/>
    <row r="1046919" customFormat="1" x14ac:dyDescent="0.15"/>
    <row r="1046920" customFormat="1" x14ac:dyDescent="0.15"/>
    <row r="1046921" customFormat="1" x14ac:dyDescent="0.15"/>
    <row r="1046922" customFormat="1" x14ac:dyDescent="0.15"/>
    <row r="1046923" customFormat="1" x14ac:dyDescent="0.15"/>
    <row r="1046924" customFormat="1" x14ac:dyDescent="0.15"/>
    <row r="1046925" customFormat="1" x14ac:dyDescent="0.15"/>
    <row r="1046926" customFormat="1" x14ac:dyDescent="0.15"/>
    <row r="1046927" customFormat="1" x14ac:dyDescent="0.15"/>
    <row r="1046928" customFormat="1" x14ac:dyDescent="0.15"/>
    <row r="1046929" customFormat="1" x14ac:dyDescent="0.15"/>
    <row r="1046930" customFormat="1" x14ac:dyDescent="0.15"/>
    <row r="1046931" customFormat="1" x14ac:dyDescent="0.15"/>
    <row r="1046932" customFormat="1" x14ac:dyDescent="0.15"/>
    <row r="1046933" customFormat="1" x14ac:dyDescent="0.15"/>
    <row r="1046934" customFormat="1" x14ac:dyDescent="0.15"/>
    <row r="1046935" customFormat="1" x14ac:dyDescent="0.15"/>
    <row r="1046936" customFormat="1" x14ac:dyDescent="0.15"/>
    <row r="1046937" customFormat="1" x14ac:dyDescent="0.15"/>
    <row r="1046938" customFormat="1" x14ac:dyDescent="0.15"/>
    <row r="1046939" customFormat="1" x14ac:dyDescent="0.15"/>
    <row r="1046940" customFormat="1" x14ac:dyDescent="0.15"/>
    <row r="1046941" customFormat="1" x14ac:dyDescent="0.15"/>
    <row r="1046942" customFormat="1" x14ac:dyDescent="0.15"/>
    <row r="1046943" customFormat="1" x14ac:dyDescent="0.15"/>
    <row r="1046944" customFormat="1" x14ac:dyDescent="0.15"/>
    <row r="1046945" customFormat="1" x14ac:dyDescent="0.15"/>
    <row r="1046946" customFormat="1" x14ac:dyDescent="0.15"/>
    <row r="1046947" customFormat="1" x14ac:dyDescent="0.15"/>
    <row r="1046948" customFormat="1" x14ac:dyDescent="0.15"/>
    <row r="1046949" customFormat="1" x14ac:dyDescent="0.15"/>
    <row r="1046950" customFormat="1" x14ac:dyDescent="0.15"/>
    <row r="1046951" customFormat="1" x14ac:dyDescent="0.15"/>
    <row r="1046952" customFormat="1" x14ac:dyDescent="0.15"/>
    <row r="1046953" customFormat="1" x14ac:dyDescent="0.15"/>
    <row r="1046954" customFormat="1" x14ac:dyDescent="0.15"/>
    <row r="1046955" customFormat="1" x14ac:dyDescent="0.15"/>
    <row r="1046956" customFormat="1" x14ac:dyDescent="0.15"/>
    <row r="1046957" customFormat="1" x14ac:dyDescent="0.15"/>
    <row r="1046958" customFormat="1" x14ac:dyDescent="0.15"/>
    <row r="1046959" customFormat="1" x14ac:dyDescent="0.15"/>
    <row r="1046960" customFormat="1" x14ac:dyDescent="0.15"/>
    <row r="1046961" customFormat="1" x14ac:dyDescent="0.15"/>
    <row r="1046962" customFormat="1" x14ac:dyDescent="0.15"/>
    <row r="1046963" customFormat="1" x14ac:dyDescent="0.15"/>
    <row r="1046964" customFormat="1" x14ac:dyDescent="0.15"/>
    <row r="1046965" customFormat="1" x14ac:dyDescent="0.15"/>
    <row r="1046966" customFormat="1" x14ac:dyDescent="0.15"/>
    <row r="1046967" customFormat="1" x14ac:dyDescent="0.15"/>
    <row r="1046968" customFormat="1" x14ac:dyDescent="0.15"/>
    <row r="1046969" customFormat="1" x14ac:dyDescent="0.15"/>
    <row r="1046970" customFormat="1" x14ac:dyDescent="0.15"/>
    <row r="1046971" customFormat="1" x14ac:dyDescent="0.15"/>
    <row r="1046972" customFormat="1" x14ac:dyDescent="0.15"/>
    <row r="1046973" customFormat="1" x14ac:dyDescent="0.15"/>
    <row r="1046974" customFormat="1" x14ac:dyDescent="0.15"/>
    <row r="1046975" customFormat="1" x14ac:dyDescent="0.15"/>
    <row r="1046976" customFormat="1" x14ac:dyDescent="0.15"/>
    <row r="1046977" customFormat="1" x14ac:dyDescent="0.15"/>
    <row r="1046978" customFormat="1" x14ac:dyDescent="0.15"/>
    <row r="1046979" customFormat="1" x14ac:dyDescent="0.15"/>
    <row r="1046980" customFormat="1" x14ac:dyDescent="0.15"/>
    <row r="1046981" customFormat="1" x14ac:dyDescent="0.15"/>
    <row r="1046982" customFormat="1" x14ac:dyDescent="0.15"/>
    <row r="1046983" customFormat="1" x14ac:dyDescent="0.15"/>
    <row r="1046984" customFormat="1" x14ac:dyDescent="0.15"/>
    <row r="1046985" customFormat="1" x14ac:dyDescent="0.15"/>
    <row r="1046986" customFormat="1" x14ac:dyDescent="0.15"/>
    <row r="1046987" customFormat="1" x14ac:dyDescent="0.15"/>
    <row r="1046988" customFormat="1" x14ac:dyDescent="0.15"/>
    <row r="1046989" customFormat="1" x14ac:dyDescent="0.15"/>
    <row r="1046990" customFormat="1" x14ac:dyDescent="0.15"/>
    <row r="1046991" customFormat="1" x14ac:dyDescent="0.15"/>
    <row r="1046992" customFormat="1" x14ac:dyDescent="0.15"/>
    <row r="1046993" customFormat="1" x14ac:dyDescent="0.15"/>
    <row r="1046994" customFormat="1" x14ac:dyDescent="0.15"/>
    <row r="1046995" customFormat="1" x14ac:dyDescent="0.15"/>
    <row r="1046996" customFormat="1" x14ac:dyDescent="0.15"/>
    <row r="1046997" customFormat="1" x14ac:dyDescent="0.15"/>
    <row r="1046998" customFormat="1" x14ac:dyDescent="0.15"/>
    <row r="1046999" customFormat="1" x14ac:dyDescent="0.15"/>
    <row r="1047000" customFormat="1" x14ac:dyDescent="0.15"/>
    <row r="1047001" customFormat="1" x14ac:dyDescent="0.15"/>
    <row r="1047002" customFormat="1" x14ac:dyDescent="0.15"/>
    <row r="1047003" customFormat="1" x14ac:dyDescent="0.15"/>
    <row r="1047004" customFormat="1" x14ac:dyDescent="0.15"/>
    <row r="1047005" customFormat="1" x14ac:dyDescent="0.15"/>
    <row r="1047006" customFormat="1" x14ac:dyDescent="0.15"/>
    <row r="1047007" customFormat="1" x14ac:dyDescent="0.15"/>
    <row r="1047008" customFormat="1" x14ac:dyDescent="0.15"/>
    <row r="1047009" customFormat="1" x14ac:dyDescent="0.15"/>
    <row r="1047010" customFormat="1" x14ac:dyDescent="0.15"/>
    <row r="1047011" customFormat="1" x14ac:dyDescent="0.15"/>
    <row r="1047012" customFormat="1" x14ac:dyDescent="0.15"/>
    <row r="1047013" customFormat="1" x14ac:dyDescent="0.15"/>
    <row r="1047014" customFormat="1" x14ac:dyDescent="0.15"/>
    <row r="1047015" customFormat="1" x14ac:dyDescent="0.15"/>
    <row r="1047016" customFormat="1" x14ac:dyDescent="0.15"/>
    <row r="1047017" customFormat="1" x14ac:dyDescent="0.15"/>
    <row r="1047018" customFormat="1" x14ac:dyDescent="0.15"/>
    <row r="1047019" customFormat="1" x14ac:dyDescent="0.15"/>
    <row r="1047020" customFormat="1" x14ac:dyDescent="0.15"/>
    <row r="1047021" customFormat="1" x14ac:dyDescent="0.15"/>
    <row r="1047022" customFormat="1" x14ac:dyDescent="0.15"/>
    <row r="1047023" customFormat="1" x14ac:dyDescent="0.15"/>
    <row r="1047024" customFormat="1" x14ac:dyDescent="0.15"/>
    <row r="1047025" customFormat="1" x14ac:dyDescent="0.15"/>
    <row r="1047026" customFormat="1" x14ac:dyDescent="0.15"/>
    <row r="1047027" customFormat="1" x14ac:dyDescent="0.15"/>
    <row r="1047028" customFormat="1" x14ac:dyDescent="0.15"/>
    <row r="1047029" customFormat="1" x14ac:dyDescent="0.15"/>
    <row r="1047030" customFormat="1" x14ac:dyDescent="0.15"/>
    <row r="1047031" customFormat="1" x14ac:dyDescent="0.15"/>
    <row r="1047032" customFormat="1" x14ac:dyDescent="0.15"/>
    <row r="1047033" customFormat="1" x14ac:dyDescent="0.15"/>
    <row r="1047034" customFormat="1" x14ac:dyDescent="0.15"/>
    <row r="1047035" customFormat="1" x14ac:dyDescent="0.15"/>
    <row r="1047036" customFormat="1" x14ac:dyDescent="0.15"/>
    <row r="1047037" customFormat="1" x14ac:dyDescent="0.15"/>
    <row r="1047038" customFormat="1" x14ac:dyDescent="0.15"/>
    <row r="1047039" customFormat="1" x14ac:dyDescent="0.15"/>
    <row r="1047040" customFormat="1" x14ac:dyDescent="0.15"/>
    <row r="1047041" customFormat="1" x14ac:dyDescent="0.15"/>
    <row r="1047042" customFormat="1" x14ac:dyDescent="0.15"/>
    <row r="1047043" customFormat="1" x14ac:dyDescent="0.15"/>
    <row r="1047044" customFormat="1" x14ac:dyDescent="0.15"/>
    <row r="1047045" customFormat="1" x14ac:dyDescent="0.15"/>
    <row r="1047046" customFormat="1" x14ac:dyDescent="0.15"/>
    <row r="1047047" customFormat="1" x14ac:dyDescent="0.15"/>
    <row r="1047048" customFormat="1" x14ac:dyDescent="0.15"/>
    <row r="1047049" customFormat="1" x14ac:dyDescent="0.15"/>
    <row r="1047050" customFormat="1" x14ac:dyDescent="0.15"/>
    <row r="1047051" customFormat="1" x14ac:dyDescent="0.15"/>
    <row r="1047052" customFormat="1" x14ac:dyDescent="0.15"/>
    <row r="1047053" customFormat="1" x14ac:dyDescent="0.15"/>
    <row r="1047054" customFormat="1" x14ac:dyDescent="0.15"/>
    <row r="1047055" customFormat="1" x14ac:dyDescent="0.15"/>
    <row r="1047056" customFormat="1" x14ac:dyDescent="0.15"/>
    <row r="1047057" customFormat="1" x14ac:dyDescent="0.15"/>
    <row r="1047058" customFormat="1" x14ac:dyDescent="0.15"/>
    <row r="1047059" customFormat="1" x14ac:dyDescent="0.15"/>
    <row r="1047060" customFormat="1" x14ac:dyDescent="0.15"/>
    <row r="1047061" customFormat="1" x14ac:dyDescent="0.15"/>
    <row r="1047062" customFormat="1" x14ac:dyDescent="0.15"/>
    <row r="1047063" customFormat="1" x14ac:dyDescent="0.15"/>
    <row r="1047064" customFormat="1" x14ac:dyDescent="0.15"/>
    <row r="1047065" customFormat="1" x14ac:dyDescent="0.15"/>
    <row r="1047066" customFormat="1" x14ac:dyDescent="0.15"/>
    <row r="1047067" customFormat="1" x14ac:dyDescent="0.15"/>
    <row r="1047068" customFormat="1" x14ac:dyDescent="0.15"/>
    <row r="1047069" customFormat="1" x14ac:dyDescent="0.15"/>
    <row r="1047070" customFormat="1" x14ac:dyDescent="0.15"/>
    <row r="1047071" customFormat="1" x14ac:dyDescent="0.15"/>
    <row r="1047072" customFormat="1" x14ac:dyDescent="0.15"/>
    <row r="1047073" customFormat="1" x14ac:dyDescent="0.15"/>
    <row r="1047074" customFormat="1" x14ac:dyDescent="0.15"/>
    <row r="1047075" customFormat="1" x14ac:dyDescent="0.15"/>
    <row r="1047076" customFormat="1" x14ac:dyDescent="0.15"/>
    <row r="1047077" customFormat="1" x14ac:dyDescent="0.15"/>
    <row r="1047078" customFormat="1" x14ac:dyDescent="0.15"/>
    <row r="1047079" customFormat="1" x14ac:dyDescent="0.15"/>
    <row r="1047080" customFormat="1" x14ac:dyDescent="0.15"/>
    <row r="1047081" customFormat="1" x14ac:dyDescent="0.15"/>
    <row r="1047082" customFormat="1" x14ac:dyDescent="0.15"/>
    <row r="1047083" customFormat="1" x14ac:dyDescent="0.15"/>
    <row r="1047084" customFormat="1" x14ac:dyDescent="0.15"/>
    <row r="1047085" customFormat="1" x14ac:dyDescent="0.15"/>
    <row r="1047086" customFormat="1" x14ac:dyDescent="0.15"/>
    <row r="1047087" customFormat="1" x14ac:dyDescent="0.15"/>
    <row r="1047088" customFormat="1" x14ac:dyDescent="0.15"/>
    <row r="1047089" customFormat="1" x14ac:dyDescent="0.15"/>
    <row r="1047090" customFormat="1" x14ac:dyDescent="0.15"/>
    <row r="1047091" customFormat="1" x14ac:dyDescent="0.15"/>
    <row r="1047092" customFormat="1" x14ac:dyDescent="0.15"/>
    <row r="1047093" customFormat="1" x14ac:dyDescent="0.15"/>
    <row r="1047094" customFormat="1" x14ac:dyDescent="0.15"/>
    <row r="1047095" customFormat="1" x14ac:dyDescent="0.15"/>
    <row r="1047096" customFormat="1" x14ac:dyDescent="0.15"/>
    <row r="1047097" customFormat="1" x14ac:dyDescent="0.15"/>
    <row r="1047098" customFormat="1" x14ac:dyDescent="0.15"/>
    <row r="1047099" customFormat="1" x14ac:dyDescent="0.15"/>
    <row r="1047100" customFormat="1" x14ac:dyDescent="0.15"/>
    <row r="1047101" customFormat="1" x14ac:dyDescent="0.15"/>
    <row r="1047102" customFormat="1" x14ac:dyDescent="0.15"/>
    <row r="1047103" customFormat="1" x14ac:dyDescent="0.15"/>
    <row r="1047104" customFormat="1" x14ac:dyDescent="0.15"/>
    <row r="1047105" customFormat="1" x14ac:dyDescent="0.15"/>
    <row r="1047106" customFormat="1" x14ac:dyDescent="0.15"/>
    <row r="1047107" customFormat="1" x14ac:dyDescent="0.15"/>
    <row r="1047108" customFormat="1" x14ac:dyDescent="0.15"/>
    <row r="1047109" customFormat="1" x14ac:dyDescent="0.15"/>
    <row r="1047110" customFormat="1" x14ac:dyDescent="0.15"/>
    <row r="1047111" customFormat="1" x14ac:dyDescent="0.15"/>
    <row r="1047112" customFormat="1" x14ac:dyDescent="0.15"/>
    <row r="1047113" customFormat="1" x14ac:dyDescent="0.15"/>
    <row r="1047114" customFormat="1" x14ac:dyDescent="0.15"/>
    <row r="1047115" customFormat="1" x14ac:dyDescent="0.15"/>
    <row r="1047116" customFormat="1" x14ac:dyDescent="0.15"/>
    <row r="1047117" customFormat="1" x14ac:dyDescent="0.15"/>
    <row r="1047118" customFormat="1" x14ac:dyDescent="0.15"/>
    <row r="1047119" customFormat="1" x14ac:dyDescent="0.15"/>
    <row r="1047120" customFormat="1" x14ac:dyDescent="0.15"/>
    <row r="1047121" customFormat="1" x14ac:dyDescent="0.15"/>
    <row r="1047122" customFormat="1" x14ac:dyDescent="0.15"/>
    <row r="1047123" customFormat="1" x14ac:dyDescent="0.15"/>
    <row r="1047124" customFormat="1" x14ac:dyDescent="0.15"/>
    <row r="1047125" customFormat="1" x14ac:dyDescent="0.15"/>
    <row r="1047126" customFormat="1" x14ac:dyDescent="0.15"/>
    <row r="1047127" customFormat="1" x14ac:dyDescent="0.15"/>
    <row r="1047128" customFormat="1" x14ac:dyDescent="0.15"/>
    <row r="1047129" customFormat="1" x14ac:dyDescent="0.15"/>
    <row r="1047130" customFormat="1" x14ac:dyDescent="0.15"/>
    <row r="1047131" customFormat="1" x14ac:dyDescent="0.15"/>
    <row r="1047132" customFormat="1" x14ac:dyDescent="0.15"/>
    <row r="1047133" customFormat="1" x14ac:dyDescent="0.15"/>
    <row r="1047134" customFormat="1" x14ac:dyDescent="0.15"/>
    <row r="1047135" customFormat="1" x14ac:dyDescent="0.15"/>
    <row r="1047136" customFormat="1" x14ac:dyDescent="0.15"/>
    <row r="1047137" customFormat="1" x14ac:dyDescent="0.15"/>
    <row r="1047138" customFormat="1" x14ac:dyDescent="0.15"/>
    <row r="1047139" customFormat="1" x14ac:dyDescent="0.15"/>
    <row r="1047140" customFormat="1" x14ac:dyDescent="0.15"/>
    <row r="1047141" customFormat="1" x14ac:dyDescent="0.15"/>
    <row r="1047142" customFormat="1" x14ac:dyDescent="0.15"/>
    <row r="1047143" customFormat="1" x14ac:dyDescent="0.15"/>
    <row r="1047144" customFormat="1" x14ac:dyDescent="0.15"/>
    <row r="1047145" customFormat="1" x14ac:dyDescent="0.15"/>
    <row r="1047146" customFormat="1" x14ac:dyDescent="0.15"/>
    <row r="1047147" customFormat="1" x14ac:dyDescent="0.15"/>
    <row r="1047148" customFormat="1" x14ac:dyDescent="0.15"/>
    <row r="1047149" customFormat="1" x14ac:dyDescent="0.15"/>
    <row r="1047150" customFormat="1" x14ac:dyDescent="0.15"/>
    <row r="1047151" customFormat="1" x14ac:dyDescent="0.15"/>
    <row r="1047152" customFormat="1" x14ac:dyDescent="0.15"/>
    <row r="1047153" customFormat="1" x14ac:dyDescent="0.15"/>
    <row r="1047154" customFormat="1" x14ac:dyDescent="0.15"/>
    <row r="1047155" customFormat="1" x14ac:dyDescent="0.15"/>
    <row r="1047156" customFormat="1" x14ac:dyDescent="0.15"/>
    <row r="1047157" customFormat="1" x14ac:dyDescent="0.15"/>
    <row r="1047158" customFormat="1" x14ac:dyDescent="0.15"/>
    <row r="1047159" customFormat="1" x14ac:dyDescent="0.15"/>
    <row r="1047160" customFormat="1" x14ac:dyDescent="0.15"/>
    <row r="1047161" customFormat="1" x14ac:dyDescent="0.15"/>
    <row r="1047162" customFormat="1" x14ac:dyDescent="0.15"/>
    <row r="1047163" customFormat="1" x14ac:dyDescent="0.15"/>
    <row r="1047164" customFormat="1" x14ac:dyDescent="0.15"/>
    <row r="1047165" customFormat="1" x14ac:dyDescent="0.15"/>
    <row r="1047166" customFormat="1" x14ac:dyDescent="0.15"/>
    <row r="1047167" customFormat="1" x14ac:dyDescent="0.15"/>
    <row r="1047168" customFormat="1" x14ac:dyDescent="0.15"/>
    <row r="1047169" customFormat="1" x14ac:dyDescent="0.15"/>
    <row r="1047170" customFormat="1" x14ac:dyDescent="0.15"/>
    <row r="1047171" customFormat="1" x14ac:dyDescent="0.15"/>
    <row r="1047172" customFormat="1" x14ac:dyDescent="0.15"/>
    <row r="1047173" customFormat="1" x14ac:dyDescent="0.15"/>
    <row r="1047174" customFormat="1" x14ac:dyDescent="0.15"/>
    <row r="1047175" customFormat="1" x14ac:dyDescent="0.15"/>
    <row r="1047176" customFormat="1" x14ac:dyDescent="0.15"/>
    <row r="1047177" customFormat="1" x14ac:dyDescent="0.15"/>
    <row r="1047178" customFormat="1" x14ac:dyDescent="0.15"/>
    <row r="1047179" customFormat="1" x14ac:dyDescent="0.15"/>
    <row r="1047180" customFormat="1" x14ac:dyDescent="0.15"/>
    <row r="1047181" customFormat="1" x14ac:dyDescent="0.15"/>
    <row r="1047182" customFormat="1" x14ac:dyDescent="0.15"/>
    <row r="1047183" customFormat="1" x14ac:dyDescent="0.15"/>
    <row r="1047184" customFormat="1" x14ac:dyDescent="0.15"/>
    <row r="1047185" customFormat="1" x14ac:dyDescent="0.15"/>
    <row r="1047186" customFormat="1" x14ac:dyDescent="0.15"/>
    <row r="1047187" customFormat="1" x14ac:dyDescent="0.15"/>
    <row r="1047188" customFormat="1" x14ac:dyDescent="0.15"/>
    <row r="1047189" customFormat="1" x14ac:dyDescent="0.15"/>
    <row r="1047190" customFormat="1" x14ac:dyDescent="0.15"/>
    <row r="1047191" customFormat="1" x14ac:dyDescent="0.15"/>
    <row r="1047192" customFormat="1" x14ac:dyDescent="0.15"/>
    <row r="1047193" customFormat="1" x14ac:dyDescent="0.15"/>
    <row r="1047194" customFormat="1" x14ac:dyDescent="0.15"/>
    <row r="1047195" customFormat="1" x14ac:dyDescent="0.15"/>
    <row r="1047196" customFormat="1" x14ac:dyDescent="0.15"/>
    <row r="1047197" customFormat="1" x14ac:dyDescent="0.15"/>
    <row r="1047198" customFormat="1" x14ac:dyDescent="0.15"/>
    <row r="1047199" customFormat="1" x14ac:dyDescent="0.15"/>
    <row r="1047200" customFormat="1" x14ac:dyDescent="0.15"/>
    <row r="1047201" customFormat="1" x14ac:dyDescent="0.15"/>
    <row r="1047202" customFormat="1" x14ac:dyDescent="0.15"/>
    <row r="1047203" customFormat="1" x14ac:dyDescent="0.15"/>
    <row r="1047204" customFormat="1" x14ac:dyDescent="0.15"/>
    <row r="1047205" customFormat="1" x14ac:dyDescent="0.15"/>
    <row r="1047206" customFormat="1" x14ac:dyDescent="0.15"/>
    <row r="1047207" customFormat="1" x14ac:dyDescent="0.15"/>
    <row r="1047208" customFormat="1" x14ac:dyDescent="0.15"/>
    <row r="1047209" customFormat="1" x14ac:dyDescent="0.15"/>
    <row r="1047210" customFormat="1" x14ac:dyDescent="0.15"/>
    <row r="1047211" customFormat="1" x14ac:dyDescent="0.15"/>
    <row r="1047212" customFormat="1" x14ac:dyDescent="0.15"/>
    <row r="1047213" customFormat="1" x14ac:dyDescent="0.15"/>
    <row r="1047214" customFormat="1" x14ac:dyDescent="0.15"/>
    <row r="1047215" customFormat="1" x14ac:dyDescent="0.15"/>
    <row r="1047216" customFormat="1" x14ac:dyDescent="0.15"/>
    <row r="1047217" customFormat="1" x14ac:dyDescent="0.15"/>
    <row r="1047218" customFormat="1" x14ac:dyDescent="0.15"/>
    <row r="1047219" customFormat="1" x14ac:dyDescent="0.15"/>
    <row r="1047220" customFormat="1" x14ac:dyDescent="0.15"/>
    <row r="1047221" customFormat="1" x14ac:dyDescent="0.15"/>
    <row r="1047222" customFormat="1" x14ac:dyDescent="0.15"/>
    <row r="1047223" customFormat="1" x14ac:dyDescent="0.15"/>
    <row r="1047224" customFormat="1" x14ac:dyDescent="0.15"/>
    <row r="1047225" customFormat="1" x14ac:dyDescent="0.15"/>
    <row r="1047226" customFormat="1" x14ac:dyDescent="0.15"/>
    <row r="1047227" customFormat="1" x14ac:dyDescent="0.15"/>
    <row r="1047228" customFormat="1" x14ac:dyDescent="0.15"/>
    <row r="1047229" customFormat="1" x14ac:dyDescent="0.15"/>
    <row r="1047230" customFormat="1" x14ac:dyDescent="0.15"/>
    <row r="1047231" customFormat="1" x14ac:dyDescent="0.15"/>
    <row r="1047232" customFormat="1" x14ac:dyDescent="0.15"/>
    <row r="1047233" customFormat="1" x14ac:dyDescent="0.15"/>
    <row r="1047234" customFormat="1" x14ac:dyDescent="0.15"/>
    <row r="1047235" customFormat="1" x14ac:dyDescent="0.15"/>
    <row r="1047236" customFormat="1" x14ac:dyDescent="0.15"/>
    <row r="1047237" customFormat="1" x14ac:dyDescent="0.15"/>
    <row r="1047238" customFormat="1" x14ac:dyDescent="0.15"/>
    <row r="1047239" customFormat="1" x14ac:dyDescent="0.15"/>
    <row r="1047240" customFormat="1" x14ac:dyDescent="0.15"/>
    <row r="1047241" customFormat="1" x14ac:dyDescent="0.15"/>
    <row r="1047242" customFormat="1" x14ac:dyDescent="0.15"/>
    <row r="1047243" customFormat="1" x14ac:dyDescent="0.15"/>
    <row r="1047244" customFormat="1" x14ac:dyDescent="0.15"/>
    <row r="1047245" customFormat="1" x14ac:dyDescent="0.15"/>
    <row r="1047246" customFormat="1" x14ac:dyDescent="0.15"/>
    <row r="1047247" customFormat="1" x14ac:dyDescent="0.15"/>
    <row r="1047248" customFormat="1" x14ac:dyDescent="0.15"/>
    <row r="1047249" customFormat="1" x14ac:dyDescent="0.15"/>
    <row r="1047250" customFormat="1" x14ac:dyDescent="0.15"/>
    <row r="1047251" customFormat="1" x14ac:dyDescent="0.15"/>
    <row r="1047252" customFormat="1" x14ac:dyDescent="0.15"/>
    <row r="1047253" customFormat="1" x14ac:dyDescent="0.15"/>
    <row r="1047254" customFormat="1" x14ac:dyDescent="0.15"/>
    <row r="1047255" customFormat="1" x14ac:dyDescent="0.15"/>
    <row r="1047256" customFormat="1" x14ac:dyDescent="0.15"/>
    <row r="1047257" customFormat="1" x14ac:dyDescent="0.15"/>
    <row r="1047258" customFormat="1" x14ac:dyDescent="0.15"/>
    <row r="1047259" customFormat="1" x14ac:dyDescent="0.15"/>
    <row r="1047260" customFormat="1" x14ac:dyDescent="0.15"/>
    <row r="1047261" customFormat="1" x14ac:dyDescent="0.15"/>
    <row r="1047262" customFormat="1" x14ac:dyDescent="0.15"/>
    <row r="1047263" customFormat="1" x14ac:dyDescent="0.15"/>
    <row r="1047264" customFormat="1" x14ac:dyDescent="0.15"/>
    <row r="1047265" customFormat="1" x14ac:dyDescent="0.15"/>
    <row r="1047266" customFormat="1" x14ac:dyDescent="0.15"/>
    <row r="1047267" customFormat="1" x14ac:dyDescent="0.15"/>
    <row r="1047268" customFormat="1" x14ac:dyDescent="0.15"/>
    <row r="1047269" customFormat="1" x14ac:dyDescent="0.15"/>
    <row r="1047270" customFormat="1" x14ac:dyDescent="0.15"/>
    <row r="1047271" customFormat="1" x14ac:dyDescent="0.15"/>
    <row r="1047272" customFormat="1" x14ac:dyDescent="0.15"/>
    <row r="1047273" customFormat="1" x14ac:dyDescent="0.15"/>
    <row r="1047274" customFormat="1" x14ac:dyDescent="0.15"/>
    <row r="1047275" customFormat="1" x14ac:dyDescent="0.15"/>
    <row r="1047276" customFormat="1" x14ac:dyDescent="0.15"/>
    <row r="1047277" customFormat="1" x14ac:dyDescent="0.15"/>
    <row r="1047278" customFormat="1" x14ac:dyDescent="0.15"/>
    <row r="1047279" customFormat="1" x14ac:dyDescent="0.15"/>
    <row r="1047280" customFormat="1" x14ac:dyDescent="0.15"/>
    <row r="1047281" customFormat="1" x14ac:dyDescent="0.15"/>
    <row r="1047282" customFormat="1" x14ac:dyDescent="0.15"/>
    <row r="1047283" customFormat="1" x14ac:dyDescent="0.15"/>
    <row r="1047284" customFormat="1" x14ac:dyDescent="0.15"/>
    <row r="1047285" customFormat="1" x14ac:dyDescent="0.15"/>
    <row r="1047286" customFormat="1" x14ac:dyDescent="0.15"/>
    <row r="1047287" customFormat="1" x14ac:dyDescent="0.15"/>
    <row r="1047288" customFormat="1" x14ac:dyDescent="0.15"/>
    <row r="1047289" customFormat="1" x14ac:dyDescent="0.15"/>
    <row r="1047290" customFormat="1" x14ac:dyDescent="0.15"/>
    <row r="1047291" customFormat="1" x14ac:dyDescent="0.15"/>
    <row r="1047292" customFormat="1" x14ac:dyDescent="0.15"/>
    <row r="1047293" customFormat="1" x14ac:dyDescent="0.15"/>
    <row r="1047294" customFormat="1" x14ac:dyDescent="0.15"/>
    <row r="1047295" customFormat="1" x14ac:dyDescent="0.15"/>
    <row r="1047296" customFormat="1" x14ac:dyDescent="0.15"/>
    <row r="1047297" customFormat="1" x14ac:dyDescent="0.15"/>
    <row r="1047298" customFormat="1" x14ac:dyDescent="0.15"/>
    <row r="1047299" customFormat="1" x14ac:dyDescent="0.15"/>
    <row r="1047300" customFormat="1" x14ac:dyDescent="0.15"/>
    <row r="1047301" customFormat="1" x14ac:dyDescent="0.15"/>
    <row r="1047302" customFormat="1" x14ac:dyDescent="0.15"/>
    <row r="1047303" customFormat="1" x14ac:dyDescent="0.15"/>
    <row r="1047304" customFormat="1" x14ac:dyDescent="0.15"/>
    <row r="1047305" customFormat="1" x14ac:dyDescent="0.15"/>
    <row r="1047306" customFormat="1" x14ac:dyDescent="0.15"/>
    <row r="1047307" customFormat="1" x14ac:dyDescent="0.15"/>
    <row r="1047308" customFormat="1" x14ac:dyDescent="0.15"/>
    <row r="1047309" customFormat="1" x14ac:dyDescent="0.15"/>
    <row r="1047310" customFormat="1" x14ac:dyDescent="0.15"/>
    <row r="1047311" customFormat="1" x14ac:dyDescent="0.15"/>
    <row r="1047312" customFormat="1" x14ac:dyDescent="0.15"/>
    <row r="1047313" customFormat="1" x14ac:dyDescent="0.15"/>
    <row r="1047314" customFormat="1" x14ac:dyDescent="0.15"/>
    <row r="1047315" customFormat="1" x14ac:dyDescent="0.15"/>
    <row r="1047316" customFormat="1" x14ac:dyDescent="0.15"/>
    <row r="1047317" customFormat="1" x14ac:dyDescent="0.15"/>
    <row r="1047318" customFormat="1" x14ac:dyDescent="0.15"/>
    <row r="1047319" customFormat="1" x14ac:dyDescent="0.15"/>
    <row r="1047320" customFormat="1" x14ac:dyDescent="0.15"/>
    <row r="1047321" customFormat="1" x14ac:dyDescent="0.15"/>
    <row r="1047322" customFormat="1" x14ac:dyDescent="0.15"/>
    <row r="1047323" customFormat="1" x14ac:dyDescent="0.15"/>
    <row r="1047324" customFormat="1" x14ac:dyDescent="0.15"/>
    <row r="1047325" customFormat="1" x14ac:dyDescent="0.15"/>
    <row r="1047326" customFormat="1" x14ac:dyDescent="0.15"/>
    <row r="1047327" customFormat="1" x14ac:dyDescent="0.15"/>
    <row r="1047328" customFormat="1" x14ac:dyDescent="0.15"/>
    <row r="1047329" customFormat="1" x14ac:dyDescent="0.15"/>
    <row r="1047330" customFormat="1" x14ac:dyDescent="0.15"/>
    <row r="1047331" customFormat="1" x14ac:dyDescent="0.15"/>
    <row r="1047332" customFormat="1" x14ac:dyDescent="0.15"/>
    <row r="1047333" customFormat="1" x14ac:dyDescent="0.15"/>
    <row r="1047334" customFormat="1" x14ac:dyDescent="0.15"/>
    <row r="1047335" customFormat="1" x14ac:dyDescent="0.15"/>
    <row r="1047336" customFormat="1" x14ac:dyDescent="0.15"/>
    <row r="1047337" customFormat="1" x14ac:dyDescent="0.15"/>
    <row r="1047338" customFormat="1" x14ac:dyDescent="0.15"/>
    <row r="1047339" customFormat="1" x14ac:dyDescent="0.15"/>
    <row r="1047340" customFormat="1" x14ac:dyDescent="0.15"/>
    <row r="1047341" customFormat="1" x14ac:dyDescent="0.15"/>
    <row r="1047342" customFormat="1" x14ac:dyDescent="0.15"/>
    <row r="1047343" customFormat="1" x14ac:dyDescent="0.15"/>
    <row r="1047344" customFormat="1" x14ac:dyDescent="0.15"/>
    <row r="1047345" customFormat="1" x14ac:dyDescent="0.15"/>
    <row r="1047346" customFormat="1" x14ac:dyDescent="0.15"/>
    <row r="1047347" customFormat="1" x14ac:dyDescent="0.15"/>
    <row r="1047348" customFormat="1" x14ac:dyDescent="0.15"/>
    <row r="1047349" customFormat="1" x14ac:dyDescent="0.15"/>
    <row r="1047350" customFormat="1" x14ac:dyDescent="0.15"/>
    <row r="1047351" customFormat="1" x14ac:dyDescent="0.15"/>
    <row r="1047352" customFormat="1" x14ac:dyDescent="0.15"/>
    <row r="1047353" customFormat="1" x14ac:dyDescent="0.15"/>
    <row r="1047354" customFormat="1" x14ac:dyDescent="0.15"/>
    <row r="1047355" customFormat="1" x14ac:dyDescent="0.15"/>
    <row r="1047356" customFormat="1" x14ac:dyDescent="0.15"/>
    <row r="1047357" customFormat="1" x14ac:dyDescent="0.15"/>
    <row r="1047358" customFormat="1" x14ac:dyDescent="0.15"/>
    <row r="1047359" customFormat="1" x14ac:dyDescent="0.15"/>
    <row r="1047360" customFormat="1" x14ac:dyDescent="0.15"/>
    <row r="1047361" customFormat="1" x14ac:dyDescent="0.15"/>
    <row r="1047362" customFormat="1" x14ac:dyDescent="0.15"/>
    <row r="1047363" customFormat="1" x14ac:dyDescent="0.15"/>
    <row r="1047364" customFormat="1" x14ac:dyDescent="0.15"/>
    <row r="1047365" customFormat="1" x14ac:dyDescent="0.15"/>
    <row r="1047366" customFormat="1" x14ac:dyDescent="0.15"/>
    <row r="1047367" customFormat="1" x14ac:dyDescent="0.15"/>
    <row r="1047368" customFormat="1" x14ac:dyDescent="0.15"/>
    <row r="1047369" customFormat="1" x14ac:dyDescent="0.15"/>
    <row r="1047370" customFormat="1" x14ac:dyDescent="0.15"/>
    <row r="1047371" customFormat="1" x14ac:dyDescent="0.15"/>
    <row r="1047372" customFormat="1" x14ac:dyDescent="0.15"/>
    <row r="1047373" customFormat="1" x14ac:dyDescent="0.15"/>
    <row r="1047374" customFormat="1" x14ac:dyDescent="0.15"/>
    <row r="1047375" customFormat="1" x14ac:dyDescent="0.15"/>
    <row r="1047376" customFormat="1" x14ac:dyDescent="0.15"/>
    <row r="1047377" customFormat="1" x14ac:dyDescent="0.15"/>
    <row r="1047378" customFormat="1" x14ac:dyDescent="0.15"/>
    <row r="1047379" customFormat="1" x14ac:dyDescent="0.15"/>
    <row r="1047380" customFormat="1" x14ac:dyDescent="0.15"/>
    <row r="1047381" customFormat="1" x14ac:dyDescent="0.15"/>
    <row r="1047382" customFormat="1" x14ac:dyDescent="0.15"/>
    <row r="1047383" customFormat="1" x14ac:dyDescent="0.15"/>
    <row r="1047384" customFormat="1" x14ac:dyDescent="0.15"/>
    <row r="1047385" customFormat="1" x14ac:dyDescent="0.15"/>
    <row r="1047386" customFormat="1" x14ac:dyDescent="0.15"/>
    <row r="1047387" customFormat="1" x14ac:dyDescent="0.15"/>
    <row r="1047388" customFormat="1" x14ac:dyDescent="0.15"/>
    <row r="1047389" customFormat="1" x14ac:dyDescent="0.15"/>
    <row r="1047390" customFormat="1" x14ac:dyDescent="0.15"/>
    <row r="1047391" customFormat="1" x14ac:dyDescent="0.15"/>
    <row r="1047392" customFormat="1" x14ac:dyDescent="0.15"/>
    <row r="1047393" customFormat="1" x14ac:dyDescent="0.15"/>
    <row r="1047394" customFormat="1" x14ac:dyDescent="0.15"/>
    <row r="1047395" customFormat="1" x14ac:dyDescent="0.15"/>
    <row r="1047396" customFormat="1" x14ac:dyDescent="0.15"/>
    <row r="1047397" customFormat="1" x14ac:dyDescent="0.15"/>
    <row r="1047398" customFormat="1" x14ac:dyDescent="0.15"/>
    <row r="1047399" customFormat="1" x14ac:dyDescent="0.15"/>
    <row r="1047400" customFormat="1" x14ac:dyDescent="0.15"/>
    <row r="1047401" customFormat="1" x14ac:dyDescent="0.15"/>
    <row r="1047402" customFormat="1" x14ac:dyDescent="0.15"/>
    <row r="1047403" customFormat="1" x14ac:dyDescent="0.15"/>
    <row r="1047404" customFormat="1" x14ac:dyDescent="0.15"/>
    <row r="1047405" customFormat="1" x14ac:dyDescent="0.15"/>
    <row r="1047406" customFormat="1" x14ac:dyDescent="0.15"/>
    <row r="1047407" customFormat="1" x14ac:dyDescent="0.15"/>
    <row r="1047408" customFormat="1" x14ac:dyDescent="0.15"/>
    <row r="1047409" customFormat="1" x14ac:dyDescent="0.15"/>
    <row r="1047410" customFormat="1" x14ac:dyDescent="0.15"/>
    <row r="1047411" customFormat="1" x14ac:dyDescent="0.15"/>
    <row r="1047412" customFormat="1" x14ac:dyDescent="0.15"/>
    <row r="1047413" customFormat="1" x14ac:dyDescent="0.15"/>
    <row r="1047414" customFormat="1" x14ac:dyDescent="0.15"/>
    <row r="1047415" customFormat="1" x14ac:dyDescent="0.15"/>
    <row r="1047416" customFormat="1" x14ac:dyDescent="0.15"/>
    <row r="1047417" customFormat="1" x14ac:dyDescent="0.15"/>
    <row r="1047418" customFormat="1" x14ac:dyDescent="0.15"/>
    <row r="1047419" customFormat="1" x14ac:dyDescent="0.15"/>
    <row r="1047420" customFormat="1" x14ac:dyDescent="0.15"/>
    <row r="1047421" customFormat="1" x14ac:dyDescent="0.15"/>
    <row r="1047422" customFormat="1" x14ac:dyDescent="0.15"/>
    <row r="1047423" customFormat="1" x14ac:dyDescent="0.15"/>
    <row r="1047424" customFormat="1" x14ac:dyDescent="0.15"/>
    <row r="1047425" customFormat="1" x14ac:dyDescent="0.15"/>
    <row r="1047426" customFormat="1" x14ac:dyDescent="0.15"/>
    <row r="1047427" customFormat="1" x14ac:dyDescent="0.15"/>
    <row r="1047428" customFormat="1" x14ac:dyDescent="0.15"/>
    <row r="1047429" customFormat="1" x14ac:dyDescent="0.15"/>
    <row r="1047430" customFormat="1" x14ac:dyDescent="0.15"/>
    <row r="1047431" customFormat="1" x14ac:dyDescent="0.15"/>
    <row r="1047432" customFormat="1" x14ac:dyDescent="0.15"/>
    <row r="1047433" customFormat="1" x14ac:dyDescent="0.15"/>
    <row r="1047434" customFormat="1" x14ac:dyDescent="0.15"/>
    <row r="1047435" customFormat="1" x14ac:dyDescent="0.15"/>
    <row r="1047436" customFormat="1" x14ac:dyDescent="0.15"/>
    <row r="1047437" customFormat="1" x14ac:dyDescent="0.15"/>
    <row r="1047438" customFormat="1" x14ac:dyDescent="0.15"/>
    <row r="1047439" customFormat="1" x14ac:dyDescent="0.15"/>
    <row r="1047440" customFormat="1" x14ac:dyDescent="0.15"/>
    <row r="1047441" customFormat="1" x14ac:dyDescent="0.15"/>
    <row r="1047442" customFormat="1" x14ac:dyDescent="0.15"/>
    <row r="1047443" customFormat="1" x14ac:dyDescent="0.15"/>
    <row r="1047444" customFormat="1" x14ac:dyDescent="0.15"/>
    <row r="1047445" customFormat="1" x14ac:dyDescent="0.15"/>
    <row r="1047446" customFormat="1" x14ac:dyDescent="0.15"/>
    <row r="1047447" customFormat="1" x14ac:dyDescent="0.15"/>
    <row r="1047448" customFormat="1" x14ac:dyDescent="0.15"/>
    <row r="1047449" customFormat="1" x14ac:dyDescent="0.15"/>
    <row r="1047450" customFormat="1" x14ac:dyDescent="0.15"/>
    <row r="1047451" customFormat="1" x14ac:dyDescent="0.15"/>
    <row r="1047452" customFormat="1" x14ac:dyDescent="0.15"/>
    <row r="1047453" customFormat="1" x14ac:dyDescent="0.15"/>
    <row r="1047454" customFormat="1" x14ac:dyDescent="0.15"/>
    <row r="1047455" customFormat="1" x14ac:dyDescent="0.15"/>
    <row r="1047456" customFormat="1" x14ac:dyDescent="0.15"/>
    <row r="1047457" customFormat="1" x14ac:dyDescent="0.15"/>
    <row r="1047458" customFormat="1" x14ac:dyDescent="0.15"/>
    <row r="1047459" customFormat="1" x14ac:dyDescent="0.15"/>
    <row r="1047460" customFormat="1" x14ac:dyDescent="0.15"/>
    <row r="1047461" customFormat="1" x14ac:dyDescent="0.15"/>
    <row r="1047462" customFormat="1" x14ac:dyDescent="0.15"/>
    <row r="1047463" customFormat="1" x14ac:dyDescent="0.15"/>
    <row r="1047464" customFormat="1" x14ac:dyDescent="0.15"/>
    <row r="1047465" customFormat="1" x14ac:dyDescent="0.15"/>
    <row r="1047466" customFormat="1" x14ac:dyDescent="0.15"/>
    <row r="1047467" customFormat="1" x14ac:dyDescent="0.15"/>
    <row r="1047468" customFormat="1" x14ac:dyDescent="0.15"/>
    <row r="1047469" customFormat="1" x14ac:dyDescent="0.15"/>
    <row r="1047470" customFormat="1" x14ac:dyDescent="0.15"/>
    <row r="1047471" customFormat="1" x14ac:dyDescent="0.15"/>
    <row r="1047472" customFormat="1" x14ac:dyDescent="0.15"/>
    <row r="1047473" customFormat="1" x14ac:dyDescent="0.15"/>
    <row r="1047474" customFormat="1" x14ac:dyDescent="0.15"/>
    <row r="1047475" customFormat="1" x14ac:dyDescent="0.15"/>
    <row r="1047476" customFormat="1" x14ac:dyDescent="0.15"/>
    <row r="1047477" customFormat="1" x14ac:dyDescent="0.15"/>
    <row r="1047478" customFormat="1" x14ac:dyDescent="0.15"/>
    <row r="1047479" customFormat="1" x14ac:dyDescent="0.15"/>
    <row r="1047480" customFormat="1" x14ac:dyDescent="0.15"/>
    <row r="1047481" customFormat="1" x14ac:dyDescent="0.15"/>
    <row r="1047482" customFormat="1" x14ac:dyDescent="0.15"/>
    <row r="1047483" customFormat="1" x14ac:dyDescent="0.15"/>
    <row r="1047484" customFormat="1" x14ac:dyDescent="0.15"/>
    <row r="1047485" customFormat="1" x14ac:dyDescent="0.15"/>
    <row r="1047486" customFormat="1" x14ac:dyDescent="0.15"/>
    <row r="1047487" customFormat="1" x14ac:dyDescent="0.15"/>
    <row r="1047488" customFormat="1" x14ac:dyDescent="0.15"/>
    <row r="1047489" customFormat="1" x14ac:dyDescent="0.15"/>
    <row r="1047490" customFormat="1" x14ac:dyDescent="0.15"/>
    <row r="1047491" customFormat="1" x14ac:dyDescent="0.15"/>
    <row r="1047492" customFormat="1" x14ac:dyDescent="0.15"/>
    <row r="1047493" customFormat="1" x14ac:dyDescent="0.15"/>
    <row r="1047494" customFormat="1" x14ac:dyDescent="0.15"/>
    <row r="1047495" customFormat="1" x14ac:dyDescent="0.15"/>
    <row r="1047496" customFormat="1" x14ac:dyDescent="0.15"/>
    <row r="1047497" customFormat="1" x14ac:dyDescent="0.15"/>
    <row r="1047498" customFormat="1" x14ac:dyDescent="0.15"/>
    <row r="1047499" customFormat="1" x14ac:dyDescent="0.15"/>
    <row r="1047500" customFormat="1" x14ac:dyDescent="0.15"/>
    <row r="1047501" customFormat="1" x14ac:dyDescent="0.15"/>
    <row r="1047502" customFormat="1" x14ac:dyDescent="0.15"/>
    <row r="1047503" customFormat="1" x14ac:dyDescent="0.15"/>
    <row r="1047504" customFormat="1" x14ac:dyDescent="0.15"/>
    <row r="1047505" customFormat="1" x14ac:dyDescent="0.15"/>
    <row r="1047506" customFormat="1" x14ac:dyDescent="0.15"/>
    <row r="1047507" customFormat="1" x14ac:dyDescent="0.15"/>
    <row r="1047508" customFormat="1" x14ac:dyDescent="0.15"/>
    <row r="1047509" customFormat="1" x14ac:dyDescent="0.15"/>
    <row r="1047510" customFormat="1" x14ac:dyDescent="0.15"/>
    <row r="1047511" customFormat="1" x14ac:dyDescent="0.15"/>
    <row r="1047512" customFormat="1" x14ac:dyDescent="0.15"/>
    <row r="1047513" customFormat="1" x14ac:dyDescent="0.15"/>
    <row r="1047514" customFormat="1" x14ac:dyDescent="0.15"/>
    <row r="1047515" customFormat="1" x14ac:dyDescent="0.15"/>
    <row r="1047516" customFormat="1" x14ac:dyDescent="0.15"/>
    <row r="1047517" customFormat="1" x14ac:dyDescent="0.15"/>
    <row r="1047518" customFormat="1" x14ac:dyDescent="0.15"/>
    <row r="1047519" customFormat="1" x14ac:dyDescent="0.15"/>
    <row r="1047520" customFormat="1" x14ac:dyDescent="0.15"/>
    <row r="1047521" customFormat="1" x14ac:dyDescent="0.15"/>
    <row r="1047522" customFormat="1" x14ac:dyDescent="0.15"/>
    <row r="1047523" customFormat="1" x14ac:dyDescent="0.15"/>
    <row r="1047524" customFormat="1" x14ac:dyDescent="0.15"/>
    <row r="1047525" customFormat="1" x14ac:dyDescent="0.15"/>
    <row r="1047526" customFormat="1" x14ac:dyDescent="0.15"/>
    <row r="1047527" customFormat="1" x14ac:dyDescent="0.15"/>
    <row r="1047528" customFormat="1" x14ac:dyDescent="0.15"/>
    <row r="1047529" customFormat="1" x14ac:dyDescent="0.15"/>
    <row r="1047530" customFormat="1" x14ac:dyDescent="0.15"/>
    <row r="1047531" customFormat="1" x14ac:dyDescent="0.15"/>
    <row r="1047532" customFormat="1" x14ac:dyDescent="0.15"/>
    <row r="1047533" customFormat="1" x14ac:dyDescent="0.15"/>
    <row r="1047534" customFormat="1" x14ac:dyDescent="0.15"/>
    <row r="1047535" customFormat="1" x14ac:dyDescent="0.15"/>
    <row r="1047536" customFormat="1" x14ac:dyDescent="0.15"/>
    <row r="1047537" customFormat="1" x14ac:dyDescent="0.15"/>
    <row r="1047538" customFormat="1" x14ac:dyDescent="0.15"/>
    <row r="1047539" customFormat="1" x14ac:dyDescent="0.15"/>
    <row r="1047540" customFormat="1" x14ac:dyDescent="0.15"/>
    <row r="1047541" customFormat="1" x14ac:dyDescent="0.15"/>
    <row r="1047542" customFormat="1" x14ac:dyDescent="0.15"/>
    <row r="1047543" customFormat="1" x14ac:dyDescent="0.15"/>
    <row r="1047544" customFormat="1" x14ac:dyDescent="0.15"/>
    <row r="1047545" customFormat="1" x14ac:dyDescent="0.15"/>
    <row r="1047546" customFormat="1" x14ac:dyDescent="0.15"/>
    <row r="1047547" customFormat="1" x14ac:dyDescent="0.15"/>
    <row r="1047548" customFormat="1" x14ac:dyDescent="0.15"/>
    <row r="1047549" customFormat="1" x14ac:dyDescent="0.15"/>
    <row r="1047550" customFormat="1" x14ac:dyDescent="0.15"/>
    <row r="1047551" customFormat="1" x14ac:dyDescent="0.15"/>
    <row r="1047552" customFormat="1" x14ac:dyDescent="0.15"/>
    <row r="1047553" customFormat="1" x14ac:dyDescent="0.15"/>
    <row r="1047554" customFormat="1" x14ac:dyDescent="0.15"/>
    <row r="1047555" customFormat="1" x14ac:dyDescent="0.15"/>
    <row r="1047556" customFormat="1" x14ac:dyDescent="0.15"/>
    <row r="1047557" customFormat="1" x14ac:dyDescent="0.15"/>
    <row r="1047558" customFormat="1" x14ac:dyDescent="0.15"/>
    <row r="1047559" customFormat="1" x14ac:dyDescent="0.15"/>
    <row r="1047560" customFormat="1" x14ac:dyDescent="0.15"/>
    <row r="1047561" customFormat="1" x14ac:dyDescent="0.15"/>
    <row r="1047562" customFormat="1" x14ac:dyDescent="0.15"/>
    <row r="1047563" customFormat="1" x14ac:dyDescent="0.15"/>
    <row r="1047564" customFormat="1" x14ac:dyDescent="0.15"/>
    <row r="1047565" customFormat="1" x14ac:dyDescent="0.15"/>
    <row r="1047566" customFormat="1" x14ac:dyDescent="0.15"/>
    <row r="1047567" customFormat="1" x14ac:dyDescent="0.15"/>
    <row r="1047568" customFormat="1" x14ac:dyDescent="0.15"/>
    <row r="1047569" customFormat="1" x14ac:dyDescent="0.15"/>
    <row r="1047570" customFormat="1" x14ac:dyDescent="0.15"/>
    <row r="1047571" customFormat="1" x14ac:dyDescent="0.15"/>
    <row r="1047572" customFormat="1" x14ac:dyDescent="0.15"/>
    <row r="1047573" customFormat="1" x14ac:dyDescent="0.15"/>
    <row r="1047574" customFormat="1" x14ac:dyDescent="0.15"/>
    <row r="1047575" customFormat="1" x14ac:dyDescent="0.15"/>
    <row r="1047576" customFormat="1" x14ac:dyDescent="0.15"/>
    <row r="1047577" customFormat="1" x14ac:dyDescent="0.15"/>
    <row r="1047578" customFormat="1" x14ac:dyDescent="0.15"/>
    <row r="1047579" customFormat="1" x14ac:dyDescent="0.15"/>
    <row r="1047580" customFormat="1" x14ac:dyDescent="0.15"/>
    <row r="1047581" customFormat="1" x14ac:dyDescent="0.15"/>
    <row r="1047582" customFormat="1" x14ac:dyDescent="0.15"/>
    <row r="1047583" customFormat="1" x14ac:dyDescent="0.15"/>
    <row r="1047584" customFormat="1" x14ac:dyDescent="0.15"/>
    <row r="1047585" customFormat="1" x14ac:dyDescent="0.15"/>
    <row r="1047586" customFormat="1" x14ac:dyDescent="0.15"/>
    <row r="1047587" customFormat="1" x14ac:dyDescent="0.15"/>
    <row r="1047588" customFormat="1" x14ac:dyDescent="0.15"/>
    <row r="1047589" customFormat="1" x14ac:dyDescent="0.15"/>
    <row r="1047590" customFormat="1" x14ac:dyDescent="0.15"/>
    <row r="1047591" customFormat="1" x14ac:dyDescent="0.15"/>
    <row r="1047592" customFormat="1" x14ac:dyDescent="0.15"/>
    <row r="1047593" customFormat="1" x14ac:dyDescent="0.15"/>
    <row r="1047594" customFormat="1" x14ac:dyDescent="0.15"/>
    <row r="1047595" customFormat="1" x14ac:dyDescent="0.15"/>
    <row r="1047596" customFormat="1" x14ac:dyDescent="0.15"/>
    <row r="1047597" customFormat="1" x14ac:dyDescent="0.15"/>
    <row r="1047598" customFormat="1" x14ac:dyDescent="0.15"/>
    <row r="1047599" customFormat="1" x14ac:dyDescent="0.15"/>
    <row r="1047600" customFormat="1" x14ac:dyDescent="0.15"/>
    <row r="1047601" customFormat="1" x14ac:dyDescent="0.15"/>
    <row r="1047602" customFormat="1" x14ac:dyDescent="0.15"/>
    <row r="1047603" customFormat="1" x14ac:dyDescent="0.15"/>
    <row r="1047604" customFormat="1" x14ac:dyDescent="0.15"/>
    <row r="1047605" customFormat="1" x14ac:dyDescent="0.15"/>
    <row r="1047606" customFormat="1" x14ac:dyDescent="0.15"/>
    <row r="1047607" customFormat="1" x14ac:dyDescent="0.15"/>
    <row r="1047608" customFormat="1" x14ac:dyDescent="0.15"/>
    <row r="1047609" customFormat="1" x14ac:dyDescent="0.15"/>
    <row r="1047610" customFormat="1" x14ac:dyDescent="0.15"/>
    <row r="1047611" customFormat="1" x14ac:dyDescent="0.15"/>
    <row r="1047612" customFormat="1" x14ac:dyDescent="0.15"/>
    <row r="1047613" customFormat="1" x14ac:dyDescent="0.15"/>
    <row r="1047614" customFormat="1" x14ac:dyDescent="0.15"/>
    <row r="1047615" customFormat="1" x14ac:dyDescent="0.15"/>
    <row r="1047616" customFormat="1" x14ac:dyDescent="0.15"/>
    <row r="1047617" customFormat="1" x14ac:dyDescent="0.15"/>
    <row r="1047618" customFormat="1" x14ac:dyDescent="0.15"/>
    <row r="1047619" customFormat="1" x14ac:dyDescent="0.15"/>
    <row r="1047620" customFormat="1" x14ac:dyDescent="0.15"/>
    <row r="1047621" customFormat="1" x14ac:dyDescent="0.15"/>
    <row r="1047622" customFormat="1" x14ac:dyDescent="0.15"/>
    <row r="1047623" customFormat="1" x14ac:dyDescent="0.15"/>
    <row r="1047624" customFormat="1" x14ac:dyDescent="0.15"/>
    <row r="1047625" customFormat="1" x14ac:dyDescent="0.15"/>
    <row r="1047626" customFormat="1" x14ac:dyDescent="0.15"/>
    <row r="1047627" customFormat="1" x14ac:dyDescent="0.15"/>
    <row r="1047628" customFormat="1" x14ac:dyDescent="0.15"/>
    <row r="1047629" customFormat="1" x14ac:dyDescent="0.15"/>
    <row r="1047630" customFormat="1" x14ac:dyDescent="0.15"/>
    <row r="1047631" customFormat="1" x14ac:dyDescent="0.15"/>
    <row r="1047632" customFormat="1" x14ac:dyDescent="0.15"/>
    <row r="1047633" customFormat="1" x14ac:dyDescent="0.15"/>
    <row r="1047634" customFormat="1" x14ac:dyDescent="0.15"/>
    <row r="1047635" customFormat="1" x14ac:dyDescent="0.15"/>
    <row r="1047636" customFormat="1" x14ac:dyDescent="0.15"/>
    <row r="1047637" customFormat="1" x14ac:dyDescent="0.15"/>
    <row r="1047638" customFormat="1" x14ac:dyDescent="0.15"/>
    <row r="1047639" customFormat="1" x14ac:dyDescent="0.15"/>
    <row r="1047640" customFormat="1" x14ac:dyDescent="0.15"/>
    <row r="1047641" customFormat="1" x14ac:dyDescent="0.15"/>
    <row r="1047642" customFormat="1" x14ac:dyDescent="0.15"/>
    <row r="1047643" customFormat="1" x14ac:dyDescent="0.15"/>
    <row r="1047644" customFormat="1" x14ac:dyDescent="0.15"/>
    <row r="1047645" customFormat="1" x14ac:dyDescent="0.15"/>
    <row r="1047646" customFormat="1" x14ac:dyDescent="0.15"/>
    <row r="1047647" customFormat="1" x14ac:dyDescent="0.15"/>
    <row r="1047648" customFormat="1" x14ac:dyDescent="0.15"/>
    <row r="1047649" customFormat="1" x14ac:dyDescent="0.15"/>
    <row r="1047650" customFormat="1" x14ac:dyDescent="0.15"/>
    <row r="1047651" customFormat="1" x14ac:dyDescent="0.15"/>
    <row r="1047652" customFormat="1" x14ac:dyDescent="0.15"/>
    <row r="1047653" customFormat="1" x14ac:dyDescent="0.15"/>
    <row r="1047654" customFormat="1" x14ac:dyDescent="0.15"/>
    <row r="1047655" customFormat="1" x14ac:dyDescent="0.15"/>
    <row r="1047656" customFormat="1" x14ac:dyDescent="0.15"/>
    <row r="1047657" customFormat="1" x14ac:dyDescent="0.15"/>
    <row r="1047658" customFormat="1" x14ac:dyDescent="0.15"/>
    <row r="1047659" customFormat="1" x14ac:dyDescent="0.15"/>
    <row r="1047660" customFormat="1" x14ac:dyDescent="0.15"/>
    <row r="1047661" customFormat="1" x14ac:dyDescent="0.15"/>
    <row r="1047662" customFormat="1" x14ac:dyDescent="0.15"/>
    <row r="1047663" customFormat="1" x14ac:dyDescent="0.15"/>
    <row r="1047664" customFormat="1" x14ac:dyDescent="0.15"/>
    <row r="1047665" customFormat="1" x14ac:dyDescent="0.15"/>
    <row r="1047666" customFormat="1" x14ac:dyDescent="0.15"/>
    <row r="1047667" customFormat="1" x14ac:dyDescent="0.15"/>
    <row r="1047668" customFormat="1" x14ac:dyDescent="0.15"/>
    <row r="1047669" customFormat="1" x14ac:dyDescent="0.15"/>
    <row r="1047670" customFormat="1" x14ac:dyDescent="0.15"/>
    <row r="1047671" customFormat="1" x14ac:dyDescent="0.15"/>
    <row r="1047672" customFormat="1" x14ac:dyDescent="0.15"/>
    <row r="1047673" customFormat="1" x14ac:dyDescent="0.15"/>
    <row r="1047674" customFormat="1" x14ac:dyDescent="0.15"/>
    <row r="1047675" customFormat="1" x14ac:dyDescent="0.15"/>
    <row r="1047676" customFormat="1" x14ac:dyDescent="0.15"/>
    <row r="1047677" customFormat="1" x14ac:dyDescent="0.15"/>
    <row r="1047678" customFormat="1" x14ac:dyDescent="0.15"/>
    <row r="1047679" customFormat="1" x14ac:dyDescent="0.15"/>
    <row r="1047680" customFormat="1" x14ac:dyDescent="0.15"/>
    <row r="1047681" customFormat="1" x14ac:dyDescent="0.15"/>
    <row r="1047682" customFormat="1" x14ac:dyDescent="0.15"/>
    <row r="1047683" customFormat="1" x14ac:dyDescent="0.15"/>
    <row r="1047684" customFormat="1" x14ac:dyDescent="0.15"/>
    <row r="1047685" customFormat="1" x14ac:dyDescent="0.15"/>
    <row r="1047686" customFormat="1" x14ac:dyDescent="0.15"/>
    <row r="1047687" customFormat="1" x14ac:dyDescent="0.15"/>
    <row r="1047688" customFormat="1" x14ac:dyDescent="0.15"/>
    <row r="1047689" customFormat="1" x14ac:dyDescent="0.15"/>
    <row r="1047690" customFormat="1" x14ac:dyDescent="0.15"/>
    <row r="1047691" customFormat="1" x14ac:dyDescent="0.15"/>
    <row r="1047692" customFormat="1" x14ac:dyDescent="0.15"/>
    <row r="1047693" customFormat="1" x14ac:dyDescent="0.15"/>
    <row r="1047694" customFormat="1" x14ac:dyDescent="0.15"/>
    <row r="1047695" customFormat="1" x14ac:dyDescent="0.15"/>
    <row r="1047696" customFormat="1" x14ac:dyDescent="0.15"/>
    <row r="1047697" customFormat="1" x14ac:dyDescent="0.15"/>
    <row r="1047698" customFormat="1" x14ac:dyDescent="0.15"/>
    <row r="1047699" customFormat="1" x14ac:dyDescent="0.15"/>
    <row r="1047700" customFormat="1" x14ac:dyDescent="0.15"/>
    <row r="1047701" customFormat="1" x14ac:dyDescent="0.15"/>
    <row r="1047702" customFormat="1" x14ac:dyDescent="0.15"/>
    <row r="1047703" customFormat="1" x14ac:dyDescent="0.15"/>
    <row r="1047704" customFormat="1" x14ac:dyDescent="0.15"/>
    <row r="1047705" customFormat="1" x14ac:dyDescent="0.15"/>
    <row r="1047706" customFormat="1" x14ac:dyDescent="0.15"/>
    <row r="1047707" customFormat="1" x14ac:dyDescent="0.15"/>
    <row r="1047708" customFormat="1" x14ac:dyDescent="0.15"/>
    <row r="1047709" customFormat="1" x14ac:dyDescent="0.15"/>
    <row r="1047710" customFormat="1" x14ac:dyDescent="0.15"/>
    <row r="1047711" customFormat="1" x14ac:dyDescent="0.15"/>
    <row r="1047712" customFormat="1" x14ac:dyDescent="0.15"/>
    <row r="1047713" customFormat="1" x14ac:dyDescent="0.15"/>
    <row r="1047714" customFormat="1" x14ac:dyDescent="0.15"/>
    <row r="1047715" customFormat="1" x14ac:dyDescent="0.15"/>
    <row r="1047716" customFormat="1" x14ac:dyDescent="0.15"/>
    <row r="1047717" customFormat="1" x14ac:dyDescent="0.15"/>
    <row r="1047718" customFormat="1" x14ac:dyDescent="0.15"/>
    <row r="1047719" customFormat="1" x14ac:dyDescent="0.15"/>
    <row r="1047720" customFormat="1" x14ac:dyDescent="0.15"/>
    <row r="1047721" customFormat="1" x14ac:dyDescent="0.15"/>
    <row r="1047722" customFormat="1" x14ac:dyDescent="0.15"/>
    <row r="1047723" customFormat="1" x14ac:dyDescent="0.15"/>
    <row r="1047724" customFormat="1" x14ac:dyDescent="0.15"/>
    <row r="1047725" customFormat="1" x14ac:dyDescent="0.15"/>
    <row r="1047726" customFormat="1" x14ac:dyDescent="0.15"/>
    <row r="1047727" customFormat="1" x14ac:dyDescent="0.15"/>
    <row r="1047728" customFormat="1" x14ac:dyDescent="0.15"/>
    <row r="1047729" customFormat="1" x14ac:dyDescent="0.15"/>
    <row r="1047730" customFormat="1" x14ac:dyDescent="0.15"/>
    <row r="1047731" customFormat="1" x14ac:dyDescent="0.15"/>
    <row r="1047732" customFormat="1" x14ac:dyDescent="0.15"/>
    <row r="1047733" customFormat="1" x14ac:dyDescent="0.15"/>
    <row r="1047734" customFormat="1" x14ac:dyDescent="0.15"/>
    <row r="1047735" customFormat="1" x14ac:dyDescent="0.15"/>
    <row r="1047736" customFormat="1" x14ac:dyDescent="0.15"/>
    <row r="1047737" customFormat="1" x14ac:dyDescent="0.15"/>
    <row r="1047738" customFormat="1" x14ac:dyDescent="0.15"/>
    <row r="1047739" customFormat="1" x14ac:dyDescent="0.15"/>
    <row r="1047740" customFormat="1" x14ac:dyDescent="0.15"/>
    <row r="1047741" customFormat="1" x14ac:dyDescent="0.15"/>
    <row r="1047742" customFormat="1" x14ac:dyDescent="0.15"/>
    <row r="1047743" customFormat="1" x14ac:dyDescent="0.15"/>
    <row r="1047744" customFormat="1" x14ac:dyDescent="0.15"/>
    <row r="1047745" customFormat="1" x14ac:dyDescent="0.15"/>
    <row r="1047746" customFormat="1" x14ac:dyDescent="0.15"/>
    <row r="1047747" customFormat="1" x14ac:dyDescent="0.15"/>
    <row r="1047748" customFormat="1" x14ac:dyDescent="0.15"/>
    <row r="1047749" customFormat="1" x14ac:dyDescent="0.15"/>
    <row r="1047750" customFormat="1" x14ac:dyDescent="0.15"/>
    <row r="1047751" customFormat="1" x14ac:dyDescent="0.15"/>
    <row r="1047752" customFormat="1" x14ac:dyDescent="0.15"/>
    <row r="1047753" customFormat="1" x14ac:dyDescent="0.15"/>
    <row r="1047754" customFormat="1" x14ac:dyDescent="0.15"/>
    <row r="1047755" customFormat="1" x14ac:dyDescent="0.15"/>
    <row r="1047756" customFormat="1" x14ac:dyDescent="0.15"/>
    <row r="1047757" customFormat="1" x14ac:dyDescent="0.15"/>
    <row r="1047758" customFormat="1" x14ac:dyDescent="0.15"/>
    <row r="1047759" customFormat="1" x14ac:dyDescent="0.15"/>
    <row r="1047760" customFormat="1" x14ac:dyDescent="0.15"/>
    <row r="1047761" customFormat="1" x14ac:dyDescent="0.15"/>
    <row r="1047762" customFormat="1" x14ac:dyDescent="0.15"/>
    <row r="1047763" customFormat="1" x14ac:dyDescent="0.15"/>
    <row r="1047764" customFormat="1" x14ac:dyDescent="0.15"/>
    <row r="1047765" customFormat="1" x14ac:dyDescent="0.15"/>
    <row r="1047766" customFormat="1" x14ac:dyDescent="0.15"/>
    <row r="1047767" customFormat="1" x14ac:dyDescent="0.15"/>
    <row r="1047768" customFormat="1" x14ac:dyDescent="0.15"/>
    <row r="1047769" customFormat="1" x14ac:dyDescent="0.15"/>
    <row r="1047770" customFormat="1" x14ac:dyDescent="0.15"/>
    <row r="1047771" customFormat="1" x14ac:dyDescent="0.15"/>
    <row r="1047772" customFormat="1" x14ac:dyDescent="0.15"/>
    <row r="1047773" customFormat="1" x14ac:dyDescent="0.15"/>
    <row r="1047774" customFormat="1" x14ac:dyDescent="0.15"/>
    <row r="1047775" customFormat="1" x14ac:dyDescent="0.15"/>
    <row r="1047776" customFormat="1" x14ac:dyDescent="0.15"/>
    <row r="1047777" customFormat="1" x14ac:dyDescent="0.15"/>
    <row r="1047778" customFormat="1" x14ac:dyDescent="0.15"/>
    <row r="1047779" customFormat="1" x14ac:dyDescent="0.15"/>
    <row r="1047780" customFormat="1" x14ac:dyDescent="0.15"/>
    <row r="1047781" customFormat="1" x14ac:dyDescent="0.15"/>
    <row r="1047782" customFormat="1" x14ac:dyDescent="0.15"/>
    <row r="1047783" customFormat="1" x14ac:dyDescent="0.15"/>
    <row r="1047784" customFormat="1" x14ac:dyDescent="0.15"/>
    <row r="1047785" customFormat="1" x14ac:dyDescent="0.15"/>
    <row r="1047786" customFormat="1" x14ac:dyDescent="0.15"/>
    <row r="1047787" customFormat="1" x14ac:dyDescent="0.15"/>
    <row r="1047788" customFormat="1" x14ac:dyDescent="0.15"/>
    <row r="1047789" customFormat="1" x14ac:dyDescent="0.15"/>
    <row r="1047790" customFormat="1" x14ac:dyDescent="0.15"/>
    <row r="1047791" customFormat="1" x14ac:dyDescent="0.15"/>
    <row r="1047792" customFormat="1" x14ac:dyDescent="0.15"/>
    <row r="1047793" customFormat="1" x14ac:dyDescent="0.15"/>
    <row r="1047794" customFormat="1" x14ac:dyDescent="0.15"/>
    <row r="1047795" customFormat="1" x14ac:dyDescent="0.15"/>
    <row r="1047796" customFormat="1" x14ac:dyDescent="0.15"/>
    <row r="1047797" customFormat="1" x14ac:dyDescent="0.15"/>
    <row r="1047798" customFormat="1" x14ac:dyDescent="0.15"/>
    <row r="1047799" customFormat="1" x14ac:dyDescent="0.15"/>
    <row r="1047800" customFormat="1" x14ac:dyDescent="0.15"/>
    <row r="1047801" customFormat="1" x14ac:dyDescent="0.15"/>
    <row r="1047802" customFormat="1" x14ac:dyDescent="0.15"/>
    <row r="1047803" customFormat="1" x14ac:dyDescent="0.15"/>
    <row r="1047804" customFormat="1" x14ac:dyDescent="0.15"/>
    <row r="1047805" customFormat="1" x14ac:dyDescent="0.15"/>
    <row r="1047806" customFormat="1" x14ac:dyDescent="0.15"/>
    <row r="1047807" customFormat="1" x14ac:dyDescent="0.15"/>
    <row r="1047808" customFormat="1" x14ac:dyDescent="0.15"/>
    <row r="1047809" customFormat="1" x14ac:dyDescent="0.15"/>
    <row r="1047810" customFormat="1" x14ac:dyDescent="0.15"/>
    <row r="1047811" customFormat="1" x14ac:dyDescent="0.15"/>
    <row r="1047812" customFormat="1" x14ac:dyDescent="0.15"/>
    <row r="1047813" customFormat="1" x14ac:dyDescent="0.15"/>
    <row r="1047814" customFormat="1" x14ac:dyDescent="0.15"/>
    <row r="1047815" customFormat="1" x14ac:dyDescent="0.15"/>
    <row r="1047816" customFormat="1" x14ac:dyDescent="0.15"/>
    <row r="1047817" customFormat="1" x14ac:dyDescent="0.15"/>
    <row r="1047818" customFormat="1" x14ac:dyDescent="0.15"/>
    <row r="1047819" customFormat="1" x14ac:dyDescent="0.15"/>
    <row r="1047820" customFormat="1" x14ac:dyDescent="0.15"/>
    <row r="1047821" customFormat="1" x14ac:dyDescent="0.15"/>
    <row r="1047822" customFormat="1" x14ac:dyDescent="0.15"/>
    <row r="1047823" customFormat="1" x14ac:dyDescent="0.15"/>
    <row r="1047824" customFormat="1" x14ac:dyDescent="0.15"/>
    <row r="1047825" customFormat="1" x14ac:dyDescent="0.15"/>
    <row r="1047826" customFormat="1" x14ac:dyDescent="0.15"/>
    <row r="1047827" customFormat="1" x14ac:dyDescent="0.15"/>
    <row r="1047828" customFormat="1" x14ac:dyDescent="0.15"/>
    <row r="1047829" customFormat="1" x14ac:dyDescent="0.15"/>
    <row r="1047830" customFormat="1" x14ac:dyDescent="0.15"/>
    <row r="1047831" customFormat="1" x14ac:dyDescent="0.15"/>
    <row r="1047832" customFormat="1" x14ac:dyDescent="0.15"/>
    <row r="1047833" customFormat="1" x14ac:dyDescent="0.15"/>
    <row r="1047834" customFormat="1" x14ac:dyDescent="0.15"/>
    <row r="1047835" customFormat="1" x14ac:dyDescent="0.15"/>
    <row r="1047836" customFormat="1" x14ac:dyDescent="0.15"/>
    <row r="1047837" customFormat="1" x14ac:dyDescent="0.15"/>
    <row r="1047838" customFormat="1" x14ac:dyDescent="0.15"/>
    <row r="1047839" customFormat="1" x14ac:dyDescent="0.15"/>
    <row r="1047840" customFormat="1" x14ac:dyDescent="0.15"/>
    <row r="1047841" customFormat="1" x14ac:dyDescent="0.15"/>
    <row r="1047842" customFormat="1" x14ac:dyDescent="0.15"/>
    <row r="1047843" customFormat="1" x14ac:dyDescent="0.15"/>
    <row r="1047844" customFormat="1" x14ac:dyDescent="0.15"/>
    <row r="1047845" customFormat="1" x14ac:dyDescent="0.15"/>
    <row r="1047846" customFormat="1" x14ac:dyDescent="0.15"/>
    <row r="1047847" customFormat="1" x14ac:dyDescent="0.15"/>
    <row r="1047848" customFormat="1" x14ac:dyDescent="0.15"/>
    <row r="1047849" customFormat="1" x14ac:dyDescent="0.15"/>
    <row r="1047850" customFormat="1" x14ac:dyDescent="0.15"/>
    <row r="1047851" customFormat="1" x14ac:dyDescent="0.15"/>
    <row r="1047852" customFormat="1" x14ac:dyDescent="0.15"/>
    <row r="1047853" customFormat="1" x14ac:dyDescent="0.15"/>
    <row r="1047854" customFormat="1" x14ac:dyDescent="0.15"/>
    <row r="1047855" customFormat="1" x14ac:dyDescent="0.15"/>
    <row r="1047856" customFormat="1" x14ac:dyDescent="0.15"/>
    <row r="1047857" customFormat="1" x14ac:dyDescent="0.15"/>
    <row r="1047858" customFormat="1" x14ac:dyDescent="0.15"/>
    <row r="1047859" customFormat="1" x14ac:dyDescent="0.15"/>
    <row r="1047860" customFormat="1" x14ac:dyDescent="0.15"/>
    <row r="1047861" customFormat="1" x14ac:dyDescent="0.15"/>
    <row r="1047862" customFormat="1" x14ac:dyDescent="0.15"/>
    <row r="1047863" customFormat="1" x14ac:dyDescent="0.15"/>
    <row r="1047864" customFormat="1" x14ac:dyDescent="0.15"/>
    <row r="1047865" customFormat="1" x14ac:dyDescent="0.15"/>
    <row r="1047866" customFormat="1" x14ac:dyDescent="0.15"/>
    <row r="1047867" customFormat="1" x14ac:dyDescent="0.15"/>
    <row r="1047868" customFormat="1" x14ac:dyDescent="0.15"/>
    <row r="1047869" customFormat="1" x14ac:dyDescent="0.15"/>
    <row r="1047870" customFormat="1" x14ac:dyDescent="0.15"/>
    <row r="1047871" customFormat="1" x14ac:dyDescent="0.15"/>
    <row r="1047872" customFormat="1" x14ac:dyDescent="0.15"/>
    <row r="1047873" customFormat="1" x14ac:dyDescent="0.15"/>
    <row r="1047874" customFormat="1" x14ac:dyDescent="0.15"/>
    <row r="1047875" customFormat="1" x14ac:dyDescent="0.15"/>
    <row r="1047876" customFormat="1" x14ac:dyDescent="0.15"/>
    <row r="1047877" customFormat="1" x14ac:dyDescent="0.15"/>
    <row r="1047878" customFormat="1" x14ac:dyDescent="0.15"/>
    <row r="1047879" customFormat="1" x14ac:dyDescent="0.15"/>
    <row r="1047880" customFormat="1" x14ac:dyDescent="0.15"/>
    <row r="1047881" customFormat="1" x14ac:dyDescent="0.15"/>
    <row r="1047882" customFormat="1" x14ac:dyDescent="0.15"/>
    <row r="1047883" customFormat="1" x14ac:dyDescent="0.15"/>
    <row r="1047884" customFormat="1" x14ac:dyDescent="0.15"/>
    <row r="1047885" customFormat="1" x14ac:dyDescent="0.15"/>
    <row r="1047886" customFormat="1" x14ac:dyDescent="0.15"/>
    <row r="1047887" customFormat="1" x14ac:dyDescent="0.15"/>
    <row r="1047888" customFormat="1" x14ac:dyDescent="0.15"/>
    <row r="1047889" customFormat="1" x14ac:dyDescent="0.15"/>
    <row r="1047890" customFormat="1" x14ac:dyDescent="0.15"/>
    <row r="1047891" customFormat="1" x14ac:dyDescent="0.15"/>
    <row r="1047892" customFormat="1" x14ac:dyDescent="0.15"/>
    <row r="1047893" customFormat="1" x14ac:dyDescent="0.15"/>
    <row r="1047894" customFormat="1" x14ac:dyDescent="0.15"/>
    <row r="1047895" customFormat="1" x14ac:dyDescent="0.15"/>
    <row r="1047896" customFormat="1" x14ac:dyDescent="0.15"/>
    <row r="1047897" customFormat="1" x14ac:dyDescent="0.15"/>
    <row r="1047898" customFormat="1" x14ac:dyDescent="0.15"/>
    <row r="1047899" customFormat="1" x14ac:dyDescent="0.15"/>
    <row r="1047900" customFormat="1" x14ac:dyDescent="0.15"/>
    <row r="1047901" customFormat="1" x14ac:dyDescent="0.15"/>
    <row r="1047902" customFormat="1" x14ac:dyDescent="0.15"/>
    <row r="1047903" customFormat="1" x14ac:dyDescent="0.15"/>
    <row r="1047904" customFormat="1" x14ac:dyDescent="0.15"/>
    <row r="1047905" customFormat="1" x14ac:dyDescent="0.15"/>
    <row r="1047906" customFormat="1" x14ac:dyDescent="0.15"/>
    <row r="1047907" customFormat="1" x14ac:dyDescent="0.15"/>
    <row r="1047908" customFormat="1" x14ac:dyDescent="0.15"/>
    <row r="1047909" customFormat="1" x14ac:dyDescent="0.15"/>
    <row r="1047910" customFormat="1" x14ac:dyDescent="0.15"/>
    <row r="1047911" customFormat="1" x14ac:dyDescent="0.15"/>
    <row r="1047912" customFormat="1" x14ac:dyDescent="0.15"/>
    <row r="1047913" customFormat="1" x14ac:dyDescent="0.15"/>
    <row r="1047914" customFormat="1" x14ac:dyDescent="0.15"/>
    <row r="1047915" customFormat="1" x14ac:dyDescent="0.15"/>
    <row r="1047916" customFormat="1" x14ac:dyDescent="0.15"/>
    <row r="1047917" customFormat="1" x14ac:dyDescent="0.15"/>
    <row r="1047918" customFormat="1" x14ac:dyDescent="0.15"/>
    <row r="1047919" customFormat="1" x14ac:dyDescent="0.15"/>
    <row r="1047920" customFormat="1" x14ac:dyDescent="0.15"/>
    <row r="1047921" customFormat="1" x14ac:dyDescent="0.15"/>
    <row r="1047922" customFormat="1" x14ac:dyDescent="0.15"/>
    <row r="1047923" customFormat="1" x14ac:dyDescent="0.15"/>
    <row r="1047924" customFormat="1" x14ac:dyDescent="0.15"/>
    <row r="1047925" customFormat="1" x14ac:dyDescent="0.15"/>
    <row r="1047926" customFormat="1" x14ac:dyDescent="0.15"/>
    <row r="1047927" customFormat="1" x14ac:dyDescent="0.15"/>
    <row r="1047928" customFormat="1" x14ac:dyDescent="0.15"/>
    <row r="1047929" customFormat="1" x14ac:dyDescent="0.15"/>
    <row r="1047930" customFormat="1" x14ac:dyDescent="0.15"/>
    <row r="1047931" customFormat="1" x14ac:dyDescent="0.15"/>
    <row r="1047932" customFormat="1" x14ac:dyDescent="0.15"/>
    <row r="1047933" customFormat="1" x14ac:dyDescent="0.15"/>
    <row r="1047934" customFormat="1" x14ac:dyDescent="0.15"/>
    <row r="1047935" customFormat="1" x14ac:dyDescent="0.15"/>
    <row r="1047936" customFormat="1" x14ac:dyDescent="0.15"/>
    <row r="1047937" customFormat="1" x14ac:dyDescent="0.15"/>
    <row r="1047938" customFormat="1" x14ac:dyDescent="0.15"/>
    <row r="1047939" customFormat="1" x14ac:dyDescent="0.15"/>
    <row r="1047940" customFormat="1" x14ac:dyDescent="0.15"/>
    <row r="1047941" customFormat="1" x14ac:dyDescent="0.15"/>
    <row r="1047942" customFormat="1" x14ac:dyDescent="0.15"/>
    <row r="1047943" customFormat="1" x14ac:dyDescent="0.15"/>
    <row r="1047944" customFormat="1" x14ac:dyDescent="0.15"/>
    <row r="1047945" customFormat="1" x14ac:dyDescent="0.15"/>
    <row r="1047946" customFormat="1" x14ac:dyDescent="0.15"/>
    <row r="1047947" customFormat="1" x14ac:dyDescent="0.15"/>
    <row r="1047948" customFormat="1" x14ac:dyDescent="0.15"/>
    <row r="1047949" customFormat="1" x14ac:dyDescent="0.15"/>
    <row r="1047950" customFormat="1" x14ac:dyDescent="0.15"/>
    <row r="1047951" customFormat="1" x14ac:dyDescent="0.15"/>
    <row r="1047952" customFormat="1" x14ac:dyDescent="0.15"/>
    <row r="1047953" customFormat="1" x14ac:dyDescent="0.15"/>
    <row r="1047954" customFormat="1" x14ac:dyDescent="0.15"/>
    <row r="1047955" customFormat="1" x14ac:dyDescent="0.15"/>
    <row r="1047956" customFormat="1" x14ac:dyDescent="0.15"/>
    <row r="1047957" customFormat="1" x14ac:dyDescent="0.15"/>
    <row r="1047958" customFormat="1" x14ac:dyDescent="0.15"/>
    <row r="1047959" customFormat="1" x14ac:dyDescent="0.15"/>
    <row r="1047960" customFormat="1" x14ac:dyDescent="0.15"/>
    <row r="1047961" customFormat="1" x14ac:dyDescent="0.15"/>
    <row r="1047962" customFormat="1" x14ac:dyDescent="0.15"/>
    <row r="1047963" customFormat="1" x14ac:dyDescent="0.15"/>
    <row r="1047964" customFormat="1" x14ac:dyDescent="0.15"/>
    <row r="1047965" customFormat="1" x14ac:dyDescent="0.15"/>
    <row r="1047966" customFormat="1" x14ac:dyDescent="0.15"/>
    <row r="1047967" customFormat="1" x14ac:dyDescent="0.15"/>
    <row r="1047968" customFormat="1" x14ac:dyDescent="0.15"/>
    <row r="1047969" customFormat="1" x14ac:dyDescent="0.15"/>
    <row r="1047970" customFormat="1" x14ac:dyDescent="0.15"/>
    <row r="1047971" customFormat="1" x14ac:dyDescent="0.15"/>
    <row r="1047972" customFormat="1" x14ac:dyDescent="0.15"/>
    <row r="1047973" customFormat="1" x14ac:dyDescent="0.15"/>
    <row r="1047974" customFormat="1" x14ac:dyDescent="0.15"/>
    <row r="1047975" customFormat="1" x14ac:dyDescent="0.15"/>
    <row r="1047976" customFormat="1" x14ac:dyDescent="0.15"/>
    <row r="1047977" customFormat="1" x14ac:dyDescent="0.15"/>
    <row r="1047978" customFormat="1" x14ac:dyDescent="0.15"/>
    <row r="1047979" customFormat="1" x14ac:dyDescent="0.15"/>
    <row r="1047980" customFormat="1" x14ac:dyDescent="0.15"/>
    <row r="1047981" customFormat="1" x14ac:dyDescent="0.15"/>
    <row r="1047982" customFormat="1" x14ac:dyDescent="0.15"/>
    <row r="1047983" customFormat="1" x14ac:dyDescent="0.15"/>
    <row r="1047984" customFormat="1" x14ac:dyDescent="0.15"/>
    <row r="1047985" customFormat="1" x14ac:dyDescent="0.15"/>
    <row r="1047986" customFormat="1" x14ac:dyDescent="0.15"/>
    <row r="1047987" customFormat="1" x14ac:dyDescent="0.15"/>
    <row r="1047988" customFormat="1" x14ac:dyDescent="0.15"/>
    <row r="1047989" customFormat="1" x14ac:dyDescent="0.15"/>
    <row r="1047990" customFormat="1" x14ac:dyDescent="0.15"/>
    <row r="1047991" customFormat="1" x14ac:dyDescent="0.15"/>
    <row r="1047992" customFormat="1" x14ac:dyDescent="0.15"/>
    <row r="1047993" customFormat="1" x14ac:dyDescent="0.15"/>
    <row r="1047994" customFormat="1" x14ac:dyDescent="0.15"/>
    <row r="1047995" customFormat="1" x14ac:dyDescent="0.15"/>
    <row r="1047996" customFormat="1" x14ac:dyDescent="0.15"/>
    <row r="1047997" customFormat="1" x14ac:dyDescent="0.15"/>
    <row r="1047998" customFormat="1" x14ac:dyDescent="0.15"/>
    <row r="1047999" customFormat="1" x14ac:dyDescent="0.15"/>
    <row r="1048000" customFormat="1" x14ac:dyDescent="0.15"/>
    <row r="1048001" customFormat="1" x14ac:dyDescent="0.15"/>
    <row r="1048002" customFormat="1" x14ac:dyDescent="0.15"/>
    <row r="1048003" customFormat="1" x14ac:dyDescent="0.15"/>
    <row r="1048004" customFormat="1" x14ac:dyDescent="0.15"/>
    <row r="1048005" customFormat="1" x14ac:dyDescent="0.15"/>
    <row r="1048006" customFormat="1" x14ac:dyDescent="0.15"/>
    <row r="1048007" customFormat="1" x14ac:dyDescent="0.15"/>
    <row r="1048008" customFormat="1" x14ac:dyDescent="0.15"/>
    <row r="1048009" customFormat="1" x14ac:dyDescent="0.15"/>
    <row r="1048010" customFormat="1" x14ac:dyDescent="0.15"/>
    <row r="1048011" customFormat="1" x14ac:dyDescent="0.15"/>
    <row r="1048012" customFormat="1" x14ac:dyDescent="0.15"/>
    <row r="1048013" customFormat="1" x14ac:dyDescent="0.15"/>
    <row r="1048014" customFormat="1" x14ac:dyDescent="0.15"/>
    <row r="1048015" customFormat="1" x14ac:dyDescent="0.15"/>
    <row r="1048016" customFormat="1" x14ac:dyDescent="0.15"/>
    <row r="1048017" customFormat="1" x14ac:dyDescent="0.15"/>
    <row r="1048018" customFormat="1" x14ac:dyDescent="0.15"/>
    <row r="1048019" customFormat="1" x14ac:dyDescent="0.15"/>
    <row r="1048020" customFormat="1" x14ac:dyDescent="0.15"/>
    <row r="1048021" customFormat="1" x14ac:dyDescent="0.15"/>
    <row r="1048022" customFormat="1" x14ac:dyDescent="0.15"/>
    <row r="1048023" customFormat="1" x14ac:dyDescent="0.15"/>
    <row r="1048024" customFormat="1" x14ac:dyDescent="0.15"/>
    <row r="1048025" customFormat="1" x14ac:dyDescent="0.15"/>
    <row r="1048026" customFormat="1" x14ac:dyDescent="0.15"/>
    <row r="1048027" customFormat="1" x14ac:dyDescent="0.15"/>
    <row r="1048028" customFormat="1" x14ac:dyDescent="0.15"/>
    <row r="1048029" customFormat="1" x14ac:dyDescent="0.15"/>
    <row r="1048030" customFormat="1" x14ac:dyDescent="0.15"/>
    <row r="1048031" customFormat="1" x14ac:dyDescent="0.15"/>
    <row r="1048032" customFormat="1" x14ac:dyDescent="0.15"/>
    <row r="1048033" customFormat="1" x14ac:dyDescent="0.15"/>
    <row r="1048034" customFormat="1" x14ac:dyDescent="0.15"/>
    <row r="1048035" customFormat="1" x14ac:dyDescent="0.15"/>
    <row r="1048036" customFormat="1" x14ac:dyDescent="0.15"/>
    <row r="1048037" customFormat="1" x14ac:dyDescent="0.15"/>
    <row r="1048038" customFormat="1" x14ac:dyDescent="0.15"/>
    <row r="1048039" customFormat="1" x14ac:dyDescent="0.15"/>
    <row r="1048040" customFormat="1" x14ac:dyDescent="0.15"/>
    <row r="1048041" customFormat="1" x14ac:dyDescent="0.15"/>
    <row r="1048042" customFormat="1" x14ac:dyDescent="0.15"/>
    <row r="1048043" customFormat="1" x14ac:dyDescent="0.15"/>
    <row r="1048044" customFormat="1" x14ac:dyDescent="0.15"/>
    <row r="1048045" customFormat="1" x14ac:dyDescent="0.15"/>
    <row r="1048046" customFormat="1" x14ac:dyDescent="0.15"/>
    <row r="1048047" customFormat="1" x14ac:dyDescent="0.15"/>
    <row r="1048048" customFormat="1" x14ac:dyDescent="0.15"/>
    <row r="1048049" customFormat="1" x14ac:dyDescent="0.15"/>
    <row r="1048050" customFormat="1" x14ac:dyDescent="0.15"/>
    <row r="1048051" customFormat="1" x14ac:dyDescent="0.15"/>
    <row r="1048052" customFormat="1" x14ac:dyDescent="0.15"/>
    <row r="1048053" customFormat="1" x14ac:dyDescent="0.15"/>
    <row r="1048054" customFormat="1" x14ac:dyDescent="0.15"/>
    <row r="1048055" customFormat="1" x14ac:dyDescent="0.15"/>
    <row r="1048056" customFormat="1" x14ac:dyDescent="0.15"/>
    <row r="1048057" customFormat="1" x14ac:dyDescent="0.15"/>
    <row r="1048058" customFormat="1" x14ac:dyDescent="0.15"/>
    <row r="1048059" customFormat="1" x14ac:dyDescent="0.15"/>
    <row r="1048060" customFormat="1" x14ac:dyDescent="0.15"/>
    <row r="1048061" customFormat="1" x14ac:dyDescent="0.15"/>
    <row r="1048062" customFormat="1" x14ac:dyDescent="0.15"/>
    <row r="1048063" customFormat="1" x14ac:dyDescent="0.15"/>
    <row r="1048064" customFormat="1" x14ac:dyDescent="0.15"/>
    <row r="1048065" customFormat="1" x14ac:dyDescent="0.15"/>
    <row r="1048066" customFormat="1" x14ac:dyDescent="0.15"/>
    <row r="1048067" customFormat="1" x14ac:dyDescent="0.15"/>
    <row r="1048068" customFormat="1" x14ac:dyDescent="0.15"/>
    <row r="1048069" customFormat="1" x14ac:dyDescent="0.15"/>
    <row r="1048070" customFormat="1" x14ac:dyDescent="0.15"/>
    <row r="1048071" customFormat="1" x14ac:dyDescent="0.15"/>
    <row r="1048072" customFormat="1" x14ac:dyDescent="0.15"/>
    <row r="1048073" customFormat="1" x14ac:dyDescent="0.15"/>
    <row r="1048074" customFormat="1" x14ac:dyDescent="0.15"/>
    <row r="1048075" customFormat="1" x14ac:dyDescent="0.15"/>
    <row r="1048076" customFormat="1" x14ac:dyDescent="0.15"/>
    <row r="1048077" customFormat="1" x14ac:dyDescent="0.15"/>
    <row r="1048078" customFormat="1" x14ac:dyDescent="0.15"/>
    <row r="1048079" customFormat="1" x14ac:dyDescent="0.15"/>
    <row r="1048080" customFormat="1" x14ac:dyDescent="0.15"/>
    <row r="1048081" customFormat="1" x14ac:dyDescent="0.15"/>
    <row r="1048082" customFormat="1" x14ac:dyDescent="0.15"/>
    <row r="1048083" customFormat="1" x14ac:dyDescent="0.15"/>
    <row r="1048084" customFormat="1" x14ac:dyDescent="0.15"/>
    <row r="1048085" customFormat="1" x14ac:dyDescent="0.15"/>
    <row r="1048086" customFormat="1" x14ac:dyDescent="0.15"/>
    <row r="1048087" customFormat="1" x14ac:dyDescent="0.15"/>
    <row r="1048088" customFormat="1" x14ac:dyDescent="0.15"/>
    <row r="1048089" customFormat="1" x14ac:dyDescent="0.15"/>
    <row r="1048090" customFormat="1" x14ac:dyDescent="0.15"/>
    <row r="1048091" customFormat="1" x14ac:dyDescent="0.15"/>
    <row r="1048092" customFormat="1" x14ac:dyDescent="0.15"/>
    <row r="1048093" customFormat="1" x14ac:dyDescent="0.15"/>
    <row r="1048094" customFormat="1" x14ac:dyDescent="0.15"/>
    <row r="1048095" customFormat="1" x14ac:dyDescent="0.15"/>
    <row r="1048096" customFormat="1" x14ac:dyDescent="0.15"/>
    <row r="1048097" customFormat="1" x14ac:dyDescent="0.15"/>
    <row r="1048098" customFormat="1" x14ac:dyDescent="0.15"/>
    <row r="1048099" customFormat="1" x14ac:dyDescent="0.15"/>
    <row r="1048100" customFormat="1" x14ac:dyDescent="0.15"/>
    <row r="1048101" customFormat="1" x14ac:dyDescent="0.15"/>
    <row r="1048102" customFormat="1" x14ac:dyDescent="0.15"/>
    <row r="1048103" customFormat="1" x14ac:dyDescent="0.15"/>
    <row r="1048104" customFormat="1" x14ac:dyDescent="0.15"/>
    <row r="1048105" customFormat="1" x14ac:dyDescent="0.15"/>
    <row r="1048106" customFormat="1" x14ac:dyDescent="0.15"/>
    <row r="1048107" customFormat="1" x14ac:dyDescent="0.15"/>
    <row r="1048108" customFormat="1" x14ac:dyDescent="0.15"/>
    <row r="1048109" customFormat="1" x14ac:dyDescent="0.15"/>
    <row r="1048110" customFormat="1" x14ac:dyDescent="0.15"/>
    <row r="1048111" customFormat="1" x14ac:dyDescent="0.15"/>
    <row r="1048112" customFormat="1" x14ac:dyDescent="0.15"/>
    <row r="1048113" customFormat="1" x14ac:dyDescent="0.15"/>
    <row r="1048114" customFormat="1" x14ac:dyDescent="0.15"/>
    <row r="1048115" customFormat="1" x14ac:dyDescent="0.15"/>
    <row r="1048116" customFormat="1" x14ac:dyDescent="0.15"/>
    <row r="1048117" customFormat="1" x14ac:dyDescent="0.15"/>
    <row r="1048118" customFormat="1" x14ac:dyDescent="0.15"/>
    <row r="1048119" customFormat="1" x14ac:dyDescent="0.15"/>
    <row r="1048120" customFormat="1" x14ac:dyDescent="0.15"/>
    <row r="1048121" customFormat="1" x14ac:dyDescent="0.15"/>
    <row r="1048122" customFormat="1" x14ac:dyDescent="0.15"/>
    <row r="1048123" customFormat="1" x14ac:dyDescent="0.15"/>
    <row r="1048124" customFormat="1" x14ac:dyDescent="0.15"/>
    <row r="1048125" customFormat="1" x14ac:dyDescent="0.15"/>
    <row r="1048126" customFormat="1" x14ac:dyDescent="0.15"/>
    <row r="1048127" customFormat="1" x14ac:dyDescent="0.15"/>
    <row r="1048128" customFormat="1" x14ac:dyDescent="0.15"/>
    <row r="1048129" customFormat="1" x14ac:dyDescent="0.15"/>
    <row r="1048130" customFormat="1" x14ac:dyDescent="0.15"/>
    <row r="1048131" customFormat="1" x14ac:dyDescent="0.15"/>
    <row r="1048132" customFormat="1" x14ac:dyDescent="0.15"/>
    <row r="1048133" customFormat="1" x14ac:dyDescent="0.15"/>
    <row r="1048134" customFormat="1" x14ac:dyDescent="0.15"/>
    <row r="1048135" customFormat="1" x14ac:dyDescent="0.15"/>
    <row r="1048136" customFormat="1" x14ac:dyDescent="0.15"/>
    <row r="1048137" customFormat="1" x14ac:dyDescent="0.15"/>
    <row r="1048138" customFormat="1" x14ac:dyDescent="0.15"/>
    <row r="1048139" customFormat="1" x14ac:dyDescent="0.15"/>
    <row r="1048140" customFormat="1" x14ac:dyDescent="0.15"/>
    <row r="1048141" customFormat="1" x14ac:dyDescent="0.15"/>
    <row r="1048142" customFormat="1" x14ac:dyDescent="0.15"/>
    <row r="1048143" customFormat="1" x14ac:dyDescent="0.15"/>
    <row r="1048144" customFormat="1" x14ac:dyDescent="0.15"/>
    <row r="1048145" customFormat="1" x14ac:dyDescent="0.15"/>
    <row r="1048146" customFormat="1" x14ac:dyDescent="0.15"/>
    <row r="1048147" customFormat="1" x14ac:dyDescent="0.15"/>
    <row r="1048148" customFormat="1" x14ac:dyDescent="0.15"/>
    <row r="1048149" customFormat="1" x14ac:dyDescent="0.15"/>
    <row r="1048150" customFormat="1" x14ac:dyDescent="0.15"/>
    <row r="1048151" customFormat="1" x14ac:dyDescent="0.15"/>
    <row r="1048152" customFormat="1" x14ac:dyDescent="0.15"/>
    <row r="1048153" customFormat="1" x14ac:dyDescent="0.15"/>
    <row r="1048154" customFormat="1" x14ac:dyDescent="0.15"/>
    <row r="1048155" customFormat="1" x14ac:dyDescent="0.15"/>
    <row r="1048156" customFormat="1" x14ac:dyDescent="0.15"/>
    <row r="1048157" customFormat="1" x14ac:dyDescent="0.15"/>
    <row r="1048158" customFormat="1" x14ac:dyDescent="0.15"/>
    <row r="1048159" customFormat="1" x14ac:dyDescent="0.15"/>
    <row r="1048160" customFormat="1" x14ac:dyDescent="0.15"/>
    <row r="1048161" customFormat="1" x14ac:dyDescent="0.15"/>
    <row r="1048162" customFormat="1" x14ac:dyDescent="0.15"/>
    <row r="1048163" customFormat="1" x14ac:dyDescent="0.15"/>
    <row r="1048164" customFormat="1" x14ac:dyDescent="0.15"/>
    <row r="1048165" customFormat="1" x14ac:dyDescent="0.15"/>
    <row r="1048166" customFormat="1" x14ac:dyDescent="0.15"/>
    <row r="1048167" customFormat="1" x14ac:dyDescent="0.15"/>
    <row r="1048168" customFormat="1" x14ac:dyDescent="0.15"/>
    <row r="1048169" customFormat="1" x14ac:dyDescent="0.15"/>
    <row r="1048170" customFormat="1" x14ac:dyDescent="0.15"/>
    <row r="1048171" customFormat="1" x14ac:dyDescent="0.15"/>
    <row r="1048172" customFormat="1" x14ac:dyDescent="0.15"/>
    <row r="1048173" customFormat="1" x14ac:dyDescent="0.15"/>
    <row r="1048174" customFormat="1" x14ac:dyDescent="0.15"/>
    <row r="1048175" customFormat="1" x14ac:dyDescent="0.15"/>
    <row r="1048176" customFormat="1" x14ac:dyDescent="0.15"/>
    <row r="1048177" customFormat="1" x14ac:dyDescent="0.15"/>
    <row r="1048178" customFormat="1" x14ac:dyDescent="0.15"/>
    <row r="1048179" customFormat="1" x14ac:dyDescent="0.15"/>
    <row r="1048180" customFormat="1" x14ac:dyDescent="0.15"/>
    <row r="1048181" customFormat="1" x14ac:dyDescent="0.15"/>
    <row r="1048182" customFormat="1" x14ac:dyDescent="0.15"/>
    <row r="1048183" customFormat="1" x14ac:dyDescent="0.15"/>
    <row r="1048184" customFormat="1" x14ac:dyDescent="0.15"/>
    <row r="1048185" customFormat="1" x14ac:dyDescent="0.15"/>
    <row r="1048186" customFormat="1" x14ac:dyDescent="0.15"/>
    <row r="1048187" customFormat="1" x14ac:dyDescent="0.15"/>
    <row r="1048188" customFormat="1" x14ac:dyDescent="0.15"/>
    <row r="1048189" customFormat="1" x14ac:dyDescent="0.15"/>
    <row r="1048190" customFormat="1" x14ac:dyDescent="0.15"/>
    <row r="1048191" customFormat="1" x14ac:dyDescent="0.15"/>
    <row r="1048192" customFormat="1" x14ac:dyDescent="0.15"/>
    <row r="1048193" customFormat="1" x14ac:dyDescent="0.15"/>
    <row r="1048194" customFormat="1" x14ac:dyDescent="0.15"/>
    <row r="1048195" customFormat="1" x14ac:dyDescent="0.15"/>
    <row r="1048196" customFormat="1" x14ac:dyDescent="0.15"/>
    <row r="1048197" customFormat="1" x14ac:dyDescent="0.15"/>
    <row r="1048198" customFormat="1" x14ac:dyDescent="0.15"/>
    <row r="1048199" customFormat="1" x14ac:dyDescent="0.15"/>
    <row r="1048200" customFormat="1" x14ac:dyDescent="0.15"/>
    <row r="1048201" customFormat="1" x14ac:dyDescent="0.15"/>
    <row r="1048202" customFormat="1" x14ac:dyDescent="0.15"/>
    <row r="1048203" customFormat="1" x14ac:dyDescent="0.15"/>
    <row r="1048204" customFormat="1" x14ac:dyDescent="0.15"/>
    <row r="1048205" customFormat="1" x14ac:dyDescent="0.15"/>
    <row r="1048206" customFormat="1" x14ac:dyDescent="0.15"/>
    <row r="1048207" customFormat="1" x14ac:dyDescent="0.15"/>
    <row r="1048208" customFormat="1" x14ac:dyDescent="0.15"/>
    <row r="1048209" customFormat="1" x14ac:dyDescent="0.15"/>
    <row r="1048210" customFormat="1" x14ac:dyDescent="0.15"/>
    <row r="1048211" customFormat="1" x14ac:dyDescent="0.15"/>
    <row r="1048212" customFormat="1" x14ac:dyDescent="0.15"/>
    <row r="1048213" customFormat="1" x14ac:dyDescent="0.15"/>
    <row r="1048214" customFormat="1" x14ac:dyDescent="0.15"/>
    <row r="1048215" customFormat="1" x14ac:dyDescent="0.15"/>
    <row r="1048216" customFormat="1" x14ac:dyDescent="0.15"/>
    <row r="1048217" customFormat="1" x14ac:dyDescent="0.15"/>
    <row r="1048218" customFormat="1" x14ac:dyDescent="0.15"/>
    <row r="1048219" customFormat="1" x14ac:dyDescent="0.15"/>
    <row r="1048220" customFormat="1" x14ac:dyDescent="0.15"/>
    <row r="1048221" customFormat="1" x14ac:dyDescent="0.15"/>
    <row r="1048222" customFormat="1" x14ac:dyDescent="0.15"/>
    <row r="1048223" customFormat="1" x14ac:dyDescent="0.15"/>
    <row r="1048224" customFormat="1" x14ac:dyDescent="0.15"/>
    <row r="1048225" customFormat="1" x14ac:dyDescent="0.15"/>
    <row r="1048226" customFormat="1" x14ac:dyDescent="0.15"/>
    <row r="1048227" customFormat="1" x14ac:dyDescent="0.15"/>
    <row r="1048228" customFormat="1" x14ac:dyDescent="0.15"/>
    <row r="1048229" customFormat="1" x14ac:dyDescent="0.15"/>
    <row r="1048230" customFormat="1" x14ac:dyDescent="0.15"/>
    <row r="1048231" customFormat="1" x14ac:dyDescent="0.15"/>
    <row r="1048232" customFormat="1" x14ac:dyDescent="0.15"/>
    <row r="1048233" customFormat="1" x14ac:dyDescent="0.15"/>
    <row r="1048234" customFormat="1" x14ac:dyDescent="0.15"/>
    <row r="1048235" customFormat="1" x14ac:dyDescent="0.15"/>
    <row r="1048236" customFormat="1" x14ac:dyDescent="0.15"/>
    <row r="1048237" customFormat="1" x14ac:dyDescent="0.15"/>
    <row r="1048238" customFormat="1" x14ac:dyDescent="0.15"/>
    <row r="1048239" customFormat="1" x14ac:dyDescent="0.15"/>
    <row r="1048240" customFormat="1" x14ac:dyDescent="0.15"/>
    <row r="1048241" customFormat="1" x14ac:dyDescent="0.15"/>
    <row r="1048242" customFormat="1" x14ac:dyDescent="0.15"/>
    <row r="1048243" customFormat="1" x14ac:dyDescent="0.15"/>
    <row r="1048244" customFormat="1" x14ac:dyDescent="0.15"/>
    <row r="1048245" customFormat="1" x14ac:dyDescent="0.15"/>
    <row r="1048246" customFormat="1" x14ac:dyDescent="0.15"/>
    <row r="1048247" customFormat="1" x14ac:dyDescent="0.15"/>
    <row r="1048248" customFormat="1" x14ac:dyDescent="0.15"/>
    <row r="1048249" customFormat="1" x14ac:dyDescent="0.15"/>
    <row r="1048250" customFormat="1" x14ac:dyDescent="0.15"/>
    <row r="1048251" customFormat="1" x14ac:dyDescent="0.15"/>
    <row r="1048252" customFormat="1" x14ac:dyDescent="0.15"/>
    <row r="1048253" customFormat="1" x14ac:dyDescent="0.15"/>
    <row r="1048254" customFormat="1" x14ac:dyDescent="0.15"/>
    <row r="1048255" customFormat="1" x14ac:dyDescent="0.15"/>
    <row r="1048256" customFormat="1" x14ac:dyDescent="0.15"/>
    <row r="1048257" customFormat="1" x14ac:dyDescent="0.15"/>
    <row r="1048258" customFormat="1" x14ac:dyDescent="0.15"/>
    <row r="1048259" customFormat="1" x14ac:dyDescent="0.15"/>
    <row r="1048260" customFormat="1" x14ac:dyDescent="0.15"/>
    <row r="1048261" customFormat="1" x14ac:dyDescent="0.15"/>
    <row r="1048262" customFormat="1" x14ac:dyDescent="0.15"/>
    <row r="1048263" customFormat="1" x14ac:dyDescent="0.15"/>
    <row r="1048264" customFormat="1" x14ac:dyDescent="0.15"/>
    <row r="1048265" customFormat="1" x14ac:dyDescent="0.15"/>
    <row r="1048266" customFormat="1" x14ac:dyDescent="0.15"/>
    <row r="1048267" customFormat="1" x14ac:dyDescent="0.15"/>
    <row r="1048268" customFormat="1" x14ac:dyDescent="0.15"/>
    <row r="1048269" customFormat="1" x14ac:dyDescent="0.15"/>
    <row r="1048270" customFormat="1" x14ac:dyDescent="0.15"/>
    <row r="1048271" customFormat="1" x14ac:dyDescent="0.15"/>
    <row r="1048272" customFormat="1" x14ac:dyDescent="0.15"/>
    <row r="1048273" customFormat="1" x14ac:dyDescent="0.15"/>
    <row r="1048274" customFormat="1" x14ac:dyDescent="0.15"/>
    <row r="1048275" customFormat="1" x14ac:dyDescent="0.15"/>
    <row r="1048276" customFormat="1" x14ac:dyDescent="0.15"/>
    <row r="1048277" customFormat="1" x14ac:dyDescent="0.15"/>
    <row r="1048278" customFormat="1" x14ac:dyDescent="0.15"/>
    <row r="1048279" customFormat="1" x14ac:dyDescent="0.15"/>
    <row r="1048280" customFormat="1" x14ac:dyDescent="0.15"/>
    <row r="1048281" customFormat="1" x14ac:dyDescent="0.15"/>
    <row r="1048282" customFormat="1" x14ac:dyDescent="0.15"/>
    <row r="1048283" customFormat="1" x14ac:dyDescent="0.15"/>
    <row r="1048284" customFormat="1" x14ac:dyDescent="0.15"/>
    <row r="1048285" customFormat="1" x14ac:dyDescent="0.15"/>
    <row r="1048286" customFormat="1" x14ac:dyDescent="0.15"/>
    <row r="1048287" customFormat="1" x14ac:dyDescent="0.15"/>
    <row r="1048288" customFormat="1" x14ac:dyDescent="0.15"/>
    <row r="1048289" customFormat="1" x14ac:dyDescent="0.15"/>
    <row r="1048290" customFormat="1" x14ac:dyDescent="0.15"/>
    <row r="1048291" customFormat="1" x14ac:dyDescent="0.15"/>
    <row r="1048292" customFormat="1" x14ac:dyDescent="0.15"/>
    <row r="1048293" customFormat="1" x14ac:dyDescent="0.15"/>
    <row r="1048294" customFormat="1" x14ac:dyDescent="0.15"/>
    <row r="1048295" customFormat="1" x14ac:dyDescent="0.15"/>
    <row r="1048296" customFormat="1" x14ac:dyDescent="0.15"/>
    <row r="1048297" customFormat="1" x14ac:dyDescent="0.15"/>
    <row r="1048298" customFormat="1" x14ac:dyDescent="0.15"/>
    <row r="1048299" customFormat="1" x14ac:dyDescent="0.15"/>
    <row r="1048300" customFormat="1" x14ac:dyDescent="0.15"/>
    <row r="1048301" customFormat="1" x14ac:dyDescent="0.15"/>
    <row r="1048302" customFormat="1" x14ac:dyDescent="0.15"/>
    <row r="1048303" customFormat="1" x14ac:dyDescent="0.15"/>
    <row r="1048304" customFormat="1" x14ac:dyDescent="0.15"/>
    <row r="1048305" customFormat="1" x14ac:dyDescent="0.15"/>
    <row r="1048306" customFormat="1" x14ac:dyDescent="0.15"/>
    <row r="1048307" customFormat="1" x14ac:dyDescent="0.15"/>
    <row r="1048308" customFormat="1" x14ac:dyDescent="0.15"/>
    <row r="1048309" customFormat="1" x14ac:dyDescent="0.15"/>
    <row r="1048310" customFormat="1" x14ac:dyDescent="0.15"/>
    <row r="1048311" customFormat="1" x14ac:dyDescent="0.15"/>
    <row r="1048312" customFormat="1" x14ac:dyDescent="0.15"/>
    <row r="1048313" customFormat="1" x14ac:dyDescent="0.15"/>
    <row r="1048314" customFormat="1" x14ac:dyDescent="0.15"/>
    <row r="1048315" customFormat="1" x14ac:dyDescent="0.15"/>
    <row r="1048316" customFormat="1" x14ac:dyDescent="0.15"/>
    <row r="1048317" customFormat="1" x14ac:dyDescent="0.15"/>
    <row r="1048318" customFormat="1" x14ac:dyDescent="0.15"/>
    <row r="1048319" customFormat="1" x14ac:dyDescent="0.15"/>
    <row r="1048320" customFormat="1" x14ac:dyDescent="0.15"/>
    <row r="1048321" customFormat="1" x14ac:dyDescent="0.15"/>
    <row r="1048322" customFormat="1" x14ac:dyDescent="0.15"/>
    <row r="1048323" customFormat="1" x14ac:dyDescent="0.15"/>
    <row r="1048324" customFormat="1" x14ac:dyDescent="0.15"/>
    <row r="1048325" customFormat="1" x14ac:dyDescent="0.15"/>
    <row r="1048326" customFormat="1" x14ac:dyDescent="0.15"/>
    <row r="1048327" customFormat="1" x14ac:dyDescent="0.15"/>
    <row r="1048328" customFormat="1" x14ac:dyDescent="0.15"/>
    <row r="1048329" customFormat="1" x14ac:dyDescent="0.15"/>
    <row r="1048330" customFormat="1" x14ac:dyDescent="0.15"/>
    <row r="1048331" customFormat="1" x14ac:dyDescent="0.15"/>
    <row r="1048332" customFormat="1" x14ac:dyDescent="0.15"/>
    <row r="1048333" customFormat="1" x14ac:dyDescent="0.15"/>
    <row r="1048334" customFormat="1" x14ac:dyDescent="0.15"/>
    <row r="1048335" customFormat="1" x14ac:dyDescent="0.15"/>
    <row r="1048336" customFormat="1" x14ac:dyDescent="0.15"/>
    <row r="1048337" customFormat="1" x14ac:dyDescent="0.15"/>
    <row r="1048338" customFormat="1" x14ac:dyDescent="0.15"/>
    <row r="1048339" customFormat="1" x14ac:dyDescent="0.15"/>
    <row r="1048340" customFormat="1" x14ac:dyDescent="0.15"/>
    <row r="1048341" customFormat="1" x14ac:dyDescent="0.15"/>
    <row r="1048342" customFormat="1" x14ac:dyDescent="0.15"/>
    <row r="1048343" customFormat="1" x14ac:dyDescent="0.15"/>
    <row r="1048344" customFormat="1" x14ac:dyDescent="0.15"/>
    <row r="1048345" customFormat="1" x14ac:dyDescent="0.15"/>
    <row r="1048346" customFormat="1" x14ac:dyDescent="0.15"/>
    <row r="1048347" customFormat="1" x14ac:dyDescent="0.15"/>
    <row r="1048348" customFormat="1" x14ac:dyDescent="0.15"/>
    <row r="1048349" customFormat="1" x14ac:dyDescent="0.15"/>
    <row r="1048350" customFormat="1" x14ac:dyDescent="0.15"/>
    <row r="1048351" customFormat="1" x14ac:dyDescent="0.15"/>
    <row r="1048352" customFormat="1" x14ac:dyDescent="0.15"/>
    <row r="1048353" customFormat="1" x14ac:dyDescent="0.15"/>
    <row r="1048354" customFormat="1" x14ac:dyDescent="0.15"/>
    <row r="1048355" customFormat="1" x14ac:dyDescent="0.15"/>
    <row r="1048356" customFormat="1" x14ac:dyDescent="0.15"/>
    <row r="1048357" customFormat="1" x14ac:dyDescent="0.15"/>
    <row r="1048358" customFormat="1" x14ac:dyDescent="0.15"/>
    <row r="1048359" customFormat="1" x14ac:dyDescent="0.15"/>
    <row r="1048360" customFormat="1" x14ac:dyDescent="0.15"/>
    <row r="1048361" customFormat="1" x14ac:dyDescent="0.15"/>
    <row r="1048362" customFormat="1" x14ac:dyDescent="0.15"/>
    <row r="1048363" customFormat="1" x14ac:dyDescent="0.15"/>
    <row r="1048364" customFormat="1" x14ac:dyDescent="0.15"/>
    <row r="1048365" customFormat="1" x14ac:dyDescent="0.15"/>
    <row r="1048366" customFormat="1" x14ac:dyDescent="0.15"/>
    <row r="1048367" customFormat="1" x14ac:dyDescent="0.15"/>
    <row r="1048368" customFormat="1" x14ac:dyDescent="0.15"/>
    <row r="1048369" customFormat="1" x14ac:dyDescent="0.15"/>
    <row r="1048370" customFormat="1" x14ac:dyDescent="0.15"/>
    <row r="1048371" customFormat="1" x14ac:dyDescent="0.15"/>
    <row r="1048372" customFormat="1" x14ac:dyDescent="0.15"/>
    <row r="1048373" customFormat="1" x14ac:dyDescent="0.15"/>
    <row r="1048374" customFormat="1" x14ac:dyDescent="0.15"/>
    <row r="1048375" customFormat="1" x14ac:dyDescent="0.15"/>
    <row r="1048376" customFormat="1" x14ac:dyDescent="0.15"/>
    <row r="1048377" customFormat="1" x14ac:dyDescent="0.15"/>
    <row r="1048378" customFormat="1" x14ac:dyDescent="0.15"/>
    <row r="1048379" customFormat="1" x14ac:dyDescent="0.15"/>
    <row r="1048380" customFormat="1" x14ac:dyDescent="0.15"/>
    <row r="1048381" customFormat="1" x14ac:dyDescent="0.15"/>
    <row r="1048382" customFormat="1" x14ac:dyDescent="0.15"/>
    <row r="1048383" customFormat="1" x14ac:dyDescent="0.15"/>
    <row r="1048384" customFormat="1" x14ac:dyDescent="0.15"/>
    <row r="1048385" customFormat="1" x14ac:dyDescent="0.15"/>
    <row r="1048386" customFormat="1" x14ac:dyDescent="0.15"/>
    <row r="1048387" customFormat="1" x14ac:dyDescent="0.15"/>
    <row r="1048388" customFormat="1" x14ac:dyDescent="0.15"/>
    <row r="1048389" customFormat="1" x14ac:dyDescent="0.15"/>
    <row r="1048390" customFormat="1" x14ac:dyDescent="0.15"/>
    <row r="1048391" customFormat="1" x14ac:dyDescent="0.15"/>
    <row r="1048392" customFormat="1" x14ac:dyDescent="0.15"/>
    <row r="1048393" customFormat="1" x14ac:dyDescent="0.15"/>
    <row r="1048394" customFormat="1" x14ac:dyDescent="0.15"/>
    <row r="1048395" customFormat="1" x14ac:dyDescent="0.15"/>
    <row r="1048396" customFormat="1" x14ac:dyDescent="0.15"/>
    <row r="1048397" customFormat="1" x14ac:dyDescent="0.15"/>
    <row r="1048398" customFormat="1" x14ac:dyDescent="0.15"/>
    <row r="1048399" customFormat="1" x14ac:dyDescent="0.15"/>
    <row r="1048400" customFormat="1" x14ac:dyDescent="0.15"/>
    <row r="1048401" customFormat="1" x14ac:dyDescent="0.15"/>
    <row r="1048402" customFormat="1" x14ac:dyDescent="0.15"/>
    <row r="1048403" customFormat="1" x14ac:dyDescent="0.15"/>
    <row r="1048404" customFormat="1" x14ac:dyDescent="0.15"/>
    <row r="1048405" customFormat="1" x14ac:dyDescent="0.15"/>
    <row r="1048406" customFormat="1" x14ac:dyDescent="0.15"/>
    <row r="1048407" customFormat="1" x14ac:dyDescent="0.15"/>
    <row r="1048408" customFormat="1" x14ac:dyDescent="0.15"/>
    <row r="1048409" customFormat="1" x14ac:dyDescent="0.15"/>
    <row r="1048410" customFormat="1" x14ac:dyDescent="0.15"/>
    <row r="1048411" customFormat="1" x14ac:dyDescent="0.15"/>
    <row r="1048412" customFormat="1" x14ac:dyDescent="0.15"/>
    <row r="1048413" customFormat="1" x14ac:dyDescent="0.15"/>
    <row r="1048414" customFormat="1" x14ac:dyDescent="0.15"/>
    <row r="1048415" customFormat="1" x14ac:dyDescent="0.15"/>
    <row r="1048416" customFormat="1" x14ac:dyDescent="0.15"/>
    <row r="1048417" customFormat="1" x14ac:dyDescent="0.15"/>
    <row r="1048418" customFormat="1" x14ac:dyDescent="0.15"/>
    <row r="1048419" customFormat="1" x14ac:dyDescent="0.15"/>
    <row r="1048420" customFormat="1" x14ac:dyDescent="0.15"/>
    <row r="1048421" customFormat="1" x14ac:dyDescent="0.15"/>
    <row r="1048422" customFormat="1" x14ac:dyDescent="0.15"/>
    <row r="1048423" customFormat="1" x14ac:dyDescent="0.15"/>
    <row r="1048424" customFormat="1" x14ac:dyDescent="0.15"/>
    <row r="1048425" customFormat="1" x14ac:dyDescent="0.15"/>
    <row r="1048426" customFormat="1" x14ac:dyDescent="0.15"/>
    <row r="1048427" customFormat="1" x14ac:dyDescent="0.15"/>
    <row r="1048428" customFormat="1" x14ac:dyDescent="0.15"/>
    <row r="1048429" customFormat="1" x14ac:dyDescent="0.15"/>
    <row r="1048430" customFormat="1" x14ac:dyDescent="0.15"/>
    <row r="1048431" customFormat="1" x14ac:dyDescent="0.15"/>
    <row r="1048432" customFormat="1" x14ac:dyDescent="0.15"/>
    <row r="1048433" customFormat="1" x14ac:dyDescent="0.15"/>
    <row r="1048434" customFormat="1" x14ac:dyDescent="0.15"/>
    <row r="1048435" customFormat="1" x14ac:dyDescent="0.15"/>
    <row r="1048436" customFormat="1" x14ac:dyDescent="0.15"/>
    <row r="1048437" customFormat="1" x14ac:dyDescent="0.15"/>
    <row r="1048438" customFormat="1" x14ac:dyDescent="0.15"/>
    <row r="1048439" customFormat="1" x14ac:dyDescent="0.15"/>
    <row r="1048440" customFormat="1" x14ac:dyDescent="0.15"/>
    <row r="1048441" customFormat="1" x14ac:dyDescent="0.15"/>
    <row r="1048442" customFormat="1" x14ac:dyDescent="0.15"/>
    <row r="1048443" customFormat="1" x14ac:dyDescent="0.15"/>
    <row r="1048444" customFormat="1" x14ac:dyDescent="0.15"/>
    <row r="1048445" customFormat="1" x14ac:dyDescent="0.15"/>
    <row r="1048446" customFormat="1" x14ac:dyDescent="0.15"/>
    <row r="1048447" customFormat="1" x14ac:dyDescent="0.15"/>
    <row r="1048448" customFormat="1" x14ac:dyDescent="0.15"/>
    <row r="1048449" customFormat="1" x14ac:dyDescent="0.15"/>
    <row r="1048450" customFormat="1" x14ac:dyDescent="0.15"/>
    <row r="1048451" customFormat="1" x14ac:dyDescent="0.15"/>
    <row r="1048452" customFormat="1" x14ac:dyDescent="0.15"/>
    <row r="1048453" customFormat="1" x14ac:dyDescent="0.15"/>
    <row r="1048454" customFormat="1" x14ac:dyDescent="0.15"/>
    <row r="1048455" customFormat="1" x14ac:dyDescent="0.15"/>
    <row r="1048456" customFormat="1" x14ac:dyDescent="0.15"/>
    <row r="1048457" customFormat="1" x14ac:dyDescent="0.15"/>
    <row r="1048458" customFormat="1" x14ac:dyDescent="0.15"/>
    <row r="1048459" customFormat="1" x14ac:dyDescent="0.15"/>
    <row r="1048460" customFormat="1" x14ac:dyDescent="0.15"/>
    <row r="1048461" customFormat="1" x14ac:dyDescent="0.15"/>
    <row r="1048462" customFormat="1" x14ac:dyDescent="0.15"/>
    <row r="1048463" customFormat="1" x14ac:dyDescent="0.15"/>
    <row r="1048464" customFormat="1" x14ac:dyDescent="0.15"/>
    <row r="1048465" customFormat="1" x14ac:dyDescent="0.15"/>
    <row r="1048466" customFormat="1" x14ac:dyDescent="0.15"/>
    <row r="1048467" customFormat="1" x14ac:dyDescent="0.15"/>
    <row r="1048468" customFormat="1" x14ac:dyDescent="0.15"/>
    <row r="1048469" customFormat="1" x14ac:dyDescent="0.15"/>
    <row r="1048470" customFormat="1" x14ac:dyDescent="0.15"/>
    <row r="1048471" customFormat="1" x14ac:dyDescent="0.15"/>
    <row r="1048472" customFormat="1" x14ac:dyDescent="0.15"/>
    <row r="1048473" customFormat="1" x14ac:dyDescent="0.15"/>
    <row r="1048474" customFormat="1" x14ac:dyDescent="0.15"/>
    <row r="1048475" customFormat="1" x14ac:dyDescent="0.15"/>
    <row r="1048476" customFormat="1" x14ac:dyDescent="0.15"/>
    <row r="1048477" customFormat="1" x14ac:dyDescent="0.15"/>
    <row r="1048478" customFormat="1" x14ac:dyDescent="0.15"/>
    <row r="1048479" customFormat="1" x14ac:dyDescent="0.15"/>
    <row r="1048480" customFormat="1" x14ac:dyDescent="0.15"/>
    <row r="1048481" customFormat="1" x14ac:dyDescent="0.15"/>
    <row r="1048482" customFormat="1" x14ac:dyDescent="0.15"/>
    <row r="1048483" customFormat="1" x14ac:dyDescent="0.15"/>
    <row r="1048484" customFormat="1" x14ac:dyDescent="0.15"/>
    <row r="1048485" customFormat="1" x14ac:dyDescent="0.15"/>
    <row r="1048486" customFormat="1" x14ac:dyDescent="0.15"/>
    <row r="1048487" customFormat="1" x14ac:dyDescent="0.15"/>
    <row r="1048488" customFormat="1" x14ac:dyDescent="0.15"/>
    <row r="1048489" customFormat="1" x14ac:dyDescent="0.15"/>
    <row r="1048490" customFormat="1" x14ac:dyDescent="0.15"/>
    <row r="1048491" customFormat="1" x14ac:dyDescent="0.15"/>
    <row r="1048492" customFormat="1" x14ac:dyDescent="0.15"/>
    <row r="1048493" customFormat="1" x14ac:dyDescent="0.15"/>
    <row r="1048494" customFormat="1" x14ac:dyDescent="0.15"/>
    <row r="1048495" customFormat="1" x14ac:dyDescent="0.15"/>
    <row r="1048496" customFormat="1" x14ac:dyDescent="0.15"/>
    <row r="1048497" customFormat="1" x14ac:dyDescent="0.15"/>
    <row r="1048498" customFormat="1" x14ac:dyDescent="0.15"/>
    <row r="1048499" customFormat="1" x14ac:dyDescent="0.15"/>
    <row r="1048500" customFormat="1" x14ac:dyDescent="0.15"/>
    <row r="1048501" customFormat="1" x14ac:dyDescent="0.15"/>
    <row r="1048502" customFormat="1" x14ac:dyDescent="0.15"/>
    <row r="1048503" customFormat="1" x14ac:dyDescent="0.15"/>
    <row r="1048504" customFormat="1" x14ac:dyDescent="0.15"/>
    <row r="1048505" customFormat="1" x14ac:dyDescent="0.15"/>
    <row r="1048506" customFormat="1" x14ac:dyDescent="0.15"/>
    <row r="1048507" customFormat="1" x14ac:dyDescent="0.15"/>
    <row r="1048508" customFormat="1" x14ac:dyDescent="0.15"/>
    <row r="1048509" customFormat="1" x14ac:dyDescent="0.15"/>
    <row r="1048510" customFormat="1" x14ac:dyDescent="0.15"/>
    <row r="1048511" customFormat="1" x14ac:dyDescent="0.15"/>
    <row r="1048512" customFormat="1" x14ac:dyDescent="0.15"/>
    <row r="1048513" customFormat="1" x14ac:dyDescent="0.15"/>
    <row r="1048514" customFormat="1" x14ac:dyDescent="0.15"/>
    <row r="1048515" customFormat="1" x14ac:dyDescent="0.15"/>
    <row r="1048516" customFormat="1" x14ac:dyDescent="0.15"/>
    <row r="1048517" customFormat="1" x14ac:dyDescent="0.15"/>
    <row r="1048518" customFormat="1" x14ac:dyDescent="0.15"/>
    <row r="1048519" customFormat="1" x14ac:dyDescent="0.15"/>
    <row r="1048520" customFormat="1" x14ac:dyDescent="0.15"/>
    <row r="1048521" customFormat="1" x14ac:dyDescent="0.15"/>
    <row r="1048522" customFormat="1" x14ac:dyDescent="0.15"/>
    <row r="1048523" customFormat="1" x14ac:dyDescent="0.15"/>
    <row r="1048524" customFormat="1" x14ac:dyDescent="0.15"/>
    <row r="1048525" customFormat="1" x14ac:dyDescent="0.15"/>
    <row r="1048526" customFormat="1" x14ac:dyDescent="0.15"/>
    <row r="1048527" customFormat="1" x14ac:dyDescent="0.15"/>
    <row r="1048528" customFormat="1" x14ac:dyDescent="0.15"/>
    <row r="1048529" customFormat="1" x14ac:dyDescent="0.15"/>
    <row r="1048530" customFormat="1" x14ac:dyDescent="0.15"/>
    <row r="1048531" customFormat="1" x14ac:dyDescent="0.15"/>
    <row r="1048532" customFormat="1" x14ac:dyDescent="0.15"/>
    <row r="1048533" customFormat="1" x14ac:dyDescent="0.15"/>
    <row r="1048534" customFormat="1" x14ac:dyDescent="0.15"/>
    <row r="1048535" customFormat="1" x14ac:dyDescent="0.15"/>
    <row r="1048536" customFormat="1" x14ac:dyDescent="0.15"/>
    <row r="1048537" customFormat="1" x14ac:dyDescent="0.15"/>
    <row r="1048538" customFormat="1" x14ac:dyDescent="0.15"/>
    <row r="1048539" customFormat="1" x14ac:dyDescent="0.15"/>
    <row r="1048540" customFormat="1" x14ac:dyDescent="0.15"/>
    <row r="1048541" customFormat="1" x14ac:dyDescent="0.15"/>
    <row r="1048542" customFormat="1" x14ac:dyDescent="0.15"/>
    <row r="1048543" customFormat="1" x14ac:dyDescent="0.15"/>
    <row r="1048544" customFormat="1" x14ac:dyDescent="0.15"/>
    <row r="1048545" customFormat="1" x14ac:dyDescent="0.15"/>
    <row r="1048546" customFormat="1" x14ac:dyDescent="0.15"/>
    <row r="1048547" customFormat="1" x14ac:dyDescent="0.15"/>
    <row r="1048548" customFormat="1" x14ac:dyDescent="0.15"/>
    <row r="1048549" customFormat="1" x14ac:dyDescent="0.15"/>
    <row r="1048550" customFormat="1" x14ac:dyDescent="0.15"/>
    <row r="1048551" customFormat="1" x14ac:dyDescent="0.15"/>
    <row r="1048552" customFormat="1" x14ac:dyDescent="0.15"/>
    <row r="1048553" customFormat="1" x14ac:dyDescent="0.15"/>
    <row r="1048554" customFormat="1" x14ac:dyDescent="0.15"/>
    <row r="1048555" customFormat="1" x14ac:dyDescent="0.15"/>
    <row r="1048556" customFormat="1" x14ac:dyDescent="0.15"/>
    <row r="1048557" customFormat="1" x14ac:dyDescent="0.15"/>
    <row r="1048558" customFormat="1" x14ac:dyDescent="0.15"/>
    <row r="1048559" customFormat="1" x14ac:dyDescent="0.15"/>
    <row r="1048560" customFormat="1" x14ac:dyDescent="0.15"/>
    <row r="1048561" customFormat="1" x14ac:dyDescent="0.15"/>
    <row r="1048562" customFormat="1" x14ac:dyDescent="0.15"/>
    <row r="1048563" customFormat="1" x14ac:dyDescent="0.15"/>
    <row r="1048564" customFormat="1" x14ac:dyDescent="0.15"/>
    <row r="1048565" customFormat="1" x14ac:dyDescent="0.15"/>
    <row r="1048566" customFormat="1" x14ac:dyDescent="0.15"/>
    <row r="1048567" customFormat="1" x14ac:dyDescent="0.15"/>
    <row r="1048568" customFormat="1" x14ac:dyDescent="0.15"/>
    <row r="1048569" customFormat="1" x14ac:dyDescent="0.15"/>
    <row r="1048570" customFormat="1" x14ac:dyDescent="0.15"/>
    <row r="1048571" customFormat="1" x14ac:dyDescent="0.15"/>
    <row r="1048572" customFormat="1" x14ac:dyDescent="0.15"/>
    <row r="1048573" customFormat="1" x14ac:dyDescent="0.15"/>
    <row r="1048574" customFormat="1" x14ac:dyDescent="0.15"/>
    <row r="1048575" customFormat="1" x14ac:dyDescent="0.15"/>
  </sheetData>
  <autoFilter ref="A1:D120" xr:uid="{00000000-0009-0000-0000-000004000000}">
    <filterColumn colId="2">
      <filters>
        <filter val="2023"/>
      </filters>
    </filterColumn>
  </autoFilter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5"/>
  <sheetViews>
    <sheetView topLeftCell="A35" workbookViewId="0">
      <selection activeCell="H77" sqref="H77"/>
    </sheetView>
  </sheetViews>
  <sheetFormatPr defaultColWidth="9.25" defaultRowHeight="13.5" x14ac:dyDescent="0.15"/>
  <cols>
    <col min="47" max="51" width="12.875"/>
    <col min="52" max="52" width="9.75"/>
    <col min="53" max="55" width="12.875"/>
    <col min="56" max="56" width="11.75"/>
    <col min="57" max="57" width="12.875"/>
  </cols>
  <sheetData>
    <row r="1" spans="1:15" x14ac:dyDescent="0.15">
      <c r="J1" s="21"/>
      <c r="K1" s="21"/>
      <c r="L1" s="21"/>
      <c r="M1" s="21"/>
      <c r="O1" s="21"/>
    </row>
    <row r="2" spans="1:15" x14ac:dyDescent="0.15">
      <c r="A2" s="2" t="s">
        <v>328</v>
      </c>
      <c r="B2" s="2" t="s">
        <v>339</v>
      </c>
      <c r="C2" s="2" t="s">
        <v>340</v>
      </c>
    </row>
    <row r="3" spans="1:15" x14ac:dyDescent="0.15">
      <c r="A3" s="26">
        <v>1988</v>
      </c>
      <c r="B3" s="3">
        <v>1287</v>
      </c>
      <c r="C3" s="3"/>
    </row>
    <row r="4" spans="1:15" x14ac:dyDescent="0.15">
      <c r="A4" s="26">
        <v>1989</v>
      </c>
      <c r="B4" s="3">
        <v>1287</v>
      </c>
      <c r="C4" s="3"/>
    </row>
    <row r="5" spans="1:15" x14ac:dyDescent="0.15">
      <c r="A5" s="26">
        <v>1990</v>
      </c>
      <c r="B5" s="3">
        <v>1287</v>
      </c>
      <c r="C5" s="3"/>
    </row>
    <row r="6" spans="1:15" x14ac:dyDescent="0.15">
      <c r="A6" s="26">
        <v>1991</v>
      </c>
      <c r="B6" s="3">
        <v>1287</v>
      </c>
      <c r="C6" s="3"/>
    </row>
    <row r="7" spans="1:15" x14ac:dyDescent="0.15">
      <c r="A7" s="26">
        <v>1992</v>
      </c>
      <c r="B7" s="3">
        <v>1287</v>
      </c>
      <c r="C7" s="3"/>
    </row>
    <row r="8" spans="1:15" x14ac:dyDescent="0.15">
      <c r="A8" s="26">
        <v>1993</v>
      </c>
      <c r="B8" s="3">
        <v>1130.8</v>
      </c>
      <c r="C8" s="3"/>
    </row>
    <row r="9" spans="1:15" x14ac:dyDescent="0.15">
      <c r="A9" s="26">
        <v>1994</v>
      </c>
      <c r="B9" s="3">
        <v>1069.17</v>
      </c>
      <c r="C9" s="3"/>
    </row>
    <row r="10" spans="1:15" x14ac:dyDescent="0.15">
      <c r="A10" s="26">
        <v>1995</v>
      </c>
      <c r="B10" s="3">
        <v>1420.41</v>
      </c>
      <c r="C10" s="3"/>
    </row>
    <row r="11" spans="1:15" x14ac:dyDescent="0.15">
      <c r="A11" s="26">
        <v>1996</v>
      </c>
      <c r="B11" s="3">
        <v>1704.1</v>
      </c>
      <c r="C11" s="3"/>
    </row>
    <row r="12" spans="1:15" x14ac:dyDescent="0.15">
      <c r="A12" s="26">
        <v>1997</v>
      </c>
      <c r="B12" s="3">
        <v>1355.41</v>
      </c>
      <c r="C12" s="3"/>
    </row>
    <row r="13" spans="1:15" x14ac:dyDescent="0.15">
      <c r="A13" s="26">
        <v>1998</v>
      </c>
      <c r="B13" s="3">
        <v>1760.27</v>
      </c>
      <c r="C13" s="3"/>
    </row>
    <row r="14" spans="1:15" x14ac:dyDescent="0.15">
      <c r="A14" s="26">
        <v>1999</v>
      </c>
      <c r="B14" s="3">
        <v>1420.82</v>
      </c>
      <c r="C14" s="3"/>
    </row>
    <row r="15" spans="1:15" x14ac:dyDescent="0.15">
      <c r="A15" s="26">
        <v>2000</v>
      </c>
      <c r="B15" s="3">
        <v>1501.61</v>
      </c>
      <c r="C15" s="3"/>
    </row>
    <row r="16" spans="1:15" x14ac:dyDescent="0.15">
      <c r="A16" s="26">
        <v>2001</v>
      </c>
      <c r="B16" s="3">
        <v>1592.37</v>
      </c>
      <c r="C16" s="3"/>
    </row>
    <row r="17" spans="1:3" x14ac:dyDescent="0.15">
      <c r="A17" s="26">
        <v>2002</v>
      </c>
      <c r="B17" s="3">
        <v>3707</v>
      </c>
      <c r="C17" s="3"/>
    </row>
    <row r="18" spans="1:3" x14ac:dyDescent="0.15">
      <c r="A18" s="26">
        <v>2003</v>
      </c>
      <c r="B18" s="3">
        <v>2089</v>
      </c>
      <c r="C18" s="3"/>
    </row>
    <row r="19" spans="1:3" x14ac:dyDescent="0.15">
      <c r="A19" s="26">
        <v>2004</v>
      </c>
      <c r="B19" s="3">
        <v>2590</v>
      </c>
      <c r="C19" s="3"/>
    </row>
    <row r="20" spans="1:3" x14ac:dyDescent="0.15">
      <c r="A20" s="26">
        <v>2005</v>
      </c>
      <c r="B20" s="3">
        <v>4915</v>
      </c>
      <c r="C20" s="3"/>
    </row>
    <row r="21" spans="1:3" x14ac:dyDescent="0.15">
      <c r="A21" s="26">
        <v>2006</v>
      </c>
      <c r="B21" s="3">
        <v>8766.91</v>
      </c>
      <c r="C21" s="3"/>
    </row>
    <row r="22" spans="1:3" x14ac:dyDescent="0.15">
      <c r="A22" s="26">
        <v>2007</v>
      </c>
      <c r="B22" s="3">
        <v>6450</v>
      </c>
      <c r="C22" s="3"/>
    </row>
    <row r="23" spans="1:3" x14ac:dyDescent="0.15">
      <c r="A23" s="2">
        <v>2008</v>
      </c>
      <c r="B23" s="3">
        <v>6040</v>
      </c>
      <c r="C23" s="3"/>
    </row>
    <row r="24" spans="1:3" x14ac:dyDescent="0.15">
      <c r="A24" s="2">
        <v>2009</v>
      </c>
      <c r="B24" s="3">
        <v>6341.71</v>
      </c>
      <c r="C24" s="3"/>
    </row>
    <row r="25" spans="1:3" x14ac:dyDescent="0.15">
      <c r="A25" s="2">
        <v>2010</v>
      </c>
      <c r="B25" s="3">
        <v>5555.98</v>
      </c>
      <c r="C25" s="3"/>
    </row>
    <row r="26" spans="1:3" x14ac:dyDescent="0.15">
      <c r="A26" s="2">
        <v>2011</v>
      </c>
      <c r="B26" s="3">
        <v>5653.6</v>
      </c>
      <c r="C26" s="3"/>
    </row>
    <row r="27" spans="1:3" x14ac:dyDescent="0.15">
      <c r="A27" s="2">
        <v>2012</v>
      </c>
      <c r="B27" s="3">
        <v>4788</v>
      </c>
      <c r="C27" s="3"/>
    </row>
    <row r="28" spans="1:3" x14ac:dyDescent="0.15">
      <c r="A28" s="2">
        <v>2013</v>
      </c>
      <c r="B28" s="3">
        <v>3447</v>
      </c>
      <c r="C28" s="3"/>
    </row>
    <row r="29" spans="1:3" x14ac:dyDescent="0.15">
      <c r="A29" s="2">
        <v>2014</v>
      </c>
      <c r="B29" s="3">
        <v>3498</v>
      </c>
      <c r="C29" s="3"/>
    </row>
    <row r="30" spans="1:3" x14ac:dyDescent="0.15">
      <c r="A30" s="2">
        <v>2015</v>
      </c>
      <c r="B30" s="3">
        <v>5402</v>
      </c>
      <c r="C30" s="3" t="str" cm="1">
        <f t="array" ref="C30:C36">TRANSPOSE(火电关停!B2:H2)</f>
        <v>1090. 7</v>
      </c>
    </row>
    <row r="31" spans="1:3" x14ac:dyDescent="0.15">
      <c r="A31" s="2">
        <v>2016</v>
      </c>
      <c r="B31" s="3">
        <v>3834</v>
      </c>
      <c r="C31" s="3">
        <v>571</v>
      </c>
    </row>
    <row r="32" spans="1:3" x14ac:dyDescent="0.15">
      <c r="A32" s="2">
        <v>2017</v>
      </c>
      <c r="B32" s="3">
        <v>3504</v>
      </c>
      <c r="C32" s="3">
        <v>929</v>
      </c>
    </row>
    <row r="33" spans="1:3" x14ac:dyDescent="0.15">
      <c r="A33" s="2">
        <v>2018</v>
      </c>
      <c r="B33" s="3">
        <v>3056</v>
      </c>
      <c r="C33" s="3">
        <v>1197</v>
      </c>
    </row>
    <row r="34" spans="1:3" x14ac:dyDescent="0.15">
      <c r="A34" s="2">
        <v>2019</v>
      </c>
      <c r="B34" s="3">
        <v>3096</v>
      </c>
      <c r="C34" s="3">
        <v>1024</v>
      </c>
    </row>
    <row r="35" spans="1:3" x14ac:dyDescent="0.15">
      <c r="A35" s="2">
        <v>2020</v>
      </c>
      <c r="B35" s="3">
        <v>3861</v>
      </c>
      <c r="C35" s="3">
        <v>1469</v>
      </c>
    </row>
    <row r="36" spans="1:3" x14ac:dyDescent="0.15">
      <c r="A36" s="2">
        <v>2021</v>
      </c>
      <c r="B36" s="3">
        <v>2937</v>
      </c>
      <c r="C36" s="3">
        <v>499</v>
      </c>
    </row>
    <row r="37" spans="1:3" x14ac:dyDescent="0.15">
      <c r="A37" s="2">
        <v>2022</v>
      </c>
      <c r="B37" s="3">
        <v>2658.7015590200399</v>
      </c>
      <c r="C37" s="3">
        <f>AVERAGE(C36,C38)</f>
        <v>893</v>
      </c>
    </row>
    <row r="38" spans="1:3" x14ac:dyDescent="0.15">
      <c r="A38" s="2">
        <v>2023</v>
      </c>
      <c r="B38" s="3">
        <v>2314.9047014529401</v>
      </c>
      <c r="C38" s="3">
        <f>B3</f>
        <v>1287</v>
      </c>
    </row>
    <row r="39" spans="1:3" x14ac:dyDescent="0.15">
      <c r="A39" s="2">
        <v>2024</v>
      </c>
      <c r="B39" s="3">
        <v>2073.6595261427601</v>
      </c>
      <c r="C39" s="3">
        <f t="shared" ref="C39:C75" si="0">B4</f>
        <v>1287</v>
      </c>
    </row>
    <row r="40" spans="1:3" x14ac:dyDescent="0.15">
      <c r="A40" s="2">
        <v>2025</v>
      </c>
      <c r="B40" s="3">
        <v>1832.4143508325201</v>
      </c>
      <c r="C40" s="3">
        <f t="shared" si="0"/>
        <v>1287</v>
      </c>
    </row>
    <row r="41" spans="1:3" x14ac:dyDescent="0.15">
      <c r="A41" s="2">
        <v>2026</v>
      </c>
      <c r="B41" s="3">
        <v>1591.1691755222901</v>
      </c>
      <c r="C41" s="3">
        <f t="shared" si="0"/>
        <v>1287</v>
      </c>
    </row>
    <row r="42" spans="1:3" x14ac:dyDescent="0.15">
      <c r="A42" s="2">
        <v>2027</v>
      </c>
      <c r="B42" s="3">
        <v>1349.9240002121101</v>
      </c>
      <c r="C42" s="3">
        <f t="shared" si="0"/>
        <v>1287</v>
      </c>
    </row>
    <row r="43" spans="1:3" x14ac:dyDescent="0.15">
      <c r="A43" s="2">
        <v>2028</v>
      </c>
      <c r="B43" s="3">
        <v>1108.67882490187</v>
      </c>
      <c r="C43" s="3">
        <f t="shared" si="0"/>
        <v>1130.8</v>
      </c>
    </row>
    <row r="44" spans="1:3" x14ac:dyDescent="0.15">
      <c r="A44" s="2">
        <v>2029</v>
      </c>
      <c r="B44" s="3">
        <v>867.43364959169401</v>
      </c>
      <c r="C44" s="3">
        <f t="shared" si="0"/>
        <v>1069.17</v>
      </c>
    </row>
    <row r="45" spans="1:3" x14ac:dyDescent="0.15">
      <c r="A45" s="2">
        <v>2030</v>
      </c>
      <c r="B45" s="3">
        <v>626.18847428145796</v>
      </c>
      <c r="C45" s="3">
        <f t="shared" si="0"/>
        <v>1420.41</v>
      </c>
    </row>
    <row r="46" spans="1:3" x14ac:dyDescent="0.15">
      <c r="A46" s="2">
        <v>2031</v>
      </c>
      <c r="B46" s="3">
        <v>384.94329897122202</v>
      </c>
      <c r="C46" s="3">
        <f t="shared" si="0"/>
        <v>1704.1</v>
      </c>
    </row>
    <row r="47" spans="1:3" x14ac:dyDescent="0.15">
      <c r="A47" s="2">
        <v>2032</v>
      </c>
      <c r="B47" s="3">
        <v>143.698123661045</v>
      </c>
      <c r="C47" s="3">
        <f t="shared" si="0"/>
        <v>1355.41</v>
      </c>
    </row>
    <row r="48" spans="1:3" x14ac:dyDescent="0.15">
      <c r="A48" s="2">
        <v>2033</v>
      </c>
      <c r="B48" s="3">
        <v>0</v>
      </c>
      <c r="C48" s="3">
        <f t="shared" si="0"/>
        <v>1760.27</v>
      </c>
    </row>
    <row r="49" spans="1:3" x14ac:dyDescent="0.15">
      <c r="A49" s="2">
        <v>2034</v>
      </c>
      <c r="B49" s="3">
        <v>0</v>
      </c>
      <c r="C49" s="3">
        <f t="shared" si="0"/>
        <v>1420.82</v>
      </c>
    </row>
    <row r="50" spans="1:3" x14ac:dyDescent="0.15">
      <c r="A50" s="2">
        <v>2035</v>
      </c>
      <c r="B50" s="3">
        <v>0</v>
      </c>
      <c r="C50" s="3">
        <f t="shared" si="0"/>
        <v>1501.61</v>
      </c>
    </row>
    <row r="51" spans="1:3" x14ac:dyDescent="0.15">
      <c r="A51" s="2">
        <v>2036</v>
      </c>
      <c r="B51" s="3">
        <v>0</v>
      </c>
      <c r="C51" s="3">
        <f t="shared" si="0"/>
        <v>1592.37</v>
      </c>
    </row>
    <row r="52" spans="1:3" x14ac:dyDescent="0.15">
      <c r="A52" s="2">
        <v>2037</v>
      </c>
      <c r="B52" s="3">
        <v>0</v>
      </c>
      <c r="C52" s="3">
        <f t="shared" si="0"/>
        <v>3707</v>
      </c>
    </row>
    <row r="53" spans="1:3" x14ac:dyDescent="0.15">
      <c r="A53" s="2">
        <v>2038</v>
      </c>
      <c r="B53" s="3">
        <v>0</v>
      </c>
      <c r="C53" s="3">
        <f t="shared" si="0"/>
        <v>2089</v>
      </c>
    </row>
    <row r="54" spans="1:3" x14ac:dyDescent="0.15">
      <c r="A54" s="2">
        <v>2039</v>
      </c>
      <c r="B54" s="3">
        <v>0</v>
      </c>
      <c r="C54" s="3">
        <f t="shared" si="0"/>
        <v>2590</v>
      </c>
    </row>
    <row r="55" spans="1:3" x14ac:dyDescent="0.15">
      <c r="A55" s="2">
        <v>2040</v>
      </c>
      <c r="B55" s="3">
        <v>0</v>
      </c>
      <c r="C55" s="3">
        <f t="shared" si="0"/>
        <v>4915</v>
      </c>
    </row>
    <row r="56" spans="1:3" x14ac:dyDescent="0.15">
      <c r="A56" s="2">
        <v>2041</v>
      </c>
      <c r="B56" s="3">
        <v>0</v>
      </c>
      <c r="C56" s="3">
        <f t="shared" si="0"/>
        <v>8766.91</v>
      </c>
    </row>
    <row r="57" spans="1:3" x14ac:dyDescent="0.15">
      <c r="A57" s="2">
        <v>2042</v>
      </c>
      <c r="B57" s="3">
        <v>0</v>
      </c>
      <c r="C57" s="3">
        <f t="shared" si="0"/>
        <v>6450</v>
      </c>
    </row>
    <row r="58" spans="1:3" x14ac:dyDescent="0.15">
      <c r="A58" s="2">
        <v>2043</v>
      </c>
      <c r="B58" s="3">
        <v>0</v>
      </c>
      <c r="C58" s="3">
        <f t="shared" si="0"/>
        <v>6040</v>
      </c>
    </row>
    <row r="59" spans="1:3" x14ac:dyDescent="0.15">
      <c r="A59" s="2">
        <v>2044</v>
      </c>
      <c r="B59" s="3">
        <v>0</v>
      </c>
      <c r="C59" s="3">
        <f t="shared" si="0"/>
        <v>6341.71</v>
      </c>
    </row>
    <row r="60" spans="1:3" x14ac:dyDescent="0.15">
      <c r="A60" s="2">
        <v>2045</v>
      </c>
      <c r="B60" s="3">
        <v>0</v>
      </c>
      <c r="C60" s="3">
        <f t="shared" si="0"/>
        <v>5555.98</v>
      </c>
    </row>
    <row r="61" spans="1:3" x14ac:dyDescent="0.15">
      <c r="A61" s="2">
        <v>2046</v>
      </c>
      <c r="B61" s="3">
        <v>0</v>
      </c>
      <c r="C61" s="3">
        <f t="shared" si="0"/>
        <v>5653.6</v>
      </c>
    </row>
    <row r="62" spans="1:3" x14ac:dyDescent="0.15">
      <c r="A62" s="2">
        <v>2047</v>
      </c>
      <c r="B62" s="3">
        <v>0</v>
      </c>
      <c r="C62" s="3">
        <f t="shared" si="0"/>
        <v>4788</v>
      </c>
    </row>
    <row r="63" spans="1:3" x14ac:dyDescent="0.15">
      <c r="A63" s="2">
        <v>2048</v>
      </c>
      <c r="B63" s="3">
        <v>0</v>
      </c>
      <c r="C63" s="3">
        <f t="shared" si="0"/>
        <v>3447</v>
      </c>
    </row>
    <row r="64" spans="1:3" x14ac:dyDescent="0.15">
      <c r="A64" s="2">
        <v>2049</v>
      </c>
      <c r="B64" s="3">
        <v>0</v>
      </c>
      <c r="C64" s="3">
        <f t="shared" si="0"/>
        <v>3498</v>
      </c>
    </row>
    <row r="65" spans="1:3" x14ac:dyDescent="0.15">
      <c r="A65" s="2">
        <v>2050</v>
      </c>
      <c r="B65" s="3">
        <v>0</v>
      </c>
      <c r="C65" s="3">
        <f t="shared" si="0"/>
        <v>5402</v>
      </c>
    </row>
    <row r="66" spans="1:3" x14ac:dyDescent="0.15">
      <c r="A66" s="2">
        <v>2051</v>
      </c>
      <c r="B66" s="3">
        <v>0</v>
      </c>
      <c r="C66" s="3">
        <f t="shared" si="0"/>
        <v>3834</v>
      </c>
    </row>
    <row r="67" spans="1:3" x14ac:dyDescent="0.15">
      <c r="A67" s="2">
        <v>2052</v>
      </c>
      <c r="B67" s="3">
        <v>0</v>
      </c>
      <c r="C67" s="3">
        <f t="shared" si="0"/>
        <v>3504</v>
      </c>
    </row>
    <row r="68" spans="1:3" x14ac:dyDescent="0.15">
      <c r="A68" s="2">
        <v>2053</v>
      </c>
      <c r="B68" s="3">
        <v>0</v>
      </c>
      <c r="C68" s="3">
        <f t="shared" si="0"/>
        <v>3056</v>
      </c>
    </row>
    <row r="69" spans="1:3" x14ac:dyDescent="0.15">
      <c r="A69" s="2">
        <v>2054</v>
      </c>
      <c r="B69" s="3">
        <v>0</v>
      </c>
      <c r="C69" s="3">
        <f t="shared" si="0"/>
        <v>3096</v>
      </c>
    </row>
    <row r="70" spans="1:3" x14ac:dyDescent="0.15">
      <c r="A70" s="2">
        <v>2055</v>
      </c>
      <c r="B70" s="3">
        <v>0</v>
      </c>
      <c r="C70" s="3">
        <f t="shared" si="0"/>
        <v>3861</v>
      </c>
    </row>
    <row r="71" spans="1:3" x14ac:dyDescent="0.15">
      <c r="A71" s="2">
        <v>2056</v>
      </c>
      <c r="B71" s="3">
        <v>0</v>
      </c>
      <c r="C71" s="3">
        <f t="shared" si="0"/>
        <v>2937</v>
      </c>
    </row>
    <row r="72" spans="1:3" x14ac:dyDescent="0.15">
      <c r="A72" s="2">
        <v>2057</v>
      </c>
      <c r="B72" s="3">
        <v>0</v>
      </c>
      <c r="C72" s="3">
        <f t="shared" si="0"/>
        <v>2658.7015590200399</v>
      </c>
    </row>
    <row r="73" spans="1:3" x14ac:dyDescent="0.15">
      <c r="A73" s="2">
        <v>2058</v>
      </c>
      <c r="B73" s="3">
        <v>0</v>
      </c>
      <c r="C73" s="3">
        <f t="shared" si="0"/>
        <v>2314.9047014529401</v>
      </c>
    </row>
    <row r="74" spans="1:3" x14ac:dyDescent="0.15">
      <c r="A74" s="2">
        <v>2059</v>
      </c>
      <c r="B74" s="3">
        <v>0</v>
      </c>
      <c r="C74" s="3">
        <f t="shared" si="0"/>
        <v>2073.6595261427601</v>
      </c>
    </row>
    <row r="75" spans="1:3" x14ac:dyDescent="0.15">
      <c r="A75" s="2">
        <v>2060</v>
      </c>
      <c r="B75" s="3">
        <v>0</v>
      </c>
      <c r="C75" s="3">
        <f t="shared" si="0"/>
        <v>1832.4143508325201</v>
      </c>
    </row>
  </sheetData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F0C9-96AD-4C47-B955-6EEBEB3BC39C}">
  <dimension ref="A1:AP17"/>
  <sheetViews>
    <sheetView workbookViewId="0">
      <selection activeCell="H3" sqref="H3"/>
    </sheetView>
  </sheetViews>
  <sheetFormatPr defaultRowHeight="13.5" x14ac:dyDescent="0.15"/>
  <cols>
    <col min="1" max="1" width="32.75" style="14" bestFit="1" customWidth="1"/>
    <col min="2" max="16384" width="9" style="14"/>
  </cols>
  <sheetData>
    <row r="1" spans="1:42" x14ac:dyDescent="0.15">
      <c r="A1" s="14" t="s">
        <v>308</v>
      </c>
      <c r="B1" s="14">
        <v>2020</v>
      </c>
      <c r="C1" s="14">
        <v>2021</v>
      </c>
      <c r="D1" s="14">
        <v>2022</v>
      </c>
      <c r="E1" s="14">
        <v>2023</v>
      </c>
      <c r="F1" s="14">
        <v>2024</v>
      </c>
      <c r="G1" s="14">
        <v>2025</v>
      </c>
      <c r="H1" s="14">
        <v>2026</v>
      </c>
      <c r="I1" s="14">
        <v>2027</v>
      </c>
      <c r="J1" s="14">
        <v>2028</v>
      </c>
      <c r="K1" s="14">
        <v>2029</v>
      </c>
      <c r="L1" s="14">
        <v>2030</v>
      </c>
      <c r="M1" s="14">
        <v>2031</v>
      </c>
      <c r="N1" s="14">
        <v>2032</v>
      </c>
      <c r="O1" s="14">
        <v>2033</v>
      </c>
      <c r="P1" s="14">
        <v>2034</v>
      </c>
      <c r="Q1" s="14">
        <v>2035</v>
      </c>
      <c r="R1" s="14">
        <v>2036</v>
      </c>
      <c r="S1" s="14">
        <v>2037</v>
      </c>
      <c r="T1" s="14">
        <v>2038</v>
      </c>
      <c r="U1" s="14">
        <v>2039</v>
      </c>
      <c r="V1" s="14">
        <v>2040</v>
      </c>
      <c r="W1" s="14">
        <v>2041</v>
      </c>
      <c r="X1" s="14">
        <v>2042</v>
      </c>
      <c r="Y1" s="14">
        <v>2043</v>
      </c>
      <c r="Z1" s="14">
        <v>2044</v>
      </c>
      <c r="AA1" s="14">
        <v>2045</v>
      </c>
      <c r="AB1" s="14">
        <v>2046</v>
      </c>
      <c r="AC1" s="14">
        <v>2047</v>
      </c>
      <c r="AD1" s="14">
        <v>2048</v>
      </c>
      <c r="AE1" s="14">
        <v>2049</v>
      </c>
      <c r="AF1" s="14">
        <v>2050</v>
      </c>
      <c r="AG1" s="14">
        <v>2051</v>
      </c>
      <c r="AH1" s="14">
        <v>2052</v>
      </c>
      <c r="AI1" s="14">
        <v>2053</v>
      </c>
      <c r="AJ1" s="14">
        <v>2054</v>
      </c>
      <c r="AK1" s="14">
        <v>2055</v>
      </c>
      <c r="AL1" s="14">
        <v>2056</v>
      </c>
      <c r="AM1" s="14">
        <v>2057</v>
      </c>
      <c r="AN1" s="14">
        <v>2058</v>
      </c>
      <c r="AO1" s="14">
        <v>2059</v>
      </c>
      <c r="AP1" s="14">
        <v>2060</v>
      </c>
    </row>
    <row r="2" spans="1:42" x14ac:dyDescent="0.15">
      <c r="A2" s="14" t="s">
        <v>309</v>
      </c>
      <c r="B2" s="14">
        <f>VLOOKUP(B$1,'燃煤新增+退役'!$A$3:$C$75,3,FALSE)*10</f>
        <v>14690</v>
      </c>
      <c r="C2" s="14">
        <f>VLOOKUP(C$1,'燃煤新增+退役'!$A$3:$C$75,3,FALSE)*10</f>
        <v>4990</v>
      </c>
      <c r="D2" s="14">
        <f>VLOOKUP(D$1,'燃煤新增+退役'!$A$3:$C$75,3,FALSE)*10</f>
        <v>8930</v>
      </c>
      <c r="E2" s="14">
        <f>VLOOKUP(E$1,'燃煤新增+退役'!$A$3:$C$75,3,FALSE)*10</f>
        <v>12870</v>
      </c>
      <c r="F2" s="14">
        <f>VLOOKUP(F$1,'燃煤新增+退役'!$A$3:$C$75,3,FALSE)*10</f>
        <v>12870</v>
      </c>
      <c r="G2" s="14">
        <f>VLOOKUP(G$1,'燃煤新增+退役'!$A$3:$C$75,3,FALSE)*10</f>
        <v>12870</v>
      </c>
      <c r="H2" s="14">
        <f>VLOOKUP(H$1,'燃煤新增+退役'!$A$3:$C$75,3,FALSE)*10</f>
        <v>12870</v>
      </c>
      <c r="I2" s="14">
        <f>VLOOKUP(I$1,'燃煤新增+退役'!$A$3:$C$75,3,FALSE)*10</f>
        <v>12870</v>
      </c>
      <c r="J2" s="14">
        <f>VLOOKUP(J$1,'燃煤新增+退役'!$A$3:$C$75,3,FALSE)*10</f>
        <v>11308</v>
      </c>
      <c r="K2" s="14">
        <f>VLOOKUP(K$1,'燃煤新增+退役'!$A$3:$C$75,3,FALSE)*10</f>
        <v>10691.7</v>
      </c>
      <c r="L2" s="14">
        <f>VLOOKUP(L$1,'燃煤新增+退役'!$A$3:$C$75,3,FALSE)*10</f>
        <v>14204.1</v>
      </c>
      <c r="M2" s="14">
        <f>VLOOKUP(M$1,'燃煤新增+退役'!$A$3:$C$75,3,FALSE)*10</f>
        <v>17041</v>
      </c>
      <c r="N2" s="14">
        <f>VLOOKUP(N$1,'燃煤新增+退役'!$A$3:$C$75,3,FALSE)*10</f>
        <v>13554.1</v>
      </c>
      <c r="O2" s="14">
        <f>VLOOKUP(O$1,'燃煤新增+退役'!$A$3:$C$75,3,FALSE)*10</f>
        <v>17602.7</v>
      </c>
      <c r="P2" s="14">
        <f>VLOOKUP(P$1,'燃煤新增+退役'!$A$3:$C$75,3,FALSE)*10</f>
        <v>14208.199999999999</v>
      </c>
      <c r="Q2" s="14">
        <f>VLOOKUP(Q$1,'燃煤新增+退役'!$A$3:$C$75,3,FALSE)*10</f>
        <v>15016.099999999999</v>
      </c>
      <c r="R2" s="14">
        <f>VLOOKUP(R$1,'燃煤新增+退役'!$A$3:$C$75,3,FALSE)*10</f>
        <v>15923.699999999999</v>
      </c>
      <c r="S2" s="14">
        <f>VLOOKUP(S$1,'燃煤新增+退役'!$A$3:$C$75,3,FALSE)*10</f>
        <v>37070</v>
      </c>
      <c r="T2" s="14">
        <f>VLOOKUP(T$1,'燃煤新增+退役'!$A$3:$C$75,3,FALSE)*10</f>
        <v>20890</v>
      </c>
      <c r="U2" s="14">
        <f>VLOOKUP(U$1,'燃煤新增+退役'!$A$3:$C$75,3,FALSE)*10</f>
        <v>25900</v>
      </c>
      <c r="V2" s="14">
        <f>VLOOKUP(V$1,'燃煤新增+退役'!$A$3:$C$75,3,FALSE)*10</f>
        <v>49150</v>
      </c>
      <c r="W2" s="14">
        <f>VLOOKUP(W$1,'燃煤新增+退役'!$A$3:$C$75,3,FALSE)*10</f>
        <v>87669.1</v>
      </c>
      <c r="X2" s="14">
        <f>VLOOKUP(X$1,'燃煤新增+退役'!$A$3:$C$75,3,FALSE)*10</f>
        <v>64500</v>
      </c>
      <c r="Y2" s="14">
        <f>VLOOKUP(Y$1,'燃煤新增+退役'!$A$3:$C$75,3,FALSE)*10</f>
        <v>60400</v>
      </c>
      <c r="Z2" s="14">
        <f>VLOOKUP(Z$1,'燃煤新增+退役'!$A$3:$C$75,3,FALSE)*10</f>
        <v>63417.1</v>
      </c>
      <c r="AA2" s="14">
        <f>VLOOKUP(AA$1,'燃煤新增+退役'!$A$3:$C$75,3,FALSE)*10</f>
        <v>55559.799999999996</v>
      </c>
      <c r="AB2" s="14">
        <f>VLOOKUP(AB$1,'燃煤新增+退役'!$A$3:$C$75,3,FALSE)*10</f>
        <v>56536</v>
      </c>
      <c r="AC2" s="14">
        <f>VLOOKUP(AC$1,'燃煤新增+退役'!$A$3:$C$75,3,FALSE)*10</f>
        <v>47880</v>
      </c>
      <c r="AD2" s="14">
        <f>VLOOKUP(AD$1,'燃煤新增+退役'!$A$3:$C$75,3,FALSE)*10</f>
        <v>34470</v>
      </c>
      <c r="AE2" s="14">
        <f>VLOOKUP(AE$1,'燃煤新增+退役'!$A$3:$C$75,3,FALSE)*10</f>
        <v>34980</v>
      </c>
      <c r="AF2" s="14">
        <f>VLOOKUP(AF$1,'燃煤新增+退役'!$A$3:$C$75,3,FALSE)*10</f>
        <v>54020</v>
      </c>
      <c r="AG2" s="14">
        <f>VLOOKUP(AG$1,'燃煤新增+退役'!$A$3:$C$75,3,FALSE)*10</f>
        <v>38340</v>
      </c>
      <c r="AH2" s="14">
        <f>VLOOKUP(AH$1,'燃煤新增+退役'!$A$3:$C$75,3,FALSE)*10</f>
        <v>35040</v>
      </c>
      <c r="AI2" s="14">
        <f>VLOOKUP(AI$1,'燃煤新增+退役'!$A$3:$C$75,3,FALSE)*10</f>
        <v>30560</v>
      </c>
      <c r="AJ2" s="14">
        <f>VLOOKUP(AJ$1,'燃煤新增+退役'!$A$3:$C$75,3,FALSE)*10</f>
        <v>30960</v>
      </c>
      <c r="AK2" s="14">
        <f>VLOOKUP(AK$1,'燃煤新增+退役'!$A$3:$C$75,3,FALSE)*10</f>
        <v>38610</v>
      </c>
      <c r="AL2" s="14">
        <f>VLOOKUP(AL$1,'燃煤新增+退役'!$A$3:$C$75,3,FALSE)*10</f>
        <v>29370</v>
      </c>
      <c r="AM2" s="14">
        <f>VLOOKUP(AM$1,'燃煤新增+退役'!$A$3:$C$75,3,FALSE)*10</f>
        <v>26587.015590200397</v>
      </c>
      <c r="AN2" s="14">
        <f>VLOOKUP(AN$1,'燃煤新增+退役'!$A$3:$C$75,3,FALSE)*10</f>
        <v>23149.047014529402</v>
      </c>
      <c r="AO2" s="14">
        <f>VLOOKUP(AO$1,'燃煤新增+退役'!$A$3:$C$75,3,FALSE)*10</f>
        <v>20736.595261427603</v>
      </c>
      <c r="AP2" s="14">
        <f>VLOOKUP(AP$1,'燃煤新增+退役'!$A$3:$C$75,3,FALSE)*10</f>
        <v>18324.1435083252</v>
      </c>
    </row>
    <row r="3" spans="1:42" x14ac:dyDescent="0.15">
      <c r="A3" s="14" t="s">
        <v>310</v>
      </c>
      <c r="B3" s="14">
        <f>IFERROR(VLOOKUP(B$1,'天然气新增+退役'!$C$21:$G$57,5,FALSE),0)*'天然气新增+退役'!$I$23</f>
        <v>0</v>
      </c>
      <c r="C3" s="14">
        <f>IFERROR(VLOOKUP(C$1,'天然气新增+退役'!$C$21:$G$57,5,FALSE),0)*'天然气新增+退役'!$I$23</f>
        <v>0</v>
      </c>
      <c r="D3" s="14">
        <f>IFERROR(VLOOKUP(D$1,'天然气新增+退役'!$C$21:$G$57,5,FALSE),0)*'天然气新增+退役'!$I$23</f>
        <v>0</v>
      </c>
      <c r="E3" s="14">
        <f>IFERROR(VLOOKUP(E$1,'天然气新增+退役'!$C$21:$G$57,5,FALSE),0)*'天然气新增+退役'!$I$23</f>
        <v>0</v>
      </c>
      <c r="F3" s="14">
        <f>IFERROR(VLOOKUP(F$1,'天然气新增+退役'!$C$21:$G$57,5,FALSE),0)*'天然气新增+退役'!$I$23</f>
        <v>0</v>
      </c>
      <c r="G3" s="14">
        <f>IFERROR(VLOOKUP(G$1,'天然气新增+退役'!$C$21:$G$57,5,FALSE),0)*'天然气新增+退役'!$I$23</f>
        <v>0</v>
      </c>
      <c r="H3" s="14">
        <f>IFERROR(VLOOKUP(H$1,'天然气新增+退役'!$C$21:$G$57,5,FALSE),0)*'天然气新增+退役'!$I$23</f>
        <v>13.8</v>
      </c>
      <c r="I3" s="14">
        <f>IFERROR(VLOOKUP(I$1,'天然气新增+退役'!$C$21:$G$57,5,FALSE),0)*'天然气新增+退役'!$I$23</f>
        <v>0</v>
      </c>
      <c r="J3" s="14">
        <f>IFERROR(VLOOKUP(J$1,'天然气新增+退役'!$C$21:$G$57,5,FALSE),0)*'天然气新增+退役'!$I$23</f>
        <v>0</v>
      </c>
      <c r="K3" s="14">
        <f>IFERROR(VLOOKUP(K$1,'天然气新增+退役'!$C$21:$G$57,5,FALSE),0)*'天然气新增+退役'!$I$23</f>
        <v>13.200000000000001</v>
      </c>
      <c r="L3" s="14">
        <f>IFERROR(VLOOKUP(L$1,'天然气新增+退役'!$C$21:$G$57,5,FALSE),0)*'天然气新增+退役'!$I$23</f>
        <v>13.200000000000001</v>
      </c>
      <c r="M3" s="14">
        <f>IFERROR(VLOOKUP(M$1,'天然气新增+退役'!$C$21:$G$57,5,FALSE),0)*'天然气新增+退役'!$I$23</f>
        <v>10.200000000000001</v>
      </c>
      <c r="N3" s="14">
        <f>IFERROR(VLOOKUP(N$1,'天然气新增+退役'!$C$21:$G$57,5,FALSE),0)*'天然气新增+退役'!$I$23</f>
        <v>38.800000000000004</v>
      </c>
      <c r="O3" s="14">
        <f>IFERROR(VLOOKUP(O$1,'天然气新增+退役'!$C$21:$G$57,5,FALSE),0)*'天然气新增+退役'!$I$23</f>
        <v>25</v>
      </c>
      <c r="P3" s="14">
        <f>IFERROR(VLOOKUP(P$1,'天然气新增+退役'!$C$21:$G$57,5,FALSE),0)*'天然气新增+退役'!$I$23</f>
        <v>306.2</v>
      </c>
      <c r="Q3" s="14">
        <f>IFERROR(VLOOKUP(Q$1,'天然气新增+退役'!$C$21:$G$57,5,FALSE),0)*'天然气新增+退役'!$I$23</f>
        <v>10.8</v>
      </c>
      <c r="R3" s="14">
        <f>IFERROR(VLOOKUP(R$1,'天然气新增+退役'!$C$21:$G$57,5,FALSE),0)*'天然气新增+退役'!$I$23</f>
        <v>0</v>
      </c>
      <c r="S3" s="14">
        <f>IFERROR(VLOOKUP(S$1,'天然气新增+退役'!$C$21:$G$57,5,FALSE),0)*'天然气新增+退役'!$I$23</f>
        <v>268</v>
      </c>
      <c r="T3" s="14">
        <f>IFERROR(VLOOKUP(T$1,'天然气新增+退役'!$C$21:$G$57,5,FALSE),0)*'天然气新增+退役'!$I$23</f>
        <v>114</v>
      </c>
      <c r="U3" s="14">
        <f>IFERROR(VLOOKUP(U$1,'天然气新增+退役'!$C$21:$G$57,5,FALSE),0)*'天然气新增+退役'!$I$23</f>
        <v>382</v>
      </c>
      <c r="V3" s="14">
        <f>IFERROR(VLOOKUP(V$1,'天然气新增+退役'!$C$21:$G$57,5,FALSE),0)*'天然气新增+退役'!$I$23</f>
        <v>1248</v>
      </c>
      <c r="W3" s="14">
        <f>IFERROR(VLOOKUP(W$1,'天然气新增+退役'!$C$21:$G$57,5,FALSE),0)*'天然气新增+退役'!$I$23</f>
        <v>1126</v>
      </c>
      <c r="X3" s="14">
        <f>IFERROR(VLOOKUP(X$1,'天然气新增+退役'!$C$21:$G$57,5,FALSE),0)*'天然气新增+退役'!$I$23</f>
        <v>1154</v>
      </c>
      <c r="Y3" s="14">
        <f>IFERROR(VLOOKUP(Y$1,'天然气新增+退役'!$C$21:$G$57,5,FALSE),0)*'天然气新增+退役'!$I$23</f>
        <v>642</v>
      </c>
      <c r="Z3" s="14">
        <f>IFERROR(VLOOKUP(Z$1,'天然气新增+退役'!$C$21:$G$57,5,FALSE),0)*'天然气新增+退役'!$I$23</f>
        <v>254</v>
      </c>
      <c r="AA3" s="14">
        <f>IFERROR(VLOOKUP(AA$1,'天然气新增+退役'!$C$21:$G$57,5,FALSE),0)*'天然气新增+退役'!$I$23</f>
        <v>248</v>
      </c>
      <c r="AB3" s="14">
        <f>IFERROR(VLOOKUP(AB$1,'天然气新增+退役'!$C$21:$G$57,5,FALSE),0)*'天然气新增+退役'!$I$23</f>
        <v>474</v>
      </c>
      <c r="AC3" s="14">
        <f>IFERROR(VLOOKUP(AC$1,'天然气新增+退役'!$C$21:$G$57,5,FALSE),0)*'天然气新增+退役'!$I$23</f>
        <v>494</v>
      </c>
      <c r="AD3" s="14">
        <f>IFERROR(VLOOKUP(AD$1,'天然气新增+退役'!$C$21:$G$57,5,FALSE),0)*'天然气新增+退役'!$I$23</f>
        <v>880</v>
      </c>
      <c r="AE3" s="14">
        <f>IFERROR(VLOOKUP(AE$1,'天然气新增+退役'!$C$21:$G$57,5,FALSE),0)*'天然气新增+退役'!$I$23</f>
        <v>1890</v>
      </c>
      <c r="AF3" s="14">
        <f>IFERROR(VLOOKUP(AF$1,'天然气新增+退役'!$C$21:$G$57,5,FALSE),0)*'天然气新增+退役'!$I$23</f>
        <v>1392</v>
      </c>
      <c r="AG3" s="14">
        <f>IFERROR(VLOOKUP(AG$1,'天然气新增+退役'!$C$21:$G$57,5,FALSE),0)*'天然气新增+退役'!$I$23</f>
        <v>428</v>
      </c>
      <c r="AH3" s="14">
        <f>IFERROR(VLOOKUP(AH$1,'天然气新增+退役'!$C$21:$G$57,5,FALSE),0)*'天然气新增+退役'!$I$23</f>
        <v>1140</v>
      </c>
      <c r="AI3" s="14">
        <f>IFERROR(VLOOKUP(AI$1,'天然气新增+退役'!$C$21:$G$57,5,FALSE),0)*'天然气新增+退役'!$I$23</f>
        <v>1764</v>
      </c>
      <c r="AJ3" s="14">
        <f>IFERROR(VLOOKUP(AJ$1,'天然气新增+退役'!$C$21:$G$57,5,FALSE),0)*'天然气新增+退役'!$I$23</f>
        <v>1262</v>
      </c>
      <c r="AK3" s="14">
        <f>IFERROR(VLOOKUP(AK$1,'天然气新增+退役'!$C$21:$G$57,5,FALSE),0)*'天然气新增+退役'!$I$23</f>
        <v>1650</v>
      </c>
      <c r="AL3" s="14">
        <f>IFERROR(VLOOKUP(AL$1,'天然气新增+退役'!$C$21:$G$57,5,FALSE),0)*'天然气新增+退役'!$I$23</f>
        <v>1542</v>
      </c>
      <c r="AM3" s="14">
        <f>IFERROR(VLOOKUP(AM$1,'天然气新增+退役'!$C$21:$G$57,5,FALSE),0)*'天然气新增+退役'!$I$23</f>
        <v>1395.8000000000002</v>
      </c>
      <c r="AN3" s="14">
        <f>IFERROR(VLOOKUP(AN$1,'天然气新增+退役'!$C$21:$G$57,5,FALSE),0)*'天然气新增+退役'!$I$23</f>
        <v>3335.2000000000003</v>
      </c>
      <c r="AO3" s="14">
        <f>IFERROR(VLOOKUP(AO$1,'天然气新增+退役'!$C$21:$G$57,5,FALSE),0)*'天然气新增+退役'!$I$23</f>
        <v>3715.1000000000004</v>
      </c>
      <c r="AP3" s="14">
        <f>IFERROR(VLOOKUP(AP$1,'天然气新增+退役'!$C$21:$G$57,5,FALSE),0)*'天然气新增+退役'!$I$23</f>
        <v>1142</v>
      </c>
    </row>
    <row r="4" spans="1:42" x14ac:dyDescent="0.15">
      <c r="A4" s="14" t="s">
        <v>311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</row>
    <row r="5" spans="1:42" x14ac:dyDescent="0.15">
      <c r="A5" s="14" t="s">
        <v>312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</row>
    <row r="6" spans="1:42" x14ac:dyDescent="0.15">
      <c r="A6" s="14" t="s">
        <v>313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</row>
    <row r="7" spans="1:42" x14ac:dyDescent="0.15">
      <c r="A7" s="14" t="s">
        <v>314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</row>
    <row r="8" spans="1:42" x14ac:dyDescent="0.15">
      <c r="A8" s="14" t="s">
        <v>315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</row>
    <row r="9" spans="1:42" x14ac:dyDescent="0.15">
      <c r="A9" s="14" t="s">
        <v>316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</row>
    <row r="10" spans="1:42" x14ac:dyDescent="0.15">
      <c r="A10" s="14" t="s">
        <v>317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</row>
    <row r="11" spans="1:42" x14ac:dyDescent="0.15">
      <c r="A11" s="14" t="s">
        <v>318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</row>
    <row r="12" spans="1:42" x14ac:dyDescent="0.15">
      <c r="A12" s="14" t="s">
        <v>319</v>
      </c>
      <c r="B12" s="14">
        <f>IFERROR(VLOOKUP(B$1,'天然气新增+退役'!$C$21:$G$57,5,FALSE),0)*'天然气新增+退役'!$J$23</f>
        <v>0</v>
      </c>
      <c r="C12" s="14">
        <f>IFERROR(VLOOKUP(C$1,'天然气新增+退役'!$C$21:$G$57,5,FALSE),0)*'天然气新增+退役'!$J$23</f>
        <v>0</v>
      </c>
      <c r="D12" s="14">
        <f>IFERROR(VLOOKUP(D$1,'天然气新增+退役'!$C$21:$G$57,5,FALSE),0)*'天然气新增+退役'!$J$23</f>
        <v>0</v>
      </c>
      <c r="E12" s="14">
        <f>IFERROR(VLOOKUP(E$1,'天然气新增+退役'!$C$21:$G$57,5,FALSE),0)*'天然气新增+退役'!$J$23</f>
        <v>0</v>
      </c>
      <c r="F12" s="14">
        <f>IFERROR(VLOOKUP(F$1,'天然气新增+退役'!$C$21:$G$57,5,FALSE),0)*'天然气新增+退役'!$J$23</f>
        <v>0</v>
      </c>
      <c r="G12" s="14">
        <f>IFERROR(VLOOKUP(G$1,'天然气新增+退役'!$C$21:$G$57,5,FALSE),0)*'天然气新增+退役'!$J$23</f>
        <v>0</v>
      </c>
      <c r="H12" s="14">
        <f>IFERROR(VLOOKUP(H$1,'天然气新增+退役'!$C$21:$G$57,5,FALSE),0)*'天然气新增+退役'!$J$23</f>
        <v>55.2</v>
      </c>
      <c r="I12" s="14">
        <f>IFERROR(VLOOKUP(I$1,'天然气新增+退役'!$C$21:$G$57,5,FALSE),0)*'天然气新增+退役'!$J$23</f>
        <v>0</v>
      </c>
      <c r="J12" s="14">
        <f>IFERROR(VLOOKUP(J$1,'天然气新增+退役'!$C$21:$G$57,5,FALSE),0)*'天然气新增+退役'!$J$23</f>
        <v>0</v>
      </c>
      <c r="K12" s="14">
        <f>IFERROR(VLOOKUP(K$1,'天然气新增+退役'!$C$21:$G$57,5,FALSE),0)*'天然气新增+退役'!$J$23</f>
        <v>52.800000000000004</v>
      </c>
      <c r="L12" s="14">
        <f>IFERROR(VLOOKUP(L$1,'天然气新增+退役'!$C$21:$G$57,5,FALSE),0)*'天然气新增+退役'!$J$23</f>
        <v>52.800000000000004</v>
      </c>
      <c r="M12" s="14">
        <f>IFERROR(VLOOKUP(M$1,'天然气新增+退役'!$C$21:$G$57,5,FALSE),0)*'天然气新增+退役'!$J$23</f>
        <v>40.800000000000004</v>
      </c>
      <c r="N12" s="14">
        <f>IFERROR(VLOOKUP(N$1,'天然气新增+退役'!$C$21:$G$57,5,FALSE),0)*'天然气新增+退役'!$J$23</f>
        <v>155.20000000000002</v>
      </c>
      <c r="O12" s="14">
        <f>IFERROR(VLOOKUP(O$1,'天然气新增+退役'!$C$21:$G$57,5,FALSE),0)*'天然气新增+退役'!$J$23</f>
        <v>100</v>
      </c>
      <c r="P12" s="14">
        <f>IFERROR(VLOOKUP(P$1,'天然气新增+退役'!$C$21:$G$57,5,FALSE),0)*'天然气新增+退役'!$J$23</f>
        <v>1224.8</v>
      </c>
      <c r="Q12" s="14">
        <f>IFERROR(VLOOKUP(Q$1,'天然气新增+退役'!$C$21:$G$57,5,FALSE),0)*'天然气新增+退役'!$J$23</f>
        <v>43.2</v>
      </c>
      <c r="R12" s="14">
        <f>IFERROR(VLOOKUP(R$1,'天然气新增+退役'!$C$21:$G$57,5,FALSE),0)*'天然气新增+退役'!$J$23</f>
        <v>0</v>
      </c>
      <c r="S12" s="14">
        <f>IFERROR(VLOOKUP(S$1,'天然气新增+退役'!$C$21:$G$57,5,FALSE),0)*'天然气新增+退役'!$J$23</f>
        <v>1072</v>
      </c>
      <c r="T12" s="14">
        <f>IFERROR(VLOOKUP(T$1,'天然气新增+退役'!$C$21:$G$57,5,FALSE),0)*'天然气新增+退役'!$J$23</f>
        <v>456</v>
      </c>
      <c r="U12" s="14">
        <f>IFERROR(VLOOKUP(U$1,'天然气新增+退役'!$C$21:$G$57,5,FALSE),0)*'天然气新增+退役'!$J$23</f>
        <v>1528</v>
      </c>
      <c r="V12" s="14">
        <f>IFERROR(VLOOKUP(V$1,'天然气新增+退役'!$C$21:$G$57,5,FALSE),0)*'天然气新增+退役'!$J$23</f>
        <v>4992</v>
      </c>
      <c r="W12" s="14">
        <f>IFERROR(VLOOKUP(W$1,'天然气新增+退役'!$C$21:$G$57,5,FALSE),0)*'天然气新增+退役'!$J$23</f>
        <v>4504</v>
      </c>
      <c r="X12" s="14">
        <f>IFERROR(VLOOKUP(X$1,'天然气新增+退役'!$C$21:$G$57,5,FALSE),0)*'天然气新增+退役'!$J$23</f>
        <v>4616</v>
      </c>
      <c r="Y12" s="14">
        <f>IFERROR(VLOOKUP(Y$1,'天然气新增+退役'!$C$21:$G$57,5,FALSE),0)*'天然气新增+退役'!$J$23</f>
        <v>2568</v>
      </c>
      <c r="Z12" s="14">
        <f>IFERROR(VLOOKUP(Z$1,'天然气新增+退役'!$C$21:$G$57,5,FALSE),0)*'天然气新增+退役'!$J$23</f>
        <v>1016</v>
      </c>
      <c r="AA12" s="14">
        <f>IFERROR(VLOOKUP(AA$1,'天然气新增+退役'!$C$21:$G$57,5,FALSE),0)*'天然气新增+退役'!$J$23</f>
        <v>992</v>
      </c>
      <c r="AB12" s="14">
        <f>IFERROR(VLOOKUP(AB$1,'天然气新增+退役'!$C$21:$G$57,5,FALSE),0)*'天然气新增+退役'!$J$23</f>
        <v>1896</v>
      </c>
      <c r="AC12" s="14">
        <f>IFERROR(VLOOKUP(AC$1,'天然气新增+退役'!$C$21:$G$57,5,FALSE),0)*'天然气新增+退役'!$J$23</f>
        <v>1976</v>
      </c>
      <c r="AD12" s="14">
        <f>IFERROR(VLOOKUP(AD$1,'天然气新增+退役'!$C$21:$G$57,5,FALSE),0)*'天然气新增+退役'!$J$23</f>
        <v>3520</v>
      </c>
      <c r="AE12" s="14">
        <f>IFERROR(VLOOKUP(AE$1,'天然气新增+退役'!$C$21:$G$57,5,FALSE),0)*'天然气新增+退役'!$J$23</f>
        <v>7560</v>
      </c>
      <c r="AF12" s="14">
        <f>IFERROR(VLOOKUP(AF$1,'天然气新增+退役'!$C$21:$G$57,5,FALSE),0)*'天然气新增+退役'!$J$23</f>
        <v>5568</v>
      </c>
      <c r="AG12" s="14">
        <f>IFERROR(VLOOKUP(AG$1,'天然气新增+退役'!$C$21:$G$57,5,FALSE),0)*'天然气新增+退役'!$J$23</f>
        <v>1712</v>
      </c>
      <c r="AH12" s="14">
        <f>IFERROR(VLOOKUP(AH$1,'天然气新增+退役'!$C$21:$G$57,5,FALSE),0)*'天然气新增+退役'!$J$23</f>
        <v>4560</v>
      </c>
      <c r="AI12" s="14">
        <f>IFERROR(VLOOKUP(AI$1,'天然气新增+退役'!$C$21:$G$57,5,FALSE),0)*'天然气新增+退役'!$J$23</f>
        <v>7056</v>
      </c>
      <c r="AJ12" s="14">
        <f>IFERROR(VLOOKUP(AJ$1,'天然气新增+退役'!$C$21:$G$57,5,FALSE),0)*'天然气新增+退役'!$J$23</f>
        <v>5048</v>
      </c>
      <c r="AK12" s="14">
        <f>IFERROR(VLOOKUP(AK$1,'天然气新增+退役'!$C$21:$G$57,5,FALSE),0)*'天然气新增+退役'!$J$23</f>
        <v>6600</v>
      </c>
      <c r="AL12" s="14">
        <f>IFERROR(VLOOKUP(AL$1,'天然气新增+退役'!$C$21:$G$57,5,FALSE),0)*'天然气新增+退役'!$J$23</f>
        <v>6168</v>
      </c>
      <c r="AM12" s="14">
        <f>IFERROR(VLOOKUP(AM$1,'天然气新增+退役'!$C$21:$G$57,5,FALSE),0)*'天然气新增+退役'!$J$23</f>
        <v>5583.2000000000007</v>
      </c>
      <c r="AN12" s="14">
        <f>IFERROR(VLOOKUP(AN$1,'天然气新增+退役'!$C$21:$G$57,5,FALSE),0)*'天然气新增+退役'!$J$23</f>
        <v>13340.800000000001</v>
      </c>
      <c r="AO12" s="14">
        <f>IFERROR(VLOOKUP(AO$1,'天然气新增+退役'!$C$21:$G$57,5,FALSE),0)*'天然气新增+退役'!$J$23</f>
        <v>14860.400000000001</v>
      </c>
      <c r="AP12" s="14">
        <f>IFERROR(VLOOKUP(AP$1,'天然气新增+退役'!$C$21:$G$57,5,FALSE),0)*'天然气新增+退役'!$J$23</f>
        <v>4568</v>
      </c>
    </row>
    <row r="13" spans="1:42" x14ac:dyDescent="0.15">
      <c r="A13" s="14" t="s">
        <v>320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</row>
    <row r="14" spans="1:42" x14ac:dyDescent="0.15">
      <c r="A14" s="14" t="s">
        <v>321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</row>
    <row r="15" spans="1:42" x14ac:dyDescent="0.15">
      <c r="A15" s="14" t="s">
        <v>322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</row>
    <row r="16" spans="1:42" x14ac:dyDescent="0.15">
      <c r="A16" s="14" t="s">
        <v>323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</row>
    <row r="17" spans="1:42" x14ac:dyDescent="0.15">
      <c r="A17" s="14" t="s">
        <v>324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火电关停</vt:lpstr>
      <vt:lpstr>天然气新增+退役</vt:lpstr>
      <vt:lpstr>operating</vt:lpstr>
      <vt:lpstr>pre-construction+construction+a</vt:lpstr>
      <vt:lpstr>燃煤新增+退役</vt:lpstr>
      <vt:lpstr>BCRbQ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guoning</dc:creator>
  <cp:lastModifiedBy>admin</cp:lastModifiedBy>
  <dcterms:created xsi:type="dcterms:W3CDTF">2023-03-09T11:57:40Z</dcterms:created>
  <dcterms:modified xsi:type="dcterms:W3CDTF">2023-03-10T15:13:30Z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6C7E30031C89183327880964582BE83F</vt:lpwstr>
  </property>
  <property fmtid="{D5CDD505-2E9C-101B-9397-08002B2CF9AE}" pid="3" name="KSOProductBuildVer">
    <vt:lpwstr>2052-5.1.1.7662</vt:lpwstr>
  </property>
</Properties>
</file>