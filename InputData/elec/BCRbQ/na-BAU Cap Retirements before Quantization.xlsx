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file\EPS China 3.3.1\InputData\elec\BCRbQ\"/>
    </mc:Choice>
  </mc:AlternateContent>
  <xr:revisionPtr revIDLastSave="0" documentId="13_ncr:1_{7405CFFF-AB93-4E7F-9EB6-AB929072780E}" xr6:coauthVersionLast="47" xr6:coauthVersionMax="47" xr10:uidLastSave="{00000000-0000-0000-0000-000000000000}"/>
  <bookViews>
    <workbookView xWindow="-120" yWindow="-120" windowWidth="29040" windowHeight="15840" tabRatio="739" activeTab="5" xr2:uid="{57242958-780B-4471-BC77-165120A15AE0}"/>
  </bookViews>
  <sheets>
    <sheet name="火电关停" sheetId="1" r:id="rId1"/>
    <sheet name="新增火电" sheetId="2" r:id="rId2"/>
    <sheet name="新增水电" sheetId="3" r:id="rId3"/>
    <sheet name="新增风电" sheetId="4" r:id="rId4"/>
    <sheet name="新增太阳能" sheetId="5" r:id="rId5"/>
    <sheet name="BCRbQ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6" l="1"/>
  <c r="E2" i="6" s="1"/>
  <c r="F2" i="6" s="1"/>
  <c r="G2" i="6" s="1"/>
  <c r="H2" i="6" s="1"/>
  <c r="I2" i="6" s="1"/>
  <c r="J2" i="6" s="1"/>
  <c r="K2" i="6" s="1"/>
  <c r="L2" i="6" s="1"/>
  <c r="C2" i="6"/>
  <c r="B2" i="6"/>
</calcChain>
</file>

<file path=xl/sharedStrings.xml><?xml version="1.0" encoding="utf-8"?>
<sst xmlns="http://schemas.openxmlformats.org/spreadsheetml/2006/main" count="210" uniqueCount="95">
  <si>
    <t>全国</t>
    <phoneticPr fontId="3" type="noConversion"/>
  </si>
  <si>
    <t>北京</t>
    <phoneticPr fontId="3" type="noConversion"/>
  </si>
  <si>
    <t>天津</t>
    <phoneticPr fontId="3" type="noConversion"/>
  </si>
  <si>
    <t>河北</t>
    <phoneticPr fontId="3" type="noConversion"/>
  </si>
  <si>
    <t>山西</t>
    <phoneticPr fontId="3" type="noConversion"/>
  </si>
  <si>
    <t>内蒙古</t>
    <phoneticPr fontId="3" type="noConversion"/>
  </si>
  <si>
    <t>辽宁</t>
    <phoneticPr fontId="3" type="noConversion"/>
  </si>
  <si>
    <t>吉林</t>
    <phoneticPr fontId="3" type="noConversion"/>
  </si>
  <si>
    <t>黑龙江</t>
    <phoneticPr fontId="3" type="noConversion"/>
  </si>
  <si>
    <t>上海</t>
    <phoneticPr fontId="3" type="noConversion"/>
  </si>
  <si>
    <t>江苏</t>
    <phoneticPr fontId="3" type="noConversion"/>
  </si>
  <si>
    <t>浙江</t>
    <phoneticPr fontId="3" type="noConversion"/>
  </si>
  <si>
    <t>安徽</t>
    <phoneticPr fontId="3" type="noConversion"/>
  </si>
  <si>
    <t>福建</t>
    <phoneticPr fontId="3" type="noConversion"/>
  </si>
  <si>
    <t>江西</t>
    <phoneticPr fontId="3" type="noConversion"/>
  </si>
  <si>
    <t>山东</t>
    <phoneticPr fontId="3" type="noConversion"/>
  </si>
  <si>
    <t>河南</t>
    <phoneticPr fontId="3" type="noConversion"/>
  </si>
  <si>
    <t>湖北</t>
    <phoneticPr fontId="3" type="noConversion"/>
  </si>
  <si>
    <t>湖南</t>
    <phoneticPr fontId="3" type="noConversion"/>
  </si>
  <si>
    <t>广东</t>
    <phoneticPr fontId="3" type="noConversion"/>
  </si>
  <si>
    <t>广西</t>
    <phoneticPr fontId="3" type="noConversion"/>
  </si>
  <si>
    <t>海南</t>
    <phoneticPr fontId="3" type="noConversion"/>
  </si>
  <si>
    <t>重庆</t>
    <phoneticPr fontId="3" type="noConversion"/>
  </si>
  <si>
    <t>四川</t>
    <phoneticPr fontId="3" type="noConversion"/>
  </si>
  <si>
    <t>贵州</t>
    <phoneticPr fontId="3" type="noConversion"/>
  </si>
  <si>
    <t>云南</t>
    <phoneticPr fontId="3" type="noConversion"/>
  </si>
  <si>
    <t>西藏</t>
    <phoneticPr fontId="3" type="noConversion"/>
  </si>
  <si>
    <t>陕西</t>
    <phoneticPr fontId="3" type="noConversion"/>
  </si>
  <si>
    <t>甘肃</t>
    <phoneticPr fontId="3" type="noConversion"/>
  </si>
  <si>
    <t>青海</t>
    <phoneticPr fontId="3" type="noConversion"/>
  </si>
  <si>
    <t>宁夏</t>
    <phoneticPr fontId="3" type="noConversion"/>
  </si>
  <si>
    <t>新疆</t>
    <phoneticPr fontId="3" type="noConversion"/>
  </si>
  <si>
    <r>
      <rPr>
        <sz val="11"/>
        <rFont val="等线"/>
        <family val="3"/>
        <charset val="134"/>
        <scheme val="minor"/>
      </rPr>
      <t>1090. 7</t>
    </r>
  </si>
  <si>
    <t xml:space="preserve">单位:万千瓦
</t>
  </si>
  <si>
    <t>地 区</t>
  </si>
  <si>
    <t>2016 年</t>
  </si>
  <si>
    <t>2017 年</t>
  </si>
  <si>
    <t>2018 年</t>
  </si>
  <si>
    <t>2019 年</t>
  </si>
  <si>
    <t>2020年</t>
  </si>
  <si>
    <t>全 国</t>
  </si>
  <si>
    <t>北 京</t>
  </si>
  <si>
    <t>天 津</t>
  </si>
  <si>
    <t>河 北</t>
  </si>
  <si>
    <t>山 西</t>
  </si>
  <si>
    <t>内蒙古</t>
  </si>
  <si>
    <t>辽 宁</t>
  </si>
  <si>
    <t>吉林</t>
  </si>
  <si>
    <t>黑龙江</t>
  </si>
  <si>
    <t>上 海</t>
  </si>
  <si>
    <t>江 苏</t>
  </si>
  <si>
    <t>浙 江</t>
  </si>
  <si>
    <t>安 徽</t>
  </si>
  <si>
    <t>福 建</t>
  </si>
  <si>
    <t>江 西</t>
  </si>
  <si>
    <t>山 东</t>
  </si>
  <si>
    <t>河 南</t>
  </si>
  <si>
    <t>湖 北</t>
  </si>
  <si>
    <t>湖 南</t>
  </si>
  <si>
    <t>广 东</t>
  </si>
  <si>
    <t>广 西</t>
  </si>
  <si>
    <t>海 南</t>
  </si>
  <si>
    <t>重 庆</t>
  </si>
  <si>
    <t>四 川</t>
  </si>
  <si>
    <t>贵 州</t>
  </si>
  <si>
    <t>云 南</t>
  </si>
  <si>
    <t>西 藏</t>
  </si>
  <si>
    <t>陕 西</t>
  </si>
  <si>
    <t>甘 肃</t>
  </si>
  <si>
    <t>青 海</t>
  </si>
  <si>
    <t>宁 夏</t>
  </si>
  <si>
    <t>新 疆</t>
  </si>
  <si>
    <t>吉 林</t>
  </si>
  <si>
    <t xml:space="preserve">4-16 分地区新增发电装机容量(风电)
</t>
  </si>
  <si>
    <t xml:space="preserve">4-15 分地区新增发电装机容量(火电)
</t>
  </si>
  <si>
    <t xml:space="preserve">4-14 分地区新增发电装机容量(水电)
</t>
  </si>
  <si>
    <t>新疆</t>
  </si>
  <si>
    <t xml:space="preserve">4-17 分地区新增发电装机容量(太阳能发电)
</t>
  </si>
  <si>
    <t>BAU Capacity Retirements (MW)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</si>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</sst>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/>
    <xf numFmtId="0" fontId="5" fillId="0" borderId="2" xfId="0" applyFont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3024-DB50-49E4-A3D7-529CD803F81B}">
  <dimension ref="A1:H33"/>
  <sheetViews>
    <sheetView workbookViewId="0">
      <selection activeCell="H33" sqref="G2:H33"/>
    </sheetView>
  </sheetViews>
  <sheetFormatPr defaultRowHeight="14.25" x14ac:dyDescent="0.2"/>
  <cols>
    <col min="2" max="5" width="9" style="2"/>
  </cols>
  <sheetData>
    <row r="1" spans="1:8" x14ac:dyDescent="0.2">
      <c r="A1" s="3"/>
      <c r="B1" s="4">
        <v>2015</v>
      </c>
      <c r="C1" s="4">
        <v>2016</v>
      </c>
      <c r="D1" s="4">
        <v>2017</v>
      </c>
      <c r="E1" s="4">
        <v>2018</v>
      </c>
      <c r="F1" s="4">
        <v>2019</v>
      </c>
      <c r="G1" s="4">
        <v>2020</v>
      </c>
      <c r="H1" s="4">
        <v>2021</v>
      </c>
    </row>
    <row r="2" spans="1:8" x14ac:dyDescent="0.2">
      <c r="A2" s="1" t="s">
        <v>0</v>
      </c>
      <c r="B2" s="4" t="s">
        <v>32</v>
      </c>
      <c r="C2" s="4">
        <v>571</v>
      </c>
      <c r="D2" s="4">
        <v>929</v>
      </c>
      <c r="E2" s="4">
        <v>1197</v>
      </c>
      <c r="F2" s="4">
        <v>1024</v>
      </c>
      <c r="G2" s="4">
        <v>1469</v>
      </c>
      <c r="H2" s="21">
        <v>499</v>
      </c>
    </row>
    <row r="3" spans="1:8" x14ac:dyDescent="0.2">
      <c r="A3" s="1" t="s">
        <v>1</v>
      </c>
      <c r="B3" s="4">
        <v>102.2</v>
      </c>
      <c r="C3" s="4"/>
      <c r="D3" s="4"/>
      <c r="E3" s="4"/>
      <c r="F3" s="5"/>
      <c r="G3" s="21"/>
      <c r="H3" s="21"/>
    </row>
    <row r="4" spans="1:8" x14ac:dyDescent="0.2">
      <c r="A4" s="1" t="s">
        <v>2</v>
      </c>
      <c r="B4" s="4">
        <v>88.5</v>
      </c>
      <c r="C4" s="4">
        <v>89</v>
      </c>
      <c r="D4" s="4">
        <v>89</v>
      </c>
      <c r="E4" s="4">
        <v>86</v>
      </c>
      <c r="F4" s="6">
        <v>1</v>
      </c>
      <c r="G4" s="21">
        <v>0.3</v>
      </c>
      <c r="H4" s="21">
        <v>5</v>
      </c>
    </row>
    <row r="5" spans="1:8" x14ac:dyDescent="0.2">
      <c r="A5" s="1" t="s">
        <v>3</v>
      </c>
      <c r="B5" s="4">
        <v>106.7</v>
      </c>
      <c r="C5" s="4">
        <v>27</v>
      </c>
      <c r="D5" s="4">
        <v>51</v>
      </c>
      <c r="E5" s="4">
        <v>69</v>
      </c>
      <c r="F5" s="4">
        <v>58</v>
      </c>
      <c r="G5" s="4">
        <v>44</v>
      </c>
      <c r="H5" s="21">
        <v>25</v>
      </c>
    </row>
    <row r="6" spans="1:8" x14ac:dyDescent="0.2">
      <c r="A6" s="1" t="s">
        <v>4</v>
      </c>
      <c r="B6" s="4">
        <v>65</v>
      </c>
      <c r="C6" s="4">
        <v>3</v>
      </c>
      <c r="D6" s="4">
        <v>43</v>
      </c>
      <c r="E6" s="4">
        <v>60</v>
      </c>
      <c r="F6" s="6">
        <v>216</v>
      </c>
      <c r="G6" s="21">
        <v>174</v>
      </c>
      <c r="H6" s="21">
        <v>19</v>
      </c>
    </row>
    <row r="7" spans="1:8" x14ac:dyDescent="0.2">
      <c r="A7" s="1" t="s">
        <v>5</v>
      </c>
      <c r="B7" s="4">
        <v>5.4</v>
      </c>
      <c r="C7" s="4">
        <v>18</v>
      </c>
      <c r="D7" s="4">
        <v>14</v>
      </c>
      <c r="E7" s="4">
        <v>4</v>
      </c>
      <c r="F7" s="4">
        <v>4</v>
      </c>
      <c r="G7" s="4">
        <v>9</v>
      </c>
      <c r="H7" s="21">
        <v>8</v>
      </c>
    </row>
    <row r="8" spans="1:8" x14ac:dyDescent="0.2">
      <c r="A8" s="1" t="s">
        <v>6</v>
      </c>
      <c r="B8" s="4">
        <v>10.6</v>
      </c>
      <c r="C8" s="4"/>
      <c r="D8" s="4">
        <v>15</v>
      </c>
      <c r="E8" s="4">
        <v>24</v>
      </c>
      <c r="F8" s="5"/>
      <c r="G8" s="21"/>
      <c r="H8" s="21">
        <v>15</v>
      </c>
    </row>
    <row r="9" spans="1:8" x14ac:dyDescent="0.2">
      <c r="A9" s="1" t="s">
        <v>7</v>
      </c>
      <c r="B9" s="4">
        <v>1.8</v>
      </c>
      <c r="C9" s="4">
        <v>20</v>
      </c>
      <c r="D9" s="4"/>
      <c r="E9" s="4"/>
      <c r="F9" s="6">
        <v>60</v>
      </c>
      <c r="G9" s="21"/>
      <c r="H9" s="21">
        <v>26</v>
      </c>
    </row>
    <row r="10" spans="1:8" x14ac:dyDescent="0.2">
      <c r="A10" s="1" t="s">
        <v>8</v>
      </c>
      <c r="B10" s="4">
        <v>0.9</v>
      </c>
      <c r="C10" s="4">
        <v>11</v>
      </c>
      <c r="D10" s="4">
        <v>31</v>
      </c>
      <c r="E10" s="4">
        <v>29</v>
      </c>
      <c r="F10" s="6">
        <v>21</v>
      </c>
      <c r="G10" s="4">
        <v>10</v>
      </c>
      <c r="H10" s="21">
        <v>25</v>
      </c>
    </row>
    <row r="11" spans="1:8" x14ac:dyDescent="0.2">
      <c r="A11" s="1" t="s">
        <v>9</v>
      </c>
      <c r="B11" s="4">
        <v>0.2</v>
      </c>
      <c r="C11" s="4">
        <v>5</v>
      </c>
      <c r="D11" s="4"/>
      <c r="E11" s="4"/>
      <c r="F11" s="4">
        <v>5</v>
      </c>
      <c r="G11" s="21"/>
      <c r="H11" s="21"/>
    </row>
    <row r="12" spans="1:8" x14ac:dyDescent="0.2">
      <c r="A12" s="1" t="s">
        <v>10</v>
      </c>
      <c r="B12" s="4">
        <v>76.3</v>
      </c>
      <c r="C12" s="4">
        <v>30</v>
      </c>
      <c r="D12" s="4">
        <v>137</v>
      </c>
      <c r="E12" s="4">
        <v>58</v>
      </c>
      <c r="F12" s="4">
        <v>58</v>
      </c>
      <c r="G12" s="4">
        <v>25</v>
      </c>
      <c r="H12" s="21"/>
    </row>
    <row r="13" spans="1:8" x14ac:dyDescent="0.2">
      <c r="A13" s="1" t="s">
        <v>11</v>
      </c>
      <c r="B13" s="4">
        <v>103.8</v>
      </c>
      <c r="C13" s="4">
        <v>32</v>
      </c>
      <c r="D13" s="4">
        <v>18</v>
      </c>
      <c r="E13" s="4">
        <v>60</v>
      </c>
      <c r="F13" s="6">
        <v>66</v>
      </c>
      <c r="G13" s="4">
        <v>141</v>
      </c>
      <c r="H13" s="21">
        <v>76</v>
      </c>
    </row>
    <row r="14" spans="1:8" x14ac:dyDescent="0.2">
      <c r="A14" s="1" t="s">
        <v>12</v>
      </c>
      <c r="B14" s="4">
        <v>7</v>
      </c>
      <c r="C14" s="4">
        <v>8</v>
      </c>
      <c r="D14" s="4">
        <v>46</v>
      </c>
      <c r="E14" s="4">
        <v>38</v>
      </c>
      <c r="F14" s="6">
        <v>12</v>
      </c>
      <c r="G14" s="4">
        <v>67</v>
      </c>
      <c r="H14" s="21">
        <v>27</v>
      </c>
    </row>
    <row r="15" spans="1:8" x14ac:dyDescent="0.2">
      <c r="A15" s="1" t="s">
        <v>13</v>
      </c>
      <c r="B15" s="4">
        <v>6.4</v>
      </c>
      <c r="C15" s="4">
        <v>6</v>
      </c>
      <c r="D15" s="4">
        <v>54</v>
      </c>
      <c r="E15" s="4">
        <v>2</v>
      </c>
      <c r="F15" s="4">
        <v>0.2</v>
      </c>
      <c r="G15" s="21">
        <v>2</v>
      </c>
      <c r="H15" s="21">
        <v>15</v>
      </c>
    </row>
    <row r="16" spans="1:8" x14ac:dyDescent="0.2">
      <c r="A16" s="1" t="s">
        <v>14</v>
      </c>
      <c r="B16" s="4">
        <v>12.3</v>
      </c>
      <c r="C16" s="4"/>
      <c r="D16" s="4">
        <v>2</v>
      </c>
      <c r="E16" s="4"/>
      <c r="F16" s="6">
        <v>2</v>
      </c>
      <c r="G16" s="21">
        <v>31</v>
      </c>
      <c r="H16" s="21">
        <v>7</v>
      </c>
    </row>
    <row r="17" spans="1:8" x14ac:dyDescent="0.2">
      <c r="A17" s="1" t="s">
        <v>15</v>
      </c>
      <c r="B17" s="4">
        <v>146.5</v>
      </c>
      <c r="C17" s="4">
        <v>94</v>
      </c>
      <c r="D17" s="4">
        <v>89</v>
      </c>
      <c r="E17" s="4">
        <v>87</v>
      </c>
      <c r="F17" s="4">
        <v>127</v>
      </c>
      <c r="G17" s="4">
        <v>306</v>
      </c>
      <c r="H17" s="4">
        <v>110</v>
      </c>
    </row>
    <row r="18" spans="1:8" x14ac:dyDescent="0.2">
      <c r="A18" s="1" t="s">
        <v>16</v>
      </c>
      <c r="B18" s="4">
        <v>142.5</v>
      </c>
      <c r="C18" s="4"/>
      <c r="D18" s="4">
        <v>114</v>
      </c>
      <c r="E18" s="4">
        <v>282</v>
      </c>
      <c r="F18" s="4">
        <v>169</v>
      </c>
      <c r="G18" s="4">
        <v>243</v>
      </c>
      <c r="H18" s="21">
        <v>46</v>
      </c>
    </row>
    <row r="19" spans="1:8" x14ac:dyDescent="0.2">
      <c r="A19" s="1" t="s">
        <v>17</v>
      </c>
      <c r="B19" s="4">
        <v>8.3000000000000007</v>
      </c>
      <c r="C19" s="4">
        <v>2</v>
      </c>
      <c r="D19" s="4">
        <v>26</v>
      </c>
      <c r="E19" s="4">
        <v>7</v>
      </c>
      <c r="F19" s="4">
        <v>5</v>
      </c>
      <c r="G19" s="21">
        <v>224</v>
      </c>
      <c r="H19" s="21">
        <v>2</v>
      </c>
    </row>
    <row r="20" spans="1:8" x14ac:dyDescent="0.2">
      <c r="A20" s="1" t="s">
        <v>18</v>
      </c>
      <c r="B20" s="4">
        <v>16.899999999999999</v>
      </c>
      <c r="C20" s="4">
        <v>4</v>
      </c>
      <c r="D20" s="4">
        <v>74</v>
      </c>
      <c r="E20" s="4">
        <v>10</v>
      </c>
      <c r="F20" s="6">
        <v>11</v>
      </c>
      <c r="G20" s="21">
        <v>2</v>
      </c>
      <c r="H20" s="21">
        <v>4</v>
      </c>
    </row>
    <row r="21" spans="1:8" x14ac:dyDescent="0.2">
      <c r="A21" s="1" t="s">
        <v>19</v>
      </c>
      <c r="B21" s="4">
        <v>1.2</v>
      </c>
      <c r="C21" s="4"/>
      <c r="D21" s="4">
        <v>53</v>
      </c>
      <c r="E21" s="4">
        <v>97</v>
      </c>
      <c r="F21" s="5">
        <v>115</v>
      </c>
      <c r="G21" s="4">
        <v>40</v>
      </c>
      <c r="H21" s="21">
        <v>15</v>
      </c>
    </row>
    <row r="22" spans="1:8" x14ac:dyDescent="0.2">
      <c r="A22" s="1" t="s">
        <v>20</v>
      </c>
      <c r="B22" s="4">
        <v>0.7</v>
      </c>
      <c r="C22" s="4">
        <v>31</v>
      </c>
      <c r="D22" s="4">
        <v>10</v>
      </c>
      <c r="E22" s="4">
        <v>57</v>
      </c>
      <c r="F22" s="6">
        <v>6</v>
      </c>
      <c r="G22" s="21">
        <v>5</v>
      </c>
      <c r="H22" s="21">
        <v>5</v>
      </c>
    </row>
    <row r="23" spans="1:8" x14ac:dyDescent="0.2">
      <c r="A23" s="1" t="s">
        <v>21</v>
      </c>
      <c r="B23" s="4"/>
      <c r="C23" s="4"/>
      <c r="D23" s="4"/>
      <c r="E23" s="4"/>
      <c r="F23" s="5"/>
      <c r="G23" s="21">
        <v>28</v>
      </c>
      <c r="H23" s="21"/>
    </row>
    <row r="24" spans="1:8" x14ac:dyDescent="0.2">
      <c r="A24" s="1" t="s">
        <v>22</v>
      </c>
      <c r="B24" s="4">
        <v>45.5</v>
      </c>
      <c r="C24" s="4">
        <v>9</v>
      </c>
      <c r="D24" s="4">
        <v>2</v>
      </c>
      <c r="E24" s="4">
        <v>14</v>
      </c>
      <c r="F24" s="6">
        <v>1</v>
      </c>
      <c r="G24" s="21">
        <v>58</v>
      </c>
      <c r="H24" s="21">
        <v>7</v>
      </c>
    </row>
    <row r="25" spans="1:8" x14ac:dyDescent="0.2">
      <c r="A25" s="1" t="s">
        <v>23</v>
      </c>
      <c r="B25" s="4">
        <v>2.4</v>
      </c>
      <c r="C25" s="4">
        <v>40</v>
      </c>
      <c r="D25" s="4">
        <v>1</v>
      </c>
      <c r="E25" s="4">
        <v>73</v>
      </c>
      <c r="F25" s="4">
        <v>30</v>
      </c>
      <c r="G25" s="21">
        <v>2</v>
      </c>
      <c r="H25" s="21">
        <v>8</v>
      </c>
    </row>
    <row r="26" spans="1:8" x14ac:dyDescent="0.2">
      <c r="A26" s="1" t="s">
        <v>24</v>
      </c>
      <c r="B26" s="4"/>
      <c r="C26" s="4"/>
      <c r="D26" s="4"/>
      <c r="E26" s="4"/>
      <c r="F26" s="5"/>
      <c r="G26" s="21"/>
      <c r="H26" s="21"/>
    </row>
    <row r="27" spans="1:8" x14ac:dyDescent="0.2">
      <c r="A27" s="1" t="s">
        <v>25</v>
      </c>
      <c r="B27" s="4">
        <v>5.6</v>
      </c>
      <c r="C27" s="4"/>
      <c r="D27" s="4"/>
      <c r="E27" s="4"/>
      <c r="F27" s="5"/>
      <c r="G27" s="21"/>
      <c r="H27" s="21">
        <v>0.3</v>
      </c>
    </row>
    <row r="28" spans="1:8" x14ac:dyDescent="0.2">
      <c r="A28" s="1" t="s">
        <v>26</v>
      </c>
      <c r="B28" s="4"/>
      <c r="C28" s="4">
        <v>2</v>
      </c>
      <c r="D28" s="4">
        <v>1</v>
      </c>
      <c r="E28" s="4"/>
      <c r="F28" s="5"/>
      <c r="G28" s="21"/>
      <c r="H28" s="21"/>
    </row>
    <row r="29" spans="1:8" x14ac:dyDescent="0.2">
      <c r="A29" s="1" t="s">
        <v>27</v>
      </c>
      <c r="B29" s="4">
        <v>15.6</v>
      </c>
      <c r="C29" s="4"/>
      <c r="D29" s="4">
        <v>58</v>
      </c>
      <c r="E29" s="4">
        <v>13</v>
      </c>
      <c r="F29" s="6">
        <v>1</v>
      </c>
      <c r="G29" s="21">
        <v>2</v>
      </c>
      <c r="H29" s="21">
        <v>28</v>
      </c>
    </row>
    <row r="30" spans="1:8" x14ac:dyDescent="0.2">
      <c r="A30" s="1" t="s">
        <v>28</v>
      </c>
      <c r="B30" s="4"/>
      <c r="C30" s="4"/>
      <c r="D30" s="4"/>
      <c r="E30" s="4"/>
      <c r="F30" s="6">
        <v>34</v>
      </c>
      <c r="G30" s="21"/>
      <c r="H30" s="21">
        <v>6</v>
      </c>
    </row>
    <row r="31" spans="1:8" x14ac:dyDescent="0.2">
      <c r="A31" s="1" t="s">
        <v>29</v>
      </c>
      <c r="B31" s="4">
        <v>25</v>
      </c>
      <c r="C31" s="4"/>
      <c r="D31" s="4"/>
      <c r="E31" s="4"/>
      <c r="F31" s="5"/>
      <c r="G31" s="21"/>
      <c r="H31" s="21"/>
    </row>
    <row r="32" spans="1:8" x14ac:dyDescent="0.2">
      <c r="A32" s="1" t="s">
        <v>30</v>
      </c>
      <c r="B32" s="4">
        <v>11.6</v>
      </c>
      <c r="C32" s="4"/>
      <c r="D32" s="4"/>
      <c r="E32" s="4">
        <v>18</v>
      </c>
      <c r="F32" s="6">
        <v>18</v>
      </c>
      <c r="G32" s="21">
        <v>27</v>
      </c>
      <c r="H32" s="21"/>
    </row>
    <row r="33" spans="1:8" x14ac:dyDescent="0.2">
      <c r="A33" s="1" t="s">
        <v>31</v>
      </c>
      <c r="B33" s="4">
        <v>81.900000000000006</v>
      </c>
      <c r="C33" s="4">
        <v>142</v>
      </c>
      <c r="D33" s="4">
        <v>3</v>
      </c>
      <c r="E33" s="4">
        <v>110</v>
      </c>
      <c r="F33" s="6">
        <v>6</v>
      </c>
      <c r="G33" s="21">
        <v>29</v>
      </c>
      <c r="H33" s="21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16B2-39F3-43B3-9767-FA8987DB0E9A}">
  <dimension ref="A1:F35"/>
  <sheetViews>
    <sheetView workbookViewId="0">
      <selection activeCell="A4" sqref="A4:A35"/>
    </sheetView>
  </sheetViews>
  <sheetFormatPr defaultRowHeight="14.25" x14ac:dyDescent="0.2"/>
  <sheetData>
    <row r="1" spans="1:6" x14ac:dyDescent="0.15">
      <c r="A1" s="16" t="s">
        <v>74</v>
      </c>
    </row>
    <row r="2" spans="1:6" x14ac:dyDescent="0.15">
      <c r="A2" s="7" t="s">
        <v>33</v>
      </c>
      <c r="B2" s="8"/>
      <c r="C2" s="8"/>
      <c r="D2" s="8"/>
      <c r="E2" s="8"/>
      <c r="F2" s="8"/>
    </row>
    <row r="3" spans="1:6" x14ac:dyDescent="0.2">
      <c r="A3" s="9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11" t="s">
        <v>39</v>
      </c>
    </row>
    <row r="4" spans="1:6" x14ac:dyDescent="0.2">
      <c r="A4" s="12" t="s">
        <v>40</v>
      </c>
      <c r="B4" s="18">
        <v>5048</v>
      </c>
      <c r="C4" s="18">
        <v>4453</v>
      </c>
      <c r="D4" s="18">
        <v>4380</v>
      </c>
      <c r="E4" s="18">
        <v>4423</v>
      </c>
      <c r="F4" s="18">
        <v>5660</v>
      </c>
    </row>
    <row r="5" spans="1:6" x14ac:dyDescent="0.2">
      <c r="A5" s="13" t="s">
        <v>41</v>
      </c>
      <c r="B5" s="18">
        <v>6</v>
      </c>
      <c r="C5" s="18">
        <v>106</v>
      </c>
      <c r="D5" s="18">
        <v>41</v>
      </c>
      <c r="E5" s="18">
        <v>26</v>
      </c>
      <c r="F5" s="18">
        <v>9</v>
      </c>
    </row>
    <row r="6" spans="1:6" x14ac:dyDescent="0.2">
      <c r="A6" s="13" t="s">
        <v>42</v>
      </c>
      <c r="B6" s="18">
        <v>95</v>
      </c>
      <c r="C6" s="18">
        <v>0.2</v>
      </c>
      <c r="D6" s="18">
        <v>229</v>
      </c>
      <c r="E6" s="18">
        <v>130</v>
      </c>
      <c r="F6" s="18">
        <v>94</v>
      </c>
    </row>
    <row r="7" spans="1:6" x14ac:dyDescent="0.2">
      <c r="A7" s="13" t="s">
        <v>43</v>
      </c>
      <c r="B7" s="18">
        <v>170</v>
      </c>
      <c r="C7" s="18">
        <v>139</v>
      </c>
      <c r="D7" s="18">
        <v>205</v>
      </c>
      <c r="E7" s="18">
        <v>306</v>
      </c>
      <c r="F7" s="18">
        <v>361</v>
      </c>
    </row>
    <row r="8" spans="1:6" x14ac:dyDescent="0.2">
      <c r="A8" s="13" t="s">
        <v>44</v>
      </c>
      <c r="B8" s="18">
        <v>374</v>
      </c>
      <c r="C8" s="18">
        <v>46</v>
      </c>
      <c r="D8" s="18">
        <v>297</v>
      </c>
      <c r="E8" s="18">
        <v>72</v>
      </c>
      <c r="F8" s="18">
        <v>284</v>
      </c>
    </row>
    <row r="9" spans="1:6" x14ac:dyDescent="0.2">
      <c r="A9" s="13" t="s">
        <v>45</v>
      </c>
      <c r="B9" s="18">
        <v>366</v>
      </c>
      <c r="C9" s="18">
        <v>229</v>
      </c>
      <c r="D9" s="18">
        <v>67</v>
      </c>
      <c r="E9" s="18">
        <v>410</v>
      </c>
      <c r="F9" s="18">
        <v>423</v>
      </c>
    </row>
    <row r="10" spans="1:6" x14ac:dyDescent="0.2">
      <c r="A10" s="13" t="s">
        <v>46</v>
      </c>
      <c r="B10" s="18">
        <v>1</v>
      </c>
      <c r="C10" s="18">
        <v>46</v>
      </c>
      <c r="D10" s="18">
        <v>105</v>
      </c>
      <c r="E10" s="18">
        <v>2</v>
      </c>
      <c r="F10" s="18">
        <v>98</v>
      </c>
    </row>
    <row r="11" spans="1:6" x14ac:dyDescent="0.2">
      <c r="A11" s="13" t="s">
        <v>47</v>
      </c>
      <c r="B11" s="18">
        <v>11</v>
      </c>
      <c r="C11" s="14"/>
      <c r="D11" s="18">
        <v>51</v>
      </c>
      <c r="E11" s="14"/>
      <c r="F11" s="18">
        <v>4</v>
      </c>
    </row>
    <row r="12" spans="1:6" x14ac:dyDescent="0.2">
      <c r="A12" s="13" t="s">
        <v>48</v>
      </c>
      <c r="B12" s="18">
        <v>59</v>
      </c>
      <c r="C12" s="18">
        <v>128</v>
      </c>
      <c r="D12" s="18">
        <v>36</v>
      </c>
      <c r="E12" s="18">
        <v>88</v>
      </c>
      <c r="F12" s="18">
        <v>180</v>
      </c>
    </row>
    <row r="13" spans="1:6" x14ac:dyDescent="0.2">
      <c r="A13" s="13" t="s">
        <v>49</v>
      </c>
      <c r="B13" s="18">
        <v>11</v>
      </c>
      <c r="C13" s="18">
        <v>6</v>
      </c>
      <c r="D13" s="18">
        <v>96</v>
      </c>
      <c r="E13" s="18">
        <v>114</v>
      </c>
      <c r="F13" s="18">
        <v>1</v>
      </c>
    </row>
    <row r="14" spans="1:6" x14ac:dyDescent="0.2">
      <c r="A14" s="13" t="s">
        <v>50</v>
      </c>
      <c r="B14" s="18">
        <v>380</v>
      </c>
      <c r="C14" s="18">
        <v>744</v>
      </c>
      <c r="D14" s="18">
        <v>374</v>
      </c>
      <c r="E14" s="18">
        <v>456</v>
      </c>
      <c r="F14" s="18">
        <v>168</v>
      </c>
    </row>
    <row r="15" spans="1:6" x14ac:dyDescent="0.2">
      <c r="A15" s="13" t="s">
        <v>51</v>
      </c>
      <c r="B15" s="18">
        <v>64</v>
      </c>
      <c r="C15" s="18">
        <v>106</v>
      </c>
      <c r="D15" s="18">
        <v>163</v>
      </c>
      <c r="E15" s="18">
        <v>48</v>
      </c>
      <c r="F15" s="18">
        <v>212</v>
      </c>
    </row>
    <row r="16" spans="1:6" x14ac:dyDescent="0.2">
      <c r="A16" s="13" t="s">
        <v>52</v>
      </c>
      <c r="B16" s="18">
        <v>301</v>
      </c>
      <c r="C16" s="18">
        <v>148</v>
      </c>
      <c r="D16" s="18">
        <v>353</v>
      </c>
      <c r="E16" s="18">
        <v>140</v>
      </c>
      <c r="F16" s="18">
        <v>61</v>
      </c>
    </row>
    <row r="17" spans="1:6" x14ac:dyDescent="0.2">
      <c r="A17" s="13" t="s">
        <v>53</v>
      </c>
      <c r="B17" s="18">
        <v>33</v>
      </c>
      <c r="C17" s="18">
        <v>225</v>
      </c>
      <c r="D17" s="18">
        <v>74</v>
      </c>
      <c r="E17" s="18">
        <v>43</v>
      </c>
      <c r="F17" s="18">
        <v>174</v>
      </c>
    </row>
    <row r="18" spans="1:6" x14ac:dyDescent="0.2">
      <c r="A18" s="13" t="s">
        <v>54</v>
      </c>
      <c r="B18" s="18">
        <v>115</v>
      </c>
      <c r="C18" s="18">
        <v>0.2</v>
      </c>
      <c r="D18" s="18">
        <v>205</v>
      </c>
      <c r="E18" s="18">
        <v>0.3</v>
      </c>
      <c r="F18" s="18">
        <v>256</v>
      </c>
    </row>
    <row r="19" spans="1:6" x14ac:dyDescent="0.2">
      <c r="A19" s="13" t="s">
        <v>55</v>
      </c>
      <c r="B19" s="18">
        <v>883</v>
      </c>
      <c r="C19" s="18">
        <v>821</v>
      </c>
      <c r="D19" s="18">
        <v>145</v>
      </c>
      <c r="E19" s="18">
        <v>214</v>
      </c>
      <c r="F19" s="18">
        <v>621</v>
      </c>
    </row>
    <row r="20" spans="1:6" x14ac:dyDescent="0.2">
      <c r="A20" s="13" t="s">
        <v>56</v>
      </c>
      <c r="B20" s="18">
        <v>102</v>
      </c>
      <c r="C20" s="18">
        <v>325</v>
      </c>
      <c r="D20" s="18">
        <v>422</v>
      </c>
      <c r="E20" s="18">
        <v>261</v>
      </c>
      <c r="F20" s="18">
        <v>246</v>
      </c>
    </row>
    <row r="21" spans="1:6" x14ac:dyDescent="0.2">
      <c r="A21" s="13" t="s">
        <v>57</v>
      </c>
      <c r="B21" s="18">
        <v>122</v>
      </c>
      <c r="C21" s="18">
        <v>120</v>
      </c>
      <c r="D21" s="18">
        <v>112</v>
      </c>
      <c r="E21" s="18">
        <v>324</v>
      </c>
      <c r="F21" s="18">
        <v>188</v>
      </c>
    </row>
    <row r="22" spans="1:6" x14ac:dyDescent="0.2">
      <c r="A22" s="13" t="s">
        <v>58</v>
      </c>
      <c r="B22" s="18">
        <v>9</v>
      </c>
      <c r="C22" s="18">
        <v>12</v>
      </c>
      <c r="D22" s="18">
        <v>33</v>
      </c>
      <c r="E22" s="18">
        <v>19</v>
      </c>
      <c r="F22" s="18">
        <v>5</v>
      </c>
    </row>
    <row r="23" spans="1:6" x14ac:dyDescent="0.2">
      <c r="A23" s="13" t="s">
        <v>59</v>
      </c>
      <c r="B23" s="18">
        <v>60</v>
      </c>
      <c r="C23" s="14"/>
      <c r="D23" s="18">
        <v>484</v>
      </c>
      <c r="E23" s="18">
        <v>480</v>
      </c>
      <c r="F23" s="18">
        <v>741</v>
      </c>
    </row>
    <row r="24" spans="1:6" x14ac:dyDescent="0.2">
      <c r="A24" s="13" t="s">
        <v>60</v>
      </c>
      <c r="B24" s="18">
        <v>528</v>
      </c>
      <c r="C24" s="18">
        <v>51</v>
      </c>
      <c r="D24" s="18">
        <v>119</v>
      </c>
      <c r="E24" s="18">
        <v>11</v>
      </c>
      <c r="F24" s="18">
        <v>49</v>
      </c>
    </row>
    <row r="25" spans="1:6" x14ac:dyDescent="0.2">
      <c r="A25" s="13" t="s">
        <v>61</v>
      </c>
      <c r="B25" s="14"/>
      <c r="C25" s="14"/>
      <c r="D25" s="14"/>
      <c r="E25" s="18">
        <v>46</v>
      </c>
      <c r="F25" s="18">
        <v>98</v>
      </c>
    </row>
    <row r="26" spans="1:6" x14ac:dyDescent="0.2">
      <c r="A26" s="13" t="s">
        <v>62</v>
      </c>
      <c r="B26" s="18">
        <v>132</v>
      </c>
      <c r="C26" s="18">
        <v>18</v>
      </c>
      <c r="D26" s="18">
        <v>31</v>
      </c>
      <c r="E26" s="18">
        <v>5</v>
      </c>
      <c r="F26" s="18">
        <v>16</v>
      </c>
    </row>
    <row r="27" spans="1:6" x14ac:dyDescent="0.2">
      <c r="A27" s="13" t="s">
        <v>63</v>
      </c>
      <c r="B27" s="18">
        <v>30</v>
      </c>
      <c r="C27" s="18">
        <v>23</v>
      </c>
      <c r="D27" s="18">
        <v>30</v>
      </c>
      <c r="E27" s="18">
        <v>25</v>
      </c>
      <c r="F27" s="18">
        <v>35</v>
      </c>
    </row>
    <row r="28" spans="1:6" x14ac:dyDescent="0.2">
      <c r="A28" s="13" t="s">
        <v>64</v>
      </c>
      <c r="B28" s="18">
        <v>318</v>
      </c>
      <c r="C28" s="14"/>
      <c r="D28" s="14"/>
      <c r="E28" s="18">
        <v>105</v>
      </c>
      <c r="F28" s="18">
        <v>6</v>
      </c>
    </row>
    <row r="29" spans="1:6" x14ac:dyDescent="0.2">
      <c r="A29" s="13" t="s">
        <v>65</v>
      </c>
      <c r="B29" s="14"/>
      <c r="C29" s="14"/>
      <c r="D29" s="14"/>
      <c r="E29" s="14"/>
      <c r="F29" s="18">
        <v>5</v>
      </c>
    </row>
    <row r="30" spans="1:6" x14ac:dyDescent="0.2">
      <c r="A30" s="13" t="s">
        <v>66</v>
      </c>
      <c r="B30" s="18">
        <v>3</v>
      </c>
      <c r="C30" s="14"/>
      <c r="D30" s="14"/>
      <c r="E30" s="14"/>
      <c r="F30" s="14"/>
    </row>
    <row r="31" spans="1:6" x14ac:dyDescent="0.2">
      <c r="A31" s="13" t="s">
        <v>67</v>
      </c>
      <c r="B31" s="18">
        <v>149</v>
      </c>
      <c r="C31" s="18">
        <v>126</v>
      </c>
      <c r="D31" s="18">
        <v>389</v>
      </c>
      <c r="E31" s="18">
        <v>430</v>
      </c>
      <c r="F31" s="18">
        <v>584</v>
      </c>
    </row>
    <row r="32" spans="1:6" x14ac:dyDescent="0.2">
      <c r="A32" s="13" t="s">
        <v>68</v>
      </c>
      <c r="B32" s="18">
        <v>40</v>
      </c>
      <c r="C32" s="18">
        <v>112</v>
      </c>
      <c r="D32" s="18">
        <v>4</v>
      </c>
      <c r="E32" s="14"/>
      <c r="F32" s="18">
        <v>204</v>
      </c>
    </row>
    <row r="33" spans="1:6" x14ac:dyDescent="0.2">
      <c r="A33" s="13" t="s">
        <v>69</v>
      </c>
      <c r="B33" s="18">
        <v>113</v>
      </c>
      <c r="C33" s="18">
        <v>27</v>
      </c>
      <c r="D33" s="14"/>
      <c r="E33" s="14"/>
      <c r="F33" s="18">
        <v>0.2</v>
      </c>
    </row>
    <row r="34" spans="1:6" x14ac:dyDescent="0.2">
      <c r="A34" s="13" t="s">
        <v>70</v>
      </c>
      <c r="B34" s="18">
        <v>180</v>
      </c>
      <c r="C34" s="18">
        <v>432</v>
      </c>
      <c r="D34" s="18">
        <v>101</v>
      </c>
      <c r="E34" s="18">
        <v>367</v>
      </c>
      <c r="F34" s="18">
        <v>133</v>
      </c>
    </row>
    <row r="35" spans="1:6" x14ac:dyDescent="0.2">
      <c r="A35" s="15" t="s">
        <v>71</v>
      </c>
      <c r="B35" s="19">
        <v>394</v>
      </c>
      <c r="C35" s="20">
        <v>462</v>
      </c>
      <c r="D35" s="20">
        <v>214</v>
      </c>
      <c r="E35" s="20">
        <v>298</v>
      </c>
      <c r="F35" s="20">
        <v>403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2490-D8BC-4852-85F7-DEB902D689DC}">
  <dimension ref="A1:F35"/>
  <sheetViews>
    <sheetView workbookViewId="0">
      <selection activeCell="D14" sqref="D14"/>
    </sheetView>
  </sheetViews>
  <sheetFormatPr defaultRowHeight="14.25" x14ac:dyDescent="0.2"/>
  <sheetData>
    <row r="1" spans="1:6" x14ac:dyDescent="0.15">
      <c r="A1" s="16" t="s">
        <v>75</v>
      </c>
      <c r="B1" s="17"/>
      <c r="C1" s="17"/>
      <c r="D1" s="17"/>
      <c r="E1" s="17"/>
      <c r="F1" s="17"/>
    </row>
    <row r="2" spans="1:6" x14ac:dyDescent="0.15">
      <c r="A2" s="7" t="s">
        <v>33</v>
      </c>
      <c r="B2" s="8"/>
      <c r="C2" s="8"/>
      <c r="D2" s="8"/>
      <c r="E2" s="8"/>
      <c r="F2" s="8"/>
    </row>
    <row r="3" spans="1:6" x14ac:dyDescent="0.2">
      <c r="A3" s="9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11" t="s">
        <v>39</v>
      </c>
    </row>
    <row r="4" spans="1:6" x14ac:dyDescent="0.2">
      <c r="A4" s="12" t="s">
        <v>40</v>
      </c>
      <c r="B4" s="18">
        <v>1179</v>
      </c>
      <c r="C4" s="18">
        <v>1287</v>
      </c>
      <c r="D4" s="18">
        <v>859</v>
      </c>
      <c r="E4" s="18">
        <v>445</v>
      </c>
      <c r="F4" s="18">
        <v>1313</v>
      </c>
    </row>
    <row r="5" spans="1:6" x14ac:dyDescent="0.2">
      <c r="A5" s="13" t="s">
        <v>41</v>
      </c>
      <c r="B5" s="14"/>
      <c r="C5" s="14"/>
      <c r="D5" s="14"/>
      <c r="E5" s="14"/>
      <c r="F5" s="14"/>
    </row>
    <row r="6" spans="1:6" x14ac:dyDescent="0.2">
      <c r="A6" s="13" t="s">
        <v>42</v>
      </c>
      <c r="B6" s="14"/>
      <c r="C6" s="14"/>
      <c r="D6" s="14"/>
      <c r="E6" s="14"/>
      <c r="F6" s="14"/>
    </row>
    <row r="7" spans="1:6" x14ac:dyDescent="0.2">
      <c r="A7" s="13" t="s">
        <v>43</v>
      </c>
      <c r="B7" s="14"/>
      <c r="C7" s="18">
        <v>2</v>
      </c>
      <c r="D7" s="14"/>
      <c r="E7" s="14"/>
      <c r="F7" s="18">
        <v>0.3</v>
      </c>
    </row>
    <row r="8" spans="1:6" x14ac:dyDescent="0.2">
      <c r="A8" s="13" t="s">
        <v>44</v>
      </c>
      <c r="B8" s="14"/>
      <c r="C8" s="14"/>
      <c r="D8" s="14"/>
      <c r="E8" s="14"/>
      <c r="F8" s="18">
        <v>0.1</v>
      </c>
    </row>
    <row r="9" spans="1:6" x14ac:dyDescent="0.2">
      <c r="A9" s="13" t="s">
        <v>45</v>
      </c>
      <c r="B9" s="14"/>
      <c r="C9" s="18">
        <v>1</v>
      </c>
      <c r="D9" s="14"/>
      <c r="E9" s="14"/>
      <c r="F9" s="14"/>
    </row>
    <row r="10" spans="1:6" x14ac:dyDescent="0.2">
      <c r="A10" s="13" t="s">
        <v>46</v>
      </c>
      <c r="B10" s="14"/>
      <c r="C10" s="14"/>
      <c r="D10" s="14"/>
      <c r="E10" s="14"/>
      <c r="F10" s="18">
        <v>0.1</v>
      </c>
    </row>
    <row r="11" spans="1:6" x14ac:dyDescent="0.2">
      <c r="A11" s="13" t="s">
        <v>72</v>
      </c>
      <c r="B11" s="14"/>
      <c r="C11" s="18">
        <v>5</v>
      </c>
      <c r="D11" s="14"/>
      <c r="E11" s="18">
        <v>60</v>
      </c>
      <c r="F11" s="18">
        <v>69</v>
      </c>
    </row>
    <row r="12" spans="1:6" x14ac:dyDescent="0.2">
      <c r="A12" s="13" t="s">
        <v>48</v>
      </c>
      <c r="B12" s="14"/>
      <c r="C12" s="18">
        <v>2</v>
      </c>
      <c r="D12" s="18">
        <v>3</v>
      </c>
      <c r="E12" s="18">
        <v>4</v>
      </c>
      <c r="F12" s="18">
        <v>2</v>
      </c>
    </row>
    <row r="13" spans="1:6" x14ac:dyDescent="0.2">
      <c r="A13" s="13" t="s">
        <v>49</v>
      </c>
      <c r="B13" s="14"/>
      <c r="C13" s="14"/>
      <c r="D13" s="14"/>
      <c r="E13" s="14"/>
      <c r="F13" s="14"/>
    </row>
    <row r="14" spans="1:6" x14ac:dyDescent="0.2">
      <c r="A14" s="13" t="s">
        <v>50</v>
      </c>
      <c r="B14" s="14"/>
      <c r="C14" s="18">
        <v>150</v>
      </c>
      <c r="D14" s="14"/>
      <c r="E14" s="14"/>
      <c r="F14" s="14"/>
    </row>
    <row r="15" spans="1:6" x14ac:dyDescent="0.2">
      <c r="A15" s="13" t="s">
        <v>51</v>
      </c>
      <c r="B15" s="18">
        <v>177</v>
      </c>
      <c r="C15" s="18">
        <v>12</v>
      </c>
      <c r="D15" s="18">
        <v>7</v>
      </c>
      <c r="E15" s="18">
        <v>30</v>
      </c>
      <c r="F15" s="18">
        <v>3</v>
      </c>
    </row>
    <row r="16" spans="1:6" x14ac:dyDescent="0.2">
      <c r="A16" s="13" t="s">
        <v>52</v>
      </c>
      <c r="B16" s="18">
        <v>5</v>
      </c>
      <c r="C16" s="18">
        <v>16</v>
      </c>
      <c r="D16" s="18">
        <v>2</v>
      </c>
      <c r="E16" s="18">
        <v>36</v>
      </c>
      <c r="F16" s="18">
        <v>136</v>
      </c>
    </row>
    <row r="17" spans="1:6" x14ac:dyDescent="0.2">
      <c r="A17" s="13" t="s">
        <v>53</v>
      </c>
      <c r="B17" s="18">
        <v>6</v>
      </c>
      <c r="C17" s="18">
        <v>41</v>
      </c>
      <c r="D17" s="18">
        <v>22</v>
      </c>
      <c r="E17" s="18">
        <v>8</v>
      </c>
      <c r="F17" s="18">
        <v>13</v>
      </c>
    </row>
    <row r="18" spans="1:6" x14ac:dyDescent="0.2">
      <c r="A18" s="13" t="s">
        <v>54</v>
      </c>
      <c r="B18" s="18">
        <v>121</v>
      </c>
      <c r="C18" s="18">
        <v>11</v>
      </c>
      <c r="D18" s="18">
        <v>16</v>
      </c>
      <c r="E18" s="18">
        <v>35</v>
      </c>
      <c r="F18" s="18">
        <v>12</v>
      </c>
    </row>
    <row r="19" spans="1:6" x14ac:dyDescent="0.2">
      <c r="A19" s="13" t="s">
        <v>55</v>
      </c>
      <c r="B19" s="14"/>
      <c r="C19" s="14"/>
      <c r="D19" s="14"/>
      <c r="E19" s="14"/>
      <c r="F19" s="14"/>
    </row>
    <row r="20" spans="1:6" x14ac:dyDescent="0.2">
      <c r="A20" s="13" t="s">
        <v>56</v>
      </c>
      <c r="B20" s="14"/>
      <c r="C20" s="14"/>
      <c r="D20" s="18">
        <v>2.5</v>
      </c>
      <c r="E20" s="18">
        <v>5</v>
      </c>
      <c r="F20" s="14"/>
    </row>
    <row r="21" spans="1:6" x14ac:dyDescent="0.2">
      <c r="A21" s="13" t="s">
        <v>57</v>
      </c>
      <c r="B21" s="18">
        <v>13</v>
      </c>
      <c r="C21" s="18">
        <v>8</v>
      </c>
      <c r="D21" s="18">
        <v>6</v>
      </c>
      <c r="E21" s="18">
        <v>6</v>
      </c>
      <c r="F21" s="18">
        <v>65</v>
      </c>
    </row>
    <row r="22" spans="1:6" x14ac:dyDescent="0.2">
      <c r="A22" s="13" t="s">
        <v>58</v>
      </c>
      <c r="B22" s="18">
        <v>27</v>
      </c>
      <c r="C22" s="18">
        <v>32</v>
      </c>
      <c r="D22" s="18">
        <v>29</v>
      </c>
      <c r="E22" s="18">
        <v>51</v>
      </c>
      <c r="F22" s="18">
        <v>23</v>
      </c>
    </row>
    <row r="23" spans="1:6" x14ac:dyDescent="0.2">
      <c r="A23" s="13" t="s">
        <v>59</v>
      </c>
      <c r="B23" s="18">
        <v>96</v>
      </c>
      <c r="C23" s="18">
        <v>35</v>
      </c>
      <c r="D23" s="18">
        <v>90</v>
      </c>
      <c r="E23" s="14"/>
      <c r="F23" s="14"/>
    </row>
    <row r="24" spans="1:6" x14ac:dyDescent="0.2">
      <c r="A24" s="13" t="s">
        <v>60</v>
      </c>
      <c r="B24" s="18">
        <v>14</v>
      </c>
      <c r="C24" s="14"/>
      <c r="D24" s="18">
        <v>5</v>
      </c>
      <c r="E24" s="18">
        <v>29</v>
      </c>
      <c r="F24" s="18">
        <v>69</v>
      </c>
    </row>
    <row r="25" spans="1:6" x14ac:dyDescent="0.2">
      <c r="A25" s="13" t="s">
        <v>61</v>
      </c>
      <c r="B25" s="14"/>
      <c r="C25" s="18">
        <v>20</v>
      </c>
      <c r="D25" s="18">
        <v>40</v>
      </c>
      <c r="E25" s="14"/>
      <c r="F25" s="14"/>
    </row>
    <row r="26" spans="1:6" x14ac:dyDescent="0.2">
      <c r="A26" s="13" t="s">
        <v>62</v>
      </c>
      <c r="B26" s="18">
        <v>11</v>
      </c>
      <c r="C26" s="18">
        <v>74</v>
      </c>
      <c r="D26" s="18">
        <v>14</v>
      </c>
      <c r="E26" s="18">
        <v>6</v>
      </c>
      <c r="F26" s="18">
        <v>4</v>
      </c>
    </row>
    <row r="27" spans="1:6" x14ac:dyDescent="0.2">
      <c r="A27" s="13" t="s">
        <v>63</v>
      </c>
      <c r="B27" s="18">
        <v>308</v>
      </c>
      <c r="C27" s="18">
        <v>602</v>
      </c>
      <c r="D27" s="18">
        <v>155</v>
      </c>
      <c r="E27" s="18">
        <v>27</v>
      </c>
      <c r="F27" s="18">
        <v>413</v>
      </c>
    </row>
    <row r="28" spans="1:6" x14ac:dyDescent="0.2">
      <c r="A28" s="13" t="s">
        <v>64</v>
      </c>
      <c r="B28" s="18">
        <v>9</v>
      </c>
      <c r="C28" s="18">
        <v>31</v>
      </c>
      <c r="D28" s="14"/>
      <c r="E28" s="18">
        <v>5</v>
      </c>
      <c r="F28" s="18">
        <v>13</v>
      </c>
    </row>
    <row r="29" spans="1:6" x14ac:dyDescent="0.2">
      <c r="A29" s="13" t="s">
        <v>65</v>
      </c>
      <c r="B29" s="18">
        <v>180</v>
      </c>
      <c r="C29" s="18">
        <v>115</v>
      </c>
      <c r="D29" s="18">
        <v>392</v>
      </c>
      <c r="E29" s="18">
        <v>92</v>
      </c>
      <c r="F29" s="18">
        <v>340</v>
      </c>
    </row>
    <row r="30" spans="1:6" x14ac:dyDescent="0.2">
      <c r="A30" s="13" t="s">
        <v>66</v>
      </c>
      <c r="B30" s="18">
        <v>41</v>
      </c>
      <c r="C30" s="18">
        <v>2</v>
      </c>
      <c r="D30" s="18">
        <v>1</v>
      </c>
      <c r="E30" s="18">
        <v>14</v>
      </c>
      <c r="F30" s="18">
        <v>39</v>
      </c>
    </row>
    <row r="31" spans="1:6" x14ac:dyDescent="0.2">
      <c r="A31" s="13" t="s">
        <v>67</v>
      </c>
      <c r="B31" s="18">
        <v>15</v>
      </c>
      <c r="C31" s="18">
        <v>70</v>
      </c>
      <c r="D31" s="18">
        <v>4</v>
      </c>
      <c r="E31" s="18">
        <v>11</v>
      </c>
      <c r="F31" s="18">
        <v>29</v>
      </c>
    </row>
    <row r="32" spans="1:6" x14ac:dyDescent="0.2">
      <c r="A32" s="13" t="s">
        <v>68</v>
      </c>
      <c r="B32" s="18">
        <v>9</v>
      </c>
      <c r="C32" s="18">
        <v>7</v>
      </c>
      <c r="D32" s="18">
        <v>61</v>
      </c>
      <c r="E32" s="18">
        <v>15</v>
      </c>
      <c r="F32" s="18">
        <v>13</v>
      </c>
    </row>
    <row r="33" spans="1:6" x14ac:dyDescent="0.2">
      <c r="A33" s="13" t="s">
        <v>69</v>
      </c>
      <c r="B33" s="18">
        <v>46</v>
      </c>
      <c r="C33" s="18">
        <v>4</v>
      </c>
      <c r="D33" s="18">
        <v>1</v>
      </c>
      <c r="E33" s="14"/>
      <c r="F33" s="18">
        <v>1</v>
      </c>
    </row>
    <row r="34" spans="1:6" x14ac:dyDescent="0.2">
      <c r="A34" s="13" t="s">
        <v>70</v>
      </c>
      <c r="B34" s="14"/>
      <c r="C34" s="14"/>
      <c r="D34" s="14"/>
      <c r="E34" s="14"/>
      <c r="F34" s="18">
        <v>0.04</v>
      </c>
    </row>
    <row r="35" spans="1:6" x14ac:dyDescent="0.2">
      <c r="A35" s="15" t="s">
        <v>76</v>
      </c>
      <c r="B35" s="19">
        <v>98</v>
      </c>
      <c r="C35" s="20">
        <v>47</v>
      </c>
      <c r="D35" s="20">
        <v>10</v>
      </c>
      <c r="E35" s="20">
        <v>10</v>
      </c>
      <c r="F35" s="20">
        <v>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9421-C5D8-470A-B2A8-7D9BDABB8702}">
  <dimension ref="A1:F35"/>
  <sheetViews>
    <sheetView workbookViewId="0">
      <selection activeCell="C14" sqref="C14"/>
    </sheetView>
  </sheetViews>
  <sheetFormatPr defaultRowHeight="14.25" x14ac:dyDescent="0.2"/>
  <sheetData>
    <row r="1" spans="1:6" x14ac:dyDescent="0.15">
      <c r="A1" s="16" t="s">
        <v>73</v>
      </c>
    </row>
    <row r="2" spans="1:6" x14ac:dyDescent="0.15">
      <c r="A2" s="7" t="s">
        <v>33</v>
      </c>
      <c r="B2" s="8"/>
      <c r="C2" s="8"/>
      <c r="D2" s="8"/>
      <c r="E2" s="8"/>
      <c r="F2" s="8"/>
    </row>
    <row r="3" spans="1:6" x14ac:dyDescent="0.2">
      <c r="A3" s="9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11" t="s">
        <v>39</v>
      </c>
    </row>
    <row r="4" spans="1:6" x14ac:dyDescent="0.2">
      <c r="A4" s="12" t="s">
        <v>40</v>
      </c>
      <c r="B4" s="18">
        <v>2024</v>
      </c>
      <c r="C4" s="18">
        <v>1720</v>
      </c>
      <c r="D4" s="18">
        <v>2127</v>
      </c>
      <c r="E4" s="18">
        <v>2572</v>
      </c>
      <c r="F4" s="18">
        <v>7211</v>
      </c>
    </row>
    <row r="5" spans="1:6" x14ac:dyDescent="0.2">
      <c r="A5" s="13" t="s">
        <v>41</v>
      </c>
      <c r="B5" s="18">
        <v>7</v>
      </c>
      <c r="C5" s="18">
        <v>0.3</v>
      </c>
      <c r="D5" s="14"/>
      <c r="E5" s="14"/>
      <c r="F5" s="18">
        <v>5</v>
      </c>
    </row>
    <row r="6" spans="1:6" x14ac:dyDescent="0.2">
      <c r="A6" s="13" t="s">
        <v>42</v>
      </c>
      <c r="B6" s="14"/>
      <c r="C6" s="18">
        <v>11</v>
      </c>
      <c r="D6" s="18">
        <v>28</v>
      </c>
      <c r="E6" s="18">
        <v>13</v>
      </c>
      <c r="F6" s="18">
        <v>32</v>
      </c>
    </row>
    <row r="7" spans="1:6" x14ac:dyDescent="0.2">
      <c r="A7" s="13" t="s">
        <v>43</v>
      </c>
      <c r="B7" s="18">
        <v>228</v>
      </c>
      <c r="C7" s="18">
        <v>107</v>
      </c>
      <c r="D7" s="18">
        <v>246</v>
      </c>
      <c r="E7" s="18">
        <v>238</v>
      </c>
      <c r="F7" s="18">
        <v>642</v>
      </c>
    </row>
    <row r="8" spans="1:6" x14ac:dyDescent="0.2">
      <c r="A8" s="13" t="s">
        <v>44</v>
      </c>
      <c r="B8" s="18">
        <v>173</v>
      </c>
      <c r="C8" s="18">
        <v>96</v>
      </c>
      <c r="D8" s="18">
        <v>196</v>
      </c>
      <c r="E8" s="18">
        <v>214</v>
      </c>
      <c r="F8" s="18">
        <v>720</v>
      </c>
    </row>
    <row r="9" spans="1:6" x14ac:dyDescent="0.2">
      <c r="A9" s="13" t="s">
        <v>45</v>
      </c>
      <c r="B9" s="18">
        <v>81</v>
      </c>
      <c r="C9" s="18">
        <v>88</v>
      </c>
      <c r="D9" s="18">
        <v>215</v>
      </c>
      <c r="E9" s="18">
        <v>124</v>
      </c>
      <c r="F9" s="18">
        <v>843</v>
      </c>
    </row>
    <row r="10" spans="1:6" x14ac:dyDescent="0.2">
      <c r="A10" s="13" t="s">
        <v>46</v>
      </c>
      <c r="B10" s="18">
        <v>14</v>
      </c>
      <c r="C10" s="18">
        <v>20</v>
      </c>
      <c r="D10" s="18">
        <v>50</v>
      </c>
      <c r="E10" s="18">
        <v>78</v>
      </c>
      <c r="F10" s="18">
        <v>147</v>
      </c>
    </row>
    <row r="11" spans="1:6" x14ac:dyDescent="0.2">
      <c r="A11" s="13" t="s">
        <v>72</v>
      </c>
      <c r="B11" s="18">
        <v>22</v>
      </c>
      <c r="C11" s="18">
        <v>5</v>
      </c>
      <c r="D11" s="18">
        <v>9</v>
      </c>
      <c r="E11" s="18">
        <v>41</v>
      </c>
      <c r="F11" s="18">
        <v>39</v>
      </c>
    </row>
    <row r="12" spans="1:6" x14ac:dyDescent="0.2">
      <c r="A12" s="13" t="s">
        <v>48</v>
      </c>
      <c r="B12" s="18">
        <v>66</v>
      </c>
      <c r="C12" s="18">
        <v>29</v>
      </c>
      <c r="D12" s="18">
        <v>31</v>
      </c>
      <c r="E12" s="18">
        <v>12</v>
      </c>
      <c r="F12" s="18">
        <v>76</v>
      </c>
    </row>
    <row r="13" spans="1:6" x14ac:dyDescent="0.2">
      <c r="A13" s="13" t="s">
        <v>49</v>
      </c>
      <c r="B13" s="18">
        <v>20</v>
      </c>
      <c r="C13" s="14"/>
      <c r="D13" s="14"/>
      <c r="E13" s="18">
        <v>11</v>
      </c>
      <c r="F13" s="18">
        <v>1</v>
      </c>
    </row>
    <row r="14" spans="1:6" x14ac:dyDescent="0.2">
      <c r="A14" s="13" t="s">
        <v>50</v>
      </c>
      <c r="B14" s="18">
        <v>95</v>
      </c>
      <c r="C14" s="18">
        <v>130</v>
      </c>
      <c r="D14" s="18">
        <v>197</v>
      </c>
      <c r="E14" s="18">
        <v>176</v>
      </c>
      <c r="F14" s="18">
        <v>506</v>
      </c>
    </row>
    <row r="15" spans="1:6" x14ac:dyDescent="0.2">
      <c r="A15" s="13" t="s">
        <v>51</v>
      </c>
      <c r="B15" s="18">
        <v>27</v>
      </c>
      <c r="C15" s="18">
        <v>15</v>
      </c>
      <c r="D15" s="18">
        <v>26</v>
      </c>
      <c r="E15" s="18">
        <v>15</v>
      </c>
      <c r="F15" s="18">
        <v>27</v>
      </c>
    </row>
    <row r="16" spans="1:6" x14ac:dyDescent="0.2">
      <c r="A16" s="13" t="s">
        <v>52</v>
      </c>
      <c r="B16" s="18">
        <v>45</v>
      </c>
      <c r="C16" s="18">
        <v>43</v>
      </c>
      <c r="D16" s="18">
        <v>24</v>
      </c>
      <c r="E16" s="18">
        <v>30</v>
      </c>
      <c r="F16" s="18">
        <v>134</v>
      </c>
    </row>
    <row r="17" spans="1:6" x14ac:dyDescent="0.2">
      <c r="A17" s="13" t="s">
        <v>53</v>
      </c>
      <c r="B17" s="18">
        <v>62</v>
      </c>
      <c r="C17" s="18">
        <v>69</v>
      </c>
      <c r="D17" s="18">
        <v>56</v>
      </c>
      <c r="E17" s="18">
        <v>82</v>
      </c>
      <c r="F17" s="18">
        <v>109</v>
      </c>
    </row>
    <row r="18" spans="1:6" x14ac:dyDescent="0.2">
      <c r="A18" s="13" t="s">
        <v>54</v>
      </c>
      <c r="B18" s="18">
        <v>27</v>
      </c>
      <c r="C18" s="18">
        <v>53</v>
      </c>
      <c r="D18" s="18">
        <v>62</v>
      </c>
      <c r="E18" s="18">
        <v>61</v>
      </c>
      <c r="F18" s="18">
        <v>208</v>
      </c>
    </row>
    <row r="19" spans="1:6" x14ac:dyDescent="0.2">
      <c r="A19" s="13" t="s">
        <v>55</v>
      </c>
      <c r="B19" s="18">
        <v>111</v>
      </c>
      <c r="C19" s="18">
        <v>191</v>
      </c>
      <c r="D19" s="18">
        <v>94</v>
      </c>
      <c r="E19" s="18">
        <v>213</v>
      </c>
      <c r="F19" s="18">
        <v>440</v>
      </c>
    </row>
    <row r="20" spans="1:6" x14ac:dyDescent="0.2">
      <c r="A20" s="13" t="s">
        <v>56</v>
      </c>
      <c r="B20" s="18">
        <v>34</v>
      </c>
      <c r="C20" s="18">
        <v>135</v>
      </c>
      <c r="D20" s="18">
        <v>238</v>
      </c>
      <c r="E20" s="18">
        <v>327</v>
      </c>
      <c r="F20" s="18">
        <v>724</v>
      </c>
    </row>
    <row r="21" spans="1:6" x14ac:dyDescent="0.2">
      <c r="A21" s="13" t="s">
        <v>57</v>
      </c>
      <c r="B21" s="18">
        <v>83</v>
      </c>
      <c r="C21" s="18">
        <v>67</v>
      </c>
      <c r="D21" s="18">
        <v>81</v>
      </c>
      <c r="E21" s="18">
        <v>76</v>
      </c>
      <c r="F21" s="18">
        <v>91</v>
      </c>
    </row>
    <row r="22" spans="1:6" x14ac:dyDescent="0.2">
      <c r="A22" s="13" t="s">
        <v>58</v>
      </c>
      <c r="B22" s="18">
        <v>86</v>
      </c>
      <c r="C22" s="18">
        <v>50</v>
      </c>
      <c r="D22" s="18">
        <v>100</v>
      </c>
      <c r="E22" s="18">
        <v>71</v>
      </c>
      <c r="F22" s="18">
        <v>241</v>
      </c>
    </row>
    <row r="23" spans="1:6" x14ac:dyDescent="0.2">
      <c r="A23" s="13" t="s">
        <v>59</v>
      </c>
      <c r="B23" s="18">
        <v>16</v>
      </c>
      <c r="C23" s="18">
        <v>29</v>
      </c>
      <c r="D23" s="18">
        <v>2</v>
      </c>
      <c r="E23" s="18">
        <v>31</v>
      </c>
      <c r="F23" s="18">
        <v>111</v>
      </c>
    </row>
    <row r="24" spans="1:6" x14ac:dyDescent="0.2">
      <c r="A24" s="13" t="s">
        <v>60</v>
      </c>
      <c r="B24" s="18">
        <v>35</v>
      </c>
      <c r="C24" s="18">
        <v>82</v>
      </c>
      <c r="D24" s="18">
        <v>61</v>
      </c>
      <c r="E24" s="18">
        <v>90</v>
      </c>
      <c r="F24" s="18">
        <v>354</v>
      </c>
    </row>
    <row r="25" spans="1:6" x14ac:dyDescent="0.2">
      <c r="A25" s="13" t="s">
        <v>61</v>
      </c>
      <c r="B25" s="14"/>
      <c r="C25" s="14"/>
      <c r="D25" s="14"/>
      <c r="E25" s="14"/>
      <c r="F25" s="14"/>
    </row>
    <row r="26" spans="1:6" x14ac:dyDescent="0.2">
      <c r="A26" s="13" t="s">
        <v>62</v>
      </c>
      <c r="B26" s="18">
        <v>10</v>
      </c>
      <c r="C26" s="18">
        <v>14</v>
      </c>
      <c r="D26" s="18">
        <v>19</v>
      </c>
      <c r="E26" s="18">
        <v>18</v>
      </c>
      <c r="F26" s="18">
        <v>28</v>
      </c>
    </row>
    <row r="27" spans="1:6" x14ac:dyDescent="0.2">
      <c r="A27" s="13" t="s">
        <v>63</v>
      </c>
      <c r="B27" s="18">
        <v>68</v>
      </c>
      <c r="C27" s="18">
        <v>126</v>
      </c>
      <c r="D27" s="18">
        <v>47</v>
      </c>
      <c r="E27" s="18">
        <v>66</v>
      </c>
      <c r="F27" s="18">
        <v>100</v>
      </c>
    </row>
    <row r="28" spans="1:6" x14ac:dyDescent="0.2">
      <c r="A28" s="13" t="s">
        <v>64</v>
      </c>
      <c r="B28" s="18">
        <v>32</v>
      </c>
      <c r="C28" s="18">
        <v>31</v>
      </c>
      <c r="D28" s="18">
        <v>15</v>
      </c>
      <c r="E28" s="18">
        <v>78</v>
      </c>
      <c r="F28" s="18">
        <v>149</v>
      </c>
    </row>
    <row r="29" spans="1:6" x14ac:dyDescent="0.2">
      <c r="A29" s="13" t="s">
        <v>65</v>
      </c>
      <c r="B29" s="18">
        <v>97</v>
      </c>
      <c r="C29" s="18">
        <v>53</v>
      </c>
      <c r="D29" s="18">
        <v>0.4</v>
      </c>
      <c r="E29" s="18">
        <v>7</v>
      </c>
      <c r="F29" s="18">
        <v>26</v>
      </c>
    </row>
    <row r="30" spans="1:6" x14ac:dyDescent="0.2">
      <c r="A30" s="13" t="s">
        <v>66</v>
      </c>
      <c r="B30" s="14"/>
      <c r="C30" s="14"/>
      <c r="D30" s="14"/>
      <c r="E30" s="14"/>
      <c r="F30" s="14"/>
    </row>
    <row r="31" spans="1:6" x14ac:dyDescent="0.2">
      <c r="A31" s="13" t="s">
        <v>67</v>
      </c>
      <c r="B31" s="18">
        <v>91</v>
      </c>
      <c r="C31" s="18">
        <v>132</v>
      </c>
      <c r="D31" s="18">
        <v>59</v>
      </c>
      <c r="E31" s="18">
        <v>117</v>
      </c>
      <c r="F31" s="18">
        <v>344</v>
      </c>
    </row>
    <row r="32" spans="1:6" x14ac:dyDescent="0.2">
      <c r="A32" s="13" t="s">
        <v>68</v>
      </c>
      <c r="B32" s="18">
        <v>25</v>
      </c>
      <c r="C32" s="18">
        <v>5</v>
      </c>
      <c r="D32" s="14"/>
      <c r="E32" s="18">
        <v>12</v>
      </c>
      <c r="F32" s="18">
        <v>76</v>
      </c>
    </row>
    <row r="33" spans="1:6" x14ac:dyDescent="0.2">
      <c r="A33" s="13" t="s">
        <v>69</v>
      </c>
      <c r="B33" s="18">
        <v>30</v>
      </c>
      <c r="C33" s="18">
        <v>110</v>
      </c>
      <c r="D33" s="18">
        <v>112</v>
      </c>
      <c r="E33" s="18">
        <v>195</v>
      </c>
      <c r="F33" s="18">
        <v>379</v>
      </c>
    </row>
    <row r="34" spans="1:6" x14ac:dyDescent="0.2">
      <c r="A34" s="13" t="s">
        <v>70</v>
      </c>
      <c r="B34" s="18">
        <v>177</v>
      </c>
      <c r="C34" s="14"/>
      <c r="D34" s="18">
        <v>84</v>
      </c>
      <c r="E34" s="18">
        <v>110</v>
      </c>
      <c r="F34" s="18">
        <v>260</v>
      </c>
    </row>
    <row r="35" spans="1:6" x14ac:dyDescent="0.2">
      <c r="A35" s="15" t="s">
        <v>71</v>
      </c>
      <c r="B35" s="19">
        <v>262</v>
      </c>
      <c r="C35" s="20">
        <v>30</v>
      </c>
      <c r="D35" s="20">
        <v>74</v>
      </c>
      <c r="E35" s="20">
        <v>65</v>
      </c>
      <c r="F35" s="20">
        <v>399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A9B9-6C25-4553-8705-623634D8C9BC}">
  <dimension ref="A1:F35"/>
  <sheetViews>
    <sheetView workbookViewId="0">
      <selection activeCell="F35" sqref="B4:F35"/>
    </sheetView>
  </sheetViews>
  <sheetFormatPr defaultRowHeight="14.25" x14ac:dyDescent="0.2"/>
  <sheetData>
    <row r="1" spans="1:6" x14ac:dyDescent="0.15">
      <c r="A1" s="16" t="s">
        <v>77</v>
      </c>
      <c r="B1" s="17"/>
      <c r="C1" s="17"/>
      <c r="D1" s="17"/>
      <c r="E1" s="17"/>
      <c r="F1" s="17"/>
    </row>
    <row r="2" spans="1:6" x14ac:dyDescent="0.15">
      <c r="A2" s="7" t="s">
        <v>33</v>
      </c>
      <c r="B2" s="8"/>
      <c r="C2" s="8"/>
      <c r="D2" s="8"/>
      <c r="E2" s="8"/>
      <c r="F2" s="8"/>
    </row>
    <row r="3" spans="1:6" x14ac:dyDescent="0.2">
      <c r="A3" s="9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11" t="s">
        <v>39</v>
      </c>
    </row>
    <row r="4" spans="1:6" x14ac:dyDescent="0.2">
      <c r="A4" s="12" t="s">
        <v>40</v>
      </c>
      <c r="B4" s="18">
        <v>3171</v>
      </c>
      <c r="C4" s="18">
        <v>5341</v>
      </c>
      <c r="D4" s="18">
        <v>4525</v>
      </c>
      <c r="E4" s="18">
        <v>2652</v>
      </c>
      <c r="F4" s="18">
        <v>4820</v>
      </c>
    </row>
    <row r="5" spans="1:6" x14ac:dyDescent="0.2">
      <c r="A5" s="13" t="s">
        <v>41</v>
      </c>
      <c r="B5" s="18">
        <v>18</v>
      </c>
      <c r="C5" s="18">
        <v>15</v>
      </c>
      <c r="D5" s="18">
        <v>15</v>
      </c>
      <c r="E5" s="18">
        <v>11</v>
      </c>
      <c r="F5" s="18">
        <v>11</v>
      </c>
    </row>
    <row r="6" spans="1:6" x14ac:dyDescent="0.2">
      <c r="A6" s="13" t="s">
        <v>42</v>
      </c>
      <c r="B6" s="18">
        <v>48</v>
      </c>
      <c r="C6" s="18">
        <v>11</v>
      </c>
      <c r="D6" s="18">
        <v>61</v>
      </c>
      <c r="E6" s="18">
        <v>23</v>
      </c>
      <c r="F6" s="18">
        <v>21</v>
      </c>
    </row>
    <row r="7" spans="1:6" x14ac:dyDescent="0.2">
      <c r="A7" s="13" t="s">
        <v>43</v>
      </c>
      <c r="B7" s="18">
        <v>232</v>
      </c>
      <c r="C7" s="18">
        <v>450</v>
      </c>
      <c r="D7" s="18">
        <v>389</v>
      </c>
      <c r="E7" s="18">
        <v>236</v>
      </c>
      <c r="F7" s="18">
        <v>715</v>
      </c>
    </row>
    <row r="8" spans="1:6" x14ac:dyDescent="0.2">
      <c r="A8" s="13" t="s">
        <v>44</v>
      </c>
      <c r="B8" s="18">
        <v>246</v>
      </c>
      <c r="C8" s="18">
        <v>280</v>
      </c>
      <c r="D8" s="18">
        <v>329</v>
      </c>
      <c r="E8" s="18">
        <v>158</v>
      </c>
      <c r="F8" s="18">
        <v>220</v>
      </c>
    </row>
    <row r="9" spans="1:6" x14ac:dyDescent="0.2">
      <c r="A9" s="13" t="s">
        <v>45</v>
      </c>
      <c r="B9" s="18">
        <v>26</v>
      </c>
      <c r="C9" s="18">
        <v>74</v>
      </c>
      <c r="D9" s="18">
        <v>132</v>
      </c>
      <c r="E9" s="18">
        <v>123</v>
      </c>
      <c r="F9" s="18">
        <v>147</v>
      </c>
    </row>
    <row r="10" spans="1:6" x14ac:dyDescent="0.2">
      <c r="A10" s="13" t="s">
        <v>46</v>
      </c>
      <c r="B10" s="18">
        <v>21</v>
      </c>
      <c r="C10" s="18">
        <v>43</v>
      </c>
      <c r="D10" s="18">
        <v>37</v>
      </c>
      <c r="E10" s="18">
        <v>34</v>
      </c>
      <c r="F10" s="18">
        <v>56</v>
      </c>
    </row>
    <row r="11" spans="1:6" x14ac:dyDescent="0.2">
      <c r="A11" s="13" t="s">
        <v>72</v>
      </c>
      <c r="B11" s="18">
        <v>52</v>
      </c>
      <c r="C11" s="18">
        <v>115</v>
      </c>
      <c r="D11" s="18">
        <v>129</v>
      </c>
      <c r="E11" s="18">
        <v>9</v>
      </c>
      <c r="F11" s="18">
        <v>59</v>
      </c>
    </row>
    <row r="12" spans="1:6" x14ac:dyDescent="0.2">
      <c r="A12" s="13" t="s">
        <v>48</v>
      </c>
      <c r="B12" s="18">
        <v>14</v>
      </c>
      <c r="C12" s="18">
        <v>89</v>
      </c>
      <c r="D12" s="18">
        <v>143</v>
      </c>
      <c r="E12" s="18">
        <v>59</v>
      </c>
      <c r="F12" s="18">
        <v>44</v>
      </c>
    </row>
    <row r="13" spans="1:6" x14ac:dyDescent="0.2">
      <c r="A13" s="13" t="s">
        <v>49</v>
      </c>
      <c r="B13" s="18">
        <v>15</v>
      </c>
      <c r="C13" s="18">
        <v>29</v>
      </c>
      <c r="D13" s="18">
        <v>32</v>
      </c>
      <c r="E13" s="18">
        <v>20</v>
      </c>
      <c r="F13" s="18">
        <v>28</v>
      </c>
    </row>
    <row r="14" spans="1:6" x14ac:dyDescent="0.2">
      <c r="A14" s="13" t="s">
        <v>50</v>
      </c>
      <c r="B14" s="18">
        <v>170</v>
      </c>
      <c r="C14" s="18">
        <v>386</v>
      </c>
      <c r="D14" s="18">
        <v>452</v>
      </c>
      <c r="E14" s="18">
        <v>159</v>
      </c>
      <c r="F14" s="18">
        <v>198</v>
      </c>
    </row>
    <row r="15" spans="1:6" x14ac:dyDescent="0.2">
      <c r="A15" s="13" t="s">
        <v>51</v>
      </c>
      <c r="B15" s="18">
        <v>228</v>
      </c>
      <c r="C15" s="18">
        <v>639</v>
      </c>
      <c r="D15" s="18">
        <v>412</v>
      </c>
      <c r="E15" s="18">
        <v>205</v>
      </c>
      <c r="F15" s="18">
        <v>178</v>
      </c>
    </row>
    <row r="16" spans="1:6" x14ac:dyDescent="0.2">
      <c r="A16" s="13" t="s">
        <v>52</v>
      </c>
      <c r="B16" s="18">
        <v>153</v>
      </c>
      <c r="C16" s="18">
        <v>758</v>
      </c>
      <c r="D16" s="18">
        <v>345</v>
      </c>
      <c r="E16" s="18">
        <v>137</v>
      </c>
      <c r="F16" s="18">
        <v>116</v>
      </c>
    </row>
    <row r="17" spans="1:6" x14ac:dyDescent="0.2">
      <c r="A17" s="13" t="s">
        <v>53</v>
      </c>
      <c r="B17" s="18">
        <v>20</v>
      </c>
      <c r="C17" s="18">
        <v>79</v>
      </c>
      <c r="D17" s="18">
        <v>58</v>
      </c>
      <c r="E17" s="18">
        <v>22</v>
      </c>
      <c r="F17" s="18">
        <v>33</v>
      </c>
    </row>
    <row r="18" spans="1:6" x14ac:dyDescent="0.2">
      <c r="A18" s="13" t="s">
        <v>54</v>
      </c>
      <c r="B18" s="18">
        <v>137</v>
      </c>
      <c r="C18" s="18">
        <v>216</v>
      </c>
      <c r="D18" s="18">
        <v>120</v>
      </c>
      <c r="E18" s="18">
        <v>99</v>
      </c>
      <c r="F18" s="18">
        <v>144</v>
      </c>
    </row>
    <row r="19" spans="1:6" x14ac:dyDescent="0.2">
      <c r="A19" s="13" t="s">
        <v>55</v>
      </c>
      <c r="B19" s="18">
        <v>286</v>
      </c>
      <c r="C19" s="18">
        <v>645</v>
      </c>
      <c r="D19" s="18">
        <v>393</v>
      </c>
      <c r="E19" s="18">
        <v>256</v>
      </c>
      <c r="F19" s="18">
        <v>647</v>
      </c>
    </row>
    <row r="20" spans="1:6" x14ac:dyDescent="0.2">
      <c r="A20" s="13" t="s">
        <v>56</v>
      </c>
      <c r="B20" s="18">
        <v>250</v>
      </c>
      <c r="C20" s="18">
        <v>428</v>
      </c>
      <c r="D20" s="18">
        <v>294</v>
      </c>
      <c r="E20" s="18">
        <v>72</v>
      </c>
      <c r="F20" s="18">
        <v>121</v>
      </c>
    </row>
    <row r="21" spans="1:6" x14ac:dyDescent="0.2">
      <c r="A21" s="13" t="s">
        <v>57</v>
      </c>
      <c r="B21" s="18">
        <v>158</v>
      </c>
      <c r="C21" s="18">
        <v>254</v>
      </c>
      <c r="D21" s="18">
        <v>166</v>
      </c>
      <c r="E21" s="18">
        <v>125</v>
      </c>
      <c r="F21" s="18">
        <v>76</v>
      </c>
    </row>
    <row r="22" spans="1:6" x14ac:dyDescent="0.2">
      <c r="A22" s="13" t="s">
        <v>58</v>
      </c>
      <c r="B22" s="18">
        <v>13</v>
      </c>
      <c r="C22" s="18">
        <v>180</v>
      </c>
      <c r="D22" s="18">
        <v>135</v>
      </c>
      <c r="E22" s="18">
        <v>40</v>
      </c>
      <c r="F22" s="18">
        <v>47</v>
      </c>
    </row>
    <row r="23" spans="1:6" x14ac:dyDescent="0.2">
      <c r="A23" s="13" t="s">
        <v>59</v>
      </c>
      <c r="B23" s="18">
        <v>19</v>
      </c>
      <c r="C23" s="18">
        <v>23</v>
      </c>
      <c r="D23" s="18">
        <v>34</v>
      </c>
      <c r="E23" s="18">
        <v>104</v>
      </c>
      <c r="F23" s="18">
        <v>189</v>
      </c>
    </row>
    <row r="24" spans="1:6" x14ac:dyDescent="0.2">
      <c r="A24" s="13" t="s">
        <v>60</v>
      </c>
      <c r="B24" s="18">
        <v>4</v>
      </c>
      <c r="C24" s="18">
        <v>6</v>
      </c>
      <c r="D24" s="18">
        <v>30</v>
      </c>
      <c r="E24" s="18">
        <v>10</v>
      </c>
      <c r="F24" s="18">
        <v>72</v>
      </c>
    </row>
    <row r="25" spans="1:6" x14ac:dyDescent="0.2">
      <c r="A25" s="13" t="s">
        <v>61</v>
      </c>
      <c r="B25" s="18">
        <v>1</v>
      </c>
      <c r="C25" s="18">
        <v>3</v>
      </c>
      <c r="D25" s="18">
        <v>16</v>
      </c>
      <c r="E25" s="18">
        <v>7</v>
      </c>
      <c r="F25" s="18">
        <v>0</v>
      </c>
    </row>
    <row r="26" spans="1:6" x14ac:dyDescent="0.2">
      <c r="A26" s="13" t="s">
        <v>62</v>
      </c>
      <c r="B26" s="18">
        <v>1</v>
      </c>
      <c r="C26" s="18">
        <v>13</v>
      </c>
      <c r="D26" s="18">
        <v>27</v>
      </c>
      <c r="E26" s="18">
        <v>22</v>
      </c>
      <c r="F26" s="18">
        <v>4</v>
      </c>
    </row>
    <row r="27" spans="1:6" x14ac:dyDescent="0.2">
      <c r="A27" s="13" t="s">
        <v>63</v>
      </c>
      <c r="B27" s="18">
        <v>83</v>
      </c>
      <c r="C27" s="18">
        <v>30</v>
      </c>
      <c r="D27" s="18">
        <v>48</v>
      </c>
      <c r="E27" s="18">
        <v>7</v>
      </c>
      <c r="F27" s="18">
        <v>3</v>
      </c>
    </row>
    <row r="28" spans="1:6" x14ac:dyDescent="0.2">
      <c r="A28" s="13" t="s">
        <v>64</v>
      </c>
      <c r="B28" s="14"/>
      <c r="C28" s="18">
        <v>19</v>
      </c>
      <c r="D28" s="18">
        <v>11</v>
      </c>
      <c r="E28" s="18">
        <v>45</v>
      </c>
      <c r="F28" s="18">
        <v>547</v>
      </c>
    </row>
    <row r="29" spans="1:6" x14ac:dyDescent="0.2">
      <c r="A29" s="13" t="s">
        <v>65</v>
      </c>
      <c r="B29" s="18">
        <v>12</v>
      </c>
      <c r="C29" s="18">
        <v>6</v>
      </c>
      <c r="D29" s="18">
        <v>1</v>
      </c>
      <c r="E29" s="18">
        <v>33</v>
      </c>
      <c r="F29" s="18">
        <v>2</v>
      </c>
    </row>
    <row r="30" spans="1:6" x14ac:dyDescent="0.2">
      <c r="A30" s="13" t="s">
        <v>66</v>
      </c>
      <c r="B30" s="18">
        <v>16</v>
      </c>
      <c r="C30" s="18">
        <v>47</v>
      </c>
      <c r="D30" s="18">
        <v>12</v>
      </c>
      <c r="E30" s="18">
        <v>12</v>
      </c>
      <c r="F30" s="18">
        <v>27</v>
      </c>
    </row>
    <row r="31" spans="1:6" x14ac:dyDescent="0.2">
      <c r="A31" s="13" t="s">
        <v>67</v>
      </c>
      <c r="B31" s="18">
        <v>194</v>
      </c>
      <c r="C31" s="18">
        <v>203</v>
      </c>
      <c r="D31" s="18">
        <v>155</v>
      </c>
      <c r="E31" s="18">
        <v>182</v>
      </c>
      <c r="F31" s="18">
        <v>139</v>
      </c>
    </row>
    <row r="32" spans="1:6" x14ac:dyDescent="0.2">
      <c r="A32" s="13" t="s">
        <v>68</v>
      </c>
      <c r="B32" s="18">
        <v>78</v>
      </c>
      <c r="C32" s="18">
        <v>102</v>
      </c>
      <c r="D32" s="18">
        <v>65</v>
      </c>
      <c r="E32" s="18">
        <v>81</v>
      </c>
      <c r="F32" s="18">
        <v>57</v>
      </c>
    </row>
    <row r="33" spans="1:6" x14ac:dyDescent="0.2">
      <c r="A33" s="13" t="s">
        <v>69</v>
      </c>
      <c r="B33" s="18">
        <v>131</v>
      </c>
      <c r="C33" s="18">
        <v>85</v>
      </c>
      <c r="D33" s="18">
        <v>208</v>
      </c>
      <c r="E33" s="18">
        <v>142</v>
      </c>
      <c r="F33" s="18">
        <v>457</v>
      </c>
    </row>
    <row r="34" spans="1:6" x14ac:dyDescent="0.2">
      <c r="A34" s="13" t="s">
        <v>70</v>
      </c>
      <c r="B34" s="18">
        <v>217</v>
      </c>
      <c r="C34" s="18">
        <v>93</v>
      </c>
      <c r="D34" s="18">
        <v>187</v>
      </c>
      <c r="E34" s="18">
        <v>123</v>
      </c>
      <c r="F34" s="18">
        <v>282</v>
      </c>
    </row>
    <row r="35" spans="1:6" x14ac:dyDescent="0.2">
      <c r="A35" s="15" t="s">
        <v>71</v>
      </c>
      <c r="B35" s="19">
        <v>330</v>
      </c>
      <c r="C35" s="20">
        <v>21</v>
      </c>
      <c r="D35" s="20">
        <v>87</v>
      </c>
      <c r="E35" s="20">
        <v>96</v>
      </c>
      <c r="F35" s="20">
        <v>180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C28E-17AA-49EB-B13D-EAF8100F15AD}">
  <dimension ref="A1:AP17"/>
  <sheetViews>
    <sheetView tabSelected="1" topLeftCell="X1" workbookViewId="0">
      <selection activeCell="AN13" sqref="AN13"/>
    </sheetView>
  </sheetViews>
  <sheetFormatPr defaultRowHeight="14.25" x14ac:dyDescent="0.2"/>
  <sheetData>
    <row r="1" spans="1:42" x14ac:dyDescent="0.2">
      <c r="A1" t="s">
        <v>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79</v>
      </c>
      <c r="B2">
        <f>火电关停!G2*10</f>
        <v>14690</v>
      </c>
      <c r="C2">
        <f>火电关停!H2*10</f>
        <v>4990</v>
      </c>
      <c r="D2" s="22">
        <f>AVERAGE(火电关停!B2:H2)*10</f>
        <v>9481.6666666666661</v>
      </c>
      <c r="E2" s="22">
        <f>D2</f>
        <v>9481.6666666666661</v>
      </c>
      <c r="F2" s="22">
        <f t="shared" ref="F2:L2" si="0">E2</f>
        <v>9481.6666666666661</v>
      </c>
      <c r="G2" s="22">
        <f t="shared" si="0"/>
        <v>9481.6666666666661</v>
      </c>
      <c r="H2" s="22">
        <f t="shared" si="0"/>
        <v>9481.6666666666661</v>
      </c>
      <c r="I2" s="22">
        <f t="shared" si="0"/>
        <v>9481.6666666666661</v>
      </c>
      <c r="J2" s="22">
        <f t="shared" si="0"/>
        <v>9481.6666666666661</v>
      </c>
      <c r="K2" s="22">
        <f t="shared" si="0"/>
        <v>9481.6666666666661</v>
      </c>
      <c r="L2" s="22">
        <f t="shared" si="0"/>
        <v>9481.6666666666661</v>
      </c>
      <c r="M2">
        <v>5000</v>
      </c>
      <c r="N2">
        <v>5000</v>
      </c>
      <c r="O2">
        <v>5000</v>
      </c>
      <c r="P2">
        <v>5000</v>
      </c>
      <c r="Q2">
        <v>5000</v>
      </c>
      <c r="R2">
        <v>5000</v>
      </c>
      <c r="S2">
        <v>5000</v>
      </c>
      <c r="T2">
        <v>5000</v>
      </c>
      <c r="U2">
        <v>5000</v>
      </c>
      <c r="V2">
        <v>5000</v>
      </c>
      <c r="W2">
        <v>5000</v>
      </c>
      <c r="X2">
        <v>5000</v>
      </c>
      <c r="Y2">
        <v>5000</v>
      </c>
      <c r="Z2">
        <v>5000</v>
      </c>
      <c r="AA2">
        <v>5000</v>
      </c>
      <c r="AB2">
        <v>5000</v>
      </c>
      <c r="AC2">
        <v>5000</v>
      </c>
      <c r="AD2">
        <v>5000</v>
      </c>
      <c r="AE2">
        <v>5000</v>
      </c>
      <c r="AF2">
        <v>5000</v>
      </c>
      <c r="AG2">
        <v>5000</v>
      </c>
      <c r="AH2">
        <v>5000</v>
      </c>
      <c r="AI2">
        <v>5000</v>
      </c>
      <c r="AJ2">
        <v>5000</v>
      </c>
      <c r="AK2">
        <v>5000</v>
      </c>
      <c r="AL2">
        <v>5000</v>
      </c>
      <c r="AM2">
        <v>5000</v>
      </c>
      <c r="AN2">
        <v>5000</v>
      </c>
      <c r="AO2">
        <v>5000</v>
      </c>
      <c r="AP2">
        <v>5000</v>
      </c>
    </row>
    <row r="3" spans="1:42" x14ac:dyDescent="0.2">
      <c r="A3" t="s">
        <v>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83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87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88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89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90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91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93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火电关停</vt:lpstr>
      <vt:lpstr>新增火电</vt:lpstr>
      <vt:lpstr>新增水电</vt:lpstr>
      <vt:lpstr>新增风电</vt:lpstr>
      <vt:lpstr>新增太阳能</vt:lpstr>
      <vt:lpstr>BCRbQ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2022-01-18T08:28:09Z</dcterms:created>
  <dcterms:modified xsi:type="dcterms:W3CDTF">2023-03-01T04:14:19Z</dcterms:modified>
</cp:coreProperties>
</file>